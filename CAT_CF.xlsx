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03518131\Desktop\Bloomberg\Mariann\FA Excel\"/>
    </mc:Choice>
  </mc:AlternateContent>
  <xr:revisionPtr revIDLastSave="0" documentId="8_{C5E78771-DC27-4B6B-91D4-E7775FDFFBD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Cash Flow - Standardized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W25" i="2" l="1" a="1"/>
  <c r="K37" i="2" a="1"/>
  <c r="P37" i="2" a="1"/>
  <c r="AC13" i="2" a="1"/>
  <c r="AC41" i="2" a="1"/>
  <c r="AC21" i="2" a="1"/>
  <c r="AC25" i="2" a="1"/>
  <c r="E12" i="2" a="1"/>
  <c r="E25" i="2" a="1"/>
  <c r="E33" i="2" a="1"/>
  <c r="E23" i="2" a="1"/>
  <c r="E34" i="2" a="1"/>
  <c r="W41" i="2" a="1"/>
  <c r="W15" i="2" a="1"/>
  <c r="W43" i="2" a="1"/>
  <c r="W10" i="2" a="1"/>
  <c r="K35" i="2" a="1"/>
  <c r="K16" i="2" a="1"/>
  <c r="K7" i="2" a="1"/>
  <c r="K44" i="2" a="1"/>
  <c r="U9" i="2" a="1"/>
  <c r="U8" i="2" a="1"/>
  <c r="U33" i="2" a="1"/>
  <c r="U37" i="2" a="1"/>
  <c r="O9" i="2" a="1"/>
  <c r="O13" i="2" a="1"/>
  <c r="O54" i="2" a="1"/>
  <c r="I12" i="2" a="1"/>
  <c r="I8" i="2" a="1"/>
  <c r="I52" i="2" a="1"/>
  <c r="I35" i="2" a="1"/>
  <c r="Q8" i="2" a="1"/>
  <c r="Q40" i="2" a="1"/>
  <c r="Q31" i="2" a="1"/>
  <c r="Q22" i="2" a="1"/>
  <c r="AA7" i="2" a="1"/>
  <c r="AA13" i="2" a="1"/>
  <c r="AA12" i="2" a="1"/>
  <c r="AA9" i="2" a="1"/>
  <c r="P13" i="2" a="1"/>
  <c r="P16" i="2" a="1"/>
  <c r="P41" i="2" a="1"/>
  <c r="E28" i="2" a="1"/>
  <c r="W24" i="2" a="1"/>
  <c r="W32" i="2" a="1"/>
  <c r="W37" i="2" a="1"/>
  <c r="K15" i="2" a="1"/>
  <c r="U43" i="2" a="1"/>
  <c r="U15" i="2" a="1"/>
  <c r="O14" i="2" a="1"/>
  <c r="I33" i="2" a="1"/>
  <c r="I17" i="2" a="1"/>
  <c r="Q43" i="2" a="1"/>
  <c r="L7" i="2" a="1"/>
  <c r="AA30" i="2" a="1"/>
  <c r="P33" i="2" a="1"/>
  <c r="U10" i="2" a="1"/>
  <c r="E18" i="2" a="1"/>
  <c r="W8" i="2" a="1"/>
  <c r="K8" i="2" a="1"/>
  <c r="U60" i="2" a="1"/>
  <c r="O18" i="2" a="1"/>
  <c r="O8" i="2" a="1"/>
  <c r="Q45" i="2" a="1"/>
  <c r="I58" i="2" a="1"/>
  <c r="AA40" i="2" a="1"/>
  <c r="P31" i="2" a="1"/>
  <c r="E36" i="2" a="1"/>
  <c r="W36" i="2" a="1"/>
  <c r="K47" i="2" a="1"/>
  <c r="U23" i="2" a="1"/>
  <c r="O42" i="2" a="1"/>
  <c r="I10" i="2" a="1"/>
  <c r="I23" i="2" a="1"/>
  <c r="Q11" i="2" a="1"/>
  <c r="P25" i="2" a="1"/>
  <c r="P23" i="2" a="1"/>
  <c r="O44" i="2" a="1"/>
  <c r="AA11" i="2" a="1"/>
  <c r="E22" i="2" a="1"/>
  <c r="K23" i="2" a="1"/>
  <c r="O10" i="2" a="1"/>
  <c r="Q28" i="2" a="1"/>
  <c r="U58" i="2" a="1"/>
  <c r="U17" i="2" a="1"/>
  <c r="Q29" i="2" a="1"/>
  <c r="I7" i="2" a="1"/>
  <c r="AC42" i="2" a="1"/>
  <c r="R11" i="2" a="1"/>
  <c r="AC18" i="2" a="1"/>
  <c r="AC32" i="2" a="1"/>
  <c r="AC48" i="2" a="1"/>
  <c r="AC26" i="2" a="1"/>
  <c r="Y7" i="2" a="1"/>
  <c r="E10" i="2" a="1"/>
  <c r="E21" i="2" a="1"/>
  <c r="K30" i="2" a="1"/>
  <c r="O28" i="2" a="1"/>
  <c r="AA48" i="2" a="1"/>
  <c r="E41" i="2" a="1"/>
  <c r="U35" i="2" a="1"/>
  <c r="I9" i="2" a="1"/>
  <c r="AA8" i="2" a="1"/>
  <c r="E35" i="2" a="1"/>
  <c r="U45" i="2" a="1"/>
  <c r="Q30" i="2" a="1"/>
  <c r="W33" i="2" a="1"/>
  <c r="I41" i="2" a="1"/>
  <c r="P17" i="2" a="1"/>
  <c r="X7" i="2" a="1"/>
  <c r="U31" i="2" a="1"/>
  <c r="I62" i="2" a="1"/>
  <c r="T14" i="2" a="1"/>
  <c r="S11" i="2" a="1"/>
  <c r="J30" i="2" a="1"/>
  <c r="AC12" i="2" a="1"/>
  <c r="AC14" i="2" a="1"/>
  <c r="AC46" i="2" a="1"/>
  <c r="E17" i="2" a="1"/>
  <c r="K26" i="2" a="1"/>
  <c r="I60" i="2" a="1"/>
  <c r="P15" i="2" a="1"/>
  <c r="E11" i="2" a="1"/>
  <c r="O12" i="2" a="1"/>
  <c r="AA63" i="2" a="1"/>
  <c r="W12" i="2" a="1"/>
  <c r="AA54" i="2" a="1"/>
  <c r="O48" i="2" a="1"/>
  <c r="AE18" i="2" a="1"/>
  <c r="V12" i="2" a="1"/>
  <c r="AC10" i="2" a="1"/>
  <c r="AC22" i="2" a="1"/>
  <c r="AC7" i="2" a="1"/>
  <c r="W9" i="2" a="1"/>
  <c r="O7" i="2" a="1"/>
  <c r="P43" i="2" a="1"/>
  <c r="C11" i="2" a="1"/>
  <c r="F9" i="2" a="1"/>
  <c r="AB27" i="2" a="1"/>
  <c r="AC34" i="2" a="1"/>
  <c r="AC40" i="2" a="1"/>
  <c r="E29" i="2" a="1"/>
  <c r="W27" i="2" a="1"/>
  <c r="W11" i="2" a="1"/>
  <c r="K25" i="2" a="1"/>
  <c r="U52" i="2" a="1"/>
  <c r="D35" i="2" a="1"/>
  <c r="AA24" i="2" a="1"/>
  <c r="AC33" i="2" a="1"/>
  <c r="AC27" i="2" a="1"/>
  <c r="AC23" i="2" a="1"/>
  <c r="AC17" i="2" a="1"/>
  <c r="Q48" i="2" a="1"/>
  <c r="E26" i="2" a="1"/>
  <c r="E42" i="2" a="1"/>
  <c r="E14" i="2" a="1"/>
  <c r="N15" i="2" a="1"/>
  <c r="W7" i="2" a="1"/>
  <c r="K21" i="2" a="1"/>
  <c r="K18" i="2" a="1"/>
  <c r="K10" i="2" a="1"/>
  <c r="E16" i="2" a="1"/>
  <c r="W45" i="2" a="1"/>
  <c r="K9" i="2" a="1"/>
  <c r="K34" i="2" a="1"/>
  <c r="U11" i="2" a="1"/>
  <c r="O63" i="2" a="1"/>
  <c r="I11" i="2" a="1"/>
  <c r="I15" i="2" a="1"/>
  <c r="Q44" i="2" a="1"/>
  <c r="Q15" i="2" a="1"/>
  <c r="AA18" i="2" a="1"/>
  <c r="P11" i="2" a="1"/>
  <c r="P14" i="2" a="1"/>
  <c r="AC24" i="2" a="1"/>
  <c r="W14" i="2" a="1"/>
  <c r="W46" i="2" a="1"/>
  <c r="K17" i="2" a="1"/>
  <c r="U7" i="2" a="1"/>
  <c r="O34" i="2" a="1"/>
  <c r="I49" i="2" a="1"/>
  <c r="Q46" i="2" a="1"/>
  <c r="AA22" i="2" a="1"/>
  <c r="P8" i="2" a="1"/>
  <c r="M15" i="2" a="1"/>
  <c r="W40" i="2" a="1"/>
  <c r="K45" i="2" a="1"/>
  <c r="K43" i="2" a="1"/>
  <c r="O30" i="2" a="1"/>
  <c r="I13" i="2" a="1"/>
  <c r="Q7" i="2" a="1"/>
  <c r="AA36" i="2" a="1"/>
  <c r="P21" i="2" a="1"/>
  <c r="AC45" i="2" a="1"/>
  <c r="K29" i="2" a="1"/>
  <c r="O22" i="2" a="1"/>
  <c r="Q17" i="2" a="1"/>
  <c r="AA16" i="2" a="1"/>
  <c r="P35" i="2" a="1"/>
  <c r="U62" i="2" a="1"/>
  <c r="K13" i="2" a="1"/>
  <c r="O50" i="2" a="1"/>
  <c r="Q35" i="2" a="1"/>
  <c r="AA46" i="2" a="1"/>
  <c r="P9" i="2" a="1"/>
  <c r="G9" i="2" a="1"/>
  <c r="U29" i="2" a="1"/>
  <c r="O36" i="2" a="1"/>
  <c r="Q37" i="2" a="1"/>
  <c r="U14" i="2" a="1"/>
  <c r="O26" i="2" a="1"/>
  <c r="AA50" i="2" a="1"/>
  <c r="E24" i="2" a="1"/>
  <c r="Q34" i="2" a="1"/>
  <c r="P29" i="2" a="1"/>
  <c r="U13" i="2" a="1"/>
  <c r="Z7" i="2" a="1"/>
  <c r="I43" i="2" a="1"/>
  <c r="P27" i="2" a="1"/>
  <c r="U49" i="2" a="1"/>
  <c r="P45" i="2" a="1"/>
  <c r="U21" i="2" a="1"/>
  <c r="I29" i="2" a="1"/>
  <c r="W26" i="2" a="1"/>
  <c r="I25" i="2" a="1"/>
  <c r="P7" i="2" a="1"/>
  <c r="O16" i="2" a="1"/>
  <c r="AA32" i="2" a="1"/>
  <c r="K36" i="2" a="1"/>
  <c r="O11" i="2" a="1"/>
  <c r="Q13" i="2" a="1"/>
  <c r="AA10" i="2" a="1"/>
  <c r="E43" i="2" a="1"/>
  <c r="Q21" i="2" a="1"/>
  <c r="P10" i="2" a="1"/>
  <c r="U12" i="2" a="1"/>
  <c r="I27" i="2" a="1"/>
  <c r="AA14" i="2" a="1"/>
  <c r="E44" i="2" a="1"/>
  <c r="I21" i="2" a="1"/>
  <c r="U47" i="2" a="1"/>
  <c r="Q42" i="2" a="1"/>
  <c r="W30" i="2" a="1"/>
  <c r="I14" i="2" a="1"/>
  <c r="Q36" i="2" a="1"/>
  <c r="W31" i="2" a="1"/>
  <c r="AA26" i="2" a="1"/>
  <c r="O24" i="2" a="1"/>
  <c r="AA44" i="2" a="1"/>
  <c r="H10" i="2" a="1"/>
  <c r="I47" i="2" a="1"/>
  <c r="P12" i="2" a="1"/>
  <c r="C18" i="2" a="1"/>
  <c r="C16" i="2" a="1"/>
  <c r="C34" i="2" a="1"/>
  <c r="C13" i="2" a="1"/>
  <c r="D31" i="2" a="1"/>
  <c r="D27" i="2" a="1"/>
  <c r="D45" i="2" a="1"/>
  <c r="D15" i="2" a="1"/>
  <c r="AB15" i="2" a="1"/>
  <c r="AB41" i="2" a="1"/>
  <c r="AB35" i="2" a="1"/>
  <c r="AB37" i="2" a="1"/>
  <c r="F24" i="2" a="1"/>
  <c r="F11" i="2" a="1"/>
  <c r="F44" i="2" a="1"/>
  <c r="V30" i="2" a="1"/>
  <c r="V7" i="2" a="1"/>
  <c r="V11" i="2" a="1"/>
  <c r="V26" i="2" a="1"/>
  <c r="J44" i="2" a="1"/>
  <c r="J13" i="2" a="1"/>
  <c r="J14" i="2" a="1"/>
  <c r="J22" i="2" a="1"/>
  <c r="J58" i="2" a="1"/>
  <c r="L11" i="2" a="1"/>
  <c r="L47" i="2" a="1"/>
  <c r="L25" i="2" a="1"/>
  <c r="R14" i="2" a="1"/>
  <c r="R50" i="2" a="1"/>
  <c r="R46" i="2" a="1"/>
  <c r="R26" i="2" a="1"/>
  <c r="X37" i="2" a="1"/>
  <c r="X21" i="2" a="1"/>
  <c r="X31" i="2" a="1"/>
  <c r="X35" i="2" a="1"/>
  <c r="S24" i="2" a="1"/>
  <c r="S42" i="2" a="1"/>
  <c r="S7" i="2" a="1"/>
  <c r="G16" i="2" a="1"/>
  <c r="G32" i="2" a="1"/>
  <c r="G8" i="2" a="1"/>
  <c r="G34" i="2" a="1"/>
  <c r="Y37" i="2" a="1"/>
  <c r="Y52" i="2" a="1"/>
  <c r="Y11" i="2" a="1"/>
  <c r="Y25" i="2" a="1"/>
  <c r="M25" i="2" a="1"/>
  <c r="M47" i="2" a="1"/>
  <c r="M8" i="2" a="1"/>
  <c r="M27" i="2" a="1"/>
  <c r="AE50" i="2" a="1"/>
  <c r="AE7" i="2" a="1"/>
  <c r="AE22" i="2" a="1"/>
  <c r="AE26" i="2" a="1"/>
  <c r="AD42" i="2" a="1"/>
  <c r="AD18" i="2" a="1"/>
  <c r="AD26" i="2" a="1"/>
  <c r="AD46" i="2" a="1"/>
  <c r="H16" i="2" a="1"/>
  <c r="H8" i="2" a="1"/>
  <c r="H54" i="2" a="1"/>
  <c r="H7" i="2" a="1"/>
  <c r="T28" i="2" a="1"/>
  <c r="T18" i="2" a="1"/>
  <c r="T46" i="2" a="1"/>
  <c r="P58" i="2" a="1"/>
  <c r="AF18" i="2" a="1"/>
  <c r="AF24" i="2" a="1"/>
  <c r="AF36" i="2" a="1"/>
  <c r="AF46" i="2" a="1"/>
  <c r="AA33" i="2" a="1"/>
  <c r="AA52" i="2" a="1"/>
  <c r="AA31" i="2" a="1"/>
  <c r="AA37" i="2" a="1"/>
  <c r="C43" i="2" a="1"/>
  <c r="C10" i="2" a="1"/>
  <c r="C36" i="2" a="1"/>
  <c r="C63" i="2" a="1"/>
  <c r="C26" i="2" a="1"/>
  <c r="C28" i="2" a="1"/>
  <c r="C40" i="2" a="1"/>
  <c r="D43" i="2" a="1"/>
  <c r="C7" i="2" a="1"/>
  <c r="C9" i="2" a="1"/>
  <c r="C14" i="2" a="1"/>
  <c r="C8" i="2" a="1"/>
  <c r="D7" i="2" a="1"/>
  <c r="C22" i="2" a="1"/>
  <c r="C12" i="2" a="1"/>
  <c r="C50" i="2" a="1"/>
  <c r="AF12" i="2" a="1"/>
  <c r="D13" i="2" a="1"/>
  <c r="D16" i="2" a="1"/>
  <c r="AB45" i="2" a="1"/>
  <c r="AB17" i="2" a="1"/>
  <c r="F36" i="2" a="1"/>
  <c r="V46" i="2" a="1"/>
  <c r="J8" i="2" a="1"/>
  <c r="J40" i="2" a="1"/>
  <c r="C46" i="2" a="1"/>
  <c r="AB25" i="2" a="1"/>
  <c r="F8" i="2" a="1"/>
  <c r="F32" i="2" a="1"/>
  <c r="F13" i="2" a="1"/>
  <c r="V40" i="2" a="1"/>
  <c r="J36" i="2" a="1"/>
  <c r="C15" i="2" a="1"/>
  <c r="D23" i="2" a="1"/>
  <c r="D9" i="2" a="1"/>
  <c r="AB10" i="2" a="1"/>
  <c r="AB21" i="2" a="1"/>
  <c r="F34" i="2" a="1"/>
  <c r="V14" i="2" a="1"/>
  <c r="V10" i="2" a="1"/>
  <c r="D29" i="2" a="1"/>
  <c r="D25" i="2" a="1"/>
  <c r="F12" i="2" a="1"/>
  <c r="F7" i="2" a="1"/>
  <c r="V18" i="2" a="1"/>
  <c r="V22" i="2" a="1"/>
  <c r="V9" i="2" a="1"/>
  <c r="C33" i="2" a="1"/>
  <c r="U18" i="2" a="1"/>
  <c r="N58" i="2" a="1"/>
  <c r="I46" i="2" a="1"/>
  <c r="O31" i="2" a="1"/>
  <c r="O21" i="2" a="1"/>
  <c r="O60" i="2" a="1"/>
  <c r="O17" i="2" a="1"/>
  <c r="D33" i="2" a="1"/>
  <c r="AB7" i="2" a="1"/>
  <c r="V36" i="2" a="1"/>
  <c r="J18" i="2" a="1"/>
  <c r="C24" i="2" a="1"/>
  <c r="D17" i="2" a="1"/>
  <c r="AB11" i="2" a="1"/>
  <c r="AB12" i="2" a="1"/>
  <c r="F50" i="2" a="1"/>
  <c r="F30" i="2" a="1"/>
  <c r="AD8" i="2" a="1"/>
  <c r="J10" i="2" a="1"/>
  <c r="J12" i="2" a="1"/>
  <c r="J62" i="2" a="1"/>
  <c r="L43" i="2" a="1"/>
  <c r="L45" i="2" a="1"/>
  <c r="L27" i="2" a="1"/>
  <c r="R10" i="2" a="1"/>
  <c r="R12" i="2" a="1"/>
  <c r="R22" i="2" a="1"/>
  <c r="X45" i="2" a="1"/>
  <c r="X43" i="2" a="1"/>
  <c r="X41" i="2" a="1"/>
  <c r="S48" i="2" a="1"/>
  <c r="S9" i="2" a="1"/>
  <c r="S34" i="2" a="1"/>
  <c r="G40" i="2" a="1"/>
  <c r="G10" i="2" a="1"/>
  <c r="G46" i="2" a="1"/>
  <c r="Y35" i="2" a="1"/>
  <c r="Y41" i="2" a="1"/>
  <c r="Y31" i="2" a="1"/>
  <c r="W62" i="2" a="1"/>
  <c r="M43" i="2" a="1"/>
  <c r="M11" i="2" a="1"/>
  <c r="M37" i="2" a="1"/>
  <c r="AE40" i="2" a="1"/>
  <c r="AE12" i="2" a="1"/>
  <c r="AE16" i="2" a="1"/>
  <c r="AD10" i="2" a="1"/>
  <c r="AD54" i="2" a="1"/>
  <c r="AD40" i="2" a="1"/>
  <c r="H18" i="2" a="1"/>
  <c r="H28" i="2" a="1"/>
  <c r="H30" i="2" a="1"/>
  <c r="T34" i="2" a="1"/>
  <c r="T12" i="2" a="1"/>
  <c r="T10" i="2" a="1"/>
  <c r="P62" i="2" a="1"/>
  <c r="AF44" i="2" a="1"/>
  <c r="AF8" i="2" a="1"/>
  <c r="AF48" i="2" a="1"/>
  <c r="AA41" i="2" a="1"/>
  <c r="AA23" i="2" a="1"/>
  <c r="AA43" i="2" a="1"/>
  <c r="M62" i="2" a="1"/>
  <c r="C44" i="2" a="1"/>
  <c r="C17" i="2" a="1"/>
  <c r="U63" i="2" a="1"/>
  <c r="U22" i="2" a="1"/>
  <c r="I22" i="2" a="1"/>
  <c r="I24" i="2" a="1"/>
  <c r="D41" i="2" a="1"/>
  <c r="F10" i="2" a="1"/>
  <c r="V13" i="2" a="1"/>
  <c r="J46" i="2" a="1"/>
  <c r="C61" i="2" a="1"/>
  <c r="D10" i="2" a="1"/>
  <c r="D11" i="2" a="1"/>
  <c r="AB13" i="2" a="1"/>
  <c r="AB9" i="2" a="1"/>
  <c r="V16" i="2" a="1"/>
  <c r="V34" i="2" a="1"/>
  <c r="J26" i="2" a="1"/>
  <c r="J7" i="2" a="1"/>
  <c r="U59" i="2" a="1"/>
  <c r="U30" i="2" a="1"/>
  <c r="I45" i="2" a="1"/>
  <c r="I42" i="2" a="1"/>
  <c r="I31" i="2" a="1"/>
  <c r="O46" i="2" a="1"/>
  <c r="O52" i="2" a="1"/>
  <c r="O40" i="2" a="1"/>
  <c r="I59" i="2" a="1"/>
  <c r="C42" i="2" a="1"/>
  <c r="D21" i="2" a="1"/>
  <c r="AD34" i="2" a="1"/>
  <c r="G12" i="2" a="1"/>
  <c r="AE11" i="2" a="1"/>
  <c r="AA15" i="2" a="1"/>
  <c r="I66" i="2" a="1"/>
  <c r="C60" i="2" a="1"/>
  <c r="U34" i="2" a="1"/>
  <c r="G36" i="2" a="1"/>
  <c r="C25" i="2" a="1"/>
  <c r="O29" i="2" a="1"/>
  <c r="Y45" i="2" a="1"/>
  <c r="T22" i="2" a="1"/>
  <c r="U46" i="2" a="1"/>
  <c r="AA47" i="2" a="1"/>
  <c r="V8" i="2" a="1"/>
  <c r="R32" i="2" a="1"/>
  <c r="Y8" i="2" a="1"/>
  <c r="M31" i="2" a="1"/>
  <c r="D8" i="2" a="1"/>
  <c r="AB14" i="2" a="1"/>
  <c r="F18" i="2" a="1"/>
  <c r="V24" i="2" a="1"/>
  <c r="J21" i="2" a="1"/>
  <c r="R8" i="2" a="1"/>
  <c r="I16" i="2" a="1"/>
  <c r="AB31" i="2" a="1"/>
  <c r="F22" i="2" a="1"/>
  <c r="J11" i="2" a="1"/>
  <c r="L12" i="2" a="1"/>
  <c r="L35" i="2" a="1"/>
  <c r="X8" i="2" a="1"/>
  <c r="X9" i="2" a="1"/>
  <c r="S18" i="2" a="1"/>
  <c r="AE8" i="2" a="1"/>
  <c r="D37" i="2" a="1"/>
  <c r="AB23" i="2" a="1"/>
  <c r="F26" i="2" a="1"/>
  <c r="V44" i="2" a="1"/>
  <c r="J34" i="2" a="1"/>
  <c r="L23" i="2" a="1"/>
  <c r="L8" i="2" a="1"/>
  <c r="R28" i="2" a="1"/>
  <c r="X11" i="2" a="1"/>
  <c r="X27" i="2" a="1"/>
  <c r="G18" i="2" a="1"/>
  <c r="G42" i="2" a="1"/>
  <c r="Y27" i="2" a="1"/>
  <c r="L62" i="2" a="1"/>
  <c r="M7" i="2" a="1"/>
  <c r="AE30" i="2" a="1"/>
  <c r="AD28" i="2" a="1"/>
  <c r="X62" i="2" a="1"/>
  <c r="H46" i="2" a="1"/>
  <c r="T40" i="2" a="1"/>
  <c r="T54" i="2" a="1"/>
  <c r="Y62" i="2" a="1"/>
  <c r="AF28" i="2" a="1"/>
  <c r="AA29" i="2" a="1"/>
  <c r="M58" i="2" a="1"/>
  <c r="C35" i="2" a="1"/>
  <c r="U61" i="2" a="1"/>
  <c r="U16" i="2" a="1"/>
  <c r="I34" i="2" a="1"/>
  <c r="I28" i="2" a="1"/>
  <c r="O61" i="2" a="1"/>
  <c r="C58" i="2" a="1"/>
  <c r="AB33" i="2" a="1"/>
  <c r="F28" i="2" a="1"/>
  <c r="J9" i="2" a="1"/>
  <c r="L17" i="2" a="1"/>
  <c r="L41" i="2" a="1"/>
  <c r="X17" i="2" a="1"/>
  <c r="S10" i="2" a="1"/>
  <c r="S44" i="2" a="1"/>
  <c r="G44" i="2" a="1"/>
  <c r="G7" i="2" a="1"/>
  <c r="M29" i="2" a="1"/>
  <c r="M21" i="2" a="1"/>
  <c r="AE36" i="2" a="1"/>
  <c r="AD14" i="2" a="1"/>
  <c r="AD11" i="2" a="1"/>
  <c r="T63" i="2" a="1"/>
  <c r="Y58" i="2" a="1"/>
  <c r="AF42" i="2" a="1"/>
  <c r="AA17" i="2" a="1"/>
  <c r="C41" i="2" a="1"/>
  <c r="U50" i="2" a="1"/>
  <c r="O49" i="2" a="1"/>
  <c r="O41" i="2" a="1"/>
  <c r="I30" i="2" a="1"/>
  <c r="O27" i="2" a="1"/>
  <c r="C62" i="2" a="1"/>
  <c r="V32" i="2" a="1"/>
  <c r="R7" i="2" a="1"/>
  <c r="G26" i="2" a="1"/>
  <c r="AE46" i="2" a="1"/>
  <c r="T48" i="2" a="1"/>
  <c r="AA27" i="2" a="1"/>
  <c r="F42" i="2" a="1"/>
  <c r="S28" i="2" a="1"/>
  <c r="M60" i="2" a="1"/>
  <c r="AD12" i="2" a="1"/>
  <c r="AF30" i="2" a="1"/>
  <c r="C49" i="2" a="1"/>
  <c r="I61" i="2" a="1"/>
  <c r="F46" i="2" a="1"/>
  <c r="L29" i="2" a="1"/>
  <c r="R44" i="2" a="1"/>
  <c r="G24" i="2" a="1"/>
  <c r="M33" i="2" a="1"/>
  <c r="H32" i="2" a="1"/>
  <c r="U66" i="2" a="1"/>
  <c r="O23" i="2" a="1"/>
  <c r="F40" i="2" a="1"/>
  <c r="R30" i="2" a="1"/>
  <c r="Y43" i="2" a="1"/>
  <c r="AD7" i="2" a="1"/>
  <c r="T32" i="2" a="1"/>
  <c r="AA35" i="2" a="1"/>
  <c r="U42" i="2" a="1"/>
  <c r="L37" i="2" a="1"/>
  <c r="Y47" i="2" a="1"/>
  <c r="H44" i="2" a="1"/>
  <c r="AA45" i="2" a="1"/>
  <c r="U32" i="2" a="1"/>
  <c r="G50" i="2" a="1"/>
  <c r="AE34" i="2" a="1"/>
  <c r="H12" i="2" a="1"/>
  <c r="I50" i="2" a="1"/>
  <c r="Y29" i="2" a="1"/>
  <c r="AA28" i="2" a="1"/>
  <c r="D47" i="2" a="1"/>
  <c r="F16" i="2" a="1"/>
  <c r="AA66" i="2" a="1"/>
  <c r="L31" i="2" a="1"/>
  <c r="R34" i="2" a="1"/>
  <c r="R16" i="2" a="1"/>
  <c r="X49" i="2" a="1"/>
  <c r="X23" i="2" a="1"/>
  <c r="S36" i="2" a="1"/>
  <c r="G14" i="2" a="1"/>
  <c r="Y13" i="2" a="1"/>
  <c r="L58" i="2" a="1"/>
  <c r="M35" i="2" a="1"/>
  <c r="K62" i="2" a="1"/>
  <c r="AD48" i="2" a="1"/>
  <c r="H63" i="2" a="1"/>
  <c r="H40" i="2" a="1"/>
  <c r="T50" i="2" a="1"/>
  <c r="T26" i="2" a="1"/>
  <c r="AF26" i="2" a="1"/>
  <c r="AF34" i="2" a="1"/>
  <c r="AA21" i="2" a="1"/>
  <c r="C52" i="2" a="1"/>
  <c r="C29" i="2" a="1"/>
  <c r="U54" i="2" a="1"/>
  <c r="U25" i="2" a="1"/>
  <c r="I26" i="2" a="1"/>
  <c r="F14" i="2" a="1"/>
  <c r="R18" i="2" a="1"/>
  <c r="Y15" i="2" a="1"/>
  <c r="AD36" i="2" a="1"/>
  <c r="T30" i="2" a="1"/>
  <c r="Z62" i="2" a="1"/>
  <c r="AB16" i="2" a="1"/>
  <c r="L15" i="2" a="1"/>
  <c r="G28" i="2" a="1"/>
  <c r="AE24" i="2" a="1"/>
  <c r="T36" i="2" a="1"/>
  <c r="AA60" i="2" a="1"/>
  <c r="C48" i="2" a="1"/>
  <c r="R48" i="2" a="1"/>
  <c r="X29" i="2" a="1"/>
  <c r="Y21" i="2" a="1"/>
  <c r="AD9" i="2" a="1"/>
  <c r="Z58" i="2" a="1"/>
  <c r="I36" i="2" a="1"/>
  <c r="L9" i="2" a="1"/>
  <c r="S50" i="2" a="1"/>
  <c r="M23" i="2" a="1"/>
  <c r="AD16" i="2" a="1"/>
  <c r="AF14" i="2" a="1"/>
  <c r="I44" i="2" a="1"/>
  <c r="O33" i="2" a="1"/>
  <c r="R36" i="2" a="1"/>
  <c r="S40" i="2" a="1"/>
  <c r="M10" i="2" a="1"/>
  <c r="AF16" i="2" a="1"/>
  <c r="C31" i="2" a="1"/>
  <c r="S30" i="2" a="1"/>
  <c r="AD22" i="2" a="1"/>
  <c r="T61" i="2" a="1"/>
  <c r="S8" i="2" a="1"/>
  <c r="H26" i="2" a="1"/>
  <c r="U48" i="2" a="1"/>
  <c r="AB43" i="2" a="1"/>
  <c r="V28" i="2" a="1"/>
  <c r="J28" i="2" a="1"/>
  <c r="AA59" i="2" a="1"/>
  <c r="L33" i="2" a="1"/>
  <c r="R40" i="2" a="1"/>
  <c r="R42" i="2" a="1"/>
  <c r="S16" i="2" a="1"/>
  <c r="S14" i="2" a="1"/>
  <c r="G30" i="2" a="1"/>
  <c r="Y17" i="2" a="1"/>
  <c r="Y9" i="2" a="1"/>
  <c r="K58" i="2" a="1"/>
  <c r="AE32" i="2" a="1"/>
  <c r="AD30" i="2" a="1"/>
  <c r="AD24" i="2" a="1"/>
  <c r="H24" i="2" a="1"/>
  <c r="T42" i="2" a="1"/>
  <c r="AF63" i="2" a="1"/>
  <c r="AF10" i="2" a="1"/>
  <c r="AA49" i="2" a="1"/>
  <c r="C47" i="2" a="1"/>
  <c r="C30" i="2" a="1"/>
  <c r="U28" i="2" a="1"/>
  <c r="U24" i="2" a="1"/>
  <c r="I48" i="2" a="1"/>
  <c r="O47" i="2" a="1"/>
  <c r="J42" i="2" a="1"/>
  <c r="L49" i="2" a="1"/>
  <c r="S12" i="2" a="1"/>
  <c r="M45" i="2" a="1"/>
  <c r="H36" i="2" a="1"/>
  <c r="C27" i="2" a="1"/>
  <c r="O35" i="2" a="1"/>
  <c r="J16" i="2" a="1"/>
  <c r="X10" i="2" a="1"/>
  <c r="M17" i="2" a="1"/>
  <c r="AF54" i="2" a="1"/>
  <c r="I18" i="2" a="1"/>
  <c r="AB8" i="2" a="1"/>
  <c r="J32" i="2" a="1"/>
  <c r="X33" i="2" a="1"/>
  <c r="M49" i="2" a="1"/>
  <c r="H22" i="2" a="1"/>
  <c r="C37" i="2" a="1"/>
  <c r="O37" i="2" a="1"/>
  <c r="L21" i="2" a="1"/>
  <c r="S32" i="2" a="1"/>
  <c r="AE44" i="2" a="1"/>
  <c r="H34" i="2" a="1"/>
  <c r="AF50" i="2" a="1"/>
  <c r="C23" i="2" a="1"/>
  <c r="I63" i="2" a="1"/>
  <c r="L13" i="2" a="1"/>
  <c r="M9" i="2" a="1"/>
  <c r="T44" i="2" a="1"/>
  <c r="U27" i="2" a="1"/>
  <c r="Y23" i="2" a="1"/>
  <c r="H42" i="2" a="1"/>
  <c r="I54" i="2" a="1"/>
  <c r="G11" i="2" a="1"/>
  <c r="C45" i="2" a="1"/>
  <c r="D12" i="2" a="1"/>
  <c r="V42" i="2" a="1"/>
  <c r="J24" i="2" a="1"/>
  <c r="R9" i="2" a="1"/>
  <c r="X47" i="2" a="1"/>
  <c r="X12" i="2" a="1"/>
  <c r="S22" i="2" a="1"/>
  <c r="S46" i="2" a="1"/>
  <c r="Y49" i="2" a="1"/>
  <c r="W58" i="2" a="1"/>
  <c r="M13" i="2" a="1"/>
  <c r="AE14" i="2" a="1"/>
  <c r="AE10" i="2" a="1"/>
  <c r="H50" i="2" a="1"/>
  <c r="H48" i="2" a="1"/>
  <c r="T8" i="2" a="1"/>
  <c r="AF22" i="2" a="1"/>
  <c r="AA25" i="2" a="1"/>
  <c r="C54" i="2" a="1"/>
  <c r="C21" i="2" a="1"/>
  <c r="U41" i="2" a="1"/>
  <c r="N62" i="2" a="1"/>
  <c r="I40" i="2" a="1"/>
  <c r="I32" i="2" a="1"/>
  <c r="O45" i="2" a="1"/>
  <c r="O32" i="2" a="1"/>
  <c r="AB29" i="2" a="1"/>
  <c r="V58" i="2" a="1"/>
  <c r="X25" i="2" a="1"/>
  <c r="Y33" i="2" a="1"/>
  <c r="AD44" i="2" a="1"/>
  <c r="AF61" i="2" a="1"/>
  <c r="U26" i="2" a="1"/>
  <c r="V62" i="2" a="1"/>
  <c r="X13" i="2" a="1"/>
  <c r="G48" i="2" a="1"/>
  <c r="AE42" i="2" a="1"/>
  <c r="H14" i="2" a="1"/>
  <c r="AA42" i="2" a="1"/>
  <c r="U44" i="2" a="1"/>
  <c r="O15" i="2" a="1"/>
  <c r="V15" i="2" a="1"/>
  <c r="L10" i="2" a="1"/>
  <c r="Y10" i="2" a="1"/>
  <c r="AD32" i="2" a="1"/>
  <c r="T16" i="2" a="1"/>
  <c r="U40" i="2" a="1"/>
  <c r="C32" i="2" a="1"/>
  <c r="G22" i="2" a="1"/>
  <c r="AE9" i="2" a="1"/>
  <c r="T24" i="2" a="1"/>
  <c r="AA34" i="2" a="1"/>
  <c r="U36" i="2" a="1"/>
  <c r="I37" i="2" a="1"/>
  <c r="X15" i="2" a="1"/>
  <c r="S26" i="2" a="1"/>
  <c r="AE48" i="2" a="1"/>
  <c r="AA61" i="2" a="1"/>
  <c r="R24" i="2" a="1"/>
  <c r="X58" i="2" a="1"/>
  <c r="AF40" i="2" a="1"/>
  <c r="O25" i="2" a="1"/>
  <c r="AE28" i="2" a="1"/>
  <c r="AF32" i="2" a="1"/>
  <c r="O43" i="2" a="1"/>
  <c r="M41" i="2" a="1"/>
  <c r="I65" i="2" a="1"/>
  <c r="C65" i="2" a="1"/>
  <c r="AA64" i="2" a="1"/>
  <c r="P63" i="2" a="1"/>
  <c r="P61" i="2" a="1"/>
  <c r="P46" i="2" a="1"/>
  <c r="P48" i="2" a="1"/>
  <c r="D52" i="2" a="1"/>
  <c r="D34" i="2" a="1"/>
  <c r="D49" i="2" a="1"/>
  <c r="D24" i="2" a="1"/>
  <c r="AB18" i="2" a="1"/>
  <c r="AB60" i="2" a="1"/>
  <c r="AB49" i="2" a="1"/>
  <c r="AB36" i="2" a="1"/>
  <c r="V60" i="2" a="1"/>
  <c r="V21" i="2" a="1"/>
  <c r="V37" i="2" a="1"/>
  <c r="P65" i="2" a="1"/>
  <c r="Q16" i="2" a="1"/>
  <c r="Q50" i="2" a="1"/>
  <c r="Q47" i="2" a="1"/>
  <c r="J64" i="2" a="1"/>
  <c r="J52" i="2" a="1"/>
  <c r="J49" i="2" a="1"/>
  <c r="J41" i="2" a="1"/>
  <c r="J33" i="2" a="1"/>
  <c r="AB62" i="2" a="1"/>
  <c r="AC37" i="2" a="1"/>
  <c r="AC50" i="2" a="1"/>
  <c r="AC63" i="2" a="1"/>
  <c r="AC47" i="2" a="1"/>
  <c r="AB64" i="2" a="1"/>
  <c r="W28" i="2" a="1"/>
  <c r="W42" i="2" a="1"/>
  <c r="W34" i="2" a="1"/>
  <c r="P66" i="2" a="1"/>
  <c r="E9" i="2" a="1"/>
  <c r="E13" i="2" a="1"/>
  <c r="E15" i="2" a="1"/>
  <c r="E52" i="2" a="1"/>
  <c r="K59" i="2" a="1"/>
  <c r="K46" i="2" a="1"/>
  <c r="K40" i="2" a="1"/>
  <c r="K49" i="2" a="1"/>
  <c r="K24" i="2" a="1"/>
  <c r="AC59" i="2" a="1"/>
  <c r="AB44" i="2" a="1"/>
  <c r="V48" i="2" a="1"/>
  <c r="Q54" i="2" a="1"/>
  <c r="Q12" i="2" a="1"/>
  <c r="J45" i="2" a="1"/>
  <c r="J48" i="2" a="1"/>
  <c r="AC44" i="2" a="1"/>
  <c r="AB65" i="2" a="1"/>
  <c r="W17" i="2" a="1"/>
  <c r="E27" i="2" a="1"/>
  <c r="Q58" i="2" a="1"/>
  <c r="K48" i="2" a="1"/>
  <c r="AC66" i="2" a="1"/>
  <c r="V49" i="2" a="1"/>
  <c r="Q14" i="2" a="1"/>
  <c r="V64" i="2" a="1"/>
  <c r="J43" i="2" a="1"/>
  <c r="AC49" i="2" a="1"/>
  <c r="W13" i="2" a="1"/>
  <c r="E62" i="2" a="1"/>
  <c r="E40" i="2" a="1"/>
  <c r="K60" i="2" a="1"/>
  <c r="AC64" i="2" a="1"/>
  <c r="E31" i="2" a="1"/>
  <c r="AC62" i="2" a="1"/>
  <c r="AC58" i="2" a="1"/>
  <c r="AB26" i="2" a="1"/>
  <c r="P64" i="2" a="1"/>
  <c r="J65" i="2" a="1"/>
  <c r="J17" i="2" a="1"/>
  <c r="AC11" i="2" a="1"/>
  <c r="AC36" i="2" a="1"/>
  <c r="W61" i="2" a="1"/>
  <c r="E32" i="2" a="1"/>
  <c r="E49" i="2" a="1"/>
  <c r="K28" i="2" a="1"/>
  <c r="V29" i="2" a="1"/>
  <c r="Q25" i="2" a="1"/>
  <c r="J37" i="2" a="1"/>
  <c r="AC60" i="2" a="1"/>
  <c r="D59" i="2" a="1"/>
  <c r="W23" i="2" a="1"/>
  <c r="K66" i="2" a="1"/>
  <c r="E66" i="2" a="1"/>
  <c r="K54" i="2" a="1"/>
  <c r="Q64" i="2" a="1"/>
  <c r="I64" i="2" a="1"/>
  <c r="C64" i="2" a="1"/>
  <c r="AA65" i="2" a="1"/>
  <c r="P26" i="2" a="1"/>
  <c r="P44" i="2" a="1"/>
  <c r="P32" i="2" a="1"/>
  <c r="P24" i="2" a="1"/>
  <c r="D36" i="2" a="1"/>
  <c r="D28" i="2" a="1"/>
  <c r="D48" i="2" a="1"/>
  <c r="D22" i="2" a="1"/>
  <c r="AB47" i="2" a="1"/>
  <c r="AB50" i="2" a="1"/>
  <c r="V25" i="2" a="1"/>
  <c r="V41" i="2" a="1"/>
  <c r="Q52" i="2" a="1"/>
  <c r="J23" i="2" a="1"/>
  <c r="AB58" i="2" a="1"/>
  <c r="AC9" i="2" a="1"/>
  <c r="W60" i="2" a="1"/>
  <c r="P59" i="2" a="1"/>
  <c r="E61" i="2" a="1"/>
  <c r="K42" i="2" a="1"/>
  <c r="K22" i="2" a="1"/>
  <c r="AB34" i="2" a="1"/>
  <c r="Q26" i="2" a="1"/>
  <c r="J47" i="2" a="1"/>
  <c r="AB59" i="2" a="1"/>
  <c r="AC28" i="2" a="1"/>
  <c r="W16" i="2" a="1"/>
  <c r="E60" i="2" a="1"/>
  <c r="E47" i="2" a="1"/>
  <c r="W66" i="2" a="1"/>
  <c r="K63" i="2" a="1"/>
  <c r="W22" i="2" a="1"/>
  <c r="K52" i="2" a="1"/>
  <c r="K14" i="2" a="1"/>
  <c r="K12" i="2" a="1"/>
  <c r="O58" i="2" a="1"/>
  <c r="O64" i="2" a="1"/>
  <c r="O66" i="2" a="1"/>
  <c r="P40" i="2" a="1"/>
  <c r="P50" i="2" a="1"/>
  <c r="P52" i="2" a="1"/>
  <c r="P18" i="2" a="1"/>
  <c r="D26" i="2" a="1"/>
  <c r="D40" i="2" a="1"/>
  <c r="D60" i="2" a="1"/>
  <c r="D44" i="2" a="1"/>
  <c r="AB30" i="2" a="1"/>
  <c r="AB22" i="2" a="1"/>
  <c r="V35" i="2" a="1"/>
  <c r="V27" i="2" a="1"/>
  <c r="Q27" i="2" a="1"/>
  <c r="J15" i="2" a="1"/>
  <c r="W29" i="2" a="1"/>
  <c r="K41" i="2" a="1"/>
  <c r="E48" i="2" a="1"/>
  <c r="V50" i="2" a="1"/>
  <c r="Q24" i="2" a="1"/>
  <c r="J63" i="2" a="1"/>
  <c r="J60" i="2" a="1"/>
  <c r="AC43" i="2" a="1"/>
  <c r="AC31" i="2" a="1"/>
  <c r="D66" i="2" a="1"/>
  <c r="W50" i="2" a="1"/>
  <c r="W52" i="2" a="1"/>
  <c r="E37" i="2" a="1"/>
  <c r="E30" i="2" a="1"/>
  <c r="W59" i="2" a="1"/>
  <c r="K61" i="2" a="1"/>
  <c r="K32" i="2" a="1"/>
  <c r="AC65" i="2" a="1"/>
  <c r="V59" i="2" a="1"/>
  <c r="J25" i="2" a="1"/>
  <c r="AC52" i="2" a="1"/>
  <c r="AC16" i="2" a="1"/>
  <c r="W44" i="2" a="1"/>
  <c r="E7" i="2" a="1"/>
  <c r="K33" i="2" a="1"/>
  <c r="O62" i="2" a="1"/>
  <c r="O65" i="2" a="1"/>
  <c r="O59" i="2" a="1"/>
  <c r="P47" i="2" a="1"/>
  <c r="P49" i="2" a="1"/>
  <c r="P42" i="2" a="1"/>
  <c r="P36" i="2" a="1"/>
  <c r="D14" i="2" a="1"/>
  <c r="D61" i="2" a="1"/>
  <c r="D46" i="2" a="1"/>
  <c r="D32" i="2" a="1"/>
  <c r="AB61" i="2" a="1"/>
  <c r="AB40" i="2" a="1"/>
  <c r="AB48" i="2" a="1"/>
  <c r="V31" i="2" a="1"/>
  <c r="V63" i="2" a="1"/>
  <c r="V33" i="2" a="1"/>
  <c r="Q63" i="2" a="1"/>
  <c r="Q18" i="2" a="1"/>
  <c r="Q23" i="2" a="1"/>
  <c r="V65" i="2" a="1"/>
  <c r="J50" i="2" a="1"/>
  <c r="J31" i="2" a="1"/>
  <c r="AB66" i="2" a="1"/>
  <c r="AC15" i="2" a="1"/>
  <c r="W49" i="2" a="1"/>
  <c r="W21" i="2" a="1"/>
  <c r="E58" i="2" a="1"/>
  <c r="E54" i="2" a="1"/>
  <c r="Q62" i="2" a="1"/>
  <c r="K11" i="2" a="1"/>
  <c r="E59" i="2" a="1"/>
  <c r="Q61" i="2" a="1"/>
  <c r="J61" i="2" a="1"/>
  <c r="AC35" i="2" a="1"/>
  <c r="D64" i="2" a="1"/>
  <c r="W63" i="2" a="1"/>
  <c r="E63" i="2" a="1"/>
  <c r="K27" i="2" a="1"/>
  <c r="Q65" i="2" a="1"/>
  <c r="AA62" i="2" a="1"/>
  <c r="C59" i="2" a="1"/>
  <c r="U65" i="2" a="1"/>
  <c r="P28" i="2" a="1"/>
  <c r="P34" i="2" a="1"/>
  <c r="P54" i="2" a="1"/>
  <c r="J66" i="2" a="1"/>
  <c r="D18" i="2" a="1"/>
  <c r="D50" i="2" a="1"/>
  <c r="D42" i="2" a="1"/>
  <c r="AB46" i="2" a="1"/>
  <c r="AB52" i="2" a="1"/>
  <c r="AB24" i="2" a="1"/>
  <c r="AB63" i="2" a="1"/>
  <c r="V54" i="2" a="1"/>
  <c r="V61" i="2" a="1"/>
  <c r="V23" i="2" a="1"/>
  <c r="V52" i="2" a="1"/>
  <c r="Q33" i="2" a="1"/>
  <c r="Q49" i="2" a="1"/>
  <c r="Q41" i="2" a="1"/>
  <c r="J54" i="2" a="1"/>
  <c r="D58" i="2" a="1"/>
  <c r="AC29" i="2" a="1"/>
  <c r="W35" i="2" a="1"/>
  <c r="E46" i="2" a="1"/>
  <c r="K50" i="2" a="1"/>
  <c r="AA58" i="2" a="1"/>
  <c r="C66" i="2" a="1"/>
  <c r="U64" i="2" a="1"/>
  <c r="P60" i="2" a="1"/>
  <c r="P22" i="2" a="1"/>
  <c r="P30" i="2" a="1"/>
  <c r="J59" i="2" a="1"/>
  <c r="D30" i="2" a="1"/>
  <c r="D63" i="2" a="1"/>
  <c r="D54" i="2" a="1"/>
  <c r="AB54" i="2" a="1"/>
  <c r="AB32" i="2" a="1"/>
  <c r="AB42" i="2" a="1"/>
  <c r="AB28" i="2" a="1"/>
  <c r="V47" i="2" a="1"/>
  <c r="V43" i="2" a="1"/>
  <c r="V45" i="2" a="1"/>
  <c r="V17" i="2" a="1"/>
  <c r="Q32" i="2" a="1"/>
  <c r="Q60" i="2" a="1"/>
  <c r="Q10" i="2" a="1"/>
  <c r="Q9" i="2" a="1"/>
  <c r="V66" i="2" a="1"/>
  <c r="J29" i="2" a="1"/>
  <c r="J27" i="2" a="1"/>
  <c r="J35" i="2" a="1"/>
  <c r="D62" i="2" a="1"/>
  <c r="AC8" i="2" a="1"/>
  <c r="AC54" i="2" a="1"/>
  <c r="AC61" i="2" a="1"/>
  <c r="AC30" i="2" a="1"/>
  <c r="D65" i="2" a="1"/>
  <c r="W47" i="2" a="1"/>
  <c r="W18" i="2" a="1"/>
  <c r="W54" i="2" a="1"/>
  <c r="W48" i="2" a="1"/>
  <c r="E50" i="2" a="1"/>
  <c r="E45" i="2" a="1"/>
  <c r="E8" i="2" a="1"/>
  <c r="K31" i="2" a="1"/>
  <c r="S33" i="2" a="1"/>
  <c r="S41" i="2" a="1"/>
  <c r="S49" i="2" a="1"/>
  <c r="S63" i="2" a="1"/>
  <c r="W64" i="2" a="1"/>
  <c r="AD29" i="2" a="1"/>
  <c r="AD50" i="2" a="1"/>
  <c r="AD33" i="2" a="1"/>
  <c r="E64" i="2" a="1"/>
  <c r="F43" i="2" a="1"/>
  <c r="F60" i="2" a="1"/>
  <c r="F21" i="2" a="1"/>
  <c r="Q66" i="2" a="1"/>
  <c r="G31" i="2" a="1"/>
  <c r="G17" i="2" a="1"/>
  <c r="G35" i="2" a="1"/>
  <c r="G54" i="2" a="1"/>
  <c r="F58" i="2" a="1"/>
  <c r="L61" i="2" a="1"/>
  <c r="L52" i="2" a="1"/>
  <c r="L48" i="2" a="1"/>
  <c r="R41" i="2" a="1"/>
  <c r="R52" i="2" a="1"/>
  <c r="R63" i="2" a="1"/>
  <c r="R47" i="2" a="1"/>
  <c r="X24" i="2" a="1"/>
  <c r="X34" i="2" a="1"/>
  <c r="X14" i="2" a="1"/>
  <c r="X30" i="2" a="1"/>
  <c r="AE47" i="2" a="1"/>
  <c r="AE60" i="2" a="1"/>
  <c r="AE63" i="2" a="1"/>
  <c r="AE45" i="2" a="1"/>
  <c r="X59" i="2" a="1"/>
  <c r="F59" i="2" a="1"/>
  <c r="AD66" i="2" a="1"/>
  <c r="AF43" i="2" a="1"/>
  <c r="AF11" i="2" a="1"/>
  <c r="AF35" i="2" a="1"/>
  <c r="AF49" i="2" a="1"/>
  <c r="AE29" i="2" a="1"/>
  <c r="AD59" i="2" a="1"/>
  <c r="AF15" i="2" a="1"/>
  <c r="F62" i="2" a="1"/>
  <c r="R49" i="2" a="1"/>
  <c r="R37" i="2" a="1"/>
  <c r="X52" i="2" a="1"/>
  <c r="X42" i="2" a="1"/>
  <c r="AE23" i="2" a="1"/>
  <c r="AE33" i="2" a="1"/>
  <c r="F66" i="2" a="1"/>
  <c r="AF13" i="2" a="1"/>
  <c r="AD65" i="2" a="1"/>
  <c r="S54" i="2" a="1"/>
  <c r="S47" i="2" a="1"/>
  <c r="S29" i="2" a="1"/>
  <c r="S52" i="2" a="1"/>
  <c r="W65" i="2" a="1"/>
  <c r="AD21" i="2" a="1"/>
  <c r="AD60" i="2" a="1"/>
  <c r="AD31" i="2" a="1"/>
  <c r="E65" i="2" a="1"/>
  <c r="F25" i="2" a="1"/>
  <c r="F52" i="2" a="1"/>
  <c r="F29" i="2" a="1"/>
  <c r="Q59" i="2" a="1"/>
  <c r="G23" i="2" a="1"/>
  <c r="G33" i="2" a="1"/>
  <c r="G45" i="2" a="1"/>
  <c r="G15" i="2" a="1"/>
  <c r="L32" i="2" a="1"/>
  <c r="L44" i="2" a="1"/>
  <c r="L16" i="2" a="1"/>
  <c r="R15" i="2" a="1"/>
  <c r="R13" i="2" a="1"/>
  <c r="X40" i="2" a="1"/>
  <c r="X32" i="2" a="1"/>
  <c r="AE15" i="2" a="1"/>
  <c r="X66" i="2" a="1"/>
  <c r="AF41" i="2" a="1"/>
  <c r="X65" i="2" a="1"/>
  <c r="M66" i="2" a="1"/>
  <c r="R25" i="2" a="1"/>
  <c r="X60" i="2" a="1"/>
  <c r="AE43" i="2" a="1"/>
  <c r="Y59" i="2" a="1"/>
  <c r="AF7" i="2" a="1"/>
  <c r="AF29" i="2" a="1"/>
  <c r="S13" i="2" a="1"/>
  <c r="S25" i="2" a="1"/>
  <c r="S23" i="2" a="1"/>
  <c r="S61" i="2" a="1"/>
  <c r="AD41" i="2" a="1"/>
  <c r="AD52" i="2" a="1"/>
  <c r="AD13" i="2" a="1"/>
  <c r="AD43" i="2" a="1"/>
  <c r="F47" i="2" a="1"/>
  <c r="F33" i="2" a="1"/>
  <c r="F35" i="2" a="1"/>
  <c r="F61" i="2" a="1"/>
  <c r="K64" i="2" a="1"/>
  <c r="G52" i="2" a="1"/>
  <c r="G27" i="2" a="1"/>
  <c r="G63" i="2" a="1"/>
  <c r="L66" i="2" a="1"/>
  <c r="L40" i="2" a="1"/>
  <c r="L28" i="2" a="1"/>
  <c r="L63" i="2" a="1"/>
  <c r="L42" i="2" a="1"/>
  <c r="R35" i="2" a="1"/>
  <c r="R27" i="2" a="1"/>
  <c r="R21" i="2" a="1"/>
  <c r="R17" i="2" a="1"/>
  <c r="X63" i="2" a="1"/>
  <c r="X46" i="2" a="1"/>
  <c r="X18" i="2" a="1"/>
  <c r="R58" i="2" a="1"/>
  <c r="AE54" i="2" a="1"/>
  <c r="AE35" i="2" a="1"/>
  <c r="AE49" i="2" a="1"/>
  <c r="AE27" i="2" a="1"/>
  <c r="Y66" i="2" a="1"/>
  <c r="AF27" i="2" a="1"/>
  <c r="AF21" i="2" a="1"/>
  <c r="AF60" i="2" a="1"/>
  <c r="AF33" i="2" a="1"/>
  <c r="L14" i="2" a="1"/>
  <c r="R43" i="2" a="1"/>
  <c r="X22" i="2" a="1"/>
  <c r="AE13" i="2" a="1"/>
  <c r="AF25" i="2" a="1"/>
  <c r="R65" i="2" a="1"/>
  <c r="G61" i="2" a="1"/>
  <c r="L60" i="2" a="1"/>
  <c r="R33" i="2" a="1"/>
  <c r="R23" i="2" a="1"/>
  <c r="R62" i="2" a="1"/>
  <c r="AE25" i="2" a="1"/>
  <c r="AF17" i="2" a="1"/>
  <c r="AF37" i="2" a="1"/>
  <c r="AF23" i="2" a="1"/>
  <c r="S60" i="2" a="1"/>
  <c r="S21" i="2" a="1"/>
  <c r="S37" i="2" a="1"/>
  <c r="S31" i="2" a="1"/>
  <c r="AD23" i="2" a="1"/>
  <c r="AD15" i="2" a="1"/>
  <c r="AD61" i="2" a="1"/>
  <c r="AD27" i="2" a="1"/>
  <c r="F27" i="2" a="1"/>
  <c r="F17" i="2" a="1"/>
  <c r="F31" i="2" a="1"/>
  <c r="F45" i="2" a="1"/>
  <c r="K65" i="2" a="1"/>
  <c r="G29" i="2" a="1"/>
  <c r="G25" i="2" a="1"/>
  <c r="L59" i="2" a="1"/>
  <c r="L46" i="2" a="1"/>
  <c r="L24" i="2" a="1"/>
  <c r="X48" i="2" a="1"/>
  <c r="AE41" i="2" a="1"/>
  <c r="X64" i="2" a="1"/>
  <c r="M59" i="2" a="1"/>
  <c r="G37" i="2" a="1"/>
  <c r="R31" i="2" a="1"/>
  <c r="X28" i="2" a="1"/>
  <c r="AE61" i="2" a="1"/>
  <c r="AE31" i="2" a="1"/>
  <c r="AF52" i="2" a="1"/>
  <c r="S17" i="2" a="1"/>
  <c r="S43" i="2" a="1"/>
  <c r="S35" i="2" a="1"/>
  <c r="R66" i="2" a="1"/>
  <c r="AD49" i="2" a="1"/>
  <c r="AD63" i="2" a="1"/>
  <c r="AD37" i="2" a="1"/>
  <c r="AD17" i="2" a="1"/>
  <c r="F49" i="2" a="1"/>
  <c r="F41" i="2" a="1"/>
  <c r="F15" i="2" a="1"/>
  <c r="F63" i="2" a="1"/>
  <c r="G60" i="2" a="1"/>
  <c r="G41" i="2" a="1"/>
  <c r="G49" i="2" a="1"/>
  <c r="AE62" i="2" a="1"/>
  <c r="L36" i="2" a="1"/>
  <c r="L22" i="2" a="1"/>
  <c r="L18" i="2" a="1"/>
  <c r="L30" i="2" a="1"/>
  <c r="R45" i="2" a="1"/>
  <c r="R54" i="2" a="1"/>
  <c r="X50" i="2" a="1"/>
  <c r="X36" i="2" a="1"/>
  <c r="X61" i="2" a="1"/>
  <c r="F65" i="2" a="1"/>
  <c r="AE21" i="2" a="1"/>
  <c r="AD58" i="2" a="1"/>
  <c r="L65" i="2" a="1"/>
  <c r="S15" i="2" a="1"/>
  <c r="S45" i="2" a="1"/>
  <c r="S27" i="2" a="1"/>
  <c r="R59" i="2" a="1"/>
  <c r="AD25" i="2" a="1"/>
  <c r="AD45" i="2" a="1"/>
  <c r="AD35" i="2" a="1"/>
  <c r="AD47" i="2" a="1"/>
  <c r="F37" i="2" a="1"/>
  <c r="F54" i="2" a="1"/>
  <c r="F23" i="2" a="1"/>
  <c r="F48" i="2" a="1"/>
  <c r="G13" i="2" a="1"/>
  <c r="G43" i="2" a="1"/>
  <c r="G47" i="2" a="1"/>
  <c r="G21" i="2" a="1"/>
  <c r="AE58" i="2" a="1"/>
  <c r="L34" i="2" a="1"/>
  <c r="L50" i="2" a="1"/>
  <c r="L54" i="2" a="1"/>
  <c r="L26" i="2" a="1"/>
  <c r="R60" i="2" a="1"/>
  <c r="R29" i="2" a="1"/>
  <c r="R61" i="2" a="1"/>
  <c r="X54" i="2" a="1"/>
  <c r="X26" i="2" a="1"/>
  <c r="X44" i="2" a="1"/>
  <c r="X16" i="2" a="1"/>
  <c r="F64" i="2" a="1"/>
  <c r="AE37" i="2" a="1"/>
  <c r="AE52" i="2" a="1"/>
  <c r="AE17" i="2" a="1"/>
  <c r="AD62" i="2" a="1"/>
  <c r="L64" i="2" a="1"/>
  <c r="R64" i="2" a="1"/>
  <c r="AF31" i="2" a="1"/>
  <c r="AF47" i="2" a="1"/>
  <c r="AD64" i="2" a="1"/>
  <c r="AF9" i="2" a="1"/>
  <c r="AF45" i="2" a="1"/>
  <c r="Y28" i="2" a="1"/>
  <c r="Y50" i="2" a="1"/>
  <c r="Y34" i="2" a="1"/>
  <c r="Y14" i="2" a="1"/>
  <c r="M61" i="2" a="1"/>
  <c r="M44" i="2" a="1"/>
  <c r="M42" i="2" a="1"/>
  <c r="M34" i="2" a="1"/>
  <c r="T52" i="2" a="1"/>
  <c r="T41" i="2" a="1"/>
  <c r="T43" i="2" a="1"/>
  <c r="G65" i="2" a="1"/>
  <c r="Z10" i="2" a="1"/>
  <c r="Z44" i="2" a="1"/>
  <c r="Z54" i="2" a="1"/>
  <c r="Z8" i="2" a="1"/>
  <c r="Z47" i="2" a="1"/>
  <c r="Z33" i="2" a="1"/>
  <c r="Z11" i="2" a="1"/>
  <c r="N60" i="2" a="1"/>
  <c r="N25" i="2" a="1"/>
  <c r="N17" i="2" a="1"/>
  <c r="N43" i="2" a="1"/>
  <c r="N42" i="2" a="1"/>
  <c r="N46" i="2" a="1"/>
  <c r="N34" i="2" a="1"/>
  <c r="T65" i="2" a="1"/>
  <c r="H47" i="2" a="1"/>
  <c r="H35" i="2" a="1"/>
  <c r="H31" i="2" a="1"/>
  <c r="M28" i="2" a="1"/>
  <c r="T49" i="2" a="1"/>
  <c r="Z36" i="2" a="1"/>
  <c r="Z21" i="2" a="1"/>
  <c r="Z60" i="2" a="1"/>
  <c r="N31" i="2" a="1"/>
  <c r="N61" i="2" a="1"/>
  <c r="N32" i="2" a="1"/>
  <c r="H33" i="2" a="1"/>
  <c r="Y46" i="2" a="1"/>
  <c r="M52" i="2" a="1"/>
  <c r="T7" i="2" a="1"/>
  <c r="T29" i="2" a="1"/>
  <c r="Z30" i="2" a="1"/>
  <c r="Z32" i="2" a="1"/>
  <c r="Z45" i="2" a="1"/>
  <c r="Z49" i="2" a="1"/>
  <c r="N35" i="2" a="1"/>
  <c r="N44" i="2" a="1"/>
  <c r="N10" i="2" a="1"/>
  <c r="H15" i="2" a="1"/>
  <c r="M46" i="2" a="1"/>
  <c r="T60" i="2" a="1"/>
  <c r="Z28" i="2" a="1"/>
  <c r="Z29" i="2" a="1"/>
  <c r="N23" i="2" a="1"/>
  <c r="N26" i="2" a="1"/>
  <c r="H9" i="2" a="1"/>
  <c r="T27" i="2" a="1"/>
  <c r="N49" i="2" a="1"/>
  <c r="H21" i="2" a="1"/>
  <c r="Y30" i="2" a="1"/>
  <c r="Z61" i="2" a="1"/>
  <c r="N45" i="2" a="1"/>
  <c r="N36" i="2" a="1"/>
  <c r="M24" i="2" a="1"/>
  <c r="Z31" i="2" a="1"/>
  <c r="N16" i="2" a="1"/>
  <c r="Y54" i="2" a="1"/>
  <c r="Y22" i="2" a="1"/>
  <c r="Y42" i="2" a="1"/>
  <c r="Y40" i="2" a="1"/>
  <c r="M48" i="2" a="1"/>
  <c r="M16" i="2" a="1"/>
  <c r="T37" i="2" a="1"/>
  <c r="Z34" i="2" a="1"/>
  <c r="N37" i="2" a="1"/>
  <c r="T64" i="2" a="1"/>
  <c r="Y26" i="2" a="1"/>
  <c r="T15" i="2" a="1"/>
  <c r="N27" i="2" a="1"/>
  <c r="H45" i="2" a="1"/>
  <c r="T33" i="2" a="1"/>
  <c r="Z27" i="2" a="1"/>
  <c r="H29" i="2" a="1"/>
  <c r="T21" i="2" a="1"/>
  <c r="N48" i="2" a="1"/>
  <c r="Y44" i="2" a="1"/>
  <c r="Y32" i="2" a="1"/>
  <c r="Y60" i="2" a="1"/>
  <c r="Y36" i="2" a="1"/>
  <c r="T31" i="2" a="1"/>
  <c r="Z46" i="2" a="1"/>
  <c r="N21" i="2" a="1"/>
  <c r="M50" i="2" a="1"/>
  <c r="T23" i="2" a="1"/>
  <c r="Z26" i="2" a="1"/>
  <c r="Z18" i="2" a="1"/>
  <c r="Z25" i="2" a="1"/>
  <c r="Z35" i="2" a="1"/>
  <c r="N41" i="2" a="1"/>
  <c r="N13" i="2" a="1"/>
  <c r="N50" i="2" a="1"/>
  <c r="N14" i="2" a="1"/>
  <c r="N40" i="2" a="1"/>
  <c r="H37" i="2" a="1"/>
  <c r="H17" i="2" a="1"/>
  <c r="M12" i="2" a="1"/>
  <c r="M22" i="2" a="1"/>
  <c r="T45" i="2" a="1"/>
  <c r="Z22" i="2" a="1"/>
  <c r="Z17" i="2" a="1"/>
  <c r="N8" i="2" a="1"/>
  <c r="N30" i="2" a="1"/>
  <c r="N22" i="2" a="1"/>
  <c r="H23" i="2" a="1"/>
  <c r="Y12" i="2" a="1"/>
  <c r="Y18" i="2" a="1"/>
  <c r="Y48" i="2" a="1"/>
  <c r="M40" i="2" a="1"/>
  <c r="M30" i="2" a="1"/>
  <c r="M26" i="2" a="1"/>
  <c r="T17" i="2" a="1"/>
  <c r="T35" i="2" a="1"/>
  <c r="T13" i="2" a="1"/>
  <c r="Z50" i="2" a="1"/>
  <c r="Z16" i="2" a="1"/>
  <c r="Z9" i="2" a="1"/>
  <c r="N11" i="2" a="1"/>
  <c r="N7" i="2" a="1"/>
  <c r="N28" i="2" a="1"/>
  <c r="H49" i="2" a="1"/>
  <c r="H27" i="2" a="1"/>
  <c r="Y24" i="2" a="1"/>
  <c r="M63" i="2" a="1"/>
  <c r="T25" i="2" a="1"/>
  <c r="Z40" i="2" a="1"/>
  <c r="Z14" i="2" a="1"/>
  <c r="Z15" i="2" a="1"/>
  <c r="N29" i="2" a="1"/>
  <c r="N12" i="2" a="1"/>
  <c r="H61" i="2" a="1"/>
  <c r="T47" i="2" a="1"/>
  <c r="N52" i="2" a="1"/>
  <c r="N63" i="2" a="1"/>
  <c r="H43" i="2" a="1"/>
  <c r="Y16" i="2" a="1"/>
  <c r="Y63" i="2" a="1"/>
  <c r="M14" i="2" a="1"/>
  <c r="T9" i="2" a="1"/>
  <c r="Z48" i="2" a="1"/>
  <c r="Z52" i="2" a="1"/>
  <c r="N9" i="2" a="1"/>
  <c r="H25" i="2" a="1"/>
  <c r="H41" i="2" a="1"/>
  <c r="S65" i="2" a="1"/>
  <c r="M54" i="2" a="1"/>
  <c r="G64" i="2" a="1"/>
  <c r="Z24" i="2" a="1"/>
  <c r="Z41" i="2" a="1"/>
  <c r="Z23" i="2" a="1"/>
  <c r="N33" i="2" a="1"/>
  <c r="N54" i="2" a="1"/>
  <c r="H11" i="2" a="1"/>
  <c r="S64" i="2" a="1"/>
  <c r="Y61" i="2" a="1"/>
  <c r="M18" i="2" a="1"/>
  <c r="M32" i="2" a="1"/>
  <c r="T11" i="2" a="1"/>
  <c r="Z12" i="2" a="1"/>
  <c r="Z37" i="2" a="1"/>
  <c r="Z13" i="2" a="1"/>
  <c r="N18" i="2" a="1"/>
  <c r="H52" i="2" a="1"/>
  <c r="H13" i="2" a="1"/>
  <c r="M36" i="2" a="1"/>
  <c r="Z42" i="2" a="1"/>
  <c r="Z63" i="2" a="1"/>
  <c r="Z43" i="2" a="1"/>
  <c r="N47" i="2" a="1"/>
  <c r="N24" i="2" a="1"/>
  <c r="H60" i="2" a="1"/>
  <c r="N64" i="2" a="1"/>
  <c r="T62" i="2" a="1"/>
  <c r="H58" i="2" a="1"/>
  <c r="AF62" i="2" a="1"/>
  <c r="T59" i="2" a="1"/>
  <c r="S58" i="2" a="1"/>
  <c r="T58" i="2" a="1"/>
  <c r="AF58" i="2" a="1"/>
  <c r="AF65" i="2" a="1"/>
  <c r="G59" i="2" a="1"/>
  <c r="M64" i="2" a="1"/>
  <c r="N59" i="2" a="1"/>
  <c r="H62" i="2" a="1"/>
  <c r="H65" i="2" a="1"/>
  <c r="AF59" i="2" a="1"/>
  <c r="H59" i="2" a="1"/>
  <c r="S59" i="2" a="1"/>
  <c r="AE59" i="2" a="1"/>
  <c r="G58" i="2" a="1"/>
  <c r="S62" i="2" a="1"/>
  <c r="G62" i="2" a="1"/>
  <c r="M65" i="2" a="1"/>
  <c r="Y64" i="2" a="1"/>
  <c r="N66" i="2" a="1"/>
  <c r="AE65" i="2" a="1"/>
  <c r="Z59" i="2" a="1"/>
  <c r="G66" i="2" a="1"/>
  <c r="Z64" i="2" a="1"/>
  <c r="Y65" i="2" a="1"/>
  <c r="AE64" i="2" a="1"/>
  <c r="Z66" i="2" a="1"/>
  <c r="Z65" i="2" a="1"/>
  <c r="S66" i="2" a="1"/>
  <c r="AE66" i="2" a="1"/>
  <c r="H64" i="2" a="1"/>
  <c r="AF66" i="2" a="1"/>
  <c r="N65" i="2" a="1"/>
  <c r="H66" i="2" a="1"/>
  <c r="T66" i="2" a="1"/>
  <c r="AF64" i="2" a="1"/>
  <c r="P12" i="2" l="1"/>
  <c r="I47" i="2"/>
  <c r="H10" i="2"/>
  <c r="AA44" i="2"/>
  <c r="O24" i="2"/>
  <c r="AA26" i="2"/>
  <c r="W31" i="2"/>
  <c r="Q36" i="2"/>
  <c r="I14" i="2"/>
  <c r="W30" i="2"/>
  <c r="Q42" i="2"/>
  <c r="U47" i="2"/>
  <c r="I21" i="2"/>
  <c r="E44" i="2"/>
  <c r="AA14" i="2"/>
  <c r="I27" i="2"/>
  <c r="U12" i="2"/>
  <c r="P10" i="2"/>
  <c r="Q21" i="2"/>
  <c r="E43" i="2"/>
  <c r="AA10" i="2"/>
  <c r="Q13" i="2"/>
  <c r="O11" i="2"/>
  <c r="K36" i="2"/>
  <c r="AA32" i="2"/>
  <c r="O16" i="2"/>
  <c r="P7" i="2"/>
  <c r="I25" i="2"/>
  <c r="W26" i="2"/>
  <c r="I29" i="2"/>
  <c r="U21" i="2"/>
  <c r="P45" i="2"/>
  <c r="U49" i="2"/>
  <c r="P27" i="2"/>
  <c r="I43" i="2"/>
  <c r="Z7" i="2"/>
  <c r="U13" i="2"/>
  <c r="P29" i="2"/>
  <c r="Q34" i="2"/>
  <c r="E24" i="2"/>
  <c r="AA50" i="2"/>
  <c r="O26" i="2"/>
  <c r="U14" i="2"/>
  <c r="Q37" i="2"/>
  <c r="O36" i="2"/>
  <c r="U29" i="2"/>
  <c r="G9" i="2"/>
  <c r="P9" i="2"/>
  <c r="AA46" i="2"/>
  <c r="Q35" i="2"/>
  <c r="O50" i="2"/>
  <c r="K13" i="2"/>
  <c r="U62" i="2"/>
  <c r="P35" i="2"/>
  <c r="AA16" i="2"/>
  <c r="Q17" i="2"/>
  <c r="O22" i="2"/>
  <c r="K29" i="2"/>
  <c r="AC45" i="2"/>
  <c r="P21" i="2"/>
  <c r="AA36" i="2"/>
  <c r="Q7" i="2"/>
  <c r="I13" i="2"/>
  <c r="O30" i="2"/>
  <c r="K43" i="2"/>
  <c r="K45" i="2"/>
  <c r="W40" i="2"/>
  <c r="M15" i="2"/>
  <c r="P8" i="2"/>
  <c r="AA22" i="2"/>
  <c r="Q46" i="2"/>
  <c r="I49" i="2"/>
  <c r="O34" i="2"/>
  <c r="U7" i="2"/>
  <c r="K17" i="2"/>
  <c r="W46" i="2"/>
  <c r="W14" i="2"/>
  <c r="AC24" i="2"/>
  <c r="P14" i="2"/>
  <c r="P11" i="2"/>
  <c r="AA18" i="2"/>
  <c r="Q15" i="2"/>
  <c r="Q44" i="2"/>
  <c r="I15" i="2"/>
  <c r="I11" i="2"/>
  <c r="O63" i="2"/>
  <c r="U11" i="2"/>
  <c r="K34" i="2"/>
  <c r="K9" i="2"/>
  <c r="W45" i="2"/>
  <c r="E16" i="2"/>
  <c r="K10" i="2"/>
  <c r="K18" i="2"/>
  <c r="K21" i="2"/>
  <c r="W7" i="2"/>
  <c r="N15" i="2"/>
  <c r="E14" i="2"/>
  <c r="E42" i="2"/>
  <c r="E26" i="2"/>
  <c r="Q48" i="2"/>
  <c r="AC17" i="2"/>
  <c r="AC23" i="2"/>
  <c r="AC27" i="2"/>
  <c r="AC33" i="2"/>
  <c r="AA24" i="2"/>
  <c r="D35" i="2"/>
  <c r="U52" i="2"/>
  <c r="K25" i="2"/>
  <c r="W11" i="2"/>
  <c r="W27" i="2"/>
  <c r="E29" i="2"/>
  <c r="AC40" i="2"/>
  <c r="AC34" i="2"/>
  <c r="AB27" i="2"/>
  <c r="F9" i="2"/>
  <c r="C11" i="2"/>
  <c r="P43" i="2"/>
  <c r="O7" i="2"/>
  <c r="W9" i="2"/>
  <c r="AC7" i="2"/>
  <c r="AC22" i="2"/>
  <c r="AC10" i="2"/>
  <c r="V12" i="2"/>
  <c r="AE18" i="2"/>
  <c r="O48" i="2"/>
  <c r="AA54" i="2"/>
  <c r="W12" i="2"/>
  <c r="AA63" i="2"/>
  <c r="O12" i="2"/>
  <c r="E11" i="2"/>
  <c r="P15" i="2"/>
  <c r="I60" i="2"/>
  <c r="K26" i="2"/>
  <c r="E17" i="2"/>
  <c r="AC46" i="2"/>
  <c r="AC14" i="2"/>
  <c r="AC12" i="2"/>
  <c r="J30" i="2"/>
  <c r="S11" i="2"/>
  <c r="T14" i="2"/>
  <c r="I62" i="2"/>
  <c r="U31" i="2"/>
  <c r="X7" i="2"/>
  <c r="P17" i="2"/>
  <c r="I41" i="2"/>
  <c r="W33" i="2"/>
  <c r="Q30" i="2"/>
  <c r="U45" i="2"/>
  <c r="E35" i="2"/>
  <c r="AA8" i="2"/>
  <c r="I9" i="2"/>
  <c r="U35" i="2"/>
  <c r="E41" i="2"/>
  <c r="AA48" i="2"/>
  <c r="O28" i="2"/>
  <c r="K30" i="2"/>
  <c r="E21" i="2"/>
  <c r="E10" i="2"/>
  <c r="Y7" i="2"/>
  <c r="AC26" i="2"/>
  <c r="AC48" i="2"/>
  <c r="AC32" i="2"/>
  <c r="AC18" i="2"/>
  <c r="R11" i="2"/>
  <c r="AC42" i="2"/>
  <c r="I7" i="2"/>
  <c r="Q29" i="2"/>
  <c r="U17" i="2"/>
  <c r="U58" i="2"/>
  <c r="Q28" i="2"/>
  <c r="O10" i="2"/>
  <c r="K23" i="2"/>
  <c r="E22" i="2"/>
  <c r="AA11" i="2"/>
  <c r="O44" i="2"/>
  <c r="P23" i="2"/>
  <c r="P25" i="2"/>
  <c r="Q11" i="2"/>
  <c r="I23" i="2"/>
  <c r="I10" i="2"/>
  <c r="O42" i="2"/>
  <c r="U23" i="2"/>
  <c r="K47" i="2"/>
  <c r="W36" i="2"/>
  <c r="E36" i="2"/>
  <c r="P31" i="2"/>
  <c r="AA40" i="2"/>
  <c r="I58" i="2"/>
  <c r="Q45" i="2"/>
  <c r="O8" i="2"/>
  <c r="O18" i="2"/>
  <c r="U60" i="2"/>
  <c r="K8" i="2"/>
  <c r="W8" i="2"/>
  <c r="E18" i="2"/>
  <c r="U10" i="2"/>
  <c r="P33" i="2"/>
  <c r="AA30" i="2"/>
  <c r="L7" i="2"/>
  <c r="Q43" i="2"/>
  <c r="I17" i="2"/>
  <c r="I33" i="2"/>
  <c r="O14" i="2"/>
  <c r="U15" i="2"/>
  <c r="U43" i="2"/>
  <c r="K15" i="2"/>
  <c r="W37" i="2"/>
  <c r="W32" i="2"/>
  <c r="W24" i="2"/>
  <c r="E28" i="2"/>
  <c r="P41" i="2"/>
  <c r="P16" i="2"/>
  <c r="P13" i="2"/>
  <c r="AA9" i="2"/>
  <c r="AA12" i="2"/>
  <c r="AA13" i="2"/>
  <c r="AA7" i="2"/>
  <c r="Q22" i="2"/>
  <c r="Q31" i="2"/>
  <c r="Q40" i="2"/>
  <c r="Q8" i="2"/>
  <c r="I35" i="2"/>
  <c r="I52" i="2"/>
  <c r="I8" i="2"/>
  <c r="I12" i="2"/>
  <c r="O54" i="2"/>
  <c r="O13" i="2"/>
  <c r="O9" i="2"/>
  <c r="U37" i="2"/>
  <c r="U33" i="2"/>
  <c r="U8" i="2"/>
  <c r="U9" i="2"/>
  <c r="K44" i="2"/>
  <c r="K7" i="2"/>
  <c r="K16" i="2"/>
  <c r="K35" i="2"/>
  <c r="W10" i="2"/>
  <c r="W43" i="2"/>
  <c r="W15" i="2"/>
  <c r="W41" i="2"/>
  <c r="E34" i="2"/>
  <c r="E23" i="2"/>
  <c r="E33" i="2"/>
  <c r="E25" i="2"/>
  <c r="E12" i="2"/>
  <c r="AC25" i="2"/>
  <c r="AC21" i="2"/>
  <c r="AC41" i="2"/>
  <c r="AC13" i="2"/>
  <c r="P37" i="2"/>
  <c r="K37" i="2"/>
  <c r="W25" i="2"/>
  <c r="M41" i="2"/>
  <c r="O43" i="2"/>
  <c r="AF32" i="2"/>
  <c r="AE28" i="2"/>
  <c r="O25" i="2"/>
  <c r="AF40" i="2"/>
  <c r="X58" i="2"/>
  <c r="R24" i="2"/>
  <c r="AA61" i="2"/>
  <c r="AE48" i="2"/>
  <c r="S26" i="2"/>
  <c r="X15" i="2"/>
  <c r="I37" i="2"/>
  <c r="U36" i="2"/>
  <c r="AA34" i="2"/>
  <c r="T24" i="2"/>
  <c r="AE9" i="2"/>
  <c r="G22" i="2"/>
  <c r="C32" i="2"/>
  <c r="U40" i="2"/>
  <c r="T16" i="2"/>
  <c r="AD32" i="2"/>
  <c r="Y10" i="2"/>
  <c r="L10" i="2"/>
  <c r="V15" i="2"/>
  <c r="O15" i="2"/>
  <c r="U44" i="2"/>
  <c r="AA42" i="2"/>
  <c r="H14" i="2"/>
  <c r="AE42" i="2"/>
  <c r="G48" i="2"/>
  <c r="X13" i="2"/>
  <c r="V62" i="2"/>
  <c r="U26" i="2"/>
  <c r="AF61" i="2"/>
  <c r="AD44" i="2"/>
  <c r="Y33" i="2"/>
  <c r="X25" i="2"/>
  <c r="V58" i="2"/>
  <c r="AB29" i="2"/>
  <c r="O32" i="2"/>
  <c r="O45" i="2"/>
  <c r="I32" i="2"/>
  <c r="I40" i="2"/>
  <c r="N62" i="2"/>
  <c r="U41" i="2"/>
  <c r="C21" i="2"/>
  <c r="C54" i="2"/>
  <c r="AA25" i="2"/>
  <c r="AF22" i="2"/>
  <c r="T8" i="2"/>
  <c r="H48" i="2"/>
  <c r="H50" i="2"/>
  <c r="AE10" i="2"/>
  <c r="AE14" i="2"/>
  <c r="M13" i="2"/>
  <c r="W58" i="2"/>
  <c r="Y49" i="2"/>
  <c r="S46" i="2"/>
  <c r="S22" i="2"/>
  <c r="X12" i="2"/>
  <c r="X47" i="2"/>
  <c r="R9" i="2"/>
  <c r="J24" i="2"/>
  <c r="V42" i="2"/>
  <c r="D12" i="2"/>
  <c r="C45" i="2"/>
  <c r="G11" i="2"/>
  <c r="I54" i="2"/>
  <c r="H42" i="2"/>
  <c r="Y23" i="2"/>
  <c r="U27" i="2"/>
  <c r="T44" i="2"/>
  <c r="M9" i="2"/>
  <c r="L13" i="2"/>
  <c r="I63" i="2"/>
  <c r="C23" i="2"/>
  <c r="AF50" i="2"/>
  <c r="H34" i="2"/>
  <c r="AE44" i="2"/>
  <c r="S32" i="2"/>
  <c r="L21" i="2"/>
  <c r="O37" i="2"/>
  <c r="C37" i="2"/>
  <c r="H22" i="2"/>
  <c r="M49" i="2"/>
  <c r="X33" i="2"/>
  <c r="J32" i="2"/>
  <c r="AB8" i="2"/>
  <c r="I18" i="2"/>
  <c r="AF54" i="2"/>
  <c r="M17" i="2"/>
  <c r="X10" i="2"/>
  <c r="J16" i="2"/>
  <c r="O35" i="2"/>
  <c r="C27" i="2"/>
  <c r="H36" i="2"/>
  <c r="M45" i="2"/>
  <c r="S12" i="2"/>
  <c r="L49" i="2"/>
  <c r="J42" i="2"/>
  <c r="O47" i="2"/>
  <c r="I48" i="2"/>
  <c r="U24" i="2"/>
  <c r="U28" i="2"/>
  <c r="C30" i="2"/>
  <c r="C47" i="2"/>
  <c r="AA49" i="2"/>
  <c r="AF10" i="2"/>
  <c r="AF63" i="2"/>
  <c r="T42" i="2"/>
  <c r="H24" i="2"/>
  <c r="AD24" i="2"/>
  <c r="AD30" i="2"/>
  <c r="AE32" i="2"/>
  <c r="K58" i="2"/>
  <c r="Y9" i="2"/>
  <c r="Y17" i="2"/>
  <c r="G30" i="2"/>
  <c r="S14" i="2"/>
  <c r="S16" i="2"/>
  <c r="R42" i="2"/>
  <c r="R40" i="2"/>
  <c r="L33" i="2"/>
  <c r="AA59" i="2"/>
  <c r="J28" i="2"/>
  <c r="V28" i="2"/>
  <c r="AB43" i="2"/>
  <c r="U48" i="2"/>
  <c r="H26" i="2"/>
  <c r="S8" i="2"/>
  <c r="T61" i="2"/>
  <c r="AD22" i="2"/>
  <c r="S30" i="2"/>
  <c r="C31" i="2"/>
  <c r="AF16" i="2"/>
  <c r="M10" i="2"/>
  <c r="S40" i="2"/>
  <c r="R36" i="2"/>
  <c r="O33" i="2"/>
  <c r="I44" i="2"/>
  <c r="AF14" i="2"/>
  <c r="AD16" i="2"/>
  <c r="M23" i="2"/>
  <c r="S50" i="2"/>
  <c r="L9" i="2"/>
  <c r="I36" i="2"/>
  <c r="Z58" i="2"/>
  <c r="AD9" i="2"/>
  <c r="Y21" i="2"/>
  <c r="X29" i="2"/>
  <c r="R48" i="2"/>
  <c r="C48" i="2"/>
  <c r="AA60" i="2"/>
  <c r="T36" i="2"/>
  <c r="AE24" i="2"/>
  <c r="G28" i="2"/>
  <c r="L15" i="2"/>
  <c r="AB16" i="2"/>
  <c r="Z62" i="2"/>
  <c r="T30" i="2"/>
  <c r="AD36" i="2"/>
  <c r="Y15" i="2"/>
  <c r="R18" i="2"/>
  <c r="F14" i="2"/>
  <c r="I26" i="2"/>
  <c r="U25" i="2"/>
  <c r="U54" i="2"/>
  <c r="C29" i="2"/>
  <c r="C52" i="2"/>
  <c r="AA21" i="2"/>
  <c r="AF34" i="2"/>
  <c r="AF26" i="2"/>
  <c r="T26" i="2"/>
  <c r="T50" i="2"/>
  <c r="H40" i="2"/>
  <c r="H63" i="2"/>
  <c r="AD48" i="2"/>
  <c r="K62" i="2"/>
  <c r="M35" i="2"/>
  <c r="L58" i="2"/>
  <c r="Y13" i="2"/>
  <c r="G14" i="2"/>
  <c r="S36" i="2"/>
  <c r="X23" i="2"/>
  <c r="X49" i="2"/>
  <c r="R16" i="2"/>
  <c r="R34" i="2"/>
  <c r="L31" i="2"/>
  <c r="AA66" i="2"/>
  <c r="F16" i="2"/>
  <c r="D47" i="2"/>
  <c r="AA28" i="2"/>
  <c r="Y29" i="2"/>
  <c r="I50" i="2"/>
  <c r="H12" i="2"/>
  <c r="AE34" i="2"/>
  <c r="G50" i="2"/>
  <c r="U32" i="2"/>
  <c r="AA45" i="2"/>
  <c r="H44" i="2"/>
  <c r="Y47" i="2"/>
  <c r="L37" i="2"/>
  <c r="U42" i="2"/>
  <c r="AA35" i="2"/>
  <c r="T32" i="2"/>
  <c r="AD7" i="2"/>
  <c r="Y43" i="2"/>
  <c r="R30" i="2"/>
  <c r="F40" i="2"/>
  <c r="O23" i="2"/>
  <c r="U66" i="2"/>
  <c r="H32" i="2"/>
  <c r="M33" i="2"/>
  <c r="G24" i="2"/>
  <c r="R44" i="2"/>
  <c r="L29" i="2"/>
  <c r="F46" i="2"/>
  <c r="I61" i="2"/>
  <c r="C49" i="2"/>
  <c r="AF30" i="2"/>
  <c r="AD12" i="2"/>
  <c r="M60" i="2"/>
  <c r="S28" i="2"/>
  <c r="F42" i="2"/>
  <c r="AA27" i="2"/>
  <c r="T48" i="2"/>
  <c r="AE46" i="2"/>
  <c r="G26" i="2"/>
  <c r="R7" i="2"/>
  <c r="V32" i="2"/>
  <c r="C62" i="2"/>
  <c r="O27" i="2"/>
  <c r="I30" i="2"/>
  <c r="O41" i="2"/>
  <c r="O49" i="2"/>
  <c r="U50" i="2"/>
  <c r="C41" i="2"/>
  <c r="AA17" i="2"/>
  <c r="AF42" i="2"/>
  <c r="Y58" i="2"/>
  <c r="T63" i="2"/>
  <c r="AD11" i="2"/>
  <c r="AD14" i="2"/>
  <c r="AE36" i="2"/>
  <c r="M21" i="2"/>
  <c r="M29" i="2"/>
  <c r="G7" i="2"/>
  <c r="G44" i="2"/>
  <c r="S44" i="2"/>
  <c r="S10" i="2"/>
  <c r="X17" i="2"/>
  <c r="L41" i="2"/>
  <c r="L17" i="2"/>
  <c r="J9" i="2"/>
  <c r="F28" i="2"/>
  <c r="AB33" i="2"/>
  <c r="C58" i="2"/>
  <c r="O61" i="2"/>
  <c r="I28" i="2"/>
  <c r="I34" i="2"/>
  <c r="U16" i="2"/>
  <c r="U61" i="2"/>
  <c r="C35" i="2"/>
  <c r="M58" i="2"/>
  <c r="AA29" i="2"/>
  <c r="AF28" i="2"/>
  <c r="Y62" i="2"/>
  <c r="T54" i="2"/>
  <c r="T40" i="2"/>
  <c r="H46" i="2"/>
  <c r="X62" i="2"/>
  <c r="AD28" i="2"/>
  <c r="AE30" i="2"/>
  <c r="M7" i="2"/>
  <c r="L62" i="2"/>
  <c r="Y27" i="2"/>
  <c r="G42" i="2"/>
  <c r="G18" i="2"/>
  <c r="X27" i="2"/>
  <c r="X11" i="2"/>
  <c r="R28" i="2"/>
  <c r="L8" i="2"/>
  <c r="L23" i="2"/>
  <c r="J34" i="2"/>
  <c r="V44" i="2"/>
  <c r="F26" i="2"/>
  <c r="AB23" i="2"/>
  <c r="D37" i="2"/>
  <c r="AE8" i="2"/>
  <c r="S18" i="2"/>
  <c r="X9" i="2"/>
  <c r="X8" i="2"/>
  <c r="L35" i="2"/>
  <c r="L12" i="2"/>
  <c r="J11" i="2"/>
  <c r="F22" i="2"/>
  <c r="AB31" i="2"/>
  <c r="I16" i="2"/>
  <c r="R8" i="2"/>
  <c r="J21" i="2"/>
  <c r="V24" i="2"/>
  <c r="F18" i="2"/>
  <c r="AB14" i="2"/>
  <c r="D8" i="2"/>
  <c r="M31" i="2"/>
  <c r="Y8" i="2"/>
  <c r="R32" i="2"/>
  <c r="V8" i="2"/>
  <c r="AA47" i="2"/>
  <c r="U46" i="2"/>
  <c r="T22" i="2"/>
  <c r="Y45" i="2"/>
  <c r="O29" i="2"/>
  <c r="C25" i="2"/>
  <c r="G36" i="2"/>
  <c r="U34" i="2"/>
  <c r="C60" i="2"/>
  <c r="I66" i="2"/>
  <c r="AA15" i="2"/>
  <c r="AE11" i="2"/>
  <c r="G12" i="2"/>
  <c r="AD34" i="2"/>
  <c r="D21" i="2"/>
  <c r="C42" i="2"/>
  <c r="I59" i="2"/>
  <c r="O40" i="2"/>
  <c r="O52" i="2"/>
  <c r="O46" i="2"/>
  <c r="I31" i="2"/>
  <c r="I42" i="2"/>
  <c r="I45" i="2"/>
  <c r="U30" i="2"/>
  <c r="U59" i="2"/>
  <c r="J7" i="2"/>
  <c r="J26" i="2"/>
  <c r="V34" i="2"/>
  <c r="V16" i="2"/>
  <c r="AB9" i="2"/>
  <c r="AB13" i="2"/>
  <c r="D11" i="2"/>
  <c r="D10" i="2"/>
  <c r="C61" i="2"/>
  <c r="J46" i="2"/>
  <c r="V13" i="2"/>
  <c r="F10" i="2"/>
  <c r="D41" i="2"/>
  <c r="I24" i="2"/>
  <c r="I22" i="2"/>
  <c r="U22" i="2"/>
  <c r="U63" i="2"/>
  <c r="C17" i="2"/>
  <c r="C44" i="2"/>
  <c r="M62" i="2"/>
  <c r="AA43" i="2"/>
  <c r="AA23" i="2"/>
  <c r="AA41" i="2"/>
  <c r="AF48" i="2"/>
  <c r="AF8" i="2"/>
  <c r="AF44" i="2"/>
  <c r="P62" i="2"/>
  <c r="T10" i="2"/>
  <c r="T12" i="2"/>
  <c r="T34" i="2"/>
  <c r="H30" i="2"/>
  <c r="H28" i="2"/>
  <c r="H18" i="2"/>
  <c r="AD40" i="2"/>
  <c r="AD54" i="2"/>
  <c r="AD10" i="2"/>
  <c r="AE16" i="2"/>
  <c r="AE12" i="2"/>
  <c r="AE40" i="2"/>
  <c r="M37" i="2"/>
  <c r="M11" i="2"/>
  <c r="M43" i="2"/>
  <c r="W62" i="2"/>
  <c r="Y31" i="2"/>
  <c r="Y41" i="2"/>
  <c r="Y35" i="2"/>
  <c r="G46" i="2"/>
  <c r="G10" i="2"/>
  <c r="G40" i="2"/>
  <c r="S34" i="2"/>
  <c r="S9" i="2"/>
  <c r="S48" i="2"/>
  <c r="X41" i="2"/>
  <c r="X43" i="2"/>
  <c r="X45" i="2"/>
  <c r="R22" i="2"/>
  <c r="R12" i="2"/>
  <c r="R10" i="2"/>
  <c r="L27" i="2"/>
  <c r="L45" i="2"/>
  <c r="L43" i="2"/>
  <c r="J62" i="2"/>
  <c r="J12" i="2"/>
  <c r="J10" i="2"/>
  <c r="AD8" i="2"/>
  <c r="F30" i="2"/>
  <c r="F50" i="2"/>
  <c r="AB12" i="2"/>
  <c r="AB11" i="2"/>
  <c r="D17" i="2"/>
  <c r="C24" i="2"/>
  <c r="J18" i="2"/>
  <c r="V36" i="2"/>
  <c r="AB7" i="2"/>
  <c r="D33" i="2"/>
  <c r="O17" i="2"/>
  <c r="O60" i="2"/>
  <c r="O21" i="2"/>
  <c r="O31" i="2"/>
  <c r="I46" i="2"/>
  <c r="N58" i="2"/>
  <c r="U18" i="2"/>
  <c r="C33" i="2"/>
  <c r="V9" i="2"/>
  <c r="V22" i="2"/>
  <c r="V18" i="2"/>
  <c r="F7" i="2"/>
  <c r="F12" i="2"/>
  <c r="D25" i="2"/>
  <c r="D29" i="2"/>
  <c r="V10" i="2"/>
  <c r="V14" i="2"/>
  <c r="F34" i="2"/>
  <c r="AB21" i="2"/>
  <c r="AB10" i="2"/>
  <c r="D9" i="2"/>
  <c r="D23" i="2"/>
  <c r="C15" i="2"/>
  <c r="J36" i="2"/>
  <c r="V40" i="2"/>
  <c r="F13" i="2"/>
  <c r="F32" i="2"/>
  <c r="F8" i="2"/>
  <c r="AB25" i="2"/>
  <c r="C46" i="2"/>
  <c r="J40" i="2"/>
  <c r="J8" i="2"/>
  <c r="V46" i="2"/>
  <c r="F36" i="2"/>
  <c r="AB17" i="2"/>
  <c r="AB45" i="2"/>
  <c r="D16" i="2"/>
  <c r="D13" i="2"/>
  <c r="AF12" i="2"/>
  <c r="C50" i="2"/>
  <c r="C12" i="2"/>
  <c r="C22" i="2"/>
  <c r="D7" i="2"/>
  <c r="C8" i="2"/>
  <c r="C14" i="2"/>
  <c r="C9" i="2"/>
  <c r="C7" i="2"/>
  <c r="D43" i="2"/>
  <c r="C40" i="2"/>
  <c r="C28" i="2"/>
  <c r="C26" i="2"/>
  <c r="C63" i="2"/>
  <c r="C36" i="2"/>
  <c r="C10" i="2"/>
  <c r="C43" i="2"/>
  <c r="AA37" i="2"/>
  <c r="AA31" i="2"/>
  <c r="AA52" i="2"/>
  <c r="AA33" i="2"/>
  <c r="AF46" i="2"/>
  <c r="AF36" i="2"/>
  <c r="AF24" i="2"/>
  <c r="AF18" i="2"/>
  <c r="P58" i="2"/>
  <c r="T46" i="2"/>
  <c r="T18" i="2"/>
  <c r="T28" i="2"/>
  <c r="H7" i="2"/>
  <c r="H54" i="2"/>
  <c r="H8" i="2"/>
  <c r="H16" i="2"/>
  <c r="AD46" i="2"/>
  <c r="AD26" i="2"/>
  <c r="AD18" i="2"/>
  <c r="AD42" i="2"/>
  <c r="AE26" i="2"/>
  <c r="AE22" i="2"/>
  <c r="AE7" i="2"/>
  <c r="AE50" i="2"/>
  <c r="M27" i="2"/>
  <c r="M8" i="2"/>
  <c r="M47" i="2"/>
  <c r="M25" i="2"/>
  <c r="Y25" i="2"/>
  <c r="Y11" i="2"/>
  <c r="Y52" i="2"/>
  <c r="Y37" i="2"/>
  <c r="G34" i="2"/>
  <c r="G8" i="2"/>
  <c r="G32" i="2"/>
  <c r="G16" i="2"/>
  <c r="S7" i="2"/>
  <c r="S42" i="2"/>
  <c r="S24" i="2"/>
  <c r="X35" i="2"/>
  <c r="X31" i="2"/>
  <c r="X21" i="2"/>
  <c r="X37" i="2"/>
  <c r="R26" i="2"/>
  <c r="R46" i="2"/>
  <c r="R50" i="2"/>
  <c r="R14" i="2"/>
  <c r="L25" i="2"/>
  <c r="L47" i="2"/>
  <c r="L11" i="2"/>
  <c r="J58" i="2"/>
  <c r="J22" i="2"/>
  <c r="J14" i="2"/>
  <c r="J13" i="2"/>
  <c r="J44" i="2"/>
  <c r="V26" i="2"/>
  <c r="V11" i="2"/>
  <c r="V7" i="2"/>
  <c r="V30" i="2"/>
  <c r="F44" i="2"/>
  <c r="F11" i="2"/>
  <c r="F24" i="2"/>
  <c r="AB37" i="2"/>
  <c r="AB35" i="2"/>
  <c r="AB41" i="2"/>
  <c r="AB15" i="2"/>
  <c r="D15" i="2"/>
  <c r="D45" i="2"/>
  <c r="D27" i="2"/>
  <c r="D31" i="2"/>
  <c r="C13" i="2"/>
  <c r="C34" i="2"/>
  <c r="C16" i="2"/>
  <c r="C18" i="2"/>
  <c r="K31" i="2"/>
  <c r="E8" i="2"/>
  <c r="E45" i="2"/>
  <c r="E50" i="2"/>
  <c r="W48" i="2"/>
  <c r="W54" i="2"/>
  <c r="W18" i="2"/>
  <c r="W47" i="2"/>
  <c r="D65" i="2"/>
  <c r="AC30" i="2"/>
  <c r="AC61" i="2"/>
  <c r="AC54" i="2"/>
  <c r="AC8" i="2"/>
  <c r="D62" i="2"/>
  <c r="J35" i="2"/>
  <c r="J27" i="2"/>
  <c r="J29" i="2"/>
  <c r="V66" i="2"/>
  <c r="Q9" i="2"/>
  <c r="Q10" i="2"/>
  <c r="Q60" i="2"/>
  <c r="Q32" i="2"/>
  <c r="V17" i="2"/>
  <c r="V45" i="2"/>
  <c r="V43" i="2"/>
  <c r="V47" i="2"/>
  <c r="AB28" i="2"/>
  <c r="AB42" i="2"/>
  <c r="AB32" i="2"/>
  <c r="AB54" i="2"/>
  <c r="D54" i="2"/>
  <c r="D63" i="2"/>
  <c r="D30" i="2"/>
  <c r="J59" i="2"/>
  <c r="P30" i="2"/>
  <c r="P22" i="2"/>
  <c r="P60" i="2"/>
  <c r="U64" i="2"/>
  <c r="C66" i="2"/>
  <c r="AA58" i="2"/>
  <c r="K50" i="2"/>
  <c r="E46" i="2"/>
  <c r="W35" i="2"/>
  <c r="AC29" i="2"/>
  <c r="D58" i="2"/>
  <c r="J54" i="2"/>
  <c r="Q41" i="2"/>
  <c r="Q49" i="2"/>
  <c r="Q33" i="2"/>
  <c r="V52" i="2"/>
  <c r="V23" i="2"/>
  <c r="V61" i="2"/>
  <c r="V54" i="2"/>
  <c r="AB63" i="2"/>
  <c r="AB24" i="2"/>
  <c r="AB52" i="2"/>
  <c r="AB46" i="2"/>
  <c r="D42" i="2"/>
  <c r="D50" i="2"/>
  <c r="D18" i="2"/>
  <c r="J66" i="2"/>
  <c r="P54" i="2"/>
  <c r="P34" i="2"/>
  <c r="P28" i="2"/>
  <c r="U65" i="2"/>
  <c r="C59" i="2"/>
  <c r="AA62" i="2"/>
  <c r="Q65" i="2"/>
  <c r="K27" i="2"/>
  <c r="E63" i="2"/>
  <c r="W63" i="2"/>
  <c r="D64" i="2"/>
  <c r="AC35" i="2"/>
  <c r="J61" i="2"/>
  <c r="Q61" i="2"/>
  <c r="E59" i="2"/>
  <c r="K11" i="2"/>
  <c r="Q62" i="2"/>
  <c r="E54" i="2"/>
  <c r="E58" i="2"/>
  <c r="W21" i="2"/>
  <c r="W49" i="2"/>
  <c r="AC15" i="2"/>
  <c r="AB66" i="2"/>
  <c r="J31" i="2"/>
  <c r="J50" i="2"/>
  <c r="V65" i="2"/>
  <c r="Q23" i="2"/>
  <c r="Q18" i="2"/>
  <c r="Q63" i="2"/>
  <c r="V33" i="2"/>
  <c r="V63" i="2"/>
  <c r="V31" i="2"/>
  <c r="AB48" i="2"/>
  <c r="AB40" i="2"/>
  <c r="AB61" i="2"/>
  <c r="D32" i="2"/>
  <c r="D46" i="2"/>
  <c r="D61" i="2"/>
  <c r="D14" i="2"/>
  <c r="P36" i="2"/>
  <c r="P42" i="2"/>
  <c r="P49" i="2"/>
  <c r="P47" i="2"/>
  <c r="O59" i="2"/>
  <c r="O65" i="2"/>
  <c r="O62" i="2"/>
  <c r="K33" i="2"/>
  <c r="E7" i="2"/>
  <c r="W44" i="2"/>
  <c r="AC16" i="2"/>
  <c r="AC52" i="2"/>
  <c r="J25" i="2"/>
  <c r="V59" i="2"/>
  <c r="AC65" i="2"/>
  <c r="K32" i="2"/>
  <c r="K61" i="2"/>
  <c r="W59" i="2"/>
  <c r="E30" i="2"/>
  <c r="E37" i="2"/>
  <c r="W52" i="2"/>
  <c r="W50" i="2"/>
  <c r="D66" i="2"/>
  <c r="AC31" i="2"/>
  <c r="AC43" i="2"/>
  <c r="J60" i="2"/>
  <c r="J63" i="2"/>
  <c r="Q24" i="2"/>
  <c r="V50" i="2"/>
  <c r="E48" i="2"/>
  <c r="K41" i="2"/>
  <c r="W29" i="2"/>
  <c r="J15" i="2"/>
  <c r="Q27" i="2"/>
  <c r="V27" i="2"/>
  <c r="V35" i="2"/>
  <c r="AB22" i="2"/>
  <c r="AB30" i="2"/>
  <c r="D44" i="2"/>
  <c r="D60" i="2"/>
  <c r="D40" i="2"/>
  <c r="D26" i="2"/>
  <c r="P18" i="2"/>
  <c r="P52" i="2"/>
  <c r="P50" i="2"/>
  <c r="P40" i="2"/>
  <c r="O66" i="2"/>
  <c r="O64" i="2"/>
  <c r="O58" i="2"/>
  <c r="K12" i="2"/>
  <c r="K14" i="2"/>
  <c r="K52" i="2"/>
  <c r="W22" i="2"/>
  <c r="K63" i="2"/>
  <c r="W66" i="2"/>
  <c r="E47" i="2"/>
  <c r="E60" i="2"/>
  <c r="W16" i="2"/>
  <c r="AC28" i="2"/>
  <c r="AB59" i="2"/>
  <c r="J47" i="2"/>
  <c r="Q26" i="2"/>
  <c r="AB34" i="2"/>
  <c r="K22" i="2"/>
  <c r="K42" i="2"/>
  <c r="E61" i="2"/>
  <c r="P59" i="2"/>
  <c r="W60" i="2"/>
  <c r="AC9" i="2"/>
  <c r="AB58" i="2"/>
  <c r="J23" i="2"/>
  <c r="Q52" i="2"/>
  <c r="V41" i="2"/>
  <c r="V25" i="2"/>
  <c r="AB50" i="2"/>
  <c r="AB47" i="2"/>
  <c r="D22" i="2"/>
  <c r="D48" i="2"/>
  <c r="D28" i="2"/>
  <c r="D36" i="2"/>
  <c r="P24" i="2"/>
  <c r="P32" i="2"/>
  <c r="P44" i="2"/>
  <c r="P26" i="2"/>
  <c r="AA65" i="2"/>
  <c r="C64" i="2"/>
  <c r="I64" i="2"/>
  <c r="Q64" i="2"/>
  <c r="K54" i="2"/>
  <c r="E66" i="2"/>
  <c r="K66" i="2"/>
  <c r="W23" i="2"/>
  <c r="D59" i="2"/>
  <c r="AC60" i="2"/>
  <c r="J37" i="2"/>
  <c r="Q25" i="2"/>
  <c r="V29" i="2"/>
  <c r="K28" i="2"/>
  <c r="E49" i="2"/>
  <c r="E32" i="2"/>
  <c r="W61" i="2"/>
  <c r="AC36" i="2"/>
  <c r="AC11" i="2"/>
  <c r="J17" i="2"/>
  <c r="J65" i="2"/>
  <c r="P64" i="2"/>
  <c r="AB26" i="2"/>
  <c r="AC58" i="2"/>
  <c r="AC62" i="2"/>
  <c r="E31" i="2"/>
  <c r="AC64" i="2"/>
  <c r="K60" i="2"/>
  <c r="E40" i="2"/>
  <c r="E62" i="2"/>
  <c r="W13" i="2"/>
  <c r="AC49" i="2"/>
  <c r="J43" i="2"/>
  <c r="V64" i="2"/>
  <c r="Q14" i="2"/>
  <c r="V49" i="2"/>
  <c r="AC66" i="2"/>
  <c r="K48" i="2"/>
  <c r="Q58" i="2"/>
  <c r="E27" i="2"/>
  <c r="W17" i="2"/>
  <c r="AB65" i="2"/>
  <c r="AC44" i="2"/>
  <c r="J48" i="2"/>
  <c r="J45" i="2"/>
  <c r="Q12" i="2"/>
  <c r="Q54" i="2"/>
  <c r="V48" i="2"/>
  <c r="AB44" i="2"/>
  <c r="AC59" i="2"/>
  <c r="K24" i="2"/>
  <c r="K49" i="2"/>
  <c r="K40" i="2"/>
  <c r="K46" i="2"/>
  <c r="K59" i="2"/>
  <c r="E52" i="2"/>
  <c r="E15" i="2"/>
  <c r="E13" i="2"/>
  <c r="E9" i="2"/>
  <c r="P66" i="2"/>
  <c r="W34" i="2"/>
  <c r="W42" i="2"/>
  <c r="W28" i="2"/>
  <c r="AB64" i="2"/>
  <c r="AC47" i="2"/>
  <c r="AC63" i="2"/>
  <c r="AC50" i="2"/>
  <c r="AC37" i="2"/>
  <c r="AB62" i="2"/>
  <c r="J33" i="2"/>
  <c r="J41" i="2"/>
  <c r="J49" i="2"/>
  <c r="J52" i="2"/>
  <c r="J64" i="2"/>
  <c r="Q47" i="2"/>
  <c r="Q50" i="2"/>
  <c r="Q16" i="2"/>
  <c r="P65" i="2"/>
  <c r="V37" i="2"/>
  <c r="V21" i="2"/>
  <c r="V60" i="2"/>
  <c r="AB36" i="2"/>
  <c r="AB49" i="2"/>
  <c r="AB60" i="2"/>
  <c r="AB18" i="2"/>
  <c r="D24" i="2"/>
  <c r="D49" i="2"/>
  <c r="D34" i="2"/>
  <c r="D52" i="2"/>
  <c r="P48" i="2"/>
  <c r="P46" i="2"/>
  <c r="P61" i="2"/>
  <c r="P63" i="2"/>
  <c r="AA64" i="2"/>
  <c r="C65" i="2"/>
  <c r="I65" i="2"/>
  <c r="AF45" i="2"/>
  <c r="AF9" i="2"/>
  <c r="AD64" i="2"/>
  <c r="AF47" i="2"/>
  <c r="AF31" i="2"/>
  <c r="R64" i="2"/>
  <c r="L64" i="2"/>
  <c r="AD62" i="2"/>
  <c r="AE17" i="2"/>
  <c r="AE52" i="2"/>
  <c r="AE37" i="2"/>
  <c r="F64" i="2"/>
  <c r="X16" i="2"/>
  <c r="X44" i="2"/>
  <c r="X26" i="2"/>
  <c r="X54" i="2"/>
  <c r="R61" i="2"/>
  <c r="R29" i="2"/>
  <c r="R60" i="2"/>
  <c r="L26" i="2"/>
  <c r="L54" i="2"/>
  <c r="L50" i="2"/>
  <c r="L34" i="2"/>
  <c r="AE58" i="2"/>
  <c r="G21" i="2"/>
  <c r="G47" i="2"/>
  <c r="G43" i="2"/>
  <c r="G13" i="2"/>
  <c r="F48" i="2"/>
  <c r="F23" i="2"/>
  <c r="F54" i="2"/>
  <c r="F37" i="2"/>
  <c r="AD47" i="2"/>
  <c r="AD35" i="2"/>
  <c r="AD45" i="2"/>
  <c r="AD25" i="2"/>
  <c r="R59" i="2"/>
  <c r="S27" i="2"/>
  <c r="S45" i="2"/>
  <c r="S15" i="2"/>
  <c r="L65" i="2"/>
  <c r="AD58" i="2"/>
  <c r="AE21" i="2"/>
  <c r="F65" i="2"/>
  <c r="X61" i="2"/>
  <c r="X36" i="2"/>
  <c r="X50" i="2"/>
  <c r="R54" i="2"/>
  <c r="R45" i="2"/>
  <c r="L30" i="2"/>
  <c r="L18" i="2"/>
  <c r="L22" i="2"/>
  <c r="L36" i="2"/>
  <c r="AE62" i="2"/>
  <c r="G49" i="2"/>
  <c r="G41" i="2"/>
  <c r="G60" i="2"/>
  <c r="F63" i="2"/>
  <c r="F15" i="2"/>
  <c r="F41" i="2"/>
  <c r="F49" i="2"/>
  <c r="AD17" i="2"/>
  <c r="AD37" i="2"/>
  <c r="AD63" i="2"/>
  <c r="AD49" i="2"/>
  <c r="R66" i="2"/>
  <c r="S35" i="2"/>
  <c r="S43" i="2"/>
  <c r="S17" i="2"/>
  <c r="AF52" i="2"/>
  <c r="AE31" i="2"/>
  <c r="AE61" i="2"/>
  <c r="X28" i="2"/>
  <c r="R31" i="2"/>
  <c r="G37" i="2"/>
  <c r="M59" i="2"/>
  <c r="X64" i="2"/>
  <c r="AE41" i="2"/>
  <c r="X48" i="2"/>
  <c r="L24" i="2"/>
  <c r="L46" i="2"/>
  <c r="L59" i="2"/>
  <c r="G25" i="2"/>
  <c r="G29" i="2"/>
  <c r="K65" i="2"/>
  <c r="F45" i="2"/>
  <c r="F31" i="2"/>
  <c r="F17" i="2"/>
  <c r="F27" i="2"/>
  <c r="AD27" i="2"/>
  <c r="AD61" i="2"/>
  <c r="AD15" i="2"/>
  <c r="AD23" i="2"/>
  <c r="S31" i="2"/>
  <c r="S37" i="2"/>
  <c r="S21" i="2"/>
  <c r="S60" i="2"/>
  <c r="AF23" i="2"/>
  <c r="AF37" i="2"/>
  <c r="AF17" i="2"/>
  <c r="AE25" i="2"/>
  <c r="R62" i="2"/>
  <c r="R23" i="2"/>
  <c r="R33" i="2"/>
  <c r="L60" i="2"/>
  <c r="G61" i="2"/>
  <c r="R65" i="2"/>
  <c r="AF25" i="2"/>
  <c r="AE13" i="2"/>
  <c r="X22" i="2"/>
  <c r="R43" i="2"/>
  <c r="L14" i="2"/>
  <c r="AF33" i="2"/>
  <c r="AF60" i="2"/>
  <c r="AF21" i="2"/>
  <c r="AF27" i="2"/>
  <c r="Y66" i="2"/>
  <c r="AE27" i="2"/>
  <c r="AE49" i="2"/>
  <c r="AE35" i="2"/>
  <c r="AE54" i="2"/>
  <c r="R58" i="2"/>
  <c r="X18" i="2"/>
  <c r="X46" i="2"/>
  <c r="X63" i="2"/>
  <c r="R17" i="2"/>
  <c r="R21" i="2"/>
  <c r="R27" i="2"/>
  <c r="R35" i="2"/>
  <c r="L42" i="2"/>
  <c r="L63" i="2"/>
  <c r="L28" i="2"/>
  <c r="L40" i="2"/>
  <c r="L66" i="2"/>
  <c r="G63" i="2"/>
  <c r="G27" i="2"/>
  <c r="G52" i="2"/>
  <c r="K64" i="2"/>
  <c r="F61" i="2"/>
  <c r="F35" i="2"/>
  <c r="F33" i="2"/>
  <c r="F47" i="2"/>
  <c r="AD43" i="2"/>
  <c r="AD13" i="2"/>
  <c r="AD52" i="2"/>
  <c r="AD41" i="2"/>
  <c r="S61" i="2"/>
  <c r="S23" i="2"/>
  <c r="S25" i="2"/>
  <c r="S13" i="2"/>
  <c r="AF29" i="2"/>
  <c r="AF7" i="2"/>
  <c r="Y59" i="2"/>
  <c r="AE43" i="2"/>
  <c r="X60" i="2"/>
  <c r="R25" i="2"/>
  <c r="M66" i="2"/>
  <c r="X65" i="2"/>
  <c r="AF41" i="2"/>
  <c r="X66" i="2"/>
  <c r="AE15" i="2"/>
  <c r="X32" i="2"/>
  <c r="X40" i="2"/>
  <c r="R13" i="2"/>
  <c r="R15" i="2"/>
  <c r="L16" i="2"/>
  <c r="L44" i="2"/>
  <c r="L32" i="2"/>
  <c r="G15" i="2"/>
  <c r="G45" i="2"/>
  <c r="G33" i="2"/>
  <c r="G23" i="2"/>
  <c r="Q59" i="2"/>
  <c r="F29" i="2"/>
  <c r="F52" i="2"/>
  <c r="F25" i="2"/>
  <c r="E65" i="2"/>
  <c r="AD31" i="2"/>
  <c r="AD60" i="2"/>
  <c r="AD21" i="2"/>
  <c r="W65" i="2"/>
  <c r="S52" i="2"/>
  <c r="S29" i="2"/>
  <c r="S47" i="2"/>
  <c r="S54" i="2"/>
  <c r="AD65" i="2"/>
  <c r="AF13" i="2"/>
  <c r="F66" i="2"/>
  <c r="AE33" i="2"/>
  <c r="AE23" i="2"/>
  <c r="X42" i="2"/>
  <c r="X52" i="2"/>
  <c r="R37" i="2"/>
  <c r="R49" i="2"/>
  <c r="F62" i="2"/>
  <c r="AF15" i="2"/>
  <c r="AD59" i="2"/>
  <c r="AE29" i="2"/>
  <c r="AF49" i="2"/>
  <c r="AF35" i="2"/>
  <c r="AF11" i="2"/>
  <c r="AF43" i="2"/>
  <c r="AD66" i="2"/>
  <c r="F59" i="2"/>
  <c r="X59" i="2"/>
  <c r="AE45" i="2"/>
  <c r="AE63" i="2"/>
  <c r="AE60" i="2"/>
  <c r="AE47" i="2"/>
  <c r="X30" i="2"/>
  <c r="X14" i="2"/>
  <c r="X34" i="2"/>
  <c r="X24" i="2"/>
  <c r="R47" i="2"/>
  <c r="R63" i="2"/>
  <c r="R52" i="2"/>
  <c r="R41" i="2"/>
  <c r="L48" i="2"/>
  <c r="L52" i="2"/>
  <c r="L61" i="2"/>
  <c r="F58" i="2"/>
  <c r="G54" i="2"/>
  <c r="G35" i="2"/>
  <c r="G17" i="2"/>
  <c r="G31" i="2"/>
  <c r="Q66" i="2"/>
  <c r="F21" i="2"/>
  <c r="F60" i="2"/>
  <c r="F43" i="2"/>
  <c r="E64" i="2"/>
  <c r="AD33" i="2"/>
  <c r="AD50" i="2"/>
  <c r="AD29" i="2"/>
  <c r="W64" i="2"/>
  <c r="S63" i="2"/>
  <c r="S49" i="2"/>
  <c r="S41" i="2"/>
  <c r="S33" i="2"/>
  <c r="H60" i="2"/>
  <c r="N24" i="2"/>
  <c r="N47" i="2"/>
  <c r="Z43" i="2"/>
  <c r="Z63" i="2"/>
  <c r="Z42" i="2"/>
  <c r="M36" i="2"/>
  <c r="H13" i="2"/>
  <c r="H52" i="2"/>
  <c r="N18" i="2"/>
  <c r="Z13" i="2"/>
  <c r="Z37" i="2"/>
  <c r="Z12" i="2"/>
  <c r="T11" i="2"/>
  <c r="M32" i="2"/>
  <c r="M18" i="2"/>
  <c r="Y61" i="2"/>
  <c r="S64" i="2"/>
  <c r="H11" i="2"/>
  <c r="N54" i="2"/>
  <c r="N33" i="2"/>
  <c r="Z23" i="2"/>
  <c r="Z41" i="2"/>
  <c r="Z24" i="2"/>
  <c r="G64" i="2"/>
  <c r="M54" i="2"/>
  <c r="S65" i="2"/>
  <c r="H41" i="2"/>
  <c r="H25" i="2"/>
  <c r="N9" i="2"/>
  <c r="Z52" i="2"/>
  <c r="Z48" i="2"/>
  <c r="T9" i="2"/>
  <c r="M14" i="2"/>
  <c r="Y63" i="2"/>
  <c r="Y16" i="2"/>
  <c r="H43" i="2"/>
  <c r="N63" i="2"/>
  <c r="N52" i="2"/>
  <c r="T47" i="2"/>
  <c r="H61" i="2"/>
  <c r="N12" i="2"/>
  <c r="N29" i="2"/>
  <c r="Z15" i="2"/>
  <c r="Z14" i="2"/>
  <c r="Z40" i="2"/>
  <c r="T25" i="2"/>
  <c r="M63" i="2"/>
  <c r="Y24" i="2"/>
  <c r="H27" i="2"/>
  <c r="H49" i="2"/>
  <c r="N28" i="2"/>
  <c r="N7" i="2"/>
  <c r="N11" i="2"/>
  <c r="Z9" i="2"/>
  <c r="Z16" i="2"/>
  <c r="Z50" i="2"/>
  <c r="T13" i="2"/>
  <c r="T35" i="2"/>
  <c r="T17" i="2"/>
  <c r="M26" i="2"/>
  <c r="M30" i="2"/>
  <c r="M40" i="2"/>
  <c r="Y48" i="2"/>
  <c r="Y18" i="2"/>
  <c r="Y12" i="2"/>
  <c r="H23" i="2"/>
  <c r="N22" i="2"/>
  <c r="N30" i="2"/>
  <c r="N8" i="2"/>
  <c r="Z17" i="2"/>
  <c r="Z22" i="2"/>
  <c r="T45" i="2"/>
  <c r="M22" i="2"/>
  <c r="M12" i="2"/>
  <c r="H17" i="2"/>
  <c r="H37" i="2"/>
  <c r="N40" i="2"/>
  <c r="N14" i="2"/>
  <c r="N50" i="2"/>
  <c r="N13" i="2"/>
  <c r="N41" i="2"/>
  <c r="Z35" i="2"/>
  <c r="Z25" i="2"/>
  <c r="Z18" i="2"/>
  <c r="Z26" i="2"/>
  <c r="T23" i="2"/>
  <c r="M50" i="2"/>
  <c r="N21" i="2"/>
  <c r="Z46" i="2"/>
  <c r="T31" i="2"/>
  <c r="Y36" i="2"/>
  <c r="Y60" i="2"/>
  <c r="Y32" i="2"/>
  <c r="Y44" i="2"/>
  <c r="N48" i="2"/>
  <c r="T21" i="2"/>
  <c r="H29" i="2"/>
  <c r="Z27" i="2"/>
  <c r="T33" i="2"/>
  <c r="H45" i="2"/>
  <c r="N27" i="2"/>
  <c r="T15" i="2"/>
  <c r="Y26" i="2"/>
  <c r="T64" i="2"/>
  <c r="N37" i="2"/>
  <c r="Z34" i="2"/>
  <c r="T37" i="2"/>
  <c r="M16" i="2"/>
  <c r="M48" i="2"/>
  <c r="Y40" i="2"/>
  <c r="Y42" i="2"/>
  <c r="Y22" i="2"/>
  <c r="Y54" i="2"/>
  <c r="N16" i="2"/>
  <c r="Z31" i="2"/>
  <c r="M24" i="2"/>
  <c r="N36" i="2"/>
  <c r="N45" i="2"/>
  <c r="Z61" i="2"/>
  <c r="Y30" i="2"/>
  <c r="H21" i="2"/>
  <c r="N49" i="2"/>
  <c r="T27" i="2"/>
  <c r="H9" i="2"/>
  <c r="N26" i="2"/>
  <c r="N23" i="2"/>
  <c r="Z29" i="2"/>
  <c r="Z28" i="2"/>
  <c r="T60" i="2"/>
  <c r="M46" i="2"/>
  <c r="H15" i="2"/>
  <c r="N10" i="2"/>
  <c r="N44" i="2"/>
  <c r="N35" i="2"/>
  <c r="Z49" i="2"/>
  <c r="Z45" i="2"/>
  <c r="Z32" i="2"/>
  <c r="Z30" i="2"/>
  <c r="T29" i="2"/>
  <c r="T7" i="2"/>
  <c r="M52" i="2"/>
  <c r="Y46" i="2"/>
  <c r="H33" i="2"/>
  <c r="N32" i="2"/>
  <c r="N61" i="2"/>
  <c r="N31" i="2"/>
  <c r="Z60" i="2"/>
  <c r="Z21" i="2"/>
  <c r="Z36" i="2"/>
  <c r="T49" i="2"/>
  <c r="M28" i="2"/>
  <c r="H31" i="2"/>
  <c r="H35" i="2"/>
  <c r="H47" i="2"/>
  <c r="T65" i="2"/>
  <c r="N34" i="2"/>
  <c r="N46" i="2"/>
  <c r="N42" i="2"/>
  <c r="N43" i="2"/>
  <c r="N17" i="2"/>
  <c r="N25" i="2"/>
  <c r="N60" i="2"/>
  <c r="Z11" i="2"/>
  <c r="Z33" i="2"/>
  <c r="Z47" i="2"/>
  <c r="Z8" i="2"/>
  <c r="Z54" i="2"/>
  <c r="Z44" i="2"/>
  <c r="Z10" i="2"/>
  <c r="G65" i="2"/>
  <c r="T43" i="2"/>
  <c r="T41" i="2"/>
  <c r="T52" i="2"/>
  <c r="M34" i="2"/>
  <c r="M42" i="2"/>
  <c r="M44" i="2"/>
  <c r="M61" i="2"/>
  <c r="Y14" i="2"/>
  <c r="Y34" i="2"/>
  <c r="Y50" i="2"/>
  <c r="Y28" i="2"/>
  <c r="AF64" i="2"/>
  <c r="T66" i="2"/>
  <c r="H66" i="2"/>
  <c r="N65" i="2"/>
  <c r="AF66" i="2"/>
  <c r="H64" i="2"/>
  <c r="AE66" i="2"/>
  <c r="S66" i="2"/>
  <c r="Z65" i="2"/>
  <c r="Z66" i="2"/>
  <c r="AE64" i="2"/>
  <c r="Y65" i="2"/>
  <c r="Z64" i="2"/>
  <c r="G66" i="2"/>
  <c r="Z59" i="2"/>
  <c r="AE65" i="2"/>
  <c r="N66" i="2"/>
  <c r="Y64" i="2"/>
  <c r="M65" i="2"/>
  <c r="G62" i="2"/>
  <c r="S62" i="2"/>
  <c r="G58" i="2"/>
  <c r="AE59" i="2"/>
  <c r="S59" i="2"/>
  <c r="H59" i="2"/>
  <c r="AF59" i="2"/>
  <c r="H65" i="2"/>
  <c r="H62" i="2"/>
  <c r="N59" i="2"/>
  <c r="M64" i="2"/>
  <c r="G59" i="2"/>
  <c r="AF65" i="2"/>
  <c r="AF58" i="2"/>
  <c r="T58" i="2"/>
  <c r="S58" i="2"/>
  <c r="T59" i="2"/>
  <c r="AF62" i="2"/>
  <c r="H58" i="2"/>
  <c r="T62" i="2"/>
  <c r="N64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<sst xmlns="http://schemas.openxmlformats.org/spreadsheetml/2006/main" count="171" uniqueCount="165">
  <si>
    <t>Reference Items</t>
  </si>
  <si>
    <t>Right click to show data transparency (not supported for all values)</t>
  </si>
  <si>
    <t>Caterpillar Inc (CAT US) - Standardized</t>
  </si>
  <si>
    <t>In Millions of USD except Per Share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</si>
  <si>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</si>
  <si>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</si>
  <si>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</si>
  <si>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</si>
  <si>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</si>
  <si>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</si>
  <si>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</si>
  <si>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</si>
  <si>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</si>
  <si>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</si>
  <si>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</si>
  <si>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</si>
  <si>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</si>
  <si>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</si>
  <si>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</si>
  <si>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</si>
  <si>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</si>
  <si>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</si>
  <si>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</si>
  <si>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</si>
  <si>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</si>
  <si>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</si>
  <si>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</si>
  <si>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</si>
  <si>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</si>
  <si>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</si>
  <si>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</si>
  <si>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</si>
  <si>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</si>
  <si>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Q4 2025</t>
  </si>
  <si>
    <t>3 Months Ending</t>
  </si>
  <si>
    <t>09/30/2018</t>
  </si>
  <si>
    <t>12/31/2018</t>
  </si>
  <si>
    <t>03/31/2019</t>
  </si>
  <si>
    <t>06/30/2019</t>
  </si>
  <si>
    <t>09/30/2019</t>
  </si>
  <si>
    <t>12/31/2019</t>
  </si>
  <si>
    <t>03/31/2020</t>
  </si>
  <si>
    <t>06/30/2020</t>
  </si>
  <si>
    <t>09/30/2020</t>
  </si>
  <si>
    <t>12/31/2020</t>
  </si>
  <si>
    <t>03/31/2021</t>
  </si>
  <si>
    <t>06/30/2021</t>
  </si>
  <si>
    <t>09/30/2021</t>
  </si>
  <si>
    <t>12/31/2021</t>
  </si>
  <si>
    <t>03/31/2022</t>
  </si>
  <si>
    <t>06/30/2022</t>
  </si>
  <si>
    <t>09/30/2022</t>
  </si>
  <si>
    <t>12/31/2022</t>
  </si>
  <si>
    <t>03/31/2023</t>
  </si>
  <si>
    <t>06/30/2023</t>
  </si>
  <si>
    <t>09/30/2023</t>
  </si>
  <si>
    <t>12/31/2023</t>
  </si>
  <si>
    <t>03/31/2024</t>
  </si>
  <si>
    <t>06/30/2024</t>
  </si>
  <si>
    <t>09/30/2024</t>
  </si>
  <si>
    <t>12/31/2024</t>
  </si>
  <si>
    <t>03/31/2025</t>
  </si>
  <si>
    <t>06/30/2025</t>
  </si>
  <si>
    <t>09/30/2025</t>
  </si>
  <si>
    <t>12/31/2025</t>
  </si>
  <si>
    <t>Cash from Operating Activities</t>
  </si>
  <si>
    <t xml:space="preserve">  + Net Income</t>
  </si>
  <si>
    <t>CF_NET_INC</t>
  </si>
  <si>
    <t xml:space="preserve">  + Depreciation &amp; Amortization</t>
  </si>
  <si>
    <t>CF_DEPR_AMORT</t>
  </si>
  <si>
    <t xml:space="preserve">  + Non-Cash Items</t>
  </si>
  <si>
    <t>NON_CASH_ITEMS_DETAILED</t>
  </si>
  <si>
    <t xml:space="preserve">    + Deferred Income Taxes</t>
  </si>
  <si>
    <t>CF_DEF_INC_TAX</t>
  </si>
  <si>
    <t xml:space="preserve">    + Other Non-Cash Adj</t>
  </si>
  <si>
    <t>OTHER_NON_CASH_ADJ_LESS_DETAILED</t>
  </si>
  <si>
    <t xml:space="preserve">  + Chg in Non-Cash Work Cap</t>
  </si>
  <si>
    <t>CF_CHNG_NON_CASH_WORK_CAP</t>
  </si>
  <si>
    <t xml:space="preserve">    + (Inc) Dec in Accts Receiv</t>
  </si>
  <si>
    <t>CF_ACCT_RCV_UNBILLED_REV</t>
  </si>
  <si>
    <t xml:space="preserve">    + (Inc) Dec in Inventories</t>
  </si>
  <si>
    <t>CF_CHANGE_IN_INVENTORIES</t>
  </si>
  <si>
    <t xml:space="preserve">    + Inc (Dec) in Accts Payable</t>
  </si>
  <si>
    <t>CF_CHANGE_IN_ACCOUNTS_PAYABLE</t>
  </si>
  <si>
    <t xml:space="preserve">    + Inc (Dec) in Other</t>
  </si>
  <si>
    <t>INC_DEC_IN_OT_OP_AST_LIAB_DETAIL</t>
  </si>
  <si>
    <t xml:space="preserve">  + Net Cash From Disc Ops</t>
  </si>
  <si>
    <t>CF_NET_CASH_DISCONT_OPS_OPER</t>
  </si>
  <si>
    <t>CF_CASH_FROM_OPER</t>
  </si>
  <si>
    <t>Cash from Investing Activities</t>
  </si>
  <si>
    <t xml:space="preserve">  + Change in Fixed &amp; Intang</t>
  </si>
  <si>
    <t>FIXED_INTANG_ASST_CHANGE</t>
  </si>
  <si>
    <t xml:space="preserve">    + Disp in Fixed &amp; Intang</t>
  </si>
  <si>
    <t>DISPOSAL_OF_FIXED_INTANG</t>
  </si>
  <si>
    <t xml:space="preserve">    + Disp of Fixed Prod Assets</t>
  </si>
  <si>
    <t>CF_DISPOSAL_OF_FIXED_PROD_ASSETS</t>
  </si>
  <si>
    <t xml:space="preserve">    + Disp of Intangible Assets</t>
  </si>
  <si>
    <t>CF_DISPOSAL_OF_INTANGIBLE_ASSETS</t>
  </si>
  <si>
    <t xml:space="preserve">    + Acq of Fixed &amp; Intang</t>
  </si>
  <si>
    <t>ACQUIS_OF_FIXED_INTANG</t>
  </si>
  <si>
    <t xml:space="preserve">    + Acq of Fixed Prod Assets</t>
  </si>
  <si>
    <t>CF_PURCHASE_OF_FIXED_PROD_ASSETS</t>
  </si>
  <si>
    <t xml:space="preserve">    + Acq of Intangible Assets</t>
  </si>
  <si>
    <t>CF_ACQUISITION_OF_INTANG_ASSETS</t>
  </si>
  <si>
    <t xml:space="preserve">  + Net Change in LT Investment</t>
  </si>
  <si>
    <t>NET_CHG_IN_LT_INVEST_DETAILED</t>
  </si>
  <si>
    <t xml:space="preserve">    + Dec in LT Investment</t>
  </si>
  <si>
    <t>CF_DECR_INVEST</t>
  </si>
  <si>
    <t xml:space="preserve">    + Inc in LT Investment</t>
  </si>
  <si>
    <t>CF_INCR_INVEST</t>
  </si>
  <si>
    <t xml:space="preserve">  + Net Cash From Acq &amp; Div</t>
  </si>
  <si>
    <t>CF_NT_CSH_RCVD_PD_FOR_ACQUIS_DIV</t>
  </si>
  <si>
    <t xml:space="preserve">    + Cash from Divestitures</t>
  </si>
  <si>
    <t>CF_CASH_FOR_DIVESTITURES</t>
  </si>
  <si>
    <t xml:space="preserve">    + Cash for Acq of Subs</t>
  </si>
  <si>
    <t>CF_CASH_FOR_ACQUIS_SUBSIDIARIES</t>
  </si>
  <si>
    <t xml:space="preserve">    + Cash for JVs</t>
  </si>
  <si>
    <t>CF_CASH_FOR_JOINT_VENTURES_ASSOC</t>
  </si>
  <si>
    <t xml:space="preserve">  + Other Investing Activities</t>
  </si>
  <si>
    <t>OTHER_INVESTING_ACT_DETAILED</t>
  </si>
  <si>
    <t>CF_NET_CASH_DISCONTINUED_OPS_INV</t>
  </si>
  <si>
    <t>CF_CASH_FROM_INV_ACT</t>
  </si>
  <si>
    <t>Cash from Financing Activities</t>
  </si>
  <si>
    <t xml:space="preserve">  + Dividends Paid</t>
  </si>
  <si>
    <t>CF_DVD_PAID</t>
  </si>
  <si>
    <t xml:space="preserve">  + Cash From (Repayment) Debt</t>
  </si>
  <si>
    <t>PROC_FR_REPAYMNTS_BOR_DETAILED</t>
  </si>
  <si>
    <t xml:space="preserve">    + Cash From (Repay) ST Debt</t>
  </si>
  <si>
    <t>CF_NET_CHG_ST_DEBT_CPTL_LEAS</t>
  </si>
  <si>
    <t xml:space="preserve">    + Cash From LT Debt</t>
  </si>
  <si>
    <t>CF_LT_DEBT_CAP_LEAS_PROCEEDS</t>
  </si>
  <si>
    <t xml:space="preserve">    + Repayments of LT Debt</t>
  </si>
  <si>
    <t>CF_LT_DEBT_CAP_LEAS_PAYMENT</t>
  </si>
  <si>
    <t xml:space="preserve">  + Cash (Repurchase) of Equity</t>
  </si>
  <si>
    <t>PROC_FR_REPURCH_EQTY_DETAILED</t>
  </si>
  <si>
    <t xml:space="preserve">    + Increase in Capital Stock</t>
  </si>
  <si>
    <t>CF_INCR_CAP_STOCK</t>
  </si>
  <si>
    <t xml:space="preserve">    + Decrease in Capital Stock</t>
  </si>
  <si>
    <t>CF_DECR_CAP_STOCK</t>
  </si>
  <si>
    <t xml:space="preserve">  + Other Financing Activities</t>
  </si>
  <si>
    <t>OTHER_FIN_AND_DEC_CAP</t>
  </si>
  <si>
    <t>CF_NET_CASH_DISCONTINUED_OPS_FIN</t>
  </si>
  <si>
    <t>CFF_ACTIVITIES_DETAILED</t>
  </si>
  <si>
    <t xml:space="preserve">  Effect of Foreign Exchange Rates</t>
  </si>
  <si>
    <t>CF_EFFECT_FOREIGN_EXCHANGES</t>
  </si>
  <si>
    <t>Net Changes in Cash</t>
  </si>
  <si>
    <t>CF_NET_CHNG_CASH</t>
  </si>
  <si>
    <t>EBITDA</t>
  </si>
  <si>
    <t>Trailing 12M EBITDA Margin</t>
  </si>
  <si>
    <t>EBITDA_MARGIN</t>
  </si>
  <si>
    <t>Net Cash Paid for Acquisitions</t>
  </si>
  <si>
    <t>CF_NET_CASH_PAID_FOR_AQUIS</t>
  </si>
  <si>
    <t>Free Cash Flow</t>
  </si>
  <si>
    <t>CF_FREE_CASH_FLOW</t>
  </si>
  <si>
    <t>Free Cash Flow to Firm</t>
  </si>
  <si>
    <t>CF_FREE_CASH_FLOW_FIRM</t>
  </si>
  <si>
    <t>Free Cash Flow to Equity</t>
  </si>
  <si>
    <t>FREE_CASH_FLOW_EQUITY</t>
  </si>
  <si>
    <t>Free Cash Flow per Basic Share</t>
  </si>
  <si>
    <t>FREE_CASH_FLOW_PER_SH</t>
  </si>
  <si>
    <t>Price to Free Cash Flow</t>
  </si>
  <si>
    <t>PX_TO_FREE_CASH_FLOW</t>
  </si>
  <si>
    <t>Cash Flow to Net Income</t>
  </si>
  <si>
    <t>CASH_FLOW_TO_NET_INC</t>
  </si>
  <si>
    <t>Source: Bloomberg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</si>
</sst>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#,##0.0"/>
  </numFmts>
  <fonts count="29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1"/>
      <color indexed="9"/>
      <name val="Calibri"/>
      <family val="2"/>
    </font>
    <font>
      <sz val="10"/>
      <color indexed="63"/>
      <name val="Arial"/>
      <family val="2"/>
    </font>
    <font>
      <i/>
      <sz val="10"/>
      <color indexed="63"/>
      <name val="Arial"/>
      <family val="2"/>
    </font>
    <font>
      <b/>
      <sz val="16"/>
      <color indexed="9"/>
      <name val="Arial"/>
      <family val="2"/>
    </font>
    <font>
      <sz val="10"/>
      <name val="Calibri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  <font>
      <sz val="10"/>
      <color indexed="63"/>
      <name val="Arial"/>
      <family val="2"/>
    </font>
    <font>
      <i/>
      <sz val="10"/>
      <color indexed="63"/>
      <name val="Arial"/>
      <family val="2"/>
    </font>
    <font>
      <i/>
      <sz val="10"/>
      <color indexed="8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58">
    <xf numFmtId="0" fontId="0" fillId="0" borderId="0"/>
    <xf numFmtId="0" fontId="12" fillId="10" borderId="0" applyNumberFormat="0" applyBorder="0" applyAlignment="0" applyProtection="0"/>
    <xf numFmtId="0" fontId="12" fillId="14" borderId="0" applyNumberFormat="0" applyBorder="0" applyAlignment="0" applyProtection="0"/>
    <xf numFmtId="0" fontId="12" fillId="18" borderId="0" applyNumberFormat="0" applyBorder="0" applyAlignment="0" applyProtection="0"/>
    <xf numFmtId="0" fontId="12" fillId="22" borderId="0" applyNumberFormat="0" applyBorder="0" applyAlignment="0" applyProtection="0"/>
    <xf numFmtId="0" fontId="12" fillId="26" borderId="0" applyNumberFormat="0" applyBorder="0" applyAlignment="0" applyProtection="0"/>
    <xf numFmtId="0" fontId="12" fillId="30" borderId="0" applyNumberFormat="0" applyBorder="0" applyAlignment="0" applyProtection="0"/>
    <xf numFmtId="0" fontId="12" fillId="11" borderId="0" applyNumberFormat="0" applyBorder="0" applyAlignment="0" applyProtection="0"/>
    <xf numFmtId="0" fontId="12" fillId="15" borderId="0" applyNumberFormat="0" applyBorder="0" applyAlignment="0" applyProtection="0"/>
    <xf numFmtId="0" fontId="12" fillId="19" borderId="0" applyNumberFormat="0" applyBorder="0" applyAlignment="0" applyProtection="0"/>
    <xf numFmtId="0" fontId="12" fillId="23" borderId="0" applyNumberFormat="0" applyBorder="0" applyAlignment="0" applyProtection="0"/>
    <xf numFmtId="0" fontId="12" fillId="27" borderId="0" applyNumberFormat="0" applyBorder="0" applyAlignment="0" applyProtection="0"/>
    <xf numFmtId="0" fontId="12" fillId="31" borderId="0" applyNumberFormat="0" applyBorder="0" applyAlignment="0" applyProtection="0"/>
    <xf numFmtId="0" fontId="28" fillId="12" borderId="0" applyNumberFormat="0" applyBorder="0" applyAlignment="0" applyProtection="0"/>
    <xf numFmtId="0" fontId="28" fillId="16" borderId="0" applyNumberFormat="0" applyBorder="0" applyAlignment="0" applyProtection="0"/>
    <xf numFmtId="0" fontId="28" fillId="20" borderId="0" applyNumberFormat="0" applyBorder="0" applyAlignment="0" applyProtection="0"/>
    <xf numFmtId="0" fontId="28" fillId="24" borderId="0" applyNumberFormat="0" applyBorder="0" applyAlignment="0" applyProtection="0"/>
    <xf numFmtId="0" fontId="28" fillId="28" borderId="0" applyNumberFormat="0" applyBorder="0" applyAlignment="0" applyProtection="0"/>
    <xf numFmtId="0" fontId="28" fillId="32" borderId="0" applyNumberFormat="0" applyBorder="0" applyAlignment="0" applyProtection="0"/>
    <xf numFmtId="0" fontId="28" fillId="9" borderId="0" applyNumberFormat="0" applyBorder="0" applyAlignment="0" applyProtection="0"/>
    <xf numFmtId="0" fontId="28" fillId="13" borderId="0" applyNumberFormat="0" applyBorder="0" applyAlignment="0" applyProtection="0"/>
    <xf numFmtId="0" fontId="28" fillId="17" borderId="0" applyNumberFormat="0" applyBorder="0" applyAlignment="0" applyProtection="0"/>
    <xf numFmtId="0" fontId="28" fillId="21" borderId="0" applyNumberFormat="0" applyBorder="0" applyAlignment="0" applyProtection="0"/>
    <xf numFmtId="0" fontId="28" fillId="25" borderId="0" applyNumberFormat="0" applyBorder="0" applyAlignment="0" applyProtection="0"/>
    <xf numFmtId="0" fontId="28" fillId="29" borderId="0" applyNumberFormat="0" applyBorder="0" applyAlignment="0" applyProtection="0"/>
    <xf numFmtId="0" fontId="18" fillId="3" borderId="0" applyNumberFormat="0" applyBorder="0" applyAlignment="0" applyProtection="0"/>
    <xf numFmtId="0" fontId="2" fillId="33" borderId="0"/>
    <xf numFmtId="0" fontId="22" fillId="6" borderId="9" applyNumberFormat="0" applyAlignment="0" applyProtection="0"/>
    <xf numFmtId="0" fontId="24" fillId="7" borderId="12" applyNumberFormat="0" applyAlignment="0" applyProtection="0"/>
    <xf numFmtId="0" fontId="26" fillId="0" borderId="0" applyNumberFormat="0" applyFill="0" applyBorder="0" applyAlignment="0" applyProtection="0"/>
    <xf numFmtId="0" fontId="7" fillId="33" borderId="1">
      <alignment horizontal="right"/>
    </xf>
    <xf numFmtId="0" fontId="6" fillId="34" borderId="0" applyNumberFormat="0" applyBorder="0" applyProtection="0">
      <alignment horizontal="center"/>
    </xf>
    <xf numFmtId="0" fontId="7" fillId="33" borderId="3">
      <alignment horizontal="right"/>
    </xf>
    <xf numFmtId="0" fontId="7" fillId="33" borderId="3">
      <alignment horizontal="left"/>
    </xf>
    <xf numFmtId="0" fontId="11" fillId="35" borderId="4" applyNumberFormat="0" applyAlignment="0" applyProtection="0"/>
    <xf numFmtId="0" fontId="8" fillId="34" borderId="5"/>
    <xf numFmtId="0" fontId="10" fillId="34" borderId="5"/>
    <xf numFmtId="0" fontId="9" fillId="34" borderId="5"/>
    <xf numFmtId="0" fontId="17" fillId="2" borderId="0" applyNumberFormat="0" applyBorder="0" applyAlignment="0" applyProtection="0"/>
    <xf numFmtId="0" fontId="14" fillId="0" borderId="6" applyNumberFormat="0" applyFill="0" applyAlignment="0" applyProtection="0"/>
    <xf numFmtId="0" fontId="15" fillId="0" borderId="7" applyNumberFormat="0" applyFill="0" applyAlignment="0" applyProtection="0"/>
    <xf numFmtId="0" fontId="16" fillId="0" borderId="8" applyNumberFormat="0" applyFill="0" applyAlignment="0" applyProtection="0"/>
    <xf numFmtId="0" fontId="16" fillId="0" borderId="0" applyNumberFormat="0" applyFill="0" applyBorder="0" applyAlignment="0" applyProtection="0"/>
    <xf numFmtId="0" fontId="20" fillId="5" borderId="9" applyNumberFormat="0" applyAlignment="0" applyProtection="0"/>
    <xf numFmtId="0" fontId="23" fillId="0" borderId="11" applyNumberFormat="0" applyFill="0" applyAlignment="0" applyProtection="0"/>
    <xf numFmtId="0" fontId="19" fillId="4" borderId="0" applyNumberFormat="0" applyBorder="0" applyAlignment="0" applyProtection="0"/>
    <xf numFmtId="0" fontId="12" fillId="8" borderId="13" applyNumberFormat="0" applyFont="0" applyAlignment="0" applyProtection="0"/>
    <xf numFmtId="0" fontId="21" fillId="6" borderId="10" applyNumberFormat="0" applyAlignment="0" applyProtection="0"/>
    <xf numFmtId="0" fontId="13" fillId="0" borderId="0" applyNumberFormat="0" applyFill="0" applyBorder="0" applyAlignment="0" applyProtection="0"/>
    <xf numFmtId="0" fontId="27" fillId="0" borderId="14" applyNumberFormat="0" applyFill="0" applyAlignment="0" applyProtection="0"/>
    <xf numFmtId="0" fontId="25" fillId="0" borderId="0" applyNumberFormat="0" applyFill="0" applyBorder="0" applyAlignment="0" applyProtection="0"/>
    <xf numFmtId="0" fontId="5" fillId="33" borderId="15" applyNumberFormat="0" applyProtection="0">
      <alignment horizontal="left" vertical="center" readingOrder="1"/>
    </xf>
    <xf numFmtId="0" fontId="7" fillId="33" borderId="1">
      <alignment horizontal="left"/>
    </xf>
    <xf numFmtId="171" fontId="1" fillId="34" borderId="2">
      <alignment horizontal="right"/>
    </xf>
    <xf numFmtId="4" fontId="1" fillId="34" borderId="2">
      <alignment horizontal="right"/>
    </xf>
    <xf numFmtId="3" fontId="8" fillId="34" borderId="2">
      <alignment horizontal="right"/>
    </xf>
    <xf numFmtId="171" fontId="8" fillId="34" borderId="2">
      <alignment horizontal="right"/>
    </xf>
    <xf numFmtId="171" fontId="11" fillId="34" borderId="2">
      <alignment horizontal="right"/>
    </xf>
  </cellStyleXfs>
  <cellXfs count="17">
    <xf numFmtId="0" fontId="0" fillId="0" borderId="0" xfId="0"/>
    <xf numFmtId="0" fontId="2" fillId="33" borderId="0" xfId="26" applyNumberFormat="1" applyFont="1" applyFill="1" applyBorder="1" applyAlignment="1" applyProtection="1"/>
    <xf numFmtId="0" fontId="6" fillId="34" borderId="0" xfId="31" applyFont="1" applyFill="1" applyAlignment="1">
      <alignment horizontal="center"/>
    </xf>
    <xf numFmtId="0" fontId="7" fillId="33" borderId="3" xfId="33" applyNumberFormat="1" applyFont="1" applyFill="1" applyBorder="1" applyAlignment="1" applyProtection="1">
      <alignment horizontal="left"/>
    </xf>
    <xf numFmtId="0" fontId="7" fillId="33" borderId="3" xfId="32" applyNumberFormat="1" applyFont="1" applyFill="1" applyBorder="1" applyAlignment="1" applyProtection="1">
      <alignment horizontal="right"/>
    </xf>
    <xf numFmtId="0" fontId="7" fillId="33" borderId="1" xfId="30" applyNumberFormat="1" applyFont="1" applyFill="1" applyBorder="1" applyAlignment="1" applyProtection="1">
      <alignment horizontal="right"/>
    </xf>
    <xf numFmtId="0" fontId="8" fillId="34" borderId="5" xfId="35" applyNumberFormat="1" applyFont="1" applyFill="1" applyBorder="1" applyAlignment="1" applyProtection="1"/>
    <xf numFmtId="0" fontId="11" fillId="35" borderId="4" xfId="34" applyFont="1" applyFill="1" applyBorder="1"/>
    <xf numFmtId="0" fontId="5" fillId="33" borderId="15" xfId="51" applyFont="1" applyFill="1" applyBorder="1" applyAlignment="1">
      <alignment horizontal="left" vertical="center" readingOrder="1"/>
    </xf>
    <xf numFmtId="0" fontId="7" fillId="33" borderId="1" xfId="52">
      <alignment horizontal="left"/>
    </xf>
    <xf numFmtId="0" fontId="3" fillId="34" borderId="5" xfId="37" applyNumberFormat="1" applyFont="1" applyFill="1" applyBorder="1" applyAlignment="1" applyProtection="1"/>
    <xf numFmtId="0" fontId="4" fillId="34" borderId="5" xfId="36" applyNumberFormat="1" applyFont="1" applyFill="1" applyBorder="1" applyAlignment="1" applyProtection="1"/>
    <xf numFmtId="171" fontId="1" fillId="34" borderId="2" xfId="53" applyNumberFormat="1" applyFont="1" applyFill="1" applyBorder="1" applyAlignment="1" applyProtection="1">
      <alignment horizontal="right"/>
    </xf>
    <xf numFmtId="4" fontId="1" fillId="34" borderId="2" xfId="54" applyNumberFormat="1" applyFont="1" applyFill="1" applyBorder="1" applyAlignment="1" applyProtection="1">
      <alignment horizontal="right"/>
    </xf>
    <xf numFmtId="3" fontId="8" fillId="34" borderId="2" xfId="55" applyNumberFormat="1" applyFont="1" applyFill="1" applyBorder="1" applyAlignment="1" applyProtection="1">
      <alignment horizontal="right"/>
    </xf>
    <xf numFmtId="171" fontId="8" fillId="34" borderId="2" xfId="56" applyNumberFormat="1" applyFont="1" applyFill="1" applyBorder="1" applyAlignment="1" applyProtection="1">
      <alignment horizontal="right"/>
    </xf>
    <xf numFmtId="171" fontId="11" fillId="34" borderId="2" xfId="57" applyNumberFormat="1" applyFont="1" applyFill="1" applyBorder="1" applyAlignment="1" applyProtection="1">
      <alignment horizontal="right"/>
    </xf>
  </cellXfs>
  <cellStyles count="58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blp_title_header_row_left" xfId="51" xr:uid="{00000000-0005-0000-0000-00001A000000}"/>
    <cellStyle name="Calculation" xfId="27" builtinId="22" customBuiltin="1"/>
    <cellStyle name="Check Cell" xfId="28" builtinId="23" customBuiltin="1"/>
    <cellStyle name="Explanatory Text" xfId="29" builtinId="53" customBuiltin="1"/>
    <cellStyle name="fa_column_header_bottom" xfId="30" xr:uid="{00000000-0005-0000-0000-00001E000000}"/>
    <cellStyle name="fa_column_header_bottom_left" xfId="52" xr:uid="{00000000-0005-0000-0000-00001F000000}"/>
    <cellStyle name="fa_column_header_empty" xfId="31" xr:uid="{00000000-0005-0000-0000-000020000000}"/>
    <cellStyle name="fa_column_header_top" xfId="32" xr:uid="{00000000-0005-0000-0000-000021000000}"/>
    <cellStyle name="fa_column_header_top_left" xfId="33" xr:uid="{00000000-0005-0000-0000-000022000000}"/>
    <cellStyle name="fa_data_bold_0_grouped" xfId="55" xr:uid="{00000000-0005-0000-0000-000023000000}"/>
    <cellStyle name="fa_data_bold_1_grouped" xfId="56" xr:uid="{00000000-0005-0000-0000-000024000000}"/>
    <cellStyle name="fa_data_italic_1_grouped" xfId="57" xr:uid="{00000000-0005-0000-0000-000025000000}"/>
    <cellStyle name="fa_data_standard_1_grouped" xfId="53" xr:uid="{00000000-0005-0000-0000-000026000000}"/>
    <cellStyle name="fa_data_standard_2_grouped" xfId="54" xr:uid="{00000000-0005-0000-0000-000027000000}"/>
    <cellStyle name="fa_footer_italic" xfId="34" xr:uid="{00000000-0005-0000-0000-000028000000}"/>
    <cellStyle name="fa_row_header_bold" xfId="35" xr:uid="{00000000-0005-0000-0000-000029000000}"/>
    <cellStyle name="fa_row_header_italic" xfId="36" xr:uid="{00000000-0005-0000-0000-00002A000000}"/>
    <cellStyle name="fa_row_header_standard" xfId="37" xr:uid="{00000000-0005-0000-0000-00002B000000}"/>
    <cellStyle name="Good" xfId="38" builtinId="26" customBuiltin="1"/>
    <cellStyle name="Heading 1" xfId="39" builtinId="16" customBuiltin="1"/>
    <cellStyle name="Heading 2" xfId="40" builtinId="17" customBuiltin="1"/>
    <cellStyle name="Heading 3" xfId="41" builtinId="18" customBuiltin="1"/>
    <cellStyle name="Heading 4" xfId="42" builtinId="19" customBuiltin="1"/>
    <cellStyle name="Input" xfId="43" builtinId="20" customBuiltin="1"/>
    <cellStyle name="Linked Cell" xfId="44" builtinId="24" customBuiltin="1"/>
    <cellStyle name="Neutral" xfId="45" builtinId="28" customBuiltin="1"/>
    <cellStyle name="Normal" xfId="0" builtinId="0"/>
    <cellStyle name="Note" xfId="46" builtinId="10" customBuiltin="1"/>
    <cellStyle name="Output" xfId="47" builtinId="21" customBuiltin="1"/>
    <cellStyle name="Title" xfId="48" builtinId="15" customBuiltin="1"/>
    <cellStyle name="Total" xfId="49" builtinId="25" customBuiltin="1"/>
    <cellStyle name="Warning Text" xfId="50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BDH|17057458025043887896</stp>
        <tr r="D23" s="2"/>
      </tp>
      <tp t="s">
        <v>#N/A N/A</v>
        <stp/>
        <stp>BDH|16229168733606743802</stp>
        <tr r="M10" s="2"/>
      </tp>
      <tp t="s">
        <v>#N/A N/A</v>
        <stp/>
        <stp>BDH|18443828182282250065</stp>
        <tr r="E29" s="2"/>
      </tp>
      <tp t="s">
        <v>#N/A N/A</v>
        <stp/>
        <stp>BDH|16526008434889336621</stp>
        <tr r="D62" s="2"/>
      </tp>
      <tp t="s">
        <v>#N/A N/A</v>
        <stp/>
        <stp>BDH|14398695584011852155</stp>
        <tr r="L66" s="2"/>
      </tp>
      <tp t="s">
        <v>#N/A N/A</v>
        <stp/>
        <stp>BDH|16726719233010443835</stp>
        <tr r="AB47" s="2"/>
      </tp>
      <tp t="s">
        <v>#N/A N/A</v>
        <stp/>
        <stp>BDH|12650095888276697646</stp>
        <tr r="C35" s="2"/>
      </tp>
      <tp t="s">
        <v>#N/A N/A</v>
        <stp/>
        <stp>BDH|16382700161319147469</stp>
        <tr r="AB30" s="2"/>
      </tp>
      <tp t="s">
        <v>#N/A N/A</v>
        <stp/>
        <stp>BDH|15065721160596466826</stp>
        <tr r="M18" s="2"/>
      </tp>
      <tp t="s">
        <v>#N/A N/A</v>
        <stp/>
        <stp>BDH|15377060401277444841</stp>
        <tr r="C63" s="2"/>
      </tp>
      <tp t="s">
        <v>#N/A N/A</v>
        <stp/>
        <stp>BDH|13120834516989760947</stp>
        <tr r="R27" s="2"/>
      </tp>
      <tp t="s">
        <v>#N/A N/A</v>
        <stp/>
        <stp>BDH|17232343516779146667</stp>
        <tr r="AB18" s="2"/>
      </tp>
      <tp t="s">
        <v>#N/A N/A</v>
        <stp/>
        <stp>BDH|12471502391742288614</stp>
        <tr r="Q37" s="2"/>
      </tp>
      <tp t="s">
        <v>#N/A N/A</v>
        <stp/>
        <stp>BDH|15464717088145272565</stp>
        <tr r="U54" s="2"/>
      </tp>
      <tp t="s">
        <v>#N/A N/A</v>
        <stp/>
        <stp>BDH|12480543463182357998</stp>
        <tr r="E33" s="2"/>
      </tp>
      <tp t="s">
        <v>#N/A N/A</v>
        <stp/>
        <stp>BDH|13120748489475763339</stp>
        <tr r="W18" s="2"/>
      </tp>
      <tp t="s">
        <v>#N/A N/A</v>
        <stp/>
        <stp>BDH|13215453930818827643</stp>
        <tr r="O45" s="2"/>
      </tp>
      <tp t="s">
        <v>#N/A N/A</v>
        <stp/>
        <stp>BDH|12836046821509077360</stp>
        <tr r="AE37" s="2"/>
      </tp>
      <tp t="s">
        <v>#N/A N/A</v>
        <stp/>
        <stp>BDH|14562448425169889173</stp>
        <tr r="AB26" s="2"/>
      </tp>
      <tp t="s">
        <v>#N/A N/A</v>
        <stp/>
        <stp>BDH|12171347541876669985</stp>
        <tr r="V43" s="2"/>
      </tp>
      <tp t="s">
        <v>#N/A N/A</v>
        <stp/>
        <stp>BDH|13709958798008296120</stp>
        <tr r="H29" s="2"/>
      </tp>
      <tp t="s">
        <v>#N/A N/A</v>
        <stp/>
        <stp>BDH|11369871947037993009</stp>
        <tr r="U58" s="2"/>
      </tp>
      <tp t="s">
        <v>#N/A N/A</v>
        <stp/>
        <stp>BDH|17783843802427433288</stp>
        <tr r="M45" s="2"/>
      </tp>
      <tp t="s">
        <v>#N/A N/A</v>
        <stp/>
        <stp>BDH|13801314794610076301</stp>
        <tr r="I11" s="2"/>
      </tp>
      <tp t="s">
        <v>#N/A N/A</v>
        <stp/>
        <stp>BDH|13609927110409911819</stp>
        <tr r="Q18" s="2"/>
      </tp>
      <tp t="s">
        <v>#N/A N/A</v>
        <stp/>
        <stp>BDH|12679257682441596384</stp>
        <tr r="H22" s="2"/>
      </tp>
      <tp t="s">
        <v>#N/A N/A</v>
        <stp/>
        <stp>BDH|17249582582180703009</stp>
        <tr r="I44" s="2"/>
      </tp>
      <tp t="s">
        <v>#N/A N/A</v>
        <stp/>
        <stp>BDH|18420325476455716381</stp>
        <tr r="D8" s="2"/>
      </tp>
      <tp t="s">
        <v>#N/A N/A</v>
        <stp/>
        <stp>BDH|11387270862988821709</stp>
        <tr r="L61" s="2"/>
      </tp>
      <tp t="s">
        <v>#N/A N/A</v>
        <stp/>
        <stp>BDH|13292531118518377543</stp>
        <tr r="AA13" s="2"/>
      </tp>
      <tp t="s">
        <v>#N/A N/A</v>
        <stp/>
        <stp>BDH|10455386047885885929</stp>
        <tr r="W61" s="2"/>
      </tp>
      <tp t="s">
        <v>#N/A N/A</v>
        <stp/>
        <stp>BDH|11868660713199870442</stp>
        <tr r="E21" s="2"/>
      </tp>
      <tp t="s">
        <v>#N/A N/A</v>
        <stp/>
        <stp>BDH|11087545852003246973</stp>
        <tr r="V7" s="2"/>
      </tp>
      <tp t="s">
        <v>#N/A N/A</v>
        <stp/>
        <stp>BDH|16895144369993745918</stp>
        <tr r="R35" s="2"/>
      </tp>
      <tp t="s">
        <v>#N/A N/A</v>
        <stp/>
        <stp>BDH|11678330053008717426</stp>
        <tr r="E13" s="2"/>
      </tp>
      <tp t="s">
        <v>#N/A N/A</v>
        <stp/>
        <stp>BDH|10344045085061340238</stp>
        <tr r="AD45" s="2"/>
      </tp>
      <tp t="s">
        <v>#N/A N/A</v>
        <stp/>
        <stp>BDH|10242134622381805990</stp>
        <tr r="I30" s="2"/>
      </tp>
      <tp t="s">
        <v>#N/A N/A</v>
        <stp/>
        <stp>BDH|17223190719748859482</stp>
        <tr r="AB62" s="2"/>
      </tp>
      <tp t="s">
        <v>#N/A N/A</v>
        <stp/>
        <stp>BDH|14798621585111144046</stp>
        <tr r="I43" s="2"/>
      </tp>
      <tp t="s">
        <v>#N/A N/A</v>
        <stp/>
        <stp>BDH|13442238835210643912</stp>
        <tr r="V60" s="2"/>
      </tp>
      <tp t="s">
        <v>#N/A N/A</v>
        <stp/>
        <stp>BDH|11660857471187311241</stp>
        <tr r="AA54" s="2"/>
      </tp>
      <tp t="s">
        <v>#N/A N/A</v>
        <stp/>
        <stp>BDH|18277783101483715791</stp>
        <tr r="AA61" s="2"/>
      </tp>
      <tp t="s">
        <v>#N/A N/A</v>
        <stp/>
        <stp>BDH|15246735137498476277</stp>
        <tr r="AA36" s="2"/>
      </tp>
      <tp t="s">
        <v>#N/A N/A</v>
        <stp/>
        <stp>BDH|18173290675515010386</stp>
        <tr r="K21" s="2"/>
      </tp>
      <tp t="s">
        <v>#N/A N/A</v>
        <stp/>
        <stp>BDH|10344323880665011550</stp>
        <tr r="AC54" s="2"/>
      </tp>
      <tp t="s">
        <v>#N/A N/A</v>
        <stp/>
        <stp>BDH|17497737243968354734</stp>
        <tr r="C48" s="2"/>
      </tp>
      <tp t="s">
        <v>#N/A N/A</v>
        <stp/>
        <stp>BDH|18340110866282479679</stp>
        <tr r="X24" s="2"/>
      </tp>
      <tp t="s">
        <v>#N/A N/A</v>
        <stp/>
        <stp>BDH|18239929548277630997</stp>
        <tr r="AA26" s="2"/>
      </tp>
      <tp t="s">
        <v>#N/A N/A</v>
        <stp/>
        <stp>BDH|11591540239849921561</stp>
        <tr r="C49" s="2"/>
      </tp>
      <tp t="s">
        <v>#N/A N/A</v>
        <stp/>
        <stp>BDH|16739051347338477161</stp>
        <tr r="AE23" s="2"/>
      </tp>
      <tp t="s">
        <v>#N/A N/A</v>
        <stp/>
        <stp>BDH|12424497346440404986</stp>
        <tr r="D30" s="2"/>
      </tp>
      <tp t="s">
        <v>#N/A N/A</v>
        <stp/>
        <stp>BDH|13341277588646396497</stp>
        <tr r="Y50" s="2"/>
      </tp>
      <tp t="s">
        <v>#N/A N/A</v>
        <stp/>
        <stp>BDH|16259961073532776169</stp>
        <tr r="P27" s="2"/>
      </tp>
      <tp t="s">
        <v>#N/A N/A</v>
        <stp/>
        <stp>BDH|13717849830403492017</stp>
        <tr r="AF58" s="2"/>
      </tp>
      <tp t="s">
        <v>#N/A N/A</v>
        <stp/>
        <stp>BDH|14203715595599288828</stp>
        <tr r="W60" s="2"/>
      </tp>
      <tp t="s">
        <v>#N/A N/A</v>
        <stp/>
        <stp>BDH|15472541787257625471</stp>
        <tr r="AF18" s="2"/>
      </tp>
      <tp t="s">
        <v>#N/A N/A</v>
        <stp/>
        <stp>BDH|10886120912763159801</stp>
        <tr r="K45" s="2"/>
      </tp>
      <tp t="s">
        <v>#N/A N/A</v>
        <stp/>
        <stp>BDH|16877972161441592333</stp>
        <tr r="S13" s="2"/>
      </tp>
      <tp t="s">
        <v>#N/A N/A</v>
        <stp/>
        <stp>BDH|11759160374239864558</stp>
        <tr r="I22" s="2"/>
      </tp>
      <tp t="s">
        <v>#N/A N/A</v>
        <stp/>
        <stp>BDH|10283405244659655286</stp>
        <tr r="AD22" s="2"/>
      </tp>
      <tp t="s">
        <v>#N/A N/A</v>
        <stp/>
        <stp>BDH|14164870376019004986</stp>
        <tr r="I21" s="2"/>
      </tp>
      <tp t="s">
        <v>#N/A N/A</v>
        <stp/>
        <stp>BDH|15347803638290023568</stp>
        <tr r="R40" s="2"/>
      </tp>
      <tp t="s">
        <v>#N/A N/A</v>
        <stp/>
        <stp>BDH|12857950748036956214</stp>
        <tr r="I41" s="2"/>
      </tp>
      <tp t="s">
        <v>#N/A N/A</v>
        <stp/>
        <stp>BDH|10893276898873815334</stp>
        <tr r="Y9" s="2"/>
      </tp>
      <tp t="s">
        <v>#N/A N/A</v>
        <stp/>
        <stp>BDH|13113646590651114681</stp>
        <tr r="AF23" s="2"/>
      </tp>
      <tp t="s">
        <v>#N/A N/A</v>
        <stp/>
        <stp>BDH|13933722885220868794</stp>
        <tr r="P60" s="2"/>
      </tp>
      <tp t="s">
        <v>#N/A N/A</v>
        <stp/>
        <stp>BDH|12601007987146901771</stp>
        <tr r="Z41" s="2"/>
      </tp>
      <tp t="s">
        <v>#N/A N/A</v>
        <stp/>
        <stp>BDH|14041891986646344920</stp>
        <tr r="Z31" s="2"/>
      </tp>
      <tp t="s">
        <v>#N/A N/A</v>
        <stp/>
        <stp>BDH|13187389042494283887</stp>
        <tr r="X47" s="2"/>
      </tp>
      <tp t="s">
        <v>#N/A N/A</v>
        <stp/>
        <stp>BDH|17720423947169066638</stp>
        <tr r="AB54" s="2"/>
      </tp>
      <tp t="s">
        <v>#N/A N/A</v>
        <stp/>
        <stp>BDH|13282525517169446625</stp>
        <tr r="AE42" s="2"/>
      </tp>
      <tp t="s">
        <v>#N/A N/A</v>
        <stp/>
        <stp>BDH|18255414793779957487</stp>
        <tr r="L29" s="2"/>
      </tp>
      <tp t="s">
        <v>#N/A N/A</v>
        <stp/>
        <stp>BDH|13073147504713727977</stp>
        <tr r="AE40" s="2"/>
      </tp>
      <tp t="s">
        <v>#N/A N/A</v>
        <stp/>
        <stp>BDH|11836451159181174955</stp>
        <tr r="AB13" s="2"/>
      </tp>
      <tp t="s">
        <v>#N/A N/A</v>
        <stp/>
        <stp>BDH|18113104771390576657</stp>
        <tr r="O63" s="2"/>
      </tp>
      <tp t="s">
        <v>#N/A N/A</v>
        <stp/>
        <stp>BDH|13214853912717729522</stp>
        <tr r="T45" s="2"/>
      </tp>
      <tp t="s">
        <v>#N/A N/A</v>
        <stp/>
        <stp>BDH|16157499261964999835</stp>
        <tr r="AE54" s="2"/>
      </tp>
      <tp t="s">
        <v>#N/A N/A</v>
        <stp/>
        <stp>BDH|15182444333023354967</stp>
        <tr r="W28" s="2"/>
      </tp>
      <tp t="s">
        <v>#N/A N/A</v>
        <stp/>
        <stp>BDH|15959180814418493526</stp>
        <tr r="G40" s="2"/>
      </tp>
      <tp t="s">
        <v>#N/A N/A</v>
        <stp/>
        <stp>BDH|17142915844702270049</stp>
        <tr r="Y66" s="2"/>
      </tp>
      <tp t="s">
        <v>#N/A N/A</v>
        <stp/>
        <stp>BDH|18246308151303347529</stp>
        <tr r="T31" s="2"/>
      </tp>
      <tp t="s">
        <v>#N/A N/A</v>
        <stp/>
        <stp>BDH|17766173970118356115</stp>
        <tr r="AD66" s="2"/>
      </tp>
      <tp t="s">
        <v>#N/A N/A</v>
        <stp/>
        <stp>BDH|13570872731927801798</stp>
        <tr r="C10" s="2"/>
      </tp>
      <tp t="s">
        <v>#N/A N/A</v>
        <stp/>
        <stp>BDH|15765527570928025701</stp>
        <tr r="AA41" s="2"/>
      </tp>
      <tp t="s">
        <v>#N/A N/A</v>
        <stp/>
        <stp>BDH|16367927572118483827</stp>
        <tr r="C43" s="2"/>
      </tp>
      <tp t="s">
        <v>#N/A N/A</v>
        <stp/>
        <stp>BDH|10460721317646451809</stp>
        <tr r="AD50" s="2"/>
      </tp>
      <tp t="s">
        <v>#N/A N/A</v>
        <stp/>
        <stp>BDH|11482121629518952239</stp>
        <tr r="L23" s="2"/>
      </tp>
      <tp t="s">
        <v>#N/A N/A</v>
        <stp/>
        <stp>BDH|17590581278509737467</stp>
        <tr r="AA48" s="2"/>
      </tp>
      <tp t="s">
        <v>#N/A N/A</v>
        <stp/>
        <stp>BDH|10799559786650530555</stp>
        <tr r="AB45" s="2"/>
      </tp>
      <tp t="s">
        <v>#N/A N/A</v>
        <stp/>
        <stp>BDH|14120945053030565058</stp>
        <tr r="K16" s="2"/>
      </tp>
      <tp t="s">
        <v>#N/A N/A</v>
        <stp/>
        <stp>BDH|12681095252136308981</stp>
        <tr r="N52" s="2"/>
      </tp>
      <tp t="s">
        <v>#N/A N/A</v>
        <stp/>
        <stp>BDH|13582770085850621476</stp>
        <tr r="Z17" s="2"/>
      </tp>
      <tp t="s">
        <v>#N/A N/A</v>
        <stp/>
        <stp>BDH|13424263586799804856</stp>
        <tr r="AD41" s="2"/>
      </tp>
      <tp t="s">
        <v>#N/A N/A</v>
        <stp/>
        <stp>BDH|12407388557754538865</stp>
        <tr r="N42" s="2"/>
      </tp>
      <tp t="s">
        <v>#N/A N/A</v>
        <stp/>
        <stp>BDH|11500118029859211374</stp>
        <tr r="H44" s="2"/>
      </tp>
      <tp t="s">
        <v>#N/A N/A</v>
        <stp/>
        <stp>BDH|10349926408993058220</stp>
        <tr r="I62" s="2"/>
      </tp>
      <tp t="s">
        <v>#N/A N/A</v>
        <stp/>
        <stp>BDH|12930830773503688642</stp>
        <tr r="S25" s="2"/>
      </tp>
      <tp t="s">
        <v>#N/A N/A</v>
        <stp/>
        <stp>BDH|15276470341665869875</stp>
        <tr r="U28" s="2"/>
      </tp>
      <tp t="s">
        <v>#N/A N/A</v>
        <stp/>
        <stp>BDH|14925887579701339213</stp>
        <tr r="AC18" s="2"/>
      </tp>
      <tp t="s">
        <v>#N/A N/A</v>
        <stp/>
        <stp>BDH|18107298406783481102</stp>
        <tr r="V18" s="2"/>
      </tp>
      <tp t="s">
        <v>#N/A N/A</v>
        <stp/>
        <stp>BDH|18246542622725648280</stp>
        <tr r="D64" s="2"/>
      </tp>
      <tp t="s">
        <v>#N/A N/A</v>
        <stp/>
        <stp>BDH|14456773241197987861</stp>
        <tr r="Q25" s="2"/>
      </tp>
      <tp t="s">
        <v>#N/A N/A</v>
        <stp/>
        <stp>BDH|12436402964300566886</stp>
        <tr r="N64" s="2"/>
      </tp>
      <tp t="s">
        <v>#N/A N/A</v>
        <stp/>
        <stp>BDH|13968697140090823954</stp>
        <tr r="I8" s="2"/>
      </tp>
      <tp t="s">
        <v>#N/A N/A</v>
        <stp/>
        <stp>BDH|14766432389683035318</stp>
        <tr r="K27" s="2"/>
      </tp>
      <tp t="s">
        <v>#N/A N/A</v>
        <stp/>
        <stp>BDH|16700273112708610583</stp>
        <tr r="Y16" s="2"/>
      </tp>
      <tp t="s">
        <v>#N/A N/A</v>
        <stp/>
        <stp>BDH|11882130124479708349</stp>
        <tr r="D61" s="2"/>
      </tp>
      <tp t="s">
        <v>#N/A N/A</v>
        <stp/>
        <stp>BDH|18393589220696633110</stp>
        <tr r="Q14" s="2"/>
      </tp>
      <tp t="s">
        <v>#N/A N/A</v>
        <stp/>
        <stp>BDH|10990842969425308385</stp>
        <tr r="AD63" s="2"/>
      </tp>
      <tp t="s">
        <v>#N/A N/A</v>
        <stp/>
        <stp>BDH|18350004857024337191</stp>
        <tr r="AC52" s="2"/>
      </tp>
      <tp t="s">
        <v>#N/A N/A</v>
        <stp/>
        <stp>BDH|16160984069398760994</stp>
        <tr r="Q17" s="2"/>
      </tp>
      <tp t="s">
        <v>#N/A N/A</v>
        <stp/>
        <stp>BDH|17067919976888839910</stp>
        <tr r="Z12" s="2"/>
      </tp>
      <tp t="s">
        <v>#N/A N/A</v>
        <stp/>
        <stp>BDH|17885834366186988658</stp>
        <tr r="AC37" s="2"/>
      </tp>
      <tp t="s">
        <v>#N/A N/A</v>
        <stp/>
        <stp>BDH|10582904393631415839</stp>
        <tr r="P7" s="2"/>
      </tp>
      <tp t="s">
        <v>#N/A N/A</v>
        <stp/>
        <stp>BDH|10451390409079110346</stp>
        <tr r="X58" s="2"/>
      </tp>
      <tp t="s">
        <v>#N/A N/A</v>
        <stp/>
        <stp>BDH|11175652190680158740</stp>
        <tr r="I60" s="2"/>
      </tp>
      <tp t="s">
        <v>#N/A N/A</v>
        <stp/>
        <stp>BDH|14582601592546704419</stp>
        <tr r="AA10" s="2"/>
      </tp>
      <tp t="s">
        <v>#N/A N/A</v>
        <stp/>
        <stp>BDH|13189620970749044200</stp>
        <tr r="N11" s="2"/>
      </tp>
      <tp t="s">
        <v>#N/A N/A</v>
        <stp/>
        <stp>BDH|11010844400709108968</stp>
        <tr r="F32" s="2"/>
      </tp>
      <tp t="s">
        <v>#N/A N/A</v>
        <stp/>
        <stp>BDH|11568137214720007818</stp>
        <tr r="M13" s="2"/>
      </tp>
      <tp t="s">
        <v>#N/A N/A</v>
        <stp/>
        <stp>BDH|18247630708581367697</stp>
        <tr r="L21" s="2"/>
      </tp>
      <tp t="s">
        <v>#N/A N/A</v>
        <stp/>
        <stp>BDH|17385806810243129405</stp>
        <tr r="X50" s="2"/>
      </tp>
      <tp t="s">
        <v>#N/A N/A</v>
        <stp/>
        <stp>BDH|15169961113857367357</stp>
        <tr r="AF44" s="2"/>
      </tp>
      <tp t="s">
        <v>#N/A N/A</v>
        <stp/>
        <stp>BDH|11657569658189453186</stp>
        <tr r="H52" s="2"/>
      </tp>
      <tp t="s">
        <v>#N/A N/A</v>
        <stp/>
        <stp>BDH|17974090825829100530</stp>
        <tr r="T7" s="2"/>
      </tp>
      <tp t="s">
        <v>#N/A N/A</v>
        <stp/>
        <stp>BDH|14575545151594286959</stp>
        <tr r="P13" s="2"/>
      </tp>
      <tp t="s">
        <v>#N/A N/A</v>
        <stp/>
        <stp>BDH|13039963217271212351</stp>
        <tr r="AC10" s="2"/>
      </tp>
      <tp t="s">
        <v>#N/A N/A</v>
        <stp/>
        <stp>BDH|10158206665575545874</stp>
        <tr r="G23" s="2"/>
      </tp>
      <tp t="s">
        <v>#N/A N/A</v>
        <stp/>
        <stp>BDH|14866938521020716644</stp>
        <tr r="J18" s="2"/>
      </tp>
      <tp t="s">
        <v>#N/A N/A</v>
        <stp/>
        <stp>BDH|17830140842542456939</stp>
        <tr r="T17" s="2"/>
      </tp>
      <tp t="s">
        <v>#N/A N/A</v>
        <stp/>
        <stp>BDH|11028544628439174645</stp>
        <tr r="M54" s="2"/>
      </tp>
      <tp t="s">
        <v>#N/A N/A</v>
        <stp/>
        <stp>BDH|13898231981834727444</stp>
        <tr r="R52" s="2"/>
      </tp>
      <tp t="s">
        <v>#N/A N/A</v>
        <stp/>
        <stp>BDH|16630004589574594327</stp>
        <tr r="M48" s="2"/>
      </tp>
      <tp t="s">
        <v>#N/A N/A</v>
        <stp/>
        <stp>BDH|14646738238340493928</stp>
        <tr r="AB32" s="2"/>
      </tp>
      <tp t="s">
        <v>#N/A N/A</v>
        <stp/>
        <stp>BDH|13547673639016881982</stp>
        <tr r="H24" s="2"/>
      </tp>
      <tp t="s">
        <v>#N/A N/A</v>
        <stp/>
        <stp>BDH|16712625813771825953</stp>
        <tr r="F50" s="2"/>
      </tp>
      <tp t="s">
        <v>#N/A N/A</v>
        <stp/>
        <stp>BDH|15803950968127876467</stp>
        <tr r="Q16" s="2"/>
      </tp>
      <tp t="s">
        <v>#N/A N/A</v>
        <stp/>
        <stp>BDH|12195363645645857918</stp>
        <tr r="AC43" s="2"/>
      </tp>
      <tp t="s">
        <v>#N/A N/A</v>
        <stp/>
        <stp>BDH|10212923639914659748</stp>
        <tr r="AB24" s="2"/>
      </tp>
      <tp t="s">
        <v>#N/A N/A</v>
        <stp/>
        <stp>BDH|16741855845373843054</stp>
        <tr r="V54" s="2"/>
      </tp>
      <tp t="s">
        <v>#N/A N/A</v>
        <stp/>
        <stp>BDH|13665206588166628651</stp>
        <tr r="F46" s="2"/>
      </tp>
      <tp t="s">
        <v>#N/A N/A</v>
        <stp/>
        <stp>BDH|14401847349837026649</stp>
        <tr r="AA30" s="2"/>
      </tp>
      <tp t="s">
        <v>#N/A N/A</v>
        <stp/>
        <stp>BDH|16607868560439830846</stp>
        <tr r="AE50" s="2"/>
      </tp>
      <tp t="s">
        <v>#N/A N/A</v>
        <stp/>
        <stp>BDH|15858688953497608898</stp>
        <tr r="AF13" s="2"/>
      </tp>
      <tp t="s">
        <v>#N/A N/A</v>
        <stp/>
        <stp>BDH|16701680485673074267</stp>
        <tr r="R65" s="2"/>
      </tp>
      <tp t="s">
        <v>#N/A N/A</v>
        <stp/>
        <stp>BDH|16269059479360527846</stp>
        <tr r="P17" s="2"/>
      </tp>
      <tp t="s">
        <v>#N/A N/A</v>
        <stp/>
        <stp>BDH|15848032970482452906</stp>
        <tr r="D43" s="2"/>
      </tp>
      <tp t="s">
        <v>#N/A N/A</v>
        <stp/>
        <stp>BDH|10707417586594629190</stp>
        <tr r="R29" s="2"/>
      </tp>
      <tp t="s">
        <v>#N/A N/A</v>
        <stp/>
        <stp>BDH|12817029454977134919</stp>
        <tr r="J16" s="2"/>
      </tp>
      <tp t="s">
        <v>#N/A N/A</v>
        <stp/>
        <stp>BDH|15704594720053896887</stp>
        <tr r="Z59" s="2"/>
      </tp>
      <tp t="s">
        <v>#N/A N/A</v>
        <stp/>
        <stp>BDH|12032279836183636990</stp>
        <tr r="AC35" s="2"/>
      </tp>
      <tp t="s">
        <v>#N/A N/A</v>
        <stp/>
        <stp>BDH|16961587853408160028</stp>
        <tr r="Z8" s="2"/>
      </tp>
      <tp t="s">
        <v>#N/A N/A</v>
        <stp/>
        <stp>BDH|17263358521721428932</stp>
        <tr r="T34" s="2"/>
      </tp>
      <tp t="s">
        <v>#N/A N/A</v>
        <stp/>
        <stp>BDH|15699764902665266915</stp>
        <tr r="Y43" s="2"/>
      </tp>
      <tp t="s">
        <v>#N/A N/A</v>
        <stp/>
        <stp>BDH|16594330373689626523</stp>
        <tr r="E10" s="2"/>
      </tp>
      <tp t="s">
        <v>#N/A N/A</v>
        <stp/>
        <stp>BDH|18209854062268532019</stp>
        <tr r="T65" s="2"/>
      </tp>
      <tp t="s">
        <v>#N/A N/A</v>
        <stp/>
        <stp>BDH|10935373445210228981</stp>
        <tr r="R31" s="2"/>
      </tp>
      <tp t="s">
        <v>#N/A N/A</v>
        <stp/>
        <stp>BDH|12106219791813592440</stp>
        <tr r="V15" s="2"/>
      </tp>
      <tp t="s">
        <v>#N/A N/A</v>
        <stp/>
        <stp>BDH|12961651889566024462</stp>
        <tr r="AF47" s="2"/>
      </tp>
      <tp t="s">
        <v>#N/A N/A</v>
        <stp/>
        <stp>BDH|11572411582907291471</stp>
        <tr r="R33" s="2"/>
      </tp>
      <tp t="s">
        <v>#N/A N/A</v>
        <stp/>
        <stp>BDH|15538277195500558013</stp>
        <tr r="M65" s="2"/>
      </tp>
      <tp t="s">
        <v>#N/A N/A</v>
        <stp/>
        <stp>BDH|18073017683027027917</stp>
        <tr r="F27" s="2"/>
      </tp>
      <tp t="s">
        <v>#N/A N/A</v>
        <stp/>
        <stp>BDH|11163284874272194890</stp>
        <tr r="J24" s="2"/>
      </tp>
      <tp t="s">
        <v>#N/A N/A</v>
        <stp/>
        <stp>BDH|15647891001612964137</stp>
        <tr r="I33" s="2"/>
      </tp>
      <tp t="s">
        <v>#N/A N/A</v>
        <stp/>
        <stp>BDH|12092648105779100340</stp>
        <tr r="X10" s="2"/>
      </tp>
      <tp t="s">
        <v>#N/A N/A</v>
        <stp/>
        <stp>BDH|15173195199647525439</stp>
        <tr r="S24" s="2"/>
      </tp>
      <tp t="s">
        <v>#N/A N/A</v>
        <stp/>
        <stp>BDH|14873748970648357296</stp>
        <tr r="K36" s="2"/>
      </tp>
      <tp t="s">
        <v>#N/A N/A</v>
        <stp/>
        <stp>BDH|10149729581631431005</stp>
        <tr r="AC14" s="2"/>
      </tp>
      <tp t="s">
        <v>#N/A N/A</v>
        <stp/>
        <stp>BDH|16243078779199289689</stp>
        <tr r="Q13" s="2"/>
      </tp>
      <tp t="s">
        <v>#N/A N/A</v>
        <stp/>
        <stp>BDH|13150972305232617636</stp>
        <tr r="O46" s="2"/>
      </tp>
      <tp t="s">
        <v>#N/A N/A</v>
        <stp/>
        <stp>BDH|11389843345962772135</stp>
        <tr r="E45" s="2"/>
      </tp>
      <tp t="s">
        <v>#N/A N/A</v>
        <stp/>
        <stp>BDH|18006316704251417471</stp>
        <tr r="AB29" s="2"/>
      </tp>
      <tp t="s">
        <v>#N/A N/A</v>
        <stp/>
        <stp>BDH|15990523836749542404</stp>
        <tr r="L14" s="2"/>
      </tp>
      <tp t="s">
        <v>#N/A N/A</v>
        <stp/>
        <stp>BDH|13867764399547908457</stp>
        <tr r="E36" s="2"/>
      </tp>
      <tp t="s">
        <v>#N/A N/A</v>
        <stp/>
        <stp>BDH|18347518679271022508</stp>
        <tr r="K62" s="2"/>
      </tp>
      <tp t="s">
        <v>#N/A N/A</v>
        <stp/>
        <stp>BDH|15273924432973026285</stp>
        <tr r="Q58" s="2"/>
      </tp>
      <tp t="s">
        <v>#N/A N/A</v>
        <stp/>
        <stp>BDH|12282701974015593990</stp>
        <tr r="R15" s="2"/>
      </tp>
      <tp t="s">
        <v>#N/A N/A</v>
        <stp/>
        <stp>BDH|12407690136960240940</stp>
        <tr r="Y61" s="2"/>
      </tp>
      <tp t="s">
        <v>#N/A N/A</v>
        <stp/>
        <stp>BDH|11024251644479597092</stp>
        <tr r="T24" s="2"/>
      </tp>
      <tp t="s">
        <v>#N/A N/A</v>
        <stp/>
        <stp>BDH|18426093275415200476</stp>
        <tr r="AF27" s="2"/>
      </tp>
      <tp t="s">
        <v>#N/A N/A</v>
        <stp/>
        <stp>BDH|14855105334880959896</stp>
        <tr r="J44" s="2"/>
      </tp>
      <tp t="s">
        <v>#N/A N/A</v>
        <stp/>
        <stp>BDH|18076204853550743188</stp>
        <tr r="W24" s="2"/>
      </tp>
      <tp t="s">
        <v>#N/A N/A</v>
        <stp/>
        <stp>BDH|17453425461808838337</stp>
        <tr r="S66" s="2"/>
      </tp>
      <tp t="s">
        <v>#N/A N/A</v>
        <stp/>
        <stp>BDH|12308402997147866633</stp>
        <tr r="Y65" s="2"/>
      </tp>
      <tp t="s">
        <v>#N/A N/A</v>
        <stp/>
        <stp>BDH|18046594860067322249</stp>
        <tr r="U27" s="2"/>
      </tp>
      <tp t="s">
        <v>#N/A N/A</v>
        <stp/>
        <stp>BDH|11955712073259486615</stp>
        <tr r="C54" s="2"/>
      </tp>
      <tp t="s">
        <v>#N/A N/A</v>
        <stp/>
        <stp>BDH|14346370890185391591</stp>
        <tr r="Y47" s="2"/>
      </tp>
      <tp t="s">
        <v>#N/A N/A</v>
        <stp/>
        <stp>BDH|15076682898841325423</stp>
        <tr r="K54" s="2"/>
      </tp>
      <tp t="s">
        <v>#N/A N/A</v>
        <stp/>
        <stp>BDH|11011905951285465742</stp>
        <tr r="M52" s="2"/>
      </tp>
      <tp t="s">
        <v>#N/A N/A</v>
        <stp/>
        <stp>BDH|16354462891602252671</stp>
        <tr r="J26" s="2"/>
      </tp>
      <tp t="s">
        <v>#N/A N/A</v>
        <stp/>
        <stp>BDH|15964531081293828437</stp>
        <tr r="Q33" s="2"/>
      </tp>
      <tp t="s">
        <v>#N/A N/A</v>
        <stp/>
        <stp>BDH|17697382656776311885</stp>
        <tr r="AB16" s="2"/>
      </tp>
      <tp t="s">
        <v>#N/A N/A</v>
        <stp/>
        <stp>BDH|15075814374884417125</stp>
        <tr r="E12" s="2"/>
      </tp>
      <tp t="s">
        <v>#N/A N/A</v>
        <stp/>
        <stp>BDH|14975386511841437868</stp>
        <tr r="N16" s="2"/>
      </tp>
      <tp t="s">
        <v>#N/A N/A</v>
        <stp/>
        <stp>BDH|12205940141229287901</stp>
        <tr r="K61" s="2"/>
      </tp>
      <tp t="s">
        <v>#N/A N/A</v>
        <stp/>
        <stp>BDH|14470150672725254847</stp>
        <tr r="K46" s="2"/>
      </tp>
      <tp t="s">
        <v>#N/A N/A</v>
        <stp/>
        <stp>BDH|13277776994551341371</stp>
        <tr r="Z47" s="2"/>
      </tp>
      <tp t="s">
        <v>#N/A N/A</v>
        <stp/>
        <stp>BDH|10336951844383656109</stp>
        <tr r="P50" s="2"/>
      </tp>
      <tp t="s">
        <v>#N/A N/A</v>
        <stp/>
        <stp>BDH|10461876461509747812</stp>
        <tr r="Y11" s="2"/>
      </tp>
      <tp t="s">
        <v>#N/A N/A</v>
        <stp/>
        <stp>BDH|10277641992964779444</stp>
        <tr r="AB40" s="2"/>
      </tp>
      <tp t="s">
        <v>#N/A N/A</v>
        <stp/>
        <stp>BDH|15668470556353116815</stp>
        <tr r="S17" s="2"/>
      </tp>
      <tp t="s">
        <v>#N/A N/A</v>
        <stp/>
        <stp>BDH|14276524865408131031</stp>
        <tr r="Y27" s="2"/>
      </tp>
      <tp t="s">
        <v>#N/A N/A</v>
        <stp/>
        <stp>BDH|15482348352555042954</stp>
        <tr r="AD30" s="2"/>
      </tp>
      <tp t="s">
        <v>#N/A N/A</v>
        <stp/>
        <stp>BDH|17151205782827758539</stp>
        <tr r="X52" s="2"/>
      </tp>
      <tp t="s">
        <v>#N/A N/A</v>
        <stp/>
        <stp>BDH|14637936748964804237</stp>
        <tr r="F66" s="2"/>
      </tp>
      <tp t="s">
        <v>#N/A N/A</v>
        <stp/>
        <stp>BDH|14043531981550561614</stp>
        <tr r="F36" s="2"/>
      </tp>
      <tp t="s">
        <v>#N/A N/A</v>
        <stp/>
        <stp>BDH|16308527557190877980</stp>
        <tr r="Q7" s="2"/>
      </tp>
      <tp t="s">
        <v>#N/A N/A</v>
        <stp/>
        <stp>BDH|15779318042588059529</stp>
        <tr r="T14" s="2"/>
      </tp>
      <tp t="s">
        <v>#N/A N/A</v>
        <stp/>
        <stp>BDH|14588093181427349472</stp>
        <tr r="F33" s="2"/>
      </tp>
      <tp t="s">
        <v>#N/A N/A</v>
        <stp/>
        <stp>BDH|16768598046790629873</stp>
        <tr r="N44" s="2"/>
      </tp>
      <tp t="s">
        <v>#N/A N/A</v>
        <stp/>
        <stp>BDH|14876758157000722943</stp>
        <tr r="R7" s="2"/>
      </tp>
      <tp t="s">
        <v>#N/A N/A</v>
        <stp/>
        <stp>BDH|11606225057020841939</stp>
        <tr r="AC27" s="2"/>
      </tp>
      <tp t="s">
        <v>#N/A N/A</v>
        <stp/>
        <stp>BDH|16537324850149616694</stp>
        <tr r="N8" s="2"/>
      </tp>
      <tp t="s">
        <v>#N/A N/A</v>
        <stp/>
        <stp>BDH|14080596954312371969</stp>
        <tr r="W35" s="2"/>
      </tp>
      <tp t="s">
        <v>#N/A N/A</v>
        <stp/>
        <stp>BDH|11936677297301070013</stp>
        <tr r="F54" s="2"/>
      </tp>
      <tp t="s">
        <v>#N/A N/A</v>
        <stp/>
        <stp>BDH|15186754289540127570</stp>
        <tr r="W47" s="2"/>
      </tp>
      <tp t="s">
        <v>#N/A N/A</v>
        <stp/>
        <stp>BDH|12619510778028641733</stp>
        <tr r="C29" s="2"/>
      </tp>
      <tp t="s">
        <v>#N/A N/A</v>
        <stp/>
        <stp>BDH|12291487414808421001</stp>
        <tr r="T64" s="2"/>
      </tp>
      <tp t="s">
        <v>#N/A N/A</v>
        <stp/>
        <stp>BDH|17952323420190388950</stp>
        <tr r="E31" s="2"/>
      </tp>
      <tp t="s">
        <v>#N/A N/A</v>
        <stp/>
        <stp>BDH|13477050373468956371</stp>
        <tr r="W50" s="2"/>
      </tp>
      <tp t="s">
        <v>#N/A N/A</v>
        <stp/>
        <stp>BDH|10798688981364943584</stp>
        <tr r="U35" s="2"/>
      </tp>
      <tp t="s">
        <v>#N/A N/A</v>
        <stp/>
        <stp>BDH|18262713305086168698</stp>
        <tr r="R41" s="2"/>
      </tp>
      <tp t="s">
        <v>#N/A N/A</v>
        <stp/>
        <stp>BDH|13410183694986639204</stp>
        <tr r="H36" s="2"/>
      </tp>
      <tp t="s">
        <v>#N/A N/A</v>
        <stp/>
        <stp>BDH|13789020493945831000</stp>
        <tr r="T50" s="2"/>
      </tp>
      <tp t="s">
        <v>#N/A N/A</v>
        <stp/>
        <stp>BDH|14310885729714407581</stp>
        <tr r="Q62" s="2"/>
      </tp>
      <tp t="s">
        <v>#N/A N/A</v>
        <stp/>
        <stp>BDH|17629822572281814605</stp>
        <tr r="U23" s="2"/>
      </tp>
      <tp t="s">
        <v>#N/A N/A</v>
        <stp/>
        <stp>BDH|11813612236412102903</stp>
        <tr r="J30" s="2"/>
      </tp>
      <tp t="s">
        <v>#N/A N/A</v>
        <stp/>
        <stp>BDH|17449585685671989718</stp>
        <tr r="T40" s="2"/>
      </tp>
      <tp t="s">
        <v>#N/A N/A</v>
        <stp/>
        <stp>BDH|14064519870299181313</stp>
        <tr r="J8" s="2"/>
      </tp>
      <tp t="s">
        <v>#N/A N/A</v>
        <stp/>
        <stp>BDH|17506841628329060899</stp>
        <tr r="K37" s="2"/>
      </tp>
      <tp t="s">
        <v>#N/A N/A</v>
        <stp/>
        <stp>BDH|12594278052448316130</stp>
        <tr r="O29" s="2"/>
      </tp>
      <tp t="s">
        <v>#N/A N/A</v>
        <stp/>
        <stp>BDH|17411490107607928807</stp>
        <tr r="X8" s="2"/>
      </tp>
      <tp t="s">
        <v>#N/A N/A</v>
        <stp/>
        <stp>BDH|11026363836838687551</stp>
        <tr r="O23" s="2"/>
      </tp>
      <tp t="s">
        <v>#N/A N/A</v>
        <stp/>
        <stp>BDH|15645527746080242820</stp>
        <tr r="H45" s="2"/>
      </tp>
      <tp t="s">
        <v>#N/A N/A</v>
        <stp/>
        <stp>BDH|14866833328296548445</stp>
        <tr r="R48" s="2"/>
      </tp>
      <tp t="s">
        <v>#N/A N/A</v>
        <stp/>
        <stp>BDH|14961957035651276394</stp>
        <tr r="E41" s="2"/>
      </tp>
      <tp t="s">
        <v>#N/A N/A</v>
        <stp/>
        <stp>BDH|13365036026028321508</stp>
        <tr r="V49" s="2"/>
      </tp>
      <tp t="s">
        <v>#N/A N/A</v>
        <stp/>
        <stp>BDH|17985739097825075087</stp>
        <tr r="S33" s="2"/>
      </tp>
      <tp t="s">
        <v>#N/A N/A</v>
        <stp/>
        <stp>BDH|10758680562939950514</stp>
        <tr r="O21" s="2"/>
      </tp>
      <tp t="s">
        <v>#N/A N/A</v>
        <stp/>
        <stp>BDH|16972391605878891184</stp>
        <tr r="AE47" s="2"/>
      </tp>
      <tp t="s">
        <v>#N/A N/A</v>
        <stp/>
        <stp>BDH|17703078935150289820</stp>
        <tr r="G28" s="2"/>
      </tp>
      <tp t="s">
        <v>#N/A N/A</v>
        <stp/>
        <stp>BDH|10623733126380232946</stp>
        <tr r="S16" s="2"/>
      </tp>
      <tp t="s">
        <v>#N/A N/A</v>
        <stp/>
        <stp>BDH|15101168944214484838</stp>
        <tr r="L12" s="2"/>
      </tp>
      <tp t="s">
        <v>#N/A N/A</v>
        <stp/>
        <stp>BDH|13048171593961817684</stp>
        <tr r="M44" s="2"/>
      </tp>
      <tp t="s">
        <v>#N/A N/A</v>
        <stp/>
        <stp>BDH|11597222143769839282</stp>
        <tr r="I52" s="2"/>
      </tp>
      <tp t="s">
        <v>#N/A N/A</v>
        <stp/>
        <stp>BDH|16704052072799322472</stp>
        <tr r="C65" s="2"/>
      </tp>
      <tp t="s">
        <v>#N/A N/A</v>
        <stp/>
        <stp>BDH|13180922552225120670</stp>
        <tr r="Z61" s="2"/>
      </tp>
      <tp t="s">
        <v>#N/A N/A</v>
        <stp/>
        <stp>BDH|11643532986892313271</stp>
        <tr r="T16" s="2"/>
      </tp>
      <tp t="s">
        <v>#N/A N/A</v>
        <stp/>
        <stp>BDH|17899533727615855938</stp>
        <tr r="R14" s="2"/>
      </tp>
      <tp t="s">
        <v>#N/A N/A</v>
        <stp/>
        <stp>BDH|14993936277405324398</stp>
        <tr r="R45" s="2"/>
      </tp>
      <tp t="s">
        <v>#N/A N/A</v>
        <stp/>
        <stp>BDH|17915119762615981947</stp>
        <tr r="L7" s="2"/>
      </tp>
      <tp t="s">
        <v>#N/A N/A</v>
        <stp/>
        <stp>BDH|16175710697652191605</stp>
        <tr r="D26" s="2"/>
      </tp>
      <tp t="s">
        <v>#N/A N/A</v>
        <stp/>
        <stp>BDH|12803034028018405412</stp>
        <tr r="J49" s="2"/>
      </tp>
      <tp t="s">
        <v>#N/A N/A</v>
        <stp/>
        <stp>BDH|13847657619701580987</stp>
        <tr r="T35" s="2"/>
      </tp>
      <tp t="s">
        <v>#N/A N/A</v>
        <stp/>
        <stp>BDH|13387821752415331797</stp>
        <tr r="Z25" s="2"/>
      </tp>
      <tp t="s">
        <v>#N/A N/A</v>
        <stp/>
        <stp>BDH|16460061681147914536</stp>
        <tr r="I9" s="2"/>
      </tp>
      <tp t="s">
        <v>#N/A N/A</v>
        <stp/>
        <stp>BDH|13355136208279485759</stp>
        <tr r="F64" s="2"/>
      </tp>
      <tp t="s">
        <v>#N/A N/A</v>
        <stp/>
        <stp>BDH|17649127118408405308</stp>
        <tr r="F49" s="2"/>
      </tp>
      <tp t="s">
        <v>#N/A N/A</v>
        <stp/>
        <stp>BDH|18407341363234969514</stp>
        <tr r="X54" s="2"/>
      </tp>
      <tp t="s">
        <v>#N/A N/A</v>
        <stp/>
        <stp>BDH|12496897227640572455</stp>
        <tr r="E46" s="2"/>
      </tp>
      <tp t="s">
        <v>#N/A N/A</v>
        <stp/>
        <stp>BDH|12573178529838507548</stp>
        <tr r="AF14" s="2"/>
      </tp>
      <tp t="s">
        <v>#N/A N/A</v>
        <stp/>
        <stp>BDH|11075084052858421034</stp>
        <tr r="AD15" s="2"/>
      </tp>
      <tp t="s">
        <v>#N/A N/A</v>
        <stp/>
        <stp>BDH|17211832714724961601</stp>
        <tr r="T9" s="2"/>
      </tp>
      <tp t="s">
        <v>#N/A N/A</v>
        <stp/>
        <stp>BDH|18110293303083165562</stp>
        <tr r="C18" s="2"/>
      </tp>
      <tp t="s">
        <v>#N/A N/A</v>
        <stp/>
        <stp>BDH|12587796821969280207</stp>
        <tr r="U36" s="2"/>
      </tp>
      <tp t="s">
        <v>#N/A N/A</v>
        <stp/>
        <stp>BDH|13652186356273368848</stp>
        <tr r="S48" s="2"/>
      </tp>
      <tp t="s">
        <v>#N/A N/A</v>
        <stp/>
        <stp>BDH|18239593713561584120</stp>
        <tr r="V59" s="2"/>
      </tp>
      <tp t="s">
        <v>#N/A N/A</v>
        <stp/>
        <stp>BDH|10206914302464949179</stp>
        <tr r="N14" s="2"/>
      </tp>
      <tp t="s">
        <v>#N/A N/A</v>
        <stp/>
        <stp>BDH|11211494610031768929</stp>
        <tr r="H10" s="2"/>
      </tp>
      <tp t="s">
        <v>#N/A N/A</v>
        <stp/>
        <stp>BDH|11485695024069161063</stp>
        <tr r="AD52" s="2"/>
      </tp>
      <tp t="s">
        <v>#N/A N/A</v>
        <stp/>
        <stp>BDH|12564687032978603376</stp>
        <tr r="Q65" s="2"/>
      </tp>
      <tp t="s">
        <v>#N/A N/A</v>
        <stp/>
        <stp>BDH|12245473333689313149</stp>
        <tr r="AB60" s="2"/>
      </tp>
      <tp t="s">
        <v>#N/A N/A</v>
        <stp/>
        <stp>BDH|11745631860139449519</stp>
        <tr r="AC34" s="2"/>
      </tp>
      <tp t="s">
        <v>#N/A N/A</v>
        <stp/>
        <stp>BDH|15179935782908485153</stp>
        <tr r="J66" s="2"/>
      </tp>
      <tp t="s">
        <v>#N/A N/A</v>
        <stp/>
        <stp>BDH|16912764058801622812</stp>
        <tr r="Y54" s="2"/>
      </tp>
      <tp t="s">
        <v>#N/A N/A</v>
        <stp/>
        <stp>BDH|17998001014049737294</stp>
        <tr r="R49" s="2"/>
      </tp>
      <tp t="s">
        <v>#N/A N/A</v>
        <stp/>
        <stp>BDH|14687514696123146634</stp>
        <tr r="L36" s="2"/>
      </tp>
      <tp t="s">
        <v>#N/A N/A</v>
        <stp/>
        <stp>BDH|18219623331640243006</stp>
        <tr r="AF29" s="2"/>
      </tp>
      <tp t="s">
        <v>#N/A N/A</v>
        <stp/>
        <stp>BDH|17382132231890636844</stp>
        <tr r="L37" s="2"/>
      </tp>
      <tp t="s">
        <v>#N/A N/A</v>
        <stp/>
        <stp>BDH|15434234510329703231</stp>
        <tr r="T52" s="2"/>
      </tp>
      <tp t="s">
        <v>#N/A N/A</v>
        <stp/>
        <stp>BDH|12286470338959760184</stp>
        <tr r="G58" s="2"/>
      </tp>
      <tp t="s">
        <v>#N/A N/A</v>
        <stp/>
        <stp>BDH|16634667968749250282</stp>
        <tr r="N15" s="2"/>
      </tp>
      <tp t="s">
        <v>#N/A N/A</v>
        <stp/>
        <stp>BDH|11606748692812796026</stp>
        <tr r="S43" s="2"/>
      </tp>
      <tp t="s">
        <v>#N/A N/A</v>
        <stp/>
        <stp>BDH|16467060045998119731</stp>
        <tr r="AC13" s="2"/>
      </tp>
      <tp t="s">
        <v>#N/A N/A</v>
        <stp/>
        <stp>BDH|18217120817476201309</stp>
        <tr r="AF22" s="2"/>
      </tp>
      <tp t="s">
        <v>#N/A N/A</v>
        <stp/>
        <stp>BDH|16520511490423177400</stp>
        <tr r="N60" s="2"/>
      </tp>
      <tp t="s">
        <v>#N/A N/A</v>
        <stp/>
        <stp>BDH|10662711789911918335</stp>
        <tr r="AD12" s="2"/>
      </tp>
      <tp t="s">
        <v>#N/A N/A</v>
        <stp/>
        <stp>BDH|18177039445488092934</stp>
        <tr r="D58" s="2"/>
      </tp>
      <tp t="s">
        <v>#N/A N/A</v>
        <stp/>
        <stp>BDH|12249705995044579558</stp>
        <tr r="N25" s="2"/>
      </tp>
      <tp t="s">
        <v>#N/A N/A</v>
        <stp/>
        <stp>BDH|16163419812986115844</stp>
        <tr r="C27" s="2"/>
      </tp>
      <tp t="s">
        <v>#N/A N/A</v>
        <stp/>
        <stp>BDH|13751402488901168399</stp>
        <tr r="W27" s="2"/>
      </tp>
      <tp t="s">
        <v>#N/A N/A</v>
        <stp/>
        <stp>BDH|12353854355875401715</stp>
        <tr r="P49" s="2"/>
      </tp>
      <tp t="s">
        <v>#N/A N/A</v>
        <stp/>
        <stp>BDH|18402686726004878545</stp>
        <tr r="C52" s="2"/>
      </tp>
      <tp t="s">
        <v>#N/A N/A</v>
        <stp/>
        <stp>BDH|13955101516878566637</stp>
        <tr r="R10" s="2"/>
      </tp>
      <tp t="s">
        <v>#N/A N/A</v>
        <stp/>
        <stp>BDH|12887272418665670991</stp>
        <tr r="V61" s="2"/>
      </tp>
      <tp t="s">
        <v>#N/A N/A</v>
        <stp/>
        <stp>BDH|12589583251986636928</stp>
        <tr r="J58" s="2"/>
      </tp>
      <tp t="s">
        <v>#N/A N/A</v>
        <stp/>
        <stp>BDH|13107484718479902201</stp>
        <tr r="X45" s="2"/>
      </tp>
      <tp t="s">
        <v>#N/A N/A</v>
        <stp/>
        <stp>BDH|11562568892935808526</stp>
        <tr r="AA16" s="2"/>
      </tp>
      <tp t="s">
        <v>#N/A N/A</v>
        <stp/>
        <stp>BDH|17933696689796025232</stp>
        <tr r="H18" s="2"/>
      </tp>
      <tp t="s">
        <v>#N/A N/A</v>
        <stp/>
        <stp>BDH|15139087417109179053</stp>
        <tr r="V58" s="2"/>
      </tp>
      <tp t="s">
        <v>#N/A N/A</v>
        <stp/>
        <stp>BDH|10056636761264025984</stp>
        <tr r="Q11" s="2"/>
      </tp>
      <tp t="s">
        <v>#N/A N/A</v>
        <stp/>
        <stp>BDH|13970371420048620720</stp>
        <tr r="N18" s="2"/>
      </tp>
      <tp t="s">
        <v>#N/A N/A</v>
        <stp/>
        <stp>BDH|15501480247468192064</stp>
        <tr r="D7" s="2"/>
      </tp>
      <tp t="s">
        <v>#N/A N/A</v>
        <stp/>
        <stp>BDH|14200522779972115955</stp>
        <tr r="C16" s="2"/>
      </tp>
      <tp t="s">
        <v>#N/A N/A</v>
        <stp/>
        <stp>BDH|15738364794620084293</stp>
        <tr r="U52" s="2"/>
      </tp>
      <tp t="s">
        <v>#N/A N/A</v>
        <stp/>
        <stp>BDH|17068688926827787956</stp>
        <tr r="F59" s="2"/>
      </tp>
      <tp t="s">
        <v>#N/A N/A</v>
        <stp/>
        <stp>BDH|11651784404192182974</stp>
        <tr r="J45" s="2"/>
      </tp>
      <tp t="s">
        <v>#N/A N/A</v>
        <stp/>
        <stp>BDH|16585128360518339485</stp>
        <tr r="X59" s="2"/>
      </tp>
      <tp t="s">
        <v>#N/A N/A</v>
        <stp/>
        <stp>BDH|10288971929367736178</stp>
        <tr r="M17" s="2"/>
      </tp>
      <tp t="s">
        <v>#N/A N/A</v>
        <stp/>
        <stp>BDH|11974713647818669772</stp>
        <tr r="AB7" s="2"/>
      </tp>
      <tp t="s">
        <v>#N/A N/A</v>
        <stp/>
        <stp>BDH|12346407257596808821</stp>
        <tr r="D33" s="2"/>
      </tp>
      <tp t="s">
        <v>#N/A N/A</v>
        <stp/>
        <stp>BDH|10002563700385224253</stp>
        <tr r="J63" s="2"/>
      </tp>
      <tp t="s">
        <v>#N/A N/A</v>
        <stp/>
        <stp>BDH|11520426374026613645</stp>
        <tr r="AC50" s="2"/>
      </tp>
      <tp t="s">
        <v>#N/A N/A</v>
        <stp/>
        <stp>BDH|11571427816563899596</stp>
        <tr r="C17" s="2"/>
      </tp>
      <tp t="s">
        <v>#N/A N/A</v>
        <stp/>
        <stp>BDH|12589809500898427027</stp>
        <tr r="Y22" s="2"/>
      </tp>
      <tp t="s">
        <v>#N/A N/A</v>
        <stp/>
        <stp>BDH|10222382310714864412</stp>
        <tr r="K29" s="2"/>
      </tp>
      <tp t="s">
        <v>#N/A N/A</v>
        <stp/>
        <stp>BDH|18071126103739161231</stp>
        <tr r="Y28" s="2"/>
      </tp>
      <tp t="s">
        <v>#N/A N/A</v>
        <stp/>
        <stp>BDH|12939065915022008396</stp>
        <tr r="J42" s="2"/>
      </tp>
      <tp t="s">
        <v>#N/A N/A</v>
        <stp/>
        <stp>BDH|14387411001385098705</stp>
        <tr r="M46" s="2"/>
      </tp>
      <tp t="s">
        <v>#N/A N/A</v>
        <stp/>
        <stp>BDH|14207902760250227928</stp>
        <tr r="Q43" s="2"/>
      </tp>
      <tp t="s">
        <v>#N/A N/A</v>
        <stp/>
        <stp>BDH|12676360466082493709</stp>
        <tr r="C15" s="2"/>
      </tp>
      <tp t="s">
        <v>#N/A N/A</v>
        <stp/>
        <stp>BDH|16471007806284021005</stp>
        <tr r="M49" s="2"/>
      </tp>
      <tp t="s">
        <v>#N/A N/A</v>
        <stp/>
        <stp>BDH|16216180484754293990</stp>
        <tr r="Z26" s="2"/>
      </tp>
      <tp t="s">
        <v>#N/A N/A</v>
        <stp/>
        <stp>BDH|15470436301984098731</stp>
        <tr r="R25" s="2"/>
      </tp>
      <tp t="s">
        <v>#N/A N/A</v>
        <stp/>
        <stp>BDH|16377801472552069940</stp>
        <tr r="V16" s="2"/>
      </tp>
      <tp t="s">
        <v>#N/A N/A</v>
        <stp/>
        <stp>BDH|16025469550653557679</stp>
        <tr r="U63" s="2"/>
      </tp>
      <tp t="s">
        <v>#N/A N/A</v>
        <stp/>
        <stp>BDH|12390264216400695329</stp>
        <tr r="F41" s="2"/>
      </tp>
      <tp t="s">
        <v>#N/A N/A</v>
        <stp/>
        <stp>BDH|16940477258594893197</stp>
        <tr r="V31" s="2"/>
      </tp>
      <tp t="s">
        <v>#N/A N/A</v>
        <stp/>
        <stp>BDH|14473418812673433046</stp>
        <tr r="U65" s="2"/>
      </tp>
      <tp t="s">
        <v>#N/A N/A</v>
        <stp/>
        <stp>BDH|11954012132684835450</stp>
        <tr r="Q44" s="2"/>
      </tp>
      <tp t="s">
        <v>#N/A N/A</v>
        <stp/>
        <stp>BDH|16596022216867503232</stp>
        <tr r="P25" s="2"/>
      </tp>
      <tp t="s">
        <v>#N/A N/A</v>
        <stp/>
        <stp>BDH|14370145024830554506</stp>
        <tr r="M7" s="2"/>
      </tp>
      <tp t="s">
        <v>#N/A N/A</v>
        <stp/>
        <stp>BDH|11287966994653120074</stp>
        <tr r="S36" s="2"/>
      </tp>
      <tp t="s">
        <v>#N/A N/A</v>
        <stp/>
        <stp>BDH|13429209483843060818</stp>
        <tr r="P15" s="2"/>
      </tp>
      <tp t="s">
        <v>#N/A N/A</v>
        <stp/>
        <stp>BDH|11463785768922701056</stp>
        <tr r="I65" s="2"/>
      </tp>
      <tp t="s">
        <v>#N/A N/A</v>
        <stp/>
        <stp>BDH|18220548087960287757</stp>
        <tr r="S50" s="2"/>
      </tp>
      <tp t="s">
        <v>#N/A N/A</v>
        <stp/>
        <stp>BDH|17616253077482046221</stp>
        <tr r="E50" s="2"/>
      </tp>
      <tp t="s">
        <v>#N/A N/A</v>
        <stp/>
        <stp>BDH|12877611677791978016</stp>
        <tr r="W42" s="2"/>
      </tp>
      <tp t="s">
        <v>#N/A N/A</v>
        <stp/>
        <stp>BDH|18125694196827884200</stp>
        <tr r="G16" s="2"/>
      </tp>
      <tp t="s">
        <v>#N/A N/A</v>
        <stp/>
        <stp>BDH|16336464678755437202</stp>
        <tr r="U29" s="2"/>
      </tp>
      <tp t="s">
        <v>#N/A N/A</v>
        <stp/>
        <stp>BDH|17501893802194149963</stp>
        <tr r="AD14" s="2"/>
      </tp>
      <tp t="s">
        <v>#N/A N/A</v>
        <stp/>
        <stp>BDH|17008065473143487188</stp>
        <tr r="X11" s="2"/>
      </tp>
      <tp t="s">
        <v>#N/A N/A</v>
        <stp/>
        <stp>BDH|15181400140980036791</stp>
        <tr r="F42" s="2"/>
      </tp>
      <tp t="s">
        <v>#N/A N/A</v>
        <stp/>
        <stp>BDH|12112670085486839834</stp>
        <tr r="Q50" s="2"/>
      </tp>
      <tp t="s">
        <v>#N/A N/A</v>
        <stp/>
        <stp>BDH|14391208145823831368</stp>
        <tr r="C25" s="2"/>
      </tp>
      <tp t="s">
        <v>#N/A N/A</v>
        <stp/>
        <stp>BDH|11441350954120519582</stp>
        <tr r="AC42" s="2"/>
      </tp>
      <tp t="s">
        <v>#N/A N/A</v>
        <stp/>
        <stp>BDH|12223093262320237608</stp>
        <tr r="H62" s="2"/>
      </tp>
      <tp t="s">
        <v>#N/A N/A</v>
        <stp/>
        <stp>BDH|13914996710960243995</stp>
        <tr r="AD10" s="2"/>
      </tp>
      <tp t="s">
        <v>#N/A N/A</v>
        <stp/>
        <stp>BDH|15147525498542526955</stp>
        <tr r="O24" s="2"/>
      </tp>
      <tp t="s">
        <v>#N/A N/A</v>
        <stp/>
        <stp>BDH|18259040529750232860</stp>
        <tr r="J52" s="2"/>
      </tp>
      <tp t="s">
        <v>#N/A N/A</v>
        <stp/>
        <stp>BDH|13294515763901365384</stp>
        <tr r="K60" s="2"/>
      </tp>
      <tp t="s">
        <v>#N/A N/A</v>
        <stp/>
        <stp>BDH|13336364107932052085</stp>
        <tr r="W63" s="2"/>
      </tp>
      <tp t="s">
        <v>#N/A N/A</v>
        <stp/>
        <stp>BDH|10143029506097744584</stp>
        <tr r="V14" s="2"/>
      </tp>
      <tp t="s">
        <v>#N/A N/A</v>
        <stp/>
        <stp>BDH|10707562615166660082</stp>
        <tr r="D21" s="2"/>
      </tp>
      <tp t="s">
        <v>#N/A N/A</v>
        <stp/>
        <stp>BDH|11589919662938898444</stp>
        <tr r="N66" s="2"/>
      </tp>
      <tp t="s">
        <v>#N/A N/A</v>
        <stp/>
        <stp>BDH|14691083831077179236</stp>
        <tr r="W30" s="2"/>
      </tp>
      <tp t="s">
        <v>#N/A N/A</v>
        <stp/>
        <stp>BDH|12599153107716951730</stp>
        <tr r="X46" s="2"/>
      </tp>
      <tp t="s">
        <v>#N/A N/A</v>
        <stp/>
        <stp>BDH|15831646170335091318</stp>
        <tr r="AA24" s="2"/>
      </tp>
      <tp t="s">
        <v>#N/A N/A</v>
        <stp/>
        <stp>BDH|14573709104775824454</stp>
        <tr r="T33" s="2"/>
      </tp>
      <tp t="s">
        <v>#N/A N/A</v>
        <stp/>
        <stp>BDH|17608248456266051483</stp>
        <tr r="V29" s="2"/>
      </tp>
      <tp t="s">
        <v>#N/A N/A</v>
        <stp/>
        <stp>BDH|10968766957233237360</stp>
        <tr r="AC41" s="2"/>
      </tp>
      <tp t="s">
        <v>#N/A N/A</v>
        <stp/>
        <stp>BDH|13463793136763165663</stp>
        <tr r="AE60" s="2"/>
      </tp>
      <tp t="s">
        <v>#N/A N/A</v>
        <stp/>
        <stp>BDH|16123452558395063001</stp>
        <tr r="Q32" s="2"/>
      </tp>
      <tp t="s">
        <v>#N/A N/A</v>
        <stp/>
        <stp>BDH|13194324848493124541</stp>
        <tr r="D18" s="2"/>
      </tp>
      <tp t="s">
        <v>#N/A N/A</v>
        <stp/>
        <stp>BDH|17369849350329809112</stp>
        <tr r="E9" s="2"/>
      </tp>
      <tp t="s">
        <v>#N/A N/A</v>
        <stp/>
        <stp>BDH|16408030861340018282</stp>
        <tr r="J50" s="2"/>
      </tp>
      <tp t="s">
        <v>#N/A N/A</v>
        <stp/>
        <stp>BDH|11462061508580900229</stp>
        <tr r="O66" s="2"/>
      </tp>
      <tp t="s">
        <v>#N/A N/A</v>
        <stp/>
        <stp>BDH|17196882155090470996</stp>
        <tr r="T63" s="2"/>
      </tp>
      <tp t="s">
        <v>#N/A N/A</v>
        <stp/>
        <stp>BDH|15116621522071807383</stp>
        <tr r="P45" s="2"/>
      </tp>
      <tp t="s">
        <v>#N/A N/A</v>
        <stp/>
        <stp>BDH|16541976285312401625</stp>
        <tr r="F25" s="2"/>
      </tp>
      <tp t="s">
        <v>#N/A N/A</v>
        <stp/>
        <stp>BDH|14985581410935096611</stp>
        <tr r="AF21" s="2"/>
      </tp>
      <tp t="s">
        <v>#N/A N/A</v>
        <stp/>
        <stp>BDH|11124402410873122406</stp>
        <tr r="AF41" s="2"/>
      </tp>
      <tp t="s">
        <v>#N/A N/A</v>
        <stp/>
        <stp>BDH|13286609972658649963</stp>
        <tr r="Z36" s="2"/>
      </tp>
      <tp t="s">
        <v>#N/A N/A</v>
        <stp/>
        <stp>BDH|12468560214940114579</stp>
        <tr r="Q40" s="2"/>
      </tp>
      <tp t="s">
        <v>#N/A N/A</v>
        <stp/>
        <stp>BDH|13525743514731258746</stp>
        <tr r="M14" s="2"/>
      </tp>
      <tp t="s">
        <v>#N/A N/A</v>
        <stp/>
        <stp>BDH|17903590065482769516</stp>
        <tr r="AF62" s="2"/>
      </tp>
      <tp t="s">
        <v>#N/A N/A</v>
        <stp/>
        <stp>BDH|16949709660583228791</stp>
        <tr r="P47" s="2"/>
      </tp>
      <tp t="s">
        <v>#N/A N/A</v>
        <stp/>
        <stp>BDH|14149118778496904733</stp>
        <tr r="W29" s="2"/>
      </tp>
      <tp t="s">
        <v>#N/A N/A</v>
        <stp/>
        <stp>BDH|18341157057499217618</stp>
        <tr r="AA66" s="2"/>
      </tp>
      <tp t="s">
        <v>#N/A N/A</v>
        <stp/>
        <stp>BDH|17757213136407656246</stp>
        <tr r="C11" s="2"/>
      </tp>
      <tp t="s">
        <v>#N/A N/A</v>
        <stp/>
        <stp>BDH|10784205246462616758</stp>
        <tr r="M59" s="2"/>
      </tp>
      <tp t="s">
        <v>#N/A N/A</v>
        <stp/>
        <stp>BDH|11713355971496123007</stp>
        <tr r="AE41" s="2"/>
      </tp>
      <tp t="s">
        <v>#N/A N/A</v>
        <stp/>
        <stp>BDH|17919732135488574884</stp>
        <tr r="S40" s="2"/>
      </tp>
      <tp t="s">
        <v>#N/A N/A</v>
        <stp/>
        <stp>BDH|11585744128053486487</stp>
        <tr r="R32" s="2"/>
      </tp>
      <tp t="s">
        <v>#N/A N/A</v>
        <stp/>
        <stp>BDH|11383047371002661758</stp>
        <tr r="J61" s="2"/>
      </tp>
      <tp t="s">
        <v>#N/A N/A</v>
        <stp/>
        <stp>BDH|10335672824726173141</stp>
        <tr r="L43" s="2"/>
      </tp>
      <tp t="s">
        <v>#N/A N/A</v>
        <stp/>
        <stp>BDH|11805047788403740960</stp>
        <tr r="M35" s="2"/>
      </tp>
      <tp t="s">
        <v>#N/A N/A</v>
        <stp/>
        <stp>BDH|10741362512943530238</stp>
        <tr r="S45" s="2"/>
      </tp>
      <tp t="s">
        <v>#N/A N/A</v>
        <stp/>
        <stp>BDH|10463705812970402561</stp>
        <tr r="AA29" s="2"/>
      </tp>
      <tp t="s">
        <v>#N/A N/A</v>
        <stp/>
        <stp>BDH|17685077341485660526</stp>
        <tr r="I27" s="2"/>
      </tp>
      <tp t="s">
        <v>#N/A N/A</v>
        <stp/>
        <stp>BDH|17494944660729300271</stp>
        <tr r="U10" s="2"/>
      </tp>
      <tp t="s">
        <v>#N/A N/A</v>
        <stp/>
        <stp>BDH|11008563205983671416</stp>
        <tr r="AB8" s="2"/>
      </tp>
      <tp t="s">
        <v>#N/A N/A</v>
        <stp/>
        <stp>BDH|15121904009057933851</stp>
        <tr r="Z10" s="2"/>
      </tp>
      <tp t="s">
        <v>#N/A N/A</v>
        <stp/>
        <stp>BDH|12238563366180480211</stp>
        <tr r="D27" s="2"/>
      </tp>
      <tp t="s">
        <v>#N/A N/A</v>
        <stp/>
        <stp>BDH|16206118834073035404</stp>
        <tr r="F24" s="2"/>
      </tp>
      <tp t="s">
        <v>#N/A N/A</v>
        <stp/>
        <stp>BDH|12729319629038802805</stp>
        <tr r="I10" s="2"/>
      </tp>
      <tp t="s">
        <v>#N/A N/A</v>
        <stp/>
        <stp>BDH|12007423692339610513</stp>
        <tr r="X21" s="2"/>
      </tp>
      <tp t="s">
        <v>#N/A N/A</v>
        <stp/>
        <stp>BDH|17547228720492601670</stp>
        <tr r="K35" s="2"/>
      </tp>
      <tp t="s">
        <v>#N/A N/A</v>
        <stp/>
        <stp>BDH|10988563448573930185</stp>
        <tr r="M8" s="2"/>
      </tp>
      <tp t="s">
        <v>#N/A N/A</v>
        <stp/>
        <stp>BDH|17423531318884856413</stp>
        <tr r="Q63" s="2"/>
      </tp>
      <tp t="s">
        <v>#N/A N/A</v>
        <stp/>
        <stp>BDH|11328933736979341139</stp>
        <tr r="AA46" s="2"/>
      </tp>
      <tp t="s">
        <v>#N/A N/A</v>
        <stp/>
        <stp>BDH|11817073571025584022</stp>
        <tr r="U46" s="2"/>
      </tp>
      <tp t="s">
        <v>#N/A N/A</v>
        <stp/>
        <stp>BDH|13154190382841442876</stp>
        <tr r="J28" s="2"/>
      </tp>
      <tp t="s">
        <v>#N/A N/A</v>
        <stp/>
        <stp>BDH|17379064128503454502</stp>
        <tr r="J23" s="2"/>
      </tp>
      <tp t="s">
        <v>#N/A N/A</v>
        <stp/>
        <stp>BDH|15894107925056401308</stp>
        <tr r="M31" s="2"/>
      </tp>
      <tp t="s">
        <v>#N/A N/A</v>
        <stp/>
        <stp>BDH|13572510681038483596</stp>
        <tr r="W65" s="2"/>
      </tp>
      <tp t="s">
        <v>#N/A N/A</v>
        <stp/>
        <stp>BDH|10628940187337804559</stp>
        <tr r="Z64" s="2"/>
      </tp>
      <tp t="s">
        <v>#N/A N/A</v>
        <stp/>
        <stp>BDH|12993118444331485508</stp>
        <tr r="O30" s="2"/>
      </tp>
      <tp t="s">
        <v>#N/A N/A</v>
        <stp/>
        <stp>BDH|13466997054134034812</stp>
        <tr r="P33" s="2"/>
      </tp>
      <tp t="s">
        <v>#N/A N/A</v>
        <stp/>
        <stp>BDH|10086811425458742185</stp>
        <tr r="Q28" s="2"/>
      </tp>
      <tp t="s">
        <v>#N/A N/A</v>
        <stp/>
        <stp>BDH|11883060704927517543</stp>
        <tr r="R50" s="2"/>
      </tp>
      <tp t="s">
        <v>#N/A N/A</v>
        <stp/>
        <stp>BDH|12067794262913948399</stp>
        <tr r="D10" s="2"/>
      </tp>
      <tp t="s">
        <v>#N/A N/A</v>
        <stp/>
        <stp>BDH|13724485740617129757</stp>
        <tr r="X26" s="2"/>
      </tp>
      <tp t="s">
        <v>#N/A N/A</v>
        <stp/>
        <stp>BDH|14251005009642992581</stp>
        <tr r="AC11" s="2"/>
      </tp>
      <tp t="s">
        <v>#N/A N/A</v>
        <stp/>
        <stp>BDH|15684482153951265654</stp>
        <tr r="W49" s="2"/>
      </tp>
      <tp t="s">
        <v>#N/A N/A</v>
        <stp/>
        <stp>BDH|16989130861765123709</stp>
        <tr r="K9" s="2"/>
      </tp>
      <tp t="s">
        <v>#N/A N/A</v>
        <stp/>
        <stp>BDH|14438064000010650799</stp>
        <tr r="K42" s="2"/>
      </tp>
      <tp t="s">
        <v>#N/A N/A</v>
        <stp/>
        <stp>BDH|10481485002986341108</stp>
        <tr r="Y33" s="2"/>
      </tp>
      <tp t="s">
        <v>#N/A N/A</v>
        <stp/>
        <stp>BDH|13623815788902409260</stp>
        <tr r="Y52" s="2"/>
      </tp>
      <tp t="s">
        <v>#N/A N/A</v>
        <stp/>
        <stp>BDH|15825363213427947394</stp>
        <tr r="X37" s="2"/>
      </tp>
      <tp t="s">
        <v>#N/A N/A</v>
        <stp/>
        <stp>BDH|17881909013468013478</stp>
        <tr r="W14" s="2"/>
      </tp>
      <tp t="s">
        <v>#N/A N/A</v>
        <stp/>
        <stp>BDH|14224302348698000865</stp>
        <tr r="AC12" s="2"/>
      </tp>
      <tp t="s">
        <v>#N/A N/A</v>
        <stp/>
        <stp>BDH|11611199239302398290</stp>
        <tr r="Z50" s="2"/>
      </tp>
      <tp t="s">
        <v>#N/A N/A</v>
        <stp/>
        <stp>BDH|16255839450571901948</stp>
        <tr r="G22" s="2"/>
      </tp>
      <tp t="s">
        <v>#N/A N/A</v>
        <stp/>
        <stp>BDH|17719971919609324562</stp>
        <tr r="I36" s="2"/>
      </tp>
      <tp t="s">
        <v>#N/A N/A</v>
        <stp/>
        <stp>BDH|12865686427347894206</stp>
        <tr r="E43" s="2"/>
      </tp>
      <tp t="s">
        <v>#N/A N/A</v>
        <stp/>
        <stp>BDH|17881225256243573382</stp>
        <tr r="H65" s="2"/>
      </tp>
      <tp t="s">
        <v>#N/A N/A</v>
        <stp/>
        <stp>BDH|12358469607467369102</stp>
        <tr r="I14" s="2"/>
      </tp>
      <tp t="s">
        <v>#N/A N/A</v>
        <stp/>
        <stp>BDH|14391263239001588480</stp>
        <tr r="O14" s="2"/>
      </tp>
      <tp t="s">
        <v>#N/A N/A</v>
        <stp/>
        <stp>BDH|13724365924384149650</stp>
        <tr r="G60" s="2"/>
      </tp>
      <tp t="s">
        <v>#N/A N/A</v>
        <stp/>
        <stp>BDH|10349543535707395112</stp>
        <tr r="R8" s="2"/>
      </tp>
      <tp t="s">
        <v>#N/A N/A</v>
        <stp/>
        <stp>BDH|16528077141683591162</stp>
        <tr r="Z42" s="2"/>
      </tp>
      <tp t="s">
        <v>#N/A N/A</v>
        <stp/>
        <stp>BDH|12426847886077591532</stp>
        <tr r="AC60" s="2"/>
      </tp>
      <tp t="s">
        <v>#N/A N/A</v>
        <stp/>
        <stp>BDH|16016343690235570912</stp>
        <tr r="Y10" s="2"/>
      </tp>
      <tp t="s">
        <v>#N/A N/A</v>
        <stp/>
        <stp>BDH|15314857203819165472</stp>
        <tr r="J54" s="2"/>
      </tp>
      <tp t="s">
        <v>#N/A N/A</v>
        <stp/>
        <stp>BDH|12757569369898384982</stp>
        <tr r="Q60" s="2"/>
      </tp>
      <tp t="s">
        <v>#N/A N/A</v>
        <stp/>
        <stp>BDH|17055861661408768138</stp>
        <tr r="S54" s="2"/>
      </tp>
      <tp t="s">
        <v>#N/A N/A</v>
        <stp/>
        <stp>BDH|11607573579294306787</stp>
        <tr r="W15" s="2"/>
      </tp>
      <tp t="s">
        <v>#N/A N/A</v>
        <stp/>
        <stp>BDH|13389210649732097780</stp>
        <tr r="O31" s="2"/>
      </tp>
      <tp t="s">
        <v>#N/A N/A</v>
        <stp/>
        <stp>BDH|11668941910291680862</stp>
        <tr r="AB58" s="2"/>
      </tp>
      <tp t="s">
        <v>#N/A N/A</v>
        <stp/>
        <stp>BDH|13165065193573348950</stp>
        <tr r="N61" s="2"/>
      </tp>
      <tp t="s">
        <v>#N/A N/A</v>
        <stp/>
        <stp>BDH|15769025066343670073</stp>
        <tr r="X63" s="2"/>
      </tp>
      <tp t="s">
        <v>#N/A N/A</v>
        <stp/>
        <stp>BDH|15746253246294390722</stp>
        <tr r="AD49" s="2"/>
      </tp>
      <tp t="s">
        <v>#N/A N/A</v>
        <stp/>
        <stp>BDH|16040804186336702041</stp>
        <tr r="W41" s="2"/>
      </tp>
      <tp t="s">
        <v>#N/A N/A</v>
        <stp/>
        <stp>BDH|16782708515165348545</stp>
        <tr r="F43" s="2"/>
      </tp>
      <tp t="s">
        <v>#N/A N/A</v>
        <stp/>
        <stp>BDH|10032310294048304237</stp>
        <tr r="Y63" s="2"/>
      </tp>
      <tp t="s">
        <v>#N/A N/A</v>
        <stp/>
        <stp>BDH|17430167632896579310</stp>
        <tr r="F8" s="2"/>
      </tp>
      <tp t="s">
        <v>#N/A N/A</v>
        <stp/>
        <stp>BDH|11861522849426738629</stp>
        <tr r="AA40" s="2"/>
      </tp>
      <tp t="s">
        <v>#N/A N/A</v>
        <stp/>
        <stp>BDH|13687669941005084477</stp>
        <tr r="E26" s="2"/>
      </tp>
      <tp t="s">
        <v>#N/A N/A</v>
        <stp/>
        <stp>BDH|11925688617813523556</stp>
        <tr r="N24" s="2"/>
      </tp>
      <tp t="s">
        <v>#N/A N/A</v>
        <stp/>
        <stp>BDH|13047314649465780163</stp>
        <tr r="D65" s="2"/>
      </tp>
      <tp t="s">
        <v>#N/A N/A</v>
        <stp/>
        <stp>BDH|16889683337774946774</stp>
        <tr r="U61" s="2"/>
      </tp>
      <tp t="s">
        <v>#N/A N/A</v>
        <stp/>
        <stp>BDH|11339231078474846096</stp>
        <tr r="F60" s="2"/>
      </tp>
      <tp t="s">
        <v>#N/A N/A</v>
        <stp/>
        <stp>BDH|17885141506450527677</stp>
        <tr r="AF31" s="2"/>
      </tp>
      <tp t="s">
        <v>#N/A N/A</v>
        <stp/>
        <stp>BDH|14753359449154527760</stp>
        <tr r="J29" s="2"/>
      </tp>
      <tp t="s">
        <v>#N/A N/A</v>
        <stp/>
        <stp>BDH|17786829354058384293</stp>
        <tr r="W9" s="2"/>
      </tp>
      <tp t="s">
        <v>#N/A N/A</v>
        <stp/>
        <stp>BDH|15675491772581062768</stp>
        <tr r="S18" s="2"/>
      </tp>
      <tp t="s">
        <v>#N/A N/A</v>
        <stp/>
        <stp>BDH|13729872629141768855</stp>
        <tr r="T28" s="2"/>
      </tp>
      <tp t="s">
        <v>#N/A N/A</v>
        <stp/>
        <stp>BDH|15710870680147958238</stp>
        <tr r="S10" s="2"/>
      </tp>
      <tp t="s">
        <v>#N/A N/A</v>
        <stp/>
        <stp>BDH|13895596276543880255</stp>
        <tr r="AA62" s="2"/>
      </tp>
      <tp t="s">
        <v>#N/A N/A</v>
        <stp/>
        <stp>BDH|13634295707439001824</stp>
        <tr r="C45" s="2"/>
      </tp>
      <tp t="s">
        <v>#N/A N/A</v>
        <stp/>
        <stp>BDH|13142437123426930320</stp>
        <tr r="Q29" s="2"/>
      </tp>
      <tp t="s">
        <v>#N/A N/A</v>
        <stp/>
        <stp>BDH|13949343572183509479</stp>
        <tr r="X49" s="2"/>
      </tp>
      <tp t="s">
        <v>#N/A N/A</v>
        <stp/>
        <stp>BDH|11580006742016365395</stp>
        <tr r="Q52" s="2"/>
      </tp>
      <tp t="s">
        <v>#N/A N/A</v>
        <stp/>
        <stp>BDH|17898779136953641021</stp>
        <tr r="F47" s="2"/>
      </tp>
      <tp t="s">
        <v>#N/A N/A</v>
        <stp/>
        <stp>BDH|10074528251520613088</stp>
        <tr r="N27" s="2"/>
      </tp>
      <tp t="s">
        <v>#N/A N/A</v>
        <stp/>
        <stp>BDH|16015528858563642518</stp>
        <tr r="G11" s="2"/>
      </tp>
      <tp t="s">
        <v>#N/A N/A</v>
        <stp/>
        <stp>BDH|16121947563791265892</stp>
        <tr r="AB52" s="2"/>
      </tp>
      <tp t="s">
        <v>#N/A N/A</v>
        <stp/>
        <stp>BDH|16805496745521924719</stp>
        <tr r="Y12" s="2"/>
      </tp>
      <tp t="s">
        <v>#N/A N/A</v>
        <stp/>
        <stp>BDH|17930523770147109262</stp>
        <tr r="Y44" s="2"/>
      </tp>
      <tp t="s">
        <v>#N/A N/A</v>
        <stp/>
        <stp>BDH|12187757687299988464</stp>
        <tr r="N58" s="2"/>
      </tp>
      <tp t="s">
        <v>#N/A N/A</v>
        <stp/>
        <stp>BDH|10401640758435797602</stp>
        <tr r="AD7" s="2"/>
      </tp>
      <tp t="s">
        <v>#N/A N/A</v>
        <stp/>
        <stp>BDH|12837766621267579056</stp>
        <tr r="V32" s="2"/>
      </tp>
      <tp t="s">
        <v>#N/A N/A</v>
        <stp/>
        <stp>BDH|12568285525184186782</stp>
        <tr r="T62" s="2"/>
      </tp>
      <tp t="s">
        <v>#N/A N/A</v>
        <stp/>
        <stp>BDH|17199751614487345720</stp>
        <tr r="R11" s="2"/>
      </tp>
      <tp t="s">
        <v>#N/A N/A</v>
        <stp/>
        <stp>BDH|15021289279035928496</stp>
        <tr r="X34" s="2"/>
      </tp>
      <tp t="s">
        <v>#N/A N/A</v>
        <stp/>
        <stp>BDH|14373663021945763424</stp>
        <tr r="K59" s="2"/>
      </tp>
      <tp t="s">
        <v>#N/A N/A</v>
        <stp/>
        <stp>BDH|11885440738976785128</stp>
        <tr r="U18" s="2"/>
      </tp>
      <tp t="s">
        <v>#N/A N/A</v>
        <stp/>
        <stp>BDH|10164027782731277827</stp>
        <tr r="G66" s="2"/>
      </tp>
      <tp t="s">
        <v>#N/A N/A</v>
        <stp/>
        <stp>BDH|10176043205346569745</stp>
        <tr r="I48" s="2"/>
      </tp>
      <tp t="s">
        <v>#N/A N/A</v>
        <stp/>
        <stp>BDH|14378553435821235219</stp>
        <tr r="C22" s="2"/>
      </tp>
      <tp t="s">
        <v>#N/A N/A</v>
        <stp/>
        <stp>BDH|15983235301242838405</stp>
        <tr r="S62" s="2"/>
      </tp>
      <tp t="s">
        <v>#N/A N/A</v>
        <stp/>
        <stp>BDH|15073445319128722993</stp>
        <tr r="O16" s="2"/>
      </tp>
      <tp t="s">
        <v>#N/A N/A</v>
        <stp/>
        <stp>BDH|15129932128309165681</stp>
        <tr r="S15" s="2"/>
      </tp>
      <tp t="s">
        <v>#N/A N/A</v>
        <stp/>
        <stp>BDH|16724026033371100557</stp>
        <tr r="R34" s="2"/>
      </tp>
      <tp t="s">
        <v>#N/A N/A</v>
        <stp/>
        <stp>BDH|11431239184588402258</stp>
        <tr r="D40" s="2"/>
      </tp>
      <tp t="s">
        <v>#N/A N/A</v>
        <stp/>
        <stp>BDH|13725649499084164998</stp>
        <tr r="T42" s="2"/>
      </tp>
      <tp t="s">
        <v>#N/A N/A</v>
        <stp/>
        <stp>BDH|16568330339881493693</stp>
        <tr r="V47" s="2"/>
      </tp>
      <tp t="s">
        <v>#N/A N/A</v>
        <stp/>
        <stp>BDH|10424266352701759728</stp>
        <tr r="S49" s="2"/>
      </tp>
      <tp t="s">
        <v>#N/A N/A</v>
        <stp/>
        <stp>BDH|16779602101942637375</stp>
        <tr r="M25" s="2"/>
      </tp>
      <tp t="s">
        <v>#N/A N/A</v>
        <stp/>
        <stp>BDH|14663303331621138418</stp>
        <tr r="E32" s="2"/>
      </tp>
      <tp t="s">
        <v>#N/A N/A</v>
        <stp/>
        <stp>BDH|11564745740911759211</stp>
        <tr r="Q26" s="2"/>
      </tp>
      <tp t="s">
        <v>#N/A N/A</v>
        <stp/>
        <stp>BDH|13426531867372550328</stp>
        <tr r="H50" s="2"/>
      </tp>
      <tp t="s">
        <v>#N/A N/A</v>
        <stp/>
        <stp>BDH|16265131443211790321</stp>
        <tr r="M60" s="2"/>
      </tp>
      <tp t="s">
        <v>#N/A N/A</v>
        <stp/>
        <stp>BDH|14790470027872052108</stp>
        <tr r="Z40" s="2"/>
      </tp>
      <tp t="s">
        <v>#N/A N/A</v>
        <stp/>
        <stp>BDH|15164524312758771812</stp>
        <tr r="P28" s="2"/>
      </tp>
      <tp t="s">
        <v>#N/A N/A</v>
        <stp/>
        <stp>BDH|10981396944526694041</stp>
        <tr r="H8" s="2"/>
      </tp>
      <tp t="s">
        <v>#N/A N/A</v>
        <stp/>
        <stp>BDH|17390701253975258143</stp>
        <tr r="I12" s="2"/>
      </tp>
      <tp t="s">
        <v>#N/A N/A</v>
        <stp/>
        <stp>BDH|12483917882935063714</stp>
        <tr r="K30" s="2"/>
      </tp>
      <tp t="s">
        <v>#N/A N/A</v>
        <stp/>
        <stp>BDH|16887255854387161710</stp>
        <tr r="E25" s="2"/>
      </tp>
      <tp t="s">
        <v>#N/A N/A</v>
        <stp/>
        <stp>BDH|14579252804977473097</stp>
        <tr r="T11" s="2"/>
      </tp>
      <tp t="s">
        <v>#N/A N/A</v>
        <stp/>
        <stp>BDH|12444526990329676697</stp>
        <tr r="AE35" s="2"/>
      </tp>
      <tp t="s">
        <v>#N/A N/A</v>
        <stp/>
        <stp>BDH|18124281942918159724</stp>
        <tr r="C58" s="2"/>
      </tp>
      <tp t="s">
        <v>#N/A N/A</v>
        <stp/>
        <stp>BDH|17690196933971286560</stp>
        <tr r="AA44" s="2"/>
      </tp>
      <tp t="s">
        <v>#N/A N/A</v>
        <stp/>
        <stp>BDH|17662540969537426270</stp>
        <tr r="Y46" s="2"/>
      </tp>
      <tp t="s">
        <v>#N/A N/A</v>
        <stp/>
        <stp>BDH|11891457568243408199</stp>
        <tr r="G59" s="2"/>
      </tp>
      <tp t="s">
        <v>#N/A N/A</v>
        <stp/>
        <stp>BDH|15183696811315721650</stp>
        <tr r="O42" s="2"/>
      </tp>
      <tp t="s">
        <v>#N/A N/A</v>
        <stp/>
        <stp>BDH|16669534934187380697</stp>
        <tr r="K17" s="2"/>
      </tp>
      <tp t="s">
        <v>#N/A N/A</v>
        <stp/>
        <stp>BDH|17662440003663915132</stp>
        <tr r="AC59" s="2"/>
      </tp>
      <tp t="s">
        <v>#N/A N/A</v>
        <stp/>
        <stp>BDH|15054468303353945363</stp>
        <tr r="V36" s="2"/>
      </tp>
      <tp t="s">
        <v>#N/A N/A</v>
        <stp/>
        <stp>BDH|15977871980806743240</stp>
        <tr r="AD23" s="2"/>
      </tp>
      <tp t="s">
        <v>#N/A N/A</v>
        <stp/>
        <stp>BDH|12746931314723599889</stp>
        <tr r="AE15" s="2"/>
      </tp>
      <tp t="s">
        <v>#N/A N/A</v>
        <stp/>
        <stp>BDH|16818206000816792326</stp>
        <tr r="F58" s="2"/>
      </tp>
      <tp t="s">
        <v>#N/A N/A</v>
        <stp/>
        <stp>BDH|14165459437344833672</stp>
        <tr r="R60" s="2"/>
      </tp>
      <tp t="s">
        <v>#N/A N/A</v>
        <stp/>
        <stp>BDH|16497529332734061587</stp>
        <tr r="V28" s="2"/>
      </tp>
      <tp t="s">
        <v>#N/A N/A</v>
        <stp/>
        <stp>BDH|13933200846292489649</stp>
        <tr r="E37" s="2"/>
      </tp>
      <tp t="s">
        <v>#N/A N/A</v>
        <stp/>
        <stp>BDH|12819078306010702306</stp>
        <tr r="AE48" s="2"/>
      </tp>
      <tp t="s">
        <v>#N/A N/A</v>
        <stp/>
        <stp>BDH|17113582697213720975</stp>
        <tr r="AB10" s="2"/>
      </tp>
      <tp t="s">
        <v>#N/A N/A</v>
        <stp/>
        <stp>BDH|17174271773445111150</stp>
        <tr r="F34" s="2"/>
      </tp>
      <tp t="s">
        <v>#N/A N/A</v>
        <stp/>
        <stp>BDH|15033321605654336455</stp>
        <tr r="AE14" s="2"/>
      </tp>
      <tp t="s">
        <v>#N/A N/A</v>
        <stp/>
        <stp>BDH|16807611870004834505</stp>
        <tr r="V30" s="2"/>
      </tp>
      <tp t="s">
        <v>#N/A N/A</v>
        <stp/>
        <stp>BDH|15303384558926122338</stp>
        <tr r="AA33" s="2"/>
      </tp>
      <tp t="s">
        <v>#N/A N/A</v>
        <stp/>
        <stp>BDH|16725918741735793806</stp>
        <tr r="S60" s="2"/>
      </tp>
      <tp t="s">
        <v>#N/A N/A</v>
        <stp/>
        <stp>BDH|17534761502246831093</stp>
        <tr r="H63" s="2"/>
      </tp>
      <tp t="s">
        <v>#N/A N/A</v>
        <stp/>
        <stp>BDH|15939255208384624522</stp>
        <tr r="J37" s="2"/>
      </tp>
      <tp t="s">
        <v>#N/A N/A</v>
        <stp/>
        <stp>BDH|17907476894425985902</stp>
        <tr r="I45" s="2"/>
      </tp>
      <tp t="s">
        <v>#N/A N/A</v>
        <stp/>
        <stp>BDH|15004590939020697556</stp>
        <tr r="M43" s="2"/>
      </tp>
      <tp t="s">
        <v>#N/A N/A</v>
        <stp/>
        <stp>BDH|12529423702008191876</stp>
        <tr r="K8" s="2"/>
      </tp>
      <tp t="s">
        <v>#N/A N/A</v>
        <stp/>
        <stp>BDH|11580104136062710771</stp>
        <tr r="J47" s="2"/>
      </tp>
      <tp t="s">
        <v>#N/A N/A</v>
        <stp/>
        <stp>BDH|10289268944090545075</stp>
        <tr r="W46" s="2"/>
      </tp>
      <tp t="s">
        <v>#N/A N/A</v>
        <stp/>
        <stp>BDH|11222524273757975283</stp>
        <tr r="Y18" s="2"/>
      </tp>
      <tp t="s">
        <v>#N/A N/A</v>
        <stp/>
        <stp>BDH|17075951113251159823</stp>
        <tr r="N41" s="2"/>
      </tp>
      <tp t="s">
        <v>#N/A N/A</v>
        <stp/>
        <stp>BDH|16365802696861388034</stp>
        <tr r="AB61" s="2"/>
      </tp>
      <tp t="s">
        <v>#N/A N/A</v>
        <stp/>
        <stp>BDH|11195105965118072802</stp>
        <tr r="T12" s="2"/>
      </tp>
      <tp t="s">
        <v>#N/A N/A</v>
        <stp/>
        <stp>BDH|18241342416358493402</stp>
        <tr r="C47" s="2"/>
      </tp>
      <tp t="s">
        <v>#N/A N/A</v>
        <stp/>
        <stp>BDH|11409979671581763821</stp>
        <tr r="I17" s="2"/>
      </tp>
      <tp t="s">
        <v>#N/A N/A</v>
        <stp/>
        <stp>BDH|10375313002592397744</stp>
        <tr r="AC32" s="2"/>
      </tp>
      <tp t="s">
        <v>#N/A N/A</v>
        <stp/>
        <stp>BDH|14364248590801260823</stp>
        <tr r="I34" s="2"/>
      </tp>
      <tp t="s">
        <v>#N/A N/A</v>
        <stp/>
        <stp>BDH|15405182902592171081</stp>
        <tr r="T37" s="2"/>
      </tp>
      <tp t="s">
        <v>#N/A N/A</v>
        <stp/>
        <stp>BDH|10002380578977251545</stp>
        <tr r="C36" s="2"/>
      </tp>
      <tp t="s">
        <v>#N/A N/A</v>
        <stp/>
        <stp>BDH|10653507528620057188</stp>
        <tr r="E35" s="2"/>
      </tp>
      <tp t="s">
        <v>#N/A N/A</v>
        <stp/>
        <stp>BDH|11992964187523915579</stp>
        <tr r="AE7" s="2"/>
      </tp>
      <tp t="s">
        <v>#N/A N/A</v>
        <stp/>
        <stp>BDH|18034074161020760896</stp>
        <tr r="AF25" s="2"/>
      </tp>
      <tp t="s">
        <v>#N/A N/A</v>
        <stp/>
        <stp>BDH|16434202134445963417</stp>
        <tr r="F14" s="2"/>
      </tp>
      <tp t="s">
        <v>#N/A N/A</v>
        <stp/>
        <stp>BDH|14251028585909607388</stp>
        <tr r="O34" s="2"/>
      </tp>
      <tp t="s">
        <v>#N/A N/A</v>
        <stp/>
        <stp>BDH|17761529109142022660</stp>
        <tr r="M12" s="2"/>
      </tp>
      <tp t="s">
        <v>#N/A N/A</v>
        <stp/>
        <stp>BDH|10954706523924019772</stp>
        <tr r="AE21" s="2"/>
      </tp>
      <tp t="s">
        <v>#N/A N/A</v>
        <stp/>
        <stp>BDH|13371281002735195250</stp>
        <tr r="Q45" s="2"/>
      </tp>
      <tp t="s">
        <v>#N/A N/A</v>
        <stp/>
        <stp>BDH|12853169763524699764</stp>
        <tr r="M66" s="2"/>
      </tp>
      <tp t="s">
        <v>#N/A N/A</v>
        <stp/>
        <stp>BDH|16523494911400883592</stp>
        <tr r="AA7" s="2"/>
      </tp>
      <tp t="s">
        <v>#N/A N/A</v>
        <stp/>
        <stp>BDH|11623078480406746990</stp>
        <tr r="Z66" s="2"/>
      </tp>
      <tp t="s">
        <v>#N/A N/A</v>
        <stp/>
        <stp>BDH|16656682922953546765</stp>
        <tr r="K47" s="2"/>
      </tp>
      <tp t="s">
        <v>#N/A N/A</v>
        <stp/>
        <stp>BDH|13629045825360851701</stp>
        <tr r="G13" s="2"/>
      </tp>
      <tp t="s">
        <v>#N/A N/A</v>
        <stp/>
        <stp>BDH|15962393929071631301</stp>
        <tr r="Y64" s="2"/>
      </tp>
      <tp t="s">
        <v>#N/A N/A</v>
        <stp/>
        <stp>BDH|18139102887200977700</stp>
        <tr r="AB66" s="2"/>
      </tp>
      <tp t="s">
        <v>#N/A N/A</v>
        <stp/>
        <stp>BDH|11557179628036423201</stp>
        <tr r="G30" s="2"/>
      </tp>
      <tp t="s">
        <v>#N/A N/A</v>
        <stp/>
        <stp>BDH|15420266228966020548</stp>
        <tr r="U9" s="2"/>
      </tp>
      <tp t="s">
        <v>#N/A N/A</v>
        <stp/>
        <stp>BDH|10844447730356220704</stp>
        <tr r="AD32" s="2"/>
      </tp>
      <tp t="s">
        <v>#N/A N/A</v>
        <stp/>
        <stp>BDH|14275711847993215375</stp>
        <tr r="U40" s="2"/>
      </tp>
      <tp t="s">
        <v>#N/A N/A</v>
        <stp/>
        <stp>BDH|12098374051742711106</stp>
        <tr r="Y32" s="2"/>
      </tp>
      <tp t="s">
        <v>#N/A N/A</v>
        <stp/>
        <stp>BDH|12760481126180878302</stp>
        <tr r="H47" s="2"/>
      </tp>
      <tp t="s">
        <v>#N/A N/A</v>
        <stp/>
        <stp>BDH|13024682232397244696</stp>
        <tr r="V63" s="2"/>
      </tp>
      <tp t="s">
        <v>#N/A N/A</v>
        <stp/>
        <stp>BDH|12734605024727469663</stp>
        <tr r="G18" s="2"/>
      </tp>
      <tp t="s">
        <v>#N/A N/A</v>
        <stp/>
        <stp>BDH|17424090531321898243</stp>
        <tr r="O18" s="2"/>
      </tp>
      <tp t="s">
        <v>#N/A N/A</v>
        <stp/>
        <stp>BDH|18339332791087910288</stp>
        <tr r="M40" s="2"/>
      </tp>
      <tp t="s">
        <v>#N/A N/A</v>
        <stp/>
        <stp>BDH|11718903003066795939</stp>
        <tr r="D28" s="2"/>
      </tp>
      <tp t="s">
        <v>#N/A N/A</v>
        <stp/>
        <stp>BDH|13608776209702012186</stp>
        <tr r="N45" s="2"/>
      </tp>
      <tp t="s">
        <v>#N/A N/A</v>
        <stp/>
        <stp>BDH|15898636748345132517</stp>
        <tr r="G12" s="2"/>
      </tp>
      <tp t="s">
        <v>#N/A N/A</v>
        <stp/>
        <stp>BDH|10923812619937015929</stp>
        <tr r="Z46" s="2"/>
      </tp>
      <tp t="s">
        <v>#N/A N/A</v>
        <stp/>
        <stp>BDH|11531467074462306770</stp>
        <tr r="P43" s="2"/>
      </tp>
      <tp t="s">
        <v>#N/A N/A</v>
        <stp/>
        <stp>BDH|14372199431289814812</stp>
        <tr r="O27" s="2"/>
      </tp>
      <tp t="s">
        <v>#N/A N/A</v>
        <stp/>
        <stp>BDH|13148026006316250258</stp>
        <tr r="G32" s="2"/>
      </tp>
      <tp t="s">
        <v>#N/A N/A</v>
        <stp/>
        <stp>BDH|10540674028424838704</stp>
        <tr r="D13" s="2"/>
      </tp>
      <tp t="s">
        <v>#N/A N/A</v>
        <stp/>
        <stp>BDH|13704660474612274756</stp>
        <tr r="S41" s="2"/>
      </tp>
      <tp t="s">
        <v>#N/A N/A</v>
        <stp/>
        <stp>BDH|17062769503524861386</stp>
        <tr r="D36" s="2"/>
      </tp>
      <tp t="s">
        <v>#N/A N/A</v>
        <stp/>
        <stp>BDH|13970322965508355987</stp>
        <tr r="Q8" s="2"/>
      </tp>
      <tp t="s">
        <v>#N/A N/A</v>
        <stp/>
        <stp>BDH|11110343273564559667</stp>
        <tr r="S29" s="2"/>
      </tp>
      <tp t="s">
        <v>#N/A N/A</v>
        <stp/>
        <stp>BDH|11453220375336208553</stp>
        <tr r="AB22" s="2"/>
      </tp>
      <tp t="s">
        <v>#N/A N/A</v>
        <stp/>
        <stp>BDH|12792113774021545204</stp>
        <tr r="Q35" s="2"/>
      </tp>
      <tp t="s">
        <v>#N/A N/A</v>
        <stp/>
        <stp>BDH|12770410607990310150</stp>
        <tr r="H25" s="2"/>
      </tp>
      <tp t="s">
        <v>#N/A N/A</v>
        <stp/>
        <stp>BDH|17194066113647207602</stp>
        <tr r="AC8" s="2"/>
      </tp>
      <tp t="s">
        <v>#N/A N/A</v>
        <stp/>
        <stp>BDH|10097703503685671532</stp>
        <tr r="X28" s="2"/>
      </tp>
      <tp t="s">
        <v>#N/A N/A</v>
        <stp/>
        <stp>BDH|15859289250542365756</stp>
        <tr r="AA64" s="2"/>
      </tp>
      <tp t="s">
        <v>#N/A N/A</v>
        <stp/>
        <stp>BDH|15055218096190434953</stp>
        <tr r="AE62" s="2"/>
      </tp>
      <tp t="s">
        <v>#N/A N/A</v>
        <stp/>
        <stp>BDH|11779302133742120433</stp>
        <tr r="R30" s="2"/>
      </tp>
      <tp t="s">
        <v>#N/A N/A</v>
        <stp/>
        <stp>BDH|10107755147105265173</stp>
        <tr r="X33" s="2"/>
      </tp>
      <tp t="s">
        <v>#N/A N/A</v>
        <stp/>
        <stp>BDH|14415612770776345406</stp>
        <tr r="AD36" s="2"/>
      </tp>
      <tp t="s">
        <v>#N/A N/A</v>
        <stp/>
        <stp>BDH|13772184513024013050</stp>
        <tr r="AD25" s="2"/>
      </tp>
      <tp t="s">
        <v>#N/A N/A</v>
        <stp/>
        <stp>BDH|10109386979285978606</stp>
        <tr r="L31" s="2"/>
      </tp>
      <tp t="s">
        <v>#N/A N/A</v>
        <stp/>
        <stp>BDH|10125415529276749768</stp>
        <tr r="V13" s="2"/>
      </tp>
      <tp t="s">
        <v>#N/A N/A</v>
        <stp/>
        <stp>BDH|16871064816412568271</stp>
        <tr r="F12" s="2"/>
      </tp>
      <tp t="s">
        <v>#N/A N/A</v>
        <stp/>
        <stp>BDH|10483515316645886664</stp>
        <tr r="AF45" s="2"/>
      </tp>
      <tp t="s">
        <v>#N/A N/A</v>
        <stp/>
        <stp>BDH|13808078255062244340</stp>
        <tr r="M29" s="2"/>
      </tp>
      <tp t="s">
        <v>#N/A N/A</v>
        <stp/>
        <stp>BDH|17405584829047066091</stp>
        <tr r="P26" s="2"/>
      </tp>
      <tp t="s">
        <v>#N/A N/A</v>
        <stp/>
        <stp>BDH|16063883260638476702</stp>
        <tr r="Z7" s="2"/>
      </tp>
      <tp t="s">
        <v>#N/A N/A</v>
        <stp/>
        <stp>BDH|14759336206149414992</stp>
        <tr r="K18" s="2"/>
      </tp>
      <tp t="s">
        <v>#N/A N/A</v>
        <stp/>
        <stp>BDH|15469518938344496065</stp>
        <tr r="Q54" s="2"/>
      </tp>
      <tp t="s">
        <v>#N/A N/A</v>
        <stp/>
        <stp>BDH|13927962832546297816</stp>
        <tr r="M30" s="2"/>
      </tp>
      <tp t="s">
        <v>#N/A N/A</v>
        <stp/>
        <stp>BDH|13359581265744936393</stp>
        <tr r="N47" s="2"/>
      </tp>
      <tp t="s">
        <v>#N/A N/A</v>
        <stp/>
        <stp>BDH|16489787569145766633</stp>
        <tr r="X48" s="2"/>
      </tp>
      <tp t="s">
        <v>#N/A N/A</v>
        <stp/>
        <stp>BDH|15114717900534384220</stp>
        <tr r="M47" s="2"/>
      </tp>
      <tp t="s">
        <v>#N/A N/A</v>
        <stp/>
        <stp>BDH|14858999539252059890</stp>
        <tr r="N30" s="2"/>
      </tp>
      <tp t="s">
        <v>#N/A N/A</v>
        <stp/>
        <stp>BDH|17918482545915496619</stp>
        <tr r="P63" s="2"/>
      </tp>
      <tp t="s">
        <v>#N/A N/A</v>
        <stp/>
        <stp>BDH|11740938359260841945</stp>
        <tr r="AE66" s="2"/>
      </tp>
      <tp t="s">
        <v>#N/A N/A</v>
        <stp/>
        <stp>BDH|16402010635752013315</stp>
        <tr r="W13" s="2"/>
      </tp>
      <tp t="s">
        <v>#N/A N/A</v>
        <stp/>
        <stp>BDH|11327937393660256500</stp>
        <tr r="F52" s="2"/>
      </tp>
      <tp t="s">
        <v>#N/A N/A</v>
        <stp/>
        <stp>BDH|10266236971432437344</stp>
        <tr r="AE34" s="2"/>
      </tp>
      <tp t="s">
        <v>#N/A N/A</v>
        <stp/>
        <stp>BDH|10516932869079877276</stp>
        <tr r="I64" s="2"/>
      </tp>
      <tp t="s">
        <v>#N/A N/A</v>
        <stp/>
        <stp>BDH|13553284304757126283</stp>
        <tr r="H49" s="2"/>
      </tp>
      <tp t="s">
        <v>#N/A N/A</v>
        <stp/>
        <stp>BDH|11229597357774826146</stp>
        <tr r="E22" s="2"/>
      </tp>
      <tp t="s">
        <v>#N/A N/A</v>
        <stp/>
        <stp>BDH|10192924902034428965</stp>
        <tr r="P12" s="2"/>
      </tp>
      <tp t="s">
        <v>#N/A N/A</v>
        <stp/>
        <stp>BDH|14656411630516402108</stp>
        <tr r="N37" s="2"/>
      </tp>
      <tp t="s">
        <v>#N/A N/A</v>
        <stp/>
        <stp>BDH|13032265346172130328</stp>
        <tr r="AF11" s="2"/>
      </tp>
      <tp t="s">
        <v>#N/A N/A</v>
        <stp/>
        <stp>BDH|11307455832431781311</stp>
        <tr r="N65" s="2"/>
      </tp>
      <tp t="s">
        <v>#N/A N/A</v>
        <stp/>
        <stp>BDH|12497470570131640473</stp>
        <tr r="S21" s="2"/>
      </tp>
      <tp t="s">
        <v>#N/A N/A</v>
        <stp/>
        <stp>BDH|15513969383796240609</stp>
        <tr r="S65" s="2"/>
      </tp>
      <tp t="s">
        <v>#N/A N/A</v>
        <stp/>
        <stp>BDH|11800699670352388607</stp>
        <tr r="L34" s="2"/>
      </tp>
      <tp t="s">
        <v>#N/A N/A</v>
        <stp/>
        <stp>BDH|14688856195022347300</stp>
        <tr r="W64" s="2"/>
      </tp>
      <tp t="s">
        <v>#N/A N/A</v>
        <stp/>
        <stp>BDH|17783908498862944130</stp>
        <tr r="AF43" s="2"/>
      </tp>
      <tp t="s">
        <v>#N/A N/A</v>
        <stp/>
        <stp>BDH|16973817584684859612</stp>
        <tr r="E60" s="2"/>
      </tp>
      <tp t="s">
        <v>#N/A N/A</v>
        <stp/>
        <stp>BDH|15183140141811735567</stp>
        <tr r="C46" s="2"/>
      </tp>
      <tp t="s">
        <v>#N/A N/A</v>
        <stp/>
        <stp>BDH|14277301215102740048</stp>
        <tr r="F65" s="2"/>
      </tp>
      <tp t="s">
        <v>#N/A N/A</v>
        <stp/>
        <stp>BDH|15236625528852808747</stp>
        <tr r="U26" s="2"/>
      </tp>
      <tp t="s">
        <v>#N/A N/A</v>
        <stp/>
        <stp>BDH|12361227454295543449</stp>
        <tr r="R59" s="2"/>
      </tp>
      <tp t="s">
        <v>#N/A N/A</v>
        <stp/>
        <stp>BDH|13574442208512593184</stp>
        <tr r="P61" s="2"/>
      </tp>
      <tp t="s">
        <v>#N/A N/A</v>
        <stp/>
        <stp>BDH|10436579136680967286</stp>
        <tr r="J13" s="2"/>
      </tp>
      <tp t="s">
        <v>#N/A N/A</v>
        <stp/>
        <stp>BDH|15121602866632642353</stp>
        <tr r="X36" s="2"/>
      </tp>
      <tp t="s">
        <v>#N/A N/A</v>
        <stp/>
        <stp>BDH|10830397268196556787</stp>
        <tr r="P58" s="2"/>
      </tp>
      <tp t="s">
        <v>#N/A N/A</v>
        <stp/>
        <stp>BDH|16445726612967777378</stp>
        <tr r="Z21" s="2"/>
      </tp>
      <tp t="s">
        <v>#N/A N/A</v>
        <stp/>
        <stp>BDH|16090145277554432003</stp>
        <tr r="AA8" s="2"/>
      </tp>
      <tp t="s">
        <v>#N/A N/A</v>
        <stp/>
        <stp>BDH|13610589759736423140</stp>
        <tr r="G65" s="2"/>
      </tp>
      <tp t="s">
        <v>#N/A N/A</v>
        <stp/>
        <stp>BDH|17551780820801997734</stp>
        <tr r="D52" s="2"/>
      </tp>
      <tp t="s">
        <v>#N/A N/A</v>
        <stp/>
        <stp>BDH|15231694588476348972</stp>
        <tr r="AA32" s="2"/>
      </tp>
      <tp t="s">
        <v>#N/A N/A</v>
        <stp/>
        <stp>BDH|12743286214732987743</stp>
        <tr r="P44" s="2"/>
      </tp>
      <tp t="s">
        <v>#N/A N/A</v>
        <stp/>
        <stp>BDH|12953289453438636926</stp>
        <tr r="V42" s="2"/>
      </tp>
      <tp t="s">
        <v>#N/A N/A</v>
        <stp/>
        <stp>BDH|16911426717644314369</stp>
        <tr r="AF26" s="2"/>
      </tp>
      <tp t="s">
        <v>#N/A N/A</v>
        <stp/>
        <stp>BDH|17734793343985704536</stp>
        <tr r="P40" s="2"/>
      </tp>
      <tp t="s">
        <v>#N/A N/A</v>
        <stp/>
        <stp>BDH|18040878760853933178</stp>
        <tr r="AB46" s="2"/>
      </tp>
      <tp t="s">
        <v>#N/A N/A</v>
        <stp/>
        <stp>BDH|10962181139980896694</stp>
        <tr r="G44" s="2"/>
      </tp>
      <tp t="s">
        <v>#N/A N/A</v>
        <stp/>
        <stp>BDH|12372325553535986528</stp>
        <tr r="D34" s="2"/>
      </tp>
      <tp t="s">
        <v>#N/A N/A</v>
        <stp/>
        <stp>BDH|10305724863254851121</stp>
        <tr r="X60" s="2"/>
      </tp>
      <tp t="s">
        <v>#N/A N/A</v>
        <stp/>
        <stp>BDH|15436863406371729889</stp>
        <tr r="C37" s="2"/>
      </tp>
      <tp t="s">
        <v>#N/A N/A</v>
        <stp/>
        <stp>BDH|13851763315142589350</stp>
        <tr r="D29" s="2"/>
      </tp>
      <tp t="s">
        <v>#N/A N/A</v>
        <stp/>
        <stp>BDH|12948764509333907241</stp>
        <tr r="F17" s="2"/>
      </tp>
      <tp t="s">
        <v>#N/A N/A</v>
        <stp/>
        <stp>BDH|10251697675512521707</stp>
        <tr r="I23" s="2"/>
      </tp>
      <tp t="s">
        <v>#N/A N/A</v>
        <stp/>
        <stp>BDH|17679102611253901056</stp>
        <tr r="F37" s="2"/>
      </tp>
      <tp t="s">
        <v>#N/A N/A</v>
        <stp/>
        <stp>BDH|15970481400135842027</stp>
        <tr r="Y35" s="2"/>
      </tp>
      <tp t="s">
        <v>#N/A N/A</v>
        <stp/>
        <stp>BDH|17292295900363358229</stp>
        <tr r="M61" s="2"/>
      </tp>
      <tp t="s">
        <v>#N/A N/A</v>
        <stp/>
        <stp>BDH|11037091991765411965</stp>
        <tr r="Y13" s="2"/>
      </tp>
      <tp t="s">
        <v>#N/A N/A</v>
        <stp/>
        <stp>BDH|17012230128527859491</stp>
        <tr r="D31" s="2"/>
      </tp>
      <tp t="s">
        <v>#N/A N/A</v>
        <stp/>
        <stp>BDH|14465515029122567533</stp>
        <tr r="S47" s="2"/>
      </tp>
      <tp t="s">
        <v>#N/A N/A</v>
        <stp/>
        <stp>BDH|10825480649501399575</stp>
        <tr r="AF16" s="2"/>
      </tp>
      <tp t="s">
        <v>#N/A N/A</v>
        <stp/>
        <stp>BDH|12999135857464714676</stp>
        <tr r="AB15" s="2"/>
      </tp>
      <tp t="s">
        <v>#N/A N/A</v>
        <stp/>
        <stp>BDH|14050528227920031790</stp>
        <tr r="U43" s="2"/>
      </tp>
      <tp t="s">
        <v>#N/A N/A</v>
        <stp/>
        <stp>BDH|16580322988801241828</stp>
        <tr r="E66" s="2"/>
      </tp>
      <tp t="s">
        <v>#N/A N/A</v>
        <stp/>
        <stp>BDH|15623674569830390146</stp>
        <tr r="I13" s="2"/>
      </tp>
      <tp t="s">
        <v>#N/A N/A</v>
        <stp/>
        <stp>BDH|16453743028262858418</stp>
        <tr r="AD42" s="2"/>
      </tp>
      <tp t="s">
        <v>#N/A N/A</v>
        <stp/>
        <stp>BDH|15395608848421885322</stp>
        <tr r="AF54" s="2"/>
      </tp>
      <tp t="s">
        <v>#N/A N/A</v>
        <stp/>
        <stp>BDH|12978613417451702193</stp>
        <tr r="AD29" s="2"/>
      </tp>
      <tp t="s">
        <v>#N/A N/A</v>
        <stp/>
        <stp>BDH|13025014535156794329</stp>
        <tr r="X25" s="2"/>
      </tp>
      <tp t="s">
        <v>#N/A N/A</v>
        <stp/>
        <stp>BDH|10542338392526302974</stp>
        <tr r="N31" s="2"/>
      </tp>
      <tp t="s">
        <v>#N/A N/A</v>
        <stp/>
        <stp>BDH|14268113363835700371</stp>
        <tr r="AF17" s="2"/>
      </tp>
      <tp t="s">
        <v>#N/A N/A</v>
        <stp/>
        <stp>BDH|16169962803052162857</stp>
        <tr r="AE43" s="2"/>
      </tp>
      <tp t="s">
        <v>#N/A N/A</v>
        <stp/>
        <stp>BDH|16207033744407383054</stp>
        <tr r="Z37" s="2"/>
      </tp>
      <tp t="s">
        <v>#N/A N/A</v>
        <stp/>
        <stp>BDH|10193716956502367561</stp>
        <tr r="AF32" s="2"/>
      </tp>
      <tp t="s">
        <v>#N/A N/A</v>
        <stp/>
        <stp>BDH|14875415308123665645</stp>
        <tr r="D14" s="2"/>
      </tp>
      <tp t="s">
        <v>#N/A N/A</v>
        <stp/>
        <stp>BDH|10325234801383280417</stp>
        <tr r="R28" s="2"/>
      </tp>
      <tp t="s">
        <v>#N/A N/A</v>
        <stp/>
        <stp>BDH|13375318486808782515</stp>
        <tr r="F40" s="2"/>
      </tp>
      <tp t="s">
        <v>#N/A N/A</v>
        <stp/>
        <stp>BDH|11680529250681473524</stp>
        <tr r="H11" s="2"/>
      </tp>
      <tp t="s">
        <v>#N/A N/A</v>
        <stp/>
        <stp>BDH|10775101550820026158</stp>
        <tr r="V40" s="2"/>
      </tp>
      <tp t="s">
        <v>#N/A N/A</v>
        <stp/>
        <stp>BDH|14867183714694737562</stp>
        <tr r="AE9" s="2"/>
      </tp>
      <tp t="s">
        <v>#N/A N/A</v>
        <stp/>
        <stp>BDH|18280324287013105525</stp>
        <tr r="AC33" s="2"/>
      </tp>
      <tp t="s">
        <v>#N/A N/A</v>
        <stp/>
        <stp>BDH|11693327831723869797</stp>
        <tr r="K66" s="2"/>
      </tp>
      <tp t="s">
        <v>#N/A N/A</v>
        <stp/>
        <stp>BDH|16780374117603730247</stp>
        <tr r="L40" s="2"/>
      </tp>
      <tp t="s">
        <v>#N/A N/A</v>
        <stp/>
        <stp>BDH|12926658200040148198</stp>
        <tr r="X40" s="2"/>
      </tp>
      <tp t="s">
        <v>#N/A N/A</v>
        <stp/>
        <stp>BDH|13745136023625440075</stp>
        <tr r="C44" s="2"/>
      </tp>
      <tp t="s">
        <v>#N/A N/A</v>
        <stp/>
        <stp>BDH|16938163589579624377</stp>
        <tr r="U48" s="2"/>
      </tp>
      <tp t="s">
        <v>#N/A N/A</v>
        <stp/>
        <stp>BDH|13144061025864040059</stp>
        <tr r="Y45" s="2"/>
      </tp>
      <tp t="s">
        <v>#N/A N/A</v>
        <stp/>
        <stp>BDH|15229230422749322970</stp>
        <tr r="C7" s="2"/>
      </tp>
      <tp t="s">
        <v>#N/A N/A</v>
        <stp/>
        <stp>BDH|14930136401995486581</stp>
        <tr r="O61" s="2"/>
      </tp>
      <tp t="s">
        <v>#N/A N/A</v>
        <stp/>
        <stp>BDH|13336064412954375322</stp>
        <tr r="Q49" s="2"/>
      </tp>
      <tp t="s">
        <v>#N/A N/A</v>
        <stp/>
        <stp>BDH|10120164281934873881</stp>
        <tr r="AD58" s="2"/>
      </tp>
      <tp t="s">
        <v>#N/A N/A</v>
        <stp/>
        <stp>BDH|14898092373166231083</stp>
        <tr r="N50" s="2"/>
      </tp>
      <tp t="s">
        <v>#N/A N/A</v>
        <stp/>
        <stp>BDH|12467474490689317388</stp>
        <tr r="C9" s="2"/>
      </tp>
      <tp t="s">
        <v>#N/A N/A</v>
        <stp/>
        <stp>BDH|14792656797856483892</stp>
        <tr r="L11" s="2"/>
      </tp>
      <tp t="s">
        <v>#N/A N/A</v>
        <stp/>
        <stp>BDH|16729220429866070573</stp>
        <tr r="H16" s="2"/>
      </tp>
      <tp t="s">
        <v>#N/A N/A</v>
        <stp/>
        <stp>BDH|16232567891368736799</stp>
        <tr r="Y37" s="2"/>
      </tp>
      <tp t="s">
        <v>#N/A N/A</v>
        <stp/>
        <stp>BDH|17026119803482926100</stp>
        <tr r="Y15" s="2"/>
      </tp>
      <tp t="s">
        <v>#N/A N/A</v>
        <stp/>
        <stp>BDH|16477377665875819355</stp>
        <tr r="I54" s="2"/>
      </tp>
      <tp t="s">
        <v>#N/A N/A</v>
        <stp/>
        <stp>BDH|10273893542768570176</stp>
        <tr r="G26" s="2"/>
      </tp>
      <tp t="s">
        <v>#N/A N/A</v>
        <stp/>
        <stp>BDH|11069170339725332373</stp>
        <tr r="AA47" s="2"/>
      </tp>
      <tp t="s">
        <v>#N/A N/A</v>
        <stp/>
        <stp>BDH|12331992101678826695</stp>
        <tr r="T30" s="2"/>
      </tp>
      <tp t="s">
        <v>#N/A N/A</v>
        <stp/>
        <stp>BDH|10310381470477501633</stp>
        <tr r="AC44" s="2"/>
      </tp>
      <tp t="s">
        <v>#N/A N/A</v>
        <stp/>
        <stp>BDH|13967383378801264377</stp>
        <tr r="V25" s="2"/>
      </tp>
      <tp t="s">
        <v>#N/A N/A</v>
        <stp/>
        <stp>BDH|12285080361519268862</stp>
        <tr r="I29" s="2"/>
      </tp>
      <tp t="s">
        <v>#N/A N/A</v>
        <stp/>
        <stp>BDH|18079028856601324987</stp>
        <tr r="Y17" s="2"/>
      </tp>
      <tp t="s">
        <v>#N/A N/A</v>
        <stp/>
        <stp>BDH|16001787802074719025</stp>
        <tr r="AE61" s="2"/>
      </tp>
      <tp t="s">
        <v>#N/A N/A</v>
        <stp/>
        <stp>BDH|13025622341655541189</stp>
        <tr r="AD64" s="2"/>
      </tp>
      <tp t="s">
        <v>#N/A N/A</v>
        <stp/>
        <stp>BDH|11829359604641621611</stp>
        <tr r="AD21" s="2"/>
      </tp>
    </main>
    <main first="bofaddin.rtdserver">
      <tp t="s">
        <v>#N/A N/A</v>
        <stp/>
        <stp>BDH|7821588135242052</stp>
        <tr r="X29" s="2"/>
      </tp>
      <tp t="s">
        <v>#N/A N/A</v>
        <stp/>
        <stp>BDH|2997550691493110168</stp>
        <tr r="E40" s="2"/>
      </tp>
      <tp t="s">
        <v>#N/A N/A</v>
        <stp/>
        <stp>BDH|6615623759611690812</stp>
        <tr r="Q34" s="2"/>
      </tp>
      <tp t="s">
        <v>#N/A N/A</v>
        <stp/>
        <stp>BDH|3773734698076733701</stp>
        <tr r="J40" s="2"/>
      </tp>
      <tp t="s">
        <v>#N/A N/A</v>
        <stp/>
        <stp>BDH|7694282872286581828</stp>
        <tr r="H35" s="2"/>
      </tp>
      <tp t="s">
        <v>#N/A N/A</v>
        <stp/>
        <stp>BDH|3922244216554031833</stp>
        <tr r="AD48" s="2"/>
      </tp>
      <tp t="s">
        <v>#N/A N/A</v>
        <stp/>
        <stp>BDH|6938920712833903189</stp>
        <tr r="T54" s="2"/>
      </tp>
      <tp t="s">
        <v>#N/A N/A</v>
        <stp/>
        <stp>BDH|3397794562219426749</stp>
        <tr r="K32" s="2"/>
      </tp>
      <tp t="s">
        <v>#N/A N/A</v>
        <stp/>
        <stp>BDH|8982868302169513516</stp>
        <tr r="AD60" s="2"/>
      </tp>
      <tp t="s">
        <v>#N/A N/A</v>
        <stp/>
        <stp>BDH|5273385898694271795</stp>
        <tr r="V45" s="2"/>
      </tp>
      <tp t="s">
        <v>#N/A N/A</v>
        <stp/>
        <stp>BDH|8081585587479226047</stp>
        <tr r="K40" s="2"/>
      </tp>
      <tp t="s">
        <v>#N/A N/A</v>
        <stp/>
        <stp>BDH|6364414057029902227</stp>
        <tr r="J41" s="2"/>
      </tp>
      <tp t="s">
        <v>#N/A N/A</v>
        <stp/>
        <stp>BDH|4605384684611542201</stp>
        <tr r="D42" s="2"/>
      </tp>
      <tp t="s">
        <v>#N/A N/A</v>
        <stp/>
        <stp>BDH|2994940078252372297</stp>
        <tr r="X42" s="2"/>
      </tp>
      <tp t="s">
        <v>#N/A N/A</v>
        <stp/>
        <stp>BDH|7572846571781743588</stp>
        <tr r="AB25" s="2"/>
      </tp>
      <tp t="s">
        <v>#N/A N/A</v>
        <stp/>
        <stp>BDH|4912744671439273119</stp>
        <tr r="U7" s="2"/>
      </tp>
      <tp t="s">
        <v>#N/A N/A</v>
        <stp/>
        <stp>BDH|8713880381471605544</stp>
        <tr r="C24" s="2"/>
      </tp>
      <tp t="s">
        <v>#N/A N/A</v>
        <stp/>
        <stp>BDH|2747280935559346656</stp>
        <tr r="S7" s="2"/>
      </tp>
      <tp t="s">
        <v>#N/A N/A</v>
        <stp/>
        <stp>BDH|3333494497936032416</stp>
        <tr r="D32" s="2"/>
      </tp>
      <tp t="s">
        <v>#N/A N/A</v>
        <stp/>
        <stp>BDH|9946669896762647831</stp>
        <tr r="H64" s="2"/>
      </tp>
      <tp t="s">
        <v>#N/A N/A</v>
        <stp/>
        <stp>BDH|6642399605539590025</stp>
        <tr r="P59" s="2"/>
      </tp>
      <tp t="s">
        <v>#N/A N/A</v>
        <stp/>
        <stp>BDH|7322931166386828238</stp>
        <tr r="N59" s="2"/>
      </tp>
      <tp t="s">
        <v>#N/A N/A</v>
        <stp/>
        <stp>BDH|3512819444166400595</stp>
        <tr r="AD27" s="2"/>
      </tp>
      <tp t="s">
        <v>#N/A N/A</v>
        <stp/>
        <stp>BDH|3533863879986302645</stp>
        <tr r="AA43" s="2"/>
      </tp>
      <tp t="s">
        <v>#N/A N/A</v>
        <stp/>
        <stp>BDH|4329689719957855883</stp>
        <tr r="N10" s="2"/>
      </tp>
      <tp t="s">
        <v>#N/A N/A</v>
        <stp/>
        <stp>BDH|4313940421296377572</stp>
        <tr r="R18" s="2"/>
      </tp>
      <tp t="s">
        <v>#N/A N/A</v>
        <stp/>
        <stp>BDH|1101853177624618665</stp>
        <tr r="AC30" s="2"/>
      </tp>
      <tp t="s">
        <v>#N/A N/A</v>
        <stp/>
        <stp>BDH|2873896314443688405</stp>
        <tr r="AD44" s="2"/>
      </tp>
      <tp t="s">
        <v>#N/A N/A</v>
        <stp/>
        <stp>BDH|6290303493610306010</stp>
        <tr r="AD37" s="2"/>
      </tp>
      <tp t="s">
        <v>#N/A N/A</v>
        <stp/>
        <stp>BDH|7408215098540958044</stp>
        <tr r="AB21" s="2"/>
      </tp>
      <tp t="s">
        <v>#N/A N/A</v>
        <stp/>
        <stp>BDH|8481847625096598815</stp>
        <tr r="I7" s="2"/>
      </tp>
      <tp t="s">
        <v>#N/A N/A</v>
        <stp/>
        <stp>BDH|9817031646370597192</stp>
        <tr r="K25" s="2"/>
      </tp>
      <tp t="s">
        <v>#N/A N/A</v>
        <stp/>
        <stp>BDH|8392842657231132806</stp>
        <tr r="E47" s="2"/>
      </tp>
      <tp t="s">
        <v>#N/A N/A</v>
        <stp/>
        <stp>BDH|3820080215266556866</stp>
        <tr r="T36" s="2"/>
      </tp>
      <tp t="s">
        <v>#N/A N/A</v>
        <stp/>
        <stp>BDH|3662883876597698798</stp>
        <tr r="AB27" s="2"/>
      </tp>
      <tp t="s">
        <v>#N/A N/A</v>
        <stp/>
        <stp>BDH|8619327522826810399</stp>
        <tr r="T29" s="2"/>
      </tp>
      <tp t="s">
        <v>#N/A N/A</v>
        <stp/>
        <stp>BDH|2958219059919478028</stp>
        <tr r="AD40" s="2"/>
      </tp>
      <tp t="s">
        <v>#N/A N/A</v>
        <stp/>
        <stp>BDH|8780321458587960536</stp>
        <tr r="Y34" s="2"/>
      </tp>
      <tp t="s">
        <v>#N/A N/A</v>
        <stp/>
        <stp>BDH|3667816651554772654</stp>
        <tr r="AE29" s="2"/>
      </tp>
      <tp t="s">
        <v>#N/A N/A</v>
        <stp/>
        <stp>BDH|7596907806390255251</stp>
        <tr r="T21" s="2"/>
      </tp>
      <tp t="s">
        <v>#N/A N/A</v>
        <stp/>
        <stp>BDH|1684504773659165605</stp>
        <tr r="E7" s="2"/>
      </tp>
      <tp t="s">
        <v>#N/A N/A</v>
        <stp/>
        <stp>BDH|3252736454895684878</stp>
        <tr r="G63" s="2"/>
      </tp>
      <tp t="s">
        <v>#N/A N/A</v>
        <stp/>
        <stp>BDH|1129863763937773472</stp>
        <tr r="W62" s="2"/>
      </tp>
      <tp t="s">
        <v>#N/A N/A</v>
        <stp/>
        <stp>BDH|8546343746024159733</stp>
        <tr r="P16" s="2"/>
      </tp>
      <tp t="s">
        <v>#N/A N/A</v>
        <stp/>
        <stp>BDH|78527000807483310</stp>
        <tr r="L41" s="2"/>
      </tp>
      <tp t="s">
        <v>#N/A N/A</v>
        <stp/>
        <stp>BDH|37700564572886234</stp>
        <tr r="S12" s="2"/>
      </tp>
      <tp t="s">
        <v>#N/A N/A</v>
        <stp/>
        <stp>BDH|6164293572386983899</stp>
        <tr r="U22" s="2"/>
      </tp>
      <tp t="s">
        <v>#N/A N/A</v>
        <stp/>
        <stp>BDH|7994824783429118333</stp>
        <tr r="T66" s="2"/>
      </tp>
      <tp t="s">
        <v>#N/A N/A</v>
        <stp/>
        <stp>BDH|3331018686184943273</stp>
        <tr r="T59" s="2"/>
      </tp>
      <tp t="s">
        <v>#N/A N/A</v>
        <stp/>
        <stp>BDH|4910955032475744623</stp>
        <tr r="AB59" s="2"/>
      </tp>
      <tp t="s">
        <v>#N/A N/A</v>
        <stp/>
        <stp>BDH|7418324398528708826</stp>
        <tr r="W32" s="2"/>
      </tp>
      <tp t="s">
        <v>#N/A N/A</v>
        <stp/>
        <stp>BDH|4281924978056458176</stp>
        <tr r="O10" s="2"/>
      </tp>
      <tp t="s">
        <v>#N/A N/A</v>
        <stp/>
        <stp>BDH|9405873269542784860</stp>
        <tr r="V11" s="2"/>
      </tp>
      <tp t="s">
        <v>#N/A N/A</v>
        <stp/>
        <stp>BDH|7672896561773251741</stp>
        <tr r="H46" s="2"/>
      </tp>
      <tp t="s">
        <v>#N/A N/A</v>
        <stp/>
        <stp>BDH|6915105883393197134</stp>
        <tr r="P46" s="2"/>
      </tp>
      <tp t="s">
        <v>#N/A N/A</v>
        <stp/>
        <stp>BDH|1863427347289396560</stp>
        <tr r="K24" s="2"/>
      </tp>
      <tp t="s">
        <v>#N/A N/A</v>
        <stp/>
        <stp>BDH|8516207705187052097</stp>
        <tr r="AA23" s="2"/>
      </tp>
      <tp t="s">
        <v>#N/A N/A</v>
        <stp/>
        <stp>BDH|5623688093725379275</stp>
        <tr r="L10" s="2"/>
      </tp>
      <tp t="s">
        <v>#N/A N/A</v>
        <stp/>
        <stp>BDH|3073619368418641660</stp>
        <tr r="C33" s="2"/>
      </tp>
      <tp t="s">
        <v>#N/A N/A</v>
        <stp/>
        <stp>BDH|5840912361092166573</stp>
        <tr r="AB33" s="2"/>
      </tp>
      <tp t="s">
        <v>#N/A N/A</v>
        <stp/>
        <stp>BDH|9965657272421532451</stp>
        <tr r="AE28" s="2"/>
      </tp>
      <tp t="s">
        <v>#N/A N/A</v>
        <stp/>
        <stp>BDH|4798734386973598591</stp>
        <tr r="Y8" s="2"/>
      </tp>
      <tp t="s">
        <v>#N/A N/A</v>
        <stp/>
        <stp>BDH|6336310498702330367</stp>
        <tr r="X27" s="2"/>
      </tp>
      <tp t="s">
        <v>#N/A N/A</v>
        <stp/>
        <stp>BDH|5930931043336166370</stp>
        <tr r="O44" s="2"/>
      </tp>
      <tp t="s">
        <v>#N/A N/A</v>
        <stp/>
        <stp>BDH|9664406278675842295</stp>
        <tr r="G31" s="2"/>
      </tp>
      <tp t="s">
        <v>#N/A N/A</v>
        <stp/>
        <stp>BDH|6470674641110977977</stp>
        <tr r="Y24" s="2"/>
      </tp>
      <tp t="s">
        <v>#N/A N/A</v>
        <stp/>
        <stp>BDH|1117654388815019709</stp>
        <tr r="H7" s="2"/>
      </tp>
      <tp t="s">
        <v>#N/A N/A</v>
        <stp/>
        <stp>BDH|2411169344062856838</stp>
        <tr r="AC58" s="2"/>
      </tp>
      <tp t="s">
        <v>#N/A N/A</v>
        <stp/>
        <stp>BDH|9971319163867383652</stp>
        <tr r="AD18" s="2"/>
      </tp>
      <tp t="s">
        <v>#N/A N/A</v>
        <stp/>
        <stp>BDH|5712704195153969593</stp>
        <tr r="O8" s="2"/>
      </tp>
      <tp t="s">
        <v>#N/A N/A</v>
        <stp/>
        <stp>BDH|9734262091508422764</stp>
        <tr r="F35" s="2"/>
      </tp>
      <tp t="s">
        <v>#N/A N/A</v>
        <stp/>
        <stp>BDH|9666966484781336444</stp>
        <tr r="N62" s="2"/>
      </tp>
      <tp t="s">
        <v>#N/A N/A</v>
        <stp/>
        <stp>BDH|2358331733049625665</stp>
        <tr r="AB36" s="2"/>
      </tp>
      <tp t="s">
        <v>#N/A N/A</v>
        <stp/>
        <stp>BDH|9486688569296117271</stp>
        <tr r="T41" s="2"/>
      </tp>
      <tp t="s">
        <v>#N/A N/A</v>
        <stp/>
        <stp>BDH|7968348655385819902</stp>
        <tr r="N35" s="2"/>
      </tp>
      <tp t="s">
        <v>#N/A N/A</v>
        <stp/>
        <stp>BDH|6894859925182052397</stp>
        <tr r="L15" s="2"/>
      </tp>
      <tp t="s">
        <v>#N/A N/A</v>
        <stp/>
        <stp>BDH|7501993254880907609</stp>
        <tr r="AC40" s="2"/>
      </tp>
      <tp t="s">
        <v>#N/A N/A</v>
        <stp/>
        <stp>BDH|8959801859388526048</stp>
        <tr r="H28" s="2"/>
      </tp>
      <tp t="s">
        <v>#N/A N/A</v>
        <stp/>
        <stp>BDH|3020965252037676540</stp>
        <tr r="AF65" s="2"/>
      </tp>
      <tp t="s">
        <v>#N/A N/A</v>
        <stp/>
        <stp>BDH|7682835839790975134</stp>
        <tr r="C23" s="2"/>
      </tp>
      <tp t="s">
        <v>#N/A N/A</v>
        <stp/>
        <stp>BDH|2265395067223235998</stp>
        <tr r="Y36" s="2"/>
      </tp>
      <tp t="s">
        <v>#N/A N/A</v>
        <stp/>
        <stp>BDH|2889958188859676774</stp>
        <tr r="R47" s="2"/>
      </tp>
      <tp t="s">
        <v>#N/A N/A</v>
        <stp/>
        <stp>BDH|6548506586993206551</stp>
        <tr r="AE17" s="2"/>
      </tp>
      <tp t="s">
        <v>#N/A N/A</v>
        <stp/>
        <stp>BDH|4961152221878064296</stp>
        <tr r="X66" s="2"/>
      </tp>
      <tp t="s">
        <v>#N/A N/A</v>
        <stp/>
        <stp>BDH|8770553700231239156</stp>
        <tr r="L65" s="2"/>
      </tp>
      <tp t="s">
        <v>#N/A N/A</v>
        <stp/>
        <stp>BDH|7964961263817037299</stp>
        <tr r="AC49" s="2"/>
      </tp>
      <tp t="s">
        <v>#N/A N/A</v>
        <stp/>
        <stp>BDH|4123642821669779469</stp>
        <tr r="I24" s="2"/>
      </tp>
      <tp t="s">
        <v>#N/A N/A</v>
        <stp/>
        <stp>BDH|3047485197932257180</stp>
        <tr r="J64" s="2"/>
      </tp>
      <tp t="s">
        <v>#N/A N/A</v>
        <stp/>
        <stp>BDH|1353134728797816858</stp>
        <tr r="G9" s="2"/>
      </tp>
      <tp t="s">
        <v>#N/A N/A</v>
        <stp/>
        <stp>BDH|1602350188683641773</stp>
        <tr r="L59" s="2"/>
      </tp>
      <tp t="s">
        <v>#N/A N/A</v>
        <stp/>
        <stp>BDH|9545293777574305622</stp>
        <tr r="U50" s="2"/>
      </tp>
      <tp t="s">
        <v>#N/A N/A</v>
        <stp/>
        <stp>BDH|5815084359027568961</stp>
        <tr r="P35" s="2"/>
      </tp>
      <tp t="s">
        <v>#N/A N/A</v>
        <stp/>
        <stp>BDH|6020335394354494696</stp>
        <tr r="K11" s="2"/>
      </tp>
      <tp t="s">
        <v>#N/A N/A</v>
        <stp/>
        <stp>BDH|5950974969432812646</stp>
        <tr r="M32" s="2"/>
      </tp>
      <tp t="s">
        <v>#N/A N/A</v>
        <stp/>
        <stp>BDH|8107233475290872341</stp>
        <tr r="Z24" s="2"/>
      </tp>
      <tp t="s">
        <v>#N/A N/A</v>
        <stp/>
        <stp>BDH|1844745120919150367</stp>
        <tr r="L13" s="2"/>
      </tp>
      <tp t="s">
        <v>#N/A N/A</v>
        <stp/>
        <stp>BDH|6464092628859806363</stp>
        <tr r="U8" s="2"/>
      </tp>
      <tp t="s">
        <v>#N/A N/A</v>
        <stp/>
        <stp>BDH|1548183558039492296</stp>
        <tr r="H32" s="2"/>
      </tp>
      <tp t="s">
        <v>#N/A N/A</v>
        <stp/>
        <stp>BDH|9660129825590809412</stp>
        <tr r="X65" s="2"/>
      </tp>
      <tp t="s">
        <v>#N/A N/A</v>
        <stp/>
        <stp>BDH|9405804791637493190</stp>
        <tr r="Z27" s="2"/>
      </tp>
      <tp t="s">
        <v>#N/A N/A</v>
        <stp/>
        <stp>BDH|5959275337758609278</stp>
        <tr r="AF8" s="2"/>
      </tp>
      <tp t="s">
        <v>#N/A N/A</v>
        <stp/>
        <stp>BDH|8227256658121377055</stp>
        <tr r="V48" s="2"/>
      </tp>
      <tp t="s">
        <v>#N/A N/A</v>
        <stp/>
        <stp>BDH|5699231203090794986</stp>
        <tr r="AE64" s="2"/>
      </tp>
      <tp t="s">
        <v>#N/A N/A</v>
        <stp/>
        <stp>BDH|9059417166245780092</stp>
        <tr r="AE65" s="2"/>
      </tp>
      <tp t="s">
        <v>#N/A N/A</v>
        <stp/>
        <stp>BDH|8787873791210152790</stp>
        <tr r="L22" s="2"/>
      </tp>
      <tp t="s">
        <v>#N/A N/A</v>
        <stp/>
        <stp>BDH|6402811704060098087</stp>
        <tr r="N54" s="2"/>
      </tp>
      <tp t="s">
        <v>#N/A N/A</v>
        <stp/>
        <stp>BDH|6837726968601539897</stp>
        <tr r="AC23" s="2"/>
      </tp>
      <tp t="s">
        <v>#N/A N/A</v>
        <stp/>
        <stp>BDH|6052827762345882361</stp>
        <tr r="O41" s="2"/>
      </tp>
      <tp t="s">
        <v>#N/A N/A</v>
        <stp/>
        <stp>BDH|3249276299353647549</stp>
        <tr r="F9" s="2"/>
      </tp>
      <tp t="s">
        <v>#N/A N/A</v>
        <stp/>
        <stp>BDH|6072804620806916475</stp>
        <tr r="O60" s="2"/>
      </tp>
      <tp t="s">
        <v>#N/A N/A</v>
        <stp/>
        <stp>BDH|8479975633378604492</stp>
        <tr r="W40" s="2"/>
      </tp>
      <tp t="s">
        <v>#N/A N/A</v>
        <stp/>
        <stp>BDH|6951212998157837477</stp>
        <tr r="L33" s="2"/>
      </tp>
      <tp t="s">
        <v>#N/A N/A</v>
        <stp/>
        <stp>BDH|5131006282035973656</stp>
        <tr r="AC48" s="2"/>
      </tp>
      <tp t="s">
        <v>#N/A N/A</v>
        <stp/>
        <stp>BDH|3226474993463034396</stp>
        <tr r="Z15" s="2"/>
      </tp>
      <tp t="s">
        <v>#N/A N/A</v>
        <stp/>
        <stp>BDH|9396290427533342410</stp>
        <tr r="G52" s="2"/>
      </tp>
      <tp t="s">
        <v>#N/A N/A</v>
        <stp/>
        <stp>BDH|1397791746455579965</stp>
        <tr r="S14" s="2"/>
      </tp>
      <tp t="s">
        <v>#N/A N/A</v>
        <stp/>
        <stp>BDH|1567572298417376457</stp>
        <tr r="AD17" s="2"/>
      </tp>
      <tp t="s">
        <v>#N/A N/A</v>
        <stp/>
        <stp>BDH|7366652197597860159</stp>
        <tr r="F62" s="2"/>
      </tp>
      <tp t="s">
        <v>#N/A N/A</v>
        <stp/>
        <stp>BDH|4825269652364898990</stp>
        <tr r="S58" s="2"/>
      </tp>
      <tp t="s">
        <v>#N/A N/A</v>
        <stp/>
        <stp>BDH|7337580566438853273</stp>
        <tr r="N12" s="2"/>
      </tp>
      <tp t="s">
        <v>#N/A N/A</v>
        <stp/>
        <stp>BDH|8620767365063612413</stp>
        <tr r="K64" s="2"/>
      </tp>
      <tp t="s">
        <v>#N/A N/A</v>
        <stp/>
        <stp>BDH|9809711230071923237</stp>
        <tr r="S64" s="2"/>
      </tp>
      <tp t="s">
        <v>#N/A N/A</v>
        <stp/>
        <stp>BDH|2685933027807927087</stp>
        <tr r="K31" s="2"/>
      </tp>
      <tp t="s">
        <v>#N/A N/A</v>
        <stp/>
        <stp>BDH|5226704424818219672</stp>
        <tr r="C14" s="2"/>
      </tp>
      <tp t="s">
        <v>#N/A N/A</v>
        <stp/>
        <stp>BDH|9413464377844666038</stp>
        <tr r="C12" s="2"/>
      </tp>
      <tp t="s">
        <v>#N/A N/A</v>
        <stp/>
        <stp>BDH|4208604107305363966</stp>
        <tr r="R54" s="2"/>
      </tp>
      <tp t="s">
        <v>#N/A N/A</v>
        <stp/>
        <stp>BDH|9212176916903415477</stp>
        <tr r="L46" s="2"/>
      </tp>
      <tp t="s">
        <v>#N/A N/A</v>
        <stp/>
        <stp>BDH|3660681411438842267</stp>
        <tr r="S30" s="2"/>
      </tp>
      <tp t="s">
        <v>#N/A N/A</v>
        <stp/>
        <stp>BDH|9628062551594746673</stp>
        <tr r="R46" s="2"/>
      </tp>
      <tp t="s">
        <v>#N/A N/A</v>
        <stp/>
        <stp>BDH|8745307226394840382</stp>
        <tr r="O11" s="2"/>
      </tp>
      <tp t="s">
        <v>#N/A N/A</v>
        <stp/>
        <stp>BDH|7295813410329379917</stp>
        <tr r="Z28" s="2"/>
      </tp>
      <tp t="s">
        <v>#N/A N/A</v>
        <stp/>
        <stp>BDH|4123798296773731785</stp>
        <tr r="AE59" s="2"/>
      </tp>
      <tp t="s">
        <v>#N/A N/A</v>
        <stp/>
        <stp>BDH|5268410983865754264</stp>
        <tr r="AC62" s="2"/>
      </tp>
      <tp t="s">
        <v>#N/A N/A</v>
        <stp/>
        <stp>BDH|9632529572126104311</stp>
        <tr r="AE63" s="2"/>
      </tp>
      <tp t="s">
        <v>#N/A N/A</v>
        <stp/>
        <stp>BDH|1041851748183906029</stp>
        <tr r="Z13" s="2"/>
      </tp>
      <tp t="s">
        <v>#N/A N/A</v>
        <stp/>
        <stp>BDH|5317790096035272088</stp>
        <tr r="R64" s="2"/>
      </tp>
      <tp t="s">
        <v>#N/A N/A</v>
        <stp/>
        <stp>BDH|1215464245059647603</stp>
        <tr r="E18" s="2"/>
      </tp>
      <tp t="s">
        <v>#N/A N/A</v>
        <stp/>
        <stp>BDH|5398376462638632672</stp>
        <tr r="AF30" s="2"/>
      </tp>
      <tp t="s">
        <v>#N/A N/A</v>
        <stp/>
        <stp>BDH|6574328709623022894</stp>
        <tr r="V8" s="2"/>
      </tp>
      <tp t="s">
        <v>#N/A N/A</v>
        <stp/>
        <stp>BDH|2214759942997759860</stp>
        <tr r="M41" s="2"/>
      </tp>
      <tp t="s">
        <v>#N/A N/A</v>
        <stp/>
        <stp>BDH|5728800410825595765</stp>
        <tr r="P32" s="2"/>
      </tp>
      <tp t="s">
        <v>#N/A N/A</v>
        <stp/>
        <stp>BDH|9738171462973642301</stp>
        <tr r="P65" s="2"/>
      </tp>
      <tp t="s">
        <v>#N/A N/A</v>
        <stp/>
        <stp>BDH|9775319203274254021</stp>
        <tr r="AF24" s="2"/>
      </tp>
      <tp t="s">
        <v>#N/A N/A</v>
        <stp/>
        <stp>BDH|9150328723434179246</stp>
        <tr r="K7" s="2"/>
      </tp>
      <tp t="s">
        <v>#N/A N/A</v>
        <stp/>
        <stp>BDH|3965897605873717675</stp>
        <tr r="T8" s="2"/>
      </tp>
      <tp t="s">
        <v>#N/A N/A</v>
        <stp/>
        <stp>BDH|51281176581558799</stp>
        <tr r="V17" s="2"/>
      </tp>
      <tp t="s">
        <v>#N/A N/A</v>
        <stp/>
        <stp>BDH|2597022165939021286</stp>
        <tr r="I15" s="2"/>
      </tp>
      <tp t="s">
        <v>#N/A N/A</v>
        <stp/>
        <stp>BDH|9423334202576775388</stp>
        <tr r="D59" s="2"/>
      </tp>
      <tp t="s">
        <v>#N/A N/A</v>
        <stp/>
        <stp>BDH|9878480469472505670</stp>
        <tr r="AF60" s="2"/>
      </tp>
      <tp t="s">
        <v>#N/A N/A</v>
        <stp/>
        <stp>BDH|5867050876125511853</stp>
        <tr r="F30" s="2"/>
      </tp>
      <tp t="s">
        <v>#N/A N/A</v>
        <stp/>
        <stp>BDH|1323992301151586653</stp>
        <tr r="AF34" s="2"/>
      </tp>
      <tp t="s">
        <v>#N/A N/A</v>
        <stp/>
        <stp>BDH|8995667912955674533</stp>
        <tr r="AE32" s="2"/>
      </tp>
      <tp t="s">
        <v>#N/A N/A</v>
        <stp/>
        <stp>BDH|6455965709388441879</stp>
        <tr r="L63" s="2"/>
      </tp>
      <tp t="s">
        <v>#N/A N/A</v>
        <stp/>
        <stp>BDH|4113919203380342291</stp>
        <tr r="M64" s="2"/>
      </tp>
      <tp t="s">
        <v>#N/A N/A</v>
        <stp/>
        <stp>BDH|6125516621948625698</stp>
        <tr r="K63" s="2"/>
      </tp>
      <tp t="s">
        <v>#N/A N/A</v>
        <stp/>
        <stp>BDH|6906456167849224273</stp>
        <tr r="L47" s="2"/>
      </tp>
      <tp t="s">
        <v>#N/A N/A</v>
        <stp/>
        <stp>BDH|8384656960177981002</stp>
        <tr r="AE10" s="2"/>
      </tp>
      <tp t="s">
        <v>#N/A N/A</v>
        <stp/>
        <stp>BDH|3973932421660663722</stp>
        <tr r="W43" s="2"/>
      </tp>
      <tp t="s">
        <v>#N/A N/A</v>
        <stp/>
        <stp>BDH|5852854410221637247</stp>
        <tr r="T15" s="2"/>
      </tp>
      <tp t="s">
        <v>#N/A N/A</v>
        <stp/>
        <stp>BDH|4878041250449068705</stp>
        <tr r="O25" s="2"/>
      </tp>
      <tp t="s">
        <v>#N/A N/A</v>
        <stp/>
        <stp>BDH|7016361482734805708</stp>
        <tr r="F7" s="2"/>
      </tp>
      <tp t="s">
        <v>#N/A N/A</v>
        <stp/>
        <stp>BDH|6894692767071898832</stp>
        <tr r="V35" s="2"/>
      </tp>
      <tp t="s">
        <v>#N/A N/A</v>
        <stp/>
        <stp>BDH|9848139879297987768</stp>
        <tr r="U30" s="2"/>
      </tp>
      <tp t="s">
        <v>#N/A N/A</v>
        <stp/>
        <stp>BDH|9438213618475490043</stp>
        <tr r="N13" s="2"/>
      </tp>
      <tp t="s">
        <v>#N/A N/A</v>
        <stp/>
        <stp>BDH|8917428829789487841</stp>
        <tr r="AD8" s="2"/>
      </tp>
      <tp t="s">
        <v>#N/A N/A</v>
        <stp/>
        <stp>BDH|1772547971684788871</stp>
        <tr r="AB9" s="2"/>
      </tp>
      <tp t="s">
        <v>#N/A N/A</v>
        <stp/>
        <stp>BDH|2874375267478931021</stp>
        <tr r="Z34" s="2"/>
      </tp>
      <tp t="s">
        <v>#N/A N/A</v>
        <stp/>
        <stp>BDH|6715999879137350076</stp>
        <tr r="AF9" s="2"/>
      </tp>
      <tp t="s">
        <v>#N/A N/A</v>
        <stp/>
        <stp>BDH|1564981042721662293</stp>
        <tr r="V33" s="2"/>
      </tp>
      <tp t="s">
        <v>#N/A N/A</v>
        <stp/>
        <stp>BDH|2028861510731618502</stp>
        <tr r="AC36" s="2"/>
      </tp>
      <tp t="s">
        <v>#N/A N/A</v>
        <stp/>
        <stp>BDH|4927424785163950479</stp>
        <tr r="N22" s="2"/>
      </tp>
      <tp t="s">
        <v>#N/A N/A</v>
        <stp/>
        <stp>BDH|8742598909597719505</stp>
        <tr r="R37" s="2"/>
      </tp>
      <tp t="s">
        <v>#N/A N/A</v>
        <stp/>
        <stp>BDH|4280872515265957786</stp>
        <tr r="AA31" s="2"/>
      </tp>
      <tp t="s">
        <v>#N/A N/A</v>
        <stp/>
        <stp>BDH|4362058273258530410</stp>
        <tr r="V24" s="2"/>
      </tp>
      <tp t="s">
        <v>#N/A N/A</v>
        <stp/>
        <stp>BDH|9109339747777679658</stp>
        <tr r="E24" s="2"/>
      </tp>
      <tp t="s">
        <v>#N/A N/A</v>
        <stp/>
        <stp>BDH|3648913115432756638</stp>
        <tr r="C30" s="2"/>
      </tp>
      <tp t="s">
        <v>#N/A N/A</v>
        <stp/>
        <stp>BDH|6466443876683140906</stp>
        <tr r="O33" s="2"/>
      </tp>
      <tp t="s">
        <v>#N/A N/A</v>
        <stp/>
        <stp>BDH|7227439632979539611</stp>
        <tr r="G27" s="2"/>
      </tp>
      <tp t="s">
        <v>#N/A N/A</v>
        <stp/>
        <stp>BDH|6564932794520059954</stp>
        <tr r="AE26" s="2"/>
      </tp>
      <tp t="s">
        <v>#N/A N/A</v>
        <stp/>
        <stp>BDH|9012239921524432213</stp>
        <tr r="M15" s="2"/>
      </tp>
      <tp t="s">
        <v>#N/A N/A</v>
        <stp/>
        <stp>BDH|3032963612122086609</stp>
        <tr r="M26" s="2"/>
      </tp>
      <tp t="s">
        <v>#N/A N/A</v>
        <stp/>
        <stp>BDH|1211757188089206893</stp>
        <tr r="P37" s="2"/>
      </tp>
      <tp t="s">
        <v>#N/A N/A</v>
        <stp/>
        <stp>BDH|7133013061787162949</stp>
        <tr r="AF15" s="2"/>
      </tp>
      <tp t="s">
        <v>#N/A N/A</v>
        <stp/>
        <stp>BDH|1281948412514446251</stp>
        <tr r="E16" s="2"/>
      </tp>
      <tp t="s">
        <v>#N/A N/A</v>
        <stp/>
        <stp>BDH|7456209466764417839</stp>
        <tr r="M9" s="2"/>
      </tp>
      <tp t="s">
        <v>#N/A N/A</v>
        <stp/>
        <stp>BDH|8855437833942276508</stp>
        <tr r="S28" s="2"/>
      </tp>
      <tp t="s">
        <v>#N/A N/A</v>
        <stp/>
        <stp>BDH|9321468981964810977</stp>
        <tr r="I61" s="2"/>
      </tp>
      <tp t="s">
        <v>#N/A N/A</v>
        <stp/>
        <stp>BDH|8869320245230220763</stp>
        <tr r="AB49" s="2"/>
      </tp>
      <tp t="s">
        <v>#N/A N/A</v>
        <stp/>
        <stp>BDH|3876981827500923066</stp>
        <tr r="Z58" s="2"/>
      </tp>
      <tp t="s">
        <v>#N/A N/A</v>
        <stp/>
        <stp>BDH|3872427971259276104</stp>
        <tr r="W66" s="2"/>
      </tp>
      <tp t="s">
        <v>#N/A N/A</v>
        <stp/>
        <stp>BDH|2800967856492736460</stp>
        <tr r="M63" s="2"/>
      </tp>
      <tp t="s">
        <v>#N/A N/A</v>
        <stp/>
        <stp>BDH|5919590498212960380</stp>
        <tr r="K10" s="2"/>
      </tp>
      <tp t="s">
        <v>#N/A N/A</v>
        <stp/>
        <stp>BDH|1733734593447887060</stp>
        <tr r="AC25" s="2"/>
      </tp>
      <tp t="s">
        <v>#N/A N/A</v>
        <stp/>
        <stp>BDH|6884785917801931907</stp>
        <tr r="K48" s="2"/>
      </tp>
      <tp t="s">
        <v>#N/A N/A</v>
        <stp/>
        <stp>BDH|2955119765178184525</stp>
        <tr r="J62" s="2"/>
      </tp>
      <tp t="s">
        <v>#N/A N/A</v>
        <stp/>
        <stp>BDH|1310502196742919726</stp>
        <tr r="P64" s="2"/>
      </tp>
      <tp t="s">
        <v>#N/A N/A</v>
        <stp/>
        <stp>BDH|3018310258969245456</stp>
        <tr r="S35" s="2"/>
      </tp>
      <tp t="s">
        <v>#N/A N/A</v>
        <stp/>
        <stp>BDH|1881560442589737152</stp>
        <tr r="W11" s="2"/>
      </tp>
      <tp t="s">
        <v>#N/A N/A</v>
        <stp/>
        <stp>BDH|8868556275770202256</stp>
        <tr r="E27" s="2"/>
      </tp>
      <tp t="s">
        <v>#N/A N/A</v>
        <stp/>
        <stp>BDH|7302389914515461849</stp>
        <tr r="S32" s="2"/>
      </tp>
      <tp t="s">
        <v>#N/A N/A</v>
        <stp/>
        <stp>BDH|8484233701163893111</stp>
        <tr r="O49" s="2"/>
      </tp>
      <tp t="s">
        <v>#N/A N/A</v>
        <stp/>
        <stp>BDH|4597475942135449989</stp>
        <tr r="AF12" s="2"/>
      </tp>
      <tp t="s">
        <v>#N/A N/A</v>
        <stp/>
        <stp>BDH|2184291083127324748</stp>
        <tr r="G37" s="2"/>
      </tp>
      <tp t="s">
        <v>#N/A N/A</v>
        <stp/>
        <stp>BDH|4741428074216533985</stp>
        <tr r="S63" s="2"/>
      </tp>
      <tp t="s">
        <v>#N/A N/A</v>
        <stp/>
        <stp>BDH|9908698967116244791</stp>
        <tr r="H60" s="2"/>
      </tp>
      <tp t="s">
        <v>#N/A N/A</v>
        <stp/>
        <stp>BDH|6967911037266210200</stp>
        <tr r="Z48" s="2"/>
      </tp>
      <tp t="s">
        <v>#N/A N/A</v>
        <stp/>
        <stp>BDH|7513991168155099579</stp>
        <tr r="Z30" s="2"/>
      </tp>
      <tp t="s">
        <v>#N/A N/A</v>
        <stp/>
        <stp>BDH|2193316013941147911</stp>
        <tr r="Z23" s="2"/>
      </tp>
      <tp t="s">
        <v>#N/A N/A</v>
        <stp/>
        <stp>BDH|6269588686565893674</stp>
        <tr r="AC31" s="2"/>
      </tp>
      <tp t="s">
        <v>#N/A N/A</v>
        <stp/>
        <stp>BDH|9411340667114115059</stp>
        <tr r="AF7" s="2"/>
      </tp>
      <tp t="s">
        <v>#N/A N/A</v>
        <stp/>
        <stp>BDH|8628593000040862548</stp>
        <tr r="K15" s="2"/>
      </tp>
      <tp t="s">
        <v>#N/A N/A</v>
        <stp/>
        <stp>BDH|4390866445909302935</stp>
        <tr r="AA28" s="2"/>
      </tp>
      <tp t="s">
        <v>#N/A N/A</v>
        <stp/>
        <stp>BDH|8169678353880054354</stp>
        <tr r="K33" s="2"/>
      </tp>
      <tp t="s">
        <v>#N/A N/A</v>
        <stp/>
        <stp>BDH|2190121056377323978</stp>
        <tr r="AC17" s="2"/>
      </tp>
      <tp t="s">
        <v>#N/A N/A</v>
        <stp/>
        <stp>BDH|6547928674742011220</stp>
        <tr r="J14" s="2"/>
      </tp>
      <tp t="s">
        <v>#N/A N/A</v>
        <stp/>
        <stp>BDH|9339660055220930288</stp>
        <tr r="V21" s="2"/>
      </tp>
      <tp t="s">
        <v>#N/A N/A</v>
        <stp/>
        <stp>BDH|9625000947825004004</stp>
        <tr r="M50" s="2"/>
      </tp>
      <tp t="s">
        <v>#N/A N/A</v>
        <stp/>
        <stp>BDH|3437106167619223571</stp>
        <tr r="X62" s="2"/>
      </tp>
      <tp t="s">
        <v>#N/A N/A</v>
        <stp/>
        <stp>BDH|2361774734137171971</stp>
        <tr r="J33" s="2"/>
      </tp>
      <tp t="s">
        <v>#N/A N/A</v>
        <stp/>
        <stp>BDH|5641310694176625127</stp>
        <tr r="U11" s="2"/>
      </tp>
      <tp t="s">
        <v>#N/A N/A</v>
        <stp/>
        <stp>BDH|2508560741599756224</stp>
        <tr r="L42" s="2"/>
      </tp>
      <tp t="s">
        <v>#N/A N/A</v>
        <stp/>
        <stp>BDH|9803261338545706556</stp>
        <tr r="AD59" s="2"/>
      </tp>
      <tp t="s">
        <v>#N/A N/A</v>
        <stp/>
        <stp>BDH|8574962194212680253</stp>
        <tr r="Q41" s="2"/>
      </tp>
      <tp t="s">
        <v>#N/A N/A</v>
        <stp/>
        <stp>BDH|3415006553556558877</stp>
        <tr r="I37" s="2"/>
      </tp>
      <tp t="s">
        <v>#N/A N/A</v>
        <stp/>
        <stp>BDH|4995320219486457838</stp>
        <tr r="T46" s="2"/>
      </tp>
      <tp t="s">
        <v>#N/A N/A</v>
        <stp/>
        <stp>BDH|2383702313319578502</stp>
        <tr r="P41" s="2"/>
      </tp>
      <tp t="s">
        <v>#N/A N/A</v>
        <stp/>
        <stp>BDH|65531520356317459</stp>
        <tr r="AE30" s="2"/>
      </tp>
      <tp t="s">
        <v>#N/A N/A</v>
        <stp/>
        <stp>BDH|6457490257387947997</stp>
        <tr r="M58" s="2"/>
      </tp>
      <tp t="s">
        <v>#N/A N/A</v>
        <stp/>
        <stp>BDH|7182123956749633395</stp>
        <tr r="G29" s="2"/>
      </tp>
      <tp t="s">
        <v>#N/A N/A</v>
        <stp/>
        <stp>BDH|3127424987971687792</stp>
        <tr r="Y23" s="2"/>
      </tp>
      <tp t="s">
        <v>#N/A N/A</v>
        <stp/>
        <stp>BDH|6253914214510814742</stp>
        <tr r="E42" s="2"/>
      </tp>
      <tp t="s">
        <v>#N/A N/A</v>
        <stp/>
        <stp>BDH|5550119059680265842</stp>
        <tr r="L60" s="2"/>
      </tp>
      <tp t="s">
        <v>#N/A N/A</v>
        <stp/>
        <stp>BDH|6432629179146695811</stp>
        <tr r="Y60" s="2"/>
      </tp>
      <tp t="s">
        <v>#N/A N/A</v>
        <stp/>
        <stp>BDH|2040327474988871769</stp>
        <tr r="E34" s="2"/>
      </tp>
      <tp t="s">
        <v>#N/A N/A</v>
        <stp/>
        <stp>BDH|3816400361138346029</stp>
        <tr r="J36" s="2"/>
      </tp>
      <tp t="s">
        <v>#N/A N/A</v>
        <stp/>
        <stp>BDH|9569589188659533484</stp>
        <tr r="Z45" s="2"/>
      </tp>
      <tp t="s">
        <v>#N/A N/A</v>
        <stp/>
        <stp>BDH|7529034062331445995</stp>
        <tr r="AC61" s="2"/>
      </tp>
      <tp t="s">
        <v>#N/A N/A</v>
        <stp/>
        <stp>BDH|5176880952759050821</stp>
        <tr r="I42" s="2"/>
      </tp>
      <tp t="s">
        <v>#N/A N/A</v>
        <stp/>
        <stp>BDH|6364215650781269994</stp>
        <tr r="U44" s="2"/>
      </tp>
      <tp t="s">
        <v>#N/A N/A</v>
        <stp/>
        <stp>BDH|4345002913669885510</stp>
        <tr r="Y26" s="2"/>
      </tp>
      <tp t="s">
        <v>#N/A N/A</v>
        <stp/>
        <stp>BDH|2476940347905983379</stp>
        <tr r="M34" s="2"/>
      </tp>
      <tp t="s">
        <v>#N/A N/A</v>
        <stp/>
        <stp>BDH|3453421585282857452</stp>
        <tr r="Q12" s="2"/>
      </tp>
      <tp t="s">
        <v>#N/A N/A</v>
        <stp/>
        <stp>BDH|9846110233336113455</stp>
        <tr r="Q59" s="2"/>
      </tp>
      <tp t="s">
        <v>#N/A N/A</v>
        <stp/>
        <stp>BDH|7909005302046674831</stp>
        <tr r="E54" s="2"/>
      </tp>
      <tp t="s">
        <v>#N/A N/A</v>
        <stp/>
        <stp>BDH|8063681657961795369</stp>
        <tr r="U24" s="2"/>
      </tp>
      <tp t="s">
        <v>#N/A N/A</v>
        <stp/>
        <stp>BDH|9074360990193852911</stp>
        <tr r="U14" s="2"/>
      </tp>
      <tp t="s">
        <v>#N/A N/A</v>
        <stp/>
        <stp>BDH|1386822376203296498</stp>
        <tr r="AF48" s="2"/>
      </tp>
      <tp t="s">
        <v>#N/A N/A</v>
        <stp/>
        <stp>BDH|5588595407529173060</stp>
        <tr r="P9" s="2"/>
      </tp>
      <tp t="s">
        <v>#N/A N/A</v>
        <stp/>
        <stp>BDH|3007734099961171562</stp>
        <tr r="J25" s="2"/>
      </tp>
      <tp t="s">
        <v>#N/A N/A</v>
        <stp/>
        <stp>BDH|9933183068955307285</stp>
        <tr r="C26" s="2"/>
      </tp>
      <tp t="s">
        <v>#N/A N/A</v>
        <stp/>
        <stp>BDH|5000419450835173837</stp>
        <tr r="L64" s="2"/>
      </tp>
      <tp t="s">
        <v>#N/A N/A</v>
        <stp/>
        <stp>BDH|2892377613958816177</stp>
        <tr r="P18" s="2"/>
      </tp>
      <tp t="s">
        <v>#N/A N/A</v>
        <stp/>
        <stp>BDH|9058212922557360734</stp>
        <tr r="Z44" s="2"/>
      </tp>
      <tp t="s">
        <v>#N/A N/A</v>
        <stp/>
        <stp>BDH|4398858744202090319</stp>
        <tr r="P52" s="2"/>
      </tp>
      <tp t="s">
        <v>#N/A N/A</v>
        <stp/>
        <stp>BDH|1685026720542790807</stp>
        <tr r="X16" s="2"/>
      </tp>
      <tp t="s">
        <v>#N/A N/A</v>
        <stp/>
        <stp>BDH|8561782128501496523</stp>
        <tr r="X9" s="2"/>
      </tp>
      <tp t="s">
        <v>#N/A N/A</v>
        <stp/>
        <stp>BDH|5240355131798452422</stp>
        <tr r="K14" s="2"/>
      </tp>
      <tp t="s">
        <v>#N/A N/A</v>
        <stp/>
        <stp>BDH|8461132909474930473</stp>
        <tr r="O52" s="2"/>
      </tp>
      <tp t="s">
        <v>#N/A N/A</v>
        <stp/>
        <stp>BDH|9936725878662280218</stp>
        <tr r="N21" s="2"/>
      </tp>
      <tp t="s">
        <v>#N/A N/A</v>
        <stp/>
        <stp>BDH|8307321305142521011</stp>
        <tr r="Z33" s="2"/>
      </tp>
      <tp t="s">
        <v>#N/A N/A</v>
        <stp/>
        <stp>BDH|1196300095775705723</stp>
        <tr r="Q36" s="2"/>
      </tp>
      <tp t="s">
        <v>#N/A N/A</v>
        <stp/>
        <stp>BDH|6019980803385559386</stp>
        <tr r="K13" s="2"/>
      </tp>
      <tp t="s">
        <v>#N/A N/A</v>
        <stp/>
        <stp>BDH|9951164359244509052</stp>
        <tr r="AA21" s="2"/>
      </tp>
      <tp t="s">
        <v>#N/A N/A</v>
        <stp/>
        <stp>BDH|8907496770091027362</stp>
        <tr r="G8" s="2"/>
      </tp>
      <tp t="s">
        <v>#N/A N/A</v>
        <stp/>
        <stp>BDH|2235959964355328166</stp>
        <tr r="AC45" s="2"/>
      </tp>
      <tp t="s">
        <v>#N/A N/A</v>
        <stp/>
        <stp>BDH|4542112145661435923</stp>
        <tr r="L54" s="2"/>
      </tp>
      <tp t="s">
        <v>#N/A N/A</v>
        <stp/>
        <stp>BDH|5371538595394072429</stp>
        <tr r="S26" s="2"/>
      </tp>
      <tp t="s">
        <v>#N/A N/A</v>
        <stp/>
        <stp>BDH|2399806767780168528</stp>
        <tr r="T32" s="2"/>
      </tp>
      <tp t="s">
        <v>#N/A N/A</v>
        <stp/>
        <stp>BDH|2030053253356070818</stp>
        <tr r="I49" s="2"/>
      </tp>
      <tp t="s">
        <v>#N/A N/A</v>
        <stp/>
        <stp>BDH|5099834025707054113</stp>
        <tr r="N28" s="2"/>
      </tp>
      <tp t="s">
        <v>#N/A N/A</v>
        <stp/>
        <stp>BDH|8130708360004359451</stp>
        <tr r="S22" s="2"/>
      </tp>
      <tp t="s">
        <v>#N/A N/A</v>
        <stp/>
        <stp>BDH|1522238574954237941</stp>
        <tr r="J12" s="2"/>
      </tp>
      <tp t="s">
        <v>#N/A N/A</v>
        <stp/>
        <stp>BDH|3220911550453314545</stp>
        <tr r="AD9" s="2"/>
      </tp>
      <tp t="s">
        <v>#N/A N/A</v>
        <stp/>
        <stp>BDH|2330200930238274254</stp>
        <tr r="AD46" s="2"/>
      </tp>
      <tp t="s">
        <v>#N/A N/A</v>
        <stp/>
        <stp>BDH|9249772665236758721</stp>
        <tr r="AB42" s="2"/>
      </tp>
      <tp t="s">
        <v>#N/A N/A</v>
        <stp/>
        <stp>BDH|3950854976361840476</stp>
        <tr r="W23" s="2"/>
      </tp>
      <tp t="s">
        <v>#N/A N/A</v>
        <stp/>
        <stp>BDH|8858421818392336641</stp>
        <tr r="D49" s="2"/>
      </tp>
      <tp t="s">
        <v>#N/A N/A</v>
        <stp/>
        <stp>BDH|3938456086695749073</stp>
        <tr r="T60" s="2"/>
      </tp>
      <tp t="s">
        <v>#N/A N/A</v>
        <stp/>
        <stp>BDH|7145044198686414238</stp>
        <tr r="F11" s="2"/>
      </tp>
      <tp t="s">
        <v>#N/A N/A</v>
        <stp/>
        <stp>BDH|4977514153476881889</stp>
        <tr r="U32" s="2"/>
      </tp>
      <tp t="s">
        <v>#N/A N/A</v>
        <stp/>
        <stp>BDH|9896477982009621607</stp>
        <tr r="M36" s="2"/>
      </tp>
      <tp t="s">
        <v>#N/A N/A</v>
        <stp/>
        <stp>BDH|6409564089883955297</stp>
        <tr r="K43" s="2"/>
      </tp>
      <tp t="s">
        <v>#N/A N/A</v>
        <stp/>
        <stp>BDH|4703693603730076832</stp>
        <tr r="M27" s="2"/>
      </tp>
      <tp t="s">
        <v>#N/A N/A</v>
        <stp/>
        <stp>BDH|7357953347317673795</stp>
        <tr r="S9" s="2"/>
      </tp>
      <tp t="s">
        <v>#N/A N/A</v>
        <stp/>
        <stp>BDH|2550966462901833676</stp>
        <tr r="J43" s="2"/>
      </tp>
      <tp t="s">
        <v>#N/A N/A</v>
        <stp/>
        <stp>BDH|8917470765831786101</stp>
        <tr r="N17" s="2"/>
      </tp>
      <tp t="s">
        <v>#N/A N/A</v>
        <stp/>
        <stp>BDH|4662091832344192900</stp>
        <tr r="L18" s="2"/>
      </tp>
      <tp t="s">
        <v>#N/A N/A</v>
        <stp/>
        <stp>BDH|9613639138081953790</stp>
        <tr r="E62" s="2"/>
      </tp>
      <tp t="s">
        <v>#N/A N/A</v>
        <stp/>
        <stp>BDH|6743472493798459952</stp>
        <tr r="G47" s="2"/>
      </tp>
      <tp t="s">
        <v>#N/A N/A</v>
        <stp/>
        <stp>BDH|5248319960878830287</stp>
        <tr r="L45" s="2"/>
      </tp>
      <tp t="s">
        <v>#N/A N/A</v>
        <stp/>
        <stp>BDH|7225406205258044149</stp>
        <tr r="Q47" s="2"/>
      </tp>
      <tp t="s">
        <v>#N/A N/A</v>
        <stp/>
        <stp>BDH|6537491414958988129</stp>
        <tr r="T58" s="2"/>
      </tp>
      <tp t="s">
        <v>#N/A N/A</v>
        <stp/>
        <stp>BDH|6533656986037573536</stp>
        <tr r="AD35" s="2"/>
      </tp>
      <tp t="s">
        <v>#N/A N/A</v>
        <stp/>
        <stp>BDH|1164939485029631316</stp>
        <tr r="U31" s="2"/>
      </tp>
      <tp t="s">
        <v>#N/A N/A</v>
        <stp/>
        <stp>BDH|1434585330265235886</stp>
        <tr r="O17" s="2"/>
      </tp>
      <tp t="s">
        <v>#N/A N/A</v>
        <stp/>
        <stp>BDH|4224860967078310869</stp>
        <tr r="H31" s="2"/>
      </tp>
      <tp t="s">
        <v>#N/A N/A</v>
        <stp/>
        <stp>BDH|8113645650447068639</stp>
        <tr r="AB34" s="2"/>
      </tp>
      <tp t="s">
        <v>#N/A N/A</v>
        <stp/>
        <stp>BDH|3478352095167203418</stp>
        <tr r="M28" s="2"/>
      </tp>
      <tp t="s">
        <v>#N/A N/A</v>
        <stp/>
        <stp>BDH|8729438786446593832</stp>
        <tr r="C31" s="2"/>
      </tp>
      <tp t="s">
        <v>#N/A N/A</v>
        <stp/>
        <stp>BDH|9149620743780270163</stp>
        <tr r="J46" s="2"/>
      </tp>
      <tp t="s">
        <v>#N/A N/A</v>
        <stp/>
        <stp>BDH|6144709003328657304</stp>
        <tr r="AD11" s="2"/>
      </tp>
      <tp t="s">
        <v>#N/A N/A</v>
        <stp/>
        <stp>BDH|3744623052283235907</stp>
        <tr r="V26" s="2"/>
      </tp>
      <tp t="s">
        <v>#N/A N/A</v>
        <stp/>
        <stp>BDH|5631074996302778450</stp>
        <tr r="O58" s="2"/>
      </tp>
      <tp t="s">
        <v>#N/A N/A</v>
        <stp/>
        <stp>BDH|4239975740612646166</stp>
        <tr r="I32" s="2"/>
      </tp>
      <tp t="s">
        <v>#N/A N/A</v>
        <stp/>
        <stp>BDH|3235870369492855510</stp>
        <tr r="AA50" s="2"/>
      </tp>
      <tp t="s">
        <v>#N/A N/A</v>
        <stp/>
        <stp>BDH|4613102081277507075</stp>
        <tr r="R62" s="2"/>
      </tp>
      <tp t="s">
        <v>#N/A N/A</v>
        <stp/>
        <stp>BDH|1704414805579299640</stp>
        <tr r="G25" s="2"/>
      </tp>
      <tp t="s">
        <v>#N/A N/A</v>
        <stp/>
        <stp>BDH|2174810763454610208</stp>
        <tr r="E14" s="2"/>
      </tp>
      <tp t="s">
        <v>#N/A N/A</v>
        <stp/>
        <stp>BDH|4673630627653295957</stp>
        <tr r="K49" s="2"/>
      </tp>
      <tp t="s">
        <v>#N/A N/A</v>
        <stp/>
        <stp>BDH|6846300267421737927</stp>
        <tr r="P31" s="2"/>
      </tp>
      <tp t="s">
        <v>#N/A N/A</v>
        <stp/>
        <stp>BDH|3375203978839004425</stp>
        <tr r="P30" s="2"/>
      </tp>
      <tp t="s">
        <v>#N/A N/A</v>
        <stp/>
        <stp>BDH|3694401568693543923</stp>
        <tr r="F18" s="2"/>
      </tp>
      <tp t="s">
        <v>#N/A N/A</v>
        <stp/>
        <stp>BDH|1921882939352571334</stp>
        <tr r="W59" s="2"/>
      </tp>
      <tp t="s">
        <v>#N/A N/A</v>
        <stp/>
        <stp>BDH|2619973749502295642</stp>
        <tr r="AF36" s="2"/>
      </tp>
      <tp t="s">
        <v>#N/A N/A</v>
        <stp/>
        <stp>BDH|6237400159848051448</stp>
        <tr r="O9" s="2"/>
      </tp>
      <tp t="s">
        <v>#N/A N/A</v>
        <stp/>
        <stp>BDH|6379486935559483354</stp>
        <tr r="AA22" s="2"/>
      </tp>
      <tp t="s">
        <v>#N/A N/A</v>
        <stp/>
        <stp>BDH|6404297980886132133</stp>
        <tr r="O48" s="2"/>
      </tp>
      <tp t="s">
        <v>#N/A N/A</v>
        <stp/>
        <stp>BDH|7052919685494900918</stp>
        <tr r="H15" s="2"/>
      </tp>
      <tp t="s">
        <v>#N/A N/A</v>
        <stp/>
        <stp>BDH|9882810911243563818</stp>
        <tr r="Z65" s="2"/>
      </tp>
      <tp t="s">
        <v>#N/A N/A</v>
        <stp/>
        <stp>BDH|1442962594123857924</stp>
        <tr r="N63" s="2"/>
      </tp>
      <tp t="s">
        <v>#N/A N/A</v>
        <stp/>
        <stp>BDH|8185013859334268275</stp>
        <tr r="AD61" s="2"/>
      </tp>
      <tp t="s">
        <v>#N/A N/A</v>
        <stp/>
        <stp>BDH|9655556229286315349</stp>
        <tr r="R16" s="2"/>
      </tp>
      <tp t="s">
        <v>#N/A N/A</v>
        <stp/>
        <stp>BDH|4721712825538716298</stp>
        <tr r="K65" s="2"/>
      </tp>
      <tp t="s">
        <v>#N/A N/A</v>
        <stp/>
        <stp>BDH|4388862127834646166</stp>
        <tr r="D11" s="2"/>
      </tp>
      <tp t="s">
        <v>#N/A N/A</v>
        <stp/>
        <stp>BDH|1982868572652672794</stp>
        <tr r="R36" s="2"/>
      </tp>
      <tp t="s">
        <v>#N/A N/A</v>
        <stp/>
        <stp>BDH|7856146181272831775</stp>
        <tr r="M11" s="2"/>
      </tp>
      <tp t="s">
        <v>#N/A N/A</v>
        <stp/>
        <stp>BDH|3253561554410027806</stp>
        <tr r="F44" s="2"/>
      </tp>
      <tp t="s">
        <v>#N/A N/A</v>
        <stp/>
        <stp>BDH|9498991159379327769</stp>
        <tr r="I47" s="2"/>
      </tp>
      <tp t="s">
        <v>#N/A N/A</v>
        <stp/>
        <stp>BDH|8126172523701301170</stp>
        <tr r="AB31" s="2"/>
      </tp>
      <tp t="s">
        <v>#N/A N/A</v>
        <stp/>
        <stp>BDH|1279622113789429415</stp>
        <tr r="J34" s="2"/>
      </tp>
      <tp t="s">
        <v>#N/A N/A</v>
        <stp/>
        <stp>BDH|5064361082067402272</stp>
        <tr r="W17" s="2"/>
      </tp>
      <tp t="s">
        <v>#N/A N/A</v>
        <stp/>
        <stp>BDH|5334445264074517810</stp>
        <tr r="AA35" s="2"/>
      </tp>
      <tp t="s">
        <v>#N/A N/A</v>
        <stp/>
        <stp>BDH|6102684321431904867</stp>
        <tr r="E28" s="2"/>
      </tp>
      <tp t="s">
        <v>#N/A N/A</v>
        <stp/>
        <stp>BDH|6000561203488297005</stp>
        <tr r="D46" s="2"/>
      </tp>
      <tp t="s">
        <v>#N/A N/A</v>
        <stp/>
        <stp>BDH|9348615163250685204</stp>
        <tr r="U17" s="2"/>
      </tp>
      <tp t="s">
        <v>#N/A N/A</v>
        <stp/>
        <stp>BDH|3388828117258179935</stp>
        <tr r="N7" s="2"/>
      </tp>
      <tp t="s">
        <v>#N/A N/A</v>
        <stp/>
        <stp>BDH|5440915344236662536</stp>
        <tr r="AF52" s="2"/>
      </tp>
      <tp t="s">
        <v>#N/A N/A</v>
        <stp/>
        <stp>BDH|7078692907063202987</stp>
        <tr r="C61" s="2"/>
      </tp>
      <tp t="s">
        <v>#N/A N/A</v>
        <stp/>
        <stp>BDH|1258751473883039905</stp>
        <tr r="AF59" s="2"/>
      </tp>
      <tp t="s">
        <v>#N/A N/A</v>
        <stp/>
        <stp>BDH|3784823587459679105</stp>
        <tr r="AA49" s="2"/>
      </tp>
      <tp t="s">
        <v>#N/A N/A</v>
        <stp/>
        <stp>BDH|9688461429396869252</stp>
        <tr r="F31" s="2"/>
      </tp>
      <tp t="s">
        <v>#N/A N/A</v>
        <stp/>
        <stp>BDH|3595585371042181882</stp>
        <tr r="V44" s="2"/>
      </tp>
      <tp t="s">
        <v>#N/A N/A</v>
        <stp/>
        <stp>BDH|2845599790646709333</stp>
        <tr r="Y25" s="2"/>
      </tp>
      <tp t="s">
        <v>#N/A N/A</v>
        <stp/>
        <stp>BDH|6717987952135840409</stp>
        <tr r="AD54" s="2"/>
      </tp>
      <tp t="s">
        <v>#N/A N/A</v>
        <stp/>
        <stp>BDH|7697410618080365992</stp>
        <tr r="U41" s="2"/>
      </tp>
      <tp t="s">
        <v>#N/A N/A</v>
        <stp/>
        <stp>BDH|1542528493568793196</stp>
        <tr r="C66" s="2"/>
      </tp>
      <tp t="s">
        <v>#N/A N/A</v>
        <stp/>
        <stp>BDH|5231634271635218591</stp>
        <tr r="J11" s="2"/>
      </tp>
      <tp t="s">
        <v>#N/A N/A</v>
        <stp/>
        <stp>BDH|1804454361496632113</stp>
        <tr r="G21" s="2"/>
      </tp>
      <tp t="s">
        <v>#N/A N/A</v>
        <stp/>
        <stp>BDH|9467911431507979067</stp>
        <tr r="L28" s="2"/>
      </tp>
      <tp t="s">
        <v>#N/A N/A</v>
        <stp/>
        <stp>BDH|7330901588177501556</stp>
        <tr r="G17" s="2"/>
      </tp>
      <tp t="s">
        <v>#N/A N/A</v>
        <stp/>
        <stp>BDH|7708387734536922596</stp>
        <tr r="D9" s="2"/>
      </tp>
      <tp t="s">
        <v>#N/A N/A</v>
        <stp/>
        <stp>BDH|9525888321612252556</stp>
        <tr r="M22" s="2"/>
      </tp>
      <tp t="s">
        <v>#N/A N/A</v>
        <stp/>
        <stp>BDH|3804828889230839738</stp>
        <tr r="Y31" s="2"/>
      </tp>
      <tp t="s">
        <v>#N/A N/A</v>
        <stp/>
        <stp>BDH|9192074477229088390</stp>
        <tr r="AB41" s="2"/>
      </tp>
      <tp t="s">
        <v>#N/A N/A</v>
        <stp/>
        <stp>BDH|4772769188508736767</stp>
        <tr r="Q10" s="2"/>
      </tp>
      <tp t="s">
        <v>#N/A N/A</v>
        <stp/>
        <stp>BDH|6021768308951649415</stp>
        <tr r="Q31" s="2"/>
      </tp>
      <tp t="s">
        <v>#N/A N/A</v>
        <stp/>
        <stp>BDH|2301868230439546491</stp>
        <tr r="X41" s="2"/>
      </tp>
      <tp t="s">
        <v>#N/A N/A</v>
        <stp/>
        <stp>BDH|2907726602417096606</stp>
        <tr r="H13" s="2"/>
      </tp>
      <tp t="s">
        <v>#N/A N/A</v>
        <stp/>
        <stp>BDH|8046439463748105687</stp>
        <tr r="G41" s="2"/>
      </tp>
      <tp t="s">
        <v>#N/A N/A</v>
        <stp/>
        <stp>BDH|5639158255205084084</stp>
        <tr r="M62" s="2"/>
      </tp>
      <tp t="s">
        <v>#N/A N/A</v>
        <stp/>
        <stp>BDH|9206828609332329743</stp>
        <tr r="AE33" s="2"/>
      </tp>
      <tp t="s">
        <v>#N/A N/A</v>
        <stp/>
        <stp>BDH|3896841094937337142</stp>
        <tr r="T48" s="2"/>
      </tp>
      <tp t="s">
        <v>#N/A N/A</v>
        <stp/>
        <stp>BDH|5748531119762661744</stp>
        <tr r="AD31" s="2"/>
      </tp>
      <tp t="s">
        <v>#N/A N/A</v>
        <stp/>
        <stp>BDH|9707177097256967317</stp>
        <tr r="AF42" s="2"/>
      </tp>
      <tp t="s">
        <v>#N/A N/A</v>
        <stp/>
        <stp>BDH|9153256998063962596</stp>
        <tr r="AB11" s="2"/>
      </tp>
      <tp t="s">
        <v>#N/A N/A</v>
        <stp/>
        <stp>BDH|2865847095405597207</stp>
        <tr r="U13" s="2"/>
      </tp>
      <tp t="s">
        <v>#N/A N/A</v>
        <stp/>
        <stp>BDH|8033321782721998647</stp>
        <tr r="AC64" s="2"/>
      </tp>
      <tp t="s">
        <v>#N/A N/A</v>
        <stp/>
        <stp>BDH|2080175369856484777</stp>
        <tr r="J21" s="2"/>
      </tp>
      <tp t="s">
        <v>#N/A N/A</v>
        <stp/>
        <stp>BDH|4848689518243198448</stp>
        <tr r="E64" s="2"/>
      </tp>
      <tp t="s">
        <v>#N/A N/A</v>
        <stp/>
        <stp>BDH|4198936796568787815</stp>
        <tr r="F61" s="2"/>
      </tp>
      <tp t="s">
        <v>#N/A N/A</v>
        <stp/>
        <stp>BDH|5203184367601672798</stp>
        <tr r="D17" s="2"/>
      </tp>
      <tp t="s">
        <v>#N/A N/A</v>
        <stp/>
        <stp>BDH|3335825739644289887</stp>
        <tr r="R13" s="2"/>
      </tp>
      <tp t="s">
        <v>#N/A N/A</v>
        <stp/>
        <stp>BDH|6089240820196774409</stp>
        <tr r="I66" s="2"/>
      </tp>
      <tp t="s">
        <v>#N/A N/A</v>
        <stp/>
        <stp>BDH|7417396047154246080</stp>
        <tr r="T22" s="2"/>
      </tp>
      <tp t="s">
        <v>#N/A N/A</v>
        <stp/>
        <stp>BDH|7081296510355863519</stp>
        <tr r="AB12" s="2"/>
      </tp>
      <tp t="s">
        <v>#N/A N/A</v>
        <stp/>
        <stp>BDH|9807438757438543495</stp>
        <tr r="I25" s="2"/>
      </tp>
      <tp t="s">
        <v>#N/A N/A</v>
        <stp/>
        <stp>BDH|4311511019594826039</stp>
        <tr r="C50" s="2"/>
      </tp>
      <tp t="s">
        <v>#N/A N/A</v>
        <stp/>
        <stp>BDH|2103579982318513307</stp>
        <tr r="W58" s="2"/>
      </tp>
      <tp t="s">
        <v>#N/A N/A</v>
        <stp/>
        <stp>BDH|2047764206332641305</stp>
        <tr r="I31" s="2"/>
      </tp>
      <tp t="s">
        <v>#N/A N/A</v>
        <stp/>
        <stp>BDH|4920737153094609690</stp>
        <tr r="O54" s="2"/>
      </tp>
      <tp t="s">
        <v>#N/A N/A</v>
        <stp/>
        <stp>BDH|1821821376819219380</stp>
        <tr r="S61" s="2"/>
      </tp>
      <tp t="s">
        <v>#N/A N/A</v>
        <stp/>
        <stp>BDH|5817686048787928451</stp>
        <tr r="Y14" s="2"/>
      </tp>
      <tp t="s">
        <v>#N/A N/A</v>
        <stp/>
        <stp>BDH|1523873056928640065</stp>
        <tr r="F26" s="2"/>
      </tp>
      <tp t="s">
        <v>#N/A N/A</v>
        <stp/>
        <stp>BDH|1637216656277703528</stp>
        <tr r="S34" s="2"/>
      </tp>
      <tp t="s">
        <v>#N/A N/A</v>
        <stp/>
        <stp>BDH|1176356642436083422</stp>
        <tr r="F16" s="2"/>
      </tp>
      <tp t="s">
        <v>#N/A N/A</v>
        <stp/>
        <stp>BDH|2368088419325193265</stp>
        <tr r="X12" s="2"/>
      </tp>
      <tp t="s">
        <v>#N/A N/A</v>
        <stp/>
        <stp>BDH|4735863000708645020</stp>
        <tr r="N23" s="2"/>
      </tp>
      <tp t="s">
        <v>#N/A N/A</v>
        <stp/>
        <stp>BDH|6571500663295429470</stp>
        <tr r="T25" s="2"/>
      </tp>
      <tp t="s">
        <v>#N/A N/A</v>
        <stp/>
        <stp>BDH|1740763650036288160</stp>
        <tr r="W48" s="2"/>
      </tp>
      <tp t="s">
        <v>#N/A N/A</v>
        <stp/>
        <stp>BDH|7129091324792731213</stp>
        <tr r="X18" s="2"/>
      </tp>
      <tp t="s">
        <v>#N/A N/A</v>
        <stp/>
        <stp>BDH|6710709116430895533</stp>
        <tr r="AB64" s="2"/>
      </tp>
      <tp t="s">
        <v>#N/A N/A</v>
        <stp/>
        <stp>BDH|1264640367350972424</stp>
        <tr r="O47" s="2"/>
      </tp>
      <tp t="s">
        <v>#N/A N/A</v>
        <stp/>
        <stp>BDH|6875644903034640124</stp>
        <tr r="AE58" s="2"/>
      </tp>
      <tp t="s">
        <v>#N/A N/A</v>
        <stp/>
        <stp>BDH|4368610079844440442</stp>
        <tr r="R61" s="2"/>
      </tp>
      <tp t="s">
        <v>#N/A N/A</v>
        <stp/>
        <stp>BDH|6808717442241677155</stp>
        <tr r="S8" s="2"/>
      </tp>
      <tp t="s">
        <v>#N/A N/A</v>
        <stp/>
        <stp>BDH|6211599944666614418</stp>
        <tr r="AC21" s="2"/>
      </tp>
      <tp t="s">
        <v>#N/A N/A</v>
        <stp/>
        <stp>BDH|4244637373356357693</stp>
        <tr r="Q30" s="2"/>
      </tp>
      <tp t="s">
        <v>#N/A N/A</v>
        <stp/>
        <stp>BDH|8824104788227176398</stp>
        <tr r="K52" s="2"/>
      </tp>
      <tp t="s">
        <v>#N/A N/A</v>
        <stp/>
        <stp>BDH|7322370992919653195</stp>
        <tr r="I50" s="2"/>
      </tp>
      <tp t="s">
        <v>#N/A N/A</v>
        <stp/>
        <stp>BDH|3799520469164614134</stp>
        <tr r="W45" s="2"/>
      </tp>
      <tp t="s">
        <v>#N/A N/A</v>
        <stp/>
        <stp>BDH|8410887424414580332</stp>
        <tr r="Z35" s="2"/>
      </tp>
      <tp t="s">
        <v>#N/A N/A</v>
        <stp/>
        <stp>BDH|9914627752128047764</stp>
        <tr r="AE52" s="2"/>
      </tp>
      <tp t="s">
        <v>#N/A N/A</v>
        <stp/>
        <stp>BDH|4437198733501245230</stp>
        <tr r="D54" s="2"/>
      </tp>
      <tp t="s">
        <v>#N/A N/A</v>
        <stp/>
        <stp>BDH|4362184410618298960</stp>
        <tr r="I58" s="2"/>
      </tp>
      <tp t="s">
        <v>#N/A N/A</v>
        <stp/>
        <stp>BDH|6098390618951937043</stp>
        <tr r="G45" s="2"/>
      </tp>
      <tp t="s">
        <v>#N/A N/A</v>
        <stp/>
        <stp>BDH|8544376532729464490</stp>
        <tr r="I46" s="2"/>
      </tp>
      <tp t="s">
        <v>#N/A N/A</v>
        <stp/>
        <stp>BDH|8469666288352565127</stp>
        <tr r="H42" s="2"/>
      </tp>
      <tp t="s">
        <v>#N/A N/A</v>
        <stp/>
        <stp>BDH|8367932182594827876</stp>
        <tr r="P62" s="2"/>
      </tp>
      <tp t="s">
        <v>#N/A N/A</v>
        <stp/>
        <stp>BDH|7210454876200962154</stp>
        <tr r="W31" s="2"/>
      </tp>
      <tp t="s">
        <v>#N/A N/A</v>
        <stp/>
        <stp>BDH|2099795429797850556</stp>
        <tr r="U33" s="2"/>
      </tp>
      <tp t="s">
        <v>#N/A N/A</v>
        <stp/>
        <stp>BDH|1186117159066363673</stp>
        <tr r="X35" s="2"/>
      </tp>
      <tp t="s">
        <v>#N/A N/A</v>
        <stp/>
        <stp>BDH|4148967684832729269</stp>
        <tr r="U45" s="2"/>
      </tp>
      <tp t="s">
        <v>#N/A N/A</v>
        <stp/>
        <stp>BDH|2453442209247374482</stp>
        <tr r="S27" s="2"/>
      </tp>
      <tp t="s">
        <v>#N/A N/A</v>
        <stp/>
        <stp>BDH|5995675900067915159</stp>
        <tr r="D25" s="2"/>
      </tp>
      <tp t="s">
        <v>#N/A N/A</v>
        <stp/>
        <stp>BDH|2948464730494841447</stp>
        <tr r="N9" s="2"/>
      </tp>
      <tp t="s">
        <v>#N/A N/A</v>
        <stp/>
        <stp>BDH|6441564523874790056</stp>
        <tr r="M42" s="2"/>
      </tp>
      <tp t="s">
        <v>#N/A N/A</v>
        <stp/>
        <stp>BDH|9063143527417608868</stp>
        <tr r="G10" s="2"/>
      </tp>
      <tp t="s">
        <v>#N/A N/A</v>
        <stp/>
        <stp>BDH|2720754044675485115</stp>
        <tr r="F63" s="2"/>
      </tp>
      <tp t="s">
        <v>#N/A N/A</v>
        <stp/>
        <stp>BDH|8564544451984001908</stp>
        <tr r="T23" s="2"/>
      </tp>
      <tp t="s">
        <v>#N/A N/A</v>
        <stp/>
        <stp>BDH|1460167677161523306</stp>
        <tr r="AA14" s="2"/>
      </tp>
      <tp t="s">
        <v>#N/A N/A</v>
        <stp/>
        <stp>BDH|2716044314534739209</stp>
        <tr r="S52" s="2"/>
      </tp>
      <tp t="s">
        <v>#N/A N/A</v>
        <stp/>
        <stp>BDH|6512805933979589139</stp>
        <tr r="W34" s="2"/>
      </tp>
      <tp t="s">
        <v>#N/A N/A</v>
        <stp/>
        <stp>BDH|7298096092913084890</stp>
        <tr r="O22" s="2"/>
      </tp>
      <tp t="s">
        <v>#N/A N/A</v>
        <stp/>
        <stp>BDH|4997395983458273202</stp>
        <tr r="D41" s="2"/>
      </tp>
      <tp t="s">
        <v>#N/A N/A</v>
        <stp/>
        <stp>BDH|9062270634109401416</stp>
        <tr r="U62" s="2"/>
      </tp>
      <tp t="s">
        <v>#N/A N/A</v>
        <stp/>
        <stp>BDH|1986351667318836958</stp>
        <tr r="V41" s="2"/>
      </tp>
      <tp t="s">
        <v>#N/A N/A</v>
        <stp/>
        <stp>BDH|3550505164677100265</stp>
        <tr r="L48" s="2"/>
      </tp>
      <tp t="s">
        <v>#N/A N/A</v>
        <stp/>
        <stp>BDH|3436187375686737682</stp>
        <tr r="AB63" s="2"/>
      </tp>
      <tp t="s">
        <v>#N/A N/A</v>
        <stp/>
        <stp>BDH|1753211871932468352</stp>
        <tr r="V9" s="2"/>
      </tp>
      <tp t="s">
        <v>#N/A N/A</v>
        <stp/>
        <stp>BDH|5646183405949400888</stp>
        <tr r="X22" s="2"/>
      </tp>
      <tp t="s">
        <v>#N/A N/A</v>
        <stp/>
        <stp>BDH|2978777172560240797</stp>
        <tr r="L9" s="2"/>
      </tp>
      <tp t="s">
        <v>#N/A N/A</v>
        <stp/>
        <stp>BDH|8952299281287733017</stp>
        <tr r="M33" s="2"/>
      </tp>
      <tp t="s">
        <v>#N/A N/A</v>
        <stp/>
        <stp>BDH|2657492968143569664</stp>
        <tr r="H41" s="2"/>
      </tp>
      <tp t="s">
        <v>#N/A N/A</v>
        <stp/>
        <stp>BDH|8158887938865648338</stp>
        <tr r="R66" s="2"/>
      </tp>
      <tp t="s">
        <v>#N/A N/A</v>
        <stp/>
        <stp>BDH|1125918910568365476</stp>
        <tr r="Z63" s="2"/>
      </tp>
      <tp t="s">
        <v>#N/A N/A</v>
        <stp/>
        <stp>BDH|3009592162284890177</stp>
        <tr r="Y7" s="2"/>
      </tp>
      <tp t="s">
        <v>#N/A N/A</v>
        <stp/>
        <stp>BDH|5233735322471233449</stp>
        <tr r="H66" s="2"/>
      </tp>
      <tp t="s">
        <v>#N/A N/A</v>
        <stp/>
        <stp>BDH|8125014530948529606</stp>
        <tr r="O32" s="2"/>
      </tp>
      <tp t="s">
        <v>#N/A N/A</v>
        <stp/>
        <stp>BDH|62810419381451072</stp>
        <tr r="R23" s="2"/>
      </tp>
      <tp t="s">
        <v>#N/A N/A</v>
        <stp/>
        <stp>BDH|4361182790049942390</stp>
        <tr r="R17" s="2"/>
      </tp>
      <tp t="s">
        <v>#N/A N/A</v>
        <stp/>
        <stp>BDH|2364207255854935747</stp>
        <tr r="AE8" s="2"/>
      </tp>
      <tp t="s">
        <v>#N/A N/A</v>
        <stp/>
        <stp>BDH|3462474975900785693</stp>
        <tr r="F22" s="2"/>
      </tp>
      <tp t="s">
        <v>#N/A N/A</v>
        <stp/>
        <stp>BDH|7141767226383180788</stp>
        <tr r="Z52" s="2"/>
      </tp>
      <tp t="s">
        <v>#N/A N/A</v>
        <stp/>
        <stp>BDH|4309888221309686146</stp>
        <tr r="Q46" s="2"/>
      </tp>
      <tp t="s">
        <v>#N/A N/A</v>
        <stp/>
        <stp>BDH|9983763726902816894</stp>
        <tr r="J10" s="2"/>
      </tp>
      <tp t="s">
        <v>#N/A N/A</v>
        <stp/>
        <stp>BDH|8784352281131379484</stp>
        <tr r="C62" s="2"/>
      </tp>
      <tp t="s">
        <v>#N/A N/A</v>
        <stp/>
        <stp>BDH|9895751603849703100</stp>
        <tr r="N29" s="2"/>
      </tp>
      <tp t="s">
        <v>#N/A N/A</v>
        <stp/>
        <stp>BDH|8918230517174066945</stp>
        <tr r="AE49" s="2"/>
      </tp>
      <tp t="s">
        <v>#N/A N/A</v>
        <stp/>
        <stp>BDH|4108984088397993418</stp>
        <tr r="W7" s="2"/>
      </tp>
      <tp t="s">
        <v>#N/A N/A</v>
        <stp/>
        <stp>BDH|5901107118735763685</stp>
        <tr r="G42" s="2"/>
      </tp>
      <tp t="s">
        <v>#N/A N/A</v>
        <stp/>
        <stp>BDH|5400338373591964639</stp>
        <tr r="H26" s="2"/>
      </tp>
      <tp t="s">
        <v>#N/A N/A</v>
        <stp/>
        <stp>BDH|4247659919785522052</stp>
        <tr r="E48" s="2"/>
      </tp>
      <tp t="s">
        <v>#N/A N/A</v>
        <stp/>
        <stp>BDH|1749425534939612995</stp>
        <tr r="D16" s="2"/>
      </tp>
      <tp t="s">
        <v>#N/A N/A</v>
        <stp/>
        <stp>BDH|4162928987695854623</stp>
        <tr r="M24" s="2"/>
      </tp>
      <tp t="s">
        <v>#N/A N/A</v>
        <stp/>
        <stp>BDH|2710758558096099051</stp>
        <tr r="O12" s="2"/>
      </tp>
      <tp t="s">
        <v>#N/A N/A</v>
        <stp/>
        <stp>BDH|3429275199727505903</stp>
        <tr r="Y59" s="2"/>
      </tp>
      <tp t="s">
        <v>#N/A N/A</v>
        <stp/>
        <stp>BDH|7707217960823904608</stp>
        <tr r="R58" s="2"/>
      </tp>
      <tp t="s">
        <v>#N/A N/A</v>
        <stp/>
        <stp>BDH|7845773377233384245</stp>
        <tr r="D47" s="2"/>
      </tp>
      <tp t="s">
        <v>#N/A N/A</v>
        <stp/>
        <stp>BDH|9166064968468227115</stp>
        <tr r="T49" s="2"/>
      </tp>
      <tp t="s">
        <v>#N/A N/A</v>
        <stp/>
        <stp>BDH|1557780979417950018</stp>
        <tr r="I16" s="2"/>
      </tp>
      <tp t="s">
        <v>#N/A N/A</v>
        <stp/>
        <stp>BDH|4031494803065153364</stp>
        <tr r="D44" s="2"/>
      </tp>
      <tp t="s">
        <v>#N/A N/A</v>
        <stp/>
        <stp>BDH|1050345753779047852</stp>
        <tr r="AB17" s="2"/>
      </tp>
      <tp t="s">
        <v>#N/A N/A</v>
        <stp/>
        <stp>BDH|7696058014874028458</stp>
        <tr r="O15" s="2"/>
      </tp>
      <tp t="s">
        <v>#N/A N/A</v>
        <stp/>
        <stp>BDH|2403867539128018795</stp>
        <tr r="W26" s="2"/>
      </tp>
      <tp t="s">
        <v>#N/A N/A</v>
        <stp/>
        <stp>BDH|8093864970810763134</stp>
        <tr r="AC22" s="2"/>
      </tp>
      <tp t="s">
        <v>#N/A N/A</v>
        <stp/>
        <stp>BDH|6075551033595345370</stp>
        <tr r="T43" s="2"/>
      </tp>
      <tp t="s">
        <v>#N/A N/A</v>
        <stp/>
        <stp>BDH|7698342255316365164</stp>
        <tr r="G43" s="2"/>
      </tp>
      <tp t="s">
        <v>#N/A N/A</v>
        <stp/>
        <stp>BDH|5980568344056910412</stp>
        <tr r="N48" s="2"/>
      </tp>
      <tp t="s">
        <v>#N/A N/A</v>
        <stp/>
        <stp>BDH|5590163589738987207</stp>
        <tr r="AE11" s="2"/>
      </tp>
      <tp t="s">
        <v>#N/A N/A</v>
        <stp/>
        <stp>BDH|5997013867640954556</stp>
        <tr r="C28" s="2"/>
      </tp>
      <tp t="s">
        <v>#N/A N/A</v>
        <stp/>
        <stp>BDH|2277521722335535676</stp>
        <tr r="L24" s="2"/>
      </tp>
      <tp t="s">
        <v>#N/A N/A</v>
        <stp/>
        <stp>BDH|1369106437171522410</stp>
        <tr r="H34" s="2"/>
      </tp>
      <tp t="s">
        <v>#N/A N/A</v>
        <stp/>
        <stp>BDH|4832337949026588373</stp>
        <tr r="W25" s="2"/>
      </tp>
      <tp t="s">
        <v>#N/A N/A</v>
        <stp/>
        <stp>BDH|6853593910853732763</stp>
        <tr r="I59" s="2"/>
      </tp>
      <tp t="s">
        <v>#N/A N/A</v>
        <stp/>
        <stp>BDH|5496938882616133456</stp>
        <tr r="O7" s="2"/>
      </tp>
      <tp t="s">
        <v>#N/A N/A</v>
        <stp/>
        <stp>BDH|2275304142714764764</stp>
        <tr r="G34" s="2"/>
      </tp>
      <tp t="s">
        <v>#N/A N/A</v>
        <stp/>
        <stp>BDH|9685943074092449336</stp>
        <tr r="AA25" s="2"/>
      </tp>
      <tp t="s">
        <v>#N/A N/A</v>
        <stp/>
        <stp>BDH|4807874888460613209</stp>
        <tr r="AE44" s="2"/>
      </tp>
      <tp t="s">
        <v>#N/A N/A</v>
        <stp/>
        <stp>BDH|2848320368661730030</stp>
        <tr r="N26" s="2"/>
      </tp>
      <tp t="s">
        <v>#N/A N/A</v>
        <stp/>
        <stp>BDH|7835368309434189607</stp>
        <tr r="S23" s="2"/>
      </tp>
      <tp t="s">
        <v>#N/A N/A</v>
        <stp/>
        <stp>BDH|7198255282609719276</stp>
        <tr r="R12" s="2"/>
      </tp>
      <tp t="s">
        <v>#N/A N/A</v>
        <stp/>
        <stp>BDH|1989972835118578580</stp>
        <tr r="G64" s="2"/>
      </tp>
      <tp t="s">
        <v>#N/A N/A</v>
        <stp/>
        <stp>BDH|4522037462715750158</stp>
        <tr r="D15" s="2"/>
      </tp>
      <tp t="s">
        <v>#N/A N/A</v>
        <stp/>
        <stp>BDH|5224828984622061138</stp>
        <tr r="H48" s="2"/>
      </tp>
      <tp t="s">
        <v>#N/A N/A</v>
        <stp/>
        <stp>BDH|6640490378632968190</stp>
        <tr r="AB65" s="2"/>
      </tp>
      <tp t="s">
        <v>#N/A N/A</v>
        <stp/>
        <stp>BDH|1978952799765433250</stp>
        <tr r="H14" s="2"/>
      </tp>
      <tp t="s">
        <v>#N/A N/A</v>
        <stp/>
        <stp>BDH|3703894380733940635</stp>
        <tr r="AC46" s="2"/>
      </tp>
      <tp t="s">
        <v>#N/A N/A</v>
        <stp/>
        <stp>BDH|8172873582269479745</stp>
        <tr r="O59" s="2"/>
      </tp>
      <tp t="s">
        <v>#N/A N/A</v>
        <stp/>
        <stp>BDH|4645107594003284940</stp>
        <tr r="Z11" s="2"/>
      </tp>
      <tp t="s">
        <v>#N/A N/A</v>
        <stp/>
        <stp>BDH|3269322870016161743</stp>
        <tr r="V62" s="2"/>
      </tp>
      <tp t="s">
        <v>#N/A N/A</v>
        <stp/>
        <stp>BDH|3959786254982820589</stp>
        <tr r="U34" s="2"/>
      </tp>
      <tp t="s">
        <v>#N/A N/A</v>
        <stp/>
        <stp>BDH|59326524549186338</stp>
        <tr r="R24" s="2"/>
      </tp>
      <tp t="s">
        <v>#N/A N/A</v>
        <stp/>
        <stp>BDH|2692883047081229819</stp>
        <tr r="Q48" s="2"/>
      </tp>
      <tp t="s">
        <v>#N/A N/A</v>
        <stp/>
        <stp>BDH|6288413148556280733</stp>
        <tr r="H23" s="2"/>
      </tp>
      <tp t="s">
        <v>#N/A N/A</v>
        <stp/>
        <stp>BDH|9910124184623067452</stp>
        <tr r="W21" s="2"/>
      </tp>
      <tp t="s">
        <v>#N/A N/A</v>
        <stp/>
        <stp>BDH|2457250048782722151</stp>
        <tr r="AB28" s="2"/>
      </tp>
      <tp t="s">
        <v>#N/A N/A</v>
        <stp/>
        <stp>BDH|3643574233707010596</stp>
        <tr r="E11" s="2"/>
      </tp>
      <tp t="s">
        <v>#N/A N/A</v>
        <stp/>
        <stp>BDH|2852728121011048100</stp>
        <tr r="E59" s="2"/>
      </tp>
      <tp t="s">
        <v>#N/A N/A</v>
        <stp/>
        <stp>BDH|3784205718620265759</stp>
        <tr r="R26" s="2"/>
      </tp>
      <tp t="s">
        <v>#N/A N/A</v>
        <stp/>
        <stp>BDH|6368715760061228186</stp>
        <tr r="N33" s="2"/>
      </tp>
      <tp t="s">
        <v>#N/A N/A</v>
        <stp/>
        <stp>BDH|5677389125615159624</stp>
        <tr r="AF61" s="2"/>
      </tp>
      <tp t="s">
        <v>#N/A N/A</v>
        <stp/>
        <stp>BDH|1733194942020089344</stp>
        <tr r="E58" s="2"/>
      </tp>
      <tp t="s">
        <v>#N/A N/A</v>
        <stp/>
        <stp>BDH|8483896640730454313</stp>
        <tr r="L50" s="2"/>
      </tp>
      <tp t="s">
        <v>#N/A N/A</v>
        <stp/>
        <stp>BDH|9476875471405860437</stp>
        <tr r="L32" s="2"/>
      </tp>
      <tp t="s">
        <v>#N/A N/A</v>
        <stp/>
        <stp>BDH|4119090406781731203</stp>
        <tr r="E15" s="2"/>
      </tp>
      <tp t="s">
        <v>#N/A N/A</v>
        <stp/>
        <stp>BDH|4453187923786772667</stp>
        <tr r="AA45" s="2"/>
      </tp>
      <tp t="s">
        <v>#N/A N/A</v>
        <stp/>
        <stp>BDH|3441499750091652451</stp>
        <tr r="Y58" s="2"/>
      </tp>
      <tp t="s">
        <v>#N/A N/A</v>
        <stp/>
        <stp>BDH|4219404329823704625</stp>
        <tr r="Q27" s="2"/>
      </tp>
      <tp t="s">
        <v>#N/A N/A</v>
        <stp/>
        <stp>BDH|6066272197158820276</stp>
        <tr r="P22" s="2"/>
      </tp>
      <tp t="s">
        <v>#N/A N/A</v>
        <stp/>
        <stp>BDH|5063143285918797390</stp>
        <tr r="V12" s="2"/>
      </tp>
      <tp t="s">
        <v>#N/A N/A</v>
        <stp/>
        <stp>BDH|2855695553056494095</stp>
        <tr r="V10" s="2"/>
      </tp>
      <tp t="s">
        <v>#N/A N/A</v>
        <stp/>
        <stp>BDH|1174196550353237161</stp>
        <tr r="Q66" s="2"/>
      </tp>
      <tp t="s">
        <v>#N/A N/A</v>
        <stp/>
        <stp>BDH|8099710465657027983</stp>
        <tr r="X14" s="2"/>
      </tp>
      <tp t="s">
        <v>#N/A N/A</v>
        <stp/>
        <stp>BDH|4709684263421596247</stp>
        <tr r="H30" s="2"/>
      </tp>
      <tp t="s">
        <v>#N/A N/A</v>
        <stp/>
        <stp>BDH|5821782421363336408</stp>
        <tr r="E63" s="2"/>
      </tp>
      <tp t="s">
        <v>#N/A N/A</v>
        <stp/>
        <stp>BDH|9800853382847528982</stp>
        <tr r="D63" s="2"/>
      </tp>
      <tp t="s">
        <v>#N/A N/A</v>
        <stp/>
        <stp>BDH|7383731314337309151</stp>
        <tr r="AC29" s="2"/>
      </tp>
      <tp t="s">
        <v>#N/A N/A</v>
        <stp/>
        <stp>BDH|2000485097511493997</stp>
        <tr r="U60" s="2"/>
      </tp>
      <tp t="s">
        <v>#N/A N/A</v>
        <stp/>
        <stp>BDH|8875799870149038629</stp>
        <tr r="AE12" s="2"/>
      </tp>
      <tp t="s">
        <v>#N/A N/A</v>
        <stp/>
        <stp>BDH|5186339979120048680</stp>
        <tr r="AE46" s="2"/>
      </tp>
      <tp t="s">
        <v>#N/A N/A</v>
        <stp/>
        <stp>BDH|2466164685128262463</stp>
        <tr r="AA27" s="2"/>
      </tp>
      <tp t="s">
        <v>#N/A N/A</v>
        <stp/>
        <stp>BDH|8468380592885551083</stp>
        <tr r="L52" s="2"/>
      </tp>
      <tp t="s">
        <v>#N/A N/A</v>
        <stp/>
        <stp>BDH|8324665118268991077</stp>
        <tr r="AF63" s="2"/>
      </tp>
      <tp t="s">
        <v>#N/A N/A</v>
        <stp/>
        <stp>BDH|1232293963431805338</stp>
        <tr r="P24" s="2"/>
      </tp>
      <tp t="s">
        <v>#N/A N/A</v>
        <stp/>
        <stp>BDH|5465661547569758927</stp>
        <tr r="O50" s="2"/>
      </tp>
      <tp t="s">
        <v>#N/A N/A</v>
        <stp/>
        <stp>BDH|7735233078050403586</stp>
        <tr r="F23" s="2"/>
      </tp>
      <tp t="s">
        <v>#N/A N/A</v>
        <stp/>
        <stp>BDH|5641551171984022427</stp>
        <tr r="V23" s="2"/>
      </tp>
      <tp t="s">
        <v>#N/A N/A</v>
        <stp/>
        <stp>BDH|7432742132436360207</stp>
        <tr r="F21" s="2"/>
      </tp>
      <tp t="s">
        <v>#N/A N/A</v>
        <stp/>
        <stp>BDH|4585241075192543408</stp>
        <tr r="AD26" s="2"/>
      </tp>
      <tp t="s">
        <v>#N/A N/A</v>
        <stp/>
        <stp>BDH|2257109720711478775</stp>
        <tr r="M21" s="2"/>
      </tp>
      <tp t="s">
        <v>#N/A N/A</v>
        <stp/>
        <stp>BDH|6991455509330142556</stp>
        <tr r="D45" s="2"/>
      </tp>
      <tp t="s">
        <v>#N/A N/A</v>
        <stp/>
        <stp>BDH|4269253783621758844</stp>
        <tr r="P14" s="2"/>
      </tp>
      <tp t="s">
        <v>#N/A N/A</v>
        <stp/>
        <stp>BDH|9187952106267328068</stp>
        <tr r="H37" s="2"/>
      </tp>
      <tp t="s">
        <v>#N/A N/A</v>
        <stp/>
        <stp>BDH|9984678204580739894</stp>
        <tr r="D50" s="2"/>
      </tp>
      <tp t="s">
        <v>#N/A N/A</v>
        <stp/>
        <stp>BDH|9454822146134165657</stp>
        <tr r="X44" s="2"/>
      </tp>
      <tp t="s">
        <v>#N/A N/A</v>
        <stp/>
        <stp>BDH|1465261424787240115</stp>
        <tr r="V64" s="2"/>
      </tp>
      <tp t="s">
        <v>#N/A N/A</v>
        <stp/>
        <stp>BDH|6472020880120633950</stp>
        <tr r="J27" s="2"/>
      </tp>
      <tp t="s">
        <v>#N/A N/A</v>
        <stp/>
        <stp>BDH|7389191732520810251</stp>
        <tr r="C60" s="2"/>
      </tp>
      <tp t="s">
        <v>#N/A N/A</v>
        <stp/>
        <stp>BDH|42991612210745290</stp>
        <tr r="T47" s="2"/>
      </tp>
      <tp t="s">
        <v>#N/A N/A</v>
        <stp/>
        <stp>BDH|6947042521572100672</stp>
        <tr r="N46" s="2"/>
      </tp>
      <tp t="s">
        <v>#N/A N/A</v>
        <stp/>
        <stp>BDH|1664697996098314602</stp>
        <tr r="Z9" s="2"/>
      </tp>
      <tp t="s">
        <v>#N/A N/A</v>
        <stp/>
        <stp>BDH|1684418113953790796</stp>
        <tr r="AF28" s="2"/>
      </tp>
      <tp t="s">
        <v>#N/A N/A</v>
        <stp/>
        <stp>BDH|4412039998884169940</stp>
        <tr r="F45" s="2"/>
      </tp>
      <tp t="s">
        <v>#N/A N/A</v>
        <stp/>
        <stp>BDH|6456831832495994866</stp>
        <tr r="G62" s="2"/>
      </tp>
      <tp t="s">
        <v>#N/A N/A</v>
        <stp/>
        <stp>BDH|5818005354009413934</stp>
        <tr r="I28" s="2"/>
      </tp>
      <tp t="s">
        <v>#N/A N/A</v>
        <stp/>
        <stp>BDH|3026675089384445910</stp>
        <tr r="H21" s="2"/>
      </tp>
      <tp t="s">
        <v>#N/A N/A</v>
        <stp/>
        <stp>BDH|4052823970222118981</stp>
        <tr r="N34" s="2"/>
      </tp>
      <tp t="s">
        <v>#N/A N/A</v>
        <stp/>
        <stp>BDH|3415384970275187265</stp>
        <tr r="V65" s="2"/>
      </tp>
      <tp t="s">
        <v>#N/A N/A</v>
        <stp/>
        <stp>BDH|2623132947026854119</stp>
        <tr r="K23" s="2"/>
      </tp>
      <tp t="s">
        <v>#N/A N/A</v>
        <stp/>
        <stp>BDH|7965479127513117234</stp>
        <tr r="W44" s="2"/>
      </tp>
      <tp t="s">
        <v>#N/A N/A</v>
        <stp/>
        <stp>BDH|1432285281429332260</stp>
        <tr r="X64" s="2"/>
      </tp>
      <tp t="s">
        <v>#N/A N/A</v>
        <stp/>
        <stp>BDH|6838562634960483066</stp>
        <tr r="T26" s="2"/>
      </tp>
      <tp t="s">
        <v>#N/A N/A</v>
        <stp/>
        <stp>BDH|6954522558664353294</stp>
        <tr r="Q21" s="2"/>
      </tp>
      <tp t="s">
        <v>#N/A N/A</v>
        <stp/>
        <stp>BDH|1406384454542648575</stp>
        <tr r="V52" s="2"/>
      </tp>
      <tp t="s">
        <v>#N/A N/A</v>
        <stp/>
        <stp>BDH|3414197244433154514</stp>
        <tr r="K50" s="2"/>
      </tp>
      <tp t="s">
        <v>#N/A N/A</v>
        <stp/>
        <stp>BDH|8919968430841000366</stp>
        <tr r="Y41" s="2"/>
      </tp>
      <tp t="s">
        <v>#N/A N/A</v>
        <stp/>
        <stp>BDH|3811648123834515339</stp>
        <tr r="N32" s="2"/>
      </tp>
      <tp t="s">
        <v>#N/A N/A</v>
        <stp/>
        <stp>BDH|4730518099131411923</stp>
        <tr r="K34" s="2"/>
      </tp>
      <tp t="s">
        <v>#N/A N/A</v>
        <stp/>
        <stp>BDH|3216282174660082675</stp>
        <tr r="P48" s="2"/>
      </tp>
      <tp t="s">
        <v>#N/A N/A</v>
        <stp/>
        <stp>BDH|2370085006041198350</stp>
        <tr r="AA60" s="2"/>
      </tp>
      <tp t="s">
        <v>#N/A N/A</v>
        <stp/>
        <stp>BDH|6915624964864260244</stp>
        <tr r="AA63" s="2"/>
      </tp>
      <tp t="s">
        <v>#N/A N/A</v>
        <stp/>
        <stp>BDH|6672247525023888513</stp>
        <tr r="O13" s="2"/>
      </tp>
      <tp t="s">
        <v>#N/A N/A</v>
        <stp/>
        <stp>BDH|3634217729251885282</stp>
        <tr r="C42" s="2"/>
      </tp>
      <tp t="s">
        <v>#N/A N/A</v>
        <stp/>
        <stp>BDH|1301184660192768430</stp>
        <tr r="AC16" s="2"/>
      </tp>
      <tp t="s">
        <v>#N/A N/A</v>
        <stp/>
        <stp>BDH|4729635320412343285</stp>
        <tr r="Y40" s="2"/>
      </tp>
      <tp t="s">
        <v>#N/A N/A</v>
        <stp/>
        <stp>BDH|3039404458083251156</stp>
        <tr r="S44" s="2"/>
      </tp>
      <tp t="s">
        <v>#N/A N/A</v>
        <stp/>
        <stp>BDH|6649800299655799259</stp>
        <tr r="Y48" s="2"/>
      </tp>
      <tp t="s">
        <v>#N/A N/A</v>
        <stp/>
        <stp>BDH|6339542825011650061</stp>
        <tr r="L62" s="2"/>
      </tp>
      <tp t="s">
        <v>#N/A N/A</v>
        <stp/>
        <stp>BDH|3852559979233115273</stp>
        <tr r="AF49" s="2"/>
      </tp>
      <tp t="s">
        <v>#N/A N/A</v>
        <stp/>
        <stp>BDH|6562410668223990765</stp>
        <tr r="Z29" s="2"/>
      </tp>
      <tp t="s">
        <v>#N/A N/A</v>
        <stp/>
        <stp>BDH|2353618915773142655</stp>
        <tr r="D22" s="2"/>
      </tp>
      <tp t="s">
        <v>#N/A N/A</v>
        <stp/>
        <stp>BDH|2350413467168759823</stp>
        <tr r="F28" s="2"/>
      </tp>
      <tp t="s">
        <v>#N/A N/A</v>
        <stp/>
        <stp>BDH|6318096643465015792</stp>
        <tr r="V50" s="2"/>
      </tp>
      <tp t="s">
        <v>#N/A N/A</v>
        <stp/>
        <stp>BDH|2270072773245254041</stp>
        <tr r="AB44" s="2"/>
      </tp>
      <tp t="s">
        <v>#N/A N/A</v>
        <stp/>
        <stp>BDH|2256431533374445160</stp>
        <tr r="L35" s="2"/>
      </tp>
      <tp t="s">
        <v>#N/A N/A</v>
        <stp/>
        <stp>BDH|9696810835534413668</stp>
        <tr r="AE36" s="2"/>
      </tp>
      <tp t="s">
        <v>#N/A N/A</v>
        <stp/>
        <stp>BDH|9406948905471444100</stp>
        <tr r="AA42" s="2"/>
      </tp>
      <tp t="s">
        <v>#N/A N/A</v>
        <stp/>
        <stp>BDH|1319997309801442966</stp>
        <tr r="L30" s="2"/>
      </tp>
      <tp t="s">
        <v>#N/A N/A</v>
        <stp/>
        <stp>BDH|5174738623655094572</stp>
        <tr r="K44" s="2"/>
      </tp>
      <tp t="s">
        <v>#N/A N/A</v>
        <stp/>
        <stp>BDH|3620732132373703472</stp>
        <tr r="K41" s="2"/>
      </tp>
      <tp t="s">
        <v>#N/A N/A</v>
        <stp/>
        <stp>BDH|5648526064742707402</stp>
        <tr r="AC28" s="2"/>
      </tp>
      <tp t="s">
        <v>#N/A N/A</v>
        <stp/>
        <stp>BDH|6434805650269699253</stp>
        <tr r="G35" s="2"/>
      </tp>
      <tp t="s">
        <v>#N/A N/A</v>
        <stp/>
        <stp>BDH|9050178180364281416</stp>
        <tr r="U12" s="2"/>
      </tp>
      <tp t="s">
        <v>#N/A N/A</v>
        <stp/>
        <stp>BDH|5072217144002480151</stp>
        <tr r="H33" s="2"/>
      </tp>
      <tp t="s">
        <v>#N/A N/A</v>
        <stp/>
        <stp>BDH|4179287118733362471</stp>
        <tr r="K28" s="2"/>
      </tp>
      <tp t="s">
        <v>#N/A N/A</v>
        <stp/>
        <stp>BDH|3056104974512702767</stp>
        <tr r="Q42" s="2"/>
      </tp>
      <tp t="s">
        <v>#N/A N/A</v>
        <stp/>
        <stp>BDH|6964571348481720643</stp>
        <tr r="P11" s="2"/>
      </tp>
      <tp t="s">
        <v>#N/A N/A</v>
        <stp/>
        <stp>BDH|9940888442845124071</stp>
        <tr r="V22" s="2"/>
      </tp>
      <tp t="s">
        <v>#N/A N/A</v>
        <stp/>
        <stp>BDH|4635623545570510612</stp>
        <tr r="S59" s="2"/>
      </tp>
      <tp t="s">
        <v>#N/A N/A</v>
        <stp/>
        <stp>BDH|1481793664662406287</stp>
        <tr r="AE16" s="2"/>
      </tp>
      <tp t="s">
        <v>#N/A N/A</v>
        <stp/>
        <stp>BDH|3104580942906917474</stp>
        <tr r="L58" s="2"/>
      </tp>
      <tp t="s">
        <v>#N/A N/A</v>
        <stp/>
        <stp>BDH|1663168567587050121</stp>
        <tr r="X30" s="2"/>
      </tp>
      <tp t="s">
        <v>#N/A N/A</v>
        <stp/>
        <stp>BDH|76224322264078987</stp>
        <tr r="M37" s="2"/>
      </tp>
      <tp t="s">
        <v>#N/A N/A</v>
        <stp/>
        <stp>BDH|8491304295646981523</stp>
        <tr r="AF33" s="2"/>
      </tp>
      <tp t="s">
        <v>#N/A N/A</v>
        <stp/>
        <stp>BDH|7964381389078470560</stp>
        <tr r="AA59" s="2"/>
      </tp>
      <tp t="s">
        <v>#N/A N/A</v>
        <stp/>
        <stp>BDH|4947467288359595099</stp>
        <tr r="Z54" s="2"/>
      </tp>
      <tp t="s">
        <v>#N/A N/A</v>
        <stp/>
        <stp>BDH|8476978643061934522</stp>
        <tr r="AB14" s="2"/>
      </tp>
      <tp t="s">
        <v>#N/A N/A</v>
        <stp/>
        <stp>BDH|2217302141753982728</stp>
        <tr r="L26" s="2"/>
      </tp>
      <tp t="s">
        <v>#N/A N/A</v>
        <stp/>
        <stp>BDH|7906878194612013527</stp>
        <tr r="AF64" s="2"/>
      </tp>
      <tp t="s">
        <v>#N/A N/A</v>
        <stp/>
        <stp>BDH|5859111095234670829</stp>
        <tr r="R43" s="2"/>
      </tp>
      <tp t="s">
        <v>#N/A N/A</v>
        <stp/>
        <stp>BDH|3109476112715813251</stp>
        <tr r="C32" s="2"/>
      </tp>
      <tp t="s">
        <v>#N/A N/A</v>
        <stp/>
        <stp>BDH|3230036061312815614</stp>
        <tr r="AC7" s="2"/>
      </tp>
      <tp t="s">
        <v>#N/A N/A</v>
        <stp/>
        <stp>BDH|4224922458489200031</stp>
        <tr r="I18" s="2"/>
      </tp>
      <tp t="s">
        <v>#N/A N/A</v>
        <stp/>
        <stp>BDH|4398688025736391743</stp>
        <tr r="Y62" s="2"/>
      </tp>
      <tp t="s">
        <v>#N/A N/A</v>
        <stp/>
        <stp>BDH|7468354468890336337</stp>
        <tr r="P34" s="2"/>
      </tp>
      <tp t="s">
        <v>#N/A N/A</v>
        <stp/>
        <stp>BDH|5029792435686506673</stp>
        <tr r="U42" s="2"/>
      </tp>
      <tp t="s">
        <v>#N/A N/A</v>
        <stp/>
        <stp>BDH|6827278762482181129</stp>
        <tr r="G49" s="2"/>
      </tp>
      <tp t="s">
        <v>#N/A N/A</v>
        <stp/>
        <stp>BDH|7244490906360046227</stp>
        <tr r="AD13" s="2"/>
      </tp>
      <tp t="s">
        <v>#N/A N/A</v>
        <stp/>
        <stp>BDH|6870345600796655257</stp>
        <tr r="Y42" s="2"/>
      </tp>
      <tp t="s">
        <v>#N/A N/A</v>
        <stp/>
        <stp>BDH|2740118659417793049</stp>
        <tr r="E44" s="2"/>
      </tp>
      <tp t="s">
        <v>#N/A N/A</v>
        <stp/>
        <stp>BDH|5212490311866538730</stp>
        <tr r="AE24" s="2"/>
      </tp>
      <tp t="s">
        <v>#N/A N/A</v>
        <stp/>
        <stp>BDH|7833559822008254913</stp>
        <tr r="X31" s="2"/>
      </tp>
      <tp t="s">
        <v>#N/A N/A</v>
        <stp/>
        <stp>BDH|8053057381804126597</stp>
        <tr r="R21" s="2"/>
      </tp>
      <tp t="s">
        <v>#N/A N/A</v>
        <stp/>
        <stp>BDH|1089980843865759810</stp>
        <tr r="AA9" s="2"/>
      </tp>
      <tp t="s">
        <v>#N/A N/A</v>
        <stp/>
        <stp>BDH|3925361431360368201</stp>
        <tr r="AA58" s="2"/>
      </tp>
      <tp t="s">
        <v>#N/A N/A</v>
        <stp/>
        <stp>BDH|7210443129419076929</stp>
        <tr r="Z18" s="2"/>
      </tp>
      <tp t="s">
        <v>#N/A N/A</v>
        <stp/>
        <stp>BDH|3035460170646512716</stp>
        <tr r="AB35" s="2"/>
      </tp>
      <tp t="s">
        <v>#N/A N/A</v>
        <stp/>
        <stp>BDH|4520172336764376352</stp>
        <tr r="J17" s="2"/>
      </tp>
      <tp t="s">
        <v>#N/A N/A</v>
        <stp/>
        <stp>BDH|5275626217512186145</stp>
        <tr r="R44" s="2"/>
      </tp>
      <tp t="s">
        <v>#N/A N/A</v>
        <stp/>
        <stp>BDH|7607462149326304089</stp>
        <tr r="X43" s="2"/>
      </tp>
      <tp t="s">
        <v>#N/A N/A</v>
        <stp/>
        <stp>BDH|4678160970825614658</stp>
        <tr r="Z60" s="2"/>
      </tp>
      <tp t="s">
        <v>#N/A N/A</v>
        <stp/>
        <stp>BDH|8583739787934521272</stp>
        <tr r="X15" s="2"/>
      </tp>
      <tp t="s">
        <v>#N/A N/A</v>
        <stp/>
        <stp>BDH|1804793667972795329</stp>
        <tr r="AF40" s="2"/>
      </tp>
      <tp t="s">
        <v>#N/A N/A</v>
        <stp/>
        <stp>BDH|7732396166171210298</stp>
        <tr r="AE31" s="2"/>
      </tp>
      <tp t="s">
        <v>#N/A N/A</v>
        <stp/>
        <stp>BDH|8243891438500489244</stp>
        <tr r="G36" s="2"/>
      </tp>
      <tp t="s">
        <v>#N/A N/A</v>
        <stp/>
        <stp>BDH|2940214993071083987</stp>
        <tr r="X23" s="2"/>
      </tp>
      <tp t="s">
        <v>#N/A N/A</v>
        <stp/>
        <stp>BDH|8746622866898331106</stp>
        <tr r="AD65" s="2"/>
      </tp>
      <tp t="s">
        <v>#N/A N/A</v>
        <stp/>
        <stp>BDH|2731204968121869668</stp>
        <tr r="N36" s="2"/>
      </tp>
      <tp t="s">
        <v>#N/A N/A</v>
        <stp/>
        <stp>BDH|2710150677535658051</stp>
        <tr r="N40" s="2"/>
      </tp>
      <tp t="s">
        <v>#N/A N/A</v>
        <stp/>
        <stp>BDH|7937788275113060527</stp>
        <tr r="AA12" s="2"/>
      </tp>
      <tp t="s">
        <v>#N/A N/A</v>
        <stp/>
        <stp>BDH|7672279802870613427</stp>
        <tr r="AE45" s="2"/>
      </tp>
      <tp t="s">
        <v>#N/A N/A</v>
        <stp/>
        <stp>BDH|9792723068990254982</stp>
        <tr r="D37" s="2"/>
      </tp>
      <tp t="s">
        <v>#N/A N/A</v>
        <stp/>
        <stp>BDH|7455733922365472666</stp>
        <tr r="D48" s="2"/>
      </tp>
      <tp t="s">
        <v>#N/A N/A</v>
        <stp/>
        <stp>BDH|3861021263296672288</stp>
        <tr r="E61" s="2"/>
      </tp>
      <tp t="s">
        <v>#N/A N/A</v>
        <stp/>
        <stp>BDH|3440501362982888398</stp>
        <tr r="X17" s="2"/>
      </tp>
      <tp t="s">
        <v>#N/A N/A</v>
        <stp/>
        <stp>BDH|2195371903189057923</stp>
        <tr r="U16" s="2"/>
      </tp>
      <tp t="s">
        <v>#N/A N/A</v>
        <stp/>
        <stp>BDH|6777576867672066630</stp>
        <tr r="G50" s="2"/>
      </tp>
      <tp t="s">
        <v>#N/A N/A</v>
        <stp/>
        <stp>BDH|5696892712004140987</stp>
        <tr r="AD43" s="2"/>
      </tp>
      <tp t="s">
        <v>#N/A N/A</v>
        <stp/>
        <stp>BDH|4522498341535868017</stp>
        <tr r="V34" s="2"/>
      </tp>
      <tp t="s">
        <v>#N/A N/A</v>
        <stp/>
        <stp>BDH|7236993333428553481</stp>
        <tr r="L17" s="2"/>
      </tp>
      <tp t="s">
        <v>#N/A N/A</v>
        <stp/>
        <stp>BDH|7479734393179685173</stp>
        <tr r="G33" s="2"/>
      </tp>
      <tp t="s">
        <v>#N/A N/A</v>
        <stp/>
        <stp>BDH|3517429366566022645</stp>
        <tr r="C41" s="2"/>
      </tp>
      <tp t="s">
        <v>#N/A N/A</v>
        <stp/>
        <stp>BDH|5732029517601078476</stp>
        <tr r="D66" s="2"/>
      </tp>
      <tp t="s">
        <v>#N/A N/A</v>
        <stp/>
        <stp>BDH|6791741477352552542</stp>
        <tr r="AF35" s="2"/>
      </tp>
      <tp t="s">
        <v>#N/A N/A</v>
        <stp/>
        <stp>BDH|5906810492242014407</stp>
        <tr r="T27" s="2"/>
      </tp>
      <tp t="s">
        <v>#N/A N/A</v>
        <stp/>
        <stp>BDH|4085854697942978514</stp>
        <tr r="C34" s="2"/>
      </tp>
      <tp t="s">
        <v>#N/A N/A</v>
        <stp/>
        <stp>BDH|7055346218232634517</stp>
        <tr r="AA18" s="2"/>
      </tp>
      <tp t="s">
        <v>#N/A N/A</v>
        <stp/>
        <stp>BDH|2500677894458597787</stp>
        <tr r="W8" s="2"/>
      </tp>
      <tp t="s">
        <v>#N/A N/A</v>
        <stp/>
        <stp>BDH|8937969661723645635</stp>
        <tr r="J32" s="2"/>
      </tp>
      <tp t="s">
        <v>#N/A N/A</v>
        <stp/>
        <stp>BDH|4197877373028998144</stp>
        <tr r="V37" s="2"/>
      </tp>
      <tp t="s">
        <v>#N/A N/A</v>
        <stp/>
        <stp>BDH|9868522676680611929</stp>
        <tr r="Q23" s="2"/>
      </tp>
      <tp t="s">
        <v>#N/A N/A</v>
        <stp/>
        <stp>BDH|3131324828974348411</stp>
        <tr r="AF50" s="2"/>
      </tp>
      <tp t="s">
        <v>#N/A N/A</v>
        <stp/>
        <stp>BDH|6171398572907518717</stp>
        <tr r="T10" s="2"/>
      </tp>
      <tp t="s">
        <v>#N/A N/A</v>
        <stp/>
        <stp>BDH|1499010331036964632</stp>
        <tr r="O64" s="2"/>
      </tp>
      <tp t="s">
        <v>#N/A N/A</v>
        <stp/>
        <stp>BDH|4980202431121124676</stp>
        <tr r="M23" s="2"/>
      </tp>
      <tp t="s">
        <v>#N/A N/A</v>
        <stp/>
        <stp>BDH|1371267556116822240</stp>
        <tr r="Q64" s="2"/>
      </tp>
      <tp t="s">
        <v>#N/A N/A</v>
        <stp/>
        <stp>BDH|5381052859147484548</stp>
        <tr r="O36" s="2"/>
      </tp>
      <tp t="s">
        <v>#N/A N/A</v>
        <stp/>
        <stp>BDH|2411508679430275231</stp>
        <tr r="M16" s="2"/>
      </tp>
      <tp t="s">
        <v>#N/A N/A</v>
        <stp/>
        <stp>BDH|4401085396878608717</stp>
        <tr r="P42" s="2"/>
      </tp>
      <tp t="s">
        <v>#N/A N/A</v>
        <stp/>
        <stp>BDH|8000021451427936887</stp>
        <tr r="H61" s="2"/>
      </tp>
      <tp t="s">
        <v>#N/A N/A</v>
        <stp/>
        <stp>BDH|2319333382683789879</stp>
        <tr r="Q24" s="2"/>
      </tp>
      <tp t="s">
        <v>#N/A N/A</v>
        <stp/>
        <stp>BDH|3651347342363404565</stp>
        <tr r="AD24" s="2"/>
      </tp>
      <tp t="s">
        <v>#N/A N/A</v>
        <stp/>
        <stp>BDH|2758719610780071658</stp>
        <tr r="AC63" s="2"/>
      </tp>
      <tp t="s">
        <v>#N/A N/A</v>
        <stp/>
        <stp>BDH|3165640436025241113</stp>
        <tr r="L16" s="2"/>
      </tp>
      <tp t="s">
        <v>#N/A N/A</v>
        <stp/>
        <stp>BDH|9335124592190666350</stp>
        <tr r="R63" s="2"/>
      </tp>
      <tp t="s">
        <v>#N/A N/A</v>
        <stp/>
        <stp>BDH|2030970719108761091</stp>
        <tr r="U15" s="2"/>
      </tp>
      <tp t="s">
        <v>#N/A N/A</v>
        <stp/>
        <stp>BDH|6479627517062912184</stp>
        <tr r="AE13" s="2"/>
      </tp>
      <tp t="s">
        <v>#N/A N/A</v>
        <stp/>
        <stp>BDH|4100616590530221926</stp>
        <tr r="E17" s="2"/>
      </tp>
      <tp t="s">
        <v>#N/A N/A</v>
        <stp/>
        <stp>BDH|4631293652759551885</stp>
        <tr r="O40" s="2"/>
      </tp>
      <tp t="s">
        <v>#N/A N/A</v>
        <stp/>
        <stp>BDH|8670764034526202860</stp>
        <tr r="AA52" s="2"/>
      </tp>
      <tp t="s">
        <v>#N/A N/A</v>
        <stp/>
        <stp>BDH|9335893759364063239</stp>
        <tr r="O43" s="2"/>
      </tp>
      <tp t="s">
        <v>#N/A N/A</v>
        <stp/>
        <stp>BDH|9840489612997105925</stp>
        <tr r="T18" s="2"/>
      </tp>
      <tp t="s">
        <v>#N/A N/A</v>
        <stp/>
        <stp>BDH|6476295107171370784</stp>
        <tr r="G24" s="2"/>
      </tp>
      <tp t="s">
        <v>#N/A N/A</v>
        <stp/>
        <stp>BDH|6531745362973407669</stp>
        <tr r="Z62" s="2"/>
      </tp>
      <tp t="s">
        <v>#N/A N/A</v>
        <stp/>
        <stp>BDH|7289488358446226263</stp>
        <tr r="J7" s="2"/>
      </tp>
      <tp t="s">
        <v>#N/A N/A</v>
        <stp/>
        <stp>BDH|3247400637382721441</stp>
        <tr r="P23" s="2"/>
      </tp>
      <tp t="s">
        <v>#N/A N/A</v>
        <stp/>
        <stp>BDH|6617862667538489250</stp>
        <tr r="H27" s="2"/>
      </tp>
      <tp t="s">
        <v>#N/A N/A</v>
        <stp/>
        <stp>BDH|8478035197405164663</stp>
        <tr r="T44" s="2"/>
      </tp>
      <tp t="s">
        <v>#N/A N/A</v>
        <stp/>
        <stp>BDH|2723834199677847621</stp>
        <tr r="D24" s="2"/>
      </tp>
      <tp t="s">
        <v>#N/A N/A</v>
        <stp/>
        <stp>BDH|9027739723186092876</stp>
        <tr r="Y21" s="2"/>
      </tp>
      <tp t="s">
        <v>#N/A N/A</v>
        <stp/>
        <stp>BDH|8397913149942458581</stp>
        <tr r="L44" s="2"/>
      </tp>
      <tp t="s">
        <v>#N/A N/A</v>
        <stp/>
        <stp>BDH|5469714792551770878</stp>
        <tr r="AF37" s="2"/>
      </tp>
      <tp t="s">
        <v>#N/A N/A</v>
        <stp/>
        <stp>BDH|5909340694819802463</stp>
        <tr r="L49" s="2"/>
      </tp>
      <tp t="s">
        <v>#N/A N/A</v>
        <stp/>
        <stp>BDH|7581272206755378205</stp>
        <tr r="E23" s="2"/>
      </tp>
      <tp t="s">
        <v>#N/A N/A</v>
        <stp/>
        <stp>BDH|8488653152130315949</stp>
        <tr r="K58" s="2"/>
      </tp>
      <tp t="s">
        <v>#N/A N/A</v>
        <stp/>
        <stp>BDH|4381211356287950697</stp>
        <tr r="AA17" s="2"/>
      </tp>
      <tp t="s">
        <v>#N/A N/A</v>
        <stp/>
        <stp>BDH|6158736734474483466</stp>
        <tr r="S37" s="2"/>
      </tp>
      <tp t="s">
        <v>#N/A N/A</v>
        <stp/>
        <stp>BDH|6065149179081090386</stp>
        <tr r="AB50" s="2"/>
      </tp>
      <tp t="s">
        <v>#N/A N/A</v>
        <stp/>
        <stp>BDH|5766667561202509503</stp>
        <tr r="AD33" s="2"/>
      </tp>
      <tp t="s">
        <v>#N/A N/A</v>
        <stp/>
        <stp>BDH|2103082314459840801</stp>
        <tr r="W36" s="2"/>
      </tp>
      <tp t="s">
        <v>#N/A N/A</v>
        <stp/>
        <stp>BDH|9710597293837894002</stp>
        <tr r="X7" s="2"/>
      </tp>
      <tp t="s">
        <v>#N/A N/A</v>
        <stp/>
        <stp>BDH|2129272823136307635</stp>
        <tr r="AF66" s="2"/>
      </tp>
      <tp t="s">
        <v>#N/A N/A</v>
        <stp/>
        <stp>BDH|4267719511925795508</stp>
        <tr r="E65" s="2"/>
      </tp>
      <tp t="s">
        <v>#N/A N/A</v>
        <stp/>
        <stp>BDH|5575530165552067662</stp>
        <tr r="H59" s="2"/>
      </tp>
      <tp t="s">
        <v>#N/A N/A</v>
        <stp/>
        <stp>BDH|8844130309153798805</stp>
        <tr r="I35" s="2"/>
      </tp>
      <tp t="s">
        <v>#N/A N/A</v>
        <stp/>
        <stp>BDH|7387003504331670444</stp>
        <tr r="W54" s="2"/>
      </tp>
      <tp t="s">
        <v>#N/A N/A</v>
        <stp/>
        <stp>BDH|3875799426412079626</stp>
        <tr r="AB48" s="2"/>
      </tp>
      <tp t="s">
        <v>#N/A N/A</v>
        <stp/>
        <stp>BDH|3778353546246815167</stp>
        <tr r="F29" s="2"/>
      </tp>
      <tp t="s">
        <v>#N/A N/A</v>
        <stp/>
        <stp>BDH|1927725000045058019</stp>
        <tr r="V27" s="2"/>
      </tp>
      <tp t="s">
        <v>#N/A N/A</v>
        <stp/>
        <stp>BDH|3581084248105708182</stp>
        <tr r="J31" s="2"/>
      </tp>
      <tp t="s">
        <v>#N/A N/A</v>
        <stp/>
        <stp>BDH|2196049116658007883</stp>
        <tr r="AD16" s="2"/>
      </tp>
      <tp t="s">
        <v>#N/A N/A</v>
        <stp/>
        <stp>BDH|7600580659317409386</stp>
        <tr r="F15" s="2"/>
      </tp>
      <tp t="s">
        <v>#N/A N/A</v>
        <stp/>
        <stp>BDH|5548502188458592332</stp>
        <tr r="H54" s="2"/>
      </tp>
      <tp t="s">
        <v>#N/A N/A</v>
        <stp/>
        <stp>BDH|8997365299997722692</stp>
        <tr r="W16" s="2"/>
      </tp>
      <tp t="s">
        <v>#N/A N/A</v>
        <stp/>
        <stp>BDH|2268714938407593266</stp>
        <tr r="AC15" s="2"/>
      </tp>
      <tp t="s">
        <v>#N/A N/A</v>
        <stp/>
        <stp>BDH|2689184048237749392</stp>
        <tr r="Y29" s="2"/>
      </tp>
      <tp t="s">
        <v>#N/A N/A</v>
        <stp/>
        <stp>BDH|1456815584676966410</stp>
        <tr r="AD34" s="2"/>
      </tp>
      <tp t="s">
        <v>#N/A N/A</v>
        <stp/>
        <stp>BDH|2076534668553371113</stp>
        <tr r="O62" s="2"/>
      </tp>
      <tp t="s">
        <v>#N/A N/A</v>
        <stp/>
        <stp>BDH|9696010769898899481</stp>
        <tr r="Z22" s="2"/>
      </tp>
      <tp t="s">
        <v>#N/A N/A</v>
        <stp/>
        <stp>BDH|4779910915979404697</stp>
        <tr r="K12" s="2"/>
      </tp>
      <tp t="s">
        <v>#N/A N/A</v>
        <stp/>
        <stp>BDH|3104055619049492876</stp>
        <tr r="P54" s="2"/>
      </tp>
      <tp t="s">
        <v>#N/A N/A</v>
        <stp/>
        <stp>BDH|4051188160256632600</stp>
        <tr r="Z49" s="2"/>
      </tp>
      <tp t="s">
        <v>#N/A N/A</v>
        <stp/>
        <stp>BDH|7729289800844344236</stp>
        <tr r="Y49" s="2"/>
      </tp>
      <tp t="s">
        <v>#N/A N/A</v>
        <stp/>
        <stp>BDH|4870071764709002843</stp>
        <tr r="Q15" s="2"/>
      </tp>
      <tp t="s">
        <v>#N/A N/A</v>
        <stp/>
        <stp>BDH|6541339749192853084</stp>
        <tr r="D60" s="2"/>
      </tp>
      <tp t="s">
        <v>#N/A N/A</v>
        <stp/>
        <stp>BDH|1573434949323090104</stp>
        <tr r="AB23" s="2"/>
      </tp>
      <tp t="s">
        <v>#N/A N/A</v>
        <stp/>
        <stp>BDH|2199987793212096365</stp>
        <tr r="C13" s="2"/>
      </tp>
      <tp t="s">
        <v>#N/A N/A</v>
        <stp/>
        <stp>BDH|8647252084079970823</stp>
        <tr r="AD28" s="2"/>
      </tp>
      <tp t="s">
        <v>#N/A N/A</v>
        <stp/>
        <stp>BDH|9082394254645272935</stp>
        <tr r="V46" s="2"/>
      </tp>
      <tp t="s">
        <v>#N/A N/A</v>
        <stp/>
        <stp>BDH|1033524100432606590</stp>
        <tr r="AF46" s="2"/>
      </tp>
      <tp t="s">
        <v>#N/A N/A</v>
        <stp/>
        <stp>BDH|6711494551011043527</stp>
        <tr r="D35" s="2"/>
      </tp>
      <tp t="s">
        <v>#N/A N/A</v>
        <stp/>
        <stp>BDH|7440723893713261957</stp>
        <tr r="S42" s="2"/>
      </tp>
      <tp t="s">
        <v>#N/A N/A</v>
        <stp/>
        <stp>BDH|8477435977588654046</stp>
        <tr r="K26" s="2"/>
      </tp>
      <tp t="s">
        <v>#N/A N/A</v>
        <stp/>
        <stp>BDH|2087690124763613695</stp>
        <tr r="J48" s="2"/>
      </tp>
      <tp t="s">
        <v>#N/A N/A</v>
        <stp/>
        <stp>BDH|1684305262756415138</stp>
        <tr r="Q61" s="2"/>
      </tp>
      <tp t="s">
        <v>#N/A N/A</v>
        <stp/>
        <stp>BDH|6881321110883009496</stp>
        <tr r="R42" s="2"/>
      </tp>
      <tp t="s">
        <v>#N/A N/A</v>
        <stp/>
        <stp>BDH|1179000661737259318</stp>
        <tr r="T13" s="2"/>
      </tp>
      <tp t="s">
        <v>#N/A N/A</v>
        <stp/>
        <stp>BDH|3088911083020946183</stp>
        <tr r="W52" s="2"/>
      </tp>
      <tp t="s">
        <v>#N/A N/A</v>
        <stp/>
        <stp>BDH|7151581103987812628</stp>
        <tr r="Y30" s="2"/>
      </tp>
      <tp t="s">
        <v>#N/A N/A</v>
        <stp/>
        <stp>BDH|2691236102614450737</stp>
        <tr r="Z32" s="2"/>
      </tp>
      <tp t="s">
        <v>#N/A N/A</v>
        <stp/>
        <stp>BDH|1158449361081706136</stp>
        <tr r="AC26" s="2"/>
      </tp>
      <tp t="s">
        <v>#N/A N/A</v>
        <stp/>
        <stp>BDH|2574417551186291677</stp>
        <tr r="F48" s="2"/>
      </tp>
      <tp t="s">
        <v>#N/A N/A</v>
        <stp/>
        <stp>BDH|4200513928921266183</stp>
        <tr r="H9" s="2"/>
      </tp>
      <tp t="s">
        <v>#N/A N/A</v>
        <stp/>
        <stp>BDH|2328452710777200320</stp>
        <tr r="W22" s="2"/>
      </tp>
      <tp t="s">
        <v>#N/A N/A</v>
        <stp/>
        <stp>BDH|1134991560535684889</stp>
        <tr r="S46" s="2"/>
      </tp>
      <tp t="s">
        <v>#N/A N/A</v>
        <stp/>
        <stp>BDH|9182114396856501447</stp>
        <tr r="I40" s="2"/>
      </tp>
      <tp t="s">
        <v>#N/A N/A</v>
        <stp/>
        <stp>BDH|1836533263473758283</stp>
        <tr r="X61" s="2"/>
      </tp>
      <tp t="s">
        <v>#N/A N/A</v>
        <stp/>
        <stp>BDH|1106103052403030542</stp>
        <tr r="AA65" s="2"/>
      </tp>
      <tp t="s">
        <v>#N/A N/A</v>
        <stp/>
        <stp>BDH|5209567195373461929</stp>
        <tr r="R9" s="2"/>
      </tp>
      <tp t="s">
        <v>#N/A N/A</v>
        <stp/>
        <stp>BDH|6056259531921298517</stp>
        <tr r="P21" s="2"/>
      </tp>
      <tp t="s">
        <v>#N/A N/A</v>
        <stp/>
        <stp>BDH|9398115563375301852</stp>
        <tr r="AD62" s="2"/>
      </tp>
      <tp t="s">
        <v>#N/A N/A</v>
        <stp/>
        <stp>BDH|4260297857321884136</stp>
        <tr r="G46" s="2"/>
      </tp>
      <tp t="s">
        <v>#N/A N/A</v>
        <stp/>
        <stp>BDH|9008786560032444986</stp>
        <tr r="I63" s="2"/>
      </tp>
      <tp t="s">
        <v>#N/A N/A</v>
        <stp/>
        <stp>BDH|8688463517066585864</stp>
        <tr r="G48" s="2"/>
      </tp>
      <tp t="s">
        <v>#N/A N/A</v>
        <stp/>
        <stp>BDH|8961431406219045687</stp>
        <tr r="G61" s="2"/>
      </tp>
      <tp t="s">
        <v>#N/A N/A</v>
        <stp/>
        <stp>BDH|7539576695121399907</stp>
        <tr r="H40" s="2"/>
      </tp>
      <tp t="s">
        <v>#N/A N/A</v>
        <stp/>
        <stp>BDH|3578549281235602821</stp>
        <tr r="E30" s="2"/>
      </tp>
      <tp t="s">
        <v>#N/A N/A</v>
        <stp/>
        <stp>BDH|6851778315280901370</stp>
        <tr r="F10" s="2"/>
      </tp>
      <tp t="s">
        <v>#N/A N/A</v>
        <stp/>
        <stp>BDH|3186471232930187709</stp>
        <tr r="C64" s="2"/>
      </tp>
      <tp t="s">
        <v>#N/A N/A</v>
        <stp/>
        <stp>BDH|5638725941657555254</stp>
        <tr r="I26" s="2"/>
      </tp>
      <tp t="s">
        <v>#N/A N/A</v>
        <stp/>
        <stp>BDH|7972090350548535903</stp>
        <tr r="C59" s="2"/>
      </tp>
      <tp t="s">
        <v>#N/A N/A</v>
        <stp/>
        <stp>BDH|8744247492168327872</stp>
        <tr r="AE22" s="2"/>
      </tp>
      <tp t="s">
        <v>#N/A N/A</v>
        <stp/>
        <stp>BDH|4464082672562965220</stp>
        <tr r="O28" s="2"/>
      </tp>
      <tp t="s">
        <v>#N/A N/A</v>
        <stp/>
        <stp>BDH|6099453877153539523</stp>
        <tr r="U64" s="2"/>
      </tp>
      <tp t="s">
        <v>#N/A N/A</v>
        <stp/>
        <stp>BDH|59190577708046013</stp>
        <tr r="J9" s="2"/>
      </tp>
      <tp t="s">
        <v>#N/A N/A</v>
        <stp/>
        <stp>BDH|247494746493144643</stp>
        <tr r="X32" s="2"/>
      </tp>
      <tp t="s">
        <v>#N/A N/A</v>
        <stp/>
        <stp>BDH|826380544592744079</stp>
        <tr r="E8" s="2"/>
      </tp>
      <tp t="s">
        <v>#N/A N/A</v>
        <stp/>
        <stp>BDH|348641512280439262</stp>
        <tr r="J65" s="2"/>
      </tp>
      <tp t="s">
        <v>#N/A N/A</v>
        <stp/>
        <stp>BDH|156445967862256531</stp>
        <tr r="U47" s="2"/>
      </tp>
      <tp t="s">
        <v>#N/A N/A</v>
        <stp/>
        <stp>BDH|353641443461596781</stp>
        <tr r="G15" s="2"/>
      </tp>
      <tp t="s">
        <v>#N/A N/A</v>
        <stp/>
        <stp>BDH|510013585794737800</stp>
        <tr r="AB43" s="2"/>
      </tp>
      <tp t="s">
        <v>#N/A N/A</v>
        <stp/>
        <stp>BDH|842627645516842050</stp>
        <tr r="AE27" s="2"/>
      </tp>
      <tp t="s">
        <v>#N/A N/A</v>
        <stp/>
        <stp>BDH|683850291886627085</stp>
        <tr r="AC47" s="2"/>
      </tp>
      <tp t="s">
        <v>#N/A N/A</v>
        <stp/>
        <stp>BDH|371713099961165843</stp>
        <tr r="X13" s="2"/>
      </tp>
      <tp t="s">
        <v>#N/A N/A</v>
        <stp/>
        <stp>BDH|665162217496963105</stp>
        <tr r="S31" s="2"/>
      </tp>
      <tp t="s">
        <v>#N/A N/A</v>
        <stp/>
        <stp>BDH|361306879185781669</stp>
        <tr r="AB37" s="2"/>
      </tp>
      <tp t="s">
        <v>#N/A N/A</v>
        <stp/>
        <stp>BDH|845035939953413711</stp>
        <tr r="L25" s="2"/>
      </tp>
      <tp t="s">
        <v>#N/A N/A</v>
        <stp/>
        <stp>BDH|307625140887101215</stp>
        <tr r="AC65" s="2"/>
      </tp>
      <tp t="s">
        <v>#N/A N/A</v>
        <stp/>
        <stp>BDH|285784009172925290</stp>
        <tr r="U25" s="2"/>
      </tp>
      <tp t="s">
        <v>#N/A N/A</v>
        <stp/>
        <stp>BDH|708746859443314768</stp>
        <tr r="E52" s="2"/>
      </tp>
      <tp t="s">
        <v>#N/A N/A</v>
        <stp/>
        <stp>BDH|909672511237468649</stp>
        <tr r="K22" s="2"/>
      </tp>
      <tp t="s">
        <v>#N/A N/A</v>
        <stp/>
        <stp>BDH|194208051766890709</stp>
        <tr r="N43" s="2"/>
      </tp>
      <tp t="s">
        <v>#N/A N/A</v>
        <stp/>
        <stp>BDH|398967522068545540</stp>
        <tr r="C40" s="2"/>
      </tp>
      <tp t="s">
        <v>#N/A N/A</v>
        <stp/>
        <stp>BDH|489453183388084253</stp>
        <tr r="O37" s="2"/>
      </tp>
      <tp t="s">
        <v>#N/A N/A</v>
        <stp/>
        <stp>BDH|145460426336019627</stp>
        <tr r="J60" s="2"/>
      </tp>
      <tp t="s">
        <v>#N/A N/A</v>
        <stp/>
        <stp>BDH|247309732933576281</stp>
        <tr r="J15" s="2"/>
      </tp>
      <tp t="s">
        <v>#N/A N/A</v>
        <stp/>
        <stp>BDH|510156358235996090</stp>
        <tr r="P8" s="2"/>
      </tp>
      <tp t="s">
        <v>#N/A N/A</v>
        <stp/>
        <stp>BDH|396927446485667998</stp>
        <tr r="Z43" s="2"/>
      </tp>
      <tp t="s">
        <v>#N/A N/A</v>
        <stp/>
        <stp>BDH|254276793958422286</stp>
        <tr r="Q9" s="2"/>
      </tp>
      <tp t="s">
        <v>#N/A N/A</v>
        <stp/>
        <stp>BDH|316213313992813036</stp>
        <tr r="U59" s="2"/>
      </tp>
      <tp t="s">
        <v>#N/A N/A</v>
        <stp/>
        <stp>BDH|122101833190210358</stp>
        <tr r="G14" s="2"/>
      </tp>
      <tp t="s">
        <v>#N/A N/A</v>
        <stp/>
        <stp>BDH|139606423685062076</stp>
        <tr r="T61" s="2"/>
      </tp>
      <tp t="s">
        <v>#N/A N/A</v>
        <stp/>
        <stp>BDH|312258334260438005</stp>
        <tr r="L8" s="2"/>
      </tp>
      <tp t="s">
        <v>#N/A N/A</v>
        <stp/>
        <stp>BDH|482719157911587202</stp>
        <tr r="AC9" s="2"/>
      </tp>
      <tp t="s">
        <v>#N/A N/A</v>
        <stp/>
        <stp>BDH|234946497338460923</stp>
        <tr r="W33" s="2"/>
      </tp>
      <tp t="s">
        <v>#N/A N/A</v>
        <stp/>
        <stp>BDH|359658035750182400</stp>
        <tr r="F13" s="2"/>
      </tp>
      <tp t="s">
        <v>#N/A N/A</v>
        <stp/>
        <stp>BDH|359654547787885548</stp>
        <tr r="O26" s="2"/>
      </tp>
      <tp t="s">
        <v>#N/A N/A</v>
        <stp/>
        <stp>BDH|406316331833490340</stp>
        <tr r="H43" s="2"/>
      </tp>
      <tp t="s">
        <v>#N/A N/A</v>
        <stp/>
        <stp>BDH|111970494870596012</stp>
        <tr r="W12" s="2"/>
      </tp>
      <tp t="s">
        <v>#N/A N/A</v>
        <stp/>
        <stp>BDH|194357802023559058</stp>
        <tr r="C8" s="2"/>
      </tp>
      <tp t="s">
        <v>#N/A N/A</v>
        <stp/>
        <stp>BDH|299574637050757650</stp>
        <tr r="U37" s="2"/>
      </tp>
      <tp t="s">
        <v>#N/A N/A</v>
        <stp/>
        <stp>BDH|284900583072769370</stp>
        <tr r="R22" s="2"/>
      </tp>
      <tp t="s">
        <v>#N/A N/A</v>
        <stp/>
        <stp>BDH|995980248415025888</stp>
        <tr r="W37" s="2"/>
      </tp>
      <tp t="s">
        <v>#N/A N/A</v>
        <stp/>
        <stp>BDH|801511426735042138</stp>
        <tr r="AF10" s="2"/>
      </tp>
      <tp t="s">
        <v>#N/A N/A</v>
        <stp/>
        <stp>BDH|333566688078389668</stp>
        <tr r="H58" s="2"/>
      </tp>
      <tp t="s">
        <v>#N/A N/A</v>
        <stp/>
        <stp>BDH|111100077315605047</stp>
        <tr r="L27" s="2"/>
      </tp>
      <tp t="s">
        <v>#N/A N/A</v>
        <stp/>
        <stp>BDH|661244796730517841</stp>
        <tr r="AE25" s="2"/>
      </tp>
      <tp t="s">
        <v>#N/A N/A</v>
        <stp/>
        <stp>BDH|596347275964119367</stp>
        <tr r="O65" s="2"/>
      </tp>
      <tp t="s">
        <v>#N/A N/A</v>
        <stp/>
        <stp>BDH|767396607659734815</stp>
        <tr r="J35" s="2"/>
      </tp>
      <tp t="s">
        <v>#N/A N/A</v>
        <stp/>
        <stp>BDH|833149420532539314</stp>
        <tr r="AE18" s="2"/>
      </tp>
      <tp t="s">
        <v>#N/A N/A</v>
        <stp/>
        <stp>BDH|404359929422137136</stp>
        <tr r="AC24" s="2"/>
      </tp>
      <tp t="s">
        <v>#N/A N/A</v>
        <stp/>
        <stp>BDH|153360304306702725</stp>
        <tr r="V66" s="2"/>
      </tp>
      <tp t="s">
        <v>#N/A N/A</v>
        <stp/>
        <stp>BDH|742600217401643469</stp>
        <tr r="U21" s="2"/>
      </tp>
      <tp t="s">
        <v>#N/A N/A</v>
        <stp/>
        <stp>BDH|140368156672878919</stp>
        <tr r="J22" s="2"/>
      </tp>
      <tp t="s">
        <v>#N/A N/A</v>
        <stp/>
        <stp>BDH|790908004603808710</stp>
        <tr r="AA11" s="2"/>
      </tp>
      <tp t="s">
        <v>#N/A N/A</v>
        <stp/>
        <stp>BDH|373433823728793347</stp>
        <tr r="AA37" s="2"/>
      </tp>
      <tp t="s">
        <v>#N/A N/A</v>
        <stp/>
        <stp>BDH|350997948843069329</stp>
        <tr r="AA15" s="2"/>
      </tp>
      <tp t="s">
        <v>#N/A N/A</v>
        <stp/>
        <stp>BDH|565844348390107199</stp>
        <tr r="H17" s="2"/>
      </tp>
      <tp t="s">
        <v>#N/A N/A</v>
        <stp/>
        <stp>BDH|179673280982905012</stp>
        <tr r="P10" s="2"/>
      </tp>
      <tp t="s">
        <v>#N/A N/A</v>
        <stp/>
        <stp>BDH|692531789780252174</stp>
        <tr r="Z14" s="2"/>
      </tp>
      <tp t="s">
        <v>#N/A N/A</v>
        <stp/>
        <stp>BDH|741934844261764381</stp>
        <tr r="Z16" s="2"/>
      </tp>
      <tp t="s">
        <v>#N/A N/A</v>
        <stp/>
        <stp>BDH|916815199336922814</stp>
        <tr r="H12" s="2"/>
      </tp>
      <tp t="s">
        <v>#N/A N/A</v>
        <stp/>
        <stp>BDH|107842685789275665</stp>
        <tr r="P66" s="2"/>
      </tp>
      <tp t="s">
        <v>#N/A N/A</v>
        <stp/>
        <stp>BDH|700444609002008985</stp>
        <tr r="N49" s="2"/>
      </tp>
      <tp t="s">
        <v>#N/A N/A</v>
        <stp/>
        <stp>BDH|110924728213483667</stp>
        <tr r="AD47" s="2"/>
      </tp>
      <tp t="s">
        <v>#N/A N/A</v>
        <stp/>
        <stp>BDH|726946036735081122</stp>
        <tr r="C21" s="2"/>
      </tp>
      <tp t="s">
        <v>#N/A N/A</v>
        <stp/>
        <stp>BDH|217141359213984965</stp>
        <tr r="D12" s="2"/>
      </tp>
      <tp t="s">
        <v>#N/A N/A</v>
        <stp/>
        <stp>BDH|303687424844677917</stp>
        <tr r="J59" s="2"/>
      </tp>
      <tp t="s">
        <v>#N/A N/A</v>
        <stp/>
        <stp>BDH|599576696257776250</stp>
        <tr r="O35" s="2"/>
      </tp>
      <tp t="s">
        <v>#N/A N/A</v>
        <stp/>
        <stp>BDH|711865602966329773</stp>
        <tr r="G54" s="2"/>
      </tp>
      <tp t="s">
        <v>#N/A N/A</v>
        <stp/>
        <stp>BDH|793281742066497851</stp>
        <tr r="G7" s="2"/>
      </tp>
      <tp t="s">
        <v>#N/A N/A</v>
        <stp/>
        <stp>BDH|113577799533569761</stp>
        <tr r="U66" s="2"/>
      </tp>
      <tp t="s">
        <v>#N/A N/A</v>
        <stp/>
        <stp>BDH|648685633014851982</stp>
        <tr r="Q22" s="2"/>
      </tp>
      <tp t="s">
        <v>#N/A N/A</v>
        <stp/>
        <stp>BDH|324085832563464823</stp>
        <tr r="P36" s="2"/>
      </tp>
      <tp t="s">
        <v>#N/A N/A</v>
        <stp/>
        <stp>BDH|972831221812604064</stp>
        <tr r="W10" s="2"/>
      </tp>
      <tp t="s">
        <v>#N/A N/A</v>
        <stp/>
        <stp>BDH|689610099401147528</stp>
        <tr r="S11" s="2"/>
      </tp>
      <tp t="s">
        <v>#N/A N/A</v>
        <stp/>
        <stp>BDH|485650329677507875</stp>
        <tr r="AC66" s="2"/>
      </tp>
      <tp t="s">
        <v>#N/A N/A</v>
        <stp/>
        <stp>BDH|512342368398857627</stp>
        <tr r="E49" s="2"/>
      </tp>
      <tp t="s">
        <v>#N/A N/A</v>
        <stp/>
        <stp>BDH|882963946554638300</stp>
        <tr r="U49" s="2"/>
      </tp>
      <tp t="s">
        <v>#N/A N/A</v>
        <stp/>
        <stp>BDH|174880027316679619</stp>
        <tr r="P29" s="2"/>
      </tp>
      <tp t="s">
        <v>#N/A N/A</v>
        <stp/>
        <stp>BDH|884674971193186841</stp>
        <tr r="AA34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67"/>
  <sheetViews>
    <sheetView tabSelected="1" workbookViewId="0"/>
  </sheetViews>
  <sheetFormatPr defaultRowHeight="15" x14ac:dyDescent="0.25"/>
  <cols>
    <col min="1" max="1" width="35.140625" customWidth="1"/>
    <col min="2" max="2" width="0" hidden="1" customWidth="1"/>
    <col min="3" max="32" width="11.85546875" customWidth="1"/>
  </cols>
  <sheetData>
    <row r="1" spans="1:3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ht="20.25" x14ac:dyDescent="0.25">
      <c r="A2" s="8" t="s">
        <v>2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</row>
    <row r="3" spans="1:32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 spans="1:32" x14ac:dyDescent="0.25">
      <c r="A4" s="3" t="s">
        <v>3</v>
      </c>
      <c r="B4" s="3"/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  <c r="X4" s="4" t="s">
        <v>25</v>
      </c>
      <c r="Y4" s="4" t="s">
        <v>26</v>
      </c>
      <c r="Z4" s="4" t="s">
        <v>27</v>
      </c>
      <c r="AA4" s="4" t="s">
        <v>28</v>
      </c>
      <c r="AB4" s="4" t="s">
        <v>29</v>
      </c>
      <c r="AC4" s="4" t="s">
        <v>30</v>
      </c>
      <c r="AD4" s="4" t="s">
        <v>31</v>
      </c>
      <c r="AE4" s="4" t="s">
        <v>32</v>
      </c>
      <c r="AF4" s="4" t="s">
        <v>33</v>
      </c>
    </row>
    <row r="5" spans="1:32" x14ac:dyDescent="0.25">
      <c r="A5" s="9" t="s">
        <v>34</v>
      </c>
      <c r="B5" s="9"/>
      <c r="C5" s="5" t="s">
        <v>35</v>
      </c>
      <c r="D5" s="5" t="s">
        <v>36</v>
      </c>
      <c r="E5" s="5" t="s">
        <v>37</v>
      </c>
      <c r="F5" s="5" t="s">
        <v>38</v>
      </c>
      <c r="G5" s="5" t="s">
        <v>39</v>
      </c>
      <c r="H5" s="5" t="s">
        <v>40</v>
      </c>
      <c r="I5" s="5" t="s">
        <v>41</v>
      </c>
      <c r="J5" s="5" t="s">
        <v>42</v>
      </c>
      <c r="K5" s="5" t="s">
        <v>43</v>
      </c>
      <c r="L5" s="5" t="s">
        <v>44</v>
      </c>
      <c r="M5" s="5" t="s">
        <v>45</v>
      </c>
      <c r="N5" s="5" t="s">
        <v>46</v>
      </c>
      <c r="O5" s="5" t="s">
        <v>47</v>
      </c>
      <c r="P5" s="5" t="s">
        <v>48</v>
      </c>
      <c r="Q5" s="5" t="s">
        <v>49</v>
      </c>
      <c r="R5" s="5" t="s">
        <v>50</v>
      </c>
      <c r="S5" s="5" t="s">
        <v>51</v>
      </c>
      <c r="T5" s="5" t="s">
        <v>52</v>
      </c>
      <c r="U5" s="5" t="s">
        <v>53</v>
      </c>
      <c r="V5" s="5" t="s">
        <v>54</v>
      </c>
      <c r="W5" s="5" t="s">
        <v>55</v>
      </c>
      <c r="X5" s="5" t="s">
        <v>56</v>
      </c>
      <c r="Y5" s="5" t="s">
        <v>57</v>
      </c>
      <c r="Z5" s="5" t="s">
        <v>58</v>
      </c>
      <c r="AA5" s="5" t="s">
        <v>59</v>
      </c>
      <c r="AB5" s="5" t="s">
        <v>60</v>
      </c>
      <c r="AC5" s="5" t="s">
        <v>61</v>
      </c>
      <c r="AD5" s="5" t="s">
        <v>62</v>
      </c>
      <c r="AE5" s="5" t="s">
        <v>63</v>
      </c>
      <c r="AF5" s="5" t="s">
        <v>64</v>
      </c>
    </row>
    <row r="6" spans="1:32" x14ac:dyDescent="0.25">
      <c r="A6" s="6" t="s">
        <v>65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</row>
    <row r="7" spans="1:32" x14ac:dyDescent="0.25">
      <c r="A7" s="10" t="s">
        <v>66</v>
      </c>
      <c r="B7" s="10" t="s">
        <v>67</v>
      </c>
      <c r="C7" s="12" cm="1">
        <f t="array" ref="C7">_xll.BDH("CAT US Equity","CF_NET_INC","FQ3 2018","FQ3 2018","Currency=USD","Period=FQ","BEST_FPERIOD_OVERRIDE=FQ","FILING_STATUS=MR","SCALING_FORMAT=MLN","Sort=A","Dates=H","DateFormat=P","Fill=—","Direction=H","UseDPDF=Y")</f>
        <v>1727</v>
      </c>
      <c r="D7" s="12" cm="1">
        <f t="array" ref="D7">_xll.BDH("CAT US Equity","CF_NET_INC","FQ4 2018","FQ4 2018","Currency=USD","Period=FQ","BEST_FPERIOD_OVERRIDE=FQ","FILING_STATUS=MR","SCALING_FORMAT=MLN","Sort=A","Dates=H","DateFormat=P","Fill=—","Direction=H","UseDPDF=Y")</f>
        <v>1048</v>
      </c>
      <c r="E7" s="12" cm="1">
        <f t="array" ref="E7">_xll.BDH("CAT US Equity","CF_NET_INC","FQ1 2019","FQ1 2019","Currency=USD","Period=FQ","BEST_FPERIOD_OVERRIDE=FQ","FILING_STATUS=MR","SCALING_FORMAT=MLN","Sort=A","Dates=H","DateFormat=P","Fill=—","Direction=H","UseDPDF=Y")</f>
        <v>1881</v>
      </c>
      <c r="F7" s="12" cm="1">
        <f t="array" ref="F7">_xll.BDH("CAT US Equity","CF_NET_INC","FQ2 2019","FQ2 2019","Currency=USD","Period=FQ","BEST_FPERIOD_OVERRIDE=FQ","FILING_STATUS=MR","SCALING_FORMAT=MLN","Sort=A","Dates=H","DateFormat=P","Fill=—","Direction=H","UseDPDF=Y")</f>
        <v>1620</v>
      </c>
      <c r="G7" s="12" cm="1">
        <f t="array" ref="G7">_xll.BDH("CAT US Equity","CF_NET_INC","FQ3 2019","FQ3 2019","Currency=USD","Period=FQ","BEST_FPERIOD_OVERRIDE=FQ","FILING_STATUS=MR","SCALING_FORMAT=MLN","Sort=A","Dates=H","DateFormat=P","Fill=—","Direction=H","UseDPDF=Y")</f>
        <v>1494</v>
      </c>
      <c r="H7" s="12" cm="1">
        <f t="array" ref="H7">_xll.BDH("CAT US Equity","CF_NET_INC","FQ4 2019","FQ4 2019","Currency=USD","Period=FQ","BEST_FPERIOD_OVERRIDE=FQ","FILING_STATUS=MR","SCALING_FORMAT=MLN","Sort=A","Dates=H","DateFormat=P","Fill=—","Direction=H","UseDPDF=Y")</f>
        <v>1098</v>
      </c>
      <c r="I7" s="12" cm="1">
        <f t="array" ref="I7">_xll.BDH("CAT US Equity","CF_NET_INC","FQ1 2020","FQ1 2020","Currency=USD","Period=FQ","BEST_FPERIOD_OVERRIDE=FQ","FILING_STATUS=MR","SCALING_FORMAT=MLN","Sort=A","Dates=H","DateFormat=P","Fill=—","Direction=H","UseDPDF=Y")</f>
        <v>1092</v>
      </c>
      <c r="J7" s="12" cm="1">
        <f t="array" ref="J7">_xll.BDH("CAT US Equity","CF_NET_INC","FQ2 2020","FQ2 2020","Currency=USD","Period=FQ","BEST_FPERIOD_OVERRIDE=FQ","FILING_STATUS=MR","SCALING_FORMAT=MLN","Sort=A","Dates=H","DateFormat=P","Fill=—","Direction=H","UseDPDF=Y")</f>
        <v>458</v>
      </c>
      <c r="K7" s="12" cm="1">
        <f t="array" ref="K7">_xll.BDH("CAT US Equity","CF_NET_INC","FQ3 2020","FQ3 2020","Currency=USD","Period=FQ","BEST_FPERIOD_OVERRIDE=FQ","FILING_STATUS=MR","SCALING_FORMAT=MLN","Sort=A","Dates=H","DateFormat=P","Fill=—","Direction=H","UseDPDF=Y")</f>
        <v>668</v>
      </c>
      <c r="L7" s="12" cm="1">
        <f t="array" ref="L7">_xll.BDH("CAT US Equity","CF_NET_INC","FQ4 2020","FQ4 2020","Currency=USD","Period=FQ","BEST_FPERIOD_OVERRIDE=FQ","FILING_STATUS=MR","SCALING_FORMAT=MLN","Sort=A","Dates=H","DateFormat=P","Fill=—","Direction=H","UseDPDF=Y")</f>
        <v>780</v>
      </c>
      <c r="M7" s="12" cm="1">
        <f t="array" ref="M7">_xll.BDH("CAT US Equity","CF_NET_INC","FQ1 2021","FQ1 2021","Currency=USD","Period=FQ","BEST_FPERIOD_OVERRIDE=FQ","FILING_STATUS=MR","SCALING_FORMAT=MLN","Sort=A","Dates=H","DateFormat=P","Fill=—","Direction=H","UseDPDF=Y")</f>
        <v>1530</v>
      </c>
      <c r="N7" s="12" cm="1">
        <f t="array" ref="N7">_xll.BDH("CAT US Equity","CF_NET_INC","FQ2 2021","FQ2 2021","Currency=USD","Period=FQ","BEST_FPERIOD_OVERRIDE=FQ","FILING_STATUS=MR","SCALING_FORMAT=MLN","Sort=A","Dates=H","DateFormat=P","Fill=—","Direction=H","UseDPDF=Y")</f>
        <v>1413</v>
      </c>
      <c r="O7" s="12" cm="1">
        <f t="array" ref="O7">_xll.BDH("CAT US Equity","CF_NET_INC","FQ3 2021","FQ3 2021","Currency=USD","Period=FQ","BEST_FPERIOD_OVERRIDE=FQ","FILING_STATUS=MR","SCALING_FORMAT=MLN","Sort=A","Dates=H","DateFormat=P","Fill=—","Direction=H","UseDPDF=Y")</f>
        <v>1426</v>
      </c>
      <c r="P7" s="12" cm="1">
        <f t="array" ref="P7">_xll.BDH("CAT US Equity","CF_NET_INC","FQ4 2021","FQ4 2021","Currency=USD","Period=FQ","BEST_FPERIOD_OVERRIDE=FQ","FILING_STATUS=MR","SCALING_FORMAT=MLN","Sort=A","Dates=H","DateFormat=P","Fill=—","Direction=H","UseDPDF=Y")</f>
        <v>2120</v>
      </c>
      <c r="Q7" s="12" cm="1">
        <f t="array" ref="Q7">_xll.BDH("CAT US Equity","CF_NET_INC","FQ1 2022","FQ1 2022","Currency=USD","Period=FQ","BEST_FPERIOD_OVERRIDE=FQ","FILING_STATUS=MR","SCALING_FORMAT=MLN","Sort=A","Dates=H","DateFormat=P","Fill=—","Direction=H","UseDPDF=Y")</f>
        <v>1537</v>
      </c>
      <c r="R7" s="12" cm="1">
        <f t="array" ref="R7">_xll.BDH("CAT US Equity","CF_NET_INC","FQ2 2022","FQ2 2022","Currency=USD","Period=FQ","BEST_FPERIOD_OVERRIDE=FQ","FILING_STATUS=MR","SCALING_FORMAT=MLN","Sort=A","Dates=H","DateFormat=P","Fill=—","Direction=H","UseDPDF=Y")</f>
        <v>1673</v>
      </c>
      <c r="S7" s="12" cm="1">
        <f t="array" ref="S7">_xll.BDH("CAT US Equity","CF_NET_INC","FQ3 2022","FQ3 2022","Currency=USD","Period=FQ","BEST_FPERIOD_OVERRIDE=FQ","FILING_STATUS=MR","SCALING_FORMAT=MLN","Sort=A","Dates=H","DateFormat=P","Fill=—","Direction=H","UseDPDF=Y")</f>
        <v>2041</v>
      </c>
      <c r="T7" s="12" cm="1">
        <f t="array" ref="T7">_xll.BDH("CAT US Equity","CF_NET_INC","FQ4 2022","FQ4 2022","Currency=USD","Period=FQ","BEST_FPERIOD_OVERRIDE=FQ","FILING_STATUS=MR","SCALING_FORMAT=MLN","Sort=A","Dates=H","DateFormat=P","Fill=—","Direction=H","UseDPDF=Y")</f>
        <v>1454</v>
      </c>
      <c r="U7" s="12" cm="1">
        <f t="array" ref="U7">_xll.BDH("CAT US Equity","CF_NET_INC","FQ1 2023","FQ1 2023","Currency=USD","Period=FQ","BEST_FPERIOD_OVERRIDE=FQ","FILING_STATUS=MR","SCALING_FORMAT=MLN","Sort=A","Dates=H","DateFormat=P","Fill=—","Direction=H","UseDPDF=Y")</f>
        <v>1943</v>
      </c>
      <c r="V7" s="12" cm="1">
        <f t="array" ref="V7">_xll.BDH("CAT US Equity","CF_NET_INC","FQ2 2023","FQ2 2023","Currency=USD","Period=FQ","BEST_FPERIOD_OVERRIDE=FQ","FILING_STATUS=MR","SCALING_FORMAT=MLN","Sort=A","Dates=H","DateFormat=P","Fill=—","Direction=H","UseDPDF=Y")</f>
        <v>2922</v>
      </c>
      <c r="W7" s="12" cm="1">
        <f t="array" ref="W7">_xll.BDH("CAT US Equity","CF_NET_INC","FQ3 2023","FQ3 2023","Currency=USD","Period=FQ","BEST_FPERIOD_OVERRIDE=FQ","FILING_STATUS=MR","SCALING_FORMAT=MLN","Sort=A","Dates=H","DateFormat=P","Fill=—","Direction=H","UseDPDF=Y")</f>
        <v>2794</v>
      </c>
      <c r="X7" s="12" cm="1">
        <f t="array" ref="X7">_xll.BDH("CAT US Equity","CF_NET_INC","FQ4 2023","FQ4 2023","Currency=USD","Period=FQ","BEST_FPERIOD_OVERRIDE=FQ","FILING_STATUS=MR","SCALING_FORMAT=MLN","Sort=A","Dates=H","DateFormat=P","Fill=—","Direction=H","UseDPDF=Y")</f>
        <v>2676</v>
      </c>
      <c r="Y7" s="12" cm="1">
        <f t="array" ref="Y7">_xll.BDH("CAT US Equity","CF_NET_INC","FQ1 2024","FQ1 2024","Currency=USD","Period=FQ","BEST_FPERIOD_OVERRIDE=FQ","FILING_STATUS=MR","SCALING_FORMAT=MLN","Sort=A","Dates=H","DateFormat=P","Fill=—","Direction=H","UseDPDF=Y")</f>
        <v>2856</v>
      </c>
      <c r="Z7" s="12" cm="1">
        <f t="array" ref="Z7">_xll.BDH("CAT US Equity","CF_NET_INC","FQ2 2024","FQ2 2024","Currency=USD","Period=FQ","BEST_FPERIOD_OVERRIDE=FQ","FILING_STATUS=MR","SCALING_FORMAT=MLN","Sort=A","Dates=H","DateFormat=P","Fill=—","Direction=H","UseDPDF=Y")</f>
        <v>2681</v>
      </c>
      <c r="AA7" s="12" cm="1">
        <f t="array" ref="AA7">_xll.BDH("CAT US Equity","CF_NET_INC","FQ3 2024","FQ3 2024","Currency=USD","Period=FQ","BEST_FPERIOD_OVERRIDE=FQ","FILING_STATUS=MR","SCALING_FORMAT=MLN","Sort=A","Dates=H","DateFormat=P","Fill=—","Direction=H","UseDPDF=Y")</f>
        <v>2464</v>
      </c>
      <c r="AB7" s="12" cm="1">
        <f t="array" ref="AB7">_xll.BDH("CAT US Equity","CF_NET_INC","FQ4 2024","FQ4 2024","Currency=USD","Period=FQ","BEST_FPERIOD_OVERRIDE=FQ","FILING_STATUS=MR","SCALING_FORMAT=MLN","Sort=A","Dates=H","DateFormat=P","Fill=—","Direction=H","UseDPDF=Y")</f>
        <v>2791</v>
      </c>
      <c r="AC7" s="12" cm="1">
        <f t="array" ref="AC7">_xll.BDH("CAT US Equity","CF_NET_INC","FQ1 2025","FQ1 2025","Currency=USD","Period=FQ","BEST_FPERIOD_OVERRIDE=FQ","FILING_STATUS=MR","SCALING_FORMAT=MLN","Sort=A","Dates=H","DateFormat=P","Fill=—","Direction=H","UseDPDF=Y")</f>
        <v>2003</v>
      </c>
      <c r="AD7" s="12" cm="1">
        <f t="array" ref="AD7">_xll.BDH("CAT US Equity","CF_NET_INC","FQ2 2025","FQ2 2025","Currency=USD","Period=FQ","BEST_FPERIOD_OVERRIDE=FQ","FILING_STATUS=MR","SCALING_FORMAT=MLN","Sort=A","Dates=H","DateFormat=P","Fill=—","Direction=H","UseDPDF=Y")</f>
        <v>2179</v>
      </c>
      <c r="AE7" s="12" cm="1">
        <f t="array" ref="AE7">_xll.BDH("CAT US Equity","CF_NET_INC","FQ3 2025","FQ3 2025","Currency=USD","Period=FQ","BEST_FPERIOD_OVERRIDE=FQ","FILING_STATUS=MR","SCALING_FORMAT=MLN","Sort=A","Dates=H","DateFormat=P","Fill=—","Direction=H","UseDPDF=Y")</f>
        <v>2300</v>
      </c>
      <c r="AF7" s="12" cm="1">
        <f t="array" ref="AF7">_xll.BDH("CAT US Equity","CF_NET_INC","FQ4 2025","FQ4 2025","Currency=USD","Period=FQ","BEST_FPERIOD_OVERRIDE=FQ","FILING_STATUS=MR","SCALING_FORMAT=MLN","Sort=A","Dates=H","DateFormat=P","Fill=—","Direction=H","UseDPDF=Y")</f>
        <v>2402</v>
      </c>
    </row>
    <row r="8" spans="1:32" x14ac:dyDescent="0.25">
      <c r="A8" s="10" t="s">
        <v>68</v>
      </c>
      <c r="B8" s="10" t="s">
        <v>69</v>
      </c>
      <c r="C8" s="12" cm="1">
        <f t="array" ref="C8">_xll.BDH("CAT US Equity","CF_DEPR_AMORT","FQ3 2018","FQ3 2018","Currency=USD","Period=FQ","BEST_FPERIOD_OVERRIDE=FQ","FILING_STATUS=MR","SCALING_FORMAT=MLN","Sort=A","Dates=H","DateFormat=P","Fill=—","Direction=H","UseDPDF=Y")</f>
        <v>698</v>
      </c>
      <c r="D8" s="12" cm="1">
        <f t="array" ref="D8">_xll.BDH("CAT US Equity","CF_DEPR_AMORT","FQ4 2018","FQ4 2018","Currency=USD","Period=FQ","BEST_FPERIOD_OVERRIDE=FQ","FILING_STATUS=MR","SCALING_FORMAT=MLN","Sort=A","Dates=H","DateFormat=P","Fill=—","Direction=H","UseDPDF=Y")</f>
        <v>701</v>
      </c>
      <c r="E8" s="12" cm="1">
        <f t="array" ref="E8">_xll.BDH("CAT US Equity","CF_DEPR_AMORT","FQ1 2019","FQ1 2019","Currency=USD","Period=FQ","BEST_FPERIOD_OVERRIDE=FQ","FILING_STATUS=MR","SCALING_FORMAT=MLN","Sort=A","Dates=H","DateFormat=P","Fill=—","Direction=H","UseDPDF=Y")</f>
        <v>641</v>
      </c>
      <c r="F8" s="12" cm="1">
        <f t="array" ref="F8">_xll.BDH("CAT US Equity","CF_DEPR_AMORT","FQ2 2019","FQ2 2019","Currency=USD","Period=FQ","BEST_FPERIOD_OVERRIDE=FQ","FILING_STATUS=MR","SCALING_FORMAT=MLN","Sort=A","Dates=H","DateFormat=P","Fill=—","Direction=H","UseDPDF=Y")</f>
        <v>647</v>
      </c>
      <c r="G8" s="12" cm="1">
        <f t="array" ref="G8">_xll.BDH("CAT US Equity","CF_DEPR_AMORT","FQ3 2019","FQ3 2019","Currency=USD","Period=FQ","BEST_FPERIOD_OVERRIDE=FQ","FILING_STATUS=MR","SCALING_FORMAT=MLN","Sort=A","Dates=H","DateFormat=P","Fill=—","Direction=H","UseDPDF=Y")</f>
        <v>645</v>
      </c>
      <c r="H8" s="12" cm="1">
        <f t="array" ref="H8">_xll.BDH("CAT US Equity","CF_DEPR_AMORT","FQ4 2019","FQ4 2019","Currency=USD","Period=FQ","BEST_FPERIOD_OVERRIDE=FQ","FILING_STATUS=MR","SCALING_FORMAT=MLN","Sort=A","Dates=H","DateFormat=P","Fill=—","Direction=H","UseDPDF=Y")</f>
        <v>644</v>
      </c>
      <c r="I8" s="12" cm="1">
        <f t="array" ref="I8">_xll.BDH("CAT US Equity","CF_DEPR_AMORT","FQ1 2020","FQ1 2020","Currency=USD","Period=FQ","BEST_FPERIOD_OVERRIDE=FQ","FILING_STATUS=MR","SCALING_FORMAT=MLN","Sort=A","Dates=H","DateFormat=P","Fill=—","Direction=H","UseDPDF=Y")</f>
        <v>614</v>
      </c>
      <c r="J8" s="12" cm="1">
        <f t="array" ref="J8">_xll.BDH("CAT US Equity","CF_DEPR_AMORT","FQ2 2020","FQ2 2020","Currency=USD","Period=FQ","BEST_FPERIOD_OVERRIDE=FQ","FILING_STATUS=MR","SCALING_FORMAT=MLN","Sort=A","Dates=H","DateFormat=P","Fill=—","Direction=H","UseDPDF=Y")</f>
        <v>608</v>
      </c>
      <c r="K8" s="12" cm="1">
        <f t="array" ref="K8">_xll.BDH("CAT US Equity","CF_DEPR_AMORT","FQ3 2020","FQ3 2020","Currency=USD","Period=FQ","BEST_FPERIOD_OVERRIDE=FQ","FILING_STATUS=MR","SCALING_FORMAT=MLN","Sort=A","Dates=H","DateFormat=P","Fill=—","Direction=H","UseDPDF=Y")</f>
        <v>593</v>
      </c>
      <c r="L8" s="12" cm="1">
        <f t="array" ref="L8">_xll.BDH("CAT US Equity","CF_DEPR_AMORT","FQ4 2020","FQ4 2020","Currency=USD","Period=FQ","BEST_FPERIOD_OVERRIDE=FQ","FILING_STATUS=MR","SCALING_FORMAT=MLN","Sort=A","Dates=H","DateFormat=P","Fill=—","Direction=H","UseDPDF=Y")</f>
        <v>617</v>
      </c>
      <c r="M8" s="12" cm="1">
        <f t="array" ref="M8">_xll.BDH("CAT US Equity","CF_DEPR_AMORT","FQ1 2021","FQ1 2021","Currency=USD","Period=FQ","BEST_FPERIOD_OVERRIDE=FQ","FILING_STATUS=MR","SCALING_FORMAT=MLN","Sort=A","Dates=H","DateFormat=P","Fill=—","Direction=H","UseDPDF=Y")</f>
        <v>586</v>
      </c>
      <c r="N8" s="12" cm="1">
        <f t="array" ref="N8">_xll.BDH("CAT US Equity","CF_DEPR_AMORT","FQ2 2021","FQ2 2021","Currency=USD","Period=FQ","BEST_FPERIOD_OVERRIDE=FQ","FILING_STATUS=MR","SCALING_FORMAT=MLN","Sort=A","Dates=H","DateFormat=P","Fill=—","Direction=H","UseDPDF=Y")</f>
        <v>587</v>
      </c>
      <c r="O8" s="12" cm="1">
        <f t="array" ref="O8">_xll.BDH("CAT US Equity","CF_DEPR_AMORT","FQ3 2021","FQ3 2021","Currency=USD","Period=FQ","BEST_FPERIOD_OVERRIDE=FQ","FILING_STATUS=MR","SCALING_FORMAT=MLN","Sort=A","Dates=H","DateFormat=P","Fill=—","Direction=H","UseDPDF=Y")</f>
        <v>593</v>
      </c>
      <c r="P8" s="12" cm="1">
        <f t="array" ref="P8">_xll.BDH("CAT US Equity","CF_DEPR_AMORT","FQ4 2021","FQ4 2021","Currency=USD","Period=FQ","BEST_FPERIOD_OVERRIDE=FQ","FILING_STATUS=MR","SCALING_FORMAT=MLN","Sort=A","Dates=H","DateFormat=P","Fill=—","Direction=H","UseDPDF=Y")</f>
        <v>586</v>
      </c>
      <c r="Q8" s="12" cm="1">
        <f t="array" ref="Q8">_xll.BDH("CAT US Equity","CF_DEPR_AMORT","FQ1 2022","FQ1 2022","Currency=USD","Period=FQ","BEST_FPERIOD_OVERRIDE=FQ","FILING_STATUS=MR","SCALING_FORMAT=MLN","Sort=A","Dates=H","DateFormat=P","Fill=—","Direction=H","UseDPDF=Y")</f>
        <v>557</v>
      </c>
      <c r="R8" s="12" cm="1">
        <f t="array" ref="R8">_xll.BDH("CAT US Equity","CF_DEPR_AMORT","FQ2 2022","FQ2 2022","Currency=USD","Period=FQ","BEST_FPERIOD_OVERRIDE=FQ","FILING_STATUS=MR","SCALING_FORMAT=MLN","Sort=A","Dates=H","DateFormat=P","Fill=—","Direction=H","UseDPDF=Y")</f>
        <v>553</v>
      </c>
      <c r="S8" s="12" cm="1">
        <f t="array" ref="S8">_xll.BDH("CAT US Equity","CF_DEPR_AMORT","FQ3 2022","FQ3 2022","Currency=USD","Period=FQ","BEST_FPERIOD_OVERRIDE=FQ","FILING_STATUS=MR","SCALING_FORMAT=MLN","Sort=A","Dates=H","DateFormat=P","Fill=—","Direction=H","UseDPDF=Y")</f>
        <v>551</v>
      </c>
      <c r="T8" s="12" cm="1">
        <f t="array" ref="T8">_xll.BDH("CAT US Equity","CF_DEPR_AMORT","FQ4 2022","FQ4 2022","Currency=USD","Period=FQ","BEST_FPERIOD_OVERRIDE=FQ","FILING_STATUS=MR","SCALING_FORMAT=MLN","Sort=A","Dates=H","DateFormat=P","Fill=—","Direction=H","UseDPDF=Y")</f>
        <v>558</v>
      </c>
      <c r="U8" s="12" cm="1">
        <f t="array" ref="U8">_xll.BDH("CAT US Equity","CF_DEPR_AMORT","FQ1 2023","FQ1 2023","Currency=USD","Period=FQ","BEST_FPERIOD_OVERRIDE=FQ","FILING_STATUS=MR","SCALING_FORMAT=MLN","Sort=A","Dates=H","DateFormat=P","Fill=—","Direction=H","UseDPDF=Y")</f>
        <v>532</v>
      </c>
      <c r="V8" s="12" cm="1">
        <f t="array" ref="V8">_xll.BDH("CAT US Equity","CF_DEPR_AMORT","FQ2 2023","FQ2 2023","Currency=USD","Period=FQ","BEST_FPERIOD_OVERRIDE=FQ","FILING_STATUS=MR","SCALING_FORMAT=MLN","Sort=A","Dates=H","DateFormat=P","Fill=—","Direction=H","UseDPDF=Y")</f>
        <v>542</v>
      </c>
      <c r="W8" s="12" cm="1">
        <f t="array" ref="W8">_xll.BDH("CAT US Equity","CF_DEPR_AMORT","FQ3 2023","FQ3 2023","Currency=USD","Period=FQ","BEST_FPERIOD_OVERRIDE=FQ","FILING_STATUS=MR","SCALING_FORMAT=MLN","Sort=A","Dates=H","DateFormat=P","Fill=—","Direction=H","UseDPDF=Y")</f>
        <v>525</v>
      </c>
      <c r="X8" s="12" cm="1">
        <f t="array" ref="X8">_xll.BDH("CAT US Equity","CF_DEPR_AMORT","FQ4 2023","FQ4 2023","Currency=USD","Period=FQ","BEST_FPERIOD_OVERRIDE=FQ","FILING_STATUS=MR","SCALING_FORMAT=MLN","Sort=A","Dates=H","DateFormat=P","Fill=—","Direction=H","UseDPDF=Y")</f>
        <v>545</v>
      </c>
      <c r="Y8" s="12" cm="1">
        <f t="array" ref="Y8">_xll.BDH("CAT US Equity","CF_DEPR_AMORT","FQ1 2024","FQ1 2024","Currency=USD","Period=FQ","BEST_FPERIOD_OVERRIDE=FQ","FILING_STATUS=MR","SCALING_FORMAT=MLN","Sort=A","Dates=H","DateFormat=P","Fill=—","Direction=H","UseDPDF=Y")</f>
        <v>524</v>
      </c>
      <c r="Z8" s="12" cm="1">
        <f t="array" ref="Z8">_xll.BDH("CAT US Equity","CF_DEPR_AMORT","FQ2 2024","FQ2 2024","Currency=USD","Period=FQ","BEST_FPERIOD_OVERRIDE=FQ","FILING_STATUS=MR","SCALING_FORMAT=MLN","Sort=A","Dates=H","DateFormat=P","Fill=—","Direction=H","UseDPDF=Y")</f>
        <v>531</v>
      </c>
      <c r="AA8" s="12" cm="1">
        <f t="array" ref="AA8">_xll.BDH("CAT US Equity","CF_DEPR_AMORT","FQ3 2024","FQ3 2024","Currency=USD","Period=FQ","BEST_FPERIOD_OVERRIDE=FQ","FILING_STATUS=MR","SCALING_FORMAT=MLN","Sort=A","Dates=H","DateFormat=P","Fill=—","Direction=H","UseDPDF=Y")</f>
        <v>543</v>
      </c>
      <c r="AB8" s="12" cm="1">
        <f t="array" ref="AB8">_xll.BDH("CAT US Equity","CF_DEPR_AMORT","FQ4 2024","FQ4 2024","Currency=USD","Period=FQ","BEST_FPERIOD_OVERRIDE=FQ","FILING_STATUS=MR","SCALING_FORMAT=MLN","Sort=A","Dates=H","DateFormat=P","Fill=—","Direction=H","UseDPDF=Y")</f>
        <v>555</v>
      </c>
      <c r="AC8" s="12" cm="1">
        <f t="array" ref="AC8">_xll.BDH("CAT US Equity","CF_DEPR_AMORT","FQ1 2025","FQ1 2025","Currency=USD","Period=FQ","BEST_FPERIOD_OVERRIDE=FQ","FILING_STATUS=MR","SCALING_FORMAT=MLN","Sort=A","Dates=H","DateFormat=P","Fill=—","Direction=H","UseDPDF=Y")</f>
        <v>540</v>
      </c>
      <c r="AD8" s="12" cm="1">
        <f t="array" ref="AD8">_xll.BDH("CAT US Equity","CF_DEPR_AMORT","FQ2 2025","FQ2 2025","Currency=USD","Period=FQ","BEST_FPERIOD_OVERRIDE=FQ","FILING_STATUS=MR","SCALING_FORMAT=MLN","Sort=A","Dates=H","DateFormat=P","Fill=—","Direction=H","UseDPDF=Y")</f>
        <v>554</v>
      </c>
      <c r="AE8" s="12" cm="1">
        <f t="array" ref="AE8">_xll.BDH("CAT US Equity","CF_DEPR_AMORT","FQ3 2025","FQ3 2025","Currency=USD","Period=FQ","BEST_FPERIOD_OVERRIDE=FQ","FILING_STATUS=MR","SCALING_FORMAT=MLN","Sort=A","Dates=H","DateFormat=P","Fill=—","Direction=H","UseDPDF=Y")</f>
        <v>570</v>
      </c>
      <c r="AF8" s="12" cm="1">
        <f t="array" ref="AF8">_xll.BDH("CAT US Equity","CF_DEPR_AMORT","FQ4 2025","FQ4 2025","Currency=USD","Period=FQ","BEST_FPERIOD_OVERRIDE=FQ","FILING_STATUS=MR","SCALING_FORMAT=MLN","Sort=A","Dates=H","DateFormat=P","Fill=—","Direction=H","UseDPDF=Y")</f>
        <v>598</v>
      </c>
    </row>
    <row r="9" spans="1:32" x14ac:dyDescent="0.25">
      <c r="A9" s="10" t="s">
        <v>70</v>
      </c>
      <c r="B9" s="10" t="s">
        <v>71</v>
      </c>
      <c r="C9" s="12" cm="1">
        <f t="array" ref="C9">_xll.BDH("CAT US Equity","NON_CASH_ITEMS_DETAILED","FQ3 2018","FQ3 2018","Currency=USD","Period=FQ","BEST_FPERIOD_OVERRIDE=FQ","FILING_STATUS=MR","SCALING_FORMAT=MLN","Sort=A","Dates=H","DateFormat=P","Fill=—","Direction=H","UseDPDF=Y")</f>
        <v>-810</v>
      </c>
      <c r="D9" s="12" cm="1">
        <f t="array" ref="D9">_xll.BDH("CAT US Equity","NON_CASH_ITEMS_DETAILED","FQ4 2018","FQ4 2018","Currency=USD","Period=FQ","BEST_FPERIOD_OVERRIDE=FQ","FILING_STATUS=MR","SCALING_FORMAT=MLN","Sort=A","Dates=H","DateFormat=P","Fill=—","Direction=H","UseDPDF=Y")</f>
        <v>625</v>
      </c>
      <c r="E9" s="12" cm="1">
        <f t="array" ref="E9">_xll.BDH("CAT US Equity","NON_CASH_ITEMS_DETAILED","FQ1 2019","FQ1 2019","Currency=USD","Period=FQ","BEST_FPERIOD_OVERRIDE=FQ","FILING_STATUS=MR","SCALING_FORMAT=MLN","Sort=A","Dates=H","DateFormat=P","Fill=—","Direction=H","UseDPDF=Y")</f>
        <v>152</v>
      </c>
      <c r="F9" s="12" cm="1">
        <f t="array" ref="F9">_xll.BDH("CAT US Equity","NON_CASH_ITEMS_DETAILED","FQ2 2019","FQ2 2019","Currency=USD","Period=FQ","BEST_FPERIOD_OVERRIDE=FQ","FILING_STATUS=MR","SCALING_FORMAT=MLN","Sort=A","Dates=H","DateFormat=P","Fill=—","Direction=H","UseDPDF=Y")</f>
        <v>101</v>
      </c>
      <c r="G9" s="12" cm="1">
        <f t="array" ref="G9">_xll.BDH("CAT US Equity","NON_CASH_ITEMS_DETAILED","FQ3 2019","FQ3 2019","Currency=USD","Period=FQ","BEST_FPERIOD_OVERRIDE=FQ","FILING_STATUS=MR","SCALING_FORMAT=MLN","Sort=A","Dates=H","DateFormat=P","Fill=—","Direction=H","UseDPDF=Y")</f>
        <v>-1210</v>
      </c>
      <c r="H9" s="12" cm="1">
        <f t="array" ref="H9">_xll.BDH("CAT US Equity","NON_CASH_ITEMS_DETAILED","FQ4 2019","FQ4 2019","Currency=USD","Period=FQ","BEST_FPERIOD_OVERRIDE=FQ","FILING_STATUS=MR","SCALING_FORMAT=MLN","Sort=A","Dates=H","DateFormat=P","Fill=—","Direction=H","UseDPDF=Y")</f>
        <v>374</v>
      </c>
      <c r="I9" s="12" cm="1">
        <f t="array" ref="I9">_xll.BDH("CAT US Equity","NON_CASH_ITEMS_DETAILED","FQ1 2020","FQ1 2020","Currency=USD","Period=FQ","BEST_FPERIOD_OVERRIDE=FQ","FILING_STATUS=MR","SCALING_FORMAT=MLN","Sort=A","Dates=H","DateFormat=P","Fill=—","Direction=H","UseDPDF=Y")</f>
        <v>78</v>
      </c>
      <c r="J9" s="12" cm="1">
        <f t="array" ref="J9">_xll.BDH("CAT US Equity","NON_CASH_ITEMS_DETAILED","FQ2 2020","FQ2 2020","Currency=USD","Period=FQ","BEST_FPERIOD_OVERRIDE=FQ","FILING_STATUS=MR","SCALING_FORMAT=MLN","Sort=A","Dates=H","DateFormat=P","Fill=—","Direction=H","UseDPDF=Y")</f>
        <v>198</v>
      </c>
      <c r="K9" s="12" cm="1">
        <f t="array" ref="K9">_xll.BDH("CAT US Equity","NON_CASH_ITEMS_DETAILED","FQ3 2020","FQ3 2020","Currency=USD","Period=FQ","BEST_FPERIOD_OVERRIDE=FQ","FILING_STATUS=MR","SCALING_FORMAT=MLN","Sort=A","Dates=H","DateFormat=P","Fill=—","Direction=H","UseDPDF=Y")</f>
        <v>28</v>
      </c>
      <c r="L9" s="12" cm="1">
        <f t="array" ref="L9">_xll.BDH("CAT US Equity","NON_CASH_ITEMS_DETAILED","FQ4 2020","FQ4 2020","Currency=USD","Period=FQ","BEST_FPERIOD_OVERRIDE=FQ","FILING_STATUS=MR","SCALING_FORMAT=MLN","Sort=A","Dates=H","DateFormat=P","Fill=—","Direction=H","UseDPDF=Y")</f>
        <v>123</v>
      </c>
      <c r="M9" s="12" cm="1">
        <f t="array" ref="M9">_xll.BDH("CAT US Equity","NON_CASH_ITEMS_DETAILED","FQ1 2021","FQ1 2021","Currency=USD","Period=FQ","BEST_FPERIOD_OVERRIDE=FQ","FILING_STATUS=MR","SCALING_FORMAT=MLN","Sort=A","Dates=H","DateFormat=P","Fill=—","Direction=H","UseDPDF=Y")</f>
        <v>-54</v>
      </c>
      <c r="N9" s="12" cm="1">
        <f t="array" ref="N9">_xll.BDH("CAT US Equity","NON_CASH_ITEMS_DETAILED","FQ2 2021","FQ2 2021","Currency=USD","Period=FQ","BEST_FPERIOD_OVERRIDE=FQ","FILING_STATUS=MR","SCALING_FORMAT=MLN","Sort=A","Dates=H","DateFormat=P","Fill=—","Direction=H","UseDPDF=Y")</f>
        <v>-76</v>
      </c>
      <c r="O9" s="12" cm="1">
        <f t="array" ref="O9">_xll.BDH("CAT US Equity","NON_CASH_ITEMS_DETAILED","FQ3 2021","FQ3 2021","Currency=USD","Period=FQ","BEST_FPERIOD_OVERRIDE=FQ","FILING_STATUS=MR","SCALING_FORMAT=MLN","Sort=A","Dates=H","DateFormat=P","Fill=—","Direction=H","UseDPDF=Y")</f>
        <v>51</v>
      </c>
      <c r="P9" s="12" cm="1">
        <f t="array" ref="P9">_xll.BDH("CAT US Equity","NON_CASH_ITEMS_DETAILED","FQ4 2021","FQ4 2021","Currency=USD","Period=FQ","BEST_FPERIOD_OVERRIDE=FQ","FILING_STATUS=MR","SCALING_FORMAT=MLN","Sort=A","Dates=H","DateFormat=P","Fill=—","Direction=H","UseDPDF=Y")</f>
        <v>-1097</v>
      </c>
      <c r="Q9" s="12" cm="1">
        <f t="array" ref="Q9">_xll.BDH("CAT US Equity","NON_CASH_ITEMS_DETAILED","FQ1 2022","FQ1 2022","Currency=USD","Period=FQ","BEST_FPERIOD_OVERRIDE=FQ","FILING_STATUS=MR","SCALING_FORMAT=MLN","Sort=A","Dates=H","DateFormat=P","Fill=—","Direction=H","UseDPDF=Y")</f>
        <v>-101</v>
      </c>
      <c r="R9" s="12" cm="1">
        <f t="array" ref="R9">_xll.BDH("CAT US Equity","NON_CASH_ITEMS_DETAILED","FQ2 2022","FQ2 2022","Currency=USD","Period=FQ","BEST_FPERIOD_OVERRIDE=FQ","FILING_STATUS=MR","SCALING_FORMAT=MLN","Sort=A","Dates=H","DateFormat=P","Fill=—","Direction=H","UseDPDF=Y")</f>
        <v>-369</v>
      </c>
      <c r="S9" s="12" cm="1">
        <f t="array" ref="S9">_xll.BDH("CAT US Equity","NON_CASH_ITEMS_DETAILED","FQ3 2022","FQ3 2022","Currency=USD","Period=FQ","BEST_FPERIOD_OVERRIDE=FQ","FILING_STATUS=MR","SCALING_FORMAT=MLN","Sort=A","Dates=H","DateFormat=P","Fill=—","Direction=H","UseDPDF=Y")</f>
        <v>-314</v>
      </c>
      <c r="T9" s="12" cm="1">
        <f t="array" ref="T9">_xll.BDH("CAT US Equity","NON_CASH_ITEMS_DETAILED","FQ4 2022","FQ4 2022","Currency=USD","Period=FQ","BEST_FPERIOD_OVERRIDE=FQ","FILING_STATUS=MR","SCALING_FORMAT=MLN","Sort=A","Dates=H","DateFormat=P","Fill=—","Direction=H","UseDPDF=Y")</f>
        <v>462</v>
      </c>
      <c r="U9" s="12" cm="1">
        <f t="array" ref="U9">_xll.BDH("CAT US Equity","NON_CASH_ITEMS_DETAILED","FQ1 2023","FQ1 2023","Currency=USD","Period=FQ","BEST_FPERIOD_OVERRIDE=FQ","FILING_STATUS=MR","SCALING_FORMAT=MLN","Sort=A","Dates=H","DateFormat=P","Fill=—","Direction=H","UseDPDF=Y")</f>
        <v>900</v>
      </c>
      <c r="V9" s="12" cm="1">
        <f t="array" ref="V9">_xll.BDH("CAT US Equity","NON_CASH_ITEMS_DETAILED","FQ2 2023","FQ2 2023","Currency=USD","Period=FQ","BEST_FPERIOD_OVERRIDE=FQ","FILING_STATUS=MR","SCALING_FORMAT=MLN","Sort=A","Dates=H","DateFormat=P","Fill=—","Direction=H","UseDPDF=Y")</f>
        <v>-129</v>
      </c>
      <c r="W9" s="12" cm="1">
        <f t="array" ref="W9">_xll.BDH("CAT US Equity","NON_CASH_ITEMS_DETAILED","FQ3 2023","FQ3 2023","Currency=USD","Period=FQ","BEST_FPERIOD_OVERRIDE=FQ","FILING_STATUS=MR","SCALING_FORMAT=MLN","Sort=A","Dates=H","DateFormat=P","Fill=—","Direction=H","UseDPDF=Y")</f>
        <v>24</v>
      </c>
      <c r="X9" s="12" cm="1">
        <f t="array" ref="X9">_xll.BDH("CAT US Equity","NON_CASH_ITEMS_DETAILED","FQ4 2023","FQ4 2023","Currency=USD","Period=FQ","BEST_FPERIOD_OVERRIDE=FQ","FILING_STATUS=MR","SCALING_FORMAT=MLN","Sort=A","Dates=H","DateFormat=P","Fill=—","Direction=H","UseDPDF=Y")</f>
        <v>-196</v>
      </c>
      <c r="Y9" s="12" cm="1">
        <f t="array" ref="Y9">_xll.BDH("CAT US Equity","NON_CASH_ITEMS_DETAILED","FQ1 2024","FQ1 2024","Currency=USD","Period=FQ","BEST_FPERIOD_OVERRIDE=FQ","FILING_STATUS=MR","SCALING_FORMAT=MLN","Sort=A","Dates=H","DateFormat=P","Fill=—","Direction=H","UseDPDF=Y")</f>
        <v>202</v>
      </c>
      <c r="Z9" s="12" cm="1">
        <f t="array" ref="Z9">_xll.BDH("CAT US Equity","NON_CASH_ITEMS_DETAILED","FQ2 2024","FQ2 2024","Currency=USD","Period=FQ","BEST_FPERIOD_OVERRIDE=FQ","FILING_STATUS=MR","SCALING_FORMAT=MLN","Sort=A","Dates=H","DateFormat=P","Fill=—","Direction=H","UseDPDF=Y")</f>
        <v>-166</v>
      </c>
      <c r="AA9" s="12" cm="1">
        <f t="array" ref="AA9">_xll.BDH("CAT US Equity","NON_CASH_ITEMS_DETAILED","FQ3 2024","FQ3 2024","Currency=USD","Period=FQ","BEST_FPERIOD_OVERRIDE=FQ","FILING_STATUS=MR","SCALING_FORMAT=MLN","Sort=A","Dates=H","DateFormat=P","Fill=—","Direction=H","UseDPDF=Y")</f>
        <v>100</v>
      </c>
      <c r="AB9" s="12" cm="1">
        <f t="array" ref="AB9">_xll.BDH("CAT US Equity","NON_CASH_ITEMS_DETAILED","FQ4 2024","FQ4 2024","Currency=USD","Period=FQ","BEST_FPERIOD_OVERRIDE=FQ","FILING_STATUS=MR","SCALING_FORMAT=MLN","Sort=A","Dates=H","DateFormat=P","Fill=—","Direction=H","UseDPDF=Y")</f>
        <v>-388</v>
      </c>
      <c r="AC9" s="12" cm="1">
        <f t="array" ref="AC9">_xll.BDH("CAT US Equity","NON_CASH_ITEMS_DETAILED","FQ1 2025","FQ1 2025","Currency=USD","Period=FQ","BEST_FPERIOD_OVERRIDE=FQ","FILING_STATUS=MR","SCALING_FORMAT=MLN","Sort=A","Dates=H","DateFormat=P","Fill=—","Direction=H","UseDPDF=Y")</f>
        <v>-191</v>
      </c>
      <c r="AD9" s="12" cm="1">
        <f t="array" ref="AD9">_xll.BDH("CAT US Equity","NON_CASH_ITEMS_DETAILED","FQ2 2025","FQ2 2025","Currency=USD","Period=FQ","BEST_FPERIOD_OVERRIDE=FQ","FILING_STATUS=MR","SCALING_FORMAT=MLN","Sort=A","Dates=H","DateFormat=P","Fill=—","Direction=H","UseDPDF=Y")</f>
        <v>-148</v>
      </c>
      <c r="AE9" s="12" cm="1">
        <f t="array" ref="AE9">_xll.BDH("CAT US Equity","NON_CASH_ITEMS_DETAILED","FQ3 2025","FQ3 2025","Currency=USD","Period=FQ","BEST_FPERIOD_OVERRIDE=FQ","FILING_STATUS=MR","SCALING_FORMAT=MLN","Sort=A","Dates=H","DateFormat=P","Fill=—","Direction=H","UseDPDF=Y")</f>
        <v>654</v>
      </c>
      <c r="AF9" s="12" cm="1">
        <f t="array" ref="AF9">_xll.BDH("CAT US Equity","NON_CASH_ITEMS_DETAILED","FQ4 2025","FQ4 2025","Currency=USD","Period=FQ","BEST_FPERIOD_OVERRIDE=FQ","FILING_STATUS=MR","SCALING_FORMAT=MLN","Sort=A","Dates=H","DateFormat=P","Fill=—","Direction=H","UseDPDF=Y")</f>
        <v>156</v>
      </c>
    </row>
    <row r="10" spans="1:32" x14ac:dyDescent="0.25">
      <c r="A10" s="10" t="s">
        <v>72</v>
      </c>
      <c r="B10" s="10" t="s">
        <v>73</v>
      </c>
      <c r="C10" s="12" t="str" cm="1">
        <f t="array" ref="C10">_xll.BDH("CAT US Equity","CF_DEF_INC_TAX","FQ3 2018","FQ3 2018","Currency=USD","Period=FQ","BEST_FPERIOD_OVERRIDE=FQ","FILING_STATUS=MR","SCALING_FORMAT=MLN","Sort=A","Dates=H","DateFormat=P","Fill=—","Direction=H","UseDPDF=Y")</f>
        <v>—</v>
      </c>
      <c r="D10" s="12" t="str" cm="1">
        <f t="array" ref="D10">_xll.BDH("CAT US Equity","CF_DEF_INC_TAX","FQ4 2018","FQ4 2018","Currency=USD","Period=FQ","BEST_FPERIOD_OVERRIDE=FQ","FILING_STATUS=MR","SCALING_FORMAT=MLN","Sort=A","Dates=H","DateFormat=P","Fill=—","Direction=H","UseDPDF=Y")</f>
        <v>—</v>
      </c>
      <c r="E10" s="12" cm="1">
        <f t="array" ref="E10">_xll.BDH("CAT US Equity","CF_DEF_INC_TAX","FQ1 2019","FQ1 2019","Currency=USD","Period=FQ","BEST_FPERIOD_OVERRIDE=FQ","FILING_STATUS=MR","SCALING_FORMAT=MLN","Sort=A","Dates=H","DateFormat=P","Fill=—","Direction=H","UseDPDF=Y")</f>
        <v>-11</v>
      </c>
      <c r="F10" s="12" t="str" cm="1">
        <f t="array" ref="F10">_xll.BDH("CAT US Equity","CF_DEF_INC_TAX","FQ2 2019","FQ2 2019","Currency=USD","Period=FQ","BEST_FPERIOD_OVERRIDE=FQ","FILING_STATUS=MR","SCALING_FORMAT=MLN","Sort=A","Dates=H","DateFormat=P","Fill=—","Direction=H","UseDPDF=Y")</f>
        <v>—</v>
      </c>
      <c r="G10" s="12" t="str" cm="1">
        <f t="array" ref="G10">_xll.BDH("CAT US Equity","CF_DEF_INC_TAX","FQ3 2019","FQ3 2019","Currency=USD","Period=FQ","BEST_FPERIOD_OVERRIDE=FQ","FILING_STATUS=MR","SCALING_FORMAT=MLN","Sort=A","Dates=H","DateFormat=P","Fill=—","Direction=H","UseDPDF=Y")</f>
        <v>—</v>
      </c>
      <c r="H10" s="12" cm="1">
        <f t="array" ref="H10">_xll.BDH("CAT US Equity","CF_DEF_INC_TAX","FQ4 2019","FQ4 2019","Currency=USD","Period=FQ","BEST_FPERIOD_OVERRIDE=FQ","FILING_STATUS=MR","SCALING_FORMAT=MLN","Sort=A","Dates=H","DateFormat=P","Fill=—","Direction=H","UseDPDF=Y")</f>
        <v>39</v>
      </c>
      <c r="I10" s="12" cm="1">
        <f t="array" ref="I10">_xll.BDH("CAT US Equity","CF_DEF_INC_TAX","FQ1 2020","FQ1 2020","Currency=USD","Period=FQ","BEST_FPERIOD_OVERRIDE=FQ","FILING_STATUS=MR","SCALING_FORMAT=MLN","Sort=A","Dates=H","DateFormat=P","Fill=—","Direction=H","UseDPDF=Y")</f>
        <v>20</v>
      </c>
      <c r="J10" s="12" cm="1">
        <f t="array" ref="J10">_xll.BDH("CAT US Equity","CF_DEF_INC_TAX","FQ2 2020","FQ2 2020","Currency=USD","Period=FQ","BEST_FPERIOD_OVERRIDE=FQ","FILING_STATUS=MR","SCALING_FORMAT=MLN","Sort=A","Dates=H","DateFormat=P","Fill=—","Direction=H","UseDPDF=Y")</f>
        <v>-52</v>
      </c>
      <c r="K10" s="12" cm="1">
        <f t="array" ref="K10">_xll.BDH("CAT US Equity","CF_DEF_INC_TAX","FQ3 2020","FQ3 2020","Currency=USD","Period=FQ","BEST_FPERIOD_OVERRIDE=FQ","FILING_STATUS=MR","SCALING_FORMAT=MLN","Sort=A","Dates=H","DateFormat=P","Fill=—","Direction=H","UseDPDF=Y")</f>
        <v>-6</v>
      </c>
      <c r="L10" s="12" cm="1">
        <f t="array" ref="L10">_xll.BDH("CAT US Equity","CF_DEF_INC_TAX","FQ4 2020","FQ4 2020","Currency=USD","Period=FQ","BEST_FPERIOD_OVERRIDE=FQ","FILING_STATUS=MR","SCALING_FORMAT=MLN","Sort=A","Dates=H","DateFormat=P","Fill=—","Direction=H","UseDPDF=Y")</f>
        <v>-36</v>
      </c>
      <c r="M10" s="12" cm="1">
        <f t="array" ref="M10">_xll.BDH("CAT US Equity","CF_DEF_INC_TAX","FQ1 2021","FQ1 2021","Currency=USD","Period=FQ","BEST_FPERIOD_OVERRIDE=FQ","FILING_STATUS=MR","SCALING_FORMAT=MLN","Sort=A","Dates=H","DateFormat=P","Fill=—","Direction=H","UseDPDF=Y")</f>
        <v>109</v>
      </c>
      <c r="N10" s="12" cm="1">
        <f t="array" ref="N10">_xll.BDH("CAT US Equity","CF_DEF_INC_TAX","FQ2 2021","FQ2 2021","Currency=USD","Period=FQ","BEST_FPERIOD_OVERRIDE=FQ","FILING_STATUS=MR","SCALING_FORMAT=MLN","Sort=A","Dates=H","DateFormat=P","Fill=—","Direction=H","UseDPDF=Y")</f>
        <v>-41</v>
      </c>
      <c r="O10" s="12" cm="1">
        <f t="array" ref="O10">_xll.BDH("CAT US Equity","CF_DEF_INC_TAX","FQ3 2021","FQ3 2021","Currency=USD","Period=FQ","BEST_FPERIOD_OVERRIDE=FQ","FILING_STATUS=MR","SCALING_FORMAT=MLN","Sort=A","Dates=H","DateFormat=P","Fill=—","Direction=H","UseDPDF=Y")</f>
        <v>-389</v>
      </c>
      <c r="P10" s="12" cm="1">
        <f t="array" ref="P10">_xll.BDH("CAT US Equity","CF_DEF_INC_TAX","FQ4 2021","FQ4 2021","Currency=USD","Period=FQ","BEST_FPERIOD_OVERRIDE=FQ","FILING_STATUS=MR","SCALING_FORMAT=MLN","Sort=A","Dates=H","DateFormat=P","Fill=—","Direction=H","UseDPDF=Y")</f>
        <v>-62</v>
      </c>
      <c r="Q10" s="12" cm="1">
        <f t="array" ref="Q10">_xll.BDH("CAT US Equity","CF_DEF_INC_TAX","FQ1 2022","FQ1 2022","Currency=USD","Period=FQ","BEST_FPERIOD_OVERRIDE=FQ","FILING_STATUS=MR","SCALING_FORMAT=MLN","Sort=A","Dates=H","DateFormat=P","Fill=—","Direction=H","UseDPDF=Y")</f>
        <v>-99</v>
      </c>
      <c r="R10" s="12" cm="1">
        <f t="array" ref="R10">_xll.BDH("CAT US Equity","CF_DEF_INC_TAX","FQ2 2022","FQ2 2022","Currency=USD","Period=FQ","BEST_FPERIOD_OVERRIDE=FQ","FILING_STATUS=MR","SCALING_FORMAT=MLN","Sort=A","Dates=H","DateFormat=P","Fill=—","Direction=H","UseDPDF=Y")</f>
        <v>-184</v>
      </c>
      <c r="S10" s="12" cm="1">
        <f t="array" ref="S10">_xll.BDH("CAT US Equity","CF_DEF_INC_TAX","FQ3 2022","FQ3 2022","Currency=USD","Period=FQ","BEST_FPERIOD_OVERRIDE=FQ","FILING_STATUS=MR","SCALING_FORMAT=MLN","Sort=A","Dates=H","DateFormat=P","Fill=—","Direction=H","UseDPDF=Y")</f>
        <v>-66</v>
      </c>
      <c r="T10" s="12" cm="1">
        <f t="array" ref="T10">_xll.BDH("CAT US Equity","CF_DEF_INC_TAX","FQ4 2022","FQ4 2022","Currency=USD","Period=FQ","BEST_FPERIOD_OVERRIDE=FQ","FILING_STATUS=MR","SCALING_FORMAT=MLN","Sort=A","Dates=H","DateFormat=P","Fill=—","Direction=H","UseDPDF=Y")</f>
        <v>-28</v>
      </c>
      <c r="U10" s="12" cm="1">
        <f t="array" ref="U10">_xll.BDH("CAT US Equity","CF_DEF_INC_TAX","FQ1 2023","FQ1 2023","Currency=USD","Period=FQ","BEST_FPERIOD_OVERRIDE=FQ","FILING_STATUS=MR","SCALING_FORMAT=MLN","Sort=A","Dates=H","DateFormat=P","Fill=—","Direction=H","UseDPDF=Y")</f>
        <v>-191</v>
      </c>
      <c r="V10" s="12" cm="1">
        <f t="array" ref="V10">_xll.BDH("CAT US Equity","CF_DEF_INC_TAX","FQ2 2023","FQ2 2023","Currency=USD","Period=FQ","BEST_FPERIOD_OVERRIDE=FQ","FILING_STATUS=MR","SCALING_FORMAT=MLN","Sort=A","Dates=H","DateFormat=P","Fill=—","Direction=H","UseDPDF=Y")</f>
        <v>-164</v>
      </c>
      <c r="W10" s="12" cm="1">
        <f t="array" ref="W10">_xll.BDH("CAT US Equity","CF_DEF_INC_TAX","FQ3 2023","FQ3 2023","Currency=USD","Period=FQ","BEST_FPERIOD_OVERRIDE=FQ","FILING_STATUS=MR","SCALING_FORMAT=MLN","Sort=A","Dates=H","DateFormat=P","Fill=—","Direction=H","UseDPDF=Y")</f>
        <v>-93</v>
      </c>
      <c r="X10" s="12" cm="1">
        <f t="array" ref="X10">_xll.BDH("CAT US Equity","CF_DEF_INC_TAX","FQ4 2023","FQ4 2023","Currency=USD","Period=FQ","BEST_FPERIOD_OVERRIDE=FQ","FILING_STATUS=MR","SCALING_FORMAT=MLN","Sort=A","Dates=H","DateFormat=P","Fill=—","Direction=H","UseDPDF=Y")</f>
        <v>-144</v>
      </c>
      <c r="Y10" s="12" cm="1">
        <f t="array" ref="Y10">_xll.BDH("CAT US Equity","CF_DEF_INC_TAX","FQ1 2024","FQ1 2024","Currency=USD","Period=FQ","BEST_FPERIOD_OVERRIDE=FQ","FILING_STATUS=MR","SCALING_FORMAT=MLN","Sort=A","Dates=H","DateFormat=P","Fill=—","Direction=H","UseDPDF=Y")</f>
        <v>-54</v>
      </c>
      <c r="Z10" s="12" cm="1">
        <f t="array" ref="Z10">_xll.BDH("CAT US Equity","CF_DEF_INC_TAX","FQ2 2024","FQ2 2024","Currency=USD","Period=FQ","BEST_FPERIOD_OVERRIDE=FQ","FILING_STATUS=MR","SCALING_FORMAT=MLN","Sort=A","Dates=H","DateFormat=P","Fill=—","Direction=H","UseDPDF=Y")</f>
        <v>-79</v>
      </c>
      <c r="AA10" s="12" cm="1">
        <f t="array" ref="AA10">_xll.BDH("CAT US Equity","CF_DEF_INC_TAX","FQ3 2024","FQ3 2024","Currency=USD","Period=FQ","BEST_FPERIOD_OVERRIDE=FQ","FILING_STATUS=MR","SCALING_FORMAT=MLN","Sort=A","Dates=H","DateFormat=P","Fill=—","Direction=H","UseDPDF=Y")</f>
        <v>-196</v>
      </c>
      <c r="AB10" s="12" cm="1">
        <f t="array" ref="AB10">_xll.BDH("CAT US Equity","CF_DEF_INC_TAX","FQ4 2024","FQ4 2024","Currency=USD","Period=FQ","BEST_FPERIOD_OVERRIDE=FQ","FILING_STATUS=MR","SCALING_FORMAT=MLN","Sort=A","Dates=H","DateFormat=P","Fill=—","Direction=H","UseDPDF=Y")</f>
        <v>-292</v>
      </c>
      <c r="AC10" s="12" cm="1">
        <f t="array" ref="AC10">_xll.BDH("CAT US Equity","CF_DEF_INC_TAX","FQ1 2025","FQ1 2025","Currency=USD","Period=FQ","BEST_FPERIOD_OVERRIDE=FQ","FILING_STATUS=MR","SCALING_FORMAT=MLN","Sort=A","Dates=H","DateFormat=P","Fill=—","Direction=H","UseDPDF=Y")</f>
        <v>-38</v>
      </c>
      <c r="AD10" s="12" cm="1">
        <f t="array" ref="AD10">_xll.BDH("CAT US Equity","CF_DEF_INC_TAX","FQ2 2025","FQ2 2025","Currency=USD","Period=FQ","BEST_FPERIOD_OVERRIDE=FQ","FILING_STATUS=MR","SCALING_FORMAT=MLN","Sort=A","Dates=H","DateFormat=P","Fill=—","Direction=H","UseDPDF=Y")</f>
        <v>-72</v>
      </c>
      <c r="AE10" s="12" cm="1">
        <f t="array" ref="AE10">_xll.BDH("CAT US Equity","CF_DEF_INC_TAX","FQ3 2025","FQ3 2025","Currency=USD","Period=FQ","BEST_FPERIOD_OVERRIDE=FQ","FILING_STATUS=MR","SCALING_FORMAT=MLN","Sort=A","Dates=H","DateFormat=P","Fill=—","Direction=H","UseDPDF=Y")</f>
        <v>410</v>
      </c>
      <c r="AF10" s="12" cm="1">
        <f t="array" ref="AF10">_xll.BDH("CAT US Equity","CF_DEF_INC_TAX","FQ4 2025","FQ4 2025","Currency=USD","Period=FQ","BEST_FPERIOD_OVERRIDE=FQ","FILING_STATUS=MR","SCALING_FORMAT=MLN","Sort=A","Dates=H","DateFormat=P","Fill=—","Direction=H","UseDPDF=Y")</f>
        <v>165</v>
      </c>
    </row>
    <row r="11" spans="1:32" x14ac:dyDescent="0.25">
      <c r="A11" s="10" t="s">
        <v>74</v>
      </c>
      <c r="B11" s="10" t="s">
        <v>75</v>
      </c>
      <c r="C11" s="12" cm="1">
        <f t="array" ref="C11">_xll.BDH("CAT US Equity","OTHER_NON_CASH_ADJ_LESS_DETAILED","FQ3 2018","FQ3 2018","Currency=USD","Period=FQ","BEST_FPERIOD_OVERRIDE=FQ","FILING_STATUS=MR","SCALING_FORMAT=MLN","Sort=A","Dates=H","DateFormat=P","Fill=—","Direction=H","UseDPDF=Y")</f>
        <v>-810</v>
      </c>
      <c r="D11" s="12" cm="1">
        <f t="array" ref="D11">_xll.BDH("CAT US Equity","OTHER_NON_CASH_ADJ_LESS_DETAILED","FQ4 2018","FQ4 2018","Currency=USD","Period=FQ","BEST_FPERIOD_OVERRIDE=FQ","FILING_STATUS=MR","SCALING_FORMAT=MLN","Sort=A","Dates=H","DateFormat=P","Fill=—","Direction=H","UseDPDF=Y")</f>
        <v>625</v>
      </c>
      <c r="E11" s="12" cm="1">
        <f t="array" ref="E11">_xll.BDH("CAT US Equity","OTHER_NON_CASH_ADJ_LESS_DETAILED","FQ1 2019","FQ1 2019","Currency=USD","Period=FQ","BEST_FPERIOD_OVERRIDE=FQ","FILING_STATUS=MR","SCALING_FORMAT=MLN","Sort=A","Dates=H","DateFormat=P","Fill=—","Direction=H","UseDPDF=Y")</f>
        <v>163</v>
      </c>
      <c r="F11" s="12" cm="1">
        <f t="array" ref="F11">_xll.BDH("CAT US Equity","OTHER_NON_CASH_ADJ_LESS_DETAILED","FQ2 2019","FQ2 2019","Currency=USD","Period=FQ","BEST_FPERIOD_OVERRIDE=FQ","FILING_STATUS=MR","SCALING_FORMAT=MLN","Sort=A","Dates=H","DateFormat=P","Fill=—","Direction=H","UseDPDF=Y")</f>
        <v>101</v>
      </c>
      <c r="G11" s="12" cm="1">
        <f t="array" ref="G11">_xll.BDH("CAT US Equity","OTHER_NON_CASH_ADJ_LESS_DETAILED","FQ3 2019","FQ3 2019","Currency=USD","Period=FQ","BEST_FPERIOD_OVERRIDE=FQ","FILING_STATUS=MR","SCALING_FORMAT=MLN","Sort=A","Dates=H","DateFormat=P","Fill=—","Direction=H","UseDPDF=Y")</f>
        <v>-1210</v>
      </c>
      <c r="H11" s="12" cm="1">
        <f t="array" ref="H11">_xll.BDH("CAT US Equity","OTHER_NON_CASH_ADJ_LESS_DETAILED","FQ4 2019","FQ4 2019","Currency=USD","Period=FQ","BEST_FPERIOD_OVERRIDE=FQ","FILING_STATUS=MR","SCALING_FORMAT=MLN","Sort=A","Dates=H","DateFormat=P","Fill=—","Direction=H","UseDPDF=Y")</f>
        <v>335</v>
      </c>
      <c r="I11" s="12" cm="1">
        <f t="array" ref="I11">_xll.BDH("CAT US Equity","OTHER_NON_CASH_ADJ_LESS_DETAILED","FQ1 2020","FQ1 2020","Currency=USD","Period=FQ","BEST_FPERIOD_OVERRIDE=FQ","FILING_STATUS=MR","SCALING_FORMAT=MLN","Sort=A","Dates=H","DateFormat=P","Fill=—","Direction=H","UseDPDF=Y")</f>
        <v>58</v>
      </c>
      <c r="J11" s="12" cm="1">
        <f t="array" ref="J11">_xll.BDH("CAT US Equity","OTHER_NON_CASH_ADJ_LESS_DETAILED","FQ2 2020","FQ2 2020","Currency=USD","Period=FQ","BEST_FPERIOD_OVERRIDE=FQ","FILING_STATUS=MR","SCALING_FORMAT=MLN","Sort=A","Dates=H","DateFormat=P","Fill=—","Direction=H","UseDPDF=Y")</f>
        <v>250</v>
      </c>
      <c r="K11" s="12" cm="1">
        <f t="array" ref="K11">_xll.BDH("CAT US Equity","OTHER_NON_CASH_ADJ_LESS_DETAILED","FQ3 2020","FQ3 2020","Currency=USD","Period=FQ","BEST_FPERIOD_OVERRIDE=FQ","FILING_STATUS=MR","SCALING_FORMAT=MLN","Sort=A","Dates=H","DateFormat=P","Fill=—","Direction=H","UseDPDF=Y")</f>
        <v>34</v>
      </c>
      <c r="L11" s="12" cm="1">
        <f t="array" ref="L11">_xll.BDH("CAT US Equity","OTHER_NON_CASH_ADJ_LESS_DETAILED","FQ4 2020","FQ4 2020","Currency=USD","Period=FQ","BEST_FPERIOD_OVERRIDE=FQ","FILING_STATUS=MR","SCALING_FORMAT=MLN","Sort=A","Dates=H","DateFormat=P","Fill=—","Direction=H","UseDPDF=Y")</f>
        <v>159</v>
      </c>
      <c r="M11" s="12" cm="1">
        <f t="array" ref="M11">_xll.BDH("CAT US Equity","OTHER_NON_CASH_ADJ_LESS_DETAILED","FQ1 2021","FQ1 2021","Currency=USD","Period=FQ","BEST_FPERIOD_OVERRIDE=FQ","FILING_STATUS=MR","SCALING_FORMAT=MLN","Sort=A","Dates=H","DateFormat=P","Fill=—","Direction=H","UseDPDF=Y")</f>
        <v>-163</v>
      </c>
      <c r="N11" s="12" cm="1">
        <f t="array" ref="N11">_xll.BDH("CAT US Equity","OTHER_NON_CASH_ADJ_LESS_DETAILED","FQ2 2021","FQ2 2021","Currency=USD","Period=FQ","BEST_FPERIOD_OVERRIDE=FQ","FILING_STATUS=MR","SCALING_FORMAT=MLN","Sort=A","Dates=H","DateFormat=P","Fill=—","Direction=H","UseDPDF=Y")</f>
        <v>-35</v>
      </c>
      <c r="O11" s="12" cm="1">
        <f t="array" ref="O11">_xll.BDH("CAT US Equity","OTHER_NON_CASH_ADJ_LESS_DETAILED","FQ3 2021","FQ3 2021","Currency=USD","Period=FQ","BEST_FPERIOD_OVERRIDE=FQ","FILING_STATUS=MR","SCALING_FORMAT=MLN","Sort=A","Dates=H","DateFormat=P","Fill=—","Direction=H","UseDPDF=Y")</f>
        <v>440</v>
      </c>
      <c r="P11" s="12" cm="1">
        <f t="array" ref="P11">_xll.BDH("CAT US Equity","OTHER_NON_CASH_ADJ_LESS_DETAILED","FQ4 2021","FQ4 2021","Currency=USD","Period=FQ","BEST_FPERIOD_OVERRIDE=FQ","FILING_STATUS=MR","SCALING_FORMAT=MLN","Sort=A","Dates=H","DateFormat=P","Fill=—","Direction=H","UseDPDF=Y")</f>
        <v>-1035</v>
      </c>
      <c r="Q11" s="12" cm="1">
        <f t="array" ref="Q11">_xll.BDH("CAT US Equity","OTHER_NON_CASH_ADJ_LESS_DETAILED","FQ1 2022","FQ1 2022","Currency=USD","Period=FQ","BEST_FPERIOD_OVERRIDE=FQ","FILING_STATUS=MR","SCALING_FORMAT=MLN","Sort=A","Dates=H","DateFormat=P","Fill=—","Direction=H","UseDPDF=Y")</f>
        <v>-2</v>
      </c>
      <c r="R11" s="12" cm="1">
        <f t="array" ref="R11">_xll.BDH("CAT US Equity","OTHER_NON_CASH_ADJ_LESS_DETAILED","FQ2 2022","FQ2 2022","Currency=USD","Period=FQ","BEST_FPERIOD_OVERRIDE=FQ","FILING_STATUS=MR","SCALING_FORMAT=MLN","Sort=A","Dates=H","DateFormat=P","Fill=—","Direction=H","UseDPDF=Y")</f>
        <v>-185</v>
      </c>
      <c r="S11" s="12" cm="1">
        <f t="array" ref="S11">_xll.BDH("CAT US Equity","OTHER_NON_CASH_ADJ_LESS_DETAILED","FQ3 2022","FQ3 2022","Currency=USD","Period=FQ","BEST_FPERIOD_OVERRIDE=FQ","FILING_STATUS=MR","SCALING_FORMAT=MLN","Sort=A","Dates=H","DateFormat=P","Fill=—","Direction=H","UseDPDF=Y")</f>
        <v>-248</v>
      </c>
      <c r="T11" s="12" cm="1">
        <f t="array" ref="T11">_xll.BDH("CAT US Equity","OTHER_NON_CASH_ADJ_LESS_DETAILED","FQ4 2022","FQ4 2022","Currency=USD","Period=FQ","BEST_FPERIOD_OVERRIDE=FQ","FILING_STATUS=MR","SCALING_FORMAT=MLN","Sort=A","Dates=H","DateFormat=P","Fill=—","Direction=H","UseDPDF=Y")</f>
        <v>490</v>
      </c>
      <c r="U11" s="12" cm="1">
        <f t="array" ref="U11">_xll.BDH("CAT US Equity","OTHER_NON_CASH_ADJ_LESS_DETAILED","FQ1 2023","FQ1 2023","Currency=USD","Period=FQ","BEST_FPERIOD_OVERRIDE=FQ","FILING_STATUS=MR","SCALING_FORMAT=MLN","Sort=A","Dates=H","DateFormat=P","Fill=—","Direction=H","UseDPDF=Y")</f>
        <v>1091</v>
      </c>
      <c r="V11" s="12" cm="1">
        <f t="array" ref="V11">_xll.BDH("CAT US Equity","OTHER_NON_CASH_ADJ_LESS_DETAILED","FQ2 2023","FQ2 2023","Currency=USD","Period=FQ","BEST_FPERIOD_OVERRIDE=FQ","FILING_STATUS=MR","SCALING_FORMAT=MLN","Sort=A","Dates=H","DateFormat=P","Fill=—","Direction=H","UseDPDF=Y")</f>
        <v>35</v>
      </c>
      <c r="W11" s="12" cm="1">
        <f t="array" ref="W11">_xll.BDH("CAT US Equity","OTHER_NON_CASH_ADJ_LESS_DETAILED","FQ3 2023","FQ3 2023","Currency=USD","Period=FQ","BEST_FPERIOD_OVERRIDE=FQ","FILING_STATUS=MR","SCALING_FORMAT=MLN","Sort=A","Dates=H","DateFormat=P","Fill=—","Direction=H","UseDPDF=Y")</f>
        <v>117</v>
      </c>
      <c r="X11" s="12" cm="1">
        <f t="array" ref="X11">_xll.BDH("CAT US Equity","OTHER_NON_CASH_ADJ_LESS_DETAILED","FQ4 2023","FQ4 2023","Currency=USD","Period=FQ","BEST_FPERIOD_OVERRIDE=FQ","FILING_STATUS=MR","SCALING_FORMAT=MLN","Sort=A","Dates=H","DateFormat=P","Fill=—","Direction=H","UseDPDF=Y")</f>
        <v>-52</v>
      </c>
      <c r="Y11" s="12" cm="1">
        <f t="array" ref="Y11">_xll.BDH("CAT US Equity","OTHER_NON_CASH_ADJ_LESS_DETAILED","FQ1 2024","FQ1 2024","Currency=USD","Period=FQ","BEST_FPERIOD_OVERRIDE=FQ","FILING_STATUS=MR","SCALING_FORMAT=MLN","Sort=A","Dates=H","DateFormat=P","Fill=—","Direction=H","UseDPDF=Y")</f>
        <v>256</v>
      </c>
      <c r="Z11" s="12" cm="1">
        <f t="array" ref="Z11">_xll.BDH("CAT US Equity","OTHER_NON_CASH_ADJ_LESS_DETAILED","FQ2 2024","FQ2 2024","Currency=USD","Period=FQ","BEST_FPERIOD_OVERRIDE=FQ","FILING_STATUS=MR","SCALING_FORMAT=MLN","Sort=A","Dates=H","DateFormat=P","Fill=—","Direction=H","UseDPDF=Y")</f>
        <v>-87</v>
      </c>
      <c r="AA11" s="12" cm="1">
        <f t="array" ref="AA11">_xll.BDH("CAT US Equity","OTHER_NON_CASH_ADJ_LESS_DETAILED","FQ3 2024","FQ3 2024","Currency=USD","Period=FQ","BEST_FPERIOD_OVERRIDE=FQ","FILING_STATUS=MR","SCALING_FORMAT=MLN","Sort=A","Dates=H","DateFormat=P","Fill=—","Direction=H","UseDPDF=Y")</f>
        <v>296</v>
      </c>
      <c r="AB11" s="12" cm="1">
        <f t="array" ref="AB11">_xll.BDH("CAT US Equity","OTHER_NON_CASH_ADJ_LESS_DETAILED","FQ4 2024","FQ4 2024","Currency=USD","Period=FQ","BEST_FPERIOD_OVERRIDE=FQ","FILING_STATUS=MR","SCALING_FORMAT=MLN","Sort=A","Dates=H","DateFormat=P","Fill=—","Direction=H","UseDPDF=Y")</f>
        <v>-96</v>
      </c>
      <c r="AC11" s="12" cm="1">
        <f t="array" ref="AC11">_xll.BDH("CAT US Equity","OTHER_NON_CASH_ADJ_LESS_DETAILED","FQ1 2025","FQ1 2025","Currency=USD","Period=FQ","BEST_FPERIOD_OVERRIDE=FQ","FILING_STATUS=MR","SCALING_FORMAT=MLN","Sort=A","Dates=H","DateFormat=P","Fill=—","Direction=H","UseDPDF=Y")</f>
        <v>-153</v>
      </c>
      <c r="AD11" s="12" cm="1">
        <f t="array" ref="AD11">_xll.BDH("CAT US Equity","OTHER_NON_CASH_ADJ_LESS_DETAILED","FQ2 2025","FQ2 2025","Currency=USD","Period=FQ","BEST_FPERIOD_OVERRIDE=FQ","FILING_STATUS=MR","SCALING_FORMAT=MLN","Sort=A","Dates=H","DateFormat=P","Fill=—","Direction=H","UseDPDF=Y")</f>
        <v>-76</v>
      </c>
      <c r="AE11" s="12" cm="1">
        <f t="array" ref="AE11">_xll.BDH("CAT US Equity","OTHER_NON_CASH_ADJ_LESS_DETAILED","FQ3 2025","FQ3 2025","Currency=USD","Period=FQ","BEST_FPERIOD_OVERRIDE=FQ","FILING_STATUS=MR","SCALING_FORMAT=MLN","Sort=A","Dates=H","DateFormat=P","Fill=—","Direction=H","UseDPDF=Y")</f>
        <v>244</v>
      </c>
      <c r="AF11" s="12" cm="1">
        <f t="array" ref="AF11">_xll.BDH("CAT US Equity","OTHER_NON_CASH_ADJ_LESS_DETAILED","FQ4 2025","FQ4 2025","Currency=USD","Period=FQ","BEST_FPERIOD_OVERRIDE=FQ","FILING_STATUS=MR","SCALING_FORMAT=MLN","Sort=A","Dates=H","DateFormat=P","Fill=—","Direction=H","UseDPDF=Y")</f>
        <v>-9</v>
      </c>
    </row>
    <row r="12" spans="1:32" x14ac:dyDescent="0.25">
      <c r="A12" s="10" t="s">
        <v>76</v>
      </c>
      <c r="B12" s="10" t="s">
        <v>77</v>
      </c>
      <c r="C12" s="12" cm="1">
        <f t="array" ref="C12">_xll.BDH("CAT US Equity","CF_CHNG_NON_CASH_WORK_CAP","FQ3 2018","FQ3 2018","Currency=USD","Period=FQ","BEST_FPERIOD_OVERRIDE=FQ","FILING_STATUS=MR","SCALING_FORMAT=MLN","Sort=A","Dates=H","DateFormat=P","Fill=—","Direction=H","UseDPDF=Y")</f>
        <v>-223</v>
      </c>
      <c r="D12" s="12" cm="1">
        <f t="array" ref="D12">_xll.BDH("CAT US Equity","CF_CHNG_NON_CASH_WORK_CAP","FQ4 2018","FQ4 2018","Currency=USD","Period=FQ","BEST_FPERIOD_OVERRIDE=FQ","FILING_STATUS=MR","SCALING_FORMAT=MLN","Sort=A","Dates=H","DateFormat=P","Fill=—","Direction=H","UseDPDF=Y")</f>
        <v>-291</v>
      </c>
      <c r="E12" s="12" cm="1">
        <f t="array" ref="E12">_xll.BDH("CAT US Equity","CF_CHNG_NON_CASH_WORK_CAP","FQ1 2019","FQ1 2019","Currency=USD","Period=FQ","BEST_FPERIOD_OVERRIDE=FQ","FILING_STATUS=MR","SCALING_FORMAT=MLN","Sort=A","Dates=H","DateFormat=P","Fill=—","Direction=H","UseDPDF=Y")</f>
        <v>-1553</v>
      </c>
      <c r="F12" s="12" cm="1">
        <f t="array" ref="F12">_xll.BDH("CAT US Equity","CF_CHNG_NON_CASH_WORK_CAP","FQ2 2019","FQ2 2019","Currency=USD","Period=FQ","BEST_FPERIOD_OVERRIDE=FQ","FILING_STATUS=MR","SCALING_FORMAT=MLN","Sort=A","Dates=H","DateFormat=P","Fill=—","Direction=H","UseDPDF=Y")</f>
        <v>220</v>
      </c>
      <c r="G12" s="12" cm="1">
        <f t="array" ref="G12">_xll.BDH("CAT US Equity","CF_CHNG_NON_CASH_WORK_CAP","FQ3 2019","FQ3 2019","Currency=USD","Period=FQ","BEST_FPERIOD_OVERRIDE=FQ","FILING_STATUS=MR","SCALING_FORMAT=MLN","Sort=A","Dates=H","DateFormat=P","Fill=—","Direction=H","UseDPDF=Y")</f>
        <v>-160</v>
      </c>
      <c r="H12" s="12" cm="1">
        <f t="array" ref="H12">_xll.BDH("CAT US Equity","CF_CHNG_NON_CASH_WORK_CAP","FQ4 2019","FQ4 2019","Currency=USD","Period=FQ","BEST_FPERIOD_OVERRIDE=FQ","FILING_STATUS=MR","SCALING_FORMAT=MLN","Sort=A","Dates=H","DateFormat=P","Fill=—","Direction=H","UseDPDF=Y")</f>
        <v>318</v>
      </c>
      <c r="I12" s="12" cm="1">
        <f t="array" ref="I12">_xll.BDH("CAT US Equity","CF_CHNG_NON_CASH_WORK_CAP","FQ1 2020","FQ1 2020","Currency=USD","Period=FQ","BEST_FPERIOD_OVERRIDE=FQ","FILING_STATUS=MR","SCALING_FORMAT=MLN","Sort=A","Dates=H","DateFormat=P","Fill=—","Direction=H","UseDPDF=Y")</f>
        <v>-654</v>
      </c>
      <c r="J12" s="12" cm="1">
        <f t="array" ref="J12">_xll.BDH("CAT US Equity","CF_CHNG_NON_CASH_WORK_CAP","FQ2 2020","FQ2 2020","Currency=USD","Period=FQ","BEST_FPERIOD_OVERRIDE=FQ","FILING_STATUS=MR","SCALING_FORMAT=MLN","Sort=A","Dates=H","DateFormat=P","Fill=—","Direction=H","UseDPDF=Y")</f>
        <v>127</v>
      </c>
      <c r="K12" s="12" cm="1">
        <f t="array" ref="K12">_xll.BDH("CAT US Equity","CF_CHNG_NON_CASH_WORK_CAP","FQ3 2020","FQ3 2020","Currency=USD","Period=FQ","BEST_FPERIOD_OVERRIDE=FQ","FILING_STATUS=MR","SCALING_FORMAT=MLN","Sort=A","Dates=H","DateFormat=P","Fill=—","Direction=H","UseDPDF=Y")</f>
        <v>445</v>
      </c>
      <c r="L12" s="12" cm="1">
        <f t="array" ref="L12">_xll.BDH("CAT US Equity","CF_CHNG_NON_CASH_WORK_CAP","FQ4 2020","FQ4 2020","Currency=USD","Period=FQ","BEST_FPERIOD_OVERRIDE=FQ","FILING_STATUS=MR","SCALING_FORMAT=MLN","Sort=A","Dates=H","DateFormat=P","Fill=—","Direction=H","UseDPDF=Y")</f>
        <v>552</v>
      </c>
      <c r="M12" s="12" cm="1">
        <f t="array" ref="M12">_xll.BDH("CAT US Equity","CF_CHNG_NON_CASH_WORK_CAP","FQ1 2021","FQ1 2021","Currency=USD","Period=FQ","BEST_FPERIOD_OVERRIDE=FQ","FILING_STATUS=MR","SCALING_FORMAT=MLN","Sort=A","Dates=H","DateFormat=P","Fill=—","Direction=H","UseDPDF=Y")</f>
        <v>-134</v>
      </c>
      <c r="N12" s="12" cm="1">
        <f t="array" ref="N12">_xll.BDH("CAT US Equity","CF_CHNG_NON_CASH_WORK_CAP","FQ2 2021","FQ2 2021","Currency=USD","Period=FQ","BEST_FPERIOD_OVERRIDE=FQ","FILING_STATUS=MR","SCALING_FORMAT=MLN","Sort=A","Dates=H","DateFormat=P","Fill=—","Direction=H","UseDPDF=Y")</f>
        <v>194</v>
      </c>
      <c r="O12" s="12" cm="1">
        <f t="array" ref="O12">_xll.BDH("CAT US Equity","CF_CHNG_NON_CASH_WORK_CAP","FQ3 2021","FQ3 2021","Currency=USD","Period=FQ","BEST_FPERIOD_OVERRIDE=FQ","FILING_STATUS=MR","SCALING_FORMAT=MLN","Sort=A","Dates=H","DateFormat=P","Fill=—","Direction=H","UseDPDF=Y")</f>
        <v>-330</v>
      </c>
      <c r="P12" s="12" cm="1">
        <f t="array" ref="P12">_xll.BDH("CAT US Equity","CF_CHNG_NON_CASH_WORK_CAP","FQ4 2021","FQ4 2021","Currency=USD","Period=FQ","BEST_FPERIOD_OVERRIDE=FQ","FILING_STATUS=MR","SCALING_FORMAT=MLN","Sort=A","Dates=H","DateFormat=P","Fill=—","Direction=H","UseDPDF=Y")</f>
        <v>-197</v>
      </c>
      <c r="Q12" s="12" cm="1">
        <f t="array" ref="Q12">_xll.BDH("CAT US Equity","CF_CHNG_NON_CASH_WORK_CAP","FQ1 2022","FQ1 2022","Currency=USD","Period=FQ","BEST_FPERIOD_OVERRIDE=FQ","FILING_STATUS=MR","SCALING_FORMAT=MLN","Sort=A","Dates=H","DateFormat=P","Fill=—","Direction=H","UseDPDF=Y")</f>
        <v>-1680</v>
      </c>
      <c r="R12" s="12" cm="1">
        <f t="array" ref="R12">_xll.BDH("CAT US Equity","CF_CHNG_NON_CASH_WORK_CAP","FQ2 2022","FQ2 2022","Currency=USD","Period=FQ","BEST_FPERIOD_OVERRIDE=FQ","FILING_STATUS=MR","SCALING_FORMAT=MLN","Sort=A","Dates=H","DateFormat=P","Fill=—","Direction=H","UseDPDF=Y")</f>
        <v>376</v>
      </c>
      <c r="S12" s="12" cm="1">
        <f t="array" ref="S12">_xll.BDH("CAT US Equity","CF_CHNG_NON_CASH_WORK_CAP","FQ3 2022","FQ3 2022","Currency=USD","Period=FQ","BEST_FPERIOD_OVERRIDE=FQ","FILING_STATUS=MR","SCALING_FORMAT=MLN","Sort=A","Dates=H","DateFormat=P","Fill=—","Direction=H","UseDPDF=Y")</f>
        <v>203</v>
      </c>
      <c r="T12" s="12" cm="1">
        <f t="array" ref="T12">_xll.BDH("CAT US Equity","CF_CHNG_NON_CASH_WORK_CAP","FQ4 2022","FQ4 2022","Currency=USD","Period=FQ","BEST_FPERIOD_OVERRIDE=FQ","FILING_STATUS=MR","SCALING_FORMAT=MLN","Sort=A","Dates=H","DateFormat=P","Fill=—","Direction=H","UseDPDF=Y")</f>
        <v>265</v>
      </c>
      <c r="U12" s="12" cm="1">
        <f t="array" ref="U12">_xll.BDH("CAT US Equity","CF_CHNG_NON_CASH_WORK_CAP","FQ1 2023","FQ1 2023","Currency=USD","Period=FQ","BEST_FPERIOD_OVERRIDE=FQ","FILING_STATUS=MR","SCALING_FORMAT=MLN","Sort=A","Dates=H","DateFormat=P","Fill=—","Direction=H","UseDPDF=Y")</f>
        <v>-1802</v>
      </c>
      <c r="V12" s="12" cm="1">
        <f t="array" ref="V12">_xll.BDH("CAT US Equity","CF_CHNG_NON_CASH_WORK_CAP","FQ2 2023","FQ2 2023","Currency=USD","Period=FQ","BEST_FPERIOD_OVERRIDE=FQ","FILING_STATUS=MR","SCALING_FORMAT=MLN","Sort=A","Dates=H","DateFormat=P","Fill=—","Direction=H","UseDPDF=Y")</f>
        <v>-86</v>
      </c>
      <c r="W12" s="12" cm="1">
        <f t="array" ref="W12">_xll.BDH("CAT US Equity","CF_CHNG_NON_CASH_WORK_CAP","FQ3 2023","FQ3 2023","Currency=USD","Period=FQ","BEST_FPERIOD_OVERRIDE=FQ","FILING_STATUS=MR","SCALING_FORMAT=MLN","Sort=A","Dates=H","DateFormat=P","Fill=—","Direction=H","UseDPDF=Y")</f>
        <v>717</v>
      </c>
      <c r="X12" s="12" cm="1">
        <f t="array" ref="X12">_xll.BDH("CAT US Equity","CF_CHNG_NON_CASH_WORK_CAP","FQ4 2023","FQ4 2023","Currency=USD","Period=FQ","BEST_FPERIOD_OVERRIDE=FQ","FILING_STATUS=MR","SCALING_FORMAT=MLN","Sort=A","Dates=H","DateFormat=P","Fill=—","Direction=H","UseDPDF=Y")</f>
        <v>978</v>
      </c>
      <c r="Y12" s="12" cm="1">
        <f t="array" ref="Y12">_xll.BDH("CAT US Equity","CF_CHNG_NON_CASH_WORK_CAP","FQ1 2024","FQ1 2024","Currency=USD","Period=FQ","BEST_FPERIOD_OVERRIDE=FQ","FILING_STATUS=MR","SCALING_FORMAT=MLN","Sort=A","Dates=H","DateFormat=P","Fill=—","Direction=H","UseDPDF=Y")</f>
        <v>-1530</v>
      </c>
      <c r="Z12" s="12" cm="1">
        <f t="array" ref="Z12">_xll.BDH("CAT US Equity","CF_CHNG_NON_CASH_WORK_CAP","FQ2 2024","FQ2 2024","Currency=USD","Period=FQ","BEST_FPERIOD_OVERRIDE=FQ","FILING_STATUS=MR","SCALING_FORMAT=MLN","Sort=A","Dates=H","DateFormat=P","Fill=—","Direction=H","UseDPDF=Y")</f>
        <v>-25</v>
      </c>
      <c r="AA12" s="12" cm="1">
        <f t="array" ref="AA12">_xll.BDH("CAT US Equity","CF_CHNG_NON_CASH_WORK_CAP","FQ3 2024","FQ3 2024","Currency=USD","Period=FQ","BEST_FPERIOD_OVERRIDE=FQ","FILING_STATUS=MR","SCALING_FORMAT=MLN","Sort=A","Dates=H","DateFormat=P","Fill=—","Direction=H","UseDPDF=Y")</f>
        <v>462</v>
      </c>
      <c r="AB12" s="12" cm="1">
        <f t="array" ref="AB12">_xll.BDH("CAT US Equity","CF_CHNG_NON_CASH_WORK_CAP","FQ4 2024","FQ4 2024","Currency=USD","Period=FQ","BEST_FPERIOD_OVERRIDE=FQ","FILING_STATUS=MR","SCALING_FORMAT=MLN","Sort=A","Dates=H","DateFormat=P","Fill=—","Direction=H","UseDPDF=Y")</f>
        <v>435</v>
      </c>
      <c r="AC12" s="12" cm="1">
        <f t="array" ref="AC12">_xll.BDH("CAT US Equity","CF_CHNG_NON_CASH_WORK_CAP","FQ1 2025","FQ1 2025","Currency=USD","Period=FQ","BEST_FPERIOD_OVERRIDE=FQ","FILING_STATUS=MR","SCALING_FORMAT=MLN","Sort=A","Dates=H","DateFormat=P","Fill=—","Direction=H","UseDPDF=Y")</f>
        <v>-1063</v>
      </c>
      <c r="AD12" s="12" cm="1">
        <f t="array" ref="AD12">_xll.BDH("CAT US Equity","CF_CHNG_NON_CASH_WORK_CAP","FQ2 2025","FQ2 2025","Currency=USD","Period=FQ","BEST_FPERIOD_OVERRIDE=FQ","FILING_STATUS=MR","SCALING_FORMAT=MLN","Sort=A","Dates=H","DateFormat=P","Fill=—","Direction=H","UseDPDF=Y")</f>
        <v>537</v>
      </c>
      <c r="AE12" s="12" cm="1">
        <f t="array" ref="AE12">_xll.BDH("CAT US Equity","CF_CHNG_NON_CASH_WORK_CAP","FQ3 2025","FQ3 2025","Currency=USD","Period=FQ","BEST_FPERIOD_OVERRIDE=FQ","FILING_STATUS=MR","SCALING_FORMAT=MLN","Sort=A","Dates=H","DateFormat=P","Fill=—","Direction=H","UseDPDF=Y")</f>
        <v>213</v>
      </c>
      <c r="AF12" s="12" cm="1">
        <f t="array" ref="AF12">_xll.BDH("CAT US Equity","CF_CHNG_NON_CASH_WORK_CAP","FQ4 2025","FQ4 2025","Currency=USD","Period=FQ","BEST_FPERIOD_OVERRIDE=FQ","FILING_STATUS=MR","SCALING_FORMAT=MLN","Sort=A","Dates=H","DateFormat=P","Fill=—","Direction=H","UseDPDF=Y")</f>
        <v>435</v>
      </c>
    </row>
    <row r="13" spans="1:32" x14ac:dyDescent="0.25">
      <c r="A13" s="10" t="s">
        <v>78</v>
      </c>
      <c r="B13" s="10" t="s">
        <v>79</v>
      </c>
      <c r="C13" s="12" cm="1">
        <f t="array" ref="C13">_xll.BDH("CAT US Equity","CF_ACCT_RCV_UNBILLED_REV","FQ3 2018","FQ3 2018","Currency=USD","Period=FQ","BEST_FPERIOD_OVERRIDE=FQ","FILING_STATUS=MR","SCALING_FORMAT=MLN","Sort=A","Dates=H","DateFormat=P","Fill=—","Direction=H","UseDPDF=Y")</f>
        <v>-22</v>
      </c>
      <c r="D13" s="12" cm="1">
        <f t="array" ref="D13">_xll.BDH("CAT US Equity","CF_ACCT_RCV_UNBILLED_REV","FQ4 2018","FQ4 2018","Currency=USD","Period=FQ","BEST_FPERIOD_OVERRIDE=FQ","FILING_STATUS=MR","SCALING_FORMAT=MLN","Sort=A","Dates=H","DateFormat=P","Fill=—","Direction=H","UseDPDF=Y")</f>
        <v>-894</v>
      </c>
      <c r="E13" s="12" cm="1">
        <f t="array" ref="E13">_xll.BDH("CAT US Equity","CF_ACCT_RCV_UNBILLED_REV","FQ1 2019","FQ1 2019","Currency=USD","Period=FQ","BEST_FPERIOD_OVERRIDE=FQ","FILING_STATUS=MR","SCALING_FORMAT=MLN","Sort=A","Dates=H","DateFormat=P","Fill=—","Direction=H","UseDPDF=Y")</f>
        <v>-150</v>
      </c>
      <c r="F13" s="12" cm="1">
        <f t="array" ref="F13">_xll.BDH("CAT US Equity","CF_ACCT_RCV_UNBILLED_REV","FQ2 2019","FQ2 2019","Currency=USD","Period=FQ","BEST_FPERIOD_OVERRIDE=FQ","FILING_STATUS=MR","SCALING_FORMAT=MLN","Sort=A","Dates=H","DateFormat=P","Fill=—","Direction=H","UseDPDF=Y")</f>
        <v>-16</v>
      </c>
      <c r="G13" s="12" cm="1">
        <f t="array" ref="G13">_xll.BDH("CAT US Equity","CF_ACCT_RCV_UNBILLED_REV","FQ3 2019","FQ3 2019","Currency=USD","Period=FQ","BEST_FPERIOD_OVERRIDE=FQ","FILING_STATUS=MR","SCALING_FORMAT=MLN","Sort=A","Dates=H","DateFormat=P","Fill=—","Direction=H","UseDPDF=Y")</f>
        <v>593</v>
      </c>
      <c r="H13" s="12" cm="1">
        <f t="array" ref="H13">_xll.BDH("CAT US Equity","CF_ACCT_RCV_UNBILLED_REV","FQ4 2019","FQ4 2019","Currency=USD","Period=FQ","BEST_FPERIOD_OVERRIDE=FQ","FILING_STATUS=MR","SCALING_FORMAT=MLN","Sort=A","Dates=H","DateFormat=P","Fill=—","Direction=H","UseDPDF=Y")</f>
        <v>-256</v>
      </c>
      <c r="I13" s="12" cm="1">
        <f t="array" ref="I13">_xll.BDH("CAT US Equity","CF_ACCT_RCV_UNBILLED_REV","FQ1 2020","FQ1 2020","Currency=USD","Period=FQ","BEST_FPERIOD_OVERRIDE=FQ","FILING_STATUS=MR","SCALING_FORMAT=MLN","Sort=A","Dates=H","DateFormat=P","Fill=—","Direction=H","UseDPDF=Y")</f>
        <v>500</v>
      </c>
      <c r="J13" s="12" cm="1">
        <f t="array" ref="J13">_xll.BDH("CAT US Equity","CF_ACCT_RCV_UNBILLED_REV","FQ2 2020","FQ2 2020","Currency=USD","Period=FQ","BEST_FPERIOD_OVERRIDE=FQ","FILING_STATUS=MR","SCALING_FORMAT=MLN","Sort=A","Dates=H","DateFormat=P","Fill=—","Direction=H","UseDPDF=Y")</f>
        <v>676</v>
      </c>
      <c r="K13" s="12" cm="1">
        <f t="array" ref="K13">_xll.BDH("CAT US Equity","CF_ACCT_RCV_UNBILLED_REV","FQ3 2020","FQ3 2020","Currency=USD","Period=FQ","BEST_FPERIOD_OVERRIDE=FQ","FILING_STATUS=MR","SCALING_FORMAT=MLN","Sort=A","Dates=H","DateFormat=P","Fill=—","Direction=H","UseDPDF=Y")</f>
        <v>297</v>
      </c>
      <c r="L13" s="12" cm="1">
        <f t="array" ref="L13">_xll.BDH("CAT US Equity","CF_ACCT_RCV_UNBILLED_REV","FQ4 2020","FQ4 2020","Currency=USD","Period=FQ","BEST_FPERIOD_OVERRIDE=FQ","FILING_STATUS=MR","SCALING_FORMAT=MLN","Sort=A","Dates=H","DateFormat=P","Fill=—","Direction=H","UseDPDF=Y")</f>
        <v>-31</v>
      </c>
      <c r="M13" s="12" cm="1">
        <f t="array" ref="M13">_xll.BDH("CAT US Equity","CF_ACCT_RCV_UNBILLED_REV","FQ1 2021","FQ1 2021","Currency=USD","Period=FQ","BEST_FPERIOD_OVERRIDE=FQ","FILING_STATUS=MR","SCALING_FORMAT=MLN","Sort=A","Dates=H","DateFormat=P","Fill=—","Direction=H","UseDPDF=Y")</f>
        <v>-543</v>
      </c>
      <c r="N13" s="12" cm="1">
        <f t="array" ref="N13">_xll.BDH("CAT US Equity","CF_ACCT_RCV_UNBILLED_REV","FQ2 2021","FQ2 2021","Currency=USD","Period=FQ","BEST_FPERIOD_OVERRIDE=FQ","FILING_STATUS=MR","SCALING_FORMAT=MLN","Sort=A","Dates=H","DateFormat=P","Fill=—","Direction=H","UseDPDF=Y")</f>
        <v>200</v>
      </c>
      <c r="O13" s="12" cm="1">
        <f t="array" ref="O13">_xll.BDH("CAT US Equity","CF_ACCT_RCV_UNBILLED_REV","FQ3 2021","FQ3 2021","Currency=USD","Period=FQ","BEST_FPERIOD_OVERRIDE=FQ","FILING_STATUS=MR","SCALING_FORMAT=MLN","Sort=A","Dates=H","DateFormat=P","Fill=—","Direction=H","UseDPDF=Y")</f>
        <v>17</v>
      </c>
      <c r="P13" s="12" cm="1">
        <f t="array" ref="P13">_xll.BDH("CAT US Equity","CF_ACCT_RCV_UNBILLED_REV","FQ4 2021","FQ4 2021","Currency=USD","Period=FQ","BEST_FPERIOD_OVERRIDE=FQ","FILING_STATUS=MR","SCALING_FORMAT=MLN","Sort=A","Dates=H","DateFormat=P","Fill=—","Direction=H","UseDPDF=Y")</f>
        <v>-933</v>
      </c>
      <c r="Q13" s="12" cm="1">
        <f t="array" ref="Q13">_xll.BDH("CAT US Equity","CF_ACCT_RCV_UNBILLED_REV","FQ1 2022","FQ1 2022","Currency=USD","Period=FQ","BEST_FPERIOD_OVERRIDE=FQ","FILING_STATUS=MR","SCALING_FORMAT=MLN","Sort=A","Dates=H","DateFormat=P","Fill=—","Direction=H","UseDPDF=Y")</f>
        <v>-372</v>
      </c>
      <c r="R13" s="12" cm="1">
        <f t="array" ref="R13">_xll.BDH("CAT US Equity","CF_ACCT_RCV_UNBILLED_REV","FQ2 2022","FQ2 2022","Currency=USD","Period=FQ","BEST_FPERIOD_OVERRIDE=FQ","FILING_STATUS=MR","SCALING_FORMAT=MLN","Sort=A","Dates=H","DateFormat=P","Fill=—","Direction=H","UseDPDF=Y")</f>
        <v>655</v>
      </c>
      <c r="S13" s="12" cm="1">
        <f t="array" ref="S13">_xll.BDH("CAT US Equity","CF_ACCT_RCV_UNBILLED_REV","FQ3 2022","FQ3 2022","Currency=USD","Period=FQ","BEST_FPERIOD_OVERRIDE=FQ","FILING_STATUS=MR","SCALING_FORMAT=MLN","Sort=A","Dates=H","DateFormat=P","Fill=—","Direction=H","UseDPDF=Y")</f>
        <v>82</v>
      </c>
      <c r="T13" s="12" cm="1">
        <f t="array" ref="T13">_xll.BDH("CAT US Equity","CF_ACCT_RCV_UNBILLED_REV","FQ4 2022","FQ4 2022","Currency=USD","Period=FQ","BEST_FPERIOD_OVERRIDE=FQ","FILING_STATUS=MR","SCALING_FORMAT=MLN","Sort=A","Dates=H","DateFormat=P","Fill=—","Direction=H","UseDPDF=Y")</f>
        <v>-585</v>
      </c>
      <c r="U13" s="12" cm="1">
        <f t="array" ref="U13">_xll.BDH("CAT US Equity","CF_ACCT_RCV_UNBILLED_REV","FQ1 2023","FQ1 2023","Currency=USD","Period=FQ","BEST_FPERIOD_OVERRIDE=FQ","FILING_STATUS=MR","SCALING_FORMAT=MLN","Sort=A","Dates=H","DateFormat=P","Fill=—","Direction=H","UseDPDF=Y")</f>
        <v>-329</v>
      </c>
      <c r="V13" s="12" cm="1">
        <f t="array" ref="V13">_xll.BDH("CAT US Equity","CF_ACCT_RCV_UNBILLED_REV","FQ2 2023","FQ2 2023","Currency=USD","Period=FQ","BEST_FPERIOD_OVERRIDE=FQ","FILING_STATUS=MR","SCALING_FORMAT=MLN","Sort=A","Dates=H","DateFormat=P","Fill=—","Direction=H","UseDPDF=Y")</f>
        <v>-136</v>
      </c>
      <c r="W13" s="12" cm="1">
        <f t="array" ref="W13">_xll.BDH("CAT US Equity","CF_ACCT_RCV_UNBILLED_REV","FQ3 2023","FQ3 2023","Currency=USD","Period=FQ","BEST_FPERIOD_OVERRIDE=FQ","FILING_STATUS=MR","SCALING_FORMAT=MLN","Sort=A","Dates=H","DateFormat=P","Fill=—","Direction=H","UseDPDF=Y")</f>
        <v>146</v>
      </c>
      <c r="X13" s="12" cm="1">
        <f t="array" ref="X13">_xll.BDH("CAT US Equity","CF_ACCT_RCV_UNBILLED_REV","FQ4 2023","FQ4 2023","Currency=USD","Period=FQ","BEST_FPERIOD_OVERRIDE=FQ","FILING_STATUS=MR","SCALING_FORMAT=MLN","Sort=A","Dates=H","DateFormat=P","Fill=—","Direction=H","UseDPDF=Y")</f>
        <v>-118</v>
      </c>
      <c r="Y13" s="12" cm="1">
        <f t="array" ref="Y13">_xll.BDH("CAT US Equity","CF_ACCT_RCV_UNBILLED_REV","FQ1 2024","FQ1 2024","Currency=USD","Period=FQ","BEST_FPERIOD_OVERRIDE=FQ","FILING_STATUS=MR","SCALING_FORMAT=MLN","Sort=A","Dates=H","DateFormat=P","Fill=—","Direction=H","UseDPDF=Y")</f>
        <v>-81</v>
      </c>
      <c r="Z13" s="12" cm="1">
        <f t="array" ref="Z13">_xll.BDH("CAT US Equity","CF_ACCT_RCV_UNBILLED_REV","FQ2 2024","FQ2 2024","Currency=USD","Period=FQ","BEST_FPERIOD_OVERRIDE=FQ","FILING_STATUS=MR","SCALING_FORMAT=MLN","Sort=A","Dates=H","DateFormat=P","Fill=—","Direction=H","UseDPDF=Y")</f>
        <v>-164</v>
      </c>
      <c r="AA13" s="12" cm="1">
        <f t="array" ref="AA13">_xll.BDH("CAT US Equity","CF_ACCT_RCV_UNBILLED_REV","FQ3 2024","FQ3 2024","Currency=USD","Period=FQ","BEST_FPERIOD_OVERRIDE=FQ","FILING_STATUS=MR","SCALING_FORMAT=MLN","Sort=A","Dates=H","DateFormat=P","Fill=—","Direction=H","UseDPDF=Y")</f>
        <v>215</v>
      </c>
      <c r="AB13" s="12" cm="1">
        <f t="array" ref="AB13">_xll.BDH("CAT US Equity","CF_ACCT_RCV_UNBILLED_REV","FQ4 2024","FQ4 2024","Currency=USD","Period=FQ","BEST_FPERIOD_OVERRIDE=FQ","FILING_STATUS=MR","SCALING_FORMAT=MLN","Sort=A","Dates=H","DateFormat=P","Fill=—","Direction=H","UseDPDF=Y")</f>
        <v>-130</v>
      </c>
      <c r="AC13" s="12" cm="1">
        <f t="array" ref="AC13">_xll.BDH("CAT US Equity","CF_ACCT_RCV_UNBILLED_REV","FQ1 2025","FQ1 2025","Currency=USD","Period=FQ","BEST_FPERIOD_OVERRIDE=FQ","FILING_STATUS=MR","SCALING_FORMAT=MLN","Sort=A","Dates=H","DateFormat=P","Fill=—","Direction=H","UseDPDF=Y")</f>
        <v>155</v>
      </c>
      <c r="AD13" s="12" cm="1">
        <f t="array" ref="AD13">_xll.BDH("CAT US Equity","CF_ACCT_RCV_UNBILLED_REV","FQ2 2025","FQ2 2025","Currency=USD","Period=FQ","BEST_FPERIOD_OVERRIDE=FQ","FILING_STATUS=MR","SCALING_FORMAT=MLN","Sort=A","Dates=H","DateFormat=P","Fill=—","Direction=H","UseDPDF=Y")</f>
        <v>-474</v>
      </c>
      <c r="AE13" s="12" cm="1">
        <f t="array" ref="AE13">_xll.BDH("CAT US Equity","CF_ACCT_RCV_UNBILLED_REV","FQ3 2025","FQ3 2025","Currency=USD","Period=FQ","BEST_FPERIOD_OVERRIDE=FQ","FILING_STATUS=MR","SCALING_FORMAT=MLN","Sort=A","Dates=H","DateFormat=P","Fill=—","Direction=H","UseDPDF=Y")</f>
        <v>-469</v>
      </c>
      <c r="AF13" s="12" cm="1">
        <f t="array" ref="AF13">_xll.BDH("CAT US Equity","CF_ACCT_RCV_UNBILLED_REV","FQ4 2025","FQ4 2025","Currency=USD","Period=FQ","BEST_FPERIOD_OVERRIDE=FQ","FILING_STATUS=MR","SCALING_FORMAT=MLN","Sort=A","Dates=H","DateFormat=P","Fill=—","Direction=H","UseDPDF=Y")</f>
        <v>-1350</v>
      </c>
    </row>
    <row r="14" spans="1:32" x14ac:dyDescent="0.25">
      <c r="A14" s="10" t="s">
        <v>80</v>
      </c>
      <c r="B14" s="10" t="s">
        <v>81</v>
      </c>
      <c r="C14" s="12" cm="1">
        <f t="array" ref="C14">_xll.BDH("CAT US Equity","CF_CHANGE_IN_INVENTORIES","FQ3 2018","FQ3 2018","Currency=USD","Period=FQ","BEST_FPERIOD_OVERRIDE=FQ","FILING_STATUS=MR","SCALING_FORMAT=MLN","Sort=A","Dates=H","DateFormat=P","Fill=—","Direction=H","UseDPDF=Y")</f>
        <v>-614</v>
      </c>
      <c r="D14" s="12" cm="1">
        <f t="array" ref="D14">_xll.BDH("CAT US Equity","CF_CHANGE_IN_INVENTORIES","FQ4 2018","FQ4 2018","Currency=USD","Period=FQ","BEST_FPERIOD_OVERRIDE=FQ","FILING_STATUS=MR","SCALING_FORMAT=MLN","Sort=A","Dates=H","DateFormat=P","Fill=—","Direction=H","UseDPDF=Y")</f>
        <v>243</v>
      </c>
      <c r="E14" s="12" cm="1">
        <f t="array" ref="E14">_xll.BDH("CAT US Equity","CF_CHANGE_IN_INVENTORIES","FQ1 2019","FQ1 2019","Currency=USD","Period=FQ","BEST_FPERIOD_OVERRIDE=FQ","FILING_STATUS=MR","SCALING_FORMAT=MLN","Sort=A","Dates=H","DateFormat=P","Fill=—","Direction=H","UseDPDF=Y")</f>
        <v>-813</v>
      </c>
      <c r="F14" s="12" cm="1">
        <f t="array" ref="F14">_xll.BDH("CAT US Equity","CF_CHANGE_IN_INVENTORIES","FQ2 2019","FQ2 2019","Currency=USD","Period=FQ","BEST_FPERIOD_OVERRIDE=FQ","FILING_STATUS=MR","SCALING_FORMAT=MLN","Sort=A","Dates=H","DateFormat=P","Fill=—","Direction=H","UseDPDF=Y")</f>
        <v>326</v>
      </c>
      <c r="G14" s="12" cm="1">
        <f t="array" ref="G14">_xll.BDH("CAT US Equity","CF_CHANGE_IN_INVENTORIES","FQ3 2019","FQ3 2019","Currency=USD","Period=FQ","BEST_FPERIOD_OVERRIDE=FQ","FILING_STATUS=MR","SCALING_FORMAT=MLN","Sort=A","Dates=H","DateFormat=P","Fill=—","Direction=H","UseDPDF=Y")</f>
        <v>-189</v>
      </c>
      <c r="H14" s="12" cm="1">
        <f t="array" ref="H14">_xll.BDH("CAT US Equity","CF_CHANGE_IN_INVENTORIES","FQ4 2019","FQ4 2019","Currency=USD","Period=FQ","BEST_FPERIOD_OVERRIDE=FQ","FILING_STATUS=MR","SCALING_FORMAT=MLN","Sort=A","Dates=H","DateFormat=P","Fill=—","Direction=H","UseDPDF=Y")</f>
        <v>950</v>
      </c>
      <c r="I14" s="12" cm="1">
        <f t="array" ref="I14">_xll.BDH("CAT US Equity","CF_CHANGE_IN_INVENTORIES","FQ1 2020","FQ1 2020","Currency=USD","Period=FQ","BEST_FPERIOD_OVERRIDE=FQ","FILING_STATUS=MR","SCALING_FORMAT=MLN","Sort=A","Dates=H","DateFormat=P","Fill=—","Direction=H","UseDPDF=Y")</f>
        <v>-541</v>
      </c>
      <c r="J14" s="12" cm="1">
        <f t="array" ref="J14">_xll.BDH("CAT US Equity","CF_CHANGE_IN_INVENTORIES","FQ2 2020","FQ2 2020","Currency=USD","Period=FQ","BEST_FPERIOD_OVERRIDE=FQ","FILING_STATUS=MR","SCALING_FORMAT=MLN","Sort=A","Dates=H","DateFormat=P","Fill=—","Direction=H","UseDPDF=Y")</f>
        <v>396</v>
      </c>
      <c r="K14" s="12" cm="1">
        <f t="array" ref="K14">_xll.BDH("CAT US Equity","CF_CHANGE_IN_INVENTORIES","FQ3 2020","FQ3 2020","Currency=USD","Period=FQ","BEST_FPERIOD_OVERRIDE=FQ","FILING_STATUS=MR","SCALING_FORMAT=MLN","Sort=A","Dates=H","DateFormat=P","Fill=—","Direction=H","UseDPDF=Y")</f>
        <v>6</v>
      </c>
      <c r="L14" s="12" cm="1">
        <f t="array" ref="L14">_xll.BDH("CAT US Equity","CF_CHANGE_IN_INVENTORIES","FQ4 2020","FQ4 2020","Currency=USD","Period=FQ","BEST_FPERIOD_OVERRIDE=FQ","FILING_STATUS=MR","SCALING_FORMAT=MLN","Sort=A","Dates=H","DateFormat=P","Fill=—","Direction=H","UseDPDF=Y")</f>
        <v>105</v>
      </c>
      <c r="M14" s="12" cm="1">
        <f t="array" ref="M14">_xll.BDH("CAT US Equity","CF_CHANGE_IN_INVENTORIES","FQ1 2021","FQ1 2021","Currency=USD","Period=FQ","BEST_FPERIOD_OVERRIDE=FQ","FILING_STATUS=MR","SCALING_FORMAT=MLN","Sort=A","Dates=H","DateFormat=P","Fill=—","Direction=H","UseDPDF=Y")</f>
        <v>-657</v>
      </c>
      <c r="N14" s="12" cm="1">
        <f t="array" ref="N14">_xll.BDH("CAT US Equity","CF_CHANGE_IN_INVENTORIES","FQ2 2021","FQ2 2021","Currency=USD","Period=FQ","BEST_FPERIOD_OVERRIDE=FQ","FILING_STATUS=MR","SCALING_FORMAT=MLN","Sort=A","Dates=H","DateFormat=P","Fill=—","Direction=H","UseDPDF=Y")</f>
        <v>-522</v>
      </c>
      <c r="O14" s="12" cm="1">
        <f t="array" ref="O14">_xll.BDH("CAT US Equity","CF_CHANGE_IN_INVENTORIES","FQ3 2021","FQ3 2021","Currency=USD","Period=FQ","BEST_FPERIOD_OVERRIDE=FQ","FILING_STATUS=MR","SCALING_FORMAT=MLN","Sort=A","Dates=H","DateFormat=P","Fill=—","Direction=H","UseDPDF=Y")</f>
        <v>-1016</v>
      </c>
      <c r="P14" s="12" cm="1">
        <f t="array" ref="P14">_xll.BDH("CAT US Equity","CF_CHANGE_IN_INVENTORIES","FQ4 2021","FQ4 2021","Currency=USD","Period=FQ","BEST_FPERIOD_OVERRIDE=FQ","FILING_STATUS=MR","SCALING_FORMAT=MLN","Sort=A","Dates=H","DateFormat=P","Fill=—","Direction=H","UseDPDF=Y")</f>
        <v>-391</v>
      </c>
      <c r="Q14" s="12" cm="1">
        <f t="array" ref="Q14">_xll.BDH("CAT US Equity","CF_CHANGE_IN_INVENTORIES","FQ1 2022","FQ1 2022","Currency=USD","Period=FQ","BEST_FPERIOD_OVERRIDE=FQ","FILING_STATUS=MR","SCALING_FORMAT=MLN","Sort=A","Dates=H","DateFormat=P","Fill=—","Direction=H","UseDPDF=Y")</f>
        <v>-1032</v>
      </c>
      <c r="R14" s="12" cm="1">
        <f t="array" ref="R14">_xll.BDH("CAT US Equity","CF_CHANGE_IN_INVENTORIES","FQ2 2022","FQ2 2022","Currency=USD","Period=FQ","BEST_FPERIOD_OVERRIDE=FQ","FILING_STATUS=MR","SCALING_FORMAT=MLN","Sort=A","Dates=H","DateFormat=P","Fill=—","Direction=H","UseDPDF=Y")</f>
        <v>-971</v>
      </c>
      <c r="S14" s="12" cm="1">
        <f t="array" ref="S14">_xll.BDH("CAT US Equity","CF_CHANGE_IN_INVENTORIES","FQ3 2022","FQ3 2022","Currency=USD","Period=FQ","BEST_FPERIOD_OVERRIDE=FQ","FILING_STATUS=MR","SCALING_FORMAT=MLN","Sort=A","Dates=H","DateFormat=P","Fill=—","Direction=H","UseDPDF=Y")</f>
        <v>-1085</v>
      </c>
      <c r="T14" s="12" cm="1">
        <f t="array" ref="T14">_xll.BDH("CAT US Equity","CF_CHANGE_IN_INVENTORIES","FQ4 2022","FQ4 2022","Currency=USD","Period=FQ","BEST_FPERIOD_OVERRIDE=FQ","FILING_STATUS=MR","SCALING_FORMAT=MLN","Sort=A","Dates=H","DateFormat=P","Fill=—","Direction=H","UseDPDF=Y")</f>
        <v>499</v>
      </c>
      <c r="U14" s="12" cm="1">
        <f t="array" ref="U14">_xll.BDH("CAT US Equity","CF_CHANGE_IN_INVENTORIES","FQ1 2023","FQ1 2023","Currency=USD","Period=FQ","BEST_FPERIOD_OVERRIDE=FQ","FILING_STATUS=MR","SCALING_FORMAT=MLN","Sort=A","Dates=H","DateFormat=P","Fill=—","Direction=H","UseDPDF=Y")</f>
        <v>-1403</v>
      </c>
      <c r="V14" s="12" cm="1">
        <f t="array" ref="V14">_xll.BDH("CAT US Equity","CF_CHANGE_IN_INVENTORIES","FQ2 2023","FQ2 2023","Currency=USD","Period=FQ","BEST_FPERIOD_OVERRIDE=FQ","FILING_STATUS=MR","SCALING_FORMAT=MLN","Sort=A","Dates=H","DateFormat=P","Fill=—","Direction=H","UseDPDF=Y")</f>
        <v>-157</v>
      </c>
      <c r="W14" s="12" cm="1">
        <f t="array" ref="W14">_xll.BDH("CAT US Equity","CF_CHANGE_IN_INVENTORIES","FQ3 2023","FQ3 2023","Currency=USD","Period=FQ","BEST_FPERIOD_OVERRIDE=FQ","FILING_STATUS=MR","SCALING_FORMAT=MLN","Sort=A","Dates=H","DateFormat=P","Fill=—","Direction=H","UseDPDF=Y")</f>
        <v>136</v>
      </c>
      <c r="X14" s="12" cm="1">
        <f t="array" ref="X14">_xll.BDH("CAT US Equity","CF_CHANGE_IN_INVENTORIES","FQ4 2023","FQ4 2023","Currency=USD","Period=FQ","BEST_FPERIOD_OVERRIDE=FQ","FILING_STATUS=MR","SCALING_FORMAT=MLN","Sort=A","Dates=H","DateFormat=P","Fill=—","Direction=H","UseDPDF=Y")</f>
        <v>1060</v>
      </c>
      <c r="Y14" s="12" cm="1">
        <f t="array" ref="Y14">_xll.BDH("CAT US Equity","CF_CHANGE_IN_INVENTORIES","FQ1 2024","FQ1 2024","Currency=USD","Period=FQ","BEST_FPERIOD_OVERRIDE=FQ","FILING_STATUS=MR","SCALING_FORMAT=MLN","Sort=A","Dates=H","DateFormat=P","Fill=—","Direction=H","UseDPDF=Y")</f>
        <v>-439</v>
      </c>
      <c r="Z14" s="12" cm="1">
        <f t="array" ref="Z14">_xll.BDH("CAT US Equity","CF_CHANGE_IN_INVENTORIES","FQ2 2024","FQ2 2024","Currency=USD","Period=FQ","BEST_FPERIOD_OVERRIDE=FQ","FILING_STATUS=MR","SCALING_FORMAT=MLN","Sort=A","Dates=H","DateFormat=P","Fill=—","Direction=H","UseDPDF=Y")</f>
        <v>-204</v>
      </c>
      <c r="AA14" s="12" cm="1">
        <f t="array" ref="AA14">_xll.BDH("CAT US Equity","CF_CHANGE_IN_INVENTORIES","FQ3 2024","FQ3 2024","Currency=USD","Period=FQ","BEST_FPERIOD_OVERRIDE=FQ","FILING_STATUS=MR","SCALING_FORMAT=MLN","Sort=A","Dates=H","DateFormat=P","Fill=—","Direction=H","UseDPDF=Y")</f>
        <v>-138</v>
      </c>
      <c r="AB14" s="12" cm="1">
        <f t="array" ref="AB14">_xll.BDH("CAT US Equity","CF_CHANGE_IN_INVENTORIES","FQ4 2024","FQ4 2024","Currency=USD","Period=FQ","BEST_FPERIOD_OVERRIDE=FQ","FILING_STATUS=MR","SCALING_FORMAT=MLN","Sort=A","Dates=H","DateFormat=P","Fill=—","Direction=H","UseDPDF=Y")</f>
        <v>367</v>
      </c>
      <c r="AC14" s="12" cm="1">
        <f t="array" ref="AC14">_xll.BDH("CAT US Equity","CF_CHANGE_IN_INVENTORIES","FQ1 2025","FQ1 2025","Currency=USD","Period=FQ","BEST_FPERIOD_OVERRIDE=FQ","FILING_STATUS=MR","SCALING_FORMAT=MLN","Sort=A","Dates=H","DateFormat=P","Fill=—","Direction=H","UseDPDF=Y")</f>
        <v>-990</v>
      </c>
      <c r="AD14" s="12" cm="1">
        <f t="array" ref="AD14">_xll.BDH("CAT US Equity","CF_CHANGE_IN_INVENTORIES","FQ2 2025","FQ2 2025","Currency=USD","Period=FQ","BEST_FPERIOD_OVERRIDE=FQ","FILING_STATUS=MR","SCALING_FORMAT=MLN","Sort=A","Dates=H","DateFormat=P","Fill=—","Direction=H","UseDPDF=Y")</f>
        <v>-649</v>
      </c>
      <c r="AE14" s="12" cm="1">
        <f t="array" ref="AE14">_xll.BDH("CAT US Equity","CF_CHANGE_IN_INVENTORIES","FQ3 2025","FQ3 2025","Currency=USD","Period=FQ","BEST_FPERIOD_OVERRIDE=FQ","FILING_STATUS=MR","SCALING_FORMAT=MLN","Sort=A","Dates=H","DateFormat=P","Fill=—","Direction=H","UseDPDF=Y")</f>
        <v>-376</v>
      </c>
      <c r="AF14" s="12" cm="1">
        <f t="array" ref="AF14">_xll.BDH("CAT US Equity","CF_CHANGE_IN_INVENTORIES","FQ4 2025","FQ4 2025","Currency=USD","Period=FQ","BEST_FPERIOD_OVERRIDE=FQ","FILING_STATUS=MR","SCALING_FORMAT=MLN","Sort=A","Dates=H","DateFormat=P","Fill=—","Direction=H","UseDPDF=Y")</f>
        <v>538</v>
      </c>
    </row>
    <row r="15" spans="1:32" x14ac:dyDescent="0.25">
      <c r="A15" s="10" t="s">
        <v>82</v>
      </c>
      <c r="B15" s="10" t="s">
        <v>83</v>
      </c>
      <c r="C15" s="12" cm="1">
        <f t="array" ref="C15">_xll.BDH("CAT US Equity","CF_CHANGE_IN_ACCOUNTS_PAYABLE","FQ3 2018","FQ3 2018","Currency=USD","Period=FQ","BEST_FPERIOD_OVERRIDE=FQ","FILING_STATUS=MR","SCALING_FORMAT=MLN","Sort=A","Dates=H","DateFormat=P","Fill=—","Direction=H","UseDPDF=Y")</f>
        <v>-49</v>
      </c>
      <c r="D15" s="12" cm="1">
        <f t="array" ref="D15">_xll.BDH("CAT US Equity","CF_CHANGE_IN_ACCOUNTS_PAYABLE","FQ4 2018","FQ4 2018","Currency=USD","Period=FQ","BEST_FPERIOD_OVERRIDE=FQ","FILING_STATUS=MR","SCALING_FORMAT=MLN","Sort=A","Dates=H","DateFormat=P","Fill=—","Direction=H","UseDPDF=Y")</f>
        <v>213</v>
      </c>
      <c r="E15" s="12" cm="1">
        <f t="array" ref="E15">_xll.BDH("CAT US Equity","CF_CHANGE_IN_ACCOUNTS_PAYABLE","FQ1 2019","FQ1 2019","Currency=USD","Period=FQ","BEST_FPERIOD_OVERRIDE=FQ","FILING_STATUS=MR","SCALING_FORMAT=MLN","Sort=A","Dates=H","DateFormat=P","Fill=—","Direction=H","UseDPDF=Y")</f>
        <v>355</v>
      </c>
      <c r="F15" s="12" cm="1">
        <f t="array" ref="F15">_xll.BDH("CAT US Equity","CF_CHANGE_IN_ACCOUNTS_PAYABLE","FQ2 2019","FQ2 2019","Currency=USD","Period=FQ","BEST_FPERIOD_OVERRIDE=FQ","FILING_STATUS=MR","SCALING_FORMAT=MLN","Sort=A","Dates=H","DateFormat=P","Fill=—","Direction=H","UseDPDF=Y")</f>
        <v>-221</v>
      </c>
      <c r="G15" s="12" cm="1">
        <f t="array" ref="G15">_xll.BDH("CAT US Equity","CF_CHANGE_IN_ACCOUNTS_PAYABLE","FQ3 2019","FQ3 2019","Currency=USD","Period=FQ","BEST_FPERIOD_OVERRIDE=FQ","FILING_STATUS=MR","SCALING_FORMAT=MLN","Sort=A","Dates=H","DateFormat=P","Fill=—","Direction=H","UseDPDF=Y")</f>
        <v>-803</v>
      </c>
      <c r="H15" s="12" cm="1">
        <f t="array" ref="H15">_xll.BDH("CAT US Equity","CF_CHANGE_IN_ACCOUNTS_PAYABLE","FQ4 2019","FQ4 2019","Currency=USD","Period=FQ","BEST_FPERIOD_OVERRIDE=FQ","FILING_STATUS=MR","SCALING_FORMAT=MLN","Sort=A","Dates=H","DateFormat=P","Fill=—","Direction=H","UseDPDF=Y")</f>
        <v>-356</v>
      </c>
      <c r="I15" s="12" cm="1">
        <f t="array" ref="I15">_xll.BDH("CAT US Equity","CF_CHANGE_IN_ACCOUNTS_PAYABLE","FQ1 2020","FQ1 2020","Currency=USD","Period=FQ","BEST_FPERIOD_OVERRIDE=FQ","FILING_STATUS=MR","SCALING_FORMAT=MLN","Sort=A","Dates=H","DateFormat=P","Fill=—","Direction=H","UseDPDF=Y")</f>
        <v>90</v>
      </c>
      <c r="J15" s="12" cm="1">
        <f t="array" ref="J15">_xll.BDH("CAT US Equity","CF_CHANGE_IN_ACCOUNTS_PAYABLE","FQ2 2020","FQ2 2020","Currency=USD","Period=FQ","BEST_FPERIOD_OVERRIDE=FQ","FILING_STATUS=MR","SCALING_FORMAT=MLN","Sort=A","Dates=H","DateFormat=P","Fill=—","Direction=H","UseDPDF=Y")</f>
        <v>-745</v>
      </c>
      <c r="K15" s="12" cm="1">
        <f t="array" ref="K15">_xll.BDH("CAT US Equity","CF_CHANGE_IN_ACCOUNTS_PAYABLE","FQ3 2020","FQ3 2020","Currency=USD","Period=FQ","BEST_FPERIOD_OVERRIDE=FQ","FILING_STATUS=MR","SCALING_FORMAT=MLN","Sort=A","Dates=H","DateFormat=P","Fill=—","Direction=H","UseDPDF=Y")</f>
        <v>59</v>
      </c>
      <c r="L15" s="12" cm="1">
        <f t="array" ref="L15">_xll.BDH("CAT US Equity","CF_CHANGE_IN_ACCOUNTS_PAYABLE","FQ4 2020","FQ4 2020","Currency=USD","Period=FQ","BEST_FPERIOD_OVERRIDE=FQ","FILING_STATUS=MR","SCALING_FORMAT=MLN","Sort=A","Dates=H","DateFormat=P","Fill=—","Direction=H","UseDPDF=Y")</f>
        <v>694</v>
      </c>
      <c r="M15" s="12" cm="1">
        <f t="array" ref="M15">_xll.BDH("CAT US Equity","CF_CHANGE_IN_ACCOUNTS_PAYABLE","FQ1 2021","FQ1 2021","Currency=USD","Period=FQ","BEST_FPERIOD_OVERRIDE=FQ","FILING_STATUS=MR","SCALING_FORMAT=MLN","Sort=A","Dates=H","DateFormat=P","Fill=—","Direction=H","UseDPDF=Y")</f>
        <v>733</v>
      </c>
      <c r="N15" s="12" cm="1">
        <f t="array" ref="N15">_xll.BDH("CAT US Equity","CF_CHANGE_IN_ACCOUNTS_PAYABLE","FQ2 2021","FQ2 2021","Currency=USD","Period=FQ","BEST_FPERIOD_OVERRIDE=FQ","FILING_STATUS=MR","SCALING_FORMAT=MLN","Sort=A","Dates=H","DateFormat=P","Fill=—","Direction=H","UseDPDF=Y")</f>
        <v>160</v>
      </c>
      <c r="O15" s="12" cm="1">
        <f t="array" ref="O15">_xll.BDH("CAT US Equity","CF_CHANGE_IN_ACCOUNTS_PAYABLE","FQ3 2021","FQ3 2021","Currency=USD","Period=FQ","BEST_FPERIOD_OVERRIDE=FQ","FILING_STATUS=MR","SCALING_FORMAT=MLN","Sort=A","Dates=H","DateFormat=P","Fill=—","Direction=H","UseDPDF=Y")</f>
        <v>339</v>
      </c>
      <c r="P15" s="12" cm="1">
        <f t="array" ref="P15">_xll.BDH("CAT US Equity","CF_CHANGE_IN_ACCOUNTS_PAYABLE","FQ4 2021","FQ4 2021","Currency=USD","Period=FQ","BEST_FPERIOD_OVERRIDE=FQ","FILING_STATUS=MR","SCALING_FORMAT=MLN","Sort=A","Dates=H","DateFormat=P","Fill=—","Direction=H","UseDPDF=Y")</f>
        <v>809</v>
      </c>
      <c r="Q15" s="12" cm="1">
        <f t="array" ref="Q15">_xll.BDH("CAT US Equity","CF_CHANGE_IN_ACCOUNTS_PAYABLE","FQ1 2022","FQ1 2022","Currency=USD","Period=FQ","BEST_FPERIOD_OVERRIDE=FQ","FILING_STATUS=MR","SCALING_FORMAT=MLN","Sort=A","Dates=H","DateFormat=P","Fill=—","Direction=H","UseDPDF=Y")</f>
        <v>452</v>
      </c>
      <c r="R15" s="12" cm="1">
        <f t="array" ref="R15">_xll.BDH("CAT US Equity","CF_CHANGE_IN_ACCOUNTS_PAYABLE","FQ2 2022","FQ2 2022","Currency=USD","Period=FQ","BEST_FPERIOD_OVERRIDE=FQ","FILING_STATUS=MR","SCALING_FORMAT=MLN","Sort=A","Dates=H","DateFormat=P","Fill=—","Direction=H","UseDPDF=Y")</f>
        <v>-25</v>
      </c>
      <c r="S15" s="12" cm="1">
        <f t="array" ref="S15">_xll.BDH("CAT US Equity","CF_CHANGE_IN_ACCOUNTS_PAYABLE","FQ3 2022","FQ3 2022","Currency=USD","Period=FQ","BEST_FPERIOD_OVERRIDE=FQ","FILING_STATUS=MR","SCALING_FORMAT=MLN","Sort=A","Dates=H","DateFormat=P","Fill=—","Direction=H","UseDPDF=Y")</f>
        <v>359</v>
      </c>
      <c r="T15" s="12" cm="1">
        <f t="array" ref="T15">_xll.BDH("CAT US Equity","CF_CHANGE_IN_ACCOUNTS_PAYABLE","FQ4 2022","FQ4 2022","Currency=USD","Period=FQ","BEST_FPERIOD_OVERRIDE=FQ","FILING_STATUS=MR","SCALING_FORMAT=MLN","Sort=A","Dates=H","DateFormat=P","Fill=—","Direction=H","UseDPDF=Y")</f>
        <v>12</v>
      </c>
      <c r="U15" s="12" cm="1">
        <f t="array" ref="U15">_xll.BDH("CAT US Equity","CF_CHANGE_IN_ACCOUNTS_PAYABLE","FQ1 2023","FQ1 2023","Currency=USD","Period=FQ","BEST_FPERIOD_OVERRIDE=FQ","FILING_STATUS=MR","SCALING_FORMAT=MLN","Sort=A","Dates=H","DateFormat=P","Fill=—","Direction=H","UseDPDF=Y")</f>
        <v>477</v>
      </c>
      <c r="V15" s="12" cm="1">
        <f t="array" ref="V15">_xll.BDH("CAT US Equity","CF_CHANGE_IN_ACCOUNTS_PAYABLE","FQ2 2023","FQ2 2023","Currency=USD","Period=FQ","BEST_FPERIOD_OVERRIDE=FQ","FILING_STATUS=MR","SCALING_FORMAT=MLN","Sort=A","Dates=H","DateFormat=P","Fill=—","Direction=H","UseDPDF=Y")</f>
        <v>-443</v>
      </c>
      <c r="W15" s="12" cm="1">
        <f t="array" ref="W15">_xll.BDH("CAT US Equity","CF_CHANGE_IN_ACCOUNTS_PAYABLE","FQ3 2023","FQ3 2023","Currency=USD","Period=FQ","BEST_FPERIOD_OVERRIDE=FQ","FILING_STATUS=MR","SCALING_FORMAT=MLN","Sort=A","Dates=H","DateFormat=P","Fill=—","Direction=H","UseDPDF=Y")</f>
        <v>-566</v>
      </c>
      <c r="X15" s="12" cm="1">
        <f t="array" ref="X15">_xll.BDH("CAT US Equity","CF_CHANGE_IN_ACCOUNTS_PAYABLE","FQ4 2023","FQ4 2023","Currency=USD","Period=FQ","BEST_FPERIOD_OVERRIDE=FQ","FILING_STATUS=MR","SCALING_FORMAT=MLN","Sort=A","Dates=H","DateFormat=P","Fill=—","Direction=H","UseDPDF=Y")</f>
        <v>-222</v>
      </c>
      <c r="Y15" s="12" cm="1">
        <f t="array" ref="Y15">_xll.BDH("CAT US Equity","CF_CHANGE_IN_ACCOUNTS_PAYABLE","FQ1 2024","FQ1 2024","Currency=USD","Period=FQ","BEST_FPERIOD_OVERRIDE=FQ","FILING_STATUS=MR","SCALING_FORMAT=MLN","Sort=A","Dates=H","DateFormat=P","Fill=—","Direction=H","UseDPDF=Y")</f>
        <v>203</v>
      </c>
      <c r="Z15" s="12" cm="1">
        <f t="array" ref="Z15">_xll.BDH("CAT US Equity","CF_CHANGE_IN_ACCOUNTS_PAYABLE","FQ2 2024","FQ2 2024","Currency=USD","Period=FQ","BEST_FPERIOD_OVERRIDE=FQ","FILING_STATUS=MR","SCALING_FORMAT=MLN","Sort=A","Dates=H","DateFormat=P","Fill=—","Direction=H","UseDPDF=Y")</f>
        <v>-224</v>
      </c>
      <c r="AA15" s="12" cm="1">
        <f t="array" ref="AA15">_xll.BDH("CAT US Equity","CF_CHANGE_IN_ACCOUNTS_PAYABLE","FQ3 2024","FQ3 2024","Currency=USD","Period=FQ","BEST_FPERIOD_OVERRIDE=FQ","FILING_STATUS=MR","SCALING_FORMAT=MLN","Sort=A","Dates=H","DateFormat=P","Fill=—","Direction=H","UseDPDF=Y")</f>
        <v>-75</v>
      </c>
      <c r="AB15" s="12" cm="1">
        <f t="array" ref="AB15">_xll.BDH("CAT US Equity","CF_CHANGE_IN_ACCOUNTS_PAYABLE","FQ4 2024","FQ4 2024","Currency=USD","Period=FQ","BEST_FPERIOD_OVERRIDE=FQ","FILING_STATUS=MR","SCALING_FORMAT=MLN","Sort=A","Dates=H","DateFormat=P","Fill=—","Direction=H","UseDPDF=Y")</f>
        <v>-186</v>
      </c>
      <c r="AC15" s="12" cm="1">
        <f t="array" ref="AC15">_xll.BDH("CAT US Equity","CF_CHANGE_IN_ACCOUNTS_PAYABLE","FQ1 2025","FQ1 2025","Currency=USD","Period=FQ","BEST_FPERIOD_OVERRIDE=FQ","FILING_STATUS=MR","SCALING_FORMAT=MLN","Sort=A","Dates=H","DateFormat=P","Fill=—","Direction=H","UseDPDF=Y")</f>
        <v>401</v>
      </c>
      <c r="AD15" s="12" cm="1">
        <f t="array" ref="AD15">_xll.BDH("CAT US Equity","CF_CHANGE_IN_ACCOUNTS_PAYABLE","FQ2 2025","FQ2 2025","Currency=USD","Period=FQ","BEST_FPERIOD_OVERRIDE=FQ","FILING_STATUS=MR","SCALING_FORMAT=MLN","Sort=A","Dates=H","DateFormat=P","Fill=—","Direction=H","UseDPDF=Y")</f>
        <v>572</v>
      </c>
      <c r="AE15" s="12" cm="1">
        <f t="array" ref="AE15">_xll.BDH("CAT US Equity","CF_CHANGE_IN_ACCOUNTS_PAYABLE","FQ3 2025","FQ3 2025","Currency=USD","Period=FQ","BEST_FPERIOD_OVERRIDE=FQ","FILING_STATUS=MR","SCALING_FORMAT=MLN","Sort=A","Dates=H","DateFormat=P","Fill=—","Direction=H","UseDPDF=Y")</f>
        <v>113</v>
      </c>
      <c r="AF15" s="12" cm="1">
        <f t="array" ref="AF15">_xll.BDH("CAT US Equity","CF_CHANGE_IN_ACCOUNTS_PAYABLE","FQ4 2025","FQ4 2025","Currency=USD","Period=FQ","BEST_FPERIOD_OVERRIDE=FQ","FILING_STATUS=MR","SCALING_FORMAT=MLN","Sort=A","Dates=H","DateFormat=P","Fill=—","Direction=H","UseDPDF=Y")</f>
        <v>93</v>
      </c>
    </row>
    <row r="16" spans="1:32" x14ac:dyDescent="0.25">
      <c r="A16" s="10" t="s">
        <v>84</v>
      </c>
      <c r="B16" s="10" t="s">
        <v>85</v>
      </c>
      <c r="C16" s="12" cm="1">
        <f t="array" ref="C16">_xll.BDH("CAT US Equity","INC_DEC_IN_OT_OP_AST_LIAB_DETAIL","FQ3 2018","FQ3 2018","Currency=USD","Period=FQ","BEST_FPERIOD_OVERRIDE=FQ","FILING_STATUS=MR","SCALING_FORMAT=MLN","Sort=A","Dates=H","DateFormat=P","Fill=—","Direction=H","UseDPDF=Y")</f>
        <v>462</v>
      </c>
      <c r="D16" s="12" cm="1">
        <f t="array" ref="D16">_xll.BDH("CAT US Equity","INC_DEC_IN_OT_OP_AST_LIAB_DETAIL","FQ4 2018","FQ4 2018","Currency=USD","Period=FQ","BEST_FPERIOD_OVERRIDE=FQ","FILING_STATUS=MR","SCALING_FORMAT=MLN","Sort=A","Dates=H","DateFormat=P","Fill=—","Direction=H","UseDPDF=Y")</f>
        <v>147</v>
      </c>
      <c r="E16" s="12" cm="1">
        <f t="array" ref="E16">_xll.BDH("CAT US Equity","INC_DEC_IN_OT_OP_AST_LIAB_DETAIL","FQ1 2019","FQ1 2019","Currency=USD","Period=FQ","BEST_FPERIOD_OVERRIDE=FQ","FILING_STATUS=MR","SCALING_FORMAT=MLN","Sort=A","Dates=H","DateFormat=P","Fill=—","Direction=H","UseDPDF=Y")</f>
        <v>-945</v>
      </c>
      <c r="F16" s="12" cm="1">
        <f t="array" ref="F16">_xll.BDH("CAT US Equity","INC_DEC_IN_OT_OP_AST_LIAB_DETAIL","FQ2 2019","FQ2 2019","Currency=USD","Period=FQ","BEST_FPERIOD_OVERRIDE=FQ","FILING_STATUS=MR","SCALING_FORMAT=MLN","Sort=A","Dates=H","DateFormat=P","Fill=—","Direction=H","UseDPDF=Y")</f>
        <v>131</v>
      </c>
      <c r="G16" s="12" cm="1">
        <f t="array" ref="G16">_xll.BDH("CAT US Equity","INC_DEC_IN_OT_OP_AST_LIAB_DETAIL","FQ3 2019","FQ3 2019","Currency=USD","Period=FQ","BEST_FPERIOD_OVERRIDE=FQ","FILING_STATUS=MR","SCALING_FORMAT=MLN","Sort=A","Dates=H","DateFormat=P","Fill=—","Direction=H","UseDPDF=Y")</f>
        <v>239</v>
      </c>
      <c r="H16" s="12" cm="1">
        <f t="array" ref="H16">_xll.BDH("CAT US Equity","INC_DEC_IN_OT_OP_AST_LIAB_DETAIL","FQ4 2019","FQ4 2019","Currency=USD","Period=FQ","BEST_FPERIOD_OVERRIDE=FQ","FILING_STATUS=MR","SCALING_FORMAT=MLN","Sort=A","Dates=H","DateFormat=P","Fill=—","Direction=H","UseDPDF=Y")</f>
        <v>-20</v>
      </c>
      <c r="I16" s="12" cm="1">
        <f t="array" ref="I16">_xll.BDH("CAT US Equity","INC_DEC_IN_OT_OP_AST_LIAB_DETAIL","FQ1 2020","FQ1 2020","Currency=USD","Period=FQ","BEST_FPERIOD_OVERRIDE=FQ","FILING_STATUS=MR","SCALING_FORMAT=MLN","Sort=A","Dates=H","DateFormat=P","Fill=—","Direction=H","UseDPDF=Y")</f>
        <v>-703</v>
      </c>
      <c r="J16" s="12" cm="1">
        <f t="array" ref="J16">_xll.BDH("CAT US Equity","INC_DEC_IN_OT_OP_AST_LIAB_DETAIL","FQ2 2020","FQ2 2020","Currency=USD","Period=FQ","BEST_FPERIOD_OVERRIDE=FQ","FILING_STATUS=MR","SCALING_FORMAT=MLN","Sort=A","Dates=H","DateFormat=P","Fill=—","Direction=H","UseDPDF=Y")</f>
        <v>-200</v>
      </c>
      <c r="K16" s="12" cm="1">
        <f t="array" ref="K16">_xll.BDH("CAT US Equity","INC_DEC_IN_OT_OP_AST_LIAB_DETAIL","FQ3 2020","FQ3 2020","Currency=USD","Period=FQ","BEST_FPERIOD_OVERRIDE=FQ","FILING_STATUS=MR","SCALING_FORMAT=MLN","Sort=A","Dates=H","DateFormat=P","Fill=—","Direction=H","UseDPDF=Y")</f>
        <v>83</v>
      </c>
      <c r="L16" s="12" cm="1">
        <f t="array" ref="L16">_xll.BDH("CAT US Equity","INC_DEC_IN_OT_OP_AST_LIAB_DETAIL","FQ4 2020","FQ4 2020","Currency=USD","Period=FQ","BEST_FPERIOD_OVERRIDE=FQ","FILING_STATUS=MR","SCALING_FORMAT=MLN","Sort=A","Dates=H","DateFormat=P","Fill=—","Direction=H","UseDPDF=Y")</f>
        <v>-216</v>
      </c>
      <c r="M16" s="12" cm="1">
        <f t="array" ref="M16">_xll.BDH("CAT US Equity","INC_DEC_IN_OT_OP_AST_LIAB_DETAIL","FQ1 2021","FQ1 2021","Currency=USD","Period=FQ","BEST_FPERIOD_OVERRIDE=FQ","FILING_STATUS=MR","SCALING_FORMAT=MLN","Sort=A","Dates=H","DateFormat=P","Fill=—","Direction=H","UseDPDF=Y")</f>
        <v>333</v>
      </c>
      <c r="N16" s="12" cm="1">
        <f t="array" ref="N16">_xll.BDH("CAT US Equity","INC_DEC_IN_OT_OP_AST_LIAB_DETAIL","FQ2 2021","FQ2 2021","Currency=USD","Period=FQ","BEST_FPERIOD_OVERRIDE=FQ","FILING_STATUS=MR","SCALING_FORMAT=MLN","Sort=A","Dates=H","DateFormat=P","Fill=—","Direction=H","UseDPDF=Y")</f>
        <v>356</v>
      </c>
      <c r="O16" s="12" cm="1">
        <f t="array" ref="O16">_xll.BDH("CAT US Equity","INC_DEC_IN_OT_OP_AST_LIAB_DETAIL","FQ3 2021","FQ3 2021","Currency=USD","Period=FQ","BEST_FPERIOD_OVERRIDE=FQ","FILING_STATUS=MR","SCALING_FORMAT=MLN","Sort=A","Dates=H","DateFormat=P","Fill=—","Direction=H","UseDPDF=Y")</f>
        <v>330</v>
      </c>
      <c r="P16" s="12" cm="1">
        <f t="array" ref="P16">_xll.BDH("CAT US Equity","INC_DEC_IN_OT_OP_AST_LIAB_DETAIL","FQ4 2021","FQ4 2021","Currency=USD","Period=FQ","BEST_FPERIOD_OVERRIDE=FQ","FILING_STATUS=MR","SCALING_FORMAT=MLN","Sort=A","Dates=H","DateFormat=P","Fill=—","Direction=H","UseDPDF=Y")</f>
        <v>318</v>
      </c>
      <c r="Q16" s="12" cm="1">
        <f t="array" ref="Q16">_xll.BDH("CAT US Equity","INC_DEC_IN_OT_OP_AST_LIAB_DETAIL","FQ1 2022","FQ1 2022","Currency=USD","Period=FQ","BEST_FPERIOD_OVERRIDE=FQ","FILING_STATUS=MR","SCALING_FORMAT=MLN","Sort=A","Dates=H","DateFormat=P","Fill=—","Direction=H","UseDPDF=Y")</f>
        <v>-728</v>
      </c>
      <c r="R16" s="12" cm="1">
        <f t="array" ref="R16">_xll.BDH("CAT US Equity","INC_DEC_IN_OT_OP_AST_LIAB_DETAIL","FQ2 2022","FQ2 2022","Currency=USD","Period=FQ","BEST_FPERIOD_OVERRIDE=FQ","FILING_STATUS=MR","SCALING_FORMAT=MLN","Sort=A","Dates=H","DateFormat=P","Fill=—","Direction=H","UseDPDF=Y")</f>
        <v>717</v>
      </c>
      <c r="S16" s="12" cm="1">
        <f t="array" ref="S16">_xll.BDH("CAT US Equity","INC_DEC_IN_OT_OP_AST_LIAB_DETAIL","FQ3 2022","FQ3 2022","Currency=USD","Period=FQ","BEST_FPERIOD_OVERRIDE=FQ","FILING_STATUS=MR","SCALING_FORMAT=MLN","Sort=A","Dates=H","DateFormat=P","Fill=—","Direction=H","UseDPDF=Y")</f>
        <v>847</v>
      </c>
      <c r="T16" s="12" cm="1">
        <f t="array" ref="T16">_xll.BDH("CAT US Equity","INC_DEC_IN_OT_OP_AST_LIAB_DETAIL","FQ4 2022","FQ4 2022","Currency=USD","Period=FQ","BEST_FPERIOD_OVERRIDE=FQ","FILING_STATUS=MR","SCALING_FORMAT=MLN","Sort=A","Dates=H","DateFormat=P","Fill=—","Direction=H","UseDPDF=Y")</f>
        <v>339</v>
      </c>
      <c r="U16" s="12" cm="1">
        <f t="array" ref="U16">_xll.BDH("CAT US Equity","INC_DEC_IN_OT_OP_AST_LIAB_DETAIL","FQ1 2023","FQ1 2023","Currency=USD","Period=FQ","BEST_FPERIOD_OVERRIDE=FQ","FILING_STATUS=MR","SCALING_FORMAT=MLN","Sort=A","Dates=H","DateFormat=P","Fill=—","Direction=H","UseDPDF=Y")</f>
        <v>-547</v>
      </c>
      <c r="V16" s="12" cm="1">
        <f t="array" ref="V16">_xll.BDH("CAT US Equity","INC_DEC_IN_OT_OP_AST_LIAB_DETAIL","FQ2 2023","FQ2 2023","Currency=USD","Period=FQ","BEST_FPERIOD_OVERRIDE=FQ","FILING_STATUS=MR","SCALING_FORMAT=MLN","Sort=A","Dates=H","DateFormat=P","Fill=—","Direction=H","UseDPDF=Y")</f>
        <v>650</v>
      </c>
      <c r="W16" s="12" cm="1">
        <f t="array" ref="W16">_xll.BDH("CAT US Equity","INC_DEC_IN_OT_OP_AST_LIAB_DETAIL","FQ3 2023","FQ3 2023","Currency=USD","Period=FQ","BEST_FPERIOD_OVERRIDE=FQ","FILING_STATUS=MR","SCALING_FORMAT=MLN","Sort=A","Dates=H","DateFormat=P","Fill=—","Direction=H","UseDPDF=Y")</f>
        <v>1001</v>
      </c>
      <c r="X16" s="12" cm="1">
        <f t="array" ref="X16">_xll.BDH("CAT US Equity","INC_DEC_IN_OT_OP_AST_LIAB_DETAIL","FQ4 2023","FQ4 2023","Currency=USD","Period=FQ","BEST_FPERIOD_OVERRIDE=FQ","FILING_STATUS=MR","SCALING_FORMAT=MLN","Sort=A","Dates=H","DateFormat=P","Fill=—","Direction=H","UseDPDF=Y")</f>
        <v>258</v>
      </c>
      <c r="Y16" s="12" cm="1">
        <f t="array" ref="Y16">_xll.BDH("CAT US Equity","INC_DEC_IN_OT_OP_AST_LIAB_DETAIL","FQ1 2024","FQ1 2024","Currency=USD","Period=FQ","BEST_FPERIOD_OVERRIDE=FQ","FILING_STATUS=MR","SCALING_FORMAT=MLN","Sort=A","Dates=H","DateFormat=P","Fill=—","Direction=H","UseDPDF=Y")</f>
        <v>-1213</v>
      </c>
      <c r="Z16" s="12" cm="1">
        <f t="array" ref="Z16">_xll.BDH("CAT US Equity","INC_DEC_IN_OT_OP_AST_LIAB_DETAIL","FQ2 2024","FQ2 2024","Currency=USD","Period=FQ","BEST_FPERIOD_OVERRIDE=FQ","FILING_STATUS=MR","SCALING_FORMAT=MLN","Sort=A","Dates=H","DateFormat=P","Fill=—","Direction=H","UseDPDF=Y")</f>
        <v>567</v>
      </c>
      <c r="AA16" s="12" cm="1">
        <f t="array" ref="AA16">_xll.BDH("CAT US Equity","INC_DEC_IN_OT_OP_AST_LIAB_DETAIL","FQ3 2024","FQ3 2024","Currency=USD","Period=FQ","BEST_FPERIOD_OVERRIDE=FQ","FILING_STATUS=MR","SCALING_FORMAT=MLN","Sort=A","Dates=H","DateFormat=P","Fill=—","Direction=H","UseDPDF=Y")</f>
        <v>460</v>
      </c>
      <c r="AB16" s="12" cm="1">
        <f t="array" ref="AB16">_xll.BDH("CAT US Equity","INC_DEC_IN_OT_OP_AST_LIAB_DETAIL","FQ4 2024","FQ4 2024","Currency=USD","Period=FQ","BEST_FPERIOD_OVERRIDE=FQ","FILING_STATUS=MR","SCALING_FORMAT=MLN","Sort=A","Dates=H","DateFormat=P","Fill=—","Direction=H","UseDPDF=Y")</f>
        <v>384</v>
      </c>
      <c r="AC16" s="12" cm="1">
        <f t="array" ref="AC16">_xll.BDH("CAT US Equity","INC_DEC_IN_OT_OP_AST_LIAB_DETAIL","FQ1 2025","FQ1 2025","Currency=USD","Period=FQ","BEST_FPERIOD_OVERRIDE=FQ","FILING_STATUS=MR","SCALING_FORMAT=MLN","Sort=A","Dates=H","DateFormat=P","Fill=—","Direction=H","UseDPDF=Y")</f>
        <v>-629</v>
      </c>
      <c r="AD16" s="12" cm="1">
        <f t="array" ref="AD16">_xll.BDH("CAT US Equity","INC_DEC_IN_OT_OP_AST_LIAB_DETAIL","FQ2 2025","FQ2 2025","Currency=USD","Period=FQ","BEST_FPERIOD_OVERRIDE=FQ","FILING_STATUS=MR","SCALING_FORMAT=MLN","Sort=A","Dates=H","DateFormat=P","Fill=—","Direction=H","UseDPDF=Y")</f>
        <v>1088</v>
      </c>
      <c r="AE16" s="12" cm="1">
        <f t="array" ref="AE16">_xll.BDH("CAT US Equity","INC_DEC_IN_OT_OP_AST_LIAB_DETAIL","FQ3 2025","FQ3 2025","Currency=USD","Period=FQ","BEST_FPERIOD_OVERRIDE=FQ","FILING_STATUS=MR","SCALING_FORMAT=MLN","Sort=A","Dates=H","DateFormat=P","Fill=—","Direction=H","UseDPDF=Y")</f>
        <v>945</v>
      </c>
      <c r="AF16" s="12" cm="1">
        <f t="array" ref="AF16">_xll.BDH("CAT US Equity","INC_DEC_IN_OT_OP_AST_LIAB_DETAIL","FQ4 2025","FQ4 2025","Currency=USD","Period=FQ","BEST_FPERIOD_OVERRIDE=FQ","FILING_STATUS=MR","SCALING_FORMAT=MLN","Sort=A","Dates=H","DateFormat=P","Fill=—","Direction=H","UseDPDF=Y")</f>
        <v>1154</v>
      </c>
    </row>
    <row r="17" spans="1:32" x14ac:dyDescent="0.25">
      <c r="A17" s="10" t="s">
        <v>86</v>
      </c>
      <c r="B17" s="10" t="s">
        <v>87</v>
      </c>
      <c r="C17" s="12" cm="1">
        <f t="array" ref="C17">_xll.BDH("CAT US Equity","CF_NET_CASH_DISCONT_OPS_OPER","FQ3 2018","FQ3 2018","Currency=USD","Period=FQ","BEST_FPERIOD_OVERRIDE=FQ","FILING_STATUS=MR","SCALING_FORMAT=MLN","Sort=A","Dates=H","DateFormat=P","Fill=—","Direction=H","UseDPDF=Y")</f>
        <v>0</v>
      </c>
      <c r="D17" s="12" cm="1">
        <f t="array" ref="D17">_xll.BDH("CAT US Equity","CF_NET_CASH_DISCONT_OPS_OPER","FQ4 2018","FQ4 2018","Currency=USD","Period=FQ","BEST_FPERIOD_OVERRIDE=FQ","FILING_STATUS=MR","SCALING_FORMAT=MLN","Sort=A","Dates=H","DateFormat=P","Fill=—","Direction=H","UseDPDF=Y")</f>
        <v>0</v>
      </c>
      <c r="E17" s="12" cm="1">
        <f t="array" ref="E17">_xll.BDH("CAT US Equity","CF_NET_CASH_DISCONT_OPS_OPER","FQ1 2019","FQ1 2019","Currency=USD","Period=FQ","BEST_FPERIOD_OVERRIDE=FQ","FILING_STATUS=MR","SCALING_FORMAT=MLN","Sort=A","Dates=H","DateFormat=P","Fill=—","Direction=H","UseDPDF=Y")</f>
        <v>0</v>
      </c>
      <c r="F17" s="12" cm="1">
        <f t="array" ref="F17">_xll.BDH("CAT US Equity","CF_NET_CASH_DISCONT_OPS_OPER","FQ2 2019","FQ2 2019","Currency=USD","Period=FQ","BEST_FPERIOD_OVERRIDE=FQ","FILING_STATUS=MR","SCALING_FORMAT=MLN","Sort=A","Dates=H","DateFormat=P","Fill=—","Direction=H","UseDPDF=Y")</f>
        <v>0</v>
      </c>
      <c r="G17" s="12" cm="1">
        <f t="array" ref="G17">_xll.BDH("CAT US Equity","CF_NET_CASH_DISCONT_OPS_OPER","FQ3 2019","FQ3 2019","Currency=USD","Period=FQ","BEST_FPERIOD_OVERRIDE=FQ","FILING_STATUS=MR","SCALING_FORMAT=MLN","Sort=A","Dates=H","DateFormat=P","Fill=—","Direction=H","UseDPDF=Y")</f>
        <v>0</v>
      </c>
      <c r="H17" s="12" cm="1">
        <f t="array" ref="H17">_xll.BDH("CAT US Equity","CF_NET_CASH_DISCONT_OPS_OPER","FQ4 2019","FQ4 2019","Currency=USD","Period=FQ","BEST_FPERIOD_OVERRIDE=FQ","FILING_STATUS=MR","SCALING_FORMAT=MLN","Sort=A","Dates=H","DateFormat=P","Fill=—","Direction=H","UseDPDF=Y")</f>
        <v>0</v>
      </c>
      <c r="I17" s="12" cm="1">
        <f t="array" ref="I17">_xll.BDH("CAT US Equity","CF_NET_CASH_DISCONT_OPS_OPER","FQ1 2020","FQ1 2020","Currency=USD","Period=FQ","BEST_FPERIOD_OVERRIDE=FQ","FILING_STATUS=MR","SCALING_FORMAT=MLN","Sort=A","Dates=H","DateFormat=P","Fill=—","Direction=H","UseDPDF=Y")</f>
        <v>0</v>
      </c>
      <c r="J17" s="12" cm="1">
        <f t="array" ref="J17">_xll.BDH("CAT US Equity","CF_NET_CASH_DISCONT_OPS_OPER","FQ2 2020","FQ2 2020","Currency=USD","Period=FQ","BEST_FPERIOD_OVERRIDE=FQ","FILING_STATUS=MR","SCALING_FORMAT=MLN","Sort=A","Dates=H","DateFormat=P","Fill=—","Direction=H","UseDPDF=Y")</f>
        <v>0</v>
      </c>
      <c r="K17" s="12" cm="1">
        <f t="array" ref="K17">_xll.BDH("CAT US Equity","CF_NET_CASH_DISCONT_OPS_OPER","FQ3 2020","FQ3 2020","Currency=USD","Period=FQ","BEST_FPERIOD_OVERRIDE=FQ","FILING_STATUS=MR","SCALING_FORMAT=MLN","Sort=A","Dates=H","DateFormat=P","Fill=—","Direction=H","UseDPDF=Y")</f>
        <v>0</v>
      </c>
      <c r="L17" s="12" cm="1">
        <f t="array" ref="L17">_xll.BDH("CAT US Equity","CF_NET_CASH_DISCONT_OPS_OPER","FQ4 2020","FQ4 2020","Currency=USD","Period=FQ","BEST_FPERIOD_OVERRIDE=FQ","FILING_STATUS=MR","SCALING_FORMAT=MLN","Sort=A","Dates=H","DateFormat=P","Fill=—","Direction=H","UseDPDF=Y")</f>
        <v>0</v>
      </c>
      <c r="M17" s="12" cm="1">
        <f t="array" ref="M17">_xll.BDH("CAT US Equity","CF_NET_CASH_DISCONT_OPS_OPER","FQ1 2021","FQ1 2021","Currency=USD","Period=FQ","BEST_FPERIOD_OVERRIDE=FQ","FILING_STATUS=MR","SCALING_FORMAT=MLN","Sort=A","Dates=H","DateFormat=P","Fill=—","Direction=H","UseDPDF=Y")</f>
        <v>0</v>
      </c>
      <c r="N17" s="12" cm="1">
        <f t="array" ref="N17">_xll.BDH("CAT US Equity","CF_NET_CASH_DISCONT_OPS_OPER","FQ2 2021","FQ2 2021","Currency=USD","Period=FQ","BEST_FPERIOD_OVERRIDE=FQ","FILING_STATUS=MR","SCALING_FORMAT=MLN","Sort=A","Dates=H","DateFormat=P","Fill=—","Direction=H","UseDPDF=Y")</f>
        <v>0</v>
      </c>
      <c r="O17" s="12" cm="1">
        <f t="array" ref="O17">_xll.BDH("CAT US Equity","CF_NET_CASH_DISCONT_OPS_OPER","FQ3 2021","FQ3 2021","Currency=USD","Period=FQ","BEST_FPERIOD_OVERRIDE=FQ","FILING_STATUS=MR","SCALING_FORMAT=MLN","Sort=A","Dates=H","DateFormat=P","Fill=—","Direction=H","UseDPDF=Y")</f>
        <v>0</v>
      </c>
      <c r="P17" s="12" cm="1">
        <f t="array" ref="P17">_xll.BDH("CAT US Equity","CF_NET_CASH_DISCONT_OPS_OPER","FQ4 2021","FQ4 2021","Currency=USD","Period=FQ","BEST_FPERIOD_OVERRIDE=FQ","FILING_STATUS=MR","SCALING_FORMAT=MLN","Sort=A","Dates=H","DateFormat=P","Fill=—","Direction=H","UseDPDF=Y")</f>
        <v>0</v>
      </c>
      <c r="Q17" s="12" cm="1">
        <f t="array" ref="Q17">_xll.BDH("CAT US Equity","CF_NET_CASH_DISCONT_OPS_OPER","FQ1 2022","FQ1 2022","Currency=USD","Period=FQ","BEST_FPERIOD_OVERRIDE=FQ","FILING_STATUS=MR","SCALING_FORMAT=MLN","Sort=A","Dates=H","DateFormat=P","Fill=—","Direction=H","UseDPDF=Y")</f>
        <v>0</v>
      </c>
      <c r="R17" s="12" cm="1">
        <f t="array" ref="R17">_xll.BDH("CAT US Equity","CF_NET_CASH_DISCONT_OPS_OPER","FQ2 2022","FQ2 2022","Currency=USD","Period=FQ","BEST_FPERIOD_OVERRIDE=FQ","FILING_STATUS=MR","SCALING_FORMAT=MLN","Sort=A","Dates=H","DateFormat=P","Fill=—","Direction=H","UseDPDF=Y")</f>
        <v>0</v>
      </c>
      <c r="S17" s="12" cm="1">
        <f t="array" ref="S17">_xll.BDH("CAT US Equity","CF_NET_CASH_DISCONT_OPS_OPER","FQ3 2022","FQ3 2022","Currency=USD","Period=FQ","BEST_FPERIOD_OVERRIDE=FQ","FILING_STATUS=MR","SCALING_FORMAT=MLN","Sort=A","Dates=H","DateFormat=P","Fill=—","Direction=H","UseDPDF=Y")</f>
        <v>0</v>
      </c>
      <c r="T17" s="12" cm="1">
        <f t="array" ref="T17">_xll.BDH("CAT US Equity","CF_NET_CASH_DISCONT_OPS_OPER","FQ4 2022","FQ4 2022","Currency=USD","Period=FQ","BEST_FPERIOD_OVERRIDE=FQ","FILING_STATUS=MR","SCALING_FORMAT=MLN","Sort=A","Dates=H","DateFormat=P","Fill=—","Direction=H","UseDPDF=Y")</f>
        <v>0</v>
      </c>
      <c r="U17" s="12" cm="1">
        <f t="array" ref="U17">_xll.BDH("CAT US Equity","CF_NET_CASH_DISCONT_OPS_OPER","FQ1 2023","FQ1 2023","Currency=USD","Period=FQ","BEST_FPERIOD_OVERRIDE=FQ","FILING_STATUS=MR","SCALING_FORMAT=MLN","Sort=A","Dates=H","DateFormat=P","Fill=—","Direction=H","UseDPDF=Y")</f>
        <v>0</v>
      </c>
      <c r="V17" s="12" cm="1">
        <f t="array" ref="V17">_xll.BDH("CAT US Equity","CF_NET_CASH_DISCONT_OPS_OPER","FQ2 2023","FQ2 2023","Currency=USD","Period=FQ","BEST_FPERIOD_OVERRIDE=FQ","FILING_STATUS=MR","SCALING_FORMAT=MLN","Sort=A","Dates=H","DateFormat=P","Fill=—","Direction=H","UseDPDF=Y")</f>
        <v>0</v>
      </c>
      <c r="W17" s="12" cm="1">
        <f t="array" ref="W17">_xll.BDH("CAT US Equity","CF_NET_CASH_DISCONT_OPS_OPER","FQ3 2023","FQ3 2023","Currency=USD","Period=FQ","BEST_FPERIOD_OVERRIDE=FQ","FILING_STATUS=MR","SCALING_FORMAT=MLN","Sort=A","Dates=H","DateFormat=P","Fill=—","Direction=H","UseDPDF=Y")</f>
        <v>0</v>
      </c>
      <c r="X17" s="12" cm="1">
        <f t="array" ref="X17">_xll.BDH("CAT US Equity","CF_NET_CASH_DISCONT_OPS_OPER","FQ4 2023","FQ4 2023","Currency=USD","Period=FQ","BEST_FPERIOD_OVERRIDE=FQ","FILING_STATUS=MR","SCALING_FORMAT=MLN","Sort=A","Dates=H","DateFormat=P","Fill=—","Direction=H","UseDPDF=Y")</f>
        <v>0</v>
      </c>
      <c r="Y17" s="12" cm="1">
        <f t="array" ref="Y17">_xll.BDH("CAT US Equity","CF_NET_CASH_DISCONT_OPS_OPER","FQ1 2024","FQ1 2024","Currency=USD","Period=FQ","BEST_FPERIOD_OVERRIDE=FQ","FILING_STATUS=MR","SCALING_FORMAT=MLN","Sort=A","Dates=H","DateFormat=P","Fill=—","Direction=H","UseDPDF=Y")</f>
        <v>0</v>
      </c>
      <c r="Z17" s="12" cm="1">
        <f t="array" ref="Z17">_xll.BDH("CAT US Equity","CF_NET_CASH_DISCONT_OPS_OPER","FQ2 2024","FQ2 2024","Currency=USD","Period=FQ","BEST_FPERIOD_OVERRIDE=FQ","FILING_STATUS=MR","SCALING_FORMAT=MLN","Sort=A","Dates=H","DateFormat=P","Fill=—","Direction=H","UseDPDF=Y")</f>
        <v>0</v>
      </c>
      <c r="AA17" s="12" cm="1">
        <f t="array" ref="AA17">_xll.BDH("CAT US Equity","CF_NET_CASH_DISCONT_OPS_OPER","FQ3 2024","FQ3 2024","Currency=USD","Period=FQ","BEST_FPERIOD_OVERRIDE=FQ","FILING_STATUS=MR","SCALING_FORMAT=MLN","Sort=A","Dates=H","DateFormat=P","Fill=—","Direction=H","UseDPDF=Y")</f>
        <v>0</v>
      </c>
      <c r="AB17" s="12" cm="1">
        <f t="array" ref="AB17">_xll.BDH("CAT US Equity","CF_NET_CASH_DISCONT_OPS_OPER","FQ4 2024","FQ4 2024","Currency=USD","Period=FQ","BEST_FPERIOD_OVERRIDE=FQ","FILING_STATUS=MR","SCALING_FORMAT=MLN","Sort=A","Dates=H","DateFormat=P","Fill=—","Direction=H","UseDPDF=Y")</f>
        <v>0</v>
      </c>
      <c r="AC17" s="12" cm="1">
        <f t="array" ref="AC17">_xll.BDH("CAT US Equity","CF_NET_CASH_DISCONT_OPS_OPER","FQ1 2025","FQ1 2025","Currency=USD","Period=FQ","BEST_FPERIOD_OVERRIDE=FQ","FILING_STATUS=MR","SCALING_FORMAT=MLN","Sort=A","Dates=H","DateFormat=P","Fill=—","Direction=H","UseDPDF=Y")</f>
        <v>0</v>
      </c>
      <c r="AD17" s="12" cm="1">
        <f t="array" ref="AD17">_xll.BDH("CAT US Equity","CF_NET_CASH_DISCONT_OPS_OPER","FQ2 2025","FQ2 2025","Currency=USD","Period=FQ","BEST_FPERIOD_OVERRIDE=FQ","FILING_STATUS=MR","SCALING_FORMAT=MLN","Sort=A","Dates=H","DateFormat=P","Fill=—","Direction=H","UseDPDF=Y")</f>
        <v>0</v>
      </c>
      <c r="AE17" s="12" cm="1">
        <f t="array" ref="AE17">_xll.BDH("CAT US Equity","CF_NET_CASH_DISCONT_OPS_OPER","FQ3 2025","FQ3 2025","Currency=USD","Period=FQ","BEST_FPERIOD_OVERRIDE=FQ","FILING_STATUS=MR","SCALING_FORMAT=MLN","Sort=A","Dates=H","DateFormat=P","Fill=—","Direction=H","UseDPDF=Y")</f>
        <v>0</v>
      </c>
      <c r="AF17" s="12" cm="1">
        <f t="array" ref="AF17">_xll.BDH("CAT US Equity","CF_NET_CASH_DISCONT_OPS_OPER","FQ4 2025","FQ4 2025","Currency=USD","Period=FQ","BEST_FPERIOD_OVERRIDE=FQ","FILING_STATUS=MR","SCALING_FORMAT=MLN","Sort=A","Dates=H","DateFormat=P","Fill=—","Direction=H","UseDPDF=Y")</f>
        <v>0</v>
      </c>
    </row>
    <row r="18" spans="1:32" x14ac:dyDescent="0.25">
      <c r="A18" s="6" t="s">
        <v>65</v>
      </c>
      <c r="B18" s="6" t="s">
        <v>88</v>
      </c>
      <c r="C18" s="15" cm="1">
        <f t="array" ref="C18">_xll.BDH("CAT US Equity","CF_CASH_FROM_OPER","FQ3 2018","FQ3 2018","Currency=USD","Period=FQ","BEST_FPERIOD_OVERRIDE=FQ","FILING_STATUS=MR","SCALING_FORMAT=MLN","Sort=A","Dates=H","DateFormat=P","Fill=—","Direction=H","UseDPDF=Y")</f>
        <v>1392</v>
      </c>
      <c r="D18" s="15" cm="1">
        <f t="array" ref="D18">_xll.BDH("CAT US Equity","CF_CASH_FROM_OPER","FQ4 2018","FQ4 2018","Currency=USD","Period=FQ","BEST_FPERIOD_OVERRIDE=FQ","FILING_STATUS=MR","SCALING_FORMAT=MLN","Sort=A","Dates=H","DateFormat=P","Fill=—","Direction=H","UseDPDF=Y")</f>
        <v>2083</v>
      </c>
      <c r="E18" s="15" cm="1">
        <f t="array" ref="E18">_xll.BDH("CAT US Equity","CF_CASH_FROM_OPER","FQ1 2019","FQ1 2019","Currency=USD","Period=FQ","BEST_FPERIOD_OVERRIDE=FQ","FILING_STATUS=MR","SCALING_FORMAT=MLN","Sort=A","Dates=H","DateFormat=P","Fill=—","Direction=H","UseDPDF=Y")</f>
        <v>1121</v>
      </c>
      <c r="F18" s="15" cm="1">
        <f t="array" ref="F18">_xll.BDH("CAT US Equity","CF_CASH_FROM_OPER","FQ2 2019","FQ2 2019","Currency=USD","Period=FQ","BEST_FPERIOD_OVERRIDE=FQ","FILING_STATUS=MR","SCALING_FORMAT=MLN","Sort=A","Dates=H","DateFormat=P","Fill=—","Direction=H","UseDPDF=Y")</f>
        <v>2588</v>
      </c>
      <c r="G18" s="15" cm="1">
        <f t="array" ref="G18">_xll.BDH("CAT US Equity","CF_CASH_FROM_OPER","FQ3 2019","FQ3 2019","Currency=USD","Period=FQ","BEST_FPERIOD_OVERRIDE=FQ","FILING_STATUS=MR","SCALING_FORMAT=MLN","Sort=A","Dates=H","DateFormat=P","Fill=—","Direction=H","UseDPDF=Y")</f>
        <v>769</v>
      </c>
      <c r="H18" s="15" cm="1">
        <f t="array" ref="H18">_xll.BDH("CAT US Equity","CF_CASH_FROM_OPER","FQ4 2019","FQ4 2019","Currency=USD","Period=FQ","BEST_FPERIOD_OVERRIDE=FQ","FILING_STATUS=MR","SCALING_FORMAT=MLN","Sort=A","Dates=H","DateFormat=P","Fill=—","Direction=H","UseDPDF=Y")</f>
        <v>2434</v>
      </c>
      <c r="I18" s="15" cm="1">
        <f t="array" ref="I18">_xll.BDH("CAT US Equity","CF_CASH_FROM_OPER","FQ1 2020","FQ1 2020","Currency=USD","Period=FQ","BEST_FPERIOD_OVERRIDE=FQ","FILING_STATUS=MR","SCALING_FORMAT=MLN","Sort=A","Dates=H","DateFormat=P","Fill=—","Direction=H","UseDPDF=Y")</f>
        <v>1130</v>
      </c>
      <c r="J18" s="15" cm="1">
        <f t="array" ref="J18">_xll.BDH("CAT US Equity","CF_CASH_FROM_OPER","FQ2 2020","FQ2 2020","Currency=USD","Period=FQ","BEST_FPERIOD_OVERRIDE=FQ","FILING_STATUS=MR","SCALING_FORMAT=MLN","Sort=A","Dates=H","DateFormat=P","Fill=—","Direction=H","UseDPDF=Y")</f>
        <v>1391</v>
      </c>
      <c r="K18" s="15" cm="1">
        <f t="array" ref="K18">_xll.BDH("CAT US Equity","CF_CASH_FROM_OPER","FQ3 2020","FQ3 2020","Currency=USD","Period=FQ","BEST_FPERIOD_OVERRIDE=FQ","FILING_STATUS=MR","SCALING_FORMAT=MLN","Sort=A","Dates=H","DateFormat=P","Fill=—","Direction=H","UseDPDF=Y")</f>
        <v>1734</v>
      </c>
      <c r="L18" s="15" cm="1">
        <f t="array" ref="L18">_xll.BDH("CAT US Equity","CF_CASH_FROM_OPER","FQ4 2020","FQ4 2020","Currency=USD","Period=FQ","BEST_FPERIOD_OVERRIDE=FQ","FILING_STATUS=MR","SCALING_FORMAT=MLN","Sort=A","Dates=H","DateFormat=P","Fill=—","Direction=H","UseDPDF=Y")</f>
        <v>2072</v>
      </c>
      <c r="M18" s="15" cm="1">
        <f t="array" ref="M18">_xll.BDH("CAT US Equity","CF_CASH_FROM_OPER","FQ1 2021","FQ1 2021","Currency=USD","Period=FQ","BEST_FPERIOD_OVERRIDE=FQ","FILING_STATUS=MR","SCALING_FORMAT=MLN","Sort=A","Dates=H","DateFormat=P","Fill=—","Direction=H","UseDPDF=Y")</f>
        <v>1928</v>
      </c>
      <c r="N18" s="15" cm="1">
        <f t="array" ref="N18">_xll.BDH("CAT US Equity","CF_CASH_FROM_OPER","FQ2 2021","FQ2 2021","Currency=USD","Period=FQ","BEST_FPERIOD_OVERRIDE=FQ","FILING_STATUS=MR","SCALING_FORMAT=MLN","Sort=A","Dates=H","DateFormat=P","Fill=—","Direction=H","UseDPDF=Y")</f>
        <v>2118</v>
      </c>
      <c r="O18" s="15" cm="1">
        <f t="array" ref="O18">_xll.BDH("CAT US Equity","CF_CASH_FROM_OPER","FQ3 2021","FQ3 2021","Currency=USD","Period=FQ","BEST_FPERIOD_OVERRIDE=FQ","FILING_STATUS=MR","SCALING_FORMAT=MLN","Sort=A","Dates=H","DateFormat=P","Fill=—","Direction=H","UseDPDF=Y")</f>
        <v>1740</v>
      </c>
      <c r="P18" s="15" cm="1">
        <f t="array" ref="P18">_xll.BDH("CAT US Equity","CF_CASH_FROM_OPER","FQ4 2021","FQ4 2021","Currency=USD","Period=FQ","BEST_FPERIOD_OVERRIDE=FQ","FILING_STATUS=MR","SCALING_FORMAT=MLN","Sort=A","Dates=H","DateFormat=P","Fill=—","Direction=H","UseDPDF=Y")</f>
        <v>1412</v>
      </c>
      <c r="Q18" s="15" cm="1">
        <f t="array" ref="Q18">_xll.BDH("CAT US Equity","CF_CASH_FROM_OPER","FQ1 2022","FQ1 2022","Currency=USD","Period=FQ","BEST_FPERIOD_OVERRIDE=FQ","FILING_STATUS=MR","SCALING_FORMAT=MLN","Sort=A","Dates=H","DateFormat=P","Fill=—","Direction=H","UseDPDF=Y")</f>
        <v>313</v>
      </c>
      <c r="R18" s="15" cm="1">
        <f t="array" ref="R18">_xll.BDH("CAT US Equity","CF_CASH_FROM_OPER","FQ2 2022","FQ2 2022","Currency=USD","Period=FQ","BEST_FPERIOD_OVERRIDE=FQ","FILING_STATUS=MR","SCALING_FORMAT=MLN","Sort=A","Dates=H","DateFormat=P","Fill=—","Direction=H","UseDPDF=Y")</f>
        <v>2233</v>
      </c>
      <c r="S18" s="15" cm="1">
        <f t="array" ref="S18">_xll.BDH("CAT US Equity","CF_CASH_FROM_OPER","FQ3 2022","FQ3 2022","Currency=USD","Period=FQ","BEST_FPERIOD_OVERRIDE=FQ","FILING_STATUS=MR","SCALING_FORMAT=MLN","Sort=A","Dates=H","DateFormat=P","Fill=—","Direction=H","UseDPDF=Y")</f>
        <v>2481</v>
      </c>
      <c r="T18" s="15" cm="1">
        <f t="array" ref="T18">_xll.BDH("CAT US Equity","CF_CASH_FROM_OPER","FQ4 2022","FQ4 2022","Currency=USD","Period=FQ","BEST_FPERIOD_OVERRIDE=FQ","FILING_STATUS=MR","SCALING_FORMAT=MLN","Sort=A","Dates=H","DateFormat=P","Fill=—","Direction=H","UseDPDF=Y")</f>
        <v>2739</v>
      </c>
      <c r="U18" s="15" cm="1">
        <f t="array" ref="U18">_xll.BDH("CAT US Equity","CF_CASH_FROM_OPER","FQ1 2023","FQ1 2023","Currency=USD","Period=FQ","BEST_FPERIOD_OVERRIDE=FQ","FILING_STATUS=MR","SCALING_FORMAT=MLN","Sort=A","Dates=H","DateFormat=P","Fill=—","Direction=H","UseDPDF=Y")</f>
        <v>1573</v>
      </c>
      <c r="V18" s="15" cm="1">
        <f t="array" ref="V18">_xll.BDH("CAT US Equity","CF_CASH_FROM_OPER","FQ2 2023","FQ2 2023","Currency=USD","Period=FQ","BEST_FPERIOD_OVERRIDE=FQ","FILING_STATUS=MR","SCALING_FORMAT=MLN","Sort=A","Dates=H","DateFormat=P","Fill=—","Direction=H","UseDPDF=Y")</f>
        <v>3249</v>
      </c>
      <c r="W18" s="15" cm="1">
        <f t="array" ref="W18">_xll.BDH("CAT US Equity","CF_CASH_FROM_OPER","FQ3 2023","FQ3 2023","Currency=USD","Period=FQ","BEST_FPERIOD_OVERRIDE=FQ","FILING_STATUS=MR","SCALING_FORMAT=MLN","Sort=A","Dates=H","DateFormat=P","Fill=—","Direction=H","UseDPDF=Y")</f>
        <v>4060</v>
      </c>
      <c r="X18" s="15" cm="1">
        <f t="array" ref="X18">_xll.BDH("CAT US Equity","CF_CASH_FROM_OPER","FQ4 2023","FQ4 2023","Currency=USD","Period=FQ","BEST_FPERIOD_OVERRIDE=FQ","FILING_STATUS=MR","SCALING_FORMAT=MLN","Sort=A","Dates=H","DateFormat=P","Fill=—","Direction=H","UseDPDF=Y")</f>
        <v>4003</v>
      </c>
      <c r="Y18" s="15" cm="1">
        <f t="array" ref="Y18">_xll.BDH("CAT US Equity","CF_CASH_FROM_OPER","FQ1 2024","FQ1 2024","Currency=USD","Period=FQ","BEST_FPERIOD_OVERRIDE=FQ","FILING_STATUS=MR","SCALING_FORMAT=MLN","Sort=A","Dates=H","DateFormat=P","Fill=—","Direction=H","UseDPDF=Y")</f>
        <v>2052</v>
      </c>
      <c r="Z18" s="15" cm="1">
        <f t="array" ref="Z18">_xll.BDH("CAT US Equity","CF_CASH_FROM_OPER","FQ2 2024","FQ2 2024","Currency=USD","Period=FQ","BEST_FPERIOD_OVERRIDE=FQ","FILING_STATUS=MR","SCALING_FORMAT=MLN","Sort=A","Dates=H","DateFormat=P","Fill=—","Direction=H","UseDPDF=Y")</f>
        <v>3021</v>
      </c>
      <c r="AA18" s="15" cm="1">
        <f t="array" ref="AA18">_xll.BDH("CAT US Equity","CF_CASH_FROM_OPER","FQ3 2024","FQ3 2024","Currency=USD","Period=FQ","BEST_FPERIOD_OVERRIDE=FQ","FILING_STATUS=MR","SCALING_FORMAT=MLN","Sort=A","Dates=H","DateFormat=P","Fill=—","Direction=H","UseDPDF=Y")</f>
        <v>3569</v>
      </c>
      <c r="AB18" s="15" cm="1">
        <f t="array" ref="AB18">_xll.BDH("CAT US Equity","CF_CASH_FROM_OPER","FQ4 2024","FQ4 2024","Currency=USD","Period=FQ","BEST_FPERIOD_OVERRIDE=FQ","FILING_STATUS=MR","SCALING_FORMAT=MLN","Sort=A","Dates=H","DateFormat=P","Fill=—","Direction=H","UseDPDF=Y")</f>
        <v>3393</v>
      </c>
      <c r="AC18" s="15" cm="1">
        <f t="array" ref="AC18">_xll.BDH("CAT US Equity","CF_CASH_FROM_OPER","FQ1 2025","FQ1 2025","Currency=USD","Period=FQ","BEST_FPERIOD_OVERRIDE=FQ","FILING_STATUS=MR","SCALING_FORMAT=MLN","Sort=A","Dates=H","DateFormat=P","Fill=—","Direction=H","UseDPDF=Y")</f>
        <v>1289</v>
      </c>
      <c r="AD18" s="15" cm="1">
        <f t="array" ref="AD18">_xll.BDH("CAT US Equity","CF_CASH_FROM_OPER","FQ2 2025","FQ2 2025","Currency=USD","Period=FQ","BEST_FPERIOD_OVERRIDE=FQ","FILING_STATUS=MR","SCALING_FORMAT=MLN","Sort=A","Dates=H","DateFormat=P","Fill=—","Direction=H","UseDPDF=Y")</f>
        <v>3122</v>
      </c>
      <c r="AE18" s="15" cm="1">
        <f t="array" ref="AE18">_xll.BDH("CAT US Equity","CF_CASH_FROM_OPER","FQ3 2025","FQ3 2025","Currency=USD","Period=FQ","BEST_FPERIOD_OVERRIDE=FQ","FILING_STATUS=MR","SCALING_FORMAT=MLN","Sort=A","Dates=H","DateFormat=P","Fill=—","Direction=H","UseDPDF=Y")</f>
        <v>3737</v>
      </c>
      <c r="AF18" s="15" cm="1">
        <f t="array" ref="AF18">_xll.BDH("CAT US Equity","CF_CASH_FROM_OPER","FQ4 2025","FQ4 2025","Currency=USD","Period=FQ","BEST_FPERIOD_OVERRIDE=FQ","FILING_STATUS=MR","SCALING_FORMAT=MLN","Sort=A","Dates=H","DateFormat=P","Fill=—","Direction=H","UseDPDF=Y")</f>
        <v>3591</v>
      </c>
    </row>
    <row r="19" spans="1:32" x14ac:dyDescent="0.25">
      <c r="A19" s="6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</row>
    <row r="20" spans="1:32" x14ac:dyDescent="0.25">
      <c r="A20" s="6" t="s">
        <v>89</v>
      </c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</row>
    <row r="21" spans="1:32" x14ac:dyDescent="0.25">
      <c r="A21" s="10" t="s">
        <v>90</v>
      </c>
      <c r="B21" s="10" t="s">
        <v>91</v>
      </c>
      <c r="C21" s="12" cm="1">
        <f t="array" ref="C21">_xll.BDH("CAT US Equity","FIXED_INTANG_ASST_CHANGE","FQ3 2018","FQ3 2018","Currency=USD","Period=FQ","BEST_FPERIOD_OVERRIDE=FQ","FILING_STATUS=MR","SCALING_FORMAT=MLN","Sort=A","Dates=H","DateFormat=P","Fill=—","Direction=H","UseDPDF=Y")</f>
        <v>-408</v>
      </c>
      <c r="D21" s="12" cm="1">
        <f t="array" ref="D21">_xll.BDH("CAT US Equity","FIXED_INTANG_ASST_CHANGE","FQ4 2018","FQ4 2018","Currency=USD","Period=FQ","BEST_FPERIOD_OVERRIDE=FQ","FILING_STATUS=MR","SCALING_FORMAT=MLN","Sort=A","Dates=H","DateFormat=P","Fill=—","Direction=H","UseDPDF=Y")</f>
        <v>-583</v>
      </c>
      <c r="E21" s="12" cm="1">
        <f t="array" ref="E21">_xll.BDH("CAT US Equity","FIXED_INTANG_ASST_CHANGE","FQ1 2019","FQ1 2019","Currency=USD","Period=FQ","BEST_FPERIOD_OVERRIDE=FQ","FILING_STATUS=MR","SCALING_FORMAT=MLN","Sort=A","Dates=H","DateFormat=P","Fill=—","Direction=H","UseDPDF=Y")</f>
        <v>-338</v>
      </c>
      <c r="F21" s="12" cm="1">
        <f t="array" ref="F21">_xll.BDH("CAT US Equity","FIXED_INTANG_ASST_CHANGE","FQ2 2019","FQ2 2019","Currency=USD","Period=FQ","BEST_FPERIOD_OVERRIDE=FQ","FILING_STATUS=MR","SCALING_FORMAT=MLN","Sort=A","Dates=H","DateFormat=P","Fill=—","Direction=H","UseDPDF=Y")</f>
        <v>-465</v>
      </c>
      <c r="G21" s="12" cm="1">
        <f t="array" ref="G21">_xll.BDH("CAT US Equity","FIXED_INTANG_ASST_CHANGE","FQ3 2019","FQ3 2019","Currency=USD","Period=FQ","BEST_FPERIOD_OVERRIDE=FQ","FILING_STATUS=MR","SCALING_FORMAT=MLN","Sort=A","Dates=H","DateFormat=P","Fill=—","Direction=H","UseDPDF=Y")</f>
        <v>-241</v>
      </c>
      <c r="H21" s="12" cm="1">
        <f t="array" ref="H21">_xll.BDH("CAT US Equity","FIXED_INTANG_ASST_CHANGE","FQ4 2019","FQ4 2019","Currency=USD","Period=FQ","BEST_FPERIOD_OVERRIDE=FQ","FILING_STATUS=MR","SCALING_FORMAT=MLN","Sort=A","Dates=H","DateFormat=P","Fill=—","Direction=H","UseDPDF=Y")</f>
        <v>-472</v>
      </c>
      <c r="I21" s="12" cm="1">
        <f t="array" ref="I21">_xll.BDH("CAT US Equity","FIXED_INTANG_ASST_CHANGE","FQ1 2020","FQ1 2020","Currency=USD","Period=FQ","BEST_FPERIOD_OVERRIDE=FQ","FILING_STATUS=MR","SCALING_FORMAT=MLN","Sort=A","Dates=H","DateFormat=P","Fill=—","Direction=H","UseDPDF=Y")</f>
        <v>-332</v>
      </c>
      <c r="J21" s="12" cm="1">
        <f t="array" ref="J21">_xll.BDH("CAT US Equity","FIXED_INTANG_ASST_CHANGE","FQ2 2020","FQ2 2020","Currency=USD","Period=FQ","BEST_FPERIOD_OVERRIDE=FQ","FILING_STATUS=MR","SCALING_FORMAT=MLN","Sort=A","Dates=H","DateFormat=P","Fill=—","Direction=H","UseDPDF=Y")</f>
        <v>-284</v>
      </c>
      <c r="K21" s="12" cm="1">
        <f t="array" ref="K21">_xll.BDH("CAT US Equity","FIXED_INTANG_ASST_CHANGE","FQ3 2020","FQ3 2020","Currency=USD","Period=FQ","BEST_FPERIOD_OVERRIDE=FQ","FILING_STATUS=MR","SCALING_FORMAT=MLN","Sort=A","Dates=H","DateFormat=P","Fill=—","Direction=H","UseDPDF=Y")</f>
        <v>-325</v>
      </c>
      <c r="L21" s="12" cm="1">
        <f t="array" ref="L21">_xll.BDH("CAT US Equity","FIXED_INTANG_ASST_CHANGE","FQ4 2020","FQ4 2020","Currency=USD","Period=FQ","BEST_FPERIOD_OVERRIDE=FQ","FILING_STATUS=MR","SCALING_FORMAT=MLN","Sort=A","Dates=H","DateFormat=P","Fill=—","Direction=H","UseDPDF=Y")</f>
        <v>-402</v>
      </c>
      <c r="M21" s="12" cm="1">
        <f t="array" ref="M21">_xll.BDH("CAT US Equity","FIXED_INTANG_ASST_CHANGE","FQ1 2021","FQ1 2021","Currency=USD","Period=FQ","BEST_FPERIOD_OVERRIDE=FQ","FILING_STATUS=MR","SCALING_FORMAT=MLN","Sort=A","Dates=H","DateFormat=P","Fill=—","Direction=H","UseDPDF=Y")</f>
        <v>-195</v>
      </c>
      <c r="N21" s="12" cm="1">
        <f t="array" ref="N21">_xll.BDH("CAT US Equity","FIXED_INTANG_ASST_CHANGE","FQ2 2021","FQ2 2021","Currency=USD","Period=FQ","BEST_FPERIOD_OVERRIDE=FQ","FILING_STATUS=MR","SCALING_FORMAT=MLN","Sort=A","Dates=H","DateFormat=P","Fill=—","Direction=H","UseDPDF=Y")</f>
        <v>-269</v>
      </c>
      <c r="O21" s="12" cm="1">
        <f t="array" ref="O21">_xll.BDH("CAT US Equity","FIXED_INTANG_ASST_CHANGE","FQ3 2021","FQ3 2021","Currency=USD","Period=FQ","BEST_FPERIOD_OVERRIDE=FQ","FILING_STATUS=MR","SCALING_FORMAT=MLN","Sort=A","Dates=H","DateFormat=P","Fill=—","Direction=H","UseDPDF=Y")</f>
        <v>-346</v>
      </c>
      <c r="P21" s="12" cm="1">
        <f t="array" ref="P21">_xll.BDH("CAT US Equity","FIXED_INTANG_ASST_CHANGE","FQ4 2021","FQ4 2021","Currency=USD","Period=FQ","BEST_FPERIOD_OVERRIDE=FQ","FILING_STATUS=MR","SCALING_FORMAT=MLN","Sort=A","Dates=H","DateFormat=P","Fill=—","Direction=H","UseDPDF=Y")</f>
        <v>-397</v>
      </c>
      <c r="Q21" s="12" cm="1">
        <f t="array" ref="Q21">_xll.BDH("CAT US Equity","FIXED_INTANG_ASST_CHANGE","FQ1 2022","FQ1 2022","Currency=USD","Period=FQ","BEST_FPERIOD_OVERRIDE=FQ","FILING_STATUS=MR","SCALING_FORMAT=MLN","Sort=A","Dates=H","DateFormat=P","Fill=—","Direction=H","UseDPDF=Y")</f>
        <v>-410</v>
      </c>
      <c r="R21" s="12" cm="1">
        <f t="array" ref="R21">_xll.BDH("CAT US Equity","FIXED_INTANG_ASST_CHANGE","FQ2 2022","FQ2 2022","Currency=USD","Period=FQ","BEST_FPERIOD_OVERRIDE=FQ","FILING_STATUS=MR","SCALING_FORMAT=MLN","Sort=A","Dates=H","DateFormat=P","Fill=—","Direction=H","UseDPDF=Y")</f>
        <v>-396</v>
      </c>
      <c r="S21" s="12" cm="1">
        <f t="array" ref="S21">_xll.BDH("CAT US Equity","FIXED_INTANG_ASST_CHANGE","FQ3 2022","FQ3 2022","Currency=USD","Period=FQ","BEST_FPERIOD_OVERRIDE=FQ","FILING_STATUS=MR","SCALING_FORMAT=MLN","Sort=A","Dates=H","DateFormat=P","Fill=—","Direction=H","UseDPDF=Y")</f>
        <v>-419</v>
      </c>
      <c r="T21" s="12" cm="1">
        <f t="array" ref="T21">_xll.BDH("CAT US Equity","FIXED_INTANG_ASST_CHANGE","FQ4 2022","FQ4 2022","Currency=USD","Period=FQ","BEST_FPERIOD_OVERRIDE=FQ","FILING_STATUS=MR","SCALING_FORMAT=MLN","Sort=A","Dates=H","DateFormat=P","Fill=—","Direction=H","UseDPDF=Y")</f>
        <v>-544</v>
      </c>
      <c r="U21" s="12" cm="1">
        <f t="array" ref="U21">_xll.BDH("CAT US Equity","FIXED_INTANG_ASST_CHANGE","FQ1 2023","FQ1 2023","Currency=USD","Period=FQ","BEST_FPERIOD_OVERRIDE=FQ","FILING_STATUS=MR","SCALING_FORMAT=MLN","Sort=A","Dates=H","DateFormat=P","Fill=—","Direction=H","UseDPDF=Y")</f>
        <v>-566</v>
      </c>
      <c r="V21" s="12" cm="1">
        <f t="array" ref="V21">_xll.BDH("CAT US Equity","FIXED_INTANG_ASST_CHANGE","FQ2 2023","FQ2 2023","Currency=USD","Period=FQ","BEST_FPERIOD_OVERRIDE=FQ","FILING_STATUS=MR","SCALING_FORMAT=MLN","Sort=A","Dates=H","DateFormat=P","Fill=—","Direction=H","UseDPDF=Y")</f>
        <v>-523</v>
      </c>
      <c r="W21" s="12" cm="1">
        <f t="array" ref="W21">_xll.BDH("CAT US Equity","FIXED_INTANG_ASST_CHANGE","FQ3 2023","FQ3 2023","Currency=USD","Period=FQ","BEST_FPERIOD_OVERRIDE=FQ","FILING_STATUS=MR","SCALING_FORMAT=MLN","Sort=A","Dates=H","DateFormat=P","Fill=—","Direction=H","UseDPDF=Y")</f>
        <v>-586</v>
      </c>
      <c r="X21" s="12" cm="1">
        <f t="array" ref="X21">_xll.BDH("CAT US Equity","FIXED_INTANG_ASST_CHANGE","FQ4 2023","FQ4 2023","Currency=USD","Period=FQ","BEST_FPERIOD_OVERRIDE=FQ","FILING_STATUS=MR","SCALING_FORMAT=MLN","Sort=A","Dates=H","DateFormat=P","Fill=—","Direction=H","UseDPDF=Y")</f>
        <v>-636</v>
      </c>
      <c r="Y21" s="12" cm="1">
        <f t="array" ref="Y21">_xll.BDH("CAT US Equity","FIXED_INTANG_ASST_CHANGE","FQ1 2024","FQ1 2024","Currency=USD","Period=FQ","BEST_FPERIOD_OVERRIDE=FQ","FILING_STATUS=MR","SCALING_FORMAT=MLN","Sort=A","Dates=H","DateFormat=P","Fill=—","Direction=H","UseDPDF=Y")</f>
        <v>-581</v>
      </c>
      <c r="Z21" s="12" cm="1">
        <f t="array" ref="Z21">_xll.BDH("CAT US Equity","FIXED_INTANG_ASST_CHANGE","FQ2 2024","FQ2 2024","Currency=USD","Period=FQ","BEST_FPERIOD_OVERRIDE=FQ","FILING_STATUS=MR","SCALING_FORMAT=MLN","Sort=A","Dates=H","DateFormat=P","Fill=—","Direction=H","UseDPDF=Y")</f>
        <v>-532</v>
      </c>
      <c r="AA21" s="12" cm="1">
        <f t="array" ref="AA21">_xll.BDH("CAT US Equity","FIXED_INTANG_ASST_CHANGE","FQ3 2024","FQ3 2024","Currency=USD","Period=FQ","BEST_FPERIOD_OVERRIDE=FQ","FILING_STATUS=MR","SCALING_FORMAT=MLN","Sort=A","Dates=H","DateFormat=P","Fill=—","Direction=H","UseDPDF=Y")</f>
        <v>-524</v>
      </c>
      <c r="AB21" s="12" cm="1">
        <f t="array" ref="AB21">_xll.BDH("CAT US Equity","FIXED_INTANG_ASST_CHANGE","FQ4 2024","FQ4 2024","Currency=USD","Period=FQ","BEST_FPERIOD_OVERRIDE=FQ","FILING_STATUS=MR","SCALING_FORMAT=MLN","Sort=A","Dates=H","DateFormat=P","Fill=—","Direction=H","UseDPDF=Y")</f>
        <v>-856</v>
      </c>
      <c r="AC21" s="12" cm="1">
        <f t="array" ref="AC21">_xll.BDH("CAT US Equity","FIXED_INTANG_ASST_CHANGE","FQ1 2025","FQ1 2025","Currency=USD","Period=FQ","BEST_FPERIOD_OVERRIDE=FQ","FILING_STATUS=MR","SCALING_FORMAT=MLN","Sort=A","Dates=H","DateFormat=P","Fill=—","Direction=H","UseDPDF=Y")</f>
        <v>-769</v>
      </c>
      <c r="AD21" s="12" cm="1">
        <f t="array" ref="AD21">_xll.BDH("CAT US Equity","FIXED_INTANG_ASST_CHANGE","FQ2 2025","FQ2 2025","Currency=USD","Period=FQ","BEST_FPERIOD_OVERRIDE=FQ","FILING_STATUS=MR","SCALING_FORMAT=MLN","Sort=A","Dates=H","DateFormat=P","Fill=—","Direction=H","UseDPDF=Y")</f>
        <v>-739</v>
      </c>
      <c r="AE21" s="12" cm="1">
        <f t="array" ref="AE21">_xll.BDH("CAT US Equity","FIXED_INTANG_ASST_CHANGE","FQ3 2025","FQ3 2025","Currency=USD","Period=FQ","BEST_FPERIOD_OVERRIDE=FQ","FILING_STATUS=MR","SCALING_FORMAT=MLN","Sort=A","Dates=H","DateFormat=P","Fill=—","Direction=H","UseDPDF=Y")</f>
        <v>-892</v>
      </c>
      <c r="AF21" s="12" cm="1">
        <f t="array" ref="AF21">_xll.BDH("CAT US Equity","FIXED_INTANG_ASST_CHANGE","FQ4 2025","FQ4 2025","Currency=USD","Period=FQ","BEST_FPERIOD_OVERRIDE=FQ","FILING_STATUS=MR","SCALING_FORMAT=MLN","Sort=A","Dates=H","DateFormat=P","Fill=—","Direction=H","UseDPDF=Y")</f>
        <v>-1178</v>
      </c>
    </row>
    <row r="22" spans="1:32" x14ac:dyDescent="0.25">
      <c r="A22" s="10" t="s">
        <v>92</v>
      </c>
      <c r="B22" s="10" t="s">
        <v>93</v>
      </c>
      <c r="C22" s="12" cm="1">
        <f t="array" ref="C22">_xll.BDH("CAT US Equity","DISPOSAL_OF_FIXED_INTANG","FQ3 2018","FQ3 2018","Currency=USD","Period=FQ","BEST_FPERIOD_OVERRIDE=FQ","FILING_STATUS=MR","SCALING_FORMAT=MLN","Sort=A","Dates=H","DateFormat=P","Fill=—","Direction=H","UseDPDF=Y")</f>
        <v>193</v>
      </c>
      <c r="D22" s="12" cm="1">
        <f t="array" ref="D22">_xll.BDH("CAT US Equity","DISPOSAL_OF_FIXED_INTANG","FQ4 2018","FQ4 2018","Currency=USD","Period=FQ","BEST_FPERIOD_OVERRIDE=FQ","FILING_STATUS=MR","SCALING_FORMAT=MLN","Sort=A","Dates=H","DateFormat=P","Fill=—","Direction=H","UseDPDF=Y")</f>
        <v>204</v>
      </c>
      <c r="E22" s="12" cm="1">
        <f t="array" ref="E22">_xll.BDH("CAT US Equity","DISPOSAL_OF_FIXED_INTANG","FQ1 2019","FQ1 2019","Currency=USD","Period=FQ","BEST_FPERIOD_OVERRIDE=FQ","FILING_STATUS=MR","SCALING_FORMAT=MLN","Sort=A","Dates=H","DateFormat=P","Fill=—","Direction=H","UseDPDF=Y")</f>
        <v>209</v>
      </c>
      <c r="F22" s="12" cm="1">
        <f t="array" ref="F22">_xll.BDH("CAT US Equity","DISPOSAL_OF_FIXED_INTANG","FQ2 2019","FQ2 2019","Currency=USD","Period=FQ","BEST_FPERIOD_OVERRIDE=FQ","FILING_STATUS=MR","SCALING_FORMAT=MLN","Sort=A","Dates=H","DateFormat=P","Fill=—","Direction=H","UseDPDF=Y")</f>
        <v>213</v>
      </c>
      <c r="G22" s="12" cm="1">
        <f t="array" ref="G22">_xll.BDH("CAT US Equity","DISPOSAL_OF_FIXED_INTANG","FQ3 2019","FQ3 2019","Currency=USD","Period=FQ","BEST_FPERIOD_OVERRIDE=FQ","FILING_STATUS=MR","SCALING_FORMAT=MLN","Sort=A","Dates=H","DateFormat=P","Fill=—","Direction=H","UseDPDF=Y")</f>
        <v>390</v>
      </c>
      <c r="H22" s="12" cm="1">
        <f t="array" ref="H22">_xll.BDH("CAT US Equity","DISPOSAL_OF_FIXED_INTANG","FQ4 2019","FQ4 2019","Currency=USD","Period=FQ","BEST_FPERIOD_OVERRIDE=FQ","FILING_STATUS=MR","SCALING_FORMAT=MLN","Sort=A","Dates=H","DateFormat=P","Fill=—","Direction=H","UseDPDF=Y")</f>
        <v>341</v>
      </c>
      <c r="I22" s="12" cm="1">
        <f t="array" ref="I22">_xll.BDH("CAT US Equity","DISPOSAL_OF_FIXED_INTANG","FQ1 2020","FQ1 2020","Currency=USD","Period=FQ","BEST_FPERIOD_OVERRIDE=FQ","FILING_STATUS=MR","SCALING_FORMAT=MLN","Sort=A","Dates=H","DateFormat=P","Fill=—","Direction=H","UseDPDF=Y")</f>
        <v>216</v>
      </c>
      <c r="J22" s="12" cm="1">
        <f t="array" ref="J22">_xll.BDH("CAT US Equity","DISPOSAL_OF_FIXED_INTANG","FQ2 2020","FQ2 2020","Currency=USD","Period=FQ","BEST_FPERIOD_OVERRIDE=FQ","FILING_STATUS=MR","SCALING_FORMAT=MLN","Sort=A","Dates=H","DateFormat=P","Fill=—","Direction=H","UseDPDF=Y")</f>
        <v>166</v>
      </c>
      <c r="K22" s="12" cm="1">
        <f t="array" ref="K22">_xll.BDH("CAT US Equity","DISPOSAL_OF_FIXED_INTANG","FQ3 2020","FQ3 2020","Currency=USD","Period=FQ","BEST_FPERIOD_OVERRIDE=FQ","FILING_STATUS=MR","SCALING_FORMAT=MLN","Sort=A","Dates=H","DateFormat=P","Fill=—","Direction=H","UseDPDF=Y")</f>
        <v>168</v>
      </c>
      <c r="L22" s="12" cm="1">
        <f t="array" ref="L22">_xll.BDH("CAT US Equity","DISPOSAL_OF_FIXED_INTANG","FQ4 2020","FQ4 2020","Currency=USD","Period=FQ","BEST_FPERIOD_OVERRIDE=FQ","FILING_STATUS=MR","SCALING_FORMAT=MLN","Sort=A","Dates=H","DateFormat=P","Fill=—","Direction=H","UseDPDF=Y")</f>
        <v>222</v>
      </c>
      <c r="M22" s="12" cm="1">
        <f t="array" ref="M22">_xll.BDH("CAT US Equity","DISPOSAL_OF_FIXED_INTANG","FQ1 2021","FQ1 2021","Currency=USD","Period=FQ","BEST_FPERIOD_OVERRIDE=FQ","FILING_STATUS=MR","SCALING_FORMAT=MLN","Sort=A","Dates=H","DateFormat=P","Fill=—","Direction=H","UseDPDF=Y")</f>
        <v>309</v>
      </c>
      <c r="N22" s="12" cm="1">
        <f t="array" ref="N22">_xll.BDH("CAT US Equity","DISPOSAL_OF_FIXED_INTANG","FQ2 2021","FQ2 2021","Currency=USD","Period=FQ","BEST_FPERIOD_OVERRIDE=FQ","FILING_STATUS=MR","SCALING_FORMAT=MLN","Sort=A","Dates=H","DateFormat=P","Fill=—","Direction=H","UseDPDF=Y")</f>
        <v>327</v>
      </c>
      <c r="O22" s="12" cm="1">
        <f t="array" ref="O22">_xll.BDH("CAT US Equity","DISPOSAL_OF_FIXED_INTANG","FQ3 2021","FQ3 2021","Currency=USD","Period=FQ","BEST_FPERIOD_OVERRIDE=FQ","FILING_STATUS=MR","SCALING_FORMAT=MLN","Sort=A","Dates=H","DateFormat=P","Fill=—","Direction=H","UseDPDF=Y")</f>
        <v>241</v>
      </c>
      <c r="P22" s="12" cm="1">
        <f t="array" ref="P22">_xll.BDH("CAT US Equity","DISPOSAL_OF_FIXED_INTANG","FQ4 2021","FQ4 2021","Currency=USD","Period=FQ","BEST_FPERIOD_OVERRIDE=FQ","FILING_STATUS=MR","SCALING_FORMAT=MLN","Sort=A","Dates=H","DateFormat=P","Fill=—","Direction=H","UseDPDF=Y")</f>
        <v>388</v>
      </c>
      <c r="Q22" s="12" cm="1">
        <f t="array" ref="Q22">_xll.BDH("CAT US Equity","DISPOSAL_OF_FIXED_INTANG","FQ1 2022","FQ1 2022","Currency=USD","Period=FQ","BEST_FPERIOD_OVERRIDE=FQ","FILING_STATUS=MR","SCALING_FORMAT=MLN","Sort=A","Dates=H","DateFormat=P","Fill=—","Direction=H","UseDPDF=Y")</f>
        <v>269</v>
      </c>
      <c r="R22" s="12" cm="1">
        <f t="array" ref="R22">_xll.BDH("CAT US Equity","DISPOSAL_OF_FIXED_INTANG","FQ2 2022","FQ2 2022","Currency=USD","Period=FQ","BEST_FPERIOD_OVERRIDE=FQ","FILING_STATUS=MR","SCALING_FORMAT=MLN","Sort=A","Dates=H","DateFormat=P","Fill=—","Direction=H","UseDPDF=Y")</f>
        <v>199</v>
      </c>
      <c r="S22" s="12" cm="1">
        <f t="array" ref="S22">_xll.BDH("CAT US Equity","DISPOSAL_OF_FIXED_INTANG","FQ3 2022","FQ3 2022","Currency=USD","Period=FQ","BEST_FPERIOD_OVERRIDE=FQ","FILING_STATUS=MR","SCALING_FORMAT=MLN","Sort=A","Dates=H","DateFormat=P","Fill=—","Direction=H","UseDPDF=Y")</f>
        <v>198</v>
      </c>
      <c r="T22" s="12" cm="1">
        <f t="array" ref="T22">_xll.BDH("CAT US Equity","DISPOSAL_OF_FIXED_INTANG","FQ4 2022","FQ4 2022","Currency=USD","Period=FQ","BEST_FPERIOD_OVERRIDE=FQ","FILING_STATUS=MR","SCALING_FORMAT=MLN","Sort=A","Dates=H","DateFormat=P","Fill=—","Direction=H","UseDPDF=Y")</f>
        <v>164</v>
      </c>
      <c r="U22" s="12" cm="1">
        <f t="array" ref="U22">_xll.BDH("CAT US Equity","DISPOSAL_OF_FIXED_INTANG","FQ1 2023","FQ1 2023","Currency=USD","Period=FQ","BEST_FPERIOD_OVERRIDE=FQ","FILING_STATUS=MR","SCALING_FORMAT=MLN","Sort=A","Dates=H","DateFormat=P","Fill=—","Direction=H","UseDPDF=Y")</f>
        <v>184</v>
      </c>
      <c r="V22" s="12" cm="1">
        <f t="array" ref="V22">_xll.BDH("CAT US Equity","DISPOSAL_OF_FIXED_INTANG","FQ2 2023","FQ2 2023","Currency=USD","Period=FQ","BEST_FPERIOD_OVERRIDE=FQ","FILING_STATUS=MR","SCALING_FORMAT=MLN","Sort=A","Dates=H","DateFormat=P","Fill=—","Direction=H","UseDPDF=Y")</f>
        <v>184</v>
      </c>
      <c r="W22" s="12" cm="1">
        <f t="array" ref="W22">_xll.BDH("CAT US Equity","DISPOSAL_OF_FIXED_INTANG","FQ3 2023","FQ3 2023","Currency=USD","Period=FQ","BEST_FPERIOD_OVERRIDE=FQ","FILING_STATUS=MR","SCALING_FORMAT=MLN","Sort=A","Dates=H","DateFormat=P","Fill=—","Direction=H","UseDPDF=Y")</f>
        <v>195</v>
      </c>
      <c r="X22" s="12" cm="1">
        <f t="array" ref="X22">_xll.BDH("CAT US Equity","DISPOSAL_OF_FIXED_INTANG","FQ4 2023","FQ4 2023","Currency=USD","Period=FQ","BEST_FPERIOD_OVERRIDE=FQ","FILING_STATUS=MR","SCALING_FORMAT=MLN","Sort=A","Dates=H","DateFormat=P","Fill=—","Direction=H","UseDPDF=Y")</f>
        <v>218</v>
      </c>
      <c r="Y22" s="12" cm="1">
        <f t="array" ref="Y22">_xll.BDH("CAT US Equity","DISPOSAL_OF_FIXED_INTANG","FQ1 2024","FQ1 2024","Currency=USD","Period=FQ","BEST_FPERIOD_OVERRIDE=FQ","FILING_STATUS=MR","SCALING_FORMAT=MLN","Sort=A","Dates=H","DateFormat=P","Fill=—","Direction=H","UseDPDF=Y")</f>
        <v>155</v>
      </c>
      <c r="Z22" s="12" cm="1">
        <f t="array" ref="Z22">_xll.BDH("CAT US Equity","DISPOSAL_OF_FIXED_INTANG","FQ2 2024","FQ2 2024","Currency=USD","Period=FQ","BEST_FPERIOD_OVERRIDE=FQ","FILING_STATUS=MR","SCALING_FORMAT=MLN","Sort=A","Dates=H","DateFormat=P","Fill=—","Direction=H","UseDPDF=Y")</f>
        <v>187</v>
      </c>
      <c r="AA22" s="12" cm="1">
        <f t="array" ref="AA22">_xll.BDH("CAT US Equity","DISPOSAL_OF_FIXED_INTANG","FQ3 2024","FQ3 2024","Currency=USD","Period=FQ","BEST_FPERIOD_OVERRIDE=FQ","FILING_STATUS=MR","SCALING_FORMAT=MLN","Sort=A","Dates=H","DateFormat=P","Fill=—","Direction=H","UseDPDF=Y")</f>
        <v>199</v>
      </c>
      <c r="AB22" s="12" cm="1">
        <f t="array" ref="AB22">_xll.BDH("CAT US Equity","DISPOSAL_OF_FIXED_INTANG","FQ4 2024","FQ4 2024","Currency=USD","Period=FQ","BEST_FPERIOD_OVERRIDE=FQ","FILING_STATUS=MR","SCALING_FORMAT=MLN","Sort=A","Dates=H","DateFormat=P","Fill=—","Direction=H","UseDPDF=Y")</f>
        <v>181</v>
      </c>
      <c r="AC22" s="12" cm="1">
        <f t="array" ref="AC22">_xll.BDH("CAT US Equity","DISPOSAL_OF_FIXED_INTANG","FQ1 2025","FQ1 2025","Currency=USD","Period=FQ","BEST_FPERIOD_OVERRIDE=FQ","FILING_STATUS=MR","SCALING_FORMAT=MLN","Sort=A","Dates=H","DateFormat=P","Fill=—","Direction=H","UseDPDF=Y")</f>
        <v>149</v>
      </c>
      <c r="AD22" s="12" cm="1">
        <f t="array" ref="AD22">_xll.BDH("CAT US Equity","DISPOSAL_OF_FIXED_INTANG","FQ2 2025","FQ2 2025","Currency=USD","Period=FQ","BEST_FPERIOD_OVERRIDE=FQ","FILING_STATUS=MR","SCALING_FORMAT=MLN","Sort=A","Dates=H","DateFormat=P","Fill=—","Direction=H","UseDPDF=Y")</f>
        <v>216</v>
      </c>
      <c r="AE22" s="12" cm="1">
        <f t="array" ref="AE22">_xll.BDH("CAT US Equity","DISPOSAL_OF_FIXED_INTANG","FQ3 2025","FQ3 2025","Currency=USD","Period=FQ","BEST_FPERIOD_OVERRIDE=FQ","FILING_STATUS=MR","SCALING_FORMAT=MLN","Sort=A","Dates=H","DateFormat=P","Fill=—","Direction=H","UseDPDF=Y")</f>
        <v>179</v>
      </c>
      <c r="AF22" s="12" cm="1">
        <f t="array" ref="AF22">_xll.BDH("CAT US Equity","DISPOSAL_OF_FIXED_INTANG","FQ4 2025","FQ4 2025","Currency=USD","Period=FQ","BEST_FPERIOD_OVERRIDE=FQ","FILING_STATUS=MR","SCALING_FORMAT=MLN","Sort=A","Dates=H","DateFormat=P","Fill=—","Direction=H","UseDPDF=Y")</f>
        <v>164</v>
      </c>
    </row>
    <row r="23" spans="1:32" x14ac:dyDescent="0.25">
      <c r="A23" s="11" t="s">
        <v>94</v>
      </c>
      <c r="B23" s="11" t="s">
        <v>95</v>
      </c>
      <c r="C23" s="16" cm="1">
        <f t="array" ref="C23">_xll.BDH("CAT US Equity","CF_DISPOSAL_OF_FIXED_PROD_ASSETS","FQ3 2018","FQ3 2018","Currency=USD","Period=FQ","BEST_FPERIOD_OVERRIDE=FQ","FILING_STATUS=MR","SCALING_FORMAT=MLN","Sort=A","Dates=H","DateFormat=P","Fill=—","Direction=H","UseDPDF=Y")</f>
        <v>193</v>
      </c>
      <c r="D23" s="16" cm="1">
        <f t="array" ref="D23">_xll.BDH("CAT US Equity","CF_DISPOSAL_OF_FIXED_PROD_ASSETS","FQ4 2018","FQ4 2018","Currency=USD","Period=FQ","BEST_FPERIOD_OVERRIDE=FQ","FILING_STATUS=MR","SCALING_FORMAT=MLN","Sort=A","Dates=H","DateFormat=P","Fill=—","Direction=H","UseDPDF=Y")</f>
        <v>204</v>
      </c>
      <c r="E23" s="16" cm="1">
        <f t="array" ref="E23">_xll.BDH("CAT US Equity","CF_DISPOSAL_OF_FIXED_PROD_ASSETS","FQ1 2019","FQ1 2019","Currency=USD","Period=FQ","BEST_FPERIOD_OVERRIDE=FQ","FILING_STATUS=MR","SCALING_FORMAT=MLN","Sort=A","Dates=H","DateFormat=P","Fill=—","Direction=H","UseDPDF=Y")</f>
        <v>209</v>
      </c>
      <c r="F23" s="16" cm="1">
        <f t="array" ref="F23">_xll.BDH("CAT US Equity","CF_DISPOSAL_OF_FIXED_PROD_ASSETS","FQ2 2019","FQ2 2019","Currency=USD","Period=FQ","BEST_FPERIOD_OVERRIDE=FQ","FILING_STATUS=MR","SCALING_FORMAT=MLN","Sort=A","Dates=H","DateFormat=P","Fill=—","Direction=H","UseDPDF=Y")</f>
        <v>213</v>
      </c>
      <c r="G23" s="16" cm="1">
        <f t="array" ref="G23">_xll.BDH("CAT US Equity","CF_DISPOSAL_OF_FIXED_PROD_ASSETS","FQ3 2019","FQ3 2019","Currency=USD","Period=FQ","BEST_FPERIOD_OVERRIDE=FQ","FILING_STATUS=MR","SCALING_FORMAT=MLN","Sort=A","Dates=H","DateFormat=P","Fill=—","Direction=H","UseDPDF=Y")</f>
        <v>390</v>
      </c>
      <c r="H23" s="16" cm="1">
        <f t="array" ref="H23">_xll.BDH("CAT US Equity","CF_DISPOSAL_OF_FIXED_PROD_ASSETS","FQ4 2019","FQ4 2019","Currency=USD","Period=FQ","BEST_FPERIOD_OVERRIDE=FQ","FILING_STATUS=MR","SCALING_FORMAT=MLN","Sort=A","Dates=H","DateFormat=P","Fill=—","Direction=H","UseDPDF=Y")</f>
        <v>341</v>
      </c>
      <c r="I23" s="16" cm="1">
        <f t="array" ref="I23">_xll.BDH("CAT US Equity","CF_DISPOSAL_OF_FIXED_PROD_ASSETS","FQ1 2020","FQ1 2020","Currency=USD","Period=FQ","BEST_FPERIOD_OVERRIDE=FQ","FILING_STATUS=MR","SCALING_FORMAT=MLN","Sort=A","Dates=H","DateFormat=P","Fill=—","Direction=H","UseDPDF=Y")</f>
        <v>216</v>
      </c>
      <c r="J23" s="16" cm="1">
        <f t="array" ref="J23">_xll.BDH("CAT US Equity","CF_DISPOSAL_OF_FIXED_PROD_ASSETS","FQ2 2020","FQ2 2020","Currency=USD","Period=FQ","BEST_FPERIOD_OVERRIDE=FQ","FILING_STATUS=MR","SCALING_FORMAT=MLN","Sort=A","Dates=H","DateFormat=P","Fill=—","Direction=H","UseDPDF=Y")</f>
        <v>166</v>
      </c>
      <c r="K23" s="16" cm="1">
        <f t="array" ref="K23">_xll.BDH("CAT US Equity","CF_DISPOSAL_OF_FIXED_PROD_ASSETS","FQ3 2020","FQ3 2020","Currency=USD","Period=FQ","BEST_FPERIOD_OVERRIDE=FQ","FILING_STATUS=MR","SCALING_FORMAT=MLN","Sort=A","Dates=H","DateFormat=P","Fill=—","Direction=H","UseDPDF=Y")</f>
        <v>168</v>
      </c>
      <c r="L23" s="16" cm="1">
        <f t="array" ref="L23">_xll.BDH("CAT US Equity","CF_DISPOSAL_OF_FIXED_PROD_ASSETS","FQ4 2020","FQ4 2020","Currency=USD","Period=FQ","BEST_FPERIOD_OVERRIDE=FQ","FILING_STATUS=MR","SCALING_FORMAT=MLN","Sort=A","Dates=H","DateFormat=P","Fill=—","Direction=H","UseDPDF=Y")</f>
        <v>222</v>
      </c>
      <c r="M23" s="16" cm="1">
        <f t="array" ref="M23">_xll.BDH("CAT US Equity","CF_DISPOSAL_OF_FIXED_PROD_ASSETS","FQ1 2021","FQ1 2021","Currency=USD","Period=FQ","BEST_FPERIOD_OVERRIDE=FQ","FILING_STATUS=MR","SCALING_FORMAT=MLN","Sort=A","Dates=H","DateFormat=P","Fill=—","Direction=H","UseDPDF=Y")</f>
        <v>309</v>
      </c>
      <c r="N23" s="16" cm="1">
        <f t="array" ref="N23">_xll.BDH("CAT US Equity","CF_DISPOSAL_OF_FIXED_PROD_ASSETS","FQ2 2021","FQ2 2021","Currency=USD","Period=FQ","BEST_FPERIOD_OVERRIDE=FQ","FILING_STATUS=MR","SCALING_FORMAT=MLN","Sort=A","Dates=H","DateFormat=P","Fill=—","Direction=H","UseDPDF=Y")</f>
        <v>327</v>
      </c>
      <c r="O23" s="16" cm="1">
        <f t="array" ref="O23">_xll.BDH("CAT US Equity","CF_DISPOSAL_OF_FIXED_PROD_ASSETS","FQ3 2021","FQ3 2021","Currency=USD","Period=FQ","BEST_FPERIOD_OVERRIDE=FQ","FILING_STATUS=MR","SCALING_FORMAT=MLN","Sort=A","Dates=H","DateFormat=P","Fill=—","Direction=H","UseDPDF=Y")</f>
        <v>241</v>
      </c>
      <c r="P23" s="16" cm="1">
        <f t="array" ref="P23">_xll.BDH("CAT US Equity","CF_DISPOSAL_OF_FIXED_PROD_ASSETS","FQ4 2021","FQ4 2021","Currency=USD","Period=FQ","BEST_FPERIOD_OVERRIDE=FQ","FILING_STATUS=MR","SCALING_FORMAT=MLN","Sort=A","Dates=H","DateFormat=P","Fill=—","Direction=H","UseDPDF=Y")</f>
        <v>388</v>
      </c>
      <c r="Q23" s="16" cm="1">
        <f t="array" ref="Q23">_xll.BDH("CAT US Equity","CF_DISPOSAL_OF_FIXED_PROD_ASSETS","FQ1 2022","FQ1 2022","Currency=USD","Period=FQ","BEST_FPERIOD_OVERRIDE=FQ","FILING_STATUS=MR","SCALING_FORMAT=MLN","Sort=A","Dates=H","DateFormat=P","Fill=—","Direction=H","UseDPDF=Y")</f>
        <v>269</v>
      </c>
      <c r="R23" s="16" cm="1">
        <f t="array" ref="R23">_xll.BDH("CAT US Equity","CF_DISPOSAL_OF_FIXED_PROD_ASSETS","FQ2 2022","FQ2 2022","Currency=USD","Period=FQ","BEST_FPERIOD_OVERRIDE=FQ","FILING_STATUS=MR","SCALING_FORMAT=MLN","Sort=A","Dates=H","DateFormat=P","Fill=—","Direction=H","UseDPDF=Y")</f>
        <v>199</v>
      </c>
      <c r="S23" s="16" cm="1">
        <f t="array" ref="S23">_xll.BDH("CAT US Equity","CF_DISPOSAL_OF_FIXED_PROD_ASSETS","FQ3 2022","FQ3 2022","Currency=USD","Period=FQ","BEST_FPERIOD_OVERRIDE=FQ","FILING_STATUS=MR","SCALING_FORMAT=MLN","Sort=A","Dates=H","DateFormat=P","Fill=—","Direction=H","UseDPDF=Y")</f>
        <v>198</v>
      </c>
      <c r="T23" s="16" cm="1">
        <f t="array" ref="T23">_xll.BDH("CAT US Equity","CF_DISPOSAL_OF_FIXED_PROD_ASSETS","FQ4 2022","FQ4 2022","Currency=USD","Period=FQ","BEST_FPERIOD_OVERRIDE=FQ","FILING_STATUS=MR","SCALING_FORMAT=MLN","Sort=A","Dates=H","DateFormat=P","Fill=—","Direction=H","UseDPDF=Y")</f>
        <v>164</v>
      </c>
      <c r="U23" s="16" cm="1">
        <f t="array" ref="U23">_xll.BDH("CAT US Equity","CF_DISPOSAL_OF_FIXED_PROD_ASSETS","FQ1 2023","FQ1 2023","Currency=USD","Period=FQ","BEST_FPERIOD_OVERRIDE=FQ","FILING_STATUS=MR","SCALING_FORMAT=MLN","Sort=A","Dates=H","DateFormat=P","Fill=—","Direction=H","UseDPDF=Y")</f>
        <v>184</v>
      </c>
      <c r="V23" s="16" cm="1">
        <f t="array" ref="V23">_xll.BDH("CAT US Equity","CF_DISPOSAL_OF_FIXED_PROD_ASSETS","FQ2 2023","FQ2 2023","Currency=USD","Period=FQ","BEST_FPERIOD_OVERRIDE=FQ","FILING_STATUS=MR","SCALING_FORMAT=MLN","Sort=A","Dates=H","DateFormat=P","Fill=—","Direction=H","UseDPDF=Y")</f>
        <v>184</v>
      </c>
      <c r="W23" s="16" cm="1">
        <f t="array" ref="W23">_xll.BDH("CAT US Equity","CF_DISPOSAL_OF_FIXED_PROD_ASSETS","FQ3 2023","FQ3 2023","Currency=USD","Period=FQ","BEST_FPERIOD_OVERRIDE=FQ","FILING_STATUS=MR","SCALING_FORMAT=MLN","Sort=A","Dates=H","DateFormat=P","Fill=—","Direction=H","UseDPDF=Y")</f>
        <v>195</v>
      </c>
      <c r="X23" s="16" cm="1">
        <f t="array" ref="X23">_xll.BDH("CAT US Equity","CF_DISPOSAL_OF_FIXED_PROD_ASSETS","FQ4 2023","FQ4 2023","Currency=USD","Period=FQ","BEST_FPERIOD_OVERRIDE=FQ","FILING_STATUS=MR","SCALING_FORMAT=MLN","Sort=A","Dates=H","DateFormat=P","Fill=—","Direction=H","UseDPDF=Y")</f>
        <v>218</v>
      </c>
      <c r="Y23" s="16" cm="1">
        <f t="array" ref="Y23">_xll.BDH("CAT US Equity","CF_DISPOSAL_OF_FIXED_PROD_ASSETS","FQ1 2024","FQ1 2024","Currency=USD","Period=FQ","BEST_FPERIOD_OVERRIDE=FQ","FILING_STATUS=MR","SCALING_FORMAT=MLN","Sort=A","Dates=H","DateFormat=P","Fill=—","Direction=H","UseDPDF=Y")</f>
        <v>155</v>
      </c>
      <c r="Z23" s="16" cm="1">
        <f t="array" ref="Z23">_xll.BDH("CAT US Equity","CF_DISPOSAL_OF_FIXED_PROD_ASSETS","FQ2 2024","FQ2 2024","Currency=USD","Period=FQ","BEST_FPERIOD_OVERRIDE=FQ","FILING_STATUS=MR","SCALING_FORMAT=MLN","Sort=A","Dates=H","DateFormat=P","Fill=—","Direction=H","UseDPDF=Y")</f>
        <v>187</v>
      </c>
      <c r="AA23" s="16" cm="1">
        <f t="array" ref="AA23">_xll.BDH("CAT US Equity","CF_DISPOSAL_OF_FIXED_PROD_ASSETS","FQ3 2024","FQ3 2024","Currency=USD","Period=FQ","BEST_FPERIOD_OVERRIDE=FQ","FILING_STATUS=MR","SCALING_FORMAT=MLN","Sort=A","Dates=H","DateFormat=P","Fill=—","Direction=H","UseDPDF=Y")</f>
        <v>199</v>
      </c>
      <c r="AB23" s="16" cm="1">
        <f t="array" ref="AB23">_xll.BDH("CAT US Equity","CF_DISPOSAL_OF_FIXED_PROD_ASSETS","FQ4 2024","FQ4 2024","Currency=USD","Period=FQ","BEST_FPERIOD_OVERRIDE=FQ","FILING_STATUS=MR","SCALING_FORMAT=MLN","Sort=A","Dates=H","DateFormat=P","Fill=—","Direction=H","UseDPDF=Y")</f>
        <v>181</v>
      </c>
      <c r="AC23" s="16" cm="1">
        <f t="array" ref="AC23">_xll.BDH("CAT US Equity","CF_DISPOSAL_OF_FIXED_PROD_ASSETS","FQ1 2025","FQ1 2025","Currency=USD","Period=FQ","BEST_FPERIOD_OVERRIDE=FQ","FILING_STATUS=MR","SCALING_FORMAT=MLN","Sort=A","Dates=H","DateFormat=P","Fill=—","Direction=H","UseDPDF=Y")</f>
        <v>149</v>
      </c>
      <c r="AD23" s="16" cm="1">
        <f t="array" ref="AD23">_xll.BDH("CAT US Equity","CF_DISPOSAL_OF_FIXED_PROD_ASSETS","FQ2 2025","FQ2 2025","Currency=USD","Period=FQ","BEST_FPERIOD_OVERRIDE=FQ","FILING_STATUS=MR","SCALING_FORMAT=MLN","Sort=A","Dates=H","DateFormat=P","Fill=—","Direction=H","UseDPDF=Y")</f>
        <v>216</v>
      </c>
      <c r="AE23" s="16" cm="1">
        <f t="array" ref="AE23">_xll.BDH("CAT US Equity","CF_DISPOSAL_OF_FIXED_PROD_ASSETS","FQ3 2025","FQ3 2025","Currency=USD","Period=FQ","BEST_FPERIOD_OVERRIDE=FQ","FILING_STATUS=MR","SCALING_FORMAT=MLN","Sort=A","Dates=H","DateFormat=P","Fill=—","Direction=H","UseDPDF=Y")</f>
        <v>179</v>
      </c>
      <c r="AF23" s="16" cm="1">
        <f t="array" ref="AF23">_xll.BDH("CAT US Equity","CF_DISPOSAL_OF_FIXED_PROD_ASSETS","FQ4 2025","FQ4 2025","Currency=USD","Period=FQ","BEST_FPERIOD_OVERRIDE=FQ","FILING_STATUS=MR","SCALING_FORMAT=MLN","Sort=A","Dates=H","DateFormat=P","Fill=—","Direction=H","UseDPDF=Y")</f>
        <v>164</v>
      </c>
    </row>
    <row r="24" spans="1:32" x14ac:dyDescent="0.25">
      <c r="A24" s="11" t="s">
        <v>96</v>
      </c>
      <c r="B24" s="11" t="s">
        <v>97</v>
      </c>
      <c r="C24" s="16" cm="1">
        <f t="array" ref="C24">_xll.BDH("CAT US Equity","CF_DISPOSAL_OF_INTANGIBLE_ASSETS","FQ3 2018","FQ3 2018","Currency=USD","Period=FQ","BEST_FPERIOD_OVERRIDE=FQ","FILING_STATUS=MR","SCALING_FORMAT=MLN","Sort=A","Dates=H","DateFormat=P","Fill=—","Direction=H","UseDPDF=Y")</f>
        <v>0</v>
      </c>
      <c r="D24" s="16" cm="1">
        <f t="array" ref="D24">_xll.BDH("CAT US Equity","CF_DISPOSAL_OF_INTANGIBLE_ASSETS","FQ4 2018","FQ4 2018","Currency=USD","Period=FQ","BEST_FPERIOD_OVERRIDE=FQ","FILING_STATUS=MR","SCALING_FORMAT=MLN","Sort=A","Dates=H","DateFormat=P","Fill=—","Direction=H","UseDPDF=Y")</f>
        <v>0</v>
      </c>
      <c r="E24" s="16" cm="1">
        <f t="array" ref="E24">_xll.BDH("CAT US Equity","CF_DISPOSAL_OF_INTANGIBLE_ASSETS","FQ1 2019","FQ1 2019","Currency=USD","Period=FQ","BEST_FPERIOD_OVERRIDE=FQ","FILING_STATUS=MR","SCALING_FORMAT=MLN","Sort=A","Dates=H","DateFormat=P","Fill=—","Direction=H","UseDPDF=Y")</f>
        <v>0</v>
      </c>
      <c r="F24" s="16" cm="1">
        <f t="array" ref="F24">_xll.BDH("CAT US Equity","CF_DISPOSAL_OF_INTANGIBLE_ASSETS","FQ2 2019","FQ2 2019","Currency=USD","Period=FQ","BEST_FPERIOD_OVERRIDE=FQ","FILING_STATUS=MR","SCALING_FORMAT=MLN","Sort=A","Dates=H","DateFormat=P","Fill=—","Direction=H","UseDPDF=Y")</f>
        <v>0</v>
      </c>
      <c r="G24" s="16" cm="1">
        <f t="array" ref="G24">_xll.BDH("CAT US Equity","CF_DISPOSAL_OF_INTANGIBLE_ASSETS","FQ3 2019","FQ3 2019","Currency=USD","Period=FQ","BEST_FPERIOD_OVERRIDE=FQ","FILING_STATUS=MR","SCALING_FORMAT=MLN","Sort=A","Dates=H","DateFormat=P","Fill=—","Direction=H","UseDPDF=Y")</f>
        <v>0</v>
      </c>
      <c r="H24" s="16" cm="1">
        <f t="array" ref="H24">_xll.BDH("CAT US Equity","CF_DISPOSAL_OF_INTANGIBLE_ASSETS","FQ4 2019","FQ4 2019","Currency=USD","Period=FQ","BEST_FPERIOD_OVERRIDE=FQ","FILING_STATUS=MR","SCALING_FORMAT=MLN","Sort=A","Dates=H","DateFormat=P","Fill=—","Direction=H","UseDPDF=Y")</f>
        <v>0</v>
      </c>
      <c r="I24" s="16" cm="1">
        <f t="array" ref="I24">_xll.BDH("CAT US Equity","CF_DISPOSAL_OF_INTANGIBLE_ASSETS","FQ1 2020","FQ1 2020","Currency=USD","Period=FQ","BEST_FPERIOD_OVERRIDE=FQ","FILING_STATUS=MR","SCALING_FORMAT=MLN","Sort=A","Dates=H","DateFormat=P","Fill=—","Direction=H","UseDPDF=Y")</f>
        <v>0</v>
      </c>
      <c r="J24" s="16" cm="1">
        <f t="array" ref="J24">_xll.BDH("CAT US Equity","CF_DISPOSAL_OF_INTANGIBLE_ASSETS","FQ2 2020","FQ2 2020","Currency=USD","Period=FQ","BEST_FPERIOD_OVERRIDE=FQ","FILING_STATUS=MR","SCALING_FORMAT=MLN","Sort=A","Dates=H","DateFormat=P","Fill=—","Direction=H","UseDPDF=Y")</f>
        <v>0</v>
      </c>
      <c r="K24" s="16" cm="1">
        <f t="array" ref="K24">_xll.BDH("CAT US Equity","CF_DISPOSAL_OF_INTANGIBLE_ASSETS","FQ3 2020","FQ3 2020","Currency=USD","Period=FQ","BEST_FPERIOD_OVERRIDE=FQ","FILING_STATUS=MR","SCALING_FORMAT=MLN","Sort=A","Dates=H","DateFormat=P","Fill=—","Direction=H","UseDPDF=Y")</f>
        <v>0</v>
      </c>
      <c r="L24" s="16" cm="1">
        <f t="array" ref="L24">_xll.BDH("CAT US Equity","CF_DISPOSAL_OF_INTANGIBLE_ASSETS","FQ4 2020","FQ4 2020","Currency=USD","Period=FQ","BEST_FPERIOD_OVERRIDE=FQ","FILING_STATUS=MR","SCALING_FORMAT=MLN","Sort=A","Dates=H","DateFormat=P","Fill=—","Direction=H","UseDPDF=Y")</f>
        <v>0</v>
      </c>
      <c r="M24" s="16" cm="1">
        <f t="array" ref="M24">_xll.BDH("CAT US Equity","CF_DISPOSAL_OF_INTANGIBLE_ASSETS","FQ1 2021","FQ1 2021","Currency=USD","Period=FQ","BEST_FPERIOD_OVERRIDE=FQ","FILING_STATUS=MR","SCALING_FORMAT=MLN","Sort=A","Dates=H","DateFormat=P","Fill=—","Direction=H","UseDPDF=Y")</f>
        <v>0</v>
      </c>
      <c r="N24" s="16" cm="1">
        <f t="array" ref="N24">_xll.BDH("CAT US Equity","CF_DISPOSAL_OF_INTANGIBLE_ASSETS","FQ2 2021","FQ2 2021","Currency=USD","Period=FQ","BEST_FPERIOD_OVERRIDE=FQ","FILING_STATUS=MR","SCALING_FORMAT=MLN","Sort=A","Dates=H","DateFormat=P","Fill=—","Direction=H","UseDPDF=Y")</f>
        <v>0</v>
      </c>
      <c r="O24" s="16" cm="1">
        <f t="array" ref="O24">_xll.BDH("CAT US Equity","CF_DISPOSAL_OF_INTANGIBLE_ASSETS","FQ3 2021","FQ3 2021","Currency=USD","Period=FQ","BEST_FPERIOD_OVERRIDE=FQ","FILING_STATUS=MR","SCALING_FORMAT=MLN","Sort=A","Dates=H","DateFormat=P","Fill=—","Direction=H","UseDPDF=Y")</f>
        <v>0</v>
      </c>
      <c r="P24" s="16" cm="1">
        <f t="array" ref="P24">_xll.BDH("CAT US Equity","CF_DISPOSAL_OF_INTANGIBLE_ASSETS","FQ4 2021","FQ4 2021","Currency=USD","Period=FQ","BEST_FPERIOD_OVERRIDE=FQ","FILING_STATUS=MR","SCALING_FORMAT=MLN","Sort=A","Dates=H","DateFormat=P","Fill=—","Direction=H","UseDPDF=Y")</f>
        <v>0</v>
      </c>
      <c r="Q24" s="16" cm="1">
        <f t="array" ref="Q24">_xll.BDH("CAT US Equity","CF_DISPOSAL_OF_INTANGIBLE_ASSETS","FQ1 2022","FQ1 2022","Currency=USD","Period=FQ","BEST_FPERIOD_OVERRIDE=FQ","FILING_STATUS=MR","SCALING_FORMAT=MLN","Sort=A","Dates=H","DateFormat=P","Fill=—","Direction=H","UseDPDF=Y")</f>
        <v>0</v>
      </c>
      <c r="R24" s="16" cm="1">
        <f t="array" ref="R24">_xll.BDH("CAT US Equity","CF_DISPOSAL_OF_INTANGIBLE_ASSETS","FQ2 2022","FQ2 2022","Currency=USD","Period=FQ","BEST_FPERIOD_OVERRIDE=FQ","FILING_STATUS=MR","SCALING_FORMAT=MLN","Sort=A","Dates=H","DateFormat=P","Fill=—","Direction=H","UseDPDF=Y")</f>
        <v>0</v>
      </c>
      <c r="S24" s="16" cm="1">
        <f t="array" ref="S24">_xll.BDH("CAT US Equity","CF_DISPOSAL_OF_INTANGIBLE_ASSETS","FQ3 2022","FQ3 2022","Currency=USD","Period=FQ","BEST_FPERIOD_OVERRIDE=FQ","FILING_STATUS=MR","SCALING_FORMAT=MLN","Sort=A","Dates=H","DateFormat=P","Fill=—","Direction=H","UseDPDF=Y")</f>
        <v>0</v>
      </c>
      <c r="T24" s="16" cm="1">
        <f t="array" ref="T24">_xll.BDH("CAT US Equity","CF_DISPOSAL_OF_INTANGIBLE_ASSETS","FQ4 2022","FQ4 2022","Currency=USD","Period=FQ","BEST_FPERIOD_OVERRIDE=FQ","FILING_STATUS=MR","SCALING_FORMAT=MLN","Sort=A","Dates=H","DateFormat=P","Fill=—","Direction=H","UseDPDF=Y")</f>
        <v>0</v>
      </c>
      <c r="U24" s="16" cm="1">
        <f t="array" ref="U24">_xll.BDH("CAT US Equity","CF_DISPOSAL_OF_INTANGIBLE_ASSETS","FQ1 2023","FQ1 2023","Currency=USD","Period=FQ","BEST_FPERIOD_OVERRIDE=FQ","FILING_STATUS=MR","SCALING_FORMAT=MLN","Sort=A","Dates=H","DateFormat=P","Fill=—","Direction=H","UseDPDF=Y")</f>
        <v>0</v>
      </c>
      <c r="V24" s="16" cm="1">
        <f t="array" ref="V24">_xll.BDH("CAT US Equity","CF_DISPOSAL_OF_INTANGIBLE_ASSETS","FQ2 2023","FQ2 2023","Currency=USD","Period=FQ","BEST_FPERIOD_OVERRIDE=FQ","FILING_STATUS=MR","SCALING_FORMAT=MLN","Sort=A","Dates=H","DateFormat=P","Fill=—","Direction=H","UseDPDF=Y")</f>
        <v>0</v>
      </c>
      <c r="W24" s="16" cm="1">
        <f t="array" ref="W24">_xll.BDH("CAT US Equity","CF_DISPOSAL_OF_INTANGIBLE_ASSETS","FQ3 2023","FQ3 2023","Currency=USD","Period=FQ","BEST_FPERIOD_OVERRIDE=FQ","FILING_STATUS=MR","SCALING_FORMAT=MLN","Sort=A","Dates=H","DateFormat=P","Fill=—","Direction=H","UseDPDF=Y")</f>
        <v>0</v>
      </c>
      <c r="X24" s="16" cm="1">
        <f t="array" ref="X24">_xll.BDH("CAT US Equity","CF_DISPOSAL_OF_INTANGIBLE_ASSETS","FQ4 2023","FQ4 2023","Currency=USD","Period=FQ","BEST_FPERIOD_OVERRIDE=FQ","FILING_STATUS=MR","SCALING_FORMAT=MLN","Sort=A","Dates=H","DateFormat=P","Fill=—","Direction=H","UseDPDF=Y")</f>
        <v>0</v>
      </c>
      <c r="Y24" s="16" cm="1">
        <f t="array" ref="Y24">_xll.BDH("CAT US Equity","CF_DISPOSAL_OF_INTANGIBLE_ASSETS","FQ1 2024","FQ1 2024","Currency=USD","Period=FQ","BEST_FPERIOD_OVERRIDE=FQ","FILING_STATUS=MR","SCALING_FORMAT=MLN","Sort=A","Dates=H","DateFormat=P","Fill=—","Direction=H","UseDPDF=Y")</f>
        <v>0</v>
      </c>
      <c r="Z24" s="16" cm="1">
        <f t="array" ref="Z24">_xll.BDH("CAT US Equity","CF_DISPOSAL_OF_INTANGIBLE_ASSETS","FQ2 2024","FQ2 2024","Currency=USD","Period=FQ","BEST_FPERIOD_OVERRIDE=FQ","FILING_STATUS=MR","SCALING_FORMAT=MLN","Sort=A","Dates=H","DateFormat=P","Fill=—","Direction=H","UseDPDF=Y")</f>
        <v>0</v>
      </c>
      <c r="AA24" s="16" cm="1">
        <f t="array" ref="AA24">_xll.BDH("CAT US Equity","CF_DISPOSAL_OF_INTANGIBLE_ASSETS","FQ3 2024","FQ3 2024","Currency=USD","Period=FQ","BEST_FPERIOD_OVERRIDE=FQ","FILING_STATUS=MR","SCALING_FORMAT=MLN","Sort=A","Dates=H","DateFormat=P","Fill=—","Direction=H","UseDPDF=Y")</f>
        <v>0</v>
      </c>
      <c r="AB24" s="16" cm="1">
        <f t="array" ref="AB24">_xll.BDH("CAT US Equity","CF_DISPOSAL_OF_INTANGIBLE_ASSETS","FQ4 2024","FQ4 2024","Currency=USD","Period=FQ","BEST_FPERIOD_OVERRIDE=FQ","FILING_STATUS=MR","SCALING_FORMAT=MLN","Sort=A","Dates=H","DateFormat=P","Fill=—","Direction=H","UseDPDF=Y")</f>
        <v>0</v>
      </c>
      <c r="AC24" s="16" cm="1">
        <f t="array" ref="AC24">_xll.BDH("CAT US Equity","CF_DISPOSAL_OF_INTANGIBLE_ASSETS","FQ1 2025","FQ1 2025","Currency=USD","Period=FQ","BEST_FPERIOD_OVERRIDE=FQ","FILING_STATUS=MR","SCALING_FORMAT=MLN","Sort=A","Dates=H","DateFormat=P","Fill=—","Direction=H","UseDPDF=Y")</f>
        <v>0</v>
      </c>
      <c r="AD24" s="16" cm="1">
        <f t="array" ref="AD24">_xll.BDH("CAT US Equity","CF_DISPOSAL_OF_INTANGIBLE_ASSETS","FQ2 2025","FQ2 2025","Currency=USD","Period=FQ","BEST_FPERIOD_OVERRIDE=FQ","FILING_STATUS=MR","SCALING_FORMAT=MLN","Sort=A","Dates=H","DateFormat=P","Fill=—","Direction=H","UseDPDF=Y")</f>
        <v>0</v>
      </c>
      <c r="AE24" s="16" cm="1">
        <f t="array" ref="AE24">_xll.BDH("CAT US Equity","CF_DISPOSAL_OF_INTANGIBLE_ASSETS","FQ3 2025","FQ3 2025","Currency=USD","Period=FQ","BEST_FPERIOD_OVERRIDE=FQ","FILING_STATUS=MR","SCALING_FORMAT=MLN","Sort=A","Dates=H","DateFormat=P","Fill=—","Direction=H","UseDPDF=Y")</f>
        <v>0</v>
      </c>
      <c r="AF24" s="16" cm="1">
        <f t="array" ref="AF24">_xll.BDH("CAT US Equity","CF_DISPOSAL_OF_INTANGIBLE_ASSETS","FQ4 2025","FQ4 2025","Currency=USD","Period=FQ","BEST_FPERIOD_OVERRIDE=FQ","FILING_STATUS=MR","SCALING_FORMAT=MLN","Sort=A","Dates=H","DateFormat=P","Fill=—","Direction=H","UseDPDF=Y")</f>
        <v>0</v>
      </c>
    </row>
    <row r="25" spans="1:32" x14ac:dyDescent="0.25">
      <c r="A25" s="10" t="s">
        <v>98</v>
      </c>
      <c r="B25" s="10" t="s">
        <v>99</v>
      </c>
      <c r="C25" s="12" cm="1">
        <f t="array" ref="C25">_xll.BDH("CAT US Equity","ACQUIS_OF_FIXED_INTANG","FQ3 2018","FQ3 2018","Currency=USD","Period=FQ","BEST_FPERIOD_OVERRIDE=FQ","FILING_STATUS=MR","SCALING_FORMAT=MLN","Sort=A","Dates=H","DateFormat=P","Fill=—","Direction=H","UseDPDF=Y")</f>
        <v>-601</v>
      </c>
      <c r="D25" s="12" cm="1">
        <f t="array" ref="D25">_xll.BDH("CAT US Equity","ACQUIS_OF_FIXED_INTANG","FQ4 2018","FQ4 2018","Currency=USD","Period=FQ","BEST_FPERIOD_OVERRIDE=FQ","FILING_STATUS=MR","SCALING_FORMAT=MLN","Sort=A","Dates=H","DateFormat=P","Fill=—","Direction=H","UseDPDF=Y")</f>
        <v>-787</v>
      </c>
      <c r="E25" s="12" cm="1">
        <f t="array" ref="E25">_xll.BDH("CAT US Equity","ACQUIS_OF_FIXED_INTANG","FQ1 2019","FQ1 2019","Currency=USD","Period=FQ","BEST_FPERIOD_OVERRIDE=FQ","FILING_STATUS=MR","SCALING_FORMAT=MLN","Sort=A","Dates=H","DateFormat=P","Fill=—","Direction=H","UseDPDF=Y")</f>
        <v>-547</v>
      </c>
      <c r="F25" s="12" cm="1">
        <f t="array" ref="F25">_xll.BDH("CAT US Equity","ACQUIS_OF_FIXED_INTANG","FQ2 2019","FQ2 2019","Currency=USD","Period=FQ","BEST_FPERIOD_OVERRIDE=FQ","FILING_STATUS=MR","SCALING_FORMAT=MLN","Sort=A","Dates=H","DateFormat=P","Fill=—","Direction=H","UseDPDF=Y")</f>
        <v>-678</v>
      </c>
      <c r="G25" s="12" cm="1">
        <f t="array" ref="G25">_xll.BDH("CAT US Equity","ACQUIS_OF_FIXED_INTANG","FQ3 2019","FQ3 2019","Currency=USD","Period=FQ","BEST_FPERIOD_OVERRIDE=FQ","FILING_STATUS=MR","SCALING_FORMAT=MLN","Sort=A","Dates=H","DateFormat=P","Fill=—","Direction=H","UseDPDF=Y")</f>
        <v>-631</v>
      </c>
      <c r="H25" s="12" cm="1">
        <f t="array" ref="H25">_xll.BDH("CAT US Equity","ACQUIS_OF_FIXED_INTANG","FQ4 2019","FQ4 2019","Currency=USD","Period=FQ","BEST_FPERIOD_OVERRIDE=FQ","FILING_STATUS=MR","SCALING_FORMAT=MLN","Sort=A","Dates=H","DateFormat=P","Fill=—","Direction=H","UseDPDF=Y")</f>
        <v>-813</v>
      </c>
      <c r="I25" s="12" cm="1">
        <f t="array" ref="I25">_xll.BDH("CAT US Equity","ACQUIS_OF_FIXED_INTANG","FQ1 2020","FQ1 2020","Currency=USD","Period=FQ","BEST_FPERIOD_OVERRIDE=FQ","FILING_STATUS=MR","SCALING_FORMAT=MLN","Sort=A","Dates=H","DateFormat=P","Fill=—","Direction=H","UseDPDF=Y")</f>
        <v>-548</v>
      </c>
      <c r="J25" s="12" cm="1">
        <f t="array" ref="J25">_xll.BDH("CAT US Equity","ACQUIS_OF_FIXED_INTANG","FQ2 2020","FQ2 2020","Currency=USD","Period=FQ","BEST_FPERIOD_OVERRIDE=FQ","FILING_STATUS=MR","SCALING_FORMAT=MLN","Sort=A","Dates=H","DateFormat=P","Fill=—","Direction=H","UseDPDF=Y")</f>
        <v>-450</v>
      </c>
      <c r="K25" s="12" cm="1">
        <f t="array" ref="K25">_xll.BDH("CAT US Equity","ACQUIS_OF_FIXED_INTANG","FQ3 2020","FQ3 2020","Currency=USD","Period=FQ","BEST_FPERIOD_OVERRIDE=FQ","FILING_STATUS=MR","SCALING_FORMAT=MLN","Sort=A","Dates=H","DateFormat=P","Fill=—","Direction=H","UseDPDF=Y")</f>
        <v>-493</v>
      </c>
      <c r="L25" s="12" cm="1">
        <f t="array" ref="L25">_xll.BDH("CAT US Equity","ACQUIS_OF_FIXED_INTANG","FQ4 2020","FQ4 2020","Currency=USD","Period=FQ","BEST_FPERIOD_OVERRIDE=FQ","FILING_STATUS=MR","SCALING_FORMAT=MLN","Sort=A","Dates=H","DateFormat=P","Fill=—","Direction=H","UseDPDF=Y")</f>
        <v>-624</v>
      </c>
      <c r="M25" s="12" cm="1">
        <f t="array" ref="M25">_xll.BDH("CAT US Equity","ACQUIS_OF_FIXED_INTANG","FQ1 2021","FQ1 2021","Currency=USD","Period=FQ","BEST_FPERIOD_OVERRIDE=FQ","FILING_STATUS=MR","SCALING_FORMAT=MLN","Sort=A","Dates=H","DateFormat=P","Fill=—","Direction=H","UseDPDF=Y")</f>
        <v>-504</v>
      </c>
      <c r="N25" s="12" cm="1">
        <f t="array" ref="N25">_xll.BDH("CAT US Equity","ACQUIS_OF_FIXED_INTANG","FQ2 2021","FQ2 2021","Currency=USD","Period=FQ","BEST_FPERIOD_OVERRIDE=FQ","FILING_STATUS=MR","SCALING_FORMAT=MLN","Sort=A","Dates=H","DateFormat=P","Fill=—","Direction=H","UseDPDF=Y")</f>
        <v>-596</v>
      </c>
      <c r="O25" s="12" cm="1">
        <f t="array" ref="O25">_xll.BDH("CAT US Equity","ACQUIS_OF_FIXED_INTANG","FQ3 2021","FQ3 2021","Currency=USD","Period=FQ","BEST_FPERIOD_OVERRIDE=FQ","FILING_STATUS=MR","SCALING_FORMAT=MLN","Sort=A","Dates=H","DateFormat=P","Fill=—","Direction=H","UseDPDF=Y")</f>
        <v>-587</v>
      </c>
      <c r="P25" s="12" cm="1">
        <f t="array" ref="P25">_xll.BDH("CAT US Equity","ACQUIS_OF_FIXED_INTANG","FQ4 2021","FQ4 2021","Currency=USD","Period=FQ","BEST_FPERIOD_OVERRIDE=FQ","FILING_STATUS=MR","SCALING_FORMAT=MLN","Sort=A","Dates=H","DateFormat=P","Fill=—","Direction=H","UseDPDF=Y")</f>
        <v>-785</v>
      </c>
      <c r="Q25" s="12" cm="1">
        <f t="array" ref="Q25">_xll.BDH("CAT US Equity","ACQUIS_OF_FIXED_INTANG","FQ1 2022","FQ1 2022","Currency=USD","Period=FQ","BEST_FPERIOD_OVERRIDE=FQ","FILING_STATUS=MR","SCALING_FORMAT=MLN","Sort=A","Dates=H","DateFormat=P","Fill=—","Direction=H","UseDPDF=Y")</f>
        <v>-679</v>
      </c>
      <c r="R25" s="12" cm="1">
        <f t="array" ref="R25">_xll.BDH("CAT US Equity","ACQUIS_OF_FIXED_INTANG","FQ2 2022","FQ2 2022","Currency=USD","Period=FQ","BEST_FPERIOD_OVERRIDE=FQ","FILING_STATUS=MR","SCALING_FORMAT=MLN","Sort=A","Dates=H","DateFormat=P","Fill=—","Direction=H","UseDPDF=Y")</f>
        <v>-595</v>
      </c>
      <c r="S25" s="12" cm="1">
        <f t="array" ref="S25">_xll.BDH("CAT US Equity","ACQUIS_OF_FIXED_INTANG","FQ3 2022","FQ3 2022","Currency=USD","Period=FQ","BEST_FPERIOD_OVERRIDE=FQ","FILING_STATUS=MR","SCALING_FORMAT=MLN","Sort=A","Dates=H","DateFormat=P","Fill=—","Direction=H","UseDPDF=Y")</f>
        <v>-617</v>
      </c>
      <c r="T25" s="12" cm="1">
        <f t="array" ref="T25">_xll.BDH("CAT US Equity","ACQUIS_OF_FIXED_INTANG","FQ4 2022","FQ4 2022","Currency=USD","Period=FQ","BEST_FPERIOD_OVERRIDE=FQ","FILING_STATUS=MR","SCALING_FORMAT=MLN","Sort=A","Dates=H","DateFormat=P","Fill=—","Direction=H","UseDPDF=Y")</f>
        <v>-708</v>
      </c>
      <c r="U25" s="12" cm="1">
        <f t="array" ref="U25">_xll.BDH("CAT US Equity","ACQUIS_OF_FIXED_INTANG","FQ1 2023","FQ1 2023","Currency=USD","Period=FQ","BEST_FPERIOD_OVERRIDE=FQ","FILING_STATUS=MR","SCALING_FORMAT=MLN","Sort=A","Dates=H","DateFormat=P","Fill=—","Direction=H","UseDPDF=Y")</f>
        <v>-750</v>
      </c>
      <c r="V25" s="12" cm="1">
        <f t="array" ref="V25">_xll.BDH("CAT US Equity","ACQUIS_OF_FIXED_INTANG","FQ2 2023","FQ2 2023","Currency=USD","Period=FQ","BEST_FPERIOD_OVERRIDE=FQ","FILING_STATUS=MR","SCALING_FORMAT=MLN","Sort=A","Dates=H","DateFormat=P","Fill=—","Direction=H","UseDPDF=Y")</f>
        <v>-707</v>
      </c>
      <c r="W25" s="12" cm="1">
        <f t="array" ref="W25">_xll.BDH("CAT US Equity","ACQUIS_OF_FIXED_INTANG","FQ3 2023","FQ3 2023","Currency=USD","Period=FQ","BEST_FPERIOD_OVERRIDE=FQ","FILING_STATUS=MR","SCALING_FORMAT=MLN","Sort=A","Dates=H","DateFormat=P","Fill=—","Direction=H","UseDPDF=Y")</f>
        <v>-781</v>
      </c>
      <c r="X25" s="12" cm="1">
        <f t="array" ref="X25">_xll.BDH("CAT US Equity","ACQUIS_OF_FIXED_INTANG","FQ4 2023","FQ4 2023","Currency=USD","Period=FQ","BEST_FPERIOD_OVERRIDE=FQ","FILING_STATUS=MR","SCALING_FORMAT=MLN","Sort=A","Dates=H","DateFormat=P","Fill=—","Direction=H","UseDPDF=Y")</f>
        <v>-854</v>
      </c>
      <c r="Y25" s="12" cm="1">
        <f t="array" ref="Y25">_xll.BDH("CAT US Equity","ACQUIS_OF_FIXED_INTANG","FQ1 2024","FQ1 2024","Currency=USD","Period=FQ","BEST_FPERIOD_OVERRIDE=FQ","FILING_STATUS=MR","SCALING_FORMAT=MLN","Sort=A","Dates=H","DateFormat=P","Fill=—","Direction=H","UseDPDF=Y")</f>
        <v>-736</v>
      </c>
      <c r="Z25" s="12" cm="1">
        <f t="array" ref="Z25">_xll.BDH("CAT US Equity","ACQUIS_OF_FIXED_INTANG","FQ2 2024","FQ2 2024","Currency=USD","Period=FQ","BEST_FPERIOD_OVERRIDE=FQ","FILING_STATUS=MR","SCALING_FORMAT=MLN","Sort=A","Dates=H","DateFormat=P","Fill=—","Direction=H","UseDPDF=Y")</f>
        <v>-719</v>
      </c>
      <c r="AA25" s="12" cm="1">
        <f t="array" ref="AA25">_xll.BDH("CAT US Equity","ACQUIS_OF_FIXED_INTANG","FQ3 2024","FQ3 2024","Currency=USD","Period=FQ","BEST_FPERIOD_OVERRIDE=FQ","FILING_STATUS=MR","SCALING_FORMAT=MLN","Sort=A","Dates=H","DateFormat=P","Fill=—","Direction=H","UseDPDF=Y")</f>
        <v>-723</v>
      </c>
      <c r="AB25" s="12" cm="1">
        <f t="array" ref="AB25">_xll.BDH("CAT US Equity","ACQUIS_OF_FIXED_INTANG","FQ4 2024","FQ4 2024","Currency=USD","Period=FQ","BEST_FPERIOD_OVERRIDE=FQ","FILING_STATUS=MR","SCALING_FORMAT=MLN","Sort=A","Dates=H","DateFormat=P","Fill=—","Direction=H","UseDPDF=Y")</f>
        <v>-1037</v>
      </c>
      <c r="AC25" s="12" cm="1">
        <f t="array" ref="AC25">_xll.BDH("CAT US Equity","ACQUIS_OF_FIXED_INTANG","FQ1 2025","FQ1 2025","Currency=USD","Period=FQ","BEST_FPERIOD_OVERRIDE=FQ","FILING_STATUS=MR","SCALING_FORMAT=MLN","Sort=A","Dates=H","DateFormat=P","Fill=—","Direction=H","UseDPDF=Y")</f>
        <v>-918</v>
      </c>
      <c r="AD25" s="12" cm="1">
        <f t="array" ref="AD25">_xll.BDH("CAT US Equity","ACQUIS_OF_FIXED_INTANG","FQ2 2025","FQ2 2025","Currency=USD","Period=FQ","BEST_FPERIOD_OVERRIDE=FQ","FILING_STATUS=MR","SCALING_FORMAT=MLN","Sort=A","Dates=H","DateFormat=P","Fill=—","Direction=H","UseDPDF=Y")</f>
        <v>-955</v>
      </c>
      <c r="AE25" s="12" cm="1">
        <f t="array" ref="AE25">_xll.BDH("CAT US Equity","ACQUIS_OF_FIXED_INTANG","FQ3 2025","FQ3 2025","Currency=USD","Period=FQ","BEST_FPERIOD_OVERRIDE=FQ","FILING_STATUS=MR","SCALING_FORMAT=MLN","Sort=A","Dates=H","DateFormat=P","Fill=—","Direction=H","UseDPDF=Y")</f>
        <v>-1071</v>
      </c>
      <c r="AF25" s="12" cm="1">
        <f t="array" ref="AF25">_xll.BDH("CAT US Equity","ACQUIS_OF_FIXED_INTANG","FQ4 2025","FQ4 2025","Currency=USD","Period=FQ","BEST_FPERIOD_OVERRIDE=FQ","FILING_STATUS=MR","SCALING_FORMAT=MLN","Sort=A","Dates=H","DateFormat=P","Fill=—","Direction=H","UseDPDF=Y")</f>
        <v>-1342</v>
      </c>
    </row>
    <row r="26" spans="1:32" x14ac:dyDescent="0.25">
      <c r="A26" s="11" t="s">
        <v>100</v>
      </c>
      <c r="B26" s="11" t="s">
        <v>101</v>
      </c>
      <c r="C26" s="16" cm="1">
        <f t="array" ref="C26">_xll.BDH("CAT US Equity","CF_PURCHASE_OF_FIXED_PROD_ASSETS","FQ3 2018","FQ3 2018","Currency=USD","Period=FQ","BEST_FPERIOD_OVERRIDE=FQ","FILING_STATUS=MR","SCALING_FORMAT=MLN","Sort=A","Dates=H","DateFormat=P","Fill=—","Direction=H","UseDPDF=Y")</f>
        <v>-601</v>
      </c>
      <c r="D26" s="16" cm="1">
        <f t="array" ref="D26">_xll.BDH("CAT US Equity","CF_PURCHASE_OF_FIXED_PROD_ASSETS","FQ4 2018","FQ4 2018","Currency=USD","Period=FQ","BEST_FPERIOD_OVERRIDE=FQ","FILING_STATUS=MR","SCALING_FORMAT=MLN","Sort=A","Dates=H","DateFormat=P","Fill=—","Direction=H","UseDPDF=Y")</f>
        <v>-787</v>
      </c>
      <c r="E26" s="16" cm="1">
        <f t="array" ref="E26">_xll.BDH("CAT US Equity","CF_PURCHASE_OF_FIXED_PROD_ASSETS","FQ1 2019","FQ1 2019","Currency=USD","Period=FQ","BEST_FPERIOD_OVERRIDE=FQ","FILING_STATUS=MR","SCALING_FORMAT=MLN","Sort=A","Dates=H","DateFormat=P","Fill=—","Direction=H","UseDPDF=Y")</f>
        <v>-547</v>
      </c>
      <c r="F26" s="16" cm="1">
        <f t="array" ref="F26">_xll.BDH("CAT US Equity","CF_PURCHASE_OF_FIXED_PROD_ASSETS","FQ2 2019","FQ2 2019","Currency=USD","Period=FQ","BEST_FPERIOD_OVERRIDE=FQ","FILING_STATUS=MR","SCALING_FORMAT=MLN","Sort=A","Dates=H","DateFormat=P","Fill=—","Direction=H","UseDPDF=Y")</f>
        <v>-678</v>
      </c>
      <c r="G26" s="16" cm="1">
        <f t="array" ref="G26">_xll.BDH("CAT US Equity","CF_PURCHASE_OF_FIXED_PROD_ASSETS","FQ3 2019","FQ3 2019","Currency=USD","Period=FQ","BEST_FPERIOD_OVERRIDE=FQ","FILING_STATUS=MR","SCALING_FORMAT=MLN","Sort=A","Dates=H","DateFormat=P","Fill=—","Direction=H","UseDPDF=Y")</f>
        <v>-631</v>
      </c>
      <c r="H26" s="16" cm="1">
        <f t="array" ref="H26">_xll.BDH("CAT US Equity","CF_PURCHASE_OF_FIXED_PROD_ASSETS","FQ4 2019","FQ4 2019","Currency=USD","Period=FQ","BEST_FPERIOD_OVERRIDE=FQ","FILING_STATUS=MR","SCALING_FORMAT=MLN","Sort=A","Dates=H","DateFormat=P","Fill=—","Direction=H","UseDPDF=Y")</f>
        <v>-813</v>
      </c>
      <c r="I26" s="16" cm="1">
        <f t="array" ref="I26">_xll.BDH("CAT US Equity","CF_PURCHASE_OF_FIXED_PROD_ASSETS","FQ1 2020","FQ1 2020","Currency=USD","Period=FQ","BEST_FPERIOD_OVERRIDE=FQ","FILING_STATUS=MR","SCALING_FORMAT=MLN","Sort=A","Dates=H","DateFormat=P","Fill=—","Direction=H","UseDPDF=Y")</f>
        <v>-548</v>
      </c>
      <c r="J26" s="16" cm="1">
        <f t="array" ref="J26">_xll.BDH("CAT US Equity","CF_PURCHASE_OF_FIXED_PROD_ASSETS","FQ2 2020","FQ2 2020","Currency=USD","Period=FQ","BEST_FPERIOD_OVERRIDE=FQ","FILING_STATUS=MR","SCALING_FORMAT=MLN","Sort=A","Dates=H","DateFormat=P","Fill=—","Direction=H","UseDPDF=Y")</f>
        <v>-450</v>
      </c>
      <c r="K26" s="16" cm="1">
        <f t="array" ref="K26">_xll.BDH("CAT US Equity","CF_PURCHASE_OF_FIXED_PROD_ASSETS","FQ3 2020","FQ3 2020","Currency=USD","Period=FQ","BEST_FPERIOD_OVERRIDE=FQ","FILING_STATUS=MR","SCALING_FORMAT=MLN","Sort=A","Dates=H","DateFormat=P","Fill=—","Direction=H","UseDPDF=Y")</f>
        <v>-493</v>
      </c>
      <c r="L26" s="16" cm="1">
        <f t="array" ref="L26">_xll.BDH("CAT US Equity","CF_PURCHASE_OF_FIXED_PROD_ASSETS","FQ4 2020","FQ4 2020","Currency=USD","Period=FQ","BEST_FPERIOD_OVERRIDE=FQ","FILING_STATUS=MR","SCALING_FORMAT=MLN","Sort=A","Dates=H","DateFormat=P","Fill=—","Direction=H","UseDPDF=Y")</f>
        <v>-624</v>
      </c>
      <c r="M26" s="16" cm="1">
        <f t="array" ref="M26">_xll.BDH("CAT US Equity","CF_PURCHASE_OF_FIXED_PROD_ASSETS","FQ1 2021","FQ1 2021","Currency=USD","Period=FQ","BEST_FPERIOD_OVERRIDE=FQ","FILING_STATUS=MR","SCALING_FORMAT=MLN","Sort=A","Dates=H","DateFormat=P","Fill=—","Direction=H","UseDPDF=Y")</f>
        <v>-504</v>
      </c>
      <c r="N26" s="16" cm="1">
        <f t="array" ref="N26">_xll.BDH("CAT US Equity","CF_PURCHASE_OF_FIXED_PROD_ASSETS","FQ2 2021","FQ2 2021","Currency=USD","Period=FQ","BEST_FPERIOD_OVERRIDE=FQ","FILING_STATUS=MR","SCALING_FORMAT=MLN","Sort=A","Dates=H","DateFormat=P","Fill=—","Direction=H","UseDPDF=Y")</f>
        <v>-596</v>
      </c>
      <c r="O26" s="16" cm="1">
        <f t="array" ref="O26">_xll.BDH("CAT US Equity","CF_PURCHASE_OF_FIXED_PROD_ASSETS","FQ3 2021","FQ3 2021","Currency=USD","Period=FQ","BEST_FPERIOD_OVERRIDE=FQ","FILING_STATUS=MR","SCALING_FORMAT=MLN","Sort=A","Dates=H","DateFormat=P","Fill=—","Direction=H","UseDPDF=Y")</f>
        <v>-587</v>
      </c>
      <c r="P26" s="16" cm="1">
        <f t="array" ref="P26">_xll.BDH("CAT US Equity","CF_PURCHASE_OF_FIXED_PROD_ASSETS","FQ4 2021","FQ4 2021","Currency=USD","Period=FQ","BEST_FPERIOD_OVERRIDE=FQ","FILING_STATUS=MR","SCALING_FORMAT=MLN","Sort=A","Dates=H","DateFormat=P","Fill=—","Direction=H","UseDPDF=Y")</f>
        <v>-785</v>
      </c>
      <c r="Q26" s="16" cm="1">
        <f t="array" ref="Q26">_xll.BDH("CAT US Equity","CF_PURCHASE_OF_FIXED_PROD_ASSETS","FQ1 2022","FQ1 2022","Currency=USD","Period=FQ","BEST_FPERIOD_OVERRIDE=FQ","FILING_STATUS=MR","SCALING_FORMAT=MLN","Sort=A","Dates=H","DateFormat=P","Fill=—","Direction=H","UseDPDF=Y")</f>
        <v>-679</v>
      </c>
      <c r="R26" s="16" cm="1">
        <f t="array" ref="R26">_xll.BDH("CAT US Equity","CF_PURCHASE_OF_FIXED_PROD_ASSETS","FQ2 2022","FQ2 2022","Currency=USD","Period=FQ","BEST_FPERIOD_OVERRIDE=FQ","FILING_STATUS=MR","SCALING_FORMAT=MLN","Sort=A","Dates=H","DateFormat=P","Fill=—","Direction=H","UseDPDF=Y")</f>
        <v>-595</v>
      </c>
      <c r="S26" s="16" cm="1">
        <f t="array" ref="S26">_xll.BDH("CAT US Equity","CF_PURCHASE_OF_FIXED_PROD_ASSETS","FQ3 2022","FQ3 2022","Currency=USD","Period=FQ","BEST_FPERIOD_OVERRIDE=FQ","FILING_STATUS=MR","SCALING_FORMAT=MLN","Sort=A","Dates=H","DateFormat=P","Fill=—","Direction=H","UseDPDF=Y")</f>
        <v>-617</v>
      </c>
      <c r="T26" s="16" cm="1">
        <f t="array" ref="T26">_xll.BDH("CAT US Equity","CF_PURCHASE_OF_FIXED_PROD_ASSETS","FQ4 2022","FQ4 2022","Currency=USD","Period=FQ","BEST_FPERIOD_OVERRIDE=FQ","FILING_STATUS=MR","SCALING_FORMAT=MLN","Sort=A","Dates=H","DateFormat=P","Fill=—","Direction=H","UseDPDF=Y")</f>
        <v>-708</v>
      </c>
      <c r="U26" s="16" cm="1">
        <f t="array" ref="U26">_xll.BDH("CAT US Equity","CF_PURCHASE_OF_FIXED_PROD_ASSETS","FQ1 2023","FQ1 2023","Currency=USD","Period=FQ","BEST_FPERIOD_OVERRIDE=FQ","FILING_STATUS=MR","SCALING_FORMAT=MLN","Sort=A","Dates=H","DateFormat=P","Fill=—","Direction=H","UseDPDF=Y")</f>
        <v>-750</v>
      </c>
      <c r="V26" s="16" cm="1">
        <f t="array" ref="V26">_xll.BDH("CAT US Equity","CF_PURCHASE_OF_FIXED_PROD_ASSETS","FQ2 2023","FQ2 2023","Currency=USD","Period=FQ","BEST_FPERIOD_OVERRIDE=FQ","FILING_STATUS=MR","SCALING_FORMAT=MLN","Sort=A","Dates=H","DateFormat=P","Fill=—","Direction=H","UseDPDF=Y")</f>
        <v>-707</v>
      </c>
      <c r="W26" s="16" cm="1">
        <f t="array" ref="W26">_xll.BDH("CAT US Equity","CF_PURCHASE_OF_FIXED_PROD_ASSETS","FQ3 2023","FQ3 2023","Currency=USD","Period=FQ","BEST_FPERIOD_OVERRIDE=FQ","FILING_STATUS=MR","SCALING_FORMAT=MLN","Sort=A","Dates=H","DateFormat=P","Fill=—","Direction=H","UseDPDF=Y")</f>
        <v>-781</v>
      </c>
      <c r="X26" s="16" cm="1">
        <f t="array" ref="X26">_xll.BDH("CAT US Equity","CF_PURCHASE_OF_FIXED_PROD_ASSETS","FQ4 2023","FQ4 2023","Currency=USD","Period=FQ","BEST_FPERIOD_OVERRIDE=FQ","FILING_STATUS=MR","SCALING_FORMAT=MLN","Sort=A","Dates=H","DateFormat=P","Fill=—","Direction=H","UseDPDF=Y")</f>
        <v>-854</v>
      </c>
      <c r="Y26" s="16" cm="1">
        <f t="array" ref="Y26">_xll.BDH("CAT US Equity","CF_PURCHASE_OF_FIXED_PROD_ASSETS","FQ1 2024","FQ1 2024","Currency=USD","Period=FQ","BEST_FPERIOD_OVERRIDE=FQ","FILING_STATUS=MR","SCALING_FORMAT=MLN","Sort=A","Dates=H","DateFormat=P","Fill=—","Direction=H","UseDPDF=Y")</f>
        <v>-736</v>
      </c>
      <c r="Z26" s="16" cm="1">
        <f t="array" ref="Z26">_xll.BDH("CAT US Equity","CF_PURCHASE_OF_FIXED_PROD_ASSETS","FQ2 2024","FQ2 2024","Currency=USD","Period=FQ","BEST_FPERIOD_OVERRIDE=FQ","FILING_STATUS=MR","SCALING_FORMAT=MLN","Sort=A","Dates=H","DateFormat=P","Fill=—","Direction=H","UseDPDF=Y")</f>
        <v>-719</v>
      </c>
      <c r="AA26" s="16" cm="1">
        <f t="array" ref="AA26">_xll.BDH("CAT US Equity","CF_PURCHASE_OF_FIXED_PROD_ASSETS","FQ3 2024","FQ3 2024","Currency=USD","Period=FQ","BEST_FPERIOD_OVERRIDE=FQ","FILING_STATUS=MR","SCALING_FORMAT=MLN","Sort=A","Dates=H","DateFormat=P","Fill=—","Direction=H","UseDPDF=Y")</f>
        <v>-723</v>
      </c>
      <c r="AB26" s="16" cm="1">
        <f t="array" ref="AB26">_xll.BDH("CAT US Equity","CF_PURCHASE_OF_FIXED_PROD_ASSETS","FQ4 2024","FQ4 2024","Currency=USD","Period=FQ","BEST_FPERIOD_OVERRIDE=FQ","FILING_STATUS=MR","SCALING_FORMAT=MLN","Sort=A","Dates=H","DateFormat=P","Fill=—","Direction=H","UseDPDF=Y")</f>
        <v>-1037</v>
      </c>
      <c r="AC26" s="16" cm="1">
        <f t="array" ref="AC26">_xll.BDH("CAT US Equity","CF_PURCHASE_OF_FIXED_PROD_ASSETS","FQ1 2025","FQ1 2025","Currency=USD","Period=FQ","BEST_FPERIOD_OVERRIDE=FQ","FILING_STATUS=MR","SCALING_FORMAT=MLN","Sort=A","Dates=H","DateFormat=P","Fill=—","Direction=H","UseDPDF=Y")</f>
        <v>-918</v>
      </c>
      <c r="AD26" s="16" cm="1">
        <f t="array" ref="AD26">_xll.BDH("CAT US Equity","CF_PURCHASE_OF_FIXED_PROD_ASSETS","FQ2 2025","FQ2 2025","Currency=USD","Period=FQ","BEST_FPERIOD_OVERRIDE=FQ","FILING_STATUS=MR","SCALING_FORMAT=MLN","Sort=A","Dates=H","DateFormat=P","Fill=—","Direction=H","UseDPDF=Y")</f>
        <v>-955</v>
      </c>
      <c r="AE26" s="16" cm="1">
        <f t="array" ref="AE26">_xll.BDH("CAT US Equity","CF_PURCHASE_OF_FIXED_PROD_ASSETS","FQ3 2025","FQ3 2025","Currency=USD","Period=FQ","BEST_FPERIOD_OVERRIDE=FQ","FILING_STATUS=MR","SCALING_FORMAT=MLN","Sort=A","Dates=H","DateFormat=P","Fill=—","Direction=H","UseDPDF=Y")</f>
        <v>-1071</v>
      </c>
      <c r="AF26" s="16" cm="1">
        <f t="array" ref="AF26">_xll.BDH("CAT US Equity","CF_PURCHASE_OF_FIXED_PROD_ASSETS","FQ4 2025","FQ4 2025","Currency=USD","Period=FQ","BEST_FPERIOD_OVERRIDE=FQ","FILING_STATUS=MR","SCALING_FORMAT=MLN","Sort=A","Dates=H","DateFormat=P","Fill=—","Direction=H","UseDPDF=Y")</f>
        <v>-1342</v>
      </c>
    </row>
    <row r="27" spans="1:32" x14ac:dyDescent="0.25">
      <c r="A27" s="11" t="s">
        <v>102</v>
      </c>
      <c r="B27" s="11" t="s">
        <v>103</v>
      </c>
      <c r="C27" s="16" cm="1">
        <f t="array" ref="C27">_xll.BDH("CAT US Equity","CF_ACQUISITION_OF_INTANG_ASSETS","FQ3 2018","FQ3 2018","Currency=USD","Period=FQ","BEST_FPERIOD_OVERRIDE=FQ","FILING_STATUS=MR","SCALING_FORMAT=MLN","Sort=A","Dates=H","DateFormat=P","Fill=—","Direction=H","UseDPDF=Y")</f>
        <v>0</v>
      </c>
      <c r="D27" s="16" cm="1">
        <f t="array" ref="D27">_xll.BDH("CAT US Equity","CF_ACQUISITION_OF_INTANG_ASSETS","FQ4 2018","FQ4 2018","Currency=USD","Period=FQ","BEST_FPERIOD_OVERRIDE=FQ","FILING_STATUS=MR","SCALING_FORMAT=MLN","Sort=A","Dates=H","DateFormat=P","Fill=—","Direction=H","UseDPDF=Y")</f>
        <v>0</v>
      </c>
      <c r="E27" s="16" cm="1">
        <f t="array" ref="E27">_xll.BDH("CAT US Equity","CF_ACQUISITION_OF_INTANG_ASSETS","FQ1 2019","FQ1 2019","Currency=USD","Period=FQ","BEST_FPERIOD_OVERRIDE=FQ","FILING_STATUS=MR","SCALING_FORMAT=MLN","Sort=A","Dates=H","DateFormat=P","Fill=—","Direction=H","UseDPDF=Y")</f>
        <v>0</v>
      </c>
      <c r="F27" s="16" cm="1">
        <f t="array" ref="F27">_xll.BDH("CAT US Equity","CF_ACQUISITION_OF_INTANG_ASSETS","FQ2 2019","FQ2 2019","Currency=USD","Period=FQ","BEST_FPERIOD_OVERRIDE=FQ","FILING_STATUS=MR","SCALING_FORMAT=MLN","Sort=A","Dates=H","DateFormat=P","Fill=—","Direction=H","UseDPDF=Y")</f>
        <v>0</v>
      </c>
      <c r="G27" s="16" cm="1">
        <f t="array" ref="G27">_xll.BDH("CAT US Equity","CF_ACQUISITION_OF_INTANG_ASSETS","FQ3 2019","FQ3 2019","Currency=USD","Period=FQ","BEST_FPERIOD_OVERRIDE=FQ","FILING_STATUS=MR","SCALING_FORMAT=MLN","Sort=A","Dates=H","DateFormat=P","Fill=—","Direction=H","UseDPDF=Y")</f>
        <v>0</v>
      </c>
      <c r="H27" s="16" cm="1">
        <f t="array" ref="H27">_xll.BDH("CAT US Equity","CF_ACQUISITION_OF_INTANG_ASSETS","FQ4 2019","FQ4 2019","Currency=USD","Period=FQ","BEST_FPERIOD_OVERRIDE=FQ","FILING_STATUS=MR","SCALING_FORMAT=MLN","Sort=A","Dates=H","DateFormat=P","Fill=—","Direction=H","UseDPDF=Y")</f>
        <v>0</v>
      </c>
      <c r="I27" s="16" cm="1">
        <f t="array" ref="I27">_xll.BDH("CAT US Equity","CF_ACQUISITION_OF_INTANG_ASSETS","FQ1 2020","FQ1 2020","Currency=USD","Period=FQ","BEST_FPERIOD_OVERRIDE=FQ","FILING_STATUS=MR","SCALING_FORMAT=MLN","Sort=A","Dates=H","DateFormat=P","Fill=—","Direction=H","UseDPDF=Y")</f>
        <v>0</v>
      </c>
      <c r="J27" s="16" cm="1">
        <f t="array" ref="J27">_xll.BDH("CAT US Equity","CF_ACQUISITION_OF_INTANG_ASSETS","FQ2 2020","FQ2 2020","Currency=USD","Period=FQ","BEST_FPERIOD_OVERRIDE=FQ","FILING_STATUS=MR","SCALING_FORMAT=MLN","Sort=A","Dates=H","DateFormat=P","Fill=—","Direction=H","UseDPDF=Y")</f>
        <v>0</v>
      </c>
      <c r="K27" s="16" cm="1">
        <f t="array" ref="K27">_xll.BDH("CAT US Equity","CF_ACQUISITION_OF_INTANG_ASSETS","FQ3 2020","FQ3 2020","Currency=USD","Period=FQ","BEST_FPERIOD_OVERRIDE=FQ","FILING_STATUS=MR","SCALING_FORMAT=MLN","Sort=A","Dates=H","DateFormat=P","Fill=—","Direction=H","UseDPDF=Y")</f>
        <v>0</v>
      </c>
      <c r="L27" s="16" cm="1">
        <f t="array" ref="L27">_xll.BDH("CAT US Equity","CF_ACQUISITION_OF_INTANG_ASSETS","FQ4 2020","FQ4 2020","Currency=USD","Period=FQ","BEST_FPERIOD_OVERRIDE=FQ","FILING_STATUS=MR","SCALING_FORMAT=MLN","Sort=A","Dates=H","DateFormat=P","Fill=—","Direction=H","UseDPDF=Y")</f>
        <v>0</v>
      </c>
      <c r="M27" s="16" cm="1">
        <f t="array" ref="M27">_xll.BDH("CAT US Equity","CF_ACQUISITION_OF_INTANG_ASSETS","FQ1 2021","FQ1 2021","Currency=USD","Period=FQ","BEST_FPERIOD_OVERRIDE=FQ","FILING_STATUS=MR","SCALING_FORMAT=MLN","Sort=A","Dates=H","DateFormat=P","Fill=—","Direction=H","UseDPDF=Y")</f>
        <v>0</v>
      </c>
      <c r="N27" s="16" cm="1">
        <f t="array" ref="N27">_xll.BDH("CAT US Equity","CF_ACQUISITION_OF_INTANG_ASSETS","FQ2 2021","FQ2 2021","Currency=USD","Period=FQ","BEST_FPERIOD_OVERRIDE=FQ","FILING_STATUS=MR","SCALING_FORMAT=MLN","Sort=A","Dates=H","DateFormat=P","Fill=—","Direction=H","UseDPDF=Y")</f>
        <v>0</v>
      </c>
      <c r="O27" s="16" cm="1">
        <f t="array" ref="O27">_xll.BDH("CAT US Equity","CF_ACQUISITION_OF_INTANG_ASSETS","FQ3 2021","FQ3 2021","Currency=USD","Period=FQ","BEST_FPERIOD_OVERRIDE=FQ","FILING_STATUS=MR","SCALING_FORMAT=MLN","Sort=A","Dates=H","DateFormat=P","Fill=—","Direction=H","UseDPDF=Y")</f>
        <v>0</v>
      </c>
      <c r="P27" s="16" cm="1">
        <f t="array" ref="P27">_xll.BDH("CAT US Equity","CF_ACQUISITION_OF_INTANG_ASSETS","FQ4 2021","FQ4 2021","Currency=USD","Period=FQ","BEST_FPERIOD_OVERRIDE=FQ","FILING_STATUS=MR","SCALING_FORMAT=MLN","Sort=A","Dates=H","DateFormat=P","Fill=—","Direction=H","UseDPDF=Y")</f>
        <v>0</v>
      </c>
      <c r="Q27" s="16" cm="1">
        <f t="array" ref="Q27">_xll.BDH("CAT US Equity","CF_ACQUISITION_OF_INTANG_ASSETS","FQ1 2022","FQ1 2022","Currency=USD","Period=FQ","BEST_FPERIOD_OVERRIDE=FQ","FILING_STATUS=MR","SCALING_FORMAT=MLN","Sort=A","Dates=H","DateFormat=P","Fill=—","Direction=H","UseDPDF=Y")</f>
        <v>0</v>
      </c>
      <c r="R27" s="16" cm="1">
        <f t="array" ref="R27">_xll.BDH("CAT US Equity","CF_ACQUISITION_OF_INTANG_ASSETS","FQ2 2022","FQ2 2022","Currency=USD","Period=FQ","BEST_FPERIOD_OVERRIDE=FQ","FILING_STATUS=MR","SCALING_FORMAT=MLN","Sort=A","Dates=H","DateFormat=P","Fill=—","Direction=H","UseDPDF=Y")</f>
        <v>0</v>
      </c>
      <c r="S27" s="16" cm="1">
        <f t="array" ref="S27">_xll.BDH("CAT US Equity","CF_ACQUISITION_OF_INTANG_ASSETS","FQ3 2022","FQ3 2022","Currency=USD","Period=FQ","BEST_FPERIOD_OVERRIDE=FQ","FILING_STATUS=MR","SCALING_FORMAT=MLN","Sort=A","Dates=H","DateFormat=P","Fill=—","Direction=H","UseDPDF=Y")</f>
        <v>0</v>
      </c>
      <c r="T27" s="16" cm="1">
        <f t="array" ref="T27">_xll.BDH("CAT US Equity","CF_ACQUISITION_OF_INTANG_ASSETS","FQ4 2022","FQ4 2022","Currency=USD","Period=FQ","BEST_FPERIOD_OVERRIDE=FQ","FILING_STATUS=MR","SCALING_FORMAT=MLN","Sort=A","Dates=H","DateFormat=P","Fill=—","Direction=H","UseDPDF=Y")</f>
        <v>0</v>
      </c>
      <c r="U27" s="16" cm="1">
        <f t="array" ref="U27">_xll.BDH("CAT US Equity","CF_ACQUISITION_OF_INTANG_ASSETS","FQ1 2023","FQ1 2023","Currency=USD","Period=FQ","BEST_FPERIOD_OVERRIDE=FQ","FILING_STATUS=MR","SCALING_FORMAT=MLN","Sort=A","Dates=H","DateFormat=P","Fill=—","Direction=H","UseDPDF=Y")</f>
        <v>0</v>
      </c>
      <c r="V27" s="16" cm="1">
        <f t="array" ref="V27">_xll.BDH("CAT US Equity","CF_ACQUISITION_OF_INTANG_ASSETS","FQ2 2023","FQ2 2023","Currency=USD","Period=FQ","BEST_FPERIOD_OVERRIDE=FQ","FILING_STATUS=MR","SCALING_FORMAT=MLN","Sort=A","Dates=H","DateFormat=P","Fill=—","Direction=H","UseDPDF=Y")</f>
        <v>0</v>
      </c>
      <c r="W27" s="16" cm="1">
        <f t="array" ref="W27">_xll.BDH("CAT US Equity","CF_ACQUISITION_OF_INTANG_ASSETS","FQ3 2023","FQ3 2023","Currency=USD","Period=FQ","BEST_FPERIOD_OVERRIDE=FQ","FILING_STATUS=MR","SCALING_FORMAT=MLN","Sort=A","Dates=H","DateFormat=P","Fill=—","Direction=H","UseDPDF=Y")</f>
        <v>0</v>
      </c>
      <c r="X27" s="16" cm="1">
        <f t="array" ref="X27">_xll.BDH("CAT US Equity","CF_ACQUISITION_OF_INTANG_ASSETS","FQ4 2023","FQ4 2023","Currency=USD","Period=FQ","BEST_FPERIOD_OVERRIDE=FQ","FILING_STATUS=MR","SCALING_FORMAT=MLN","Sort=A","Dates=H","DateFormat=P","Fill=—","Direction=H","UseDPDF=Y")</f>
        <v>0</v>
      </c>
      <c r="Y27" s="16" cm="1">
        <f t="array" ref="Y27">_xll.BDH("CAT US Equity","CF_ACQUISITION_OF_INTANG_ASSETS","FQ1 2024","FQ1 2024","Currency=USD","Period=FQ","BEST_FPERIOD_OVERRIDE=FQ","FILING_STATUS=MR","SCALING_FORMAT=MLN","Sort=A","Dates=H","DateFormat=P","Fill=—","Direction=H","UseDPDF=Y")</f>
        <v>0</v>
      </c>
      <c r="Z27" s="16" cm="1">
        <f t="array" ref="Z27">_xll.BDH("CAT US Equity","CF_ACQUISITION_OF_INTANG_ASSETS","FQ2 2024","FQ2 2024","Currency=USD","Period=FQ","BEST_FPERIOD_OVERRIDE=FQ","FILING_STATUS=MR","SCALING_FORMAT=MLN","Sort=A","Dates=H","DateFormat=P","Fill=—","Direction=H","UseDPDF=Y")</f>
        <v>0</v>
      </c>
      <c r="AA27" s="16" cm="1">
        <f t="array" ref="AA27">_xll.BDH("CAT US Equity","CF_ACQUISITION_OF_INTANG_ASSETS","FQ3 2024","FQ3 2024","Currency=USD","Period=FQ","BEST_FPERIOD_OVERRIDE=FQ","FILING_STATUS=MR","SCALING_FORMAT=MLN","Sort=A","Dates=H","DateFormat=P","Fill=—","Direction=H","UseDPDF=Y")</f>
        <v>0</v>
      </c>
      <c r="AB27" s="16" cm="1">
        <f t="array" ref="AB27">_xll.BDH("CAT US Equity","CF_ACQUISITION_OF_INTANG_ASSETS","FQ4 2024","FQ4 2024","Currency=USD","Period=FQ","BEST_FPERIOD_OVERRIDE=FQ","FILING_STATUS=MR","SCALING_FORMAT=MLN","Sort=A","Dates=H","DateFormat=P","Fill=—","Direction=H","UseDPDF=Y")</f>
        <v>0</v>
      </c>
      <c r="AC27" s="16" cm="1">
        <f t="array" ref="AC27">_xll.BDH("CAT US Equity","CF_ACQUISITION_OF_INTANG_ASSETS","FQ1 2025","FQ1 2025","Currency=USD","Period=FQ","BEST_FPERIOD_OVERRIDE=FQ","FILING_STATUS=MR","SCALING_FORMAT=MLN","Sort=A","Dates=H","DateFormat=P","Fill=—","Direction=H","UseDPDF=Y")</f>
        <v>0</v>
      </c>
      <c r="AD27" s="16" cm="1">
        <f t="array" ref="AD27">_xll.BDH("CAT US Equity","CF_ACQUISITION_OF_INTANG_ASSETS","FQ2 2025","FQ2 2025","Currency=USD","Period=FQ","BEST_FPERIOD_OVERRIDE=FQ","FILING_STATUS=MR","SCALING_FORMAT=MLN","Sort=A","Dates=H","DateFormat=P","Fill=—","Direction=H","UseDPDF=Y")</f>
        <v>0</v>
      </c>
      <c r="AE27" s="16" cm="1">
        <f t="array" ref="AE27">_xll.BDH("CAT US Equity","CF_ACQUISITION_OF_INTANG_ASSETS","FQ3 2025","FQ3 2025","Currency=USD","Period=FQ","BEST_FPERIOD_OVERRIDE=FQ","FILING_STATUS=MR","SCALING_FORMAT=MLN","Sort=A","Dates=H","DateFormat=P","Fill=—","Direction=H","UseDPDF=Y")</f>
        <v>0</v>
      </c>
      <c r="AF27" s="16" cm="1">
        <f t="array" ref="AF27">_xll.BDH("CAT US Equity","CF_ACQUISITION_OF_INTANG_ASSETS","FQ4 2025","FQ4 2025","Currency=USD","Period=FQ","BEST_FPERIOD_OVERRIDE=FQ","FILING_STATUS=MR","SCALING_FORMAT=MLN","Sort=A","Dates=H","DateFormat=P","Fill=—","Direction=H","UseDPDF=Y")</f>
        <v>0</v>
      </c>
    </row>
    <row r="28" spans="1:32" x14ac:dyDescent="0.25">
      <c r="A28" s="10" t="s">
        <v>104</v>
      </c>
      <c r="B28" s="10" t="s">
        <v>105</v>
      </c>
      <c r="C28" s="12" cm="1">
        <f t="array" ref="C28">_xll.BDH("CAT US Equity","NET_CHG_IN_LT_INVEST_DETAILED","FQ3 2018","FQ3 2018","Currency=USD","Period=FQ","BEST_FPERIOD_OVERRIDE=FQ","FILING_STATUS=MR","SCALING_FORMAT=MLN","Sort=A","Dates=H","DateFormat=P","Fill=—","Direction=H","UseDPDF=Y")</f>
        <v>-30</v>
      </c>
      <c r="D28" s="12" cm="1">
        <f t="array" ref="D28">_xll.BDH("CAT US Equity","NET_CHG_IN_LT_INVEST_DETAILED","FQ4 2018","FQ4 2018","Currency=USD","Period=FQ","BEST_FPERIOD_OVERRIDE=FQ","FILING_STATUS=MR","SCALING_FORMAT=MLN","Sort=A","Dates=H","DateFormat=P","Fill=—","Direction=H","UseDPDF=Y")</f>
        <v>-161</v>
      </c>
      <c r="E28" s="12" cm="1">
        <f t="array" ref="E28">_xll.BDH("CAT US Equity","NET_CHG_IN_LT_INVEST_DETAILED","FQ1 2019","FQ1 2019","Currency=USD","Period=FQ","BEST_FPERIOD_OVERRIDE=FQ","FILING_STATUS=MR","SCALING_FORMAT=MLN","Sort=A","Dates=H","DateFormat=P","Fill=—","Direction=H","UseDPDF=Y")</f>
        <v>247</v>
      </c>
      <c r="F28" s="12" cm="1">
        <f t="array" ref="F28">_xll.BDH("CAT US Equity","NET_CHG_IN_LT_INVEST_DETAILED","FQ2 2019","FQ2 2019","Currency=USD","Period=FQ","BEST_FPERIOD_OVERRIDE=FQ","FILING_STATUS=MR","SCALING_FORMAT=MLN","Sort=A","Dates=H","DateFormat=P","Fill=—","Direction=H","UseDPDF=Y")</f>
        <v>-407</v>
      </c>
      <c r="G28" s="12" cm="1">
        <f t="array" ref="G28">_xll.BDH("CAT US Equity","NET_CHG_IN_LT_INVEST_DETAILED","FQ3 2019","FQ3 2019","Currency=USD","Period=FQ","BEST_FPERIOD_OVERRIDE=FQ","FILING_STATUS=MR","SCALING_FORMAT=MLN","Sort=A","Dates=H","DateFormat=P","Fill=—","Direction=H","UseDPDF=Y")</f>
        <v>34</v>
      </c>
      <c r="H28" s="12" cm="1">
        <f t="array" ref="H28">_xll.BDH("CAT US Equity","NET_CHG_IN_LT_INVEST_DETAILED","FQ4 2019","FQ4 2019","Currency=USD","Period=FQ","BEST_FPERIOD_OVERRIDE=FQ","FILING_STATUS=MR","SCALING_FORMAT=MLN","Sort=A","Dates=H","DateFormat=P","Fill=—","Direction=H","UseDPDF=Y")</f>
        <v>-233</v>
      </c>
      <c r="I28" s="12" cm="1">
        <f t="array" ref="I28">_xll.BDH("CAT US Equity","NET_CHG_IN_LT_INVEST_DETAILED","FQ1 2020","FQ1 2020","Currency=USD","Period=FQ","BEST_FPERIOD_OVERRIDE=FQ","FILING_STATUS=MR","SCALING_FORMAT=MLN","Sort=A","Dates=H","DateFormat=P","Fill=—","Direction=H","UseDPDF=Y")</f>
        <v>231</v>
      </c>
      <c r="J28" s="12" cm="1">
        <f t="array" ref="J28">_xll.BDH("CAT US Equity","NET_CHG_IN_LT_INVEST_DETAILED","FQ2 2020","FQ2 2020","Currency=USD","Period=FQ","BEST_FPERIOD_OVERRIDE=FQ","FILING_STATUS=MR","SCALING_FORMAT=MLN","Sort=A","Dates=H","DateFormat=P","Fill=—","Direction=H","UseDPDF=Y")</f>
        <v>-111</v>
      </c>
      <c r="K28" s="12" cm="1">
        <f t="array" ref="K28">_xll.BDH("CAT US Equity","NET_CHG_IN_LT_INVEST_DETAILED","FQ3 2020","FQ3 2020","Currency=USD","Period=FQ","BEST_FPERIOD_OVERRIDE=FQ","FILING_STATUS=MR","SCALING_FORMAT=MLN","Sort=A","Dates=H","DateFormat=P","Fill=—","Direction=H","UseDPDF=Y")</f>
        <v>295</v>
      </c>
      <c r="L28" s="12" cm="1">
        <f t="array" ref="L28">_xll.BDH("CAT US Equity","NET_CHG_IN_LT_INVEST_DETAILED","FQ4 2020","FQ4 2020","Currency=USD","Period=FQ","BEST_FPERIOD_OVERRIDE=FQ","FILING_STATUS=MR","SCALING_FORMAT=MLN","Sort=A","Dates=H","DateFormat=P","Fill=—","Direction=H","UseDPDF=Y")</f>
        <v>-112</v>
      </c>
      <c r="M28" s="12" cm="1">
        <f t="array" ref="M28">_xll.BDH("CAT US Equity","NET_CHG_IN_LT_INVEST_DETAILED","FQ1 2021","FQ1 2021","Currency=USD","Period=FQ","BEST_FPERIOD_OVERRIDE=FQ","FILING_STATUS=MR","SCALING_FORMAT=MLN","Sort=A","Dates=H","DateFormat=P","Fill=—","Direction=H","UseDPDF=Y")</f>
        <v>146</v>
      </c>
      <c r="N28" s="12" cm="1">
        <f t="array" ref="N28">_xll.BDH("CAT US Equity","NET_CHG_IN_LT_INVEST_DETAILED","FQ2 2021","FQ2 2021","Currency=USD","Period=FQ","BEST_FPERIOD_OVERRIDE=FQ","FILING_STATUS=MR","SCALING_FORMAT=MLN","Sort=A","Dates=H","DateFormat=P","Fill=—","Direction=H","UseDPDF=Y")</f>
        <v>-742</v>
      </c>
      <c r="O28" s="12" cm="1">
        <f t="array" ref="O28">_xll.BDH("CAT US Equity","NET_CHG_IN_LT_INVEST_DETAILED","FQ3 2021","FQ3 2021","Currency=USD","Period=FQ","BEST_FPERIOD_OVERRIDE=FQ","FILING_STATUS=MR","SCALING_FORMAT=MLN","Sort=A","Dates=H","DateFormat=P","Fill=—","Direction=H","UseDPDF=Y")</f>
        <v>258</v>
      </c>
      <c r="P28" s="12" cm="1">
        <f t="array" ref="P28">_xll.BDH("CAT US Equity","NET_CHG_IN_LT_INVEST_DETAILED","FQ4 2021","FQ4 2021","Currency=USD","Period=FQ","BEST_FPERIOD_OVERRIDE=FQ","FILING_STATUS=MR","SCALING_FORMAT=MLN","Sort=A","Dates=H","DateFormat=P","Fill=—","Direction=H","UseDPDF=Y")</f>
        <v>-183</v>
      </c>
      <c r="Q28" s="12" cm="1">
        <f t="array" ref="Q28">_xll.BDH("CAT US Equity","NET_CHG_IN_LT_INVEST_DETAILED","FQ1 2022","FQ1 2022","Currency=USD","Period=FQ","BEST_FPERIOD_OVERRIDE=FQ","FILING_STATUS=MR","SCALING_FORMAT=MLN","Sort=A","Dates=H","DateFormat=P","Fill=—","Direction=H","UseDPDF=Y")</f>
        <v>-13</v>
      </c>
      <c r="R28" s="12" cm="1">
        <f t="array" ref="R28">_xll.BDH("CAT US Equity","NET_CHG_IN_LT_INVEST_DETAILED","FQ2 2022","FQ2 2022","Currency=USD","Period=FQ","BEST_FPERIOD_OVERRIDE=FQ","FILING_STATUS=MR","SCALING_FORMAT=MLN","Sort=A","Dates=H","DateFormat=P","Fill=—","Direction=H","UseDPDF=Y")</f>
        <v>-152</v>
      </c>
      <c r="S28" s="12" cm="1">
        <f t="array" ref="S28">_xll.BDH("CAT US Equity","NET_CHG_IN_LT_INVEST_DETAILED","FQ3 2022","FQ3 2022","Currency=USD","Period=FQ","BEST_FPERIOD_OVERRIDE=FQ","FILING_STATUS=MR","SCALING_FORMAT=MLN","Sort=A","Dates=H","DateFormat=P","Fill=—","Direction=H","UseDPDF=Y")</f>
        <v>39</v>
      </c>
      <c r="T28" s="12" cm="1">
        <f t="array" ref="T28">_xll.BDH("CAT US Equity","NET_CHG_IN_LT_INVEST_DETAILED","FQ4 2022","FQ4 2022","Currency=USD","Period=FQ","BEST_FPERIOD_OVERRIDE=FQ","FILING_STATUS=MR","SCALING_FORMAT=MLN","Sort=A","Dates=H","DateFormat=P","Fill=—","Direction=H","UseDPDF=Y")</f>
        <v>121</v>
      </c>
      <c r="U28" s="12" cm="1">
        <f t="array" ref="U28">_xll.BDH("CAT US Equity","NET_CHG_IN_LT_INVEST_DETAILED","FQ1 2023","FQ1 2023","Currency=USD","Period=FQ","BEST_FPERIOD_OVERRIDE=FQ","FILING_STATUS=MR","SCALING_FORMAT=MLN","Sort=A","Dates=H","DateFormat=P","Fill=—","Direction=H","UseDPDF=Y")</f>
        <v>173</v>
      </c>
      <c r="V28" s="12" cm="1">
        <f t="array" ref="V28">_xll.BDH("CAT US Equity","NET_CHG_IN_LT_INVEST_DETAILED","FQ2 2023","FQ2 2023","Currency=USD","Period=FQ","BEST_FPERIOD_OVERRIDE=FQ","FILING_STATUS=MR","SCALING_FORMAT=MLN","Sort=A","Dates=H","DateFormat=P","Fill=—","Direction=H","UseDPDF=Y")</f>
        <v>-358</v>
      </c>
      <c r="W28" s="12" cm="1">
        <f t="array" ref="W28">_xll.BDH("CAT US Equity","NET_CHG_IN_LT_INVEST_DETAILED","FQ3 2023","FQ3 2023","Currency=USD","Period=FQ","BEST_FPERIOD_OVERRIDE=FQ","FILING_STATUS=MR","SCALING_FORMAT=MLN","Sort=A","Dates=H","DateFormat=P","Fill=—","Direction=H","UseDPDF=Y")</f>
        <v>-466</v>
      </c>
      <c r="X28" s="12" cm="1">
        <f t="array" ref="X28">_xll.BDH("CAT US Equity","NET_CHG_IN_LT_INVEST_DETAILED","FQ4 2023","FQ4 2023","Currency=USD","Period=FQ","BEST_FPERIOD_OVERRIDE=FQ","FILING_STATUS=MR","SCALING_FORMAT=MLN","Sort=A","Dates=H","DateFormat=P","Fill=—","Direction=H","UseDPDF=Y")</f>
        <v>-413</v>
      </c>
      <c r="Y28" s="12" cm="1">
        <f t="array" ref="Y28">_xll.BDH("CAT US Equity","NET_CHG_IN_LT_INVEST_DETAILED","FQ1 2024","FQ1 2024","Currency=USD","Period=FQ","BEST_FPERIOD_OVERRIDE=FQ","FILING_STATUS=MR","SCALING_FORMAT=MLN","Sort=A","Dates=H","DateFormat=P","Fill=—","Direction=H","UseDPDF=Y")</f>
        <v>-103</v>
      </c>
      <c r="Z28" s="12" cm="1">
        <f t="array" ref="Z28">_xll.BDH("CAT US Equity","NET_CHG_IN_LT_INVEST_DETAILED","FQ2 2024","FQ2 2024","Currency=USD","Period=FQ","BEST_FPERIOD_OVERRIDE=FQ","FILING_STATUS=MR","SCALING_FORMAT=MLN","Sort=A","Dates=H","DateFormat=P","Fill=—","Direction=H","UseDPDF=Y")</f>
        <v>-563</v>
      </c>
      <c r="AA28" s="12" cm="1">
        <f t="array" ref="AA28">_xll.BDH("CAT US Equity","NET_CHG_IN_LT_INVEST_DETAILED","FQ3 2024","FQ3 2024","Currency=USD","Period=FQ","BEST_FPERIOD_OVERRIDE=FQ","FILING_STATUS=MR","SCALING_FORMAT=MLN","Sort=A","Dates=H","DateFormat=P","Fill=—","Direction=H","UseDPDF=Y")</f>
        <v>-488</v>
      </c>
      <c r="AB28" s="12" cm="1">
        <f t="array" ref="AB28">_xll.BDH("CAT US Equity","NET_CHG_IN_LT_INVEST_DETAILED","FQ4 2024","FQ4 2024","Currency=USD","Period=FQ","BEST_FPERIOD_OVERRIDE=FQ","FILING_STATUS=MR","SCALING_FORMAT=MLN","Sort=A","Dates=H","DateFormat=P","Fill=—","Direction=H","UseDPDF=Y")</f>
        <v>-564</v>
      </c>
      <c r="AC28" s="12" cm="1">
        <f t="array" ref="AC28">_xll.BDH("CAT US Equity","NET_CHG_IN_LT_INVEST_DETAILED","FQ1 2025","FQ1 2025","Currency=USD","Period=FQ","BEST_FPERIOD_OVERRIDE=FQ","FILING_STATUS=MR","SCALING_FORMAT=MLN","Sort=A","Dates=H","DateFormat=P","Fill=—","Direction=H","UseDPDF=Y")</f>
        <v>-153</v>
      </c>
      <c r="AD28" s="12" cm="1">
        <f t="array" ref="AD28">_xll.BDH("CAT US Equity","NET_CHG_IN_LT_INVEST_DETAILED","FQ2 2025","FQ2 2025","Currency=USD","Period=FQ","BEST_FPERIOD_OVERRIDE=FQ","FILING_STATUS=MR","SCALING_FORMAT=MLN","Sort=A","Dates=H","DateFormat=P","Fill=—","Direction=H","UseDPDF=Y")</f>
        <v>-494</v>
      </c>
      <c r="AE28" s="12" cm="1">
        <f t="array" ref="AE28">_xll.BDH("CAT US Equity","NET_CHG_IN_LT_INVEST_DETAILED","FQ3 2025","FQ3 2025","Currency=USD","Period=FQ","BEST_FPERIOD_OVERRIDE=FQ","FILING_STATUS=MR","SCALING_FORMAT=MLN","Sort=A","Dates=H","DateFormat=P","Fill=—","Direction=H","UseDPDF=Y")</f>
        <v>-401</v>
      </c>
      <c r="AF28" s="12" cm="1">
        <f t="array" ref="AF28">_xll.BDH("CAT US Equity","NET_CHG_IN_LT_INVEST_DETAILED","FQ4 2025","FQ4 2025","Currency=USD","Period=FQ","BEST_FPERIOD_OVERRIDE=FQ","FILING_STATUS=MR","SCALING_FORMAT=MLN","Sort=A","Dates=H","DateFormat=P","Fill=—","Direction=H","UseDPDF=Y")</f>
        <v>-695</v>
      </c>
    </row>
    <row r="29" spans="1:32" x14ac:dyDescent="0.25">
      <c r="A29" s="10" t="s">
        <v>106</v>
      </c>
      <c r="B29" s="10" t="s">
        <v>107</v>
      </c>
      <c r="C29" s="12" cm="1">
        <f t="array" ref="C29">_xll.BDH("CAT US Equity","CF_DECR_INVEST","FQ3 2018","FQ3 2018","Currency=USD","Period=FQ","BEST_FPERIOD_OVERRIDE=FQ","FILING_STATUS=MR","SCALING_FORMAT=MLN","Sort=A","Dates=H","DateFormat=P","Fill=—","Direction=H","UseDPDF=Y")</f>
        <v>2919</v>
      </c>
      <c r="D29" s="12" cm="1">
        <f t="array" ref="D29">_xll.BDH("CAT US Equity","CF_DECR_INVEST","FQ4 2018","FQ4 2018","Currency=USD","Period=FQ","BEST_FPERIOD_OVERRIDE=FQ","FILING_STATUS=MR","SCALING_FORMAT=MLN","Sort=A","Dates=H","DateFormat=P","Fill=—","Direction=H","UseDPDF=Y")</f>
        <v>2930</v>
      </c>
      <c r="E29" s="12" cm="1">
        <f t="array" ref="E29">_xll.BDH("CAT US Equity","CF_DECR_INVEST","FQ1 2019","FQ1 2019","Currency=USD","Period=FQ","BEST_FPERIOD_OVERRIDE=FQ","FILING_STATUS=MR","SCALING_FORMAT=MLN","Sort=A","Dates=H","DateFormat=P","Fill=—","Direction=H","UseDPDF=Y")</f>
        <v>2862</v>
      </c>
      <c r="F29" s="12" cm="1">
        <f t="array" ref="F29">_xll.BDH("CAT US Equity","CF_DECR_INVEST","FQ2 2019","FQ2 2019","Currency=USD","Period=FQ","BEST_FPERIOD_OVERRIDE=FQ","FILING_STATUS=MR","SCALING_FORMAT=MLN","Sort=A","Dates=H","DateFormat=P","Fill=—","Direction=H","UseDPDF=Y")</f>
        <v>3159</v>
      </c>
      <c r="G29" s="12" cm="1">
        <f t="array" ref="G29">_xll.BDH("CAT US Equity","CF_DECR_INVEST","FQ3 2019","FQ3 2019","Currency=USD","Period=FQ","BEST_FPERIOD_OVERRIDE=FQ","FILING_STATUS=MR","SCALING_FORMAT=MLN","Sort=A","Dates=H","DateFormat=P","Fill=—","Direction=H","UseDPDF=Y")</f>
        <v>3306</v>
      </c>
      <c r="H29" s="12" cm="1">
        <f t="array" ref="H29">_xll.BDH("CAT US Equity","CF_DECR_INVEST","FQ4 2019","FQ4 2019","Currency=USD","Period=FQ","BEST_FPERIOD_OVERRIDE=FQ","FILING_STATUS=MR","SCALING_FORMAT=MLN","Sort=A","Dates=H","DateFormat=P","Fill=—","Direction=H","UseDPDF=Y")</f>
        <v>3091</v>
      </c>
      <c r="I29" s="12" cm="1">
        <f t="array" ref="I29">_xll.BDH("CAT US Equity","CF_DECR_INVEST","FQ1 2020","FQ1 2020","Currency=USD","Period=FQ","BEST_FPERIOD_OVERRIDE=FQ","FILING_STATUS=MR","SCALING_FORMAT=MLN","Sort=A","Dates=H","DateFormat=P","Fill=—","Direction=H","UseDPDF=Y")</f>
        <v>3184</v>
      </c>
      <c r="J29" s="12" cm="1">
        <f t="array" ref="J29">_xll.BDH("CAT US Equity","CF_DECR_INVEST","FQ2 2020","FQ2 2020","Currency=USD","Period=FQ","BEST_FPERIOD_OVERRIDE=FQ","FILING_STATUS=MR","SCALING_FORMAT=MLN","Sort=A","Dates=H","DateFormat=P","Fill=—","Direction=H","UseDPDF=Y")</f>
        <v>3648</v>
      </c>
      <c r="K29" s="12" cm="1">
        <f t="array" ref="K29">_xll.BDH("CAT US Equity","CF_DECR_INVEST","FQ3 2020","FQ3 2020","Currency=USD","Period=FQ","BEST_FPERIOD_OVERRIDE=FQ","FILING_STATUS=MR","SCALING_FORMAT=MLN","Sort=A","Dates=H","DateFormat=P","Fill=—","Direction=H","UseDPDF=Y")</f>
        <v>2861</v>
      </c>
      <c r="L29" s="12" cm="1">
        <f t="array" ref="L29">_xll.BDH("CAT US Equity","CF_DECR_INVEST","FQ4 2020","FQ4 2020","Currency=USD","Period=FQ","BEST_FPERIOD_OVERRIDE=FQ","FILING_STATUS=MR","SCALING_FORMAT=MLN","Sort=A","Dates=H","DateFormat=P","Fill=—","Direction=H","UseDPDF=Y")</f>
        <v>2995</v>
      </c>
      <c r="M29" s="12" cm="1">
        <f t="array" ref="M29">_xll.BDH("CAT US Equity","CF_DECR_INVEST","FQ1 2021","FQ1 2021","Currency=USD","Period=FQ","BEST_FPERIOD_OVERRIDE=FQ","FILING_STATUS=MR","SCALING_FORMAT=MLN","Sort=A","Dates=H","DateFormat=P","Fill=—","Direction=H","UseDPDF=Y")</f>
        <v>2775</v>
      </c>
      <c r="N29" s="12" cm="1">
        <f t="array" ref="N29">_xll.BDH("CAT US Equity","CF_DECR_INVEST","FQ2 2021","FQ2 2021","Currency=USD","Period=FQ","BEST_FPERIOD_OVERRIDE=FQ","FILING_STATUS=MR","SCALING_FORMAT=MLN","Sort=A","Dates=H","DateFormat=P","Fill=—","Direction=H","UseDPDF=Y")</f>
        <v>2832</v>
      </c>
      <c r="O29" s="12" cm="1">
        <f t="array" ref="O29">_xll.BDH("CAT US Equity","CF_DECR_INVEST","FQ3 2021","FQ3 2021","Currency=USD","Period=FQ","BEST_FPERIOD_OVERRIDE=FQ","FILING_STATUS=MR","SCALING_FORMAT=MLN","Sort=A","Dates=H","DateFormat=P","Fill=—","Direction=H","UseDPDF=Y")</f>
        <v>3658</v>
      </c>
      <c r="P29" s="12" cm="1">
        <f t="array" ref="P29">_xll.BDH("CAT US Equity","CF_DECR_INVEST","FQ4 2021","FQ4 2021","Currency=USD","Period=FQ","BEST_FPERIOD_OVERRIDE=FQ","FILING_STATUS=MR","SCALING_FORMAT=MLN","Sort=A","Dates=H","DateFormat=P","Fill=—","Direction=H","UseDPDF=Y")</f>
        <v>3216</v>
      </c>
      <c r="Q29" s="12" cm="1">
        <f t="array" ref="Q29">_xll.BDH("CAT US Equity","CF_DECR_INVEST","FQ1 2022","FQ1 2022","Currency=USD","Period=FQ","BEST_FPERIOD_OVERRIDE=FQ","FILING_STATUS=MR","SCALING_FORMAT=MLN","Sort=A","Dates=H","DateFormat=P","Fill=—","Direction=H","UseDPDF=Y")</f>
        <v>2975</v>
      </c>
      <c r="R29" s="12" cm="1">
        <f t="array" ref="R29">_xll.BDH("CAT US Equity","CF_DECR_INVEST","FQ2 2022","FQ2 2022","Currency=USD","Period=FQ","BEST_FPERIOD_OVERRIDE=FQ","FILING_STATUS=MR","SCALING_FORMAT=MLN","Sort=A","Dates=H","DateFormat=P","Fill=—","Direction=H","UseDPDF=Y")</f>
        <v>3565</v>
      </c>
      <c r="S29" s="12" cm="1">
        <f t="array" ref="S29">_xll.BDH("CAT US Equity","CF_DECR_INVEST","FQ3 2022","FQ3 2022","Currency=USD","Period=FQ","BEST_FPERIOD_OVERRIDE=FQ","FILING_STATUS=MR","SCALING_FORMAT=MLN","Sort=A","Dates=H","DateFormat=P","Fill=—","Direction=H","UseDPDF=Y")</f>
        <v>3248</v>
      </c>
      <c r="T29" s="12" cm="1">
        <f t="array" ref="T29">_xll.BDH("CAT US Equity","CF_DECR_INVEST","FQ4 2022","FQ4 2022","Currency=USD","Period=FQ","BEST_FPERIOD_OVERRIDE=FQ","FILING_STATUS=MR","SCALING_FORMAT=MLN","Sort=A","Dates=H","DateFormat=P","Fill=—","Direction=H","UseDPDF=Y")</f>
        <v>3446</v>
      </c>
      <c r="U29" s="12" cm="1">
        <f t="array" ref="U29">_xll.BDH("CAT US Equity","CF_DECR_INVEST","FQ1 2023","FQ1 2023","Currency=USD","Period=FQ","BEST_FPERIOD_OVERRIDE=FQ","FILING_STATUS=MR","SCALING_FORMAT=MLN","Sort=A","Dates=H","DateFormat=P","Fill=—","Direction=H","UseDPDF=Y")</f>
        <v>3193</v>
      </c>
      <c r="V29" s="12" cm="1">
        <f t="array" ref="V29">_xll.BDH("CAT US Equity","CF_DECR_INVEST","FQ2 2023","FQ2 2023","Currency=USD","Period=FQ","BEST_FPERIOD_OVERRIDE=FQ","FILING_STATUS=MR","SCALING_FORMAT=MLN","Sort=A","Dates=H","DateFormat=P","Fill=—","Direction=H","UseDPDF=Y")</f>
        <v>3595</v>
      </c>
      <c r="W29" s="12" cm="1">
        <f t="array" ref="W29">_xll.BDH("CAT US Equity","CF_DECR_INVEST","FQ3 2023","FQ3 2023","Currency=USD","Period=FQ","BEST_FPERIOD_OVERRIDE=FQ","FILING_STATUS=MR","SCALING_FORMAT=MLN","Sort=A","Dates=H","DateFormat=P","Fill=—","Direction=H","UseDPDF=Y")</f>
        <v>3643</v>
      </c>
      <c r="X29" s="12" cm="1">
        <f t="array" ref="X29">_xll.BDH("CAT US Equity","CF_DECR_INVEST","FQ4 2023","FQ4 2023","Currency=USD","Period=FQ","BEST_FPERIOD_OVERRIDE=FQ","FILING_STATUS=MR","SCALING_FORMAT=MLN","Sort=A","Dates=H","DateFormat=P","Fill=—","Direction=H","UseDPDF=Y")</f>
        <v>3666</v>
      </c>
      <c r="Y29" s="12" cm="1">
        <f t="array" ref="Y29">_xll.BDH("CAT US Equity","CF_DECR_INVEST","FQ1 2024","FQ1 2024","Currency=USD","Period=FQ","BEST_FPERIOD_OVERRIDE=FQ","FILING_STATUS=MR","SCALING_FORMAT=MLN","Sort=A","Dates=H","DateFormat=P","Fill=—","Direction=H","UseDPDF=Y")</f>
        <v>3153</v>
      </c>
      <c r="Z29" s="12" cm="1">
        <f t="array" ref="Z29">_xll.BDH("CAT US Equity","CF_DECR_INVEST","FQ2 2024","FQ2 2024","Currency=USD","Period=FQ","BEST_FPERIOD_OVERRIDE=FQ","FILING_STATUS=MR","SCALING_FORMAT=MLN","Sort=A","Dates=H","DateFormat=P","Fill=—","Direction=H","UseDPDF=Y")</f>
        <v>3627</v>
      </c>
      <c r="AA29" s="12" cm="1">
        <f t="array" ref="AA29">_xll.BDH("CAT US Equity","CF_DECR_INVEST","FQ3 2024","FQ3 2024","Currency=USD","Period=FQ","BEST_FPERIOD_OVERRIDE=FQ","FILING_STATUS=MR","SCALING_FORMAT=MLN","Sort=A","Dates=H","DateFormat=P","Fill=—","Direction=H","UseDPDF=Y")</f>
        <v>3523</v>
      </c>
      <c r="AB29" s="12" cm="1">
        <f t="array" ref="AB29">_xll.BDH("CAT US Equity","CF_DECR_INVEST","FQ4 2024","FQ4 2024","Currency=USD","Period=FQ","BEST_FPERIOD_OVERRIDE=FQ","FILING_STATUS=MR","SCALING_FORMAT=MLN","Sort=A","Dates=H","DateFormat=P","Fill=—","Direction=H","UseDPDF=Y")</f>
        <v>3388</v>
      </c>
      <c r="AC29" s="12" cm="1">
        <f t="array" ref="AC29">_xll.BDH("CAT US Equity","CF_DECR_INVEST","FQ1 2025","FQ1 2025","Currency=USD","Period=FQ","BEST_FPERIOD_OVERRIDE=FQ","FILING_STATUS=MR","SCALING_FORMAT=MLN","Sort=A","Dates=H","DateFormat=P","Fill=—","Direction=H","UseDPDF=Y")</f>
        <v>3056</v>
      </c>
      <c r="AD29" s="12" cm="1">
        <f t="array" ref="AD29">_xll.BDH("CAT US Equity","CF_DECR_INVEST","FQ2 2025","FQ2 2025","Currency=USD","Period=FQ","BEST_FPERIOD_OVERRIDE=FQ","FILING_STATUS=MR","SCALING_FORMAT=MLN","Sort=A","Dates=H","DateFormat=P","Fill=—","Direction=H","UseDPDF=Y")</f>
        <v>3361</v>
      </c>
      <c r="AE29" s="12" cm="1">
        <f t="array" ref="AE29">_xll.BDH("CAT US Equity","CF_DECR_INVEST","FQ3 2025","FQ3 2025","Currency=USD","Period=FQ","BEST_FPERIOD_OVERRIDE=FQ","FILING_STATUS=MR","SCALING_FORMAT=MLN","Sort=A","Dates=H","DateFormat=P","Fill=—","Direction=H","UseDPDF=Y")</f>
        <v>3499</v>
      </c>
      <c r="AF29" s="12" cm="1">
        <f t="array" ref="AF29">_xll.BDH("CAT US Equity","CF_DECR_INVEST","FQ4 2025","FQ4 2025","Currency=USD","Period=FQ","BEST_FPERIOD_OVERRIDE=FQ","FILING_STATUS=MR","SCALING_FORMAT=MLN","Sort=A","Dates=H","DateFormat=P","Fill=—","Direction=H","UseDPDF=Y")</f>
        <v>3670</v>
      </c>
    </row>
    <row r="30" spans="1:32" x14ac:dyDescent="0.25">
      <c r="A30" s="10" t="s">
        <v>108</v>
      </c>
      <c r="B30" s="10" t="s">
        <v>109</v>
      </c>
      <c r="C30" s="12" cm="1">
        <f t="array" ref="C30">_xll.BDH("CAT US Equity","CF_INCR_INVEST","FQ3 2018","FQ3 2018","Currency=USD","Period=FQ","BEST_FPERIOD_OVERRIDE=FQ","FILING_STATUS=MR","SCALING_FORMAT=MLN","Sort=A","Dates=H","DateFormat=P","Fill=—","Direction=H","UseDPDF=Y")</f>
        <v>-2949</v>
      </c>
      <c r="D30" s="12" cm="1">
        <f t="array" ref="D30">_xll.BDH("CAT US Equity","CF_INCR_INVEST","FQ4 2018","FQ4 2018","Currency=USD","Period=FQ","BEST_FPERIOD_OVERRIDE=FQ","FILING_STATUS=MR","SCALING_FORMAT=MLN","Sort=A","Dates=H","DateFormat=P","Fill=—","Direction=H","UseDPDF=Y")</f>
        <v>-3091</v>
      </c>
      <c r="E30" s="12" cm="1">
        <f t="array" ref="E30">_xll.BDH("CAT US Equity","CF_INCR_INVEST","FQ1 2019","FQ1 2019","Currency=USD","Period=FQ","BEST_FPERIOD_OVERRIDE=FQ","FILING_STATUS=MR","SCALING_FORMAT=MLN","Sort=A","Dates=H","DateFormat=P","Fill=—","Direction=H","UseDPDF=Y")</f>
        <v>-2615</v>
      </c>
      <c r="F30" s="12" cm="1">
        <f t="array" ref="F30">_xll.BDH("CAT US Equity","CF_INCR_INVEST","FQ2 2019","FQ2 2019","Currency=USD","Period=FQ","BEST_FPERIOD_OVERRIDE=FQ","FILING_STATUS=MR","SCALING_FORMAT=MLN","Sort=A","Dates=H","DateFormat=P","Fill=—","Direction=H","UseDPDF=Y")</f>
        <v>-3566</v>
      </c>
      <c r="G30" s="12" cm="1">
        <f t="array" ref="G30">_xll.BDH("CAT US Equity","CF_INCR_INVEST","FQ3 2019","FQ3 2019","Currency=USD","Period=FQ","BEST_FPERIOD_OVERRIDE=FQ","FILING_STATUS=MR","SCALING_FORMAT=MLN","Sort=A","Dates=H","DateFormat=P","Fill=—","Direction=H","UseDPDF=Y")</f>
        <v>-3272</v>
      </c>
      <c r="H30" s="12" cm="1">
        <f t="array" ref="H30">_xll.BDH("CAT US Equity","CF_INCR_INVEST","FQ4 2019","FQ4 2019","Currency=USD","Period=FQ","BEST_FPERIOD_OVERRIDE=FQ","FILING_STATUS=MR","SCALING_FORMAT=MLN","Sort=A","Dates=H","DateFormat=P","Fill=—","Direction=H","UseDPDF=Y")</f>
        <v>-3324</v>
      </c>
      <c r="I30" s="12" cm="1">
        <f t="array" ref="I30">_xll.BDH("CAT US Equity","CF_INCR_INVEST","FQ1 2020","FQ1 2020","Currency=USD","Period=FQ","BEST_FPERIOD_OVERRIDE=FQ","FILING_STATUS=MR","SCALING_FORMAT=MLN","Sort=A","Dates=H","DateFormat=P","Fill=—","Direction=H","UseDPDF=Y")</f>
        <v>-2953</v>
      </c>
      <c r="J30" s="12" cm="1">
        <f t="array" ref="J30">_xll.BDH("CAT US Equity","CF_INCR_INVEST","FQ2 2020","FQ2 2020","Currency=USD","Period=FQ","BEST_FPERIOD_OVERRIDE=FQ","FILING_STATUS=MR","SCALING_FORMAT=MLN","Sort=A","Dates=H","DateFormat=P","Fill=—","Direction=H","UseDPDF=Y")</f>
        <v>-3759</v>
      </c>
      <c r="K30" s="12" cm="1">
        <f t="array" ref="K30">_xll.BDH("CAT US Equity","CF_INCR_INVEST","FQ3 2020","FQ3 2020","Currency=USD","Period=FQ","BEST_FPERIOD_OVERRIDE=FQ","FILING_STATUS=MR","SCALING_FORMAT=MLN","Sort=A","Dates=H","DateFormat=P","Fill=—","Direction=H","UseDPDF=Y")</f>
        <v>-2566</v>
      </c>
      <c r="L30" s="12" cm="1">
        <f t="array" ref="L30">_xll.BDH("CAT US Equity","CF_INCR_INVEST","FQ4 2020","FQ4 2020","Currency=USD","Period=FQ","BEST_FPERIOD_OVERRIDE=FQ","FILING_STATUS=MR","SCALING_FORMAT=MLN","Sort=A","Dates=H","DateFormat=P","Fill=—","Direction=H","UseDPDF=Y")</f>
        <v>-3107</v>
      </c>
      <c r="M30" s="12" cm="1">
        <f t="array" ref="M30">_xll.BDH("CAT US Equity","CF_INCR_INVEST","FQ1 2021","FQ1 2021","Currency=USD","Period=FQ","BEST_FPERIOD_OVERRIDE=FQ","FILING_STATUS=MR","SCALING_FORMAT=MLN","Sort=A","Dates=H","DateFormat=P","Fill=—","Direction=H","UseDPDF=Y")</f>
        <v>-2629</v>
      </c>
      <c r="N30" s="12" cm="1">
        <f t="array" ref="N30">_xll.BDH("CAT US Equity","CF_INCR_INVEST","FQ2 2021","FQ2 2021","Currency=USD","Period=FQ","BEST_FPERIOD_OVERRIDE=FQ","FILING_STATUS=MR","SCALING_FORMAT=MLN","Sort=A","Dates=H","DateFormat=P","Fill=—","Direction=H","UseDPDF=Y")</f>
        <v>-3574</v>
      </c>
      <c r="O30" s="12" cm="1">
        <f t="array" ref="O30">_xll.BDH("CAT US Equity","CF_INCR_INVEST","FQ3 2021","FQ3 2021","Currency=USD","Period=FQ","BEST_FPERIOD_OVERRIDE=FQ","FILING_STATUS=MR","SCALING_FORMAT=MLN","Sort=A","Dates=H","DateFormat=P","Fill=—","Direction=H","UseDPDF=Y")</f>
        <v>-3400</v>
      </c>
      <c r="P30" s="12" cm="1">
        <f t="array" ref="P30">_xll.BDH("CAT US Equity","CF_INCR_INVEST","FQ4 2021","FQ4 2021","Currency=USD","Period=FQ","BEST_FPERIOD_OVERRIDE=FQ","FILING_STATUS=MR","SCALING_FORMAT=MLN","Sort=A","Dates=H","DateFormat=P","Fill=—","Direction=H","UseDPDF=Y")</f>
        <v>-3399</v>
      </c>
      <c r="Q30" s="12" cm="1">
        <f t="array" ref="Q30">_xll.BDH("CAT US Equity","CF_INCR_INVEST","FQ1 2022","FQ1 2022","Currency=USD","Period=FQ","BEST_FPERIOD_OVERRIDE=FQ","FILING_STATUS=MR","SCALING_FORMAT=MLN","Sort=A","Dates=H","DateFormat=P","Fill=—","Direction=H","UseDPDF=Y")</f>
        <v>-2988</v>
      </c>
      <c r="R30" s="12" cm="1">
        <f t="array" ref="R30">_xll.BDH("CAT US Equity","CF_INCR_INVEST","FQ2 2022","FQ2 2022","Currency=USD","Period=FQ","BEST_FPERIOD_OVERRIDE=FQ","FILING_STATUS=MR","SCALING_FORMAT=MLN","Sort=A","Dates=H","DateFormat=P","Fill=—","Direction=H","UseDPDF=Y")</f>
        <v>-3717</v>
      </c>
      <c r="S30" s="12" cm="1">
        <f t="array" ref="S30">_xll.BDH("CAT US Equity","CF_INCR_INVEST","FQ3 2022","FQ3 2022","Currency=USD","Period=FQ","BEST_FPERIOD_OVERRIDE=FQ","FILING_STATUS=MR","SCALING_FORMAT=MLN","Sort=A","Dates=H","DateFormat=P","Fill=—","Direction=H","UseDPDF=Y")</f>
        <v>-3209</v>
      </c>
      <c r="T30" s="12" cm="1">
        <f t="array" ref="T30">_xll.BDH("CAT US Equity","CF_INCR_INVEST","FQ4 2022","FQ4 2022","Currency=USD","Period=FQ","BEST_FPERIOD_OVERRIDE=FQ","FILING_STATUS=MR","SCALING_FORMAT=MLN","Sort=A","Dates=H","DateFormat=P","Fill=—","Direction=H","UseDPDF=Y")</f>
        <v>-3325</v>
      </c>
      <c r="U30" s="12" cm="1">
        <f t="array" ref="U30">_xll.BDH("CAT US Equity","CF_INCR_INVEST","FQ1 2023","FQ1 2023","Currency=USD","Period=FQ","BEST_FPERIOD_OVERRIDE=FQ","FILING_STATUS=MR","SCALING_FORMAT=MLN","Sort=A","Dates=H","DateFormat=P","Fill=—","Direction=H","UseDPDF=Y")</f>
        <v>-3020</v>
      </c>
      <c r="V30" s="12" cm="1">
        <f t="array" ref="V30">_xll.BDH("CAT US Equity","CF_INCR_INVEST","FQ2 2023","FQ2 2023","Currency=USD","Period=FQ","BEST_FPERIOD_OVERRIDE=FQ","FILING_STATUS=MR","SCALING_FORMAT=MLN","Sort=A","Dates=H","DateFormat=P","Fill=—","Direction=H","UseDPDF=Y")</f>
        <v>-3953</v>
      </c>
      <c r="W30" s="12" cm="1">
        <f t="array" ref="W30">_xll.BDH("CAT US Equity","CF_INCR_INVEST","FQ3 2023","FQ3 2023","Currency=USD","Period=FQ","BEST_FPERIOD_OVERRIDE=FQ","FILING_STATUS=MR","SCALING_FORMAT=MLN","Sort=A","Dates=H","DateFormat=P","Fill=—","Direction=H","UseDPDF=Y")</f>
        <v>-4109</v>
      </c>
      <c r="X30" s="12" cm="1">
        <f t="array" ref="X30">_xll.BDH("CAT US Equity","CF_INCR_INVEST","FQ4 2023","FQ4 2023","Currency=USD","Period=FQ","BEST_FPERIOD_OVERRIDE=FQ","FILING_STATUS=MR","SCALING_FORMAT=MLN","Sort=A","Dates=H","DateFormat=P","Fill=—","Direction=H","UseDPDF=Y")</f>
        <v>-4079</v>
      </c>
      <c r="Y30" s="12" cm="1">
        <f t="array" ref="Y30">_xll.BDH("CAT US Equity","CF_INCR_INVEST","FQ1 2024","FQ1 2024","Currency=USD","Period=FQ","BEST_FPERIOD_OVERRIDE=FQ","FILING_STATUS=MR","SCALING_FORMAT=MLN","Sort=A","Dates=H","DateFormat=P","Fill=—","Direction=H","UseDPDF=Y")</f>
        <v>-3256</v>
      </c>
      <c r="Z30" s="12" cm="1">
        <f t="array" ref="Z30">_xll.BDH("CAT US Equity","CF_INCR_INVEST","FQ2 2024","FQ2 2024","Currency=USD","Period=FQ","BEST_FPERIOD_OVERRIDE=FQ","FILING_STATUS=MR","SCALING_FORMAT=MLN","Sort=A","Dates=H","DateFormat=P","Fill=—","Direction=H","UseDPDF=Y")</f>
        <v>-4190</v>
      </c>
      <c r="AA30" s="12" cm="1">
        <f t="array" ref="AA30">_xll.BDH("CAT US Equity","CF_INCR_INVEST","FQ3 2024","FQ3 2024","Currency=USD","Period=FQ","BEST_FPERIOD_OVERRIDE=FQ","FILING_STATUS=MR","SCALING_FORMAT=MLN","Sort=A","Dates=H","DateFormat=P","Fill=—","Direction=H","UseDPDF=Y")</f>
        <v>-4011</v>
      </c>
      <c r="AB30" s="12" cm="1">
        <f t="array" ref="AB30">_xll.BDH("CAT US Equity","CF_INCR_INVEST","FQ4 2024","FQ4 2024","Currency=USD","Period=FQ","BEST_FPERIOD_OVERRIDE=FQ","FILING_STATUS=MR","SCALING_FORMAT=MLN","Sort=A","Dates=H","DateFormat=P","Fill=—","Direction=H","UseDPDF=Y")</f>
        <v>-3952</v>
      </c>
      <c r="AC30" s="12" cm="1">
        <f t="array" ref="AC30">_xll.BDH("CAT US Equity","CF_INCR_INVEST","FQ1 2025","FQ1 2025","Currency=USD","Period=FQ","BEST_FPERIOD_OVERRIDE=FQ","FILING_STATUS=MR","SCALING_FORMAT=MLN","Sort=A","Dates=H","DateFormat=P","Fill=—","Direction=H","UseDPDF=Y")</f>
        <v>-3209</v>
      </c>
      <c r="AD30" s="12" cm="1">
        <f t="array" ref="AD30">_xll.BDH("CAT US Equity","CF_INCR_INVEST","FQ2 2025","FQ2 2025","Currency=USD","Period=FQ","BEST_FPERIOD_OVERRIDE=FQ","FILING_STATUS=MR","SCALING_FORMAT=MLN","Sort=A","Dates=H","DateFormat=P","Fill=—","Direction=H","UseDPDF=Y")</f>
        <v>-3855</v>
      </c>
      <c r="AE30" s="12" cm="1">
        <f t="array" ref="AE30">_xll.BDH("CAT US Equity","CF_INCR_INVEST","FQ3 2025","FQ3 2025","Currency=USD","Period=FQ","BEST_FPERIOD_OVERRIDE=FQ","FILING_STATUS=MR","SCALING_FORMAT=MLN","Sort=A","Dates=H","DateFormat=P","Fill=—","Direction=H","UseDPDF=Y")</f>
        <v>-3900</v>
      </c>
      <c r="AF30" s="12" cm="1">
        <f t="array" ref="AF30">_xll.BDH("CAT US Equity","CF_INCR_INVEST","FQ4 2025","FQ4 2025","Currency=USD","Period=FQ","BEST_FPERIOD_OVERRIDE=FQ","FILING_STATUS=MR","SCALING_FORMAT=MLN","Sort=A","Dates=H","DateFormat=P","Fill=—","Direction=H","UseDPDF=Y")</f>
        <v>-4365</v>
      </c>
    </row>
    <row r="31" spans="1:32" x14ac:dyDescent="0.25">
      <c r="A31" s="10" t="s">
        <v>110</v>
      </c>
      <c r="B31" s="10" t="s">
        <v>111</v>
      </c>
      <c r="C31" s="12" cm="1">
        <f t="array" ref="C31">_xll.BDH("CAT US Equity","CF_NT_CSH_RCVD_PD_FOR_ACQUIS_DIV","FQ3 2018","FQ3 2018","Currency=USD","Period=FQ","BEST_FPERIOD_OVERRIDE=FQ","FILING_STATUS=MR","SCALING_FORMAT=MLN","Sort=A","Dates=H","DateFormat=P","Fill=—","Direction=H","UseDPDF=Y")</f>
        <v>-7</v>
      </c>
      <c r="D31" s="12" cm="1">
        <f t="array" ref="D31">_xll.BDH("CAT US Equity","CF_NT_CSH_RCVD_PD_FOR_ACQUIS_DIV","FQ4 2018","FQ4 2018","Currency=USD","Period=FQ","BEST_FPERIOD_OVERRIDE=FQ","FILING_STATUS=MR","SCALING_FORMAT=MLN","Sort=A","Dates=H","DateFormat=P","Fill=—","Direction=H","UseDPDF=Y")</f>
        <v>-33</v>
      </c>
      <c r="E31" s="12" cm="1">
        <f t="array" ref="E31">_xll.BDH("CAT US Equity","CF_NT_CSH_RCVD_PD_FOR_ACQUIS_DIV","FQ1 2019","FQ1 2019","Currency=USD","Period=FQ","BEST_FPERIOD_OVERRIDE=FQ","FILING_STATUS=MR","SCALING_FORMAT=MLN","Sort=A","Dates=H","DateFormat=P","Fill=—","Direction=H","UseDPDF=Y")</f>
        <v>-2</v>
      </c>
      <c r="F31" s="12" cm="1">
        <f t="array" ref="F31">_xll.BDH("CAT US Equity","CF_NT_CSH_RCVD_PD_FOR_ACQUIS_DIV","FQ2 2019","FQ2 2019","Currency=USD","Period=FQ","BEST_FPERIOD_OVERRIDE=FQ","FILING_STATUS=MR","SCALING_FORMAT=MLN","Sort=A","Dates=H","DateFormat=P","Fill=—","Direction=H","UseDPDF=Y")</f>
        <v>-1</v>
      </c>
      <c r="G31" s="12" cm="1">
        <f t="array" ref="G31">_xll.BDH("CAT US Equity","CF_NT_CSH_RCVD_PD_FOR_ACQUIS_DIV","FQ3 2019","FQ3 2019","Currency=USD","Period=FQ","BEST_FPERIOD_OVERRIDE=FQ","FILING_STATUS=MR","SCALING_FORMAT=MLN","Sort=A","Dates=H","DateFormat=P","Fill=—","Direction=H","UseDPDF=Y")</f>
        <v>0</v>
      </c>
      <c r="H31" s="12" cm="1">
        <f t="array" ref="H31">_xll.BDH("CAT US Equity","CF_NT_CSH_RCVD_PD_FOR_ACQUIS_DIV","FQ4 2019","FQ4 2019","Currency=USD","Period=FQ","BEST_FPERIOD_OVERRIDE=FQ","FILING_STATUS=MR","SCALING_FORMAT=MLN","Sort=A","Dates=H","DateFormat=P","Fill=—","Direction=H","UseDPDF=Y")</f>
        <v>-3</v>
      </c>
      <c r="I31" s="12" cm="1">
        <f t="array" ref="I31">_xll.BDH("CAT US Equity","CF_NT_CSH_RCVD_PD_FOR_ACQUIS_DIV","FQ1 2020","FQ1 2020","Currency=USD","Period=FQ","BEST_FPERIOD_OVERRIDE=FQ","FILING_STATUS=MR","SCALING_FORMAT=MLN","Sort=A","Dates=H","DateFormat=P","Fill=—","Direction=H","UseDPDF=Y")</f>
        <v>-35</v>
      </c>
      <c r="J31" s="12" cm="1">
        <f t="array" ref="J31">_xll.BDH("CAT US Equity","CF_NT_CSH_RCVD_PD_FOR_ACQUIS_DIV","FQ2 2020","FQ2 2020","Currency=USD","Period=FQ","BEST_FPERIOD_OVERRIDE=FQ","FILING_STATUS=MR","SCALING_FORMAT=MLN","Sort=A","Dates=H","DateFormat=P","Fill=—","Direction=H","UseDPDF=Y")</f>
        <v>-14</v>
      </c>
      <c r="K31" s="12" cm="1">
        <f t="array" ref="K31">_xll.BDH("CAT US Equity","CF_NT_CSH_RCVD_PD_FOR_ACQUIS_DIV","FQ3 2020","FQ3 2020","Currency=USD","Period=FQ","BEST_FPERIOD_OVERRIDE=FQ","FILING_STATUS=MR","SCALING_FORMAT=MLN","Sort=A","Dates=H","DateFormat=P","Fill=—","Direction=H","UseDPDF=Y")</f>
        <v>-31</v>
      </c>
      <c r="L31" s="12" cm="1">
        <f t="array" ref="L31">_xll.BDH("CAT US Equity","CF_NT_CSH_RCVD_PD_FOR_ACQUIS_DIV","FQ4 2020","FQ4 2020","Currency=USD","Period=FQ","BEST_FPERIOD_OVERRIDE=FQ","FILING_STATUS=MR","SCALING_FORMAT=MLN","Sort=A","Dates=H","DateFormat=P","Fill=—","Direction=H","UseDPDF=Y")</f>
        <v>-6</v>
      </c>
      <c r="M31" s="12" cm="1">
        <f t="array" ref="M31">_xll.BDH("CAT US Equity","CF_NT_CSH_RCVD_PD_FOR_ACQUIS_DIV","FQ1 2021","FQ1 2021","Currency=USD","Period=FQ","BEST_FPERIOD_OVERRIDE=FQ","FILING_STATUS=MR","SCALING_FORMAT=MLN","Sort=A","Dates=H","DateFormat=P","Fill=—","Direction=H","UseDPDF=Y")</f>
        <v>-358</v>
      </c>
      <c r="N31" s="12" cm="1">
        <f t="array" ref="N31">_xll.BDH("CAT US Equity","CF_NT_CSH_RCVD_PD_FOR_ACQUIS_DIV","FQ2 2021","FQ2 2021","Currency=USD","Period=FQ","BEST_FPERIOD_OVERRIDE=FQ","FILING_STATUS=MR","SCALING_FORMAT=MLN","Sort=A","Dates=H","DateFormat=P","Fill=—","Direction=H","UseDPDF=Y")</f>
        <v>-12</v>
      </c>
      <c r="O31" s="12" cm="1">
        <f t="array" ref="O31">_xll.BDH("CAT US Equity","CF_NT_CSH_RCVD_PD_FOR_ACQUIS_DIV","FQ3 2021","FQ3 2021","Currency=USD","Period=FQ","BEST_FPERIOD_OVERRIDE=FQ","FILING_STATUS=MR","SCALING_FORMAT=MLN","Sort=A","Dates=H","DateFormat=P","Fill=—","Direction=H","UseDPDF=Y")</f>
        <v>-56</v>
      </c>
      <c r="P31" s="12" cm="1">
        <f t="array" ref="P31">_xll.BDH("CAT US Equity","CF_NT_CSH_RCVD_PD_FOR_ACQUIS_DIV","FQ4 2021","FQ4 2021","Currency=USD","Period=FQ","BEST_FPERIOD_OVERRIDE=FQ","FILING_STATUS=MR","SCALING_FORMAT=MLN","Sort=A","Dates=H","DateFormat=P","Fill=—","Direction=H","UseDPDF=Y")</f>
        <v>-28</v>
      </c>
      <c r="Q31" s="12" cm="1">
        <f t="array" ref="Q31">_xll.BDH("CAT US Equity","CF_NT_CSH_RCVD_PD_FOR_ACQUIS_DIV","FQ1 2022","FQ1 2022","Currency=USD","Period=FQ","BEST_FPERIOD_OVERRIDE=FQ","FILING_STATUS=MR","SCALING_FORMAT=MLN","Sort=A","Dates=H","DateFormat=P","Fill=—","Direction=H","UseDPDF=Y")</f>
        <v>-8</v>
      </c>
      <c r="R31" s="12" cm="1">
        <f t="array" ref="R31">_xll.BDH("CAT US Equity","CF_NT_CSH_RCVD_PD_FOR_ACQUIS_DIV","FQ2 2022","FQ2 2022","Currency=USD","Period=FQ","BEST_FPERIOD_OVERRIDE=FQ","FILING_STATUS=MR","SCALING_FORMAT=MLN","Sort=A","Dates=H","DateFormat=P","Fill=—","Direction=H","UseDPDF=Y")</f>
        <v>-27</v>
      </c>
      <c r="S31" s="12" cm="1">
        <f t="array" ref="S31">_xll.BDH("CAT US Equity","CF_NT_CSH_RCVD_PD_FOR_ACQUIS_DIV","FQ3 2022","FQ3 2022","Currency=USD","Period=FQ","BEST_FPERIOD_OVERRIDE=FQ","FILING_STATUS=MR","SCALING_FORMAT=MLN","Sort=A","Dates=H","DateFormat=P","Fill=—","Direction=H","UseDPDF=Y")</f>
        <v>-8</v>
      </c>
      <c r="T31" s="12" cm="1">
        <f t="array" ref="T31">_xll.BDH("CAT US Equity","CF_NT_CSH_RCVD_PD_FOR_ACQUIS_DIV","FQ4 2022","FQ4 2022","Currency=USD","Period=FQ","BEST_FPERIOD_OVERRIDE=FQ","FILING_STATUS=MR","SCALING_FORMAT=MLN","Sort=A","Dates=H","DateFormat=P","Fill=—","Direction=H","UseDPDF=Y")</f>
        <v>-44</v>
      </c>
      <c r="U31" s="12" cm="1">
        <f t="array" ref="U31">_xll.BDH("CAT US Equity","CF_NT_CSH_RCVD_PD_FOR_ACQUIS_DIV","FQ1 2023","FQ1 2023","Currency=USD","Period=FQ","BEST_FPERIOD_OVERRIDE=FQ","FILING_STATUS=MR","SCALING_FORMAT=MLN","Sort=A","Dates=H","DateFormat=P","Fill=—","Direction=H","UseDPDF=Y")</f>
        <v>-19</v>
      </c>
      <c r="V31" s="12" cm="1">
        <f t="array" ref="V31">_xll.BDH("CAT US Equity","CF_NT_CSH_RCVD_PD_FOR_ACQUIS_DIV","FQ2 2023","FQ2 2023","Currency=USD","Period=FQ","BEST_FPERIOD_OVERRIDE=FQ","FILING_STATUS=MR","SCALING_FORMAT=MLN","Sort=A","Dates=H","DateFormat=P","Fill=—","Direction=H","UseDPDF=Y")</f>
        <v>-15</v>
      </c>
      <c r="W31" s="12" cm="1">
        <f t="array" ref="W31">_xll.BDH("CAT US Equity","CF_NT_CSH_RCVD_PD_FOR_ACQUIS_DIV","FQ3 2023","FQ3 2023","Currency=USD","Period=FQ","BEST_FPERIOD_OVERRIDE=FQ","FILING_STATUS=MR","SCALING_FORMAT=MLN","Sort=A","Dates=H","DateFormat=P","Fill=—","Direction=H","UseDPDF=Y")</f>
        <v>-47</v>
      </c>
      <c r="X31" s="12" cm="1">
        <f t="array" ref="X31">_xll.BDH("CAT US Equity","CF_NT_CSH_RCVD_PD_FOR_ACQUIS_DIV","FQ4 2023","FQ4 2023","Currency=USD","Period=FQ","BEST_FPERIOD_OVERRIDE=FQ","FILING_STATUS=MR","SCALING_FORMAT=MLN","Sort=A","Dates=H","DateFormat=P","Fill=—","Direction=H","UseDPDF=Y")</f>
        <v>2</v>
      </c>
      <c r="Y31" s="12" cm="1">
        <f t="array" ref="Y31">_xll.BDH("CAT US Equity","CF_NT_CSH_RCVD_PD_FOR_ACQUIS_DIV","FQ1 2024","FQ1 2024","Currency=USD","Period=FQ","BEST_FPERIOD_OVERRIDE=FQ","FILING_STATUS=MR","SCALING_FORMAT=MLN","Sort=A","Dates=H","DateFormat=P","Fill=—","Direction=H","UseDPDF=Y")</f>
        <v>42</v>
      </c>
      <c r="Z31" s="12" cm="1">
        <f t="array" ref="Z31">_xll.BDH("CAT US Equity","CF_NT_CSH_RCVD_PD_FOR_ACQUIS_DIV","FQ2 2024","FQ2 2024","Currency=USD","Period=FQ","BEST_FPERIOD_OVERRIDE=FQ","FILING_STATUS=MR","SCALING_FORMAT=MLN","Sort=A","Dates=H","DateFormat=P","Fill=—","Direction=H","UseDPDF=Y")</f>
        <v>-135</v>
      </c>
      <c r="AA31" s="12" cm="1">
        <f t="array" ref="AA31">_xll.BDH("CAT US Equity","CF_NT_CSH_RCVD_PD_FOR_ACQUIS_DIV","FQ3 2024","FQ3 2024","Currency=USD","Period=FQ","BEST_FPERIOD_OVERRIDE=FQ","FILING_STATUS=MR","SCALING_FORMAT=MLN","Sort=A","Dates=H","DateFormat=P","Fill=—","Direction=H","UseDPDF=Y")</f>
        <v>-6</v>
      </c>
      <c r="AB31" s="12" cm="1">
        <f t="array" ref="AB31">_xll.BDH("CAT US Equity","CF_NT_CSH_RCVD_PD_FOR_ACQUIS_DIV","FQ4 2024","FQ4 2024","Currency=USD","Period=FQ","BEST_FPERIOD_OVERRIDE=FQ","FILING_STATUS=MR","SCALING_FORMAT=MLN","Sort=A","Dates=H","DateFormat=P","Fill=—","Direction=H","UseDPDF=Y")</f>
        <v>4</v>
      </c>
      <c r="AC31" s="12" cm="1">
        <f t="array" ref="AC31">_xll.BDH("CAT US Equity","CF_NT_CSH_RCVD_PD_FOR_ACQUIS_DIV","FQ1 2025","FQ1 2025","Currency=USD","Period=FQ","BEST_FPERIOD_OVERRIDE=FQ","FILING_STATUS=MR","SCALING_FORMAT=MLN","Sort=A","Dates=H","DateFormat=P","Fill=—","Direction=H","UseDPDF=Y")</f>
        <v>10</v>
      </c>
      <c r="AD31" s="12" cm="1">
        <f t="array" ref="AD31">_xll.BDH("CAT US Equity","CF_NT_CSH_RCVD_PD_FOR_ACQUIS_DIV","FQ2 2025","FQ2 2025","Currency=USD","Period=FQ","BEST_FPERIOD_OVERRIDE=FQ","FILING_STATUS=MR","SCALING_FORMAT=MLN","Sort=A","Dates=H","DateFormat=P","Fill=—","Direction=H","UseDPDF=Y")</f>
        <v>-19</v>
      </c>
      <c r="AE31" s="12" cm="1">
        <f t="array" ref="AE31">_xll.BDH("CAT US Equity","CF_NT_CSH_RCVD_PD_FOR_ACQUIS_DIV","FQ3 2025","FQ3 2025","Currency=USD","Period=FQ","BEST_FPERIOD_OVERRIDE=FQ","FILING_STATUS=MR","SCALING_FORMAT=MLN","Sort=A","Dates=H","DateFormat=P","Fill=—","Direction=H","UseDPDF=Y")</f>
        <v>-5</v>
      </c>
      <c r="AF31" s="12" cm="1">
        <f t="array" ref="AF31">_xll.BDH("CAT US Equity","CF_NT_CSH_RCVD_PD_FOR_ACQUIS_DIV","FQ4 2025","FQ4 2025","Currency=USD","Period=FQ","BEST_FPERIOD_OVERRIDE=FQ","FILING_STATUS=MR","SCALING_FORMAT=MLN","Sort=A","Dates=H","DateFormat=P","Fill=—","Direction=H","UseDPDF=Y")</f>
        <v>-11</v>
      </c>
    </row>
    <row r="32" spans="1:32" x14ac:dyDescent="0.25">
      <c r="A32" s="10" t="s">
        <v>112</v>
      </c>
      <c r="B32" s="10" t="s">
        <v>113</v>
      </c>
      <c r="C32" s="12" cm="1">
        <f t="array" ref="C32">_xll.BDH("CAT US Equity","CF_CASH_FOR_DIVESTITURES","FQ3 2018","FQ3 2018","Currency=USD","Period=FQ","BEST_FPERIOD_OVERRIDE=FQ","FILING_STATUS=MR","SCALING_FORMAT=MLN","Sort=A","Dates=H","DateFormat=P","Fill=—","Direction=H","UseDPDF=Y")</f>
        <v>2</v>
      </c>
      <c r="D32" s="12" cm="1">
        <f t="array" ref="D32">_xll.BDH("CAT US Equity","CF_CASH_FOR_DIVESTITURES","FQ4 2018","FQ4 2018","Currency=USD","Period=FQ","BEST_FPERIOD_OVERRIDE=FQ","FILING_STATUS=MR","SCALING_FORMAT=MLN","Sort=A","Dates=H","DateFormat=P","Fill=—","Direction=H","UseDPDF=Y")</f>
        <v>2</v>
      </c>
      <c r="E32" s="12" cm="1">
        <f t="array" ref="E32">_xll.BDH("CAT US Equity","CF_CASH_FOR_DIVESTITURES","FQ1 2019","FQ1 2019","Currency=USD","Period=FQ","BEST_FPERIOD_OVERRIDE=FQ","FILING_STATUS=MR","SCALING_FORMAT=MLN","Sort=A","Dates=H","DateFormat=P","Fill=—","Direction=H","UseDPDF=Y")</f>
        <v>0</v>
      </c>
      <c r="F32" s="12" cm="1">
        <f t="array" ref="F32">_xll.BDH("CAT US Equity","CF_CASH_FOR_DIVESTITURES","FQ2 2019","FQ2 2019","Currency=USD","Period=FQ","BEST_FPERIOD_OVERRIDE=FQ","FILING_STATUS=MR","SCALING_FORMAT=MLN","Sort=A","Dates=H","DateFormat=P","Fill=—","Direction=H","UseDPDF=Y")</f>
        <v>0</v>
      </c>
      <c r="G32" s="12" cm="1">
        <f t="array" ref="G32">_xll.BDH("CAT US Equity","CF_CASH_FOR_DIVESTITURES","FQ3 2019","FQ3 2019","Currency=USD","Period=FQ","BEST_FPERIOD_OVERRIDE=FQ","FILING_STATUS=MR","SCALING_FORMAT=MLN","Sort=A","Dates=H","DateFormat=P","Fill=—","Direction=H","UseDPDF=Y")</f>
        <v>3</v>
      </c>
      <c r="H32" s="12" cm="1">
        <f t="array" ref="H32">_xll.BDH("CAT US Equity","CF_CASH_FOR_DIVESTITURES","FQ4 2019","FQ4 2019","Currency=USD","Period=FQ","BEST_FPERIOD_OVERRIDE=FQ","FILING_STATUS=MR","SCALING_FORMAT=MLN","Sort=A","Dates=H","DateFormat=P","Fill=—","Direction=H","UseDPDF=Y")</f>
        <v>38</v>
      </c>
      <c r="I32" s="12" cm="1">
        <f t="array" ref="I32">_xll.BDH("CAT US Equity","CF_CASH_FOR_DIVESTITURES","FQ1 2020","FQ1 2020","Currency=USD","Period=FQ","BEST_FPERIOD_OVERRIDE=FQ","FILING_STATUS=MR","SCALING_FORMAT=MLN","Sort=A","Dates=H","DateFormat=P","Fill=—","Direction=H","UseDPDF=Y")</f>
        <v>0</v>
      </c>
      <c r="J32" s="12" cm="1">
        <f t="array" ref="J32">_xll.BDH("CAT US Equity","CF_CASH_FOR_DIVESTITURES","FQ2 2020","FQ2 2020","Currency=USD","Period=FQ","BEST_FPERIOD_OVERRIDE=FQ","FILING_STATUS=MR","SCALING_FORMAT=MLN","Sort=A","Dates=H","DateFormat=P","Fill=—","Direction=H","UseDPDF=Y")</f>
        <v>0</v>
      </c>
      <c r="K32" s="12" cm="1">
        <f t="array" ref="K32">_xll.BDH("CAT US Equity","CF_CASH_FOR_DIVESTITURES","FQ3 2020","FQ3 2020","Currency=USD","Period=FQ","BEST_FPERIOD_OVERRIDE=FQ","FILING_STATUS=MR","SCALING_FORMAT=MLN","Sort=A","Dates=H","DateFormat=P","Fill=—","Direction=H","UseDPDF=Y")</f>
        <v>13</v>
      </c>
      <c r="L32" s="12" cm="1">
        <f t="array" ref="L32">_xll.BDH("CAT US Equity","CF_CASH_FOR_DIVESTITURES","FQ4 2020","FQ4 2020","Currency=USD","Period=FQ","BEST_FPERIOD_OVERRIDE=FQ","FILING_STATUS=MR","SCALING_FORMAT=MLN","Sort=A","Dates=H","DateFormat=P","Fill=—","Direction=H","UseDPDF=Y")</f>
        <v>12</v>
      </c>
      <c r="M32" s="12" cm="1">
        <f t="array" ref="M32">_xll.BDH("CAT US Equity","CF_CASH_FOR_DIVESTITURES","FQ1 2021","FQ1 2021","Currency=USD","Period=FQ","BEST_FPERIOD_OVERRIDE=FQ","FILING_STATUS=MR","SCALING_FORMAT=MLN","Sort=A","Dates=H","DateFormat=P","Fill=—","Direction=H","UseDPDF=Y")</f>
        <v>28</v>
      </c>
      <c r="N32" s="12" cm="1">
        <f t="array" ref="N32">_xll.BDH("CAT US Equity","CF_CASH_FOR_DIVESTITURES","FQ2 2021","FQ2 2021","Currency=USD","Period=FQ","BEST_FPERIOD_OVERRIDE=FQ","FILING_STATUS=MR","SCALING_FORMAT=MLN","Sort=A","Dates=H","DateFormat=P","Fill=—","Direction=H","UseDPDF=Y")</f>
        <v>0</v>
      </c>
      <c r="O32" s="12" cm="1">
        <f t="array" ref="O32">_xll.BDH("CAT US Equity","CF_CASH_FOR_DIVESTITURES","FQ3 2021","FQ3 2021","Currency=USD","Period=FQ","BEST_FPERIOD_OVERRIDE=FQ","FILING_STATUS=MR","SCALING_FORMAT=MLN","Sort=A","Dates=H","DateFormat=P","Fill=—","Direction=H","UseDPDF=Y")</f>
        <v>-5</v>
      </c>
      <c r="P32" s="12" cm="1">
        <f t="array" ref="P32">_xll.BDH("CAT US Equity","CF_CASH_FOR_DIVESTITURES","FQ4 2021","FQ4 2021","Currency=USD","Period=FQ","BEST_FPERIOD_OVERRIDE=FQ","FILING_STATUS=MR","SCALING_FORMAT=MLN","Sort=A","Dates=H","DateFormat=P","Fill=—","Direction=H","UseDPDF=Y")</f>
        <v>13</v>
      </c>
      <c r="Q32" s="12" cm="1">
        <f t="array" ref="Q32">_xll.BDH("CAT US Equity","CF_CASH_FOR_DIVESTITURES","FQ1 2022","FQ1 2022","Currency=USD","Period=FQ","BEST_FPERIOD_OVERRIDE=FQ","FILING_STATUS=MR","SCALING_FORMAT=MLN","Sort=A","Dates=H","DateFormat=P","Fill=—","Direction=H","UseDPDF=Y")</f>
        <v>0</v>
      </c>
      <c r="R32" s="12" cm="1">
        <f t="array" ref="R32">_xll.BDH("CAT US Equity","CF_CASH_FOR_DIVESTITURES","FQ2 2022","FQ2 2022","Currency=USD","Period=FQ","BEST_FPERIOD_OVERRIDE=FQ","FILING_STATUS=MR","SCALING_FORMAT=MLN","Sort=A","Dates=H","DateFormat=P","Fill=—","Direction=H","UseDPDF=Y")</f>
        <v>1</v>
      </c>
      <c r="S32" s="12" cm="1">
        <f t="array" ref="S32">_xll.BDH("CAT US Equity","CF_CASH_FOR_DIVESTITURES","FQ3 2022","FQ3 2022","Currency=USD","Period=FQ","BEST_FPERIOD_OVERRIDE=FQ","FILING_STATUS=MR","SCALING_FORMAT=MLN","Sort=A","Dates=H","DateFormat=P","Fill=—","Direction=H","UseDPDF=Y")</f>
        <v>0</v>
      </c>
      <c r="T32" s="12" cm="1">
        <f t="array" ref="T32">_xll.BDH("CAT US Equity","CF_CASH_FOR_DIVESTITURES","FQ4 2022","FQ4 2022","Currency=USD","Period=FQ","BEST_FPERIOD_OVERRIDE=FQ","FILING_STATUS=MR","SCALING_FORMAT=MLN","Sort=A","Dates=H","DateFormat=P","Fill=—","Direction=H","UseDPDF=Y")</f>
        <v>0</v>
      </c>
      <c r="U32" s="12" cm="1">
        <f t="array" ref="U32">_xll.BDH("CAT US Equity","CF_CASH_FOR_DIVESTITURES","FQ1 2023","FQ1 2023","Currency=USD","Period=FQ","BEST_FPERIOD_OVERRIDE=FQ","FILING_STATUS=MR","SCALING_FORMAT=MLN","Sort=A","Dates=H","DateFormat=P","Fill=—","Direction=H","UseDPDF=Y")</f>
        <v>-14</v>
      </c>
      <c r="V32" s="12" cm="1">
        <f t="array" ref="V32">_xll.BDH("CAT US Equity","CF_CASH_FOR_DIVESTITURES","FQ2 2023","FQ2 2023","Currency=USD","Period=FQ","BEST_FPERIOD_OVERRIDE=FQ","FILING_STATUS=MR","SCALING_FORMAT=MLN","Sort=A","Dates=H","DateFormat=P","Fill=—","Direction=H","UseDPDF=Y")</f>
        <v>0</v>
      </c>
      <c r="W32" s="12" cm="1">
        <f t="array" ref="W32">_xll.BDH("CAT US Equity","CF_CASH_FOR_DIVESTITURES","FQ3 2023","FQ3 2023","Currency=USD","Period=FQ","BEST_FPERIOD_OVERRIDE=FQ","FILING_STATUS=MR","SCALING_FORMAT=MLN","Sort=A","Dates=H","DateFormat=P","Fill=—","Direction=H","UseDPDF=Y")</f>
        <v>0</v>
      </c>
      <c r="X32" s="12" cm="1">
        <f t="array" ref="X32">_xll.BDH("CAT US Equity","CF_CASH_FOR_DIVESTITURES","FQ4 2023","FQ4 2023","Currency=USD","Period=FQ","BEST_FPERIOD_OVERRIDE=FQ","FILING_STATUS=MR","SCALING_FORMAT=MLN","Sort=A","Dates=H","DateFormat=P","Fill=—","Direction=H","UseDPDF=Y")</f>
        <v>10</v>
      </c>
      <c r="Y32" s="12" cm="1">
        <f t="array" ref="Y32">_xll.BDH("CAT US Equity","CF_CASH_FOR_DIVESTITURES","FQ1 2024","FQ1 2024","Currency=USD","Period=FQ","BEST_FPERIOD_OVERRIDE=FQ","FILING_STATUS=MR","SCALING_FORMAT=MLN","Sort=A","Dates=H","DateFormat=P","Fill=—","Direction=H","UseDPDF=Y")</f>
        <v>42</v>
      </c>
      <c r="Z32" s="12" cm="1">
        <f t="array" ref="Z32">_xll.BDH("CAT US Equity","CF_CASH_FOR_DIVESTITURES","FQ2 2024","FQ2 2024","Currency=USD","Period=FQ","BEST_FPERIOD_OVERRIDE=FQ","FILING_STATUS=MR","SCALING_FORMAT=MLN","Sort=A","Dates=H","DateFormat=P","Fill=—","Direction=H","UseDPDF=Y")</f>
        <v>-103</v>
      </c>
      <c r="AA32" s="12" cm="1">
        <f t="array" ref="AA32">_xll.BDH("CAT US Equity","CF_CASH_FOR_DIVESTITURES","FQ3 2024","FQ3 2024","Currency=USD","Period=FQ","BEST_FPERIOD_OVERRIDE=FQ","FILING_STATUS=MR","SCALING_FORMAT=MLN","Sort=A","Dates=H","DateFormat=P","Fill=—","Direction=H","UseDPDF=Y")</f>
        <v>-6</v>
      </c>
      <c r="AB32" s="12" cm="1">
        <f t="array" ref="AB32">_xll.BDH("CAT US Equity","CF_CASH_FOR_DIVESTITURES","FQ4 2024","FQ4 2024","Currency=USD","Period=FQ","BEST_FPERIOD_OVERRIDE=FQ","FILING_STATUS=MR","SCALING_FORMAT=MLN","Sort=A","Dates=H","DateFormat=P","Fill=—","Direction=H","UseDPDF=Y")</f>
        <v>6</v>
      </c>
      <c r="AC32" s="12" cm="1">
        <f t="array" ref="AC32">_xll.BDH("CAT US Equity","CF_CASH_FOR_DIVESTITURES","FQ1 2025","FQ1 2025","Currency=USD","Period=FQ","BEST_FPERIOD_OVERRIDE=FQ","FILING_STATUS=MR","SCALING_FORMAT=MLN","Sort=A","Dates=H","DateFormat=P","Fill=—","Direction=H","UseDPDF=Y")</f>
        <v>12</v>
      </c>
      <c r="AD32" s="12" cm="1">
        <f t="array" ref="AD32">_xll.BDH("CAT US Equity","CF_CASH_FOR_DIVESTITURES","FQ2 2025","FQ2 2025","Currency=USD","Period=FQ","BEST_FPERIOD_OVERRIDE=FQ","FILING_STATUS=MR","SCALING_FORMAT=MLN","Sort=A","Dates=H","DateFormat=P","Fill=—","Direction=H","UseDPDF=Y")</f>
        <v>0</v>
      </c>
      <c r="AE32" s="12" cm="1">
        <f t="array" ref="AE32">_xll.BDH("CAT US Equity","CF_CASH_FOR_DIVESTITURES","FQ3 2025","FQ3 2025","Currency=USD","Period=FQ","BEST_FPERIOD_OVERRIDE=FQ","FILING_STATUS=MR","SCALING_FORMAT=MLN","Sort=A","Dates=H","DateFormat=P","Fill=—","Direction=H","UseDPDF=Y")</f>
        <v>0</v>
      </c>
      <c r="AF32" s="12" cm="1">
        <f t="array" ref="AF32">_xll.BDH("CAT US Equity","CF_CASH_FOR_DIVESTITURES","FQ4 2025","FQ4 2025","Currency=USD","Period=FQ","BEST_FPERIOD_OVERRIDE=FQ","FILING_STATUS=MR","SCALING_FORMAT=MLN","Sort=A","Dates=H","DateFormat=P","Fill=—","Direction=H","UseDPDF=Y")</f>
        <v>10</v>
      </c>
    </row>
    <row r="33" spans="1:32" x14ac:dyDescent="0.25">
      <c r="A33" s="10" t="s">
        <v>114</v>
      </c>
      <c r="B33" s="10" t="s">
        <v>115</v>
      </c>
      <c r="C33" s="12" cm="1">
        <f t="array" ref="C33">_xll.BDH("CAT US Equity","CF_CASH_FOR_ACQUIS_SUBSIDIARIES","FQ3 2018","FQ3 2018","Currency=USD","Period=FQ","BEST_FPERIOD_OVERRIDE=FQ","FILING_STATUS=MR","SCALING_FORMAT=MLN","Sort=A","Dates=H","DateFormat=P","Fill=—","Direction=H","UseDPDF=Y")</f>
        <v>-9</v>
      </c>
      <c r="D33" s="12" cm="1">
        <f t="array" ref="D33">_xll.BDH("CAT US Equity","CF_CASH_FOR_ACQUIS_SUBSIDIARIES","FQ4 2018","FQ4 2018","Currency=USD","Period=FQ","BEST_FPERIOD_OVERRIDE=FQ","FILING_STATUS=MR","SCALING_FORMAT=MLN","Sort=A","Dates=H","DateFormat=P","Fill=—","Direction=H","UseDPDF=Y")</f>
        <v>-35</v>
      </c>
      <c r="E33" s="12" cm="1">
        <f t="array" ref="E33">_xll.BDH("CAT US Equity","CF_CASH_FOR_ACQUIS_SUBSIDIARIES","FQ1 2019","FQ1 2019","Currency=USD","Period=FQ","BEST_FPERIOD_OVERRIDE=FQ","FILING_STATUS=MR","SCALING_FORMAT=MLN","Sort=A","Dates=H","DateFormat=P","Fill=—","Direction=H","UseDPDF=Y")</f>
        <v>-2</v>
      </c>
      <c r="F33" s="12" cm="1">
        <f t="array" ref="F33">_xll.BDH("CAT US Equity","CF_CASH_FOR_ACQUIS_SUBSIDIARIES","FQ2 2019","FQ2 2019","Currency=USD","Period=FQ","BEST_FPERIOD_OVERRIDE=FQ","FILING_STATUS=MR","SCALING_FORMAT=MLN","Sort=A","Dates=H","DateFormat=P","Fill=—","Direction=H","UseDPDF=Y")</f>
        <v>-1</v>
      </c>
      <c r="G33" s="12" cm="1">
        <f t="array" ref="G33">_xll.BDH("CAT US Equity","CF_CASH_FOR_ACQUIS_SUBSIDIARIES","FQ3 2019","FQ3 2019","Currency=USD","Period=FQ","BEST_FPERIOD_OVERRIDE=FQ","FILING_STATUS=MR","SCALING_FORMAT=MLN","Sort=A","Dates=H","DateFormat=P","Fill=—","Direction=H","UseDPDF=Y")</f>
        <v>-3</v>
      </c>
      <c r="H33" s="12" cm="1">
        <f t="array" ref="H33">_xll.BDH("CAT US Equity","CF_CASH_FOR_ACQUIS_SUBSIDIARIES","FQ4 2019","FQ4 2019","Currency=USD","Period=FQ","BEST_FPERIOD_OVERRIDE=FQ","FILING_STATUS=MR","SCALING_FORMAT=MLN","Sort=A","Dates=H","DateFormat=P","Fill=—","Direction=H","UseDPDF=Y")</f>
        <v>-41</v>
      </c>
      <c r="I33" s="12" cm="1">
        <f t="array" ref="I33">_xll.BDH("CAT US Equity","CF_CASH_FOR_ACQUIS_SUBSIDIARIES","FQ1 2020","FQ1 2020","Currency=USD","Period=FQ","BEST_FPERIOD_OVERRIDE=FQ","FILING_STATUS=MR","SCALING_FORMAT=MLN","Sort=A","Dates=H","DateFormat=P","Fill=—","Direction=H","UseDPDF=Y")</f>
        <v>-35</v>
      </c>
      <c r="J33" s="12" cm="1">
        <f t="array" ref="J33">_xll.BDH("CAT US Equity","CF_CASH_FOR_ACQUIS_SUBSIDIARIES","FQ2 2020","FQ2 2020","Currency=USD","Period=FQ","BEST_FPERIOD_OVERRIDE=FQ","FILING_STATUS=MR","SCALING_FORMAT=MLN","Sort=A","Dates=H","DateFormat=P","Fill=—","Direction=H","UseDPDF=Y")</f>
        <v>-14</v>
      </c>
      <c r="K33" s="12" cm="1">
        <f t="array" ref="K33">_xll.BDH("CAT US Equity","CF_CASH_FOR_ACQUIS_SUBSIDIARIES","FQ3 2020","FQ3 2020","Currency=USD","Period=FQ","BEST_FPERIOD_OVERRIDE=FQ","FILING_STATUS=MR","SCALING_FORMAT=MLN","Sort=A","Dates=H","DateFormat=P","Fill=—","Direction=H","UseDPDF=Y")</f>
        <v>-44</v>
      </c>
      <c r="L33" s="12" cm="1">
        <f t="array" ref="L33">_xll.BDH("CAT US Equity","CF_CASH_FOR_ACQUIS_SUBSIDIARIES","FQ4 2020","FQ4 2020","Currency=USD","Period=FQ","BEST_FPERIOD_OVERRIDE=FQ","FILING_STATUS=MR","SCALING_FORMAT=MLN","Sort=A","Dates=H","DateFormat=P","Fill=—","Direction=H","UseDPDF=Y")</f>
        <v>-18</v>
      </c>
      <c r="M33" s="12" cm="1">
        <f t="array" ref="M33">_xll.BDH("CAT US Equity","CF_CASH_FOR_ACQUIS_SUBSIDIARIES","FQ1 2021","FQ1 2021","Currency=USD","Period=FQ","BEST_FPERIOD_OVERRIDE=FQ","FILING_STATUS=MR","SCALING_FORMAT=MLN","Sort=A","Dates=H","DateFormat=P","Fill=—","Direction=H","UseDPDF=Y")</f>
        <v>-386</v>
      </c>
      <c r="N33" s="12" cm="1">
        <f t="array" ref="N33">_xll.BDH("CAT US Equity","CF_CASH_FOR_ACQUIS_SUBSIDIARIES","FQ2 2021","FQ2 2021","Currency=USD","Period=FQ","BEST_FPERIOD_OVERRIDE=FQ","FILING_STATUS=MR","SCALING_FORMAT=MLN","Sort=A","Dates=H","DateFormat=P","Fill=—","Direction=H","UseDPDF=Y")</f>
        <v>-12</v>
      </c>
      <c r="O33" s="12" cm="1">
        <f t="array" ref="O33">_xll.BDH("CAT US Equity","CF_CASH_FOR_ACQUIS_SUBSIDIARIES","FQ3 2021","FQ3 2021","Currency=USD","Period=FQ","BEST_FPERIOD_OVERRIDE=FQ","FILING_STATUS=MR","SCALING_FORMAT=MLN","Sort=A","Dates=H","DateFormat=P","Fill=—","Direction=H","UseDPDF=Y")</f>
        <v>-51</v>
      </c>
      <c r="P33" s="12" cm="1">
        <f t="array" ref="P33">_xll.BDH("CAT US Equity","CF_CASH_FOR_ACQUIS_SUBSIDIARIES","FQ4 2021","FQ4 2021","Currency=USD","Period=FQ","BEST_FPERIOD_OVERRIDE=FQ","FILING_STATUS=MR","SCALING_FORMAT=MLN","Sort=A","Dates=H","DateFormat=P","Fill=—","Direction=H","UseDPDF=Y")</f>
        <v>-41</v>
      </c>
      <c r="Q33" s="12" cm="1">
        <f t="array" ref="Q33">_xll.BDH("CAT US Equity","CF_CASH_FOR_ACQUIS_SUBSIDIARIES","FQ1 2022","FQ1 2022","Currency=USD","Period=FQ","BEST_FPERIOD_OVERRIDE=FQ","FILING_STATUS=MR","SCALING_FORMAT=MLN","Sort=A","Dates=H","DateFormat=P","Fill=—","Direction=H","UseDPDF=Y")</f>
        <v>-8</v>
      </c>
      <c r="R33" s="12" cm="1">
        <f t="array" ref="R33">_xll.BDH("CAT US Equity","CF_CASH_FOR_ACQUIS_SUBSIDIARIES","FQ2 2022","FQ2 2022","Currency=USD","Period=FQ","BEST_FPERIOD_OVERRIDE=FQ","FILING_STATUS=MR","SCALING_FORMAT=MLN","Sort=A","Dates=H","DateFormat=P","Fill=—","Direction=H","UseDPDF=Y")</f>
        <v>-28</v>
      </c>
      <c r="S33" s="12" cm="1">
        <f t="array" ref="S33">_xll.BDH("CAT US Equity","CF_CASH_FOR_ACQUIS_SUBSIDIARIES","FQ3 2022","FQ3 2022","Currency=USD","Period=FQ","BEST_FPERIOD_OVERRIDE=FQ","FILING_STATUS=MR","SCALING_FORMAT=MLN","Sort=A","Dates=H","DateFormat=P","Fill=—","Direction=H","UseDPDF=Y")</f>
        <v>-8</v>
      </c>
      <c r="T33" s="12" cm="1">
        <f t="array" ref="T33">_xll.BDH("CAT US Equity","CF_CASH_FOR_ACQUIS_SUBSIDIARIES","FQ4 2022","FQ4 2022","Currency=USD","Period=FQ","BEST_FPERIOD_OVERRIDE=FQ","FILING_STATUS=MR","SCALING_FORMAT=MLN","Sort=A","Dates=H","DateFormat=P","Fill=—","Direction=H","UseDPDF=Y")</f>
        <v>-44</v>
      </c>
      <c r="U33" s="12" cm="1">
        <f t="array" ref="U33">_xll.BDH("CAT US Equity","CF_CASH_FOR_ACQUIS_SUBSIDIARIES","FQ1 2023","FQ1 2023","Currency=USD","Period=FQ","BEST_FPERIOD_OVERRIDE=FQ","FILING_STATUS=MR","SCALING_FORMAT=MLN","Sort=A","Dates=H","DateFormat=P","Fill=—","Direction=H","UseDPDF=Y")</f>
        <v>-5</v>
      </c>
      <c r="V33" s="12" cm="1">
        <f t="array" ref="V33">_xll.BDH("CAT US Equity","CF_CASH_FOR_ACQUIS_SUBSIDIARIES","FQ2 2023","FQ2 2023","Currency=USD","Period=FQ","BEST_FPERIOD_OVERRIDE=FQ","FILING_STATUS=MR","SCALING_FORMAT=MLN","Sort=A","Dates=H","DateFormat=P","Fill=—","Direction=H","UseDPDF=Y")</f>
        <v>-15</v>
      </c>
      <c r="W33" s="12" cm="1">
        <f t="array" ref="W33">_xll.BDH("CAT US Equity","CF_CASH_FOR_ACQUIS_SUBSIDIARIES","FQ3 2023","FQ3 2023","Currency=USD","Period=FQ","BEST_FPERIOD_OVERRIDE=FQ","FILING_STATUS=MR","SCALING_FORMAT=MLN","Sort=A","Dates=H","DateFormat=P","Fill=—","Direction=H","UseDPDF=Y")</f>
        <v>-47</v>
      </c>
      <c r="X33" s="12" cm="1">
        <f t="array" ref="X33">_xll.BDH("CAT US Equity","CF_CASH_FOR_ACQUIS_SUBSIDIARIES","FQ4 2023","FQ4 2023","Currency=USD","Period=FQ","BEST_FPERIOD_OVERRIDE=FQ","FILING_STATUS=MR","SCALING_FORMAT=MLN","Sort=A","Dates=H","DateFormat=P","Fill=—","Direction=H","UseDPDF=Y")</f>
        <v>-8</v>
      </c>
      <c r="Y33" s="12" cm="1">
        <f t="array" ref="Y33">_xll.BDH("CAT US Equity","CF_CASH_FOR_ACQUIS_SUBSIDIARIES","FQ1 2024","FQ1 2024","Currency=USD","Period=FQ","BEST_FPERIOD_OVERRIDE=FQ","FILING_STATUS=MR","SCALING_FORMAT=MLN","Sort=A","Dates=H","DateFormat=P","Fill=—","Direction=H","UseDPDF=Y")</f>
        <v>0</v>
      </c>
      <c r="Z33" s="12" cm="1">
        <f t="array" ref="Z33">_xll.BDH("CAT US Equity","CF_CASH_FOR_ACQUIS_SUBSIDIARIES","FQ2 2024","FQ2 2024","Currency=USD","Period=FQ","BEST_FPERIOD_OVERRIDE=FQ","FILING_STATUS=MR","SCALING_FORMAT=MLN","Sort=A","Dates=H","DateFormat=P","Fill=—","Direction=H","UseDPDF=Y")</f>
        <v>-32</v>
      </c>
      <c r="AA33" s="12" cm="1">
        <f t="array" ref="AA33">_xll.BDH("CAT US Equity","CF_CASH_FOR_ACQUIS_SUBSIDIARIES","FQ3 2024","FQ3 2024","Currency=USD","Period=FQ","BEST_FPERIOD_OVERRIDE=FQ","FILING_STATUS=MR","SCALING_FORMAT=MLN","Sort=A","Dates=H","DateFormat=P","Fill=—","Direction=H","UseDPDF=Y")</f>
        <v>0</v>
      </c>
      <c r="AB33" s="12" cm="1">
        <f t="array" ref="AB33">_xll.BDH("CAT US Equity","CF_CASH_FOR_ACQUIS_SUBSIDIARIES","FQ4 2024","FQ4 2024","Currency=USD","Period=FQ","BEST_FPERIOD_OVERRIDE=FQ","FILING_STATUS=MR","SCALING_FORMAT=MLN","Sort=A","Dates=H","DateFormat=P","Fill=—","Direction=H","UseDPDF=Y")</f>
        <v>-2</v>
      </c>
      <c r="AC33" s="12" cm="1">
        <f t="array" ref="AC33">_xll.BDH("CAT US Equity","CF_CASH_FOR_ACQUIS_SUBSIDIARIES","FQ1 2025","FQ1 2025","Currency=USD","Period=FQ","BEST_FPERIOD_OVERRIDE=FQ","FILING_STATUS=MR","SCALING_FORMAT=MLN","Sort=A","Dates=H","DateFormat=P","Fill=—","Direction=H","UseDPDF=Y")</f>
        <v>-2</v>
      </c>
      <c r="AD33" s="12" cm="1">
        <f t="array" ref="AD33">_xll.BDH("CAT US Equity","CF_CASH_FOR_ACQUIS_SUBSIDIARIES","FQ2 2025","FQ2 2025","Currency=USD","Period=FQ","BEST_FPERIOD_OVERRIDE=FQ","FILING_STATUS=MR","SCALING_FORMAT=MLN","Sort=A","Dates=H","DateFormat=P","Fill=—","Direction=H","UseDPDF=Y")</f>
        <v>-19</v>
      </c>
      <c r="AE33" s="12" cm="1">
        <f t="array" ref="AE33">_xll.BDH("CAT US Equity","CF_CASH_FOR_ACQUIS_SUBSIDIARIES","FQ3 2025","FQ3 2025","Currency=USD","Period=FQ","BEST_FPERIOD_OVERRIDE=FQ","FILING_STATUS=MR","SCALING_FORMAT=MLN","Sort=A","Dates=H","DateFormat=P","Fill=—","Direction=H","UseDPDF=Y")</f>
        <v>-5</v>
      </c>
      <c r="AF33" s="12" cm="1">
        <f t="array" ref="AF33">_xll.BDH("CAT US Equity","CF_CASH_FOR_ACQUIS_SUBSIDIARIES","FQ4 2025","FQ4 2025","Currency=USD","Period=FQ","BEST_FPERIOD_OVERRIDE=FQ","FILING_STATUS=MR","SCALING_FORMAT=MLN","Sort=A","Dates=H","DateFormat=P","Fill=—","Direction=H","UseDPDF=Y")</f>
        <v>-21</v>
      </c>
    </row>
    <row r="34" spans="1:32" x14ac:dyDescent="0.25">
      <c r="A34" s="10" t="s">
        <v>116</v>
      </c>
      <c r="B34" s="10" t="s">
        <v>117</v>
      </c>
      <c r="C34" s="12" cm="1">
        <f t="array" ref="C34">_xll.BDH("CAT US Equity","CF_CASH_FOR_JOINT_VENTURES_ASSOC","FQ3 2018","FQ3 2018","Currency=USD","Period=FQ","BEST_FPERIOD_OVERRIDE=FQ","FILING_STATUS=MR","SCALING_FORMAT=MLN","Sort=A","Dates=H","DateFormat=P","Fill=—","Direction=H","UseDPDF=Y")</f>
        <v>0</v>
      </c>
      <c r="D34" s="12" cm="1">
        <f t="array" ref="D34">_xll.BDH("CAT US Equity","CF_CASH_FOR_JOINT_VENTURES_ASSOC","FQ4 2018","FQ4 2018","Currency=USD","Period=FQ","BEST_FPERIOD_OVERRIDE=FQ","FILING_STATUS=MR","SCALING_FORMAT=MLN","Sort=A","Dates=H","DateFormat=P","Fill=—","Direction=H","UseDPDF=Y")</f>
        <v>0</v>
      </c>
      <c r="E34" s="12" cm="1">
        <f t="array" ref="E34">_xll.BDH("CAT US Equity","CF_CASH_FOR_JOINT_VENTURES_ASSOC","FQ1 2019","FQ1 2019","Currency=USD","Period=FQ","BEST_FPERIOD_OVERRIDE=FQ","FILING_STATUS=MR","SCALING_FORMAT=MLN","Sort=A","Dates=H","DateFormat=P","Fill=—","Direction=H","UseDPDF=Y")</f>
        <v>0</v>
      </c>
      <c r="F34" s="12" cm="1">
        <f t="array" ref="F34">_xll.BDH("CAT US Equity","CF_CASH_FOR_JOINT_VENTURES_ASSOC","FQ2 2019","FQ2 2019","Currency=USD","Period=FQ","BEST_FPERIOD_OVERRIDE=FQ","FILING_STATUS=MR","SCALING_FORMAT=MLN","Sort=A","Dates=H","DateFormat=P","Fill=—","Direction=H","UseDPDF=Y")</f>
        <v>0</v>
      </c>
      <c r="G34" s="12" cm="1">
        <f t="array" ref="G34">_xll.BDH("CAT US Equity","CF_CASH_FOR_JOINT_VENTURES_ASSOC","FQ3 2019","FQ3 2019","Currency=USD","Period=FQ","BEST_FPERIOD_OVERRIDE=FQ","FILING_STATUS=MR","SCALING_FORMAT=MLN","Sort=A","Dates=H","DateFormat=P","Fill=—","Direction=H","UseDPDF=Y")</f>
        <v>0</v>
      </c>
      <c r="H34" s="12" cm="1">
        <f t="array" ref="H34">_xll.BDH("CAT US Equity","CF_CASH_FOR_JOINT_VENTURES_ASSOC","FQ4 2019","FQ4 2019","Currency=USD","Period=FQ","BEST_FPERIOD_OVERRIDE=FQ","FILING_STATUS=MR","SCALING_FORMAT=MLN","Sort=A","Dates=H","DateFormat=P","Fill=—","Direction=H","UseDPDF=Y")</f>
        <v>0</v>
      </c>
      <c r="I34" s="12" cm="1">
        <f t="array" ref="I34">_xll.BDH("CAT US Equity","CF_CASH_FOR_JOINT_VENTURES_ASSOC","FQ1 2020","FQ1 2020","Currency=USD","Period=FQ","BEST_FPERIOD_OVERRIDE=FQ","FILING_STATUS=MR","SCALING_FORMAT=MLN","Sort=A","Dates=H","DateFormat=P","Fill=—","Direction=H","UseDPDF=Y")</f>
        <v>0</v>
      </c>
      <c r="J34" s="12" cm="1">
        <f t="array" ref="J34">_xll.BDH("CAT US Equity","CF_CASH_FOR_JOINT_VENTURES_ASSOC","FQ2 2020","FQ2 2020","Currency=USD","Period=FQ","BEST_FPERIOD_OVERRIDE=FQ","FILING_STATUS=MR","SCALING_FORMAT=MLN","Sort=A","Dates=H","DateFormat=P","Fill=—","Direction=H","UseDPDF=Y")</f>
        <v>0</v>
      </c>
      <c r="K34" s="12" cm="1">
        <f t="array" ref="K34">_xll.BDH("CAT US Equity","CF_CASH_FOR_JOINT_VENTURES_ASSOC","FQ3 2020","FQ3 2020","Currency=USD","Period=FQ","BEST_FPERIOD_OVERRIDE=FQ","FILING_STATUS=MR","SCALING_FORMAT=MLN","Sort=A","Dates=H","DateFormat=P","Fill=—","Direction=H","UseDPDF=Y")</f>
        <v>0</v>
      </c>
      <c r="L34" s="12" cm="1">
        <f t="array" ref="L34">_xll.BDH("CAT US Equity","CF_CASH_FOR_JOINT_VENTURES_ASSOC","FQ4 2020","FQ4 2020","Currency=USD","Period=FQ","BEST_FPERIOD_OVERRIDE=FQ","FILING_STATUS=MR","SCALING_FORMAT=MLN","Sort=A","Dates=H","DateFormat=P","Fill=—","Direction=H","UseDPDF=Y")</f>
        <v>0</v>
      </c>
      <c r="M34" s="12" cm="1">
        <f t="array" ref="M34">_xll.BDH("CAT US Equity","CF_CASH_FOR_JOINT_VENTURES_ASSOC","FQ1 2021","FQ1 2021","Currency=USD","Period=FQ","BEST_FPERIOD_OVERRIDE=FQ","FILING_STATUS=MR","SCALING_FORMAT=MLN","Sort=A","Dates=H","DateFormat=P","Fill=—","Direction=H","UseDPDF=Y")</f>
        <v>0</v>
      </c>
      <c r="N34" s="12" cm="1">
        <f t="array" ref="N34">_xll.BDH("CAT US Equity","CF_CASH_FOR_JOINT_VENTURES_ASSOC","FQ2 2021","FQ2 2021","Currency=USD","Period=FQ","BEST_FPERIOD_OVERRIDE=FQ","FILING_STATUS=MR","SCALING_FORMAT=MLN","Sort=A","Dates=H","DateFormat=P","Fill=—","Direction=H","UseDPDF=Y")</f>
        <v>0</v>
      </c>
      <c r="O34" s="12" cm="1">
        <f t="array" ref="O34">_xll.BDH("CAT US Equity","CF_CASH_FOR_JOINT_VENTURES_ASSOC","FQ3 2021","FQ3 2021","Currency=USD","Period=FQ","BEST_FPERIOD_OVERRIDE=FQ","FILING_STATUS=MR","SCALING_FORMAT=MLN","Sort=A","Dates=H","DateFormat=P","Fill=—","Direction=H","UseDPDF=Y")</f>
        <v>0</v>
      </c>
      <c r="P34" s="12" cm="1">
        <f t="array" ref="P34">_xll.BDH("CAT US Equity","CF_CASH_FOR_JOINT_VENTURES_ASSOC","FQ4 2021","FQ4 2021","Currency=USD","Period=FQ","BEST_FPERIOD_OVERRIDE=FQ","FILING_STATUS=MR","SCALING_FORMAT=MLN","Sort=A","Dates=H","DateFormat=P","Fill=—","Direction=H","UseDPDF=Y")</f>
        <v>0</v>
      </c>
      <c r="Q34" s="12" cm="1">
        <f t="array" ref="Q34">_xll.BDH("CAT US Equity","CF_CASH_FOR_JOINT_VENTURES_ASSOC","FQ1 2022","FQ1 2022","Currency=USD","Period=FQ","BEST_FPERIOD_OVERRIDE=FQ","FILING_STATUS=MR","SCALING_FORMAT=MLN","Sort=A","Dates=H","DateFormat=P","Fill=—","Direction=H","UseDPDF=Y")</f>
        <v>0</v>
      </c>
      <c r="R34" s="12" cm="1">
        <f t="array" ref="R34">_xll.BDH("CAT US Equity","CF_CASH_FOR_JOINT_VENTURES_ASSOC","FQ2 2022","FQ2 2022","Currency=USD","Period=FQ","BEST_FPERIOD_OVERRIDE=FQ","FILING_STATUS=MR","SCALING_FORMAT=MLN","Sort=A","Dates=H","DateFormat=P","Fill=—","Direction=H","UseDPDF=Y")</f>
        <v>0</v>
      </c>
      <c r="S34" s="12" cm="1">
        <f t="array" ref="S34">_xll.BDH("CAT US Equity","CF_CASH_FOR_JOINT_VENTURES_ASSOC","FQ3 2022","FQ3 2022","Currency=USD","Period=FQ","BEST_FPERIOD_OVERRIDE=FQ","FILING_STATUS=MR","SCALING_FORMAT=MLN","Sort=A","Dates=H","DateFormat=P","Fill=—","Direction=H","UseDPDF=Y")</f>
        <v>0</v>
      </c>
      <c r="T34" s="12" cm="1">
        <f t="array" ref="T34">_xll.BDH("CAT US Equity","CF_CASH_FOR_JOINT_VENTURES_ASSOC","FQ4 2022","FQ4 2022","Currency=USD","Period=FQ","BEST_FPERIOD_OVERRIDE=FQ","FILING_STATUS=MR","SCALING_FORMAT=MLN","Sort=A","Dates=H","DateFormat=P","Fill=—","Direction=H","UseDPDF=Y")</f>
        <v>0</v>
      </c>
      <c r="U34" s="12" cm="1">
        <f t="array" ref="U34">_xll.BDH("CAT US Equity","CF_CASH_FOR_JOINT_VENTURES_ASSOC","FQ1 2023","FQ1 2023","Currency=USD","Period=FQ","BEST_FPERIOD_OVERRIDE=FQ","FILING_STATUS=MR","SCALING_FORMAT=MLN","Sort=A","Dates=H","DateFormat=P","Fill=—","Direction=H","UseDPDF=Y")</f>
        <v>0</v>
      </c>
      <c r="V34" s="12" cm="1">
        <f t="array" ref="V34">_xll.BDH("CAT US Equity","CF_CASH_FOR_JOINT_VENTURES_ASSOC","FQ2 2023","FQ2 2023","Currency=USD","Period=FQ","BEST_FPERIOD_OVERRIDE=FQ","FILING_STATUS=MR","SCALING_FORMAT=MLN","Sort=A","Dates=H","DateFormat=P","Fill=—","Direction=H","UseDPDF=Y")</f>
        <v>0</v>
      </c>
      <c r="W34" s="12" cm="1">
        <f t="array" ref="W34">_xll.BDH("CAT US Equity","CF_CASH_FOR_JOINT_VENTURES_ASSOC","FQ3 2023","FQ3 2023","Currency=USD","Period=FQ","BEST_FPERIOD_OVERRIDE=FQ","FILING_STATUS=MR","SCALING_FORMAT=MLN","Sort=A","Dates=H","DateFormat=P","Fill=—","Direction=H","UseDPDF=Y")</f>
        <v>0</v>
      </c>
      <c r="X34" s="12" cm="1">
        <f t="array" ref="X34">_xll.BDH("CAT US Equity","CF_CASH_FOR_JOINT_VENTURES_ASSOC","FQ4 2023","FQ4 2023","Currency=USD","Period=FQ","BEST_FPERIOD_OVERRIDE=FQ","FILING_STATUS=MR","SCALING_FORMAT=MLN","Sort=A","Dates=H","DateFormat=P","Fill=—","Direction=H","UseDPDF=Y")</f>
        <v>0</v>
      </c>
      <c r="Y34" s="12" cm="1">
        <f t="array" ref="Y34">_xll.BDH("CAT US Equity","CF_CASH_FOR_JOINT_VENTURES_ASSOC","FQ1 2024","FQ1 2024","Currency=USD","Period=FQ","BEST_FPERIOD_OVERRIDE=FQ","FILING_STATUS=MR","SCALING_FORMAT=MLN","Sort=A","Dates=H","DateFormat=P","Fill=—","Direction=H","UseDPDF=Y")</f>
        <v>0</v>
      </c>
      <c r="Z34" s="12" cm="1">
        <f t="array" ref="Z34">_xll.BDH("CAT US Equity","CF_CASH_FOR_JOINT_VENTURES_ASSOC","FQ2 2024","FQ2 2024","Currency=USD","Period=FQ","BEST_FPERIOD_OVERRIDE=FQ","FILING_STATUS=MR","SCALING_FORMAT=MLN","Sort=A","Dates=H","DateFormat=P","Fill=—","Direction=H","UseDPDF=Y")</f>
        <v>0</v>
      </c>
      <c r="AA34" s="12" cm="1">
        <f t="array" ref="AA34">_xll.BDH("CAT US Equity","CF_CASH_FOR_JOINT_VENTURES_ASSOC","FQ3 2024","FQ3 2024","Currency=USD","Period=FQ","BEST_FPERIOD_OVERRIDE=FQ","FILING_STATUS=MR","SCALING_FORMAT=MLN","Sort=A","Dates=H","DateFormat=P","Fill=—","Direction=H","UseDPDF=Y")</f>
        <v>0</v>
      </c>
      <c r="AB34" s="12" cm="1">
        <f t="array" ref="AB34">_xll.BDH("CAT US Equity","CF_CASH_FOR_JOINT_VENTURES_ASSOC","FQ4 2024","FQ4 2024","Currency=USD","Period=FQ","BEST_FPERIOD_OVERRIDE=FQ","FILING_STATUS=MR","SCALING_FORMAT=MLN","Sort=A","Dates=H","DateFormat=P","Fill=—","Direction=H","UseDPDF=Y")</f>
        <v>0</v>
      </c>
      <c r="AC34" s="12" cm="1">
        <f t="array" ref="AC34">_xll.BDH("CAT US Equity","CF_CASH_FOR_JOINT_VENTURES_ASSOC","FQ1 2025","FQ1 2025","Currency=USD","Period=FQ","BEST_FPERIOD_OVERRIDE=FQ","FILING_STATUS=MR","SCALING_FORMAT=MLN","Sort=A","Dates=H","DateFormat=P","Fill=—","Direction=H","UseDPDF=Y")</f>
        <v>0</v>
      </c>
      <c r="AD34" s="12" cm="1">
        <f t="array" ref="AD34">_xll.BDH("CAT US Equity","CF_CASH_FOR_JOINT_VENTURES_ASSOC","FQ2 2025","FQ2 2025","Currency=USD","Period=FQ","BEST_FPERIOD_OVERRIDE=FQ","FILING_STATUS=MR","SCALING_FORMAT=MLN","Sort=A","Dates=H","DateFormat=P","Fill=—","Direction=H","UseDPDF=Y")</f>
        <v>0</v>
      </c>
      <c r="AE34" s="12" cm="1">
        <f t="array" ref="AE34">_xll.BDH("CAT US Equity","CF_CASH_FOR_JOINT_VENTURES_ASSOC","FQ3 2025","FQ3 2025","Currency=USD","Period=FQ","BEST_FPERIOD_OVERRIDE=FQ","FILING_STATUS=MR","SCALING_FORMAT=MLN","Sort=A","Dates=H","DateFormat=P","Fill=—","Direction=H","UseDPDF=Y")</f>
        <v>0</v>
      </c>
      <c r="AF34" s="12" cm="1">
        <f t="array" ref="AF34">_xll.BDH("CAT US Equity","CF_CASH_FOR_JOINT_VENTURES_ASSOC","FQ4 2025","FQ4 2025","Currency=USD","Period=FQ","BEST_FPERIOD_OVERRIDE=FQ","FILING_STATUS=MR","SCALING_FORMAT=MLN","Sort=A","Dates=H","DateFormat=P","Fill=—","Direction=H","UseDPDF=Y")</f>
        <v>0</v>
      </c>
    </row>
    <row r="35" spans="1:32" x14ac:dyDescent="0.25">
      <c r="A35" s="10" t="s">
        <v>118</v>
      </c>
      <c r="B35" s="10" t="s">
        <v>119</v>
      </c>
      <c r="C35" s="12" cm="1">
        <f t="array" ref="C35">_xll.BDH("CAT US Equity","OTHER_INVESTING_ACT_DETAILED","FQ3 2018","FQ3 2018","Currency=USD","Period=FQ","BEST_FPERIOD_OVERRIDE=FQ","FILING_STATUS=MR","SCALING_FORMAT=MLN","Sort=A","Dates=H","DateFormat=P","Fill=—","Direction=H","UseDPDF=Y")</f>
        <v>99</v>
      </c>
      <c r="D35" s="12" cm="1">
        <f t="array" ref="D35">_xll.BDH("CAT US Equity","OTHER_INVESTING_ACT_DETAILED","FQ4 2018","FQ4 2018","Currency=USD","Period=FQ","BEST_FPERIOD_OVERRIDE=FQ","FILING_STATUS=MR","SCALING_FORMAT=MLN","Sort=A","Dates=H","DateFormat=P","Fill=—","Direction=H","UseDPDF=Y")</f>
        <v>-21</v>
      </c>
      <c r="E35" s="12" cm="1">
        <f t="array" ref="E35">_xll.BDH("CAT US Equity","OTHER_INVESTING_ACT_DETAILED","FQ1 2019","FQ1 2019","Currency=USD","Period=FQ","BEST_FPERIOD_OVERRIDE=FQ","FILING_STATUS=MR","SCALING_FORMAT=MLN","Sort=A","Dates=H","DateFormat=P","Fill=—","Direction=H","UseDPDF=Y")</f>
        <v>-88</v>
      </c>
      <c r="F35" s="12" cm="1">
        <f t="array" ref="F35">_xll.BDH("CAT US Equity","OTHER_INVESTING_ACT_DETAILED","FQ2 2019","FQ2 2019","Currency=USD","Period=FQ","BEST_FPERIOD_OVERRIDE=FQ","FILING_STATUS=MR","SCALING_FORMAT=MLN","Sort=A","Dates=H","DateFormat=P","Fill=—","Direction=H","UseDPDF=Y")</f>
        <v>-25</v>
      </c>
      <c r="G35" s="12" cm="1">
        <f t="array" ref="G35">_xll.BDH("CAT US Equity","OTHER_INVESTING_ACT_DETAILED","FQ3 2019","FQ3 2019","Currency=USD","Period=FQ","BEST_FPERIOD_OVERRIDE=FQ","FILING_STATUS=MR","SCALING_FORMAT=MLN","Sort=A","Dates=H","DateFormat=P","Fill=—","Direction=H","UseDPDF=Y")</f>
        <v>-68</v>
      </c>
      <c r="H35" s="12" cm="1">
        <f t="array" ref="H35">_xll.BDH("CAT US Equity","OTHER_INVESTING_ACT_DETAILED","FQ4 2019","FQ4 2019","Currency=USD","Period=FQ","BEST_FPERIOD_OVERRIDE=FQ","FILING_STATUS=MR","SCALING_FORMAT=MLN","Sort=A","Dates=H","DateFormat=P","Fill=—","Direction=H","UseDPDF=Y")</f>
        <v>134</v>
      </c>
      <c r="I35" s="12" cm="1">
        <f t="array" ref="I35">_xll.BDH("CAT US Equity","OTHER_INVESTING_ACT_DETAILED","FQ1 2020","FQ1 2020","Currency=USD","Period=FQ","BEST_FPERIOD_OVERRIDE=FQ","FILING_STATUS=MR","SCALING_FORMAT=MLN","Sort=A","Dates=H","DateFormat=P","Fill=—","Direction=H","UseDPDF=Y")</f>
        <v>-77</v>
      </c>
      <c r="J35" s="12" cm="1">
        <f t="array" ref="J35">_xll.BDH("CAT US Equity","OTHER_INVESTING_ACT_DETAILED","FQ2 2020","FQ2 2020","Currency=USD","Period=FQ","BEST_FPERIOD_OVERRIDE=FQ","FILING_STATUS=MR","SCALING_FORMAT=MLN","Sort=A","Dates=H","DateFormat=P","Fill=—","Direction=H","UseDPDF=Y")</f>
        <v>-121</v>
      </c>
      <c r="K35" s="12" cm="1">
        <f t="array" ref="K35">_xll.BDH("CAT US Equity","OTHER_INVESTING_ACT_DETAILED","FQ3 2020","FQ3 2020","Currency=USD","Period=FQ","BEST_FPERIOD_OVERRIDE=FQ","FILING_STATUS=MR","SCALING_FORMAT=MLN","Sort=A","Dates=H","DateFormat=P","Fill=—","Direction=H","UseDPDF=Y")</f>
        <v>-155</v>
      </c>
      <c r="L35" s="12" cm="1">
        <f t="array" ref="L35">_xll.BDH("CAT US Equity","OTHER_INVESTING_ACT_DETAILED","FQ4 2020","FQ4 2020","Currency=USD","Period=FQ","BEST_FPERIOD_OVERRIDE=FQ","FILING_STATUS=MR","SCALING_FORMAT=MLN","Sort=A","Dates=H","DateFormat=P","Fill=—","Direction=H","UseDPDF=Y")</f>
        <v>-6</v>
      </c>
      <c r="M35" s="12" cm="1">
        <f t="array" ref="M35">_xll.BDH("CAT US Equity","OTHER_INVESTING_ACT_DETAILED","FQ1 2021","FQ1 2021","Currency=USD","Period=FQ","BEST_FPERIOD_OVERRIDE=FQ","FILING_STATUS=MR","SCALING_FORMAT=MLN","Sort=A","Dates=H","DateFormat=P","Fill=—","Direction=H","UseDPDF=Y")</f>
        <v>-70</v>
      </c>
      <c r="N35" s="12" cm="1">
        <f t="array" ref="N35">_xll.BDH("CAT US Equity","OTHER_INVESTING_ACT_DETAILED","FQ2 2021","FQ2 2021","Currency=USD","Period=FQ","BEST_FPERIOD_OVERRIDE=FQ","FILING_STATUS=MR","SCALING_FORMAT=MLN","Sort=A","Dates=H","DateFormat=P","Fill=—","Direction=H","UseDPDF=Y")</f>
        <v>-217</v>
      </c>
      <c r="O35" s="12" cm="1">
        <f t="array" ref="O35">_xll.BDH("CAT US Equity","OTHER_INVESTING_ACT_DETAILED","FQ3 2021","FQ3 2021","Currency=USD","Period=FQ","BEST_FPERIOD_OVERRIDE=FQ","FILING_STATUS=MR","SCALING_FORMAT=MLN","Sort=A","Dates=H","DateFormat=P","Fill=—","Direction=H","UseDPDF=Y")</f>
        <v>-231</v>
      </c>
      <c r="P35" s="12" cm="1">
        <f t="array" ref="P35">_xll.BDH("CAT US Equity","OTHER_INVESTING_ACT_DETAILED","FQ4 2021","FQ4 2021","Currency=USD","Period=FQ","BEST_FPERIOD_OVERRIDE=FQ","FILING_STATUS=MR","SCALING_FORMAT=MLN","Sort=A","Dates=H","DateFormat=P","Fill=—","Direction=H","UseDPDF=Y")</f>
        <v>-384</v>
      </c>
      <c r="Q35" s="12" cm="1">
        <f t="array" ref="Q35">_xll.BDH("CAT US Equity","OTHER_INVESTING_ACT_DETAILED","FQ1 2022","FQ1 2022","Currency=USD","Period=FQ","BEST_FPERIOD_OVERRIDE=FQ","FILING_STATUS=MR","SCALING_FORMAT=MLN","Sort=A","Dates=H","DateFormat=P","Fill=—","Direction=H","UseDPDF=Y")</f>
        <v>-882</v>
      </c>
      <c r="R35" s="12" cm="1">
        <f t="array" ref="R35">_xll.BDH("CAT US Equity","OTHER_INVESTING_ACT_DETAILED","FQ2 2022","FQ2 2022","Currency=USD","Period=FQ","BEST_FPERIOD_OVERRIDE=FQ","FILING_STATUS=MR","SCALING_FORMAT=MLN","Sort=A","Dates=H","DateFormat=P","Fill=—","Direction=H","UseDPDF=Y")</f>
        <v>0</v>
      </c>
      <c r="S35" s="12" cm="1">
        <f t="array" ref="S35">_xll.BDH("CAT US Equity","OTHER_INVESTING_ACT_DETAILED","FQ3 2022","FQ3 2022","Currency=USD","Period=FQ","BEST_FPERIOD_OVERRIDE=FQ","FILING_STATUS=MR","SCALING_FORMAT=MLN","Sort=A","Dates=H","DateFormat=P","Fill=—","Direction=H","UseDPDF=Y")</f>
        <v>578</v>
      </c>
      <c r="T35" s="12" cm="1">
        <f t="array" ref="T35">_xll.BDH("CAT US Equity","OTHER_INVESTING_ACT_DETAILED","FQ4 2022","FQ4 2022","Currency=USD","Period=FQ","BEST_FPERIOD_OVERRIDE=FQ","FILING_STATUS=MR","SCALING_FORMAT=MLN","Sort=A","Dates=H","DateFormat=P","Fill=—","Direction=H","UseDPDF=Y")</f>
        <v>-376</v>
      </c>
      <c r="U35" s="12" cm="1">
        <f t="array" ref="U35">_xll.BDH("CAT US Equity","OTHER_INVESTING_ACT_DETAILED","FQ1 2023","FQ1 2023","Currency=USD","Period=FQ","BEST_FPERIOD_OVERRIDE=FQ","FILING_STATUS=MR","SCALING_FORMAT=MLN","Sort=A","Dates=H","DateFormat=P","Fill=—","Direction=H","UseDPDF=Y")</f>
        <v>-271</v>
      </c>
      <c r="V35" s="12" cm="1">
        <f t="array" ref="V35">_xll.BDH("CAT US Equity","OTHER_INVESTING_ACT_DETAILED","FQ2 2023","FQ2 2023","Currency=USD","Period=FQ","BEST_FPERIOD_OVERRIDE=FQ","FILING_STATUS=MR","SCALING_FORMAT=MLN","Sort=A","Dates=H","DateFormat=P","Fill=—","Direction=H","UseDPDF=Y")</f>
        <v>-303</v>
      </c>
      <c r="W35" s="12" cm="1">
        <f t="array" ref="W35">_xll.BDH("CAT US Equity","OTHER_INVESTING_ACT_DETAILED","FQ3 2023","FQ3 2023","Currency=USD","Period=FQ","BEST_FPERIOD_OVERRIDE=FQ","FILING_STATUS=MR","SCALING_FORMAT=MLN","Sort=A","Dates=H","DateFormat=P","Fill=—","Direction=H","UseDPDF=Y")</f>
        <v>-5278</v>
      </c>
      <c r="X35" s="12" cm="1">
        <f t="array" ref="X35">_xll.BDH("CAT US Equity","OTHER_INVESTING_ACT_DETAILED","FQ4 2023","FQ4 2023","Currency=USD","Period=FQ","BEST_FPERIOD_OVERRIDE=FQ","FILING_STATUS=MR","SCALING_FORMAT=MLN","Sort=A","Dates=H","DateFormat=P","Fill=—","Direction=H","UseDPDF=Y")</f>
        <v>493</v>
      </c>
      <c r="Y35" s="12" cm="1">
        <f t="array" ref="Y35">_xll.BDH("CAT US Equity","OTHER_INVESTING_ACT_DETAILED","FQ1 2024","FQ1 2024","Currency=USD","Period=FQ","BEST_FPERIOD_OVERRIDE=FQ","FILING_STATUS=MR","SCALING_FORMAT=MLN","Sort=A","Dates=H","DateFormat=P","Fill=—","Direction=H","UseDPDF=Y")</f>
        <v>1600</v>
      </c>
      <c r="Z35" s="12" cm="1">
        <f t="array" ref="Z35">_xll.BDH("CAT US Equity","OTHER_INVESTING_ACT_DETAILED","FQ2 2024","FQ2 2024","Currency=USD","Period=FQ","BEST_FPERIOD_OVERRIDE=FQ","FILING_STATUS=MR","SCALING_FORMAT=MLN","Sort=A","Dates=H","DateFormat=P","Fill=—","Direction=H","UseDPDF=Y")</f>
        <v>508</v>
      </c>
      <c r="AA35" s="12" cm="1">
        <f t="array" ref="AA35">_xll.BDH("CAT US Equity","OTHER_INVESTING_ACT_DETAILED","FQ3 2024","FQ3 2024","Currency=USD","Period=FQ","BEST_FPERIOD_OVERRIDE=FQ","FILING_STATUS=MR","SCALING_FORMAT=MLN","Sort=A","Dates=H","DateFormat=P","Fill=—","Direction=H","UseDPDF=Y")</f>
        <v>-22</v>
      </c>
      <c r="AB35" s="12" cm="1">
        <f t="array" ref="AB35">_xll.BDH("CAT US Equity","OTHER_INVESTING_ACT_DETAILED","FQ4 2024","FQ4 2024","Currency=USD","Period=FQ","BEST_FPERIOD_OVERRIDE=FQ","FILING_STATUS=MR","SCALING_FORMAT=MLN","Sort=A","Dates=H","DateFormat=P","Fill=—","Direction=H","UseDPDF=Y")</f>
        <v>-233</v>
      </c>
      <c r="AC35" s="12" cm="1">
        <f t="array" ref="AC35">_xll.BDH("CAT US Equity","OTHER_INVESTING_ACT_DETAILED","FQ1 2025","FQ1 2025","Currency=USD","Period=FQ","BEST_FPERIOD_OVERRIDE=FQ","FILING_STATUS=MR","SCALING_FORMAT=MLN","Sort=A","Dates=H","DateFormat=P","Fill=—","Direction=H","UseDPDF=Y")</f>
        <v>737</v>
      </c>
      <c r="AD35" s="12" cm="1">
        <f t="array" ref="AD35">_xll.BDH("CAT US Equity","OTHER_INVESTING_ACT_DETAILED","FQ2 2025","FQ2 2025","Currency=USD","Period=FQ","BEST_FPERIOD_OVERRIDE=FQ","FILING_STATUS=MR","SCALING_FORMAT=MLN","Sort=A","Dates=H","DateFormat=P","Fill=—","Direction=H","UseDPDF=Y")</f>
        <v>-80</v>
      </c>
      <c r="AE35" s="12" cm="1">
        <f t="array" ref="AE35">_xll.BDH("CAT US Equity","OTHER_INVESTING_ACT_DETAILED","FQ3 2025","FQ3 2025","Currency=USD","Period=FQ","BEST_FPERIOD_OVERRIDE=FQ","FILING_STATUS=MR","SCALING_FORMAT=MLN","Sort=A","Dates=H","DateFormat=P","Fill=—","Direction=H","UseDPDF=Y")</f>
        <v>-22</v>
      </c>
      <c r="AF35" s="12" cm="1">
        <f t="array" ref="AF35">_xll.BDH("CAT US Equity","OTHER_INVESTING_ACT_DETAILED","FQ4 2025","FQ4 2025","Currency=USD","Period=FQ","BEST_FPERIOD_OVERRIDE=FQ","FILING_STATUS=MR","SCALING_FORMAT=MLN","Sort=A","Dates=H","DateFormat=P","Fill=—","Direction=H","UseDPDF=Y")</f>
        <v>4</v>
      </c>
    </row>
    <row r="36" spans="1:32" x14ac:dyDescent="0.25">
      <c r="A36" s="10" t="s">
        <v>86</v>
      </c>
      <c r="B36" s="10" t="s">
        <v>120</v>
      </c>
      <c r="C36" s="12" cm="1">
        <f t="array" ref="C36">_xll.BDH("CAT US Equity","CF_NET_CASH_DISCONTINUED_OPS_INV","FQ3 2018","FQ3 2018","Currency=USD","Period=FQ","BEST_FPERIOD_OVERRIDE=FQ","FILING_STATUS=MR","SCALING_FORMAT=MLN","Sort=A","Dates=H","DateFormat=P","Fill=—","Direction=H","UseDPDF=Y")</f>
        <v>0</v>
      </c>
      <c r="D36" s="12" cm="1">
        <f t="array" ref="D36">_xll.BDH("CAT US Equity","CF_NET_CASH_DISCONTINUED_OPS_INV","FQ4 2018","FQ4 2018","Currency=USD","Period=FQ","BEST_FPERIOD_OVERRIDE=FQ","FILING_STATUS=MR","SCALING_FORMAT=MLN","Sort=A","Dates=H","DateFormat=P","Fill=—","Direction=H","UseDPDF=Y")</f>
        <v>0</v>
      </c>
      <c r="E36" s="12" cm="1">
        <f t="array" ref="E36">_xll.BDH("CAT US Equity","CF_NET_CASH_DISCONTINUED_OPS_INV","FQ1 2019","FQ1 2019","Currency=USD","Period=FQ","BEST_FPERIOD_OVERRIDE=FQ","FILING_STATUS=MR","SCALING_FORMAT=MLN","Sort=A","Dates=H","DateFormat=P","Fill=—","Direction=H","UseDPDF=Y")</f>
        <v>0</v>
      </c>
      <c r="F36" s="12" cm="1">
        <f t="array" ref="F36">_xll.BDH("CAT US Equity","CF_NET_CASH_DISCONTINUED_OPS_INV","FQ2 2019","FQ2 2019","Currency=USD","Period=FQ","BEST_FPERIOD_OVERRIDE=FQ","FILING_STATUS=MR","SCALING_FORMAT=MLN","Sort=A","Dates=H","DateFormat=P","Fill=—","Direction=H","UseDPDF=Y")</f>
        <v>0</v>
      </c>
      <c r="G36" s="12" cm="1">
        <f t="array" ref="G36">_xll.BDH("CAT US Equity","CF_NET_CASH_DISCONTINUED_OPS_INV","FQ3 2019","FQ3 2019","Currency=USD","Period=FQ","BEST_FPERIOD_OVERRIDE=FQ","FILING_STATUS=MR","SCALING_FORMAT=MLN","Sort=A","Dates=H","DateFormat=P","Fill=—","Direction=H","UseDPDF=Y")</f>
        <v>0</v>
      </c>
      <c r="H36" s="12" cm="1">
        <f t="array" ref="H36">_xll.BDH("CAT US Equity","CF_NET_CASH_DISCONTINUED_OPS_INV","FQ4 2019","FQ4 2019","Currency=USD","Period=FQ","BEST_FPERIOD_OVERRIDE=FQ","FILING_STATUS=MR","SCALING_FORMAT=MLN","Sort=A","Dates=H","DateFormat=P","Fill=—","Direction=H","UseDPDF=Y")</f>
        <v>0</v>
      </c>
      <c r="I36" s="12" cm="1">
        <f t="array" ref="I36">_xll.BDH("CAT US Equity","CF_NET_CASH_DISCONTINUED_OPS_INV","FQ1 2020","FQ1 2020","Currency=USD","Period=FQ","BEST_FPERIOD_OVERRIDE=FQ","FILING_STATUS=MR","SCALING_FORMAT=MLN","Sort=A","Dates=H","DateFormat=P","Fill=—","Direction=H","UseDPDF=Y")</f>
        <v>0</v>
      </c>
      <c r="J36" s="12" cm="1">
        <f t="array" ref="J36">_xll.BDH("CAT US Equity","CF_NET_CASH_DISCONTINUED_OPS_INV","FQ2 2020","FQ2 2020","Currency=USD","Period=FQ","BEST_FPERIOD_OVERRIDE=FQ","FILING_STATUS=MR","SCALING_FORMAT=MLN","Sort=A","Dates=H","DateFormat=P","Fill=—","Direction=H","UseDPDF=Y")</f>
        <v>0</v>
      </c>
      <c r="K36" s="12" cm="1">
        <f t="array" ref="K36">_xll.BDH("CAT US Equity","CF_NET_CASH_DISCONTINUED_OPS_INV","FQ3 2020","FQ3 2020","Currency=USD","Period=FQ","BEST_FPERIOD_OVERRIDE=FQ","FILING_STATUS=MR","SCALING_FORMAT=MLN","Sort=A","Dates=H","DateFormat=P","Fill=—","Direction=H","UseDPDF=Y")</f>
        <v>0</v>
      </c>
      <c r="L36" s="12" cm="1">
        <f t="array" ref="L36">_xll.BDH("CAT US Equity","CF_NET_CASH_DISCONTINUED_OPS_INV","FQ4 2020","FQ4 2020","Currency=USD","Period=FQ","BEST_FPERIOD_OVERRIDE=FQ","FILING_STATUS=MR","SCALING_FORMAT=MLN","Sort=A","Dates=H","DateFormat=P","Fill=—","Direction=H","UseDPDF=Y")</f>
        <v>0</v>
      </c>
      <c r="M36" s="12" cm="1">
        <f t="array" ref="M36">_xll.BDH("CAT US Equity","CF_NET_CASH_DISCONTINUED_OPS_INV","FQ1 2021","FQ1 2021","Currency=USD","Period=FQ","BEST_FPERIOD_OVERRIDE=FQ","FILING_STATUS=MR","SCALING_FORMAT=MLN","Sort=A","Dates=H","DateFormat=P","Fill=—","Direction=H","UseDPDF=Y")</f>
        <v>0</v>
      </c>
      <c r="N36" s="12" cm="1">
        <f t="array" ref="N36">_xll.BDH("CAT US Equity","CF_NET_CASH_DISCONTINUED_OPS_INV","FQ2 2021","FQ2 2021","Currency=USD","Period=FQ","BEST_FPERIOD_OVERRIDE=FQ","FILING_STATUS=MR","SCALING_FORMAT=MLN","Sort=A","Dates=H","DateFormat=P","Fill=—","Direction=H","UseDPDF=Y")</f>
        <v>0</v>
      </c>
      <c r="O36" s="12" cm="1">
        <f t="array" ref="O36">_xll.BDH("CAT US Equity","CF_NET_CASH_DISCONTINUED_OPS_INV","FQ3 2021","FQ3 2021","Currency=USD","Period=FQ","BEST_FPERIOD_OVERRIDE=FQ","FILING_STATUS=MR","SCALING_FORMAT=MLN","Sort=A","Dates=H","DateFormat=P","Fill=—","Direction=H","UseDPDF=Y")</f>
        <v>0</v>
      </c>
      <c r="P36" s="12" cm="1">
        <f t="array" ref="P36">_xll.BDH("CAT US Equity","CF_NET_CASH_DISCONTINUED_OPS_INV","FQ4 2021","FQ4 2021","Currency=USD","Period=FQ","BEST_FPERIOD_OVERRIDE=FQ","FILING_STATUS=MR","SCALING_FORMAT=MLN","Sort=A","Dates=H","DateFormat=P","Fill=—","Direction=H","UseDPDF=Y")</f>
        <v>0</v>
      </c>
      <c r="Q36" s="12" cm="1">
        <f t="array" ref="Q36">_xll.BDH("CAT US Equity","CF_NET_CASH_DISCONTINUED_OPS_INV","FQ1 2022","FQ1 2022","Currency=USD","Period=FQ","BEST_FPERIOD_OVERRIDE=FQ","FILING_STATUS=MR","SCALING_FORMAT=MLN","Sort=A","Dates=H","DateFormat=P","Fill=—","Direction=H","UseDPDF=Y")</f>
        <v>0</v>
      </c>
      <c r="R36" s="12" cm="1">
        <f t="array" ref="R36">_xll.BDH("CAT US Equity","CF_NET_CASH_DISCONTINUED_OPS_INV","FQ2 2022","FQ2 2022","Currency=USD","Period=FQ","BEST_FPERIOD_OVERRIDE=FQ","FILING_STATUS=MR","SCALING_FORMAT=MLN","Sort=A","Dates=H","DateFormat=P","Fill=—","Direction=H","UseDPDF=Y")</f>
        <v>0</v>
      </c>
      <c r="S36" s="12" cm="1">
        <f t="array" ref="S36">_xll.BDH("CAT US Equity","CF_NET_CASH_DISCONTINUED_OPS_INV","FQ3 2022","FQ3 2022","Currency=USD","Period=FQ","BEST_FPERIOD_OVERRIDE=FQ","FILING_STATUS=MR","SCALING_FORMAT=MLN","Sort=A","Dates=H","DateFormat=P","Fill=—","Direction=H","UseDPDF=Y")</f>
        <v>0</v>
      </c>
      <c r="T36" s="12" cm="1">
        <f t="array" ref="T36">_xll.BDH("CAT US Equity","CF_NET_CASH_DISCONTINUED_OPS_INV","FQ4 2022","FQ4 2022","Currency=USD","Period=FQ","BEST_FPERIOD_OVERRIDE=FQ","FILING_STATUS=MR","SCALING_FORMAT=MLN","Sort=A","Dates=H","DateFormat=P","Fill=—","Direction=H","UseDPDF=Y")</f>
        <v>0</v>
      </c>
      <c r="U36" s="12" cm="1">
        <f t="array" ref="U36">_xll.BDH("CAT US Equity","CF_NET_CASH_DISCONTINUED_OPS_INV","FQ1 2023","FQ1 2023","Currency=USD","Period=FQ","BEST_FPERIOD_OVERRIDE=FQ","FILING_STATUS=MR","SCALING_FORMAT=MLN","Sort=A","Dates=H","DateFormat=P","Fill=—","Direction=H","UseDPDF=Y")</f>
        <v>0</v>
      </c>
      <c r="V36" s="12" cm="1">
        <f t="array" ref="V36">_xll.BDH("CAT US Equity","CF_NET_CASH_DISCONTINUED_OPS_INV","FQ2 2023","FQ2 2023","Currency=USD","Period=FQ","BEST_FPERIOD_OVERRIDE=FQ","FILING_STATUS=MR","SCALING_FORMAT=MLN","Sort=A","Dates=H","DateFormat=P","Fill=—","Direction=H","UseDPDF=Y")</f>
        <v>0</v>
      </c>
      <c r="W36" s="12" cm="1">
        <f t="array" ref="W36">_xll.BDH("CAT US Equity","CF_NET_CASH_DISCONTINUED_OPS_INV","FQ3 2023","FQ3 2023","Currency=USD","Period=FQ","BEST_FPERIOD_OVERRIDE=FQ","FILING_STATUS=MR","SCALING_FORMAT=MLN","Sort=A","Dates=H","DateFormat=P","Fill=—","Direction=H","UseDPDF=Y")</f>
        <v>0</v>
      </c>
      <c r="X36" s="12" cm="1">
        <f t="array" ref="X36">_xll.BDH("CAT US Equity","CF_NET_CASH_DISCONTINUED_OPS_INV","FQ4 2023","FQ4 2023","Currency=USD","Period=FQ","BEST_FPERIOD_OVERRIDE=FQ","FILING_STATUS=MR","SCALING_FORMAT=MLN","Sort=A","Dates=H","DateFormat=P","Fill=—","Direction=H","UseDPDF=Y")</f>
        <v>0</v>
      </c>
      <c r="Y36" s="12" cm="1">
        <f t="array" ref="Y36">_xll.BDH("CAT US Equity","CF_NET_CASH_DISCONTINUED_OPS_INV","FQ1 2024","FQ1 2024","Currency=USD","Period=FQ","BEST_FPERIOD_OVERRIDE=FQ","FILING_STATUS=MR","SCALING_FORMAT=MLN","Sort=A","Dates=H","DateFormat=P","Fill=—","Direction=H","UseDPDF=Y")</f>
        <v>0</v>
      </c>
      <c r="Z36" s="12" cm="1">
        <f t="array" ref="Z36">_xll.BDH("CAT US Equity","CF_NET_CASH_DISCONTINUED_OPS_INV","FQ2 2024","FQ2 2024","Currency=USD","Period=FQ","BEST_FPERIOD_OVERRIDE=FQ","FILING_STATUS=MR","SCALING_FORMAT=MLN","Sort=A","Dates=H","DateFormat=P","Fill=—","Direction=H","UseDPDF=Y")</f>
        <v>0</v>
      </c>
      <c r="AA36" s="12" cm="1">
        <f t="array" ref="AA36">_xll.BDH("CAT US Equity","CF_NET_CASH_DISCONTINUED_OPS_INV","FQ3 2024","FQ3 2024","Currency=USD","Period=FQ","BEST_FPERIOD_OVERRIDE=FQ","FILING_STATUS=MR","SCALING_FORMAT=MLN","Sort=A","Dates=H","DateFormat=P","Fill=—","Direction=H","UseDPDF=Y")</f>
        <v>0</v>
      </c>
      <c r="AB36" s="12" cm="1">
        <f t="array" ref="AB36">_xll.BDH("CAT US Equity","CF_NET_CASH_DISCONTINUED_OPS_INV","FQ4 2024","FQ4 2024","Currency=USD","Period=FQ","BEST_FPERIOD_OVERRIDE=FQ","FILING_STATUS=MR","SCALING_FORMAT=MLN","Sort=A","Dates=H","DateFormat=P","Fill=—","Direction=H","UseDPDF=Y")</f>
        <v>0</v>
      </c>
      <c r="AC36" s="12" cm="1">
        <f t="array" ref="AC36">_xll.BDH("CAT US Equity","CF_NET_CASH_DISCONTINUED_OPS_INV","FQ1 2025","FQ1 2025","Currency=USD","Period=FQ","BEST_FPERIOD_OVERRIDE=FQ","FILING_STATUS=MR","SCALING_FORMAT=MLN","Sort=A","Dates=H","DateFormat=P","Fill=—","Direction=H","UseDPDF=Y")</f>
        <v>0</v>
      </c>
      <c r="AD36" s="12" cm="1">
        <f t="array" ref="AD36">_xll.BDH("CAT US Equity","CF_NET_CASH_DISCONTINUED_OPS_INV","FQ2 2025","FQ2 2025","Currency=USD","Period=FQ","BEST_FPERIOD_OVERRIDE=FQ","FILING_STATUS=MR","SCALING_FORMAT=MLN","Sort=A","Dates=H","DateFormat=P","Fill=—","Direction=H","UseDPDF=Y")</f>
        <v>0</v>
      </c>
      <c r="AE36" s="12" cm="1">
        <f t="array" ref="AE36">_xll.BDH("CAT US Equity","CF_NET_CASH_DISCONTINUED_OPS_INV","FQ3 2025","FQ3 2025","Currency=USD","Period=FQ","BEST_FPERIOD_OVERRIDE=FQ","FILING_STATUS=MR","SCALING_FORMAT=MLN","Sort=A","Dates=H","DateFormat=P","Fill=—","Direction=H","UseDPDF=Y")</f>
        <v>0</v>
      </c>
      <c r="AF36" s="12" cm="1">
        <f t="array" ref="AF36">_xll.BDH("CAT US Equity","CF_NET_CASH_DISCONTINUED_OPS_INV","FQ4 2025","FQ4 2025","Currency=USD","Period=FQ","BEST_FPERIOD_OVERRIDE=FQ","FILING_STATUS=MR","SCALING_FORMAT=MLN","Sort=A","Dates=H","DateFormat=P","Fill=—","Direction=H","UseDPDF=Y")</f>
        <v>0</v>
      </c>
    </row>
    <row r="37" spans="1:32" x14ac:dyDescent="0.25">
      <c r="A37" s="6" t="s">
        <v>89</v>
      </c>
      <c r="B37" s="6" t="s">
        <v>121</v>
      </c>
      <c r="C37" s="15" cm="1">
        <f t="array" ref="C37">_xll.BDH("CAT US Equity","CF_CASH_FROM_INV_ACT","FQ3 2018","FQ3 2018","Currency=USD","Period=FQ","BEST_FPERIOD_OVERRIDE=FQ","FILING_STATUS=MR","SCALING_FORMAT=MLN","Sort=A","Dates=H","DateFormat=P","Fill=—","Direction=H","UseDPDF=Y")</f>
        <v>-346</v>
      </c>
      <c r="D37" s="15" cm="1">
        <f t="array" ref="D37">_xll.BDH("CAT US Equity","CF_CASH_FROM_INV_ACT","FQ4 2018","FQ4 2018","Currency=USD","Period=FQ","BEST_FPERIOD_OVERRIDE=FQ","FILING_STATUS=MR","SCALING_FORMAT=MLN","Sort=A","Dates=H","DateFormat=P","Fill=—","Direction=H","UseDPDF=Y")</f>
        <v>-798</v>
      </c>
      <c r="E37" s="15" cm="1">
        <f t="array" ref="E37">_xll.BDH("CAT US Equity","CF_CASH_FROM_INV_ACT","FQ1 2019","FQ1 2019","Currency=USD","Period=FQ","BEST_FPERIOD_OVERRIDE=FQ","FILING_STATUS=MR","SCALING_FORMAT=MLN","Sort=A","Dates=H","DateFormat=P","Fill=—","Direction=H","UseDPDF=Y")</f>
        <v>-181</v>
      </c>
      <c r="F37" s="15" cm="1">
        <f t="array" ref="F37">_xll.BDH("CAT US Equity","CF_CASH_FROM_INV_ACT","FQ2 2019","FQ2 2019","Currency=USD","Period=FQ","BEST_FPERIOD_OVERRIDE=FQ","FILING_STATUS=MR","SCALING_FORMAT=MLN","Sort=A","Dates=H","DateFormat=P","Fill=—","Direction=H","UseDPDF=Y")</f>
        <v>-898</v>
      </c>
      <c r="G37" s="15" cm="1">
        <f t="array" ref="G37">_xll.BDH("CAT US Equity","CF_CASH_FROM_INV_ACT","FQ3 2019","FQ3 2019","Currency=USD","Period=FQ","BEST_FPERIOD_OVERRIDE=FQ","FILING_STATUS=MR","SCALING_FORMAT=MLN","Sort=A","Dates=H","DateFormat=P","Fill=—","Direction=H","UseDPDF=Y")</f>
        <v>-275</v>
      </c>
      <c r="H37" s="15" cm="1">
        <f t="array" ref="H37">_xll.BDH("CAT US Equity","CF_CASH_FROM_INV_ACT","FQ4 2019","FQ4 2019","Currency=USD","Period=FQ","BEST_FPERIOD_OVERRIDE=FQ","FILING_STATUS=MR","SCALING_FORMAT=MLN","Sort=A","Dates=H","DateFormat=P","Fill=—","Direction=H","UseDPDF=Y")</f>
        <v>-574</v>
      </c>
      <c r="I37" s="15" cm="1">
        <f t="array" ref="I37">_xll.BDH("CAT US Equity","CF_CASH_FROM_INV_ACT","FQ1 2020","FQ1 2020","Currency=USD","Period=FQ","BEST_FPERIOD_OVERRIDE=FQ","FILING_STATUS=MR","SCALING_FORMAT=MLN","Sort=A","Dates=H","DateFormat=P","Fill=—","Direction=H","UseDPDF=Y")</f>
        <v>-213</v>
      </c>
      <c r="J37" s="15" cm="1">
        <f t="array" ref="J37">_xll.BDH("CAT US Equity","CF_CASH_FROM_INV_ACT","FQ2 2020","FQ2 2020","Currency=USD","Period=FQ","BEST_FPERIOD_OVERRIDE=FQ","FILING_STATUS=MR","SCALING_FORMAT=MLN","Sort=A","Dates=H","DateFormat=P","Fill=—","Direction=H","UseDPDF=Y")</f>
        <v>-530</v>
      </c>
      <c r="K37" s="15" cm="1">
        <f t="array" ref="K37">_xll.BDH("CAT US Equity","CF_CASH_FROM_INV_ACT","FQ3 2020","FQ3 2020","Currency=USD","Period=FQ","BEST_FPERIOD_OVERRIDE=FQ","FILING_STATUS=MR","SCALING_FORMAT=MLN","Sort=A","Dates=H","DateFormat=P","Fill=—","Direction=H","UseDPDF=Y")</f>
        <v>-216</v>
      </c>
      <c r="L37" s="15" cm="1">
        <f t="array" ref="L37">_xll.BDH("CAT US Equity","CF_CASH_FROM_INV_ACT","FQ4 2020","FQ4 2020","Currency=USD","Period=FQ","BEST_FPERIOD_OVERRIDE=FQ","FILING_STATUS=MR","SCALING_FORMAT=MLN","Sort=A","Dates=H","DateFormat=P","Fill=—","Direction=H","UseDPDF=Y")</f>
        <v>-526</v>
      </c>
      <c r="M37" s="15" cm="1">
        <f t="array" ref="M37">_xll.BDH("CAT US Equity","CF_CASH_FROM_INV_ACT","FQ1 2021","FQ1 2021","Currency=USD","Period=FQ","BEST_FPERIOD_OVERRIDE=FQ","FILING_STATUS=MR","SCALING_FORMAT=MLN","Sort=A","Dates=H","DateFormat=P","Fill=—","Direction=H","UseDPDF=Y")</f>
        <v>-477</v>
      </c>
      <c r="N37" s="15" cm="1">
        <f t="array" ref="N37">_xll.BDH("CAT US Equity","CF_CASH_FROM_INV_ACT","FQ2 2021","FQ2 2021","Currency=USD","Period=FQ","BEST_FPERIOD_OVERRIDE=FQ","FILING_STATUS=MR","SCALING_FORMAT=MLN","Sort=A","Dates=H","DateFormat=P","Fill=—","Direction=H","UseDPDF=Y")</f>
        <v>-1240</v>
      </c>
      <c r="O37" s="15" cm="1">
        <f t="array" ref="O37">_xll.BDH("CAT US Equity","CF_CASH_FROM_INV_ACT","FQ3 2021","FQ3 2021","Currency=USD","Period=FQ","BEST_FPERIOD_OVERRIDE=FQ","FILING_STATUS=MR","SCALING_FORMAT=MLN","Sort=A","Dates=H","DateFormat=P","Fill=—","Direction=H","UseDPDF=Y")</f>
        <v>-375</v>
      </c>
      <c r="P37" s="15" cm="1">
        <f t="array" ref="P37">_xll.BDH("CAT US Equity","CF_CASH_FROM_INV_ACT","FQ4 2021","FQ4 2021","Currency=USD","Period=FQ","BEST_FPERIOD_OVERRIDE=FQ","FILING_STATUS=MR","SCALING_FORMAT=MLN","Sort=A","Dates=H","DateFormat=P","Fill=—","Direction=H","UseDPDF=Y")</f>
        <v>-992</v>
      </c>
      <c r="Q37" s="15" cm="1">
        <f t="array" ref="Q37">_xll.BDH("CAT US Equity","CF_CASH_FROM_INV_ACT","FQ1 2022","FQ1 2022","Currency=USD","Period=FQ","BEST_FPERIOD_OVERRIDE=FQ","FILING_STATUS=MR","SCALING_FORMAT=MLN","Sort=A","Dates=H","DateFormat=P","Fill=—","Direction=H","UseDPDF=Y")</f>
        <v>-1313</v>
      </c>
      <c r="R37" s="15" cm="1">
        <f t="array" ref="R37">_xll.BDH("CAT US Equity","CF_CASH_FROM_INV_ACT","FQ2 2022","FQ2 2022","Currency=USD","Period=FQ","BEST_FPERIOD_OVERRIDE=FQ","FILING_STATUS=MR","SCALING_FORMAT=MLN","Sort=A","Dates=H","DateFormat=P","Fill=—","Direction=H","UseDPDF=Y")</f>
        <v>-575</v>
      </c>
      <c r="S37" s="15" cm="1">
        <f t="array" ref="S37">_xll.BDH("CAT US Equity","CF_CASH_FROM_INV_ACT","FQ3 2022","FQ3 2022","Currency=USD","Period=FQ","BEST_FPERIOD_OVERRIDE=FQ","FILING_STATUS=MR","SCALING_FORMAT=MLN","Sort=A","Dates=H","DateFormat=P","Fill=—","Direction=H","UseDPDF=Y")</f>
        <v>190</v>
      </c>
      <c r="T37" s="15" cm="1">
        <f t="array" ref="T37">_xll.BDH("CAT US Equity","CF_CASH_FROM_INV_ACT","FQ4 2022","FQ4 2022","Currency=USD","Period=FQ","BEST_FPERIOD_OVERRIDE=FQ","FILING_STATUS=MR","SCALING_FORMAT=MLN","Sort=A","Dates=H","DateFormat=P","Fill=—","Direction=H","UseDPDF=Y")</f>
        <v>-843</v>
      </c>
      <c r="U37" s="15" cm="1">
        <f t="array" ref="U37">_xll.BDH("CAT US Equity","CF_CASH_FROM_INV_ACT","FQ1 2023","FQ1 2023","Currency=USD","Period=FQ","BEST_FPERIOD_OVERRIDE=FQ","FILING_STATUS=MR","SCALING_FORMAT=MLN","Sort=A","Dates=H","DateFormat=P","Fill=—","Direction=H","UseDPDF=Y")</f>
        <v>-683</v>
      </c>
      <c r="V37" s="15" cm="1">
        <f t="array" ref="V37">_xll.BDH("CAT US Equity","CF_CASH_FROM_INV_ACT","FQ2 2023","FQ2 2023","Currency=USD","Period=FQ","BEST_FPERIOD_OVERRIDE=FQ","FILING_STATUS=MR","SCALING_FORMAT=MLN","Sort=A","Dates=H","DateFormat=P","Fill=—","Direction=H","UseDPDF=Y")</f>
        <v>-1199</v>
      </c>
      <c r="W37" s="15" cm="1">
        <f t="array" ref="W37">_xll.BDH("CAT US Equity","CF_CASH_FROM_INV_ACT","FQ3 2023","FQ3 2023","Currency=USD","Period=FQ","BEST_FPERIOD_OVERRIDE=FQ","FILING_STATUS=MR","SCALING_FORMAT=MLN","Sort=A","Dates=H","DateFormat=P","Fill=—","Direction=H","UseDPDF=Y")</f>
        <v>-6377</v>
      </c>
      <c r="X37" s="15" cm="1">
        <f t="array" ref="X37">_xll.BDH("CAT US Equity","CF_CASH_FROM_INV_ACT","FQ4 2023","FQ4 2023","Currency=USD","Period=FQ","BEST_FPERIOD_OVERRIDE=FQ","FILING_STATUS=MR","SCALING_FORMAT=MLN","Sort=A","Dates=H","DateFormat=P","Fill=—","Direction=H","UseDPDF=Y")</f>
        <v>-554</v>
      </c>
      <c r="Y37" s="15" cm="1">
        <f t="array" ref="Y37">_xll.BDH("CAT US Equity","CF_CASH_FROM_INV_ACT","FQ1 2024","FQ1 2024","Currency=USD","Period=FQ","BEST_FPERIOD_OVERRIDE=FQ","FILING_STATUS=MR","SCALING_FORMAT=MLN","Sort=A","Dates=H","DateFormat=P","Fill=—","Direction=H","UseDPDF=Y")</f>
        <v>958</v>
      </c>
      <c r="Z37" s="15" cm="1">
        <f t="array" ref="Z37">_xll.BDH("CAT US Equity","CF_CASH_FROM_INV_ACT","FQ2 2024","FQ2 2024","Currency=USD","Period=FQ","BEST_FPERIOD_OVERRIDE=FQ","FILING_STATUS=MR","SCALING_FORMAT=MLN","Sort=A","Dates=H","DateFormat=P","Fill=—","Direction=H","UseDPDF=Y")</f>
        <v>-722</v>
      </c>
      <c r="AA37" s="15" cm="1">
        <f t="array" ref="AA37">_xll.BDH("CAT US Equity","CF_CASH_FROM_INV_ACT","FQ3 2024","FQ3 2024","Currency=USD","Period=FQ","BEST_FPERIOD_OVERRIDE=FQ","FILING_STATUS=MR","SCALING_FORMAT=MLN","Sort=A","Dates=H","DateFormat=P","Fill=—","Direction=H","UseDPDF=Y")</f>
        <v>-1040</v>
      </c>
      <c r="AB37" s="15" cm="1">
        <f t="array" ref="AB37">_xll.BDH("CAT US Equity","CF_CASH_FROM_INV_ACT","FQ4 2024","FQ4 2024","Currency=USD","Period=FQ","BEST_FPERIOD_OVERRIDE=FQ","FILING_STATUS=MR","SCALING_FORMAT=MLN","Sort=A","Dates=H","DateFormat=P","Fill=—","Direction=H","UseDPDF=Y")</f>
        <v>-1649</v>
      </c>
      <c r="AC37" s="15" cm="1">
        <f t="array" ref="AC37">_xll.BDH("CAT US Equity","CF_CASH_FROM_INV_ACT","FQ1 2025","FQ1 2025","Currency=USD","Period=FQ","BEST_FPERIOD_OVERRIDE=FQ","FILING_STATUS=MR","SCALING_FORMAT=MLN","Sort=A","Dates=H","DateFormat=P","Fill=—","Direction=H","UseDPDF=Y")</f>
        <v>-175</v>
      </c>
      <c r="AD37" s="15" cm="1">
        <f t="array" ref="AD37">_xll.BDH("CAT US Equity","CF_CASH_FROM_INV_ACT","FQ2 2025","FQ2 2025","Currency=USD","Period=FQ","BEST_FPERIOD_OVERRIDE=FQ","FILING_STATUS=MR","SCALING_FORMAT=MLN","Sort=A","Dates=H","DateFormat=P","Fill=—","Direction=H","UseDPDF=Y")</f>
        <v>-1332</v>
      </c>
      <c r="AE37" s="15" cm="1">
        <f t="array" ref="AE37">_xll.BDH("CAT US Equity","CF_CASH_FROM_INV_ACT","FQ3 2025","FQ3 2025","Currency=USD","Period=FQ","BEST_FPERIOD_OVERRIDE=FQ","FILING_STATUS=MR","SCALING_FORMAT=MLN","Sort=A","Dates=H","DateFormat=P","Fill=—","Direction=H","UseDPDF=Y")</f>
        <v>-1320</v>
      </c>
      <c r="AF37" s="15" cm="1">
        <f t="array" ref="AF37">_xll.BDH("CAT US Equity","CF_CASH_FROM_INV_ACT","FQ4 2025","FQ4 2025","Currency=USD","Period=FQ","BEST_FPERIOD_OVERRIDE=FQ","FILING_STATUS=MR","SCALING_FORMAT=MLN","Sort=A","Dates=H","DateFormat=P","Fill=—","Direction=H","UseDPDF=Y")</f>
        <v>-1880</v>
      </c>
    </row>
    <row r="38" spans="1:32" x14ac:dyDescent="0.25">
      <c r="A38" s="6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</row>
    <row r="39" spans="1:32" x14ac:dyDescent="0.25">
      <c r="A39" s="6" t="s">
        <v>122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</row>
    <row r="40" spans="1:32" x14ac:dyDescent="0.25">
      <c r="A40" s="10" t="s">
        <v>123</v>
      </c>
      <c r="B40" s="10" t="s">
        <v>124</v>
      </c>
      <c r="C40" s="12" cm="1">
        <f t="array" ref="C40">_xll.BDH("CAT US Equity","CF_DVD_PAID","FQ3 2018","FQ3 2018","Currency=USD","Period=FQ","BEST_FPERIOD_OVERRIDE=FQ","FILING_STATUS=MR","SCALING_FORMAT=MLN","Sort=A","Dates=H","DateFormat=P","Fill=—","Direction=H","UseDPDF=Y")</f>
        <v>-511</v>
      </c>
      <c r="D40" s="12" cm="1">
        <f t="array" ref="D40">_xll.BDH("CAT US Equity","CF_DVD_PAID","FQ4 2018","FQ4 2018","Currency=USD","Period=FQ","BEST_FPERIOD_OVERRIDE=FQ","FILING_STATUS=MR","SCALING_FORMAT=MLN","Sort=A","Dates=H","DateFormat=P","Fill=—","Direction=H","UseDPDF=Y")</f>
        <v>-507</v>
      </c>
      <c r="E40" s="12" cm="1">
        <f t="array" ref="E40">_xll.BDH("CAT US Equity","CF_DVD_PAID","FQ1 2019","FQ1 2019","Currency=USD","Period=FQ","BEST_FPERIOD_OVERRIDE=FQ","FILING_STATUS=MR","SCALING_FORMAT=MLN","Sort=A","Dates=H","DateFormat=P","Fill=—","Direction=H","UseDPDF=Y")</f>
        <v>-494</v>
      </c>
      <c r="F40" s="12" cm="1">
        <f t="array" ref="F40">_xll.BDH("CAT US Equity","CF_DVD_PAID","FQ2 2019","FQ2 2019","Currency=USD","Period=FQ","BEST_FPERIOD_OVERRIDE=FQ","FILING_STATUS=MR","SCALING_FORMAT=MLN","Sort=A","Dates=H","DateFormat=P","Fill=—","Direction=H","UseDPDF=Y")</f>
        <v>-492</v>
      </c>
      <c r="G40" s="12" cm="1">
        <f t="array" ref="G40">_xll.BDH("CAT US Equity","CF_DVD_PAID","FQ3 2019","FQ3 2019","Currency=USD","Period=FQ","BEST_FPERIOD_OVERRIDE=FQ","FILING_STATUS=MR","SCALING_FORMAT=MLN","Sort=A","Dates=H","DateFormat=P","Fill=—","Direction=H","UseDPDF=Y")</f>
        <v>-578</v>
      </c>
      <c r="H40" s="12" cm="1">
        <f t="array" ref="H40">_xll.BDH("CAT US Equity","CF_DVD_PAID","FQ4 2019","FQ4 2019","Currency=USD","Period=FQ","BEST_FPERIOD_OVERRIDE=FQ","FILING_STATUS=MR","SCALING_FORMAT=MLN","Sort=A","Dates=H","DateFormat=P","Fill=—","Direction=H","UseDPDF=Y")</f>
        <v>-568</v>
      </c>
      <c r="I40" s="12" cm="1">
        <f t="array" ref="I40">_xll.BDH("CAT US Equity","CF_DVD_PAID","FQ1 2020","FQ1 2020","Currency=USD","Period=FQ","BEST_FPERIOD_OVERRIDE=FQ","FILING_STATUS=MR","SCALING_FORMAT=MLN","Sort=A","Dates=H","DateFormat=P","Fill=—","Direction=H","UseDPDF=Y")</f>
        <v>-567</v>
      </c>
      <c r="J40" s="12" cm="1">
        <f t="array" ref="J40">_xll.BDH("CAT US Equity","CF_DVD_PAID","FQ2 2020","FQ2 2020","Currency=USD","Period=FQ","BEST_FPERIOD_OVERRIDE=FQ","FILING_STATUS=MR","SCALING_FORMAT=MLN","Sort=A","Dates=H","DateFormat=P","Fill=—","Direction=H","UseDPDF=Y")</f>
        <v>-558</v>
      </c>
      <c r="K40" s="12" cm="1">
        <f t="array" ref="K40">_xll.BDH("CAT US Equity","CF_DVD_PAID","FQ3 2020","FQ3 2020","Currency=USD","Period=FQ","BEST_FPERIOD_OVERRIDE=FQ","FILING_STATUS=MR","SCALING_FORMAT=MLN","Sort=A","Dates=H","DateFormat=P","Fill=—","Direction=H","UseDPDF=Y")</f>
        <v>-558</v>
      </c>
      <c r="L40" s="12" cm="1">
        <f t="array" ref="L40">_xll.BDH("CAT US Equity","CF_DVD_PAID","FQ4 2020","FQ4 2020","Currency=USD","Period=FQ","BEST_FPERIOD_OVERRIDE=FQ","FILING_STATUS=MR","SCALING_FORMAT=MLN","Sort=A","Dates=H","DateFormat=P","Fill=—","Direction=H","UseDPDF=Y")</f>
        <v>-560</v>
      </c>
      <c r="M40" s="12" cm="1">
        <f t="array" ref="M40">_xll.BDH("CAT US Equity","CF_DVD_PAID","FQ1 2021","FQ1 2021","Currency=USD","Period=FQ","BEST_FPERIOD_OVERRIDE=FQ","FILING_STATUS=MR","SCALING_FORMAT=MLN","Sort=A","Dates=H","DateFormat=P","Fill=—","Direction=H","UseDPDF=Y")</f>
        <v>-562</v>
      </c>
      <c r="N40" s="12" cm="1">
        <f t="array" ref="N40">_xll.BDH("CAT US Equity","CF_DVD_PAID","FQ2 2021","FQ2 2021","Currency=USD","Period=FQ","BEST_FPERIOD_OVERRIDE=FQ","FILING_STATUS=MR","SCALING_FORMAT=MLN","Sort=A","Dates=H","DateFormat=P","Fill=—","Direction=H","UseDPDF=Y")</f>
        <v>-564</v>
      </c>
      <c r="O40" s="12" cm="1">
        <f t="array" ref="O40">_xll.BDH("CAT US Equity","CF_DVD_PAID","FQ3 2021","FQ3 2021","Currency=USD","Period=FQ","BEST_FPERIOD_OVERRIDE=FQ","FILING_STATUS=MR","SCALING_FORMAT=MLN","Sort=A","Dates=H","DateFormat=P","Fill=—","Direction=H","UseDPDF=Y")</f>
        <v>-607</v>
      </c>
      <c r="P40" s="12" cm="1">
        <f t="array" ref="P40">_xll.BDH("CAT US Equity","CF_DVD_PAID","FQ4 2021","FQ4 2021","Currency=USD","Period=FQ","BEST_FPERIOD_OVERRIDE=FQ","FILING_STATUS=MR","SCALING_FORMAT=MLN","Sort=A","Dates=H","DateFormat=P","Fill=—","Direction=H","UseDPDF=Y")</f>
        <v>-599</v>
      </c>
      <c r="Q40" s="12" cm="1">
        <f t="array" ref="Q40">_xll.BDH("CAT US Equity","CF_DVD_PAID","FQ1 2022","FQ1 2022","Currency=USD","Period=FQ","BEST_FPERIOD_OVERRIDE=FQ","FILING_STATUS=MR","SCALING_FORMAT=MLN","Sort=A","Dates=H","DateFormat=P","Fill=—","Direction=H","UseDPDF=Y")</f>
        <v>-595</v>
      </c>
      <c r="R40" s="12" cm="1">
        <f t="array" ref="R40">_xll.BDH("CAT US Equity","CF_DVD_PAID","FQ2 2022","FQ2 2022","Currency=USD","Period=FQ","BEST_FPERIOD_OVERRIDE=FQ","FILING_STATUS=MR","SCALING_FORMAT=MLN","Sort=A","Dates=H","DateFormat=P","Fill=—","Direction=H","UseDPDF=Y")</f>
        <v>-592</v>
      </c>
      <c r="S40" s="12" cm="1">
        <f t="array" ref="S40">_xll.BDH("CAT US Equity","CF_DVD_PAID","FQ3 2022","FQ3 2022","Currency=USD","Period=FQ","BEST_FPERIOD_OVERRIDE=FQ","FILING_STATUS=MR","SCALING_FORMAT=MLN","Sort=A","Dates=H","DateFormat=P","Fill=—","Direction=H","UseDPDF=Y")</f>
        <v>-633</v>
      </c>
      <c r="T40" s="12" cm="1">
        <f t="array" ref="T40">_xll.BDH("CAT US Equity","CF_DVD_PAID","FQ4 2022","FQ4 2022","Currency=USD","Period=FQ","BEST_FPERIOD_OVERRIDE=FQ","FILING_STATUS=MR","SCALING_FORMAT=MLN","Sort=A","Dates=H","DateFormat=P","Fill=—","Direction=H","UseDPDF=Y")</f>
        <v>-620</v>
      </c>
      <c r="U40" s="12" cm="1">
        <f t="array" ref="U40">_xll.BDH("CAT US Equity","CF_DVD_PAID","FQ1 2023","FQ1 2023","Currency=USD","Period=FQ","BEST_FPERIOD_OVERRIDE=FQ","FILING_STATUS=MR","SCALING_FORMAT=MLN","Sort=A","Dates=H","DateFormat=P","Fill=—","Direction=H","UseDPDF=Y")</f>
        <v>-620</v>
      </c>
      <c r="V40" s="12" cm="1">
        <f t="array" ref="V40">_xll.BDH("CAT US Equity","CF_DVD_PAID","FQ2 2023","FQ2 2023","Currency=USD","Period=FQ","BEST_FPERIOD_OVERRIDE=FQ","FILING_STATUS=MR","SCALING_FORMAT=MLN","Sort=A","Dates=H","DateFormat=P","Fill=—","Direction=H","UseDPDF=Y")</f>
        <v>-618</v>
      </c>
      <c r="W40" s="12" cm="1">
        <f t="array" ref="W40">_xll.BDH("CAT US Equity","CF_DVD_PAID","FQ3 2023","FQ3 2023","Currency=USD","Period=FQ","BEST_FPERIOD_OVERRIDE=FQ","FILING_STATUS=MR","SCALING_FORMAT=MLN","Sort=A","Dates=H","DateFormat=P","Fill=—","Direction=H","UseDPDF=Y")</f>
        <v>-663</v>
      </c>
      <c r="X40" s="12" cm="1">
        <f t="array" ref="X40">_xll.BDH("CAT US Equity","CF_DVD_PAID","FQ4 2023","FQ4 2023","Currency=USD","Period=FQ","BEST_FPERIOD_OVERRIDE=FQ","FILING_STATUS=MR","SCALING_FORMAT=MLN","Sort=A","Dates=H","DateFormat=P","Fill=—","Direction=H","UseDPDF=Y")</f>
        <v>-662</v>
      </c>
      <c r="Y40" s="12" cm="1">
        <f t="array" ref="Y40">_xll.BDH("CAT US Equity","CF_DVD_PAID","FQ1 2024","FQ1 2024","Currency=USD","Period=FQ","BEST_FPERIOD_OVERRIDE=FQ","FILING_STATUS=MR","SCALING_FORMAT=MLN","Sort=A","Dates=H","DateFormat=P","Fill=—","Direction=H","UseDPDF=Y")</f>
        <v>-648</v>
      </c>
      <c r="Z40" s="12" cm="1">
        <f t="array" ref="Z40">_xll.BDH("CAT US Equity","CF_DVD_PAID","FQ2 2024","FQ2 2024","Currency=USD","Period=FQ","BEST_FPERIOD_OVERRIDE=FQ","FILING_STATUS=MR","SCALING_FORMAT=MLN","Sort=A","Dates=H","DateFormat=P","Fill=—","Direction=H","UseDPDF=Y")</f>
        <v>-635</v>
      </c>
      <c r="AA40" s="12" cm="1">
        <f t="array" ref="AA40">_xll.BDH("CAT US Equity","CF_DVD_PAID","FQ3 2024","FQ3 2024","Currency=USD","Period=FQ","BEST_FPERIOD_OVERRIDE=FQ","FILING_STATUS=MR","SCALING_FORMAT=MLN","Sort=A","Dates=H","DateFormat=P","Fill=—","Direction=H","UseDPDF=Y")</f>
        <v>-683</v>
      </c>
      <c r="AB40" s="12" cm="1">
        <f t="array" ref="AB40">_xll.BDH("CAT US Equity","CF_DVD_PAID","FQ4 2024","FQ4 2024","Currency=USD","Period=FQ","BEST_FPERIOD_OVERRIDE=FQ","FILING_STATUS=MR","SCALING_FORMAT=MLN","Sort=A","Dates=H","DateFormat=P","Fill=—","Direction=H","UseDPDF=Y")</f>
        <v>-680</v>
      </c>
      <c r="AC40" s="12" cm="1">
        <f t="array" ref="AC40">_xll.BDH("CAT US Equity","CF_DVD_PAID","FQ1 2025","FQ1 2025","Currency=USD","Period=FQ","BEST_FPERIOD_OVERRIDE=FQ","FILING_STATUS=MR","SCALING_FORMAT=MLN","Sort=A","Dates=H","DateFormat=P","Fill=—","Direction=H","UseDPDF=Y")</f>
        <v>-674</v>
      </c>
      <c r="AD40" s="12" cm="1">
        <f t="array" ref="AD40">_xll.BDH("CAT US Equity","CF_DVD_PAID","FQ2 2025","FQ2 2025","Currency=USD","Period=FQ","BEST_FPERIOD_OVERRIDE=FQ","FILING_STATUS=MR","SCALING_FORMAT=MLN","Sort=A","Dates=H","DateFormat=P","Fill=—","Direction=H","UseDPDF=Y")</f>
        <v>-662</v>
      </c>
      <c r="AE40" s="12" cm="1">
        <f t="array" ref="AE40">_xll.BDH("CAT US Equity","CF_DVD_PAID","FQ3 2025","FQ3 2025","Currency=USD","Period=FQ","BEST_FPERIOD_OVERRIDE=FQ","FILING_STATUS=MR","SCALING_FORMAT=MLN","Sort=A","Dates=H","DateFormat=P","Fill=—","Direction=H","UseDPDF=Y")</f>
        <v>-707</v>
      </c>
      <c r="AF40" s="12" cm="1">
        <f t="array" ref="AF40">_xll.BDH("CAT US Equity","CF_DVD_PAID","FQ4 2025","FQ4 2025","Currency=USD","Period=FQ","BEST_FPERIOD_OVERRIDE=FQ","FILING_STATUS=MR","SCALING_FORMAT=MLN","Sort=A","Dates=H","DateFormat=P","Fill=—","Direction=H","UseDPDF=Y")</f>
        <v>-706</v>
      </c>
    </row>
    <row r="41" spans="1:32" x14ac:dyDescent="0.25">
      <c r="A41" s="10" t="s">
        <v>125</v>
      </c>
      <c r="B41" s="10" t="s">
        <v>126</v>
      </c>
      <c r="C41" s="12" cm="1">
        <f t="array" ref="C41">_xll.BDH("CAT US Equity","PROC_FR_REPAYMNTS_BOR_DETAILED","FQ3 2018","FQ3 2018","Currency=USD","Period=FQ","BEST_FPERIOD_OVERRIDE=FQ","FILING_STATUS=MR","SCALING_FORMAT=MLN","Sort=A","Dates=H","DateFormat=P","Fill=—","Direction=H","UseDPDF=Y")</f>
        <v>-392</v>
      </c>
      <c r="D41" s="12" cm="1">
        <f t="array" ref="D41">_xll.BDH("CAT US Equity","PROC_FR_REPAYMNTS_BOR_DETAILED","FQ4 2018","FQ4 2018","Currency=USD","Period=FQ","BEST_FPERIOD_OVERRIDE=FQ","FILING_STATUS=MR","SCALING_FORMAT=MLN","Sort=A","Dates=H","DateFormat=P","Fill=—","Direction=H","UseDPDF=Y")</f>
        <v>874</v>
      </c>
      <c r="E41" s="12" cm="1">
        <f t="array" ref="E41">_xll.BDH("CAT US Equity","PROC_FR_REPAYMNTS_BOR_DETAILED","FQ1 2019","FQ1 2019","Currency=USD","Period=FQ","BEST_FPERIOD_OVERRIDE=FQ","FILING_STATUS=MR","SCALING_FORMAT=MLN","Sort=A","Dates=H","DateFormat=P","Fill=—","Direction=H","UseDPDF=Y")</f>
        <v>-424</v>
      </c>
      <c r="F41" s="12" cm="1">
        <f t="array" ref="F41">_xll.BDH("CAT US Equity","PROC_FR_REPAYMNTS_BOR_DETAILED","FQ2 2019","FQ2 2019","Currency=USD","Period=FQ","BEST_FPERIOD_OVERRIDE=FQ","FILING_STATUS=MR","SCALING_FORMAT=MLN","Sort=A","Dates=H","DateFormat=P","Fill=—","Direction=H","UseDPDF=Y")</f>
        <v>427</v>
      </c>
      <c r="G41" s="12" cm="1">
        <f t="array" ref="G41">_xll.BDH("CAT US Equity","PROC_FR_REPAYMNTS_BOR_DETAILED","FQ3 2019","FQ3 2019","Currency=USD","Period=FQ","BEST_FPERIOD_OVERRIDE=FQ","FILING_STATUS=MR","SCALING_FORMAT=MLN","Sort=A","Dates=H","DateFormat=P","Fill=—","Direction=H","UseDPDF=Y")</f>
        <v>1756</v>
      </c>
      <c r="H41" s="12" cm="1">
        <f t="array" ref="H41">_xll.BDH("CAT US Equity","PROC_FR_REPAYMNTS_BOR_DETAILED","FQ4 2019","FQ4 2019","Currency=USD","Period=FQ","BEST_FPERIOD_OVERRIDE=FQ","FILING_STATUS=MR","SCALING_FORMAT=MLN","Sort=A","Dates=H","DateFormat=P","Fill=—","Direction=H","UseDPDF=Y")</f>
        <v>-353</v>
      </c>
      <c r="I41" s="12" cm="1">
        <f t="array" ref="I41">_xll.BDH("CAT US Equity","PROC_FR_REPAYMNTS_BOR_DETAILED","FQ1 2020","FQ1 2020","Currency=USD","Period=FQ","BEST_FPERIOD_OVERRIDE=FQ","FILING_STATUS=MR","SCALING_FORMAT=MLN","Sort=A","Dates=H","DateFormat=P","Fill=—","Direction=H","UseDPDF=Y")</f>
        <v>-365</v>
      </c>
      <c r="J41" s="12" cm="1">
        <f t="array" ref="J41">_xll.BDH("CAT US Equity","PROC_FR_REPAYMNTS_BOR_DETAILED","FQ2 2020","FQ2 2020","Currency=USD","Period=FQ","BEST_FPERIOD_OVERRIDE=FQ","FILING_STATUS=MR","SCALING_FORMAT=MLN","Sort=A","Dates=H","DateFormat=P","Fill=—","Direction=H","UseDPDF=Y")</f>
        <v>1418</v>
      </c>
      <c r="K41" s="12" cm="1">
        <f t="array" ref="K41">_xll.BDH("CAT US Equity","PROC_FR_REPAYMNTS_BOR_DETAILED","FQ3 2020","FQ3 2020","Currency=USD","Period=FQ","BEST_FPERIOD_OVERRIDE=FQ","FILING_STATUS=MR","SCALING_FORMAT=MLN","Sort=A","Dates=H","DateFormat=P","Fill=—","Direction=H","UseDPDF=Y")</f>
        <v>-562</v>
      </c>
      <c r="L41" s="12" cm="1">
        <f t="array" ref="L41">_xll.BDH("CAT US Equity","PROC_FR_REPAYMNTS_BOR_DETAILED","FQ4 2020","FQ4 2020","Currency=USD","Period=FQ","BEST_FPERIOD_OVERRIDE=FQ","FILING_STATUS=MR","SCALING_FORMAT=MLN","Sort=A","Dates=H","DateFormat=P","Fill=—","Direction=H","UseDPDF=Y")</f>
        <v>-1101</v>
      </c>
      <c r="M41" s="12" cm="1">
        <f t="array" ref="M41">_xll.BDH("CAT US Equity","PROC_FR_REPAYMNTS_BOR_DETAILED","FQ1 2021","FQ1 2021","Currency=USD","Period=FQ","BEST_FPERIOD_OVERRIDE=FQ","FILING_STATUS=MR","SCALING_FORMAT=MLN","Sort=A","Dates=H","DateFormat=P","Fill=—","Direction=H","UseDPDF=Y")</f>
        <v>1045</v>
      </c>
      <c r="N41" s="12" cm="1">
        <f t="array" ref="N41">_xll.BDH("CAT US Equity","PROC_FR_REPAYMNTS_BOR_DETAILED","FQ2 2021","FQ2 2021","Currency=USD","Period=FQ","BEST_FPERIOD_OVERRIDE=FQ","FILING_STATUS=MR","SCALING_FORMAT=MLN","Sort=A","Dates=H","DateFormat=P","Fill=—","Direction=H","UseDPDF=Y")</f>
        <v>-645</v>
      </c>
      <c r="O41" s="12" cm="1">
        <f t="array" ref="O41">_xll.BDH("CAT US Equity","PROC_FR_REPAYMNTS_BOR_DETAILED","FQ3 2021","FQ3 2021","Currency=USD","Period=FQ","BEST_FPERIOD_OVERRIDE=FQ","FILING_STATUS=MR","SCALING_FORMAT=MLN","Sort=A","Dates=H","DateFormat=P","Fill=—","Direction=H","UseDPDF=Y")</f>
        <v>-765</v>
      </c>
      <c r="P41" s="12" cm="1">
        <f t="array" ref="P41">_xll.BDH("CAT US Equity","PROC_FR_REPAYMNTS_BOR_DETAILED","FQ4 2021","FQ4 2021","Currency=USD","Period=FQ","BEST_FPERIOD_OVERRIDE=FQ","FILING_STATUS=MR","SCALING_FORMAT=MLN","Sort=A","Dates=H","DateFormat=P","Fill=—","Direction=H","UseDPDF=Y")</f>
        <v>1046</v>
      </c>
      <c r="Q41" s="12" cm="1">
        <f t="array" ref="Q41">_xll.BDH("CAT US Equity","PROC_FR_REPAYMNTS_BOR_DETAILED","FQ1 2022","FQ1 2022","Currency=USD","Period=FQ","BEST_FPERIOD_OVERRIDE=FQ","FILING_STATUS=MR","SCALING_FORMAT=MLN","Sort=A","Dates=H","DateFormat=P","Fill=—","Direction=H","UseDPDF=Y")</f>
        <v>-272</v>
      </c>
      <c r="R41" s="12" cm="1">
        <f t="array" ref="R41">_xll.BDH("CAT US Equity","PROC_FR_REPAYMNTS_BOR_DETAILED","FQ2 2022","FQ2 2022","Currency=USD","Period=FQ","BEST_FPERIOD_OVERRIDE=FQ","FILING_STATUS=MR","SCALING_FORMAT=MLN","Sort=A","Dates=H","DateFormat=P","Fill=—","Direction=H","UseDPDF=Y")</f>
        <v>-512</v>
      </c>
      <c r="S41" s="12" cm="1">
        <f t="array" ref="S41">_xll.BDH("CAT US Equity","PROC_FR_REPAYMNTS_BOR_DETAILED","FQ3 2022","FQ3 2022","Currency=USD","Period=FQ","BEST_FPERIOD_OVERRIDE=FQ","FILING_STATUS=MR","SCALING_FORMAT=MLN","Sort=A","Dates=H","DateFormat=P","Fill=—","Direction=H","UseDPDF=Y")</f>
        <v>-246</v>
      </c>
      <c r="T41" s="12" cm="1">
        <f t="array" ref="T41">_xll.BDH("CAT US Equity","PROC_FR_REPAYMNTS_BOR_DETAILED","FQ4 2022","FQ4 2022","Currency=USD","Period=FQ","BEST_FPERIOD_OVERRIDE=FQ","FILING_STATUS=MR","SCALING_FORMAT=MLN","Sort=A","Dates=H","DateFormat=P","Fill=—","Direction=H","UseDPDF=Y")</f>
        <v>378</v>
      </c>
      <c r="U41" s="12" cm="1">
        <f t="array" ref="U41">_xll.BDH("CAT US Equity","PROC_FR_REPAYMNTS_BOR_DETAILED","FQ1 2023","FQ1 2023","Currency=USD","Period=FQ","BEST_FPERIOD_OVERRIDE=FQ","FILING_STATUS=MR","SCALING_FORMAT=MLN","Sort=A","Dates=H","DateFormat=P","Fill=—","Direction=H","UseDPDF=Y")</f>
        <v>-61</v>
      </c>
      <c r="V41" s="12" cm="1">
        <f t="array" ref="V41">_xll.BDH("CAT US Equity","PROC_FR_REPAYMNTS_BOR_DETAILED","FQ2 2023","FQ2 2023","Currency=USD","Period=FQ","BEST_FPERIOD_OVERRIDE=FQ","FILING_STATUS=MR","SCALING_FORMAT=MLN","Sort=A","Dates=H","DateFormat=P","Fill=—","Direction=H","UseDPDF=Y")</f>
        <v>651</v>
      </c>
      <c r="W41" s="12" cm="1">
        <f t="array" ref="W41">_xll.BDH("CAT US Equity","PROC_FR_REPAYMNTS_BOR_DETAILED","FQ3 2023","FQ3 2023","Currency=USD","Period=FQ","BEST_FPERIOD_OVERRIDE=FQ","FILING_STATUS=MR","SCALING_FORMAT=MLN","Sort=A","Dates=H","DateFormat=P","Fill=—","Direction=H","UseDPDF=Y")</f>
        <v>-415</v>
      </c>
      <c r="X41" s="12" cm="1">
        <f t="array" ref="X41">_xll.BDH("CAT US Equity","PROC_FR_REPAYMNTS_BOR_DETAILED","FQ4 2023","FQ4 2023","Currency=USD","Period=FQ","BEST_FPERIOD_OVERRIDE=FQ","FILING_STATUS=MR","SCALING_FORMAT=MLN","Sort=A","Dates=H","DateFormat=P","Fill=—","Direction=H","UseDPDF=Y")</f>
        <v>419</v>
      </c>
      <c r="Y41" s="12" cm="1">
        <f t="array" ref="Y41">_xll.BDH("CAT US Equity","PROC_FR_REPAYMNTS_BOR_DETAILED","FQ1 2024","FQ1 2024","Currency=USD","Period=FQ","BEST_FPERIOD_OVERRIDE=FQ","FILING_STATUS=MR","SCALING_FORMAT=MLN","Sort=A","Dates=H","DateFormat=P","Fill=—","Direction=H","UseDPDF=Y")</f>
        <v>111</v>
      </c>
      <c r="Z41" s="12" cm="1">
        <f t="array" ref="Z41">_xll.BDH("CAT US Equity","PROC_FR_REPAYMNTS_BOR_DETAILED","FQ2 2024","FQ2 2024","Currency=USD","Period=FQ","BEST_FPERIOD_OVERRIDE=FQ","FILING_STATUS=MR","SCALING_FORMAT=MLN","Sort=A","Dates=H","DateFormat=P","Fill=—","Direction=H","UseDPDF=Y")</f>
        <v>-490</v>
      </c>
      <c r="AA41" s="12" cm="1">
        <f t="array" ref="AA41">_xll.BDH("CAT US Equity","PROC_FR_REPAYMNTS_BOR_DETAILED","FQ3 2024","FQ3 2024","Currency=USD","Period=FQ","BEST_FPERIOD_OVERRIDE=FQ","FILING_STATUS=MR","SCALING_FORMAT=MLN","Sort=A","Dates=H","DateFormat=P","Fill=—","Direction=H","UseDPDF=Y")</f>
        <v>248</v>
      </c>
      <c r="AB41" s="12" cm="1">
        <f t="array" ref="AB41">_xll.BDH("CAT US Equity","PROC_FR_REPAYMNTS_BOR_DETAILED","FQ4 2024","FQ4 2024","Currency=USD","Period=FQ","BEST_FPERIOD_OVERRIDE=FQ","FILING_STATUS=MR","SCALING_FORMAT=MLN","Sort=A","Dates=H","DateFormat=P","Fill=—","Direction=H","UseDPDF=Y")</f>
        <v>930</v>
      </c>
      <c r="AC41" s="12" cm="1">
        <f t="array" ref="AC41">_xll.BDH("CAT US Equity","PROC_FR_REPAYMNTS_BOR_DETAILED","FQ1 2025","FQ1 2025","Currency=USD","Period=FQ","BEST_FPERIOD_OVERRIDE=FQ","FILING_STATUS=MR","SCALING_FORMAT=MLN","Sort=A","Dates=H","DateFormat=P","Fill=—","Direction=H","UseDPDF=Y")</f>
        <v>-98</v>
      </c>
      <c r="AD41" s="12" cm="1">
        <f t="array" ref="AD41">_xll.BDH("CAT US Equity","PROC_FR_REPAYMNTS_BOR_DETAILED","FQ2 2025","FQ2 2025","Currency=USD","Period=FQ","BEST_FPERIOD_OVERRIDE=FQ","FILING_STATUS=MR","SCALING_FORMAT=MLN","Sort=A","Dates=H","DateFormat=P","Fill=—","Direction=H","UseDPDF=Y")</f>
        <v>1709</v>
      </c>
      <c r="AE41" s="12" cm="1">
        <f t="array" ref="AE41">_xll.BDH("CAT US Equity","PROC_FR_REPAYMNTS_BOR_DETAILED","FQ3 2025","FQ3 2025","Currency=USD","Period=FQ","BEST_FPERIOD_OVERRIDE=FQ","FILING_STATUS=MR","SCALING_FORMAT=MLN","Sort=A","Dates=H","DateFormat=P","Fill=—","Direction=H","UseDPDF=Y")</f>
        <v>744</v>
      </c>
      <c r="AF41" s="12" cm="1">
        <f t="array" ref="AF41">_xll.BDH("CAT US Equity","PROC_FR_REPAYMNTS_BOR_DETAILED","FQ4 2025","FQ4 2025","Currency=USD","Period=FQ","BEST_FPERIOD_OVERRIDE=FQ","FILING_STATUS=MR","SCALING_FORMAT=MLN","Sort=A","Dates=H","DateFormat=P","Fill=—","Direction=H","UseDPDF=Y")</f>
        <v>1775</v>
      </c>
    </row>
    <row r="42" spans="1:32" x14ac:dyDescent="0.25">
      <c r="A42" s="10" t="s">
        <v>127</v>
      </c>
      <c r="B42" s="10" t="s">
        <v>128</v>
      </c>
      <c r="C42" s="12" cm="1">
        <f t="array" ref="C42">_xll.BDH("CAT US Equity","CF_NET_CHG_ST_DEBT_CPTL_LEAS","FQ3 2018","FQ3 2018","Currency=USD","Period=FQ","BEST_FPERIOD_OVERRIDE=FQ","FILING_STATUS=MR","SCALING_FORMAT=MLN","Sort=A","Dates=H","DateFormat=P","Fill=—","Direction=H","UseDPDF=Y")</f>
        <v>-1952</v>
      </c>
      <c r="D42" s="12" cm="1">
        <f t="array" ref="D42">_xll.BDH("CAT US Equity","CF_NET_CHG_ST_DEBT_CPTL_LEAS","FQ4 2018","FQ4 2018","Currency=USD","Period=FQ","BEST_FPERIOD_OVERRIDE=FQ","FILING_STATUS=MR","SCALING_FORMAT=MLN","Sort=A","Dates=H","DateFormat=P","Fill=—","Direction=H","UseDPDF=Y")</f>
        <v>1227</v>
      </c>
      <c r="E42" s="12" cm="1">
        <f t="array" ref="E42">_xll.BDH("CAT US Equity","CF_NET_CHG_ST_DEBT_CPTL_LEAS","FQ1 2019","FQ1 2019","Currency=USD","Period=FQ","BEST_FPERIOD_OVERRIDE=FQ","FILING_STATUS=MR","SCALING_FORMAT=MLN","Sort=A","Dates=H","DateFormat=P","Fill=—","Direction=H","UseDPDF=Y")</f>
        <v>-522</v>
      </c>
      <c r="F42" s="12" cm="1">
        <f t="array" ref="F42">_xll.BDH("CAT US Equity","CF_NET_CHG_ST_DEBT_CPTL_LEAS","FQ2 2019","FQ2 2019","Currency=USD","Period=FQ","BEST_FPERIOD_OVERRIDE=FQ","FILING_STATUS=MR","SCALING_FORMAT=MLN","Sort=A","Dates=H","DateFormat=P","Fill=—","Direction=H","UseDPDF=Y")</f>
        <v>86</v>
      </c>
      <c r="G42" s="12" cm="1">
        <f t="array" ref="G42">_xll.BDH("CAT US Equity","CF_NET_CHG_ST_DEBT_CPTL_LEAS","FQ3 2019","FQ3 2019","Currency=USD","Period=FQ","BEST_FPERIOD_OVERRIDE=FQ","FILING_STATUS=MR","SCALING_FORMAT=MLN","Sort=A","Dates=H","DateFormat=P","Fill=—","Direction=H","UseDPDF=Y")</f>
        <v>-570</v>
      </c>
      <c r="H42" s="12" cm="1">
        <f t="array" ref="H42">_xll.BDH("CAT US Equity","CF_NET_CHG_ST_DEBT_CPTL_LEAS","FQ4 2019","FQ4 2019","Currency=USD","Period=FQ","BEST_FPERIOD_OVERRIDE=FQ","FILING_STATUS=MR","SCALING_FORMAT=MLN","Sort=A","Dates=H","DateFormat=P","Fill=—","Direction=H","UseDPDF=Y")</f>
        <v>868</v>
      </c>
      <c r="I42" s="12" cm="1">
        <f t="array" ref="I42">_xll.BDH("CAT US Equity","CF_NET_CHG_ST_DEBT_CPTL_LEAS","FQ1 2020","FQ1 2020","Currency=USD","Period=FQ","BEST_FPERIOD_OVERRIDE=FQ","FILING_STATUS=MR","SCALING_FORMAT=MLN","Sort=A","Dates=H","DateFormat=P","Fill=—","Direction=H","UseDPDF=Y")</f>
        <v>-40</v>
      </c>
      <c r="J42" s="12" cm="1">
        <f t="array" ref="J42">_xll.BDH("CAT US Equity","CF_NET_CHG_ST_DEBT_CPTL_LEAS","FQ2 2020","FQ2 2020","Currency=USD","Period=FQ","BEST_FPERIOD_OVERRIDE=FQ","FILING_STATUS=MR","SCALING_FORMAT=MLN","Sort=A","Dates=H","DateFormat=P","Fill=—","Direction=H","UseDPDF=Y")</f>
        <v>-437</v>
      </c>
      <c r="K42" s="12" cm="1">
        <f t="array" ref="K42">_xll.BDH("CAT US Equity","CF_NET_CHG_ST_DEBT_CPTL_LEAS","FQ3 2020","FQ3 2020","Currency=USD","Period=FQ","BEST_FPERIOD_OVERRIDE=FQ","FILING_STATUS=MR","SCALING_FORMAT=MLN","Sort=A","Dates=H","DateFormat=P","Fill=—","Direction=H","UseDPDF=Y")</f>
        <v>-1661</v>
      </c>
      <c r="L42" s="12" cm="1">
        <f t="array" ref="L42">_xll.BDH("CAT US Equity","CF_NET_CHG_ST_DEBT_CPTL_LEAS","FQ4 2020","FQ4 2020","Currency=USD","Period=FQ","BEST_FPERIOD_OVERRIDE=FQ","FILING_STATUS=MR","SCALING_FORMAT=MLN","Sort=A","Dates=H","DateFormat=P","Fill=—","Direction=H","UseDPDF=Y")</f>
        <v>-666</v>
      </c>
      <c r="M42" s="12" cm="1">
        <f t="array" ref="M42">_xll.BDH("CAT US Equity","CF_NET_CHG_ST_DEBT_CPTL_LEAS","FQ1 2021","FQ1 2021","Currency=USD","Period=FQ","BEST_FPERIOD_OVERRIDE=FQ","FILING_STATUS=MR","SCALING_FORMAT=MLN","Sort=A","Dates=H","DateFormat=P","Fill=—","Direction=H","UseDPDF=Y")</f>
        <v>1659</v>
      </c>
      <c r="N42" s="12" cm="1">
        <f t="array" ref="N42">_xll.BDH("CAT US Equity","CF_NET_CHG_ST_DEBT_CPTL_LEAS","FQ2 2021","FQ2 2021","Currency=USD","Period=FQ","BEST_FPERIOD_OVERRIDE=FQ","FILING_STATUS=MR","SCALING_FORMAT=MLN","Sort=A","Dates=H","DateFormat=P","Fill=—","Direction=H","UseDPDF=Y")</f>
        <v>-199</v>
      </c>
      <c r="O42" s="12" cm="1">
        <f t="array" ref="O42">_xll.BDH("CAT US Equity","CF_NET_CHG_ST_DEBT_CPTL_LEAS","FQ3 2021","FQ3 2021","Currency=USD","Period=FQ","BEST_FPERIOD_OVERRIDE=FQ","FILING_STATUS=MR","SCALING_FORMAT=MLN","Sort=A","Dates=H","DateFormat=P","Fill=—","Direction=H","UseDPDF=Y")</f>
        <v>-136</v>
      </c>
      <c r="P42" s="12" cm="1">
        <f t="array" ref="P42">_xll.BDH("CAT US Equity","CF_NET_CHG_ST_DEBT_CPTL_LEAS","FQ4 2021","FQ4 2021","Currency=USD","Period=FQ","BEST_FPERIOD_OVERRIDE=FQ","FILING_STATUS=MR","SCALING_FORMAT=MLN","Sort=A","Dates=H","DateFormat=P","Fill=—","Direction=H","UseDPDF=Y")</f>
        <v>2164</v>
      </c>
      <c r="Q42" s="12" cm="1">
        <f t="array" ref="Q42">_xll.BDH("CAT US Equity","CF_NET_CHG_ST_DEBT_CPTL_LEAS","FQ1 2022","FQ1 2022","Currency=USD","Period=FQ","BEST_FPERIOD_OVERRIDE=FQ","FILING_STATUS=MR","SCALING_FORMAT=MLN","Sort=A","Dates=H","DateFormat=P","Fill=—","Direction=H","UseDPDF=Y")</f>
        <v>-1016</v>
      </c>
      <c r="R42" s="12" cm="1">
        <f t="array" ref="R42">_xll.BDH("CAT US Equity","CF_NET_CHG_ST_DEBT_CPTL_LEAS","FQ2 2022","FQ2 2022","Currency=USD","Period=FQ","BEST_FPERIOD_OVERRIDE=FQ","FILING_STATUS=MR","SCALING_FORMAT=MLN","Sort=A","Dates=H","DateFormat=P","Fill=—","Direction=H","UseDPDF=Y")</f>
        <v>463</v>
      </c>
      <c r="S42" s="12" cm="1">
        <f t="array" ref="S42">_xll.BDH("CAT US Equity","CF_NET_CHG_ST_DEBT_CPTL_LEAS","FQ3 2022","FQ3 2022","Currency=USD","Period=FQ","BEST_FPERIOD_OVERRIDE=FQ","FILING_STATUS=MR","SCALING_FORMAT=MLN","Sort=A","Dates=H","DateFormat=P","Fill=—","Direction=H","UseDPDF=Y")</f>
        <v>-758</v>
      </c>
      <c r="T42" s="12" cm="1">
        <f t="array" ref="T42">_xll.BDH("CAT US Equity","CF_NET_CHG_ST_DEBT_CPTL_LEAS","FQ4 2022","FQ4 2022","Currency=USD","Period=FQ","BEST_FPERIOD_OVERRIDE=FQ","FILING_STATUS=MR","SCALING_FORMAT=MLN","Sort=A","Dates=H","DateFormat=P","Fill=—","Direction=H","UseDPDF=Y")</f>
        <v>1713</v>
      </c>
      <c r="U42" s="12" cm="1">
        <f t="array" ref="U42">_xll.BDH("CAT US Equity","CF_NET_CHG_ST_DEBT_CPTL_LEAS","FQ1 2023","FQ1 2023","Currency=USD","Period=FQ","BEST_FPERIOD_OVERRIDE=FQ","FILING_STATUS=MR","SCALING_FORMAT=MLN","Sort=A","Dates=H","DateFormat=P","Fill=—","Direction=H","UseDPDF=Y")</f>
        <v>-103</v>
      </c>
      <c r="V42" s="12" cm="1">
        <f t="array" ref="V42">_xll.BDH("CAT US Equity","CF_NET_CHG_ST_DEBT_CPTL_LEAS","FQ2 2023","FQ2 2023","Currency=USD","Period=FQ","BEST_FPERIOD_OVERRIDE=FQ","FILING_STATUS=MR","SCALING_FORMAT=MLN","Sort=A","Dates=H","DateFormat=P","Fill=—","Direction=H","UseDPDF=Y")</f>
        <v>-303</v>
      </c>
      <c r="W42" s="12" cm="1">
        <f t="array" ref="W42">_xll.BDH("CAT US Equity","CF_NET_CHG_ST_DEBT_CPTL_LEAS","FQ3 2023","FQ3 2023","Currency=USD","Period=FQ","BEST_FPERIOD_OVERRIDE=FQ","FILING_STATUS=MR","SCALING_FORMAT=MLN","Sort=A","Dates=H","DateFormat=P","Fill=—","Direction=H","UseDPDF=Y")</f>
        <v>-1320</v>
      </c>
      <c r="X42" s="12" cm="1">
        <f t="array" ref="X42">_xll.BDH("CAT US Equity","CF_NET_CHG_ST_DEBT_CPTL_LEAS","FQ4 2023","FQ4 2023","Currency=USD","Period=FQ","BEST_FPERIOD_OVERRIDE=FQ","FILING_STATUS=MR","SCALING_FORMAT=MLN","Sort=A","Dates=H","DateFormat=P","Fill=—","Direction=H","UseDPDF=Y")</f>
        <v>381</v>
      </c>
      <c r="Y42" s="12" cm="1">
        <f t="array" ref="Y42">_xll.BDH("CAT US Equity","CF_NET_CHG_ST_DEBT_CPTL_LEAS","FQ1 2024","FQ1 2024","Currency=USD","Period=FQ","BEST_FPERIOD_OVERRIDE=FQ","FILING_STATUS=MR","SCALING_FORMAT=MLN","Sort=A","Dates=H","DateFormat=P","Fill=—","Direction=H","UseDPDF=Y")</f>
        <v>-1050</v>
      </c>
      <c r="Z42" s="12" cm="1">
        <f t="array" ref="Z42">_xll.BDH("CAT US Equity","CF_NET_CHG_ST_DEBT_CPTL_LEAS","FQ2 2024","FQ2 2024","Currency=USD","Period=FQ","BEST_FPERIOD_OVERRIDE=FQ","FILING_STATUS=MR","SCALING_FORMAT=MLN","Sort=A","Dates=H","DateFormat=P","Fill=—","Direction=H","UseDPDF=Y")</f>
        <v>1737</v>
      </c>
      <c r="AA42" s="12" cm="1">
        <f t="array" ref="AA42">_xll.BDH("CAT US Equity","CF_NET_CHG_ST_DEBT_CPTL_LEAS","FQ3 2024","FQ3 2024","Currency=USD","Period=FQ","BEST_FPERIOD_OVERRIDE=FQ","FILING_STATUS=MR","SCALING_FORMAT=MLN","Sort=A","Dates=H","DateFormat=P","Fill=—","Direction=H","UseDPDF=Y")</f>
        <v>-1535</v>
      </c>
      <c r="AB42" s="12" cm="1">
        <f t="array" ref="AB42">_xll.BDH("CAT US Equity","CF_NET_CHG_ST_DEBT_CPTL_LEAS","FQ4 2024","FQ4 2024","Currency=USD","Period=FQ","BEST_FPERIOD_OVERRIDE=FQ","FILING_STATUS=MR","SCALING_FORMAT=MLN","Sort=A","Dates=H","DateFormat=P","Fill=—","Direction=H","UseDPDF=Y")</f>
        <v>680</v>
      </c>
      <c r="AC42" s="12" cm="1">
        <f t="array" ref="AC42">_xll.BDH("CAT US Equity","CF_NET_CHG_ST_DEBT_CPTL_LEAS","FQ1 2025","FQ1 2025","Currency=USD","Period=FQ","BEST_FPERIOD_OVERRIDE=FQ","FILING_STATUS=MR","SCALING_FORMAT=MLN","Sort=A","Dates=H","DateFormat=P","Fill=—","Direction=H","UseDPDF=Y")</f>
        <v>-934</v>
      </c>
      <c r="AD42" s="12" cm="1">
        <f t="array" ref="AD42">_xll.BDH("CAT US Equity","CF_NET_CHG_ST_DEBT_CPTL_LEAS","FQ2 2025","FQ2 2025","Currency=USD","Period=FQ","BEST_FPERIOD_OVERRIDE=FQ","FILING_STATUS=MR","SCALING_FORMAT=MLN","Sort=A","Dates=H","DateFormat=P","Fill=—","Direction=H","UseDPDF=Y")</f>
        <v>1006</v>
      </c>
      <c r="AE42" s="12" cm="1">
        <f t="array" ref="AE42">_xll.BDH("CAT US Equity","CF_NET_CHG_ST_DEBT_CPTL_LEAS","FQ3 2025","FQ3 2025","Currency=USD","Period=FQ","BEST_FPERIOD_OVERRIDE=FQ","FILING_STATUS=MR","SCALING_FORMAT=MLN","Sort=A","Dates=H","DateFormat=P","Fill=—","Direction=H","UseDPDF=Y")</f>
        <v>34</v>
      </c>
      <c r="AF42" s="12" cm="1">
        <f t="array" ref="AF42">_xll.BDH("CAT US Equity","CF_NET_CHG_ST_DEBT_CPTL_LEAS","FQ4 2025","FQ4 2025","Currency=USD","Period=FQ","BEST_FPERIOD_OVERRIDE=FQ","FILING_STATUS=MR","SCALING_FORMAT=MLN","Sort=A","Dates=H","DateFormat=P","Fill=—","Direction=H","UseDPDF=Y")</f>
        <v>1000</v>
      </c>
    </row>
    <row r="43" spans="1:32" x14ac:dyDescent="0.25">
      <c r="A43" s="10" t="s">
        <v>129</v>
      </c>
      <c r="B43" s="10" t="s">
        <v>130</v>
      </c>
      <c r="C43" s="12" cm="1">
        <f t="array" ref="C43">_xll.BDH("CAT US Equity","CF_LT_DEBT_CAP_LEAS_PROCEEDS","FQ3 2018","FQ3 2018","Currency=USD","Period=FQ","BEST_FPERIOD_OVERRIDE=FQ","FILING_STATUS=MR","SCALING_FORMAT=MLN","Sort=A","Dates=H","DateFormat=P","Fill=—","Direction=H","UseDPDF=Y")</f>
        <v>2766</v>
      </c>
      <c r="D43" s="12" cm="1">
        <f t="array" ref="D43">_xll.BDH("CAT US Equity","CF_LT_DEBT_CAP_LEAS_PROCEEDS","FQ4 2018","FQ4 2018","Currency=USD","Period=FQ","BEST_FPERIOD_OVERRIDE=FQ","FILING_STATUS=MR","SCALING_FORMAT=MLN","Sort=A","Dates=H","DateFormat=P","Fill=—","Direction=H","UseDPDF=Y")</f>
        <v>1834</v>
      </c>
      <c r="E43" s="12" cm="1">
        <f t="array" ref="E43">_xll.BDH("CAT US Equity","CF_LT_DEBT_CAP_LEAS_PROCEEDS","FQ1 2019","FQ1 2019","Currency=USD","Period=FQ","BEST_FPERIOD_OVERRIDE=FQ","FILING_STATUS=MR","SCALING_FORMAT=MLN","Sort=A","Dates=H","DateFormat=P","Fill=—","Direction=H","UseDPDF=Y")</f>
        <v>2665</v>
      </c>
      <c r="F43" s="12" cm="1">
        <f t="array" ref="F43">_xll.BDH("CAT US Equity","CF_LT_DEBT_CAP_LEAS_PROCEEDS","FQ2 2019","FQ2 2019","Currency=USD","Period=FQ","BEST_FPERIOD_OVERRIDE=FQ","FILING_STATUS=MR","SCALING_FORMAT=MLN","Sort=A","Dates=H","DateFormat=P","Fill=—","Direction=H","UseDPDF=Y")</f>
        <v>2675</v>
      </c>
      <c r="G43" s="12" cm="1">
        <f t="array" ref="G43">_xll.BDH("CAT US Equity","CF_LT_DEBT_CAP_LEAS_PROCEEDS","FQ3 2019","FQ3 2019","Currency=USD","Period=FQ","BEST_FPERIOD_OVERRIDE=FQ","FILING_STATUS=MR","SCALING_FORMAT=MLN","Sort=A","Dates=H","DateFormat=P","Fill=—","Direction=H","UseDPDF=Y")</f>
        <v>3487</v>
      </c>
      <c r="H43" s="12" cm="1">
        <f t="array" ref="H43">_xll.BDH("CAT US Equity","CF_LT_DEBT_CAP_LEAS_PROCEEDS","FQ4 2019","FQ4 2019","Currency=USD","Period=FQ","BEST_FPERIOD_OVERRIDE=FQ","FILING_STATUS=MR","SCALING_FORMAT=MLN","Sort=A","Dates=H","DateFormat=P","Fill=—","Direction=H","UseDPDF=Y")</f>
        <v>1014</v>
      </c>
      <c r="I43" s="12" cm="1">
        <f t="array" ref="I43">_xll.BDH("CAT US Equity","CF_LT_DEBT_CAP_LEAS_PROCEEDS","FQ1 2020","FQ1 2020","Currency=USD","Period=FQ","BEST_FPERIOD_OVERRIDE=FQ","FILING_STATUS=MR","SCALING_FORMAT=MLN","Sort=A","Dates=H","DateFormat=P","Fill=—","Direction=H","UseDPDF=Y")</f>
        <v>2141</v>
      </c>
      <c r="J43" s="12" cm="1">
        <f t="array" ref="J43">_xll.BDH("CAT US Equity","CF_LT_DEBT_CAP_LEAS_PROCEEDS","FQ2 2020","FQ2 2020","Currency=USD","Period=FQ","BEST_FPERIOD_OVERRIDE=FQ","FILING_STATUS=MR","SCALING_FORMAT=MLN","Sort=A","Dates=H","DateFormat=P","Fill=—","Direction=H","UseDPDF=Y")</f>
        <v>4018</v>
      </c>
      <c r="K43" s="12" cm="1">
        <f t="array" ref="K43">_xll.BDH("CAT US Equity","CF_LT_DEBT_CAP_LEAS_PROCEEDS","FQ3 2020","FQ3 2020","Currency=USD","Period=FQ","BEST_FPERIOD_OVERRIDE=FQ","FILING_STATUS=MR","SCALING_FORMAT=MLN","Sort=A","Dates=H","DateFormat=P","Fill=—","Direction=H","UseDPDF=Y")</f>
        <v>3259</v>
      </c>
      <c r="L43" s="12" cm="1">
        <f t="array" ref="L43">_xll.BDH("CAT US Equity","CF_LT_DEBT_CAP_LEAS_PROCEEDS","FQ4 2020","FQ4 2020","Currency=USD","Period=FQ","BEST_FPERIOD_OVERRIDE=FQ","FILING_STATUS=MR","SCALING_FORMAT=MLN","Sort=A","Dates=H","DateFormat=P","Fill=—","Direction=H","UseDPDF=Y")</f>
        <v>1013</v>
      </c>
      <c r="M43" s="12" cm="1">
        <f t="array" ref="M43">_xll.BDH("CAT US Equity","CF_LT_DEBT_CAP_LEAS_PROCEEDS","FQ1 2021","FQ1 2021","Currency=USD","Period=FQ","BEST_FPERIOD_OVERRIDE=FQ","FILING_STATUS=MR","SCALING_FORMAT=MLN","Sort=A","Dates=H","DateFormat=P","Fill=—","Direction=H","UseDPDF=Y")</f>
        <v>2273</v>
      </c>
      <c r="N43" s="12" cm="1">
        <f t="array" ref="N43">_xll.BDH("CAT US Equity","CF_LT_DEBT_CAP_LEAS_PROCEEDS","FQ2 2021","FQ2 2021","Currency=USD","Period=FQ","BEST_FPERIOD_OVERRIDE=FQ","FILING_STATUS=MR","SCALING_FORMAT=MLN","Sort=A","Dates=H","DateFormat=P","Fill=—","Direction=H","UseDPDF=Y")</f>
        <v>2633</v>
      </c>
      <c r="O43" s="12" cm="1">
        <f t="array" ref="O43">_xll.BDH("CAT US Equity","CF_LT_DEBT_CAP_LEAS_PROCEEDS","FQ3 2021","FQ3 2021","Currency=USD","Period=FQ","BEST_FPERIOD_OVERRIDE=FQ","FILING_STATUS=MR","SCALING_FORMAT=MLN","Sort=A","Dates=H","DateFormat=P","Fill=—","Direction=H","UseDPDF=Y")</f>
        <v>2025</v>
      </c>
      <c r="P43" s="12" cm="1">
        <f t="array" ref="P43">_xll.BDH("CAT US Equity","CF_LT_DEBT_CAP_LEAS_PROCEEDS","FQ4 2021","FQ4 2021","Currency=USD","Period=FQ","BEST_FPERIOD_OVERRIDE=FQ","FILING_STATUS=MR","SCALING_FORMAT=MLN","Sort=A","Dates=H","DateFormat=P","Fill=—","Direction=H","UseDPDF=Y")</f>
        <v>58</v>
      </c>
      <c r="Q43" s="12" cm="1">
        <f t="array" ref="Q43">_xll.BDH("CAT US Equity","CF_LT_DEBT_CAP_LEAS_PROCEEDS","FQ1 2022","FQ1 2022","Currency=USD","Period=FQ","BEST_FPERIOD_OVERRIDE=FQ","FILING_STATUS=MR","SCALING_FORMAT=MLN","Sort=A","Dates=H","DateFormat=P","Fill=—","Direction=H","UseDPDF=Y")</f>
        <v>2131</v>
      </c>
      <c r="R43" s="12" cm="1">
        <f t="array" ref="R43">_xll.BDH("CAT US Equity","CF_LT_DEBT_CAP_LEAS_PROCEEDS","FQ2 2022","FQ2 2022","Currency=USD","Period=FQ","BEST_FPERIOD_OVERRIDE=FQ","FILING_STATUS=MR","SCALING_FORMAT=MLN","Sort=A","Dates=H","DateFormat=P","Fill=—","Direction=H","UseDPDF=Y")</f>
        <v>1884</v>
      </c>
      <c r="S43" s="12" cm="1">
        <f t="array" ref="S43">_xll.BDH("CAT US Equity","CF_LT_DEBT_CAP_LEAS_PROCEEDS","FQ3 2022","FQ3 2022","Currency=USD","Period=FQ","BEST_FPERIOD_OVERRIDE=FQ","FILING_STATUS=MR","SCALING_FORMAT=MLN","Sort=A","Dates=H","DateFormat=P","Fill=—","Direction=H","UseDPDF=Y")</f>
        <v>1555</v>
      </c>
      <c r="T43" s="12" cm="1">
        <f t="array" ref="T43">_xll.BDH("CAT US Equity","CF_LT_DEBT_CAP_LEAS_PROCEEDS","FQ4 2022","FQ4 2022","Currency=USD","Period=FQ","BEST_FPERIOD_OVERRIDE=FQ","FILING_STATUS=MR","SCALING_FORMAT=MLN","Sort=A","Dates=H","DateFormat=P","Fill=—","Direction=H","UseDPDF=Y")</f>
        <v>1079</v>
      </c>
      <c r="U43" s="12" cm="1">
        <f t="array" ref="U43">_xll.BDH("CAT US Equity","CF_LT_DEBT_CAP_LEAS_PROCEEDS","FQ1 2023","FQ1 2023","Currency=USD","Period=FQ","BEST_FPERIOD_OVERRIDE=FQ","FILING_STATUS=MR","SCALING_FORMAT=MLN","Sort=A","Dates=H","DateFormat=P","Fill=—","Direction=H","UseDPDF=Y")</f>
        <v>1517</v>
      </c>
      <c r="V43" s="12" cm="1">
        <f t="array" ref="V43">_xll.BDH("CAT US Equity","CF_LT_DEBT_CAP_LEAS_PROCEEDS","FQ2 2023","FQ2 2023","Currency=USD","Period=FQ","BEST_FPERIOD_OVERRIDE=FQ","FILING_STATUS=MR","SCALING_FORMAT=MLN","Sort=A","Dates=H","DateFormat=P","Fill=—","Direction=H","UseDPDF=Y")</f>
        <v>1782</v>
      </c>
      <c r="W43" s="12" cm="1">
        <f t="array" ref="W43">_xll.BDH("CAT US Equity","CF_LT_DEBT_CAP_LEAS_PROCEEDS","FQ3 2023","FQ3 2023","Currency=USD","Period=FQ","BEST_FPERIOD_OVERRIDE=FQ","FILING_STATUS=MR","SCALING_FORMAT=MLN","Sort=A","Dates=H","DateFormat=P","Fill=—","Direction=H","UseDPDF=Y")</f>
        <v>3061</v>
      </c>
      <c r="X43" s="12" cm="1">
        <f t="array" ref="X43">_xll.BDH("CAT US Equity","CF_LT_DEBT_CAP_LEAS_PROCEEDS","FQ4 2023","FQ4 2023","Currency=USD","Period=FQ","BEST_FPERIOD_OVERRIDE=FQ","FILING_STATUS=MR","SCALING_FORMAT=MLN","Sort=A","Dates=H","DateFormat=P","Fill=—","Direction=H","UseDPDF=Y")</f>
        <v>1897</v>
      </c>
      <c r="Y43" s="12" cm="1">
        <f t="array" ref="Y43">_xll.BDH("CAT US Equity","CF_LT_DEBT_CAP_LEAS_PROCEEDS","FQ1 2024","FQ1 2024","Currency=USD","Period=FQ","BEST_FPERIOD_OVERRIDE=FQ","FILING_STATUS=MR","SCALING_FORMAT=MLN","Sort=A","Dates=H","DateFormat=P","Fill=—","Direction=H","UseDPDF=Y")</f>
        <v>2731</v>
      </c>
      <c r="Z43" s="12" cm="1">
        <f t="array" ref="Z43">_xll.BDH("CAT US Equity","CF_LT_DEBT_CAP_LEAS_PROCEEDS","FQ2 2024","FQ2 2024","Currency=USD","Period=FQ","BEST_FPERIOD_OVERRIDE=FQ","FILING_STATUS=MR","SCALING_FORMAT=MLN","Sort=A","Dates=H","DateFormat=P","Fill=—","Direction=H","UseDPDF=Y")</f>
        <v>1420</v>
      </c>
      <c r="AA43" s="12" cm="1">
        <f t="array" ref="AA43">_xll.BDH("CAT US Equity","CF_LT_DEBT_CAP_LEAS_PROCEEDS","FQ3 2024","FQ3 2024","Currency=USD","Period=FQ","BEST_FPERIOD_OVERRIDE=FQ","FILING_STATUS=MR","SCALING_FORMAT=MLN","Sort=A","Dates=H","DateFormat=P","Fill=—","Direction=H","UseDPDF=Y")</f>
        <v>3428</v>
      </c>
      <c r="AB43" s="12" cm="1">
        <f t="array" ref="AB43">_xll.BDH("CAT US Equity","CF_LT_DEBT_CAP_LEAS_PROCEEDS","FQ4 2024","FQ4 2024","Currency=USD","Period=FQ","BEST_FPERIOD_OVERRIDE=FQ","FILING_STATUS=MR","SCALING_FORMAT=MLN","Sort=A","Dates=H","DateFormat=P","Fill=—","Direction=H","UseDPDF=Y")</f>
        <v>1672</v>
      </c>
      <c r="AC43" s="12" cm="1">
        <f t="array" ref="AC43">_xll.BDH("CAT US Equity","CF_LT_DEBT_CAP_LEAS_PROCEEDS","FQ1 2025","FQ1 2025","Currency=USD","Period=FQ","BEST_FPERIOD_OVERRIDE=FQ","FILING_STATUS=MR","SCALING_FORMAT=MLN","Sort=A","Dates=H","DateFormat=P","Fill=—","Direction=H","UseDPDF=Y")</f>
        <v>2633</v>
      </c>
      <c r="AD43" s="12" cm="1">
        <f t="array" ref="AD43">_xll.BDH("CAT US Equity","CF_LT_DEBT_CAP_LEAS_PROCEEDS","FQ2 2025","FQ2 2025","Currency=USD","Period=FQ","BEST_FPERIOD_OVERRIDE=FQ","FILING_STATUS=MR","SCALING_FORMAT=MLN","Sort=A","Dates=H","DateFormat=P","Fill=—","Direction=H","UseDPDF=Y")</f>
        <v>3074</v>
      </c>
      <c r="AE43" s="12" cm="1">
        <f t="array" ref="AE43">_xll.BDH("CAT US Equity","CF_LT_DEBT_CAP_LEAS_PROCEEDS","FQ3 2025","FQ3 2025","Currency=USD","Period=FQ","BEST_FPERIOD_OVERRIDE=FQ","FILING_STATUS=MR","SCALING_FORMAT=MLN","Sort=A","Dates=H","DateFormat=P","Fill=—","Direction=H","UseDPDF=Y")</f>
        <v>771</v>
      </c>
      <c r="AF43" s="12" cm="1">
        <f t="array" ref="AF43">_xll.BDH("CAT US Equity","CF_LT_DEBT_CAP_LEAS_PROCEEDS","FQ4 2025","FQ4 2025","Currency=USD","Period=FQ","BEST_FPERIOD_OVERRIDE=FQ","FILING_STATUS=MR","SCALING_FORMAT=MLN","Sort=A","Dates=H","DateFormat=P","Fill=—","Direction=H","UseDPDF=Y")</f>
        <v>4627</v>
      </c>
    </row>
    <row r="44" spans="1:32" x14ac:dyDescent="0.25">
      <c r="A44" s="10" t="s">
        <v>131</v>
      </c>
      <c r="B44" s="10" t="s">
        <v>132</v>
      </c>
      <c r="C44" s="12" cm="1">
        <f t="array" ref="C44">_xll.BDH("CAT US Equity","CF_LT_DEBT_CAP_LEAS_PAYMENT","FQ3 2018","FQ3 2018","Currency=USD","Period=FQ","BEST_FPERIOD_OVERRIDE=FQ","FILING_STATUS=MR","SCALING_FORMAT=MLN","Sort=A","Dates=H","DateFormat=P","Fill=—","Direction=H","UseDPDF=Y")</f>
        <v>-1206</v>
      </c>
      <c r="D44" s="12" cm="1">
        <f t="array" ref="D44">_xll.BDH("CAT US Equity","CF_LT_DEBT_CAP_LEAS_PAYMENT","FQ4 2018","FQ4 2018","Currency=USD","Period=FQ","BEST_FPERIOD_OVERRIDE=FQ","FILING_STATUS=MR","SCALING_FORMAT=MLN","Sort=A","Dates=H","DateFormat=P","Fill=—","Direction=H","UseDPDF=Y")</f>
        <v>-2187</v>
      </c>
      <c r="E44" s="12" cm="1">
        <f t="array" ref="E44">_xll.BDH("CAT US Equity","CF_LT_DEBT_CAP_LEAS_PAYMENT","FQ1 2019","FQ1 2019","Currency=USD","Period=FQ","BEST_FPERIOD_OVERRIDE=FQ","FILING_STATUS=MR","SCALING_FORMAT=MLN","Sort=A","Dates=H","DateFormat=P","Fill=—","Direction=H","UseDPDF=Y")</f>
        <v>-2567</v>
      </c>
      <c r="F44" s="12" cm="1">
        <f t="array" ref="F44">_xll.BDH("CAT US Equity","CF_LT_DEBT_CAP_LEAS_PAYMENT","FQ2 2019","FQ2 2019","Currency=USD","Period=FQ","BEST_FPERIOD_OVERRIDE=FQ","FILING_STATUS=MR","SCALING_FORMAT=MLN","Sort=A","Dates=H","DateFormat=P","Fill=—","Direction=H","UseDPDF=Y")</f>
        <v>-2334</v>
      </c>
      <c r="G44" s="12" cm="1">
        <f t="array" ref="G44">_xll.BDH("CAT US Equity","CF_LT_DEBT_CAP_LEAS_PAYMENT","FQ3 2019","FQ3 2019","Currency=USD","Period=FQ","BEST_FPERIOD_OVERRIDE=FQ","FILING_STATUS=MR","SCALING_FORMAT=MLN","Sort=A","Dates=H","DateFormat=P","Fill=—","Direction=H","UseDPDF=Y")</f>
        <v>-1161</v>
      </c>
      <c r="H44" s="12" cm="1">
        <f t="array" ref="H44">_xll.BDH("CAT US Equity","CF_LT_DEBT_CAP_LEAS_PAYMENT","FQ4 2019","FQ4 2019","Currency=USD","Period=FQ","BEST_FPERIOD_OVERRIDE=FQ","FILING_STATUS=MR","SCALING_FORMAT=MLN","Sort=A","Dates=H","DateFormat=P","Fill=—","Direction=H","UseDPDF=Y")</f>
        <v>-2235</v>
      </c>
      <c r="I44" s="12" cm="1">
        <f t="array" ref="I44">_xll.BDH("CAT US Equity","CF_LT_DEBT_CAP_LEAS_PAYMENT","FQ1 2020","FQ1 2020","Currency=USD","Period=FQ","BEST_FPERIOD_OVERRIDE=FQ","FILING_STATUS=MR","SCALING_FORMAT=MLN","Sort=A","Dates=H","DateFormat=P","Fill=—","Direction=H","UseDPDF=Y")</f>
        <v>-2466</v>
      </c>
      <c r="J44" s="12" cm="1">
        <f t="array" ref="J44">_xll.BDH("CAT US Equity","CF_LT_DEBT_CAP_LEAS_PAYMENT","FQ2 2020","FQ2 2020","Currency=USD","Period=FQ","BEST_FPERIOD_OVERRIDE=FQ","FILING_STATUS=MR","SCALING_FORMAT=MLN","Sort=A","Dates=H","DateFormat=P","Fill=—","Direction=H","UseDPDF=Y")</f>
        <v>-2163</v>
      </c>
      <c r="K44" s="12" cm="1">
        <f t="array" ref="K44">_xll.BDH("CAT US Equity","CF_LT_DEBT_CAP_LEAS_PAYMENT","FQ3 2020","FQ3 2020","Currency=USD","Period=FQ","BEST_FPERIOD_OVERRIDE=FQ","FILING_STATUS=MR","SCALING_FORMAT=MLN","Sort=A","Dates=H","DateFormat=P","Fill=—","Direction=H","UseDPDF=Y")</f>
        <v>-2160</v>
      </c>
      <c r="L44" s="12" cm="1">
        <f t="array" ref="L44">_xll.BDH("CAT US Equity","CF_LT_DEBT_CAP_LEAS_PAYMENT","FQ4 2020","FQ4 2020","Currency=USD","Period=FQ","BEST_FPERIOD_OVERRIDE=FQ","FILING_STATUS=MR","SCALING_FORMAT=MLN","Sort=A","Dates=H","DateFormat=P","Fill=—","Direction=H","UseDPDF=Y")</f>
        <v>-1448</v>
      </c>
      <c r="M44" s="12" cm="1">
        <f t="array" ref="M44">_xll.BDH("CAT US Equity","CF_LT_DEBT_CAP_LEAS_PAYMENT","FQ1 2021","FQ1 2021","Currency=USD","Period=FQ","BEST_FPERIOD_OVERRIDE=FQ","FILING_STATUS=MR","SCALING_FORMAT=MLN","Sort=A","Dates=H","DateFormat=P","Fill=—","Direction=H","UseDPDF=Y")</f>
        <v>-2887</v>
      </c>
      <c r="N44" s="12" cm="1">
        <f t="array" ref="N44">_xll.BDH("CAT US Equity","CF_LT_DEBT_CAP_LEAS_PAYMENT","FQ2 2021","FQ2 2021","Currency=USD","Period=FQ","BEST_FPERIOD_OVERRIDE=FQ","FILING_STATUS=MR","SCALING_FORMAT=MLN","Sort=A","Dates=H","DateFormat=P","Fill=—","Direction=H","UseDPDF=Y")</f>
        <v>-3079</v>
      </c>
      <c r="O44" s="12" cm="1">
        <f t="array" ref="O44">_xll.BDH("CAT US Equity","CF_LT_DEBT_CAP_LEAS_PAYMENT","FQ3 2021","FQ3 2021","Currency=USD","Period=FQ","BEST_FPERIOD_OVERRIDE=FQ","FILING_STATUS=MR","SCALING_FORMAT=MLN","Sort=A","Dates=H","DateFormat=P","Fill=—","Direction=H","UseDPDF=Y")</f>
        <v>-2654</v>
      </c>
      <c r="P44" s="12" cm="1">
        <f t="array" ref="P44">_xll.BDH("CAT US Equity","CF_LT_DEBT_CAP_LEAS_PAYMENT","FQ4 2021","FQ4 2021","Currency=USD","Period=FQ","BEST_FPERIOD_OVERRIDE=FQ","FILING_STATUS=MR","SCALING_FORMAT=MLN","Sort=A","Dates=H","DateFormat=P","Fill=—","Direction=H","UseDPDF=Y")</f>
        <v>-1176</v>
      </c>
      <c r="Q44" s="12" cm="1">
        <f t="array" ref="Q44">_xll.BDH("CAT US Equity","CF_LT_DEBT_CAP_LEAS_PAYMENT","FQ1 2022","FQ1 2022","Currency=USD","Period=FQ","BEST_FPERIOD_OVERRIDE=FQ","FILING_STATUS=MR","SCALING_FORMAT=MLN","Sort=A","Dates=H","DateFormat=P","Fill=—","Direction=H","UseDPDF=Y")</f>
        <v>-1387</v>
      </c>
      <c r="R44" s="12" cm="1">
        <f t="array" ref="R44">_xll.BDH("CAT US Equity","CF_LT_DEBT_CAP_LEAS_PAYMENT","FQ2 2022","FQ2 2022","Currency=USD","Period=FQ","BEST_FPERIOD_OVERRIDE=FQ","FILING_STATUS=MR","SCALING_FORMAT=MLN","Sort=A","Dates=H","DateFormat=P","Fill=—","Direction=H","UseDPDF=Y")</f>
        <v>-2859</v>
      </c>
      <c r="S44" s="12" cm="1">
        <f t="array" ref="S44">_xll.BDH("CAT US Equity","CF_LT_DEBT_CAP_LEAS_PAYMENT","FQ3 2022","FQ3 2022","Currency=USD","Period=FQ","BEST_FPERIOD_OVERRIDE=FQ","FILING_STATUS=MR","SCALING_FORMAT=MLN","Sort=A","Dates=H","DateFormat=P","Fill=—","Direction=H","UseDPDF=Y")</f>
        <v>-1043</v>
      </c>
      <c r="T44" s="12" cm="1">
        <f t="array" ref="T44">_xll.BDH("CAT US Equity","CF_LT_DEBT_CAP_LEAS_PAYMENT","FQ4 2022","FQ4 2022","Currency=USD","Period=FQ","BEST_FPERIOD_OVERRIDE=FQ","FILING_STATUS=MR","SCALING_FORMAT=MLN","Sort=A","Dates=H","DateFormat=P","Fill=—","Direction=H","UseDPDF=Y")</f>
        <v>-2414</v>
      </c>
      <c r="U44" s="12" cm="1">
        <f t="array" ref="U44">_xll.BDH("CAT US Equity","CF_LT_DEBT_CAP_LEAS_PAYMENT","FQ1 2023","FQ1 2023","Currency=USD","Period=FQ","BEST_FPERIOD_OVERRIDE=FQ","FILING_STATUS=MR","SCALING_FORMAT=MLN","Sort=A","Dates=H","DateFormat=P","Fill=—","Direction=H","UseDPDF=Y")</f>
        <v>-1475</v>
      </c>
      <c r="V44" s="12" cm="1">
        <f t="array" ref="V44">_xll.BDH("CAT US Equity","CF_LT_DEBT_CAP_LEAS_PAYMENT","FQ2 2023","FQ2 2023","Currency=USD","Period=FQ","BEST_FPERIOD_OVERRIDE=FQ","FILING_STATUS=MR","SCALING_FORMAT=MLN","Sort=A","Dates=H","DateFormat=P","Fill=—","Direction=H","UseDPDF=Y")</f>
        <v>-828</v>
      </c>
      <c r="W44" s="12" cm="1">
        <f t="array" ref="W44">_xll.BDH("CAT US Equity","CF_LT_DEBT_CAP_LEAS_PAYMENT","FQ3 2023","FQ3 2023","Currency=USD","Period=FQ","BEST_FPERIOD_OVERRIDE=FQ","FILING_STATUS=MR","SCALING_FORMAT=MLN","Sort=A","Dates=H","DateFormat=P","Fill=—","Direction=H","UseDPDF=Y")</f>
        <v>-2156</v>
      </c>
      <c r="X44" s="12" cm="1">
        <f t="array" ref="X44">_xll.BDH("CAT US Equity","CF_LT_DEBT_CAP_LEAS_PAYMENT","FQ4 2023","FQ4 2023","Currency=USD","Period=FQ","BEST_FPERIOD_OVERRIDE=FQ","FILING_STATUS=MR","SCALING_FORMAT=MLN","Sort=A","Dates=H","DateFormat=P","Fill=—","Direction=H","UseDPDF=Y")</f>
        <v>-1859</v>
      </c>
      <c r="Y44" s="12" cm="1">
        <f t="array" ref="Y44">_xll.BDH("CAT US Equity","CF_LT_DEBT_CAP_LEAS_PAYMENT","FQ1 2024","FQ1 2024","Currency=USD","Period=FQ","BEST_FPERIOD_OVERRIDE=FQ","FILING_STATUS=MR","SCALING_FORMAT=MLN","Sort=A","Dates=H","DateFormat=P","Fill=—","Direction=H","UseDPDF=Y")</f>
        <v>-1570</v>
      </c>
      <c r="Z44" s="12" cm="1">
        <f t="array" ref="Z44">_xll.BDH("CAT US Equity","CF_LT_DEBT_CAP_LEAS_PAYMENT","FQ2 2024","FQ2 2024","Currency=USD","Period=FQ","BEST_FPERIOD_OVERRIDE=FQ","FILING_STATUS=MR","SCALING_FORMAT=MLN","Sort=A","Dates=H","DateFormat=P","Fill=—","Direction=H","UseDPDF=Y")</f>
        <v>-3647</v>
      </c>
      <c r="AA44" s="12" cm="1">
        <f t="array" ref="AA44">_xll.BDH("CAT US Equity","CF_LT_DEBT_CAP_LEAS_PAYMENT","FQ3 2024","FQ3 2024","Currency=USD","Period=FQ","BEST_FPERIOD_OVERRIDE=FQ","FILING_STATUS=MR","SCALING_FORMAT=MLN","Sort=A","Dates=H","DateFormat=P","Fill=—","Direction=H","UseDPDF=Y")</f>
        <v>-1645</v>
      </c>
      <c r="AB44" s="12" cm="1">
        <f t="array" ref="AB44">_xll.BDH("CAT US Equity","CF_LT_DEBT_CAP_LEAS_PAYMENT","FQ4 2024","FQ4 2024","Currency=USD","Period=FQ","BEST_FPERIOD_OVERRIDE=FQ","FILING_STATUS=MR","SCALING_FORMAT=MLN","Sort=A","Dates=H","DateFormat=P","Fill=—","Direction=H","UseDPDF=Y")</f>
        <v>-1422</v>
      </c>
      <c r="AC44" s="12" cm="1">
        <f t="array" ref="AC44">_xll.BDH("CAT US Equity","CF_LT_DEBT_CAP_LEAS_PAYMENT","FQ1 2025","FQ1 2025","Currency=USD","Period=FQ","BEST_FPERIOD_OVERRIDE=FQ","FILING_STATUS=MR","SCALING_FORMAT=MLN","Sort=A","Dates=H","DateFormat=P","Fill=—","Direction=H","UseDPDF=Y")</f>
        <v>-1797</v>
      </c>
      <c r="AD44" s="12" cm="1">
        <f t="array" ref="AD44">_xll.BDH("CAT US Equity","CF_LT_DEBT_CAP_LEAS_PAYMENT","FQ2 2025","FQ2 2025","Currency=USD","Period=FQ","BEST_FPERIOD_OVERRIDE=FQ","FILING_STATUS=MR","SCALING_FORMAT=MLN","Sort=A","Dates=H","DateFormat=P","Fill=—","Direction=H","UseDPDF=Y")</f>
        <v>-2371</v>
      </c>
      <c r="AE44" s="12" cm="1">
        <f t="array" ref="AE44">_xll.BDH("CAT US Equity","CF_LT_DEBT_CAP_LEAS_PAYMENT","FQ3 2025","FQ3 2025","Currency=USD","Period=FQ","BEST_FPERIOD_OVERRIDE=FQ","FILING_STATUS=MR","SCALING_FORMAT=MLN","Sort=A","Dates=H","DateFormat=P","Fill=—","Direction=H","UseDPDF=Y")</f>
        <v>-61</v>
      </c>
      <c r="AF44" s="12" cm="1">
        <f t="array" ref="AF44">_xll.BDH("CAT US Equity","CF_LT_DEBT_CAP_LEAS_PAYMENT","FQ4 2025","FQ4 2025","Currency=USD","Period=FQ","BEST_FPERIOD_OVERRIDE=FQ","FILING_STATUS=MR","SCALING_FORMAT=MLN","Sort=A","Dates=H","DateFormat=P","Fill=—","Direction=H","UseDPDF=Y")</f>
        <v>-3852</v>
      </c>
    </row>
    <row r="45" spans="1:32" x14ac:dyDescent="0.25">
      <c r="A45" s="10" t="s">
        <v>133</v>
      </c>
      <c r="B45" s="10" t="s">
        <v>134</v>
      </c>
      <c r="C45" s="12" cm="1">
        <f t="array" ref="C45">_xll.BDH("CAT US Equity","PROC_FR_REPURCH_EQTY_DETAILED","FQ3 2018","FQ3 2018","Currency=USD","Period=FQ","BEST_FPERIOD_OVERRIDE=FQ","FILING_STATUS=MR","SCALING_FORMAT=MLN","Sort=A","Dates=H","DateFormat=P","Fill=—","Direction=H","UseDPDF=Y")</f>
        <v>-714</v>
      </c>
      <c r="D45" s="12" cm="1">
        <f t="array" ref="D45">_xll.BDH("CAT US Equity","PROC_FR_REPURCH_EQTY_DETAILED","FQ4 2018","FQ4 2018","Currency=USD","Period=FQ","BEST_FPERIOD_OVERRIDE=FQ","FILING_STATUS=MR","SCALING_FORMAT=MLN","Sort=A","Dates=H","DateFormat=P","Fill=—","Direction=H","UseDPDF=Y")</f>
        <v>-1777</v>
      </c>
      <c r="E45" s="12" cm="1">
        <f t="array" ref="E45">_xll.BDH("CAT US Equity","PROC_FR_REPURCH_EQTY_DETAILED","FQ1 2019","FQ1 2019","Currency=USD","Period=FQ","BEST_FPERIOD_OVERRIDE=FQ","FILING_STATUS=MR","SCALING_FORMAT=MLN","Sort=A","Dates=H","DateFormat=P","Fill=—","Direction=H","UseDPDF=Y")</f>
        <v>-756</v>
      </c>
      <c r="F45" s="12" cm="1">
        <f t="array" ref="F45">_xll.BDH("CAT US Equity","PROC_FR_REPURCH_EQTY_DETAILED","FQ2 2019","FQ2 2019","Currency=USD","Period=FQ","BEST_FPERIOD_OVERRIDE=FQ","FILING_STATUS=MR","SCALING_FORMAT=MLN","Sort=A","Dates=H","DateFormat=P","Fill=—","Direction=H","UseDPDF=Y")</f>
        <v>-1310</v>
      </c>
      <c r="G45" s="12" cm="1">
        <f t="array" ref="G45">_xll.BDH("CAT US Equity","PROC_FR_REPURCH_EQTY_DETAILED","FQ3 2019","FQ3 2019","Currency=USD","Period=FQ","BEST_FPERIOD_OVERRIDE=FQ","FILING_STATUS=MR","SCALING_FORMAT=MLN","Sort=A","Dates=H","DateFormat=P","Fill=—","Direction=H","UseDPDF=Y")</f>
        <v>-1158</v>
      </c>
      <c r="H45" s="12" cm="1">
        <f t="array" ref="H45">_xll.BDH("CAT US Equity","PROC_FR_REPURCH_EQTY_DETAILED","FQ4 2019","FQ4 2019","Currency=USD","Period=FQ","BEST_FPERIOD_OVERRIDE=FQ","FILING_STATUS=MR","SCALING_FORMAT=MLN","Sort=A","Dates=H","DateFormat=P","Fill=—","Direction=H","UseDPDF=Y")</f>
        <v>-585</v>
      </c>
      <c r="I45" s="12" cm="1">
        <f t="array" ref="I45">_xll.BDH("CAT US Equity","PROC_FR_REPURCH_EQTY_DETAILED","FQ1 2020","FQ1 2020","Currency=USD","Period=FQ","BEST_FPERIOD_OVERRIDE=FQ","FILING_STATUS=MR","SCALING_FORMAT=MLN","Sort=A","Dates=H","DateFormat=P","Fill=—","Direction=H","UseDPDF=Y")</f>
        <v>-1043</v>
      </c>
      <c r="J45" s="12" cm="1">
        <f t="array" ref="J45">_xll.BDH("CAT US Equity","PROC_FR_REPURCH_EQTY_DETAILED","FQ2 2020","FQ2 2020","Currency=USD","Period=FQ","BEST_FPERIOD_OVERRIDE=FQ","FILING_STATUS=MR","SCALING_FORMAT=MLN","Sort=A","Dates=H","DateFormat=P","Fill=—","Direction=H","UseDPDF=Y")</f>
        <v>-97</v>
      </c>
      <c r="K45" s="12" cm="1">
        <f t="array" ref="K45">_xll.BDH("CAT US Equity","PROC_FR_REPURCH_EQTY_DETAILED","FQ3 2020","FQ3 2020","Currency=USD","Period=FQ","BEST_FPERIOD_OVERRIDE=FQ","FILING_STATUS=MR","SCALING_FORMAT=MLN","Sort=A","Dates=H","DateFormat=P","Fill=—","Direction=H","UseDPDF=Y")</f>
        <v>120</v>
      </c>
      <c r="L45" s="12" cm="1">
        <f t="array" ref="L45">_xll.BDH("CAT US Equity","PROC_FR_REPURCH_EQTY_DETAILED","FQ4 2020","FQ4 2020","Currency=USD","Period=FQ","BEST_FPERIOD_OVERRIDE=FQ","FILING_STATUS=MR","SCALING_FORMAT=MLN","Sort=A","Dates=H","DateFormat=P","Fill=—","Direction=H","UseDPDF=Y")</f>
        <v>119</v>
      </c>
      <c r="M45" s="12" cm="1">
        <f t="array" ref="M45">_xll.BDH("CAT US Equity","PROC_FR_REPURCH_EQTY_DETAILED","FQ1 2021","FQ1 2021","Currency=USD","Period=FQ","BEST_FPERIOD_OVERRIDE=FQ","FILING_STATUS=MR","SCALING_FORMAT=MLN","Sort=A","Dates=H","DateFormat=P","Fill=—","Direction=H","UseDPDF=Y")</f>
        <v>65</v>
      </c>
      <c r="N45" s="12" cm="1">
        <f t="array" ref="N45">_xll.BDH("CAT US Equity","PROC_FR_REPURCH_EQTY_DETAILED","FQ2 2021","FQ2 2021","Currency=USD","Period=FQ","BEST_FPERIOD_OVERRIDE=FQ","FILING_STATUS=MR","SCALING_FORMAT=MLN","Sort=A","Dates=H","DateFormat=P","Fill=—","Direction=H","UseDPDF=Y")</f>
        <v>-193</v>
      </c>
      <c r="O45" s="12" cm="1">
        <f t="array" ref="O45">_xll.BDH("CAT US Equity","PROC_FR_REPURCH_EQTY_DETAILED","FQ3 2021","FQ3 2021","Currency=USD","Period=FQ","BEST_FPERIOD_OVERRIDE=FQ","FILING_STATUS=MR","SCALING_FORMAT=MLN","Sort=A","Dates=H","DateFormat=P","Fill=—","Direction=H","UseDPDF=Y")</f>
        <v>-1372</v>
      </c>
      <c r="P45" s="12" cm="1">
        <f t="array" ref="P45">_xll.BDH("CAT US Equity","PROC_FR_REPURCH_EQTY_DETAILED","FQ4 2021","FQ4 2021","Currency=USD","Period=FQ","BEST_FPERIOD_OVERRIDE=FQ","FILING_STATUS=MR","SCALING_FORMAT=MLN","Sort=A","Dates=H","DateFormat=P","Fill=—","Direction=H","UseDPDF=Y")</f>
        <v>-1033</v>
      </c>
      <c r="Q45" s="12" cm="1">
        <f t="array" ref="Q45">_xll.BDH("CAT US Equity","PROC_FR_REPURCH_EQTY_DETAILED","FQ1 2022","FQ1 2022","Currency=USD","Period=FQ","BEST_FPERIOD_OVERRIDE=FQ","FILING_STATUS=MR","SCALING_FORMAT=MLN","Sort=A","Dates=H","DateFormat=P","Fill=—","Direction=H","UseDPDF=Y")</f>
        <v>-848</v>
      </c>
      <c r="R45" s="12" cm="1">
        <f t="array" ref="R45">_xll.BDH("CAT US Equity","PROC_FR_REPURCH_EQTY_DETAILED","FQ2 2022","FQ2 2022","Currency=USD","Period=FQ","BEST_FPERIOD_OVERRIDE=FQ","FILING_STATUS=MR","SCALING_FORMAT=MLN","Sort=A","Dates=H","DateFormat=P","Fill=—","Direction=H","UseDPDF=Y")</f>
        <v>-1100</v>
      </c>
      <c r="S45" s="12" cm="1">
        <f t="array" ref="S45">_xll.BDH("CAT US Equity","PROC_FR_REPURCH_EQTY_DETAILED","FQ3 2022","FQ3 2022","Currency=USD","Period=FQ","BEST_FPERIOD_OVERRIDE=FQ","FILING_STATUS=MR","SCALING_FORMAT=MLN","Sort=A","Dates=H","DateFormat=P","Fill=—","Direction=H","UseDPDF=Y")</f>
        <v>-1387</v>
      </c>
      <c r="T45" s="12" cm="1">
        <f t="array" ref="T45">_xll.BDH("CAT US Equity","PROC_FR_REPURCH_EQTY_DETAILED","FQ4 2022","FQ4 2022","Currency=USD","Period=FQ","BEST_FPERIOD_OVERRIDE=FQ","FILING_STATUS=MR","SCALING_FORMAT=MLN","Sort=A","Dates=H","DateFormat=P","Fill=—","Direction=H","UseDPDF=Y")</f>
        <v>-872</v>
      </c>
      <c r="U45" s="12" cm="1">
        <f t="array" ref="U45">_xll.BDH("CAT US Equity","PROC_FR_REPURCH_EQTY_DETAILED","FQ1 2023","FQ1 2023","Currency=USD","Period=FQ","BEST_FPERIOD_OVERRIDE=FQ","FILING_STATUS=MR","SCALING_FORMAT=MLN","Sort=A","Dates=H","DateFormat=P","Fill=—","Direction=H","UseDPDF=Y")</f>
        <v>-400</v>
      </c>
      <c r="V45" s="12" cm="1">
        <f t="array" ref="V45">_xll.BDH("CAT US Equity","PROC_FR_REPURCH_EQTY_DETAILED","FQ2 2023","FQ2 2023","Currency=USD","Period=FQ","BEST_FPERIOD_OVERRIDE=FQ","FILING_STATUS=MR","SCALING_FORMAT=MLN","Sort=A","Dates=H","DateFormat=P","Fill=—","Direction=H","UseDPDF=Y")</f>
        <v>-1451</v>
      </c>
      <c r="W45" s="12" cm="1">
        <f t="array" ref="W45">_xll.BDH("CAT US Equity","PROC_FR_REPURCH_EQTY_DETAILED","FQ3 2023","FQ3 2023","Currency=USD","Period=FQ","BEST_FPERIOD_OVERRIDE=FQ","FILING_STATUS=MR","SCALING_FORMAT=MLN","Sort=A","Dates=H","DateFormat=P","Fill=—","Direction=H","UseDPDF=Y")</f>
        <v>-322</v>
      </c>
      <c r="X45" s="12" cm="1">
        <f t="array" ref="X45">_xll.BDH("CAT US Equity","PROC_FR_REPURCH_EQTY_DETAILED","FQ4 2023","FQ4 2023","Currency=USD","Period=FQ","BEST_FPERIOD_OVERRIDE=FQ","FILING_STATUS=MR","SCALING_FORMAT=MLN","Sort=A","Dates=H","DateFormat=P","Fill=—","Direction=H","UseDPDF=Y")</f>
        <v>-2787</v>
      </c>
      <c r="Y45" s="12" cm="1">
        <f t="array" ref="Y45">_xll.BDH("CAT US Equity","PROC_FR_REPURCH_EQTY_DETAILED","FQ1 2024","FQ1 2024","Currency=USD","Period=FQ","BEST_FPERIOD_OVERRIDE=FQ","FILING_STATUS=MR","SCALING_FORMAT=MLN","Sort=A","Dates=H","DateFormat=P","Fill=—","Direction=H","UseDPDF=Y")</f>
        <v>-4455</v>
      </c>
      <c r="Z45" s="12" cm="1">
        <f t="array" ref="Z45">_xll.BDH("CAT US Equity","PROC_FR_REPURCH_EQTY_DETAILED","FQ2 2024","FQ2 2024","Currency=USD","Period=FQ","BEST_FPERIOD_OVERRIDE=FQ","FILING_STATUS=MR","SCALING_FORMAT=MLN","Sort=A","Dates=H","DateFormat=P","Fill=—","Direction=H","UseDPDF=Y")</f>
        <v>-1812</v>
      </c>
      <c r="AA45" s="12" cm="1">
        <f t="array" ref="AA45">_xll.BDH("CAT US Equity","PROC_FR_REPURCH_EQTY_DETAILED","FQ3 2024","FQ3 2024","Currency=USD","Period=FQ","BEST_FPERIOD_OVERRIDE=FQ","FILING_STATUS=MR","SCALING_FORMAT=MLN","Sort=A","Dates=H","DateFormat=P","Fill=—","Direction=H","UseDPDF=Y")</f>
        <v>-775</v>
      </c>
      <c r="AB45" s="12" cm="1">
        <f t="array" ref="AB45">_xll.BDH("CAT US Equity","PROC_FR_REPURCH_EQTY_DETAILED","FQ4 2024","FQ4 2024","Currency=USD","Period=FQ","BEST_FPERIOD_OVERRIDE=FQ","FILING_STATUS=MR","SCALING_FORMAT=MLN","Sort=A","Dates=H","DateFormat=P","Fill=—","Direction=H","UseDPDF=Y")</f>
        <v>-675</v>
      </c>
      <c r="AC45" s="12" cm="1">
        <f t="array" ref="AC45">_xll.BDH("CAT US Equity","PROC_FR_REPURCH_EQTY_DETAILED","FQ1 2025","FQ1 2025","Currency=USD","Period=FQ","BEST_FPERIOD_OVERRIDE=FQ","FILING_STATUS=MR","SCALING_FORMAT=MLN","Sort=A","Dates=H","DateFormat=P","Fill=—","Direction=H","UseDPDF=Y")</f>
        <v>-3660</v>
      </c>
      <c r="AD45" s="12" cm="1">
        <f t="array" ref="AD45">_xll.BDH("CAT US Equity","PROC_FR_REPURCH_EQTY_DETAILED","FQ2 2025","FQ2 2025","Currency=USD","Period=FQ","BEST_FPERIOD_OVERRIDE=FQ","FILING_STATUS=MR","SCALING_FORMAT=MLN","Sort=A","Dates=H","DateFormat=P","Fill=—","Direction=H","UseDPDF=Y")</f>
        <v>-887</v>
      </c>
      <c r="AE45" s="12" cm="1">
        <f t="array" ref="AE45">_xll.BDH("CAT US Equity","PROC_FR_REPURCH_EQTY_DETAILED","FQ3 2025","FQ3 2025","Currency=USD","Period=FQ","BEST_FPERIOD_OVERRIDE=FQ","FILING_STATUS=MR","SCALING_FORMAT=MLN","Sort=A","Dates=H","DateFormat=P","Fill=—","Direction=H","UseDPDF=Y")</f>
        <v>-303</v>
      </c>
      <c r="AF45" s="12" cm="1">
        <f t="array" ref="AF45">_xll.BDH("CAT US Equity","PROC_FR_REPURCH_EQTY_DETAILED","FQ4 2025","FQ4 2025","Currency=USD","Period=FQ","BEST_FPERIOD_OVERRIDE=FQ","FILING_STATUS=MR","SCALING_FORMAT=MLN","Sort=A","Dates=H","DateFormat=P","Fill=—","Direction=H","UseDPDF=Y")</f>
        <v>-429</v>
      </c>
    </row>
    <row r="46" spans="1:32" x14ac:dyDescent="0.25">
      <c r="A46" s="10" t="s">
        <v>135</v>
      </c>
      <c r="B46" s="10" t="s">
        <v>136</v>
      </c>
      <c r="C46" s="12" cm="1">
        <f t="array" ref="C46">_xll.BDH("CAT US Equity","CF_INCR_CAP_STOCK","FQ3 2018","FQ3 2018","Currency=USD","Period=FQ","BEST_FPERIOD_OVERRIDE=FQ","FILING_STATUS=MR","SCALING_FORMAT=MLN","Sort=A","Dates=H","DateFormat=P","Fill=—","Direction=H","UseDPDF=Y")</f>
        <v>36</v>
      </c>
      <c r="D46" s="12" cm="1">
        <f t="array" ref="D46">_xll.BDH("CAT US Equity","CF_INCR_CAP_STOCK","FQ4 2018","FQ4 2018","Currency=USD","Period=FQ","BEST_FPERIOD_OVERRIDE=FQ","FILING_STATUS=MR","SCALING_FORMAT=MLN","Sort=A","Dates=H","DateFormat=P","Fill=—","Direction=H","UseDPDF=Y")</f>
        <v>21</v>
      </c>
      <c r="E46" s="12" cm="1">
        <f t="array" ref="E46">_xll.BDH("CAT US Equity","CF_INCR_CAP_STOCK","FQ1 2019","FQ1 2019","Currency=USD","Period=FQ","BEST_FPERIOD_OVERRIDE=FQ","FILING_STATUS=MR","SCALING_FORMAT=MLN","Sort=A","Dates=H","DateFormat=P","Fill=—","Direction=H","UseDPDF=Y")</f>
        <v>0</v>
      </c>
      <c r="F46" s="12" cm="1">
        <f t="array" ref="F46">_xll.BDH("CAT US Equity","CF_INCR_CAP_STOCK","FQ2 2019","FQ2 2019","Currency=USD","Period=FQ","BEST_FPERIOD_OVERRIDE=FQ","FILING_STATUS=MR","SCALING_FORMAT=MLN","Sort=A","Dates=H","DateFormat=P","Fill=—","Direction=H","UseDPDF=Y")</f>
        <v>39</v>
      </c>
      <c r="G46" s="12" cm="1">
        <f t="array" ref="G46">_xll.BDH("CAT US Equity","CF_INCR_CAP_STOCK","FQ3 2019","FQ3 2019","Currency=USD","Period=FQ","BEST_FPERIOD_OVERRIDE=FQ","FILING_STATUS=MR","SCALING_FORMAT=MLN","Sort=A","Dates=H","DateFormat=P","Fill=—","Direction=H","UseDPDF=Y")</f>
        <v>20</v>
      </c>
      <c r="H46" s="12" cm="1">
        <f t="array" ref="H46">_xll.BDH("CAT US Equity","CF_INCR_CAP_STOCK","FQ4 2019","FQ4 2019","Currency=USD","Period=FQ","BEST_FPERIOD_OVERRIDE=FQ","FILING_STATUS=MR","SCALING_FORMAT=MLN","Sort=A","Dates=H","DateFormat=P","Fill=—","Direction=H","UseDPDF=Y")</f>
        <v>179</v>
      </c>
      <c r="I46" s="12" cm="1">
        <f t="array" ref="I46">_xll.BDH("CAT US Equity","CF_INCR_CAP_STOCK","FQ1 2020","FQ1 2020","Currency=USD","Period=FQ","BEST_FPERIOD_OVERRIDE=FQ","FILING_STATUS=MR","SCALING_FORMAT=MLN","Sort=A","Dates=H","DateFormat=P","Fill=—","Direction=H","UseDPDF=Y")</f>
        <v>0</v>
      </c>
      <c r="J46" s="12" cm="1">
        <f t="array" ref="J46">_xll.BDH("CAT US Equity","CF_INCR_CAP_STOCK","FQ2 2020","FQ2 2020","Currency=USD","Period=FQ","BEST_FPERIOD_OVERRIDE=FQ","FILING_STATUS=MR","SCALING_FORMAT=MLN","Sort=A","Dates=H","DateFormat=P","Fill=—","Direction=H","UseDPDF=Y")</f>
        <v>0</v>
      </c>
      <c r="K46" s="12" cm="1">
        <f t="array" ref="K46">_xll.BDH("CAT US Equity","CF_INCR_CAP_STOCK","FQ3 2020","FQ3 2020","Currency=USD","Period=FQ","BEST_FPERIOD_OVERRIDE=FQ","FILING_STATUS=MR","SCALING_FORMAT=MLN","Sort=A","Dates=H","DateFormat=P","Fill=—","Direction=H","UseDPDF=Y")</f>
        <v>120</v>
      </c>
      <c r="L46" s="12" cm="1">
        <f t="array" ref="L46">_xll.BDH("CAT US Equity","CF_INCR_CAP_STOCK","FQ4 2020","FQ4 2020","Currency=USD","Period=FQ","BEST_FPERIOD_OVERRIDE=FQ","FILING_STATUS=MR","SCALING_FORMAT=MLN","Sort=A","Dates=H","DateFormat=P","Fill=—","Direction=H","UseDPDF=Y")</f>
        <v>119</v>
      </c>
      <c r="M46" s="12" cm="1">
        <f t="array" ref="M46">_xll.BDH("CAT US Equity","CF_INCR_CAP_STOCK","FQ1 2021","FQ1 2021","Currency=USD","Period=FQ","BEST_FPERIOD_OVERRIDE=FQ","FILING_STATUS=MR","SCALING_FORMAT=MLN","Sort=A","Dates=H","DateFormat=P","Fill=—","Direction=H","UseDPDF=Y")</f>
        <v>65</v>
      </c>
      <c r="N46" s="12" cm="1">
        <f t="array" ref="N46">_xll.BDH("CAT US Equity","CF_INCR_CAP_STOCK","FQ2 2021","FQ2 2021","Currency=USD","Period=FQ","BEST_FPERIOD_OVERRIDE=FQ","FILING_STATUS=MR","SCALING_FORMAT=MLN","Sort=A","Dates=H","DateFormat=P","Fill=—","Direction=H","UseDPDF=Y")</f>
        <v>58</v>
      </c>
      <c r="O46" s="12" cm="1">
        <f t="array" ref="O46">_xll.BDH("CAT US Equity","CF_INCR_CAP_STOCK","FQ3 2021","FQ3 2021","Currency=USD","Period=FQ","BEST_FPERIOD_OVERRIDE=FQ","FILING_STATUS=MR","SCALING_FORMAT=MLN","Sort=A","Dates=H","DateFormat=P","Fill=—","Direction=H","UseDPDF=Y")</f>
        <v>0</v>
      </c>
      <c r="P46" s="12" cm="1">
        <f t="array" ref="P46">_xll.BDH("CAT US Equity","CF_INCR_CAP_STOCK","FQ4 2021","FQ4 2021","Currency=USD","Period=FQ","BEST_FPERIOD_OVERRIDE=FQ","FILING_STATUS=MR","SCALING_FORMAT=MLN","Sort=A","Dates=H","DateFormat=P","Fill=—","Direction=H","UseDPDF=Y")</f>
        <v>12</v>
      </c>
      <c r="Q46" s="12" cm="1">
        <f t="array" ref="Q46">_xll.BDH("CAT US Equity","CF_INCR_CAP_STOCK","FQ1 2022","FQ1 2022","Currency=USD","Period=FQ","BEST_FPERIOD_OVERRIDE=FQ","FILING_STATUS=MR","SCALING_FORMAT=MLN","Sort=A","Dates=H","DateFormat=P","Fill=—","Direction=H","UseDPDF=Y")</f>
        <v>0</v>
      </c>
      <c r="R46" s="12" cm="1">
        <f t="array" ref="R46">_xll.BDH("CAT US Equity","CF_INCR_CAP_STOCK","FQ2 2022","FQ2 2022","Currency=USD","Period=FQ","BEST_FPERIOD_OVERRIDE=FQ","FILING_STATUS=MR","SCALING_FORMAT=MLN","Sort=A","Dates=H","DateFormat=P","Fill=—","Direction=H","UseDPDF=Y")</f>
        <v>4</v>
      </c>
      <c r="S46" s="12" cm="1">
        <f t="array" ref="S46">_xll.BDH("CAT US Equity","CF_INCR_CAP_STOCK","FQ3 2022","FQ3 2022","Currency=USD","Period=FQ","BEST_FPERIOD_OVERRIDE=FQ","FILING_STATUS=MR","SCALING_FORMAT=MLN","Sort=A","Dates=H","DateFormat=P","Fill=—","Direction=H","UseDPDF=Y")</f>
        <v>0</v>
      </c>
      <c r="T46" s="12" cm="1">
        <f t="array" ref="T46">_xll.BDH("CAT US Equity","CF_INCR_CAP_STOCK","FQ4 2022","FQ4 2022","Currency=USD","Period=FQ","BEST_FPERIOD_OVERRIDE=FQ","FILING_STATUS=MR","SCALING_FORMAT=MLN","Sort=A","Dates=H","DateFormat=P","Fill=—","Direction=H","UseDPDF=Y")</f>
        <v>47</v>
      </c>
      <c r="U46" s="12" cm="1">
        <f t="array" ref="U46">_xll.BDH("CAT US Equity","CF_INCR_CAP_STOCK","FQ1 2023","FQ1 2023","Currency=USD","Period=FQ","BEST_FPERIOD_OVERRIDE=FQ","FILING_STATUS=MR","SCALING_FORMAT=MLN","Sort=A","Dates=H","DateFormat=P","Fill=—","Direction=H","UseDPDF=Y")</f>
        <v>0</v>
      </c>
      <c r="V46" s="12" cm="1">
        <f t="array" ref="V46">_xll.BDH("CAT US Equity","CF_INCR_CAP_STOCK","FQ2 2023","FQ2 2023","Currency=USD","Period=FQ","BEST_FPERIOD_OVERRIDE=FQ","FILING_STATUS=MR","SCALING_FORMAT=MLN","Sort=A","Dates=H","DateFormat=P","Fill=—","Direction=H","UseDPDF=Y")</f>
        <v>0</v>
      </c>
      <c r="W46" s="12" cm="1">
        <f t="array" ref="W46">_xll.BDH("CAT US Equity","CF_INCR_CAP_STOCK","FQ3 2023","FQ3 2023","Currency=USD","Period=FQ","BEST_FPERIOD_OVERRIDE=FQ","FILING_STATUS=MR","SCALING_FORMAT=MLN","Sort=A","Dates=H","DateFormat=P","Fill=—","Direction=H","UseDPDF=Y")</f>
        <v>36</v>
      </c>
      <c r="X46" s="12" cm="1">
        <f t="array" ref="X46">_xll.BDH("CAT US Equity","CF_INCR_CAP_STOCK","FQ4 2023","FQ4 2023","Currency=USD","Period=FQ","BEST_FPERIOD_OVERRIDE=FQ","FILING_STATUS=MR","SCALING_FORMAT=MLN","Sort=A","Dates=H","DateFormat=P","Fill=—","Direction=H","UseDPDF=Y")</f>
        <v>0</v>
      </c>
      <c r="Y46" s="12" cm="1">
        <f t="array" ref="Y46">_xll.BDH("CAT US Equity","CF_INCR_CAP_STOCK","FQ1 2024","FQ1 2024","Currency=USD","Period=FQ","BEST_FPERIOD_OVERRIDE=FQ","FILING_STATUS=MR","SCALING_FORMAT=MLN","Sort=A","Dates=H","DateFormat=P","Fill=—","Direction=H","UseDPDF=Y")</f>
        <v>0</v>
      </c>
      <c r="Z46" s="12" cm="1">
        <f t="array" ref="Z46">_xll.BDH("CAT US Equity","CF_INCR_CAP_STOCK","FQ2 2024","FQ2 2024","Currency=USD","Period=FQ","BEST_FPERIOD_OVERRIDE=FQ","FILING_STATUS=MR","SCALING_FORMAT=MLN","Sort=A","Dates=H","DateFormat=P","Fill=—","Direction=H","UseDPDF=Y")</f>
        <v>0</v>
      </c>
      <c r="AA46" s="12" cm="1">
        <f t="array" ref="AA46">_xll.BDH("CAT US Equity","CF_INCR_CAP_STOCK","FQ3 2024","FQ3 2024","Currency=USD","Period=FQ","BEST_FPERIOD_OVERRIDE=FQ","FILING_STATUS=MR","SCALING_FORMAT=MLN","Sort=A","Dates=H","DateFormat=P","Fill=—","Direction=H","UseDPDF=Y")</f>
        <v>15</v>
      </c>
      <c r="AB46" s="12" cm="1">
        <f t="array" ref="AB46">_xll.BDH("CAT US Equity","CF_INCR_CAP_STOCK","FQ4 2024","FQ4 2024","Currency=USD","Period=FQ","BEST_FPERIOD_OVERRIDE=FQ","FILING_STATUS=MR","SCALING_FORMAT=MLN","Sort=A","Dates=H","DateFormat=P","Fill=—","Direction=H","UseDPDF=Y")</f>
        <v>5</v>
      </c>
      <c r="AC46" s="12" cm="1">
        <f t="array" ref="AC46">_xll.BDH("CAT US Equity","CF_INCR_CAP_STOCK","FQ1 2025","FQ1 2025","Currency=USD","Period=FQ","BEST_FPERIOD_OVERRIDE=FQ","FILING_STATUS=MR","SCALING_FORMAT=MLN","Sort=A","Dates=H","DateFormat=P","Fill=—","Direction=H","UseDPDF=Y")</f>
        <v>0</v>
      </c>
      <c r="AD46" s="12" cm="1">
        <f t="array" ref="AD46">_xll.BDH("CAT US Equity","CF_INCR_CAP_STOCK","FQ2 2025","FQ2 2025","Currency=USD","Period=FQ","BEST_FPERIOD_OVERRIDE=FQ","FILING_STATUS=MR","SCALING_FORMAT=MLN","Sort=A","Dates=H","DateFormat=P","Fill=—","Direction=H","UseDPDF=Y")</f>
        <v>0</v>
      </c>
      <c r="AE46" s="12" cm="1">
        <f t="array" ref="AE46">_xll.BDH("CAT US Equity","CF_INCR_CAP_STOCK","FQ3 2025","FQ3 2025","Currency=USD","Period=FQ","BEST_FPERIOD_OVERRIDE=FQ","FILING_STATUS=MR","SCALING_FORMAT=MLN","Sort=A","Dates=H","DateFormat=P","Fill=—","Direction=H","UseDPDF=Y")</f>
        <v>0</v>
      </c>
      <c r="AF46" s="12" cm="1">
        <f t="array" ref="AF46">_xll.BDH("CAT US Equity","CF_INCR_CAP_STOCK","FQ4 2025","FQ4 2025","Currency=USD","Period=FQ","BEST_FPERIOD_OVERRIDE=FQ","FILING_STATUS=MR","SCALING_FORMAT=MLN","Sort=A","Dates=H","DateFormat=P","Fill=—","Direction=H","UseDPDF=Y")</f>
        <v>0</v>
      </c>
    </row>
    <row r="47" spans="1:32" x14ac:dyDescent="0.25">
      <c r="A47" s="10" t="s">
        <v>137</v>
      </c>
      <c r="B47" s="10" t="s">
        <v>138</v>
      </c>
      <c r="C47" s="12" cm="1">
        <f t="array" ref="C47">_xll.BDH("CAT US Equity","CF_DECR_CAP_STOCK","FQ3 2018","FQ3 2018","Currency=USD","Period=FQ","BEST_FPERIOD_OVERRIDE=FQ","FILING_STATUS=MR","SCALING_FORMAT=MLN","Sort=A","Dates=H","DateFormat=P","Fill=—","Direction=H","UseDPDF=Y")</f>
        <v>-750</v>
      </c>
      <c r="D47" s="12" cm="1">
        <f t="array" ref="D47">_xll.BDH("CAT US Equity","CF_DECR_CAP_STOCK","FQ4 2018","FQ4 2018","Currency=USD","Period=FQ","BEST_FPERIOD_OVERRIDE=FQ","FILING_STATUS=MR","SCALING_FORMAT=MLN","Sort=A","Dates=H","DateFormat=P","Fill=—","Direction=H","UseDPDF=Y")</f>
        <v>-1798</v>
      </c>
      <c r="E47" s="12" cm="1">
        <f t="array" ref="E47">_xll.BDH("CAT US Equity","CF_DECR_CAP_STOCK","FQ1 2019","FQ1 2019","Currency=USD","Period=FQ","BEST_FPERIOD_OVERRIDE=FQ","FILING_STATUS=MR","SCALING_FORMAT=MLN","Sort=A","Dates=H","DateFormat=P","Fill=—","Direction=H","UseDPDF=Y")</f>
        <v>-756</v>
      </c>
      <c r="F47" s="12" cm="1">
        <f t="array" ref="F47">_xll.BDH("CAT US Equity","CF_DECR_CAP_STOCK","FQ2 2019","FQ2 2019","Currency=USD","Period=FQ","BEST_FPERIOD_OVERRIDE=FQ","FILING_STATUS=MR","SCALING_FORMAT=MLN","Sort=A","Dates=H","DateFormat=P","Fill=—","Direction=H","UseDPDF=Y")</f>
        <v>-1349</v>
      </c>
      <c r="G47" s="12" cm="1">
        <f t="array" ref="G47">_xll.BDH("CAT US Equity","CF_DECR_CAP_STOCK","FQ3 2019","FQ3 2019","Currency=USD","Period=FQ","BEST_FPERIOD_OVERRIDE=FQ","FILING_STATUS=MR","SCALING_FORMAT=MLN","Sort=A","Dates=H","DateFormat=P","Fill=—","Direction=H","UseDPDF=Y")</f>
        <v>-1178</v>
      </c>
      <c r="H47" s="12" cm="1">
        <f t="array" ref="H47">_xll.BDH("CAT US Equity","CF_DECR_CAP_STOCK","FQ4 2019","FQ4 2019","Currency=USD","Period=FQ","BEST_FPERIOD_OVERRIDE=FQ","FILING_STATUS=MR","SCALING_FORMAT=MLN","Sort=A","Dates=H","DateFormat=P","Fill=—","Direction=H","UseDPDF=Y")</f>
        <v>-764</v>
      </c>
      <c r="I47" s="12" cm="1">
        <f t="array" ref="I47">_xll.BDH("CAT US Equity","CF_DECR_CAP_STOCK","FQ1 2020","FQ1 2020","Currency=USD","Period=FQ","BEST_FPERIOD_OVERRIDE=FQ","FILING_STATUS=MR","SCALING_FORMAT=MLN","Sort=A","Dates=H","DateFormat=P","Fill=—","Direction=H","UseDPDF=Y")</f>
        <v>-1043</v>
      </c>
      <c r="J47" s="12" cm="1">
        <f t="array" ref="J47">_xll.BDH("CAT US Equity","CF_DECR_CAP_STOCK","FQ2 2020","FQ2 2020","Currency=USD","Period=FQ","BEST_FPERIOD_OVERRIDE=FQ","FILING_STATUS=MR","SCALING_FORMAT=MLN","Sort=A","Dates=H","DateFormat=P","Fill=—","Direction=H","UseDPDF=Y")</f>
        <v>-97</v>
      </c>
      <c r="K47" s="12" cm="1">
        <f t="array" ref="K47">_xll.BDH("CAT US Equity","CF_DECR_CAP_STOCK","FQ3 2020","FQ3 2020","Currency=USD","Period=FQ","BEST_FPERIOD_OVERRIDE=FQ","FILING_STATUS=MR","SCALING_FORMAT=MLN","Sort=A","Dates=H","DateFormat=P","Fill=—","Direction=H","UseDPDF=Y")</f>
        <v>0</v>
      </c>
      <c r="L47" s="12" cm="1">
        <f t="array" ref="L47">_xll.BDH("CAT US Equity","CF_DECR_CAP_STOCK","FQ4 2020","FQ4 2020","Currency=USD","Period=FQ","BEST_FPERIOD_OVERRIDE=FQ","FILING_STATUS=MR","SCALING_FORMAT=MLN","Sort=A","Dates=H","DateFormat=P","Fill=—","Direction=H","UseDPDF=Y")</f>
        <v>0</v>
      </c>
      <c r="M47" s="12" cm="1">
        <f t="array" ref="M47">_xll.BDH("CAT US Equity","CF_DECR_CAP_STOCK","FQ1 2021","FQ1 2021","Currency=USD","Period=FQ","BEST_FPERIOD_OVERRIDE=FQ","FILING_STATUS=MR","SCALING_FORMAT=MLN","Sort=A","Dates=H","DateFormat=P","Fill=—","Direction=H","UseDPDF=Y")</f>
        <v>0</v>
      </c>
      <c r="N47" s="12" cm="1">
        <f t="array" ref="N47">_xll.BDH("CAT US Equity","CF_DECR_CAP_STOCK","FQ2 2021","FQ2 2021","Currency=USD","Period=FQ","BEST_FPERIOD_OVERRIDE=FQ","FILING_STATUS=MR","SCALING_FORMAT=MLN","Sort=A","Dates=H","DateFormat=P","Fill=—","Direction=H","UseDPDF=Y")</f>
        <v>-251</v>
      </c>
      <c r="O47" s="12" cm="1">
        <f t="array" ref="O47">_xll.BDH("CAT US Equity","CF_DECR_CAP_STOCK","FQ3 2021","FQ3 2021","Currency=USD","Period=FQ","BEST_FPERIOD_OVERRIDE=FQ","FILING_STATUS=MR","SCALING_FORMAT=MLN","Sort=A","Dates=H","DateFormat=P","Fill=—","Direction=H","UseDPDF=Y")</f>
        <v>-1372</v>
      </c>
      <c r="P47" s="12" cm="1">
        <f t="array" ref="P47">_xll.BDH("CAT US Equity","CF_DECR_CAP_STOCK","FQ4 2021","FQ4 2021","Currency=USD","Period=FQ","BEST_FPERIOD_OVERRIDE=FQ","FILING_STATUS=MR","SCALING_FORMAT=MLN","Sort=A","Dates=H","DateFormat=P","Fill=—","Direction=H","UseDPDF=Y")</f>
        <v>-1045</v>
      </c>
      <c r="Q47" s="12" cm="1">
        <f t="array" ref="Q47">_xll.BDH("CAT US Equity","CF_DECR_CAP_STOCK","FQ1 2022","FQ1 2022","Currency=USD","Period=FQ","BEST_FPERIOD_OVERRIDE=FQ","FILING_STATUS=MR","SCALING_FORMAT=MLN","Sort=A","Dates=H","DateFormat=P","Fill=—","Direction=H","UseDPDF=Y")</f>
        <v>-848</v>
      </c>
      <c r="R47" s="12" cm="1">
        <f t="array" ref="R47">_xll.BDH("CAT US Equity","CF_DECR_CAP_STOCK","FQ2 2022","FQ2 2022","Currency=USD","Period=FQ","BEST_FPERIOD_OVERRIDE=FQ","FILING_STATUS=MR","SCALING_FORMAT=MLN","Sort=A","Dates=H","DateFormat=P","Fill=—","Direction=H","UseDPDF=Y")</f>
        <v>-1104</v>
      </c>
      <c r="S47" s="12" cm="1">
        <f t="array" ref="S47">_xll.BDH("CAT US Equity","CF_DECR_CAP_STOCK","FQ3 2022","FQ3 2022","Currency=USD","Period=FQ","BEST_FPERIOD_OVERRIDE=FQ","FILING_STATUS=MR","SCALING_FORMAT=MLN","Sort=A","Dates=H","DateFormat=P","Fill=—","Direction=H","UseDPDF=Y")</f>
        <v>-1387</v>
      </c>
      <c r="T47" s="12" cm="1">
        <f t="array" ref="T47">_xll.BDH("CAT US Equity","CF_DECR_CAP_STOCK","FQ4 2022","FQ4 2022","Currency=USD","Period=FQ","BEST_FPERIOD_OVERRIDE=FQ","FILING_STATUS=MR","SCALING_FORMAT=MLN","Sort=A","Dates=H","DateFormat=P","Fill=—","Direction=H","UseDPDF=Y")</f>
        <v>-919</v>
      </c>
      <c r="U47" s="12" cm="1">
        <f t="array" ref="U47">_xll.BDH("CAT US Equity","CF_DECR_CAP_STOCK","FQ1 2023","FQ1 2023","Currency=USD","Period=FQ","BEST_FPERIOD_OVERRIDE=FQ","FILING_STATUS=MR","SCALING_FORMAT=MLN","Sort=A","Dates=H","DateFormat=P","Fill=—","Direction=H","UseDPDF=Y")</f>
        <v>-400</v>
      </c>
      <c r="V47" s="12" cm="1">
        <f t="array" ref="V47">_xll.BDH("CAT US Equity","CF_DECR_CAP_STOCK","FQ2 2023","FQ2 2023","Currency=USD","Period=FQ","BEST_FPERIOD_OVERRIDE=FQ","FILING_STATUS=MR","SCALING_FORMAT=MLN","Sort=A","Dates=H","DateFormat=P","Fill=—","Direction=H","UseDPDF=Y")</f>
        <v>-1451</v>
      </c>
      <c r="W47" s="12" cm="1">
        <f t="array" ref="W47">_xll.BDH("CAT US Equity","CF_DECR_CAP_STOCK","FQ3 2023","FQ3 2023","Currency=USD","Period=FQ","BEST_FPERIOD_OVERRIDE=FQ","FILING_STATUS=MR","SCALING_FORMAT=MLN","Sort=A","Dates=H","DateFormat=P","Fill=—","Direction=H","UseDPDF=Y")</f>
        <v>-358</v>
      </c>
      <c r="X47" s="12" cm="1">
        <f t="array" ref="X47">_xll.BDH("CAT US Equity","CF_DECR_CAP_STOCK","FQ4 2023","FQ4 2023","Currency=USD","Period=FQ","BEST_FPERIOD_OVERRIDE=FQ","FILING_STATUS=MR","SCALING_FORMAT=MLN","Sort=A","Dates=H","DateFormat=P","Fill=—","Direction=H","UseDPDF=Y")</f>
        <v>-2787</v>
      </c>
      <c r="Y47" s="12" cm="1">
        <f t="array" ref="Y47">_xll.BDH("CAT US Equity","CF_DECR_CAP_STOCK","FQ1 2024","FQ1 2024","Currency=USD","Period=FQ","BEST_FPERIOD_OVERRIDE=FQ","FILING_STATUS=MR","SCALING_FORMAT=MLN","Sort=A","Dates=H","DateFormat=P","Fill=—","Direction=H","UseDPDF=Y")</f>
        <v>-4455</v>
      </c>
      <c r="Z47" s="12" cm="1">
        <f t="array" ref="Z47">_xll.BDH("CAT US Equity","CF_DECR_CAP_STOCK","FQ2 2024","FQ2 2024","Currency=USD","Period=FQ","BEST_FPERIOD_OVERRIDE=FQ","FILING_STATUS=MR","SCALING_FORMAT=MLN","Sort=A","Dates=H","DateFormat=P","Fill=—","Direction=H","UseDPDF=Y")</f>
        <v>-1812</v>
      </c>
      <c r="AA47" s="12" cm="1">
        <f t="array" ref="AA47">_xll.BDH("CAT US Equity","CF_DECR_CAP_STOCK","FQ3 2024","FQ3 2024","Currency=USD","Period=FQ","BEST_FPERIOD_OVERRIDE=FQ","FILING_STATUS=MR","SCALING_FORMAT=MLN","Sort=A","Dates=H","DateFormat=P","Fill=—","Direction=H","UseDPDF=Y")</f>
        <v>-790</v>
      </c>
      <c r="AB47" s="12" cm="1">
        <f t="array" ref="AB47">_xll.BDH("CAT US Equity","CF_DECR_CAP_STOCK","FQ4 2024","FQ4 2024","Currency=USD","Period=FQ","BEST_FPERIOD_OVERRIDE=FQ","FILING_STATUS=MR","SCALING_FORMAT=MLN","Sort=A","Dates=H","DateFormat=P","Fill=—","Direction=H","UseDPDF=Y")</f>
        <v>-680</v>
      </c>
      <c r="AC47" s="12" cm="1">
        <f t="array" ref="AC47">_xll.BDH("CAT US Equity","CF_DECR_CAP_STOCK","FQ1 2025","FQ1 2025","Currency=USD","Period=FQ","BEST_FPERIOD_OVERRIDE=FQ","FILING_STATUS=MR","SCALING_FORMAT=MLN","Sort=A","Dates=H","DateFormat=P","Fill=—","Direction=H","UseDPDF=Y")</f>
        <v>-3660</v>
      </c>
      <c r="AD47" s="12" cm="1">
        <f t="array" ref="AD47">_xll.BDH("CAT US Equity","CF_DECR_CAP_STOCK","FQ2 2025","FQ2 2025","Currency=USD","Period=FQ","BEST_FPERIOD_OVERRIDE=FQ","FILING_STATUS=MR","SCALING_FORMAT=MLN","Sort=A","Dates=H","DateFormat=P","Fill=—","Direction=H","UseDPDF=Y")</f>
        <v>-887</v>
      </c>
      <c r="AE47" s="12" cm="1">
        <f t="array" ref="AE47">_xll.BDH("CAT US Equity","CF_DECR_CAP_STOCK","FQ3 2025","FQ3 2025","Currency=USD","Period=FQ","BEST_FPERIOD_OVERRIDE=FQ","FILING_STATUS=MR","SCALING_FORMAT=MLN","Sort=A","Dates=H","DateFormat=P","Fill=—","Direction=H","UseDPDF=Y")</f>
        <v>-303</v>
      </c>
      <c r="AF47" s="12" cm="1">
        <f t="array" ref="AF47">_xll.BDH("CAT US Equity","CF_DECR_CAP_STOCK","FQ4 2025","FQ4 2025","Currency=USD","Period=FQ","BEST_FPERIOD_OVERRIDE=FQ","FILING_STATUS=MR","SCALING_FORMAT=MLN","Sort=A","Dates=H","DateFormat=P","Fill=—","Direction=H","UseDPDF=Y")</f>
        <v>-429</v>
      </c>
    </row>
    <row r="48" spans="1:32" x14ac:dyDescent="0.25">
      <c r="A48" s="10" t="s">
        <v>139</v>
      </c>
      <c r="B48" s="10" t="s">
        <v>140</v>
      </c>
      <c r="C48" s="12" cm="1">
        <f t="array" ref="C48">_xll.BDH("CAT US Equity","OTHER_FIN_AND_DEC_CAP","FQ3 2018","FQ3 2018","Currency=USD","Period=FQ","BEST_FPERIOD_OVERRIDE=FQ","FILING_STATUS=MR","SCALING_FORMAT=MLN","Sort=A","Dates=H","DateFormat=P","Fill=—","Direction=H","UseDPDF=Y")</f>
        <v>-28</v>
      </c>
      <c r="D48" s="12" cm="1">
        <f t="array" ref="D48">_xll.BDH("CAT US Equity","OTHER_FIN_AND_DEC_CAP","FQ4 2018","FQ4 2018","Currency=USD","Period=FQ","BEST_FPERIOD_OVERRIDE=FQ","FILING_STATUS=MR","SCALING_FORMAT=MLN","Sort=A","Dates=H","DateFormat=P","Fill=—","Direction=H","UseDPDF=Y")</f>
        <v>-22</v>
      </c>
      <c r="E48" s="12" cm="1">
        <f t="array" ref="E48">_xll.BDH("CAT US Equity","OTHER_FIN_AND_DEC_CAP","FQ1 2019","FQ1 2019","Currency=USD","Period=FQ","BEST_FPERIOD_OVERRIDE=FQ","FILING_STATUS=MR","SCALING_FORMAT=MLN","Sort=A","Dates=H","DateFormat=P","Fill=—","Direction=H","UseDPDF=Y")</f>
        <v>-1</v>
      </c>
      <c r="F48" s="12" cm="1">
        <f t="array" ref="F48">_xll.BDH("CAT US Equity","OTHER_FIN_AND_DEC_CAP","FQ2 2019","FQ2 2019","Currency=USD","Period=FQ","BEST_FPERIOD_OVERRIDE=FQ","FILING_STATUS=MR","SCALING_FORMAT=MLN","Sort=A","Dates=H","DateFormat=P","Fill=—","Direction=H","UseDPDF=Y")</f>
        <v>-1</v>
      </c>
      <c r="G48" s="12" cm="1">
        <f t="array" ref="G48">_xll.BDH("CAT US Equity","OTHER_FIN_AND_DEC_CAP","FQ3 2019","FQ3 2019","Currency=USD","Period=FQ","BEST_FPERIOD_OVERRIDE=FQ","FILING_STATUS=MR","SCALING_FORMAT=MLN","Sort=A","Dates=H","DateFormat=P","Fill=—","Direction=H","UseDPDF=Y")</f>
        <v>0</v>
      </c>
      <c r="H48" s="12" cm="1">
        <f t="array" ref="H48">_xll.BDH("CAT US Equity","OTHER_FIN_AND_DEC_CAP","FQ4 2019","FQ4 2019","Currency=USD","Period=FQ","BEST_FPERIOD_OVERRIDE=FQ","FILING_STATUS=MR","SCALING_FORMAT=MLN","Sort=A","Dates=H","DateFormat=P","Fill=—","Direction=H","UseDPDF=Y")</f>
        <v>-1</v>
      </c>
      <c r="I48" s="12" cm="1">
        <f t="array" ref="I48">_xll.BDH("CAT US Equity","OTHER_FIN_AND_DEC_CAP","FQ1 2020","FQ1 2020","Currency=USD","Period=FQ","BEST_FPERIOD_OVERRIDE=FQ","FILING_STATUS=MR","SCALING_FORMAT=MLN","Sort=A","Dates=H","DateFormat=P","Fill=—","Direction=H","UseDPDF=Y")</f>
        <v>-24</v>
      </c>
      <c r="J48" s="12" cm="1">
        <f t="array" ref="J48">_xll.BDH("CAT US Equity","OTHER_FIN_AND_DEC_CAP","FQ2 2020","FQ2 2020","Currency=USD","Period=FQ","BEST_FPERIOD_OVERRIDE=FQ","FILING_STATUS=MR","SCALING_FORMAT=MLN","Sort=A","Dates=H","DateFormat=P","Fill=—","Direction=H","UseDPDF=Y")</f>
        <v>23</v>
      </c>
      <c r="K48" s="12" cm="1">
        <f t="array" ref="K48">_xll.BDH("CAT US Equity","OTHER_FIN_AND_DEC_CAP","FQ3 2020","FQ3 2020","Currency=USD","Period=FQ","BEST_FPERIOD_OVERRIDE=FQ","FILING_STATUS=MR","SCALING_FORMAT=MLN","Sort=A","Dates=H","DateFormat=P","Fill=—","Direction=H","UseDPDF=Y")</f>
        <v>0</v>
      </c>
      <c r="L48" s="12" cm="1">
        <f t="array" ref="L48">_xll.BDH("CAT US Equity","OTHER_FIN_AND_DEC_CAP","FQ4 2020","FQ4 2020","Currency=USD","Period=FQ","BEST_FPERIOD_OVERRIDE=FQ","FILING_STATUS=MR","SCALING_FORMAT=MLN","Sort=A","Dates=H","DateFormat=P","Fill=—","Direction=H","UseDPDF=Y")</f>
        <v>0</v>
      </c>
      <c r="M48" s="12" cm="1">
        <f t="array" ref="M48">_xll.BDH("CAT US Equity","OTHER_FIN_AND_DEC_CAP","FQ1 2021","FQ1 2021","Currency=USD","Period=FQ","BEST_FPERIOD_OVERRIDE=FQ","FILING_STATUS=MR","SCALING_FORMAT=MLN","Sort=A","Dates=H","DateFormat=P","Fill=—","Direction=H","UseDPDF=Y")</f>
        <v>-2</v>
      </c>
      <c r="N48" s="12" cm="1">
        <f t="array" ref="N48">_xll.BDH("CAT US Equity","OTHER_FIN_AND_DEC_CAP","FQ2 2021","FQ2 2021","Currency=USD","Period=FQ","BEST_FPERIOD_OVERRIDE=FQ","FILING_STATUS=MR","SCALING_FORMAT=MLN","Sort=A","Dates=H","DateFormat=P","Fill=—","Direction=H","UseDPDF=Y")</f>
        <v>0</v>
      </c>
      <c r="O48" s="12" cm="1">
        <f t="array" ref="O48">_xll.BDH("CAT US Equity","OTHER_FIN_AND_DEC_CAP","FQ3 2021","FQ3 2021","Currency=USD","Period=FQ","BEST_FPERIOD_OVERRIDE=FQ","FILING_STATUS=MR","SCALING_FORMAT=MLN","Sort=A","Dates=H","DateFormat=P","Fill=—","Direction=H","UseDPDF=Y")</f>
        <v>-2</v>
      </c>
      <c r="P48" s="12" cm="1">
        <f t="array" ref="P48">_xll.BDH("CAT US Equity","OTHER_FIN_AND_DEC_CAP","FQ4 2021","FQ4 2021","Currency=USD","Period=FQ","BEST_FPERIOD_OVERRIDE=FQ","FILING_STATUS=MR","SCALING_FORMAT=MLN","Sort=A","Dates=H","DateFormat=P","Fill=—","Direction=H","UseDPDF=Y")</f>
        <v>0</v>
      </c>
      <c r="Q48" s="12" cm="1">
        <f t="array" ref="Q48">_xll.BDH("CAT US Equity","OTHER_FIN_AND_DEC_CAP","FQ1 2022","FQ1 2022","Currency=USD","Period=FQ","BEST_FPERIOD_OVERRIDE=FQ","FILING_STATUS=MR","SCALING_FORMAT=MLN","Sort=A","Dates=H","DateFormat=P","Fill=—","Direction=H","UseDPDF=Y")</f>
        <v>0</v>
      </c>
      <c r="R48" s="12" cm="1">
        <f t="array" ref="R48">_xll.BDH("CAT US Equity","OTHER_FIN_AND_DEC_CAP","FQ2 2022","FQ2 2022","Currency=USD","Period=FQ","BEST_FPERIOD_OVERRIDE=FQ","FILING_STATUS=MR","SCALING_FORMAT=MLN","Sort=A","Dates=H","DateFormat=P","Fill=—","Direction=H","UseDPDF=Y")</f>
        <v>28</v>
      </c>
      <c r="S48" s="12" cm="1">
        <f t="array" ref="S48">_xll.BDH("CAT US Equity","OTHER_FIN_AND_DEC_CAP","FQ3 2022","FQ3 2022","Currency=USD","Period=FQ","BEST_FPERIOD_OVERRIDE=FQ","FILING_STATUS=MR","SCALING_FORMAT=MLN","Sort=A","Dates=H","DateFormat=P","Fill=—","Direction=H","UseDPDF=Y")</f>
        <v>-1</v>
      </c>
      <c r="T48" s="12" cm="1">
        <f t="array" ref="T48">_xll.BDH("CAT US Equity","OTHER_FIN_AND_DEC_CAP","FQ4 2022","FQ4 2022","Currency=USD","Period=FQ","BEST_FPERIOD_OVERRIDE=FQ","FILING_STATUS=MR","SCALING_FORMAT=MLN","Sort=A","Dates=H","DateFormat=P","Fill=—","Direction=H","UseDPDF=Y")</f>
        <v>-9</v>
      </c>
      <c r="U48" s="12" cm="1">
        <f t="array" ref="U48">_xll.BDH("CAT US Equity","OTHER_FIN_AND_DEC_CAP","FQ1 2023","FQ1 2023","Currency=USD","Period=FQ","BEST_FPERIOD_OVERRIDE=FQ","FILING_STATUS=MR","SCALING_FORMAT=MLN","Sort=A","Dates=H","DateFormat=P","Fill=—","Direction=H","UseDPDF=Y")</f>
        <v>-25</v>
      </c>
      <c r="V48" s="12" cm="1">
        <f t="array" ref="V48">_xll.BDH("CAT US Equity","OTHER_FIN_AND_DEC_CAP","FQ2 2023","FQ2 2023","Currency=USD","Period=FQ","BEST_FPERIOD_OVERRIDE=FQ","FILING_STATUS=MR","SCALING_FORMAT=MLN","Sort=A","Dates=H","DateFormat=P","Fill=—","Direction=H","UseDPDF=Y")</f>
        <v>25</v>
      </c>
      <c r="W48" s="12" cm="1">
        <f t="array" ref="W48">_xll.BDH("CAT US Equity","OTHER_FIN_AND_DEC_CAP","FQ3 2023","FQ3 2023","Currency=USD","Period=FQ","BEST_FPERIOD_OVERRIDE=FQ","FILING_STATUS=MR","SCALING_FORMAT=MLN","Sort=A","Dates=H","DateFormat=P","Fill=—","Direction=H","UseDPDF=Y")</f>
        <v>0</v>
      </c>
      <c r="X48" s="12" cm="1">
        <f t="array" ref="X48">_xll.BDH("CAT US Equity","OTHER_FIN_AND_DEC_CAP","FQ4 2023","FQ4 2023","Currency=USD","Period=FQ","BEST_FPERIOD_OVERRIDE=FQ","FILING_STATUS=MR","SCALING_FORMAT=MLN","Sort=A","Dates=H","DateFormat=P","Fill=—","Direction=H","UseDPDF=Y")</f>
        <v>0</v>
      </c>
      <c r="Y48" s="12" cm="1">
        <f t="array" ref="Y48">_xll.BDH("CAT US Equity","OTHER_FIN_AND_DEC_CAP","FQ1 2024","FQ1 2024","Currency=USD","Period=FQ","BEST_FPERIOD_OVERRIDE=FQ","FILING_STATUS=MR","SCALING_FORMAT=MLN","Sort=A","Dates=H","DateFormat=P","Fill=—","Direction=H","UseDPDF=Y")</f>
        <v>-8</v>
      </c>
      <c r="Z48" s="12" cm="1">
        <f t="array" ref="Z48">_xll.BDH("CAT US Equity","OTHER_FIN_AND_DEC_CAP","FQ2 2024","FQ2 2024","Currency=USD","Period=FQ","BEST_FPERIOD_OVERRIDE=FQ","FILING_STATUS=MR","SCALING_FORMAT=MLN","Sort=A","Dates=H","DateFormat=P","Fill=—","Direction=H","UseDPDF=Y")</f>
        <v>8</v>
      </c>
      <c r="AA48" s="12" cm="1">
        <f t="array" ref="AA48">_xll.BDH("CAT US Equity","OTHER_FIN_AND_DEC_CAP","FQ3 2024","FQ3 2024","Currency=USD","Period=FQ","BEST_FPERIOD_OVERRIDE=FQ","FILING_STATUS=MR","SCALING_FORMAT=MLN","Sort=A","Dates=H","DateFormat=P","Fill=—","Direction=H","UseDPDF=Y")</f>
        <v>0</v>
      </c>
      <c r="AB48" s="12" cm="1">
        <f t="array" ref="AB48">_xll.BDH("CAT US Equity","OTHER_FIN_AND_DEC_CAP","FQ4 2024","FQ4 2024","Currency=USD","Period=FQ","BEST_FPERIOD_OVERRIDE=FQ","FILING_STATUS=MR","SCALING_FORMAT=MLN","Sort=A","Dates=H","DateFormat=P","Fill=—","Direction=H","UseDPDF=Y")</f>
        <v>-1</v>
      </c>
      <c r="AC48" s="12" cm="1">
        <f t="array" ref="AC48">_xll.BDH("CAT US Equity","OTHER_FIN_AND_DEC_CAP","FQ1 2025","FQ1 2025","Currency=USD","Period=FQ","BEST_FPERIOD_OVERRIDE=FQ","FILING_STATUS=MR","SCALING_FORMAT=MLN","Sort=A","Dates=H","DateFormat=P","Fill=—","Direction=H","UseDPDF=Y")</f>
        <v>-64</v>
      </c>
      <c r="AD48" s="12" cm="1">
        <f t="array" ref="AD48">_xll.BDH("CAT US Equity","OTHER_FIN_AND_DEC_CAP","FQ2 2025","FQ2 2025","Currency=USD","Period=FQ","BEST_FPERIOD_OVERRIDE=FQ","FILING_STATUS=MR","SCALING_FORMAT=MLN","Sort=A","Dates=H","DateFormat=P","Fill=—","Direction=H","UseDPDF=Y")</f>
        <v>-9</v>
      </c>
      <c r="AE48" s="12" cm="1">
        <f t="array" ref="AE48">_xll.BDH("CAT US Equity","OTHER_FIN_AND_DEC_CAP","FQ3 2025","FQ3 2025","Currency=USD","Period=FQ","BEST_FPERIOD_OVERRIDE=FQ","FILING_STATUS=MR","SCALING_FORMAT=MLN","Sort=A","Dates=H","DateFormat=P","Fill=—","Direction=H","UseDPDF=Y")</f>
        <v>-39</v>
      </c>
      <c r="AF48" s="12" cm="1">
        <f t="array" ref="AF48">_xll.BDH("CAT US Equity","OTHER_FIN_AND_DEC_CAP","FQ4 2025","FQ4 2025","Currency=USD","Period=FQ","BEST_FPERIOD_OVERRIDE=FQ","FILING_STATUS=MR","SCALING_FORMAT=MLN","Sort=A","Dates=H","DateFormat=P","Fill=—","Direction=H","UseDPDF=Y")</f>
        <v>111</v>
      </c>
    </row>
    <row r="49" spans="1:32" x14ac:dyDescent="0.25">
      <c r="A49" s="10" t="s">
        <v>86</v>
      </c>
      <c r="B49" s="10" t="s">
        <v>141</v>
      </c>
      <c r="C49" s="12" cm="1">
        <f t="array" ref="C49">_xll.BDH("CAT US Equity","CF_NET_CASH_DISCONTINUED_OPS_FIN","FQ3 2018","FQ3 2018","Currency=USD","Period=FQ","BEST_FPERIOD_OVERRIDE=FQ","FILING_STATUS=MR","SCALING_FORMAT=MLN","Sort=A","Dates=H","DateFormat=P","Fill=—","Direction=H","UseDPDF=Y")</f>
        <v>0</v>
      </c>
      <c r="D49" s="12" cm="1">
        <f t="array" ref="D49">_xll.BDH("CAT US Equity","CF_NET_CASH_DISCONTINUED_OPS_FIN","FQ4 2018","FQ4 2018","Currency=USD","Period=FQ","BEST_FPERIOD_OVERRIDE=FQ","FILING_STATUS=MR","SCALING_FORMAT=MLN","Sort=A","Dates=H","DateFormat=P","Fill=—","Direction=H","UseDPDF=Y")</f>
        <v>0</v>
      </c>
      <c r="E49" s="12" cm="1">
        <f t="array" ref="E49">_xll.BDH("CAT US Equity","CF_NET_CASH_DISCONTINUED_OPS_FIN","FQ1 2019","FQ1 2019","Currency=USD","Period=FQ","BEST_FPERIOD_OVERRIDE=FQ","FILING_STATUS=MR","SCALING_FORMAT=MLN","Sort=A","Dates=H","DateFormat=P","Fill=—","Direction=H","UseDPDF=Y")</f>
        <v>0</v>
      </c>
      <c r="F49" s="12" cm="1">
        <f t="array" ref="F49">_xll.BDH("CAT US Equity","CF_NET_CASH_DISCONTINUED_OPS_FIN","FQ2 2019","FQ2 2019","Currency=USD","Period=FQ","BEST_FPERIOD_OVERRIDE=FQ","FILING_STATUS=MR","SCALING_FORMAT=MLN","Sort=A","Dates=H","DateFormat=P","Fill=—","Direction=H","UseDPDF=Y")</f>
        <v>0</v>
      </c>
      <c r="G49" s="12" cm="1">
        <f t="array" ref="G49">_xll.BDH("CAT US Equity","CF_NET_CASH_DISCONTINUED_OPS_FIN","FQ3 2019","FQ3 2019","Currency=USD","Period=FQ","BEST_FPERIOD_OVERRIDE=FQ","FILING_STATUS=MR","SCALING_FORMAT=MLN","Sort=A","Dates=H","DateFormat=P","Fill=—","Direction=H","UseDPDF=Y")</f>
        <v>0</v>
      </c>
      <c r="H49" s="12" cm="1">
        <f t="array" ref="H49">_xll.BDH("CAT US Equity","CF_NET_CASH_DISCONTINUED_OPS_FIN","FQ4 2019","FQ4 2019","Currency=USD","Period=FQ","BEST_FPERIOD_OVERRIDE=FQ","FILING_STATUS=MR","SCALING_FORMAT=MLN","Sort=A","Dates=H","DateFormat=P","Fill=—","Direction=H","UseDPDF=Y")</f>
        <v>0</v>
      </c>
      <c r="I49" s="12" cm="1">
        <f t="array" ref="I49">_xll.BDH("CAT US Equity","CF_NET_CASH_DISCONTINUED_OPS_FIN","FQ1 2020","FQ1 2020","Currency=USD","Period=FQ","BEST_FPERIOD_OVERRIDE=FQ","FILING_STATUS=MR","SCALING_FORMAT=MLN","Sort=A","Dates=H","DateFormat=P","Fill=—","Direction=H","UseDPDF=Y")</f>
        <v>0</v>
      </c>
      <c r="J49" s="12" cm="1">
        <f t="array" ref="J49">_xll.BDH("CAT US Equity","CF_NET_CASH_DISCONTINUED_OPS_FIN","FQ2 2020","FQ2 2020","Currency=USD","Period=FQ","BEST_FPERIOD_OVERRIDE=FQ","FILING_STATUS=MR","SCALING_FORMAT=MLN","Sort=A","Dates=H","DateFormat=P","Fill=—","Direction=H","UseDPDF=Y")</f>
        <v>0</v>
      </c>
      <c r="K49" s="12" cm="1">
        <f t="array" ref="K49">_xll.BDH("CAT US Equity","CF_NET_CASH_DISCONTINUED_OPS_FIN","FQ3 2020","FQ3 2020","Currency=USD","Period=FQ","BEST_FPERIOD_OVERRIDE=FQ","FILING_STATUS=MR","SCALING_FORMAT=MLN","Sort=A","Dates=H","DateFormat=P","Fill=—","Direction=H","UseDPDF=Y")</f>
        <v>0</v>
      </c>
      <c r="L49" s="12" cm="1">
        <f t="array" ref="L49">_xll.BDH("CAT US Equity","CF_NET_CASH_DISCONTINUED_OPS_FIN","FQ4 2020","FQ4 2020","Currency=USD","Period=FQ","BEST_FPERIOD_OVERRIDE=FQ","FILING_STATUS=MR","SCALING_FORMAT=MLN","Sort=A","Dates=H","DateFormat=P","Fill=—","Direction=H","UseDPDF=Y")</f>
        <v>0</v>
      </c>
      <c r="M49" s="12" cm="1">
        <f t="array" ref="M49">_xll.BDH("CAT US Equity","CF_NET_CASH_DISCONTINUED_OPS_FIN","FQ1 2021","FQ1 2021","Currency=USD","Period=FQ","BEST_FPERIOD_OVERRIDE=FQ","FILING_STATUS=MR","SCALING_FORMAT=MLN","Sort=A","Dates=H","DateFormat=P","Fill=—","Direction=H","UseDPDF=Y")</f>
        <v>0</v>
      </c>
      <c r="N49" s="12" cm="1">
        <f t="array" ref="N49">_xll.BDH("CAT US Equity","CF_NET_CASH_DISCONTINUED_OPS_FIN","FQ2 2021","FQ2 2021","Currency=USD","Period=FQ","BEST_FPERIOD_OVERRIDE=FQ","FILING_STATUS=MR","SCALING_FORMAT=MLN","Sort=A","Dates=H","DateFormat=P","Fill=—","Direction=H","UseDPDF=Y")</f>
        <v>0</v>
      </c>
      <c r="O49" s="12" cm="1">
        <f t="array" ref="O49">_xll.BDH("CAT US Equity","CF_NET_CASH_DISCONTINUED_OPS_FIN","FQ3 2021","FQ3 2021","Currency=USD","Period=FQ","BEST_FPERIOD_OVERRIDE=FQ","FILING_STATUS=MR","SCALING_FORMAT=MLN","Sort=A","Dates=H","DateFormat=P","Fill=—","Direction=H","UseDPDF=Y")</f>
        <v>0</v>
      </c>
      <c r="P49" s="12" cm="1">
        <f t="array" ref="P49">_xll.BDH("CAT US Equity","CF_NET_CASH_DISCONTINUED_OPS_FIN","FQ4 2021","FQ4 2021","Currency=USD","Period=FQ","BEST_FPERIOD_OVERRIDE=FQ","FILING_STATUS=MR","SCALING_FORMAT=MLN","Sort=A","Dates=H","DateFormat=P","Fill=—","Direction=H","UseDPDF=Y")</f>
        <v>0</v>
      </c>
      <c r="Q49" s="12" cm="1">
        <f t="array" ref="Q49">_xll.BDH("CAT US Equity","CF_NET_CASH_DISCONTINUED_OPS_FIN","FQ1 2022","FQ1 2022","Currency=USD","Period=FQ","BEST_FPERIOD_OVERRIDE=FQ","FILING_STATUS=MR","SCALING_FORMAT=MLN","Sort=A","Dates=H","DateFormat=P","Fill=—","Direction=H","UseDPDF=Y")</f>
        <v>0</v>
      </c>
      <c r="R49" s="12" cm="1">
        <f t="array" ref="R49">_xll.BDH("CAT US Equity","CF_NET_CASH_DISCONTINUED_OPS_FIN","FQ2 2022","FQ2 2022","Currency=USD","Period=FQ","BEST_FPERIOD_OVERRIDE=FQ","FILING_STATUS=MR","SCALING_FORMAT=MLN","Sort=A","Dates=H","DateFormat=P","Fill=—","Direction=H","UseDPDF=Y")</f>
        <v>0</v>
      </c>
      <c r="S49" s="12" cm="1">
        <f t="array" ref="S49">_xll.BDH("CAT US Equity","CF_NET_CASH_DISCONTINUED_OPS_FIN","FQ3 2022","FQ3 2022","Currency=USD","Period=FQ","BEST_FPERIOD_OVERRIDE=FQ","FILING_STATUS=MR","SCALING_FORMAT=MLN","Sort=A","Dates=H","DateFormat=P","Fill=—","Direction=H","UseDPDF=Y")</f>
        <v>0</v>
      </c>
      <c r="T49" s="12" cm="1">
        <f t="array" ref="T49">_xll.BDH("CAT US Equity","CF_NET_CASH_DISCONTINUED_OPS_FIN","FQ4 2022","FQ4 2022","Currency=USD","Period=FQ","BEST_FPERIOD_OVERRIDE=FQ","FILING_STATUS=MR","SCALING_FORMAT=MLN","Sort=A","Dates=H","DateFormat=P","Fill=—","Direction=H","UseDPDF=Y")</f>
        <v>0</v>
      </c>
      <c r="U49" s="12" cm="1">
        <f t="array" ref="U49">_xll.BDH("CAT US Equity","CF_NET_CASH_DISCONTINUED_OPS_FIN","FQ1 2023","FQ1 2023","Currency=USD","Period=FQ","BEST_FPERIOD_OVERRIDE=FQ","FILING_STATUS=MR","SCALING_FORMAT=MLN","Sort=A","Dates=H","DateFormat=P","Fill=—","Direction=H","UseDPDF=Y")</f>
        <v>0</v>
      </c>
      <c r="V49" s="12" cm="1">
        <f t="array" ref="V49">_xll.BDH("CAT US Equity","CF_NET_CASH_DISCONTINUED_OPS_FIN","FQ2 2023","FQ2 2023","Currency=USD","Period=FQ","BEST_FPERIOD_OVERRIDE=FQ","FILING_STATUS=MR","SCALING_FORMAT=MLN","Sort=A","Dates=H","DateFormat=P","Fill=—","Direction=H","UseDPDF=Y")</f>
        <v>0</v>
      </c>
      <c r="W49" s="12" cm="1">
        <f t="array" ref="W49">_xll.BDH("CAT US Equity","CF_NET_CASH_DISCONTINUED_OPS_FIN","FQ3 2023","FQ3 2023","Currency=USD","Period=FQ","BEST_FPERIOD_OVERRIDE=FQ","FILING_STATUS=MR","SCALING_FORMAT=MLN","Sort=A","Dates=H","DateFormat=P","Fill=—","Direction=H","UseDPDF=Y")</f>
        <v>0</v>
      </c>
      <c r="X49" s="12" cm="1">
        <f t="array" ref="X49">_xll.BDH("CAT US Equity","CF_NET_CASH_DISCONTINUED_OPS_FIN","FQ4 2023","FQ4 2023","Currency=USD","Period=FQ","BEST_FPERIOD_OVERRIDE=FQ","FILING_STATUS=MR","SCALING_FORMAT=MLN","Sort=A","Dates=H","DateFormat=P","Fill=—","Direction=H","UseDPDF=Y")</f>
        <v>-3</v>
      </c>
      <c r="Y49" s="12" cm="1">
        <f t="array" ref="Y49">_xll.BDH("CAT US Equity","CF_NET_CASH_DISCONTINUED_OPS_FIN","FQ1 2024","FQ1 2024","Currency=USD","Period=FQ","BEST_FPERIOD_OVERRIDE=FQ","FILING_STATUS=MR","SCALING_FORMAT=MLN","Sort=A","Dates=H","DateFormat=P","Fill=—","Direction=H","UseDPDF=Y")</f>
        <v>0</v>
      </c>
      <c r="Z49" s="12" cm="1">
        <f t="array" ref="Z49">_xll.BDH("CAT US Equity","CF_NET_CASH_DISCONTINUED_OPS_FIN","FQ2 2024","FQ2 2024","Currency=USD","Period=FQ","BEST_FPERIOD_OVERRIDE=FQ","FILING_STATUS=MR","SCALING_FORMAT=MLN","Sort=A","Dates=H","DateFormat=P","Fill=—","Direction=H","UseDPDF=Y")</f>
        <v>0</v>
      </c>
      <c r="AA49" s="12" cm="1">
        <f t="array" ref="AA49">_xll.BDH("CAT US Equity","CF_NET_CASH_DISCONTINUED_OPS_FIN","FQ3 2024","FQ3 2024","Currency=USD","Period=FQ","BEST_FPERIOD_OVERRIDE=FQ","FILING_STATUS=MR","SCALING_FORMAT=MLN","Sort=A","Dates=H","DateFormat=P","Fill=—","Direction=H","UseDPDF=Y")</f>
        <v>0</v>
      </c>
      <c r="AB49" s="12" cm="1">
        <f t="array" ref="AB49">_xll.BDH("CAT US Equity","CF_NET_CASH_DISCONTINUED_OPS_FIN","FQ4 2024","FQ4 2024","Currency=USD","Period=FQ","BEST_FPERIOD_OVERRIDE=FQ","FILING_STATUS=MR","SCALING_FORMAT=MLN","Sort=A","Dates=H","DateFormat=P","Fill=—","Direction=H","UseDPDF=Y")</f>
        <v>0</v>
      </c>
      <c r="AC49" s="12" cm="1">
        <f t="array" ref="AC49">_xll.BDH("CAT US Equity","CF_NET_CASH_DISCONTINUED_OPS_FIN","FQ1 2025","FQ1 2025","Currency=USD","Period=FQ","BEST_FPERIOD_OVERRIDE=FQ","FILING_STATUS=MR","SCALING_FORMAT=MLN","Sort=A","Dates=H","DateFormat=P","Fill=—","Direction=H","UseDPDF=Y")</f>
        <v>0</v>
      </c>
      <c r="AD49" s="12" cm="1">
        <f t="array" ref="AD49">_xll.BDH("CAT US Equity","CF_NET_CASH_DISCONTINUED_OPS_FIN","FQ2 2025","FQ2 2025","Currency=USD","Period=FQ","BEST_FPERIOD_OVERRIDE=FQ","FILING_STATUS=MR","SCALING_FORMAT=MLN","Sort=A","Dates=H","DateFormat=P","Fill=—","Direction=H","UseDPDF=Y")</f>
        <v>0</v>
      </c>
      <c r="AE49" s="12" cm="1">
        <f t="array" ref="AE49">_xll.BDH("CAT US Equity","CF_NET_CASH_DISCONTINUED_OPS_FIN","FQ3 2025","FQ3 2025","Currency=USD","Period=FQ","BEST_FPERIOD_OVERRIDE=FQ","FILING_STATUS=MR","SCALING_FORMAT=MLN","Sort=A","Dates=H","DateFormat=P","Fill=—","Direction=H","UseDPDF=Y")</f>
        <v>0</v>
      </c>
      <c r="AF49" s="12" cm="1">
        <f t="array" ref="AF49">_xll.BDH("CAT US Equity","CF_NET_CASH_DISCONTINUED_OPS_FIN","FQ4 2025","FQ4 2025","Currency=USD","Period=FQ","BEST_FPERIOD_OVERRIDE=FQ","FILING_STATUS=MR","SCALING_FORMAT=MLN","Sort=A","Dates=H","DateFormat=P","Fill=—","Direction=H","UseDPDF=Y")</f>
        <v>0</v>
      </c>
    </row>
    <row r="50" spans="1:32" x14ac:dyDescent="0.25">
      <c r="A50" s="6" t="s">
        <v>122</v>
      </c>
      <c r="B50" s="6" t="s">
        <v>142</v>
      </c>
      <c r="C50" s="15" cm="1">
        <f t="array" ref="C50">_xll.BDH("CAT US Equity","CFF_ACTIVITIES_DETAILED","FQ3 2018","FQ3 2018","Currency=USD","Period=FQ","BEST_FPERIOD_OVERRIDE=FQ","FILING_STATUS=MR","SCALING_FORMAT=MLN","Sort=A","Dates=H","DateFormat=P","Fill=—","Direction=H","UseDPDF=Y")</f>
        <v>-1645</v>
      </c>
      <c r="D50" s="15" cm="1">
        <f t="array" ref="D50">_xll.BDH("CAT US Equity","CFF_ACTIVITIES_DETAILED","FQ4 2018","FQ4 2018","Currency=USD","Period=FQ","BEST_FPERIOD_OVERRIDE=FQ","FILING_STATUS=MR","SCALING_FORMAT=MLN","Sort=A","Dates=H","DateFormat=P","Fill=—","Direction=H","UseDPDF=Y")</f>
        <v>-1432</v>
      </c>
      <c r="E50" s="15" cm="1">
        <f t="array" ref="E50">_xll.BDH("CAT US Equity","CFF_ACTIVITIES_DETAILED","FQ1 2019","FQ1 2019","Currency=USD","Period=FQ","BEST_FPERIOD_OVERRIDE=FQ","FILING_STATUS=MR","SCALING_FORMAT=MLN","Sort=A","Dates=H","DateFormat=P","Fill=—","Direction=H","UseDPDF=Y")</f>
        <v>-1675</v>
      </c>
      <c r="F50" s="15" cm="1">
        <f t="array" ref="F50">_xll.BDH("CAT US Equity","CFF_ACTIVITIES_DETAILED","FQ2 2019","FQ2 2019","Currency=USD","Period=FQ","BEST_FPERIOD_OVERRIDE=FQ","FILING_STATUS=MR","SCALING_FORMAT=MLN","Sort=A","Dates=H","DateFormat=P","Fill=—","Direction=H","UseDPDF=Y")</f>
        <v>-1376</v>
      </c>
      <c r="G50" s="15" cm="1">
        <f t="array" ref="G50">_xll.BDH("CAT US Equity","CFF_ACTIVITIES_DETAILED","FQ3 2019","FQ3 2019","Currency=USD","Period=FQ","BEST_FPERIOD_OVERRIDE=FQ","FILING_STATUS=MR","SCALING_FORMAT=MLN","Sort=A","Dates=H","DateFormat=P","Fill=—","Direction=H","UseDPDF=Y")</f>
        <v>20</v>
      </c>
      <c r="H50" s="15" cm="1">
        <f t="array" ref="H50">_xll.BDH("CAT US Equity","CFF_ACTIVITIES_DETAILED","FQ4 2019","FQ4 2019","Currency=USD","Period=FQ","BEST_FPERIOD_OVERRIDE=FQ","FILING_STATUS=MR","SCALING_FORMAT=MLN","Sort=A","Dates=H","DateFormat=P","Fill=—","Direction=H","UseDPDF=Y")</f>
        <v>-1507</v>
      </c>
      <c r="I50" s="15" cm="1">
        <f t="array" ref="I50">_xll.BDH("CAT US Equity","CFF_ACTIVITIES_DETAILED","FQ1 2020","FQ1 2020","Currency=USD","Period=FQ","BEST_FPERIOD_OVERRIDE=FQ","FILING_STATUS=MR","SCALING_FORMAT=MLN","Sort=A","Dates=H","DateFormat=P","Fill=—","Direction=H","UseDPDF=Y")</f>
        <v>-1999</v>
      </c>
      <c r="J50" s="15" cm="1">
        <f t="array" ref="J50">_xll.BDH("CAT US Equity","CFF_ACTIVITIES_DETAILED","FQ2 2020","FQ2 2020","Currency=USD","Period=FQ","BEST_FPERIOD_OVERRIDE=FQ","FILING_STATUS=MR","SCALING_FORMAT=MLN","Sort=A","Dates=H","DateFormat=P","Fill=—","Direction=H","UseDPDF=Y")</f>
        <v>786</v>
      </c>
      <c r="K50" s="15" cm="1">
        <f t="array" ref="K50">_xll.BDH("CAT US Equity","CFF_ACTIVITIES_DETAILED","FQ3 2020","FQ3 2020","Currency=USD","Period=FQ","BEST_FPERIOD_OVERRIDE=FQ","FILING_STATUS=MR","SCALING_FORMAT=MLN","Sort=A","Dates=H","DateFormat=P","Fill=—","Direction=H","UseDPDF=Y")</f>
        <v>-1000</v>
      </c>
      <c r="L50" s="15" cm="1">
        <f t="array" ref="L50">_xll.BDH("CAT US Equity","CFF_ACTIVITIES_DETAILED","FQ4 2020","FQ4 2020","Currency=USD","Period=FQ","BEST_FPERIOD_OVERRIDE=FQ","FILING_STATUS=MR","SCALING_FORMAT=MLN","Sort=A","Dates=H","DateFormat=P","Fill=—","Direction=H","UseDPDF=Y")</f>
        <v>-1542</v>
      </c>
      <c r="M50" s="15" cm="1">
        <f t="array" ref="M50">_xll.BDH("CAT US Equity","CFF_ACTIVITIES_DETAILED","FQ1 2021","FQ1 2021","Currency=USD","Period=FQ","BEST_FPERIOD_OVERRIDE=FQ","FILING_STATUS=MR","SCALING_FORMAT=MLN","Sort=A","Dates=H","DateFormat=P","Fill=—","Direction=H","UseDPDF=Y")</f>
        <v>546</v>
      </c>
      <c r="N50" s="15" cm="1">
        <f t="array" ref="N50">_xll.BDH("CAT US Equity","CFF_ACTIVITIES_DETAILED","FQ2 2021","FQ2 2021","Currency=USD","Period=FQ","BEST_FPERIOD_OVERRIDE=FQ","FILING_STATUS=MR","SCALING_FORMAT=MLN","Sort=A","Dates=H","DateFormat=P","Fill=—","Direction=H","UseDPDF=Y")</f>
        <v>-1402</v>
      </c>
      <c r="O50" s="15" cm="1">
        <f t="array" ref="O50">_xll.BDH("CAT US Equity","CFF_ACTIVITIES_DETAILED","FQ3 2021","FQ3 2021","Currency=USD","Period=FQ","BEST_FPERIOD_OVERRIDE=FQ","FILING_STATUS=MR","SCALING_FORMAT=MLN","Sort=A","Dates=H","DateFormat=P","Fill=—","Direction=H","UseDPDF=Y")</f>
        <v>-2746</v>
      </c>
      <c r="P50" s="15" cm="1">
        <f t="array" ref="P50">_xll.BDH("CAT US Equity","CFF_ACTIVITIES_DETAILED","FQ4 2021","FQ4 2021","Currency=USD","Period=FQ","BEST_FPERIOD_OVERRIDE=FQ","FILING_STATUS=MR","SCALING_FORMAT=MLN","Sort=A","Dates=H","DateFormat=P","Fill=—","Direction=H","UseDPDF=Y")</f>
        <v>-586</v>
      </c>
      <c r="Q50" s="15" cm="1">
        <f t="array" ref="Q50">_xll.BDH("CAT US Equity","CFF_ACTIVITIES_DETAILED","FQ1 2022","FQ1 2022","Currency=USD","Period=FQ","BEST_FPERIOD_OVERRIDE=FQ","FILING_STATUS=MR","SCALING_FORMAT=MLN","Sort=A","Dates=H","DateFormat=P","Fill=—","Direction=H","UseDPDF=Y")</f>
        <v>-1715</v>
      </c>
      <c r="R50" s="15" cm="1">
        <f t="array" ref="R50">_xll.BDH("CAT US Equity","CFF_ACTIVITIES_DETAILED","FQ2 2022","FQ2 2022","Currency=USD","Period=FQ","BEST_FPERIOD_OVERRIDE=FQ","FILING_STATUS=MR","SCALING_FORMAT=MLN","Sort=A","Dates=H","DateFormat=P","Fill=—","Direction=H","UseDPDF=Y")</f>
        <v>-2176</v>
      </c>
      <c r="S50" s="15" cm="1">
        <f t="array" ref="S50">_xll.BDH("CAT US Equity","CFF_ACTIVITIES_DETAILED","FQ3 2022","FQ3 2022","Currency=USD","Period=FQ","BEST_FPERIOD_OVERRIDE=FQ","FILING_STATUS=MR","SCALING_FORMAT=MLN","Sort=A","Dates=H","DateFormat=P","Fill=—","Direction=H","UseDPDF=Y")</f>
        <v>-2267</v>
      </c>
      <c r="T50" s="15" cm="1">
        <f t="array" ref="T50">_xll.BDH("CAT US Equity","CFF_ACTIVITIES_DETAILED","FQ4 2022","FQ4 2022","Currency=USD","Period=FQ","BEST_FPERIOD_OVERRIDE=FQ","FILING_STATUS=MR","SCALING_FORMAT=MLN","Sort=A","Dates=H","DateFormat=P","Fill=—","Direction=H","UseDPDF=Y")</f>
        <v>-1123</v>
      </c>
      <c r="U50" s="15" cm="1">
        <f t="array" ref="U50">_xll.BDH("CAT US Equity","CFF_ACTIVITIES_DETAILED","FQ1 2023","FQ1 2023","Currency=USD","Period=FQ","BEST_FPERIOD_OVERRIDE=FQ","FILING_STATUS=MR","SCALING_FORMAT=MLN","Sort=A","Dates=H","DateFormat=P","Fill=—","Direction=H","UseDPDF=Y")</f>
        <v>-1106</v>
      </c>
      <c r="V50" s="15" cm="1">
        <f t="array" ref="V50">_xll.BDH("CAT US Equity","CFF_ACTIVITIES_DETAILED","FQ2 2023","FQ2 2023","Currency=USD","Period=FQ","BEST_FPERIOD_OVERRIDE=FQ","FILING_STATUS=MR","SCALING_FORMAT=MLN","Sort=A","Dates=H","DateFormat=P","Fill=—","Direction=H","UseDPDF=Y")</f>
        <v>-1393</v>
      </c>
      <c r="W50" s="15" cm="1">
        <f t="array" ref="W50">_xll.BDH("CAT US Equity","CFF_ACTIVITIES_DETAILED","FQ3 2023","FQ3 2023","Currency=USD","Period=FQ","BEST_FPERIOD_OVERRIDE=FQ","FILING_STATUS=MR","SCALING_FORMAT=MLN","Sort=A","Dates=H","DateFormat=P","Fill=—","Direction=H","UseDPDF=Y")</f>
        <v>-1400</v>
      </c>
      <c r="X50" s="15" cm="1">
        <f t="array" ref="X50">_xll.BDH("CAT US Equity","CFF_ACTIVITIES_DETAILED","FQ4 2023","FQ4 2023","Currency=USD","Period=FQ","BEST_FPERIOD_OVERRIDE=FQ","FILING_STATUS=MR","SCALING_FORMAT=MLN","Sort=A","Dates=H","DateFormat=P","Fill=—","Direction=H","UseDPDF=Y")</f>
        <v>-3033</v>
      </c>
      <c r="Y50" s="15" cm="1">
        <f t="array" ref="Y50">_xll.BDH("CAT US Equity","CFF_ACTIVITIES_DETAILED","FQ1 2024","FQ1 2024","Currency=USD","Period=FQ","BEST_FPERIOD_OVERRIDE=FQ","FILING_STATUS=MR","SCALING_FORMAT=MLN","Sort=A","Dates=H","DateFormat=P","Fill=—","Direction=H","UseDPDF=Y")</f>
        <v>-5000</v>
      </c>
      <c r="Z50" s="15" cm="1">
        <f t="array" ref="Z50">_xll.BDH("CAT US Equity","CFF_ACTIVITIES_DETAILED","FQ2 2024","FQ2 2024","Currency=USD","Period=FQ","BEST_FPERIOD_OVERRIDE=FQ","FILING_STATUS=MR","SCALING_FORMAT=MLN","Sort=A","Dates=H","DateFormat=P","Fill=—","Direction=H","UseDPDF=Y")</f>
        <v>-2929</v>
      </c>
      <c r="AA50" s="15" cm="1">
        <f t="array" ref="AA50">_xll.BDH("CAT US Equity","CFF_ACTIVITIES_DETAILED","FQ3 2024","FQ3 2024","Currency=USD","Period=FQ","BEST_FPERIOD_OVERRIDE=FQ","FILING_STATUS=MR","SCALING_FORMAT=MLN","Sort=A","Dates=H","DateFormat=P","Fill=—","Direction=H","UseDPDF=Y")</f>
        <v>-1210</v>
      </c>
      <c r="AB50" s="15" cm="1">
        <f t="array" ref="AB50">_xll.BDH("CAT US Equity","CFF_ACTIVITIES_DETAILED","FQ4 2024","FQ4 2024","Currency=USD","Period=FQ","BEST_FPERIOD_OVERRIDE=FQ","FILING_STATUS=MR","SCALING_FORMAT=MLN","Sort=A","Dates=H","DateFormat=P","Fill=—","Direction=H","UseDPDF=Y")</f>
        <v>-426</v>
      </c>
      <c r="AC50" s="15" cm="1">
        <f t="array" ref="AC50">_xll.BDH("CAT US Equity","CFF_ACTIVITIES_DETAILED","FQ1 2025","FQ1 2025","Currency=USD","Period=FQ","BEST_FPERIOD_OVERRIDE=FQ","FILING_STATUS=MR","SCALING_FORMAT=MLN","Sort=A","Dates=H","DateFormat=P","Fill=—","Direction=H","UseDPDF=Y")</f>
        <v>-4496</v>
      </c>
      <c r="AD50" s="15" cm="1">
        <f t="array" ref="AD50">_xll.BDH("CAT US Equity","CFF_ACTIVITIES_DETAILED","FQ2 2025","FQ2 2025","Currency=USD","Period=FQ","BEST_FPERIOD_OVERRIDE=FQ","FILING_STATUS=MR","SCALING_FORMAT=MLN","Sort=A","Dates=H","DateFormat=P","Fill=—","Direction=H","UseDPDF=Y")</f>
        <v>151</v>
      </c>
      <c r="AE50" s="15" cm="1">
        <f t="array" ref="AE50">_xll.BDH("CAT US Equity","CFF_ACTIVITIES_DETAILED","FQ3 2025","FQ3 2025","Currency=USD","Period=FQ","BEST_FPERIOD_OVERRIDE=FQ","FILING_STATUS=MR","SCALING_FORMAT=MLN","Sort=A","Dates=H","DateFormat=P","Fill=—","Direction=H","UseDPDF=Y")</f>
        <v>-305</v>
      </c>
      <c r="AF50" s="15" cm="1">
        <f t="array" ref="AF50">_xll.BDH("CAT US Equity","CFF_ACTIVITIES_DETAILED","FQ4 2025","FQ4 2025","Currency=USD","Period=FQ","BEST_FPERIOD_OVERRIDE=FQ","FILING_STATUS=MR","SCALING_FORMAT=MLN","Sort=A","Dates=H","DateFormat=P","Fill=—","Direction=H","UseDPDF=Y")</f>
        <v>751</v>
      </c>
    </row>
    <row r="51" spans="1:32" x14ac:dyDescent="0.25">
      <c r="A51" s="6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</row>
    <row r="52" spans="1:32" x14ac:dyDescent="0.25">
      <c r="A52" s="10" t="s">
        <v>143</v>
      </c>
      <c r="B52" s="10" t="s">
        <v>144</v>
      </c>
      <c r="C52" s="12" cm="1">
        <f t="array" ref="C52">_xll.BDH("CAT US Equity","CF_EFFECT_FOREIGN_EXCHANGES","FQ3 2018","FQ3 2018","Currency=USD","Period=FQ","BEST_FPERIOD_OVERRIDE=FQ","FILING_STATUS=MR","SCALING_FORMAT=MLN","Sort=A","Dates=H","DateFormat=P","Fill=—","Direction=H","UseDPDF=Y")</f>
        <v>-49</v>
      </c>
      <c r="D52" s="12" cm="1">
        <f t="array" ref="D52">_xll.BDH("CAT US Equity","CF_EFFECT_FOREIGN_EXCHANGES","FQ4 2018","FQ4 2018","Currency=USD","Period=FQ","BEST_FPERIOD_OVERRIDE=FQ","FILING_STATUS=MR","SCALING_FORMAT=MLN","Sort=A","Dates=H","DateFormat=P","Fill=—","Direction=H","UseDPDF=Y")</f>
        <v>-9</v>
      </c>
      <c r="E52" s="12" cm="1">
        <f t="array" ref="E52">_xll.BDH("CAT US Equity","CF_EFFECT_FOREIGN_EXCHANGES","FQ1 2019","FQ1 2019","Currency=USD","Period=FQ","BEST_FPERIOD_OVERRIDE=FQ","FILING_STATUS=MR","SCALING_FORMAT=MLN","Sort=A","Dates=H","DateFormat=P","Fill=—","Direction=H","UseDPDF=Y")</f>
        <v>3</v>
      </c>
      <c r="F52" s="12" cm="1">
        <f t="array" ref="F52">_xll.BDH("CAT US Equity","CF_EFFECT_FOREIGN_EXCHANGES","FQ2 2019","FQ2 2019","Currency=USD","Period=FQ","BEST_FPERIOD_OVERRIDE=FQ","FILING_STATUS=MR","SCALING_FORMAT=MLN","Sort=A","Dates=H","DateFormat=P","Fill=—","Direction=H","UseDPDF=Y")</f>
        <v>-13</v>
      </c>
      <c r="G52" s="12" cm="1">
        <f t="array" ref="G52">_xll.BDH("CAT US Equity","CF_EFFECT_FOREIGN_EXCHANGES","FQ3 2019","FQ3 2019","Currency=USD","Period=FQ","BEST_FPERIOD_OVERRIDE=FQ","FILING_STATUS=MR","SCALING_FORMAT=MLN","Sort=A","Dates=H","DateFormat=P","Fill=—","Direction=H","UseDPDF=Y")</f>
        <v>-37</v>
      </c>
      <c r="H52" s="12" cm="1">
        <f t="array" ref="H52">_xll.BDH("CAT US Equity","CF_EFFECT_FOREIGN_EXCHANGES","FQ4 2019","FQ4 2019","Currency=USD","Period=FQ","BEST_FPERIOD_OVERRIDE=FQ","FILING_STATUS=MR","SCALING_FORMAT=MLN","Sort=A","Dates=H","DateFormat=P","Fill=—","Direction=H","UseDPDF=Y")</f>
        <v>3</v>
      </c>
      <c r="I52" s="12" cm="1">
        <f t="array" ref="I52">_xll.BDH("CAT US Equity","CF_EFFECT_FOREIGN_EXCHANGES","FQ1 2020","FQ1 2020","Currency=USD","Period=FQ","BEST_FPERIOD_OVERRIDE=FQ","FILING_STATUS=MR","SCALING_FORMAT=MLN","Sort=A","Dates=H","DateFormat=P","Fill=—","Direction=H","UseDPDF=Y")</f>
        <v>-80</v>
      </c>
      <c r="J52" s="12" cm="1">
        <f t="array" ref="J52">_xll.BDH("CAT US Equity","CF_EFFECT_FOREIGN_EXCHANGES","FQ2 2020","FQ2 2020","Currency=USD","Period=FQ","BEST_FPERIOD_OVERRIDE=FQ","FILING_STATUS=MR","SCALING_FORMAT=MLN","Sort=A","Dates=H","DateFormat=P","Fill=—","Direction=H","UseDPDF=Y")</f>
        <v>14</v>
      </c>
      <c r="K52" s="12" cm="1">
        <f t="array" ref="K52">_xll.BDH("CAT US Equity","CF_EFFECT_FOREIGN_EXCHANGES","FQ3 2020","FQ3 2020","Currency=USD","Period=FQ","BEST_FPERIOD_OVERRIDE=FQ","FILING_STATUS=MR","SCALING_FORMAT=MLN","Sort=A","Dates=H","DateFormat=P","Fill=—","Direction=H","UseDPDF=Y")</f>
        <v>10</v>
      </c>
      <c r="L52" s="12" cm="1">
        <f t="array" ref="L52">_xll.BDH("CAT US Equity","CF_EFFECT_FOREIGN_EXCHANGES","FQ4 2020","FQ4 2020","Currency=USD","Period=FQ","BEST_FPERIOD_OVERRIDE=FQ","FILING_STATUS=MR","SCALING_FORMAT=MLN","Sort=A","Dates=H","DateFormat=P","Fill=—","Direction=H","UseDPDF=Y")</f>
        <v>43</v>
      </c>
      <c r="M52" s="12" cm="1">
        <f t="array" ref="M52">_xll.BDH("CAT US Equity","CF_EFFECT_FOREIGN_EXCHANGES","FQ1 2021","FQ1 2021","Currency=USD","Period=FQ","BEST_FPERIOD_OVERRIDE=FQ","FILING_STATUS=MR","SCALING_FORMAT=MLN","Sort=A","Dates=H","DateFormat=P","Fill=—","Direction=H","UseDPDF=Y")</f>
        <v>-12</v>
      </c>
      <c r="N52" s="12" cm="1">
        <f t="array" ref="N52">_xll.BDH("CAT US Equity","CF_EFFECT_FOREIGN_EXCHANGES","FQ2 2021","FQ2 2021","Currency=USD","Period=FQ","BEST_FPERIOD_OVERRIDE=FQ","FILING_STATUS=MR","SCALING_FORMAT=MLN","Sort=A","Dates=H","DateFormat=P","Fill=—","Direction=H","UseDPDF=Y")</f>
        <v>15</v>
      </c>
      <c r="O52" s="12" cm="1">
        <f t="array" ref="O52">_xll.BDH("CAT US Equity","CF_EFFECT_FOREIGN_EXCHANGES","FQ3 2021","FQ3 2021","Currency=USD","Period=FQ","BEST_FPERIOD_OVERRIDE=FQ","FILING_STATUS=MR","SCALING_FORMAT=MLN","Sort=A","Dates=H","DateFormat=P","Fill=—","Direction=H","UseDPDF=Y")</f>
        <v>-12</v>
      </c>
      <c r="P52" s="12" cm="1">
        <f t="array" ref="P52">_xll.BDH("CAT US Equity","CF_EFFECT_FOREIGN_EXCHANGES","FQ4 2021","FQ4 2021","Currency=USD","Period=FQ","BEST_FPERIOD_OVERRIDE=FQ","FILING_STATUS=MR","SCALING_FORMAT=MLN","Sort=A","Dates=H","DateFormat=P","Fill=—","Direction=H","UseDPDF=Y")</f>
        <v>-20</v>
      </c>
      <c r="Q52" s="12" cm="1">
        <f t="array" ref="Q52">_xll.BDH("CAT US Equity","CF_EFFECT_FOREIGN_EXCHANGES","FQ1 2022","FQ1 2022","Currency=USD","Period=FQ","BEST_FPERIOD_OVERRIDE=FQ","FILING_STATUS=MR","SCALING_FORMAT=MLN","Sort=A","Dates=H","DateFormat=P","Fill=—","Direction=H","UseDPDF=Y")</f>
        <v>-16</v>
      </c>
      <c r="R52" s="12" cm="1">
        <f t="array" ref="R52">_xll.BDH("CAT US Equity","CF_EFFECT_FOREIGN_EXCHANGES","FQ2 2022","FQ2 2022","Currency=USD","Period=FQ","BEST_FPERIOD_OVERRIDE=FQ","FILING_STATUS=MR","SCALING_FORMAT=MLN","Sort=A","Dates=H","DateFormat=P","Fill=—","Direction=H","UseDPDF=Y")</f>
        <v>9</v>
      </c>
      <c r="S52" s="12" cm="1">
        <f t="array" ref="S52">_xll.BDH("CAT US Equity","CF_EFFECT_FOREIGN_EXCHANGES","FQ3 2022","FQ3 2022","Currency=USD","Period=FQ","BEST_FPERIOD_OVERRIDE=FQ","FILING_STATUS=MR","SCALING_FORMAT=MLN","Sort=A","Dates=H","DateFormat=P","Fill=—","Direction=H","UseDPDF=Y")</f>
        <v>-72</v>
      </c>
      <c r="T52" s="12" cm="1">
        <f t="array" ref="T52">_xll.BDH("CAT US Equity","CF_EFFECT_FOREIGN_EXCHANGES","FQ4 2022","FQ4 2022","Currency=USD","Period=FQ","BEST_FPERIOD_OVERRIDE=FQ","FILING_STATUS=MR","SCALING_FORMAT=MLN","Sort=A","Dates=H","DateFormat=P","Fill=—","Direction=H","UseDPDF=Y")</f>
        <v>-115</v>
      </c>
      <c r="U52" s="12" cm="1">
        <f t="array" ref="U52">_xll.BDH("CAT US Equity","CF_EFFECT_FOREIGN_EXCHANGES","FQ1 2023","FQ1 2023","Currency=USD","Period=FQ","BEST_FPERIOD_OVERRIDE=FQ","FILING_STATUS=MR","SCALING_FORMAT=MLN","Sort=A","Dates=H","DateFormat=P","Fill=—","Direction=H","UseDPDF=Y")</f>
        <v>-1</v>
      </c>
      <c r="V52" s="12" cm="1">
        <f t="array" ref="V52">_xll.BDH("CAT US Equity","CF_EFFECT_FOREIGN_EXCHANGES","FQ2 2023","FQ2 2023","Currency=USD","Period=FQ","BEST_FPERIOD_OVERRIDE=FQ","FILING_STATUS=MR","SCALING_FORMAT=MLN","Sort=A","Dates=H","DateFormat=P","Fill=—","Direction=H","UseDPDF=Y")</f>
        <v>-59</v>
      </c>
      <c r="W52" s="12" cm="1">
        <f t="array" ref="W52">_xll.BDH("CAT US Equity","CF_EFFECT_FOREIGN_EXCHANGES","FQ3 2023","FQ3 2023","Currency=USD","Period=FQ","BEST_FPERIOD_OVERRIDE=FQ","FILING_STATUS=MR","SCALING_FORMAT=MLN","Sort=A","Dates=H","DateFormat=P","Fill=—","Direction=H","UseDPDF=Y")</f>
        <v>-59</v>
      </c>
      <c r="X52" s="12" cm="1">
        <f t="array" ref="X52">_xll.BDH("CAT US Equity","CF_EFFECT_FOREIGN_EXCHANGES","FQ4 2023","FQ4 2023","Currency=USD","Period=FQ","BEST_FPERIOD_OVERRIDE=FQ","FILING_STATUS=MR","SCALING_FORMAT=MLN","Sort=A","Dates=H","DateFormat=P","Fill=—","Direction=H","UseDPDF=Y")</f>
        <v>9</v>
      </c>
      <c r="Y52" s="12" cm="1">
        <f t="array" ref="Y52">_xll.BDH("CAT US Equity","CF_EFFECT_FOREIGN_EXCHANGES","FQ1 2024","FQ1 2024","Currency=USD","Period=FQ","BEST_FPERIOD_OVERRIDE=FQ","FILING_STATUS=MR","SCALING_FORMAT=MLN","Sort=A","Dates=H","DateFormat=P","Fill=—","Direction=H","UseDPDF=Y")</f>
        <v>-30</v>
      </c>
      <c r="Z52" s="12" cm="1">
        <f t="array" ref="Z52">_xll.BDH("CAT US Equity","CF_EFFECT_FOREIGN_EXCHANGES","FQ2 2024","FQ2 2024","Currency=USD","Period=FQ","BEST_FPERIOD_OVERRIDE=FQ","FILING_STATUS=MR","SCALING_FORMAT=MLN","Sort=A","Dates=H","DateFormat=P","Fill=—","Direction=H","UseDPDF=Y")</f>
        <v>13</v>
      </c>
      <c r="AA52" s="12" cm="1">
        <f t="array" ref="AA52">_xll.BDH("CAT US Equity","CF_EFFECT_FOREIGN_EXCHANGES","FQ3 2024","FQ3 2024","Currency=USD","Period=FQ","BEST_FPERIOD_OVERRIDE=FQ","FILING_STATUS=MR","SCALING_FORMAT=MLN","Sort=A","Dates=H","DateFormat=P","Fill=—","Direction=H","UseDPDF=Y")</f>
        <v>-22</v>
      </c>
      <c r="AB52" s="12" cm="1">
        <f t="array" ref="AB52">_xll.BDH("CAT US Equity","CF_EFFECT_FOREIGN_EXCHANGES","FQ4 2024","FQ4 2024","Currency=USD","Period=FQ","BEST_FPERIOD_OVERRIDE=FQ","FILING_STATUS=MR","SCALING_FORMAT=MLN","Sort=A","Dates=H","DateFormat=P","Fill=—","Direction=H","UseDPDF=Y")</f>
        <v>-67</v>
      </c>
      <c r="AC52" s="12" cm="1">
        <f t="array" ref="AC52">_xll.BDH("CAT US Equity","CF_EFFECT_FOREIGN_EXCHANGES","FQ1 2025","FQ1 2025","Currency=USD","Period=FQ","BEST_FPERIOD_OVERRIDE=FQ","FILING_STATUS=MR","SCALING_FORMAT=MLN","Sort=A","Dates=H","DateFormat=P","Fill=—","Direction=H","UseDPDF=Y")</f>
        <v>54</v>
      </c>
      <c r="AD52" s="12" cm="1">
        <f t="array" ref="AD52">_xll.BDH("CAT US Equity","CF_EFFECT_FOREIGN_EXCHANGES","FQ2 2025","FQ2 2025","Currency=USD","Period=FQ","BEST_FPERIOD_OVERRIDE=FQ","FILING_STATUS=MR","SCALING_FORMAT=MLN","Sort=A","Dates=H","DateFormat=P","Fill=—","Direction=H","UseDPDF=Y")</f>
        <v>-61</v>
      </c>
      <c r="AE52" s="12" cm="1">
        <f t="array" ref="AE52">_xll.BDH("CAT US Equity","CF_EFFECT_FOREIGN_EXCHANGES","FQ3 2025","FQ3 2025","Currency=USD","Period=FQ","BEST_FPERIOD_OVERRIDE=FQ","FILING_STATUS=MR","SCALING_FORMAT=MLN","Sort=A","Dates=H","DateFormat=P","Fill=—","Direction=H","UseDPDF=Y")</f>
        <v>-16</v>
      </c>
      <c r="AF52" s="12" cm="1">
        <f t="array" ref="AF52">_xll.BDH("CAT US Equity","CF_EFFECT_FOREIGN_EXCHANGES","FQ4 2025","FQ4 2025","Currency=USD","Period=FQ","BEST_FPERIOD_OVERRIDE=FQ","FILING_STATUS=MR","SCALING_FORMAT=MLN","Sort=A","Dates=H","DateFormat=P","Fill=—","Direction=H","UseDPDF=Y")</f>
        <v>-20</v>
      </c>
    </row>
    <row r="53" spans="1:32" x14ac:dyDescent="0.25">
      <c r="A53" s="6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</row>
    <row r="54" spans="1:32" x14ac:dyDescent="0.25">
      <c r="A54" s="6" t="s">
        <v>145</v>
      </c>
      <c r="B54" s="6" t="s">
        <v>146</v>
      </c>
      <c r="C54" s="15" cm="1">
        <f t="array" ref="C54">_xll.BDH("CAT US Equity","CF_NET_CHNG_CASH","FQ3 2018","FQ3 2018","Currency=USD","Period=FQ","BEST_FPERIOD_OVERRIDE=FQ","FILING_STATUS=MR","SCALING_FORMAT=MLN","Sort=A","Dates=H","DateFormat=P","Fill=—","Direction=H","UseDPDF=Y")</f>
        <v>-648</v>
      </c>
      <c r="D54" s="15" cm="1">
        <f t="array" ref="D54">_xll.BDH("CAT US Equity","CF_NET_CHNG_CASH","FQ4 2018","FQ4 2018","Currency=USD","Period=FQ","BEST_FPERIOD_OVERRIDE=FQ","FILING_STATUS=MR","SCALING_FORMAT=MLN","Sort=A","Dates=H","DateFormat=P","Fill=—","Direction=H","UseDPDF=Y")</f>
        <v>-156</v>
      </c>
      <c r="E54" s="15" cm="1">
        <f t="array" ref="E54">_xll.BDH("CAT US Equity","CF_NET_CHNG_CASH","FQ1 2019","FQ1 2019","Currency=USD","Period=FQ","BEST_FPERIOD_OVERRIDE=FQ","FILING_STATUS=MR","SCALING_FORMAT=MLN","Sort=A","Dates=H","DateFormat=P","Fill=—","Direction=H","UseDPDF=Y")</f>
        <v>-732</v>
      </c>
      <c r="F54" s="15" cm="1">
        <f t="array" ref="F54">_xll.BDH("CAT US Equity","CF_NET_CHNG_CASH","FQ2 2019","FQ2 2019","Currency=USD","Period=FQ","BEST_FPERIOD_OVERRIDE=FQ","FILING_STATUS=MR","SCALING_FORMAT=MLN","Sort=A","Dates=H","DateFormat=P","Fill=—","Direction=H","UseDPDF=Y")</f>
        <v>301</v>
      </c>
      <c r="G54" s="15" cm="1">
        <f t="array" ref="G54">_xll.BDH("CAT US Equity","CF_NET_CHNG_CASH","FQ3 2019","FQ3 2019","Currency=USD","Period=FQ","BEST_FPERIOD_OVERRIDE=FQ","FILING_STATUS=MR","SCALING_FORMAT=MLN","Sort=A","Dates=H","DateFormat=P","Fill=—","Direction=H","UseDPDF=Y")</f>
        <v>477</v>
      </c>
      <c r="H54" s="15" cm="1">
        <f t="array" ref="H54">_xll.BDH("CAT US Equity","CF_NET_CHNG_CASH","FQ4 2019","FQ4 2019","Currency=USD","Period=FQ","BEST_FPERIOD_OVERRIDE=FQ","FILING_STATUS=MR","SCALING_FORMAT=MLN","Sort=A","Dates=H","DateFormat=P","Fill=—","Direction=H","UseDPDF=Y")</f>
        <v>356</v>
      </c>
      <c r="I54" s="15" cm="1">
        <f t="array" ref="I54">_xll.BDH("CAT US Equity","CF_NET_CHNG_CASH","FQ1 2020","FQ1 2020","Currency=USD","Period=FQ","BEST_FPERIOD_OVERRIDE=FQ","FILING_STATUS=MR","SCALING_FORMAT=MLN","Sort=A","Dates=H","DateFormat=P","Fill=—","Direction=H","UseDPDF=Y")</f>
        <v>-1162</v>
      </c>
      <c r="J54" s="15" cm="1">
        <f t="array" ref="J54">_xll.BDH("CAT US Equity","CF_NET_CHNG_CASH","FQ2 2020","FQ2 2020","Currency=USD","Period=FQ","BEST_FPERIOD_OVERRIDE=FQ","FILING_STATUS=MR","SCALING_FORMAT=MLN","Sort=A","Dates=H","DateFormat=P","Fill=—","Direction=H","UseDPDF=Y")</f>
        <v>1661</v>
      </c>
      <c r="K54" s="15" cm="1">
        <f t="array" ref="K54">_xll.BDH("CAT US Equity","CF_NET_CHNG_CASH","FQ3 2020","FQ3 2020","Currency=USD","Period=FQ","BEST_FPERIOD_OVERRIDE=FQ","FILING_STATUS=MR","SCALING_FORMAT=MLN","Sort=A","Dates=H","DateFormat=P","Fill=—","Direction=H","UseDPDF=Y")</f>
        <v>528</v>
      </c>
      <c r="L54" s="15" cm="1">
        <f t="array" ref="L54">_xll.BDH("CAT US Equity","CF_NET_CHNG_CASH","FQ4 2020","FQ4 2020","Currency=USD","Period=FQ","BEST_FPERIOD_OVERRIDE=FQ","FILING_STATUS=MR","SCALING_FORMAT=MLN","Sort=A","Dates=H","DateFormat=P","Fill=—","Direction=H","UseDPDF=Y")</f>
        <v>47</v>
      </c>
      <c r="M54" s="15" cm="1">
        <f t="array" ref="M54">_xll.BDH("CAT US Equity","CF_NET_CHNG_CASH","FQ1 2021","FQ1 2021","Currency=USD","Period=FQ","BEST_FPERIOD_OVERRIDE=FQ","FILING_STATUS=MR","SCALING_FORMAT=MLN","Sort=A","Dates=H","DateFormat=P","Fill=—","Direction=H","UseDPDF=Y")</f>
        <v>1985</v>
      </c>
      <c r="N54" s="15" cm="1">
        <f t="array" ref="N54">_xll.BDH("CAT US Equity","CF_NET_CHNG_CASH","FQ2 2021","FQ2 2021","Currency=USD","Period=FQ","BEST_FPERIOD_OVERRIDE=FQ","FILING_STATUS=MR","SCALING_FORMAT=MLN","Sort=A","Dates=H","DateFormat=P","Fill=—","Direction=H","UseDPDF=Y")</f>
        <v>-509</v>
      </c>
      <c r="O54" s="15" cm="1">
        <f t="array" ref="O54">_xll.BDH("CAT US Equity","CF_NET_CHNG_CASH","FQ3 2021","FQ3 2021","Currency=USD","Period=FQ","BEST_FPERIOD_OVERRIDE=FQ","FILING_STATUS=MR","SCALING_FORMAT=MLN","Sort=A","Dates=H","DateFormat=P","Fill=—","Direction=H","UseDPDF=Y")</f>
        <v>-1393</v>
      </c>
      <c r="P54" s="15" cm="1">
        <f t="array" ref="P54">_xll.BDH("CAT US Equity","CF_NET_CHNG_CASH","FQ4 2021","FQ4 2021","Currency=USD","Period=FQ","BEST_FPERIOD_OVERRIDE=FQ","FILING_STATUS=MR","SCALING_FORMAT=MLN","Sort=A","Dates=H","DateFormat=P","Fill=—","Direction=H","UseDPDF=Y")</f>
        <v>-186</v>
      </c>
      <c r="Q54" s="15" cm="1">
        <f t="array" ref="Q54">_xll.BDH("CAT US Equity","CF_NET_CHNG_CASH","FQ1 2022","FQ1 2022","Currency=USD","Period=FQ","BEST_FPERIOD_OVERRIDE=FQ","FILING_STATUS=MR","SCALING_FORMAT=MLN","Sort=A","Dates=H","DateFormat=P","Fill=—","Direction=H","UseDPDF=Y")</f>
        <v>-2731</v>
      </c>
      <c r="R54" s="15" cm="1">
        <f t="array" ref="R54">_xll.BDH("CAT US Equity","CF_NET_CHNG_CASH","FQ2 2022","FQ2 2022","Currency=USD","Period=FQ","BEST_FPERIOD_OVERRIDE=FQ","FILING_STATUS=MR","SCALING_FORMAT=MLN","Sort=A","Dates=H","DateFormat=P","Fill=—","Direction=H","UseDPDF=Y")</f>
        <v>-509</v>
      </c>
      <c r="S54" s="15" cm="1">
        <f t="array" ref="S54">_xll.BDH("CAT US Equity","CF_NET_CHNG_CASH","FQ3 2022","FQ3 2022","Currency=USD","Period=FQ","BEST_FPERIOD_OVERRIDE=FQ","FILING_STATUS=MR","SCALING_FORMAT=MLN","Sort=A","Dates=H","DateFormat=P","Fill=—","Direction=H","UseDPDF=Y")</f>
        <v>332</v>
      </c>
      <c r="T54" s="15" cm="1">
        <f t="array" ref="T54">_xll.BDH("CAT US Equity","CF_NET_CHNG_CASH","FQ4 2022","FQ4 2022","Currency=USD","Period=FQ","BEST_FPERIOD_OVERRIDE=FQ","FILING_STATUS=MR","SCALING_FORMAT=MLN","Sort=A","Dates=H","DateFormat=P","Fill=—","Direction=H","UseDPDF=Y")</f>
        <v>658</v>
      </c>
      <c r="U54" s="15" cm="1">
        <f t="array" ref="U54">_xll.BDH("CAT US Equity","CF_NET_CHNG_CASH","FQ1 2023","FQ1 2023","Currency=USD","Period=FQ","BEST_FPERIOD_OVERRIDE=FQ","FILING_STATUS=MR","SCALING_FORMAT=MLN","Sort=A","Dates=H","DateFormat=P","Fill=—","Direction=H","UseDPDF=Y")</f>
        <v>-217</v>
      </c>
      <c r="V54" s="15" cm="1">
        <f t="array" ref="V54">_xll.BDH("CAT US Equity","CF_NET_CHNG_CASH","FQ2 2023","FQ2 2023","Currency=USD","Period=FQ","BEST_FPERIOD_OVERRIDE=FQ","FILING_STATUS=MR","SCALING_FORMAT=MLN","Sort=A","Dates=H","DateFormat=P","Fill=—","Direction=H","UseDPDF=Y")</f>
        <v>598</v>
      </c>
      <c r="W54" s="15" cm="1">
        <f t="array" ref="W54">_xll.BDH("CAT US Equity","CF_NET_CHNG_CASH","FQ3 2023","FQ3 2023","Currency=USD","Period=FQ","BEST_FPERIOD_OVERRIDE=FQ","FILING_STATUS=MR","SCALING_FORMAT=MLN","Sort=A","Dates=H","DateFormat=P","Fill=—","Direction=H","UseDPDF=Y")</f>
        <v>-3776</v>
      </c>
      <c r="X54" s="15" cm="1">
        <f t="array" ref="X54">_xll.BDH("CAT US Equity","CF_NET_CHNG_CASH","FQ4 2023","FQ4 2023","Currency=USD","Period=FQ","BEST_FPERIOD_OVERRIDE=FQ","FILING_STATUS=MR","SCALING_FORMAT=MLN","Sort=A","Dates=H","DateFormat=P","Fill=—","Direction=H","UseDPDF=Y")</f>
        <v>425</v>
      </c>
      <c r="Y54" s="15" cm="1">
        <f t="array" ref="Y54">_xll.BDH("CAT US Equity","CF_NET_CHNG_CASH","FQ1 2024","FQ1 2024","Currency=USD","Period=FQ","BEST_FPERIOD_OVERRIDE=FQ","FILING_STATUS=MR","SCALING_FORMAT=MLN","Sort=A","Dates=H","DateFormat=P","Fill=—","Direction=H","UseDPDF=Y")</f>
        <v>-2020</v>
      </c>
      <c r="Z54" s="15" cm="1">
        <f t="array" ref="Z54">_xll.BDH("CAT US Equity","CF_NET_CHNG_CASH","FQ2 2024","FQ2 2024","Currency=USD","Period=FQ","BEST_FPERIOD_OVERRIDE=FQ","FILING_STATUS=MR","SCALING_FORMAT=MLN","Sort=A","Dates=H","DateFormat=P","Fill=—","Direction=H","UseDPDF=Y")</f>
        <v>-617</v>
      </c>
      <c r="AA54" s="15" cm="1">
        <f t="array" ref="AA54">_xll.BDH("CAT US Equity","CF_NET_CHNG_CASH","FQ3 2024","FQ3 2024","Currency=USD","Period=FQ","BEST_FPERIOD_OVERRIDE=FQ","FILING_STATUS=MR","SCALING_FORMAT=MLN","Sort=A","Dates=H","DateFormat=P","Fill=—","Direction=H","UseDPDF=Y")</f>
        <v>1297</v>
      </c>
      <c r="AB54" s="15" cm="1">
        <f t="array" ref="AB54">_xll.BDH("CAT US Equity","CF_NET_CHNG_CASH","FQ4 2024","FQ4 2024","Currency=USD","Period=FQ","BEST_FPERIOD_OVERRIDE=FQ","FILING_STATUS=MR","SCALING_FORMAT=MLN","Sort=A","Dates=H","DateFormat=P","Fill=—","Direction=H","UseDPDF=Y")</f>
        <v>1251</v>
      </c>
      <c r="AC54" s="15" cm="1">
        <f t="array" ref="AC54">_xll.BDH("CAT US Equity","CF_NET_CHNG_CASH","FQ1 2025","FQ1 2025","Currency=USD","Period=FQ","BEST_FPERIOD_OVERRIDE=FQ","FILING_STATUS=MR","SCALING_FORMAT=MLN","Sort=A","Dates=H","DateFormat=P","Fill=—","Direction=H","UseDPDF=Y")</f>
        <v>-3328</v>
      </c>
      <c r="AD54" s="15" cm="1">
        <f t="array" ref="AD54">_xll.BDH("CAT US Equity","CF_NET_CHNG_CASH","FQ2 2025","FQ2 2025","Currency=USD","Period=FQ","BEST_FPERIOD_OVERRIDE=FQ","FILING_STATUS=MR","SCALING_FORMAT=MLN","Sort=A","Dates=H","DateFormat=P","Fill=—","Direction=H","UseDPDF=Y")</f>
        <v>1880</v>
      </c>
      <c r="AE54" s="15" cm="1">
        <f t="array" ref="AE54">_xll.BDH("CAT US Equity","CF_NET_CHNG_CASH","FQ3 2025","FQ3 2025","Currency=USD","Period=FQ","BEST_FPERIOD_OVERRIDE=FQ","FILING_STATUS=MR","SCALING_FORMAT=MLN","Sort=A","Dates=H","DateFormat=P","Fill=—","Direction=H","UseDPDF=Y")</f>
        <v>2096</v>
      </c>
      <c r="AF54" s="15" cm="1">
        <f t="array" ref="AF54">_xll.BDH("CAT US Equity","CF_NET_CHNG_CASH","FQ4 2025","FQ4 2025","Currency=USD","Period=FQ","BEST_FPERIOD_OVERRIDE=FQ","FILING_STATUS=MR","SCALING_FORMAT=MLN","Sort=A","Dates=H","DateFormat=P","Fill=—","Direction=H","UseDPDF=Y")</f>
        <v>2442</v>
      </c>
    </row>
    <row r="55" spans="1:32" x14ac:dyDescent="0.25">
      <c r="A55" s="6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</row>
    <row r="56" spans="1:32" x14ac:dyDescent="0.25">
      <c r="A56" s="6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</row>
    <row r="57" spans="1:32" x14ac:dyDescent="0.25">
      <c r="A57" s="6" t="s">
        <v>0</v>
      </c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</row>
    <row r="58" spans="1:32" x14ac:dyDescent="0.25">
      <c r="A58" s="10" t="s">
        <v>147</v>
      </c>
      <c r="B58" s="10" t="s">
        <v>147</v>
      </c>
      <c r="C58" s="12" cm="1">
        <f t="array" ref="C58">_xll.BDH("CAT US Equity","EBITDA","FQ3 2018","FQ3 2018","Currency=USD","Period=FQ","BEST_FPERIOD_OVERRIDE=FQ","FILING_STATUS=MR","SCALING_FORMAT=MLN","FA_ADJUSTED=GAAP","Sort=A","Dates=H","DateFormat=P","Fill=—","Direction=H","UseDPDF=Y")</f>
        <v>2833</v>
      </c>
      <c r="D58" s="12" cm="1">
        <f t="array" ref="D58">_xll.BDH("CAT US Equity","EBITDA","FQ4 2018","FQ4 2018","Currency=USD","Period=FQ","BEST_FPERIOD_OVERRIDE=FQ","FILING_STATUS=MR","SCALING_FORMAT=MLN","FA_ADJUSTED=GAAP","Sort=A","Dates=H","DateFormat=P","Fill=—","Direction=H","UseDPDF=Y")</f>
        <v>2584</v>
      </c>
      <c r="E58" s="12" cm="1">
        <f t="array" ref="E58">_xll.BDH("CAT US Equity","EBITDA","FQ1 2019","FQ1 2019","Currency=USD","Period=FQ","BEST_FPERIOD_OVERRIDE=FQ","FILING_STATUS=MR","SCALING_FORMAT=MLN","FA_ADJUSTED=GAAP","Sort=A","Dates=H","DateFormat=P","Fill=—","Direction=H","UseDPDF=Y")</f>
        <v>2912</v>
      </c>
      <c r="F58" s="12" cm="1">
        <f t="array" ref="F58">_xll.BDH("CAT US Equity","EBITDA","FQ2 2019","FQ2 2019","Currency=USD","Period=FQ","BEST_FPERIOD_OVERRIDE=FQ","FILING_STATUS=MR","SCALING_FORMAT=MLN","FA_ADJUSTED=GAAP","Sort=A","Dates=H","DateFormat=P","Fill=—","Direction=H","UseDPDF=Y")</f>
        <v>2914</v>
      </c>
      <c r="G58" s="12" cm="1">
        <f t="array" ref="G58">_xll.BDH("CAT US Equity","EBITDA","FQ3 2019","FQ3 2019","Currency=USD","Period=FQ","BEST_FPERIOD_OVERRIDE=FQ","FILING_STATUS=MR","SCALING_FORMAT=MLN","FA_ADJUSTED=GAAP","Sort=A","Dates=H","DateFormat=P","Fill=—","Direction=H","UseDPDF=Y")</f>
        <v>2724</v>
      </c>
      <c r="H58" s="12" cm="1">
        <f t="array" ref="H58">_xll.BDH("CAT US Equity","EBITDA","FQ4 2019","FQ4 2019","Currency=USD","Period=FQ","BEST_FPERIOD_OVERRIDE=FQ","FILING_STATUS=MR","SCALING_FORMAT=MLN","FA_ADJUSTED=GAAP","Sort=A","Dates=H","DateFormat=P","Fill=—","Direction=H","UseDPDF=Y")</f>
        <v>2549</v>
      </c>
      <c r="I58" s="12" cm="1">
        <f t="array" ref="I58">_xll.BDH("CAT US Equity","EBITDA","FQ1 2020","FQ1 2020","Currency=USD","Period=FQ","BEST_FPERIOD_OVERRIDE=FQ","FILING_STATUS=MR","SCALING_FORMAT=MLN","FA_ADJUSTED=GAAP","Sort=A","Dates=H","DateFormat=P","Fill=—","Direction=H","UseDPDF=Y")</f>
        <v>2018</v>
      </c>
      <c r="J58" s="12" cm="1">
        <f t="array" ref="J58">_xll.BDH("CAT US Equity","EBITDA","FQ2 2020","FQ2 2020","Currency=USD","Period=FQ","BEST_FPERIOD_OVERRIDE=FQ","FILING_STATUS=MR","SCALING_FORMAT=MLN","FA_ADJUSTED=GAAP","Sort=A","Dates=H","DateFormat=P","Fill=—","Direction=H","UseDPDF=Y")</f>
        <v>1392</v>
      </c>
      <c r="K58" s="12" cm="1">
        <f t="array" ref="K58">_xll.BDH("CAT US Equity","EBITDA","FQ3 2020","FQ3 2020","Currency=USD","Period=FQ","BEST_FPERIOD_OVERRIDE=FQ","FILING_STATUS=MR","SCALING_FORMAT=MLN","FA_ADJUSTED=GAAP","Sort=A","Dates=H","DateFormat=P","Fill=—","Direction=H","UseDPDF=Y")</f>
        <v>1578</v>
      </c>
      <c r="L58" s="12" cm="1">
        <f t="array" ref="L58">_xll.BDH("CAT US Equity","EBITDA","FQ4 2020","FQ4 2020","Currency=USD","Period=FQ","BEST_FPERIOD_OVERRIDE=FQ","FILING_STATUS=MR","SCALING_FORMAT=MLN","FA_ADJUSTED=GAAP","Sort=A","Dates=H","DateFormat=P","Fill=—","Direction=H","UseDPDF=Y")</f>
        <v>1997</v>
      </c>
      <c r="M58" s="12" cm="1">
        <f t="array" ref="M58">_xll.BDH("CAT US Equity","EBITDA","FQ1 2021","FQ1 2021","Currency=USD","Period=FQ","BEST_FPERIOD_OVERRIDE=FQ","FILING_STATUS=MR","SCALING_FORMAT=MLN","FA_ADJUSTED=GAAP","Sort=A","Dates=H","DateFormat=P","Fill=—","Direction=H","UseDPDF=Y")</f>
        <v>2400</v>
      </c>
      <c r="N58" s="12" cm="1">
        <f t="array" ref="N58">_xll.BDH("CAT US Equity","EBITDA","FQ2 2021","FQ2 2021","Currency=USD","Period=FQ","BEST_FPERIOD_OVERRIDE=FQ","FILING_STATUS=MR","SCALING_FORMAT=MLN","FA_ADJUSTED=GAAP","Sort=A","Dates=H","DateFormat=P","Fill=—","Direction=H","UseDPDF=Y")</f>
        <v>2376</v>
      </c>
      <c r="O58" s="12" cm="1">
        <f t="array" ref="O58">_xll.BDH("CAT US Equity","EBITDA","FQ3 2021","FQ3 2021","Currency=USD","Period=FQ","BEST_FPERIOD_OVERRIDE=FQ","FILING_STATUS=MR","SCALING_FORMAT=MLN","FA_ADJUSTED=GAAP","Sort=A","Dates=H","DateFormat=P","Fill=—","Direction=H","UseDPDF=Y")</f>
        <v>2257</v>
      </c>
      <c r="P58" s="12" cm="1">
        <f t="array" ref="P58">_xll.BDH("CAT US Equity","EBITDA","FQ4 2021","FQ4 2021","Currency=USD","Period=FQ","BEST_FPERIOD_OVERRIDE=FQ","FILING_STATUS=MR","SCALING_FORMAT=MLN","FA_ADJUSTED=GAAP","Sort=A","Dates=H","DateFormat=P","Fill=—","Direction=H","UseDPDF=Y")</f>
        <v>2197</v>
      </c>
      <c r="Q58" s="12" cm="1">
        <f t="array" ref="Q58">_xll.BDH("CAT US Equity","EBITDA","FQ1 2022","FQ1 2022","Currency=USD","Period=FQ","BEST_FPERIOD_OVERRIDE=FQ","FILING_STATUS=MR","SCALING_FORMAT=MLN","FA_ADJUSTED=GAAP","Sort=A","Dates=H","DateFormat=P","Fill=—","Direction=H","UseDPDF=Y")</f>
        <v>2412</v>
      </c>
      <c r="R58" s="12" cm="1">
        <f t="array" ref="R58">_xll.BDH("CAT US Equity","EBITDA","FQ2 2022","FQ2 2022","Currency=USD","Period=FQ","BEST_FPERIOD_OVERRIDE=FQ","FILING_STATUS=MR","SCALING_FORMAT=MLN","FA_ADJUSTED=GAAP","Sort=A","Dates=H","DateFormat=P","Fill=—","Direction=H","UseDPDF=Y")</f>
        <v>2497</v>
      </c>
      <c r="S58" s="12" cm="1">
        <f t="array" ref="S58">_xll.BDH("CAT US Equity","EBITDA","FQ3 2022","FQ3 2022","Currency=USD","Period=FQ","BEST_FPERIOD_OVERRIDE=FQ","FILING_STATUS=MR","SCALING_FORMAT=MLN","FA_ADJUSTED=GAAP","Sort=A","Dates=H","DateFormat=P","Fill=—","Direction=H","UseDPDF=Y")</f>
        <v>2976</v>
      </c>
      <c r="T58" s="12" cm="1">
        <f t="array" ref="T58">_xll.BDH("CAT US Equity","EBITDA","FQ4 2022","FQ4 2022","Currency=USD","Period=FQ","BEST_FPERIOD_OVERRIDE=FQ","FILING_STATUS=MR","SCALING_FORMAT=MLN","FA_ADJUSTED=GAAP","Sort=A","Dates=H","DateFormat=P","Fill=—","Direction=H","UseDPDF=Y")</f>
        <v>2238</v>
      </c>
      <c r="U58" s="12" cm="1">
        <f t="array" ref="U58">_xll.BDH("CAT US Equity","EBITDA","FQ1 2023","FQ1 2023","Currency=USD","Period=FQ","BEST_FPERIOD_OVERRIDE=FQ","FILING_STATUS=MR","SCALING_FORMAT=MLN","FA_ADJUSTED=GAAP","Sort=A","Dates=H","DateFormat=P","Fill=—","Direction=H","UseDPDF=Y")</f>
        <v>3263</v>
      </c>
      <c r="V58" s="12" cm="1">
        <f t="array" ref="V58">_xll.BDH("CAT US Equity","EBITDA","FQ2 2023","FQ2 2023","Currency=USD","Period=FQ","BEST_FPERIOD_OVERRIDE=FQ","FILING_STATUS=MR","SCALING_FORMAT=MLN","FA_ADJUSTED=GAAP","Sort=A","Dates=H","DateFormat=P","Fill=—","Direction=H","UseDPDF=Y")</f>
        <v>4194</v>
      </c>
      <c r="W58" s="12" cm="1">
        <f t="array" ref="W58">_xll.BDH("CAT US Equity","EBITDA","FQ3 2023","FQ3 2023","Currency=USD","Period=FQ","BEST_FPERIOD_OVERRIDE=FQ","FILING_STATUS=MR","SCALING_FORMAT=MLN","FA_ADJUSTED=GAAP","Sort=A","Dates=H","DateFormat=P","Fill=—","Direction=H","UseDPDF=Y")</f>
        <v>3974</v>
      </c>
      <c r="X58" s="12" cm="1">
        <f t="array" ref="X58">_xll.BDH("CAT US Equity","EBITDA","FQ4 2023","FQ4 2023","Currency=USD","Period=FQ","BEST_FPERIOD_OVERRIDE=FQ","FILING_STATUS=MR","SCALING_FORMAT=MLN","FA_ADJUSTED=GAAP","Sort=A","Dates=H","DateFormat=P","Fill=—","Direction=H","UseDPDF=Y")</f>
        <v>3679</v>
      </c>
      <c r="Y58" s="12" cm="1">
        <f t="array" ref="Y58">_xll.BDH("CAT US Equity","EBITDA","FQ1 2024","FQ1 2024","Currency=USD","Period=FQ","BEST_FPERIOD_OVERRIDE=FQ","FILING_STATUS=MR","SCALING_FORMAT=MLN","FA_ADJUSTED=GAAP","Sort=A","Dates=H","DateFormat=P","Fill=—","Direction=H","UseDPDF=Y")</f>
        <v>4043</v>
      </c>
      <c r="Z58" s="12" cm="1">
        <f t="array" ref="Z58">_xll.BDH("CAT US Equity","EBITDA","FQ2 2024","FQ2 2024","Currency=USD","Period=FQ","BEST_FPERIOD_OVERRIDE=FQ","FILING_STATUS=MR","SCALING_FORMAT=MLN","FA_ADJUSTED=GAAP","Sort=A","Dates=H","DateFormat=P","Fill=—","Direction=H","UseDPDF=Y")</f>
        <v>4013</v>
      </c>
      <c r="AA58" s="12" cm="1">
        <f t="array" ref="AA58">_xll.BDH("CAT US Equity","EBITDA","FQ3 2024","FQ3 2024","Currency=USD","Period=FQ","BEST_FPERIOD_OVERRIDE=FQ","FILING_STATUS=MR","SCALING_FORMAT=MLN","FA_ADJUSTED=GAAP","Sort=A","Dates=H","DateFormat=P","Fill=—","Direction=H","UseDPDF=Y")</f>
        <v>3690</v>
      </c>
      <c r="AB58" s="12" cm="1">
        <f t="array" ref="AB58">_xll.BDH("CAT US Equity","EBITDA","FQ4 2024","FQ4 2024","Currency=USD","Period=FQ","BEST_FPERIOD_OVERRIDE=FQ","FILING_STATUS=MR","SCALING_FORMAT=MLN","FA_ADJUSTED=GAAP","Sort=A","Dates=H","DateFormat=P","Fill=—","Direction=H","UseDPDF=Y")</f>
        <v>3479</v>
      </c>
      <c r="AC58" s="12" cm="1">
        <f t="array" ref="AC58">_xll.BDH("CAT US Equity","EBITDA","FQ1 2025","FQ1 2025","Currency=USD","Period=FQ","BEST_FPERIOD_OVERRIDE=FQ","FILING_STATUS=MR","SCALING_FORMAT=MLN","FA_ADJUSTED=GAAP","Sort=A","Dates=H","DateFormat=P","Fill=—","Direction=H","UseDPDF=Y")</f>
        <v>3119</v>
      </c>
      <c r="AD58" s="12" cm="1">
        <f t="array" ref="AD58">_xll.BDH("CAT US Equity","EBITDA","FQ2 2025","FQ2 2025","Currency=USD","Period=FQ","BEST_FPERIOD_OVERRIDE=FQ","FILING_STATUS=MR","SCALING_FORMAT=MLN","FA_ADJUSTED=GAAP","Sort=A","Dates=H","DateFormat=P","Fill=—","Direction=H","UseDPDF=Y")</f>
        <v>3414</v>
      </c>
      <c r="AE58" s="12" cm="1">
        <f t="array" ref="AE58">_xll.BDH("CAT US Equity","EBITDA","FQ3 2025","FQ3 2025","Currency=USD","Period=FQ","BEST_FPERIOD_OVERRIDE=FQ","FILING_STATUS=MR","SCALING_FORMAT=MLN","FA_ADJUSTED=GAAP","Sort=A","Dates=H","DateFormat=P","Fill=—","Direction=H","UseDPDF=Y")</f>
        <v>3622</v>
      </c>
      <c r="AF58" s="12" cm="1">
        <f t="array" ref="AF58">_xll.BDH("CAT US Equity","EBITDA","FQ4 2025","FQ4 2025","Currency=USD","Period=FQ","BEST_FPERIOD_OVERRIDE=FQ","FILING_STATUS=MR","SCALING_FORMAT=MLN","FA_ADJUSTED=GAAP","Sort=A","Dates=H","DateFormat=P","Fill=—","Direction=H","UseDPDF=Y")</f>
        <v>3258</v>
      </c>
    </row>
    <row r="59" spans="1:32" x14ac:dyDescent="0.25">
      <c r="A59" s="10" t="s">
        <v>148</v>
      </c>
      <c r="B59" s="10" t="s">
        <v>149</v>
      </c>
      <c r="C59" s="13" cm="1">
        <f t="array" ref="C59">_xll.BDH("CAT US Equity","EBITDA_MARGIN","FQ3 2018","FQ3 2018","Currency=USD","Period=FQ","BEST_FPERIOD_OVERRIDE=FQ","FILING_STATUS=MR","FA_ADJUSTED=GAAP","Sort=A","Dates=H","DateFormat=P","Fill=—","Direction=H","UseDPDF=Y")</f>
        <v>19.870100000000001</v>
      </c>
      <c r="D59" s="13" cm="1">
        <f t="array" ref="D59">_xll.BDH("CAT US Equity","EBITDA_MARGIN","FQ4 2018","FQ4 2018","Currency=USD","Period=FQ","BEST_FPERIOD_OVERRIDE=FQ","FILING_STATUS=MR","FA_ADJUSTED=GAAP","Sort=A","Dates=H","DateFormat=P","Fill=—","Direction=H","UseDPDF=Y")</f>
        <v>20.209399999999999</v>
      </c>
      <c r="E59" s="13" cm="1">
        <f t="array" ref="E59">_xll.BDH("CAT US Equity","EBITDA_MARGIN","FQ1 2019","FQ1 2019","Currency=USD","Period=FQ","BEST_FPERIOD_OVERRIDE=FQ","FILING_STATUS=MR","FA_ADJUSTED=GAAP","Sort=A","Dates=H","DateFormat=P","Fill=—","Direction=H","UseDPDF=Y")</f>
        <v>20.21</v>
      </c>
      <c r="F59" s="13" cm="1">
        <f t="array" ref="F59">_xll.BDH("CAT US Equity","EBITDA_MARGIN","FQ2 2019","FQ2 2019","Currency=USD","Period=FQ","BEST_FPERIOD_OVERRIDE=FQ","FILING_STATUS=MR","FA_ADJUSTED=GAAP","Sort=A","Dates=H","DateFormat=P","Fill=—","Direction=H","UseDPDF=Y")</f>
        <v>20.166799999999999</v>
      </c>
      <c r="G59" s="13" cm="1">
        <f t="array" ref="G59">_xll.BDH("CAT US Equity","EBITDA_MARGIN","FQ3 2019","FQ3 2019","Currency=USD","Period=FQ","BEST_FPERIOD_OVERRIDE=FQ","FILING_STATUS=MR","FA_ADJUSTED=GAAP","Sort=A","Dates=H","DateFormat=P","Fill=—","Direction=H","UseDPDF=Y")</f>
        <v>20.244399999999999</v>
      </c>
      <c r="H59" s="13" cm="1">
        <f t="array" ref="H59">_xll.BDH("CAT US Equity","EBITDA_MARGIN","FQ4 2019","FQ4 2019","Currency=USD","Period=FQ","BEST_FPERIOD_OVERRIDE=FQ","FILING_STATUS=MR","FA_ADJUSTED=GAAP","Sort=A","Dates=H","DateFormat=P","Fill=—","Direction=H","UseDPDF=Y")</f>
        <v>20.630099999999999</v>
      </c>
      <c r="I59" s="13" cm="1">
        <f t="array" ref="I59">_xll.BDH("CAT US Equity","EBITDA_MARGIN","FQ1 2020","FQ1 2020","Currency=USD","Period=FQ","BEST_FPERIOD_OVERRIDE=FQ","FILING_STATUS=MR","FA_ADJUSTED=GAAP","Sort=A","Dates=H","DateFormat=P","Fill=—","Direction=H","UseDPDF=Y")</f>
        <v>20.021999999999998</v>
      </c>
      <c r="J59" s="13" cm="1">
        <f t="array" ref="J59">_xll.BDH("CAT US Equity","EBITDA_MARGIN","FQ2 2020","FQ2 2020","Currency=USD","Period=FQ","BEST_FPERIOD_OVERRIDE=FQ","FILING_STATUS=MR","FA_ADJUSTED=GAAP","Sort=A","Dates=H","DateFormat=P","Fill=—","Direction=H","UseDPDF=Y")</f>
        <v>18.659500000000001</v>
      </c>
      <c r="K59" s="13" cm="1">
        <f t="array" ref="K59">_xll.BDH("CAT US Equity","EBITDA_MARGIN","FQ3 2020","FQ3 2020","Currency=USD","Period=FQ","BEST_FPERIOD_OVERRIDE=FQ","FILING_STATUS=MR","FA_ADJUSTED=GAAP","Sort=A","Dates=H","DateFormat=P","Fill=—","Direction=H","UseDPDF=Y")</f>
        <v>17.264099999999999</v>
      </c>
      <c r="L59" s="13" cm="1">
        <f t="array" ref="L59">_xll.BDH("CAT US Equity","EBITDA_MARGIN","FQ4 2020","FQ4 2020","Currency=USD","Period=FQ","BEST_FPERIOD_OVERRIDE=FQ","FILING_STATUS=MR","FA_ADJUSTED=GAAP","Sort=A","Dates=H","DateFormat=P","Fill=—","Direction=H","UseDPDF=Y")</f>
        <v>16.731300000000001</v>
      </c>
      <c r="M59" s="13" cm="1">
        <f t="array" ref="M59">_xll.BDH("CAT US Equity","EBITDA_MARGIN","FQ1 2021","FQ1 2021","Currency=USD","Period=FQ","BEST_FPERIOD_OVERRIDE=FQ","FILING_STATUS=MR","FA_ADJUSTED=GAAP","Sort=A","Dates=H","DateFormat=P","Fill=—","Direction=H","UseDPDF=Y")</f>
        <v>17.1326</v>
      </c>
      <c r="N59" s="13" cm="1">
        <f t="array" ref="N59">_xll.BDH("CAT US Equity","EBITDA_MARGIN","FQ2 2021","FQ2 2021","Currency=USD","Period=FQ","BEST_FPERIOD_OVERRIDE=FQ","FILING_STATUS=MR","FA_ADJUSTED=GAAP","Sort=A","Dates=H","DateFormat=P","Fill=—","Direction=H","UseDPDF=Y")</f>
        <v>18.197099999999999</v>
      </c>
      <c r="O59" s="13" cm="1">
        <f t="array" ref="O59">_xll.BDH("CAT US Equity","EBITDA_MARGIN","FQ3 2021","FQ3 2021","Currency=USD","Period=FQ","BEST_FPERIOD_OVERRIDE=FQ","FILING_STATUS=MR","FA_ADJUSTED=GAAP","Sort=A","Dates=H","DateFormat=P","Fill=—","Direction=H","UseDPDF=Y")</f>
        <v>18.6539</v>
      </c>
      <c r="P59" s="13" cm="1">
        <f t="array" ref="P59">_xll.BDH("CAT US Equity","EBITDA_MARGIN","FQ4 2021","FQ4 2021","Currency=USD","Period=FQ","BEST_FPERIOD_OVERRIDE=FQ","FILING_STATUS=MR","FA_ADJUSTED=GAAP","Sort=A","Dates=H","DateFormat=P","Fill=—","Direction=H","UseDPDF=Y")</f>
        <v>18.1083</v>
      </c>
      <c r="Q59" s="13" cm="1">
        <f t="array" ref="Q59">_xll.BDH("CAT US Equity","EBITDA_MARGIN","FQ1 2022","FQ1 2022","Currency=USD","Period=FQ","BEST_FPERIOD_OVERRIDE=FQ","FILING_STATUS=MR","FA_ADJUSTED=GAAP","Sort=A","Dates=H","DateFormat=P","Fill=—","Direction=H","UseDPDF=Y")</f>
        <v>17.545999999999999</v>
      </c>
      <c r="R59" s="13" cm="1">
        <f t="array" ref="R59">_xll.BDH("CAT US Equity","EBITDA_MARGIN","FQ2 2022","FQ2 2022","Currency=USD","Period=FQ","BEST_FPERIOD_OVERRIDE=FQ","FILING_STATUS=MR","FA_ADJUSTED=GAAP","Sort=A","Dates=H","DateFormat=P","Fill=—","Direction=H","UseDPDF=Y")</f>
        <v>17.328900000000001</v>
      </c>
      <c r="S59" s="13" cm="1">
        <f t="array" ref="S59">_xll.BDH("CAT US Equity","EBITDA_MARGIN","FQ3 2022","FQ3 2022","Currency=USD","Period=FQ","BEST_FPERIOD_OVERRIDE=FQ","FILING_STATUS=MR","FA_ADJUSTED=GAAP","Sort=A","Dates=H","DateFormat=P","Fill=—","Direction=H","UseDPDF=Y")</f>
        <v>17.803899999999999</v>
      </c>
      <c r="T59" s="13" cm="1">
        <f t="array" ref="T59">_xll.BDH("CAT US Equity","EBITDA_MARGIN","FQ4 2022","FQ4 2022","Currency=USD","Period=FQ","BEST_FPERIOD_OVERRIDE=FQ","FILING_STATUS=MR","FA_ADJUSTED=GAAP","Sort=A","Dates=H","DateFormat=P","Fill=—","Direction=H","UseDPDF=Y")</f>
        <v>17.034300000000002</v>
      </c>
      <c r="U59" s="13" cm="1">
        <f t="array" ref="U59">_xll.BDH("CAT US Equity","EBITDA_MARGIN","FQ1 2023","FQ1 2023","Currency=USD","Period=FQ","BEST_FPERIOD_OVERRIDE=FQ","FILING_STATUS=MR","FA_ADJUSTED=GAAP","Sort=A","Dates=H","DateFormat=P","Fill=—","Direction=H","UseDPDF=Y")</f>
        <v>17.786100000000001</v>
      </c>
      <c r="V59" s="13" cm="1">
        <f t="array" ref="V59">_xll.BDH("CAT US Equity","EBITDA_MARGIN","FQ2 2023","FQ2 2023","Currency=USD","Period=FQ","BEST_FPERIOD_OVERRIDE=FQ","FILING_STATUS=MR","FA_ADJUSTED=GAAP","Sort=A","Dates=H","DateFormat=P","Fill=—","Direction=H","UseDPDF=Y")</f>
        <v>19.562799999999999</v>
      </c>
      <c r="W59" s="13" cm="1">
        <f t="array" ref="W59">_xll.BDH("CAT US Equity","EBITDA_MARGIN","FQ3 2023","FQ3 2023","Currency=USD","Period=FQ","BEST_FPERIOD_OVERRIDE=FQ","FILING_STATUS=MR","FA_ADJUSTED=GAAP","Sort=A","Dates=H","DateFormat=P","Fill=—","Direction=H","UseDPDF=Y")</f>
        <v>20.527999999999999</v>
      </c>
      <c r="X59" s="13" cm="1">
        <f t="array" ref="X59">_xll.BDH("CAT US Equity","EBITDA_MARGIN","FQ4 2023","FQ4 2023","Currency=USD","Period=FQ","BEST_FPERIOD_OVERRIDE=FQ","FILING_STATUS=MR","FA_ADJUSTED=GAAP","Sort=A","Dates=H","DateFormat=P","Fill=—","Direction=H","UseDPDF=Y")</f>
        <v>22.5321</v>
      </c>
      <c r="Y59" s="13" cm="1">
        <f t="array" ref="Y59">_xll.BDH("CAT US Equity","EBITDA_MARGIN","FQ1 2024","FQ1 2024","Currency=USD","Period=FQ","BEST_FPERIOD_OVERRIDE=FQ","FILING_STATUS=MR","FA_ADJUSTED=GAAP","Sort=A","Dates=H","DateFormat=P","Fill=—","Direction=H","UseDPDF=Y")</f>
        <v>23.717500000000001</v>
      </c>
      <c r="Z59" s="13" cm="1">
        <f t="array" ref="Z59">_xll.BDH("CAT US Equity","EBITDA_MARGIN","FQ2 2024","FQ2 2024","Currency=USD","Period=FQ","BEST_FPERIOD_OVERRIDE=FQ","FILING_STATUS=MR","FA_ADJUSTED=GAAP","Sort=A","Dates=H","DateFormat=P","Fill=—","Direction=H","UseDPDF=Y")</f>
        <v>23.669499999999999</v>
      </c>
      <c r="AA59" s="13" cm="1">
        <f t="array" ref="AA59">_xll.BDH("CAT US Equity","EBITDA_MARGIN","FQ3 2024","FQ3 2024","Currency=USD","Period=FQ","BEST_FPERIOD_OVERRIDE=FQ","FILING_STATUS=MR","FA_ADJUSTED=GAAP","Sort=A","Dates=H","DateFormat=P","Fill=—","Direction=H","UseDPDF=Y")</f>
        <v>23.4908</v>
      </c>
      <c r="AB59" s="13" cm="1">
        <f t="array" ref="AB59">_xll.BDH("CAT US Equity","EBITDA_MARGIN","FQ4 2024","FQ4 2024","Currency=USD","Period=FQ","BEST_FPERIOD_OVERRIDE=FQ","FILING_STATUS=MR","FA_ADJUSTED=GAAP","Sort=A","Dates=H","DateFormat=P","Fill=—","Direction=H","UseDPDF=Y")</f>
        <v>23.492100000000001</v>
      </c>
      <c r="AC59" s="13" cm="1">
        <f t="array" ref="AC59">_xll.BDH("CAT US Equity","EBITDA_MARGIN","FQ1 2025","FQ1 2025","Currency=USD","Period=FQ","BEST_FPERIOD_OVERRIDE=FQ","FILING_STATUS=MR","FA_ADJUSTED=GAAP","Sort=A","Dates=H","DateFormat=P","Fill=—","Direction=H","UseDPDF=Y")</f>
        <v>22.607099999999999</v>
      </c>
      <c r="AD59" s="13" cm="1">
        <f t="array" ref="AD59">_xll.BDH("CAT US Equity","EBITDA_MARGIN","FQ2 2025","FQ2 2025","Currency=USD","Period=FQ","BEST_FPERIOD_OVERRIDE=FQ","FILING_STATUS=MR","FA_ADJUSTED=GAAP","Sort=A","Dates=H","DateFormat=P","Fill=—","Direction=H","UseDPDF=Y")</f>
        <v>21.7013</v>
      </c>
      <c r="AE59" s="13" cm="1">
        <f t="array" ref="AE59">_xll.BDH("CAT US Equity","EBITDA_MARGIN","FQ3 2025","FQ3 2025","Currency=USD","Period=FQ","BEST_FPERIOD_OVERRIDE=FQ","FILING_STATUS=MR","FA_ADJUSTED=GAAP","Sort=A","Dates=H","DateFormat=P","Fill=—","Direction=H","UseDPDF=Y")</f>
        <v>21.082100000000001</v>
      </c>
      <c r="AF59" s="13" cm="1">
        <f t="array" ref="AF59">_xll.BDH("CAT US Equity","EBITDA_MARGIN","FQ4 2025","FQ4 2025","Currency=USD","Period=FQ","BEST_FPERIOD_OVERRIDE=FQ","FILING_STATUS=MR","FA_ADJUSTED=GAAP","Sort=A","Dates=H","DateFormat=P","Fill=—","Direction=H","UseDPDF=Y")</f>
        <v>19.844899999999999</v>
      </c>
    </row>
    <row r="60" spans="1:32" x14ac:dyDescent="0.25">
      <c r="A60" s="10" t="s">
        <v>150</v>
      </c>
      <c r="B60" s="10" t="s">
        <v>151</v>
      </c>
      <c r="C60" s="12" cm="1">
        <f t="array" ref="C60">_xll.BDH("CAT US Equity","CF_NET_CASH_PAID_FOR_AQUIS","FQ3 2018","FQ3 2018","Currency=USD","Period=FQ","BEST_FPERIOD_OVERRIDE=FQ","FILING_STATUS=MR","SCALING_FORMAT=MLN","Sort=A","Dates=H","DateFormat=P","Fill=—","Direction=H","UseDPDF=Y")</f>
        <v>9</v>
      </c>
      <c r="D60" s="12" cm="1">
        <f t="array" ref="D60">_xll.BDH("CAT US Equity","CF_NET_CASH_PAID_FOR_AQUIS","FQ4 2018","FQ4 2018","Currency=USD","Period=FQ","BEST_FPERIOD_OVERRIDE=FQ","FILING_STATUS=MR","SCALING_FORMAT=MLN","Sort=A","Dates=H","DateFormat=P","Fill=—","Direction=H","UseDPDF=Y")</f>
        <v>35</v>
      </c>
      <c r="E60" s="12" cm="1">
        <f t="array" ref="E60">_xll.BDH("CAT US Equity","CF_NET_CASH_PAID_FOR_AQUIS","FQ1 2019","FQ1 2019","Currency=USD","Period=FQ","BEST_FPERIOD_OVERRIDE=FQ","FILING_STATUS=MR","SCALING_FORMAT=MLN","Sort=A","Dates=H","DateFormat=P","Fill=—","Direction=H","UseDPDF=Y")</f>
        <v>2</v>
      </c>
      <c r="F60" s="12" cm="1">
        <f t="array" ref="F60">_xll.BDH("CAT US Equity","CF_NET_CASH_PAID_FOR_AQUIS","FQ2 2019","FQ2 2019","Currency=USD","Period=FQ","BEST_FPERIOD_OVERRIDE=FQ","FILING_STATUS=MR","SCALING_FORMAT=MLN","Sort=A","Dates=H","DateFormat=P","Fill=—","Direction=H","UseDPDF=Y")</f>
        <v>1</v>
      </c>
      <c r="G60" s="12" cm="1">
        <f t="array" ref="G60">_xll.BDH("CAT US Equity","CF_NET_CASH_PAID_FOR_AQUIS","FQ3 2019","FQ3 2019","Currency=USD","Period=FQ","BEST_FPERIOD_OVERRIDE=FQ","FILING_STATUS=MR","SCALING_FORMAT=MLN","Sort=A","Dates=H","DateFormat=P","Fill=—","Direction=H","UseDPDF=Y")</f>
        <v>3</v>
      </c>
      <c r="H60" s="12" cm="1">
        <f t="array" ref="H60">_xll.BDH("CAT US Equity","CF_NET_CASH_PAID_FOR_AQUIS","FQ4 2019","FQ4 2019","Currency=USD","Period=FQ","BEST_FPERIOD_OVERRIDE=FQ","FILING_STATUS=MR","SCALING_FORMAT=MLN","Sort=A","Dates=H","DateFormat=P","Fill=—","Direction=H","UseDPDF=Y")</f>
        <v>41</v>
      </c>
      <c r="I60" s="12" cm="1">
        <f t="array" ref="I60">_xll.BDH("CAT US Equity","CF_NET_CASH_PAID_FOR_AQUIS","FQ1 2020","FQ1 2020","Currency=USD","Period=FQ","BEST_FPERIOD_OVERRIDE=FQ","FILING_STATUS=MR","SCALING_FORMAT=MLN","Sort=A","Dates=H","DateFormat=P","Fill=—","Direction=H","UseDPDF=Y")</f>
        <v>35</v>
      </c>
      <c r="J60" s="12" cm="1">
        <f t="array" ref="J60">_xll.BDH("CAT US Equity","CF_NET_CASH_PAID_FOR_AQUIS","FQ2 2020","FQ2 2020","Currency=USD","Period=FQ","BEST_FPERIOD_OVERRIDE=FQ","FILING_STATUS=MR","SCALING_FORMAT=MLN","Sort=A","Dates=H","DateFormat=P","Fill=—","Direction=H","UseDPDF=Y")</f>
        <v>14</v>
      </c>
      <c r="K60" s="12" cm="1">
        <f t="array" ref="K60">_xll.BDH("CAT US Equity","CF_NET_CASH_PAID_FOR_AQUIS","FQ3 2020","FQ3 2020","Currency=USD","Period=FQ","BEST_FPERIOD_OVERRIDE=FQ","FILING_STATUS=MR","SCALING_FORMAT=MLN","Sort=A","Dates=H","DateFormat=P","Fill=—","Direction=H","UseDPDF=Y")</f>
        <v>44</v>
      </c>
      <c r="L60" s="12" cm="1">
        <f t="array" ref="L60">_xll.BDH("CAT US Equity","CF_NET_CASH_PAID_FOR_AQUIS","FQ4 2020","FQ4 2020","Currency=USD","Period=FQ","BEST_FPERIOD_OVERRIDE=FQ","FILING_STATUS=MR","SCALING_FORMAT=MLN","Sort=A","Dates=H","DateFormat=P","Fill=—","Direction=H","UseDPDF=Y")</f>
        <v>18</v>
      </c>
      <c r="M60" s="12" cm="1">
        <f t="array" ref="M60">_xll.BDH("CAT US Equity","CF_NET_CASH_PAID_FOR_AQUIS","FQ1 2021","FQ1 2021","Currency=USD","Period=FQ","BEST_FPERIOD_OVERRIDE=FQ","FILING_STATUS=MR","SCALING_FORMAT=MLN","Sort=A","Dates=H","DateFormat=P","Fill=—","Direction=H","UseDPDF=Y")</f>
        <v>386</v>
      </c>
      <c r="N60" s="12" cm="1">
        <f t="array" ref="N60">_xll.BDH("CAT US Equity","CF_NET_CASH_PAID_FOR_AQUIS","FQ2 2021","FQ2 2021","Currency=USD","Period=FQ","BEST_FPERIOD_OVERRIDE=FQ","FILING_STATUS=MR","SCALING_FORMAT=MLN","Sort=A","Dates=H","DateFormat=P","Fill=—","Direction=H","UseDPDF=Y")</f>
        <v>12</v>
      </c>
      <c r="O60" s="12" cm="1">
        <f t="array" ref="O60">_xll.BDH("CAT US Equity","CF_NET_CASH_PAID_FOR_AQUIS","FQ3 2021","FQ3 2021","Currency=USD","Period=FQ","BEST_FPERIOD_OVERRIDE=FQ","FILING_STATUS=MR","SCALING_FORMAT=MLN","Sort=A","Dates=H","DateFormat=P","Fill=—","Direction=H","UseDPDF=Y")</f>
        <v>51</v>
      </c>
      <c r="P60" s="12" cm="1">
        <f t="array" ref="P60">_xll.BDH("CAT US Equity","CF_NET_CASH_PAID_FOR_AQUIS","FQ4 2021","FQ4 2021","Currency=USD","Period=FQ","BEST_FPERIOD_OVERRIDE=FQ","FILING_STATUS=MR","SCALING_FORMAT=MLN","Sort=A","Dates=H","DateFormat=P","Fill=—","Direction=H","UseDPDF=Y")</f>
        <v>41</v>
      </c>
      <c r="Q60" s="12" cm="1">
        <f t="array" ref="Q60">_xll.BDH("CAT US Equity","CF_NET_CASH_PAID_FOR_AQUIS","FQ1 2022","FQ1 2022","Currency=USD","Period=FQ","BEST_FPERIOD_OVERRIDE=FQ","FILING_STATUS=MR","SCALING_FORMAT=MLN","Sort=A","Dates=H","DateFormat=P","Fill=—","Direction=H","UseDPDF=Y")</f>
        <v>8</v>
      </c>
      <c r="R60" s="12" cm="1">
        <f t="array" ref="R60">_xll.BDH("CAT US Equity","CF_NET_CASH_PAID_FOR_AQUIS","FQ2 2022","FQ2 2022","Currency=USD","Period=FQ","BEST_FPERIOD_OVERRIDE=FQ","FILING_STATUS=MR","SCALING_FORMAT=MLN","Sort=A","Dates=H","DateFormat=P","Fill=—","Direction=H","UseDPDF=Y")</f>
        <v>28</v>
      </c>
      <c r="S60" s="12" cm="1">
        <f t="array" ref="S60">_xll.BDH("CAT US Equity","CF_NET_CASH_PAID_FOR_AQUIS","FQ3 2022","FQ3 2022","Currency=USD","Period=FQ","BEST_FPERIOD_OVERRIDE=FQ","FILING_STATUS=MR","SCALING_FORMAT=MLN","Sort=A","Dates=H","DateFormat=P","Fill=—","Direction=H","UseDPDF=Y")</f>
        <v>8</v>
      </c>
      <c r="T60" s="12" cm="1">
        <f t="array" ref="T60">_xll.BDH("CAT US Equity","CF_NET_CASH_PAID_FOR_AQUIS","FQ4 2022","FQ4 2022","Currency=USD","Period=FQ","BEST_FPERIOD_OVERRIDE=FQ","FILING_STATUS=MR","SCALING_FORMAT=MLN","Sort=A","Dates=H","DateFormat=P","Fill=—","Direction=H","UseDPDF=Y")</f>
        <v>44</v>
      </c>
      <c r="U60" s="12" cm="1">
        <f t="array" ref="U60">_xll.BDH("CAT US Equity","CF_NET_CASH_PAID_FOR_AQUIS","FQ1 2023","FQ1 2023","Currency=USD","Period=FQ","BEST_FPERIOD_OVERRIDE=FQ","FILING_STATUS=MR","SCALING_FORMAT=MLN","Sort=A","Dates=H","DateFormat=P","Fill=—","Direction=H","UseDPDF=Y")</f>
        <v>5</v>
      </c>
      <c r="V60" s="12" cm="1">
        <f t="array" ref="V60">_xll.BDH("CAT US Equity","CF_NET_CASH_PAID_FOR_AQUIS","FQ2 2023","FQ2 2023","Currency=USD","Period=FQ","BEST_FPERIOD_OVERRIDE=FQ","FILING_STATUS=MR","SCALING_FORMAT=MLN","Sort=A","Dates=H","DateFormat=P","Fill=—","Direction=H","UseDPDF=Y")</f>
        <v>15</v>
      </c>
      <c r="W60" s="12" cm="1">
        <f t="array" ref="W60">_xll.BDH("CAT US Equity","CF_NET_CASH_PAID_FOR_AQUIS","FQ3 2023","FQ3 2023","Currency=USD","Period=FQ","BEST_FPERIOD_OVERRIDE=FQ","FILING_STATUS=MR","SCALING_FORMAT=MLN","Sort=A","Dates=H","DateFormat=P","Fill=—","Direction=H","UseDPDF=Y")</f>
        <v>47</v>
      </c>
      <c r="X60" s="12" cm="1">
        <f t="array" ref="X60">_xll.BDH("CAT US Equity","CF_NET_CASH_PAID_FOR_AQUIS","FQ4 2023","FQ4 2023","Currency=USD","Period=FQ","BEST_FPERIOD_OVERRIDE=FQ","FILING_STATUS=MR","SCALING_FORMAT=MLN","Sort=A","Dates=H","DateFormat=P","Fill=—","Direction=H","UseDPDF=Y")</f>
        <v>8</v>
      </c>
      <c r="Y60" s="12" cm="1">
        <f t="array" ref="Y60">_xll.BDH("CAT US Equity","CF_NET_CASH_PAID_FOR_AQUIS","FQ1 2024","FQ1 2024","Currency=USD","Period=FQ","BEST_FPERIOD_OVERRIDE=FQ","FILING_STATUS=MR","SCALING_FORMAT=MLN","Sort=A","Dates=H","DateFormat=P","Fill=—","Direction=H","UseDPDF=Y")</f>
        <v>0</v>
      </c>
      <c r="Z60" s="12" cm="1">
        <f t="array" ref="Z60">_xll.BDH("CAT US Equity","CF_NET_CASH_PAID_FOR_AQUIS","FQ2 2024","FQ2 2024","Currency=USD","Period=FQ","BEST_FPERIOD_OVERRIDE=FQ","FILING_STATUS=MR","SCALING_FORMAT=MLN","Sort=A","Dates=H","DateFormat=P","Fill=—","Direction=H","UseDPDF=Y")</f>
        <v>32</v>
      </c>
      <c r="AA60" s="12" cm="1">
        <f t="array" ref="AA60">_xll.BDH("CAT US Equity","CF_NET_CASH_PAID_FOR_AQUIS","FQ3 2024","FQ3 2024","Currency=USD","Period=FQ","BEST_FPERIOD_OVERRIDE=FQ","FILING_STATUS=MR","SCALING_FORMAT=MLN","Sort=A","Dates=H","DateFormat=P","Fill=—","Direction=H","UseDPDF=Y")</f>
        <v>0</v>
      </c>
      <c r="AB60" s="12" cm="1">
        <f t="array" ref="AB60">_xll.BDH("CAT US Equity","CF_NET_CASH_PAID_FOR_AQUIS","FQ4 2024","FQ4 2024","Currency=USD","Period=FQ","BEST_FPERIOD_OVERRIDE=FQ","FILING_STATUS=MR","SCALING_FORMAT=MLN","Sort=A","Dates=H","DateFormat=P","Fill=—","Direction=H","UseDPDF=Y")</f>
        <v>2</v>
      </c>
      <c r="AC60" s="12" cm="1">
        <f t="array" ref="AC60">_xll.BDH("CAT US Equity","CF_NET_CASH_PAID_FOR_AQUIS","FQ1 2025","FQ1 2025","Currency=USD","Period=FQ","BEST_FPERIOD_OVERRIDE=FQ","FILING_STATUS=MR","SCALING_FORMAT=MLN","Sort=A","Dates=H","DateFormat=P","Fill=—","Direction=H","UseDPDF=Y")</f>
        <v>2</v>
      </c>
      <c r="AD60" s="12" cm="1">
        <f t="array" ref="AD60">_xll.BDH("CAT US Equity","CF_NET_CASH_PAID_FOR_AQUIS","FQ2 2025","FQ2 2025","Currency=USD","Period=FQ","BEST_FPERIOD_OVERRIDE=FQ","FILING_STATUS=MR","SCALING_FORMAT=MLN","Sort=A","Dates=H","DateFormat=P","Fill=—","Direction=H","UseDPDF=Y")</f>
        <v>19</v>
      </c>
      <c r="AE60" s="12" cm="1">
        <f t="array" ref="AE60">_xll.BDH("CAT US Equity","CF_NET_CASH_PAID_FOR_AQUIS","FQ3 2025","FQ3 2025","Currency=USD","Period=FQ","BEST_FPERIOD_OVERRIDE=FQ","FILING_STATUS=MR","SCALING_FORMAT=MLN","Sort=A","Dates=H","DateFormat=P","Fill=—","Direction=H","UseDPDF=Y")</f>
        <v>5</v>
      </c>
      <c r="AF60" s="12" cm="1">
        <f t="array" ref="AF60">_xll.BDH("CAT US Equity","CF_NET_CASH_PAID_FOR_AQUIS","FQ4 2025","FQ4 2025","Currency=USD","Period=FQ","BEST_FPERIOD_OVERRIDE=FQ","FILING_STATUS=MR","SCALING_FORMAT=MLN","Sort=A","Dates=H","DateFormat=P","Fill=—","Direction=H","UseDPDF=Y")</f>
        <v>21</v>
      </c>
    </row>
    <row r="61" spans="1:32" x14ac:dyDescent="0.25">
      <c r="A61" s="10" t="s">
        <v>152</v>
      </c>
      <c r="B61" s="10" t="s">
        <v>153</v>
      </c>
      <c r="C61" s="12" cm="1">
        <f t="array" ref="C61">_xll.BDH("CAT US Equity","CF_FREE_CASH_FLOW","FQ3 2018","FQ3 2018","Currency=USD","Period=FQ","BEST_FPERIOD_OVERRIDE=FQ","FILING_STATUS=MR","SCALING_FORMAT=MLN","Sort=A","Dates=H","DateFormat=P","Fill=—","Direction=H","UseDPDF=Y")</f>
        <v>791</v>
      </c>
      <c r="D61" s="12" cm="1">
        <f t="array" ref="D61">_xll.BDH("CAT US Equity","CF_FREE_CASH_FLOW","FQ4 2018","FQ4 2018","Currency=USD","Period=FQ","BEST_FPERIOD_OVERRIDE=FQ","FILING_STATUS=MR","SCALING_FORMAT=MLN","Sort=A","Dates=H","DateFormat=P","Fill=—","Direction=H","UseDPDF=Y")</f>
        <v>1296</v>
      </c>
      <c r="E61" s="12" cm="1">
        <f t="array" ref="E61">_xll.BDH("CAT US Equity","CF_FREE_CASH_FLOW","FQ1 2019","FQ1 2019","Currency=USD","Period=FQ","BEST_FPERIOD_OVERRIDE=FQ","FILING_STATUS=MR","SCALING_FORMAT=MLN","Sort=A","Dates=H","DateFormat=P","Fill=—","Direction=H","UseDPDF=Y")</f>
        <v>574</v>
      </c>
      <c r="F61" s="12" cm="1">
        <f t="array" ref="F61">_xll.BDH("CAT US Equity","CF_FREE_CASH_FLOW","FQ2 2019","FQ2 2019","Currency=USD","Period=FQ","BEST_FPERIOD_OVERRIDE=FQ","FILING_STATUS=MR","SCALING_FORMAT=MLN","Sort=A","Dates=H","DateFormat=P","Fill=—","Direction=H","UseDPDF=Y")</f>
        <v>1910</v>
      </c>
      <c r="G61" s="12" cm="1">
        <f t="array" ref="G61">_xll.BDH("CAT US Equity","CF_FREE_CASH_FLOW","FQ3 2019","FQ3 2019","Currency=USD","Period=FQ","BEST_FPERIOD_OVERRIDE=FQ","FILING_STATUS=MR","SCALING_FORMAT=MLN","Sort=A","Dates=H","DateFormat=P","Fill=—","Direction=H","UseDPDF=Y")</f>
        <v>138</v>
      </c>
      <c r="H61" s="12" cm="1">
        <f t="array" ref="H61">_xll.BDH("CAT US Equity","CF_FREE_CASH_FLOW","FQ4 2019","FQ4 2019","Currency=USD","Period=FQ","BEST_FPERIOD_OVERRIDE=FQ","FILING_STATUS=MR","SCALING_FORMAT=MLN","Sort=A","Dates=H","DateFormat=P","Fill=—","Direction=H","UseDPDF=Y")</f>
        <v>1621</v>
      </c>
      <c r="I61" s="12" cm="1">
        <f t="array" ref="I61">_xll.BDH("CAT US Equity","CF_FREE_CASH_FLOW","FQ1 2020","FQ1 2020","Currency=USD","Period=FQ","BEST_FPERIOD_OVERRIDE=FQ","FILING_STATUS=MR","SCALING_FORMAT=MLN","Sort=A","Dates=H","DateFormat=P","Fill=—","Direction=H","UseDPDF=Y")</f>
        <v>582</v>
      </c>
      <c r="J61" s="12" cm="1">
        <f t="array" ref="J61">_xll.BDH("CAT US Equity","CF_FREE_CASH_FLOW","FQ2 2020","FQ2 2020","Currency=USD","Period=FQ","BEST_FPERIOD_OVERRIDE=FQ","FILING_STATUS=MR","SCALING_FORMAT=MLN","Sort=A","Dates=H","DateFormat=P","Fill=—","Direction=H","UseDPDF=Y")</f>
        <v>941</v>
      </c>
      <c r="K61" s="12" cm="1">
        <f t="array" ref="K61">_xll.BDH("CAT US Equity","CF_FREE_CASH_FLOW","FQ3 2020","FQ3 2020","Currency=USD","Period=FQ","BEST_FPERIOD_OVERRIDE=FQ","FILING_STATUS=MR","SCALING_FORMAT=MLN","Sort=A","Dates=H","DateFormat=P","Fill=—","Direction=H","UseDPDF=Y")</f>
        <v>1241</v>
      </c>
      <c r="L61" s="12" cm="1">
        <f t="array" ref="L61">_xll.BDH("CAT US Equity","CF_FREE_CASH_FLOW","FQ4 2020","FQ4 2020","Currency=USD","Period=FQ","BEST_FPERIOD_OVERRIDE=FQ","FILING_STATUS=MR","SCALING_FORMAT=MLN","Sort=A","Dates=H","DateFormat=P","Fill=—","Direction=H","UseDPDF=Y")</f>
        <v>1448</v>
      </c>
      <c r="M61" s="12" cm="1">
        <f t="array" ref="M61">_xll.BDH("CAT US Equity","CF_FREE_CASH_FLOW","FQ1 2021","FQ1 2021","Currency=USD","Period=FQ","BEST_FPERIOD_OVERRIDE=FQ","FILING_STATUS=MR","SCALING_FORMAT=MLN","Sort=A","Dates=H","DateFormat=P","Fill=—","Direction=H","UseDPDF=Y")</f>
        <v>1424</v>
      </c>
      <c r="N61" s="12" cm="1">
        <f t="array" ref="N61">_xll.BDH("CAT US Equity","CF_FREE_CASH_FLOW","FQ2 2021","FQ2 2021","Currency=USD","Period=FQ","BEST_FPERIOD_OVERRIDE=FQ","FILING_STATUS=MR","SCALING_FORMAT=MLN","Sort=A","Dates=H","DateFormat=P","Fill=—","Direction=H","UseDPDF=Y")</f>
        <v>1522</v>
      </c>
      <c r="O61" s="12" cm="1">
        <f t="array" ref="O61">_xll.BDH("CAT US Equity","CF_FREE_CASH_FLOW","FQ3 2021","FQ3 2021","Currency=USD","Period=FQ","BEST_FPERIOD_OVERRIDE=FQ","FILING_STATUS=MR","SCALING_FORMAT=MLN","Sort=A","Dates=H","DateFormat=P","Fill=—","Direction=H","UseDPDF=Y")</f>
        <v>1153</v>
      </c>
      <c r="P61" s="12" cm="1">
        <f t="array" ref="P61">_xll.BDH("CAT US Equity","CF_FREE_CASH_FLOW","FQ4 2021","FQ4 2021","Currency=USD","Period=FQ","BEST_FPERIOD_OVERRIDE=FQ","FILING_STATUS=MR","SCALING_FORMAT=MLN","Sort=A","Dates=H","DateFormat=P","Fill=—","Direction=H","UseDPDF=Y")</f>
        <v>627</v>
      </c>
      <c r="Q61" s="12" cm="1">
        <f t="array" ref="Q61">_xll.BDH("CAT US Equity","CF_FREE_CASH_FLOW","FQ1 2022","FQ1 2022","Currency=USD","Period=FQ","BEST_FPERIOD_OVERRIDE=FQ","FILING_STATUS=MR","SCALING_FORMAT=MLN","Sort=A","Dates=H","DateFormat=P","Fill=—","Direction=H","UseDPDF=Y")</f>
        <v>-366</v>
      </c>
      <c r="R61" s="12" cm="1">
        <f t="array" ref="R61">_xll.BDH("CAT US Equity","CF_FREE_CASH_FLOW","FQ2 2022","FQ2 2022","Currency=USD","Period=FQ","BEST_FPERIOD_OVERRIDE=FQ","FILING_STATUS=MR","SCALING_FORMAT=MLN","Sort=A","Dates=H","DateFormat=P","Fill=—","Direction=H","UseDPDF=Y")</f>
        <v>1638</v>
      </c>
      <c r="S61" s="12" cm="1">
        <f t="array" ref="S61">_xll.BDH("CAT US Equity","CF_FREE_CASH_FLOW","FQ3 2022","FQ3 2022","Currency=USD","Period=FQ","BEST_FPERIOD_OVERRIDE=FQ","FILING_STATUS=MR","SCALING_FORMAT=MLN","Sort=A","Dates=H","DateFormat=P","Fill=—","Direction=H","UseDPDF=Y")</f>
        <v>1864</v>
      </c>
      <c r="T61" s="12" cm="1">
        <f t="array" ref="T61">_xll.BDH("CAT US Equity","CF_FREE_CASH_FLOW","FQ4 2022","FQ4 2022","Currency=USD","Period=FQ","BEST_FPERIOD_OVERRIDE=FQ","FILING_STATUS=MR","SCALING_FORMAT=MLN","Sort=A","Dates=H","DateFormat=P","Fill=—","Direction=H","UseDPDF=Y")</f>
        <v>2031</v>
      </c>
      <c r="U61" s="12" cm="1">
        <f t="array" ref="U61">_xll.BDH("CAT US Equity","CF_FREE_CASH_FLOW","FQ1 2023","FQ1 2023","Currency=USD","Period=FQ","BEST_FPERIOD_OVERRIDE=FQ","FILING_STATUS=MR","SCALING_FORMAT=MLN","Sort=A","Dates=H","DateFormat=P","Fill=—","Direction=H","UseDPDF=Y")</f>
        <v>823</v>
      </c>
      <c r="V61" s="12" cm="1">
        <f t="array" ref="V61">_xll.BDH("CAT US Equity","CF_FREE_CASH_FLOW","FQ2 2023","FQ2 2023","Currency=USD","Period=FQ","BEST_FPERIOD_OVERRIDE=FQ","FILING_STATUS=MR","SCALING_FORMAT=MLN","Sort=A","Dates=H","DateFormat=P","Fill=—","Direction=H","UseDPDF=Y")</f>
        <v>2542</v>
      </c>
      <c r="W61" s="12" cm="1">
        <f t="array" ref="W61">_xll.BDH("CAT US Equity","CF_FREE_CASH_FLOW","FQ3 2023","FQ3 2023","Currency=USD","Period=FQ","BEST_FPERIOD_OVERRIDE=FQ","FILING_STATUS=MR","SCALING_FORMAT=MLN","Sort=A","Dates=H","DateFormat=P","Fill=—","Direction=H","UseDPDF=Y")</f>
        <v>3279</v>
      </c>
      <c r="X61" s="12" cm="1">
        <f t="array" ref="X61">_xll.BDH("CAT US Equity","CF_FREE_CASH_FLOW","FQ4 2023","FQ4 2023","Currency=USD","Period=FQ","BEST_FPERIOD_OVERRIDE=FQ","FILING_STATUS=MR","SCALING_FORMAT=MLN","Sort=A","Dates=H","DateFormat=P","Fill=—","Direction=H","UseDPDF=Y")</f>
        <v>3149</v>
      </c>
      <c r="Y61" s="12" cm="1">
        <f t="array" ref="Y61">_xll.BDH("CAT US Equity","CF_FREE_CASH_FLOW","FQ1 2024","FQ1 2024","Currency=USD","Period=FQ","BEST_FPERIOD_OVERRIDE=FQ","FILING_STATUS=MR","SCALING_FORMAT=MLN","Sort=A","Dates=H","DateFormat=P","Fill=—","Direction=H","UseDPDF=Y")</f>
        <v>1316</v>
      </c>
      <c r="Z61" s="12" cm="1">
        <f t="array" ref="Z61">_xll.BDH("CAT US Equity","CF_FREE_CASH_FLOW","FQ2 2024","FQ2 2024","Currency=USD","Period=FQ","BEST_FPERIOD_OVERRIDE=FQ","FILING_STATUS=MR","SCALING_FORMAT=MLN","Sort=A","Dates=H","DateFormat=P","Fill=—","Direction=H","UseDPDF=Y")</f>
        <v>2302</v>
      </c>
      <c r="AA61" s="12" cm="1">
        <f t="array" ref="AA61">_xll.BDH("CAT US Equity","CF_FREE_CASH_FLOW","FQ3 2024","FQ3 2024","Currency=USD","Period=FQ","BEST_FPERIOD_OVERRIDE=FQ","FILING_STATUS=MR","SCALING_FORMAT=MLN","Sort=A","Dates=H","DateFormat=P","Fill=—","Direction=H","UseDPDF=Y")</f>
        <v>2846</v>
      </c>
      <c r="AB61" s="12" cm="1">
        <f t="array" ref="AB61">_xll.BDH("CAT US Equity","CF_FREE_CASH_FLOW","FQ4 2024","FQ4 2024","Currency=USD","Period=FQ","BEST_FPERIOD_OVERRIDE=FQ","FILING_STATUS=MR","SCALING_FORMAT=MLN","Sort=A","Dates=H","DateFormat=P","Fill=—","Direction=H","UseDPDF=Y")</f>
        <v>2356</v>
      </c>
      <c r="AC61" s="12" cm="1">
        <f t="array" ref="AC61">_xll.BDH("CAT US Equity","CF_FREE_CASH_FLOW","FQ1 2025","FQ1 2025","Currency=USD","Period=FQ","BEST_FPERIOD_OVERRIDE=FQ","FILING_STATUS=MR","SCALING_FORMAT=MLN","Sort=A","Dates=H","DateFormat=P","Fill=—","Direction=H","UseDPDF=Y")</f>
        <v>371</v>
      </c>
      <c r="AD61" s="12" cm="1">
        <f t="array" ref="AD61">_xll.BDH("CAT US Equity","CF_FREE_CASH_FLOW","FQ2 2025","FQ2 2025","Currency=USD","Period=FQ","BEST_FPERIOD_OVERRIDE=FQ","FILING_STATUS=MR","SCALING_FORMAT=MLN","Sort=A","Dates=H","DateFormat=P","Fill=—","Direction=H","UseDPDF=Y")</f>
        <v>2167</v>
      </c>
      <c r="AE61" s="12" cm="1">
        <f t="array" ref="AE61">_xll.BDH("CAT US Equity","CF_FREE_CASH_FLOW","FQ3 2025","FQ3 2025","Currency=USD","Period=FQ","BEST_FPERIOD_OVERRIDE=FQ","FILING_STATUS=MR","SCALING_FORMAT=MLN","Sort=A","Dates=H","DateFormat=P","Fill=—","Direction=H","UseDPDF=Y")</f>
        <v>2666</v>
      </c>
      <c r="AF61" s="12" cm="1">
        <f t="array" ref="AF61">_xll.BDH("CAT US Equity","CF_FREE_CASH_FLOW","FQ4 2025","FQ4 2025","Currency=USD","Period=FQ","BEST_FPERIOD_OVERRIDE=FQ","FILING_STATUS=MR","SCALING_FORMAT=MLN","Sort=A","Dates=H","DateFormat=P","Fill=—","Direction=H","UseDPDF=Y")</f>
        <v>2249</v>
      </c>
    </row>
    <row r="62" spans="1:32" x14ac:dyDescent="0.25">
      <c r="A62" s="10" t="s">
        <v>154</v>
      </c>
      <c r="B62" s="10" t="s">
        <v>155</v>
      </c>
      <c r="C62" s="12" cm="1">
        <f t="array" ref="C62">_xll.BDH("CAT US Equity","CF_FREE_CASH_FLOW_FIRM","FQ3 2018","FQ3 2018","Currency=USD","Period=FQ","BEST_FPERIOD_OVERRIDE=FQ","FILING_STATUS=MR","SCALING_FORMAT=MLN","FA_ADJUSTED=GAAP","Sort=A","Dates=H","DateFormat=P","Fill=—","Direction=H","UseDPDF=Y")</f>
        <v>873.17330000000004</v>
      </c>
      <c r="D62" s="12" cm="1">
        <f t="array" ref="D62">_xll.BDH("CAT US Equity","CF_FREE_CASH_FLOW_FIRM","FQ4 2018","FQ4 2018","Currency=USD","Period=FQ","BEST_FPERIOD_OVERRIDE=FQ","FILING_STATUS=MR","SCALING_FORMAT=MLN","FA_ADJUSTED=GAAP","Sort=A","Dates=H","DateFormat=P","Fill=—","Direction=H","UseDPDF=Y")</f>
        <v>1371.7527</v>
      </c>
      <c r="E62" s="12" cm="1">
        <f t="array" ref="E62">_xll.BDH("CAT US Equity","CF_FREE_CASH_FLOW_FIRM","FQ1 2019","FQ1 2019","Currency=USD","Period=FQ","BEST_FPERIOD_OVERRIDE=FQ","FILING_STATUS=MR","SCALING_FORMAT=MLN","FA_ADJUSTED=GAAP","Sort=A","Dates=H","DateFormat=P","Fill=—","Direction=H","UseDPDF=Y")</f>
        <v>659.39359999999999</v>
      </c>
      <c r="F62" s="12" cm="1">
        <f t="array" ref="F62">_xll.BDH("CAT US Equity","CF_FREE_CASH_FLOW_FIRM","FQ2 2019","FQ2 2019","Currency=USD","Period=FQ","BEST_FPERIOD_OVERRIDE=FQ","FILING_STATUS=MR","SCALING_FORMAT=MLN","FA_ADJUSTED=GAAP","Sort=A","Dates=H","DateFormat=P","Fill=—","Direction=H","UseDPDF=Y")</f>
        <v>1986.2805000000001</v>
      </c>
      <c r="G62" s="12" cm="1">
        <f t="array" ref="G62">_xll.BDH("CAT US Equity","CF_FREE_CASH_FLOW_FIRM","FQ3 2019","FQ3 2019","Currency=USD","Period=FQ","BEST_FPERIOD_OVERRIDE=FQ","FILING_STATUS=MR","SCALING_FORMAT=MLN","FA_ADJUSTED=GAAP","Sort=A","Dates=H","DateFormat=P","Fill=—","Direction=H","UseDPDF=Y")</f>
        <v>214.3895</v>
      </c>
      <c r="H62" s="12" cm="1">
        <f t="array" ref="H62">_xll.BDH("CAT US Equity","CF_FREE_CASH_FLOW_FIRM","FQ4 2019","FQ4 2019","Currency=USD","Period=FQ","BEST_FPERIOD_OVERRIDE=FQ","FILING_STATUS=MR","SCALING_FORMAT=MLN","FA_ADJUSTED=GAAP","Sort=A","Dates=H","DateFormat=P","Fill=—","Direction=H","UseDPDF=Y")</f>
        <v>1710.3538000000001</v>
      </c>
      <c r="I62" s="12" cm="1">
        <f t="array" ref="I62">_xll.BDH("CAT US Equity","CF_FREE_CASH_FLOW_FIRM","FQ1 2020","FQ1 2020","Currency=USD","Period=FQ","BEST_FPERIOD_OVERRIDE=FQ","FILING_STATUS=MR","SCALING_FORMAT=MLN","FA_ADJUSTED=GAAP","Sort=A","Dates=H","DateFormat=P","Fill=—","Direction=H","UseDPDF=Y")</f>
        <v>663.25840000000005</v>
      </c>
      <c r="J62" s="12" cm="1">
        <f t="array" ref="J62">_xll.BDH("CAT US Equity","CF_FREE_CASH_FLOW_FIRM","FQ2 2020","FQ2 2020","Currency=USD","Period=FQ","BEST_FPERIOD_OVERRIDE=FQ","FILING_STATUS=MR","SCALING_FORMAT=MLN","FA_ADJUSTED=GAAP","Sort=A","Dates=H","DateFormat=P","Fill=—","Direction=H","UseDPDF=Y")</f>
        <v>1030.8009</v>
      </c>
      <c r="K62" s="12" cm="1">
        <f t="array" ref="K62">_xll.BDH("CAT US Equity","CF_FREE_CASH_FLOW_FIRM","FQ3 2020","FQ3 2020","Currency=USD","Period=FQ","BEST_FPERIOD_OVERRIDE=FQ","FILING_STATUS=MR","SCALING_FORMAT=MLN","FA_ADJUSTED=GAAP","Sort=A","Dates=H","DateFormat=P","Fill=—","Direction=H","UseDPDF=Y")</f>
        <v>1347.5307</v>
      </c>
      <c r="L62" s="12" cm="1">
        <f t="array" ref="L62">_xll.BDH("CAT US Equity","CF_FREE_CASH_FLOW_FIRM","FQ4 2020","FQ4 2020","Currency=USD","Period=FQ","BEST_FPERIOD_OVERRIDE=FQ","FILING_STATUS=MR","SCALING_FORMAT=MLN","FA_ADJUSTED=GAAP","Sort=A","Dates=H","DateFormat=P","Fill=—","Direction=H","UseDPDF=Y")</f>
        <v>1554.9287999999999</v>
      </c>
      <c r="M62" s="12" cm="1">
        <f t="array" ref="M62">_xll.BDH("CAT US Equity","CF_FREE_CASH_FLOW_FIRM","FQ1 2021","FQ1 2021","Currency=USD","Period=FQ","BEST_FPERIOD_OVERRIDE=FQ","FILING_STATUS=MR","SCALING_FORMAT=MLN","FA_ADJUSTED=GAAP","Sort=A","Dates=H","DateFormat=P","Fill=—","Direction=H","UseDPDF=Y")</f>
        <v>1532.2243000000001</v>
      </c>
      <c r="N62" s="12" cm="1">
        <f t="array" ref="N62">_xll.BDH("CAT US Equity","CF_FREE_CASH_FLOW_FIRM","FQ2 2021","FQ2 2021","Currency=USD","Period=FQ","BEST_FPERIOD_OVERRIDE=FQ","FILING_STATUS=MR","SCALING_FORMAT=MLN","FA_ADJUSTED=GAAP","Sort=A","Dates=H","DateFormat=P","Fill=—","Direction=H","UseDPDF=Y")</f>
        <v>1611.8396</v>
      </c>
      <c r="O62" s="12" cm="1">
        <f t="array" ref="O62">_xll.BDH("CAT US Equity","CF_FREE_CASH_FLOW_FIRM","FQ3 2021","FQ3 2021","Currency=USD","Period=FQ","BEST_FPERIOD_OVERRIDE=FQ","FILING_STATUS=MR","SCALING_FORMAT=MLN","FA_ADJUSTED=GAAP","Sort=A","Dates=H","DateFormat=P","Fill=—","Direction=H","UseDPDF=Y")</f>
        <v>1243.3651</v>
      </c>
      <c r="P62" s="12" cm="1">
        <f t="array" ref="P62">_xll.BDH("CAT US Equity","CF_FREE_CASH_FLOW_FIRM","FQ4 2021","FQ4 2021","Currency=USD","Period=FQ","BEST_FPERIOD_OVERRIDE=FQ","FILING_STATUS=MR","SCALING_FORMAT=MLN","FA_ADJUSTED=GAAP","Sort=A","Dates=H","DateFormat=P","Fill=—","Direction=H","UseDPDF=Y")</f>
        <v>720.24590000000001</v>
      </c>
      <c r="Q62" s="12" cm="1">
        <f t="array" ref="Q62">_xll.BDH("CAT US Equity","CF_FREE_CASH_FLOW_FIRM","FQ1 2022","FQ1 2022","Currency=USD","Period=FQ","BEST_FPERIOD_OVERRIDE=FQ","FILING_STATUS=MR","SCALING_FORMAT=MLN","FA_ADJUSTED=GAAP","Sort=A","Dates=H","DateFormat=P","Fill=—","Direction=H","UseDPDF=Y")</f>
        <v>-282.57330000000002</v>
      </c>
      <c r="R62" s="12" cm="1">
        <f t="array" ref="R62">_xll.BDH("CAT US Equity","CF_FREE_CASH_FLOW_FIRM","FQ2 2022","FQ2 2022","Currency=USD","Period=FQ","BEST_FPERIOD_OVERRIDE=FQ","FILING_STATUS=MR","SCALING_FORMAT=MLN","FA_ADJUSTED=GAAP","Sort=A","Dates=H","DateFormat=P","Fill=—","Direction=H","UseDPDF=Y")</f>
        <v>1723.9981</v>
      </c>
      <c r="S62" s="12" cm="1">
        <f t="array" ref="S62">_xll.BDH("CAT US Equity","CF_FREE_CASH_FLOW_FIRM","FQ3 2022","FQ3 2022","Currency=USD","Period=FQ","BEST_FPERIOD_OVERRIDE=FQ","FILING_STATUS=MR","SCALING_FORMAT=MLN","FA_ADJUSTED=GAAP","Sort=A","Dates=H","DateFormat=P","Fill=—","Direction=H","UseDPDF=Y")</f>
        <v>1950.5437999999999</v>
      </c>
      <c r="T62" s="12" cm="1">
        <f t="array" ref="T62">_xll.BDH("CAT US Equity","CF_FREE_CASH_FLOW_FIRM","FQ4 2022","FQ4 2022","Currency=USD","Period=FQ","BEST_FPERIOD_OVERRIDE=FQ","FILING_STATUS=MR","SCALING_FORMAT=MLN","FA_ADJUSTED=GAAP","Sort=A","Dates=H","DateFormat=P","Fill=—","Direction=H","UseDPDF=Y")</f>
        <v>2112.1028999999999</v>
      </c>
      <c r="U62" s="12" cm="1">
        <f t="array" ref="U62">_xll.BDH("CAT US Equity","CF_FREE_CASH_FLOW_FIRM","FQ1 2023","FQ1 2023","Currency=USD","Period=FQ","BEST_FPERIOD_OVERRIDE=FQ","FILING_STATUS=MR","SCALING_FORMAT=MLN","FA_ADJUSTED=GAAP","Sort=A","Dates=H","DateFormat=P","Fill=—","Direction=H","UseDPDF=Y")</f>
        <v>917.32569999999998</v>
      </c>
      <c r="V62" s="12" cm="1">
        <f t="array" ref="V62">_xll.BDH("CAT US Equity","CF_FREE_CASH_FLOW_FIRM","FQ2 2023","FQ2 2023","Currency=USD","Period=FQ","BEST_FPERIOD_OVERRIDE=FQ","FILING_STATUS=MR","SCALING_FORMAT=MLN","FA_ADJUSTED=GAAP","Sort=A","Dates=H","DateFormat=P","Fill=—","Direction=H","UseDPDF=Y")</f>
        <v>2642.8488000000002</v>
      </c>
      <c r="W62" s="12" cm="1">
        <f t="array" ref="W62">_xll.BDH("CAT US Equity","CF_FREE_CASH_FLOW_FIRM","FQ3 2023","FQ3 2023","Currency=USD","Period=FQ","BEST_FPERIOD_OVERRIDE=FQ","FILING_STATUS=MR","SCALING_FORMAT=MLN","FA_ADJUSTED=GAAP","Sort=A","Dates=H","DateFormat=P","Fill=—","Direction=H","UseDPDF=Y")</f>
        <v>3381.0623000000001</v>
      </c>
      <c r="X62" s="12" cm="1">
        <f t="array" ref="X62">_xll.BDH("CAT US Equity","CF_FREE_CASH_FLOW_FIRM","FQ4 2023","FQ4 2023","Currency=USD","Period=FQ","BEST_FPERIOD_OVERRIDE=FQ","FILING_STATUS=MR","SCALING_FORMAT=MLN","FA_ADJUSTED=GAAP","Sort=A","Dates=H","DateFormat=P","Fill=—","Direction=H","UseDPDF=Y")</f>
        <v>3252.2354999999998</v>
      </c>
      <c r="Y62" s="12" cm="1">
        <f t="array" ref="Y62">_xll.BDH("CAT US Equity","CF_FREE_CASH_FLOW_FIRM","FQ1 2024","FQ1 2024","Currency=USD","Period=FQ","BEST_FPERIOD_OVERRIDE=FQ","FILING_STATUS=MR","SCALING_FORMAT=MLN","FA_ADJUSTED=GAAP","Sort=A","Dates=H","DateFormat=P","Fill=—","Direction=H","UseDPDF=Y")</f>
        <v>1431.145</v>
      </c>
      <c r="Z62" s="12" cm="1">
        <f t="array" ref="Z62">_xll.BDH("CAT US Equity","CF_FREE_CASH_FLOW_FIRM","FQ2 2024","FQ2 2024","Currency=USD","Period=FQ","BEST_FPERIOD_OVERRIDE=FQ","FILING_STATUS=MR","SCALING_FORMAT=MLN","FA_ADJUSTED=GAAP","Sort=A","Dates=H","DateFormat=P","Fill=—","Direction=H","UseDPDF=Y")</f>
        <v>2406.2766000000001</v>
      </c>
      <c r="AA62" s="12" cm="1">
        <f t="array" ref="AA62">_xll.BDH("CAT US Equity","CF_FREE_CASH_FLOW_FIRM","FQ3 2024","FQ3 2024","Currency=USD","Period=FQ","BEST_FPERIOD_OVERRIDE=FQ","FILING_STATUS=MR","SCALING_FORMAT=MLN","FA_ADJUSTED=GAAP","Sort=A","Dates=H","DateFormat=P","Fill=—","Direction=H","UseDPDF=Y")</f>
        <v>2945.0962</v>
      </c>
      <c r="AB62" s="12" cm="1">
        <f t="array" ref="AB62">_xll.BDH("CAT US Equity","CF_FREE_CASH_FLOW_FIRM","FQ4 2024","FQ4 2024","Currency=USD","Period=FQ","BEST_FPERIOD_OVERRIDE=FQ","FILING_STATUS=MR","SCALING_FORMAT=MLN","FA_ADJUSTED=GAAP","Sort=A","Dates=H","DateFormat=P","Fill=—","Direction=H","UseDPDF=Y")</f>
        <v>2447.7237</v>
      </c>
      <c r="AC62" s="12" cm="1">
        <f t="array" ref="AC62">_xll.BDH("CAT US Equity","CF_FREE_CASH_FLOW_FIRM","FQ1 2025","FQ1 2025","Currency=USD","Period=FQ","BEST_FPERIOD_OVERRIDE=FQ","FILING_STATUS=MR","SCALING_FORMAT=MLN","FA_ADJUSTED=GAAP","Sort=A","Dates=H","DateFormat=P","Fill=—","Direction=H","UseDPDF=Y")</f>
        <v>461.09179999999998</v>
      </c>
      <c r="AD62" s="12" cm="1">
        <f t="array" ref="AD62">_xll.BDH("CAT US Equity","CF_FREE_CASH_FLOW_FIRM","FQ2 2025","FQ2 2025","Currency=USD","Period=FQ","BEST_FPERIOD_OVERRIDE=FQ","FILING_STATUS=MR","SCALING_FORMAT=MLN","FA_ADJUSTED=GAAP","Sort=A","Dates=H","DateFormat=P","Fill=—","Direction=H","UseDPDF=Y")</f>
        <v>2264.1156999999998</v>
      </c>
      <c r="AE62" s="12" cm="1">
        <f t="array" ref="AE62">_xll.BDH("CAT US Equity","CF_FREE_CASH_FLOW_FIRM","FQ3 2025","FQ3 2025","Currency=USD","Period=FQ","BEST_FPERIOD_OVERRIDE=FQ","FILING_STATUS=MR","SCALING_FORMAT=MLN","FA_ADJUSTED=GAAP","Sort=A","Dates=H","DateFormat=P","Fill=—","Direction=H","UseDPDF=Y")</f>
        <v>2763.4425999999999</v>
      </c>
      <c r="AF62" s="12" cm="1">
        <f t="array" ref="AF62">_xll.BDH("CAT US Equity","CF_FREE_CASH_FLOW_FIRM","FQ4 2025","FQ4 2025","Currency=USD","Period=FQ","BEST_FPERIOD_OVERRIDE=FQ","FILING_STATUS=MR","SCALING_FORMAT=MLN","FA_ADJUSTED=GAAP","Sort=A","Dates=H","DateFormat=P","Fill=—","Direction=H","UseDPDF=Y")</f>
        <v>2346.1176</v>
      </c>
    </row>
    <row r="63" spans="1:32" x14ac:dyDescent="0.25">
      <c r="A63" s="10" t="s">
        <v>156</v>
      </c>
      <c r="B63" s="10" t="s">
        <v>157</v>
      </c>
      <c r="C63" s="12" cm="1">
        <f t="array" ref="C63">_xll.BDH("CAT US Equity","FREE_CASH_FLOW_EQUITY","FQ3 2018","FQ3 2018","Currency=USD","Period=FQ","BEST_FPERIOD_OVERRIDE=FQ","FILING_STATUS=MR","SCALING_FORMAT=MLN","Sort=A","Dates=H","DateFormat=P","Fill=—","Direction=H","UseDPDF=Y")</f>
        <v>592</v>
      </c>
      <c r="D63" s="12" cm="1">
        <f t="array" ref="D63">_xll.BDH("CAT US Equity","FREE_CASH_FLOW_EQUITY","FQ4 2018","FQ4 2018","Currency=USD","Period=FQ","BEST_FPERIOD_OVERRIDE=FQ","FILING_STATUS=MR","SCALING_FORMAT=MLN","Sort=A","Dates=H","DateFormat=P","Fill=—","Direction=H","UseDPDF=Y")</f>
        <v>2374</v>
      </c>
      <c r="E63" s="12" cm="1">
        <f t="array" ref="E63">_xll.BDH("CAT US Equity","FREE_CASH_FLOW_EQUITY","FQ1 2019","FQ1 2019","Currency=USD","Period=FQ","BEST_FPERIOD_OVERRIDE=FQ","FILING_STATUS=MR","SCALING_FORMAT=MLN","Sort=A","Dates=H","DateFormat=P","Fill=—","Direction=H","UseDPDF=Y")</f>
        <v>359</v>
      </c>
      <c r="F63" s="12" cm="1">
        <f t="array" ref="F63">_xll.BDH("CAT US Equity","FREE_CASH_FLOW_EQUITY","FQ2 2019","FQ2 2019","Currency=USD","Period=FQ","BEST_FPERIOD_OVERRIDE=FQ","FILING_STATUS=MR","SCALING_FORMAT=MLN","Sort=A","Dates=H","DateFormat=P","Fill=—","Direction=H","UseDPDF=Y")</f>
        <v>2550</v>
      </c>
      <c r="G63" s="12" cm="1">
        <f t="array" ref="G63">_xll.BDH("CAT US Equity","FREE_CASH_FLOW_EQUITY","FQ3 2019","FQ3 2019","Currency=USD","Period=FQ","BEST_FPERIOD_OVERRIDE=FQ","FILING_STATUS=MR","SCALING_FORMAT=MLN","Sort=A","Dates=H","DateFormat=P","Fill=—","Direction=H","UseDPDF=Y")</f>
        <v>2284</v>
      </c>
      <c r="H63" s="12" cm="1">
        <f t="array" ref="H63">_xll.BDH("CAT US Equity","FREE_CASH_FLOW_EQUITY","FQ4 2019","FQ4 2019","Currency=USD","Period=FQ","BEST_FPERIOD_OVERRIDE=FQ","FILING_STATUS=MR","SCALING_FORMAT=MLN","Sort=A","Dates=H","DateFormat=P","Fill=—","Direction=H","UseDPDF=Y")</f>
        <v>1609</v>
      </c>
      <c r="I63" s="12" cm="1">
        <f t="array" ref="I63">_xll.BDH("CAT US Equity","FREE_CASH_FLOW_EQUITY","FQ1 2020","FQ1 2020","Currency=USD","Period=FQ","BEST_FPERIOD_OVERRIDE=FQ","FILING_STATUS=MR","SCALING_FORMAT=MLN","Sort=A","Dates=H","DateFormat=P","Fill=—","Direction=H","UseDPDF=Y")</f>
        <v>433</v>
      </c>
      <c r="J63" s="12" cm="1">
        <f t="array" ref="J63">_xll.BDH("CAT US Equity","FREE_CASH_FLOW_EQUITY","FQ2 2020","FQ2 2020","Currency=USD","Period=FQ","BEST_FPERIOD_OVERRIDE=FQ","FILING_STATUS=MR","SCALING_FORMAT=MLN","Sort=A","Dates=H","DateFormat=P","Fill=—","Direction=H","UseDPDF=Y")</f>
        <v>2525</v>
      </c>
      <c r="K63" s="12" cm="1">
        <f t="array" ref="K63">_xll.BDH("CAT US Equity","FREE_CASH_FLOW_EQUITY","FQ3 2020","FQ3 2020","Currency=USD","Period=FQ","BEST_FPERIOD_OVERRIDE=FQ","FILING_STATUS=MR","SCALING_FORMAT=MLN","Sort=A","Dates=H","DateFormat=P","Fill=—","Direction=H","UseDPDF=Y")</f>
        <v>847</v>
      </c>
      <c r="L63" s="12" cm="1">
        <f t="array" ref="L63">_xll.BDH("CAT US Equity","FREE_CASH_FLOW_EQUITY","FQ4 2020","FQ4 2020","Currency=USD","Period=FQ","BEST_FPERIOD_OVERRIDE=FQ","FILING_STATUS=MR","SCALING_FORMAT=MLN","Sort=A","Dates=H","DateFormat=P","Fill=—","Direction=H","UseDPDF=Y")</f>
        <v>569</v>
      </c>
      <c r="M63" s="12" cm="1">
        <f t="array" ref="M63">_xll.BDH("CAT US Equity","FREE_CASH_FLOW_EQUITY","FQ1 2021","FQ1 2021","Currency=USD","Period=FQ","BEST_FPERIOD_OVERRIDE=FQ","FILING_STATUS=MR","SCALING_FORMAT=MLN","Sort=A","Dates=H","DateFormat=P","Fill=—","Direction=H","UseDPDF=Y")</f>
        <v>2778</v>
      </c>
      <c r="N63" s="12" cm="1">
        <f t="array" ref="N63">_xll.BDH("CAT US Equity","FREE_CASH_FLOW_EQUITY","FQ2 2021","FQ2 2021","Currency=USD","Period=FQ","BEST_FPERIOD_OVERRIDE=FQ","FILING_STATUS=MR","SCALING_FORMAT=MLN","Sort=A","Dates=H","DateFormat=P","Fill=—","Direction=H","UseDPDF=Y")</f>
        <v>1204</v>
      </c>
      <c r="O63" s="12" cm="1">
        <f t="array" ref="O63">_xll.BDH("CAT US Equity","FREE_CASH_FLOW_EQUITY","FQ3 2021","FQ3 2021","Currency=USD","Period=FQ","BEST_FPERIOD_OVERRIDE=FQ","FILING_STATUS=MR","SCALING_FORMAT=MLN","Sort=A","Dates=H","DateFormat=P","Fill=—","Direction=H","UseDPDF=Y")</f>
        <v>629</v>
      </c>
      <c r="P63" s="12" cm="1">
        <f t="array" ref="P63">_xll.BDH("CAT US Equity","FREE_CASH_FLOW_EQUITY","FQ4 2021","FQ4 2021","Currency=USD","Period=FQ","BEST_FPERIOD_OVERRIDE=FQ","FILING_STATUS=MR","SCALING_FORMAT=MLN","Sort=A","Dates=H","DateFormat=P","Fill=—","Direction=H","UseDPDF=Y")</f>
        <v>2061</v>
      </c>
      <c r="Q63" s="12" cm="1">
        <f t="array" ref="Q63">_xll.BDH("CAT US Equity","FREE_CASH_FLOW_EQUITY","FQ1 2022","FQ1 2022","Currency=USD","Period=FQ","BEST_FPERIOD_OVERRIDE=FQ","FILING_STATUS=MR","SCALING_FORMAT=MLN","Sort=A","Dates=H","DateFormat=P","Fill=—","Direction=H","UseDPDF=Y")</f>
        <v>-369</v>
      </c>
      <c r="R63" s="12" cm="1">
        <f t="array" ref="R63">_xll.BDH("CAT US Equity","FREE_CASH_FLOW_EQUITY","FQ2 2022","FQ2 2022","Currency=USD","Period=FQ","BEST_FPERIOD_OVERRIDE=FQ","FILING_STATUS=MR","SCALING_FORMAT=MLN","Sort=A","Dates=H","DateFormat=P","Fill=—","Direction=H","UseDPDF=Y")</f>
        <v>1325</v>
      </c>
      <c r="S63" s="12" cm="1">
        <f t="array" ref="S63">_xll.BDH("CAT US Equity","FREE_CASH_FLOW_EQUITY","FQ3 2022","FQ3 2022","Currency=USD","Period=FQ","BEST_FPERIOD_OVERRIDE=FQ","FILING_STATUS=MR","SCALING_FORMAT=MLN","Sort=A","Dates=H","DateFormat=P","Fill=—","Direction=H","UseDPDF=Y")</f>
        <v>1816</v>
      </c>
      <c r="T63" s="12" cm="1">
        <f t="array" ref="T63">_xll.BDH("CAT US Equity","FREE_CASH_FLOW_EQUITY","FQ4 2022","FQ4 2022","Currency=USD","Period=FQ","BEST_FPERIOD_OVERRIDE=FQ","FILING_STATUS=MR","SCALING_FORMAT=MLN","Sort=A","Dates=H","DateFormat=P","Fill=—","Direction=H","UseDPDF=Y")</f>
        <v>2573</v>
      </c>
      <c r="U63" s="12" cm="1">
        <f t="array" ref="U63">_xll.BDH("CAT US Equity","FREE_CASH_FLOW_EQUITY","FQ1 2023","FQ1 2023","Currency=USD","Period=FQ","BEST_FPERIOD_OVERRIDE=FQ","FILING_STATUS=MR","SCALING_FORMAT=MLN","Sort=A","Dates=H","DateFormat=P","Fill=—","Direction=H","UseDPDF=Y")</f>
        <v>946</v>
      </c>
      <c r="V63" s="12" cm="1">
        <f t="array" ref="V63">_xll.BDH("CAT US Equity","FREE_CASH_FLOW_EQUITY","FQ2 2023","FQ2 2023","Currency=USD","Period=FQ","BEST_FPERIOD_OVERRIDE=FQ","FILING_STATUS=MR","SCALING_FORMAT=MLN","Sort=A","Dates=H","DateFormat=P","Fill=—","Direction=H","UseDPDF=Y")</f>
        <v>3377</v>
      </c>
      <c r="W63" s="12" cm="1">
        <f t="array" ref="W63">_xll.BDH("CAT US Equity","FREE_CASH_FLOW_EQUITY","FQ3 2023","FQ3 2023","Currency=USD","Period=FQ","BEST_FPERIOD_OVERRIDE=FQ","FILING_STATUS=MR","SCALING_FORMAT=MLN","Sort=A","Dates=H","DateFormat=P","Fill=—","Direction=H","UseDPDF=Y")</f>
        <v>3059</v>
      </c>
      <c r="X63" s="12" cm="1">
        <f t="array" ref="X63">_xll.BDH("CAT US Equity","FREE_CASH_FLOW_EQUITY","FQ4 2023","FQ4 2023","Currency=USD","Period=FQ","BEST_FPERIOD_OVERRIDE=FQ","FILING_STATUS=MR","SCALING_FORMAT=MLN","Sort=A","Dates=H","DateFormat=P","Fill=—","Direction=H","UseDPDF=Y")</f>
        <v>3786</v>
      </c>
      <c r="Y63" s="12" cm="1">
        <f t="array" ref="Y63">_xll.BDH("CAT US Equity","FREE_CASH_FLOW_EQUITY","FQ1 2024","FQ1 2024","Currency=USD","Period=FQ","BEST_FPERIOD_OVERRIDE=FQ","FILING_STATUS=MR","SCALING_FORMAT=MLN","Sort=A","Dates=H","DateFormat=P","Fill=—","Direction=H","UseDPDF=Y")</f>
        <v>1582</v>
      </c>
      <c r="Z63" s="12" cm="1">
        <f t="array" ref="Z63">_xll.BDH("CAT US Equity","FREE_CASH_FLOW_EQUITY","FQ2 2024","FQ2 2024","Currency=USD","Period=FQ","BEST_FPERIOD_OVERRIDE=FQ","FILING_STATUS=MR","SCALING_FORMAT=MLN","Sort=A","Dates=H","DateFormat=P","Fill=—","Direction=H","UseDPDF=Y")</f>
        <v>1999</v>
      </c>
      <c r="AA63" s="12" cm="1">
        <f t="array" ref="AA63">_xll.BDH("CAT US Equity","FREE_CASH_FLOW_EQUITY","FQ3 2024","FQ3 2024","Currency=USD","Period=FQ","BEST_FPERIOD_OVERRIDE=FQ","FILING_STATUS=MR","SCALING_FORMAT=MLN","Sort=A","Dates=H","DateFormat=P","Fill=—","Direction=H","UseDPDF=Y")</f>
        <v>3293</v>
      </c>
      <c r="AB63" s="12" cm="1">
        <f t="array" ref="AB63">_xll.BDH("CAT US Equity","FREE_CASH_FLOW_EQUITY","FQ4 2024","FQ4 2024","Currency=USD","Period=FQ","BEST_FPERIOD_OVERRIDE=FQ","FILING_STATUS=MR","SCALING_FORMAT=MLN","Sort=A","Dates=H","DateFormat=P","Fill=—","Direction=H","UseDPDF=Y")</f>
        <v>3467</v>
      </c>
      <c r="AC63" s="12" cm="1">
        <f t="array" ref="AC63">_xll.BDH("CAT US Equity","FREE_CASH_FLOW_EQUITY","FQ1 2025","FQ1 2025","Currency=USD","Period=FQ","BEST_FPERIOD_OVERRIDE=FQ","FILING_STATUS=MR","SCALING_FORMAT=MLN","Sort=A","Dates=H","DateFormat=P","Fill=—","Direction=H","UseDPDF=Y")</f>
        <v>422</v>
      </c>
      <c r="AD63" s="12" cm="1">
        <f t="array" ref="AD63">_xll.BDH("CAT US Equity","FREE_CASH_FLOW_EQUITY","FQ2 2025","FQ2 2025","Currency=USD","Period=FQ","BEST_FPERIOD_OVERRIDE=FQ","FILING_STATUS=MR","SCALING_FORMAT=MLN","Sort=A","Dates=H","DateFormat=P","Fill=—","Direction=H","UseDPDF=Y")</f>
        <v>4092</v>
      </c>
      <c r="AE63" s="12" cm="1">
        <f t="array" ref="AE63">_xll.BDH("CAT US Equity","FREE_CASH_FLOW_EQUITY","FQ3 2025","FQ3 2025","Currency=USD","Period=FQ","BEST_FPERIOD_OVERRIDE=FQ","FILING_STATUS=MR","SCALING_FORMAT=MLN","Sort=A","Dates=H","DateFormat=P","Fill=—","Direction=H","UseDPDF=Y")</f>
        <v>3589</v>
      </c>
      <c r="AF63" s="12" cm="1">
        <f t="array" ref="AF63">_xll.BDH("CAT US Equity","FREE_CASH_FLOW_EQUITY","FQ4 2025","FQ4 2025","Currency=USD","Period=FQ","BEST_FPERIOD_OVERRIDE=FQ","FILING_STATUS=MR","SCALING_FORMAT=MLN","Sort=A","Dates=H","DateFormat=P","Fill=—","Direction=H","UseDPDF=Y")</f>
        <v>4188</v>
      </c>
    </row>
    <row r="64" spans="1:32" x14ac:dyDescent="0.25">
      <c r="A64" s="10" t="s">
        <v>158</v>
      </c>
      <c r="B64" s="10" t="s">
        <v>159</v>
      </c>
      <c r="C64" s="13" cm="1">
        <f t="array" ref="C64">_xll.BDH("CAT US Equity","FREE_CASH_FLOW_PER_SH","FQ3 2018","FQ3 2018","Currency=USD","Period=FQ","BEST_FPERIOD_OVERRIDE=FQ","FILING_STATUS=MR","Sort=A","Dates=H","DateFormat=P","Fill=—","Direction=H","UseDPDF=Y")</f>
        <v>1.3359000000000001</v>
      </c>
      <c r="D64" s="13" cm="1">
        <f t="array" ref="D64">_xll.BDH("CAT US Equity","FREE_CASH_FLOW_PER_SH","FQ4 2018","FQ4 2018","Currency=USD","Period=FQ","BEST_FPERIOD_OVERRIDE=FQ","FILING_STATUS=MR","Sort=A","Dates=H","DateFormat=P","Fill=—","Direction=H","UseDPDF=Y")</f>
        <v>2.2290999999999999</v>
      </c>
      <c r="E64" s="13" cm="1">
        <f t="array" ref="E64">_xll.BDH("CAT US Equity","FREE_CASH_FLOW_PER_SH","FQ1 2019","FQ1 2019","Currency=USD","Period=FQ","BEST_FPERIOD_OVERRIDE=FQ","FILING_STATUS=MR","Sort=A","Dates=H","DateFormat=P","Fill=—","Direction=H","UseDPDF=Y")</f>
        <v>1.0027999999999999</v>
      </c>
      <c r="F64" s="13" cm="1">
        <f t="array" ref="F64">_xll.BDH("CAT US Equity","FREE_CASH_FLOW_PER_SH","FQ2 2019","FQ2 2019","Currency=USD","Period=FQ","BEST_FPERIOD_OVERRIDE=FQ","FILING_STATUS=MR","Sort=A","Dates=H","DateFormat=P","Fill=—","Direction=H","UseDPDF=Y")</f>
        <v>3.3639000000000001</v>
      </c>
      <c r="G64" s="13" cm="1">
        <f t="array" ref="G64">_xll.BDH("CAT US Equity","FREE_CASH_FLOW_PER_SH","FQ3 2019","FQ3 2019","Currency=USD","Period=FQ","BEST_FPERIOD_OVERRIDE=FQ","FILING_STATUS=MR","Sort=A","Dates=H","DateFormat=P","Fill=—","Direction=H","UseDPDF=Y")</f>
        <v>0.24809999999999999</v>
      </c>
      <c r="H64" s="13" cm="1">
        <f t="array" ref="H64">_xll.BDH("CAT US Equity","FREE_CASH_FLOW_PER_SH","FQ4 2019","FQ4 2019","Currency=USD","Period=FQ","BEST_FPERIOD_OVERRIDE=FQ","FILING_STATUS=MR","Sort=A","Dates=H","DateFormat=P","Fill=—","Direction=H","UseDPDF=Y")</f>
        <v>2.9457</v>
      </c>
      <c r="I64" s="13" cm="1">
        <f t="array" ref="I64">_xll.BDH("CAT US Equity","FREE_CASH_FLOW_PER_SH","FQ1 2020","FQ1 2020","Currency=USD","Period=FQ","BEST_FPERIOD_OVERRIDE=FQ","FILING_STATUS=MR","Sort=A","Dates=H","DateFormat=P","Fill=—","Direction=H","UseDPDF=Y")</f>
        <v>1.0644</v>
      </c>
      <c r="J64" s="13" cm="1">
        <f t="array" ref="J64">_xll.BDH("CAT US Equity","FREE_CASH_FLOW_PER_SH","FQ2 2020","FQ2 2020","Currency=USD","Period=FQ","BEST_FPERIOD_OVERRIDE=FQ","FILING_STATUS=MR","Sort=A","Dates=H","DateFormat=P","Fill=—","Direction=H","UseDPDF=Y")</f>
        <v>1.7378</v>
      </c>
      <c r="K64" s="13" cm="1">
        <f t="array" ref="K64">_xll.BDH("CAT US Equity","FREE_CASH_FLOW_PER_SH","FQ3 2020","FQ3 2020","Currency=USD","Period=FQ","BEST_FPERIOD_OVERRIDE=FQ","FILING_STATUS=MR","Sort=A","Dates=H","DateFormat=P","Fill=—","Direction=H","UseDPDF=Y")</f>
        <v>2.2884000000000002</v>
      </c>
      <c r="L64" s="13" cm="1">
        <f t="array" ref="L64">_xll.BDH("CAT US Equity","FREE_CASH_FLOW_PER_SH","FQ4 2020","FQ4 2020","Currency=USD","Period=FQ","BEST_FPERIOD_OVERRIDE=FQ","FILING_STATUS=MR","Sort=A","Dates=H","DateFormat=P","Fill=—","Direction=H","UseDPDF=Y")</f>
        <v>2.6593</v>
      </c>
      <c r="M64" s="13" cm="1">
        <f t="array" ref="M64">_xll.BDH("CAT US Equity","FREE_CASH_FLOW_PER_SH","FQ1 2021","FQ1 2021","Currency=USD","Period=FQ","BEST_FPERIOD_OVERRIDE=FQ","FILING_STATUS=MR","Sort=A","Dates=H","DateFormat=P","Fill=—","Direction=H","UseDPDF=Y")</f>
        <v>2.6061000000000001</v>
      </c>
      <c r="N64" s="13" cm="1">
        <f t="array" ref="N64">_xll.BDH("CAT US Equity","FREE_CASH_FLOW_PER_SH","FQ2 2021","FQ2 2021","Currency=USD","Period=FQ","BEST_FPERIOD_OVERRIDE=FQ","FILING_STATUS=MR","Sort=A","Dates=H","DateFormat=P","Fill=—","Direction=H","UseDPDF=Y")</f>
        <v>2.7778999999999998</v>
      </c>
      <c r="O64" s="13" cm="1">
        <f t="array" ref="O64">_xll.BDH("CAT US Equity","FREE_CASH_FLOW_PER_SH","FQ3 2021","FQ3 2021","Currency=USD","Period=FQ","BEST_FPERIOD_OVERRIDE=FQ","FILING_STATUS=MR","Sort=A","Dates=H","DateFormat=P","Fill=—","Direction=H","UseDPDF=Y")</f>
        <v>2.1194999999999999</v>
      </c>
      <c r="P64" s="13" cm="1">
        <f t="array" ref="P64">_xll.BDH("CAT US Equity","FREE_CASH_FLOW_PER_SH","FQ4 2021","FQ4 2021","Currency=USD","Period=FQ","BEST_FPERIOD_OVERRIDE=FQ","FILING_STATUS=MR","Sort=A","Dates=H","DateFormat=P","Fill=—","Direction=H","UseDPDF=Y")</f>
        <v>1.1638999999999999</v>
      </c>
      <c r="Q64" s="13" cm="1">
        <f t="array" ref="Q64">_xll.BDH("CAT US Equity","FREE_CASH_FLOW_PER_SH","FQ1 2022","FQ1 2022","Currency=USD","Period=FQ","BEST_FPERIOD_OVERRIDE=FQ","FILING_STATUS=MR","Sort=A","Dates=H","DateFormat=P","Fill=—","Direction=H","UseDPDF=Y")</f>
        <v>-0.68479999999999996</v>
      </c>
      <c r="R64" s="13" cm="1">
        <f t="array" ref="R64">_xll.BDH("CAT US Equity","FREE_CASH_FLOW_PER_SH","FQ2 2022","FQ2 2022","Currency=USD","Period=FQ","BEST_FPERIOD_OVERRIDE=FQ","FILING_STATUS=MR","Sort=A","Dates=H","DateFormat=P","Fill=—","Direction=H","UseDPDF=Y")</f>
        <v>3.0847000000000002</v>
      </c>
      <c r="S64" s="13" cm="1">
        <f t="array" ref="S64">_xll.BDH("CAT US Equity","FREE_CASH_FLOW_PER_SH","FQ3 2022","FQ3 2022","Currency=USD","Period=FQ","BEST_FPERIOD_OVERRIDE=FQ","FILING_STATUS=MR","Sort=A","Dates=H","DateFormat=P","Fill=—","Direction=H","UseDPDF=Y")</f>
        <v>3.5505</v>
      </c>
      <c r="T64" s="13" cm="1">
        <f t="array" ref="T64">_xll.BDH("CAT US Equity","FREE_CASH_FLOW_PER_SH","FQ4 2022","FQ4 2022","Currency=USD","Period=FQ","BEST_FPERIOD_OVERRIDE=FQ","FILING_STATUS=MR","Sort=A","Dates=H","DateFormat=P","Fill=—","Direction=H","UseDPDF=Y")</f>
        <v>3.9253999999999998</v>
      </c>
      <c r="U64" s="13" cm="1">
        <f t="array" ref="U64">_xll.BDH("CAT US Equity","FREE_CASH_FLOW_PER_SH","FQ1 2023","FQ1 2023","Currency=USD","Period=FQ","BEST_FPERIOD_OVERRIDE=FQ","FILING_STATUS=MR","Sort=A","Dates=H","DateFormat=P","Fill=—","Direction=H","UseDPDF=Y")</f>
        <v>1.5943000000000001</v>
      </c>
      <c r="V64" s="13" cm="1">
        <f t="array" ref="V64">_xll.BDH("CAT US Equity","FREE_CASH_FLOW_PER_SH","FQ2 2023","FQ2 2023","Currency=USD","Period=FQ","BEST_FPERIOD_OVERRIDE=FQ","FILING_STATUS=MR","Sort=A","Dates=H","DateFormat=P","Fill=—","Direction=H","UseDPDF=Y")</f>
        <v>4.9561000000000002</v>
      </c>
      <c r="W64" s="13" cm="1">
        <f t="array" ref="W64">_xll.BDH("CAT US Equity","FREE_CASH_FLOW_PER_SH","FQ3 2023","FQ3 2023","Currency=USD","Period=FQ","BEST_FPERIOD_OVERRIDE=FQ","FILING_STATUS=MR","Sort=A","Dates=H","DateFormat=P","Fill=—","Direction=H","UseDPDF=Y")</f>
        <v>6.4318999999999997</v>
      </c>
      <c r="X64" s="13" cm="1">
        <f t="array" ref="X64">_xll.BDH("CAT US Equity","FREE_CASH_FLOW_PER_SH","FQ4 2023","FQ4 2023","Currency=USD","Period=FQ","BEST_FPERIOD_OVERRIDE=FQ","FILING_STATUS=MR","Sort=A","Dates=H","DateFormat=P","Fill=—","Direction=H","UseDPDF=Y")</f>
        <v>6.2431000000000001</v>
      </c>
      <c r="Y64" s="13" cm="1">
        <f t="array" ref="Y64">_xll.BDH("CAT US Equity","FREE_CASH_FLOW_PER_SH","FQ1 2024","FQ1 2024","Currency=USD","Period=FQ","BEST_FPERIOD_OVERRIDE=FQ","FILING_STATUS=MR","Sort=A","Dates=H","DateFormat=P","Fill=—","Direction=H","UseDPDF=Y")</f>
        <v>2.6644999999999999</v>
      </c>
      <c r="Z64" s="13" cm="1">
        <f t="array" ref="Z64">_xll.BDH("CAT US Equity","FREE_CASH_FLOW_PER_SH","FQ2 2024","FQ2 2024","Currency=USD","Period=FQ","BEST_FPERIOD_OVERRIDE=FQ","FILING_STATUS=MR","Sort=A","Dates=H","DateFormat=P","Fill=—","Direction=H","UseDPDF=Y")</f>
        <v>4.7249999999999996</v>
      </c>
      <c r="AA64" s="13" cm="1">
        <f t="array" ref="AA64">_xll.BDH("CAT US Equity","FREE_CASH_FLOW_PER_SH","FQ3 2024","FQ3 2024","Currency=USD","Period=FQ","BEST_FPERIOD_OVERRIDE=FQ","FILING_STATUS=MR","Sort=A","Dates=H","DateFormat=P","Fill=—","Direction=H","UseDPDF=Y")</f>
        <v>5.8776999999999999</v>
      </c>
      <c r="AB64" s="13" cm="1">
        <f t="array" ref="AB64">_xll.BDH("CAT US Equity","FREE_CASH_FLOW_PER_SH","FQ4 2024","FQ4 2024","Currency=USD","Period=FQ","BEST_FPERIOD_OVERRIDE=FQ","FILING_STATUS=MR","Sort=A","Dates=H","DateFormat=P","Fill=—","Direction=H","UseDPDF=Y")</f>
        <v>4.9082999999999997</v>
      </c>
      <c r="AC64" s="13" cm="1">
        <f t="array" ref="AC64">_xll.BDH("CAT US Equity","FREE_CASH_FLOW_PER_SH","FQ1 2025","FQ1 2025","Currency=USD","Period=FQ","BEST_FPERIOD_OVERRIDE=FQ","FILING_STATUS=MR","Sort=A","Dates=H","DateFormat=P","Fill=—","Direction=H","UseDPDF=Y")</f>
        <v>0.78120000000000001</v>
      </c>
      <c r="AD64" s="13" cm="1">
        <f t="array" ref="AD64">_xll.BDH("CAT US Equity","FREE_CASH_FLOW_PER_SH","FQ2 2025","FQ2 2025","Currency=USD","Period=FQ","BEST_FPERIOD_OVERRIDE=FQ","FILING_STATUS=MR","Sort=A","Dates=H","DateFormat=P","Fill=—","Direction=H","UseDPDF=Y")</f>
        <v>4.6135999999999999</v>
      </c>
      <c r="AE64" s="13" cm="1">
        <f t="array" ref="AE64">_xll.BDH("CAT US Equity","FREE_CASH_FLOW_PER_SH","FQ3 2025","FQ3 2025","Currency=USD","Period=FQ","BEST_FPERIOD_OVERRIDE=FQ","FILING_STATUS=MR","Sort=A","Dates=H","DateFormat=P","Fill=—","Direction=H","UseDPDF=Y")</f>
        <v>5.6893000000000002</v>
      </c>
      <c r="AF64" s="13" cm="1">
        <f t="array" ref="AF64">_xll.BDH("CAT US Equity","FREE_CASH_FLOW_PER_SH","FQ4 2025","FQ4 2025","Currency=USD","Period=FQ","BEST_FPERIOD_OVERRIDE=FQ","FILING_STATUS=MR","Sort=A","Dates=H","DateFormat=P","Fill=—","Direction=H","UseDPDF=Y")</f>
        <v>4.8209999999999997</v>
      </c>
    </row>
    <row r="65" spans="1:32" x14ac:dyDescent="0.25">
      <c r="A65" s="10" t="s">
        <v>160</v>
      </c>
      <c r="B65" s="10" t="s">
        <v>161</v>
      </c>
      <c r="C65" s="13" cm="1">
        <f t="array" ref="C65">_xll.BDH("CAT US Equity","PX_TO_FREE_CASH_FLOW","FQ3 2018","FQ3 2018","Currency=USD","Period=FQ","BEST_FPERIOD_OVERRIDE=FQ","FILING_STATUS=MR","Sort=A","Dates=H","DateFormat=P","Fill=—","Direction=H","UseDPDF=Y")</f>
        <v>41.456800000000001</v>
      </c>
      <c r="D65" s="13" cm="1">
        <f t="array" ref="D65">_xll.BDH("CAT US Equity","PX_TO_FREE_CASH_FLOW","FQ4 2018","FQ4 2018","Currency=USD","Period=FQ","BEST_FPERIOD_OVERRIDE=FQ","FILING_STATUS=MR","Sort=A","Dates=H","DateFormat=P","Fill=—","Direction=H","UseDPDF=Y")</f>
        <v>20.5871</v>
      </c>
      <c r="E65" s="13" cm="1">
        <f t="array" ref="E65">_xll.BDH("CAT US Equity","PX_TO_FREE_CASH_FLOW","FQ1 2019","FQ1 2019","Currency=USD","Period=FQ","BEST_FPERIOD_OVERRIDE=FQ","FILING_STATUS=MR","Sort=A","Dates=H","DateFormat=P","Fill=—","Direction=H","UseDPDF=Y")</f>
        <v>19.700600000000001</v>
      </c>
      <c r="F65" s="13" cm="1">
        <f t="array" ref="F65">_xll.BDH("CAT US Equity","PX_TO_FREE_CASH_FLOW","FQ2 2019","FQ2 2019","Currency=USD","Period=FQ","BEST_FPERIOD_OVERRIDE=FQ","FILING_STATUS=MR","Sort=A","Dates=H","DateFormat=P","Fill=—","Direction=H","UseDPDF=Y")</f>
        <v>17.183</v>
      </c>
      <c r="G65" s="13" cm="1">
        <f t="array" ref="G65">_xll.BDH("CAT US Equity","PX_TO_FREE_CASH_FLOW","FQ3 2019","FQ3 2019","Currency=USD","Period=FQ","BEST_FPERIOD_OVERRIDE=FQ","FILING_STATUS=MR","Sort=A","Dates=H","DateFormat=P","Fill=—","Direction=H","UseDPDF=Y")</f>
        <v>18.456099999999999</v>
      </c>
      <c r="H65" s="13" cm="1">
        <f t="array" ref="H65">_xll.BDH("CAT US Equity","PX_TO_FREE_CASH_FLOW","FQ4 2019","FQ4 2019","Currency=USD","Period=FQ","BEST_FPERIOD_OVERRIDE=FQ","FILING_STATUS=MR","Sort=A","Dates=H","DateFormat=P","Fill=—","Direction=H","UseDPDF=Y")</f>
        <v>19.5334</v>
      </c>
      <c r="I65" s="13" cm="1">
        <f t="array" ref="I65">_xll.BDH("CAT US Equity","PX_TO_FREE_CASH_FLOW","FQ1 2020","FQ1 2020","Currency=USD","Period=FQ","BEST_FPERIOD_OVERRIDE=FQ","FILING_STATUS=MR","Sort=A","Dates=H","DateFormat=P","Fill=—","Direction=H","UseDPDF=Y")</f>
        <v>15.224399999999999</v>
      </c>
      <c r="J65" s="13" cm="1">
        <f t="array" ref="J65">_xll.BDH("CAT US Equity","PX_TO_FREE_CASH_FLOW","FQ2 2020","FQ2 2020","Currency=USD","Period=FQ","BEST_FPERIOD_OVERRIDE=FQ","FILING_STATUS=MR","Sort=A","Dates=H","DateFormat=P","Fill=—","Direction=H","UseDPDF=Y")</f>
        <v>21.097799999999999</v>
      </c>
      <c r="K65" s="13" cm="1">
        <f t="array" ref="K65">_xll.BDH("CAT US Equity","PX_TO_FREE_CASH_FLOW","FQ3 2020","FQ3 2020","Currency=USD","Period=FQ","BEST_FPERIOD_OVERRIDE=FQ","FILING_STATUS=MR","Sort=A","Dates=H","DateFormat=P","Fill=—","Direction=H","UseDPDF=Y")</f>
        <v>18.559799999999999</v>
      </c>
      <c r="L65" s="13" cm="1">
        <f t="array" ref="L65">_xll.BDH("CAT US Equity","PX_TO_FREE_CASH_FLOW","FQ4 2020","FQ4 2020","Currency=USD","Period=FQ","BEST_FPERIOD_OVERRIDE=FQ","FILING_STATUS=MR","Sort=A","Dates=H","DateFormat=P","Fill=—","Direction=H","UseDPDF=Y")</f>
        <v>23.486899999999999</v>
      </c>
      <c r="M65" s="13" cm="1">
        <f t="array" ref="M65">_xll.BDH("CAT US Equity","PX_TO_FREE_CASH_FLOW","FQ1 2021","FQ1 2021","Currency=USD","Period=FQ","BEST_FPERIOD_OVERRIDE=FQ","FILING_STATUS=MR","Sort=A","Dates=H","DateFormat=P","Fill=—","Direction=H","UseDPDF=Y")</f>
        <v>24.954699999999999</v>
      </c>
      <c r="N65" s="13" cm="1">
        <f t="array" ref="N65">_xll.BDH("CAT US Equity","PX_TO_FREE_CASH_FLOW","FQ2 2021","FQ2 2021","Currency=USD","Period=FQ","BEST_FPERIOD_OVERRIDE=FQ","FILING_STATUS=MR","Sort=A","Dates=H","DateFormat=P","Fill=—","Direction=H","UseDPDF=Y")</f>
        <v>21.0642</v>
      </c>
      <c r="O65" s="13" cm="1">
        <f t="array" ref="O65">_xll.BDH("CAT US Equity","PX_TO_FREE_CASH_FLOW","FQ3 2021","FQ3 2021","Currency=USD","Period=FQ","BEST_FPERIOD_OVERRIDE=FQ","FILING_STATUS=MR","Sort=A","Dates=H","DateFormat=P","Fill=—","Direction=H","UseDPDF=Y")</f>
        <v>18.889399999999998</v>
      </c>
      <c r="P65" s="13" cm="1">
        <f t="array" ref="P65">_xll.BDH("CAT US Equity","PX_TO_FREE_CASH_FLOW","FQ4 2021","FQ4 2021","Currency=USD","Period=FQ","BEST_FPERIOD_OVERRIDE=FQ","FILING_STATUS=MR","Sort=A","Dates=H","DateFormat=P","Fill=—","Direction=H","UseDPDF=Y")</f>
        <v>23.852499999999999</v>
      </c>
      <c r="Q65" s="13" cm="1">
        <f t="array" ref="Q65">_xll.BDH("CAT US Equity","PX_TO_FREE_CASH_FLOW","FQ1 2022","FQ1 2022","Currency=USD","Period=FQ","BEST_FPERIOD_OVERRIDE=FQ","FILING_STATUS=MR","Sort=A","Dates=H","DateFormat=P","Fill=—","Direction=H","UseDPDF=Y")</f>
        <v>41.443100000000001</v>
      </c>
      <c r="R65" s="13" cm="1">
        <f t="array" ref="R65">_xll.BDH("CAT US Equity","PX_TO_FREE_CASH_FLOW","FQ2 2022","FQ2 2022","Currency=USD","Period=FQ","BEST_FPERIOD_OVERRIDE=FQ","FILING_STATUS=MR","Sort=A","Dates=H","DateFormat=P","Fill=—","Direction=H","UseDPDF=Y")</f>
        <v>31.452999999999999</v>
      </c>
      <c r="S65" s="13" cm="1">
        <f t="array" ref="S65">_xll.BDH("CAT US Equity","PX_TO_FREE_CASH_FLOW","FQ3 2022","FQ3 2022","Currency=USD","Period=FQ","BEST_FPERIOD_OVERRIDE=FQ","FILING_STATUS=MR","Sort=A","Dates=H","DateFormat=P","Fill=—","Direction=H","UseDPDF=Y")</f>
        <v>23.063099999999999</v>
      </c>
      <c r="T65" s="13" cm="1">
        <f t="array" ref="T65">_xll.BDH("CAT US Equity","PX_TO_FREE_CASH_FLOW","FQ4 2022","FQ4 2022","Currency=USD","Period=FQ","BEST_FPERIOD_OVERRIDE=FQ","FILING_STATUS=MR","Sort=A","Dates=H","DateFormat=P","Fill=—","Direction=H","UseDPDF=Y")</f>
        <v>24.257100000000001</v>
      </c>
      <c r="U65" s="13" cm="1">
        <f t="array" ref="U65">_xll.BDH("CAT US Equity","PX_TO_FREE_CASH_FLOW","FQ1 2023","FQ1 2023","Currency=USD","Period=FQ","BEST_FPERIOD_OVERRIDE=FQ","FILING_STATUS=MR","Sort=A","Dates=H","DateFormat=P","Fill=—","Direction=H","UseDPDF=Y")</f>
        <v>18.826899999999998</v>
      </c>
      <c r="V65" s="13" cm="1">
        <f t="array" ref="V65">_xll.BDH("CAT US Equity","PX_TO_FREE_CASH_FLOW","FQ2 2023","FQ2 2023","Currency=USD","Period=FQ","BEST_FPERIOD_OVERRIDE=FQ","FILING_STATUS=MR","Sort=A","Dates=H","DateFormat=P","Fill=—","Direction=H","UseDPDF=Y")</f>
        <v>17.542000000000002</v>
      </c>
      <c r="W65" s="13" cm="1">
        <f t="array" ref="W65">_xll.BDH("CAT US Equity","PX_TO_FREE_CASH_FLOW","FQ3 2023","FQ3 2023","Currency=USD","Period=FQ","BEST_FPERIOD_OVERRIDE=FQ","FILING_STATUS=MR","Sort=A","Dates=H","DateFormat=P","Fill=—","Direction=H","UseDPDF=Y")</f>
        <v>16.1464</v>
      </c>
      <c r="X65" s="13" cm="1">
        <f t="array" ref="X65">_xll.BDH("CAT US Equity","PX_TO_FREE_CASH_FLOW","FQ4 2023","FQ4 2023","Currency=USD","Period=FQ","BEST_FPERIOD_OVERRIDE=FQ","FILING_STATUS=MR","Sort=A","Dates=H","DateFormat=P","Fill=—","Direction=H","UseDPDF=Y")</f>
        <v>15.379099999999999</v>
      </c>
      <c r="Y65" s="13" cm="1">
        <f t="array" ref="Y65">_xll.BDH("CAT US Equity","PX_TO_FREE_CASH_FLOW","FQ1 2024","FQ1 2024","Currency=USD","Period=FQ","BEST_FPERIOD_OVERRIDE=FQ","FILING_STATUS=MR","Sort=A","Dates=H","DateFormat=P","Fill=—","Direction=H","UseDPDF=Y")</f>
        <v>18.054600000000001</v>
      </c>
      <c r="Z65" s="13" cm="1">
        <f t="array" ref="Z65">_xll.BDH("CAT US Equity","PX_TO_FREE_CASH_FLOW","FQ2 2024","FQ2 2024","Currency=USD","Period=FQ","BEST_FPERIOD_OVERRIDE=FQ","FILING_STATUS=MR","Sort=A","Dates=H","DateFormat=P","Fill=—","Direction=H","UseDPDF=Y")</f>
        <v>16.601500000000001</v>
      </c>
      <c r="AA65" s="13" cm="1">
        <f t="array" ref="AA65">_xll.BDH("CAT US Equity","PX_TO_FREE_CASH_FLOW","FQ3 2024","FQ3 2024","Currency=USD","Period=FQ","BEST_FPERIOD_OVERRIDE=FQ","FILING_STATUS=MR","Sort=A","Dates=H","DateFormat=P","Fill=—","Direction=H","UseDPDF=Y")</f>
        <v>20.046900000000001</v>
      </c>
      <c r="AB65" s="13" cm="1">
        <f t="array" ref="AB65">_xll.BDH("CAT US Equity","PX_TO_FREE_CASH_FLOW","FQ4 2024","FQ4 2024","Currency=USD","Period=FQ","BEST_FPERIOD_OVERRIDE=FQ","FILING_STATUS=MR","Sort=A","Dates=H","DateFormat=P","Fill=—","Direction=H","UseDPDF=Y")</f>
        <v>19.9587</v>
      </c>
      <c r="AC65" s="13" cm="1">
        <f t="array" ref="AC65">_xll.BDH("CAT US Equity","PX_TO_FREE_CASH_FLOW","FQ1 2025","FQ1 2025","Currency=USD","Period=FQ","BEST_FPERIOD_OVERRIDE=FQ","FILING_STATUS=MR","Sort=A","Dates=H","DateFormat=P","Fill=—","Direction=H","UseDPDF=Y")</f>
        <v>20.242799999999999</v>
      </c>
      <c r="AD65" s="13" cm="1">
        <f t="array" ref="AD65">_xll.BDH("CAT US Equity","PX_TO_FREE_CASH_FLOW","FQ2 2025","FQ2 2025","Currency=USD","Period=FQ","BEST_FPERIOD_OVERRIDE=FQ","FILING_STATUS=MR","Sort=A","Dates=H","DateFormat=P","Fill=—","Direction=H","UseDPDF=Y")</f>
        <v>23.991900000000001</v>
      </c>
      <c r="AE65" s="13" cm="1">
        <f t="array" ref="AE65">_xll.BDH("CAT US Equity","PX_TO_FREE_CASH_FLOW","FQ3 2025","FQ3 2025","Currency=USD","Period=FQ","BEST_FPERIOD_OVERRIDE=FQ","FILING_STATUS=MR","Sort=A","Dates=H","DateFormat=P","Fill=—","Direction=H","UseDPDF=Y")</f>
        <v>29.835999999999999</v>
      </c>
      <c r="AF65" s="13" cm="1">
        <f t="array" ref="AF65">_xll.BDH("CAT US Equity","PX_TO_FREE_CASH_FLOW","FQ4 2025","FQ4 2025","Currency=USD","Period=FQ","BEST_FPERIOD_OVERRIDE=FQ","FILING_STATUS=MR","Sort=A","Dates=H","DateFormat=P","Fill=—","Direction=H","UseDPDF=Y")</f>
        <v>36.018000000000001</v>
      </c>
    </row>
    <row r="66" spans="1:32" x14ac:dyDescent="0.25">
      <c r="A66" s="10" t="s">
        <v>162</v>
      </c>
      <c r="B66" s="10" t="s">
        <v>163</v>
      </c>
      <c r="C66" s="13" cm="1">
        <f t="array" ref="C66">_xll.BDH("CAT US Equity","CASH_FLOW_TO_NET_INC","FQ3 2018","FQ3 2018","Currency=USD","Period=FQ","BEST_FPERIOD_OVERRIDE=FQ","FILING_STATUS=MR","FA_ADJUSTED=GAAP","Sort=A","Dates=H","DateFormat=P","Fill=—","Direction=H","UseDPDF=Y")</f>
        <v>0.80600000000000005</v>
      </c>
      <c r="D66" s="13" cm="1">
        <f t="array" ref="D66">_xll.BDH("CAT US Equity","CASH_FLOW_TO_NET_INC","FQ4 2018","FQ4 2018","Currency=USD","Period=FQ","BEST_FPERIOD_OVERRIDE=FQ","FILING_STATUS=MR","FA_ADJUSTED=GAAP","Sort=A","Dates=H","DateFormat=P","Fill=—","Direction=H","UseDPDF=Y")</f>
        <v>1.9876</v>
      </c>
      <c r="E66" s="13" cm="1">
        <f t="array" ref="E66">_xll.BDH("CAT US Equity","CASH_FLOW_TO_NET_INC","FQ1 2019","FQ1 2019","Currency=USD","Period=FQ","BEST_FPERIOD_OVERRIDE=FQ","FILING_STATUS=MR","FA_ADJUSTED=GAAP","Sort=A","Dates=H","DateFormat=P","Fill=—","Direction=H","UseDPDF=Y")</f>
        <v>0.59599999999999997</v>
      </c>
      <c r="F66" s="13" cm="1">
        <f t="array" ref="F66">_xll.BDH("CAT US Equity","CASH_FLOW_TO_NET_INC","FQ2 2019","FQ2 2019","Currency=USD","Period=FQ","BEST_FPERIOD_OVERRIDE=FQ","FILING_STATUS=MR","FA_ADJUSTED=GAAP","Sort=A","Dates=H","DateFormat=P","Fill=—","Direction=H","UseDPDF=Y")</f>
        <v>1.5974999999999999</v>
      </c>
      <c r="G66" s="13" cm="1">
        <f t="array" ref="G66">_xll.BDH("CAT US Equity","CASH_FLOW_TO_NET_INC","FQ3 2019","FQ3 2019","Currency=USD","Period=FQ","BEST_FPERIOD_OVERRIDE=FQ","FILING_STATUS=MR","FA_ADJUSTED=GAAP","Sort=A","Dates=H","DateFormat=P","Fill=—","Direction=H","UseDPDF=Y")</f>
        <v>0.51470000000000005</v>
      </c>
      <c r="H66" s="13" cm="1">
        <f t="array" ref="H66">_xll.BDH("CAT US Equity","CASH_FLOW_TO_NET_INC","FQ4 2019","FQ4 2019","Currency=USD","Period=FQ","BEST_FPERIOD_OVERRIDE=FQ","FILING_STATUS=MR","FA_ADJUSTED=GAAP","Sort=A","Dates=H","DateFormat=P","Fill=—","Direction=H","UseDPDF=Y")</f>
        <v>2.2168000000000001</v>
      </c>
      <c r="I66" s="13" cm="1">
        <f t="array" ref="I66">_xll.BDH("CAT US Equity","CASH_FLOW_TO_NET_INC","FQ1 2020","FQ1 2020","Currency=USD","Period=FQ","BEST_FPERIOD_OVERRIDE=FQ","FILING_STATUS=MR","FA_ADJUSTED=GAAP","Sort=A","Dates=H","DateFormat=P","Fill=—","Direction=H","UseDPDF=Y")</f>
        <v>1.0347999999999999</v>
      </c>
      <c r="J66" s="13" cm="1">
        <f t="array" ref="J66">_xll.BDH("CAT US Equity","CASH_FLOW_TO_NET_INC","FQ2 2020","FQ2 2020","Currency=USD","Period=FQ","BEST_FPERIOD_OVERRIDE=FQ","FILING_STATUS=MR","FA_ADJUSTED=GAAP","Sort=A","Dates=H","DateFormat=P","Fill=—","Direction=H","UseDPDF=Y")</f>
        <v>3.0371000000000001</v>
      </c>
      <c r="K66" s="13" cm="1">
        <f t="array" ref="K66">_xll.BDH("CAT US Equity","CASH_FLOW_TO_NET_INC","FQ3 2020","FQ3 2020","Currency=USD","Period=FQ","BEST_FPERIOD_OVERRIDE=FQ","FILING_STATUS=MR","FA_ADJUSTED=GAAP","Sort=A","Dates=H","DateFormat=P","Fill=—","Direction=H","UseDPDF=Y")</f>
        <v>2.5958000000000001</v>
      </c>
      <c r="L66" s="13" cm="1">
        <f t="array" ref="L66">_xll.BDH("CAT US Equity","CASH_FLOW_TO_NET_INC","FQ4 2020","FQ4 2020","Currency=USD","Period=FQ","BEST_FPERIOD_OVERRIDE=FQ","FILING_STATUS=MR","FA_ADJUSTED=GAAP","Sort=A","Dates=H","DateFormat=P","Fill=—","Direction=H","UseDPDF=Y")</f>
        <v>2.6564000000000001</v>
      </c>
      <c r="M66" s="13" cm="1">
        <f t="array" ref="M66">_xll.BDH("CAT US Equity","CASH_FLOW_TO_NET_INC","FQ1 2021","FQ1 2021","Currency=USD","Period=FQ","BEST_FPERIOD_OVERRIDE=FQ","FILING_STATUS=MR","FA_ADJUSTED=GAAP","Sort=A","Dates=H","DateFormat=P","Fill=—","Direction=H","UseDPDF=Y")</f>
        <v>1.2601</v>
      </c>
      <c r="N66" s="13" cm="1">
        <f t="array" ref="N66">_xll.BDH("CAT US Equity","CASH_FLOW_TO_NET_INC","FQ2 2021","FQ2 2021","Currency=USD","Period=FQ","BEST_FPERIOD_OVERRIDE=FQ","FILING_STATUS=MR","FA_ADJUSTED=GAAP","Sort=A","Dates=H","DateFormat=P","Fill=—","Direction=H","UseDPDF=Y")</f>
        <v>1.4988999999999999</v>
      </c>
      <c r="O66" s="13" cm="1">
        <f t="array" ref="O66">_xll.BDH("CAT US Equity","CASH_FLOW_TO_NET_INC","FQ3 2021","FQ3 2021","Currency=USD","Period=FQ","BEST_FPERIOD_OVERRIDE=FQ","FILING_STATUS=MR","FA_ADJUSTED=GAAP","Sort=A","Dates=H","DateFormat=P","Fill=—","Direction=H","UseDPDF=Y")</f>
        <v>1.2202</v>
      </c>
      <c r="P66" s="13" cm="1">
        <f t="array" ref="P66">_xll.BDH("CAT US Equity","CASH_FLOW_TO_NET_INC","FQ4 2021","FQ4 2021","Currency=USD","Period=FQ","BEST_FPERIOD_OVERRIDE=FQ","FILING_STATUS=MR","FA_ADJUSTED=GAAP","Sort=A","Dates=H","DateFormat=P","Fill=—","Direction=H","UseDPDF=Y")</f>
        <v>0.66600000000000004</v>
      </c>
      <c r="Q66" s="13" cm="1">
        <f t="array" ref="Q66">_xll.BDH("CAT US Equity","CASH_FLOW_TO_NET_INC","FQ1 2022","FQ1 2022","Currency=USD","Period=FQ","BEST_FPERIOD_OVERRIDE=FQ","FILING_STATUS=MR","FA_ADJUSTED=GAAP","Sort=A","Dates=H","DateFormat=P","Fill=—","Direction=H","UseDPDF=Y")</f>
        <v>0.2036</v>
      </c>
      <c r="R66" s="13" cm="1">
        <f t="array" ref="R66">_xll.BDH("CAT US Equity","CASH_FLOW_TO_NET_INC","FQ2 2022","FQ2 2022","Currency=USD","Period=FQ","BEST_FPERIOD_OVERRIDE=FQ","FILING_STATUS=MR","FA_ADJUSTED=GAAP","Sort=A","Dates=H","DateFormat=P","Fill=—","Direction=H","UseDPDF=Y")</f>
        <v>1.3347</v>
      </c>
      <c r="S66" s="13" cm="1">
        <f t="array" ref="S66">_xll.BDH("CAT US Equity","CASH_FLOW_TO_NET_INC","FQ3 2022","FQ3 2022","Currency=USD","Period=FQ","BEST_FPERIOD_OVERRIDE=FQ","FILING_STATUS=MR","FA_ADJUSTED=GAAP","Sort=A","Dates=H","DateFormat=P","Fill=—","Direction=H","UseDPDF=Y")</f>
        <v>1.2156</v>
      </c>
      <c r="T66" s="13" cm="1">
        <f t="array" ref="T66">_xll.BDH("CAT US Equity","CASH_FLOW_TO_NET_INC","FQ4 2022","FQ4 2022","Currency=USD","Period=FQ","BEST_FPERIOD_OVERRIDE=FQ","FILING_STATUS=MR","FA_ADJUSTED=GAAP","Sort=A","Dates=H","DateFormat=P","Fill=—","Direction=H","UseDPDF=Y")</f>
        <v>1.8837999999999999</v>
      </c>
      <c r="U66" s="13" cm="1">
        <f t="array" ref="U66">_xll.BDH("CAT US Equity","CASH_FLOW_TO_NET_INC","FQ1 2023","FQ1 2023","Currency=USD","Period=FQ","BEST_FPERIOD_OVERRIDE=FQ","FILING_STATUS=MR","FA_ADJUSTED=GAAP","Sort=A","Dates=H","DateFormat=P","Fill=—","Direction=H","UseDPDF=Y")</f>
        <v>0.80959999999999999</v>
      </c>
      <c r="V66" s="13" cm="1">
        <f t="array" ref="V66">_xll.BDH("CAT US Equity","CASH_FLOW_TO_NET_INC","FQ2 2023","FQ2 2023","Currency=USD","Period=FQ","BEST_FPERIOD_OVERRIDE=FQ","FILING_STATUS=MR","FA_ADJUSTED=GAAP","Sort=A","Dates=H","DateFormat=P","Fill=—","Direction=H","UseDPDF=Y")</f>
        <v>1.1119000000000001</v>
      </c>
      <c r="W66" s="13" cm="1">
        <f t="array" ref="W66">_xll.BDH("CAT US Equity","CASH_FLOW_TO_NET_INC","FQ3 2023","FQ3 2023","Currency=USD","Period=FQ","BEST_FPERIOD_OVERRIDE=FQ","FILING_STATUS=MR","FA_ADJUSTED=GAAP","Sort=A","Dates=H","DateFormat=P","Fill=—","Direction=H","UseDPDF=Y")</f>
        <v>1.4531000000000001</v>
      </c>
      <c r="X66" s="13" cm="1">
        <f t="array" ref="X66">_xll.BDH("CAT US Equity","CASH_FLOW_TO_NET_INC","FQ4 2023","FQ4 2023","Currency=USD","Period=FQ","BEST_FPERIOD_OVERRIDE=FQ","FILING_STATUS=MR","FA_ADJUSTED=GAAP","Sort=A","Dates=H","DateFormat=P","Fill=—","Direction=H","UseDPDF=Y")</f>
        <v>1.4959</v>
      </c>
      <c r="Y66" s="13" cm="1">
        <f t="array" ref="Y66">_xll.BDH("CAT US Equity","CASH_FLOW_TO_NET_INC","FQ1 2024","FQ1 2024","Currency=USD","Period=FQ","BEST_FPERIOD_OVERRIDE=FQ","FILING_STATUS=MR","FA_ADJUSTED=GAAP","Sort=A","Dates=H","DateFormat=P","Fill=—","Direction=H","UseDPDF=Y")</f>
        <v>0.71850000000000003</v>
      </c>
      <c r="Z66" s="13" cm="1">
        <f t="array" ref="Z66">_xll.BDH("CAT US Equity","CASH_FLOW_TO_NET_INC","FQ2 2024","FQ2 2024","Currency=USD","Period=FQ","BEST_FPERIOD_OVERRIDE=FQ","FILING_STATUS=MR","FA_ADJUSTED=GAAP","Sort=A","Dates=H","DateFormat=P","Fill=—","Direction=H","UseDPDF=Y")</f>
        <v>1.1268</v>
      </c>
      <c r="AA66" s="13" cm="1">
        <f t="array" ref="AA66">_xll.BDH("CAT US Equity","CASH_FLOW_TO_NET_INC","FQ3 2024","FQ3 2024","Currency=USD","Period=FQ","BEST_FPERIOD_OVERRIDE=FQ","FILING_STATUS=MR","FA_ADJUSTED=GAAP","Sort=A","Dates=H","DateFormat=P","Fill=—","Direction=H","UseDPDF=Y")</f>
        <v>1.4484999999999999</v>
      </c>
      <c r="AB66" s="13" cm="1">
        <f t="array" ref="AB66">_xll.BDH("CAT US Equity","CASH_FLOW_TO_NET_INC","FQ4 2024","FQ4 2024","Currency=USD","Period=FQ","BEST_FPERIOD_OVERRIDE=FQ","FILING_STATUS=MR","FA_ADJUSTED=GAAP","Sort=A","Dates=H","DateFormat=P","Fill=—","Direction=H","UseDPDF=Y")</f>
        <v>1.2157</v>
      </c>
      <c r="AC66" s="13" cm="1">
        <f t="array" ref="AC66">_xll.BDH("CAT US Equity","CASH_FLOW_TO_NET_INC","FQ1 2025","FQ1 2025","Currency=USD","Period=FQ","BEST_FPERIOD_OVERRIDE=FQ","FILING_STATUS=MR","FA_ADJUSTED=GAAP","Sort=A","Dates=H","DateFormat=P","Fill=—","Direction=H","UseDPDF=Y")</f>
        <v>0.64349999999999996</v>
      </c>
      <c r="AD66" s="13" cm="1">
        <f t="array" ref="AD66">_xll.BDH("CAT US Equity","CASH_FLOW_TO_NET_INC","FQ2 2025","FQ2 2025","Currency=USD","Period=FQ","BEST_FPERIOD_OVERRIDE=FQ","FILING_STATUS=MR","FA_ADJUSTED=GAAP","Sort=A","Dates=H","DateFormat=P","Fill=—","Direction=H","UseDPDF=Y")</f>
        <v>1.4328000000000001</v>
      </c>
      <c r="AE66" s="13" cm="1">
        <f t="array" ref="AE66">_xll.BDH("CAT US Equity","CASH_FLOW_TO_NET_INC","FQ3 2025","FQ3 2025","Currency=USD","Period=FQ","BEST_FPERIOD_OVERRIDE=FQ","FILING_STATUS=MR","FA_ADJUSTED=GAAP","Sort=A","Dates=H","DateFormat=P","Fill=—","Direction=H","UseDPDF=Y")</f>
        <v>1.6248</v>
      </c>
      <c r="AF66" s="13" cm="1">
        <f t="array" ref="AF66">_xll.BDH("CAT US Equity","CASH_FLOW_TO_NET_INC","FQ4 2025","FQ4 2025","Currency=USD","Period=FQ","BEST_FPERIOD_OVERRIDE=FQ","FILING_STATUS=MR","FA_ADJUSTED=GAAP","Sort=A","Dates=H","DateFormat=P","Fill=—","Direction=H","UseDPDF=Y")</f>
        <v>1.4950000000000001</v>
      </c>
    </row>
    <row r="67" spans="1:32" x14ac:dyDescent="0.25">
      <c r="A67" s="7" t="s">
        <v>164</v>
      </c>
      <c r="B67" s="7"/>
      <c r="C67" s="7" t="s">
        <v>1</v>
      </c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Cash Flow - Standardized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Juan Francisco Rodríguez Rodríguez</cp:lastModifiedBy>
  <dcterms:created xsi:type="dcterms:W3CDTF">2013-04-03T15:49:21Z</dcterms:created>
  <dcterms:modified xsi:type="dcterms:W3CDTF">2026-02-19T01:56:20Z</dcterms:modified>
</cp:coreProperties>
</file>