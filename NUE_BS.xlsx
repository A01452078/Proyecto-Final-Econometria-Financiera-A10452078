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03518131\Desktop\Bloomberg\Mariann\FA Excel\"/>
    </mc:Choice>
  </mc:AlternateContent>
  <xr:revisionPtr revIDLastSave="0" documentId="8_{6586B67C-0E7D-4384-AF7E-0262FEFC7BF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alance Sheet - Standardize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4" i="2" l="1" a="1"/>
  <c r="S21" i="2" a="1"/>
  <c r="AC9" i="2" a="1"/>
  <c r="AE7" i="2" a="1"/>
  <c r="Y8" i="2" a="1"/>
  <c r="G11" i="2" a="1"/>
  <c r="Z8" i="2" a="1"/>
  <c r="I66" i="2" a="1"/>
  <c r="N22" i="2" a="1"/>
  <c r="X28" i="2" a="1"/>
  <c r="S15" i="2" a="1"/>
  <c r="AC13" i="2" a="1"/>
  <c r="AE13" i="2" a="1"/>
  <c r="G15" i="2" a="1"/>
  <c r="I83" i="2" a="1"/>
  <c r="S9" i="2" a="1"/>
  <c r="Y18" i="2" a="1"/>
  <c r="G9" i="2" a="1"/>
  <c r="I54" i="2" a="1"/>
  <c r="S11" i="2" a="1"/>
  <c r="AE11" i="2" a="1"/>
  <c r="M8" i="2" a="1"/>
  <c r="Z12" i="2" a="1"/>
  <c r="X26" i="2" a="1"/>
  <c r="K24" i="2" a="1"/>
  <c r="Y10" i="2" a="1"/>
  <c r="G17" i="2" a="1"/>
  <c r="X10" i="2" a="1"/>
  <c r="AC25" i="2" a="1"/>
  <c r="Y12" i="2" a="1"/>
  <c r="M12" i="2" a="1"/>
  <c r="N8" i="2" a="1"/>
  <c r="X20" i="2" a="1"/>
  <c r="AE17" i="2" a="1"/>
  <c r="K36" i="2" a="1"/>
  <c r="K28" i="2" a="1"/>
  <c r="M16" i="2" a="1"/>
  <c r="Z10" i="2" a="1"/>
  <c r="N14" i="2" a="1"/>
  <c r="AC29" i="2" a="1"/>
  <c r="M14" i="2" a="1"/>
  <c r="Z14" i="2" a="1"/>
  <c r="X34" i="2" a="1"/>
  <c r="K48" i="2" a="1"/>
  <c r="Y16" i="2" a="1"/>
  <c r="G13" i="2" a="1"/>
  <c r="N12" i="2" a="1"/>
  <c r="AC45" i="2" a="1"/>
  <c r="M10" i="2" a="1"/>
  <c r="I70" i="2" a="1"/>
  <c r="N10" i="2" a="1"/>
  <c r="S13" i="2" a="1"/>
  <c r="AE9" i="2" a="1"/>
  <c r="Z16" i="2" a="1"/>
  <c r="I56" i="2" a="1"/>
  <c r="H11" i="2" a="1"/>
  <c r="O38" i="2" a="1"/>
  <c r="W44" i="2" a="1"/>
  <c r="T11" i="2" a="1"/>
  <c r="AF9" i="2" a="1"/>
  <c r="U56" i="2" a="1"/>
  <c r="AB44" i="2" a="1"/>
  <c r="AA44" i="2" a="1"/>
  <c r="L20" i="2" a="1"/>
  <c r="E19" i="2" a="1"/>
  <c r="R7" i="2" a="1"/>
  <c r="W26" i="2" a="1"/>
  <c r="W21" i="2" a="1"/>
  <c r="W25" i="2" a="1"/>
  <c r="W31" i="2" a="1"/>
  <c r="Q29" i="2" a="1"/>
  <c r="Q38" i="2" a="1"/>
  <c r="Q14" i="2" a="1"/>
  <c r="Q25" i="2" a="1"/>
  <c r="U48" i="2" a="1"/>
  <c r="U7" i="2" a="1"/>
  <c r="U21" i="2" a="1"/>
  <c r="K40" i="2" a="1"/>
  <c r="K11" i="2" a="1"/>
  <c r="K7" i="2" a="1"/>
  <c r="K17" i="2" a="1"/>
  <c r="O8" i="2" a="1"/>
  <c r="O57" i="2" a="1"/>
  <c r="O34" i="2" a="1"/>
  <c r="O24" i="2" a="1"/>
  <c r="AA49" i="2" a="1"/>
  <c r="AA61" i="2" a="1"/>
  <c r="AA36" i="2" a="1"/>
  <c r="AA41" i="2" a="1"/>
  <c r="AC18" i="2" a="1"/>
  <c r="AC30" i="2" a="1"/>
  <c r="AC26" i="2" a="1"/>
  <c r="AC38" i="2" a="1"/>
  <c r="V41" i="2" a="1"/>
  <c r="C14" i="2" a="1"/>
  <c r="C24" i="2" a="1"/>
  <c r="C36" i="2" a="1"/>
  <c r="C38" i="2" a="1"/>
  <c r="P42" i="2" a="1"/>
  <c r="G21" i="2" a="1"/>
  <c r="G24" i="2" a="1"/>
  <c r="G18" i="2" a="1"/>
  <c r="G27" i="2" a="1"/>
  <c r="I52" i="2" a="1"/>
  <c r="I50" i="2" a="1"/>
  <c r="I31" i="2" a="1"/>
  <c r="R16" i="2" a="1"/>
  <c r="R12" i="2" a="1"/>
  <c r="R22" i="2" a="1"/>
  <c r="R34" i="2" a="1"/>
  <c r="AD13" i="2" a="1"/>
  <c r="AE29" i="2" a="1"/>
  <c r="AE12" i="2" a="1"/>
  <c r="H17" i="2" a="1"/>
  <c r="O82" i="2" a="1"/>
  <c r="W8" i="2" a="1"/>
  <c r="T9" i="2" a="1"/>
  <c r="Q21" i="2" a="1"/>
  <c r="U49" i="2" a="1"/>
  <c r="AB40" i="2" a="1"/>
  <c r="AA51" i="2" a="1"/>
  <c r="L34" i="2" a="1"/>
  <c r="H15" i="2" a="1"/>
  <c r="O61" i="2" a="1"/>
  <c r="W40" i="2" a="1"/>
  <c r="AF15" i="2" a="1"/>
  <c r="Q17" i="2" a="1"/>
  <c r="U44" i="2" a="1"/>
  <c r="AB38" i="2" a="1"/>
  <c r="AA38" i="2" a="1"/>
  <c r="E47" i="2" a="1"/>
  <c r="C8" i="2" a="1"/>
  <c r="R17" i="2" a="1"/>
  <c r="W19" i="2" a="1"/>
  <c r="W13" i="2" a="1"/>
  <c r="W7" i="2" a="1"/>
  <c r="W10" i="2" a="1"/>
  <c r="Q16" i="2" a="1"/>
  <c r="Q12" i="2" a="1"/>
  <c r="Q28" i="2" a="1"/>
  <c r="U35" i="2" a="1"/>
  <c r="U29" i="2" a="1"/>
  <c r="U17" i="2" a="1"/>
  <c r="U42" i="2" a="1"/>
  <c r="K52" i="2" a="1"/>
  <c r="K22" i="2" a="1"/>
  <c r="K54" i="2" a="1"/>
  <c r="K38" i="2" a="1"/>
  <c r="O20" i="2" a="1"/>
  <c r="O18" i="2" a="1"/>
  <c r="O63" i="2" a="1"/>
  <c r="J39" i="2" a="1"/>
  <c r="AA14" i="2" a="1"/>
  <c r="AA43" i="2" a="1"/>
  <c r="AA30" i="2" a="1"/>
  <c r="AA28" i="2" a="1"/>
  <c r="AC63" i="2" a="1"/>
  <c r="AC16" i="2" a="1"/>
  <c r="H9" i="2" a="1"/>
  <c r="O51" i="2" a="1"/>
  <c r="T17" i="2" a="1"/>
  <c r="AF13" i="2" a="1"/>
  <c r="Q49" i="2" a="1"/>
  <c r="U70" i="2" a="1"/>
  <c r="AB10" i="2" a="1"/>
  <c r="L14" i="2" a="1"/>
  <c r="E13" i="2" a="1"/>
  <c r="C61" i="2" a="1"/>
  <c r="R11" i="2" a="1"/>
  <c r="W30" i="2" a="1"/>
  <c r="W35" i="2" a="1"/>
  <c r="H13" i="2" a="1"/>
  <c r="W39" i="2" a="1"/>
  <c r="T13" i="2" a="1"/>
  <c r="AF29" i="2" a="1"/>
  <c r="Q42" i="2" a="1"/>
  <c r="U43" i="2" a="1"/>
  <c r="AA63" i="2" a="1"/>
  <c r="L39" i="2" a="1"/>
  <c r="E59" i="2" a="1"/>
  <c r="C46" i="2" a="1"/>
  <c r="R37" i="2" a="1"/>
  <c r="O75" i="2" a="1"/>
  <c r="AA82" i="2" a="1"/>
  <c r="W15" i="2" a="1"/>
  <c r="Q20" i="2" a="1"/>
  <c r="U83" i="2" a="1"/>
  <c r="U23" i="2" a="1"/>
  <c r="K64" i="2" a="1"/>
  <c r="O28" i="2" a="1"/>
  <c r="AA8" i="2" a="1"/>
  <c r="AA34" i="2" a="1"/>
  <c r="W29" i="2" a="1"/>
  <c r="W41" i="2" a="1"/>
  <c r="Q10" i="2" a="1"/>
  <c r="U27" i="2" a="1"/>
  <c r="K66" i="2" a="1"/>
  <c r="O59" i="2" a="1"/>
  <c r="O26" i="2" a="1"/>
  <c r="AA24" i="2" a="1"/>
  <c r="AC65" i="2" a="1"/>
  <c r="V39" i="2" a="1"/>
  <c r="C67" i="2" a="1"/>
  <c r="C34" i="2" a="1"/>
  <c r="G14" i="2" a="1"/>
  <c r="G29" i="2" a="1"/>
  <c r="I23" i="2" a="1"/>
  <c r="I40" i="2" a="1"/>
  <c r="R23" i="2" a="1"/>
  <c r="R30" i="2" a="1"/>
  <c r="AD9" i="2" a="1"/>
  <c r="AE21" i="2" a="1"/>
  <c r="E20" i="2" a="1"/>
  <c r="E45" i="2" a="1"/>
  <c r="M39" i="2" a="1"/>
  <c r="M25" i="2" a="1"/>
  <c r="X31" i="2" a="1"/>
  <c r="F19" i="2" a="1"/>
  <c r="Y19" i="2" a="1"/>
  <c r="AF23" i="2" a="1"/>
  <c r="AF20" i="2" a="1"/>
  <c r="AF18" i="2" a="1"/>
  <c r="S27" i="2" a="1"/>
  <c r="H20" i="2" a="1"/>
  <c r="H31" i="2" a="1"/>
  <c r="W56" i="2" a="1"/>
  <c r="L36" i="2" a="1"/>
  <c r="W18" i="2" a="1"/>
  <c r="Q36" i="2" a="1"/>
  <c r="Q8" i="2" a="1"/>
  <c r="U9" i="2" a="1"/>
  <c r="U37" i="2" a="1"/>
  <c r="O49" i="2" a="1"/>
  <c r="O12" i="2" a="1"/>
  <c r="AA20" i="2" a="1"/>
  <c r="AC12" i="2" a="1"/>
  <c r="R25" i="2" a="1"/>
  <c r="AE16" i="2" a="1"/>
  <c r="AE38" i="2" a="1"/>
  <c r="E24" i="2" a="1"/>
  <c r="M26" i="2" a="1"/>
  <c r="M17" i="2" a="1"/>
  <c r="X15" i="2" a="1"/>
  <c r="X29" i="2" a="1"/>
  <c r="Y26" i="2" a="1"/>
  <c r="Y27" i="2" a="1"/>
  <c r="Y22" i="2" a="1"/>
  <c r="AF7" i="2" a="1"/>
  <c r="S17" i="2" a="1"/>
  <c r="S37" i="2" a="1"/>
  <c r="H25" i="2" a="1"/>
  <c r="H19" i="2" a="1"/>
  <c r="Q26" i="2" a="1"/>
  <c r="U58" i="2" a="1"/>
  <c r="K42" i="2" a="1"/>
  <c r="K25" i="2" a="1"/>
  <c r="O48" i="2" a="1"/>
  <c r="AA45" i="2" a="1"/>
  <c r="AC51" i="2" a="1"/>
  <c r="AC21" i="2" a="1"/>
  <c r="D46" i="2" a="1"/>
  <c r="C41" i="2" a="1"/>
  <c r="C18" i="2" a="1"/>
  <c r="G34" i="2" a="1"/>
  <c r="G37" i="2" a="1"/>
  <c r="I48" i="2" a="1"/>
  <c r="I37" i="2" a="1"/>
  <c r="R26" i="2" a="1"/>
  <c r="AE34" i="2" a="1"/>
  <c r="AE20" i="2" a="1"/>
  <c r="AE14" i="2" a="1"/>
  <c r="E57" i="2" a="1"/>
  <c r="E25" i="2" a="1"/>
  <c r="M22" i="2" a="1"/>
  <c r="M34" i="2" a="1"/>
  <c r="X27" i="2" a="1"/>
  <c r="X8" i="2" a="1"/>
  <c r="F35" i="2" a="1"/>
  <c r="Y29" i="2" a="1"/>
  <c r="AF31" i="2" a="1"/>
  <c r="AF35" i="2" a="1"/>
  <c r="S20" i="2" a="1"/>
  <c r="S26" i="2" a="1"/>
  <c r="T7" i="2" a="1"/>
  <c r="E15" i="2" a="1"/>
  <c r="W54" i="2" a="1"/>
  <c r="W9" i="2" a="1"/>
  <c r="Q22" i="2" a="1"/>
  <c r="U15" i="2" a="1"/>
  <c r="AF11" i="2" a="1"/>
  <c r="C59" i="2" a="1"/>
  <c r="W23" i="2" a="1"/>
  <c r="Q61" i="2" a="1"/>
  <c r="Q9" i="2" a="1"/>
  <c r="K39" i="2" a="1"/>
  <c r="K13" i="2" a="1"/>
  <c r="O30" i="2" a="1"/>
  <c r="J40" i="2" a="1"/>
  <c r="AC61" i="2" a="1"/>
  <c r="AC10" i="2" a="1"/>
  <c r="D12" i="2" a="1"/>
  <c r="C10" i="2" a="1"/>
  <c r="P8" i="2" a="1"/>
  <c r="G28" i="2" a="1"/>
  <c r="G22" i="2" a="1"/>
  <c r="I15" i="2" a="1"/>
  <c r="I11" i="2" a="1"/>
  <c r="R36" i="2" a="1"/>
  <c r="R27" i="2" a="1"/>
  <c r="AE35" i="2" a="1"/>
  <c r="E10" i="2" a="1"/>
  <c r="M27" i="2" a="1"/>
  <c r="M30" i="2" a="1"/>
  <c r="M13" i="2" a="1"/>
  <c r="X37" i="2" a="1"/>
  <c r="Y39" i="2" a="1"/>
  <c r="Y36" i="2" a="1"/>
  <c r="AF26" i="2" a="1"/>
  <c r="AF12" i="2" a="1"/>
  <c r="AF10" i="2" a="1"/>
  <c r="S35" i="2" a="1"/>
  <c r="H35" i="2" a="1"/>
  <c r="H18" i="2" a="1"/>
  <c r="H27" i="2" a="1"/>
  <c r="Z18" i="2" a="1"/>
  <c r="Z34" i="2" a="1"/>
  <c r="Z9" i="2" a="1"/>
  <c r="T37" i="2" a="1"/>
  <c r="T24" i="2" a="1"/>
  <c r="T19" i="2" a="1"/>
  <c r="T8" i="2" a="1"/>
  <c r="N19" i="2" a="1"/>
  <c r="N7" i="2" a="1"/>
  <c r="N27" i="2" a="1"/>
  <c r="N29" i="2" a="1"/>
  <c r="I34" i="2" a="1"/>
  <c r="I36" i="2" a="1"/>
  <c r="I10" i="2" a="1"/>
  <c r="I18" i="2" a="1"/>
  <c r="L16" i="2" a="1"/>
  <c r="L8" i="2" a="1"/>
  <c r="L28" i="2" a="1"/>
  <c r="J15" i="2" a="1"/>
  <c r="J43" i="2" a="1"/>
  <c r="J11" i="2" a="1"/>
  <c r="J8" i="2" a="1"/>
  <c r="C65" i="2" a="1"/>
  <c r="C7" i="2" a="1"/>
  <c r="C53" i="2" a="1"/>
  <c r="C29" i="2" a="1"/>
  <c r="C71" i="2" a="1"/>
  <c r="Q35" i="2" a="1"/>
  <c r="Q37" i="2" a="1"/>
  <c r="U66" i="2" a="1"/>
  <c r="K9" i="2" a="1"/>
  <c r="O36" i="2" a="1"/>
  <c r="J47" i="2" a="1"/>
  <c r="AA12" i="2" a="1"/>
  <c r="AC40" i="2" a="1"/>
  <c r="AC14" i="2" a="1"/>
  <c r="D20" i="2" a="1"/>
  <c r="C16" i="2" a="1"/>
  <c r="P10" i="2" a="1"/>
  <c r="G19" i="2" a="1"/>
  <c r="G16" i="2" a="1"/>
  <c r="I17" i="2" a="1"/>
  <c r="R29" i="2" a="1"/>
  <c r="R24" i="2" a="1"/>
  <c r="R13" i="2" a="1"/>
  <c r="AE18" i="2" a="1"/>
  <c r="E30" i="2" a="1"/>
  <c r="E12" i="2" a="1"/>
  <c r="E22" i="2" a="1"/>
  <c r="M29" i="2" a="1"/>
  <c r="M36" i="2" a="1"/>
  <c r="X35" i="2" a="1"/>
  <c r="X21" i="2" a="1"/>
  <c r="Y34" i="2" a="1"/>
  <c r="Y15" i="2" a="1"/>
  <c r="AF37" i="2" a="1"/>
  <c r="S22" i="2" a="1"/>
  <c r="S25" i="2" a="1"/>
  <c r="S31" i="2" a="1"/>
  <c r="H38" i="2" a="1"/>
  <c r="Q43" i="2" a="1"/>
  <c r="W14" i="2" a="1"/>
  <c r="Q59" i="2" a="1"/>
  <c r="U13" i="2" a="1"/>
  <c r="K15" i="2" a="1"/>
  <c r="K19" i="2" a="1"/>
  <c r="O14" i="2" a="1"/>
  <c r="AA10" i="2" a="1"/>
  <c r="AC20" i="2" a="1"/>
  <c r="R8" i="2" a="1"/>
  <c r="AD15" i="2" a="1"/>
  <c r="AE24" i="2" a="1"/>
  <c r="E35" i="2" a="1"/>
  <c r="E26" i="2" a="1"/>
  <c r="M11" i="2" a="1"/>
  <c r="X13" i="2" a="1"/>
  <c r="X11" i="2" a="1"/>
  <c r="Y25" i="2" a="1"/>
  <c r="AF22" i="2" a="1"/>
  <c r="AF25" i="2" a="1"/>
  <c r="AF38" i="2" a="1"/>
  <c r="S28" i="2" a="1"/>
  <c r="H37" i="2" a="1"/>
  <c r="H23" i="2" a="1"/>
  <c r="H14" i="2" a="1"/>
  <c r="Z27" i="2" a="1"/>
  <c r="Z7" i="2" a="1"/>
  <c r="Z15" i="2" a="1"/>
  <c r="T15" i="2" a="1"/>
  <c r="T23" i="2" a="1"/>
  <c r="T28" i="2" a="1"/>
  <c r="T38" i="2" a="1"/>
  <c r="N11" i="2" a="1"/>
  <c r="N30" i="2" a="1"/>
  <c r="N25" i="2" a="1"/>
  <c r="N17" i="2" a="1"/>
  <c r="I14" i="2" a="1"/>
  <c r="I41" i="2" a="1"/>
  <c r="I62" i="2" a="1"/>
  <c r="L38" i="2" a="1"/>
  <c r="L27" i="2" a="1"/>
  <c r="L19" i="2" a="1"/>
  <c r="L30" i="2" a="1"/>
  <c r="J17" i="2" a="1"/>
  <c r="J37" i="2" a="1"/>
  <c r="J19" i="2" a="1"/>
  <c r="J10" i="2" a="1"/>
  <c r="C19" i="2" a="1"/>
  <c r="C9" i="2" a="1"/>
  <c r="C21" i="2" a="1"/>
  <c r="R31" i="2" a="1"/>
  <c r="W11" i="2" a="1"/>
  <c r="Q47" i="2" a="1"/>
  <c r="U19" i="2" a="1"/>
  <c r="U11" i="2" a="1"/>
  <c r="O22" i="2" a="1"/>
  <c r="O10" i="2" a="1"/>
  <c r="AA18" i="2" a="1"/>
  <c r="AA16" i="2" a="1"/>
  <c r="AC8" i="2" a="1"/>
  <c r="C30" i="2" a="1"/>
  <c r="C28" i="2" a="1"/>
  <c r="P38" i="2" a="1"/>
  <c r="G7" i="2" a="1"/>
  <c r="I64" i="2" a="1"/>
  <c r="I25" i="2" a="1"/>
  <c r="R15" i="2" a="1"/>
  <c r="AD23" i="2" a="1"/>
  <c r="AE28" i="2" a="1"/>
  <c r="AE22" i="2" a="1"/>
  <c r="E34" i="2" a="1"/>
  <c r="E8" i="2" a="1"/>
  <c r="E61" i="2" a="1"/>
  <c r="M21" i="2" a="1"/>
  <c r="M18" i="2" a="1"/>
  <c r="X23" i="2" a="1"/>
  <c r="X18" i="2" a="1"/>
  <c r="Y28" i="2" a="1"/>
  <c r="Y14" i="2" a="1"/>
  <c r="Y24" i="2" a="1"/>
  <c r="AF27" i="2" a="1"/>
  <c r="S12" i="2" a="1"/>
  <c r="S14" i="2" a="1"/>
  <c r="H30" i="2" a="1"/>
  <c r="H24" i="2" a="1"/>
  <c r="AB46" i="2" a="1"/>
  <c r="W17" i="2" a="1"/>
  <c r="W27" i="2" a="1"/>
  <c r="U25" i="2" a="1"/>
  <c r="U31" i="2" a="1"/>
  <c r="K14" i="2" a="1"/>
  <c r="O47" i="2" a="1"/>
  <c r="AA22" i="2" a="1"/>
  <c r="AA39" i="2" a="1"/>
  <c r="AC22" i="2" a="1"/>
  <c r="V7" i="2" a="1"/>
  <c r="C75" i="2" a="1"/>
  <c r="C42" i="2" a="1"/>
  <c r="P48" i="2" a="1"/>
  <c r="G23" i="2" a="1"/>
  <c r="I7" i="2" a="1"/>
  <c r="I13" i="2" a="1"/>
  <c r="R19" i="2" a="1"/>
  <c r="AD38" i="2" a="1"/>
  <c r="AE27" i="2" a="1"/>
  <c r="E16" i="2" a="1"/>
  <c r="C90" i="2" a="1"/>
  <c r="X14" i="2" a="1"/>
  <c r="X19" i="2" a="1"/>
  <c r="F37" i="2" a="1"/>
  <c r="Y30" i="2" a="1"/>
  <c r="AF24" i="2" a="1"/>
  <c r="AF8" i="2" a="1"/>
  <c r="S24" i="2" a="1"/>
  <c r="S18" i="2" a="1"/>
  <c r="H21" i="2" a="1"/>
  <c r="Z24" i="2" a="1"/>
  <c r="Z39" i="2" a="1"/>
  <c r="Z29" i="2" a="1"/>
  <c r="Z13" i="2" a="1"/>
  <c r="T12" i="2" a="1"/>
  <c r="T35" i="2" a="1"/>
  <c r="T16" i="2" a="1"/>
  <c r="T27" i="2" a="1"/>
  <c r="N20" i="2" a="1"/>
  <c r="N15" i="2" a="1"/>
  <c r="N13" i="2" a="1"/>
  <c r="O90" i="2" a="1"/>
  <c r="I28" i="2" a="1"/>
  <c r="I12" i="2" a="1"/>
  <c r="I68" i="2" a="1"/>
  <c r="L31" i="2" a="1"/>
  <c r="L10" i="2" a="1"/>
  <c r="L15" i="2" a="1"/>
  <c r="L23" i="2" a="1"/>
  <c r="J26" i="2" a="1"/>
  <c r="J18" i="2" a="1"/>
  <c r="J49" i="2" a="1"/>
  <c r="J35" i="2" a="1"/>
  <c r="C13" i="2" a="1"/>
  <c r="C73" i="2" a="1"/>
  <c r="C31" i="2" a="1"/>
  <c r="D41" i="2" a="1"/>
  <c r="D9" i="2" a="1"/>
  <c r="D14" i="2" a="1"/>
  <c r="K18" i="2" a="1"/>
  <c r="C45" i="2" a="1"/>
  <c r="G39" i="2" a="1"/>
  <c r="R18" i="2" a="1"/>
  <c r="AE25" i="2" a="1"/>
  <c r="M20" i="2" a="1"/>
  <c r="Y35" i="2" a="1"/>
  <c r="AF16" i="2" a="1"/>
  <c r="D18" i="2" a="1"/>
  <c r="D24" i="2" a="1"/>
  <c r="D16" i="2" a="1"/>
  <c r="U20" i="2" a="1"/>
  <c r="U64" i="2" a="1"/>
  <c r="AB11" i="2" a="1"/>
  <c r="AB13" i="2" a="1"/>
  <c r="AB24" i="2" a="1"/>
  <c r="AD34" i="2" a="1"/>
  <c r="AD20" i="2" a="1"/>
  <c r="AD12" i="2" a="1"/>
  <c r="P59" i="2" a="1"/>
  <c r="P69" i="2" a="1"/>
  <c r="P63" i="2" a="1"/>
  <c r="O7" i="2" a="1"/>
  <c r="O42" i="2" a="1"/>
  <c r="V50" i="2" a="1"/>
  <c r="V56" i="2" a="1"/>
  <c r="O73" i="2" a="1"/>
  <c r="V44" i="2" a="1"/>
  <c r="V52" i="2" a="1"/>
  <c r="P13" i="2" a="1"/>
  <c r="P36" i="2" a="1"/>
  <c r="J28" i="2" a="1"/>
  <c r="J42" i="2" a="1"/>
  <c r="J24" i="2" a="1"/>
  <c r="AA29" i="2" a="1"/>
  <c r="AA48" i="2" a="1"/>
  <c r="AA90" i="2" a="1"/>
  <c r="F20" i="2" a="1"/>
  <c r="F38" i="2" a="1"/>
  <c r="V14" i="2" a="1"/>
  <c r="V27" i="2" a="1"/>
  <c r="D25" i="2" a="1"/>
  <c r="D31" i="2" a="1"/>
  <c r="D63" i="2" a="1"/>
  <c r="K60" i="2" a="1"/>
  <c r="K30" i="2" a="1"/>
  <c r="K56" i="2" a="1"/>
  <c r="W22" i="2" a="1"/>
  <c r="AC37" i="2" a="1"/>
  <c r="C55" i="2" a="1"/>
  <c r="I27" i="2" a="1"/>
  <c r="R20" i="2" a="1"/>
  <c r="AE26" i="2" a="1"/>
  <c r="K23" i="2" a="1"/>
  <c r="AC41" i="2" a="1"/>
  <c r="C44" i="2" a="1"/>
  <c r="G20" i="2" a="1"/>
  <c r="R28" i="2" a="1"/>
  <c r="AE19" i="2" a="1"/>
  <c r="E36" i="2" a="1"/>
  <c r="X9" i="2" a="1"/>
  <c r="Y23" i="2" a="1"/>
  <c r="S30" i="2" a="1"/>
  <c r="Z30" i="2" a="1"/>
  <c r="Z19" i="2" a="1"/>
  <c r="T20" i="2" a="1"/>
  <c r="T26" i="2" a="1"/>
  <c r="N18" i="2" a="1"/>
  <c r="N26" i="2" a="1"/>
  <c r="I72" i="2" a="1"/>
  <c r="I44" i="2" a="1"/>
  <c r="L29" i="2" a="1"/>
  <c r="J9" i="2" a="1"/>
  <c r="J31" i="2" a="1"/>
  <c r="C39" i="2" a="1"/>
  <c r="C35" i="2" a="1"/>
  <c r="D44" i="2" a="1"/>
  <c r="D13" i="2" a="1"/>
  <c r="U16" i="2" a="1"/>
  <c r="AB36" i="2" a="1"/>
  <c r="AB41" i="2" a="1"/>
  <c r="AD22" i="2" a="1"/>
  <c r="AD16" i="2" a="1"/>
  <c r="P29" i="2" a="1"/>
  <c r="P23" i="2" a="1"/>
  <c r="V64" i="2" a="1"/>
  <c r="P26" i="2" a="1"/>
  <c r="P14" i="2" a="1"/>
  <c r="J30" i="2" a="1"/>
  <c r="AA31" i="2" a="1"/>
  <c r="F30" i="2" a="1"/>
  <c r="V13" i="2" a="1"/>
  <c r="V37" i="2" a="1"/>
  <c r="D59" i="2" a="1"/>
  <c r="Q18" i="2" a="1"/>
  <c r="Q24" i="2" a="1"/>
  <c r="U54" i="2" a="1"/>
  <c r="U41" i="2" a="1"/>
  <c r="AA71" i="2" a="1"/>
  <c r="D8" i="2" a="1"/>
  <c r="G31" i="2" a="1"/>
  <c r="I47" i="2" a="1"/>
  <c r="AE37" i="2" a="1"/>
  <c r="E38" i="2" a="1"/>
  <c r="M23" i="2" a="1"/>
  <c r="Y11" i="2" a="1"/>
  <c r="S19" i="2" a="1"/>
  <c r="H8" i="2" a="1"/>
  <c r="D7" i="2" a="1"/>
  <c r="D26" i="2" a="1"/>
  <c r="U68" i="2" a="1"/>
  <c r="AB22" i="2" a="1"/>
  <c r="P37" i="2" a="1"/>
  <c r="O19" i="2" a="1"/>
  <c r="V54" i="2" a="1"/>
  <c r="V30" i="2" a="1"/>
  <c r="P24" i="2" a="1"/>
  <c r="J16" i="2" a="1"/>
  <c r="J58" i="2" a="1"/>
  <c r="AA26" i="2" a="1"/>
  <c r="D10" i="2" a="1"/>
  <c r="G35" i="2" a="1"/>
  <c r="I29" i="2" a="1"/>
  <c r="AE23" i="2" a="1"/>
  <c r="E29" i="2" a="1"/>
  <c r="X30" i="2" a="1"/>
  <c r="AF36" i="2" a="1"/>
  <c r="S23" i="2" a="1"/>
  <c r="H29" i="2" a="1"/>
  <c r="D30" i="2" a="1"/>
  <c r="D28" i="2" a="1"/>
  <c r="U28" i="2" a="1"/>
  <c r="U14" i="2" a="1"/>
  <c r="U74" i="2" a="1"/>
  <c r="AB30" i="2" a="1"/>
  <c r="AB8" i="2" a="1"/>
  <c r="AD17" i="2" a="1"/>
  <c r="AD14" i="2" a="1"/>
  <c r="AD26" i="2" a="1"/>
  <c r="P31" i="2" a="1"/>
  <c r="P67" i="2" a="1"/>
  <c r="P55" i="2" a="1"/>
  <c r="O13" i="2" a="1"/>
  <c r="O40" i="2" a="1"/>
  <c r="O43" i="2" a="1"/>
  <c r="V24" i="2" a="1"/>
  <c r="V46" i="2" a="1"/>
  <c r="P17" i="2" a="1"/>
  <c r="P18" i="2" a="1"/>
  <c r="J50" i="2" a="1"/>
  <c r="K10" i="2" a="1"/>
  <c r="AA75" i="2" a="1"/>
  <c r="C26" i="2" a="1"/>
  <c r="G12" i="2" a="1"/>
  <c r="R38" i="2" a="1"/>
  <c r="AE30" i="2" a="1"/>
  <c r="E28" i="2" a="1"/>
  <c r="M15" i="2" a="1"/>
  <c r="Y20" i="2" a="1"/>
  <c r="AF14" i="2" a="1"/>
  <c r="Z26" i="2" a="1"/>
  <c r="Z25" i="2" a="1"/>
  <c r="T22" i="2" a="1"/>
  <c r="T10" i="2" a="1"/>
  <c r="N24" i="2" a="1"/>
  <c r="N23" i="2" a="1"/>
  <c r="I16" i="2" a="1"/>
  <c r="I39" i="2" a="1"/>
  <c r="L26" i="2" a="1"/>
  <c r="L37" i="2" a="1"/>
  <c r="J27" i="2" a="1"/>
  <c r="C17" i="2" a="1"/>
  <c r="C47" i="2" a="1"/>
  <c r="D38" i="2" a="1"/>
  <c r="D39" i="2" a="1"/>
  <c r="U50" i="2" a="1"/>
  <c r="U47" i="2" a="1"/>
  <c r="AB42" i="2" a="1"/>
  <c r="AD29" i="2" a="1"/>
  <c r="AD36" i="2" a="1"/>
  <c r="P27" i="2" a="1"/>
  <c r="P43" i="2" a="1"/>
  <c r="O27" i="2" a="1"/>
  <c r="O55" i="2" a="1"/>
  <c r="V58" i="2" a="1"/>
  <c r="K21" i="2" a="1"/>
  <c r="C22" i="2" a="1"/>
  <c r="G40" i="2" a="1"/>
  <c r="R10" i="2" a="1"/>
  <c r="AE15" i="2" a="1"/>
  <c r="E18" i="2" a="1"/>
  <c r="X38" i="2" a="1"/>
  <c r="Y21" i="2" a="1"/>
  <c r="S7" i="2" a="1"/>
  <c r="H22" i="2" a="1"/>
  <c r="Z11" i="2" a="1"/>
  <c r="Z21" i="2" a="1"/>
  <c r="T21" i="2" a="1"/>
  <c r="T29" i="2" a="1"/>
  <c r="N21" i="2" a="1"/>
  <c r="N28" i="2" a="1"/>
  <c r="I26" i="2" a="1"/>
  <c r="I22" i="2" a="1"/>
  <c r="L17" i="2" a="1"/>
  <c r="L35" i="2" a="1"/>
  <c r="J25" i="2" a="1"/>
  <c r="C43" i="2" a="1"/>
  <c r="C27" i="2" a="1"/>
  <c r="D40" i="2" a="1"/>
  <c r="U10" i="2" a="1"/>
  <c r="Q30" i="2" a="1"/>
  <c r="C12" i="2" a="1"/>
  <c r="M28" i="2" a="1"/>
  <c r="Y38" i="2" a="1"/>
  <c r="S8" i="2" a="1"/>
  <c r="U26" i="2" a="1"/>
  <c r="U62" i="2" a="1"/>
  <c r="AB16" i="2" a="1"/>
  <c r="P51" i="2" a="1"/>
  <c r="O9" i="2" a="1"/>
  <c r="J48" i="2" a="1"/>
  <c r="J62" i="2" a="1"/>
  <c r="AA23" i="2" a="1"/>
  <c r="AA11" i="2" a="1"/>
  <c r="AA27" i="2" a="1"/>
  <c r="F21" i="2" a="1"/>
  <c r="F18" i="2" a="1"/>
  <c r="V35" i="2" a="1"/>
  <c r="V21" i="2" a="1"/>
  <c r="V10" i="2" a="1"/>
  <c r="D49" i="2" a="1"/>
  <c r="D19" i="2" a="1"/>
  <c r="K31" i="2" a="1"/>
  <c r="K16" i="2" a="1"/>
  <c r="U24" i="2" a="1"/>
  <c r="AD7" i="2" a="1"/>
  <c r="P19" i="2" a="1"/>
  <c r="V60" i="2" a="1"/>
  <c r="AA21" i="2" a="1"/>
  <c r="F17" i="2" a="1"/>
  <c r="V25" i="2" a="1"/>
  <c r="D45" i="2" a="1"/>
  <c r="K44" i="2" a="1"/>
  <c r="S16" i="2" a="1"/>
  <c r="AB20" i="2" a="1"/>
  <c r="P20" i="2" a="1"/>
  <c r="V15" i="2" a="1"/>
  <c r="O67" i="2" a="1"/>
  <c r="C57" i="2" a="1"/>
  <c r="M38" i="2" a="1"/>
  <c r="S38" i="2" a="1"/>
  <c r="H12" i="2" a="1"/>
  <c r="Z28" i="2" a="1"/>
  <c r="N16" i="2" a="1"/>
  <c r="I24" i="2" a="1"/>
  <c r="L25" i="2" a="1"/>
  <c r="J29" i="2" a="1"/>
  <c r="C49" i="2" a="1"/>
  <c r="D36" i="2" a="1"/>
  <c r="U18" i="2" a="1"/>
  <c r="AB28" i="2" a="1"/>
  <c r="AD28" i="2" a="1"/>
  <c r="AD25" i="2" a="1"/>
  <c r="O46" i="2" a="1"/>
  <c r="O21" i="2" a="1"/>
  <c r="V34" i="2" a="1"/>
  <c r="P34" i="2" a="1"/>
  <c r="P16" i="2" a="1"/>
  <c r="J54" i="2" a="1"/>
  <c r="O71" i="2" a="1"/>
  <c r="C20" i="2" a="1"/>
  <c r="X22" i="2" a="1"/>
  <c r="AB39" i="2" a="1"/>
  <c r="AD8" i="2" a="1"/>
  <c r="V26" i="2" a="1"/>
  <c r="J34" i="2" a="1"/>
  <c r="F36" i="2" a="1"/>
  <c r="F25" i="2" a="1"/>
  <c r="D23" i="2" a="1"/>
  <c r="K74" i="2" a="1"/>
  <c r="U72" i="2" a="1"/>
  <c r="O25" i="2" a="1"/>
  <c r="AA69" i="2" a="1"/>
  <c r="G25" i="2" a="1"/>
  <c r="AE31" i="2" a="1"/>
  <c r="D34" i="2" a="1"/>
  <c r="D15" i="2" a="1"/>
  <c r="O16" i="2" a="1"/>
  <c r="G10" i="2" a="1"/>
  <c r="X17" i="2" a="1"/>
  <c r="Z17" i="2" a="1"/>
  <c r="T18" i="2" a="1"/>
  <c r="N34" i="2" a="1"/>
  <c r="I8" i="2" a="1"/>
  <c r="L21" i="2" a="1"/>
  <c r="J41" i="2" a="1"/>
  <c r="C23" i="2" a="1"/>
  <c r="D42" i="2" a="1"/>
  <c r="U38" i="2" a="1"/>
  <c r="AB34" i="2" a="1"/>
  <c r="P25" i="2" a="1"/>
  <c r="P57" i="2" a="1"/>
  <c r="O31" i="2" a="1"/>
  <c r="V20" i="2" a="1"/>
  <c r="P12" i="2" a="1"/>
  <c r="P22" i="2" a="1"/>
  <c r="J64" i="2" a="1"/>
  <c r="AA57" i="2" a="1"/>
  <c r="AA59" i="2" a="1"/>
  <c r="F34" i="2" a="1"/>
  <c r="F14" i="2" a="1"/>
  <c r="F7" i="2" a="1"/>
  <c r="V42" i="2" a="1"/>
  <c r="V8" i="2" a="1"/>
  <c r="D55" i="2" a="1"/>
  <c r="D61" i="2" a="1"/>
  <c r="D57" i="2" a="1"/>
  <c r="K20" i="2" a="1"/>
  <c r="K68" i="2" a="1"/>
  <c r="AA53" i="2" a="1"/>
  <c r="V12" i="2" a="1"/>
  <c r="D35" i="2" a="1"/>
  <c r="K62" i="2" a="1"/>
  <c r="V48" i="2" a="1"/>
  <c r="AA13" i="2" a="1"/>
  <c r="K26" i="2" a="1"/>
  <c r="V11" i="2" a="1"/>
  <c r="K12" i="2" a="1"/>
  <c r="J14" i="2" a="1"/>
  <c r="J21" i="2" a="1"/>
  <c r="I9" i="2" a="1"/>
  <c r="E41" i="2" a="1"/>
  <c r="X25" i="2" a="1"/>
  <c r="Y17" i="2" a="1"/>
  <c r="S29" i="2" a="1"/>
  <c r="Z22" i="2" a="1"/>
  <c r="T25" i="2" a="1"/>
  <c r="N39" i="2" a="1"/>
  <c r="I81" i="2" a="1"/>
  <c r="L18" i="2" a="1"/>
  <c r="J23" i="2" a="1"/>
  <c r="C11" i="2" a="1"/>
  <c r="AB27" i="2" a="1"/>
  <c r="AB18" i="2" a="1"/>
  <c r="AD18" i="2" a="1"/>
  <c r="O17" i="2" a="1"/>
  <c r="O29" i="2" a="1"/>
  <c r="V40" i="2" a="1"/>
  <c r="P30" i="2" a="1"/>
  <c r="J60" i="2" a="1"/>
  <c r="AB48" i="2" a="1"/>
  <c r="P47" i="2" a="1"/>
  <c r="P46" i="2" a="1"/>
  <c r="P7" i="2" a="1"/>
  <c r="J20" i="2" a="1"/>
  <c r="F9" i="2" a="1"/>
  <c r="F13" i="2" a="1"/>
  <c r="V29" i="2" a="1"/>
  <c r="D65" i="2" a="1"/>
  <c r="K41" i="2" a="1"/>
  <c r="V28" i="2" a="1"/>
  <c r="F10" i="2" a="1"/>
  <c r="D51" i="2" a="1"/>
  <c r="V38" i="2" a="1"/>
  <c r="K8" i="2" a="1"/>
  <c r="AA19" i="2" a="1"/>
  <c r="J7" i="2" a="1"/>
  <c r="I46" i="2" a="1"/>
  <c r="E14" i="2" a="1"/>
  <c r="H16" i="2" a="1"/>
  <c r="D17" i="2" a="1"/>
  <c r="U46" i="2" a="1"/>
  <c r="AD10" i="2" a="1"/>
  <c r="V22" i="2" a="1"/>
  <c r="J46" i="2" a="1"/>
  <c r="AA25" i="2" a="1"/>
  <c r="F22" i="2" a="1"/>
  <c r="K29" i="2" a="1"/>
  <c r="F26" i="2" a="1"/>
  <c r="F28" i="2" a="1"/>
  <c r="D43" i="2" a="1"/>
  <c r="J38" i="2" a="1"/>
  <c r="K37" i="2" a="1"/>
  <c r="AC17" i="2" a="1"/>
  <c r="I19" i="2" a="1"/>
  <c r="X7" i="2" a="1"/>
  <c r="AF19" i="2" a="1"/>
  <c r="Z20" i="2" a="1"/>
  <c r="T14" i="2" a="1"/>
  <c r="N9" i="2" a="1"/>
  <c r="I60" i="2" a="1"/>
  <c r="L13" i="2" a="1"/>
  <c r="J45" i="2" a="1"/>
  <c r="C86" i="2" a="1"/>
  <c r="U8" i="2" a="1"/>
  <c r="AB9" i="2" a="1"/>
  <c r="AB7" i="2" a="1"/>
  <c r="AD39" i="2" a="1"/>
  <c r="P49" i="2" a="1"/>
  <c r="O15" i="2" a="1"/>
  <c r="J22" i="2" a="1"/>
  <c r="V19" i="2" a="1"/>
  <c r="F16" i="2" a="1"/>
  <c r="D53" i="2" a="1"/>
  <c r="P35" i="2" a="1"/>
  <c r="AC49" i="2" a="1"/>
  <c r="I35" i="2" a="1"/>
  <c r="M40" i="2" a="1"/>
  <c r="F27" i="2" a="1"/>
  <c r="AF17" i="2" a="1"/>
  <c r="H36" i="2" a="1"/>
  <c r="D22" i="2" a="1"/>
  <c r="AB26" i="2" a="1"/>
  <c r="P41" i="2" a="1"/>
  <c r="P45" i="2" a="1"/>
  <c r="O41" i="2" a="1"/>
  <c r="V62" i="2" a="1"/>
  <c r="P11" i="2" a="1"/>
  <c r="P21" i="2" a="1"/>
  <c r="J36" i="2" a="1"/>
  <c r="J44" i="2" a="1"/>
  <c r="AA9" i="2" a="1"/>
  <c r="AA67" i="2" a="1"/>
  <c r="AA7" i="2" a="1"/>
  <c r="V47" i="2" a="1"/>
  <c r="K50" i="2" a="1"/>
  <c r="P9" i="2" a="1"/>
  <c r="D27" i="2" a="1"/>
  <c r="AC24" i="2" a="1"/>
  <c r="I21" i="2" a="1"/>
  <c r="U39" i="2" a="1"/>
  <c r="U52" i="2" a="1"/>
  <c r="AB12" i="2" a="1"/>
  <c r="AD27" i="2" a="1"/>
  <c r="O45" i="2" a="1"/>
  <c r="V18" i="2" a="1"/>
  <c r="P28" i="2" a="1"/>
  <c r="K46" i="2" a="1"/>
  <c r="D29" i="2" a="1"/>
  <c r="Y13" i="2" a="1"/>
  <c r="AD11" i="2" a="1"/>
  <c r="V45" i="2" a="1"/>
  <c r="R14" i="2" a="1"/>
  <c r="M24" i="2" a="1"/>
  <c r="F23" i="2" a="1"/>
  <c r="AF21" i="2" a="1"/>
  <c r="H10" i="2" a="1"/>
  <c r="Z36" i="2" a="1"/>
  <c r="T31" i="2" a="1"/>
  <c r="I20" i="2" a="1"/>
  <c r="L22" i="2" a="1"/>
  <c r="J13" i="2" a="1"/>
  <c r="C25" i="2" a="1"/>
  <c r="D11" i="2" a="1"/>
  <c r="U12" i="2" a="1"/>
  <c r="AB14" i="2" a="1"/>
  <c r="AD30" i="2" a="1"/>
  <c r="P53" i="2" a="1"/>
  <c r="O23" i="2" a="1"/>
  <c r="V36" i="2" a="1"/>
  <c r="P40" i="2" a="1"/>
  <c r="J56" i="2" a="1"/>
  <c r="J52" i="2" a="1"/>
  <c r="AA47" i="2" a="1"/>
  <c r="AA17" i="2" a="1"/>
  <c r="AA42" i="2" a="1"/>
  <c r="F31" i="2" a="1"/>
  <c r="F29" i="2" a="1"/>
  <c r="V17" i="2" a="1"/>
  <c r="V9" i="2" a="1"/>
  <c r="V23" i="2" a="1"/>
  <c r="D47" i="2" a="1"/>
  <c r="D37" i="2" a="1"/>
  <c r="K58" i="2" a="1"/>
  <c r="K35" i="2" a="1"/>
  <c r="K70" i="2" a="1"/>
  <c r="V43" i="2" a="1"/>
  <c r="M19" i="2" a="1"/>
  <c r="H7" i="2" a="1"/>
  <c r="Z23" i="2" a="1"/>
  <c r="N36" i="2" a="1"/>
  <c r="I45" i="2" a="1"/>
  <c r="L11" i="2" a="1"/>
  <c r="J12" i="2" a="1"/>
  <c r="C15" i="2" a="1"/>
  <c r="D48" i="2" a="1"/>
  <c r="U22" i="2" a="1"/>
  <c r="AD21" i="2" a="1"/>
  <c r="AD24" i="2" a="1"/>
  <c r="P15" i="2" a="1"/>
  <c r="O11" i="2" a="1"/>
  <c r="O39" i="2" a="1"/>
  <c r="V66" i="2" a="1"/>
  <c r="P44" i="2" a="1"/>
  <c r="P39" i="2" a="1"/>
  <c r="AA15" i="2" a="1"/>
  <c r="AA65" i="2" a="1"/>
  <c r="F24" i="2" a="1"/>
  <c r="V31" i="2" a="1"/>
  <c r="D21" i="2" a="1"/>
  <c r="K27" i="2" a="1"/>
  <c r="V16" i="2" a="1"/>
  <c r="X39" i="2" a="1"/>
  <c r="F12" i="2" a="1"/>
  <c r="AB63" i="2" a="1"/>
  <c r="AB43" i="2" a="1"/>
  <c r="AB19" i="2" a="1"/>
  <c r="AB47" i="2" a="1"/>
  <c r="AC7" i="2" a="1"/>
  <c r="AC28" i="2" a="1"/>
  <c r="AC59" i="2" a="1"/>
  <c r="AC31" i="2" a="1"/>
  <c r="E53" i="2" a="1"/>
  <c r="E11" i="2" a="1"/>
  <c r="E27" i="2" a="1"/>
  <c r="AB90" i="2" a="1"/>
  <c r="Q63" i="2" a="1"/>
  <c r="Q55" i="2" a="1"/>
  <c r="Q13" i="2" a="1"/>
  <c r="X46" i="2" a="1"/>
  <c r="X54" i="2" a="1"/>
  <c r="X36" i="2" a="1"/>
  <c r="X48" i="2" a="1"/>
  <c r="W64" i="2" a="1"/>
  <c r="W16" i="2" a="1"/>
  <c r="W20" i="2" a="1"/>
  <c r="W62" i="2" a="1"/>
  <c r="AD69" i="2" a="1"/>
  <c r="AD61" i="2" a="1"/>
  <c r="AD51" i="2" a="1"/>
  <c r="AD59" i="2" a="1"/>
  <c r="Y31" i="2" a="1"/>
  <c r="Y54" i="2" a="1"/>
  <c r="Y52" i="2" a="1"/>
  <c r="Y66" i="2" a="1"/>
  <c r="M52" i="2" a="1"/>
  <c r="M74" i="2" a="1"/>
  <c r="M7" i="2" a="1"/>
  <c r="L42" i="2" a="1"/>
  <c r="L7" i="2" a="1"/>
  <c r="L74" i="2" a="1"/>
  <c r="L46" i="2" a="1"/>
  <c r="F67" i="2" a="1"/>
  <c r="R35" i="2" a="1"/>
  <c r="F59" i="2" a="1"/>
  <c r="F45" i="2" a="1"/>
  <c r="F41" i="2" a="1"/>
  <c r="F55" i="2" a="1"/>
  <c r="R55" i="2" a="1"/>
  <c r="AE59" i="2" a="1"/>
  <c r="AE63" i="2" a="1"/>
  <c r="AE69" i="2" a="1"/>
  <c r="AE71" i="2" a="1"/>
  <c r="T57" i="2" a="1"/>
  <c r="T61" i="2" a="1"/>
  <c r="T73" i="2" a="1"/>
  <c r="T53" i="2" a="1"/>
  <c r="N56" i="2" a="1"/>
  <c r="N64" i="2" a="1"/>
  <c r="N35" i="2" a="1"/>
  <c r="O56" i="2" a="1"/>
  <c r="O62" i="2" a="1"/>
  <c r="O74" i="2" a="1"/>
  <c r="O81" i="2" a="1"/>
  <c r="S69" i="2" a="1"/>
  <c r="S10" i="2" a="1"/>
  <c r="S53" i="2" a="1"/>
  <c r="S39" i="2" a="1"/>
  <c r="H71" i="2" a="1"/>
  <c r="H45" i="2" a="1"/>
  <c r="H75" i="2" a="1"/>
  <c r="F90" i="2" a="1"/>
  <c r="G53" i="2" a="1"/>
  <c r="G36" i="2" a="1"/>
  <c r="G30" i="2" a="1"/>
  <c r="R90" i="2" a="1"/>
  <c r="AF61" i="2" a="1"/>
  <c r="AF51" i="2" a="1"/>
  <c r="AF75" i="2" a="1"/>
  <c r="Z62" i="2" a="1"/>
  <c r="AB31" i="2" a="1"/>
  <c r="AB21" i="2" a="1"/>
  <c r="AB55" i="2" a="1"/>
  <c r="AB57" i="2" a="1"/>
  <c r="AC71" i="2" a="1"/>
  <c r="AC34" i="2" a="1"/>
  <c r="AC57" i="2" a="1"/>
  <c r="AC47" i="2" a="1"/>
  <c r="E55" i="2" a="1"/>
  <c r="E51" i="2" a="1"/>
  <c r="E43" i="2" a="1"/>
  <c r="Q71" i="2" a="1"/>
  <c r="Q39" i="2" a="1"/>
  <c r="Q40" i="2" a="1"/>
  <c r="Q45" i="2" a="1"/>
  <c r="X50" i="2" a="1"/>
  <c r="X12" i="2" a="1"/>
  <c r="X64" i="2" a="1"/>
  <c r="X44" i="2" a="1"/>
  <c r="W42" i="2" a="1"/>
  <c r="W48" i="2" a="1"/>
  <c r="W37" i="2" a="1"/>
  <c r="W50" i="2" a="1"/>
  <c r="AD82" i="2" a="1"/>
  <c r="AD37" i="2" a="1"/>
  <c r="AD45" i="2" a="1"/>
  <c r="AD49" i="2" a="1"/>
  <c r="Y60" i="2" a="1"/>
  <c r="Y74" i="2" a="1"/>
  <c r="Y58" i="2" a="1"/>
  <c r="Y72" i="2" a="1"/>
  <c r="M44" i="2" a="1"/>
  <c r="M31" i="2" a="1"/>
  <c r="M58" i="2" a="1"/>
  <c r="L72" i="2" a="1"/>
  <c r="L58" i="2" a="1"/>
  <c r="L40" i="2" a="1"/>
  <c r="L60" i="2" a="1"/>
  <c r="F39" i="2" a="1"/>
  <c r="R65" i="2" a="1"/>
  <c r="F8" i="2" a="1"/>
  <c r="F57" i="2" a="1"/>
  <c r="F61" i="2" a="1"/>
  <c r="R51" i="2" a="1"/>
  <c r="R53" i="2" a="1"/>
  <c r="AE57" i="2" a="1"/>
  <c r="AE67" i="2" a="1"/>
  <c r="AE53" i="2" a="1"/>
  <c r="AE51" i="2" a="1"/>
  <c r="T30" i="2" a="1"/>
  <c r="T65" i="2" a="1"/>
  <c r="T49" i="2" a="1"/>
  <c r="T67" i="2" a="1"/>
  <c r="N52" i="2" a="1"/>
  <c r="N70" i="2" a="1"/>
  <c r="N54" i="2" a="1"/>
  <c r="O54" i="2" a="1"/>
  <c r="O64" i="2" a="1"/>
  <c r="O58" i="2" a="1"/>
  <c r="O72" i="2" a="1"/>
  <c r="S34" i="2" a="1"/>
  <c r="S65" i="2" a="1"/>
  <c r="S45" i="2" a="1"/>
  <c r="S67" i="2" a="1"/>
  <c r="H41" i="2" a="1"/>
  <c r="H63" i="2" a="1"/>
  <c r="H57" i="2" a="1"/>
  <c r="G59" i="2" a="1"/>
  <c r="G65" i="2" a="1"/>
  <c r="G47" i="2" a="1"/>
  <c r="G38" i="2" a="1"/>
  <c r="AF63" i="2" a="1"/>
  <c r="AF30" i="2" a="1"/>
  <c r="AF34" i="2" a="1"/>
  <c r="AF49" i="2" a="1"/>
  <c r="AB65" i="2" a="1"/>
  <c r="AB29" i="2" a="1"/>
  <c r="AB23" i="2" a="1"/>
  <c r="AB49" i="2" a="1"/>
  <c r="AC35" i="2" a="1"/>
  <c r="AC15" i="2" a="1"/>
  <c r="AC67" i="2" a="1"/>
  <c r="E67" i="2" a="1"/>
  <c r="E37" i="2" a="1"/>
  <c r="E39" i="2" a="1"/>
  <c r="E63" i="2" a="1"/>
  <c r="Q57" i="2" a="1"/>
  <c r="Q69" i="2" a="1"/>
  <c r="Q53" i="2" a="1"/>
  <c r="AB35" i="2" a="1"/>
  <c r="AB17" i="2" a="1"/>
  <c r="AB15" i="2" a="1"/>
  <c r="AB45" i="2" a="1"/>
  <c r="AC69" i="2" a="1"/>
  <c r="AC55" i="2" a="1"/>
  <c r="AC19" i="2" a="1"/>
  <c r="E21" i="2" a="1"/>
  <c r="E7" i="2" a="1"/>
  <c r="E42" i="2" a="1"/>
  <c r="E23" i="2" a="1"/>
  <c r="Q23" i="2" a="1"/>
  <c r="Q27" i="2" a="1"/>
  <c r="Q41" i="2" a="1"/>
  <c r="Q34" i="2" a="1"/>
  <c r="X60" i="2" a="1"/>
  <c r="X81" i="2" a="1"/>
  <c r="X70" i="2" a="1"/>
  <c r="X56" i="2" a="1"/>
  <c r="W36" i="2" a="1"/>
  <c r="W38" i="2" a="1"/>
  <c r="W70" i="2" a="1"/>
  <c r="Q90" i="2" a="1"/>
  <c r="AD55" i="2" a="1"/>
  <c r="AD67" i="2" a="1"/>
  <c r="AD53" i="2" a="1"/>
  <c r="AC90" i="2" a="1"/>
  <c r="Y37" i="2" a="1"/>
  <c r="Y42" i="2" a="1"/>
  <c r="Y48" i="2" a="1"/>
  <c r="M54" i="2" a="1"/>
  <c r="M37" i="2" a="1"/>
  <c r="M50" i="2" a="1"/>
  <c r="M35" i="2" a="1"/>
  <c r="L48" i="2" a="1"/>
  <c r="L52" i="2" a="1"/>
  <c r="L68" i="2" a="1"/>
  <c r="L70" i="2" a="1"/>
  <c r="F43" i="2" a="1"/>
  <c r="F73" i="2" a="1"/>
  <c r="R63" i="2" a="1"/>
  <c r="F65" i="2" a="1"/>
  <c r="R67" i="2" a="1"/>
  <c r="F15" i="2" a="1"/>
  <c r="R41" i="2" a="1"/>
  <c r="AE10" i="2" a="1"/>
  <c r="AE39" i="2" a="1"/>
  <c r="AE73" i="2" a="1"/>
  <c r="AE65" i="2" a="1"/>
  <c r="T39" i="2" a="1"/>
  <c r="T71" i="2" a="1"/>
  <c r="T75" i="2" a="1"/>
  <c r="N38" i="2" a="1"/>
  <c r="N48" i="2" a="1"/>
  <c r="N74" i="2" a="1"/>
  <c r="N60" i="2" a="1"/>
  <c r="O35" i="2" a="1"/>
  <c r="AB37" i="2" a="1"/>
  <c r="AB51" i="2" a="1"/>
  <c r="AB53" i="2" a="1"/>
  <c r="AC27" i="2" a="1"/>
  <c r="AC43" i="2" a="1"/>
  <c r="AC11" i="2" a="1"/>
  <c r="AC23" i="2" a="1"/>
  <c r="E65" i="2" a="1"/>
  <c r="E71" i="2" a="1"/>
  <c r="E9" i="2" a="1"/>
  <c r="E40" i="2" a="1"/>
  <c r="Q65" i="2" a="1"/>
  <c r="Q51" i="2" a="1"/>
  <c r="Q7" i="2" a="1"/>
  <c r="Q15" i="2" a="1"/>
  <c r="X66" i="2" a="1"/>
  <c r="X52" i="2" a="1"/>
  <c r="X24" i="2" a="1"/>
  <c r="W66" i="2" a="1"/>
  <c r="W68" i="2" a="1"/>
  <c r="W60" i="2" a="1"/>
  <c r="W72" i="2" a="1"/>
  <c r="E90" i="2" a="1"/>
  <c r="AD19" i="2" a="1"/>
  <c r="AD41" i="2" a="1"/>
  <c r="AD65" i="2" a="1"/>
  <c r="Y56" i="2" a="1"/>
  <c r="Y64" i="2" a="1"/>
  <c r="Y62" i="2" a="1"/>
  <c r="Y44" i="2" a="1"/>
  <c r="M66" i="2" a="1"/>
  <c r="M68" i="2" a="1"/>
  <c r="M60" i="2" a="1"/>
  <c r="M70" i="2" a="1"/>
  <c r="L44" i="2" a="1"/>
  <c r="L12" i="2" a="1"/>
  <c r="L24" i="2" a="1"/>
  <c r="F11" i="2" a="1"/>
  <c r="F49" i="2" a="1"/>
  <c r="R69" i="2" a="1"/>
  <c r="R47" i="2" a="1"/>
  <c r="R49" i="2" a="1"/>
  <c r="R9" i="2" a="1"/>
  <c r="F53" i="2" a="1"/>
  <c r="F51" i="2" a="1"/>
  <c r="AE36" i="2" a="1"/>
  <c r="AE43" i="2" a="1"/>
  <c r="AE41" i="2" a="1"/>
  <c r="T69" i="2" a="1"/>
  <c r="T47" i="2" a="1"/>
  <c r="T55" i="2" a="1"/>
  <c r="T34" i="2" a="1"/>
  <c r="N72" i="2" a="1"/>
  <c r="N31" i="2" a="1"/>
  <c r="N44" i="2" a="1"/>
  <c r="N40" i="2" a="1"/>
  <c r="O69" i="2" a="1"/>
  <c r="O60" i="2" a="1"/>
  <c r="AB59" i="2" a="1"/>
  <c r="AB61" i="2" a="1"/>
  <c r="AB25" i="2" a="1"/>
  <c r="AC36" i="2" a="1"/>
  <c r="AC73" i="2" a="1"/>
  <c r="AC53" i="2" a="1"/>
  <c r="AC39" i="2" a="1"/>
  <c r="E31" i="2" a="1"/>
  <c r="E69" i="2" a="1"/>
  <c r="E17" i="2" a="1"/>
  <c r="E49" i="2" a="1"/>
  <c r="Q67" i="2" a="1"/>
  <c r="Q19" i="2" a="1"/>
  <c r="Q11" i="2" a="1"/>
  <c r="D90" i="2" a="1"/>
  <c r="X16" i="2" a="1"/>
  <c r="X58" i="2" a="1"/>
  <c r="X62" i="2" a="1"/>
  <c r="W34" i="2" a="1"/>
  <c r="W58" i="2" a="1"/>
  <c r="W24" i="2" a="1"/>
  <c r="W46" i="2" a="1"/>
  <c r="AD43" i="2" a="1"/>
  <c r="AD63" i="2" a="1"/>
  <c r="AD57" i="2" a="1"/>
  <c r="AD35" i="2" a="1"/>
  <c r="Y68" i="2" a="1"/>
  <c r="Y9" i="2" a="1"/>
  <c r="Y40" i="2" a="1"/>
  <c r="Y70" i="2" a="1"/>
  <c r="M9" i="2" a="1"/>
  <c r="M46" i="2" a="1"/>
  <c r="M62" i="2" a="1"/>
  <c r="M48" i="2" a="1"/>
  <c r="L64" i="2" a="1"/>
  <c r="L9" i="2" a="1"/>
  <c r="L54" i="2" a="1"/>
  <c r="F47" i="2" a="1"/>
  <c r="R71" i="2" a="1"/>
  <c r="F75" i="2" a="1"/>
  <c r="R59" i="2" a="1"/>
  <c r="R45" i="2" a="1"/>
  <c r="F63" i="2" a="1"/>
  <c r="R57" i="2" a="1"/>
  <c r="R75" i="2" a="1"/>
  <c r="AE61" i="2" a="1"/>
  <c r="AE49" i="2" a="1"/>
  <c r="AE8" i="2" a="1"/>
  <c r="T63" i="2" a="1"/>
  <c r="T36" i="2" a="1"/>
  <c r="T41" i="2" a="1"/>
  <c r="T51" i="2" a="1"/>
  <c r="N46" i="2" a="1"/>
  <c r="N66" i="2" a="1"/>
  <c r="N37" i="2" a="1"/>
  <c r="N50" i="2" a="1"/>
  <c r="O83" i="2" a="1"/>
  <c r="Q31" i="2" a="1"/>
  <c r="AD31" i="2" a="1"/>
  <c r="R61" i="2" a="1"/>
  <c r="T43" i="2" a="1"/>
  <c r="S47" i="2" a="1"/>
  <c r="H61" i="2" a="1"/>
  <c r="H59" i="2" a="1"/>
  <c r="H65" i="2" a="1"/>
  <c r="AF41" i="2" a="1"/>
  <c r="Z31" i="2" a="1"/>
  <c r="Z38" i="2" a="1"/>
  <c r="C40" i="2" a="1"/>
  <c r="C52" i="2" a="1"/>
  <c r="AA86" i="2" a="1"/>
  <c r="AA37" i="2" a="1"/>
  <c r="U63" i="2" a="1"/>
  <c r="U60" i="2" a="1"/>
  <c r="U59" i="2" a="1"/>
  <c r="S90" i="2" a="1"/>
  <c r="I61" i="2" a="1"/>
  <c r="I59" i="2" a="1"/>
  <c r="I42" i="2" a="1"/>
  <c r="I74" i="2" a="1"/>
  <c r="C79" i="2" a="1"/>
  <c r="I89" i="2" a="1"/>
  <c r="U88" i="2" a="1"/>
  <c r="U85" i="2" a="1"/>
  <c r="S61" i="2" a="1"/>
  <c r="W52" i="2" a="1"/>
  <c r="AD90" i="2" a="1"/>
  <c r="AA70" i="2" a="1"/>
  <c r="I67" i="2" a="1"/>
  <c r="U84" i="2" a="1"/>
  <c r="U75" i="2" a="1"/>
  <c r="U80" i="2" a="1"/>
  <c r="H49" i="2" a="1"/>
  <c r="C37" i="2" a="1"/>
  <c r="X42" i="2" a="1"/>
  <c r="Y50" i="2" a="1"/>
  <c r="F69" i="2" a="1"/>
  <c r="T45" i="2" a="1"/>
  <c r="O50" i="2" a="1"/>
  <c r="S59" i="2" a="1"/>
  <c r="S57" i="2" a="1"/>
  <c r="G45" i="2" a="1"/>
  <c r="G61" i="2" a="1"/>
  <c r="AF59" i="2" a="1"/>
  <c r="AF69" i="2" a="1"/>
  <c r="Z48" i="2" a="1"/>
  <c r="Z46" i="2" a="1"/>
  <c r="Z81" i="2" a="1"/>
  <c r="C81" i="2" a="1"/>
  <c r="C60" i="2" a="1"/>
  <c r="C50" i="2" a="1"/>
  <c r="AA56" i="2" a="1"/>
  <c r="AA83" i="2" a="1"/>
  <c r="W28" i="2" a="1"/>
  <c r="AF55" i="2" a="1"/>
  <c r="G67" i="2" a="1"/>
  <c r="C54" i="2" a="1"/>
  <c r="U51" i="2" a="1"/>
  <c r="I87" i="2" a="1"/>
  <c r="U34" i="2" a="1"/>
  <c r="I84" i="2" a="1"/>
  <c r="G63" i="2" a="1"/>
  <c r="X40" i="2" a="1"/>
  <c r="Y7" i="2" a="1"/>
  <c r="R39" i="2" a="1"/>
  <c r="N42" i="2" a="1"/>
  <c r="H43" i="2" a="1"/>
  <c r="H34" i="2" a="1"/>
  <c r="H26" i="2" a="1"/>
  <c r="G55" i="2" a="1"/>
  <c r="Z44" i="2" a="1"/>
  <c r="C51" i="2" a="1"/>
  <c r="AA35" i="2" a="1"/>
  <c r="U53" i="2" a="1"/>
  <c r="U71" i="2" a="1"/>
  <c r="U45" i="2" a="1"/>
  <c r="T90" i="2" a="1"/>
  <c r="I30" i="2" a="1"/>
  <c r="I38" i="2" a="1"/>
  <c r="I63" i="2" a="1"/>
  <c r="C88" i="2" a="1"/>
  <c r="C80" i="2" a="1"/>
  <c r="I85" i="2" a="1"/>
  <c r="U87" i="2" a="1"/>
  <c r="U91" i="2" a="1"/>
  <c r="N58" i="2" a="1"/>
  <c r="C82" i="2" a="1"/>
  <c r="O68" i="2" a="1"/>
  <c r="AF73" i="2" a="1"/>
  <c r="AA72" i="2" a="1"/>
  <c r="U36" i="2" a="1"/>
  <c r="C84" i="2" a="1"/>
  <c r="U61" i="2" a="1"/>
  <c r="I80" i="2" a="1"/>
  <c r="G51" i="2" a="1"/>
  <c r="AA58" i="2" a="1"/>
  <c r="X72" i="2" a="1"/>
  <c r="Y46" i="2" a="1"/>
  <c r="R73" i="2" a="1"/>
  <c r="O70" i="2" a="1"/>
  <c r="O86" i="2" a="1"/>
  <c r="S71" i="2" a="1"/>
  <c r="S36" i="2" a="1"/>
  <c r="H69" i="2" a="1"/>
  <c r="G49" i="2" a="1"/>
  <c r="AF43" i="2" a="1"/>
  <c r="AF47" i="2" a="1"/>
  <c r="Z60" i="2" a="1"/>
  <c r="Z70" i="2" a="1"/>
  <c r="C63" i="2" a="1"/>
  <c r="C72" i="2" a="1"/>
  <c r="AA74" i="2" a="1"/>
  <c r="AA60" i="2" a="1"/>
  <c r="AF90" i="2" a="1"/>
  <c r="S55" i="2" a="1"/>
  <c r="H28" i="2" a="1"/>
  <c r="AF65" i="2" a="1"/>
  <c r="R21" i="2" a="1"/>
  <c r="G71" i="2" a="1"/>
  <c r="U57" i="2" a="1"/>
  <c r="I55" i="2" a="1"/>
  <c r="AA81" i="2" a="1"/>
  <c r="I65" i="2" a="1"/>
  <c r="L50" i="2" a="1"/>
  <c r="X68" i="2" a="1"/>
  <c r="M64" i="2" a="1"/>
  <c r="R43" i="2" a="1"/>
  <c r="O37" i="2" a="1"/>
  <c r="H39" i="2" a="1"/>
  <c r="G43" i="2" a="1"/>
  <c r="G57" i="2" a="1"/>
  <c r="G8" i="2" a="1"/>
  <c r="Z54" i="2" a="1"/>
  <c r="Z56" i="2" a="1"/>
  <c r="Z74" i="2" a="1"/>
  <c r="C69" i="2" a="1"/>
  <c r="C68" i="2" a="1"/>
  <c r="AA55" i="2" a="1"/>
  <c r="AA46" i="2" a="1"/>
  <c r="AA64" i="2" a="1"/>
  <c r="U82" i="2" a="1"/>
  <c r="U81" i="2" a="1"/>
  <c r="U55" i="2" a="1"/>
  <c r="U73" i="2" a="1"/>
  <c r="AE90" i="2" a="1"/>
  <c r="I86" i="2" a="1"/>
  <c r="I57" i="2" a="1"/>
  <c r="I43" i="2" a="1"/>
  <c r="C89" i="2" a="1"/>
  <c r="C91" i="2" a="1"/>
  <c r="I79" i="2" a="1"/>
  <c r="U89" i="2" a="1"/>
  <c r="M56" i="2" a="1"/>
  <c r="Z68" i="2" a="1"/>
  <c r="S49" i="2" a="1"/>
  <c r="G90" i="2" a="1"/>
  <c r="AA62" i="2" a="1"/>
  <c r="I73" i="2" a="1"/>
  <c r="U67" i="2" a="1"/>
  <c r="C87" i="2" a="1"/>
  <c r="H47" i="2" a="1"/>
  <c r="C64" i="2" a="1"/>
  <c r="W12" i="2" a="1"/>
  <c r="M42" i="2" a="1"/>
  <c r="AE75" i="2" a="1"/>
  <c r="O65" i="2" a="1"/>
  <c r="S63" i="2" a="1"/>
  <c r="H67" i="2" a="1"/>
  <c r="H53" i="2" a="1"/>
  <c r="G41" i="2" a="1"/>
  <c r="AF28" i="2" a="1"/>
  <c r="Z52" i="2" a="1"/>
  <c r="Z40" i="2" a="1"/>
  <c r="C66" i="2" a="1"/>
  <c r="C83" i="2" a="1"/>
  <c r="C70" i="2" a="1"/>
  <c r="AA40" i="2" a="1"/>
  <c r="AA66" i="2" a="1"/>
  <c r="P90" i="2" a="1"/>
  <c r="L66" i="2" a="1"/>
  <c r="AE45" i="2" a="1"/>
  <c r="N62" i="2" a="1"/>
  <c r="O44" i="2" a="1"/>
  <c r="S43" i="2" a="1"/>
  <c r="S75" i="2" a="1"/>
  <c r="G69" i="2" a="1"/>
  <c r="AF57" i="2" a="1"/>
  <c r="AF53" i="2" a="1"/>
  <c r="AF45" i="2" a="1"/>
  <c r="Z42" i="2" a="1"/>
  <c r="AA68" i="2" a="1"/>
  <c r="I69" i="2" a="1"/>
  <c r="O66" i="2" a="1"/>
  <c r="AD71" i="2" a="1"/>
  <c r="L62" i="2" a="1"/>
  <c r="AE55" i="2" a="1"/>
  <c r="O52" i="2" a="1"/>
  <c r="S73" i="2" a="1"/>
  <c r="S51" i="2" a="1"/>
  <c r="H51" i="2" a="1"/>
  <c r="AF67" i="2" a="1"/>
  <c r="AF71" i="2" a="1"/>
  <c r="Z66" i="2" a="1"/>
  <c r="Z35" i="2" a="1"/>
  <c r="Z50" i="2" a="1"/>
  <c r="C56" i="2" a="1"/>
  <c r="C74" i="2" a="1"/>
  <c r="C48" i="2" a="1"/>
  <c r="AA52" i="2" a="1"/>
  <c r="AA73" i="2" a="1"/>
  <c r="AA54" i="2" a="1"/>
  <c r="U30" i="2" a="1"/>
  <c r="U69" i="2" a="1"/>
  <c r="U40" i="2" a="1"/>
  <c r="U86" i="2" a="1"/>
  <c r="I75" i="2" a="1"/>
  <c r="I82" i="2" a="1"/>
  <c r="I49" i="2" a="1"/>
  <c r="I58" i="2" a="1"/>
  <c r="C85" i="2" a="1"/>
  <c r="I91" i="2" a="1"/>
  <c r="I88" i="2" a="1"/>
  <c r="U79" i="2" a="1"/>
  <c r="H90" i="2" a="1"/>
  <c r="I53" i="2" a="1"/>
  <c r="AD47" i="2" a="1"/>
  <c r="Z58" i="2" a="1"/>
  <c r="AD73" i="2" a="1"/>
  <c r="L56" i="2" a="1"/>
  <c r="T59" i="2" a="1"/>
  <c r="N68" i="2" a="1"/>
  <c r="O53" i="2" a="1"/>
  <c r="S41" i="2" a="1"/>
  <c r="H55" i="2" a="1"/>
  <c r="G26" i="2" a="1"/>
  <c r="G73" i="2" a="1"/>
  <c r="AF39" i="2" a="1"/>
  <c r="Z64" i="2" a="1"/>
  <c r="C58" i="2" a="1"/>
  <c r="AA50" i="2" a="1"/>
  <c r="F71" i="2" a="1"/>
  <c r="H73" i="2" a="1"/>
  <c r="M72" i="2" a="1"/>
  <c r="Z37" i="2" a="1"/>
  <c r="U65" i="2" a="1"/>
  <c r="I71" i="2" a="1"/>
  <c r="C62" i="2" a="1"/>
  <c r="I51" i="2" a="1"/>
  <c r="AE47" i="2" a="1"/>
  <c r="AB71" i="2" a="1"/>
  <c r="AB72" i="2" a="1"/>
  <c r="AB56" i="2" a="1"/>
  <c r="AB74" i="2" a="1"/>
  <c r="V72" i="2" a="1"/>
  <c r="V86" i="2" a="1"/>
  <c r="V71" i="2" a="1"/>
  <c r="V53" i="2" a="1"/>
  <c r="AC48" i="2" a="1"/>
  <c r="AC66" i="2" a="1"/>
  <c r="AC74" i="2" a="1"/>
  <c r="AC58" i="2" a="1"/>
  <c r="P86" i="2" a="1"/>
  <c r="P75" i="2" a="1"/>
  <c r="P71" i="2" a="1"/>
  <c r="P66" i="2" a="1"/>
  <c r="AA89" i="2" a="1"/>
  <c r="D60" i="2" a="1"/>
  <c r="D69" i="2" a="1"/>
  <c r="D82" i="2" a="1"/>
  <c r="J81" i="2" a="1"/>
  <c r="J70" i="2" a="1"/>
  <c r="J74" i="2" a="1"/>
  <c r="J73" i="2" a="1"/>
  <c r="O91" i="2" a="1"/>
  <c r="W59" i="2" a="1"/>
  <c r="W49" i="2" a="1"/>
  <c r="W86" i="2" a="1"/>
  <c r="W55" i="2" a="1"/>
  <c r="F60" i="2" a="1"/>
  <c r="F44" i="2" a="1"/>
  <c r="F83" i="2" a="1"/>
  <c r="F72" i="2" a="1"/>
  <c r="K55" i="2" a="1"/>
  <c r="K61" i="2" a="1"/>
  <c r="K53" i="2" a="1"/>
  <c r="J85" i="2" a="1"/>
  <c r="J80" i="2" a="1"/>
  <c r="AB80" i="2" a="1"/>
  <c r="E74" i="2" a="1"/>
  <c r="E58" i="2" a="1"/>
  <c r="E75" i="2" a="1"/>
  <c r="E66" i="2" a="1"/>
  <c r="V89" i="2" a="1"/>
  <c r="R70" i="2" a="1"/>
  <c r="R48" i="2" a="1"/>
  <c r="R56" i="2" a="1"/>
  <c r="R66" i="2" a="1"/>
  <c r="AD64" i="2" a="1"/>
  <c r="AD52" i="2" a="1"/>
  <c r="AD50" i="2" a="1"/>
  <c r="P87" i="2" a="1"/>
  <c r="P84" i="2" a="1"/>
  <c r="D84" i="2" a="1"/>
  <c r="Q87" i="2" a="1"/>
  <c r="Q74" i="2" a="1"/>
  <c r="Q81" i="2" a="1"/>
  <c r="Q52" i="2" a="1"/>
  <c r="Q62" i="2" a="1"/>
  <c r="X75" i="2" a="1"/>
  <c r="X53" i="2" a="1"/>
  <c r="X74" i="2" a="1"/>
  <c r="E89" i="2" a="1"/>
  <c r="AC91" i="2" a="1"/>
  <c r="F58" i="2" a="1"/>
  <c r="J84" i="2" a="1"/>
  <c r="E73" i="2" a="1"/>
  <c r="R42" i="2" a="1"/>
  <c r="AD72" i="2" a="1"/>
  <c r="P79" i="2" a="1"/>
  <c r="Q60" i="2" a="1"/>
  <c r="X86" i="2" a="1"/>
  <c r="AC84" i="2" a="1"/>
  <c r="Q46" i="2" a="1"/>
  <c r="AC89" i="2" a="1"/>
  <c r="AB85" i="2" a="1"/>
  <c r="R82" i="2" a="1"/>
  <c r="AD75" i="2" a="1"/>
  <c r="Q82" i="2" a="1"/>
  <c r="E85" i="2" a="1"/>
  <c r="P81" i="2" a="1"/>
  <c r="O80" i="2" a="1"/>
  <c r="F82" i="2" a="1"/>
  <c r="AB89" i="2" a="1"/>
  <c r="V85" i="2" a="1"/>
  <c r="P91" i="2" a="1"/>
  <c r="J90" i="2" a="1"/>
  <c r="AC85" i="2" a="1"/>
  <c r="W47" i="2" a="1"/>
  <c r="E81" i="2" a="1"/>
  <c r="AD40" i="2" a="1"/>
  <c r="W61" i="2" a="1"/>
  <c r="K72" i="2" a="1"/>
  <c r="AB87" i="2" a="1"/>
  <c r="E86" i="2" a="1"/>
  <c r="R40" i="2" a="1"/>
  <c r="AD81" i="2" a="1"/>
  <c r="Q88" i="2" a="1"/>
  <c r="Q64" i="2" a="1"/>
  <c r="X82" i="2" a="1"/>
  <c r="Q84" i="2" a="1"/>
  <c r="X59" i="2" a="1"/>
  <c r="K67" i="2" a="1"/>
  <c r="E48" i="2" a="1"/>
  <c r="AD74" i="2" a="1"/>
  <c r="D88" i="2" a="1"/>
  <c r="X41" i="2" a="1"/>
  <c r="P52" i="2" a="1"/>
  <c r="F42" i="2" a="1"/>
  <c r="J79" i="2" a="1"/>
  <c r="R83" i="2" a="1"/>
  <c r="Q79" i="2" a="1"/>
  <c r="X47" i="2" a="1"/>
  <c r="W67" i="2" a="1"/>
  <c r="E60" i="2" a="1"/>
  <c r="AB82" i="2" a="1"/>
  <c r="AB83" i="2" a="1"/>
  <c r="AB86" i="2" a="1"/>
  <c r="AB75" i="2" a="1"/>
  <c r="V61" i="2" a="1"/>
  <c r="V82" i="2" a="1"/>
  <c r="V69" i="2" a="1"/>
  <c r="V59" i="2" a="1"/>
  <c r="AC82" i="2" a="1"/>
  <c r="AC50" i="2" a="1"/>
  <c r="AC75" i="2" a="1"/>
  <c r="P56" i="2" a="1"/>
  <c r="P83" i="2" a="1"/>
  <c r="P65" i="2" a="1"/>
  <c r="P82" i="2" a="1"/>
  <c r="AA91" i="2" a="1"/>
  <c r="D86" i="2" a="1"/>
  <c r="D83" i="2" a="1"/>
  <c r="D64" i="2" a="1"/>
  <c r="D70" i="2" a="1"/>
  <c r="J83" i="2" a="1"/>
  <c r="J72" i="2" a="1"/>
  <c r="J65" i="2" a="1"/>
  <c r="J86" i="2" a="1"/>
  <c r="O85" i="2" a="1"/>
  <c r="W82" i="2" a="1"/>
  <c r="W65" i="2" a="1"/>
  <c r="W51" i="2" a="1"/>
  <c r="F68" i="2" a="1"/>
  <c r="F40" i="2" a="1"/>
  <c r="K57" i="2" a="1"/>
  <c r="K47" i="2" a="1"/>
  <c r="E70" i="2" a="1"/>
  <c r="V91" i="2" a="1"/>
  <c r="R44" i="2" a="1"/>
  <c r="AD66" i="2" a="1"/>
  <c r="D91" i="2" a="1"/>
  <c r="Q83" i="2" a="1"/>
  <c r="X43" i="2" a="1"/>
  <c r="E80" i="2" a="1"/>
  <c r="Q70" i="2" a="1"/>
  <c r="X67" i="2" a="1"/>
  <c r="F70" i="2" a="1"/>
  <c r="V84" i="2" a="1"/>
  <c r="AD54" i="2" a="1"/>
  <c r="Q50" i="2" a="1"/>
  <c r="AC88" i="2" a="1"/>
  <c r="D75" i="2" a="1"/>
  <c r="O87" i="2" a="1"/>
  <c r="F81" i="2" a="1"/>
  <c r="K63" i="2" a="1"/>
  <c r="E46" i="2" a="1"/>
  <c r="AD86" i="2" a="1"/>
  <c r="Q75" i="2" a="1"/>
  <c r="X45" i="2" a="1"/>
  <c r="W69" i="2" a="1"/>
  <c r="J89" i="2" a="1"/>
  <c r="R81" i="2" a="1"/>
  <c r="F54" i="2" a="1"/>
  <c r="K69" i="2" a="1"/>
  <c r="J87" i="2" a="1"/>
  <c r="AB91" i="2" a="1"/>
  <c r="E56" i="2" a="1"/>
  <c r="E62" i="2" a="1"/>
  <c r="R62" i="2" a="1"/>
  <c r="R52" i="2" a="1"/>
  <c r="AD42" i="2" a="1"/>
  <c r="AD70" i="2" a="1"/>
  <c r="P88" i="2" a="1"/>
  <c r="Q72" i="2" a="1"/>
  <c r="X57" i="2" a="1"/>
  <c r="AB84" i="2" a="1"/>
  <c r="R86" i="2" a="1"/>
  <c r="Q91" i="2" a="1"/>
  <c r="X71" i="2" a="1"/>
  <c r="D54" i="2" a="1"/>
  <c r="W73" i="2" a="1"/>
  <c r="K65" i="2" a="1"/>
  <c r="E44" i="2" a="1"/>
  <c r="R64" i="2" a="1"/>
  <c r="Q80" i="2" a="1"/>
  <c r="X65" i="2" a="1"/>
  <c r="F66" i="2" a="1"/>
  <c r="E68" i="2" a="1"/>
  <c r="AD48" i="2" a="1"/>
  <c r="AB69" i="2" a="1"/>
  <c r="AB58" i="2" a="1"/>
  <c r="AB67" i="2" a="1"/>
  <c r="AB70" i="2" a="1"/>
  <c r="V55" i="2" a="1"/>
  <c r="V68" i="2" a="1"/>
  <c r="V74" i="2" a="1"/>
  <c r="V49" i="2" a="1"/>
  <c r="AC54" i="2" a="1"/>
  <c r="AC68" i="2" a="1"/>
  <c r="AC86" i="2" a="1"/>
  <c r="P68" i="2" a="1"/>
  <c r="P73" i="2" a="1"/>
  <c r="P50" i="2" a="1"/>
  <c r="AA79" i="2" a="1"/>
  <c r="AA80" i="2" a="1"/>
  <c r="D56" i="2" a="1"/>
  <c r="D72" i="2" a="1"/>
  <c r="D73" i="2" a="1"/>
  <c r="D66" i="2" a="1"/>
  <c r="J55" i="2" a="1"/>
  <c r="J59" i="2" a="1"/>
  <c r="J53" i="2" a="1"/>
  <c r="J69" i="2" a="1"/>
  <c r="O79" i="2" a="1"/>
  <c r="W63" i="2" a="1"/>
  <c r="W43" i="2" a="1"/>
  <c r="W45" i="2" a="1"/>
  <c r="W71" i="2" a="1"/>
  <c r="F86" i="2" a="1"/>
  <c r="F46" i="2" a="1"/>
  <c r="K43" i="2" a="1"/>
  <c r="K81" i="2" a="1"/>
  <c r="K75" i="2" a="1"/>
  <c r="AB88" i="2" a="1"/>
  <c r="E72" i="2" a="1"/>
  <c r="V79" i="2" a="1"/>
  <c r="V88" i="2" a="1"/>
  <c r="R50" i="2" a="1"/>
  <c r="AD56" i="2" a="1"/>
  <c r="AD83" i="2" a="1"/>
  <c r="D79" i="2" a="1"/>
  <c r="Q58" i="2" a="1"/>
  <c r="E91" i="2" a="1"/>
  <c r="J91" i="2" a="1"/>
  <c r="R68" i="2" a="1"/>
  <c r="Q66" i="2" a="1"/>
  <c r="E88" i="2" a="1"/>
  <c r="AA87" i="2" a="1"/>
  <c r="W81" i="2" a="1"/>
  <c r="K51" i="2" a="1"/>
  <c r="E64" i="2" a="1"/>
  <c r="AD68" i="2" a="1"/>
  <c r="Q48" i="2" a="1"/>
  <c r="E87" i="2" a="1"/>
  <c r="F62" i="2" a="1"/>
  <c r="E83" i="2" a="1"/>
  <c r="AD60" i="2" a="1"/>
  <c r="D71" i="2" a="1"/>
  <c r="J51" i="2" a="1"/>
  <c r="O89" i="2" a="1"/>
  <c r="W75" i="2" a="1"/>
  <c r="F74" i="2" a="1"/>
  <c r="K45" i="2" a="1"/>
  <c r="E82" i="2" a="1"/>
  <c r="P85" i="2" a="1"/>
  <c r="J63" i="2" a="1"/>
  <c r="R58" i="2" a="1"/>
  <c r="K73" i="2" a="1"/>
  <c r="AB64" i="2" a="1"/>
  <c r="AB50" i="2" a="1"/>
  <c r="AB54" i="2" a="1"/>
  <c r="AB60" i="2" a="1"/>
  <c r="V67" i="2" a="1"/>
  <c r="V81" i="2" a="1"/>
  <c r="V57" i="2" a="1"/>
  <c r="AC60" i="2" a="1"/>
  <c r="AC44" i="2" a="1"/>
  <c r="AC46" i="2" a="1"/>
  <c r="AC83" i="2" a="1"/>
  <c r="P60" i="2" a="1"/>
  <c r="P58" i="2" a="1"/>
  <c r="P74" i="2" a="1"/>
  <c r="P64" i="2" a="1"/>
  <c r="AA88" i="2" a="1"/>
  <c r="D62" i="2" a="1"/>
  <c r="D52" i="2" a="1"/>
  <c r="D50" i="2" a="1"/>
  <c r="J82" i="2" a="1"/>
  <c r="J57" i="2" a="1"/>
  <c r="O84" i="2" a="1"/>
  <c r="W57" i="2" a="1"/>
  <c r="W74" i="2" a="1"/>
  <c r="I90" i="2" a="1"/>
  <c r="F50" i="2" a="1"/>
  <c r="K49" i="2" a="1"/>
  <c r="E54" i="2" a="1"/>
  <c r="D80" i="2" a="1"/>
  <c r="J61" i="2" a="1"/>
  <c r="R72" i="2" a="1"/>
  <c r="K82" i="2" a="1"/>
  <c r="D74" i="2" a="1"/>
  <c r="D85" i="2" a="1"/>
  <c r="R54" i="2" a="1"/>
  <c r="AB62" i="2" a="1"/>
  <c r="AB52" i="2" a="1"/>
  <c r="AB73" i="2" a="1"/>
  <c r="U90" i="2" a="1"/>
  <c r="V70" i="2" a="1"/>
  <c r="V51" i="2" a="1"/>
  <c r="V75" i="2" a="1"/>
  <c r="AC56" i="2" a="1"/>
  <c r="AC42" i="2" a="1"/>
  <c r="AC62" i="2" a="1"/>
  <c r="AC70" i="2" a="1"/>
  <c r="P61" i="2" a="1"/>
  <c r="P70" i="2" a="1"/>
  <c r="J68" i="2" a="1"/>
  <c r="F64" i="2" a="1"/>
  <c r="AD44" i="2" a="1"/>
  <c r="R46" i="2" a="1"/>
  <c r="P54" i="2" a="1"/>
  <c r="D81" i="2" a="1"/>
  <c r="J75" i="2" a="1"/>
  <c r="J71" i="2" a="1"/>
  <c r="F48" i="2" a="1"/>
  <c r="K86" i="2" a="1"/>
  <c r="V80" i="2" a="1"/>
  <c r="AB68" i="2" a="1"/>
  <c r="AB81" i="2" a="1"/>
  <c r="AB66" i="2" a="1"/>
  <c r="V73" i="2" a="1"/>
  <c r="V83" i="2" a="1"/>
  <c r="V65" i="2" a="1"/>
  <c r="V63" i="2" a="1"/>
  <c r="AC81" i="2" a="1"/>
  <c r="AC52" i="2" a="1"/>
  <c r="AC72" i="2" a="1"/>
  <c r="AC64" i="2" a="1"/>
  <c r="P72" i="2" a="1"/>
  <c r="P62" i="2" a="1"/>
  <c r="AA85" i="2" a="1"/>
  <c r="AA84" i="2" a="1"/>
  <c r="D68" i="2" a="1"/>
  <c r="D58" i="2" a="1"/>
  <c r="J66" i="2" a="1"/>
  <c r="J67" i="2" a="1"/>
  <c r="O88" i="2" a="1"/>
  <c r="F52" i="2" a="1"/>
  <c r="K71" i="2" a="1"/>
  <c r="R74" i="2" a="1"/>
  <c r="X55" i="2" a="1"/>
  <c r="AC80" i="2" a="1"/>
  <c r="F56" i="2" a="1"/>
  <c r="J88" i="2" a="1"/>
  <c r="E52" i="2" a="1"/>
  <c r="R60" i="2" a="1"/>
  <c r="P89" i="2" a="1"/>
  <c r="Q44" i="2" a="1"/>
  <c r="X73" i="2" a="1"/>
  <c r="D89" i="2" a="1"/>
  <c r="X51" i="2" a="1"/>
  <c r="K59" i="2" a="1"/>
  <c r="V87" i="2" a="1"/>
  <c r="AD46" i="2" a="1"/>
  <c r="Q86" i="2" a="1"/>
  <c r="X63" i="2" a="1"/>
  <c r="D67" i="2" a="1"/>
  <c r="W83" i="2" a="1"/>
  <c r="K83" i="2" a="1"/>
  <c r="E50" i="2" a="1"/>
  <c r="AD58" i="2" a="1"/>
  <c r="Q56" i="2" a="1"/>
  <c r="E79" i="2" a="1"/>
  <c r="W53" i="2" a="1"/>
  <c r="AB79" i="2" a="1"/>
  <c r="AD62" i="2" a="1"/>
  <c r="E84" i="2" a="1"/>
  <c r="P80" i="2" a="1"/>
  <c r="AC79" i="2" a="1"/>
  <c r="D87" i="2" a="1"/>
  <c r="AC87" i="2" a="1"/>
  <c r="Q68" i="2" a="1"/>
  <c r="X83" i="2" a="1"/>
  <c r="Q85" i="2" a="1"/>
  <c r="Q89" i="2" a="1"/>
  <c r="Q73" i="2" a="1"/>
  <c r="Q54" i="2" a="1"/>
  <c r="X69" i="2" a="1"/>
  <c r="X49" i="2" a="1"/>
  <c r="X61" i="2" a="1"/>
  <c r="W87" i="2" a="1"/>
  <c r="W91" i="2" a="1"/>
  <c r="K89" i="2" a="1"/>
  <c r="K90" i="2" a="1"/>
  <c r="H58" i="2" a="1"/>
  <c r="H52" i="2" a="1"/>
  <c r="H62" i="2" a="1"/>
  <c r="L80" i="2" a="1"/>
  <c r="L84" i="2" a="1"/>
  <c r="G56" i="2" a="1"/>
  <c r="G60" i="2" a="1"/>
  <c r="G82" i="2" a="1"/>
  <c r="X88" i="2" a="1"/>
  <c r="X79" i="2" a="1"/>
  <c r="M41" i="2" a="1"/>
  <c r="M53" i="2" a="1"/>
  <c r="M75" i="2" a="1"/>
  <c r="Y91" i="2" a="1"/>
  <c r="Y79" i="2" a="1"/>
  <c r="T83" i="2" a="1"/>
  <c r="T72" i="2" a="1"/>
  <c r="T82" i="2" a="1"/>
  <c r="N57" i="2" a="1"/>
  <c r="N63" i="2" a="1"/>
  <c r="N75" i="2" a="1"/>
  <c r="N51" i="2" a="1"/>
  <c r="AE83" i="2" a="1"/>
  <c r="AE66" i="2" a="1"/>
  <c r="AE74" i="2" a="1"/>
  <c r="AE81" i="2" a="1"/>
  <c r="F85" i="2" a="1"/>
  <c r="AF62" i="2" a="1"/>
  <c r="AF50" i="2" a="1"/>
  <c r="AF48" i="2" a="1"/>
  <c r="H72" i="2" a="1"/>
  <c r="G48" i="2" a="1"/>
  <c r="G44" i="2" a="1"/>
  <c r="M82" i="2" a="1"/>
  <c r="M55" i="2" a="1"/>
  <c r="T56" i="2" a="1"/>
  <c r="N45" i="2" a="1"/>
  <c r="N71" i="2" a="1"/>
  <c r="AE60" i="2" a="1"/>
  <c r="F84" i="2" a="1"/>
  <c r="T86" i="2" a="1"/>
  <c r="AE70" i="2" a="1"/>
  <c r="AF60" i="2" a="1"/>
  <c r="AF64" i="2" a="1"/>
  <c r="H56" i="2" a="1"/>
  <c r="H66" i="2" a="1"/>
  <c r="M67" i="2" a="1"/>
  <c r="T48" i="2" a="1"/>
  <c r="AE46" i="2" a="1"/>
  <c r="AF56" i="2" a="1"/>
  <c r="L79" i="2" a="1"/>
  <c r="T42" i="2" a="1"/>
  <c r="N41" i="2" a="1"/>
  <c r="M69" i="2" a="1"/>
  <c r="N59" i="2" a="1"/>
  <c r="AF40" i="2" a="1"/>
  <c r="AE72" i="2" a="1"/>
  <c r="X91" i="2" a="1"/>
  <c r="AE82" i="2" a="1"/>
  <c r="M83" i="2" a="1"/>
  <c r="AF54" i="2" a="1"/>
  <c r="W84" i="2" a="1"/>
  <c r="W88" i="2" a="1"/>
  <c r="K79" i="2" a="1"/>
  <c r="H82" i="2" a="1"/>
  <c r="H86" i="2" a="1"/>
  <c r="X85" i="2" a="1"/>
  <c r="T50" i="2" a="1"/>
  <c r="AE58" i="2" a="1"/>
  <c r="N83" i="2" a="1"/>
  <c r="G52" i="2" a="1"/>
  <c r="AE44" i="2" a="1"/>
  <c r="X89" i="2" a="1"/>
  <c r="F79" i="2" a="1"/>
  <c r="AF52" i="2" a="1"/>
  <c r="K91" i="2" a="1"/>
  <c r="H81" i="2" a="1"/>
  <c r="H68" i="2" a="1"/>
  <c r="L87" i="2" a="1"/>
  <c r="G70" i="2" a="1"/>
  <c r="G72" i="2" a="1"/>
  <c r="X84" i="2" a="1"/>
  <c r="M65" i="2" a="1"/>
  <c r="M49" i="2" a="1"/>
  <c r="T62" i="2" a="1"/>
  <c r="N69" i="2" a="1"/>
  <c r="F89" i="2" a="1"/>
  <c r="H40" i="2" a="1"/>
  <c r="G42" i="2" a="1"/>
  <c r="M51" i="2" a="1"/>
  <c r="T44" i="2" a="1"/>
  <c r="N81" i="2" a="1"/>
  <c r="AF82" i="2" a="1"/>
  <c r="G74" i="2" a="1"/>
  <c r="Y88" i="2" a="1"/>
  <c r="N65" i="2" a="1"/>
  <c r="AF72" i="2" a="1"/>
  <c r="W79" i="2" a="1"/>
  <c r="K80" i="2" a="1"/>
  <c r="K87" i="2" a="1"/>
  <c r="H42" i="2" a="1"/>
  <c r="H50" i="2" a="1"/>
  <c r="H70" i="2" a="1"/>
  <c r="H44" i="2" a="1"/>
  <c r="L85" i="2" a="1"/>
  <c r="G75" i="2" a="1"/>
  <c r="G62" i="2" a="1"/>
  <c r="G58" i="2" a="1"/>
  <c r="X80" i="2" a="1"/>
  <c r="G83" i="2" a="1"/>
  <c r="M71" i="2" a="1"/>
  <c r="M59" i="2" a="1"/>
  <c r="M81" i="2" a="1"/>
  <c r="M61" i="2" a="1"/>
  <c r="Y87" i="2" a="1"/>
  <c r="T74" i="2" a="1"/>
  <c r="T68" i="2" a="1"/>
  <c r="T64" i="2" a="1"/>
  <c r="T60" i="2" a="1"/>
  <c r="N55" i="2" a="1"/>
  <c r="N73" i="2" a="1"/>
  <c r="N43" i="2" a="1"/>
  <c r="N82" i="2" a="1"/>
  <c r="AE42" i="2" a="1"/>
  <c r="AE54" i="2" a="1"/>
  <c r="AE52" i="2" a="1"/>
  <c r="F87" i="2" a="1"/>
  <c r="AF70" i="2" a="1"/>
  <c r="AF44" i="2" a="1"/>
  <c r="W85" i="2" a="1"/>
  <c r="K88" i="2" a="1"/>
  <c r="H64" i="2" a="1"/>
  <c r="H54" i="2" a="1"/>
  <c r="G46" i="2" a="1"/>
  <c r="G54" i="2" a="1"/>
  <c r="M86" i="2" a="1"/>
  <c r="M73" i="2" a="1"/>
  <c r="Y80" i="2" a="1"/>
  <c r="T58" i="2" a="1"/>
  <c r="N67" i="2" a="1"/>
  <c r="AF81" i="2" a="1"/>
  <c r="H74" i="2" a="1"/>
  <c r="G66" i="2" a="1"/>
  <c r="M43" i="2" a="1"/>
  <c r="T70" i="2" a="1"/>
  <c r="AE56" i="2" a="1"/>
  <c r="AF86" i="2" a="1"/>
  <c r="G81" i="2" a="1"/>
  <c r="Y89" i="2" a="1"/>
  <c r="N47" i="2" a="1"/>
  <c r="AF83" i="2" a="1"/>
  <c r="AF42" i="2" a="1"/>
  <c r="AE68" i="2" a="1"/>
  <c r="AE40" i="2" a="1"/>
  <c r="T54" i="2" a="1"/>
  <c r="G50" i="2" a="1"/>
  <c r="N53" i="2" a="1"/>
  <c r="AE86" i="2" a="1"/>
  <c r="W80" i="2" a="1"/>
  <c r="K84" i="2" a="1"/>
  <c r="G64" i="2" a="1"/>
  <c r="N86" i="2" a="1"/>
  <c r="G86" i="2" a="1"/>
  <c r="T46" i="2" a="1"/>
  <c r="F80" i="2" a="1"/>
  <c r="M47" i="2" a="1"/>
  <c r="AF68" i="2" a="1"/>
  <c r="W89" i="2" a="1"/>
  <c r="K85" i="2" a="1"/>
  <c r="V90" i="2" a="1"/>
  <c r="H83" i="2" a="1"/>
  <c r="H46" i="2" a="1"/>
  <c r="H60" i="2" a="1"/>
  <c r="M45" i="2" a="1"/>
  <c r="AE62" i="2" a="1"/>
  <c r="AF74" i="2" a="1"/>
  <c r="H48" i="2" a="1"/>
  <c r="L89" i="2" a="1"/>
  <c r="G68" i="2" a="1"/>
  <c r="X87" i="2" a="1"/>
  <c r="M63" i="2" a="1"/>
  <c r="Y84" i="2" a="1"/>
  <c r="T40" i="2" a="1"/>
  <c r="T52" i="2" a="1"/>
  <c r="N49" i="2" a="1"/>
  <c r="AE50" i="2" a="1"/>
  <c r="F91" i="2" a="1"/>
  <c r="AF58" i="2" a="1"/>
  <c r="AF46" i="2" a="1"/>
  <c r="T66" i="2" a="1"/>
  <c r="AE64" i="2" a="1"/>
  <c r="AF66" i="2" a="1"/>
  <c r="W90" i="2" a="1"/>
  <c r="L91" i="2" a="1"/>
  <c r="M57" i="2" a="1"/>
  <c r="Y85" i="2" a="1"/>
  <c r="N61" i="2" a="1"/>
  <c r="F88" i="2" a="1"/>
  <c r="L88" i="2" a="1"/>
  <c r="T81" i="2" a="1"/>
  <c r="AE48" i="2" a="1"/>
  <c r="Z61" i="2" a="1"/>
  <c r="Z47" i="2" a="1"/>
  <c r="Z63" i="2" a="1"/>
  <c r="Z57" i="2" a="1"/>
  <c r="M91" i="2" a="1"/>
  <c r="T84" i="2" a="1"/>
  <c r="T87" i="2" a="1"/>
  <c r="G88" i="2" a="1"/>
  <c r="Y55" i="2" a="1"/>
  <c r="Y57" i="2" a="1"/>
  <c r="Y86" i="2" a="1"/>
  <c r="Y41" i="2" a="1"/>
  <c r="AE89" i="2" a="1"/>
  <c r="AF79" i="2" a="1"/>
  <c r="AF84" i="2" a="1"/>
  <c r="R85" i="2" a="1"/>
  <c r="L63" i="2" a="1"/>
  <c r="L75" i="2" a="1"/>
  <c r="L67" i="2" a="1"/>
  <c r="L49" i="2" a="1"/>
  <c r="S40" i="2" a="1"/>
  <c r="S60" i="2" a="1"/>
  <c r="S46" i="2" a="1"/>
  <c r="M90" i="2" a="1"/>
  <c r="AD84" i="2" a="1"/>
  <c r="N85" i="2" a="1"/>
  <c r="S85" i="2" a="1"/>
  <c r="S88" i="2" a="1"/>
  <c r="H85" i="2" a="1"/>
  <c r="Z84" i="2" a="1"/>
  <c r="Z82" i="2" a="1"/>
  <c r="G85" i="2" a="1"/>
  <c r="Y59" i="2" a="1"/>
  <c r="Y69" i="2" a="1"/>
  <c r="R87" i="2" a="1"/>
  <c r="L45" i="2" a="1"/>
  <c r="S82" i="2" a="1"/>
  <c r="S66" i="2" a="1"/>
  <c r="N88" i="2" a="1"/>
  <c r="H91" i="2" a="1"/>
  <c r="Z41" i="2" a="1"/>
  <c r="T80" i="2" a="1"/>
  <c r="G89" i="2" a="1"/>
  <c r="Y75" i="2" a="1"/>
  <c r="R89" i="2" a="1"/>
  <c r="L53" i="2" a="1"/>
  <c r="S48" i="2" a="1"/>
  <c r="AD91" i="2" a="1"/>
  <c r="H88" i="2" a="1"/>
  <c r="Z72" i="2" a="1"/>
  <c r="T91" i="2" a="1"/>
  <c r="Y61" i="2" a="1"/>
  <c r="AE87" i="2" a="1"/>
  <c r="L57" i="2" a="1"/>
  <c r="S68" i="2" a="1"/>
  <c r="N80" i="2" a="1"/>
  <c r="Z89" i="2" a="1"/>
  <c r="Z86" i="2" a="1"/>
  <c r="T85" i="2" a="1"/>
  <c r="Y73" i="2" a="1"/>
  <c r="AE91" i="2" a="1"/>
  <c r="Z91" i="2" a="1"/>
  <c r="Y47" i="2" a="1"/>
  <c r="S44" i="2" a="1"/>
  <c r="H79" i="2" a="1"/>
  <c r="Z65" i="2" a="1"/>
  <c r="AE84" i="2" a="1"/>
  <c r="L55" i="2" a="1"/>
  <c r="AD88" i="2" a="1"/>
  <c r="M80" i="2" a="1"/>
  <c r="AE80" i="2" a="1"/>
  <c r="L65" i="2" a="1"/>
  <c r="S87" i="2" a="1"/>
  <c r="M88" i="2" a="1"/>
  <c r="Z55" i="2" a="1"/>
  <c r="Z59" i="2" a="1"/>
  <c r="Z73" i="2" a="1"/>
  <c r="Z71" i="2" a="1"/>
  <c r="M89" i="2" a="1"/>
  <c r="T88" i="2" a="1"/>
  <c r="T79" i="2" a="1"/>
  <c r="X90" i="2" a="1"/>
  <c r="Y43" i="2" a="1"/>
  <c r="Y67" i="2" a="1"/>
  <c r="Y49" i="2" a="1"/>
  <c r="Y82" i="2" a="1"/>
  <c r="AE88" i="2" a="1"/>
  <c r="AF80" i="2" a="1"/>
  <c r="R80" i="2" a="1"/>
  <c r="R84" i="2" a="1"/>
  <c r="L82" i="2" a="1"/>
  <c r="L73" i="2" a="1"/>
  <c r="L69" i="2" a="1"/>
  <c r="N90" i="2" a="1"/>
  <c r="S70" i="2" a="1"/>
  <c r="S56" i="2" a="1"/>
  <c r="S86" i="2" a="1"/>
  <c r="L90" i="2" a="1"/>
  <c r="AD87" i="2" a="1"/>
  <c r="N84" i="2" a="1"/>
  <c r="S89" i="2" a="1"/>
  <c r="S84" i="2" a="1"/>
  <c r="H84" i="2" a="1"/>
  <c r="Z53" i="2" a="1"/>
  <c r="Z69" i="2" a="1"/>
  <c r="G87" i="2" a="1"/>
  <c r="AE85" i="2" a="1"/>
  <c r="R91" i="2" a="1"/>
  <c r="L61" i="2" a="1"/>
  <c r="AD85" i="2" a="1"/>
  <c r="N91" i="2" a="1"/>
  <c r="Z67" i="2" a="1"/>
  <c r="M84" i="2" a="1"/>
  <c r="Y65" i="2" a="1"/>
  <c r="AF88" i="2" a="1"/>
  <c r="L43" i="2" a="1"/>
  <c r="S58" i="2" a="1"/>
  <c r="N79" i="2" a="1"/>
  <c r="H87" i="2" a="1"/>
  <c r="Z51" i="2" a="1"/>
  <c r="G79" i="2" a="1"/>
  <c r="Y81" i="2" a="1"/>
  <c r="R79" i="2" a="1"/>
  <c r="S54" i="2" a="1"/>
  <c r="AD89" i="2" a="1"/>
  <c r="H80" i="2" a="1"/>
  <c r="Z83" i="2" a="1"/>
  <c r="Y83" i="2" a="1"/>
  <c r="AF87" i="2" a="1"/>
  <c r="Z45" i="2" a="1"/>
  <c r="M87" i="2" a="1"/>
  <c r="T89" i="2" a="1"/>
  <c r="Y53" i="2" a="1"/>
  <c r="AF85" i="2" a="1"/>
  <c r="L51" i="2" a="1"/>
  <c r="S72" i="2" a="1"/>
  <c r="AD79" i="2" a="1"/>
  <c r="Z88" i="2" a="1"/>
  <c r="Z43" i="2" a="1"/>
  <c r="G84" i="2" a="1"/>
  <c r="Y51" i="2" a="1"/>
  <c r="AE79" i="2" a="1"/>
  <c r="L81" i="2" a="1"/>
  <c r="S74" i="2" a="1"/>
  <c r="S50" i="2" a="1"/>
  <c r="S80" i="2" a="1"/>
  <c r="Z87" i="2" a="1"/>
  <c r="Z49" i="2" a="1"/>
  <c r="G91" i="2" a="1"/>
  <c r="Y71" i="2" a="1"/>
  <c r="L47" i="2" a="1"/>
  <c r="S52" i="2" a="1"/>
  <c r="S79" i="2" a="1"/>
  <c r="Z75" i="2" a="1"/>
  <c r="G80" i="2" a="1"/>
  <c r="AF89" i="2" a="1"/>
  <c r="L83" i="2" a="1"/>
  <c r="M79" i="2" a="1"/>
  <c r="AF91" i="2" a="1"/>
  <c r="S42" i="2" a="1"/>
  <c r="Z85" i="2" a="1"/>
  <c r="M85" i="2" a="1"/>
  <c r="Y63" i="2" a="1"/>
  <c r="S83" i="2" a="1"/>
  <c r="N89" i="2" a="1"/>
  <c r="Z80" i="2" a="1"/>
  <c r="AD80" i="2" a="1"/>
  <c r="S81" i="2" a="1"/>
  <c r="Y45" i="2" a="1"/>
  <c r="N87" i="2" a="1"/>
  <c r="R88" i="2" a="1"/>
  <c r="S91" i="2" a="1"/>
  <c r="S62" i="2" a="1"/>
  <c r="Z79" i="2" a="1"/>
  <c r="L71" i="2" a="1"/>
  <c r="S64" i="2" a="1"/>
  <c r="H89" i="2" a="1"/>
  <c r="L59" i="2" a="1"/>
  <c r="L86" i="2" a="1"/>
  <c r="L41" i="2" a="1"/>
  <c r="Y90" i="2" a="1"/>
  <c r="Z90" i="2" a="1"/>
  <c r="I56" i="2" l="1"/>
  <c r="Z16" i="2"/>
  <c r="AE9" i="2"/>
  <c r="S13" i="2"/>
  <c r="N10" i="2"/>
  <c r="I70" i="2"/>
  <c r="M10" i="2"/>
  <c r="AC45" i="2"/>
  <c r="N12" i="2"/>
  <c r="G13" i="2"/>
  <c r="Y16" i="2"/>
  <c r="K48" i="2"/>
  <c r="X34" i="2"/>
  <c r="Z14" i="2"/>
  <c r="M14" i="2"/>
  <c r="AC29" i="2"/>
  <c r="N14" i="2"/>
  <c r="Z10" i="2"/>
  <c r="M16" i="2"/>
  <c r="K28" i="2"/>
  <c r="K36" i="2"/>
  <c r="AE17" i="2"/>
  <c r="X20" i="2"/>
  <c r="N8" i="2"/>
  <c r="M12" i="2"/>
  <c r="Y12" i="2"/>
  <c r="AC25" i="2"/>
  <c r="X10" i="2"/>
  <c r="G17" i="2"/>
  <c r="Y10" i="2"/>
  <c r="K24" i="2"/>
  <c r="X26" i="2"/>
  <c r="Z12" i="2"/>
  <c r="M8" i="2"/>
  <c r="AE11" i="2"/>
  <c r="S11" i="2"/>
  <c r="I54" i="2"/>
  <c r="G9" i="2"/>
  <c r="Y18" i="2"/>
  <c r="S9" i="2"/>
  <c r="I83" i="2"/>
  <c r="G15" i="2"/>
  <c r="AE13" i="2"/>
  <c r="AC13" i="2"/>
  <c r="S15" i="2"/>
  <c r="X28" i="2"/>
  <c r="N22" i="2"/>
  <c r="I66" i="2"/>
  <c r="Z8" i="2"/>
  <c r="G11" i="2"/>
  <c r="Y8" i="2"/>
  <c r="AE7" i="2"/>
  <c r="AC9" i="2"/>
  <c r="S21" i="2"/>
  <c r="K34" i="2"/>
  <c r="F12" i="2"/>
  <c r="X39" i="2"/>
  <c r="V16" i="2"/>
  <c r="K27" i="2"/>
  <c r="D21" i="2"/>
  <c r="V31" i="2"/>
  <c r="F24" i="2"/>
  <c r="AA65" i="2"/>
  <c r="AA15" i="2"/>
  <c r="P39" i="2"/>
  <c r="P44" i="2"/>
  <c r="V66" i="2"/>
  <c r="O39" i="2"/>
  <c r="O11" i="2"/>
  <c r="P15" i="2"/>
  <c r="AD24" i="2"/>
  <c r="AD21" i="2"/>
  <c r="U22" i="2"/>
  <c r="D48" i="2"/>
  <c r="C15" i="2"/>
  <c r="J12" i="2"/>
  <c r="L11" i="2"/>
  <c r="I45" i="2"/>
  <c r="N36" i="2"/>
  <c r="Z23" i="2"/>
  <c r="H7" i="2"/>
  <c r="M19" i="2"/>
  <c r="V43" i="2"/>
  <c r="K70" i="2"/>
  <c r="K35" i="2"/>
  <c r="K58" i="2"/>
  <c r="D37" i="2"/>
  <c r="D47" i="2"/>
  <c r="V23" i="2"/>
  <c r="V9" i="2"/>
  <c r="V17" i="2"/>
  <c r="F29" i="2"/>
  <c r="F31" i="2"/>
  <c r="AA42" i="2"/>
  <c r="AA17" i="2"/>
  <c r="AA47" i="2"/>
  <c r="J52" i="2"/>
  <c r="J56" i="2"/>
  <c r="P40" i="2"/>
  <c r="V36" i="2"/>
  <c r="O23" i="2"/>
  <c r="P53" i="2"/>
  <c r="AD30" i="2"/>
  <c r="AB14" i="2"/>
  <c r="U12" i="2"/>
  <c r="D11" i="2"/>
  <c r="C25" i="2"/>
  <c r="J13" i="2"/>
  <c r="L22" i="2"/>
  <c r="I20" i="2"/>
  <c r="T31" i="2"/>
  <c r="Z36" i="2"/>
  <c r="H10" i="2"/>
  <c r="AF21" i="2"/>
  <c r="F23" i="2"/>
  <c r="M24" i="2"/>
  <c r="R14" i="2"/>
  <c r="V45" i="2"/>
  <c r="AD11" i="2"/>
  <c r="Y13" i="2"/>
  <c r="D29" i="2"/>
  <c r="K46" i="2"/>
  <c r="P28" i="2"/>
  <c r="V18" i="2"/>
  <c r="O45" i="2"/>
  <c r="AD27" i="2"/>
  <c r="AB12" i="2"/>
  <c r="U52" i="2"/>
  <c r="U39" i="2"/>
  <c r="I21" i="2"/>
  <c r="AC24" i="2"/>
  <c r="D27" i="2"/>
  <c r="P9" i="2"/>
  <c r="K50" i="2"/>
  <c r="V47" i="2"/>
  <c r="AA7" i="2"/>
  <c r="AA67" i="2"/>
  <c r="AA9" i="2"/>
  <c r="J44" i="2"/>
  <c r="J36" i="2"/>
  <c r="P21" i="2"/>
  <c r="P11" i="2"/>
  <c r="V62" i="2"/>
  <c r="O41" i="2"/>
  <c r="P45" i="2"/>
  <c r="P41" i="2"/>
  <c r="AB26" i="2"/>
  <c r="D22" i="2"/>
  <c r="H36" i="2"/>
  <c r="AF17" i="2"/>
  <c r="F27" i="2"/>
  <c r="M40" i="2"/>
  <c r="I35" i="2"/>
  <c r="AC49" i="2"/>
  <c r="P35" i="2"/>
  <c r="D53" i="2"/>
  <c r="F16" i="2"/>
  <c r="V19" i="2"/>
  <c r="J22" i="2"/>
  <c r="O15" i="2"/>
  <c r="P49" i="2"/>
  <c r="AD39" i="2"/>
  <c r="AB7" i="2"/>
  <c r="AB9" i="2"/>
  <c r="U8" i="2"/>
  <c r="C86" i="2"/>
  <c r="J45" i="2"/>
  <c r="L13" i="2"/>
  <c r="I60" i="2"/>
  <c r="N9" i="2"/>
  <c r="T14" i="2"/>
  <c r="Z20" i="2"/>
  <c r="AF19" i="2"/>
  <c r="X7" i="2"/>
  <c r="I19" i="2"/>
  <c r="AC17" i="2"/>
  <c r="K37" i="2"/>
  <c r="J38" i="2"/>
  <c r="D43" i="2"/>
  <c r="F28" i="2"/>
  <c r="F26" i="2"/>
  <c r="K29" i="2"/>
  <c r="F22" i="2"/>
  <c r="AA25" i="2"/>
  <c r="J46" i="2"/>
  <c r="V22" i="2"/>
  <c r="AD10" i="2"/>
  <c r="U46" i="2"/>
  <c r="D17" i="2"/>
  <c r="H16" i="2"/>
  <c r="E14" i="2"/>
  <c r="I46" i="2"/>
  <c r="J7" i="2"/>
  <c r="AA19" i="2"/>
  <c r="K8" i="2"/>
  <c r="V38" i="2"/>
  <c r="D51" i="2"/>
  <c r="F10" i="2"/>
  <c r="V28" i="2"/>
  <c r="K41" i="2"/>
  <c r="D65" i="2"/>
  <c r="V29" i="2"/>
  <c r="F13" i="2"/>
  <c r="F9" i="2"/>
  <c r="J20" i="2"/>
  <c r="P7" i="2"/>
  <c r="P46" i="2"/>
  <c r="P47" i="2"/>
  <c r="AB48" i="2"/>
  <c r="J60" i="2"/>
  <c r="P30" i="2"/>
  <c r="V40" i="2"/>
  <c r="O29" i="2"/>
  <c r="O17" i="2"/>
  <c r="AD18" i="2"/>
  <c r="AB18" i="2"/>
  <c r="AB27" i="2"/>
  <c r="C11" i="2"/>
  <c r="J23" i="2"/>
  <c r="L18" i="2"/>
  <c r="I81" i="2"/>
  <c r="N39" i="2"/>
  <c r="T25" i="2"/>
  <c r="Z22" i="2"/>
  <c r="S29" i="2"/>
  <c r="Y17" i="2"/>
  <c r="X25" i="2"/>
  <c r="E41" i="2"/>
  <c r="I9" i="2"/>
  <c r="J21" i="2"/>
  <c r="J14" i="2"/>
  <c r="K12" i="2"/>
  <c r="V11" i="2"/>
  <c r="K26" i="2"/>
  <c r="AA13" i="2"/>
  <c r="V48" i="2"/>
  <c r="K62" i="2"/>
  <c r="D35" i="2"/>
  <c r="V12" i="2"/>
  <c r="AA53" i="2"/>
  <c r="K68" i="2"/>
  <c r="K20" i="2"/>
  <c r="D57" i="2"/>
  <c r="D61" i="2"/>
  <c r="D55" i="2"/>
  <c r="V8" i="2"/>
  <c r="V42" i="2"/>
  <c r="F7" i="2"/>
  <c r="F14" i="2"/>
  <c r="F34" i="2"/>
  <c r="AA59" i="2"/>
  <c r="AA57" i="2"/>
  <c r="J64" i="2"/>
  <c r="P22" i="2"/>
  <c r="P12" i="2"/>
  <c r="V20" i="2"/>
  <c r="O31" i="2"/>
  <c r="P57" i="2"/>
  <c r="P25" i="2"/>
  <c r="AB34" i="2"/>
  <c r="U38" i="2"/>
  <c r="D42" i="2"/>
  <c r="C23" i="2"/>
  <c r="J41" i="2"/>
  <c r="L21" i="2"/>
  <c r="I8" i="2"/>
  <c r="N34" i="2"/>
  <c r="T18" i="2"/>
  <c r="Z17" i="2"/>
  <c r="X17" i="2"/>
  <c r="G10" i="2"/>
  <c r="O16" i="2"/>
  <c r="D15" i="2"/>
  <c r="D34" i="2"/>
  <c r="AE31" i="2"/>
  <c r="G25" i="2"/>
  <c r="AA69" i="2"/>
  <c r="O25" i="2"/>
  <c r="U72" i="2"/>
  <c r="K74" i="2"/>
  <c r="D23" i="2"/>
  <c r="F25" i="2"/>
  <c r="F36" i="2"/>
  <c r="J34" i="2"/>
  <c r="V26" i="2"/>
  <c r="AD8" i="2"/>
  <c r="AB39" i="2"/>
  <c r="X22" i="2"/>
  <c r="C20" i="2"/>
  <c r="O71" i="2"/>
  <c r="J54" i="2"/>
  <c r="P16" i="2"/>
  <c r="P34" i="2"/>
  <c r="V34" i="2"/>
  <c r="O21" i="2"/>
  <c r="O46" i="2"/>
  <c r="AD25" i="2"/>
  <c r="AD28" i="2"/>
  <c r="AB28" i="2"/>
  <c r="U18" i="2"/>
  <c r="D36" i="2"/>
  <c r="C49" i="2"/>
  <c r="J29" i="2"/>
  <c r="L25" i="2"/>
  <c r="I24" i="2"/>
  <c r="N16" i="2"/>
  <c r="Z28" i="2"/>
  <c r="H12" i="2"/>
  <c r="S38" i="2"/>
  <c r="M38" i="2"/>
  <c r="C57" i="2"/>
  <c r="O67" i="2"/>
  <c r="V15" i="2"/>
  <c r="P20" i="2"/>
  <c r="AB20" i="2"/>
  <c r="S16" i="2"/>
  <c r="K44" i="2"/>
  <c r="D45" i="2"/>
  <c r="V25" i="2"/>
  <c r="F17" i="2"/>
  <c r="AA21" i="2"/>
  <c r="V60" i="2"/>
  <c r="P19" i="2"/>
  <c r="AD7" i="2"/>
  <c r="U24" i="2"/>
  <c r="K16" i="2"/>
  <c r="K31" i="2"/>
  <c r="D19" i="2"/>
  <c r="D49" i="2"/>
  <c r="V10" i="2"/>
  <c r="V21" i="2"/>
  <c r="V35" i="2"/>
  <c r="F18" i="2"/>
  <c r="F21" i="2"/>
  <c r="AA27" i="2"/>
  <c r="AA11" i="2"/>
  <c r="AA23" i="2"/>
  <c r="J62" i="2"/>
  <c r="J48" i="2"/>
  <c r="O9" i="2"/>
  <c r="P51" i="2"/>
  <c r="AB16" i="2"/>
  <c r="U62" i="2"/>
  <c r="U26" i="2"/>
  <c r="S8" i="2"/>
  <c r="Y38" i="2"/>
  <c r="M28" i="2"/>
  <c r="C12" i="2"/>
  <c r="Q30" i="2"/>
  <c r="U10" i="2"/>
  <c r="D40" i="2"/>
  <c r="C27" i="2"/>
  <c r="C43" i="2"/>
  <c r="J25" i="2"/>
  <c r="L35" i="2"/>
  <c r="L17" i="2"/>
  <c r="I22" i="2"/>
  <c r="I26" i="2"/>
  <c r="N28" i="2"/>
  <c r="N21" i="2"/>
  <c r="T29" i="2"/>
  <c r="T21" i="2"/>
  <c r="Z21" i="2"/>
  <c r="Z11" i="2"/>
  <c r="H22" i="2"/>
  <c r="S7" i="2"/>
  <c r="Y21" i="2"/>
  <c r="X38" i="2"/>
  <c r="E18" i="2"/>
  <c r="AE15" i="2"/>
  <c r="R10" i="2"/>
  <c r="G40" i="2"/>
  <c r="C22" i="2"/>
  <c r="K21" i="2"/>
  <c r="V58" i="2"/>
  <c r="O55" i="2"/>
  <c r="O27" i="2"/>
  <c r="P43" i="2"/>
  <c r="P27" i="2"/>
  <c r="AD36" i="2"/>
  <c r="AD29" i="2"/>
  <c r="AB42" i="2"/>
  <c r="U47" i="2"/>
  <c r="U50" i="2"/>
  <c r="D39" i="2"/>
  <c r="D38" i="2"/>
  <c r="C47" i="2"/>
  <c r="C17" i="2"/>
  <c r="J27" i="2"/>
  <c r="L37" i="2"/>
  <c r="L26" i="2"/>
  <c r="I39" i="2"/>
  <c r="I16" i="2"/>
  <c r="N23" i="2"/>
  <c r="N24" i="2"/>
  <c r="T10" i="2"/>
  <c r="T22" i="2"/>
  <c r="Z25" i="2"/>
  <c r="Z26" i="2"/>
  <c r="AF14" i="2"/>
  <c r="Y20" i="2"/>
  <c r="M15" i="2"/>
  <c r="E28" i="2"/>
  <c r="AE30" i="2"/>
  <c r="R38" i="2"/>
  <c r="G12" i="2"/>
  <c r="C26" i="2"/>
  <c r="AA75" i="2"/>
  <c r="K10" i="2"/>
  <c r="J50" i="2"/>
  <c r="P18" i="2"/>
  <c r="P17" i="2"/>
  <c r="V46" i="2"/>
  <c r="V24" i="2"/>
  <c r="O43" i="2"/>
  <c r="O40" i="2"/>
  <c r="O13" i="2"/>
  <c r="P55" i="2"/>
  <c r="P67" i="2"/>
  <c r="P31" i="2"/>
  <c r="AD26" i="2"/>
  <c r="AD14" i="2"/>
  <c r="AD17" i="2"/>
  <c r="AB8" i="2"/>
  <c r="AB30" i="2"/>
  <c r="U74" i="2"/>
  <c r="U14" i="2"/>
  <c r="U28" i="2"/>
  <c r="D28" i="2"/>
  <c r="D30" i="2"/>
  <c r="H29" i="2"/>
  <c r="S23" i="2"/>
  <c r="AF36" i="2"/>
  <c r="X30" i="2"/>
  <c r="E29" i="2"/>
  <c r="AE23" i="2"/>
  <c r="I29" i="2"/>
  <c r="G35" i="2"/>
  <c r="D10" i="2"/>
  <c r="AA26" i="2"/>
  <c r="J58" i="2"/>
  <c r="J16" i="2"/>
  <c r="P24" i="2"/>
  <c r="V30" i="2"/>
  <c r="V54" i="2"/>
  <c r="O19" i="2"/>
  <c r="P37" i="2"/>
  <c r="AB22" i="2"/>
  <c r="U68" i="2"/>
  <c r="D26" i="2"/>
  <c r="D7" i="2"/>
  <c r="H8" i="2"/>
  <c r="S19" i="2"/>
  <c r="Y11" i="2"/>
  <c r="M23" i="2"/>
  <c r="E38" i="2"/>
  <c r="AE37" i="2"/>
  <c r="I47" i="2"/>
  <c r="G31" i="2"/>
  <c r="D8" i="2"/>
  <c r="AA71" i="2"/>
  <c r="U41" i="2"/>
  <c r="U54" i="2"/>
  <c r="Q24" i="2"/>
  <c r="Q18" i="2"/>
  <c r="D59" i="2"/>
  <c r="V37" i="2"/>
  <c r="V13" i="2"/>
  <c r="F30" i="2"/>
  <c r="AA31" i="2"/>
  <c r="J30" i="2"/>
  <c r="P14" i="2"/>
  <c r="P26" i="2"/>
  <c r="V64" i="2"/>
  <c r="P23" i="2"/>
  <c r="P29" i="2"/>
  <c r="AD16" i="2"/>
  <c r="AD22" i="2"/>
  <c r="AB41" i="2"/>
  <c r="AB36" i="2"/>
  <c r="U16" i="2"/>
  <c r="D13" i="2"/>
  <c r="D44" i="2"/>
  <c r="C35" i="2"/>
  <c r="C39" i="2"/>
  <c r="J31" i="2"/>
  <c r="J9" i="2"/>
  <c r="L29" i="2"/>
  <c r="I44" i="2"/>
  <c r="I72" i="2"/>
  <c r="N26" i="2"/>
  <c r="N18" i="2"/>
  <c r="T26" i="2"/>
  <c r="T20" i="2"/>
  <c r="Z19" i="2"/>
  <c r="Z30" i="2"/>
  <c r="S30" i="2"/>
  <c r="Y23" i="2"/>
  <c r="X9" i="2"/>
  <c r="E36" i="2"/>
  <c r="AE19" i="2"/>
  <c r="R28" i="2"/>
  <c r="G20" i="2"/>
  <c r="C44" i="2"/>
  <c r="AC41" i="2"/>
  <c r="K23" i="2"/>
  <c r="AE26" i="2"/>
  <c r="R20" i="2"/>
  <c r="I27" i="2"/>
  <c r="C55" i="2"/>
  <c r="AC37" i="2"/>
  <c r="W22" i="2"/>
  <c r="K56" i="2"/>
  <c r="K30" i="2"/>
  <c r="K60" i="2"/>
  <c r="D63" i="2"/>
  <c r="D31" i="2"/>
  <c r="D25" i="2"/>
  <c r="V27" i="2"/>
  <c r="V14" i="2"/>
  <c r="F38" i="2"/>
  <c r="F20" i="2"/>
  <c r="AA90" i="2"/>
  <c r="AA48" i="2"/>
  <c r="AA29" i="2"/>
  <c r="J24" i="2"/>
  <c r="J42" i="2"/>
  <c r="J28" i="2"/>
  <c r="P36" i="2"/>
  <c r="P13" i="2"/>
  <c r="V52" i="2"/>
  <c r="V44" i="2"/>
  <c r="O73" i="2"/>
  <c r="V56" i="2"/>
  <c r="V50" i="2"/>
  <c r="O42" i="2"/>
  <c r="O7" i="2"/>
  <c r="P63" i="2"/>
  <c r="P69" i="2"/>
  <c r="P59" i="2"/>
  <c r="AD12" i="2"/>
  <c r="AD20" i="2"/>
  <c r="AD34" i="2"/>
  <c r="AB24" i="2"/>
  <c r="AB13" i="2"/>
  <c r="AB11" i="2"/>
  <c r="U64" i="2"/>
  <c r="U20" i="2"/>
  <c r="D16" i="2"/>
  <c r="D24" i="2"/>
  <c r="D18" i="2"/>
  <c r="AF16" i="2"/>
  <c r="Y35" i="2"/>
  <c r="M20" i="2"/>
  <c r="AE25" i="2"/>
  <c r="R18" i="2"/>
  <c r="G39" i="2"/>
  <c r="C45" i="2"/>
  <c r="K18" i="2"/>
  <c r="D14" i="2"/>
  <c r="D9" i="2"/>
  <c r="D41" i="2"/>
  <c r="C31" i="2"/>
  <c r="C73" i="2"/>
  <c r="C13" i="2"/>
  <c r="J35" i="2"/>
  <c r="J49" i="2"/>
  <c r="J18" i="2"/>
  <c r="J26" i="2"/>
  <c r="L23" i="2"/>
  <c r="L15" i="2"/>
  <c r="L10" i="2"/>
  <c r="L31" i="2"/>
  <c r="I68" i="2"/>
  <c r="I12" i="2"/>
  <c r="I28" i="2"/>
  <c r="O90" i="2"/>
  <c r="N13" i="2"/>
  <c r="N15" i="2"/>
  <c r="N20" i="2"/>
  <c r="T27" i="2"/>
  <c r="T16" i="2"/>
  <c r="T35" i="2"/>
  <c r="T12" i="2"/>
  <c r="Z13" i="2"/>
  <c r="Z29" i="2"/>
  <c r="Z39" i="2"/>
  <c r="Z24" i="2"/>
  <c r="H21" i="2"/>
  <c r="S18" i="2"/>
  <c r="S24" i="2"/>
  <c r="AF8" i="2"/>
  <c r="AF24" i="2"/>
  <c r="Y30" i="2"/>
  <c r="F37" i="2"/>
  <c r="X19" i="2"/>
  <c r="X14" i="2"/>
  <c r="C90" i="2"/>
  <c r="E16" i="2"/>
  <c r="AE27" i="2"/>
  <c r="AD38" i="2"/>
  <c r="R19" i="2"/>
  <c r="I13" i="2"/>
  <c r="I7" i="2"/>
  <c r="G23" i="2"/>
  <c r="P48" i="2"/>
  <c r="C42" i="2"/>
  <c r="C75" i="2"/>
  <c r="V7" i="2"/>
  <c r="AC22" i="2"/>
  <c r="AA39" i="2"/>
  <c r="AA22" i="2"/>
  <c r="O47" i="2"/>
  <c r="K14" i="2"/>
  <c r="U31" i="2"/>
  <c r="U25" i="2"/>
  <c r="W27" i="2"/>
  <c r="W17" i="2"/>
  <c r="AB46" i="2"/>
  <c r="H24" i="2"/>
  <c r="H30" i="2"/>
  <c r="S14" i="2"/>
  <c r="S12" i="2"/>
  <c r="AF27" i="2"/>
  <c r="Y24" i="2"/>
  <c r="Y14" i="2"/>
  <c r="Y28" i="2"/>
  <c r="X18" i="2"/>
  <c r="X23" i="2"/>
  <c r="M18" i="2"/>
  <c r="M21" i="2"/>
  <c r="E61" i="2"/>
  <c r="E8" i="2"/>
  <c r="E34" i="2"/>
  <c r="AE22" i="2"/>
  <c r="AE28" i="2"/>
  <c r="AD23" i="2"/>
  <c r="R15" i="2"/>
  <c r="I25" i="2"/>
  <c r="I64" i="2"/>
  <c r="G7" i="2"/>
  <c r="P38" i="2"/>
  <c r="C28" i="2"/>
  <c r="C30" i="2"/>
  <c r="AC8" i="2"/>
  <c r="AA16" i="2"/>
  <c r="AA18" i="2"/>
  <c r="O10" i="2"/>
  <c r="O22" i="2"/>
  <c r="U11" i="2"/>
  <c r="U19" i="2"/>
  <c r="Q47" i="2"/>
  <c r="W11" i="2"/>
  <c r="R31" i="2"/>
  <c r="C21" i="2"/>
  <c r="C9" i="2"/>
  <c r="C19" i="2"/>
  <c r="J10" i="2"/>
  <c r="J19" i="2"/>
  <c r="J37" i="2"/>
  <c r="J17" i="2"/>
  <c r="L30" i="2"/>
  <c r="L19" i="2"/>
  <c r="L27" i="2"/>
  <c r="L38" i="2"/>
  <c r="I62" i="2"/>
  <c r="I41" i="2"/>
  <c r="I14" i="2"/>
  <c r="N17" i="2"/>
  <c r="N25" i="2"/>
  <c r="N30" i="2"/>
  <c r="N11" i="2"/>
  <c r="T38" i="2"/>
  <c r="T28" i="2"/>
  <c r="T23" i="2"/>
  <c r="T15" i="2"/>
  <c r="Z15" i="2"/>
  <c r="Z7" i="2"/>
  <c r="Z27" i="2"/>
  <c r="H14" i="2"/>
  <c r="H23" i="2"/>
  <c r="H37" i="2"/>
  <c r="S28" i="2"/>
  <c r="AF38" i="2"/>
  <c r="AF25" i="2"/>
  <c r="AF22" i="2"/>
  <c r="Y25" i="2"/>
  <c r="X11" i="2"/>
  <c r="X13" i="2"/>
  <c r="M11" i="2"/>
  <c r="E26" i="2"/>
  <c r="E35" i="2"/>
  <c r="AE24" i="2"/>
  <c r="AD15" i="2"/>
  <c r="R8" i="2"/>
  <c r="AC20" i="2"/>
  <c r="AA10" i="2"/>
  <c r="O14" i="2"/>
  <c r="K19" i="2"/>
  <c r="K15" i="2"/>
  <c r="U13" i="2"/>
  <c r="Q59" i="2"/>
  <c r="W14" i="2"/>
  <c r="Q43" i="2"/>
  <c r="H38" i="2"/>
  <c r="S31" i="2"/>
  <c r="S25" i="2"/>
  <c r="S22" i="2"/>
  <c r="AF37" i="2"/>
  <c r="Y15" i="2"/>
  <c r="Y34" i="2"/>
  <c r="X21" i="2"/>
  <c r="X35" i="2"/>
  <c r="M36" i="2"/>
  <c r="M29" i="2"/>
  <c r="E22" i="2"/>
  <c r="E12" i="2"/>
  <c r="E30" i="2"/>
  <c r="AE18" i="2"/>
  <c r="R13" i="2"/>
  <c r="R24" i="2"/>
  <c r="R29" i="2"/>
  <c r="I17" i="2"/>
  <c r="G16" i="2"/>
  <c r="G19" i="2"/>
  <c r="P10" i="2"/>
  <c r="C16" i="2"/>
  <c r="D20" i="2"/>
  <c r="AC14" i="2"/>
  <c r="AC40" i="2"/>
  <c r="AA12" i="2"/>
  <c r="J47" i="2"/>
  <c r="O36" i="2"/>
  <c r="K9" i="2"/>
  <c r="U66" i="2"/>
  <c r="Q37" i="2"/>
  <c r="Q35" i="2"/>
  <c r="C71" i="2"/>
  <c r="C29" i="2"/>
  <c r="C53" i="2"/>
  <c r="C7" i="2"/>
  <c r="C65" i="2"/>
  <c r="J8" i="2"/>
  <c r="J11" i="2"/>
  <c r="J43" i="2"/>
  <c r="J15" i="2"/>
  <c r="L28" i="2"/>
  <c r="L8" i="2"/>
  <c r="L16" i="2"/>
  <c r="I18" i="2"/>
  <c r="I10" i="2"/>
  <c r="I36" i="2"/>
  <c r="I34" i="2"/>
  <c r="N29" i="2"/>
  <c r="N27" i="2"/>
  <c r="N7" i="2"/>
  <c r="N19" i="2"/>
  <c r="T8" i="2"/>
  <c r="T19" i="2"/>
  <c r="T24" i="2"/>
  <c r="T37" i="2"/>
  <c r="Z9" i="2"/>
  <c r="Z34" i="2"/>
  <c r="Z18" i="2"/>
  <c r="H27" i="2"/>
  <c r="H18" i="2"/>
  <c r="H35" i="2"/>
  <c r="S35" i="2"/>
  <c r="AF10" i="2"/>
  <c r="AF12" i="2"/>
  <c r="AF26" i="2"/>
  <c r="Y36" i="2"/>
  <c r="Y39" i="2"/>
  <c r="X37" i="2"/>
  <c r="M13" i="2"/>
  <c r="M30" i="2"/>
  <c r="M27" i="2"/>
  <c r="E10" i="2"/>
  <c r="AE35" i="2"/>
  <c r="R27" i="2"/>
  <c r="R36" i="2"/>
  <c r="I11" i="2"/>
  <c r="I15" i="2"/>
  <c r="G22" i="2"/>
  <c r="G28" i="2"/>
  <c r="P8" i="2"/>
  <c r="C10" i="2"/>
  <c r="D12" i="2"/>
  <c r="AC10" i="2"/>
  <c r="AC61" i="2"/>
  <c r="J40" i="2"/>
  <c r="O30" i="2"/>
  <c r="K13" i="2"/>
  <c r="K39" i="2"/>
  <c r="Q9" i="2"/>
  <c r="Q61" i="2"/>
  <c r="W23" i="2"/>
  <c r="C59" i="2"/>
  <c r="AF11" i="2"/>
  <c r="U15" i="2"/>
  <c r="Q22" i="2"/>
  <c r="W9" i="2"/>
  <c r="W54" i="2"/>
  <c r="E15" i="2"/>
  <c r="T7" i="2"/>
  <c r="S26" i="2"/>
  <c r="S20" i="2"/>
  <c r="AF35" i="2"/>
  <c r="AF31" i="2"/>
  <c r="Y29" i="2"/>
  <c r="F35" i="2"/>
  <c r="X8" i="2"/>
  <c r="X27" i="2"/>
  <c r="M34" i="2"/>
  <c r="M22" i="2"/>
  <c r="E25" i="2"/>
  <c r="E57" i="2"/>
  <c r="AE14" i="2"/>
  <c r="AE20" i="2"/>
  <c r="AE34" i="2"/>
  <c r="R26" i="2"/>
  <c r="I37" i="2"/>
  <c r="I48" i="2"/>
  <c r="G37" i="2"/>
  <c r="G34" i="2"/>
  <c r="C18" i="2"/>
  <c r="C41" i="2"/>
  <c r="D46" i="2"/>
  <c r="AC21" i="2"/>
  <c r="AC51" i="2"/>
  <c r="AA45" i="2"/>
  <c r="O48" i="2"/>
  <c r="K25" i="2"/>
  <c r="K42" i="2"/>
  <c r="U58" i="2"/>
  <c r="Q26" i="2"/>
  <c r="H19" i="2"/>
  <c r="H25" i="2"/>
  <c r="S37" i="2"/>
  <c r="S17" i="2"/>
  <c r="AF7" i="2"/>
  <c r="Y22" i="2"/>
  <c r="Y27" i="2"/>
  <c r="Y26" i="2"/>
  <c r="X29" i="2"/>
  <c r="X15" i="2"/>
  <c r="M17" i="2"/>
  <c r="M26" i="2"/>
  <c r="E24" i="2"/>
  <c r="AE38" i="2"/>
  <c r="AE16" i="2"/>
  <c r="R25" i="2"/>
  <c r="AC12" i="2"/>
  <c r="AA20" i="2"/>
  <c r="O12" i="2"/>
  <c r="O49" i="2"/>
  <c r="U37" i="2"/>
  <c r="U9" i="2"/>
  <c r="Q8" i="2"/>
  <c r="Q36" i="2"/>
  <c r="W18" i="2"/>
  <c r="L36" i="2"/>
  <c r="W56" i="2"/>
  <c r="H31" i="2"/>
  <c r="H20" i="2"/>
  <c r="S27" i="2"/>
  <c r="AF18" i="2"/>
  <c r="AF20" i="2"/>
  <c r="AF23" i="2"/>
  <c r="Y19" i="2"/>
  <c r="F19" i="2"/>
  <c r="X31" i="2"/>
  <c r="M25" i="2"/>
  <c r="M39" i="2"/>
  <c r="E45" i="2"/>
  <c r="E20" i="2"/>
  <c r="AE21" i="2"/>
  <c r="AD9" i="2"/>
  <c r="R30" i="2"/>
  <c r="R23" i="2"/>
  <c r="I40" i="2"/>
  <c r="I23" i="2"/>
  <c r="G29" i="2"/>
  <c r="G14" i="2"/>
  <c r="C34" i="2"/>
  <c r="C67" i="2"/>
  <c r="V39" i="2"/>
  <c r="AC65" i="2"/>
  <c r="AA24" i="2"/>
  <c r="O26" i="2"/>
  <c r="O59" i="2"/>
  <c r="K66" i="2"/>
  <c r="U27" i="2"/>
  <c r="Q10" i="2"/>
  <c r="W41" i="2"/>
  <c r="W29" i="2"/>
  <c r="AA34" i="2"/>
  <c r="AA8" i="2"/>
  <c r="O28" i="2"/>
  <c r="K64" i="2"/>
  <c r="U23" i="2"/>
  <c r="U83" i="2"/>
  <c r="Q20" i="2"/>
  <c r="W15" i="2"/>
  <c r="AA82" i="2"/>
  <c r="O75" i="2"/>
  <c r="R37" i="2"/>
  <c r="C46" i="2"/>
  <c r="E59" i="2"/>
  <c r="L39" i="2"/>
  <c r="AA63" i="2"/>
  <c r="U43" i="2"/>
  <c r="Q42" i="2"/>
  <c r="AF29" i="2"/>
  <c r="T13" i="2"/>
  <c r="W39" i="2"/>
  <c r="H13" i="2"/>
  <c r="W35" i="2"/>
  <c r="W30" i="2"/>
  <c r="R11" i="2"/>
  <c r="C61" i="2"/>
  <c r="E13" i="2"/>
  <c r="L14" i="2"/>
  <c r="AB10" i="2"/>
  <c r="U70" i="2"/>
  <c r="Q49" i="2"/>
  <c r="AF13" i="2"/>
  <c r="T17" i="2"/>
  <c r="O51" i="2"/>
  <c r="H9" i="2"/>
  <c r="AC16" i="2"/>
  <c r="AC63" i="2"/>
  <c r="AA28" i="2"/>
  <c r="AA30" i="2"/>
  <c r="AA43" i="2"/>
  <c r="AA14" i="2"/>
  <c r="J39" i="2"/>
  <c r="O63" i="2"/>
  <c r="O18" i="2"/>
  <c r="O20" i="2"/>
  <c r="K38" i="2"/>
  <c r="K54" i="2"/>
  <c r="K22" i="2"/>
  <c r="K52" i="2"/>
  <c r="U42" i="2"/>
  <c r="U17" i="2"/>
  <c r="U29" i="2"/>
  <c r="U35" i="2"/>
  <c r="Q28" i="2"/>
  <c r="Q12" i="2"/>
  <c r="Q16" i="2"/>
  <c r="W10" i="2"/>
  <c r="W7" i="2"/>
  <c r="W13" i="2"/>
  <c r="W19" i="2"/>
  <c r="R17" i="2"/>
  <c r="C8" i="2"/>
  <c r="E47" i="2"/>
  <c r="AA38" i="2"/>
  <c r="AB38" i="2"/>
  <c r="U44" i="2"/>
  <c r="Q17" i="2"/>
  <c r="AF15" i="2"/>
  <c r="W40" i="2"/>
  <c r="O61" i="2"/>
  <c r="H15" i="2"/>
  <c r="L34" i="2"/>
  <c r="AA51" i="2"/>
  <c r="AB40" i="2"/>
  <c r="U49" i="2"/>
  <c r="Q21" i="2"/>
  <c r="T9" i="2"/>
  <c r="W8" i="2"/>
  <c r="O82" i="2"/>
  <c r="H17" i="2"/>
  <c r="AE12" i="2"/>
  <c r="AE29" i="2"/>
  <c r="AD13" i="2"/>
  <c r="R34" i="2"/>
  <c r="R22" i="2"/>
  <c r="R12" i="2"/>
  <c r="R16" i="2"/>
  <c r="I31" i="2"/>
  <c r="I50" i="2"/>
  <c r="I52" i="2"/>
  <c r="G27" i="2"/>
  <c r="G18" i="2"/>
  <c r="G24" i="2"/>
  <c r="G21" i="2"/>
  <c r="P42" i="2"/>
  <c r="C38" i="2"/>
  <c r="C36" i="2"/>
  <c r="C24" i="2"/>
  <c r="C14" i="2"/>
  <c r="V41" i="2"/>
  <c r="AC38" i="2"/>
  <c r="AC26" i="2"/>
  <c r="AC30" i="2"/>
  <c r="AC18" i="2"/>
  <c r="AA41" i="2"/>
  <c r="AA36" i="2"/>
  <c r="AA61" i="2"/>
  <c r="AA49" i="2"/>
  <c r="O24" i="2"/>
  <c r="O34" i="2"/>
  <c r="O57" i="2"/>
  <c r="O8" i="2"/>
  <c r="K17" i="2"/>
  <c r="K7" i="2"/>
  <c r="K11" i="2"/>
  <c r="K40" i="2"/>
  <c r="U21" i="2"/>
  <c r="U7" i="2"/>
  <c r="U48" i="2"/>
  <c r="Q25" i="2"/>
  <c r="Q14" i="2"/>
  <c r="Q38" i="2"/>
  <c r="Q29" i="2"/>
  <c r="W31" i="2"/>
  <c r="W25" i="2"/>
  <c r="W21" i="2"/>
  <c r="W26" i="2"/>
  <c r="R7" i="2"/>
  <c r="E19" i="2"/>
  <c r="L20" i="2"/>
  <c r="AA44" i="2"/>
  <c r="AB44" i="2"/>
  <c r="U56" i="2"/>
  <c r="AF9" i="2"/>
  <c r="T11" i="2"/>
  <c r="W44" i="2"/>
  <c r="O38" i="2"/>
  <c r="H11" i="2"/>
  <c r="AE47" i="2"/>
  <c r="I51" i="2"/>
  <c r="C62" i="2"/>
  <c r="I71" i="2"/>
  <c r="U65" i="2"/>
  <c r="Z37" i="2"/>
  <c r="M72" i="2"/>
  <c r="H73" i="2"/>
  <c r="F71" i="2"/>
  <c r="AA50" i="2"/>
  <c r="C58" i="2"/>
  <c r="Z64" i="2"/>
  <c r="AF39" i="2"/>
  <c r="G73" i="2"/>
  <c r="G26" i="2"/>
  <c r="H55" i="2"/>
  <c r="S41" i="2"/>
  <c r="O53" i="2"/>
  <c r="N68" i="2"/>
  <c r="T59" i="2"/>
  <c r="L56" i="2"/>
  <c r="AD73" i="2"/>
  <c r="Z58" i="2"/>
  <c r="AD47" i="2"/>
  <c r="I53" i="2"/>
  <c r="H90" i="2"/>
  <c r="U79" i="2"/>
  <c r="I88" i="2"/>
  <c r="I91" i="2"/>
  <c r="C85" i="2"/>
  <c r="I58" i="2"/>
  <c r="I49" i="2"/>
  <c r="I82" i="2"/>
  <c r="I75" i="2"/>
  <c r="U86" i="2"/>
  <c r="U40" i="2"/>
  <c r="U69" i="2"/>
  <c r="U30" i="2"/>
  <c r="AA54" i="2"/>
  <c r="AA73" i="2"/>
  <c r="AA52" i="2"/>
  <c r="C48" i="2"/>
  <c r="C74" i="2"/>
  <c r="C56" i="2"/>
  <c r="Z50" i="2"/>
  <c r="Z35" i="2"/>
  <c r="Z66" i="2"/>
  <c r="AF71" i="2"/>
  <c r="AF67" i="2"/>
  <c r="H51" i="2"/>
  <c r="S51" i="2"/>
  <c r="S73" i="2"/>
  <c r="O52" i="2"/>
  <c r="AE55" i="2"/>
  <c r="L62" i="2"/>
  <c r="AD71" i="2"/>
  <c r="O66" i="2"/>
  <c r="I69" i="2"/>
  <c r="AA68" i="2"/>
  <c r="Z42" i="2"/>
  <c r="AF45" i="2"/>
  <c r="AF53" i="2"/>
  <c r="AF57" i="2"/>
  <c r="G69" i="2"/>
  <c r="S75" i="2"/>
  <c r="S43" i="2"/>
  <c r="O44" i="2"/>
  <c r="N62" i="2"/>
  <c r="AE45" i="2"/>
  <c r="L66" i="2"/>
  <c r="P90" i="2"/>
  <c r="AA66" i="2"/>
  <c r="AA40" i="2"/>
  <c r="C70" i="2"/>
  <c r="C83" i="2"/>
  <c r="C66" i="2"/>
  <c r="Z40" i="2"/>
  <c r="Z52" i="2"/>
  <c r="AF28" i="2"/>
  <c r="G41" i="2"/>
  <c r="H53" i="2"/>
  <c r="H67" i="2"/>
  <c r="S63" i="2"/>
  <c r="O65" i="2"/>
  <c r="AE75" i="2"/>
  <c r="M42" i="2"/>
  <c r="W12" i="2"/>
  <c r="C64" i="2"/>
  <c r="H47" i="2"/>
  <c r="C87" i="2"/>
  <c r="U67" i="2"/>
  <c r="I73" i="2"/>
  <c r="AA62" i="2"/>
  <c r="G90" i="2"/>
  <c r="S49" i="2"/>
  <c r="Z68" i="2"/>
  <c r="M56" i="2"/>
  <c r="U89" i="2"/>
  <c r="I79" i="2"/>
  <c r="C91" i="2"/>
  <c r="C89" i="2"/>
  <c r="I43" i="2"/>
  <c r="I57" i="2"/>
  <c r="I86" i="2"/>
  <c r="AE90" i="2"/>
  <c r="U73" i="2"/>
  <c r="U55" i="2"/>
  <c r="U81" i="2"/>
  <c r="U82" i="2"/>
  <c r="AA64" i="2"/>
  <c r="AA46" i="2"/>
  <c r="AA55" i="2"/>
  <c r="C68" i="2"/>
  <c r="C69" i="2"/>
  <c r="Z74" i="2"/>
  <c r="Z56" i="2"/>
  <c r="Z54" i="2"/>
  <c r="G8" i="2"/>
  <c r="G57" i="2"/>
  <c r="G43" i="2"/>
  <c r="H39" i="2"/>
  <c r="O37" i="2"/>
  <c r="R43" i="2"/>
  <c r="M64" i="2"/>
  <c r="X68" i="2"/>
  <c r="L50" i="2"/>
  <c r="I65" i="2"/>
  <c r="AA81" i="2"/>
  <c r="I55" i="2"/>
  <c r="U57" i="2"/>
  <c r="G71" i="2"/>
  <c r="R21" i="2"/>
  <c r="AF65" i="2"/>
  <c r="H28" i="2"/>
  <c r="S55" i="2"/>
  <c r="AF90" i="2"/>
  <c r="AA60" i="2"/>
  <c r="AA74" i="2"/>
  <c r="C72" i="2"/>
  <c r="C63" i="2"/>
  <c r="Z70" i="2"/>
  <c r="Z60" i="2"/>
  <c r="AF47" i="2"/>
  <c r="AF43" i="2"/>
  <c r="G49" i="2"/>
  <c r="H69" i="2"/>
  <c r="S36" i="2"/>
  <c r="S71" i="2"/>
  <c r="O86" i="2"/>
  <c r="O70" i="2"/>
  <c r="R73" i="2"/>
  <c r="Y46" i="2"/>
  <c r="X72" i="2"/>
  <c r="AA58" i="2"/>
  <c r="G51" i="2"/>
  <c r="I80" i="2"/>
  <c r="U61" i="2"/>
  <c r="C84" i="2"/>
  <c r="U36" i="2"/>
  <c r="AA72" i="2"/>
  <c r="AF73" i="2"/>
  <c r="O68" i="2"/>
  <c r="C82" i="2"/>
  <c r="N58" i="2"/>
  <c r="U91" i="2"/>
  <c r="U87" i="2"/>
  <c r="I85" i="2"/>
  <c r="C80" i="2"/>
  <c r="C88" i="2"/>
  <c r="I63" i="2"/>
  <c r="I38" i="2"/>
  <c r="I30" i="2"/>
  <c r="T90" i="2"/>
  <c r="U45" i="2"/>
  <c r="U71" i="2"/>
  <c r="U53" i="2"/>
  <c r="AA35" i="2"/>
  <c r="C51" i="2"/>
  <c r="Z44" i="2"/>
  <c r="G55" i="2"/>
  <c r="H26" i="2"/>
  <c r="H34" i="2"/>
  <c r="H43" i="2"/>
  <c r="N42" i="2"/>
  <c r="R39" i="2"/>
  <c r="Y7" i="2"/>
  <c r="X40" i="2"/>
  <c r="G63" i="2"/>
  <c r="I84" i="2"/>
  <c r="U34" i="2"/>
  <c r="I87" i="2"/>
  <c r="U51" i="2"/>
  <c r="C54" i="2"/>
  <c r="G67" i="2"/>
  <c r="AF55" i="2"/>
  <c r="W28" i="2"/>
  <c r="AA83" i="2"/>
  <c r="AA56" i="2"/>
  <c r="C50" i="2"/>
  <c r="C60" i="2"/>
  <c r="C81" i="2"/>
  <c r="Z81" i="2"/>
  <c r="Z46" i="2"/>
  <c r="Z48" i="2"/>
  <c r="AF69" i="2"/>
  <c r="AF59" i="2"/>
  <c r="G61" i="2"/>
  <c r="G45" i="2"/>
  <c r="S57" i="2"/>
  <c r="S59" i="2"/>
  <c r="O50" i="2"/>
  <c r="T45" i="2"/>
  <c r="F69" i="2"/>
  <c r="Y50" i="2"/>
  <c r="X42" i="2"/>
  <c r="C37" i="2"/>
  <c r="H49" i="2"/>
  <c r="U80" i="2"/>
  <c r="U75" i="2"/>
  <c r="U84" i="2"/>
  <c r="I67" i="2"/>
  <c r="AA70" i="2"/>
  <c r="AD90" i="2"/>
  <c r="W52" i="2"/>
  <c r="S61" i="2"/>
  <c r="U85" i="2"/>
  <c r="U88" i="2"/>
  <c r="I89" i="2"/>
  <c r="C79" i="2"/>
  <c r="I74" i="2"/>
  <c r="I42" i="2"/>
  <c r="I59" i="2"/>
  <c r="I61" i="2"/>
  <c r="S90" i="2"/>
  <c r="U59" i="2"/>
  <c r="U60" i="2"/>
  <c r="U63" i="2"/>
  <c r="AA37" i="2"/>
  <c r="AA86" i="2"/>
  <c r="C52" i="2"/>
  <c r="C40" i="2"/>
  <c r="Z38" i="2"/>
  <c r="Z31" i="2"/>
  <c r="AF41" i="2"/>
  <c r="H65" i="2"/>
  <c r="H59" i="2"/>
  <c r="H61" i="2"/>
  <c r="S47" i="2"/>
  <c r="T43" i="2"/>
  <c r="R61" i="2"/>
  <c r="AD31" i="2"/>
  <c r="Q31" i="2"/>
  <c r="O83" i="2"/>
  <c r="N50" i="2"/>
  <c r="N37" i="2"/>
  <c r="N66" i="2"/>
  <c r="N46" i="2"/>
  <c r="T51" i="2"/>
  <c r="T41" i="2"/>
  <c r="T36" i="2"/>
  <c r="T63" i="2"/>
  <c r="AE8" i="2"/>
  <c r="AE49" i="2"/>
  <c r="AE61" i="2"/>
  <c r="R75" i="2"/>
  <c r="R57" i="2"/>
  <c r="F63" i="2"/>
  <c r="R45" i="2"/>
  <c r="R59" i="2"/>
  <c r="F75" i="2"/>
  <c r="R71" i="2"/>
  <c r="F47" i="2"/>
  <c r="L54" i="2"/>
  <c r="L9" i="2"/>
  <c r="L64" i="2"/>
  <c r="M48" i="2"/>
  <c r="M62" i="2"/>
  <c r="M46" i="2"/>
  <c r="M9" i="2"/>
  <c r="Y70" i="2"/>
  <c r="Y40" i="2"/>
  <c r="Y9" i="2"/>
  <c r="Y68" i="2"/>
  <c r="AD35" i="2"/>
  <c r="AD57" i="2"/>
  <c r="AD63" i="2"/>
  <c r="AD43" i="2"/>
  <c r="W46" i="2"/>
  <c r="W24" i="2"/>
  <c r="W58" i="2"/>
  <c r="W34" i="2"/>
  <c r="X62" i="2"/>
  <c r="X58" i="2"/>
  <c r="X16" i="2"/>
  <c r="D90" i="2"/>
  <c r="Q11" i="2"/>
  <c r="Q19" i="2"/>
  <c r="Q67" i="2"/>
  <c r="E49" i="2"/>
  <c r="E17" i="2"/>
  <c r="E69" i="2"/>
  <c r="E31" i="2"/>
  <c r="AC39" i="2"/>
  <c r="AC53" i="2"/>
  <c r="AC73" i="2"/>
  <c r="AC36" i="2"/>
  <c r="AB25" i="2"/>
  <c r="AB61" i="2"/>
  <c r="AB59" i="2"/>
  <c r="O60" i="2"/>
  <c r="O69" i="2"/>
  <c r="N40" i="2"/>
  <c r="N44" i="2"/>
  <c r="N31" i="2"/>
  <c r="N72" i="2"/>
  <c r="T34" i="2"/>
  <c r="T55" i="2"/>
  <c r="T47" i="2"/>
  <c r="T69" i="2"/>
  <c r="AE41" i="2"/>
  <c r="AE43" i="2"/>
  <c r="AE36" i="2"/>
  <c r="F51" i="2"/>
  <c r="F53" i="2"/>
  <c r="R9" i="2"/>
  <c r="R49" i="2"/>
  <c r="R47" i="2"/>
  <c r="R69" i="2"/>
  <c r="F49" i="2"/>
  <c r="F11" i="2"/>
  <c r="L24" i="2"/>
  <c r="L12" i="2"/>
  <c r="L44" i="2"/>
  <c r="M70" i="2"/>
  <c r="M60" i="2"/>
  <c r="M68" i="2"/>
  <c r="M66" i="2"/>
  <c r="Y44" i="2"/>
  <c r="Y62" i="2"/>
  <c r="Y64" i="2"/>
  <c r="Y56" i="2"/>
  <c r="AD65" i="2"/>
  <c r="AD41" i="2"/>
  <c r="AD19" i="2"/>
  <c r="E90" i="2"/>
  <c r="W72" i="2"/>
  <c r="W60" i="2"/>
  <c r="W68" i="2"/>
  <c r="W66" i="2"/>
  <c r="X24" i="2"/>
  <c r="X52" i="2"/>
  <c r="X66" i="2"/>
  <c r="Q15" i="2"/>
  <c r="Q7" i="2"/>
  <c r="Q51" i="2"/>
  <c r="Q65" i="2"/>
  <c r="E40" i="2"/>
  <c r="E9" i="2"/>
  <c r="E71" i="2"/>
  <c r="E65" i="2"/>
  <c r="AC23" i="2"/>
  <c r="AC11" i="2"/>
  <c r="AC43" i="2"/>
  <c r="AC27" i="2"/>
  <c r="AB53" i="2"/>
  <c r="AB51" i="2"/>
  <c r="AB37" i="2"/>
  <c r="O35" i="2"/>
  <c r="N60" i="2"/>
  <c r="N74" i="2"/>
  <c r="N48" i="2"/>
  <c r="N38" i="2"/>
  <c r="T75" i="2"/>
  <c r="T71" i="2"/>
  <c r="T39" i="2"/>
  <c r="AE65" i="2"/>
  <c r="AE73" i="2"/>
  <c r="AE39" i="2"/>
  <c r="AE10" i="2"/>
  <c r="R41" i="2"/>
  <c r="F15" i="2"/>
  <c r="R67" i="2"/>
  <c r="F65" i="2"/>
  <c r="R63" i="2"/>
  <c r="F73" i="2"/>
  <c r="F43" i="2"/>
  <c r="L70" i="2"/>
  <c r="L68" i="2"/>
  <c r="L52" i="2"/>
  <c r="L48" i="2"/>
  <c r="M35" i="2"/>
  <c r="M50" i="2"/>
  <c r="M37" i="2"/>
  <c r="M54" i="2"/>
  <c r="Y48" i="2"/>
  <c r="Y42" i="2"/>
  <c r="Y37" i="2"/>
  <c r="AC90" i="2"/>
  <c r="AD53" i="2"/>
  <c r="AD67" i="2"/>
  <c r="AD55" i="2"/>
  <c r="Q90" i="2"/>
  <c r="W70" i="2"/>
  <c r="W38" i="2"/>
  <c r="W36" i="2"/>
  <c r="X56" i="2"/>
  <c r="X70" i="2"/>
  <c r="X81" i="2"/>
  <c r="X60" i="2"/>
  <c r="Q34" i="2"/>
  <c r="Q41" i="2"/>
  <c r="Q27" i="2"/>
  <c r="Q23" i="2"/>
  <c r="E23" i="2"/>
  <c r="E42" i="2"/>
  <c r="E7" i="2"/>
  <c r="E21" i="2"/>
  <c r="AC19" i="2"/>
  <c r="AC55" i="2"/>
  <c r="AC69" i="2"/>
  <c r="AB45" i="2"/>
  <c r="AB15" i="2"/>
  <c r="AB17" i="2"/>
  <c r="AB35" i="2"/>
  <c r="Q53" i="2"/>
  <c r="Q69" i="2"/>
  <c r="Q57" i="2"/>
  <c r="E63" i="2"/>
  <c r="E39" i="2"/>
  <c r="E37" i="2"/>
  <c r="E67" i="2"/>
  <c r="AC67" i="2"/>
  <c r="AC15" i="2"/>
  <c r="AC35" i="2"/>
  <c r="AB49" i="2"/>
  <c r="AB23" i="2"/>
  <c r="AB29" i="2"/>
  <c r="AB65" i="2"/>
  <c r="AF49" i="2"/>
  <c r="AF34" i="2"/>
  <c r="AF30" i="2"/>
  <c r="AF63" i="2"/>
  <c r="G38" i="2"/>
  <c r="G47" i="2"/>
  <c r="G65" i="2"/>
  <c r="G59" i="2"/>
  <c r="H57" i="2"/>
  <c r="H63" i="2"/>
  <c r="H41" i="2"/>
  <c r="S67" i="2"/>
  <c r="S45" i="2"/>
  <c r="S65" i="2"/>
  <c r="S34" i="2"/>
  <c r="O72" i="2"/>
  <c r="O58" i="2"/>
  <c r="O64" i="2"/>
  <c r="O54" i="2"/>
  <c r="N54" i="2"/>
  <c r="N70" i="2"/>
  <c r="N52" i="2"/>
  <c r="T67" i="2"/>
  <c r="T49" i="2"/>
  <c r="T65" i="2"/>
  <c r="T30" i="2"/>
  <c r="AE51" i="2"/>
  <c r="AE53" i="2"/>
  <c r="AE67" i="2"/>
  <c r="AE57" i="2"/>
  <c r="R53" i="2"/>
  <c r="R51" i="2"/>
  <c r="F61" i="2"/>
  <c r="F57" i="2"/>
  <c r="F8" i="2"/>
  <c r="R65" i="2"/>
  <c r="F39" i="2"/>
  <c r="L60" i="2"/>
  <c r="L40" i="2"/>
  <c r="L58" i="2"/>
  <c r="L72" i="2"/>
  <c r="M58" i="2"/>
  <c r="M31" i="2"/>
  <c r="M44" i="2"/>
  <c r="Y72" i="2"/>
  <c r="Y58" i="2"/>
  <c r="Y74" i="2"/>
  <c r="Y60" i="2"/>
  <c r="AD49" i="2"/>
  <c r="AD45" i="2"/>
  <c r="AD37" i="2"/>
  <c r="AD82" i="2"/>
  <c r="W50" i="2"/>
  <c r="W37" i="2"/>
  <c r="W48" i="2"/>
  <c r="W42" i="2"/>
  <c r="X44" i="2"/>
  <c r="X64" i="2"/>
  <c r="X12" i="2"/>
  <c r="X50" i="2"/>
  <c r="Q45" i="2"/>
  <c r="Q40" i="2"/>
  <c r="Q39" i="2"/>
  <c r="Q71" i="2"/>
  <c r="E43" i="2"/>
  <c r="E51" i="2"/>
  <c r="E55" i="2"/>
  <c r="AC47" i="2"/>
  <c r="AC57" i="2"/>
  <c r="AC34" i="2"/>
  <c r="AC71" i="2"/>
  <c r="AB57" i="2"/>
  <c r="AB55" i="2"/>
  <c r="AB21" i="2"/>
  <c r="AB31" i="2"/>
  <c r="Z62" i="2"/>
  <c r="AF75" i="2"/>
  <c r="AF51" i="2"/>
  <c r="AF61" i="2"/>
  <c r="R90" i="2"/>
  <c r="G30" i="2"/>
  <c r="G36" i="2"/>
  <c r="G53" i="2"/>
  <c r="F90" i="2"/>
  <c r="H75" i="2"/>
  <c r="H45" i="2"/>
  <c r="H71" i="2"/>
  <c r="S39" i="2"/>
  <c r="S53" i="2"/>
  <c r="S10" i="2"/>
  <c r="S69" i="2"/>
  <c r="O81" i="2"/>
  <c r="O74" i="2"/>
  <c r="O62" i="2"/>
  <c r="O56" i="2"/>
  <c r="N35" i="2"/>
  <c r="N64" i="2"/>
  <c r="N56" i="2"/>
  <c r="T53" i="2"/>
  <c r="T73" i="2"/>
  <c r="T61" i="2"/>
  <c r="T57" i="2"/>
  <c r="AE71" i="2"/>
  <c r="AE69" i="2"/>
  <c r="AE63" i="2"/>
  <c r="AE59" i="2"/>
  <c r="R55" i="2"/>
  <c r="F55" i="2"/>
  <c r="F41" i="2"/>
  <c r="F45" i="2"/>
  <c r="F59" i="2"/>
  <c r="R35" i="2"/>
  <c r="F67" i="2"/>
  <c r="L46" i="2"/>
  <c r="L74" i="2"/>
  <c r="L7" i="2"/>
  <c r="L42" i="2"/>
  <c r="M7" i="2"/>
  <c r="M74" i="2"/>
  <c r="M52" i="2"/>
  <c r="Y66" i="2"/>
  <c r="Y52" i="2"/>
  <c r="Y54" i="2"/>
  <c r="Y31" i="2"/>
  <c r="AD59" i="2"/>
  <c r="AD51" i="2"/>
  <c r="AD61" i="2"/>
  <c r="AD69" i="2"/>
  <c r="W62" i="2"/>
  <c r="W20" i="2"/>
  <c r="W16" i="2"/>
  <c r="W64" i="2"/>
  <c r="X48" i="2"/>
  <c r="X36" i="2"/>
  <c r="X54" i="2"/>
  <c r="X46" i="2"/>
  <c r="Q13" i="2"/>
  <c r="Q55" i="2"/>
  <c r="Q63" i="2"/>
  <c r="AB90" i="2"/>
  <c r="E27" i="2"/>
  <c r="E11" i="2"/>
  <c r="E53" i="2"/>
  <c r="AC31" i="2"/>
  <c r="AC59" i="2"/>
  <c r="AC28" i="2"/>
  <c r="AC7" i="2"/>
  <c r="AB47" i="2"/>
  <c r="AB19" i="2"/>
  <c r="AB43" i="2"/>
  <c r="AB63" i="2"/>
  <c r="X61" i="2"/>
  <c r="X49" i="2"/>
  <c r="X69" i="2"/>
  <c r="Q54" i="2"/>
  <c r="Q73" i="2"/>
  <c r="Q89" i="2"/>
  <c r="Q85" i="2"/>
  <c r="X83" i="2"/>
  <c r="Q68" i="2"/>
  <c r="AC87" i="2"/>
  <c r="D87" i="2"/>
  <c r="AC79" i="2"/>
  <c r="P80" i="2"/>
  <c r="E84" i="2"/>
  <c r="AD62" i="2"/>
  <c r="AB79" i="2"/>
  <c r="W53" i="2"/>
  <c r="E79" i="2"/>
  <c r="Q56" i="2"/>
  <c r="AD58" i="2"/>
  <c r="E50" i="2"/>
  <c r="K83" i="2"/>
  <c r="W83" i="2"/>
  <c r="D67" i="2"/>
  <c r="X63" i="2"/>
  <c r="Q86" i="2"/>
  <c r="AD46" i="2"/>
  <c r="V87" i="2"/>
  <c r="K59" i="2"/>
  <c r="X51" i="2"/>
  <c r="D89" i="2"/>
  <c r="X73" i="2"/>
  <c r="Q44" i="2"/>
  <c r="P89" i="2"/>
  <c r="R60" i="2"/>
  <c r="E52" i="2"/>
  <c r="J88" i="2"/>
  <c r="F56" i="2"/>
  <c r="AC80" i="2"/>
  <c r="X55" i="2"/>
  <c r="R74" i="2"/>
  <c r="K71" i="2"/>
  <c r="F52" i="2"/>
  <c r="O88" i="2"/>
  <c r="J67" i="2"/>
  <c r="J66" i="2"/>
  <c r="D58" i="2"/>
  <c r="D68" i="2"/>
  <c r="AA84" i="2"/>
  <c r="AA85" i="2"/>
  <c r="P62" i="2"/>
  <c r="P72" i="2"/>
  <c r="AC64" i="2"/>
  <c r="AC72" i="2"/>
  <c r="AC52" i="2"/>
  <c r="AC81" i="2"/>
  <c r="V63" i="2"/>
  <c r="V65" i="2"/>
  <c r="V83" i="2"/>
  <c r="V73" i="2"/>
  <c r="AB66" i="2"/>
  <c r="AB81" i="2"/>
  <c r="AB68" i="2"/>
  <c r="V80" i="2"/>
  <c r="K86" i="2"/>
  <c r="F48" i="2"/>
  <c r="J71" i="2"/>
  <c r="J75" i="2"/>
  <c r="D81" i="2"/>
  <c r="P54" i="2"/>
  <c r="R46" i="2"/>
  <c r="AD44" i="2"/>
  <c r="F64" i="2"/>
  <c r="J68" i="2"/>
  <c r="P70" i="2"/>
  <c r="P61" i="2"/>
  <c r="AC70" i="2"/>
  <c r="AC62" i="2"/>
  <c r="AC42" i="2"/>
  <c r="AC56" i="2"/>
  <c r="V75" i="2"/>
  <c r="V51" i="2"/>
  <c r="V70" i="2"/>
  <c r="U90" i="2"/>
  <c r="AB73" i="2"/>
  <c r="AB52" i="2"/>
  <c r="AB62" i="2"/>
  <c r="R54" i="2"/>
  <c r="D85" i="2"/>
  <c r="D74" i="2"/>
  <c r="K82" i="2"/>
  <c r="R72" i="2"/>
  <c r="J61" i="2"/>
  <c r="D80" i="2"/>
  <c r="E54" i="2"/>
  <c r="K49" i="2"/>
  <c r="F50" i="2"/>
  <c r="I90" i="2"/>
  <c r="W74" i="2"/>
  <c r="W57" i="2"/>
  <c r="O84" i="2"/>
  <c r="J57" i="2"/>
  <c r="J82" i="2"/>
  <c r="D50" i="2"/>
  <c r="D52" i="2"/>
  <c r="D62" i="2"/>
  <c r="AA88" i="2"/>
  <c r="P64" i="2"/>
  <c r="P74" i="2"/>
  <c r="P58" i="2"/>
  <c r="P60" i="2"/>
  <c r="AC83" i="2"/>
  <c r="AC46" i="2"/>
  <c r="AC44" i="2"/>
  <c r="AC60" i="2"/>
  <c r="V57" i="2"/>
  <c r="V81" i="2"/>
  <c r="V67" i="2"/>
  <c r="AB60" i="2"/>
  <c r="AB54" i="2"/>
  <c r="AB50" i="2"/>
  <c r="AB64" i="2"/>
  <c r="K73" i="2"/>
  <c r="R58" i="2"/>
  <c r="J63" i="2"/>
  <c r="P85" i="2"/>
  <c r="E82" i="2"/>
  <c r="K45" i="2"/>
  <c r="F74" i="2"/>
  <c r="W75" i="2"/>
  <c r="O89" i="2"/>
  <c r="J51" i="2"/>
  <c r="D71" i="2"/>
  <c r="AD60" i="2"/>
  <c r="E83" i="2"/>
  <c r="F62" i="2"/>
  <c r="E87" i="2"/>
  <c r="Q48" i="2"/>
  <c r="AD68" i="2"/>
  <c r="E64" i="2"/>
  <c r="K51" i="2"/>
  <c r="W81" i="2"/>
  <c r="AA87" i="2"/>
  <c r="E88" i="2"/>
  <c r="Q66" i="2"/>
  <c r="R68" i="2"/>
  <c r="J91" i="2"/>
  <c r="E91" i="2"/>
  <c r="Q58" i="2"/>
  <c r="D79" i="2"/>
  <c r="AD83" i="2"/>
  <c r="AD56" i="2"/>
  <c r="R50" i="2"/>
  <c r="V88" i="2"/>
  <c r="V79" i="2"/>
  <c r="E72" i="2"/>
  <c r="AB88" i="2"/>
  <c r="K75" i="2"/>
  <c r="K81" i="2"/>
  <c r="K43" i="2"/>
  <c r="F46" i="2"/>
  <c r="F86" i="2"/>
  <c r="W71" i="2"/>
  <c r="W45" i="2"/>
  <c r="W43" i="2"/>
  <c r="W63" i="2"/>
  <c r="O79" i="2"/>
  <c r="J69" i="2"/>
  <c r="J53" i="2"/>
  <c r="J59" i="2"/>
  <c r="J55" i="2"/>
  <c r="D66" i="2"/>
  <c r="D73" i="2"/>
  <c r="D72" i="2"/>
  <c r="D56" i="2"/>
  <c r="AA80" i="2"/>
  <c r="AA79" i="2"/>
  <c r="P50" i="2"/>
  <c r="P73" i="2"/>
  <c r="P68" i="2"/>
  <c r="AC86" i="2"/>
  <c r="AC68" i="2"/>
  <c r="AC54" i="2"/>
  <c r="V49" i="2"/>
  <c r="V74" i="2"/>
  <c r="V68" i="2"/>
  <c r="V55" i="2"/>
  <c r="AB70" i="2"/>
  <c r="AB67" i="2"/>
  <c r="AB58" i="2"/>
  <c r="AB69" i="2"/>
  <c r="AD48" i="2"/>
  <c r="E68" i="2"/>
  <c r="F66" i="2"/>
  <c r="X65" i="2"/>
  <c r="Q80" i="2"/>
  <c r="R64" i="2"/>
  <c r="E44" i="2"/>
  <c r="K65" i="2"/>
  <c r="W73" i="2"/>
  <c r="D54" i="2"/>
  <c r="X71" i="2"/>
  <c r="Q91" i="2"/>
  <c r="R86" i="2"/>
  <c r="AB84" i="2"/>
  <c r="X57" i="2"/>
  <c r="Q72" i="2"/>
  <c r="P88" i="2"/>
  <c r="AD70" i="2"/>
  <c r="AD42" i="2"/>
  <c r="R52" i="2"/>
  <c r="R62" i="2"/>
  <c r="E62" i="2"/>
  <c r="E56" i="2"/>
  <c r="AB91" i="2"/>
  <c r="J87" i="2"/>
  <c r="K69" i="2"/>
  <c r="F54" i="2"/>
  <c r="R81" i="2"/>
  <c r="J89" i="2"/>
  <c r="W69" i="2"/>
  <c r="X45" i="2"/>
  <c r="Q75" i="2"/>
  <c r="AD86" i="2"/>
  <c r="E46" i="2"/>
  <c r="K63" i="2"/>
  <c r="F81" i="2"/>
  <c r="O87" i="2"/>
  <c r="D75" i="2"/>
  <c r="AC88" i="2"/>
  <c r="Q50" i="2"/>
  <c r="AD54" i="2"/>
  <c r="V84" i="2"/>
  <c r="F70" i="2"/>
  <c r="X67" i="2"/>
  <c r="Q70" i="2"/>
  <c r="E80" i="2"/>
  <c r="X43" i="2"/>
  <c r="Q83" i="2"/>
  <c r="D91" i="2"/>
  <c r="AD66" i="2"/>
  <c r="R44" i="2"/>
  <c r="V91" i="2"/>
  <c r="E70" i="2"/>
  <c r="K47" i="2"/>
  <c r="K57" i="2"/>
  <c r="F40" i="2"/>
  <c r="F68" i="2"/>
  <c r="W51" i="2"/>
  <c r="W65" i="2"/>
  <c r="W82" i="2"/>
  <c r="O85" i="2"/>
  <c r="J86" i="2"/>
  <c r="J65" i="2"/>
  <c r="J72" i="2"/>
  <c r="J83" i="2"/>
  <c r="D70" i="2"/>
  <c r="D64" i="2"/>
  <c r="D83" i="2"/>
  <c r="D86" i="2"/>
  <c r="AA91" i="2"/>
  <c r="P82" i="2"/>
  <c r="P65" i="2"/>
  <c r="P83" i="2"/>
  <c r="P56" i="2"/>
  <c r="AC75" i="2"/>
  <c r="AC50" i="2"/>
  <c r="AC82" i="2"/>
  <c r="V59" i="2"/>
  <c r="V69" i="2"/>
  <c r="V82" i="2"/>
  <c r="V61" i="2"/>
  <c r="AB75" i="2"/>
  <c r="AB86" i="2"/>
  <c r="AB83" i="2"/>
  <c r="AB82" i="2"/>
  <c r="E60" i="2"/>
  <c r="W67" i="2"/>
  <c r="X47" i="2"/>
  <c r="Q79" i="2"/>
  <c r="R83" i="2"/>
  <c r="J79" i="2"/>
  <c r="F42" i="2"/>
  <c r="P52" i="2"/>
  <c r="X41" i="2"/>
  <c r="D88" i="2"/>
  <c r="AD74" i="2"/>
  <c r="E48" i="2"/>
  <c r="K67" i="2"/>
  <c r="X59" i="2"/>
  <c r="Q84" i="2"/>
  <c r="X82" i="2"/>
  <c r="Q64" i="2"/>
  <c r="Q88" i="2"/>
  <c r="AD81" i="2"/>
  <c r="R40" i="2"/>
  <c r="E86" i="2"/>
  <c r="AB87" i="2"/>
  <c r="K72" i="2"/>
  <c r="W61" i="2"/>
  <c r="AD40" i="2"/>
  <c r="E81" i="2"/>
  <c r="W47" i="2"/>
  <c r="AC85" i="2"/>
  <c r="J90" i="2"/>
  <c r="P91" i="2"/>
  <c r="V85" i="2"/>
  <c r="AB89" i="2"/>
  <c r="F82" i="2"/>
  <c r="O80" i="2"/>
  <c r="P81" i="2"/>
  <c r="E85" i="2"/>
  <c r="Q82" i="2"/>
  <c r="AD75" i="2"/>
  <c r="R82" i="2"/>
  <c r="AB85" i="2"/>
  <c r="AC89" i="2"/>
  <c r="Q46" i="2"/>
  <c r="AC84" i="2"/>
  <c r="X86" i="2"/>
  <c r="Q60" i="2"/>
  <c r="P79" i="2"/>
  <c r="AD72" i="2"/>
  <c r="R42" i="2"/>
  <c r="E73" i="2"/>
  <c r="J84" i="2"/>
  <c r="F58" i="2"/>
  <c r="AC91" i="2"/>
  <c r="E89" i="2"/>
  <c r="X74" i="2"/>
  <c r="X53" i="2"/>
  <c r="X75" i="2"/>
  <c r="Q62" i="2"/>
  <c r="Q52" i="2"/>
  <c r="Q81" i="2"/>
  <c r="Q74" i="2"/>
  <c r="Q87" i="2"/>
  <c r="D84" i="2"/>
  <c r="P84" i="2"/>
  <c r="P87" i="2"/>
  <c r="AD50" i="2"/>
  <c r="AD52" i="2"/>
  <c r="AD64" i="2"/>
  <c r="R66" i="2"/>
  <c r="R56" i="2"/>
  <c r="R48" i="2"/>
  <c r="R70" i="2"/>
  <c r="V89" i="2"/>
  <c r="E66" i="2"/>
  <c r="E75" i="2"/>
  <c r="E58" i="2"/>
  <c r="E74" i="2"/>
  <c r="AB80" i="2"/>
  <c r="J80" i="2"/>
  <c r="J85" i="2"/>
  <c r="K53" i="2"/>
  <c r="K61" i="2"/>
  <c r="K55" i="2"/>
  <c r="F72" i="2"/>
  <c r="F83" i="2"/>
  <c r="F44" i="2"/>
  <c r="F60" i="2"/>
  <c r="W55" i="2"/>
  <c r="W86" i="2"/>
  <c r="W49" i="2"/>
  <c r="W59" i="2"/>
  <c r="O91" i="2"/>
  <c r="J73" i="2"/>
  <c r="J74" i="2"/>
  <c r="J70" i="2"/>
  <c r="J81" i="2"/>
  <c r="D82" i="2"/>
  <c r="D69" i="2"/>
  <c r="D60" i="2"/>
  <c r="AA89" i="2"/>
  <c r="P66" i="2"/>
  <c r="P71" i="2"/>
  <c r="P75" i="2"/>
  <c r="P86" i="2"/>
  <c r="AC58" i="2"/>
  <c r="AC74" i="2"/>
  <c r="AC66" i="2"/>
  <c r="AC48" i="2"/>
  <c r="V53" i="2"/>
  <c r="V71" i="2"/>
  <c r="V86" i="2"/>
  <c r="V72" i="2"/>
  <c r="AB74" i="2"/>
  <c r="AB56" i="2"/>
  <c r="AB72" i="2"/>
  <c r="AB71" i="2"/>
  <c r="AE48" i="2"/>
  <c r="T81" i="2"/>
  <c r="L88" i="2"/>
  <c r="F88" i="2"/>
  <c r="N61" i="2"/>
  <c r="Y85" i="2"/>
  <c r="M57" i="2"/>
  <c r="L91" i="2"/>
  <c r="W90" i="2"/>
  <c r="AF66" i="2"/>
  <c r="AE64" i="2"/>
  <c r="T66" i="2"/>
  <c r="AF46" i="2"/>
  <c r="AF58" i="2"/>
  <c r="F91" i="2"/>
  <c r="AE50" i="2"/>
  <c r="N49" i="2"/>
  <c r="T52" i="2"/>
  <c r="T40" i="2"/>
  <c r="Y84" i="2"/>
  <c r="M63" i="2"/>
  <c r="X87" i="2"/>
  <c r="G68" i="2"/>
  <c r="L89" i="2"/>
  <c r="H48" i="2"/>
  <c r="AF74" i="2"/>
  <c r="AE62" i="2"/>
  <c r="M45" i="2"/>
  <c r="H60" i="2"/>
  <c r="H46" i="2"/>
  <c r="H83" i="2"/>
  <c r="V90" i="2"/>
  <c r="K85" i="2"/>
  <c r="W89" i="2"/>
  <c r="AF68" i="2"/>
  <c r="M47" i="2"/>
  <c r="F80" i="2"/>
  <c r="T46" i="2"/>
  <c r="G86" i="2"/>
  <c r="N86" i="2"/>
  <c r="G64" i="2"/>
  <c r="K84" i="2"/>
  <c r="W80" i="2"/>
  <c r="AE86" i="2"/>
  <c r="N53" i="2"/>
  <c r="G50" i="2"/>
  <c r="T54" i="2"/>
  <c r="AE40" i="2"/>
  <c r="AE68" i="2"/>
  <c r="AF42" i="2"/>
  <c r="AF83" i="2"/>
  <c r="N47" i="2"/>
  <c r="Y89" i="2"/>
  <c r="G81" i="2"/>
  <c r="AF86" i="2"/>
  <c r="AE56" i="2"/>
  <c r="T70" i="2"/>
  <c r="M43" i="2"/>
  <c r="G66" i="2"/>
  <c r="H74" i="2"/>
  <c r="AF81" i="2"/>
  <c r="N67" i="2"/>
  <c r="T58" i="2"/>
  <c r="Y80" i="2"/>
  <c r="M73" i="2"/>
  <c r="M86" i="2"/>
  <c r="G54" i="2"/>
  <c r="G46" i="2"/>
  <c r="H54" i="2"/>
  <c r="H64" i="2"/>
  <c r="K88" i="2"/>
  <c r="W85" i="2"/>
  <c r="AF44" i="2"/>
  <c r="AF70" i="2"/>
  <c r="F87" i="2"/>
  <c r="AE52" i="2"/>
  <c r="AE54" i="2"/>
  <c r="AE42" i="2"/>
  <c r="N82" i="2"/>
  <c r="N43" i="2"/>
  <c r="N73" i="2"/>
  <c r="N55" i="2"/>
  <c r="T60" i="2"/>
  <c r="T64" i="2"/>
  <c r="T68" i="2"/>
  <c r="T74" i="2"/>
  <c r="Y87" i="2"/>
  <c r="M61" i="2"/>
  <c r="M81" i="2"/>
  <c r="M59" i="2"/>
  <c r="M71" i="2"/>
  <c r="G83" i="2"/>
  <c r="X80" i="2"/>
  <c r="G58" i="2"/>
  <c r="G62" i="2"/>
  <c r="G75" i="2"/>
  <c r="L85" i="2"/>
  <c r="H44" i="2"/>
  <c r="H70" i="2"/>
  <c r="H50" i="2"/>
  <c r="H42" i="2"/>
  <c r="K87" i="2"/>
  <c r="K80" i="2"/>
  <c r="W79" i="2"/>
  <c r="AF72" i="2"/>
  <c r="N65" i="2"/>
  <c r="Y88" i="2"/>
  <c r="G74" i="2"/>
  <c r="AF82" i="2"/>
  <c r="N81" i="2"/>
  <c r="T44" i="2"/>
  <c r="M51" i="2"/>
  <c r="G42" i="2"/>
  <c r="H40" i="2"/>
  <c r="F89" i="2"/>
  <c r="N69" i="2"/>
  <c r="T62" i="2"/>
  <c r="M49" i="2"/>
  <c r="M65" i="2"/>
  <c r="X84" i="2"/>
  <c r="G72" i="2"/>
  <c r="G70" i="2"/>
  <c r="L87" i="2"/>
  <c r="H68" i="2"/>
  <c r="H81" i="2"/>
  <c r="K91" i="2"/>
  <c r="AF52" i="2"/>
  <c r="F79" i="2"/>
  <c r="X89" i="2"/>
  <c r="AE44" i="2"/>
  <c r="G52" i="2"/>
  <c r="N83" i="2"/>
  <c r="AE58" i="2"/>
  <c r="T50" i="2"/>
  <c r="X85" i="2"/>
  <c r="H86" i="2"/>
  <c r="H82" i="2"/>
  <c r="K79" i="2"/>
  <c r="W88" i="2"/>
  <c r="W84" i="2"/>
  <c r="AF54" i="2"/>
  <c r="M83" i="2"/>
  <c r="AE82" i="2"/>
  <c r="X91" i="2"/>
  <c r="AE72" i="2"/>
  <c r="AF40" i="2"/>
  <c r="N59" i="2"/>
  <c r="M69" i="2"/>
  <c r="N41" i="2"/>
  <c r="T42" i="2"/>
  <c r="L79" i="2"/>
  <c r="AF56" i="2"/>
  <c r="AE46" i="2"/>
  <c r="T48" i="2"/>
  <c r="M67" i="2"/>
  <c r="H66" i="2"/>
  <c r="H56" i="2"/>
  <c r="AF64" i="2"/>
  <c r="AF60" i="2"/>
  <c r="AE70" i="2"/>
  <c r="T86" i="2"/>
  <c r="F84" i="2"/>
  <c r="AE60" i="2"/>
  <c r="N71" i="2"/>
  <c r="N45" i="2"/>
  <c r="T56" i="2"/>
  <c r="M55" i="2"/>
  <c r="M82" i="2"/>
  <c r="G44" i="2"/>
  <c r="G48" i="2"/>
  <c r="H72" i="2"/>
  <c r="AF48" i="2"/>
  <c r="AF50" i="2"/>
  <c r="AF62" i="2"/>
  <c r="F85" i="2"/>
  <c r="AE81" i="2"/>
  <c r="AE74" i="2"/>
  <c r="AE66" i="2"/>
  <c r="AE83" i="2"/>
  <c r="N51" i="2"/>
  <c r="N75" i="2"/>
  <c r="N63" i="2"/>
  <c r="N57" i="2"/>
  <c r="T82" i="2"/>
  <c r="T72" i="2"/>
  <c r="T83" i="2"/>
  <c r="Y79" i="2"/>
  <c r="Y91" i="2"/>
  <c r="M75" i="2"/>
  <c r="M53" i="2"/>
  <c r="M41" i="2"/>
  <c r="X79" i="2"/>
  <c r="X88" i="2"/>
  <c r="G82" i="2"/>
  <c r="G60" i="2"/>
  <c r="G56" i="2"/>
  <c r="L84" i="2"/>
  <c r="L80" i="2"/>
  <c r="H62" i="2"/>
  <c r="H52" i="2"/>
  <c r="H58" i="2"/>
  <c r="K90" i="2"/>
  <c r="K89" i="2"/>
  <c r="W91" i="2"/>
  <c r="W87" i="2"/>
  <c r="L41" i="2"/>
  <c r="L86" i="2"/>
  <c r="L59" i="2"/>
  <c r="H89" i="2"/>
  <c r="S64" i="2"/>
  <c r="L71" i="2"/>
  <c r="Z79" i="2"/>
  <c r="S62" i="2"/>
  <c r="S91" i="2"/>
  <c r="R88" i="2"/>
  <c r="N87" i="2"/>
  <c r="Y45" i="2"/>
  <c r="S81" i="2"/>
  <c r="AD80" i="2"/>
  <c r="Z80" i="2"/>
  <c r="N89" i="2"/>
  <c r="S83" i="2"/>
  <c r="Y63" i="2"/>
  <c r="M85" i="2"/>
  <c r="Z85" i="2"/>
  <c r="S42" i="2"/>
  <c r="AF91" i="2"/>
  <c r="M79" i="2"/>
  <c r="L83" i="2"/>
  <c r="AF89" i="2"/>
  <c r="G80" i="2"/>
  <c r="Z75" i="2"/>
  <c r="S79" i="2"/>
  <c r="S52" i="2"/>
  <c r="L47" i="2"/>
  <c r="Y71" i="2"/>
  <c r="G91" i="2"/>
  <c r="Z49" i="2"/>
  <c r="Z87" i="2"/>
  <c r="S80" i="2"/>
  <c r="S50" i="2"/>
  <c r="S74" i="2"/>
  <c r="L81" i="2"/>
  <c r="AE79" i="2"/>
  <c r="Y51" i="2"/>
  <c r="G84" i="2"/>
  <c r="Z43" i="2"/>
  <c r="Z88" i="2"/>
  <c r="AD79" i="2"/>
  <c r="S72" i="2"/>
  <c r="L51" i="2"/>
  <c r="AF85" i="2"/>
  <c r="Y53" i="2"/>
  <c r="T89" i="2"/>
  <c r="M87" i="2"/>
  <c r="Z45" i="2"/>
  <c r="AF87" i="2"/>
  <c r="Y83" i="2"/>
  <c r="Z83" i="2"/>
  <c r="H80" i="2"/>
  <c r="AD89" i="2"/>
  <c r="S54" i="2"/>
  <c r="R79" i="2"/>
  <c r="Y81" i="2"/>
  <c r="G79" i="2"/>
  <c r="Z51" i="2"/>
  <c r="H87" i="2"/>
  <c r="N79" i="2"/>
  <c r="S58" i="2"/>
  <c r="L43" i="2"/>
  <c r="AF88" i="2"/>
  <c r="Y65" i="2"/>
  <c r="M84" i="2"/>
  <c r="Z67" i="2"/>
  <c r="N91" i="2"/>
  <c r="AD85" i="2"/>
  <c r="L61" i="2"/>
  <c r="R91" i="2"/>
  <c r="AE85" i="2"/>
  <c r="G87" i="2"/>
  <c r="Z69" i="2"/>
  <c r="Z53" i="2"/>
  <c r="H84" i="2"/>
  <c r="S84" i="2"/>
  <c r="S89" i="2"/>
  <c r="N84" i="2"/>
  <c r="AD87" i="2"/>
  <c r="L90" i="2"/>
  <c r="S86" i="2"/>
  <c r="S56" i="2"/>
  <c r="S70" i="2"/>
  <c r="N90" i="2"/>
  <c r="L69" i="2"/>
  <c r="L73" i="2"/>
  <c r="L82" i="2"/>
  <c r="R84" i="2"/>
  <c r="R80" i="2"/>
  <c r="AF80" i="2"/>
  <c r="AE88" i="2"/>
  <c r="Y82" i="2"/>
  <c r="Y49" i="2"/>
  <c r="Y67" i="2"/>
  <c r="Y43" i="2"/>
  <c r="X90" i="2"/>
  <c r="T79" i="2"/>
  <c r="T88" i="2"/>
  <c r="M89" i="2"/>
  <c r="Z71" i="2"/>
  <c r="Z73" i="2"/>
  <c r="Z59" i="2"/>
  <c r="Z55" i="2"/>
  <c r="M88" i="2"/>
  <c r="S87" i="2"/>
  <c r="L65" i="2"/>
  <c r="AE80" i="2"/>
  <c r="M80" i="2"/>
  <c r="AD88" i="2"/>
  <c r="L55" i="2"/>
  <c r="AE84" i="2"/>
  <c r="Z65" i="2"/>
  <c r="H79" i="2"/>
  <c r="S44" i="2"/>
  <c r="Y47" i="2"/>
  <c r="Z91" i="2"/>
  <c r="AE91" i="2"/>
  <c r="Y73" i="2"/>
  <c r="T85" i="2"/>
  <c r="Z86" i="2"/>
  <c r="Z89" i="2"/>
  <c r="N80" i="2"/>
  <c r="S68" i="2"/>
  <c r="L57" i="2"/>
  <c r="AE87" i="2"/>
  <c r="Y61" i="2"/>
  <c r="T91" i="2"/>
  <c r="Z72" i="2"/>
  <c r="H88" i="2"/>
  <c r="AD91" i="2"/>
  <c r="S48" i="2"/>
  <c r="L53" i="2"/>
  <c r="R89" i="2"/>
  <c r="Y75" i="2"/>
  <c r="G89" i="2"/>
  <c r="T80" i="2"/>
  <c r="Z41" i="2"/>
  <c r="H91" i="2"/>
  <c r="N88" i="2"/>
  <c r="S66" i="2"/>
  <c r="S82" i="2"/>
  <c r="L45" i="2"/>
  <c r="R87" i="2"/>
  <c r="Y69" i="2"/>
  <c r="Y59" i="2"/>
  <c r="G85" i="2"/>
  <c r="Z82" i="2"/>
  <c r="Z84" i="2"/>
  <c r="H85" i="2"/>
  <c r="S88" i="2"/>
  <c r="S85" i="2"/>
  <c r="N85" i="2"/>
  <c r="AD84" i="2"/>
  <c r="M90" i="2"/>
  <c r="S46" i="2"/>
  <c r="S60" i="2"/>
  <c r="S40" i="2"/>
  <c r="L49" i="2"/>
  <c r="L67" i="2"/>
  <c r="L75" i="2"/>
  <c r="L63" i="2"/>
  <c r="R85" i="2"/>
  <c r="AF84" i="2"/>
  <c r="AF79" i="2"/>
  <c r="AE89" i="2"/>
  <c r="Y41" i="2"/>
  <c r="Y86" i="2"/>
  <c r="Y57" i="2"/>
  <c r="Y55" i="2"/>
  <c r="G88" i="2"/>
  <c r="T87" i="2"/>
  <c r="T84" i="2"/>
  <c r="M91" i="2"/>
  <c r="Z57" i="2"/>
  <c r="Z63" i="2"/>
  <c r="Z47" i="2"/>
  <c r="Z61" i="2"/>
  <c r="Z90" i="2"/>
  <c r="Y9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<sst xmlns="http://schemas.openxmlformats.org/spreadsheetml/2006/main" count="260" uniqueCount="227">
  <si>
    <t>Reference Items</t>
  </si>
  <si>
    <t>Right click to show data transparency (not supported for all values)</t>
  </si>
  <si>
    <t>Nucor Corp (NUE US) - Standardized</t>
  </si>
  <si>
    <t>In Millions of USD except Per Share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</si>
  <si>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</si>
  <si>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</si>
  <si>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</si>
  <si>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</si>
  <si>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</si>
  <si>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</si>
  <si>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</si>
  <si>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</si>
  <si>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</si>
  <si>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</si>
  <si>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</si>
  <si>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</si>
  <si>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</si>
  <si>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</si>
  <si>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</si>
  <si>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</si>
  <si>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</si>
  <si>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</si>
  <si>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</si>
  <si>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</si>
  <si>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</si>
  <si>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</si>
  <si>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</si>
  <si>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</si>
  <si>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</si>
  <si>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</si>
  <si>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</si>
  <si>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</si>
  <si>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</si>
  <si>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</si>
  <si>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3 Months Ending</t>
  </si>
  <si>
    <t>09/29/2018</t>
  </si>
  <si>
    <t>12/31/2018</t>
  </si>
  <si>
    <t>03/30/2019</t>
  </si>
  <si>
    <t>06/29/2019</t>
  </si>
  <si>
    <t>09/28/2019</t>
  </si>
  <si>
    <t>12/31/2019</t>
  </si>
  <si>
    <t>04/04/2020</t>
  </si>
  <si>
    <t>07/04/2020</t>
  </si>
  <si>
    <t>10/03/2020</t>
  </si>
  <si>
    <t>12/31/2020</t>
  </si>
  <si>
    <t>04/03/2021</t>
  </si>
  <si>
    <t>07/03/2021</t>
  </si>
  <si>
    <t>10/02/2021</t>
  </si>
  <si>
    <t>12/31/2021</t>
  </si>
  <si>
    <t>04/02/2022</t>
  </si>
  <si>
    <t>06/29/2022</t>
  </si>
  <si>
    <t>10/01/2022</t>
  </si>
  <si>
    <t>12/31/2022</t>
  </si>
  <si>
    <t>04/01/2023</t>
  </si>
  <si>
    <t>07/01/2023</t>
  </si>
  <si>
    <t>09/30/2023</t>
  </si>
  <si>
    <t>12/31/2023</t>
  </si>
  <si>
    <t>03/30/2024</t>
  </si>
  <si>
    <t>06/29/2024</t>
  </si>
  <si>
    <t>09/28/2024</t>
  </si>
  <si>
    <t>12/31/2024</t>
  </si>
  <si>
    <t>04/05/2025</t>
  </si>
  <si>
    <t>07/05/2025</t>
  </si>
  <si>
    <t>10/04/2025</t>
  </si>
  <si>
    <t>12/31/2025</t>
  </si>
  <si>
    <t>Total Assets</t>
  </si>
  <si>
    <t xml:space="preserve">  + Cash, Cash Equivalents &amp; STI</t>
  </si>
  <si>
    <t>CASH_CASH_EQTY_STI_DETAILED</t>
  </si>
  <si>
    <t xml:space="preserve">    + Cash &amp; Cash Equivalents</t>
  </si>
  <si>
    <t>BS_CASH_NEAR_CASH_ITEM</t>
  </si>
  <si>
    <t xml:space="preserve">    + ST Investments</t>
  </si>
  <si>
    <t>BS_MKT_SEC_OTHER_ST_INVEST</t>
  </si>
  <si>
    <t xml:space="preserve">  + Accounts &amp; Notes Receiv</t>
  </si>
  <si>
    <t>BS_ACCT_NOTE_RCV</t>
  </si>
  <si>
    <t xml:space="preserve">    + Accounts Receivable, Net</t>
  </si>
  <si>
    <t>BS_ACCTS_REC_EXCL_NOTES_REC</t>
  </si>
  <si>
    <t xml:space="preserve">    + Notes Receivable, Net</t>
  </si>
  <si>
    <t>NOTES_RECEIVABLE</t>
  </si>
  <si>
    <t xml:space="preserve">  + Inventories</t>
  </si>
  <si>
    <t>BS_INVENTORIES</t>
  </si>
  <si>
    <t xml:space="preserve">  + Other ST Assets</t>
  </si>
  <si>
    <t>OTHER_CURRENT_ASSETS_DETAILED</t>
  </si>
  <si>
    <t xml:space="preserve">    + Derivative &amp; Hedging Assets</t>
  </si>
  <si>
    <t>BS_DERIV_HEDGING_ASST_ST</t>
  </si>
  <si>
    <t xml:space="preserve">    + Misc ST Assets</t>
  </si>
  <si>
    <t>BS_OTHER_CUR_ASSET_LESS_PREPAY</t>
  </si>
  <si>
    <t>Total Current Assets</t>
  </si>
  <si>
    <t>BS_CUR_ASSET_REPORT</t>
  </si>
  <si>
    <t xml:space="preserve">  + Property, Plant &amp; Equip, Net</t>
  </si>
  <si>
    <t>BS_NET_FIX_ASSET</t>
  </si>
  <si>
    <t xml:space="preserve">    + Property, Plant &amp; Equip</t>
  </si>
  <si>
    <t>BS_GROSS_FIX_ASSET</t>
  </si>
  <si>
    <t xml:space="preserve">    - Accumulated Depreciation</t>
  </si>
  <si>
    <t>BS_ACCUM_DEPR</t>
  </si>
  <si>
    <t xml:space="preserve">  + LT Investments &amp; Receivables</t>
  </si>
  <si>
    <t>BS_LT_INVEST</t>
  </si>
  <si>
    <t xml:space="preserve">  + Other LT Assets</t>
  </si>
  <si>
    <t>BS_OTHER_ASSETS_DEF_CHRG_OTHER</t>
  </si>
  <si>
    <t xml:space="preserve">    + Total Intangible Assets</t>
  </si>
  <si>
    <t>BS_DISCLOSED_INTANGIBLES</t>
  </si>
  <si>
    <t xml:space="preserve">    + Goodwill</t>
  </si>
  <si>
    <t>BS_GOODWILL</t>
  </si>
  <si>
    <t xml:space="preserve">    + Other Intangible Assets</t>
  </si>
  <si>
    <t>OTHER_INTANGIBLE_ASSETS_DETAILED</t>
  </si>
  <si>
    <t xml:space="preserve">    + Deferred Tax Assets</t>
  </si>
  <si>
    <t>BS_DEFERRED_TAX_ASSETS_LT</t>
  </si>
  <si>
    <t>BS_DERIV_HEDGING_ASST_LT</t>
  </si>
  <si>
    <t xml:space="preserve">    + Investments in Affiliates</t>
  </si>
  <si>
    <t>BS_INVEST_IN_ASSOC_CO</t>
  </si>
  <si>
    <t xml:space="preserve">    + Misc LT Assets</t>
  </si>
  <si>
    <t>OTHER_NONCURRENT_ASSETS_DETAILED</t>
  </si>
  <si>
    <t>Total Noncurrent Assets</t>
  </si>
  <si>
    <t>BS_TOT_NON_CUR_ASSET</t>
  </si>
  <si>
    <t>BS_TOT_ASSET</t>
  </si>
  <si>
    <t>Liabilities &amp; Shareholders' Equity</t>
  </si>
  <si>
    <t xml:space="preserve">  + Payables &amp; Accruals</t>
  </si>
  <si>
    <t>ACCT_PAYABLE_ACCRUALS_DETAILED</t>
  </si>
  <si>
    <t xml:space="preserve">    + Accounts Payable</t>
  </si>
  <si>
    <t>BS_ACCT_PAYABLE</t>
  </si>
  <si>
    <t xml:space="preserve">    + Accrued Taxes</t>
  </si>
  <si>
    <t>BS_TAXES_PAYABLE</t>
  </si>
  <si>
    <t xml:space="preserve">    + Other Payables &amp; Accruals</t>
  </si>
  <si>
    <t>BS_ACCRUAL</t>
  </si>
  <si>
    <t xml:space="preserve">  + ST Debt</t>
  </si>
  <si>
    <t>BS_ST_BORROW</t>
  </si>
  <si>
    <t xml:space="preserve">    + ST Borrowings</t>
  </si>
  <si>
    <t>SHORT_TERM_DEBT_DETAILED</t>
  </si>
  <si>
    <t xml:space="preserve">    + ST Lease Liabilities</t>
  </si>
  <si>
    <t>ST_CAPITALIZED_LEASE_LIABILITIES</t>
  </si>
  <si>
    <t xml:space="preserve">      + ST Finance Leases</t>
  </si>
  <si>
    <t>ST_CAPITAL_LEASE_OBLIGATIONS</t>
  </si>
  <si>
    <t xml:space="preserve">      + ST Operating Leases</t>
  </si>
  <si>
    <t>BS_ST_OPERATING_LEASE_LIABS</t>
  </si>
  <si>
    <t xml:space="preserve">    + Current Portion of LT Debt</t>
  </si>
  <si>
    <t>BS_CURR_PORTION_LT_DEBT</t>
  </si>
  <si>
    <t xml:space="preserve">  + Other ST Liabilities</t>
  </si>
  <si>
    <t>OTHER_CURRENT_LIABS_SUB_DETAILED</t>
  </si>
  <si>
    <t xml:space="preserve">    + Deferred Revenue</t>
  </si>
  <si>
    <t>ST_DEFERRED_REVENUE</t>
  </si>
  <si>
    <t xml:space="preserve">    + Derivatives &amp; Hedging</t>
  </si>
  <si>
    <t>BS_DERIV_HEDGING_LIAB_ST</t>
  </si>
  <si>
    <t xml:space="preserve">    + Misc ST Liabilities</t>
  </si>
  <si>
    <t>OTHER_CURRENT_LIABS_DETAILED</t>
  </si>
  <si>
    <t>Total Current Liabilities</t>
  </si>
  <si>
    <t>BS_CUR_LIAB</t>
  </si>
  <si>
    <t xml:space="preserve">  + LT Debt</t>
  </si>
  <si>
    <t>BS_LT_BORROW</t>
  </si>
  <si>
    <t xml:space="preserve">    + LT Borrowings</t>
  </si>
  <si>
    <t>LONG_TERM_BORROWINGS_DETAILED</t>
  </si>
  <si>
    <t xml:space="preserve">    + LT Lease Liabilities</t>
  </si>
  <si>
    <t>LT_CAPITALIZED_LEASE_LIABILITIES</t>
  </si>
  <si>
    <t xml:space="preserve">      + LT Finance Leases</t>
  </si>
  <si>
    <t>LT_CAPITAL_LEASE_OBLIGATIONS</t>
  </si>
  <si>
    <t xml:space="preserve">      + LT Operating Leases</t>
  </si>
  <si>
    <t>BS_LT_OPERATING_LEASE_LIABS</t>
  </si>
  <si>
    <t xml:space="preserve">  + Other LT Liabilities</t>
  </si>
  <si>
    <t>OTHER_NONCUR_LIABS_SUB_DETAILED</t>
  </si>
  <si>
    <t xml:space="preserve">    + Accrued Liabilities</t>
  </si>
  <si>
    <t>BS_ACCRUED_LIABILITIES</t>
  </si>
  <si>
    <t xml:space="preserve">    + Pension Liabilities</t>
  </si>
  <si>
    <t>PENSION_LIABILITIES</t>
  </si>
  <si>
    <t xml:space="preserve">    + Pensions</t>
  </si>
  <si>
    <t>BS_PENSIONS_LT_LIABS</t>
  </si>
  <si>
    <t xml:space="preserve">    + Other Post-Ret Benefits</t>
  </si>
  <si>
    <t>BS_OPRB_LT_LIABS</t>
  </si>
  <si>
    <t>LT_DEFERRED_REVENUE</t>
  </si>
  <si>
    <t xml:space="preserve">    + Deferred Tax Liabilities</t>
  </si>
  <si>
    <t>BS_DEFERRED_TAX_LIABILITIES_LT</t>
  </si>
  <si>
    <t>BS_DERIV_HEDGING_LIAB_LT</t>
  </si>
  <si>
    <t xml:space="preserve">    + Misc LT Liabilities</t>
  </si>
  <si>
    <t>OTHER_NONCURRENT_LIABS_DETAILED</t>
  </si>
  <si>
    <t>Total Noncurrent Liabilities</t>
  </si>
  <si>
    <t>NON_CUR_LIAB</t>
  </si>
  <si>
    <t>Total Liabilities</t>
  </si>
  <si>
    <t>BS_TOT_LIAB2</t>
  </si>
  <si>
    <t xml:space="preserve">  + Preferred Equity and Hybrid Capital</t>
  </si>
  <si>
    <t>PFD_EQTY_HYBRID_CAPITAL</t>
  </si>
  <si>
    <t xml:space="preserve">  + Share Capital &amp; APIC</t>
  </si>
  <si>
    <t>BS_SH_CAP_AND_APIC</t>
  </si>
  <si>
    <t xml:space="preserve">    + Common Stock</t>
  </si>
  <si>
    <t>BS_COMMON_STOCK</t>
  </si>
  <si>
    <t xml:space="preserve">    + Additional Paid in Capital</t>
  </si>
  <si>
    <t>BS_ADD_PAID_IN_CAP</t>
  </si>
  <si>
    <t xml:space="preserve">  - Treasury Stock</t>
  </si>
  <si>
    <t>BS_AMT_OF_TSY_STOCK</t>
  </si>
  <si>
    <t xml:space="preserve">  + Retained Earnings</t>
  </si>
  <si>
    <t>BS_PURE_RETAINED_EARNINGS</t>
  </si>
  <si>
    <t xml:space="preserve">  + Other Equity</t>
  </si>
  <si>
    <t>OTHER_EQUITY_RATIO</t>
  </si>
  <si>
    <t>Equity Before Minority Interest</t>
  </si>
  <si>
    <t>EQTY_BEF_MINORITY_INT_DETAILED</t>
  </si>
  <si>
    <t xml:space="preserve">  + Minority/Non Controlling Interest</t>
  </si>
  <si>
    <t>MINORITY_NONCONTROLLING_INTEREST</t>
  </si>
  <si>
    <t>Total Equity</t>
  </si>
  <si>
    <t>TOTAL_EQUITY</t>
  </si>
  <si>
    <t>Total Liabilities &amp; Equity</t>
  </si>
  <si>
    <t>TOT_LIAB_AND_EQY</t>
  </si>
  <si>
    <t>Accounting Standard</t>
  </si>
  <si>
    <t>ACCOUNTING_STANDARD</t>
  </si>
  <si>
    <t>US GAAP</t>
  </si>
  <si>
    <t>Shares Outstanding</t>
  </si>
  <si>
    <t>BS_SH_OUT</t>
  </si>
  <si>
    <t>Number of Treasury Shares</t>
  </si>
  <si>
    <t>BS_NUM_OF_TSY_SH</t>
  </si>
  <si>
    <t>Pension Obligations</t>
  </si>
  <si>
    <t>BS_PENSION_RSRV</t>
  </si>
  <si>
    <t>Future Minimum Operating Lease Obligations</t>
  </si>
  <si>
    <t>BS_FUTURE_MIN_OPER_LEASE_OBLIG</t>
  </si>
  <si>
    <t>Capital Leases - Total</t>
  </si>
  <si>
    <t>BS_TOTAL_CAPITAL_LEASES</t>
  </si>
  <si>
    <t>Options Granted During Period</t>
  </si>
  <si>
    <t>BS_OPTIONS_GRANTED</t>
  </si>
  <si>
    <t>Options Outstanding at Period End</t>
  </si>
  <si>
    <t>BS_OPTIONS_OUTSTANDING</t>
  </si>
  <si>
    <t>Net Debt</t>
  </si>
  <si>
    <t>NET_DEBT</t>
  </si>
  <si>
    <t>Net Debt to Equity</t>
  </si>
  <si>
    <t>NET_DEBT_TO_SHRHLDR_EQTY</t>
  </si>
  <si>
    <t>Tangible Common Equity Ratio</t>
  </si>
  <si>
    <t>TCE_RATIO</t>
  </si>
  <si>
    <t>Current Ratio</t>
  </si>
  <si>
    <t>CUR_RATIO</t>
  </si>
  <si>
    <t>Cash Conversion Cycle</t>
  </si>
  <si>
    <t>CASH_CONVERSION_CYCLE</t>
  </si>
  <si>
    <t>Number of Employees</t>
  </si>
  <si>
    <t>NUM_OF_EMPLOYEES</t>
  </si>
  <si>
    <t>Source: Bloomberg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</si>
</sst>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9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5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3" fontId="1" fillId="34" borderId="2">
      <alignment horizontal="right"/>
    </xf>
    <xf numFmtId="171" fontId="1" fillId="34" borderId="2">
      <alignment horizontal="right"/>
    </xf>
    <xf numFmtId="4" fontId="1" fillId="34" borderId="2">
      <alignment horizontal="right"/>
    </xf>
    <xf numFmtId="3" fontId="8" fillId="34" borderId="2">
      <alignment horizontal="right"/>
    </xf>
    <xf numFmtId="171" fontId="8" fillId="34" borderId="2">
      <alignment horizontal="right"/>
    </xf>
    <xf numFmtId="171" fontId="11" fillId="34" borderId="2">
      <alignment horizontal="right"/>
    </xf>
  </cellStyleXfs>
  <cellXfs count="18">
    <xf numFmtId="0" fontId="0" fillId="0" borderId="0" xfId="0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5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3" fontId="1" fillId="34" borderId="2" xfId="53" applyNumberFormat="1" applyFont="1" applyFill="1" applyBorder="1" applyAlignment="1" applyProtection="1">
      <alignment horizontal="right"/>
    </xf>
    <xf numFmtId="171" fontId="1" fillId="34" borderId="2" xfId="54" applyNumberFormat="1" applyFont="1" applyFill="1" applyBorder="1" applyAlignment="1" applyProtection="1">
      <alignment horizontal="right"/>
    </xf>
    <xf numFmtId="4" fontId="1" fillId="34" borderId="2" xfId="55" applyNumberFormat="1" applyFont="1" applyFill="1" applyBorder="1" applyAlignment="1" applyProtection="1">
      <alignment horizontal="right"/>
    </xf>
    <xf numFmtId="3" fontId="8" fillId="34" borderId="2" xfId="56" applyNumberFormat="1" applyFont="1" applyFill="1" applyBorder="1" applyAlignment="1" applyProtection="1">
      <alignment horizontal="right"/>
    </xf>
    <xf numFmtId="171" fontId="8" fillId="34" borderId="2" xfId="57" applyNumberFormat="1" applyFont="1" applyFill="1" applyBorder="1" applyAlignment="1" applyProtection="1">
      <alignment horizontal="right"/>
    </xf>
    <xf numFmtId="171" fontId="11" fillId="34" borderId="2" xfId="58" applyNumberFormat="1" applyFont="1" applyFill="1" applyBorder="1" applyAlignment="1" applyProtection="1">
      <alignment horizontal="right"/>
    </xf>
  </cellXfs>
  <cellStyles count="5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6" xr:uid="{00000000-0005-0000-0000-000023000000}"/>
    <cellStyle name="fa_data_bold_1_grouped" xfId="57" xr:uid="{00000000-0005-0000-0000-000024000000}"/>
    <cellStyle name="fa_data_italic_1_grouped" xfId="58" xr:uid="{00000000-0005-0000-0000-000025000000}"/>
    <cellStyle name="fa_data_standard_0_grouped" xfId="53" xr:uid="{00000000-0005-0000-0000-000026000000}"/>
    <cellStyle name="fa_data_standard_1_grouped" xfId="54" xr:uid="{00000000-0005-0000-0000-000027000000}"/>
    <cellStyle name="fa_data_standard_2_grouped" xfId="55" xr:uid="{00000000-0005-0000-0000-000028000000}"/>
    <cellStyle name="fa_footer_italic" xfId="34" xr:uid="{00000000-0005-0000-0000-000029000000}"/>
    <cellStyle name="fa_row_header_bold" xfId="35" xr:uid="{00000000-0005-0000-0000-00002A000000}"/>
    <cellStyle name="fa_row_header_italic" xfId="36" xr:uid="{00000000-0005-0000-0000-00002B000000}"/>
    <cellStyle name="fa_row_header_standard" xfId="37" xr:uid="{00000000-0005-0000-0000-00002C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BDH|11541868377410037453</stp>
        <tr r="M41" s="2"/>
      </tp>
      <tp t="s">
        <v>#N/A N/A</v>
        <stp/>
        <stp>BDH|11742709692580248564</stp>
        <tr r="AA25" s="2"/>
      </tp>
      <tp t="s">
        <v>#N/A N/A</v>
        <stp/>
        <stp>BDH|18051270823082171040</stp>
        <tr r="F47" s="2"/>
      </tp>
      <tp t="s">
        <v>#N/A N/A</v>
        <stp/>
        <stp>BDH|14636804504535561365</stp>
        <tr r="Z37" s="2"/>
      </tp>
      <tp t="s">
        <v>#N/A N/A</v>
        <stp/>
        <stp>BDH|14521850471611927092</stp>
        <tr r="R62" s="2"/>
      </tp>
      <tp t="s">
        <v>#N/A N/A</v>
        <stp/>
        <stp>BDH|13988154386083275382</stp>
        <tr r="S83" s="2"/>
      </tp>
      <tp t="s">
        <v>#N/A N/A</v>
        <stp/>
        <stp>BDH|16859012177893707899</stp>
        <tr r="AE59" s="2"/>
      </tp>
      <tp t="s">
        <v>#N/A N/A</v>
        <stp/>
        <stp>BDH|10292241998336504781</stp>
        <tr r="T43" s="2"/>
      </tp>
      <tp t="s">
        <v>#N/A N/A</v>
        <stp/>
        <stp>BDH|13278050130268683222</stp>
        <tr r="U26" s="2"/>
      </tp>
      <tp t="s">
        <v>#N/A N/A</v>
        <stp/>
        <stp>BDH|13304646858378806246</stp>
        <tr r="F90" s="2"/>
      </tp>
      <tp t="s">
        <v>#N/A N/A</v>
        <stp/>
        <stp>BDH|14982549926698905117</stp>
        <tr r="Z87" s="2"/>
      </tp>
      <tp t="s">
        <v>#N/A N/A</v>
        <stp/>
        <stp>BDH|16973667144318117697</stp>
        <tr r="AB31" s="2"/>
      </tp>
      <tp t="s">
        <v>#N/A N/A</v>
        <stp/>
        <stp>BDH|18301983334600868858</stp>
        <tr r="X46" s="2"/>
      </tp>
      <tp t="s">
        <v>#N/A N/A</v>
        <stp/>
        <stp>BDH|18342576001881477637</stp>
        <tr r="Y18" s="2"/>
      </tp>
      <tp t="s">
        <v>#N/A N/A</v>
        <stp/>
        <stp>BDH|13562240354446686810</stp>
        <tr r="E31" s="2"/>
      </tp>
      <tp t="s">
        <v>#N/A N/A</v>
        <stp/>
        <stp>BDH|13303131184920312051</stp>
        <tr r="V86" s="2"/>
      </tp>
      <tp t="s">
        <v>#N/A N/A</v>
        <stp/>
        <stp>BDH|15797967742093609179</stp>
        <tr r="AE50" s="2"/>
      </tp>
      <tp t="s">
        <v>#N/A N/A</v>
        <stp/>
        <stp>BDH|11433481088187375051</stp>
        <tr r="S25" s="2"/>
      </tp>
      <tp t="s">
        <v>#N/A N/A</v>
        <stp/>
        <stp>BDH|17791074540009392010</stp>
        <tr r="P13" s="2"/>
      </tp>
      <tp t="s">
        <v>#N/A N/A</v>
        <stp/>
        <stp>BDH|12866927517981840104</stp>
        <tr r="V25" s="2"/>
      </tp>
      <tp t="s">
        <v>#N/A N/A</v>
        <stp/>
        <stp>BDH|12508965710942551231</stp>
        <tr r="U18" s="2"/>
      </tp>
      <tp t="s">
        <v>#N/A N/A</v>
        <stp/>
        <stp>BDH|15057559788394166698</stp>
        <tr r="G51" s="2"/>
      </tp>
      <tp t="s">
        <v>#N/A N/A</v>
        <stp/>
        <stp>BDH|10505998521384899503</stp>
        <tr r="X18" s="2"/>
      </tp>
      <tp t="s">
        <v>#N/A N/A</v>
        <stp/>
        <stp>BDH|13629536220069051707</stp>
        <tr r="R46" s="2"/>
      </tp>
      <tp t="s">
        <v>#N/A N/A</v>
        <stp/>
        <stp>BDH|17177545597280073164</stp>
        <tr r="G75" s="2"/>
      </tp>
      <tp t="s">
        <v>#N/A N/A</v>
        <stp/>
        <stp>BDH|18418760740616248742</stp>
        <tr r="O23" s="2"/>
      </tp>
      <tp t="s">
        <v>#N/A N/A</v>
        <stp/>
        <stp>BDH|15791229762379763243</stp>
        <tr r="E14" s="2"/>
      </tp>
      <tp t="s">
        <v>#N/A N/A</v>
        <stp/>
        <stp>BDH|17210350492827447064</stp>
        <tr r="Y16" s="2"/>
      </tp>
      <tp t="s">
        <v>#N/A N/A</v>
        <stp/>
        <stp>BDH|13444147200149257156</stp>
        <tr r="P83" s="2"/>
      </tp>
      <tp t="s">
        <v>#N/A N/A</v>
        <stp/>
        <stp>BDH|15584808024721591439</stp>
        <tr r="X34" s="2"/>
      </tp>
      <tp t="s">
        <v>#N/A N/A</v>
        <stp/>
        <stp>BDH|16856454186609426980</stp>
        <tr r="E16" s="2"/>
      </tp>
      <tp t="s">
        <v>#N/A N/A</v>
        <stp/>
        <stp>BDH|12085961170153971593</stp>
        <tr r="G68" s="2"/>
      </tp>
      <tp t="s">
        <v>#N/A N/A</v>
        <stp/>
        <stp>BDH|16925724752576758882</stp>
        <tr r="R87" s="2"/>
      </tp>
      <tp t="s">
        <v>#N/A N/A</v>
        <stp/>
        <stp>BDH|12402908332837824586</stp>
        <tr r="Z67" s="2"/>
      </tp>
      <tp t="s">
        <v>#N/A N/A</v>
        <stp/>
        <stp>BDH|17838547053424621901</stp>
        <tr r="AA40" s="2"/>
      </tp>
      <tp t="s">
        <v>#N/A N/A</v>
        <stp/>
        <stp>BDH|16876837702371854580</stp>
        <tr r="AC7" s="2"/>
      </tp>
      <tp t="s">
        <v>#N/A N/A</v>
        <stp/>
        <stp>BDH|15263382152850793979</stp>
        <tr r="T12" s="2"/>
      </tp>
      <tp t="s">
        <v>#N/A N/A</v>
        <stp/>
        <stp>BDH|10349684392603251630</stp>
        <tr r="X87" s="2"/>
      </tp>
      <tp t="s">
        <v>#N/A N/A</v>
        <stp/>
        <stp>BDH|16089789692286134433</stp>
        <tr r="U35" s="2"/>
      </tp>
      <tp t="s">
        <v>#N/A N/A</v>
        <stp/>
        <stp>BDH|13046682990313033500</stp>
        <tr r="Q17" s="2"/>
      </tp>
      <tp t="s">
        <v>#N/A N/A</v>
        <stp/>
        <stp>BDH|13424985380140571828</stp>
        <tr r="N10" s="2"/>
      </tp>
      <tp t="s">
        <v>#N/A N/A</v>
        <stp/>
        <stp>BDH|16984163743570557923</stp>
        <tr r="I24" s="2"/>
      </tp>
      <tp t="s">
        <v>#N/A N/A</v>
        <stp/>
        <stp>BDH|16673788995013635162</stp>
        <tr r="F89" s="2"/>
      </tp>
      <tp t="s">
        <v>#N/A N/A</v>
        <stp/>
        <stp>BDH|14822407984065445732</stp>
        <tr r="T86" s="2"/>
      </tp>
      <tp t="s">
        <v>#N/A N/A</v>
        <stp/>
        <stp>BDH|13964088218250277817</stp>
        <tr r="N69" s="2"/>
      </tp>
      <tp t="s">
        <v>#N/A N/A</v>
        <stp/>
        <stp>BDH|17194769789044238667</stp>
        <tr r="N57" s="2"/>
      </tp>
      <tp t="s">
        <v>#N/A N/A</v>
        <stp/>
        <stp>BDH|16787733284530413397</stp>
        <tr r="AD85" s="2"/>
      </tp>
      <tp t="s">
        <v>#N/A N/A</v>
        <stp/>
        <stp>BDH|14511264609694684802</stp>
        <tr r="AA52" s="2"/>
      </tp>
      <tp t="s">
        <v>#N/A N/A</v>
        <stp/>
        <stp>BDH|11245443696893500597</stp>
        <tr r="AF8" s="2"/>
      </tp>
      <tp t="s">
        <v>#N/A N/A</v>
        <stp/>
        <stp>BDH|17253084580340157570</stp>
        <tr r="X73" s="2"/>
      </tp>
      <tp t="s">
        <v>#N/A N/A</v>
        <stp/>
        <stp>BDH|11968277402831561866</stp>
        <tr r="S81" s="2"/>
      </tp>
      <tp t="s">
        <v>#N/A N/A</v>
        <stp/>
        <stp>BDH|16633981044162101341</stp>
        <tr r="M24" s="2"/>
      </tp>
      <tp t="s">
        <v>#N/A N/A</v>
        <stp/>
        <stp>BDH|10950751212078333426</stp>
        <tr r="U55" s="2"/>
      </tp>
      <tp t="s">
        <v>#N/A N/A</v>
        <stp/>
        <stp>BDH|17497232138218242428</stp>
        <tr r="Y68" s="2"/>
      </tp>
      <tp t="s">
        <v>#N/A N/A</v>
        <stp/>
        <stp>BDH|17942749580212065037</stp>
        <tr r="D15" s="2"/>
      </tp>
      <tp t="s">
        <v>#N/A N/A</v>
        <stp/>
        <stp>BDH|16288109481020775453</stp>
        <tr r="O75" s="2"/>
      </tp>
      <tp t="s">
        <v>#N/A N/A</v>
        <stp/>
        <stp>BDH|17070625926101495904</stp>
        <tr r="X67" s="2"/>
      </tp>
      <tp t="s">
        <v>#N/A N/A</v>
        <stp/>
        <stp>BDH|11121191632280881818</stp>
        <tr r="Y37" s="2"/>
      </tp>
      <tp t="s">
        <v>#N/A N/A</v>
        <stp/>
        <stp>BDH|18424140485949452328</stp>
        <tr r="E30" s="2"/>
      </tp>
      <tp t="s">
        <v>#N/A N/A</v>
        <stp/>
        <stp>BDH|18293598306832907463</stp>
        <tr r="K29" s="2"/>
      </tp>
      <tp t="s">
        <v>#N/A N/A</v>
        <stp/>
        <stp>BDH|15722156726238547530</stp>
        <tr r="AC61" s="2"/>
      </tp>
      <tp t="s">
        <v>#N/A N/A</v>
        <stp/>
        <stp>BDH|15660151877228017063</stp>
        <tr r="Z18" s="2"/>
      </tp>
      <tp t="s">
        <v>#N/A N/A</v>
        <stp/>
        <stp>BDH|14709452895127530505</stp>
        <tr r="G34" s="2"/>
      </tp>
      <tp t="s">
        <v>#N/A N/A</v>
        <stp/>
        <stp>BDH|12995564981642821638</stp>
        <tr r="P59" s="2"/>
      </tp>
      <tp t="s">
        <v>#N/A N/A</v>
        <stp/>
        <stp>BDH|18089385879167788034</stp>
        <tr r="N53" s="2"/>
      </tp>
      <tp t="s">
        <v>#N/A N/A</v>
        <stp/>
        <stp>BDH|12878766239165073822</stp>
        <tr r="T20" s="2"/>
      </tp>
      <tp t="s">
        <v>#N/A N/A</v>
        <stp/>
        <stp>BDH|16062038417669834580</stp>
        <tr r="AE11" s="2"/>
      </tp>
      <tp t="s">
        <v>#N/A N/A</v>
        <stp/>
        <stp>BDH|13232852423061532359</stp>
        <tr r="O20" s="2"/>
      </tp>
      <tp t="s">
        <v>#N/A N/A</v>
        <stp/>
        <stp>BDH|14062678873267520957</stp>
        <tr r="G65" s="2"/>
      </tp>
      <tp t="s">
        <v>#N/A N/A</v>
        <stp/>
        <stp>BDH|16445340920738241468</stp>
        <tr r="AC90" s="2"/>
      </tp>
      <tp t="s">
        <v>#N/A N/A</v>
        <stp/>
        <stp>BDH|11512689913578910530</stp>
        <tr r="AE47" s="2"/>
      </tp>
      <tp t="s">
        <v>#N/A N/A</v>
        <stp/>
        <stp>BDH|14366678472567070920</stp>
        <tr r="F17" s="2"/>
      </tp>
      <tp t="s">
        <v>#N/A N/A</v>
        <stp/>
        <stp>BDH|13340824594748279130</stp>
        <tr r="N88" s="2"/>
      </tp>
      <tp t="s">
        <v>#N/A N/A</v>
        <stp/>
        <stp>BDH|12699048780663120272</stp>
        <tr r="AD28" s="2"/>
      </tp>
      <tp t="s">
        <v>#N/A N/A</v>
        <stp/>
        <stp>BDH|13459569983717587207</stp>
        <tr r="D80" s="2"/>
      </tp>
      <tp t="s">
        <v>#N/A N/A</v>
        <stp/>
        <stp>BDH|11717698233549925637</stp>
        <tr r="T17" s="2"/>
      </tp>
      <tp t="s">
        <v>#N/A N/A</v>
        <stp/>
        <stp>BDH|14197220283511250451</stp>
        <tr r="W84" s="2"/>
      </tp>
      <tp t="s">
        <v>#N/A N/A</v>
        <stp/>
        <stp>BDH|10764083788632550159</stp>
        <tr r="X74" s="2"/>
      </tp>
      <tp t="s">
        <v>#N/A N/A</v>
        <stp/>
        <stp>BDH|13296928562023595406</stp>
        <tr r="AA8" s="2"/>
      </tp>
      <tp t="s">
        <v>#N/A N/A</v>
        <stp/>
        <stp>BDH|15149392283226912354</stp>
        <tr r="G41" s="2"/>
      </tp>
      <tp t="s">
        <v>#N/A N/A</v>
        <stp/>
        <stp>BDH|16131963656697167670</stp>
        <tr r="F39" s="2"/>
      </tp>
      <tp t="s">
        <v>#N/A N/A</v>
        <stp/>
        <stp>BDH|17264962855140792019</stp>
        <tr r="D86" s="2"/>
      </tp>
      <tp t="s">
        <v>#N/A N/A</v>
        <stp/>
        <stp>BDH|18375813772775767900</stp>
        <tr r="AF22" s="2"/>
      </tp>
      <tp t="s">
        <v>#N/A N/A</v>
        <stp/>
        <stp>BDH|15522357891676491235</stp>
        <tr r="G88" s="2"/>
      </tp>
      <tp t="s">
        <v>#N/A N/A</v>
        <stp/>
        <stp>BDH|11103777783045707049</stp>
        <tr r="H40" s="2"/>
      </tp>
      <tp t="s">
        <v>#N/A N/A</v>
        <stp/>
        <stp>BDH|11757776333848370660</stp>
        <tr r="T24" s="2"/>
      </tp>
      <tp t="s">
        <v>#N/A N/A</v>
        <stp/>
        <stp>BDH|17586865853192058369</stp>
        <tr r="L38" s="2"/>
      </tp>
      <tp t="s">
        <v>#N/A N/A</v>
        <stp/>
        <stp>BDH|18124222822293448030</stp>
        <tr r="P25" s="2"/>
      </tp>
      <tp t="s">
        <v>#N/A N/A</v>
        <stp/>
        <stp>BDH|11307711322829931601</stp>
        <tr r="Z22" s="2"/>
      </tp>
      <tp t="s">
        <v>#N/A N/A</v>
        <stp/>
        <stp>BDH|14139810712370285692</stp>
        <tr r="AE39" s="2"/>
      </tp>
      <tp t="s">
        <v>#N/A N/A</v>
        <stp/>
        <stp>BDH|16720658799354648645</stp>
        <tr r="AC71" s="2"/>
      </tp>
      <tp t="s">
        <v>#N/A N/A</v>
        <stp/>
        <stp>BDH|13763147900850867922</stp>
        <tr r="S89" s="2"/>
      </tp>
      <tp t="s">
        <v>#N/A N/A</v>
        <stp/>
        <stp>BDH|13279199585420751115</stp>
        <tr r="L10" s="2"/>
      </tp>
      <tp t="s">
        <v>#N/A N/A</v>
        <stp/>
        <stp>BDH|11014270198393403237</stp>
        <tr r="M68" s="2"/>
      </tp>
      <tp t="s">
        <v>#N/A N/A</v>
        <stp/>
        <stp>BDH|15737683891692539309</stp>
        <tr r="AB68" s="2"/>
      </tp>
      <tp t="s">
        <v>#N/A N/A</v>
        <stp/>
        <stp>BDH|15931809241554082634</stp>
        <tr r="G84" s="2"/>
      </tp>
      <tp t="s">
        <v>#N/A N/A</v>
        <stp/>
        <stp>BDH|16943193080773901721</stp>
        <tr r="AC60" s="2"/>
      </tp>
      <tp t="s">
        <v>#N/A N/A</v>
        <stp/>
        <stp>BDH|11812623968129811315</stp>
        <tr r="H67" s="2"/>
      </tp>
      <tp t="s">
        <v>#N/A N/A</v>
        <stp/>
        <stp>BDH|16982045044288262112</stp>
        <tr r="Z89" s="2"/>
      </tp>
      <tp t="s">
        <v>#N/A N/A</v>
        <stp/>
        <stp>BDH|16311472410649687186</stp>
        <tr r="P88" s="2"/>
      </tp>
      <tp t="s">
        <v>#N/A N/A</v>
        <stp/>
        <stp>BDH|11488625490647436280</stp>
        <tr r="P51" s="2"/>
      </tp>
      <tp t="s">
        <v>#N/A N/A</v>
        <stp/>
        <stp>BDH|17858841010977627270</stp>
        <tr r="AB40" s="2"/>
      </tp>
      <tp t="s">
        <v>#N/A N/A</v>
        <stp/>
        <stp>BDH|12323791426148071410</stp>
        <tr r="AD7" s="2"/>
      </tp>
      <tp t="s">
        <v>#N/A N/A</v>
        <stp/>
        <stp>BDH|11665467678100627936</stp>
        <tr r="AC43" s="2"/>
      </tp>
      <tp t="s">
        <v>#N/A N/A</v>
        <stp/>
        <stp>BDH|18363459779348540862</stp>
        <tr r="Y25" s="2"/>
      </tp>
      <tp t="s">
        <v>#N/A N/A</v>
        <stp/>
        <stp>BDH|17782946731635941375</stp>
        <tr r="Z62" s="2"/>
      </tp>
      <tp t="s">
        <v>#N/A N/A</v>
        <stp/>
        <stp>BDH|14225611147905871803</stp>
        <tr r="P27" s="2"/>
      </tp>
      <tp t="s">
        <v>#N/A N/A</v>
        <stp/>
        <stp>BDH|13249380990930023269</stp>
        <tr r="W79" s="2"/>
      </tp>
      <tp t="s">
        <v>#N/A N/A</v>
        <stp/>
        <stp>BDH|15628078613266964944</stp>
        <tr r="F30" s="2"/>
      </tp>
      <tp t="s">
        <v>#N/A N/A</v>
        <stp/>
        <stp>BDH|14020548208408158223</stp>
        <tr r="P26" s="2"/>
      </tp>
      <tp t="s">
        <v>#N/A N/A</v>
        <stp/>
        <stp>BDH|18300483896187158938</stp>
        <tr r="J9" s="2"/>
      </tp>
      <tp t="s">
        <v>#N/A N/A</v>
        <stp/>
        <stp>BDH|15682445339070193958</stp>
        <tr r="AE10" s="2"/>
      </tp>
      <tp t="s">
        <v>#N/A N/A</v>
        <stp/>
        <stp>BDH|14262588526090268814</stp>
        <tr r="W57" s="2"/>
      </tp>
      <tp t="s">
        <v>#N/A N/A</v>
        <stp/>
        <stp>BDH|13658010704590856843</stp>
        <tr r="H50" s="2"/>
      </tp>
      <tp t="s">
        <v>#N/A N/A</v>
        <stp/>
        <stp>BDH|17438585703161180806</stp>
        <tr r="Y84" s="2"/>
      </tp>
      <tp t="s">
        <v>#N/A N/A</v>
        <stp/>
        <stp>BDH|16126875008353058606</stp>
        <tr r="H89" s="2"/>
      </tp>
      <tp t="s">
        <v>#N/A N/A</v>
        <stp/>
        <stp>BDH|16603503921990512933</stp>
        <tr r="D18" s="2"/>
      </tp>
      <tp t="s">
        <v>#N/A N/A</v>
        <stp/>
        <stp>BDH|11367118772737372822</stp>
        <tr r="T62" s="2"/>
      </tp>
      <tp t="s">
        <v>#N/A N/A</v>
        <stp/>
        <stp>BDH|12751645291117713240</stp>
        <tr r="AA61" s="2"/>
      </tp>
      <tp t="s">
        <v>#N/A N/A</v>
        <stp/>
        <stp>BDH|11717327052338159776</stp>
        <tr r="R80" s="2"/>
      </tp>
      <tp t="s">
        <v>#N/A N/A</v>
        <stp/>
        <stp>BDH|18337661140401048344</stp>
        <tr r="Z26" s="2"/>
      </tp>
      <tp t="s">
        <v>#N/A N/A</v>
        <stp/>
        <stp>BDH|13025400290493494544</stp>
        <tr r="Q61" s="2"/>
      </tp>
      <tp t="s">
        <v>#N/A N/A</v>
        <stp/>
        <stp>BDH|10919066795789850825</stp>
        <tr r="N84" s="2"/>
      </tp>
      <tp t="s">
        <v>#N/A N/A</v>
        <stp/>
        <stp>BDH|11372163057605763854</stp>
        <tr r="L36" s="2"/>
      </tp>
      <tp t="s">
        <v>#N/A N/A</v>
        <stp/>
        <stp>BDH|16842889552926445565</stp>
        <tr r="X60" s="2"/>
      </tp>
      <tp t="s">
        <v>#N/A N/A</v>
        <stp/>
        <stp>BDH|11916169337123313888</stp>
        <tr r="X88" s="2"/>
      </tp>
      <tp t="s">
        <v>#N/A N/A</v>
        <stp/>
        <stp>BDH|11314243649309900646</stp>
        <tr r="S49" s="2"/>
      </tp>
      <tp t="s">
        <v>#N/A N/A</v>
        <stp/>
        <stp>BDH|11055260644827197801</stp>
        <tr r="W16" s="2"/>
      </tp>
      <tp t="s">
        <v>#N/A N/A</v>
        <stp/>
        <stp>BDH|14919245054542889933</stp>
        <tr r="AC22" s="2"/>
      </tp>
      <tp t="s">
        <v>#N/A N/A</v>
        <stp/>
        <stp>BDH|11290103470709927696</stp>
        <tr r="V24" s="2"/>
      </tp>
      <tp t="s">
        <v>#N/A N/A</v>
        <stp/>
        <stp>BDH|16082366744568852186</stp>
        <tr r="K57" s="2"/>
      </tp>
      <tp t="s">
        <v>#N/A N/A</v>
        <stp/>
        <stp>BDH|17844330955968896149</stp>
        <tr r="F42" s="2"/>
      </tp>
      <tp t="s">
        <v>#N/A N/A</v>
        <stp/>
        <stp>BDH|12416437854222197900</stp>
        <tr r="K82" s="2"/>
      </tp>
      <tp t="s">
        <v>#N/A N/A</v>
        <stp/>
        <stp>BDH|15023313983376038002</stp>
        <tr r="S13" s="2"/>
      </tp>
      <tp t="s">
        <v>#N/A N/A</v>
        <stp/>
        <stp>BDH|16184509721510249902</stp>
        <tr r="J56" s="2"/>
      </tp>
      <tp t="s">
        <v>#N/A N/A</v>
        <stp/>
        <stp>BDH|14244767387870782363</stp>
        <tr r="X54" s="2"/>
      </tp>
      <tp t="s">
        <v>#N/A N/A</v>
        <stp/>
        <stp>BDH|16948558516443902960</stp>
        <tr r="I7" s="2"/>
      </tp>
      <tp t="s">
        <v>#N/A N/A</v>
        <stp/>
        <stp>BDH|17387860172541067123</stp>
        <tr r="K10" s="2"/>
      </tp>
      <tp t="s">
        <v>#N/A N/A</v>
        <stp/>
        <stp>BDH|16314849643791257336</stp>
        <tr r="AF43" s="2"/>
      </tp>
      <tp t="s">
        <v>#N/A N/A</v>
        <stp/>
        <stp>BDH|16952521082154848747</stp>
        <tr r="J17" s="2"/>
      </tp>
      <tp t="s">
        <v>#N/A N/A</v>
        <stp/>
        <stp>BDH|10701726485343391468</stp>
        <tr r="F84" s="2"/>
      </tp>
      <tp t="s">
        <v>#N/A N/A</v>
        <stp/>
        <stp>BDH|15453760640098096667</stp>
        <tr r="M91" s="2"/>
      </tp>
      <tp t="s">
        <v>#N/A N/A</v>
        <stp/>
        <stp>BDH|16488377746558158105</stp>
        <tr r="G85" s="2"/>
      </tp>
      <tp t="s">
        <v>#N/A N/A</v>
        <stp/>
        <stp>BDH|12144422332528339562</stp>
        <tr r="F8" s="2"/>
      </tp>
      <tp t="s">
        <v>#N/A N/A</v>
        <stp/>
        <stp>BDH|18139650180447137916</stp>
        <tr r="N16" s="2"/>
      </tp>
      <tp t="s">
        <v>#N/A N/A</v>
        <stp/>
        <stp>BDH|10332566450589445152</stp>
        <tr r="AA67" s="2"/>
      </tp>
      <tp t="s">
        <v>#N/A N/A</v>
        <stp/>
        <stp>BDH|17515950978687440686</stp>
        <tr r="J46" s="2"/>
      </tp>
      <tp t="s">
        <v>#N/A N/A</v>
        <stp/>
        <stp>BDH|10792907229417915401</stp>
        <tr r="I46" s="2"/>
      </tp>
      <tp t="s">
        <v>#N/A N/A</v>
        <stp/>
        <stp>BDH|16447593705543659898</stp>
        <tr r="U81" s="2"/>
      </tp>
      <tp t="s">
        <v>#N/A N/A</v>
        <stp/>
        <stp>BDH|14136468300300329834</stp>
        <tr r="P86" s="2"/>
      </tp>
      <tp t="s">
        <v>#N/A N/A</v>
        <stp/>
        <stp>BDH|10276172473656286836</stp>
        <tr r="U20" s="2"/>
      </tp>
      <tp t="s">
        <v>#N/A N/A</v>
        <stp/>
        <stp>BDH|10310621884177413162</stp>
        <tr r="H22" s="2"/>
      </tp>
      <tp t="s">
        <v>#N/A N/A</v>
        <stp/>
        <stp>BDH|17170313537877472849</stp>
        <tr r="G15" s="2"/>
      </tp>
      <tp t="s">
        <v>#N/A N/A</v>
        <stp/>
        <stp>BDH|15512853322544563305</stp>
        <tr r="R69" s="2"/>
      </tp>
      <tp t="s">
        <v>#N/A N/A</v>
        <stp/>
        <stp>BDH|14953426658964161958</stp>
        <tr r="Z60" s="2"/>
      </tp>
      <tp t="s">
        <v>#N/A N/A</v>
        <stp/>
        <stp>BDH|16125732182821206041</stp>
        <tr r="W26" s="2"/>
      </tp>
      <tp t="s">
        <v>#N/A N/A</v>
        <stp/>
        <stp>BDH|11192256792953895187</stp>
        <tr r="N86" s="2"/>
      </tp>
      <tp t="s">
        <v>#N/A N/A</v>
        <stp/>
        <stp>BDH|18066179100275168404</stp>
        <tr r="AA72" s="2"/>
      </tp>
      <tp t="s">
        <v>#N/A N/A</v>
        <stp/>
        <stp>BDH|15602993589608339435</stp>
        <tr r="X39" s="2"/>
      </tp>
      <tp t="s">
        <v>#N/A N/A</v>
        <stp/>
        <stp>BDH|14834041000068849426</stp>
        <tr r="AE63" s="2"/>
      </tp>
      <tp t="s">
        <v>#N/A N/A</v>
        <stp/>
        <stp>BDH|13328325866748607677</stp>
        <tr r="L63" s="2"/>
      </tp>
      <tp t="s">
        <v>#N/A N/A</v>
        <stp/>
        <stp>BDH|18418065326542140030</stp>
        <tr r="X49" s="2"/>
      </tp>
      <tp t="s">
        <v>#N/A N/A</v>
        <stp/>
        <stp>BDH|14915890352682309388</stp>
        <tr r="N24" s="2"/>
      </tp>
      <tp t="s">
        <v>#N/A N/A</v>
        <stp/>
        <stp>BDH|10815229084543522121</stp>
        <tr r="U50" s="2"/>
      </tp>
      <tp t="s">
        <v>#N/A N/A</v>
        <stp/>
        <stp>BDH|15721439191991447186</stp>
        <tr r="H8" s="2"/>
      </tp>
      <tp t="s">
        <v>#N/A N/A</v>
        <stp/>
        <stp>BDH|18206983984144016574</stp>
        <tr r="O22" s="2"/>
      </tp>
      <tp t="s">
        <v>#N/A N/A</v>
        <stp/>
        <stp>BDH|16381708144749871465</stp>
        <tr r="Q21" s="2"/>
      </tp>
      <tp t="s">
        <v>#N/A N/A</v>
        <stp/>
        <stp>BDH|17990328191034465165</stp>
        <tr r="J28" s="2"/>
      </tp>
      <tp t="s">
        <v>#N/A N/A</v>
        <stp/>
        <stp>BDH|16817114901116907991</stp>
        <tr r="P12" s="2"/>
      </tp>
      <tp t="s">
        <v>#N/A N/A</v>
        <stp/>
        <stp>BDH|15142042733456489894</stp>
        <tr r="O19" s="2"/>
      </tp>
      <tp t="s">
        <v>#N/A N/A</v>
        <stp/>
        <stp>BDH|13261488357049097366</stp>
        <tr r="G45" s="2"/>
      </tp>
      <tp t="s">
        <v>#N/A N/A</v>
        <stp/>
        <stp>BDH|16032583320470062935</stp>
        <tr r="E84" s="2"/>
      </tp>
      <tp t="s">
        <v>#N/A N/A</v>
        <stp/>
        <stp>BDH|15109959710075777094</stp>
        <tr r="G14" s="2"/>
      </tp>
      <tp t="s">
        <v>#N/A N/A</v>
        <stp/>
        <stp>BDH|16357796882417539679</stp>
        <tr r="K65" s="2"/>
      </tp>
      <tp t="s">
        <v>#N/A N/A</v>
        <stp/>
        <stp>BDH|16626270887016840246</stp>
        <tr r="R16" s="2"/>
      </tp>
      <tp t="s">
        <v>#N/A N/A</v>
        <stp/>
        <stp>BDH|16132689376129771654</stp>
        <tr r="D68" s="2"/>
      </tp>
      <tp t="s">
        <v>#N/A N/A</v>
        <stp/>
        <stp>BDH|15090848969787325438</stp>
        <tr r="AB83" s="2"/>
      </tp>
      <tp t="s">
        <v>#N/A N/A</v>
        <stp/>
        <stp>BDH|12876301287881397014</stp>
        <tr r="K74" s="2"/>
      </tp>
      <tp t="s">
        <v>#N/A N/A</v>
        <stp/>
        <stp>BDH|12857734890967010373</stp>
        <tr r="H35" s="2"/>
      </tp>
      <tp t="s">
        <v>#N/A N/A</v>
        <stp/>
        <stp>BDH|10272932638702327068</stp>
        <tr r="AA13" s="2"/>
      </tp>
      <tp t="s">
        <v>#N/A N/A</v>
        <stp/>
        <stp>BDH|11456981381250443850</stp>
        <tr r="Z56" s="2"/>
      </tp>
      <tp t="s">
        <v>#N/A N/A</v>
        <stp/>
        <stp>BDH|14239006208054071864</stp>
        <tr r="Y31" s="2"/>
      </tp>
      <tp t="s">
        <v>#N/A N/A</v>
        <stp/>
        <stp>BDH|11880198465217965912</stp>
        <tr r="T11" s="2"/>
      </tp>
      <tp t="s">
        <v>#N/A N/A</v>
        <stp/>
        <stp>BDH|13887831126400730154</stp>
        <tr r="I86" s="2"/>
      </tp>
      <tp t="s">
        <v>#N/A N/A</v>
        <stp/>
        <stp>BDH|13763403227755881875</stp>
        <tr r="N58" s="2"/>
      </tp>
      <tp t="s">
        <v>#N/A N/A</v>
        <stp/>
        <stp>BDH|12226344844719455493</stp>
        <tr r="U28" s="2"/>
      </tp>
      <tp t="s">
        <v>#N/A N/A</v>
        <stp/>
        <stp>BDH|16098982759133786187</stp>
        <tr r="D25" s="2"/>
      </tp>
      <tp t="s">
        <v>#N/A N/A</v>
        <stp/>
        <stp>BDH|13514611860313281975</stp>
        <tr r="F12" s="2"/>
      </tp>
      <tp t="s">
        <v>#N/A N/A</v>
        <stp/>
        <stp>BDH|16301694773848063689</stp>
        <tr r="O70" s="2"/>
      </tp>
      <tp t="s">
        <v>#N/A N/A</v>
        <stp/>
        <stp>BDH|15096254386174308218</stp>
        <tr r="Y43" s="2"/>
      </tp>
      <tp t="s">
        <v>#N/A N/A</v>
        <stp/>
        <stp>BDH|11576887878970443716</stp>
        <tr r="S71" s="2"/>
      </tp>
      <tp t="s">
        <v>#N/A N/A</v>
        <stp/>
        <stp>BDH|15473506112229496123</stp>
        <tr r="O87" s="2"/>
      </tp>
      <tp t="s">
        <v>#N/A N/A</v>
        <stp/>
        <stp>BDH|15660997080865902861</stp>
        <tr r="Z86" s="2"/>
      </tp>
      <tp t="s">
        <v>#N/A N/A</v>
        <stp/>
        <stp>BDH|14310513162277647969</stp>
        <tr r="R63" s="2"/>
      </tp>
      <tp t="s">
        <v>#N/A N/A</v>
        <stp/>
        <stp>BDH|10412477304325667813</stp>
        <tr r="V91" s="2"/>
      </tp>
      <tp t="s">
        <v>#N/A N/A</v>
        <stp/>
        <stp>BDH|12774817911807200563</stp>
        <tr r="X40" s="2"/>
      </tp>
      <tp t="s">
        <v>#N/A N/A</v>
        <stp/>
        <stp>BDH|11567301422589117058</stp>
        <tr r="M37" s="2"/>
      </tp>
      <tp t="s">
        <v>#N/A N/A</v>
        <stp/>
        <stp>BDH|18410308050376664114</stp>
        <tr r="R61" s="2"/>
      </tp>
      <tp t="s">
        <v>#N/A N/A</v>
        <stp/>
        <stp>BDH|13274266666098597647</stp>
        <tr r="L44" s="2"/>
      </tp>
      <tp t="s">
        <v>#N/A N/A</v>
        <stp/>
        <stp>BDH|13928888654157063061</stp>
        <tr r="O49" s="2"/>
      </tp>
      <tp t="s">
        <v>#N/A N/A</v>
        <stp/>
        <stp>BDH|13013927371420022406</stp>
        <tr r="N48" s="2"/>
      </tp>
      <tp t="s">
        <v>#N/A N/A</v>
        <stp/>
        <stp>BDH|11946482795641781415</stp>
        <tr r="Y20" s="2"/>
      </tp>
      <tp t="s">
        <v>#N/A N/A</v>
        <stp/>
        <stp>BDH|12877788029979824737</stp>
        <tr r="AA46" s="2"/>
      </tp>
      <tp t="s">
        <v>#N/A N/A</v>
        <stp/>
        <stp>BDH|16724963988147959925</stp>
        <tr r="AC36" s="2"/>
      </tp>
      <tp t="s">
        <v>#N/A N/A</v>
        <stp/>
        <stp>BDH|15752870020895040353</stp>
        <tr r="I34" s="2"/>
      </tp>
      <tp t="s">
        <v>#N/A N/A</v>
        <stp/>
        <stp>BDH|14781574400939698135</stp>
        <tr r="R70" s="2"/>
      </tp>
      <tp t="s">
        <v>#N/A N/A</v>
        <stp/>
        <stp>BDH|14203689589747019460</stp>
        <tr r="S17" s="2"/>
      </tp>
      <tp t="s">
        <v>#N/A N/A</v>
        <stp/>
        <stp>BDH|10616106313459731068</stp>
        <tr r="Q73" s="2"/>
      </tp>
      <tp t="s">
        <v>#N/A N/A</v>
        <stp/>
        <stp>BDH|17303859537585086055</stp>
        <tr r="T13" s="2"/>
      </tp>
      <tp t="s">
        <v>#N/A N/A</v>
        <stp/>
        <stp>BDH|15379941046638438914</stp>
        <tr r="AA22" s="2"/>
      </tp>
      <tp t="s">
        <v>#N/A N/A</v>
        <stp/>
        <stp>BDH|10235129796036027712</stp>
        <tr r="W54" s="2"/>
      </tp>
      <tp t="s">
        <v>#N/A N/A</v>
        <stp/>
        <stp>BDH|14036732075459993482</stp>
        <tr r="U41" s="2"/>
      </tp>
      <tp t="s">
        <v>#N/A N/A</v>
        <stp/>
        <stp>BDH|13340266806381074941</stp>
        <tr r="AD29" s="2"/>
      </tp>
      <tp t="s">
        <v>#N/A N/A</v>
        <stp/>
        <stp>BDH|16662977143597530503</stp>
        <tr r="D46" s="2"/>
      </tp>
      <tp t="s">
        <v>#N/A N/A</v>
        <stp/>
        <stp>BDH|11392861061865458364</stp>
        <tr r="D38" s="2"/>
      </tp>
      <tp t="s">
        <v>#N/A N/A</v>
        <stp/>
        <stp>BDH|15171272461049850190</stp>
        <tr r="AE23" s="2"/>
      </tp>
      <tp t="s">
        <v>#N/A N/A</v>
        <stp/>
        <stp>BDH|18073256664303159662</stp>
        <tr r="W56" s="2"/>
      </tp>
      <tp t="s">
        <v>#N/A N/A</v>
        <stp/>
        <stp>BDH|11226733636078779496</stp>
        <tr r="AC26" s="2"/>
      </tp>
      <tp t="s">
        <v>#N/A N/A</v>
        <stp/>
        <stp>BDH|12203958340387721185</stp>
        <tr r="Z31" s="2"/>
      </tp>
      <tp t="s">
        <v>#N/A N/A</v>
        <stp/>
        <stp>BDH|12705918657551873620</stp>
        <tr r="K20" s="2"/>
      </tp>
      <tp t="s">
        <v>#N/A N/A</v>
        <stp/>
        <stp>BDH|12280803951627060187</stp>
        <tr r="K62" s="2"/>
      </tp>
      <tp t="s">
        <v>#N/A N/A</v>
        <stp/>
        <stp>BDH|10839320674269688435</stp>
        <tr r="U87" s="2"/>
      </tp>
      <tp t="s">
        <v>#N/A N/A</v>
        <stp/>
        <stp>BDH|14116570109758091043</stp>
        <tr r="I16" s="2"/>
      </tp>
      <tp t="s">
        <v>#N/A N/A</v>
        <stp/>
        <stp>BDH|15078879645867878715</stp>
        <tr r="AC20" s="2"/>
      </tp>
      <tp t="s">
        <v>#N/A N/A</v>
        <stp/>
        <stp>BDH|14482722232780818967</stp>
        <tr r="E38" s="2"/>
      </tp>
      <tp t="s">
        <v>#N/A N/A</v>
        <stp/>
        <stp>BDH|15811907944469750815</stp>
        <tr r="Z84" s="2"/>
      </tp>
      <tp t="s">
        <v>#N/A N/A</v>
        <stp/>
        <stp>BDH|16543890163168410916</stp>
        <tr r="P68" s="2"/>
      </tp>
      <tp t="s">
        <v>#N/A N/A</v>
        <stp/>
        <stp>BDH|11644552830227830917</stp>
        <tr r="I70" s="2"/>
      </tp>
      <tp t="s">
        <v>#N/A N/A</v>
        <stp/>
        <stp>BDH|14946141032109398612</stp>
        <tr r="AD22" s="2"/>
      </tp>
      <tp t="s">
        <v>#N/A N/A</v>
        <stp/>
        <stp>BDH|17590979107526006189</stp>
        <tr r="X50" s="2"/>
      </tp>
      <tp t="s">
        <v>#N/A N/A</v>
        <stp/>
        <stp>BDH|10473474054291955937</stp>
        <tr r="AA85" s="2"/>
      </tp>
      <tp t="s">
        <v>#N/A N/A</v>
        <stp/>
        <stp>BDH|18277156923465130782</stp>
        <tr r="AE57" s="2"/>
      </tp>
      <tp t="s">
        <v>#N/A N/A</v>
        <stp/>
        <stp>BDH|10495985995320759927</stp>
        <tr r="J18" s="2"/>
      </tp>
      <tp t="s">
        <v>#N/A N/A</v>
        <stp/>
        <stp>BDH|15122281746479515365</stp>
        <tr r="C65" s="2"/>
      </tp>
      <tp t="s">
        <v>#N/A N/A</v>
        <stp/>
        <stp>BDH|13708856910714659785</stp>
        <tr r="W8" s="2"/>
      </tp>
      <tp t="s">
        <v>#N/A N/A</v>
        <stp/>
        <stp>BDH|15934876168144256684</stp>
        <tr r="H43" s="2"/>
      </tp>
      <tp t="s">
        <v>#N/A N/A</v>
        <stp/>
        <stp>BDH|12140739007548040498</stp>
        <tr r="AC42" s="2"/>
      </tp>
      <tp t="s">
        <v>#N/A N/A</v>
        <stp/>
        <stp>BDH|16335857957077942579</stp>
        <tr r="N61" s="2"/>
      </tp>
      <tp t="s">
        <v>#N/A N/A</v>
        <stp/>
        <stp>BDH|11630141161009818642</stp>
        <tr r="S19" s="2"/>
      </tp>
      <tp t="s">
        <v>#N/A N/A</v>
        <stp/>
        <stp>BDH|11615125462229157683</stp>
        <tr r="O7" s="2"/>
      </tp>
      <tp t="s">
        <v>#N/A N/A</v>
        <stp/>
        <stp>BDH|10024135306011264986</stp>
        <tr r="V31" s="2"/>
      </tp>
      <tp t="s">
        <v>#N/A N/A</v>
        <stp/>
        <stp>BDH|15931665545257620930</stp>
        <tr r="O8" s="2"/>
      </tp>
      <tp t="s">
        <v>#N/A N/A</v>
        <stp/>
        <stp>BDH|15148185675069613355</stp>
        <tr r="AE29" s="2"/>
      </tp>
      <tp t="s">
        <v>#N/A N/A</v>
        <stp/>
        <stp>BDH|11002438439047087855</stp>
        <tr r="N64" s="2"/>
      </tp>
      <tp t="s">
        <v>#N/A N/A</v>
        <stp/>
        <stp>BDH|11872967471505683368</stp>
        <tr r="W67" s="2"/>
      </tp>
      <tp t="s">
        <v>#N/A N/A</v>
        <stp/>
        <stp>BDH|14189434424809861201</stp>
        <tr r="AE45" s="2"/>
      </tp>
      <tp t="s">
        <v>#N/A N/A</v>
        <stp/>
        <stp>BDH|10552210361514354987</stp>
        <tr r="V11" s="2"/>
      </tp>
      <tp t="s">
        <v>#N/A N/A</v>
        <stp/>
        <stp>BDH|16843138710788530708</stp>
        <tr r="AC63" s="2"/>
      </tp>
      <tp t="s">
        <v>#N/A N/A</v>
        <stp/>
        <stp>BDH|10753408687200808569</stp>
        <tr r="H31" s="2"/>
      </tp>
      <tp t="s">
        <v>#N/A N/A</v>
        <stp/>
        <stp>BDH|17543815353380160381</stp>
        <tr r="G71" s="2"/>
      </tp>
      <tp t="s">
        <v>#N/A N/A</v>
        <stp/>
        <stp>BDH|12023508981819206820</stp>
        <tr r="AC44" s="2"/>
      </tp>
      <tp t="s">
        <v>#N/A N/A</v>
        <stp/>
        <stp>BDH|12125710045138071744</stp>
        <tr r="E58" s="2"/>
      </tp>
      <tp t="s">
        <v>#N/A N/A</v>
        <stp/>
        <stp>BDH|11535741581417910787</stp>
        <tr r="U60" s="2"/>
      </tp>
      <tp t="s">
        <v>#N/A N/A</v>
        <stp/>
        <stp>BDH|15159885726248746991</stp>
        <tr r="J29" s="2"/>
      </tp>
      <tp t="s">
        <v>#N/A N/A</v>
        <stp/>
        <stp>BDH|10107826876731671023</stp>
        <tr r="R45" s="2"/>
      </tp>
      <tp t="s">
        <v>#N/A N/A</v>
        <stp/>
        <stp>BDH|13677907855300310117</stp>
        <tr r="R7" s="2"/>
      </tp>
      <tp t="s">
        <v>#N/A N/A</v>
        <stp/>
        <stp>BDH|12645010254110549968</stp>
        <tr r="J39" s="2"/>
      </tp>
      <tp t="s">
        <v>#N/A N/A</v>
        <stp/>
        <stp>BDH|11644255292851014518</stp>
        <tr r="AE58" s="2"/>
      </tp>
      <tp t="s">
        <v>#N/A N/A</v>
        <stp/>
        <stp>BDH|17322649722919252472</stp>
        <tr r="T69" s="2"/>
      </tp>
      <tp t="s">
        <v>#N/A N/A</v>
        <stp/>
        <stp>BDH|15337322828558989235</stp>
        <tr r="N20" s="2"/>
      </tp>
      <tp t="s">
        <v>#N/A N/A</v>
        <stp/>
        <stp>BDH|16621957735035289773</stp>
        <tr r="AC45" s="2"/>
      </tp>
      <tp t="s">
        <v>#N/A N/A</v>
        <stp/>
        <stp>BDH|11556113214206110926</stp>
        <tr r="O73" s="2"/>
      </tp>
      <tp t="s">
        <v>#N/A N/A</v>
        <stp/>
        <stp>BDH|10692662784068290851</stp>
        <tr r="X20" s="2"/>
      </tp>
      <tp t="s">
        <v>#N/A N/A</v>
        <stp/>
        <stp>BDH|10197520031470654863</stp>
        <tr r="P67" s="2"/>
      </tp>
      <tp t="s">
        <v>#N/A N/A</v>
        <stp/>
        <stp>BDH|15073654387253009608</stp>
        <tr r="I28" s="2"/>
      </tp>
      <tp t="s">
        <v>#N/A N/A</v>
        <stp/>
        <stp>BDH|10856180590981419760</stp>
        <tr r="K30" s="2"/>
      </tp>
      <tp t="s">
        <v>#N/A N/A</v>
        <stp/>
        <stp>BDH|15176653788615952076</stp>
        <tr r="AB72" s="2"/>
      </tp>
      <tp t="s">
        <v>#N/A N/A</v>
        <stp/>
        <stp>BDH|17216206399816862463</stp>
        <tr r="L31" s="2"/>
      </tp>
      <tp t="s">
        <v>#N/A N/A</v>
        <stp/>
        <stp>BDH|13304068374202442807</stp>
        <tr r="N18" s="2"/>
      </tp>
      <tp t="s">
        <v>#N/A N/A</v>
        <stp/>
        <stp>BDH|14179127596740456241</stp>
        <tr r="O82" s="2"/>
      </tp>
      <tp t="s">
        <v>#N/A N/A</v>
        <stp/>
        <stp>BDH|12517436494953768209</stp>
        <tr r="R60" s="2"/>
      </tp>
      <tp t="s">
        <v>#N/A N/A</v>
        <stp/>
        <stp>BDH|15375323981630644032</stp>
        <tr r="O46" s="2"/>
      </tp>
      <tp t="s">
        <v>#N/A N/A</v>
        <stp/>
        <stp>BDH|15770510056002261975</stp>
        <tr r="AD86" s="2"/>
      </tp>
      <tp t="s">
        <v>#N/A N/A</v>
        <stp/>
        <stp>BDH|17254144667767581901</stp>
        <tr r="N55" s="2"/>
      </tp>
      <tp t="s">
        <v>#N/A N/A</v>
        <stp/>
        <stp>BDH|15269122103139112362</stp>
        <tr r="AA58" s="2"/>
      </tp>
      <tp t="s">
        <v>#N/A N/A</v>
        <stp/>
        <stp>BDH|10475782909788684147</stp>
        <tr r="P22" s="2"/>
      </tp>
      <tp t="s">
        <v>#N/A N/A</v>
        <stp/>
        <stp>BDH|16179778914998663632</stp>
        <tr r="AE36" s="2"/>
      </tp>
      <tp t="s">
        <v>#N/A N/A</v>
        <stp/>
        <stp>BDH|16462404952968864199</stp>
        <tr r="AF24" s="2"/>
      </tp>
      <tp t="s">
        <v>#N/A N/A</v>
        <stp/>
        <stp>BDH|11683970676324644575</stp>
        <tr r="F29" s="2"/>
      </tp>
      <tp t="s">
        <v>#N/A N/A</v>
        <stp/>
        <stp>BDH|10520344054651659958</stp>
        <tr r="AC21" s="2"/>
      </tp>
      <tp t="s">
        <v>#N/A N/A</v>
        <stp/>
        <stp>BDH|15094946425693331347</stp>
        <tr r="H90" s="2"/>
      </tp>
      <tp t="s">
        <v>#N/A N/A</v>
        <stp/>
        <stp>BDH|11291127757549770261</stp>
        <tr r="Y64" s="2"/>
      </tp>
      <tp t="s">
        <v>#N/A N/A</v>
        <stp/>
        <stp>BDH|15091956049865213385</stp>
        <tr r="I27" s="2"/>
      </tp>
      <tp t="s">
        <v>#N/A N/A</v>
        <stp/>
        <stp>BDH|11087151776839335063</stp>
        <tr r="AE12" s="2"/>
      </tp>
      <tp t="s">
        <v>#N/A N/A</v>
        <stp/>
        <stp>BDH|16723504678269383357</stp>
        <tr r="M80" s="2"/>
      </tp>
      <tp t="s">
        <v>#N/A N/A</v>
        <stp/>
        <stp>BDH|15904952223278064867</stp>
        <tr r="T89" s="2"/>
      </tp>
      <tp t="s">
        <v>#N/A N/A</v>
        <stp/>
        <stp>BDH|11539883546112749152</stp>
        <tr r="AB44" s="2"/>
      </tp>
      <tp t="s">
        <v>#N/A N/A</v>
        <stp/>
        <stp>BDH|15025097851569058712</stp>
        <tr r="N56" s="2"/>
      </tp>
      <tp t="s">
        <v>#N/A N/A</v>
        <stp/>
        <stp>BDH|11159953032136863374</stp>
        <tr r="U17" s="2"/>
      </tp>
      <tp t="s">
        <v>#N/A N/A</v>
        <stp/>
        <stp>BDH|10372780703128040116</stp>
        <tr r="M59" s="2"/>
      </tp>
      <tp t="s">
        <v>#N/A N/A</v>
        <stp/>
        <stp>BDH|10449068388706249007</stp>
        <tr r="D61" s="2"/>
      </tp>
      <tp t="s">
        <v>#N/A N/A</v>
        <stp/>
        <stp>BDH|14040682891450348529</stp>
        <tr r="AC13" s="2"/>
      </tp>
      <tp t="s">
        <v>#N/A N/A</v>
        <stp/>
        <stp>BDH|16573006498108103941</stp>
        <tr r="Q85" s="2"/>
      </tp>
      <tp t="s">
        <v>#N/A N/A</v>
        <stp/>
        <stp>BDH|11301348848521431939</stp>
        <tr r="W36" s="2"/>
      </tp>
      <tp t="s">
        <v>#N/A N/A</v>
        <stp/>
        <stp>BDH|15483669299242522665</stp>
        <tr r="O59" s="2"/>
      </tp>
      <tp t="s">
        <v>#N/A N/A</v>
        <stp/>
        <stp>BDH|13309125955311859872</stp>
        <tr r="P44" s="2"/>
      </tp>
      <tp t="s">
        <v>#N/A N/A</v>
        <stp/>
        <stp>BDH|13350980566286003462</stp>
        <tr r="R23" s="2"/>
      </tp>
      <tp t="s">
        <v>#N/A N/A</v>
        <stp/>
        <stp>BDH|17397017925522572980</stp>
        <tr r="S87" s="2"/>
      </tp>
      <tp t="s">
        <v>#N/A N/A</v>
        <stp/>
        <stp>BDH|11950370081814484010</stp>
        <tr r="P58" s="2"/>
      </tp>
      <tp t="s">
        <v>#N/A N/A</v>
        <stp/>
        <stp>BDH|18131434512230858359</stp>
        <tr r="V72" s="2"/>
      </tp>
      <tp t="s">
        <v>#N/A N/A</v>
        <stp/>
        <stp>BDH|10822897220870842447</stp>
        <tr r="Q19" s="2"/>
      </tp>
      <tp t="s">
        <v>#N/A N/A</v>
        <stp/>
        <stp>BDH|12678701089083006039</stp>
        <tr r="AF26" s="2"/>
      </tp>
      <tp t="s">
        <v>#N/A N/A</v>
        <stp/>
        <stp>BDH|15141053669364422950</stp>
        <tr r="M54" s="2"/>
      </tp>
      <tp t="s">
        <v>#N/A N/A</v>
        <stp/>
        <stp>BDH|16671193924253731800</stp>
        <tr r="V48" s="2"/>
      </tp>
      <tp t="s">
        <v>#N/A N/A</v>
        <stp/>
        <stp>BDH|11275258874819773384</stp>
        <tr r="D8" s="2"/>
      </tp>
      <tp t="s">
        <v>#N/A N/A</v>
        <stp/>
        <stp>BDH|14982954684218312344</stp>
        <tr r="R10" s="2"/>
      </tp>
      <tp t="s">
        <v>#N/A N/A</v>
        <stp/>
        <stp>BDH|15726670182455487091</stp>
        <tr r="T30" s="2"/>
      </tp>
      <tp t="s">
        <v>#N/A N/A</v>
        <stp/>
        <stp>BDH|13175233652912999867</stp>
        <tr r="S85" s="2"/>
      </tp>
      <tp t="s">
        <v>#N/A N/A</v>
        <stp/>
        <stp>BDH|12904116695544645046</stp>
        <tr r="Z35" s="2"/>
      </tp>
      <tp t="s">
        <v>#N/A N/A</v>
        <stp/>
        <stp>BDH|18296190335120569449</stp>
        <tr r="J16" s="2"/>
      </tp>
      <tp t="s">
        <v>#N/A N/A</v>
        <stp/>
        <stp>BDH|14358973609732358109</stp>
        <tr r="Z45" s="2"/>
      </tp>
      <tp t="s">
        <v>#N/A N/A</v>
        <stp/>
        <stp>BDH|13369921375792344199</stp>
        <tr r="AD64" s="2"/>
      </tp>
      <tp t="s">
        <v>#N/A N/A</v>
        <stp/>
        <stp>BDH|18056474257302651584</stp>
        <tr r="Z66" s="2"/>
      </tp>
      <tp t="s">
        <v>#N/A N/A</v>
        <stp/>
        <stp>BDH|13188255071470013943</stp>
        <tr r="M44" s="2"/>
      </tp>
      <tp t="s">
        <v>#N/A N/A</v>
        <stp/>
        <stp>BDH|17476369910959286314</stp>
        <tr r="H61" s="2"/>
      </tp>
      <tp t="s">
        <v>#N/A N/A</v>
        <stp/>
        <stp>BDH|12276565927813103933</stp>
        <tr r="AD61" s="2"/>
      </tp>
      <tp t="s">
        <v>#N/A N/A</v>
        <stp/>
        <stp>BDH|13048428792301047013</stp>
        <tr r="V82" s="2"/>
      </tp>
      <tp t="s">
        <v>#N/A N/A</v>
        <stp/>
        <stp>BDH|14490014693480243253</stp>
        <tr r="AA71" s="2"/>
      </tp>
      <tp t="s">
        <v>#N/A N/A</v>
        <stp/>
        <stp>BDH|17212420060299696374</stp>
        <tr r="AE16" s="2"/>
      </tp>
      <tp t="s">
        <v>#N/A N/A</v>
        <stp/>
        <stp>BDH|13612887602880442482</stp>
        <tr r="D11" s="2"/>
      </tp>
      <tp t="s">
        <v>#N/A N/A</v>
        <stp/>
        <stp>BDH|11181267291286267346</stp>
        <tr r="G66" s="2"/>
      </tp>
      <tp t="s">
        <v>#N/A N/A</v>
        <stp/>
        <stp>BDH|15377577122044070959</stp>
        <tr r="I91" s="2"/>
      </tp>
      <tp t="s">
        <v>#N/A N/A</v>
        <stp/>
        <stp>BDH|13924088267608528203</stp>
        <tr r="M52" s="2"/>
      </tp>
      <tp t="s">
        <v>#N/A N/A</v>
        <stp/>
        <stp>BDH|14960791393262200724</stp>
        <tr r="AC56" s="2"/>
      </tp>
      <tp t="s">
        <v>#N/A N/A</v>
        <stp/>
        <stp>BDH|14741948761694954089</stp>
        <tr r="H29" s="2"/>
      </tp>
      <tp t="s">
        <v>#N/A N/A</v>
        <stp/>
        <stp>BDH|12357836142298615976</stp>
        <tr r="O79" s="2"/>
      </tp>
      <tp t="s">
        <v>#N/A N/A</v>
        <stp/>
        <stp>BDH|14824180263204647860</stp>
        <tr r="AB35" s="2"/>
      </tp>
      <tp t="s">
        <v>#N/A N/A</v>
        <stp/>
        <stp>BDH|16566644012648630663</stp>
        <tr r="AE34" s="2"/>
      </tp>
      <tp t="s">
        <v>#N/A N/A</v>
        <stp/>
        <stp>BDH|10717237104364511908</stp>
        <tr r="H46" s="2"/>
      </tp>
      <tp t="s">
        <v>#N/A N/A</v>
        <stp/>
        <stp>BDH|10412728780997219710</stp>
        <tr r="AC52" s="2"/>
      </tp>
      <tp t="s">
        <v>#N/A N/A</v>
        <stp/>
        <stp>BDH|12943220818149073765</stp>
        <tr r="AB36" s="2"/>
      </tp>
      <tp t="s">
        <v>#N/A N/A</v>
        <stp/>
        <stp>BDH|12853767688962543076</stp>
        <tr r="AE90" s="2"/>
      </tp>
      <tp t="s">
        <v>#N/A N/A</v>
        <stp/>
        <stp>BDH|14187344988228000896</stp>
        <tr r="M38" s="2"/>
      </tp>
      <tp t="s">
        <v>#N/A N/A</v>
        <stp/>
        <stp>BDH|10898297893696000264</stp>
        <tr r="M90" s="2"/>
      </tp>
      <tp t="s">
        <v>#N/A N/A</v>
        <stp/>
        <stp>BDH|12178642323019576048</stp>
        <tr r="X71" s="2"/>
      </tp>
      <tp t="s">
        <v>#N/A N/A</v>
        <stp/>
        <stp>BDH|16221343482050091232</stp>
        <tr r="J26" s="2"/>
      </tp>
      <tp t="s">
        <v>#N/A N/A</v>
        <stp/>
        <stp>BDH|17517716187933318476</stp>
        <tr r="J66" s="2"/>
      </tp>
      <tp t="s">
        <v>#N/A N/A</v>
        <stp/>
        <stp>BDH|17800196021259299255</stp>
        <tr r="H88" s="2"/>
      </tp>
      <tp t="s">
        <v>#N/A N/A</v>
        <stp/>
        <stp>BDH|10689858358891812346</stp>
        <tr r="N70" s="2"/>
      </tp>
      <tp t="s">
        <v>#N/A N/A</v>
        <stp/>
        <stp>BDH|14193988288543562930</stp>
        <tr r="C26" s="2"/>
      </tp>
      <tp t="s">
        <v>#N/A N/A</v>
        <stp/>
        <stp>BDH|10003937073319234850</stp>
        <tr r="C44" s="2"/>
      </tp>
      <tp t="s">
        <v>#N/A N/A</v>
        <stp/>
        <stp>BDH|16745832153116381224</stp>
        <tr r="AA14" s="2"/>
      </tp>
      <tp t="s">
        <v>#N/A N/A</v>
        <stp/>
        <stp>BDH|14278810947880738752</stp>
        <tr r="O69" s="2"/>
      </tp>
      <tp t="s">
        <v>#N/A N/A</v>
        <stp/>
        <stp>BDH|13463904025995097287</stp>
        <tr r="D49" s="2"/>
      </tp>
      <tp t="s">
        <v>#N/A N/A</v>
        <stp/>
        <stp>BDH|17084948909647056647</stp>
        <tr r="AC18" s="2"/>
      </tp>
      <tp t="s">
        <v>#N/A N/A</v>
        <stp/>
        <stp>BDH|15720830585429017383</stp>
        <tr r="I75" s="2"/>
      </tp>
      <tp t="s">
        <v>#N/A N/A</v>
        <stp/>
        <stp>BDH|17374994554610560439</stp>
        <tr r="AB88" s="2"/>
      </tp>
      <tp t="s">
        <v>#N/A N/A</v>
        <stp/>
        <stp>BDH|15646220753108665590</stp>
        <tr r="F28" s="2"/>
      </tp>
      <tp t="s">
        <v>#N/A N/A</v>
        <stp/>
        <stp>BDH|16881683099641203702</stp>
        <tr r="F34" s="2"/>
      </tp>
      <tp t="s">
        <v>#N/A N/A</v>
        <stp/>
        <stp>BDH|10341586316409736217</stp>
        <tr r="T18" s="2"/>
      </tp>
      <tp t="s">
        <v>#N/A N/A</v>
        <stp/>
        <stp>BDH|14426267398173095307</stp>
        <tr r="AF58" s="2"/>
      </tp>
      <tp t="s">
        <v>#N/A N/A</v>
        <stp/>
        <stp>BDH|13638841788685870982</stp>
        <tr r="V70" s="2"/>
      </tp>
      <tp t="s">
        <v>#N/A N/A</v>
        <stp/>
        <stp>BDH|12700722848897657967</stp>
        <tr r="AB20" s="2"/>
      </tp>
      <tp t="s">
        <v>#N/A N/A</v>
        <stp/>
        <stp>BDH|10094494410418543212</stp>
        <tr r="H25" s="2"/>
      </tp>
      <tp t="s">
        <v>#N/A N/A</v>
        <stp/>
        <stp>BDH|17401262931989698085</stp>
        <tr r="AE75" s="2"/>
      </tp>
      <tp t="s">
        <v>#N/A N/A</v>
        <stp/>
        <stp>BDH|15302214722409553383</stp>
        <tr r="AF62" s="2"/>
      </tp>
      <tp t="s">
        <v>#N/A N/A</v>
        <stp/>
        <stp>BDH|12718657998510791213</stp>
        <tr r="E55" s="2"/>
      </tp>
      <tp t="s">
        <v>#N/A N/A</v>
        <stp/>
        <stp>BDH|16164751289831956783</stp>
        <tr r="H16" s="2"/>
      </tp>
      <tp t="s">
        <v>#N/A N/A</v>
        <stp/>
        <stp>BDH|13864346045023484829</stp>
        <tr r="E65" s="2"/>
      </tp>
      <tp t="s">
        <v>#N/A N/A</v>
        <stp/>
        <stp>BDH|10335137693361805640</stp>
        <tr r="AE84" s="2"/>
      </tp>
      <tp t="s">
        <v>#N/A N/A</v>
        <stp/>
        <stp>BDH|13355687713418155365</stp>
        <tr r="N73" s="2"/>
      </tp>
      <tp t="s">
        <v>#N/A N/A</v>
        <stp/>
        <stp>BDH|17129906059691011576</stp>
        <tr r="AD74" s="2"/>
      </tp>
      <tp t="s">
        <v>#N/A N/A</v>
        <stp/>
        <stp>BDH|13166393247703652878</stp>
        <tr r="AE82" s="2"/>
      </tp>
      <tp t="s">
        <v>#N/A N/A</v>
        <stp/>
        <stp>BDH|17615474094165986022</stp>
        <tr r="I20" s="2"/>
      </tp>
      <tp t="s">
        <v>#N/A N/A</v>
        <stp/>
        <stp>BDH|10059980356262435145</stp>
        <tr r="H38" s="2"/>
      </tp>
      <tp t="s">
        <v>#N/A N/A</v>
        <stp/>
        <stp>BDH|16910742560750142820</stp>
        <tr r="U34" s="2"/>
      </tp>
      <tp t="s">
        <v>#N/A N/A</v>
        <stp/>
        <stp>BDH|13443763496138350969</stp>
        <tr r="AE28" s="2"/>
      </tp>
      <tp t="s">
        <v>#N/A N/A</v>
        <stp/>
        <stp>BDH|12330493532170847915</stp>
        <tr r="AF25" s="2"/>
      </tp>
      <tp t="s">
        <v>#N/A N/A</v>
        <stp/>
        <stp>BDH|11261697292681123393</stp>
        <tr r="W68" s="2"/>
      </tp>
      <tp t="s">
        <v>#N/A N/A</v>
        <stp/>
        <stp>BDH|13366127965300641833</stp>
        <tr r="H15" s="2"/>
      </tp>
      <tp t="s">
        <v>#N/A N/A</v>
        <stp/>
        <stp>BDH|13421813317356694040</stp>
        <tr r="AE69" s="2"/>
      </tp>
      <tp t="s">
        <v>#N/A N/A</v>
        <stp/>
        <stp>BDH|15679234545368528759</stp>
        <tr r="Z24" s="2"/>
      </tp>
      <tp t="s">
        <v>#N/A N/A</v>
        <stp/>
        <stp>BDH|15689310853169415603</stp>
        <tr r="S74" s="2"/>
      </tp>
      <tp t="s">
        <v>#N/A N/A</v>
        <stp/>
        <stp>BDH|11508982897174396996</stp>
        <tr r="Z20" s="2"/>
      </tp>
      <tp t="s">
        <v>#N/A N/A</v>
        <stp/>
        <stp>BDH|15697544355648255158</stp>
        <tr r="AF82" s="2"/>
      </tp>
      <tp t="s">
        <v>#N/A N/A</v>
        <stp/>
        <stp>BDH|15754837296848274034</stp>
        <tr r="Q29" s="2"/>
      </tp>
      <tp t="s">
        <v>#N/A N/A</v>
        <stp/>
        <stp>BDH|12357502598442925014</stp>
        <tr r="M57" s="2"/>
      </tp>
      <tp t="s">
        <v>#N/A N/A</v>
        <stp/>
        <stp>BDH|14278695119157815889</stp>
        <tr r="AE67" s="2"/>
      </tp>
      <tp t="s">
        <v>#N/A N/A</v>
        <stp/>
        <stp>BDH|15269768755432335906</stp>
        <tr r="T50" s="2"/>
      </tp>
      <tp t="s">
        <v>#N/A N/A</v>
        <stp/>
        <stp>BDH|12755175585937728006</stp>
        <tr r="AF60" s="2"/>
      </tp>
      <tp t="s">
        <v>#N/A N/A</v>
        <stp/>
        <stp>BDH|18043007053183496259</stp>
        <tr r="Y28" s="2"/>
      </tp>
      <tp t="s">
        <v>#N/A N/A</v>
        <stp/>
        <stp>BDH|12303863449507953571</stp>
        <tr r="L45" s="2"/>
      </tp>
      <tp t="s">
        <v>#N/A N/A</v>
        <stp/>
        <stp>BDH|14732159889154185582</stp>
        <tr r="Y34" s="2"/>
      </tp>
      <tp t="s">
        <v>#N/A N/A</v>
        <stp/>
        <stp>BDH|14269936836204046653</stp>
        <tr r="G53" s="2"/>
      </tp>
      <tp t="s">
        <v>#N/A N/A</v>
        <stp/>
        <stp>BDH|15290885203908390989</stp>
        <tr r="M29" s="2"/>
      </tp>
      <tp t="s">
        <v>#N/A N/A</v>
        <stp/>
        <stp>BDH|17331806312192011031</stp>
        <tr r="N19" s="2"/>
      </tp>
      <tp t="s">
        <v>#N/A N/A</v>
        <stp/>
        <stp>BDH|15138227607199301229</stp>
        <tr r="M66" s="2"/>
      </tp>
      <tp t="s">
        <v>#N/A N/A</v>
        <stp/>
        <stp>BDH|18387751345083472430</stp>
        <tr r="AC12" s="2"/>
      </tp>
      <tp t="s">
        <v>#N/A N/A</v>
        <stp/>
        <stp>BDH|12363704783546626721</stp>
        <tr r="Z17" s="2"/>
      </tp>
      <tp t="s">
        <v>#N/A N/A</v>
        <stp/>
        <stp>BDH|10916856141444310498</stp>
        <tr r="Y81" s="2"/>
      </tp>
      <tp t="s">
        <v>#N/A N/A</v>
        <stp/>
        <stp>BDH|12595830034607239275</stp>
        <tr r="E37" s="2"/>
      </tp>
      <tp t="s">
        <v>#N/A N/A</v>
        <stp/>
        <stp>BDH|14527776089182590593</stp>
        <tr r="U9" s="2"/>
      </tp>
      <tp t="s">
        <v>#N/A N/A</v>
        <stp/>
        <stp>BDH|17660923900213064133</stp>
        <tr r="T74" s="2"/>
      </tp>
      <tp t="s">
        <v>#N/A N/A</v>
        <stp/>
        <stp>BDH|12406375990503227767</stp>
        <tr r="P34" s="2"/>
      </tp>
      <tp t="s">
        <v>#N/A N/A</v>
        <stp/>
        <stp>BDH|12018149798656381082</stp>
        <tr r="Y10" s="2"/>
      </tp>
      <tp t="s">
        <v>#N/A N/A</v>
        <stp/>
        <stp>BDH|14520131099794810418</stp>
        <tr r="I52" s="2"/>
      </tp>
      <tp t="s">
        <v>#N/A N/A</v>
        <stp/>
        <stp>BDH|10829018280261917597</stp>
        <tr r="O65" s="2"/>
      </tp>
      <tp t="s">
        <v>#N/A N/A</v>
        <stp/>
        <stp>BDH|14843332732079657160</stp>
        <tr r="F62" s="2"/>
      </tp>
      <tp t="s">
        <v>#N/A N/A</v>
        <stp/>
        <stp>BDH|13409012473038878072</stp>
        <tr r="AC81" s="2"/>
      </tp>
      <tp t="s">
        <v>#N/A N/A</v>
        <stp/>
        <stp>BDH|17092838619762058035</stp>
        <tr r="Q26" s="2"/>
      </tp>
      <tp t="s">
        <v>#N/A N/A</v>
        <stp/>
        <stp>BDH|15576254661069172489</stp>
        <tr r="J13" s="2"/>
      </tp>
      <tp t="s">
        <v>#N/A N/A</v>
        <stp/>
        <stp>BDH|11369184403288627464</stp>
        <tr r="J43" s="2"/>
      </tp>
      <tp t="s">
        <v>#N/A N/A</v>
        <stp/>
        <stp>BDH|11251403493236949604</stp>
        <tr r="I71" s="2"/>
      </tp>
      <tp t="s">
        <v>#N/A N/A</v>
        <stp/>
        <stp>BDH|13509889939065960160</stp>
        <tr r="D21" s="2"/>
      </tp>
      <tp t="s">
        <v>#N/A N/A</v>
        <stp/>
        <stp>BDH|17993337186686203656</stp>
        <tr r="AC25" s="2"/>
      </tp>
      <tp t="s">
        <v>#N/A N/A</v>
        <stp/>
        <stp>BDH|14955963272163261541</stp>
        <tr r="T59" s="2"/>
      </tp>
      <tp t="s">
        <v>#N/A N/A</v>
        <stp/>
        <stp>BDH|16041025515072901955</stp>
        <tr r="W82" s="2"/>
      </tp>
      <tp t="s">
        <v>#N/A N/A</v>
        <stp/>
        <stp>BDH|17881725520337759901</stp>
        <tr r="AF37" s="2"/>
      </tp>
      <tp t="s">
        <v>#N/A N/A</v>
        <stp/>
        <stp>BDH|12895922649264682782</stp>
        <tr r="R48" s="2"/>
      </tp>
      <tp t="s">
        <v>#N/A N/A</v>
        <stp/>
        <stp>BDH|12715149651069787380</stp>
        <tr r="AD21" s="2"/>
      </tp>
      <tp t="s">
        <v>#N/A N/A</v>
        <stp/>
        <stp>BDH|13521654792507861772</stp>
        <tr r="V83" s="2"/>
      </tp>
      <tp t="s">
        <v>#N/A N/A</v>
        <stp/>
        <stp>BDH|14779446038457123872</stp>
        <tr r="U83" s="2"/>
      </tp>
      <tp t="s">
        <v>#N/A N/A</v>
        <stp/>
        <stp>BDH|14973351390481041308</stp>
        <tr r="I9" s="2"/>
      </tp>
      <tp t="s">
        <v>#N/A N/A</v>
        <stp/>
        <stp>BDH|17366367598046454758</stp>
        <tr r="AE48" s="2"/>
      </tp>
      <tp t="s">
        <v>#N/A N/A</v>
        <stp/>
        <stp>BDH|10782954579842145063</stp>
        <tr r="Q59" s="2"/>
      </tp>
      <tp t="s">
        <v>#N/A N/A</v>
        <stp/>
        <stp>BDH|15389337541217528988</stp>
        <tr r="K81" s="2"/>
      </tp>
      <tp t="s">
        <v>#N/A N/A</v>
        <stp/>
        <stp>BDH|15844152291409117828</stp>
        <tr r="M27" s="2"/>
      </tp>
      <tp t="s">
        <v>#N/A N/A</v>
        <stp/>
        <stp>BDH|11979855306327099250</stp>
        <tr r="M56" s="2"/>
      </tp>
      <tp t="s">
        <v>#N/A N/A</v>
        <stp/>
        <stp>BDH|10108691371254412925</stp>
        <tr r="P7" s="2"/>
      </tp>
      <tp t="s">
        <v>#N/A N/A</v>
        <stp/>
        <stp>BDH|11976049116669368578</stp>
        <tr r="Q35" s="2"/>
      </tp>
      <tp t="s">
        <v>#N/A N/A</v>
        <stp/>
        <stp>BDH|11004430498773222363</stp>
        <tr r="M82" s="2"/>
      </tp>
      <tp t="s">
        <v>#N/A N/A</v>
        <stp/>
        <stp>BDH|17690946439828300971</stp>
        <tr r="Y83" s="2"/>
      </tp>
      <tp t="s">
        <v>#N/A N/A</v>
        <stp/>
        <stp>BDH|10055865458604874586</stp>
        <tr r="AD67" s="2"/>
      </tp>
      <tp t="s">
        <v>#N/A N/A</v>
        <stp/>
        <stp>BDH|10377309988800236770</stp>
        <tr r="V12" s="2"/>
      </tp>
      <tp t="s">
        <v>#N/A N/A</v>
        <stp/>
        <stp>BDH|17275826187648589230</stp>
        <tr r="F37" s="2"/>
      </tp>
      <tp t="s">
        <v>#N/A N/A</v>
        <stp/>
        <stp>BDH|13060642899947847648</stp>
        <tr r="K84" s="2"/>
      </tp>
      <tp t="s">
        <v>#N/A N/A</v>
        <stp/>
        <stp>BDH|15923802915711554099</stp>
        <tr r="Y55" s="2"/>
      </tp>
      <tp t="s">
        <v>#N/A N/A</v>
        <stp/>
        <stp>BDH|15122804294568790122</stp>
        <tr r="C58" s="2"/>
      </tp>
      <tp t="s">
        <v>#N/A N/A</v>
        <stp/>
        <stp>BDH|14109238773014354822</stp>
        <tr r="G74" s="2"/>
      </tp>
      <tp t="s">
        <v>#N/A N/A</v>
        <stp/>
        <stp>BDH|10510674687810097359</stp>
        <tr r="AB87" s="2"/>
      </tp>
      <tp t="s">
        <v>#N/A N/A</v>
        <stp/>
        <stp>BDH|14560560900719157521</stp>
        <tr r="I26" s="2"/>
      </tp>
      <tp t="s">
        <v>#N/A N/A</v>
        <stp/>
        <stp>BDH|15887105591872892218</stp>
        <tr r="AF19" s="2"/>
      </tp>
      <tp t="s">
        <v>#N/A N/A</v>
        <stp/>
        <stp>BDH|17877868178181774422</stp>
        <tr r="Q79" s="2"/>
      </tp>
      <tp t="s">
        <v>#N/A N/A</v>
        <stp/>
        <stp>BDH|12362924829671320588</stp>
        <tr r="O84" s="2"/>
      </tp>
      <tp t="s">
        <v>#N/A N/A</v>
        <stp/>
        <stp>BDH|14752340441979212733</stp>
        <tr r="W34" s="2"/>
      </tp>
      <tp t="s">
        <v>#N/A N/A</v>
        <stp/>
        <stp>BDH|12721939026290977482</stp>
        <tr r="AB21" s="2"/>
      </tp>
      <tp t="s">
        <v>#N/A N/A</v>
        <stp/>
        <stp>BDH|10749160391957785249</stp>
        <tr r="E10" s="2"/>
      </tp>
      <tp t="s">
        <v>#N/A N/A</v>
        <stp/>
        <stp>BDH|17129920507607163460</stp>
        <tr r="Q36" s="2"/>
      </tp>
      <tp t="s">
        <v>#N/A N/A</v>
        <stp/>
        <stp>BDH|16208168095460547365</stp>
        <tr r="J81" s="2"/>
      </tp>
      <tp t="s">
        <v>#N/A N/A</v>
        <stp/>
        <stp>BDH|17634659181050987491</stp>
        <tr r="K80" s="2"/>
      </tp>
      <tp t="s">
        <v>#N/A N/A</v>
        <stp/>
        <stp>BDH|17810964509443217070</stp>
        <tr r="AA18" s="2"/>
      </tp>
      <tp t="s">
        <v>#N/A N/A</v>
        <stp/>
        <stp>BDH|14543550161899525368</stp>
        <tr r="Z30" s="2"/>
      </tp>
      <tp t="s">
        <v>#N/A N/A</v>
        <stp/>
        <stp>BDH|13732479392304229755</stp>
        <tr r="AD91" s="2"/>
      </tp>
      <tp t="s">
        <v>#N/A N/A</v>
        <stp/>
        <stp>BDH|17428661484405013136</stp>
        <tr r="D41" s="2"/>
      </tp>
      <tp t="s">
        <v>#N/A N/A</v>
        <stp/>
        <stp>BDH|10094019937277500962</stp>
        <tr r="Q60" s="2"/>
      </tp>
      <tp t="s">
        <v>#N/A N/A</v>
        <stp/>
        <stp>BDH|14552252878839517595</stp>
        <tr r="AE24" s="2"/>
      </tp>
      <tp t="s">
        <v>#N/A N/A</v>
        <stp/>
        <stp>BDH|15946688574980737969</stp>
        <tr r="N72" s="2"/>
      </tp>
      <tp t="s">
        <v>#N/A N/A</v>
        <stp/>
        <stp>BDH|14843188391049333861</stp>
        <tr r="AA44" s="2"/>
      </tp>
      <tp t="s">
        <v>#N/A N/A</v>
        <stp/>
        <stp>BDH|17737488121519331593</stp>
        <tr r="E44" s="2"/>
      </tp>
      <tp t="s">
        <v>#N/A N/A</v>
        <stp/>
        <stp>BDH|15532302279699831506</stp>
        <tr r="D35" s="2"/>
      </tp>
      <tp t="s">
        <v>#N/A N/A</v>
        <stp/>
        <stp>BDH|12425388390327247297</stp>
        <tr r="X81" s="2"/>
      </tp>
      <tp t="s">
        <v>#N/A N/A</v>
        <stp/>
        <stp>BDH|17376619562622252852</stp>
        <tr r="S82" s="2"/>
      </tp>
      <tp t="s">
        <v>#N/A N/A</v>
        <stp/>
        <stp>BDH|12630698384160450181</stp>
        <tr r="T7" s="2"/>
      </tp>
      <tp t="s">
        <v>#N/A N/A</v>
        <stp/>
        <stp>BDH|10534422190337442745</stp>
        <tr r="H45" s="2"/>
      </tp>
      <tp t="s">
        <v>#N/A N/A</v>
        <stp/>
        <stp>BDH|17240135600149614206</stp>
        <tr r="T15" s="2"/>
      </tp>
      <tp t="s">
        <v>#N/A N/A</v>
        <stp/>
        <stp>BDH|17156130385685311629</stp>
        <tr r="Z48" s="2"/>
      </tp>
      <tp t="s">
        <v>#N/A N/A</v>
        <stp/>
        <stp>BDH|14732729963460462840</stp>
        <tr r="M89" s="2"/>
      </tp>
      <tp t="s">
        <v>#N/A N/A</v>
        <stp/>
        <stp>BDH|13311962605536395150</stp>
        <tr r="W39" s="2"/>
      </tp>
      <tp t="s">
        <v>#N/A N/A</v>
        <stp/>
        <stp>BDH|13383192829468445514</stp>
        <tr r="F14" s="2"/>
      </tp>
      <tp t="s">
        <v>#N/A N/A</v>
        <stp/>
        <stp>BDH|18149621111712654023</stp>
        <tr r="S41" s="2"/>
      </tp>
      <tp t="s">
        <v>#N/A N/A</v>
        <stp/>
        <stp>BDH|13169975053632992054</stp>
        <tr r="X12" s="2"/>
      </tp>
      <tp t="s">
        <v>#N/A N/A</v>
        <stp/>
        <stp>BDH|13397787635542253856</stp>
        <tr r="M28" s="2"/>
      </tp>
      <tp t="s">
        <v>#N/A N/A</v>
        <stp/>
        <stp>BDH|11038896440521374130</stp>
        <tr r="Y73" s="2"/>
      </tp>
      <tp t="s">
        <v>#N/A N/A</v>
        <stp/>
        <stp>BDH|10260839761387025480</stp>
        <tr r="G47" s="2"/>
      </tp>
      <tp t="s">
        <v>#N/A N/A</v>
        <stp/>
        <stp>BDH|11845776084771029230</stp>
        <tr r="C81" s="2"/>
      </tp>
      <tp t="s">
        <v>#N/A N/A</v>
        <stp/>
        <stp>BDH|15290224091071187281</stp>
        <tr r="F68" s="2"/>
      </tp>
      <tp t="s">
        <v>#N/A N/A</v>
        <stp/>
        <stp>BDH|16384642819534296878</stp>
        <tr r="P87" s="2"/>
      </tp>
      <tp t="s">
        <v>#N/A N/A</v>
        <stp/>
        <stp>BDH|10937795063349107589</stp>
        <tr r="N30" s="2"/>
      </tp>
      <tp t="s">
        <v>#N/A N/A</v>
        <stp/>
        <stp>BDH|11312148539128428609</stp>
        <tr r="AC37" s="2"/>
      </tp>
      <tp t="s">
        <v>#N/A N/A</v>
        <stp/>
        <stp>BDH|14061873063694989378</stp>
        <tr r="T61" s="2"/>
      </tp>
      <tp t="s">
        <v>#N/A N/A</v>
        <stp/>
        <stp>BDH|13522381882833618638</stp>
        <tr r="E53" s="2"/>
      </tp>
      <tp t="s">
        <v>#N/A N/A</v>
        <stp/>
        <stp>BDH|16895367698899985827</stp>
        <tr r="Q74" s="2"/>
      </tp>
      <tp t="s">
        <v>#N/A N/A</v>
        <stp/>
        <stp>BDH|12243491938889946177</stp>
        <tr r="AB29" s="2"/>
      </tp>
      <tp t="s">
        <v>#N/A N/A</v>
        <stp/>
        <stp>BDH|18001377061977272797</stp>
        <tr r="AC51" s="2"/>
      </tp>
      <tp t="s">
        <v>#N/A N/A</v>
        <stp/>
        <stp>BDH|17347869044860802648</stp>
        <tr r="E41" s="2"/>
      </tp>
      <tp t="s">
        <v>#N/A N/A</v>
        <stp/>
        <stp>BDH|12048482294124000617</stp>
        <tr r="D9" s="2"/>
      </tp>
      <tp t="s">
        <v>#N/A N/A</v>
        <stp/>
        <stp>BDH|17408134800452870927</stp>
        <tr r="X42" s="2"/>
      </tp>
      <tp t="s">
        <v>#N/A N/A</v>
        <stp/>
        <stp>BDH|12630991428056974222</stp>
        <tr r="X17" s="2"/>
      </tp>
      <tp t="s">
        <v>#N/A N/A</v>
        <stp/>
        <stp>BDH|10068485392987641730</stp>
        <tr r="P10" s="2"/>
      </tp>
      <tp t="s">
        <v>#N/A N/A</v>
        <stp/>
        <stp>BDH|17837863376034780111</stp>
        <tr r="AD34" s="2"/>
      </tp>
      <tp t="s">
        <v>#N/A N/A</v>
        <stp/>
        <stp>BDH|13856981688409316658</stp>
        <tr r="N85" s="2"/>
      </tp>
      <tp t="s">
        <v>#N/A N/A</v>
        <stp/>
        <stp>BDH|18217249600451128967</stp>
        <tr r="Q71" s="2"/>
      </tp>
      <tp t="s">
        <v>#N/A N/A</v>
        <stp/>
        <stp>BDH|15003611497991357942</stp>
        <tr r="X16" s="2"/>
      </tp>
      <tp t="s">
        <v>#N/A N/A</v>
        <stp/>
        <stp>BDH|12978026926552979054</stp>
        <tr r="V54" s="2"/>
      </tp>
      <tp t="s">
        <v>#N/A N/A</v>
        <stp/>
        <stp>BDH|17172311595047398878</stp>
        <tr r="AF39" s="2"/>
      </tp>
      <tp t="s">
        <v>#N/A N/A</v>
        <stp/>
        <stp>BDH|12136519157442650210</stp>
        <tr r="AA57" s="2"/>
      </tp>
      <tp t="s">
        <v>#N/A N/A</v>
        <stp/>
        <stp>BDH|11182038003505602672</stp>
        <tr r="AD80" s="2"/>
      </tp>
      <tp t="s">
        <v>#N/A N/A</v>
        <stp/>
        <stp>BDH|17674562311403541243</stp>
        <tr r="M40" s="2"/>
      </tp>
      <tp t="s">
        <v>#N/A N/A</v>
        <stp/>
        <stp>BDH|14667329017017329309</stp>
        <tr r="X15" s="2"/>
      </tp>
      <tp t="s">
        <v>#N/A N/A</v>
        <stp/>
        <stp>BDH|16777475780570087830</stp>
        <tr r="T84" s="2"/>
      </tp>
      <tp t="s">
        <v>#N/A N/A</v>
        <stp/>
        <stp>BDH|14028810853012790966</stp>
        <tr r="Y60" s="2"/>
      </tp>
      <tp t="s">
        <v>#N/A N/A</v>
        <stp/>
        <stp>BDH|13675140305248517816</stp>
        <tr r="V13" s="2"/>
      </tp>
      <tp t="s">
        <v>#N/A N/A</v>
        <stp/>
        <stp>BDH|16506057426560305678</stp>
        <tr r="F88" s="2"/>
      </tp>
      <tp t="s">
        <v>#N/A N/A</v>
        <stp/>
        <stp>BDH|12934974131993857952</stp>
        <tr r="S23" s="2"/>
      </tp>
      <tp t="s">
        <v>#N/A N/A</v>
        <stp/>
        <stp>BDH|11913219484419971001</stp>
        <tr r="I56" s="2"/>
      </tp>
      <tp t="s">
        <v>#N/A N/A</v>
        <stp/>
        <stp>BDH|14739209723482310426</stp>
        <tr r="D43" s="2"/>
      </tp>
      <tp t="s">
        <v>#N/A N/A</v>
        <stp/>
        <stp>BDH|12114704825036759368</stp>
        <tr r="C8" s="2"/>
      </tp>
      <tp t="s">
        <v>#N/A N/A</v>
        <stp/>
        <stp>BDH|12964035019292313351</stp>
        <tr r="S72" s="2"/>
      </tp>
      <tp t="s">
        <v>#N/A N/A</v>
        <stp/>
        <stp>BDH|11125640540308954986</stp>
        <tr r="U31" s="2"/>
      </tp>
      <tp t="s">
        <v>#N/A N/A</v>
        <stp/>
        <stp>BDH|14454901117877054979</stp>
        <tr r="T83" s="2"/>
      </tp>
      <tp t="s">
        <v>#N/A N/A</v>
        <stp/>
        <stp>BDH|16581363056822539045</stp>
        <tr r="AE83" s="2"/>
      </tp>
      <tp t="s">
        <v>#N/A N/A</v>
        <stp/>
        <stp>BDH|17614168290285130860</stp>
        <tr r="G59" s="2"/>
      </tp>
      <tp t="s">
        <v>#N/A N/A</v>
        <stp/>
        <stp>BDH|17554162985709155508</stp>
        <tr r="S59" s="2"/>
      </tp>
      <tp t="s">
        <v>#N/A N/A</v>
        <stp/>
        <stp>BDH|15360064377409057950</stp>
        <tr r="G43" s="2"/>
      </tp>
      <tp t="s">
        <v>#N/A N/A</v>
        <stp/>
        <stp>BDH|17289527724614689653</stp>
        <tr r="G48" s="2"/>
      </tp>
      <tp t="s">
        <v>#N/A N/A</v>
        <stp/>
        <stp>BDH|15704674805610232100</stp>
        <tr r="I14" s="2"/>
      </tp>
      <tp t="s">
        <v>#N/A N/A</v>
        <stp/>
        <stp>BDH|16002076976283528030</stp>
        <tr r="U88" s="2"/>
      </tp>
      <tp t="s">
        <v>#N/A N/A</v>
        <stp/>
        <stp>BDH|18105287109350742814</stp>
        <tr r="O56" s="2"/>
      </tp>
      <tp t="s">
        <v>#N/A N/A</v>
        <stp/>
        <stp>BDH|18180213282803399383</stp>
        <tr r="Q44" s="2"/>
      </tp>
      <tp t="s">
        <v>#N/A N/A</v>
        <stp/>
        <stp>BDH|17719137298429238479</stp>
        <tr r="AB71" s="2"/>
      </tp>
      <tp t="s">
        <v>#N/A N/A</v>
        <stp/>
        <stp>BDH|10738077508876728466</stp>
        <tr r="W58" s="2"/>
      </tp>
      <tp t="s">
        <v>#N/A N/A</v>
        <stp/>
        <stp>BDH|13990637466863236273</stp>
        <tr r="I89" s="2"/>
      </tp>
      <tp t="s">
        <v>#N/A N/A</v>
        <stp/>
        <stp>BDH|16672742099129592364</stp>
        <tr r="AF30" s="2"/>
      </tp>
      <tp t="s">
        <v>#N/A N/A</v>
        <stp/>
        <stp>BDH|13828152410864772527</stp>
        <tr r="U69" s="2"/>
      </tp>
      <tp t="s">
        <v>#N/A N/A</v>
        <stp/>
        <stp>BDH|10953903795904309671</stp>
        <tr r="R18" s="2"/>
      </tp>
      <tp t="s">
        <v>#N/A N/A</v>
        <stp/>
        <stp>BDH|15347084023151538453</stp>
        <tr r="N63" s="2"/>
      </tp>
      <tp t="s">
        <v>#N/A N/A</v>
        <stp/>
        <stp>BDH|13473910371888879748</stp>
        <tr r="AE42" s="2"/>
      </tp>
      <tp t="s">
        <v>#N/A N/A</v>
        <stp/>
        <stp>BDH|12709050002109117995</stp>
        <tr r="M87" s="2"/>
      </tp>
      <tp t="s">
        <v>#N/A N/A</v>
        <stp/>
        <stp>BDH|10624583617932777450</stp>
        <tr r="G80" s="2"/>
      </tp>
      <tp t="s">
        <v>#N/A N/A</v>
        <stp/>
        <stp>BDH|13761597309922943651</stp>
        <tr r="X26" s="2"/>
      </tp>
      <tp t="s">
        <v>#N/A N/A</v>
        <stp/>
        <stp>BDH|15856718735683211058</stp>
        <tr r="K58" s="2"/>
      </tp>
      <tp t="s">
        <v>#N/A N/A</v>
        <stp/>
        <stp>BDH|15993191519632430568</stp>
        <tr r="V61" s="2"/>
      </tp>
      <tp t="s">
        <v>#N/A N/A</v>
        <stp/>
        <stp>BDH|12003804089864617457</stp>
        <tr r="M34" s="2"/>
      </tp>
      <tp t="s">
        <v>#N/A N/A</v>
        <stp/>
        <stp>BDH|16385759228868736933</stp>
        <tr r="D67" s="2"/>
      </tp>
      <tp t="s">
        <v>#N/A N/A</v>
        <stp/>
        <stp>BDH|15224769546337037386</stp>
        <tr r="X51" s="2"/>
      </tp>
      <tp t="s">
        <v>#N/A N/A</v>
        <stp/>
        <stp>BDH|12474095561310259640</stp>
        <tr r="AF29" s="2"/>
      </tp>
      <tp t="s">
        <v>#N/A N/A</v>
        <stp/>
        <stp>BDH|12676047891348796190</stp>
        <tr r="AB27" s="2"/>
      </tp>
      <tp t="s">
        <v>#N/A N/A</v>
        <stp/>
        <stp>BDH|11072998196964474761</stp>
        <tr r="D62" s="2"/>
      </tp>
      <tp t="s">
        <v>#N/A N/A</v>
        <stp/>
        <stp>BDH|13916502778261960253</stp>
        <tr r="Z16" s="2"/>
      </tp>
      <tp t="s">
        <v>#N/A N/A</v>
        <stp/>
        <stp>BDH|10278240936824958751</stp>
        <tr r="T91" s="2"/>
      </tp>
      <tp t="s">
        <v>#N/A N/A</v>
        <stp/>
        <stp>BDH|15736099272675877582</stp>
        <tr r="D60" s="2"/>
      </tp>
      <tp t="s">
        <v>#N/A N/A</v>
        <stp/>
        <stp>BDH|11997063756665416314</stp>
        <tr r="P41" s="2"/>
      </tp>
      <tp t="s">
        <v>#N/A N/A</v>
        <stp/>
        <stp>BDH|13602780334246345359</stp>
        <tr r="G24" s="2"/>
      </tp>
      <tp t="s">
        <v>#N/A N/A</v>
        <stp/>
        <stp>BDH|17197362652653029092</stp>
        <tr r="U39" s="2"/>
      </tp>
      <tp t="s">
        <v>#N/A N/A</v>
        <stp/>
        <stp>BDH|17565283775968416801</stp>
        <tr r="E35" s="2"/>
      </tp>
      <tp t="s">
        <v>#N/A N/A</v>
        <stp/>
        <stp>BDH|12175559129066378129</stp>
        <tr r="W83" s="2"/>
      </tp>
      <tp t="s">
        <v>#N/A N/A</v>
        <stp/>
        <stp>BDH|15532417993692033889</stp>
        <tr r="S8" s="2"/>
      </tp>
      <tp t="s">
        <v>#N/A N/A</v>
        <stp/>
        <stp>BDH|14595412058325093231</stp>
        <tr r="E70" s="2"/>
      </tp>
      <tp t="s">
        <v>#N/A N/A</v>
        <stp/>
        <stp>BDH|11162420786039840622</stp>
        <tr r="Y21" s="2"/>
      </tp>
      <tp t="s">
        <v>#N/A N/A</v>
        <stp/>
        <stp>BDH|12374747832440263499</stp>
        <tr r="L26" s="2"/>
      </tp>
      <tp t="s">
        <v>#N/A N/A</v>
        <stp/>
        <stp>BDH|11265495421872515712</stp>
        <tr r="W49" s="2"/>
      </tp>
      <tp t="s">
        <v>#N/A N/A</v>
        <stp/>
        <stp>BDH|14819515522357599600</stp>
        <tr r="T54" s="2"/>
      </tp>
      <tp t="s">
        <v>#N/A N/A</v>
        <stp/>
        <stp>BDH|13426727828684091007</stp>
        <tr r="V36" s="2"/>
      </tp>
      <tp t="s">
        <v>#N/A N/A</v>
        <stp/>
        <stp>BDH|15622077939233611705</stp>
        <tr r="J50" s="2"/>
      </tp>
      <tp t="s">
        <v>#N/A N/A</v>
        <stp/>
        <stp>BDH|16577676500585478781</stp>
        <tr r="X47" s="2"/>
      </tp>
      <tp t="s">
        <v>#N/A N/A</v>
        <stp/>
        <stp>BDH|15230507107594945624</stp>
        <tr r="O13" s="2"/>
      </tp>
      <tp t="s">
        <v>#N/A N/A</v>
        <stp/>
        <stp>BDH|18243982875717895398</stp>
        <tr r="W17" s="2"/>
      </tp>
      <tp t="s">
        <v>#N/A N/A</v>
        <stp/>
        <stp>BDH|12371458132441189749</stp>
        <tr r="W42" s="2"/>
      </tp>
      <tp t="s">
        <v>#N/A N/A</v>
        <stp/>
        <stp>BDH|12851680771691609169</stp>
        <tr r="H48" s="2"/>
      </tp>
      <tp t="s">
        <v>#N/A N/A</v>
        <stp/>
        <stp>BDH|11244208829443863126</stp>
        <tr r="J82" s="2"/>
      </tp>
      <tp t="s">
        <v>#N/A N/A</v>
        <stp/>
        <stp>BDH|11516372186338416116</stp>
        <tr r="U71" s="2"/>
      </tp>
      <tp t="s">
        <v>#N/A N/A</v>
        <stp/>
        <stp>BDH|13661500444103437272</stp>
        <tr r="AF73" s="2"/>
      </tp>
      <tp t="s">
        <v>#N/A N/A</v>
        <stp/>
        <stp>BDH|13756551462054597756</stp>
        <tr r="M9" s="2"/>
      </tp>
      <tp t="s">
        <v>#N/A N/A</v>
        <stp/>
        <stp>BDH|11247361315394986487</stp>
        <tr r="S52" s="2"/>
      </tp>
      <tp t="s">
        <v>#N/A N/A</v>
        <stp/>
        <stp>BDH|16608143066095042748</stp>
        <tr r="R35" s="2"/>
      </tp>
      <tp t="s">
        <v>#N/A N/A</v>
        <stp/>
        <stp>BDH|16396775995352512943</stp>
        <tr r="X83" s="2"/>
      </tp>
      <tp t="s">
        <v>#N/A N/A</v>
        <stp/>
        <stp>BDH|11457135522475206479</stp>
        <tr r="P85" s="2"/>
      </tp>
      <tp t="s">
        <v>#N/A N/A</v>
        <stp/>
        <stp>BDH|17873112049096642760</stp>
        <tr r="R83" s="2"/>
      </tp>
      <tp t="s">
        <v>#N/A N/A</v>
        <stp/>
        <stp>BDH|15133392079032370021</stp>
        <tr r="M71" s="2"/>
      </tp>
      <tp t="s">
        <v>#N/A N/A</v>
        <stp/>
        <stp>BDH|14110935919359202692</stp>
        <tr r="O27" s="2"/>
      </tp>
      <tp t="s">
        <v>#N/A N/A</v>
        <stp/>
        <stp>BDH|15192800185421733707</stp>
        <tr r="L11" s="2"/>
      </tp>
      <tp t="s">
        <v>#N/A N/A</v>
        <stp/>
        <stp>BDH|17568544409152380385</stp>
        <tr r="AA47" s="2"/>
      </tp>
      <tp t="s">
        <v>#N/A N/A</v>
        <stp/>
        <stp>BDH|14639884938808372465</stp>
        <tr r="H73" s="2"/>
      </tp>
      <tp t="s">
        <v>#N/A N/A</v>
        <stp/>
        <stp>BDH|11712580357660959221</stp>
        <tr r="K48" s="2"/>
      </tp>
      <tp t="s">
        <v>#N/A N/A</v>
        <stp/>
        <stp>BDH|15525413739718620982</stp>
        <tr r="N12" s="2"/>
      </tp>
      <tp t="s">
        <v>#N/A N/A</v>
        <stp/>
        <stp>BDH|17600554339766877412</stp>
        <tr r="S21" s="2"/>
      </tp>
      <tp t="s">
        <v>#N/A N/A</v>
        <stp/>
        <stp>BDH|16836029154935512587</stp>
        <tr r="K45" s="2"/>
      </tp>
      <tp t="s">
        <v>#N/A N/A</v>
        <stp/>
        <stp>BDH|14930591023412898290</stp>
        <tr r="U54" s="2"/>
      </tp>
      <tp t="s">
        <v>#N/A N/A</v>
        <stp/>
        <stp>BDH|14985320000351130587</stp>
        <tr r="I30" s="2"/>
      </tp>
      <tp t="s">
        <v>#N/A N/A</v>
        <stp/>
        <stp>BDH|15035439333907575674</stp>
        <tr r="W15" s="2"/>
      </tp>
      <tp t="s">
        <v>#N/A N/A</v>
        <stp/>
        <stp>BDH|11415477974892298372</stp>
        <tr r="W18" s="2"/>
      </tp>
      <tp t="s">
        <v>#N/A N/A</v>
        <stp/>
        <stp>BDH|10523020694068597235</stp>
        <tr r="D34" s="2"/>
      </tp>
      <tp t="s">
        <v>#N/A N/A</v>
        <stp/>
        <stp>BDH|15179431113701163255</stp>
        <tr r="AB65" s="2"/>
      </tp>
      <tp t="s">
        <v>#N/A N/A</v>
        <stp/>
        <stp>BDH|10308534109934447289</stp>
        <tr r="Q47" s="2"/>
      </tp>
      <tp t="s">
        <v>#N/A N/A</v>
        <stp/>
        <stp>BDH|17777852618804782982</stp>
        <tr r="U65" s="2"/>
      </tp>
      <tp t="s">
        <v>#N/A N/A</v>
        <stp/>
        <stp>BDH|13404287182749815337</stp>
        <tr r="AA74" s="2"/>
      </tp>
      <tp t="s">
        <v>#N/A N/A</v>
        <stp/>
        <stp>BDH|15479086574873596285</stp>
        <tr r="Z90" s="2"/>
      </tp>
      <tp t="s">
        <v>#N/A N/A</v>
        <stp/>
        <stp>BDH|12737419458071285189</stp>
        <tr r="AB64" s="2"/>
      </tp>
      <tp t="s">
        <v>#N/A N/A</v>
        <stp/>
        <stp>BDH|10117001546301093636</stp>
        <tr r="G60" s="2"/>
      </tp>
      <tp t="s">
        <v>#N/A N/A</v>
        <stp/>
        <stp>BDH|17252548396209141158</stp>
        <tr r="S22" s="2"/>
      </tp>
      <tp t="s">
        <v>#N/A N/A</v>
        <stp/>
        <stp>BDH|16038582717939282892</stp>
        <tr r="P46" s="2"/>
      </tp>
      <tp t="s">
        <v>#N/A N/A</v>
        <stp/>
        <stp>BDH|13149779924621301459</stp>
        <tr r="AE66" s="2"/>
      </tp>
      <tp t="s">
        <v>#N/A N/A</v>
        <stp/>
        <stp>BDH|10875386675335703267</stp>
        <tr r="E11" s="2"/>
      </tp>
      <tp t="s">
        <v>#N/A N/A</v>
        <stp/>
        <stp>BDH|11353595712097699195</stp>
        <tr r="J14" s="2"/>
      </tp>
      <tp t="s">
        <v>#N/A N/A</v>
        <stp/>
        <stp>BDH|15843926302607735886</stp>
        <tr r="Z72" s="2"/>
      </tp>
      <tp t="s">
        <v>#N/A N/A</v>
        <stp/>
        <stp>BDH|13077770052675119737</stp>
        <tr r="N7" s="2"/>
      </tp>
      <tp t="s">
        <v>#N/A N/A</v>
        <stp/>
        <stp>BDH|12982485437287509155</stp>
        <tr r="L27" s="2"/>
      </tp>
      <tp t="s">
        <v>#N/A N/A</v>
        <stp/>
        <stp>BDH|11134970303918524367</stp>
        <tr r="AA45" s="2"/>
      </tp>
      <tp t="s">
        <v>#N/A N/A</v>
        <stp/>
        <stp>BDH|11169008620686578622</stp>
        <tr r="Q75" s="2"/>
      </tp>
      <tp t="s">
        <v>#N/A N/A</v>
        <stp/>
        <stp>BDH|16500462624511356221</stp>
        <tr r="AC35" s="2"/>
      </tp>
      <tp t="s">
        <v>#N/A N/A</v>
        <stp/>
        <stp>BDH|14922201930665666392</stp>
        <tr r="K36" s="2"/>
      </tp>
      <tp t="s">
        <v>#N/A N/A</v>
        <stp/>
        <stp>BDH|13802701369481734000</stp>
        <tr r="AB58" s="2"/>
      </tp>
      <tp t="s">
        <v>#N/A N/A</v>
        <stp/>
        <stp>BDH|10607131332248164901</stp>
        <tr r="T23" s="2"/>
      </tp>
      <tp t="s">
        <v>#N/A N/A</v>
        <stp/>
        <stp>BDH|17391834863283393962</stp>
        <tr r="AE70" s="2"/>
      </tp>
      <tp t="s">
        <v>#N/A N/A</v>
        <stp/>
        <stp>BDH|18116099761005122812</stp>
        <tr r="AC79" s="2"/>
      </tp>
      <tp t="s">
        <v>#N/A N/A</v>
        <stp/>
        <stp>BDH|10049003881629077289</stp>
        <tr r="K15" s="2"/>
      </tp>
      <tp t="s">
        <v>#N/A N/A</v>
        <stp/>
        <stp>BDH|17636844795447982274</stp>
        <tr r="F60" s="2"/>
      </tp>
      <tp t="s">
        <v>#N/A N/A</v>
        <stp/>
        <stp>BDH|12271625994079805751</stp>
        <tr r="AB43" s="2"/>
      </tp>
      <tp t="s">
        <v>#N/A N/A</v>
        <stp/>
        <stp>BDH|13000500521937183092</stp>
        <tr r="M26" s="2"/>
      </tp>
      <tp t="s">
        <v>#N/A N/A</v>
        <stp/>
        <stp>BDH|17047403917536776793</stp>
        <tr r="AB82" s="2"/>
      </tp>
      <tp t="s">
        <v>#N/A N/A</v>
        <stp/>
        <stp>BDH|16930477816243646374</stp>
        <tr r="AF81" s="2"/>
      </tp>
      <tp t="s">
        <v>#N/A N/A</v>
        <stp/>
        <stp>BDH|13413686676794190530</stp>
        <tr r="E47" s="2"/>
      </tp>
      <tp t="s">
        <v>#N/A N/A</v>
        <stp/>
        <stp>BDH|15392457233574439591</stp>
        <tr r="X86" s="2"/>
      </tp>
      <tp t="s">
        <v>#N/A N/A</v>
        <stp/>
        <stp>BDH|14091503155197836050</stp>
        <tr r="P72" s="2"/>
      </tp>
      <tp t="s">
        <v>#N/A N/A</v>
        <stp/>
        <stp>BDH|10245076539578178853</stp>
        <tr r="D85" s="2"/>
      </tp>
      <tp t="s">
        <v>#N/A N/A</v>
        <stp/>
        <stp>BDH|12088336128955342502</stp>
        <tr r="Q88" s="2"/>
      </tp>
      <tp t="s">
        <v>#N/A N/A</v>
        <stp/>
        <stp>BDH|15160224726740827657</stp>
        <tr r="X53" s="2"/>
      </tp>
      <tp t="s">
        <v>#N/A N/A</v>
        <stp/>
        <stp>BDH|12095246779312439619</stp>
        <tr r="V45" s="2"/>
      </tp>
      <tp t="s">
        <v>#N/A N/A</v>
        <stp/>
        <stp>BDH|12140443730905968370</stp>
        <tr r="U49" s="2"/>
      </tp>
      <tp t="s">
        <v>#N/A N/A</v>
        <stp/>
        <stp>BDH|11867668937264743356</stp>
        <tr r="AB80" s="2"/>
      </tp>
      <tp t="s">
        <v>#N/A N/A</v>
        <stp/>
        <stp>BDH|13167308436952505295</stp>
        <tr r="U67" s="2"/>
      </tp>
      <tp t="s">
        <v>#N/A N/A</v>
        <stp/>
        <stp>BDH|13994539393905077929</stp>
        <tr r="G26" s="2"/>
      </tp>
      <tp t="s">
        <v>#N/A N/A</v>
        <stp/>
        <stp>BDH|17502014551338727992</stp>
        <tr r="K8" s="2"/>
      </tp>
      <tp t="s">
        <v>#N/A N/A</v>
        <stp/>
        <stp>BDH|17415272904051865743</stp>
        <tr r="AA49" s="2"/>
      </tp>
      <tp t="s">
        <v>#N/A N/A</v>
        <stp/>
        <stp>BDH|17159193852763626375</stp>
        <tr r="AE80" s="2"/>
      </tp>
      <tp t="s">
        <v>#N/A N/A</v>
        <stp/>
        <stp>BDH|17764574866023908447</stp>
        <tr r="AA9" s="2"/>
      </tp>
      <tp t="s">
        <v>#N/A N/A</v>
        <stp/>
        <stp>BDH|12250281680808757374</stp>
        <tr r="F22" s="2"/>
      </tp>
      <tp t="s">
        <v>#N/A N/A</v>
        <stp/>
        <stp>BDH|13799974956919957552</stp>
        <tr r="R59" s="2"/>
      </tp>
      <tp t="s">
        <v>#N/A N/A</v>
        <stp/>
        <stp>BDH|18075332129559857381</stp>
        <tr r="X85" s="2"/>
      </tp>
      <tp t="s">
        <v>#N/A N/A</v>
        <stp/>
        <stp>BDH|11500675679921210242</stp>
        <tr r="V42" s="2"/>
      </tp>
      <tp t="s">
        <v>#N/A N/A</v>
        <stp/>
        <stp>BDH|14080715158253206661</stp>
        <tr r="O83" s="2"/>
      </tp>
      <tp t="s">
        <v>#N/A N/A</v>
        <stp/>
        <stp>BDH|13446645170674960542</stp>
        <tr r="H71" s="2"/>
      </tp>
      <tp t="s">
        <v>#N/A N/A</v>
        <stp/>
        <stp>BDH|16010243418077540146</stp>
        <tr r="W66" s="2"/>
      </tp>
      <tp t="s">
        <v>#N/A N/A</v>
        <stp/>
        <stp>BDH|11622033644007959153</stp>
        <tr r="AC17" s="2"/>
      </tp>
      <tp t="s">
        <v>#N/A N/A</v>
        <stp/>
        <stp>BDH|16374028954146813608</stp>
        <tr r="N42" s="2"/>
      </tp>
      <tp t="s">
        <v>#N/A N/A</v>
        <stp/>
        <stp>BDH|14765088413376792063</stp>
        <tr r="AB46" s="2"/>
      </tp>
      <tp t="s">
        <v>#N/A N/A</v>
        <stp/>
        <stp>BDH|14882991819228600721</stp>
        <tr r="K27" s="2"/>
      </tp>
      <tp t="s">
        <v>#N/A N/A</v>
        <stp/>
        <stp>BDH|16859154577817546434</stp>
        <tr r="AF79" s="2"/>
      </tp>
      <tp t="s">
        <v>#N/A N/A</v>
        <stp/>
        <stp>BDH|14864397666466257499</stp>
        <tr r="AA15" s="2"/>
      </tp>
      <tp t="s">
        <v>#N/A N/A</v>
        <stp/>
        <stp>BDH|10423223243585016096</stp>
        <tr r="AD46" s="2"/>
      </tp>
      <tp t="s">
        <v>#N/A N/A</v>
        <stp/>
        <stp>BDH|17260683026101814187</stp>
        <tr r="Z61" s="2"/>
      </tp>
      <tp t="s">
        <v>#N/A N/A</v>
        <stp/>
        <stp>BDH|16739056839681227768</stp>
        <tr r="H42" s="2"/>
      </tp>
      <tp t="s">
        <v>#N/A N/A</v>
        <stp/>
        <stp>BDH|12891268210805005717</stp>
        <tr r="Q66" s="2"/>
      </tp>
      <tp t="s">
        <v>#N/A N/A</v>
        <stp/>
        <stp>BDH|14449658302130943154</stp>
        <tr r="Z52" s="2"/>
      </tp>
      <tp t="s">
        <v>#N/A N/A</v>
        <stp/>
        <stp>BDH|12036898750745283948</stp>
        <tr r="D29" s="2"/>
      </tp>
      <tp t="s">
        <v>#N/A N/A</v>
        <stp/>
        <stp>BDH|14053941780412315480</stp>
        <tr r="AD19" s="2"/>
      </tp>
      <tp t="s">
        <v>#N/A N/A</v>
        <stp/>
        <stp>BDH|11717786303137488278</stp>
        <tr r="V62" s="2"/>
      </tp>
      <tp t="s">
        <v>#N/A N/A</v>
        <stp/>
        <stp>BDH|10681198563547378307</stp>
        <tr r="AB30" s="2"/>
      </tp>
      <tp t="s">
        <v>#N/A N/A</v>
        <stp/>
        <stp>BDH|15497878245299507029</stp>
        <tr r="V87" s="2"/>
      </tp>
      <tp t="s">
        <v>#N/A N/A</v>
        <stp/>
        <stp>BDH|16706214926946388028</stp>
        <tr r="L22" s="2"/>
      </tp>
      <tp t="s">
        <v>#N/A N/A</v>
        <stp/>
        <stp>BDH|10861774966221992015</stp>
        <tr r="I8" s="2"/>
      </tp>
      <tp t="s">
        <v>#N/A N/A</v>
        <stp/>
        <stp>BDH|12886306203580887121</stp>
        <tr r="Q16" s="2"/>
      </tp>
      <tp t="s">
        <v>#N/A N/A</v>
        <stp/>
        <stp>BDH|11880220751646266089</stp>
        <tr r="AE30" s="2"/>
      </tp>
      <tp t="s">
        <v>#N/A N/A</v>
        <stp/>
        <stp>BDH|15405113474246449545</stp>
        <tr r="AD47" s="2"/>
      </tp>
      <tp t="s">
        <v>#N/A N/A</v>
        <stp/>
        <stp>BDH|18347828824013403117</stp>
        <tr r="K42" s="2"/>
      </tp>
      <tp t="s">
        <v>#N/A N/A</v>
        <stp/>
        <stp>BDH|10456651409197161198</stp>
        <tr r="AA91" s="2"/>
      </tp>
      <tp t="s">
        <v>#N/A N/A</v>
        <stp/>
        <stp>BDH|14343259775545261417</stp>
        <tr r="N87" s="2"/>
      </tp>
      <tp t="s">
        <v>#N/A N/A</v>
        <stp/>
        <stp>BDH|10501459059514977504</stp>
        <tr r="L7" s="2"/>
      </tp>
      <tp t="s">
        <v>#N/A N/A</v>
        <stp/>
        <stp>BDH|18181926862644662370</stp>
        <tr r="R71" s="2"/>
      </tp>
      <tp t="s">
        <v>#N/A N/A</v>
        <stp/>
        <stp>BDH|17593306964253912181</stp>
        <tr r="Z11" s="2"/>
      </tp>
      <tp t="s">
        <v>#N/A N/A</v>
        <stp/>
        <stp>BDH|14488179741500399111</stp>
        <tr r="U58" s="2"/>
      </tp>
      <tp t="s">
        <v>#N/A N/A</v>
        <stp/>
        <stp>BDH|14576096813400966562</stp>
        <tr r="AD40" s="2"/>
      </tp>
      <tp t="s">
        <v>#N/A N/A</v>
        <stp/>
        <stp>BDH|14401163279937830507</stp>
        <tr r="P37" s="2"/>
      </tp>
      <tp t="s">
        <v>#N/A N/A</v>
        <stp/>
        <stp>BDH|18320343733600658813</stp>
        <tr r="U82" s="2"/>
      </tp>
      <tp t="s">
        <v>#N/A N/A</v>
        <stp/>
        <stp>BDH|11284508733242517572</stp>
        <tr r="M23" s="2"/>
      </tp>
      <tp t="s">
        <v>#N/A N/A</v>
        <stp/>
        <stp>BDH|16220326634031799708</stp>
        <tr r="N47" s="2"/>
      </tp>
      <tp t="s">
        <v>#N/A N/A</v>
        <stp/>
        <stp>BDH|17284773734472631151</stp>
        <tr r="K43" s="2"/>
      </tp>
      <tp t="s">
        <v>#N/A N/A</v>
        <stp/>
        <stp>BDH|13234751131866363171</stp>
        <tr r="Q27" s="2"/>
      </tp>
      <tp t="s">
        <v>#N/A N/A</v>
        <stp/>
        <stp>BDH|13395070760762423757</stp>
        <tr r="G56" s="2"/>
      </tp>
      <tp t="s">
        <v>#N/A N/A</v>
        <stp/>
        <stp>BDH|10609392328983176239</stp>
        <tr r="J68" s="2"/>
      </tp>
      <tp t="s">
        <v>#N/A N/A</v>
        <stp/>
        <stp>BDH|13645341854172703740</stp>
        <tr r="N21" s="2"/>
      </tp>
      <tp t="s">
        <v>#N/A N/A</v>
        <stp/>
        <stp>BDH|13381681574875256780</stp>
        <tr r="Q63" s="2"/>
      </tp>
      <tp t="s">
        <v>#N/A N/A</v>
        <stp/>
        <stp>BDH|10583813918041047885</stp>
        <tr r="AD71" s="2"/>
      </tp>
      <tp t="s">
        <v>#N/A N/A</v>
        <stp/>
        <stp>BDH|17979292565831543241</stp>
        <tr r="F79" s="2"/>
      </tp>
      <tp t="s">
        <v>#N/A N/A</v>
        <stp/>
        <stp>BDH|13003761511940779541</stp>
        <tr r="F80" s="2"/>
      </tp>
      <tp t="s">
        <v>#N/A N/A</v>
        <stp/>
        <stp>BDH|10136067331831360214</stp>
        <tr r="S60" s="2"/>
      </tp>
      <tp t="s">
        <v>#N/A N/A</v>
        <stp/>
        <stp>BDH|10164568844595285451</stp>
        <tr r="U24" s="2"/>
      </tp>
      <tp t="s">
        <v>#N/A N/A</v>
        <stp/>
        <stp>BDH|14078742854433300574</stp>
        <tr r="V67" s="2"/>
      </tp>
      <tp t="s">
        <v>#N/A N/A</v>
        <stp/>
        <stp>BDH|18424591609565374835</stp>
        <tr r="C17" s="2"/>
      </tp>
      <tp t="s">
        <v>#N/A N/A</v>
        <stp/>
        <stp>BDH|14675651452451627634</stp>
        <tr r="L66" s="2"/>
      </tp>
      <tp t="s">
        <v>#N/A N/A</v>
        <stp/>
        <stp>BDH|14428311059814935622</stp>
        <tr r="F73" s="2"/>
      </tp>
      <tp t="s">
        <v>#N/A N/A</v>
        <stp/>
        <stp>BDH|17694158816684530374</stp>
        <tr r="F36" s="2"/>
      </tp>
      <tp t="s">
        <v>#N/A N/A</v>
        <stp/>
        <stp>BDH|10078209606166318429</stp>
        <tr r="AA66" s="2"/>
      </tp>
      <tp t="s">
        <v>#N/A N/A</v>
        <stp/>
        <stp>BDH|12127595178200617012</stp>
        <tr r="I41" s="2"/>
      </tp>
      <tp t="s">
        <v>#N/A N/A</v>
        <stp/>
        <stp>BDH|13565405006846222170</stp>
        <tr r="AB52" s="2"/>
      </tp>
      <tp t="s">
        <v>#N/A N/A</v>
        <stp/>
        <stp>BDH|16176162807992021561</stp>
        <tr r="C56" s="2"/>
      </tp>
      <tp t="s">
        <v>#N/A N/A</v>
        <stp/>
        <stp>BDH|12323132956824094202</stp>
        <tr r="AA69" s="2"/>
      </tp>
      <tp t="s">
        <v>#N/A N/A</v>
        <stp/>
        <stp>BDH|14075307706742364530</stp>
        <tr r="C22" s="2"/>
      </tp>
      <tp t="s">
        <v>#N/A N/A</v>
        <stp/>
        <stp>BDH|12458801798543275083</stp>
        <tr r="Q70" s="2"/>
      </tp>
      <tp t="s">
        <v>#N/A N/A</v>
        <stp/>
        <stp>BDH|14462104277012136044</stp>
        <tr r="AE61" s="2"/>
      </tp>
      <tp t="s">
        <v>#N/A N/A</v>
        <stp/>
        <stp>BDH|10751631456026357574</stp>
        <tr r="U44" s="2"/>
      </tp>
      <tp t="s">
        <v>#N/A N/A</v>
        <stp/>
        <stp>BDH|11119287299388873218</stp>
        <tr r="S10" s="2"/>
      </tp>
      <tp t="s">
        <v>#N/A N/A</v>
        <stp/>
        <stp>BDH|11873998500388832007</stp>
        <tr r="I61" s="2"/>
      </tp>
      <tp t="s">
        <v>#N/A N/A</v>
        <stp/>
        <stp>BDH|12857545652794558620</stp>
        <tr r="AD37" s="2"/>
      </tp>
      <tp t="s">
        <v>#N/A N/A</v>
        <stp/>
        <stp>BDH|17645813896426061084</stp>
        <tr r="P31" s="2"/>
      </tp>
      <tp t="s">
        <v>#N/A N/A</v>
        <stp/>
        <stp>BDH|16065410649071050713</stp>
        <tr r="S34" s="2"/>
      </tp>
      <tp t="s">
        <v>#N/A N/A</v>
        <stp/>
        <stp>BDH|14023188429776004189</stp>
        <tr r="Q30" s="2"/>
      </tp>
      <tp t="s">
        <v>#N/A N/A</v>
        <stp/>
        <stp>BDH|13730616584804359993</stp>
        <tr r="Q67" s="2"/>
      </tp>
      <tp t="s">
        <v>#N/A N/A</v>
        <stp/>
        <stp>BDH|18292669286475370399</stp>
        <tr r="AA55" s="2"/>
      </tp>
      <tp t="s">
        <v>#N/A N/A</v>
        <stp/>
        <stp>BDH|13363282253176925295</stp>
        <tr r="AC48" s="2"/>
      </tp>
      <tp t="s">
        <v>#N/A N/A</v>
        <stp/>
        <stp>BDH|12322921541717016882</stp>
        <tr r="D72" s="2"/>
      </tp>
      <tp t="s">
        <v>#N/A N/A</v>
        <stp/>
        <stp>BDH|16055030830171393488</stp>
        <tr r="AE37" s="2"/>
      </tp>
      <tp t="s">
        <v>#N/A N/A</v>
        <stp/>
        <stp>BDH|17947606937281305354</stp>
        <tr r="K40" s="2"/>
      </tp>
      <tp t="s">
        <v>#N/A N/A</v>
        <stp/>
        <stp>BDH|14663842390054891117</stp>
        <tr r="E13" s="2"/>
      </tp>
      <tp t="s">
        <v>#N/A N/A</v>
        <stp/>
        <stp>BDH|16984476291532570912</stp>
        <tr r="S54" s="2"/>
      </tp>
      <tp t="s">
        <v>#N/A N/A</v>
        <stp/>
        <stp>BDH|11244520303006965211</stp>
        <tr r="AC73" s="2"/>
      </tp>
      <tp t="s">
        <v>#N/A N/A</v>
        <stp/>
        <stp>BDH|11058313167466407293</stp>
        <tr r="Y9" s="2"/>
      </tp>
      <tp t="s">
        <v>#N/A N/A</v>
        <stp/>
        <stp>BDH|10270312401653828011</stp>
        <tr r="AE9" s="2"/>
      </tp>
      <tp t="s">
        <v>#N/A N/A</v>
        <stp/>
        <stp>BDH|17500167549942202039</stp>
        <tr r="V50" s="2"/>
      </tp>
      <tp t="s">
        <v>#N/A N/A</v>
        <stp/>
        <stp>BDH|13334235111957974723</stp>
        <tr r="C89" s="2"/>
      </tp>
      <tp t="s">
        <v>#N/A N/A</v>
        <stp/>
        <stp>BDH|10384875058708616504</stp>
        <tr r="C19" s="2"/>
      </tp>
      <tp t="s">
        <v>#N/A N/A</v>
        <stp/>
        <stp>BDH|16986263040197448712</stp>
        <tr r="D56" s="2"/>
      </tp>
      <tp t="s">
        <v>#N/A N/A</v>
        <stp/>
        <stp>BDH|12280722046454403582</stp>
        <tr r="K85" s="2"/>
      </tp>
      <tp t="s">
        <v>#N/A N/A</v>
        <stp/>
        <stp>BDH|12217515049602135111</stp>
        <tr r="F69" s="2"/>
      </tp>
      <tp t="s">
        <v>#N/A N/A</v>
        <stp/>
        <stp>BDH|17571582411091501230</stp>
        <tr r="F67" s="2"/>
      </tp>
      <tp t="s">
        <v>#N/A N/A</v>
        <stp/>
        <stp>BDH|15517329141180819234</stp>
        <tr r="AC40" s="2"/>
      </tp>
      <tp t="s">
        <v>#N/A N/A</v>
        <stp/>
        <stp>BDH|16578240469134470612</stp>
        <tr r="D71" s="2"/>
      </tp>
      <tp t="s">
        <v>#N/A N/A</v>
        <stp/>
        <stp>BDH|12129045285512400891</stp>
        <tr r="AC69" s="2"/>
      </tp>
      <tp t="s">
        <v>#N/A N/A</v>
        <stp/>
        <stp>BDH|17101431224988851923</stp>
        <tr r="C43" s="2"/>
      </tp>
      <tp t="s">
        <v>#N/A N/A</v>
        <stp/>
        <stp>BDH|18250293891686785514</stp>
        <tr r="C30" s="2"/>
      </tp>
      <tp t="s">
        <v>#N/A N/A</v>
        <stp/>
        <stp>BDH|15657652095673378991</stp>
        <tr r="H56" s="2"/>
      </tp>
      <tp t="s">
        <v>#N/A N/A</v>
        <stp/>
        <stp>BDH|14250610479176794327</stp>
        <tr r="AF23" s="2"/>
      </tp>
      <tp t="s">
        <v>#N/A N/A</v>
        <stp/>
        <stp>BDH|12392314086838844132</stp>
        <tr r="L16" s="2"/>
      </tp>
      <tp t="s">
        <v>#N/A N/A</v>
        <stp/>
        <stp>BDH|13243070336075563590</stp>
        <tr r="O62" s="2"/>
      </tp>
      <tp t="s">
        <v>#N/A N/A</v>
        <stp/>
        <stp>BDH|18390707643988833375</stp>
        <tr r="F11" s="2"/>
      </tp>
      <tp t="s">
        <v>#N/A N/A</v>
        <stp/>
        <stp>BDH|14323964173529166383</stp>
        <tr r="G31" s="2"/>
      </tp>
      <tp t="s">
        <v>#N/A N/A</v>
        <stp/>
        <stp>BDH|17501722359067152201</stp>
        <tr r="AF67" s="2"/>
      </tp>
      <tp t="s">
        <v>#N/A N/A</v>
        <stp/>
        <stp>BDH|15974922314048167509</stp>
        <tr r="D79" s="2"/>
      </tp>
      <tp t="s">
        <v>#N/A N/A</v>
        <stp/>
        <stp>BDH|15638948292445718164</stp>
        <tr r="R19" s="2"/>
      </tp>
      <tp t="s">
        <v>#N/A N/A</v>
        <stp/>
        <stp>BDH|16941872030045957961</stp>
        <tr r="R29" s="2"/>
      </tp>
      <tp t="s">
        <v>#N/A N/A</v>
        <stp/>
        <stp>BDH|10343646203603003455</stp>
        <tr r="R52" s="2"/>
      </tp>
      <tp t="s">
        <v>#N/A N/A</v>
        <stp/>
        <stp>BDH|10778233945333776469</stp>
        <tr r="AF70" s="2"/>
      </tp>
      <tp t="s">
        <v>#N/A N/A</v>
        <stp/>
        <stp>BDH|11505691367597853739</stp>
        <tr r="G62" s="2"/>
      </tp>
      <tp t="s">
        <v>#N/A N/A</v>
        <stp/>
        <stp>BDH|15413859451068710171</stp>
        <tr r="AF54" s="2"/>
      </tp>
      <tp t="s">
        <v>#N/A N/A</v>
        <stp/>
        <stp>BDH|10757317105174248615</stp>
        <tr r="V14" s="2"/>
      </tp>
      <tp t="s">
        <v>#N/A N/A</v>
        <stp/>
        <stp>BDH|11394877494134041509</stp>
        <tr r="AE54" s="2"/>
      </tp>
      <tp t="s">
        <v>#N/A N/A</v>
        <stp/>
        <stp>BDH|17443631303354541412</stp>
        <tr r="O47" s="2"/>
      </tp>
      <tp t="s">
        <v>#N/A N/A</v>
        <stp/>
        <stp>BDH|11843060637280142385</stp>
        <tr r="AD72" s="2"/>
      </tp>
      <tp t="s">
        <v>#N/A N/A</v>
        <stp/>
        <stp>BDH|13565661948298240896</stp>
        <tr r="S40" s="2"/>
      </tp>
      <tp t="s">
        <v>#N/A N/A</v>
        <stp/>
        <stp>BDH|18263609302649343638</stp>
        <tr r="C14" s="2"/>
      </tp>
      <tp t="s">
        <v>#N/A N/A</v>
        <stp/>
        <stp>BDH|17881309400763966629</stp>
        <tr r="O54" s="2"/>
      </tp>
      <tp t="s">
        <v>#N/A N/A</v>
        <stp/>
        <stp>BDH|16254331104891206542</stp>
        <tr r="H81" s="2"/>
      </tp>
      <tp t="s">
        <v>#N/A N/A</v>
        <stp/>
        <stp>BDH|12314013234922040252</stp>
        <tr r="H23" s="2"/>
      </tp>
      <tp t="s">
        <v>#N/A N/A</v>
        <stp/>
        <stp>BDH|10323038437791221363</stp>
        <tr r="V65" s="2"/>
      </tp>
      <tp t="s">
        <v>#N/A N/A</v>
        <stp/>
        <stp>BDH|16332210843013283207</stp>
        <tr r="K86" s="2"/>
      </tp>
      <tp t="s">
        <v>#N/A N/A</v>
        <stp/>
        <stp>BDH|16019109930040061532</stp>
        <tr r="X22" s="2"/>
      </tp>
      <tp t="s">
        <v>#N/A N/A</v>
        <stp/>
        <stp>BDH|10294743037055519078</stp>
        <tr r="AC9" s="2"/>
      </tp>
      <tp t="s">
        <v>#N/A N/A</v>
        <stp/>
        <stp>BDH|11432098688018715019</stp>
        <tr r="C24" s="2"/>
      </tp>
      <tp t="s">
        <v>#N/A N/A</v>
        <stp/>
        <stp>BDH|11697854009141822919</stp>
        <tr r="R12" s="2"/>
      </tp>
      <tp t="s">
        <v>#N/A N/A</v>
        <stp/>
        <stp>BDH|10097623411301355726</stp>
        <tr r="G87" s="2"/>
      </tp>
      <tp t="s">
        <v>#N/A N/A</v>
        <stp/>
        <stp>BDH|13128114994762482821</stp>
        <tr r="K52" s="2"/>
      </tp>
      <tp t="s">
        <v>#N/A N/A</v>
        <stp/>
        <stp>BDH|14308757832513768219</stp>
        <tr r="AA50" s="2"/>
      </tp>
      <tp t="s">
        <v>#N/A N/A</v>
        <stp/>
        <stp>BDH|13557487359231751219</stp>
        <tr r="AE43" s="2"/>
      </tp>
      <tp t="s">
        <v>#N/A N/A</v>
        <stp/>
        <stp>BDH|15814164869353547000</stp>
        <tr r="L72" s="2"/>
      </tp>
      <tp t="s">
        <v>#N/A N/A</v>
        <stp/>
        <stp>BDH|15539006866154543642</stp>
        <tr r="Z91" s="2"/>
      </tp>
      <tp t="s">
        <v>#N/A N/A</v>
        <stp/>
        <stp>BDH|12372505601312078401</stp>
        <tr r="S58" s="2"/>
      </tp>
      <tp t="s">
        <v>#N/A N/A</v>
        <stp/>
        <stp>BDH|14036124556296639701</stp>
        <tr r="R72" s="2"/>
      </tp>
      <tp t="s">
        <v>#N/A N/A</v>
        <stp/>
        <stp>BDH|10371894182614218582</stp>
        <tr r="H52" s="2"/>
      </tp>
      <tp t="s">
        <v>#N/A N/A</v>
        <stp/>
        <stp>BDH|14545093592578322489</stp>
        <tr r="U48" s="2"/>
      </tp>
      <tp t="s">
        <v>#N/A N/A</v>
        <stp/>
        <stp>BDH|12706074071126698224</stp>
        <tr r="AC54" s="2"/>
      </tp>
      <tp t="s">
        <v>#N/A N/A</v>
        <stp/>
        <stp>BDH|16678223546634728508</stp>
        <tr r="Y11" s="2"/>
      </tp>
      <tp t="s">
        <v>#N/A N/A</v>
        <stp/>
        <stp>BDH|15367221932807583239</stp>
        <tr r="R38" s="2"/>
      </tp>
      <tp t="s">
        <v>#N/A N/A</v>
        <stp/>
        <stp>BDH|11135587135136849014</stp>
        <tr r="AD84" s="2"/>
      </tp>
      <tp t="s">
        <v>#N/A N/A</v>
        <stp/>
        <stp>BDH|13256242660965305316</stp>
        <tr r="AF15" s="2"/>
      </tp>
      <tp t="s">
        <v>#N/A N/A</v>
        <stp/>
        <stp>BDH|11380472954506661725</stp>
        <tr r="AD56" s="2"/>
      </tp>
      <tp t="s">
        <v>#N/A N/A</v>
        <stp/>
        <stp>BDH|12958532208787182174</stp>
        <tr r="U89" s="2"/>
      </tp>
      <tp t="s">
        <v>#N/A N/A</v>
        <stp/>
        <stp>BDH|10261494538697150160</stp>
        <tr r="H34" s="2"/>
      </tp>
      <tp t="s">
        <v>#N/A N/A</v>
        <stp/>
        <stp>BDH|10934466141354911531</stp>
        <tr r="M46" s="2"/>
      </tp>
      <tp t="s">
        <v>#N/A N/A</v>
        <stp/>
        <stp>BDH|14520673091032764803</stp>
        <tr r="N52" s="2"/>
      </tp>
      <tp t="s">
        <v>#N/A N/A</v>
        <stp/>
        <stp>BDH|11527356333180465008</stp>
        <tr r="L80" s="2"/>
      </tp>
      <tp t="s">
        <v>#N/A N/A</v>
        <stp/>
        <stp>BDH|16860519540107638184</stp>
        <tr r="AF61" s="2"/>
      </tp>
      <tp t="s">
        <v>#N/A N/A</v>
        <stp/>
        <stp>BDH|15330109419720535486</stp>
        <tr r="W64" s="2"/>
      </tp>
      <tp t="s">
        <v>#N/A N/A</v>
        <stp/>
        <stp>BDH|16836270972692357096</stp>
        <tr r="C39" s="2"/>
      </tp>
      <tp t="s">
        <v>#N/A N/A</v>
        <stp/>
        <stp>BDH|16001614518952905278</stp>
        <tr r="AC41" s="2"/>
      </tp>
      <tp t="s">
        <v>#N/A N/A</v>
        <stp/>
        <stp>BDH|10352174909136871638</stp>
        <tr r="I51" s="2"/>
      </tp>
      <tp t="s">
        <v>#N/A N/A</v>
        <stp/>
        <stp>BDH|10510715713013231439</stp>
        <tr r="U13" s="2"/>
      </tp>
      <tp t="s">
        <v>#N/A N/A</v>
        <stp/>
        <stp>BDH|15389139466982897185</stp>
        <tr r="V38" s="2"/>
      </tp>
      <tp t="s">
        <v>#N/A N/A</v>
        <stp/>
        <stp>BDH|10510487378264866648</stp>
        <tr r="T35" s="2"/>
      </tp>
      <tp t="s">
        <v>#N/A N/A</v>
        <stp/>
        <stp>BDH|14708077864923502083</stp>
        <tr r="U56" s="2"/>
      </tp>
      <tp t="s">
        <v>#N/A N/A</v>
        <stp/>
        <stp>BDH|18304434702738301580</stp>
        <tr r="Y39" s="2"/>
      </tp>
      <tp t="s">
        <v>#N/A N/A</v>
        <stp/>
        <stp>BDH|10844936388425838524</stp>
        <tr r="AD15" s="2"/>
      </tp>
      <tp t="s">
        <v>#N/A N/A</v>
        <stp/>
        <stp>BDH|17648016206827192192</stp>
        <tr r="AB84" s="2"/>
      </tp>
      <tp t="s">
        <v>#N/A N/A</v>
        <stp/>
        <stp>BDH|11255082876175653236</stp>
        <tr r="S43" s="2"/>
      </tp>
      <tp t="s">
        <v>#N/A N/A</v>
        <stp/>
        <stp>BDH|10424129618794277540</stp>
        <tr r="P36" s="2"/>
      </tp>
      <tp t="s">
        <v>#N/A N/A</v>
        <stp/>
        <stp>BDH|15712793341965280258</stp>
        <tr r="G79" s="2"/>
      </tp>
      <tp t="s">
        <v>#N/A N/A</v>
        <stp/>
        <stp>BDH|15116064446629096995</stp>
        <tr r="R39" s="2"/>
      </tp>
      <tp t="s">
        <v>#N/A N/A</v>
        <stp/>
        <stp>BDH|13643792540215787403</stp>
        <tr r="AB37" s="2"/>
      </tp>
      <tp t="s">
        <v>#N/A N/A</v>
        <stp/>
        <stp>BDH|11022516019021195510</stp>
        <tr r="AB48" s="2"/>
      </tp>
      <tp t="s">
        <v>#N/A N/A</v>
        <stp/>
        <stp>BDH|17111002863439878920</stp>
        <tr r="S12" s="2"/>
      </tp>
      <tp t="s">
        <v>#N/A N/A</v>
        <stp/>
        <stp>BDH|10661013033306919469</stp>
        <tr r="Q55" s="2"/>
      </tp>
      <tp t="s">
        <v>#N/A N/A</v>
        <stp/>
        <stp>BDH|11583564159679634979</stp>
        <tr r="D7" s="2"/>
      </tp>
      <tp t="s">
        <v>#N/A N/A</v>
        <stp/>
        <stp>BDH|18360913558264065116</stp>
        <tr r="G25" s="2"/>
      </tp>
      <tp t="s">
        <v>#N/A N/A</v>
        <stp/>
        <stp>BDH|12268554178073720236</stp>
        <tr r="E71" s="2"/>
      </tp>
      <tp t="s">
        <v>#N/A N/A</v>
        <stp/>
        <stp>BDH|14675787402444296646</stp>
        <tr r="G42" s="2"/>
      </tp>
      <tp t="s">
        <v>#N/A N/A</v>
        <stp/>
        <stp>BDH|10454445075226688490</stp>
        <tr r="X36" s="2"/>
      </tp>
      <tp t="s">
        <v>#N/A N/A</v>
        <stp/>
        <stp>BDH|16149020621544199196</stp>
        <tr r="E79" s="2"/>
      </tp>
      <tp t="s">
        <v>#N/A N/A</v>
        <stp/>
        <stp>BDH|11415692814840435775</stp>
        <tr r="X25" s="2"/>
      </tp>
      <tp t="s">
        <v>#N/A N/A</v>
        <stp/>
        <stp>BDH|18302764492937917040</stp>
        <tr r="C88" s="2"/>
      </tp>
      <tp t="s">
        <v>#N/A N/A</v>
        <stp/>
        <stp>BDH|11731801634419165283</stp>
        <tr r="I48" s="2"/>
      </tp>
      <tp t="s">
        <v>#N/A N/A</v>
        <stp/>
        <stp>BDH|10688306045666185080</stp>
        <tr r="Y8" s="2"/>
      </tp>
      <tp t="s">
        <v>#N/A N/A</v>
        <stp/>
        <stp>BDH|10906324839721019085</stp>
        <tr r="Y12" s="2"/>
      </tp>
      <tp t="s">
        <v>#N/A N/A</v>
        <stp/>
        <stp>BDH|13437553739474785027</stp>
        <tr r="I12" s="2"/>
      </tp>
      <tp t="s">
        <v>#N/A N/A</v>
        <stp/>
        <stp>BDH|18109904924456838402</stp>
        <tr r="AB11" s="2"/>
      </tp>
      <tp t="s">
        <v>#N/A N/A</v>
        <stp/>
        <stp>BDH|12730366675103128483</stp>
        <tr r="R73" s="2"/>
      </tp>
      <tp t="s">
        <v>#N/A N/A</v>
        <stp/>
        <stp>BDH|13728010900850332292</stp>
        <tr r="AB79" s="2"/>
      </tp>
      <tp t="s">
        <v>#N/A N/A</v>
        <stp/>
        <stp>BDH|11225583404752585774</stp>
        <tr r="X35" s="2"/>
      </tp>
      <tp t="s">
        <v>#N/A N/A</v>
        <stp/>
        <stp>BDH|12357730533997874072</stp>
        <tr r="E7" s="2"/>
      </tp>
      <tp t="s">
        <v>#N/A N/A</v>
        <stp/>
        <stp>BDH|11166909596796875633</stp>
        <tr r="I66" s="2"/>
      </tp>
      <tp t="s">
        <v>#N/A N/A</v>
        <stp/>
        <stp>BDH|13000384845314276131</stp>
        <tr r="D48" s="2"/>
      </tp>
      <tp t="s">
        <v>#N/A N/A</v>
        <stp/>
        <stp>BDH|10794469709024223164</stp>
        <tr r="C45" s="2"/>
      </tp>
      <tp t="s">
        <v>#N/A N/A</v>
        <stp/>
        <stp>BDH|16343665471290317689</stp>
        <tr r="P42" s="2"/>
      </tp>
      <tp t="s">
        <v>#N/A N/A</v>
        <stp/>
        <stp>BDH|17474316608071283407</stp>
        <tr r="Z80" s="2"/>
      </tp>
      <tp t="s">
        <v>#N/A N/A</v>
        <stp/>
        <stp>BDH|14277849949408511159</stp>
        <tr r="AA56" s="2"/>
      </tp>
      <tp t="s">
        <v>#N/A N/A</v>
        <stp/>
        <stp>BDH|13996833791964531710</stp>
        <tr r="G28" s="2"/>
      </tp>
      <tp t="s">
        <v>#N/A N/A</v>
        <stp/>
        <stp>BDH|12001441859877187537</stp>
        <tr r="V15" s="2"/>
      </tp>
      <tp t="s">
        <v>#N/A N/A</v>
        <stp/>
        <stp>BDH|14452689367367873521</stp>
        <tr r="M21" s="2"/>
      </tp>
      <tp t="s">
        <v>#N/A N/A</v>
        <stp/>
        <stp>BDH|15829474126124958110</stp>
        <tr r="X66" s="2"/>
      </tp>
      <tp t="s">
        <v>#N/A N/A</v>
        <stp/>
        <stp>BDH|17756656102482045514</stp>
        <tr r="W47" s="2"/>
      </tp>
      <tp t="s">
        <v>#N/A N/A</v>
        <stp/>
        <stp>BDH|17071609056850499224</stp>
        <tr r="J15" s="2"/>
      </tp>
      <tp t="s">
        <v>#N/A N/A</v>
        <stp/>
        <stp>BDH|17275184171880266794</stp>
        <tr r="E81" s="2"/>
      </tp>
      <tp t="s">
        <v>#N/A N/A</v>
        <stp/>
        <stp>BDH|12488577691319475164</stp>
        <tr r="AE53" s="2"/>
      </tp>
      <tp t="s">
        <v>#N/A N/A</v>
        <stp/>
        <stp>BDH|12201777320018232977</stp>
        <tr r="H64" s="2"/>
      </tp>
      <tp t="s">
        <v>#N/A N/A</v>
        <stp/>
        <stp>BDH|13530324061499421924</stp>
        <tr r="D83" s="2"/>
      </tp>
      <tp t="s">
        <v>#N/A N/A</v>
        <stp/>
        <stp>BDH|13766741152376746165</stp>
        <tr r="I85" s="2"/>
      </tp>
      <tp t="s">
        <v>#N/A N/A</v>
        <stp/>
        <stp>BDH|14949132634816815654</stp>
        <tr r="W19" s="2"/>
      </tp>
      <tp t="s">
        <v>#N/A N/A</v>
        <stp/>
        <stp>BDH|10399172987208030700</stp>
        <tr r="AA63" s="2"/>
      </tp>
      <tp t="s">
        <v>#N/A N/A</v>
        <stp/>
        <stp>BDH|12781498314998152984</stp>
        <tr r="P53" s="2"/>
      </tp>
      <tp t="s">
        <v>#N/A N/A</v>
        <stp/>
        <stp>BDH|14655698231905951245</stp>
        <tr r="Z54" s="2"/>
      </tp>
      <tp t="s">
        <v>#N/A N/A</v>
        <stp/>
        <stp>BDH|11132873244719866289</stp>
        <tr r="Y27" s="2"/>
      </tp>
      <tp t="s">
        <v>#N/A N/A</v>
        <stp/>
        <stp>BDH|17421619939395746190</stp>
        <tr r="W59" s="2"/>
      </tp>
      <tp t="s">
        <v>#N/A N/A</v>
        <stp/>
        <stp>BDH|16149278740555595311</stp>
        <tr r="I64" s="2"/>
      </tp>
      <tp t="s">
        <v>#N/A N/A</v>
        <stp/>
        <stp>BDH|17348460214193549766</stp>
        <tr r="I45" s="2"/>
      </tp>
      <tp t="s">
        <v>#N/A N/A</v>
        <stp/>
        <stp>BDH|12498878670238069313</stp>
        <tr r="Y90" s="2"/>
      </tp>
      <tp t="s">
        <v>#N/A N/A</v>
        <stp/>
        <stp>BDH|11335626028615416689</stp>
        <tr r="N66" s="2"/>
      </tp>
      <tp t="s">
        <v>#N/A N/A</v>
        <stp/>
        <stp>BDH|11412082249033427049</stp>
        <tr r="AB86" s="2"/>
      </tp>
      <tp t="s">
        <v>#N/A N/A</v>
        <stp/>
        <stp>BDH|18398636476057645858</stp>
        <tr r="V73" s="2"/>
      </tp>
      <tp t="s">
        <v>#N/A N/A</v>
        <stp/>
        <stp>BDH|13967088874893459142</stp>
        <tr r="G19" s="2"/>
      </tp>
      <tp t="s">
        <v>#N/A N/A</v>
        <stp/>
        <stp>BDH|11496967173969476000</stp>
        <tr r="G46" s="2"/>
      </tp>
      <tp t="s">
        <v>#N/A N/A</v>
        <stp/>
        <stp>BDH|15210065531533265320</stp>
        <tr r="H58" s="2"/>
      </tp>
      <tp t="s">
        <v>#N/A N/A</v>
        <stp/>
        <stp>BDH|11560499262970305599</stp>
        <tr r="AE15" s="2"/>
      </tp>
      <tp t="s">
        <v>#N/A N/A</v>
        <stp/>
        <stp>BDH|10317671374707356070</stp>
        <tr r="U59" s="2"/>
      </tp>
      <tp t="s">
        <v>#N/A N/A</v>
        <stp/>
        <stp>BDH|12388064824456712028</stp>
        <tr r="G36" s="2"/>
      </tp>
      <tp t="s">
        <v>#N/A N/A</v>
        <stp/>
        <stp>BDH|11425471900072656110</stp>
        <tr r="F75" s="2"/>
      </tp>
      <tp t="s">
        <v>#N/A N/A</v>
        <stp/>
        <stp>BDH|13837385674447924695</stp>
        <tr r="D47" s="2"/>
      </tp>
      <tp t="s">
        <v>#N/A N/A</v>
        <stp/>
        <stp>BDH|12777794327260501185</stp>
        <tr r="U66" s="2"/>
      </tp>
      <tp t="s">
        <v>#N/A N/A</v>
        <stp/>
        <stp>BDH|18358398446500851935</stp>
        <tr r="W87" s="2"/>
      </tp>
      <tp t="s">
        <v>#N/A N/A</v>
        <stp/>
        <stp>BDH|15659365160947427138</stp>
        <tr r="J48" s="2"/>
      </tp>
      <tp t="s">
        <v>#N/A N/A</v>
        <stp/>
        <stp>BDH|14494546191866188865</stp>
        <tr r="U29" s="2"/>
      </tp>
      <tp t="s">
        <v>#N/A N/A</v>
        <stp/>
        <stp>BDH|13322629724771222011</stp>
        <tr r="V35" s="2"/>
      </tp>
      <tp t="s">
        <v>#N/A N/A</v>
        <stp/>
        <stp>BDH|15797150057701761644</stp>
        <tr r="Y36" s="2"/>
      </tp>
      <tp t="s">
        <v>#N/A N/A</v>
        <stp/>
        <stp>BDH|11034139595849891689</stp>
        <tr r="AB67" s="2"/>
      </tp>
      <tp t="s">
        <v>#N/A N/A</v>
        <stp/>
        <stp>BDH|15357967161745436960</stp>
        <tr r="P11" s="2"/>
      </tp>
      <tp t="s">
        <v>#N/A N/A</v>
        <stp/>
        <stp>BDH|11101805348338704378</stp>
        <tr r="V58" s="2"/>
      </tp>
      <tp t="s">
        <v>#N/A N/A</v>
        <stp/>
        <stp>BDH|14227330082319914033</stp>
        <tr r="G35" s="2"/>
      </tp>
      <tp t="s">
        <v>#N/A N/A</v>
        <stp/>
        <stp>BDH|11927488545572955548</stp>
        <tr r="L29" s="2"/>
      </tp>
      <tp t="s">
        <v>#N/A N/A</v>
        <stp/>
        <stp>BDH|13264689709663325099</stp>
        <tr r="Q69" s="2"/>
      </tp>
      <tp t="s">
        <v>#N/A N/A</v>
        <stp/>
        <stp>BDH|14111452489809796721</stp>
        <tr r="I72" s="2"/>
      </tp>
      <tp t="s">
        <v>#N/A N/A</v>
        <stp/>
        <stp>BDH|18240819236280545589</stp>
        <tr r="M64" s="2"/>
      </tp>
      <tp t="s">
        <v>#N/A N/A</v>
        <stp/>
        <stp>BDH|14206525243035347687</stp>
        <tr r="E29" s="2"/>
      </tp>
      <tp t="s">
        <v>#N/A N/A</v>
        <stp/>
        <stp>BDH|12410483121850652205</stp>
        <tr r="X91" s="2"/>
      </tp>
      <tp t="s">
        <v>#N/A N/A</v>
        <stp/>
        <stp>BDH|11590132005930852606</stp>
        <tr r="Z46" s="2"/>
      </tp>
      <tp t="s">
        <v>#N/A N/A</v>
        <stp/>
        <stp>BDH|15243433541100348384</stp>
        <tr r="W63" s="2"/>
      </tp>
      <tp t="s">
        <v>#N/A N/A</v>
        <stp/>
        <stp>BDH|16940686856915581688</stp>
        <tr r="N83" s="2"/>
      </tp>
      <tp t="s">
        <v>#N/A N/A</v>
        <stp/>
        <stp>BDH|11572730513958956960</stp>
        <tr r="AC84" s="2"/>
      </tp>
      <tp t="s">
        <v>#N/A N/A</v>
        <stp/>
        <stp>BDH|13792470492348140095</stp>
        <tr r="Z47" s="2"/>
      </tp>
      <tp t="s">
        <v>#N/A N/A</v>
        <stp/>
        <stp>BDH|14608114303835623683</stp>
        <tr r="S38" s="2"/>
      </tp>
      <tp t="s">
        <v>#N/A N/A</v>
        <stp/>
        <stp>BDH|15188039829727832696</stp>
        <tr r="E20" s="2"/>
      </tp>
      <tp t="s">
        <v>#N/A N/A</v>
        <stp/>
        <stp>BDH|11260174418761051677</stp>
        <tr r="L64" s="2"/>
      </tp>
      <tp t="s">
        <v>#N/A N/A</v>
        <stp/>
        <stp>BDH|17948636777984044404</stp>
        <tr r="N45" s="2"/>
      </tp>
      <tp t="s">
        <v>#N/A N/A</v>
        <stp/>
        <stp>BDH|13956803808138949559</stp>
        <tr r="T56" s="2"/>
      </tp>
      <tp t="s">
        <v>#N/A N/A</v>
        <stp/>
        <stp>BDH|11631570072925743097</stp>
        <tr r="Y50" s="2"/>
      </tp>
      <tp t="s">
        <v>#N/A N/A</v>
        <stp/>
        <stp>BDH|10163291276966257516</stp>
        <tr r="AA80" s="2"/>
      </tp>
      <tp t="s">
        <v>#N/A N/A</v>
        <stp/>
        <stp>BDH|11285694498068676088</stp>
        <tr r="AA43" s="2"/>
      </tp>
      <tp t="s">
        <v>#N/A N/A</v>
        <stp/>
        <stp>BDH|16843768073958813886</stp>
        <tr r="AB69" s="2"/>
      </tp>
      <tp t="s">
        <v>#N/A N/A</v>
        <stp/>
        <stp>BDH|17948228864823522669</stp>
        <tr r="O11" s="2"/>
      </tp>
      <tp t="s">
        <v>#N/A N/A</v>
        <stp/>
        <stp>BDH|18314508170618637493</stp>
        <tr r="N36" s="2"/>
      </tp>
      <tp t="s">
        <v>#N/A N/A</v>
        <stp/>
        <stp>BDH|15579249102679604896</stp>
        <tr r="K34" s="2"/>
      </tp>
      <tp t="s">
        <v>#N/A N/A</v>
        <stp/>
        <stp>BDH|15777288429515339694</stp>
        <tr r="G10" s="2"/>
      </tp>
      <tp t="s">
        <v>#N/A N/A</v>
        <stp/>
        <stp>BDH|13688391957573224054</stp>
        <tr r="AC89" s="2"/>
      </tp>
      <tp t="s">
        <v>#N/A N/A</v>
        <stp/>
        <stp>BDH|15188964092276322594</stp>
        <tr r="AD55" s="2"/>
      </tp>
      <tp t="s">
        <v>#N/A N/A</v>
        <stp/>
        <stp>BDH|11135050779804334410</stp>
        <tr r="F74" s="2"/>
      </tp>
      <tp t="s">
        <v>#N/A N/A</v>
        <stp/>
        <stp>BDH|16974456081829136532</stp>
        <tr r="AF59" s="2"/>
      </tp>
      <tp t="s">
        <v>#N/A N/A</v>
        <stp/>
        <stp>BDH|13613877716945123995</stp>
        <tr r="U22" s="2"/>
      </tp>
      <tp t="s">
        <v>#N/A N/A</v>
        <stp/>
        <stp>BDH|15920773644590283073</stp>
        <tr r="J83" s="2"/>
      </tp>
      <tp t="s">
        <v>#N/A N/A</v>
        <stp/>
        <stp>BDH|17502738618726147106</stp>
        <tr r="Y19" s="2"/>
      </tp>
      <tp t="s">
        <v>#N/A N/A</v>
        <stp/>
        <stp>BDH|15979782763114869650</stp>
        <tr r="E74" s="2"/>
      </tp>
      <tp t="s">
        <v>#N/A N/A</v>
        <stp/>
        <stp>BDH|14178398585429325002</stp>
        <tr r="M86" s="2"/>
      </tp>
      <tp t="s">
        <v>#N/A N/A</v>
        <stp/>
        <stp>BDH|14950582608911427633</stp>
        <tr r="V7" s="2"/>
      </tp>
      <tp t="s">
        <v>#N/A N/A</v>
        <stp/>
        <stp>BDH|16870620563951161164</stp>
        <tr r="O67" s="2"/>
      </tp>
      <tp t="s">
        <v>#N/A N/A</v>
        <stp/>
        <stp>BDH|12872707035898732848</stp>
        <tr r="AA29" s="2"/>
      </tp>
      <tp t="s">
        <v>#N/A N/A</v>
        <stp/>
        <stp>BDH|18265874153454045787</stp>
        <tr r="I67" s="2"/>
      </tp>
      <tp t="s">
        <v>#N/A N/A</v>
        <stp/>
        <stp>BDH|16352134224784239781</stp>
        <tr r="E21" s="2"/>
      </tp>
      <tp t="s">
        <v>#N/A N/A</v>
        <stp/>
        <stp>BDH|18041849362230266153</stp>
        <tr r="AD17" s="2"/>
      </tp>
      <tp t="s">
        <v>#N/A N/A</v>
        <stp/>
        <stp>BDH|16133833316151227979</stp>
        <tr r="H20" s="2"/>
      </tp>
      <tp t="s">
        <v>#N/A N/A</v>
        <stp/>
        <stp>BDH|17786429245875964582</stp>
        <tr r="H82" s="2"/>
      </tp>
      <tp t="s">
        <v>#N/A N/A</v>
        <stp/>
        <stp>BDH|12541135352605060455</stp>
        <tr r="J7" s="2"/>
      </tp>
      <tp t="s">
        <v>#N/A N/A</v>
        <stp/>
        <stp>BDH|16883380590468672364</stp>
        <tr r="H21" s="2"/>
      </tp>
      <tp t="s">
        <v>#N/A N/A</v>
        <stp/>
        <stp>BDH|17292433549024157490</stp>
        <tr r="Y38" s="2"/>
      </tp>
      <tp t="s">
        <v>#N/A N/A</v>
        <stp/>
        <stp>BDH|12627798807627805500</stp>
        <tr r="V80" s="2"/>
      </tp>
      <tp t="s">
        <v>#N/A N/A</v>
        <stp/>
        <stp>BDH|14779346217532553311</stp>
        <tr r="P17" s="2"/>
      </tp>
      <tp t="s">
        <v>#N/A N/A</v>
        <stp/>
        <stp>BDH|16111135324904696603</stp>
        <tr r="R65" s="2"/>
      </tp>
      <tp t="s">
        <v>#N/A N/A</v>
        <stp/>
        <stp>BDH|12388874487973645655</stp>
        <tr r="J55" s="2"/>
      </tp>
      <tp t="s">
        <v>#N/A N/A</v>
        <stp/>
        <stp>BDH|15466681774903808035</stp>
        <tr r="F31" s="2"/>
      </tp>
      <tp t="s">
        <v>#N/A N/A</v>
        <stp/>
        <stp>BDH|10626676030670295202</stp>
        <tr r="AC65" s="2"/>
      </tp>
      <tp t="s">
        <v>#N/A N/A</v>
        <stp/>
        <stp>BDH|14393218202856759744</stp>
        <tr r="P28" s="2"/>
      </tp>
      <tp t="s">
        <v>#N/A N/A</v>
        <stp/>
        <stp>BDH|17516481984309943538</stp>
        <tr r="Q57" s="2"/>
      </tp>
      <tp t="s">
        <v>#N/A N/A</v>
        <stp/>
        <stp>BDH|16734010954611621579</stp>
        <tr r="Z64" s="2"/>
      </tp>
      <tp t="s">
        <v>#N/A N/A</v>
        <stp/>
        <stp>BDH|17524408107493155706</stp>
        <tr r="AB63" s="2"/>
      </tp>
      <tp t="s">
        <v>#N/A N/A</v>
        <stp/>
        <stp>BDH|17877136834235872747</stp>
        <tr r="E88" s="2"/>
      </tp>
      <tp t="s">
        <v>#N/A N/A</v>
        <stp/>
        <stp>BDH|12756152210152716766</stp>
        <tr r="P73" s="2"/>
      </tp>
      <tp t="s">
        <v>#N/A N/A</v>
        <stp/>
        <stp>BDH|16838186705593034364</stp>
        <tr r="Y26" s="2"/>
      </tp>
      <tp t="s">
        <v>#N/A N/A</v>
        <stp/>
        <stp>BDH|11630894654252918912</stp>
        <tr r="K12" s="2"/>
      </tp>
      <tp t="s">
        <v>#N/A N/A</v>
        <stp/>
        <stp>BDH|18211546575388160516</stp>
        <tr r="AD42" s="2"/>
      </tp>
      <tp t="s">
        <v>#N/A N/A</v>
        <stp/>
        <stp>BDH|14097010250315418371</stp>
        <tr r="Y87" s="2"/>
      </tp>
      <tp t="s">
        <v>#N/A N/A</v>
        <stp/>
        <stp>BDH|10823752455921292489</stp>
        <tr r="G86" s="2"/>
      </tp>
      <tp t="s">
        <v>#N/A N/A</v>
        <stp/>
        <stp>BDH|17142272944610303638</stp>
        <tr r="M22" s="2"/>
      </tp>
      <tp t="s">
        <v>#N/A N/A</v>
        <stp/>
        <stp>BDH|11592249361266652445</stp>
        <tr r="P15" s="2"/>
      </tp>
      <tp t="s">
        <v>#N/A N/A</v>
        <stp/>
        <stp>BDH|10859701709423727342</stp>
        <tr r="R49" s="2"/>
      </tp>
      <tp t="s">
        <v>#N/A N/A</v>
        <stp/>
        <stp>BDH|11938732445896910348</stp>
        <tr r="AC16" s="2"/>
      </tp>
      <tp t="s">
        <v>#N/A N/A</v>
        <stp/>
        <stp>BDH|14055490213124106294</stp>
        <tr r="C13" s="2"/>
      </tp>
      <tp t="s">
        <v>#N/A N/A</v>
        <stp/>
        <stp>BDH|16246504961830624201</stp>
        <tr r="F9" s="2"/>
      </tp>
      <tp t="s">
        <v>#N/A N/A</v>
        <stp/>
        <stp>BDH|13130631625159522978</stp>
        <tr r="C67" s="2"/>
      </tp>
      <tp t="s">
        <v>#N/A N/A</v>
        <stp/>
        <stp>BDH|14468128433316220727</stp>
        <tr r="E82" s="2"/>
      </tp>
      <tp t="s">
        <v>#N/A N/A</v>
        <stp/>
        <stp>BDH|10416817265618338160</stp>
        <tr r="F59" s="2"/>
      </tp>
      <tp t="s">
        <v>#N/A N/A</v>
        <stp/>
        <stp>BDH|14632308762036085011</stp>
        <tr r="R42" s="2"/>
      </tp>
      <tp t="s">
        <v>#N/A N/A</v>
        <stp/>
        <stp>BDH|11391093404684342289</stp>
        <tr r="AF34" s="2"/>
      </tp>
      <tp t="s">
        <v>#N/A N/A</v>
        <stp/>
        <stp>BDH|14792707050769064836</stp>
        <tr r="T21" s="2"/>
      </tp>
      <tp t="s">
        <v>#N/A N/A</v>
        <stp/>
        <stp>BDH|10084374642007884798</stp>
        <tr r="J72" s="2"/>
      </tp>
      <tp t="s">
        <v>#N/A N/A</v>
        <stp/>
        <stp>BDH|15112191614224973610</stp>
        <tr r="E57" s="2"/>
      </tp>
      <tp t="s">
        <v>#N/A N/A</v>
        <stp/>
        <stp>BDH|14419786964342428082</stp>
        <tr r="W30" s="2"/>
      </tp>
      <tp t="s">
        <v>#N/A N/A</v>
        <stp/>
        <stp>BDH|12004371410622064535</stp>
        <tr r="G57" s="2"/>
      </tp>
      <tp t="s">
        <v>#N/A N/A</v>
        <stp/>
        <stp>BDH|15017431364669048908</stp>
        <tr r="T22" s="2"/>
      </tp>
      <tp t="s">
        <v>#N/A N/A</v>
        <stp/>
        <stp>BDH|12391567535756558525</stp>
        <tr r="O64" s="2"/>
      </tp>
      <tp t="s">
        <v>#N/A N/A</v>
        <stp/>
        <stp>BDH|16453961390412017359</stp>
        <tr r="U53" s="2"/>
      </tp>
      <tp t="s">
        <v>#N/A N/A</v>
        <stp/>
        <stp>BDH|11594508673062983685</stp>
        <tr r="H51" s="2"/>
      </tp>
      <tp t="s">
        <v>#N/A N/A</v>
        <stp/>
        <stp>BDH|13451736601756914587</stp>
        <tr r="G7" s="2"/>
      </tp>
      <tp t="s">
        <v>#N/A N/A</v>
        <stp/>
        <stp>BDH|15240757728474108392</stp>
        <tr r="E34" s="2"/>
      </tp>
      <tp t="s">
        <v>#N/A N/A</v>
        <stp/>
        <stp>BDH|16068718254374020735</stp>
        <tr r="X80" s="2"/>
      </tp>
      <tp t="s">
        <v>#N/A N/A</v>
        <stp/>
        <stp>BDH|11965871279899163000</stp>
        <tr r="K9" s="2"/>
      </tp>
      <tp t="s">
        <v>#N/A N/A</v>
        <stp/>
        <stp>BDH|10611568229712949265</stp>
        <tr r="H59" s="2"/>
      </tp>
      <tp t="s">
        <v>#N/A N/A</v>
        <stp/>
        <stp>BDH|10897711972740570787</stp>
        <tr r="Z53" s="2"/>
      </tp>
      <tp t="s">
        <v>#N/A N/A</v>
        <stp/>
        <stp>BDH|17584629250307920483</stp>
        <tr r="AF57" s="2"/>
      </tp>
      <tp t="s">
        <v>#N/A N/A</v>
        <stp/>
        <stp>BDH|11399369359434852426</stp>
        <tr r="AD11" s="2"/>
      </tp>
      <tp t="s">
        <v>#N/A N/A</v>
        <stp/>
        <stp>BDH|14481029811213903187</stp>
        <tr r="T42" s="2"/>
      </tp>
      <tp t="s">
        <v>#N/A N/A</v>
        <stp/>
        <stp>BDH|17650646614534801382</stp>
        <tr r="I53" s="2"/>
      </tp>
      <tp t="s">
        <v>#N/A N/A</v>
        <stp/>
        <stp>BDH|15934628856613675220</stp>
        <tr r="P60" s="2"/>
      </tp>
      <tp t="s">
        <v>#N/A N/A</v>
        <stp/>
        <stp>BDH|12850693661681041498</stp>
        <tr r="Z39" s="2"/>
      </tp>
      <tp t="s">
        <v>#N/A N/A</v>
        <stp/>
        <stp>BDH|16788021669111688631</stp>
        <tr r="AF89" s="2"/>
      </tp>
      <tp t="s">
        <v>#N/A N/A</v>
        <stp/>
        <stp>BDH|11866455754151737671</stp>
        <tr r="D36" s="2"/>
      </tp>
      <tp t="s">
        <v>#N/A N/A</v>
        <stp/>
        <stp>BDH|12927669222629312879</stp>
        <tr r="F54" s="2"/>
      </tp>
      <tp t="s">
        <v>#N/A N/A</v>
        <stp/>
        <stp>BDH|16243138839453259027</stp>
        <tr r="Q65" s="2"/>
      </tp>
      <tp t="s">
        <v>#N/A N/A</v>
        <stp/>
        <stp>BDH|11629401464475935139</stp>
        <tr r="L88" s="2"/>
      </tp>
      <tp t="s">
        <v>#N/A N/A</v>
        <stp/>
        <stp>BDH|14932465947332553150</stp>
        <tr r="J12" s="2"/>
      </tp>
      <tp t="s">
        <v>#N/A N/A</v>
        <stp/>
        <stp>BDH|15952598842467874429</stp>
        <tr r="O38" s="2"/>
      </tp>
      <tp t="s">
        <v>#N/A N/A</v>
        <stp/>
        <stp>BDH|15243502135391729580</stp>
        <tr r="AB89" s="2"/>
      </tp>
      <tp t="s">
        <v>#N/A N/A</v>
        <stp/>
        <stp>BDH|17843018767452780416</stp>
        <tr r="AD69" s="2"/>
      </tp>
      <tp t="s">
        <v>#N/A N/A</v>
        <stp/>
        <stp>BDH|11386652538586057550</stp>
        <tr r="F81" s="2"/>
      </tp>
      <tp t="s">
        <v>#N/A N/A</v>
        <stp/>
        <stp>BDH|17558768942265943634</stp>
        <tr r="U30" s="2"/>
      </tp>
      <tp t="s">
        <v>#N/A N/A</v>
        <stp/>
        <stp>BDH|17166218514857807479</stp>
        <tr r="M39" s="2"/>
      </tp>
      <tp t="s">
        <v>#N/A N/A</v>
        <stp/>
        <stp>BDH|11311291833674064338</stp>
        <tr r="X52" s="2"/>
      </tp>
      <tp t="s">
        <v>#N/A N/A</v>
        <stp/>
        <stp>BDH|14577743138983618450</stp>
        <tr r="H91" s="2"/>
      </tp>
      <tp t="s">
        <v>#N/A N/A</v>
        <stp/>
        <stp>BDH|12944888533886139895</stp>
        <tr r="O48" s="2"/>
      </tp>
      <tp t="s">
        <v>#N/A N/A</v>
        <stp/>
        <stp>BDH|14376086373747466367</stp>
        <tr r="J42" s="2"/>
      </tp>
      <tp t="s">
        <v>#N/A N/A</v>
        <stp/>
        <stp>BDH|17934260364390844491</stp>
        <tr r="L47" s="2"/>
      </tp>
      <tp t="s">
        <v>#N/A N/A</v>
        <stp/>
        <stp>BDH|11135196730921638534</stp>
        <tr r="X58" s="2"/>
      </tp>
      <tp t="s">
        <v>#N/A N/A</v>
        <stp/>
        <stp>BDH|10370196700636651019</stp>
        <tr r="Q38" s="2"/>
      </tp>
      <tp t="s">
        <v>#N/A N/A</v>
        <stp/>
        <stp>BDH|11765531651304099284</stp>
        <tr r="V81" s="2"/>
      </tp>
      <tp t="s">
        <v>#N/A N/A</v>
        <stp/>
        <stp>BDH|13896337362148747936</stp>
        <tr r="W29" s="2"/>
      </tp>
      <tp t="s">
        <v>#N/A N/A</v>
        <stp/>
        <stp>BDH|12311866674118405287</stp>
        <tr r="W28" s="2"/>
      </tp>
      <tp t="s">
        <v>#N/A N/A</v>
        <stp/>
        <stp>BDH|16518079872592893452</stp>
        <tr r="T88" s="2"/>
      </tp>
      <tp t="s">
        <v>#N/A N/A</v>
        <stp/>
        <stp>BDH|10116729153800493581</stp>
        <tr r="L82" s="2"/>
      </tp>
      <tp t="s">
        <v>#N/A N/A</v>
        <stp/>
        <stp>BDH|17558369355460960633</stp>
        <tr r="F43" s="2"/>
      </tp>
      <tp t="s">
        <v>#N/A N/A</v>
        <stp/>
        <stp>BDH|14521671514570372495</stp>
        <tr r="AB50" s="2"/>
      </tp>
      <tp t="s">
        <v>#N/A N/A</v>
        <stp/>
        <stp>BDH|16459128838953227002</stp>
        <tr r="X23" s="2"/>
      </tp>
      <tp t="s">
        <v>#N/A N/A</v>
        <stp/>
        <stp>BDH|17688350863641703484</stp>
        <tr r="AF63" s="2"/>
      </tp>
      <tp t="s">
        <v>#N/A N/A</v>
        <stp/>
        <stp>BDH|15386906989401360263</stp>
        <tr r="J87" s="2"/>
      </tp>
      <tp t="s">
        <v>#N/A N/A</v>
        <stp/>
        <stp>BDH|17623889898651183082</stp>
        <tr r="R31" s="2"/>
      </tp>
      <tp t="s">
        <v>#N/A N/A</v>
        <stp/>
        <stp>BDH|11591556728425173475</stp>
        <tr r="L15" s="2"/>
      </tp>
      <tp t="s">
        <v>#N/A N/A</v>
        <stp/>
        <stp>BDH|13780016268154649663</stp>
        <tr r="AD23" s="2"/>
      </tp>
      <tp t="s">
        <v>#N/A N/A</v>
        <stp/>
        <stp>BDH|18213107378919279067</stp>
        <tr r="X75" s="2"/>
      </tp>
      <tp t="s">
        <v>#N/A N/A</v>
        <stp/>
        <stp>BDH|13991150529311898632</stp>
        <tr r="AA23" s="2"/>
      </tp>
      <tp t="s">
        <v>#N/A N/A</v>
        <stp/>
        <stp>BDH|13974954335788746601</stp>
        <tr r="R89" s="2"/>
      </tp>
      <tp t="s">
        <v>#N/A N/A</v>
        <stp/>
        <stp>BDH|16966291189413179860</stp>
        <tr r="Z55" s="2"/>
      </tp>
      <tp t="s">
        <v>#N/A N/A</v>
        <stp/>
        <stp>BDH|13798200365673430072</stp>
        <tr r="T68" s="2"/>
      </tp>
      <tp t="s">
        <v>#N/A N/A</v>
        <stp/>
        <stp>BDH|10904167018094037067</stp>
        <tr r="C41" s="2"/>
      </tp>
      <tp t="s">
        <v>#N/A N/A</v>
        <stp/>
        <stp>BDH|17698512102211105759</stp>
        <tr r="U19" s="2"/>
      </tp>
      <tp t="s">
        <v>#N/A N/A</v>
        <stp/>
        <stp>BDH|16058411891348731764</stp>
        <tr r="AB62" s="2"/>
      </tp>
      <tp t="s">
        <v>#N/A N/A</v>
        <stp/>
        <stp>BDH|16662387754644321081</stp>
        <tr r="X41" s="2"/>
      </tp>
      <tp t="s">
        <v>#N/A N/A</v>
        <stp/>
        <stp>BDH|17328671620274112359</stp>
        <tr r="N11" s="2"/>
      </tp>
      <tp t="s">
        <v>#N/A N/A</v>
        <stp/>
        <stp>BDH|14059396856914630297</stp>
        <tr r="R82" s="2"/>
      </tp>
      <tp t="s">
        <v>#N/A N/A</v>
        <stp/>
        <stp>BDH|14028740553803383141</stp>
        <tr r="L39" s="2"/>
      </tp>
      <tp t="s">
        <v>#N/A N/A</v>
        <stp/>
        <stp>BDH|11683976394906618335</stp>
        <tr r="H49" s="2"/>
      </tp>
      <tp t="s">
        <v>#N/A N/A</v>
        <stp/>
        <stp>BDH|15026355442593446509</stp>
        <tr r="O35" s="2"/>
      </tp>
      <tp t="s">
        <v>#N/A N/A</v>
        <stp/>
        <stp>BDH|14573036834380045315</stp>
        <tr r="H41" s="2"/>
      </tp>
      <tp t="s">
        <v>#N/A N/A</v>
        <stp/>
        <stp>BDH|12285608021443540153</stp>
        <tr r="AF53" s="2"/>
      </tp>
      <tp t="s">
        <v>#N/A N/A</v>
        <stp/>
        <stp>BDH|16455746415685401124</stp>
        <tr r="Z41" s="2"/>
      </tp>
      <tp t="s">
        <v>#N/A N/A</v>
        <stp/>
        <stp>BDH|13207306565282146056</stp>
        <tr r="F20" s="2"/>
      </tp>
      <tp t="s">
        <v>#N/A N/A</v>
        <stp/>
        <stp>BDH|14511165870731384720</stp>
        <tr r="O91" s="2"/>
      </tp>
      <tp t="s">
        <v>#N/A N/A</v>
        <stp/>
        <stp>BDH|12359537630658795854</stp>
        <tr r="L17" s="2"/>
      </tp>
      <tp t="s">
        <v>#N/A N/A</v>
        <stp/>
        <stp>BDH|18232735674319290555</stp>
        <tr r="P56" s="2"/>
      </tp>
      <tp t="s">
        <v>#N/A N/A</v>
        <stp/>
        <stp>BDH|12919770903005601498</stp>
        <tr r="AC82" s="2"/>
      </tp>
      <tp t="s">
        <v>#N/A N/A</v>
        <stp/>
        <stp>BDH|15045736666499290957</stp>
        <tr r="AC30" s="2"/>
      </tp>
      <tp t="s">
        <v>#N/A N/A</v>
        <stp/>
        <stp>BDH|11160259457252252034</stp>
        <tr r="M83" s="2"/>
      </tp>
      <tp t="s">
        <v>#N/A N/A</v>
        <stp/>
        <stp>BDH|13724000323682612707</stp>
        <tr r="G55" s="2"/>
      </tp>
      <tp t="s">
        <v>#N/A N/A</v>
        <stp/>
        <stp>BDH|15757691768583710231</stp>
        <tr r="K28" s="2"/>
      </tp>
      <tp t="s">
        <v>#N/A N/A</v>
        <stp/>
        <stp>BDH|15744241921369904891</stp>
        <tr r="AF65" s="2"/>
      </tp>
      <tp t="s">
        <v>#N/A N/A</v>
        <stp/>
        <stp>BDH|15560668091406644810</stp>
        <tr r="R54" s="2"/>
      </tp>
      <tp t="s">
        <v>#N/A N/A</v>
        <stp/>
        <stp>BDH|15437928483261271122</stp>
        <tr r="D22" s="2"/>
      </tp>
      <tp t="s">
        <v>#N/A N/A</v>
        <stp/>
        <stp>BDH|10378214417640625765</stp>
        <tr r="S14" s="2"/>
      </tp>
      <tp t="s">
        <v>#N/A N/A</v>
        <stp/>
        <stp>BDH|12470411217634092778</stp>
        <tr r="F16" s="2"/>
      </tp>
      <tp t="s">
        <v>#N/A N/A</v>
        <stp/>
        <stp>BDH|14693939061188926785</stp>
        <tr r="K91" s="2"/>
      </tp>
      <tp t="s">
        <v>#N/A N/A</v>
        <stp/>
        <stp>BDH|12636345910760456431</stp>
        <tr r="T65" s="2"/>
      </tp>
      <tp t="s">
        <v>#N/A N/A</v>
        <stp/>
        <stp>BDH|13841751089931092908</stp>
        <tr r="R47" s="2"/>
      </tp>
      <tp t="s">
        <v>#N/A N/A</v>
        <stp/>
        <stp>BDH|14535320726500120146</stp>
        <tr r="V44" s="2"/>
      </tp>
      <tp t="s">
        <v>#N/A N/A</v>
        <stp/>
        <stp>BDH|10380211040294351667</stp>
        <tr r="AD14" s="2"/>
      </tp>
      <tp t="s">
        <v>#N/A N/A</v>
        <stp/>
        <stp>BDH|13577010314826174061</stp>
        <tr r="P89" s="2"/>
      </tp>
      <tp t="s">
        <v>#N/A N/A</v>
        <stp/>
        <stp>BDH|11704704620473221323</stp>
        <tr r="AB56" s="2"/>
      </tp>
      <tp t="s">
        <v>#N/A N/A</v>
        <stp/>
        <stp>BDH|10112312635100079425</stp>
        <tr r="T81" s="2"/>
      </tp>
      <tp t="s">
        <v>#N/A N/A</v>
        <stp/>
        <stp>BDH|17562474711897491106</stp>
        <tr r="D30" s="2"/>
      </tp>
      <tp t="s">
        <v>#N/A N/A</v>
        <stp/>
        <stp>BDH|14960454423917171181</stp>
        <tr r="I23" s="2"/>
      </tp>
      <tp t="s">
        <v>#N/A N/A</v>
        <stp/>
        <stp>BDH|17365461726700225573</stp>
        <tr r="D55" s="2"/>
      </tp>
      <tp t="s">
        <v>#N/A N/A</v>
        <stp/>
        <stp>BDH|13777803741039520257</stp>
        <tr r="AF36" s="2"/>
      </tp>
      <tp t="s">
        <v>#N/A N/A</v>
        <stp/>
        <stp>BDH|16483169244624737373</stp>
        <tr r="M19" s="2"/>
      </tp>
      <tp t="s">
        <v>#N/A N/A</v>
        <stp/>
        <stp>BDH|15160589210683717673</stp>
        <tr r="J21" s="2"/>
      </tp>
      <tp t="s">
        <v>#N/A N/A</v>
        <stp/>
        <stp>BDH|17048782957523115279</stp>
        <tr r="J36" s="2"/>
      </tp>
      <tp t="s">
        <v>#N/A N/A</v>
        <stp/>
        <stp>BDH|11528029816345121193</stp>
        <tr r="X45" s="2"/>
      </tp>
      <tp t="s">
        <v>#N/A N/A</v>
        <stp/>
        <stp>BDH|15618398389638745288</stp>
        <tr r="P61" s="2"/>
      </tp>
      <tp t="s">
        <v>#N/A N/A</v>
        <stp/>
        <stp>BDH|17153639354852903262</stp>
        <tr r="N38" s="2"/>
      </tp>
      <tp t="s">
        <v>#N/A N/A</v>
        <stp/>
        <stp>BDH|12623493022639795924</stp>
        <tr r="Z59" s="2"/>
      </tp>
      <tp t="s">
        <v>#N/A N/A</v>
        <stp/>
        <stp>BDH|10036029825333667597</stp>
        <tr r="V56" s="2"/>
      </tp>
      <tp t="s">
        <v>#N/A N/A</v>
        <stp/>
        <stp>BDH|13482927973941870852</stp>
        <tr r="S70" s="2"/>
      </tp>
      <tp t="s">
        <v>#N/A N/A</v>
        <stp/>
        <stp>BDH|17528551311170175787</stp>
        <tr r="C66" s="2"/>
      </tp>
      <tp t="s">
        <v>#N/A N/A</v>
        <stp/>
        <stp>BDH|10368161462921482288</stp>
        <tr r="V9" s="2"/>
      </tp>
      <tp t="s">
        <v>#N/A N/A</v>
        <stp/>
        <stp>BDH|13879276960836371572</stp>
        <tr r="AF31" s="2"/>
      </tp>
      <tp t="s">
        <v>#N/A N/A</v>
        <stp/>
        <stp>BDH|15438378035996916744</stp>
        <tr r="F49" s="2"/>
      </tp>
      <tp t="s">
        <v>#N/A N/A</v>
        <stp/>
        <stp>BDH|13345779464176925028</stp>
        <tr r="Q39" s="2"/>
      </tp>
      <tp t="s">
        <v>#N/A N/A</v>
        <stp/>
        <stp>BDH|13299685455502065657</stp>
        <tr r="Z27" s="2"/>
      </tp>
      <tp t="s">
        <v>#N/A N/A</v>
        <stp/>
        <stp>BDH|16973336458452847601</stp>
        <tr r="Q23" s="2"/>
      </tp>
      <tp t="s">
        <v>#N/A N/A</v>
        <stp/>
        <stp>BDH|11113890630678074625</stp>
        <tr r="W85" s="2"/>
      </tp>
      <tp t="s">
        <v>#N/A N/A</v>
        <stp/>
        <stp>BDH|11242937498661485479</stp>
        <tr r="AC28" s="2"/>
      </tp>
      <tp t="s">
        <v>#N/A N/A</v>
        <stp/>
        <stp>BDH|13987747268524139292</stp>
        <tr r="Z42" s="2"/>
      </tp>
      <tp t="s">
        <v>#N/A N/A</v>
        <stp/>
        <stp>BDH|12518233579724384716</stp>
        <tr r="V85" s="2"/>
      </tp>
      <tp t="s">
        <v>#N/A N/A</v>
        <stp/>
        <stp>BDH|14053069441787294388</stp>
        <tr r="Y47" s="2"/>
      </tp>
      <tp t="s">
        <v>#N/A N/A</v>
        <stp/>
        <stp>BDH|11433834893926024293</stp>
        <tr r="S61" s="2"/>
      </tp>
      <tp t="s">
        <v>#N/A N/A</v>
        <stp/>
        <stp>BDH|13211785801947570734</stp>
        <tr r="V17" s="2"/>
      </tp>
      <tp t="s">
        <v>#N/A N/A</v>
        <stp/>
        <stp>BDH|12703792815614508436</stp>
        <tr r="Q51" s="2"/>
      </tp>
      <tp t="s">
        <v>#N/A N/A</v>
        <stp/>
        <stp>BDH|13606231977045611790</stp>
        <tr r="U15" s="2"/>
      </tp>
      <tp t="s">
        <v>#N/A N/A</v>
        <stp/>
        <stp>BDH|15895773152654122719</stp>
        <tr r="H69" s="2"/>
      </tp>
      <tp t="s">
        <v>#N/A N/A</v>
        <stp/>
        <stp>BDH|13168020516681869702</stp>
        <tr r="T36" s="2"/>
      </tp>
      <tp t="s">
        <v>#N/A N/A</v>
        <stp/>
        <stp>BDH|11186559323275350780</stp>
        <tr r="P9" s="2"/>
      </tp>
      <tp t="s">
        <v>#N/A N/A</v>
        <stp/>
        <stp>BDH|11089746718012045139</stp>
        <tr r="W21" s="2"/>
      </tp>
      <tp t="s">
        <v>#N/A N/A</v>
        <stp/>
        <stp>BDH|12297140795649804749</stp>
        <tr r="AE27" s="2"/>
      </tp>
      <tp t="s">
        <v>#N/A N/A</v>
        <stp/>
        <stp>BDH|15126535934372981515</stp>
        <tr r="M69" s="2"/>
      </tp>
      <tp t="s">
        <v>#N/A N/A</v>
        <stp/>
        <stp>BDH|11726508509226952692</stp>
        <tr r="E69" s="2"/>
      </tp>
      <tp t="s">
        <v>#N/A N/A</v>
        <stp/>
        <stp>BDH|15030993194129194825</stp>
        <tr r="U57" s="2"/>
      </tp>
      <tp t="s">
        <v>#N/A N/A</v>
        <stp/>
        <stp>BDH|13601628650270601531</stp>
        <tr r="AD63" s="2"/>
      </tp>
      <tp t="s">
        <v>#N/A N/A</v>
        <stp/>
        <stp>BDH|16695741646194037454</stp>
        <tr r="U63" s="2"/>
      </tp>
      <tp t="s">
        <v>#N/A N/A</v>
        <stp/>
        <stp>BDH|13585136939973907775</stp>
        <tr r="Z8" s="2"/>
      </tp>
      <tp t="s">
        <v>#N/A N/A</v>
        <stp/>
        <stp>BDH|11251231056274654702</stp>
        <tr r="P90" s="2"/>
      </tp>
      <tp t="s">
        <v>#N/A N/A</v>
        <stp/>
        <stp>BDH|17480575612996711075</stp>
        <tr r="V79" s="2"/>
      </tp>
      <tp t="s">
        <v>#N/A N/A</v>
        <stp/>
        <stp>BDH|12127345651905687432</stp>
        <tr r="Q87" s="2"/>
      </tp>
      <tp t="s">
        <v>#N/A N/A</v>
        <stp/>
        <stp>BDH|13226510577927113357</stp>
        <tr r="AB81" s="2"/>
      </tp>
      <tp t="s">
        <v>#N/A N/A</v>
        <stp/>
        <stp>BDH|16618784143403968345</stp>
        <tr r="R15" s="2"/>
      </tp>
      <tp t="s">
        <v>#N/A N/A</v>
        <stp/>
        <stp>BDH|16971161143730575693</stp>
        <tr r="H37" s="2"/>
      </tp>
      <tp t="s">
        <v>#N/A N/A</v>
        <stp/>
        <stp>BDH|15034101057114678010</stp>
        <tr r="G21" s="2"/>
      </tp>
      <tp t="s">
        <v>#N/A N/A</v>
        <stp/>
        <stp>BDH|15431290920857925773</stp>
        <tr r="N80" s="2"/>
      </tp>
      <tp t="s">
        <v>#N/A N/A</v>
        <stp/>
        <stp>BDH|11083513267720062757</stp>
        <tr r="N31" s="2"/>
      </tp>
      <tp t="s">
        <v>#N/A N/A</v>
        <stp/>
        <stp>BDH|14161309564952429626</stp>
        <tr r="T47" s="2"/>
      </tp>
      <tp t="s">
        <v>#N/A N/A</v>
        <stp/>
        <stp>BDH|11229622139309906833</stp>
        <tr r="AD90" s="2"/>
      </tp>
      <tp t="s">
        <v>#N/A N/A</v>
        <stp/>
        <stp>BDH|10353642714003093116</stp>
        <tr r="L43" s="2"/>
      </tp>
      <tp t="s">
        <v>#N/A N/A</v>
        <stp/>
        <stp>BDH|17314534473422850292</stp>
        <tr r="J85" s="2"/>
      </tp>
      <tp t="s">
        <v>#N/A N/A</v>
        <stp/>
        <stp>BDH|14326169964604158257</stp>
        <tr r="AD89" s="2"/>
      </tp>
      <tp t="s">
        <v>#N/A N/A</v>
        <stp/>
        <stp>BDH|11856011404257003388</stp>
        <tr r="L8" s="2"/>
      </tp>
      <tp t="s">
        <v>#N/A N/A</v>
        <stp/>
        <stp>BDH|14763649706440114714</stp>
        <tr r="J54" s="2"/>
      </tp>
      <tp t="s">
        <v>#N/A N/A</v>
        <stp/>
        <stp>BDH|15986810068708139641</stp>
        <tr r="AD43" s="2"/>
      </tp>
      <tp t="s">
        <v>#N/A N/A</v>
        <stp/>
        <stp>BDH|12533791138025270632</stp>
        <tr r="D31" s="2"/>
      </tp>
      <tp t="s">
        <v>#N/A N/A</v>
        <stp/>
        <stp>BDH|10446551575005771265</stp>
        <tr r="F24" s="2"/>
      </tp>
      <tp t="s">
        <v>#N/A N/A</v>
        <stp/>
        <stp>BDH|13233144952685716765</stp>
        <tr r="AB59" s="2"/>
      </tp>
      <tp t="s">
        <v>#N/A N/A</v>
        <stp/>
        <stp>BDH|10655186959047093633</stp>
        <tr r="T70" s="2"/>
      </tp>
      <tp t="s">
        <v>#N/A N/A</v>
        <stp/>
        <stp>BDH|17422875613802621925</stp>
        <tr r="AC27" s="2"/>
      </tp>
      <tp t="s">
        <v>#N/A N/A</v>
        <stp/>
        <stp>BDH|15642314125512146374</stp>
        <tr r="AC80" s="2"/>
      </tp>
      <tp t="s">
        <v>#N/A N/A</v>
        <stp/>
        <stp>BDH|17639361032921278348</stp>
        <tr r="C75" s="2"/>
      </tp>
      <tp t="s">
        <v>#N/A N/A</v>
        <stp/>
        <stp>BDH|10984757703562979016</stp>
        <tr r="Z34" s="2"/>
      </tp>
      <tp t="s">
        <v>#N/A N/A</v>
        <stp/>
        <stp>BDH|10720534653567795275</stp>
        <tr r="M84" s="2"/>
      </tp>
      <tp t="s">
        <v>#N/A N/A</v>
        <stp/>
        <stp>BDH|16927775242869855935</stp>
        <tr r="G70" s="2"/>
      </tp>
      <tp t="s">
        <v>#N/A N/A</v>
        <stp/>
        <stp>BDH|15613599534723963557</stp>
        <tr r="U25" s="2"/>
      </tp>
      <tp t="s">
        <v>#N/A N/A</v>
        <stp/>
        <stp>BDH|15020833031489519208</stp>
        <tr r="F21" s="2"/>
      </tp>
      <tp t="s">
        <v>#N/A N/A</v>
        <stp/>
        <stp>BDH|13880172677245694593</stp>
        <tr r="L25" s="2"/>
      </tp>
      <tp t="s">
        <v>#N/A N/A</v>
        <stp/>
        <stp>BDH|11070931364403406842</stp>
        <tr r="R88" s="2"/>
      </tp>
      <tp t="s">
        <v>#N/A N/A</v>
        <stp/>
        <stp>BDH|12279893918067206964</stp>
        <tr r="U7" s="2"/>
      </tp>
      <tp t="s">
        <v>#N/A N/A</v>
        <stp/>
        <stp>BDH|16757342485440375821</stp>
        <tr r="D40" s="2"/>
      </tp>
      <tp t="s">
        <v>#N/A N/A</v>
        <stp/>
        <stp>BDH|14219736876344751564</stp>
        <tr r="L48" s="2"/>
      </tp>
      <tp t="s">
        <v>#N/A N/A</v>
        <stp/>
        <stp>BDH|14556899790021338164</stp>
        <tr r="E72" s="2"/>
      </tp>
      <tp t="s">
        <v>#N/A N/A</v>
        <stp/>
        <stp>BDH|12876719141756647272</stp>
        <tr r="AA79" s="2"/>
      </tp>
      <tp t="s">
        <v>#N/A N/A</v>
        <stp/>
        <stp>BDH|17414056479710508543</stp>
        <tr r="T63" s="2"/>
      </tp>
      <tp t="s">
        <v>#N/A N/A</v>
        <stp/>
        <stp>BDH|12257472948353168450</stp>
        <tr r="K39" s="2"/>
      </tp>
      <tp t="s">
        <v>#N/A N/A</v>
        <stp/>
        <stp>BDH|16670206165312376593</stp>
        <tr r="M85" s="2"/>
      </tp>
      <tp t="s">
        <v>#N/A N/A</v>
        <stp/>
        <stp>BDH|11645599070514719202</stp>
        <tr r="P29" s="2"/>
      </tp>
      <tp t="s">
        <v>#N/A N/A</v>
        <stp/>
        <stp>BDH|12154199912766418161</stp>
        <tr r="AE62" s="2"/>
      </tp>
      <tp t="s">
        <v>#N/A N/A</v>
        <stp/>
        <stp>BDH|13107105268957703667</stp>
        <tr r="K51" s="2"/>
      </tp>
      <tp t="s">
        <v>#N/A N/A</v>
        <stp/>
        <stp>BDH|14351815274808645685</stp>
        <tr r="N49" s="2"/>
      </tp>
      <tp t="s">
        <v>#N/A N/A</v>
        <stp/>
        <stp>BDH|11062367070474789493</stp>
        <tr r="D10" s="2"/>
      </tp>
      <tp t="s">
        <v>#N/A N/A</v>
        <stp/>
        <stp>BDH|11958583417877950779</stp>
        <tr r="P8" s="2"/>
      </tp>
      <tp t="s">
        <v>#N/A N/A</v>
        <stp/>
        <stp>BDH|12623435444035853210</stp>
        <tr r="V68" s="2"/>
      </tp>
      <tp t="s">
        <v>#N/A N/A</v>
        <stp/>
        <stp>BDH|11151712980879099286</stp>
        <tr r="P24" s="2"/>
      </tp>
      <tp t="s">
        <v>#N/A N/A</v>
        <stp/>
        <stp>BDH|14086065158456584236</stp>
        <tr r="K60" s="2"/>
      </tp>
      <tp t="s">
        <v>#N/A N/A</v>
        <stp/>
        <stp>BDH|18382946325621852712</stp>
        <tr r="Y56" s="2"/>
      </tp>
      <tp t="s">
        <v>#N/A N/A</v>
        <stp/>
        <stp>BDH|14740162208546069628</stp>
        <tr r="L71" s="2"/>
      </tp>
      <tp t="s">
        <v>#N/A N/A</v>
        <stp/>
        <stp>BDH|12708244705246525387</stp>
        <tr r="AA20" s="2"/>
      </tp>
      <tp t="s">
        <v>#N/A N/A</v>
        <stp/>
        <stp>BDH|14519066468760609765</stp>
        <tr r="K59" s="2"/>
      </tp>
      <tp t="s">
        <v>#N/A N/A</v>
        <stp/>
        <stp>BDH|15171900572457917916</stp>
        <tr r="N46" s="2"/>
      </tp>
      <tp t="s">
        <v>#N/A N/A</v>
        <stp/>
        <stp>BDH|18190582797598467902</stp>
        <tr r="D23" s="2"/>
      </tp>
      <tp t="s">
        <v>#N/A N/A</v>
        <stp/>
        <stp>BDH|10014992331129360616</stp>
        <tr r="AE40" s="2"/>
      </tp>
      <tp t="s">
        <v>#N/A N/A</v>
        <stp/>
        <stp>BDH|12709595141013162545</stp>
        <tr r="E64" s="2"/>
      </tp>
      <tp t="s">
        <v>#N/A N/A</v>
        <stp/>
        <stp>BDH|15984165525455640668</stp>
        <tr r="L42" s="2"/>
      </tp>
      <tp t="s">
        <v>#N/A N/A</v>
        <stp/>
        <stp>BDH|14247364978616253339</stp>
        <tr r="K31" s="2"/>
      </tp>
      <tp t="s">
        <v>#N/A N/A</v>
        <stp/>
        <stp>BDH|14037566476630835358</stp>
        <tr r="T39" s="2"/>
      </tp>
      <tp t="s">
        <v>#N/A N/A</v>
        <stp/>
        <stp>BDH|16657832791095001798</stp>
        <tr r="AE56" s="2"/>
      </tp>
      <tp t="s">
        <v>#N/A N/A</v>
        <stp/>
        <stp>BDH|11785790514964392647</stp>
        <tr r="K26" s="2"/>
      </tp>
      <tp t="s">
        <v>#N/A N/A</v>
        <stp/>
        <stp>BDH|18368775743199832727</stp>
        <tr r="L81" s="2"/>
      </tp>
      <tp t="s">
        <v>#N/A N/A</v>
        <stp/>
        <stp>BDH|10334344413161071695</stp>
        <tr r="Q81" s="2"/>
      </tp>
      <tp t="s">
        <v>#N/A N/A</v>
        <stp/>
        <stp>BDH|15940154315883063357</stp>
        <tr r="F10" s="2"/>
      </tp>
      <tp t="s">
        <v>#N/A N/A</v>
        <stp/>
        <stp>BDH|16296725946691953137</stp>
        <tr r="T57" s="2"/>
      </tp>
      <tp t="s">
        <v>#N/A N/A</v>
        <stp/>
        <stp>BDH|16181983655547373836</stp>
        <tr r="K55" s="2"/>
      </tp>
      <tp t="s">
        <v>#N/A N/A</v>
        <stp/>
        <stp>BDH|16659070266660381586</stp>
        <tr r="AD82" s="2"/>
      </tp>
      <tp t="s">
        <v>#N/A N/A</v>
        <stp/>
        <stp>BDH|11424678203312812045</stp>
        <tr r="K61" s="2"/>
      </tp>
      <tp t="s">
        <v>#N/A N/A</v>
        <stp/>
        <stp>BDH|17861754614621707525</stp>
        <tr r="F91" s="2"/>
      </tp>
      <tp t="s">
        <v>#N/A N/A</v>
        <stp/>
        <stp>BDH|15551484557188667903</stp>
        <tr r="H83" s="2"/>
      </tp>
      <tp t="s">
        <v>#N/A N/A</v>
        <stp/>
        <stp>BDH|10090701854217236090</stp>
        <tr r="Y57" s="2"/>
      </tp>
      <tp t="s">
        <v>#N/A N/A</v>
        <stp/>
        <stp>BDH|13981853623644300832</stp>
        <tr r="Y65" s="2"/>
      </tp>
      <tp t="s">
        <v>#N/A N/A</v>
        <stp/>
        <stp>BDH|17207649667455651784</stp>
        <tr r="S69" s="2"/>
      </tp>
      <tp t="s">
        <v>#N/A N/A</v>
        <stp/>
        <stp>BDH|10489038988148130510</stp>
        <tr r="H63" s="2"/>
      </tp>
      <tp t="s">
        <v>#N/A N/A</v>
        <stp/>
        <stp>BDH|16474665629573356470</stp>
        <tr r="E67" s="2"/>
      </tp>
      <tp t="s">
        <v>#N/A N/A</v>
        <stp/>
        <stp>BDH|10978802266932941999</stp>
        <tr r="H30" s="2"/>
      </tp>
      <tp t="s">
        <v>#N/A N/A</v>
        <stp/>
        <stp>BDH|18247309456049297295</stp>
        <tr r="T37" s="2"/>
      </tp>
      <tp t="s">
        <v>#N/A N/A</v>
        <stp/>
        <stp>BDH|15274466309082522674</stp>
        <tr r="V55" s="2"/>
      </tp>
      <tp t="s">
        <v>#N/A N/A</v>
        <stp/>
        <stp>BDH|14547566229504409211</stp>
        <tr r="Y14" s="2"/>
      </tp>
      <tp t="s">
        <v>#N/A N/A</v>
        <stp/>
        <stp>BDH|17443382231110073225</stp>
        <tr r="L90" s="2"/>
      </tp>
      <tp t="s">
        <v>#N/A N/A</v>
        <stp/>
        <stp>BDH|12753583400864570642</stp>
        <tr r="J37" s="2"/>
      </tp>
      <tp t="s">
        <v>#N/A N/A</v>
        <stp/>
        <stp>BDH|16374581307916779050</stp>
        <tr r="C64" s="2"/>
      </tp>
      <tp t="s">
        <v>#N/A N/A</v>
        <stp/>
        <stp>BDH|12871302161864740601</stp>
        <tr r="I36" s="2"/>
      </tp>
      <tp t="s">
        <v>#N/A N/A</v>
        <stp/>
        <stp>BDH|13374120261196809769</stp>
        <tr r="AE64" s="2"/>
      </tp>
      <tp t="s">
        <v>#N/A N/A</v>
        <stp/>
        <stp>BDH|17302706928993787422</stp>
        <tr r="I84" s="2"/>
      </tp>
    </main>
    <main first="bofaddin.rtdserver">
      <tp t="s">
        <v>#N/A N/A</v>
        <stp/>
        <stp>BDH|2108651627996848</stp>
        <tr r="U86" s="2"/>
      </tp>
      <tp t="s">
        <v>#N/A N/A</v>
        <stp/>
        <stp>BDH|8475421409584045454</stp>
        <tr r="E89" s="2"/>
      </tp>
      <tp t="s">
        <v>#N/A N/A</v>
        <stp/>
        <stp>BDH|7083621399712814693</stp>
        <tr r="Y35" s="2"/>
      </tp>
      <tp t="s">
        <v>#N/A N/A</v>
        <stp/>
        <stp>BDH|1963613795927770507</stp>
        <tr r="S67" s="2"/>
      </tp>
      <tp t="s">
        <v>#N/A N/A</v>
        <stp/>
        <stp>BDH|5597387384775740743</stp>
        <tr r="F61" s="2"/>
      </tp>
      <tp t="s">
        <v>#N/A N/A</v>
        <stp/>
        <stp>BDH|4506116038832667818</stp>
        <tr r="M17" s="2"/>
      </tp>
      <tp t="s">
        <v>#N/A N/A</v>
        <stp/>
        <stp>BDH|7561437327584929934</stp>
        <tr r="G72" s="2"/>
      </tp>
      <tp t="s">
        <v>#N/A N/A</v>
        <stp/>
        <stp>BDH|3738212584992843711</stp>
        <tr r="I68" s="2"/>
      </tp>
      <tp t="s">
        <v>#N/A N/A</v>
        <stp/>
        <stp>BDH|4740456190446833319</stp>
        <tr r="U45" s="2"/>
      </tp>
      <tp t="s">
        <v>#N/A N/A</v>
        <stp/>
        <stp>BDH|8240275330647949247</stp>
        <tr r="E59" s="2"/>
      </tp>
      <tp t="s">
        <v>#N/A N/A</v>
        <stp/>
        <stp>BDH|3077750262899658790</stp>
        <tr r="AF27" s="2"/>
      </tp>
      <tp t="s">
        <v>#N/A N/A</v>
        <stp/>
        <stp>BDH|3837680523029996220</stp>
        <tr r="O28" s="2"/>
      </tp>
      <tp t="s">
        <v>#N/A N/A</v>
        <stp/>
        <stp>BDH|6141707520538957709</stp>
        <tr r="C73" s="2"/>
      </tp>
      <tp t="s">
        <v>#N/A N/A</v>
        <stp/>
        <stp>BDH|5792287373089218565</stp>
        <tr r="AD70" s="2"/>
      </tp>
      <tp t="s">
        <v>#N/A N/A</v>
        <stp/>
        <stp>BDH|3460902893589763688</stp>
        <tr r="H60" s="2"/>
      </tp>
      <tp t="s">
        <v>#N/A N/A</v>
        <stp/>
        <stp>BDH|1921065325149581669</stp>
        <tr r="K18" s="2"/>
      </tp>
      <tp t="s">
        <v>#N/A N/A</v>
        <stp/>
        <stp>BDH|1999010676808047272</stp>
        <tr r="S66" s="2"/>
      </tp>
      <tp t="s">
        <v>#N/A N/A</v>
        <stp/>
        <stp>BDH|1836284841832848978</stp>
        <tr r="I44" s="2"/>
      </tp>
      <tp t="s">
        <v>#N/A N/A</v>
        <stp/>
        <stp>BDH|2829592045536360995</stp>
        <tr r="V66" s="2"/>
      </tp>
      <tp t="s">
        <v>#N/A N/A</v>
        <stp/>
        <stp>BDH|3937261807005306848</stp>
        <tr r="AA39" s="2"/>
      </tp>
      <tp t="s">
        <v>#N/A N/A</v>
        <stp/>
        <stp>BDH|8458789110894312637</stp>
        <tr r="L87" s="2"/>
      </tp>
      <tp t="s">
        <v>#N/A N/A</v>
        <stp/>
        <stp>BDH|5229231789275012645</stp>
        <tr r="C53" s="2"/>
      </tp>
      <tp t="s">
        <v>#N/A N/A</v>
        <stp/>
        <stp>BDH|9766398942862432043</stp>
        <tr r="Y53" s="2"/>
      </tp>
      <tp t="s">
        <v>#N/A N/A</v>
        <stp/>
        <stp>BDH|6658045692296933542</stp>
        <tr r="C62" s="2"/>
      </tp>
      <tp t="s">
        <v>#N/A N/A</v>
        <stp/>
        <stp>BDH|4877437697533017617</stp>
        <tr r="S30" s="2"/>
      </tp>
      <tp t="s">
        <v>#N/A N/A</v>
        <stp/>
        <stp>BDH|3382281746131921899</stp>
        <tr r="Q45" s="2"/>
      </tp>
      <tp t="s">
        <v>#N/A N/A</v>
        <stp/>
        <stp>BDH|2222675000418103090</stp>
        <tr r="T29" s="2"/>
      </tp>
      <tp t="s">
        <v>#N/A N/A</v>
        <stp/>
        <stp>BDH|7677775078318657321</stp>
        <tr r="W14" s="2"/>
      </tp>
      <tp t="s">
        <v>#N/A N/A</v>
        <stp/>
        <stp>BDH|8160658786882978865</stp>
        <tr r="I60" s="2"/>
      </tp>
      <tp t="s">
        <v>#N/A N/A</v>
        <stp/>
        <stp>BDH|3849551531959382028</stp>
        <tr r="AE79" s="2"/>
      </tp>
      <tp t="s">
        <v>#N/A N/A</v>
        <stp/>
        <stp>BDH|7746823049863048414</stp>
        <tr r="W73" s="2"/>
      </tp>
      <tp t="s">
        <v>#N/A N/A</v>
        <stp/>
        <stp>BDH|5472612092437036152</stp>
        <tr r="Z40" s="2"/>
      </tp>
      <tp t="s">
        <v>#N/A N/A</v>
        <stp/>
        <stp>BDH|4101398198985663747</stp>
        <tr r="O50" s="2"/>
      </tp>
      <tp t="s">
        <v>#N/A N/A</v>
        <stp/>
        <stp>BDH|3063071756418317201</stp>
        <tr r="P71" s="2"/>
      </tp>
      <tp t="s">
        <v>#N/A N/A</v>
        <stp/>
        <stp>BDH|5477834893009770110</stp>
        <tr r="R91" s="2"/>
      </tp>
      <tp t="s">
        <v>#N/A N/A</v>
        <stp/>
        <stp>BDH|6741562074689523126</stp>
        <tr r="AD27" s="2"/>
      </tp>
      <tp t="s">
        <v>#N/A N/A</v>
        <stp/>
        <stp>BDH|2433932430202191646</stp>
        <tr r="C11" s="2"/>
      </tp>
      <tp t="s">
        <v>#N/A N/A</v>
        <stp/>
        <stp>BDH|1712558474619588619</stp>
        <tr r="W31" s="2"/>
      </tp>
      <tp t="s">
        <v>#N/A N/A</v>
        <stp/>
        <stp>BDH|2901455799360124377</stp>
        <tr r="W25" s="2"/>
      </tp>
      <tp t="s">
        <v>#N/A N/A</v>
        <stp/>
        <stp>BDH|4444922545721278424</stp>
        <tr r="L65" s="2"/>
      </tp>
      <tp t="s">
        <v>#N/A N/A</v>
        <stp/>
        <stp>BDH|8947795401754639742</stp>
        <tr r="Y61" s="2"/>
      </tp>
      <tp t="s">
        <v>#N/A N/A</v>
        <stp/>
        <stp>BDH|3582430134370794857</stp>
        <tr r="AF44" s="2"/>
      </tp>
      <tp t="s">
        <v>#N/A N/A</v>
        <stp/>
        <stp>BDH|9448082131771419798</stp>
        <tr r="W48" s="2"/>
      </tp>
      <tp t="s">
        <v>#N/A N/A</v>
        <stp/>
        <stp>BDH|7490632582074666132</stp>
        <tr r="AD75" s="2"/>
      </tp>
      <tp t="s">
        <v>#N/A N/A</v>
        <stp/>
        <stp>BDH|8252237070867632677</stp>
        <tr r="AD60" s="2"/>
      </tp>
      <tp t="s">
        <v>#N/A N/A</v>
        <stp/>
        <stp>BDH|9940460068444175375</stp>
        <tr r="P62" s="2"/>
      </tp>
      <tp t="s">
        <v>#N/A N/A</v>
        <stp/>
        <stp>BDH|2713161910846763879</stp>
        <tr r="X8" s="2"/>
      </tp>
      <tp t="s">
        <v>#N/A N/A</v>
        <stp/>
        <stp>BDH|5931964906591879102</stp>
        <tr r="P50" s="2"/>
      </tp>
      <tp t="s">
        <v>#N/A N/A</v>
        <stp/>
        <stp>BDH|1022129075422167974</stp>
        <tr r="S84" s="2"/>
      </tp>
      <tp t="s">
        <v>#N/A N/A</v>
        <stp/>
        <stp>BDH|1987565251828846502</stp>
        <tr r="C57" s="2"/>
      </tp>
      <tp t="s">
        <v>#N/A N/A</v>
        <stp/>
        <stp>BDH|4152265256406251953</stp>
        <tr r="AA60" s="2"/>
      </tp>
      <tp t="s">
        <v>#N/A N/A</v>
        <stp/>
        <stp>BDH|2271044084852719438</stp>
        <tr r="J84" s="2"/>
      </tp>
      <tp t="s">
        <v>#N/A N/A</v>
        <stp/>
        <stp>BDH|8391723207373446048</stp>
        <tr r="Z70" s="2"/>
      </tp>
      <tp t="s">
        <v>#N/A N/A</v>
        <stp/>
        <stp>BDH|6944881042136768025</stp>
        <tr r="W69" s="2"/>
      </tp>
      <tp t="s">
        <v>#N/A N/A</v>
        <stp/>
        <stp>BDH|2765450587483234101</stp>
        <tr r="I58" s="2"/>
      </tp>
      <tp t="s">
        <v>#N/A N/A</v>
        <stp/>
        <stp>BDH|8513349404522296507</stp>
        <tr r="P91" s="2"/>
      </tp>
      <tp t="s">
        <v>#N/A N/A</v>
        <stp/>
        <stp>BDH|3523204784072419722</stp>
        <tr r="I31" s="2"/>
      </tp>
      <tp t="s">
        <v>#N/A N/A</v>
        <stp/>
        <stp>BDH|2945438459549638623</stp>
        <tr r="AC75" s="2"/>
      </tp>
      <tp t="s">
        <v>#N/A N/A</v>
        <stp/>
        <stp>BDH|4026724584042267538</stp>
        <tr r="AD81" s="2"/>
      </tp>
      <tp t="s">
        <v>#N/A N/A</v>
        <stp/>
        <stp>BDH|2994831320566919279</stp>
        <tr r="J34" s="2"/>
      </tp>
      <tp t="s">
        <v>#N/A N/A</v>
        <stp/>
        <stp>BDH|3667358107769540552</stp>
        <tr r="T49" s="2"/>
      </tp>
      <tp t="s">
        <v>#N/A N/A</v>
        <stp/>
        <stp>BDH|5599074025169634250</stp>
        <tr r="AE22" s="2"/>
      </tp>
      <tp t="s">
        <v>#N/A N/A</v>
        <stp/>
        <stp>BDH|3797835050662512049</stp>
        <tr r="Q80" s="2"/>
      </tp>
      <tp t="s">
        <v>#N/A N/A</v>
        <stp/>
        <stp>BDH|9613046687139649467</stp>
        <tr r="V21" s="2"/>
      </tp>
      <tp t="s">
        <v>#N/A N/A</v>
        <stp/>
        <stp>BDH|2590958215700941694</stp>
        <tr r="M70" s="2"/>
      </tp>
      <tp t="s">
        <v>#N/A N/A</v>
        <stp/>
        <stp>BDH|8942081306971655540</stp>
        <tr r="I25" s="2"/>
      </tp>
      <tp t="s">
        <v>#N/A N/A</v>
        <stp/>
        <stp>BDH|3077838816793777570</stp>
        <tr r="W72" s="2"/>
      </tp>
      <tp t="s">
        <v>#N/A N/A</v>
        <stp/>
        <stp>BDH|8935972278039088337</stp>
        <tr r="AB42" s="2"/>
      </tp>
      <tp t="s">
        <v>#N/A N/A</v>
        <stp/>
        <stp>BDH|66317156151456672</stp>
        <tr r="X11" s="2"/>
      </tp>
      <tp t="s">
        <v>#N/A N/A</v>
        <stp/>
        <stp>BDH|17662874346374628</stp>
        <tr r="G91" s="2"/>
      </tp>
      <tp t="s">
        <v>#N/A N/A</v>
        <stp/>
        <stp>BDH|70790514413589465</stp>
        <tr r="AA35" s="2"/>
      </tp>
      <tp t="s">
        <v>#N/A N/A</v>
        <stp/>
        <stp>BDH|4669386707933532963</stp>
        <tr r="J74" s="2"/>
      </tp>
      <tp t="s">
        <v>#N/A N/A</v>
        <stp/>
        <stp>BDH|2925154068340715899</stp>
        <tr r="AE31" s="2"/>
      </tp>
      <tp t="s">
        <v>#N/A N/A</v>
        <stp/>
        <stp>BDH|1893739624799172055</stp>
        <tr r="F53" s="2"/>
      </tp>
      <tp t="s">
        <v>#N/A N/A</v>
        <stp/>
        <stp>BDH|1119183251688372007</stp>
        <tr r="S42" s="2"/>
      </tp>
      <tp t="s">
        <v>#N/A N/A</v>
        <stp/>
        <stp>BDH|5872874625640111200</stp>
        <tr r="K7" s="2"/>
      </tp>
      <tp t="s">
        <v>#N/A N/A</v>
        <stp/>
        <stp>BDH|7166899078523299697</stp>
        <tr r="AD57" s="2"/>
      </tp>
      <tp t="s">
        <v>#N/A N/A</v>
        <stp/>
        <stp>BDH|3989632036992009975</stp>
        <tr r="S16" s="2"/>
      </tp>
      <tp t="s">
        <v>#N/A N/A</v>
        <stp/>
        <stp>BDH|8338594885790499801</stp>
        <tr r="U43" s="2"/>
      </tp>
      <tp t="s">
        <v>#N/A N/A</v>
        <stp/>
        <stp>BDH|8827054701227140256</stp>
        <tr r="X72" s="2"/>
      </tp>
      <tp t="s">
        <v>#N/A N/A</v>
        <stp/>
        <stp>BDH|3875348300768603525</stp>
        <tr r="Q24" s="2"/>
      </tp>
      <tp t="s">
        <v>#N/A N/A</v>
        <stp/>
        <stp>BDH|6829276503908230161</stp>
        <tr r="C42" s="2"/>
      </tp>
      <tp t="s">
        <v>#N/A N/A</v>
        <stp/>
        <stp>BDH|6071850243675786288</stp>
        <tr r="AB66" s="2"/>
      </tp>
      <tp t="s">
        <v>#N/A N/A</v>
        <stp/>
        <stp>BDH|1561984812796333256</stp>
        <tr r="Y82" s="2"/>
      </tp>
      <tp t="s">
        <v>#N/A N/A</v>
        <stp/>
        <stp>BDH|3326395183951621468</stp>
        <tr r="C82" s="2"/>
      </tp>
      <tp t="s">
        <v>#N/A N/A</v>
        <stp/>
        <stp>BDH|2533583416692658949</stp>
        <tr r="E43" s="2"/>
      </tp>
      <tp t="s">
        <v>#N/A N/A</v>
        <stp/>
        <stp>BDH|5428843639310106318</stp>
        <tr r="J49" s="2"/>
      </tp>
      <tp t="s">
        <v>#N/A N/A</v>
        <stp/>
        <stp>BDH|5483516922646809965</stp>
        <tr r="S64" s="2"/>
      </tp>
      <tp t="s">
        <v>#N/A N/A</v>
        <stp/>
        <stp>BDH|9461739586963958872</stp>
        <tr r="R11" s="2"/>
      </tp>
      <tp t="s">
        <v>#N/A N/A</v>
        <stp/>
        <stp>BDH|6296976750870962732</stp>
        <tr r="C12" s="2"/>
      </tp>
      <tp t="s">
        <v>#N/A N/A</v>
        <stp/>
        <stp>BDH|1853914300256354354</stp>
        <tr r="AF18" s="2"/>
      </tp>
      <tp t="s">
        <v>#N/A N/A</v>
        <stp/>
        <stp>BDH|9122184028057756091</stp>
        <tr r="H11" s="2"/>
      </tp>
      <tp t="s">
        <v>#N/A N/A</v>
        <stp/>
        <stp>BDH|9402739018602214024</stp>
        <tr r="E15" s="2"/>
      </tp>
      <tp t="s">
        <v>#N/A N/A</v>
        <stp/>
        <stp>BDH|2437988739684334191</stp>
        <tr r="Y58" s="2"/>
      </tp>
      <tp t="s">
        <v>#N/A N/A</v>
        <stp/>
        <stp>BDH|8981743881409755379</stp>
        <tr r="V20" s="2"/>
      </tp>
      <tp t="s">
        <v>#N/A N/A</v>
        <stp/>
        <stp>BDH|8190191955961125007</stp>
        <tr r="I81" s="2"/>
      </tp>
      <tp t="s">
        <v>#N/A N/A</v>
        <stp/>
        <stp>BDH|8849626866081722478</stp>
        <tr r="T72" s="2"/>
      </tp>
      <tp t="s">
        <v>#N/A N/A</v>
        <stp/>
        <stp>BDH|6517563469900143870</stp>
        <tr r="AE41" s="2"/>
      </tp>
      <tp t="s">
        <v>#N/A N/A</v>
        <stp/>
        <stp>BDH|1832922194195628953</stp>
        <tr r="D27" s="2"/>
      </tp>
      <tp t="s">
        <v>#N/A N/A</v>
        <stp/>
        <stp>BDH|4840733756638554351</stp>
        <tr r="AE51" s="2"/>
      </tp>
      <tp t="s">
        <v>#N/A N/A</v>
        <stp/>
        <stp>BDH|8302883602879134457</stp>
        <tr r="AF35" s="2"/>
      </tp>
      <tp t="s">
        <v>#N/A N/A</v>
        <stp/>
        <stp>BDH|8807921679218936382</stp>
        <tr r="AA17" s="2"/>
      </tp>
      <tp t="s">
        <v>#N/A N/A</v>
        <stp/>
        <stp>BDH|3738331292692696624</stp>
        <tr r="W7" s="2"/>
      </tp>
      <tp t="s">
        <v>#N/A N/A</v>
        <stp/>
        <stp>BDH|9652232956272996185</stp>
        <tr r="AE20" s="2"/>
      </tp>
      <tp t="s">
        <v>#N/A N/A</v>
        <stp/>
        <stp>BDH|9321768230447530720</stp>
        <tr r="D44" s="2"/>
      </tp>
      <tp t="s">
        <v>#N/A N/A</v>
        <stp/>
        <stp>BDH|4761365941157100923</stp>
        <tr r="M58" s="2"/>
      </tp>
      <tp t="s">
        <v>#N/A N/A</v>
        <stp/>
        <stp>BDH|6532794312245463894</stp>
        <tr r="H7" s="2"/>
      </tp>
      <tp t="s">
        <v>#N/A N/A</v>
        <stp/>
        <stp>BDH|7099537509028928705</stp>
        <tr r="X24" s="2"/>
      </tp>
      <tp t="s">
        <v>#N/A N/A</v>
        <stp/>
        <stp>BDH|9841977047849296098</stp>
        <tr r="Y54" s="2"/>
      </tp>
      <tp t="s">
        <v>#N/A N/A</v>
        <stp/>
        <stp>BDH|3553223853819404031</stp>
        <tr r="O81" s="2"/>
      </tp>
      <tp t="s">
        <v>#N/A N/A</v>
        <stp/>
        <stp>BDH|3374524289221996218</stp>
        <tr r="L34" s="2"/>
      </tp>
      <tp t="s">
        <v>#N/A N/A</v>
        <stp/>
        <stp>BDH|9288457526130783260</stp>
        <tr r="Z49" s="2"/>
      </tp>
      <tp t="s">
        <v>#N/A N/A</v>
        <stp/>
        <stp>BDH|5473193198669003940</stp>
        <tr r="C35" s="2"/>
      </tp>
      <tp t="s">
        <v>#N/A N/A</v>
        <stp/>
        <stp>BDH|5107221887650457214</stp>
        <tr r="C74" s="2"/>
      </tp>
      <tp t="s">
        <v>#N/A N/A</v>
        <stp/>
        <stp>BDH|6749719390637647217</stp>
        <tr r="R56" s="2"/>
      </tp>
      <tp t="s">
        <v>#N/A N/A</v>
        <stp/>
        <stp>BDH|9765506011947170762</stp>
        <tr r="D42" s="2"/>
      </tp>
      <tp t="s">
        <v>#N/A N/A</v>
        <stp/>
        <stp>BDH|8908994193046229376</stp>
        <tr r="S15" s="2"/>
      </tp>
      <tp t="s">
        <v>#N/A N/A</v>
        <stp/>
        <stp>BDH|7447200221913161921</stp>
        <tr r="AE35" s="2"/>
      </tp>
      <tp t="s">
        <v>#N/A N/A</v>
        <stp/>
        <stp>BDH|1176109283096436300</stp>
        <tr r="L54" s="2"/>
      </tp>
      <tp t="s">
        <v>#N/A N/A</v>
        <stp/>
        <stp>BDH|4120091396199809917</stp>
        <tr r="AA12" s="2"/>
      </tp>
      <tp t="s">
        <v>#N/A N/A</v>
        <stp/>
        <stp>BDH|6808949929030496067</stp>
        <tr r="AD79" s="2"/>
      </tp>
      <tp t="s">
        <v>#N/A N/A</v>
        <stp/>
        <stp>BDH|5279205586881734341</stp>
        <tr r="X44" s="2"/>
      </tp>
      <tp t="s">
        <v>#N/A N/A</v>
        <stp/>
        <stp>BDH|9161565446533530604</stp>
        <tr r="T90" s="2"/>
      </tp>
      <tp t="s">
        <v>#N/A N/A</v>
        <stp/>
        <stp>BDH|5166905101228678927</stp>
        <tr r="AC74" s="2"/>
      </tp>
      <tp t="s">
        <v>#N/A N/A</v>
        <stp/>
        <stp>BDH|8121272211747664153</stp>
        <tr r="Q86" s="2"/>
      </tp>
      <tp t="s">
        <v>#N/A N/A</v>
        <stp/>
        <stp>BDH|8604449443195225078</stp>
        <tr r="C15" s="2"/>
      </tp>
      <tp t="s">
        <v>#N/A N/A</v>
        <stp/>
        <stp>BDH|3456914751480400247</stp>
        <tr r="H79" s="2"/>
      </tp>
      <tp t="s">
        <v>#N/A N/A</v>
        <stp/>
        <stp>BDH|5284998723204802744</stp>
        <tr r="M43" s="2"/>
      </tp>
      <tp t="s">
        <v>#N/A N/A</v>
        <stp/>
        <stp>BDH|6313910833249158852</stp>
        <tr r="D52" s="2"/>
      </tp>
      <tp t="s">
        <v>#N/A N/A</v>
        <stp/>
        <stp>BDH|3414147930025498910</stp>
        <tr r="K50" s="2"/>
      </tp>
      <tp t="s">
        <v>#N/A N/A</v>
        <stp/>
        <stp>BDH|32202074766682312</stp>
        <tr r="F40" s="2"/>
      </tp>
      <tp t="s">
        <v>#N/A N/A</v>
        <stp/>
        <stp>BDH|3220904258493725277</stp>
        <tr r="AC14" s="2"/>
      </tp>
      <tp t="s">
        <v>#N/A N/A</v>
        <stp/>
        <stp>BDH|8351134073496900608</stp>
        <tr r="L57" s="2"/>
      </tp>
      <tp t="s">
        <v>#N/A N/A</v>
        <stp/>
        <stp>BDH|5925311116578389171</stp>
        <tr r="Q91" s="2"/>
      </tp>
      <tp t="s">
        <v>#N/A N/A</v>
        <stp/>
        <stp>BDH|4530991123306601716</stp>
        <tr r="Y15" s="2"/>
      </tp>
      <tp t="s">
        <v>#N/A N/A</v>
        <stp/>
        <stp>BDH|4277984611832005033</stp>
        <tr r="I37" s="2"/>
      </tp>
      <tp t="s">
        <v>#N/A N/A</v>
        <stp/>
        <stp>BDH|5052814098188515254</stp>
        <tr r="K67" s="2"/>
      </tp>
      <tp t="s">
        <v>#N/A N/A</v>
        <stp/>
        <stp>BDH|2177807801952186686</stp>
        <tr r="U36" s="2"/>
      </tp>
      <tp t="s">
        <v>#N/A N/A</v>
        <stp/>
        <stp>BDH|8352411740957327183</stp>
        <tr r="N27" s="2"/>
      </tp>
      <tp t="s">
        <v>#N/A N/A</v>
        <stp/>
        <stp>BDH|4268920314650871222</stp>
        <tr r="H9" s="2"/>
      </tp>
      <tp t="s">
        <v>#N/A N/A</v>
        <stp/>
        <stp>BDH|2668201531328303583</stp>
        <tr r="S39" s="2"/>
      </tp>
      <tp t="s">
        <v>#N/A N/A</v>
        <stp/>
        <stp>BDH|8769343231410854662</stp>
        <tr r="J22" s="2"/>
      </tp>
      <tp t="s">
        <v>#N/A N/A</v>
        <stp/>
        <stp>BDH|8571869414317912827</stp>
        <tr r="E56" s="2"/>
      </tp>
      <tp t="s">
        <v>#N/A N/A</v>
        <stp/>
        <stp>BDH|7215986147060764472</stp>
        <tr r="F56" s="2"/>
      </tp>
      <tp t="s">
        <v>#N/A N/A</v>
        <stp/>
        <stp>BDH|4199293471269799638</stp>
        <tr r="F58" s="2"/>
      </tp>
      <tp t="s">
        <v>#N/A N/A</v>
        <stp/>
        <stp>BDH|6687999395460448838</stp>
        <tr r="E46" s="2"/>
      </tp>
      <tp t="s">
        <v>#N/A N/A</v>
        <stp/>
        <stp>BDH|5744584675700410939</stp>
        <tr r="D19" s="2"/>
      </tp>
      <tp t="s">
        <v>#N/A N/A</v>
        <stp/>
        <stp>BDH|4882331606060751973</stp>
        <tr r="L69" s="2"/>
      </tp>
      <tp t="s">
        <v>#N/A N/A</v>
        <stp/>
        <stp>BDH|8890457077814489130</stp>
        <tr r="AB19" s="2"/>
      </tp>
      <tp t="s">
        <v>#N/A N/A</v>
        <stp/>
        <stp>BDH|8159357905761310401</stp>
        <tr r="K79" s="2"/>
      </tp>
      <tp t="s">
        <v>#N/A N/A</v>
        <stp/>
        <stp>BDH|7639625213026578804</stp>
        <tr r="AA75" s="2"/>
      </tp>
      <tp t="s">
        <v>#N/A N/A</v>
        <stp/>
        <stp>BDH|4023121188301860202</stp>
        <tr r="W24" s="2"/>
      </tp>
      <tp t="s">
        <v>#N/A N/A</v>
        <stp/>
        <stp>BDH|7700004691769031946</stp>
        <tr r="V22" s="2"/>
      </tp>
      <tp t="s">
        <v>#N/A N/A</v>
        <stp/>
        <stp>BDH|4093334816248548026</stp>
        <tr r="Y40" s="2"/>
      </tp>
      <tp t="s">
        <v>#N/A N/A</v>
        <stp/>
        <stp>BDH|9245093668045230427</stp>
        <tr r="L89" s="2"/>
      </tp>
      <tp t="s">
        <v>#N/A N/A</v>
        <stp/>
        <stp>BDH|8180889302568063689</stp>
        <tr r="Y62" s="2"/>
      </tp>
      <tp t="s">
        <v>#N/A N/A</v>
        <stp/>
        <stp>BDH|7527160123712484876</stp>
        <tr r="C87" s="2"/>
      </tp>
      <tp t="s">
        <v>#N/A N/A</v>
        <stp/>
        <stp>BDH|9566516512490697331</stp>
        <tr r="G44" s="2"/>
      </tp>
      <tp t="s">
        <v>#N/A N/A</v>
        <stp/>
        <stp>BDH|5705928173525608008</stp>
        <tr r="M63" s="2"/>
      </tp>
      <tp t="s">
        <v>#N/A N/A</v>
        <stp/>
        <stp>BDH|9646349616994558118</stp>
        <tr r="N15" s="2"/>
      </tp>
      <tp t="s">
        <v>#N/A N/A</v>
        <stp/>
        <stp>BDH|9891433981293888828</stp>
        <tr r="T25" s="2"/>
      </tp>
      <tp t="s">
        <v>#N/A N/A</v>
        <stp/>
        <stp>BDH|4168375456599861593</stp>
        <tr r="AF17" s="2"/>
      </tp>
      <tp t="s">
        <v>#N/A N/A</v>
        <stp/>
        <stp>BDH|5327933747392546435</stp>
        <tr r="S45" s="2"/>
      </tp>
      <tp t="s">
        <v>#N/A N/A</v>
        <stp/>
        <stp>BDH|7796844616453039348</stp>
        <tr r="V51" s="2"/>
      </tp>
      <tp t="s">
        <v>#N/A N/A</v>
        <stp/>
        <stp>BDH|7091404605848667526</stp>
        <tr r="Y24" s="2"/>
      </tp>
      <tp t="s">
        <v>#N/A N/A</v>
        <stp/>
        <stp>BDH|5329304071398506761</stp>
        <tr r="AA59" s="2"/>
      </tp>
      <tp t="s">
        <v>#N/A N/A</v>
        <stp/>
        <stp>BDH|6439230758349770690</stp>
        <tr r="P38" s="2"/>
      </tp>
      <tp t="s">
        <v>#N/A N/A</v>
        <stp/>
        <stp>BDH|5859082595136119458</stp>
        <tr r="W81" s="2"/>
      </tp>
      <tp t="s">
        <v>#N/A N/A</v>
        <stp/>
        <stp>BDH|8970129812503914514</stp>
        <tr r="W80" s="2"/>
      </tp>
      <tp t="s">
        <v>#N/A N/A</v>
        <stp/>
        <stp>BDH|3339421160418433736</stp>
        <tr r="D45" s="2"/>
      </tp>
      <tp t="s">
        <v>#N/A N/A</v>
        <stp/>
        <stp>BDH|6264164198725370596</stp>
        <tr r="AB12" s="2"/>
      </tp>
      <tp t="s">
        <v>#N/A N/A</v>
        <stp/>
        <stp>BDH|4571833943547242112</stp>
        <tr r="I13" s="2"/>
      </tp>
      <tp t="s">
        <v>#N/A N/A</v>
        <stp/>
        <stp>BDH|5601897765712542799</stp>
        <tr r="N26" s="2"/>
      </tp>
      <tp t="s">
        <v>#N/A N/A</v>
        <stp/>
        <stp>BDH|1556789115911691881</stp>
        <tr r="P23" s="2"/>
      </tp>
      <tp t="s">
        <v>#N/A N/A</v>
        <stp/>
        <stp>BDH|5814381086773765367</stp>
        <tr r="E68" s="2"/>
      </tp>
      <tp t="s">
        <v>#N/A N/A</v>
        <stp/>
        <stp>BDH|5139929272752030768</stp>
        <tr r="L14" s="2"/>
      </tp>
      <tp t="s">
        <v>#N/A N/A</v>
        <stp/>
        <stp>BDH|1752359301375416905</stp>
        <tr r="AF68" s="2"/>
      </tp>
      <tp t="s">
        <v>#N/A N/A</v>
        <stp/>
        <stp>BDH|5102918695532072925</stp>
        <tr r="J63" s="2"/>
      </tp>
      <tp t="s">
        <v>#N/A N/A</v>
        <stp/>
        <stp>BDH|7523117597346268751</stp>
        <tr r="N8" s="2"/>
      </tp>
      <tp t="s">
        <v>#N/A N/A</v>
        <stp/>
        <stp>BDH|7419617695296661022</stp>
        <tr r="S80" s="2"/>
      </tp>
      <tp t="s">
        <v>#N/A N/A</v>
        <stp/>
        <stp>BDH|9045243151359572945</stp>
        <tr r="R86" s="2"/>
      </tp>
      <tp t="s">
        <v>#N/A N/A</v>
        <stp/>
        <stp>BDH|7082329531111644801</stp>
        <tr r="AD45" s="2"/>
      </tp>
      <tp t="s">
        <v>#N/A N/A</v>
        <stp/>
        <stp>BDH|8776376540979487814</stp>
        <tr r="Y89" s="2"/>
      </tp>
      <tp t="s">
        <v>#N/A N/A</v>
        <stp/>
        <stp>BDH|8093421637847808688</stp>
        <tr r="I82" s="2"/>
      </tp>
      <tp t="s">
        <v>#N/A N/A</v>
        <stp/>
        <stp>BDH|20371901751199138</stp>
        <tr r="F51" s="2"/>
      </tp>
      <tp t="s">
        <v>#N/A N/A</v>
        <stp/>
        <stp>BDH|9264106918552257422</stp>
        <tr r="T71" s="2"/>
      </tp>
      <tp t="s">
        <v>#N/A N/A</v>
        <stp/>
        <stp>BDH|6234701386784961277</stp>
        <tr r="M53" s="2"/>
      </tp>
      <tp t="s">
        <v>#N/A N/A</v>
        <stp/>
        <stp>BDH|1236630796078876953</stp>
        <tr r="W37" s="2"/>
      </tp>
      <tp t="s">
        <v>#N/A N/A</v>
        <stp/>
        <stp>BDH|6050301565825933962</stp>
        <tr r="G18" s="2"/>
      </tp>
      <tp t="s">
        <v>#N/A N/A</v>
        <stp/>
        <stp>BDH|8346700501140043090</stp>
        <tr r="X29" s="2"/>
      </tp>
      <tp t="s">
        <v>#N/A N/A</v>
        <stp/>
        <stp>BDH|2606625318788423231</stp>
        <tr r="R26" s="2"/>
      </tp>
      <tp t="s">
        <v>#N/A N/A</v>
        <stp/>
        <stp>BDH|7980899935545718697</stp>
        <tr r="S36" s="2"/>
      </tp>
      <tp t="s">
        <v>#N/A N/A</v>
        <stp/>
        <stp>BDH|6282650001937505886</stp>
        <tr r="M18" s="2"/>
      </tp>
      <tp t="s">
        <v>#N/A N/A</v>
        <stp/>
        <stp>BDH|7666579197952482695</stp>
        <tr r="D65" s="2"/>
      </tp>
      <tp t="s">
        <v>#N/A N/A</v>
        <stp/>
        <stp>BDH|5294360218300377841</stp>
        <tr r="F70" s="2"/>
      </tp>
      <tp t="s">
        <v>#N/A N/A</v>
        <stp/>
        <stp>BDH|3625744710419290389</stp>
        <tr r="AE17" s="2"/>
      </tp>
      <tp t="s">
        <v>#N/A N/A</v>
        <stp/>
        <stp>BDH|5462880061242739623</stp>
        <tr r="G61" s="2"/>
      </tp>
      <tp t="s">
        <v>#N/A N/A</v>
        <stp/>
        <stp>BDH|9237182274465359559</stp>
        <tr r="AA31" s="2"/>
      </tp>
      <tp t="s">
        <v>#N/A N/A</v>
        <stp/>
        <stp>BDH|6372271186483369080</stp>
        <tr r="G40" s="2"/>
      </tp>
      <tp t="s">
        <v>#N/A N/A</v>
        <stp/>
        <stp>BDH|6782790461138761012</stp>
        <tr r="Z9" s="2"/>
      </tp>
      <tp t="s">
        <v>#N/A N/A</v>
        <stp/>
        <stp>BDH|8148295843753562204</stp>
        <tr r="L12" s="2"/>
      </tp>
      <tp t="s">
        <v>#N/A N/A</v>
        <stp/>
        <stp>BDH|4355488924164494953</stp>
        <tr r="I40" s="2"/>
      </tp>
      <tp t="s">
        <v>#N/A N/A</v>
        <stp/>
        <stp>BDH|7580536540378061182</stp>
        <tr r="X27" s="2"/>
      </tp>
      <tp t="s">
        <v>#N/A N/A</v>
        <stp/>
        <stp>BDH|8094474579142412646</stp>
        <tr r="J75" s="2"/>
      </tp>
      <tp t="s">
        <v>#N/A N/A</v>
        <stp/>
        <stp>BDH|9052797144501139428</stp>
        <tr r="O60" s="2"/>
      </tp>
      <tp t="s">
        <v>#N/A N/A</v>
        <stp/>
        <stp>BDH|8774175388657133979</stp>
        <tr r="AC50" s="2"/>
      </tp>
      <tp t="s">
        <v>#N/A N/A</v>
        <stp/>
        <stp>BDH|5681876014582381196</stp>
        <tr r="Q52" s="2"/>
      </tp>
      <tp t="s">
        <v>#N/A N/A</v>
        <stp/>
        <stp>BDH|4494515683433166588</stp>
        <tr r="AC19" s="2"/>
      </tp>
      <tp t="s">
        <v>#N/A N/A</v>
        <stp/>
        <stp>BDH|9580656436167153482</stp>
        <tr r="V64" s="2"/>
      </tp>
      <tp t="s">
        <v>#N/A N/A</v>
        <stp/>
        <stp>BDH|9686585086353205852</stp>
        <tr r="W13" s="2"/>
      </tp>
      <tp t="s">
        <v>#N/A N/A</v>
        <stp/>
        <stp>BDH|8858330722201019754</stp>
        <tr r="F19" s="2"/>
      </tp>
      <tp t="s">
        <v>#N/A N/A</v>
        <stp/>
        <stp>BDH|5890909387183262811</stp>
        <tr r="S53" s="2"/>
      </tp>
      <tp t="s">
        <v>#N/A N/A</v>
        <stp/>
        <stp>BDH|8114292055957640776</stp>
        <tr r="S56" s="2"/>
      </tp>
      <tp t="s">
        <v>#N/A N/A</v>
        <stp/>
        <stp>BDH|2609692397755068749</stp>
        <tr r="X61" s="2"/>
      </tp>
      <tp t="s">
        <v>#N/A N/A</v>
        <stp/>
        <stp>BDH|4511943732779683893</stp>
        <tr r="I80" s="2"/>
      </tp>
      <tp t="s">
        <v>#N/A N/A</v>
        <stp/>
        <stp>BDH|5061757495787861350</stp>
        <tr r="V41" s="2"/>
      </tp>
      <tp t="s">
        <v>#N/A N/A</v>
        <stp/>
        <stp>BDH|4115920243596938042</stp>
        <tr r="O37" s="2"/>
      </tp>
      <tp t="s">
        <v>#N/A N/A</v>
        <stp/>
        <stp>BDH|5709080166679413502</stp>
        <tr r="C21" s="2"/>
      </tp>
      <tp t="s">
        <v>#N/A N/A</v>
        <stp/>
        <stp>BDH|5921554696655368342</stp>
        <tr r="AE60" s="2"/>
      </tp>
      <tp t="s">
        <v>#N/A N/A</v>
        <stp/>
        <stp>BDH|2955251840078871397</stp>
        <tr r="C91" s="2"/>
      </tp>
      <tp t="s">
        <v>#N/A N/A</v>
        <stp/>
        <stp>BDH|8823150340213390131</stp>
        <tr r="N79" s="2"/>
      </tp>
      <tp t="s">
        <v>#N/A N/A</v>
        <stp/>
        <stp>BDH|3781914542115001497</stp>
        <tr r="H12" s="2"/>
      </tp>
      <tp t="s">
        <v>#N/A N/A</v>
        <stp/>
        <stp>BDH|6225631695626130075</stp>
        <tr r="E9" s="2"/>
      </tp>
      <tp t="s">
        <v>#N/A N/A</v>
        <stp/>
        <stp>BDH|1407952057430017245</stp>
        <tr r="L28" s="2"/>
      </tp>
      <tp t="s">
        <v>#N/A N/A</v>
        <stp/>
        <stp>BDH|1838654169066443825</stp>
        <tr r="E40" s="2"/>
      </tp>
      <tp t="s">
        <v>#N/A N/A</v>
        <stp/>
        <stp>BDH|6516220387052516178</stp>
        <tr r="L40" s="2"/>
      </tp>
      <tp t="s">
        <v>#N/A N/A</v>
        <stp/>
        <stp>BDH|1980568589843266064</stp>
        <tr r="M11" s="2"/>
      </tp>
      <tp t="s">
        <v>#N/A N/A</v>
        <stp/>
        <stp>BDH|4130833039336083696</stp>
        <tr r="W75" s="2"/>
      </tp>
      <tp t="s">
        <v>#N/A N/A</v>
        <stp/>
        <stp>BDH|3227727625599087068</stp>
        <tr r="R81" s="2"/>
      </tp>
      <tp t="s">
        <v>#N/A N/A</v>
        <stp/>
        <stp>BDH|3518249456483714839</stp>
        <tr r="AF50" s="2"/>
      </tp>
      <tp t="s">
        <v>#N/A N/A</v>
        <stp/>
        <stp>BDH|5294781613669864525</stp>
        <tr r="Y30" s="2"/>
      </tp>
      <tp t="s">
        <v>#N/A N/A</v>
        <stp/>
        <stp>BDH|4937646693274925048</stp>
        <tr r="C23" s="2"/>
      </tp>
      <tp t="s">
        <v>#N/A N/A</v>
        <stp/>
        <stp>BDH|2408973263583012106</stp>
        <tr r="J80" s="2"/>
      </tp>
      <tp t="s">
        <v>#N/A N/A</v>
        <stp/>
        <stp>BDH|9499082372914918575</stp>
        <tr r="S24" s="2"/>
      </tp>
      <tp t="s">
        <v>#N/A N/A</v>
        <stp/>
        <stp>BDH|1081443727810499873</stp>
        <tr r="AC31" s="2"/>
      </tp>
      <tp t="s">
        <v>#N/A N/A</v>
        <stp/>
        <stp>BDH|2038537084516337648</stp>
        <tr r="J8" s="2"/>
      </tp>
      <tp t="s">
        <v>#N/A N/A</v>
        <stp/>
        <stp>BDH|1876105685087518095</stp>
        <tr r="L91" s="2"/>
      </tp>
      <tp t="s">
        <v>#N/A N/A</v>
        <stp/>
        <stp>BDH|7657630004518814687</stp>
        <tr r="Z10" s="2"/>
      </tp>
      <tp t="s">
        <v>#N/A N/A</v>
        <stp/>
        <stp>BDH|8686113997077703867</stp>
        <tr r="C36" s="2"/>
      </tp>
      <tp t="s">
        <v>#N/A N/A</v>
        <stp/>
        <stp>BDH|3602830764716113418</stp>
        <tr r="H65" s="2"/>
      </tp>
      <tp t="s">
        <v>#N/A N/A</v>
        <stp/>
        <stp>BDH|1614718111848372037</stp>
        <tr r="O25" s="2"/>
      </tp>
      <tp t="s">
        <v>#N/A N/A</v>
        <stp/>
        <stp>BDH|7466243751298121764</stp>
        <tr r="U10" s="2"/>
      </tp>
      <tp t="s">
        <v>#N/A N/A</v>
        <stp/>
        <stp>BDH|4688915466183463731</stp>
        <tr r="AB24" s="2"/>
      </tp>
      <tp t="s">
        <v>#N/A N/A</v>
        <stp/>
        <stp>BDH|3844133196007938334</stp>
        <tr r="W12" s="2"/>
      </tp>
      <tp t="s">
        <v>#N/A N/A</v>
        <stp/>
        <stp>BDH|3413283398121199624</stp>
        <tr r="S27" s="2"/>
      </tp>
      <tp t="s">
        <v>#N/A N/A</v>
        <stp/>
        <stp>BDH|8473393233423975433</stp>
        <tr r="J44" s="2"/>
      </tp>
      <tp t="s">
        <v>#N/A N/A</v>
        <stp/>
        <stp>BDH|9035445481082181809</stp>
        <tr r="O71" s="2"/>
      </tp>
      <tp t="s">
        <v>#N/A N/A</v>
        <stp/>
        <stp>BDH|7429545154370010803</stp>
        <tr r="Y86" s="2"/>
      </tp>
      <tp t="s">
        <v>#N/A N/A</v>
        <stp/>
        <stp>BDH|6717259265448507566</stp>
        <tr r="Z15" s="2"/>
      </tp>
      <tp t="s">
        <v>#N/A N/A</v>
        <stp/>
        <stp>BDH|8454859185605911295</stp>
        <tr r="G23" s="2"/>
      </tp>
      <tp t="s">
        <v>#N/A N/A</v>
        <stp/>
        <stp>BDH|9943339670781786383</stp>
        <tr r="AC34" s="2"/>
      </tp>
      <tp t="s">
        <v>#N/A N/A</v>
        <stp/>
        <stp>BDH|4269723973343123876</stp>
        <tr r="V29" s="2"/>
      </tp>
      <tp t="s">
        <v>#N/A N/A</v>
        <stp/>
        <stp>BDH|7016940914473642335</stp>
        <tr r="Q49" s="2"/>
      </tp>
      <tp t="s">
        <v>#N/A N/A</v>
        <stp/>
        <stp>BDH|7355571903789626448</stp>
        <tr r="V16" s="2"/>
      </tp>
      <tp t="s">
        <v>#N/A N/A</v>
        <stp/>
        <stp>BDH|6771065885301725068</stp>
        <tr r="AF16" s="2"/>
      </tp>
      <tp t="s">
        <v>#N/A N/A</v>
        <stp/>
        <stp>BDH|37544373288891819</stp>
        <tr r="J69" s="2"/>
      </tp>
      <tp t="s">
        <v>#N/A N/A</v>
        <stp/>
        <stp>BDH|5374255478369092145</stp>
        <tr r="AD53" s="2"/>
      </tp>
      <tp t="s">
        <v>#N/A N/A</v>
        <stp/>
        <stp>BDH|9940459506484601165</stp>
        <tr r="P21" s="2"/>
      </tp>
      <tp t="s">
        <v>#N/A N/A</v>
        <stp/>
        <stp>BDH|3561677655168914056</stp>
        <tr r="Y22" s="2"/>
      </tp>
      <tp t="s">
        <v>#N/A N/A</v>
        <stp/>
        <stp>BDH|6006350272463447987</stp>
        <tr r="P20" s="2"/>
      </tp>
      <tp t="s">
        <v>#N/A N/A</v>
        <stp/>
        <stp>BDH|9344285305527682433</stp>
        <tr r="W61" s="2"/>
      </tp>
      <tp t="s">
        <v>#N/A N/A</v>
        <stp/>
        <stp>BDH|5725462697203625381</stp>
        <tr r="Y80" s="2"/>
      </tp>
      <tp t="s">
        <v>#N/A N/A</v>
        <stp/>
        <stp>BDH|5643227430564900857</stp>
        <tr r="K83" s="2"/>
      </tp>
      <tp t="s">
        <v>#N/A N/A</v>
        <stp/>
        <stp>BDH|2830154181034300779</stp>
        <tr r="T46" s="2"/>
      </tp>
      <tp t="s">
        <v>#N/A N/A</v>
        <stp/>
        <stp>BDH|3323213498550501068</stp>
        <tr r="X38" s="2"/>
      </tp>
      <tp t="s">
        <v>#N/A N/A</v>
        <stp/>
        <stp>BDH|9665224685449724284</stp>
        <tr r="K90" s="2"/>
      </tp>
      <tp t="s">
        <v>#N/A N/A</v>
        <stp/>
        <stp>BDH|6631892472767103620</stp>
        <tr r="C16" s="2"/>
      </tp>
      <tp t="s">
        <v>#N/A N/A</v>
        <stp/>
        <stp>BDH|7155361568738119204</stp>
        <tr r="Z29" s="2"/>
      </tp>
      <tp t="s">
        <v>#N/A N/A</v>
        <stp/>
        <stp>BDH|8493906839333745940</stp>
        <tr r="O74" s="2"/>
      </tp>
      <tp t="s">
        <v>#N/A N/A</v>
        <stp/>
        <stp>BDH|6389199483855652212</stp>
        <tr r="Q90" s="2"/>
      </tp>
      <tp t="s">
        <v>#N/A N/A</v>
        <stp/>
        <stp>BDH|1257782010719089659</stp>
        <tr r="V23" s="2"/>
      </tp>
      <tp t="s">
        <v>#N/A N/A</v>
        <stp/>
        <stp>BDH|9597736182758926629</stp>
        <tr r="AB54" s="2"/>
      </tp>
      <tp t="s">
        <v>#N/A N/A</v>
        <stp/>
        <stp>BDH|5522765482581953375</stp>
        <tr r="E24" s="2"/>
      </tp>
      <tp t="s">
        <v>#N/A N/A</v>
        <stp/>
        <stp>BDH|6269823629775235164</stp>
        <tr r="L51" s="2"/>
      </tp>
      <tp t="s">
        <v>#N/A N/A</v>
        <stp/>
        <stp>BDH|8412661527820990417</stp>
        <tr r="AB91" s="2"/>
      </tp>
      <tp t="s">
        <v>#N/A N/A</v>
        <stp/>
        <stp>BDH|8722423229460003618</stp>
        <tr r="E12" s="2"/>
      </tp>
      <tp t="s">
        <v>#N/A N/A</v>
        <stp/>
        <stp>BDH|1038816447583081648</stp>
        <tr r="D16" s="2"/>
      </tp>
      <tp t="s">
        <v>#N/A N/A</v>
        <stp/>
        <stp>BDH|9187469422050630712</stp>
        <tr r="Z63" s="2"/>
      </tp>
      <tp t="s">
        <v>#N/A N/A</v>
        <stp/>
        <stp>BDH|7270352189637582398</stp>
        <tr r="D75" s="2"/>
      </tp>
      <tp t="s">
        <v>#N/A N/A</v>
        <stp/>
        <stp>BDH|2101402502329657771</stp>
        <tr r="F46" s="2"/>
      </tp>
      <tp t="s">
        <v>#N/A N/A</v>
        <stp/>
        <stp>BDH|1164984412568190987</stp>
        <tr r="X89" s="2"/>
      </tp>
      <tp t="s">
        <v>#N/A N/A</v>
        <stp/>
        <stp>BDH|9344738449805385781</stp>
        <tr r="I15" s="2"/>
      </tp>
      <tp t="s">
        <v>#N/A N/A</v>
        <stp/>
        <stp>BDH|4025337726384483933</stp>
        <tr r="U27" s="2"/>
      </tp>
      <tp t="s">
        <v>#N/A N/A</v>
        <stp/>
        <stp>BDH|8648251230433154208</stp>
        <tr r="N39" s="2"/>
      </tp>
      <tp t="s">
        <v>#N/A N/A</v>
        <stp/>
        <stp>BDH|8784115672256586027</stp>
        <tr r="U21" s="2"/>
      </tp>
      <tp t="s">
        <v>#N/A N/A</v>
        <stp/>
        <stp>BDH|3309800737519525925</stp>
        <tr r="AB75" s="2"/>
      </tp>
      <tp t="s">
        <v>#N/A N/A</v>
        <stp/>
        <stp>BDH|3269618075942276872</stp>
        <tr r="E60" s="2"/>
      </tp>
      <tp t="s">
        <v>#N/A N/A</v>
        <stp/>
        <stp>BDH|1414841704917496603</stp>
        <tr r="U61" s="2"/>
      </tp>
      <tp t="s">
        <v>#N/A N/A</v>
        <stp/>
        <stp>BDH|8219390116227467592</stp>
        <tr r="AF74" s="2"/>
      </tp>
      <tp t="s">
        <v>#N/A N/A</v>
        <stp/>
        <stp>BDH|2148844184568828291</stp>
        <tr r="U68" s="2"/>
      </tp>
      <tp t="s">
        <v>#N/A N/A</v>
        <stp/>
        <stp>BDH|3295662988184562197</stp>
        <tr r="S29" s="2"/>
      </tp>
      <tp t="s">
        <v>#N/A N/A</v>
        <stp/>
        <stp>BDH|7939151601359484792</stp>
        <tr r="C55" s="2"/>
      </tp>
      <tp t="s">
        <v>#N/A N/A</v>
        <stp/>
        <stp>BDH|5129853992465067972</stp>
        <tr r="M73" s="2"/>
      </tp>
      <tp t="s">
        <v>#N/A N/A</v>
        <stp/>
        <stp>BDH|3565884774385933110</stp>
        <tr r="V84" s="2"/>
      </tp>
      <tp t="s">
        <v>#N/A N/A</v>
        <stp/>
        <stp>BDH|9485345010755278638</stp>
        <tr r="K49" s="2"/>
      </tp>
      <tp t="s">
        <v>#N/A N/A</v>
        <stp/>
        <stp>BDH|5227540387845296528</stp>
        <tr r="V88" s="2"/>
      </tp>
      <tp t="s">
        <v>#N/A N/A</v>
        <stp/>
        <stp>BDH|3907652588943664636</stp>
        <tr r="Y75" s="2"/>
      </tp>
      <tp t="s">
        <v>#N/A N/A</v>
        <stp/>
        <stp>BDH|3630496299056319049</stp>
        <tr r="AA53" s="2"/>
      </tp>
      <tp t="s">
        <v>#N/A N/A</v>
        <stp/>
        <stp>BDH|7602037987156232119</stp>
        <tr r="AA36" s="2"/>
      </tp>
      <tp t="s">
        <v>#N/A N/A</v>
        <stp/>
        <stp>BDH|4121927099839582594</stp>
        <tr r="W9" s="2"/>
      </tp>
      <tp t="s">
        <v>#N/A N/A</v>
        <stp/>
        <stp>BDH|4473563521652555903</stp>
        <tr r="S28" s="2"/>
      </tp>
      <tp t="s">
        <v>#N/A N/A</v>
        <stp/>
        <stp>BDH|6714278844730498861</stp>
        <tr r="M50" s="2"/>
      </tp>
      <tp t="s">
        <v>#N/A N/A</v>
        <stp/>
        <stp>BDH|2181976216435633700</stp>
        <tr r="R41" s="2"/>
      </tp>
      <tp t="s">
        <v>#N/A N/A</v>
        <stp/>
        <stp>BDH|2092179220199883093</stp>
        <tr r="AD59" s="2"/>
      </tp>
      <tp t="s">
        <v>#N/A N/A</v>
        <stp/>
        <stp>BDH|7092904785657574963</stp>
        <tr r="E54" s="2"/>
      </tp>
      <tp t="s">
        <v>#N/A N/A</v>
        <stp/>
        <stp>BDH|5811027477948387292</stp>
        <tr r="T44" s="2"/>
      </tp>
      <tp t="s">
        <v>#N/A N/A</v>
        <stp/>
        <stp>BDH|6380673784813568320</stp>
        <tr r="AF20" s="2"/>
      </tp>
      <tp t="s">
        <v>#N/A N/A</v>
        <stp/>
        <stp>BDH|9405441427531353636</stp>
        <tr r="Z7" s="2"/>
      </tp>
      <tp t="s">
        <v>#N/A N/A</v>
        <stp/>
        <stp>BDH|2920553897630963657</stp>
        <tr r="Y46" s="2"/>
      </tp>
      <tp t="s">
        <v>#N/A N/A</v>
        <stp/>
        <stp>BDH|7906487787734425767</stp>
        <tr r="H75" s="2"/>
      </tp>
      <tp t="s">
        <v>#N/A N/A</v>
        <stp/>
        <stp>BDH|1330212610889663307</stp>
        <tr r="O24" s="2"/>
      </tp>
      <tp t="s">
        <v>#N/A N/A</v>
        <stp/>
        <stp>BDH|6416469747618456650</stp>
        <tr r="R24" s="2"/>
      </tp>
      <tp t="s">
        <v>#N/A N/A</v>
        <stp/>
        <stp>BDH|5310509873097027844</stp>
        <tr r="AD65" s="2"/>
      </tp>
      <tp t="s">
        <v>#N/A N/A</v>
        <stp/>
        <stp>BDH|7159416380727464412</stp>
        <tr r="Q8" s="2"/>
      </tp>
      <tp t="s">
        <v>#N/A N/A</v>
        <stp/>
        <stp>BDH|8068248778805199086</stp>
        <tr r="T41" s="2"/>
      </tp>
      <tp t="s">
        <v>#N/A N/A</v>
        <stp/>
        <stp>BDH|6707818852175318626</stp>
        <tr r="AC72" s="2"/>
      </tp>
      <tp t="s">
        <v>#N/A N/A</v>
        <stp/>
        <stp>BDH|71352520921540593</stp>
        <tr r="U91" s="2"/>
      </tp>
      <tp t="s">
        <v>#N/A N/A</v>
        <stp/>
        <stp>BDH|3011734989493551654</stp>
        <tr r="Y63" s="2"/>
      </tp>
      <tp t="s">
        <v>#N/A N/A</v>
        <stp/>
        <stp>BDH|5917536649815992801</stp>
        <tr r="F35" s="2"/>
      </tp>
      <tp t="s">
        <v>#N/A N/A</v>
        <stp/>
        <stp>BDH|7689017228378437418</stp>
        <tr r="Q56" s="2"/>
      </tp>
      <tp t="s">
        <v>#N/A N/A</v>
        <stp/>
        <stp>BDH|2312725322317961907</stp>
        <tr r="N29" s="2"/>
      </tp>
      <tp t="s">
        <v>#N/A N/A</v>
        <stp/>
        <stp>BDH|8452806019821126966</stp>
        <tr r="Y45" s="2"/>
      </tp>
      <tp t="s">
        <v>#N/A N/A</v>
        <stp/>
        <stp>BDH|8623007954750889413</stp>
        <tr r="U72" s="2"/>
      </tp>
      <tp t="s">
        <v>#N/A N/A</v>
        <stp/>
        <stp>BDH|4332448422602657982</stp>
        <tr r="AA48" s="2"/>
      </tp>
      <tp t="s">
        <v>#N/A N/A</v>
        <stp/>
        <stp>BDH|5035692256237239852</stp>
        <tr r="M60" s="2"/>
      </tp>
      <tp t="s">
        <v>#N/A N/A</v>
        <stp/>
        <stp>BDH|6234747174717909835</stp>
        <tr r="K64" s="2"/>
      </tp>
      <tp t="s">
        <v>#N/A N/A</v>
        <stp/>
        <stp>BDH|2718699835699629756</stp>
        <tr r="D17" s="2"/>
      </tp>
      <tp t="s">
        <v>#N/A N/A</v>
        <stp/>
        <stp>BDH|5098889446466578621</stp>
        <tr r="K88" s="2"/>
      </tp>
      <tp t="s">
        <v>#N/A N/A</v>
        <stp/>
        <stp>BDH|6690243828827084834</stp>
        <tr r="J57" s="2"/>
      </tp>
      <tp t="s">
        <v>#N/A N/A</v>
        <stp/>
        <stp>BDH|4885919873456107554</stp>
        <tr r="P52" s="2"/>
      </tp>
      <tp t="s">
        <v>#N/A N/A</v>
        <stp/>
        <stp>BDH|1227443511725078891</stp>
        <tr r="O80" s="2"/>
      </tp>
      <tp t="s">
        <v>#N/A N/A</v>
        <stp/>
        <stp>BDH|8802071521566034504</stp>
        <tr r="G63" s="2"/>
      </tp>
      <tp t="s">
        <v>#N/A N/A</v>
        <stp/>
        <stp>BDH|7251910753676715490</stp>
        <tr r="AA68" s="2"/>
      </tp>
      <tp t="s">
        <v>#N/A N/A</v>
        <stp/>
        <stp>BDH|4774809364372827158</stp>
        <tr r="U79" s="2"/>
      </tp>
      <tp t="s">
        <v>#N/A N/A</v>
        <stp/>
        <stp>BDH|9772116937237799580</stp>
        <tr r="P75" s="2"/>
      </tp>
      <tp t="s">
        <v>#N/A N/A</v>
        <stp/>
        <stp>BDH|8449588719697948221</stp>
        <tr r="M65" s="2"/>
      </tp>
      <tp t="s">
        <v>#N/A N/A</v>
        <stp/>
        <stp>BDH|7341698555909760470</stp>
        <tr r="T64" s="2"/>
      </tp>
      <tp t="s">
        <v>#N/A N/A</v>
        <stp/>
        <stp>BDH|5679837351146307784</stp>
        <tr r="M15" s="2"/>
      </tp>
      <tp t="s">
        <v>#N/A N/A</v>
        <stp/>
        <stp>BDH|5362291053532555933</stp>
        <tr r="G11" s="2"/>
      </tp>
      <tp t="s">
        <v>#N/A N/A</v>
        <stp/>
        <stp>BDH|3369992921446391770</stp>
        <tr r="T52" s="2"/>
      </tp>
      <tp t="s">
        <v>#N/A N/A</v>
        <stp/>
        <stp>BDH|6643328720727859933</stp>
        <tr r="U84" s="2"/>
      </tp>
      <tp t="s">
        <v>#N/A N/A</v>
        <stp/>
        <stp>BDH|5856434741114654839</stp>
        <tr r="AE52" s="2"/>
      </tp>
      <tp t="s">
        <v>#N/A N/A</v>
        <stp/>
        <stp>BDH|8271884613959399163</stp>
        <tr r="J31" s="2"/>
      </tp>
      <tp t="s">
        <v>#N/A N/A</v>
        <stp/>
        <stp>BDH|9033369930304999437</stp>
        <tr r="G73" s="2"/>
      </tp>
      <tp t="s">
        <v>#N/A N/A</v>
        <stp/>
        <stp>BDH|6363359042611118993</stp>
        <tr r="J89" s="2"/>
      </tp>
      <tp t="s">
        <v>#N/A N/A</v>
        <stp/>
        <stp>BDH|4219080804708652549</stp>
        <tr r="J52" s="2"/>
      </tp>
      <tp t="s">
        <v>#N/A N/A</v>
        <stp/>
        <stp>BDH|8107715484806107893</stp>
        <tr r="H80" s="2"/>
      </tp>
      <tp t="s">
        <v>#N/A N/A</v>
        <stp/>
        <stp>BDH|8183445519910979481</stp>
        <tr r="H18" s="2"/>
      </tp>
      <tp t="s">
        <v>#N/A N/A</v>
        <stp/>
        <stp>BDH|9248682383346090849</stp>
        <tr r="W35" s="2"/>
      </tp>
      <tp t="s">
        <v>#N/A N/A</v>
        <stp/>
        <stp>BDH|6571566421660669898</stp>
        <tr r="K73" s="2"/>
      </tp>
      <tp t="s">
        <v>#N/A N/A</v>
        <stp/>
        <stp>BDH|8988094862234951367</stp>
        <tr r="C25" s="2"/>
      </tp>
      <tp t="s">
        <v>#N/A N/A</v>
        <stp/>
        <stp>BDH|2177193674049947476</stp>
        <tr r="Q34" s="2"/>
      </tp>
      <tp t="s">
        <v>#N/A N/A</v>
        <stp/>
        <stp>BDH|9266180848666009308</stp>
        <tr r="S48" s="2"/>
      </tp>
      <tp t="s">
        <v>#N/A N/A</v>
        <stp/>
        <stp>BDH|9832236123396380692</stp>
        <tr r="I59" s="2"/>
      </tp>
      <tp t="s">
        <v>#N/A N/A</v>
        <stp/>
        <stp>BDH|7983342625248930728</stp>
        <tr r="E51" s="2"/>
      </tp>
      <tp t="s">
        <v>#N/A N/A</v>
        <stp/>
        <stp>BDH|8446052200656810792</stp>
        <tr r="O36" s="2"/>
      </tp>
      <tp t="s">
        <v>#N/A N/A</v>
        <stp/>
        <stp>BDH|4206677629071427883</stp>
        <tr r="R25" s="2"/>
      </tp>
      <tp t="s">
        <v>#N/A N/A</v>
        <stp/>
        <stp>BDH|9544748771491863183</stp>
        <tr r="D12" s="2"/>
      </tp>
      <tp t="s">
        <v>#N/A N/A</v>
        <stp/>
        <stp>BDH|9491004279625963243</stp>
        <tr r="Y91" s="2"/>
      </tp>
      <tp t="s">
        <v>#N/A N/A</v>
        <stp/>
        <stp>BDH|8741641288389320697</stp>
        <tr r="K24" s="2"/>
      </tp>
      <tp t="s">
        <v>#N/A N/A</v>
        <stp/>
        <stp>BDH|9356244850340152775</stp>
        <tr r="AD68" s="2"/>
      </tp>
      <tp t="s">
        <v>#N/A N/A</v>
        <stp/>
        <stp>BDH|9922300138291972195</stp>
        <tr r="I19" s="2"/>
      </tp>
      <tp t="s">
        <v>#N/A N/A</v>
        <stp/>
        <stp>BDH|7811544108182696931</stp>
        <tr r="AE89" s="2"/>
      </tp>
      <tp t="s">
        <v>#N/A N/A</v>
        <stp/>
        <stp>BDH|1045679253472380915</stp>
        <tr r="M49" s="2"/>
      </tp>
      <tp t="s">
        <v>#N/A N/A</v>
        <stp/>
        <stp>BDH|8075203943993047452</stp>
        <tr r="J70" s="2"/>
      </tp>
      <tp t="s">
        <v>#N/A N/A</v>
        <stp/>
        <stp>BDH|5077457984245693511</stp>
        <tr r="S20" s="2"/>
      </tp>
      <tp t="s">
        <v>#N/A N/A</v>
        <stp/>
        <stp>BDH|6690021871609411175</stp>
        <tr r="G38" s="2"/>
      </tp>
      <tp t="s">
        <v>#N/A N/A</v>
        <stp/>
        <stp>BDH|6014938834145521044</stp>
        <tr r="AB85" s="2"/>
      </tp>
      <tp t="s">
        <v>#N/A N/A</v>
        <stp/>
        <stp>BDH|6603013680221362632</stp>
        <tr r="L73" s="2"/>
      </tp>
      <tp t="s">
        <v>#N/A N/A</v>
        <stp/>
        <stp>BDH|2250687168432312962</stp>
        <tr r="N41" s="2"/>
      </tp>
      <tp t="s">
        <v>#N/A N/A</v>
        <stp/>
        <stp>BDH|8995859523419805202</stp>
        <tr r="I50" s="2"/>
      </tp>
      <tp t="s">
        <v>#N/A N/A</v>
        <stp/>
        <stp>BDH|1416566093307617303</stp>
        <tr r="D57" s="2"/>
      </tp>
      <tp t="s">
        <v>#N/A N/A</v>
        <stp/>
        <stp>BDH|4329318103098784621</stp>
        <tr r="G39" s="2"/>
      </tp>
      <tp t="s">
        <v>#N/A N/A</v>
        <stp/>
        <stp>BDH|3963684497877043225</stp>
        <tr r="D26" s="2"/>
      </tp>
      <tp t="s">
        <v>#N/A N/A</v>
        <stp/>
        <stp>BDH|6740539400939379338</stp>
        <tr r="F86" s="2"/>
      </tp>
      <tp t="s">
        <v>#N/A N/A</v>
        <stp/>
        <stp>BDH|6195949364918767822</stp>
        <tr r="AE85" s="2"/>
      </tp>
      <tp t="s">
        <v>#N/A N/A</v>
        <stp/>
        <stp>BDH|7913924266080896113</stp>
        <tr r="F65" s="2"/>
      </tp>
      <tp t="s">
        <v>#N/A N/A</v>
        <stp/>
        <stp>BDH|8255510614551317410</stp>
        <tr r="AE19" s="2"/>
      </tp>
      <tp t="s">
        <v>#N/A N/A</v>
        <stp/>
        <stp>BDH|4823892066737282408</stp>
        <tr r="S68" s="2"/>
      </tp>
      <tp t="s">
        <v>#N/A N/A</v>
        <stp/>
        <stp>BDH|2201669250508933086</stp>
        <tr r="O89" s="2"/>
      </tp>
      <tp t="s">
        <v>#N/A N/A</v>
        <stp/>
        <stp>BDH|7077520780832669115</stp>
        <tr r="Z21" s="2"/>
      </tp>
      <tp t="s">
        <v>#N/A N/A</v>
        <stp/>
        <stp>BDH|9233787814246143350</stp>
        <tr r="W43" s="2"/>
      </tp>
      <tp t="s">
        <v>#N/A N/A</v>
        <stp/>
        <stp>BDH|3094829700399012887</stp>
        <tr r="V18" s="2"/>
      </tp>
      <tp t="s">
        <v>#N/A N/A</v>
        <stp/>
        <stp>BDH|1177357532618532391</stp>
        <tr r="AA87" s="2"/>
      </tp>
      <tp t="s">
        <v>#N/A N/A</v>
        <stp/>
        <stp>BDH|5040445037801173985</stp>
        <tr r="T73" s="2"/>
      </tp>
      <tp t="s">
        <v>#N/A N/A</v>
        <stp/>
        <stp>BDH|1241522403838931601</stp>
        <tr r="I29" s="2"/>
      </tp>
      <tp t="s">
        <v>#N/A N/A</v>
        <stp/>
        <stp>BDH|5471948774788664997</stp>
        <tr r="AD9" s="2"/>
      </tp>
      <tp t="s">
        <v>#N/A N/A</v>
        <stp/>
        <stp>BDH|9816833330130092804</stp>
        <tr r="Y67" s="2"/>
      </tp>
      <tp t="s">
        <v>#N/A N/A</v>
        <stp/>
        <stp>BDH|6253241056368215398</stp>
        <tr r="X59" s="2"/>
      </tp>
      <tp t="s">
        <v>#N/A N/A</v>
        <stp/>
        <stp>BDH|4720141548299022232</stp>
        <tr r="U73" s="2"/>
      </tp>
      <tp t="s">
        <v>#N/A N/A</v>
        <stp/>
        <stp>BDH|1084075203863568892</stp>
        <tr r="AE81" s="2"/>
      </tp>
      <tp t="s">
        <v>#N/A N/A</v>
        <stp/>
        <stp>BDH|8016451510263922440</stp>
        <tr r="I83" s="2"/>
      </tp>
      <tp t="s">
        <v>#N/A N/A</v>
        <stp/>
        <stp>BDH|9240785737062563505</stp>
        <tr r="L19" s="2"/>
      </tp>
      <tp t="s">
        <v>#N/A N/A</v>
        <stp/>
        <stp>BDH|3871825585588603112</stp>
        <tr r="Y88" s="2"/>
      </tp>
      <tp t="s">
        <v>#N/A N/A</v>
        <stp/>
        <stp>BDH|7820325952408553350</stp>
        <tr r="AB61" s="2"/>
      </tp>
      <tp t="s">
        <v>#N/A N/A</v>
        <stp/>
        <stp>BDH|5421739476097823812</stp>
        <tr r="S46" s="2"/>
      </tp>
      <tp t="s">
        <v>#N/A N/A</v>
        <stp/>
        <stp>BDH|4534775787953506285</stp>
        <tr r="V46" s="2"/>
      </tp>
      <tp t="s">
        <v>#N/A N/A</v>
        <stp/>
        <stp>BDH|3030963240016991275</stp>
        <tr r="I73" s="2"/>
      </tp>
      <tp t="s">
        <v>#N/A N/A</v>
        <stp/>
        <stp>BDH|3991720736384187950</stp>
        <tr r="T38" s="2"/>
      </tp>
      <tp t="s">
        <v>#N/A N/A</v>
        <stp/>
        <stp>BDH|9528472817370828647</stp>
        <tr r="Q40" s="2"/>
      </tp>
      <tp t="s">
        <v>#N/A N/A</v>
        <stp/>
        <stp>BDH|3996426926157681828</stp>
        <tr r="S86" s="2"/>
      </tp>
      <tp t="s">
        <v>#N/A N/A</v>
        <stp/>
        <stp>BDH|7654764754776252986</stp>
        <tr r="R84" s="2"/>
      </tp>
      <tp t="s">
        <v>#N/A N/A</v>
        <stp/>
        <stp>BDH|8760524114831767787</stp>
        <tr r="AF71" s="2"/>
      </tp>
      <tp t="s">
        <v>#N/A N/A</v>
        <stp/>
        <stp>BDH|3851897509393740207</stp>
        <tr r="K25" s="2"/>
      </tp>
      <tp t="s">
        <v>#N/A N/A</v>
        <stp/>
        <stp>BDH|8512095493639711276</stp>
        <tr r="AB9" s="2"/>
      </tp>
      <tp t="s">
        <v>#N/A N/A</v>
        <stp/>
        <stp>BDH|1185454852418972202</stp>
        <tr r="AD58" s="2"/>
      </tp>
      <tp t="s">
        <v>#N/A N/A</v>
        <stp/>
        <stp>BDH|8402481361369307920</stp>
        <tr r="AD51" s="2"/>
      </tp>
      <tp t="s">
        <v>#N/A N/A</v>
        <stp/>
        <stp>BDH|9543271897740893819</stp>
        <tr r="N34" s="2"/>
      </tp>
      <tp t="s">
        <v>#N/A N/A</v>
        <stp/>
        <stp>BDH|9001233770231831777</stp>
        <tr r="F27" s="2"/>
      </tp>
      <tp t="s">
        <v>#N/A N/A</v>
        <stp/>
        <stp>BDH|4905556457898168662</stp>
        <tr r="AE46" s="2"/>
      </tp>
      <tp t="s">
        <v>#N/A N/A</v>
        <stp/>
        <stp>BDH|1485320583236961606</stp>
        <tr r="AC83" s="2"/>
      </tp>
      <tp t="s">
        <v>#N/A N/A</v>
        <stp/>
        <stp>BDH|8951577199987328985</stp>
        <tr r="Z25" s="2"/>
      </tp>
      <tp t="s">
        <v>#N/A N/A</v>
        <stp/>
        <stp>BDH|8310690866515462753</stp>
        <tr r="O53" s="2"/>
      </tp>
      <tp t="s">
        <v>#N/A N/A</v>
        <stp/>
        <stp>BDH|9874111134372058303</stp>
        <tr r="K72" s="2"/>
      </tp>
      <tp t="s">
        <v>#N/A N/A</v>
        <stp/>
        <stp>BDH|9588243335023293143</stp>
        <tr r="C28" s="2"/>
      </tp>
      <tp t="s">
        <v>#N/A N/A</v>
        <stp/>
        <stp>BDH|3835335845438886649</stp>
        <tr r="F85" s="2"/>
      </tp>
      <tp t="s">
        <v>#N/A N/A</v>
        <stp/>
        <stp>BDH|1642284686719352895</stp>
        <tr r="AB15" s="2"/>
      </tp>
      <tp t="s">
        <v>#N/A N/A</v>
        <stp/>
        <stp>BDH|8506390764057244082</stp>
        <tr r="Y42" s="2"/>
      </tp>
      <tp t="s">
        <v>#N/A N/A</v>
        <stp/>
        <stp>BDH|3783472976488769235</stp>
        <tr r="AC29" s="2"/>
      </tp>
      <tp t="s">
        <v>#N/A N/A</v>
        <stp/>
        <stp>BDH|4430070911538294723</stp>
        <tr r="Q41" s="2"/>
      </tp>
      <tp t="s">
        <v>#N/A N/A</v>
        <stp/>
        <stp>BDH|5547424829210964947</stp>
        <tr r="Z50" s="2"/>
      </tp>
      <tp t="s">
        <v>#N/A N/A</v>
        <stp/>
        <stp>BDH|9064061866111426476</stp>
        <tr r="AC10" s="2"/>
      </tp>
      <tp t="s">
        <v>#N/A N/A</v>
        <stp/>
        <stp>BDH|6216572422269199260</stp>
        <tr r="C34" s="2"/>
      </tp>
      <tp t="s">
        <v>#N/A N/A</v>
        <stp/>
        <stp>BDH|6978767638179589122</stp>
        <tr r="Y52" s="2"/>
      </tp>
      <tp t="s">
        <v>#N/A N/A</v>
        <stp/>
        <stp>BDH|8734391789121121873</stp>
        <tr r="AC24" s="2"/>
      </tp>
      <tp t="s">
        <v>#N/A N/A</v>
        <stp/>
        <stp>BDH|1518371018489322084</stp>
        <tr r="I18" s="2"/>
      </tp>
      <tp t="s">
        <v>#N/A N/A</v>
        <stp/>
        <stp>BDH|6937955456574804438</stp>
        <tr r="AC53" s="2"/>
      </tp>
      <tp t="s">
        <v>#N/A N/A</v>
        <stp/>
        <stp>BDH|9777932281452566019</stp>
        <tr r="U11" s="2"/>
      </tp>
      <tp t="s">
        <v>#N/A N/A</v>
        <stp/>
        <stp>BDH|2378992184421817802</stp>
        <tr r="AB18" s="2"/>
      </tp>
      <tp t="s">
        <v>#N/A N/A</v>
        <stp/>
        <stp>BDH|1125560797141146672</stp>
        <tr r="AE68" s="2"/>
      </tp>
      <tp t="s">
        <v>#N/A N/A</v>
        <stp/>
        <stp>BDH|7123925111386695329</stp>
        <tr r="J11" s="2"/>
      </tp>
      <tp t="s">
        <v>#N/A N/A</v>
        <stp/>
        <stp>BDH|7694390521034188895</stp>
        <tr r="AD20" s="2"/>
      </tp>
      <tp t="s">
        <v>#N/A N/A</v>
        <stp/>
        <stp>BDH|2777912274630605624</stp>
        <tr r="AF13" s="2"/>
      </tp>
      <tp t="s">
        <v>#N/A N/A</v>
        <stp/>
        <stp>BDH|1531849610491483330</stp>
        <tr r="AD30" s="2"/>
      </tp>
      <tp t="s">
        <v>#N/A N/A</v>
        <stp/>
        <stp>BDH|6169006487635095109</stp>
        <tr r="O42" s="2"/>
      </tp>
      <tp t="s">
        <v>#N/A N/A</v>
        <stp/>
        <stp>BDH|3386077596147373772</stp>
        <tr r="R14" s="2"/>
      </tp>
      <tp t="s">
        <v>#N/A N/A</v>
        <stp/>
        <stp>BDH|5680665534292311812</stp>
        <tr r="X21" s="2"/>
      </tp>
      <tp t="s">
        <v>#N/A N/A</v>
        <stp/>
        <stp>BDH|3415705330678755559</stp>
        <tr r="U37" s="2"/>
      </tp>
      <tp t="s">
        <v>#N/A N/A</v>
        <stp/>
        <stp>BDH|2721821860951198736</stp>
        <tr r="W71" s="2"/>
      </tp>
      <tp t="s">
        <v>#N/A N/A</v>
        <stp/>
        <stp>BDH|4434919277076172644</stp>
        <tr r="AC23" s="2"/>
      </tp>
      <tp t="s">
        <v>#N/A N/A</v>
        <stp/>
        <stp>BDH|2532870728216913472</stp>
        <tr r="AE7" s="2"/>
      </tp>
      <tp t="s">
        <v>#N/A N/A</v>
        <stp/>
        <stp>BDH|8602206990210136932</stp>
        <tr r="F44" s="2"/>
      </tp>
      <tp t="s">
        <v>#N/A N/A</v>
        <stp/>
        <stp>BDH|1096474536135576905</stp>
        <tr r="D39" s="2"/>
      </tp>
      <tp t="s">
        <v>#N/A N/A</v>
        <stp/>
        <stp>BDH|8108149320442309332</stp>
        <tr r="T9" s="2"/>
      </tp>
      <tp t="s">
        <v>#N/A N/A</v>
        <stp/>
        <stp>BDH|4939053692705710333</stp>
        <tr r="E19" s="2"/>
      </tp>
      <tp t="s">
        <v>#N/A N/A</v>
        <stp/>
        <stp>BDH|5942112081291732641</stp>
        <tr r="T85" s="2"/>
      </tp>
      <tp t="s">
        <v>#N/A N/A</v>
        <stp/>
        <stp>BDH|2418706498687215049</stp>
        <tr r="Z57" s="2"/>
      </tp>
      <tp t="s">
        <v>#N/A N/A</v>
        <stp/>
        <stp>BDH|5039227569783547954</stp>
        <tr r="E17" s="2"/>
      </tp>
      <tp t="s">
        <v>#N/A N/A</v>
        <stp/>
        <stp>BDH|7402957161052225197</stp>
        <tr r="D51" s="2"/>
      </tp>
      <tp t="s">
        <v>#N/A N/A</v>
        <stp/>
        <stp>BDH|1461968444425418299</stp>
        <tr r="O43" s="2"/>
      </tp>
      <tp t="s">
        <v>#N/A N/A</v>
        <stp/>
        <stp>BDH|8887906092966060518</stp>
        <tr r="Q72" s="2"/>
      </tp>
      <tp t="s">
        <v>#N/A N/A</v>
        <stp/>
        <stp>BDH|5598730880157815655</stp>
        <tr r="V75" s="2"/>
      </tp>
      <tp t="s">
        <v>#N/A N/A</v>
        <stp/>
        <stp>BDH|6701055957119412194</stp>
        <tr r="T58" s="2"/>
      </tp>
      <tp t="s">
        <v>#N/A N/A</v>
        <stp/>
        <stp>BDH|3065004964128536695</stp>
        <tr r="Z79" s="2"/>
      </tp>
      <tp t="s">
        <v>#N/A N/A</v>
        <stp/>
        <stp>BDH|5042902278222833281</stp>
        <tr r="J67" s="2"/>
      </tp>
      <tp t="s">
        <v>#N/A N/A</v>
        <stp/>
        <stp>BDH|1095404302997812936</stp>
        <tr r="D59" s="2"/>
      </tp>
      <tp t="s">
        <v>#N/A N/A</v>
        <stp/>
        <stp>BDH|3989752656673121929</stp>
        <tr r="AF87" s="2"/>
      </tp>
      <tp t="s">
        <v>#N/A N/A</v>
        <stp/>
        <stp>BDH|4998133222705919984</stp>
        <tr r="AD50" s="2"/>
      </tp>
      <tp t="s">
        <v>#N/A N/A</v>
        <stp/>
        <stp>BDH|8642418963359824851</stp>
        <tr r="H36" s="2"/>
      </tp>
      <tp t="s">
        <v>#N/A N/A</v>
        <stp/>
        <stp>BDH|1492564191765498393</stp>
        <tr r="J90" s="2"/>
      </tp>
      <tp t="s">
        <v>#N/A N/A</v>
        <stp/>
        <stp>BDH|3685894527356383454</stp>
        <tr r="N90" s="2"/>
      </tp>
      <tp t="s">
        <v>#N/A N/A</v>
        <stp/>
        <stp>BDH|1492019469659696547</stp>
        <tr r="X37" s="2"/>
      </tp>
      <tp t="s">
        <v>#N/A N/A</v>
        <stp/>
        <stp>BDH|9947265028086127489</stp>
        <tr r="G67" s="2"/>
      </tp>
      <tp t="s">
        <v>#N/A N/A</v>
        <stp/>
        <stp>BDH|4429857940086869567</stp>
        <tr r="E62" s="2"/>
      </tp>
      <tp t="s">
        <v>#N/A N/A</v>
        <stp/>
        <stp>BDH|6474454465949310682</stp>
        <tr r="N35" s="2"/>
      </tp>
      <tp t="s">
        <v>#N/A N/A</v>
        <stp/>
        <stp>BDH|3559978846446344381</stp>
        <tr r="G37" s="2"/>
      </tp>
      <tp t="s">
        <v>#N/A N/A</v>
        <stp/>
        <stp>BDH|4932971522793429779</stp>
        <tr r="AB10" s="2"/>
      </tp>
      <tp t="s">
        <v>#N/A N/A</v>
        <stp/>
        <stp>BDH|3463211431148173190</stp>
        <tr r="G20" s="2"/>
      </tp>
      <tp t="s">
        <v>#N/A N/A</v>
        <stp/>
        <stp>BDH|9676696654588361943</stp>
        <tr r="R67" s="2"/>
      </tp>
      <tp t="s">
        <v>#N/A N/A</v>
        <stp/>
        <stp>BDH|2830872013517926796</stp>
        <tr r="AE87" s="2"/>
      </tp>
      <tp t="s">
        <v>#N/A N/A</v>
        <stp/>
        <stp>BDH|9808516720161576400</stp>
        <tr r="W44" s="2"/>
      </tp>
      <tp t="s">
        <v>#N/A N/A</v>
        <stp/>
        <stp>BDH|7975291925988151488</stp>
        <tr r="I57" s="2"/>
      </tp>
      <tp t="s">
        <v>#N/A N/A</v>
        <stp/>
        <stp>BDH|6738494180017534671</stp>
        <tr r="I62" s="2"/>
      </tp>
      <tp t="s">
        <v>#N/A N/A</v>
        <stp/>
        <stp>BDH|2123395626629213109</stp>
        <tr r="G17" s="2"/>
      </tp>
      <tp t="s">
        <v>#N/A N/A</v>
        <stp/>
        <stp>BDH|2073888574536527053</stp>
        <tr r="AF11" s="2"/>
      </tp>
      <tp t="s">
        <v>#N/A N/A</v>
        <stp/>
        <stp>BDH|8085078749047429070</stp>
        <tr r="N44" s="2"/>
      </tp>
      <tp t="s">
        <v>#N/A N/A</v>
        <stp/>
        <stp>BDH|6891555686087519739</stp>
        <tr r="W91" s="2"/>
      </tp>
      <tp t="s">
        <v>#N/A N/A</v>
        <stp/>
        <stp>BDH|7219819144892843222</stp>
        <tr r="F41" s="2"/>
      </tp>
      <tp t="s">
        <v>#N/A N/A</v>
        <stp/>
        <stp>BDH|8659458688459114672</stp>
        <tr r="L50" s="2"/>
      </tp>
      <tp t="s">
        <v>#N/A N/A</v>
        <stp/>
        <stp>BDH|2616152286266767607</stp>
        <tr r="Y71" s="2"/>
      </tp>
      <tp t="s">
        <v>#N/A N/A</v>
        <stp/>
        <stp>BDH|8606133941187144174</stp>
        <tr r="N28" s="2"/>
      </tp>
      <tp t="s">
        <v>#N/A N/A</v>
        <stp/>
        <stp>BDH|9501272146985024179</stp>
        <tr r="C69" s="2"/>
      </tp>
      <tp t="s">
        <v>#N/A N/A</v>
        <stp/>
        <stp>BDH|9392119560444178104</stp>
        <tr r="R85" s="2"/>
      </tp>
      <tp t="s">
        <v>#N/A N/A</v>
        <stp/>
        <stp>BDH|7079918791419025535</stp>
        <tr r="AB26" s="2"/>
      </tp>
      <tp t="s">
        <v>#N/A N/A</v>
        <stp/>
        <stp>BDH|3518739860009634035</stp>
        <tr r="H27" s="2"/>
      </tp>
      <tp t="s">
        <v>#N/A N/A</v>
        <stp/>
        <stp>BDH|9030924263274611975</stp>
        <tr r="AB17" s="2"/>
      </tp>
      <tp t="s">
        <v>#N/A N/A</v>
        <stp/>
        <stp>BDH|8208581368082422263</stp>
        <tr r="C61" s="2"/>
      </tp>
      <tp t="s">
        <v>#N/A N/A</v>
        <stp/>
        <stp>BDH|6033210608596844915</stp>
        <tr r="M81" s="2"/>
      </tp>
      <tp t="s">
        <v>#N/A N/A</v>
        <stp/>
        <stp>BDH|9284867490726050546</stp>
        <tr r="V90" s="2"/>
      </tp>
      <tp t="s">
        <v>#N/A N/A</v>
        <stp/>
        <stp>BDH|1618136960264304969</stp>
        <tr r="D89" s="2"/>
      </tp>
      <tp t="s">
        <v>#N/A N/A</v>
        <stp/>
        <stp>BDH|8671678351464530457</stp>
        <tr r="J88" s="2"/>
      </tp>
      <tp t="s">
        <v>#N/A N/A</v>
        <stp/>
        <stp>BDH|9399306935050453239</stp>
        <tr r="R9" s="2"/>
      </tp>
      <tp t="s">
        <v>#N/A N/A</v>
        <stp/>
        <stp>BDH|5647564507608632306</stp>
        <tr r="H68" s="2"/>
      </tp>
      <tp t="s">
        <v>#N/A N/A</v>
        <stp/>
        <stp>BDH|6617361982934786245</stp>
        <tr r="AE74" s="2"/>
      </tp>
      <tp t="s">
        <v>#N/A N/A</v>
        <stp/>
        <stp>BDH|1165002845637620937</stp>
        <tr r="J64" s="2"/>
      </tp>
      <tp t="s">
        <v>#N/A N/A</v>
        <stp/>
        <stp>BDH|4672340596247250202</stp>
        <tr r="S31" s="2"/>
      </tp>
      <tp t="s">
        <v>#N/A N/A</v>
        <stp/>
        <stp>BDH|8834695357650359037</stp>
        <tr r="E73" s="2"/>
      </tp>
      <tp t="s">
        <v>#N/A N/A</v>
        <stp/>
        <stp>BDH|8397968224420554825</stp>
        <tr r="F87" s="2"/>
      </tp>
      <tp t="s">
        <v>#N/A N/A</v>
        <stp/>
        <stp>BDH|6306086011275878946</stp>
        <tr r="C68" s="2"/>
      </tp>
      <tp t="s">
        <v>#N/A N/A</v>
        <stp/>
        <stp>BDH|5876708534403877928</stp>
        <tr r="AD13" s="2"/>
      </tp>
      <tp t="s">
        <v>#N/A N/A</v>
        <stp/>
        <stp>BDH|8591855676629652569</stp>
        <tr r="R74" s="2"/>
      </tp>
      <tp t="s">
        <v>#N/A N/A</v>
        <stp/>
        <stp>BDH|1733392251878066499</stp>
        <tr r="D91" s="2"/>
      </tp>
      <tp t="s">
        <v>#N/A N/A</v>
        <stp/>
        <stp>BDH|4804280550441569938</stp>
        <tr r="E25" s="2"/>
      </tp>
      <tp t="s">
        <v>#N/A N/A</v>
        <stp/>
        <stp>BDH|6959436684273943204</stp>
        <tr r="M14" s="2"/>
      </tp>
      <tp t="s">
        <v>#N/A N/A</v>
        <stp/>
        <stp>BDH|9582668451414577503</stp>
        <tr r="Q18" s="2"/>
      </tp>
      <tp t="s">
        <v>#N/A N/A</v>
        <stp/>
        <stp>BDH|5404523866588332541</stp>
        <tr r="K87" s="2"/>
      </tp>
      <tp t="s">
        <v>#N/A N/A</v>
        <stp/>
        <stp>BDH|6484199272988080389</stp>
        <tr r="AA51" s="2"/>
      </tp>
      <tp t="s">
        <v>#N/A N/A</v>
        <stp/>
        <stp>BDH|6927669323528327184</stp>
        <tr r="D87" s="2"/>
      </tp>
      <tp t="s">
        <v>#N/A N/A</v>
        <stp/>
        <stp>BDH|8451771064655285721</stp>
        <tr r="AB38" s="2"/>
      </tp>
      <tp t="s">
        <v>#N/A N/A</v>
        <stp/>
        <stp>BDH|8704573246216880493</stp>
        <tr r="P69" s="2"/>
      </tp>
      <tp t="s">
        <v>#N/A N/A</v>
        <stp/>
        <stp>BDH|4523925167325660518</stp>
        <tr r="M42" s="2"/>
      </tp>
      <tp t="s">
        <v>#N/A N/A</v>
        <stp/>
        <stp>BDH|4705369793835323053</stp>
        <tr r="O39" s="2"/>
      </tp>
      <tp t="s">
        <v>#N/A N/A</v>
        <stp/>
        <stp>BDH|6480904348259928911</stp>
        <tr r="E91" s="2"/>
      </tp>
      <tp t="s">
        <v>#N/A N/A</v>
        <stp/>
        <stp>BDH|2885008292039891965</stp>
        <tr r="J51" s="2"/>
      </tp>
      <tp t="s">
        <v>#N/A N/A</v>
        <stp/>
        <stp>BDH|8676038233191415163</stp>
        <tr r="N62" s="2"/>
      </tp>
      <tp t="s">
        <v>#N/A N/A</v>
        <stp/>
        <stp>BDH|5370275889684971010</stp>
        <tr r="AF40" s="2"/>
      </tp>
      <tp t="s">
        <v>#N/A N/A</v>
        <stp/>
        <stp>BDH|8681833402569396212</stp>
        <tr r="AA21" s="2"/>
      </tp>
      <tp t="s">
        <v>#N/A N/A</v>
        <stp/>
        <stp>BDH|4192977773241092000</stp>
        <tr r="AB23" s="2"/>
      </tp>
      <tp t="s">
        <v>#N/A N/A</v>
        <stp/>
        <stp>BDH|6141046359021017994</stp>
        <tr r="E18" s="2"/>
      </tp>
      <tp t="s">
        <v>#N/A N/A</v>
        <stp/>
        <stp>BDH|8040397619116585701</stp>
        <tr r="R51" s="2"/>
      </tp>
      <tp t="s">
        <v>#N/A N/A</v>
        <stp/>
        <stp>BDH|9090654611654599148</stp>
        <tr r="J91" s="2"/>
      </tp>
      <tp t="s">
        <v>#N/A N/A</v>
        <stp/>
        <stp>BDH|6650513706740242868</stp>
        <tr r="M47" s="2"/>
      </tp>
      <tp t="s">
        <v>#N/A N/A</v>
        <stp/>
        <stp>BDH|9338064107811578324</stp>
        <tr r="V89" s="2"/>
      </tp>
      <tp t="s">
        <v>#N/A N/A</v>
        <stp/>
        <stp>BDH|83122353134013669</stp>
        <tr r="L70" s="2"/>
      </tp>
      <tp t="s">
        <v>#N/A N/A</v>
        <stp/>
        <stp>BDH|32799976870416655</stp>
        <tr r="AF10" s="2"/>
      </tp>
      <tp t="s">
        <v>#N/A N/A</v>
        <stp/>
        <stp>BDH|29491744980030654</stp>
        <tr r="AB22" s="2"/>
      </tp>
      <tp t="s">
        <v>#N/A N/A</v>
        <stp/>
        <stp>BDH|7915026244795539200</stp>
        <tr r="F18" s="2"/>
      </tp>
      <tp t="s">
        <v>#N/A N/A</v>
        <stp/>
        <stp>BDH|9090527318279680062</stp>
        <tr r="L85" s="2"/>
      </tp>
      <tp t="s">
        <v>#N/A N/A</v>
        <stp/>
        <stp>BDH|2195529170473880714</stp>
        <tr r="L86" s="2"/>
      </tp>
      <tp t="s">
        <v>#N/A N/A</v>
        <stp/>
        <stp>BDH|6989020253500480774</stp>
        <tr r="Z14" s="2"/>
      </tp>
      <tp t="s">
        <v>#N/A N/A</v>
        <stp/>
        <stp>BDH|7693600033980654686</stp>
        <tr r="F7" s="2"/>
      </tp>
      <tp t="s">
        <v>#N/A N/A</v>
        <stp/>
        <stp>BDH|5894185509597359719</stp>
        <tr r="F48" s="2"/>
      </tp>
      <tp t="s">
        <v>#N/A N/A</v>
        <stp/>
        <stp>BDH|8591360061309968005</stp>
        <tr r="K22" s="2"/>
      </tp>
      <tp t="s">
        <v>#N/A N/A</v>
        <stp/>
        <stp>BDH|9990074391411695528</stp>
        <tr r="X69" s="2"/>
      </tp>
      <tp t="s">
        <v>#N/A N/A</v>
        <stp/>
        <stp>BDH|9337836239777333124</stp>
        <tr r="F66" s="2"/>
      </tp>
      <tp t="s">
        <v>#N/A N/A</v>
        <stp/>
        <stp>BDH|5897908887618497837</stp>
        <tr r="T10" s="2"/>
      </tp>
      <tp t="s">
        <v>#N/A N/A</v>
        <stp/>
        <stp>BDH|9830060791942447633</stp>
        <tr r="S65" s="2"/>
      </tp>
      <tp t="s">
        <v>#N/A N/A</v>
        <stp/>
        <stp>BDH|4061018988610346822</stp>
        <tr r="AC39" s="2"/>
      </tp>
      <tp t="s">
        <v>#N/A N/A</v>
        <stp/>
        <stp>BDH|4666713777087167784</stp>
        <tr r="L20" s="2"/>
      </tp>
      <tp t="s">
        <v>#N/A N/A</v>
        <stp/>
        <stp>BDH|1147172839770414726</stp>
        <tr r="H26" s="2"/>
      </tp>
      <tp t="s">
        <v>#N/A N/A</v>
        <stp/>
        <stp>BDH|4486201728665169545</stp>
        <tr r="P48" s="2"/>
      </tp>
      <tp t="s">
        <v>#N/A N/A</v>
        <stp/>
        <stp>BDH|7268971297390864342</stp>
        <tr r="X70" s="2"/>
      </tp>
      <tp t="s">
        <v>#N/A N/A</v>
        <stp/>
        <stp>BDH|3041554519667023427</stp>
        <tr r="G54" s="2"/>
      </tp>
      <tp t="s">
        <v>#N/A N/A</v>
        <stp/>
        <stp>BDH|5754714235857539280</stp>
        <tr r="AD44" s="2"/>
      </tp>
      <tp t="s">
        <v>#N/A N/A</v>
        <stp/>
        <stp>BDH|3839717838640649385</stp>
        <tr r="R68" s="2"/>
      </tp>
      <tp t="s">
        <v>#N/A N/A</v>
        <stp/>
        <stp>BDH|6257367178997501168</stp>
        <tr r="E90" s="2"/>
      </tp>
      <tp t="s">
        <v>#N/A N/A</v>
        <stp/>
        <stp>BDH|6193188116501056303</stp>
        <tr r="AA88" s="2"/>
      </tp>
      <tp t="s">
        <v>#N/A N/A</v>
        <stp/>
        <stp>BDH|1191612178156309248</stp>
        <tr r="C52" s="2"/>
      </tp>
      <tp t="s">
        <v>#N/A N/A</v>
        <stp/>
        <stp>BDH|9269128824338994623</stp>
        <tr r="V26" s="2"/>
      </tp>
      <tp t="s">
        <v>#N/A N/A</v>
        <stp/>
        <stp>BDH|6769705199364699870</stp>
        <tr r="Q42" s="2"/>
      </tp>
      <tp t="s">
        <v>#N/A N/A</v>
        <stp/>
        <stp>BDH|8844425111551074849</stp>
        <tr r="O61" s="2"/>
      </tp>
      <tp t="s">
        <v>#N/A N/A</v>
        <stp/>
        <stp>BDH|9385708982340815250</stp>
        <tr r="L52" s="2"/>
      </tp>
      <tp t="s">
        <v>#N/A N/A</v>
        <stp/>
        <stp>BDH|2810391593825678982</stp>
        <tr r="I22" s="2"/>
      </tp>
      <tp t="s">
        <v>#N/A N/A</v>
        <stp/>
        <stp>BDH|4754760966010997123</stp>
        <tr r="E80" s="2"/>
      </tp>
      <tp t="s">
        <v>#N/A N/A</v>
        <stp/>
        <stp>BDH|9577734610478805333</stp>
        <tr r="L58" s="2"/>
      </tp>
      <tp t="s">
        <v>#N/A N/A</v>
        <stp/>
        <stp>BDH|3395601370081889769</stp>
        <tr r="AF38" s="2"/>
      </tp>
      <tp t="s">
        <v>#N/A N/A</v>
        <stp/>
        <stp>BDH|8248858519202623751</stp>
        <tr r="V43" s="2"/>
      </tp>
      <tp t="s">
        <v>#N/A N/A</v>
        <stp/>
        <stp>BDH|5012134011796676799</stp>
        <tr r="K56" s="2"/>
      </tp>
      <tp t="s">
        <v>#N/A N/A</v>
        <stp/>
        <stp>BDH|5148921671079714688</stp>
        <tr r="W20" s="2"/>
      </tp>
      <tp t="s">
        <v>#N/A N/A</v>
        <stp/>
        <stp>BDH|9939830102364670139</stp>
        <tr r="J27" s="2"/>
      </tp>
      <tp t="s">
        <v>#N/A N/A</v>
        <stp/>
        <stp>BDH|4671155632274013634</stp>
        <tr r="Q58" s="2"/>
      </tp>
      <tp t="s">
        <v>#N/A N/A</v>
        <stp/>
        <stp>BDH|3975623379636124019</stp>
        <tr r="H84" s="2"/>
      </tp>
      <tp t="s">
        <v>#N/A N/A</v>
        <stp/>
        <stp>BDH|4415902488780986174</stp>
        <tr r="V57" s="2"/>
      </tp>
      <tp t="s">
        <v>#N/A N/A</v>
        <stp/>
        <stp>BDH|8599043387534069044</stp>
        <tr r="O18" s="2"/>
      </tp>
      <tp t="s">
        <v>#N/A N/A</v>
        <stp/>
        <stp>BDH|5197101633332912196</stp>
        <tr r="L59" s="2"/>
      </tp>
      <tp t="s">
        <v>#N/A N/A</v>
        <stp/>
        <stp>BDH|4784142015664139445</stp>
        <tr r="AF12" s="2"/>
      </tp>
      <tp t="s">
        <v>#N/A N/A</v>
        <stp/>
        <stp>BDH|5036519461906390405</stp>
        <tr r="R20" s="2"/>
      </tp>
      <tp t="s">
        <v>#N/A N/A</v>
        <stp/>
        <stp>BDH|3410381832575853263</stp>
        <tr r="T75" s="2"/>
      </tp>
      <tp t="s">
        <v>#N/A N/A</v>
        <stp/>
        <stp>BDH|5067753061215600522</stp>
        <tr r="V69" s="2"/>
      </tp>
      <tp t="s">
        <v>#N/A N/A</v>
        <stp/>
        <stp>BDH|8674664228989820101</stp>
        <tr r="K16" s="2"/>
      </tp>
      <tp t="s">
        <v>#N/A N/A</v>
        <stp/>
        <stp>BDH|1105792007702707095</stp>
        <tr r="AC91" s="2"/>
      </tp>
      <tp t="s">
        <v>#N/A N/A</v>
        <stp/>
        <stp>BDH|9573100431758463713</stp>
        <tr r="AA26" s="2"/>
      </tp>
      <tp t="s">
        <v>#N/A N/A</v>
        <stp/>
        <stp>BDH|8211906581385104831</stp>
        <tr r="D90" s="2"/>
      </tp>
      <tp t="s">
        <v>#N/A N/A</v>
        <stp/>
        <stp>BDH|4552738596047490953</stp>
        <tr r="W38" s="2"/>
      </tp>
      <tp t="s">
        <v>#N/A N/A</v>
        <stp/>
        <stp>BDH|3866607960165091296</stp>
        <tr r="O31" s="2"/>
      </tp>
      <tp t="s">
        <v>#N/A N/A</v>
        <stp/>
        <stp>BDH|5100077082090248902</stp>
        <tr r="J41" s="2"/>
      </tp>
      <tp t="s">
        <v>#N/A N/A</v>
        <stp/>
        <stp>BDH|4853288471853553622</stp>
        <tr r="W86" s="2"/>
      </tp>
      <tp t="s">
        <v>#N/A N/A</v>
        <stp/>
        <stp>BDH|5552374637933091239</stp>
        <tr r="AC38" s="2"/>
      </tp>
      <tp t="s">
        <v>#N/A N/A</v>
        <stp/>
        <stp>BDH|5154476812673504760</stp>
        <tr r="H62" s="2"/>
      </tp>
      <tp t="s">
        <v>#N/A N/A</v>
        <stp/>
        <stp>BDH|4069208253875153257</stp>
        <tr r="O68" s="2"/>
      </tp>
      <tp t="s">
        <v>#N/A N/A</v>
        <stp/>
        <stp>BDH|5309133170295268253</stp>
        <tr r="I87" s="2"/>
      </tp>
      <tp t="s">
        <v>#N/A N/A</v>
        <stp/>
        <stp>BDH|2385252268850824219</stp>
        <tr r="N89" s="2"/>
      </tp>
      <tp t="s">
        <v>#N/A N/A</v>
        <stp/>
        <stp>BDH|8724049531759228677</stp>
        <tr r="S7" s="2"/>
      </tp>
      <tp t="s">
        <v>#N/A N/A</v>
        <stp/>
        <stp>BDH|4621681020262930608</stp>
        <tr r="M55" s="2"/>
      </tp>
      <tp t="s">
        <v>#N/A N/A</v>
        <stp/>
        <stp>BDH|3992668518230323000</stp>
        <tr r="O9" s="2"/>
      </tp>
      <tp t="s">
        <v>#N/A N/A</v>
        <stp/>
        <stp>BDH|9104334507129678773</stp>
        <tr r="T55" s="2"/>
      </tp>
      <tp t="s">
        <v>#N/A N/A</v>
        <stp/>
        <stp>BDH|4076737113821602728</stp>
        <tr r="V63" s="2"/>
      </tp>
      <tp t="s">
        <v>#N/A N/A</v>
        <stp/>
        <stp>BDH|7413002017446049470</stp>
        <tr r="P80" s="2"/>
      </tp>
      <tp t="s">
        <v>#N/A N/A</v>
        <stp/>
        <stp>BDH|7561636446335160459</stp>
        <tr r="G52" s="2"/>
      </tp>
      <tp t="s">
        <v>#N/A N/A</v>
        <stp/>
        <stp>BDH|8572697987837902566</stp>
        <tr r="C7" s="2"/>
      </tp>
      <tp t="s">
        <v>#N/A N/A</v>
        <stp/>
        <stp>BDH|9770433071788526650</stp>
        <tr r="J60" s="2"/>
      </tp>
      <tp t="s">
        <v>#N/A N/A</v>
        <stp/>
        <stp>BDH|1952965565559838376</stp>
        <tr r="AC87" s="2"/>
      </tp>
      <tp t="s">
        <v>#N/A N/A</v>
        <stp/>
        <stp>BDH|7510838225408586131</stp>
        <tr r="G30" s="2"/>
      </tp>
      <tp t="s">
        <v>#N/A N/A</v>
        <stp/>
        <stp>BDH|4614279676792010725</stp>
        <tr r="O88" s="2"/>
      </tp>
      <tp t="s">
        <v>#N/A N/A</v>
        <stp/>
        <stp>BDH|6392340037501474311</stp>
        <tr r="N75" s="2"/>
      </tp>
      <tp t="s">
        <v>#N/A N/A</v>
        <stp/>
        <stp>BDH|6254459313977104008</stp>
        <tr r="Z23" s="2"/>
      </tp>
      <tp t="s">
        <v>#N/A N/A</v>
        <stp/>
        <stp>BDH|5546693958131888392</stp>
        <tr r="AA11" s="2"/>
      </tp>
      <tp t="s">
        <v>#N/A N/A</v>
        <stp/>
        <stp>BDH|2413867391090390751</stp>
        <tr r="G83" s="2"/>
      </tp>
      <tp t="s">
        <v>#N/A N/A</v>
        <stp/>
        <stp>BDH|3324621959114997045</stp>
        <tr r="G13" s="2"/>
      </tp>
      <tp t="s">
        <v>#N/A N/A</v>
        <stp/>
        <stp>BDH|24253519322525869</stp>
        <tr r="P81" s="2"/>
      </tp>
      <tp t="s">
        <v>#N/A N/A</v>
        <stp/>
        <stp>BDH|52781297065708203</stp>
        <tr r="T53" s="2"/>
      </tp>
      <tp t="s">
        <v>#N/A N/A</v>
        <stp/>
        <stp>BDH|8396909346412962263</stp>
        <tr r="H39" s="2"/>
      </tp>
      <tp t="s">
        <v>#N/A N/A</v>
        <stp/>
        <stp>BDH|7992668650440617131</stp>
        <tr r="J59" s="2"/>
      </tp>
      <tp t="s">
        <v>#N/A N/A</v>
        <stp/>
        <stp>BDH|3608118637090331490</stp>
        <tr r="I43" s="2"/>
      </tp>
      <tp t="s">
        <v>#N/A N/A</v>
        <stp/>
        <stp>BDH|1821253817304196316</stp>
        <tr r="Q43" s="2"/>
      </tp>
      <tp t="s">
        <v>#N/A N/A</v>
        <stp/>
        <stp>BDH|1011239738822693775</stp>
        <tr r="V30" s="2"/>
      </tp>
      <tp t="s">
        <v>#N/A N/A</v>
        <stp/>
        <stp>BDH|3395600777400907773</stp>
        <tr r="AA90" s="2"/>
      </tp>
      <tp t="s">
        <v>#N/A N/A</v>
        <stp/>
        <stp>BDH|6536780253122329361</stp>
        <tr r="N22" s="2"/>
      </tp>
      <tp t="s">
        <v>#N/A N/A</v>
        <stp/>
        <stp>BDH|4261414145319991841</stp>
        <tr r="P49" s="2"/>
      </tp>
      <tp t="s">
        <v>#N/A N/A</v>
        <stp/>
        <stp>BDH|3466997490271538738</stp>
        <tr r="R55" s="2"/>
      </tp>
      <tp t="s">
        <v>#N/A N/A</v>
        <stp/>
        <stp>BDH|3951759957795846183</stp>
        <tr r="I42" s="2"/>
      </tp>
      <tp t="s">
        <v>#N/A N/A</v>
        <stp/>
        <stp>BDH|5225588551759434979</stp>
        <tr r="H19" s="2"/>
      </tp>
      <tp t="s">
        <v>#N/A N/A</v>
        <stp/>
        <stp>BDH|4713245598452366800</stp>
        <tr r="P30" s="2"/>
      </tp>
      <tp t="s">
        <v>#N/A N/A</v>
        <stp/>
        <stp>BDH|9041409142179861524</stp>
        <tr r="AE44" s="2"/>
      </tp>
      <tp t="s">
        <v>#N/A N/A</v>
        <stp/>
        <stp>BDH|4815209708320067394</stp>
        <tr r="Q48" s="2"/>
      </tp>
      <tp t="s">
        <v>#N/A N/A</v>
        <stp/>
        <stp>BDH|1644460480480918808</stp>
        <tr r="O26" s="2"/>
      </tp>
      <tp t="s">
        <v>#N/A N/A</v>
        <stp/>
        <stp>BDH|5367478251775945450</stp>
        <tr r="AA19" s="2"/>
      </tp>
      <tp t="s">
        <v>#N/A N/A</v>
        <stp/>
        <stp>BDH|3750224267072247099</stp>
        <tr r="L61" s="2"/>
      </tp>
      <tp t="s">
        <v>#N/A N/A</v>
        <stp/>
        <stp>BDH|7214205407217250793</stp>
        <tr r="H53" s="2"/>
      </tp>
      <tp t="s">
        <v>#N/A N/A</v>
        <stp/>
        <stp>BDH|1633631839156468762</stp>
        <tr r="R66" s="2"/>
      </tp>
      <tp t="s">
        <v>#N/A N/A</v>
        <stp/>
        <stp>BDH|2157473206837785499</stp>
        <tr r="K13" s="2"/>
      </tp>
      <tp t="s">
        <v>#N/A N/A</v>
        <stp/>
        <stp>BDH|3063012143171827352</stp>
        <tr r="V8" s="2"/>
      </tp>
      <tp t="s">
        <v>#N/A N/A</v>
        <stp/>
        <stp>BDH|4702297716101586328</stp>
        <tr r="T28" s="2"/>
      </tp>
      <tp t="s">
        <v>#N/A N/A</v>
        <stp/>
        <stp>BDH|8928177540180849899</stp>
        <tr r="O57" s="2"/>
      </tp>
      <tp t="s">
        <v>#N/A N/A</v>
        <stp/>
        <stp>BDH|3518384676976273463</stp>
        <tr r="Q11" s="2"/>
      </tp>
      <tp t="s">
        <v>#N/A N/A</v>
        <stp/>
        <stp>BDH|4761201948845299228</stp>
        <tr r="AD26" s="2"/>
      </tp>
      <tp t="s">
        <v>#N/A N/A</v>
        <stp/>
        <stp>BDH|5763891682625675558</stp>
        <tr r="AB14" s="2"/>
      </tp>
      <tp t="s">
        <v>#N/A N/A</v>
        <stp/>
        <stp>BDH|8727650011299866376</stp>
        <tr r="N23" s="2"/>
      </tp>
      <tp t="s">
        <v>#N/A N/A</v>
        <stp/>
        <stp>BDH|9525668599963173072</stp>
        <tr r="U23" s="2"/>
      </tp>
      <tp t="s">
        <v>#N/A N/A</v>
        <stp/>
        <stp>BDH|5371422756787372689</stp>
        <tr r="Q82" s="2"/>
      </tp>
      <tp t="s">
        <v>#N/A N/A</v>
        <stp/>
        <stp>BDH|6148482632914250056</stp>
        <tr r="C46" s="2"/>
      </tp>
      <tp t="s">
        <v>#N/A N/A</v>
        <stp/>
        <stp>BDH|6921262623640166304</stp>
        <tr r="C47" s="2"/>
      </tp>
      <tp t="s">
        <v>#N/A N/A</v>
        <stp/>
        <stp>BDH|7461232881419949123</stp>
        <tr r="C9" s="2"/>
      </tp>
      <tp t="s">
        <v>#N/A N/A</v>
        <stp/>
        <stp>BDH|1904328064168000924</stp>
        <tr r="Q54" s="2"/>
      </tp>
      <tp t="s">
        <v>#N/A N/A</v>
        <stp/>
        <stp>BDH|7886003046727649155</stp>
        <tr r="M25" s="2"/>
      </tp>
      <tp t="s">
        <v>#N/A N/A</v>
        <stp/>
        <stp>BDH|6691631001371174483</stp>
        <tr r="R53" s="2"/>
      </tp>
      <tp t="s">
        <v>#N/A N/A</v>
        <stp/>
        <stp>BDH|2160172656433358016</stp>
        <tr r="J71" s="2"/>
      </tp>
      <tp t="s">
        <v>#N/A N/A</v>
        <stp/>
        <stp>BDH|4893386449800355685</stp>
        <tr r="L24" s="2"/>
      </tp>
      <tp t="s">
        <v>#N/A N/A</v>
        <stp/>
        <stp>BDH|9573506687996581757</stp>
        <tr r="Y74" s="2"/>
      </tp>
      <tp t="s">
        <v>#N/A N/A</v>
        <stp/>
        <stp>BDH|6599631317056797247</stp>
        <tr r="P14" s="2"/>
      </tp>
      <tp t="s">
        <v>#N/A N/A</v>
        <stp/>
        <stp>BDH|5113045850557627215</stp>
        <tr r="Y85" s="2"/>
      </tp>
      <tp t="s">
        <v>#N/A N/A</v>
        <stp/>
        <stp>BDH|8462313790650487736</stp>
        <tr r="AD36" s="2"/>
      </tp>
      <tp t="s">
        <v>#N/A N/A</v>
        <stp/>
        <stp>BDH|7006802813678884388</stp>
        <tr r="AF85" s="2"/>
      </tp>
      <tp t="s">
        <v>#N/A N/A</v>
        <stp/>
        <stp>BDH|8349332795162495526</stp>
        <tr r="O14" s="2"/>
      </tp>
      <tp t="s">
        <v>#N/A N/A</v>
        <stp/>
        <stp>BDH|2933798314332600312</stp>
        <tr r="W51" s="2"/>
      </tp>
      <tp t="s">
        <v>#N/A N/A</v>
        <stp/>
        <stp>BDH|2078419157891733729</stp>
        <tr r="R27" s="2"/>
      </tp>
      <tp t="s">
        <v>#N/A N/A</v>
        <stp/>
        <stp>BDH|6843326211427301686</stp>
        <tr r="Q68" s="2"/>
      </tp>
      <tp t="s">
        <v>#N/A N/A</v>
        <stp/>
        <stp>BDH|6444703747232543263</stp>
        <tr r="R50" s="2"/>
      </tp>
      <tp t="s">
        <v>#N/A N/A</v>
        <stp/>
        <stp>BDH|8078336772439418050</stp>
        <tr r="L13" s="2"/>
      </tp>
      <tp t="s">
        <v>#N/A N/A</v>
        <stp/>
        <stp>BDH|5911420721752262484</stp>
        <tr r="O86" s="2"/>
      </tp>
      <tp t="s">
        <v>#N/A N/A</v>
        <stp/>
        <stp>BDH|7546850795991427218</stp>
        <tr r="M31" s="2"/>
      </tp>
      <tp t="s">
        <v>#N/A N/A</v>
        <stp/>
        <stp>BDH|6932691151027715765</stp>
        <tr r="T14" s="2"/>
      </tp>
      <tp t="s">
        <v>#N/A N/A</v>
        <stp/>
        <stp>BDH|9648472527528504238</stp>
        <tr r="N43" s="2"/>
      </tp>
      <tp t="s">
        <v>#N/A N/A</v>
        <stp/>
        <stp>BDH|1476055240054966489</stp>
        <tr r="AF84" s="2"/>
      </tp>
      <tp t="s">
        <v>#N/A N/A</v>
        <stp/>
        <stp>BDH|5249582864410675394</stp>
        <tr r="T16" s="2"/>
      </tp>
      <tp t="s">
        <v>#N/A N/A</v>
        <stp/>
        <stp>BDH|3229039122876208203</stp>
        <tr r="W55" s="2"/>
      </tp>
      <tp t="s">
        <v>#N/A N/A</v>
        <stp/>
        <stp>BDH|5069325732231305124</stp>
        <tr r="AC57" s="2"/>
      </tp>
      <tp t="s">
        <v>#N/A N/A</v>
        <stp/>
        <stp>BDH|6764359514778494938</stp>
        <tr r="O55" s="2"/>
      </tp>
      <tp t="s">
        <v>#N/A N/A</v>
        <stp/>
        <stp>BDH|4244609635110069461</stp>
        <tr r="S18" s="2"/>
      </tp>
      <tp t="s">
        <v>#N/A N/A</v>
        <stp/>
        <stp>BDH|3109501724341798031</stp>
        <tr r="AF46" s="2"/>
      </tp>
      <tp t="s">
        <v>#N/A N/A</v>
        <stp/>
        <stp>BDH|6296745369732624084</stp>
        <tr r="L55" s="2"/>
      </tp>
      <tp t="s">
        <v>#N/A N/A</v>
        <stp/>
        <stp>BDH|6247837361338985586</stp>
        <tr r="AF90" s="2"/>
      </tp>
      <tp t="s">
        <v>#N/A N/A</v>
        <stp/>
        <stp>BDH|1671554245644730176</stp>
        <tr r="Q83" s="2"/>
      </tp>
      <tp t="s">
        <v>#N/A N/A</v>
        <stp/>
        <stp>BDH|4055740115291560622</stp>
        <tr r="C86" s="2"/>
      </tp>
      <tp t="s">
        <v>#N/A N/A</v>
        <stp/>
        <stp>BDH|1128707641415402223</stp>
        <tr r="Q37" s="2"/>
      </tp>
      <tp t="s">
        <v>#N/A N/A</v>
        <stp/>
        <stp>BDH|8226031076522250836</stp>
        <tr r="P35" s="2"/>
      </tp>
      <tp t="s">
        <v>#N/A N/A</v>
        <stp/>
        <stp>BDH|2893852229295549875</stp>
        <tr r="H44" s="2"/>
      </tp>
      <tp t="s">
        <v>#N/A N/A</v>
        <stp/>
        <stp>BDH|9100599398409252940</stp>
        <tr r="Y7" s="2"/>
      </tp>
      <tp t="s">
        <v>#N/A N/A</v>
        <stp/>
        <stp>BDH|6118133760275425113</stp>
        <tr r="AF69" s="2"/>
      </tp>
      <tp t="s">
        <v>#N/A N/A</v>
        <stp/>
        <stp>BDH|4355453546767114667</stp>
        <tr r="AA30" s="2"/>
      </tp>
      <tp t="s">
        <v>#N/A N/A</v>
        <stp/>
        <stp>BDH|6015408676025945585</stp>
        <tr r="X48" s="2"/>
      </tp>
      <tp t="s">
        <v>#N/A N/A</v>
        <stp/>
        <stp>BDH|9166199139246565836</stp>
        <tr r="G69" s="2"/>
      </tp>
      <tp t="s">
        <v>#N/A N/A</v>
        <stp/>
        <stp>BDH|8621674000519097265</stp>
        <tr r="U38" s="2"/>
      </tp>
      <tp t="s">
        <v>#N/A N/A</v>
        <stp/>
        <stp>BDH|6539038437435234542</stp>
        <tr r="M67" s="2"/>
      </tp>
      <tp t="s">
        <v>#N/A N/A</v>
        <stp/>
        <stp>BDH|6526223823782100115</stp>
        <tr r="O63" s="2"/>
      </tp>
      <tp t="s">
        <v>#N/A N/A</v>
        <stp/>
        <stp>BDH|8486978295344346915</stp>
        <tr r="V71" s="2"/>
      </tp>
      <tp t="s">
        <v>#N/A N/A</v>
        <stp/>
        <stp>BDH|7831803806678972233</stp>
        <tr r="D24" s="2"/>
      </tp>
      <tp t="s">
        <v>#N/A N/A</v>
        <stp/>
        <stp>BDH|3675183946885591690</stp>
        <tr r="P82" s="2"/>
      </tp>
      <tp t="s">
        <v>#N/A N/A</v>
        <stp/>
        <stp>BDH|5840129316409094985</stp>
        <tr r="J30" s="2"/>
      </tp>
      <tp t="s">
        <v>#N/A N/A</v>
        <stp/>
        <stp>BDH|6511876960645322856</stp>
        <tr r="AA86" s="2"/>
      </tp>
      <tp t="s">
        <v>#N/A N/A</v>
        <stp/>
        <stp>BDH|9394369497686039061</stp>
        <tr r="AE49" s="2"/>
      </tp>
      <tp t="s">
        <v>#N/A N/A</v>
        <stp/>
        <stp>BDH|4155322632774089552</stp>
        <tr r="E50" s="2"/>
      </tp>
      <tp t="s">
        <v>#N/A N/A</v>
        <stp/>
        <stp>BDH|3553630230633108020</stp>
        <tr r="D73" s="2"/>
      </tp>
      <tp t="s">
        <v>#N/A N/A</v>
        <stp/>
        <stp>BDH|6225333237966770546</stp>
        <tr r="N54" s="2"/>
      </tp>
      <tp t="s">
        <v>#N/A N/A</v>
        <stp/>
        <stp>BDH|7950893972665142869</stp>
        <tr r="R57" s="2"/>
      </tp>
      <tp t="s">
        <v>#N/A N/A</v>
        <stp/>
        <stp>BDH|1775164022960569733</stp>
        <tr r="S91" s="2"/>
      </tp>
      <tp t="s">
        <v>#N/A N/A</v>
        <stp/>
        <stp>BDH|53768183315609295</stp>
        <tr r="F52" s="2"/>
      </tp>
      <tp t="s">
        <v>#N/A N/A</v>
        <stp/>
        <stp>BDH|73165874778859607</stp>
        <tr r="O51" s="2"/>
      </tp>
      <tp t="s">
        <v>#N/A N/A</v>
        <stp/>
        <stp>BDH|6290148356921956539</stp>
        <tr r="Q10" s="2"/>
      </tp>
      <tp t="s">
        <v>#N/A N/A</v>
        <stp/>
        <stp>BDH|1343982815697130857</stp>
        <tr r="AB53" s="2"/>
      </tp>
      <tp t="s">
        <v>#N/A N/A</v>
        <stp/>
        <stp>BDH|5644528381656800876</stp>
        <tr r="I35" s="2"/>
      </tp>
      <tp t="s">
        <v>#N/A N/A</v>
        <stp/>
        <stp>BDH|4631771543167979607</stp>
        <tr r="E48" s="2"/>
      </tp>
      <tp t="s">
        <v>#N/A N/A</v>
        <stp/>
        <stp>BDH|8221351740700813940</stp>
        <tr r="K35" s="2"/>
      </tp>
      <tp t="s">
        <v>#N/A N/A</v>
        <stp/>
        <stp>BDH|7010290728246991732</stp>
        <tr r="I55" s="2"/>
      </tp>
      <tp t="s">
        <v>#N/A N/A</v>
        <stp/>
        <stp>BDH|2998055156666724762</stp>
        <tr r="C80" s="2"/>
      </tp>
      <tp t="s">
        <v>#N/A N/A</v>
        <stp/>
        <stp>BDH|9240513539659707053</stp>
        <tr r="X14" s="2"/>
      </tp>
      <tp t="s">
        <v>#N/A N/A</v>
        <stp/>
        <stp>BDH|1870717333535490665</stp>
        <tr r="N51" s="2"/>
      </tp>
      <tp t="s">
        <v>#N/A N/A</v>
        <stp/>
        <stp>BDH|3332974259821544800</stp>
        <tr r="G90" s="2"/>
      </tp>
      <tp t="s">
        <v>#N/A N/A</v>
        <stp/>
        <stp>BDH|2886365412416632027</stp>
        <tr r="V28" s="2"/>
      </tp>
      <tp t="s">
        <v>#N/A N/A</v>
        <stp/>
        <stp>BDH|9623087796901868784</stp>
        <tr r="G58" s="2"/>
      </tp>
      <tp t="s">
        <v>#N/A N/A</v>
        <stp/>
        <stp>BDH|7364415322497869060</stp>
        <tr r="AE13" s="2"/>
      </tp>
      <tp t="s">
        <v>#N/A N/A</v>
        <stp/>
        <stp>BDH|5956521221543176753</stp>
        <tr r="AB16" s="2"/>
      </tp>
      <tp t="s">
        <v>#N/A N/A</v>
        <stp/>
        <stp>BDH|2231673952692136580</stp>
        <tr r="AE21" s="2"/>
      </tp>
      <tp t="s">
        <v>#N/A N/A</v>
        <stp/>
        <stp>BDH|2248733240103786487</stp>
        <tr r="Q31" s="2"/>
      </tp>
      <tp t="s">
        <v>#N/A N/A</v>
        <stp/>
        <stp>BDH|2487388911981268715</stp>
        <tr r="AD88" s="2"/>
      </tp>
      <tp t="s">
        <v>#N/A N/A</v>
        <stp/>
        <stp>BDH|3763694207291388247</stp>
        <tr r="V53" s="2"/>
      </tp>
      <tp t="s">
        <v>#N/A N/A</v>
        <stp/>
        <stp>BDH|3574506126434914655</stp>
        <tr r="K41" s="2"/>
      </tp>
      <tp t="s">
        <v>#N/A N/A</v>
        <stp/>
        <stp>BDH|6443103439162140032</stp>
        <tr r="R8" s="2"/>
      </tp>
      <tp t="s">
        <v>#N/A N/A</v>
        <stp/>
        <stp>BDH|3771443073797818176</stp>
        <tr r="N40" s="2"/>
      </tp>
      <tp t="s">
        <v>#N/A N/A</v>
        <stp/>
        <stp>BDH|2875528617953743355</stp>
        <tr r="I39" s="2"/>
      </tp>
      <tp t="s">
        <v>#N/A N/A</v>
        <stp/>
        <stp>BDH|5153875038341021916</stp>
        <tr r="I21" s="2"/>
      </tp>
      <tp t="s">
        <v>#N/A N/A</v>
        <stp/>
        <stp>BDH|3049617020756762794</stp>
        <tr r="L83" s="2"/>
      </tp>
      <tp t="s">
        <v>#N/A N/A</v>
        <stp/>
        <stp>BDH|5239776618000214531</stp>
        <tr r="V39" s="2"/>
      </tp>
      <tp t="s">
        <v>#N/A N/A</v>
        <stp/>
        <stp>BDH|8141694692069183871</stp>
        <tr r="L41" s="2"/>
      </tp>
      <tp t="s">
        <v>#N/A N/A</v>
        <stp/>
        <stp>BDH|8596419985636547488</stp>
        <tr r="N67" s="2"/>
      </tp>
      <tp t="s">
        <v>#N/A N/A</v>
        <stp/>
        <stp>BDH|5734107358377122028</stp>
        <tr r="E45" s="2"/>
      </tp>
      <tp t="s">
        <v>#N/A N/A</v>
        <stp/>
        <stp>BDH|7891743106457002173</stp>
        <tr r="AF88" s="2"/>
      </tp>
      <tp t="s">
        <v>#N/A N/A</v>
        <stp/>
        <stp>BDH|7148809597720685021</stp>
        <tr r="K44" s="2"/>
      </tp>
      <tp t="s">
        <v>#N/A N/A</v>
        <stp/>
        <stp>BDH|7328805927993517836</stp>
        <tr r="AC68" s="2"/>
      </tp>
      <tp t="s">
        <v>#N/A N/A</v>
        <stp/>
        <stp>BDH|6395513363184179724</stp>
        <tr r="Z19" s="2"/>
      </tp>
      <tp t="s">
        <v>#N/A N/A</v>
        <stp/>
        <stp>BDH|6295642575733237232</stp>
        <tr r="R40" s="2"/>
      </tp>
      <tp t="s">
        <v>#N/A N/A</v>
        <stp/>
        <stp>BDH|6987847506040036891</stp>
        <tr r="K53" s="2"/>
      </tp>
      <tp t="s">
        <v>#N/A N/A</v>
        <stp/>
        <stp>BDH|5191618458831291190</stp>
        <tr r="S55" s="2"/>
      </tp>
      <tp t="s">
        <v>#N/A N/A</v>
        <stp/>
        <stp>BDH|6566754542117699472</stp>
        <tr r="AC59" s="2"/>
      </tp>
      <tp t="s">
        <v>#N/A N/A</v>
        <stp/>
        <stp>BDH|5515807091686153454</stp>
        <tr r="H47" s="2"/>
      </tp>
      <tp t="s">
        <v>#N/A N/A</v>
        <stp/>
        <stp>BDH|7669528572775784613</stp>
        <tr r="U46" s="2"/>
      </tp>
      <tp t="s">
        <v>#N/A N/A</v>
        <stp/>
        <stp>BDH|8883526588373207006</stp>
        <tr r="D54" s="2"/>
      </tp>
      <tp t="s">
        <v>#N/A N/A</v>
        <stp/>
        <stp>BDH|7803359154682857510</stp>
        <tr r="L9" s="2"/>
      </tp>
      <tp t="s">
        <v>#N/A N/A</v>
        <stp/>
        <stp>BDH|4084654275193826083</stp>
        <tr r="H17" s="2"/>
      </tp>
      <tp t="s">
        <v>#N/A N/A</v>
        <stp/>
        <stp>BDH|7723439300133034658</stp>
        <tr r="AD41" s="2"/>
      </tp>
      <tp t="s">
        <v>#N/A N/A</v>
        <stp/>
        <stp>BDH|7977048536921885329</stp>
        <tr r="AC11" s="2"/>
      </tp>
      <tp t="s">
        <v>#N/A N/A</v>
        <stp/>
        <stp>BDH|8485510522568180173</stp>
        <tr r="F38" s="2"/>
      </tp>
      <tp t="s">
        <v>#N/A N/A</v>
        <stp/>
        <stp>BDH|2724152839775835329</stp>
        <tr r="Z81" s="2"/>
      </tp>
      <tp t="s">
        <v>#N/A N/A</v>
        <stp/>
        <stp>BDH|7392778010851062653</stp>
        <tr r="P18" s="2"/>
      </tp>
      <tp t="s">
        <v>#N/A N/A</v>
        <stp/>
        <stp>BDH|2521251810097382027</stp>
        <tr r="X9" s="2"/>
      </tp>
      <tp t="s">
        <v>#N/A N/A</v>
        <stp/>
        <stp>BDH|1911577762151980540</stp>
        <tr r="Y44" s="2"/>
      </tp>
      <tp t="s">
        <v>#N/A N/A</v>
        <stp/>
        <stp>BDH|1081504451642304548</stp>
        <tr r="L49" s="2"/>
      </tp>
      <tp t="s">
        <v>#N/A N/A</v>
        <stp/>
        <stp>BDH|7098249261313432675</stp>
        <tr r="X62" s="2"/>
      </tp>
      <tp t="s">
        <v>#N/A N/A</v>
        <stp/>
        <stp>BDH|6716571812721620521</stp>
        <tr r="E39" s="2"/>
      </tp>
      <tp t="s">
        <v>#N/A N/A</v>
        <stp/>
        <stp>BDH|8155210781874439035</stp>
        <tr r="C83" s="2"/>
      </tp>
      <tp t="s">
        <v>#N/A N/A</v>
        <stp/>
        <stp>BDH|3970188925250556674</stp>
        <tr r="U85" s="2"/>
      </tp>
      <tp t="s">
        <v>#N/A N/A</v>
        <stp/>
        <stp>BDH|9064009548222688989</stp>
        <tr r="N9" s="2"/>
      </tp>
      <tp t="s">
        <v>#N/A N/A</v>
        <stp/>
        <stp>BDH|1278010244601144216</stp>
        <tr r="V34" s="2"/>
      </tp>
      <tp t="s">
        <v>#N/A N/A</v>
        <stp/>
        <stp>BDH|3174767862396704257</stp>
        <tr r="O90" s="2"/>
      </tp>
      <tp t="s">
        <v>#N/A N/A</v>
        <stp/>
        <stp>BDH|6645767256707557548</stp>
        <tr r="AF51" s="2"/>
      </tp>
      <tp t="s">
        <v>#N/A N/A</v>
        <stp/>
        <stp>BDH|4193126966593758650</stp>
        <tr r="AC86" s="2"/>
      </tp>
      <tp t="s">
        <v>#N/A N/A</v>
        <stp/>
        <stp>BDH|5641218032372643072</stp>
        <tr r="R22" s="2"/>
      </tp>
      <tp t="s">
        <v>#N/A N/A</v>
        <stp/>
        <stp>BDH|2917663158530347708</stp>
        <tr r="AA64" s="2"/>
      </tp>
      <tp t="s">
        <v>#N/A N/A</v>
        <stp/>
        <stp>BDH|1299570650553601477</stp>
        <tr r="J38" s="2"/>
      </tp>
      <tp t="s">
        <v>#N/A N/A</v>
        <stp/>
        <stp>BDH|9034624480781486025</stp>
        <tr r="M30" s="2"/>
      </tp>
      <tp t="s">
        <v>#N/A N/A</v>
        <stp/>
        <stp>BDH|5260508804390770656</stp>
        <tr r="Q7" s="2"/>
      </tp>
      <tp t="s">
        <v>#N/A N/A</v>
        <stp/>
        <stp>BDH|2955133761452816162</stp>
        <tr r="I47" s="2"/>
      </tp>
      <tp t="s">
        <v>#N/A N/A</v>
        <stp/>
        <stp>BDH|1595588149464753260</stp>
        <tr r="Y66" s="2"/>
      </tp>
      <tp t="s">
        <v>#N/A N/A</v>
        <stp/>
        <stp>BDH|1349512584702415875</stp>
        <tr r="AA42" s="2"/>
      </tp>
      <tp t="s">
        <v>#N/A N/A</v>
        <stp/>
        <stp>BDH|6197026893361613839</stp>
        <tr r="S37" s="2"/>
      </tp>
      <tp t="s">
        <v>#N/A N/A</v>
        <stp/>
        <stp>BDH|1022669606180660132</stp>
        <tr r="AC70" s="2"/>
      </tp>
      <tp t="s">
        <v>#N/A N/A</v>
        <stp/>
        <stp>BDH|1720886855203600863</stp>
        <tr r="T45" s="2"/>
      </tp>
      <tp t="s">
        <v>#N/A N/A</v>
        <stp/>
        <stp>BDH|1928356095564352800</stp>
        <tr r="D37" s="2"/>
      </tp>
      <tp t="s">
        <v>#N/A N/A</v>
        <stp/>
        <stp>BDH|4455305887901953908</stp>
        <tr r="J23" s="2"/>
      </tp>
      <tp t="s">
        <v>#N/A N/A</v>
        <stp/>
        <stp>BDH|9166733344305838842</stp>
        <tr r="G12" s="2"/>
      </tp>
      <tp t="s">
        <v>#N/A N/A</v>
        <stp/>
        <stp>BDH|5345154593778968266</stp>
        <tr r="V27" s="2"/>
      </tp>
      <tp t="s">
        <v>#N/A N/A</v>
        <stp/>
        <stp>BDH|7832452710583609619</stp>
        <tr r="E28" s="2"/>
      </tp>
      <tp t="s">
        <v>#N/A N/A</v>
        <stp/>
        <stp>BDH|3229205981508090696</stp>
        <tr r="AB55" s="2"/>
      </tp>
      <tp t="s">
        <v>#N/A N/A</v>
        <stp/>
        <stp>BDH|6920285658176309014</stp>
        <tr r="U75" s="2"/>
      </tp>
      <tp t="s">
        <v>#N/A N/A</v>
        <stp/>
        <stp>BDH|8726856155684539694</stp>
        <tr r="O30" s="2"/>
      </tp>
      <tp t="s">
        <v>#N/A N/A</v>
        <stp/>
        <stp>BDH|4759342419911136008</stp>
        <tr r="C72" s="2"/>
      </tp>
      <tp t="s">
        <v>#N/A N/A</v>
        <stp/>
        <stp>BDH|9293613850475014888</stp>
        <tr r="R28" s="2"/>
      </tp>
      <tp t="s">
        <v>#N/A N/A</v>
        <stp/>
        <stp>BDH|1937640616802275325</stp>
        <tr r="AE14" s="2"/>
      </tp>
      <tp t="s">
        <v>#N/A N/A</v>
        <stp/>
        <stp>BDH|1327993603297063815</stp>
        <tr r="S50" s="2"/>
      </tp>
      <tp t="s">
        <v>#N/A N/A</v>
        <stp/>
        <stp>BDH|4179556743244922664</stp>
        <tr r="AF47" s="2"/>
      </tp>
      <tp t="s">
        <v>#N/A N/A</v>
        <stp/>
        <stp>BDH|8039936983388886609</stp>
        <tr r="Z73" s="2"/>
      </tp>
      <tp t="s">
        <v>#N/A N/A</v>
        <stp/>
        <stp>BDH|7068333224258767986</stp>
        <tr r="N13" s="2"/>
      </tp>
      <tp t="s">
        <v>#N/A N/A</v>
        <stp/>
        <stp>BDH|2883113273333594078</stp>
        <tr r="U16" s="2"/>
      </tp>
      <tp t="s">
        <v>#N/A N/A</v>
        <stp/>
        <stp>BDH|8205654541448906561</stp>
        <tr r="E8" s="2"/>
      </tp>
      <tp t="s">
        <v>#N/A N/A</v>
        <stp/>
        <stp>BDH|2524675752294117287</stp>
        <tr r="J61" s="2"/>
      </tp>
      <tp t="s">
        <v>#N/A N/A</v>
        <stp/>
        <stp>BDH|7528301857541902723</stp>
        <tr r="O16" s="2"/>
      </tp>
      <tp t="s">
        <v>#N/A N/A</v>
        <stp/>
        <stp>BDH|5825663043400258064</stp>
        <tr r="W11" s="2"/>
      </tp>
      <tp t="s">
        <v>#N/A N/A</v>
        <stp/>
        <stp>BDH|5398218815835765493</stp>
        <tr r="AE18" s="2"/>
      </tp>
      <tp t="s">
        <v>#N/A N/A</v>
        <stp/>
        <stp>BDH|4104373522351897357</stp>
        <tr r="E36" s="2"/>
      </tp>
      <tp t="s">
        <v>#N/A N/A</v>
        <stp/>
        <stp>BDH|5323496175761321021</stp>
        <tr r="C31" s="2"/>
      </tp>
      <tp t="s">
        <v>#N/A N/A</v>
        <stp/>
        <stp>BDH|9650624759904690952</stp>
        <tr r="T80" s="2"/>
      </tp>
      <tp t="s">
        <v>#N/A N/A</v>
        <stp/>
        <stp>BDH|4581569731582492788</stp>
        <tr r="AE38" s="2"/>
      </tp>
      <tp t="s">
        <v>#N/A N/A</v>
        <stp/>
        <stp>BDH|7672584750286052601</stp>
        <tr r="C84" s="2"/>
      </tp>
      <tp t="s">
        <v>#N/A N/A</v>
        <stp/>
        <stp>BDH|6476820882494314596</stp>
        <tr r="Z85" s="2"/>
      </tp>
      <tp t="s">
        <v>#N/A N/A</v>
        <stp/>
        <stp>BDH|4552127803445284789</stp>
        <tr r="T8" s="2"/>
      </tp>
      <tp t="s">
        <v>#N/A N/A</v>
        <stp/>
        <stp>BDH|8032261379828662276</stp>
        <tr r="AE86" s="2"/>
      </tp>
      <tp t="s">
        <v>#N/A N/A</v>
        <stp/>
        <stp>BDH|3802687534857991639</stp>
        <tr r="P55" s="2"/>
      </tp>
      <tp t="s">
        <v>#N/A N/A</v>
        <stp/>
        <stp>BDH|7729422311765206089</stp>
        <tr r="H85" s="2"/>
      </tp>
      <tp t="s">
        <v>#N/A N/A</v>
        <stp/>
        <stp>BDH|2272371664272709296</stp>
        <tr r="W46" s="2"/>
      </tp>
      <tp t="s">
        <v>#N/A N/A</v>
        <stp/>
        <stp>BDH|4603281161206273121</stp>
        <tr r="W90" s="2"/>
      </tp>
      <tp t="s">
        <v>#N/A N/A</v>
        <stp/>
        <stp>BDH|7064783715603240503</stp>
        <tr r="H57" s="2"/>
      </tp>
      <tp t="s">
        <v>#N/A N/A</v>
        <stp/>
        <stp>BDH|6482683835607132378</stp>
        <tr r="T40" s="2"/>
      </tp>
      <tp t="s">
        <v>#N/A N/A</v>
        <stp/>
        <stp>BDH|3358393354185171709</stp>
        <tr r="E85" s="2"/>
      </tp>
      <tp t="s">
        <v>#N/A N/A</v>
        <stp/>
        <stp>BDH|8071602929433490820</stp>
        <tr r="AF41" s="2"/>
      </tp>
      <tp t="s">
        <v>#N/A N/A</v>
        <stp/>
        <stp>BDH|5887737463781622217</stp>
        <tr r="W40" s="2"/>
      </tp>
      <tp t="s">
        <v>#N/A N/A</v>
        <stp/>
        <stp>BDH|8415038166378936177</stp>
        <tr r="Z68" s="2"/>
      </tp>
      <tp t="s">
        <v>#N/A N/A</v>
        <stp/>
        <stp>BDH|8611943010205961248</stp>
        <tr r="X7" s="2"/>
      </tp>
      <tp t="s">
        <v>#N/A N/A</v>
        <stp/>
        <stp>BDH|5836068939144858537</stp>
        <tr r="AE8" s="2"/>
      </tp>
      <tp t="s">
        <v>#N/A N/A</v>
        <stp/>
        <stp>BDH|6379612746921014281</stp>
        <tr r="AC49" s="2"/>
      </tp>
      <tp t="s">
        <v>#N/A N/A</v>
        <stp/>
        <stp>BDH|8626491974335110979</stp>
        <tr r="K14" s="2"/>
      </tp>
      <tp t="s">
        <v>#N/A N/A</v>
        <stp/>
        <stp>BDH|2623221856107671561</stp>
        <tr r="AA34" s="2"/>
      </tp>
      <tp t="s">
        <v>#N/A N/A</v>
        <stp/>
        <stp>BDH|1986095404154751210</stp>
        <tr r="C50" s="2"/>
      </tp>
      <tp t="s">
        <v>#N/A N/A</v>
        <stp/>
        <stp>BDH|6012154275920749753</stp>
        <tr r="S90" s="2"/>
      </tp>
      <tp t="s">
        <v>#N/A N/A</v>
        <stp/>
        <stp>BDH|1255374611414362059</stp>
        <tr r="T60" s="2"/>
      </tp>
      <tp t="s">
        <v>#N/A N/A</v>
        <stp/>
        <stp>BDH|5036330775032499404</stp>
        <tr r="R17" s="2"/>
      </tp>
      <tp t="s">
        <v>#N/A N/A</v>
        <stp/>
        <stp>BDH|6114122119663971203</stp>
        <tr r="L21" s="2"/>
      </tp>
      <tp t="s">
        <v>#N/A N/A</v>
        <stp/>
        <stp>BDH|9054614055359750405</stp>
        <tr r="AB73" s="2"/>
      </tp>
      <tp t="s">
        <v>#N/A N/A</v>
        <stp/>
        <stp>BDH|4970271546576390388</stp>
        <tr r="O40" s="2"/>
      </tp>
      <tp t="s">
        <v>#N/A N/A</v>
        <stp/>
        <stp>BDH|4139900093237872494</stp>
        <tr r="N68" s="2"/>
      </tp>
      <tp t="s">
        <v>#N/A N/A</v>
        <stp/>
        <stp>BDH|6650158205131650136</stp>
        <tr r="I79" s="2"/>
      </tp>
      <tp t="s">
        <v>#N/A N/A</v>
        <stp/>
        <stp>BDH|4430465883768609770</stp>
        <tr r="X63" s="2"/>
      </tp>
      <tp t="s">
        <v>#N/A N/A</v>
        <stp/>
        <stp>BDH|5161834934208038163</stp>
        <tr r="Q64" s="2"/>
      </tp>
      <tp t="s">
        <v>#N/A N/A</v>
        <stp/>
        <stp>BDH|8328917968071304181</stp>
        <tr r="P40" s="2"/>
      </tp>
      <tp t="s">
        <v>#N/A N/A</v>
        <stp/>
        <stp>BDH|6571915580612184243</stp>
        <tr r="N59" s="2"/>
      </tp>
      <tp t="s">
        <v>#N/A N/A</v>
        <stp/>
        <stp>BDH|5826072215791860242</stp>
        <tr r="X43" s="2"/>
      </tp>
      <tp t="s">
        <v>#N/A N/A</v>
        <stp/>
        <stp>BDH|2489562170334384376</stp>
        <tr r="Y79" s="2"/>
      </tp>
      <tp t="s">
        <v>#N/A N/A</v>
        <stp/>
        <stp>BDH|4559271107882106327</stp>
        <tr r="D53" s="2"/>
      </tp>
      <tp t="s">
        <v>#N/A N/A</v>
        <stp/>
        <stp>BDH|2988556918380735155</stp>
        <tr r="AB70" s="2"/>
      </tp>
      <tp t="s">
        <v>#N/A N/A</v>
        <stp/>
        <stp>BDH|8078954270209120829</stp>
        <tr r="W74" s="2"/>
      </tp>
      <tp t="s">
        <v>#N/A N/A</v>
        <stp/>
        <stp>BDH|2979261294877517985</stp>
        <tr r="C48" s="2"/>
      </tp>
      <tp t="s">
        <v>#N/A N/A</v>
        <stp/>
        <stp>BDH|4727489044026510586</stp>
        <tr r="C40" s="2"/>
      </tp>
      <tp t="s">
        <v>#N/A N/A</v>
        <stp/>
        <stp>BDH|6870743827834999050</stp>
        <tr r="M72" s="2"/>
      </tp>
      <tp t="s">
        <v>#N/A N/A</v>
        <stp/>
        <stp>BDH|1425485646270493698</stp>
        <tr r="X10" s="2"/>
      </tp>
      <tp t="s">
        <v>#N/A N/A</v>
        <stp/>
        <stp>BDH|1046178637554246054</stp>
        <tr r="AF64" s="2"/>
      </tp>
      <tp t="s">
        <v>#N/A N/A</v>
        <stp/>
        <stp>BDH|1834602149996554234</stp>
        <tr r="Y41" s="2"/>
      </tp>
      <tp t="s">
        <v>#N/A N/A</v>
        <stp/>
        <stp>BDH|4623541135227486242</stp>
        <tr r="E63" s="2"/>
      </tp>
      <tp t="s">
        <v>#N/A N/A</v>
        <stp/>
        <stp>BDH|5755614099429184496</stp>
        <tr r="AE71" s="2"/>
      </tp>
      <tp t="s">
        <v>#N/A N/A</v>
        <stp/>
        <stp>BDH|5392803150186254961</stp>
        <tr r="C60" s="2"/>
      </tp>
      <tp t="s">
        <v>#N/A N/A</v>
        <stp/>
        <stp>BDH|4206051925134075564</stp>
        <tr r="T87" s="2"/>
      </tp>
      <tp t="s">
        <v>#N/A N/A</v>
        <stp/>
        <stp>BDH|3231659828595999524</stp>
        <tr r="AE72" s="2"/>
      </tp>
      <tp t="s">
        <v>#N/A N/A</v>
        <stp/>
        <stp>BDH|9662001207928099652</stp>
        <tr r="AC88" s="2"/>
      </tp>
      <tp t="s">
        <v>#N/A N/A</v>
        <stp/>
        <stp>BDH|2995520300728745887</stp>
        <tr r="V47" s="2"/>
      </tp>
      <tp t="s">
        <v>#N/A N/A</v>
        <stp/>
        <stp>BDH|2388502669262643481</stp>
        <tr r="M10" s="2"/>
      </tp>
      <tp t="s">
        <v>#N/A N/A</v>
        <stp/>
        <stp>BDH|3330684949086233057</stp>
        <tr r="M8" s="2"/>
      </tp>
      <tp t="s">
        <v>#N/A N/A</v>
        <stp/>
        <stp>BDH|5679172641667359063</stp>
        <tr r="S44" s="2"/>
      </tp>
      <tp t="s">
        <v>#N/A N/A</v>
        <stp/>
        <stp>BDH|6184895388937021652</stp>
        <tr r="F50" s="2"/>
      </tp>
      <tp t="s">
        <v>#N/A N/A</v>
        <stp/>
        <stp>BDH|9675932202661366611</stp>
        <tr r="R79" s="2"/>
      </tp>
      <tp t="s">
        <v>#N/A N/A</v>
        <stp/>
        <stp>BDH|4869586096427047834</stp>
        <tr r="AC67" s="2"/>
      </tp>
      <tp t="s">
        <v>#N/A N/A</v>
        <stp/>
        <stp>BDH|1418810870011130815</stp>
        <tr r="N91" s="2"/>
      </tp>
      <tp t="s">
        <v>#N/A N/A</v>
        <stp/>
        <stp>BDH|1745347101674533120</stp>
        <tr r="W22" s="2"/>
      </tp>
      <tp t="s">
        <v>#N/A N/A</v>
        <stp/>
        <stp>BDH|42043863434359803</stp>
        <tr r="AB49" s="2"/>
      </tp>
      <tp t="s">
        <v>#N/A N/A</v>
        <stp/>
        <stp>BDH|6996860616947004837</stp>
        <tr r="AD18" s="2"/>
      </tp>
      <tp t="s">
        <v>#N/A N/A</v>
        <stp/>
        <stp>BDH|3120807463168901513</stp>
        <tr r="C18" s="2"/>
      </tp>
      <tp t="s">
        <v>#N/A N/A</v>
        <stp/>
        <stp>BDH|3084887228861925821</stp>
        <tr r="C70" s="2"/>
      </tp>
      <tp t="s">
        <v>#N/A N/A</v>
        <stp/>
        <stp>BDH|4269506770140139686</stp>
        <tr r="AE55" s="2"/>
      </tp>
      <tp t="s">
        <v>#N/A N/A</v>
        <stp/>
        <stp>BDH|8690580905668475540</stp>
        <tr r="P19" s="2"/>
      </tp>
      <tp t="s">
        <v>#N/A N/A</v>
        <stp/>
        <stp>BDH|1112012849827708257</stp>
        <tr r="AA65" s="2"/>
      </tp>
      <tp t="s">
        <v>#N/A N/A</v>
        <stp/>
        <stp>BDH|6955031171187445671</stp>
        <tr r="X68" s="2"/>
      </tp>
      <tp t="s">
        <v>#N/A N/A</v>
        <stp/>
        <stp>BDH|7914062621391229447</stp>
        <tr r="AD52" s="2"/>
      </tp>
      <tp t="s">
        <v>#N/A N/A</v>
        <stp/>
        <stp>BDH|5620731306020860233</stp>
        <tr r="H74" s="2"/>
      </tp>
      <tp t="s">
        <v>#N/A N/A</v>
        <stp/>
        <stp>BDH|9208353004499893337</stp>
        <tr r="V40" s="2"/>
      </tp>
      <tp t="s">
        <v>#N/A N/A</v>
        <stp/>
        <stp>BDH|6841860434364382911</stp>
        <tr r="L74" s="2"/>
      </tp>
      <tp t="s">
        <v>#N/A N/A</v>
        <stp/>
        <stp>BDH|5220316369151577163</stp>
        <tr r="U52" s="2"/>
      </tp>
      <tp t="s">
        <v>#N/A N/A</v>
        <stp/>
        <stp>BDH|1820745117455463267</stp>
        <tr r="G64" s="2"/>
      </tp>
      <tp t="s">
        <v>#N/A N/A</v>
        <stp/>
        <stp>BDH|7958300022433369515</stp>
        <tr r="N37" s="2"/>
      </tp>
      <tp t="s">
        <v>#N/A N/A</v>
        <stp/>
        <stp>BDH|3994046766953609642</stp>
        <tr r="F13" s="2"/>
      </tp>
      <tp t="s">
        <v>#N/A N/A</v>
        <stp/>
        <stp>BDH|5489098161066504508</stp>
        <tr r="AD10" s="2"/>
      </tp>
      <tp t="s">
        <v>#N/A N/A</v>
        <stp/>
        <stp>BDH|1637192235826648553</stp>
        <tr r="V59" s="2"/>
      </tp>
      <tp t="s">
        <v>#N/A N/A</v>
        <stp/>
        <stp>BDH|1873613135074335016</stp>
        <tr r="S35" s="2"/>
      </tp>
      <tp t="s">
        <v>#N/A N/A</v>
        <stp/>
        <stp>BDH|8925683399871597632</stp>
        <tr r="AB51" s="2"/>
      </tp>
      <tp t="s">
        <v>#N/A N/A</v>
        <stp/>
        <stp>BDH|8286954099279952199</stp>
        <tr r="S57" s="2"/>
      </tp>
      <tp t="s">
        <v>#N/A N/A</v>
        <stp/>
        <stp>BDH|2516752040926636780</stp>
        <tr r="G81" s="2"/>
      </tp>
      <tp t="s">
        <v>#N/A N/A</v>
        <stp/>
        <stp>BDH|4806150016892570604</stp>
        <tr r="AD35" s="2"/>
      </tp>
      <tp t="s">
        <v>#N/A N/A</v>
        <stp/>
        <stp>BDH|2379048489079759377</stp>
        <tr r="K23" s="2"/>
      </tp>
      <tp t="s">
        <v>#N/A N/A</v>
        <stp/>
        <stp>BDH|8864223024388318038</stp>
        <tr r="K11" s="2"/>
      </tp>
      <tp t="s">
        <v>#N/A N/A</v>
        <stp/>
        <stp>BDH|1763108904432559296</stp>
        <tr r="I69" s="2"/>
      </tp>
      <tp t="s">
        <v>#N/A N/A</v>
        <stp/>
        <stp>BDH|1217141654660706597</stp>
        <tr r="AF7" s="2"/>
      </tp>
      <tp t="s">
        <v>#N/A N/A</v>
        <stp/>
        <stp>BDH|9961057884572136355</stp>
        <tr r="AD38" s="2"/>
      </tp>
      <tp t="s">
        <v>#N/A N/A</v>
        <stp/>
        <stp>BDH|7510612516834791495</stp>
        <tr r="AE73" s="2"/>
      </tp>
      <tp t="s">
        <v>#N/A N/A</v>
        <stp/>
        <stp>BDH|2898902488110599398</stp>
        <tr r="W70" s="2"/>
      </tp>
      <tp t="s">
        <v>#N/A N/A</v>
        <stp/>
        <stp>BDH|8558974676807985102</stp>
        <tr r="Z75" s="2"/>
      </tp>
      <tp t="s">
        <v>#N/A N/A</v>
        <stp/>
        <stp>BDH|7270669491560869807</stp>
        <tr r="D63" s="2"/>
      </tp>
      <tp t="s">
        <v>#N/A N/A</v>
        <stp/>
        <stp>BDH|3906242711113641379</stp>
        <tr r="E22" s="2"/>
      </tp>
      <tp t="s">
        <v>#N/A N/A</v>
        <stp/>
        <stp>BDH|5056217552277214535</stp>
        <tr r="H55" s="2"/>
      </tp>
      <tp t="s">
        <v>#N/A N/A</v>
        <stp/>
        <stp>BDH|6541171535064564004</stp>
        <tr r="D64" s="2"/>
      </tp>
      <tp t="s">
        <v>#N/A N/A</v>
        <stp/>
        <stp>BDH|5400950899381903435</stp>
        <tr r="I10" s="2"/>
      </tp>
      <tp t="s">
        <v>#N/A N/A</v>
        <stp/>
        <stp>BDH|3068020015501785322</stp>
        <tr r="G22" s="2"/>
      </tp>
      <tp t="s">
        <v>#N/A N/A</v>
        <stp/>
        <stp>BDH|6085057534054067137</stp>
        <tr r="F64" s="2"/>
      </tp>
      <tp t="s">
        <v>#N/A N/A</v>
        <stp/>
        <stp>BDH|3367172842107668130</stp>
        <tr r="S26" s="2"/>
      </tp>
      <tp t="s">
        <v>#N/A N/A</v>
        <stp/>
        <stp>BDH|1498321666654789042</stp>
        <tr r="AD83" s="2"/>
      </tp>
      <tp t="s">
        <v>#N/A N/A</v>
        <stp/>
        <stp>BDH|7646979783114120209</stp>
        <tr r="P47" s="2"/>
      </tp>
      <tp t="s">
        <v>#N/A N/A</v>
        <stp/>
        <stp>BDH|3339219517192059268</stp>
        <tr r="M79" s="2"/>
      </tp>
      <tp t="s">
        <v>#N/A N/A</v>
        <stp/>
        <stp>BDH|7210671821895140665</stp>
        <tr r="O41" s="2"/>
      </tp>
      <tp t="s">
        <v>#N/A N/A</v>
        <stp/>
        <stp>BDH|6231558447074393309</stp>
        <tr r="S79" s="2"/>
      </tp>
      <tp t="s">
        <v>#N/A N/A</v>
        <stp/>
        <stp>BDH|1870739601736951001</stp>
        <tr r="G27" s="2"/>
      </tp>
      <tp t="s">
        <v>#N/A N/A</v>
        <stp/>
        <stp>BDH|4140449291078715101</stp>
        <tr r="AA10" s="2"/>
      </tp>
      <tp t="s">
        <v>#N/A N/A</v>
        <stp/>
        <stp>BDH|8504188698471175176</stp>
        <tr r="AC46" s="2"/>
      </tp>
      <tp t="s">
        <v>#N/A N/A</v>
        <stp/>
        <stp>BDH|2200400581207984997</stp>
        <tr r="L30" s="2"/>
      </tp>
      <tp t="s">
        <v>#N/A N/A</v>
        <stp/>
        <stp>BDH|8019015870008060711</stp>
        <tr r="I38" s="2"/>
      </tp>
      <tp t="s">
        <v>#N/A N/A</v>
        <stp/>
        <stp>BDH|4934592755093623737</stp>
        <tr r="C85" s="2"/>
      </tp>
      <tp t="s">
        <v>#N/A N/A</v>
        <stp/>
        <stp>BDH|5173695986803904873</stp>
        <tr r="X84" s="2"/>
      </tp>
      <tp t="s">
        <v>#N/A N/A</v>
        <stp/>
        <stp>BDH|8723470596967582239</stp>
        <tr r="AE91" s="2"/>
      </tp>
      <tp t="s">
        <v>#N/A N/A</v>
        <stp/>
        <stp>BDH|6812498726180108065</stp>
        <tr r="L75" s="2"/>
      </tp>
      <tp t="s">
        <v>#N/A N/A</v>
        <stp/>
        <stp>BDH|6939385677182695002</stp>
        <tr r="I65" s="2"/>
      </tp>
      <tp t="s">
        <v>#N/A N/A</v>
        <stp/>
        <stp>BDH|1104330877940513518</stp>
        <tr r="AA38" s="2"/>
      </tp>
      <tp t="s">
        <v>#N/A N/A</v>
        <stp/>
        <stp>BDH|9634262174794350867</stp>
        <tr r="F45" s="2"/>
      </tp>
      <tp t="s">
        <v>#N/A N/A</v>
        <stp/>
        <stp>BDH|1531853291186728674</stp>
        <tr r="Q46" s="2"/>
      </tp>
      <tp t="s">
        <v>#N/A N/A</v>
        <stp/>
        <stp>BDH|3049322413973223224</stp>
        <tr r="X31" s="2"/>
      </tp>
      <tp t="s">
        <v>#N/A N/A</v>
        <stp/>
        <stp>BDH|5826642379875734131</stp>
        <tr r="C38" s="2"/>
      </tp>
      <tp t="s">
        <v>#N/A N/A</v>
        <stp/>
        <stp>BDH|5688555353624620175</stp>
        <tr r="U14" s="2"/>
      </tp>
      <tp t="s">
        <v>#N/A N/A</v>
        <stp/>
        <stp>BDH|5188826554771719916</stp>
        <tr r="E75" s="2"/>
      </tp>
      <tp t="s">
        <v>#N/A N/A</v>
        <stp/>
        <stp>BDH|5646093776571670390</stp>
        <tr r="M45" s="2"/>
      </tp>
      <tp t="s">
        <v>#N/A N/A</v>
        <stp/>
        <stp>BDH|5750821605999716419</stp>
        <tr r="G50" s="2"/>
      </tp>
      <tp t="s">
        <v>#N/A N/A</v>
        <stp/>
        <stp>BDH|4962816165378923225</stp>
        <tr r="D84" s="2"/>
      </tp>
      <tp t="s">
        <v>#N/A N/A</v>
        <stp/>
        <stp>BDH|9491133262679087733</stp>
        <tr r="S73" s="2"/>
      </tp>
      <tp t="s">
        <v>#N/A N/A</v>
        <stp/>
        <stp>BDH|4501588340013209692</stp>
        <tr r="Q62" s="2"/>
      </tp>
      <tp t="s">
        <v>#N/A N/A</v>
        <stp/>
        <stp>BDH|6757671263457113150</stp>
        <tr r="R58" s="2"/>
      </tp>
      <tp t="s">
        <v>#N/A N/A</v>
        <stp/>
        <stp>BDH|2769249074444299320</stp>
        <tr r="K66" s="2"/>
      </tp>
      <tp t="s">
        <v>#N/A N/A</v>
        <stp/>
        <stp>BDH|2730579308956857173</stp>
        <tr r="U90" s="2"/>
      </tp>
      <tp t="s">
        <v>#N/A N/A</v>
        <stp/>
        <stp>BDH|4063774607523210050</stp>
        <tr r="M61" s="2"/>
      </tp>
      <tp t="s">
        <v>#N/A N/A</v>
        <stp/>
        <stp>BDH|7555689125366624595</stp>
        <tr r="H24" s="2"/>
      </tp>
      <tp t="s">
        <v>#N/A N/A</v>
        <stp/>
        <stp>BDH|5105058735961653709</stp>
        <tr r="L67" s="2"/>
      </tp>
      <tp t="s">
        <v>#N/A N/A</v>
        <stp/>
        <stp>BDH|3355296332954583697</stp>
        <tr r="X19" s="2"/>
      </tp>
      <tp t="s">
        <v>#N/A N/A</v>
        <stp/>
        <stp>BDH|1801779999099190636</stp>
        <tr r="AD49" s="2"/>
      </tp>
      <tp t="s">
        <v>#N/A N/A</v>
        <stp/>
        <stp>BDH|4508657392662600911</stp>
        <tr r="I88" s="2"/>
      </tp>
      <tp t="s">
        <v>#N/A N/A</v>
        <stp/>
        <stp>BDH|9533961061105459335</stp>
        <tr r="K69" s="2"/>
      </tp>
      <tp t="s">
        <v>#N/A N/A</v>
        <stp/>
        <stp>BDH|9015562201019034522</stp>
        <tr r="R36" s="2"/>
      </tp>
      <tp t="s">
        <v>#N/A N/A</v>
        <stp/>
        <stp>BDH|2724113365520487524</stp>
        <tr r="Z36" s="2"/>
      </tp>
      <tp t="s">
        <v>#N/A N/A</v>
        <stp/>
        <stp>BDH|4742135110453771769</stp>
        <tr r="W53" s="2"/>
      </tp>
      <tp t="s">
        <v>#N/A N/A</v>
        <stp/>
        <stp>BDH|4696755847271825697</stp>
        <tr r="AB28" s="2"/>
      </tp>
      <tp t="s">
        <v>#N/A N/A</v>
        <stp/>
        <stp>BDH|3922211510924452493</stp>
        <tr r="Z51" s="2"/>
      </tp>
      <tp t="s">
        <v>#N/A N/A</v>
        <stp/>
        <stp>BDH|3907667629511867741</stp>
        <tr r="F82" s="2"/>
      </tp>
      <tp t="s">
        <v>#N/A N/A</v>
        <stp/>
        <stp>BDH|2553850609838488379</stp>
        <tr r="N14" s="2"/>
      </tp>
      <tp t="s">
        <v>#N/A N/A</v>
        <stp/>
        <stp>BDH|3547748349398347908</stp>
        <tr r="U12" s="2"/>
      </tp>
      <tp t="s">
        <v>#N/A N/A</v>
        <stp/>
        <stp>BDH|3717001010734829775</stp>
        <tr r="AA83" s="2"/>
      </tp>
      <tp t="s">
        <v>#N/A N/A</v>
        <stp/>
        <stp>BDH|4128506306651924166</stp>
        <tr r="R21" s="2"/>
      </tp>
      <tp t="s">
        <v>#N/A N/A</v>
        <stp/>
        <stp>BDH|3788543539461352515</stp>
        <tr r="F26" s="2"/>
      </tp>
      <tp t="s">
        <v>#N/A N/A</v>
        <stp/>
        <stp>BDH|9043694842333145936</stp>
        <tr r="C63" s="2"/>
      </tp>
      <tp t="s">
        <v>#N/A N/A</v>
        <stp/>
        <stp>BDH|6976783951157162283</stp>
        <tr r="AF86" s="2"/>
      </tp>
      <tp t="s">
        <v>#N/A N/A</v>
        <stp/>
        <stp>BDH|1472698127830734440</stp>
        <tr r="I74" s="2"/>
      </tp>
      <tp t="s">
        <v>#N/A N/A</v>
        <stp/>
        <stp>BDH|2932320561906165024</stp>
        <tr r="AE65" s="2"/>
      </tp>
      <tp t="s">
        <v>#N/A N/A</v>
        <stp/>
        <stp>BDH|3863699777932915168</stp>
        <tr r="Q14" s="2"/>
      </tp>
      <tp t="s">
        <v>#N/A N/A</v>
        <stp/>
        <stp>BDH|6662317201434952011</stp>
        <tr r="H72" s="2"/>
      </tp>
      <tp t="s">
        <v>#N/A N/A</v>
        <stp/>
        <stp>BDH|8872688133059999546</stp>
        <tr r="AC66" s="2"/>
      </tp>
      <tp t="s">
        <v>#N/A N/A</v>
        <stp/>
        <stp>BDH|3713991699410129283</stp>
        <tr r="I63" s="2"/>
      </tp>
      <tp t="s">
        <v>#N/A N/A</v>
        <stp/>
        <stp>BDH|8590078104350823906</stp>
        <tr r="S47" s="2"/>
      </tp>
      <tp t="s">
        <v>#N/A N/A</v>
        <stp/>
        <stp>BDH|4848609436517163717</stp>
        <tr r="I90" s="2"/>
      </tp>
      <tp t="s">
        <v>#N/A N/A</v>
        <stp/>
        <stp>BDH|1895656215225249242</stp>
        <tr r="AB39" s="2"/>
      </tp>
      <tp t="s">
        <v>#N/A N/A</v>
        <stp/>
        <stp>BDH|2169114645005999326</stp>
        <tr r="AA62" s="2"/>
      </tp>
      <tp t="s">
        <v>#N/A N/A</v>
        <stp/>
        <stp>BDH|7500861879728339179</stp>
        <tr r="H70" s="2"/>
      </tp>
      <tp t="s">
        <v>#N/A N/A</v>
        <stp/>
        <stp>BDH|7931355859747324790</stp>
        <tr r="G29" s="2"/>
      </tp>
      <tp t="s">
        <v>#N/A N/A</v>
        <stp/>
        <stp>BDH|4188674968516681378</stp>
        <tr r="AF75" s="2"/>
      </tp>
      <tp t="s">
        <v>#N/A N/A</v>
        <stp/>
        <stp>BDH|8701015492159086980</stp>
        <tr r="C54" s="2"/>
      </tp>
      <tp t="s">
        <v>#N/A N/A</v>
        <stp/>
        <stp>BDH|9674959758934694011</stp>
        <tr r="C10" s="2"/>
      </tp>
      <tp t="s">
        <v>#N/A N/A</v>
        <stp/>
        <stp>BDH|9461768945073974838</stp>
        <tr r="T19" s="2"/>
      </tp>
      <tp t="s">
        <v>#N/A N/A</v>
        <stp/>
        <stp>BDH|9246828181368565099</stp>
        <tr r="Y51" s="2"/>
      </tp>
      <tp t="s">
        <v>#N/A N/A</v>
        <stp/>
        <stp>BDH|4878221604172326500</stp>
        <tr r="E52" s="2"/>
      </tp>
      <tp t="s">
        <v>#N/A N/A</v>
        <stp/>
        <stp>BDH|9746390220478382106</stp>
        <tr r="E83" s="2"/>
      </tp>
      <tp t="s">
        <v>#N/A N/A</v>
        <stp/>
        <stp>BDH|2970254751790978462</stp>
        <tr r="V19" s="2"/>
      </tp>
      <tp t="s">
        <v>#N/A N/A</v>
        <stp/>
        <stp>BDH|2772497886299881629</stp>
        <tr r="AD24" s="2"/>
      </tp>
      <tp t="s">
        <v>#N/A N/A</v>
        <stp/>
        <stp>BDH|4691212295697879989</stp>
        <tr r="H86" s="2"/>
      </tp>
      <tp t="s">
        <v>#N/A N/A</v>
        <stp/>
        <stp>BDH|7577212224597144128</stp>
        <tr r="O85" s="2"/>
      </tp>
      <tp t="s">
        <v>#N/A N/A</v>
        <stp/>
        <stp>BDH|9106356593134024677</stp>
        <tr r="J19" s="2"/>
      </tp>
      <tp t="s">
        <v>#N/A N/A</v>
        <stp/>
        <stp>BDH|6001690756735925163</stp>
        <tr r="E27" s="2"/>
      </tp>
      <tp t="s">
        <v>#N/A N/A</v>
        <stp/>
        <stp>BDH|6389652915700182023</stp>
        <tr r="O58" s="2"/>
      </tp>
      <tp t="s">
        <v>#N/A N/A</v>
        <stp/>
        <stp>BDH|5316435103160256019</stp>
        <tr r="M7" s="2"/>
      </tp>
      <tp t="s">
        <v>#N/A N/A</v>
        <stp/>
        <stp>BDH|2466337176015012218</stp>
        <tr r="AD12" s="2"/>
      </tp>
      <tp t="s">
        <v>#N/A N/A</v>
        <stp/>
        <stp>BDH|4970584145915605125</stp>
        <tr r="Z38" s="2"/>
      </tp>
      <tp t="s">
        <v>#N/A N/A</v>
        <stp/>
        <stp>BDH|4512014863850676314</stp>
        <tr r="AD87" s="2"/>
      </tp>
      <tp t="s">
        <v>#N/A N/A</v>
        <stp/>
        <stp>BDH|3610231873385435230</stp>
        <tr r="Z88" s="2"/>
      </tp>
      <tp t="s">
        <v>#N/A N/A</v>
        <stp/>
        <stp>BDH|8490213417508086234</stp>
        <tr r="W89" s="2"/>
      </tp>
      <tp t="s">
        <v>#N/A N/A</v>
        <stp/>
        <stp>BDH|9322326756126781818</stp>
        <tr r="W52" s="2"/>
      </tp>
      <tp t="s">
        <v>#N/A N/A</v>
        <stp/>
        <stp>BDH|4152412102702624356</stp>
        <tr r="AA73" s="2"/>
      </tp>
      <tp t="s">
        <v>#N/A N/A</v>
        <stp/>
        <stp>BDH|6843136535654105195</stp>
        <tr r="P84" s="2"/>
      </tp>
      <tp t="s">
        <v>#N/A N/A</v>
        <stp/>
        <stp>BDH|4973064962665307687</stp>
        <tr r="Q22" s="2"/>
      </tp>
      <tp t="s">
        <v>#N/A N/A</v>
        <stp/>
        <stp>BDH|5138317918684797292</stp>
        <tr r="AF66" s="2"/>
      </tp>
      <tp t="s">
        <v>#N/A N/A</v>
        <stp/>
        <stp>BDH|3298701461277555403</stp>
        <tr r="F63" s="2"/>
      </tp>
      <tp t="s">
        <v>#N/A N/A</v>
        <stp/>
        <stp>BDH|6726573434230224110</stp>
        <tr r="C27" s="2"/>
      </tp>
      <tp t="s">
        <v>#N/A N/A</v>
        <stp/>
        <stp>BDH|6503040800421150671</stp>
        <tr r="E42" s="2"/>
      </tp>
      <tp t="s">
        <v>#N/A N/A</v>
        <stp/>
        <stp>BDH|5487306954562358042</stp>
        <tr r="AC62" s="2"/>
      </tp>
      <tp t="s">
        <v>#N/A N/A</v>
        <stp/>
        <stp>BDH|5970384979907947761</stp>
        <tr r="V74" s="2"/>
      </tp>
      <tp t="s">
        <v>#N/A N/A</v>
        <stp/>
        <stp>BDH|8582060949458901542</stp>
        <tr r="Q12" s="2"/>
      </tp>
      <tp t="s">
        <v>#N/A N/A</v>
        <stp/>
        <stp>BDH|6044212067812553178</stp>
        <tr r="U8" s="2"/>
      </tp>
      <tp t="s">
        <v>#N/A N/A</v>
        <stp/>
        <stp>BDH|3421451607123165537</stp>
        <tr r="AA41" s="2"/>
      </tp>
      <tp t="s">
        <v>#N/A N/A</v>
        <stp/>
        <stp>BDH|7306913577581510940</stp>
        <tr r="AC55" s="2"/>
      </tp>
      <tp t="s">
        <v>#N/A N/A</v>
        <stp/>
        <stp>BDH|1424450363845189778</stp>
        <tr r="D66" s="2"/>
      </tp>
      <tp t="s">
        <v>#N/A N/A</v>
        <stp/>
        <stp>BDH|1759782639442697647</stp>
        <tr r="X55" s="2"/>
      </tp>
      <tp t="s">
        <v>#N/A N/A</v>
        <stp/>
        <stp>BDH|7039587548255650232</stp>
        <tr r="P57" s="2"/>
      </tp>
      <tp t="s">
        <v>#N/A N/A</v>
        <stp/>
        <stp>BDH|3069453786887421927</stp>
        <tr r="C37" s="2"/>
      </tp>
      <tp t="s">
        <v>#N/A N/A</v>
        <stp/>
        <stp>BDH|5482267442363472116</stp>
        <tr r="AF91" s="2"/>
      </tp>
      <tp t="s">
        <v>#N/A N/A</v>
        <stp/>
        <stp>BDH|6943222458149380951</stp>
        <tr r="AD39" s="2"/>
      </tp>
      <tp t="s">
        <v>#N/A N/A</v>
        <stp/>
        <stp>BDH|69374299834692277</stp>
        <tr r="AB34" s="2"/>
      </tp>
      <tp t="s">
        <v>#N/A N/A</v>
        <stp/>
        <stp>BDH|89586392276022674</stp>
        <tr r="S62" s="2"/>
      </tp>
      <tp t="s">
        <v>#N/A N/A</v>
        <stp/>
        <stp>BDH|83469981998405887</stp>
        <tr r="AC47" s="2"/>
      </tp>
      <tp t="s">
        <v>#N/A N/A</v>
        <stp/>
        <stp>BDH|9315611682151812429</stp>
        <tr r="N65" s="2"/>
      </tp>
      <tp t="s">
        <v>#N/A N/A</v>
        <stp/>
        <stp>BDH|8858167693915040777</stp>
        <tr r="AC85" s="2"/>
      </tp>
      <tp t="s">
        <v>#N/A N/A</v>
        <stp/>
        <stp>BDH|5420293120291441638</stp>
        <tr r="AD62" s="2"/>
      </tp>
      <tp t="s">
        <v>#N/A N/A</v>
        <stp/>
        <stp>BDH|7529130283668684493</stp>
        <tr r="AA16" s="2"/>
      </tp>
      <tp t="s">
        <v>#N/A N/A</v>
        <stp/>
        <stp>BDH|3657253028564411540</stp>
        <tr r="Z83" s="2"/>
      </tp>
      <tp t="s">
        <v>#N/A N/A</v>
        <stp/>
        <stp>BDH|2553519768144217759</stp>
        <tr r="H54" s="2"/>
      </tp>
      <tp t="s">
        <v>#N/A N/A</v>
        <stp/>
        <stp>BDH|2321395707870285341</stp>
        <tr r="Q89" s="2"/>
      </tp>
      <tp t="s">
        <v>#N/A N/A</v>
        <stp/>
        <stp>BDH|5144698732515196708</stp>
        <tr r="Q53" s="2"/>
      </tp>
      <tp t="s">
        <v>#N/A N/A</v>
        <stp/>
        <stp>BDH|9491750541910023887</stp>
        <tr r="F57" s="2"/>
      </tp>
      <tp t="s">
        <v>#N/A N/A</v>
        <stp/>
        <stp>BDH|2596130079707330149</stp>
        <tr r="G49" s="2"/>
      </tp>
      <tp t="s">
        <v>#N/A N/A</v>
        <stp/>
        <stp>BDH|3406966090138980938</stp>
        <tr r="P45" s="2"/>
      </tp>
      <tp t="s">
        <v>#N/A N/A</v>
        <stp/>
        <stp>BDH|7519692061373694637</stp>
        <tr r="Q20" s="2"/>
      </tp>
      <tp t="s">
        <v>#N/A N/A</v>
        <stp/>
        <stp>BDH|1702810923588562192</stp>
        <tr r="AF49" s="2"/>
      </tp>
      <tp t="s">
        <v>#N/A N/A</v>
        <stp/>
        <stp>BDH|8034015230188974112</stp>
        <tr r="J79" s="2"/>
      </tp>
      <tp t="s">
        <v>#N/A N/A</v>
        <stp/>
        <stp>BDH|2490059128423670165</stp>
        <tr r="V37" s="2"/>
      </tp>
      <tp t="s">
        <v>#N/A N/A</v>
        <stp/>
        <stp>BDH|4909183422726901339</stp>
        <tr r="L68" s="2"/>
      </tp>
      <tp t="s">
        <v>#N/A N/A</v>
        <stp/>
        <stp>BDH|5651221388888181549</stp>
        <tr r="M62" s="2"/>
      </tp>
      <tp t="s">
        <v>#N/A N/A</v>
        <stp/>
        <stp>BDH|6416437912167236694</stp>
        <tr r="N60" s="2"/>
      </tp>
      <tp t="s">
        <v>#N/A N/A</v>
        <stp/>
        <stp>BDH|5019047248685017625</stp>
        <tr r="S63" s="2"/>
      </tp>
      <tp t="s">
        <v>#N/A N/A</v>
        <stp/>
        <stp>BDH|8087641712174149997</stp>
        <tr r="AB13" s="2"/>
      </tp>
      <tp t="s">
        <v>#N/A N/A</v>
        <stp/>
        <stp>BDH|9428090095762356040</stp>
        <tr r="C90" s="2"/>
      </tp>
      <tp t="s">
        <v>#N/A N/A</v>
        <stp/>
        <stp>BDH|6678081953411115037</stp>
        <tr r="P39" s="2"/>
      </tp>
      <tp t="s">
        <v>#N/A N/A</v>
        <stp/>
        <stp>BDH|1358757208137718366</stp>
        <tr r="X82" s="2"/>
      </tp>
      <tp t="s">
        <v>#N/A N/A</v>
        <stp/>
        <stp>BDH|6100591215816419662</stp>
        <tr r="Z58" s="2"/>
      </tp>
      <tp t="s">
        <v>#N/A N/A</v>
        <stp/>
        <stp>BDH|4224584561736087344</stp>
        <tr r="R64" s="2"/>
      </tp>
      <tp t="s">
        <v>#N/A N/A</v>
        <stp/>
        <stp>BDH|1465985630021783844</stp>
        <tr r="F72" s="2"/>
      </tp>
      <tp t="s">
        <v>#N/A N/A</v>
        <stp/>
        <stp>BDH|2326263479611125412</stp>
        <tr r="U62" s="2"/>
      </tp>
      <tp t="s">
        <v>#N/A N/A</v>
        <stp/>
        <stp>BDH|7526482519392191292</stp>
        <tr r="H10" s="2"/>
      </tp>
      <tp t="s">
        <v>#N/A N/A</v>
        <stp/>
        <stp>BDH|3787616361275874437</stp>
        <tr r="M16" s="2"/>
      </tp>
      <tp t="s">
        <v>#N/A N/A</v>
        <stp/>
        <stp>BDH|6793237196518764788</stp>
        <tr r="W65" s="2"/>
      </tp>
      <tp t="s">
        <v>#N/A N/A</v>
        <stp/>
        <stp>BDH|7918030221711756615</stp>
        <tr r="D14" s="2"/>
      </tp>
      <tp t="s">
        <v>#N/A N/A</v>
        <stp/>
        <stp>BDH|6323375797777894960</stp>
        <tr r="K47" s="2"/>
      </tp>
      <tp t="s">
        <v>#N/A N/A</v>
        <stp/>
        <stp>BDH|5227237961635839658</stp>
        <tr r="AF52" s="2"/>
      </tp>
      <tp t="s">
        <v>#N/A N/A</v>
        <stp/>
        <stp>BDH|2079250978885361035</stp>
        <tr r="V52" s="2"/>
      </tp>
      <tp t="s">
        <v>#N/A N/A</v>
        <stp/>
        <stp>BDH|9112819608813090056</stp>
        <tr r="I17" s="2"/>
      </tp>
      <tp t="s">
        <v>#N/A N/A</v>
        <stp/>
        <stp>BDH|3702249340096870161</stp>
        <tr r="T79" s="2"/>
      </tp>
      <tp t="s">
        <v>#N/A N/A</v>
        <stp/>
        <stp>BDH|6430132517140371413</stp>
        <tr r="X30" s="2"/>
      </tp>
      <tp t="s">
        <v>#N/A N/A</v>
        <stp/>
        <stp>BDH|8534781452748474095</stp>
        <tr r="AC15" s="2"/>
      </tp>
      <tp t="s">
        <v>#N/A N/A</v>
        <stp/>
        <stp>BDH|9127431251912119807</stp>
        <tr r="O15" s="2"/>
      </tp>
      <tp t="s">
        <v>#N/A N/A</v>
        <stp/>
        <stp>BDH|1486559828992999631</stp>
        <tr r="O44" s="2"/>
      </tp>
      <tp t="s">
        <v>#N/A N/A</v>
        <stp/>
        <stp>BDH|2590997143549999451</stp>
        <tr r="U70" s="2"/>
      </tp>
      <tp t="s">
        <v>#N/A N/A</v>
        <stp/>
        <stp>BDH|7131256624003177627</stp>
        <tr r="M20" s="2"/>
      </tp>
      <tp t="s">
        <v>#N/A N/A</v>
        <stp/>
        <stp>BDH|8036553574110621847</stp>
        <tr r="W60" s="2"/>
      </tp>
      <tp t="s">
        <v>#N/A N/A</v>
        <stp/>
        <stp>BDH|1469065876843753709</stp>
        <tr r="O52" s="2"/>
      </tp>
      <tp t="s">
        <v>#N/A N/A</v>
        <stp/>
        <stp>BDH|2025751811491583721</stp>
        <tr r="Z71" s="2"/>
      </tp>
      <tp t="s">
        <v>#N/A N/A</v>
        <stp/>
        <stp>BDH|2287200221864606452</stp>
        <tr r="E86" s="2"/>
      </tp>
      <tp t="s">
        <v>#N/A N/A</v>
        <stp/>
        <stp>BDH|7321059529790683793</stp>
        <tr r="C59" s="2"/>
      </tp>
      <tp t="s">
        <v>#N/A N/A</v>
        <stp/>
        <stp>BDH|9756309920663487935</stp>
        <tr r="X64" s="2"/>
      </tp>
      <tp t="s">
        <v>#N/A N/A</v>
        <stp/>
        <stp>BDH|3021373924942067236</stp>
        <tr r="Q9" s="2"/>
      </tp>
      <tp t="s">
        <v>#N/A N/A</v>
        <stp/>
        <stp>BDH|1360855777029182500</stp>
        <tr r="D20" s="2"/>
      </tp>
      <tp t="s">
        <v>#N/A N/A</v>
        <stp/>
        <stp>BDH|4190917088686076185</stp>
        <tr r="AA7" s="2"/>
      </tp>
      <tp t="s">
        <v>#N/A N/A</v>
        <stp/>
        <stp>BDH|4755583519156682401</stp>
        <tr r="P79" s="2"/>
      </tp>
      <tp t="s">
        <v>#N/A N/A</v>
        <stp/>
        <stp>BDH|1143733038253809434</stp>
        <tr r="AF55" s="2"/>
      </tp>
      <tp t="s">
        <v>#N/A N/A</v>
        <stp/>
        <stp>BDH|6562883196962870725</stp>
        <tr r="K21" s="2"/>
      </tp>
      <tp t="s">
        <v>#N/A N/A</v>
        <stp/>
        <stp>BDH|3523134875021158643</stp>
        <tr r="G9" s="2"/>
      </tp>
      <tp t="s">
        <v>#N/A N/A</v>
        <stp/>
        <stp>BDH|2004139760795797220</stp>
        <tr r="U74" s="2"/>
      </tp>
      <tp t="s">
        <v>#N/A N/A</v>
        <stp/>
        <stp>BDH|8549911326149067849</stp>
        <tr r="U80" s="2"/>
      </tp>
      <tp t="s">
        <v>#N/A N/A</v>
        <stp/>
        <stp>BDH|6278142906222683705</stp>
        <tr r="L62" s="2"/>
      </tp>
      <tp t="s">
        <v>#N/A N/A</v>
        <stp/>
        <stp>BDH|1059603863343640024</stp>
        <tr r="AD16" s="2"/>
      </tp>
      <tp t="s">
        <v>#N/A N/A</v>
        <stp/>
        <stp>BDH|5270686979573625520</stp>
        <tr r="R30" s="2"/>
      </tp>
      <tp t="s">
        <v>#N/A N/A</v>
        <stp/>
        <stp>BDH|5260069367500764131</stp>
        <tr r="AD73" s="2"/>
      </tp>
      <tp t="s">
        <v>#N/A N/A</v>
        <stp/>
        <stp>BDH|4322811293474052357</stp>
        <tr r="O21" s="2"/>
      </tp>
      <tp t="s">
        <v>#N/A N/A</v>
        <stp/>
        <stp>BDH|9373514700739644705</stp>
        <tr r="O66" s="2"/>
      </tp>
      <tp t="s">
        <v>#N/A N/A</v>
        <stp/>
        <stp>BDH|4234052451925586677</stp>
        <tr r="P54" s="2"/>
      </tp>
      <tp t="s">
        <v>#N/A N/A</v>
        <stp/>
        <stp>BDH|5445131100295063336</stp>
        <tr r="W88" s="2"/>
      </tp>
      <tp t="s">
        <v>#N/A N/A</v>
        <stp/>
        <stp>BDH|4002833296532563546</stp>
        <tr r="M35" s="2"/>
      </tp>
      <tp t="s">
        <v>#N/A N/A</v>
        <stp/>
        <stp>BDH|4704374001740334569</stp>
        <tr r="T82" s="2"/>
      </tp>
      <tp t="s">
        <v>#N/A N/A</v>
        <stp/>
        <stp>BDH|1128401968449487896</stp>
        <tr r="M75" s="2"/>
      </tp>
      <tp t="s">
        <v>#N/A N/A</v>
        <stp/>
        <stp>BDH|2409621262854594459</stp>
        <tr r="O72" s="2"/>
      </tp>
      <tp t="s">
        <v>#N/A N/A</v>
        <stp/>
        <stp>BDH|7795559935877208414</stp>
        <tr r="AD66" s="2"/>
      </tp>
      <tp t="s">
        <v>#N/A N/A</v>
        <stp/>
        <stp>BDH|9637719328508277697</stp>
        <tr r="J25" s="2"/>
      </tp>
      <tp t="s">
        <v>#N/A N/A</v>
        <stp/>
        <stp>BDH|2504209934356247771</stp>
        <tr r="AA84" s="2"/>
      </tp>
      <tp t="s">
        <v>#N/A N/A</v>
        <stp/>
        <stp>BDH|7179319667536694641</stp>
        <tr r="C79" s="2"/>
      </tp>
      <tp t="s">
        <v>#N/A N/A</v>
        <stp/>
        <stp>BDH|2643869581589246969</stp>
        <tr r="X65" s="2"/>
      </tp>
      <tp t="s">
        <v>#N/A N/A</v>
        <stp/>
        <stp>BDH|8771784998266072221</stp>
        <tr r="AA82" s="2"/>
      </tp>
      <tp t="s">
        <v>#N/A N/A</v>
        <stp/>
        <stp>BDH|4263860296587540021</stp>
        <tr r="X13" s="2"/>
      </tp>
      <tp t="s">
        <v>#N/A N/A</v>
        <stp/>
        <stp>BDH|3792237612182924155</stp>
        <tr r="AF42" s="2"/>
      </tp>
      <tp t="s">
        <v>#N/A N/A</v>
        <stp/>
        <stp>BDH|4048109480277963931</stp>
        <tr r="Q13" s="2"/>
      </tp>
      <tp t="s">
        <v>#N/A N/A</v>
        <stp/>
        <stp>BDH|6860428287079770002</stp>
        <tr r="D81" s="2"/>
      </tp>
      <tp t="s">
        <v>#N/A N/A</v>
        <stp/>
        <stp>BDH|2987220195689357377</stp>
        <tr r="G16" s="2"/>
      </tp>
      <tp t="s">
        <v>#N/A N/A</v>
        <stp/>
        <stp>BDH|8484293335623252906</stp>
        <tr r="P43" s="2"/>
      </tp>
      <tp t="s">
        <v>#N/A N/A</v>
        <stp/>
        <stp>BDH|5590573679026108204</stp>
        <tr r="K75" s="2"/>
      </tp>
      <tp t="s">
        <v>#N/A N/A</v>
        <stp/>
        <stp>BDH|2693284452221118770</stp>
        <tr r="F55" s="2"/>
      </tp>
      <tp t="s">
        <v>#N/A N/A</v>
        <stp/>
        <stp>BDH|2479246539854428466</stp>
        <tr r="AB90" s="2"/>
      </tp>
      <tp t="s">
        <v>#N/A N/A</v>
        <stp/>
        <stp>BDH|5966022434320338546</stp>
        <tr r="U64" s="2"/>
      </tp>
      <tp t="s">
        <v>#N/A N/A</v>
        <stp/>
        <stp>BDH|9132139906729505295</stp>
        <tr r="U51" s="2"/>
      </tp>
      <tp t="s">
        <v>#N/A N/A</v>
        <stp/>
        <stp>BDH|8891223965326403928</stp>
        <tr r="AF83" s="2"/>
      </tp>
      <tp t="s">
        <v>#N/A N/A</v>
        <stp/>
        <stp>BDH|7686591950417141379</stp>
        <tr r="W23" s="2"/>
      </tp>
      <tp t="s">
        <v>#N/A N/A</v>
        <stp/>
        <stp>BDH|8633806729076163777</stp>
        <tr r="J58" s="2"/>
      </tp>
      <tp t="s">
        <v>#N/A N/A</v>
        <stp/>
        <stp>BDH|5228874178190416901</stp>
        <tr r="I49" s="2"/>
      </tp>
      <tp t="s">
        <v>#N/A N/A</v>
        <stp/>
        <stp>BDH|5567484454706027101</stp>
        <tr r="AE26" s="2"/>
      </tp>
      <tp t="s">
        <v>#N/A N/A</v>
        <stp/>
        <stp>BDH|1100909208789935296</stp>
        <tr r="O29" s="2"/>
      </tp>
      <tp t="s">
        <v>#N/A N/A</v>
        <stp/>
        <stp>BDH|4441896774000199810</stp>
        <tr r="F25" s="2"/>
      </tp>
      <tp t="s">
        <v>#N/A N/A</v>
        <stp/>
        <stp>BDH|2365318578251350403</stp>
        <tr r="R34" s="2"/>
      </tp>
      <tp t="s">
        <v>#N/A N/A</v>
        <stp/>
        <stp>BDH|4554997457212023953</stp>
        <tr r="X90" s="2"/>
      </tp>
      <tp t="s">
        <v>#N/A N/A</v>
        <stp/>
        <stp>BDH|5530548745836911135</stp>
        <tr r="F83" s="2"/>
      </tp>
      <tp t="s">
        <v>#N/A N/A</v>
        <stp/>
        <stp>BDH|1009752056508981848</stp>
        <tr r="AC8" s="2"/>
      </tp>
      <tp t="s">
        <v>#N/A N/A</v>
        <stp/>
        <stp>BDH|9468190193983294120</stp>
        <tr r="O17" s="2"/>
      </tp>
      <tp t="s">
        <v>#N/A N/A</v>
        <stp/>
        <stp>BDH|6110652938953650343</stp>
        <tr r="K68" s="2"/>
      </tp>
      <tp t="s">
        <v>#N/A N/A</v>
        <stp/>
        <stp>BDH|3609100492259277189</stp>
        <tr r="E26" s="2"/>
      </tp>
      <tp t="s">
        <v>#N/A N/A</v>
        <stp/>
        <stp>BDH|2534813997138853841</stp>
        <tr r="E66" s="2"/>
      </tp>
      <tp t="s">
        <v>#N/A N/A</v>
        <stp/>
        <stp>BDH|2912018304715414474</stp>
        <tr r="AB60" s="2"/>
      </tp>
      <tp t="s">
        <v>#N/A N/A</v>
        <stp/>
        <stp>BDH|1972662748050363084</stp>
        <tr r="O12" s="2"/>
      </tp>
      <tp t="s">
        <v>#N/A N/A</v>
        <stp/>
        <stp>BDH|4609418349045464268</stp>
        <tr r="Y13" s="2"/>
      </tp>
      <tp t="s">
        <v>#N/A N/A</v>
        <stp/>
        <stp>BDH|5296257229651602740</stp>
        <tr r="Q28" s="2"/>
      </tp>
      <tp t="s">
        <v>#N/A N/A</v>
        <stp/>
        <stp>BDH|4592032827657401295</stp>
        <tr r="S75" s="2"/>
      </tp>
      <tp t="s">
        <v>#N/A N/A</v>
        <stp/>
        <stp>BDH|4901649396689678115</stp>
        <tr r="U40" s="2"/>
      </tp>
      <tp t="s">
        <v>#N/A N/A</v>
        <stp/>
        <stp>BDH|2837950294345425405</stp>
        <tr r="H14" s="2"/>
      </tp>
      <tp t="s">
        <v>#N/A N/A</v>
        <stp/>
        <stp>BDH|9281973861077088298</stp>
        <tr r="AA70" s="2"/>
      </tp>
      <tp t="s">
        <v>#N/A N/A</v>
        <stp/>
        <stp>BDH|3362491214636624359</stp>
        <tr r="J40" s="2"/>
      </tp>
      <tp t="s">
        <v>#N/A N/A</v>
        <stp/>
        <stp>BDH|7978603422386124678</stp>
        <tr r="H28" s="2"/>
      </tp>
      <tp t="s">
        <v>#N/A N/A</v>
        <stp/>
        <stp>BDH|8882139470839079463</stp>
        <tr r="N25" s="2"/>
      </tp>
      <tp t="s">
        <v>#N/A N/A</v>
        <stp/>
        <stp>BDH|9980902650264411205</stp>
        <tr r="AF80" s="2"/>
      </tp>
      <tp t="s">
        <v>#N/A N/A</v>
        <stp/>
        <stp>BDH|7863262601214975240</stp>
        <tr r="D58" s="2"/>
      </tp>
      <tp t="s">
        <v>#N/A N/A</v>
        <stp/>
        <stp>BDH|8538386707291875900</stp>
        <tr r="N74" s="2"/>
      </tp>
      <tp t="s">
        <v>#N/A N/A</v>
        <stp/>
        <stp>BDH|9041875815007909493</stp>
        <tr r="Y23" s="2"/>
      </tp>
      <tp t="s">
        <v>#N/A N/A</v>
        <stp/>
        <stp>BDH|5397734604720242147</stp>
        <tr r="T26" s="2"/>
      </tp>
      <tp t="s">
        <v>#N/A N/A</v>
        <stp/>
        <stp>BDH|8116071526990763955</stp>
        <tr r="O10" s="2"/>
      </tp>
      <tp t="s">
        <v>#N/A N/A</v>
        <stp/>
        <stp>BDH|8571469851348598259</stp>
        <tr r="M74" s="2"/>
      </tp>
      <tp t="s">
        <v>#N/A N/A</v>
        <stp/>
        <stp>BDH|8600748331679717660</stp>
        <tr r="AF14" s="2"/>
      </tp>
      <tp t="s">
        <v>#N/A N/A</v>
        <stp/>
        <stp>BDH|8464054322899522047</stp>
        <tr r="AE25" s="2"/>
      </tp>
      <tp t="s">
        <v>#N/A N/A</v>
        <stp/>
        <stp>BDH|2104273672400762400</stp>
        <tr r="D28" s="2"/>
      </tp>
      <tp t="s">
        <v>#N/A N/A</v>
        <stp/>
        <stp>BDH|6129673035943798375</stp>
        <tr r="O45" s="2"/>
      </tp>
      <tp t="s">
        <v>#N/A N/A</v>
        <stp/>
        <stp>BDH|7545719920988485935</stp>
        <tr r="C49" s="2"/>
      </tp>
      <tp t="s">
        <v>#N/A N/A</v>
        <stp/>
        <stp>BDH|8108861317832301002</stp>
        <tr r="R43" s="2"/>
      </tp>
      <tp t="s">
        <v>#N/A N/A</v>
        <stp/>
        <stp>BDH|7284417046133546730</stp>
        <tr r="O34" s="2"/>
      </tp>
      <tp t="s">
        <v>#N/A N/A</v>
        <stp/>
        <stp>BDH|3719104366026585177</stp>
        <tr r="J65" s="2"/>
      </tp>
      <tp t="s">
        <v>#N/A N/A</v>
        <stp/>
        <stp>BDH|1154338946193221653</stp>
        <tr r="N17" s="2"/>
      </tp>
      <tp t="s">
        <v>#N/A N/A</v>
        <stp/>
        <stp>BDH|7514193078156278459</stp>
        <tr r="D69" s="2"/>
      </tp>
      <tp t="s">
        <v>#N/A N/A</v>
        <stp/>
        <stp>BDH|5505104531377027379</stp>
        <tr r="AB74" s="2"/>
      </tp>
      <tp t="s">
        <v>#N/A N/A</v>
        <stp/>
        <stp>BDH|3000346848527822042</stp>
        <tr r="K54" s="2"/>
      </tp>
      <tp t="s">
        <v>#N/A N/A</v>
        <stp/>
        <stp>BDH|6296201777113162349</stp>
        <tr r="AE88" s="2"/>
      </tp>
      <tp t="s">
        <v>#N/A N/A</v>
        <stp/>
        <stp>BDH|7146984698895113119</stp>
        <tr r="K37" s="2"/>
      </tp>
      <tp t="s">
        <v>#N/A N/A</v>
        <stp/>
        <stp>BDH|3770689069249290956</stp>
        <tr r="AB41" s="2"/>
      </tp>
      <tp t="s">
        <v>#N/A N/A</v>
        <stp/>
        <stp>BDH|1262195829231117023</stp>
        <tr r="AD54" s="2"/>
      </tp>
      <tp t="s">
        <v>#N/A N/A</v>
        <stp/>
        <stp>BDH|1885605007895879165</stp>
        <tr r="H66" s="2"/>
      </tp>
      <tp t="s">
        <v>#N/A N/A</v>
        <stp/>
        <stp>BDH|4417143604123725526</stp>
        <tr r="W45" s="2"/>
      </tp>
      <tp t="s">
        <v>#N/A N/A</v>
        <stp/>
        <stp>BDH|6363031922037468076</stp>
        <tr r="Y59" s="2"/>
      </tp>
      <tp t="s">
        <v>#N/A N/A</v>
        <stp/>
        <stp>BDH|2326553524327654151</stp>
        <tr r="H13" s="2"/>
      </tp>
      <tp t="s">
        <v>#N/A N/A</v>
        <stp/>
        <stp>BDH|5028065443656714436</stp>
        <tr r="P74" s="2"/>
      </tp>
      <tp t="s">
        <v>#N/A N/A</v>
        <stp/>
        <stp>BDH|1626893356266892906</stp>
        <tr r="Z69" s="2"/>
      </tp>
      <tp t="s">
        <v>#N/A N/A</v>
        <stp/>
        <stp>BDH|7263290037503866624</stp>
        <tr r="Q84" s="2"/>
      </tp>
      <tp t="s">
        <v>#N/A N/A</v>
        <stp/>
        <stp>BDH|5932036117234860339</stp>
        <tr r="P16" s="2"/>
      </tp>
      <tp t="s">
        <v>#N/A N/A</v>
        <stp/>
        <stp>BDH|9994441439284603941</stp>
        <tr r="P70" s="2"/>
      </tp>
      <tp t="s">
        <v>#N/A N/A</v>
        <stp/>
        <stp>BDH|1006000780158459229</stp>
        <tr r="Y70" s="2"/>
      </tp>
      <tp t="s">
        <v>#N/A N/A</v>
        <stp/>
        <stp>BDH|4420604980988484168</stp>
        <tr r="J62" s="2"/>
      </tp>
      <tp t="s">
        <v>#N/A N/A</v>
        <stp/>
        <stp>BDH|9150675148999936109</stp>
        <tr r="K89" s="2"/>
      </tp>
      <tp t="s">
        <v>#N/A N/A</v>
        <stp/>
        <stp>BDH|3015300125374275500</stp>
        <tr r="S51" s="2"/>
      </tp>
      <tp t="s">
        <v>#N/A N/A</v>
        <stp/>
        <stp>BDH|2134663191429129702</stp>
        <tr r="Y48" s="2"/>
      </tp>
      <tp t="s">
        <v>#N/A N/A</v>
        <stp/>
        <stp>BDH|2683527394618032572</stp>
        <tr r="W27" s="2"/>
      </tp>
      <tp t="s">
        <v>#N/A N/A</v>
        <stp/>
        <stp>BDH|1207029519941997274</stp>
        <tr r="L53" s="2"/>
      </tp>
      <tp t="s">
        <v>#N/A N/A</v>
        <stp/>
        <stp>BDH|3241143767325094262</stp>
        <tr r="Z43" s="2"/>
      </tp>
      <tp t="s">
        <v>#N/A N/A</v>
        <stp/>
        <stp>BDH|9406528177900652837</stp>
        <tr r="P65" s="2"/>
      </tp>
      <tp t="s">
        <v>#N/A N/A</v>
        <stp/>
        <stp>BDH|4279185473089868852</stp>
        <tr r="Z82" s="2"/>
      </tp>
      <tp t="s">
        <v>#N/A N/A</v>
        <stp/>
        <stp>BDH|5960098745693331123</stp>
        <tr r="U42" s="2"/>
      </tp>
      <tp t="s">
        <v>#N/A N/A</v>
        <stp/>
        <stp>BDH|7410348350212012045</stp>
        <tr r="Y49" s="2"/>
      </tp>
      <tp t="s">
        <v>#N/A N/A</v>
        <stp/>
        <stp>BDH|5359809870670454930</stp>
        <tr r="G82" s="2"/>
      </tp>
      <tp t="s">
        <v>#N/A N/A</v>
        <stp/>
        <stp>BDH|1424018945930353667</stp>
        <tr r="P63" s="2"/>
      </tp>
      <tp t="s">
        <v>#N/A N/A</v>
        <stp/>
        <stp>BDH|6163411865396256122</stp>
        <tr r="L79" s="2"/>
      </tp>
      <tp t="s">
        <v>#N/A N/A</v>
        <stp/>
        <stp>BDH|3639709644635569628</stp>
        <tr r="L18" s="2"/>
      </tp>
      <tp t="s">
        <v>#N/A N/A</v>
        <stp/>
        <stp>BDH|6435240291789175756</stp>
        <tr r="Z13" s="2"/>
      </tp>
      <tp t="s">
        <v>#N/A N/A</v>
        <stp/>
        <stp>BDH|163619417315328786</stp>
        <tr r="D50" s="2"/>
      </tp>
      <tp t="s">
        <v>#N/A N/A</v>
        <stp/>
        <stp>BDH|889414267854057331</stp>
        <tr r="G89" s="2"/>
      </tp>
      <tp t="s">
        <v>#N/A N/A</v>
        <stp/>
        <stp>BDH|339197155220592153</stp>
        <tr r="Y69" s="2"/>
      </tp>
      <tp t="s">
        <v>#N/A N/A</v>
        <stp/>
        <stp>BDH|249240138082721639</stp>
        <tr r="F23" s="2"/>
      </tp>
      <tp t="s">
        <v>#N/A N/A</v>
        <stp/>
        <stp>BDH|449631622906355720</stp>
        <tr r="L84" s="2"/>
      </tp>
      <tp t="s">
        <v>#N/A N/A</v>
        <stp/>
        <stp>BDH|142554075407258032</stp>
        <tr r="D74" s="2"/>
      </tp>
      <tp t="s">
        <v>#N/A N/A</v>
        <stp/>
        <stp>BDH|577821687616423352</stp>
        <tr r="M88" s="2"/>
      </tp>
      <tp t="s">
        <v>#N/A N/A</v>
        <stp/>
        <stp>BDH|186774438926460795</stp>
        <tr r="Z74" s="2"/>
      </tp>
      <tp t="s">
        <v>#N/A N/A</v>
        <stp/>
        <stp>BDH|403181710193056751</stp>
        <tr r="M36" s="2"/>
      </tp>
      <tp t="s">
        <v>#N/A N/A</v>
        <stp/>
        <stp>BDH|551902039758181678</stp>
        <tr r="AA54" s="2"/>
      </tp>
      <tp t="s">
        <v>#N/A N/A</v>
        <stp/>
        <stp>BDH|637694702902162069</stp>
        <tr r="AF45" s="2"/>
      </tp>
      <tp t="s">
        <v>#N/A N/A</v>
        <stp/>
        <stp>BDH|442095152426094743</stp>
        <tr r="AA89" s="2"/>
      </tp>
      <tp t="s">
        <v>#N/A N/A</v>
        <stp/>
        <stp>BDH|443010640746316637</stp>
        <tr r="R75" s="2"/>
      </tp>
      <tp t="s">
        <v>#N/A N/A</v>
        <stp/>
        <stp>BDH|635189955354911427</stp>
        <tr r="L46" s="2"/>
      </tp>
      <tp t="s">
        <v>#N/A N/A</v>
        <stp/>
        <stp>BDH|803030119423117632</stp>
        <tr r="K71" s="2"/>
      </tp>
      <tp t="s">
        <v>#N/A N/A</v>
        <stp/>
        <stp>BDH|667632056440984795</stp>
        <tr r="Z65" s="2"/>
      </tp>
      <tp t="s">
        <v>#N/A N/A</v>
        <stp/>
        <stp>BDH|949337718363992676</stp>
        <tr r="W62" s="2"/>
      </tp>
      <tp t="s">
        <v>#N/A N/A</v>
        <stp/>
        <stp>BDH|739527134704496599</stp>
        <tr r="C20" s="2"/>
      </tp>
      <tp t="s">
        <v>#N/A N/A</v>
        <stp/>
        <stp>BDH|296061731367105394</stp>
        <tr r="D82" s="2"/>
      </tp>
      <tp t="s">
        <v>#N/A N/A</v>
        <stp/>
        <stp>BDH|875332064205613747</stp>
        <tr r="Z28" s="2"/>
      </tp>
      <tp t="s">
        <v>#N/A N/A</v>
        <stp/>
        <stp>BDH|877607683300243911</stp>
        <tr r="AA28" s="2"/>
      </tp>
      <tp t="s">
        <v>#N/A N/A</v>
        <stp/>
        <stp>BDH|547691048211731479</stp>
        <tr r="AF72" s="2"/>
      </tp>
      <tp t="s">
        <v>#N/A N/A</v>
        <stp/>
        <stp>BDH|930476729177181619</stp>
        <tr r="M13" s="2"/>
      </tp>
      <tp t="s">
        <v>#N/A N/A</v>
        <stp/>
        <stp>BDH|527505498932822977</stp>
        <tr r="J10" s="2"/>
      </tp>
      <tp t="s">
        <v>#N/A N/A</v>
        <stp/>
        <stp>BDH|961710806733893354</stp>
        <tr r="AB47" s="2"/>
      </tp>
      <tp t="s">
        <v>#N/A N/A</v>
        <stp/>
        <stp>BDH|259726021744812757</stp>
        <tr r="R44" s="2"/>
      </tp>
      <tp t="s">
        <v>#N/A N/A</v>
        <stp/>
        <stp>BDH|323319707774805127</stp>
        <tr r="Q15" s="2"/>
      </tp>
      <tp t="s">
        <v>#N/A N/A</v>
        <stp/>
        <stp>BDH|920132437902501609</stp>
        <tr r="Z12" s="2"/>
      </tp>
      <tp t="s">
        <v>#N/A N/A</v>
        <stp/>
        <stp>BDH|536405070576415389</stp>
        <tr r="J47" s="2"/>
      </tp>
      <tp t="s">
        <v>#N/A N/A</v>
        <stp/>
        <stp>BDH|488446929798935894</stp>
        <tr r="AD25" s="2"/>
      </tp>
      <tp t="s">
        <v>#N/A N/A</v>
        <stp/>
        <stp>BDH|250552474355827102</stp>
        <tr r="T67" s="2"/>
      </tp>
      <tp t="s">
        <v>#N/A N/A</v>
        <stp/>
        <stp>BDH|567400571193997695</stp>
        <tr r="R13" s="2"/>
      </tp>
      <tp t="s">
        <v>#N/A N/A</v>
        <stp/>
        <stp>BDH|282771731876951497</stp>
        <tr r="AA27" s="2"/>
      </tp>
      <tp t="s">
        <v>#N/A N/A</v>
        <stp/>
        <stp>BDH|226564405721126242</stp>
        <tr r="X28" s="2"/>
      </tp>
      <tp t="s">
        <v>#N/A N/A</v>
        <stp/>
        <stp>BDH|490517668006848305</stp>
        <tr r="AA24" s="2"/>
      </tp>
      <tp t="s">
        <v>#N/A N/A</v>
        <stp/>
        <stp>BDH|539748178736368772</stp>
        <tr r="X79" s="2"/>
      </tp>
      <tp t="s">
        <v>#N/A N/A</v>
        <stp/>
        <stp>BDH|939071503997371630</stp>
        <tr r="T34" s="2"/>
      </tp>
      <tp t="s">
        <v>#N/A N/A</v>
        <stp/>
        <stp>BDH|945100947872364638</stp>
        <tr r="K17" s="2"/>
      </tp>
      <tp t="s">
        <v>#N/A N/A</v>
        <stp/>
        <stp>BDH|637283076331887597</stp>
        <tr r="P66" s="2"/>
      </tp>
      <tp t="s">
        <v>#N/A N/A</v>
        <stp/>
        <stp>BDH|414175707202707264</stp>
        <tr r="M48" s="2"/>
      </tp>
      <tp t="s">
        <v>#N/A N/A</v>
        <stp/>
        <stp>BDH|907130153960165587</stp>
        <tr r="U47" s="2"/>
      </tp>
      <tp t="s">
        <v>#N/A N/A</v>
        <stp/>
        <stp>BDH|628741526544677034</stp>
        <tr r="D70" s="2"/>
      </tp>
      <tp t="s">
        <v>#N/A N/A</v>
        <stp/>
        <stp>BDH|659651137722241651</stp>
        <tr r="AB57" s="2"/>
      </tp>
      <tp t="s">
        <v>#N/A N/A</v>
        <stp/>
        <stp>BDH|456313339546233641</stp>
        <tr r="S11" s="2"/>
      </tp>
      <tp t="s">
        <v>#N/A N/A</v>
        <stp/>
        <stp>BDH|124613742085217718</stp>
        <tr r="N82" s="2"/>
      </tp>
      <tp t="s">
        <v>#N/A N/A</v>
        <stp/>
        <stp>BDH|719144215957394774</stp>
        <tr r="S88" s="2"/>
      </tp>
      <tp t="s">
        <v>#N/A N/A</v>
        <stp/>
        <stp>BDH|812128652933524453</stp>
        <tr r="J45" s="2"/>
      </tp>
      <tp t="s">
        <v>#N/A N/A</v>
        <stp/>
        <stp>BDH|216402788228470772</stp>
        <tr r="W50" s="2"/>
      </tp>
      <tp t="s">
        <v>#N/A N/A</v>
        <stp/>
        <stp>BDH|116540196996914901</stp>
        <tr r="E61" s="2"/>
      </tp>
      <tp t="s">
        <v>#N/A N/A</v>
        <stp/>
        <stp>BDH|949159877785264032</stp>
        <tr r="AD31" s="2"/>
      </tp>
      <tp t="s">
        <v>#N/A N/A</v>
        <stp/>
        <stp>BDH|980798236236790152</stp>
        <tr r="T66" s="2"/>
      </tp>
      <tp t="s">
        <v>#N/A N/A</v>
        <stp/>
        <stp>BDH|431757888288404491</stp>
        <tr r="W41" s="2"/>
      </tp>
      <tp t="s">
        <v>#N/A N/A</v>
        <stp/>
        <stp>BDH|588422456113239162</stp>
        <tr r="C51" s="2"/>
      </tp>
      <tp t="s">
        <v>#N/A N/A</v>
        <stp/>
        <stp>BDH|986661812563528781</stp>
        <tr r="AB7" s="2"/>
      </tp>
      <tp t="s">
        <v>#N/A N/A</v>
        <stp/>
        <stp>BDH|981183281368006218</stp>
        <tr r="T27" s="2"/>
      </tp>
      <tp t="s">
        <v>#N/A N/A</v>
        <stp/>
        <stp>BDH|795392988550172843</stp>
        <tr r="AF28" s="2"/>
      </tp>
      <tp t="s">
        <v>#N/A N/A</v>
        <stp/>
        <stp>BDH|835787878974955726</stp>
        <tr r="F71" s="2"/>
      </tp>
      <tp t="s">
        <v>#N/A N/A</v>
        <stp/>
        <stp>BDH|633017057311315705</stp>
        <tr r="T48" s="2"/>
      </tp>
      <tp t="s">
        <v>#N/A N/A</v>
        <stp/>
        <stp>BDH|112198731321699133</stp>
        <tr r="E49" s="2"/>
      </tp>
      <tp t="s">
        <v>#N/A N/A</v>
        <stp/>
        <stp>BDH|857210070325772233</stp>
        <tr r="K70" s="2"/>
      </tp>
      <tp t="s">
        <v>#N/A N/A</v>
        <stp/>
        <stp>BDH|758210927272851008</stp>
        <tr r="L23" s="2"/>
      </tp>
      <tp t="s">
        <v>#N/A N/A</v>
        <stp/>
        <stp>BDH|379548523752842765</stp>
        <tr r="Q25" s="2"/>
      </tp>
      <tp t="s">
        <v>#N/A N/A</v>
        <stp/>
        <stp>BDH|855445620765116172</stp>
        <tr r="P64" s="2"/>
      </tp>
      <tp t="s">
        <v>#N/A N/A</v>
        <stp/>
        <stp>BDH|267291700637652787</stp>
        <tr r="H87" s="2"/>
      </tp>
      <tp t="s">
        <v>#N/A N/A</v>
        <stp/>
        <stp>BDH|856691621513857597</stp>
        <tr r="J24" s="2"/>
      </tp>
      <tp t="s">
        <v>#N/A N/A</v>
        <stp/>
        <stp>BDH|587521174468430855</stp>
        <tr r="E23" s="2"/>
      </tp>
      <tp t="s">
        <v>#N/A N/A</v>
        <stp/>
        <stp>BDH|460862402403170697</stp>
        <tr r="Y72" s="2"/>
      </tp>
      <tp t="s">
        <v>#N/A N/A</v>
        <stp/>
        <stp>BDH|758905549368381881</stp>
        <tr r="J20" s="2"/>
      </tp>
      <tp t="s">
        <v>#N/A N/A</v>
        <stp/>
        <stp>BDH|144131085327885394</stp>
        <tr r="R90" s="2"/>
      </tp>
      <tp t="s">
        <v>#N/A N/A</v>
        <stp/>
        <stp>BDH|575853007375381022</stp>
        <tr r="L37" s="2"/>
      </tp>
      <tp t="s">
        <v>#N/A N/A</v>
        <stp/>
        <stp>BDH|630213838608078486</stp>
        <tr r="AC64" s="2"/>
      </tp>
      <tp t="s">
        <v>#N/A N/A</v>
        <stp/>
        <stp>BDH|411507553434458921</stp>
        <tr r="T51" s="2"/>
      </tp>
      <tp t="s">
        <v>#N/A N/A</v>
        <stp/>
        <stp>BDH|404808956213836380</stp>
        <tr r="K19" s="2"/>
      </tp>
      <tp t="s">
        <v>#N/A N/A</v>
        <stp/>
        <stp>BDH|953455236879891316</stp>
        <tr r="AF9" s="2"/>
      </tp>
      <tp t="s">
        <v>#N/A N/A</v>
        <stp/>
        <stp>BDH|486094217585639831</stp>
        <tr r="V49" s="2"/>
      </tp>
      <tp t="s">
        <v>#N/A N/A</v>
        <stp/>
        <stp>BDH|682826133603903416</stp>
        <tr r="X57" s="2"/>
      </tp>
      <tp t="s">
        <v>#N/A N/A</v>
        <stp/>
        <stp>BDH|436636590887365404</stp>
        <tr r="N71" s="2"/>
      </tp>
      <tp t="s">
        <v>#N/A N/A</v>
        <stp/>
        <stp>BDH|177106260688669326</stp>
        <tr r="K38" s="2"/>
      </tp>
      <tp t="s">
        <v>#N/A N/A</v>
        <stp/>
        <stp>BDH|740669205022359812</stp>
        <tr r="S9" s="2"/>
      </tp>
      <tp t="s">
        <v>#N/A N/A</v>
        <stp/>
        <stp>BDH|273889914197603283</stp>
        <tr r="AF21" s="2"/>
      </tp>
      <tp t="s">
        <v>#N/A N/A</v>
        <stp/>
        <stp>BDH|383934937106480006</stp>
        <tr r="W10" s="2"/>
      </tp>
      <tp t="s">
        <v>#N/A N/A</v>
        <stp/>
        <stp>BDH|325358942811836997</stp>
        <tr r="I54" s="2"/>
      </tp>
      <tp t="s">
        <v>#N/A N/A</v>
        <stp/>
        <stp>BDH|895782683607662720</stp>
        <tr r="J53" s="2"/>
      </tp>
      <tp t="s">
        <v>#N/A N/A</v>
        <stp/>
        <stp>BDH|966989853053029020</stp>
        <tr r="G8" s="2"/>
      </tp>
      <tp t="s">
        <v>#N/A N/A</v>
        <stp/>
        <stp>BDH|721108043378654235</stp>
        <tr r="R37" s="2"/>
      </tp>
      <tp t="s">
        <v>#N/A N/A</v>
        <stp/>
        <stp>BDH|293451294774155602</stp>
        <tr r="AC58" s="2"/>
      </tp>
      <tp t="s">
        <v>#N/A N/A</v>
        <stp/>
        <stp>BDH|155439780622683094</stp>
        <tr r="M12" s="2"/>
      </tp>
      <tp t="s">
        <v>#N/A N/A</v>
        <stp/>
        <stp>BDH|740318019584160867</stp>
        <tr r="T31" s="2"/>
      </tp>
      <tp t="s">
        <v>#N/A N/A</v>
        <stp/>
        <stp>BDH|816956977815499552</stp>
        <tr r="N81" s="2"/>
      </tp>
      <tp t="s">
        <v>#N/A N/A</v>
        <stp/>
        <stp>BDH|611832342345696742</stp>
        <tr r="V10" s="2"/>
      </tp>
      <tp t="s">
        <v>#N/A N/A</v>
        <stp/>
        <stp>BDH|215591194270866218</stp>
        <tr r="AF48" s="2"/>
      </tp>
      <tp t="s">
        <v>#N/A N/A</v>
        <stp/>
        <stp>BDH|799827704927288104</stp>
        <tr r="AA81" s="2"/>
      </tp>
      <tp t="s">
        <v>#N/A N/A</v>
        <stp/>
        <stp>BDH|214396719273549880</stp>
        <tr r="V60" s="2"/>
      </tp>
      <tp t="s">
        <v>#N/A N/A</v>
        <stp/>
        <stp>BDH|965907919631978031</stp>
        <tr r="AB25" s="2"/>
      </tp>
      <tp t="s">
        <v>#N/A N/A</v>
        <stp/>
        <stp>BDH|527455478702389806</stp>
        <tr r="E87" s="2"/>
      </tp>
      <tp t="s">
        <v>#N/A N/A</v>
        <stp/>
        <stp>BDH|256201297486577457</stp>
        <tr r="J73" s="2"/>
      </tp>
      <tp t="s">
        <v>#N/A N/A</v>
        <stp/>
        <stp>BDH|576668780834600374</stp>
        <tr r="AF56" s="2"/>
      </tp>
      <tp t="s">
        <v>#N/A N/A</v>
        <stp/>
        <stp>BDH|929619389466485098</stp>
        <tr r="N50" s="2"/>
      </tp>
      <tp t="s">
        <v>#N/A N/A</v>
        <stp/>
        <stp>BDH|531700072099902113</stp>
        <tr r="F15" s="2"/>
      </tp>
      <tp t="s">
        <v>#N/A N/A</v>
        <stp/>
        <stp>BDH|918051668197925958</stp>
        <tr r="C71" s="2"/>
      </tp>
      <tp t="s">
        <v>#N/A N/A</v>
        <stp/>
        <stp>BDH|612237622651957969</stp>
        <tr r="K46" s="2"/>
      </tp>
      <tp t="s">
        <v>#N/A N/A</v>
        <stp/>
        <stp>BDH|116970850292849674</stp>
        <tr r="J35" s="2"/>
      </tp>
      <tp t="s">
        <v>#N/A N/A</v>
        <stp/>
        <stp>BDH|166804511578587957</stp>
        <tr r="I11" s="2"/>
      </tp>
      <tp t="s">
        <v>#N/A N/A</v>
        <stp/>
        <stp>BDH|548208295500385323</stp>
        <tr r="Q50" s="2"/>
      </tp>
      <tp t="s">
        <v>#N/A N/A</v>
        <stp/>
        <stp>BDH|135172620659640191</stp>
        <tr r="J86" s="2"/>
      </tp>
      <tp t="s">
        <v>#N/A N/A</v>
        <stp/>
        <stp>BDH|881380884913460393</stp>
        <tr r="X56" s="2"/>
      </tp>
      <tp t="s">
        <v>#N/A N/A</v>
        <stp/>
        <stp>BDH|990122689155190793</stp>
        <tr r="AB8" s="2"/>
      </tp>
      <tp t="s">
        <v>#N/A N/A</v>
        <stp/>
        <stp>BDH|422090980115043667</stp>
        <tr r="AB45" s="2"/>
      </tp>
      <tp t="s">
        <v>#N/A N/A</v>
        <stp/>
        <stp>BDH|884749901729936503</stp>
        <tr r="L60" s="2"/>
      </tp>
      <tp t="s">
        <v>#N/A N/A</v>
        <stp/>
        <stp>BDH|396408946162626968</stp>
        <tr r="AD48" s="2"/>
      </tp>
      <tp t="s">
        <v>#N/A N/A</v>
        <stp/>
        <stp>BDH|168923622900766034</stp>
        <tr r="L35" s="2"/>
      </tp>
      <tp t="s">
        <v>#N/A N/A</v>
        <stp/>
        <stp>BDH|380995611775134690</stp>
        <tr r="Z44" s="2"/>
      </tp>
      <tp t="s">
        <v>#N/A N/A</v>
        <stp/>
        <stp>BDH|364624815584669813</stp>
        <tr r="M51" s="2"/>
      </tp>
      <tp t="s">
        <v>#N/A N/A</v>
        <stp/>
        <stp>BDH|944076994290055351</stp>
        <tr r="Y29" s="2"/>
      </tp>
      <tp t="s">
        <v>#N/A N/A</v>
        <stp/>
        <stp>BDH|359524744339442255</stp>
        <tr r="AD8" s="2"/>
      </tp>
      <tp t="s">
        <v>#N/A N/A</v>
        <stp/>
        <stp>BDH|348855229834289490</stp>
        <tr r="L56" s="2"/>
      </tp>
      <tp t="s">
        <v>#N/A N/A</v>
        <stp/>
        <stp>BDH|265451964999549116</stp>
        <tr r="Y17" s="2"/>
      </tp>
      <tp t="s">
        <v>#N/A N/A</v>
        <stp/>
        <stp>BDH|369541995226188049</stp>
        <tr r="C29" s="2"/>
      </tp>
      <tp t="s">
        <v>#N/A N/A</v>
        <stp/>
        <stp>BDH|754909520692370347</stp>
        <tr r="D88" s="2"/>
      </tp>
      <tp t="s">
        <v>#N/A N/A</v>
        <stp/>
        <stp>BDH|712405645822507864</stp>
        <tr r="D13" s="2"/>
      </tp>
      <tp t="s">
        <v>#N/A N/A</v>
        <stp/>
        <stp>BDH|816044749936533830</stp>
        <tr r="K63" s="2"/>
      </tp>
      <tp t="s">
        <v>#N/A N/A</v>
        <stp/>
        <stp>BDH|667406580642128442</stp>
        <tr r="AA3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2"/>
  <sheetViews>
    <sheetView tabSelected="1" workbookViewId="0"/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3" t="s">
        <v>3</v>
      </c>
      <c r="B4" s="3"/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</row>
    <row r="5" spans="1:32" x14ac:dyDescent="0.25">
      <c r="A5" s="9" t="s">
        <v>34</v>
      </c>
      <c r="B5" s="9"/>
      <c r="C5" s="5" t="s">
        <v>35</v>
      </c>
      <c r="D5" s="5" t="s">
        <v>36</v>
      </c>
      <c r="E5" s="5" t="s">
        <v>37</v>
      </c>
      <c r="F5" s="5" t="s">
        <v>38</v>
      </c>
      <c r="G5" s="5" t="s">
        <v>39</v>
      </c>
      <c r="H5" s="5" t="s">
        <v>40</v>
      </c>
      <c r="I5" s="5" t="s">
        <v>41</v>
      </c>
      <c r="J5" s="5" t="s">
        <v>42</v>
      </c>
      <c r="K5" s="5" t="s">
        <v>43</v>
      </c>
      <c r="L5" s="5" t="s">
        <v>44</v>
      </c>
      <c r="M5" s="5" t="s">
        <v>45</v>
      </c>
      <c r="N5" s="5" t="s">
        <v>46</v>
      </c>
      <c r="O5" s="5" t="s">
        <v>47</v>
      </c>
      <c r="P5" s="5" t="s">
        <v>48</v>
      </c>
      <c r="Q5" s="5" t="s">
        <v>49</v>
      </c>
      <c r="R5" s="5" t="s">
        <v>50</v>
      </c>
      <c r="S5" s="5" t="s">
        <v>51</v>
      </c>
      <c r="T5" s="5" t="s">
        <v>52</v>
      </c>
      <c r="U5" s="5" t="s">
        <v>53</v>
      </c>
      <c r="V5" s="5" t="s">
        <v>54</v>
      </c>
      <c r="W5" s="5" t="s">
        <v>55</v>
      </c>
      <c r="X5" s="5" t="s">
        <v>56</v>
      </c>
      <c r="Y5" s="5" t="s">
        <v>57</v>
      </c>
      <c r="Z5" s="5" t="s">
        <v>58</v>
      </c>
      <c r="AA5" s="5" t="s">
        <v>59</v>
      </c>
      <c r="AB5" s="5" t="s">
        <v>60</v>
      </c>
      <c r="AC5" s="5" t="s">
        <v>61</v>
      </c>
      <c r="AD5" s="5" t="s">
        <v>62</v>
      </c>
      <c r="AE5" s="5" t="s">
        <v>63</v>
      </c>
      <c r="AF5" s="5" t="s">
        <v>64</v>
      </c>
    </row>
    <row r="6" spans="1:32" x14ac:dyDescent="0.25">
      <c r="A6" s="6" t="s">
        <v>65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</row>
    <row r="7" spans="1:32" x14ac:dyDescent="0.25">
      <c r="A7" s="10" t="s">
        <v>66</v>
      </c>
      <c r="B7" s="10" t="s">
        <v>67</v>
      </c>
      <c r="C7" s="13" cm="1">
        <f t="array" ref="C7">_xll.BDH("NUE US Equity","CASH_CASH_EQTY_STI_DETAILED","FQ3 2018","FQ3 2018","Currency=USD","Period=FQ","BEST_FPERIOD_OVERRIDE=FQ","FILING_STATUS=MR","SCALING_FORMAT=MLN","Sort=A","Dates=H","DateFormat=P","Fill=—","Direction=H","UseDPDF=Y")</f>
        <v>1932.155</v>
      </c>
      <c r="D7" s="13" cm="1">
        <f t="array" ref="D7">_xll.BDH("NUE US Equity","CASH_CASH_EQTY_STI_DETAILED","FQ4 2018","FQ4 2018","Currency=USD","Period=FQ","BEST_FPERIOD_OVERRIDE=FQ","FILING_STATUS=MR","SCALING_FORMAT=MLN","Sort=A","Dates=H","DateFormat=P","Fill=—","Direction=H","UseDPDF=Y")</f>
        <v>1398.886</v>
      </c>
      <c r="E7" s="13" cm="1">
        <f t="array" ref="E7">_xll.BDH("NUE US Equity","CASH_CASH_EQTY_STI_DETAILED","FQ1 2019","FQ1 2019","Currency=USD","Period=FQ","BEST_FPERIOD_OVERRIDE=FQ","FILING_STATUS=MR","SCALING_FORMAT=MLN","Sort=A","Dates=H","DateFormat=P","Fill=—","Direction=H","UseDPDF=Y")</f>
        <v>1600.807</v>
      </c>
      <c r="F7" s="13" cm="1">
        <f t="array" ref="F7">_xll.BDH("NUE US Equity","CASH_CASH_EQTY_STI_DETAILED","FQ2 2019","FQ2 2019","Currency=USD","Period=FQ","BEST_FPERIOD_OVERRIDE=FQ","FILING_STATUS=MR","SCALING_FORMAT=MLN","Sort=A","Dates=H","DateFormat=P","Fill=—","Direction=H","UseDPDF=Y")</f>
        <v>1481.7919999999999</v>
      </c>
      <c r="G7" s="13" cm="1">
        <f t="array" ref="G7">_xll.BDH("NUE US Equity","CASH_CASH_EQTY_STI_DETAILED","FQ3 2019","FQ3 2019","Currency=USD","Period=FQ","BEST_FPERIOD_OVERRIDE=FQ","FILING_STATUS=MR","SCALING_FORMAT=MLN","Sort=A","Dates=H","DateFormat=P","Fill=—","Direction=H","UseDPDF=Y")</f>
        <v>1935.981</v>
      </c>
      <c r="H7" s="13" cm="1">
        <f t="array" ref="H7">_xll.BDH("NUE US Equity","CASH_CASH_EQTY_STI_DETAILED","FQ4 2019","FQ4 2019","Currency=USD","Period=FQ","BEST_FPERIOD_OVERRIDE=FQ","FILING_STATUS=MR","SCALING_FORMAT=MLN","Sort=A","Dates=H","DateFormat=P","Fill=—","Direction=H","UseDPDF=Y")</f>
        <v>1834.645</v>
      </c>
      <c r="I7" s="13" cm="1">
        <f t="array" ref="I7">_xll.BDH("NUE US Equity","CASH_CASH_EQTY_STI_DETAILED","FQ1 2020","FQ1 2020","Currency=USD","Period=FQ","BEST_FPERIOD_OVERRIDE=FQ","FILING_STATUS=MR","SCALING_FORMAT=MLN","Sort=A","Dates=H","DateFormat=P","Fill=—","Direction=H","UseDPDF=Y")</f>
        <v>1391.1569999999999</v>
      </c>
      <c r="J7" s="13" cm="1">
        <f t="array" ref="J7">_xll.BDH("NUE US Equity","CASH_CASH_EQTY_STI_DETAILED","FQ2 2020","FQ2 2020","Currency=USD","Period=FQ","BEST_FPERIOD_OVERRIDE=FQ","FILING_STATUS=MR","SCALING_FORMAT=MLN","Sort=A","Dates=H","DateFormat=P","Fill=—","Direction=H","UseDPDF=Y")</f>
        <v>3036.6619999999998</v>
      </c>
      <c r="K7" s="13" cm="1">
        <f t="array" ref="K7">_xll.BDH("NUE US Equity","CASH_CASH_EQTY_STI_DETAILED","FQ3 2020","FQ3 2020","Currency=USD","Period=FQ","BEST_FPERIOD_OVERRIDE=FQ","FILING_STATUS=MR","SCALING_FORMAT=MLN","Sort=A","Dates=H","DateFormat=P","Fill=—","Direction=H","UseDPDF=Y")</f>
        <v>3278.9789999999998</v>
      </c>
      <c r="L7" s="13" cm="1">
        <f t="array" ref="L7">_xll.BDH("NUE US Equity","CASH_CASH_EQTY_STI_DETAILED","FQ4 2020","FQ4 2020","Currency=USD","Period=FQ","BEST_FPERIOD_OVERRIDE=FQ","FILING_STATUS=MR","SCALING_FORMAT=MLN","Sort=A","Dates=H","DateFormat=P","Fill=—","Direction=H","UseDPDF=Y")</f>
        <v>3047.6750000000002</v>
      </c>
      <c r="M7" s="13" cm="1">
        <f t="array" ref="M7">_xll.BDH("NUE US Equity","CASH_CASH_EQTY_STI_DETAILED","FQ1 2021","FQ1 2021","Currency=USD","Period=FQ","BEST_FPERIOD_OVERRIDE=FQ","FILING_STATUS=MR","SCALING_FORMAT=MLN","Sort=A","Dates=H","DateFormat=P","Fill=—","Direction=H","UseDPDF=Y")</f>
        <v>2863.3180000000002</v>
      </c>
      <c r="N7" s="13" cm="1">
        <f t="array" ref="N7">_xll.BDH("NUE US Equity","CASH_CASH_EQTY_STI_DETAILED","FQ2 2021","FQ2 2021","Currency=USD","Period=FQ","BEST_FPERIOD_OVERRIDE=FQ","FILING_STATUS=MR","SCALING_FORMAT=MLN","Sort=A","Dates=H","DateFormat=P","Fill=—","Direction=H","UseDPDF=Y")</f>
        <v>3121.0650000000001</v>
      </c>
      <c r="O7" s="13" cm="1">
        <f t="array" ref="O7">_xll.BDH("NUE US Equity","CASH_CASH_EQTY_STI_DETAILED","FQ3 2021","FQ3 2021","Currency=USD","Period=FQ","BEST_FPERIOD_OVERRIDE=FQ","FILING_STATUS=MR","SCALING_FORMAT=MLN","Sort=A","Dates=H","DateFormat=P","Fill=—","Direction=H","UseDPDF=Y")</f>
        <v>2011.54</v>
      </c>
      <c r="P7" s="13" cm="1">
        <f t="array" ref="P7">_xll.BDH("NUE US Equity","CASH_CASH_EQTY_STI_DETAILED","FQ4 2021","FQ4 2021","Currency=USD","Period=FQ","BEST_FPERIOD_OVERRIDE=FQ","FILING_STATUS=MR","SCALING_FORMAT=MLN","Sort=A","Dates=H","DateFormat=P","Fill=—","Direction=H","UseDPDF=Y")</f>
        <v>2617.8629999999998</v>
      </c>
      <c r="Q7" s="13" cm="1">
        <f t="array" ref="Q7">_xll.BDH("NUE US Equity","CASH_CASH_EQTY_STI_DETAILED","FQ1 2022","FQ1 2022","Currency=USD","Period=FQ","BEST_FPERIOD_OVERRIDE=FQ","FILING_STATUS=MR","SCALING_FORMAT=MLN","Sort=A","Dates=H","DateFormat=P","Fill=—","Direction=H","UseDPDF=Y")</f>
        <v>4172.134</v>
      </c>
      <c r="R7" s="13" cm="1">
        <f t="array" ref="R7">_xll.BDH("NUE US Equity","CASH_CASH_EQTY_STI_DETAILED","FQ2 2022","FQ2 2022","Currency=USD","Period=FQ","BEST_FPERIOD_OVERRIDE=FQ","FILING_STATUS=MR","SCALING_FORMAT=MLN","Sort=A","Dates=H","DateFormat=P","Fill=—","Direction=H","UseDPDF=Y")</f>
        <v>2365.9949999999999</v>
      </c>
      <c r="S7" s="13" cm="1">
        <f t="array" ref="S7">_xll.BDH("NUE US Equity","CASH_CASH_EQTY_STI_DETAILED","FQ3 2022","FQ3 2022","Currency=USD","Period=FQ","BEST_FPERIOD_OVERRIDE=FQ","FILING_STATUS=MR","SCALING_FORMAT=MLN","Sort=A","Dates=H","DateFormat=P","Fill=—","Direction=H","UseDPDF=Y")</f>
        <v>3427.29</v>
      </c>
      <c r="T7" s="13" cm="1">
        <f t="array" ref="T7">_xll.BDH("NUE US Equity","CASH_CASH_EQTY_STI_DETAILED","FQ4 2022","FQ4 2022","Currency=USD","Period=FQ","BEST_FPERIOD_OVERRIDE=FQ","FILING_STATUS=MR","SCALING_FORMAT=MLN","Sort=A","Dates=H","DateFormat=P","Fill=—","Direction=H","UseDPDF=Y")</f>
        <v>4857.7979999999998</v>
      </c>
      <c r="U7" s="13" cm="1">
        <f t="array" ref="U7">_xll.BDH("NUE US Equity","CASH_CASH_EQTY_STI_DETAILED","FQ1 2023","FQ1 2023","Currency=USD","Period=FQ","BEST_FPERIOD_OVERRIDE=FQ","FILING_STATUS=MR","SCALING_FORMAT=MLN","Sort=A","Dates=H","DateFormat=P","Fill=—","Direction=H","UseDPDF=Y")</f>
        <v>4617.8450000000003</v>
      </c>
      <c r="V7" s="13" cm="1">
        <f t="array" ref="V7">_xll.BDH("NUE US Equity","CASH_CASH_EQTY_STI_DETAILED","FQ2 2023","FQ2 2023","Currency=USD","Period=FQ","BEST_FPERIOD_OVERRIDE=FQ","FILING_STATUS=MR","SCALING_FORMAT=MLN","Sort=A","Dates=H","DateFormat=P","Fill=—","Direction=H","UseDPDF=Y")</f>
        <v>5381.0379999999996</v>
      </c>
      <c r="W7" s="13" cm="1">
        <f t="array" ref="W7">_xll.BDH("NUE US Equity","CASH_CASH_EQTY_STI_DETAILED","FQ3 2023","FQ3 2023","Currency=USD","Period=FQ","BEST_FPERIOD_OVERRIDE=FQ","FILING_STATUS=MR","SCALING_FORMAT=MLN","Sort=A","Dates=H","DateFormat=P","Fill=—","Direction=H","UseDPDF=Y")</f>
        <v>6719.09</v>
      </c>
      <c r="X7" s="13" cm="1">
        <f t="array" ref="X7">_xll.BDH("NUE US Equity","CASH_CASH_EQTY_STI_DETAILED","FQ4 2023","FQ4 2023","Currency=USD","Period=FQ","BEST_FPERIOD_OVERRIDE=FQ","FILING_STATUS=MR","SCALING_FORMAT=MLN","Sort=A","Dates=H","DateFormat=P","Fill=—","Direction=H","UseDPDF=Y")</f>
        <v>7130.777</v>
      </c>
      <c r="Y7" s="13" cm="1">
        <f t="array" ref="Y7">_xll.BDH("NUE US Equity","CASH_CASH_EQTY_STI_DETAILED","FQ1 2024","FQ1 2024","Currency=USD","Period=FQ","BEST_FPERIOD_OVERRIDE=FQ","FILING_STATUS=MR","SCALING_FORMAT=MLN","Sort=A","Dates=H","DateFormat=P","Fill=—","Direction=H","UseDPDF=Y")</f>
        <v>5538.9380000000001</v>
      </c>
      <c r="Z7" s="13" cm="1">
        <f t="array" ref="Z7">_xll.BDH("NUE US Equity","CASH_CASH_EQTY_STI_DETAILED","FQ2 2024","FQ2 2024","Currency=USD","Period=FQ","BEST_FPERIOD_OVERRIDE=FQ","FILING_STATUS=MR","SCALING_FORMAT=MLN","Sort=A","Dates=H","DateFormat=P","Fill=—","Direction=H","UseDPDF=Y")</f>
        <v>5434.1580000000004</v>
      </c>
      <c r="AA7" s="13" cm="1">
        <f t="array" ref="AA7">_xll.BDH("NUE US Equity","CASH_CASH_EQTY_STI_DETAILED","FQ3 2024","FQ3 2024","Currency=USD","Period=FQ","BEST_FPERIOD_OVERRIDE=FQ","FILING_STATUS=MR","SCALING_FORMAT=MLN","Sort=A","Dates=H","DateFormat=P","Fill=—","Direction=H","UseDPDF=Y")</f>
        <v>4858.4489999999996</v>
      </c>
      <c r="AB7" s="13" cm="1">
        <f t="array" ref="AB7">_xll.BDH("NUE US Equity","CASH_CASH_EQTY_STI_DETAILED","FQ4 2024","FQ4 2024","Currency=USD","Period=FQ","BEST_FPERIOD_OVERRIDE=FQ","FILING_STATUS=MR","SCALING_FORMAT=MLN","Sort=A","Dates=H","DateFormat=P","Fill=—","Direction=H","UseDPDF=Y")</f>
        <v>4139</v>
      </c>
      <c r="AC7" s="13" cm="1">
        <f t="array" ref="AC7">_xll.BDH("NUE US Equity","CASH_CASH_EQTY_STI_DETAILED","FQ1 2025","FQ1 2025","Currency=USD","Period=FQ","BEST_FPERIOD_OVERRIDE=FQ","FILING_STATUS=MR","SCALING_FORMAT=MLN","Sort=A","Dates=H","DateFormat=P","Fill=—","Direction=H","UseDPDF=Y")</f>
        <v>4061</v>
      </c>
      <c r="AD7" s="13" cm="1">
        <f t="array" ref="AD7">_xll.BDH("NUE US Equity","CASH_CASH_EQTY_STI_DETAILED","FQ2 2025","FQ2 2025","Currency=USD","Period=FQ","BEST_FPERIOD_OVERRIDE=FQ","FILING_STATUS=MR","SCALING_FORMAT=MLN","Sort=A","Dates=H","DateFormat=P","Fill=—","Direction=H","UseDPDF=Y")</f>
        <v>2483</v>
      </c>
      <c r="AE7" s="13" cm="1">
        <f t="array" ref="AE7">_xll.BDH("NUE US Equity","CASH_CASH_EQTY_STI_DETAILED","FQ3 2025","FQ3 2025","Currency=USD","Period=FQ","BEST_FPERIOD_OVERRIDE=FQ","FILING_STATUS=MR","SCALING_FORMAT=MLN","Sort=A","Dates=H","DateFormat=P","Fill=—","Direction=H","UseDPDF=Y")</f>
        <v>2745</v>
      </c>
      <c r="AF7" s="13" cm="1">
        <f t="array" ref="AF7">_xll.BDH("NUE US Equity","CASH_CASH_EQTY_STI_DETAILED","FQ4 2025","FQ4 2025","Currency=USD","Period=FQ","BEST_FPERIOD_OVERRIDE=FQ","FILING_STATUS=MR","SCALING_FORMAT=MLN","Sort=A","Dates=H","DateFormat=P","Fill=—","Direction=H","UseDPDF=Y")</f>
        <v>2699</v>
      </c>
    </row>
    <row r="8" spans="1:32" x14ac:dyDescent="0.25">
      <c r="A8" s="10" t="s">
        <v>68</v>
      </c>
      <c r="B8" s="10" t="s">
        <v>69</v>
      </c>
      <c r="C8" s="13" cm="1">
        <f t="array" ref="C8">_xll.BDH("NUE US Equity","BS_CASH_NEAR_CASH_ITEM","FQ3 2018","FQ3 2018","Currency=USD","Period=FQ","BEST_FPERIOD_OVERRIDE=FQ","FILING_STATUS=MR","SCALING_FORMAT=MLN","Sort=A","Dates=H","DateFormat=P","Fill=—","Direction=H","UseDPDF=Y")</f>
        <v>1932.155</v>
      </c>
      <c r="D8" s="13" cm="1">
        <f t="array" ref="D8">_xll.BDH("NUE US Equity","BS_CASH_NEAR_CASH_ITEM","FQ4 2018","FQ4 2018","Currency=USD","Period=FQ","BEST_FPERIOD_OVERRIDE=FQ","FILING_STATUS=MR","SCALING_FORMAT=MLN","Sort=A","Dates=H","DateFormat=P","Fill=—","Direction=H","UseDPDF=Y")</f>
        <v>1398.886</v>
      </c>
      <c r="E8" s="13" cm="1">
        <f t="array" ref="E8">_xll.BDH("NUE US Equity","BS_CASH_NEAR_CASH_ITEM","FQ1 2019","FQ1 2019","Currency=USD","Period=FQ","BEST_FPERIOD_OVERRIDE=FQ","FILING_STATUS=MR","SCALING_FORMAT=MLN","Sort=A","Dates=H","DateFormat=P","Fill=—","Direction=H","UseDPDF=Y")</f>
        <v>1550.807</v>
      </c>
      <c r="F8" s="13" cm="1">
        <f t="array" ref="F8">_xll.BDH("NUE US Equity","BS_CASH_NEAR_CASH_ITEM","FQ2 2019","FQ2 2019","Currency=USD","Period=FQ","BEST_FPERIOD_OVERRIDE=FQ","FILING_STATUS=MR","SCALING_FORMAT=MLN","Sort=A","Dates=H","DateFormat=P","Fill=—","Direction=H","UseDPDF=Y")</f>
        <v>1431.7919999999999</v>
      </c>
      <c r="G8" s="13" cm="1">
        <f t="array" ref="G8">_xll.BDH("NUE US Equity","BS_CASH_NEAR_CASH_ITEM","FQ3 2019","FQ3 2019","Currency=USD","Period=FQ","BEST_FPERIOD_OVERRIDE=FQ","FILING_STATUS=MR","SCALING_FORMAT=MLN","Sort=A","Dates=H","DateFormat=P","Fill=—","Direction=H","UseDPDF=Y")</f>
        <v>1686.365</v>
      </c>
      <c r="H8" s="13" cm="1">
        <f t="array" ref="H8">_xll.BDH("NUE US Equity","BS_CASH_NEAR_CASH_ITEM","FQ4 2019","FQ4 2019","Currency=USD","Period=FQ","BEST_FPERIOD_OVERRIDE=FQ","FILING_STATUS=MR","SCALING_FORMAT=MLN","Sort=A","Dates=H","DateFormat=P","Fill=—","Direction=H","UseDPDF=Y")</f>
        <v>1534.605</v>
      </c>
      <c r="I8" s="13" cm="1">
        <f t="array" ref="I8">_xll.BDH("NUE US Equity","BS_CASH_NEAR_CASH_ITEM","FQ1 2020","FQ1 2020","Currency=USD","Period=FQ","BEST_FPERIOD_OVERRIDE=FQ","FILING_STATUS=MR","SCALING_FORMAT=MLN","Sort=A","Dates=H","DateFormat=P","Fill=—","Direction=H","UseDPDF=Y")</f>
        <v>1245.1569999999999</v>
      </c>
      <c r="J8" s="13" cm="1">
        <f t="array" ref="J8">_xll.BDH("NUE US Equity","BS_CASH_NEAR_CASH_ITEM","FQ2 2020","FQ2 2020","Currency=USD","Period=FQ","BEST_FPERIOD_OVERRIDE=FQ","FILING_STATUS=MR","SCALING_FORMAT=MLN","Sort=A","Dates=H","DateFormat=P","Fill=—","Direction=H","UseDPDF=Y")</f>
        <v>2789.1889999999999</v>
      </c>
      <c r="K8" s="13" cm="1">
        <f t="array" ref="K8">_xll.BDH("NUE US Equity","BS_CASH_NEAR_CASH_ITEM","FQ3 2020","FQ3 2020","Currency=USD","Period=FQ","BEST_FPERIOD_OVERRIDE=FQ","FILING_STATUS=MR","SCALING_FORMAT=MLN","Sort=A","Dates=H","DateFormat=P","Fill=—","Direction=H","UseDPDF=Y")</f>
        <v>2866.578</v>
      </c>
      <c r="L8" s="13" cm="1">
        <f t="array" ref="L8">_xll.BDH("NUE US Equity","BS_CASH_NEAR_CASH_ITEM","FQ4 2020","FQ4 2020","Currency=USD","Period=FQ","BEST_FPERIOD_OVERRIDE=FQ","FILING_STATUS=MR","SCALING_FORMAT=MLN","Sort=A","Dates=H","DateFormat=P","Fill=—","Direction=H","UseDPDF=Y")</f>
        <v>2639.6709999999998</v>
      </c>
      <c r="M8" s="13" cm="1">
        <f t="array" ref="M8">_xll.BDH("NUE US Equity","BS_CASH_NEAR_CASH_ITEM","FQ1 2021","FQ1 2021","Currency=USD","Period=FQ","BEST_FPERIOD_OVERRIDE=FQ","FILING_STATUS=MR","SCALING_FORMAT=MLN","Sort=A","Dates=H","DateFormat=P","Fill=—","Direction=H","UseDPDF=Y")</f>
        <v>2460.723</v>
      </c>
      <c r="N8" s="13" cm="1">
        <f t="array" ref="N8">_xll.BDH("NUE US Equity","BS_CASH_NEAR_CASH_ITEM","FQ2 2021","FQ2 2021","Currency=USD","Period=FQ","BEST_FPERIOD_OVERRIDE=FQ","FILING_STATUS=MR","SCALING_FORMAT=MLN","Sort=A","Dates=H","DateFormat=P","Fill=—","Direction=H","UseDPDF=Y")</f>
        <v>2722.6559999999999</v>
      </c>
      <c r="O8" s="13" cm="1">
        <f t="array" ref="O8">_xll.BDH("NUE US Equity","BS_CASH_NEAR_CASH_ITEM","FQ3 2021","FQ3 2021","Currency=USD","Period=FQ","BEST_FPERIOD_OVERRIDE=FQ","FILING_STATUS=MR","SCALING_FORMAT=MLN","Sort=A","Dates=H","DateFormat=P","Fill=—","Direction=H","UseDPDF=Y")</f>
        <v>1764.2929999999999</v>
      </c>
      <c r="P8" s="13" cm="1">
        <f t="array" ref="P8">_xll.BDH("NUE US Equity","BS_CASH_NEAR_CASH_ITEM","FQ4 2021","FQ4 2021","Currency=USD","Period=FQ","BEST_FPERIOD_OVERRIDE=FQ","FILING_STATUS=MR","SCALING_FORMAT=MLN","Sort=A","Dates=H","DateFormat=P","Fill=—","Direction=H","UseDPDF=Y")</f>
        <v>2364.8580000000002</v>
      </c>
      <c r="Q8" s="13" cm="1">
        <f t="array" ref="Q8">_xll.BDH("NUE US Equity","BS_CASH_NEAR_CASH_ITEM","FQ1 2022","FQ1 2022","Currency=USD","Period=FQ","BEST_FPERIOD_OVERRIDE=FQ","FILING_STATUS=MR","SCALING_FORMAT=MLN","Sort=A","Dates=H","DateFormat=P","Fill=—","Direction=H","UseDPDF=Y")</f>
        <v>3725.2660000000001</v>
      </c>
      <c r="R8" s="13" cm="1">
        <f t="array" ref="R8">_xll.BDH("NUE US Equity","BS_CASH_NEAR_CASH_ITEM","FQ2 2022","FQ2 2022","Currency=USD","Period=FQ","BEST_FPERIOD_OVERRIDE=FQ","FILING_STATUS=MR","SCALING_FORMAT=MLN","Sort=A","Dates=H","DateFormat=P","Fill=—","Direction=H","UseDPDF=Y")</f>
        <v>2002.7080000000001</v>
      </c>
      <c r="S8" s="13" cm="1">
        <f t="array" ref="S8">_xll.BDH("NUE US Equity","BS_CASH_NEAR_CASH_ITEM","FQ3 2022","FQ3 2022","Currency=USD","Period=FQ","BEST_FPERIOD_OVERRIDE=FQ","FILING_STATUS=MR","SCALING_FORMAT=MLN","Sort=A","Dates=H","DateFormat=P","Fill=—","Direction=H","UseDPDF=Y")</f>
        <v>3049.864</v>
      </c>
      <c r="T8" s="13" cm="1">
        <f t="array" ref="T8">_xll.BDH("NUE US Equity","BS_CASH_NEAR_CASH_ITEM","FQ4 2022","FQ4 2022","Currency=USD","Period=FQ","BEST_FPERIOD_OVERRIDE=FQ","FILING_STATUS=MR","SCALING_FORMAT=MLN","Sort=A","Dates=H","DateFormat=P","Fill=—","Direction=H","UseDPDF=Y")</f>
        <v>4280.8519999999999</v>
      </c>
      <c r="U8" s="13" cm="1">
        <f t="array" ref="U8">_xll.BDH("NUE US Equity","BS_CASH_NEAR_CASH_ITEM","FQ1 2023","FQ1 2023","Currency=USD","Period=FQ","BEST_FPERIOD_OVERRIDE=FQ","FILING_STATUS=MR","SCALING_FORMAT=MLN","Sort=A","Dates=H","DateFormat=P","Fill=—","Direction=H","UseDPDF=Y")</f>
        <v>3800.0340000000001</v>
      </c>
      <c r="V8" s="13" cm="1">
        <f t="array" ref="V8">_xll.BDH("NUE US Equity","BS_CASH_NEAR_CASH_ITEM","FQ2 2023","FQ2 2023","Currency=USD","Period=FQ","BEST_FPERIOD_OVERRIDE=FQ","FILING_STATUS=MR","SCALING_FORMAT=MLN","Sort=A","Dates=H","DateFormat=P","Fill=—","Direction=H","UseDPDF=Y")</f>
        <v>4510.5630000000001</v>
      </c>
      <c r="W8" s="13" cm="1">
        <f t="array" ref="W8">_xll.BDH("NUE US Equity","BS_CASH_NEAR_CASH_ITEM","FQ3 2023","FQ3 2023","Currency=USD","Period=FQ","BEST_FPERIOD_OVERRIDE=FQ","FILING_STATUS=MR","SCALING_FORMAT=MLN","Sort=A","Dates=H","DateFormat=P","Fill=—","Direction=H","UseDPDF=Y")</f>
        <v>5855.95</v>
      </c>
      <c r="X8" s="13" cm="1">
        <f t="array" ref="X8">_xll.BDH("NUE US Equity","BS_CASH_NEAR_CASH_ITEM","FQ4 2023","FQ4 2023","Currency=USD","Period=FQ","BEST_FPERIOD_OVERRIDE=FQ","FILING_STATUS=MR","SCALING_FORMAT=MLN","Sort=A","Dates=H","DateFormat=P","Fill=—","Direction=H","UseDPDF=Y")</f>
        <v>6383.2979999999998</v>
      </c>
      <c r="Y8" s="13" cm="1">
        <f t="array" ref="Y8">_xll.BDH("NUE US Equity","BS_CASH_NEAR_CASH_ITEM","FQ1 2024","FQ1 2024","Currency=USD","Period=FQ","BEST_FPERIOD_OVERRIDE=FQ","FILING_STATUS=MR","SCALING_FORMAT=MLN","Sort=A","Dates=H","DateFormat=P","Fill=—","Direction=H","UseDPDF=Y")</f>
        <v>4557.759</v>
      </c>
      <c r="Z8" s="13" cm="1">
        <f t="array" ref="Z8">_xll.BDH("NUE US Equity","BS_CASH_NEAR_CASH_ITEM","FQ2 2024","FQ2 2024","Currency=USD","Period=FQ","BEST_FPERIOD_OVERRIDE=FQ","FILING_STATUS=MR","SCALING_FORMAT=MLN","Sort=A","Dates=H","DateFormat=P","Fill=—","Direction=H","UseDPDF=Y")</f>
        <v>4638.9780000000001</v>
      </c>
      <c r="AA8" s="13" cm="1">
        <f t="array" ref="AA8">_xll.BDH("NUE US Equity","BS_CASH_NEAR_CASH_ITEM","FQ3 2024","FQ3 2024","Currency=USD","Period=FQ","BEST_FPERIOD_OVERRIDE=FQ","FILING_STATUS=MR","SCALING_FORMAT=MLN","Sort=A","Dates=H","DateFormat=P","Fill=—","Direction=H","UseDPDF=Y")</f>
        <v>4262.799</v>
      </c>
      <c r="AB8" s="13" cm="1">
        <f t="array" ref="AB8">_xll.BDH("NUE US Equity","BS_CASH_NEAR_CASH_ITEM","FQ4 2024","FQ4 2024","Currency=USD","Period=FQ","BEST_FPERIOD_OVERRIDE=FQ","FILING_STATUS=MR","SCALING_FORMAT=MLN","Sort=A","Dates=H","DateFormat=P","Fill=—","Direction=H","UseDPDF=Y")</f>
        <v>3558</v>
      </c>
      <c r="AC8" s="13" cm="1">
        <f t="array" ref="AC8">_xll.BDH("NUE US Equity","BS_CASH_NEAR_CASH_ITEM","FQ1 2025","FQ1 2025","Currency=USD","Period=FQ","BEST_FPERIOD_OVERRIDE=FQ","FILING_STATUS=MR","SCALING_FORMAT=MLN","Sort=A","Dates=H","DateFormat=P","Fill=—","Direction=H","UseDPDF=Y")</f>
        <v>3156</v>
      </c>
      <c r="AD8" s="13" cm="1">
        <f t="array" ref="AD8">_xll.BDH("NUE US Equity","BS_CASH_NEAR_CASH_ITEM","FQ2 2025","FQ2 2025","Currency=USD","Period=FQ","BEST_FPERIOD_OVERRIDE=FQ","FILING_STATUS=MR","SCALING_FORMAT=MLN","Sort=A","Dates=H","DateFormat=P","Fill=—","Direction=H","UseDPDF=Y")</f>
        <v>1946</v>
      </c>
      <c r="AE8" s="13" cm="1">
        <f t="array" ref="AE8">_xll.BDH("NUE US Equity","BS_CASH_NEAR_CASH_ITEM","FQ3 2025","FQ3 2025","Currency=USD","Period=FQ","BEST_FPERIOD_OVERRIDE=FQ","FILING_STATUS=MR","SCALING_FORMAT=MLN","Sort=A","Dates=H","DateFormat=P","Fill=—","Direction=H","UseDPDF=Y")</f>
        <v>2221</v>
      </c>
      <c r="AF8" s="13" cm="1">
        <f t="array" ref="AF8">_xll.BDH("NUE US Equity","BS_CASH_NEAR_CASH_ITEM","FQ4 2025","FQ4 2025","Currency=USD","Period=FQ","BEST_FPERIOD_OVERRIDE=FQ","FILING_STATUS=MR","SCALING_FORMAT=MLN","Sort=A","Dates=H","DateFormat=P","Fill=—","Direction=H","UseDPDF=Y")</f>
        <v>2260</v>
      </c>
    </row>
    <row r="9" spans="1:32" x14ac:dyDescent="0.25">
      <c r="A9" s="10" t="s">
        <v>70</v>
      </c>
      <c r="B9" s="10" t="s">
        <v>71</v>
      </c>
      <c r="C9" s="13" cm="1">
        <f t="array" ref="C9">_xll.BDH("NUE US Equity","BS_MKT_SEC_OTHER_ST_INVEST","FQ3 2018","FQ3 2018","Currency=USD","Period=FQ","BEST_FPERIOD_OVERRIDE=FQ","FILING_STATUS=MR","SCALING_FORMAT=MLN","Sort=A","Dates=H","DateFormat=P","Fill=—","Direction=H","UseDPDF=Y")</f>
        <v>0</v>
      </c>
      <c r="D9" s="13" cm="1">
        <f t="array" ref="D9">_xll.BDH("NUE US Equity","BS_MKT_SEC_OTHER_ST_INVEST","FQ4 2018","FQ4 2018","Currency=USD","Period=FQ","BEST_FPERIOD_OVERRIDE=FQ","FILING_STATUS=MR","SCALING_FORMAT=MLN","Sort=A","Dates=H","DateFormat=P","Fill=—","Direction=H","UseDPDF=Y")</f>
        <v>0</v>
      </c>
      <c r="E9" s="13" cm="1">
        <f t="array" ref="E9">_xll.BDH("NUE US Equity","BS_MKT_SEC_OTHER_ST_INVEST","FQ1 2019","FQ1 2019","Currency=USD","Period=FQ","BEST_FPERIOD_OVERRIDE=FQ","FILING_STATUS=MR","SCALING_FORMAT=MLN","Sort=A","Dates=H","DateFormat=P","Fill=—","Direction=H","UseDPDF=Y")</f>
        <v>50</v>
      </c>
      <c r="F9" s="13" cm="1">
        <f t="array" ref="F9">_xll.BDH("NUE US Equity","BS_MKT_SEC_OTHER_ST_INVEST","FQ2 2019","FQ2 2019","Currency=USD","Period=FQ","BEST_FPERIOD_OVERRIDE=FQ","FILING_STATUS=MR","SCALING_FORMAT=MLN","Sort=A","Dates=H","DateFormat=P","Fill=—","Direction=H","UseDPDF=Y")</f>
        <v>50</v>
      </c>
      <c r="G9" s="13" cm="1">
        <f t="array" ref="G9">_xll.BDH("NUE US Equity","BS_MKT_SEC_OTHER_ST_INVEST","FQ3 2019","FQ3 2019","Currency=USD","Period=FQ","BEST_FPERIOD_OVERRIDE=FQ","FILING_STATUS=MR","SCALING_FORMAT=MLN","Sort=A","Dates=H","DateFormat=P","Fill=—","Direction=H","UseDPDF=Y")</f>
        <v>249.61600000000001</v>
      </c>
      <c r="H9" s="13" cm="1">
        <f t="array" ref="H9">_xll.BDH("NUE US Equity","BS_MKT_SEC_OTHER_ST_INVEST","FQ4 2019","FQ4 2019","Currency=USD","Period=FQ","BEST_FPERIOD_OVERRIDE=FQ","FILING_STATUS=MR","SCALING_FORMAT=MLN","Sort=A","Dates=H","DateFormat=P","Fill=—","Direction=H","UseDPDF=Y")</f>
        <v>300.04000000000002</v>
      </c>
      <c r="I9" s="13" cm="1">
        <f t="array" ref="I9">_xll.BDH("NUE US Equity","BS_MKT_SEC_OTHER_ST_INVEST","FQ1 2020","FQ1 2020","Currency=USD","Period=FQ","BEST_FPERIOD_OVERRIDE=FQ","FILING_STATUS=MR","SCALING_FORMAT=MLN","Sort=A","Dates=H","DateFormat=P","Fill=—","Direction=H","UseDPDF=Y")</f>
        <v>146</v>
      </c>
      <c r="J9" s="13" cm="1">
        <f t="array" ref="J9">_xll.BDH("NUE US Equity","BS_MKT_SEC_OTHER_ST_INVEST","FQ2 2020","FQ2 2020","Currency=USD","Period=FQ","BEST_FPERIOD_OVERRIDE=FQ","FILING_STATUS=MR","SCALING_FORMAT=MLN","Sort=A","Dates=H","DateFormat=P","Fill=—","Direction=H","UseDPDF=Y")</f>
        <v>247.47300000000001</v>
      </c>
      <c r="K9" s="13" cm="1">
        <f t="array" ref="K9">_xll.BDH("NUE US Equity","BS_MKT_SEC_OTHER_ST_INVEST","FQ3 2020","FQ3 2020","Currency=USD","Period=FQ","BEST_FPERIOD_OVERRIDE=FQ","FILING_STATUS=MR","SCALING_FORMAT=MLN","Sort=A","Dates=H","DateFormat=P","Fill=—","Direction=H","UseDPDF=Y")</f>
        <v>412.40100000000001</v>
      </c>
      <c r="L9" s="13" cm="1">
        <f t="array" ref="L9">_xll.BDH("NUE US Equity","BS_MKT_SEC_OTHER_ST_INVEST","FQ4 2020","FQ4 2020","Currency=USD","Period=FQ","BEST_FPERIOD_OVERRIDE=FQ","FILING_STATUS=MR","SCALING_FORMAT=MLN","Sort=A","Dates=H","DateFormat=P","Fill=—","Direction=H","UseDPDF=Y")</f>
        <v>408.00400000000002</v>
      </c>
      <c r="M9" s="13" cm="1">
        <f t="array" ref="M9">_xll.BDH("NUE US Equity","BS_MKT_SEC_OTHER_ST_INVEST","FQ1 2021","FQ1 2021","Currency=USD","Period=FQ","BEST_FPERIOD_OVERRIDE=FQ","FILING_STATUS=MR","SCALING_FORMAT=MLN","Sort=A","Dates=H","DateFormat=P","Fill=—","Direction=H","UseDPDF=Y")</f>
        <v>402.59500000000003</v>
      </c>
      <c r="N9" s="13" cm="1">
        <f t="array" ref="N9">_xll.BDH("NUE US Equity","BS_MKT_SEC_OTHER_ST_INVEST","FQ2 2021","FQ2 2021","Currency=USD","Period=FQ","BEST_FPERIOD_OVERRIDE=FQ","FILING_STATUS=MR","SCALING_FORMAT=MLN","Sort=A","Dates=H","DateFormat=P","Fill=—","Direction=H","UseDPDF=Y")</f>
        <v>398.40899999999999</v>
      </c>
      <c r="O9" s="13" cm="1">
        <f t="array" ref="O9">_xll.BDH("NUE US Equity","BS_MKT_SEC_OTHER_ST_INVEST","FQ3 2021","FQ3 2021","Currency=USD","Period=FQ","BEST_FPERIOD_OVERRIDE=FQ","FILING_STATUS=MR","SCALING_FORMAT=MLN","Sort=A","Dates=H","DateFormat=P","Fill=—","Direction=H","UseDPDF=Y")</f>
        <v>247.24700000000001</v>
      </c>
      <c r="P9" s="13" cm="1">
        <f t="array" ref="P9">_xll.BDH("NUE US Equity","BS_MKT_SEC_OTHER_ST_INVEST","FQ4 2021","FQ4 2021","Currency=USD","Period=FQ","BEST_FPERIOD_OVERRIDE=FQ","FILING_STATUS=MR","SCALING_FORMAT=MLN","Sort=A","Dates=H","DateFormat=P","Fill=—","Direction=H","UseDPDF=Y")</f>
        <v>253.005</v>
      </c>
      <c r="Q9" s="13" cm="1">
        <f t="array" ref="Q9">_xll.BDH("NUE US Equity","BS_MKT_SEC_OTHER_ST_INVEST","FQ1 2022","FQ1 2022","Currency=USD","Period=FQ","BEST_FPERIOD_OVERRIDE=FQ","FILING_STATUS=MR","SCALING_FORMAT=MLN","Sort=A","Dates=H","DateFormat=P","Fill=—","Direction=H","UseDPDF=Y")</f>
        <v>446.86799999999999</v>
      </c>
      <c r="R9" s="13" cm="1">
        <f t="array" ref="R9">_xll.BDH("NUE US Equity","BS_MKT_SEC_OTHER_ST_INVEST","FQ2 2022","FQ2 2022","Currency=USD","Period=FQ","BEST_FPERIOD_OVERRIDE=FQ","FILING_STATUS=MR","SCALING_FORMAT=MLN","Sort=A","Dates=H","DateFormat=P","Fill=—","Direction=H","UseDPDF=Y")</f>
        <v>363.28699999999998</v>
      </c>
      <c r="S9" s="13" cm="1">
        <f t="array" ref="S9">_xll.BDH("NUE US Equity","BS_MKT_SEC_OTHER_ST_INVEST","FQ3 2022","FQ3 2022","Currency=USD","Period=FQ","BEST_FPERIOD_OVERRIDE=FQ","FILING_STATUS=MR","SCALING_FORMAT=MLN","Sort=A","Dates=H","DateFormat=P","Fill=—","Direction=H","UseDPDF=Y")</f>
        <v>377.42599999999999</v>
      </c>
      <c r="T9" s="13" cm="1">
        <f t="array" ref="T9">_xll.BDH("NUE US Equity","BS_MKT_SEC_OTHER_ST_INVEST","FQ4 2022","FQ4 2022","Currency=USD","Period=FQ","BEST_FPERIOD_OVERRIDE=FQ","FILING_STATUS=MR","SCALING_FORMAT=MLN","Sort=A","Dates=H","DateFormat=P","Fill=—","Direction=H","UseDPDF=Y")</f>
        <v>576.94600000000003</v>
      </c>
      <c r="U9" s="13" cm="1">
        <f t="array" ref="U9">_xll.BDH("NUE US Equity","BS_MKT_SEC_OTHER_ST_INVEST","FQ1 2023","FQ1 2023","Currency=USD","Period=FQ","BEST_FPERIOD_OVERRIDE=FQ","FILING_STATUS=MR","SCALING_FORMAT=MLN","Sort=A","Dates=H","DateFormat=P","Fill=—","Direction=H","UseDPDF=Y")</f>
        <v>817.81100000000004</v>
      </c>
      <c r="V9" s="13" cm="1">
        <f t="array" ref="V9">_xll.BDH("NUE US Equity","BS_MKT_SEC_OTHER_ST_INVEST","FQ2 2023","FQ2 2023","Currency=USD","Period=FQ","BEST_FPERIOD_OVERRIDE=FQ","FILING_STATUS=MR","SCALING_FORMAT=MLN","Sort=A","Dates=H","DateFormat=P","Fill=—","Direction=H","UseDPDF=Y")</f>
        <v>870.47500000000002</v>
      </c>
      <c r="W9" s="13" cm="1">
        <f t="array" ref="W9">_xll.BDH("NUE US Equity","BS_MKT_SEC_OTHER_ST_INVEST","FQ3 2023","FQ3 2023","Currency=USD","Period=FQ","BEST_FPERIOD_OVERRIDE=FQ","FILING_STATUS=MR","SCALING_FORMAT=MLN","Sort=A","Dates=H","DateFormat=P","Fill=—","Direction=H","UseDPDF=Y")</f>
        <v>863.14</v>
      </c>
      <c r="X9" s="13" cm="1">
        <f t="array" ref="X9">_xll.BDH("NUE US Equity","BS_MKT_SEC_OTHER_ST_INVEST","FQ4 2023","FQ4 2023","Currency=USD","Period=FQ","BEST_FPERIOD_OVERRIDE=FQ","FILING_STATUS=MR","SCALING_FORMAT=MLN","Sort=A","Dates=H","DateFormat=P","Fill=—","Direction=H","UseDPDF=Y")</f>
        <v>747.47900000000004</v>
      </c>
      <c r="Y9" s="13" cm="1">
        <f t="array" ref="Y9">_xll.BDH("NUE US Equity","BS_MKT_SEC_OTHER_ST_INVEST","FQ1 2024","FQ1 2024","Currency=USD","Period=FQ","BEST_FPERIOD_OVERRIDE=FQ","FILING_STATUS=MR","SCALING_FORMAT=MLN","Sort=A","Dates=H","DateFormat=P","Fill=—","Direction=H","UseDPDF=Y")</f>
        <v>981.17899999999997</v>
      </c>
      <c r="Z9" s="13" cm="1">
        <f t="array" ref="Z9">_xll.BDH("NUE US Equity","BS_MKT_SEC_OTHER_ST_INVEST","FQ2 2024","FQ2 2024","Currency=USD","Period=FQ","BEST_FPERIOD_OVERRIDE=FQ","FILING_STATUS=MR","SCALING_FORMAT=MLN","Sort=A","Dates=H","DateFormat=P","Fill=—","Direction=H","UseDPDF=Y")</f>
        <v>795.18</v>
      </c>
      <c r="AA9" s="13" cm="1">
        <f t="array" ref="AA9">_xll.BDH("NUE US Equity","BS_MKT_SEC_OTHER_ST_INVEST","FQ3 2024","FQ3 2024","Currency=USD","Period=FQ","BEST_FPERIOD_OVERRIDE=FQ","FILING_STATUS=MR","SCALING_FORMAT=MLN","Sort=A","Dates=H","DateFormat=P","Fill=—","Direction=H","UseDPDF=Y")</f>
        <v>595.65</v>
      </c>
      <c r="AB9" s="13" cm="1">
        <f t="array" ref="AB9">_xll.BDH("NUE US Equity","BS_MKT_SEC_OTHER_ST_INVEST","FQ4 2024","FQ4 2024","Currency=USD","Period=FQ","BEST_FPERIOD_OVERRIDE=FQ","FILING_STATUS=MR","SCALING_FORMAT=MLN","Sort=A","Dates=H","DateFormat=P","Fill=—","Direction=H","UseDPDF=Y")</f>
        <v>581</v>
      </c>
      <c r="AC9" s="13" cm="1">
        <f t="array" ref="AC9">_xll.BDH("NUE US Equity","BS_MKT_SEC_OTHER_ST_INVEST","FQ1 2025","FQ1 2025","Currency=USD","Period=FQ","BEST_FPERIOD_OVERRIDE=FQ","FILING_STATUS=MR","SCALING_FORMAT=MLN","Sort=A","Dates=H","DateFormat=P","Fill=—","Direction=H","UseDPDF=Y")</f>
        <v>905</v>
      </c>
      <c r="AD9" s="13" cm="1">
        <f t="array" ref="AD9">_xll.BDH("NUE US Equity","BS_MKT_SEC_OTHER_ST_INVEST","FQ2 2025","FQ2 2025","Currency=USD","Period=FQ","BEST_FPERIOD_OVERRIDE=FQ","FILING_STATUS=MR","SCALING_FORMAT=MLN","Sort=A","Dates=H","DateFormat=P","Fill=—","Direction=H","UseDPDF=Y")</f>
        <v>537</v>
      </c>
      <c r="AE9" s="13" cm="1">
        <f t="array" ref="AE9">_xll.BDH("NUE US Equity","BS_MKT_SEC_OTHER_ST_INVEST","FQ3 2025","FQ3 2025","Currency=USD","Period=FQ","BEST_FPERIOD_OVERRIDE=FQ","FILING_STATUS=MR","SCALING_FORMAT=MLN","Sort=A","Dates=H","DateFormat=P","Fill=—","Direction=H","UseDPDF=Y")</f>
        <v>524</v>
      </c>
      <c r="AF9" s="13" cm="1">
        <f t="array" ref="AF9">_xll.BDH("NUE US Equity","BS_MKT_SEC_OTHER_ST_INVEST","FQ4 2025","FQ4 2025","Currency=USD","Period=FQ","BEST_FPERIOD_OVERRIDE=FQ","FILING_STATUS=MR","SCALING_FORMAT=MLN","Sort=A","Dates=H","DateFormat=P","Fill=—","Direction=H","UseDPDF=Y")</f>
        <v>439</v>
      </c>
    </row>
    <row r="10" spans="1:32" x14ac:dyDescent="0.25">
      <c r="A10" s="10" t="s">
        <v>72</v>
      </c>
      <c r="B10" s="10" t="s">
        <v>73</v>
      </c>
      <c r="C10" s="13" cm="1">
        <f t="array" ref="C10">_xll.BDH("NUE US Equity","BS_ACCT_NOTE_RCV","FQ3 2018","FQ3 2018","Currency=USD","Period=FQ","BEST_FPERIOD_OVERRIDE=FQ","FILING_STATUS=MR","SCALING_FORMAT=MLN","Sort=A","Dates=H","DateFormat=P","Fill=—","Direction=H","UseDPDF=Y")</f>
        <v>2636.038</v>
      </c>
      <c r="D10" s="13" cm="1">
        <f t="array" ref="D10">_xll.BDH("NUE US Equity","BS_ACCT_NOTE_RCV","FQ4 2018","FQ4 2018","Currency=USD","Period=FQ","BEST_FPERIOD_OVERRIDE=FQ","FILING_STATUS=MR","SCALING_FORMAT=MLN","Sort=A","Dates=H","DateFormat=P","Fill=—","Direction=H","UseDPDF=Y")</f>
        <v>2505.5680000000002</v>
      </c>
      <c r="E10" s="13" cm="1">
        <f t="array" ref="E10">_xll.BDH("NUE US Equity","BS_ACCT_NOTE_RCV","FQ1 2019","FQ1 2019","Currency=USD","Period=FQ","BEST_FPERIOD_OVERRIDE=FQ","FILING_STATUS=MR","SCALING_FORMAT=MLN","Sort=A","Dates=H","DateFormat=P","Fill=—","Direction=H","UseDPDF=Y")</f>
        <v>2483.1379999999999</v>
      </c>
      <c r="F10" s="13" cm="1">
        <f t="array" ref="F10">_xll.BDH("NUE US Equity","BS_ACCT_NOTE_RCV","FQ2 2019","FQ2 2019","Currency=USD","Period=FQ","BEST_FPERIOD_OVERRIDE=FQ","FILING_STATUS=MR","SCALING_FORMAT=MLN","Sort=A","Dates=H","DateFormat=P","Fill=—","Direction=H","UseDPDF=Y")</f>
        <v>2399.239</v>
      </c>
      <c r="G10" s="13" cm="1">
        <f t="array" ref="G10">_xll.BDH("NUE US Equity","BS_ACCT_NOTE_RCV","FQ3 2019","FQ3 2019","Currency=USD","Period=FQ","BEST_FPERIOD_OVERRIDE=FQ","FILING_STATUS=MR","SCALING_FORMAT=MLN","Sort=A","Dates=H","DateFormat=P","Fill=—","Direction=H","UseDPDF=Y")</f>
        <v>2312.366</v>
      </c>
      <c r="H10" s="13" cm="1">
        <f t="array" ref="H10">_xll.BDH("NUE US Equity","BS_ACCT_NOTE_RCV","FQ4 2019","FQ4 2019","Currency=USD","Period=FQ","BEST_FPERIOD_OVERRIDE=FQ","FILING_STATUS=MR","SCALING_FORMAT=MLN","Sort=A","Dates=H","DateFormat=P","Fill=—","Direction=H","UseDPDF=Y")</f>
        <v>2160.1019999999999</v>
      </c>
      <c r="I10" s="13" cm="1">
        <f t="array" ref="I10">_xll.BDH("NUE US Equity","BS_ACCT_NOTE_RCV","FQ1 2020","FQ1 2020","Currency=USD","Period=FQ","BEST_FPERIOD_OVERRIDE=FQ","FILING_STATUS=MR","SCALING_FORMAT=MLN","Sort=A","Dates=H","DateFormat=P","Fill=—","Direction=H","UseDPDF=Y")</f>
        <v>2273.1570000000002</v>
      </c>
      <c r="J10" s="13" cm="1">
        <f t="array" ref="J10">_xll.BDH("NUE US Equity","BS_ACCT_NOTE_RCV","FQ2 2020","FQ2 2020","Currency=USD","Period=FQ","BEST_FPERIOD_OVERRIDE=FQ","FILING_STATUS=MR","SCALING_FORMAT=MLN","Sort=A","Dates=H","DateFormat=P","Fill=—","Direction=H","UseDPDF=Y")</f>
        <v>1888.9290000000001</v>
      </c>
      <c r="K10" s="13" cm="1">
        <f t="array" ref="K10">_xll.BDH("NUE US Equity","BS_ACCT_NOTE_RCV","FQ3 2020","FQ3 2020","Currency=USD","Period=FQ","BEST_FPERIOD_OVERRIDE=FQ","FILING_STATUS=MR","SCALING_FORMAT=MLN","Sort=A","Dates=H","DateFormat=P","Fill=—","Direction=H","UseDPDF=Y")</f>
        <v>2119.4209999999998</v>
      </c>
      <c r="L10" s="13" cm="1">
        <f t="array" ref="L10">_xll.BDH("NUE US Equity","BS_ACCT_NOTE_RCV","FQ4 2020","FQ4 2020","Currency=USD","Period=FQ","BEST_FPERIOD_OVERRIDE=FQ","FILING_STATUS=MR","SCALING_FORMAT=MLN","Sort=A","Dates=H","DateFormat=P","Fill=—","Direction=H","UseDPDF=Y")</f>
        <v>2298.85</v>
      </c>
      <c r="M10" s="13" cm="1">
        <f t="array" ref="M10">_xll.BDH("NUE US Equity","BS_ACCT_NOTE_RCV","FQ1 2021","FQ1 2021","Currency=USD","Period=FQ","BEST_FPERIOD_OVERRIDE=FQ","FILING_STATUS=MR","SCALING_FORMAT=MLN","Sort=A","Dates=H","DateFormat=P","Fill=—","Direction=H","UseDPDF=Y")</f>
        <v>2828.9639999999999</v>
      </c>
      <c r="N10" s="13" cm="1">
        <f t="array" ref="N10">_xll.BDH("NUE US Equity","BS_ACCT_NOTE_RCV","FQ2 2021","FQ2 2021","Currency=USD","Period=FQ","BEST_FPERIOD_OVERRIDE=FQ","FILING_STATUS=MR","SCALING_FORMAT=MLN","Sort=A","Dates=H","DateFormat=P","Fill=—","Direction=H","UseDPDF=Y")</f>
        <v>3399.076</v>
      </c>
      <c r="O10" s="13" cm="1">
        <f t="array" ref="O10">_xll.BDH("NUE US Equity","BS_ACCT_NOTE_RCV","FQ3 2021","FQ3 2021","Currency=USD","Period=FQ","BEST_FPERIOD_OVERRIDE=FQ","FILING_STATUS=MR","SCALING_FORMAT=MLN","Sort=A","Dates=H","DateFormat=P","Fill=—","Direction=H","UseDPDF=Y")</f>
        <v>4087.2930000000001</v>
      </c>
      <c r="P10" s="13" cm="1">
        <f t="array" ref="P10">_xll.BDH("NUE US Equity","BS_ACCT_NOTE_RCV","FQ4 2021","FQ4 2021","Currency=USD","Period=FQ","BEST_FPERIOD_OVERRIDE=FQ","FILING_STATUS=MR","SCALING_FORMAT=MLN","Sort=A","Dates=H","DateFormat=P","Fill=—","Direction=H","UseDPDF=Y")</f>
        <v>3853.9720000000002</v>
      </c>
      <c r="Q10" s="13" cm="1">
        <f t="array" ref="Q10">_xll.BDH("NUE US Equity","BS_ACCT_NOTE_RCV","FQ1 2022","FQ1 2022","Currency=USD","Period=FQ","BEST_FPERIOD_OVERRIDE=FQ","FILING_STATUS=MR","SCALING_FORMAT=MLN","Sort=A","Dates=H","DateFormat=P","Fill=—","Direction=H","UseDPDF=Y")</f>
        <v>4111.4780000000001</v>
      </c>
      <c r="R10" s="13" cm="1">
        <f t="array" ref="R10">_xll.BDH("NUE US Equity","BS_ACCT_NOTE_RCV","FQ2 2022","FQ2 2022","Currency=USD","Period=FQ","BEST_FPERIOD_OVERRIDE=FQ","FILING_STATUS=MR","SCALING_FORMAT=MLN","Sort=A","Dates=H","DateFormat=P","Fill=—","Direction=H","UseDPDF=Y")</f>
        <v>4749.6000000000004</v>
      </c>
      <c r="S10" s="13" cm="1">
        <f t="array" ref="S10">_xll.BDH("NUE US Equity","BS_ACCT_NOTE_RCV","FQ3 2022","FQ3 2022","Currency=USD","Period=FQ","BEST_FPERIOD_OVERRIDE=FQ","FILING_STATUS=MR","SCALING_FORMAT=MLN","Sort=A","Dates=H","DateFormat=P","Fill=—","Direction=H","UseDPDF=Y")</f>
        <v>4200.643</v>
      </c>
      <c r="T10" s="13" cm="1">
        <f t="array" ref="T10">_xll.BDH("NUE US Equity","BS_ACCT_NOTE_RCV","FQ4 2022","FQ4 2022","Currency=USD","Period=FQ","BEST_FPERIOD_OVERRIDE=FQ","FILING_STATUS=MR","SCALING_FORMAT=MLN","Sort=A","Dates=H","DateFormat=P","Fill=—","Direction=H","UseDPDF=Y")</f>
        <v>3591.03</v>
      </c>
      <c r="U10" s="13" cm="1">
        <f t="array" ref="U10">_xll.BDH("NUE US Equity","BS_ACCT_NOTE_RCV","FQ1 2023","FQ1 2023","Currency=USD","Period=FQ","BEST_FPERIOD_OVERRIDE=FQ","FILING_STATUS=MR","SCALING_FORMAT=MLN","Sort=A","Dates=H","DateFormat=P","Fill=—","Direction=H","UseDPDF=Y")</f>
        <v>3661.9740000000002</v>
      </c>
      <c r="V10" s="13" cm="1">
        <f t="array" ref="V10">_xll.BDH("NUE US Equity","BS_ACCT_NOTE_RCV","FQ2 2023","FQ2 2023","Currency=USD","Period=FQ","BEST_FPERIOD_OVERRIDE=FQ","FILING_STATUS=MR","SCALING_FORMAT=MLN","Sort=A","Dates=H","DateFormat=P","Fill=—","Direction=H","UseDPDF=Y")</f>
        <v>3874.933</v>
      </c>
      <c r="W10" s="13" cm="1">
        <f t="array" ref="W10">_xll.BDH("NUE US Equity","BS_ACCT_NOTE_RCV","FQ3 2023","FQ3 2023","Currency=USD","Period=FQ","BEST_FPERIOD_OVERRIDE=FQ","FILING_STATUS=MR","SCALING_FORMAT=MLN","Sort=A","Dates=H","DateFormat=P","Fill=—","Direction=H","UseDPDF=Y")</f>
        <v>3427.6970000000001</v>
      </c>
      <c r="X10" s="13" cm="1">
        <f t="array" ref="X10">_xll.BDH("NUE US Equity","BS_ACCT_NOTE_RCV","FQ4 2023","FQ4 2023","Currency=USD","Period=FQ","BEST_FPERIOD_OVERRIDE=FQ","FILING_STATUS=MR","SCALING_FORMAT=MLN","Sort=A","Dates=H","DateFormat=P","Fill=—","Direction=H","UseDPDF=Y")</f>
        <v>2953.3110000000001</v>
      </c>
      <c r="Y10" s="13" cm="1">
        <f t="array" ref="Y10">_xll.BDH("NUE US Equity","BS_ACCT_NOTE_RCV","FQ1 2024","FQ1 2024","Currency=USD","Period=FQ","BEST_FPERIOD_OVERRIDE=FQ","FILING_STATUS=MR","SCALING_FORMAT=MLN","Sort=A","Dates=H","DateFormat=P","Fill=—","Direction=H","UseDPDF=Y")</f>
        <v>3157.1840000000002</v>
      </c>
      <c r="Z10" s="13" cm="1">
        <f t="array" ref="Z10">_xll.BDH("NUE US Equity","BS_ACCT_NOTE_RCV","FQ2 2024","FQ2 2024","Currency=USD","Period=FQ","BEST_FPERIOD_OVERRIDE=FQ","FILING_STATUS=MR","SCALING_FORMAT=MLN","Sort=A","Dates=H","DateFormat=P","Fill=—","Direction=H","UseDPDF=Y")</f>
        <v>3113.0790000000002</v>
      </c>
      <c r="AA10" s="13" cm="1">
        <f t="array" ref="AA10">_xll.BDH("NUE US Equity","BS_ACCT_NOTE_RCV","FQ3 2024","FQ3 2024","Currency=USD","Period=FQ","BEST_FPERIOD_OVERRIDE=FQ","FILING_STATUS=MR","SCALING_FORMAT=MLN","Sort=A","Dates=H","DateFormat=P","Fill=—","Direction=H","UseDPDF=Y")</f>
        <v>2949.19</v>
      </c>
      <c r="AB10" s="13" cm="1">
        <f t="array" ref="AB10">_xll.BDH("NUE US Equity","BS_ACCT_NOTE_RCV","FQ4 2024","FQ4 2024","Currency=USD","Period=FQ","BEST_FPERIOD_OVERRIDE=FQ","FILING_STATUS=MR","SCALING_FORMAT=MLN","Sort=A","Dates=H","DateFormat=P","Fill=—","Direction=H","UseDPDF=Y")</f>
        <v>2675</v>
      </c>
      <c r="AC10" s="13" cm="1">
        <f t="array" ref="AC10">_xll.BDH("NUE US Equity","BS_ACCT_NOTE_RCV","FQ1 2025","FQ1 2025","Currency=USD","Period=FQ","BEST_FPERIOD_OVERRIDE=FQ","FILING_STATUS=MR","SCALING_FORMAT=MLN","Sort=A","Dates=H","DateFormat=P","Fill=—","Direction=H","UseDPDF=Y")</f>
        <v>2965</v>
      </c>
      <c r="AD10" s="13" cm="1">
        <f t="array" ref="AD10">_xll.BDH("NUE US Equity","BS_ACCT_NOTE_RCV","FQ2 2025","FQ2 2025","Currency=USD","Period=FQ","BEST_FPERIOD_OVERRIDE=FQ","FILING_STATUS=MR","SCALING_FORMAT=MLN","Sort=A","Dates=H","DateFormat=P","Fill=—","Direction=H","UseDPDF=Y")</f>
        <v>3388</v>
      </c>
      <c r="AE10" s="13" cm="1">
        <f t="array" ref="AE10">_xll.BDH("NUE US Equity","BS_ACCT_NOTE_RCV","FQ3 2025","FQ3 2025","Currency=USD","Period=FQ","BEST_FPERIOD_OVERRIDE=FQ","FILING_STATUS=MR","SCALING_FORMAT=MLN","Sort=A","Dates=H","DateFormat=P","Fill=—","Direction=H","UseDPDF=Y")</f>
        <v>3288</v>
      </c>
      <c r="AF10" s="13" cm="1">
        <f t="array" ref="AF10">_xll.BDH("NUE US Equity","BS_ACCT_NOTE_RCV","FQ4 2025","FQ4 2025","Currency=USD","Period=FQ","BEST_FPERIOD_OVERRIDE=FQ","FILING_STATUS=MR","SCALING_FORMAT=MLN","Sort=A","Dates=H","DateFormat=P","Fill=—","Direction=H","UseDPDF=Y")</f>
        <v>3105</v>
      </c>
    </row>
    <row r="11" spans="1:32" x14ac:dyDescent="0.25">
      <c r="A11" s="10" t="s">
        <v>74</v>
      </c>
      <c r="B11" s="10" t="s">
        <v>75</v>
      </c>
      <c r="C11" s="13" cm="1">
        <f t="array" ref="C11">_xll.BDH("NUE US Equity","BS_ACCTS_REC_EXCL_NOTES_REC","FQ3 2018","FQ3 2018","Currency=USD","Period=FQ","BEST_FPERIOD_OVERRIDE=FQ","FILING_STATUS=MR","SCALING_FORMAT=MLN","Sort=A","Dates=H","DateFormat=P","Fill=—","Direction=H","UseDPDF=Y")</f>
        <v>2636.038</v>
      </c>
      <c r="D11" s="13" cm="1">
        <f t="array" ref="D11">_xll.BDH("NUE US Equity","BS_ACCTS_REC_EXCL_NOTES_REC","FQ4 2018","FQ4 2018","Currency=USD","Period=FQ","BEST_FPERIOD_OVERRIDE=FQ","FILING_STATUS=MR","SCALING_FORMAT=MLN","Sort=A","Dates=H","DateFormat=P","Fill=—","Direction=H","UseDPDF=Y")</f>
        <v>2505.5680000000002</v>
      </c>
      <c r="E11" s="13" cm="1">
        <f t="array" ref="E11">_xll.BDH("NUE US Equity","BS_ACCTS_REC_EXCL_NOTES_REC","FQ1 2019","FQ1 2019","Currency=USD","Period=FQ","BEST_FPERIOD_OVERRIDE=FQ","FILING_STATUS=MR","SCALING_FORMAT=MLN","Sort=A","Dates=H","DateFormat=P","Fill=—","Direction=H","UseDPDF=Y")</f>
        <v>2483.1379999999999</v>
      </c>
      <c r="F11" s="13" cm="1">
        <f t="array" ref="F11">_xll.BDH("NUE US Equity","BS_ACCTS_REC_EXCL_NOTES_REC","FQ2 2019","FQ2 2019","Currency=USD","Period=FQ","BEST_FPERIOD_OVERRIDE=FQ","FILING_STATUS=MR","SCALING_FORMAT=MLN","Sort=A","Dates=H","DateFormat=P","Fill=—","Direction=H","UseDPDF=Y")</f>
        <v>2399.239</v>
      </c>
      <c r="G11" s="13" cm="1">
        <f t="array" ref="G11">_xll.BDH("NUE US Equity","BS_ACCTS_REC_EXCL_NOTES_REC","FQ3 2019","FQ3 2019","Currency=USD","Period=FQ","BEST_FPERIOD_OVERRIDE=FQ","FILING_STATUS=MR","SCALING_FORMAT=MLN","Sort=A","Dates=H","DateFormat=P","Fill=—","Direction=H","UseDPDF=Y")</f>
        <v>2312.366</v>
      </c>
      <c r="H11" s="13" cm="1">
        <f t="array" ref="H11">_xll.BDH("NUE US Equity","BS_ACCTS_REC_EXCL_NOTES_REC","FQ4 2019","FQ4 2019","Currency=USD","Period=FQ","BEST_FPERIOD_OVERRIDE=FQ","FILING_STATUS=MR","SCALING_FORMAT=MLN","Sort=A","Dates=H","DateFormat=P","Fill=—","Direction=H","UseDPDF=Y")</f>
        <v>2160.1019999999999</v>
      </c>
      <c r="I11" s="13" cm="1">
        <f t="array" ref="I11">_xll.BDH("NUE US Equity","BS_ACCTS_REC_EXCL_NOTES_REC","FQ1 2020","FQ1 2020","Currency=USD","Period=FQ","BEST_FPERIOD_OVERRIDE=FQ","FILING_STATUS=MR","SCALING_FORMAT=MLN","Sort=A","Dates=H","DateFormat=P","Fill=—","Direction=H","UseDPDF=Y")</f>
        <v>2273.1570000000002</v>
      </c>
      <c r="J11" s="13" cm="1">
        <f t="array" ref="J11">_xll.BDH("NUE US Equity","BS_ACCTS_REC_EXCL_NOTES_REC","FQ2 2020","FQ2 2020","Currency=USD","Period=FQ","BEST_FPERIOD_OVERRIDE=FQ","FILING_STATUS=MR","SCALING_FORMAT=MLN","Sort=A","Dates=H","DateFormat=P","Fill=—","Direction=H","UseDPDF=Y")</f>
        <v>1888.9290000000001</v>
      </c>
      <c r="K11" s="13" cm="1">
        <f t="array" ref="K11">_xll.BDH("NUE US Equity","BS_ACCTS_REC_EXCL_NOTES_REC","FQ3 2020","FQ3 2020","Currency=USD","Period=FQ","BEST_FPERIOD_OVERRIDE=FQ","FILING_STATUS=MR","SCALING_FORMAT=MLN","Sort=A","Dates=H","DateFormat=P","Fill=—","Direction=H","UseDPDF=Y")</f>
        <v>2119.4209999999998</v>
      </c>
      <c r="L11" s="13" cm="1">
        <f t="array" ref="L11">_xll.BDH("NUE US Equity","BS_ACCTS_REC_EXCL_NOTES_REC","FQ4 2020","FQ4 2020","Currency=USD","Period=FQ","BEST_FPERIOD_OVERRIDE=FQ","FILING_STATUS=MR","SCALING_FORMAT=MLN","Sort=A","Dates=H","DateFormat=P","Fill=—","Direction=H","UseDPDF=Y")</f>
        <v>2298.85</v>
      </c>
      <c r="M11" s="13" cm="1">
        <f t="array" ref="M11">_xll.BDH("NUE US Equity","BS_ACCTS_REC_EXCL_NOTES_REC","FQ1 2021","FQ1 2021","Currency=USD","Period=FQ","BEST_FPERIOD_OVERRIDE=FQ","FILING_STATUS=MR","SCALING_FORMAT=MLN","Sort=A","Dates=H","DateFormat=P","Fill=—","Direction=H","UseDPDF=Y")</f>
        <v>2828.9639999999999</v>
      </c>
      <c r="N11" s="13" cm="1">
        <f t="array" ref="N11">_xll.BDH("NUE US Equity","BS_ACCTS_REC_EXCL_NOTES_REC","FQ2 2021","FQ2 2021","Currency=USD","Period=FQ","BEST_FPERIOD_OVERRIDE=FQ","FILING_STATUS=MR","SCALING_FORMAT=MLN","Sort=A","Dates=H","DateFormat=P","Fill=—","Direction=H","UseDPDF=Y")</f>
        <v>3399.076</v>
      </c>
      <c r="O11" s="13" cm="1">
        <f t="array" ref="O11">_xll.BDH("NUE US Equity","BS_ACCTS_REC_EXCL_NOTES_REC","FQ3 2021","FQ3 2021","Currency=USD","Period=FQ","BEST_FPERIOD_OVERRIDE=FQ","FILING_STATUS=MR","SCALING_FORMAT=MLN","Sort=A","Dates=H","DateFormat=P","Fill=—","Direction=H","UseDPDF=Y")</f>
        <v>4087.2930000000001</v>
      </c>
      <c r="P11" s="13" cm="1">
        <f t="array" ref="P11">_xll.BDH("NUE US Equity","BS_ACCTS_REC_EXCL_NOTES_REC","FQ4 2021","FQ4 2021","Currency=USD","Period=FQ","BEST_FPERIOD_OVERRIDE=FQ","FILING_STATUS=MR","SCALING_FORMAT=MLN","Sort=A","Dates=H","DateFormat=P","Fill=—","Direction=H","UseDPDF=Y")</f>
        <v>3853.9720000000002</v>
      </c>
      <c r="Q11" s="13" cm="1">
        <f t="array" ref="Q11">_xll.BDH("NUE US Equity","BS_ACCTS_REC_EXCL_NOTES_REC","FQ1 2022","FQ1 2022","Currency=USD","Period=FQ","BEST_FPERIOD_OVERRIDE=FQ","FILING_STATUS=MR","SCALING_FORMAT=MLN","Sort=A","Dates=H","DateFormat=P","Fill=—","Direction=H","UseDPDF=Y")</f>
        <v>4111.4780000000001</v>
      </c>
      <c r="R11" s="13" cm="1">
        <f t="array" ref="R11">_xll.BDH("NUE US Equity","BS_ACCTS_REC_EXCL_NOTES_REC","FQ2 2022","FQ2 2022","Currency=USD","Period=FQ","BEST_FPERIOD_OVERRIDE=FQ","FILING_STATUS=MR","SCALING_FORMAT=MLN","Sort=A","Dates=H","DateFormat=P","Fill=—","Direction=H","UseDPDF=Y")</f>
        <v>4749.6000000000004</v>
      </c>
      <c r="S11" s="13" cm="1">
        <f t="array" ref="S11">_xll.BDH("NUE US Equity","BS_ACCTS_REC_EXCL_NOTES_REC","FQ3 2022","FQ3 2022","Currency=USD","Period=FQ","BEST_FPERIOD_OVERRIDE=FQ","FILING_STATUS=MR","SCALING_FORMAT=MLN","Sort=A","Dates=H","DateFormat=P","Fill=—","Direction=H","UseDPDF=Y")</f>
        <v>4200.643</v>
      </c>
      <c r="T11" s="13" cm="1">
        <f t="array" ref="T11">_xll.BDH("NUE US Equity","BS_ACCTS_REC_EXCL_NOTES_REC","FQ4 2022","FQ4 2022","Currency=USD","Period=FQ","BEST_FPERIOD_OVERRIDE=FQ","FILING_STATUS=MR","SCALING_FORMAT=MLN","Sort=A","Dates=H","DateFormat=P","Fill=—","Direction=H","UseDPDF=Y")</f>
        <v>3591.03</v>
      </c>
      <c r="U11" s="13" cm="1">
        <f t="array" ref="U11">_xll.BDH("NUE US Equity","BS_ACCTS_REC_EXCL_NOTES_REC","FQ1 2023","FQ1 2023","Currency=USD","Period=FQ","BEST_FPERIOD_OVERRIDE=FQ","FILING_STATUS=MR","SCALING_FORMAT=MLN","Sort=A","Dates=H","DateFormat=P","Fill=—","Direction=H","UseDPDF=Y")</f>
        <v>3661.9740000000002</v>
      </c>
      <c r="V11" s="13" cm="1">
        <f t="array" ref="V11">_xll.BDH("NUE US Equity","BS_ACCTS_REC_EXCL_NOTES_REC","FQ2 2023","FQ2 2023","Currency=USD","Period=FQ","BEST_FPERIOD_OVERRIDE=FQ","FILING_STATUS=MR","SCALING_FORMAT=MLN","Sort=A","Dates=H","DateFormat=P","Fill=—","Direction=H","UseDPDF=Y")</f>
        <v>3874.933</v>
      </c>
      <c r="W11" s="13" cm="1">
        <f t="array" ref="W11">_xll.BDH("NUE US Equity","BS_ACCTS_REC_EXCL_NOTES_REC","FQ3 2023","FQ3 2023","Currency=USD","Period=FQ","BEST_FPERIOD_OVERRIDE=FQ","FILING_STATUS=MR","SCALING_FORMAT=MLN","Sort=A","Dates=H","DateFormat=P","Fill=—","Direction=H","UseDPDF=Y")</f>
        <v>3427.6970000000001</v>
      </c>
      <c r="X11" s="13" cm="1">
        <f t="array" ref="X11">_xll.BDH("NUE US Equity","BS_ACCTS_REC_EXCL_NOTES_REC","FQ4 2023","FQ4 2023","Currency=USD","Period=FQ","BEST_FPERIOD_OVERRIDE=FQ","FILING_STATUS=MR","SCALING_FORMAT=MLN","Sort=A","Dates=H","DateFormat=P","Fill=—","Direction=H","UseDPDF=Y")</f>
        <v>2953.3110000000001</v>
      </c>
      <c r="Y11" s="13" cm="1">
        <f t="array" ref="Y11">_xll.BDH("NUE US Equity","BS_ACCTS_REC_EXCL_NOTES_REC","FQ1 2024","FQ1 2024","Currency=USD","Period=FQ","BEST_FPERIOD_OVERRIDE=FQ","FILING_STATUS=MR","SCALING_FORMAT=MLN","Sort=A","Dates=H","DateFormat=P","Fill=—","Direction=H","UseDPDF=Y")</f>
        <v>3157.1840000000002</v>
      </c>
      <c r="Z11" s="13" cm="1">
        <f t="array" ref="Z11">_xll.BDH("NUE US Equity","BS_ACCTS_REC_EXCL_NOTES_REC","FQ2 2024","FQ2 2024","Currency=USD","Period=FQ","BEST_FPERIOD_OVERRIDE=FQ","FILING_STATUS=MR","SCALING_FORMAT=MLN","Sort=A","Dates=H","DateFormat=P","Fill=—","Direction=H","UseDPDF=Y")</f>
        <v>3113.0790000000002</v>
      </c>
      <c r="AA11" s="13" cm="1">
        <f t="array" ref="AA11">_xll.BDH("NUE US Equity","BS_ACCTS_REC_EXCL_NOTES_REC","FQ3 2024","FQ3 2024","Currency=USD","Period=FQ","BEST_FPERIOD_OVERRIDE=FQ","FILING_STATUS=MR","SCALING_FORMAT=MLN","Sort=A","Dates=H","DateFormat=P","Fill=—","Direction=H","UseDPDF=Y")</f>
        <v>2949.19</v>
      </c>
      <c r="AB11" s="13" cm="1">
        <f t="array" ref="AB11">_xll.BDH("NUE US Equity","BS_ACCTS_REC_EXCL_NOTES_REC","FQ4 2024","FQ4 2024","Currency=USD","Period=FQ","BEST_FPERIOD_OVERRIDE=FQ","FILING_STATUS=MR","SCALING_FORMAT=MLN","Sort=A","Dates=H","DateFormat=P","Fill=—","Direction=H","UseDPDF=Y")</f>
        <v>2675</v>
      </c>
      <c r="AC11" s="13" cm="1">
        <f t="array" ref="AC11">_xll.BDH("NUE US Equity","BS_ACCTS_REC_EXCL_NOTES_REC","FQ1 2025","FQ1 2025","Currency=USD","Period=FQ","BEST_FPERIOD_OVERRIDE=FQ","FILING_STATUS=MR","SCALING_FORMAT=MLN","Sort=A","Dates=H","DateFormat=P","Fill=—","Direction=H","UseDPDF=Y")</f>
        <v>2965</v>
      </c>
      <c r="AD11" s="13" cm="1">
        <f t="array" ref="AD11">_xll.BDH("NUE US Equity","BS_ACCTS_REC_EXCL_NOTES_REC","FQ2 2025","FQ2 2025","Currency=USD","Period=FQ","BEST_FPERIOD_OVERRIDE=FQ","FILING_STATUS=MR","SCALING_FORMAT=MLN","Sort=A","Dates=H","DateFormat=P","Fill=—","Direction=H","UseDPDF=Y")</f>
        <v>3388</v>
      </c>
      <c r="AE11" s="13" cm="1">
        <f t="array" ref="AE11">_xll.BDH("NUE US Equity","BS_ACCTS_REC_EXCL_NOTES_REC","FQ3 2025","FQ3 2025","Currency=USD","Period=FQ","BEST_FPERIOD_OVERRIDE=FQ","FILING_STATUS=MR","SCALING_FORMAT=MLN","Sort=A","Dates=H","DateFormat=P","Fill=—","Direction=H","UseDPDF=Y")</f>
        <v>3288</v>
      </c>
      <c r="AF11" s="13" cm="1">
        <f t="array" ref="AF11">_xll.BDH("NUE US Equity","BS_ACCTS_REC_EXCL_NOTES_REC","FQ4 2025","FQ4 2025","Currency=USD","Period=FQ","BEST_FPERIOD_OVERRIDE=FQ","FILING_STATUS=MR","SCALING_FORMAT=MLN","Sort=A","Dates=H","DateFormat=P","Fill=—","Direction=H","UseDPDF=Y")</f>
        <v>3105</v>
      </c>
    </row>
    <row r="12" spans="1:32" x14ac:dyDescent="0.25">
      <c r="A12" s="10" t="s">
        <v>76</v>
      </c>
      <c r="B12" s="10" t="s">
        <v>77</v>
      </c>
      <c r="C12" s="13" cm="1">
        <f t="array" ref="C12">_xll.BDH("NUE US Equity","NOTES_RECEIVABLE","FQ3 2018","FQ3 2018","Currency=USD","Period=FQ","BEST_FPERIOD_OVERRIDE=FQ","FILING_STATUS=MR","SCALING_FORMAT=MLN","Sort=A","Dates=H","DateFormat=P","Fill=—","Direction=H","UseDPDF=Y")</f>
        <v>0</v>
      </c>
      <c r="D12" s="13" cm="1">
        <f t="array" ref="D12">_xll.BDH("NUE US Equity","NOTES_RECEIVABLE","FQ4 2018","FQ4 2018","Currency=USD","Period=FQ","BEST_FPERIOD_OVERRIDE=FQ","FILING_STATUS=MR","SCALING_FORMAT=MLN","Sort=A","Dates=H","DateFormat=P","Fill=—","Direction=H","UseDPDF=Y")</f>
        <v>0</v>
      </c>
      <c r="E12" s="13" cm="1">
        <f t="array" ref="E12">_xll.BDH("NUE US Equity","NOTES_RECEIVABLE","FQ1 2019","FQ1 2019","Currency=USD","Period=FQ","BEST_FPERIOD_OVERRIDE=FQ","FILING_STATUS=MR","SCALING_FORMAT=MLN","Sort=A","Dates=H","DateFormat=P","Fill=—","Direction=H","UseDPDF=Y")</f>
        <v>0</v>
      </c>
      <c r="F12" s="13" cm="1">
        <f t="array" ref="F12">_xll.BDH("NUE US Equity","NOTES_RECEIVABLE","FQ2 2019","FQ2 2019","Currency=USD","Period=FQ","BEST_FPERIOD_OVERRIDE=FQ","FILING_STATUS=MR","SCALING_FORMAT=MLN","Sort=A","Dates=H","DateFormat=P","Fill=—","Direction=H","UseDPDF=Y")</f>
        <v>0</v>
      </c>
      <c r="G12" s="13" cm="1">
        <f t="array" ref="G12">_xll.BDH("NUE US Equity","NOTES_RECEIVABLE","FQ3 2019","FQ3 2019","Currency=USD","Period=FQ","BEST_FPERIOD_OVERRIDE=FQ","FILING_STATUS=MR","SCALING_FORMAT=MLN","Sort=A","Dates=H","DateFormat=P","Fill=—","Direction=H","UseDPDF=Y")</f>
        <v>0</v>
      </c>
      <c r="H12" s="13" cm="1">
        <f t="array" ref="H12">_xll.BDH("NUE US Equity","NOTES_RECEIVABLE","FQ4 2019","FQ4 2019","Currency=USD","Period=FQ","BEST_FPERIOD_OVERRIDE=FQ","FILING_STATUS=MR","SCALING_FORMAT=MLN","Sort=A","Dates=H","DateFormat=P","Fill=—","Direction=H","UseDPDF=Y")</f>
        <v>0</v>
      </c>
      <c r="I12" s="13" cm="1">
        <f t="array" ref="I12">_xll.BDH("NUE US Equity","NOTES_RECEIVABLE","FQ1 2020","FQ1 2020","Currency=USD","Period=FQ","BEST_FPERIOD_OVERRIDE=FQ","FILING_STATUS=MR","SCALING_FORMAT=MLN","Sort=A","Dates=H","DateFormat=P","Fill=—","Direction=H","UseDPDF=Y")</f>
        <v>0</v>
      </c>
      <c r="J12" s="13" cm="1">
        <f t="array" ref="J12">_xll.BDH("NUE US Equity","NOTES_RECEIVABLE","FQ2 2020","FQ2 2020","Currency=USD","Period=FQ","BEST_FPERIOD_OVERRIDE=FQ","FILING_STATUS=MR","SCALING_FORMAT=MLN","Sort=A","Dates=H","DateFormat=P","Fill=—","Direction=H","UseDPDF=Y")</f>
        <v>0</v>
      </c>
      <c r="K12" s="13" cm="1">
        <f t="array" ref="K12">_xll.BDH("NUE US Equity","NOTES_RECEIVABLE","FQ3 2020","FQ3 2020","Currency=USD","Period=FQ","BEST_FPERIOD_OVERRIDE=FQ","FILING_STATUS=MR","SCALING_FORMAT=MLN","Sort=A","Dates=H","DateFormat=P","Fill=—","Direction=H","UseDPDF=Y")</f>
        <v>0</v>
      </c>
      <c r="L12" s="13" cm="1">
        <f t="array" ref="L12">_xll.BDH("NUE US Equity","NOTES_RECEIVABLE","FQ4 2020","FQ4 2020","Currency=USD","Period=FQ","BEST_FPERIOD_OVERRIDE=FQ","FILING_STATUS=MR","SCALING_FORMAT=MLN","Sort=A","Dates=H","DateFormat=P","Fill=—","Direction=H","UseDPDF=Y")</f>
        <v>0</v>
      </c>
      <c r="M12" s="13" cm="1">
        <f t="array" ref="M12">_xll.BDH("NUE US Equity","NOTES_RECEIVABLE","FQ1 2021","FQ1 2021","Currency=USD","Period=FQ","BEST_FPERIOD_OVERRIDE=FQ","FILING_STATUS=MR","SCALING_FORMAT=MLN","Sort=A","Dates=H","DateFormat=P","Fill=—","Direction=H","UseDPDF=Y")</f>
        <v>0</v>
      </c>
      <c r="N12" s="13" cm="1">
        <f t="array" ref="N12">_xll.BDH("NUE US Equity","NOTES_RECEIVABLE","FQ2 2021","FQ2 2021","Currency=USD","Period=FQ","BEST_FPERIOD_OVERRIDE=FQ","FILING_STATUS=MR","SCALING_FORMAT=MLN","Sort=A","Dates=H","DateFormat=P","Fill=—","Direction=H","UseDPDF=Y")</f>
        <v>0</v>
      </c>
      <c r="O12" s="13" cm="1">
        <f t="array" ref="O12">_xll.BDH("NUE US Equity","NOTES_RECEIVABLE","FQ3 2021","FQ3 2021","Currency=USD","Period=FQ","BEST_FPERIOD_OVERRIDE=FQ","FILING_STATUS=MR","SCALING_FORMAT=MLN","Sort=A","Dates=H","DateFormat=P","Fill=—","Direction=H","UseDPDF=Y")</f>
        <v>0</v>
      </c>
      <c r="P12" s="13" cm="1">
        <f t="array" ref="P12">_xll.BDH("NUE US Equity","NOTES_RECEIVABLE","FQ4 2021","FQ4 2021","Currency=USD","Period=FQ","BEST_FPERIOD_OVERRIDE=FQ","FILING_STATUS=MR","SCALING_FORMAT=MLN","Sort=A","Dates=H","DateFormat=P","Fill=—","Direction=H","UseDPDF=Y")</f>
        <v>0</v>
      </c>
      <c r="Q12" s="13" cm="1">
        <f t="array" ref="Q12">_xll.BDH("NUE US Equity","NOTES_RECEIVABLE","FQ1 2022","FQ1 2022","Currency=USD","Period=FQ","BEST_FPERIOD_OVERRIDE=FQ","FILING_STATUS=MR","SCALING_FORMAT=MLN","Sort=A","Dates=H","DateFormat=P","Fill=—","Direction=H","UseDPDF=Y")</f>
        <v>0</v>
      </c>
      <c r="R12" s="13" cm="1">
        <f t="array" ref="R12">_xll.BDH("NUE US Equity","NOTES_RECEIVABLE","FQ2 2022","FQ2 2022","Currency=USD","Period=FQ","BEST_FPERIOD_OVERRIDE=FQ","FILING_STATUS=MR","SCALING_FORMAT=MLN","Sort=A","Dates=H","DateFormat=P","Fill=—","Direction=H","UseDPDF=Y")</f>
        <v>0</v>
      </c>
      <c r="S12" s="13" cm="1">
        <f t="array" ref="S12">_xll.BDH("NUE US Equity","NOTES_RECEIVABLE","FQ3 2022","FQ3 2022","Currency=USD","Period=FQ","BEST_FPERIOD_OVERRIDE=FQ","FILING_STATUS=MR","SCALING_FORMAT=MLN","Sort=A","Dates=H","DateFormat=P","Fill=—","Direction=H","UseDPDF=Y")</f>
        <v>0</v>
      </c>
      <c r="T12" s="13" cm="1">
        <f t="array" ref="T12">_xll.BDH("NUE US Equity","NOTES_RECEIVABLE","FQ4 2022","FQ4 2022","Currency=USD","Period=FQ","BEST_FPERIOD_OVERRIDE=FQ","FILING_STATUS=MR","SCALING_FORMAT=MLN","Sort=A","Dates=H","DateFormat=P","Fill=—","Direction=H","UseDPDF=Y")</f>
        <v>0</v>
      </c>
      <c r="U12" s="13" cm="1">
        <f t="array" ref="U12">_xll.BDH("NUE US Equity","NOTES_RECEIVABLE","FQ1 2023","FQ1 2023","Currency=USD","Period=FQ","BEST_FPERIOD_OVERRIDE=FQ","FILING_STATUS=MR","SCALING_FORMAT=MLN","Sort=A","Dates=H","DateFormat=P","Fill=—","Direction=H","UseDPDF=Y")</f>
        <v>0</v>
      </c>
      <c r="V12" s="13" cm="1">
        <f t="array" ref="V12">_xll.BDH("NUE US Equity","NOTES_RECEIVABLE","FQ2 2023","FQ2 2023","Currency=USD","Period=FQ","BEST_FPERIOD_OVERRIDE=FQ","FILING_STATUS=MR","SCALING_FORMAT=MLN","Sort=A","Dates=H","DateFormat=P","Fill=—","Direction=H","UseDPDF=Y")</f>
        <v>0</v>
      </c>
      <c r="W12" s="13" cm="1">
        <f t="array" ref="W12">_xll.BDH("NUE US Equity","NOTES_RECEIVABLE","FQ3 2023","FQ3 2023","Currency=USD","Period=FQ","BEST_FPERIOD_OVERRIDE=FQ","FILING_STATUS=MR","SCALING_FORMAT=MLN","Sort=A","Dates=H","DateFormat=P","Fill=—","Direction=H","UseDPDF=Y")</f>
        <v>0</v>
      </c>
      <c r="X12" s="13" cm="1">
        <f t="array" ref="X12">_xll.BDH("NUE US Equity","NOTES_RECEIVABLE","FQ4 2023","FQ4 2023","Currency=USD","Period=FQ","BEST_FPERIOD_OVERRIDE=FQ","FILING_STATUS=MR","SCALING_FORMAT=MLN","Sort=A","Dates=H","DateFormat=P","Fill=—","Direction=H","UseDPDF=Y")</f>
        <v>0</v>
      </c>
      <c r="Y12" s="13" cm="1">
        <f t="array" ref="Y12">_xll.BDH("NUE US Equity","NOTES_RECEIVABLE","FQ1 2024","FQ1 2024","Currency=USD","Period=FQ","BEST_FPERIOD_OVERRIDE=FQ","FILING_STATUS=MR","SCALING_FORMAT=MLN","Sort=A","Dates=H","DateFormat=P","Fill=—","Direction=H","UseDPDF=Y")</f>
        <v>0</v>
      </c>
      <c r="Z12" s="13" cm="1">
        <f t="array" ref="Z12">_xll.BDH("NUE US Equity","NOTES_RECEIVABLE","FQ2 2024","FQ2 2024","Currency=USD","Period=FQ","BEST_FPERIOD_OVERRIDE=FQ","FILING_STATUS=MR","SCALING_FORMAT=MLN","Sort=A","Dates=H","DateFormat=P","Fill=—","Direction=H","UseDPDF=Y")</f>
        <v>0</v>
      </c>
      <c r="AA12" s="13" cm="1">
        <f t="array" ref="AA12">_xll.BDH("NUE US Equity","NOTES_RECEIVABLE","FQ3 2024","FQ3 2024","Currency=USD","Period=FQ","BEST_FPERIOD_OVERRIDE=FQ","FILING_STATUS=MR","SCALING_FORMAT=MLN","Sort=A","Dates=H","DateFormat=P","Fill=—","Direction=H","UseDPDF=Y")</f>
        <v>0</v>
      </c>
      <c r="AB12" s="13" cm="1">
        <f t="array" ref="AB12">_xll.BDH("NUE US Equity","NOTES_RECEIVABLE","FQ4 2024","FQ4 2024","Currency=USD","Period=FQ","BEST_FPERIOD_OVERRIDE=FQ","FILING_STATUS=MR","SCALING_FORMAT=MLN","Sort=A","Dates=H","DateFormat=P","Fill=—","Direction=H","UseDPDF=Y")</f>
        <v>0</v>
      </c>
      <c r="AC12" s="13" cm="1">
        <f t="array" ref="AC12">_xll.BDH("NUE US Equity","NOTES_RECEIVABLE","FQ1 2025","FQ1 2025","Currency=USD","Period=FQ","BEST_FPERIOD_OVERRIDE=FQ","FILING_STATUS=MR","SCALING_FORMAT=MLN","Sort=A","Dates=H","DateFormat=P","Fill=—","Direction=H","UseDPDF=Y")</f>
        <v>0</v>
      </c>
      <c r="AD12" s="13" cm="1">
        <f t="array" ref="AD12">_xll.BDH("NUE US Equity","NOTES_RECEIVABLE","FQ2 2025","FQ2 2025","Currency=USD","Period=FQ","BEST_FPERIOD_OVERRIDE=FQ","FILING_STATUS=MR","SCALING_FORMAT=MLN","Sort=A","Dates=H","DateFormat=P","Fill=—","Direction=H","UseDPDF=Y")</f>
        <v>0</v>
      </c>
      <c r="AE12" s="13" cm="1">
        <f t="array" ref="AE12">_xll.BDH("NUE US Equity","NOTES_RECEIVABLE","FQ3 2025","FQ3 2025","Currency=USD","Period=FQ","BEST_FPERIOD_OVERRIDE=FQ","FILING_STATUS=MR","SCALING_FORMAT=MLN","Sort=A","Dates=H","DateFormat=P","Fill=—","Direction=H","UseDPDF=Y")</f>
        <v>0</v>
      </c>
      <c r="AF12" s="13" cm="1">
        <f t="array" ref="AF12">_xll.BDH("NUE US Equity","NOTES_RECEIVABLE","FQ4 2025","FQ4 2025","Currency=USD","Period=FQ","BEST_FPERIOD_OVERRIDE=FQ","FILING_STATUS=MR","SCALING_FORMAT=MLN","Sort=A","Dates=H","DateFormat=P","Fill=—","Direction=H","UseDPDF=Y")</f>
        <v>0</v>
      </c>
    </row>
    <row r="13" spans="1:32" x14ac:dyDescent="0.25">
      <c r="A13" s="10" t="s">
        <v>78</v>
      </c>
      <c r="B13" s="10" t="s">
        <v>79</v>
      </c>
      <c r="C13" s="13" cm="1">
        <f t="array" ref="C13">_xll.BDH("NUE US Equity","BS_INVENTORIES","FQ3 2018","FQ3 2018","Currency=USD","Period=FQ","BEST_FPERIOD_OVERRIDE=FQ","FILING_STATUS=MR","SCALING_FORMAT=MLN","Sort=A","Dates=H","DateFormat=P","Fill=—","Direction=H","UseDPDF=Y")</f>
        <v>4105.7139999999999</v>
      </c>
      <c r="D13" s="13" cm="1">
        <f t="array" ref="D13">_xll.BDH("NUE US Equity","BS_INVENTORIES","FQ4 2018","FQ4 2018","Currency=USD","Period=FQ","BEST_FPERIOD_OVERRIDE=FQ","FILING_STATUS=MR","SCALING_FORMAT=MLN","Sort=A","Dates=H","DateFormat=P","Fill=—","Direction=H","UseDPDF=Y")</f>
        <v>4553.5</v>
      </c>
      <c r="E13" s="13" cm="1">
        <f t="array" ref="E13">_xll.BDH("NUE US Equity","BS_INVENTORIES","FQ1 2019","FQ1 2019","Currency=USD","Period=FQ","BEST_FPERIOD_OVERRIDE=FQ","FILING_STATUS=MR","SCALING_FORMAT=MLN","Sort=A","Dates=H","DateFormat=P","Fill=—","Direction=H","UseDPDF=Y")</f>
        <v>4445.2280000000001</v>
      </c>
      <c r="F13" s="13" cm="1">
        <f t="array" ref="F13">_xll.BDH("NUE US Equity","BS_INVENTORIES","FQ2 2019","FQ2 2019","Currency=USD","Period=FQ","BEST_FPERIOD_OVERRIDE=FQ","FILING_STATUS=MR","SCALING_FORMAT=MLN","Sort=A","Dates=H","DateFormat=P","Fill=—","Direction=H","UseDPDF=Y")</f>
        <v>4268.799</v>
      </c>
      <c r="G13" s="13" cm="1">
        <f t="array" ref="G13">_xll.BDH("NUE US Equity","BS_INVENTORIES","FQ3 2019","FQ3 2019","Currency=USD","Period=FQ","BEST_FPERIOD_OVERRIDE=FQ","FILING_STATUS=MR","SCALING_FORMAT=MLN","Sort=A","Dates=H","DateFormat=P","Fill=—","Direction=H","UseDPDF=Y")</f>
        <v>4072.4639999999999</v>
      </c>
      <c r="H13" s="13" cm="1">
        <f t="array" ref="H13">_xll.BDH("NUE US Equity","BS_INVENTORIES","FQ4 2019","FQ4 2019","Currency=USD","Period=FQ","BEST_FPERIOD_OVERRIDE=FQ","FILING_STATUS=MR","SCALING_FORMAT=MLN","Sort=A","Dates=H","DateFormat=P","Fill=—","Direction=H","UseDPDF=Y")</f>
        <v>3842.0949999999998</v>
      </c>
      <c r="I13" s="13" cm="1">
        <f t="array" ref="I13">_xll.BDH("NUE US Equity","BS_INVENTORIES","FQ1 2020","FQ1 2020","Currency=USD","Period=FQ","BEST_FPERIOD_OVERRIDE=FQ","FILING_STATUS=MR","SCALING_FORMAT=MLN","Sort=A","Dates=H","DateFormat=P","Fill=—","Direction=H","UseDPDF=Y")</f>
        <v>3875.59</v>
      </c>
      <c r="J13" s="13" cm="1">
        <f t="array" ref="J13">_xll.BDH("NUE US Equity","BS_INVENTORIES","FQ2 2020","FQ2 2020","Currency=USD","Period=FQ","BEST_FPERIOD_OVERRIDE=FQ","FILING_STATUS=MR","SCALING_FORMAT=MLN","Sort=A","Dates=H","DateFormat=P","Fill=—","Direction=H","UseDPDF=Y")</f>
        <v>3373.2579999999998</v>
      </c>
      <c r="K13" s="13" cm="1">
        <f t="array" ref="K13">_xll.BDH("NUE US Equity","BS_INVENTORIES","FQ3 2020","FQ3 2020","Currency=USD","Period=FQ","BEST_FPERIOD_OVERRIDE=FQ","FILING_STATUS=MR","SCALING_FORMAT=MLN","Sort=A","Dates=H","DateFormat=P","Fill=—","Direction=H","UseDPDF=Y")</f>
        <v>3260.6849999999999</v>
      </c>
      <c r="L13" s="13" cm="1">
        <f t="array" ref="L13">_xll.BDH("NUE US Equity","BS_INVENTORIES","FQ4 2020","FQ4 2020","Currency=USD","Period=FQ","BEST_FPERIOD_OVERRIDE=FQ","FILING_STATUS=MR","SCALING_FORMAT=MLN","Sort=A","Dates=H","DateFormat=P","Fill=—","Direction=H","UseDPDF=Y")</f>
        <v>3569.0889999999999</v>
      </c>
      <c r="M13" s="13" cm="1">
        <f t="array" ref="M13">_xll.BDH("NUE US Equity","BS_INVENTORIES","FQ1 2021","FQ1 2021","Currency=USD","Period=FQ","BEST_FPERIOD_OVERRIDE=FQ","FILING_STATUS=MR","SCALING_FORMAT=MLN","Sort=A","Dates=H","DateFormat=P","Fill=—","Direction=H","UseDPDF=Y")</f>
        <v>4360.1220000000003</v>
      </c>
      <c r="N13" s="13" cm="1">
        <f t="array" ref="N13">_xll.BDH("NUE US Equity","BS_INVENTORIES","FQ2 2021","FQ2 2021","Currency=USD","Period=FQ","BEST_FPERIOD_OVERRIDE=FQ","FILING_STATUS=MR","SCALING_FORMAT=MLN","Sort=A","Dates=H","DateFormat=P","Fill=—","Direction=H","UseDPDF=Y")</f>
        <v>5240.75</v>
      </c>
      <c r="O13" s="13" cm="1">
        <f t="array" ref="O13">_xll.BDH("NUE US Equity","BS_INVENTORIES","FQ3 2021","FQ3 2021","Currency=USD","Period=FQ","BEST_FPERIOD_OVERRIDE=FQ","FILING_STATUS=MR","SCALING_FORMAT=MLN","Sort=A","Dates=H","DateFormat=P","Fill=—","Direction=H","UseDPDF=Y")</f>
        <v>5678.7150000000001</v>
      </c>
      <c r="P13" s="13" cm="1">
        <f t="array" ref="P13">_xll.BDH("NUE US Equity","BS_INVENTORIES","FQ4 2021","FQ4 2021","Currency=USD","Period=FQ","BEST_FPERIOD_OVERRIDE=FQ","FILING_STATUS=MR","SCALING_FORMAT=MLN","Sort=A","Dates=H","DateFormat=P","Fill=—","Direction=H","UseDPDF=Y")</f>
        <v>6011.1819999999998</v>
      </c>
      <c r="Q13" s="13" cm="1">
        <f t="array" ref="Q13">_xll.BDH("NUE US Equity","BS_INVENTORIES","FQ1 2022","FQ1 2022","Currency=USD","Period=FQ","BEST_FPERIOD_OVERRIDE=FQ","FILING_STATUS=MR","SCALING_FORMAT=MLN","Sort=A","Dates=H","DateFormat=P","Fill=—","Direction=H","UseDPDF=Y")</f>
        <v>6245.6790000000001</v>
      </c>
      <c r="R13" s="13" cm="1">
        <f t="array" ref="R13">_xll.BDH("NUE US Equity","BS_INVENTORIES","FQ2 2022","FQ2 2022","Currency=USD","Period=FQ","BEST_FPERIOD_OVERRIDE=FQ","FILING_STATUS=MR","SCALING_FORMAT=MLN","Sort=A","Dates=H","DateFormat=P","Fill=—","Direction=H","UseDPDF=Y")</f>
        <v>6579.1419999999998</v>
      </c>
      <c r="S13" s="13" cm="1">
        <f t="array" ref="S13">_xll.BDH("NUE US Equity","BS_INVENTORIES","FQ3 2022","FQ3 2022","Currency=USD","Period=FQ","BEST_FPERIOD_OVERRIDE=FQ","FILING_STATUS=MR","SCALING_FORMAT=MLN","Sort=A","Dates=H","DateFormat=P","Fill=—","Direction=H","UseDPDF=Y")</f>
        <v>6046.2349999999997</v>
      </c>
      <c r="T13" s="13" cm="1">
        <f t="array" ref="T13">_xll.BDH("NUE US Equity","BS_INVENTORIES","FQ4 2022","FQ4 2022","Currency=USD","Period=FQ","BEST_FPERIOD_OVERRIDE=FQ","FILING_STATUS=MR","SCALING_FORMAT=MLN","Sort=A","Dates=H","DateFormat=P","Fill=—","Direction=H","UseDPDF=Y")</f>
        <v>5453.5309999999999</v>
      </c>
      <c r="U13" s="13" cm="1">
        <f t="array" ref="U13">_xll.BDH("NUE US Equity","BS_INVENTORIES","FQ1 2023","FQ1 2023","Currency=USD","Period=FQ","BEST_FPERIOD_OVERRIDE=FQ","FILING_STATUS=MR","SCALING_FORMAT=MLN","Sort=A","Dates=H","DateFormat=P","Fill=—","Direction=H","UseDPDF=Y")</f>
        <v>5590.8519999999999</v>
      </c>
      <c r="V13" s="13" cm="1">
        <f t="array" ref="V13">_xll.BDH("NUE US Equity","BS_INVENTORIES","FQ2 2023","FQ2 2023","Currency=USD","Period=FQ","BEST_FPERIOD_OVERRIDE=FQ","FILING_STATUS=MR","SCALING_FORMAT=MLN","Sort=A","Dates=H","DateFormat=P","Fill=—","Direction=H","UseDPDF=Y")</f>
        <v>5632.3239999999996</v>
      </c>
      <c r="W13" s="13" cm="1">
        <f t="array" ref="W13">_xll.BDH("NUE US Equity","BS_INVENTORIES","FQ3 2023","FQ3 2023","Currency=USD","Period=FQ","BEST_FPERIOD_OVERRIDE=FQ","FILING_STATUS=MR","SCALING_FORMAT=MLN","Sort=A","Dates=H","DateFormat=P","Fill=—","Direction=H","UseDPDF=Y")</f>
        <v>5246.3649999999998</v>
      </c>
      <c r="X13" s="13" cm="1">
        <f t="array" ref="X13">_xll.BDH("NUE US Equity","BS_INVENTORIES","FQ4 2023","FQ4 2023","Currency=USD","Period=FQ","BEST_FPERIOD_OVERRIDE=FQ","FILING_STATUS=MR","SCALING_FORMAT=MLN","Sort=A","Dates=H","DateFormat=P","Fill=—","Direction=H","UseDPDF=Y")</f>
        <v>5577.7579999999998</v>
      </c>
      <c r="Y13" s="13" cm="1">
        <f t="array" ref="Y13">_xll.BDH("NUE US Equity","BS_INVENTORIES","FQ1 2024","FQ1 2024","Currency=USD","Period=FQ","BEST_FPERIOD_OVERRIDE=FQ","FILING_STATUS=MR","SCALING_FORMAT=MLN","Sort=A","Dates=H","DateFormat=P","Fill=—","Direction=H","UseDPDF=Y")</f>
        <v>5589.6750000000002</v>
      </c>
      <c r="Z13" s="13" cm="1">
        <f t="array" ref="Z13">_xll.BDH("NUE US Equity","BS_INVENTORIES","FQ2 2024","FQ2 2024","Currency=USD","Period=FQ","BEST_FPERIOD_OVERRIDE=FQ","FILING_STATUS=MR","SCALING_FORMAT=MLN","Sort=A","Dates=H","DateFormat=P","Fill=—","Direction=H","UseDPDF=Y")</f>
        <v>5255.8429999999998</v>
      </c>
      <c r="AA13" s="13" cm="1">
        <f t="array" ref="AA13">_xll.BDH("NUE US Equity","BS_INVENTORIES","FQ3 2024","FQ3 2024","Currency=USD","Period=FQ","BEST_FPERIOD_OVERRIDE=FQ","FILING_STATUS=MR","SCALING_FORMAT=MLN","Sort=A","Dates=H","DateFormat=P","Fill=—","Direction=H","UseDPDF=Y")</f>
        <v>5126.4930000000004</v>
      </c>
      <c r="AB13" s="13" cm="1">
        <f t="array" ref="AB13">_xll.BDH("NUE US Equity","BS_INVENTORIES","FQ4 2024","FQ4 2024","Currency=USD","Period=FQ","BEST_FPERIOD_OVERRIDE=FQ","FILING_STATUS=MR","SCALING_FORMAT=MLN","Sort=A","Dates=H","DateFormat=P","Fill=—","Direction=H","UseDPDF=Y")</f>
        <v>5106</v>
      </c>
      <c r="AC13" s="13" cm="1">
        <f t="array" ref="AC13">_xll.BDH("NUE US Equity","BS_INVENTORIES","FQ1 2025","FQ1 2025","Currency=USD","Period=FQ","BEST_FPERIOD_OVERRIDE=FQ","FILING_STATUS=MR","SCALING_FORMAT=MLN","Sort=A","Dates=H","DateFormat=P","Fill=—","Direction=H","UseDPDF=Y")</f>
        <v>5256</v>
      </c>
      <c r="AD13" s="13" cm="1">
        <f t="array" ref="AD13">_xll.BDH("NUE US Equity","BS_INVENTORIES","FQ2 2025","FQ2 2025","Currency=USD","Period=FQ","BEST_FPERIOD_OVERRIDE=FQ","FILING_STATUS=MR","SCALING_FORMAT=MLN","Sort=A","Dates=H","DateFormat=P","Fill=—","Direction=H","UseDPDF=Y")</f>
        <v>5462</v>
      </c>
      <c r="AE13" s="13" cm="1">
        <f t="array" ref="AE13">_xll.BDH("NUE US Equity","BS_INVENTORIES","FQ3 2025","FQ3 2025","Currency=USD","Period=FQ","BEST_FPERIOD_OVERRIDE=FQ","FILING_STATUS=MR","SCALING_FORMAT=MLN","Sort=A","Dates=H","DateFormat=P","Fill=—","Direction=H","UseDPDF=Y")</f>
        <v>5393</v>
      </c>
      <c r="AF13" s="13" cm="1">
        <f t="array" ref="AF13">_xll.BDH("NUE US Equity","BS_INVENTORIES","FQ4 2025","FQ4 2025","Currency=USD","Period=FQ","BEST_FPERIOD_OVERRIDE=FQ","FILING_STATUS=MR","SCALING_FORMAT=MLN","Sort=A","Dates=H","DateFormat=P","Fill=—","Direction=H","UseDPDF=Y")</f>
        <v>5462</v>
      </c>
    </row>
    <row r="14" spans="1:32" x14ac:dyDescent="0.25">
      <c r="A14" s="10" t="s">
        <v>80</v>
      </c>
      <c r="B14" s="10" t="s">
        <v>81</v>
      </c>
      <c r="C14" s="13" cm="1">
        <f t="array" ref="C14">_xll.BDH("NUE US Equity","OTHER_CURRENT_ASSETS_DETAILED","FQ3 2018","FQ3 2018","Currency=USD","Period=FQ","BEST_FPERIOD_OVERRIDE=FQ","FILING_STATUS=MR","SCALING_FORMAT=MLN","Sort=A","Dates=H","DateFormat=P","Fill=—","Direction=H","UseDPDF=Y")</f>
        <v>170.34399999999999</v>
      </c>
      <c r="D14" s="13" cm="1">
        <f t="array" ref="D14">_xll.BDH("NUE US Equity","OTHER_CURRENT_ASSETS_DETAILED","FQ4 2018","FQ4 2018","Currency=USD","Period=FQ","BEST_FPERIOD_OVERRIDE=FQ","FILING_STATUS=MR","SCALING_FORMAT=MLN","Sort=A","Dates=H","DateFormat=P","Fill=—","Direction=H","UseDPDF=Y")</f>
        <v>178.31100000000001</v>
      </c>
      <c r="E14" s="13" cm="1">
        <f t="array" ref="E14">_xll.BDH("NUE US Equity","OTHER_CURRENT_ASSETS_DETAILED","FQ1 2019","FQ1 2019","Currency=USD","Period=FQ","BEST_FPERIOD_OVERRIDE=FQ","FILING_STATUS=MR","SCALING_FORMAT=MLN","Sort=A","Dates=H","DateFormat=P","Fill=—","Direction=H","UseDPDF=Y")</f>
        <v>121.17</v>
      </c>
      <c r="F14" s="13" cm="1">
        <f t="array" ref="F14">_xll.BDH("NUE US Equity","OTHER_CURRENT_ASSETS_DETAILED","FQ2 2019","FQ2 2019","Currency=USD","Period=FQ","BEST_FPERIOD_OVERRIDE=FQ","FILING_STATUS=MR","SCALING_FORMAT=MLN","Sort=A","Dates=H","DateFormat=P","Fill=—","Direction=H","UseDPDF=Y")</f>
        <v>317.36900000000003</v>
      </c>
      <c r="G14" s="13" cm="1">
        <f t="array" ref="G14">_xll.BDH("NUE US Equity","OTHER_CURRENT_ASSETS_DETAILED","FQ3 2019","FQ3 2019","Currency=USD","Period=FQ","BEST_FPERIOD_OVERRIDE=FQ","FILING_STATUS=MR","SCALING_FORMAT=MLN","Sort=A","Dates=H","DateFormat=P","Fill=—","Direction=H","UseDPDF=Y")</f>
        <v>363.47699999999998</v>
      </c>
      <c r="H14" s="13" cm="1">
        <f t="array" ref="H14">_xll.BDH("NUE US Equity","OTHER_CURRENT_ASSETS_DETAILED","FQ4 2019","FQ4 2019","Currency=USD","Period=FQ","BEST_FPERIOD_OVERRIDE=FQ","FILING_STATUS=MR","SCALING_FORMAT=MLN","Sort=A","Dates=H","DateFormat=P","Fill=—","Direction=H","UseDPDF=Y")</f>
        <v>389.52800000000002</v>
      </c>
      <c r="I14" s="13" cm="1">
        <f t="array" ref="I14">_xll.BDH("NUE US Equity","OTHER_CURRENT_ASSETS_DETAILED","FQ1 2020","FQ1 2020","Currency=USD","Period=FQ","BEST_FPERIOD_OVERRIDE=FQ","FILING_STATUS=MR","SCALING_FORMAT=MLN","Sort=A","Dates=H","DateFormat=P","Fill=—","Direction=H","UseDPDF=Y")</f>
        <v>307.34699999999998</v>
      </c>
      <c r="J14" s="13" cm="1">
        <f t="array" ref="J14">_xll.BDH("NUE US Equity","OTHER_CURRENT_ASSETS_DETAILED","FQ2 2020","FQ2 2020","Currency=USD","Period=FQ","BEST_FPERIOD_OVERRIDE=FQ","FILING_STATUS=MR","SCALING_FORMAT=MLN","Sort=A","Dates=H","DateFormat=P","Fill=—","Direction=H","UseDPDF=Y")</f>
        <v>336.11500000000001</v>
      </c>
      <c r="K14" s="13" cm="1">
        <f t="array" ref="K14">_xll.BDH("NUE US Equity","OTHER_CURRENT_ASSETS_DETAILED","FQ3 2020","FQ3 2020","Currency=USD","Period=FQ","BEST_FPERIOD_OVERRIDE=FQ","FILING_STATUS=MR","SCALING_FORMAT=MLN","Sort=A","Dates=H","DateFormat=P","Fill=—","Direction=H","UseDPDF=Y")</f>
        <v>306.762</v>
      </c>
      <c r="L14" s="13" cm="1">
        <f t="array" ref="L14">_xll.BDH("NUE US Equity","OTHER_CURRENT_ASSETS_DETAILED","FQ4 2020","FQ4 2020","Currency=USD","Period=FQ","BEST_FPERIOD_OVERRIDE=FQ","FILING_STATUS=MR","SCALING_FORMAT=MLN","Sort=A","Dates=H","DateFormat=P","Fill=—","Direction=H","UseDPDF=Y")</f>
        <v>573.048</v>
      </c>
      <c r="M14" s="13" cm="1">
        <f t="array" ref="M14">_xll.BDH("NUE US Equity","OTHER_CURRENT_ASSETS_DETAILED","FQ1 2021","FQ1 2021","Currency=USD","Period=FQ","BEST_FPERIOD_OVERRIDE=FQ","FILING_STATUS=MR","SCALING_FORMAT=MLN","Sort=A","Dates=H","DateFormat=P","Fill=—","Direction=H","UseDPDF=Y")</f>
        <v>356.72699999999998</v>
      </c>
      <c r="N14" s="13" cm="1">
        <f t="array" ref="N14">_xll.BDH("NUE US Equity","OTHER_CURRENT_ASSETS_DETAILED","FQ2 2021","FQ2 2021","Currency=USD","Period=FQ","BEST_FPERIOD_OVERRIDE=FQ","FILING_STATUS=MR","SCALING_FORMAT=MLN","Sort=A","Dates=H","DateFormat=P","Fill=—","Direction=H","UseDPDF=Y")</f>
        <v>295.048</v>
      </c>
      <c r="O14" s="13" cm="1">
        <f t="array" ref="O14">_xll.BDH("NUE US Equity","OTHER_CURRENT_ASSETS_DETAILED","FQ3 2021","FQ3 2021","Currency=USD","Period=FQ","BEST_FPERIOD_OVERRIDE=FQ","FILING_STATUS=MR","SCALING_FORMAT=MLN","Sort=A","Dates=H","DateFormat=P","Fill=—","Direction=H","UseDPDF=Y")</f>
        <v>346.27699999999999</v>
      </c>
      <c r="P14" s="13" cm="1">
        <f t="array" ref="P14">_xll.BDH("NUE US Equity","OTHER_CURRENT_ASSETS_DETAILED","FQ4 2021","FQ4 2021","Currency=USD","Period=FQ","BEST_FPERIOD_OVERRIDE=FQ","FILING_STATUS=MR","SCALING_FORMAT=MLN","Sort=A","Dates=H","DateFormat=P","Fill=—","Direction=H","UseDPDF=Y")</f>
        <v>316.54000000000002</v>
      </c>
      <c r="Q14" s="13" cm="1">
        <f t="array" ref="Q14">_xll.BDH("NUE US Equity","OTHER_CURRENT_ASSETS_DETAILED","FQ1 2022","FQ1 2022","Currency=USD","Period=FQ","BEST_FPERIOD_OVERRIDE=FQ","FILING_STATUS=MR","SCALING_FORMAT=MLN","Sort=A","Dates=H","DateFormat=P","Fill=—","Direction=H","UseDPDF=Y")</f>
        <v>252.06</v>
      </c>
      <c r="R14" s="13" cm="1">
        <f t="array" ref="R14">_xll.BDH("NUE US Equity","OTHER_CURRENT_ASSETS_DETAILED","FQ2 2022","FQ2 2022","Currency=USD","Period=FQ","BEST_FPERIOD_OVERRIDE=FQ","FILING_STATUS=MR","SCALING_FORMAT=MLN","Sort=A","Dates=H","DateFormat=P","Fill=—","Direction=H","UseDPDF=Y")</f>
        <v>339.07400000000001</v>
      </c>
      <c r="S14" s="13" cm="1">
        <f t="array" ref="S14">_xll.BDH("NUE US Equity","OTHER_CURRENT_ASSETS_DETAILED","FQ3 2022","FQ3 2022","Currency=USD","Period=FQ","BEST_FPERIOD_OVERRIDE=FQ","FILING_STATUS=MR","SCALING_FORMAT=MLN","Sort=A","Dates=H","DateFormat=P","Fill=—","Direction=H","UseDPDF=Y")</f>
        <v>682.28899999999999</v>
      </c>
      <c r="T14" s="13" cm="1">
        <f t="array" ref="T14">_xll.BDH("NUE US Equity","OTHER_CURRENT_ASSETS_DETAILED","FQ4 2022","FQ4 2022","Currency=USD","Period=FQ","BEST_FPERIOD_OVERRIDE=FQ","FILING_STATUS=MR","SCALING_FORMAT=MLN","Sort=A","Dates=H","DateFormat=P","Fill=—","Direction=H","UseDPDF=Y")</f>
        <v>789.32500000000005</v>
      </c>
      <c r="U14" s="13" cm="1">
        <f t="array" ref="U14">_xll.BDH("NUE US Equity","OTHER_CURRENT_ASSETS_DETAILED","FQ1 2023","FQ1 2023","Currency=USD","Period=FQ","BEST_FPERIOD_OVERRIDE=FQ","FILING_STATUS=MR","SCALING_FORMAT=MLN","Sort=A","Dates=H","DateFormat=P","Fill=—","Direction=H","UseDPDF=Y")</f>
        <v>445.714</v>
      </c>
      <c r="V14" s="13" cm="1">
        <f t="array" ref="V14">_xll.BDH("NUE US Equity","OTHER_CURRENT_ASSETS_DETAILED","FQ2 2023","FQ2 2023","Currency=USD","Period=FQ","BEST_FPERIOD_OVERRIDE=FQ","FILING_STATUS=MR","SCALING_FORMAT=MLN","Sort=A","Dates=H","DateFormat=P","Fill=—","Direction=H","UseDPDF=Y")</f>
        <v>402.21300000000002</v>
      </c>
      <c r="W14" s="13" cm="1">
        <f t="array" ref="W14">_xll.BDH("NUE US Equity","OTHER_CURRENT_ASSETS_DETAILED","FQ3 2023","FQ3 2023","Currency=USD","Period=FQ","BEST_FPERIOD_OVERRIDE=FQ","FILING_STATUS=MR","SCALING_FORMAT=MLN","Sort=A","Dates=H","DateFormat=P","Fill=—","Direction=H","UseDPDF=Y")</f>
        <v>555.78399999999999</v>
      </c>
      <c r="X14" s="13" cm="1">
        <f t="array" ref="X14">_xll.BDH("NUE US Equity","OTHER_CURRENT_ASSETS_DETAILED","FQ4 2023","FQ4 2023","Currency=USD","Period=FQ","BEST_FPERIOD_OVERRIDE=FQ","FILING_STATUS=MR","SCALING_FORMAT=MLN","Sort=A","Dates=H","DateFormat=P","Fill=—","Direction=H","UseDPDF=Y")</f>
        <v>724.01199999999994</v>
      </c>
      <c r="Y14" s="13" cm="1">
        <f t="array" ref="Y14">_xll.BDH("NUE US Equity","OTHER_CURRENT_ASSETS_DETAILED","FQ1 2024","FQ1 2024","Currency=USD","Period=FQ","BEST_FPERIOD_OVERRIDE=FQ","FILING_STATUS=MR","SCALING_FORMAT=MLN","Sort=A","Dates=H","DateFormat=P","Fill=—","Direction=H","UseDPDF=Y")</f>
        <v>356.88200000000001</v>
      </c>
      <c r="Z14" s="13" cm="1">
        <f t="array" ref="Z14">_xll.BDH("NUE US Equity","OTHER_CURRENT_ASSETS_DETAILED","FQ2 2024","FQ2 2024","Currency=USD","Period=FQ","BEST_FPERIOD_OVERRIDE=FQ","FILING_STATUS=MR","SCALING_FORMAT=MLN","Sort=A","Dates=H","DateFormat=P","Fill=—","Direction=H","UseDPDF=Y")</f>
        <v>455.04199999999997</v>
      </c>
      <c r="AA14" s="13" cm="1">
        <f t="array" ref="AA14">_xll.BDH("NUE US Equity","OTHER_CURRENT_ASSETS_DETAILED","FQ3 2024","FQ3 2024","Currency=USD","Period=FQ","BEST_FPERIOD_OVERRIDE=FQ","FILING_STATUS=MR","SCALING_FORMAT=MLN","Sort=A","Dates=H","DateFormat=P","Fill=—","Direction=H","UseDPDF=Y")</f>
        <v>587.08500000000004</v>
      </c>
      <c r="AB14" s="13" cm="1">
        <f t="array" ref="AB14">_xll.BDH("NUE US Equity","OTHER_CURRENT_ASSETS_DETAILED","FQ4 2024","FQ4 2024","Currency=USD","Period=FQ","BEST_FPERIOD_OVERRIDE=FQ","FILING_STATUS=MR","SCALING_FORMAT=MLN","Sort=A","Dates=H","DateFormat=P","Fill=—","Direction=H","UseDPDF=Y")</f>
        <v>555</v>
      </c>
      <c r="AC14" s="13" cm="1">
        <f t="array" ref="AC14">_xll.BDH("NUE US Equity","OTHER_CURRENT_ASSETS_DETAILED","FQ1 2025","FQ1 2025","Currency=USD","Period=FQ","BEST_FPERIOD_OVERRIDE=FQ","FILING_STATUS=MR","SCALING_FORMAT=MLN","Sort=A","Dates=H","DateFormat=P","Fill=—","Direction=H","UseDPDF=Y")</f>
        <v>478</v>
      </c>
      <c r="AD14" s="13" cm="1">
        <f t="array" ref="AD14">_xll.BDH("NUE US Equity","OTHER_CURRENT_ASSETS_DETAILED","FQ2 2025","FQ2 2025","Currency=USD","Period=FQ","BEST_FPERIOD_OVERRIDE=FQ","FILING_STATUS=MR","SCALING_FORMAT=MLN","Sort=A","Dates=H","DateFormat=P","Fill=—","Direction=H","UseDPDF=Y")</f>
        <v>386</v>
      </c>
      <c r="AE14" s="13" cm="1">
        <f t="array" ref="AE14">_xll.BDH("NUE US Equity","OTHER_CURRENT_ASSETS_DETAILED","FQ3 2025","FQ3 2025","Currency=USD","Period=FQ","BEST_FPERIOD_OVERRIDE=FQ","FILING_STATUS=MR","SCALING_FORMAT=MLN","Sort=A","Dates=H","DateFormat=P","Fill=—","Direction=H","UseDPDF=Y")</f>
        <v>382</v>
      </c>
      <c r="AF14" s="13" cm="1">
        <f t="array" ref="AF14">_xll.BDH("NUE US Equity","OTHER_CURRENT_ASSETS_DETAILED","FQ4 2025","FQ4 2025","Currency=USD","Period=FQ","BEST_FPERIOD_OVERRIDE=FQ","FILING_STATUS=MR","SCALING_FORMAT=MLN","Sort=A","Dates=H","DateFormat=P","Fill=—","Direction=H","UseDPDF=Y")</f>
        <v>499</v>
      </c>
    </row>
    <row r="15" spans="1:32" x14ac:dyDescent="0.25">
      <c r="A15" s="10" t="s">
        <v>82</v>
      </c>
      <c r="B15" s="10" t="s">
        <v>83</v>
      </c>
      <c r="C15" s="13" cm="1">
        <f t="array" ref="C15">_xll.BDH("NUE US Equity","BS_DERIV_HEDGING_ASST_ST","FQ3 2018","FQ3 2018","Currency=USD","Period=FQ","BEST_FPERIOD_OVERRIDE=FQ","FILING_STATUS=MR","SCALING_FORMAT=MLN","Sort=A","Dates=H","DateFormat=P","Fill=—","Direction=H","UseDPDF=Y")</f>
        <v>2.2370000000000001</v>
      </c>
      <c r="D15" s="13" cm="1">
        <f t="array" ref="D15">_xll.BDH("NUE US Equity","BS_DERIV_HEDGING_ASST_ST","FQ4 2018","FQ4 2018","Currency=USD","Period=FQ","BEST_FPERIOD_OVERRIDE=FQ","FILING_STATUS=MR","SCALING_FORMAT=MLN","Sort=A","Dates=H","DateFormat=P","Fill=—","Direction=H","UseDPDF=Y")</f>
        <v>4.7720000000000002</v>
      </c>
      <c r="E15" s="13" cm="1">
        <f t="array" ref="E15">_xll.BDH("NUE US Equity","BS_DERIV_HEDGING_ASST_ST","FQ1 2019","FQ1 2019","Currency=USD","Period=FQ","BEST_FPERIOD_OVERRIDE=FQ","FILING_STATUS=MR","SCALING_FORMAT=MLN","Sort=A","Dates=H","DateFormat=P","Fill=—","Direction=H","UseDPDF=Y")</f>
        <v>0.78500000000000003</v>
      </c>
      <c r="F15" s="13" cm="1">
        <f t="array" ref="F15">_xll.BDH("NUE US Equity","BS_DERIV_HEDGING_ASST_ST","FQ2 2019","FQ2 2019","Currency=USD","Period=FQ","BEST_FPERIOD_OVERRIDE=FQ","FILING_STATUS=MR","SCALING_FORMAT=MLN","Sort=A","Dates=H","DateFormat=P","Fill=—","Direction=H","UseDPDF=Y")</f>
        <v>1.0780000000000001</v>
      </c>
      <c r="G15" s="13" cm="1">
        <f t="array" ref="G15">_xll.BDH("NUE US Equity","BS_DERIV_HEDGING_ASST_ST","FQ3 2019","FQ3 2019","Currency=USD","Period=FQ","BEST_FPERIOD_OVERRIDE=FQ","FILING_STATUS=MR","SCALING_FORMAT=MLN","Sort=A","Dates=H","DateFormat=P","Fill=—","Direction=H","UseDPDF=Y")</f>
        <v>2.2280000000000002</v>
      </c>
      <c r="H15" s="13" cm="1">
        <f t="array" ref="H15">_xll.BDH("NUE US Equity","BS_DERIV_HEDGING_ASST_ST","FQ4 2019","FQ4 2019","Currency=USD","Period=FQ","BEST_FPERIOD_OVERRIDE=FQ","FILING_STATUS=MR","SCALING_FORMAT=MLN","Sort=A","Dates=H","DateFormat=P","Fill=—","Direction=H","UseDPDF=Y")</f>
        <v>0</v>
      </c>
      <c r="I15" s="13" cm="1">
        <f t="array" ref="I15">_xll.BDH("NUE US Equity","BS_DERIV_HEDGING_ASST_ST","FQ1 2020","FQ1 2020","Currency=USD","Period=FQ","BEST_FPERIOD_OVERRIDE=FQ","FILING_STATUS=MR","SCALING_FORMAT=MLN","Sort=A","Dates=H","DateFormat=P","Fill=—","Direction=H","UseDPDF=Y")</f>
        <v>4.6849999999999996</v>
      </c>
      <c r="J15" s="13" t="str" cm="1">
        <f t="array" ref="J15">_xll.BDH("NUE US Equity","BS_DERIV_HEDGING_ASST_ST","FQ2 2020","FQ2 2020","Currency=USD","Period=FQ","BEST_FPERIOD_OVERRIDE=FQ","FILING_STATUS=MR","SCALING_FORMAT=MLN","Sort=A","Dates=H","DateFormat=P","Fill=—","Direction=H","UseDPDF=Y")</f>
        <v>—</v>
      </c>
      <c r="K15" s="13" t="str" cm="1">
        <f t="array" ref="K15">_xll.BDH("NUE US Equity","BS_DERIV_HEDGING_ASST_ST","FQ3 2020","FQ3 2020","Currency=USD","Period=FQ","BEST_FPERIOD_OVERRIDE=FQ","FILING_STATUS=MR","SCALING_FORMAT=MLN","Sort=A","Dates=H","DateFormat=P","Fill=—","Direction=H","UseDPDF=Y")</f>
        <v>—</v>
      </c>
      <c r="L15" s="13" cm="1">
        <f t="array" ref="L15">_xll.BDH("NUE US Equity","BS_DERIV_HEDGING_ASST_ST","FQ4 2020","FQ4 2020","Currency=USD","Period=FQ","BEST_FPERIOD_OVERRIDE=FQ","FILING_STATUS=MR","SCALING_FORMAT=MLN","Sort=A","Dates=H","DateFormat=P","Fill=—","Direction=H","UseDPDF=Y")</f>
        <v>0</v>
      </c>
      <c r="M15" s="13" t="str" cm="1">
        <f t="array" ref="M15">_xll.BDH("NUE US Equity","BS_DERIV_HEDGING_ASST_ST","FQ1 2021","FQ1 2021","Currency=USD","Period=FQ","BEST_FPERIOD_OVERRIDE=FQ","FILING_STATUS=MR","SCALING_FORMAT=MLN","Sort=A","Dates=H","DateFormat=P","Fill=—","Direction=H","UseDPDF=Y")</f>
        <v>—</v>
      </c>
      <c r="N15" s="13" t="str" cm="1">
        <f t="array" ref="N15">_xll.BDH("NUE US Equity","BS_DERIV_HEDGING_ASST_ST","FQ2 2021","FQ2 2021","Currency=USD","Period=FQ","BEST_FPERIOD_OVERRIDE=FQ","FILING_STATUS=MR","SCALING_FORMAT=MLN","Sort=A","Dates=H","DateFormat=P","Fill=—","Direction=H","UseDPDF=Y")</f>
        <v>—</v>
      </c>
      <c r="O15" s="13" t="str" cm="1">
        <f t="array" ref="O15">_xll.BDH("NUE US Equity","BS_DERIV_HEDGING_ASST_ST","FQ3 2021","FQ3 2021","Currency=USD","Period=FQ","BEST_FPERIOD_OVERRIDE=FQ","FILING_STATUS=MR","SCALING_FORMAT=MLN","Sort=A","Dates=H","DateFormat=P","Fill=—","Direction=H","UseDPDF=Y")</f>
        <v>—</v>
      </c>
      <c r="P15" s="13" t="str" cm="1">
        <f t="array" ref="P15">_xll.BDH("NUE US Equity","BS_DERIV_HEDGING_ASST_ST","FQ4 2021","FQ4 2021","Currency=USD","Period=FQ","BEST_FPERIOD_OVERRIDE=FQ","FILING_STATUS=MR","SCALING_FORMAT=MLN","Sort=A","Dates=H","DateFormat=P","Fill=—","Direction=H","UseDPDF=Y")</f>
        <v>—</v>
      </c>
      <c r="Q15" s="13" t="str" cm="1">
        <f t="array" ref="Q15">_xll.BDH("NUE US Equity","BS_DERIV_HEDGING_ASST_ST","FQ1 2022","FQ1 2022","Currency=USD","Period=FQ","BEST_FPERIOD_OVERRIDE=FQ","FILING_STATUS=MR","SCALING_FORMAT=MLN","Sort=A","Dates=H","DateFormat=P","Fill=—","Direction=H","UseDPDF=Y")</f>
        <v>—</v>
      </c>
      <c r="R15" s="13" t="str" cm="1">
        <f t="array" ref="R15">_xll.BDH("NUE US Equity","BS_DERIV_HEDGING_ASST_ST","FQ2 2022","FQ2 2022","Currency=USD","Period=FQ","BEST_FPERIOD_OVERRIDE=FQ","FILING_STATUS=MR","SCALING_FORMAT=MLN","Sort=A","Dates=H","DateFormat=P","Fill=—","Direction=H","UseDPDF=Y")</f>
        <v>—</v>
      </c>
      <c r="S15" s="13" t="str" cm="1">
        <f t="array" ref="S15">_xll.BDH("NUE US Equity","BS_DERIV_HEDGING_ASST_ST","FQ3 2022","FQ3 2022","Currency=USD","Period=FQ","BEST_FPERIOD_OVERRIDE=FQ","FILING_STATUS=MR","SCALING_FORMAT=MLN","Sort=A","Dates=H","DateFormat=P","Fill=—","Direction=H","UseDPDF=Y")</f>
        <v>—</v>
      </c>
      <c r="T15" s="13" t="str" cm="1">
        <f t="array" ref="T15">_xll.BDH("NUE US Equity","BS_DERIV_HEDGING_ASST_ST","FQ4 2022","FQ4 2022","Currency=USD","Period=FQ","BEST_FPERIOD_OVERRIDE=FQ","FILING_STATUS=MR","SCALING_FORMAT=MLN","Sort=A","Dates=H","DateFormat=P","Fill=—","Direction=H","UseDPDF=Y")</f>
        <v>—</v>
      </c>
      <c r="U15" s="13" t="str" cm="1">
        <f t="array" ref="U15">_xll.BDH("NUE US Equity","BS_DERIV_HEDGING_ASST_ST","FQ1 2023","FQ1 2023","Currency=USD","Period=FQ","BEST_FPERIOD_OVERRIDE=FQ","FILING_STATUS=MR","SCALING_FORMAT=MLN","Sort=A","Dates=H","DateFormat=P","Fill=—","Direction=H","UseDPDF=Y")</f>
        <v>—</v>
      </c>
      <c r="V15" s="13" t="str" cm="1">
        <f t="array" ref="V15">_xll.BDH("NUE US Equity","BS_DERIV_HEDGING_ASST_ST","FQ2 2023","FQ2 2023","Currency=USD","Period=FQ","BEST_FPERIOD_OVERRIDE=FQ","FILING_STATUS=MR","SCALING_FORMAT=MLN","Sort=A","Dates=H","DateFormat=P","Fill=—","Direction=H","UseDPDF=Y")</f>
        <v>—</v>
      </c>
      <c r="W15" s="13" t="str" cm="1">
        <f t="array" ref="W15">_xll.BDH("NUE US Equity","BS_DERIV_HEDGING_ASST_ST","FQ3 2023","FQ3 2023","Currency=USD","Period=FQ","BEST_FPERIOD_OVERRIDE=FQ","FILING_STATUS=MR","SCALING_FORMAT=MLN","Sort=A","Dates=H","DateFormat=P","Fill=—","Direction=H","UseDPDF=Y")</f>
        <v>—</v>
      </c>
      <c r="X15" s="13" t="str" cm="1">
        <f t="array" ref="X15">_xll.BDH("NUE US Equity","BS_DERIV_HEDGING_ASST_ST","FQ4 2023","FQ4 2023","Currency=USD","Period=FQ","BEST_FPERIOD_OVERRIDE=FQ","FILING_STATUS=MR","SCALING_FORMAT=MLN","Sort=A","Dates=H","DateFormat=P","Fill=—","Direction=H","UseDPDF=Y")</f>
        <v>—</v>
      </c>
      <c r="Y15" s="13" t="str" cm="1">
        <f t="array" ref="Y15">_xll.BDH("NUE US Equity","BS_DERIV_HEDGING_ASST_ST","FQ1 2024","FQ1 2024","Currency=USD","Period=FQ","BEST_FPERIOD_OVERRIDE=FQ","FILING_STATUS=MR","SCALING_FORMAT=MLN","Sort=A","Dates=H","DateFormat=P","Fill=—","Direction=H","UseDPDF=Y")</f>
        <v>—</v>
      </c>
      <c r="Z15" s="13" t="str" cm="1">
        <f t="array" ref="Z15">_xll.BDH("NUE US Equity","BS_DERIV_HEDGING_ASST_ST","FQ2 2024","FQ2 2024","Currency=USD","Period=FQ","BEST_FPERIOD_OVERRIDE=FQ","FILING_STATUS=MR","SCALING_FORMAT=MLN","Sort=A","Dates=H","DateFormat=P","Fill=—","Direction=H","UseDPDF=Y")</f>
        <v>—</v>
      </c>
      <c r="AA15" s="13" t="str" cm="1">
        <f t="array" ref="AA15">_xll.BDH("NUE US Equity","BS_DERIV_HEDGING_ASST_ST","FQ3 2024","FQ3 2024","Currency=USD","Period=FQ","BEST_FPERIOD_OVERRIDE=FQ","FILING_STATUS=MR","SCALING_FORMAT=MLN","Sort=A","Dates=H","DateFormat=P","Fill=—","Direction=H","UseDPDF=Y")</f>
        <v>—</v>
      </c>
      <c r="AB15" s="13" t="str" cm="1">
        <f t="array" ref="AB15">_xll.BDH("NUE US Equity","BS_DERIV_HEDGING_ASST_ST","FQ4 2024","FQ4 2024","Currency=USD","Period=FQ","BEST_FPERIOD_OVERRIDE=FQ","FILING_STATUS=MR","SCALING_FORMAT=MLN","Sort=A","Dates=H","DateFormat=P","Fill=—","Direction=H","UseDPDF=Y")</f>
        <v>—</v>
      </c>
      <c r="AC15" s="13" t="str" cm="1">
        <f t="array" ref="AC15">_xll.BDH("NUE US Equity","BS_DERIV_HEDGING_ASST_ST","FQ1 2025","FQ1 2025","Currency=USD","Period=FQ","BEST_FPERIOD_OVERRIDE=FQ","FILING_STATUS=MR","SCALING_FORMAT=MLN","Sort=A","Dates=H","DateFormat=P","Fill=—","Direction=H","UseDPDF=Y")</f>
        <v>—</v>
      </c>
      <c r="AD15" s="13" t="str" cm="1">
        <f t="array" ref="AD15">_xll.BDH("NUE US Equity","BS_DERIV_HEDGING_ASST_ST","FQ2 2025","FQ2 2025","Currency=USD","Period=FQ","BEST_FPERIOD_OVERRIDE=FQ","FILING_STATUS=MR","SCALING_FORMAT=MLN","Sort=A","Dates=H","DateFormat=P","Fill=—","Direction=H","UseDPDF=Y")</f>
        <v>—</v>
      </c>
      <c r="AE15" s="13" t="str" cm="1">
        <f t="array" ref="AE15">_xll.BDH("NUE US Equity","BS_DERIV_HEDGING_ASST_ST","FQ3 2025","FQ3 2025","Currency=USD","Period=FQ","BEST_FPERIOD_OVERRIDE=FQ","FILING_STATUS=MR","SCALING_FORMAT=MLN","Sort=A","Dates=H","DateFormat=P","Fill=—","Direction=H","UseDPDF=Y")</f>
        <v>—</v>
      </c>
      <c r="AF15" s="13" t="str" cm="1">
        <f t="array" ref="AF15">_xll.BDH("NUE US Equity","BS_DERIV_HEDGING_ASST_ST","FQ4 2025","FQ4 2025","Currency=USD","Period=FQ","BEST_FPERIOD_OVERRIDE=FQ","FILING_STATUS=MR","SCALING_FORMAT=MLN","Sort=A","Dates=H","DateFormat=P","Fill=—","Direction=H","UseDPDF=Y")</f>
        <v>—</v>
      </c>
    </row>
    <row r="16" spans="1:32" x14ac:dyDescent="0.25">
      <c r="A16" s="10" t="s">
        <v>84</v>
      </c>
      <c r="B16" s="10" t="s">
        <v>85</v>
      </c>
      <c r="C16" s="13" cm="1">
        <f t="array" ref="C16">_xll.BDH("NUE US Equity","BS_OTHER_CUR_ASSET_LESS_PREPAY","FQ3 2018","FQ3 2018","Currency=USD","Period=FQ","BEST_FPERIOD_OVERRIDE=FQ","FILING_STATUS=MR","SCALING_FORMAT=MLN","Sort=A","Dates=H","DateFormat=P","Fill=—","Direction=H","UseDPDF=Y")</f>
        <v>168.107</v>
      </c>
      <c r="D16" s="13" cm="1">
        <f t="array" ref="D16">_xll.BDH("NUE US Equity","BS_OTHER_CUR_ASSET_LESS_PREPAY","FQ4 2018","FQ4 2018","Currency=USD","Period=FQ","BEST_FPERIOD_OVERRIDE=FQ","FILING_STATUS=MR","SCALING_FORMAT=MLN","Sort=A","Dates=H","DateFormat=P","Fill=—","Direction=H","UseDPDF=Y")</f>
        <v>173.53899999999999</v>
      </c>
      <c r="E16" s="13" cm="1">
        <f t="array" ref="E16">_xll.BDH("NUE US Equity","BS_OTHER_CUR_ASSET_LESS_PREPAY","FQ1 2019","FQ1 2019","Currency=USD","Period=FQ","BEST_FPERIOD_OVERRIDE=FQ","FILING_STATUS=MR","SCALING_FORMAT=MLN","Sort=A","Dates=H","DateFormat=P","Fill=—","Direction=H","UseDPDF=Y")</f>
        <v>120.38500000000001</v>
      </c>
      <c r="F16" s="13" cm="1">
        <f t="array" ref="F16">_xll.BDH("NUE US Equity","BS_OTHER_CUR_ASSET_LESS_PREPAY","FQ2 2019","FQ2 2019","Currency=USD","Period=FQ","BEST_FPERIOD_OVERRIDE=FQ","FILING_STATUS=MR","SCALING_FORMAT=MLN","Sort=A","Dates=H","DateFormat=P","Fill=—","Direction=H","UseDPDF=Y")</f>
        <v>316.291</v>
      </c>
      <c r="G16" s="13" cm="1">
        <f t="array" ref="G16">_xll.BDH("NUE US Equity","BS_OTHER_CUR_ASSET_LESS_PREPAY","FQ3 2019","FQ3 2019","Currency=USD","Period=FQ","BEST_FPERIOD_OVERRIDE=FQ","FILING_STATUS=MR","SCALING_FORMAT=MLN","Sort=A","Dates=H","DateFormat=P","Fill=—","Direction=H","UseDPDF=Y")</f>
        <v>361.24900000000002</v>
      </c>
      <c r="H16" s="13" cm="1">
        <f t="array" ref="H16">_xll.BDH("NUE US Equity","BS_OTHER_CUR_ASSET_LESS_PREPAY","FQ4 2019","FQ4 2019","Currency=USD","Period=FQ","BEST_FPERIOD_OVERRIDE=FQ","FILING_STATUS=MR","SCALING_FORMAT=MLN","Sort=A","Dates=H","DateFormat=P","Fill=—","Direction=H","UseDPDF=Y")</f>
        <v>389.52800000000002</v>
      </c>
      <c r="I16" s="13" cm="1">
        <f t="array" ref="I16">_xll.BDH("NUE US Equity","BS_OTHER_CUR_ASSET_LESS_PREPAY","FQ1 2020","FQ1 2020","Currency=USD","Period=FQ","BEST_FPERIOD_OVERRIDE=FQ","FILING_STATUS=MR","SCALING_FORMAT=MLN","Sort=A","Dates=H","DateFormat=P","Fill=—","Direction=H","UseDPDF=Y")</f>
        <v>302.66199999999998</v>
      </c>
      <c r="J16" s="13" cm="1">
        <f t="array" ref="J16">_xll.BDH("NUE US Equity","BS_OTHER_CUR_ASSET_LESS_PREPAY","FQ2 2020","FQ2 2020","Currency=USD","Period=FQ","BEST_FPERIOD_OVERRIDE=FQ","FILING_STATUS=MR","SCALING_FORMAT=MLN","Sort=A","Dates=H","DateFormat=P","Fill=—","Direction=H","UseDPDF=Y")</f>
        <v>336.11500000000001</v>
      </c>
      <c r="K16" s="13" cm="1">
        <f t="array" ref="K16">_xll.BDH("NUE US Equity","BS_OTHER_CUR_ASSET_LESS_PREPAY","FQ3 2020","FQ3 2020","Currency=USD","Period=FQ","BEST_FPERIOD_OVERRIDE=FQ","FILING_STATUS=MR","SCALING_FORMAT=MLN","Sort=A","Dates=H","DateFormat=P","Fill=—","Direction=H","UseDPDF=Y")</f>
        <v>306.762</v>
      </c>
      <c r="L16" s="13" cm="1">
        <f t="array" ref="L16">_xll.BDH("NUE US Equity","BS_OTHER_CUR_ASSET_LESS_PREPAY","FQ4 2020","FQ4 2020","Currency=USD","Period=FQ","BEST_FPERIOD_OVERRIDE=FQ","FILING_STATUS=MR","SCALING_FORMAT=MLN","Sort=A","Dates=H","DateFormat=P","Fill=—","Direction=H","UseDPDF=Y")</f>
        <v>573.048</v>
      </c>
      <c r="M16" s="13" cm="1">
        <f t="array" ref="M16">_xll.BDH("NUE US Equity","BS_OTHER_CUR_ASSET_LESS_PREPAY","FQ1 2021","FQ1 2021","Currency=USD","Period=FQ","BEST_FPERIOD_OVERRIDE=FQ","FILING_STATUS=MR","SCALING_FORMAT=MLN","Sort=A","Dates=H","DateFormat=P","Fill=—","Direction=H","UseDPDF=Y")</f>
        <v>356.72699999999998</v>
      </c>
      <c r="N16" s="13" cm="1">
        <f t="array" ref="N16">_xll.BDH("NUE US Equity","BS_OTHER_CUR_ASSET_LESS_PREPAY","FQ2 2021","FQ2 2021","Currency=USD","Period=FQ","BEST_FPERIOD_OVERRIDE=FQ","FILING_STATUS=MR","SCALING_FORMAT=MLN","Sort=A","Dates=H","DateFormat=P","Fill=—","Direction=H","UseDPDF=Y")</f>
        <v>295.048</v>
      </c>
      <c r="O16" s="13" cm="1">
        <f t="array" ref="O16">_xll.BDH("NUE US Equity","BS_OTHER_CUR_ASSET_LESS_PREPAY","FQ3 2021","FQ3 2021","Currency=USD","Period=FQ","BEST_FPERIOD_OVERRIDE=FQ","FILING_STATUS=MR","SCALING_FORMAT=MLN","Sort=A","Dates=H","DateFormat=P","Fill=—","Direction=H","UseDPDF=Y")</f>
        <v>346.27699999999999</v>
      </c>
      <c r="P16" s="13" cm="1">
        <f t="array" ref="P16">_xll.BDH("NUE US Equity","BS_OTHER_CUR_ASSET_LESS_PREPAY","FQ4 2021","FQ4 2021","Currency=USD","Period=FQ","BEST_FPERIOD_OVERRIDE=FQ","FILING_STATUS=MR","SCALING_FORMAT=MLN","Sort=A","Dates=H","DateFormat=P","Fill=—","Direction=H","UseDPDF=Y")</f>
        <v>316.54000000000002</v>
      </c>
      <c r="Q16" s="13" cm="1">
        <f t="array" ref="Q16">_xll.BDH("NUE US Equity","BS_OTHER_CUR_ASSET_LESS_PREPAY","FQ1 2022","FQ1 2022","Currency=USD","Period=FQ","BEST_FPERIOD_OVERRIDE=FQ","FILING_STATUS=MR","SCALING_FORMAT=MLN","Sort=A","Dates=H","DateFormat=P","Fill=—","Direction=H","UseDPDF=Y")</f>
        <v>252.06</v>
      </c>
      <c r="R16" s="13" cm="1">
        <f t="array" ref="R16">_xll.BDH("NUE US Equity","BS_OTHER_CUR_ASSET_LESS_PREPAY","FQ2 2022","FQ2 2022","Currency=USD","Period=FQ","BEST_FPERIOD_OVERRIDE=FQ","FILING_STATUS=MR","SCALING_FORMAT=MLN","Sort=A","Dates=H","DateFormat=P","Fill=—","Direction=H","UseDPDF=Y")</f>
        <v>339.07400000000001</v>
      </c>
      <c r="S16" s="13" cm="1">
        <f t="array" ref="S16">_xll.BDH("NUE US Equity","BS_OTHER_CUR_ASSET_LESS_PREPAY","FQ3 2022","FQ3 2022","Currency=USD","Period=FQ","BEST_FPERIOD_OVERRIDE=FQ","FILING_STATUS=MR","SCALING_FORMAT=MLN","Sort=A","Dates=H","DateFormat=P","Fill=—","Direction=H","UseDPDF=Y")</f>
        <v>682.28899999999999</v>
      </c>
      <c r="T16" s="13" cm="1">
        <f t="array" ref="T16">_xll.BDH("NUE US Equity","BS_OTHER_CUR_ASSET_LESS_PREPAY","FQ4 2022","FQ4 2022","Currency=USD","Period=FQ","BEST_FPERIOD_OVERRIDE=FQ","FILING_STATUS=MR","SCALING_FORMAT=MLN","Sort=A","Dates=H","DateFormat=P","Fill=—","Direction=H","UseDPDF=Y")</f>
        <v>789.32500000000005</v>
      </c>
      <c r="U16" s="13" cm="1">
        <f t="array" ref="U16">_xll.BDH("NUE US Equity","BS_OTHER_CUR_ASSET_LESS_PREPAY","FQ1 2023","FQ1 2023","Currency=USD","Period=FQ","BEST_FPERIOD_OVERRIDE=FQ","FILING_STATUS=MR","SCALING_FORMAT=MLN","Sort=A","Dates=H","DateFormat=P","Fill=—","Direction=H","UseDPDF=Y")</f>
        <v>445.714</v>
      </c>
      <c r="V16" s="13" cm="1">
        <f t="array" ref="V16">_xll.BDH("NUE US Equity","BS_OTHER_CUR_ASSET_LESS_PREPAY","FQ2 2023","FQ2 2023","Currency=USD","Period=FQ","BEST_FPERIOD_OVERRIDE=FQ","FILING_STATUS=MR","SCALING_FORMAT=MLN","Sort=A","Dates=H","DateFormat=P","Fill=—","Direction=H","UseDPDF=Y")</f>
        <v>402.21300000000002</v>
      </c>
      <c r="W16" s="13" cm="1">
        <f t="array" ref="W16">_xll.BDH("NUE US Equity","BS_OTHER_CUR_ASSET_LESS_PREPAY","FQ3 2023","FQ3 2023","Currency=USD","Period=FQ","BEST_FPERIOD_OVERRIDE=FQ","FILING_STATUS=MR","SCALING_FORMAT=MLN","Sort=A","Dates=H","DateFormat=P","Fill=—","Direction=H","UseDPDF=Y")</f>
        <v>555.78399999999999</v>
      </c>
      <c r="X16" s="13" cm="1">
        <f t="array" ref="X16">_xll.BDH("NUE US Equity","BS_OTHER_CUR_ASSET_LESS_PREPAY","FQ4 2023","FQ4 2023","Currency=USD","Period=FQ","BEST_FPERIOD_OVERRIDE=FQ","FILING_STATUS=MR","SCALING_FORMAT=MLN","Sort=A","Dates=H","DateFormat=P","Fill=—","Direction=H","UseDPDF=Y")</f>
        <v>724.01199999999994</v>
      </c>
      <c r="Y16" s="13" cm="1">
        <f t="array" ref="Y16">_xll.BDH("NUE US Equity","BS_OTHER_CUR_ASSET_LESS_PREPAY","FQ1 2024","FQ1 2024","Currency=USD","Period=FQ","BEST_FPERIOD_OVERRIDE=FQ","FILING_STATUS=MR","SCALING_FORMAT=MLN","Sort=A","Dates=H","DateFormat=P","Fill=—","Direction=H","UseDPDF=Y")</f>
        <v>356.88200000000001</v>
      </c>
      <c r="Z16" s="13" cm="1">
        <f t="array" ref="Z16">_xll.BDH("NUE US Equity","BS_OTHER_CUR_ASSET_LESS_PREPAY","FQ2 2024","FQ2 2024","Currency=USD","Period=FQ","BEST_FPERIOD_OVERRIDE=FQ","FILING_STATUS=MR","SCALING_FORMAT=MLN","Sort=A","Dates=H","DateFormat=P","Fill=—","Direction=H","UseDPDF=Y")</f>
        <v>455.04199999999997</v>
      </c>
      <c r="AA16" s="13" cm="1">
        <f t="array" ref="AA16">_xll.BDH("NUE US Equity","BS_OTHER_CUR_ASSET_LESS_PREPAY","FQ3 2024","FQ3 2024","Currency=USD","Period=FQ","BEST_FPERIOD_OVERRIDE=FQ","FILING_STATUS=MR","SCALING_FORMAT=MLN","Sort=A","Dates=H","DateFormat=P","Fill=—","Direction=H","UseDPDF=Y")</f>
        <v>587.08500000000004</v>
      </c>
      <c r="AB16" s="13" cm="1">
        <f t="array" ref="AB16">_xll.BDH("NUE US Equity","BS_OTHER_CUR_ASSET_LESS_PREPAY","FQ4 2024","FQ4 2024","Currency=USD","Period=FQ","BEST_FPERIOD_OVERRIDE=FQ","FILING_STATUS=MR","SCALING_FORMAT=MLN","Sort=A","Dates=H","DateFormat=P","Fill=—","Direction=H","UseDPDF=Y")</f>
        <v>555</v>
      </c>
      <c r="AC16" s="13" cm="1">
        <f t="array" ref="AC16">_xll.BDH("NUE US Equity","BS_OTHER_CUR_ASSET_LESS_PREPAY","FQ1 2025","FQ1 2025","Currency=USD","Period=FQ","BEST_FPERIOD_OVERRIDE=FQ","FILING_STATUS=MR","SCALING_FORMAT=MLN","Sort=A","Dates=H","DateFormat=P","Fill=—","Direction=H","UseDPDF=Y")</f>
        <v>478</v>
      </c>
      <c r="AD16" s="13" cm="1">
        <f t="array" ref="AD16">_xll.BDH("NUE US Equity","BS_OTHER_CUR_ASSET_LESS_PREPAY","FQ2 2025","FQ2 2025","Currency=USD","Period=FQ","BEST_FPERIOD_OVERRIDE=FQ","FILING_STATUS=MR","SCALING_FORMAT=MLN","Sort=A","Dates=H","DateFormat=P","Fill=—","Direction=H","UseDPDF=Y")</f>
        <v>386</v>
      </c>
      <c r="AE16" s="13" cm="1">
        <f t="array" ref="AE16">_xll.BDH("NUE US Equity","BS_OTHER_CUR_ASSET_LESS_PREPAY","FQ3 2025","FQ3 2025","Currency=USD","Period=FQ","BEST_FPERIOD_OVERRIDE=FQ","FILING_STATUS=MR","SCALING_FORMAT=MLN","Sort=A","Dates=H","DateFormat=P","Fill=—","Direction=H","UseDPDF=Y")</f>
        <v>382</v>
      </c>
      <c r="AF16" s="13" cm="1">
        <f t="array" ref="AF16">_xll.BDH("NUE US Equity","BS_OTHER_CUR_ASSET_LESS_PREPAY","FQ4 2025","FQ4 2025","Currency=USD","Period=FQ","BEST_FPERIOD_OVERRIDE=FQ","FILING_STATUS=MR","SCALING_FORMAT=MLN","Sort=A","Dates=H","DateFormat=P","Fill=—","Direction=H","UseDPDF=Y")</f>
        <v>499</v>
      </c>
    </row>
    <row r="17" spans="1:32" x14ac:dyDescent="0.25">
      <c r="A17" s="6" t="s">
        <v>86</v>
      </c>
      <c r="B17" s="6" t="s">
        <v>87</v>
      </c>
      <c r="C17" s="16" cm="1">
        <f t="array" ref="C17">_xll.BDH("NUE US Equity","BS_CUR_ASSET_REPORT","FQ3 2018","FQ3 2018","Currency=USD","Period=FQ","BEST_FPERIOD_OVERRIDE=FQ","FILING_STATUS=MR","SCALING_FORMAT=MLN","Sort=A","Dates=H","DateFormat=P","Fill=—","Direction=H","UseDPDF=Y")</f>
        <v>8844.2510000000002</v>
      </c>
      <c r="D17" s="16" cm="1">
        <f t="array" ref="D17">_xll.BDH("NUE US Equity","BS_CUR_ASSET_REPORT","FQ4 2018","FQ4 2018","Currency=USD","Period=FQ","BEST_FPERIOD_OVERRIDE=FQ","FILING_STATUS=MR","SCALING_FORMAT=MLN","Sort=A","Dates=H","DateFormat=P","Fill=—","Direction=H","UseDPDF=Y")</f>
        <v>8636.2649999999994</v>
      </c>
      <c r="E17" s="16" cm="1">
        <f t="array" ref="E17">_xll.BDH("NUE US Equity","BS_CUR_ASSET_REPORT","FQ1 2019","FQ1 2019","Currency=USD","Period=FQ","BEST_FPERIOD_OVERRIDE=FQ","FILING_STATUS=MR","SCALING_FORMAT=MLN","Sort=A","Dates=H","DateFormat=P","Fill=—","Direction=H","UseDPDF=Y")</f>
        <v>8650.3430000000008</v>
      </c>
      <c r="F17" s="16" cm="1">
        <f t="array" ref="F17">_xll.BDH("NUE US Equity","BS_CUR_ASSET_REPORT","FQ2 2019","FQ2 2019","Currency=USD","Period=FQ","BEST_FPERIOD_OVERRIDE=FQ","FILING_STATUS=MR","SCALING_FORMAT=MLN","Sort=A","Dates=H","DateFormat=P","Fill=—","Direction=H","UseDPDF=Y")</f>
        <v>8467.1990000000005</v>
      </c>
      <c r="G17" s="16" cm="1">
        <f t="array" ref="G17">_xll.BDH("NUE US Equity","BS_CUR_ASSET_REPORT","FQ3 2019","FQ3 2019","Currency=USD","Period=FQ","BEST_FPERIOD_OVERRIDE=FQ","FILING_STATUS=MR","SCALING_FORMAT=MLN","Sort=A","Dates=H","DateFormat=P","Fill=—","Direction=H","UseDPDF=Y")</f>
        <v>8684.2880000000005</v>
      </c>
      <c r="H17" s="16" cm="1">
        <f t="array" ref="H17">_xll.BDH("NUE US Equity","BS_CUR_ASSET_REPORT","FQ4 2019","FQ4 2019","Currency=USD","Period=FQ","BEST_FPERIOD_OVERRIDE=FQ","FILING_STATUS=MR","SCALING_FORMAT=MLN","Sort=A","Dates=H","DateFormat=P","Fill=—","Direction=H","UseDPDF=Y")</f>
        <v>8226.3700000000008</v>
      </c>
      <c r="I17" s="16" cm="1">
        <f t="array" ref="I17">_xll.BDH("NUE US Equity","BS_CUR_ASSET_REPORT","FQ1 2020","FQ1 2020","Currency=USD","Period=FQ","BEST_FPERIOD_OVERRIDE=FQ","FILING_STATUS=MR","SCALING_FORMAT=MLN","Sort=A","Dates=H","DateFormat=P","Fill=—","Direction=H","UseDPDF=Y")</f>
        <v>7847.2510000000002</v>
      </c>
      <c r="J17" s="16" cm="1">
        <f t="array" ref="J17">_xll.BDH("NUE US Equity","BS_CUR_ASSET_REPORT","FQ2 2020","FQ2 2020","Currency=USD","Period=FQ","BEST_FPERIOD_OVERRIDE=FQ","FILING_STATUS=MR","SCALING_FORMAT=MLN","Sort=A","Dates=H","DateFormat=P","Fill=—","Direction=H","UseDPDF=Y")</f>
        <v>8634.9639999999999</v>
      </c>
      <c r="K17" s="16" cm="1">
        <f t="array" ref="K17">_xll.BDH("NUE US Equity","BS_CUR_ASSET_REPORT","FQ3 2020","FQ3 2020","Currency=USD","Period=FQ","BEST_FPERIOD_OVERRIDE=FQ","FILING_STATUS=MR","SCALING_FORMAT=MLN","Sort=A","Dates=H","DateFormat=P","Fill=—","Direction=H","UseDPDF=Y")</f>
        <v>8965.8469999999998</v>
      </c>
      <c r="L17" s="16" cm="1">
        <f t="array" ref="L17">_xll.BDH("NUE US Equity","BS_CUR_ASSET_REPORT","FQ4 2020","FQ4 2020","Currency=USD","Period=FQ","BEST_FPERIOD_OVERRIDE=FQ","FILING_STATUS=MR","SCALING_FORMAT=MLN","Sort=A","Dates=H","DateFormat=P","Fill=—","Direction=H","UseDPDF=Y")</f>
        <v>9488.6620000000003</v>
      </c>
      <c r="M17" s="16" cm="1">
        <f t="array" ref="M17">_xll.BDH("NUE US Equity","BS_CUR_ASSET_REPORT","FQ1 2021","FQ1 2021","Currency=USD","Period=FQ","BEST_FPERIOD_OVERRIDE=FQ","FILING_STATUS=MR","SCALING_FORMAT=MLN","Sort=A","Dates=H","DateFormat=P","Fill=—","Direction=H","UseDPDF=Y")</f>
        <v>10409.130999999999</v>
      </c>
      <c r="N17" s="16" cm="1">
        <f t="array" ref="N17">_xll.BDH("NUE US Equity","BS_CUR_ASSET_REPORT","FQ2 2021","FQ2 2021","Currency=USD","Period=FQ","BEST_FPERIOD_OVERRIDE=FQ","FILING_STATUS=MR","SCALING_FORMAT=MLN","Sort=A","Dates=H","DateFormat=P","Fill=—","Direction=H","UseDPDF=Y")</f>
        <v>12055.939</v>
      </c>
      <c r="O17" s="16" cm="1">
        <f t="array" ref="O17">_xll.BDH("NUE US Equity","BS_CUR_ASSET_REPORT","FQ3 2021","FQ3 2021","Currency=USD","Period=FQ","BEST_FPERIOD_OVERRIDE=FQ","FILING_STATUS=MR","SCALING_FORMAT=MLN","Sort=A","Dates=H","DateFormat=P","Fill=—","Direction=H","UseDPDF=Y")</f>
        <v>12123.825000000001</v>
      </c>
      <c r="P17" s="16" cm="1">
        <f t="array" ref="P17">_xll.BDH("NUE US Equity","BS_CUR_ASSET_REPORT","FQ4 2021","FQ4 2021","Currency=USD","Period=FQ","BEST_FPERIOD_OVERRIDE=FQ","FILING_STATUS=MR","SCALING_FORMAT=MLN","Sort=A","Dates=H","DateFormat=P","Fill=—","Direction=H","UseDPDF=Y")</f>
        <v>12799.557000000001</v>
      </c>
      <c r="Q17" s="16" cm="1">
        <f t="array" ref="Q17">_xll.BDH("NUE US Equity","BS_CUR_ASSET_REPORT","FQ1 2022","FQ1 2022","Currency=USD","Period=FQ","BEST_FPERIOD_OVERRIDE=FQ","FILING_STATUS=MR","SCALING_FORMAT=MLN","Sort=A","Dates=H","DateFormat=P","Fill=—","Direction=H","UseDPDF=Y")</f>
        <v>14781.351000000001</v>
      </c>
      <c r="R17" s="16" cm="1">
        <f t="array" ref="R17">_xll.BDH("NUE US Equity","BS_CUR_ASSET_REPORT","FQ2 2022","FQ2 2022","Currency=USD","Period=FQ","BEST_FPERIOD_OVERRIDE=FQ","FILING_STATUS=MR","SCALING_FORMAT=MLN","Sort=A","Dates=H","DateFormat=P","Fill=—","Direction=H","UseDPDF=Y")</f>
        <v>14033.811</v>
      </c>
      <c r="S17" s="16" cm="1">
        <f t="array" ref="S17">_xll.BDH("NUE US Equity","BS_CUR_ASSET_REPORT","FQ3 2022","FQ3 2022","Currency=USD","Period=FQ","BEST_FPERIOD_OVERRIDE=FQ","FILING_STATUS=MR","SCALING_FORMAT=MLN","Sort=A","Dates=H","DateFormat=P","Fill=—","Direction=H","UseDPDF=Y")</f>
        <v>14356.457</v>
      </c>
      <c r="T17" s="16" cm="1">
        <f t="array" ref="T17">_xll.BDH("NUE US Equity","BS_CUR_ASSET_REPORT","FQ4 2022","FQ4 2022","Currency=USD","Period=FQ","BEST_FPERIOD_OVERRIDE=FQ","FILING_STATUS=MR","SCALING_FORMAT=MLN","Sort=A","Dates=H","DateFormat=P","Fill=—","Direction=H","UseDPDF=Y")</f>
        <v>14691.683999999999</v>
      </c>
      <c r="U17" s="16" cm="1">
        <f t="array" ref="U17">_xll.BDH("NUE US Equity","BS_CUR_ASSET_REPORT","FQ1 2023","FQ1 2023","Currency=USD","Period=FQ","BEST_FPERIOD_OVERRIDE=FQ","FILING_STATUS=MR","SCALING_FORMAT=MLN","Sort=A","Dates=H","DateFormat=P","Fill=—","Direction=H","UseDPDF=Y")</f>
        <v>14316.385</v>
      </c>
      <c r="V17" s="16" cm="1">
        <f t="array" ref="V17">_xll.BDH("NUE US Equity","BS_CUR_ASSET_REPORT","FQ2 2023","FQ2 2023","Currency=USD","Period=FQ","BEST_FPERIOD_OVERRIDE=FQ","FILING_STATUS=MR","SCALING_FORMAT=MLN","Sort=A","Dates=H","DateFormat=P","Fill=—","Direction=H","UseDPDF=Y")</f>
        <v>15290.508</v>
      </c>
      <c r="W17" s="16" cm="1">
        <f t="array" ref="W17">_xll.BDH("NUE US Equity","BS_CUR_ASSET_REPORT","FQ3 2023","FQ3 2023","Currency=USD","Period=FQ","BEST_FPERIOD_OVERRIDE=FQ","FILING_STATUS=MR","SCALING_FORMAT=MLN","Sort=A","Dates=H","DateFormat=P","Fill=—","Direction=H","UseDPDF=Y")</f>
        <v>15948.936</v>
      </c>
      <c r="X17" s="16" cm="1">
        <f t="array" ref="X17">_xll.BDH("NUE US Equity","BS_CUR_ASSET_REPORT","FQ4 2023","FQ4 2023","Currency=USD","Period=FQ","BEST_FPERIOD_OVERRIDE=FQ","FILING_STATUS=MR","SCALING_FORMAT=MLN","Sort=A","Dates=H","DateFormat=P","Fill=—","Direction=H","UseDPDF=Y")</f>
        <v>16385.858</v>
      </c>
      <c r="Y17" s="16" cm="1">
        <f t="array" ref="Y17">_xll.BDH("NUE US Equity","BS_CUR_ASSET_REPORT","FQ1 2024","FQ1 2024","Currency=USD","Period=FQ","BEST_FPERIOD_OVERRIDE=FQ","FILING_STATUS=MR","SCALING_FORMAT=MLN","Sort=A","Dates=H","DateFormat=P","Fill=—","Direction=H","UseDPDF=Y")</f>
        <v>14642.679</v>
      </c>
      <c r="Z17" s="16" cm="1">
        <f t="array" ref="Z17">_xll.BDH("NUE US Equity","BS_CUR_ASSET_REPORT","FQ2 2024","FQ2 2024","Currency=USD","Period=FQ","BEST_FPERIOD_OVERRIDE=FQ","FILING_STATUS=MR","SCALING_FORMAT=MLN","Sort=A","Dates=H","DateFormat=P","Fill=—","Direction=H","UseDPDF=Y")</f>
        <v>14258.121999999999</v>
      </c>
      <c r="AA17" s="16" cm="1">
        <f t="array" ref="AA17">_xll.BDH("NUE US Equity","BS_CUR_ASSET_REPORT","FQ3 2024","FQ3 2024","Currency=USD","Period=FQ","BEST_FPERIOD_OVERRIDE=FQ","FILING_STATUS=MR","SCALING_FORMAT=MLN","Sort=A","Dates=H","DateFormat=P","Fill=—","Direction=H","UseDPDF=Y")</f>
        <v>13521.217000000001</v>
      </c>
      <c r="AB17" s="16" cm="1">
        <f t="array" ref="AB17">_xll.BDH("NUE US Equity","BS_CUR_ASSET_REPORT","FQ4 2024","FQ4 2024","Currency=USD","Period=FQ","BEST_FPERIOD_OVERRIDE=FQ","FILING_STATUS=MR","SCALING_FORMAT=MLN","Sort=A","Dates=H","DateFormat=P","Fill=—","Direction=H","UseDPDF=Y")</f>
        <v>12475</v>
      </c>
      <c r="AC17" s="16" cm="1">
        <f t="array" ref="AC17">_xll.BDH("NUE US Equity","BS_CUR_ASSET_REPORT","FQ1 2025","FQ1 2025","Currency=USD","Period=FQ","BEST_FPERIOD_OVERRIDE=FQ","FILING_STATUS=MR","SCALING_FORMAT=MLN","Sort=A","Dates=H","DateFormat=P","Fill=—","Direction=H","UseDPDF=Y")</f>
        <v>12760</v>
      </c>
      <c r="AD17" s="16" cm="1">
        <f t="array" ref="AD17">_xll.BDH("NUE US Equity","BS_CUR_ASSET_REPORT","FQ2 2025","FQ2 2025","Currency=USD","Period=FQ","BEST_FPERIOD_OVERRIDE=FQ","FILING_STATUS=MR","SCALING_FORMAT=MLN","Sort=A","Dates=H","DateFormat=P","Fill=—","Direction=H","UseDPDF=Y")</f>
        <v>11719</v>
      </c>
      <c r="AE17" s="16" cm="1">
        <f t="array" ref="AE17">_xll.BDH("NUE US Equity","BS_CUR_ASSET_REPORT","FQ3 2025","FQ3 2025","Currency=USD","Period=FQ","BEST_FPERIOD_OVERRIDE=FQ","FILING_STATUS=MR","SCALING_FORMAT=MLN","Sort=A","Dates=H","DateFormat=P","Fill=—","Direction=H","UseDPDF=Y")</f>
        <v>11808</v>
      </c>
      <c r="AF17" s="16" cm="1">
        <f t="array" ref="AF17">_xll.BDH("NUE US Equity","BS_CUR_ASSET_REPORT","FQ4 2025","FQ4 2025","Currency=USD","Period=FQ","BEST_FPERIOD_OVERRIDE=FQ","FILING_STATUS=MR","SCALING_FORMAT=MLN","Sort=A","Dates=H","DateFormat=P","Fill=—","Direction=H","UseDPDF=Y")</f>
        <v>11765</v>
      </c>
    </row>
    <row r="18" spans="1:32" x14ac:dyDescent="0.25">
      <c r="A18" s="10" t="s">
        <v>88</v>
      </c>
      <c r="B18" s="10" t="s">
        <v>89</v>
      </c>
      <c r="C18" s="13" cm="1">
        <f t="array" ref="C18">_xll.BDH("NUE US Equity","BS_NET_FIX_ASSET","FQ3 2018","FQ3 2018","Currency=USD","Period=FQ","BEST_FPERIOD_OVERRIDE=FQ","FILING_STATUS=MR","SCALING_FORMAT=MLN","Sort=A","Dates=H","DateFormat=P","Fill=—","Direction=H","UseDPDF=Y")</f>
        <v>5151.3019999999997</v>
      </c>
      <c r="D18" s="13" cm="1">
        <f t="array" ref="D18">_xll.BDH("NUE US Equity","BS_NET_FIX_ASSET","FQ4 2018","FQ4 2018","Currency=USD","Period=FQ","BEST_FPERIOD_OVERRIDE=FQ","FILING_STATUS=MR","SCALING_FORMAT=MLN","Sort=A","Dates=H","DateFormat=P","Fill=—","Direction=H","UseDPDF=Y")</f>
        <v>5334.7479999999996</v>
      </c>
      <c r="E18" s="13" cm="1">
        <f t="array" ref="E18">_xll.BDH("NUE US Equity","BS_NET_FIX_ASSET","FQ1 2019","FQ1 2019","Currency=USD","Period=FQ","BEST_FPERIOD_OVERRIDE=FQ","FILING_STATUS=MR","SCALING_FORMAT=MLN","Sort=A","Dates=H","DateFormat=P","Fill=—","Direction=H","UseDPDF=Y")</f>
        <v>5573.2370000000001</v>
      </c>
      <c r="F18" s="13" cm="1">
        <f t="array" ref="F18">_xll.BDH("NUE US Equity","BS_NET_FIX_ASSET","FQ2 2019","FQ2 2019","Currency=USD","Period=FQ","BEST_FPERIOD_OVERRIDE=FQ","FILING_STATUS=MR","SCALING_FORMAT=MLN","Sort=A","Dates=H","DateFormat=P","Fill=—","Direction=H","UseDPDF=Y")</f>
        <v>5797.5129999999999</v>
      </c>
      <c r="G18" s="13" cm="1">
        <f t="array" ref="G18">_xll.BDH("NUE US Equity","BS_NET_FIX_ASSET","FQ3 2019","FQ3 2019","Currency=USD","Period=FQ","BEST_FPERIOD_OVERRIDE=FQ","FILING_STATUS=MR","SCALING_FORMAT=MLN","Sort=A","Dates=H","DateFormat=P","Fill=—","Direction=H","UseDPDF=Y")</f>
        <v>5886.73</v>
      </c>
      <c r="H18" s="13" cm="1">
        <f t="array" ref="H18">_xll.BDH("NUE US Equity","BS_NET_FIX_ASSET","FQ4 2019","FQ4 2019","Currency=USD","Period=FQ","BEST_FPERIOD_OVERRIDE=FQ","FILING_STATUS=MR","SCALING_FORMAT=MLN","Sort=A","Dates=H","DateFormat=P","Fill=—","Direction=H","UseDPDF=Y")</f>
        <v>6178.5550000000003</v>
      </c>
      <c r="I18" s="13" cm="1">
        <f t="array" ref="I18">_xll.BDH("NUE US Equity","BS_NET_FIX_ASSET","FQ1 2020","FQ1 2020","Currency=USD","Period=FQ","BEST_FPERIOD_OVERRIDE=FQ","FILING_STATUS=MR","SCALING_FORMAT=MLN","Sort=A","Dates=H","DateFormat=P","Fill=—","Direction=H","UseDPDF=Y")</f>
        <v>6416.9589999999998</v>
      </c>
      <c r="J18" s="13" cm="1">
        <f t="array" ref="J18">_xll.BDH("NUE US Equity","BS_NET_FIX_ASSET","FQ2 2020","FQ2 2020","Currency=USD","Period=FQ","BEST_FPERIOD_OVERRIDE=FQ","FILING_STATUS=MR","SCALING_FORMAT=MLN","Sort=A","Dates=H","DateFormat=P","Fill=—","Direction=H","UseDPDF=Y")</f>
        <v>6556.451</v>
      </c>
      <c r="K18" s="13" cm="1">
        <f t="array" ref="K18">_xll.BDH("NUE US Equity","BS_NET_FIX_ASSET","FQ3 2020","FQ3 2020","Currency=USD","Period=FQ","BEST_FPERIOD_OVERRIDE=FQ","FILING_STATUS=MR","SCALING_FORMAT=MLN","Sort=A","Dates=H","DateFormat=P","Fill=—","Direction=H","UseDPDF=Y")</f>
        <v>6829.7330000000002</v>
      </c>
      <c r="L18" s="13" cm="1">
        <f t="array" ref="L18">_xll.BDH("NUE US Equity","BS_NET_FIX_ASSET","FQ4 2020","FQ4 2020","Currency=USD","Period=FQ","BEST_FPERIOD_OVERRIDE=FQ","FILING_STATUS=MR","SCALING_FORMAT=MLN","Sort=A","Dates=H","DateFormat=P","Fill=—","Direction=H","UseDPDF=Y")</f>
        <v>6899.11</v>
      </c>
      <c r="M18" s="13" cm="1">
        <f t="array" ref="M18">_xll.BDH("NUE US Equity","BS_NET_FIX_ASSET","FQ1 2021","FQ1 2021","Currency=USD","Period=FQ","BEST_FPERIOD_OVERRIDE=FQ","FILING_STATUS=MR","SCALING_FORMAT=MLN","Sort=A","Dates=H","DateFormat=P","Fill=—","Direction=H","UseDPDF=Y")</f>
        <v>7031.6880000000001</v>
      </c>
      <c r="N18" s="13" cm="1">
        <f t="array" ref="N18">_xll.BDH("NUE US Equity","BS_NET_FIX_ASSET","FQ2 2021","FQ2 2021","Currency=USD","Period=FQ","BEST_FPERIOD_OVERRIDE=FQ","FILING_STATUS=MR","SCALING_FORMAT=MLN","Sort=A","Dates=H","DateFormat=P","Fill=—","Direction=H","UseDPDF=Y")</f>
        <v>7235.5360000000001</v>
      </c>
      <c r="O18" s="13" cm="1">
        <f t="array" ref="O18">_xll.BDH("NUE US Equity","BS_NET_FIX_ASSET","FQ3 2021","FQ3 2021","Currency=USD","Period=FQ","BEST_FPERIOD_OVERRIDE=FQ","FILING_STATUS=MR","SCALING_FORMAT=MLN","Sort=A","Dates=H","DateFormat=P","Fill=—","Direction=H","UseDPDF=Y")</f>
        <v>7777.277</v>
      </c>
      <c r="P18" s="13" cm="1">
        <f t="array" ref="P18">_xll.BDH("NUE US Equity","BS_NET_FIX_ASSET","FQ4 2021","FQ4 2021","Currency=USD","Period=FQ","BEST_FPERIOD_OVERRIDE=FQ","FILING_STATUS=MR","SCALING_FORMAT=MLN","Sort=A","Dates=H","DateFormat=P","Fill=—","Direction=H","UseDPDF=Y")</f>
        <v>8114.8180000000002</v>
      </c>
      <c r="Q18" s="13" cm="1">
        <f t="array" ref="Q18">_xll.BDH("NUE US Equity","BS_NET_FIX_ASSET","FQ1 2022","FQ1 2022","Currency=USD","Period=FQ","BEST_FPERIOD_OVERRIDE=FQ","FILING_STATUS=MR","SCALING_FORMAT=MLN","Sort=A","Dates=H","DateFormat=P","Fill=—","Direction=H","UseDPDF=Y")</f>
        <v>8921.2630000000008</v>
      </c>
      <c r="R18" s="13" cm="1">
        <f t="array" ref="R18">_xll.BDH("NUE US Equity","BS_NET_FIX_ASSET","FQ2 2022","FQ2 2022","Currency=USD","Period=FQ","BEST_FPERIOD_OVERRIDE=FQ","FILING_STATUS=MR","SCALING_FORMAT=MLN","Sort=A","Dates=H","DateFormat=P","Fill=—","Direction=H","UseDPDF=Y")</f>
        <v>9213.6</v>
      </c>
      <c r="S18" s="13" cm="1">
        <f t="array" ref="S18">_xll.BDH("NUE US Equity","BS_NET_FIX_ASSET","FQ3 2022","FQ3 2022","Currency=USD","Period=FQ","BEST_FPERIOD_OVERRIDE=FQ","FILING_STATUS=MR","SCALING_FORMAT=MLN","Sort=A","Dates=H","DateFormat=P","Fill=—","Direction=H","UseDPDF=Y")</f>
        <v>9440.0740000000005</v>
      </c>
      <c r="T18" s="13" cm="1">
        <f t="array" ref="T18">_xll.BDH("NUE US Equity","BS_NET_FIX_ASSET","FQ4 2022","FQ4 2022","Currency=USD","Period=FQ","BEST_FPERIOD_OVERRIDE=FQ","FILING_STATUS=MR","SCALING_FORMAT=MLN","Sort=A","Dates=H","DateFormat=P","Fill=—","Direction=H","UseDPDF=Y")</f>
        <v>9616.92</v>
      </c>
      <c r="U18" s="13" cm="1">
        <f t="array" ref="U18">_xll.BDH("NUE US Equity","BS_NET_FIX_ASSET","FQ1 2023","FQ1 2023","Currency=USD","Period=FQ","BEST_FPERIOD_OVERRIDE=FQ","FILING_STATUS=MR","SCALING_FORMAT=MLN","Sort=A","Dates=H","DateFormat=P","Fill=—","Direction=H","UseDPDF=Y")</f>
        <v>9862.9869999999992</v>
      </c>
      <c r="V18" s="13" cm="1">
        <f t="array" ref="V18">_xll.BDH("NUE US Equity","BS_NET_FIX_ASSET","FQ2 2023","FQ2 2023","Currency=USD","Period=FQ","BEST_FPERIOD_OVERRIDE=FQ","FILING_STATUS=MR","SCALING_FORMAT=MLN","Sort=A","Dates=H","DateFormat=P","Fill=—","Direction=H","UseDPDF=Y")</f>
        <v>10093.398999999999</v>
      </c>
      <c r="W18" s="13" cm="1">
        <f t="array" ref="W18">_xll.BDH("NUE US Equity","BS_NET_FIX_ASSET","FQ3 2023","FQ3 2023","Currency=USD","Period=FQ","BEST_FPERIOD_OVERRIDE=FQ","FILING_STATUS=MR","SCALING_FORMAT=MLN","Sort=A","Dates=H","DateFormat=P","Fill=—","Direction=H","UseDPDF=Y")</f>
        <v>10355.848</v>
      </c>
      <c r="X18" s="13" cm="1">
        <f t="array" ref="X18">_xll.BDH("NUE US Equity","BS_NET_FIX_ASSET","FQ4 2023","FQ4 2023","Currency=USD","Period=FQ","BEST_FPERIOD_OVERRIDE=FQ","FILING_STATUS=MR","SCALING_FORMAT=MLN","Sort=A","Dates=H","DateFormat=P","Fill=—","Direction=H","UseDPDF=Y")</f>
        <v>11049.767</v>
      </c>
      <c r="Y18" s="13" cm="1">
        <f t="array" ref="Y18">_xll.BDH("NUE US Equity","BS_NET_FIX_ASSET","FQ1 2024","FQ1 2024","Currency=USD","Period=FQ","BEST_FPERIOD_OVERRIDE=FQ","FILING_STATUS=MR","SCALING_FORMAT=MLN","Sort=A","Dates=H","DateFormat=P","Fill=—","Direction=H","UseDPDF=Y")</f>
        <v>11456.683000000001</v>
      </c>
      <c r="Z18" s="13" cm="1">
        <f t="array" ref="Z18">_xll.BDH("NUE US Equity","BS_NET_FIX_ASSET","FQ2 2024","FQ2 2024","Currency=USD","Period=FQ","BEST_FPERIOD_OVERRIDE=FQ","FILING_STATUS=MR","SCALING_FORMAT=MLN","Sort=A","Dates=H","DateFormat=P","Fill=—","Direction=H","UseDPDF=Y")</f>
        <v>11999.189</v>
      </c>
      <c r="AA18" s="13" cm="1">
        <f t="array" ref="AA18">_xll.BDH("NUE US Equity","BS_NET_FIX_ASSET","FQ3 2024","FQ3 2024","Currency=USD","Period=FQ","BEST_FPERIOD_OVERRIDE=FQ","FILING_STATUS=MR","SCALING_FORMAT=MLN","Sort=A","Dates=H","DateFormat=P","Fill=—","Direction=H","UseDPDF=Y")</f>
        <v>12580.243</v>
      </c>
      <c r="AB18" s="13" cm="1">
        <f t="array" ref="AB18">_xll.BDH("NUE US Equity","BS_NET_FIX_ASSET","FQ4 2024","FQ4 2024","Currency=USD","Period=FQ","BEST_FPERIOD_OVERRIDE=FQ","FILING_STATUS=MR","SCALING_FORMAT=MLN","Sort=A","Dates=H","DateFormat=P","Fill=—","Direction=H","UseDPDF=Y")</f>
        <v>13243</v>
      </c>
      <c r="AC18" s="13" cm="1">
        <f t="array" ref="AC18">_xll.BDH("NUE US Equity","BS_NET_FIX_ASSET","FQ1 2025","FQ1 2025","Currency=USD","Period=FQ","BEST_FPERIOD_OVERRIDE=FQ","FILING_STATUS=MR","SCALING_FORMAT=MLN","Sort=A","Dates=H","DateFormat=P","Fill=—","Direction=H","UseDPDF=Y")</f>
        <v>13759</v>
      </c>
      <c r="AD18" s="13" cm="1">
        <f t="array" ref="AD18">_xll.BDH("NUE US Equity","BS_NET_FIX_ASSET","FQ2 2025","FQ2 2025","Currency=USD","Period=FQ","BEST_FPERIOD_OVERRIDE=FQ","FILING_STATUS=MR","SCALING_FORMAT=MLN","Sort=A","Dates=H","DateFormat=P","Fill=—","Direction=H","UseDPDF=Y")</f>
        <v>14303</v>
      </c>
      <c r="AE18" s="13" cm="1">
        <f t="array" ref="AE18">_xll.BDH("NUE US Equity","BS_NET_FIX_ASSET","FQ3 2025","FQ3 2025","Currency=USD","Period=FQ","BEST_FPERIOD_OVERRIDE=FQ","FILING_STATUS=MR","SCALING_FORMAT=MLN","Sort=A","Dates=H","DateFormat=P","Fill=—","Direction=H","UseDPDF=Y")</f>
        <v>14821</v>
      </c>
      <c r="AF18" s="13" cm="1">
        <f t="array" ref="AF18">_xll.BDH("NUE US Equity","BS_NET_FIX_ASSET","FQ4 2025","FQ4 2025","Currency=USD","Period=FQ","BEST_FPERIOD_OVERRIDE=FQ","FILING_STATUS=MR","SCALING_FORMAT=MLN","Sort=A","Dates=H","DateFormat=P","Fill=—","Direction=H","UseDPDF=Y")</f>
        <v>15306</v>
      </c>
    </row>
    <row r="19" spans="1:32" x14ac:dyDescent="0.25">
      <c r="A19" s="10" t="s">
        <v>90</v>
      </c>
      <c r="B19" s="10" t="s">
        <v>91</v>
      </c>
      <c r="C19" s="13" cm="1">
        <f t="array" ref="C19">_xll.BDH("NUE US Equity","BS_GROSS_FIX_ASSET","FQ3 2018","FQ3 2018","Currency=USD","Period=FQ","BEST_FPERIOD_OVERRIDE=FQ","FILING_STATUS=MR","SCALING_FORMAT=MLN","Sort=A","Dates=H","DateFormat=P","Fill=—","Direction=H","UseDPDF=Y")</f>
        <v>14291.302</v>
      </c>
      <c r="D19" s="13" cm="1">
        <f t="array" ref="D19">_xll.BDH("NUE US Equity","BS_GROSS_FIX_ASSET","FQ4 2018","FQ4 2018","Currency=USD","Period=FQ","BEST_FPERIOD_OVERRIDE=FQ","FILING_STATUS=MR","SCALING_FORMAT=MLN","Sort=A","Dates=H","DateFormat=P","Fill=—","Direction=H","UseDPDF=Y")</f>
        <v>14525.075000000001</v>
      </c>
      <c r="E19" s="13" cm="1">
        <f t="array" ref="E19">_xll.BDH("NUE US Equity","BS_GROSS_FIX_ASSET","FQ1 2019","FQ1 2019","Currency=USD","Period=FQ","BEST_FPERIOD_OVERRIDE=FQ","FILING_STATUS=MR","SCALING_FORMAT=MLN","Sort=A","Dates=H","DateFormat=P","Fill=—","Direction=H","UseDPDF=Y")</f>
        <v>14893.236999999999</v>
      </c>
      <c r="F19" s="13" cm="1">
        <f t="array" ref="F19">_xll.BDH("NUE US Equity","BS_GROSS_FIX_ASSET","FQ2 2019","FQ2 2019","Currency=USD","Period=FQ","BEST_FPERIOD_OVERRIDE=FQ","FILING_STATUS=MR","SCALING_FORMAT=MLN","Sort=A","Dates=H","DateFormat=P","Fill=—","Direction=H","UseDPDF=Y")</f>
        <v>15257.513000000001</v>
      </c>
      <c r="G19" s="13" cm="1">
        <f t="array" ref="G19">_xll.BDH("NUE US Equity","BS_GROSS_FIX_ASSET","FQ3 2019","FQ3 2019","Currency=USD","Period=FQ","BEST_FPERIOD_OVERRIDE=FQ","FILING_STATUS=MR","SCALING_FORMAT=MLN","Sort=A","Dates=H","DateFormat=P","Fill=—","Direction=H","UseDPDF=Y")</f>
        <v>15426.73</v>
      </c>
      <c r="H19" s="13" cm="1">
        <f t="array" ref="H19">_xll.BDH("NUE US Equity","BS_GROSS_FIX_ASSET","FQ4 2019","FQ4 2019","Currency=USD","Period=FQ","BEST_FPERIOD_OVERRIDE=FQ","FILING_STATUS=MR","SCALING_FORMAT=MLN","Sort=A","Dates=H","DateFormat=P","Fill=—","Direction=H","UseDPDF=Y")</f>
        <v>15594.781999999999</v>
      </c>
      <c r="I19" s="13" cm="1">
        <f t="array" ref="I19">_xll.BDH("NUE US Equity","BS_GROSS_FIX_ASSET","FQ1 2020","FQ1 2020","Currency=USD","Period=FQ","BEST_FPERIOD_OVERRIDE=FQ","FILING_STATUS=MR","SCALING_FORMAT=MLN","Sort=A","Dates=H","DateFormat=P","Fill=—","Direction=H","UseDPDF=Y")</f>
        <v>15976.959000000001</v>
      </c>
      <c r="J19" s="13" cm="1">
        <f t="array" ref="J19">_xll.BDH("NUE US Equity","BS_GROSS_FIX_ASSET","FQ2 2020","FQ2 2020","Currency=USD","Period=FQ","BEST_FPERIOD_OVERRIDE=FQ","FILING_STATUS=MR","SCALING_FORMAT=MLN","Sort=A","Dates=H","DateFormat=P","Fill=—","Direction=H","UseDPDF=Y")</f>
        <v>16266.450999999999</v>
      </c>
      <c r="K19" s="13" cm="1">
        <f t="array" ref="K19">_xll.BDH("NUE US Equity","BS_GROSS_FIX_ASSET","FQ3 2020","FQ3 2020","Currency=USD","Period=FQ","BEST_FPERIOD_OVERRIDE=FQ","FILING_STATUS=MR","SCALING_FORMAT=MLN","Sort=A","Dates=H","DateFormat=P","Fill=—","Direction=H","UseDPDF=Y")</f>
        <v>16699.733</v>
      </c>
      <c r="L19" s="13" cm="1">
        <f t="array" ref="L19">_xll.BDH("NUE US Equity","BS_GROSS_FIX_ASSET","FQ4 2020","FQ4 2020","Currency=USD","Period=FQ","BEST_FPERIOD_OVERRIDE=FQ","FILING_STATUS=MR","SCALING_FORMAT=MLN","Sort=A","Dates=H","DateFormat=P","Fill=—","Direction=H","UseDPDF=Y")</f>
        <v>16754.602999999999</v>
      </c>
      <c r="M19" s="13" cm="1">
        <f t="array" ref="M19">_xll.BDH("NUE US Equity","BS_GROSS_FIX_ASSET","FQ1 2021","FQ1 2021","Currency=USD","Period=FQ","BEST_FPERIOD_OVERRIDE=FQ","FILING_STATUS=MR","SCALING_FORMAT=MLN","Sort=A","Dates=H","DateFormat=P","Fill=—","Direction=H","UseDPDF=Y")</f>
        <v>17061.687999999998</v>
      </c>
      <c r="N19" s="13" cm="1">
        <f t="array" ref="N19">_xll.BDH("NUE US Equity","BS_GROSS_FIX_ASSET","FQ2 2021","FQ2 2021","Currency=USD","Period=FQ","BEST_FPERIOD_OVERRIDE=FQ","FILING_STATUS=MR","SCALING_FORMAT=MLN","Sort=A","Dates=H","DateFormat=P","Fill=—","Direction=H","UseDPDF=Y")</f>
        <v>17435.536</v>
      </c>
      <c r="O19" s="13" cm="1">
        <f t="array" ref="O19">_xll.BDH("NUE US Equity","BS_GROSS_FIX_ASSET","FQ3 2021","FQ3 2021","Currency=USD","Period=FQ","BEST_FPERIOD_OVERRIDE=FQ","FILING_STATUS=MR","SCALING_FORMAT=MLN","Sort=A","Dates=H","DateFormat=P","Fill=—","Direction=H","UseDPDF=Y")</f>
        <v>18107.276999999998</v>
      </c>
      <c r="P19" s="13" cm="1">
        <f t="array" ref="P19">_xll.BDH("NUE US Equity","BS_GROSS_FIX_ASSET","FQ4 2021","FQ4 2021","Currency=USD","Period=FQ","BEST_FPERIOD_OVERRIDE=FQ","FILING_STATUS=MR","SCALING_FORMAT=MLN","Sort=A","Dates=H","DateFormat=P","Fill=—","Direction=H","UseDPDF=Y")</f>
        <v>18504.467000000001</v>
      </c>
      <c r="Q19" s="13" cm="1">
        <f t="array" ref="Q19">_xll.BDH("NUE US Equity","BS_GROSS_FIX_ASSET","FQ1 2022","FQ1 2022","Currency=USD","Period=FQ","BEST_FPERIOD_OVERRIDE=FQ","FILING_STATUS=MR","SCALING_FORMAT=MLN","Sort=A","Dates=H","DateFormat=P","Fill=—","Direction=H","UseDPDF=Y")</f>
        <v>19491.262999999999</v>
      </c>
      <c r="R19" s="13" cm="1">
        <f t="array" ref="R19">_xll.BDH("NUE US Equity","BS_GROSS_FIX_ASSET","FQ2 2022","FQ2 2022","Currency=USD","Period=FQ","BEST_FPERIOD_OVERRIDE=FQ","FILING_STATUS=MR","SCALING_FORMAT=MLN","Sort=A","Dates=H","DateFormat=P","Fill=—","Direction=H","UseDPDF=Y")</f>
        <v>19933.599999999999</v>
      </c>
      <c r="S19" s="13" cm="1">
        <f t="array" ref="S19">_xll.BDH("NUE US Equity","BS_GROSS_FIX_ASSET","FQ3 2022","FQ3 2022","Currency=USD","Period=FQ","BEST_FPERIOD_OVERRIDE=FQ","FILING_STATUS=MR","SCALING_FORMAT=MLN","Sort=A","Dates=H","DateFormat=P","Fill=—","Direction=H","UseDPDF=Y")</f>
        <v>20350.074000000001</v>
      </c>
      <c r="T19" s="13" cm="1">
        <f t="array" ref="T19">_xll.BDH("NUE US Equity","BS_GROSS_FIX_ASSET","FQ4 2022","FQ4 2022","Currency=USD","Period=FQ","BEST_FPERIOD_OVERRIDE=FQ","FILING_STATUS=MR","SCALING_FORMAT=MLN","Sort=A","Dates=H","DateFormat=P","Fill=—","Direction=H","UseDPDF=Y")</f>
        <v>20732.046999999999</v>
      </c>
      <c r="U19" s="13" cm="1">
        <f t="array" ref="U19">_xll.BDH("NUE US Equity","BS_GROSS_FIX_ASSET","FQ1 2023","FQ1 2023","Currency=USD","Period=FQ","BEST_FPERIOD_OVERRIDE=FQ","FILING_STATUS=MR","SCALING_FORMAT=MLN","Sort=A","Dates=H","DateFormat=P","Fill=—","Direction=H","UseDPDF=Y")</f>
        <v>21182.987000000001</v>
      </c>
      <c r="V19" s="13" cm="1">
        <f t="array" ref="V19">_xll.BDH("NUE US Equity","BS_GROSS_FIX_ASSET","FQ2 2023","FQ2 2023","Currency=USD","Period=FQ","BEST_FPERIOD_OVERRIDE=FQ","FILING_STATUS=MR","SCALING_FORMAT=MLN","Sort=A","Dates=H","DateFormat=P","Fill=—","Direction=H","UseDPDF=Y")</f>
        <v>21613.399000000001</v>
      </c>
      <c r="W19" s="13" cm="1">
        <f t="array" ref="W19">_xll.BDH("NUE US Equity","BS_GROSS_FIX_ASSET","FQ3 2023","FQ3 2023","Currency=USD","Period=FQ","BEST_FPERIOD_OVERRIDE=FQ","FILING_STATUS=MR","SCALING_FORMAT=MLN","Sort=A","Dates=H","DateFormat=P","Fill=—","Direction=H","UseDPDF=Y")</f>
        <v>22015.848000000002</v>
      </c>
      <c r="X19" s="13" cm="1">
        <f t="array" ref="X19">_xll.BDH("NUE US Equity","BS_GROSS_FIX_ASSET","FQ4 2023","FQ4 2023","Currency=USD","Period=FQ","BEST_FPERIOD_OVERRIDE=FQ","FILING_STATUS=MR","SCALING_FORMAT=MLN","Sort=A","Dates=H","DateFormat=P","Fill=—","Direction=H","UseDPDF=Y")</f>
        <v>22838.749</v>
      </c>
      <c r="Y19" s="13" cm="1">
        <f t="array" ref="Y19">_xll.BDH("NUE US Equity","BS_GROSS_FIX_ASSET","FQ1 2024","FQ1 2024","Currency=USD","Period=FQ","BEST_FPERIOD_OVERRIDE=FQ","FILING_STATUS=MR","SCALING_FORMAT=MLN","Sort=A","Dates=H","DateFormat=P","Fill=—","Direction=H","UseDPDF=Y")</f>
        <v>23456.683000000001</v>
      </c>
      <c r="Z19" s="13" cm="1">
        <f t="array" ref="Z19">_xll.BDH("NUE US Equity","BS_GROSS_FIX_ASSET","FQ2 2024","FQ2 2024","Currency=USD","Period=FQ","BEST_FPERIOD_OVERRIDE=FQ","FILING_STATUS=MR","SCALING_FORMAT=MLN","Sort=A","Dates=H","DateFormat=P","Fill=—","Direction=H","UseDPDF=Y")</f>
        <v>24249.188999999998</v>
      </c>
      <c r="AA19" s="13" cm="1">
        <f t="array" ref="AA19">_xll.BDH("NUE US Equity","BS_GROSS_FIX_ASSET","FQ3 2024","FQ3 2024","Currency=USD","Period=FQ","BEST_FPERIOD_OVERRIDE=FQ","FILING_STATUS=MR","SCALING_FORMAT=MLN","Sort=A","Dates=H","DateFormat=P","Fill=—","Direction=H","UseDPDF=Y")</f>
        <v>25080.242999999999</v>
      </c>
      <c r="AB19" s="13" cm="1">
        <f t="array" ref="AB19">_xll.BDH("NUE US Equity","BS_GROSS_FIX_ASSET","FQ4 2024","FQ4 2024","Currency=USD","Period=FQ","BEST_FPERIOD_OVERRIDE=FQ","FILING_STATUS=MR","SCALING_FORMAT=MLN","Sort=A","Dates=H","DateFormat=P","Fill=—","Direction=H","UseDPDF=Y")</f>
        <v>25865</v>
      </c>
      <c r="AC19" s="13" cm="1">
        <f t="array" ref="AC19">_xll.BDH("NUE US Equity","BS_GROSS_FIX_ASSET","FQ1 2025","FQ1 2025","Currency=USD","Period=FQ","BEST_FPERIOD_OVERRIDE=FQ","FILING_STATUS=MR","SCALING_FORMAT=MLN","Sort=A","Dates=H","DateFormat=P","Fill=—","Direction=H","UseDPDF=Y")</f>
        <v>26659</v>
      </c>
      <c r="AD19" s="13" cm="1">
        <f t="array" ref="AD19">_xll.BDH("NUE US Equity","BS_GROSS_FIX_ASSET","FQ2 2025","FQ2 2025","Currency=USD","Period=FQ","BEST_FPERIOD_OVERRIDE=FQ","FILING_STATUS=MR","SCALING_FORMAT=MLN","Sort=A","Dates=H","DateFormat=P","Fill=—","Direction=H","UseDPDF=Y")</f>
        <v>27473</v>
      </c>
      <c r="AE19" s="13" cm="1">
        <f t="array" ref="AE19">_xll.BDH("NUE US Equity","BS_GROSS_FIX_ASSET","FQ3 2025","FQ3 2025","Currency=USD","Period=FQ","BEST_FPERIOD_OVERRIDE=FQ","FILING_STATUS=MR","SCALING_FORMAT=MLN","Sort=A","Dates=H","DateFormat=P","Fill=—","Direction=H","UseDPDF=Y")</f>
        <v>28241</v>
      </c>
      <c r="AF19" s="13" t="str" cm="1">
        <f t="array" ref="AF19">_xll.BDH("NUE US Equity","BS_GROSS_FIX_ASSET","FQ4 2025","FQ4 2025","Currency=USD","Period=FQ","BEST_FPERIOD_OVERRIDE=FQ","FILING_STATUS=MR","SCALING_FORMAT=MLN","Sort=A","Dates=H","DateFormat=P","Fill=—","Direction=H","UseDPDF=Y")</f>
        <v>—</v>
      </c>
    </row>
    <row r="20" spans="1:32" x14ac:dyDescent="0.25">
      <c r="A20" s="10" t="s">
        <v>92</v>
      </c>
      <c r="B20" s="10" t="s">
        <v>93</v>
      </c>
      <c r="C20" s="13" cm="1">
        <f t="array" ref="C20">_xll.BDH("NUE US Equity","BS_ACCUM_DEPR","FQ3 2018","FQ3 2018","Currency=USD","Period=FQ","BEST_FPERIOD_OVERRIDE=FQ","FILING_STATUS=MR","SCALING_FORMAT=MLN","Sort=A","Dates=H","DateFormat=P","Fill=—","Direction=H","UseDPDF=Y")</f>
        <v>9140</v>
      </c>
      <c r="D20" s="13" cm="1">
        <f t="array" ref="D20">_xll.BDH("NUE US Equity","BS_ACCUM_DEPR","FQ4 2018","FQ4 2018","Currency=USD","Period=FQ","BEST_FPERIOD_OVERRIDE=FQ","FILING_STATUS=MR","SCALING_FORMAT=MLN","Sort=A","Dates=H","DateFormat=P","Fill=—","Direction=H","UseDPDF=Y")</f>
        <v>9190.3269999999993</v>
      </c>
      <c r="E20" s="13" cm="1">
        <f t="array" ref="E20">_xll.BDH("NUE US Equity","BS_ACCUM_DEPR","FQ1 2019","FQ1 2019","Currency=USD","Period=FQ","BEST_FPERIOD_OVERRIDE=FQ","FILING_STATUS=MR","SCALING_FORMAT=MLN","Sort=A","Dates=H","DateFormat=P","Fill=—","Direction=H","UseDPDF=Y")</f>
        <v>9320</v>
      </c>
      <c r="F20" s="13" cm="1">
        <f t="array" ref="F20">_xll.BDH("NUE US Equity","BS_ACCUM_DEPR","FQ2 2019","FQ2 2019","Currency=USD","Period=FQ","BEST_FPERIOD_OVERRIDE=FQ","FILING_STATUS=MR","SCALING_FORMAT=MLN","Sort=A","Dates=H","DateFormat=P","Fill=—","Direction=H","UseDPDF=Y")</f>
        <v>9460</v>
      </c>
      <c r="G20" s="13" cm="1">
        <f t="array" ref="G20">_xll.BDH("NUE US Equity","BS_ACCUM_DEPR","FQ3 2019","FQ3 2019","Currency=USD","Period=FQ","BEST_FPERIOD_OVERRIDE=FQ","FILING_STATUS=MR","SCALING_FORMAT=MLN","Sort=A","Dates=H","DateFormat=P","Fill=—","Direction=H","UseDPDF=Y")</f>
        <v>9540</v>
      </c>
      <c r="H20" s="13" cm="1">
        <f t="array" ref="H20">_xll.BDH("NUE US Equity","BS_ACCUM_DEPR","FQ4 2019","FQ4 2019","Currency=USD","Period=FQ","BEST_FPERIOD_OVERRIDE=FQ","FILING_STATUS=MR","SCALING_FORMAT=MLN","Sort=A","Dates=H","DateFormat=P","Fill=—","Direction=H","UseDPDF=Y")</f>
        <v>9416.2270000000008</v>
      </c>
      <c r="I20" s="13" cm="1">
        <f t="array" ref="I20">_xll.BDH("NUE US Equity","BS_ACCUM_DEPR","FQ1 2020","FQ1 2020","Currency=USD","Period=FQ","BEST_FPERIOD_OVERRIDE=FQ","FILING_STATUS=MR","SCALING_FORMAT=MLN","Sort=A","Dates=H","DateFormat=P","Fill=—","Direction=H","UseDPDF=Y")</f>
        <v>9560</v>
      </c>
      <c r="J20" s="13" cm="1">
        <f t="array" ref="J20">_xll.BDH("NUE US Equity","BS_ACCUM_DEPR","FQ2 2020","FQ2 2020","Currency=USD","Period=FQ","BEST_FPERIOD_OVERRIDE=FQ","FILING_STATUS=MR","SCALING_FORMAT=MLN","Sort=A","Dates=H","DateFormat=P","Fill=—","Direction=H","UseDPDF=Y")</f>
        <v>9710</v>
      </c>
      <c r="K20" s="13" cm="1">
        <f t="array" ref="K20">_xll.BDH("NUE US Equity","BS_ACCUM_DEPR","FQ3 2020","FQ3 2020","Currency=USD","Period=FQ","BEST_FPERIOD_OVERRIDE=FQ","FILING_STATUS=MR","SCALING_FORMAT=MLN","Sort=A","Dates=H","DateFormat=P","Fill=—","Direction=H","UseDPDF=Y")</f>
        <v>9870</v>
      </c>
      <c r="L20" s="13" cm="1">
        <f t="array" ref="L20">_xll.BDH("NUE US Equity","BS_ACCUM_DEPR","FQ4 2020","FQ4 2020","Currency=USD","Period=FQ","BEST_FPERIOD_OVERRIDE=FQ","FILING_STATUS=MR","SCALING_FORMAT=MLN","Sort=A","Dates=H","DateFormat=P","Fill=—","Direction=H","UseDPDF=Y")</f>
        <v>9855.4930000000004</v>
      </c>
      <c r="M20" s="13" cm="1">
        <f t="array" ref="M20">_xll.BDH("NUE US Equity","BS_ACCUM_DEPR","FQ1 2021","FQ1 2021","Currency=USD","Period=FQ","BEST_FPERIOD_OVERRIDE=FQ","FILING_STATUS=MR","SCALING_FORMAT=MLN","Sort=A","Dates=H","DateFormat=P","Fill=—","Direction=H","UseDPDF=Y")</f>
        <v>10030</v>
      </c>
      <c r="N20" s="13" cm="1">
        <f t="array" ref="N20">_xll.BDH("NUE US Equity","BS_ACCUM_DEPR","FQ2 2021","FQ2 2021","Currency=USD","Period=FQ","BEST_FPERIOD_OVERRIDE=FQ","FILING_STATUS=MR","SCALING_FORMAT=MLN","Sort=A","Dates=H","DateFormat=P","Fill=—","Direction=H","UseDPDF=Y")</f>
        <v>10200</v>
      </c>
      <c r="O20" s="13" cm="1">
        <f t="array" ref="O20">_xll.BDH("NUE US Equity","BS_ACCUM_DEPR","FQ3 2021","FQ3 2021","Currency=USD","Period=FQ","BEST_FPERIOD_OVERRIDE=FQ","FILING_STATUS=MR","SCALING_FORMAT=MLN","Sort=A","Dates=H","DateFormat=P","Fill=—","Direction=H","UseDPDF=Y")</f>
        <v>10330</v>
      </c>
      <c r="P20" s="13" cm="1">
        <f t="array" ref="P20">_xll.BDH("NUE US Equity","BS_ACCUM_DEPR","FQ4 2021","FQ4 2021","Currency=USD","Period=FQ","BEST_FPERIOD_OVERRIDE=FQ","FILING_STATUS=MR","SCALING_FORMAT=MLN","Sort=A","Dates=H","DateFormat=P","Fill=—","Direction=H","UseDPDF=Y")</f>
        <v>10389.648999999999</v>
      </c>
      <c r="Q20" s="13" cm="1">
        <f t="array" ref="Q20">_xll.BDH("NUE US Equity","BS_ACCUM_DEPR","FQ1 2022","FQ1 2022","Currency=USD","Period=FQ","BEST_FPERIOD_OVERRIDE=FQ","FILING_STATUS=MR","SCALING_FORMAT=MLN","Sort=A","Dates=H","DateFormat=P","Fill=—","Direction=H","UseDPDF=Y")</f>
        <v>10570</v>
      </c>
      <c r="R20" s="13" cm="1">
        <f t="array" ref="R20">_xll.BDH("NUE US Equity","BS_ACCUM_DEPR","FQ2 2022","FQ2 2022","Currency=USD","Period=FQ","BEST_FPERIOD_OVERRIDE=FQ","FILING_STATUS=MR","SCALING_FORMAT=MLN","Sort=A","Dates=H","DateFormat=P","Fill=—","Direction=H","UseDPDF=Y")</f>
        <v>10720</v>
      </c>
      <c r="S20" s="13" cm="1">
        <f t="array" ref="S20">_xll.BDH("NUE US Equity","BS_ACCUM_DEPR","FQ3 2022","FQ3 2022","Currency=USD","Period=FQ","BEST_FPERIOD_OVERRIDE=FQ","FILING_STATUS=MR","SCALING_FORMAT=MLN","Sort=A","Dates=H","DateFormat=P","Fill=—","Direction=H","UseDPDF=Y")</f>
        <v>10910</v>
      </c>
      <c r="T20" s="13" cm="1">
        <f t="array" ref="T20">_xll.BDH("NUE US Equity","BS_ACCUM_DEPR","FQ4 2022","FQ4 2022","Currency=USD","Period=FQ","BEST_FPERIOD_OVERRIDE=FQ","FILING_STATUS=MR","SCALING_FORMAT=MLN","Sort=A","Dates=H","DateFormat=P","Fill=—","Direction=H","UseDPDF=Y")</f>
        <v>11115.127</v>
      </c>
      <c r="U20" s="13" cm="1">
        <f t="array" ref="U20">_xll.BDH("NUE US Equity","BS_ACCUM_DEPR","FQ1 2023","FQ1 2023","Currency=USD","Period=FQ","BEST_FPERIOD_OVERRIDE=FQ","FILING_STATUS=MR","SCALING_FORMAT=MLN","Sort=A","Dates=H","DateFormat=P","Fill=—","Direction=H","UseDPDF=Y")</f>
        <v>11320</v>
      </c>
      <c r="V20" s="13" cm="1">
        <f t="array" ref="V20">_xll.BDH("NUE US Equity","BS_ACCUM_DEPR","FQ2 2023","FQ2 2023","Currency=USD","Period=FQ","BEST_FPERIOD_OVERRIDE=FQ","FILING_STATUS=MR","SCALING_FORMAT=MLN","Sort=A","Dates=H","DateFormat=P","Fill=—","Direction=H","UseDPDF=Y")</f>
        <v>11520</v>
      </c>
      <c r="W20" s="13" cm="1">
        <f t="array" ref="W20">_xll.BDH("NUE US Equity","BS_ACCUM_DEPR","FQ3 2023","FQ3 2023","Currency=USD","Period=FQ","BEST_FPERIOD_OVERRIDE=FQ","FILING_STATUS=MR","SCALING_FORMAT=MLN","Sort=A","Dates=H","DateFormat=P","Fill=—","Direction=H","UseDPDF=Y")</f>
        <v>11660</v>
      </c>
      <c r="X20" s="13" cm="1">
        <f t="array" ref="X20">_xll.BDH("NUE US Equity","BS_ACCUM_DEPR","FQ4 2023","FQ4 2023","Currency=USD","Period=FQ","BEST_FPERIOD_OVERRIDE=FQ","FILING_STATUS=MR","SCALING_FORMAT=MLN","Sort=A","Dates=H","DateFormat=P","Fill=—","Direction=H","UseDPDF=Y")</f>
        <v>11788.982</v>
      </c>
      <c r="Y20" s="13" cm="1">
        <f t="array" ref="Y20">_xll.BDH("NUE US Equity","BS_ACCUM_DEPR","FQ1 2024","FQ1 2024","Currency=USD","Period=FQ","BEST_FPERIOD_OVERRIDE=FQ","FILING_STATUS=MR","SCALING_FORMAT=MLN","Sort=A","Dates=H","DateFormat=P","Fill=—","Direction=H","UseDPDF=Y")</f>
        <v>12000</v>
      </c>
      <c r="Z20" s="13" cm="1">
        <f t="array" ref="Z20">_xll.BDH("NUE US Equity","BS_ACCUM_DEPR","FQ2 2024","FQ2 2024","Currency=USD","Period=FQ","BEST_FPERIOD_OVERRIDE=FQ","FILING_STATUS=MR","SCALING_FORMAT=MLN","Sort=A","Dates=H","DateFormat=P","Fill=—","Direction=H","UseDPDF=Y")</f>
        <v>12250</v>
      </c>
      <c r="AA20" s="13" cm="1">
        <f t="array" ref="AA20">_xll.BDH("NUE US Equity","BS_ACCUM_DEPR","FQ3 2024","FQ3 2024","Currency=USD","Period=FQ","BEST_FPERIOD_OVERRIDE=FQ","FILING_STATUS=MR","SCALING_FORMAT=MLN","Sort=A","Dates=H","DateFormat=P","Fill=—","Direction=H","UseDPDF=Y")</f>
        <v>12500</v>
      </c>
      <c r="AB20" s="13" cm="1">
        <f t="array" ref="AB20">_xll.BDH("NUE US Equity","BS_ACCUM_DEPR","FQ4 2024","FQ4 2024","Currency=USD","Period=FQ","BEST_FPERIOD_OVERRIDE=FQ","FILING_STATUS=MR","SCALING_FORMAT=MLN","Sort=A","Dates=H","DateFormat=P","Fill=—","Direction=H","UseDPDF=Y")</f>
        <v>12622</v>
      </c>
      <c r="AC20" s="13" cm="1">
        <f t="array" ref="AC20">_xll.BDH("NUE US Equity","BS_ACCUM_DEPR","FQ1 2025","FQ1 2025","Currency=USD","Period=FQ","BEST_FPERIOD_OVERRIDE=FQ","FILING_STATUS=MR","SCALING_FORMAT=MLN","Sort=A","Dates=H","DateFormat=P","Fill=—","Direction=H","UseDPDF=Y")</f>
        <v>12900</v>
      </c>
      <c r="AD20" s="13" cm="1">
        <f t="array" ref="AD20">_xll.BDH("NUE US Equity","BS_ACCUM_DEPR","FQ2 2025","FQ2 2025","Currency=USD","Period=FQ","BEST_FPERIOD_OVERRIDE=FQ","FILING_STATUS=MR","SCALING_FORMAT=MLN","Sort=A","Dates=H","DateFormat=P","Fill=—","Direction=H","UseDPDF=Y")</f>
        <v>13170</v>
      </c>
      <c r="AE20" s="13" cm="1">
        <f t="array" ref="AE20">_xll.BDH("NUE US Equity","BS_ACCUM_DEPR","FQ3 2025","FQ3 2025","Currency=USD","Period=FQ","BEST_FPERIOD_OVERRIDE=FQ","FILING_STATUS=MR","SCALING_FORMAT=MLN","Sort=A","Dates=H","DateFormat=P","Fill=—","Direction=H","UseDPDF=Y")</f>
        <v>13420</v>
      </c>
      <c r="AF20" s="13" t="str" cm="1">
        <f t="array" ref="AF20">_xll.BDH("NUE US Equity","BS_ACCUM_DEPR","FQ4 2025","FQ4 2025","Currency=USD","Period=FQ","BEST_FPERIOD_OVERRIDE=FQ","FILING_STATUS=MR","SCALING_FORMAT=MLN","Sort=A","Dates=H","DateFormat=P","Fill=—","Direction=H","UseDPDF=Y")</f>
        <v>—</v>
      </c>
    </row>
    <row r="21" spans="1:32" x14ac:dyDescent="0.25">
      <c r="A21" s="10" t="s">
        <v>94</v>
      </c>
      <c r="B21" s="10" t="s">
        <v>95</v>
      </c>
      <c r="C21" s="13" cm="1">
        <f t="array" ref="C21">_xll.BDH("NUE US Equity","BS_LT_INVEST","FQ3 2018","FQ3 2018","Currency=USD","Period=FQ","BEST_FPERIOD_OVERRIDE=FQ","FILING_STATUS=MR","SCALING_FORMAT=MLN","Sort=A","Dates=H","DateFormat=P","Fill=—","Direction=H","UseDPDF=Y")</f>
        <v>0</v>
      </c>
      <c r="D21" s="13" cm="1">
        <f t="array" ref="D21">_xll.BDH("NUE US Equity","BS_LT_INVEST","FQ4 2018","FQ4 2018","Currency=USD","Period=FQ","BEST_FPERIOD_OVERRIDE=FQ","FILING_STATUS=MR","SCALING_FORMAT=MLN","Sort=A","Dates=H","DateFormat=P","Fill=—","Direction=H","UseDPDF=Y")</f>
        <v>0</v>
      </c>
      <c r="E21" s="13" cm="1">
        <f t="array" ref="E21">_xll.BDH("NUE US Equity","BS_LT_INVEST","FQ1 2019","FQ1 2019","Currency=USD","Period=FQ","BEST_FPERIOD_OVERRIDE=FQ","FILING_STATUS=MR","SCALING_FORMAT=MLN","Sort=A","Dates=H","DateFormat=P","Fill=—","Direction=H","UseDPDF=Y")</f>
        <v>0</v>
      </c>
      <c r="F21" s="13" cm="1">
        <f t="array" ref="F21">_xll.BDH("NUE US Equity","BS_LT_INVEST","FQ2 2019","FQ2 2019","Currency=USD","Period=FQ","BEST_FPERIOD_OVERRIDE=FQ","FILING_STATUS=MR","SCALING_FORMAT=MLN","Sort=A","Dates=H","DateFormat=P","Fill=—","Direction=H","UseDPDF=Y")</f>
        <v>0</v>
      </c>
      <c r="G21" s="13" cm="1">
        <f t="array" ref="G21">_xll.BDH("NUE US Equity","BS_LT_INVEST","FQ3 2019","FQ3 2019","Currency=USD","Period=FQ","BEST_FPERIOD_OVERRIDE=FQ","FILING_STATUS=MR","SCALING_FORMAT=MLN","Sort=A","Dates=H","DateFormat=P","Fill=—","Direction=H","UseDPDF=Y")</f>
        <v>0</v>
      </c>
      <c r="H21" s="13" cm="1">
        <f t="array" ref="H21">_xll.BDH("NUE US Equity","BS_LT_INVEST","FQ4 2019","FQ4 2019","Currency=USD","Period=FQ","BEST_FPERIOD_OVERRIDE=FQ","FILING_STATUS=MR","SCALING_FORMAT=MLN","Sort=A","Dates=H","DateFormat=P","Fill=—","Direction=H","UseDPDF=Y")</f>
        <v>0</v>
      </c>
      <c r="I21" s="13" cm="1">
        <f t="array" ref="I21">_xll.BDH("NUE US Equity","BS_LT_INVEST","FQ1 2020","FQ1 2020","Currency=USD","Period=FQ","BEST_FPERIOD_OVERRIDE=FQ","FILING_STATUS=MR","SCALING_FORMAT=MLN","Sort=A","Dates=H","DateFormat=P","Fill=—","Direction=H","UseDPDF=Y")</f>
        <v>0</v>
      </c>
      <c r="J21" s="13" cm="1">
        <f t="array" ref="J21">_xll.BDH("NUE US Equity","BS_LT_INVEST","FQ2 2020","FQ2 2020","Currency=USD","Period=FQ","BEST_FPERIOD_OVERRIDE=FQ","FILING_STATUS=MR","SCALING_FORMAT=MLN","Sort=A","Dates=H","DateFormat=P","Fill=—","Direction=H","UseDPDF=Y")</f>
        <v>0</v>
      </c>
      <c r="K21" s="13" cm="1">
        <f t="array" ref="K21">_xll.BDH("NUE US Equity","BS_LT_INVEST","FQ3 2020","FQ3 2020","Currency=USD","Period=FQ","BEST_FPERIOD_OVERRIDE=FQ","FILING_STATUS=MR","SCALING_FORMAT=MLN","Sort=A","Dates=H","DateFormat=P","Fill=—","Direction=H","UseDPDF=Y")</f>
        <v>0</v>
      </c>
      <c r="L21" s="13" cm="1">
        <f t="array" ref="L21">_xll.BDH("NUE US Equity","BS_LT_INVEST","FQ4 2020","FQ4 2020","Currency=USD","Period=FQ","BEST_FPERIOD_OVERRIDE=FQ","FILING_STATUS=MR","SCALING_FORMAT=MLN","Sort=A","Dates=H","DateFormat=P","Fill=—","Direction=H","UseDPDF=Y")</f>
        <v>0</v>
      </c>
      <c r="M21" s="13" cm="1">
        <f t="array" ref="M21">_xll.BDH("NUE US Equity","BS_LT_INVEST","FQ1 2021","FQ1 2021","Currency=USD","Period=FQ","BEST_FPERIOD_OVERRIDE=FQ","FILING_STATUS=MR","SCALING_FORMAT=MLN","Sort=A","Dates=H","DateFormat=P","Fill=—","Direction=H","UseDPDF=Y")</f>
        <v>0</v>
      </c>
      <c r="N21" s="13" cm="1">
        <f t="array" ref="N21">_xll.BDH("NUE US Equity","BS_LT_INVEST","FQ2 2021","FQ2 2021","Currency=USD","Period=FQ","BEST_FPERIOD_OVERRIDE=FQ","FILING_STATUS=MR","SCALING_FORMAT=MLN","Sort=A","Dates=H","DateFormat=P","Fill=—","Direction=H","UseDPDF=Y")</f>
        <v>0</v>
      </c>
      <c r="O21" s="13" cm="1">
        <f t="array" ref="O21">_xll.BDH("NUE US Equity","BS_LT_INVEST","FQ3 2021","FQ3 2021","Currency=USD","Period=FQ","BEST_FPERIOD_OVERRIDE=FQ","FILING_STATUS=MR","SCALING_FORMAT=MLN","Sort=A","Dates=H","DateFormat=P","Fill=—","Direction=H","UseDPDF=Y")</f>
        <v>0</v>
      </c>
      <c r="P21" s="13" cm="1">
        <f t="array" ref="P21">_xll.BDH("NUE US Equity","BS_LT_INVEST","FQ4 2021","FQ4 2021","Currency=USD","Period=FQ","BEST_FPERIOD_OVERRIDE=FQ","FILING_STATUS=MR","SCALING_FORMAT=MLN","Sort=A","Dates=H","DateFormat=P","Fill=—","Direction=H","UseDPDF=Y")</f>
        <v>0</v>
      </c>
      <c r="Q21" s="13" cm="1">
        <f t="array" ref="Q21">_xll.BDH("NUE US Equity","BS_LT_INVEST","FQ1 2022","FQ1 2022","Currency=USD","Period=FQ","BEST_FPERIOD_OVERRIDE=FQ","FILING_STATUS=MR","SCALING_FORMAT=MLN","Sort=A","Dates=H","DateFormat=P","Fill=—","Direction=H","UseDPDF=Y")</f>
        <v>0</v>
      </c>
      <c r="R21" s="13" cm="1">
        <f t="array" ref="R21">_xll.BDH("NUE US Equity","BS_LT_INVEST","FQ2 2022","FQ2 2022","Currency=USD","Period=FQ","BEST_FPERIOD_OVERRIDE=FQ","FILING_STATUS=MR","SCALING_FORMAT=MLN","Sort=A","Dates=H","DateFormat=P","Fill=—","Direction=H","UseDPDF=Y")</f>
        <v>0</v>
      </c>
      <c r="S21" s="13" cm="1">
        <f t="array" ref="S21">_xll.BDH("NUE US Equity","BS_LT_INVEST","FQ3 2022","FQ3 2022","Currency=USD","Period=FQ","BEST_FPERIOD_OVERRIDE=FQ","FILING_STATUS=MR","SCALING_FORMAT=MLN","Sort=A","Dates=H","DateFormat=P","Fill=—","Direction=H","UseDPDF=Y")</f>
        <v>0</v>
      </c>
      <c r="T21" s="13" cm="1">
        <f t="array" ref="T21">_xll.BDH("NUE US Equity","BS_LT_INVEST","FQ4 2022","FQ4 2022","Currency=USD","Period=FQ","BEST_FPERIOD_OVERRIDE=FQ","FILING_STATUS=MR","SCALING_FORMAT=MLN","Sort=A","Dates=H","DateFormat=P","Fill=—","Direction=H","UseDPDF=Y")</f>
        <v>0</v>
      </c>
      <c r="U21" s="13" cm="1">
        <f t="array" ref="U21">_xll.BDH("NUE US Equity","BS_LT_INVEST","FQ1 2023","FQ1 2023","Currency=USD","Period=FQ","BEST_FPERIOD_OVERRIDE=FQ","FILING_STATUS=MR","SCALING_FORMAT=MLN","Sort=A","Dates=H","DateFormat=P","Fill=—","Direction=H","UseDPDF=Y")</f>
        <v>0</v>
      </c>
      <c r="V21" s="13" cm="1">
        <f t="array" ref="V21">_xll.BDH("NUE US Equity","BS_LT_INVEST","FQ2 2023","FQ2 2023","Currency=USD","Period=FQ","BEST_FPERIOD_OVERRIDE=FQ","FILING_STATUS=MR","SCALING_FORMAT=MLN","Sort=A","Dates=H","DateFormat=P","Fill=—","Direction=H","UseDPDF=Y")</f>
        <v>0</v>
      </c>
      <c r="W21" s="13" cm="1">
        <f t="array" ref="W21">_xll.BDH("NUE US Equity","BS_LT_INVEST","FQ3 2023","FQ3 2023","Currency=USD","Period=FQ","BEST_FPERIOD_OVERRIDE=FQ","FILING_STATUS=MR","SCALING_FORMAT=MLN","Sort=A","Dates=H","DateFormat=P","Fill=—","Direction=H","UseDPDF=Y")</f>
        <v>0</v>
      </c>
      <c r="X21" s="13" cm="1">
        <f t="array" ref="X21">_xll.BDH("NUE US Equity","BS_LT_INVEST","FQ4 2023","FQ4 2023","Currency=USD","Period=FQ","BEST_FPERIOD_OVERRIDE=FQ","FILING_STATUS=MR","SCALING_FORMAT=MLN","Sort=A","Dates=H","DateFormat=P","Fill=—","Direction=H","UseDPDF=Y")</f>
        <v>0</v>
      </c>
      <c r="Y21" s="13" cm="1">
        <f t="array" ref="Y21">_xll.BDH("NUE US Equity","BS_LT_INVEST","FQ1 2024","FQ1 2024","Currency=USD","Period=FQ","BEST_FPERIOD_OVERRIDE=FQ","FILING_STATUS=MR","SCALING_FORMAT=MLN","Sort=A","Dates=H","DateFormat=P","Fill=—","Direction=H","UseDPDF=Y")</f>
        <v>0</v>
      </c>
      <c r="Z21" s="13" cm="1">
        <f t="array" ref="Z21">_xll.BDH("NUE US Equity","BS_LT_INVEST","FQ2 2024","FQ2 2024","Currency=USD","Period=FQ","BEST_FPERIOD_OVERRIDE=FQ","FILING_STATUS=MR","SCALING_FORMAT=MLN","Sort=A","Dates=H","DateFormat=P","Fill=—","Direction=H","UseDPDF=Y")</f>
        <v>0</v>
      </c>
      <c r="AA21" s="13" cm="1">
        <f t="array" ref="AA21">_xll.BDH("NUE US Equity","BS_LT_INVEST","FQ3 2024","FQ3 2024","Currency=USD","Period=FQ","BEST_FPERIOD_OVERRIDE=FQ","FILING_STATUS=MR","SCALING_FORMAT=MLN","Sort=A","Dates=H","DateFormat=P","Fill=—","Direction=H","UseDPDF=Y")</f>
        <v>0</v>
      </c>
      <c r="AB21" s="13" cm="1">
        <f t="array" ref="AB21">_xll.BDH("NUE US Equity","BS_LT_INVEST","FQ4 2024","FQ4 2024","Currency=USD","Period=FQ","BEST_FPERIOD_OVERRIDE=FQ","FILING_STATUS=MR","SCALING_FORMAT=MLN","Sort=A","Dates=H","DateFormat=P","Fill=—","Direction=H","UseDPDF=Y")</f>
        <v>0</v>
      </c>
      <c r="AC21" s="13" cm="1">
        <f t="array" ref="AC21">_xll.BDH("NUE US Equity","BS_LT_INVEST","FQ1 2025","FQ1 2025","Currency=USD","Period=FQ","BEST_FPERIOD_OVERRIDE=FQ","FILING_STATUS=MR","SCALING_FORMAT=MLN","Sort=A","Dates=H","DateFormat=P","Fill=—","Direction=H","UseDPDF=Y")</f>
        <v>0</v>
      </c>
      <c r="AD21" s="13" cm="1">
        <f t="array" ref="AD21">_xll.BDH("NUE US Equity","BS_LT_INVEST","FQ2 2025","FQ2 2025","Currency=USD","Period=FQ","BEST_FPERIOD_OVERRIDE=FQ","FILING_STATUS=MR","SCALING_FORMAT=MLN","Sort=A","Dates=H","DateFormat=P","Fill=—","Direction=H","UseDPDF=Y")</f>
        <v>0</v>
      </c>
      <c r="AE21" s="13" cm="1">
        <f t="array" ref="AE21">_xll.BDH("NUE US Equity","BS_LT_INVEST","FQ3 2025","FQ3 2025","Currency=USD","Period=FQ","BEST_FPERIOD_OVERRIDE=FQ","FILING_STATUS=MR","SCALING_FORMAT=MLN","Sort=A","Dates=H","DateFormat=P","Fill=—","Direction=H","UseDPDF=Y")</f>
        <v>0</v>
      </c>
      <c r="AF21" s="13" cm="1">
        <f t="array" ref="AF21">_xll.BDH("NUE US Equity","BS_LT_INVEST","FQ4 2025","FQ4 2025","Currency=USD","Period=FQ","BEST_FPERIOD_OVERRIDE=FQ","FILING_STATUS=MR","SCALING_FORMAT=MLN","Sort=A","Dates=H","DateFormat=P","Fill=—","Direction=H","UseDPDF=Y")</f>
        <v>0</v>
      </c>
    </row>
    <row r="22" spans="1:32" x14ac:dyDescent="0.25">
      <c r="A22" s="10" t="s">
        <v>96</v>
      </c>
      <c r="B22" s="10" t="s">
        <v>97</v>
      </c>
      <c r="C22" s="13" cm="1">
        <f t="array" ref="C22">_xll.BDH("NUE US Equity","BS_OTHER_ASSETS_DEF_CHRG_OTHER","FQ3 2018","FQ3 2018","Currency=USD","Period=FQ","BEST_FPERIOD_OVERRIDE=FQ","FILING_STATUS=MR","SCALING_FORMAT=MLN","Sort=A","Dates=H","DateFormat=P","Fill=—","Direction=H","UseDPDF=Y")</f>
        <v>3967.34</v>
      </c>
      <c r="D22" s="13" cm="1">
        <f t="array" ref="D22">_xll.BDH("NUE US Equity","BS_OTHER_ASSETS_DEF_CHRG_OTHER","FQ4 2018","FQ4 2018","Currency=USD","Period=FQ","BEST_FPERIOD_OVERRIDE=FQ","FILING_STATUS=MR","SCALING_FORMAT=MLN","Sort=A","Dates=H","DateFormat=P","Fill=—","Direction=H","UseDPDF=Y")</f>
        <v>3949.5749999999998</v>
      </c>
      <c r="E22" s="13" cm="1">
        <f t="array" ref="E22">_xll.BDH("NUE US Equity","BS_OTHER_ASSETS_DEF_CHRG_OTHER","FQ1 2019","FQ1 2019","Currency=USD","Period=FQ","BEST_FPERIOD_OVERRIDE=FQ","FILING_STATUS=MR","SCALING_FORMAT=MLN","Sort=A","Dates=H","DateFormat=P","Fill=—","Direction=H","UseDPDF=Y")</f>
        <v>3863.1179999999999</v>
      </c>
      <c r="F22" s="13" cm="1">
        <f t="array" ref="F22">_xll.BDH("NUE US Equity","BS_OTHER_ASSETS_DEF_CHRG_OTHER","FQ2 2019","FQ2 2019","Currency=USD","Period=FQ","BEST_FPERIOD_OVERRIDE=FQ","FILING_STATUS=MR","SCALING_FORMAT=MLN","Sort=A","Dates=H","DateFormat=P","Fill=—","Direction=H","UseDPDF=Y")</f>
        <v>3861.768</v>
      </c>
      <c r="G22" s="13" cm="1">
        <f t="array" ref="G22">_xll.BDH("NUE US Equity","BS_OTHER_ASSETS_DEF_CHRG_OTHER","FQ3 2019","FQ3 2019","Currency=USD","Period=FQ","BEST_FPERIOD_OVERRIDE=FQ","FILING_STATUS=MR","SCALING_FORMAT=MLN","Sort=A","Dates=H","DateFormat=P","Fill=—","Direction=H","UseDPDF=Y")</f>
        <v>3935.2469999999998</v>
      </c>
      <c r="H22" s="13" cm="1">
        <f t="array" ref="H22">_xll.BDH("NUE US Equity","BS_OTHER_ASSETS_DEF_CHRG_OTHER","FQ4 2019","FQ4 2019","Currency=USD","Period=FQ","BEST_FPERIOD_OVERRIDE=FQ","FILING_STATUS=MR","SCALING_FORMAT=MLN","Sort=A","Dates=H","DateFormat=P","Fill=—","Direction=H","UseDPDF=Y")</f>
        <v>3939.741</v>
      </c>
      <c r="I22" s="13" cm="1">
        <f t="array" ref="I22">_xll.BDH("NUE US Equity","BS_OTHER_ASSETS_DEF_CHRG_OTHER","FQ1 2020","FQ1 2020","Currency=USD","Period=FQ","BEST_FPERIOD_OVERRIDE=FQ","FILING_STATUS=MR","SCALING_FORMAT=MLN","Sort=A","Dates=H","DateFormat=P","Fill=—","Direction=H","UseDPDF=Y")</f>
        <v>3601.8510000000001</v>
      </c>
      <c r="J22" s="13" cm="1">
        <f t="array" ref="J22">_xll.BDH("NUE US Equity","BS_OTHER_ASSETS_DEF_CHRG_OTHER","FQ2 2020","FQ2 2020","Currency=USD","Period=FQ","BEST_FPERIOD_OVERRIDE=FQ","FILING_STATUS=MR","SCALING_FORMAT=MLN","Sort=A","Dates=H","DateFormat=P","Fill=—","Direction=H","UseDPDF=Y")</f>
        <v>3574.55</v>
      </c>
      <c r="K22" s="13" cm="1">
        <f t="array" ref="K22">_xll.BDH("NUE US Equity","BS_OTHER_ASSETS_DEF_CHRG_OTHER","FQ3 2020","FQ3 2020","Currency=USD","Period=FQ","BEST_FPERIOD_OVERRIDE=FQ","FILING_STATUS=MR","SCALING_FORMAT=MLN","Sort=A","Dates=H","DateFormat=P","Fill=—","Direction=H","UseDPDF=Y")</f>
        <v>3723.6970000000001</v>
      </c>
      <c r="L22" s="13" cm="1">
        <f t="array" ref="L22">_xll.BDH("NUE US Equity","BS_OTHER_ASSETS_DEF_CHRG_OTHER","FQ4 2020","FQ4 2020","Currency=USD","Period=FQ","BEST_FPERIOD_OVERRIDE=FQ","FILING_STATUS=MR","SCALING_FORMAT=MLN","Sort=A","Dates=H","DateFormat=P","Fill=—","Direction=H","UseDPDF=Y")</f>
        <v>3737.6219999999998</v>
      </c>
      <c r="M22" s="13" cm="1">
        <f t="array" ref="M22">_xll.BDH("NUE US Equity","BS_OTHER_ASSETS_DEF_CHRG_OTHER","FQ1 2021","FQ1 2021","Currency=USD","Period=FQ","BEST_FPERIOD_OVERRIDE=FQ","FILING_STATUS=MR","SCALING_FORMAT=MLN","Sort=A","Dates=H","DateFormat=P","Fill=—","Direction=H","UseDPDF=Y")</f>
        <v>3731.5889999999999</v>
      </c>
      <c r="N22" s="13" cm="1">
        <f t="array" ref="N22">_xll.BDH("NUE US Equity","BS_OTHER_ASSETS_DEF_CHRG_OTHER","FQ2 2021","FQ2 2021","Currency=USD","Period=FQ","BEST_FPERIOD_OVERRIDE=FQ","FILING_STATUS=MR","SCALING_FORMAT=MLN","Sort=A","Dates=H","DateFormat=P","Fill=—","Direction=H","UseDPDF=Y")</f>
        <v>3704.107</v>
      </c>
      <c r="O22" s="13" cm="1">
        <f t="array" ref="O22">_xll.BDH("NUE US Equity","BS_OTHER_ASSETS_DEF_CHRG_OTHER","FQ3 2021","FQ3 2021","Currency=USD","Period=FQ","BEST_FPERIOD_OVERRIDE=FQ","FILING_STATUS=MR","SCALING_FORMAT=MLN","Sort=A","Dates=H","DateFormat=P","Fill=—","Direction=H","UseDPDF=Y")</f>
        <v>5048.3770000000004</v>
      </c>
      <c r="P22" s="13" cm="1">
        <f t="array" ref="P22">_xll.BDH("NUE US Equity","BS_OTHER_ASSETS_DEF_CHRG_OTHER","FQ4 2021","FQ4 2021","Currency=USD","Period=FQ","BEST_FPERIOD_OVERRIDE=FQ","FILING_STATUS=MR","SCALING_FORMAT=MLN","Sort=A","Dates=H","DateFormat=P","Fill=—","Direction=H","UseDPDF=Y")</f>
        <v>4908.6970000000001</v>
      </c>
      <c r="Q22" s="13" cm="1">
        <f t="array" ref="Q22">_xll.BDH("NUE US Equity","BS_OTHER_ASSETS_DEF_CHRG_OTHER","FQ1 2022","FQ1 2022","Currency=USD","Period=FQ","BEST_FPERIOD_OVERRIDE=FQ","FILING_STATUS=MR","SCALING_FORMAT=MLN","Sort=A","Dates=H","DateFormat=P","Fill=—","Direction=H","UseDPDF=Y")</f>
        <v>4930.2539999999999</v>
      </c>
      <c r="R22" s="13" cm="1">
        <f t="array" ref="R22">_xll.BDH("NUE US Equity","BS_OTHER_ASSETS_DEF_CHRG_OTHER","FQ2 2022","FQ2 2022","Currency=USD","Period=FQ","BEST_FPERIOD_OVERRIDE=FQ","FILING_STATUS=MR","SCALING_FORMAT=MLN","Sort=A","Dates=H","DateFormat=P","Fill=—","Direction=H","UseDPDF=Y")</f>
        <v>8421.0460000000003</v>
      </c>
      <c r="S22" s="13" cm="1">
        <f t="array" ref="S22">_xll.BDH("NUE US Equity","BS_OTHER_ASSETS_DEF_CHRG_OTHER","FQ3 2022","FQ3 2022","Currency=USD","Period=FQ","BEST_FPERIOD_OVERRIDE=FQ","FILING_STATUS=MR","SCALING_FORMAT=MLN","Sort=A","Dates=H","DateFormat=P","Fill=—","Direction=H","UseDPDF=Y")</f>
        <v>8276.1730000000007</v>
      </c>
      <c r="T22" s="13" cm="1">
        <f t="array" ref="T22">_xll.BDH("NUE US Equity","BS_OTHER_ASSETS_DEF_CHRG_OTHER","FQ4 2022","FQ4 2022","Currency=USD","Period=FQ","BEST_FPERIOD_OVERRIDE=FQ","FILING_STATUS=MR","SCALING_FORMAT=MLN","Sort=A","Dates=H","DateFormat=P","Fill=—","Direction=H","UseDPDF=Y")</f>
        <v>8170.6059999999998</v>
      </c>
      <c r="U22" s="13" cm="1">
        <f t="array" ref="U22">_xll.BDH("NUE US Equity","BS_OTHER_ASSETS_DEF_CHRG_OTHER","FQ1 2023","FQ1 2023","Currency=USD","Period=FQ","BEST_FPERIOD_OVERRIDE=FQ","FILING_STATUS=MR","SCALING_FORMAT=MLN","Sort=A","Dates=H","DateFormat=P","Fill=—","Direction=H","UseDPDF=Y")</f>
        <v>8067.018</v>
      </c>
      <c r="V22" s="13" cm="1">
        <f t="array" ref="V22">_xll.BDH("NUE US Equity","BS_OTHER_ASSETS_DEF_CHRG_OTHER","FQ2 2023","FQ2 2023","Currency=USD","Period=FQ","BEST_FPERIOD_OVERRIDE=FQ","FILING_STATUS=MR","SCALING_FORMAT=MLN","Sort=A","Dates=H","DateFormat=P","Fill=—","Direction=H","UseDPDF=Y")</f>
        <v>7996.009</v>
      </c>
      <c r="W22" s="13" cm="1">
        <f t="array" ref="W22">_xll.BDH("NUE US Equity","BS_OTHER_ASSETS_DEF_CHRG_OTHER","FQ3 2023","FQ3 2023","Currency=USD","Period=FQ","BEST_FPERIOD_OVERRIDE=FQ","FILING_STATUS=MR","SCALING_FORMAT=MLN","Sort=A","Dates=H","DateFormat=P","Fill=—","Direction=H","UseDPDF=Y")</f>
        <v>7963.0020000000004</v>
      </c>
      <c r="X22" s="13" cm="1">
        <f t="array" ref="X22">_xll.BDH("NUE US Equity","BS_OTHER_ASSETS_DEF_CHRG_OTHER","FQ4 2023","FQ4 2023","Currency=USD","Period=FQ","BEST_FPERIOD_OVERRIDE=FQ","FILING_STATUS=MR","SCALING_FORMAT=MLN","Sort=A","Dates=H","DateFormat=P","Fill=—","Direction=H","UseDPDF=Y")</f>
        <v>7904.8739999999998</v>
      </c>
      <c r="Y22" s="13" cm="1">
        <f t="array" ref="Y22">_xll.BDH("NUE US Equity","BS_OTHER_ASSETS_DEF_CHRG_OTHER","FQ1 2024","FQ1 2024","Currency=USD","Period=FQ","BEST_FPERIOD_OVERRIDE=FQ","FILING_STATUS=MR","SCALING_FORMAT=MLN","Sort=A","Dates=H","DateFormat=P","Fill=—","Direction=H","UseDPDF=Y")</f>
        <v>7833.1629999999996</v>
      </c>
      <c r="Z22" s="13" cm="1">
        <f t="array" ref="Z22">_xll.BDH("NUE US Equity","BS_OTHER_ASSETS_DEF_CHRG_OTHER","FQ2 2024","FQ2 2024","Currency=USD","Period=FQ","BEST_FPERIOD_OVERRIDE=FQ","FILING_STATUS=MR","SCALING_FORMAT=MLN","Sort=A","Dates=H","DateFormat=P","Fill=—","Direction=H","UseDPDF=Y")</f>
        <v>7927.9139999999998</v>
      </c>
      <c r="AA22" s="13" cm="1">
        <f t="array" ref="AA22">_xll.BDH("NUE US Equity","BS_OTHER_ASSETS_DEF_CHRG_OTHER","FQ3 2024","FQ3 2024","Currency=USD","Period=FQ","BEST_FPERIOD_OVERRIDE=FQ","FILING_STATUS=MR","SCALING_FORMAT=MLN","Sort=A","Dates=H","DateFormat=P","Fill=—","Direction=H","UseDPDF=Y")</f>
        <v>8244.7309999999998</v>
      </c>
      <c r="AB22" s="13" cm="1">
        <f t="array" ref="AB22">_xll.BDH("NUE US Equity","BS_OTHER_ASSETS_DEF_CHRG_OTHER","FQ4 2024","FQ4 2024","Currency=USD","Period=FQ","BEST_FPERIOD_OVERRIDE=FQ","FILING_STATUS=MR","SCALING_FORMAT=MLN","Sort=A","Dates=H","DateFormat=P","Fill=—","Direction=H","UseDPDF=Y")</f>
        <v>8222</v>
      </c>
      <c r="AC22" s="13" cm="1">
        <f t="array" ref="AC22">_xll.BDH("NUE US Equity","BS_OTHER_ASSETS_DEF_CHRG_OTHER","FQ1 2025","FQ1 2025","Currency=USD","Period=FQ","BEST_FPERIOD_OVERRIDE=FQ","FILING_STATUS=MR","SCALING_FORMAT=MLN","Sort=A","Dates=H","DateFormat=P","Fill=—","Direction=H","UseDPDF=Y")</f>
        <v>8180</v>
      </c>
      <c r="AD22" s="13" cm="1">
        <f t="array" ref="AD22">_xll.BDH("NUE US Equity","BS_OTHER_ASSETS_DEF_CHRG_OTHER","FQ2 2025","FQ2 2025","Currency=USD","Period=FQ","BEST_FPERIOD_OVERRIDE=FQ","FILING_STATUS=MR","SCALING_FORMAT=MLN","Sort=A","Dates=H","DateFormat=P","Fill=—","Direction=H","UseDPDF=Y")</f>
        <v>8195</v>
      </c>
      <c r="AE22" s="13" cm="1">
        <f t="array" ref="AE22">_xll.BDH("NUE US Equity","BS_OTHER_ASSETS_DEF_CHRG_OTHER","FQ3 2025","FQ3 2025","Currency=USD","Period=FQ","BEST_FPERIOD_OVERRIDE=FQ","FILING_STATUS=MR","SCALING_FORMAT=MLN","Sort=A","Dates=H","DateFormat=P","Fill=—","Direction=H","UseDPDF=Y")</f>
        <v>8147</v>
      </c>
      <c r="AF22" s="13" cm="1">
        <f t="array" ref="AF22">_xll.BDH("NUE US Equity","BS_OTHER_ASSETS_DEF_CHRG_OTHER","FQ4 2025","FQ4 2025","Currency=USD","Period=FQ","BEST_FPERIOD_OVERRIDE=FQ","FILING_STATUS=MR","SCALING_FORMAT=MLN","Sort=A","Dates=H","DateFormat=P","Fill=—","Direction=H","UseDPDF=Y")</f>
        <v>8033</v>
      </c>
    </row>
    <row r="23" spans="1:32" x14ac:dyDescent="0.25">
      <c r="A23" s="10" t="s">
        <v>98</v>
      </c>
      <c r="B23" s="10" t="s">
        <v>99</v>
      </c>
      <c r="C23" s="13" cm="1">
        <f t="array" ref="C23">_xll.BDH("NUE US Equity","BS_DISCLOSED_INTANGIBLES","FQ3 2018","FQ3 2018","Currency=USD","Period=FQ","BEST_FPERIOD_OVERRIDE=FQ","FILING_STATUS=MR","SCALING_FORMAT=MLN","Sort=A","Dates=H","DateFormat=P","Fill=—","Direction=H","UseDPDF=Y")</f>
        <v>3041.8</v>
      </c>
      <c r="D23" s="13" cm="1">
        <f t="array" ref="D23">_xll.BDH("NUE US Equity","BS_DISCLOSED_INTANGIBLES","FQ4 2018","FQ4 2018","Currency=USD","Period=FQ","BEST_FPERIOD_OVERRIDE=FQ","FILING_STATUS=MR","SCALING_FORMAT=MLN","Sort=A","Dates=H","DateFormat=P","Fill=—","Direction=H","UseDPDF=Y")</f>
        <v>3012.84</v>
      </c>
      <c r="E23" s="13" cm="1">
        <f t="array" ref="E23">_xll.BDH("NUE US Equity","BS_DISCLOSED_INTANGIBLES","FQ1 2019","FQ1 2019","Currency=USD","Period=FQ","BEST_FPERIOD_OVERRIDE=FQ","FILING_STATUS=MR","SCALING_FORMAT=MLN","Sort=A","Dates=H","DateFormat=P","Fill=—","Direction=H","UseDPDF=Y")</f>
        <v>2990.5650000000001</v>
      </c>
      <c r="F23" s="13" cm="1">
        <f t="array" ref="F23">_xll.BDH("NUE US Equity","BS_DISCLOSED_INTANGIBLES","FQ2 2019","FQ2 2019","Currency=USD","Period=FQ","BEST_FPERIOD_OVERRIDE=FQ","FILING_STATUS=MR","SCALING_FORMAT=MLN","Sort=A","Dates=H","DateFormat=P","Fill=—","Direction=H","UseDPDF=Y")</f>
        <v>2974.2310000000002</v>
      </c>
      <c r="G23" s="13" cm="1">
        <f t="array" ref="G23">_xll.BDH("NUE US Equity","BS_DISCLOSED_INTANGIBLES","FQ3 2019","FQ3 2019","Currency=USD","Period=FQ","BEST_FPERIOD_OVERRIDE=FQ","FILING_STATUS=MR","SCALING_FORMAT=MLN","Sort=A","Dates=H","DateFormat=P","Fill=—","Direction=H","UseDPDF=Y")</f>
        <v>2950.7660000000001</v>
      </c>
      <c r="H23" s="13" cm="1">
        <f t="array" ref="H23">_xll.BDH("NUE US Equity","BS_DISCLOSED_INTANGIBLES","FQ4 2019","FQ4 2019","Currency=USD","Period=FQ","BEST_FPERIOD_OVERRIDE=FQ","FILING_STATUS=MR","SCALING_FORMAT=MLN","Sort=A","Dates=H","DateFormat=P","Fill=—","Direction=H","UseDPDF=Y")</f>
        <v>2943.2489999999998</v>
      </c>
      <c r="I23" s="13" cm="1">
        <f t="array" ref="I23">_xll.BDH("NUE US Equity","BS_DISCLOSED_INTANGIBLES","FQ1 2020","FQ1 2020","Currency=USD","Period=FQ","BEST_FPERIOD_OVERRIDE=FQ","FILING_STATUS=MR","SCALING_FORMAT=MLN","Sort=A","Dates=H","DateFormat=P","Fill=—","Direction=H","UseDPDF=Y")</f>
        <v>2901</v>
      </c>
      <c r="J23" s="13" cm="1">
        <f t="array" ref="J23">_xll.BDH("NUE US Equity","BS_DISCLOSED_INTANGIBLES","FQ2 2020","FQ2 2020","Currency=USD","Period=FQ","BEST_FPERIOD_OVERRIDE=FQ","FILING_STATUS=MR","SCALING_FORMAT=MLN","Sort=A","Dates=H","DateFormat=P","Fill=—","Direction=H","UseDPDF=Y")</f>
        <v>2888.5810000000001</v>
      </c>
      <c r="K23" s="13" cm="1">
        <f t="array" ref="K23">_xll.BDH("NUE US Equity","BS_DISCLOSED_INTANGIBLES","FQ3 2020","FQ3 2020","Currency=USD","Period=FQ","BEST_FPERIOD_OVERRIDE=FQ","FILING_STATUS=MR","SCALING_FORMAT=MLN","Sort=A","Dates=H","DateFormat=P","Fill=—","Direction=H","UseDPDF=Y")</f>
        <v>2874.346</v>
      </c>
      <c r="L23" s="13" cm="1">
        <f t="array" ref="L23">_xll.BDH("NUE US Equity","BS_DISCLOSED_INTANGIBLES","FQ4 2020","FQ4 2020","Currency=USD","Period=FQ","BEST_FPERIOD_OVERRIDE=FQ","FILING_STATUS=MR","SCALING_FORMAT=MLN","Sort=A","Dates=H","DateFormat=P","Fill=—","Direction=H","UseDPDF=Y")</f>
        <v>2897.6930000000002</v>
      </c>
      <c r="M23" s="13" cm="1">
        <f t="array" ref="M23">_xll.BDH("NUE US Equity","BS_DISCLOSED_INTANGIBLES","FQ1 2021","FQ1 2021","Currency=USD","Period=FQ","BEST_FPERIOD_OVERRIDE=FQ","FILING_STATUS=MR","SCALING_FORMAT=MLN","Sort=A","Dates=H","DateFormat=P","Fill=—","Direction=H","UseDPDF=Y")</f>
        <v>2882.6619999999998</v>
      </c>
      <c r="N23" s="13" cm="1">
        <f t="array" ref="N23">_xll.BDH("NUE US Equity","BS_DISCLOSED_INTANGIBLES","FQ2 2021","FQ2 2021","Currency=USD","Period=FQ","BEST_FPERIOD_OVERRIDE=FQ","FILING_STATUS=MR","SCALING_FORMAT=MLN","Sort=A","Dates=H","DateFormat=P","Fill=—","Direction=H","UseDPDF=Y")</f>
        <v>2868.759</v>
      </c>
      <c r="O23" s="13" cm="1">
        <f t="array" ref="O23">_xll.BDH("NUE US Equity","BS_DISCLOSED_INTANGIBLES","FQ3 2021","FQ3 2021","Currency=USD","Period=FQ","BEST_FPERIOD_OVERRIDE=FQ","FILING_STATUS=MR","SCALING_FORMAT=MLN","Sort=A","Dates=H","DateFormat=P","Fill=—","Direction=H","UseDPDF=Y")</f>
        <v>3959.2840000000001</v>
      </c>
      <c r="P23" s="13" cm="1">
        <f t="array" ref="P23">_xll.BDH("NUE US Equity","BS_DISCLOSED_INTANGIBLES","FQ4 2021","FQ4 2021","Currency=USD","Period=FQ","BEST_FPERIOD_OVERRIDE=FQ","FILING_STATUS=MR","SCALING_FORMAT=MLN","Sort=A","Dates=H","DateFormat=P","Fill=—","Direction=H","UseDPDF=Y")</f>
        <v>3931.1030000000001</v>
      </c>
      <c r="Q23" s="13" cm="1">
        <f t="array" ref="Q23">_xll.BDH("NUE US Equity","BS_DISCLOSED_INTANGIBLES","FQ1 2022","FQ1 2022","Currency=USD","Period=FQ","BEST_FPERIOD_OVERRIDE=FQ","FILING_STATUS=MR","SCALING_FORMAT=MLN","Sort=A","Dates=H","DateFormat=P","Fill=—","Direction=H","UseDPDF=Y")</f>
        <v>3967.3440000000001</v>
      </c>
      <c r="R23" s="13" cm="1">
        <f t="array" ref="R23">_xll.BDH("NUE US Equity","BS_DISCLOSED_INTANGIBLES","FQ2 2022","FQ2 2022","Currency=USD","Period=FQ","BEST_FPERIOD_OVERRIDE=FQ","FILING_STATUS=MR","SCALING_FORMAT=MLN","Sort=A","Dates=H","DateFormat=P","Fill=—","Direction=H","UseDPDF=Y")</f>
        <v>7358.652</v>
      </c>
      <c r="S23" s="13" cm="1">
        <f t="array" ref="S23">_xll.BDH("NUE US Equity","BS_DISCLOSED_INTANGIBLES","FQ3 2022","FQ3 2022","Currency=USD","Period=FQ","BEST_FPERIOD_OVERRIDE=FQ","FILING_STATUS=MR","SCALING_FORMAT=MLN","Sort=A","Dates=H","DateFormat=P","Fill=—","Direction=H","UseDPDF=Y")</f>
        <v>7310.393</v>
      </c>
      <c r="T23" s="13" cm="1">
        <f t="array" ref="T23">_xll.BDH("NUE US Equity","BS_DISCLOSED_INTANGIBLES","FQ4 2022","FQ4 2022","Currency=USD","Period=FQ","BEST_FPERIOD_OVERRIDE=FQ","FILING_STATUS=MR","SCALING_FORMAT=MLN","Sort=A","Dates=H","DateFormat=P","Fill=—","Direction=H","UseDPDF=Y")</f>
        <v>7242.3249999999998</v>
      </c>
      <c r="U23" s="13" cm="1">
        <f t="array" ref="U23">_xll.BDH("NUE US Equity","BS_DISCLOSED_INTANGIBLES","FQ1 2023","FQ1 2023","Currency=USD","Period=FQ","BEST_FPERIOD_OVERRIDE=FQ","FILING_STATUS=MR","SCALING_FORMAT=MLN","Sort=A","Dates=H","DateFormat=P","Fill=—","Direction=H","UseDPDF=Y")</f>
        <v>7178.2929999999997</v>
      </c>
      <c r="V23" s="13" cm="1">
        <f t="array" ref="V23">_xll.BDH("NUE US Equity","BS_DISCLOSED_INTANGIBLES","FQ2 2023","FQ2 2023","Currency=USD","Period=FQ","BEST_FPERIOD_OVERRIDE=FQ","FILING_STATUS=MR","SCALING_FORMAT=MLN","Sort=A","Dates=H","DateFormat=P","Fill=—","Direction=H","UseDPDF=Y")</f>
        <v>7132.0780000000004</v>
      </c>
      <c r="W23" s="13" cm="1">
        <f t="array" ref="W23">_xll.BDH("NUE US Equity","BS_DISCLOSED_INTANGIBLES","FQ3 2023","FQ3 2023","Currency=USD","Period=FQ","BEST_FPERIOD_OVERRIDE=FQ","FILING_STATUS=MR","SCALING_FORMAT=MLN","Sort=A","Dates=H","DateFormat=P","Fill=—","Direction=H","UseDPDF=Y")</f>
        <v>7069.24</v>
      </c>
      <c r="X23" s="13" cm="1">
        <f t="array" ref="X23">_xll.BDH("NUE US Equity","BS_DISCLOSED_INTANGIBLES","FQ4 2023","FQ4 2023","Currency=USD","Period=FQ","BEST_FPERIOD_OVERRIDE=FQ","FILING_STATUS=MR","SCALING_FORMAT=MLN","Sort=A","Dates=H","DateFormat=P","Fill=—","Direction=H","UseDPDF=Y")</f>
        <v>7076.8620000000001</v>
      </c>
      <c r="Y23" s="13" cm="1">
        <f t="array" ref="Y23">_xll.BDH("NUE US Equity","BS_DISCLOSED_INTANGIBLES","FQ1 2024","FQ1 2024","Currency=USD","Period=FQ","BEST_FPERIOD_OVERRIDE=FQ","FILING_STATUS=MR","SCALING_FORMAT=MLN","Sort=A","Dates=H","DateFormat=P","Fill=—","Direction=H","UseDPDF=Y")</f>
        <v>7005.1319999999996</v>
      </c>
      <c r="Z23" s="13" cm="1">
        <f t="array" ref="Z23">_xll.BDH("NUE US Equity","BS_DISCLOSED_INTANGIBLES","FQ2 2024","FQ2 2024","Currency=USD","Period=FQ","BEST_FPERIOD_OVERRIDE=FQ","FILING_STATUS=MR","SCALING_FORMAT=MLN","Sort=A","Dates=H","DateFormat=P","Fill=—","Direction=H","UseDPDF=Y")</f>
        <v>7051.6229999999996</v>
      </c>
      <c r="AA23" s="13" cm="1">
        <f t="array" ref="AA23">_xll.BDH("NUE US Equity","BS_DISCLOSED_INTANGIBLES","FQ3 2024","FQ3 2024","Currency=USD","Period=FQ","BEST_FPERIOD_OVERRIDE=FQ","FILING_STATUS=MR","SCALING_FORMAT=MLN","Sort=A","Dates=H","DateFormat=P","Fill=—","Direction=H","UseDPDF=Y")</f>
        <v>7467.8710000000001</v>
      </c>
      <c r="AB23" s="13" cm="1">
        <f t="array" ref="AB23">_xll.BDH("NUE US Equity","BS_DISCLOSED_INTANGIBLES","FQ4 2024","FQ4 2024","Currency=USD","Period=FQ","BEST_FPERIOD_OVERRIDE=FQ","FILING_STATUS=MR","SCALING_FORMAT=MLN","Sort=A","Dates=H","DateFormat=P","Fill=—","Direction=H","UseDPDF=Y")</f>
        <v>7422</v>
      </c>
      <c r="AC23" s="13" cm="1">
        <f t="array" ref="AC23">_xll.BDH("NUE US Equity","BS_DISCLOSED_INTANGIBLES","FQ1 2025","FQ1 2025","Currency=USD","Period=FQ","BEST_FPERIOD_OVERRIDE=FQ","FILING_STATUS=MR","SCALING_FORMAT=MLN","Sort=A","Dates=H","DateFormat=P","Fill=—","Direction=H","UseDPDF=Y")</f>
        <v>7356</v>
      </c>
      <c r="AD23" s="13" cm="1">
        <f t="array" ref="AD23">_xll.BDH("NUE US Equity","BS_DISCLOSED_INTANGIBLES","FQ2 2025","FQ2 2025","Currency=USD","Period=FQ","BEST_FPERIOD_OVERRIDE=FQ","FILING_STATUS=MR","SCALING_FORMAT=MLN","Sort=A","Dates=H","DateFormat=P","Fill=—","Direction=H","UseDPDF=Y")</f>
        <v>7305</v>
      </c>
      <c r="AE23" s="13" cm="1">
        <f t="array" ref="AE23">_xll.BDH("NUE US Equity","BS_DISCLOSED_INTANGIBLES","FQ3 2025","FQ3 2025","Currency=USD","Period=FQ","BEST_FPERIOD_OVERRIDE=FQ","FILING_STATUS=MR","SCALING_FORMAT=MLN","Sort=A","Dates=H","DateFormat=P","Fill=—","Direction=H","UseDPDF=Y")</f>
        <v>7237</v>
      </c>
      <c r="AF23" s="13" cm="1">
        <f t="array" ref="AF23">_xll.BDH("NUE US Equity","BS_DISCLOSED_INTANGIBLES","FQ4 2025","FQ4 2025","Currency=USD","Period=FQ","BEST_FPERIOD_OVERRIDE=FQ","FILING_STATUS=MR","SCALING_FORMAT=MLN","Sort=A","Dates=H","DateFormat=P","Fill=—","Direction=H","UseDPDF=Y")</f>
        <v>7177</v>
      </c>
    </row>
    <row r="24" spans="1:32" x14ac:dyDescent="0.25">
      <c r="A24" s="11" t="s">
        <v>100</v>
      </c>
      <c r="B24" s="11" t="s">
        <v>101</v>
      </c>
      <c r="C24" s="17" cm="1">
        <f t="array" ref="C24">_xll.BDH("NUE US Equity","BS_GOODWILL","FQ3 2018","FQ3 2018","Currency=USD","Period=FQ","BEST_FPERIOD_OVERRIDE=FQ","FILING_STATUS=MR","SCALING_FORMAT=MLN","Sort=A","Dates=H","DateFormat=P","Fill=—","Direction=H","UseDPDF=Y")</f>
        <v>2194.2310000000002</v>
      </c>
      <c r="D24" s="17" cm="1">
        <f t="array" ref="D24">_xll.BDH("NUE US Equity","BS_GOODWILL","FQ4 2018","FQ4 2018","Currency=USD","Period=FQ","BEST_FPERIOD_OVERRIDE=FQ","FILING_STATUS=MR","SCALING_FORMAT=MLN","Sort=A","Dates=H","DateFormat=P","Fill=—","Direction=H","UseDPDF=Y")</f>
        <v>2184.3359999999998</v>
      </c>
      <c r="E24" s="17" cm="1">
        <f t="array" ref="E24">_xll.BDH("NUE US Equity","BS_GOODWILL","FQ1 2019","FQ1 2019","Currency=USD","Period=FQ","BEST_FPERIOD_OVERRIDE=FQ","FILING_STATUS=MR","SCALING_FORMAT=MLN","Sort=A","Dates=H","DateFormat=P","Fill=—","Direction=H","UseDPDF=Y")</f>
        <v>2183.6770000000001</v>
      </c>
      <c r="F24" s="17" cm="1">
        <f t="array" ref="F24">_xll.BDH("NUE US Equity","BS_GOODWILL","FQ2 2019","FQ2 2019","Currency=USD","Period=FQ","BEST_FPERIOD_OVERRIDE=FQ","FILING_STATUS=MR","SCALING_FORMAT=MLN","Sort=A","Dates=H","DateFormat=P","Fill=—","Direction=H","UseDPDF=Y")</f>
        <v>2187.8249999999998</v>
      </c>
      <c r="G24" s="17" cm="1">
        <f t="array" ref="G24">_xll.BDH("NUE US Equity","BS_GOODWILL","FQ3 2019","FQ3 2019","Currency=USD","Period=FQ","BEST_FPERIOD_OVERRIDE=FQ","FILING_STATUS=MR","SCALING_FORMAT=MLN","Sort=A","Dates=H","DateFormat=P","Fill=—","Direction=H","UseDPDF=Y")</f>
        <v>2186.4989999999998</v>
      </c>
      <c r="H24" s="17" cm="1">
        <f t="array" ref="H24">_xll.BDH("NUE US Equity","BS_GOODWILL","FQ4 2019","FQ4 2019","Currency=USD","Period=FQ","BEST_FPERIOD_OVERRIDE=FQ","FILING_STATUS=MR","SCALING_FORMAT=MLN","Sort=A","Dates=H","DateFormat=P","Fill=—","Direction=H","UseDPDF=Y")</f>
        <v>2201.0630000000001</v>
      </c>
      <c r="I24" s="17" cm="1">
        <f t="array" ref="I24">_xll.BDH("NUE US Equity","BS_GOODWILL","FQ1 2020","FQ1 2020","Currency=USD","Period=FQ","BEST_FPERIOD_OVERRIDE=FQ","FILING_STATUS=MR","SCALING_FORMAT=MLN","Sort=A","Dates=H","DateFormat=P","Fill=—","Direction=H","UseDPDF=Y")</f>
        <v>2182.9940000000001</v>
      </c>
      <c r="J24" s="17" cm="1">
        <f t="array" ref="J24">_xll.BDH("NUE US Equity","BS_GOODWILL","FQ2 2020","FQ2 2020","Currency=USD","Period=FQ","BEST_FPERIOD_OVERRIDE=FQ","FILING_STATUS=MR","SCALING_FORMAT=MLN","Sort=A","Dates=H","DateFormat=P","Fill=—","Direction=H","UseDPDF=Y")</f>
        <v>2190.1439999999998</v>
      </c>
      <c r="K24" s="17" cm="1">
        <f t="array" ref="K24">_xll.BDH("NUE US Equity","BS_GOODWILL","FQ3 2020","FQ3 2020","Currency=USD","Period=FQ","BEST_FPERIOD_OVERRIDE=FQ","FILING_STATUS=MR","SCALING_FORMAT=MLN","Sort=A","Dates=H","DateFormat=P","Fill=—","Direction=H","UseDPDF=Y")</f>
        <v>2195.788</v>
      </c>
      <c r="L24" s="17" cm="1">
        <f t="array" ref="L24">_xll.BDH("NUE US Equity","BS_GOODWILL","FQ4 2020","FQ4 2020","Currency=USD","Period=FQ","BEST_FPERIOD_OVERRIDE=FQ","FILING_STATUS=MR","SCALING_FORMAT=MLN","Sort=A","Dates=H","DateFormat=P","Fill=—","Direction=H","UseDPDF=Y")</f>
        <v>2229.672</v>
      </c>
      <c r="M24" s="17" cm="1">
        <f t="array" ref="M24">_xll.BDH("NUE US Equity","BS_GOODWILL","FQ1 2021","FQ1 2021","Currency=USD","Period=FQ","BEST_FPERIOD_OVERRIDE=FQ","FILING_STATUS=MR","SCALING_FORMAT=MLN","Sort=A","Dates=H","DateFormat=P","Fill=—","Direction=H","UseDPDF=Y")</f>
        <v>2235.183</v>
      </c>
      <c r="N24" s="17" cm="1">
        <f t="array" ref="N24">_xll.BDH("NUE US Equity","BS_GOODWILL","FQ2 2021","FQ2 2021","Currency=USD","Period=FQ","BEST_FPERIOD_OVERRIDE=FQ","FILING_STATUS=MR","SCALING_FORMAT=MLN","Sort=A","Dates=H","DateFormat=P","Fill=—","Direction=H","UseDPDF=Y")</f>
        <v>2241.558</v>
      </c>
      <c r="O24" s="17" cm="1">
        <f t="array" ref="O24">_xll.BDH("NUE US Equity","BS_GOODWILL","FQ3 2021","FQ3 2021","Currency=USD","Period=FQ","BEST_FPERIOD_OVERRIDE=FQ","FILING_STATUS=MR","SCALING_FORMAT=MLN","Sort=A","Dates=H","DateFormat=P","Fill=—","Direction=H","UseDPDF=Y")</f>
        <v>2787.9920000000002</v>
      </c>
      <c r="P24" s="17" cm="1">
        <f t="array" ref="P24">_xll.BDH("NUE US Equity","BS_GOODWILL","FQ4 2021","FQ4 2021","Currency=USD","Period=FQ","BEST_FPERIOD_OVERRIDE=FQ","FILING_STATUS=MR","SCALING_FORMAT=MLN","Sort=A","Dates=H","DateFormat=P","Fill=—","Direction=H","UseDPDF=Y")</f>
        <v>2827.3440000000001</v>
      </c>
      <c r="Q24" s="17" cm="1">
        <f t="array" ref="Q24">_xll.BDH("NUE US Equity","BS_GOODWILL","FQ1 2022","FQ1 2022","Currency=USD","Period=FQ","BEST_FPERIOD_OVERRIDE=FQ","FILING_STATUS=MR","SCALING_FORMAT=MLN","Sort=A","Dates=H","DateFormat=P","Fill=—","Direction=H","UseDPDF=Y")</f>
        <v>2904.134</v>
      </c>
      <c r="R24" s="17" cm="1">
        <f t="array" ref="R24">_xll.BDH("NUE US Equity","BS_GOODWILL","FQ2 2022","FQ2 2022","Currency=USD","Period=FQ","BEST_FPERIOD_OVERRIDE=FQ","FILING_STATUS=MR","SCALING_FORMAT=MLN","Sort=A","Dates=H","DateFormat=P","Fill=—","Direction=H","UseDPDF=Y")</f>
        <v>3929.5030000000002</v>
      </c>
      <c r="S24" s="17" cm="1">
        <f t="array" ref="S24">_xll.BDH("NUE US Equity","BS_GOODWILL","FQ3 2022","FQ3 2022","Currency=USD","Period=FQ","BEST_FPERIOD_OVERRIDE=FQ","FILING_STATUS=MR","SCALING_FORMAT=MLN","Sort=A","Dates=H","DateFormat=P","Fill=—","Direction=H","UseDPDF=Y")</f>
        <v>3917.4520000000002</v>
      </c>
      <c r="T24" s="17" cm="1">
        <f t="array" ref="T24">_xll.BDH("NUE US Equity","BS_GOODWILL","FQ4 2022","FQ4 2022","Currency=USD","Period=FQ","BEST_FPERIOD_OVERRIDE=FQ","FILING_STATUS=MR","SCALING_FORMAT=MLN","Sort=A","Dates=H","DateFormat=P","Fill=—","Direction=H","UseDPDF=Y")</f>
        <v>3920.06</v>
      </c>
      <c r="U24" s="17" cm="1">
        <f t="array" ref="U24">_xll.BDH("NUE US Equity","BS_GOODWILL","FQ1 2023","FQ1 2023","Currency=USD","Period=FQ","BEST_FPERIOD_OVERRIDE=FQ","FILING_STATUS=MR","SCALING_FORMAT=MLN","Sort=A","Dates=H","DateFormat=P","Fill=—","Direction=H","UseDPDF=Y")</f>
        <v>3914.9079999999999</v>
      </c>
      <c r="V24" s="17" cm="1">
        <f t="array" ref="V24">_xll.BDH("NUE US Equity","BS_GOODWILL","FQ2 2023","FQ2 2023","Currency=USD","Period=FQ","BEST_FPERIOD_OVERRIDE=FQ","FILING_STATUS=MR","SCALING_FORMAT=MLN","Sort=A","Dates=H","DateFormat=P","Fill=—","Direction=H","UseDPDF=Y")</f>
        <v>3926.1970000000001</v>
      </c>
      <c r="W24" s="17" cm="1">
        <f t="array" ref="W24">_xll.BDH("NUE US Equity","BS_GOODWILL","FQ3 2023","FQ3 2023","Currency=USD","Period=FQ","BEST_FPERIOD_OVERRIDE=FQ","FILING_STATUS=MR","SCALING_FORMAT=MLN","Sort=A","Dates=H","DateFormat=P","Fill=—","Direction=H","UseDPDF=Y")</f>
        <v>3922.2669999999998</v>
      </c>
      <c r="X24" s="17" cm="1">
        <f t="array" ref="X24">_xll.BDH("NUE US Equity","BS_GOODWILL","FQ4 2023","FQ4 2023","Currency=USD","Period=FQ","BEST_FPERIOD_OVERRIDE=FQ","FILING_STATUS=MR","SCALING_FORMAT=MLN","Sort=A","Dates=H","DateFormat=P","Fill=—","Direction=H","UseDPDF=Y")</f>
        <v>3968.8470000000002</v>
      </c>
      <c r="Y24" s="17" cm="1">
        <f t="array" ref="Y24">_xll.BDH("NUE US Equity","BS_GOODWILL","FQ1 2024","FQ1 2024","Currency=USD","Period=FQ","BEST_FPERIOD_OVERRIDE=FQ","FILING_STATUS=MR","SCALING_FORMAT=MLN","Sort=A","Dates=H","DateFormat=P","Fill=—","Direction=H","UseDPDF=Y")</f>
        <v>3956.0619999999999</v>
      </c>
      <c r="Z24" s="17" cm="1">
        <f t="array" ref="Z24">_xll.BDH("NUE US Equity","BS_GOODWILL","FQ2 2024","FQ2 2024","Currency=USD","Period=FQ","BEST_FPERIOD_OVERRIDE=FQ","FILING_STATUS=MR","SCALING_FORMAT=MLN","Sort=A","Dates=H","DateFormat=P","Fill=—","Direction=H","UseDPDF=Y")</f>
        <v>4000.1439999999998</v>
      </c>
      <c r="AA24" s="17" cm="1">
        <f t="array" ref="AA24">_xll.BDH("NUE US Equity","BS_GOODWILL","FQ3 2024","FQ3 2024","Currency=USD","Period=FQ","BEST_FPERIOD_OVERRIDE=FQ","FILING_STATUS=MR","SCALING_FORMAT=MLN","Sort=A","Dates=H","DateFormat=P","Fill=—","Direction=H","UseDPDF=Y")</f>
        <v>4273.6099999999997</v>
      </c>
      <c r="AB24" s="17" cm="1">
        <f t="array" ref="AB24">_xll.BDH("NUE US Equity","BS_GOODWILL","FQ4 2024","FQ4 2024","Currency=USD","Period=FQ","BEST_FPERIOD_OVERRIDE=FQ","FILING_STATUS=MR","SCALING_FORMAT=MLN","Sort=A","Dates=H","DateFormat=P","Fill=—","Direction=H","UseDPDF=Y")</f>
        <v>4288</v>
      </c>
      <c r="AC24" s="17" cm="1">
        <f t="array" ref="AC24">_xll.BDH("NUE US Equity","BS_GOODWILL","FQ1 2025","FQ1 2025","Currency=USD","Period=FQ","BEST_FPERIOD_OVERRIDE=FQ","FILING_STATUS=MR","SCALING_FORMAT=MLN","Sort=A","Dates=H","DateFormat=P","Fill=—","Direction=H","UseDPDF=Y")</f>
        <v>4287</v>
      </c>
      <c r="AD24" s="17" cm="1">
        <f t="array" ref="AD24">_xll.BDH("NUE US Equity","BS_GOODWILL","FQ2 2025","FQ2 2025","Currency=USD","Period=FQ","BEST_FPERIOD_OVERRIDE=FQ","FILING_STATUS=MR","SCALING_FORMAT=MLN","Sort=A","Dates=H","DateFormat=P","Fill=—","Direction=H","UseDPDF=Y")</f>
        <v>4299</v>
      </c>
      <c r="AE24" s="17" cm="1">
        <f t="array" ref="AE24">_xll.BDH("NUE US Equity","BS_GOODWILL","FQ3 2025","FQ3 2025","Currency=USD","Period=FQ","BEST_FPERIOD_OVERRIDE=FQ","FILING_STATUS=MR","SCALING_FORMAT=MLN","Sort=A","Dates=H","DateFormat=P","Fill=—","Direction=H","UseDPDF=Y")</f>
        <v>4294</v>
      </c>
      <c r="AF24" s="17" cm="1">
        <f t="array" ref="AF24">_xll.BDH("NUE US Equity","BS_GOODWILL","FQ4 2025","FQ4 2025","Currency=USD","Period=FQ","BEST_FPERIOD_OVERRIDE=FQ","FILING_STATUS=MR","SCALING_FORMAT=MLN","Sort=A","Dates=H","DateFormat=P","Fill=—","Direction=H","UseDPDF=Y")</f>
        <v>4297</v>
      </c>
    </row>
    <row r="25" spans="1:32" x14ac:dyDescent="0.25">
      <c r="A25" s="11" t="s">
        <v>102</v>
      </c>
      <c r="B25" s="11" t="s">
        <v>103</v>
      </c>
      <c r="C25" s="17" cm="1">
        <f t="array" ref="C25">_xll.BDH("NUE US Equity","OTHER_INTANGIBLE_ASSETS_DETAILED","FQ3 2018","FQ3 2018","Currency=USD","Period=FQ","BEST_FPERIOD_OVERRIDE=FQ","FILING_STATUS=MR","SCALING_FORMAT=MLN","Sort=A","Dates=H","DateFormat=P","Fill=—","Direction=H","UseDPDF=Y")</f>
        <v>847.56899999999996</v>
      </c>
      <c r="D25" s="17" cm="1">
        <f t="array" ref="D25">_xll.BDH("NUE US Equity","OTHER_INTANGIBLE_ASSETS_DETAILED","FQ4 2018","FQ4 2018","Currency=USD","Period=FQ","BEST_FPERIOD_OVERRIDE=FQ","FILING_STATUS=MR","SCALING_FORMAT=MLN","Sort=A","Dates=H","DateFormat=P","Fill=—","Direction=H","UseDPDF=Y")</f>
        <v>828.50400000000002</v>
      </c>
      <c r="E25" s="17" cm="1">
        <f t="array" ref="E25">_xll.BDH("NUE US Equity","OTHER_INTANGIBLE_ASSETS_DETAILED","FQ1 2019","FQ1 2019","Currency=USD","Period=FQ","BEST_FPERIOD_OVERRIDE=FQ","FILING_STATUS=MR","SCALING_FORMAT=MLN","Sort=A","Dates=H","DateFormat=P","Fill=—","Direction=H","UseDPDF=Y")</f>
        <v>806.88800000000003</v>
      </c>
      <c r="F25" s="17" cm="1">
        <f t="array" ref="F25">_xll.BDH("NUE US Equity","OTHER_INTANGIBLE_ASSETS_DETAILED","FQ2 2019","FQ2 2019","Currency=USD","Period=FQ","BEST_FPERIOD_OVERRIDE=FQ","FILING_STATUS=MR","SCALING_FORMAT=MLN","Sort=A","Dates=H","DateFormat=P","Fill=—","Direction=H","UseDPDF=Y")</f>
        <v>786.40599999999995</v>
      </c>
      <c r="G25" s="17" cm="1">
        <f t="array" ref="G25">_xll.BDH("NUE US Equity","OTHER_INTANGIBLE_ASSETS_DETAILED","FQ3 2019","FQ3 2019","Currency=USD","Period=FQ","BEST_FPERIOD_OVERRIDE=FQ","FILING_STATUS=MR","SCALING_FORMAT=MLN","Sort=A","Dates=H","DateFormat=P","Fill=—","Direction=H","UseDPDF=Y")</f>
        <v>764.26700000000005</v>
      </c>
      <c r="H25" s="17" cm="1">
        <f t="array" ref="H25">_xll.BDH("NUE US Equity","OTHER_INTANGIBLE_ASSETS_DETAILED","FQ4 2019","FQ4 2019","Currency=USD","Period=FQ","BEST_FPERIOD_OVERRIDE=FQ","FILING_STATUS=MR","SCALING_FORMAT=MLN","Sort=A","Dates=H","DateFormat=P","Fill=—","Direction=H","UseDPDF=Y")</f>
        <v>742.18600000000004</v>
      </c>
      <c r="I25" s="17" cm="1">
        <f t="array" ref="I25">_xll.BDH("NUE US Equity","OTHER_INTANGIBLE_ASSETS_DETAILED","FQ1 2020","FQ1 2020","Currency=USD","Period=FQ","BEST_FPERIOD_OVERRIDE=FQ","FILING_STATUS=MR","SCALING_FORMAT=MLN","Sort=A","Dates=H","DateFormat=P","Fill=—","Direction=H","UseDPDF=Y")</f>
        <v>718.00599999999997</v>
      </c>
      <c r="J25" s="17" cm="1">
        <f t="array" ref="J25">_xll.BDH("NUE US Equity","OTHER_INTANGIBLE_ASSETS_DETAILED","FQ2 2020","FQ2 2020","Currency=USD","Period=FQ","BEST_FPERIOD_OVERRIDE=FQ","FILING_STATUS=MR","SCALING_FORMAT=MLN","Sort=A","Dates=H","DateFormat=P","Fill=—","Direction=H","UseDPDF=Y")</f>
        <v>698.43700000000001</v>
      </c>
      <c r="K25" s="17" cm="1">
        <f t="array" ref="K25">_xll.BDH("NUE US Equity","OTHER_INTANGIBLE_ASSETS_DETAILED","FQ3 2020","FQ3 2020","Currency=USD","Period=FQ","BEST_FPERIOD_OVERRIDE=FQ","FILING_STATUS=MR","SCALING_FORMAT=MLN","Sort=A","Dates=H","DateFormat=P","Fill=—","Direction=H","UseDPDF=Y")</f>
        <v>678.55799999999999</v>
      </c>
      <c r="L25" s="17" cm="1">
        <f t="array" ref="L25">_xll.BDH("NUE US Equity","OTHER_INTANGIBLE_ASSETS_DETAILED","FQ4 2020","FQ4 2020","Currency=USD","Period=FQ","BEST_FPERIOD_OVERRIDE=FQ","FILING_STATUS=MR","SCALING_FORMAT=MLN","Sort=A","Dates=H","DateFormat=P","Fill=—","Direction=H","UseDPDF=Y")</f>
        <v>668.02099999999996</v>
      </c>
      <c r="M25" s="17" cm="1">
        <f t="array" ref="M25">_xll.BDH("NUE US Equity","OTHER_INTANGIBLE_ASSETS_DETAILED","FQ1 2021","FQ1 2021","Currency=USD","Period=FQ","BEST_FPERIOD_OVERRIDE=FQ","FILING_STATUS=MR","SCALING_FORMAT=MLN","Sort=A","Dates=H","DateFormat=P","Fill=—","Direction=H","UseDPDF=Y")</f>
        <v>647.47900000000004</v>
      </c>
      <c r="N25" s="17" cm="1">
        <f t="array" ref="N25">_xll.BDH("NUE US Equity","OTHER_INTANGIBLE_ASSETS_DETAILED","FQ2 2021","FQ2 2021","Currency=USD","Period=FQ","BEST_FPERIOD_OVERRIDE=FQ","FILING_STATUS=MR","SCALING_FORMAT=MLN","Sort=A","Dates=H","DateFormat=P","Fill=—","Direction=H","UseDPDF=Y")</f>
        <v>627.20100000000002</v>
      </c>
      <c r="O25" s="17" cm="1">
        <f t="array" ref="O25">_xll.BDH("NUE US Equity","OTHER_INTANGIBLE_ASSETS_DETAILED","FQ3 2021","FQ3 2021","Currency=USD","Period=FQ","BEST_FPERIOD_OVERRIDE=FQ","FILING_STATUS=MR","SCALING_FORMAT=MLN","Sort=A","Dates=H","DateFormat=P","Fill=—","Direction=H","UseDPDF=Y")</f>
        <v>1171.2919999999999</v>
      </c>
      <c r="P25" s="17" cm="1">
        <f t="array" ref="P25">_xll.BDH("NUE US Equity","OTHER_INTANGIBLE_ASSETS_DETAILED","FQ4 2021","FQ4 2021","Currency=USD","Period=FQ","BEST_FPERIOD_OVERRIDE=FQ","FILING_STATUS=MR","SCALING_FORMAT=MLN","Sort=A","Dates=H","DateFormat=P","Fill=—","Direction=H","UseDPDF=Y")</f>
        <v>1103.759</v>
      </c>
      <c r="Q25" s="17" cm="1">
        <f t="array" ref="Q25">_xll.BDH("NUE US Equity","OTHER_INTANGIBLE_ASSETS_DETAILED","FQ1 2022","FQ1 2022","Currency=USD","Period=FQ","BEST_FPERIOD_OVERRIDE=FQ","FILING_STATUS=MR","SCALING_FORMAT=MLN","Sort=A","Dates=H","DateFormat=P","Fill=—","Direction=H","UseDPDF=Y")</f>
        <v>1063.21</v>
      </c>
      <c r="R25" s="17" cm="1">
        <f t="array" ref="R25">_xll.BDH("NUE US Equity","OTHER_INTANGIBLE_ASSETS_DETAILED","FQ2 2022","FQ2 2022","Currency=USD","Period=FQ","BEST_FPERIOD_OVERRIDE=FQ","FILING_STATUS=MR","SCALING_FORMAT=MLN","Sort=A","Dates=H","DateFormat=P","Fill=—","Direction=H","UseDPDF=Y")</f>
        <v>3429.1489999999999</v>
      </c>
      <c r="S25" s="17" cm="1">
        <f t="array" ref="S25">_xll.BDH("NUE US Equity","OTHER_INTANGIBLE_ASSETS_DETAILED","FQ3 2022","FQ3 2022","Currency=USD","Period=FQ","BEST_FPERIOD_OVERRIDE=FQ","FILING_STATUS=MR","SCALING_FORMAT=MLN","Sort=A","Dates=H","DateFormat=P","Fill=—","Direction=H","UseDPDF=Y")</f>
        <v>3392.9409999999998</v>
      </c>
      <c r="T25" s="17" cm="1">
        <f t="array" ref="T25">_xll.BDH("NUE US Equity","OTHER_INTANGIBLE_ASSETS_DETAILED","FQ4 2022","FQ4 2022","Currency=USD","Period=FQ","BEST_FPERIOD_OVERRIDE=FQ","FILING_STATUS=MR","SCALING_FORMAT=MLN","Sort=A","Dates=H","DateFormat=P","Fill=—","Direction=H","UseDPDF=Y")</f>
        <v>3322.2649999999999</v>
      </c>
      <c r="U25" s="17" cm="1">
        <f t="array" ref="U25">_xll.BDH("NUE US Equity","OTHER_INTANGIBLE_ASSETS_DETAILED","FQ1 2023","FQ1 2023","Currency=USD","Period=FQ","BEST_FPERIOD_OVERRIDE=FQ","FILING_STATUS=MR","SCALING_FORMAT=MLN","Sort=A","Dates=H","DateFormat=P","Fill=—","Direction=H","UseDPDF=Y")</f>
        <v>3263.3850000000002</v>
      </c>
      <c r="V25" s="17" cm="1">
        <f t="array" ref="V25">_xll.BDH("NUE US Equity","OTHER_INTANGIBLE_ASSETS_DETAILED","FQ2 2023","FQ2 2023","Currency=USD","Period=FQ","BEST_FPERIOD_OVERRIDE=FQ","FILING_STATUS=MR","SCALING_FORMAT=MLN","Sort=A","Dates=H","DateFormat=P","Fill=—","Direction=H","UseDPDF=Y")</f>
        <v>3205.8809999999999</v>
      </c>
      <c r="W25" s="17" cm="1">
        <f t="array" ref="W25">_xll.BDH("NUE US Equity","OTHER_INTANGIBLE_ASSETS_DETAILED","FQ3 2023","FQ3 2023","Currency=USD","Period=FQ","BEST_FPERIOD_OVERRIDE=FQ","FILING_STATUS=MR","SCALING_FORMAT=MLN","Sort=A","Dates=H","DateFormat=P","Fill=—","Direction=H","UseDPDF=Y")</f>
        <v>3146.973</v>
      </c>
      <c r="X25" s="17" cm="1">
        <f t="array" ref="X25">_xll.BDH("NUE US Equity","OTHER_INTANGIBLE_ASSETS_DETAILED","FQ4 2023","FQ4 2023","Currency=USD","Period=FQ","BEST_FPERIOD_OVERRIDE=FQ","FILING_STATUS=MR","SCALING_FORMAT=MLN","Sort=A","Dates=H","DateFormat=P","Fill=—","Direction=H","UseDPDF=Y")</f>
        <v>3108.0149999999999</v>
      </c>
      <c r="Y25" s="17" cm="1">
        <f t="array" ref="Y25">_xll.BDH("NUE US Equity","OTHER_INTANGIBLE_ASSETS_DETAILED","FQ1 2024","FQ1 2024","Currency=USD","Period=FQ","BEST_FPERIOD_OVERRIDE=FQ","FILING_STATUS=MR","SCALING_FORMAT=MLN","Sort=A","Dates=H","DateFormat=P","Fill=—","Direction=H","UseDPDF=Y")</f>
        <v>3049.07</v>
      </c>
      <c r="Z25" s="17" cm="1">
        <f t="array" ref="Z25">_xll.BDH("NUE US Equity","OTHER_INTANGIBLE_ASSETS_DETAILED","FQ2 2024","FQ2 2024","Currency=USD","Period=FQ","BEST_FPERIOD_OVERRIDE=FQ","FILING_STATUS=MR","SCALING_FORMAT=MLN","Sort=A","Dates=H","DateFormat=P","Fill=—","Direction=H","UseDPDF=Y")</f>
        <v>3051.4789999999998</v>
      </c>
      <c r="AA25" s="17" cm="1">
        <f t="array" ref="AA25">_xll.BDH("NUE US Equity","OTHER_INTANGIBLE_ASSETS_DETAILED","FQ3 2024","FQ3 2024","Currency=USD","Period=FQ","BEST_FPERIOD_OVERRIDE=FQ","FILING_STATUS=MR","SCALING_FORMAT=MLN","Sort=A","Dates=H","DateFormat=P","Fill=—","Direction=H","UseDPDF=Y")</f>
        <v>3194.261</v>
      </c>
      <c r="AB25" s="17" cm="1">
        <f t="array" ref="AB25">_xll.BDH("NUE US Equity","OTHER_INTANGIBLE_ASSETS_DETAILED","FQ4 2024","FQ4 2024","Currency=USD","Period=FQ","BEST_FPERIOD_OVERRIDE=FQ","FILING_STATUS=MR","SCALING_FORMAT=MLN","Sort=A","Dates=H","DateFormat=P","Fill=—","Direction=H","UseDPDF=Y")</f>
        <v>3134</v>
      </c>
      <c r="AC25" s="17" cm="1">
        <f t="array" ref="AC25">_xll.BDH("NUE US Equity","OTHER_INTANGIBLE_ASSETS_DETAILED","FQ1 2025","FQ1 2025","Currency=USD","Period=FQ","BEST_FPERIOD_OVERRIDE=FQ","FILING_STATUS=MR","SCALING_FORMAT=MLN","Sort=A","Dates=H","DateFormat=P","Fill=—","Direction=H","UseDPDF=Y")</f>
        <v>3069</v>
      </c>
      <c r="AD25" s="17" cm="1">
        <f t="array" ref="AD25">_xll.BDH("NUE US Equity","OTHER_INTANGIBLE_ASSETS_DETAILED","FQ2 2025","FQ2 2025","Currency=USD","Period=FQ","BEST_FPERIOD_OVERRIDE=FQ","FILING_STATUS=MR","SCALING_FORMAT=MLN","Sort=A","Dates=H","DateFormat=P","Fill=—","Direction=H","UseDPDF=Y")</f>
        <v>3006</v>
      </c>
      <c r="AE25" s="17" cm="1">
        <f t="array" ref="AE25">_xll.BDH("NUE US Equity","OTHER_INTANGIBLE_ASSETS_DETAILED","FQ3 2025","FQ3 2025","Currency=USD","Period=FQ","BEST_FPERIOD_OVERRIDE=FQ","FILING_STATUS=MR","SCALING_FORMAT=MLN","Sort=A","Dates=H","DateFormat=P","Fill=—","Direction=H","UseDPDF=Y")</f>
        <v>2943</v>
      </c>
      <c r="AF25" s="17" cm="1">
        <f t="array" ref="AF25">_xll.BDH("NUE US Equity","OTHER_INTANGIBLE_ASSETS_DETAILED","FQ4 2025","FQ4 2025","Currency=USD","Period=FQ","BEST_FPERIOD_OVERRIDE=FQ","FILING_STATUS=MR","SCALING_FORMAT=MLN","Sort=A","Dates=H","DateFormat=P","Fill=—","Direction=H","UseDPDF=Y")</f>
        <v>2880</v>
      </c>
    </row>
    <row r="26" spans="1:32" x14ac:dyDescent="0.25">
      <c r="A26" s="10" t="s">
        <v>104</v>
      </c>
      <c r="B26" s="10" t="s">
        <v>105</v>
      </c>
      <c r="C26" s="13" t="str" cm="1">
        <f t="array" ref="C26">_xll.BDH("NUE US Equity","BS_DEFERRED_TAX_ASSETS_LT","FQ3 2018","FQ3 2018","Currency=USD","Period=FQ","BEST_FPERIOD_OVERRIDE=FQ","FILING_STATUS=MR","SCALING_FORMAT=MLN","Sort=A","Dates=H","DateFormat=P","Fill=—","Direction=H","UseDPDF=Y")</f>
        <v>—</v>
      </c>
      <c r="D26" s="13" cm="1">
        <f t="array" ref="D26">_xll.BDH("NUE US Equity","BS_DEFERRED_TAX_ASSETS_LT","FQ4 2018","FQ4 2018","Currency=USD","Period=FQ","BEST_FPERIOD_OVERRIDE=FQ","FILING_STATUS=MR","SCALING_FORMAT=MLN","Sort=A","Dates=H","DateFormat=P","Fill=—","Direction=H","UseDPDF=Y")</f>
        <v>0.7</v>
      </c>
      <c r="E26" s="13" cm="1">
        <f t="array" ref="E26">_xll.BDH("NUE US Equity","BS_DEFERRED_TAX_ASSETS_LT","FQ1 2019","FQ1 2019","Currency=USD","Period=FQ","BEST_FPERIOD_OVERRIDE=FQ","FILING_STATUS=MR","SCALING_FORMAT=MLN","Sort=A","Dates=H","DateFormat=P","Fill=—","Direction=H","UseDPDF=Y")</f>
        <v>0.9</v>
      </c>
      <c r="F26" s="13" cm="1">
        <f t="array" ref="F26">_xll.BDH("NUE US Equity","BS_DEFERRED_TAX_ASSETS_LT","FQ2 2019","FQ2 2019","Currency=USD","Period=FQ","BEST_FPERIOD_OVERRIDE=FQ","FILING_STATUS=MR","SCALING_FORMAT=MLN","Sort=A","Dates=H","DateFormat=P","Fill=—","Direction=H","UseDPDF=Y")</f>
        <v>0.9</v>
      </c>
      <c r="G26" s="13" cm="1">
        <f t="array" ref="G26">_xll.BDH("NUE US Equity","BS_DEFERRED_TAX_ASSETS_LT","FQ3 2019","FQ3 2019","Currency=USD","Period=FQ","BEST_FPERIOD_OVERRIDE=FQ","FILING_STATUS=MR","SCALING_FORMAT=MLN","Sort=A","Dates=H","DateFormat=P","Fill=—","Direction=H","UseDPDF=Y")</f>
        <v>0.9</v>
      </c>
      <c r="H26" s="13" cm="1">
        <f t="array" ref="H26">_xll.BDH("NUE US Equity","BS_DEFERRED_TAX_ASSETS_LT","FQ4 2019","FQ4 2019","Currency=USD","Period=FQ","BEST_FPERIOD_OVERRIDE=FQ","FILING_STATUS=MR","SCALING_FORMAT=MLN","Sort=A","Dates=H","DateFormat=P","Fill=—","Direction=H","UseDPDF=Y")</f>
        <v>0</v>
      </c>
      <c r="I26" s="13" t="str" cm="1">
        <f t="array" ref="I26">_xll.BDH("NUE US Equity","BS_DEFERRED_TAX_ASSETS_LT","FQ1 2020","FQ1 2020","Currency=USD","Period=FQ","BEST_FPERIOD_OVERRIDE=FQ","FILING_STATUS=MR","SCALING_FORMAT=MLN","Sort=A","Dates=H","DateFormat=P","Fill=—","Direction=H","UseDPDF=Y")</f>
        <v>—</v>
      </c>
      <c r="J26" s="13" cm="1">
        <f t="array" ref="J26">_xll.BDH("NUE US Equity","BS_DEFERRED_TAX_ASSETS_LT","FQ2 2020","FQ2 2020","Currency=USD","Period=FQ","BEST_FPERIOD_OVERRIDE=FQ","FILING_STATUS=MR","SCALING_FORMAT=MLN","Sort=A","Dates=H","DateFormat=P","Fill=—","Direction=H","UseDPDF=Y")</f>
        <v>0</v>
      </c>
      <c r="K26" s="13" cm="1">
        <f t="array" ref="K26">_xll.BDH("NUE US Equity","BS_DEFERRED_TAX_ASSETS_LT","FQ3 2020","FQ3 2020","Currency=USD","Period=FQ","BEST_FPERIOD_OVERRIDE=FQ","FILING_STATUS=MR","SCALING_FORMAT=MLN","Sort=A","Dates=H","DateFormat=P","Fill=—","Direction=H","UseDPDF=Y")</f>
        <v>0</v>
      </c>
      <c r="L26" s="13" cm="1">
        <f t="array" ref="L26">_xll.BDH("NUE US Equity","BS_DEFERRED_TAX_ASSETS_LT","FQ4 2020","FQ4 2020","Currency=USD","Period=FQ","BEST_FPERIOD_OVERRIDE=FQ","FILING_STATUS=MR","SCALING_FORMAT=MLN","Sort=A","Dates=H","DateFormat=P","Fill=—","Direction=H","UseDPDF=Y")</f>
        <v>0</v>
      </c>
      <c r="M26" s="13" t="str" cm="1">
        <f t="array" ref="M26">_xll.BDH("NUE US Equity","BS_DEFERRED_TAX_ASSETS_LT","FQ1 2021","FQ1 2021","Currency=USD","Period=FQ","BEST_FPERIOD_OVERRIDE=FQ","FILING_STATUS=MR","SCALING_FORMAT=MLN","Sort=A","Dates=H","DateFormat=P","Fill=—","Direction=H","UseDPDF=Y")</f>
        <v>—</v>
      </c>
      <c r="N26" s="13" t="str" cm="1">
        <f t="array" ref="N26">_xll.BDH("NUE US Equity","BS_DEFERRED_TAX_ASSETS_LT","FQ2 2021","FQ2 2021","Currency=USD","Period=FQ","BEST_FPERIOD_OVERRIDE=FQ","FILING_STATUS=MR","SCALING_FORMAT=MLN","Sort=A","Dates=H","DateFormat=P","Fill=—","Direction=H","UseDPDF=Y")</f>
        <v>—</v>
      </c>
      <c r="O26" s="13" t="str" cm="1">
        <f t="array" ref="O26">_xll.BDH("NUE US Equity","BS_DEFERRED_TAX_ASSETS_LT","FQ3 2021","FQ3 2021","Currency=USD","Period=FQ","BEST_FPERIOD_OVERRIDE=FQ","FILING_STATUS=MR","SCALING_FORMAT=MLN","Sort=A","Dates=H","DateFormat=P","Fill=—","Direction=H","UseDPDF=Y")</f>
        <v>—</v>
      </c>
      <c r="P26" s="13" cm="1">
        <f t="array" ref="P26">_xll.BDH("NUE US Equity","BS_DEFERRED_TAX_ASSETS_LT","FQ4 2021","FQ4 2021","Currency=USD","Period=FQ","BEST_FPERIOD_OVERRIDE=FQ","FILING_STATUS=MR","SCALING_FORMAT=MLN","Sort=A","Dates=H","DateFormat=P","Fill=—","Direction=H","UseDPDF=Y")</f>
        <v>0</v>
      </c>
      <c r="Q26" s="13" t="str" cm="1">
        <f t="array" ref="Q26">_xll.BDH("NUE US Equity","BS_DEFERRED_TAX_ASSETS_LT","FQ1 2022","FQ1 2022","Currency=USD","Period=FQ","BEST_FPERIOD_OVERRIDE=FQ","FILING_STATUS=MR","SCALING_FORMAT=MLN","Sort=A","Dates=H","DateFormat=P","Fill=—","Direction=H","UseDPDF=Y")</f>
        <v>—</v>
      </c>
      <c r="R26" s="13" t="str" cm="1">
        <f t="array" ref="R26">_xll.BDH("NUE US Equity","BS_DEFERRED_TAX_ASSETS_LT","FQ2 2022","FQ2 2022","Currency=USD","Period=FQ","BEST_FPERIOD_OVERRIDE=FQ","FILING_STATUS=MR","SCALING_FORMAT=MLN","Sort=A","Dates=H","DateFormat=P","Fill=—","Direction=H","UseDPDF=Y")</f>
        <v>—</v>
      </c>
      <c r="S26" s="13" t="str" cm="1">
        <f t="array" ref="S26">_xll.BDH("NUE US Equity","BS_DEFERRED_TAX_ASSETS_LT","FQ3 2022","FQ3 2022","Currency=USD","Period=FQ","BEST_FPERIOD_OVERRIDE=FQ","FILING_STATUS=MR","SCALING_FORMAT=MLN","Sort=A","Dates=H","DateFormat=P","Fill=—","Direction=H","UseDPDF=Y")</f>
        <v>—</v>
      </c>
      <c r="T26" s="13" cm="1">
        <f t="array" ref="T26">_xll.BDH("NUE US Equity","BS_DEFERRED_TAX_ASSETS_LT","FQ4 2022","FQ4 2022","Currency=USD","Period=FQ","BEST_FPERIOD_OVERRIDE=FQ","FILING_STATUS=MR","SCALING_FORMAT=MLN","Sort=A","Dates=H","DateFormat=P","Fill=—","Direction=H","UseDPDF=Y")</f>
        <v>0</v>
      </c>
      <c r="U26" s="13" t="str" cm="1">
        <f t="array" ref="U26">_xll.BDH("NUE US Equity","BS_DEFERRED_TAX_ASSETS_LT","FQ1 2023","FQ1 2023","Currency=USD","Period=FQ","BEST_FPERIOD_OVERRIDE=FQ","FILING_STATUS=MR","SCALING_FORMAT=MLN","Sort=A","Dates=H","DateFormat=P","Fill=—","Direction=H","UseDPDF=Y")</f>
        <v>—</v>
      </c>
      <c r="V26" s="13" t="str" cm="1">
        <f t="array" ref="V26">_xll.BDH("NUE US Equity","BS_DEFERRED_TAX_ASSETS_LT","FQ2 2023","FQ2 2023","Currency=USD","Period=FQ","BEST_FPERIOD_OVERRIDE=FQ","FILING_STATUS=MR","SCALING_FORMAT=MLN","Sort=A","Dates=H","DateFormat=P","Fill=—","Direction=H","UseDPDF=Y")</f>
        <v>—</v>
      </c>
      <c r="W26" s="13" t="str" cm="1">
        <f t="array" ref="W26">_xll.BDH("NUE US Equity","BS_DEFERRED_TAX_ASSETS_LT","FQ3 2023","FQ3 2023","Currency=USD","Period=FQ","BEST_FPERIOD_OVERRIDE=FQ","FILING_STATUS=MR","SCALING_FORMAT=MLN","Sort=A","Dates=H","DateFormat=P","Fill=—","Direction=H","UseDPDF=Y")</f>
        <v>—</v>
      </c>
      <c r="X26" s="13" cm="1">
        <f t="array" ref="X26">_xll.BDH("NUE US Equity","BS_DEFERRED_TAX_ASSETS_LT","FQ4 2023","FQ4 2023","Currency=USD","Period=FQ","BEST_FPERIOD_OVERRIDE=FQ","FILING_STATUS=MR","SCALING_FORMAT=MLN","Sort=A","Dates=H","DateFormat=P","Fill=—","Direction=H","UseDPDF=Y")</f>
        <v>0</v>
      </c>
      <c r="Y26" s="13" t="str" cm="1">
        <f t="array" ref="Y26">_xll.BDH("NUE US Equity","BS_DEFERRED_TAX_ASSETS_LT","FQ1 2024","FQ1 2024","Currency=USD","Period=FQ","BEST_FPERIOD_OVERRIDE=FQ","FILING_STATUS=MR","SCALING_FORMAT=MLN","Sort=A","Dates=H","DateFormat=P","Fill=—","Direction=H","UseDPDF=Y")</f>
        <v>—</v>
      </c>
      <c r="Z26" s="13" t="str" cm="1">
        <f t="array" ref="Z26">_xll.BDH("NUE US Equity","BS_DEFERRED_TAX_ASSETS_LT","FQ2 2024","FQ2 2024","Currency=USD","Period=FQ","BEST_FPERIOD_OVERRIDE=FQ","FILING_STATUS=MR","SCALING_FORMAT=MLN","Sort=A","Dates=H","DateFormat=P","Fill=—","Direction=H","UseDPDF=Y")</f>
        <v>—</v>
      </c>
      <c r="AA26" s="13" t="str" cm="1">
        <f t="array" ref="AA26">_xll.BDH("NUE US Equity","BS_DEFERRED_TAX_ASSETS_LT","FQ3 2024","FQ3 2024","Currency=USD","Period=FQ","BEST_FPERIOD_OVERRIDE=FQ","FILING_STATUS=MR","SCALING_FORMAT=MLN","Sort=A","Dates=H","DateFormat=P","Fill=—","Direction=H","UseDPDF=Y")</f>
        <v>—</v>
      </c>
      <c r="AB26" s="13" cm="1">
        <f t="array" ref="AB26">_xll.BDH("NUE US Equity","BS_DEFERRED_TAX_ASSETS_LT","FQ4 2024","FQ4 2024","Currency=USD","Period=FQ","BEST_FPERIOD_OVERRIDE=FQ","FILING_STATUS=MR","SCALING_FORMAT=MLN","Sort=A","Dates=H","DateFormat=P","Fill=—","Direction=H","UseDPDF=Y")</f>
        <v>0</v>
      </c>
      <c r="AC26" s="13" t="str" cm="1">
        <f t="array" ref="AC26">_xll.BDH("NUE US Equity","BS_DEFERRED_TAX_ASSETS_LT","FQ1 2025","FQ1 2025","Currency=USD","Period=FQ","BEST_FPERIOD_OVERRIDE=FQ","FILING_STATUS=MR","SCALING_FORMAT=MLN","Sort=A","Dates=H","DateFormat=P","Fill=—","Direction=H","UseDPDF=Y")</f>
        <v>—</v>
      </c>
      <c r="AD26" s="13" t="str" cm="1">
        <f t="array" ref="AD26">_xll.BDH("NUE US Equity","BS_DEFERRED_TAX_ASSETS_LT","FQ2 2025","FQ2 2025","Currency=USD","Period=FQ","BEST_FPERIOD_OVERRIDE=FQ","FILING_STATUS=MR","SCALING_FORMAT=MLN","Sort=A","Dates=H","DateFormat=P","Fill=—","Direction=H","UseDPDF=Y")</f>
        <v>—</v>
      </c>
      <c r="AE26" s="13" t="str" cm="1">
        <f t="array" ref="AE26">_xll.BDH("NUE US Equity","BS_DEFERRED_TAX_ASSETS_LT","FQ3 2025","FQ3 2025","Currency=USD","Period=FQ","BEST_FPERIOD_OVERRIDE=FQ","FILING_STATUS=MR","SCALING_FORMAT=MLN","Sort=A","Dates=H","DateFormat=P","Fill=—","Direction=H","UseDPDF=Y")</f>
        <v>—</v>
      </c>
      <c r="AF26" s="13" t="str" cm="1">
        <f t="array" ref="AF26">_xll.BDH("NUE US Equity","BS_DEFERRED_TAX_ASSETS_LT","FQ4 2025","FQ4 2025","Currency=USD","Period=FQ","BEST_FPERIOD_OVERRIDE=FQ","FILING_STATUS=MR","SCALING_FORMAT=MLN","Sort=A","Dates=H","DateFormat=P","Fill=—","Direction=H","UseDPDF=Y")</f>
        <v>—</v>
      </c>
    </row>
    <row r="27" spans="1:32" x14ac:dyDescent="0.25">
      <c r="A27" s="10" t="s">
        <v>82</v>
      </c>
      <c r="B27" s="10" t="s">
        <v>106</v>
      </c>
      <c r="C27" s="13" t="str" cm="1">
        <f t="array" ref="C27">_xll.BDH("NUE US Equity","BS_DERIV_HEDGING_ASST_LT","FQ3 2018","FQ3 2018","Currency=USD","Period=FQ","BEST_FPERIOD_OVERRIDE=FQ","FILING_STATUS=MR","SCALING_FORMAT=MLN","Sort=A","Dates=H","DateFormat=P","Fill=—","Direction=H","UseDPDF=Y")</f>
        <v>—</v>
      </c>
      <c r="D27" s="13" cm="1">
        <f t="array" ref="D27">_xll.BDH("NUE US Equity","BS_DERIV_HEDGING_ASST_LT","FQ4 2018","FQ4 2018","Currency=USD","Period=FQ","BEST_FPERIOD_OVERRIDE=FQ","FILING_STATUS=MR","SCALING_FORMAT=MLN","Sort=A","Dates=H","DateFormat=P","Fill=—","Direction=H","UseDPDF=Y")</f>
        <v>0</v>
      </c>
      <c r="E27" s="13" t="str" cm="1">
        <f t="array" ref="E27">_xll.BDH("NUE US Equity","BS_DERIV_HEDGING_ASST_LT","FQ1 2019","FQ1 2019","Currency=USD","Period=FQ","BEST_FPERIOD_OVERRIDE=FQ","FILING_STATUS=MR","SCALING_FORMAT=MLN","Sort=A","Dates=H","DateFormat=P","Fill=—","Direction=H","UseDPDF=Y")</f>
        <v>—</v>
      </c>
      <c r="F27" s="13" t="str" cm="1">
        <f t="array" ref="F27">_xll.BDH("NUE US Equity","BS_DERIV_HEDGING_ASST_LT","FQ2 2019","FQ2 2019","Currency=USD","Period=FQ","BEST_FPERIOD_OVERRIDE=FQ","FILING_STATUS=MR","SCALING_FORMAT=MLN","Sort=A","Dates=H","DateFormat=P","Fill=—","Direction=H","UseDPDF=Y")</f>
        <v>—</v>
      </c>
      <c r="G27" s="13" t="str" cm="1">
        <f t="array" ref="G27">_xll.BDH("NUE US Equity","BS_DERIV_HEDGING_ASST_LT","FQ3 2019","FQ3 2019","Currency=USD","Period=FQ","BEST_FPERIOD_OVERRIDE=FQ","FILING_STATUS=MR","SCALING_FORMAT=MLN","Sort=A","Dates=H","DateFormat=P","Fill=—","Direction=H","UseDPDF=Y")</f>
        <v>—</v>
      </c>
      <c r="H27" s="13" cm="1">
        <f t="array" ref="H27">_xll.BDH("NUE US Equity","BS_DERIV_HEDGING_ASST_LT","FQ4 2019","FQ4 2019","Currency=USD","Period=FQ","BEST_FPERIOD_OVERRIDE=FQ","FILING_STATUS=MR","SCALING_FORMAT=MLN","Sort=A","Dates=H","DateFormat=P","Fill=—","Direction=H","UseDPDF=Y")</f>
        <v>0</v>
      </c>
      <c r="I27" s="13" t="str" cm="1">
        <f t="array" ref="I27">_xll.BDH("NUE US Equity","BS_DERIV_HEDGING_ASST_LT","FQ1 2020","FQ1 2020","Currency=USD","Period=FQ","BEST_FPERIOD_OVERRIDE=FQ","FILING_STATUS=MR","SCALING_FORMAT=MLN","Sort=A","Dates=H","DateFormat=P","Fill=—","Direction=H","UseDPDF=Y")</f>
        <v>—</v>
      </c>
      <c r="J27" s="13" t="str" cm="1">
        <f t="array" ref="J27">_xll.BDH("NUE US Equity","BS_DERIV_HEDGING_ASST_LT","FQ2 2020","FQ2 2020","Currency=USD","Period=FQ","BEST_FPERIOD_OVERRIDE=FQ","FILING_STATUS=MR","SCALING_FORMAT=MLN","Sort=A","Dates=H","DateFormat=P","Fill=—","Direction=H","UseDPDF=Y")</f>
        <v>—</v>
      </c>
      <c r="K27" s="13" t="str" cm="1">
        <f t="array" ref="K27">_xll.BDH("NUE US Equity","BS_DERIV_HEDGING_ASST_LT","FQ3 2020","FQ3 2020","Currency=USD","Period=FQ","BEST_FPERIOD_OVERRIDE=FQ","FILING_STATUS=MR","SCALING_FORMAT=MLN","Sort=A","Dates=H","DateFormat=P","Fill=—","Direction=H","UseDPDF=Y")</f>
        <v>—</v>
      </c>
      <c r="L27" s="13" cm="1">
        <f t="array" ref="L27">_xll.BDH("NUE US Equity","BS_DERIV_HEDGING_ASST_LT","FQ4 2020","FQ4 2020","Currency=USD","Period=FQ","BEST_FPERIOD_OVERRIDE=FQ","FILING_STATUS=MR","SCALING_FORMAT=MLN","Sort=A","Dates=H","DateFormat=P","Fill=—","Direction=H","UseDPDF=Y")</f>
        <v>0</v>
      </c>
      <c r="M27" s="13" t="str" cm="1">
        <f t="array" ref="M27">_xll.BDH("NUE US Equity","BS_DERIV_HEDGING_ASST_LT","FQ1 2021","FQ1 2021","Currency=USD","Period=FQ","BEST_FPERIOD_OVERRIDE=FQ","FILING_STATUS=MR","SCALING_FORMAT=MLN","Sort=A","Dates=H","DateFormat=P","Fill=—","Direction=H","UseDPDF=Y")</f>
        <v>—</v>
      </c>
      <c r="N27" s="13" t="str" cm="1">
        <f t="array" ref="N27">_xll.BDH("NUE US Equity","BS_DERIV_HEDGING_ASST_LT","FQ2 2021","FQ2 2021","Currency=USD","Period=FQ","BEST_FPERIOD_OVERRIDE=FQ","FILING_STATUS=MR","SCALING_FORMAT=MLN","Sort=A","Dates=H","DateFormat=P","Fill=—","Direction=H","UseDPDF=Y")</f>
        <v>—</v>
      </c>
      <c r="O27" s="13" t="str" cm="1">
        <f t="array" ref="O27">_xll.BDH("NUE US Equity","BS_DERIV_HEDGING_ASST_LT","FQ3 2021","FQ3 2021","Currency=USD","Period=FQ","BEST_FPERIOD_OVERRIDE=FQ","FILING_STATUS=MR","SCALING_FORMAT=MLN","Sort=A","Dates=H","DateFormat=P","Fill=—","Direction=H","UseDPDF=Y")</f>
        <v>—</v>
      </c>
      <c r="P27" s="13" cm="1">
        <f t="array" ref="P27">_xll.BDH("NUE US Equity","BS_DERIV_HEDGING_ASST_LT","FQ4 2021","FQ4 2021","Currency=USD","Period=FQ","BEST_FPERIOD_OVERRIDE=FQ","FILING_STATUS=MR","SCALING_FORMAT=MLN","Sort=A","Dates=H","DateFormat=P","Fill=—","Direction=H","UseDPDF=Y")</f>
        <v>0</v>
      </c>
      <c r="Q27" s="13" t="str" cm="1">
        <f t="array" ref="Q27">_xll.BDH("NUE US Equity","BS_DERIV_HEDGING_ASST_LT","FQ1 2022","FQ1 2022","Currency=USD","Period=FQ","BEST_FPERIOD_OVERRIDE=FQ","FILING_STATUS=MR","SCALING_FORMAT=MLN","Sort=A","Dates=H","DateFormat=P","Fill=—","Direction=H","UseDPDF=Y")</f>
        <v>—</v>
      </c>
      <c r="R27" s="13" t="str" cm="1">
        <f t="array" ref="R27">_xll.BDH("NUE US Equity","BS_DERIV_HEDGING_ASST_LT","FQ2 2022","FQ2 2022","Currency=USD","Period=FQ","BEST_FPERIOD_OVERRIDE=FQ","FILING_STATUS=MR","SCALING_FORMAT=MLN","Sort=A","Dates=H","DateFormat=P","Fill=—","Direction=H","UseDPDF=Y")</f>
        <v>—</v>
      </c>
      <c r="S27" s="13" t="str" cm="1">
        <f t="array" ref="S27">_xll.BDH("NUE US Equity","BS_DERIV_HEDGING_ASST_LT","FQ3 2022","FQ3 2022","Currency=USD","Period=FQ","BEST_FPERIOD_OVERRIDE=FQ","FILING_STATUS=MR","SCALING_FORMAT=MLN","Sort=A","Dates=H","DateFormat=P","Fill=—","Direction=H","UseDPDF=Y")</f>
        <v>—</v>
      </c>
      <c r="T27" s="13" t="str" cm="1">
        <f t="array" ref="T27">_xll.BDH("NUE US Equity","BS_DERIV_HEDGING_ASST_LT","FQ4 2022","FQ4 2022","Currency=USD","Period=FQ","BEST_FPERIOD_OVERRIDE=FQ","FILING_STATUS=MR","SCALING_FORMAT=MLN","Sort=A","Dates=H","DateFormat=P","Fill=—","Direction=H","UseDPDF=Y")</f>
        <v>—</v>
      </c>
      <c r="U27" s="13" t="str" cm="1">
        <f t="array" ref="U27">_xll.BDH("NUE US Equity","BS_DERIV_HEDGING_ASST_LT","FQ1 2023","FQ1 2023","Currency=USD","Period=FQ","BEST_FPERIOD_OVERRIDE=FQ","FILING_STATUS=MR","SCALING_FORMAT=MLN","Sort=A","Dates=H","DateFormat=P","Fill=—","Direction=H","UseDPDF=Y")</f>
        <v>—</v>
      </c>
      <c r="V27" s="13" t="str" cm="1">
        <f t="array" ref="V27">_xll.BDH("NUE US Equity","BS_DERIV_HEDGING_ASST_LT","FQ2 2023","FQ2 2023","Currency=USD","Period=FQ","BEST_FPERIOD_OVERRIDE=FQ","FILING_STATUS=MR","SCALING_FORMAT=MLN","Sort=A","Dates=H","DateFormat=P","Fill=—","Direction=H","UseDPDF=Y")</f>
        <v>—</v>
      </c>
      <c r="W27" s="13" t="str" cm="1">
        <f t="array" ref="W27">_xll.BDH("NUE US Equity","BS_DERIV_HEDGING_ASST_LT","FQ3 2023","FQ3 2023","Currency=USD","Period=FQ","BEST_FPERIOD_OVERRIDE=FQ","FILING_STATUS=MR","SCALING_FORMAT=MLN","Sort=A","Dates=H","DateFormat=P","Fill=—","Direction=H","UseDPDF=Y")</f>
        <v>—</v>
      </c>
      <c r="X27" s="13" t="str" cm="1">
        <f t="array" ref="X27">_xll.BDH("NUE US Equity","BS_DERIV_HEDGING_ASST_LT","FQ4 2023","FQ4 2023","Currency=USD","Period=FQ","BEST_FPERIOD_OVERRIDE=FQ","FILING_STATUS=MR","SCALING_FORMAT=MLN","Sort=A","Dates=H","DateFormat=P","Fill=—","Direction=H","UseDPDF=Y")</f>
        <v>—</v>
      </c>
      <c r="Y27" s="13" t="str" cm="1">
        <f t="array" ref="Y27">_xll.BDH("NUE US Equity","BS_DERIV_HEDGING_ASST_LT","FQ1 2024","FQ1 2024","Currency=USD","Period=FQ","BEST_FPERIOD_OVERRIDE=FQ","FILING_STATUS=MR","SCALING_FORMAT=MLN","Sort=A","Dates=H","DateFormat=P","Fill=—","Direction=H","UseDPDF=Y")</f>
        <v>—</v>
      </c>
      <c r="Z27" s="13" t="str" cm="1">
        <f t="array" ref="Z27">_xll.BDH("NUE US Equity","BS_DERIV_HEDGING_ASST_LT","FQ2 2024","FQ2 2024","Currency=USD","Period=FQ","BEST_FPERIOD_OVERRIDE=FQ","FILING_STATUS=MR","SCALING_FORMAT=MLN","Sort=A","Dates=H","DateFormat=P","Fill=—","Direction=H","UseDPDF=Y")</f>
        <v>—</v>
      </c>
      <c r="AA27" s="13" t="str" cm="1">
        <f t="array" ref="AA27">_xll.BDH("NUE US Equity","BS_DERIV_HEDGING_ASST_LT","FQ3 2024","FQ3 2024","Currency=USD","Period=FQ","BEST_FPERIOD_OVERRIDE=FQ","FILING_STATUS=MR","SCALING_FORMAT=MLN","Sort=A","Dates=H","DateFormat=P","Fill=—","Direction=H","UseDPDF=Y")</f>
        <v>—</v>
      </c>
      <c r="AB27" s="13" t="str" cm="1">
        <f t="array" ref="AB27">_xll.BDH("NUE US Equity","BS_DERIV_HEDGING_ASST_LT","FQ4 2024","FQ4 2024","Currency=USD","Period=FQ","BEST_FPERIOD_OVERRIDE=FQ","FILING_STATUS=MR","SCALING_FORMAT=MLN","Sort=A","Dates=H","DateFormat=P","Fill=—","Direction=H","UseDPDF=Y")</f>
        <v>—</v>
      </c>
      <c r="AC27" s="13" t="str" cm="1">
        <f t="array" ref="AC27">_xll.BDH("NUE US Equity","BS_DERIV_HEDGING_ASST_LT","FQ1 2025","FQ1 2025","Currency=USD","Period=FQ","BEST_FPERIOD_OVERRIDE=FQ","FILING_STATUS=MR","SCALING_FORMAT=MLN","Sort=A","Dates=H","DateFormat=P","Fill=—","Direction=H","UseDPDF=Y")</f>
        <v>—</v>
      </c>
      <c r="AD27" s="13" t="str" cm="1">
        <f t="array" ref="AD27">_xll.BDH("NUE US Equity","BS_DERIV_HEDGING_ASST_LT","FQ2 2025","FQ2 2025","Currency=USD","Period=FQ","BEST_FPERIOD_OVERRIDE=FQ","FILING_STATUS=MR","SCALING_FORMAT=MLN","Sort=A","Dates=H","DateFormat=P","Fill=—","Direction=H","UseDPDF=Y")</f>
        <v>—</v>
      </c>
      <c r="AE27" s="13" t="str" cm="1">
        <f t="array" ref="AE27">_xll.BDH("NUE US Equity","BS_DERIV_HEDGING_ASST_LT","FQ3 2025","FQ3 2025","Currency=USD","Period=FQ","BEST_FPERIOD_OVERRIDE=FQ","FILING_STATUS=MR","SCALING_FORMAT=MLN","Sort=A","Dates=H","DateFormat=P","Fill=—","Direction=H","UseDPDF=Y")</f>
        <v>—</v>
      </c>
      <c r="AF27" s="13" t="str" cm="1">
        <f t="array" ref="AF27">_xll.BDH("NUE US Equity","BS_DERIV_HEDGING_ASST_LT","FQ4 2025","FQ4 2025","Currency=USD","Period=FQ","BEST_FPERIOD_OVERRIDE=FQ","FILING_STATUS=MR","SCALING_FORMAT=MLN","Sort=A","Dates=H","DateFormat=P","Fill=—","Direction=H","UseDPDF=Y")</f>
        <v>—</v>
      </c>
    </row>
    <row r="28" spans="1:32" x14ac:dyDescent="0.25">
      <c r="A28" s="10" t="s">
        <v>107</v>
      </c>
      <c r="B28" s="10" t="s">
        <v>108</v>
      </c>
      <c r="C28" s="13" cm="1">
        <f t="array" ref="C28">_xll.BDH("NUE US Equity","BS_INVEST_IN_ASSOC_CO","FQ3 2018","FQ3 2018","Currency=USD","Period=FQ","BEST_FPERIOD_OVERRIDE=FQ","FILING_STATUS=MR","SCALING_FORMAT=MLN","Sort=A","Dates=H","DateFormat=P","Fill=—","Direction=H","UseDPDF=Y")</f>
        <v>858</v>
      </c>
      <c r="D28" s="13" cm="1">
        <f t="array" ref="D28">_xll.BDH("NUE US Equity","BS_INVEST_IN_ASSOC_CO","FQ4 2018","FQ4 2018","Currency=USD","Period=FQ","BEST_FPERIOD_OVERRIDE=FQ","FILING_STATUS=MR","SCALING_FORMAT=MLN","Sort=A","Dates=H","DateFormat=P","Fill=—","Direction=H","UseDPDF=Y")</f>
        <v>869.9</v>
      </c>
      <c r="E28" s="13" cm="1">
        <f t="array" ref="E28">_xll.BDH("NUE US Equity","BS_INVEST_IN_ASSOC_CO","FQ1 2019","FQ1 2019","Currency=USD","Period=FQ","BEST_FPERIOD_OVERRIDE=FQ","FILING_STATUS=MR","SCALING_FORMAT=MLN","Sort=A","Dates=H","DateFormat=P","Fill=—","Direction=H","UseDPDF=Y")</f>
        <v>806.8</v>
      </c>
      <c r="F28" s="13" cm="1">
        <f t="array" ref="F28">_xll.BDH("NUE US Equity","BS_INVEST_IN_ASSOC_CO","FQ2 2019","FQ2 2019","Currency=USD","Period=FQ","BEST_FPERIOD_OVERRIDE=FQ","FILING_STATUS=MR","SCALING_FORMAT=MLN","Sort=A","Dates=H","DateFormat=P","Fill=—","Direction=H","UseDPDF=Y")</f>
        <v>821.2</v>
      </c>
      <c r="G28" s="13" cm="1">
        <f t="array" ref="G28">_xll.BDH("NUE US Equity","BS_INVEST_IN_ASSOC_CO","FQ3 2019","FQ3 2019","Currency=USD","Period=FQ","BEST_FPERIOD_OVERRIDE=FQ","FILING_STATUS=MR","SCALING_FORMAT=MLN","Sort=A","Dates=H","DateFormat=P","Fill=—","Direction=H","UseDPDF=Y")</f>
        <v>826.1</v>
      </c>
      <c r="H28" s="13" cm="1">
        <f t="array" ref="H28">_xll.BDH("NUE US Equity","BS_INVEST_IN_ASSOC_CO","FQ4 2019","FQ4 2019","Currency=USD","Period=FQ","BEST_FPERIOD_OVERRIDE=FQ","FILING_STATUS=MR","SCALING_FORMAT=MLN","Sort=A","Dates=H","DateFormat=P","Fill=—","Direction=H","UseDPDF=Y")</f>
        <v>793.2</v>
      </c>
      <c r="I28" s="13" t="str" cm="1">
        <f t="array" ref="I28">_xll.BDH("NUE US Equity","BS_INVEST_IN_ASSOC_CO","FQ1 2020","FQ1 2020","Currency=USD","Period=FQ","BEST_FPERIOD_OVERRIDE=FQ","FILING_STATUS=MR","SCALING_FORMAT=MLN","Sort=A","Dates=H","DateFormat=P","Fill=—","Direction=H","UseDPDF=Y")</f>
        <v>—</v>
      </c>
      <c r="J28" s="13" cm="1">
        <f t="array" ref="J28">_xll.BDH("NUE US Equity","BS_INVEST_IN_ASSOC_CO","FQ2 2020","FQ2 2020","Currency=USD","Period=FQ","BEST_FPERIOD_OVERRIDE=FQ","FILING_STATUS=MR","SCALING_FORMAT=MLN","Sort=A","Dates=H","DateFormat=P","Fill=—","Direction=H","UseDPDF=Y")</f>
        <v>521.5</v>
      </c>
      <c r="K28" s="13" cm="1">
        <f t="array" ref="K28">_xll.BDH("NUE US Equity","BS_INVEST_IN_ASSOC_CO","FQ3 2020","FQ3 2020","Currency=USD","Period=FQ","BEST_FPERIOD_OVERRIDE=FQ","FILING_STATUS=MR","SCALING_FORMAT=MLN","Sort=A","Dates=H","DateFormat=P","Fill=—","Direction=H","UseDPDF=Y")</f>
        <v>521.20000000000005</v>
      </c>
      <c r="L28" s="13" cm="1">
        <f t="array" ref="L28">_xll.BDH("NUE US Equity","BS_INVEST_IN_ASSOC_CO","FQ4 2020","FQ4 2020","Currency=USD","Period=FQ","BEST_FPERIOD_OVERRIDE=FQ","FILING_STATUS=MR","SCALING_FORMAT=MLN","Sort=A","Dates=H","DateFormat=P","Fill=—","Direction=H","UseDPDF=Y")</f>
        <v>520</v>
      </c>
      <c r="M28" s="13" t="str" cm="1">
        <f t="array" ref="M28">_xll.BDH("NUE US Equity","BS_INVEST_IN_ASSOC_CO","FQ1 2021","FQ1 2021","Currency=USD","Period=FQ","BEST_FPERIOD_OVERRIDE=FQ","FILING_STATUS=MR","SCALING_FORMAT=MLN","Sort=A","Dates=H","DateFormat=P","Fill=—","Direction=H","UseDPDF=Y")</f>
        <v>—</v>
      </c>
      <c r="N28" s="13" t="str" cm="1">
        <f t="array" ref="N28">_xll.BDH("NUE US Equity","BS_INVEST_IN_ASSOC_CO","FQ2 2021","FQ2 2021","Currency=USD","Period=FQ","BEST_FPERIOD_OVERRIDE=FQ","FILING_STATUS=MR","SCALING_FORMAT=MLN","Sort=A","Dates=H","DateFormat=P","Fill=—","Direction=H","UseDPDF=Y")</f>
        <v>—</v>
      </c>
      <c r="O28" s="13" t="str" cm="1">
        <f t="array" ref="O28">_xll.BDH("NUE US Equity","BS_INVEST_IN_ASSOC_CO","FQ3 2021","FQ3 2021","Currency=USD","Period=FQ","BEST_FPERIOD_OVERRIDE=FQ","FILING_STATUS=MR","SCALING_FORMAT=MLN","Sort=A","Dates=H","DateFormat=P","Fill=—","Direction=H","UseDPDF=Y")</f>
        <v>—</v>
      </c>
      <c r="P28" s="13" cm="1">
        <f t="array" ref="P28">_xll.BDH("NUE US Equity","BS_INVEST_IN_ASSOC_CO","FQ4 2021","FQ4 2021","Currency=USD","Period=FQ","BEST_FPERIOD_OVERRIDE=FQ","FILING_STATUS=MR","SCALING_FORMAT=MLN","Sort=A","Dates=H","DateFormat=P","Fill=—","Direction=H","UseDPDF=Y")</f>
        <v>624.6</v>
      </c>
      <c r="Q28" s="13" t="str" cm="1">
        <f t="array" ref="Q28">_xll.BDH("NUE US Equity","BS_INVEST_IN_ASSOC_CO","FQ1 2022","FQ1 2022","Currency=USD","Period=FQ","BEST_FPERIOD_OVERRIDE=FQ","FILING_STATUS=MR","SCALING_FORMAT=MLN","Sort=A","Dates=H","DateFormat=P","Fill=—","Direction=H","UseDPDF=Y")</f>
        <v>—</v>
      </c>
      <c r="R28" s="13" t="str" cm="1">
        <f t="array" ref="R28">_xll.BDH("NUE US Equity","BS_INVEST_IN_ASSOC_CO","FQ2 2022","FQ2 2022","Currency=USD","Period=FQ","BEST_FPERIOD_OVERRIDE=FQ","FILING_STATUS=MR","SCALING_FORMAT=MLN","Sort=A","Dates=H","DateFormat=P","Fill=—","Direction=H","UseDPDF=Y")</f>
        <v>—</v>
      </c>
      <c r="S28" s="13" t="str" cm="1">
        <f t="array" ref="S28">_xll.BDH("NUE US Equity","BS_INVEST_IN_ASSOC_CO","FQ3 2022","FQ3 2022","Currency=USD","Period=FQ","BEST_FPERIOD_OVERRIDE=FQ","FILING_STATUS=MR","SCALING_FORMAT=MLN","Sort=A","Dates=H","DateFormat=P","Fill=—","Direction=H","UseDPDF=Y")</f>
        <v>—</v>
      </c>
      <c r="T28" s="13" cm="1">
        <f t="array" ref="T28">_xll.BDH("NUE US Equity","BS_INVEST_IN_ASSOC_CO","FQ4 2022","FQ4 2022","Currency=USD","Period=FQ","BEST_FPERIOD_OVERRIDE=FQ","FILING_STATUS=MR","SCALING_FORMAT=MLN","Sort=A","Dates=H","DateFormat=P","Fill=—","Direction=H","UseDPDF=Y")</f>
        <v>562.29999999999995</v>
      </c>
      <c r="U28" s="13" t="str" cm="1">
        <f t="array" ref="U28">_xll.BDH("NUE US Equity","BS_INVEST_IN_ASSOC_CO","FQ1 2023","FQ1 2023","Currency=USD","Period=FQ","BEST_FPERIOD_OVERRIDE=FQ","FILING_STATUS=MR","SCALING_FORMAT=MLN","Sort=A","Dates=H","DateFormat=P","Fill=—","Direction=H","UseDPDF=Y")</f>
        <v>—</v>
      </c>
      <c r="V28" s="13" t="str" cm="1">
        <f t="array" ref="V28">_xll.BDH("NUE US Equity","BS_INVEST_IN_ASSOC_CO","FQ2 2023","FQ2 2023","Currency=USD","Period=FQ","BEST_FPERIOD_OVERRIDE=FQ","FILING_STATUS=MR","SCALING_FORMAT=MLN","Sort=A","Dates=H","DateFormat=P","Fill=—","Direction=H","UseDPDF=Y")</f>
        <v>—</v>
      </c>
      <c r="W28" s="13" t="str" cm="1">
        <f t="array" ref="W28">_xll.BDH("NUE US Equity","BS_INVEST_IN_ASSOC_CO","FQ3 2023","FQ3 2023","Currency=USD","Period=FQ","BEST_FPERIOD_OVERRIDE=FQ","FILING_STATUS=MR","SCALING_FORMAT=MLN","Sort=A","Dates=H","DateFormat=P","Fill=—","Direction=H","UseDPDF=Y")</f>
        <v>—</v>
      </c>
      <c r="X28" s="13" cm="1">
        <f t="array" ref="X28">_xll.BDH("NUE US Equity","BS_INVEST_IN_ASSOC_CO","FQ4 2023","FQ4 2023","Currency=USD","Period=FQ","BEST_FPERIOD_OVERRIDE=FQ","FILING_STATUS=MR","SCALING_FORMAT=MLN","Sort=A","Dates=H","DateFormat=P","Fill=—","Direction=H","UseDPDF=Y")</f>
        <v>479.5</v>
      </c>
      <c r="Y28" s="13" t="str" cm="1">
        <f t="array" ref="Y28">_xll.BDH("NUE US Equity","BS_INVEST_IN_ASSOC_CO","FQ1 2024","FQ1 2024","Currency=USD","Period=FQ","BEST_FPERIOD_OVERRIDE=FQ","FILING_STATUS=MR","SCALING_FORMAT=MLN","Sort=A","Dates=H","DateFormat=P","Fill=—","Direction=H","UseDPDF=Y")</f>
        <v>—</v>
      </c>
      <c r="Z28" s="13" t="str" cm="1">
        <f t="array" ref="Z28">_xll.BDH("NUE US Equity","BS_INVEST_IN_ASSOC_CO","FQ2 2024","FQ2 2024","Currency=USD","Period=FQ","BEST_FPERIOD_OVERRIDE=FQ","FILING_STATUS=MR","SCALING_FORMAT=MLN","Sort=A","Dates=H","DateFormat=P","Fill=—","Direction=H","UseDPDF=Y")</f>
        <v>—</v>
      </c>
      <c r="AA28" s="13" t="str" cm="1">
        <f t="array" ref="AA28">_xll.BDH("NUE US Equity","BS_INVEST_IN_ASSOC_CO","FQ3 2024","FQ3 2024","Currency=USD","Period=FQ","BEST_FPERIOD_OVERRIDE=FQ","FILING_STATUS=MR","SCALING_FORMAT=MLN","Sort=A","Dates=H","DateFormat=P","Fill=—","Direction=H","UseDPDF=Y")</f>
        <v>—</v>
      </c>
      <c r="AB28" s="13" t="str" cm="1">
        <f t="array" ref="AB28">_xll.BDH("NUE US Equity","BS_INVEST_IN_ASSOC_CO","FQ4 2024","FQ4 2024","Currency=USD","Period=FQ","BEST_FPERIOD_OVERRIDE=FQ","FILING_STATUS=MR","SCALING_FORMAT=MLN","Sort=A","Dates=H","DateFormat=P","Fill=—","Direction=H","UseDPDF=Y")</f>
        <v>—</v>
      </c>
      <c r="AC28" s="13" t="str" cm="1">
        <f t="array" ref="AC28">_xll.BDH("NUE US Equity","BS_INVEST_IN_ASSOC_CO","FQ1 2025","FQ1 2025","Currency=USD","Period=FQ","BEST_FPERIOD_OVERRIDE=FQ","FILING_STATUS=MR","SCALING_FORMAT=MLN","Sort=A","Dates=H","DateFormat=P","Fill=—","Direction=H","UseDPDF=Y")</f>
        <v>—</v>
      </c>
      <c r="AD28" s="13" t="str" cm="1">
        <f t="array" ref="AD28">_xll.BDH("NUE US Equity","BS_INVEST_IN_ASSOC_CO","FQ2 2025","FQ2 2025","Currency=USD","Period=FQ","BEST_FPERIOD_OVERRIDE=FQ","FILING_STATUS=MR","SCALING_FORMAT=MLN","Sort=A","Dates=H","DateFormat=P","Fill=—","Direction=H","UseDPDF=Y")</f>
        <v>—</v>
      </c>
      <c r="AE28" s="13" t="str" cm="1">
        <f t="array" ref="AE28">_xll.BDH("NUE US Equity","BS_INVEST_IN_ASSOC_CO","FQ3 2025","FQ3 2025","Currency=USD","Period=FQ","BEST_FPERIOD_OVERRIDE=FQ","FILING_STATUS=MR","SCALING_FORMAT=MLN","Sort=A","Dates=H","DateFormat=P","Fill=—","Direction=H","UseDPDF=Y")</f>
        <v>—</v>
      </c>
      <c r="AF28" s="13" t="str" cm="1">
        <f t="array" ref="AF28">_xll.BDH("NUE US Equity","BS_INVEST_IN_ASSOC_CO","FQ4 2025","FQ4 2025","Currency=USD","Period=FQ","BEST_FPERIOD_OVERRIDE=FQ","FILING_STATUS=MR","SCALING_FORMAT=MLN","Sort=A","Dates=H","DateFormat=P","Fill=—","Direction=H","UseDPDF=Y")</f>
        <v>—</v>
      </c>
    </row>
    <row r="29" spans="1:32" x14ac:dyDescent="0.25">
      <c r="A29" s="10" t="s">
        <v>109</v>
      </c>
      <c r="B29" s="10" t="s">
        <v>110</v>
      </c>
      <c r="C29" s="13" cm="1">
        <f t="array" ref="C29">_xll.BDH("NUE US Equity","OTHER_NONCURRENT_ASSETS_DETAILED","FQ3 2018","FQ3 2018","Currency=USD","Period=FQ","BEST_FPERIOD_OVERRIDE=FQ","FILING_STATUS=MR","SCALING_FORMAT=MLN","Sort=A","Dates=H","DateFormat=P","Fill=—","Direction=H","UseDPDF=Y")</f>
        <v>67.540000000000006</v>
      </c>
      <c r="D29" s="13" cm="1">
        <f t="array" ref="D29">_xll.BDH("NUE US Equity","OTHER_NONCURRENT_ASSETS_DETAILED","FQ4 2018","FQ4 2018","Currency=USD","Period=FQ","BEST_FPERIOD_OVERRIDE=FQ","FILING_STATUS=MR","SCALING_FORMAT=MLN","Sort=A","Dates=H","DateFormat=P","Fill=—","Direction=H","UseDPDF=Y")</f>
        <v>66.135000000000005</v>
      </c>
      <c r="E29" s="13" cm="1">
        <f t="array" ref="E29">_xll.BDH("NUE US Equity","OTHER_NONCURRENT_ASSETS_DETAILED","FQ1 2019","FQ1 2019","Currency=USD","Period=FQ","BEST_FPERIOD_OVERRIDE=FQ","FILING_STATUS=MR","SCALING_FORMAT=MLN","Sort=A","Dates=H","DateFormat=P","Fill=—","Direction=H","UseDPDF=Y")</f>
        <v>64.852999999999994</v>
      </c>
      <c r="F29" s="13" cm="1">
        <f t="array" ref="F29">_xll.BDH("NUE US Equity","OTHER_NONCURRENT_ASSETS_DETAILED","FQ2 2019","FQ2 2019","Currency=USD","Period=FQ","BEST_FPERIOD_OVERRIDE=FQ","FILING_STATUS=MR","SCALING_FORMAT=MLN","Sort=A","Dates=H","DateFormat=P","Fill=—","Direction=H","UseDPDF=Y")</f>
        <v>65.436999999999998</v>
      </c>
      <c r="G29" s="13" cm="1">
        <f t="array" ref="G29">_xll.BDH("NUE US Equity","OTHER_NONCURRENT_ASSETS_DETAILED","FQ3 2019","FQ3 2019","Currency=USD","Period=FQ","BEST_FPERIOD_OVERRIDE=FQ","FILING_STATUS=MR","SCALING_FORMAT=MLN","Sort=A","Dates=H","DateFormat=P","Fill=—","Direction=H","UseDPDF=Y")</f>
        <v>157.48099999999999</v>
      </c>
      <c r="H29" s="13" cm="1">
        <f t="array" ref="H29">_xll.BDH("NUE US Equity","OTHER_NONCURRENT_ASSETS_DETAILED","FQ4 2019","FQ4 2019","Currency=USD","Period=FQ","BEST_FPERIOD_OVERRIDE=FQ","FILING_STATUS=MR","SCALING_FORMAT=MLN","Sort=A","Dates=H","DateFormat=P","Fill=—","Direction=H","UseDPDF=Y")</f>
        <v>203.292</v>
      </c>
      <c r="I29" s="13" cm="1">
        <f t="array" ref="I29">_xll.BDH("NUE US Equity","OTHER_NONCURRENT_ASSETS_DETAILED","FQ1 2020","FQ1 2020","Currency=USD","Period=FQ","BEST_FPERIOD_OVERRIDE=FQ","FILING_STATUS=MR","SCALING_FORMAT=MLN","Sort=A","Dates=H","DateFormat=P","Fill=—","Direction=H","UseDPDF=Y")</f>
        <v>700.851</v>
      </c>
      <c r="J29" s="13" cm="1">
        <f t="array" ref="J29">_xll.BDH("NUE US Equity","OTHER_NONCURRENT_ASSETS_DETAILED","FQ2 2020","FQ2 2020","Currency=USD","Period=FQ","BEST_FPERIOD_OVERRIDE=FQ","FILING_STATUS=MR","SCALING_FORMAT=MLN","Sort=A","Dates=H","DateFormat=P","Fill=—","Direction=H","UseDPDF=Y")</f>
        <v>164.46899999999999</v>
      </c>
      <c r="K29" s="13" cm="1">
        <f t="array" ref="K29">_xll.BDH("NUE US Equity","OTHER_NONCURRENT_ASSETS_DETAILED","FQ3 2020","FQ3 2020","Currency=USD","Period=FQ","BEST_FPERIOD_OVERRIDE=FQ","FILING_STATUS=MR","SCALING_FORMAT=MLN","Sort=A","Dates=H","DateFormat=P","Fill=—","Direction=H","UseDPDF=Y")</f>
        <v>328.15100000000001</v>
      </c>
      <c r="L29" s="13" cm="1">
        <f t="array" ref="L29">_xll.BDH("NUE US Equity","OTHER_NONCURRENT_ASSETS_DETAILED","FQ4 2020","FQ4 2020","Currency=USD","Period=FQ","BEST_FPERIOD_OVERRIDE=FQ","FILING_STATUS=MR","SCALING_FORMAT=MLN","Sort=A","Dates=H","DateFormat=P","Fill=—","Direction=H","UseDPDF=Y")</f>
        <v>319.92899999999997</v>
      </c>
      <c r="M29" s="13" cm="1">
        <f t="array" ref="M29">_xll.BDH("NUE US Equity","OTHER_NONCURRENT_ASSETS_DETAILED","FQ1 2021","FQ1 2021","Currency=USD","Period=FQ","BEST_FPERIOD_OVERRIDE=FQ","FILING_STATUS=MR","SCALING_FORMAT=MLN","Sort=A","Dates=H","DateFormat=P","Fill=—","Direction=H","UseDPDF=Y")</f>
        <v>848.92700000000002</v>
      </c>
      <c r="N29" s="13" cm="1">
        <f t="array" ref="N29">_xll.BDH("NUE US Equity","OTHER_NONCURRENT_ASSETS_DETAILED","FQ2 2021","FQ2 2021","Currency=USD","Period=FQ","BEST_FPERIOD_OVERRIDE=FQ","FILING_STATUS=MR","SCALING_FORMAT=MLN","Sort=A","Dates=H","DateFormat=P","Fill=—","Direction=H","UseDPDF=Y")</f>
        <v>835.34799999999996</v>
      </c>
      <c r="O29" s="13" cm="1">
        <f t="array" ref="O29">_xll.BDH("NUE US Equity","OTHER_NONCURRENT_ASSETS_DETAILED","FQ3 2021","FQ3 2021","Currency=USD","Period=FQ","BEST_FPERIOD_OVERRIDE=FQ","FILING_STATUS=MR","SCALING_FORMAT=MLN","Sort=A","Dates=H","DateFormat=P","Fill=—","Direction=H","UseDPDF=Y")</f>
        <v>1089.0930000000001</v>
      </c>
      <c r="P29" s="13" cm="1">
        <f t="array" ref="P29">_xll.BDH("NUE US Equity","OTHER_NONCURRENT_ASSETS_DETAILED","FQ4 2021","FQ4 2021","Currency=USD","Period=FQ","BEST_FPERIOD_OVERRIDE=FQ","FILING_STATUS=MR","SCALING_FORMAT=MLN","Sort=A","Dates=H","DateFormat=P","Fill=—","Direction=H","UseDPDF=Y")</f>
        <v>352.99400000000003</v>
      </c>
      <c r="Q29" s="13" cm="1">
        <f t="array" ref="Q29">_xll.BDH("NUE US Equity","OTHER_NONCURRENT_ASSETS_DETAILED","FQ1 2022","FQ1 2022","Currency=USD","Period=FQ","BEST_FPERIOD_OVERRIDE=FQ","FILING_STATUS=MR","SCALING_FORMAT=MLN","Sort=A","Dates=H","DateFormat=P","Fill=—","Direction=H","UseDPDF=Y")</f>
        <v>962.91</v>
      </c>
      <c r="R29" s="13" cm="1">
        <f t="array" ref="R29">_xll.BDH("NUE US Equity","OTHER_NONCURRENT_ASSETS_DETAILED","FQ2 2022","FQ2 2022","Currency=USD","Period=FQ","BEST_FPERIOD_OVERRIDE=FQ","FILING_STATUS=MR","SCALING_FORMAT=MLN","Sort=A","Dates=H","DateFormat=P","Fill=—","Direction=H","UseDPDF=Y")</f>
        <v>1062.394</v>
      </c>
      <c r="S29" s="13" cm="1">
        <f t="array" ref="S29">_xll.BDH("NUE US Equity","OTHER_NONCURRENT_ASSETS_DETAILED","FQ3 2022","FQ3 2022","Currency=USD","Period=FQ","BEST_FPERIOD_OVERRIDE=FQ","FILING_STATUS=MR","SCALING_FORMAT=MLN","Sort=A","Dates=H","DateFormat=P","Fill=—","Direction=H","UseDPDF=Y")</f>
        <v>965.78</v>
      </c>
      <c r="T29" s="13" cm="1">
        <f t="array" ref="T29">_xll.BDH("NUE US Equity","OTHER_NONCURRENT_ASSETS_DETAILED","FQ4 2022","FQ4 2022","Currency=USD","Period=FQ","BEST_FPERIOD_OVERRIDE=FQ","FILING_STATUS=MR","SCALING_FORMAT=MLN","Sort=A","Dates=H","DateFormat=P","Fill=—","Direction=H","UseDPDF=Y")</f>
        <v>365.98099999999999</v>
      </c>
      <c r="U29" s="13" cm="1">
        <f t="array" ref="U29">_xll.BDH("NUE US Equity","OTHER_NONCURRENT_ASSETS_DETAILED","FQ1 2023","FQ1 2023","Currency=USD","Period=FQ","BEST_FPERIOD_OVERRIDE=FQ","FILING_STATUS=MR","SCALING_FORMAT=MLN","Sort=A","Dates=H","DateFormat=P","Fill=—","Direction=H","UseDPDF=Y")</f>
        <v>888.72500000000002</v>
      </c>
      <c r="V29" s="13" cm="1">
        <f t="array" ref="V29">_xll.BDH("NUE US Equity","OTHER_NONCURRENT_ASSETS_DETAILED","FQ2 2023","FQ2 2023","Currency=USD","Period=FQ","BEST_FPERIOD_OVERRIDE=FQ","FILING_STATUS=MR","SCALING_FORMAT=MLN","Sort=A","Dates=H","DateFormat=P","Fill=—","Direction=H","UseDPDF=Y")</f>
        <v>863.93100000000004</v>
      </c>
      <c r="W29" s="13" cm="1">
        <f t="array" ref="W29">_xll.BDH("NUE US Equity","OTHER_NONCURRENT_ASSETS_DETAILED","FQ3 2023","FQ3 2023","Currency=USD","Period=FQ","BEST_FPERIOD_OVERRIDE=FQ","FILING_STATUS=MR","SCALING_FORMAT=MLN","Sort=A","Dates=H","DateFormat=P","Fill=—","Direction=H","UseDPDF=Y")</f>
        <v>893.76199999999994</v>
      </c>
      <c r="X29" s="13" cm="1">
        <f t="array" ref="X29">_xll.BDH("NUE US Equity","OTHER_NONCURRENT_ASSETS_DETAILED","FQ4 2023","FQ4 2023","Currency=USD","Period=FQ","BEST_FPERIOD_OVERRIDE=FQ","FILING_STATUS=MR","SCALING_FORMAT=MLN","Sort=A","Dates=H","DateFormat=P","Fill=—","Direction=H","UseDPDF=Y")</f>
        <v>348.512</v>
      </c>
      <c r="Y29" s="13" cm="1">
        <f t="array" ref="Y29">_xll.BDH("NUE US Equity","OTHER_NONCURRENT_ASSETS_DETAILED","FQ1 2024","FQ1 2024","Currency=USD","Period=FQ","BEST_FPERIOD_OVERRIDE=FQ","FILING_STATUS=MR","SCALING_FORMAT=MLN","Sort=A","Dates=H","DateFormat=P","Fill=—","Direction=H","UseDPDF=Y")</f>
        <v>828.03099999999995</v>
      </c>
      <c r="Z29" s="13" cm="1">
        <f t="array" ref="Z29">_xll.BDH("NUE US Equity","OTHER_NONCURRENT_ASSETS_DETAILED","FQ2 2024","FQ2 2024","Currency=USD","Period=FQ","BEST_FPERIOD_OVERRIDE=FQ","FILING_STATUS=MR","SCALING_FORMAT=MLN","Sort=A","Dates=H","DateFormat=P","Fill=—","Direction=H","UseDPDF=Y")</f>
        <v>876.29100000000005</v>
      </c>
      <c r="AA29" s="13" cm="1">
        <f t="array" ref="AA29">_xll.BDH("NUE US Equity","OTHER_NONCURRENT_ASSETS_DETAILED","FQ3 2024","FQ3 2024","Currency=USD","Period=FQ","BEST_FPERIOD_OVERRIDE=FQ","FILING_STATUS=MR","SCALING_FORMAT=MLN","Sort=A","Dates=H","DateFormat=P","Fill=—","Direction=H","UseDPDF=Y")</f>
        <v>776.86</v>
      </c>
      <c r="AB29" s="13" cm="1">
        <f t="array" ref="AB29">_xll.BDH("NUE US Equity","OTHER_NONCURRENT_ASSETS_DETAILED","FQ4 2024","FQ4 2024","Currency=USD","Period=FQ","BEST_FPERIOD_OVERRIDE=FQ","FILING_STATUS=MR","SCALING_FORMAT=MLN","Sort=A","Dates=H","DateFormat=P","Fill=—","Direction=H","UseDPDF=Y")</f>
        <v>800</v>
      </c>
      <c r="AC29" s="13" cm="1">
        <f t="array" ref="AC29">_xll.BDH("NUE US Equity","OTHER_NONCURRENT_ASSETS_DETAILED","FQ1 2025","FQ1 2025","Currency=USD","Period=FQ","BEST_FPERIOD_OVERRIDE=FQ","FILING_STATUS=MR","SCALING_FORMAT=MLN","Sort=A","Dates=H","DateFormat=P","Fill=—","Direction=H","UseDPDF=Y")</f>
        <v>824</v>
      </c>
      <c r="AD29" s="13" cm="1">
        <f t="array" ref="AD29">_xll.BDH("NUE US Equity","OTHER_NONCURRENT_ASSETS_DETAILED","FQ2 2025","FQ2 2025","Currency=USD","Period=FQ","BEST_FPERIOD_OVERRIDE=FQ","FILING_STATUS=MR","SCALING_FORMAT=MLN","Sort=A","Dates=H","DateFormat=P","Fill=—","Direction=H","UseDPDF=Y")</f>
        <v>890</v>
      </c>
      <c r="AE29" s="13" cm="1">
        <f t="array" ref="AE29">_xll.BDH("NUE US Equity","OTHER_NONCURRENT_ASSETS_DETAILED","FQ3 2025","FQ3 2025","Currency=USD","Period=FQ","BEST_FPERIOD_OVERRIDE=FQ","FILING_STATUS=MR","SCALING_FORMAT=MLN","Sort=A","Dates=H","DateFormat=P","Fill=—","Direction=H","UseDPDF=Y")</f>
        <v>910</v>
      </c>
      <c r="AF29" s="13" cm="1">
        <f t="array" ref="AF29">_xll.BDH("NUE US Equity","OTHER_NONCURRENT_ASSETS_DETAILED","FQ4 2025","FQ4 2025","Currency=USD","Period=FQ","BEST_FPERIOD_OVERRIDE=FQ","FILING_STATUS=MR","SCALING_FORMAT=MLN","Sort=A","Dates=H","DateFormat=P","Fill=—","Direction=H","UseDPDF=Y")</f>
        <v>856</v>
      </c>
    </row>
    <row r="30" spans="1:32" x14ac:dyDescent="0.25">
      <c r="A30" s="6" t="s">
        <v>111</v>
      </c>
      <c r="B30" s="6" t="s">
        <v>112</v>
      </c>
      <c r="C30" s="16" cm="1">
        <f t="array" ref="C30">_xll.BDH("NUE US Equity","BS_TOT_NON_CUR_ASSET","FQ3 2018","FQ3 2018","Currency=USD","Period=FQ","BEST_FPERIOD_OVERRIDE=FQ","FILING_STATUS=MR","SCALING_FORMAT=MLN","Sort=A","Dates=H","DateFormat=P","Fill=—","Direction=H","UseDPDF=Y")</f>
        <v>9118.6419999999998</v>
      </c>
      <c r="D30" s="16" cm="1">
        <f t="array" ref="D30">_xll.BDH("NUE US Equity","BS_TOT_NON_CUR_ASSET","FQ4 2018","FQ4 2018","Currency=USD","Period=FQ","BEST_FPERIOD_OVERRIDE=FQ","FILING_STATUS=MR","SCALING_FORMAT=MLN","Sort=A","Dates=H","DateFormat=P","Fill=—","Direction=H","UseDPDF=Y")</f>
        <v>9284.3230000000003</v>
      </c>
      <c r="E30" s="16" cm="1">
        <f t="array" ref="E30">_xll.BDH("NUE US Equity","BS_TOT_NON_CUR_ASSET","FQ1 2019","FQ1 2019","Currency=USD","Period=FQ","BEST_FPERIOD_OVERRIDE=FQ","FILING_STATUS=MR","SCALING_FORMAT=MLN","Sort=A","Dates=H","DateFormat=P","Fill=—","Direction=H","UseDPDF=Y")</f>
        <v>9436.3549999999996</v>
      </c>
      <c r="F30" s="16" cm="1">
        <f t="array" ref="F30">_xll.BDH("NUE US Equity","BS_TOT_NON_CUR_ASSET","FQ2 2019","FQ2 2019","Currency=USD","Period=FQ","BEST_FPERIOD_OVERRIDE=FQ","FILING_STATUS=MR","SCALING_FORMAT=MLN","Sort=A","Dates=H","DateFormat=P","Fill=—","Direction=H","UseDPDF=Y")</f>
        <v>9659.2810000000009</v>
      </c>
      <c r="G30" s="16" cm="1">
        <f t="array" ref="G30">_xll.BDH("NUE US Equity","BS_TOT_NON_CUR_ASSET","FQ3 2019","FQ3 2019","Currency=USD","Period=FQ","BEST_FPERIOD_OVERRIDE=FQ","FILING_STATUS=MR","SCALING_FORMAT=MLN","Sort=A","Dates=H","DateFormat=P","Fill=—","Direction=H","UseDPDF=Y")</f>
        <v>9821.9770000000008</v>
      </c>
      <c r="H30" s="16" cm="1">
        <f t="array" ref="H30">_xll.BDH("NUE US Equity","BS_TOT_NON_CUR_ASSET","FQ4 2019","FQ4 2019","Currency=USD","Period=FQ","BEST_FPERIOD_OVERRIDE=FQ","FILING_STATUS=MR","SCALING_FORMAT=MLN","Sort=A","Dates=H","DateFormat=P","Fill=—","Direction=H","UseDPDF=Y")</f>
        <v>10118.296</v>
      </c>
      <c r="I30" s="16" cm="1">
        <f t="array" ref="I30">_xll.BDH("NUE US Equity","BS_TOT_NON_CUR_ASSET","FQ1 2020","FQ1 2020","Currency=USD","Period=FQ","BEST_FPERIOD_OVERRIDE=FQ","FILING_STATUS=MR","SCALING_FORMAT=MLN","Sort=A","Dates=H","DateFormat=P","Fill=—","Direction=H","UseDPDF=Y")</f>
        <v>10018.81</v>
      </c>
      <c r="J30" s="16" cm="1">
        <f t="array" ref="J30">_xll.BDH("NUE US Equity","BS_TOT_NON_CUR_ASSET","FQ2 2020","FQ2 2020","Currency=USD","Period=FQ","BEST_FPERIOD_OVERRIDE=FQ","FILING_STATUS=MR","SCALING_FORMAT=MLN","Sort=A","Dates=H","DateFormat=P","Fill=—","Direction=H","UseDPDF=Y")</f>
        <v>10131.001</v>
      </c>
      <c r="K30" s="16" cm="1">
        <f t="array" ref="K30">_xll.BDH("NUE US Equity","BS_TOT_NON_CUR_ASSET","FQ3 2020","FQ3 2020","Currency=USD","Period=FQ","BEST_FPERIOD_OVERRIDE=FQ","FILING_STATUS=MR","SCALING_FORMAT=MLN","Sort=A","Dates=H","DateFormat=P","Fill=—","Direction=H","UseDPDF=Y")</f>
        <v>10553.43</v>
      </c>
      <c r="L30" s="16" cm="1">
        <f t="array" ref="L30">_xll.BDH("NUE US Equity","BS_TOT_NON_CUR_ASSET","FQ4 2020","FQ4 2020","Currency=USD","Period=FQ","BEST_FPERIOD_OVERRIDE=FQ","FILING_STATUS=MR","SCALING_FORMAT=MLN","Sort=A","Dates=H","DateFormat=P","Fill=—","Direction=H","UseDPDF=Y")</f>
        <v>10636.732</v>
      </c>
      <c r="M30" s="16" cm="1">
        <f t="array" ref="M30">_xll.BDH("NUE US Equity","BS_TOT_NON_CUR_ASSET","FQ1 2021","FQ1 2021","Currency=USD","Period=FQ","BEST_FPERIOD_OVERRIDE=FQ","FILING_STATUS=MR","SCALING_FORMAT=MLN","Sort=A","Dates=H","DateFormat=P","Fill=—","Direction=H","UseDPDF=Y")</f>
        <v>10763.277</v>
      </c>
      <c r="N30" s="16" cm="1">
        <f t="array" ref="N30">_xll.BDH("NUE US Equity","BS_TOT_NON_CUR_ASSET","FQ2 2021","FQ2 2021","Currency=USD","Period=FQ","BEST_FPERIOD_OVERRIDE=FQ","FILING_STATUS=MR","SCALING_FORMAT=MLN","Sort=A","Dates=H","DateFormat=P","Fill=—","Direction=H","UseDPDF=Y")</f>
        <v>10939.643</v>
      </c>
      <c r="O30" s="16" cm="1">
        <f t="array" ref="O30">_xll.BDH("NUE US Equity","BS_TOT_NON_CUR_ASSET","FQ3 2021","FQ3 2021","Currency=USD","Period=FQ","BEST_FPERIOD_OVERRIDE=FQ","FILING_STATUS=MR","SCALING_FORMAT=MLN","Sort=A","Dates=H","DateFormat=P","Fill=—","Direction=H","UseDPDF=Y")</f>
        <v>12825.654</v>
      </c>
      <c r="P30" s="16" cm="1">
        <f t="array" ref="P30">_xll.BDH("NUE US Equity","BS_TOT_NON_CUR_ASSET","FQ4 2021","FQ4 2021","Currency=USD","Period=FQ","BEST_FPERIOD_OVERRIDE=FQ","FILING_STATUS=MR","SCALING_FORMAT=MLN","Sort=A","Dates=H","DateFormat=P","Fill=—","Direction=H","UseDPDF=Y")</f>
        <v>13023.514999999999</v>
      </c>
      <c r="Q30" s="16" cm="1">
        <f t="array" ref="Q30">_xll.BDH("NUE US Equity","BS_TOT_NON_CUR_ASSET","FQ1 2022","FQ1 2022","Currency=USD","Period=FQ","BEST_FPERIOD_OVERRIDE=FQ","FILING_STATUS=MR","SCALING_FORMAT=MLN","Sort=A","Dates=H","DateFormat=P","Fill=—","Direction=H","UseDPDF=Y")</f>
        <v>13851.517</v>
      </c>
      <c r="R30" s="16" cm="1">
        <f t="array" ref="R30">_xll.BDH("NUE US Equity","BS_TOT_NON_CUR_ASSET","FQ2 2022","FQ2 2022","Currency=USD","Period=FQ","BEST_FPERIOD_OVERRIDE=FQ","FILING_STATUS=MR","SCALING_FORMAT=MLN","Sort=A","Dates=H","DateFormat=P","Fill=—","Direction=H","UseDPDF=Y")</f>
        <v>17634.646000000001</v>
      </c>
      <c r="S30" s="16" cm="1">
        <f t="array" ref="S30">_xll.BDH("NUE US Equity","BS_TOT_NON_CUR_ASSET","FQ3 2022","FQ3 2022","Currency=USD","Period=FQ","BEST_FPERIOD_OVERRIDE=FQ","FILING_STATUS=MR","SCALING_FORMAT=MLN","Sort=A","Dates=H","DateFormat=P","Fill=—","Direction=H","UseDPDF=Y")</f>
        <v>17716.246999999999</v>
      </c>
      <c r="T30" s="16" cm="1">
        <f t="array" ref="T30">_xll.BDH("NUE US Equity","BS_TOT_NON_CUR_ASSET","FQ4 2022","FQ4 2022","Currency=USD","Period=FQ","BEST_FPERIOD_OVERRIDE=FQ","FILING_STATUS=MR","SCALING_FORMAT=MLN","Sort=A","Dates=H","DateFormat=P","Fill=—","Direction=H","UseDPDF=Y")</f>
        <v>17787.526000000002</v>
      </c>
      <c r="U30" s="16" cm="1">
        <f t="array" ref="U30">_xll.BDH("NUE US Equity","BS_TOT_NON_CUR_ASSET","FQ1 2023","FQ1 2023","Currency=USD","Period=FQ","BEST_FPERIOD_OVERRIDE=FQ","FILING_STATUS=MR","SCALING_FORMAT=MLN","Sort=A","Dates=H","DateFormat=P","Fill=—","Direction=H","UseDPDF=Y")</f>
        <v>17930.005000000001</v>
      </c>
      <c r="V30" s="16" cm="1">
        <f t="array" ref="V30">_xll.BDH("NUE US Equity","BS_TOT_NON_CUR_ASSET","FQ2 2023","FQ2 2023","Currency=USD","Period=FQ","BEST_FPERIOD_OVERRIDE=FQ","FILING_STATUS=MR","SCALING_FORMAT=MLN","Sort=A","Dates=H","DateFormat=P","Fill=—","Direction=H","UseDPDF=Y")</f>
        <v>18089.407999999999</v>
      </c>
      <c r="W30" s="16" cm="1">
        <f t="array" ref="W30">_xll.BDH("NUE US Equity","BS_TOT_NON_CUR_ASSET","FQ3 2023","FQ3 2023","Currency=USD","Period=FQ","BEST_FPERIOD_OVERRIDE=FQ","FILING_STATUS=MR","SCALING_FORMAT=MLN","Sort=A","Dates=H","DateFormat=P","Fill=—","Direction=H","UseDPDF=Y")</f>
        <v>18318.849999999999</v>
      </c>
      <c r="X30" s="16" cm="1">
        <f t="array" ref="X30">_xll.BDH("NUE US Equity","BS_TOT_NON_CUR_ASSET","FQ4 2023","FQ4 2023","Currency=USD","Period=FQ","BEST_FPERIOD_OVERRIDE=FQ","FILING_STATUS=MR","SCALING_FORMAT=MLN","Sort=A","Dates=H","DateFormat=P","Fill=—","Direction=H","UseDPDF=Y")</f>
        <v>18954.641</v>
      </c>
      <c r="Y30" s="16" cm="1">
        <f t="array" ref="Y30">_xll.BDH("NUE US Equity","BS_TOT_NON_CUR_ASSET","FQ1 2024","FQ1 2024","Currency=USD","Period=FQ","BEST_FPERIOD_OVERRIDE=FQ","FILING_STATUS=MR","SCALING_FORMAT=MLN","Sort=A","Dates=H","DateFormat=P","Fill=—","Direction=H","UseDPDF=Y")</f>
        <v>19289.846000000001</v>
      </c>
      <c r="Z30" s="16" cm="1">
        <f t="array" ref="Z30">_xll.BDH("NUE US Equity","BS_TOT_NON_CUR_ASSET","FQ2 2024","FQ2 2024","Currency=USD","Period=FQ","BEST_FPERIOD_OVERRIDE=FQ","FILING_STATUS=MR","SCALING_FORMAT=MLN","Sort=A","Dates=H","DateFormat=P","Fill=—","Direction=H","UseDPDF=Y")</f>
        <v>19927.102999999999</v>
      </c>
      <c r="AA30" s="16" cm="1">
        <f t="array" ref="AA30">_xll.BDH("NUE US Equity","BS_TOT_NON_CUR_ASSET","FQ3 2024","FQ3 2024","Currency=USD","Period=FQ","BEST_FPERIOD_OVERRIDE=FQ","FILING_STATUS=MR","SCALING_FORMAT=MLN","Sort=A","Dates=H","DateFormat=P","Fill=—","Direction=H","UseDPDF=Y")</f>
        <v>20824.973999999998</v>
      </c>
      <c r="AB30" s="16" cm="1">
        <f t="array" ref="AB30">_xll.BDH("NUE US Equity","BS_TOT_NON_CUR_ASSET","FQ4 2024","FQ4 2024","Currency=USD","Period=FQ","BEST_FPERIOD_OVERRIDE=FQ","FILING_STATUS=MR","SCALING_FORMAT=MLN","Sort=A","Dates=H","DateFormat=P","Fill=—","Direction=H","UseDPDF=Y")</f>
        <v>21465</v>
      </c>
      <c r="AC30" s="16" cm="1">
        <f t="array" ref="AC30">_xll.BDH("NUE US Equity","BS_TOT_NON_CUR_ASSET","FQ1 2025","FQ1 2025","Currency=USD","Period=FQ","BEST_FPERIOD_OVERRIDE=FQ","FILING_STATUS=MR","SCALING_FORMAT=MLN","Sort=A","Dates=H","DateFormat=P","Fill=—","Direction=H","UseDPDF=Y")</f>
        <v>21939</v>
      </c>
      <c r="AD30" s="16" cm="1">
        <f t="array" ref="AD30">_xll.BDH("NUE US Equity","BS_TOT_NON_CUR_ASSET","FQ2 2025","FQ2 2025","Currency=USD","Period=FQ","BEST_FPERIOD_OVERRIDE=FQ","FILING_STATUS=MR","SCALING_FORMAT=MLN","Sort=A","Dates=H","DateFormat=P","Fill=—","Direction=H","UseDPDF=Y")</f>
        <v>22498</v>
      </c>
      <c r="AE30" s="16" cm="1">
        <f t="array" ref="AE30">_xll.BDH("NUE US Equity","BS_TOT_NON_CUR_ASSET","FQ3 2025","FQ3 2025","Currency=USD","Period=FQ","BEST_FPERIOD_OVERRIDE=FQ","FILING_STATUS=MR","SCALING_FORMAT=MLN","Sort=A","Dates=H","DateFormat=P","Fill=—","Direction=H","UseDPDF=Y")</f>
        <v>22968</v>
      </c>
      <c r="AF30" s="16" cm="1">
        <f t="array" ref="AF30">_xll.BDH("NUE US Equity","BS_TOT_NON_CUR_ASSET","FQ4 2025","FQ4 2025","Currency=USD","Period=FQ","BEST_FPERIOD_OVERRIDE=FQ","FILING_STATUS=MR","SCALING_FORMAT=MLN","Sort=A","Dates=H","DateFormat=P","Fill=—","Direction=H","UseDPDF=Y")</f>
        <v>23339</v>
      </c>
    </row>
    <row r="31" spans="1:32" x14ac:dyDescent="0.25">
      <c r="A31" s="6" t="s">
        <v>65</v>
      </c>
      <c r="B31" s="6" t="s">
        <v>113</v>
      </c>
      <c r="C31" s="16" cm="1">
        <f t="array" ref="C31">_xll.BDH("NUE US Equity","BS_TOT_ASSET","FQ3 2018","FQ3 2018","Currency=USD","Period=FQ","BEST_FPERIOD_OVERRIDE=FQ","FILING_STATUS=MR","SCALING_FORMAT=MLN","Sort=A","Dates=H","DateFormat=P","Fill=—","Direction=H","UseDPDF=Y")</f>
        <v>17962.893</v>
      </c>
      <c r="D31" s="16" cm="1">
        <f t="array" ref="D31">_xll.BDH("NUE US Equity","BS_TOT_ASSET","FQ4 2018","FQ4 2018","Currency=USD","Period=FQ","BEST_FPERIOD_OVERRIDE=FQ","FILING_STATUS=MR","SCALING_FORMAT=MLN","Sort=A","Dates=H","DateFormat=P","Fill=—","Direction=H","UseDPDF=Y")</f>
        <v>17920.588</v>
      </c>
      <c r="E31" s="16" cm="1">
        <f t="array" ref="E31">_xll.BDH("NUE US Equity","BS_TOT_ASSET","FQ1 2019","FQ1 2019","Currency=USD","Period=FQ","BEST_FPERIOD_OVERRIDE=FQ","FILING_STATUS=MR","SCALING_FORMAT=MLN","Sort=A","Dates=H","DateFormat=P","Fill=—","Direction=H","UseDPDF=Y")</f>
        <v>18086.698</v>
      </c>
      <c r="F31" s="16" cm="1">
        <f t="array" ref="F31">_xll.BDH("NUE US Equity","BS_TOT_ASSET","FQ2 2019","FQ2 2019","Currency=USD","Period=FQ","BEST_FPERIOD_OVERRIDE=FQ","FILING_STATUS=MR","SCALING_FORMAT=MLN","Sort=A","Dates=H","DateFormat=P","Fill=—","Direction=H","UseDPDF=Y")</f>
        <v>18126.48</v>
      </c>
      <c r="G31" s="16" cm="1">
        <f t="array" ref="G31">_xll.BDH("NUE US Equity","BS_TOT_ASSET","FQ3 2019","FQ3 2019","Currency=USD","Period=FQ","BEST_FPERIOD_OVERRIDE=FQ","FILING_STATUS=MR","SCALING_FORMAT=MLN","Sort=A","Dates=H","DateFormat=P","Fill=—","Direction=H","UseDPDF=Y")</f>
        <v>18506.264999999999</v>
      </c>
      <c r="H31" s="16" cm="1">
        <f t="array" ref="H31">_xll.BDH("NUE US Equity","BS_TOT_ASSET","FQ4 2019","FQ4 2019","Currency=USD","Period=FQ","BEST_FPERIOD_OVERRIDE=FQ","FILING_STATUS=MR","SCALING_FORMAT=MLN","Sort=A","Dates=H","DateFormat=P","Fill=—","Direction=H","UseDPDF=Y")</f>
        <v>18344.666000000001</v>
      </c>
      <c r="I31" s="16" cm="1">
        <f t="array" ref="I31">_xll.BDH("NUE US Equity","BS_TOT_ASSET","FQ1 2020","FQ1 2020","Currency=USD","Period=FQ","BEST_FPERIOD_OVERRIDE=FQ","FILING_STATUS=MR","SCALING_FORMAT=MLN","Sort=A","Dates=H","DateFormat=P","Fill=—","Direction=H","UseDPDF=Y")</f>
        <v>17866.061000000002</v>
      </c>
      <c r="J31" s="16" cm="1">
        <f t="array" ref="J31">_xll.BDH("NUE US Equity","BS_TOT_ASSET","FQ2 2020","FQ2 2020","Currency=USD","Period=FQ","BEST_FPERIOD_OVERRIDE=FQ","FILING_STATUS=MR","SCALING_FORMAT=MLN","Sort=A","Dates=H","DateFormat=P","Fill=—","Direction=H","UseDPDF=Y")</f>
        <v>18765.965</v>
      </c>
      <c r="K31" s="16" cm="1">
        <f t="array" ref="K31">_xll.BDH("NUE US Equity","BS_TOT_ASSET","FQ3 2020","FQ3 2020","Currency=USD","Period=FQ","BEST_FPERIOD_OVERRIDE=FQ","FILING_STATUS=MR","SCALING_FORMAT=MLN","Sort=A","Dates=H","DateFormat=P","Fill=—","Direction=H","UseDPDF=Y")</f>
        <v>19519.276999999998</v>
      </c>
      <c r="L31" s="16" cm="1">
        <f t="array" ref="L31">_xll.BDH("NUE US Equity","BS_TOT_ASSET","FQ4 2020","FQ4 2020","Currency=USD","Period=FQ","BEST_FPERIOD_OVERRIDE=FQ","FILING_STATUS=MR","SCALING_FORMAT=MLN","Sort=A","Dates=H","DateFormat=P","Fill=—","Direction=H","UseDPDF=Y")</f>
        <v>20125.394</v>
      </c>
      <c r="M31" s="16" cm="1">
        <f t="array" ref="M31">_xll.BDH("NUE US Equity","BS_TOT_ASSET","FQ1 2021","FQ1 2021","Currency=USD","Period=FQ","BEST_FPERIOD_OVERRIDE=FQ","FILING_STATUS=MR","SCALING_FORMAT=MLN","Sort=A","Dates=H","DateFormat=P","Fill=—","Direction=H","UseDPDF=Y")</f>
        <v>21172.407999999999</v>
      </c>
      <c r="N31" s="16" cm="1">
        <f t="array" ref="N31">_xll.BDH("NUE US Equity","BS_TOT_ASSET","FQ2 2021","FQ2 2021","Currency=USD","Period=FQ","BEST_FPERIOD_OVERRIDE=FQ","FILING_STATUS=MR","SCALING_FORMAT=MLN","Sort=A","Dates=H","DateFormat=P","Fill=—","Direction=H","UseDPDF=Y")</f>
        <v>22995.581999999999</v>
      </c>
      <c r="O31" s="16" cm="1">
        <f t="array" ref="O31">_xll.BDH("NUE US Equity","BS_TOT_ASSET","FQ3 2021","FQ3 2021","Currency=USD","Period=FQ","BEST_FPERIOD_OVERRIDE=FQ","FILING_STATUS=MR","SCALING_FORMAT=MLN","Sort=A","Dates=H","DateFormat=P","Fill=—","Direction=H","UseDPDF=Y")</f>
        <v>24949.478999999999</v>
      </c>
      <c r="P31" s="16" cm="1">
        <f t="array" ref="P31">_xll.BDH("NUE US Equity","BS_TOT_ASSET","FQ4 2021","FQ4 2021","Currency=USD","Period=FQ","BEST_FPERIOD_OVERRIDE=FQ","FILING_STATUS=MR","SCALING_FORMAT=MLN","Sort=A","Dates=H","DateFormat=P","Fill=—","Direction=H","UseDPDF=Y")</f>
        <v>25823.072</v>
      </c>
      <c r="Q31" s="16" cm="1">
        <f t="array" ref="Q31">_xll.BDH("NUE US Equity","BS_TOT_ASSET","FQ1 2022","FQ1 2022","Currency=USD","Period=FQ","BEST_FPERIOD_OVERRIDE=FQ","FILING_STATUS=MR","SCALING_FORMAT=MLN","Sort=A","Dates=H","DateFormat=P","Fill=—","Direction=H","UseDPDF=Y")</f>
        <v>28632.867999999999</v>
      </c>
      <c r="R31" s="16" cm="1">
        <f t="array" ref="R31">_xll.BDH("NUE US Equity","BS_TOT_ASSET","FQ2 2022","FQ2 2022","Currency=USD","Period=FQ","BEST_FPERIOD_OVERRIDE=FQ","FILING_STATUS=MR","SCALING_FORMAT=MLN","Sort=A","Dates=H","DateFormat=P","Fill=—","Direction=H","UseDPDF=Y")</f>
        <v>31668.456999999999</v>
      </c>
      <c r="S31" s="16" cm="1">
        <f t="array" ref="S31">_xll.BDH("NUE US Equity","BS_TOT_ASSET","FQ3 2022","FQ3 2022","Currency=USD","Period=FQ","BEST_FPERIOD_OVERRIDE=FQ","FILING_STATUS=MR","SCALING_FORMAT=MLN","Sort=A","Dates=H","DateFormat=P","Fill=—","Direction=H","UseDPDF=Y")</f>
        <v>32072.704000000002</v>
      </c>
      <c r="T31" s="16" cm="1">
        <f t="array" ref="T31">_xll.BDH("NUE US Equity","BS_TOT_ASSET","FQ4 2022","FQ4 2022","Currency=USD","Period=FQ","BEST_FPERIOD_OVERRIDE=FQ","FILING_STATUS=MR","SCALING_FORMAT=MLN","Sort=A","Dates=H","DateFormat=P","Fill=—","Direction=H","UseDPDF=Y")</f>
        <v>32479.21</v>
      </c>
      <c r="U31" s="16" cm="1">
        <f t="array" ref="U31">_xll.BDH("NUE US Equity","BS_TOT_ASSET","FQ1 2023","FQ1 2023","Currency=USD","Period=FQ","BEST_FPERIOD_OVERRIDE=FQ","FILING_STATUS=MR","SCALING_FORMAT=MLN","Sort=A","Dates=H","DateFormat=P","Fill=—","Direction=H","UseDPDF=Y")</f>
        <v>32246.39</v>
      </c>
      <c r="V31" s="16" cm="1">
        <f t="array" ref="V31">_xll.BDH("NUE US Equity","BS_TOT_ASSET","FQ2 2023","FQ2 2023","Currency=USD","Period=FQ","BEST_FPERIOD_OVERRIDE=FQ","FILING_STATUS=MR","SCALING_FORMAT=MLN","Sort=A","Dates=H","DateFormat=P","Fill=—","Direction=H","UseDPDF=Y")</f>
        <v>33379.915999999997</v>
      </c>
      <c r="W31" s="16" cm="1">
        <f t="array" ref="W31">_xll.BDH("NUE US Equity","BS_TOT_ASSET","FQ3 2023","FQ3 2023","Currency=USD","Period=FQ","BEST_FPERIOD_OVERRIDE=FQ","FILING_STATUS=MR","SCALING_FORMAT=MLN","Sort=A","Dates=H","DateFormat=P","Fill=—","Direction=H","UseDPDF=Y")</f>
        <v>34267.786</v>
      </c>
      <c r="X31" s="16" cm="1">
        <f t="array" ref="X31">_xll.BDH("NUE US Equity","BS_TOT_ASSET","FQ4 2023","FQ4 2023","Currency=USD","Period=FQ","BEST_FPERIOD_OVERRIDE=FQ","FILING_STATUS=MR","SCALING_FORMAT=MLN","Sort=A","Dates=H","DateFormat=P","Fill=—","Direction=H","UseDPDF=Y")</f>
        <v>35340.499000000003</v>
      </c>
      <c r="Y31" s="16" cm="1">
        <f t="array" ref="Y31">_xll.BDH("NUE US Equity","BS_TOT_ASSET","FQ1 2024","FQ1 2024","Currency=USD","Period=FQ","BEST_FPERIOD_OVERRIDE=FQ","FILING_STATUS=MR","SCALING_FORMAT=MLN","Sort=A","Dates=H","DateFormat=P","Fill=—","Direction=H","UseDPDF=Y")</f>
        <v>33932.525000000001</v>
      </c>
      <c r="Z31" s="16" cm="1">
        <f t="array" ref="Z31">_xll.BDH("NUE US Equity","BS_TOT_ASSET","FQ2 2024","FQ2 2024","Currency=USD","Period=FQ","BEST_FPERIOD_OVERRIDE=FQ","FILING_STATUS=MR","SCALING_FORMAT=MLN","Sort=A","Dates=H","DateFormat=P","Fill=—","Direction=H","UseDPDF=Y")</f>
        <v>34185.224999999999</v>
      </c>
      <c r="AA31" s="16" cm="1">
        <f t="array" ref="AA31">_xll.BDH("NUE US Equity","BS_TOT_ASSET","FQ3 2024","FQ3 2024","Currency=USD","Period=FQ","BEST_FPERIOD_OVERRIDE=FQ","FILING_STATUS=MR","SCALING_FORMAT=MLN","Sort=A","Dates=H","DateFormat=P","Fill=—","Direction=H","UseDPDF=Y")</f>
        <v>34346.190999999999</v>
      </c>
      <c r="AB31" s="16" cm="1">
        <f t="array" ref="AB31">_xll.BDH("NUE US Equity","BS_TOT_ASSET","FQ4 2024","FQ4 2024","Currency=USD","Period=FQ","BEST_FPERIOD_OVERRIDE=FQ","FILING_STATUS=MR","SCALING_FORMAT=MLN","Sort=A","Dates=H","DateFormat=P","Fill=—","Direction=H","UseDPDF=Y")</f>
        <v>33940</v>
      </c>
      <c r="AC31" s="16" cm="1">
        <f t="array" ref="AC31">_xll.BDH("NUE US Equity","BS_TOT_ASSET","FQ1 2025","FQ1 2025","Currency=USD","Period=FQ","BEST_FPERIOD_OVERRIDE=FQ","FILING_STATUS=MR","SCALING_FORMAT=MLN","Sort=A","Dates=H","DateFormat=P","Fill=—","Direction=H","UseDPDF=Y")</f>
        <v>34699</v>
      </c>
      <c r="AD31" s="16" cm="1">
        <f t="array" ref="AD31">_xll.BDH("NUE US Equity","BS_TOT_ASSET","FQ2 2025","FQ2 2025","Currency=USD","Period=FQ","BEST_FPERIOD_OVERRIDE=FQ","FILING_STATUS=MR","SCALING_FORMAT=MLN","Sort=A","Dates=H","DateFormat=P","Fill=—","Direction=H","UseDPDF=Y")</f>
        <v>34217</v>
      </c>
      <c r="AE31" s="16" cm="1">
        <f t="array" ref="AE31">_xll.BDH("NUE US Equity","BS_TOT_ASSET","FQ3 2025","FQ3 2025","Currency=USD","Period=FQ","BEST_FPERIOD_OVERRIDE=FQ","FILING_STATUS=MR","SCALING_FORMAT=MLN","Sort=A","Dates=H","DateFormat=P","Fill=—","Direction=H","UseDPDF=Y")</f>
        <v>34776</v>
      </c>
      <c r="AF31" s="16" cm="1">
        <f t="array" ref="AF31">_xll.BDH("NUE US Equity","BS_TOT_ASSET","FQ4 2025","FQ4 2025","Currency=USD","Period=FQ","BEST_FPERIOD_OVERRIDE=FQ","FILING_STATUS=MR","SCALING_FORMAT=MLN","Sort=A","Dates=H","DateFormat=P","Fill=—","Direction=H","UseDPDF=Y")</f>
        <v>35104</v>
      </c>
    </row>
    <row r="32" spans="1:32" x14ac:dyDescent="0.25">
      <c r="A32" s="6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</row>
    <row r="33" spans="1:32" x14ac:dyDescent="0.25">
      <c r="A33" s="6" t="s">
        <v>114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</row>
    <row r="34" spans="1:32" x14ac:dyDescent="0.25">
      <c r="A34" s="10" t="s">
        <v>115</v>
      </c>
      <c r="B34" s="10" t="s">
        <v>116</v>
      </c>
      <c r="C34" s="13" cm="1">
        <f t="array" ref="C34">_xll.BDH("NUE US Equity","ACCT_PAYABLE_ACCRUALS_DETAILED","FQ3 2018","FQ3 2018","Currency=USD","Period=FQ","BEST_FPERIOD_OVERRIDE=FQ","FILING_STATUS=MR","SCALING_FORMAT=MLN","Sort=A","Dates=H","DateFormat=P","Fill=—","Direction=H","UseDPDF=Y")</f>
        <v>2744.366</v>
      </c>
      <c r="D34" s="13" cm="1">
        <f t="array" ref="D34">_xll.BDH("NUE US Equity","ACCT_PAYABLE_ACCRUALS_DETAILED","FQ4 2018","FQ4 2018","Currency=USD","Period=FQ","BEST_FPERIOD_OVERRIDE=FQ","FILING_STATUS=MR","SCALING_FORMAT=MLN","Sort=A","Dates=H","DateFormat=P","Fill=—","Direction=H","UseDPDF=Y")</f>
        <v>2739.83</v>
      </c>
      <c r="E34" s="13" cm="1">
        <f t="array" ref="E34">_xll.BDH("NUE US Equity","ACCT_PAYABLE_ACCRUALS_DETAILED","FQ1 2019","FQ1 2019","Currency=USD","Period=FQ","BEST_FPERIOD_OVERRIDE=FQ","FILING_STATUS=MR","SCALING_FORMAT=MLN","Sort=A","Dates=H","DateFormat=P","Fill=—","Direction=H","UseDPDF=Y")</f>
        <v>2461.1509999999998</v>
      </c>
      <c r="F34" s="13" cm="1">
        <f t="array" ref="F34">_xll.BDH("NUE US Equity","ACCT_PAYABLE_ACCRUALS_DETAILED","FQ2 2019","FQ2 2019","Currency=USD","Period=FQ","BEST_FPERIOD_OVERRIDE=FQ","FILING_STATUS=MR","SCALING_FORMAT=MLN","Sort=A","Dates=H","DateFormat=P","Fill=—","Direction=H","UseDPDF=Y")</f>
        <v>2279.2739999999999</v>
      </c>
      <c r="G34" s="13" cm="1">
        <f t="array" ref="G34">_xll.BDH("NUE US Equity","ACCT_PAYABLE_ACCRUALS_DETAILED","FQ3 2019","FQ3 2019","Currency=USD","Period=FQ","BEST_FPERIOD_OVERRIDE=FQ","FILING_STATUS=MR","SCALING_FORMAT=MLN","Sort=A","Dates=H","DateFormat=P","Fill=—","Direction=H","UseDPDF=Y")</f>
        <v>2466.35</v>
      </c>
      <c r="H34" s="13" cm="1">
        <f t="array" ref="H34">_xll.BDH("NUE US Equity","ACCT_PAYABLE_ACCRUALS_DETAILED","FQ4 2019","FQ4 2019","Currency=USD","Period=FQ","BEST_FPERIOD_OVERRIDE=FQ","FILING_STATUS=MR","SCALING_FORMAT=MLN","Sort=A","Dates=H","DateFormat=P","Fill=—","Direction=H","UseDPDF=Y")</f>
        <v>2326.7550000000001</v>
      </c>
      <c r="I34" s="13" cm="1">
        <f t="array" ref="I34">_xll.BDH("NUE US Equity","ACCT_PAYABLE_ACCRUALS_DETAILED","FQ1 2020","FQ1 2020","Currency=USD","Period=FQ","BEST_FPERIOD_OVERRIDE=FQ","FILING_STATUS=MR","SCALING_FORMAT=MLN","Sort=A","Dates=H","DateFormat=P","Fill=—","Direction=H","UseDPDF=Y")</f>
        <v>2117.2139999999999</v>
      </c>
      <c r="J34" s="13" cm="1">
        <f t="array" ref="J34">_xll.BDH("NUE US Equity","ACCT_PAYABLE_ACCRUALS_DETAILED","FQ2 2020","FQ2 2020","Currency=USD","Period=FQ","BEST_FPERIOD_OVERRIDE=FQ","FILING_STATUS=MR","SCALING_FORMAT=MLN","Sort=A","Dates=H","DateFormat=P","Fill=—","Direction=H","UseDPDF=Y")</f>
        <v>1870.865</v>
      </c>
      <c r="K34" s="13" cm="1">
        <f t="array" ref="K34">_xll.BDH("NUE US Equity","ACCT_PAYABLE_ACCRUALS_DETAILED","FQ3 2020","FQ3 2020","Currency=USD","Period=FQ","BEST_FPERIOD_OVERRIDE=FQ","FILING_STATUS=MR","SCALING_FORMAT=MLN","Sort=A","Dates=H","DateFormat=P","Fill=—","Direction=H","UseDPDF=Y")</f>
        <v>2299.0419999999999</v>
      </c>
      <c r="L34" s="13" cm="1">
        <f t="array" ref="L34">_xll.BDH("NUE US Equity","ACCT_PAYABLE_ACCRUALS_DETAILED","FQ4 2020","FQ4 2020","Currency=USD","Period=FQ","BEST_FPERIOD_OVERRIDE=FQ","FILING_STATUS=MR","SCALING_FORMAT=MLN","Sort=A","Dates=H","DateFormat=P","Fill=—","Direction=H","UseDPDF=Y")</f>
        <v>2521.998</v>
      </c>
      <c r="M34" s="13" cm="1">
        <f t="array" ref="M34">_xll.BDH("NUE US Equity","ACCT_PAYABLE_ACCRUALS_DETAILED","FQ1 2021","FQ1 2021","Currency=USD","Period=FQ","BEST_FPERIOD_OVERRIDE=FQ","FILING_STATUS=MR","SCALING_FORMAT=MLN","Sort=A","Dates=H","DateFormat=P","Fill=—","Direction=H","UseDPDF=Y")</f>
        <v>2894.0949999999998</v>
      </c>
      <c r="N34" s="13" cm="1">
        <f t="array" ref="N34">_xll.BDH("NUE US Equity","ACCT_PAYABLE_ACCRUALS_DETAILED","FQ2 2021","FQ2 2021","Currency=USD","Period=FQ","BEST_FPERIOD_OVERRIDE=FQ","FILING_STATUS=MR","SCALING_FORMAT=MLN","Sort=A","Dates=H","DateFormat=P","Fill=—","Direction=H","UseDPDF=Y")</f>
        <v>3762.5070000000001</v>
      </c>
      <c r="O34" s="13" cm="1">
        <f t="array" ref="O34">_xll.BDH("NUE US Equity","ACCT_PAYABLE_ACCRUALS_DETAILED","FQ3 2021","FQ3 2021","Currency=USD","Period=FQ","BEST_FPERIOD_OVERRIDE=FQ","FILING_STATUS=MR","SCALING_FORMAT=MLN","Sort=A","Dates=H","DateFormat=P","Fill=—","Direction=H","UseDPDF=Y")</f>
        <v>4075.5990000000002</v>
      </c>
      <c r="P34" s="13" cm="1">
        <f t="array" ref="P34">_xll.BDH("NUE US Equity","ACCT_PAYABLE_ACCRUALS_DETAILED","FQ4 2021","FQ4 2021","Currency=USD","Period=FQ","BEST_FPERIOD_OVERRIDE=FQ","FILING_STATUS=MR","SCALING_FORMAT=MLN","Sort=A","Dates=H","DateFormat=P","Fill=—","Direction=H","UseDPDF=Y")</f>
        <v>4398.598</v>
      </c>
      <c r="Q34" s="13" cm="1">
        <f t="array" ref="Q34">_xll.BDH("NUE US Equity","ACCT_PAYABLE_ACCRUALS_DETAILED","FQ1 2022","FQ1 2022","Currency=USD","Period=FQ","BEST_FPERIOD_OVERRIDE=FQ","FILING_STATUS=MR","SCALING_FORMAT=MLN","Sort=A","Dates=H","DateFormat=P","Fill=—","Direction=H","UseDPDF=Y")</f>
        <v>4412.3209999999999</v>
      </c>
      <c r="R34" s="13" cm="1">
        <f t="array" ref="R34">_xll.BDH("NUE US Equity","ACCT_PAYABLE_ACCRUALS_DETAILED","FQ2 2022","FQ2 2022","Currency=USD","Period=FQ","BEST_FPERIOD_OVERRIDE=FQ","FILING_STATUS=MR","SCALING_FORMAT=MLN","Sort=A","Dates=H","DateFormat=P","Fill=—","Direction=H","UseDPDF=Y")</f>
        <v>4636.1540000000005</v>
      </c>
      <c r="S34" s="13" cm="1">
        <f t="array" ref="S34">_xll.BDH("NUE US Equity","ACCT_PAYABLE_ACCRUALS_DETAILED","FQ3 2022","FQ3 2022","Currency=USD","Period=FQ","BEST_FPERIOD_OVERRIDE=FQ","FILING_STATUS=MR","SCALING_FORMAT=MLN","Sort=A","Dates=H","DateFormat=P","Fill=—","Direction=H","UseDPDF=Y")</f>
        <v>4545.0789999999997</v>
      </c>
      <c r="T34" s="13" cm="1">
        <f t="array" ref="T34">_xll.BDH("NUE US Equity","ACCT_PAYABLE_ACCRUALS_DETAILED","FQ4 2022","FQ4 2022","Currency=USD","Period=FQ","BEST_FPERIOD_OVERRIDE=FQ","FILING_STATUS=MR","SCALING_FORMAT=MLN","Sort=A","Dates=H","DateFormat=P","Fill=—","Direction=H","UseDPDF=Y")</f>
        <v>4175.4780000000001</v>
      </c>
      <c r="U34" s="13" cm="1">
        <f t="array" ref="U34">_xll.BDH("NUE US Equity","ACCT_PAYABLE_ACCRUALS_DETAILED","FQ1 2023","FQ1 2023","Currency=USD","Period=FQ","BEST_FPERIOD_OVERRIDE=FQ","FILING_STATUS=MR","SCALING_FORMAT=MLN","Sort=A","Dates=H","DateFormat=P","Fill=—","Direction=H","UseDPDF=Y")</f>
        <v>3769.6210000000001</v>
      </c>
      <c r="V34" s="13" cm="1">
        <f t="array" ref="V34">_xll.BDH("NUE US Equity","ACCT_PAYABLE_ACCRUALS_DETAILED","FQ2 2023","FQ2 2023","Currency=USD","Period=FQ","BEST_FPERIOD_OVERRIDE=FQ","FILING_STATUS=MR","SCALING_FORMAT=MLN","Sort=A","Dates=H","DateFormat=P","Fill=—","Direction=H","UseDPDF=Y")</f>
        <v>3945.127</v>
      </c>
      <c r="W34" s="13" cm="1">
        <f t="array" ref="W34">_xll.BDH("NUE US Equity","ACCT_PAYABLE_ACCRUALS_DETAILED","FQ3 2023","FQ3 2023","Currency=USD","Period=FQ","BEST_FPERIOD_OVERRIDE=FQ","FILING_STATUS=MR","SCALING_FORMAT=MLN","Sort=A","Dates=H","DateFormat=P","Fill=—","Direction=H","UseDPDF=Y")</f>
        <v>4218.6310000000003</v>
      </c>
      <c r="X34" s="13" cm="1">
        <f t="array" ref="X34">_xll.BDH("NUE US Equity","ACCT_PAYABLE_ACCRUALS_DETAILED","FQ4 2023","FQ4 2023","Currency=USD","Period=FQ","BEST_FPERIOD_OVERRIDE=FQ","FILING_STATUS=MR","SCALING_FORMAT=MLN","Sort=A","Dates=H","DateFormat=P","Fill=—","Direction=H","UseDPDF=Y")</f>
        <v>4361.6890000000003</v>
      </c>
      <c r="Y34" s="13" cm="1">
        <f t="array" ref="Y34">_xll.BDH("NUE US Equity","ACCT_PAYABLE_ACCRUALS_DETAILED","FQ1 2024","FQ1 2024","Currency=USD","Period=FQ","BEST_FPERIOD_OVERRIDE=FQ","FILING_STATUS=MR","SCALING_FORMAT=MLN","Sort=A","Dates=H","DateFormat=P","Fill=—","Direction=H","UseDPDF=Y")</f>
        <v>3419.0279999999998</v>
      </c>
      <c r="Z34" s="13" cm="1">
        <f t="array" ref="Z34">_xll.BDH("NUE US Equity","ACCT_PAYABLE_ACCRUALS_DETAILED","FQ2 2024","FQ2 2024","Currency=USD","Period=FQ","BEST_FPERIOD_OVERRIDE=FQ","FILING_STATUS=MR","SCALING_FORMAT=MLN","Sort=A","Dates=H","DateFormat=P","Fill=—","Direction=H","UseDPDF=Y")</f>
        <v>3613.4479999999999</v>
      </c>
      <c r="AA34" s="13" cm="1">
        <f t="array" ref="AA34">_xll.BDH("NUE US Equity","ACCT_PAYABLE_ACCRUALS_DETAILED","FQ3 2024","FQ3 2024","Currency=USD","Period=FQ","BEST_FPERIOD_OVERRIDE=FQ","FILING_STATUS=MR","SCALING_FORMAT=MLN","Sort=A","Dates=H","DateFormat=P","Fill=—","Direction=H","UseDPDF=Y")</f>
        <v>3947.4569999999999</v>
      </c>
      <c r="AB34" s="13" cm="1">
        <f t="array" ref="AB34">_xll.BDH("NUE US Equity","ACCT_PAYABLE_ACCRUALS_DETAILED","FQ4 2024","FQ4 2024","Currency=USD","Period=FQ","BEST_FPERIOD_OVERRIDE=FQ","FILING_STATUS=MR","SCALING_FORMAT=MLN","Sort=A","Dates=H","DateFormat=P","Fill=—","Direction=H","UseDPDF=Y")</f>
        <v>3669</v>
      </c>
      <c r="AC34" s="13" cm="1">
        <f t="array" ref="AC34">_xll.BDH("NUE US Equity","ACCT_PAYABLE_ACCRUALS_DETAILED","FQ1 2025","FQ1 2025","Currency=USD","Period=FQ","BEST_FPERIOD_OVERRIDE=FQ","FILING_STATUS=MR","SCALING_FORMAT=MLN","Sort=A","Dates=H","DateFormat=P","Fill=—","Direction=H","UseDPDF=Y")</f>
        <v>3865</v>
      </c>
      <c r="AD34" s="13" cm="1">
        <f t="array" ref="AD34">_xll.BDH("NUE US Equity","ACCT_PAYABLE_ACCRUALS_DETAILED","FQ2 2025","FQ2 2025","Currency=USD","Period=FQ","BEST_FPERIOD_OVERRIDE=FQ","FILING_STATUS=MR","SCALING_FORMAT=MLN","Sort=A","Dates=H","DateFormat=P","Fill=—","Direction=H","UseDPDF=Y")</f>
        <v>3949</v>
      </c>
      <c r="AE34" s="13" cm="1">
        <f t="array" ref="AE34">_xll.BDH("NUE US Equity","ACCT_PAYABLE_ACCRUALS_DETAILED","FQ3 2025","FQ3 2025","Currency=USD","Period=FQ","BEST_FPERIOD_OVERRIDE=FQ","FILING_STATUS=MR","SCALING_FORMAT=MLN","Sort=A","Dates=H","DateFormat=P","Fill=—","Direction=H","UseDPDF=Y")</f>
        <v>4085</v>
      </c>
      <c r="AF34" s="13" cm="1">
        <f t="array" ref="AF34">_xll.BDH("NUE US Equity","ACCT_PAYABLE_ACCRUALS_DETAILED","FQ4 2025","FQ4 2025","Currency=USD","Period=FQ","BEST_FPERIOD_OVERRIDE=FQ","FILING_STATUS=MR","SCALING_FORMAT=MLN","Sort=A","Dates=H","DateFormat=P","Fill=—","Direction=H","UseDPDF=Y")</f>
        <v>3792</v>
      </c>
    </row>
    <row r="35" spans="1:32" x14ac:dyDescent="0.25">
      <c r="A35" s="10" t="s">
        <v>117</v>
      </c>
      <c r="B35" s="10" t="s">
        <v>118</v>
      </c>
      <c r="C35" s="13" cm="1">
        <f t="array" ref="C35">_xll.BDH("NUE US Equity","BS_ACCT_PAYABLE","FQ3 2018","FQ3 2018","Currency=USD","Period=FQ","BEST_FPERIOD_OVERRIDE=FQ","FILING_STATUS=MR","SCALING_FORMAT=MLN","Sort=A","Dates=H","DateFormat=P","Fill=—","Direction=H","UseDPDF=Y")</f>
        <v>1447.528</v>
      </c>
      <c r="D35" s="13" cm="1">
        <f t="array" ref="D35">_xll.BDH("NUE US Equity","BS_ACCT_PAYABLE","FQ4 2018","FQ4 2018","Currency=USD","Period=FQ","BEST_FPERIOD_OVERRIDE=FQ","FILING_STATUS=MR","SCALING_FORMAT=MLN","Sort=A","Dates=H","DateFormat=P","Fill=—","Direction=H","UseDPDF=Y")</f>
        <v>1428.191</v>
      </c>
      <c r="E35" s="13" cm="1">
        <f t="array" ref="E35">_xll.BDH("NUE US Equity","BS_ACCT_PAYABLE","FQ1 2019","FQ1 2019","Currency=USD","Period=FQ","BEST_FPERIOD_OVERRIDE=FQ","FILING_STATUS=MR","SCALING_FORMAT=MLN","Sort=A","Dates=H","DateFormat=P","Fill=—","Direction=H","UseDPDF=Y")</f>
        <v>1429.7760000000001</v>
      </c>
      <c r="F35" s="13" cm="1">
        <f t="array" ref="F35">_xll.BDH("NUE US Equity","BS_ACCT_PAYABLE","FQ2 2019","FQ2 2019","Currency=USD","Period=FQ","BEST_FPERIOD_OVERRIDE=FQ","FILING_STATUS=MR","SCALING_FORMAT=MLN","Sort=A","Dates=H","DateFormat=P","Fill=—","Direction=H","UseDPDF=Y")</f>
        <v>1219.7919999999999</v>
      </c>
      <c r="G35" s="13" cm="1">
        <f t="array" ref="G35">_xll.BDH("NUE US Equity","BS_ACCT_PAYABLE","FQ3 2019","FQ3 2019","Currency=USD","Period=FQ","BEST_FPERIOD_OVERRIDE=FQ","FILING_STATUS=MR","SCALING_FORMAT=MLN","Sort=A","Dates=H","DateFormat=P","Fill=—","Direction=H","UseDPDF=Y")</f>
        <v>1310.67</v>
      </c>
      <c r="H35" s="13" cm="1">
        <f t="array" ref="H35">_xll.BDH("NUE US Equity","BS_ACCT_PAYABLE","FQ4 2019","FQ4 2019","Currency=USD","Period=FQ","BEST_FPERIOD_OVERRIDE=FQ","FILING_STATUS=MR","SCALING_FORMAT=MLN","Sort=A","Dates=H","DateFormat=P","Fill=—","Direction=H","UseDPDF=Y")</f>
        <v>1201.6980000000001</v>
      </c>
      <c r="I35" s="13" cm="1">
        <f t="array" ref="I35">_xll.BDH("NUE US Equity","BS_ACCT_PAYABLE","FQ1 2020","FQ1 2020","Currency=USD","Period=FQ","BEST_FPERIOD_OVERRIDE=FQ","FILING_STATUS=MR","SCALING_FORMAT=MLN","Sort=A","Dates=H","DateFormat=P","Fill=—","Direction=H","UseDPDF=Y")</f>
        <v>1189.6379999999999</v>
      </c>
      <c r="J35" s="13" cm="1">
        <f t="array" ref="J35">_xll.BDH("NUE US Equity","BS_ACCT_PAYABLE","FQ2 2020","FQ2 2020","Currency=USD","Period=FQ","BEST_FPERIOD_OVERRIDE=FQ","FILING_STATUS=MR","SCALING_FORMAT=MLN","Sort=A","Dates=H","DateFormat=P","Fill=—","Direction=H","UseDPDF=Y")</f>
        <v>902.07100000000003</v>
      </c>
      <c r="K35" s="13" cm="1">
        <f t="array" ref="K35">_xll.BDH("NUE US Equity","BS_ACCT_PAYABLE","FQ3 2020","FQ3 2020","Currency=USD","Period=FQ","BEST_FPERIOD_OVERRIDE=FQ","FILING_STATUS=MR","SCALING_FORMAT=MLN","Sort=A","Dates=H","DateFormat=P","Fill=—","Direction=H","UseDPDF=Y")</f>
        <v>1210.9870000000001</v>
      </c>
      <c r="L35" s="13" cm="1">
        <f t="array" ref="L35">_xll.BDH("NUE US Equity","BS_ACCT_PAYABLE","FQ4 2020","FQ4 2020","Currency=USD","Period=FQ","BEST_FPERIOD_OVERRIDE=FQ","FILING_STATUS=MR","SCALING_FORMAT=MLN","Sort=A","Dates=H","DateFormat=P","Fill=—","Direction=H","UseDPDF=Y")</f>
        <v>1432.1590000000001</v>
      </c>
      <c r="M35" s="13" cm="1">
        <f t="array" ref="M35">_xll.BDH("NUE US Equity","BS_ACCT_PAYABLE","FQ1 2021","FQ1 2021","Currency=USD","Period=FQ","BEST_FPERIOD_OVERRIDE=FQ","FILING_STATUS=MR","SCALING_FORMAT=MLN","Sort=A","Dates=H","DateFormat=P","Fill=—","Direction=H","UseDPDF=Y")</f>
        <v>1662.8320000000001</v>
      </c>
      <c r="N35" s="13" cm="1">
        <f t="array" ref="N35">_xll.BDH("NUE US Equity","BS_ACCT_PAYABLE","FQ2 2021","FQ2 2021","Currency=USD","Period=FQ","BEST_FPERIOD_OVERRIDE=FQ","FILING_STATUS=MR","SCALING_FORMAT=MLN","Sort=A","Dates=H","DateFormat=P","Fill=—","Direction=H","UseDPDF=Y")</f>
        <v>2204.1370000000002</v>
      </c>
      <c r="O35" s="13" cm="1">
        <f t="array" ref="O35">_xll.BDH("NUE US Equity","BS_ACCT_PAYABLE","FQ3 2021","FQ3 2021","Currency=USD","Period=FQ","BEST_FPERIOD_OVERRIDE=FQ","FILING_STATUS=MR","SCALING_FORMAT=MLN","Sort=A","Dates=H","DateFormat=P","Fill=—","Direction=H","UseDPDF=Y")</f>
        <v>1870.0350000000001</v>
      </c>
      <c r="P35" s="13" cm="1">
        <f t="array" ref="P35">_xll.BDH("NUE US Equity","BS_ACCT_PAYABLE","FQ4 2021","FQ4 2021","Currency=USD","Period=FQ","BEST_FPERIOD_OVERRIDE=FQ","FILING_STATUS=MR","SCALING_FORMAT=MLN","Sort=A","Dates=H","DateFormat=P","Fill=—","Direction=H","UseDPDF=Y")</f>
        <v>1974.0409999999999</v>
      </c>
      <c r="Q35" s="13" cm="1">
        <f t="array" ref="Q35">_xll.BDH("NUE US Equity","BS_ACCT_PAYABLE","FQ1 2022","FQ1 2022","Currency=USD","Period=FQ","BEST_FPERIOD_OVERRIDE=FQ","FILING_STATUS=MR","SCALING_FORMAT=MLN","Sort=A","Dates=H","DateFormat=P","Fill=—","Direction=H","UseDPDF=Y")</f>
        <v>1900.5360000000001</v>
      </c>
      <c r="R35" s="13" cm="1">
        <f t="array" ref="R35">_xll.BDH("NUE US Equity","BS_ACCT_PAYABLE","FQ2 2022","FQ2 2022","Currency=USD","Period=FQ","BEST_FPERIOD_OVERRIDE=FQ","FILING_STATUS=MR","SCALING_FORMAT=MLN","Sort=A","Dates=H","DateFormat=P","Fill=—","Direction=H","UseDPDF=Y")</f>
        <v>2315.7959999999998</v>
      </c>
      <c r="S35" s="13" cm="1">
        <f t="array" ref="S35">_xll.BDH("NUE US Equity","BS_ACCT_PAYABLE","FQ3 2022","FQ3 2022","Currency=USD","Period=FQ","BEST_FPERIOD_OVERRIDE=FQ","FILING_STATUS=MR","SCALING_FORMAT=MLN","Sort=A","Dates=H","DateFormat=P","Fill=—","Direction=H","UseDPDF=Y")</f>
        <v>1810.3879999999999</v>
      </c>
      <c r="T35" s="13" cm="1">
        <f t="array" ref="T35">_xll.BDH("NUE US Equity","BS_ACCT_PAYABLE","FQ4 2022","FQ4 2022","Currency=USD","Period=FQ","BEST_FPERIOD_OVERRIDE=FQ","FILING_STATUS=MR","SCALING_FORMAT=MLN","Sort=A","Dates=H","DateFormat=P","Fill=—","Direction=H","UseDPDF=Y")</f>
        <v>1649.5229999999999</v>
      </c>
      <c r="U35" s="13" cm="1">
        <f t="array" ref="U35">_xll.BDH("NUE US Equity","BS_ACCT_PAYABLE","FQ1 2023","FQ1 2023","Currency=USD","Period=FQ","BEST_FPERIOD_OVERRIDE=FQ","FILING_STATUS=MR","SCALING_FORMAT=MLN","Sort=A","Dates=H","DateFormat=P","Fill=—","Direction=H","UseDPDF=Y")</f>
        <v>2012.0920000000001</v>
      </c>
      <c r="V35" s="13" cm="1">
        <f t="array" ref="V35">_xll.BDH("NUE US Equity","BS_ACCT_PAYABLE","FQ2 2023","FQ2 2023","Currency=USD","Period=FQ","BEST_FPERIOD_OVERRIDE=FQ","FILING_STATUS=MR","SCALING_FORMAT=MLN","Sort=A","Dates=H","DateFormat=P","Fill=—","Direction=H","UseDPDF=Y")</f>
        <v>1855.502</v>
      </c>
      <c r="W35" s="13" cm="1">
        <f t="array" ref="W35">_xll.BDH("NUE US Equity","BS_ACCT_PAYABLE","FQ3 2023","FQ3 2023","Currency=USD","Period=FQ","BEST_FPERIOD_OVERRIDE=FQ","FILING_STATUS=MR","SCALING_FORMAT=MLN","Sort=A","Dates=H","DateFormat=P","Fill=—","Direction=H","UseDPDF=Y")</f>
        <v>1854.7070000000001</v>
      </c>
      <c r="X35" s="13" cm="1">
        <f t="array" ref="X35">_xll.BDH("NUE US Equity","BS_ACCT_PAYABLE","FQ4 2023","FQ4 2023","Currency=USD","Period=FQ","BEST_FPERIOD_OVERRIDE=FQ","FILING_STATUS=MR","SCALING_FORMAT=MLN","Sort=A","Dates=H","DateFormat=P","Fill=—","Direction=H","UseDPDF=Y")</f>
        <v>2020.289</v>
      </c>
      <c r="Y35" s="13" cm="1">
        <f t="array" ref="Y35">_xll.BDH("NUE US Equity","BS_ACCT_PAYABLE","FQ1 2024","FQ1 2024","Currency=USD","Period=FQ","BEST_FPERIOD_OVERRIDE=FQ","FILING_STATUS=MR","SCALING_FORMAT=MLN","Sort=A","Dates=H","DateFormat=P","Fill=—","Direction=H","UseDPDF=Y")</f>
        <v>1616.366</v>
      </c>
      <c r="Z35" s="13" cm="1">
        <f t="array" ref="Z35">_xll.BDH("NUE US Equity","BS_ACCT_PAYABLE","FQ2 2024","FQ2 2024","Currency=USD","Period=FQ","BEST_FPERIOD_OVERRIDE=FQ","FILING_STATUS=MR","SCALING_FORMAT=MLN","Sort=A","Dates=H","DateFormat=P","Fill=—","Direction=H","UseDPDF=Y")</f>
        <v>1744.6569999999999</v>
      </c>
      <c r="AA35" s="13" cm="1">
        <f t="array" ref="AA35">_xll.BDH("NUE US Equity","BS_ACCT_PAYABLE","FQ3 2024","FQ3 2024","Currency=USD","Period=FQ","BEST_FPERIOD_OVERRIDE=FQ","FILING_STATUS=MR","SCALING_FORMAT=MLN","Sort=A","Dates=H","DateFormat=P","Fill=—","Direction=H","UseDPDF=Y")</f>
        <v>1902.9269999999999</v>
      </c>
      <c r="AB35" s="13" cm="1">
        <f t="array" ref="AB35">_xll.BDH("NUE US Equity","BS_ACCT_PAYABLE","FQ4 2024","FQ4 2024","Currency=USD","Period=FQ","BEST_FPERIOD_OVERRIDE=FQ","FILING_STATUS=MR","SCALING_FORMAT=MLN","Sort=A","Dates=H","DateFormat=P","Fill=—","Direction=H","UseDPDF=Y")</f>
        <v>1832</v>
      </c>
      <c r="AC35" s="13" cm="1">
        <f t="array" ref="AC35">_xll.BDH("NUE US Equity","BS_ACCT_PAYABLE","FQ1 2025","FQ1 2025","Currency=USD","Period=FQ","BEST_FPERIOD_OVERRIDE=FQ","FILING_STATUS=MR","SCALING_FORMAT=MLN","Sort=A","Dates=H","DateFormat=P","Fill=—","Direction=H","UseDPDF=Y")</f>
        <v>2272</v>
      </c>
      <c r="AD35" s="13" cm="1">
        <f t="array" ref="AD35">_xll.BDH("NUE US Equity","BS_ACCT_PAYABLE","FQ2 2025","FQ2 2025","Currency=USD","Period=FQ","BEST_FPERIOD_OVERRIDE=FQ","FILING_STATUS=MR","SCALING_FORMAT=MLN","Sort=A","Dates=H","DateFormat=P","Fill=—","Direction=H","UseDPDF=Y")</f>
        <v>2183</v>
      </c>
      <c r="AE35" s="13" cm="1">
        <f t="array" ref="AE35">_xll.BDH("NUE US Equity","BS_ACCT_PAYABLE","FQ3 2025","FQ3 2025","Currency=USD","Period=FQ","BEST_FPERIOD_OVERRIDE=FQ","FILING_STATUS=MR","SCALING_FORMAT=MLN","Sort=A","Dates=H","DateFormat=P","Fill=—","Direction=H","UseDPDF=Y")</f>
        <v>2145</v>
      </c>
      <c r="AF35" s="13" cm="1">
        <f t="array" ref="AF35">_xll.BDH("NUE US Equity","BS_ACCT_PAYABLE","FQ4 2025","FQ4 2025","Currency=USD","Period=FQ","BEST_FPERIOD_OVERRIDE=FQ","FILING_STATUS=MR","SCALING_FORMAT=MLN","Sort=A","Dates=H","DateFormat=P","Fill=—","Direction=H","UseDPDF=Y")</f>
        <v>1890</v>
      </c>
    </row>
    <row r="36" spans="1:32" x14ac:dyDescent="0.25">
      <c r="A36" s="10" t="s">
        <v>119</v>
      </c>
      <c r="B36" s="10" t="s">
        <v>120</v>
      </c>
      <c r="C36" s="13" t="str" cm="1">
        <f t="array" ref="C36">_xll.BDH("NUE US Equity","BS_TAXES_PAYABLE","FQ3 2018","FQ3 2018","Currency=USD","Period=FQ","BEST_FPERIOD_OVERRIDE=FQ","FILING_STATUS=MR","SCALING_FORMAT=MLN","Sort=A","Dates=H","DateFormat=P","Fill=—","Direction=H","UseDPDF=Y")</f>
        <v>—</v>
      </c>
      <c r="D36" s="13" t="str" cm="1">
        <f t="array" ref="D36">_xll.BDH("NUE US Equity","BS_TAXES_PAYABLE","FQ4 2018","FQ4 2018","Currency=USD","Period=FQ","BEST_FPERIOD_OVERRIDE=FQ","FILING_STATUS=MR","SCALING_FORMAT=MLN","Sort=A","Dates=H","DateFormat=P","Fill=—","Direction=H","UseDPDF=Y")</f>
        <v>—</v>
      </c>
      <c r="E36" s="13" t="str" cm="1">
        <f t="array" ref="E36">_xll.BDH("NUE US Equity","BS_TAXES_PAYABLE","FQ1 2019","FQ1 2019","Currency=USD","Period=FQ","BEST_FPERIOD_OVERRIDE=FQ","FILING_STATUS=MR","SCALING_FORMAT=MLN","Sort=A","Dates=H","DateFormat=P","Fill=—","Direction=H","UseDPDF=Y")</f>
        <v>—</v>
      </c>
      <c r="F36" s="13" t="str" cm="1">
        <f t="array" ref="F36">_xll.BDH("NUE US Equity","BS_TAXES_PAYABLE","FQ2 2019","FQ2 2019","Currency=USD","Period=FQ","BEST_FPERIOD_OVERRIDE=FQ","FILING_STATUS=MR","SCALING_FORMAT=MLN","Sort=A","Dates=H","DateFormat=P","Fill=—","Direction=H","UseDPDF=Y")</f>
        <v>—</v>
      </c>
      <c r="G36" s="13" t="str" cm="1">
        <f t="array" ref="G36">_xll.BDH("NUE US Equity","BS_TAXES_PAYABLE","FQ3 2019","FQ3 2019","Currency=USD","Period=FQ","BEST_FPERIOD_OVERRIDE=FQ","FILING_STATUS=MR","SCALING_FORMAT=MLN","Sort=A","Dates=H","DateFormat=P","Fill=—","Direction=H","UseDPDF=Y")</f>
        <v>—</v>
      </c>
      <c r="H36" s="13" t="str" cm="1">
        <f t="array" ref="H36">_xll.BDH("NUE US Equity","BS_TAXES_PAYABLE","FQ4 2019","FQ4 2019","Currency=USD","Period=FQ","BEST_FPERIOD_OVERRIDE=FQ","FILING_STATUS=MR","SCALING_FORMAT=MLN","Sort=A","Dates=H","DateFormat=P","Fill=—","Direction=H","UseDPDF=Y")</f>
        <v>—</v>
      </c>
      <c r="I36" s="13" t="str" cm="1">
        <f t="array" ref="I36">_xll.BDH("NUE US Equity","BS_TAXES_PAYABLE","FQ1 2020","FQ1 2020","Currency=USD","Period=FQ","BEST_FPERIOD_OVERRIDE=FQ","FILING_STATUS=MR","SCALING_FORMAT=MLN","Sort=A","Dates=H","DateFormat=P","Fill=—","Direction=H","UseDPDF=Y")</f>
        <v>—</v>
      </c>
      <c r="J36" s="13" t="str" cm="1">
        <f t="array" ref="J36">_xll.BDH("NUE US Equity","BS_TAXES_PAYABLE","FQ2 2020","FQ2 2020","Currency=USD","Period=FQ","BEST_FPERIOD_OVERRIDE=FQ","FILING_STATUS=MR","SCALING_FORMAT=MLN","Sort=A","Dates=H","DateFormat=P","Fill=—","Direction=H","UseDPDF=Y")</f>
        <v>—</v>
      </c>
      <c r="K36" s="13" t="str" cm="1">
        <f t="array" ref="K36">_xll.BDH("NUE US Equity","BS_TAXES_PAYABLE","FQ3 2020","FQ3 2020","Currency=USD","Period=FQ","BEST_FPERIOD_OVERRIDE=FQ","FILING_STATUS=MR","SCALING_FORMAT=MLN","Sort=A","Dates=H","DateFormat=P","Fill=—","Direction=H","UseDPDF=Y")</f>
        <v>—</v>
      </c>
      <c r="L36" s="13" t="str" cm="1">
        <f t="array" ref="L36">_xll.BDH("NUE US Equity","BS_TAXES_PAYABLE","FQ4 2020","FQ4 2020","Currency=USD","Period=FQ","BEST_FPERIOD_OVERRIDE=FQ","FILING_STATUS=MR","SCALING_FORMAT=MLN","Sort=A","Dates=H","DateFormat=P","Fill=—","Direction=H","UseDPDF=Y")</f>
        <v>—</v>
      </c>
      <c r="M36" s="13" t="str" cm="1">
        <f t="array" ref="M36">_xll.BDH("NUE US Equity","BS_TAXES_PAYABLE","FQ1 2021","FQ1 2021","Currency=USD","Period=FQ","BEST_FPERIOD_OVERRIDE=FQ","FILING_STATUS=MR","SCALING_FORMAT=MLN","Sort=A","Dates=H","DateFormat=P","Fill=—","Direction=H","UseDPDF=Y")</f>
        <v>—</v>
      </c>
      <c r="N36" s="13" t="str" cm="1">
        <f t="array" ref="N36">_xll.BDH("NUE US Equity","BS_TAXES_PAYABLE","FQ2 2021","FQ2 2021","Currency=USD","Period=FQ","BEST_FPERIOD_OVERRIDE=FQ","FILING_STATUS=MR","SCALING_FORMAT=MLN","Sort=A","Dates=H","DateFormat=P","Fill=—","Direction=H","UseDPDF=Y")</f>
        <v>—</v>
      </c>
      <c r="O36" s="13" t="str" cm="1">
        <f t="array" ref="O36">_xll.BDH("NUE US Equity","BS_TAXES_PAYABLE","FQ3 2021","FQ3 2021","Currency=USD","Period=FQ","BEST_FPERIOD_OVERRIDE=FQ","FILING_STATUS=MR","SCALING_FORMAT=MLN","Sort=A","Dates=H","DateFormat=P","Fill=—","Direction=H","UseDPDF=Y")</f>
        <v>—</v>
      </c>
      <c r="P36" s="13" t="str" cm="1">
        <f t="array" ref="P36">_xll.BDH("NUE US Equity","BS_TAXES_PAYABLE","FQ4 2021","FQ4 2021","Currency=USD","Period=FQ","BEST_FPERIOD_OVERRIDE=FQ","FILING_STATUS=MR","SCALING_FORMAT=MLN","Sort=A","Dates=H","DateFormat=P","Fill=—","Direction=H","UseDPDF=Y")</f>
        <v>—</v>
      </c>
      <c r="Q36" s="13" cm="1">
        <f t="array" ref="Q36">_xll.BDH("NUE US Equity","BS_TAXES_PAYABLE","FQ1 2022","FQ1 2022","Currency=USD","Period=FQ","BEST_FPERIOD_OVERRIDE=FQ","FILING_STATUS=MR","SCALING_FORMAT=MLN","Sort=A","Dates=H","DateFormat=P","Fill=—","Direction=H","UseDPDF=Y")</f>
        <v>602.53700000000003</v>
      </c>
      <c r="R36" s="13" t="str" cm="1">
        <f t="array" ref="R36">_xll.BDH("NUE US Equity","BS_TAXES_PAYABLE","FQ2 2022","FQ2 2022","Currency=USD","Period=FQ","BEST_FPERIOD_OVERRIDE=FQ","FILING_STATUS=MR","SCALING_FORMAT=MLN","Sort=A","Dates=H","DateFormat=P","Fill=—","Direction=H","UseDPDF=Y")</f>
        <v>—</v>
      </c>
      <c r="S36" s="13" t="str" cm="1">
        <f t="array" ref="S36">_xll.BDH("NUE US Equity","BS_TAXES_PAYABLE","FQ3 2022","FQ3 2022","Currency=USD","Period=FQ","BEST_FPERIOD_OVERRIDE=FQ","FILING_STATUS=MR","SCALING_FORMAT=MLN","Sort=A","Dates=H","DateFormat=P","Fill=—","Direction=H","UseDPDF=Y")</f>
        <v>—</v>
      </c>
      <c r="T36" s="13" t="str" cm="1">
        <f t="array" ref="T36">_xll.BDH("NUE US Equity","BS_TAXES_PAYABLE","FQ4 2022","FQ4 2022","Currency=USD","Period=FQ","BEST_FPERIOD_OVERRIDE=FQ","FILING_STATUS=MR","SCALING_FORMAT=MLN","Sort=A","Dates=H","DateFormat=P","Fill=—","Direction=H","UseDPDF=Y")</f>
        <v>—</v>
      </c>
      <c r="U36" s="13" t="str" cm="1">
        <f t="array" ref="U36">_xll.BDH("NUE US Equity","BS_TAXES_PAYABLE","FQ1 2023","FQ1 2023","Currency=USD","Period=FQ","BEST_FPERIOD_OVERRIDE=FQ","FILING_STATUS=MR","SCALING_FORMAT=MLN","Sort=A","Dates=H","DateFormat=P","Fill=—","Direction=H","UseDPDF=Y")</f>
        <v>—</v>
      </c>
      <c r="V36" s="13" t="str" cm="1">
        <f t="array" ref="V36">_xll.BDH("NUE US Equity","BS_TAXES_PAYABLE","FQ2 2023","FQ2 2023","Currency=USD","Period=FQ","BEST_FPERIOD_OVERRIDE=FQ","FILING_STATUS=MR","SCALING_FORMAT=MLN","Sort=A","Dates=H","DateFormat=P","Fill=—","Direction=H","UseDPDF=Y")</f>
        <v>—</v>
      </c>
      <c r="W36" s="13" t="str" cm="1">
        <f t="array" ref="W36">_xll.BDH("NUE US Equity","BS_TAXES_PAYABLE","FQ3 2023","FQ3 2023","Currency=USD","Period=FQ","BEST_FPERIOD_OVERRIDE=FQ","FILING_STATUS=MR","SCALING_FORMAT=MLN","Sort=A","Dates=H","DateFormat=P","Fill=—","Direction=H","UseDPDF=Y")</f>
        <v>—</v>
      </c>
      <c r="X36" s="13" t="str" cm="1">
        <f t="array" ref="X36">_xll.BDH("NUE US Equity","BS_TAXES_PAYABLE","FQ4 2023","FQ4 2023","Currency=USD","Period=FQ","BEST_FPERIOD_OVERRIDE=FQ","FILING_STATUS=MR","SCALING_FORMAT=MLN","Sort=A","Dates=H","DateFormat=P","Fill=—","Direction=H","UseDPDF=Y")</f>
        <v>—</v>
      </c>
      <c r="Y36" s="13" t="str" cm="1">
        <f t="array" ref="Y36">_xll.BDH("NUE US Equity","BS_TAXES_PAYABLE","FQ1 2024","FQ1 2024","Currency=USD","Period=FQ","BEST_FPERIOD_OVERRIDE=FQ","FILING_STATUS=MR","SCALING_FORMAT=MLN","Sort=A","Dates=H","DateFormat=P","Fill=—","Direction=H","UseDPDF=Y")</f>
        <v>—</v>
      </c>
      <c r="Z36" s="13" t="str" cm="1">
        <f t="array" ref="Z36">_xll.BDH("NUE US Equity","BS_TAXES_PAYABLE","FQ2 2024","FQ2 2024","Currency=USD","Period=FQ","BEST_FPERIOD_OVERRIDE=FQ","FILING_STATUS=MR","SCALING_FORMAT=MLN","Sort=A","Dates=H","DateFormat=P","Fill=—","Direction=H","UseDPDF=Y")</f>
        <v>—</v>
      </c>
      <c r="AA36" s="13" t="str" cm="1">
        <f t="array" ref="AA36">_xll.BDH("NUE US Equity","BS_TAXES_PAYABLE","FQ3 2024","FQ3 2024","Currency=USD","Period=FQ","BEST_FPERIOD_OVERRIDE=FQ","FILING_STATUS=MR","SCALING_FORMAT=MLN","Sort=A","Dates=H","DateFormat=P","Fill=—","Direction=H","UseDPDF=Y")</f>
        <v>—</v>
      </c>
      <c r="AB36" s="13" t="str" cm="1">
        <f t="array" ref="AB36">_xll.BDH("NUE US Equity","BS_TAXES_PAYABLE","FQ4 2024","FQ4 2024","Currency=USD","Period=FQ","BEST_FPERIOD_OVERRIDE=FQ","FILING_STATUS=MR","SCALING_FORMAT=MLN","Sort=A","Dates=H","DateFormat=P","Fill=—","Direction=H","UseDPDF=Y")</f>
        <v>—</v>
      </c>
      <c r="AC36" s="13" t="str" cm="1">
        <f t="array" ref="AC36">_xll.BDH("NUE US Equity","BS_TAXES_PAYABLE","FQ1 2025","FQ1 2025","Currency=USD","Period=FQ","BEST_FPERIOD_OVERRIDE=FQ","FILING_STATUS=MR","SCALING_FORMAT=MLN","Sort=A","Dates=H","DateFormat=P","Fill=—","Direction=H","UseDPDF=Y")</f>
        <v>—</v>
      </c>
      <c r="AD36" s="13" t="str" cm="1">
        <f t="array" ref="AD36">_xll.BDH("NUE US Equity","BS_TAXES_PAYABLE","FQ2 2025","FQ2 2025","Currency=USD","Period=FQ","BEST_FPERIOD_OVERRIDE=FQ","FILING_STATUS=MR","SCALING_FORMAT=MLN","Sort=A","Dates=H","DateFormat=P","Fill=—","Direction=H","UseDPDF=Y")</f>
        <v>—</v>
      </c>
      <c r="AE36" s="13" t="str" cm="1">
        <f t="array" ref="AE36">_xll.BDH("NUE US Equity","BS_TAXES_PAYABLE","FQ3 2025","FQ3 2025","Currency=USD","Period=FQ","BEST_FPERIOD_OVERRIDE=FQ","FILING_STATUS=MR","SCALING_FORMAT=MLN","Sort=A","Dates=H","DateFormat=P","Fill=—","Direction=H","UseDPDF=Y")</f>
        <v>—</v>
      </c>
      <c r="AF36" s="13" t="str" cm="1">
        <f t="array" ref="AF36">_xll.BDH("NUE US Equity","BS_TAXES_PAYABLE","FQ4 2025","FQ4 2025","Currency=USD","Period=FQ","BEST_FPERIOD_OVERRIDE=FQ","FILING_STATUS=MR","SCALING_FORMAT=MLN","Sort=A","Dates=H","DateFormat=P","Fill=—","Direction=H","UseDPDF=Y")</f>
        <v>—</v>
      </c>
    </row>
    <row r="37" spans="1:32" x14ac:dyDescent="0.25">
      <c r="A37" s="10" t="s">
        <v>121</v>
      </c>
      <c r="B37" s="10" t="s">
        <v>122</v>
      </c>
      <c r="C37" s="13" cm="1">
        <f t="array" ref="C37">_xll.BDH("NUE US Equity","BS_ACCRUAL","FQ3 2018","FQ3 2018","Currency=USD","Period=FQ","BEST_FPERIOD_OVERRIDE=FQ","FILING_STATUS=MR","SCALING_FORMAT=MLN","Sort=A","Dates=H","DateFormat=P","Fill=—","Direction=H","UseDPDF=Y")</f>
        <v>1296.838</v>
      </c>
      <c r="D37" s="13" cm="1">
        <f t="array" ref="D37">_xll.BDH("NUE US Equity","BS_ACCRUAL","FQ4 2018","FQ4 2018","Currency=USD","Period=FQ","BEST_FPERIOD_OVERRIDE=FQ","FILING_STATUS=MR","SCALING_FORMAT=MLN","Sort=A","Dates=H","DateFormat=P","Fill=—","Direction=H","UseDPDF=Y")</f>
        <v>1311.6389999999999</v>
      </c>
      <c r="E37" s="13" cm="1">
        <f t="array" ref="E37">_xll.BDH("NUE US Equity","BS_ACCRUAL","FQ1 2019","FQ1 2019","Currency=USD","Period=FQ","BEST_FPERIOD_OVERRIDE=FQ","FILING_STATUS=MR","SCALING_FORMAT=MLN","Sort=A","Dates=H","DateFormat=P","Fill=—","Direction=H","UseDPDF=Y")</f>
        <v>1031.375</v>
      </c>
      <c r="F37" s="13" cm="1">
        <f t="array" ref="F37">_xll.BDH("NUE US Equity","BS_ACCRUAL","FQ2 2019","FQ2 2019","Currency=USD","Period=FQ","BEST_FPERIOD_OVERRIDE=FQ","FILING_STATUS=MR","SCALING_FORMAT=MLN","Sort=A","Dates=H","DateFormat=P","Fill=—","Direction=H","UseDPDF=Y")</f>
        <v>1059.482</v>
      </c>
      <c r="G37" s="13" cm="1">
        <f t="array" ref="G37">_xll.BDH("NUE US Equity","BS_ACCRUAL","FQ3 2019","FQ3 2019","Currency=USD","Period=FQ","BEST_FPERIOD_OVERRIDE=FQ","FILING_STATUS=MR","SCALING_FORMAT=MLN","Sort=A","Dates=H","DateFormat=P","Fill=—","Direction=H","UseDPDF=Y")</f>
        <v>1155.68</v>
      </c>
      <c r="H37" s="13" cm="1">
        <f t="array" ref="H37">_xll.BDH("NUE US Equity","BS_ACCRUAL","FQ4 2019","FQ4 2019","Currency=USD","Period=FQ","BEST_FPERIOD_OVERRIDE=FQ","FILING_STATUS=MR","SCALING_FORMAT=MLN","Sort=A","Dates=H","DateFormat=P","Fill=—","Direction=H","UseDPDF=Y")</f>
        <v>1125.057</v>
      </c>
      <c r="I37" s="13" cm="1">
        <f t="array" ref="I37">_xll.BDH("NUE US Equity","BS_ACCRUAL","FQ1 2020","FQ1 2020","Currency=USD","Period=FQ","BEST_FPERIOD_OVERRIDE=FQ","FILING_STATUS=MR","SCALING_FORMAT=MLN","Sort=A","Dates=H","DateFormat=P","Fill=—","Direction=H","UseDPDF=Y")</f>
        <v>927.57600000000002</v>
      </c>
      <c r="J37" s="13" cm="1">
        <f t="array" ref="J37">_xll.BDH("NUE US Equity","BS_ACCRUAL","FQ2 2020","FQ2 2020","Currency=USD","Period=FQ","BEST_FPERIOD_OVERRIDE=FQ","FILING_STATUS=MR","SCALING_FORMAT=MLN","Sort=A","Dates=H","DateFormat=P","Fill=—","Direction=H","UseDPDF=Y")</f>
        <v>968.79399999999998</v>
      </c>
      <c r="K37" s="13" cm="1">
        <f t="array" ref="K37">_xll.BDH("NUE US Equity","BS_ACCRUAL","FQ3 2020","FQ3 2020","Currency=USD","Period=FQ","BEST_FPERIOD_OVERRIDE=FQ","FILING_STATUS=MR","SCALING_FORMAT=MLN","Sort=A","Dates=H","DateFormat=P","Fill=—","Direction=H","UseDPDF=Y")</f>
        <v>1088.0550000000001</v>
      </c>
      <c r="L37" s="13" cm="1">
        <f t="array" ref="L37">_xll.BDH("NUE US Equity","BS_ACCRUAL","FQ4 2020","FQ4 2020","Currency=USD","Period=FQ","BEST_FPERIOD_OVERRIDE=FQ","FILING_STATUS=MR","SCALING_FORMAT=MLN","Sort=A","Dates=H","DateFormat=P","Fill=—","Direction=H","UseDPDF=Y")</f>
        <v>1089.8389999999999</v>
      </c>
      <c r="M37" s="13" cm="1">
        <f t="array" ref="M37">_xll.BDH("NUE US Equity","BS_ACCRUAL","FQ1 2021","FQ1 2021","Currency=USD","Period=FQ","BEST_FPERIOD_OVERRIDE=FQ","FILING_STATUS=MR","SCALING_FORMAT=MLN","Sort=A","Dates=H","DateFormat=P","Fill=—","Direction=H","UseDPDF=Y")</f>
        <v>1231.2629999999999</v>
      </c>
      <c r="N37" s="13" cm="1">
        <f t="array" ref="N37">_xll.BDH("NUE US Equity","BS_ACCRUAL","FQ2 2021","FQ2 2021","Currency=USD","Period=FQ","BEST_FPERIOD_OVERRIDE=FQ","FILING_STATUS=MR","SCALING_FORMAT=MLN","Sort=A","Dates=H","DateFormat=P","Fill=—","Direction=H","UseDPDF=Y")</f>
        <v>1558.37</v>
      </c>
      <c r="O37" s="13" cm="1">
        <f t="array" ref="O37">_xll.BDH("NUE US Equity","BS_ACCRUAL","FQ3 2021","FQ3 2021","Currency=USD","Period=FQ","BEST_FPERIOD_OVERRIDE=FQ","FILING_STATUS=MR","SCALING_FORMAT=MLN","Sort=A","Dates=H","DateFormat=P","Fill=—","Direction=H","UseDPDF=Y")</f>
        <v>2205.5639999999999</v>
      </c>
      <c r="P37" s="13" cm="1">
        <f t="array" ref="P37">_xll.BDH("NUE US Equity","BS_ACCRUAL","FQ4 2021","FQ4 2021","Currency=USD","Period=FQ","BEST_FPERIOD_OVERRIDE=FQ","FILING_STATUS=MR","SCALING_FORMAT=MLN","Sort=A","Dates=H","DateFormat=P","Fill=—","Direction=H","UseDPDF=Y")</f>
        <v>2424.5569999999998</v>
      </c>
      <c r="Q37" s="13" cm="1">
        <f t="array" ref="Q37">_xll.BDH("NUE US Equity","BS_ACCRUAL","FQ1 2022","FQ1 2022","Currency=USD","Period=FQ","BEST_FPERIOD_OVERRIDE=FQ","FILING_STATUS=MR","SCALING_FORMAT=MLN","Sort=A","Dates=H","DateFormat=P","Fill=—","Direction=H","UseDPDF=Y")</f>
        <v>1909.248</v>
      </c>
      <c r="R37" s="13" cm="1">
        <f t="array" ref="R37">_xll.BDH("NUE US Equity","BS_ACCRUAL","FQ2 2022","FQ2 2022","Currency=USD","Period=FQ","BEST_FPERIOD_OVERRIDE=FQ","FILING_STATUS=MR","SCALING_FORMAT=MLN","Sort=A","Dates=H","DateFormat=P","Fill=—","Direction=H","UseDPDF=Y")</f>
        <v>2320.3580000000002</v>
      </c>
      <c r="S37" s="13" cm="1">
        <f t="array" ref="S37">_xll.BDH("NUE US Equity","BS_ACCRUAL","FQ3 2022","FQ3 2022","Currency=USD","Period=FQ","BEST_FPERIOD_OVERRIDE=FQ","FILING_STATUS=MR","SCALING_FORMAT=MLN","Sort=A","Dates=H","DateFormat=P","Fill=—","Direction=H","UseDPDF=Y")</f>
        <v>2734.6909999999998</v>
      </c>
      <c r="T37" s="13" cm="1">
        <f t="array" ref="T37">_xll.BDH("NUE US Equity","BS_ACCRUAL","FQ4 2022","FQ4 2022","Currency=USD","Period=FQ","BEST_FPERIOD_OVERRIDE=FQ","FILING_STATUS=MR","SCALING_FORMAT=MLN","Sort=A","Dates=H","DateFormat=P","Fill=—","Direction=H","UseDPDF=Y")</f>
        <v>2525.9549999999999</v>
      </c>
      <c r="U37" s="13" cm="1">
        <f t="array" ref="U37">_xll.BDH("NUE US Equity","BS_ACCRUAL","FQ1 2023","FQ1 2023","Currency=USD","Period=FQ","BEST_FPERIOD_OVERRIDE=FQ","FILING_STATUS=MR","SCALING_FORMAT=MLN","Sort=A","Dates=H","DateFormat=P","Fill=—","Direction=H","UseDPDF=Y")</f>
        <v>1757.529</v>
      </c>
      <c r="V37" s="13" cm="1">
        <f t="array" ref="V37">_xll.BDH("NUE US Equity","BS_ACCRUAL","FQ2 2023","FQ2 2023","Currency=USD","Period=FQ","BEST_FPERIOD_OVERRIDE=FQ","FILING_STATUS=MR","SCALING_FORMAT=MLN","Sort=A","Dates=H","DateFormat=P","Fill=—","Direction=H","UseDPDF=Y")</f>
        <v>2089.625</v>
      </c>
      <c r="W37" s="13" cm="1">
        <f t="array" ref="W37">_xll.BDH("NUE US Equity","BS_ACCRUAL","FQ3 2023","FQ3 2023","Currency=USD","Period=FQ","BEST_FPERIOD_OVERRIDE=FQ","FILING_STATUS=MR","SCALING_FORMAT=MLN","Sort=A","Dates=H","DateFormat=P","Fill=—","Direction=H","UseDPDF=Y")</f>
        <v>2363.924</v>
      </c>
      <c r="X37" s="13" cm="1">
        <f t="array" ref="X37">_xll.BDH("NUE US Equity","BS_ACCRUAL","FQ4 2023","FQ4 2023","Currency=USD","Period=FQ","BEST_FPERIOD_OVERRIDE=FQ","FILING_STATUS=MR","SCALING_FORMAT=MLN","Sort=A","Dates=H","DateFormat=P","Fill=—","Direction=H","UseDPDF=Y")</f>
        <v>2341.4</v>
      </c>
      <c r="Y37" s="13" cm="1">
        <f t="array" ref="Y37">_xll.BDH("NUE US Equity","BS_ACCRUAL","FQ1 2024","FQ1 2024","Currency=USD","Period=FQ","BEST_FPERIOD_OVERRIDE=FQ","FILING_STATUS=MR","SCALING_FORMAT=MLN","Sort=A","Dates=H","DateFormat=P","Fill=—","Direction=H","UseDPDF=Y")</f>
        <v>1802.662</v>
      </c>
      <c r="Z37" s="13" cm="1">
        <f t="array" ref="Z37">_xll.BDH("NUE US Equity","BS_ACCRUAL","FQ2 2024","FQ2 2024","Currency=USD","Period=FQ","BEST_FPERIOD_OVERRIDE=FQ","FILING_STATUS=MR","SCALING_FORMAT=MLN","Sort=A","Dates=H","DateFormat=P","Fill=—","Direction=H","UseDPDF=Y")</f>
        <v>1868.7909999999999</v>
      </c>
      <c r="AA37" s="13" cm="1">
        <f t="array" ref="AA37">_xll.BDH("NUE US Equity","BS_ACCRUAL","FQ3 2024","FQ3 2024","Currency=USD","Period=FQ","BEST_FPERIOD_OVERRIDE=FQ","FILING_STATUS=MR","SCALING_FORMAT=MLN","Sort=A","Dates=H","DateFormat=P","Fill=—","Direction=H","UseDPDF=Y")</f>
        <v>2044.53</v>
      </c>
      <c r="AB37" s="13" cm="1">
        <f t="array" ref="AB37">_xll.BDH("NUE US Equity","BS_ACCRUAL","FQ4 2024","FQ4 2024","Currency=USD","Period=FQ","BEST_FPERIOD_OVERRIDE=FQ","FILING_STATUS=MR","SCALING_FORMAT=MLN","Sort=A","Dates=H","DateFormat=P","Fill=—","Direction=H","UseDPDF=Y")</f>
        <v>1837</v>
      </c>
      <c r="AC37" s="13" cm="1">
        <f t="array" ref="AC37">_xll.BDH("NUE US Equity","BS_ACCRUAL","FQ1 2025","FQ1 2025","Currency=USD","Period=FQ","BEST_FPERIOD_OVERRIDE=FQ","FILING_STATUS=MR","SCALING_FORMAT=MLN","Sort=A","Dates=H","DateFormat=P","Fill=—","Direction=H","UseDPDF=Y")</f>
        <v>1593</v>
      </c>
      <c r="AD37" s="13" cm="1">
        <f t="array" ref="AD37">_xll.BDH("NUE US Equity","BS_ACCRUAL","FQ2 2025","FQ2 2025","Currency=USD","Period=FQ","BEST_FPERIOD_OVERRIDE=FQ","FILING_STATUS=MR","SCALING_FORMAT=MLN","Sort=A","Dates=H","DateFormat=P","Fill=—","Direction=H","UseDPDF=Y")</f>
        <v>1766</v>
      </c>
      <c r="AE37" s="13" cm="1">
        <f t="array" ref="AE37">_xll.BDH("NUE US Equity","BS_ACCRUAL","FQ3 2025","FQ3 2025","Currency=USD","Period=FQ","BEST_FPERIOD_OVERRIDE=FQ","FILING_STATUS=MR","SCALING_FORMAT=MLN","Sort=A","Dates=H","DateFormat=P","Fill=—","Direction=H","UseDPDF=Y")</f>
        <v>1940</v>
      </c>
      <c r="AF37" s="13" cm="1">
        <f t="array" ref="AF37">_xll.BDH("NUE US Equity","BS_ACCRUAL","FQ4 2025","FQ4 2025","Currency=USD","Period=FQ","BEST_FPERIOD_OVERRIDE=FQ","FILING_STATUS=MR","SCALING_FORMAT=MLN","Sort=A","Dates=H","DateFormat=P","Fill=—","Direction=H","UseDPDF=Y")</f>
        <v>1902</v>
      </c>
    </row>
    <row r="38" spans="1:32" x14ac:dyDescent="0.25">
      <c r="A38" s="10" t="s">
        <v>123</v>
      </c>
      <c r="B38" s="10" t="s">
        <v>124</v>
      </c>
      <c r="C38" s="13" cm="1">
        <f t="array" ref="C38">_xll.BDH("NUE US Equity","BS_ST_BORROW","FQ3 2018","FQ3 2018","Currency=USD","Period=FQ","BEST_FPERIOD_OVERRIDE=FQ","FILING_STATUS=MR","SCALING_FORMAT=MLN","Sort=A","Dates=H","DateFormat=P","Fill=—","Direction=H","UseDPDF=Y")</f>
        <v>52.829000000000001</v>
      </c>
      <c r="D38" s="13" cm="1">
        <f t="array" ref="D38">_xll.BDH("NUE US Equity","BS_ST_BORROW","FQ4 2018","FQ4 2018","Currency=USD","Period=FQ","BEST_FPERIOD_OVERRIDE=FQ","FILING_STATUS=MR","SCALING_FORMAT=MLN","Sort=A","Dates=H","DateFormat=P","Fill=—","Direction=H","UseDPDF=Y")</f>
        <v>57.87</v>
      </c>
      <c r="E38" s="13" cm="1">
        <f t="array" ref="E38">_xll.BDH("NUE US Equity","BS_ST_BORROW","FQ1 2019","FQ1 2019","Currency=USD","Period=FQ","BEST_FPERIOD_OVERRIDE=FQ","FILING_STATUS=MR","SCALING_FORMAT=MLN","Sort=A","Dates=H","DateFormat=P","Fill=—","Direction=H","UseDPDF=Y")</f>
        <v>97.498000000000005</v>
      </c>
      <c r="F38" s="13" cm="1">
        <f t="array" ref="F38">_xll.BDH("NUE US Equity","BS_ST_BORROW","FQ2 2019","FQ2 2019","Currency=USD","Period=FQ","BEST_FPERIOD_OVERRIDE=FQ","FILING_STATUS=MR","SCALING_FORMAT=MLN","Sort=A","Dates=H","DateFormat=P","Fill=—","Direction=H","UseDPDF=Y")</f>
        <v>85.988</v>
      </c>
      <c r="G38" s="13" cm="1">
        <f t="array" ref="G38">_xll.BDH("NUE US Equity","BS_ST_BORROW","FQ3 2019","FQ3 2019","Currency=USD","Period=FQ","BEST_FPERIOD_OVERRIDE=FQ","FILING_STATUS=MR","SCALING_FORMAT=MLN","Sort=A","Dates=H","DateFormat=P","Fill=—","Direction=H","UseDPDF=Y")</f>
        <v>102.843</v>
      </c>
      <c r="H38" s="13" cm="1">
        <f t="array" ref="H38">_xll.BDH("NUE US Equity","BS_ST_BORROW","FQ4 2019","FQ4 2019","Currency=USD","Period=FQ","BEST_FPERIOD_OVERRIDE=FQ","FILING_STATUS=MR","SCALING_FORMAT=MLN","Sort=A","Dates=H","DateFormat=P","Fill=—","Direction=H","UseDPDF=Y")</f>
        <v>118.619</v>
      </c>
      <c r="I38" s="13" cm="1">
        <f t="array" ref="I38">_xll.BDH("NUE US Equity","BS_ST_BORROW","FQ1 2020","FQ1 2020","Currency=USD","Period=FQ","BEST_FPERIOD_OVERRIDE=FQ","FILING_STATUS=MR","SCALING_FORMAT=MLN","Sort=A","Dates=H","DateFormat=P","Fill=—","Direction=H","UseDPDF=Y")</f>
        <v>82.658000000000001</v>
      </c>
      <c r="J38" s="13" cm="1">
        <f t="array" ref="J38">_xll.BDH("NUE US Equity","BS_ST_BORROW","FQ2 2020","FQ2 2020","Currency=USD","Period=FQ","BEST_FPERIOD_OVERRIDE=FQ","FILING_STATUS=MR","SCALING_FORMAT=MLN","Sort=A","Dates=H","DateFormat=P","Fill=—","Direction=H","UseDPDF=Y")</f>
        <v>94.173000000000002</v>
      </c>
      <c r="K38" s="13" cm="1">
        <f t="array" ref="K38">_xll.BDH("NUE US Equity","BS_ST_BORROW","FQ3 2020","FQ3 2020","Currency=USD","Period=FQ","BEST_FPERIOD_OVERRIDE=FQ","FILING_STATUS=MR","SCALING_FORMAT=MLN","Sort=A","Dates=H","DateFormat=P","Fill=—","Direction=H","UseDPDF=Y")</f>
        <v>74.253</v>
      </c>
      <c r="L38" s="13" cm="1">
        <f t="array" ref="L38">_xll.BDH("NUE US Equity","BS_ST_BORROW","FQ4 2020","FQ4 2020","Currency=USD","Period=FQ","BEST_FPERIOD_OVERRIDE=FQ","FILING_STATUS=MR","SCALING_FORMAT=MLN","Sort=A","Dates=H","DateFormat=P","Fill=—","Direction=H","UseDPDF=Y")</f>
        <v>99.662000000000006</v>
      </c>
      <c r="M38" s="13" cm="1">
        <f t="array" ref="M38">_xll.BDH("NUE US Equity","BS_ST_BORROW","FQ1 2021","FQ1 2021","Currency=USD","Period=FQ","BEST_FPERIOD_OVERRIDE=FQ","FILING_STATUS=MR","SCALING_FORMAT=MLN","Sort=A","Dates=H","DateFormat=P","Fill=—","Direction=H","UseDPDF=Y")</f>
        <v>66.942999999999998</v>
      </c>
      <c r="N38" s="13" cm="1">
        <f t="array" ref="N38">_xll.BDH("NUE US Equity","BS_ST_BORROW","FQ2 2021","FQ2 2021","Currency=USD","Period=FQ","BEST_FPERIOD_OVERRIDE=FQ","FILING_STATUS=MR","SCALING_FORMAT=MLN","Sort=A","Dates=H","DateFormat=P","Fill=—","Direction=H","UseDPDF=Y")</f>
        <v>112.71299999999999</v>
      </c>
      <c r="O38" s="13" cm="1">
        <f t="array" ref="O38">_xll.BDH("NUE US Equity","BS_ST_BORROW","FQ3 2021","FQ3 2021","Currency=USD","Period=FQ","BEST_FPERIOD_OVERRIDE=FQ","FILING_STATUS=MR","SCALING_FORMAT=MLN","Sort=A","Dates=H","DateFormat=P","Fill=—","Direction=H","UseDPDF=Y")</f>
        <v>717.86699999999996</v>
      </c>
      <c r="P38" s="13" cm="1">
        <f t="array" ref="P38">_xll.BDH("NUE US Equity","BS_ST_BORROW","FQ4 2021","FQ4 2021","Currency=USD","Period=FQ","BEST_FPERIOD_OVERRIDE=FQ","FILING_STATUS=MR","SCALING_FORMAT=MLN","Sort=A","Dates=H","DateFormat=P","Fill=—","Direction=H","UseDPDF=Y")</f>
        <v>758.67700000000002</v>
      </c>
      <c r="Q38" s="13" cm="1">
        <f t="array" ref="Q38">_xll.BDH("NUE US Equity","BS_ST_BORROW","FQ1 2022","FQ1 2022","Currency=USD","Period=FQ","BEST_FPERIOD_OVERRIDE=FQ","FILING_STATUS=MR","SCALING_FORMAT=MLN","Sort=A","Dates=H","DateFormat=P","Fill=—","Direction=H","UseDPDF=Y")</f>
        <v>716.05700000000002</v>
      </c>
      <c r="R38" s="13" cm="1">
        <f t="array" ref="R38">_xll.BDH("NUE US Equity","BS_ST_BORROW","FQ2 2022","FQ2 2022","Currency=USD","Period=FQ","BEST_FPERIOD_OVERRIDE=FQ","FILING_STATUS=MR","SCALING_FORMAT=MLN","Sort=A","Dates=H","DateFormat=P","Fill=—","Direction=H","UseDPDF=Y")</f>
        <v>729.68</v>
      </c>
      <c r="S38" s="13" cm="1">
        <f t="array" ref="S38">_xll.BDH("NUE US Equity","BS_ST_BORROW","FQ3 2022","FQ3 2022","Currency=USD","Period=FQ","BEST_FPERIOD_OVERRIDE=FQ","FILING_STATUS=MR","SCALING_FORMAT=MLN","Sort=A","Dates=H","DateFormat=P","Fill=—","Direction=H","UseDPDF=Y")</f>
        <v>93.643000000000001</v>
      </c>
      <c r="T38" s="13" cm="1">
        <f t="array" ref="T38">_xll.BDH("NUE US Equity","BS_ST_BORROW","FQ4 2022","FQ4 2022","Currency=USD","Period=FQ","BEST_FPERIOD_OVERRIDE=FQ","FILING_STATUS=MR","SCALING_FORMAT=MLN","Sort=A","Dates=H","DateFormat=P","Fill=—","Direction=H","UseDPDF=Y")</f>
        <v>119.866</v>
      </c>
      <c r="U38" s="13" cm="1">
        <f t="array" ref="U38">_xll.BDH("NUE US Equity","BS_ST_BORROW","FQ1 2023","FQ1 2023","Currency=USD","Period=FQ","BEST_FPERIOD_OVERRIDE=FQ","FILING_STATUS=MR","SCALING_FORMAT=MLN","Sort=A","Dates=H","DateFormat=P","Fill=—","Direction=H","UseDPDF=Y")</f>
        <v>54.448999999999998</v>
      </c>
      <c r="V38" s="13" cm="1">
        <f t="array" ref="V38">_xll.BDH("NUE US Equity","BS_ST_BORROW","FQ2 2023","FQ2 2023","Currency=USD","Period=FQ","BEST_FPERIOD_OVERRIDE=FQ","FILING_STATUS=MR","SCALING_FORMAT=MLN","Sort=A","Dates=H","DateFormat=P","Fill=—","Direction=H","UseDPDF=Y")</f>
        <v>58.426000000000002</v>
      </c>
      <c r="W38" s="13" cm="1">
        <f t="array" ref="W38">_xll.BDH("NUE US Equity","BS_ST_BORROW","FQ3 2023","FQ3 2023","Currency=USD","Period=FQ","BEST_FPERIOD_OVERRIDE=FQ","FILING_STATUS=MR","SCALING_FORMAT=MLN","Sort=A","Dates=H","DateFormat=P","Fill=—","Direction=H","UseDPDF=Y")</f>
        <v>60.872</v>
      </c>
      <c r="X38" s="13" cm="1">
        <f t="array" ref="X38">_xll.BDH("NUE US Equity","BS_ST_BORROW","FQ4 2023","FQ4 2023","Currency=USD","Period=FQ","BEST_FPERIOD_OVERRIDE=FQ","FILING_STATUS=MR","SCALING_FORMAT=MLN","Sort=A","Dates=H","DateFormat=P","Fill=—","Direction=H","UseDPDF=Y")</f>
        <v>232.82</v>
      </c>
      <c r="Y38" s="13" cm="1">
        <f t="array" ref="Y38">_xll.BDH("NUE US Equity","BS_ST_BORROW","FQ1 2024","FQ1 2024","Currency=USD","Period=FQ","BEST_FPERIOD_OVERRIDE=FQ","FILING_STATUS=MR","SCALING_FORMAT=MLN","Sort=A","Dates=H","DateFormat=P","Fill=—","Direction=H","UseDPDF=Y")</f>
        <v>203.892</v>
      </c>
      <c r="Z38" s="13" cm="1">
        <f t="array" ref="Z38">_xll.BDH("NUE US Equity","BS_ST_BORROW","FQ2 2024","FQ2 2024","Currency=USD","Period=FQ","BEST_FPERIOD_OVERRIDE=FQ","FILING_STATUS=MR","SCALING_FORMAT=MLN","Sort=A","Dates=H","DateFormat=P","Fill=—","Direction=H","UseDPDF=Y")</f>
        <v>1243.713</v>
      </c>
      <c r="AA38" s="13" cm="1">
        <f t="array" ref="AA38">_xll.BDH("NUE US Equity","BS_ST_BORROW","FQ3 2024","FQ3 2024","Currency=USD","Period=FQ","BEST_FPERIOD_OVERRIDE=FQ","FILING_STATUS=MR","SCALING_FORMAT=MLN","Sort=A","Dates=H","DateFormat=P","Fill=—","Direction=H","UseDPDF=Y")</f>
        <v>1254.1310000000001</v>
      </c>
      <c r="AB38" s="13" cm="1">
        <f t="array" ref="AB38">_xll.BDH("NUE US Equity","BS_ST_BORROW","FQ4 2024","FQ4 2024","Currency=USD","Period=FQ","BEST_FPERIOD_OVERRIDE=FQ","FILING_STATUS=MR","SCALING_FORMAT=MLN","Sort=A","Dates=H","DateFormat=P","Fill=—","Direction=H","UseDPDF=Y")</f>
        <v>1308</v>
      </c>
      <c r="AC38" s="13" cm="1">
        <f t="array" ref="AC38">_xll.BDH("NUE US Equity","BS_ST_BORROW","FQ1 2025","FQ1 2025","Currency=USD","Period=FQ","BEST_FPERIOD_OVERRIDE=FQ","FILING_STATUS=MR","SCALING_FORMAT=MLN","Sort=A","Dates=H","DateFormat=P","Fill=—","Direction=H","UseDPDF=Y")</f>
        <v>1191</v>
      </c>
      <c r="AD38" s="13" cm="1">
        <f t="array" ref="AD38">_xll.BDH("NUE US Equity","BS_ST_BORROW","FQ2 2025","FQ2 2025","Currency=USD","Period=FQ","BEST_FPERIOD_OVERRIDE=FQ","FILING_STATUS=MR","SCALING_FORMAT=MLN","Sort=A","Dates=H","DateFormat=P","Fill=—","Direction=H","UseDPDF=Y")</f>
        <v>189</v>
      </c>
      <c r="AE38" s="13" cm="1">
        <f t="array" ref="AE38">_xll.BDH("NUE US Equity","BS_ST_BORROW","FQ3 2025","FQ3 2025","Currency=USD","Period=FQ","BEST_FPERIOD_OVERRIDE=FQ","FILING_STATUS=MR","SCALING_FORMAT=MLN","Sort=A","Dates=H","DateFormat=P","Fill=—","Direction=H","UseDPDF=Y")</f>
        <v>167</v>
      </c>
      <c r="AF38" s="13" cm="1">
        <f t="array" ref="AF38">_xll.BDH("NUE US Equity","BS_ST_BORROW","FQ4 2025","FQ4 2025","Currency=USD","Period=FQ","BEST_FPERIOD_OVERRIDE=FQ","FILING_STATUS=MR","SCALING_FORMAT=MLN","Sort=A","Dates=H","DateFormat=P","Fill=—","Direction=H","UseDPDF=Y")</f>
        <v>212</v>
      </c>
    </row>
    <row r="39" spans="1:32" x14ac:dyDescent="0.25">
      <c r="A39" s="10" t="s">
        <v>125</v>
      </c>
      <c r="B39" s="10" t="s">
        <v>126</v>
      </c>
      <c r="C39" s="13" cm="1">
        <f t="array" ref="C39">_xll.BDH("NUE US Equity","SHORT_TERM_DEBT_DETAILED","FQ3 2018","FQ3 2018","Currency=USD","Period=FQ","BEST_FPERIOD_OVERRIDE=FQ","FILING_STATUS=MR","SCALING_FORMAT=MLN","Sort=A","Dates=H","DateFormat=P","Fill=—","Direction=H","UseDPDF=Y")</f>
        <v>52.829000000000001</v>
      </c>
      <c r="D39" s="13" cm="1">
        <f t="array" ref="D39">_xll.BDH("NUE US Equity","SHORT_TERM_DEBT_DETAILED","FQ4 2018","FQ4 2018","Currency=USD","Period=FQ","BEST_FPERIOD_OVERRIDE=FQ","FILING_STATUS=MR","SCALING_FORMAT=MLN","Sort=A","Dates=H","DateFormat=P","Fill=—","Direction=H","UseDPDF=Y")</f>
        <v>57.87</v>
      </c>
      <c r="E39" s="13" cm="1">
        <f t="array" ref="E39">_xll.BDH("NUE US Equity","SHORT_TERM_DEBT_DETAILED","FQ1 2019","FQ1 2019","Currency=USD","Period=FQ","BEST_FPERIOD_OVERRIDE=FQ","FILING_STATUS=MR","SCALING_FORMAT=MLN","Sort=A","Dates=H","DateFormat=P","Fill=—","Direction=H","UseDPDF=Y")</f>
        <v>71.438000000000002</v>
      </c>
      <c r="F39" s="13" cm="1">
        <f t="array" ref="F39">_xll.BDH("NUE US Equity","SHORT_TERM_DEBT_DETAILED","FQ2 2019","FQ2 2019","Currency=USD","Period=FQ","BEST_FPERIOD_OVERRIDE=FQ","FILING_STATUS=MR","SCALING_FORMAT=MLN","Sort=A","Dates=H","DateFormat=P","Fill=—","Direction=H","UseDPDF=Y")</f>
        <v>60.087000000000003</v>
      </c>
      <c r="G39" s="13" cm="1">
        <f t="array" ref="G39">_xll.BDH("NUE US Equity","SHORT_TERM_DEBT_DETAILED","FQ3 2019","FQ3 2019","Currency=USD","Period=FQ","BEST_FPERIOD_OVERRIDE=FQ","FILING_STATUS=MR","SCALING_FORMAT=MLN","Sort=A","Dates=H","DateFormat=P","Fill=—","Direction=H","UseDPDF=Y")</f>
        <v>47.725000000000001</v>
      </c>
      <c r="H39" s="13" cm="1">
        <f t="array" ref="H39">_xll.BDH("NUE US Equity","SHORT_TERM_DEBT_DETAILED","FQ4 2019","FQ4 2019","Currency=USD","Period=FQ","BEST_FPERIOD_OVERRIDE=FQ","FILING_STATUS=MR","SCALING_FORMAT=MLN","Sort=A","Dates=H","DateFormat=P","Fill=—","Direction=H","UseDPDF=Y")</f>
        <v>62.444000000000003</v>
      </c>
      <c r="I39" s="13" cm="1">
        <f t="array" ref="I39">_xll.BDH("NUE US Equity","SHORT_TERM_DEBT_DETAILED","FQ1 2020","FQ1 2020","Currency=USD","Period=FQ","BEST_FPERIOD_OVERRIDE=FQ","FILING_STATUS=MR","SCALING_FORMAT=MLN","Sort=A","Dates=H","DateFormat=P","Fill=—","Direction=H","UseDPDF=Y")</f>
        <v>53.261000000000003</v>
      </c>
      <c r="J39" s="13" cm="1">
        <f t="array" ref="J39">_xll.BDH("NUE US Equity","SHORT_TERM_DEBT_DETAILED","FQ2 2020","FQ2 2020","Currency=USD","Period=FQ","BEST_FPERIOD_OVERRIDE=FQ","FILING_STATUS=MR","SCALING_FORMAT=MLN","Sort=A","Dates=H","DateFormat=P","Fill=—","Direction=H","UseDPDF=Y")</f>
        <v>64.652000000000001</v>
      </c>
      <c r="K39" s="13" cm="1">
        <f t="array" ref="K39">_xll.BDH("NUE US Equity","SHORT_TERM_DEBT_DETAILED","FQ3 2020","FQ3 2020","Currency=USD","Period=FQ","BEST_FPERIOD_OVERRIDE=FQ","FILING_STATUS=MR","SCALING_FORMAT=MLN","Sort=A","Dates=H","DateFormat=P","Fill=—","Direction=H","UseDPDF=Y")</f>
        <v>63.777999999999999</v>
      </c>
      <c r="L39" s="13" cm="1">
        <f t="array" ref="L39">_xll.BDH("NUE US Equity","SHORT_TERM_DEBT_DETAILED","FQ4 2020","FQ4 2020","Currency=USD","Period=FQ","BEST_FPERIOD_OVERRIDE=FQ","FILING_STATUS=MR","SCALING_FORMAT=MLN","Sort=A","Dates=H","DateFormat=P","Fill=—","Direction=H","UseDPDF=Y")</f>
        <v>57.905999999999999</v>
      </c>
      <c r="M39" s="13" cm="1">
        <f t="array" ref="M39">_xll.BDH("NUE US Equity","SHORT_TERM_DEBT_DETAILED","FQ1 2021","FQ1 2021","Currency=USD","Period=FQ","BEST_FPERIOD_OVERRIDE=FQ","FILING_STATUS=MR","SCALING_FORMAT=MLN","Sort=A","Dates=H","DateFormat=P","Fill=—","Direction=H","UseDPDF=Y")</f>
        <v>56.298999999999999</v>
      </c>
      <c r="N39" s="13" cm="1">
        <f t="array" ref="N39">_xll.BDH("NUE US Equity","SHORT_TERM_DEBT_DETAILED","FQ2 2021","FQ2 2021","Currency=USD","Period=FQ","BEST_FPERIOD_OVERRIDE=FQ","FILING_STATUS=MR","SCALING_FORMAT=MLN","Sort=A","Dates=H","DateFormat=P","Fill=—","Direction=H","UseDPDF=Y")</f>
        <v>100.68600000000001</v>
      </c>
      <c r="O39" s="13" cm="1">
        <f t="array" ref="O39">_xll.BDH("NUE US Equity","SHORT_TERM_DEBT_DETAILED","FQ3 2021","FQ3 2021","Currency=USD","Period=FQ","BEST_FPERIOD_OVERRIDE=FQ","FILING_STATUS=MR","SCALING_FORMAT=MLN","Sort=A","Dates=H","DateFormat=P","Fill=—","Direction=H","UseDPDF=Y")</f>
        <v>102.73699999999999</v>
      </c>
      <c r="P39" s="13" cm="1">
        <f t="array" ref="P39">_xll.BDH("NUE US Equity","SHORT_TERM_DEBT_DETAILED","FQ4 2021","FQ4 2021","Currency=USD","Period=FQ","BEST_FPERIOD_OVERRIDE=FQ","FILING_STATUS=MR","SCALING_FORMAT=MLN","Sort=A","Dates=H","DateFormat=P","Fill=—","Direction=H","UseDPDF=Y")</f>
        <v>107.723</v>
      </c>
      <c r="Q39" s="13" cm="1">
        <f t="array" ref="Q39">_xll.BDH("NUE US Equity","SHORT_TERM_DEBT_DETAILED","FQ1 2022","FQ1 2022","Currency=USD","Period=FQ","BEST_FPERIOD_OVERRIDE=FQ","FILING_STATUS=MR","SCALING_FORMAT=MLN","Sort=A","Dates=H","DateFormat=P","Fill=—","Direction=H","UseDPDF=Y")</f>
        <v>86.521000000000001</v>
      </c>
      <c r="R39" s="13" cm="1">
        <f t="array" ref="R39">_xll.BDH("NUE US Equity","SHORT_TERM_DEBT_DETAILED","FQ2 2022","FQ2 2022","Currency=USD","Period=FQ","BEST_FPERIOD_OVERRIDE=FQ","FILING_STATUS=MR","SCALING_FORMAT=MLN","Sort=A","Dates=H","DateFormat=P","Fill=—","Direction=H","UseDPDF=Y")</f>
        <v>100.509</v>
      </c>
      <c r="S39" s="13" cm="1">
        <f t="array" ref="S39">_xll.BDH("NUE US Equity","SHORT_TERM_DEBT_DETAILED","FQ3 2022","FQ3 2022","Currency=USD","Period=FQ","BEST_FPERIOD_OVERRIDE=FQ","FILING_STATUS=MR","SCALING_FORMAT=MLN","Sort=A","Dates=H","DateFormat=P","Fill=—","Direction=H","UseDPDF=Y")</f>
        <v>64.649000000000001</v>
      </c>
      <c r="T39" s="13" cm="1">
        <f t="array" ref="T39">_xll.BDH("NUE US Equity","SHORT_TERM_DEBT_DETAILED","FQ4 2022","FQ4 2022","Currency=USD","Period=FQ","BEST_FPERIOD_OVERRIDE=FQ","FILING_STATUS=MR","SCALING_FORMAT=MLN","Sort=A","Dates=H","DateFormat=P","Fill=—","Direction=H","UseDPDF=Y")</f>
        <v>49.081000000000003</v>
      </c>
      <c r="U39" s="13" cm="1">
        <f t="array" ref="U39">_xll.BDH("NUE US Equity","SHORT_TERM_DEBT_DETAILED","FQ1 2023","FQ1 2023","Currency=USD","Period=FQ","BEST_FPERIOD_OVERRIDE=FQ","FILING_STATUS=MR","SCALING_FORMAT=MLN","Sort=A","Dates=H","DateFormat=P","Fill=—","Direction=H","UseDPDF=Y")</f>
        <v>29.315999999999999</v>
      </c>
      <c r="V39" s="13" cm="1">
        <f t="array" ref="V39">_xll.BDH("NUE US Equity","SHORT_TERM_DEBT_DETAILED","FQ2 2023","FQ2 2023","Currency=USD","Period=FQ","BEST_FPERIOD_OVERRIDE=FQ","FILING_STATUS=MR","SCALING_FORMAT=MLN","Sort=A","Dates=H","DateFormat=P","Fill=—","Direction=H","UseDPDF=Y")</f>
        <v>33.338999999999999</v>
      </c>
      <c r="W39" s="13" cm="1">
        <f t="array" ref="W39">_xll.BDH("NUE US Equity","SHORT_TERM_DEBT_DETAILED","FQ3 2023","FQ3 2023","Currency=USD","Period=FQ","BEST_FPERIOD_OVERRIDE=FQ","FILING_STATUS=MR","SCALING_FORMAT=MLN","Sort=A","Dates=H","DateFormat=P","Fill=—","Direction=H","UseDPDF=Y")</f>
        <v>35.938000000000002</v>
      </c>
      <c r="X39" s="13" cm="1">
        <f t="array" ref="X39">_xll.BDH("NUE US Equity","SHORT_TERM_DEBT_DETAILED","FQ4 2023","FQ4 2023","Currency=USD","Period=FQ","BEST_FPERIOD_OVERRIDE=FQ","FILING_STATUS=MR","SCALING_FORMAT=MLN","Sort=A","Dates=H","DateFormat=P","Fill=—","Direction=H","UseDPDF=Y")</f>
        <v>119.211</v>
      </c>
      <c r="Y39" s="13" cm="1">
        <f t="array" ref="Y39">_xll.BDH("NUE US Equity","SHORT_TERM_DEBT_DETAILED","FQ1 2024","FQ1 2024","Currency=USD","Period=FQ","BEST_FPERIOD_OVERRIDE=FQ","FILING_STATUS=MR","SCALING_FORMAT=MLN","Sort=A","Dates=H","DateFormat=P","Fill=—","Direction=H","UseDPDF=Y")</f>
        <v>130.00200000000001</v>
      </c>
      <c r="Z39" s="13" cm="1">
        <f t="array" ref="Z39">_xll.BDH("NUE US Equity","SHORT_TERM_DEBT_DETAILED","FQ2 2024","FQ2 2024","Currency=USD","Period=FQ","BEST_FPERIOD_OVERRIDE=FQ","FILING_STATUS=MR","SCALING_FORMAT=MLN","Sort=A","Dates=H","DateFormat=P","Fill=—","Direction=H","UseDPDF=Y")</f>
        <v>168.51</v>
      </c>
      <c r="AA39" s="13" cm="1">
        <f t="array" ref="AA39">_xll.BDH("NUE US Equity","SHORT_TERM_DEBT_DETAILED","FQ3 2024","FQ3 2024","Currency=USD","Period=FQ","BEST_FPERIOD_OVERRIDE=FQ","FILING_STATUS=MR","SCALING_FORMAT=MLN","Sort=A","Dates=H","DateFormat=P","Fill=—","Direction=H","UseDPDF=Y")</f>
        <v>213.751</v>
      </c>
      <c r="AB39" s="13" cm="1">
        <f t="array" ref="AB39">_xll.BDH("NUE US Equity","SHORT_TERM_DEBT_DETAILED","FQ4 2024","FQ4 2024","Currency=USD","Period=FQ","BEST_FPERIOD_OVERRIDE=FQ","FILING_STATUS=MR","SCALING_FORMAT=MLN","Sort=A","Dates=H","DateFormat=P","Fill=—","Direction=H","UseDPDF=Y")</f>
        <v>225</v>
      </c>
      <c r="AC39" s="13" cm="1">
        <f t="array" ref="AC39">_xll.BDH("NUE US Equity","SHORT_TERM_DEBT_DETAILED","FQ1 2025","FQ1 2025","Currency=USD","Period=FQ","BEST_FPERIOD_OVERRIDE=FQ","FILING_STATUS=MR","SCALING_FORMAT=MLN","Sort=A","Dates=H","DateFormat=P","Fill=—","Direction=H","UseDPDF=Y")</f>
        <v>160</v>
      </c>
      <c r="AD39" s="13" cm="1">
        <f t="array" ref="AD39">_xll.BDH("NUE US Equity","SHORT_TERM_DEBT_DETAILED","FQ2 2025","FQ2 2025","Currency=USD","Period=FQ","BEST_FPERIOD_OVERRIDE=FQ","FILING_STATUS=MR","SCALING_FORMAT=MLN","Sort=A","Dates=H","DateFormat=P","Fill=—","Direction=H","UseDPDF=Y")</f>
        <v>157</v>
      </c>
      <c r="AE39" s="13" cm="1">
        <f t="array" ref="AE39">_xll.BDH("NUE US Equity","SHORT_TERM_DEBT_DETAILED","FQ3 2025","FQ3 2025","Currency=USD","Period=FQ","BEST_FPERIOD_OVERRIDE=FQ","FILING_STATUS=MR","SCALING_FORMAT=MLN","Sort=A","Dates=H","DateFormat=P","Fill=—","Direction=H","UseDPDF=Y")</f>
        <v>136</v>
      </c>
      <c r="AF39" s="13" cm="1">
        <f t="array" ref="AF39">_xll.BDH("NUE US Equity","SHORT_TERM_DEBT_DETAILED","FQ4 2025","FQ4 2025","Currency=USD","Period=FQ","BEST_FPERIOD_OVERRIDE=FQ","FILING_STATUS=MR","SCALING_FORMAT=MLN","Sort=A","Dates=H","DateFormat=P","Fill=—","Direction=H","UseDPDF=Y")</f>
        <v>122</v>
      </c>
    </row>
    <row r="40" spans="1:32" x14ac:dyDescent="0.25">
      <c r="A40" s="10" t="s">
        <v>127</v>
      </c>
      <c r="B40" s="10" t="s">
        <v>128</v>
      </c>
      <c r="C40" s="13" t="str" cm="1">
        <f t="array" ref="C40">_xll.BDH("NUE US Equity","ST_CAPITALIZED_LEASE_LIABILITIES","FQ3 2018","FQ3 2018","Currency=USD","Period=FQ","BEST_FPERIOD_OVERRIDE=FQ","FILING_STATUS=MR","SCALING_FORMAT=MLN","Sort=A","Dates=H","DateFormat=P","Fill=—","Direction=H","UseDPDF=Y")</f>
        <v>—</v>
      </c>
      <c r="D40" s="13" t="str" cm="1">
        <f t="array" ref="D40">_xll.BDH("NUE US Equity","ST_CAPITALIZED_LEASE_LIABILITIES","FQ4 2018","FQ4 2018","Currency=USD","Period=FQ","BEST_FPERIOD_OVERRIDE=FQ","FILING_STATUS=MR","SCALING_FORMAT=MLN","Sort=A","Dates=H","DateFormat=P","Fill=—","Direction=H","UseDPDF=Y")</f>
        <v>—</v>
      </c>
      <c r="E40" s="13" cm="1">
        <f t="array" ref="E40">_xll.BDH("NUE US Equity","ST_CAPITALIZED_LEASE_LIABILITIES","FQ1 2019","FQ1 2019","Currency=USD","Period=FQ","BEST_FPERIOD_OVERRIDE=FQ","FILING_STATUS=MR","SCALING_FORMAT=MLN","Sort=A","Dates=H","DateFormat=P","Fill=—","Direction=H","UseDPDF=Y")</f>
        <v>26.06</v>
      </c>
      <c r="F40" s="13" cm="1">
        <f t="array" ref="F40">_xll.BDH("NUE US Equity","ST_CAPITALIZED_LEASE_LIABILITIES","FQ2 2019","FQ2 2019","Currency=USD","Period=FQ","BEST_FPERIOD_OVERRIDE=FQ","FILING_STATUS=MR","SCALING_FORMAT=MLN","Sort=A","Dates=H","DateFormat=P","Fill=—","Direction=H","UseDPDF=Y")</f>
        <v>25.901</v>
      </c>
      <c r="G40" s="13" cm="1">
        <f t="array" ref="G40">_xll.BDH("NUE US Equity","ST_CAPITALIZED_LEASE_LIABILITIES","FQ3 2019","FQ3 2019","Currency=USD","Period=FQ","BEST_FPERIOD_OVERRIDE=FQ","FILING_STATUS=MR","SCALING_FORMAT=MLN","Sort=A","Dates=H","DateFormat=P","Fill=—","Direction=H","UseDPDF=Y")</f>
        <v>26.24</v>
      </c>
      <c r="H40" s="13" cm="1">
        <f t="array" ref="H40">_xll.BDH("NUE US Equity","ST_CAPITALIZED_LEASE_LIABILITIES","FQ4 2019","FQ4 2019","Currency=USD","Period=FQ","BEST_FPERIOD_OVERRIDE=FQ","FILING_STATUS=MR","SCALING_FORMAT=MLN","Sort=A","Dates=H","DateFormat=P","Fill=—","Direction=H","UseDPDF=Y")</f>
        <v>26.911000000000001</v>
      </c>
      <c r="I40" s="13" t="str" cm="1">
        <f t="array" ref="I40">_xll.BDH("NUE US Equity","ST_CAPITALIZED_LEASE_LIABILITIES","FQ1 2020","FQ1 2020","Currency=USD","Period=FQ","BEST_FPERIOD_OVERRIDE=FQ","FILING_STATUS=MR","SCALING_FORMAT=MLN","Sort=A","Dates=H","DateFormat=P","Fill=—","Direction=H","UseDPDF=Y")</f>
        <v>—</v>
      </c>
      <c r="J40" s="13" t="str" cm="1">
        <f t="array" ref="J40">_xll.BDH("NUE US Equity","ST_CAPITALIZED_LEASE_LIABILITIES","FQ2 2020","FQ2 2020","Currency=USD","Period=FQ","BEST_FPERIOD_OVERRIDE=FQ","FILING_STATUS=MR","SCALING_FORMAT=MLN","Sort=A","Dates=H","DateFormat=P","Fill=—","Direction=H","UseDPDF=Y")</f>
        <v>—</v>
      </c>
      <c r="K40" s="13" t="str" cm="1">
        <f t="array" ref="K40">_xll.BDH("NUE US Equity","ST_CAPITALIZED_LEASE_LIABILITIES","FQ3 2020","FQ3 2020","Currency=USD","Period=FQ","BEST_FPERIOD_OVERRIDE=FQ","FILING_STATUS=MR","SCALING_FORMAT=MLN","Sort=A","Dates=H","DateFormat=P","Fill=—","Direction=H","UseDPDF=Y")</f>
        <v>—</v>
      </c>
      <c r="L40" s="13" cm="1">
        <f t="array" ref="L40">_xll.BDH("NUE US Equity","ST_CAPITALIZED_LEASE_LIABILITIES","FQ4 2020","FQ4 2020","Currency=USD","Period=FQ","BEST_FPERIOD_OVERRIDE=FQ","FILING_STATUS=MR","SCALING_FORMAT=MLN","Sort=A","Dates=H","DateFormat=P","Fill=—","Direction=H","UseDPDF=Y")</f>
        <v>30.870999999999999</v>
      </c>
      <c r="M40" s="13" t="str" cm="1">
        <f t="array" ref="M40">_xll.BDH("NUE US Equity","ST_CAPITALIZED_LEASE_LIABILITIES","FQ1 2021","FQ1 2021","Currency=USD","Period=FQ","BEST_FPERIOD_OVERRIDE=FQ","FILING_STATUS=MR","SCALING_FORMAT=MLN","Sort=A","Dates=H","DateFormat=P","Fill=—","Direction=H","UseDPDF=Y")</f>
        <v>—</v>
      </c>
      <c r="N40" s="13" t="str" cm="1">
        <f t="array" ref="N40">_xll.BDH("NUE US Equity","ST_CAPITALIZED_LEASE_LIABILITIES","FQ2 2021","FQ2 2021","Currency=USD","Period=FQ","BEST_FPERIOD_OVERRIDE=FQ","FILING_STATUS=MR","SCALING_FORMAT=MLN","Sort=A","Dates=H","DateFormat=P","Fill=—","Direction=H","UseDPDF=Y")</f>
        <v>—</v>
      </c>
      <c r="O40" s="13" t="str" cm="1">
        <f t="array" ref="O40">_xll.BDH("NUE US Equity","ST_CAPITALIZED_LEASE_LIABILITIES","FQ3 2021","FQ3 2021","Currency=USD","Period=FQ","BEST_FPERIOD_OVERRIDE=FQ","FILING_STATUS=MR","SCALING_FORMAT=MLN","Sort=A","Dates=H","DateFormat=P","Fill=—","Direction=H","UseDPDF=Y")</f>
        <v>—</v>
      </c>
      <c r="P40" s="13" cm="1">
        <f t="array" ref="P40">_xll.BDH("NUE US Equity","ST_CAPITALIZED_LEASE_LIABILITIES","FQ4 2021","FQ4 2021","Currency=USD","Period=FQ","BEST_FPERIOD_OVERRIDE=FQ","FILING_STATUS=MR","SCALING_FORMAT=MLN","Sort=A","Dates=H","DateFormat=P","Fill=—","Direction=H","UseDPDF=Y")</f>
        <v>35.276000000000003</v>
      </c>
      <c r="Q40" s="13" t="str" cm="1">
        <f t="array" ref="Q40">_xll.BDH("NUE US Equity","ST_CAPITALIZED_LEASE_LIABILITIES","FQ1 2022","FQ1 2022","Currency=USD","Period=FQ","BEST_FPERIOD_OVERRIDE=FQ","FILING_STATUS=MR","SCALING_FORMAT=MLN","Sort=A","Dates=H","DateFormat=P","Fill=—","Direction=H","UseDPDF=Y")</f>
        <v>—</v>
      </c>
      <c r="R40" s="13" t="str" cm="1">
        <f t="array" ref="R40">_xll.BDH("NUE US Equity","ST_CAPITALIZED_LEASE_LIABILITIES","FQ2 2022","FQ2 2022","Currency=USD","Period=FQ","BEST_FPERIOD_OVERRIDE=FQ","FILING_STATUS=MR","SCALING_FORMAT=MLN","Sort=A","Dates=H","DateFormat=P","Fill=—","Direction=H","UseDPDF=Y")</f>
        <v>—</v>
      </c>
      <c r="S40" s="13" t="str" cm="1">
        <f t="array" ref="S40">_xll.BDH("NUE US Equity","ST_CAPITALIZED_LEASE_LIABILITIES","FQ3 2022","FQ3 2022","Currency=USD","Period=FQ","BEST_FPERIOD_OVERRIDE=FQ","FILING_STATUS=MR","SCALING_FORMAT=MLN","Sort=A","Dates=H","DateFormat=P","Fill=—","Direction=H","UseDPDF=Y")</f>
        <v>—</v>
      </c>
      <c r="T40" s="13" cm="1">
        <f t="array" ref="T40">_xll.BDH("NUE US Equity","ST_CAPITALIZED_LEASE_LIABILITIES","FQ4 2022","FQ4 2022","Currency=USD","Period=FQ","BEST_FPERIOD_OVERRIDE=FQ","FILING_STATUS=MR","SCALING_FORMAT=MLN","Sort=A","Dates=H","DateFormat=P","Fill=—","Direction=H","UseDPDF=Y")</f>
        <v>42.203000000000003</v>
      </c>
      <c r="U40" s="13" t="str" cm="1">
        <f t="array" ref="U40">_xll.BDH("NUE US Equity","ST_CAPITALIZED_LEASE_LIABILITIES","FQ1 2023","FQ1 2023","Currency=USD","Period=FQ","BEST_FPERIOD_OVERRIDE=FQ","FILING_STATUS=MR","SCALING_FORMAT=MLN","Sort=A","Dates=H","DateFormat=P","Fill=—","Direction=H","UseDPDF=Y")</f>
        <v>—</v>
      </c>
      <c r="V40" s="13" t="str" cm="1">
        <f t="array" ref="V40">_xll.BDH("NUE US Equity","ST_CAPITALIZED_LEASE_LIABILITIES","FQ2 2023","FQ2 2023","Currency=USD","Period=FQ","BEST_FPERIOD_OVERRIDE=FQ","FILING_STATUS=MR","SCALING_FORMAT=MLN","Sort=A","Dates=H","DateFormat=P","Fill=—","Direction=H","UseDPDF=Y")</f>
        <v>—</v>
      </c>
      <c r="W40" s="13" t="str" cm="1">
        <f t="array" ref="W40">_xll.BDH("NUE US Equity","ST_CAPITALIZED_LEASE_LIABILITIES","FQ3 2023","FQ3 2023","Currency=USD","Period=FQ","BEST_FPERIOD_OVERRIDE=FQ","FILING_STATUS=MR","SCALING_FORMAT=MLN","Sort=A","Dates=H","DateFormat=P","Fill=—","Direction=H","UseDPDF=Y")</f>
        <v>—</v>
      </c>
      <c r="X40" s="13" cm="1">
        <f t="array" ref="X40">_xll.BDH("NUE US Equity","ST_CAPITALIZED_LEASE_LIABILITIES","FQ4 2023","FQ4 2023","Currency=USD","Period=FQ","BEST_FPERIOD_OVERRIDE=FQ","FILING_STATUS=MR","SCALING_FORMAT=MLN","Sort=A","Dates=H","DateFormat=P","Fill=—","Direction=H","UseDPDF=Y")</f>
        <v>39.506999999999998</v>
      </c>
      <c r="Y40" s="13" t="str" cm="1">
        <f t="array" ref="Y40">_xll.BDH("NUE US Equity","ST_CAPITALIZED_LEASE_LIABILITIES","FQ1 2024","FQ1 2024","Currency=USD","Period=FQ","BEST_FPERIOD_OVERRIDE=FQ","FILING_STATUS=MR","SCALING_FORMAT=MLN","Sort=A","Dates=H","DateFormat=P","Fill=—","Direction=H","UseDPDF=Y")</f>
        <v>—</v>
      </c>
      <c r="Z40" s="13" t="str" cm="1">
        <f t="array" ref="Z40">_xll.BDH("NUE US Equity","ST_CAPITALIZED_LEASE_LIABILITIES","FQ2 2024","FQ2 2024","Currency=USD","Period=FQ","BEST_FPERIOD_OVERRIDE=FQ","FILING_STATUS=MR","SCALING_FORMAT=MLN","Sort=A","Dates=H","DateFormat=P","Fill=—","Direction=H","UseDPDF=Y")</f>
        <v>—</v>
      </c>
      <c r="AA40" s="13" t="str" cm="1">
        <f t="array" ref="AA40">_xll.BDH("NUE US Equity","ST_CAPITALIZED_LEASE_LIABILITIES","FQ3 2024","FQ3 2024","Currency=USD","Period=FQ","BEST_FPERIOD_OVERRIDE=FQ","FILING_STATUS=MR","SCALING_FORMAT=MLN","Sort=A","Dates=H","DateFormat=P","Fill=—","Direction=H","UseDPDF=Y")</f>
        <v>—</v>
      </c>
      <c r="AB40" s="13" cm="1">
        <f t="array" ref="AB40">_xll.BDH("NUE US Equity","ST_CAPITALIZED_LEASE_LIABILITIES","FQ4 2024","FQ4 2024","Currency=USD","Period=FQ","BEST_FPERIOD_OVERRIDE=FQ","FILING_STATUS=MR","SCALING_FORMAT=MLN","Sort=A","Dates=H","DateFormat=P","Fill=—","Direction=H","UseDPDF=Y")</f>
        <v>41</v>
      </c>
      <c r="AC40" s="13" t="str" cm="1">
        <f t="array" ref="AC40">_xll.BDH("NUE US Equity","ST_CAPITALIZED_LEASE_LIABILITIES","FQ1 2025","FQ1 2025","Currency=USD","Period=FQ","BEST_FPERIOD_OVERRIDE=FQ","FILING_STATUS=MR","SCALING_FORMAT=MLN","Sort=A","Dates=H","DateFormat=P","Fill=—","Direction=H","UseDPDF=Y")</f>
        <v>—</v>
      </c>
      <c r="AD40" s="13" t="str" cm="1">
        <f t="array" ref="AD40">_xll.BDH("NUE US Equity","ST_CAPITALIZED_LEASE_LIABILITIES","FQ2 2025","FQ2 2025","Currency=USD","Period=FQ","BEST_FPERIOD_OVERRIDE=FQ","FILING_STATUS=MR","SCALING_FORMAT=MLN","Sort=A","Dates=H","DateFormat=P","Fill=—","Direction=H","UseDPDF=Y")</f>
        <v>—</v>
      </c>
      <c r="AE40" s="13" t="str" cm="1">
        <f t="array" ref="AE40">_xll.BDH("NUE US Equity","ST_CAPITALIZED_LEASE_LIABILITIES","FQ3 2025","FQ3 2025","Currency=USD","Period=FQ","BEST_FPERIOD_OVERRIDE=FQ","FILING_STATUS=MR","SCALING_FORMAT=MLN","Sort=A","Dates=H","DateFormat=P","Fill=—","Direction=H","UseDPDF=Y")</f>
        <v>—</v>
      </c>
      <c r="AF40" s="13" t="str" cm="1">
        <f t="array" ref="AF40">_xll.BDH("NUE US Equity","ST_CAPITALIZED_LEASE_LIABILITIES","FQ4 2025","FQ4 2025","Currency=USD","Period=FQ","BEST_FPERIOD_OVERRIDE=FQ","FILING_STATUS=MR","SCALING_FORMAT=MLN","Sort=A","Dates=H","DateFormat=P","Fill=—","Direction=H","UseDPDF=Y")</f>
        <v>—</v>
      </c>
    </row>
    <row r="41" spans="1:32" x14ac:dyDescent="0.25">
      <c r="A41" s="11" t="s">
        <v>129</v>
      </c>
      <c r="B41" s="11" t="s">
        <v>130</v>
      </c>
      <c r="C41" s="17" t="str" cm="1">
        <f t="array" ref="C41">_xll.BDH("NUE US Equity","ST_CAPITAL_LEASE_OBLIGATIONS","FQ3 2018","FQ3 2018","Currency=USD","Period=FQ","BEST_FPERIOD_OVERRIDE=FQ","FILING_STATUS=MR","SCALING_FORMAT=MLN","Sort=A","Dates=H","DateFormat=P","Fill=—","Direction=H","UseDPDF=Y")</f>
        <v>—</v>
      </c>
      <c r="D41" s="17" t="str" cm="1">
        <f t="array" ref="D41">_xll.BDH("NUE US Equity","ST_CAPITAL_LEASE_OBLIGATIONS","FQ4 2018","FQ4 2018","Currency=USD","Period=FQ","BEST_FPERIOD_OVERRIDE=FQ","FILING_STATUS=MR","SCALING_FORMAT=MLN","Sort=A","Dates=H","DateFormat=P","Fill=—","Direction=H","UseDPDF=Y")</f>
        <v>—</v>
      </c>
      <c r="E41" s="17" cm="1">
        <f t="array" ref="E41">_xll.BDH("NUE US Equity","ST_CAPITAL_LEASE_OBLIGATIONS","FQ1 2019","FQ1 2019","Currency=USD","Period=FQ","BEST_FPERIOD_OVERRIDE=FQ","FILING_STATUS=MR","SCALING_FORMAT=MLN","Sort=A","Dates=H","DateFormat=P","Fill=—","Direction=H","UseDPDF=Y")</f>
        <v>8.2669999999999995</v>
      </c>
      <c r="F41" s="17" cm="1">
        <f t="array" ref="F41">_xll.BDH("NUE US Equity","ST_CAPITAL_LEASE_OBLIGATIONS","FQ2 2019","FQ2 2019","Currency=USD","Period=FQ","BEST_FPERIOD_OVERRIDE=FQ","FILING_STATUS=MR","SCALING_FORMAT=MLN","Sort=A","Dates=H","DateFormat=P","Fill=—","Direction=H","UseDPDF=Y")</f>
        <v>8.14</v>
      </c>
      <c r="G41" s="17" cm="1">
        <f t="array" ref="G41">_xll.BDH("NUE US Equity","ST_CAPITAL_LEASE_OBLIGATIONS","FQ3 2019","FQ3 2019","Currency=USD","Period=FQ","BEST_FPERIOD_OVERRIDE=FQ","FILING_STATUS=MR","SCALING_FORMAT=MLN","Sort=A","Dates=H","DateFormat=P","Fill=—","Direction=H","UseDPDF=Y")</f>
        <v>8.8780000000000001</v>
      </c>
      <c r="H41" s="17" cm="1">
        <f t="array" ref="H41">_xll.BDH("NUE US Equity","ST_CAPITAL_LEASE_OBLIGATIONS","FQ4 2019","FQ4 2019","Currency=USD","Period=FQ","BEST_FPERIOD_OVERRIDE=FQ","FILING_STATUS=MR","SCALING_FORMAT=MLN","Sort=A","Dates=H","DateFormat=P","Fill=—","Direction=H","UseDPDF=Y")</f>
        <v>9.2639999999999993</v>
      </c>
      <c r="I41" s="17" t="str" cm="1">
        <f t="array" ref="I41">_xll.BDH("NUE US Equity","ST_CAPITAL_LEASE_OBLIGATIONS","FQ1 2020","FQ1 2020","Currency=USD","Period=FQ","BEST_FPERIOD_OVERRIDE=FQ","FILING_STATUS=MR","SCALING_FORMAT=MLN","Sort=A","Dates=H","DateFormat=P","Fill=—","Direction=H","UseDPDF=Y")</f>
        <v>—</v>
      </c>
      <c r="J41" s="17" t="str" cm="1">
        <f t="array" ref="J41">_xll.BDH("NUE US Equity","ST_CAPITAL_LEASE_OBLIGATIONS","FQ2 2020","FQ2 2020","Currency=USD","Period=FQ","BEST_FPERIOD_OVERRIDE=FQ","FILING_STATUS=MR","SCALING_FORMAT=MLN","Sort=A","Dates=H","DateFormat=P","Fill=—","Direction=H","UseDPDF=Y")</f>
        <v>—</v>
      </c>
      <c r="K41" s="17" t="str" cm="1">
        <f t="array" ref="K41">_xll.BDH("NUE US Equity","ST_CAPITAL_LEASE_OBLIGATIONS","FQ3 2020","FQ3 2020","Currency=USD","Period=FQ","BEST_FPERIOD_OVERRIDE=FQ","FILING_STATUS=MR","SCALING_FORMAT=MLN","Sort=A","Dates=H","DateFormat=P","Fill=—","Direction=H","UseDPDF=Y")</f>
        <v>—</v>
      </c>
      <c r="L41" s="17" cm="1">
        <f t="array" ref="L41">_xll.BDH("NUE US Equity","ST_CAPITAL_LEASE_OBLIGATIONS","FQ4 2020","FQ4 2020","Currency=USD","Period=FQ","BEST_FPERIOD_OVERRIDE=FQ","FILING_STATUS=MR","SCALING_FORMAT=MLN","Sort=A","Dates=H","DateFormat=P","Fill=—","Direction=H","UseDPDF=Y")</f>
        <v>10.885</v>
      </c>
      <c r="M41" s="17" t="str" cm="1">
        <f t="array" ref="M41">_xll.BDH("NUE US Equity","ST_CAPITAL_LEASE_OBLIGATIONS","FQ1 2021","FQ1 2021","Currency=USD","Period=FQ","BEST_FPERIOD_OVERRIDE=FQ","FILING_STATUS=MR","SCALING_FORMAT=MLN","Sort=A","Dates=H","DateFormat=P","Fill=—","Direction=H","UseDPDF=Y")</f>
        <v>—</v>
      </c>
      <c r="N41" s="17" t="str" cm="1">
        <f t="array" ref="N41">_xll.BDH("NUE US Equity","ST_CAPITAL_LEASE_OBLIGATIONS","FQ2 2021","FQ2 2021","Currency=USD","Period=FQ","BEST_FPERIOD_OVERRIDE=FQ","FILING_STATUS=MR","SCALING_FORMAT=MLN","Sort=A","Dates=H","DateFormat=P","Fill=—","Direction=H","UseDPDF=Y")</f>
        <v>—</v>
      </c>
      <c r="O41" s="17" t="str" cm="1">
        <f t="array" ref="O41">_xll.BDH("NUE US Equity","ST_CAPITAL_LEASE_OBLIGATIONS","FQ3 2021","FQ3 2021","Currency=USD","Period=FQ","BEST_FPERIOD_OVERRIDE=FQ","FILING_STATUS=MR","SCALING_FORMAT=MLN","Sort=A","Dates=H","DateFormat=P","Fill=—","Direction=H","UseDPDF=Y")</f>
        <v>—</v>
      </c>
      <c r="P41" s="17" cm="1">
        <f t="array" ref="P41">_xll.BDH("NUE US Equity","ST_CAPITAL_LEASE_OBLIGATIONS","FQ4 2021","FQ4 2021","Currency=USD","Period=FQ","BEST_FPERIOD_OVERRIDE=FQ","FILING_STATUS=MR","SCALING_FORMAT=MLN","Sort=A","Dates=H","DateFormat=P","Fill=—","Direction=H","UseDPDF=Y")</f>
        <v>14.678000000000001</v>
      </c>
      <c r="Q41" s="17" t="str" cm="1">
        <f t="array" ref="Q41">_xll.BDH("NUE US Equity","ST_CAPITAL_LEASE_OBLIGATIONS","FQ1 2022","FQ1 2022","Currency=USD","Period=FQ","BEST_FPERIOD_OVERRIDE=FQ","FILING_STATUS=MR","SCALING_FORMAT=MLN","Sort=A","Dates=H","DateFormat=P","Fill=—","Direction=H","UseDPDF=Y")</f>
        <v>—</v>
      </c>
      <c r="R41" s="17" t="str" cm="1">
        <f t="array" ref="R41">_xll.BDH("NUE US Equity","ST_CAPITAL_LEASE_OBLIGATIONS","FQ2 2022","FQ2 2022","Currency=USD","Period=FQ","BEST_FPERIOD_OVERRIDE=FQ","FILING_STATUS=MR","SCALING_FORMAT=MLN","Sort=A","Dates=H","DateFormat=P","Fill=—","Direction=H","UseDPDF=Y")</f>
        <v>—</v>
      </c>
      <c r="S41" s="17" t="str" cm="1">
        <f t="array" ref="S41">_xll.BDH("NUE US Equity","ST_CAPITAL_LEASE_OBLIGATIONS","FQ3 2022","FQ3 2022","Currency=USD","Period=FQ","BEST_FPERIOD_OVERRIDE=FQ","FILING_STATUS=MR","SCALING_FORMAT=MLN","Sort=A","Dates=H","DateFormat=P","Fill=—","Direction=H","UseDPDF=Y")</f>
        <v>—</v>
      </c>
      <c r="T41" s="17" cm="1">
        <f t="array" ref="T41">_xll.BDH("NUE US Equity","ST_CAPITAL_LEASE_OBLIGATIONS","FQ4 2022","FQ4 2022","Currency=USD","Period=FQ","BEST_FPERIOD_OVERRIDE=FQ","FILING_STATUS=MR","SCALING_FORMAT=MLN","Sort=A","Dates=H","DateFormat=P","Fill=—","Direction=H","UseDPDF=Y")</f>
        <v>18.582000000000001</v>
      </c>
      <c r="U41" s="17" t="str" cm="1">
        <f t="array" ref="U41">_xll.BDH("NUE US Equity","ST_CAPITAL_LEASE_OBLIGATIONS","FQ1 2023","FQ1 2023","Currency=USD","Period=FQ","BEST_FPERIOD_OVERRIDE=FQ","FILING_STATUS=MR","SCALING_FORMAT=MLN","Sort=A","Dates=H","DateFormat=P","Fill=—","Direction=H","UseDPDF=Y")</f>
        <v>—</v>
      </c>
      <c r="V41" s="17" t="str" cm="1">
        <f t="array" ref="V41">_xll.BDH("NUE US Equity","ST_CAPITAL_LEASE_OBLIGATIONS","FQ2 2023","FQ2 2023","Currency=USD","Period=FQ","BEST_FPERIOD_OVERRIDE=FQ","FILING_STATUS=MR","SCALING_FORMAT=MLN","Sort=A","Dates=H","DateFormat=P","Fill=—","Direction=H","UseDPDF=Y")</f>
        <v>—</v>
      </c>
      <c r="W41" s="17" t="str" cm="1">
        <f t="array" ref="W41">_xll.BDH("NUE US Equity","ST_CAPITAL_LEASE_OBLIGATIONS","FQ3 2023","FQ3 2023","Currency=USD","Period=FQ","BEST_FPERIOD_OVERRIDE=FQ","FILING_STATUS=MR","SCALING_FORMAT=MLN","Sort=A","Dates=H","DateFormat=P","Fill=—","Direction=H","UseDPDF=Y")</f>
        <v>—</v>
      </c>
      <c r="X41" s="17" cm="1">
        <f t="array" ref="X41">_xll.BDH("NUE US Equity","ST_CAPITAL_LEASE_OBLIGATIONS","FQ4 2023","FQ4 2023","Currency=USD","Period=FQ","BEST_FPERIOD_OVERRIDE=FQ","FILING_STATUS=MR","SCALING_FORMAT=MLN","Sort=A","Dates=H","DateFormat=P","Fill=—","Direction=H","UseDPDF=Y")</f>
        <v>14.102</v>
      </c>
      <c r="Y41" s="17" t="str" cm="1">
        <f t="array" ref="Y41">_xll.BDH("NUE US Equity","ST_CAPITAL_LEASE_OBLIGATIONS","FQ1 2024","FQ1 2024","Currency=USD","Period=FQ","BEST_FPERIOD_OVERRIDE=FQ","FILING_STATUS=MR","SCALING_FORMAT=MLN","Sort=A","Dates=H","DateFormat=P","Fill=—","Direction=H","UseDPDF=Y")</f>
        <v>—</v>
      </c>
      <c r="Z41" s="17" t="str" cm="1">
        <f t="array" ref="Z41">_xll.BDH("NUE US Equity","ST_CAPITAL_LEASE_OBLIGATIONS","FQ2 2024","FQ2 2024","Currency=USD","Period=FQ","BEST_FPERIOD_OVERRIDE=FQ","FILING_STATUS=MR","SCALING_FORMAT=MLN","Sort=A","Dates=H","DateFormat=P","Fill=—","Direction=H","UseDPDF=Y")</f>
        <v>—</v>
      </c>
      <c r="AA41" s="17" t="str" cm="1">
        <f t="array" ref="AA41">_xll.BDH("NUE US Equity","ST_CAPITAL_LEASE_OBLIGATIONS","FQ3 2024","FQ3 2024","Currency=USD","Period=FQ","BEST_FPERIOD_OVERRIDE=FQ","FILING_STATUS=MR","SCALING_FORMAT=MLN","Sort=A","Dates=H","DateFormat=P","Fill=—","Direction=H","UseDPDF=Y")</f>
        <v>—</v>
      </c>
      <c r="AB41" s="17" cm="1">
        <f t="array" ref="AB41">_xll.BDH("NUE US Equity","ST_CAPITAL_LEASE_OBLIGATIONS","FQ4 2024","FQ4 2024","Currency=USD","Period=FQ","BEST_FPERIOD_OVERRIDE=FQ","FILING_STATUS=MR","SCALING_FORMAT=MLN","Sort=A","Dates=H","DateFormat=P","Fill=—","Direction=H","UseDPDF=Y")</f>
        <v>17</v>
      </c>
      <c r="AC41" s="17" t="str" cm="1">
        <f t="array" ref="AC41">_xll.BDH("NUE US Equity","ST_CAPITAL_LEASE_OBLIGATIONS","FQ1 2025","FQ1 2025","Currency=USD","Period=FQ","BEST_FPERIOD_OVERRIDE=FQ","FILING_STATUS=MR","SCALING_FORMAT=MLN","Sort=A","Dates=H","DateFormat=P","Fill=—","Direction=H","UseDPDF=Y")</f>
        <v>—</v>
      </c>
      <c r="AD41" s="17" t="str" cm="1">
        <f t="array" ref="AD41">_xll.BDH("NUE US Equity","ST_CAPITAL_LEASE_OBLIGATIONS","FQ2 2025","FQ2 2025","Currency=USD","Period=FQ","BEST_FPERIOD_OVERRIDE=FQ","FILING_STATUS=MR","SCALING_FORMAT=MLN","Sort=A","Dates=H","DateFormat=P","Fill=—","Direction=H","UseDPDF=Y")</f>
        <v>—</v>
      </c>
      <c r="AE41" s="17" t="str" cm="1">
        <f t="array" ref="AE41">_xll.BDH("NUE US Equity","ST_CAPITAL_LEASE_OBLIGATIONS","FQ3 2025","FQ3 2025","Currency=USD","Period=FQ","BEST_FPERIOD_OVERRIDE=FQ","FILING_STATUS=MR","SCALING_FORMAT=MLN","Sort=A","Dates=H","DateFormat=P","Fill=—","Direction=H","UseDPDF=Y")</f>
        <v>—</v>
      </c>
      <c r="AF41" s="17" t="str" cm="1">
        <f t="array" ref="AF41">_xll.BDH("NUE US Equity","ST_CAPITAL_LEASE_OBLIGATIONS","FQ4 2025","FQ4 2025","Currency=USD","Period=FQ","BEST_FPERIOD_OVERRIDE=FQ","FILING_STATUS=MR","SCALING_FORMAT=MLN","Sort=A","Dates=H","DateFormat=P","Fill=—","Direction=H","UseDPDF=Y")</f>
        <v>—</v>
      </c>
    </row>
    <row r="42" spans="1:32" x14ac:dyDescent="0.25">
      <c r="A42" s="11" t="s">
        <v>131</v>
      </c>
      <c r="B42" s="11" t="s">
        <v>132</v>
      </c>
      <c r="C42" s="17" t="str" cm="1">
        <f t="array" ref="C42">_xll.BDH("NUE US Equity","BS_ST_OPERATING_LEASE_LIABS","FQ3 2018","FQ3 2018","Currency=USD","Period=FQ","BEST_FPERIOD_OVERRIDE=FQ","FILING_STATUS=MR","SCALING_FORMAT=MLN","Sort=A","Dates=H","DateFormat=P","Fill=—","Direction=H","UseDPDF=Y")</f>
        <v>—</v>
      </c>
      <c r="D42" s="17" t="str" cm="1">
        <f t="array" ref="D42">_xll.BDH("NUE US Equity","BS_ST_OPERATING_LEASE_LIABS","FQ4 2018","FQ4 2018","Currency=USD","Period=FQ","BEST_FPERIOD_OVERRIDE=FQ","FILING_STATUS=MR","SCALING_FORMAT=MLN","Sort=A","Dates=H","DateFormat=P","Fill=—","Direction=H","UseDPDF=Y")</f>
        <v>—</v>
      </c>
      <c r="E42" s="17" cm="1">
        <f t="array" ref="E42">_xll.BDH("NUE US Equity","BS_ST_OPERATING_LEASE_LIABS","FQ1 2019","FQ1 2019","Currency=USD","Period=FQ","BEST_FPERIOD_OVERRIDE=FQ","FILING_STATUS=MR","SCALING_FORMAT=MLN","Sort=A","Dates=H","DateFormat=P","Fill=—","Direction=H","UseDPDF=Y")</f>
        <v>17.792999999999999</v>
      </c>
      <c r="F42" s="17" cm="1">
        <f t="array" ref="F42">_xll.BDH("NUE US Equity","BS_ST_OPERATING_LEASE_LIABS","FQ2 2019","FQ2 2019","Currency=USD","Period=FQ","BEST_FPERIOD_OVERRIDE=FQ","FILING_STATUS=MR","SCALING_FORMAT=MLN","Sort=A","Dates=H","DateFormat=P","Fill=—","Direction=H","UseDPDF=Y")</f>
        <v>17.760999999999999</v>
      </c>
      <c r="G42" s="17" cm="1">
        <f t="array" ref="G42">_xll.BDH("NUE US Equity","BS_ST_OPERATING_LEASE_LIABS","FQ3 2019","FQ3 2019","Currency=USD","Period=FQ","BEST_FPERIOD_OVERRIDE=FQ","FILING_STATUS=MR","SCALING_FORMAT=MLN","Sort=A","Dates=H","DateFormat=P","Fill=—","Direction=H","UseDPDF=Y")</f>
        <v>17.361999999999998</v>
      </c>
      <c r="H42" s="17" cm="1">
        <f t="array" ref="H42">_xll.BDH("NUE US Equity","BS_ST_OPERATING_LEASE_LIABS","FQ4 2019","FQ4 2019","Currency=USD","Period=FQ","BEST_FPERIOD_OVERRIDE=FQ","FILING_STATUS=MR","SCALING_FORMAT=MLN","Sort=A","Dates=H","DateFormat=P","Fill=—","Direction=H","UseDPDF=Y")</f>
        <v>17.646999999999998</v>
      </c>
      <c r="I42" s="17" t="str" cm="1">
        <f t="array" ref="I42">_xll.BDH("NUE US Equity","BS_ST_OPERATING_LEASE_LIABS","FQ1 2020","FQ1 2020","Currency=USD","Period=FQ","BEST_FPERIOD_OVERRIDE=FQ","FILING_STATUS=MR","SCALING_FORMAT=MLN","Sort=A","Dates=H","DateFormat=P","Fill=—","Direction=H","UseDPDF=Y")</f>
        <v>—</v>
      </c>
      <c r="J42" s="17" t="str" cm="1">
        <f t="array" ref="J42">_xll.BDH("NUE US Equity","BS_ST_OPERATING_LEASE_LIABS","FQ2 2020","FQ2 2020","Currency=USD","Period=FQ","BEST_FPERIOD_OVERRIDE=FQ","FILING_STATUS=MR","SCALING_FORMAT=MLN","Sort=A","Dates=H","DateFormat=P","Fill=—","Direction=H","UseDPDF=Y")</f>
        <v>—</v>
      </c>
      <c r="K42" s="17" t="str" cm="1">
        <f t="array" ref="K42">_xll.BDH("NUE US Equity","BS_ST_OPERATING_LEASE_LIABS","FQ3 2020","FQ3 2020","Currency=USD","Period=FQ","BEST_FPERIOD_OVERRIDE=FQ","FILING_STATUS=MR","SCALING_FORMAT=MLN","Sort=A","Dates=H","DateFormat=P","Fill=—","Direction=H","UseDPDF=Y")</f>
        <v>—</v>
      </c>
      <c r="L42" s="17" cm="1">
        <f t="array" ref="L42">_xll.BDH("NUE US Equity","BS_ST_OPERATING_LEASE_LIABS","FQ4 2020","FQ4 2020","Currency=USD","Period=FQ","BEST_FPERIOD_OVERRIDE=FQ","FILING_STATUS=MR","SCALING_FORMAT=MLN","Sort=A","Dates=H","DateFormat=P","Fill=—","Direction=H","UseDPDF=Y")</f>
        <v>19.986000000000001</v>
      </c>
      <c r="M42" s="17" t="str" cm="1">
        <f t="array" ref="M42">_xll.BDH("NUE US Equity","BS_ST_OPERATING_LEASE_LIABS","FQ1 2021","FQ1 2021","Currency=USD","Period=FQ","BEST_FPERIOD_OVERRIDE=FQ","FILING_STATUS=MR","SCALING_FORMAT=MLN","Sort=A","Dates=H","DateFormat=P","Fill=—","Direction=H","UseDPDF=Y")</f>
        <v>—</v>
      </c>
      <c r="N42" s="17" t="str" cm="1">
        <f t="array" ref="N42">_xll.BDH("NUE US Equity","BS_ST_OPERATING_LEASE_LIABS","FQ2 2021","FQ2 2021","Currency=USD","Period=FQ","BEST_FPERIOD_OVERRIDE=FQ","FILING_STATUS=MR","SCALING_FORMAT=MLN","Sort=A","Dates=H","DateFormat=P","Fill=—","Direction=H","UseDPDF=Y")</f>
        <v>—</v>
      </c>
      <c r="O42" s="17" t="str" cm="1">
        <f t="array" ref="O42">_xll.BDH("NUE US Equity","BS_ST_OPERATING_LEASE_LIABS","FQ3 2021","FQ3 2021","Currency=USD","Period=FQ","BEST_FPERIOD_OVERRIDE=FQ","FILING_STATUS=MR","SCALING_FORMAT=MLN","Sort=A","Dates=H","DateFormat=P","Fill=—","Direction=H","UseDPDF=Y")</f>
        <v>—</v>
      </c>
      <c r="P42" s="17" cm="1">
        <f t="array" ref="P42">_xll.BDH("NUE US Equity","BS_ST_OPERATING_LEASE_LIABS","FQ4 2021","FQ4 2021","Currency=USD","Period=FQ","BEST_FPERIOD_OVERRIDE=FQ","FILING_STATUS=MR","SCALING_FORMAT=MLN","Sort=A","Dates=H","DateFormat=P","Fill=—","Direction=H","UseDPDF=Y")</f>
        <v>20.597999999999999</v>
      </c>
      <c r="Q42" s="17" t="str" cm="1">
        <f t="array" ref="Q42">_xll.BDH("NUE US Equity","BS_ST_OPERATING_LEASE_LIABS","FQ1 2022","FQ1 2022","Currency=USD","Period=FQ","BEST_FPERIOD_OVERRIDE=FQ","FILING_STATUS=MR","SCALING_FORMAT=MLN","Sort=A","Dates=H","DateFormat=P","Fill=—","Direction=H","UseDPDF=Y")</f>
        <v>—</v>
      </c>
      <c r="R42" s="17" t="str" cm="1">
        <f t="array" ref="R42">_xll.BDH("NUE US Equity","BS_ST_OPERATING_LEASE_LIABS","FQ2 2022","FQ2 2022","Currency=USD","Period=FQ","BEST_FPERIOD_OVERRIDE=FQ","FILING_STATUS=MR","SCALING_FORMAT=MLN","Sort=A","Dates=H","DateFormat=P","Fill=—","Direction=H","UseDPDF=Y")</f>
        <v>—</v>
      </c>
      <c r="S42" s="17" t="str" cm="1">
        <f t="array" ref="S42">_xll.BDH("NUE US Equity","BS_ST_OPERATING_LEASE_LIABS","FQ3 2022","FQ3 2022","Currency=USD","Period=FQ","BEST_FPERIOD_OVERRIDE=FQ","FILING_STATUS=MR","SCALING_FORMAT=MLN","Sort=A","Dates=H","DateFormat=P","Fill=—","Direction=H","UseDPDF=Y")</f>
        <v>—</v>
      </c>
      <c r="T42" s="17" cm="1">
        <f t="array" ref="T42">_xll.BDH("NUE US Equity","BS_ST_OPERATING_LEASE_LIABS","FQ4 2022","FQ4 2022","Currency=USD","Period=FQ","BEST_FPERIOD_OVERRIDE=FQ","FILING_STATUS=MR","SCALING_FORMAT=MLN","Sort=A","Dates=H","DateFormat=P","Fill=—","Direction=H","UseDPDF=Y")</f>
        <v>23.620999999999999</v>
      </c>
      <c r="U42" s="17" t="str" cm="1">
        <f t="array" ref="U42">_xll.BDH("NUE US Equity","BS_ST_OPERATING_LEASE_LIABS","FQ1 2023","FQ1 2023","Currency=USD","Period=FQ","BEST_FPERIOD_OVERRIDE=FQ","FILING_STATUS=MR","SCALING_FORMAT=MLN","Sort=A","Dates=H","DateFormat=P","Fill=—","Direction=H","UseDPDF=Y")</f>
        <v>—</v>
      </c>
      <c r="V42" s="17" t="str" cm="1">
        <f t="array" ref="V42">_xll.BDH("NUE US Equity","BS_ST_OPERATING_LEASE_LIABS","FQ2 2023","FQ2 2023","Currency=USD","Period=FQ","BEST_FPERIOD_OVERRIDE=FQ","FILING_STATUS=MR","SCALING_FORMAT=MLN","Sort=A","Dates=H","DateFormat=P","Fill=—","Direction=H","UseDPDF=Y")</f>
        <v>—</v>
      </c>
      <c r="W42" s="17" t="str" cm="1">
        <f t="array" ref="W42">_xll.BDH("NUE US Equity","BS_ST_OPERATING_LEASE_LIABS","FQ3 2023","FQ3 2023","Currency=USD","Period=FQ","BEST_FPERIOD_OVERRIDE=FQ","FILING_STATUS=MR","SCALING_FORMAT=MLN","Sort=A","Dates=H","DateFormat=P","Fill=—","Direction=H","UseDPDF=Y")</f>
        <v>—</v>
      </c>
      <c r="X42" s="17" cm="1">
        <f t="array" ref="X42">_xll.BDH("NUE US Equity","BS_ST_OPERATING_LEASE_LIABS","FQ4 2023","FQ4 2023","Currency=USD","Period=FQ","BEST_FPERIOD_OVERRIDE=FQ","FILING_STATUS=MR","SCALING_FORMAT=MLN","Sort=A","Dates=H","DateFormat=P","Fill=—","Direction=H","UseDPDF=Y")</f>
        <v>25.405000000000001</v>
      </c>
      <c r="Y42" s="17" t="str" cm="1">
        <f t="array" ref="Y42">_xll.BDH("NUE US Equity","BS_ST_OPERATING_LEASE_LIABS","FQ1 2024","FQ1 2024","Currency=USD","Period=FQ","BEST_FPERIOD_OVERRIDE=FQ","FILING_STATUS=MR","SCALING_FORMAT=MLN","Sort=A","Dates=H","DateFormat=P","Fill=—","Direction=H","UseDPDF=Y")</f>
        <v>—</v>
      </c>
      <c r="Z42" s="17" t="str" cm="1">
        <f t="array" ref="Z42">_xll.BDH("NUE US Equity","BS_ST_OPERATING_LEASE_LIABS","FQ2 2024","FQ2 2024","Currency=USD","Period=FQ","BEST_FPERIOD_OVERRIDE=FQ","FILING_STATUS=MR","SCALING_FORMAT=MLN","Sort=A","Dates=H","DateFormat=P","Fill=—","Direction=H","UseDPDF=Y")</f>
        <v>—</v>
      </c>
      <c r="AA42" s="17" t="str" cm="1">
        <f t="array" ref="AA42">_xll.BDH("NUE US Equity","BS_ST_OPERATING_LEASE_LIABS","FQ3 2024","FQ3 2024","Currency=USD","Period=FQ","BEST_FPERIOD_OVERRIDE=FQ","FILING_STATUS=MR","SCALING_FORMAT=MLN","Sort=A","Dates=H","DateFormat=P","Fill=—","Direction=H","UseDPDF=Y")</f>
        <v>—</v>
      </c>
      <c r="AB42" s="17" cm="1">
        <f t="array" ref="AB42">_xll.BDH("NUE US Equity","BS_ST_OPERATING_LEASE_LIABS","FQ4 2024","FQ4 2024","Currency=USD","Period=FQ","BEST_FPERIOD_OVERRIDE=FQ","FILING_STATUS=MR","SCALING_FORMAT=MLN","Sort=A","Dates=H","DateFormat=P","Fill=—","Direction=H","UseDPDF=Y")</f>
        <v>24</v>
      </c>
      <c r="AC42" s="17" t="str" cm="1">
        <f t="array" ref="AC42">_xll.BDH("NUE US Equity","BS_ST_OPERATING_LEASE_LIABS","FQ1 2025","FQ1 2025","Currency=USD","Period=FQ","BEST_FPERIOD_OVERRIDE=FQ","FILING_STATUS=MR","SCALING_FORMAT=MLN","Sort=A","Dates=H","DateFormat=P","Fill=—","Direction=H","UseDPDF=Y")</f>
        <v>—</v>
      </c>
      <c r="AD42" s="17" t="str" cm="1">
        <f t="array" ref="AD42">_xll.BDH("NUE US Equity","BS_ST_OPERATING_LEASE_LIABS","FQ2 2025","FQ2 2025","Currency=USD","Period=FQ","BEST_FPERIOD_OVERRIDE=FQ","FILING_STATUS=MR","SCALING_FORMAT=MLN","Sort=A","Dates=H","DateFormat=P","Fill=—","Direction=H","UseDPDF=Y")</f>
        <v>—</v>
      </c>
      <c r="AE42" s="17" t="str" cm="1">
        <f t="array" ref="AE42">_xll.BDH("NUE US Equity","BS_ST_OPERATING_LEASE_LIABS","FQ3 2025","FQ3 2025","Currency=USD","Period=FQ","BEST_FPERIOD_OVERRIDE=FQ","FILING_STATUS=MR","SCALING_FORMAT=MLN","Sort=A","Dates=H","DateFormat=P","Fill=—","Direction=H","UseDPDF=Y")</f>
        <v>—</v>
      </c>
      <c r="AF42" s="17" t="str" cm="1">
        <f t="array" ref="AF42">_xll.BDH("NUE US Equity","BS_ST_OPERATING_LEASE_LIABS","FQ4 2025","FQ4 2025","Currency=USD","Period=FQ","BEST_FPERIOD_OVERRIDE=FQ","FILING_STATUS=MR","SCALING_FORMAT=MLN","Sort=A","Dates=H","DateFormat=P","Fill=—","Direction=H","UseDPDF=Y")</f>
        <v>—</v>
      </c>
    </row>
    <row r="43" spans="1:32" x14ac:dyDescent="0.25">
      <c r="A43" s="10" t="s">
        <v>133</v>
      </c>
      <c r="B43" s="10" t="s">
        <v>134</v>
      </c>
      <c r="C43" s="13" cm="1">
        <f t="array" ref="C43">_xll.BDH("NUE US Equity","BS_CURR_PORTION_LT_DEBT","FQ3 2018","FQ3 2018","Currency=USD","Period=FQ","BEST_FPERIOD_OVERRIDE=FQ","FILING_STATUS=MR","SCALING_FORMAT=MLN","Sort=A","Dates=H","DateFormat=P","Fill=—","Direction=H","UseDPDF=Y")</f>
        <v>0</v>
      </c>
      <c r="D43" s="13" cm="1">
        <f t="array" ref="D43">_xll.BDH("NUE US Equity","BS_CURR_PORTION_LT_DEBT","FQ4 2018","FQ4 2018","Currency=USD","Period=FQ","BEST_FPERIOD_OVERRIDE=FQ","FILING_STATUS=MR","SCALING_FORMAT=MLN","Sort=A","Dates=H","DateFormat=P","Fill=—","Direction=H","UseDPDF=Y")</f>
        <v>0</v>
      </c>
      <c r="E43" s="13" t="str" cm="1">
        <f t="array" ref="E43">_xll.BDH("NUE US Equity","BS_CURR_PORTION_LT_DEBT","FQ1 2019","FQ1 2019","Currency=USD","Period=FQ","BEST_FPERIOD_OVERRIDE=FQ","FILING_STATUS=MR","SCALING_FORMAT=MLN","Sort=A","Dates=H","DateFormat=P","Fill=—","Direction=H","UseDPDF=Y")</f>
        <v>—</v>
      </c>
      <c r="F43" s="13" t="str" cm="1">
        <f t="array" ref="F43">_xll.BDH("NUE US Equity","BS_CURR_PORTION_LT_DEBT","FQ2 2019","FQ2 2019","Currency=USD","Period=FQ","BEST_FPERIOD_OVERRIDE=FQ","FILING_STATUS=MR","SCALING_FORMAT=MLN","Sort=A","Dates=H","DateFormat=P","Fill=—","Direction=H","UseDPDF=Y")</f>
        <v>—</v>
      </c>
      <c r="G43" s="13" cm="1">
        <f t="array" ref="G43">_xll.BDH("NUE US Equity","BS_CURR_PORTION_LT_DEBT","FQ3 2019","FQ3 2019","Currency=USD","Period=FQ","BEST_FPERIOD_OVERRIDE=FQ","FILING_STATUS=MR","SCALING_FORMAT=MLN","Sort=A","Dates=H","DateFormat=P","Fill=—","Direction=H","UseDPDF=Y")</f>
        <v>28.878</v>
      </c>
      <c r="H43" s="13" cm="1">
        <f t="array" ref="H43">_xll.BDH("NUE US Equity","BS_CURR_PORTION_LT_DEBT","FQ4 2019","FQ4 2019","Currency=USD","Period=FQ","BEST_FPERIOD_OVERRIDE=FQ","FILING_STATUS=MR","SCALING_FORMAT=MLN","Sort=A","Dates=H","DateFormat=P","Fill=—","Direction=H","UseDPDF=Y")</f>
        <v>29.263999999999999</v>
      </c>
      <c r="I43" s="13" cm="1">
        <f t="array" ref="I43">_xll.BDH("NUE US Equity","BS_CURR_PORTION_LT_DEBT","FQ1 2020","FQ1 2020","Currency=USD","Period=FQ","BEST_FPERIOD_OVERRIDE=FQ","FILING_STATUS=MR","SCALING_FORMAT=MLN","Sort=A","Dates=H","DateFormat=P","Fill=—","Direction=H","UseDPDF=Y")</f>
        <v>29.396999999999998</v>
      </c>
      <c r="J43" s="13" cm="1">
        <f t="array" ref="J43">_xll.BDH("NUE US Equity","BS_CURR_PORTION_LT_DEBT","FQ2 2020","FQ2 2020","Currency=USD","Period=FQ","BEST_FPERIOD_OVERRIDE=FQ","FILING_STATUS=MR","SCALING_FORMAT=MLN","Sort=A","Dates=H","DateFormat=P","Fill=—","Direction=H","UseDPDF=Y")</f>
        <v>29.521000000000001</v>
      </c>
      <c r="K43" s="13" cm="1">
        <f t="array" ref="K43">_xll.BDH("NUE US Equity","BS_CURR_PORTION_LT_DEBT","FQ3 2020","FQ3 2020","Currency=USD","Period=FQ","BEST_FPERIOD_OVERRIDE=FQ","FILING_STATUS=MR","SCALING_FORMAT=MLN","Sort=A","Dates=H","DateFormat=P","Fill=—","Direction=H","UseDPDF=Y")</f>
        <v>10.475</v>
      </c>
      <c r="L43" s="13" cm="1">
        <f t="array" ref="L43">_xll.BDH("NUE US Equity","BS_CURR_PORTION_LT_DEBT","FQ4 2020","FQ4 2020","Currency=USD","Period=FQ","BEST_FPERIOD_OVERRIDE=FQ","FILING_STATUS=MR","SCALING_FORMAT=MLN","Sort=A","Dates=H","DateFormat=P","Fill=—","Direction=H","UseDPDF=Y")</f>
        <v>10.885</v>
      </c>
      <c r="M43" s="13" cm="1">
        <f t="array" ref="M43">_xll.BDH("NUE US Equity","BS_CURR_PORTION_LT_DEBT","FQ1 2021","FQ1 2021","Currency=USD","Period=FQ","BEST_FPERIOD_OVERRIDE=FQ","FILING_STATUS=MR","SCALING_FORMAT=MLN","Sort=A","Dates=H","DateFormat=P","Fill=—","Direction=H","UseDPDF=Y")</f>
        <v>10.644</v>
      </c>
      <c r="N43" s="13" cm="1">
        <f t="array" ref="N43">_xll.BDH("NUE US Equity","BS_CURR_PORTION_LT_DEBT","FQ2 2021","FQ2 2021","Currency=USD","Period=FQ","BEST_FPERIOD_OVERRIDE=FQ","FILING_STATUS=MR","SCALING_FORMAT=MLN","Sort=A","Dates=H","DateFormat=P","Fill=—","Direction=H","UseDPDF=Y")</f>
        <v>12.026999999999999</v>
      </c>
      <c r="O43" s="13" cm="1">
        <f t="array" ref="O43">_xll.BDH("NUE US Equity","BS_CURR_PORTION_LT_DEBT","FQ3 2021","FQ3 2021","Currency=USD","Period=FQ","BEST_FPERIOD_OVERRIDE=FQ","FILING_STATUS=MR","SCALING_FORMAT=MLN","Sort=A","Dates=H","DateFormat=P","Fill=—","Direction=H","UseDPDF=Y")</f>
        <v>615.13</v>
      </c>
      <c r="P43" s="13" cm="1">
        <f t="array" ref="P43">_xll.BDH("NUE US Equity","BS_CURR_PORTION_LT_DEBT","FQ4 2021","FQ4 2021","Currency=USD","Period=FQ","BEST_FPERIOD_OVERRIDE=FQ","FILING_STATUS=MR","SCALING_FORMAT=MLN","Sort=A","Dates=H","DateFormat=P","Fill=—","Direction=H","UseDPDF=Y")</f>
        <v>615.678</v>
      </c>
      <c r="Q43" s="13" cm="1">
        <f t="array" ref="Q43">_xll.BDH("NUE US Equity","BS_CURR_PORTION_LT_DEBT","FQ1 2022","FQ1 2022","Currency=USD","Period=FQ","BEST_FPERIOD_OVERRIDE=FQ","FILING_STATUS=MR","SCALING_FORMAT=MLN","Sort=A","Dates=H","DateFormat=P","Fill=—","Direction=H","UseDPDF=Y")</f>
        <v>629.53599999999994</v>
      </c>
      <c r="R43" s="13" cm="1">
        <f t="array" ref="R43">_xll.BDH("NUE US Equity","BS_CURR_PORTION_LT_DEBT","FQ2 2022","FQ2 2022","Currency=USD","Period=FQ","BEST_FPERIOD_OVERRIDE=FQ","FILING_STATUS=MR","SCALING_FORMAT=MLN","Sort=A","Dates=H","DateFormat=P","Fill=—","Direction=H","UseDPDF=Y")</f>
        <v>629.17100000000005</v>
      </c>
      <c r="S43" s="13" cm="1">
        <f t="array" ref="S43">_xll.BDH("NUE US Equity","BS_CURR_PORTION_LT_DEBT","FQ3 2022","FQ3 2022","Currency=USD","Period=FQ","BEST_FPERIOD_OVERRIDE=FQ","FILING_STATUS=MR","SCALING_FORMAT=MLN","Sort=A","Dates=H","DateFormat=P","Fill=—","Direction=H","UseDPDF=Y")</f>
        <v>28.994</v>
      </c>
      <c r="T43" s="13" cm="1">
        <f t="array" ref="T43">_xll.BDH("NUE US Equity","BS_CURR_PORTION_LT_DEBT","FQ4 2022","FQ4 2022","Currency=USD","Period=FQ","BEST_FPERIOD_OVERRIDE=FQ","FILING_STATUS=MR","SCALING_FORMAT=MLN","Sort=A","Dates=H","DateFormat=P","Fill=—","Direction=H","UseDPDF=Y")</f>
        <v>28.582000000000001</v>
      </c>
      <c r="U43" s="13" cm="1">
        <f t="array" ref="U43">_xll.BDH("NUE US Equity","BS_CURR_PORTION_LT_DEBT","FQ1 2023","FQ1 2023","Currency=USD","Period=FQ","BEST_FPERIOD_OVERRIDE=FQ","FILING_STATUS=MR","SCALING_FORMAT=MLN","Sort=A","Dates=H","DateFormat=P","Fill=—","Direction=H","UseDPDF=Y")</f>
        <v>25.132999999999999</v>
      </c>
      <c r="V43" s="13" cm="1">
        <f t="array" ref="V43">_xll.BDH("NUE US Equity","BS_CURR_PORTION_LT_DEBT","FQ2 2023","FQ2 2023","Currency=USD","Period=FQ","BEST_FPERIOD_OVERRIDE=FQ","FILING_STATUS=MR","SCALING_FORMAT=MLN","Sort=A","Dates=H","DateFormat=P","Fill=—","Direction=H","UseDPDF=Y")</f>
        <v>25.087</v>
      </c>
      <c r="W43" s="13" cm="1">
        <f t="array" ref="W43">_xll.BDH("NUE US Equity","BS_CURR_PORTION_LT_DEBT","FQ3 2023","FQ3 2023","Currency=USD","Period=FQ","BEST_FPERIOD_OVERRIDE=FQ","FILING_STATUS=MR","SCALING_FORMAT=MLN","Sort=A","Dates=H","DateFormat=P","Fill=—","Direction=H","UseDPDF=Y")</f>
        <v>24.934000000000001</v>
      </c>
      <c r="X43" s="13" cm="1">
        <f t="array" ref="X43">_xll.BDH("NUE US Equity","BS_CURR_PORTION_LT_DEBT","FQ4 2023","FQ4 2023","Currency=USD","Period=FQ","BEST_FPERIOD_OVERRIDE=FQ","FILING_STATUS=MR","SCALING_FORMAT=MLN","Sort=A","Dates=H","DateFormat=P","Fill=—","Direction=H","UseDPDF=Y")</f>
        <v>74.102000000000004</v>
      </c>
      <c r="Y43" s="13" cm="1">
        <f t="array" ref="Y43">_xll.BDH("NUE US Equity","BS_CURR_PORTION_LT_DEBT","FQ1 2024","FQ1 2024","Currency=USD","Period=FQ","BEST_FPERIOD_OVERRIDE=FQ","FILING_STATUS=MR","SCALING_FORMAT=MLN","Sort=A","Dates=H","DateFormat=P","Fill=—","Direction=H","UseDPDF=Y")</f>
        <v>73.89</v>
      </c>
      <c r="Z43" s="13" cm="1">
        <f t="array" ref="Z43">_xll.BDH("NUE US Equity","BS_CURR_PORTION_LT_DEBT","FQ2 2024","FQ2 2024","Currency=USD","Period=FQ","BEST_FPERIOD_OVERRIDE=FQ","FILING_STATUS=MR","SCALING_FORMAT=MLN","Sort=A","Dates=H","DateFormat=P","Fill=—","Direction=H","UseDPDF=Y")</f>
        <v>1075.203</v>
      </c>
      <c r="AA43" s="13" cm="1">
        <f t="array" ref="AA43">_xll.BDH("NUE US Equity","BS_CURR_PORTION_LT_DEBT","FQ3 2024","FQ3 2024","Currency=USD","Period=FQ","BEST_FPERIOD_OVERRIDE=FQ","FILING_STATUS=MR","SCALING_FORMAT=MLN","Sort=A","Dates=H","DateFormat=P","Fill=—","Direction=H","UseDPDF=Y")</f>
        <v>1040.3800000000001</v>
      </c>
      <c r="AB43" s="13" cm="1">
        <f t="array" ref="AB43">_xll.BDH("NUE US Equity","BS_CURR_PORTION_LT_DEBT","FQ4 2024","FQ4 2024","Currency=USD","Period=FQ","BEST_FPERIOD_OVERRIDE=FQ","FILING_STATUS=MR","SCALING_FORMAT=MLN","Sort=A","Dates=H","DateFormat=P","Fill=—","Direction=H","UseDPDF=Y")</f>
        <v>1042</v>
      </c>
      <c r="AC43" s="13" cm="1">
        <f t="array" ref="AC43">_xll.BDH("NUE US Equity","BS_CURR_PORTION_LT_DEBT","FQ1 2025","FQ1 2025","Currency=USD","Period=FQ","BEST_FPERIOD_OVERRIDE=FQ","FILING_STATUS=MR","SCALING_FORMAT=MLN","Sort=A","Dates=H","DateFormat=P","Fill=—","Direction=H","UseDPDF=Y")</f>
        <v>1031</v>
      </c>
      <c r="AD43" s="13" cm="1">
        <f t="array" ref="AD43">_xll.BDH("NUE US Equity","BS_CURR_PORTION_LT_DEBT","FQ2 2025","FQ2 2025","Currency=USD","Period=FQ","BEST_FPERIOD_OVERRIDE=FQ","FILING_STATUS=MR","SCALING_FORMAT=MLN","Sort=A","Dates=H","DateFormat=P","Fill=—","Direction=H","UseDPDF=Y")</f>
        <v>32</v>
      </c>
      <c r="AE43" s="13" cm="1">
        <f t="array" ref="AE43">_xll.BDH("NUE US Equity","BS_CURR_PORTION_LT_DEBT","FQ3 2025","FQ3 2025","Currency=USD","Period=FQ","BEST_FPERIOD_OVERRIDE=FQ","FILING_STATUS=MR","SCALING_FORMAT=MLN","Sort=A","Dates=H","DateFormat=P","Fill=—","Direction=H","UseDPDF=Y")</f>
        <v>31</v>
      </c>
      <c r="AF43" s="13" cm="1">
        <f t="array" ref="AF43">_xll.BDH("NUE US Equity","BS_CURR_PORTION_LT_DEBT","FQ4 2025","FQ4 2025","Currency=USD","Period=FQ","BEST_FPERIOD_OVERRIDE=FQ","FILING_STATUS=MR","SCALING_FORMAT=MLN","Sort=A","Dates=H","DateFormat=P","Fill=—","Direction=H","UseDPDF=Y")</f>
        <v>90</v>
      </c>
    </row>
    <row r="44" spans="1:32" x14ac:dyDescent="0.25">
      <c r="A44" s="10" t="s">
        <v>135</v>
      </c>
      <c r="B44" s="10" t="s">
        <v>136</v>
      </c>
      <c r="C44" s="13" cm="1">
        <f t="array" ref="C44">_xll.BDH("NUE US Equity","OTHER_CURRENT_LIABS_SUB_DETAILED","FQ3 2018","FQ3 2018","Currency=USD","Period=FQ","BEST_FPERIOD_OVERRIDE=FQ","FILING_STATUS=MR","SCALING_FORMAT=MLN","Sort=A","Dates=H","DateFormat=P","Fill=—","Direction=H","UseDPDF=Y")</f>
        <v>10.5</v>
      </c>
      <c r="D44" s="13" cm="1">
        <f t="array" ref="D44">_xll.BDH("NUE US Equity","OTHER_CURRENT_LIABS_SUB_DETAILED","FQ4 2018","FQ4 2018","Currency=USD","Period=FQ","BEST_FPERIOD_OVERRIDE=FQ","FILING_STATUS=MR","SCALING_FORMAT=MLN","Sort=A","Dates=H","DateFormat=P","Fill=—","Direction=H","UseDPDF=Y")</f>
        <v>8.6</v>
      </c>
      <c r="E44" s="13" cm="1">
        <f t="array" ref="E44">_xll.BDH("NUE US Equity","OTHER_CURRENT_LIABS_SUB_DETAILED","FQ1 2019","FQ1 2019","Currency=USD","Period=FQ","BEST_FPERIOD_OVERRIDE=FQ","FILING_STATUS=MR","SCALING_FORMAT=MLN","Sort=A","Dates=H","DateFormat=P","Fill=—","Direction=H","UseDPDF=Y")</f>
        <v>9.3659999999999997</v>
      </c>
      <c r="F44" s="13" cm="1">
        <f t="array" ref="F44">_xll.BDH("NUE US Equity","OTHER_CURRENT_LIABS_SUB_DETAILED","FQ2 2019","FQ2 2019","Currency=USD","Period=FQ","BEST_FPERIOD_OVERRIDE=FQ","FILING_STATUS=MR","SCALING_FORMAT=MLN","Sort=A","Dates=H","DateFormat=P","Fill=—","Direction=H","UseDPDF=Y")</f>
        <v>15.151999999999999</v>
      </c>
      <c r="G44" s="13" cm="1">
        <f t="array" ref="G44">_xll.BDH("NUE US Equity","OTHER_CURRENT_LIABS_SUB_DETAILED","FQ3 2019","FQ3 2019","Currency=USD","Period=FQ","BEST_FPERIOD_OVERRIDE=FQ","FILING_STATUS=MR","SCALING_FORMAT=MLN","Sort=A","Dates=H","DateFormat=P","Fill=—","Direction=H","UseDPDF=Y")</f>
        <v>16.8</v>
      </c>
      <c r="H44" s="13" cm="1">
        <f t="array" ref="H44">_xll.BDH("NUE US Equity","OTHER_CURRENT_LIABS_SUB_DETAILED","FQ4 2019","FQ4 2019","Currency=USD","Period=FQ","BEST_FPERIOD_OVERRIDE=FQ","FILING_STATUS=MR","SCALING_FORMAT=MLN","Sort=A","Dates=H","DateFormat=P","Fill=—","Direction=H","UseDPDF=Y")</f>
        <v>18.399999999999999</v>
      </c>
      <c r="I44" s="13" cm="1">
        <f t="array" ref="I44">_xll.BDH("NUE US Equity","OTHER_CURRENT_LIABS_SUB_DETAILED","FQ1 2020","FQ1 2020","Currency=USD","Period=FQ","BEST_FPERIOD_OVERRIDE=FQ","FILING_STATUS=MR","SCALING_FORMAT=MLN","Sort=A","Dates=H","DateFormat=P","Fill=—","Direction=H","UseDPDF=Y")</f>
        <v>18.7</v>
      </c>
      <c r="J44" s="13" cm="1">
        <f t="array" ref="J44">_xll.BDH("NUE US Equity","OTHER_CURRENT_LIABS_SUB_DETAILED","FQ2 2020","FQ2 2020","Currency=USD","Period=FQ","BEST_FPERIOD_OVERRIDE=FQ","FILING_STATUS=MR","SCALING_FORMAT=MLN","Sort=A","Dates=H","DateFormat=P","Fill=—","Direction=H","UseDPDF=Y")</f>
        <v>0</v>
      </c>
      <c r="K44" s="13" cm="1">
        <f t="array" ref="K44">_xll.BDH("NUE US Equity","OTHER_CURRENT_LIABS_SUB_DETAILED","FQ3 2020","FQ3 2020","Currency=USD","Period=FQ","BEST_FPERIOD_OVERRIDE=FQ","FILING_STATUS=MR","SCALING_FORMAT=MLN","Sort=A","Dates=H","DateFormat=P","Fill=—","Direction=H","UseDPDF=Y")</f>
        <v>0</v>
      </c>
      <c r="L44" s="13" cm="1">
        <f t="array" ref="L44">_xll.BDH("NUE US Equity","OTHER_CURRENT_LIABS_SUB_DETAILED","FQ4 2020","FQ4 2020","Currency=USD","Period=FQ","BEST_FPERIOD_OVERRIDE=FQ","FILING_STATUS=MR","SCALING_FORMAT=MLN","Sort=A","Dates=H","DateFormat=P","Fill=—","Direction=H","UseDPDF=Y")</f>
        <v>6.2</v>
      </c>
      <c r="M44" s="13" cm="1">
        <f t="array" ref="M44">_xll.BDH("NUE US Equity","OTHER_CURRENT_LIABS_SUB_DETAILED","FQ1 2021","FQ1 2021","Currency=USD","Period=FQ","BEST_FPERIOD_OVERRIDE=FQ","FILING_STATUS=MR","SCALING_FORMAT=MLN","Sort=A","Dates=H","DateFormat=P","Fill=—","Direction=H","UseDPDF=Y")</f>
        <v>9.4079999999999995</v>
      </c>
      <c r="N44" s="13" cm="1">
        <f t="array" ref="N44">_xll.BDH("NUE US Equity","OTHER_CURRENT_LIABS_SUB_DETAILED","FQ2 2021","FQ2 2021","Currency=USD","Period=FQ","BEST_FPERIOD_OVERRIDE=FQ","FILING_STATUS=MR","SCALING_FORMAT=MLN","Sort=A","Dates=H","DateFormat=P","Fill=—","Direction=H","UseDPDF=Y")</f>
        <v>4.7300000000000004</v>
      </c>
      <c r="O44" s="13" cm="1">
        <f t="array" ref="O44">_xll.BDH("NUE US Equity","OTHER_CURRENT_LIABS_SUB_DETAILED","FQ3 2021","FQ3 2021","Currency=USD","Period=FQ","BEST_FPERIOD_OVERRIDE=FQ","FILING_STATUS=MR","SCALING_FORMAT=MLN","Sort=A","Dates=H","DateFormat=P","Fill=—","Direction=H","UseDPDF=Y")</f>
        <v>4.133</v>
      </c>
      <c r="P44" s="13" cm="1">
        <f t="array" ref="P44">_xll.BDH("NUE US Equity","OTHER_CURRENT_LIABS_SUB_DETAILED","FQ4 2021","FQ4 2021","Currency=USD","Period=FQ","BEST_FPERIOD_OVERRIDE=FQ","FILING_STATUS=MR","SCALING_FORMAT=MLN","Sort=A","Dates=H","DateFormat=P","Fill=—","Direction=H","UseDPDF=Y")</f>
        <v>0.13800000000000001</v>
      </c>
      <c r="Q44" s="13" cm="1">
        <f t="array" ref="Q44">_xll.BDH("NUE US Equity","OTHER_CURRENT_LIABS_SUB_DETAILED","FQ1 2022","FQ1 2022","Currency=USD","Period=FQ","BEST_FPERIOD_OVERRIDE=FQ","FILING_STATUS=MR","SCALING_FORMAT=MLN","Sort=A","Dates=H","DateFormat=P","Fill=—","Direction=H","UseDPDF=Y")</f>
        <v>5.4569999999999999</v>
      </c>
      <c r="R44" s="13" cm="1">
        <f t="array" ref="R44">_xll.BDH("NUE US Equity","OTHER_CURRENT_LIABS_SUB_DETAILED","FQ2 2022","FQ2 2022","Currency=USD","Period=FQ","BEST_FPERIOD_OVERRIDE=FQ","FILING_STATUS=MR","SCALING_FORMAT=MLN","Sort=A","Dates=H","DateFormat=P","Fill=—","Direction=H","UseDPDF=Y")</f>
        <v>-6.633</v>
      </c>
      <c r="S44" s="13" cm="1">
        <f t="array" ref="S44">_xll.BDH("NUE US Equity","OTHER_CURRENT_LIABS_SUB_DETAILED","FQ3 2022","FQ3 2022","Currency=USD","Period=FQ","BEST_FPERIOD_OVERRIDE=FQ","FILING_STATUS=MR","SCALING_FORMAT=MLN","Sort=A","Dates=H","DateFormat=P","Fill=—","Direction=H","UseDPDF=Y")</f>
        <v>-6.633</v>
      </c>
      <c r="T44" s="13" cm="1">
        <f t="array" ref="T44">_xll.BDH("NUE US Equity","OTHER_CURRENT_LIABS_SUB_DETAILED","FQ4 2022","FQ4 2022","Currency=USD","Period=FQ","BEST_FPERIOD_OVERRIDE=FQ","FILING_STATUS=MR","SCALING_FORMAT=MLN","Sort=A","Dates=H","DateFormat=P","Fill=—","Direction=H","UseDPDF=Y")</f>
        <v>34.4</v>
      </c>
      <c r="U44" s="13" cm="1">
        <f t="array" ref="U44">_xll.BDH("NUE US Equity","OTHER_CURRENT_LIABS_SUB_DETAILED","FQ1 2023","FQ1 2023","Currency=USD","Period=FQ","BEST_FPERIOD_OVERRIDE=FQ","FILING_STATUS=MR","SCALING_FORMAT=MLN","Sort=A","Dates=H","DateFormat=P","Fill=—","Direction=H","UseDPDF=Y")</f>
        <v>5.87</v>
      </c>
      <c r="V44" s="13" cm="1">
        <f t="array" ref="V44">_xll.BDH("NUE US Equity","OTHER_CURRENT_LIABS_SUB_DETAILED","FQ2 2023","FQ2 2023","Currency=USD","Period=FQ","BEST_FPERIOD_OVERRIDE=FQ","FILING_STATUS=MR","SCALING_FORMAT=MLN","Sort=A","Dates=H","DateFormat=P","Fill=—","Direction=H","UseDPDF=Y")</f>
        <v>0.621</v>
      </c>
      <c r="W44" s="13" cm="1">
        <f t="array" ref="W44">_xll.BDH("NUE US Equity","OTHER_CURRENT_LIABS_SUB_DETAILED","FQ3 2023","FQ3 2023","Currency=USD","Period=FQ","BEST_FPERIOD_OVERRIDE=FQ","FILING_STATUS=MR","SCALING_FORMAT=MLN","Sort=A","Dates=H","DateFormat=P","Fill=—","Direction=H","UseDPDF=Y")</f>
        <v>4.3449999999999998</v>
      </c>
      <c r="X44" s="13" cm="1">
        <f t="array" ref="X44">_xll.BDH("NUE US Equity","OTHER_CURRENT_LIABS_SUB_DETAILED","FQ4 2023","FQ4 2023","Currency=USD","Period=FQ","BEST_FPERIOD_OVERRIDE=FQ","FILING_STATUS=MR","SCALING_FORMAT=MLN","Sort=A","Dates=H","DateFormat=P","Fill=—","Direction=H","UseDPDF=Y")</f>
        <v>0</v>
      </c>
      <c r="Y44" s="13" cm="1">
        <f t="array" ref="Y44">_xll.BDH("NUE US Equity","OTHER_CURRENT_LIABS_SUB_DETAILED","FQ1 2024","FQ1 2024","Currency=USD","Period=FQ","BEST_FPERIOD_OVERRIDE=FQ","FILING_STATUS=MR","SCALING_FORMAT=MLN","Sort=A","Dates=H","DateFormat=P","Fill=—","Direction=H","UseDPDF=Y")</f>
        <v>23.056000000000001</v>
      </c>
      <c r="Z44" s="13" cm="1">
        <f t="array" ref="Z44">_xll.BDH("NUE US Equity","OTHER_CURRENT_LIABS_SUB_DETAILED","FQ2 2024","FQ2 2024","Currency=USD","Period=FQ","BEST_FPERIOD_OVERRIDE=FQ","FILING_STATUS=MR","SCALING_FORMAT=MLN","Sort=A","Dates=H","DateFormat=P","Fill=—","Direction=H","UseDPDF=Y")</f>
        <v>8.1</v>
      </c>
      <c r="AA44" s="13" cm="1">
        <f t="array" ref="AA44">_xll.BDH("NUE US Equity","OTHER_CURRENT_LIABS_SUB_DETAILED","FQ3 2024","FQ3 2024","Currency=USD","Period=FQ","BEST_FPERIOD_OVERRIDE=FQ","FILING_STATUS=MR","SCALING_FORMAT=MLN","Sort=A","Dates=H","DateFormat=P","Fill=—","Direction=H","UseDPDF=Y")</f>
        <v>15.198</v>
      </c>
      <c r="AB44" s="13" cm="1">
        <f t="array" ref="AB44">_xll.BDH("NUE US Equity","OTHER_CURRENT_LIABS_SUB_DETAILED","FQ4 2024","FQ4 2024","Currency=USD","Period=FQ","BEST_FPERIOD_OVERRIDE=FQ","FILING_STATUS=MR","SCALING_FORMAT=MLN","Sort=A","Dates=H","DateFormat=P","Fill=—","Direction=H","UseDPDF=Y")</f>
        <v>0</v>
      </c>
      <c r="AC44" s="13" cm="1">
        <f t="array" ref="AC44">_xll.BDH("NUE US Equity","OTHER_CURRENT_LIABS_SUB_DETAILED","FQ1 2025","FQ1 2025","Currency=USD","Period=FQ","BEST_FPERIOD_OVERRIDE=FQ","FILING_STATUS=MR","SCALING_FORMAT=MLN","Sort=A","Dates=H","DateFormat=P","Fill=—","Direction=H","UseDPDF=Y")</f>
        <v>3</v>
      </c>
      <c r="AD44" s="13" cm="1">
        <f t="array" ref="AD44">_xll.BDH("NUE US Equity","OTHER_CURRENT_LIABS_SUB_DETAILED","FQ2 2025","FQ2 2025","Currency=USD","Period=FQ","BEST_FPERIOD_OVERRIDE=FQ","FILING_STATUS=MR","SCALING_FORMAT=MLN","Sort=A","Dates=H","DateFormat=P","Fill=—","Direction=H","UseDPDF=Y")</f>
        <v>8</v>
      </c>
      <c r="AE44" s="13" cm="1">
        <f t="array" ref="AE44">_xll.BDH("NUE US Equity","OTHER_CURRENT_LIABS_SUB_DETAILED","FQ3 2025","FQ3 2025","Currency=USD","Period=FQ","BEST_FPERIOD_OVERRIDE=FQ","FILING_STATUS=MR","SCALING_FORMAT=MLN","Sort=A","Dates=H","DateFormat=P","Fill=—","Direction=H","UseDPDF=Y")</f>
        <v>5</v>
      </c>
      <c r="AF44" s="13" cm="1">
        <f t="array" ref="AF44">_xll.BDH("NUE US Equity","OTHER_CURRENT_LIABS_SUB_DETAILED","FQ4 2025","FQ4 2025","Currency=USD","Period=FQ","BEST_FPERIOD_OVERRIDE=FQ","FILING_STATUS=MR","SCALING_FORMAT=MLN","Sort=A","Dates=H","DateFormat=P","Fill=—","Direction=H","UseDPDF=Y")</f>
        <v>0</v>
      </c>
    </row>
    <row r="45" spans="1:32" x14ac:dyDescent="0.25">
      <c r="A45" s="10" t="s">
        <v>137</v>
      </c>
      <c r="B45" s="10" t="s">
        <v>138</v>
      </c>
      <c r="C45" s="13" t="str" cm="1">
        <f t="array" ref="C45">_xll.BDH("NUE US Equity","ST_DEFERRED_REVENUE","FQ3 2018","FQ3 2018","Currency=USD","Period=FQ","BEST_FPERIOD_OVERRIDE=FQ","FILING_STATUS=MR","SCALING_FORMAT=MLN","Sort=A","Dates=H","DateFormat=P","Fill=—","Direction=H","UseDPDF=Y")</f>
        <v>—</v>
      </c>
      <c r="D45" s="13" cm="1">
        <f t="array" ref="D45">_xll.BDH("NUE US Equity","ST_DEFERRED_REVENUE","FQ4 2018","FQ4 2018","Currency=USD","Period=FQ","BEST_FPERIOD_OVERRIDE=FQ","FILING_STATUS=MR","SCALING_FORMAT=MLN","Sort=A","Dates=H","DateFormat=P","Fill=—","Direction=H","UseDPDF=Y")</f>
        <v>0</v>
      </c>
      <c r="E45" s="13" t="str" cm="1">
        <f t="array" ref="E45">_xll.BDH("NUE US Equity","ST_DEFERRED_REVENUE","FQ1 2019","FQ1 2019","Currency=USD","Period=FQ","BEST_FPERIOD_OVERRIDE=FQ","FILING_STATUS=MR","SCALING_FORMAT=MLN","Sort=A","Dates=H","DateFormat=P","Fill=—","Direction=H","UseDPDF=Y")</f>
        <v>—</v>
      </c>
      <c r="F45" s="13" t="str" cm="1">
        <f t="array" ref="F45">_xll.BDH("NUE US Equity","ST_DEFERRED_REVENUE","FQ2 2019","FQ2 2019","Currency=USD","Period=FQ","BEST_FPERIOD_OVERRIDE=FQ","FILING_STATUS=MR","SCALING_FORMAT=MLN","Sort=A","Dates=H","DateFormat=P","Fill=—","Direction=H","UseDPDF=Y")</f>
        <v>—</v>
      </c>
      <c r="G45" s="13" t="str" cm="1">
        <f t="array" ref="G45">_xll.BDH("NUE US Equity","ST_DEFERRED_REVENUE","FQ3 2019","FQ3 2019","Currency=USD","Period=FQ","BEST_FPERIOD_OVERRIDE=FQ","FILING_STATUS=MR","SCALING_FORMAT=MLN","Sort=A","Dates=H","DateFormat=P","Fill=—","Direction=H","UseDPDF=Y")</f>
        <v>—</v>
      </c>
      <c r="H45" s="13" cm="1">
        <f t="array" ref="H45">_xll.BDH("NUE US Equity","ST_DEFERRED_REVENUE","FQ4 2019","FQ4 2019","Currency=USD","Period=FQ","BEST_FPERIOD_OVERRIDE=FQ","FILING_STATUS=MR","SCALING_FORMAT=MLN","Sort=A","Dates=H","DateFormat=P","Fill=—","Direction=H","UseDPDF=Y")</f>
        <v>0</v>
      </c>
      <c r="I45" s="13" t="str" cm="1">
        <f t="array" ref="I45">_xll.BDH("NUE US Equity","ST_DEFERRED_REVENUE","FQ1 2020","FQ1 2020","Currency=USD","Period=FQ","BEST_FPERIOD_OVERRIDE=FQ","FILING_STATUS=MR","SCALING_FORMAT=MLN","Sort=A","Dates=H","DateFormat=P","Fill=—","Direction=H","UseDPDF=Y")</f>
        <v>—</v>
      </c>
      <c r="J45" s="13" t="str" cm="1">
        <f t="array" ref="J45">_xll.BDH("NUE US Equity","ST_DEFERRED_REVENUE","FQ2 2020","FQ2 2020","Currency=USD","Period=FQ","BEST_FPERIOD_OVERRIDE=FQ","FILING_STATUS=MR","SCALING_FORMAT=MLN","Sort=A","Dates=H","DateFormat=P","Fill=—","Direction=H","UseDPDF=Y")</f>
        <v>—</v>
      </c>
      <c r="K45" s="13" t="str" cm="1">
        <f t="array" ref="K45">_xll.BDH("NUE US Equity","ST_DEFERRED_REVENUE","FQ3 2020","FQ3 2020","Currency=USD","Period=FQ","BEST_FPERIOD_OVERRIDE=FQ","FILING_STATUS=MR","SCALING_FORMAT=MLN","Sort=A","Dates=H","DateFormat=P","Fill=—","Direction=H","UseDPDF=Y")</f>
        <v>—</v>
      </c>
      <c r="L45" s="13" cm="1">
        <f t="array" ref="L45">_xll.BDH("NUE US Equity","ST_DEFERRED_REVENUE","FQ4 2020","FQ4 2020","Currency=USD","Period=FQ","BEST_FPERIOD_OVERRIDE=FQ","FILING_STATUS=MR","SCALING_FORMAT=MLN","Sort=A","Dates=H","DateFormat=P","Fill=—","Direction=H","UseDPDF=Y")</f>
        <v>0</v>
      </c>
      <c r="M45" s="13" t="str" cm="1">
        <f t="array" ref="M45">_xll.BDH("NUE US Equity","ST_DEFERRED_REVENUE","FQ1 2021","FQ1 2021","Currency=USD","Period=FQ","BEST_FPERIOD_OVERRIDE=FQ","FILING_STATUS=MR","SCALING_FORMAT=MLN","Sort=A","Dates=H","DateFormat=P","Fill=—","Direction=H","UseDPDF=Y")</f>
        <v>—</v>
      </c>
      <c r="N45" s="13" t="str" cm="1">
        <f t="array" ref="N45">_xll.BDH("NUE US Equity","ST_DEFERRED_REVENUE","FQ2 2021","FQ2 2021","Currency=USD","Period=FQ","BEST_FPERIOD_OVERRIDE=FQ","FILING_STATUS=MR","SCALING_FORMAT=MLN","Sort=A","Dates=H","DateFormat=P","Fill=—","Direction=H","UseDPDF=Y")</f>
        <v>—</v>
      </c>
      <c r="O45" s="13" t="str" cm="1">
        <f t="array" ref="O45">_xll.BDH("NUE US Equity","ST_DEFERRED_REVENUE","FQ3 2021","FQ3 2021","Currency=USD","Period=FQ","BEST_FPERIOD_OVERRIDE=FQ","FILING_STATUS=MR","SCALING_FORMAT=MLN","Sort=A","Dates=H","DateFormat=P","Fill=—","Direction=H","UseDPDF=Y")</f>
        <v>—</v>
      </c>
      <c r="P45" s="13" cm="1">
        <f t="array" ref="P45">_xll.BDH("NUE US Equity","ST_DEFERRED_REVENUE","FQ4 2021","FQ4 2021","Currency=USD","Period=FQ","BEST_FPERIOD_OVERRIDE=FQ","FILING_STATUS=MR","SCALING_FORMAT=MLN","Sort=A","Dates=H","DateFormat=P","Fill=—","Direction=H","UseDPDF=Y")</f>
        <v>0</v>
      </c>
      <c r="Q45" s="13" t="str" cm="1">
        <f t="array" ref="Q45">_xll.BDH("NUE US Equity","ST_DEFERRED_REVENUE","FQ1 2022","FQ1 2022","Currency=USD","Period=FQ","BEST_FPERIOD_OVERRIDE=FQ","FILING_STATUS=MR","SCALING_FORMAT=MLN","Sort=A","Dates=H","DateFormat=P","Fill=—","Direction=H","UseDPDF=Y")</f>
        <v>—</v>
      </c>
      <c r="R45" s="13" t="str" cm="1">
        <f t="array" ref="R45">_xll.BDH("NUE US Equity","ST_DEFERRED_REVENUE","FQ2 2022","FQ2 2022","Currency=USD","Period=FQ","BEST_FPERIOD_OVERRIDE=FQ","FILING_STATUS=MR","SCALING_FORMAT=MLN","Sort=A","Dates=H","DateFormat=P","Fill=—","Direction=H","UseDPDF=Y")</f>
        <v>—</v>
      </c>
      <c r="S45" s="13" t="str" cm="1">
        <f t="array" ref="S45">_xll.BDH("NUE US Equity","ST_DEFERRED_REVENUE","FQ3 2022","FQ3 2022","Currency=USD","Period=FQ","BEST_FPERIOD_OVERRIDE=FQ","FILING_STATUS=MR","SCALING_FORMAT=MLN","Sort=A","Dates=H","DateFormat=P","Fill=—","Direction=H","UseDPDF=Y")</f>
        <v>—</v>
      </c>
      <c r="T45" s="13" cm="1">
        <f t="array" ref="T45">_xll.BDH("NUE US Equity","ST_DEFERRED_REVENUE","FQ4 2022","FQ4 2022","Currency=USD","Period=FQ","BEST_FPERIOD_OVERRIDE=FQ","FILING_STATUS=MR","SCALING_FORMAT=MLN","Sort=A","Dates=H","DateFormat=P","Fill=—","Direction=H","UseDPDF=Y")</f>
        <v>0</v>
      </c>
      <c r="U45" s="13" t="str" cm="1">
        <f t="array" ref="U45">_xll.BDH("NUE US Equity","ST_DEFERRED_REVENUE","FQ1 2023","FQ1 2023","Currency=USD","Period=FQ","BEST_FPERIOD_OVERRIDE=FQ","FILING_STATUS=MR","SCALING_FORMAT=MLN","Sort=A","Dates=H","DateFormat=P","Fill=—","Direction=H","UseDPDF=Y")</f>
        <v>—</v>
      </c>
      <c r="V45" s="13" t="str" cm="1">
        <f t="array" ref="V45">_xll.BDH("NUE US Equity","ST_DEFERRED_REVENUE","FQ2 2023","FQ2 2023","Currency=USD","Period=FQ","BEST_FPERIOD_OVERRIDE=FQ","FILING_STATUS=MR","SCALING_FORMAT=MLN","Sort=A","Dates=H","DateFormat=P","Fill=—","Direction=H","UseDPDF=Y")</f>
        <v>—</v>
      </c>
      <c r="W45" s="13" t="str" cm="1">
        <f t="array" ref="W45">_xll.BDH("NUE US Equity","ST_DEFERRED_REVENUE","FQ3 2023","FQ3 2023","Currency=USD","Period=FQ","BEST_FPERIOD_OVERRIDE=FQ","FILING_STATUS=MR","SCALING_FORMAT=MLN","Sort=A","Dates=H","DateFormat=P","Fill=—","Direction=H","UseDPDF=Y")</f>
        <v>—</v>
      </c>
      <c r="X45" s="13" cm="1">
        <f t="array" ref="X45">_xll.BDH("NUE US Equity","ST_DEFERRED_REVENUE","FQ4 2023","FQ4 2023","Currency=USD","Period=FQ","BEST_FPERIOD_OVERRIDE=FQ","FILING_STATUS=MR","SCALING_FORMAT=MLN","Sort=A","Dates=H","DateFormat=P","Fill=—","Direction=H","UseDPDF=Y")</f>
        <v>0</v>
      </c>
      <c r="Y45" s="13" t="str" cm="1">
        <f t="array" ref="Y45">_xll.BDH("NUE US Equity","ST_DEFERRED_REVENUE","FQ1 2024","FQ1 2024","Currency=USD","Period=FQ","BEST_FPERIOD_OVERRIDE=FQ","FILING_STATUS=MR","SCALING_FORMAT=MLN","Sort=A","Dates=H","DateFormat=P","Fill=—","Direction=H","UseDPDF=Y")</f>
        <v>—</v>
      </c>
      <c r="Z45" s="13" t="str" cm="1">
        <f t="array" ref="Z45">_xll.BDH("NUE US Equity","ST_DEFERRED_REVENUE","FQ2 2024","FQ2 2024","Currency=USD","Period=FQ","BEST_FPERIOD_OVERRIDE=FQ","FILING_STATUS=MR","SCALING_FORMAT=MLN","Sort=A","Dates=H","DateFormat=P","Fill=—","Direction=H","UseDPDF=Y")</f>
        <v>—</v>
      </c>
      <c r="AA45" s="13" t="str" cm="1">
        <f t="array" ref="AA45">_xll.BDH("NUE US Equity","ST_DEFERRED_REVENUE","FQ3 2024","FQ3 2024","Currency=USD","Period=FQ","BEST_FPERIOD_OVERRIDE=FQ","FILING_STATUS=MR","SCALING_FORMAT=MLN","Sort=A","Dates=H","DateFormat=P","Fill=—","Direction=H","UseDPDF=Y")</f>
        <v>—</v>
      </c>
      <c r="AB45" s="13" cm="1">
        <f t="array" ref="AB45">_xll.BDH("NUE US Equity","ST_DEFERRED_REVENUE","FQ4 2024","FQ4 2024","Currency=USD","Period=FQ","BEST_FPERIOD_OVERRIDE=FQ","FILING_STATUS=MR","SCALING_FORMAT=MLN","Sort=A","Dates=H","DateFormat=P","Fill=—","Direction=H","UseDPDF=Y")</f>
        <v>0</v>
      </c>
      <c r="AC45" s="13" t="str" cm="1">
        <f t="array" ref="AC45">_xll.BDH("NUE US Equity","ST_DEFERRED_REVENUE","FQ1 2025","FQ1 2025","Currency=USD","Period=FQ","BEST_FPERIOD_OVERRIDE=FQ","FILING_STATUS=MR","SCALING_FORMAT=MLN","Sort=A","Dates=H","DateFormat=P","Fill=—","Direction=H","UseDPDF=Y")</f>
        <v>—</v>
      </c>
      <c r="AD45" s="13" t="str" cm="1">
        <f t="array" ref="AD45">_xll.BDH("NUE US Equity","ST_DEFERRED_REVENUE","FQ2 2025","FQ2 2025","Currency=USD","Period=FQ","BEST_FPERIOD_OVERRIDE=FQ","FILING_STATUS=MR","SCALING_FORMAT=MLN","Sort=A","Dates=H","DateFormat=P","Fill=—","Direction=H","UseDPDF=Y")</f>
        <v>—</v>
      </c>
      <c r="AE45" s="13" t="str" cm="1">
        <f t="array" ref="AE45">_xll.BDH("NUE US Equity","ST_DEFERRED_REVENUE","FQ3 2025","FQ3 2025","Currency=USD","Period=FQ","BEST_FPERIOD_OVERRIDE=FQ","FILING_STATUS=MR","SCALING_FORMAT=MLN","Sort=A","Dates=H","DateFormat=P","Fill=—","Direction=H","UseDPDF=Y")</f>
        <v>—</v>
      </c>
      <c r="AF45" s="13" t="str" cm="1">
        <f t="array" ref="AF45">_xll.BDH("NUE US Equity","ST_DEFERRED_REVENUE","FQ4 2025","FQ4 2025","Currency=USD","Period=FQ","BEST_FPERIOD_OVERRIDE=FQ","FILING_STATUS=MR","SCALING_FORMAT=MLN","Sort=A","Dates=H","DateFormat=P","Fill=—","Direction=H","UseDPDF=Y")</f>
        <v>—</v>
      </c>
    </row>
    <row r="46" spans="1:32" x14ac:dyDescent="0.25">
      <c r="A46" s="10" t="s">
        <v>139</v>
      </c>
      <c r="B46" s="10" t="s">
        <v>140</v>
      </c>
      <c r="C46" s="13" cm="1">
        <f t="array" ref="C46">_xll.BDH("NUE US Equity","BS_DERIV_HEDGING_LIAB_ST","FQ3 2018","FQ3 2018","Currency=USD","Period=FQ","BEST_FPERIOD_OVERRIDE=FQ","FILING_STATUS=MR","SCALING_FORMAT=MLN","Sort=A","Dates=H","DateFormat=P","Fill=—","Direction=H","UseDPDF=Y")</f>
        <v>10.5</v>
      </c>
      <c r="D46" s="13" cm="1">
        <f t="array" ref="D46">_xll.BDH("NUE US Equity","BS_DERIV_HEDGING_LIAB_ST","FQ4 2018","FQ4 2018","Currency=USD","Period=FQ","BEST_FPERIOD_OVERRIDE=FQ","FILING_STATUS=MR","SCALING_FORMAT=MLN","Sort=A","Dates=H","DateFormat=P","Fill=—","Direction=H","UseDPDF=Y")</f>
        <v>8.6</v>
      </c>
      <c r="E46" s="13" cm="1">
        <f t="array" ref="E46">_xll.BDH("NUE US Equity","BS_DERIV_HEDGING_LIAB_ST","FQ1 2019","FQ1 2019","Currency=USD","Period=FQ","BEST_FPERIOD_OVERRIDE=FQ","FILING_STATUS=MR","SCALING_FORMAT=MLN","Sort=A","Dates=H","DateFormat=P","Fill=—","Direction=H","UseDPDF=Y")</f>
        <v>9.3659999999999997</v>
      </c>
      <c r="F46" s="13" cm="1">
        <f t="array" ref="F46">_xll.BDH("NUE US Equity","BS_DERIV_HEDGING_LIAB_ST","FQ2 2019","FQ2 2019","Currency=USD","Period=FQ","BEST_FPERIOD_OVERRIDE=FQ","FILING_STATUS=MR","SCALING_FORMAT=MLN","Sort=A","Dates=H","DateFormat=P","Fill=—","Direction=H","UseDPDF=Y")</f>
        <v>15.151999999999999</v>
      </c>
      <c r="G46" s="13" cm="1">
        <f t="array" ref="G46">_xll.BDH("NUE US Equity","BS_DERIV_HEDGING_LIAB_ST","FQ3 2019","FQ3 2019","Currency=USD","Period=FQ","BEST_FPERIOD_OVERRIDE=FQ","FILING_STATUS=MR","SCALING_FORMAT=MLN","Sort=A","Dates=H","DateFormat=P","Fill=—","Direction=H","UseDPDF=Y")</f>
        <v>16.8</v>
      </c>
      <c r="H46" s="13" cm="1">
        <f t="array" ref="H46">_xll.BDH("NUE US Equity","BS_DERIV_HEDGING_LIAB_ST","FQ4 2019","FQ4 2019","Currency=USD","Period=FQ","BEST_FPERIOD_OVERRIDE=FQ","FILING_STATUS=MR","SCALING_FORMAT=MLN","Sort=A","Dates=H","DateFormat=P","Fill=—","Direction=H","UseDPDF=Y")</f>
        <v>18.399999999999999</v>
      </c>
      <c r="I46" s="13" cm="1">
        <f t="array" ref="I46">_xll.BDH("NUE US Equity","BS_DERIV_HEDGING_LIAB_ST","FQ1 2020","FQ1 2020","Currency=USD","Period=FQ","BEST_FPERIOD_OVERRIDE=FQ","FILING_STATUS=MR","SCALING_FORMAT=MLN","Sort=A","Dates=H","DateFormat=P","Fill=—","Direction=H","UseDPDF=Y")</f>
        <v>18.7</v>
      </c>
      <c r="J46" s="13" t="str" cm="1">
        <f t="array" ref="J46">_xll.BDH("NUE US Equity","BS_DERIV_HEDGING_LIAB_ST","FQ2 2020","FQ2 2020","Currency=USD","Period=FQ","BEST_FPERIOD_OVERRIDE=FQ","FILING_STATUS=MR","SCALING_FORMAT=MLN","Sort=A","Dates=H","DateFormat=P","Fill=—","Direction=H","UseDPDF=Y")</f>
        <v>—</v>
      </c>
      <c r="K46" s="13" t="str" cm="1">
        <f t="array" ref="K46">_xll.BDH("NUE US Equity","BS_DERIV_HEDGING_LIAB_ST","FQ3 2020","FQ3 2020","Currency=USD","Period=FQ","BEST_FPERIOD_OVERRIDE=FQ","FILING_STATUS=MR","SCALING_FORMAT=MLN","Sort=A","Dates=H","DateFormat=P","Fill=—","Direction=H","UseDPDF=Y")</f>
        <v>—</v>
      </c>
      <c r="L46" s="13" cm="1">
        <f t="array" ref="L46">_xll.BDH("NUE US Equity","BS_DERIV_HEDGING_LIAB_ST","FQ4 2020","FQ4 2020","Currency=USD","Period=FQ","BEST_FPERIOD_OVERRIDE=FQ","FILING_STATUS=MR","SCALING_FORMAT=MLN","Sort=A","Dates=H","DateFormat=P","Fill=—","Direction=H","UseDPDF=Y")</f>
        <v>6.2</v>
      </c>
      <c r="M46" s="13" cm="1">
        <f t="array" ref="M46">_xll.BDH("NUE US Equity","BS_DERIV_HEDGING_LIAB_ST","FQ1 2021","FQ1 2021","Currency=USD","Period=FQ","BEST_FPERIOD_OVERRIDE=FQ","FILING_STATUS=MR","SCALING_FORMAT=MLN","Sort=A","Dates=H","DateFormat=P","Fill=—","Direction=H","UseDPDF=Y")</f>
        <v>9.4079999999999995</v>
      </c>
      <c r="N46" s="13" cm="1">
        <f t="array" ref="N46">_xll.BDH("NUE US Equity","BS_DERIV_HEDGING_LIAB_ST","FQ2 2021","FQ2 2021","Currency=USD","Period=FQ","BEST_FPERIOD_OVERRIDE=FQ","FILING_STATUS=MR","SCALING_FORMAT=MLN","Sort=A","Dates=H","DateFormat=P","Fill=—","Direction=H","UseDPDF=Y")</f>
        <v>4.7300000000000004</v>
      </c>
      <c r="O46" s="13" cm="1">
        <f t="array" ref="O46">_xll.BDH("NUE US Equity","BS_DERIV_HEDGING_LIAB_ST","FQ3 2021","FQ3 2021","Currency=USD","Period=FQ","BEST_FPERIOD_OVERRIDE=FQ","FILING_STATUS=MR","SCALING_FORMAT=MLN","Sort=A","Dates=H","DateFormat=P","Fill=—","Direction=H","UseDPDF=Y")</f>
        <v>4.133</v>
      </c>
      <c r="P46" s="13" cm="1">
        <f t="array" ref="P46">_xll.BDH("NUE US Equity","BS_DERIV_HEDGING_LIAB_ST","FQ4 2021","FQ4 2021","Currency=USD","Period=FQ","BEST_FPERIOD_OVERRIDE=FQ","FILING_STATUS=MR","SCALING_FORMAT=MLN","Sort=A","Dates=H","DateFormat=P","Fill=—","Direction=H","UseDPDF=Y")</f>
        <v>0.13800000000000001</v>
      </c>
      <c r="Q46" s="13" cm="1">
        <f t="array" ref="Q46">_xll.BDH("NUE US Equity","BS_DERIV_HEDGING_LIAB_ST","FQ1 2022","FQ1 2022","Currency=USD","Period=FQ","BEST_FPERIOD_OVERRIDE=FQ","FILING_STATUS=MR","SCALING_FORMAT=MLN","Sort=A","Dates=H","DateFormat=P","Fill=—","Direction=H","UseDPDF=Y")</f>
        <v>5.4569999999999999</v>
      </c>
      <c r="R46" s="13" cm="1">
        <f t="array" ref="R46">_xll.BDH("NUE US Equity","BS_DERIV_HEDGING_LIAB_ST","FQ2 2022","FQ2 2022","Currency=USD","Period=FQ","BEST_FPERIOD_OVERRIDE=FQ","FILING_STATUS=MR","SCALING_FORMAT=MLN","Sort=A","Dates=H","DateFormat=P","Fill=—","Direction=H","UseDPDF=Y")</f>
        <v>-6.633</v>
      </c>
      <c r="S46" s="13" cm="1">
        <f t="array" ref="S46">_xll.BDH("NUE US Equity","BS_DERIV_HEDGING_LIAB_ST","FQ3 2022","FQ3 2022","Currency=USD","Period=FQ","BEST_FPERIOD_OVERRIDE=FQ","FILING_STATUS=MR","SCALING_FORMAT=MLN","Sort=A","Dates=H","DateFormat=P","Fill=—","Direction=H","UseDPDF=Y")</f>
        <v>-6.633</v>
      </c>
      <c r="T46" s="13" cm="1">
        <f t="array" ref="T46">_xll.BDH("NUE US Equity","BS_DERIV_HEDGING_LIAB_ST","FQ4 2022","FQ4 2022","Currency=USD","Period=FQ","BEST_FPERIOD_OVERRIDE=FQ","FILING_STATUS=MR","SCALING_FORMAT=MLN","Sort=A","Dates=H","DateFormat=P","Fill=—","Direction=H","UseDPDF=Y")</f>
        <v>34.4</v>
      </c>
      <c r="U46" s="13" cm="1">
        <f t="array" ref="U46">_xll.BDH("NUE US Equity","BS_DERIV_HEDGING_LIAB_ST","FQ1 2023","FQ1 2023","Currency=USD","Period=FQ","BEST_FPERIOD_OVERRIDE=FQ","FILING_STATUS=MR","SCALING_FORMAT=MLN","Sort=A","Dates=H","DateFormat=P","Fill=—","Direction=H","UseDPDF=Y")</f>
        <v>5.87</v>
      </c>
      <c r="V46" s="13" cm="1">
        <f t="array" ref="V46">_xll.BDH("NUE US Equity","BS_DERIV_HEDGING_LIAB_ST","FQ2 2023","FQ2 2023","Currency=USD","Period=FQ","BEST_FPERIOD_OVERRIDE=FQ","FILING_STATUS=MR","SCALING_FORMAT=MLN","Sort=A","Dates=H","DateFormat=P","Fill=—","Direction=H","UseDPDF=Y")</f>
        <v>0.621</v>
      </c>
      <c r="W46" s="13" cm="1">
        <f t="array" ref="W46">_xll.BDH("NUE US Equity","BS_DERIV_HEDGING_LIAB_ST","FQ3 2023","FQ3 2023","Currency=USD","Period=FQ","BEST_FPERIOD_OVERRIDE=FQ","FILING_STATUS=MR","SCALING_FORMAT=MLN","Sort=A","Dates=H","DateFormat=P","Fill=—","Direction=H","UseDPDF=Y")</f>
        <v>4.3449999999999998</v>
      </c>
      <c r="X46" s="13" cm="1">
        <f t="array" ref="X46">_xll.BDH("NUE US Equity","BS_DERIV_HEDGING_LIAB_ST","FQ4 2023","FQ4 2023","Currency=USD","Period=FQ","BEST_FPERIOD_OVERRIDE=FQ","FILING_STATUS=MR","SCALING_FORMAT=MLN","Sort=A","Dates=H","DateFormat=P","Fill=—","Direction=H","UseDPDF=Y")</f>
        <v>0</v>
      </c>
      <c r="Y46" s="13" cm="1">
        <f t="array" ref="Y46">_xll.BDH("NUE US Equity","BS_DERIV_HEDGING_LIAB_ST","FQ1 2024","FQ1 2024","Currency=USD","Period=FQ","BEST_FPERIOD_OVERRIDE=FQ","FILING_STATUS=MR","SCALING_FORMAT=MLN","Sort=A","Dates=H","DateFormat=P","Fill=—","Direction=H","UseDPDF=Y")</f>
        <v>23.056000000000001</v>
      </c>
      <c r="Z46" s="13" cm="1">
        <f t="array" ref="Z46">_xll.BDH("NUE US Equity","BS_DERIV_HEDGING_LIAB_ST","FQ2 2024","FQ2 2024","Currency=USD","Period=FQ","BEST_FPERIOD_OVERRIDE=FQ","FILING_STATUS=MR","SCALING_FORMAT=MLN","Sort=A","Dates=H","DateFormat=P","Fill=—","Direction=H","UseDPDF=Y")</f>
        <v>8.1</v>
      </c>
      <c r="AA46" s="13" cm="1">
        <f t="array" ref="AA46">_xll.BDH("NUE US Equity","BS_DERIV_HEDGING_LIAB_ST","FQ3 2024","FQ3 2024","Currency=USD","Period=FQ","BEST_FPERIOD_OVERRIDE=FQ","FILING_STATUS=MR","SCALING_FORMAT=MLN","Sort=A","Dates=H","DateFormat=P","Fill=—","Direction=H","UseDPDF=Y")</f>
        <v>15.198</v>
      </c>
      <c r="AB46" s="13" t="str" cm="1">
        <f t="array" ref="AB46">_xll.BDH("NUE US Equity","BS_DERIV_HEDGING_LIAB_ST","FQ4 2024","FQ4 2024","Currency=USD","Period=FQ","BEST_FPERIOD_OVERRIDE=FQ","FILING_STATUS=MR","SCALING_FORMAT=MLN","Sort=A","Dates=H","DateFormat=P","Fill=—","Direction=H","UseDPDF=Y")</f>
        <v>—</v>
      </c>
      <c r="AC46" s="13" cm="1">
        <f t="array" ref="AC46">_xll.BDH("NUE US Equity","BS_DERIV_HEDGING_LIAB_ST","FQ1 2025","FQ1 2025","Currency=USD","Period=FQ","BEST_FPERIOD_OVERRIDE=FQ","FILING_STATUS=MR","SCALING_FORMAT=MLN","Sort=A","Dates=H","DateFormat=P","Fill=—","Direction=H","UseDPDF=Y")</f>
        <v>3</v>
      </c>
      <c r="AD46" s="13" cm="1">
        <f t="array" ref="AD46">_xll.BDH("NUE US Equity","BS_DERIV_HEDGING_LIAB_ST","FQ2 2025","FQ2 2025","Currency=USD","Period=FQ","BEST_FPERIOD_OVERRIDE=FQ","FILING_STATUS=MR","SCALING_FORMAT=MLN","Sort=A","Dates=H","DateFormat=P","Fill=—","Direction=H","UseDPDF=Y")</f>
        <v>8</v>
      </c>
      <c r="AE46" s="13" cm="1">
        <f t="array" ref="AE46">_xll.BDH("NUE US Equity","BS_DERIV_HEDGING_LIAB_ST","FQ3 2025","FQ3 2025","Currency=USD","Period=FQ","BEST_FPERIOD_OVERRIDE=FQ","FILING_STATUS=MR","SCALING_FORMAT=MLN","Sort=A","Dates=H","DateFormat=P","Fill=—","Direction=H","UseDPDF=Y")</f>
        <v>5</v>
      </c>
      <c r="AF46" s="13" t="str" cm="1">
        <f t="array" ref="AF46">_xll.BDH("NUE US Equity","BS_DERIV_HEDGING_LIAB_ST","FQ4 2025","FQ4 2025","Currency=USD","Period=FQ","BEST_FPERIOD_OVERRIDE=FQ","FILING_STATUS=MR","SCALING_FORMAT=MLN","Sort=A","Dates=H","DateFormat=P","Fill=—","Direction=H","UseDPDF=Y")</f>
        <v>—</v>
      </c>
    </row>
    <row r="47" spans="1:32" x14ac:dyDescent="0.25">
      <c r="A47" s="10" t="s">
        <v>141</v>
      </c>
      <c r="B47" s="10" t="s">
        <v>142</v>
      </c>
      <c r="C47" s="13" cm="1">
        <f t="array" ref="C47">_xll.BDH("NUE US Equity","OTHER_CURRENT_LIABS_DETAILED","FQ3 2018","FQ3 2018","Currency=USD","Period=FQ","BEST_FPERIOD_OVERRIDE=FQ","FILING_STATUS=MR","SCALING_FORMAT=MLN","Sort=A","Dates=H","DateFormat=P","Fill=—","Direction=H","UseDPDF=Y")</f>
        <v>0</v>
      </c>
      <c r="D47" s="13" cm="1">
        <f t="array" ref="D47">_xll.BDH("NUE US Equity","OTHER_CURRENT_LIABS_DETAILED","FQ4 2018","FQ4 2018","Currency=USD","Period=FQ","BEST_FPERIOD_OVERRIDE=FQ","FILING_STATUS=MR","SCALING_FORMAT=MLN","Sort=A","Dates=H","DateFormat=P","Fill=—","Direction=H","UseDPDF=Y")</f>
        <v>0</v>
      </c>
      <c r="E47" s="13" cm="1">
        <f t="array" ref="E47">_xll.BDH("NUE US Equity","OTHER_CURRENT_LIABS_DETAILED","FQ1 2019","FQ1 2019","Currency=USD","Period=FQ","BEST_FPERIOD_OVERRIDE=FQ","FILING_STATUS=MR","SCALING_FORMAT=MLN","Sort=A","Dates=H","DateFormat=P","Fill=—","Direction=H","UseDPDF=Y")</f>
        <v>0</v>
      </c>
      <c r="F47" s="13" cm="1">
        <f t="array" ref="F47">_xll.BDH("NUE US Equity","OTHER_CURRENT_LIABS_DETAILED","FQ2 2019","FQ2 2019","Currency=USD","Period=FQ","BEST_FPERIOD_OVERRIDE=FQ","FILING_STATUS=MR","SCALING_FORMAT=MLN","Sort=A","Dates=H","DateFormat=P","Fill=—","Direction=H","UseDPDF=Y")</f>
        <v>0</v>
      </c>
      <c r="G47" s="13" cm="1">
        <f t="array" ref="G47">_xll.BDH("NUE US Equity","OTHER_CURRENT_LIABS_DETAILED","FQ3 2019","FQ3 2019","Currency=USD","Period=FQ","BEST_FPERIOD_OVERRIDE=FQ","FILING_STATUS=MR","SCALING_FORMAT=MLN","Sort=A","Dates=H","DateFormat=P","Fill=—","Direction=H","UseDPDF=Y")</f>
        <v>0</v>
      </c>
      <c r="H47" s="13" cm="1">
        <f t="array" ref="H47">_xll.BDH("NUE US Equity","OTHER_CURRENT_LIABS_DETAILED","FQ4 2019","FQ4 2019","Currency=USD","Period=FQ","BEST_FPERIOD_OVERRIDE=FQ","FILING_STATUS=MR","SCALING_FORMAT=MLN","Sort=A","Dates=H","DateFormat=P","Fill=—","Direction=H","UseDPDF=Y")</f>
        <v>0</v>
      </c>
      <c r="I47" s="13" cm="1">
        <f t="array" ref="I47">_xll.BDH("NUE US Equity","OTHER_CURRENT_LIABS_DETAILED","FQ1 2020","FQ1 2020","Currency=USD","Period=FQ","BEST_FPERIOD_OVERRIDE=FQ","FILING_STATUS=MR","SCALING_FORMAT=MLN","Sort=A","Dates=H","DateFormat=P","Fill=—","Direction=H","UseDPDF=Y")</f>
        <v>0</v>
      </c>
      <c r="J47" s="13" cm="1">
        <f t="array" ref="J47">_xll.BDH("NUE US Equity","OTHER_CURRENT_LIABS_DETAILED","FQ2 2020","FQ2 2020","Currency=USD","Period=FQ","BEST_FPERIOD_OVERRIDE=FQ","FILING_STATUS=MR","SCALING_FORMAT=MLN","Sort=A","Dates=H","DateFormat=P","Fill=—","Direction=H","UseDPDF=Y")</f>
        <v>0</v>
      </c>
      <c r="K47" s="13" cm="1">
        <f t="array" ref="K47">_xll.BDH("NUE US Equity","OTHER_CURRENT_LIABS_DETAILED","FQ3 2020","FQ3 2020","Currency=USD","Period=FQ","BEST_FPERIOD_OVERRIDE=FQ","FILING_STATUS=MR","SCALING_FORMAT=MLN","Sort=A","Dates=H","DateFormat=P","Fill=—","Direction=H","UseDPDF=Y")</f>
        <v>0</v>
      </c>
      <c r="L47" s="13" cm="1">
        <f t="array" ref="L47">_xll.BDH("NUE US Equity","OTHER_CURRENT_LIABS_DETAILED","FQ4 2020","FQ4 2020","Currency=USD","Period=FQ","BEST_FPERIOD_OVERRIDE=FQ","FILING_STATUS=MR","SCALING_FORMAT=MLN","Sort=A","Dates=H","DateFormat=P","Fill=—","Direction=H","UseDPDF=Y")</f>
        <v>0</v>
      </c>
      <c r="M47" s="13" cm="1">
        <f t="array" ref="M47">_xll.BDH("NUE US Equity","OTHER_CURRENT_LIABS_DETAILED","FQ1 2021","FQ1 2021","Currency=USD","Period=FQ","BEST_FPERIOD_OVERRIDE=FQ","FILING_STATUS=MR","SCALING_FORMAT=MLN","Sort=A","Dates=H","DateFormat=P","Fill=—","Direction=H","UseDPDF=Y")</f>
        <v>0</v>
      </c>
      <c r="N47" s="13" cm="1">
        <f t="array" ref="N47">_xll.BDH("NUE US Equity","OTHER_CURRENT_LIABS_DETAILED","FQ2 2021","FQ2 2021","Currency=USD","Period=FQ","BEST_FPERIOD_OVERRIDE=FQ","FILING_STATUS=MR","SCALING_FORMAT=MLN","Sort=A","Dates=H","DateFormat=P","Fill=—","Direction=H","UseDPDF=Y")</f>
        <v>0</v>
      </c>
      <c r="O47" s="13" cm="1">
        <f t="array" ref="O47">_xll.BDH("NUE US Equity","OTHER_CURRENT_LIABS_DETAILED","FQ3 2021","FQ3 2021","Currency=USD","Period=FQ","BEST_FPERIOD_OVERRIDE=FQ","FILING_STATUS=MR","SCALING_FORMAT=MLN","Sort=A","Dates=H","DateFormat=P","Fill=—","Direction=H","UseDPDF=Y")</f>
        <v>0</v>
      </c>
      <c r="P47" s="13" cm="1">
        <f t="array" ref="P47">_xll.BDH("NUE US Equity","OTHER_CURRENT_LIABS_DETAILED","FQ4 2021","FQ4 2021","Currency=USD","Period=FQ","BEST_FPERIOD_OVERRIDE=FQ","FILING_STATUS=MR","SCALING_FORMAT=MLN","Sort=A","Dates=H","DateFormat=P","Fill=—","Direction=H","UseDPDF=Y")</f>
        <v>0</v>
      </c>
      <c r="Q47" s="13" cm="1">
        <f t="array" ref="Q47">_xll.BDH("NUE US Equity","OTHER_CURRENT_LIABS_DETAILED","FQ1 2022","FQ1 2022","Currency=USD","Period=FQ","BEST_FPERIOD_OVERRIDE=FQ","FILING_STATUS=MR","SCALING_FORMAT=MLN","Sort=A","Dates=H","DateFormat=P","Fill=—","Direction=H","UseDPDF=Y")</f>
        <v>0</v>
      </c>
      <c r="R47" s="13" cm="1">
        <f t="array" ref="R47">_xll.BDH("NUE US Equity","OTHER_CURRENT_LIABS_DETAILED","FQ2 2022","FQ2 2022","Currency=USD","Period=FQ","BEST_FPERIOD_OVERRIDE=FQ","FILING_STATUS=MR","SCALING_FORMAT=MLN","Sort=A","Dates=H","DateFormat=P","Fill=—","Direction=H","UseDPDF=Y")</f>
        <v>0</v>
      </c>
      <c r="S47" s="13" cm="1">
        <f t="array" ref="S47">_xll.BDH("NUE US Equity","OTHER_CURRENT_LIABS_DETAILED","FQ3 2022","FQ3 2022","Currency=USD","Period=FQ","BEST_FPERIOD_OVERRIDE=FQ","FILING_STATUS=MR","SCALING_FORMAT=MLN","Sort=A","Dates=H","DateFormat=P","Fill=—","Direction=H","UseDPDF=Y")</f>
        <v>0</v>
      </c>
      <c r="T47" s="13" cm="1">
        <f t="array" ref="T47">_xll.BDH("NUE US Equity","OTHER_CURRENT_LIABS_DETAILED","FQ4 2022","FQ4 2022","Currency=USD","Period=FQ","BEST_FPERIOD_OVERRIDE=FQ","FILING_STATUS=MR","SCALING_FORMAT=MLN","Sort=A","Dates=H","DateFormat=P","Fill=—","Direction=H","UseDPDF=Y")</f>
        <v>0</v>
      </c>
      <c r="U47" s="13" cm="1">
        <f t="array" ref="U47">_xll.BDH("NUE US Equity","OTHER_CURRENT_LIABS_DETAILED","FQ1 2023","FQ1 2023","Currency=USD","Period=FQ","BEST_FPERIOD_OVERRIDE=FQ","FILING_STATUS=MR","SCALING_FORMAT=MLN","Sort=A","Dates=H","DateFormat=P","Fill=—","Direction=H","UseDPDF=Y")</f>
        <v>0</v>
      </c>
      <c r="V47" s="13" cm="1">
        <f t="array" ref="V47">_xll.BDH("NUE US Equity","OTHER_CURRENT_LIABS_DETAILED","FQ2 2023","FQ2 2023","Currency=USD","Period=FQ","BEST_FPERIOD_OVERRIDE=FQ","FILING_STATUS=MR","SCALING_FORMAT=MLN","Sort=A","Dates=H","DateFormat=P","Fill=—","Direction=H","UseDPDF=Y")</f>
        <v>0</v>
      </c>
      <c r="W47" s="13" cm="1">
        <f t="array" ref="W47">_xll.BDH("NUE US Equity","OTHER_CURRENT_LIABS_DETAILED","FQ3 2023","FQ3 2023","Currency=USD","Period=FQ","BEST_FPERIOD_OVERRIDE=FQ","FILING_STATUS=MR","SCALING_FORMAT=MLN","Sort=A","Dates=H","DateFormat=P","Fill=—","Direction=H","UseDPDF=Y")</f>
        <v>0</v>
      </c>
      <c r="X47" s="13" cm="1">
        <f t="array" ref="X47">_xll.BDH("NUE US Equity","OTHER_CURRENT_LIABS_DETAILED","FQ4 2023","FQ4 2023","Currency=USD","Period=FQ","BEST_FPERIOD_OVERRIDE=FQ","FILING_STATUS=MR","SCALING_FORMAT=MLN","Sort=A","Dates=H","DateFormat=P","Fill=—","Direction=H","UseDPDF=Y")</f>
        <v>0</v>
      </c>
      <c r="Y47" s="13" cm="1">
        <f t="array" ref="Y47">_xll.BDH("NUE US Equity","OTHER_CURRENT_LIABS_DETAILED","FQ1 2024","FQ1 2024","Currency=USD","Period=FQ","BEST_FPERIOD_OVERRIDE=FQ","FILING_STATUS=MR","SCALING_FORMAT=MLN","Sort=A","Dates=H","DateFormat=P","Fill=—","Direction=H","UseDPDF=Y")</f>
        <v>0</v>
      </c>
      <c r="Z47" s="13" cm="1">
        <f t="array" ref="Z47">_xll.BDH("NUE US Equity","OTHER_CURRENT_LIABS_DETAILED","FQ2 2024","FQ2 2024","Currency=USD","Period=FQ","BEST_FPERIOD_OVERRIDE=FQ","FILING_STATUS=MR","SCALING_FORMAT=MLN","Sort=A","Dates=H","DateFormat=P","Fill=—","Direction=H","UseDPDF=Y")</f>
        <v>0</v>
      </c>
      <c r="AA47" s="13" cm="1">
        <f t="array" ref="AA47">_xll.BDH("NUE US Equity","OTHER_CURRENT_LIABS_DETAILED","FQ3 2024","FQ3 2024","Currency=USD","Period=FQ","BEST_FPERIOD_OVERRIDE=FQ","FILING_STATUS=MR","SCALING_FORMAT=MLN","Sort=A","Dates=H","DateFormat=P","Fill=—","Direction=H","UseDPDF=Y")</f>
        <v>0</v>
      </c>
      <c r="AB47" s="13" cm="1">
        <f t="array" ref="AB47">_xll.BDH("NUE US Equity","OTHER_CURRENT_LIABS_DETAILED","FQ4 2024","FQ4 2024","Currency=USD","Period=FQ","BEST_FPERIOD_OVERRIDE=FQ","FILING_STATUS=MR","SCALING_FORMAT=MLN","Sort=A","Dates=H","DateFormat=P","Fill=—","Direction=H","UseDPDF=Y")</f>
        <v>0</v>
      </c>
      <c r="AC47" s="13" cm="1">
        <f t="array" ref="AC47">_xll.BDH("NUE US Equity","OTHER_CURRENT_LIABS_DETAILED","FQ1 2025","FQ1 2025","Currency=USD","Period=FQ","BEST_FPERIOD_OVERRIDE=FQ","FILING_STATUS=MR","SCALING_FORMAT=MLN","Sort=A","Dates=H","DateFormat=P","Fill=—","Direction=H","UseDPDF=Y")</f>
        <v>0</v>
      </c>
      <c r="AD47" s="13" cm="1">
        <f t="array" ref="AD47">_xll.BDH("NUE US Equity","OTHER_CURRENT_LIABS_DETAILED","FQ2 2025","FQ2 2025","Currency=USD","Period=FQ","BEST_FPERIOD_OVERRIDE=FQ","FILING_STATUS=MR","SCALING_FORMAT=MLN","Sort=A","Dates=H","DateFormat=P","Fill=—","Direction=H","UseDPDF=Y")</f>
        <v>0</v>
      </c>
      <c r="AE47" s="13" cm="1">
        <f t="array" ref="AE47">_xll.BDH("NUE US Equity","OTHER_CURRENT_LIABS_DETAILED","FQ3 2025","FQ3 2025","Currency=USD","Period=FQ","BEST_FPERIOD_OVERRIDE=FQ","FILING_STATUS=MR","SCALING_FORMAT=MLN","Sort=A","Dates=H","DateFormat=P","Fill=—","Direction=H","UseDPDF=Y")</f>
        <v>0</v>
      </c>
      <c r="AF47" s="13" cm="1">
        <f t="array" ref="AF47">_xll.BDH("NUE US Equity","OTHER_CURRENT_LIABS_DETAILED","FQ4 2025","FQ4 2025","Currency=USD","Period=FQ","BEST_FPERIOD_OVERRIDE=FQ","FILING_STATUS=MR","SCALING_FORMAT=MLN","Sort=A","Dates=H","DateFormat=P","Fill=—","Direction=H","UseDPDF=Y")</f>
        <v>0</v>
      </c>
    </row>
    <row r="48" spans="1:32" x14ac:dyDescent="0.25">
      <c r="A48" s="6" t="s">
        <v>143</v>
      </c>
      <c r="B48" s="6" t="s">
        <v>144</v>
      </c>
      <c r="C48" s="16" cm="1">
        <f t="array" ref="C48">_xll.BDH("NUE US Equity","BS_CUR_LIAB","FQ3 2018","FQ3 2018","Currency=USD","Period=FQ","BEST_FPERIOD_OVERRIDE=FQ","FILING_STATUS=MR","SCALING_FORMAT=MLN","Sort=A","Dates=H","DateFormat=P","Fill=—","Direction=H","UseDPDF=Y")</f>
        <v>2807.6950000000002</v>
      </c>
      <c r="D48" s="16" cm="1">
        <f t="array" ref="D48">_xll.BDH("NUE US Equity","BS_CUR_LIAB","FQ4 2018","FQ4 2018","Currency=USD","Period=FQ","BEST_FPERIOD_OVERRIDE=FQ","FILING_STATUS=MR","SCALING_FORMAT=MLN","Sort=A","Dates=H","DateFormat=P","Fill=—","Direction=H","UseDPDF=Y")</f>
        <v>2806.3</v>
      </c>
      <c r="E48" s="16" cm="1">
        <f t="array" ref="E48">_xll.BDH("NUE US Equity","BS_CUR_LIAB","FQ1 2019","FQ1 2019","Currency=USD","Period=FQ","BEST_FPERIOD_OVERRIDE=FQ","FILING_STATUS=MR","SCALING_FORMAT=MLN","Sort=A","Dates=H","DateFormat=P","Fill=—","Direction=H","UseDPDF=Y")</f>
        <v>2568.0149999999999</v>
      </c>
      <c r="F48" s="16" cm="1">
        <f t="array" ref="F48">_xll.BDH("NUE US Equity","BS_CUR_LIAB","FQ2 2019","FQ2 2019","Currency=USD","Period=FQ","BEST_FPERIOD_OVERRIDE=FQ","FILING_STATUS=MR","SCALING_FORMAT=MLN","Sort=A","Dates=H","DateFormat=P","Fill=—","Direction=H","UseDPDF=Y")</f>
        <v>2380.4140000000002</v>
      </c>
      <c r="G48" s="16" cm="1">
        <f t="array" ref="G48">_xll.BDH("NUE US Equity","BS_CUR_LIAB","FQ3 2019","FQ3 2019","Currency=USD","Period=FQ","BEST_FPERIOD_OVERRIDE=FQ","FILING_STATUS=MR","SCALING_FORMAT=MLN","Sort=A","Dates=H","DateFormat=P","Fill=—","Direction=H","UseDPDF=Y")</f>
        <v>2585.9929999999999</v>
      </c>
      <c r="H48" s="16" cm="1">
        <f t="array" ref="H48">_xll.BDH("NUE US Equity","BS_CUR_LIAB","FQ4 2019","FQ4 2019","Currency=USD","Period=FQ","BEST_FPERIOD_OVERRIDE=FQ","FILING_STATUS=MR","SCALING_FORMAT=MLN","Sort=A","Dates=H","DateFormat=P","Fill=—","Direction=H","UseDPDF=Y")</f>
        <v>2463.7739999999999</v>
      </c>
      <c r="I48" s="16" cm="1">
        <f t="array" ref="I48">_xll.BDH("NUE US Equity","BS_CUR_LIAB","FQ1 2020","FQ1 2020","Currency=USD","Period=FQ","BEST_FPERIOD_OVERRIDE=FQ","FILING_STATUS=MR","SCALING_FORMAT=MLN","Sort=A","Dates=H","DateFormat=P","Fill=—","Direction=H","UseDPDF=Y")</f>
        <v>2218.5720000000001</v>
      </c>
      <c r="J48" s="16" cm="1">
        <f t="array" ref="J48">_xll.BDH("NUE US Equity","BS_CUR_LIAB","FQ2 2020","FQ2 2020","Currency=USD","Period=FQ","BEST_FPERIOD_OVERRIDE=FQ","FILING_STATUS=MR","SCALING_FORMAT=MLN","Sort=A","Dates=H","DateFormat=P","Fill=—","Direction=H","UseDPDF=Y")</f>
        <v>1965.038</v>
      </c>
      <c r="K48" s="16" cm="1">
        <f t="array" ref="K48">_xll.BDH("NUE US Equity","BS_CUR_LIAB","FQ3 2020","FQ3 2020","Currency=USD","Period=FQ","BEST_FPERIOD_OVERRIDE=FQ","FILING_STATUS=MR","SCALING_FORMAT=MLN","Sort=A","Dates=H","DateFormat=P","Fill=—","Direction=H","UseDPDF=Y")</f>
        <v>2373.2950000000001</v>
      </c>
      <c r="L48" s="16" cm="1">
        <f t="array" ref="L48">_xll.BDH("NUE US Equity","BS_CUR_LIAB","FQ4 2020","FQ4 2020","Currency=USD","Period=FQ","BEST_FPERIOD_OVERRIDE=FQ","FILING_STATUS=MR","SCALING_FORMAT=MLN","Sort=A","Dates=H","DateFormat=P","Fill=—","Direction=H","UseDPDF=Y")</f>
        <v>2627.86</v>
      </c>
      <c r="M48" s="16" cm="1">
        <f t="array" ref="M48">_xll.BDH("NUE US Equity","BS_CUR_LIAB","FQ1 2021","FQ1 2021","Currency=USD","Period=FQ","BEST_FPERIOD_OVERRIDE=FQ","FILING_STATUS=MR","SCALING_FORMAT=MLN","Sort=A","Dates=H","DateFormat=P","Fill=—","Direction=H","UseDPDF=Y")</f>
        <v>2970.4459999999999</v>
      </c>
      <c r="N48" s="16" cm="1">
        <f t="array" ref="N48">_xll.BDH("NUE US Equity","BS_CUR_LIAB","FQ2 2021","FQ2 2021","Currency=USD","Period=FQ","BEST_FPERIOD_OVERRIDE=FQ","FILING_STATUS=MR","SCALING_FORMAT=MLN","Sort=A","Dates=H","DateFormat=P","Fill=—","Direction=H","UseDPDF=Y")</f>
        <v>3879.95</v>
      </c>
      <c r="O48" s="16" cm="1">
        <f t="array" ref="O48">_xll.BDH("NUE US Equity","BS_CUR_LIAB","FQ3 2021","FQ3 2021","Currency=USD","Period=FQ","BEST_FPERIOD_OVERRIDE=FQ","FILING_STATUS=MR","SCALING_FORMAT=MLN","Sort=A","Dates=H","DateFormat=P","Fill=—","Direction=H","UseDPDF=Y")</f>
        <v>4797.5990000000002</v>
      </c>
      <c r="P48" s="16" cm="1">
        <f t="array" ref="P48">_xll.BDH("NUE US Equity","BS_CUR_LIAB","FQ4 2021","FQ4 2021","Currency=USD","Period=FQ","BEST_FPERIOD_OVERRIDE=FQ","FILING_STATUS=MR","SCALING_FORMAT=MLN","Sort=A","Dates=H","DateFormat=P","Fill=—","Direction=H","UseDPDF=Y")</f>
        <v>5157.4129999999996</v>
      </c>
      <c r="Q48" s="16" cm="1">
        <f t="array" ref="Q48">_xll.BDH("NUE US Equity","BS_CUR_LIAB","FQ1 2022","FQ1 2022","Currency=USD","Period=FQ","BEST_FPERIOD_OVERRIDE=FQ","FILING_STATUS=MR","SCALING_FORMAT=MLN","Sort=A","Dates=H","DateFormat=P","Fill=—","Direction=H","UseDPDF=Y")</f>
        <v>5133.835</v>
      </c>
      <c r="R48" s="16" cm="1">
        <f t="array" ref="R48">_xll.BDH("NUE US Equity","BS_CUR_LIAB","FQ2 2022","FQ2 2022","Currency=USD","Period=FQ","BEST_FPERIOD_OVERRIDE=FQ","FILING_STATUS=MR","SCALING_FORMAT=MLN","Sort=A","Dates=H","DateFormat=P","Fill=—","Direction=H","UseDPDF=Y")</f>
        <v>5359.201</v>
      </c>
      <c r="S48" s="16" cm="1">
        <f t="array" ref="S48">_xll.BDH("NUE US Equity","BS_CUR_LIAB","FQ3 2022","FQ3 2022","Currency=USD","Period=FQ","BEST_FPERIOD_OVERRIDE=FQ","FILING_STATUS=MR","SCALING_FORMAT=MLN","Sort=A","Dates=H","DateFormat=P","Fill=—","Direction=H","UseDPDF=Y")</f>
        <v>4632.0889999999999</v>
      </c>
      <c r="T48" s="16" cm="1">
        <f t="array" ref="T48">_xll.BDH("NUE US Equity","BS_CUR_LIAB","FQ4 2022","FQ4 2022","Currency=USD","Period=FQ","BEST_FPERIOD_OVERRIDE=FQ","FILING_STATUS=MR","SCALING_FORMAT=MLN","Sort=A","Dates=H","DateFormat=P","Fill=—","Direction=H","UseDPDF=Y")</f>
        <v>4329.7439999999997</v>
      </c>
      <c r="U48" s="16" cm="1">
        <f t="array" ref="U48">_xll.BDH("NUE US Equity","BS_CUR_LIAB","FQ1 2023","FQ1 2023","Currency=USD","Period=FQ","BEST_FPERIOD_OVERRIDE=FQ","FILING_STATUS=MR","SCALING_FORMAT=MLN","Sort=A","Dates=H","DateFormat=P","Fill=—","Direction=H","UseDPDF=Y")</f>
        <v>3829.94</v>
      </c>
      <c r="V48" s="16" cm="1">
        <f t="array" ref="V48">_xll.BDH("NUE US Equity","BS_CUR_LIAB","FQ2 2023","FQ2 2023","Currency=USD","Period=FQ","BEST_FPERIOD_OVERRIDE=FQ","FILING_STATUS=MR","SCALING_FORMAT=MLN","Sort=A","Dates=H","DateFormat=P","Fill=—","Direction=H","UseDPDF=Y")</f>
        <v>4004.174</v>
      </c>
      <c r="W48" s="16" cm="1">
        <f t="array" ref="W48">_xll.BDH("NUE US Equity","BS_CUR_LIAB","FQ3 2023","FQ3 2023","Currency=USD","Period=FQ","BEST_FPERIOD_OVERRIDE=FQ","FILING_STATUS=MR","SCALING_FORMAT=MLN","Sort=A","Dates=H","DateFormat=P","Fill=—","Direction=H","UseDPDF=Y")</f>
        <v>4283.848</v>
      </c>
      <c r="X48" s="16" cm="1">
        <f t="array" ref="X48">_xll.BDH("NUE US Equity","BS_CUR_LIAB","FQ4 2023","FQ4 2023","Currency=USD","Period=FQ","BEST_FPERIOD_OVERRIDE=FQ","FILING_STATUS=MR","SCALING_FORMAT=MLN","Sort=A","Dates=H","DateFormat=P","Fill=—","Direction=H","UseDPDF=Y")</f>
        <v>4594.509</v>
      </c>
      <c r="Y48" s="16" cm="1">
        <f t="array" ref="Y48">_xll.BDH("NUE US Equity","BS_CUR_LIAB","FQ1 2024","FQ1 2024","Currency=USD","Period=FQ","BEST_FPERIOD_OVERRIDE=FQ","FILING_STATUS=MR","SCALING_FORMAT=MLN","Sort=A","Dates=H","DateFormat=P","Fill=—","Direction=H","UseDPDF=Y")</f>
        <v>3645.9760000000001</v>
      </c>
      <c r="Z48" s="16" cm="1">
        <f t="array" ref="Z48">_xll.BDH("NUE US Equity","BS_CUR_LIAB","FQ2 2024","FQ2 2024","Currency=USD","Period=FQ","BEST_FPERIOD_OVERRIDE=FQ","FILING_STATUS=MR","SCALING_FORMAT=MLN","Sort=A","Dates=H","DateFormat=P","Fill=—","Direction=H","UseDPDF=Y")</f>
        <v>4865.2610000000004</v>
      </c>
      <c r="AA48" s="16" cm="1">
        <f t="array" ref="AA48">_xll.BDH("NUE US Equity","BS_CUR_LIAB","FQ3 2024","FQ3 2024","Currency=USD","Period=FQ","BEST_FPERIOD_OVERRIDE=FQ","FILING_STATUS=MR","SCALING_FORMAT=MLN","Sort=A","Dates=H","DateFormat=P","Fill=—","Direction=H","UseDPDF=Y")</f>
        <v>5216.7860000000001</v>
      </c>
      <c r="AB48" s="16" cm="1">
        <f t="array" ref="AB48">_xll.BDH("NUE US Equity","BS_CUR_LIAB","FQ4 2024","FQ4 2024","Currency=USD","Period=FQ","BEST_FPERIOD_OVERRIDE=FQ","FILING_STATUS=MR","SCALING_FORMAT=MLN","Sort=A","Dates=H","DateFormat=P","Fill=—","Direction=H","UseDPDF=Y")</f>
        <v>4977</v>
      </c>
      <c r="AC48" s="16" cm="1">
        <f t="array" ref="AC48">_xll.BDH("NUE US Equity","BS_CUR_LIAB","FQ1 2025","FQ1 2025","Currency=USD","Period=FQ","BEST_FPERIOD_OVERRIDE=FQ","FILING_STATUS=MR","SCALING_FORMAT=MLN","Sort=A","Dates=H","DateFormat=P","Fill=—","Direction=H","UseDPDF=Y")</f>
        <v>5059</v>
      </c>
      <c r="AD48" s="16" cm="1">
        <f t="array" ref="AD48">_xll.BDH("NUE US Equity","BS_CUR_LIAB","FQ2 2025","FQ2 2025","Currency=USD","Period=FQ","BEST_FPERIOD_OVERRIDE=FQ","FILING_STATUS=MR","SCALING_FORMAT=MLN","Sort=A","Dates=H","DateFormat=P","Fill=—","Direction=H","UseDPDF=Y")</f>
        <v>4146</v>
      </c>
      <c r="AE48" s="16" cm="1">
        <f t="array" ref="AE48">_xll.BDH("NUE US Equity","BS_CUR_LIAB","FQ3 2025","FQ3 2025","Currency=USD","Period=FQ","BEST_FPERIOD_OVERRIDE=FQ","FILING_STATUS=MR","SCALING_FORMAT=MLN","Sort=A","Dates=H","DateFormat=P","Fill=—","Direction=H","UseDPDF=Y")</f>
        <v>4257</v>
      </c>
      <c r="AF48" s="16" cm="1">
        <f t="array" ref="AF48">_xll.BDH("NUE US Equity","BS_CUR_LIAB","FQ4 2025","FQ4 2025","Currency=USD","Period=FQ","BEST_FPERIOD_OVERRIDE=FQ","FILING_STATUS=MR","SCALING_FORMAT=MLN","Sort=A","Dates=H","DateFormat=P","Fill=—","Direction=H","UseDPDF=Y")</f>
        <v>4004</v>
      </c>
    </row>
    <row r="49" spans="1:32" x14ac:dyDescent="0.25">
      <c r="A49" s="10" t="s">
        <v>145</v>
      </c>
      <c r="B49" s="10" t="s">
        <v>146</v>
      </c>
      <c r="C49" s="13" cm="1">
        <f t="array" ref="C49">_xll.BDH("NUE US Equity","BS_LT_BORROW","FQ3 2018","FQ3 2018","Currency=USD","Period=FQ","BEST_FPERIOD_OVERRIDE=FQ","FILING_STATUS=MR","SCALING_FORMAT=MLN","Sort=A","Dates=H","DateFormat=P","Fill=—","Direction=H","UseDPDF=Y")</f>
        <v>4232.76</v>
      </c>
      <c r="D49" s="13" cm="1">
        <f t="array" ref="D49">_xll.BDH("NUE US Equity","BS_LT_BORROW","FQ4 2018","FQ4 2018","Currency=USD","Period=FQ","BEST_FPERIOD_OVERRIDE=FQ","FILING_STATUS=MR","SCALING_FORMAT=MLN","Sort=A","Dates=H","DateFormat=P","Fill=—","Direction=H","UseDPDF=Y")</f>
        <v>4233.2759999999998</v>
      </c>
      <c r="E49" s="13" cm="1">
        <f t="array" ref="E49">_xll.BDH("NUE US Equity","BS_LT_BORROW","FQ1 2019","FQ1 2019","Currency=USD","Period=FQ","BEST_FPERIOD_OVERRIDE=FQ","FILING_STATUS=MR","SCALING_FORMAT=MLN","Sort=A","Dates=H","DateFormat=P","Fill=—","Direction=H","UseDPDF=Y")</f>
        <v>4383.0609999999997</v>
      </c>
      <c r="F49" s="13" cm="1">
        <f t="array" ref="F49">_xll.BDH("NUE US Equity","BS_LT_BORROW","FQ2 2019","FQ2 2019","Currency=USD","Period=FQ","BEST_FPERIOD_OVERRIDE=FQ","FILING_STATUS=MR","SCALING_FORMAT=MLN","Sort=A","Dates=H","DateFormat=P","Fill=—","Direction=H","UseDPDF=Y")</f>
        <v>4379.2709999999997</v>
      </c>
      <c r="G49" s="13" cm="1">
        <f t="array" ref="G49">_xll.BDH("NUE US Equity","BS_LT_BORROW","FQ3 2019","FQ3 2019","Currency=USD","Period=FQ","BEST_FPERIOD_OVERRIDE=FQ","FILING_STATUS=MR","SCALING_FORMAT=MLN","Sort=A","Dates=H","DateFormat=P","Fill=—","Direction=H","UseDPDF=Y")</f>
        <v>4436.2240000000002</v>
      </c>
      <c r="H49" s="13" cm="1">
        <f t="array" ref="H49">_xll.BDH("NUE US Equity","BS_LT_BORROW","FQ4 2019","FQ4 2019","Currency=USD","Period=FQ","BEST_FPERIOD_OVERRIDE=FQ","FILING_STATUS=MR","SCALING_FORMAT=MLN","Sort=A","Dates=H","DateFormat=P","Fill=—","Direction=H","UseDPDF=Y")</f>
        <v>4442.1379999999999</v>
      </c>
      <c r="I49" s="13" cm="1">
        <f t="array" ref="I49">_xll.BDH("NUE US Equity","BS_LT_BORROW","FQ1 2020","FQ1 2020","Currency=USD","Period=FQ","BEST_FPERIOD_OVERRIDE=FQ","FILING_STATUS=MR","SCALING_FORMAT=MLN","Sort=A","Dates=H","DateFormat=P","Fill=—","Direction=H","UseDPDF=Y")</f>
        <v>4243.1809999999996</v>
      </c>
      <c r="J49" s="13" cm="1">
        <f t="array" ref="J49">_xll.BDH("NUE US Equity","BS_LT_BORROW","FQ2 2020","FQ2 2020","Currency=USD","Period=FQ","BEST_FPERIOD_OVERRIDE=FQ","FILING_STATUS=MR","SCALING_FORMAT=MLN","Sort=A","Dates=H","DateFormat=P","Fill=—","Direction=H","UseDPDF=Y")</f>
        <v>5279.1030000000001</v>
      </c>
      <c r="K49" s="13" cm="1">
        <f t="array" ref="K49">_xll.BDH("NUE US Equity","BS_LT_BORROW","FQ3 2020","FQ3 2020","Currency=USD","Period=FQ","BEST_FPERIOD_OVERRIDE=FQ","FILING_STATUS=MR","SCALING_FORMAT=MLN","Sort=A","Dates=H","DateFormat=P","Fill=—","Direction=H","UseDPDF=Y")</f>
        <v>5452.1930000000002</v>
      </c>
      <c r="L49" s="13" cm="1">
        <f t="array" ref="L49">_xll.BDH("NUE US Equity","BS_LT_BORROW","FQ4 2020","FQ4 2020","Currency=USD","Period=FQ","BEST_FPERIOD_OVERRIDE=FQ","FILING_STATUS=MR","SCALING_FORMAT=MLN","Sort=A","Dates=H","DateFormat=P","Fill=—","Direction=H","UseDPDF=Y")</f>
        <v>5426.9780000000001</v>
      </c>
      <c r="M49" s="13" cm="1">
        <f t="array" ref="M49">_xll.BDH("NUE US Equity","BS_LT_BORROW","FQ1 2021","FQ1 2021","Currency=USD","Period=FQ","BEST_FPERIOD_OVERRIDE=FQ","FILING_STATUS=MR","SCALING_FORMAT=MLN","Sort=A","Dates=H","DateFormat=P","Fill=—","Direction=H","UseDPDF=Y")</f>
        <v>5273.0360000000001</v>
      </c>
      <c r="N49" s="13" cm="1">
        <f t="array" ref="N49">_xll.BDH("NUE US Equity","BS_LT_BORROW","FQ2 2021","FQ2 2021","Currency=USD","Period=FQ","BEST_FPERIOD_OVERRIDE=FQ","FILING_STATUS=MR","SCALING_FORMAT=MLN","Sort=A","Dates=H","DateFormat=P","Fill=—","Direction=H","UseDPDF=Y")</f>
        <v>5275.4960000000001</v>
      </c>
      <c r="O49" s="13" cm="1">
        <f t="array" ref="O49">_xll.BDH("NUE US Equity","BS_LT_BORROW","FQ3 2021","FQ3 2021","Currency=USD","Period=FQ","BEST_FPERIOD_OVERRIDE=FQ","FILING_STATUS=MR","SCALING_FORMAT=MLN","Sort=A","Dates=H","DateFormat=P","Fill=—","Direction=H","UseDPDF=Y")</f>
        <v>4949.9449999999997</v>
      </c>
      <c r="P49" s="13" cm="1">
        <f t="array" ref="P49">_xll.BDH("NUE US Equity","BS_LT_BORROW","FQ4 2021","FQ4 2021","Currency=USD","Period=FQ","BEST_FPERIOD_OVERRIDE=FQ","FILING_STATUS=MR","SCALING_FORMAT=MLN","Sort=A","Dates=H","DateFormat=P","Fill=—","Direction=H","UseDPDF=Y")</f>
        <v>5199.9459999999999</v>
      </c>
      <c r="Q49" s="13" cm="1">
        <f t="array" ref="Q49">_xll.BDH("NUE US Equity","BS_LT_BORROW","FQ1 2022","FQ1 2022","Currency=USD","Period=FQ","BEST_FPERIOD_OVERRIDE=FQ","FILING_STATUS=MR","SCALING_FORMAT=MLN","Sort=A","Dates=H","DateFormat=P","Fill=—","Direction=H","UseDPDF=Y")</f>
        <v>6112.3310000000001</v>
      </c>
      <c r="R49" s="13" cm="1">
        <f t="array" ref="R49">_xll.BDH("NUE US Equity","BS_LT_BORROW","FQ2 2022","FQ2 2022","Currency=USD","Period=FQ","BEST_FPERIOD_OVERRIDE=FQ","FILING_STATUS=MR","SCALING_FORMAT=MLN","Sort=A","Dates=H","DateFormat=P","Fill=—","Direction=H","UseDPDF=Y")</f>
        <v>6621.6850000000004</v>
      </c>
      <c r="S49" s="13" cm="1">
        <f t="array" ref="S49">_xll.BDH("NUE US Equity","BS_LT_BORROW","FQ3 2022","FQ3 2022","Currency=USD","Period=FQ","BEST_FPERIOD_OVERRIDE=FQ","FILING_STATUS=MR","SCALING_FORMAT=MLN","Sort=A","Dates=H","DateFormat=P","Fill=—","Direction=H","UseDPDF=Y")</f>
        <v>6617.03</v>
      </c>
      <c r="T49" s="13" cm="1">
        <f t="array" ref="T49">_xll.BDH("NUE US Equity","BS_LT_BORROW","FQ4 2022","FQ4 2022","Currency=USD","Period=FQ","BEST_FPERIOD_OVERRIDE=FQ","FILING_STATUS=MR","SCALING_FORMAT=MLN","Sort=A","Dates=H","DateFormat=P","Fill=—","Direction=H","UseDPDF=Y")</f>
        <v>6864.9459999999999</v>
      </c>
      <c r="U49" s="13" cm="1">
        <f t="array" ref="U49">_xll.BDH("NUE US Equity","BS_LT_BORROW","FQ1 2023","FQ1 2023","Currency=USD","Period=FQ","BEST_FPERIOD_OVERRIDE=FQ","FILING_STATUS=MR","SCALING_FORMAT=MLN","Sort=A","Dates=H","DateFormat=P","Fill=—","Direction=H","UseDPDF=Y")</f>
        <v>6616.4979999999996</v>
      </c>
      <c r="V49" s="13" cm="1">
        <f t="array" ref="V49">_xll.BDH("NUE US Equity","BS_LT_BORROW","FQ2 2023","FQ2 2023","Currency=USD","Period=FQ","BEST_FPERIOD_OVERRIDE=FQ","FILING_STATUS=MR","SCALING_FORMAT=MLN","Sort=A","Dates=H","DateFormat=P","Fill=—","Direction=H","UseDPDF=Y")</f>
        <v>6620.6859999999997</v>
      </c>
      <c r="W49" s="13" cm="1">
        <f t="array" ref="W49">_xll.BDH("NUE US Equity","BS_LT_BORROW","FQ3 2023","FQ3 2023","Currency=USD","Period=FQ","BEST_FPERIOD_OVERRIDE=FQ","FILING_STATUS=MR","SCALING_FORMAT=MLN","Sort=A","Dates=H","DateFormat=P","Fill=—","Direction=H","UseDPDF=Y")</f>
        <v>6620.5860000000002</v>
      </c>
      <c r="X49" s="13" cm="1">
        <f t="array" ref="X49">_xll.BDH("NUE US Equity","BS_LT_BORROW","FQ4 2023","FQ4 2023","Currency=USD","Period=FQ","BEST_FPERIOD_OVERRIDE=FQ","FILING_STATUS=MR","SCALING_FORMAT=MLN","Sort=A","Dates=H","DateFormat=P","Fill=—","Direction=H","UseDPDF=Y")</f>
        <v>6905.3329999999996</v>
      </c>
      <c r="Y49" s="13" cm="1">
        <f t="array" ref="Y49">_xll.BDH("NUE US Equity","BS_LT_BORROW","FQ1 2024","FQ1 2024","Currency=USD","Period=FQ","BEST_FPERIOD_OVERRIDE=FQ","FILING_STATUS=MR","SCALING_FORMAT=MLN","Sort=A","Dates=H","DateFormat=P","Fill=—","Direction=H","UseDPDF=Y")</f>
        <v>6647.56</v>
      </c>
      <c r="Z49" s="13" cm="1">
        <f t="array" ref="Z49">_xll.BDH("NUE US Equity","BS_LT_BORROW","FQ2 2024","FQ2 2024","Currency=USD","Period=FQ","BEST_FPERIOD_OVERRIDE=FQ","FILING_STATUS=MR","SCALING_FORMAT=MLN","Sort=A","Dates=H","DateFormat=P","Fill=—","Direction=H","UseDPDF=Y")</f>
        <v>5648.5550000000003</v>
      </c>
      <c r="AA49" s="13" cm="1">
        <f t="array" ref="AA49">_xll.BDH("NUE US Equity","BS_LT_BORROW","FQ3 2024","FQ3 2024","Currency=USD","Period=FQ","BEST_FPERIOD_OVERRIDE=FQ","FILING_STATUS=MR","SCALING_FORMAT=MLN","Sort=A","Dates=H","DateFormat=P","Fill=—","Direction=H","UseDPDF=Y")</f>
        <v>5684.9359999999997</v>
      </c>
      <c r="AB49" s="13" cm="1">
        <f t="array" ref="AB49">_xll.BDH("NUE US Equity","BS_LT_BORROW","FQ4 2024","FQ4 2024","Currency=USD","Period=FQ","BEST_FPERIOD_OVERRIDE=FQ","FILING_STATUS=MR","SCALING_FORMAT=MLN","Sort=A","Dates=H","DateFormat=P","Fill=—","Direction=H","UseDPDF=Y")</f>
        <v>5950</v>
      </c>
      <c r="AC49" s="13" cm="1">
        <f t="array" ref="AC49">_xll.BDH("NUE US Equity","BS_LT_BORROW","FQ1 2025","FQ1 2025","Currency=USD","Period=FQ","BEST_FPERIOD_OVERRIDE=FQ","FILING_STATUS=MR","SCALING_FORMAT=MLN","Sort=A","Dates=H","DateFormat=P","Fill=—","Direction=H","UseDPDF=Y")</f>
        <v>6689</v>
      </c>
      <c r="AD49" s="13" cm="1">
        <f t="array" ref="AD49">_xll.BDH("NUE US Equity","BS_LT_BORROW","FQ2 2025","FQ2 2025","Currency=USD","Period=FQ","BEST_FPERIOD_OVERRIDE=FQ","FILING_STATUS=MR","SCALING_FORMAT=MLN","Sort=A","Dates=H","DateFormat=P","Fill=—","Direction=H","UseDPDF=Y")</f>
        <v>6692</v>
      </c>
      <c r="AE49" s="13" cm="1">
        <f t="array" ref="AE49">_xll.BDH("NUE US Equity","BS_LT_BORROW","FQ3 2025","FQ3 2025","Currency=USD","Period=FQ","BEST_FPERIOD_OVERRIDE=FQ","FILING_STATUS=MR","SCALING_FORMAT=MLN","Sort=A","Dates=H","DateFormat=P","Fill=—","Direction=H","UseDPDF=Y")</f>
        <v>6686</v>
      </c>
      <c r="AF49" s="13" cm="1">
        <f t="array" ref="AF49">_xll.BDH("NUE US Equity","BS_LT_BORROW","FQ4 2025","FQ4 2025","Currency=USD","Period=FQ","BEST_FPERIOD_OVERRIDE=FQ","FILING_STATUS=MR","SCALING_FORMAT=MLN","Sort=A","Dates=H","DateFormat=P","Fill=—","Direction=H","UseDPDF=Y")</f>
        <v>6909</v>
      </c>
    </row>
    <row r="50" spans="1:32" x14ac:dyDescent="0.25">
      <c r="A50" s="10" t="s">
        <v>147</v>
      </c>
      <c r="B50" s="10" t="s">
        <v>148</v>
      </c>
      <c r="C50" s="13" cm="1">
        <f t="array" ref="C50">_xll.BDH("NUE US Equity","LONG_TERM_BORROWINGS_DETAILED","FQ3 2018","FQ3 2018","Currency=USD","Period=FQ","BEST_FPERIOD_OVERRIDE=FQ","FILING_STATUS=MR","SCALING_FORMAT=MLN","Sort=A","Dates=H","DateFormat=P","Fill=—","Direction=H","UseDPDF=Y")</f>
        <v>4232.76</v>
      </c>
      <c r="D50" s="13" cm="1">
        <f t="array" ref="D50">_xll.BDH("NUE US Equity","LONG_TERM_BORROWINGS_DETAILED","FQ4 2018","FQ4 2018","Currency=USD","Period=FQ","BEST_FPERIOD_OVERRIDE=FQ","FILING_STATUS=MR","SCALING_FORMAT=MLN","Sort=A","Dates=H","DateFormat=P","Fill=—","Direction=H","UseDPDF=Y")</f>
        <v>4233.2759999999998</v>
      </c>
      <c r="E50" s="13" cm="1">
        <f t="array" ref="E50">_xll.BDH("NUE US Equity","LONG_TERM_BORROWINGS_DETAILED","FQ1 2019","FQ1 2019","Currency=USD","Period=FQ","BEST_FPERIOD_OVERRIDE=FQ","FILING_STATUS=MR","SCALING_FORMAT=MLN","Sort=A","Dates=H","DateFormat=P","Fill=—","Direction=H","UseDPDF=Y")</f>
        <v>4233.7920000000004</v>
      </c>
      <c r="F50" s="13" cm="1">
        <f t="array" ref="F50">_xll.BDH("NUE US Equity","LONG_TERM_BORROWINGS_DETAILED","FQ2 2019","FQ2 2019","Currency=USD","Period=FQ","BEST_FPERIOD_OVERRIDE=FQ","FILING_STATUS=MR","SCALING_FORMAT=MLN","Sort=A","Dates=H","DateFormat=P","Fill=—","Direction=H","UseDPDF=Y")</f>
        <v>4234.308</v>
      </c>
      <c r="G50" s="13" cm="1">
        <f t="array" ref="G50">_xll.BDH("NUE US Equity","LONG_TERM_BORROWINGS_DETAILED","FQ3 2019","FQ3 2019","Currency=USD","Period=FQ","BEST_FPERIOD_OVERRIDE=FQ","FILING_STATUS=MR","SCALING_FORMAT=MLN","Sort=A","Dates=H","DateFormat=P","Fill=—","Direction=H","UseDPDF=Y")</f>
        <v>4287.5969999999998</v>
      </c>
      <c r="H50" s="13" cm="1">
        <f t="array" ref="H50">_xll.BDH("NUE US Equity","LONG_TERM_BORROWINGS_DETAILED","FQ4 2019","FQ4 2019","Currency=USD","Period=FQ","BEST_FPERIOD_OVERRIDE=FQ","FILING_STATUS=MR","SCALING_FORMAT=MLN","Sort=A","Dates=H","DateFormat=P","Fill=—","Direction=H","UseDPDF=Y")</f>
        <v>4291.3010000000004</v>
      </c>
      <c r="I50" s="13" cm="1">
        <f t="array" ref="I50">_xll.BDH("NUE US Equity","LONG_TERM_BORROWINGS_DETAILED","FQ1 2020","FQ1 2020","Currency=USD","Period=FQ","BEST_FPERIOD_OVERRIDE=FQ","FILING_STATUS=MR","SCALING_FORMAT=MLN","Sort=A","Dates=H","DateFormat=P","Fill=—","Direction=H","UseDPDF=Y")</f>
        <v>4243.1809999999996</v>
      </c>
      <c r="J50" s="13" cm="1">
        <f t="array" ref="J50">_xll.BDH("NUE US Equity","LONG_TERM_BORROWINGS_DETAILED","FQ2 2020","FQ2 2020","Currency=USD","Period=FQ","BEST_FPERIOD_OVERRIDE=FQ","FILING_STATUS=MR","SCALING_FORMAT=MLN","Sort=A","Dates=H","DateFormat=P","Fill=—","Direction=H","UseDPDF=Y")</f>
        <v>5279.1030000000001</v>
      </c>
      <c r="K50" s="13" cm="1">
        <f t="array" ref="K50">_xll.BDH("NUE US Equity","LONG_TERM_BORROWINGS_DETAILED","FQ3 2020","FQ3 2020","Currency=USD","Period=FQ","BEST_FPERIOD_OVERRIDE=FQ","FILING_STATUS=MR","SCALING_FORMAT=MLN","Sort=A","Dates=H","DateFormat=P","Fill=—","Direction=H","UseDPDF=Y")</f>
        <v>5452.1930000000002</v>
      </c>
      <c r="L50" s="13" cm="1">
        <f t="array" ref="L50">_xll.BDH("NUE US Equity","LONG_TERM_BORROWINGS_DETAILED","FQ4 2020","FQ4 2020","Currency=USD","Period=FQ","BEST_FPERIOD_OVERRIDE=FQ","FILING_STATUS=MR","SCALING_FORMAT=MLN","Sort=A","Dates=H","DateFormat=P","Fill=—","Direction=H","UseDPDF=Y")</f>
        <v>5271.7889999999998</v>
      </c>
      <c r="M50" s="13" cm="1">
        <f t="array" ref="M50">_xll.BDH("NUE US Equity","LONG_TERM_BORROWINGS_DETAILED","FQ1 2021","FQ1 2021","Currency=USD","Period=FQ","BEST_FPERIOD_OVERRIDE=FQ","FILING_STATUS=MR","SCALING_FORMAT=MLN","Sort=A","Dates=H","DateFormat=P","Fill=—","Direction=H","UseDPDF=Y")</f>
        <v>5273.0360000000001</v>
      </c>
      <c r="N50" s="13" cm="1">
        <f t="array" ref="N50">_xll.BDH("NUE US Equity","LONG_TERM_BORROWINGS_DETAILED","FQ2 2021","FQ2 2021","Currency=USD","Period=FQ","BEST_FPERIOD_OVERRIDE=FQ","FILING_STATUS=MR","SCALING_FORMAT=MLN","Sort=A","Dates=H","DateFormat=P","Fill=—","Direction=H","UseDPDF=Y")</f>
        <v>5275.4960000000001</v>
      </c>
      <c r="O50" s="13" cm="1">
        <f t="array" ref="O50">_xll.BDH("NUE US Equity","LONG_TERM_BORROWINGS_DETAILED","FQ3 2021","FQ3 2021","Currency=USD","Period=FQ","BEST_FPERIOD_OVERRIDE=FQ","FILING_STATUS=MR","SCALING_FORMAT=MLN","Sort=A","Dates=H","DateFormat=P","Fill=—","Direction=H","UseDPDF=Y")</f>
        <v>4949.9449999999997</v>
      </c>
      <c r="P50" s="13" cm="1">
        <f t="array" ref="P50">_xll.BDH("NUE US Equity","LONG_TERM_BORROWINGS_DETAILED","FQ4 2021","FQ4 2021","Currency=USD","Period=FQ","BEST_FPERIOD_OVERRIDE=FQ","FILING_STATUS=MR","SCALING_FORMAT=MLN","Sort=A","Dates=H","DateFormat=P","Fill=—","Direction=H","UseDPDF=Y")</f>
        <v>4961.41</v>
      </c>
      <c r="Q50" s="13" cm="1">
        <f t="array" ref="Q50">_xll.BDH("NUE US Equity","LONG_TERM_BORROWINGS_DETAILED","FQ1 2022","FQ1 2022","Currency=USD","Period=FQ","BEST_FPERIOD_OVERRIDE=FQ","FILING_STATUS=MR","SCALING_FORMAT=MLN","Sort=A","Dates=H","DateFormat=P","Fill=—","Direction=H","UseDPDF=Y")</f>
        <v>6112.3310000000001</v>
      </c>
      <c r="R50" s="13" cm="1">
        <f t="array" ref="R50">_xll.BDH("NUE US Equity","LONG_TERM_BORROWINGS_DETAILED","FQ2 2022","FQ2 2022","Currency=USD","Period=FQ","BEST_FPERIOD_OVERRIDE=FQ","FILING_STATUS=MR","SCALING_FORMAT=MLN","Sort=A","Dates=H","DateFormat=P","Fill=—","Direction=H","UseDPDF=Y")</f>
        <v>6621.6850000000004</v>
      </c>
      <c r="S50" s="13" cm="1">
        <f t="array" ref="S50">_xll.BDH("NUE US Equity","LONG_TERM_BORROWINGS_DETAILED","FQ3 2022","FQ3 2022","Currency=USD","Period=FQ","BEST_FPERIOD_OVERRIDE=FQ","FILING_STATUS=MR","SCALING_FORMAT=MLN","Sort=A","Dates=H","DateFormat=P","Fill=—","Direction=H","UseDPDF=Y")</f>
        <v>6617.03</v>
      </c>
      <c r="T50" s="13" cm="1">
        <f t="array" ref="T50">_xll.BDH("NUE US Equity","LONG_TERM_BORROWINGS_DETAILED","FQ4 2022","FQ4 2022","Currency=USD","Period=FQ","BEST_FPERIOD_OVERRIDE=FQ","FILING_STATUS=MR","SCALING_FORMAT=MLN","Sort=A","Dates=H","DateFormat=P","Fill=—","Direction=H","UseDPDF=Y")</f>
        <v>6613.6869999999999</v>
      </c>
      <c r="U50" s="13" cm="1">
        <f t="array" ref="U50">_xll.BDH("NUE US Equity","LONG_TERM_BORROWINGS_DETAILED","FQ1 2023","FQ1 2023","Currency=USD","Period=FQ","BEST_FPERIOD_OVERRIDE=FQ","FILING_STATUS=MR","SCALING_FORMAT=MLN","Sort=A","Dates=H","DateFormat=P","Fill=—","Direction=H","UseDPDF=Y")</f>
        <v>6616.4979999999996</v>
      </c>
      <c r="V50" s="13" cm="1">
        <f t="array" ref="V50">_xll.BDH("NUE US Equity","LONG_TERM_BORROWINGS_DETAILED","FQ2 2023","FQ2 2023","Currency=USD","Period=FQ","BEST_FPERIOD_OVERRIDE=FQ","FILING_STATUS=MR","SCALING_FORMAT=MLN","Sort=A","Dates=H","DateFormat=P","Fill=—","Direction=H","UseDPDF=Y")</f>
        <v>6620.6859999999997</v>
      </c>
      <c r="W50" s="13" cm="1">
        <f t="array" ref="W50">_xll.BDH("NUE US Equity","LONG_TERM_BORROWINGS_DETAILED","FQ3 2023","FQ3 2023","Currency=USD","Period=FQ","BEST_FPERIOD_OVERRIDE=FQ","FILING_STATUS=MR","SCALING_FORMAT=MLN","Sort=A","Dates=H","DateFormat=P","Fill=—","Direction=H","UseDPDF=Y")</f>
        <v>6620.5860000000002</v>
      </c>
      <c r="X50" s="13" cm="1">
        <f t="array" ref="X50">_xll.BDH("NUE US Equity","LONG_TERM_BORROWINGS_DETAILED","FQ4 2023","FQ4 2023","Currency=USD","Period=FQ","BEST_FPERIOD_OVERRIDE=FQ","FILING_STATUS=MR","SCALING_FORMAT=MLN","Sort=A","Dates=H","DateFormat=P","Fill=—","Direction=H","UseDPDF=Y")</f>
        <v>6648.8729999999996</v>
      </c>
      <c r="Y50" s="13" cm="1">
        <f t="array" ref="Y50">_xll.BDH("NUE US Equity","LONG_TERM_BORROWINGS_DETAILED","FQ1 2024","FQ1 2024","Currency=USD","Period=FQ","BEST_FPERIOD_OVERRIDE=FQ","FILING_STATUS=MR","SCALING_FORMAT=MLN","Sort=A","Dates=H","DateFormat=P","Fill=—","Direction=H","UseDPDF=Y")</f>
        <v>6647.56</v>
      </c>
      <c r="Z50" s="13" cm="1">
        <f t="array" ref="Z50">_xll.BDH("NUE US Equity","LONG_TERM_BORROWINGS_DETAILED","FQ2 2024","FQ2 2024","Currency=USD","Period=FQ","BEST_FPERIOD_OVERRIDE=FQ","FILING_STATUS=MR","SCALING_FORMAT=MLN","Sort=A","Dates=H","DateFormat=P","Fill=—","Direction=H","UseDPDF=Y")</f>
        <v>5648.5550000000003</v>
      </c>
      <c r="AA50" s="13" cm="1">
        <f t="array" ref="AA50">_xll.BDH("NUE US Equity","LONG_TERM_BORROWINGS_DETAILED","FQ3 2024","FQ3 2024","Currency=USD","Period=FQ","BEST_FPERIOD_OVERRIDE=FQ","FILING_STATUS=MR","SCALING_FORMAT=MLN","Sort=A","Dates=H","DateFormat=P","Fill=—","Direction=H","UseDPDF=Y")</f>
        <v>5684.9359999999997</v>
      </c>
      <c r="AB50" s="13" cm="1">
        <f t="array" ref="AB50">_xll.BDH("NUE US Equity","LONG_TERM_BORROWINGS_DETAILED","FQ4 2024","FQ4 2024","Currency=USD","Period=FQ","BEST_FPERIOD_OVERRIDE=FQ","FILING_STATUS=MR","SCALING_FORMAT=MLN","Sort=A","Dates=H","DateFormat=P","Fill=—","Direction=H","UseDPDF=Y")</f>
        <v>5683</v>
      </c>
      <c r="AC50" s="13" cm="1">
        <f t="array" ref="AC50">_xll.BDH("NUE US Equity","LONG_TERM_BORROWINGS_DETAILED","FQ1 2025","FQ1 2025","Currency=USD","Period=FQ","BEST_FPERIOD_OVERRIDE=FQ","FILING_STATUS=MR","SCALING_FORMAT=MLN","Sort=A","Dates=H","DateFormat=P","Fill=—","Direction=H","UseDPDF=Y")</f>
        <v>6689</v>
      </c>
      <c r="AD50" s="13" cm="1">
        <f t="array" ref="AD50">_xll.BDH("NUE US Equity","LONG_TERM_BORROWINGS_DETAILED","FQ2 2025","FQ2 2025","Currency=USD","Period=FQ","BEST_FPERIOD_OVERRIDE=FQ","FILING_STATUS=MR","SCALING_FORMAT=MLN","Sort=A","Dates=H","DateFormat=P","Fill=—","Direction=H","UseDPDF=Y")</f>
        <v>6692</v>
      </c>
      <c r="AE50" s="13" cm="1">
        <f t="array" ref="AE50">_xll.BDH("NUE US Equity","LONG_TERM_BORROWINGS_DETAILED","FQ3 2025","FQ3 2025","Currency=USD","Period=FQ","BEST_FPERIOD_OVERRIDE=FQ","FILING_STATUS=MR","SCALING_FORMAT=MLN","Sort=A","Dates=H","DateFormat=P","Fill=—","Direction=H","UseDPDF=Y")</f>
        <v>6686</v>
      </c>
      <c r="AF50" s="13" cm="1">
        <f t="array" ref="AF50">_xll.BDH("NUE US Equity","LONG_TERM_BORROWINGS_DETAILED","FQ4 2025","FQ4 2025","Currency=USD","Period=FQ","BEST_FPERIOD_OVERRIDE=FQ","FILING_STATUS=MR","SCALING_FORMAT=MLN","Sort=A","Dates=H","DateFormat=P","Fill=—","Direction=H","UseDPDF=Y")</f>
        <v>6909</v>
      </c>
    </row>
    <row r="51" spans="1:32" x14ac:dyDescent="0.25">
      <c r="A51" s="10" t="s">
        <v>149</v>
      </c>
      <c r="B51" s="10" t="s">
        <v>150</v>
      </c>
      <c r="C51" s="13" t="str" cm="1">
        <f t="array" ref="C51">_xll.BDH("NUE US Equity","LT_CAPITALIZED_LEASE_LIABILITIES","FQ3 2018","FQ3 2018","Currency=USD","Period=FQ","BEST_FPERIOD_OVERRIDE=FQ","FILING_STATUS=MR","SCALING_FORMAT=MLN","Sort=A","Dates=H","DateFormat=P","Fill=—","Direction=H","UseDPDF=Y")</f>
        <v>—</v>
      </c>
      <c r="D51" s="13" t="str" cm="1">
        <f t="array" ref="D51">_xll.BDH("NUE US Equity","LT_CAPITALIZED_LEASE_LIABILITIES","FQ4 2018","FQ4 2018","Currency=USD","Period=FQ","BEST_FPERIOD_OVERRIDE=FQ","FILING_STATUS=MR","SCALING_FORMAT=MLN","Sort=A","Dates=H","DateFormat=P","Fill=—","Direction=H","UseDPDF=Y")</f>
        <v>—</v>
      </c>
      <c r="E51" s="13" cm="1">
        <f t="array" ref="E51">_xll.BDH("NUE US Equity","LT_CAPITALIZED_LEASE_LIABILITIES","FQ1 2019","FQ1 2019","Currency=USD","Period=FQ","BEST_FPERIOD_OVERRIDE=FQ","FILING_STATUS=MR","SCALING_FORMAT=MLN","Sort=A","Dates=H","DateFormat=P","Fill=—","Direction=H","UseDPDF=Y")</f>
        <v>149.26900000000001</v>
      </c>
      <c r="F51" s="13" cm="1">
        <f t="array" ref="F51">_xll.BDH("NUE US Equity","LT_CAPITALIZED_LEASE_LIABILITIES","FQ2 2019","FQ2 2019","Currency=USD","Period=FQ","BEST_FPERIOD_OVERRIDE=FQ","FILING_STATUS=MR","SCALING_FORMAT=MLN","Sort=A","Dates=H","DateFormat=P","Fill=—","Direction=H","UseDPDF=Y")</f>
        <v>144.96299999999999</v>
      </c>
      <c r="G51" s="13" cm="1">
        <f t="array" ref="G51">_xll.BDH("NUE US Equity","LT_CAPITALIZED_LEASE_LIABILITIES","FQ3 2019","FQ3 2019","Currency=USD","Period=FQ","BEST_FPERIOD_OVERRIDE=FQ","FILING_STATUS=MR","SCALING_FORMAT=MLN","Sort=A","Dates=H","DateFormat=P","Fill=—","Direction=H","UseDPDF=Y")</f>
        <v>148.62700000000001</v>
      </c>
      <c r="H51" s="13" cm="1">
        <f t="array" ref="H51">_xll.BDH("NUE US Equity","LT_CAPITALIZED_LEASE_LIABILITIES","FQ4 2019","FQ4 2019","Currency=USD","Period=FQ","BEST_FPERIOD_OVERRIDE=FQ","FILING_STATUS=MR","SCALING_FORMAT=MLN","Sort=A","Dates=H","DateFormat=P","Fill=—","Direction=H","UseDPDF=Y")</f>
        <v>150.83699999999999</v>
      </c>
      <c r="I51" s="13" t="str" cm="1">
        <f t="array" ref="I51">_xll.BDH("NUE US Equity","LT_CAPITALIZED_LEASE_LIABILITIES","FQ1 2020","FQ1 2020","Currency=USD","Period=FQ","BEST_FPERIOD_OVERRIDE=FQ","FILING_STATUS=MR","SCALING_FORMAT=MLN","Sort=A","Dates=H","DateFormat=P","Fill=—","Direction=H","UseDPDF=Y")</f>
        <v>—</v>
      </c>
      <c r="J51" s="13" t="str" cm="1">
        <f t="array" ref="J51">_xll.BDH("NUE US Equity","LT_CAPITALIZED_LEASE_LIABILITIES","FQ2 2020","FQ2 2020","Currency=USD","Period=FQ","BEST_FPERIOD_OVERRIDE=FQ","FILING_STATUS=MR","SCALING_FORMAT=MLN","Sort=A","Dates=H","DateFormat=P","Fill=—","Direction=H","UseDPDF=Y")</f>
        <v>—</v>
      </c>
      <c r="K51" s="13" t="str" cm="1">
        <f t="array" ref="K51">_xll.BDH("NUE US Equity","LT_CAPITALIZED_LEASE_LIABILITIES","FQ3 2020","FQ3 2020","Currency=USD","Period=FQ","BEST_FPERIOD_OVERRIDE=FQ","FILING_STATUS=MR","SCALING_FORMAT=MLN","Sort=A","Dates=H","DateFormat=P","Fill=—","Direction=H","UseDPDF=Y")</f>
        <v>—</v>
      </c>
      <c r="L51" s="13" cm="1">
        <f t="array" ref="L51">_xll.BDH("NUE US Equity","LT_CAPITALIZED_LEASE_LIABILITIES","FQ4 2020","FQ4 2020","Currency=USD","Period=FQ","BEST_FPERIOD_OVERRIDE=FQ","FILING_STATUS=MR","SCALING_FORMAT=MLN","Sort=A","Dates=H","DateFormat=P","Fill=—","Direction=H","UseDPDF=Y")</f>
        <v>155.18899999999999</v>
      </c>
      <c r="M51" s="13" t="str" cm="1">
        <f t="array" ref="M51">_xll.BDH("NUE US Equity","LT_CAPITALIZED_LEASE_LIABILITIES","FQ1 2021","FQ1 2021","Currency=USD","Period=FQ","BEST_FPERIOD_OVERRIDE=FQ","FILING_STATUS=MR","SCALING_FORMAT=MLN","Sort=A","Dates=H","DateFormat=P","Fill=—","Direction=H","UseDPDF=Y")</f>
        <v>—</v>
      </c>
      <c r="N51" s="13" t="str" cm="1">
        <f t="array" ref="N51">_xll.BDH("NUE US Equity","LT_CAPITALIZED_LEASE_LIABILITIES","FQ2 2021","FQ2 2021","Currency=USD","Period=FQ","BEST_FPERIOD_OVERRIDE=FQ","FILING_STATUS=MR","SCALING_FORMAT=MLN","Sort=A","Dates=H","DateFormat=P","Fill=—","Direction=H","UseDPDF=Y")</f>
        <v>—</v>
      </c>
      <c r="O51" s="13" t="str" cm="1">
        <f t="array" ref="O51">_xll.BDH("NUE US Equity","LT_CAPITALIZED_LEASE_LIABILITIES","FQ3 2021","FQ3 2021","Currency=USD","Period=FQ","BEST_FPERIOD_OVERRIDE=FQ","FILING_STATUS=MR","SCALING_FORMAT=MLN","Sort=A","Dates=H","DateFormat=P","Fill=—","Direction=H","UseDPDF=Y")</f>
        <v>—</v>
      </c>
      <c r="P51" s="13" cm="1">
        <f t="array" ref="P51">_xll.BDH("NUE US Equity","LT_CAPITALIZED_LEASE_LIABILITIES","FQ4 2021","FQ4 2021","Currency=USD","Period=FQ","BEST_FPERIOD_OVERRIDE=FQ","FILING_STATUS=MR","SCALING_FORMAT=MLN","Sort=A","Dates=H","DateFormat=P","Fill=—","Direction=H","UseDPDF=Y")</f>
        <v>238.536</v>
      </c>
      <c r="Q51" s="13" t="str" cm="1">
        <f t="array" ref="Q51">_xll.BDH("NUE US Equity","LT_CAPITALIZED_LEASE_LIABILITIES","FQ1 2022","FQ1 2022","Currency=USD","Period=FQ","BEST_FPERIOD_OVERRIDE=FQ","FILING_STATUS=MR","SCALING_FORMAT=MLN","Sort=A","Dates=H","DateFormat=P","Fill=—","Direction=H","UseDPDF=Y")</f>
        <v>—</v>
      </c>
      <c r="R51" s="13" t="str" cm="1">
        <f t="array" ref="R51">_xll.BDH("NUE US Equity","LT_CAPITALIZED_LEASE_LIABILITIES","FQ2 2022","FQ2 2022","Currency=USD","Period=FQ","BEST_FPERIOD_OVERRIDE=FQ","FILING_STATUS=MR","SCALING_FORMAT=MLN","Sort=A","Dates=H","DateFormat=P","Fill=—","Direction=H","UseDPDF=Y")</f>
        <v>—</v>
      </c>
      <c r="S51" s="13" t="str" cm="1">
        <f t="array" ref="S51">_xll.BDH("NUE US Equity","LT_CAPITALIZED_LEASE_LIABILITIES","FQ3 2022","FQ3 2022","Currency=USD","Period=FQ","BEST_FPERIOD_OVERRIDE=FQ","FILING_STATUS=MR","SCALING_FORMAT=MLN","Sort=A","Dates=H","DateFormat=P","Fill=—","Direction=H","UseDPDF=Y")</f>
        <v>—</v>
      </c>
      <c r="T51" s="13" cm="1">
        <f t="array" ref="T51">_xll.BDH("NUE US Equity","LT_CAPITALIZED_LEASE_LIABILITIES","FQ4 2022","FQ4 2022","Currency=USD","Period=FQ","BEST_FPERIOD_OVERRIDE=FQ","FILING_STATUS=MR","SCALING_FORMAT=MLN","Sort=A","Dates=H","DateFormat=P","Fill=—","Direction=H","UseDPDF=Y")</f>
        <v>251.25899999999999</v>
      </c>
      <c r="U51" s="13" t="str" cm="1">
        <f t="array" ref="U51">_xll.BDH("NUE US Equity","LT_CAPITALIZED_LEASE_LIABILITIES","FQ1 2023","FQ1 2023","Currency=USD","Period=FQ","BEST_FPERIOD_OVERRIDE=FQ","FILING_STATUS=MR","SCALING_FORMAT=MLN","Sort=A","Dates=H","DateFormat=P","Fill=—","Direction=H","UseDPDF=Y")</f>
        <v>—</v>
      </c>
      <c r="V51" s="13" t="str" cm="1">
        <f t="array" ref="V51">_xll.BDH("NUE US Equity","LT_CAPITALIZED_LEASE_LIABILITIES","FQ2 2023","FQ2 2023","Currency=USD","Period=FQ","BEST_FPERIOD_OVERRIDE=FQ","FILING_STATUS=MR","SCALING_FORMAT=MLN","Sort=A","Dates=H","DateFormat=P","Fill=—","Direction=H","UseDPDF=Y")</f>
        <v>—</v>
      </c>
      <c r="W51" s="13" t="str" cm="1">
        <f t="array" ref="W51">_xll.BDH("NUE US Equity","LT_CAPITALIZED_LEASE_LIABILITIES","FQ3 2023","FQ3 2023","Currency=USD","Period=FQ","BEST_FPERIOD_OVERRIDE=FQ","FILING_STATUS=MR","SCALING_FORMAT=MLN","Sort=A","Dates=H","DateFormat=P","Fill=—","Direction=H","UseDPDF=Y")</f>
        <v>—</v>
      </c>
      <c r="X51" s="13" cm="1">
        <f t="array" ref="X51">_xll.BDH("NUE US Equity","LT_CAPITALIZED_LEASE_LIABILITIES","FQ4 2023","FQ4 2023","Currency=USD","Period=FQ","BEST_FPERIOD_OVERRIDE=FQ","FILING_STATUS=MR","SCALING_FORMAT=MLN","Sort=A","Dates=H","DateFormat=P","Fill=—","Direction=H","UseDPDF=Y")</f>
        <v>256.45999999999998</v>
      </c>
      <c r="Y51" s="13" t="str" cm="1">
        <f t="array" ref="Y51">_xll.BDH("NUE US Equity","LT_CAPITALIZED_LEASE_LIABILITIES","FQ1 2024","FQ1 2024","Currency=USD","Period=FQ","BEST_FPERIOD_OVERRIDE=FQ","FILING_STATUS=MR","SCALING_FORMAT=MLN","Sort=A","Dates=H","DateFormat=P","Fill=—","Direction=H","UseDPDF=Y")</f>
        <v>—</v>
      </c>
      <c r="Z51" s="13" t="str" cm="1">
        <f t="array" ref="Z51">_xll.BDH("NUE US Equity","LT_CAPITALIZED_LEASE_LIABILITIES","FQ2 2024","FQ2 2024","Currency=USD","Period=FQ","BEST_FPERIOD_OVERRIDE=FQ","FILING_STATUS=MR","SCALING_FORMAT=MLN","Sort=A","Dates=H","DateFormat=P","Fill=—","Direction=H","UseDPDF=Y")</f>
        <v>—</v>
      </c>
      <c r="AA51" s="13" t="str" cm="1">
        <f t="array" ref="AA51">_xll.BDH("NUE US Equity","LT_CAPITALIZED_LEASE_LIABILITIES","FQ3 2024","FQ3 2024","Currency=USD","Period=FQ","BEST_FPERIOD_OVERRIDE=FQ","FILING_STATUS=MR","SCALING_FORMAT=MLN","Sort=A","Dates=H","DateFormat=P","Fill=—","Direction=H","UseDPDF=Y")</f>
        <v>—</v>
      </c>
      <c r="AB51" s="13" cm="1">
        <f t="array" ref="AB51">_xll.BDH("NUE US Equity","LT_CAPITALIZED_LEASE_LIABILITIES","FQ4 2024","FQ4 2024","Currency=USD","Period=FQ","BEST_FPERIOD_OVERRIDE=FQ","FILING_STATUS=MR","SCALING_FORMAT=MLN","Sort=A","Dates=H","DateFormat=P","Fill=—","Direction=H","UseDPDF=Y")</f>
        <v>267</v>
      </c>
      <c r="AC51" s="13" t="str" cm="1">
        <f t="array" ref="AC51">_xll.BDH("NUE US Equity","LT_CAPITALIZED_LEASE_LIABILITIES","FQ1 2025","FQ1 2025","Currency=USD","Period=FQ","BEST_FPERIOD_OVERRIDE=FQ","FILING_STATUS=MR","SCALING_FORMAT=MLN","Sort=A","Dates=H","DateFormat=P","Fill=—","Direction=H","UseDPDF=Y")</f>
        <v>—</v>
      </c>
      <c r="AD51" s="13" t="str" cm="1">
        <f t="array" ref="AD51">_xll.BDH("NUE US Equity","LT_CAPITALIZED_LEASE_LIABILITIES","FQ2 2025","FQ2 2025","Currency=USD","Period=FQ","BEST_FPERIOD_OVERRIDE=FQ","FILING_STATUS=MR","SCALING_FORMAT=MLN","Sort=A","Dates=H","DateFormat=P","Fill=—","Direction=H","UseDPDF=Y")</f>
        <v>—</v>
      </c>
      <c r="AE51" s="13" t="str" cm="1">
        <f t="array" ref="AE51">_xll.BDH("NUE US Equity","LT_CAPITALIZED_LEASE_LIABILITIES","FQ3 2025","FQ3 2025","Currency=USD","Period=FQ","BEST_FPERIOD_OVERRIDE=FQ","FILING_STATUS=MR","SCALING_FORMAT=MLN","Sort=A","Dates=H","DateFormat=P","Fill=—","Direction=H","UseDPDF=Y")</f>
        <v>—</v>
      </c>
      <c r="AF51" s="13" t="str" cm="1">
        <f t="array" ref="AF51">_xll.BDH("NUE US Equity","LT_CAPITALIZED_LEASE_LIABILITIES","FQ4 2025","FQ4 2025","Currency=USD","Period=FQ","BEST_FPERIOD_OVERRIDE=FQ","FILING_STATUS=MR","SCALING_FORMAT=MLN","Sort=A","Dates=H","DateFormat=P","Fill=—","Direction=H","UseDPDF=Y")</f>
        <v>—</v>
      </c>
    </row>
    <row r="52" spans="1:32" x14ac:dyDescent="0.25">
      <c r="A52" s="11" t="s">
        <v>151</v>
      </c>
      <c r="B52" s="11" t="s">
        <v>152</v>
      </c>
      <c r="C52" s="17" t="str" cm="1">
        <f t="array" ref="C52">_xll.BDH("NUE US Equity","LT_CAPITAL_LEASE_OBLIGATIONS","FQ3 2018","FQ3 2018","Currency=USD","Period=FQ","BEST_FPERIOD_OVERRIDE=FQ","FILING_STATUS=MR","SCALING_FORMAT=MLN","Sort=A","Dates=H","DateFormat=P","Fill=—","Direction=H","UseDPDF=Y")</f>
        <v>—</v>
      </c>
      <c r="D52" s="17" t="str" cm="1">
        <f t="array" ref="D52">_xll.BDH("NUE US Equity","LT_CAPITAL_LEASE_OBLIGATIONS","FQ4 2018","FQ4 2018","Currency=USD","Period=FQ","BEST_FPERIOD_OVERRIDE=FQ","FILING_STATUS=MR","SCALING_FORMAT=MLN","Sort=A","Dates=H","DateFormat=P","Fill=—","Direction=H","UseDPDF=Y")</f>
        <v>—</v>
      </c>
      <c r="E52" s="17" cm="1">
        <f t="array" ref="E52">_xll.BDH("NUE US Equity","LT_CAPITAL_LEASE_OBLIGATIONS","FQ1 2019","FQ1 2019","Currency=USD","Period=FQ","BEST_FPERIOD_OVERRIDE=FQ","FILING_STATUS=MR","SCALING_FORMAT=MLN","Sort=A","Dates=H","DateFormat=P","Fill=—","Direction=H","UseDPDF=Y")</f>
        <v>72.617000000000004</v>
      </c>
      <c r="F52" s="17" cm="1">
        <f t="array" ref="F52">_xll.BDH("NUE US Equity","LT_CAPITAL_LEASE_OBLIGATIONS","FQ2 2019","FQ2 2019","Currency=USD","Period=FQ","BEST_FPERIOD_OVERRIDE=FQ","FILING_STATUS=MR","SCALING_FORMAT=MLN","Sort=A","Dates=H","DateFormat=P","Fill=—","Direction=H","UseDPDF=Y")</f>
        <v>71.248999999999995</v>
      </c>
      <c r="G52" s="17" cm="1">
        <f t="array" ref="G52">_xll.BDH("NUE US Equity","LT_CAPITAL_LEASE_OBLIGATIONS","FQ3 2019","FQ3 2019","Currency=USD","Period=FQ","BEST_FPERIOD_OVERRIDE=FQ","FILING_STATUS=MR","SCALING_FORMAT=MLN","Sort=A","Dates=H","DateFormat=P","Fill=—","Direction=H","UseDPDF=Y")</f>
        <v>72.772999999999996</v>
      </c>
      <c r="H52" s="17" cm="1">
        <f t="array" ref="H52">_xll.BDH("NUE US Equity","LT_CAPITAL_LEASE_OBLIGATIONS","FQ4 2019","FQ4 2019","Currency=USD","Period=FQ","BEST_FPERIOD_OVERRIDE=FQ","FILING_STATUS=MR","SCALING_FORMAT=MLN","Sort=A","Dates=H","DateFormat=P","Fill=—","Direction=H","UseDPDF=Y")</f>
        <v>75.959999999999994</v>
      </c>
      <c r="I52" s="17" t="str" cm="1">
        <f t="array" ref="I52">_xll.BDH("NUE US Equity","LT_CAPITAL_LEASE_OBLIGATIONS","FQ1 2020","FQ1 2020","Currency=USD","Period=FQ","BEST_FPERIOD_OVERRIDE=FQ","FILING_STATUS=MR","SCALING_FORMAT=MLN","Sort=A","Dates=H","DateFormat=P","Fill=—","Direction=H","UseDPDF=Y")</f>
        <v>—</v>
      </c>
      <c r="J52" s="17" t="str" cm="1">
        <f t="array" ref="J52">_xll.BDH("NUE US Equity","LT_CAPITAL_LEASE_OBLIGATIONS","FQ2 2020","FQ2 2020","Currency=USD","Period=FQ","BEST_FPERIOD_OVERRIDE=FQ","FILING_STATUS=MR","SCALING_FORMAT=MLN","Sort=A","Dates=H","DateFormat=P","Fill=—","Direction=H","UseDPDF=Y")</f>
        <v>—</v>
      </c>
      <c r="K52" s="17" t="str" cm="1">
        <f t="array" ref="K52">_xll.BDH("NUE US Equity","LT_CAPITAL_LEASE_OBLIGATIONS","FQ3 2020","FQ3 2020","Currency=USD","Period=FQ","BEST_FPERIOD_OVERRIDE=FQ","FILING_STATUS=MR","SCALING_FORMAT=MLN","Sort=A","Dates=H","DateFormat=P","Fill=—","Direction=H","UseDPDF=Y")</f>
        <v>—</v>
      </c>
      <c r="L52" s="17" cm="1">
        <f t="array" ref="L52">_xll.BDH("NUE US Equity","LT_CAPITAL_LEASE_OBLIGATIONS","FQ4 2020","FQ4 2020","Currency=USD","Period=FQ","BEST_FPERIOD_OVERRIDE=FQ","FILING_STATUS=MR","SCALING_FORMAT=MLN","Sort=A","Dates=H","DateFormat=P","Fill=—","Direction=H","UseDPDF=Y")</f>
        <v>79.453000000000003</v>
      </c>
      <c r="M52" s="17" t="str" cm="1">
        <f t="array" ref="M52">_xll.BDH("NUE US Equity","LT_CAPITAL_LEASE_OBLIGATIONS","FQ1 2021","FQ1 2021","Currency=USD","Period=FQ","BEST_FPERIOD_OVERRIDE=FQ","FILING_STATUS=MR","SCALING_FORMAT=MLN","Sort=A","Dates=H","DateFormat=P","Fill=—","Direction=H","UseDPDF=Y")</f>
        <v>—</v>
      </c>
      <c r="N52" s="17" t="str" cm="1">
        <f t="array" ref="N52">_xll.BDH("NUE US Equity","LT_CAPITAL_LEASE_OBLIGATIONS","FQ2 2021","FQ2 2021","Currency=USD","Period=FQ","BEST_FPERIOD_OVERRIDE=FQ","FILING_STATUS=MR","SCALING_FORMAT=MLN","Sort=A","Dates=H","DateFormat=P","Fill=—","Direction=H","UseDPDF=Y")</f>
        <v>—</v>
      </c>
      <c r="O52" s="17" t="str" cm="1">
        <f t="array" ref="O52">_xll.BDH("NUE US Equity","LT_CAPITAL_LEASE_OBLIGATIONS","FQ3 2021","FQ3 2021","Currency=USD","Period=FQ","BEST_FPERIOD_OVERRIDE=FQ","FILING_STATUS=MR","SCALING_FORMAT=MLN","Sort=A","Dates=H","DateFormat=P","Fill=—","Direction=H","UseDPDF=Y")</f>
        <v>—</v>
      </c>
      <c r="P52" s="17" cm="1">
        <f t="array" ref="P52">_xll.BDH("NUE US Equity","LT_CAPITAL_LEASE_OBLIGATIONS","FQ4 2021","FQ4 2021","Currency=USD","Period=FQ","BEST_FPERIOD_OVERRIDE=FQ","FILING_STATUS=MR","SCALING_FORMAT=MLN","Sort=A","Dates=H","DateFormat=P","Fill=—","Direction=H","UseDPDF=Y")</f>
        <v>164.375</v>
      </c>
      <c r="Q52" s="17" t="str" cm="1">
        <f t="array" ref="Q52">_xll.BDH("NUE US Equity","LT_CAPITAL_LEASE_OBLIGATIONS","FQ1 2022","FQ1 2022","Currency=USD","Period=FQ","BEST_FPERIOD_OVERRIDE=FQ","FILING_STATUS=MR","SCALING_FORMAT=MLN","Sort=A","Dates=H","DateFormat=P","Fill=—","Direction=H","UseDPDF=Y")</f>
        <v>—</v>
      </c>
      <c r="R52" s="17" t="str" cm="1">
        <f t="array" ref="R52">_xll.BDH("NUE US Equity","LT_CAPITAL_LEASE_OBLIGATIONS","FQ2 2022","FQ2 2022","Currency=USD","Period=FQ","BEST_FPERIOD_OVERRIDE=FQ","FILING_STATUS=MR","SCALING_FORMAT=MLN","Sort=A","Dates=H","DateFormat=P","Fill=—","Direction=H","UseDPDF=Y")</f>
        <v>—</v>
      </c>
      <c r="S52" s="17" t="str" cm="1">
        <f t="array" ref="S52">_xll.BDH("NUE US Equity","LT_CAPITAL_LEASE_OBLIGATIONS","FQ3 2022","FQ3 2022","Currency=USD","Period=FQ","BEST_FPERIOD_OVERRIDE=FQ","FILING_STATUS=MR","SCALING_FORMAT=MLN","Sort=A","Dates=H","DateFormat=P","Fill=—","Direction=H","UseDPDF=Y")</f>
        <v>—</v>
      </c>
      <c r="T52" s="17" cm="1">
        <f t="array" ref="T52">_xll.BDH("NUE US Equity","LT_CAPITAL_LEASE_OBLIGATIONS","FQ4 2022","FQ4 2022","Currency=USD","Period=FQ","BEST_FPERIOD_OVERRIDE=FQ","FILING_STATUS=MR","SCALING_FORMAT=MLN","Sort=A","Dates=H","DateFormat=P","Fill=—","Direction=H","UseDPDF=Y")</f>
        <v>169.804</v>
      </c>
      <c r="U52" s="17" t="str" cm="1">
        <f t="array" ref="U52">_xll.BDH("NUE US Equity","LT_CAPITAL_LEASE_OBLIGATIONS","FQ1 2023","FQ1 2023","Currency=USD","Period=FQ","BEST_FPERIOD_OVERRIDE=FQ","FILING_STATUS=MR","SCALING_FORMAT=MLN","Sort=A","Dates=H","DateFormat=P","Fill=—","Direction=H","UseDPDF=Y")</f>
        <v>—</v>
      </c>
      <c r="V52" s="17" t="str" cm="1">
        <f t="array" ref="V52">_xll.BDH("NUE US Equity","LT_CAPITAL_LEASE_OBLIGATIONS","FQ2 2023","FQ2 2023","Currency=USD","Period=FQ","BEST_FPERIOD_OVERRIDE=FQ","FILING_STATUS=MR","SCALING_FORMAT=MLN","Sort=A","Dates=H","DateFormat=P","Fill=—","Direction=H","UseDPDF=Y")</f>
        <v>—</v>
      </c>
      <c r="W52" s="17" t="str" cm="1">
        <f t="array" ref="W52">_xll.BDH("NUE US Equity","LT_CAPITAL_LEASE_OBLIGATIONS","FQ3 2023","FQ3 2023","Currency=USD","Period=FQ","BEST_FPERIOD_OVERRIDE=FQ","FILING_STATUS=MR","SCALING_FORMAT=MLN","Sort=A","Dates=H","DateFormat=P","Fill=—","Direction=H","UseDPDF=Y")</f>
        <v>—</v>
      </c>
      <c r="X52" s="17" cm="1">
        <f t="array" ref="X52">_xll.BDH("NUE US Equity","LT_CAPITAL_LEASE_OBLIGATIONS","FQ4 2023","FQ4 2023","Currency=USD","Period=FQ","BEST_FPERIOD_OVERRIDE=FQ","FILING_STATUS=MR","SCALING_FORMAT=MLN","Sort=A","Dates=H","DateFormat=P","Fill=—","Direction=H","UseDPDF=Y")</f>
        <v>174.78700000000001</v>
      </c>
      <c r="Y52" s="17" t="str" cm="1">
        <f t="array" ref="Y52">_xll.BDH("NUE US Equity","LT_CAPITAL_LEASE_OBLIGATIONS","FQ1 2024","FQ1 2024","Currency=USD","Period=FQ","BEST_FPERIOD_OVERRIDE=FQ","FILING_STATUS=MR","SCALING_FORMAT=MLN","Sort=A","Dates=H","DateFormat=P","Fill=—","Direction=H","UseDPDF=Y")</f>
        <v>—</v>
      </c>
      <c r="Z52" s="17" t="str" cm="1">
        <f t="array" ref="Z52">_xll.BDH("NUE US Equity","LT_CAPITAL_LEASE_OBLIGATIONS","FQ2 2024","FQ2 2024","Currency=USD","Period=FQ","BEST_FPERIOD_OVERRIDE=FQ","FILING_STATUS=MR","SCALING_FORMAT=MLN","Sort=A","Dates=H","DateFormat=P","Fill=—","Direction=H","UseDPDF=Y")</f>
        <v>—</v>
      </c>
      <c r="AA52" s="17" t="str" cm="1">
        <f t="array" ref="AA52">_xll.BDH("NUE US Equity","LT_CAPITAL_LEASE_OBLIGATIONS","FQ3 2024","FQ3 2024","Currency=USD","Period=FQ","BEST_FPERIOD_OVERRIDE=FQ","FILING_STATUS=MR","SCALING_FORMAT=MLN","Sort=A","Dates=H","DateFormat=P","Fill=—","Direction=H","UseDPDF=Y")</f>
        <v>—</v>
      </c>
      <c r="AB52" s="17" cm="1">
        <f t="array" ref="AB52">_xll.BDH("NUE US Equity","LT_CAPITAL_LEASE_OBLIGATIONS","FQ4 2024","FQ4 2024","Currency=USD","Period=FQ","BEST_FPERIOD_OVERRIDE=FQ","FILING_STATUS=MR","SCALING_FORMAT=MLN","Sort=A","Dates=H","DateFormat=P","Fill=—","Direction=H","UseDPDF=Y")</f>
        <v>174</v>
      </c>
      <c r="AC52" s="17" t="str" cm="1">
        <f t="array" ref="AC52">_xll.BDH("NUE US Equity","LT_CAPITAL_LEASE_OBLIGATIONS","FQ1 2025","FQ1 2025","Currency=USD","Period=FQ","BEST_FPERIOD_OVERRIDE=FQ","FILING_STATUS=MR","SCALING_FORMAT=MLN","Sort=A","Dates=H","DateFormat=P","Fill=—","Direction=H","UseDPDF=Y")</f>
        <v>—</v>
      </c>
      <c r="AD52" s="17" t="str" cm="1">
        <f t="array" ref="AD52">_xll.BDH("NUE US Equity","LT_CAPITAL_LEASE_OBLIGATIONS","FQ2 2025","FQ2 2025","Currency=USD","Period=FQ","BEST_FPERIOD_OVERRIDE=FQ","FILING_STATUS=MR","SCALING_FORMAT=MLN","Sort=A","Dates=H","DateFormat=P","Fill=—","Direction=H","UseDPDF=Y")</f>
        <v>—</v>
      </c>
      <c r="AE52" s="17" t="str" cm="1">
        <f t="array" ref="AE52">_xll.BDH("NUE US Equity","LT_CAPITAL_LEASE_OBLIGATIONS","FQ3 2025","FQ3 2025","Currency=USD","Period=FQ","BEST_FPERIOD_OVERRIDE=FQ","FILING_STATUS=MR","SCALING_FORMAT=MLN","Sort=A","Dates=H","DateFormat=P","Fill=—","Direction=H","UseDPDF=Y")</f>
        <v>—</v>
      </c>
      <c r="AF52" s="17" t="str" cm="1">
        <f t="array" ref="AF52">_xll.BDH("NUE US Equity","LT_CAPITAL_LEASE_OBLIGATIONS","FQ4 2025","FQ4 2025","Currency=USD","Period=FQ","BEST_FPERIOD_OVERRIDE=FQ","FILING_STATUS=MR","SCALING_FORMAT=MLN","Sort=A","Dates=H","DateFormat=P","Fill=—","Direction=H","UseDPDF=Y")</f>
        <v>—</v>
      </c>
    </row>
    <row r="53" spans="1:32" x14ac:dyDescent="0.25">
      <c r="A53" s="11" t="s">
        <v>153</v>
      </c>
      <c r="B53" s="11" t="s">
        <v>154</v>
      </c>
      <c r="C53" s="17" t="str" cm="1">
        <f t="array" ref="C53">_xll.BDH("NUE US Equity","BS_LT_OPERATING_LEASE_LIABS","FQ3 2018","FQ3 2018","Currency=USD","Period=FQ","BEST_FPERIOD_OVERRIDE=FQ","FILING_STATUS=MR","SCALING_FORMAT=MLN","Sort=A","Dates=H","DateFormat=P","Fill=—","Direction=H","UseDPDF=Y")</f>
        <v>—</v>
      </c>
      <c r="D53" s="17" t="str" cm="1">
        <f t="array" ref="D53">_xll.BDH("NUE US Equity","BS_LT_OPERATING_LEASE_LIABS","FQ4 2018","FQ4 2018","Currency=USD","Period=FQ","BEST_FPERIOD_OVERRIDE=FQ","FILING_STATUS=MR","SCALING_FORMAT=MLN","Sort=A","Dates=H","DateFormat=P","Fill=—","Direction=H","UseDPDF=Y")</f>
        <v>—</v>
      </c>
      <c r="E53" s="17" cm="1">
        <f t="array" ref="E53">_xll.BDH("NUE US Equity","BS_LT_OPERATING_LEASE_LIABS","FQ1 2019","FQ1 2019","Currency=USD","Period=FQ","BEST_FPERIOD_OVERRIDE=FQ","FILING_STATUS=MR","SCALING_FORMAT=MLN","Sort=A","Dates=H","DateFormat=P","Fill=—","Direction=H","UseDPDF=Y")</f>
        <v>76.652000000000001</v>
      </c>
      <c r="F53" s="17" cm="1">
        <f t="array" ref="F53">_xll.BDH("NUE US Equity","BS_LT_OPERATING_LEASE_LIABS","FQ2 2019","FQ2 2019","Currency=USD","Period=FQ","BEST_FPERIOD_OVERRIDE=FQ","FILING_STATUS=MR","SCALING_FORMAT=MLN","Sort=A","Dates=H","DateFormat=P","Fill=—","Direction=H","UseDPDF=Y")</f>
        <v>73.713999999999999</v>
      </c>
      <c r="G53" s="17" cm="1">
        <f t="array" ref="G53">_xll.BDH("NUE US Equity","BS_LT_OPERATING_LEASE_LIABS","FQ3 2019","FQ3 2019","Currency=USD","Period=FQ","BEST_FPERIOD_OVERRIDE=FQ","FILING_STATUS=MR","SCALING_FORMAT=MLN","Sort=A","Dates=H","DateFormat=P","Fill=—","Direction=H","UseDPDF=Y")</f>
        <v>75.853999999999999</v>
      </c>
      <c r="H53" s="17" cm="1">
        <f t="array" ref="H53">_xll.BDH("NUE US Equity","BS_LT_OPERATING_LEASE_LIABS","FQ4 2019","FQ4 2019","Currency=USD","Period=FQ","BEST_FPERIOD_OVERRIDE=FQ","FILING_STATUS=MR","SCALING_FORMAT=MLN","Sort=A","Dates=H","DateFormat=P","Fill=—","Direction=H","UseDPDF=Y")</f>
        <v>74.876999999999995</v>
      </c>
      <c r="I53" s="17" t="str" cm="1">
        <f t="array" ref="I53">_xll.BDH("NUE US Equity","BS_LT_OPERATING_LEASE_LIABS","FQ1 2020","FQ1 2020","Currency=USD","Period=FQ","BEST_FPERIOD_OVERRIDE=FQ","FILING_STATUS=MR","SCALING_FORMAT=MLN","Sort=A","Dates=H","DateFormat=P","Fill=—","Direction=H","UseDPDF=Y")</f>
        <v>—</v>
      </c>
      <c r="J53" s="17" t="str" cm="1">
        <f t="array" ref="J53">_xll.BDH("NUE US Equity","BS_LT_OPERATING_LEASE_LIABS","FQ2 2020","FQ2 2020","Currency=USD","Period=FQ","BEST_FPERIOD_OVERRIDE=FQ","FILING_STATUS=MR","SCALING_FORMAT=MLN","Sort=A","Dates=H","DateFormat=P","Fill=—","Direction=H","UseDPDF=Y")</f>
        <v>—</v>
      </c>
      <c r="K53" s="17" t="str" cm="1">
        <f t="array" ref="K53">_xll.BDH("NUE US Equity","BS_LT_OPERATING_LEASE_LIABS","FQ3 2020","FQ3 2020","Currency=USD","Period=FQ","BEST_FPERIOD_OVERRIDE=FQ","FILING_STATUS=MR","SCALING_FORMAT=MLN","Sort=A","Dates=H","DateFormat=P","Fill=—","Direction=H","UseDPDF=Y")</f>
        <v>—</v>
      </c>
      <c r="L53" s="17" cm="1">
        <f t="array" ref="L53">_xll.BDH("NUE US Equity","BS_LT_OPERATING_LEASE_LIABS","FQ4 2020","FQ4 2020","Currency=USD","Period=FQ","BEST_FPERIOD_OVERRIDE=FQ","FILING_STATUS=MR","SCALING_FORMAT=MLN","Sort=A","Dates=H","DateFormat=P","Fill=—","Direction=H","UseDPDF=Y")</f>
        <v>75.736000000000004</v>
      </c>
      <c r="M53" s="17" t="str" cm="1">
        <f t="array" ref="M53">_xll.BDH("NUE US Equity","BS_LT_OPERATING_LEASE_LIABS","FQ1 2021","FQ1 2021","Currency=USD","Period=FQ","BEST_FPERIOD_OVERRIDE=FQ","FILING_STATUS=MR","SCALING_FORMAT=MLN","Sort=A","Dates=H","DateFormat=P","Fill=—","Direction=H","UseDPDF=Y")</f>
        <v>—</v>
      </c>
      <c r="N53" s="17" t="str" cm="1">
        <f t="array" ref="N53">_xll.BDH("NUE US Equity","BS_LT_OPERATING_LEASE_LIABS","FQ2 2021","FQ2 2021","Currency=USD","Period=FQ","BEST_FPERIOD_OVERRIDE=FQ","FILING_STATUS=MR","SCALING_FORMAT=MLN","Sort=A","Dates=H","DateFormat=P","Fill=—","Direction=H","UseDPDF=Y")</f>
        <v>—</v>
      </c>
      <c r="O53" s="17" t="str" cm="1">
        <f t="array" ref="O53">_xll.BDH("NUE US Equity","BS_LT_OPERATING_LEASE_LIABS","FQ3 2021","FQ3 2021","Currency=USD","Period=FQ","BEST_FPERIOD_OVERRIDE=FQ","FILING_STATUS=MR","SCALING_FORMAT=MLN","Sort=A","Dates=H","DateFormat=P","Fill=—","Direction=H","UseDPDF=Y")</f>
        <v>—</v>
      </c>
      <c r="P53" s="17" cm="1">
        <f t="array" ref="P53">_xll.BDH("NUE US Equity","BS_LT_OPERATING_LEASE_LIABS","FQ4 2021","FQ4 2021","Currency=USD","Period=FQ","BEST_FPERIOD_OVERRIDE=FQ","FILING_STATUS=MR","SCALING_FORMAT=MLN","Sort=A","Dates=H","DateFormat=P","Fill=—","Direction=H","UseDPDF=Y")</f>
        <v>74.161000000000001</v>
      </c>
      <c r="Q53" s="17" t="str" cm="1">
        <f t="array" ref="Q53">_xll.BDH("NUE US Equity","BS_LT_OPERATING_LEASE_LIABS","FQ1 2022","FQ1 2022","Currency=USD","Period=FQ","BEST_FPERIOD_OVERRIDE=FQ","FILING_STATUS=MR","SCALING_FORMAT=MLN","Sort=A","Dates=H","DateFormat=P","Fill=—","Direction=H","UseDPDF=Y")</f>
        <v>—</v>
      </c>
      <c r="R53" s="17" t="str" cm="1">
        <f t="array" ref="R53">_xll.BDH("NUE US Equity","BS_LT_OPERATING_LEASE_LIABS","FQ2 2022","FQ2 2022","Currency=USD","Period=FQ","BEST_FPERIOD_OVERRIDE=FQ","FILING_STATUS=MR","SCALING_FORMAT=MLN","Sort=A","Dates=H","DateFormat=P","Fill=—","Direction=H","UseDPDF=Y")</f>
        <v>—</v>
      </c>
      <c r="S53" s="17" t="str" cm="1">
        <f t="array" ref="S53">_xll.BDH("NUE US Equity","BS_LT_OPERATING_LEASE_LIABS","FQ3 2022","FQ3 2022","Currency=USD","Period=FQ","BEST_FPERIOD_OVERRIDE=FQ","FILING_STATUS=MR","SCALING_FORMAT=MLN","Sort=A","Dates=H","DateFormat=P","Fill=—","Direction=H","UseDPDF=Y")</f>
        <v>—</v>
      </c>
      <c r="T53" s="17" cm="1">
        <f t="array" ref="T53">_xll.BDH("NUE US Equity","BS_LT_OPERATING_LEASE_LIABS","FQ4 2022","FQ4 2022","Currency=USD","Period=FQ","BEST_FPERIOD_OVERRIDE=FQ","FILING_STATUS=MR","SCALING_FORMAT=MLN","Sort=A","Dates=H","DateFormat=P","Fill=—","Direction=H","UseDPDF=Y")</f>
        <v>81.454999999999998</v>
      </c>
      <c r="U53" s="17" t="str" cm="1">
        <f t="array" ref="U53">_xll.BDH("NUE US Equity","BS_LT_OPERATING_LEASE_LIABS","FQ1 2023","FQ1 2023","Currency=USD","Period=FQ","BEST_FPERIOD_OVERRIDE=FQ","FILING_STATUS=MR","SCALING_FORMAT=MLN","Sort=A","Dates=H","DateFormat=P","Fill=—","Direction=H","UseDPDF=Y")</f>
        <v>—</v>
      </c>
      <c r="V53" s="17" t="str" cm="1">
        <f t="array" ref="V53">_xll.BDH("NUE US Equity","BS_LT_OPERATING_LEASE_LIABS","FQ2 2023","FQ2 2023","Currency=USD","Period=FQ","BEST_FPERIOD_OVERRIDE=FQ","FILING_STATUS=MR","SCALING_FORMAT=MLN","Sort=A","Dates=H","DateFormat=P","Fill=—","Direction=H","UseDPDF=Y")</f>
        <v>—</v>
      </c>
      <c r="W53" s="17" t="str" cm="1">
        <f t="array" ref="W53">_xll.BDH("NUE US Equity","BS_LT_OPERATING_LEASE_LIABS","FQ3 2023","FQ3 2023","Currency=USD","Period=FQ","BEST_FPERIOD_OVERRIDE=FQ","FILING_STATUS=MR","SCALING_FORMAT=MLN","Sort=A","Dates=H","DateFormat=P","Fill=—","Direction=H","UseDPDF=Y")</f>
        <v>—</v>
      </c>
      <c r="X53" s="17" cm="1">
        <f t="array" ref="X53">_xll.BDH("NUE US Equity","BS_LT_OPERATING_LEASE_LIABS","FQ4 2023","FQ4 2023","Currency=USD","Period=FQ","BEST_FPERIOD_OVERRIDE=FQ","FILING_STATUS=MR","SCALING_FORMAT=MLN","Sort=A","Dates=H","DateFormat=P","Fill=—","Direction=H","UseDPDF=Y")</f>
        <v>81.673000000000002</v>
      </c>
      <c r="Y53" s="17" t="str" cm="1">
        <f t="array" ref="Y53">_xll.BDH("NUE US Equity","BS_LT_OPERATING_LEASE_LIABS","FQ1 2024","FQ1 2024","Currency=USD","Period=FQ","BEST_FPERIOD_OVERRIDE=FQ","FILING_STATUS=MR","SCALING_FORMAT=MLN","Sort=A","Dates=H","DateFormat=P","Fill=—","Direction=H","UseDPDF=Y")</f>
        <v>—</v>
      </c>
      <c r="Z53" s="17" t="str" cm="1">
        <f t="array" ref="Z53">_xll.BDH("NUE US Equity","BS_LT_OPERATING_LEASE_LIABS","FQ2 2024","FQ2 2024","Currency=USD","Period=FQ","BEST_FPERIOD_OVERRIDE=FQ","FILING_STATUS=MR","SCALING_FORMAT=MLN","Sort=A","Dates=H","DateFormat=P","Fill=—","Direction=H","UseDPDF=Y")</f>
        <v>—</v>
      </c>
      <c r="AA53" s="17" t="str" cm="1">
        <f t="array" ref="AA53">_xll.BDH("NUE US Equity","BS_LT_OPERATING_LEASE_LIABS","FQ3 2024","FQ3 2024","Currency=USD","Period=FQ","BEST_FPERIOD_OVERRIDE=FQ","FILING_STATUS=MR","SCALING_FORMAT=MLN","Sort=A","Dates=H","DateFormat=P","Fill=—","Direction=H","UseDPDF=Y")</f>
        <v>—</v>
      </c>
      <c r="AB53" s="17" cm="1">
        <f t="array" ref="AB53">_xll.BDH("NUE US Equity","BS_LT_OPERATING_LEASE_LIABS","FQ4 2024","FQ4 2024","Currency=USD","Period=FQ","BEST_FPERIOD_OVERRIDE=FQ","FILING_STATUS=MR","SCALING_FORMAT=MLN","Sort=A","Dates=H","DateFormat=P","Fill=—","Direction=H","UseDPDF=Y")</f>
        <v>93</v>
      </c>
      <c r="AC53" s="17" t="str" cm="1">
        <f t="array" ref="AC53">_xll.BDH("NUE US Equity","BS_LT_OPERATING_LEASE_LIABS","FQ1 2025","FQ1 2025","Currency=USD","Period=FQ","BEST_FPERIOD_OVERRIDE=FQ","FILING_STATUS=MR","SCALING_FORMAT=MLN","Sort=A","Dates=H","DateFormat=P","Fill=—","Direction=H","UseDPDF=Y")</f>
        <v>—</v>
      </c>
      <c r="AD53" s="17" t="str" cm="1">
        <f t="array" ref="AD53">_xll.BDH("NUE US Equity","BS_LT_OPERATING_LEASE_LIABS","FQ2 2025","FQ2 2025","Currency=USD","Period=FQ","BEST_FPERIOD_OVERRIDE=FQ","FILING_STATUS=MR","SCALING_FORMAT=MLN","Sort=A","Dates=H","DateFormat=P","Fill=—","Direction=H","UseDPDF=Y")</f>
        <v>—</v>
      </c>
      <c r="AE53" s="17" t="str" cm="1">
        <f t="array" ref="AE53">_xll.BDH("NUE US Equity","BS_LT_OPERATING_LEASE_LIABS","FQ3 2025","FQ3 2025","Currency=USD","Period=FQ","BEST_FPERIOD_OVERRIDE=FQ","FILING_STATUS=MR","SCALING_FORMAT=MLN","Sort=A","Dates=H","DateFormat=P","Fill=—","Direction=H","UseDPDF=Y")</f>
        <v>—</v>
      </c>
      <c r="AF53" s="17" t="str" cm="1">
        <f t="array" ref="AF53">_xll.BDH("NUE US Equity","BS_LT_OPERATING_LEASE_LIABS","FQ4 2025","FQ4 2025","Currency=USD","Period=FQ","BEST_FPERIOD_OVERRIDE=FQ","FILING_STATUS=MR","SCALING_FORMAT=MLN","Sort=A","Dates=H","DateFormat=P","Fill=—","Direction=H","UseDPDF=Y")</f>
        <v>—</v>
      </c>
    </row>
    <row r="54" spans="1:32" x14ac:dyDescent="0.25">
      <c r="A54" s="10" t="s">
        <v>155</v>
      </c>
      <c r="B54" s="10" t="s">
        <v>156</v>
      </c>
      <c r="C54" s="13" cm="1">
        <f t="array" ref="C54">_xll.BDH("NUE US Equity","OTHER_NONCUR_LIABS_SUB_DETAILED","FQ3 2018","FQ3 2018","Currency=USD","Period=FQ","BEST_FPERIOD_OVERRIDE=FQ","FILING_STATUS=MR","SCALING_FORMAT=MLN","Sort=A","Dates=H","DateFormat=P","Fill=—","Direction=H","UseDPDF=Y")</f>
        <v>748.01700000000005</v>
      </c>
      <c r="D54" s="13" cm="1">
        <f t="array" ref="D54">_xll.BDH("NUE US Equity","OTHER_NONCUR_LIABS_SUB_DETAILED","FQ4 2018","FQ4 2018","Currency=USD","Period=FQ","BEST_FPERIOD_OVERRIDE=FQ","FILING_STATUS=MR","SCALING_FORMAT=MLN","Sort=A","Dates=H","DateFormat=P","Fill=—","Direction=H","UseDPDF=Y")</f>
        <v>679.04399999999998</v>
      </c>
      <c r="E54" s="13" cm="1">
        <f t="array" ref="E54">_xll.BDH("NUE US Equity","OTHER_NONCUR_LIABS_SUB_DETAILED","FQ1 2019","FQ1 2019","Currency=USD","Period=FQ","BEST_FPERIOD_OVERRIDE=FQ","FILING_STATUS=MR","SCALING_FORMAT=MLN","Sort=A","Dates=H","DateFormat=P","Fill=—","Direction=H","UseDPDF=Y")</f>
        <v>632.95600000000002</v>
      </c>
      <c r="F54" s="13" cm="1">
        <f t="array" ref="F54">_xll.BDH("NUE US Equity","OTHER_NONCUR_LIABS_SUB_DETAILED","FQ2 2019","FQ2 2019","Currency=USD","Period=FQ","BEST_FPERIOD_OVERRIDE=FQ","FILING_STATUS=MR","SCALING_FORMAT=MLN","Sort=A","Dates=H","DateFormat=P","Fill=—","Direction=H","UseDPDF=Y")</f>
        <v>668.78700000000003</v>
      </c>
      <c r="G54" s="13" cm="1">
        <f t="array" ref="G54">_xll.BDH("NUE US Equity","OTHER_NONCUR_LIABS_SUB_DETAILED","FQ3 2019","FQ3 2019","Currency=USD","Period=FQ","BEST_FPERIOD_OVERRIDE=FQ","FILING_STATUS=MR","SCALING_FORMAT=MLN","Sort=A","Dates=H","DateFormat=P","Fill=—","Direction=H","UseDPDF=Y")</f>
        <v>623.01499999999999</v>
      </c>
      <c r="H54" s="13" cm="1">
        <f t="array" ref="H54">_xll.BDH("NUE US Equity","OTHER_NONCUR_LIABS_SUB_DETAILED","FQ4 2019","FQ4 2019","Currency=USD","Period=FQ","BEST_FPERIOD_OVERRIDE=FQ","FILING_STATUS=MR","SCALING_FORMAT=MLN","Sort=A","Dates=H","DateFormat=P","Fill=—","Direction=H","UseDPDF=Y")</f>
        <v>647.57799999999997</v>
      </c>
      <c r="I54" s="13" cm="1">
        <f t="array" ref="I54">_xll.BDH("NUE US Equity","OTHER_NONCUR_LIABS_SUB_DETAILED","FQ1 2020","FQ1 2020","Currency=USD","Period=FQ","BEST_FPERIOD_OVERRIDE=FQ","FILING_STATUS=MR","SCALING_FORMAT=MLN","Sort=A","Dates=H","DateFormat=P","Fill=—","Direction=H","UseDPDF=Y")</f>
        <v>808.23900000000003</v>
      </c>
      <c r="J54" s="13" cm="1">
        <f t="array" ref="J54">_xll.BDH("NUE US Equity","OTHER_NONCUR_LIABS_SUB_DETAILED","FQ2 2020","FQ2 2020","Currency=USD","Period=FQ","BEST_FPERIOD_OVERRIDE=FQ","FILING_STATUS=MR","SCALING_FORMAT=MLN","Sort=A","Dates=H","DateFormat=P","Fill=—","Direction=H","UseDPDF=Y")</f>
        <v>898.33900000000006</v>
      </c>
      <c r="K54" s="13" cm="1">
        <f t="array" ref="K54">_xll.BDH("NUE US Equity","OTHER_NONCUR_LIABS_SUB_DETAILED","FQ3 2020","FQ3 2020","Currency=USD","Period=FQ","BEST_FPERIOD_OVERRIDE=FQ","FILING_STATUS=MR","SCALING_FORMAT=MLN","Sort=A","Dates=H","DateFormat=P","Fill=—","Direction=H","UseDPDF=Y")</f>
        <v>976.72199999999998</v>
      </c>
      <c r="L54" s="13" cm="1">
        <f t="array" ref="L54">_xll.BDH("NUE US Equity","OTHER_NONCUR_LIABS_SUB_DETAILED","FQ4 2020","FQ4 2020","Currency=USD","Period=FQ","BEST_FPERIOD_OVERRIDE=FQ","FILING_STATUS=MR","SCALING_FORMAT=MLN","Sort=A","Dates=H","DateFormat=P","Fill=—","Direction=H","UseDPDF=Y")</f>
        <v>838.69500000000005</v>
      </c>
      <c r="M54" s="13" cm="1">
        <f t="array" ref="M54">_xll.BDH("NUE US Equity","OTHER_NONCUR_LIABS_SUB_DETAILED","FQ1 2021","FQ1 2021","Currency=USD","Period=FQ","BEST_FPERIOD_OVERRIDE=FQ","FILING_STATUS=MR","SCALING_FORMAT=MLN","Sort=A","Dates=H","DateFormat=P","Fill=—","Direction=H","UseDPDF=Y")</f>
        <v>1067.203</v>
      </c>
      <c r="N54" s="13" cm="1">
        <f t="array" ref="N54">_xll.BDH("NUE US Equity","OTHER_NONCUR_LIABS_SUB_DETAILED","FQ2 2021","FQ2 2021","Currency=USD","Period=FQ","BEST_FPERIOD_OVERRIDE=FQ","FILING_STATUS=MR","SCALING_FORMAT=MLN","Sort=A","Dates=H","DateFormat=P","Fill=—","Direction=H","UseDPDF=Y")</f>
        <v>1130.4849999999999</v>
      </c>
      <c r="O54" s="13" cm="1">
        <f t="array" ref="O54">_xll.BDH("NUE US Equity","OTHER_NONCUR_LIABS_SUB_DETAILED","FQ3 2021","FQ3 2021","Currency=USD","Period=FQ","BEST_FPERIOD_OVERRIDE=FQ","FILING_STATUS=MR","SCALING_FORMAT=MLN","Sort=A","Dates=H","DateFormat=P","Fill=—","Direction=H","UseDPDF=Y")</f>
        <v>1251.643</v>
      </c>
      <c r="P54" s="13" cm="1">
        <f t="array" ref="P54">_xll.BDH("NUE US Equity","OTHER_NONCUR_LIABS_SUB_DETAILED","FQ4 2021","FQ4 2021","Currency=USD","Period=FQ","BEST_FPERIOD_OVERRIDE=FQ","FILING_STATUS=MR","SCALING_FORMAT=MLN","Sort=A","Dates=H","DateFormat=P","Fill=—","Direction=H","UseDPDF=Y")</f>
        <v>861.91899999999998</v>
      </c>
      <c r="Q54" s="13" cm="1">
        <f t="array" ref="Q54">_xll.BDH("NUE US Equity","OTHER_NONCUR_LIABS_SUB_DETAILED","FQ1 2022","FQ1 2022","Currency=USD","Period=FQ","BEST_FPERIOD_OVERRIDE=FQ","FILING_STATUS=MR","SCALING_FORMAT=MLN","Sort=A","Dates=H","DateFormat=P","Fill=—","Direction=H","UseDPDF=Y")</f>
        <v>1243.5820000000001</v>
      </c>
      <c r="R54" s="13" cm="1">
        <f t="array" ref="R54">_xll.BDH("NUE US Equity","OTHER_NONCUR_LIABS_SUB_DETAILED","FQ2 2022","FQ2 2022","Currency=USD","Period=FQ","BEST_FPERIOD_OVERRIDE=FQ","FILING_STATUS=MR","SCALING_FORMAT=MLN","Sort=A","Dates=H","DateFormat=P","Fill=—","Direction=H","UseDPDF=Y")</f>
        <v>1834.7629999999999</v>
      </c>
      <c r="S54" s="13" cm="1">
        <f t="array" ref="S54">_xll.BDH("NUE US Equity","OTHER_NONCUR_LIABS_SUB_DETAILED","FQ3 2022","FQ3 2022","Currency=USD","Period=FQ","BEST_FPERIOD_OVERRIDE=FQ","FILING_STATUS=MR","SCALING_FORMAT=MLN","Sort=A","Dates=H","DateFormat=P","Fill=—","Direction=H","UseDPDF=Y")</f>
        <v>1998.9059999999999</v>
      </c>
      <c r="T54" s="13" cm="1">
        <f t="array" ref="T54">_xll.BDH("NUE US Equity","OTHER_NONCUR_LIABS_SUB_DETAILED","FQ4 2022","FQ4 2022","Currency=USD","Period=FQ","BEST_FPERIOD_OVERRIDE=FQ","FILING_STATUS=MR","SCALING_FORMAT=MLN","Sort=A","Dates=H","DateFormat=P","Fill=—","Direction=H","UseDPDF=Y")</f>
        <v>1714.614</v>
      </c>
      <c r="U54" s="13" cm="1">
        <f t="array" ref="U54">_xll.BDH("NUE US Equity","OTHER_NONCUR_LIABS_SUB_DETAILED","FQ1 2023","FQ1 2023","Currency=USD","Period=FQ","BEST_FPERIOD_OVERRIDE=FQ","FILING_STATUS=MR","SCALING_FORMAT=MLN","Sort=A","Dates=H","DateFormat=P","Fill=—","Direction=H","UseDPDF=Y")</f>
        <v>1870.0820000000001</v>
      </c>
      <c r="V54" s="13" cm="1">
        <f t="array" ref="V54">_xll.BDH("NUE US Equity","OTHER_NONCUR_LIABS_SUB_DETAILED","FQ2 2023","FQ2 2023","Currency=USD","Period=FQ","BEST_FPERIOD_OVERRIDE=FQ","FILING_STATUS=MR","SCALING_FORMAT=MLN","Sort=A","Dates=H","DateFormat=P","Fill=—","Direction=H","UseDPDF=Y")</f>
        <v>1814.1279999999999</v>
      </c>
      <c r="W54" s="13" cm="1">
        <f t="array" ref="W54">_xll.BDH("NUE US Equity","OTHER_NONCUR_LIABS_SUB_DETAILED","FQ3 2023","FQ3 2023","Currency=USD","Period=FQ","BEST_FPERIOD_OVERRIDE=FQ","FILING_STATUS=MR","SCALING_FORMAT=MLN","Sort=A","Dates=H","DateFormat=P","Fill=—","Direction=H","UseDPDF=Y")</f>
        <v>1854.27</v>
      </c>
      <c r="X54" s="13" cm="1">
        <f t="array" ref="X54">_xll.BDH("NUE US Equity","OTHER_NONCUR_LIABS_SUB_DETAILED","FQ4 2023","FQ4 2023","Currency=USD","Period=FQ","BEST_FPERIOD_OVERRIDE=FQ","FILING_STATUS=MR","SCALING_FORMAT=MLN","Sort=A","Dates=H","DateFormat=P","Fill=—","Direction=H","UseDPDF=Y")</f>
        <v>1716.903</v>
      </c>
      <c r="Y54" s="13" cm="1">
        <f t="array" ref="Y54">_xll.BDH("NUE US Equity","OTHER_NONCUR_LIABS_SUB_DETAILED","FQ1 2024","FQ1 2024","Currency=USD","Period=FQ","BEST_FPERIOD_OVERRIDE=FQ","FILING_STATUS=MR","SCALING_FORMAT=MLN","Sort=A","Dates=H","DateFormat=P","Fill=—","Direction=H","UseDPDF=Y")</f>
        <v>1913.47</v>
      </c>
      <c r="Z54" s="13" cm="1">
        <f t="array" ref="Z54">_xll.BDH("NUE US Equity","OTHER_NONCUR_LIABS_SUB_DETAILED","FQ2 2024","FQ2 2024","Currency=USD","Period=FQ","BEST_FPERIOD_OVERRIDE=FQ","FILING_STATUS=MR","SCALING_FORMAT=MLN","Sort=A","Dates=H","DateFormat=P","Fill=—","Direction=H","UseDPDF=Y")</f>
        <v>1898.9010000000001</v>
      </c>
      <c r="AA54" s="13" cm="1">
        <f t="array" ref="AA54">_xll.BDH("NUE US Equity","OTHER_NONCUR_LIABS_SUB_DETAILED","FQ3 2024","FQ3 2024","Currency=USD","Period=FQ","BEST_FPERIOD_OVERRIDE=FQ","FILING_STATUS=MR","SCALING_FORMAT=MLN","Sort=A","Dates=H","DateFormat=P","Fill=—","Direction=H","UseDPDF=Y")</f>
        <v>1887.9280000000001</v>
      </c>
      <c r="AB54" s="13" cm="1">
        <f t="array" ref="AB54">_xll.BDH("NUE US Equity","OTHER_NONCUR_LIABS_SUB_DETAILED","FQ4 2024","FQ4 2024","Currency=USD","Period=FQ","BEST_FPERIOD_OVERRIDE=FQ","FILING_STATUS=MR","SCALING_FORMAT=MLN","Sort=A","Dates=H","DateFormat=P","Fill=—","Direction=H","UseDPDF=Y")</f>
        <v>1596</v>
      </c>
      <c r="AC54" s="13" cm="1">
        <f t="array" ref="AC54">_xll.BDH("NUE US Equity","OTHER_NONCUR_LIABS_SUB_DETAILED","FQ1 2025","FQ1 2025","Currency=USD","Period=FQ","BEST_FPERIOD_OVERRIDE=FQ","FILING_STATUS=MR","SCALING_FORMAT=MLN","Sort=A","Dates=H","DateFormat=P","Fill=—","Direction=H","UseDPDF=Y")</f>
        <v>1836</v>
      </c>
      <c r="AD54" s="13" cm="1">
        <f t="array" ref="AD54">_xll.BDH("NUE US Equity","OTHER_NONCUR_LIABS_SUB_DETAILED","FQ2 2025","FQ2 2025","Currency=USD","Period=FQ","BEST_FPERIOD_OVERRIDE=FQ","FILING_STATUS=MR","SCALING_FORMAT=MLN","Sort=A","Dates=H","DateFormat=P","Fill=—","Direction=H","UseDPDF=Y")</f>
        <v>1887</v>
      </c>
      <c r="AE54" s="13" cm="1">
        <f t="array" ref="AE54">_xll.BDH("NUE US Equity","OTHER_NONCUR_LIABS_SUB_DETAILED","FQ3 2025","FQ3 2025","Currency=USD","Period=FQ","BEST_FPERIOD_OVERRIDE=FQ","FILING_STATUS=MR","SCALING_FORMAT=MLN","Sort=A","Dates=H","DateFormat=P","Fill=—","Direction=H","UseDPDF=Y")</f>
        <v>1902</v>
      </c>
      <c r="AF54" s="13" cm="1">
        <f t="array" ref="AF54">_xll.BDH("NUE US Equity","OTHER_NONCUR_LIABS_SUB_DETAILED","FQ4 2025","FQ4 2025","Currency=USD","Period=FQ","BEST_FPERIOD_OVERRIDE=FQ","FILING_STATUS=MR","SCALING_FORMAT=MLN","Sort=A","Dates=H","DateFormat=P","Fill=—","Direction=H","UseDPDF=Y")</f>
        <v>2067</v>
      </c>
    </row>
    <row r="55" spans="1:32" x14ac:dyDescent="0.25">
      <c r="A55" s="10" t="s">
        <v>157</v>
      </c>
      <c r="B55" s="10" t="s">
        <v>158</v>
      </c>
      <c r="C55" s="13" cm="1">
        <f t="array" ref="C55">_xll.BDH("NUE US Equity","BS_ACCRUED_LIABILITIES","FQ3 2018","FQ3 2018","Currency=USD","Period=FQ","BEST_FPERIOD_OVERRIDE=FQ","FILING_STATUS=MR","SCALING_FORMAT=MLN","Sort=A","Dates=H","DateFormat=P","Fill=—","Direction=H","UseDPDF=Y")</f>
        <v>14.3</v>
      </c>
      <c r="D55" s="13" cm="1">
        <f t="array" ref="D55">_xll.BDH("NUE US Equity","BS_ACCRUED_LIABILITIES","FQ4 2018","FQ4 2018","Currency=USD","Period=FQ","BEST_FPERIOD_OVERRIDE=FQ","FILING_STATUS=MR","SCALING_FORMAT=MLN","Sort=A","Dates=H","DateFormat=P","Fill=—","Direction=H","UseDPDF=Y")</f>
        <v>11.4</v>
      </c>
      <c r="E55" s="13" cm="1">
        <f t="array" ref="E55">_xll.BDH("NUE US Equity","BS_ACCRUED_LIABILITIES","FQ1 2019","FQ1 2019","Currency=USD","Period=FQ","BEST_FPERIOD_OVERRIDE=FQ","FILING_STATUS=MR","SCALING_FORMAT=MLN","Sort=A","Dates=H","DateFormat=P","Fill=—","Direction=H","UseDPDF=Y")</f>
        <v>12.3</v>
      </c>
      <c r="F55" s="13" cm="1">
        <f t="array" ref="F55">_xll.BDH("NUE US Equity","BS_ACCRUED_LIABILITIES","FQ2 2019","FQ2 2019","Currency=USD","Period=FQ","BEST_FPERIOD_OVERRIDE=FQ","FILING_STATUS=MR","SCALING_FORMAT=MLN","Sort=A","Dates=H","DateFormat=P","Fill=—","Direction=H","UseDPDF=Y")</f>
        <v>1.1000000000000001</v>
      </c>
      <c r="G55" s="13" cm="1">
        <f t="array" ref="G55">_xll.BDH("NUE US Equity","BS_ACCRUED_LIABILITIES","FQ3 2019","FQ3 2019","Currency=USD","Period=FQ","BEST_FPERIOD_OVERRIDE=FQ","FILING_STATUS=MR","SCALING_FORMAT=MLN","Sort=A","Dates=H","DateFormat=P","Fill=—","Direction=H","UseDPDF=Y")</f>
        <v>12.4</v>
      </c>
      <c r="H55" s="13" cm="1">
        <f t="array" ref="H55">_xll.BDH("NUE US Equity","BS_ACCRUED_LIABILITIES","FQ4 2019","FQ4 2019","Currency=USD","Period=FQ","BEST_FPERIOD_OVERRIDE=FQ","FILING_STATUS=MR","SCALING_FORMAT=MLN","Sort=A","Dates=H","DateFormat=P","Fill=—","Direction=H","UseDPDF=Y")</f>
        <v>16.399999999999999</v>
      </c>
      <c r="I55" s="13" cm="1">
        <f t="array" ref="I55">_xll.BDH("NUE US Equity","BS_ACCRUED_LIABILITIES","FQ1 2020","FQ1 2020","Currency=USD","Period=FQ","BEST_FPERIOD_OVERRIDE=FQ","FILING_STATUS=MR","SCALING_FORMAT=MLN","Sort=A","Dates=H","DateFormat=P","Fill=—","Direction=H","UseDPDF=Y")</f>
        <v>11.4</v>
      </c>
      <c r="J55" s="13" cm="1">
        <f t="array" ref="J55">_xll.BDH("NUE US Equity","BS_ACCRUED_LIABILITIES","FQ2 2020","FQ2 2020","Currency=USD","Period=FQ","BEST_FPERIOD_OVERRIDE=FQ","FILING_STATUS=MR","SCALING_FORMAT=MLN","Sort=A","Dates=H","DateFormat=P","Fill=—","Direction=H","UseDPDF=Y")</f>
        <v>10.4</v>
      </c>
      <c r="K55" s="13" cm="1">
        <f t="array" ref="K55">_xll.BDH("NUE US Equity","BS_ACCRUED_LIABILITIES","FQ3 2020","FQ3 2020","Currency=USD","Period=FQ","BEST_FPERIOD_OVERRIDE=FQ","FILING_STATUS=MR","SCALING_FORMAT=MLN","Sort=A","Dates=H","DateFormat=P","Fill=—","Direction=H","UseDPDF=Y")</f>
        <v>10.3</v>
      </c>
      <c r="L55" s="13" cm="1">
        <f t="array" ref="L55">_xll.BDH("NUE US Equity","BS_ACCRUED_LIABILITIES","FQ4 2020","FQ4 2020","Currency=USD","Period=FQ","BEST_FPERIOD_OVERRIDE=FQ","FILING_STATUS=MR","SCALING_FORMAT=MLN","Sort=A","Dates=H","DateFormat=P","Fill=—","Direction=H","UseDPDF=Y")</f>
        <v>10.5</v>
      </c>
      <c r="M55" s="13" cm="1">
        <f t="array" ref="M55">_xll.BDH("NUE US Equity","BS_ACCRUED_LIABILITIES","FQ1 2021","FQ1 2021","Currency=USD","Period=FQ","BEST_FPERIOD_OVERRIDE=FQ","FILING_STATUS=MR","SCALING_FORMAT=MLN","Sort=A","Dates=H","DateFormat=P","Fill=—","Direction=H","UseDPDF=Y")</f>
        <v>11.4</v>
      </c>
      <c r="N55" s="13" cm="1">
        <f t="array" ref="N55">_xll.BDH("NUE US Equity","BS_ACCRUED_LIABILITIES","FQ2 2021","FQ2 2021","Currency=USD","Period=FQ","BEST_FPERIOD_OVERRIDE=FQ","FILING_STATUS=MR","SCALING_FORMAT=MLN","Sort=A","Dates=H","DateFormat=P","Fill=—","Direction=H","UseDPDF=Y")</f>
        <v>14.2</v>
      </c>
      <c r="O55" s="13" cm="1">
        <f t="array" ref="O55">_xll.BDH("NUE US Equity","BS_ACCRUED_LIABILITIES","FQ3 2021","FQ3 2021","Currency=USD","Period=FQ","BEST_FPERIOD_OVERRIDE=FQ","FILING_STATUS=MR","SCALING_FORMAT=MLN","Sort=A","Dates=H","DateFormat=P","Fill=—","Direction=H","UseDPDF=Y")</f>
        <v>14.2</v>
      </c>
      <c r="P55" s="13" cm="1">
        <f t="array" ref="P55">_xll.BDH("NUE US Equity","BS_ACCRUED_LIABILITIES","FQ4 2021","FQ4 2021","Currency=USD","Period=FQ","BEST_FPERIOD_OVERRIDE=FQ","FILING_STATUS=MR","SCALING_FORMAT=MLN","Sort=A","Dates=H","DateFormat=P","Fill=—","Direction=H","UseDPDF=Y")</f>
        <v>103.1</v>
      </c>
      <c r="Q55" s="13" t="str" cm="1">
        <f t="array" ref="Q55">_xll.BDH("NUE US Equity","BS_ACCRUED_LIABILITIES","FQ1 2022","FQ1 2022","Currency=USD","Period=FQ","BEST_FPERIOD_OVERRIDE=FQ","FILING_STATUS=MR","SCALING_FORMAT=MLN","Sort=A","Dates=H","DateFormat=P","Fill=—","Direction=H","UseDPDF=Y")</f>
        <v>—</v>
      </c>
      <c r="R55" s="13" t="str" cm="1">
        <f t="array" ref="R55">_xll.BDH("NUE US Equity","BS_ACCRUED_LIABILITIES","FQ2 2022","FQ2 2022","Currency=USD","Period=FQ","BEST_FPERIOD_OVERRIDE=FQ","FILING_STATUS=MR","SCALING_FORMAT=MLN","Sort=A","Dates=H","DateFormat=P","Fill=—","Direction=H","UseDPDF=Y")</f>
        <v>—</v>
      </c>
      <c r="S55" s="13" t="str" cm="1">
        <f t="array" ref="S55">_xll.BDH("NUE US Equity","BS_ACCRUED_LIABILITIES","FQ3 2022","FQ3 2022","Currency=USD","Period=FQ","BEST_FPERIOD_OVERRIDE=FQ","FILING_STATUS=MR","SCALING_FORMAT=MLN","Sort=A","Dates=H","DateFormat=P","Fill=—","Direction=H","UseDPDF=Y")</f>
        <v>—</v>
      </c>
      <c r="T55" s="13" cm="1">
        <f t="array" ref="T55">_xll.BDH("NUE US Equity","BS_ACCRUED_LIABILITIES","FQ4 2022","FQ4 2022","Currency=USD","Period=FQ","BEST_FPERIOD_OVERRIDE=FQ","FILING_STATUS=MR","SCALING_FORMAT=MLN","Sort=A","Dates=H","DateFormat=P","Fill=—","Direction=H","UseDPDF=Y")</f>
        <v>10.7</v>
      </c>
      <c r="U55" s="13" t="str" cm="1">
        <f t="array" ref="U55">_xll.BDH("NUE US Equity","BS_ACCRUED_LIABILITIES","FQ1 2023","FQ1 2023","Currency=USD","Period=FQ","BEST_FPERIOD_OVERRIDE=FQ","FILING_STATUS=MR","SCALING_FORMAT=MLN","Sort=A","Dates=H","DateFormat=P","Fill=—","Direction=H","UseDPDF=Y")</f>
        <v>—</v>
      </c>
      <c r="V55" s="13" t="str" cm="1">
        <f t="array" ref="V55">_xll.BDH("NUE US Equity","BS_ACCRUED_LIABILITIES","FQ2 2023","FQ2 2023","Currency=USD","Period=FQ","BEST_FPERIOD_OVERRIDE=FQ","FILING_STATUS=MR","SCALING_FORMAT=MLN","Sort=A","Dates=H","DateFormat=P","Fill=—","Direction=H","UseDPDF=Y")</f>
        <v>—</v>
      </c>
      <c r="W55" s="13" t="str" cm="1">
        <f t="array" ref="W55">_xll.BDH("NUE US Equity","BS_ACCRUED_LIABILITIES","FQ3 2023","FQ3 2023","Currency=USD","Period=FQ","BEST_FPERIOD_OVERRIDE=FQ","FILING_STATUS=MR","SCALING_FORMAT=MLN","Sort=A","Dates=H","DateFormat=P","Fill=—","Direction=H","UseDPDF=Y")</f>
        <v>—</v>
      </c>
      <c r="X55" s="13" cm="1">
        <f t="array" ref="X55">_xll.BDH("NUE US Equity","BS_ACCRUED_LIABILITIES","FQ4 2023","FQ4 2023","Currency=USD","Period=FQ","BEST_FPERIOD_OVERRIDE=FQ","FILING_STATUS=MR","SCALING_FORMAT=MLN","Sort=A","Dates=H","DateFormat=P","Fill=—","Direction=H","UseDPDF=Y")</f>
        <v>12.8</v>
      </c>
      <c r="Y55" s="13" t="str" cm="1">
        <f t="array" ref="Y55">_xll.BDH("NUE US Equity","BS_ACCRUED_LIABILITIES","FQ1 2024","FQ1 2024","Currency=USD","Period=FQ","BEST_FPERIOD_OVERRIDE=FQ","FILING_STATUS=MR","SCALING_FORMAT=MLN","Sort=A","Dates=H","DateFormat=P","Fill=—","Direction=H","UseDPDF=Y")</f>
        <v>—</v>
      </c>
      <c r="Z55" s="13" t="str" cm="1">
        <f t="array" ref="Z55">_xll.BDH("NUE US Equity","BS_ACCRUED_LIABILITIES","FQ2 2024","FQ2 2024","Currency=USD","Period=FQ","BEST_FPERIOD_OVERRIDE=FQ","FILING_STATUS=MR","SCALING_FORMAT=MLN","Sort=A","Dates=H","DateFormat=P","Fill=—","Direction=H","UseDPDF=Y")</f>
        <v>—</v>
      </c>
      <c r="AA55" s="13" t="str" cm="1">
        <f t="array" ref="AA55">_xll.BDH("NUE US Equity","BS_ACCRUED_LIABILITIES","FQ3 2024","FQ3 2024","Currency=USD","Period=FQ","BEST_FPERIOD_OVERRIDE=FQ","FILING_STATUS=MR","SCALING_FORMAT=MLN","Sort=A","Dates=H","DateFormat=P","Fill=—","Direction=H","UseDPDF=Y")</f>
        <v>—</v>
      </c>
      <c r="AB55" s="13" cm="1">
        <f t="array" ref="AB55">_xll.BDH("NUE US Equity","BS_ACCRUED_LIABILITIES","FQ4 2024","FQ4 2024","Currency=USD","Period=FQ","BEST_FPERIOD_OVERRIDE=FQ","FILING_STATUS=MR","SCALING_FORMAT=MLN","Sort=A","Dates=H","DateFormat=P","Fill=—","Direction=H","UseDPDF=Y")</f>
        <v>30</v>
      </c>
      <c r="AC55" s="13" t="str" cm="1">
        <f t="array" ref="AC55">_xll.BDH("NUE US Equity","BS_ACCRUED_LIABILITIES","FQ1 2025","FQ1 2025","Currency=USD","Period=FQ","BEST_FPERIOD_OVERRIDE=FQ","FILING_STATUS=MR","SCALING_FORMAT=MLN","Sort=A","Dates=H","DateFormat=P","Fill=—","Direction=H","UseDPDF=Y")</f>
        <v>—</v>
      </c>
      <c r="AD55" s="13" t="str" cm="1">
        <f t="array" ref="AD55">_xll.BDH("NUE US Equity","BS_ACCRUED_LIABILITIES","FQ2 2025","FQ2 2025","Currency=USD","Period=FQ","BEST_FPERIOD_OVERRIDE=FQ","FILING_STATUS=MR","SCALING_FORMAT=MLN","Sort=A","Dates=H","DateFormat=P","Fill=—","Direction=H","UseDPDF=Y")</f>
        <v>—</v>
      </c>
      <c r="AE55" s="13" t="str" cm="1">
        <f t="array" ref="AE55">_xll.BDH("NUE US Equity","BS_ACCRUED_LIABILITIES","FQ3 2025","FQ3 2025","Currency=USD","Period=FQ","BEST_FPERIOD_OVERRIDE=FQ","FILING_STATUS=MR","SCALING_FORMAT=MLN","Sort=A","Dates=H","DateFormat=P","Fill=—","Direction=H","UseDPDF=Y")</f>
        <v>—</v>
      </c>
      <c r="AF55" s="13" t="str" cm="1">
        <f t="array" ref="AF55">_xll.BDH("NUE US Equity","BS_ACCRUED_LIABILITIES","FQ4 2025","FQ4 2025","Currency=USD","Period=FQ","BEST_FPERIOD_OVERRIDE=FQ","FILING_STATUS=MR","SCALING_FORMAT=MLN","Sort=A","Dates=H","DateFormat=P","Fill=—","Direction=H","UseDPDF=Y")</f>
        <v>—</v>
      </c>
    </row>
    <row r="56" spans="1:32" x14ac:dyDescent="0.25">
      <c r="A56" s="10" t="s">
        <v>159</v>
      </c>
      <c r="B56" s="10" t="s">
        <v>160</v>
      </c>
      <c r="C56" s="13" t="str" cm="1">
        <f t="array" ref="C56">_xll.BDH("NUE US Equity","PENSION_LIABILITIES","FQ3 2018","FQ3 2018","Currency=USD","Period=FQ","BEST_FPERIOD_OVERRIDE=FQ","FILING_STATUS=MR","SCALING_FORMAT=MLN","Sort=A","Dates=H","DateFormat=P","Fill=—","Direction=H","UseDPDF=Y")</f>
        <v>—</v>
      </c>
      <c r="D56" s="13" cm="1">
        <f t="array" ref="D56">_xll.BDH("NUE US Equity","PENSION_LIABILITIES","FQ4 2018","FQ4 2018","Currency=USD","Period=FQ","BEST_FPERIOD_OVERRIDE=FQ","FILING_STATUS=MR","SCALING_FORMAT=MLN","Sort=A","Dates=H","DateFormat=P","Fill=—","Direction=H","UseDPDF=Y")</f>
        <v>0</v>
      </c>
      <c r="E56" s="13" t="str" cm="1">
        <f t="array" ref="E56">_xll.BDH("NUE US Equity","PENSION_LIABILITIES","FQ1 2019","FQ1 2019","Currency=USD","Period=FQ","BEST_FPERIOD_OVERRIDE=FQ","FILING_STATUS=MR","SCALING_FORMAT=MLN","Sort=A","Dates=H","DateFormat=P","Fill=—","Direction=H","UseDPDF=Y")</f>
        <v>—</v>
      </c>
      <c r="F56" s="13" t="str" cm="1">
        <f t="array" ref="F56">_xll.BDH("NUE US Equity","PENSION_LIABILITIES","FQ2 2019","FQ2 2019","Currency=USD","Period=FQ","BEST_FPERIOD_OVERRIDE=FQ","FILING_STATUS=MR","SCALING_FORMAT=MLN","Sort=A","Dates=H","DateFormat=P","Fill=—","Direction=H","UseDPDF=Y")</f>
        <v>—</v>
      </c>
      <c r="G56" s="13" t="str" cm="1">
        <f t="array" ref="G56">_xll.BDH("NUE US Equity","PENSION_LIABILITIES","FQ3 2019","FQ3 2019","Currency=USD","Period=FQ","BEST_FPERIOD_OVERRIDE=FQ","FILING_STATUS=MR","SCALING_FORMAT=MLN","Sort=A","Dates=H","DateFormat=P","Fill=—","Direction=H","UseDPDF=Y")</f>
        <v>—</v>
      </c>
      <c r="H56" s="13" cm="1">
        <f t="array" ref="H56">_xll.BDH("NUE US Equity","PENSION_LIABILITIES","FQ4 2019","FQ4 2019","Currency=USD","Period=FQ","BEST_FPERIOD_OVERRIDE=FQ","FILING_STATUS=MR","SCALING_FORMAT=MLN","Sort=A","Dates=H","DateFormat=P","Fill=—","Direction=H","UseDPDF=Y")</f>
        <v>0</v>
      </c>
      <c r="I56" s="13" t="str" cm="1">
        <f t="array" ref="I56">_xll.BDH("NUE US Equity","PENSION_LIABILITIES","FQ1 2020","FQ1 2020","Currency=USD","Period=FQ","BEST_FPERIOD_OVERRIDE=FQ","FILING_STATUS=MR","SCALING_FORMAT=MLN","Sort=A","Dates=H","DateFormat=P","Fill=—","Direction=H","UseDPDF=Y")</f>
        <v>—</v>
      </c>
      <c r="J56" s="13" t="str" cm="1">
        <f t="array" ref="J56">_xll.BDH("NUE US Equity","PENSION_LIABILITIES","FQ2 2020","FQ2 2020","Currency=USD","Period=FQ","BEST_FPERIOD_OVERRIDE=FQ","FILING_STATUS=MR","SCALING_FORMAT=MLN","Sort=A","Dates=H","DateFormat=P","Fill=—","Direction=H","UseDPDF=Y")</f>
        <v>—</v>
      </c>
      <c r="K56" s="13" t="str" cm="1">
        <f t="array" ref="K56">_xll.BDH("NUE US Equity","PENSION_LIABILITIES","FQ3 2020","FQ3 2020","Currency=USD","Period=FQ","BEST_FPERIOD_OVERRIDE=FQ","FILING_STATUS=MR","SCALING_FORMAT=MLN","Sort=A","Dates=H","DateFormat=P","Fill=—","Direction=H","UseDPDF=Y")</f>
        <v>—</v>
      </c>
      <c r="L56" s="13" cm="1">
        <f t="array" ref="L56">_xll.BDH("NUE US Equity","PENSION_LIABILITIES","FQ4 2020","FQ4 2020","Currency=USD","Period=FQ","BEST_FPERIOD_OVERRIDE=FQ","FILING_STATUS=MR","SCALING_FORMAT=MLN","Sort=A","Dates=H","DateFormat=P","Fill=—","Direction=H","UseDPDF=Y")</f>
        <v>0</v>
      </c>
      <c r="M56" s="13" t="str" cm="1">
        <f t="array" ref="M56">_xll.BDH("NUE US Equity","PENSION_LIABILITIES","FQ1 2021","FQ1 2021","Currency=USD","Period=FQ","BEST_FPERIOD_OVERRIDE=FQ","FILING_STATUS=MR","SCALING_FORMAT=MLN","Sort=A","Dates=H","DateFormat=P","Fill=—","Direction=H","UseDPDF=Y")</f>
        <v>—</v>
      </c>
      <c r="N56" s="13" t="str" cm="1">
        <f t="array" ref="N56">_xll.BDH("NUE US Equity","PENSION_LIABILITIES","FQ2 2021","FQ2 2021","Currency=USD","Period=FQ","BEST_FPERIOD_OVERRIDE=FQ","FILING_STATUS=MR","SCALING_FORMAT=MLN","Sort=A","Dates=H","DateFormat=P","Fill=—","Direction=H","UseDPDF=Y")</f>
        <v>—</v>
      </c>
      <c r="O56" s="13" t="str" cm="1">
        <f t="array" ref="O56">_xll.BDH("NUE US Equity","PENSION_LIABILITIES","FQ3 2021","FQ3 2021","Currency=USD","Period=FQ","BEST_FPERIOD_OVERRIDE=FQ","FILING_STATUS=MR","SCALING_FORMAT=MLN","Sort=A","Dates=H","DateFormat=P","Fill=—","Direction=H","UseDPDF=Y")</f>
        <v>—</v>
      </c>
      <c r="P56" s="13" t="str" cm="1">
        <f t="array" ref="P56">_xll.BDH("NUE US Equity","PENSION_LIABILITIES","FQ4 2021","FQ4 2021","Currency=USD","Period=FQ","BEST_FPERIOD_OVERRIDE=FQ","FILING_STATUS=MR","SCALING_FORMAT=MLN","Sort=A","Dates=H","DateFormat=P","Fill=—","Direction=H","UseDPDF=Y")</f>
        <v>—</v>
      </c>
      <c r="Q56" s="13" t="str" cm="1">
        <f t="array" ref="Q56">_xll.BDH("NUE US Equity","PENSION_LIABILITIES","FQ1 2022","FQ1 2022","Currency=USD","Period=FQ","BEST_FPERIOD_OVERRIDE=FQ","FILING_STATUS=MR","SCALING_FORMAT=MLN","Sort=A","Dates=H","DateFormat=P","Fill=—","Direction=H","UseDPDF=Y")</f>
        <v>—</v>
      </c>
      <c r="R56" s="13" t="str" cm="1">
        <f t="array" ref="R56">_xll.BDH("NUE US Equity","PENSION_LIABILITIES","FQ2 2022","FQ2 2022","Currency=USD","Period=FQ","BEST_FPERIOD_OVERRIDE=FQ","FILING_STATUS=MR","SCALING_FORMAT=MLN","Sort=A","Dates=H","DateFormat=P","Fill=—","Direction=H","UseDPDF=Y")</f>
        <v>—</v>
      </c>
      <c r="S56" s="13" t="str" cm="1">
        <f t="array" ref="S56">_xll.BDH("NUE US Equity","PENSION_LIABILITIES","FQ3 2022","FQ3 2022","Currency=USD","Period=FQ","BEST_FPERIOD_OVERRIDE=FQ","FILING_STATUS=MR","SCALING_FORMAT=MLN","Sort=A","Dates=H","DateFormat=P","Fill=—","Direction=H","UseDPDF=Y")</f>
        <v>—</v>
      </c>
      <c r="T56" s="13" t="str" cm="1">
        <f t="array" ref="T56">_xll.BDH("NUE US Equity","PENSION_LIABILITIES","FQ4 2022","FQ4 2022","Currency=USD","Period=FQ","BEST_FPERIOD_OVERRIDE=FQ","FILING_STATUS=MR","SCALING_FORMAT=MLN","Sort=A","Dates=H","DateFormat=P","Fill=—","Direction=H","UseDPDF=Y")</f>
        <v>—</v>
      </c>
      <c r="U56" s="13" t="str" cm="1">
        <f t="array" ref="U56">_xll.BDH("NUE US Equity","PENSION_LIABILITIES","FQ1 2023","FQ1 2023","Currency=USD","Period=FQ","BEST_FPERIOD_OVERRIDE=FQ","FILING_STATUS=MR","SCALING_FORMAT=MLN","Sort=A","Dates=H","DateFormat=P","Fill=—","Direction=H","UseDPDF=Y")</f>
        <v>—</v>
      </c>
      <c r="V56" s="13" t="str" cm="1">
        <f t="array" ref="V56">_xll.BDH("NUE US Equity","PENSION_LIABILITIES","FQ2 2023","FQ2 2023","Currency=USD","Period=FQ","BEST_FPERIOD_OVERRIDE=FQ","FILING_STATUS=MR","SCALING_FORMAT=MLN","Sort=A","Dates=H","DateFormat=P","Fill=—","Direction=H","UseDPDF=Y")</f>
        <v>—</v>
      </c>
      <c r="W56" s="13" t="str" cm="1">
        <f t="array" ref="W56">_xll.BDH("NUE US Equity","PENSION_LIABILITIES","FQ3 2023","FQ3 2023","Currency=USD","Period=FQ","BEST_FPERIOD_OVERRIDE=FQ","FILING_STATUS=MR","SCALING_FORMAT=MLN","Sort=A","Dates=H","DateFormat=P","Fill=—","Direction=H","UseDPDF=Y")</f>
        <v>—</v>
      </c>
      <c r="X56" s="13" t="str" cm="1">
        <f t="array" ref="X56">_xll.BDH("NUE US Equity","PENSION_LIABILITIES","FQ4 2023","FQ4 2023","Currency=USD","Period=FQ","BEST_FPERIOD_OVERRIDE=FQ","FILING_STATUS=MR","SCALING_FORMAT=MLN","Sort=A","Dates=H","DateFormat=P","Fill=—","Direction=H","UseDPDF=Y")</f>
        <v>—</v>
      </c>
      <c r="Y56" s="13" t="str" cm="1">
        <f t="array" ref="Y56">_xll.BDH("NUE US Equity","PENSION_LIABILITIES","FQ1 2024","FQ1 2024","Currency=USD","Period=FQ","BEST_FPERIOD_OVERRIDE=FQ","FILING_STATUS=MR","SCALING_FORMAT=MLN","Sort=A","Dates=H","DateFormat=P","Fill=—","Direction=H","UseDPDF=Y")</f>
        <v>—</v>
      </c>
      <c r="Z56" s="13" t="str" cm="1">
        <f t="array" ref="Z56">_xll.BDH("NUE US Equity","PENSION_LIABILITIES","FQ2 2024","FQ2 2024","Currency=USD","Period=FQ","BEST_FPERIOD_OVERRIDE=FQ","FILING_STATUS=MR","SCALING_FORMAT=MLN","Sort=A","Dates=H","DateFormat=P","Fill=—","Direction=H","UseDPDF=Y")</f>
        <v>—</v>
      </c>
      <c r="AA56" s="13" t="str" cm="1">
        <f t="array" ref="AA56">_xll.BDH("NUE US Equity","PENSION_LIABILITIES","FQ3 2024","FQ3 2024","Currency=USD","Period=FQ","BEST_FPERIOD_OVERRIDE=FQ","FILING_STATUS=MR","SCALING_FORMAT=MLN","Sort=A","Dates=H","DateFormat=P","Fill=—","Direction=H","UseDPDF=Y")</f>
        <v>—</v>
      </c>
      <c r="AB56" s="13" t="str" cm="1">
        <f t="array" ref="AB56">_xll.BDH("NUE US Equity","PENSION_LIABILITIES","FQ4 2024","FQ4 2024","Currency=USD","Period=FQ","BEST_FPERIOD_OVERRIDE=FQ","FILING_STATUS=MR","SCALING_FORMAT=MLN","Sort=A","Dates=H","DateFormat=P","Fill=—","Direction=H","UseDPDF=Y")</f>
        <v>—</v>
      </c>
      <c r="AC56" s="13" t="str" cm="1">
        <f t="array" ref="AC56">_xll.BDH("NUE US Equity","PENSION_LIABILITIES","FQ1 2025","FQ1 2025","Currency=USD","Period=FQ","BEST_FPERIOD_OVERRIDE=FQ","FILING_STATUS=MR","SCALING_FORMAT=MLN","Sort=A","Dates=H","DateFormat=P","Fill=—","Direction=H","UseDPDF=Y")</f>
        <v>—</v>
      </c>
      <c r="AD56" s="13" t="str" cm="1">
        <f t="array" ref="AD56">_xll.BDH("NUE US Equity","PENSION_LIABILITIES","FQ2 2025","FQ2 2025","Currency=USD","Period=FQ","BEST_FPERIOD_OVERRIDE=FQ","FILING_STATUS=MR","SCALING_FORMAT=MLN","Sort=A","Dates=H","DateFormat=P","Fill=—","Direction=H","UseDPDF=Y")</f>
        <v>—</v>
      </c>
      <c r="AE56" s="13" t="str" cm="1">
        <f t="array" ref="AE56">_xll.BDH("NUE US Equity","PENSION_LIABILITIES","FQ3 2025","FQ3 2025","Currency=USD","Period=FQ","BEST_FPERIOD_OVERRIDE=FQ","FILING_STATUS=MR","SCALING_FORMAT=MLN","Sort=A","Dates=H","DateFormat=P","Fill=—","Direction=H","UseDPDF=Y")</f>
        <v>—</v>
      </c>
      <c r="AF56" s="13" t="str" cm="1">
        <f t="array" ref="AF56">_xll.BDH("NUE US Equity","PENSION_LIABILITIES","FQ4 2025","FQ4 2025","Currency=USD","Period=FQ","BEST_FPERIOD_OVERRIDE=FQ","FILING_STATUS=MR","SCALING_FORMAT=MLN","Sort=A","Dates=H","DateFormat=P","Fill=—","Direction=H","UseDPDF=Y")</f>
        <v>—</v>
      </c>
    </row>
    <row r="57" spans="1:32" x14ac:dyDescent="0.25">
      <c r="A57" s="11" t="s">
        <v>161</v>
      </c>
      <c r="B57" s="11" t="s">
        <v>162</v>
      </c>
      <c r="C57" s="17" t="str" cm="1">
        <f t="array" ref="C57">_xll.BDH("NUE US Equity","BS_PENSIONS_LT_LIABS","FQ3 2018","FQ3 2018","Currency=USD","Period=FQ","BEST_FPERIOD_OVERRIDE=FQ","FILING_STATUS=MR","SCALING_FORMAT=MLN","Sort=A","Dates=H","DateFormat=P","Fill=—","Direction=H","UseDPDF=Y")</f>
        <v>—</v>
      </c>
      <c r="D57" s="17" cm="1">
        <f t="array" ref="D57">_xll.BDH("NUE US Equity","BS_PENSIONS_LT_LIABS","FQ4 2018","FQ4 2018","Currency=USD","Period=FQ","BEST_FPERIOD_OVERRIDE=FQ","FILING_STATUS=MR","SCALING_FORMAT=MLN","Sort=A","Dates=H","DateFormat=P","Fill=—","Direction=H","UseDPDF=Y")</f>
        <v>0</v>
      </c>
      <c r="E57" s="17" t="str" cm="1">
        <f t="array" ref="E57">_xll.BDH("NUE US Equity","BS_PENSIONS_LT_LIABS","FQ1 2019","FQ1 2019","Currency=USD","Period=FQ","BEST_FPERIOD_OVERRIDE=FQ","FILING_STATUS=MR","SCALING_FORMAT=MLN","Sort=A","Dates=H","DateFormat=P","Fill=—","Direction=H","UseDPDF=Y")</f>
        <v>—</v>
      </c>
      <c r="F57" s="17" t="str" cm="1">
        <f t="array" ref="F57">_xll.BDH("NUE US Equity","BS_PENSIONS_LT_LIABS","FQ2 2019","FQ2 2019","Currency=USD","Period=FQ","BEST_FPERIOD_OVERRIDE=FQ","FILING_STATUS=MR","SCALING_FORMAT=MLN","Sort=A","Dates=H","DateFormat=P","Fill=—","Direction=H","UseDPDF=Y")</f>
        <v>—</v>
      </c>
      <c r="G57" s="17" t="str" cm="1">
        <f t="array" ref="G57">_xll.BDH("NUE US Equity","BS_PENSIONS_LT_LIABS","FQ3 2019","FQ3 2019","Currency=USD","Period=FQ","BEST_FPERIOD_OVERRIDE=FQ","FILING_STATUS=MR","SCALING_FORMAT=MLN","Sort=A","Dates=H","DateFormat=P","Fill=—","Direction=H","UseDPDF=Y")</f>
        <v>—</v>
      </c>
      <c r="H57" s="17" cm="1">
        <f t="array" ref="H57">_xll.BDH("NUE US Equity","BS_PENSIONS_LT_LIABS","FQ4 2019","FQ4 2019","Currency=USD","Period=FQ","BEST_FPERIOD_OVERRIDE=FQ","FILING_STATUS=MR","SCALING_FORMAT=MLN","Sort=A","Dates=H","DateFormat=P","Fill=—","Direction=H","UseDPDF=Y")</f>
        <v>0</v>
      </c>
      <c r="I57" s="17" t="str" cm="1">
        <f t="array" ref="I57">_xll.BDH("NUE US Equity","BS_PENSIONS_LT_LIABS","FQ1 2020","FQ1 2020","Currency=USD","Period=FQ","BEST_FPERIOD_OVERRIDE=FQ","FILING_STATUS=MR","SCALING_FORMAT=MLN","Sort=A","Dates=H","DateFormat=P","Fill=—","Direction=H","UseDPDF=Y")</f>
        <v>—</v>
      </c>
      <c r="J57" s="17" t="str" cm="1">
        <f t="array" ref="J57">_xll.BDH("NUE US Equity","BS_PENSIONS_LT_LIABS","FQ2 2020","FQ2 2020","Currency=USD","Period=FQ","BEST_FPERIOD_OVERRIDE=FQ","FILING_STATUS=MR","SCALING_FORMAT=MLN","Sort=A","Dates=H","DateFormat=P","Fill=—","Direction=H","UseDPDF=Y")</f>
        <v>—</v>
      </c>
      <c r="K57" s="17" t="str" cm="1">
        <f t="array" ref="K57">_xll.BDH("NUE US Equity","BS_PENSIONS_LT_LIABS","FQ3 2020","FQ3 2020","Currency=USD","Period=FQ","BEST_FPERIOD_OVERRIDE=FQ","FILING_STATUS=MR","SCALING_FORMAT=MLN","Sort=A","Dates=H","DateFormat=P","Fill=—","Direction=H","UseDPDF=Y")</f>
        <v>—</v>
      </c>
      <c r="L57" s="17" cm="1">
        <f t="array" ref="L57">_xll.BDH("NUE US Equity","BS_PENSIONS_LT_LIABS","FQ4 2020","FQ4 2020","Currency=USD","Period=FQ","BEST_FPERIOD_OVERRIDE=FQ","FILING_STATUS=MR","SCALING_FORMAT=MLN","Sort=A","Dates=H","DateFormat=P","Fill=—","Direction=H","UseDPDF=Y")</f>
        <v>0</v>
      </c>
      <c r="M57" s="17" t="str" cm="1">
        <f t="array" ref="M57">_xll.BDH("NUE US Equity","BS_PENSIONS_LT_LIABS","FQ1 2021","FQ1 2021","Currency=USD","Period=FQ","BEST_FPERIOD_OVERRIDE=FQ","FILING_STATUS=MR","SCALING_FORMAT=MLN","Sort=A","Dates=H","DateFormat=P","Fill=—","Direction=H","UseDPDF=Y")</f>
        <v>—</v>
      </c>
      <c r="N57" s="17" t="str" cm="1">
        <f t="array" ref="N57">_xll.BDH("NUE US Equity","BS_PENSIONS_LT_LIABS","FQ2 2021","FQ2 2021","Currency=USD","Period=FQ","BEST_FPERIOD_OVERRIDE=FQ","FILING_STATUS=MR","SCALING_FORMAT=MLN","Sort=A","Dates=H","DateFormat=P","Fill=—","Direction=H","UseDPDF=Y")</f>
        <v>—</v>
      </c>
      <c r="O57" s="17" t="str" cm="1">
        <f t="array" ref="O57">_xll.BDH("NUE US Equity","BS_PENSIONS_LT_LIABS","FQ3 2021","FQ3 2021","Currency=USD","Period=FQ","BEST_FPERIOD_OVERRIDE=FQ","FILING_STATUS=MR","SCALING_FORMAT=MLN","Sort=A","Dates=H","DateFormat=P","Fill=—","Direction=H","UseDPDF=Y")</f>
        <v>—</v>
      </c>
      <c r="P57" s="17" t="str" cm="1">
        <f t="array" ref="P57">_xll.BDH("NUE US Equity","BS_PENSIONS_LT_LIABS","FQ4 2021","FQ4 2021","Currency=USD","Period=FQ","BEST_FPERIOD_OVERRIDE=FQ","FILING_STATUS=MR","SCALING_FORMAT=MLN","Sort=A","Dates=H","DateFormat=P","Fill=—","Direction=H","UseDPDF=Y")</f>
        <v>—</v>
      </c>
      <c r="Q57" s="17" t="str" cm="1">
        <f t="array" ref="Q57">_xll.BDH("NUE US Equity","BS_PENSIONS_LT_LIABS","FQ1 2022","FQ1 2022","Currency=USD","Period=FQ","BEST_FPERIOD_OVERRIDE=FQ","FILING_STATUS=MR","SCALING_FORMAT=MLN","Sort=A","Dates=H","DateFormat=P","Fill=—","Direction=H","UseDPDF=Y")</f>
        <v>—</v>
      </c>
      <c r="R57" s="17" t="str" cm="1">
        <f t="array" ref="R57">_xll.BDH("NUE US Equity","BS_PENSIONS_LT_LIABS","FQ2 2022","FQ2 2022","Currency=USD","Period=FQ","BEST_FPERIOD_OVERRIDE=FQ","FILING_STATUS=MR","SCALING_FORMAT=MLN","Sort=A","Dates=H","DateFormat=P","Fill=—","Direction=H","UseDPDF=Y")</f>
        <v>—</v>
      </c>
      <c r="S57" s="17" t="str" cm="1">
        <f t="array" ref="S57">_xll.BDH("NUE US Equity","BS_PENSIONS_LT_LIABS","FQ3 2022","FQ3 2022","Currency=USD","Period=FQ","BEST_FPERIOD_OVERRIDE=FQ","FILING_STATUS=MR","SCALING_FORMAT=MLN","Sort=A","Dates=H","DateFormat=P","Fill=—","Direction=H","UseDPDF=Y")</f>
        <v>—</v>
      </c>
      <c r="T57" s="17" t="str" cm="1">
        <f t="array" ref="T57">_xll.BDH("NUE US Equity","BS_PENSIONS_LT_LIABS","FQ4 2022","FQ4 2022","Currency=USD","Period=FQ","BEST_FPERIOD_OVERRIDE=FQ","FILING_STATUS=MR","SCALING_FORMAT=MLN","Sort=A","Dates=H","DateFormat=P","Fill=—","Direction=H","UseDPDF=Y")</f>
        <v>—</v>
      </c>
      <c r="U57" s="17" t="str" cm="1">
        <f t="array" ref="U57">_xll.BDH("NUE US Equity","BS_PENSIONS_LT_LIABS","FQ1 2023","FQ1 2023","Currency=USD","Period=FQ","BEST_FPERIOD_OVERRIDE=FQ","FILING_STATUS=MR","SCALING_FORMAT=MLN","Sort=A","Dates=H","DateFormat=P","Fill=—","Direction=H","UseDPDF=Y")</f>
        <v>—</v>
      </c>
      <c r="V57" s="17" t="str" cm="1">
        <f t="array" ref="V57">_xll.BDH("NUE US Equity","BS_PENSIONS_LT_LIABS","FQ2 2023","FQ2 2023","Currency=USD","Period=FQ","BEST_FPERIOD_OVERRIDE=FQ","FILING_STATUS=MR","SCALING_FORMAT=MLN","Sort=A","Dates=H","DateFormat=P","Fill=—","Direction=H","UseDPDF=Y")</f>
        <v>—</v>
      </c>
      <c r="W57" s="17" t="str" cm="1">
        <f t="array" ref="W57">_xll.BDH("NUE US Equity","BS_PENSIONS_LT_LIABS","FQ3 2023","FQ3 2023","Currency=USD","Period=FQ","BEST_FPERIOD_OVERRIDE=FQ","FILING_STATUS=MR","SCALING_FORMAT=MLN","Sort=A","Dates=H","DateFormat=P","Fill=—","Direction=H","UseDPDF=Y")</f>
        <v>—</v>
      </c>
      <c r="X57" s="17" t="str" cm="1">
        <f t="array" ref="X57">_xll.BDH("NUE US Equity","BS_PENSIONS_LT_LIABS","FQ4 2023","FQ4 2023","Currency=USD","Period=FQ","BEST_FPERIOD_OVERRIDE=FQ","FILING_STATUS=MR","SCALING_FORMAT=MLN","Sort=A","Dates=H","DateFormat=P","Fill=—","Direction=H","UseDPDF=Y")</f>
        <v>—</v>
      </c>
      <c r="Y57" s="17" t="str" cm="1">
        <f t="array" ref="Y57">_xll.BDH("NUE US Equity","BS_PENSIONS_LT_LIABS","FQ1 2024","FQ1 2024","Currency=USD","Period=FQ","BEST_FPERIOD_OVERRIDE=FQ","FILING_STATUS=MR","SCALING_FORMAT=MLN","Sort=A","Dates=H","DateFormat=P","Fill=—","Direction=H","UseDPDF=Y")</f>
        <v>—</v>
      </c>
      <c r="Z57" s="17" t="str" cm="1">
        <f t="array" ref="Z57">_xll.BDH("NUE US Equity","BS_PENSIONS_LT_LIABS","FQ2 2024","FQ2 2024","Currency=USD","Period=FQ","BEST_FPERIOD_OVERRIDE=FQ","FILING_STATUS=MR","SCALING_FORMAT=MLN","Sort=A","Dates=H","DateFormat=P","Fill=—","Direction=H","UseDPDF=Y")</f>
        <v>—</v>
      </c>
      <c r="AA57" s="17" t="str" cm="1">
        <f t="array" ref="AA57">_xll.BDH("NUE US Equity","BS_PENSIONS_LT_LIABS","FQ3 2024","FQ3 2024","Currency=USD","Period=FQ","BEST_FPERIOD_OVERRIDE=FQ","FILING_STATUS=MR","SCALING_FORMAT=MLN","Sort=A","Dates=H","DateFormat=P","Fill=—","Direction=H","UseDPDF=Y")</f>
        <v>—</v>
      </c>
      <c r="AB57" s="17" t="str" cm="1">
        <f t="array" ref="AB57">_xll.BDH("NUE US Equity","BS_PENSIONS_LT_LIABS","FQ4 2024","FQ4 2024","Currency=USD","Period=FQ","BEST_FPERIOD_OVERRIDE=FQ","FILING_STATUS=MR","SCALING_FORMAT=MLN","Sort=A","Dates=H","DateFormat=P","Fill=—","Direction=H","UseDPDF=Y")</f>
        <v>—</v>
      </c>
      <c r="AC57" s="17" t="str" cm="1">
        <f t="array" ref="AC57">_xll.BDH("NUE US Equity","BS_PENSIONS_LT_LIABS","FQ1 2025","FQ1 2025","Currency=USD","Period=FQ","BEST_FPERIOD_OVERRIDE=FQ","FILING_STATUS=MR","SCALING_FORMAT=MLN","Sort=A","Dates=H","DateFormat=P","Fill=—","Direction=H","UseDPDF=Y")</f>
        <v>—</v>
      </c>
      <c r="AD57" s="17" t="str" cm="1">
        <f t="array" ref="AD57">_xll.BDH("NUE US Equity","BS_PENSIONS_LT_LIABS","FQ2 2025","FQ2 2025","Currency=USD","Period=FQ","BEST_FPERIOD_OVERRIDE=FQ","FILING_STATUS=MR","SCALING_FORMAT=MLN","Sort=A","Dates=H","DateFormat=P","Fill=—","Direction=H","UseDPDF=Y")</f>
        <v>—</v>
      </c>
      <c r="AE57" s="17" t="str" cm="1">
        <f t="array" ref="AE57">_xll.BDH("NUE US Equity","BS_PENSIONS_LT_LIABS","FQ3 2025","FQ3 2025","Currency=USD","Period=FQ","BEST_FPERIOD_OVERRIDE=FQ","FILING_STATUS=MR","SCALING_FORMAT=MLN","Sort=A","Dates=H","DateFormat=P","Fill=—","Direction=H","UseDPDF=Y")</f>
        <v>—</v>
      </c>
      <c r="AF57" s="17" t="str" cm="1">
        <f t="array" ref="AF57">_xll.BDH("NUE US Equity","BS_PENSIONS_LT_LIABS","FQ4 2025","FQ4 2025","Currency=USD","Period=FQ","BEST_FPERIOD_OVERRIDE=FQ","FILING_STATUS=MR","SCALING_FORMAT=MLN","Sort=A","Dates=H","DateFormat=P","Fill=—","Direction=H","UseDPDF=Y")</f>
        <v>—</v>
      </c>
    </row>
    <row r="58" spans="1:32" x14ac:dyDescent="0.25">
      <c r="A58" s="11" t="s">
        <v>163</v>
      </c>
      <c r="B58" s="11" t="s">
        <v>164</v>
      </c>
      <c r="C58" s="17" t="str" cm="1">
        <f t="array" ref="C58">_xll.BDH("NUE US Equity","BS_OPRB_LT_LIABS","FQ3 2018","FQ3 2018","Currency=USD","Period=FQ","BEST_FPERIOD_OVERRIDE=FQ","FILING_STATUS=MR","SCALING_FORMAT=MLN","Sort=A","Dates=H","DateFormat=P","Fill=—","Direction=H","UseDPDF=Y")</f>
        <v>—</v>
      </c>
      <c r="D58" s="17" cm="1">
        <f t="array" ref="D58">_xll.BDH("NUE US Equity","BS_OPRB_LT_LIABS","FQ4 2018","FQ4 2018","Currency=USD","Period=FQ","BEST_FPERIOD_OVERRIDE=FQ","FILING_STATUS=MR","SCALING_FORMAT=MLN","Sort=A","Dates=H","DateFormat=P","Fill=—","Direction=H","UseDPDF=Y")</f>
        <v>0</v>
      </c>
      <c r="E58" s="17" t="str" cm="1">
        <f t="array" ref="E58">_xll.BDH("NUE US Equity","BS_OPRB_LT_LIABS","FQ1 2019","FQ1 2019","Currency=USD","Period=FQ","BEST_FPERIOD_OVERRIDE=FQ","FILING_STATUS=MR","SCALING_FORMAT=MLN","Sort=A","Dates=H","DateFormat=P","Fill=—","Direction=H","UseDPDF=Y")</f>
        <v>—</v>
      </c>
      <c r="F58" s="17" t="str" cm="1">
        <f t="array" ref="F58">_xll.BDH("NUE US Equity","BS_OPRB_LT_LIABS","FQ2 2019","FQ2 2019","Currency=USD","Period=FQ","BEST_FPERIOD_OVERRIDE=FQ","FILING_STATUS=MR","SCALING_FORMAT=MLN","Sort=A","Dates=H","DateFormat=P","Fill=—","Direction=H","UseDPDF=Y")</f>
        <v>—</v>
      </c>
      <c r="G58" s="17" t="str" cm="1">
        <f t="array" ref="G58">_xll.BDH("NUE US Equity","BS_OPRB_LT_LIABS","FQ3 2019","FQ3 2019","Currency=USD","Period=FQ","BEST_FPERIOD_OVERRIDE=FQ","FILING_STATUS=MR","SCALING_FORMAT=MLN","Sort=A","Dates=H","DateFormat=P","Fill=—","Direction=H","UseDPDF=Y")</f>
        <v>—</v>
      </c>
      <c r="H58" s="17" cm="1">
        <f t="array" ref="H58">_xll.BDH("NUE US Equity","BS_OPRB_LT_LIABS","FQ4 2019","FQ4 2019","Currency=USD","Period=FQ","BEST_FPERIOD_OVERRIDE=FQ","FILING_STATUS=MR","SCALING_FORMAT=MLN","Sort=A","Dates=H","DateFormat=P","Fill=—","Direction=H","UseDPDF=Y")</f>
        <v>0</v>
      </c>
      <c r="I58" s="17" t="str" cm="1">
        <f t="array" ref="I58">_xll.BDH("NUE US Equity","BS_OPRB_LT_LIABS","FQ1 2020","FQ1 2020","Currency=USD","Period=FQ","BEST_FPERIOD_OVERRIDE=FQ","FILING_STATUS=MR","SCALING_FORMAT=MLN","Sort=A","Dates=H","DateFormat=P","Fill=—","Direction=H","UseDPDF=Y")</f>
        <v>—</v>
      </c>
      <c r="J58" s="17" t="str" cm="1">
        <f t="array" ref="J58">_xll.BDH("NUE US Equity","BS_OPRB_LT_LIABS","FQ2 2020","FQ2 2020","Currency=USD","Period=FQ","BEST_FPERIOD_OVERRIDE=FQ","FILING_STATUS=MR","SCALING_FORMAT=MLN","Sort=A","Dates=H","DateFormat=P","Fill=—","Direction=H","UseDPDF=Y")</f>
        <v>—</v>
      </c>
      <c r="K58" s="17" t="str" cm="1">
        <f t="array" ref="K58">_xll.BDH("NUE US Equity","BS_OPRB_LT_LIABS","FQ3 2020","FQ3 2020","Currency=USD","Period=FQ","BEST_FPERIOD_OVERRIDE=FQ","FILING_STATUS=MR","SCALING_FORMAT=MLN","Sort=A","Dates=H","DateFormat=P","Fill=—","Direction=H","UseDPDF=Y")</f>
        <v>—</v>
      </c>
      <c r="L58" s="17" cm="1">
        <f t="array" ref="L58">_xll.BDH("NUE US Equity","BS_OPRB_LT_LIABS","FQ4 2020","FQ4 2020","Currency=USD","Period=FQ","BEST_FPERIOD_OVERRIDE=FQ","FILING_STATUS=MR","SCALING_FORMAT=MLN","Sort=A","Dates=H","DateFormat=P","Fill=—","Direction=H","UseDPDF=Y")</f>
        <v>0</v>
      </c>
      <c r="M58" s="17" t="str" cm="1">
        <f t="array" ref="M58">_xll.BDH("NUE US Equity","BS_OPRB_LT_LIABS","FQ1 2021","FQ1 2021","Currency=USD","Period=FQ","BEST_FPERIOD_OVERRIDE=FQ","FILING_STATUS=MR","SCALING_FORMAT=MLN","Sort=A","Dates=H","DateFormat=P","Fill=—","Direction=H","UseDPDF=Y")</f>
        <v>—</v>
      </c>
      <c r="N58" s="17" t="str" cm="1">
        <f t="array" ref="N58">_xll.BDH("NUE US Equity","BS_OPRB_LT_LIABS","FQ2 2021","FQ2 2021","Currency=USD","Period=FQ","BEST_FPERIOD_OVERRIDE=FQ","FILING_STATUS=MR","SCALING_FORMAT=MLN","Sort=A","Dates=H","DateFormat=P","Fill=—","Direction=H","UseDPDF=Y")</f>
        <v>—</v>
      </c>
      <c r="O58" s="17" t="str" cm="1">
        <f t="array" ref="O58">_xll.BDH("NUE US Equity","BS_OPRB_LT_LIABS","FQ3 2021","FQ3 2021","Currency=USD","Period=FQ","BEST_FPERIOD_OVERRIDE=FQ","FILING_STATUS=MR","SCALING_FORMAT=MLN","Sort=A","Dates=H","DateFormat=P","Fill=—","Direction=H","UseDPDF=Y")</f>
        <v>—</v>
      </c>
      <c r="P58" s="17" t="str" cm="1">
        <f t="array" ref="P58">_xll.BDH("NUE US Equity","BS_OPRB_LT_LIABS","FQ4 2021","FQ4 2021","Currency=USD","Period=FQ","BEST_FPERIOD_OVERRIDE=FQ","FILING_STATUS=MR","SCALING_FORMAT=MLN","Sort=A","Dates=H","DateFormat=P","Fill=—","Direction=H","UseDPDF=Y")</f>
        <v>—</v>
      </c>
      <c r="Q58" s="17" t="str" cm="1">
        <f t="array" ref="Q58">_xll.BDH("NUE US Equity","BS_OPRB_LT_LIABS","FQ1 2022","FQ1 2022","Currency=USD","Period=FQ","BEST_FPERIOD_OVERRIDE=FQ","FILING_STATUS=MR","SCALING_FORMAT=MLN","Sort=A","Dates=H","DateFormat=P","Fill=—","Direction=H","UseDPDF=Y")</f>
        <v>—</v>
      </c>
      <c r="R58" s="17" t="str" cm="1">
        <f t="array" ref="R58">_xll.BDH("NUE US Equity","BS_OPRB_LT_LIABS","FQ2 2022","FQ2 2022","Currency=USD","Period=FQ","BEST_FPERIOD_OVERRIDE=FQ","FILING_STATUS=MR","SCALING_FORMAT=MLN","Sort=A","Dates=H","DateFormat=P","Fill=—","Direction=H","UseDPDF=Y")</f>
        <v>—</v>
      </c>
      <c r="S58" s="17" t="str" cm="1">
        <f t="array" ref="S58">_xll.BDH("NUE US Equity","BS_OPRB_LT_LIABS","FQ3 2022","FQ3 2022","Currency=USD","Period=FQ","BEST_FPERIOD_OVERRIDE=FQ","FILING_STATUS=MR","SCALING_FORMAT=MLN","Sort=A","Dates=H","DateFormat=P","Fill=—","Direction=H","UseDPDF=Y")</f>
        <v>—</v>
      </c>
      <c r="T58" s="17" t="str" cm="1">
        <f t="array" ref="T58">_xll.BDH("NUE US Equity","BS_OPRB_LT_LIABS","FQ4 2022","FQ4 2022","Currency=USD","Period=FQ","BEST_FPERIOD_OVERRIDE=FQ","FILING_STATUS=MR","SCALING_FORMAT=MLN","Sort=A","Dates=H","DateFormat=P","Fill=—","Direction=H","UseDPDF=Y")</f>
        <v>—</v>
      </c>
      <c r="U58" s="17" t="str" cm="1">
        <f t="array" ref="U58">_xll.BDH("NUE US Equity","BS_OPRB_LT_LIABS","FQ1 2023","FQ1 2023","Currency=USD","Period=FQ","BEST_FPERIOD_OVERRIDE=FQ","FILING_STATUS=MR","SCALING_FORMAT=MLN","Sort=A","Dates=H","DateFormat=P","Fill=—","Direction=H","UseDPDF=Y")</f>
        <v>—</v>
      </c>
      <c r="V58" s="17" t="str" cm="1">
        <f t="array" ref="V58">_xll.BDH("NUE US Equity","BS_OPRB_LT_LIABS","FQ2 2023","FQ2 2023","Currency=USD","Period=FQ","BEST_FPERIOD_OVERRIDE=FQ","FILING_STATUS=MR","SCALING_FORMAT=MLN","Sort=A","Dates=H","DateFormat=P","Fill=—","Direction=H","UseDPDF=Y")</f>
        <v>—</v>
      </c>
      <c r="W58" s="17" t="str" cm="1">
        <f t="array" ref="W58">_xll.BDH("NUE US Equity","BS_OPRB_LT_LIABS","FQ3 2023","FQ3 2023","Currency=USD","Period=FQ","BEST_FPERIOD_OVERRIDE=FQ","FILING_STATUS=MR","SCALING_FORMAT=MLN","Sort=A","Dates=H","DateFormat=P","Fill=—","Direction=H","UseDPDF=Y")</f>
        <v>—</v>
      </c>
      <c r="X58" s="17" t="str" cm="1">
        <f t="array" ref="X58">_xll.BDH("NUE US Equity","BS_OPRB_LT_LIABS","FQ4 2023","FQ4 2023","Currency=USD","Period=FQ","BEST_FPERIOD_OVERRIDE=FQ","FILING_STATUS=MR","SCALING_FORMAT=MLN","Sort=A","Dates=H","DateFormat=P","Fill=—","Direction=H","UseDPDF=Y")</f>
        <v>—</v>
      </c>
      <c r="Y58" s="17" t="str" cm="1">
        <f t="array" ref="Y58">_xll.BDH("NUE US Equity","BS_OPRB_LT_LIABS","FQ1 2024","FQ1 2024","Currency=USD","Period=FQ","BEST_FPERIOD_OVERRIDE=FQ","FILING_STATUS=MR","SCALING_FORMAT=MLN","Sort=A","Dates=H","DateFormat=P","Fill=—","Direction=H","UseDPDF=Y")</f>
        <v>—</v>
      </c>
      <c r="Z58" s="17" t="str" cm="1">
        <f t="array" ref="Z58">_xll.BDH("NUE US Equity","BS_OPRB_LT_LIABS","FQ2 2024","FQ2 2024","Currency=USD","Period=FQ","BEST_FPERIOD_OVERRIDE=FQ","FILING_STATUS=MR","SCALING_FORMAT=MLN","Sort=A","Dates=H","DateFormat=P","Fill=—","Direction=H","UseDPDF=Y")</f>
        <v>—</v>
      </c>
      <c r="AA58" s="17" t="str" cm="1">
        <f t="array" ref="AA58">_xll.BDH("NUE US Equity","BS_OPRB_LT_LIABS","FQ3 2024","FQ3 2024","Currency=USD","Period=FQ","BEST_FPERIOD_OVERRIDE=FQ","FILING_STATUS=MR","SCALING_FORMAT=MLN","Sort=A","Dates=H","DateFormat=P","Fill=—","Direction=H","UseDPDF=Y")</f>
        <v>—</v>
      </c>
      <c r="AB58" s="17" t="str" cm="1">
        <f t="array" ref="AB58">_xll.BDH("NUE US Equity","BS_OPRB_LT_LIABS","FQ4 2024","FQ4 2024","Currency=USD","Period=FQ","BEST_FPERIOD_OVERRIDE=FQ","FILING_STATUS=MR","SCALING_FORMAT=MLN","Sort=A","Dates=H","DateFormat=P","Fill=—","Direction=H","UseDPDF=Y")</f>
        <v>—</v>
      </c>
      <c r="AC58" s="17" t="str" cm="1">
        <f t="array" ref="AC58">_xll.BDH("NUE US Equity","BS_OPRB_LT_LIABS","FQ1 2025","FQ1 2025","Currency=USD","Period=FQ","BEST_FPERIOD_OVERRIDE=FQ","FILING_STATUS=MR","SCALING_FORMAT=MLN","Sort=A","Dates=H","DateFormat=P","Fill=—","Direction=H","UseDPDF=Y")</f>
        <v>—</v>
      </c>
      <c r="AD58" s="17" t="str" cm="1">
        <f t="array" ref="AD58">_xll.BDH("NUE US Equity","BS_OPRB_LT_LIABS","FQ2 2025","FQ2 2025","Currency=USD","Period=FQ","BEST_FPERIOD_OVERRIDE=FQ","FILING_STATUS=MR","SCALING_FORMAT=MLN","Sort=A","Dates=H","DateFormat=P","Fill=—","Direction=H","UseDPDF=Y")</f>
        <v>—</v>
      </c>
      <c r="AE58" s="17" t="str" cm="1">
        <f t="array" ref="AE58">_xll.BDH("NUE US Equity","BS_OPRB_LT_LIABS","FQ3 2025","FQ3 2025","Currency=USD","Period=FQ","BEST_FPERIOD_OVERRIDE=FQ","FILING_STATUS=MR","SCALING_FORMAT=MLN","Sort=A","Dates=H","DateFormat=P","Fill=—","Direction=H","UseDPDF=Y")</f>
        <v>—</v>
      </c>
      <c r="AF58" s="17" t="str" cm="1">
        <f t="array" ref="AF58">_xll.BDH("NUE US Equity","BS_OPRB_LT_LIABS","FQ4 2025","FQ4 2025","Currency=USD","Period=FQ","BEST_FPERIOD_OVERRIDE=FQ","FILING_STATUS=MR","SCALING_FORMAT=MLN","Sort=A","Dates=H","DateFormat=P","Fill=—","Direction=H","UseDPDF=Y")</f>
        <v>—</v>
      </c>
    </row>
    <row r="59" spans="1:32" x14ac:dyDescent="0.25">
      <c r="A59" s="10" t="s">
        <v>137</v>
      </c>
      <c r="B59" s="10" t="s">
        <v>165</v>
      </c>
      <c r="C59" s="13" t="str" cm="1">
        <f t="array" ref="C59">_xll.BDH("NUE US Equity","LT_DEFERRED_REVENUE","FQ3 2018","FQ3 2018","Currency=USD","Period=FQ","BEST_FPERIOD_OVERRIDE=FQ","FILING_STATUS=MR","SCALING_FORMAT=MLN","Sort=A","Dates=H","DateFormat=P","Fill=—","Direction=H","UseDPDF=Y")</f>
        <v>—</v>
      </c>
      <c r="D59" s="13" cm="1">
        <f t="array" ref="D59">_xll.BDH("NUE US Equity","LT_DEFERRED_REVENUE","FQ4 2018","FQ4 2018","Currency=USD","Period=FQ","BEST_FPERIOD_OVERRIDE=FQ","FILING_STATUS=MR","SCALING_FORMAT=MLN","Sort=A","Dates=H","DateFormat=P","Fill=—","Direction=H","UseDPDF=Y")</f>
        <v>0</v>
      </c>
      <c r="E59" s="13" t="str" cm="1">
        <f t="array" ref="E59">_xll.BDH("NUE US Equity","LT_DEFERRED_REVENUE","FQ1 2019","FQ1 2019","Currency=USD","Period=FQ","BEST_FPERIOD_OVERRIDE=FQ","FILING_STATUS=MR","SCALING_FORMAT=MLN","Sort=A","Dates=H","DateFormat=P","Fill=—","Direction=H","UseDPDF=Y")</f>
        <v>—</v>
      </c>
      <c r="F59" s="13" t="str" cm="1">
        <f t="array" ref="F59">_xll.BDH("NUE US Equity","LT_DEFERRED_REVENUE","FQ2 2019","FQ2 2019","Currency=USD","Period=FQ","BEST_FPERIOD_OVERRIDE=FQ","FILING_STATUS=MR","SCALING_FORMAT=MLN","Sort=A","Dates=H","DateFormat=P","Fill=—","Direction=H","UseDPDF=Y")</f>
        <v>—</v>
      </c>
      <c r="G59" s="13" t="str" cm="1">
        <f t="array" ref="G59">_xll.BDH("NUE US Equity","LT_DEFERRED_REVENUE","FQ3 2019","FQ3 2019","Currency=USD","Period=FQ","BEST_FPERIOD_OVERRIDE=FQ","FILING_STATUS=MR","SCALING_FORMAT=MLN","Sort=A","Dates=H","DateFormat=P","Fill=—","Direction=H","UseDPDF=Y")</f>
        <v>—</v>
      </c>
      <c r="H59" s="13" cm="1">
        <f t="array" ref="H59">_xll.BDH("NUE US Equity","LT_DEFERRED_REVENUE","FQ4 2019","FQ4 2019","Currency=USD","Period=FQ","BEST_FPERIOD_OVERRIDE=FQ","FILING_STATUS=MR","SCALING_FORMAT=MLN","Sort=A","Dates=H","DateFormat=P","Fill=—","Direction=H","UseDPDF=Y")</f>
        <v>0</v>
      </c>
      <c r="I59" s="13" t="str" cm="1">
        <f t="array" ref="I59">_xll.BDH("NUE US Equity","LT_DEFERRED_REVENUE","FQ1 2020","FQ1 2020","Currency=USD","Period=FQ","BEST_FPERIOD_OVERRIDE=FQ","FILING_STATUS=MR","SCALING_FORMAT=MLN","Sort=A","Dates=H","DateFormat=P","Fill=—","Direction=H","UseDPDF=Y")</f>
        <v>—</v>
      </c>
      <c r="J59" s="13" t="str" cm="1">
        <f t="array" ref="J59">_xll.BDH("NUE US Equity","LT_DEFERRED_REVENUE","FQ2 2020","FQ2 2020","Currency=USD","Period=FQ","BEST_FPERIOD_OVERRIDE=FQ","FILING_STATUS=MR","SCALING_FORMAT=MLN","Sort=A","Dates=H","DateFormat=P","Fill=—","Direction=H","UseDPDF=Y")</f>
        <v>—</v>
      </c>
      <c r="K59" s="13" t="str" cm="1">
        <f t="array" ref="K59">_xll.BDH("NUE US Equity","LT_DEFERRED_REVENUE","FQ3 2020","FQ3 2020","Currency=USD","Period=FQ","BEST_FPERIOD_OVERRIDE=FQ","FILING_STATUS=MR","SCALING_FORMAT=MLN","Sort=A","Dates=H","DateFormat=P","Fill=—","Direction=H","UseDPDF=Y")</f>
        <v>—</v>
      </c>
      <c r="L59" s="13" cm="1">
        <f t="array" ref="L59">_xll.BDH("NUE US Equity","LT_DEFERRED_REVENUE","FQ4 2020","FQ4 2020","Currency=USD","Period=FQ","BEST_FPERIOD_OVERRIDE=FQ","FILING_STATUS=MR","SCALING_FORMAT=MLN","Sort=A","Dates=H","DateFormat=P","Fill=—","Direction=H","UseDPDF=Y")</f>
        <v>0</v>
      </c>
      <c r="M59" s="13" t="str" cm="1">
        <f t="array" ref="M59">_xll.BDH("NUE US Equity","LT_DEFERRED_REVENUE","FQ1 2021","FQ1 2021","Currency=USD","Period=FQ","BEST_FPERIOD_OVERRIDE=FQ","FILING_STATUS=MR","SCALING_FORMAT=MLN","Sort=A","Dates=H","DateFormat=P","Fill=—","Direction=H","UseDPDF=Y")</f>
        <v>—</v>
      </c>
      <c r="N59" s="13" t="str" cm="1">
        <f t="array" ref="N59">_xll.BDH("NUE US Equity","LT_DEFERRED_REVENUE","FQ2 2021","FQ2 2021","Currency=USD","Period=FQ","BEST_FPERIOD_OVERRIDE=FQ","FILING_STATUS=MR","SCALING_FORMAT=MLN","Sort=A","Dates=H","DateFormat=P","Fill=—","Direction=H","UseDPDF=Y")</f>
        <v>—</v>
      </c>
      <c r="O59" s="13" t="str" cm="1">
        <f t="array" ref="O59">_xll.BDH("NUE US Equity","LT_DEFERRED_REVENUE","FQ3 2021","FQ3 2021","Currency=USD","Period=FQ","BEST_FPERIOD_OVERRIDE=FQ","FILING_STATUS=MR","SCALING_FORMAT=MLN","Sort=A","Dates=H","DateFormat=P","Fill=—","Direction=H","UseDPDF=Y")</f>
        <v>—</v>
      </c>
      <c r="P59" s="13" t="str" cm="1">
        <f t="array" ref="P59">_xll.BDH("NUE US Equity","LT_DEFERRED_REVENUE","FQ4 2021","FQ4 2021","Currency=USD","Period=FQ","BEST_FPERIOD_OVERRIDE=FQ","FILING_STATUS=MR","SCALING_FORMAT=MLN","Sort=A","Dates=H","DateFormat=P","Fill=—","Direction=H","UseDPDF=Y")</f>
        <v>—</v>
      </c>
      <c r="Q59" s="13" t="str" cm="1">
        <f t="array" ref="Q59">_xll.BDH("NUE US Equity","LT_DEFERRED_REVENUE","FQ1 2022","FQ1 2022","Currency=USD","Period=FQ","BEST_FPERIOD_OVERRIDE=FQ","FILING_STATUS=MR","SCALING_FORMAT=MLN","Sort=A","Dates=H","DateFormat=P","Fill=—","Direction=H","UseDPDF=Y")</f>
        <v>—</v>
      </c>
      <c r="R59" s="13" t="str" cm="1">
        <f t="array" ref="R59">_xll.BDH("NUE US Equity","LT_DEFERRED_REVENUE","FQ2 2022","FQ2 2022","Currency=USD","Period=FQ","BEST_FPERIOD_OVERRIDE=FQ","FILING_STATUS=MR","SCALING_FORMAT=MLN","Sort=A","Dates=H","DateFormat=P","Fill=—","Direction=H","UseDPDF=Y")</f>
        <v>—</v>
      </c>
      <c r="S59" s="13" t="str" cm="1">
        <f t="array" ref="S59">_xll.BDH("NUE US Equity","LT_DEFERRED_REVENUE","FQ3 2022","FQ3 2022","Currency=USD","Period=FQ","BEST_FPERIOD_OVERRIDE=FQ","FILING_STATUS=MR","SCALING_FORMAT=MLN","Sort=A","Dates=H","DateFormat=P","Fill=—","Direction=H","UseDPDF=Y")</f>
        <v>—</v>
      </c>
      <c r="T59" s="13" t="str" cm="1">
        <f t="array" ref="T59">_xll.BDH("NUE US Equity","LT_DEFERRED_REVENUE","FQ4 2022","FQ4 2022","Currency=USD","Period=FQ","BEST_FPERIOD_OVERRIDE=FQ","FILING_STATUS=MR","SCALING_FORMAT=MLN","Sort=A","Dates=H","DateFormat=P","Fill=—","Direction=H","UseDPDF=Y")</f>
        <v>—</v>
      </c>
      <c r="U59" s="13" t="str" cm="1">
        <f t="array" ref="U59">_xll.BDH("NUE US Equity","LT_DEFERRED_REVENUE","FQ1 2023","FQ1 2023","Currency=USD","Period=FQ","BEST_FPERIOD_OVERRIDE=FQ","FILING_STATUS=MR","SCALING_FORMAT=MLN","Sort=A","Dates=H","DateFormat=P","Fill=—","Direction=H","UseDPDF=Y")</f>
        <v>—</v>
      </c>
      <c r="V59" s="13" t="str" cm="1">
        <f t="array" ref="V59">_xll.BDH("NUE US Equity","LT_DEFERRED_REVENUE","FQ2 2023","FQ2 2023","Currency=USD","Period=FQ","BEST_FPERIOD_OVERRIDE=FQ","FILING_STATUS=MR","SCALING_FORMAT=MLN","Sort=A","Dates=H","DateFormat=P","Fill=—","Direction=H","UseDPDF=Y")</f>
        <v>—</v>
      </c>
      <c r="W59" s="13" t="str" cm="1">
        <f t="array" ref="W59">_xll.BDH("NUE US Equity","LT_DEFERRED_REVENUE","FQ3 2023","FQ3 2023","Currency=USD","Period=FQ","BEST_FPERIOD_OVERRIDE=FQ","FILING_STATUS=MR","SCALING_FORMAT=MLN","Sort=A","Dates=H","DateFormat=P","Fill=—","Direction=H","UseDPDF=Y")</f>
        <v>—</v>
      </c>
      <c r="X59" s="13" cm="1">
        <f t="array" ref="X59">_xll.BDH("NUE US Equity","LT_DEFERRED_REVENUE","FQ4 2023","FQ4 2023","Currency=USD","Period=FQ","BEST_FPERIOD_OVERRIDE=FQ","FILING_STATUS=MR","SCALING_FORMAT=MLN","Sort=A","Dates=H","DateFormat=P","Fill=—","Direction=H","UseDPDF=Y")</f>
        <v>0</v>
      </c>
      <c r="Y59" s="13" t="str" cm="1">
        <f t="array" ref="Y59">_xll.BDH("NUE US Equity","LT_DEFERRED_REVENUE","FQ1 2024","FQ1 2024","Currency=USD","Period=FQ","BEST_FPERIOD_OVERRIDE=FQ","FILING_STATUS=MR","SCALING_FORMAT=MLN","Sort=A","Dates=H","DateFormat=P","Fill=—","Direction=H","UseDPDF=Y")</f>
        <v>—</v>
      </c>
      <c r="Z59" s="13" t="str" cm="1">
        <f t="array" ref="Z59">_xll.BDH("NUE US Equity","LT_DEFERRED_REVENUE","FQ2 2024","FQ2 2024","Currency=USD","Period=FQ","BEST_FPERIOD_OVERRIDE=FQ","FILING_STATUS=MR","SCALING_FORMAT=MLN","Sort=A","Dates=H","DateFormat=P","Fill=—","Direction=H","UseDPDF=Y")</f>
        <v>—</v>
      </c>
      <c r="AA59" s="13" t="str" cm="1">
        <f t="array" ref="AA59">_xll.BDH("NUE US Equity","LT_DEFERRED_REVENUE","FQ3 2024","FQ3 2024","Currency=USD","Period=FQ","BEST_FPERIOD_OVERRIDE=FQ","FILING_STATUS=MR","SCALING_FORMAT=MLN","Sort=A","Dates=H","DateFormat=P","Fill=—","Direction=H","UseDPDF=Y")</f>
        <v>—</v>
      </c>
      <c r="AB59" s="13" cm="1">
        <f t="array" ref="AB59">_xll.BDH("NUE US Equity","LT_DEFERRED_REVENUE","FQ4 2024","FQ4 2024","Currency=USD","Period=FQ","BEST_FPERIOD_OVERRIDE=FQ","FILING_STATUS=MR","SCALING_FORMAT=MLN","Sort=A","Dates=H","DateFormat=P","Fill=—","Direction=H","UseDPDF=Y")</f>
        <v>0</v>
      </c>
      <c r="AC59" s="13" t="str" cm="1">
        <f t="array" ref="AC59">_xll.BDH("NUE US Equity","LT_DEFERRED_REVENUE","FQ1 2025","FQ1 2025","Currency=USD","Period=FQ","BEST_FPERIOD_OVERRIDE=FQ","FILING_STATUS=MR","SCALING_FORMAT=MLN","Sort=A","Dates=H","DateFormat=P","Fill=—","Direction=H","UseDPDF=Y")</f>
        <v>—</v>
      </c>
      <c r="AD59" s="13" t="str" cm="1">
        <f t="array" ref="AD59">_xll.BDH("NUE US Equity","LT_DEFERRED_REVENUE","FQ2 2025","FQ2 2025","Currency=USD","Period=FQ","BEST_FPERIOD_OVERRIDE=FQ","FILING_STATUS=MR","SCALING_FORMAT=MLN","Sort=A","Dates=H","DateFormat=P","Fill=—","Direction=H","UseDPDF=Y")</f>
        <v>—</v>
      </c>
      <c r="AE59" s="13" t="str" cm="1">
        <f t="array" ref="AE59">_xll.BDH("NUE US Equity","LT_DEFERRED_REVENUE","FQ3 2025","FQ3 2025","Currency=USD","Period=FQ","BEST_FPERIOD_OVERRIDE=FQ","FILING_STATUS=MR","SCALING_FORMAT=MLN","Sort=A","Dates=H","DateFormat=P","Fill=—","Direction=H","UseDPDF=Y")</f>
        <v>—</v>
      </c>
      <c r="AF59" s="13" t="str" cm="1">
        <f t="array" ref="AF59">_xll.BDH("NUE US Equity","LT_DEFERRED_REVENUE","FQ4 2025","FQ4 2025","Currency=USD","Period=FQ","BEST_FPERIOD_OVERRIDE=FQ","FILING_STATUS=MR","SCALING_FORMAT=MLN","Sort=A","Dates=H","DateFormat=P","Fill=—","Direction=H","UseDPDF=Y")</f>
        <v>—</v>
      </c>
    </row>
    <row r="60" spans="1:32" x14ac:dyDescent="0.25">
      <c r="A60" s="10" t="s">
        <v>166</v>
      </c>
      <c r="B60" s="10" t="s">
        <v>167</v>
      </c>
      <c r="C60" s="13" cm="1">
        <f t="array" ref="C60">_xll.BDH("NUE US Equity","BS_DEFERRED_TAX_LIABILITIES_LT","FQ3 2018","FQ3 2018","Currency=USD","Period=FQ","BEST_FPERIOD_OVERRIDE=FQ","FILING_STATUS=MR","SCALING_FORMAT=MLN","Sort=A","Dates=H","DateFormat=P","Fill=—","Direction=H","UseDPDF=Y")</f>
        <v>382.7</v>
      </c>
      <c r="D60" s="13" cm="1">
        <f t="array" ref="D60">_xll.BDH("NUE US Equity","BS_DEFERRED_TAX_LIABILITIES_LT","FQ4 2018","FQ4 2018","Currency=USD","Period=FQ","BEST_FPERIOD_OVERRIDE=FQ","FILING_STATUS=MR","SCALING_FORMAT=MLN","Sort=A","Dates=H","DateFormat=P","Fill=—","Direction=H","UseDPDF=Y")</f>
        <v>332</v>
      </c>
      <c r="E60" s="13" cm="1">
        <f t="array" ref="E60">_xll.BDH("NUE US Equity","BS_DEFERRED_TAX_LIABILITIES_LT","FQ1 2019","FQ1 2019","Currency=USD","Period=FQ","BEST_FPERIOD_OVERRIDE=FQ","FILING_STATUS=MR","SCALING_FORMAT=MLN","Sort=A","Dates=H","DateFormat=P","Fill=—","Direction=H","UseDPDF=Y")</f>
        <v>352.1</v>
      </c>
      <c r="F60" s="13" cm="1">
        <f t="array" ref="F60">_xll.BDH("NUE US Equity","BS_DEFERRED_TAX_LIABILITIES_LT","FQ2 2019","FQ2 2019","Currency=USD","Period=FQ","BEST_FPERIOD_OVERRIDE=FQ","FILING_STATUS=MR","SCALING_FORMAT=MLN","Sort=A","Dates=H","DateFormat=P","Fill=—","Direction=H","UseDPDF=Y")</f>
        <v>387.9</v>
      </c>
      <c r="G60" s="13" cm="1">
        <f t="array" ref="G60">_xll.BDH("NUE US Equity","BS_DEFERRED_TAX_LIABILITIES_LT","FQ3 2019","FQ3 2019","Currency=USD","Period=FQ","BEST_FPERIOD_OVERRIDE=FQ","FILING_STATUS=MR","SCALING_FORMAT=MLN","Sort=A","Dates=H","DateFormat=P","Fill=—","Direction=H","UseDPDF=Y")</f>
        <v>407</v>
      </c>
      <c r="H60" s="13" cm="1">
        <f t="array" ref="H60">_xll.BDH("NUE US Equity","BS_DEFERRED_TAX_LIABILITIES_LT","FQ4 2019","FQ4 2019","Currency=USD","Period=FQ","BEST_FPERIOD_OVERRIDE=FQ","FILING_STATUS=MR","SCALING_FORMAT=MLN","Sort=A","Dates=H","DateFormat=P","Fill=—","Direction=H","UseDPDF=Y")</f>
        <v>431</v>
      </c>
      <c r="I60" s="13" cm="1">
        <f t="array" ref="I60">_xll.BDH("NUE US Equity","BS_DEFERRED_TAX_LIABILITIES_LT","FQ1 2020","FQ1 2020","Currency=USD","Period=FQ","BEST_FPERIOD_OVERRIDE=FQ","FILING_STATUS=MR","SCALING_FORMAT=MLN","Sort=A","Dates=H","DateFormat=P","Fill=—","Direction=H","UseDPDF=Y")</f>
        <v>446.5</v>
      </c>
      <c r="J60" s="13" cm="1">
        <f t="array" ref="J60">_xll.BDH("NUE US Equity","BS_DEFERRED_TAX_LIABILITIES_LT","FQ2 2020","FQ2 2020","Currency=USD","Period=FQ","BEST_FPERIOD_OVERRIDE=FQ","FILING_STATUS=MR","SCALING_FORMAT=MLN","Sort=A","Dates=H","DateFormat=P","Fill=—","Direction=H","UseDPDF=Y")</f>
        <v>522.5</v>
      </c>
      <c r="K60" s="13" cm="1">
        <f t="array" ref="K60">_xll.BDH("NUE US Equity","BS_DEFERRED_TAX_LIABILITIES_LT","FQ3 2020","FQ3 2020","Currency=USD","Period=FQ","BEST_FPERIOD_OVERRIDE=FQ","FILING_STATUS=MR","SCALING_FORMAT=MLN","Sort=A","Dates=H","DateFormat=P","Fill=—","Direction=H","UseDPDF=Y")</f>
        <v>575.20000000000005</v>
      </c>
      <c r="L60" s="13" cm="1">
        <f t="array" ref="L60">_xll.BDH("NUE US Equity","BS_DEFERRED_TAX_LIABILITIES_LT","FQ4 2020","FQ4 2020","Currency=USD","Period=FQ","BEST_FPERIOD_OVERRIDE=FQ","FILING_STATUS=MR","SCALING_FORMAT=MLN","Sort=A","Dates=H","DateFormat=P","Fill=—","Direction=H","UseDPDF=Y")</f>
        <v>596.4</v>
      </c>
      <c r="M60" s="13" cm="1">
        <f t="array" ref="M60">_xll.BDH("NUE US Equity","BS_DEFERRED_TAX_LIABILITIES_LT","FQ1 2021","FQ1 2021","Currency=USD","Period=FQ","BEST_FPERIOD_OVERRIDE=FQ","FILING_STATUS=MR","SCALING_FORMAT=MLN","Sort=A","Dates=H","DateFormat=P","Fill=—","Direction=H","UseDPDF=Y")</f>
        <v>659.8</v>
      </c>
      <c r="N60" s="13" cm="1">
        <f t="array" ref="N60">_xll.BDH("NUE US Equity","BS_DEFERRED_TAX_LIABILITIES_LT","FQ2 2021","FQ2 2021","Currency=USD","Period=FQ","BEST_FPERIOD_OVERRIDE=FQ","FILING_STATUS=MR","SCALING_FORMAT=MLN","Sort=A","Dates=H","DateFormat=P","Fill=—","Direction=H","UseDPDF=Y")</f>
        <v>701.9</v>
      </c>
      <c r="O60" s="13" cm="1">
        <f t="array" ref="O60">_xll.BDH("NUE US Equity","BS_DEFERRED_TAX_LIABILITIES_LT","FQ3 2021","FQ3 2021","Currency=USD","Period=FQ","BEST_FPERIOD_OVERRIDE=FQ","FILING_STATUS=MR","SCALING_FORMAT=MLN","Sort=A","Dates=H","DateFormat=P","Fill=—","Direction=H","UseDPDF=Y")</f>
        <v>771.4</v>
      </c>
      <c r="P60" s="13" cm="1">
        <f t="array" ref="P60">_xll.BDH("NUE US Equity","BS_DEFERRED_TAX_LIABILITIES_LT","FQ4 2021","FQ4 2021","Currency=USD","Period=FQ","BEST_FPERIOD_OVERRIDE=FQ","FILING_STATUS=MR","SCALING_FORMAT=MLN","Sort=A","Dates=H","DateFormat=P","Fill=—","Direction=H","UseDPDF=Y")</f>
        <v>610.29999999999995</v>
      </c>
      <c r="Q60" s="13" cm="1">
        <f t="array" ref="Q60">_xll.BDH("NUE US Equity","BS_DEFERRED_TAX_LIABILITIES_LT","FQ1 2022","FQ1 2022","Currency=USD","Period=FQ","BEST_FPERIOD_OVERRIDE=FQ","FILING_STATUS=MR","SCALING_FORMAT=MLN","Sort=A","Dates=H","DateFormat=P","Fill=—","Direction=H","UseDPDF=Y")</f>
        <v>740.4</v>
      </c>
      <c r="R60" s="13" cm="1">
        <f t="array" ref="R60">_xll.BDH("NUE US Equity","BS_DEFERRED_TAX_LIABILITIES_LT","FQ2 2022","FQ2 2022","Currency=USD","Period=FQ","BEST_FPERIOD_OVERRIDE=FQ","FILING_STATUS=MR","SCALING_FORMAT=MLN","Sort=A","Dates=H","DateFormat=P","Fill=—","Direction=H","UseDPDF=Y")</f>
        <v>1300</v>
      </c>
      <c r="S60" s="13" cm="1">
        <f t="array" ref="S60">_xll.BDH("NUE US Equity","BS_DEFERRED_TAX_LIABILITIES_LT","FQ3 2022","FQ3 2022","Currency=USD","Period=FQ","BEST_FPERIOD_OVERRIDE=FQ","FILING_STATUS=MR","SCALING_FORMAT=MLN","Sort=A","Dates=H","DateFormat=P","Fill=—","Direction=H","UseDPDF=Y")</f>
        <v>1300</v>
      </c>
      <c r="T60" s="13" cm="1">
        <f t="array" ref="T60">_xll.BDH("NUE US Equity","BS_DEFERRED_TAX_LIABILITIES_LT","FQ4 2022","FQ4 2022","Currency=USD","Period=FQ","BEST_FPERIOD_OVERRIDE=FQ","FILING_STATUS=MR","SCALING_FORMAT=MLN","Sort=A","Dates=H","DateFormat=P","Fill=—","Direction=H","UseDPDF=Y")</f>
        <v>1300</v>
      </c>
      <c r="U60" s="13" cm="1">
        <f t="array" ref="U60">_xll.BDH("NUE US Equity","BS_DEFERRED_TAX_LIABILITIES_LT","FQ1 2023","FQ1 2023","Currency=USD","Period=FQ","BEST_FPERIOD_OVERRIDE=FQ","FILING_STATUS=MR","SCALING_FORMAT=MLN","Sort=A","Dates=H","DateFormat=P","Fill=—","Direction=H","UseDPDF=Y")</f>
        <v>1260</v>
      </c>
      <c r="V60" s="13" cm="1">
        <f t="array" ref="V60">_xll.BDH("NUE US Equity","BS_DEFERRED_TAX_LIABILITIES_LT","FQ2 2023","FQ2 2023","Currency=USD","Period=FQ","BEST_FPERIOD_OVERRIDE=FQ","FILING_STATUS=MR","SCALING_FORMAT=MLN","Sort=A","Dates=H","DateFormat=P","Fill=—","Direction=H","UseDPDF=Y")</f>
        <v>1240</v>
      </c>
      <c r="W60" s="13" cm="1">
        <f t="array" ref="W60">_xll.BDH("NUE US Equity","BS_DEFERRED_TAX_LIABILITIES_LT","FQ3 2023","FQ3 2023","Currency=USD","Period=FQ","BEST_FPERIOD_OVERRIDE=FQ","FILING_STATUS=MR","SCALING_FORMAT=MLN","Sort=A","Dates=H","DateFormat=P","Fill=—","Direction=H","UseDPDF=Y")</f>
        <v>1300</v>
      </c>
      <c r="X60" s="13" cm="1">
        <f t="array" ref="X60">_xll.BDH("NUE US Equity","BS_DEFERRED_TAX_LIABILITIES_LT","FQ4 2023","FQ4 2023","Currency=USD","Period=FQ","BEST_FPERIOD_OVERRIDE=FQ","FILING_STATUS=MR","SCALING_FORMAT=MLN","Sort=A","Dates=H","DateFormat=P","Fill=—","Direction=H","UseDPDF=Y")</f>
        <v>1330</v>
      </c>
      <c r="Y60" s="13" cm="1">
        <f t="array" ref="Y60">_xll.BDH("NUE US Equity","BS_DEFERRED_TAX_LIABILITIES_LT","FQ1 2024","FQ1 2024","Currency=USD","Period=FQ","BEST_FPERIOD_OVERRIDE=FQ","FILING_STATUS=MR","SCALING_FORMAT=MLN","Sort=A","Dates=H","DateFormat=P","Fill=—","Direction=H","UseDPDF=Y")</f>
        <v>1290</v>
      </c>
      <c r="Z60" s="13" cm="1">
        <f t="array" ref="Z60">_xll.BDH("NUE US Equity","BS_DEFERRED_TAX_LIABILITIES_LT","FQ2 2024","FQ2 2024","Currency=USD","Period=FQ","BEST_FPERIOD_OVERRIDE=FQ","FILING_STATUS=MR","SCALING_FORMAT=MLN","Sort=A","Dates=H","DateFormat=P","Fill=—","Direction=H","UseDPDF=Y")</f>
        <v>1260</v>
      </c>
      <c r="AA60" s="13" cm="1">
        <f t="array" ref="AA60">_xll.BDH("NUE US Equity","BS_DEFERRED_TAX_LIABILITIES_LT","FQ3 2024","FQ3 2024","Currency=USD","Period=FQ","BEST_FPERIOD_OVERRIDE=FQ","FILING_STATUS=MR","SCALING_FORMAT=MLN","Sort=A","Dates=H","DateFormat=P","Fill=—","Direction=H","UseDPDF=Y")</f>
        <v>1250</v>
      </c>
      <c r="AB60" s="13" cm="1">
        <f t="array" ref="AB60">_xll.BDH("NUE US Equity","BS_DEFERRED_TAX_LIABILITIES_LT","FQ4 2024","FQ4 2024","Currency=USD","Period=FQ","BEST_FPERIOD_OVERRIDE=FQ","FILING_STATUS=MR","SCALING_FORMAT=MLN","Sort=A","Dates=H","DateFormat=P","Fill=—","Direction=H","UseDPDF=Y")</f>
        <v>1240</v>
      </c>
      <c r="AC60" s="13" cm="1">
        <f t="array" ref="AC60">_xll.BDH("NUE US Equity","BS_DEFERRED_TAX_LIABILITIES_LT","FQ1 2025","FQ1 2025","Currency=USD","Period=FQ","BEST_FPERIOD_OVERRIDE=FQ","FILING_STATUS=MR","SCALING_FORMAT=MLN","Sort=A","Dates=H","DateFormat=P","Fill=—","Direction=H","UseDPDF=Y")</f>
        <v>1210</v>
      </c>
      <c r="AD60" s="13" cm="1">
        <f t="array" ref="AD60">_xll.BDH("NUE US Equity","BS_DEFERRED_TAX_LIABILITIES_LT","FQ2 2025","FQ2 2025","Currency=USD","Period=FQ","BEST_FPERIOD_OVERRIDE=FQ","FILING_STATUS=MR","SCALING_FORMAT=MLN","Sort=A","Dates=H","DateFormat=P","Fill=—","Direction=H","UseDPDF=Y")</f>
        <v>1210</v>
      </c>
      <c r="AE60" s="13" cm="1">
        <f t="array" ref="AE60">_xll.BDH("NUE US Equity","BS_DEFERRED_TAX_LIABILITIES_LT","FQ3 2025","FQ3 2025","Currency=USD","Period=FQ","BEST_FPERIOD_OVERRIDE=FQ","FILING_STATUS=MR","SCALING_FORMAT=MLN","Sort=A","Dates=H","DateFormat=P","Fill=—","Direction=H","UseDPDF=Y")</f>
        <v>1230</v>
      </c>
      <c r="AF60" s="13" t="str" cm="1">
        <f t="array" ref="AF60">_xll.BDH("NUE US Equity","BS_DEFERRED_TAX_LIABILITIES_LT","FQ4 2025","FQ4 2025","Currency=USD","Period=FQ","BEST_FPERIOD_OVERRIDE=FQ","FILING_STATUS=MR","SCALING_FORMAT=MLN","Sort=A","Dates=H","DateFormat=P","Fill=—","Direction=H","UseDPDF=Y")</f>
        <v>—</v>
      </c>
    </row>
    <row r="61" spans="1:32" x14ac:dyDescent="0.25">
      <c r="A61" s="10" t="s">
        <v>139</v>
      </c>
      <c r="B61" s="10" t="s">
        <v>168</v>
      </c>
      <c r="C61" s="13" t="str" cm="1">
        <f t="array" ref="C61">_xll.BDH("NUE US Equity","BS_DERIV_HEDGING_LIAB_LT","FQ3 2018","FQ3 2018","Currency=USD","Period=FQ","BEST_FPERIOD_OVERRIDE=FQ","FILING_STATUS=MR","SCALING_FORMAT=MLN","Sort=A","Dates=H","DateFormat=P","Fill=—","Direction=H","UseDPDF=Y")</f>
        <v>—</v>
      </c>
      <c r="D61" s="13" cm="1">
        <f t="array" ref="D61">_xll.BDH("NUE US Equity","BS_DERIV_HEDGING_LIAB_LT","FQ4 2018","FQ4 2018","Currency=USD","Period=FQ","BEST_FPERIOD_OVERRIDE=FQ","FILING_STATUS=MR","SCALING_FORMAT=MLN","Sort=A","Dates=H","DateFormat=P","Fill=—","Direction=H","UseDPDF=Y")</f>
        <v>0</v>
      </c>
      <c r="E61" s="13" t="str" cm="1">
        <f t="array" ref="E61">_xll.BDH("NUE US Equity","BS_DERIV_HEDGING_LIAB_LT","FQ1 2019","FQ1 2019","Currency=USD","Period=FQ","BEST_FPERIOD_OVERRIDE=FQ","FILING_STATUS=MR","SCALING_FORMAT=MLN","Sort=A","Dates=H","DateFormat=P","Fill=—","Direction=H","UseDPDF=Y")</f>
        <v>—</v>
      </c>
      <c r="F61" s="13" t="str" cm="1">
        <f t="array" ref="F61">_xll.BDH("NUE US Equity","BS_DERIV_HEDGING_LIAB_LT","FQ2 2019","FQ2 2019","Currency=USD","Period=FQ","BEST_FPERIOD_OVERRIDE=FQ","FILING_STATUS=MR","SCALING_FORMAT=MLN","Sort=A","Dates=H","DateFormat=P","Fill=—","Direction=H","UseDPDF=Y")</f>
        <v>—</v>
      </c>
      <c r="G61" s="13" t="str" cm="1">
        <f t="array" ref="G61">_xll.BDH("NUE US Equity","BS_DERIV_HEDGING_LIAB_LT","FQ3 2019","FQ3 2019","Currency=USD","Period=FQ","BEST_FPERIOD_OVERRIDE=FQ","FILING_STATUS=MR","SCALING_FORMAT=MLN","Sort=A","Dates=H","DateFormat=P","Fill=—","Direction=H","UseDPDF=Y")</f>
        <v>—</v>
      </c>
      <c r="H61" s="13" cm="1">
        <f t="array" ref="H61">_xll.BDH("NUE US Equity","BS_DERIV_HEDGING_LIAB_LT","FQ4 2019","FQ4 2019","Currency=USD","Period=FQ","BEST_FPERIOD_OVERRIDE=FQ","FILING_STATUS=MR","SCALING_FORMAT=MLN","Sort=A","Dates=H","DateFormat=P","Fill=—","Direction=H","UseDPDF=Y")</f>
        <v>0</v>
      </c>
      <c r="I61" s="13" t="str" cm="1">
        <f t="array" ref="I61">_xll.BDH("NUE US Equity","BS_DERIV_HEDGING_LIAB_LT","FQ1 2020","FQ1 2020","Currency=USD","Period=FQ","BEST_FPERIOD_OVERRIDE=FQ","FILING_STATUS=MR","SCALING_FORMAT=MLN","Sort=A","Dates=H","DateFormat=P","Fill=—","Direction=H","UseDPDF=Y")</f>
        <v>—</v>
      </c>
      <c r="J61" s="13" t="str" cm="1">
        <f t="array" ref="J61">_xll.BDH("NUE US Equity","BS_DERIV_HEDGING_LIAB_LT","FQ2 2020","FQ2 2020","Currency=USD","Period=FQ","BEST_FPERIOD_OVERRIDE=FQ","FILING_STATUS=MR","SCALING_FORMAT=MLN","Sort=A","Dates=H","DateFormat=P","Fill=—","Direction=H","UseDPDF=Y")</f>
        <v>—</v>
      </c>
      <c r="K61" s="13" t="str" cm="1">
        <f t="array" ref="K61">_xll.BDH("NUE US Equity","BS_DERIV_HEDGING_LIAB_LT","FQ3 2020","FQ3 2020","Currency=USD","Period=FQ","BEST_FPERIOD_OVERRIDE=FQ","FILING_STATUS=MR","SCALING_FORMAT=MLN","Sort=A","Dates=H","DateFormat=P","Fill=—","Direction=H","UseDPDF=Y")</f>
        <v>—</v>
      </c>
      <c r="L61" s="13" cm="1">
        <f t="array" ref="L61">_xll.BDH("NUE US Equity","BS_DERIV_HEDGING_LIAB_LT","FQ4 2020","FQ4 2020","Currency=USD","Period=FQ","BEST_FPERIOD_OVERRIDE=FQ","FILING_STATUS=MR","SCALING_FORMAT=MLN","Sort=A","Dates=H","DateFormat=P","Fill=—","Direction=H","UseDPDF=Y")</f>
        <v>0</v>
      </c>
      <c r="M61" s="13" t="str" cm="1">
        <f t="array" ref="M61">_xll.BDH("NUE US Equity","BS_DERIV_HEDGING_LIAB_LT","FQ1 2021","FQ1 2021","Currency=USD","Period=FQ","BEST_FPERIOD_OVERRIDE=FQ","FILING_STATUS=MR","SCALING_FORMAT=MLN","Sort=A","Dates=H","DateFormat=P","Fill=—","Direction=H","UseDPDF=Y")</f>
        <v>—</v>
      </c>
      <c r="N61" s="13" t="str" cm="1">
        <f t="array" ref="N61">_xll.BDH("NUE US Equity","BS_DERIV_HEDGING_LIAB_LT","FQ2 2021","FQ2 2021","Currency=USD","Period=FQ","BEST_FPERIOD_OVERRIDE=FQ","FILING_STATUS=MR","SCALING_FORMAT=MLN","Sort=A","Dates=H","DateFormat=P","Fill=—","Direction=H","UseDPDF=Y")</f>
        <v>—</v>
      </c>
      <c r="O61" s="13" t="str" cm="1">
        <f t="array" ref="O61">_xll.BDH("NUE US Equity","BS_DERIV_HEDGING_LIAB_LT","FQ3 2021","FQ3 2021","Currency=USD","Period=FQ","BEST_FPERIOD_OVERRIDE=FQ","FILING_STATUS=MR","SCALING_FORMAT=MLN","Sort=A","Dates=H","DateFormat=P","Fill=—","Direction=H","UseDPDF=Y")</f>
        <v>—</v>
      </c>
      <c r="P61" s="13" cm="1">
        <f t="array" ref="P61">_xll.BDH("NUE US Equity","BS_DERIV_HEDGING_LIAB_LT","FQ4 2021","FQ4 2021","Currency=USD","Period=FQ","BEST_FPERIOD_OVERRIDE=FQ","FILING_STATUS=MR","SCALING_FORMAT=MLN","Sort=A","Dates=H","DateFormat=P","Fill=—","Direction=H","UseDPDF=Y")</f>
        <v>0</v>
      </c>
      <c r="Q61" s="13" t="str" cm="1">
        <f t="array" ref="Q61">_xll.BDH("NUE US Equity","BS_DERIV_HEDGING_LIAB_LT","FQ1 2022","FQ1 2022","Currency=USD","Period=FQ","BEST_FPERIOD_OVERRIDE=FQ","FILING_STATUS=MR","SCALING_FORMAT=MLN","Sort=A","Dates=H","DateFormat=P","Fill=—","Direction=H","UseDPDF=Y")</f>
        <v>—</v>
      </c>
      <c r="R61" s="13" t="str" cm="1">
        <f t="array" ref="R61">_xll.BDH("NUE US Equity","BS_DERIV_HEDGING_LIAB_LT","FQ2 2022","FQ2 2022","Currency=USD","Period=FQ","BEST_FPERIOD_OVERRIDE=FQ","FILING_STATUS=MR","SCALING_FORMAT=MLN","Sort=A","Dates=H","DateFormat=P","Fill=—","Direction=H","UseDPDF=Y")</f>
        <v>—</v>
      </c>
      <c r="S61" s="13" t="str" cm="1">
        <f t="array" ref="S61">_xll.BDH("NUE US Equity","BS_DERIV_HEDGING_LIAB_LT","FQ3 2022","FQ3 2022","Currency=USD","Period=FQ","BEST_FPERIOD_OVERRIDE=FQ","FILING_STATUS=MR","SCALING_FORMAT=MLN","Sort=A","Dates=H","DateFormat=P","Fill=—","Direction=H","UseDPDF=Y")</f>
        <v>—</v>
      </c>
      <c r="T61" s="13" t="str" cm="1">
        <f t="array" ref="T61">_xll.BDH("NUE US Equity","BS_DERIV_HEDGING_LIAB_LT","FQ4 2022","FQ4 2022","Currency=USD","Period=FQ","BEST_FPERIOD_OVERRIDE=FQ","FILING_STATUS=MR","SCALING_FORMAT=MLN","Sort=A","Dates=H","DateFormat=P","Fill=—","Direction=H","UseDPDF=Y")</f>
        <v>—</v>
      </c>
      <c r="U61" s="13" t="str" cm="1">
        <f t="array" ref="U61">_xll.BDH("NUE US Equity","BS_DERIV_HEDGING_LIAB_LT","FQ1 2023","FQ1 2023","Currency=USD","Period=FQ","BEST_FPERIOD_OVERRIDE=FQ","FILING_STATUS=MR","SCALING_FORMAT=MLN","Sort=A","Dates=H","DateFormat=P","Fill=—","Direction=H","UseDPDF=Y")</f>
        <v>—</v>
      </c>
      <c r="V61" s="13" t="str" cm="1">
        <f t="array" ref="V61">_xll.BDH("NUE US Equity","BS_DERIV_HEDGING_LIAB_LT","FQ2 2023","FQ2 2023","Currency=USD","Period=FQ","BEST_FPERIOD_OVERRIDE=FQ","FILING_STATUS=MR","SCALING_FORMAT=MLN","Sort=A","Dates=H","DateFormat=P","Fill=—","Direction=H","UseDPDF=Y")</f>
        <v>—</v>
      </c>
      <c r="W61" s="13" t="str" cm="1">
        <f t="array" ref="W61">_xll.BDH("NUE US Equity","BS_DERIV_HEDGING_LIAB_LT","FQ3 2023","FQ3 2023","Currency=USD","Period=FQ","BEST_FPERIOD_OVERRIDE=FQ","FILING_STATUS=MR","SCALING_FORMAT=MLN","Sort=A","Dates=H","DateFormat=P","Fill=—","Direction=H","UseDPDF=Y")</f>
        <v>—</v>
      </c>
      <c r="X61" s="13" t="str" cm="1">
        <f t="array" ref="X61">_xll.BDH("NUE US Equity","BS_DERIV_HEDGING_LIAB_LT","FQ4 2023","FQ4 2023","Currency=USD","Period=FQ","BEST_FPERIOD_OVERRIDE=FQ","FILING_STATUS=MR","SCALING_FORMAT=MLN","Sort=A","Dates=H","DateFormat=P","Fill=—","Direction=H","UseDPDF=Y")</f>
        <v>—</v>
      </c>
      <c r="Y61" s="13" t="str" cm="1">
        <f t="array" ref="Y61">_xll.BDH("NUE US Equity","BS_DERIV_HEDGING_LIAB_LT","FQ1 2024","FQ1 2024","Currency=USD","Period=FQ","BEST_FPERIOD_OVERRIDE=FQ","FILING_STATUS=MR","SCALING_FORMAT=MLN","Sort=A","Dates=H","DateFormat=P","Fill=—","Direction=H","UseDPDF=Y")</f>
        <v>—</v>
      </c>
      <c r="Z61" s="13" t="str" cm="1">
        <f t="array" ref="Z61">_xll.BDH("NUE US Equity","BS_DERIV_HEDGING_LIAB_LT","FQ2 2024","FQ2 2024","Currency=USD","Period=FQ","BEST_FPERIOD_OVERRIDE=FQ","FILING_STATUS=MR","SCALING_FORMAT=MLN","Sort=A","Dates=H","DateFormat=P","Fill=—","Direction=H","UseDPDF=Y")</f>
        <v>—</v>
      </c>
      <c r="AA61" s="13" t="str" cm="1">
        <f t="array" ref="AA61">_xll.BDH("NUE US Equity","BS_DERIV_HEDGING_LIAB_LT","FQ3 2024","FQ3 2024","Currency=USD","Period=FQ","BEST_FPERIOD_OVERRIDE=FQ","FILING_STATUS=MR","SCALING_FORMAT=MLN","Sort=A","Dates=H","DateFormat=P","Fill=—","Direction=H","UseDPDF=Y")</f>
        <v>—</v>
      </c>
      <c r="AB61" s="13" t="str" cm="1">
        <f t="array" ref="AB61">_xll.BDH("NUE US Equity","BS_DERIV_HEDGING_LIAB_LT","FQ4 2024","FQ4 2024","Currency=USD","Period=FQ","BEST_FPERIOD_OVERRIDE=FQ","FILING_STATUS=MR","SCALING_FORMAT=MLN","Sort=A","Dates=H","DateFormat=P","Fill=—","Direction=H","UseDPDF=Y")</f>
        <v>—</v>
      </c>
      <c r="AC61" s="13" t="str" cm="1">
        <f t="array" ref="AC61">_xll.BDH("NUE US Equity","BS_DERIV_HEDGING_LIAB_LT","FQ1 2025","FQ1 2025","Currency=USD","Period=FQ","BEST_FPERIOD_OVERRIDE=FQ","FILING_STATUS=MR","SCALING_FORMAT=MLN","Sort=A","Dates=H","DateFormat=P","Fill=—","Direction=H","UseDPDF=Y")</f>
        <v>—</v>
      </c>
      <c r="AD61" s="13" t="str" cm="1">
        <f t="array" ref="AD61">_xll.BDH("NUE US Equity","BS_DERIV_HEDGING_LIAB_LT","FQ2 2025","FQ2 2025","Currency=USD","Period=FQ","BEST_FPERIOD_OVERRIDE=FQ","FILING_STATUS=MR","SCALING_FORMAT=MLN","Sort=A","Dates=H","DateFormat=P","Fill=—","Direction=H","UseDPDF=Y")</f>
        <v>—</v>
      </c>
      <c r="AE61" s="13" t="str" cm="1">
        <f t="array" ref="AE61">_xll.BDH("NUE US Equity","BS_DERIV_HEDGING_LIAB_LT","FQ3 2025","FQ3 2025","Currency=USD","Period=FQ","BEST_FPERIOD_OVERRIDE=FQ","FILING_STATUS=MR","SCALING_FORMAT=MLN","Sort=A","Dates=H","DateFormat=P","Fill=—","Direction=H","UseDPDF=Y")</f>
        <v>—</v>
      </c>
      <c r="AF61" s="13" t="str" cm="1">
        <f t="array" ref="AF61">_xll.BDH("NUE US Equity","BS_DERIV_HEDGING_LIAB_LT","FQ4 2025","FQ4 2025","Currency=USD","Period=FQ","BEST_FPERIOD_OVERRIDE=FQ","FILING_STATUS=MR","SCALING_FORMAT=MLN","Sort=A","Dates=H","DateFormat=P","Fill=—","Direction=H","UseDPDF=Y")</f>
        <v>—</v>
      </c>
    </row>
    <row r="62" spans="1:32" x14ac:dyDescent="0.25">
      <c r="A62" s="10" t="s">
        <v>169</v>
      </c>
      <c r="B62" s="10" t="s">
        <v>170</v>
      </c>
      <c r="C62" s="13" cm="1">
        <f t="array" ref="C62">_xll.BDH("NUE US Equity","OTHER_NONCURRENT_LIABS_DETAILED","FQ3 2018","FQ3 2018","Currency=USD","Period=FQ","BEST_FPERIOD_OVERRIDE=FQ","FILING_STATUS=MR","SCALING_FORMAT=MLN","Sort=A","Dates=H","DateFormat=P","Fill=—","Direction=H","UseDPDF=Y")</f>
        <v>351.017</v>
      </c>
      <c r="D62" s="13" cm="1">
        <f t="array" ref="D62">_xll.BDH("NUE US Equity","OTHER_NONCURRENT_LIABS_DETAILED","FQ4 2018","FQ4 2018","Currency=USD","Period=FQ","BEST_FPERIOD_OVERRIDE=FQ","FILING_STATUS=MR","SCALING_FORMAT=MLN","Sort=A","Dates=H","DateFormat=P","Fill=—","Direction=H","UseDPDF=Y")</f>
        <v>335.64400000000001</v>
      </c>
      <c r="E62" s="13" cm="1">
        <f t="array" ref="E62">_xll.BDH("NUE US Equity","OTHER_NONCURRENT_LIABS_DETAILED","FQ1 2019","FQ1 2019","Currency=USD","Period=FQ","BEST_FPERIOD_OVERRIDE=FQ","FILING_STATUS=MR","SCALING_FORMAT=MLN","Sort=A","Dates=H","DateFormat=P","Fill=—","Direction=H","UseDPDF=Y")</f>
        <v>268.55599999999998</v>
      </c>
      <c r="F62" s="13" cm="1">
        <f t="array" ref="F62">_xll.BDH("NUE US Equity","OTHER_NONCURRENT_LIABS_DETAILED","FQ2 2019","FQ2 2019","Currency=USD","Period=FQ","BEST_FPERIOD_OVERRIDE=FQ","FILING_STATUS=MR","SCALING_FORMAT=MLN","Sort=A","Dates=H","DateFormat=P","Fill=—","Direction=H","UseDPDF=Y")</f>
        <v>279.78699999999998</v>
      </c>
      <c r="G62" s="13" cm="1">
        <f t="array" ref="G62">_xll.BDH("NUE US Equity","OTHER_NONCURRENT_LIABS_DETAILED","FQ3 2019","FQ3 2019","Currency=USD","Period=FQ","BEST_FPERIOD_OVERRIDE=FQ","FILING_STATUS=MR","SCALING_FORMAT=MLN","Sort=A","Dates=H","DateFormat=P","Fill=—","Direction=H","UseDPDF=Y")</f>
        <v>203.61500000000001</v>
      </c>
      <c r="H62" s="13" cm="1">
        <f t="array" ref="H62">_xll.BDH("NUE US Equity","OTHER_NONCURRENT_LIABS_DETAILED","FQ4 2019","FQ4 2019","Currency=USD","Period=FQ","BEST_FPERIOD_OVERRIDE=FQ","FILING_STATUS=MR","SCALING_FORMAT=MLN","Sort=A","Dates=H","DateFormat=P","Fill=—","Direction=H","UseDPDF=Y")</f>
        <v>200.178</v>
      </c>
      <c r="I62" s="13" cm="1">
        <f t="array" ref="I62">_xll.BDH("NUE US Equity","OTHER_NONCURRENT_LIABS_DETAILED","FQ1 2020","FQ1 2020","Currency=USD","Period=FQ","BEST_FPERIOD_OVERRIDE=FQ","FILING_STATUS=MR","SCALING_FORMAT=MLN","Sort=A","Dates=H","DateFormat=P","Fill=—","Direction=H","UseDPDF=Y")</f>
        <v>350.339</v>
      </c>
      <c r="J62" s="13" cm="1">
        <f t="array" ref="J62">_xll.BDH("NUE US Equity","OTHER_NONCURRENT_LIABS_DETAILED","FQ2 2020","FQ2 2020","Currency=USD","Period=FQ","BEST_FPERIOD_OVERRIDE=FQ","FILING_STATUS=MR","SCALING_FORMAT=MLN","Sort=A","Dates=H","DateFormat=P","Fill=—","Direction=H","UseDPDF=Y")</f>
        <v>365.43900000000002</v>
      </c>
      <c r="K62" s="13" cm="1">
        <f t="array" ref="K62">_xll.BDH("NUE US Equity","OTHER_NONCURRENT_LIABS_DETAILED","FQ3 2020","FQ3 2020","Currency=USD","Period=FQ","BEST_FPERIOD_OVERRIDE=FQ","FILING_STATUS=MR","SCALING_FORMAT=MLN","Sort=A","Dates=H","DateFormat=P","Fill=—","Direction=H","UseDPDF=Y")</f>
        <v>391.22199999999998</v>
      </c>
      <c r="L62" s="13" cm="1">
        <f t="array" ref="L62">_xll.BDH("NUE US Equity","OTHER_NONCURRENT_LIABS_DETAILED","FQ4 2020","FQ4 2020","Currency=USD","Period=FQ","BEST_FPERIOD_OVERRIDE=FQ","FILING_STATUS=MR","SCALING_FORMAT=MLN","Sort=A","Dates=H","DateFormat=P","Fill=—","Direction=H","UseDPDF=Y")</f>
        <v>231.79499999999999</v>
      </c>
      <c r="M62" s="13" cm="1">
        <f t="array" ref="M62">_xll.BDH("NUE US Equity","OTHER_NONCURRENT_LIABS_DETAILED","FQ1 2021","FQ1 2021","Currency=USD","Period=FQ","BEST_FPERIOD_OVERRIDE=FQ","FILING_STATUS=MR","SCALING_FORMAT=MLN","Sort=A","Dates=H","DateFormat=P","Fill=—","Direction=H","UseDPDF=Y")</f>
        <v>396.00299999999999</v>
      </c>
      <c r="N62" s="13" cm="1">
        <f t="array" ref="N62">_xll.BDH("NUE US Equity","OTHER_NONCURRENT_LIABS_DETAILED","FQ2 2021","FQ2 2021","Currency=USD","Period=FQ","BEST_FPERIOD_OVERRIDE=FQ","FILING_STATUS=MR","SCALING_FORMAT=MLN","Sort=A","Dates=H","DateFormat=P","Fill=—","Direction=H","UseDPDF=Y")</f>
        <v>414.38499999999999</v>
      </c>
      <c r="O62" s="13" cm="1">
        <f t="array" ref="O62">_xll.BDH("NUE US Equity","OTHER_NONCURRENT_LIABS_DETAILED","FQ3 2021","FQ3 2021","Currency=USD","Period=FQ","BEST_FPERIOD_OVERRIDE=FQ","FILING_STATUS=MR","SCALING_FORMAT=MLN","Sort=A","Dates=H","DateFormat=P","Fill=—","Direction=H","UseDPDF=Y")</f>
        <v>466.04300000000001</v>
      </c>
      <c r="P62" s="13" cm="1">
        <f t="array" ref="P62">_xll.BDH("NUE US Equity","OTHER_NONCURRENT_LIABS_DETAILED","FQ4 2021","FQ4 2021","Currency=USD","Period=FQ","BEST_FPERIOD_OVERRIDE=FQ","FILING_STATUS=MR","SCALING_FORMAT=MLN","Sort=A","Dates=H","DateFormat=P","Fill=—","Direction=H","UseDPDF=Y")</f>
        <v>148.51900000000001</v>
      </c>
      <c r="Q62" s="13" cm="1">
        <f t="array" ref="Q62">_xll.BDH("NUE US Equity","OTHER_NONCURRENT_LIABS_DETAILED","FQ1 2022","FQ1 2022","Currency=USD","Period=FQ","BEST_FPERIOD_OVERRIDE=FQ","FILING_STATUS=MR","SCALING_FORMAT=MLN","Sort=A","Dates=H","DateFormat=P","Fill=—","Direction=H","UseDPDF=Y")</f>
        <v>503.18200000000002</v>
      </c>
      <c r="R62" s="13" cm="1">
        <f t="array" ref="R62">_xll.BDH("NUE US Equity","OTHER_NONCURRENT_LIABS_DETAILED","FQ2 2022","FQ2 2022","Currency=USD","Period=FQ","BEST_FPERIOD_OVERRIDE=FQ","FILING_STATUS=MR","SCALING_FORMAT=MLN","Sort=A","Dates=H","DateFormat=P","Fill=—","Direction=H","UseDPDF=Y")</f>
        <v>534.76300000000003</v>
      </c>
      <c r="S62" s="13" cm="1">
        <f t="array" ref="S62">_xll.BDH("NUE US Equity","OTHER_NONCURRENT_LIABS_DETAILED","FQ3 2022","FQ3 2022","Currency=USD","Period=FQ","BEST_FPERIOD_OVERRIDE=FQ","FILING_STATUS=MR","SCALING_FORMAT=MLN","Sort=A","Dates=H","DateFormat=P","Fill=—","Direction=H","UseDPDF=Y")</f>
        <v>698.90599999999995</v>
      </c>
      <c r="T62" s="13" cm="1">
        <f t="array" ref="T62">_xll.BDH("NUE US Equity","OTHER_NONCURRENT_LIABS_DETAILED","FQ4 2022","FQ4 2022","Currency=USD","Period=FQ","BEST_FPERIOD_OVERRIDE=FQ","FILING_STATUS=MR","SCALING_FORMAT=MLN","Sort=A","Dates=H","DateFormat=P","Fill=—","Direction=H","UseDPDF=Y")</f>
        <v>403.91399999999999</v>
      </c>
      <c r="U62" s="13" cm="1">
        <f t="array" ref="U62">_xll.BDH("NUE US Equity","OTHER_NONCURRENT_LIABS_DETAILED","FQ1 2023","FQ1 2023","Currency=USD","Period=FQ","BEST_FPERIOD_OVERRIDE=FQ","FILING_STATUS=MR","SCALING_FORMAT=MLN","Sort=A","Dates=H","DateFormat=P","Fill=—","Direction=H","UseDPDF=Y")</f>
        <v>610.08199999999999</v>
      </c>
      <c r="V62" s="13" cm="1">
        <f t="array" ref="V62">_xll.BDH("NUE US Equity","OTHER_NONCURRENT_LIABS_DETAILED","FQ2 2023","FQ2 2023","Currency=USD","Period=FQ","BEST_FPERIOD_OVERRIDE=FQ","FILING_STATUS=MR","SCALING_FORMAT=MLN","Sort=A","Dates=H","DateFormat=P","Fill=—","Direction=H","UseDPDF=Y")</f>
        <v>574.12800000000004</v>
      </c>
      <c r="W62" s="13" cm="1">
        <f t="array" ref="W62">_xll.BDH("NUE US Equity","OTHER_NONCURRENT_LIABS_DETAILED","FQ3 2023","FQ3 2023","Currency=USD","Period=FQ","BEST_FPERIOD_OVERRIDE=FQ","FILING_STATUS=MR","SCALING_FORMAT=MLN","Sort=A","Dates=H","DateFormat=P","Fill=—","Direction=H","UseDPDF=Y")</f>
        <v>554.27</v>
      </c>
      <c r="X62" s="13" cm="1">
        <f t="array" ref="X62">_xll.BDH("NUE US Equity","OTHER_NONCURRENT_LIABS_DETAILED","FQ4 2023","FQ4 2023","Currency=USD","Period=FQ","BEST_FPERIOD_OVERRIDE=FQ","FILING_STATUS=MR","SCALING_FORMAT=MLN","Sort=A","Dates=H","DateFormat=P","Fill=—","Direction=H","UseDPDF=Y")</f>
        <v>374.10300000000001</v>
      </c>
      <c r="Y62" s="13" cm="1">
        <f t="array" ref="Y62">_xll.BDH("NUE US Equity","OTHER_NONCURRENT_LIABS_DETAILED","FQ1 2024","FQ1 2024","Currency=USD","Period=FQ","BEST_FPERIOD_OVERRIDE=FQ","FILING_STATUS=MR","SCALING_FORMAT=MLN","Sort=A","Dates=H","DateFormat=P","Fill=—","Direction=H","UseDPDF=Y")</f>
        <v>623.47</v>
      </c>
      <c r="Z62" s="13" cm="1">
        <f t="array" ref="Z62">_xll.BDH("NUE US Equity","OTHER_NONCURRENT_LIABS_DETAILED","FQ2 2024","FQ2 2024","Currency=USD","Period=FQ","BEST_FPERIOD_OVERRIDE=FQ","FILING_STATUS=MR","SCALING_FORMAT=MLN","Sort=A","Dates=H","DateFormat=P","Fill=—","Direction=H","UseDPDF=Y")</f>
        <v>638.90099999999995</v>
      </c>
      <c r="AA62" s="13" cm="1">
        <f t="array" ref="AA62">_xll.BDH("NUE US Equity","OTHER_NONCURRENT_LIABS_DETAILED","FQ3 2024","FQ3 2024","Currency=USD","Period=FQ","BEST_FPERIOD_OVERRIDE=FQ","FILING_STATUS=MR","SCALING_FORMAT=MLN","Sort=A","Dates=H","DateFormat=P","Fill=—","Direction=H","UseDPDF=Y")</f>
        <v>637.928</v>
      </c>
      <c r="AB62" s="13" cm="1">
        <f t="array" ref="AB62">_xll.BDH("NUE US Equity","OTHER_NONCURRENT_LIABS_DETAILED","FQ4 2024","FQ4 2024","Currency=USD","Period=FQ","BEST_FPERIOD_OVERRIDE=FQ","FILING_STATUS=MR","SCALING_FORMAT=MLN","Sort=A","Dates=H","DateFormat=P","Fill=—","Direction=H","UseDPDF=Y")</f>
        <v>326</v>
      </c>
      <c r="AC62" s="13" cm="1">
        <f t="array" ref="AC62">_xll.BDH("NUE US Equity","OTHER_NONCURRENT_LIABS_DETAILED","FQ1 2025","FQ1 2025","Currency=USD","Period=FQ","BEST_FPERIOD_OVERRIDE=FQ","FILING_STATUS=MR","SCALING_FORMAT=MLN","Sort=A","Dates=H","DateFormat=P","Fill=—","Direction=H","UseDPDF=Y")</f>
        <v>626</v>
      </c>
      <c r="AD62" s="13" cm="1">
        <f t="array" ref="AD62">_xll.BDH("NUE US Equity","OTHER_NONCURRENT_LIABS_DETAILED","FQ2 2025","FQ2 2025","Currency=USD","Period=FQ","BEST_FPERIOD_OVERRIDE=FQ","FILING_STATUS=MR","SCALING_FORMAT=MLN","Sort=A","Dates=H","DateFormat=P","Fill=—","Direction=H","UseDPDF=Y")</f>
        <v>677</v>
      </c>
      <c r="AE62" s="13" cm="1">
        <f t="array" ref="AE62">_xll.BDH("NUE US Equity","OTHER_NONCURRENT_LIABS_DETAILED","FQ3 2025","FQ3 2025","Currency=USD","Period=FQ","BEST_FPERIOD_OVERRIDE=FQ","FILING_STATUS=MR","SCALING_FORMAT=MLN","Sort=A","Dates=H","DateFormat=P","Fill=—","Direction=H","UseDPDF=Y")</f>
        <v>672</v>
      </c>
      <c r="AF62" s="13" cm="1">
        <f t="array" ref="AF62">_xll.BDH("NUE US Equity","OTHER_NONCURRENT_LIABS_DETAILED","FQ4 2025","FQ4 2025","Currency=USD","Period=FQ","BEST_FPERIOD_OVERRIDE=FQ","FILING_STATUS=MR","SCALING_FORMAT=MLN","Sort=A","Dates=H","DateFormat=P","Fill=—","Direction=H","UseDPDF=Y")</f>
        <v>2067</v>
      </c>
    </row>
    <row r="63" spans="1:32" x14ac:dyDescent="0.25">
      <c r="A63" s="6" t="s">
        <v>171</v>
      </c>
      <c r="B63" s="6" t="s">
        <v>172</v>
      </c>
      <c r="C63" s="16" cm="1">
        <f t="array" ref="C63">_xll.BDH("NUE US Equity","NON_CUR_LIAB","FQ3 2018","FQ3 2018","Currency=USD","Period=FQ","BEST_FPERIOD_OVERRIDE=FQ","FILING_STATUS=MR","SCALING_FORMAT=MLN","Sort=A","Dates=H","DateFormat=P","Fill=—","Direction=H","UseDPDF=Y")</f>
        <v>4980.777</v>
      </c>
      <c r="D63" s="16" cm="1">
        <f t="array" ref="D63">_xll.BDH("NUE US Equity","NON_CUR_LIAB","FQ4 2018","FQ4 2018","Currency=USD","Period=FQ","BEST_FPERIOD_OVERRIDE=FQ","FILING_STATUS=MR","SCALING_FORMAT=MLN","Sort=A","Dates=H","DateFormat=P","Fill=—","Direction=H","UseDPDF=Y")</f>
        <v>4912.32</v>
      </c>
      <c r="E63" s="16" cm="1">
        <f t="array" ref="E63">_xll.BDH("NUE US Equity","NON_CUR_LIAB","FQ1 2019","FQ1 2019","Currency=USD","Period=FQ","BEST_FPERIOD_OVERRIDE=FQ","FILING_STATUS=MR","SCALING_FORMAT=MLN","Sort=A","Dates=H","DateFormat=P","Fill=—","Direction=H","UseDPDF=Y")</f>
        <v>5016.0169999999998</v>
      </c>
      <c r="F63" s="16" cm="1">
        <f t="array" ref="F63">_xll.BDH("NUE US Equity","NON_CUR_LIAB","FQ2 2019","FQ2 2019","Currency=USD","Period=FQ","BEST_FPERIOD_OVERRIDE=FQ","FILING_STATUS=MR","SCALING_FORMAT=MLN","Sort=A","Dates=H","DateFormat=P","Fill=—","Direction=H","UseDPDF=Y")</f>
        <v>5048.058</v>
      </c>
      <c r="G63" s="16" cm="1">
        <f t="array" ref="G63">_xll.BDH("NUE US Equity","NON_CUR_LIAB","FQ3 2019","FQ3 2019","Currency=USD","Period=FQ","BEST_FPERIOD_OVERRIDE=FQ","FILING_STATUS=MR","SCALING_FORMAT=MLN","Sort=A","Dates=H","DateFormat=P","Fill=—","Direction=H","UseDPDF=Y")</f>
        <v>5059.2389999999996</v>
      </c>
      <c r="H63" s="16" cm="1">
        <f t="array" ref="H63">_xll.BDH("NUE US Equity","NON_CUR_LIAB","FQ4 2019","FQ4 2019","Currency=USD","Period=FQ","BEST_FPERIOD_OVERRIDE=FQ","FILING_STATUS=MR","SCALING_FORMAT=MLN","Sort=A","Dates=H","DateFormat=P","Fill=—","Direction=H","UseDPDF=Y")</f>
        <v>5089.7160000000003</v>
      </c>
      <c r="I63" s="16" cm="1">
        <f t="array" ref="I63">_xll.BDH("NUE US Equity","NON_CUR_LIAB","FQ1 2020","FQ1 2020","Currency=USD","Period=FQ","BEST_FPERIOD_OVERRIDE=FQ","FILING_STATUS=MR","SCALING_FORMAT=MLN","Sort=A","Dates=H","DateFormat=P","Fill=—","Direction=H","UseDPDF=Y")</f>
        <v>5051.42</v>
      </c>
      <c r="J63" s="16" cm="1">
        <f t="array" ref="J63">_xll.BDH("NUE US Equity","NON_CUR_LIAB","FQ2 2020","FQ2 2020","Currency=USD","Period=FQ","BEST_FPERIOD_OVERRIDE=FQ","FILING_STATUS=MR","SCALING_FORMAT=MLN","Sort=A","Dates=H","DateFormat=P","Fill=—","Direction=H","UseDPDF=Y")</f>
        <v>6177.442</v>
      </c>
      <c r="K63" s="16" cm="1">
        <f t="array" ref="K63">_xll.BDH("NUE US Equity","NON_CUR_LIAB","FQ3 2020","FQ3 2020","Currency=USD","Period=FQ","BEST_FPERIOD_OVERRIDE=FQ","FILING_STATUS=MR","SCALING_FORMAT=MLN","Sort=A","Dates=H","DateFormat=P","Fill=—","Direction=H","UseDPDF=Y")</f>
        <v>6428.915</v>
      </c>
      <c r="L63" s="16" cm="1">
        <f t="array" ref="L63">_xll.BDH("NUE US Equity","NON_CUR_LIAB","FQ4 2020","FQ4 2020","Currency=USD","Period=FQ","BEST_FPERIOD_OVERRIDE=FQ","FILING_STATUS=MR","SCALING_FORMAT=MLN","Sort=A","Dates=H","DateFormat=P","Fill=—","Direction=H","UseDPDF=Y")</f>
        <v>6265.6729999999998</v>
      </c>
      <c r="M63" s="16" cm="1">
        <f t="array" ref="M63">_xll.BDH("NUE US Equity","NON_CUR_LIAB","FQ1 2021","FQ1 2021","Currency=USD","Period=FQ","BEST_FPERIOD_OVERRIDE=FQ","FILING_STATUS=MR","SCALING_FORMAT=MLN","Sort=A","Dates=H","DateFormat=P","Fill=—","Direction=H","UseDPDF=Y")</f>
        <v>6340.2389999999996</v>
      </c>
      <c r="N63" s="16" cm="1">
        <f t="array" ref="N63">_xll.BDH("NUE US Equity","NON_CUR_LIAB","FQ2 2021","FQ2 2021","Currency=USD","Period=FQ","BEST_FPERIOD_OVERRIDE=FQ","FILING_STATUS=MR","SCALING_FORMAT=MLN","Sort=A","Dates=H","DateFormat=P","Fill=—","Direction=H","UseDPDF=Y")</f>
        <v>6405.9809999999998</v>
      </c>
      <c r="O63" s="16" cm="1">
        <f t="array" ref="O63">_xll.BDH("NUE US Equity","NON_CUR_LIAB","FQ3 2021","FQ3 2021","Currency=USD","Period=FQ","BEST_FPERIOD_OVERRIDE=FQ","FILING_STATUS=MR","SCALING_FORMAT=MLN","Sort=A","Dates=H","DateFormat=P","Fill=—","Direction=H","UseDPDF=Y")</f>
        <v>6201.5879999999997</v>
      </c>
      <c r="P63" s="16" cm="1">
        <f t="array" ref="P63">_xll.BDH("NUE US Equity","NON_CUR_LIAB","FQ4 2021","FQ4 2021","Currency=USD","Period=FQ","BEST_FPERIOD_OVERRIDE=FQ","FILING_STATUS=MR","SCALING_FORMAT=MLN","Sort=A","Dates=H","DateFormat=P","Fill=—","Direction=H","UseDPDF=Y")</f>
        <v>6061.8649999999998</v>
      </c>
      <c r="Q63" s="16" cm="1">
        <f t="array" ref="Q63">_xll.BDH("NUE US Equity","NON_CUR_LIAB","FQ1 2022","FQ1 2022","Currency=USD","Period=FQ","BEST_FPERIOD_OVERRIDE=FQ","FILING_STATUS=MR","SCALING_FORMAT=MLN","Sort=A","Dates=H","DateFormat=P","Fill=—","Direction=H","UseDPDF=Y")</f>
        <v>7355.9129999999996</v>
      </c>
      <c r="R63" s="16" cm="1">
        <f t="array" ref="R63">_xll.BDH("NUE US Equity","NON_CUR_LIAB","FQ2 2022","FQ2 2022","Currency=USD","Period=FQ","BEST_FPERIOD_OVERRIDE=FQ","FILING_STATUS=MR","SCALING_FORMAT=MLN","Sort=A","Dates=H","DateFormat=P","Fill=—","Direction=H","UseDPDF=Y")</f>
        <v>8456.4480000000003</v>
      </c>
      <c r="S63" s="16" cm="1">
        <f t="array" ref="S63">_xll.BDH("NUE US Equity","NON_CUR_LIAB","FQ3 2022","FQ3 2022","Currency=USD","Period=FQ","BEST_FPERIOD_OVERRIDE=FQ","FILING_STATUS=MR","SCALING_FORMAT=MLN","Sort=A","Dates=H","DateFormat=P","Fill=—","Direction=H","UseDPDF=Y")</f>
        <v>8615.9359999999997</v>
      </c>
      <c r="T63" s="16" cm="1">
        <f t="array" ref="T63">_xll.BDH("NUE US Equity","NON_CUR_LIAB","FQ4 2022","FQ4 2022","Currency=USD","Period=FQ","BEST_FPERIOD_OVERRIDE=FQ","FILING_STATUS=MR","SCALING_FORMAT=MLN","Sort=A","Dates=H","DateFormat=P","Fill=—","Direction=H","UseDPDF=Y")</f>
        <v>8579.56</v>
      </c>
      <c r="U63" s="16" cm="1">
        <f t="array" ref="U63">_xll.BDH("NUE US Equity","NON_CUR_LIAB","FQ1 2023","FQ1 2023","Currency=USD","Period=FQ","BEST_FPERIOD_OVERRIDE=FQ","FILING_STATUS=MR","SCALING_FORMAT=MLN","Sort=A","Dates=H","DateFormat=P","Fill=—","Direction=H","UseDPDF=Y")</f>
        <v>8486.58</v>
      </c>
      <c r="V63" s="16" cm="1">
        <f t="array" ref="V63">_xll.BDH("NUE US Equity","NON_CUR_LIAB","FQ2 2023","FQ2 2023","Currency=USD","Period=FQ","BEST_FPERIOD_OVERRIDE=FQ","FILING_STATUS=MR","SCALING_FORMAT=MLN","Sort=A","Dates=H","DateFormat=P","Fill=—","Direction=H","UseDPDF=Y")</f>
        <v>8434.8140000000003</v>
      </c>
      <c r="W63" s="16" cm="1">
        <f t="array" ref="W63">_xll.BDH("NUE US Equity","NON_CUR_LIAB","FQ3 2023","FQ3 2023","Currency=USD","Period=FQ","BEST_FPERIOD_OVERRIDE=FQ","FILING_STATUS=MR","SCALING_FORMAT=MLN","Sort=A","Dates=H","DateFormat=P","Fill=—","Direction=H","UseDPDF=Y")</f>
        <v>8474.8559999999998</v>
      </c>
      <c r="X63" s="16" cm="1">
        <f t="array" ref="X63">_xll.BDH("NUE US Equity","NON_CUR_LIAB","FQ4 2023","FQ4 2023","Currency=USD","Period=FQ","BEST_FPERIOD_OVERRIDE=FQ","FILING_STATUS=MR","SCALING_FORMAT=MLN","Sort=A","Dates=H","DateFormat=P","Fill=—","Direction=H","UseDPDF=Y")</f>
        <v>8622.2360000000008</v>
      </c>
      <c r="Y63" s="16" cm="1">
        <f t="array" ref="Y63">_xll.BDH("NUE US Equity","NON_CUR_LIAB","FQ1 2024","FQ1 2024","Currency=USD","Period=FQ","BEST_FPERIOD_OVERRIDE=FQ","FILING_STATUS=MR","SCALING_FORMAT=MLN","Sort=A","Dates=H","DateFormat=P","Fill=—","Direction=H","UseDPDF=Y")</f>
        <v>8561.0300000000007</v>
      </c>
      <c r="Z63" s="16" cm="1">
        <f t="array" ref="Z63">_xll.BDH("NUE US Equity","NON_CUR_LIAB","FQ2 2024","FQ2 2024","Currency=USD","Period=FQ","BEST_FPERIOD_OVERRIDE=FQ","FILING_STATUS=MR","SCALING_FORMAT=MLN","Sort=A","Dates=H","DateFormat=P","Fill=—","Direction=H","UseDPDF=Y")</f>
        <v>7547.4560000000001</v>
      </c>
      <c r="AA63" s="16" cm="1">
        <f t="array" ref="AA63">_xll.BDH("NUE US Equity","NON_CUR_LIAB","FQ3 2024","FQ3 2024","Currency=USD","Period=FQ","BEST_FPERIOD_OVERRIDE=FQ","FILING_STATUS=MR","SCALING_FORMAT=MLN","Sort=A","Dates=H","DateFormat=P","Fill=—","Direction=H","UseDPDF=Y")</f>
        <v>7572.8639999999996</v>
      </c>
      <c r="AB63" s="16" cm="1">
        <f t="array" ref="AB63">_xll.BDH("NUE US Equity","NON_CUR_LIAB","FQ4 2024","FQ4 2024","Currency=USD","Period=FQ","BEST_FPERIOD_OVERRIDE=FQ","FILING_STATUS=MR","SCALING_FORMAT=MLN","Sort=A","Dates=H","DateFormat=P","Fill=—","Direction=H","UseDPDF=Y")</f>
        <v>7546</v>
      </c>
      <c r="AC63" s="16" cm="1">
        <f t="array" ref="AC63">_xll.BDH("NUE US Equity","NON_CUR_LIAB","FQ1 2025","FQ1 2025","Currency=USD","Period=FQ","BEST_FPERIOD_OVERRIDE=FQ","FILING_STATUS=MR","SCALING_FORMAT=MLN","Sort=A","Dates=H","DateFormat=P","Fill=—","Direction=H","UseDPDF=Y")</f>
        <v>8525</v>
      </c>
      <c r="AD63" s="16" cm="1">
        <f t="array" ref="AD63">_xll.BDH("NUE US Equity","NON_CUR_LIAB","FQ2 2025","FQ2 2025","Currency=USD","Period=FQ","BEST_FPERIOD_OVERRIDE=FQ","FILING_STATUS=MR","SCALING_FORMAT=MLN","Sort=A","Dates=H","DateFormat=P","Fill=—","Direction=H","UseDPDF=Y")</f>
        <v>8579</v>
      </c>
      <c r="AE63" s="16" cm="1">
        <f t="array" ref="AE63">_xll.BDH("NUE US Equity","NON_CUR_LIAB","FQ3 2025","FQ3 2025","Currency=USD","Period=FQ","BEST_FPERIOD_OVERRIDE=FQ","FILING_STATUS=MR","SCALING_FORMAT=MLN","Sort=A","Dates=H","DateFormat=P","Fill=—","Direction=H","UseDPDF=Y")</f>
        <v>8588</v>
      </c>
      <c r="AF63" s="16" cm="1">
        <f t="array" ref="AF63">_xll.BDH("NUE US Equity","NON_CUR_LIAB","FQ4 2025","FQ4 2025","Currency=USD","Period=FQ","BEST_FPERIOD_OVERRIDE=FQ","FILING_STATUS=MR","SCALING_FORMAT=MLN","Sort=A","Dates=H","DateFormat=P","Fill=—","Direction=H","UseDPDF=Y")</f>
        <v>8976</v>
      </c>
    </row>
    <row r="64" spans="1:32" x14ac:dyDescent="0.25">
      <c r="A64" s="6" t="s">
        <v>173</v>
      </c>
      <c r="B64" s="6" t="s">
        <v>174</v>
      </c>
      <c r="C64" s="16" cm="1">
        <f t="array" ref="C64">_xll.BDH("NUE US Equity","BS_TOT_LIAB2","FQ3 2018","FQ3 2018","Currency=USD","Period=FQ","BEST_FPERIOD_OVERRIDE=FQ","FILING_STATUS=MR","SCALING_FORMAT=MLN","Sort=A","Dates=H","DateFormat=P","Fill=—","Direction=H","UseDPDF=Y")</f>
        <v>7788.4719999999998</v>
      </c>
      <c r="D64" s="16" cm="1">
        <f t="array" ref="D64">_xll.BDH("NUE US Equity","BS_TOT_LIAB2","FQ4 2018","FQ4 2018","Currency=USD","Period=FQ","BEST_FPERIOD_OVERRIDE=FQ","FILING_STATUS=MR","SCALING_FORMAT=MLN","Sort=A","Dates=H","DateFormat=P","Fill=—","Direction=H","UseDPDF=Y")</f>
        <v>7718.62</v>
      </c>
      <c r="E64" s="16" cm="1">
        <f t="array" ref="E64">_xll.BDH("NUE US Equity","BS_TOT_LIAB2","FQ1 2019","FQ1 2019","Currency=USD","Period=FQ","BEST_FPERIOD_OVERRIDE=FQ","FILING_STATUS=MR","SCALING_FORMAT=MLN","Sort=A","Dates=H","DateFormat=P","Fill=—","Direction=H","UseDPDF=Y")</f>
        <v>7584.0320000000002</v>
      </c>
      <c r="F64" s="16" cm="1">
        <f t="array" ref="F64">_xll.BDH("NUE US Equity","BS_TOT_LIAB2","FQ2 2019","FQ2 2019","Currency=USD","Period=FQ","BEST_FPERIOD_OVERRIDE=FQ","FILING_STATUS=MR","SCALING_FORMAT=MLN","Sort=A","Dates=H","DateFormat=P","Fill=—","Direction=H","UseDPDF=Y")</f>
        <v>7428.4719999999998</v>
      </c>
      <c r="G64" s="16" cm="1">
        <f t="array" ref="G64">_xll.BDH("NUE US Equity","BS_TOT_LIAB2","FQ3 2019","FQ3 2019","Currency=USD","Period=FQ","BEST_FPERIOD_OVERRIDE=FQ","FILING_STATUS=MR","SCALING_FORMAT=MLN","Sort=A","Dates=H","DateFormat=P","Fill=—","Direction=H","UseDPDF=Y")</f>
        <v>7645.232</v>
      </c>
      <c r="H64" s="16" cm="1">
        <f t="array" ref="H64">_xll.BDH("NUE US Equity","BS_TOT_LIAB2","FQ4 2019","FQ4 2019","Currency=USD","Period=FQ","BEST_FPERIOD_OVERRIDE=FQ","FILING_STATUS=MR","SCALING_FORMAT=MLN","Sort=A","Dates=H","DateFormat=P","Fill=—","Direction=H","UseDPDF=Y")</f>
        <v>7553.49</v>
      </c>
      <c r="I64" s="16" cm="1">
        <f t="array" ref="I64">_xll.BDH("NUE US Equity","BS_TOT_LIAB2","FQ1 2020","FQ1 2020","Currency=USD","Period=FQ","BEST_FPERIOD_OVERRIDE=FQ","FILING_STATUS=MR","SCALING_FORMAT=MLN","Sort=A","Dates=H","DateFormat=P","Fill=—","Direction=H","UseDPDF=Y")</f>
        <v>7269.9920000000002</v>
      </c>
      <c r="J64" s="16" cm="1">
        <f t="array" ref="J64">_xll.BDH("NUE US Equity","BS_TOT_LIAB2","FQ2 2020","FQ2 2020","Currency=USD","Period=FQ","BEST_FPERIOD_OVERRIDE=FQ","FILING_STATUS=MR","SCALING_FORMAT=MLN","Sort=A","Dates=H","DateFormat=P","Fill=—","Direction=H","UseDPDF=Y")</f>
        <v>8142.48</v>
      </c>
      <c r="K64" s="16" cm="1">
        <f t="array" ref="K64">_xll.BDH("NUE US Equity","BS_TOT_LIAB2","FQ3 2020","FQ3 2020","Currency=USD","Period=FQ","BEST_FPERIOD_OVERRIDE=FQ","FILING_STATUS=MR","SCALING_FORMAT=MLN","Sort=A","Dates=H","DateFormat=P","Fill=—","Direction=H","UseDPDF=Y")</f>
        <v>8802.2099999999991</v>
      </c>
      <c r="L64" s="16" cm="1">
        <f t="array" ref="L64">_xll.BDH("NUE US Equity","BS_TOT_LIAB2","FQ4 2020","FQ4 2020","Currency=USD","Period=FQ","BEST_FPERIOD_OVERRIDE=FQ","FILING_STATUS=MR","SCALING_FORMAT=MLN","Sort=A","Dates=H","DateFormat=P","Fill=—","Direction=H","UseDPDF=Y")</f>
        <v>8893.5329999999994</v>
      </c>
      <c r="M64" s="16" cm="1">
        <f t="array" ref="M64">_xll.BDH("NUE US Equity","BS_TOT_LIAB2","FQ1 2021","FQ1 2021","Currency=USD","Period=FQ","BEST_FPERIOD_OVERRIDE=FQ","FILING_STATUS=MR","SCALING_FORMAT=MLN","Sort=A","Dates=H","DateFormat=P","Fill=—","Direction=H","UseDPDF=Y")</f>
        <v>9310.6849999999995</v>
      </c>
      <c r="N64" s="16" cm="1">
        <f t="array" ref="N64">_xll.BDH("NUE US Equity","BS_TOT_LIAB2","FQ2 2021","FQ2 2021","Currency=USD","Period=FQ","BEST_FPERIOD_OVERRIDE=FQ","FILING_STATUS=MR","SCALING_FORMAT=MLN","Sort=A","Dates=H","DateFormat=P","Fill=—","Direction=H","UseDPDF=Y")</f>
        <v>10285.931</v>
      </c>
      <c r="O64" s="16" cm="1">
        <f t="array" ref="O64">_xll.BDH("NUE US Equity","BS_TOT_LIAB2","FQ3 2021","FQ3 2021","Currency=USD","Period=FQ","BEST_FPERIOD_OVERRIDE=FQ","FILING_STATUS=MR","SCALING_FORMAT=MLN","Sort=A","Dates=H","DateFormat=P","Fill=—","Direction=H","UseDPDF=Y")</f>
        <v>10999.187</v>
      </c>
      <c r="P64" s="16" cm="1">
        <f t="array" ref="P64">_xll.BDH("NUE US Equity","BS_TOT_LIAB2","FQ4 2021","FQ4 2021","Currency=USD","Period=FQ","BEST_FPERIOD_OVERRIDE=FQ","FILING_STATUS=MR","SCALING_FORMAT=MLN","Sort=A","Dates=H","DateFormat=P","Fill=—","Direction=H","UseDPDF=Y")</f>
        <v>11219.278</v>
      </c>
      <c r="Q64" s="16" cm="1">
        <f t="array" ref="Q64">_xll.BDH("NUE US Equity","BS_TOT_LIAB2","FQ1 2022","FQ1 2022","Currency=USD","Period=FQ","BEST_FPERIOD_OVERRIDE=FQ","FILING_STATUS=MR","SCALING_FORMAT=MLN","Sort=A","Dates=H","DateFormat=P","Fill=—","Direction=H","UseDPDF=Y")</f>
        <v>12489.748</v>
      </c>
      <c r="R64" s="16" cm="1">
        <f t="array" ref="R64">_xll.BDH("NUE US Equity","BS_TOT_LIAB2","FQ2 2022","FQ2 2022","Currency=USD","Period=FQ","BEST_FPERIOD_OVERRIDE=FQ","FILING_STATUS=MR","SCALING_FORMAT=MLN","Sort=A","Dates=H","DateFormat=P","Fill=—","Direction=H","UseDPDF=Y")</f>
        <v>13815.648999999999</v>
      </c>
      <c r="S64" s="16" cm="1">
        <f t="array" ref="S64">_xll.BDH("NUE US Equity","BS_TOT_LIAB2","FQ3 2022","FQ3 2022","Currency=USD","Period=FQ","BEST_FPERIOD_OVERRIDE=FQ","FILING_STATUS=MR","SCALING_FORMAT=MLN","Sort=A","Dates=H","DateFormat=P","Fill=—","Direction=H","UseDPDF=Y")</f>
        <v>13248.025</v>
      </c>
      <c r="T64" s="16" cm="1">
        <f t="array" ref="T64">_xll.BDH("NUE US Equity","BS_TOT_LIAB2","FQ4 2022","FQ4 2022","Currency=USD","Period=FQ","BEST_FPERIOD_OVERRIDE=FQ","FILING_STATUS=MR","SCALING_FORMAT=MLN","Sort=A","Dates=H","DateFormat=P","Fill=—","Direction=H","UseDPDF=Y")</f>
        <v>12909.304</v>
      </c>
      <c r="U64" s="16" cm="1">
        <f t="array" ref="U64">_xll.BDH("NUE US Equity","BS_TOT_LIAB2","FQ1 2023","FQ1 2023","Currency=USD","Period=FQ","BEST_FPERIOD_OVERRIDE=FQ","FILING_STATUS=MR","SCALING_FORMAT=MLN","Sort=A","Dates=H","DateFormat=P","Fill=—","Direction=H","UseDPDF=Y")</f>
        <v>12316.52</v>
      </c>
      <c r="V64" s="16" cm="1">
        <f t="array" ref="V64">_xll.BDH("NUE US Equity","BS_TOT_LIAB2","FQ2 2023","FQ2 2023","Currency=USD","Period=FQ","BEST_FPERIOD_OVERRIDE=FQ","FILING_STATUS=MR","SCALING_FORMAT=MLN","Sort=A","Dates=H","DateFormat=P","Fill=—","Direction=H","UseDPDF=Y")</f>
        <v>12438.987999999999</v>
      </c>
      <c r="W64" s="16" cm="1">
        <f t="array" ref="W64">_xll.BDH("NUE US Equity","BS_TOT_LIAB2","FQ3 2023","FQ3 2023","Currency=USD","Period=FQ","BEST_FPERIOD_OVERRIDE=FQ","FILING_STATUS=MR","SCALING_FORMAT=MLN","Sort=A","Dates=H","DateFormat=P","Fill=—","Direction=H","UseDPDF=Y")</f>
        <v>12758.704</v>
      </c>
      <c r="X64" s="16" cm="1">
        <f t="array" ref="X64">_xll.BDH("NUE US Equity","BS_TOT_LIAB2","FQ4 2023","FQ4 2023","Currency=USD","Period=FQ","BEST_FPERIOD_OVERRIDE=FQ","FILING_STATUS=MR","SCALING_FORMAT=MLN","Sort=A","Dates=H","DateFormat=P","Fill=—","Direction=H","UseDPDF=Y")</f>
        <v>13216.745000000001</v>
      </c>
      <c r="Y64" s="16" cm="1">
        <f t="array" ref="Y64">_xll.BDH("NUE US Equity","BS_TOT_LIAB2","FQ1 2024","FQ1 2024","Currency=USD","Period=FQ","BEST_FPERIOD_OVERRIDE=FQ","FILING_STATUS=MR","SCALING_FORMAT=MLN","Sort=A","Dates=H","DateFormat=P","Fill=—","Direction=H","UseDPDF=Y")</f>
        <v>12207.005999999999</v>
      </c>
      <c r="Z64" s="16" cm="1">
        <f t="array" ref="Z64">_xll.BDH("NUE US Equity","BS_TOT_LIAB2","FQ2 2024","FQ2 2024","Currency=USD","Period=FQ","BEST_FPERIOD_OVERRIDE=FQ","FILING_STATUS=MR","SCALING_FORMAT=MLN","Sort=A","Dates=H","DateFormat=P","Fill=—","Direction=H","UseDPDF=Y")</f>
        <v>12412.717000000001</v>
      </c>
      <c r="AA64" s="16" cm="1">
        <f t="array" ref="AA64">_xll.BDH("NUE US Equity","BS_TOT_LIAB2","FQ3 2024","FQ3 2024","Currency=USD","Period=FQ","BEST_FPERIOD_OVERRIDE=FQ","FILING_STATUS=MR","SCALING_FORMAT=MLN","Sort=A","Dates=H","DateFormat=P","Fill=—","Direction=H","UseDPDF=Y")</f>
        <v>12789.65</v>
      </c>
      <c r="AB64" s="16" cm="1">
        <f t="array" ref="AB64">_xll.BDH("NUE US Equity","BS_TOT_LIAB2","FQ4 2024","FQ4 2024","Currency=USD","Period=FQ","BEST_FPERIOD_OVERRIDE=FQ","FILING_STATUS=MR","SCALING_FORMAT=MLN","Sort=A","Dates=H","DateFormat=P","Fill=—","Direction=H","UseDPDF=Y")</f>
        <v>12523</v>
      </c>
      <c r="AC64" s="16" cm="1">
        <f t="array" ref="AC64">_xll.BDH("NUE US Equity","BS_TOT_LIAB2","FQ1 2025","FQ1 2025","Currency=USD","Period=FQ","BEST_FPERIOD_OVERRIDE=FQ","FILING_STATUS=MR","SCALING_FORMAT=MLN","Sort=A","Dates=H","DateFormat=P","Fill=—","Direction=H","UseDPDF=Y")</f>
        <v>13584</v>
      </c>
      <c r="AD64" s="16" cm="1">
        <f t="array" ref="AD64">_xll.BDH("NUE US Equity","BS_TOT_LIAB2","FQ2 2025","FQ2 2025","Currency=USD","Period=FQ","BEST_FPERIOD_OVERRIDE=FQ","FILING_STATUS=MR","SCALING_FORMAT=MLN","Sort=A","Dates=H","DateFormat=P","Fill=—","Direction=H","UseDPDF=Y")</f>
        <v>12725</v>
      </c>
      <c r="AE64" s="16" cm="1">
        <f t="array" ref="AE64">_xll.BDH("NUE US Equity","BS_TOT_LIAB2","FQ3 2025","FQ3 2025","Currency=USD","Period=FQ","BEST_FPERIOD_OVERRIDE=FQ","FILING_STATUS=MR","SCALING_FORMAT=MLN","Sort=A","Dates=H","DateFormat=P","Fill=—","Direction=H","UseDPDF=Y")</f>
        <v>12845</v>
      </c>
      <c r="AF64" s="16" cm="1">
        <f t="array" ref="AF64">_xll.BDH("NUE US Equity","BS_TOT_LIAB2","FQ4 2025","FQ4 2025","Currency=USD","Period=FQ","BEST_FPERIOD_OVERRIDE=FQ","FILING_STATUS=MR","SCALING_FORMAT=MLN","Sort=A","Dates=H","DateFormat=P","Fill=—","Direction=H","UseDPDF=Y")</f>
        <v>12980</v>
      </c>
    </row>
    <row r="65" spans="1:32" x14ac:dyDescent="0.25">
      <c r="A65" s="10" t="s">
        <v>175</v>
      </c>
      <c r="B65" s="10" t="s">
        <v>176</v>
      </c>
      <c r="C65" s="13" cm="1">
        <f t="array" ref="C65">_xll.BDH("NUE US Equity","PFD_EQTY_HYBRID_CAPITAL","FQ3 2018","FQ3 2018","Currency=USD","Period=FQ","BEST_FPERIOD_OVERRIDE=FQ","FILING_STATUS=MR","SCALING_FORMAT=MLN","Sort=A","Dates=H","DateFormat=P","Fill=—","Direction=H","UseDPDF=Y")</f>
        <v>0</v>
      </c>
      <c r="D65" s="13" cm="1">
        <f t="array" ref="D65">_xll.BDH("NUE US Equity","PFD_EQTY_HYBRID_CAPITAL","FQ4 2018","FQ4 2018","Currency=USD","Period=FQ","BEST_FPERIOD_OVERRIDE=FQ","FILING_STATUS=MR","SCALING_FORMAT=MLN","Sort=A","Dates=H","DateFormat=P","Fill=—","Direction=H","UseDPDF=Y")</f>
        <v>0</v>
      </c>
      <c r="E65" s="13" cm="1">
        <f t="array" ref="E65">_xll.BDH("NUE US Equity","PFD_EQTY_HYBRID_CAPITAL","FQ1 2019","FQ1 2019","Currency=USD","Period=FQ","BEST_FPERIOD_OVERRIDE=FQ","FILING_STATUS=MR","SCALING_FORMAT=MLN","Sort=A","Dates=H","DateFormat=P","Fill=—","Direction=H","UseDPDF=Y")</f>
        <v>0</v>
      </c>
      <c r="F65" s="13" cm="1">
        <f t="array" ref="F65">_xll.BDH("NUE US Equity","PFD_EQTY_HYBRID_CAPITAL","FQ2 2019","FQ2 2019","Currency=USD","Period=FQ","BEST_FPERIOD_OVERRIDE=FQ","FILING_STATUS=MR","SCALING_FORMAT=MLN","Sort=A","Dates=H","DateFormat=P","Fill=—","Direction=H","UseDPDF=Y")</f>
        <v>0</v>
      </c>
      <c r="G65" s="13" cm="1">
        <f t="array" ref="G65">_xll.BDH("NUE US Equity","PFD_EQTY_HYBRID_CAPITAL","FQ3 2019","FQ3 2019","Currency=USD","Period=FQ","BEST_FPERIOD_OVERRIDE=FQ","FILING_STATUS=MR","SCALING_FORMAT=MLN","Sort=A","Dates=H","DateFormat=P","Fill=—","Direction=H","UseDPDF=Y")</f>
        <v>0</v>
      </c>
      <c r="H65" s="13" cm="1">
        <f t="array" ref="H65">_xll.BDH("NUE US Equity","PFD_EQTY_HYBRID_CAPITAL","FQ4 2019","FQ4 2019","Currency=USD","Period=FQ","BEST_FPERIOD_OVERRIDE=FQ","FILING_STATUS=MR","SCALING_FORMAT=MLN","Sort=A","Dates=H","DateFormat=P","Fill=—","Direction=H","UseDPDF=Y")</f>
        <v>0</v>
      </c>
      <c r="I65" s="13" cm="1">
        <f t="array" ref="I65">_xll.BDH("NUE US Equity","PFD_EQTY_HYBRID_CAPITAL","FQ1 2020","FQ1 2020","Currency=USD","Period=FQ","BEST_FPERIOD_OVERRIDE=FQ","FILING_STATUS=MR","SCALING_FORMAT=MLN","Sort=A","Dates=H","DateFormat=P","Fill=—","Direction=H","UseDPDF=Y")</f>
        <v>0</v>
      </c>
      <c r="J65" s="13" cm="1">
        <f t="array" ref="J65">_xll.BDH("NUE US Equity","PFD_EQTY_HYBRID_CAPITAL","FQ2 2020","FQ2 2020","Currency=USD","Period=FQ","BEST_FPERIOD_OVERRIDE=FQ","FILING_STATUS=MR","SCALING_FORMAT=MLN","Sort=A","Dates=H","DateFormat=P","Fill=—","Direction=H","UseDPDF=Y")</f>
        <v>0</v>
      </c>
      <c r="K65" s="13" cm="1">
        <f t="array" ref="K65">_xll.BDH("NUE US Equity","PFD_EQTY_HYBRID_CAPITAL","FQ3 2020","FQ3 2020","Currency=USD","Period=FQ","BEST_FPERIOD_OVERRIDE=FQ","FILING_STATUS=MR","SCALING_FORMAT=MLN","Sort=A","Dates=H","DateFormat=P","Fill=—","Direction=H","UseDPDF=Y")</f>
        <v>0</v>
      </c>
      <c r="L65" s="13" cm="1">
        <f t="array" ref="L65">_xll.BDH("NUE US Equity","PFD_EQTY_HYBRID_CAPITAL","FQ4 2020","FQ4 2020","Currency=USD","Period=FQ","BEST_FPERIOD_OVERRIDE=FQ","FILING_STATUS=MR","SCALING_FORMAT=MLN","Sort=A","Dates=H","DateFormat=P","Fill=—","Direction=H","UseDPDF=Y")</f>
        <v>0</v>
      </c>
      <c r="M65" s="13" cm="1">
        <f t="array" ref="M65">_xll.BDH("NUE US Equity","PFD_EQTY_HYBRID_CAPITAL","FQ1 2021","FQ1 2021","Currency=USD","Period=FQ","BEST_FPERIOD_OVERRIDE=FQ","FILING_STATUS=MR","SCALING_FORMAT=MLN","Sort=A","Dates=H","DateFormat=P","Fill=—","Direction=H","UseDPDF=Y")</f>
        <v>0</v>
      </c>
      <c r="N65" s="13" cm="1">
        <f t="array" ref="N65">_xll.BDH("NUE US Equity","PFD_EQTY_HYBRID_CAPITAL","FQ2 2021","FQ2 2021","Currency=USD","Period=FQ","BEST_FPERIOD_OVERRIDE=FQ","FILING_STATUS=MR","SCALING_FORMAT=MLN","Sort=A","Dates=H","DateFormat=P","Fill=—","Direction=H","UseDPDF=Y")</f>
        <v>0</v>
      </c>
      <c r="O65" s="13" cm="1">
        <f t="array" ref="O65">_xll.BDH("NUE US Equity","PFD_EQTY_HYBRID_CAPITAL","FQ3 2021","FQ3 2021","Currency=USD","Period=FQ","BEST_FPERIOD_OVERRIDE=FQ","FILING_STATUS=MR","SCALING_FORMAT=MLN","Sort=A","Dates=H","DateFormat=P","Fill=—","Direction=H","UseDPDF=Y")</f>
        <v>0</v>
      </c>
      <c r="P65" s="13" cm="1">
        <f t="array" ref="P65">_xll.BDH("NUE US Equity","PFD_EQTY_HYBRID_CAPITAL","FQ4 2021","FQ4 2021","Currency=USD","Period=FQ","BEST_FPERIOD_OVERRIDE=FQ","FILING_STATUS=MR","SCALING_FORMAT=MLN","Sort=A","Dates=H","DateFormat=P","Fill=—","Direction=H","UseDPDF=Y")</f>
        <v>0</v>
      </c>
      <c r="Q65" s="13" cm="1">
        <f t="array" ref="Q65">_xll.BDH("NUE US Equity","PFD_EQTY_HYBRID_CAPITAL","FQ1 2022","FQ1 2022","Currency=USD","Period=FQ","BEST_FPERIOD_OVERRIDE=FQ","FILING_STATUS=MR","SCALING_FORMAT=MLN","Sort=A","Dates=H","DateFormat=P","Fill=—","Direction=H","UseDPDF=Y")</f>
        <v>0</v>
      </c>
      <c r="R65" s="13" cm="1">
        <f t="array" ref="R65">_xll.BDH("NUE US Equity","PFD_EQTY_HYBRID_CAPITAL","FQ2 2022","FQ2 2022","Currency=USD","Period=FQ","BEST_FPERIOD_OVERRIDE=FQ","FILING_STATUS=MR","SCALING_FORMAT=MLN","Sort=A","Dates=H","DateFormat=P","Fill=—","Direction=H","UseDPDF=Y")</f>
        <v>0</v>
      </c>
      <c r="S65" s="13" cm="1">
        <f t="array" ref="S65">_xll.BDH("NUE US Equity","PFD_EQTY_HYBRID_CAPITAL","FQ3 2022","FQ3 2022","Currency=USD","Period=FQ","BEST_FPERIOD_OVERRIDE=FQ","FILING_STATUS=MR","SCALING_FORMAT=MLN","Sort=A","Dates=H","DateFormat=P","Fill=—","Direction=H","UseDPDF=Y")</f>
        <v>0</v>
      </c>
      <c r="T65" s="13" cm="1">
        <f t="array" ref="T65">_xll.BDH("NUE US Equity","PFD_EQTY_HYBRID_CAPITAL","FQ4 2022","FQ4 2022","Currency=USD","Period=FQ","BEST_FPERIOD_OVERRIDE=FQ","FILING_STATUS=MR","SCALING_FORMAT=MLN","Sort=A","Dates=H","DateFormat=P","Fill=—","Direction=H","UseDPDF=Y")</f>
        <v>0</v>
      </c>
      <c r="U65" s="13" cm="1">
        <f t="array" ref="U65">_xll.BDH("NUE US Equity","PFD_EQTY_HYBRID_CAPITAL","FQ1 2023","FQ1 2023","Currency=USD","Period=FQ","BEST_FPERIOD_OVERRIDE=FQ","FILING_STATUS=MR","SCALING_FORMAT=MLN","Sort=A","Dates=H","DateFormat=P","Fill=—","Direction=H","UseDPDF=Y")</f>
        <v>0</v>
      </c>
      <c r="V65" s="13" cm="1">
        <f t="array" ref="V65">_xll.BDH("NUE US Equity","PFD_EQTY_HYBRID_CAPITAL","FQ2 2023","FQ2 2023","Currency=USD","Period=FQ","BEST_FPERIOD_OVERRIDE=FQ","FILING_STATUS=MR","SCALING_FORMAT=MLN","Sort=A","Dates=H","DateFormat=P","Fill=—","Direction=H","UseDPDF=Y")</f>
        <v>0</v>
      </c>
      <c r="W65" s="13" cm="1">
        <f t="array" ref="W65">_xll.BDH("NUE US Equity","PFD_EQTY_HYBRID_CAPITAL","FQ3 2023","FQ3 2023","Currency=USD","Period=FQ","BEST_FPERIOD_OVERRIDE=FQ","FILING_STATUS=MR","SCALING_FORMAT=MLN","Sort=A","Dates=H","DateFormat=P","Fill=—","Direction=H","UseDPDF=Y")</f>
        <v>0</v>
      </c>
      <c r="X65" s="13" cm="1">
        <f t="array" ref="X65">_xll.BDH("NUE US Equity","PFD_EQTY_HYBRID_CAPITAL","FQ4 2023","FQ4 2023","Currency=USD","Period=FQ","BEST_FPERIOD_OVERRIDE=FQ","FILING_STATUS=MR","SCALING_FORMAT=MLN","Sort=A","Dates=H","DateFormat=P","Fill=—","Direction=H","UseDPDF=Y")</f>
        <v>0</v>
      </c>
      <c r="Y65" s="13" cm="1">
        <f t="array" ref="Y65">_xll.BDH("NUE US Equity","PFD_EQTY_HYBRID_CAPITAL","FQ1 2024","FQ1 2024","Currency=USD","Period=FQ","BEST_FPERIOD_OVERRIDE=FQ","FILING_STATUS=MR","SCALING_FORMAT=MLN","Sort=A","Dates=H","DateFormat=P","Fill=—","Direction=H","UseDPDF=Y")</f>
        <v>0</v>
      </c>
      <c r="Z65" s="13" cm="1">
        <f t="array" ref="Z65">_xll.BDH("NUE US Equity","PFD_EQTY_HYBRID_CAPITAL","FQ2 2024","FQ2 2024","Currency=USD","Period=FQ","BEST_FPERIOD_OVERRIDE=FQ","FILING_STATUS=MR","SCALING_FORMAT=MLN","Sort=A","Dates=H","DateFormat=P","Fill=—","Direction=H","UseDPDF=Y")</f>
        <v>0</v>
      </c>
      <c r="AA65" s="13" cm="1">
        <f t="array" ref="AA65">_xll.BDH("NUE US Equity","PFD_EQTY_HYBRID_CAPITAL","FQ3 2024","FQ3 2024","Currency=USD","Period=FQ","BEST_FPERIOD_OVERRIDE=FQ","FILING_STATUS=MR","SCALING_FORMAT=MLN","Sort=A","Dates=H","DateFormat=P","Fill=—","Direction=H","UseDPDF=Y")</f>
        <v>0</v>
      </c>
      <c r="AB65" s="13" cm="1">
        <f t="array" ref="AB65">_xll.BDH("NUE US Equity","PFD_EQTY_HYBRID_CAPITAL","FQ4 2024","FQ4 2024","Currency=USD","Period=FQ","BEST_FPERIOD_OVERRIDE=FQ","FILING_STATUS=MR","SCALING_FORMAT=MLN","Sort=A","Dates=H","DateFormat=P","Fill=—","Direction=H","UseDPDF=Y")</f>
        <v>0</v>
      </c>
      <c r="AC65" s="13" cm="1">
        <f t="array" ref="AC65">_xll.BDH("NUE US Equity","PFD_EQTY_HYBRID_CAPITAL","FQ1 2025","FQ1 2025","Currency=USD","Period=FQ","BEST_FPERIOD_OVERRIDE=FQ","FILING_STATUS=MR","SCALING_FORMAT=MLN","Sort=A","Dates=H","DateFormat=P","Fill=—","Direction=H","UseDPDF=Y")</f>
        <v>0</v>
      </c>
      <c r="AD65" s="13" cm="1">
        <f t="array" ref="AD65">_xll.BDH("NUE US Equity","PFD_EQTY_HYBRID_CAPITAL","FQ2 2025","FQ2 2025","Currency=USD","Period=FQ","BEST_FPERIOD_OVERRIDE=FQ","FILING_STATUS=MR","SCALING_FORMAT=MLN","Sort=A","Dates=H","DateFormat=P","Fill=—","Direction=H","UseDPDF=Y")</f>
        <v>0</v>
      </c>
      <c r="AE65" s="13" cm="1">
        <f t="array" ref="AE65">_xll.BDH("NUE US Equity","PFD_EQTY_HYBRID_CAPITAL","FQ3 2025","FQ3 2025","Currency=USD","Period=FQ","BEST_FPERIOD_OVERRIDE=FQ","FILING_STATUS=MR","SCALING_FORMAT=MLN","Sort=A","Dates=H","DateFormat=P","Fill=—","Direction=H","UseDPDF=Y")</f>
        <v>0</v>
      </c>
      <c r="AF65" s="13" cm="1">
        <f t="array" ref="AF65">_xll.BDH("NUE US Equity","PFD_EQTY_HYBRID_CAPITAL","FQ4 2025","FQ4 2025","Currency=USD","Period=FQ","BEST_FPERIOD_OVERRIDE=FQ","FILING_STATUS=MR","SCALING_FORMAT=MLN","Sort=A","Dates=H","DateFormat=P","Fill=—","Direction=H","UseDPDF=Y")</f>
        <v>0</v>
      </c>
    </row>
    <row r="66" spans="1:32" x14ac:dyDescent="0.25">
      <c r="A66" s="10" t="s">
        <v>177</v>
      </c>
      <c r="B66" s="10" t="s">
        <v>178</v>
      </c>
      <c r="C66" s="13" cm="1">
        <f t="array" ref="C66">_xll.BDH("NUE US Equity","BS_SH_CAP_AND_APIC","FQ3 2018","FQ3 2018","Currency=USD","Period=FQ","BEST_FPERIOD_OVERRIDE=FQ","FILING_STATUS=MR","SCALING_FORMAT=MLN","Sort=A","Dates=H","DateFormat=P","Fill=—","Direction=H","UseDPDF=Y")</f>
        <v>2217.36</v>
      </c>
      <c r="D66" s="13" cm="1">
        <f t="array" ref="D66">_xll.BDH("NUE US Equity","BS_SH_CAP_AND_APIC","FQ4 2018","FQ4 2018","Currency=USD","Period=FQ","BEST_FPERIOD_OVERRIDE=FQ","FILING_STATUS=MR","SCALING_FORMAT=MLN","Sort=A","Dates=H","DateFormat=P","Fill=—","Direction=H","UseDPDF=Y")</f>
        <v>2225.7759999999998</v>
      </c>
      <c r="E66" s="13" cm="1">
        <f t="array" ref="E66">_xll.BDH("NUE US Equity","BS_SH_CAP_AND_APIC","FQ1 2019","FQ1 2019","Currency=USD","Period=FQ","BEST_FPERIOD_OVERRIDE=FQ","FILING_STATUS=MR","SCALING_FORMAT=MLN","Sort=A","Dates=H","DateFormat=P","Fill=—","Direction=H","UseDPDF=Y")</f>
        <v>2235.4</v>
      </c>
      <c r="F66" s="13" cm="1">
        <f t="array" ref="F66">_xll.BDH("NUE US Equity","BS_SH_CAP_AND_APIC","FQ2 2019","FQ2 2019","Currency=USD","Period=FQ","BEST_FPERIOD_OVERRIDE=FQ","FILING_STATUS=MR","SCALING_FORMAT=MLN","Sort=A","Dates=H","DateFormat=P","Fill=—","Direction=H","UseDPDF=Y")</f>
        <v>2250.87</v>
      </c>
      <c r="G66" s="13" cm="1">
        <f t="array" ref="G66">_xll.BDH("NUE US Equity","BS_SH_CAP_AND_APIC","FQ3 2019","FQ3 2019","Currency=USD","Period=FQ","BEST_FPERIOD_OVERRIDE=FQ","FILING_STATUS=MR","SCALING_FORMAT=MLN","Sort=A","Dates=H","DateFormat=P","Fill=—","Direction=H","UseDPDF=Y")</f>
        <v>2261.009</v>
      </c>
      <c r="H66" s="13" cm="1">
        <f t="array" ref="H66">_xll.BDH("NUE US Equity","BS_SH_CAP_AND_APIC","FQ4 2019","FQ4 2019","Currency=USD","Period=FQ","BEST_FPERIOD_OVERRIDE=FQ","FILING_STATUS=MR","SCALING_FORMAT=MLN","Sort=A","Dates=H","DateFormat=P","Fill=—","Direction=H","UseDPDF=Y")</f>
        <v>2259.7069999999999</v>
      </c>
      <c r="I66" s="13" cm="1">
        <f t="array" ref="I66">_xll.BDH("NUE US Equity","BS_SH_CAP_AND_APIC","FQ1 2020","FQ1 2020","Currency=USD","Period=FQ","BEST_FPERIOD_OVERRIDE=FQ","FILING_STATUS=MR","SCALING_FORMAT=MLN","Sort=A","Dates=H","DateFormat=P","Fill=—","Direction=H","UseDPDF=Y")</f>
        <v>2271.431</v>
      </c>
      <c r="J66" s="13" cm="1">
        <f t="array" ref="J66">_xll.BDH("NUE US Equity","BS_SH_CAP_AND_APIC","FQ2 2020","FQ2 2020","Currency=USD","Period=FQ","BEST_FPERIOD_OVERRIDE=FQ","FILING_STATUS=MR","SCALING_FORMAT=MLN","Sort=A","Dates=H","DateFormat=P","Fill=—","Direction=H","UseDPDF=Y")</f>
        <v>2258.9679999999998</v>
      </c>
      <c r="K66" s="13" cm="1">
        <f t="array" ref="K66">_xll.BDH("NUE US Equity","BS_SH_CAP_AND_APIC","FQ3 2020","FQ3 2020","Currency=USD","Period=FQ","BEST_FPERIOD_OVERRIDE=FQ","FILING_STATUS=MR","SCALING_FORMAT=MLN","Sort=A","Dates=H","DateFormat=P","Fill=—","Direction=H","UseDPDF=Y")</f>
        <v>2269.643</v>
      </c>
      <c r="L66" s="13" cm="1">
        <f t="array" ref="L66">_xll.BDH("NUE US Equity","BS_SH_CAP_AND_APIC","FQ4 2020","FQ4 2020","Currency=USD","Period=FQ","BEST_FPERIOD_OVERRIDE=FQ","FILING_STATUS=MR","SCALING_FORMAT=MLN","Sort=A","Dates=H","DateFormat=P","Fill=—","Direction=H","UseDPDF=Y")</f>
        <v>2273.3490000000002</v>
      </c>
      <c r="M66" s="13" cm="1">
        <f t="array" ref="M66">_xll.BDH("NUE US Equity","BS_SH_CAP_AND_APIC","FQ1 2021","FQ1 2021","Currency=USD","Period=FQ","BEST_FPERIOD_OVERRIDE=FQ","FILING_STATUS=MR","SCALING_FORMAT=MLN","Sort=A","Dates=H","DateFormat=P","Fill=—","Direction=H","UseDPDF=Y")</f>
        <v>2312.9699999999998</v>
      </c>
      <c r="N66" s="13" cm="1">
        <f t="array" ref="N66">_xll.BDH("NUE US Equity","BS_SH_CAP_AND_APIC","FQ2 2021","FQ2 2021","Currency=USD","Period=FQ","BEST_FPERIOD_OVERRIDE=FQ","FILING_STATUS=MR","SCALING_FORMAT=MLN","Sort=A","Dates=H","DateFormat=P","Fill=—","Direction=H","UseDPDF=Y")</f>
        <v>2269.2159999999999</v>
      </c>
      <c r="O66" s="13" cm="1">
        <f t="array" ref="O66">_xll.BDH("NUE US Equity","BS_SH_CAP_AND_APIC","FQ3 2021","FQ3 2021","Currency=USD","Period=FQ","BEST_FPERIOD_OVERRIDE=FQ","FILING_STATUS=MR","SCALING_FORMAT=MLN","Sort=A","Dates=H","DateFormat=P","Fill=—","Direction=H","UseDPDF=Y")</f>
        <v>2283.5749999999998</v>
      </c>
      <c r="P66" s="13" cm="1">
        <f t="array" ref="P66">_xll.BDH("NUE US Equity","BS_SH_CAP_AND_APIC","FQ4 2021","FQ4 2021","Currency=USD","Period=FQ","BEST_FPERIOD_OVERRIDE=FQ","FILING_STATUS=MR","SCALING_FORMAT=MLN","Sort=A","Dates=H","DateFormat=P","Fill=—","Direction=H","UseDPDF=Y")</f>
        <v>2292.6689999999999</v>
      </c>
      <c r="Q66" s="13" cm="1">
        <f t="array" ref="Q66">_xll.BDH("NUE US Equity","BS_SH_CAP_AND_APIC","FQ1 2022","FQ1 2022","Currency=USD","Period=FQ","BEST_FPERIOD_OVERRIDE=FQ","FILING_STATUS=MR","SCALING_FORMAT=MLN","Sort=A","Dates=H","DateFormat=P","Fill=—","Direction=H","UseDPDF=Y")</f>
        <v>2315.19</v>
      </c>
      <c r="R66" s="13" cm="1">
        <f t="array" ref="R66">_xll.BDH("NUE US Equity","BS_SH_CAP_AND_APIC","FQ2 2022","FQ2 2022","Currency=USD","Period=FQ","BEST_FPERIOD_OVERRIDE=FQ","FILING_STATUS=MR","SCALING_FORMAT=MLN","Sort=A","Dates=H","DateFormat=P","Fill=—","Direction=H","UseDPDF=Y")</f>
        <v>2267.239</v>
      </c>
      <c r="S66" s="13" cm="1">
        <f t="array" ref="S66">_xll.BDH("NUE US Equity","BS_SH_CAP_AND_APIC","FQ3 2022","FQ3 2022","Currency=USD","Period=FQ","BEST_FPERIOD_OVERRIDE=FQ","FILING_STATUS=MR","SCALING_FORMAT=MLN","Sort=A","Dates=H","DateFormat=P","Fill=—","Direction=H","UseDPDF=Y")</f>
        <v>2280.5819999999999</v>
      </c>
      <c r="T66" s="13" cm="1">
        <f t="array" ref="T66">_xll.BDH("NUE US Equity","BS_SH_CAP_AND_APIC","FQ4 2022","FQ4 2022","Currency=USD","Period=FQ","BEST_FPERIOD_OVERRIDE=FQ","FILING_STATUS=MR","SCALING_FORMAT=MLN","Sort=A","Dates=H","DateFormat=P","Fill=—","Direction=H","UseDPDF=Y")</f>
        <v>2295.5810000000001</v>
      </c>
      <c r="U66" s="13" cm="1">
        <f t="array" ref="U66">_xll.BDH("NUE US Equity","BS_SH_CAP_AND_APIC","FQ1 2023","FQ1 2023","Currency=USD","Period=FQ","BEST_FPERIOD_OVERRIDE=FQ","FILING_STATUS=MR","SCALING_FORMAT=MLN","Sort=A","Dates=H","DateFormat=P","Fill=—","Direction=H","UseDPDF=Y")</f>
        <v>2320.8310000000001</v>
      </c>
      <c r="V66" s="13" cm="1">
        <f t="array" ref="V66">_xll.BDH("NUE US Equity","BS_SH_CAP_AND_APIC","FQ2 2023","FQ2 2023","Currency=USD","Period=FQ","BEST_FPERIOD_OVERRIDE=FQ","FILING_STATUS=MR","SCALING_FORMAT=MLN","Sort=A","Dates=H","DateFormat=P","Fill=—","Direction=H","UseDPDF=Y")</f>
        <v>2301.7539999999999</v>
      </c>
      <c r="W66" s="13" cm="1">
        <f t="array" ref="W66">_xll.BDH("NUE US Equity","BS_SH_CAP_AND_APIC","FQ3 2023","FQ3 2023","Currency=USD","Period=FQ","BEST_FPERIOD_OVERRIDE=FQ","FILING_STATUS=MR","SCALING_FORMAT=MLN","Sort=A","Dates=H","DateFormat=P","Fill=—","Direction=H","UseDPDF=Y")</f>
        <v>2317.6959999999999</v>
      </c>
      <c r="X66" s="13" cm="1">
        <f t="array" ref="X66">_xll.BDH("NUE US Equity","BS_SH_CAP_AND_APIC","FQ4 2023","FQ4 2023","Currency=USD","Period=FQ","BEST_FPERIOD_OVERRIDE=FQ","FILING_STATUS=MR","SCALING_FORMAT=MLN","Sort=A","Dates=H","DateFormat=P","Fill=—","Direction=H","UseDPDF=Y")</f>
        <v>2328.3040000000001</v>
      </c>
      <c r="Y66" s="13" cm="1">
        <f t="array" ref="Y66">_xll.BDH("NUE US Equity","BS_SH_CAP_AND_APIC","FQ1 2024","FQ1 2024","Currency=USD","Period=FQ","BEST_FPERIOD_OVERRIDE=FQ","FILING_STATUS=MR","SCALING_FORMAT=MLN","Sort=A","Dates=H","DateFormat=P","Fill=—","Direction=H","UseDPDF=Y")</f>
        <v>2362.884</v>
      </c>
      <c r="Z66" s="13" cm="1">
        <f t="array" ref="Z66">_xll.BDH("NUE US Equity","BS_SH_CAP_AND_APIC","FQ2 2024","FQ2 2024","Currency=USD","Period=FQ","BEST_FPERIOD_OVERRIDE=FQ","FILING_STATUS=MR","SCALING_FORMAT=MLN","Sort=A","Dates=H","DateFormat=P","Fill=—","Direction=H","UseDPDF=Y")</f>
        <v>2341.4319999999998</v>
      </c>
      <c r="AA66" s="13" cm="1">
        <f t="array" ref="AA66">_xll.BDH("NUE US Equity","BS_SH_CAP_AND_APIC","FQ3 2024","FQ3 2024","Currency=USD","Period=FQ","BEST_FPERIOD_OVERRIDE=FQ","FILING_STATUS=MR","SCALING_FORMAT=MLN","Sort=A","Dates=H","DateFormat=P","Fill=—","Direction=H","UseDPDF=Y")</f>
        <v>2359.989</v>
      </c>
      <c r="AB66" s="13" cm="1">
        <f t="array" ref="AB66">_xll.BDH("NUE US Equity","BS_SH_CAP_AND_APIC","FQ4 2024","FQ4 2024","Currency=USD","Period=FQ","BEST_FPERIOD_OVERRIDE=FQ","FILING_STATUS=MR","SCALING_FORMAT=MLN","Sort=A","Dates=H","DateFormat=P","Fill=—","Direction=H","UseDPDF=Y")</f>
        <v>2375</v>
      </c>
      <c r="AC66" s="13" cm="1">
        <f t="array" ref="AC66">_xll.BDH("NUE US Equity","BS_SH_CAP_AND_APIC","FQ1 2025","FQ1 2025","Currency=USD","Period=FQ","BEST_FPERIOD_OVERRIDE=FQ","FILING_STATUS=MR","SCALING_FORMAT=MLN","Sort=A","Dates=H","DateFormat=P","Fill=—","Direction=H","UseDPDF=Y")</f>
        <v>2397</v>
      </c>
      <c r="AD66" s="13" cm="1">
        <f t="array" ref="AD66">_xll.BDH("NUE US Equity","BS_SH_CAP_AND_APIC","FQ2 2025","FQ2 2025","Currency=USD","Period=FQ","BEST_FPERIOD_OVERRIDE=FQ","FILING_STATUS=MR","SCALING_FORMAT=MLN","Sort=A","Dates=H","DateFormat=P","Fill=—","Direction=H","UseDPDF=Y")</f>
        <v>2365</v>
      </c>
      <c r="AE66" s="13" cm="1">
        <f t="array" ref="AE66">_xll.BDH("NUE US Equity","BS_SH_CAP_AND_APIC","FQ3 2025","FQ3 2025","Currency=USD","Period=FQ","BEST_FPERIOD_OVERRIDE=FQ","FILING_STATUS=MR","SCALING_FORMAT=MLN","Sort=A","Dates=H","DateFormat=P","Fill=—","Direction=H","UseDPDF=Y")</f>
        <v>2385</v>
      </c>
      <c r="AF66" s="13" cm="1">
        <f t="array" ref="AF66">_xll.BDH("NUE US Equity","BS_SH_CAP_AND_APIC","FQ4 2025","FQ4 2025","Currency=USD","Period=FQ","BEST_FPERIOD_OVERRIDE=FQ","FILING_STATUS=MR","SCALING_FORMAT=MLN","Sort=A","Dates=H","DateFormat=P","Fill=—","Direction=H","UseDPDF=Y")</f>
        <v>2405</v>
      </c>
    </row>
    <row r="67" spans="1:32" x14ac:dyDescent="0.25">
      <c r="A67" s="10" t="s">
        <v>179</v>
      </c>
      <c r="B67" s="10" t="s">
        <v>180</v>
      </c>
      <c r="C67" s="13" cm="1">
        <f t="array" ref="C67">_xll.BDH("NUE US Equity","BS_COMMON_STOCK","FQ3 2018","FQ3 2018","Currency=USD","Period=FQ","BEST_FPERIOD_OVERRIDE=FQ","FILING_STATUS=MR","SCALING_FORMAT=MLN","Sort=A","Dates=H","DateFormat=P","Fill=—","Direction=H","UseDPDF=Y")</f>
        <v>152.06100000000001</v>
      </c>
      <c r="D67" s="13" cm="1">
        <f t="array" ref="D67">_xll.BDH("NUE US Equity","BS_COMMON_STOCK","FQ4 2018","FQ4 2018","Currency=USD","Period=FQ","BEST_FPERIOD_OVERRIDE=FQ","FILING_STATUS=MR","SCALING_FORMAT=MLN","Sort=A","Dates=H","DateFormat=P","Fill=—","Direction=H","UseDPDF=Y")</f>
        <v>152.06100000000001</v>
      </c>
      <c r="E67" s="13" cm="1">
        <f t="array" ref="E67">_xll.BDH("NUE US Equity","BS_COMMON_STOCK","FQ1 2019","FQ1 2019","Currency=USD","Period=FQ","BEST_FPERIOD_OVERRIDE=FQ","FILING_STATUS=MR","SCALING_FORMAT=MLN","Sort=A","Dates=H","DateFormat=P","Fill=—","Direction=H","UseDPDF=Y")</f>
        <v>152.06100000000001</v>
      </c>
      <c r="F67" s="13" cm="1">
        <f t="array" ref="F67">_xll.BDH("NUE US Equity","BS_COMMON_STOCK","FQ2 2019","FQ2 2019","Currency=USD","Period=FQ","BEST_FPERIOD_OVERRIDE=FQ","FILING_STATUS=MR","SCALING_FORMAT=MLN","Sort=A","Dates=H","DateFormat=P","Fill=—","Direction=H","UseDPDF=Y")</f>
        <v>152.06100000000001</v>
      </c>
      <c r="G67" s="13" cm="1">
        <f t="array" ref="G67">_xll.BDH("NUE US Equity","BS_COMMON_STOCK","FQ3 2019","FQ3 2019","Currency=USD","Period=FQ","BEST_FPERIOD_OVERRIDE=FQ","FILING_STATUS=MR","SCALING_FORMAT=MLN","Sort=A","Dates=H","DateFormat=P","Fill=—","Direction=H","UseDPDF=Y")</f>
        <v>152.06100000000001</v>
      </c>
      <c r="H67" s="13" cm="1">
        <f t="array" ref="H67">_xll.BDH("NUE US Equity","BS_COMMON_STOCK","FQ4 2019","FQ4 2019","Currency=USD","Period=FQ","BEST_FPERIOD_OVERRIDE=FQ","FILING_STATUS=MR","SCALING_FORMAT=MLN","Sort=A","Dates=H","DateFormat=P","Fill=—","Direction=H","UseDPDF=Y")</f>
        <v>152.06100000000001</v>
      </c>
      <c r="I67" s="13" cm="1">
        <f t="array" ref="I67">_xll.BDH("NUE US Equity","BS_COMMON_STOCK","FQ1 2020","FQ1 2020","Currency=USD","Period=FQ","BEST_FPERIOD_OVERRIDE=FQ","FILING_STATUS=MR","SCALING_FORMAT=MLN","Sort=A","Dates=H","DateFormat=P","Fill=—","Direction=H","UseDPDF=Y")</f>
        <v>152.06100000000001</v>
      </c>
      <c r="J67" s="13" cm="1">
        <f t="array" ref="J67">_xll.BDH("NUE US Equity","BS_COMMON_STOCK","FQ2 2020","FQ2 2020","Currency=USD","Period=FQ","BEST_FPERIOD_OVERRIDE=FQ","FILING_STATUS=MR","SCALING_FORMAT=MLN","Sort=A","Dates=H","DateFormat=P","Fill=—","Direction=H","UseDPDF=Y")</f>
        <v>152.06100000000001</v>
      </c>
      <c r="K67" s="13" cm="1">
        <f t="array" ref="K67">_xll.BDH("NUE US Equity","BS_COMMON_STOCK","FQ3 2020","FQ3 2020","Currency=USD","Period=FQ","BEST_FPERIOD_OVERRIDE=FQ","FILING_STATUS=MR","SCALING_FORMAT=MLN","Sort=A","Dates=H","DateFormat=P","Fill=—","Direction=H","UseDPDF=Y")</f>
        <v>152.06100000000001</v>
      </c>
      <c r="L67" s="13" cm="1">
        <f t="array" ref="L67">_xll.BDH("NUE US Equity","BS_COMMON_STOCK","FQ4 2020","FQ4 2020","Currency=USD","Period=FQ","BEST_FPERIOD_OVERRIDE=FQ","FILING_STATUS=MR","SCALING_FORMAT=MLN","Sort=A","Dates=H","DateFormat=P","Fill=—","Direction=H","UseDPDF=Y")</f>
        <v>152.06100000000001</v>
      </c>
      <c r="M67" s="13" cm="1">
        <f t="array" ref="M67">_xll.BDH("NUE US Equity","BS_COMMON_STOCK","FQ1 2021","FQ1 2021","Currency=USD","Period=FQ","BEST_FPERIOD_OVERRIDE=FQ","FILING_STATUS=MR","SCALING_FORMAT=MLN","Sort=A","Dates=H","DateFormat=P","Fill=—","Direction=H","UseDPDF=Y")</f>
        <v>152.06100000000001</v>
      </c>
      <c r="N67" s="13" cm="1">
        <f t="array" ref="N67">_xll.BDH("NUE US Equity","BS_COMMON_STOCK","FQ2 2021","FQ2 2021","Currency=USD","Period=FQ","BEST_FPERIOD_OVERRIDE=FQ","FILING_STATUS=MR","SCALING_FORMAT=MLN","Sort=A","Dates=H","DateFormat=P","Fill=—","Direction=H","UseDPDF=Y")</f>
        <v>152.06100000000001</v>
      </c>
      <c r="O67" s="13" cm="1">
        <f t="array" ref="O67">_xll.BDH("NUE US Equity","BS_COMMON_STOCK","FQ3 2021","FQ3 2021","Currency=USD","Period=FQ","BEST_FPERIOD_OVERRIDE=FQ","FILING_STATUS=MR","SCALING_FORMAT=MLN","Sort=A","Dates=H","DateFormat=P","Fill=—","Direction=H","UseDPDF=Y")</f>
        <v>152.06100000000001</v>
      </c>
      <c r="P67" s="13" cm="1">
        <f t="array" ref="P67">_xll.BDH("NUE US Equity","BS_COMMON_STOCK","FQ4 2021","FQ4 2021","Currency=USD","Period=FQ","BEST_FPERIOD_OVERRIDE=FQ","FILING_STATUS=MR","SCALING_FORMAT=MLN","Sort=A","Dates=H","DateFormat=P","Fill=—","Direction=H","UseDPDF=Y")</f>
        <v>152.06100000000001</v>
      </c>
      <c r="Q67" s="13" cm="1">
        <f t="array" ref="Q67">_xll.BDH("NUE US Equity","BS_COMMON_STOCK","FQ1 2022","FQ1 2022","Currency=USD","Period=FQ","BEST_FPERIOD_OVERRIDE=FQ","FILING_STATUS=MR","SCALING_FORMAT=MLN","Sort=A","Dates=H","DateFormat=P","Fill=—","Direction=H","UseDPDF=Y")</f>
        <v>152.06100000000001</v>
      </c>
      <c r="R67" s="13" cm="1">
        <f t="array" ref="R67">_xll.BDH("NUE US Equity","BS_COMMON_STOCK","FQ2 2022","FQ2 2022","Currency=USD","Period=FQ","BEST_FPERIOD_OVERRIDE=FQ","FILING_STATUS=MR","SCALING_FORMAT=MLN","Sort=A","Dates=H","DateFormat=P","Fill=—","Direction=H","UseDPDF=Y")</f>
        <v>152.06100000000001</v>
      </c>
      <c r="S67" s="13" cm="1">
        <f t="array" ref="S67">_xll.BDH("NUE US Equity","BS_COMMON_STOCK","FQ3 2022","FQ3 2022","Currency=USD","Period=FQ","BEST_FPERIOD_OVERRIDE=FQ","FILING_STATUS=MR","SCALING_FORMAT=MLN","Sort=A","Dates=H","DateFormat=P","Fill=—","Direction=H","UseDPDF=Y")</f>
        <v>152.06100000000001</v>
      </c>
      <c r="T67" s="13" cm="1">
        <f t="array" ref="T67">_xll.BDH("NUE US Equity","BS_COMMON_STOCK","FQ4 2022","FQ4 2022","Currency=USD","Period=FQ","BEST_FPERIOD_OVERRIDE=FQ","FILING_STATUS=MR","SCALING_FORMAT=MLN","Sort=A","Dates=H","DateFormat=P","Fill=—","Direction=H","UseDPDF=Y")</f>
        <v>152.06100000000001</v>
      </c>
      <c r="U67" s="13" cm="1">
        <f t="array" ref="U67">_xll.BDH("NUE US Equity","BS_COMMON_STOCK","FQ1 2023","FQ1 2023","Currency=USD","Period=FQ","BEST_FPERIOD_OVERRIDE=FQ","FILING_STATUS=MR","SCALING_FORMAT=MLN","Sort=A","Dates=H","DateFormat=P","Fill=—","Direction=H","UseDPDF=Y")</f>
        <v>152.06100000000001</v>
      </c>
      <c r="V67" s="13" cm="1">
        <f t="array" ref="V67">_xll.BDH("NUE US Equity","BS_COMMON_STOCK","FQ2 2023","FQ2 2023","Currency=USD","Period=FQ","BEST_FPERIOD_OVERRIDE=FQ","FILING_STATUS=MR","SCALING_FORMAT=MLN","Sort=A","Dates=H","DateFormat=P","Fill=—","Direction=H","UseDPDF=Y")</f>
        <v>152.06100000000001</v>
      </c>
      <c r="W67" s="13" cm="1">
        <f t="array" ref="W67">_xll.BDH("NUE US Equity","BS_COMMON_STOCK","FQ3 2023","FQ3 2023","Currency=USD","Period=FQ","BEST_FPERIOD_OVERRIDE=FQ","FILING_STATUS=MR","SCALING_FORMAT=MLN","Sort=A","Dates=H","DateFormat=P","Fill=—","Direction=H","UseDPDF=Y")</f>
        <v>152.06100000000001</v>
      </c>
      <c r="X67" s="13" cm="1">
        <f t="array" ref="X67">_xll.BDH("NUE US Equity","BS_COMMON_STOCK","FQ4 2023","FQ4 2023","Currency=USD","Period=FQ","BEST_FPERIOD_OVERRIDE=FQ","FILING_STATUS=MR","SCALING_FORMAT=MLN","Sort=A","Dates=H","DateFormat=P","Fill=—","Direction=H","UseDPDF=Y")</f>
        <v>152.06100000000001</v>
      </c>
      <c r="Y67" s="13" cm="1">
        <f t="array" ref="Y67">_xll.BDH("NUE US Equity","BS_COMMON_STOCK","FQ1 2024","FQ1 2024","Currency=USD","Period=FQ","BEST_FPERIOD_OVERRIDE=FQ","FILING_STATUS=MR","SCALING_FORMAT=MLN","Sort=A","Dates=H","DateFormat=P","Fill=—","Direction=H","UseDPDF=Y")</f>
        <v>152.06100000000001</v>
      </c>
      <c r="Z67" s="13" cm="1">
        <f t="array" ref="Z67">_xll.BDH("NUE US Equity","BS_COMMON_STOCK","FQ2 2024","FQ2 2024","Currency=USD","Period=FQ","BEST_FPERIOD_OVERRIDE=FQ","FILING_STATUS=MR","SCALING_FORMAT=MLN","Sort=A","Dates=H","DateFormat=P","Fill=—","Direction=H","UseDPDF=Y")</f>
        <v>152.06100000000001</v>
      </c>
      <c r="AA67" s="13" cm="1">
        <f t="array" ref="AA67">_xll.BDH("NUE US Equity","BS_COMMON_STOCK","FQ3 2024","FQ3 2024","Currency=USD","Period=FQ","BEST_FPERIOD_OVERRIDE=FQ","FILING_STATUS=MR","SCALING_FORMAT=MLN","Sort=A","Dates=H","DateFormat=P","Fill=—","Direction=H","UseDPDF=Y")</f>
        <v>152.06100000000001</v>
      </c>
      <c r="AB67" s="13" cm="1">
        <f t="array" ref="AB67">_xll.BDH("NUE US Equity","BS_COMMON_STOCK","FQ4 2024","FQ4 2024","Currency=USD","Period=FQ","BEST_FPERIOD_OVERRIDE=FQ","FILING_STATUS=MR","SCALING_FORMAT=MLN","Sort=A","Dates=H","DateFormat=P","Fill=—","Direction=H","UseDPDF=Y")</f>
        <v>152</v>
      </c>
      <c r="AC67" s="13" cm="1">
        <f t="array" ref="AC67">_xll.BDH("NUE US Equity","BS_COMMON_STOCK","FQ1 2025","FQ1 2025","Currency=USD","Period=FQ","BEST_FPERIOD_OVERRIDE=FQ","FILING_STATUS=MR","SCALING_FORMAT=MLN","Sort=A","Dates=H","DateFormat=P","Fill=—","Direction=H","UseDPDF=Y")</f>
        <v>152</v>
      </c>
      <c r="AD67" s="13" cm="1">
        <f t="array" ref="AD67">_xll.BDH("NUE US Equity","BS_COMMON_STOCK","FQ2 2025","FQ2 2025","Currency=USD","Period=FQ","BEST_FPERIOD_OVERRIDE=FQ","FILING_STATUS=MR","SCALING_FORMAT=MLN","Sort=A","Dates=H","DateFormat=P","Fill=—","Direction=H","UseDPDF=Y")</f>
        <v>152</v>
      </c>
      <c r="AE67" s="13" cm="1">
        <f t="array" ref="AE67">_xll.BDH("NUE US Equity","BS_COMMON_STOCK","FQ3 2025","FQ3 2025","Currency=USD","Period=FQ","BEST_FPERIOD_OVERRIDE=FQ","FILING_STATUS=MR","SCALING_FORMAT=MLN","Sort=A","Dates=H","DateFormat=P","Fill=—","Direction=H","UseDPDF=Y")</f>
        <v>152</v>
      </c>
      <c r="AF67" s="13" cm="1">
        <f t="array" ref="AF67">_xll.BDH("NUE US Equity","BS_COMMON_STOCK","FQ4 2025","FQ4 2025","Currency=USD","Period=FQ","BEST_FPERIOD_OVERRIDE=FQ","FILING_STATUS=MR","SCALING_FORMAT=MLN","Sort=A","Dates=H","DateFormat=P","Fill=—","Direction=H","UseDPDF=Y")</f>
        <v>152</v>
      </c>
    </row>
    <row r="68" spans="1:32" x14ac:dyDescent="0.25">
      <c r="A68" s="10" t="s">
        <v>181</v>
      </c>
      <c r="B68" s="10" t="s">
        <v>182</v>
      </c>
      <c r="C68" s="13" cm="1">
        <f t="array" ref="C68">_xll.BDH("NUE US Equity","BS_ADD_PAID_IN_CAP","FQ3 2018","FQ3 2018","Currency=USD","Period=FQ","BEST_FPERIOD_OVERRIDE=FQ","FILING_STATUS=MR","SCALING_FORMAT=MLN","Sort=A","Dates=H","DateFormat=P","Fill=—","Direction=H","UseDPDF=Y")</f>
        <v>2065.299</v>
      </c>
      <c r="D68" s="13" cm="1">
        <f t="array" ref="D68">_xll.BDH("NUE US Equity","BS_ADD_PAID_IN_CAP","FQ4 2018","FQ4 2018","Currency=USD","Period=FQ","BEST_FPERIOD_OVERRIDE=FQ","FILING_STATUS=MR","SCALING_FORMAT=MLN","Sort=A","Dates=H","DateFormat=P","Fill=—","Direction=H","UseDPDF=Y")</f>
        <v>2073.7150000000001</v>
      </c>
      <c r="E68" s="13" cm="1">
        <f t="array" ref="E68">_xll.BDH("NUE US Equity","BS_ADD_PAID_IN_CAP","FQ1 2019","FQ1 2019","Currency=USD","Period=FQ","BEST_FPERIOD_OVERRIDE=FQ","FILING_STATUS=MR","SCALING_FORMAT=MLN","Sort=A","Dates=H","DateFormat=P","Fill=—","Direction=H","UseDPDF=Y")</f>
        <v>2083.3389999999999</v>
      </c>
      <c r="F68" s="13" cm="1">
        <f t="array" ref="F68">_xll.BDH("NUE US Equity","BS_ADD_PAID_IN_CAP","FQ2 2019","FQ2 2019","Currency=USD","Period=FQ","BEST_FPERIOD_OVERRIDE=FQ","FILING_STATUS=MR","SCALING_FORMAT=MLN","Sort=A","Dates=H","DateFormat=P","Fill=—","Direction=H","UseDPDF=Y")</f>
        <v>2098.8090000000002</v>
      </c>
      <c r="G68" s="13" cm="1">
        <f t="array" ref="G68">_xll.BDH("NUE US Equity","BS_ADD_PAID_IN_CAP","FQ3 2019","FQ3 2019","Currency=USD","Period=FQ","BEST_FPERIOD_OVERRIDE=FQ","FILING_STATUS=MR","SCALING_FORMAT=MLN","Sort=A","Dates=H","DateFormat=P","Fill=—","Direction=H","UseDPDF=Y")</f>
        <v>2108.9479999999999</v>
      </c>
      <c r="H68" s="13" cm="1">
        <f t="array" ref="H68">_xll.BDH("NUE US Equity","BS_ADD_PAID_IN_CAP","FQ4 2019","FQ4 2019","Currency=USD","Period=FQ","BEST_FPERIOD_OVERRIDE=FQ","FILING_STATUS=MR","SCALING_FORMAT=MLN","Sort=A","Dates=H","DateFormat=P","Fill=—","Direction=H","UseDPDF=Y")</f>
        <v>2107.6460000000002</v>
      </c>
      <c r="I68" s="13" cm="1">
        <f t="array" ref="I68">_xll.BDH("NUE US Equity","BS_ADD_PAID_IN_CAP","FQ1 2020","FQ1 2020","Currency=USD","Period=FQ","BEST_FPERIOD_OVERRIDE=FQ","FILING_STATUS=MR","SCALING_FORMAT=MLN","Sort=A","Dates=H","DateFormat=P","Fill=—","Direction=H","UseDPDF=Y")</f>
        <v>2119.37</v>
      </c>
      <c r="J68" s="13" cm="1">
        <f t="array" ref="J68">_xll.BDH("NUE US Equity","BS_ADD_PAID_IN_CAP","FQ2 2020","FQ2 2020","Currency=USD","Period=FQ","BEST_FPERIOD_OVERRIDE=FQ","FILING_STATUS=MR","SCALING_FORMAT=MLN","Sort=A","Dates=H","DateFormat=P","Fill=—","Direction=H","UseDPDF=Y")</f>
        <v>2106.9070000000002</v>
      </c>
      <c r="K68" s="13" cm="1">
        <f t="array" ref="K68">_xll.BDH("NUE US Equity","BS_ADD_PAID_IN_CAP","FQ3 2020","FQ3 2020","Currency=USD","Period=FQ","BEST_FPERIOD_OVERRIDE=FQ","FILING_STATUS=MR","SCALING_FORMAT=MLN","Sort=A","Dates=H","DateFormat=P","Fill=—","Direction=H","UseDPDF=Y")</f>
        <v>2117.5819999999999</v>
      </c>
      <c r="L68" s="13" cm="1">
        <f t="array" ref="L68">_xll.BDH("NUE US Equity","BS_ADD_PAID_IN_CAP","FQ4 2020","FQ4 2020","Currency=USD","Period=FQ","BEST_FPERIOD_OVERRIDE=FQ","FILING_STATUS=MR","SCALING_FORMAT=MLN","Sort=A","Dates=H","DateFormat=P","Fill=—","Direction=H","UseDPDF=Y")</f>
        <v>2121.288</v>
      </c>
      <c r="M68" s="13" cm="1">
        <f t="array" ref="M68">_xll.BDH("NUE US Equity","BS_ADD_PAID_IN_CAP","FQ1 2021","FQ1 2021","Currency=USD","Period=FQ","BEST_FPERIOD_OVERRIDE=FQ","FILING_STATUS=MR","SCALING_FORMAT=MLN","Sort=A","Dates=H","DateFormat=P","Fill=—","Direction=H","UseDPDF=Y")</f>
        <v>2160.9090000000001</v>
      </c>
      <c r="N68" s="13" cm="1">
        <f t="array" ref="N68">_xll.BDH("NUE US Equity","BS_ADD_PAID_IN_CAP","FQ2 2021","FQ2 2021","Currency=USD","Period=FQ","BEST_FPERIOD_OVERRIDE=FQ","FILING_STATUS=MR","SCALING_FORMAT=MLN","Sort=A","Dates=H","DateFormat=P","Fill=—","Direction=H","UseDPDF=Y")</f>
        <v>2117.1550000000002</v>
      </c>
      <c r="O68" s="13" cm="1">
        <f t="array" ref="O68">_xll.BDH("NUE US Equity","BS_ADD_PAID_IN_CAP","FQ3 2021","FQ3 2021","Currency=USD","Period=FQ","BEST_FPERIOD_OVERRIDE=FQ","FILING_STATUS=MR","SCALING_FORMAT=MLN","Sort=A","Dates=H","DateFormat=P","Fill=—","Direction=H","UseDPDF=Y")</f>
        <v>2131.5140000000001</v>
      </c>
      <c r="P68" s="13" cm="1">
        <f t="array" ref="P68">_xll.BDH("NUE US Equity","BS_ADD_PAID_IN_CAP","FQ4 2021","FQ4 2021","Currency=USD","Period=FQ","BEST_FPERIOD_OVERRIDE=FQ","FILING_STATUS=MR","SCALING_FORMAT=MLN","Sort=A","Dates=H","DateFormat=P","Fill=—","Direction=H","UseDPDF=Y")</f>
        <v>2140.6080000000002</v>
      </c>
      <c r="Q68" s="13" cm="1">
        <f t="array" ref="Q68">_xll.BDH("NUE US Equity","BS_ADD_PAID_IN_CAP","FQ1 2022","FQ1 2022","Currency=USD","Period=FQ","BEST_FPERIOD_OVERRIDE=FQ","FILING_STATUS=MR","SCALING_FORMAT=MLN","Sort=A","Dates=H","DateFormat=P","Fill=—","Direction=H","UseDPDF=Y")</f>
        <v>2163.1289999999999</v>
      </c>
      <c r="R68" s="13" cm="1">
        <f t="array" ref="R68">_xll.BDH("NUE US Equity","BS_ADD_PAID_IN_CAP","FQ2 2022","FQ2 2022","Currency=USD","Period=FQ","BEST_FPERIOD_OVERRIDE=FQ","FILING_STATUS=MR","SCALING_FORMAT=MLN","Sort=A","Dates=H","DateFormat=P","Fill=—","Direction=H","UseDPDF=Y")</f>
        <v>2115.1779999999999</v>
      </c>
      <c r="S68" s="13" cm="1">
        <f t="array" ref="S68">_xll.BDH("NUE US Equity","BS_ADD_PAID_IN_CAP","FQ3 2022","FQ3 2022","Currency=USD","Period=FQ","BEST_FPERIOD_OVERRIDE=FQ","FILING_STATUS=MR","SCALING_FORMAT=MLN","Sort=A","Dates=H","DateFormat=P","Fill=—","Direction=H","UseDPDF=Y")</f>
        <v>2128.5210000000002</v>
      </c>
      <c r="T68" s="13" cm="1">
        <f t="array" ref="T68">_xll.BDH("NUE US Equity","BS_ADD_PAID_IN_CAP","FQ4 2022","FQ4 2022","Currency=USD","Period=FQ","BEST_FPERIOD_OVERRIDE=FQ","FILING_STATUS=MR","SCALING_FORMAT=MLN","Sort=A","Dates=H","DateFormat=P","Fill=—","Direction=H","UseDPDF=Y")</f>
        <v>2143.52</v>
      </c>
      <c r="U68" s="13" cm="1">
        <f t="array" ref="U68">_xll.BDH("NUE US Equity","BS_ADD_PAID_IN_CAP","FQ1 2023","FQ1 2023","Currency=USD","Period=FQ","BEST_FPERIOD_OVERRIDE=FQ","FILING_STATUS=MR","SCALING_FORMAT=MLN","Sort=A","Dates=H","DateFormat=P","Fill=—","Direction=H","UseDPDF=Y")</f>
        <v>2168.77</v>
      </c>
      <c r="V68" s="13" cm="1">
        <f t="array" ref="V68">_xll.BDH("NUE US Equity","BS_ADD_PAID_IN_CAP","FQ2 2023","FQ2 2023","Currency=USD","Period=FQ","BEST_FPERIOD_OVERRIDE=FQ","FILING_STATUS=MR","SCALING_FORMAT=MLN","Sort=A","Dates=H","DateFormat=P","Fill=—","Direction=H","UseDPDF=Y")</f>
        <v>2149.6930000000002</v>
      </c>
      <c r="W68" s="13" cm="1">
        <f t="array" ref="W68">_xll.BDH("NUE US Equity","BS_ADD_PAID_IN_CAP","FQ3 2023","FQ3 2023","Currency=USD","Period=FQ","BEST_FPERIOD_OVERRIDE=FQ","FILING_STATUS=MR","SCALING_FORMAT=MLN","Sort=A","Dates=H","DateFormat=P","Fill=—","Direction=H","UseDPDF=Y")</f>
        <v>2165.6350000000002</v>
      </c>
      <c r="X68" s="13" cm="1">
        <f t="array" ref="X68">_xll.BDH("NUE US Equity","BS_ADD_PAID_IN_CAP","FQ4 2023","FQ4 2023","Currency=USD","Period=FQ","BEST_FPERIOD_OVERRIDE=FQ","FILING_STATUS=MR","SCALING_FORMAT=MLN","Sort=A","Dates=H","DateFormat=P","Fill=—","Direction=H","UseDPDF=Y")</f>
        <v>2176.2429999999999</v>
      </c>
      <c r="Y68" s="13" cm="1">
        <f t="array" ref="Y68">_xll.BDH("NUE US Equity","BS_ADD_PAID_IN_CAP","FQ1 2024","FQ1 2024","Currency=USD","Period=FQ","BEST_FPERIOD_OVERRIDE=FQ","FILING_STATUS=MR","SCALING_FORMAT=MLN","Sort=A","Dates=H","DateFormat=P","Fill=—","Direction=H","UseDPDF=Y")</f>
        <v>2210.8229999999999</v>
      </c>
      <c r="Z68" s="13" cm="1">
        <f t="array" ref="Z68">_xll.BDH("NUE US Equity","BS_ADD_PAID_IN_CAP","FQ2 2024","FQ2 2024","Currency=USD","Period=FQ","BEST_FPERIOD_OVERRIDE=FQ","FILING_STATUS=MR","SCALING_FORMAT=MLN","Sort=A","Dates=H","DateFormat=P","Fill=—","Direction=H","UseDPDF=Y")</f>
        <v>2189.3710000000001</v>
      </c>
      <c r="AA68" s="13" cm="1">
        <f t="array" ref="AA68">_xll.BDH("NUE US Equity","BS_ADD_PAID_IN_CAP","FQ3 2024","FQ3 2024","Currency=USD","Period=FQ","BEST_FPERIOD_OVERRIDE=FQ","FILING_STATUS=MR","SCALING_FORMAT=MLN","Sort=A","Dates=H","DateFormat=P","Fill=—","Direction=H","UseDPDF=Y")</f>
        <v>2207.9279999999999</v>
      </c>
      <c r="AB68" s="13" cm="1">
        <f t="array" ref="AB68">_xll.BDH("NUE US Equity","BS_ADD_PAID_IN_CAP","FQ4 2024","FQ4 2024","Currency=USD","Period=FQ","BEST_FPERIOD_OVERRIDE=FQ","FILING_STATUS=MR","SCALING_FORMAT=MLN","Sort=A","Dates=H","DateFormat=P","Fill=—","Direction=H","UseDPDF=Y")</f>
        <v>2223</v>
      </c>
      <c r="AC68" s="13" cm="1">
        <f t="array" ref="AC68">_xll.BDH("NUE US Equity","BS_ADD_PAID_IN_CAP","FQ1 2025","FQ1 2025","Currency=USD","Period=FQ","BEST_FPERIOD_OVERRIDE=FQ","FILING_STATUS=MR","SCALING_FORMAT=MLN","Sort=A","Dates=H","DateFormat=P","Fill=—","Direction=H","UseDPDF=Y")</f>
        <v>2245</v>
      </c>
      <c r="AD68" s="13" cm="1">
        <f t="array" ref="AD68">_xll.BDH("NUE US Equity","BS_ADD_PAID_IN_CAP","FQ2 2025","FQ2 2025","Currency=USD","Period=FQ","BEST_FPERIOD_OVERRIDE=FQ","FILING_STATUS=MR","SCALING_FORMAT=MLN","Sort=A","Dates=H","DateFormat=P","Fill=—","Direction=H","UseDPDF=Y")</f>
        <v>2213</v>
      </c>
      <c r="AE68" s="13" cm="1">
        <f t="array" ref="AE68">_xll.BDH("NUE US Equity","BS_ADD_PAID_IN_CAP","FQ3 2025","FQ3 2025","Currency=USD","Period=FQ","BEST_FPERIOD_OVERRIDE=FQ","FILING_STATUS=MR","SCALING_FORMAT=MLN","Sort=A","Dates=H","DateFormat=P","Fill=—","Direction=H","UseDPDF=Y")</f>
        <v>2233</v>
      </c>
      <c r="AF68" s="13" cm="1">
        <f t="array" ref="AF68">_xll.BDH("NUE US Equity","BS_ADD_PAID_IN_CAP","FQ4 2025","FQ4 2025","Currency=USD","Period=FQ","BEST_FPERIOD_OVERRIDE=FQ","FILING_STATUS=MR","SCALING_FORMAT=MLN","Sort=A","Dates=H","DateFormat=P","Fill=—","Direction=H","UseDPDF=Y")</f>
        <v>2253</v>
      </c>
    </row>
    <row r="69" spans="1:32" x14ac:dyDescent="0.25">
      <c r="A69" s="10" t="s">
        <v>183</v>
      </c>
      <c r="B69" s="10" t="s">
        <v>184</v>
      </c>
      <c r="C69" s="13" cm="1">
        <f t="array" ref="C69">_xll.BDH("NUE US Equity","BS_AMT_OF_TSY_STOCK","FQ3 2018","FQ3 2018","Currency=USD","Period=FQ","BEST_FPERIOD_OVERRIDE=FQ","FILING_STATUS=MR","SCALING_FORMAT=MLN","Sort=A","Dates=H","DateFormat=P","Fill=—","Direction=H","UseDPDF=Y")</f>
        <v>1964.6890000000001</v>
      </c>
      <c r="D69" s="13" cm="1">
        <f t="array" ref="D69">_xll.BDH("NUE US Equity","BS_AMT_OF_TSY_STOCK","FQ4 2018","FQ4 2018","Currency=USD","Period=FQ","BEST_FPERIOD_OVERRIDE=FQ","FILING_STATUS=MR","SCALING_FORMAT=MLN","Sort=A","Dates=H","DateFormat=P","Fill=—","Direction=H","UseDPDF=Y")</f>
        <v>2467.0100000000002</v>
      </c>
      <c r="E69" s="13" cm="1">
        <f t="array" ref="E69">_xll.BDH("NUE US Equity","BS_AMT_OF_TSY_STOCK","FQ1 2019","FQ1 2019","Currency=USD","Period=FQ","BEST_FPERIOD_OVERRIDE=FQ","FILING_STATUS=MR","SCALING_FORMAT=MLN","Sort=A","Dates=H","DateFormat=P","Fill=—","Direction=H","UseDPDF=Y")</f>
        <v>2526.701</v>
      </c>
      <c r="F69" s="13" cm="1">
        <f t="array" ref="F69">_xll.BDH("NUE US Equity","BS_AMT_OF_TSY_STOCK","FQ2 2019","FQ2 2019","Currency=USD","Period=FQ","BEST_FPERIOD_OVERRIDE=FQ","FILING_STATUS=MR","SCALING_FORMAT=MLN","Sort=A","Dates=H","DateFormat=P","Fill=—","Direction=H","UseDPDF=Y")</f>
        <v>2630.3429999999998</v>
      </c>
      <c r="G69" s="13" cm="1">
        <f t="array" ref="G69">_xll.BDH("NUE US Equity","BS_AMT_OF_TSY_STOCK","FQ3 2019","FQ3 2019","Currency=USD","Period=FQ","BEST_FPERIOD_OVERRIDE=FQ","FILING_STATUS=MR","SCALING_FORMAT=MLN","Sort=A","Dates=H","DateFormat=P","Fill=—","Direction=H","UseDPDF=Y")</f>
        <v>2628.3679999999999</v>
      </c>
      <c r="H69" s="13" cm="1">
        <f t="array" ref="H69">_xll.BDH("NUE US Equity","BS_AMT_OF_TSY_STOCK","FQ4 2019","FQ4 2019","Currency=USD","Period=FQ","BEST_FPERIOD_OVERRIDE=FQ","FILING_STATUS=MR","SCALING_FORMAT=MLN","Sort=A","Dates=H","DateFormat=P","Fill=—","Direction=H","UseDPDF=Y")</f>
        <v>2713.931</v>
      </c>
      <c r="I69" s="13" cm="1">
        <f t="array" ref="I69">_xll.BDH("NUE US Equity","BS_AMT_OF_TSY_STOCK","FQ1 2020","FQ1 2020","Currency=USD","Period=FQ","BEST_FPERIOD_OVERRIDE=FQ","FILING_STATUS=MR","SCALING_FORMAT=MLN","Sort=A","Dates=H","DateFormat=P","Fill=—","Direction=H","UseDPDF=Y")</f>
        <v>2748.29</v>
      </c>
      <c r="J69" s="13" cm="1">
        <f t="array" ref="J69">_xll.BDH("NUE US Equity","BS_AMT_OF_TSY_STOCK","FQ2 2020","FQ2 2020","Currency=USD","Period=FQ","BEST_FPERIOD_OVERRIDE=FQ","FILING_STATUS=MR","SCALING_FORMAT=MLN","Sort=A","Dates=H","DateFormat=P","Fill=—","Direction=H","UseDPDF=Y")</f>
        <v>2721.8449999999998</v>
      </c>
      <c r="K69" s="13" cm="1">
        <f t="array" ref="K69">_xll.BDH("NUE US Equity","BS_AMT_OF_TSY_STOCK","FQ3 2020","FQ3 2020","Currency=USD","Period=FQ","BEST_FPERIOD_OVERRIDE=FQ","FILING_STATUS=MR","SCALING_FORMAT=MLN","Sort=A","Dates=H","DateFormat=P","Fill=—","Direction=H","UseDPDF=Y")</f>
        <v>2720.6680000000001</v>
      </c>
      <c r="L69" s="13" cm="1">
        <f t="array" ref="L69">_xll.BDH("NUE US Equity","BS_AMT_OF_TSY_STOCK","FQ4 2020","FQ4 2020","Currency=USD","Period=FQ","BEST_FPERIOD_OVERRIDE=FQ","FILING_STATUS=MR","SCALING_FORMAT=MLN","Sort=A","Dates=H","DateFormat=P","Fill=—","Direction=H","UseDPDF=Y")</f>
        <v>2709.6750000000002</v>
      </c>
      <c r="M69" s="13" cm="1">
        <f t="array" ref="M69">_xll.BDH("NUE US Equity","BS_AMT_OF_TSY_STOCK","FQ1 2021","FQ1 2021","Currency=USD","Period=FQ","BEST_FPERIOD_OVERRIDE=FQ","FILING_STATUS=MR","SCALING_FORMAT=MLN","Sort=A","Dates=H","DateFormat=P","Fill=—","Direction=H","UseDPDF=Y")</f>
        <v>2925.7959999999998</v>
      </c>
      <c r="N69" s="13" cm="1">
        <f t="array" ref="N69">_xll.BDH("NUE US Equity","BS_AMT_OF_TSY_STOCK","FQ2 2021","FQ2 2021","Currency=USD","Period=FQ","BEST_FPERIOD_OVERRIDE=FQ","FILING_STATUS=MR","SCALING_FORMAT=MLN","Sort=A","Dates=H","DateFormat=P","Fill=—","Direction=H","UseDPDF=Y")</f>
        <v>3491.915</v>
      </c>
      <c r="O69" s="13" cm="1">
        <f t="array" ref="O69">_xll.BDH("NUE US Equity","BS_AMT_OF_TSY_STOCK","FQ3 2021","FQ3 2021","Currency=USD","Period=FQ","BEST_FPERIOD_OVERRIDE=FQ","FILING_STATUS=MR","SCALING_FORMAT=MLN","Sort=A","Dates=H","DateFormat=P","Fill=—","Direction=H","UseDPDF=Y")</f>
        <v>4336.415</v>
      </c>
      <c r="P69" s="13" cm="1">
        <f t="array" ref="P69">_xll.BDH("NUE US Equity","BS_AMT_OF_TSY_STOCK","FQ4 2021","FQ4 2021","Currency=USD","Period=FQ","BEST_FPERIOD_OVERRIDE=FQ","FILING_STATUS=MR","SCALING_FORMAT=MLN","Sort=A","Dates=H","DateFormat=P","Fill=—","Direction=H","UseDPDF=Y")</f>
        <v>5835.098</v>
      </c>
      <c r="Q69" s="13" cm="1">
        <f t="array" ref="Q69">_xll.BDH("NUE US Equity","BS_AMT_OF_TSY_STOCK","FQ1 2022","FQ1 2022","Currency=USD","Period=FQ","BEST_FPERIOD_OVERRIDE=FQ","FILING_STATUS=MR","SCALING_FORMAT=MLN","Sort=A","Dates=H","DateFormat=P","Fill=—","Direction=H","UseDPDF=Y")</f>
        <v>6701.4009999999998</v>
      </c>
      <c r="R69" s="13" cm="1">
        <f t="array" ref="R69">_xll.BDH("NUE US Equity","BS_AMT_OF_TSY_STOCK","FQ2 2022","FQ2 2022","Currency=USD","Period=FQ","BEST_FPERIOD_OVERRIDE=FQ","FILING_STATUS=MR","SCALING_FORMAT=MLN","Sort=A","Dates=H","DateFormat=P","Fill=—","Direction=H","UseDPDF=Y")</f>
        <v>7452.1679999999997</v>
      </c>
      <c r="S69" s="13" cm="1">
        <f t="array" ref="S69">_xll.BDH("NUE US Equity","BS_AMT_OF_TSY_STOCK","FQ3 2022","FQ3 2022","Currency=USD","Period=FQ","BEST_FPERIOD_OVERRIDE=FQ","FILING_STATUS=MR","SCALING_FORMAT=MLN","Sort=A","Dates=H","DateFormat=P","Fill=—","Direction=H","UseDPDF=Y")</f>
        <v>8098.2209999999995</v>
      </c>
      <c r="T69" s="13" cm="1">
        <f t="array" ref="T69">_xll.BDH("NUE US Equity","BS_AMT_OF_TSY_STOCK","FQ4 2022","FQ4 2022","Currency=USD","Period=FQ","BEST_FPERIOD_OVERRIDE=FQ","FILING_STATUS=MR","SCALING_FORMAT=MLN","Sort=A","Dates=H","DateFormat=P","Fill=—","Direction=H","UseDPDF=Y")</f>
        <v>8498.2430000000004</v>
      </c>
      <c r="U69" s="13" cm="1">
        <f t="array" ref="U69">_xll.BDH("NUE US Equity","BS_AMT_OF_TSY_STOCK","FQ1 2023","FQ1 2023","Currency=USD","Period=FQ","BEST_FPERIOD_OVERRIDE=FQ","FILING_STATUS=MR","SCALING_FORMAT=MLN","Sort=A","Dates=H","DateFormat=P","Fill=—","Direction=H","UseDPDF=Y")</f>
        <v>8900.1239999999998</v>
      </c>
      <c r="V69" s="13" cm="1">
        <f t="array" ref="V69">_xll.BDH("NUE US Equity","BS_AMT_OF_TSY_STOCK","FQ2 2023","FQ2 2023","Currency=USD","Period=FQ","BEST_FPERIOD_OVERRIDE=FQ","FILING_STATUS=MR","SCALING_FORMAT=MLN","Sort=A","Dates=H","DateFormat=P","Fill=—","Direction=H","UseDPDF=Y")</f>
        <v>9314.7639999999992</v>
      </c>
      <c r="W69" s="13" cm="1">
        <f t="array" ref="W69">_xll.BDH("NUE US Equity","BS_AMT_OF_TSY_STOCK","FQ3 2023","FQ3 2023","Currency=USD","Period=FQ","BEST_FPERIOD_OVERRIDE=FQ","FILING_STATUS=MR","SCALING_FORMAT=MLN","Sort=A","Dates=H","DateFormat=P","Fill=—","Direction=H","UseDPDF=Y")</f>
        <v>9813.3770000000004</v>
      </c>
      <c r="X69" s="13" cm="1">
        <f t="array" ref="X69">_xll.BDH("NUE US Equity","BS_AMT_OF_TSY_STOCK","FQ4 2023","FQ4 2023","Currency=USD","Period=FQ","BEST_FPERIOD_OVERRIDE=FQ","FILING_STATUS=MR","SCALING_FORMAT=MLN","Sort=A","Dates=H","DateFormat=P","Fill=—","Direction=H","UseDPDF=Y")</f>
        <v>9987.643</v>
      </c>
      <c r="Y69" s="13" cm="1">
        <f t="array" ref="Y69">_xll.BDH("NUE US Equity","BS_AMT_OF_TSY_STOCK","FQ1 2024","FQ1 2024","Currency=USD","Period=FQ","BEST_FPERIOD_OVERRIDE=FQ","FILING_STATUS=MR","SCALING_FORMAT=MLN","Sort=A","Dates=H","DateFormat=P","Fill=—","Direction=H","UseDPDF=Y")</f>
        <v>10967.817999999999</v>
      </c>
      <c r="Z69" s="13" cm="1">
        <f t="array" ref="Z69">_xll.BDH("NUE US Equity","BS_AMT_OF_TSY_STOCK","FQ2 2024","FQ2 2024","Currency=USD","Period=FQ","BEST_FPERIOD_OVERRIDE=FQ","FILING_STATUS=MR","SCALING_FORMAT=MLN","Sort=A","Dates=H","DateFormat=P","Fill=—","Direction=H","UseDPDF=Y")</f>
        <v>11432.102999999999</v>
      </c>
      <c r="AA69" s="13" cm="1">
        <f t="array" ref="AA69">_xll.BDH("NUE US Equity","BS_AMT_OF_TSY_STOCK","FQ3 2024","FQ3 2024","Currency=USD","Period=FQ","BEST_FPERIOD_OVERRIDE=FQ","FILING_STATUS=MR","SCALING_FORMAT=MLN","Sort=A","Dates=H","DateFormat=P","Fill=—","Direction=H","UseDPDF=Y")</f>
        <v>11832.564</v>
      </c>
      <c r="AB69" s="13" cm="1">
        <f t="array" ref="AB69">_xll.BDH("NUE US Equity","BS_AMT_OF_TSY_STOCK","FQ4 2024","FQ4 2024","Currency=USD","Period=FQ","BEST_FPERIOD_OVERRIDE=FQ","FILING_STATUS=MR","SCALING_FORMAT=MLN","Sort=A","Dates=H","DateFormat=P","Fill=—","Direction=H","UseDPDF=Y")</f>
        <v>12144</v>
      </c>
      <c r="AC69" s="13" cm="1">
        <f t="array" ref="AC69">_xll.BDH("NUE US Equity","BS_AMT_OF_TSY_STOCK","FQ1 2025","FQ1 2025","Currency=USD","Period=FQ","BEST_FPERIOD_OVERRIDE=FQ","FILING_STATUS=MR","SCALING_FORMAT=MLN","Sort=A","Dates=H","DateFormat=P","Fill=—","Direction=H","UseDPDF=Y")</f>
        <v>12430</v>
      </c>
      <c r="AD69" s="13" cm="1">
        <f t="array" ref="AD69">_xll.BDH("NUE US Equity","BS_AMT_OF_TSY_STOCK","FQ2 2025","FQ2 2025","Currency=USD","Period=FQ","BEST_FPERIOD_OVERRIDE=FQ","FILING_STATUS=MR","SCALING_FORMAT=MLN","Sort=A","Dates=H","DateFormat=P","Fill=—","Direction=H","UseDPDF=Y")</f>
        <v>12584</v>
      </c>
      <c r="AE69" s="13" cm="1">
        <f t="array" ref="AE69">_xll.BDH("NUE US Equity","BS_AMT_OF_TSY_STOCK","FQ3 2025","FQ3 2025","Currency=USD","Period=FQ","BEST_FPERIOD_OVERRIDE=FQ","FILING_STATUS=MR","SCALING_FORMAT=MLN","Sort=A","Dates=H","DateFormat=P","Fill=—","Direction=H","UseDPDF=Y")</f>
        <v>12681</v>
      </c>
      <c r="AF69" s="13" cm="1">
        <f t="array" ref="AF69">_xll.BDH("NUE US Equity","BS_AMT_OF_TSY_STOCK","FQ4 2025","FQ4 2025","Currency=USD","Period=FQ","BEST_FPERIOD_OVERRIDE=FQ","FILING_STATUS=MR","SCALING_FORMAT=MLN","Sort=A","Dates=H","DateFormat=P","Fill=—","Direction=H","UseDPDF=Y")</f>
        <v>12779</v>
      </c>
    </row>
    <row r="70" spans="1:32" x14ac:dyDescent="0.25">
      <c r="A70" s="10" t="s">
        <v>185</v>
      </c>
      <c r="B70" s="10" t="s">
        <v>186</v>
      </c>
      <c r="C70" s="13" cm="1">
        <f t="array" ref="C70">_xll.BDH("NUE US Equity","BS_PURE_RETAINED_EARNINGS","FQ3 2018","FQ3 2018","Currency=USD","Period=FQ","BEST_FPERIOD_OVERRIDE=FQ","FILING_STATUS=MR","SCALING_FORMAT=MLN","Sort=A","Dates=H","DateFormat=P","Fill=—","Direction=H","UseDPDF=Y")</f>
        <v>9814.0730000000003</v>
      </c>
      <c r="D70" s="13" cm="1">
        <f t="array" ref="D70">_xll.BDH("NUE US Equity","BS_PURE_RETAINED_EARNINGS","FQ4 2018","FQ4 2018","Currency=USD","Period=FQ","BEST_FPERIOD_OVERRIDE=FQ","FILING_STATUS=MR","SCALING_FORMAT=MLN","Sort=A","Dates=H","DateFormat=P","Fill=—","Direction=H","UseDPDF=Y")</f>
        <v>10337.445</v>
      </c>
      <c r="E70" s="13" cm="1">
        <f t="array" ref="E70">_xll.BDH("NUE US Equity","BS_PURE_RETAINED_EARNINGS","FQ1 2019","FQ1 2019","Currency=USD","Period=FQ","BEST_FPERIOD_OVERRIDE=FQ","FILING_STATUS=MR","SCALING_FORMAT=MLN","Sort=A","Dates=H","DateFormat=P","Fill=—","Direction=H","UseDPDF=Y")</f>
        <v>10714.279</v>
      </c>
      <c r="F70" s="13" cm="1">
        <f t="array" ref="F70">_xll.BDH("NUE US Equity","BS_PURE_RETAINED_EARNINGS","FQ2 2019","FQ2 2019","Currency=USD","Period=FQ","BEST_FPERIOD_OVERRIDE=FQ","FILING_STATUS=MR","SCALING_FORMAT=MLN","Sort=A","Dates=H","DateFormat=P","Fill=—","Direction=H","UseDPDF=Y")</f>
        <v>10977.95</v>
      </c>
      <c r="G70" s="13" cm="1">
        <f t="array" ref="G70">_xll.BDH("NUE US Equity","BS_PURE_RETAINED_EARNINGS","FQ3 2019","FQ3 2019","Currency=USD","Period=FQ","BEST_FPERIOD_OVERRIDE=FQ","FILING_STATUS=MR","SCALING_FORMAT=MLN","Sort=A","Dates=H","DateFormat=P","Fill=—","Direction=H","UseDPDF=Y")</f>
        <v>11130.172</v>
      </c>
      <c r="H70" s="13" cm="1">
        <f t="array" ref="H70">_xll.BDH("NUE US Equity","BS_PURE_RETAINED_EARNINGS","FQ4 2019","FQ4 2019","Currency=USD","Period=FQ","BEST_FPERIOD_OVERRIDE=FQ","FILING_STATUS=MR","SCALING_FORMAT=MLN","Sort=A","Dates=H","DateFormat=P","Fill=—","Direction=H","UseDPDF=Y")</f>
        <v>11115.056</v>
      </c>
      <c r="I70" s="13" cm="1">
        <f t="array" ref="I70">_xll.BDH("NUE US Equity","BS_PURE_RETAINED_EARNINGS","FQ1 2020","FQ1 2020","Currency=USD","Period=FQ","BEST_FPERIOD_OVERRIDE=FQ","FILING_STATUS=MR","SCALING_FORMAT=MLN","Sort=A","Dates=H","DateFormat=P","Fill=—","Direction=H","UseDPDF=Y")</f>
        <v>11012.69</v>
      </c>
      <c r="J70" s="13" cm="1">
        <f t="array" ref="J70">_xll.BDH("NUE US Equity","BS_PURE_RETAINED_EARNINGS","FQ2 2020","FQ2 2020","Currency=USD","Period=FQ","BEST_FPERIOD_OVERRIDE=FQ","FILING_STATUS=MR","SCALING_FORMAT=MLN","Sort=A","Dates=H","DateFormat=P","Fill=—","Direction=H","UseDPDF=Y")</f>
        <v>10998.532999999999</v>
      </c>
      <c r="K70" s="13" cm="1">
        <f t="array" ref="K70">_xll.BDH("NUE US Equity","BS_PURE_RETAINED_EARNINGS","FQ3 2020","FQ3 2020","Currency=USD","Period=FQ","BEST_FPERIOD_OVERRIDE=FQ","FILING_STATUS=MR","SCALING_FORMAT=MLN","Sort=A","Dates=H","DateFormat=P","Fill=—","Direction=H","UseDPDF=Y")</f>
        <v>11068.907999999999</v>
      </c>
      <c r="L70" s="13" cm="1">
        <f t="array" ref="L70">_xll.BDH("NUE US Equity","BS_PURE_RETAINED_EARNINGS","FQ4 2020","FQ4 2020","Currency=USD","Period=FQ","BEST_FPERIOD_OVERRIDE=FQ","FILING_STATUS=MR","SCALING_FORMAT=MLN","Sort=A","Dates=H","DateFormat=P","Fill=—","Direction=H","UseDPDF=Y")</f>
        <v>11343.852000000001</v>
      </c>
      <c r="M70" s="13" cm="1">
        <f t="array" ref="M70">_xll.BDH("NUE US Equity","BS_PURE_RETAINED_EARNINGS","FQ1 2021","FQ1 2021","Currency=USD","Period=FQ","BEST_FPERIOD_OVERRIDE=FQ","FILING_STATUS=MR","SCALING_FORMAT=MLN","Sort=A","Dates=H","DateFormat=P","Fill=—","Direction=H","UseDPDF=Y")</f>
        <v>12163.626</v>
      </c>
      <c r="N70" s="13" cm="1">
        <f t="array" ref="N70">_xll.BDH("NUE US Equity","BS_PURE_RETAINED_EARNINGS","FQ2 2021","FQ2 2021","Currency=USD","Period=FQ","BEST_FPERIOD_OVERRIDE=FQ","FILING_STATUS=MR","SCALING_FORMAT=MLN","Sort=A","Dates=H","DateFormat=P","Fill=—","Direction=H","UseDPDF=Y")</f>
        <v>13550.406000000001</v>
      </c>
      <c r="O70" s="13" cm="1">
        <f t="array" ref="O70">_xll.BDH("NUE US Equity","BS_PURE_RETAINED_EARNINGS","FQ3 2021","FQ3 2021","Currency=USD","Period=FQ","BEST_FPERIOD_OVERRIDE=FQ","FILING_STATUS=MR","SCALING_FORMAT=MLN","Sort=A","Dates=H","DateFormat=P","Fill=—","Direction=H","UseDPDF=Y")</f>
        <v>15561.261</v>
      </c>
      <c r="P70" s="13" cm="1">
        <f t="array" ref="P70">_xll.BDH("NUE US Equity","BS_PURE_RETAINED_EARNINGS","FQ4 2021","FQ4 2021","Currency=USD","Period=FQ","BEST_FPERIOD_OVERRIDE=FQ","FILING_STATUS=MR","SCALING_FORMAT=MLN","Sort=A","Dates=H","DateFormat=P","Fill=—","Direction=H","UseDPDF=Y")</f>
        <v>17674.099999999999</v>
      </c>
      <c r="Q70" s="13" cm="1">
        <f t="array" ref="Q70">_xll.BDH("NUE US Equity","BS_PURE_RETAINED_EARNINGS","FQ1 2022","FQ1 2022","Currency=USD","Period=FQ","BEST_FPERIOD_OVERRIDE=FQ","FILING_STATUS=MR","SCALING_FORMAT=MLN","Sort=A","Dates=H","DateFormat=P","Fill=—","Direction=H","UseDPDF=Y")</f>
        <v>19635.276999999998</v>
      </c>
      <c r="R70" s="13" cm="1">
        <f t="array" ref="R70">_xll.BDH("NUE US Equity","BS_PURE_RETAINED_EARNINGS","FQ2 2022","FQ2 2022","Currency=USD","Period=FQ","BEST_FPERIOD_OVERRIDE=FQ","FILING_STATUS=MR","SCALING_FORMAT=MLN","Sort=A","Dates=H","DateFormat=P","Fill=—","Direction=H","UseDPDF=Y")</f>
        <v>22064.383000000002</v>
      </c>
      <c r="S70" s="13" cm="1">
        <f t="array" ref="S70">_xll.BDH("NUE US Equity","BS_PURE_RETAINED_EARNINGS","FQ3 2022","FQ3 2022","Currency=USD","Period=FQ","BEST_FPERIOD_OVERRIDE=FQ","FILING_STATUS=MR","SCALING_FORMAT=MLN","Sort=A","Dates=H","DateFormat=P","Fill=—","Direction=H","UseDPDF=Y")</f>
        <v>23629.649000000001</v>
      </c>
      <c r="T70" s="13" cm="1">
        <f t="array" ref="T70">_xll.BDH("NUE US Equity","BS_PURE_RETAINED_EARNINGS","FQ4 2022","FQ4 2022","Currency=USD","Period=FQ","BEST_FPERIOD_OVERRIDE=FQ","FILING_STATUS=MR","SCALING_FORMAT=MLN","Sort=A","Dates=H","DateFormat=P","Fill=—","Direction=H","UseDPDF=Y")</f>
        <v>24754.873</v>
      </c>
      <c r="U70" s="13" cm="1">
        <f t="array" ref="U70">_xll.BDH("NUE US Equity","BS_PURE_RETAINED_EARNINGS","FQ1 2023","FQ1 2023","Currency=USD","Period=FQ","BEST_FPERIOD_OVERRIDE=FQ","FILING_STATUS=MR","SCALING_FORMAT=MLN","Sort=A","Dates=H","DateFormat=P","Fill=—","Direction=H","UseDPDF=Y")</f>
        <v>25762.031999999999</v>
      </c>
      <c r="V70" s="13" cm="1">
        <f t="array" ref="V70">_xll.BDH("NUE US Equity","BS_PURE_RETAINED_EARNINGS","FQ2 2023","FQ2 2023","Currency=USD","Period=FQ","BEST_FPERIOD_OVERRIDE=FQ","FILING_STATUS=MR","SCALING_FORMAT=MLN","Sort=A","Dates=H","DateFormat=P","Fill=—","Direction=H","UseDPDF=Y")</f>
        <v>27095.661</v>
      </c>
      <c r="W70" s="13" cm="1">
        <f t="array" ref="W70">_xll.BDH("NUE US Equity","BS_PURE_RETAINED_EARNINGS","FQ3 2023","FQ3 2023","Currency=USD","Period=FQ","BEST_FPERIOD_OVERRIDE=FQ","FILING_STATUS=MR","SCALING_FORMAT=MLN","Sort=A","Dates=H","DateFormat=P","Fill=—","Direction=H","UseDPDF=Y")</f>
        <v>28110.224999999999</v>
      </c>
      <c r="X70" s="13" cm="1">
        <f t="array" ref="X70">_xll.BDH("NUE US Equity","BS_PURE_RETAINED_EARNINGS","FQ4 2023","FQ4 2023","Currency=USD","Period=FQ","BEST_FPERIOD_OVERRIDE=FQ","FILING_STATUS=MR","SCALING_FORMAT=MLN","Sort=A","Dates=H","DateFormat=P","Fill=—","Direction=H","UseDPDF=Y")</f>
        <v>28762.044999999998</v>
      </c>
      <c r="Y70" s="13" cm="1">
        <f t="array" ref="Y70">_xll.BDH("NUE US Equity","BS_PURE_RETAINED_EARNINGS","FQ1 2024","FQ1 2024","Currency=USD","Period=FQ","BEST_FPERIOD_OVERRIDE=FQ","FILING_STATUS=MR","SCALING_FORMAT=MLN","Sort=A","Dates=H","DateFormat=P","Fill=—","Direction=H","UseDPDF=Y")</f>
        <v>29476.087</v>
      </c>
      <c r="Z70" s="13" cm="1">
        <f t="array" ref="Z70">_xll.BDH("NUE US Equity","BS_PURE_RETAINED_EARNINGS","FQ2 2024","FQ2 2024","Currency=USD","Period=FQ","BEST_FPERIOD_OVERRIDE=FQ","FILING_STATUS=MR","SCALING_FORMAT=MLN","Sort=A","Dates=H","DateFormat=P","Fill=—","Direction=H","UseDPDF=Y")</f>
        <v>29991.833999999999</v>
      </c>
      <c r="AA70" s="13" cm="1">
        <f t="array" ref="AA70">_xll.BDH("NUE US Equity","BS_PURE_RETAINED_EARNINGS","FQ3 2024","FQ3 2024","Currency=USD","Period=FQ","BEST_FPERIOD_OVERRIDE=FQ","FILING_STATUS=MR","SCALING_FORMAT=MLN","Sort=A","Dates=H","DateFormat=P","Fill=—","Direction=H","UseDPDF=Y")</f>
        <v>30113.666000000001</v>
      </c>
      <c r="AB70" s="13" cm="1">
        <f t="array" ref="AB70">_xll.BDH("NUE US Equity","BS_PURE_RETAINED_EARNINGS","FQ4 2024","FQ4 2024","Currency=USD","Period=FQ","BEST_FPERIOD_OVERRIDE=FQ","FILING_STATUS=MR","SCALING_FORMAT=MLN","Sort=A","Dates=H","DateFormat=P","Fill=—","Direction=H","UseDPDF=Y")</f>
        <v>30271</v>
      </c>
      <c r="AC70" s="13" cm="1">
        <f t="array" ref="AC70">_xll.BDH("NUE US Equity","BS_PURE_RETAINED_EARNINGS","FQ1 2025","FQ1 2025","Currency=USD","Period=FQ","BEST_FPERIOD_OVERRIDE=FQ","FILING_STATUS=MR","SCALING_FORMAT=MLN","Sort=A","Dates=H","DateFormat=P","Fill=—","Direction=H","UseDPDF=Y")</f>
        <v>30300</v>
      </c>
      <c r="AD70" s="13" cm="1">
        <f t="array" ref="AD70">_xll.BDH("NUE US Equity","BS_PURE_RETAINED_EARNINGS","FQ2 2025","FQ2 2025","Currency=USD","Period=FQ","BEST_FPERIOD_OVERRIDE=FQ","FILING_STATUS=MR","SCALING_FORMAT=MLN","Sort=A","Dates=H","DateFormat=P","Fill=—","Direction=H","UseDPDF=Y")</f>
        <v>30775</v>
      </c>
      <c r="AE70" s="13" cm="1">
        <f t="array" ref="AE70">_xll.BDH("NUE US Equity","BS_PURE_RETAINED_EARNINGS","FQ3 2025","FQ3 2025","Currency=USD","Period=FQ","BEST_FPERIOD_OVERRIDE=FQ","FILING_STATUS=MR","SCALING_FORMAT=MLN","Sort=A","Dates=H","DateFormat=P","Fill=—","Direction=H","UseDPDF=Y")</f>
        <v>31255</v>
      </c>
      <c r="AF70" s="13" cm="1">
        <f t="array" ref="AF70">_xll.BDH("NUE US Equity","BS_PURE_RETAINED_EARNINGS","FQ4 2025","FQ4 2025","Currency=USD","Period=FQ","BEST_FPERIOD_OVERRIDE=FQ","FILING_STATUS=MR","SCALING_FORMAT=MLN","Sort=A","Dates=H","DateFormat=P","Fill=—","Direction=H","UseDPDF=Y")</f>
        <v>31504</v>
      </c>
    </row>
    <row r="71" spans="1:32" x14ac:dyDescent="0.25">
      <c r="A71" s="10" t="s">
        <v>187</v>
      </c>
      <c r="B71" s="10" t="s">
        <v>188</v>
      </c>
      <c r="C71" s="13" cm="1">
        <f t="array" ref="C71">_xll.BDH("NUE US Equity","OTHER_EQUITY_RATIO","FQ3 2018","FQ3 2018","Currency=USD","Period=FQ","BEST_FPERIOD_OVERRIDE=FQ","FILING_STATUS=MR","SCALING_FORMAT=MLN","Sort=A","Dates=H","DateFormat=P","Fill=—","Direction=H","UseDPDF=Y")</f>
        <v>-274.60700000000003</v>
      </c>
      <c r="D71" s="13" cm="1">
        <f t="array" ref="D71">_xll.BDH("NUE US Equity","OTHER_EQUITY_RATIO","FQ4 2018","FQ4 2018","Currency=USD","Period=FQ","BEST_FPERIOD_OVERRIDE=FQ","FILING_STATUS=MR","SCALING_FORMAT=MLN","Sort=A","Dates=H","DateFormat=P","Fill=—","Direction=H","UseDPDF=Y")</f>
        <v>-304.13299999999998</v>
      </c>
      <c r="E71" s="13" cm="1">
        <f t="array" ref="E71">_xll.BDH("NUE US Equity","OTHER_EQUITY_RATIO","FQ1 2019","FQ1 2019","Currency=USD","Period=FQ","BEST_FPERIOD_OVERRIDE=FQ","FILING_STATUS=MR","SCALING_FORMAT=MLN","Sort=A","Dates=H","DateFormat=P","Fill=—","Direction=H","UseDPDF=Y")</f>
        <v>-308.78699999999998</v>
      </c>
      <c r="F71" s="13" cm="1">
        <f t="array" ref="F71">_xll.BDH("NUE US Equity","OTHER_EQUITY_RATIO","FQ2 2019","FQ2 2019","Currency=USD","Period=FQ","BEST_FPERIOD_OVERRIDE=FQ","FILING_STATUS=MR","SCALING_FORMAT=MLN","Sort=A","Dates=H","DateFormat=P","Fill=—","Direction=H","UseDPDF=Y")</f>
        <v>-297.76</v>
      </c>
      <c r="G71" s="13" cm="1">
        <f t="array" ref="G71">_xll.BDH("NUE US Equity","OTHER_EQUITY_RATIO","FQ3 2019","FQ3 2019","Currency=USD","Period=FQ","BEST_FPERIOD_OVERRIDE=FQ","FILING_STATUS=MR","SCALING_FORMAT=MLN","Sort=A","Dates=H","DateFormat=P","Fill=—","Direction=H","UseDPDF=Y")</f>
        <v>-313.76600000000002</v>
      </c>
      <c r="H71" s="13" cm="1">
        <f t="array" ref="H71">_xll.BDH("NUE US Equity","OTHER_EQUITY_RATIO","FQ4 2019","FQ4 2019","Currency=USD","Period=FQ","BEST_FPERIOD_OVERRIDE=FQ","FILING_STATUS=MR","SCALING_FORMAT=MLN","Sort=A","Dates=H","DateFormat=P","Fill=—","Direction=H","UseDPDF=Y")</f>
        <v>-302.96600000000001</v>
      </c>
      <c r="I71" s="13" cm="1">
        <f t="array" ref="I71">_xll.BDH("NUE US Equity","OTHER_EQUITY_RATIO","FQ1 2020","FQ1 2020","Currency=USD","Period=FQ","BEST_FPERIOD_OVERRIDE=FQ","FILING_STATUS=MR","SCALING_FORMAT=MLN","Sort=A","Dates=H","DateFormat=P","Fill=—","Direction=H","UseDPDF=Y")</f>
        <v>-367.62700000000001</v>
      </c>
      <c r="J71" s="13" cm="1">
        <f t="array" ref="J71">_xll.BDH("NUE US Equity","OTHER_EQUITY_RATIO","FQ2 2020","FQ2 2020","Currency=USD","Period=FQ","BEST_FPERIOD_OVERRIDE=FQ","FILING_STATUS=MR","SCALING_FORMAT=MLN","Sort=A","Dates=H","DateFormat=P","Fill=—","Direction=H","UseDPDF=Y")</f>
        <v>-340.83600000000001</v>
      </c>
      <c r="K71" s="13" cm="1">
        <f t="array" ref="K71">_xll.BDH("NUE US Equity","OTHER_EQUITY_RATIO","FQ3 2020","FQ3 2020","Currency=USD","Period=FQ","BEST_FPERIOD_OVERRIDE=FQ","FILING_STATUS=MR","SCALING_FORMAT=MLN","Sort=A","Dates=H","DateFormat=P","Fill=—","Direction=H","UseDPDF=Y")</f>
        <v>-315.46899999999999</v>
      </c>
      <c r="L71" s="13" cm="1">
        <f t="array" ref="L71">_xll.BDH("NUE US Equity","OTHER_EQUITY_RATIO","FQ4 2020","FQ4 2020","Currency=USD","Period=FQ","BEST_FPERIOD_OVERRIDE=FQ","FILING_STATUS=MR","SCALING_FORMAT=MLN","Sort=A","Dates=H","DateFormat=P","Fill=—","Direction=H","UseDPDF=Y")</f>
        <v>-118.861</v>
      </c>
      <c r="M71" s="13" cm="1">
        <f t="array" ref="M71">_xll.BDH("NUE US Equity","OTHER_EQUITY_RATIO","FQ1 2021","FQ1 2021","Currency=USD","Period=FQ","BEST_FPERIOD_OVERRIDE=FQ","FILING_STATUS=MR","SCALING_FORMAT=MLN","Sort=A","Dates=H","DateFormat=P","Fill=—","Direction=H","UseDPDF=Y")</f>
        <v>-103.56</v>
      </c>
      <c r="N71" s="13" cm="1">
        <f t="array" ref="N71">_xll.BDH("NUE US Equity","OTHER_EQUITY_RATIO","FQ2 2021","FQ2 2021","Currency=USD","Period=FQ","BEST_FPERIOD_OVERRIDE=FQ","FILING_STATUS=MR","SCALING_FORMAT=MLN","Sort=A","Dates=H","DateFormat=P","Fill=—","Direction=H","UseDPDF=Y")</f>
        <v>-73.728999999999999</v>
      </c>
      <c r="O71" s="13" cm="1">
        <f t="array" ref="O71">_xll.BDH("NUE US Equity","OTHER_EQUITY_RATIO","FQ3 2021","FQ3 2021","Currency=USD","Period=FQ","BEST_FPERIOD_OVERRIDE=FQ","FILING_STATUS=MR","SCALING_FORMAT=MLN","Sort=A","Dates=H","DateFormat=P","Fill=—","Direction=H","UseDPDF=Y")</f>
        <v>-85.900999999999996</v>
      </c>
      <c r="P71" s="13" cm="1">
        <f t="array" ref="P71">_xll.BDH("NUE US Equity","OTHER_EQUITY_RATIO","FQ4 2021","FQ4 2021","Currency=USD","Period=FQ","BEST_FPERIOD_OVERRIDE=FQ","FILING_STATUS=MR","SCALING_FORMAT=MLN","Sort=A","Dates=H","DateFormat=P","Fill=—","Direction=H","UseDPDF=Y")</f>
        <v>-115.282</v>
      </c>
      <c r="Q71" s="13" cm="1">
        <f t="array" ref="Q71">_xll.BDH("NUE US Equity","OTHER_EQUITY_RATIO","FQ1 2022","FQ1 2022","Currency=USD","Period=FQ","BEST_FPERIOD_OVERRIDE=FQ","FILING_STATUS=MR","SCALING_FORMAT=MLN","Sort=A","Dates=H","DateFormat=P","Fill=—","Direction=H","UseDPDF=Y")</f>
        <v>-44.503999999999998</v>
      </c>
      <c r="R71" s="13" cm="1">
        <f t="array" ref="R71">_xll.BDH("NUE US Equity","OTHER_EQUITY_RATIO","FQ2 2022","FQ2 2022","Currency=USD","Period=FQ","BEST_FPERIOD_OVERRIDE=FQ","FILING_STATUS=MR","SCALING_FORMAT=MLN","Sort=A","Dates=H","DateFormat=P","Fill=—","Direction=H","UseDPDF=Y")</f>
        <v>-70.81</v>
      </c>
      <c r="S71" s="13" cm="1">
        <f t="array" ref="S71">_xll.BDH("NUE US Equity","OTHER_EQUITY_RATIO","FQ3 2022","FQ3 2022","Currency=USD","Period=FQ","BEST_FPERIOD_OVERRIDE=FQ","FILING_STATUS=MR","SCALING_FORMAT=MLN","Sort=A","Dates=H","DateFormat=P","Fill=—","Direction=H","UseDPDF=Y")</f>
        <v>-103.553</v>
      </c>
      <c r="T71" s="13" cm="1">
        <f t="array" ref="T71">_xll.BDH("NUE US Equity","OTHER_EQUITY_RATIO","FQ4 2022","FQ4 2022","Currency=USD","Period=FQ","BEST_FPERIOD_OVERRIDE=FQ","FILING_STATUS=MR","SCALING_FORMAT=MLN","Sort=A","Dates=H","DateFormat=P","Fill=—","Direction=H","UseDPDF=Y")</f>
        <v>-137.517</v>
      </c>
      <c r="U71" s="13" cm="1">
        <f t="array" ref="U71">_xll.BDH("NUE US Equity","OTHER_EQUITY_RATIO","FQ1 2023","FQ1 2023","Currency=USD","Period=FQ","BEST_FPERIOD_OVERRIDE=FQ","FILING_STATUS=MR","SCALING_FORMAT=MLN","Sort=A","Dates=H","DateFormat=P","Fill=—","Direction=H","UseDPDF=Y")</f>
        <v>-165.358</v>
      </c>
      <c r="V71" s="13" cm="1">
        <f t="array" ref="V71">_xll.BDH("NUE US Equity","OTHER_EQUITY_RATIO","FQ2 2023","FQ2 2023","Currency=USD","Period=FQ","BEST_FPERIOD_OVERRIDE=FQ","FILING_STATUS=MR","SCALING_FORMAT=MLN","Sort=A","Dates=H","DateFormat=P","Fill=—","Direction=H","UseDPDF=Y")</f>
        <v>-128.97200000000001</v>
      </c>
      <c r="W71" s="13" cm="1">
        <f t="array" ref="W71">_xll.BDH("NUE US Equity","OTHER_EQUITY_RATIO","FQ3 2023","FQ3 2023","Currency=USD","Period=FQ","BEST_FPERIOD_OVERRIDE=FQ","FILING_STATUS=MR","SCALING_FORMAT=MLN","Sort=A","Dates=H","DateFormat=P","Fill=—","Direction=H","UseDPDF=Y")</f>
        <v>-148.827</v>
      </c>
      <c r="X71" s="13" cm="1">
        <f t="array" ref="X71">_xll.BDH("NUE US Equity","OTHER_EQUITY_RATIO","FQ4 2023","FQ4 2023","Currency=USD","Period=FQ","BEST_FPERIOD_OVERRIDE=FQ","FILING_STATUS=MR","SCALING_FORMAT=MLN","Sort=A","Dates=H","DateFormat=P","Fill=—","Direction=H","UseDPDF=Y")</f>
        <v>-162.072</v>
      </c>
      <c r="Y71" s="13" cm="1">
        <f t="array" ref="Y71">_xll.BDH("NUE US Equity","OTHER_EQUITY_RATIO","FQ1 2024","FQ1 2024","Currency=USD","Period=FQ","BEST_FPERIOD_OVERRIDE=FQ","FILING_STATUS=MR","SCALING_FORMAT=MLN","Sort=A","Dates=H","DateFormat=P","Fill=—","Direction=H","UseDPDF=Y")</f>
        <v>-177.44</v>
      </c>
      <c r="Z71" s="13" cm="1">
        <f t="array" ref="Z71">_xll.BDH("NUE US Equity","OTHER_EQUITY_RATIO","FQ2 2024","FQ2 2024","Currency=USD","Period=FQ","BEST_FPERIOD_OVERRIDE=FQ","FILING_STATUS=MR","SCALING_FORMAT=MLN","Sort=A","Dates=H","DateFormat=P","Fill=—","Direction=H","UseDPDF=Y")</f>
        <v>-177.63800000000001</v>
      </c>
      <c r="AA71" s="13" cm="1">
        <f t="array" ref="AA71">_xll.BDH("NUE US Equity","OTHER_EQUITY_RATIO","FQ3 2024","FQ3 2024","Currency=USD","Period=FQ","BEST_FPERIOD_OVERRIDE=FQ","FILING_STATUS=MR","SCALING_FORMAT=MLN","Sort=A","Dates=H","DateFormat=P","Fill=—","Direction=H","UseDPDF=Y")</f>
        <v>-168.233</v>
      </c>
      <c r="AB71" s="13" cm="1">
        <f t="array" ref="AB71">_xll.BDH("NUE US Equity","OTHER_EQUITY_RATIO","FQ4 2024","FQ4 2024","Currency=USD","Period=FQ","BEST_FPERIOD_OVERRIDE=FQ","FILING_STATUS=MR","SCALING_FORMAT=MLN","Sort=A","Dates=H","DateFormat=P","Fill=—","Direction=H","UseDPDF=Y")</f>
        <v>-208</v>
      </c>
      <c r="AC71" s="13" cm="1">
        <f t="array" ref="AC71">_xll.BDH("NUE US Equity","OTHER_EQUITY_RATIO","FQ1 2025","FQ1 2025","Currency=USD","Period=FQ","BEST_FPERIOD_OVERRIDE=FQ","FILING_STATUS=MR","SCALING_FORMAT=MLN","Sort=A","Dates=H","DateFormat=P","Fill=—","Direction=H","UseDPDF=Y")</f>
        <v>-198</v>
      </c>
      <c r="AD71" s="13" cm="1">
        <f t="array" ref="AD71">_xll.BDH("NUE US Equity","OTHER_EQUITY_RATIO","FQ2 2025","FQ2 2025","Currency=USD","Period=FQ","BEST_FPERIOD_OVERRIDE=FQ","FILING_STATUS=MR","SCALING_FORMAT=MLN","Sort=A","Dates=H","DateFormat=P","Fill=—","Direction=H","UseDPDF=Y")</f>
        <v>-167</v>
      </c>
      <c r="AE71" s="13" cm="1">
        <f t="array" ref="AE71">_xll.BDH("NUE US Equity","OTHER_EQUITY_RATIO","FQ3 2025","FQ3 2025","Currency=USD","Period=FQ","BEST_FPERIOD_OVERRIDE=FQ","FILING_STATUS=MR","SCALING_FORMAT=MLN","Sort=A","Dates=H","DateFormat=P","Fill=—","Direction=H","UseDPDF=Y")</f>
        <v>-189</v>
      </c>
      <c r="AF71" s="13" cm="1">
        <f t="array" ref="AF71">_xll.BDH("NUE US Equity","OTHER_EQUITY_RATIO","FQ4 2025","FQ4 2025","Currency=USD","Period=FQ","BEST_FPERIOD_OVERRIDE=FQ","FILING_STATUS=MR","SCALING_FORMAT=MLN","Sort=A","Dates=H","DateFormat=P","Fill=—","Direction=H","UseDPDF=Y")</f>
        <v>-194</v>
      </c>
    </row>
    <row r="72" spans="1:32" x14ac:dyDescent="0.25">
      <c r="A72" s="6" t="s">
        <v>189</v>
      </c>
      <c r="B72" s="6" t="s">
        <v>190</v>
      </c>
      <c r="C72" s="16" cm="1">
        <f t="array" ref="C72">_xll.BDH("NUE US Equity","EQTY_BEF_MINORITY_INT_DETAILED","FQ3 2018","FQ3 2018","Currency=USD","Period=FQ","BEST_FPERIOD_OVERRIDE=FQ","FILING_STATUS=MR","SCALING_FORMAT=MLN","Sort=A","Dates=H","DateFormat=P","Fill=—","Direction=H","UseDPDF=Y")</f>
        <v>9792.1370000000006</v>
      </c>
      <c r="D72" s="16" cm="1">
        <f t="array" ref="D72">_xll.BDH("NUE US Equity","EQTY_BEF_MINORITY_INT_DETAILED","FQ4 2018","FQ4 2018","Currency=USD","Period=FQ","BEST_FPERIOD_OVERRIDE=FQ","FILING_STATUS=MR","SCALING_FORMAT=MLN","Sort=A","Dates=H","DateFormat=P","Fill=—","Direction=H","UseDPDF=Y")</f>
        <v>9792.0779999999995</v>
      </c>
      <c r="E72" s="16" cm="1">
        <f t="array" ref="E72">_xll.BDH("NUE US Equity","EQTY_BEF_MINORITY_INT_DETAILED","FQ1 2019","FQ1 2019","Currency=USD","Period=FQ","BEST_FPERIOD_OVERRIDE=FQ","FILING_STATUS=MR","SCALING_FORMAT=MLN","Sort=A","Dates=H","DateFormat=P","Fill=—","Direction=H","UseDPDF=Y")</f>
        <v>10114.191000000001</v>
      </c>
      <c r="F72" s="16" cm="1">
        <f t="array" ref="F72">_xll.BDH("NUE US Equity","EQTY_BEF_MINORITY_INT_DETAILED","FQ2 2019","FQ2 2019","Currency=USD","Period=FQ","BEST_FPERIOD_OVERRIDE=FQ","FILING_STATUS=MR","SCALING_FORMAT=MLN","Sort=A","Dates=H","DateFormat=P","Fill=—","Direction=H","UseDPDF=Y")</f>
        <v>10300.717000000001</v>
      </c>
      <c r="G72" s="16" cm="1">
        <f t="array" ref="G72">_xll.BDH("NUE US Equity","EQTY_BEF_MINORITY_INT_DETAILED","FQ3 2019","FQ3 2019","Currency=USD","Period=FQ","BEST_FPERIOD_OVERRIDE=FQ","FILING_STATUS=MR","SCALING_FORMAT=MLN","Sort=A","Dates=H","DateFormat=P","Fill=—","Direction=H","UseDPDF=Y")</f>
        <v>10449.047</v>
      </c>
      <c r="H72" s="16" cm="1">
        <f t="array" ref="H72">_xll.BDH("NUE US Equity","EQTY_BEF_MINORITY_INT_DETAILED","FQ4 2019","FQ4 2019","Currency=USD","Period=FQ","BEST_FPERIOD_OVERRIDE=FQ","FILING_STATUS=MR","SCALING_FORMAT=MLN","Sort=A","Dates=H","DateFormat=P","Fill=—","Direction=H","UseDPDF=Y")</f>
        <v>10357.866</v>
      </c>
      <c r="I72" s="16" cm="1">
        <f t="array" ref="I72">_xll.BDH("NUE US Equity","EQTY_BEF_MINORITY_INT_DETAILED","FQ1 2020","FQ1 2020","Currency=USD","Period=FQ","BEST_FPERIOD_OVERRIDE=FQ","FILING_STATUS=MR","SCALING_FORMAT=MLN","Sort=A","Dates=H","DateFormat=P","Fill=—","Direction=H","UseDPDF=Y")</f>
        <v>10168.204</v>
      </c>
      <c r="J72" s="16" cm="1">
        <f t="array" ref="J72">_xll.BDH("NUE US Equity","EQTY_BEF_MINORITY_INT_DETAILED","FQ2 2020","FQ2 2020","Currency=USD","Period=FQ","BEST_FPERIOD_OVERRIDE=FQ","FILING_STATUS=MR","SCALING_FORMAT=MLN","Sort=A","Dates=H","DateFormat=P","Fill=—","Direction=H","UseDPDF=Y")</f>
        <v>10194.82</v>
      </c>
      <c r="K72" s="16" cm="1">
        <f t="array" ref="K72">_xll.BDH("NUE US Equity","EQTY_BEF_MINORITY_INT_DETAILED","FQ3 2020","FQ3 2020","Currency=USD","Period=FQ","BEST_FPERIOD_OVERRIDE=FQ","FILING_STATUS=MR","SCALING_FORMAT=MLN","Sort=A","Dates=H","DateFormat=P","Fill=—","Direction=H","UseDPDF=Y")</f>
        <v>10302.414000000001</v>
      </c>
      <c r="L72" s="16" cm="1">
        <f t="array" ref="L72">_xll.BDH("NUE US Equity","EQTY_BEF_MINORITY_INT_DETAILED","FQ4 2020","FQ4 2020","Currency=USD","Period=FQ","BEST_FPERIOD_OVERRIDE=FQ","FILING_STATUS=MR","SCALING_FORMAT=MLN","Sort=A","Dates=H","DateFormat=P","Fill=—","Direction=H","UseDPDF=Y")</f>
        <v>10788.665000000001</v>
      </c>
      <c r="M72" s="16" cm="1">
        <f t="array" ref="M72">_xll.BDH("NUE US Equity","EQTY_BEF_MINORITY_INT_DETAILED","FQ1 2021","FQ1 2021","Currency=USD","Period=FQ","BEST_FPERIOD_OVERRIDE=FQ","FILING_STATUS=MR","SCALING_FORMAT=MLN","Sort=A","Dates=H","DateFormat=P","Fill=—","Direction=H","UseDPDF=Y")</f>
        <v>11447.24</v>
      </c>
      <c r="N72" s="16" cm="1">
        <f t="array" ref="N72">_xll.BDH("NUE US Equity","EQTY_BEF_MINORITY_INT_DETAILED","FQ2 2021","FQ2 2021","Currency=USD","Period=FQ","BEST_FPERIOD_OVERRIDE=FQ","FILING_STATUS=MR","SCALING_FORMAT=MLN","Sort=A","Dates=H","DateFormat=P","Fill=—","Direction=H","UseDPDF=Y")</f>
        <v>12253.977999999999</v>
      </c>
      <c r="O72" s="16" cm="1">
        <f t="array" ref="O72">_xll.BDH("NUE US Equity","EQTY_BEF_MINORITY_INT_DETAILED","FQ3 2021","FQ3 2021","Currency=USD","Period=FQ","BEST_FPERIOD_OVERRIDE=FQ","FILING_STATUS=MR","SCALING_FORMAT=MLN","Sort=A","Dates=H","DateFormat=P","Fill=—","Direction=H","UseDPDF=Y")</f>
        <v>13422.52</v>
      </c>
      <c r="P72" s="16" cm="1">
        <f t="array" ref="P72">_xll.BDH("NUE US Equity","EQTY_BEF_MINORITY_INT_DETAILED","FQ4 2021","FQ4 2021","Currency=USD","Period=FQ","BEST_FPERIOD_OVERRIDE=FQ","FILING_STATUS=MR","SCALING_FORMAT=MLN","Sort=A","Dates=H","DateFormat=P","Fill=—","Direction=H","UseDPDF=Y")</f>
        <v>14016.388999999999</v>
      </c>
      <c r="Q72" s="16" cm="1">
        <f t="array" ref="Q72">_xll.BDH("NUE US Equity","EQTY_BEF_MINORITY_INT_DETAILED","FQ1 2022","FQ1 2022","Currency=USD","Period=FQ","BEST_FPERIOD_OVERRIDE=FQ","FILING_STATUS=MR","SCALING_FORMAT=MLN","Sort=A","Dates=H","DateFormat=P","Fill=—","Direction=H","UseDPDF=Y")</f>
        <v>15204.562</v>
      </c>
      <c r="R72" s="16" cm="1">
        <f t="array" ref="R72">_xll.BDH("NUE US Equity","EQTY_BEF_MINORITY_INT_DETAILED","FQ2 2022","FQ2 2022","Currency=USD","Period=FQ","BEST_FPERIOD_OVERRIDE=FQ","FILING_STATUS=MR","SCALING_FORMAT=MLN","Sort=A","Dates=H","DateFormat=P","Fill=—","Direction=H","UseDPDF=Y")</f>
        <v>16808.644</v>
      </c>
      <c r="S72" s="16" cm="1">
        <f t="array" ref="S72">_xll.BDH("NUE US Equity","EQTY_BEF_MINORITY_INT_DETAILED","FQ3 2022","FQ3 2022","Currency=USD","Period=FQ","BEST_FPERIOD_OVERRIDE=FQ","FILING_STATUS=MR","SCALING_FORMAT=MLN","Sort=A","Dates=H","DateFormat=P","Fill=—","Direction=H","UseDPDF=Y")</f>
        <v>17708.456999999999</v>
      </c>
      <c r="T72" s="16" cm="1">
        <f t="array" ref="T72">_xll.BDH("NUE US Equity","EQTY_BEF_MINORITY_INT_DETAILED","FQ4 2022","FQ4 2022","Currency=USD","Period=FQ","BEST_FPERIOD_OVERRIDE=FQ","FILING_STATUS=MR","SCALING_FORMAT=MLN","Sort=A","Dates=H","DateFormat=P","Fill=—","Direction=H","UseDPDF=Y")</f>
        <v>18414.694</v>
      </c>
      <c r="U72" s="16" cm="1">
        <f t="array" ref="U72">_xll.BDH("NUE US Equity","EQTY_BEF_MINORITY_INT_DETAILED","FQ1 2023","FQ1 2023","Currency=USD","Period=FQ","BEST_FPERIOD_OVERRIDE=FQ","FILING_STATUS=MR","SCALING_FORMAT=MLN","Sort=A","Dates=H","DateFormat=P","Fill=—","Direction=H","UseDPDF=Y")</f>
        <v>19017.381000000001</v>
      </c>
      <c r="V72" s="16" cm="1">
        <f t="array" ref="V72">_xll.BDH("NUE US Equity","EQTY_BEF_MINORITY_INT_DETAILED","FQ2 2023","FQ2 2023","Currency=USD","Period=FQ","BEST_FPERIOD_OVERRIDE=FQ","FILING_STATUS=MR","SCALING_FORMAT=MLN","Sort=A","Dates=H","DateFormat=P","Fill=—","Direction=H","UseDPDF=Y")</f>
        <v>19953.679</v>
      </c>
      <c r="W72" s="16" cm="1">
        <f t="array" ref="W72">_xll.BDH("NUE US Equity","EQTY_BEF_MINORITY_INT_DETAILED","FQ3 2023","FQ3 2023","Currency=USD","Period=FQ","BEST_FPERIOD_OVERRIDE=FQ","FILING_STATUS=MR","SCALING_FORMAT=MLN","Sort=A","Dates=H","DateFormat=P","Fill=—","Direction=H","UseDPDF=Y")</f>
        <v>20465.717000000001</v>
      </c>
      <c r="X72" s="16" cm="1">
        <f t="array" ref="X72">_xll.BDH("NUE US Equity","EQTY_BEF_MINORITY_INT_DETAILED","FQ4 2023","FQ4 2023","Currency=USD","Period=FQ","BEST_FPERIOD_OVERRIDE=FQ","FILING_STATUS=MR","SCALING_FORMAT=MLN","Sort=A","Dates=H","DateFormat=P","Fill=—","Direction=H","UseDPDF=Y")</f>
        <v>20940.633999999998</v>
      </c>
      <c r="Y72" s="16" cm="1">
        <f t="array" ref="Y72">_xll.BDH("NUE US Equity","EQTY_BEF_MINORITY_INT_DETAILED","FQ1 2024","FQ1 2024","Currency=USD","Period=FQ","BEST_FPERIOD_OVERRIDE=FQ","FILING_STATUS=MR","SCALING_FORMAT=MLN","Sort=A","Dates=H","DateFormat=P","Fill=—","Direction=H","UseDPDF=Y")</f>
        <v>20693.713</v>
      </c>
      <c r="Z72" s="16" cm="1">
        <f t="array" ref="Z72">_xll.BDH("NUE US Equity","EQTY_BEF_MINORITY_INT_DETAILED","FQ2 2024","FQ2 2024","Currency=USD","Period=FQ","BEST_FPERIOD_OVERRIDE=FQ","FILING_STATUS=MR","SCALING_FORMAT=MLN","Sort=A","Dates=H","DateFormat=P","Fill=—","Direction=H","UseDPDF=Y")</f>
        <v>20723.525000000001</v>
      </c>
      <c r="AA72" s="16" cm="1">
        <f t="array" ref="AA72">_xll.BDH("NUE US Equity","EQTY_BEF_MINORITY_INT_DETAILED","FQ3 2024","FQ3 2024","Currency=USD","Period=FQ","BEST_FPERIOD_OVERRIDE=FQ","FILING_STATUS=MR","SCALING_FORMAT=MLN","Sort=A","Dates=H","DateFormat=P","Fill=—","Direction=H","UseDPDF=Y")</f>
        <v>20472.858</v>
      </c>
      <c r="AB72" s="16" cm="1">
        <f t="array" ref="AB72">_xll.BDH("NUE US Equity","EQTY_BEF_MINORITY_INT_DETAILED","FQ4 2024","FQ4 2024","Currency=USD","Period=FQ","BEST_FPERIOD_OVERRIDE=FQ","FILING_STATUS=MR","SCALING_FORMAT=MLN","Sort=A","Dates=H","DateFormat=P","Fill=—","Direction=H","UseDPDF=Y")</f>
        <v>20294</v>
      </c>
      <c r="AC72" s="16" cm="1">
        <f t="array" ref="AC72">_xll.BDH("NUE US Equity","EQTY_BEF_MINORITY_INT_DETAILED","FQ1 2025","FQ1 2025","Currency=USD","Period=FQ","BEST_FPERIOD_OVERRIDE=FQ","FILING_STATUS=MR","SCALING_FORMAT=MLN","Sort=A","Dates=H","DateFormat=P","Fill=—","Direction=H","UseDPDF=Y")</f>
        <v>20069</v>
      </c>
      <c r="AD72" s="16" cm="1">
        <f t="array" ref="AD72">_xll.BDH("NUE US Equity","EQTY_BEF_MINORITY_INT_DETAILED","FQ2 2025","FQ2 2025","Currency=USD","Period=FQ","BEST_FPERIOD_OVERRIDE=FQ","FILING_STATUS=MR","SCALING_FORMAT=MLN","Sort=A","Dates=H","DateFormat=P","Fill=—","Direction=H","UseDPDF=Y")</f>
        <v>20389</v>
      </c>
      <c r="AE72" s="16" cm="1">
        <f t="array" ref="AE72">_xll.BDH("NUE US Equity","EQTY_BEF_MINORITY_INT_DETAILED","FQ3 2025","FQ3 2025","Currency=USD","Period=FQ","BEST_FPERIOD_OVERRIDE=FQ","FILING_STATUS=MR","SCALING_FORMAT=MLN","Sort=A","Dates=H","DateFormat=P","Fill=—","Direction=H","UseDPDF=Y")</f>
        <v>20770</v>
      </c>
      <c r="AF72" s="16" cm="1">
        <f t="array" ref="AF72">_xll.BDH("NUE US Equity","EQTY_BEF_MINORITY_INT_DETAILED","FQ4 2025","FQ4 2025","Currency=USD","Period=FQ","BEST_FPERIOD_OVERRIDE=FQ","FILING_STATUS=MR","SCALING_FORMAT=MLN","Sort=A","Dates=H","DateFormat=P","Fill=—","Direction=H","UseDPDF=Y")</f>
        <v>20936</v>
      </c>
    </row>
    <row r="73" spans="1:32" x14ac:dyDescent="0.25">
      <c r="A73" s="10" t="s">
        <v>191</v>
      </c>
      <c r="B73" s="10" t="s">
        <v>192</v>
      </c>
      <c r="C73" s="13" cm="1">
        <f t="array" ref="C73">_xll.BDH("NUE US Equity","MINORITY_NONCONTROLLING_INTEREST","FQ3 2018","FQ3 2018","Currency=USD","Period=FQ","BEST_FPERIOD_OVERRIDE=FQ","FILING_STATUS=MR","SCALING_FORMAT=MLN","Sort=A","Dates=H","DateFormat=P","Fill=—","Direction=H","UseDPDF=Y")</f>
        <v>382.28399999999999</v>
      </c>
      <c r="D73" s="13" cm="1">
        <f t="array" ref="D73">_xll.BDH("NUE US Equity","MINORITY_NONCONTROLLING_INTEREST","FQ4 2018","FQ4 2018","Currency=USD","Period=FQ","BEST_FPERIOD_OVERRIDE=FQ","FILING_STATUS=MR","SCALING_FORMAT=MLN","Sort=A","Dates=H","DateFormat=P","Fill=—","Direction=H","UseDPDF=Y")</f>
        <v>409.89</v>
      </c>
      <c r="E73" s="13" cm="1">
        <f t="array" ref="E73">_xll.BDH("NUE US Equity","MINORITY_NONCONTROLLING_INTEREST","FQ1 2019","FQ1 2019","Currency=USD","Period=FQ","BEST_FPERIOD_OVERRIDE=FQ","FILING_STATUS=MR","SCALING_FORMAT=MLN","Sort=A","Dates=H","DateFormat=P","Fill=—","Direction=H","UseDPDF=Y")</f>
        <v>388.47500000000002</v>
      </c>
      <c r="F73" s="13" cm="1">
        <f t="array" ref="F73">_xll.BDH("NUE US Equity","MINORITY_NONCONTROLLING_INTEREST","FQ2 2019","FQ2 2019","Currency=USD","Period=FQ","BEST_FPERIOD_OVERRIDE=FQ","FILING_STATUS=MR","SCALING_FORMAT=MLN","Sort=A","Dates=H","DateFormat=P","Fill=—","Direction=H","UseDPDF=Y")</f>
        <v>397.291</v>
      </c>
      <c r="G73" s="13" cm="1">
        <f t="array" ref="G73">_xll.BDH("NUE US Equity","MINORITY_NONCONTROLLING_INTEREST","FQ3 2019","FQ3 2019","Currency=USD","Period=FQ","BEST_FPERIOD_OVERRIDE=FQ","FILING_STATUS=MR","SCALING_FORMAT=MLN","Sort=A","Dates=H","DateFormat=P","Fill=—","Direction=H","UseDPDF=Y")</f>
        <v>411.98599999999999</v>
      </c>
      <c r="H73" s="13" cm="1">
        <f t="array" ref="H73">_xll.BDH("NUE US Equity","MINORITY_NONCONTROLLING_INTEREST","FQ4 2019","FQ4 2019","Currency=USD","Period=FQ","BEST_FPERIOD_OVERRIDE=FQ","FILING_STATUS=MR","SCALING_FORMAT=MLN","Sort=A","Dates=H","DateFormat=P","Fill=—","Direction=H","UseDPDF=Y")</f>
        <v>433.31</v>
      </c>
      <c r="I73" s="13" cm="1">
        <f t="array" ref="I73">_xll.BDH("NUE US Equity","MINORITY_NONCONTROLLING_INTEREST","FQ1 2020","FQ1 2020","Currency=USD","Period=FQ","BEST_FPERIOD_OVERRIDE=FQ","FILING_STATUS=MR","SCALING_FORMAT=MLN","Sort=A","Dates=H","DateFormat=P","Fill=—","Direction=H","UseDPDF=Y")</f>
        <v>427.86500000000001</v>
      </c>
      <c r="J73" s="13" cm="1">
        <f t="array" ref="J73">_xll.BDH("NUE US Equity","MINORITY_NONCONTROLLING_INTEREST","FQ2 2020","FQ2 2020","Currency=USD","Period=FQ","BEST_FPERIOD_OVERRIDE=FQ","FILING_STATUS=MR","SCALING_FORMAT=MLN","Sort=A","Dates=H","DateFormat=P","Fill=—","Direction=H","UseDPDF=Y")</f>
        <v>428.66500000000002</v>
      </c>
      <c r="K73" s="13" cm="1">
        <f t="array" ref="K73">_xll.BDH("NUE US Equity","MINORITY_NONCONTROLLING_INTEREST","FQ3 2020","FQ3 2020","Currency=USD","Period=FQ","BEST_FPERIOD_OVERRIDE=FQ","FILING_STATUS=MR","SCALING_FORMAT=MLN","Sort=A","Dates=H","DateFormat=P","Fill=—","Direction=H","UseDPDF=Y")</f>
        <v>414.65300000000002</v>
      </c>
      <c r="L73" s="13" cm="1">
        <f t="array" ref="L73">_xll.BDH("NUE US Equity","MINORITY_NONCONTROLLING_INTEREST","FQ4 2020","FQ4 2020","Currency=USD","Period=FQ","BEST_FPERIOD_OVERRIDE=FQ","FILING_STATUS=MR","SCALING_FORMAT=MLN","Sort=A","Dates=H","DateFormat=P","Fill=—","Direction=H","UseDPDF=Y")</f>
        <v>443.19600000000003</v>
      </c>
      <c r="M73" s="13" cm="1">
        <f t="array" ref="M73">_xll.BDH("NUE US Equity","MINORITY_NONCONTROLLING_INTEREST","FQ1 2021","FQ1 2021","Currency=USD","Period=FQ","BEST_FPERIOD_OVERRIDE=FQ","FILING_STATUS=MR","SCALING_FORMAT=MLN","Sort=A","Dates=H","DateFormat=P","Fill=—","Direction=H","UseDPDF=Y")</f>
        <v>414.483</v>
      </c>
      <c r="N73" s="13" cm="1">
        <f t="array" ref="N73">_xll.BDH("NUE US Equity","MINORITY_NONCONTROLLING_INTEREST","FQ2 2021","FQ2 2021","Currency=USD","Period=FQ","BEST_FPERIOD_OVERRIDE=FQ","FILING_STATUS=MR","SCALING_FORMAT=MLN","Sort=A","Dates=H","DateFormat=P","Fill=—","Direction=H","UseDPDF=Y")</f>
        <v>455.673</v>
      </c>
      <c r="O73" s="13" cm="1">
        <f t="array" ref="O73">_xll.BDH("NUE US Equity","MINORITY_NONCONTROLLING_INTEREST","FQ3 2021","FQ3 2021","Currency=USD","Period=FQ","BEST_FPERIOD_OVERRIDE=FQ","FILING_STATUS=MR","SCALING_FORMAT=MLN","Sort=A","Dates=H","DateFormat=P","Fill=—","Direction=H","UseDPDF=Y")</f>
        <v>527.77200000000005</v>
      </c>
      <c r="P73" s="13" cm="1">
        <f t="array" ref="P73">_xll.BDH("NUE US Equity","MINORITY_NONCONTROLLING_INTEREST","FQ4 2021","FQ4 2021","Currency=USD","Period=FQ","BEST_FPERIOD_OVERRIDE=FQ","FILING_STATUS=MR","SCALING_FORMAT=MLN","Sort=A","Dates=H","DateFormat=P","Fill=—","Direction=H","UseDPDF=Y")</f>
        <v>587.40499999999997</v>
      </c>
      <c r="Q73" s="13" cm="1">
        <f t="array" ref="Q73">_xll.BDH("NUE US Equity","MINORITY_NONCONTROLLING_INTEREST","FQ1 2022","FQ1 2022","Currency=USD","Period=FQ","BEST_FPERIOD_OVERRIDE=FQ","FILING_STATUS=MR","SCALING_FORMAT=MLN","Sort=A","Dates=H","DateFormat=P","Fill=—","Direction=H","UseDPDF=Y")</f>
        <v>938.55799999999999</v>
      </c>
      <c r="R73" s="13" cm="1">
        <f t="array" ref="R73">_xll.BDH("NUE US Equity","MINORITY_NONCONTROLLING_INTEREST","FQ2 2022","FQ2 2022","Currency=USD","Period=FQ","BEST_FPERIOD_OVERRIDE=FQ","FILING_STATUS=MR","SCALING_FORMAT=MLN","Sort=A","Dates=H","DateFormat=P","Fill=—","Direction=H","UseDPDF=Y")</f>
        <v>1044.164</v>
      </c>
      <c r="S73" s="13" cm="1">
        <f t="array" ref="S73">_xll.BDH("NUE US Equity","MINORITY_NONCONTROLLING_INTEREST","FQ3 2022","FQ3 2022","Currency=USD","Period=FQ","BEST_FPERIOD_OVERRIDE=FQ","FILING_STATUS=MR","SCALING_FORMAT=MLN","Sort=A","Dates=H","DateFormat=P","Fill=—","Direction=H","UseDPDF=Y")</f>
        <v>1116.222</v>
      </c>
      <c r="T73" s="13" cm="1">
        <f t="array" ref="T73">_xll.BDH("NUE US Equity","MINORITY_NONCONTROLLING_INTEREST","FQ4 2022","FQ4 2022","Currency=USD","Period=FQ","BEST_FPERIOD_OVERRIDE=FQ","FILING_STATUS=MR","SCALING_FORMAT=MLN","Sort=A","Dates=H","DateFormat=P","Fill=—","Direction=H","UseDPDF=Y")</f>
        <v>1155.212</v>
      </c>
      <c r="U73" s="13" cm="1">
        <f t="array" ref="U73">_xll.BDH("NUE US Equity","MINORITY_NONCONTROLLING_INTEREST","FQ1 2023","FQ1 2023","Currency=USD","Period=FQ","BEST_FPERIOD_OVERRIDE=FQ","FILING_STATUS=MR","SCALING_FORMAT=MLN","Sort=A","Dates=H","DateFormat=P","Fill=—","Direction=H","UseDPDF=Y")</f>
        <v>912.48900000000003</v>
      </c>
      <c r="V73" s="13" cm="1">
        <f t="array" ref="V73">_xll.BDH("NUE US Equity","MINORITY_NONCONTROLLING_INTEREST","FQ2 2023","FQ2 2023","Currency=USD","Period=FQ","BEST_FPERIOD_OVERRIDE=FQ","FILING_STATUS=MR","SCALING_FORMAT=MLN","Sort=A","Dates=H","DateFormat=P","Fill=—","Direction=H","UseDPDF=Y")</f>
        <v>987.24900000000002</v>
      </c>
      <c r="W73" s="13" cm="1">
        <f t="array" ref="W73">_xll.BDH("NUE US Equity","MINORITY_NONCONTROLLING_INTEREST","FQ3 2023","FQ3 2023","Currency=USD","Period=FQ","BEST_FPERIOD_OVERRIDE=FQ","FILING_STATUS=MR","SCALING_FORMAT=MLN","Sort=A","Dates=H","DateFormat=P","Fill=—","Direction=H","UseDPDF=Y")</f>
        <v>1043.365</v>
      </c>
      <c r="X73" s="13" cm="1">
        <f t="array" ref="X73">_xll.BDH("NUE US Equity","MINORITY_NONCONTROLLING_INTEREST","FQ4 2023","FQ4 2023","Currency=USD","Period=FQ","BEST_FPERIOD_OVERRIDE=FQ","FILING_STATUS=MR","SCALING_FORMAT=MLN","Sort=A","Dates=H","DateFormat=P","Fill=—","Direction=H","UseDPDF=Y")</f>
        <v>1183.1199999999999</v>
      </c>
      <c r="Y73" s="13" cm="1">
        <f t="array" ref="Y73">_xll.BDH("NUE US Equity","MINORITY_NONCONTROLLING_INTEREST","FQ1 2024","FQ1 2024","Currency=USD","Period=FQ","BEST_FPERIOD_OVERRIDE=FQ","FILING_STATUS=MR","SCALING_FORMAT=MLN","Sort=A","Dates=H","DateFormat=P","Fill=—","Direction=H","UseDPDF=Y")</f>
        <v>1031.806</v>
      </c>
      <c r="Z73" s="13" cm="1">
        <f t="array" ref="Z73">_xll.BDH("NUE US Equity","MINORITY_NONCONTROLLING_INTEREST","FQ2 2024","FQ2 2024","Currency=USD","Period=FQ","BEST_FPERIOD_OVERRIDE=FQ","FILING_STATUS=MR","SCALING_FORMAT=MLN","Sort=A","Dates=H","DateFormat=P","Fill=—","Direction=H","UseDPDF=Y")</f>
        <v>1048.9829999999999</v>
      </c>
      <c r="AA73" s="13" cm="1">
        <f t="array" ref="AA73">_xll.BDH("NUE US Equity","MINORITY_NONCONTROLLING_INTEREST","FQ3 2024","FQ3 2024","Currency=USD","Period=FQ","BEST_FPERIOD_OVERRIDE=FQ","FILING_STATUS=MR","SCALING_FORMAT=MLN","Sort=A","Dates=H","DateFormat=P","Fill=—","Direction=H","UseDPDF=Y")</f>
        <v>1083.683</v>
      </c>
      <c r="AB73" s="13" cm="1">
        <f t="array" ref="AB73">_xll.BDH("NUE US Equity","MINORITY_NONCONTROLLING_INTEREST","FQ4 2024","FQ4 2024","Currency=USD","Period=FQ","BEST_FPERIOD_OVERRIDE=FQ","FILING_STATUS=MR","SCALING_FORMAT=MLN","Sort=A","Dates=H","DateFormat=P","Fill=—","Direction=H","UseDPDF=Y")</f>
        <v>1123</v>
      </c>
      <c r="AC73" s="13" cm="1">
        <f t="array" ref="AC73">_xll.BDH("NUE US Equity","MINORITY_NONCONTROLLING_INTEREST","FQ1 2025","FQ1 2025","Currency=USD","Period=FQ","BEST_FPERIOD_OVERRIDE=FQ","FILING_STATUS=MR","SCALING_FORMAT=MLN","Sort=A","Dates=H","DateFormat=P","Fill=—","Direction=H","UseDPDF=Y")</f>
        <v>1046</v>
      </c>
      <c r="AD73" s="13" cm="1">
        <f t="array" ref="AD73">_xll.BDH("NUE US Equity","MINORITY_NONCONTROLLING_INTEREST","FQ2 2025","FQ2 2025","Currency=USD","Period=FQ","BEST_FPERIOD_OVERRIDE=FQ","FILING_STATUS=MR","SCALING_FORMAT=MLN","Sort=A","Dates=H","DateFormat=P","Fill=—","Direction=H","UseDPDF=Y")</f>
        <v>1103</v>
      </c>
      <c r="AE73" s="13" cm="1">
        <f t="array" ref="AE73">_xll.BDH("NUE US Equity","MINORITY_NONCONTROLLING_INTEREST","FQ3 2025","FQ3 2025","Currency=USD","Period=FQ","BEST_FPERIOD_OVERRIDE=FQ","FILING_STATUS=MR","SCALING_FORMAT=MLN","Sort=A","Dates=H","DateFormat=P","Fill=—","Direction=H","UseDPDF=Y")</f>
        <v>1161</v>
      </c>
      <c r="AF73" s="13" cm="1">
        <f t="array" ref="AF73">_xll.BDH("NUE US Equity","MINORITY_NONCONTROLLING_INTEREST","FQ4 2025","FQ4 2025","Currency=USD","Period=FQ","BEST_FPERIOD_OVERRIDE=FQ","FILING_STATUS=MR","SCALING_FORMAT=MLN","Sort=A","Dates=H","DateFormat=P","Fill=—","Direction=H","UseDPDF=Y")</f>
        <v>1188</v>
      </c>
    </row>
    <row r="74" spans="1:32" x14ac:dyDescent="0.25">
      <c r="A74" s="6" t="s">
        <v>193</v>
      </c>
      <c r="B74" s="6" t="s">
        <v>194</v>
      </c>
      <c r="C74" s="16" cm="1">
        <f t="array" ref="C74">_xll.BDH("NUE US Equity","TOTAL_EQUITY","FQ3 2018","FQ3 2018","Currency=USD","Period=FQ","BEST_FPERIOD_OVERRIDE=FQ","FILING_STATUS=MR","SCALING_FORMAT=MLN","Sort=A","Dates=H","DateFormat=P","Fill=—","Direction=H","UseDPDF=Y")</f>
        <v>10174.421</v>
      </c>
      <c r="D74" s="16" cm="1">
        <f t="array" ref="D74">_xll.BDH("NUE US Equity","TOTAL_EQUITY","FQ4 2018","FQ4 2018","Currency=USD","Period=FQ","BEST_FPERIOD_OVERRIDE=FQ","FILING_STATUS=MR","SCALING_FORMAT=MLN","Sort=A","Dates=H","DateFormat=P","Fill=—","Direction=H","UseDPDF=Y")</f>
        <v>10201.968000000001</v>
      </c>
      <c r="E74" s="16" cm="1">
        <f t="array" ref="E74">_xll.BDH("NUE US Equity","TOTAL_EQUITY","FQ1 2019","FQ1 2019","Currency=USD","Period=FQ","BEST_FPERIOD_OVERRIDE=FQ","FILING_STATUS=MR","SCALING_FORMAT=MLN","Sort=A","Dates=H","DateFormat=P","Fill=—","Direction=H","UseDPDF=Y")</f>
        <v>10502.665999999999</v>
      </c>
      <c r="F74" s="16" cm="1">
        <f t="array" ref="F74">_xll.BDH("NUE US Equity","TOTAL_EQUITY","FQ2 2019","FQ2 2019","Currency=USD","Period=FQ","BEST_FPERIOD_OVERRIDE=FQ","FILING_STATUS=MR","SCALING_FORMAT=MLN","Sort=A","Dates=H","DateFormat=P","Fill=—","Direction=H","UseDPDF=Y")</f>
        <v>10698.008</v>
      </c>
      <c r="G74" s="16" cm="1">
        <f t="array" ref="G74">_xll.BDH("NUE US Equity","TOTAL_EQUITY","FQ3 2019","FQ3 2019","Currency=USD","Period=FQ","BEST_FPERIOD_OVERRIDE=FQ","FILING_STATUS=MR","SCALING_FORMAT=MLN","Sort=A","Dates=H","DateFormat=P","Fill=—","Direction=H","UseDPDF=Y")</f>
        <v>10861.032999999999</v>
      </c>
      <c r="H74" s="16" cm="1">
        <f t="array" ref="H74">_xll.BDH("NUE US Equity","TOTAL_EQUITY","FQ4 2019","FQ4 2019","Currency=USD","Period=FQ","BEST_FPERIOD_OVERRIDE=FQ","FILING_STATUS=MR","SCALING_FORMAT=MLN","Sort=A","Dates=H","DateFormat=P","Fill=—","Direction=H","UseDPDF=Y")</f>
        <v>10791.175999999999</v>
      </c>
      <c r="I74" s="16" cm="1">
        <f t="array" ref="I74">_xll.BDH("NUE US Equity","TOTAL_EQUITY","FQ1 2020","FQ1 2020","Currency=USD","Period=FQ","BEST_FPERIOD_OVERRIDE=FQ","FILING_STATUS=MR","SCALING_FORMAT=MLN","Sort=A","Dates=H","DateFormat=P","Fill=—","Direction=H","UseDPDF=Y")</f>
        <v>10596.069</v>
      </c>
      <c r="J74" s="16" cm="1">
        <f t="array" ref="J74">_xll.BDH("NUE US Equity","TOTAL_EQUITY","FQ2 2020","FQ2 2020","Currency=USD","Period=FQ","BEST_FPERIOD_OVERRIDE=FQ","FILING_STATUS=MR","SCALING_FORMAT=MLN","Sort=A","Dates=H","DateFormat=P","Fill=—","Direction=H","UseDPDF=Y")</f>
        <v>10623.485000000001</v>
      </c>
      <c r="K74" s="16" cm="1">
        <f t="array" ref="K74">_xll.BDH("NUE US Equity","TOTAL_EQUITY","FQ3 2020","FQ3 2020","Currency=USD","Period=FQ","BEST_FPERIOD_OVERRIDE=FQ","FILING_STATUS=MR","SCALING_FORMAT=MLN","Sort=A","Dates=H","DateFormat=P","Fill=—","Direction=H","UseDPDF=Y")</f>
        <v>10717.066999999999</v>
      </c>
      <c r="L74" s="16" cm="1">
        <f t="array" ref="L74">_xll.BDH("NUE US Equity","TOTAL_EQUITY","FQ4 2020","FQ4 2020","Currency=USD","Period=FQ","BEST_FPERIOD_OVERRIDE=FQ","FILING_STATUS=MR","SCALING_FORMAT=MLN","Sort=A","Dates=H","DateFormat=P","Fill=—","Direction=H","UseDPDF=Y")</f>
        <v>11231.861000000001</v>
      </c>
      <c r="M74" s="16" cm="1">
        <f t="array" ref="M74">_xll.BDH("NUE US Equity","TOTAL_EQUITY","FQ1 2021","FQ1 2021","Currency=USD","Period=FQ","BEST_FPERIOD_OVERRIDE=FQ","FILING_STATUS=MR","SCALING_FORMAT=MLN","Sort=A","Dates=H","DateFormat=P","Fill=—","Direction=H","UseDPDF=Y")</f>
        <v>11861.723</v>
      </c>
      <c r="N74" s="16" cm="1">
        <f t="array" ref="N74">_xll.BDH("NUE US Equity","TOTAL_EQUITY","FQ2 2021","FQ2 2021","Currency=USD","Period=FQ","BEST_FPERIOD_OVERRIDE=FQ","FILING_STATUS=MR","SCALING_FORMAT=MLN","Sort=A","Dates=H","DateFormat=P","Fill=—","Direction=H","UseDPDF=Y")</f>
        <v>12709.651</v>
      </c>
      <c r="O74" s="16" cm="1">
        <f t="array" ref="O74">_xll.BDH("NUE US Equity","TOTAL_EQUITY","FQ3 2021","FQ3 2021","Currency=USD","Period=FQ","BEST_FPERIOD_OVERRIDE=FQ","FILING_STATUS=MR","SCALING_FORMAT=MLN","Sort=A","Dates=H","DateFormat=P","Fill=—","Direction=H","UseDPDF=Y")</f>
        <v>13950.291999999999</v>
      </c>
      <c r="P74" s="16" cm="1">
        <f t="array" ref="P74">_xll.BDH("NUE US Equity","TOTAL_EQUITY","FQ4 2021","FQ4 2021","Currency=USD","Period=FQ","BEST_FPERIOD_OVERRIDE=FQ","FILING_STATUS=MR","SCALING_FORMAT=MLN","Sort=A","Dates=H","DateFormat=P","Fill=—","Direction=H","UseDPDF=Y")</f>
        <v>14603.794</v>
      </c>
      <c r="Q74" s="16" cm="1">
        <f t="array" ref="Q74">_xll.BDH("NUE US Equity","TOTAL_EQUITY","FQ1 2022","FQ1 2022","Currency=USD","Period=FQ","BEST_FPERIOD_OVERRIDE=FQ","FILING_STATUS=MR","SCALING_FORMAT=MLN","Sort=A","Dates=H","DateFormat=P","Fill=—","Direction=H","UseDPDF=Y")</f>
        <v>16143.12</v>
      </c>
      <c r="R74" s="16" cm="1">
        <f t="array" ref="R74">_xll.BDH("NUE US Equity","TOTAL_EQUITY","FQ2 2022","FQ2 2022","Currency=USD","Period=FQ","BEST_FPERIOD_OVERRIDE=FQ","FILING_STATUS=MR","SCALING_FORMAT=MLN","Sort=A","Dates=H","DateFormat=P","Fill=—","Direction=H","UseDPDF=Y")</f>
        <v>17852.808000000001</v>
      </c>
      <c r="S74" s="16" cm="1">
        <f t="array" ref="S74">_xll.BDH("NUE US Equity","TOTAL_EQUITY","FQ3 2022","FQ3 2022","Currency=USD","Period=FQ","BEST_FPERIOD_OVERRIDE=FQ","FILING_STATUS=MR","SCALING_FORMAT=MLN","Sort=A","Dates=H","DateFormat=P","Fill=—","Direction=H","UseDPDF=Y")</f>
        <v>18824.679</v>
      </c>
      <c r="T74" s="16" cm="1">
        <f t="array" ref="T74">_xll.BDH("NUE US Equity","TOTAL_EQUITY","FQ4 2022","FQ4 2022","Currency=USD","Period=FQ","BEST_FPERIOD_OVERRIDE=FQ","FILING_STATUS=MR","SCALING_FORMAT=MLN","Sort=A","Dates=H","DateFormat=P","Fill=—","Direction=H","UseDPDF=Y")</f>
        <v>19569.905999999999</v>
      </c>
      <c r="U74" s="16" cm="1">
        <f t="array" ref="U74">_xll.BDH("NUE US Equity","TOTAL_EQUITY","FQ1 2023","FQ1 2023","Currency=USD","Period=FQ","BEST_FPERIOD_OVERRIDE=FQ","FILING_STATUS=MR","SCALING_FORMAT=MLN","Sort=A","Dates=H","DateFormat=P","Fill=—","Direction=H","UseDPDF=Y")</f>
        <v>19929.87</v>
      </c>
      <c r="V74" s="16" cm="1">
        <f t="array" ref="V74">_xll.BDH("NUE US Equity","TOTAL_EQUITY","FQ2 2023","FQ2 2023","Currency=USD","Period=FQ","BEST_FPERIOD_OVERRIDE=FQ","FILING_STATUS=MR","SCALING_FORMAT=MLN","Sort=A","Dates=H","DateFormat=P","Fill=—","Direction=H","UseDPDF=Y")</f>
        <v>20940.928</v>
      </c>
      <c r="W74" s="16" cm="1">
        <f t="array" ref="W74">_xll.BDH("NUE US Equity","TOTAL_EQUITY","FQ3 2023","FQ3 2023","Currency=USD","Period=FQ","BEST_FPERIOD_OVERRIDE=FQ","FILING_STATUS=MR","SCALING_FORMAT=MLN","Sort=A","Dates=H","DateFormat=P","Fill=—","Direction=H","UseDPDF=Y")</f>
        <v>21509.081999999999</v>
      </c>
      <c r="X74" s="16" cm="1">
        <f t="array" ref="X74">_xll.BDH("NUE US Equity","TOTAL_EQUITY","FQ4 2023","FQ4 2023","Currency=USD","Period=FQ","BEST_FPERIOD_OVERRIDE=FQ","FILING_STATUS=MR","SCALING_FORMAT=MLN","Sort=A","Dates=H","DateFormat=P","Fill=—","Direction=H","UseDPDF=Y")</f>
        <v>22123.754000000001</v>
      </c>
      <c r="Y74" s="16" cm="1">
        <f t="array" ref="Y74">_xll.BDH("NUE US Equity","TOTAL_EQUITY","FQ1 2024","FQ1 2024","Currency=USD","Period=FQ","BEST_FPERIOD_OVERRIDE=FQ","FILING_STATUS=MR","SCALING_FORMAT=MLN","Sort=A","Dates=H","DateFormat=P","Fill=—","Direction=H","UseDPDF=Y")</f>
        <v>21725.519</v>
      </c>
      <c r="Z74" s="16" cm="1">
        <f t="array" ref="Z74">_xll.BDH("NUE US Equity","TOTAL_EQUITY","FQ2 2024","FQ2 2024","Currency=USD","Period=FQ","BEST_FPERIOD_OVERRIDE=FQ","FILING_STATUS=MR","SCALING_FORMAT=MLN","Sort=A","Dates=H","DateFormat=P","Fill=—","Direction=H","UseDPDF=Y")</f>
        <v>21772.508000000002</v>
      </c>
      <c r="AA74" s="16" cm="1">
        <f t="array" ref="AA74">_xll.BDH("NUE US Equity","TOTAL_EQUITY","FQ3 2024","FQ3 2024","Currency=USD","Period=FQ","BEST_FPERIOD_OVERRIDE=FQ","FILING_STATUS=MR","SCALING_FORMAT=MLN","Sort=A","Dates=H","DateFormat=P","Fill=—","Direction=H","UseDPDF=Y")</f>
        <v>21556.541000000001</v>
      </c>
      <c r="AB74" s="16" cm="1">
        <f t="array" ref="AB74">_xll.BDH("NUE US Equity","TOTAL_EQUITY","FQ4 2024","FQ4 2024","Currency=USD","Period=FQ","BEST_FPERIOD_OVERRIDE=FQ","FILING_STATUS=MR","SCALING_FORMAT=MLN","Sort=A","Dates=H","DateFormat=P","Fill=—","Direction=H","UseDPDF=Y")</f>
        <v>21417</v>
      </c>
      <c r="AC74" s="16" cm="1">
        <f t="array" ref="AC74">_xll.BDH("NUE US Equity","TOTAL_EQUITY","FQ1 2025","FQ1 2025","Currency=USD","Period=FQ","BEST_FPERIOD_OVERRIDE=FQ","FILING_STATUS=MR","SCALING_FORMAT=MLN","Sort=A","Dates=H","DateFormat=P","Fill=—","Direction=H","UseDPDF=Y")</f>
        <v>21115</v>
      </c>
      <c r="AD74" s="16" cm="1">
        <f t="array" ref="AD74">_xll.BDH("NUE US Equity","TOTAL_EQUITY","FQ2 2025","FQ2 2025","Currency=USD","Period=FQ","BEST_FPERIOD_OVERRIDE=FQ","FILING_STATUS=MR","SCALING_FORMAT=MLN","Sort=A","Dates=H","DateFormat=P","Fill=—","Direction=H","UseDPDF=Y")</f>
        <v>21492</v>
      </c>
      <c r="AE74" s="16" cm="1">
        <f t="array" ref="AE74">_xll.BDH("NUE US Equity","TOTAL_EQUITY","FQ3 2025","FQ3 2025","Currency=USD","Period=FQ","BEST_FPERIOD_OVERRIDE=FQ","FILING_STATUS=MR","SCALING_FORMAT=MLN","Sort=A","Dates=H","DateFormat=P","Fill=—","Direction=H","UseDPDF=Y")</f>
        <v>21931</v>
      </c>
      <c r="AF74" s="16" cm="1">
        <f t="array" ref="AF74">_xll.BDH("NUE US Equity","TOTAL_EQUITY","FQ4 2025","FQ4 2025","Currency=USD","Period=FQ","BEST_FPERIOD_OVERRIDE=FQ","FILING_STATUS=MR","SCALING_FORMAT=MLN","Sort=A","Dates=H","DateFormat=P","Fill=—","Direction=H","UseDPDF=Y")</f>
        <v>22124</v>
      </c>
    </row>
    <row r="75" spans="1:32" x14ac:dyDescent="0.25">
      <c r="A75" s="6" t="s">
        <v>195</v>
      </c>
      <c r="B75" s="6" t="s">
        <v>196</v>
      </c>
      <c r="C75" s="16" cm="1">
        <f t="array" ref="C75">_xll.BDH("NUE US Equity","TOT_LIAB_AND_EQY","FQ3 2018","FQ3 2018","Currency=USD","Period=FQ","BEST_FPERIOD_OVERRIDE=FQ","FILING_STATUS=MR","SCALING_FORMAT=MLN","Sort=A","Dates=H","DateFormat=P","Fill=—","Direction=H","UseDPDF=Y")</f>
        <v>17962.893</v>
      </c>
      <c r="D75" s="16" cm="1">
        <f t="array" ref="D75">_xll.BDH("NUE US Equity","TOT_LIAB_AND_EQY","FQ4 2018","FQ4 2018","Currency=USD","Period=FQ","BEST_FPERIOD_OVERRIDE=FQ","FILING_STATUS=MR","SCALING_FORMAT=MLN","Sort=A","Dates=H","DateFormat=P","Fill=—","Direction=H","UseDPDF=Y")</f>
        <v>17920.588</v>
      </c>
      <c r="E75" s="16" cm="1">
        <f t="array" ref="E75">_xll.BDH("NUE US Equity","TOT_LIAB_AND_EQY","FQ1 2019","FQ1 2019","Currency=USD","Period=FQ","BEST_FPERIOD_OVERRIDE=FQ","FILING_STATUS=MR","SCALING_FORMAT=MLN","Sort=A","Dates=H","DateFormat=P","Fill=—","Direction=H","UseDPDF=Y")</f>
        <v>18086.698</v>
      </c>
      <c r="F75" s="16" cm="1">
        <f t="array" ref="F75">_xll.BDH("NUE US Equity","TOT_LIAB_AND_EQY","FQ2 2019","FQ2 2019","Currency=USD","Period=FQ","BEST_FPERIOD_OVERRIDE=FQ","FILING_STATUS=MR","SCALING_FORMAT=MLN","Sort=A","Dates=H","DateFormat=P","Fill=—","Direction=H","UseDPDF=Y")</f>
        <v>18126.48</v>
      </c>
      <c r="G75" s="16" cm="1">
        <f t="array" ref="G75">_xll.BDH("NUE US Equity","TOT_LIAB_AND_EQY","FQ3 2019","FQ3 2019","Currency=USD","Period=FQ","BEST_FPERIOD_OVERRIDE=FQ","FILING_STATUS=MR","SCALING_FORMAT=MLN","Sort=A","Dates=H","DateFormat=P","Fill=—","Direction=H","UseDPDF=Y")</f>
        <v>18506.264999999999</v>
      </c>
      <c r="H75" s="16" cm="1">
        <f t="array" ref="H75">_xll.BDH("NUE US Equity","TOT_LIAB_AND_EQY","FQ4 2019","FQ4 2019","Currency=USD","Period=FQ","BEST_FPERIOD_OVERRIDE=FQ","FILING_STATUS=MR","SCALING_FORMAT=MLN","Sort=A","Dates=H","DateFormat=P","Fill=—","Direction=H","UseDPDF=Y")</f>
        <v>18344.666000000001</v>
      </c>
      <c r="I75" s="16" cm="1">
        <f t="array" ref="I75">_xll.BDH("NUE US Equity","TOT_LIAB_AND_EQY","FQ1 2020","FQ1 2020","Currency=USD","Period=FQ","BEST_FPERIOD_OVERRIDE=FQ","FILING_STATUS=MR","SCALING_FORMAT=MLN","Sort=A","Dates=H","DateFormat=P","Fill=—","Direction=H","UseDPDF=Y")</f>
        <v>17866.061000000002</v>
      </c>
      <c r="J75" s="16" cm="1">
        <f t="array" ref="J75">_xll.BDH("NUE US Equity","TOT_LIAB_AND_EQY","FQ2 2020","FQ2 2020","Currency=USD","Period=FQ","BEST_FPERIOD_OVERRIDE=FQ","FILING_STATUS=MR","SCALING_FORMAT=MLN","Sort=A","Dates=H","DateFormat=P","Fill=—","Direction=H","UseDPDF=Y")</f>
        <v>18765.965</v>
      </c>
      <c r="K75" s="16" cm="1">
        <f t="array" ref="K75">_xll.BDH("NUE US Equity","TOT_LIAB_AND_EQY","FQ3 2020","FQ3 2020","Currency=USD","Period=FQ","BEST_FPERIOD_OVERRIDE=FQ","FILING_STATUS=MR","SCALING_FORMAT=MLN","Sort=A","Dates=H","DateFormat=P","Fill=—","Direction=H","UseDPDF=Y")</f>
        <v>19519.276999999998</v>
      </c>
      <c r="L75" s="16" cm="1">
        <f t="array" ref="L75">_xll.BDH("NUE US Equity","TOT_LIAB_AND_EQY","FQ4 2020","FQ4 2020","Currency=USD","Period=FQ","BEST_FPERIOD_OVERRIDE=FQ","FILING_STATUS=MR","SCALING_FORMAT=MLN","Sort=A","Dates=H","DateFormat=P","Fill=—","Direction=H","UseDPDF=Y")</f>
        <v>20125.394</v>
      </c>
      <c r="M75" s="16" cm="1">
        <f t="array" ref="M75">_xll.BDH("NUE US Equity","TOT_LIAB_AND_EQY","FQ1 2021","FQ1 2021","Currency=USD","Period=FQ","BEST_FPERIOD_OVERRIDE=FQ","FILING_STATUS=MR","SCALING_FORMAT=MLN","Sort=A","Dates=H","DateFormat=P","Fill=—","Direction=H","UseDPDF=Y")</f>
        <v>21172.407999999999</v>
      </c>
      <c r="N75" s="16" cm="1">
        <f t="array" ref="N75">_xll.BDH("NUE US Equity","TOT_LIAB_AND_EQY","FQ2 2021","FQ2 2021","Currency=USD","Period=FQ","BEST_FPERIOD_OVERRIDE=FQ","FILING_STATUS=MR","SCALING_FORMAT=MLN","Sort=A","Dates=H","DateFormat=P","Fill=—","Direction=H","UseDPDF=Y")</f>
        <v>22995.581999999999</v>
      </c>
      <c r="O75" s="16" cm="1">
        <f t="array" ref="O75">_xll.BDH("NUE US Equity","TOT_LIAB_AND_EQY","FQ3 2021","FQ3 2021","Currency=USD","Period=FQ","BEST_FPERIOD_OVERRIDE=FQ","FILING_STATUS=MR","SCALING_FORMAT=MLN","Sort=A","Dates=H","DateFormat=P","Fill=—","Direction=H","UseDPDF=Y")</f>
        <v>24949.478999999999</v>
      </c>
      <c r="P75" s="16" cm="1">
        <f t="array" ref="P75">_xll.BDH("NUE US Equity","TOT_LIAB_AND_EQY","FQ4 2021","FQ4 2021","Currency=USD","Period=FQ","BEST_FPERIOD_OVERRIDE=FQ","FILING_STATUS=MR","SCALING_FORMAT=MLN","Sort=A","Dates=H","DateFormat=P","Fill=—","Direction=H","UseDPDF=Y")</f>
        <v>25823.072</v>
      </c>
      <c r="Q75" s="16" cm="1">
        <f t="array" ref="Q75">_xll.BDH("NUE US Equity","TOT_LIAB_AND_EQY","FQ1 2022","FQ1 2022","Currency=USD","Period=FQ","BEST_FPERIOD_OVERRIDE=FQ","FILING_STATUS=MR","SCALING_FORMAT=MLN","Sort=A","Dates=H","DateFormat=P","Fill=—","Direction=H","UseDPDF=Y")</f>
        <v>28632.867999999999</v>
      </c>
      <c r="R75" s="16" cm="1">
        <f t="array" ref="R75">_xll.BDH("NUE US Equity","TOT_LIAB_AND_EQY","FQ2 2022","FQ2 2022","Currency=USD","Period=FQ","BEST_FPERIOD_OVERRIDE=FQ","FILING_STATUS=MR","SCALING_FORMAT=MLN","Sort=A","Dates=H","DateFormat=P","Fill=—","Direction=H","UseDPDF=Y")</f>
        <v>31668.456999999999</v>
      </c>
      <c r="S75" s="16" cm="1">
        <f t="array" ref="S75">_xll.BDH("NUE US Equity","TOT_LIAB_AND_EQY","FQ3 2022","FQ3 2022","Currency=USD","Period=FQ","BEST_FPERIOD_OVERRIDE=FQ","FILING_STATUS=MR","SCALING_FORMAT=MLN","Sort=A","Dates=H","DateFormat=P","Fill=—","Direction=H","UseDPDF=Y")</f>
        <v>32072.704000000002</v>
      </c>
      <c r="T75" s="16" cm="1">
        <f t="array" ref="T75">_xll.BDH("NUE US Equity","TOT_LIAB_AND_EQY","FQ4 2022","FQ4 2022","Currency=USD","Period=FQ","BEST_FPERIOD_OVERRIDE=FQ","FILING_STATUS=MR","SCALING_FORMAT=MLN","Sort=A","Dates=H","DateFormat=P","Fill=—","Direction=H","UseDPDF=Y")</f>
        <v>32479.21</v>
      </c>
      <c r="U75" s="16" cm="1">
        <f t="array" ref="U75">_xll.BDH("NUE US Equity","TOT_LIAB_AND_EQY","FQ1 2023","FQ1 2023","Currency=USD","Period=FQ","BEST_FPERIOD_OVERRIDE=FQ","FILING_STATUS=MR","SCALING_FORMAT=MLN","Sort=A","Dates=H","DateFormat=P","Fill=—","Direction=H","UseDPDF=Y")</f>
        <v>32246.39</v>
      </c>
      <c r="V75" s="16" cm="1">
        <f t="array" ref="V75">_xll.BDH("NUE US Equity","TOT_LIAB_AND_EQY","FQ2 2023","FQ2 2023","Currency=USD","Period=FQ","BEST_FPERIOD_OVERRIDE=FQ","FILING_STATUS=MR","SCALING_FORMAT=MLN","Sort=A","Dates=H","DateFormat=P","Fill=—","Direction=H","UseDPDF=Y")</f>
        <v>33379.915999999997</v>
      </c>
      <c r="W75" s="16" cm="1">
        <f t="array" ref="W75">_xll.BDH("NUE US Equity","TOT_LIAB_AND_EQY","FQ3 2023","FQ3 2023","Currency=USD","Period=FQ","BEST_FPERIOD_OVERRIDE=FQ","FILING_STATUS=MR","SCALING_FORMAT=MLN","Sort=A","Dates=H","DateFormat=P","Fill=—","Direction=H","UseDPDF=Y")</f>
        <v>34267.786</v>
      </c>
      <c r="X75" s="16" cm="1">
        <f t="array" ref="X75">_xll.BDH("NUE US Equity","TOT_LIAB_AND_EQY","FQ4 2023","FQ4 2023","Currency=USD","Period=FQ","BEST_FPERIOD_OVERRIDE=FQ","FILING_STATUS=MR","SCALING_FORMAT=MLN","Sort=A","Dates=H","DateFormat=P","Fill=—","Direction=H","UseDPDF=Y")</f>
        <v>35340.499000000003</v>
      </c>
      <c r="Y75" s="16" cm="1">
        <f t="array" ref="Y75">_xll.BDH("NUE US Equity","TOT_LIAB_AND_EQY","FQ1 2024","FQ1 2024","Currency=USD","Period=FQ","BEST_FPERIOD_OVERRIDE=FQ","FILING_STATUS=MR","SCALING_FORMAT=MLN","Sort=A","Dates=H","DateFormat=P","Fill=—","Direction=H","UseDPDF=Y")</f>
        <v>33932.525000000001</v>
      </c>
      <c r="Z75" s="16" cm="1">
        <f t="array" ref="Z75">_xll.BDH("NUE US Equity","TOT_LIAB_AND_EQY","FQ2 2024","FQ2 2024","Currency=USD","Period=FQ","BEST_FPERIOD_OVERRIDE=FQ","FILING_STATUS=MR","SCALING_FORMAT=MLN","Sort=A","Dates=H","DateFormat=P","Fill=—","Direction=H","UseDPDF=Y")</f>
        <v>34185.224999999999</v>
      </c>
      <c r="AA75" s="16" cm="1">
        <f t="array" ref="AA75">_xll.BDH("NUE US Equity","TOT_LIAB_AND_EQY","FQ3 2024","FQ3 2024","Currency=USD","Period=FQ","BEST_FPERIOD_OVERRIDE=FQ","FILING_STATUS=MR","SCALING_FORMAT=MLN","Sort=A","Dates=H","DateFormat=P","Fill=—","Direction=H","UseDPDF=Y")</f>
        <v>34346.190999999999</v>
      </c>
      <c r="AB75" s="16" cm="1">
        <f t="array" ref="AB75">_xll.BDH("NUE US Equity","TOT_LIAB_AND_EQY","FQ4 2024","FQ4 2024","Currency=USD","Period=FQ","BEST_FPERIOD_OVERRIDE=FQ","FILING_STATUS=MR","SCALING_FORMAT=MLN","Sort=A","Dates=H","DateFormat=P","Fill=—","Direction=H","UseDPDF=Y")</f>
        <v>33940</v>
      </c>
      <c r="AC75" s="16" cm="1">
        <f t="array" ref="AC75">_xll.BDH("NUE US Equity","TOT_LIAB_AND_EQY","FQ1 2025","FQ1 2025","Currency=USD","Period=FQ","BEST_FPERIOD_OVERRIDE=FQ","FILING_STATUS=MR","SCALING_FORMAT=MLN","Sort=A","Dates=H","DateFormat=P","Fill=—","Direction=H","UseDPDF=Y")</f>
        <v>34699</v>
      </c>
      <c r="AD75" s="16" cm="1">
        <f t="array" ref="AD75">_xll.BDH("NUE US Equity","TOT_LIAB_AND_EQY","FQ2 2025","FQ2 2025","Currency=USD","Period=FQ","BEST_FPERIOD_OVERRIDE=FQ","FILING_STATUS=MR","SCALING_FORMAT=MLN","Sort=A","Dates=H","DateFormat=P","Fill=—","Direction=H","UseDPDF=Y")</f>
        <v>34217</v>
      </c>
      <c r="AE75" s="16" cm="1">
        <f t="array" ref="AE75">_xll.BDH("NUE US Equity","TOT_LIAB_AND_EQY","FQ3 2025","FQ3 2025","Currency=USD","Period=FQ","BEST_FPERIOD_OVERRIDE=FQ","FILING_STATUS=MR","SCALING_FORMAT=MLN","Sort=A","Dates=H","DateFormat=P","Fill=—","Direction=H","UseDPDF=Y")</f>
        <v>34776</v>
      </c>
      <c r="AF75" s="16" cm="1">
        <f t="array" ref="AF75">_xll.BDH("NUE US Equity","TOT_LIAB_AND_EQY","FQ4 2025","FQ4 2025","Currency=USD","Period=FQ","BEST_FPERIOD_OVERRIDE=FQ","FILING_STATUS=MR","SCALING_FORMAT=MLN","Sort=A","Dates=H","DateFormat=P","Fill=—","Direction=H","UseDPDF=Y")</f>
        <v>35104</v>
      </c>
    </row>
    <row r="76" spans="1:32" x14ac:dyDescent="0.25">
      <c r="A76" s="6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</row>
    <row r="77" spans="1:32" x14ac:dyDescent="0.25">
      <c r="A77" s="6" t="s">
        <v>0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</row>
    <row r="78" spans="1:32" x14ac:dyDescent="0.25">
      <c r="A78" s="10" t="s">
        <v>197</v>
      </c>
      <c r="B78" s="10" t="s">
        <v>198</v>
      </c>
      <c r="C78" s="12" t="s">
        <v>199</v>
      </c>
      <c r="D78" s="12" t="s">
        <v>199</v>
      </c>
      <c r="E78" s="12" t="s">
        <v>199</v>
      </c>
      <c r="F78" s="12" t="s">
        <v>199</v>
      </c>
      <c r="G78" s="12" t="s">
        <v>199</v>
      </c>
      <c r="H78" s="12" t="s">
        <v>199</v>
      </c>
      <c r="I78" s="12" t="s">
        <v>199</v>
      </c>
      <c r="J78" s="12" t="s">
        <v>199</v>
      </c>
      <c r="K78" s="12" t="s">
        <v>199</v>
      </c>
      <c r="L78" s="12" t="s">
        <v>199</v>
      </c>
      <c r="M78" s="12" t="s">
        <v>199</v>
      </c>
      <c r="N78" s="12" t="s">
        <v>199</v>
      </c>
      <c r="O78" s="12" t="s">
        <v>199</v>
      </c>
      <c r="P78" s="12" t="s">
        <v>199</v>
      </c>
      <c r="Q78" s="12" t="s">
        <v>199</v>
      </c>
      <c r="R78" s="12" t="s">
        <v>199</v>
      </c>
      <c r="S78" s="12" t="s">
        <v>199</v>
      </c>
      <c r="T78" s="12" t="s">
        <v>199</v>
      </c>
      <c r="U78" s="12" t="s">
        <v>199</v>
      </c>
      <c r="V78" s="12" t="s">
        <v>199</v>
      </c>
      <c r="W78" s="12" t="s">
        <v>199</v>
      </c>
      <c r="X78" s="12" t="s">
        <v>199</v>
      </c>
      <c r="Y78" s="12" t="s">
        <v>199</v>
      </c>
      <c r="Z78" s="12" t="s">
        <v>199</v>
      </c>
      <c r="AA78" s="12" t="s">
        <v>199</v>
      </c>
      <c r="AB78" s="12" t="s">
        <v>199</v>
      </c>
      <c r="AC78" s="12" t="s">
        <v>199</v>
      </c>
      <c r="AD78" s="12" t="s">
        <v>199</v>
      </c>
      <c r="AE78" s="12" t="s">
        <v>199</v>
      </c>
      <c r="AF78" s="12" t="s">
        <v>199</v>
      </c>
    </row>
    <row r="79" spans="1:32" x14ac:dyDescent="0.25">
      <c r="A79" s="10" t="s">
        <v>200</v>
      </c>
      <c r="B79" s="10" t="s">
        <v>201</v>
      </c>
      <c r="C79" s="13" cm="1">
        <f t="array" ref="C79">_xll.BDH("NUE US Equity","BS_SH_OUT","FQ3 2018","FQ3 2018","Currency=USD","Period=FQ","BEST_FPERIOD_OVERRIDE=FQ","FILING_STATUS=MR","Sort=A","Dates=H","DateFormat=P","Fill=—","Direction=H","UseDPDF=Y")</f>
        <v>313.9325</v>
      </c>
      <c r="D79" s="13" cm="1">
        <f t="array" ref="D79">_xll.BDH("NUE US Equity","BS_SH_OUT","FQ4 2018","FQ4 2018","Currency=USD","Period=FQ","BEST_FPERIOD_OVERRIDE=FQ","FILING_STATUS=MR","Sort=A","Dates=H","DateFormat=P","Fill=—","Direction=H","UseDPDF=Y")</f>
        <v>305.59199999999998</v>
      </c>
      <c r="E79" s="13" cm="1">
        <f t="array" ref="E79">_xll.BDH("NUE US Equity","BS_SH_OUT","FQ1 2019","FQ1 2019","Currency=USD","Period=FQ","BEST_FPERIOD_OVERRIDE=FQ","FILING_STATUS=MR","Sort=A","Dates=H","DateFormat=P","Fill=—","Direction=H","UseDPDF=Y")</f>
        <v>304.786</v>
      </c>
      <c r="F79" s="13" cm="1">
        <f t="array" ref="F79">_xll.BDH("NUE US Equity","BS_SH_OUT","FQ2 2019","FQ2 2019","Currency=USD","Period=FQ","BEST_FPERIOD_OVERRIDE=FQ","FILING_STATUS=MR","Sort=A","Dates=H","DateFormat=P","Fill=—","Direction=H","UseDPDF=Y")</f>
        <v>303.15699999999998</v>
      </c>
      <c r="G79" s="13" cm="1">
        <f t="array" ref="G79">_xll.BDH("NUE US Equity","BS_SH_OUT","FQ3 2019","FQ3 2019","Currency=USD","Period=FQ","BEST_FPERIOD_OVERRIDE=FQ","FILING_STATUS=MR","Sort=A","Dates=H","DateFormat=P","Fill=—","Direction=H","UseDPDF=Y")</f>
        <v>303.21499999999997</v>
      </c>
      <c r="H79" s="13" cm="1">
        <f t="array" ref="H79">_xll.BDH("NUE US Equity","BS_SH_OUT","FQ4 2019","FQ4 2019","Currency=USD","Period=FQ","BEST_FPERIOD_OVERRIDE=FQ","FILING_STATUS=MR","Sort=A","Dates=H","DateFormat=P","Fill=—","Direction=H","UseDPDF=Y")</f>
        <v>301.81200000000001</v>
      </c>
      <c r="I79" s="13" cm="1">
        <f t="array" ref="I79">_xll.BDH("NUE US Equity","BS_SH_OUT","FQ1 2020","FQ1 2020","Currency=USD","Period=FQ","BEST_FPERIOD_OVERRIDE=FQ","FILING_STATUS=MR","Sort=A","Dates=H","DateFormat=P","Fill=—","Direction=H","UseDPDF=Y")</f>
        <v>301.13499999999999</v>
      </c>
      <c r="J79" s="13" cm="1">
        <f t="array" ref="J79">_xll.BDH("NUE US Equity","BS_SH_OUT","FQ2 2020","FQ2 2020","Currency=USD","Period=FQ","BEST_FPERIOD_OVERRIDE=FQ","FILING_STATUS=MR","Sort=A","Dates=H","DateFormat=P","Fill=—","Direction=H","UseDPDF=Y")</f>
        <v>301.89499999999998</v>
      </c>
      <c r="K79" s="13" cm="1">
        <f t="array" ref="K79">_xll.BDH("NUE US Equity","BS_SH_OUT","FQ3 2020","FQ3 2020","Currency=USD","Period=FQ","BEST_FPERIOD_OVERRIDE=FQ","FILING_STATUS=MR","Sort=A","Dates=H","DateFormat=P","Fill=—","Direction=H","UseDPDF=Y")</f>
        <v>301.92899999999997</v>
      </c>
      <c r="L79" s="13" cm="1">
        <f t="array" ref="L79">_xll.BDH("NUE US Equity","BS_SH_OUT","FQ4 2020","FQ4 2020","Currency=USD","Period=FQ","BEST_FPERIOD_OVERRIDE=FQ","FILING_STATUS=MR","Sort=A","Dates=H","DateFormat=P","Fill=—","Direction=H","UseDPDF=Y")</f>
        <v>302.245</v>
      </c>
      <c r="M79" s="13" cm="1">
        <f t="array" ref="M79">_xll.BDH("NUE US Equity","BS_SH_OUT","FQ1 2021","FQ1 2021","Currency=USD","Period=FQ","BEST_FPERIOD_OVERRIDE=FQ","FILING_STATUS=MR","Sort=A","Dates=H","DateFormat=P","Fill=—","Direction=H","UseDPDF=Y")</f>
        <v>299.24200000000002</v>
      </c>
      <c r="N79" s="13" cm="1">
        <f t="array" ref="N79">_xll.BDH("NUE US Equity","BS_SH_OUT","FQ2 2021","FQ2 2021","Currency=USD","Period=FQ","BEST_FPERIOD_OVERRIDE=FQ","FILING_STATUS=MR","Sort=A","Dates=H","DateFormat=P","Fill=—","Direction=H","UseDPDF=Y")</f>
        <v>293.69499999999999</v>
      </c>
      <c r="O79" s="13" cm="1">
        <f t="array" ref="O79">_xll.BDH("NUE US Equity","BS_SH_OUT","FQ3 2021","FQ3 2021","Currency=USD","Period=FQ","BEST_FPERIOD_OVERRIDE=FQ","FILING_STATUS=MR","Sort=A","Dates=H","DateFormat=P","Fill=—","Direction=H","UseDPDF=Y")</f>
        <v>285.79899999999998</v>
      </c>
      <c r="P79" s="13" cm="1">
        <f t="array" ref="P79">_xll.BDH("NUE US Equity","BS_SH_OUT","FQ4 2021","FQ4 2021","Currency=USD","Period=FQ","BEST_FPERIOD_OVERRIDE=FQ","FILING_STATUS=MR","Sort=A","Dates=H","DateFormat=P","Fill=—","Direction=H","UseDPDF=Y")</f>
        <v>272.41199999999998</v>
      </c>
      <c r="Q79" s="13" cm="1">
        <f t="array" ref="Q79">_xll.BDH("NUE US Equity","BS_SH_OUT","FQ1 2022","FQ1 2022","Currency=USD","Period=FQ","BEST_FPERIOD_OVERRIDE=FQ","FILING_STATUS=MR","Sort=A","Dates=H","DateFormat=P","Fill=—","Direction=H","UseDPDF=Y")</f>
        <v>266.06200000000001</v>
      </c>
      <c r="R79" s="13" cm="1">
        <f t="array" ref="R79">_xll.BDH("NUE US Equity","BS_SH_OUT","FQ2 2022","FQ2 2022","Currency=USD","Period=FQ","BEST_FPERIOD_OVERRIDE=FQ","FILING_STATUS=MR","Sort=A","Dates=H","DateFormat=P","Fill=—","Direction=H","UseDPDF=Y")</f>
        <v>261.786</v>
      </c>
      <c r="S79" s="13" cm="1">
        <f t="array" ref="S79">_xll.BDH("NUE US Equity","BS_SH_OUT","FQ3 2022","FQ3 2022","Currency=USD","Period=FQ","BEST_FPERIOD_OVERRIDE=FQ","FILING_STATUS=MR","Sort=A","Dates=H","DateFormat=P","Fill=—","Direction=H","UseDPDF=Y")</f>
        <v>256.54500000000002</v>
      </c>
      <c r="T79" s="13" cm="1">
        <f t="array" ref="T79">_xll.BDH("NUE US Equity","BS_SH_OUT","FQ4 2022","FQ4 2022","Currency=USD","Period=FQ","BEST_FPERIOD_OVERRIDE=FQ","FILING_STATUS=MR","Sort=A","Dates=H","DateFormat=P","Fill=—","Direction=H","UseDPDF=Y")</f>
        <v>253.49299999999999</v>
      </c>
      <c r="U79" s="13" cm="1">
        <f t="array" ref="U79">_xll.BDH("NUE US Equity","BS_SH_OUT","FQ1 2023","FQ1 2023","Currency=USD","Period=FQ","BEST_FPERIOD_OVERRIDE=FQ","FILING_STATUS=MR","Sort=A","Dates=H","DateFormat=P","Fill=—","Direction=H","UseDPDF=Y")</f>
        <v>251.22399999999999</v>
      </c>
      <c r="V79" s="13" cm="1">
        <f t="array" ref="V79">_xll.BDH("NUE US Equity","BS_SH_OUT","FQ2 2023","FQ2 2023","Currency=USD","Period=FQ","BEST_FPERIOD_OVERRIDE=FQ","FILING_STATUS=MR","Sort=A","Dates=H","DateFormat=P","Fill=—","Direction=H","UseDPDF=Y")</f>
        <v>248.72300000000001</v>
      </c>
      <c r="W79" s="13" cm="1">
        <f t="array" ref="W79">_xll.BDH("NUE US Equity","BS_SH_OUT","FQ3 2023","FQ3 2023","Currency=USD","Period=FQ","BEST_FPERIOD_OVERRIDE=FQ","FILING_STATUS=MR","Sort=A","Dates=H","DateFormat=P","Fill=—","Direction=H","UseDPDF=Y")</f>
        <v>245.839</v>
      </c>
      <c r="X79" s="13" cm="1">
        <f t="array" ref="X79">_xll.BDH("NUE US Equity","BS_SH_OUT","FQ4 2023","FQ4 2023","Currency=USD","Period=FQ","BEST_FPERIOD_OVERRIDE=FQ","FILING_STATUS=MR","Sort=A","Dates=H","DateFormat=P","Fill=—","Direction=H","UseDPDF=Y")</f>
        <v>244.90199999999999</v>
      </c>
      <c r="Y79" s="13" cm="1">
        <f t="array" ref="Y79">_xll.BDH("NUE US Equity","BS_SH_OUT","FQ1 2024","FQ1 2024","Currency=USD","Period=FQ","BEST_FPERIOD_OVERRIDE=FQ","FILING_STATUS=MR","Sort=A","Dates=H","DateFormat=P","Fill=—","Direction=H","UseDPDF=Y")</f>
        <v>239.762</v>
      </c>
      <c r="Z79" s="13" cm="1">
        <f t="array" ref="Z79">_xll.BDH("NUE US Equity","BS_SH_OUT","FQ2 2024","FQ2 2024","Currency=USD","Period=FQ","BEST_FPERIOD_OVERRIDE=FQ","FILING_STATUS=MR","Sort=A","Dates=H","DateFormat=P","Fill=—","Direction=H","UseDPDF=Y")</f>
        <v>237.33799999999999</v>
      </c>
      <c r="AA79" s="13" cm="1">
        <f t="array" ref="AA79">_xll.BDH("NUE US Equity","BS_SH_OUT","FQ3 2024","FQ3 2024","Currency=USD","Period=FQ","BEST_FPERIOD_OVERRIDE=FQ","FILING_STATUS=MR","Sort=A","Dates=H","DateFormat=P","Fill=—","Direction=H","UseDPDF=Y")</f>
        <v>234.81299999999999</v>
      </c>
      <c r="AB79" s="13" cm="1">
        <f t="array" ref="AB79">_xll.BDH("NUE US Equity","BS_SH_OUT","FQ4 2024","FQ4 2024","Currency=USD","Period=FQ","BEST_FPERIOD_OVERRIDE=FQ","FILING_STATUS=MR","Sort=A","Dates=H","DateFormat=P","Fill=—","Direction=H","UseDPDF=Y")</f>
        <v>232.8</v>
      </c>
      <c r="AC79" s="13" cm="1">
        <f t="array" ref="AC79">_xll.BDH("NUE US Equity","BS_SH_OUT","FQ1 2025","FQ1 2025","Currency=USD","Period=FQ","BEST_FPERIOD_OVERRIDE=FQ","FILING_STATUS=MR","Sort=A","Dates=H","DateFormat=P","Fill=—","Direction=H","UseDPDF=Y")</f>
        <v>230.8</v>
      </c>
      <c r="AD79" s="13" cm="1">
        <f t="array" ref="AD79">_xll.BDH("NUE US Equity","BS_SH_OUT","FQ2 2025","FQ2 2025","Currency=USD","Period=FQ","BEST_FPERIOD_OVERRIDE=FQ","FILING_STATUS=MR","Sort=A","Dates=H","DateFormat=P","Fill=—","Direction=H","UseDPDF=Y")</f>
        <v>229.5</v>
      </c>
      <c r="AE79" s="13" cm="1">
        <f t="array" ref="AE79">_xll.BDH("NUE US Equity","BS_SH_OUT","FQ3 2025","FQ3 2025","Currency=USD","Period=FQ","BEST_FPERIOD_OVERRIDE=FQ","FILING_STATUS=MR","Sort=A","Dates=H","DateFormat=P","Fill=—","Direction=H","UseDPDF=Y")</f>
        <v>228.8</v>
      </c>
      <c r="AF79" s="13" cm="1">
        <f t="array" ref="AF79">_xll.BDH("NUE US Equity","BS_SH_OUT","FQ4 2025","FQ4 2025","Currency=USD","Period=FQ","BEST_FPERIOD_OVERRIDE=FQ","FILING_STATUS=MR","Sort=A","Dates=H","DateFormat=P","Fill=—","Direction=H","UseDPDF=Y")</f>
        <v>228.8587</v>
      </c>
    </row>
    <row r="80" spans="1:32" x14ac:dyDescent="0.25">
      <c r="A80" s="10" t="s">
        <v>202</v>
      </c>
      <c r="B80" s="10" t="s">
        <v>203</v>
      </c>
      <c r="C80" s="13" t="str" cm="1">
        <f t="array" ref="C80">_xll.BDH("NUE US Equity","BS_NUM_OF_TSY_SH","FQ3 2018","FQ3 2018","Currency=USD","Period=FQ","BEST_FPERIOD_OVERRIDE=FQ","FILING_STATUS=MR","Sort=A","Dates=H","DateFormat=P","Fill=—","Direction=H","UseDPDF=Y")</f>
        <v>—</v>
      </c>
      <c r="D80" s="13" cm="1">
        <f t="array" ref="D80">_xll.BDH("NUE US Equity","BS_NUM_OF_TSY_SH","FQ4 2018","FQ4 2018","Currency=USD","Period=FQ","BEST_FPERIOD_OVERRIDE=FQ","FILING_STATUS=MR","Sort=A","Dates=H","DateFormat=P","Fill=—","Direction=H","UseDPDF=Y")</f>
        <v>74.561999999999998</v>
      </c>
      <c r="E80" s="13" cm="1">
        <f t="array" ref="E80">_xll.BDH("NUE US Equity","BS_NUM_OF_TSY_SH","FQ1 2019","FQ1 2019","Currency=USD","Period=FQ","BEST_FPERIOD_OVERRIDE=FQ","FILING_STATUS=MR","Sort=A","Dates=H","DateFormat=P","Fill=—","Direction=H","UseDPDF=Y")</f>
        <v>75.367999999999995</v>
      </c>
      <c r="F80" s="13" cm="1">
        <f t="array" ref="F80">_xll.BDH("NUE US Equity","BS_NUM_OF_TSY_SH","FQ2 2019","FQ2 2019","Currency=USD","Period=FQ","BEST_FPERIOD_OVERRIDE=FQ","FILING_STATUS=MR","Sort=A","Dates=H","DateFormat=P","Fill=—","Direction=H","UseDPDF=Y")</f>
        <v>76.997</v>
      </c>
      <c r="G80" s="13" cm="1">
        <f t="array" ref="G80">_xll.BDH("NUE US Equity","BS_NUM_OF_TSY_SH","FQ3 2019","FQ3 2019","Currency=USD","Period=FQ","BEST_FPERIOD_OVERRIDE=FQ","FILING_STATUS=MR","Sort=A","Dates=H","DateFormat=P","Fill=—","Direction=H","UseDPDF=Y")</f>
        <v>76.938999999999993</v>
      </c>
      <c r="H80" s="13" cm="1">
        <f t="array" ref="H80">_xll.BDH("NUE US Equity","BS_NUM_OF_TSY_SH","FQ4 2019","FQ4 2019","Currency=USD","Period=FQ","BEST_FPERIOD_OVERRIDE=FQ","FILING_STATUS=MR","Sort=A","Dates=H","DateFormat=P","Fill=—","Direction=H","UseDPDF=Y")</f>
        <v>78.341999999999999</v>
      </c>
      <c r="I80" s="13" cm="1">
        <f t="array" ref="I80">_xll.BDH("NUE US Equity","BS_NUM_OF_TSY_SH","FQ1 2020","FQ1 2020","Currency=USD","Period=FQ","BEST_FPERIOD_OVERRIDE=FQ","FILING_STATUS=MR","Sort=A","Dates=H","DateFormat=P","Fill=—","Direction=H","UseDPDF=Y")</f>
        <v>79.019000000000005</v>
      </c>
      <c r="J80" s="13" cm="1">
        <f t="array" ref="J80">_xll.BDH("NUE US Equity","BS_NUM_OF_TSY_SH","FQ2 2020","FQ2 2020","Currency=USD","Period=FQ","BEST_FPERIOD_OVERRIDE=FQ","FILING_STATUS=MR","Sort=A","Dates=H","DateFormat=P","Fill=—","Direction=H","UseDPDF=Y")</f>
        <v>78.259</v>
      </c>
      <c r="K80" s="13" cm="1">
        <f t="array" ref="K80">_xll.BDH("NUE US Equity","BS_NUM_OF_TSY_SH","FQ3 2020","FQ3 2020","Currency=USD","Period=FQ","BEST_FPERIOD_OVERRIDE=FQ","FILING_STATUS=MR","Sort=A","Dates=H","DateFormat=P","Fill=—","Direction=H","UseDPDF=Y")</f>
        <v>78.224999999999994</v>
      </c>
      <c r="L80" s="13" cm="1">
        <f t="array" ref="L80">_xll.BDH("NUE US Equity","BS_NUM_OF_TSY_SH","FQ4 2020","FQ4 2020","Currency=USD","Period=FQ","BEST_FPERIOD_OVERRIDE=FQ","FILING_STATUS=MR","Sort=A","Dates=H","DateFormat=P","Fill=—","Direction=H","UseDPDF=Y")</f>
        <v>77.909000000000006</v>
      </c>
      <c r="M80" s="13" cm="1">
        <f t="array" ref="M80">_xll.BDH("NUE US Equity","BS_NUM_OF_TSY_SH","FQ1 2021","FQ1 2021","Currency=USD","Period=FQ","BEST_FPERIOD_OVERRIDE=FQ","FILING_STATUS=MR","Sort=A","Dates=H","DateFormat=P","Fill=—","Direction=H","UseDPDF=Y")</f>
        <v>80.912000000000006</v>
      </c>
      <c r="N80" s="13" cm="1">
        <f t="array" ref="N80">_xll.BDH("NUE US Equity","BS_NUM_OF_TSY_SH","FQ2 2021","FQ2 2021","Currency=USD","Period=FQ","BEST_FPERIOD_OVERRIDE=FQ","FILING_STATUS=MR","Sort=A","Dates=H","DateFormat=P","Fill=—","Direction=H","UseDPDF=Y")</f>
        <v>86.459000000000003</v>
      </c>
      <c r="O80" s="13" cm="1">
        <f t="array" ref="O80">_xll.BDH("NUE US Equity","BS_NUM_OF_TSY_SH","FQ3 2021","FQ3 2021","Currency=USD","Period=FQ","BEST_FPERIOD_OVERRIDE=FQ","FILING_STATUS=MR","Sort=A","Dates=H","DateFormat=P","Fill=—","Direction=H","UseDPDF=Y")</f>
        <v>94.355000000000004</v>
      </c>
      <c r="P80" s="13" cm="1">
        <f t="array" ref="P80">_xll.BDH("NUE US Equity","BS_NUM_OF_TSY_SH","FQ4 2021","FQ4 2021","Currency=USD","Period=FQ","BEST_FPERIOD_OVERRIDE=FQ","FILING_STATUS=MR","Sort=A","Dates=H","DateFormat=P","Fill=—","Direction=H","UseDPDF=Y")</f>
        <v>107.742</v>
      </c>
      <c r="Q80" s="13" cm="1">
        <f t="array" ref="Q80">_xll.BDH("NUE US Equity","BS_NUM_OF_TSY_SH","FQ1 2022","FQ1 2022","Currency=USD","Period=FQ","BEST_FPERIOD_OVERRIDE=FQ","FILING_STATUS=MR","Sort=A","Dates=H","DateFormat=P","Fill=—","Direction=H","UseDPDF=Y")</f>
        <v>114.092</v>
      </c>
      <c r="R80" s="13" cm="1">
        <f t="array" ref="R80">_xll.BDH("NUE US Equity","BS_NUM_OF_TSY_SH","FQ2 2022","FQ2 2022","Currency=USD","Period=FQ","BEST_FPERIOD_OVERRIDE=FQ","FILING_STATUS=MR","Sort=A","Dates=H","DateFormat=P","Fill=—","Direction=H","UseDPDF=Y")</f>
        <v>118.36799999999999</v>
      </c>
      <c r="S80" s="13" cm="1">
        <f t="array" ref="S80">_xll.BDH("NUE US Equity","BS_NUM_OF_TSY_SH","FQ3 2022","FQ3 2022","Currency=USD","Period=FQ","BEST_FPERIOD_OVERRIDE=FQ","FILING_STATUS=MR","Sort=A","Dates=H","DateFormat=P","Fill=—","Direction=H","UseDPDF=Y")</f>
        <v>123.60899999999999</v>
      </c>
      <c r="T80" s="13" cm="1">
        <f t="array" ref="T80">_xll.BDH("NUE US Equity","BS_NUM_OF_TSY_SH","FQ4 2022","FQ4 2022","Currency=USD","Period=FQ","BEST_FPERIOD_OVERRIDE=FQ","FILING_STATUS=MR","Sort=A","Dates=H","DateFormat=P","Fill=—","Direction=H","UseDPDF=Y")</f>
        <v>126.661</v>
      </c>
      <c r="U80" s="13" cm="1">
        <f t="array" ref="U80">_xll.BDH("NUE US Equity","BS_NUM_OF_TSY_SH","FQ1 2023","FQ1 2023","Currency=USD","Period=FQ","BEST_FPERIOD_OVERRIDE=FQ","FILING_STATUS=MR","Sort=A","Dates=H","DateFormat=P","Fill=—","Direction=H","UseDPDF=Y")</f>
        <v>128.93</v>
      </c>
      <c r="V80" s="13" cm="1">
        <f t="array" ref="V80">_xll.BDH("NUE US Equity","BS_NUM_OF_TSY_SH","FQ2 2023","FQ2 2023","Currency=USD","Period=FQ","BEST_FPERIOD_OVERRIDE=FQ","FILING_STATUS=MR","Sort=A","Dates=H","DateFormat=P","Fill=—","Direction=H","UseDPDF=Y")</f>
        <v>131.43100000000001</v>
      </c>
      <c r="W80" s="13" cm="1">
        <f t="array" ref="W80">_xll.BDH("NUE US Equity","BS_NUM_OF_TSY_SH","FQ3 2023","FQ3 2023","Currency=USD","Period=FQ","BEST_FPERIOD_OVERRIDE=FQ","FILING_STATUS=MR","Sort=A","Dates=H","DateFormat=P","Fill=—","Direction=H","UseDPDF=Y")</f>
        <v>134.315</v>
      </c>
      <c r="X80" s="13" cm="1">
        <f t="array" ref="X80">_xll.BDH("NUE US Equity","BS_NUM_OF_TSY_SH","FQ4 2023","FQ4 2023","Currency=USD","Period=FQ","BEST_FPERIOD_OVERRIDE=FQ","FILING_STATUS=MR","Sort=A","Dates=H","DateFormat=P","Fill=—","Direction=H","UseDPDF=Y")</f>
        <v>135.25200000000001</v>
      </c>
      <c r="Y80" s="13" cm="1">
        <f t="array" ref="Y80">_xll.BDH("NUE US Equity","BS_NUM_OF_TSY_SH","FQ1 2024","FQ1 2024","Currency=USD","Period=FQ","BEST_FPERIOD_OVERRIDE=FQ","FILING_STATUS=MR","Sort=A","Dates=H","DateFormat=P","Fill=—","Direction=H","UseDPDF=Y")</f>
        <v>140.392</v>
      </c>
      <c r="Z80" s="13" cm="1">
        <f t="array" ref="Z80">_xll.BDH("NUE US Equity","BS_NUM_OF_TSY_SH","FQ2 2024","FQ2 2024","Currency=USD","Period=FQ","BEST_FPERIOD_OVERRIDE=FQ","FILING_STATUS=MR","Sort=A","Dates=H","DateFormat=P","Fill=—","Direction=H","UseDPDF=Y")</f>
        <v>142.816</v>
      </c>
      <c r="AA80" s="13" cm="1">
        <f t="array" ref="AA80">_xll.BDH("NUE US Equity","BS_NUM_OF_TSY_SH","FQ3 2024","FQ3 2024","Currency=USD","Period=FQ","BEST_FPERIOD_OVERRIDE=FQ","FILING_STATUS=MR","Sort=A","Dates=H","DateFormat=P","Fill=—","Direction=H","UseDPDF=Y")</f>
        <v>145.34100000000001</v>
      </c>
      <c r="AB80" s="13" cm="1">
        <f t="array" ref="AB80">_xll.BDH("NUE US Equity","BS_NUM_OF_TSY_SH","FQ4 2024","FQ4 2024","Currency=USD","Period=FQ","BEST_FPERIOD_OVERRIDE=FQ","FILING_STATUS=MR","Sort=A","Dates=H","DateFormat=P","Fill=—","Direction=H","UseDPDF=Y")</f>
        <v>147.4</v>
      </c>
      <c r="AC80" s="13" cm="1">
        <f t="array" ref="AC80">_xll.BDH("NUE US Equity","BS_NUM_OF_TSY_SH","FQ1 2025","FQ1 2025","Currency=USD","Period=FQ","BEST_FPERIOD_OVERRIDE=FQ","FILING_STATUS=MR","Sort=A","Dates=H","DateFormat=P","Fill=—","Direction=H","UseDPDF=Y")</f>
        <v>149.4</v>
      </c>
      <c r="AD80" s="13" cm="1">
        <f t="array" ref="AD80">_xll.BDH("NUE US Equity","BS_NUM_OF_TSY_SH","FQ2 2025","FQ2 2025","Currency=USD","Period=FQ","BEST_FPERIOD_OVERRIDE=FQ","FILING_STATUS=MR","Sort=A","Dates=H","DateFormat=P","Fill=—","Direction=H","UseDPDF=Y")</f>
        <v>150.69999999999999</v>
      </c>
      <c r="AE80" s="13" cm="1">
        <f t="array" ref="AE80">_xll.BDH("NUE US Equity","BS_NUM_OF_TSY_SH","FQ3 2025","FQ3 2025","Currency=USD","Period=FQ","BEST_FPERIOD_OVERRIDE=FQ","FILING_STATUS=MR","Sort=A","Dates=H","DateFormat=P","Fill=—","Direction=H","UseDPDF=Y")</f>
        <v>151.4</v>
      </c>
      <c r="AF80" s="13" t="str" cm="1">
        <f t="array" ref="AF80">_xll.BDH("NUE US Equity","BS_NUM_OF_TSY_SH","FQ4 2025","FQ4 2025","Currency=USD","Period=FQ","BEST_FPERIOD_OVERRIDE=FQ","FILING_STATUS=MR","Sort=A","Dates=H","DateFormat=P","Fill=—","Direction=H","UseDPDF=Y")</f>
        <v>—</v>
      </c>
    </row>
    <row r="81" spans="1:32" x14ac:dyDescent="0.25">
      <c r="A81" s="10" t="s">
        <v>204</v>
      </c>
      <c r="B81" s="10" t="s">
        <v>205</v>
      </c>
      <c r="C81" s="13" cm="1">
        <f t="array" ref="C81">_xll.BDH("NUE US Equity","BS_PENSION_RSRV","FQ3 2018","FQ3 2018","Currency=USD","Period=FQ","BEST_FPERIOD_OVERRIDE=FQ","FILING_STATUS=MR","SCALING_FORMAT=MLN","Sort=A","Dates=H","DateFormat=P","Fill=—","Direction=H","UseDPDF=Y")</f>
        <v>0</v>
      </c>
      <c r="D81" s="13" cm="1">
        <f t="array" ref="D81">_xll.BDH("NUE US Equity","BS_PENSION_RSRV","FQ4 2018","FQ4 2018","Currency=USD","Period=FQ","BEST_FPERIOD_OVERRIDE=FQ","FILING_STATUS=MR","SCALING_FORMAT=MLN","Sort=A","Dates=H","DateFormat=P","Fill=—","Direction=H","UseDPDF=Y")</f>
        <v>0</v>
      </c>
      <c r="E81" s="13" cm="1">
        <f t="array" ref="E81">_xll.BDH("NUE US Equity","BS_PENSION_RSRV","FQ1 2019","FQ1 2019","Currency=USD","Period=FQ","BEST_FPERIOD_OVERRIDE=FQ","FILING_STATUS=MR","SCALING_FORMAT=MLN","Sort=A","Dates=H","DateFormat=P","Fill=—","Direction=H","UseDPDF=Y")</f>
        <v>0</v>
      </c>
      <c r="F81" s="13" cm="1">
        <f t="array" ref="F81">_xll.BDH("NUE US Equity","BS_PENSION_RSRV","FQ2 2019","FQ2 2019","Currency=USD","Period=FQ","BEST_FPERIOD_OVERRIDE=FQ","FILING_STATUS=MR","SCALING_FORMAT=MLN","Sort=A","Dates=H","DateFormat=P","Fill=—","Direction=H","UseDPDF=Y")</f>
        <v>0</v>
      </c>
      <c r="G81" s="13" cm="1">
        <f t="array" ref="G81">_xll.BDH("NUE US Equity","BS_PENSION_RSRV","FQ3 2019","FQ3 2019","Currency=USD","Period=FQ","BEST_FPERIOD_OVERRIDE=FQ","FILING_STATUS=MR","SCALING_FORMAT=MLN","Sort=A","Dates=H","DateFormat=P","Fill=—","Direction=H","UseDPDF=Y")</f>
        <v>0</v>
      </c>
      <c r="H81" s="13" cm="1">
        <f t="array" ref="H81">_xll.BDH("NUE US Equity","BS_PENSION_RSRV","FQ4 2019","FQ4 2019","Currency=USD","Period=FQ","BEST_FPERIOD_OVERRIDE=FQ","FILING_STATUS=MR","SCALING_FORMAT=MLN","Sort=A","Dates=H","DateFormat=P","Fill=—","Direction=H","UseDPDF=Y")</f>
        <v>0</v>
      </c>
      <c r="I81" s="13" cm="1">
        <f t="array" ref="I81">_xll.BDH("NUE US Equity","BS_PENSION_RSRV","FQ1 2020","FQ1 2020","Currency=USD","Period=FQ","BEST_FPERIOD_OVERRIDE=FQ","FILING_STATUS=MR","SCALING_FORMAT=MLN","Sort=A","Dates=H","DateFormat=P","Fill=—","Direction=H","UseDPDF=Y")</f>
        <v>0</v>
      </c>
      <c r="J81" s="13" cm="1">
        <f t="array" ref="J81">_xll.BDH("NUE US Equity","BS_PENSION_RSRV","FQ2 2020","FQ2 2020","Currency=USD","Period=FQ","BEST_FPERIOD_OVERRIDE=FQ","FILING_STATUS=MR","SCALING_FORMAT=MLN","Sort=A","Dates=H","DateFormat=P","Fill=—","Direction=H","UseDPDF=Y")</f>
        <v>0</v>
      </c>
      <c r="K81" s="13" cm="1">
        <f t="array" ref="K81">_xll.BDH("NUE US Equity","BS_PENSION_RSRV","FQ3 2020","FQ3 2020","Currency=USD","Period=FQ","BEST_FPERIOD_OVERRIDE=FQ","FILING_STATUS=MR","SCALING_FORMAT=MLN","Sort=A","Dates=H","DateFormat=P","Fill=—","Direction=H","UseDPDF=Y")</f>
        <v>0</v>
      </c>
      <c r="L81" s="13" cm="1">
        <f t="array" ref="L81">_xll.BDH("NUE US Equity","BS_PENSION_RSRV","FQ4 2020","FQ4 2020","Currency=USD","Period=FQ","BEST_FPERIOD_OVERRIDE=FQ","FILING_STATUS=MR","SCALING_FORMAT=MLN","Sort=A","Dates=H","DateFormat=P","Fill=—","Direction=H","UseDPDF=Y")</f>
        <v>0</v>
      </c>
      <c r="M81" s="13" cm="1">
        <f t="array" ref="M81">_xll.BDH("NUE US Equity","BS_PENSION_RSRV","FQ1 2021","FQ1 2021","Currency=USD","Period=FQ","BEST_FPERIOD_OVERRIDE=FQ","FILING_STATUS=MR","SCALING_FORMAT=MLN","Sort=A","Dates=H","DateFormat=P","Fill=—","Direction=H","UseDPDF=Y")</f>
        <v>0</v>
      </c>
      <c r="N81" s="13" cm="1">
        <f t="array" ref="N81">_xll.BDH("NUE US Equity","BS_PENSION_RSRV","FQ2 2021","FQ2 2021","Currency=USD","Period=FQ","BEST_FPERIOD_OVERRIDE=FQ","FILING_STATUS=MR","SCALING_FORMAT=MLN","Sort=A","Dates=H","DateFormat=P","Fill=—","Direction=H","UseDPDF=Y")</f>
        <v>0</v>
      </c>
      <c r="O81" s="13" cm="1">
        <f t="array" ref="O81">_xll.BDH("NUE US Equity","BS_PENSION_RSRV","FQ3 2021","FQ3 2021","Currency=USD","Period=FQ","BEST_FPERIOD_OVERRIDE=FQ","FILING_STATUS=MR","SCALING_FORMAT=MLN","Sort=A","Dates=H","DateFormat=P","Fill=—","Direction=H","UseDPDF=Y")</f>
        <v>0</v>
      </c>
      <c r="P81" s="13" cm="1">
        <f t="array" ref="P81">_xll.BDH("NUE US Equity","BS_PENSION_RSRV","FQ4 2021","FQ4 2021","Currency=USD","Period=FQ","BEST_FPERIOD_OVERRIDE=FQ","FILING_STATUS=MR","SCALING_FORMAT=MLN","Sort=A","Dates=H","DateFormat=P","Fill=—","Direction=H","UseDPDF=Y")</f>
        <v>0</v>
      </c>
      <c r="Q81" s="13" cm="1">
        <f t="array" ref="Q81">_xll.BDH("NUE US Equity","BS_PENSION_RSRV","FQ1 2022","FQ1 2022","Currency=USD","Period=FQ","BEST_FPERIOD_OVERRIDE=FQ","FILING_STATUS=MR","SCALING_FORMAT=MLN","Sort=A","Dates=H","DateFormat=P","Fill=—","Direction=H","UseDPDF=Y")</f>
        <v>0</v>
      </c>
      <c r="R81" s="13" cm="1">
        <f t="array" ref="R81">_xll.BDH("NUE US Equity","BS_PENSION_RSRV","FQ2 2022","FQ2 2022","Currency=USD","Period=FQ","BEST_FPERIOD_OVERRIDE=FQ","FILING_STATUS=MR","SCALING_FORMAT=MLN","Sort=A","Dates=H","DateFormat=P","Fill=—","Direction=H","UseDPDF=Y")</f>
        <v>0</v>
      </c>
      <c r="S81" s="13" cm="1">
        <f t="array" ref="S81">_xll.BDH("NUE US Equity","BS_PENSION_RSRV","FQ3 2022","FQ3 2022","Currency=USD","Period=FQ","BEST_FPERIOD_OVERRIDE=FQ","FILING_STATUS=MR","SCALING_FORMAT=MLN","Sort=A","Dates=H","DateFormat=P","Fill=—","Direction=H","UseDPDF=Y")</f>
        <v>0</v>
      </c>
      <c r="T81" s="13" cm="1">
        <f t="array" ref="T81">_xll.BDH("NUE US Equity","BS_PENSION_RSRV","FQ4 2022","FQ4 2022","Currency=USD","Period=FQ","BEST_FPERIOD_OVERRIDE=FQ","FILING_STATUS=MR","SCALING_FORMAT=MLN","Sort=A","Dates=H","DateFormat=P","Fill=—","Direction=H","UseDPDF=Y")</f>
        <v>0</v>
      </c>
      <c r="U81" s="13" cm="1">
        <f t="array" ref="U81">_xll.BDH("NUE US Equity","BS_PENSION_RSRV","FQ1 2023","FQ1 2023","Currency=USD","Period=FQ","BEST_FPERIOD_OVERRIDE=FQ","FILING_STATUS=MR","SCALING_FORMAT=MLN","Sort=A","Dates=H","DateFormat=P","Fill=—","Direction=H","UseDPDF=Y")</f>
        <v>0</v>
      </c>
      <c r="V81" s="13" cm="1">
        <f t="array" ref="V81">_xll.BDH("NUE US Equity","BS_PENSION_RSRV","FQ2 2023","FQ2 2023","Currency=USD","Period=FQ","BEST_FPERIOD_OVERRIDE=FQ","FILING_STATUS=MR","SCALING_FORMAT=MLN","Sort=A","Dates=H","DateFormat=P","Fill=—","Direction=H","UseDPDF=Y")</f>
        <v>0</v>
      </c>
      <c r="W81" s="13" cm="1">
        <f t="array" ref="W81">_xll.BDH("NUE US Equity","BS_PENSION_RSRV","FQ3 2023","FQ3 2023","Currency=USD","Period=FQ","BEST_FPERIOD_OVERRIDE=FQ","FILING_STATUS=MR","SCALING_FORMAT=MLN","Sort=A","Dates=H","DateFormat=P","Fill=—","Direction=H","UseDPDF=Y")</f>
        <v>0</v>
      </c>
      <c r="X81" s="13" cm="1">
        <f t="array" ref="X81">_xll.BDH("NUE US Equity","BS_PENSION_RSRV","FQ4 2023","FQ4 2023","Currency=USD","Period=FQ","BEST_FPERIOD_OVERRIDE=FQ","FILING_STATUS=MR","SCALING_FORMAT=MLN","Sort=A","Dates=H","DateFormat=P","Fill=—","Direction=H","UseDPDF=Y")</f>
        <v>0</v>
      </c>
      <c r="Y81" s="13" cm="1">
        <f t="array" ref="Y81">_xll.BDH("NUE US Equity","BS_PENSION_RSRV","FQ1 2024","FQ1 2024","Currency=USD","Period=FQ","BEST_FPERIOD_OVERRIDE=FQ","FILING_STATUS=MR","SCALING_FORMAT=MLN","Sort=A","Dates=H","DateFormat=P","Fill=—","Direction=H","UseDPDF=Y")</f>
        <v>0</v>
      </c>
      <c r="Z81" s="13" cm="1">
        <f t="array" ref="Z81">_xll.BDH("NUE US Equity","BS_PENSION_RSRV","FQ2 2024","FQ2 2024","Currency=USD","Period=FQ","BEST_FPERIOD_OVERRIDE=FQ","FILING_STATUS=MR","SCALING_FORMAT=MLN","Sort=A","Dates=H","DateFormat=P","Fill=—","Direction=H","UseDPDF=Y")</f>
        <v>0</v>
      </c>
      <c r="AA81" s="13" cm="1">
        <f t="array" ref="AA81">_xll.BDH("NUE US Equity","BS_PENSION_RSRV","FQ3 2024","FQ3 2024","Currency=USD","Period=FQ","BEST_FPERIOD_OVERRIDE=FQ","FILING_STATUS=MR","SCALING_FORMAT=MLN","Sort=A","Dates=H","DateFormat=P","Fill=—","Direction=H","UseDPDF=Y")</f>
        <v>0</v>
      </c>
      <c r="AB81" s="13" cm="1">
        <f t="array" ref="AB81">_xll.BDH("NUE US Equity","BS_PENSION_RSRV","FQ4 2024","FQ4 2024","Currency=USD","Period=FQ","BEST_FPERIOD_OVERRIDE=FQ","FILING_STATUS=MR","SCALING_FORMAT=MLN","Sort=A","Dates=H","DateFormat=P","Fill=—","Direction=H","UseDPDF=Y")</f>
        <v>0</v>
      </c>
      <c r="AC81" s="13" cm="1">
        <f t="array" ref="AC81">_xll.BDH("NUE US Equity","BS_PENSION_RSRV","FQ1 2025","FQ1 2025","Currency=USD","Period=FQ","BEST_FPERIOD_OVERRIDE=FQ","FILING_STATUS=MR","SCALING_FORMAT=MLN","Sort=A","Dates=H","DateFormat=P","Fill=—","Direction=H","UseDPDF=Y")</f>
        <v>0</v>
      </c>
      <c r="AD81" s="13" cm="1">
        <f t="array" ref="AD81">_xll.BDH("NUE US Equity","BS_PENSION_RSRV","FQ2 2025","FQ2 2025","Currency=USD","Period=FQ","BEST_FPERIOD_OVERRIDE=FQ","FILING_STATUS=MR","SCALING_FORMAT=MLN","Sort=A","Dates=H","DateFormat=P","Fill=—","Direction=H","UseDPDF=Y")</f>
        <v>0</v>
      </c>
      <c r="AE81" s="13" cm="1">
        <f t="array" ref="AE81">_xll.BDH("NUE US Equity","BS_PENSION_RSRV","FQ3 2025","FQ3 2025","Currency=USD","Period=FQ","BEST_FPERIOD_OVERRIDE=FQ","FILING_STATUS=MR","SCALING_FORMAT=MLN","Sort=A","Dates=H","DateFormat=P","Fill=—","Direction=H","UseDPDF=Y")</f>
        <v>0</v>
      </c>
      <c r="AF81" s="13" cm="1">
        <f t="array" ref="AF81">_xll.BDH("NUE US Equity","BS_PENSION_RSRV","FQ4 2025","FQ4 2025","Currency=USD","Period=FQ","BEST_FPERIOD_OVERRIDE=FQ","FILING_STATUS=MR","SCALING_FORMAT=MLN","Sort=A","Dates=H","DateFormat=P","Fill=—","Direction=H","UseDPDF=Y")</f>
        <v>0</v>
      </c>
    </row>
    <row r="82" spans="1:32" x14ac:dyDescent="0.25">
      <c r="A82" s="10" t="s">
        <v>206</v>
      </c>
      <c r="B82" s="10" t="s">
        <v>207</v>
      </c>
      <c r="C82" s="13" t="str" cm="1">
        <f t="array" ref="C82">_xll.BDH("NUE US Equity","BS_FUTURE_MIN_OPER_LEASE_OBLIG","FQ3 2018","FQ3 2018","Currency=USD","Period=FQ","BEST_FPERIOD_OVERRIDE=FQ","FILING_STATUS=MR","SCALING_FORMAT=MLN","Sort=A","Dates=H","DateFormat=P","Fill=—","Direction=H","UseDPDF=Y")</f>
        <v>—</v>
      </c>
      <c r="D82" s="13" cm="1">
        <f t="array" ref="D82">_xll.BDH("NUE US Equity","BS_FUTURE_MIN_OPER_LEASE_OBLIG","FQ4 2018","FQ4 2018","Currency=USD","Period=FQ","BEST_FPERIOD_OVERRIDE=FQ","FILING_STATUS=MR","SCALING_FORMAT=MLN","Sort=A","Dates=H","DateFormat=P","Fill=—","Direction=H","UseDPDF=Y")</f>
        <v>128.58199999999999</v>
      </c>
      <c r="E82" s="13" cm="1">
        <f t="array" ref="E82">_xll.BDH("NUE US Equity","BS_FUTURE_MIN_OPER_LEASE_OBLIG","FQ1 2019","FQ1 2019","Currency=USD","Period=FQ","BEST_FPERIOD_OVERRIDE=FQ","FILING_STATUS=MR","SCALING_FORMAT=MLN","Sort=A","Dates=H","DateFormat=P","Fill=—","Direction=H","UseDPDF=Y")</f>
        <v>115.321</v>
      </c>
      <c r="F82" s="13" cm="1">
        <f t="array" ref="F82">_xll.BDH("NUE US Equity","BS_FUTURE_MIN_OPER_LEASE_OBLIG","FQ2 2019","FQ2 2019","Currency=USD","Period=FQ","BEST_FPERIOD_OVERRIDE=FQ","FILING_STATUS=MR","SCALING_FORMAT=MLN","Sort=A","Dates=H","DateFormat=P","Fill=—","Direction=H","UseDPDF=Y")</f>
        <v>111.595</v>
      </c>
      <c r="G82" s="13" cm="1">
        <f t="array" ref="G82">_xll.BDH("NUE US Equity","BS_FUTURE_MIN_OPER_LEASE_OBLIG","FQ3 2019","FQ3 2019","Currency=USD","Period=FQ","BEST_FPERIOD_OVERRIDE=FQ","FILING_STATUS=MR","SCALING_FORMAT=MLN","Sort=A","Dates=H","DateFormat=P","Fill=—","Direction=H","UseDPDF=Y")</f>
        <v>113.70699999999999</v>
      </c>
      <c r="H82" s="13" cm="1">
        <f t="array" ref="H82">_xll.BDH("NUE US Equity","BS_FUTURE_MIN_OPER_LEASE_OBLIG","FQ4 2019","FQ4 2019","Currency=USD","Period=FQ","BEST_FPERIOD_OVERRIDE=FQ","FILING_STATUS=MR","SCALING_FORMAT=MLN","Sort=A","Dates=H","DateFormat=P","Fill=—","Direction=H","UseDPDF=Y")</f>
        <v>111.929</v>
      </c>
      <c r="I82" s="13" t="str" cm="1">
        <f t="array" ref="I82">_xll.BDH("NUE US Equity","BS_FUTURE_MIN_OPER_LEASE_OBLIG","FQ1 2020","FQ1 2020","Currency=USD","Period=FQ","BEST_FPERIOD_OVERRIDE=FQ","FILING_STATUS=MR","SCALING_FORMAT=MLN","Sort=A","Dates=H","DateFormat=P","Fill=—","Direction=H","UseDPDF=Y")</f>
        <v>—</v>
      </c>
      <c r="J82" s="13" t="str" cm="1">
        <f t="array" ref="J82">_xll.BDH("NUE US Equity","BS_FUTURE_MIN_OPER_LEASE_OBLIG","FQ2 2020","FQ2 2020","Currency=USD","Period=FQ","BEST_FPERIOD_OVERRIDE=FQ","FILING_STATUS=MR","SCALING_FORMAT=MLN","Sort=A","Dates=H","DateFormat=P","Fill=—","Direction=H","UseDPDF=Y")</f>
        <v>—</v>
      </c>
      <c r="K82" s="13" t="str" cm="1">
        <f t="array" ref="K82">_xll.BDH("NUE US Equity","BS_FUTURE_MIN_OPER_LEASE_OBLIG","FQ3 2020","FQ3 2020","Currency=USD","Period=FQ","BEST_FPERIOD_OVERRIDE=FQ","FILING_STATUS=MR","SCALING_FORMAT=MLN","Sort=A","Dates=H","DateFormat=P","Fill=—","Direction=H","UseDPDF=Y")</f>
        <v>—</v>
      </c>
      <c r="L82" s="13" cm="1">
        <f t="array" ref="L82">_xll.BDH("NUE US Equity","BS_FUTURE_MIN_OPER_LEASE_OBLIG","FQ4 2020","FQ4 2020","Currency=USD","Period=FQ","BEST_FPERIOD_OVERRIDE=FQ","FILING_STATUS=MR","SCALING_FORMAT=MLN","Sort=A","Dates=H","DateFormat=P","Fill=—","Direction=H","UseDPDF=Y")</f>
        <v>114.06399999999999</v>
      </c>
      <c r="M82" s="13" t="str" cm="1">
        <f t="array" ref="M82">_xll.BDH("NUE US Equity","BS_FUTURE_MIN_OPER_LEASE_OBLIG","FQ1 2021","FQ1 2021","Currency=USD","Period=FQ","BEST_FPERIOD_OVERRIDE=FQ","FILING_STATUS=MR","SCALING_FORMAT=MLN","Sort=A","Dates=H","DateFormat=P","Fill=—","Direction=H","UseDPDF=Y")</f>
        <v>—</v>
      </c>
      <c r="N82" s="13" t="str" cm="1">
        <f t="array" ref="N82">_xll.BDH("NUE US Equity","BS_FUTURE_MIN_OPER_LEASE_OBLIG","FQ2 2021","FQ2 2021","Currency=USD","Period=FQ","BEST_FPERIOD_OVERRIDE=FQ","FILING_STATUS=MR","SCALING_FORMAT=MLN","Sort=A","Dates=H","DateFormat=P","Fill=—","Direction=H","UseDPDF=Y")</f>
        <v>—</v>
      </c>
      <c r="O82" s="13" t="str" cm="1">
        <f t="array" ref="O82">_xll.BDH("NUE US Equity","BS_FUTURE_MIN_OPER_LEASE_OBLIG","FQ3 2021","FQ3 2021","Currency=USD","Period=FQ","BEST_FPERIOD_OVERRIDE=FQ","FILING_STATUS=MR","SCALING_FORMAT=MLN","Sort=A","Dates=H","DateFormat=P","Fill=—","Direction=H","UseDPDF=Y")</f>
        <v>—</v>
      </c>
      <c r="P82" s="13" cm="1">
        <f t="array" ref="P82">_xll.BDH("NUE US Equity","BS_FUTURE_MIN_OPER_LEASE_OBLIG","FQ4 2021","FQ4 2021","Currency=USD","Period=FQ","BEST_FPERIOD_OVERRIDE=FQ","FILING_STATUS=MR","SCALING_FORMAT=MLN","Sort=A","Dates=H","DateFormat=P","Fill=—","Direction=H","UseDPDF=Y")</f>
        <v>110.563</v>
      </c>
      <c r="Q82" s="13" t="str" cm="1">
        <f t="array" ref="Q82">_xll.BDH("NUE US Equity","BS_FUTURE_MIN_OPER_LEASE_OBLIG","FQ1 2022","FQ1 2022","Currency=USD","Period=FQ","BEST_FPERIOD_OVERRIDE=FQ","FILING_STATUS=MR","SCALING_FORMAT=MLN","Sort=A","Dates=H","DateFormat=P","Fill=—","Direction=H","UseDPDF=Y")</f>
        <v>—</v>
      </c>
      <c r="R82" s="13" t="str" cm="1">
        <f t="array" ref="R82">_xll.BDH("NUE US Equity","BS_FUTURE_MIN_OPER_LEASE_OBLIG","FQ2 2022","FQ2 2022","Currency=USD","Period=FQ","BEST_FPERIOD_OVERRIDE=FQ","FILING_STATUS=MR","SCALING_FORMAT=MLN","Sort=A","Dates=H","DateFormat=P","Fill=—","Direction=H","UseDPDF=Y")</f>
        <v>—</v>
      </c>
      <c r="S82" s="13" t="str" cm="1">
        <f t="array" ref="S82">_xll.BDH("NUE US Equity","BS_FUTURE_MIN_OPER_LEASE_OBLIG","FQ3 2022","FQ3 2022","Currency=USD","Period=FQ","BEST_FPERIOD_OVERRIDE=FQ","FILING_STATUS=MR","SCALING_FORMAT=MLN","Sort=A","Dates=H","DateFormat=P","Fill=—","Direction=H","UseDPDF=Y")</f>
        <v>—</v>
      </c>
      <c r="T82" s="13" cm="1">
        <f t="array" ref="T82">_xll.BDH("NUE US Equity","BS_FUTURE_MIN_OPER_LEASE_OBLIG","FQ4 2022","FQ4 2022","Currency=USD","Period=FQ","BEST_FPERIOD_OVERRIDE=FQ","FILING_STATUS=MR","SCALING_FORMAT=MLN","Sort=A","Dates=H","DateFormat=P","Fill=—","Direction=H","UseDPDF=Y")</f>
        <v>122.682</v>
      </c>
      <c r="U82" s="13" t="str" cm="1">
        <f t="array" ref="U82">_xll.BDH("NUE US Equity","BS_FUTURE_MIN_OPER_LEASE_OBLIG","FQ1 2023","FQ1 2023","Currency=USD","Period=FQ","BEST_FPERIOD_OVERRIDE=FQ","FILING_STATUS=MR","SCALING_FORMAT=MLN","Sort=A","Dates=H","DateFormat=P","Fill=—","Direction=H","UseDPDF=Y")</f>
        <v>—</v>
      </c>
      <c r="V82" s="13" t="str" cm="1">
        <f t="array" ref="V82">_xll.BDH("NUE US Equity","BS_FUTURE_MIN_OPER_LEASE_OBLIG","FQ2 2023","FQ2 2023","Currency=USD","Period=FQ","BEST_FPERIOD_OVERRIDE=FQ","FILING_STATUS=MR","SCALING_FORMAT=MLN","Sort=A","Dates=H","DateFormat=P","Fill=—","Direction=H","UseDPDF=Y")</f>
        <v>—</v>
      </c>
      <c r="W82" s="13" t="str" cm="1">
        <f t="array" ref="W82">_xll.BDH("NUE US Equity","BS_FUTURE_MIN_OPER_LEASE_OBLIG","FQ3 2023","FQ3 2023","Currency=USD","Period=FQ","BEST_FPERIOD_OVERRIDE=FQ","FILING_STATUS=MR","SCALING_FORMAT=MLN","Sort=A","Dates=H","DateFormat=P","Fill=—","Direction=H","UseDPDF=Y")</f>
        <v>—</v>
      </c>
      <c r="X82" s="13" cm="1">
        <f t="array" ref="X82">_xll.BDH("NUE US Equity","BS_FUTURE_MIN_OPER_LEASE_OBLIG","FQ4 2023","FQ4 2023","Currency=USD","Period=FQ","BEST_FPERIOD_OVERRIDE=FQ","FILING_STATUS=MR","SCALING_FORMAT=MLN","Sort=A","Dates=H","DateFormat=P","Fill=—","Direction=H","UseDPDF=Y")</f>
        <v>127.90600000000001</v>
      </c>
      <c r="Y82" s="13" t="str" cm="1">
        <f t="array" ref="Y82">_xll.BDH("NUE US Equity","BS_FUTURE_MIN_OPER_LEASE_OBLIG","FQ1 2024","FQ1 2024","Currency=USD","Period=FQ","BEST_FPERIOD_OVERRIDE=FQ","FILING_STATUS=MR","SCALING_FORMAT=MLN","Sort=A","Dates=H","DateFormat=P","Fill=—","Direction=H","UseDPDF=Y")</f>
        <v>—</v>
      </c>
      <c r="Z82" s="13" t="str" cm="1">
        <f t="array" ref="Z82">_xll.BDH("NUE US Equity","BS_FUTURE_MIN_OPER_LEASE_OBLIG","FQ2 2024","FQ2 2024","Currency=USD","Period=FQ","BEST_FPERIOD_OVERRIDE=FQ","FILING_STATUS=MR","SCALING_FORMAT=MLN","Sort=A","Dates=H","DateFormat=P","Fill=—","Direction=H","UseDPDF=Y")</f>
        <v>—</v>
      </c>
      <c r="AA82" s="13" t="str" cm="1">
        <f t="array" ref="AA82">_xll.BDH("NUE US Equity","BS_FUTURE_MIN_OPER_LEASE_OBLIG","FQ3 2024","FQ3 2024","Currency=USD","Period=FQ","BEST_FPERIOD_OVERRIDE=FQ","FILING_STATUS=MR","SCALING_FORMAT=MLN","Sort=A","Dates=H","DateFormat=P","Fill=—","Direction=H","UseDPDF=Y")</f>
        <v>—</v>
      </c>
      <c r="AB82" s="13" cm="1">
        <f t="array" ref="AB82">_xll.BDH("NUE US Equity","BS_FUTURE_MIN_OPER_LEASE_OBLIG","FQ4 2024","FQ4 2024","Currency=USD","Period=FQ","BEST_FPERIOD_OVERRIDE=FQ","FILING_STATUS=MR","SCALING_FORMAT=MLN","Sort=A","Dates=H","DateFormat=P","Fill=—","Direction=H","UseDPDF=Y")</f>
        <v>142</v>
      </c>
      <c r="AC82" s="13" t="str" cm="1">
        <f t="array" ref="AC82">_xll.BDH("NUE US Equity","BS_FUTURE_MIN_OPER_LEASE_OBLIG","FQ1 2025","FQ1 2025","Currency=USD","Period=FQ","BEST_FPERIOD_OVERRIDE=FQ","FILING_STATUS=MR","SCALING_FORMAT=MLN","Sort=A","Dates=H","DateFormat=P","Fill=—","Direction=H","UseDPDF=Y")</f>
        <v>—</v>
      </c>
      <c r="AD82" s="13" t="str" cm="1">
        <f t="array" ref="AD82">_xll.BDH("NUE US Equity","BS_FUTURE_MIN_OPER_LEASE_OBLIG","FQ2 2025","FQ2 2025","Currency=USD","Period=FQ","BEST_FPERIOD_OVERRIDE=FQ","FILING_STATUS=MR","SCALING_FORMAT=MLN","Sort=A","Dates=H","DateFormat=P","Fill=—","Direction=H","UseDPDF=Y")</f>
        <v>—</v>
      </c>
      <c r="AE82" s="13" t="str" cm="1">
        <f t="array" ref="AE82">_xll.BDH("NUE US Equity","BS_FUTURE_MIN_OPER_LEASE_OBLIG","FQ3 2025","FQ3 2025","Currency=USD","Period=FQ","BEST_FPERIOD_OVERRIDE=FQ","FILING_STATUS=MR","SCALING_FORMAT=MLN","Sort=A","Dates=H","DateFormat=P","Fill=—","Direction=H","UseDPDF=Y")</f>
        <v>—</v>
      </c>
      <c r="AF82" s="13" t="str" cm="1">
        <f t="array" ref="AF82">_xll.BDH("NUE US Equity","BS_FUTURE_MIN_OPER_LEASE_OBLIG","FQ4 2025","FQ4 2025","Currency=USD","Period=FQ","BEST_FPERIOD_OVERRIDE=FQ","FILING_STATUS=MR","SCALING_FORMAT=MLN","Sort=A","Dates=H","DateFormat=P","Fill=—","Direction=H","UseDPDF=Y")</f>
        <v>—</v>
      </c>
    </row>
    <row r="83" spans="1:32" x14ac:dyDescent="0.25">
      <c r="A83" s="10" t="s">
        <v>208</v>
      </c>
      <c r="B83" s="10" t="s">
        <v>209</v>
      </c>
      <c r="C83" s="13" t="str" cm="1">
        <f t="array" ref="C83">_xll.BDH("NUE US Equity","BS_TOTAL_CAPITAL_LEASES","FQ3 2018","FQ3 2018","Currency=USD","Period=FQ","BEST_FPERIOD_OVERRIDE=FQ","FILING_STATUS=MR","SCALING_FORMAT=MLN","Sort=A","Dates=H","DateFormat=P","Fill=—","Direction=H","UseDPDF=Y")</f>
        <v>—</v>
      </c>
      <c r="D83" s="13" t="str" cm="1">
        <f t="array" ref="D83">_xll.BDH("NUE US Equity","BS_TOTAL_CAPITAL_LEASES","FQ4 2018","FQ4 2018","Currency=USD","Period=FQ","BEST_FPERIOD_OVERRIDE=FQ","FILING_STATUS=MR","SCALING_FORMAT=MLN","Sort=A","Dates=H","DateFormat=P","Fill=—","Direction=H","UseDPDF=Y")</f>
        <v>—</v>
      </c>
      <c r="E83" s="13" cm="1">
        <f t="array" ref="E83">_xll.BDH("NUE US Equity","BS_TOTAL_CAPITAL_LEASES","FQ1 2019","FQ1 2019","Currency=USD","Period=FQ","BEST_FPERIOD_OVERRIDE=FQ","FILING_STATUS=MR","SCALING_FORMAT=MLN","Sort=A","Dates=H","DateFormat=P","Fill=—","Direction=H","UseDPDF=Y")</f>
        <v>80.884</v>
      </c>
      <c r="F83" s="13" cm="1">
        <f t="array" ref="F83">_xll.BDH("NUE US Equity","BS_TOTAL_CAPITAL_LEASES","FQ2 2019","FQ2 2019","Currency=USD","Period=FQ","BEST_FPERIOD_OVERRIDE=FQ","FILING_STATUS=MR","SCALING_FORMAT=MLN","Sort=A","Dates=H","DateFormat=P","Fill=—","Direction=H","UseDPDF=Y")</f>
        <v>79.388999999999996</v>
      </c>
      <c r="G83" s="13" cm="1">
        <f t="array" ref="G83">_xll.BDH("NUE US Equity","BS_TOTAL_CAPITAL_LEASES","FQ3 2019","FQ3 2019","Currency=USD","Period=FQ","BEST_FPERIOD_OVERRIDE=FQ","FILING_STATUS=MR","SCALING_FORMAT=MLN","Sort=A","Dates=H","DateFormat=P","Fill=—","Direction=H","UseDPDF=Y")</f>
        <v>81.650999999999996</v>
      </c>
      <c r="H83" s="13" cm="1">
        <f t="array" ref="H83">_xll.BDH("NUE US Equity","BS_TOTAL_CAPITAL_LEASES","FQ4 2019","FQ4 2019","Currency=USD","Period=FQ","BEST_FPERIOD_OVERRIDE=FQ","FILING_STATUS=MR","SCALING_FORMAT=MLN","Sort=A","Dates=H","DateFormat=P","Fill=—","Direction=H","UseDPDF=Y")</f>
        <v>85.224000000000004</v>
      </c>
      <c r="I83" s="13" t="str" cm="1">
        <f t="array" ref="I83">_xll.BDH("NUE US Equity","BS_TOTAL_CAPITAL_LEASES","FQ1 2020","FQ1 2020","Currency=USD","Period=FQ","BEST_FPERIOD_OVERRIDE=FQ","FILING_STATUS=MR","SCALING_FORMAT=MLN","Sort=A","Dates=H","DateFormat=P","Fill=—","Direction=H","UseDPDF=Y")</f>
        <v>—</v>
      </c>
      <c r="J83" s="13" t="str" cm="1">
        <f t="array" ref="J83">_xll.BDH("NUE US Equity","BS_TOTAL_CAPITAL_LEASES","FQ2 2020","FQ2 2020","Currency=USD","Period=FQ","BEST_FPERIOD_OVERRIDE=FQ","FILING_STATUS=MR","SCALING_FORMAT=MLN","Sort=A","Dates=H","DateFormat=P","Fill=—","Direction=H","UseDPDF=Y")</f>
        <v>—</v>
      </c>
      <c r="K83" s="13" t="str" cm="1">
        <f t="array" ref="K83">_xll.BDH("NUE US Equity","BS_TOTAL_CAPITAL_LEASES","FQ3 2020","FQ3 2020","Currency=USD","Period=FQ","BEST_FPERIOD_OVERRIDE=FQ","FILING_STATUS=MR","SCALING_FORMAT=MLN","Sort=A","Dates=H","DateFormat=P","Fill=—","Direction=H","UseDPDF=Y")</f>
        <v>—</v>
      </c>
      <c r="L83" s="13" cm="1">
        <f t="array" ref="L83">_xll.BDH("NUE US Equity","BS_TOTAL_CAPITAL_LEASES","FQ4 2020","FQ4 2020","Currency=USD","Period=FQ","BEST_FPERIOD_OVERRIDE=FQ","FILING_STATUS=MR","SCALING_FORMAT=MLN","Sort=A","Dates=H","DateFormat=P","Fill=—","Direction=H","UseDPDF=Y")</f>
        <v>90.337999999999994</v>
      </c>
      <c r="M83" s="13" t="str" cm="1">
        <f t="array" ref="M83">_xll.BDH("NUE US Equity","BS_TOTAL_CAPITAL_LEASES","FQ1 2021","FQ1 2021","Currency=USD","Period=FQ","BEST_FPERIOD_OVERRIDE=FQ","FILING_STATUS=MR","SCALING_FORMAT=MLN","Sort=A","Dates=H","DateFormat=P","Fill=—","Direction=H","UseDPDF=Y")</f>
        <v>—</v>
      </c>
      <c r="N83" s="13" t="str" cm="1">
        <f t="array" ref="N83">_xll.BDH("NUE US Equity","BS_TOTAL_CAPITAL_LEASES","FQ2 2021","FQ2 2021","Currency=USD","Period=FQ","BEST_FPERIOD_OVERRIDE=FQ","FILING_STATUS=MR","SCALING_FORMAT=MLN","Sort=A","Dates=H","DateFormat=P","Fill=—","Direction=H","UseDPDF=Y")</f>
        <v>—</v>
      </c>
      <c r="O83" s="13" t="str" cm="1">
        <f t="array" ref="O83">_xll.BDH("NUE US Equity","BS_TOTAL_CAPITAL_LEASES","FQ3 2021","FQ3 2021","Currency=USD","Period=FQ","BEST_FPERIOD_OVERRIDE=FQ","FILING_STATUS=MR","SCALING_FORMAT=MLN","Sort=A","Dates=H","DateFormat=P","Fill=—","Direction=H","UseDPDF=Y")</f>
        <v>—</v>
      </c>
      <c r="P83" s="13" cm="1">
        <f t="array" ref="P83">_xll.BDH("NUE US Equity","BS_TOTAL_CAPITAL_LEASES","FQ4 2021","FQ4 2021","Currency=USD","Period=FQ","BEST_FPERIOD_OVERRIDE=FQ","FILING_STATUS=MR","SCALING_FORMAT=MLN","Sort=A","Dates=H","DateFormat=P","Fill=—","Direction=H","UseDPDF=Y")</f>
        <v>179.053</v>
      </c>
      <c r="Q83" s="13" t="str" cm="1">
        <f t="array" ref="Q83">_xll.BDH("NUE US Equity","BS_TOTAL_CAPITAL_LEASES","FQ1 2022","FQ1 2022","Currency=USD","Period=FQ","BEST_FPERIOD_OVERRIDE=FQ","FILING_STATUS=MR","SCALING_FORMAT=MLN","Sort=A","Dates=H","DateFormat=P","Fill=—","Direction=H","UseDPDF=Y")</f>
        <v>—</v>
      </c>
      <c r="R83" s="13" t="str" cm="1">
        <f t="array" ref="R83">_xll.BDH("NUE US Equity","BS_TOTAL_CAPITAL_LEASES","FQ2 2022","FQ2 2022","Currency=USD","Period=FQ","BEST_FPERIOD_OVERRIDE=FQ","FILING_STATUS=MR","SCALING_FORMAT=MLN","Sort=A","Dates=H","DateFormat=P","Fill=—","Direction=H","UseDPDF=Y")</f>
        <v>—</v>
      </c>
      <c r="S83" s="13" t="str" cm="1">
        <f t="array" ref="S83">_xll.BDH("NUE US Equity","BS_TOTAL_CAPITAL_LEASES","FQ3 2022","FQ3 2022","Currency=USD","Period=FQ","BEST_FPERIOD_OVERRIDE=FQ","FILING_STATUS=MR","SCALING_FORMAT=MLN","Sort=A","Dates=H","DateFormat=P","Fill=—","Direction=H","UseDPDF=Y")</f>
        <v>—</v>
      </c>
      <c r="T83" s="13" cm="1">
        <f t="array" ref="T83">_xll.BDH("NUE US Equity","BS_TOTAL_CAPITAL_LEASES","FQ4 2022","FQ4 2022","Currency=USD","Period=FQ","BEST_FPERIOD_OVERRIDE=FQ","FILING_STATUS=MR","SCALING_FORMAT=MLN","Sort=A","Dates=H","DateFormat=P","Fill=—","Direction=H","UseDPDF=Y")</f>
        <v>188.386</v>
      </c>
      <c r="U83" s="13" t="str" cm="1">
        <f t="array" ref="U83">_xll.BDH("NUE US Equity","BS_TOTAL_CAPITAL_LEASES","FQ1 2023","FQ1 2023","Currency=USD","Period=FQ","BEST_FPERIOD_OVERRIDE=FQ","FILING_STATUS=MR","SCALING_FORMAT=MLN","Sort=A","Dates=H","DateFormat=P","Fill=—","Direction=H","UseDPDF=Y")</f>
        <v>—</v>
      </c>
      <c r="V83" s="13" t="str" cm="1">
        <f t="array" ref="V83">_xll.BDH("NUE US Equity","BS_TOTAL_CAPITAL_LEASES","FQ2 2023","FQ2 2023","Currency=USD","Period=FQ","BEST_FPERIOD_OVERRIDE=FQ","FILING_STATUS=MR","SCALING_FORMAT=MLN","Sort=A","Dates=H","DateFormat=P","Fill=—","Direction=H","UseDPDF=Y")</f>
        <v>—</v>
      </c>
      <c r="W83" s="13" t="str" cm="1">
        <f t="array" ref="W83">_xll.BDH("NUE US Equity","BS_TOTAL_CAPITAL_LEASES","FQ3 2023","FQ3 2023","Currency=USD","Period=FQ","BEST_FPERIOD_OVERRIDE=FQ","FILING_STATUS=MR","SCALING_FORMAT=MLN","Sort=A","Dates=H","DateFormat=P","Fill=—","Direction=H","UseDPDF=Y")</f>
        <v>—</v>
      </c>
      <c r="X83" s="13" cm="1">
        <f t="array" ref="X83">_xll.BDH("NUE US Equity","BS_TOTAL_CAPITAL_LEASES","FQ4 2023","FQ4 2023","Currency=USD","Period=FQ","BEST_FPERIOD_OVERRIDE=FQ","FILING_STATUS=MR","SCALING_FORMAT=MLN","Sort=A","Dates=H","DateFormat=P","Fill=—","Direction=H","UseDPDF=Y")</f>
        <v>188.88900000000001</v>
      </c>
      <c r="Y83" s="13" t="str" cm="1">
        <f t="array" ref="Y83">_xll.BDH("NUE US Equity","BS_TOTAL_CAPITAL_LEASES","FQ1 2024","FQ1 2024","Currency=USD","Period=FQ","BEST_FPERIOD_OVERRIDE=FQ","FILING_STATUS=MR","SCALING_FORMAT=MLN","Sort=A","Dates=H","DateFormat=P","Fill=—","Direction=H","UseDPDF=Y")</f>
        <v>—</v>
      </c>
      <c r="Z83" s="13" t="str" cm="1">
        <f t="array" ref="Z83">_xll.BDH("NUE US Equity","BS_TOTAL_CAPITAL_LEASES","FQ2 2024","FQ2 2024","Currency=USD","Period=FQ","BEST_FPERIOD_OVERRIDE=FQ","FILING_STATUS=MR","SCALING_FORMAT=MLN","Sort=A","Dates=H","DateFormat=P","Fill=—","Direction=H","UseDPDF=Y")</f>
        <v>—</v>
      </c>
      <c r="AA83" s="13" t="str" cm="1">
        <f t="array" ref="AA83">_xll.BDH("NUE US Equity","BS_TOTAL_CAPITAL_LEASES","FQ3 2024","FQ3 2024","Currency=USD","Period=FQ","BEST_FPERIOD_OVERRIDE=FQ","FILING_STATUS=MR","SCALING_FORMAT=MLN","Sort=A","Dates=H","DateFormat=P","Fill=—","Direction=H","UseDPDF=Y")</f>
        <v>—</v>
      </c>
      <c r="AB83" s="13" cm="1">
        <f t="array" ref="AB83">_xll.BDH("NUE US Equity","BS_TOTAL_CAPITAL_LEASES","FQ4 2024","FQ4 2024","Currency=USD","Period=FQ","BEST_FPERIOD_OVERRIDE=FQ","FILING_STATUS=MR","SCALING_FORMAT=MLN","Sort=A","Dates=H","DateFormat=P","Fill=—","Direction=H","UseDPDF=Y")</f>
        <v>191</v>
      </c>
      <c r="AC83" s="13" t="str" cm="1">
        <f t="array" ref="AC83">_xll.BDH("NUE US Equity","BS_TOTAL_CAPITAL_LEASES","FQ1 2025","FQ1 2025","Currency=USD","Period=FQ","BEST_FPERIOD_OVERRIDE=FQ","FILING_STATUS=MR","SCALING_FORMAT=MLN","Sort=A","Dates=H","DateFormat=P","Fill=—","Direction=H","UseDPDF=Y")</f>
        <v>—</v>
      </c>
      <c r="AD83" s="13" t="str" cm="1">
        <f t="array" ref="AD83">_xll.BDH("NUE US Equity","BS_TOTAL_CAPITAL_LEASES","FQ2 2025","FQ2 2025","Currency=USD","Period=FQ","BEST_FPERIOD_OVERRIDE=FQ","FILING_STATUS=MR","SCALING_FORMAT=MLN","Sort=A","Dates=H","DateFormat=P","Fill=—","Direction=H","UseDPDF=Y")</f>
        <v>—</v>
      </c>
      <c r="AE83" s="13" t="str" cm="1">
        <f t="array" ref="AE83">_xll.BDH("NUE US Equity","BS_TOTAL_CAPITAL_LEASES","FQ3 2025","FQ3 2025","Currency=USD","Period=FQ","BEST_FPERIOD_OVERRIDE=FQ","FILING_STATUS=MR","SCALING_FORMAT=MLN","Sort=A","Dates=H","DateFormat=P","Fill=—","Direction=H","UseDPDF=Y")</f>
        <v>—</v>
      </c>
      <c r="AF83" s="13" t="str" cm="1">
        <f t="array" ref="AF83">_xll.BDH("NUE US Equity","BS_TOTAL_CAPITAL_LEASES","FQ4 2025","FQ4 2025","Currency=USD","Period=FQ","BEST_FPERIOD_OVERRIDE=FQ","FILING_STATUS=MR","SCALING_FORMAT=MLN","Sort=A","Dates=H","DateFormat=P","Fill=—","Direction=H","UseDPDF=Y")</f>
        <v>—</v>
      </c>
    </row>
    <row r="84" spans="1:32" x14ac:dyDescent="0.25">
      <c r="A84" s="10" t="s">
        <v>210</v>
      </c>
      <c r="B84" s="10" t="s">
        <v>211</v>
      </c>
      <c r="C84" s="13" cm="1">
        <f t="array" ref="C84">_xll.BDH("NUE US Equity","BS_OPTIONS_GRANTED","FQ3 2018","FQ3 2018","Currency=USD","Period=FQ","BEST_FPERIOD_OVERRIDE=FQ","FILING_STATUS=MR","Sort=A","Dates=H","DateFormat=P","Fill=—","Direction=H","UseDPDF=Y")</f>
        <v>0</v>
      </c>
      <c r="D84" s="13" cm="1">
        <f t="array" ref="D84">_xll.BDH("NUE US Equity","BS_OPTIONS_GRANTED","FQ4 2018","FQ4 2018","Currency=USD","Period=FQ","BEST_FPERIOD_OVERRIDE=FQ","FILING_STATUS=MR","Sort=A","Dates=H","DateFormat=P","Fill=—","Direction=H","UseDPDF=Y")</f>
        <v>0</v>
      </c>
      <c r="E84" s="13" cm="1">
        <f t="array" ref="E84">_xll.BDH("NUE US Equity","BS_OPTIONS_GRANTED","FQ1 2019","FQ1 2019","Currency=USD","Period=FQ","BEST_FPERIOD_OVERRIDE=FQ","FILING_STATUS=MR","Sort=A","Dates=H","DateFormat=P","Fill=—","Direction=H","UseDPDF=Y")</f>
        <v>0</v>
      </c>
      <c r="F84" s="13" cm="1">
        <f t="array" ref="F84">_xll.BDH("NUE US Equity","BS_OPTIONS_GRANTED","FQ2 2019","FQ2 2019","Currency=USD","Period=FQ","BEST_FPERIOD_OVERRIDE=FQ","FILING_STATUS=MR","Sort=A","Dates=H","DateFormat=P","Fill=—","Direction=H","UseDPDF=Y")</f>
        <v>0.48899999999999999</v>
      </c>
      <c r="G84" s="13" cm="1">
        <f t="array" ref="G84">_xll.BDH("NUE US Equity","BS_OPTIONS_GRANTED","FQ3 2019","FQ3 2019","Currency=USD","Period=FQ","BEST_FPERIOD_OVERRIDE=FQ","FILING_STATUS=MR","Sort=A","Dates=H","DateFormat=P","Fill=—","Direction=H","UseDPDF=Y")</f>
        <v>0</v>
      </c>
      <c r="H84" s="13" cm="1">
        <f t="array" ref="H84">_xll.BDH("NUE US Equity","BS_OPTIONS_GRANTED","FQ4 2019","FQ4 2019","Currency=USD","Period=FQ","BEST_FPERIOD_OVERRIDE=FQ","FILING_STATUS=MR","Sort=A","Dates=H","DateFormat=P","Fill=—","Direction=H","UseDPDF=Y")</f>
        <v>0</v>
      </c>
      <c r="I84" s="13" cm="1">
        <f t="array" ref="I84">_xll.BDH("NUE US Equity","BS_OPTIONS_GRANTED","FQ1 2020","FQ1 2020","Currency=USD","Period=FQ","BEST_FPERIOD_OVERRIDE=FQ","FILING_STATUS=MR","Sort=A","Dates=H","DateFormat=P","Fill=—","Direction=H","UseDPDF=Y")</f>
        <v>0</v>
      </c>
      <c r="J84" s="13" cm="1">
        <f t="array" ref="J84">_xll.BDH("NUE US Equity","BS_OPTIONS_GRANTED","FQ2 2020","FQ2 2020","Currency=USD","Period=FQ","BEST_FPERIOD_OVERRIDE=FQ","FILING_STATUS=MR","Sort=A","Dates=H","DateFormat=P","Fill=—","Direction=H","UseDPDF=Y")</f>
        <v>0.52900000000000003</v>
      </c>
      <c r="K84" s="13" cm="1">
        <f t="array" ref="K84">_xll.BDH("NUE US Equity","BS_OPTIONS_GRANTED","FQ3 2020","FQ3 2020","Currency=USD","Period=FQ","BEST_FPERIOD_OVERRIDE=FQ","FILING_STATUS=MR","Sort=A","Dates=H","DateFormat=P","Fill=—","Direction=H","UseDPDF=Y")</f>
        <v>0</v>
      </c>
      <c r="L84" s="13" cm="1">
        <f t="array" ref="L84">_xll.BDH("NUE US Equity","BS_OPTIONS_GRANTED","FQ4 2020","FQ4 2020","Currency=USD","Period=FQ","BEST_FPERIOD_OVERRIDE=FQ","FILING_STATUS=MR","Sort=A","Dates=H","DateFormat=P","Fill=—","Direction=H","UseDPDF=Y")</f>
        <v>0</v>
      </c>
      <c r="M84" s="13" cm="1">
        <f t="array" ref="M84">_xll.BDH("NUE US Equity","BS_OPTIONS_GRANTED","FQ1 2021","FQ1 2021","Currency=USD","Period=FQ","BEST_FPERIOD_OVERRIDE=FQ","FILING_STATUS=MR","Sort=A","Dates=H","DateFormat=P","Fill=—","Direction=H","UseDPDF=Y")</f>
        <v>0</v>
      </c>
      <c r="N84" s="13" cm="1">
        <f t="array" ref="N84">_xll.BDH("NUE US Equity","BS_OPTIONS_GRANTED","FQ2 2021","FQ2 2021","Currency=USD","Period=FQ","BEST_FPERIOD_OVERRIDE=FQ","FILING_STATUS=MR","Sort=A","Dates=H","DateFormat=P","Fill=—","Direction=H","UseDPDF=Y")</f>
        <v>0.13800000000000001</v>
      </c>
      <c r="O84" s="13" cm="1">
        <f t="array" ref="O84">_xll.BDH("NUE US Equity","BS_OPTIONS_GRANTED","FQ3 2021","FQ3 2021","Currency=USD","Period=FQ","BEST_FPERIOD_OVERRIDE=FQ","FILING_STATUS=MR","Sort=A","Dates=H","DateFormat=P","Fill=—","Direction=H","UseDPDF=Y")</f>
        <v>0</v>
      </c>
      <c r="P84" s="13" cm="1">
        <f t="array" ref="P84">_xll.BDH("NUE US Equity","BS_OPTIONS_GRANTED","FQ4 2021","FQ4 2021","Currency=USD","Period=FQ","BEST_FPERIOD_OVERRIDE=FQ","FILING_STATUS=MR","Sort=A","Dates=H","DateFormat=P","Fill=—","Direction=H","UseDPDF=Y")</f>
        <v>0</v>
      </c>
      <c r="Q84" s="13" cm="1">
        <f t="array" ref="Q84">_xll.BDH("NUE US Equity","BS_OPTIONS_GRANTED","FQ1 2022","FQ1 2022","Currency=USD","Period=FQ","BEST_FPERIOD_OVERRIDE=FQ","FILING_STATUS=MR","Sort=A","Dates=H","DateFormat=P","Fill=—","Direction=H","UseDPDF=Y")</f>
        <v>0</v>
      </c>
      <c r="R84" s="13" cm="1">
        <f t="array" ref="R84">_xll.BDH("NUE US Equity","BS_OPTIONS_GRANTED","FQ2 2022","FQ2 2022","Currency=USD","Period=FQ","BEST_FPERIOD_OVERRIDE=FQ","FILING_STATUS=MR","Sort=A","Dates=H","DateFormat=P","Fill=—","Direction=H","UseDPDF=Y")</f>
        <v>9.8000000000000004E-2</v>
      </c>
      <c r="S84" s="13" cm="1">
        <f t="array" ref="S84">_xll.BDH("NUE US Equity","BS_OPTIONS_GRANTED","FQ3 2022","FQ3 2022","Currency=USD","Period=FQ","BEST_FPERIOD_OVERRIDE=FQ","FILING_STATUS=MR","Sort=A","Dates=H","DateFormat=P","Fill=—","Direction=H","UseDPDF=Y")</f>
        <v>0</v>
      </c>
      <c r="T84" s="13" cm="1">
        <f t="array" ref="T84">_xll.BDH("NUE US Equity","BS_OPTIONS_GRANTED","FQ4 2022","FQ4 2022","Currency=USD","Period=FQ","BEST_FPERIOD_OVERRIDE=FQ","FILING_STATUS=MR","Sort=A","Dates=H","DateFormat=P","Fill=—","Direction=H","UseDPDF=Y")</f>
        <v>0</v>
      </c>
      <c r="U84" s="13" cm="1">
        <f t="array" ref="U84">_xll.BDH("NUE US Equity","BS_OPTIONS_GRANTED","FQ1 2023","FQ1 2023","Currency=USD","Period=FQ","BEST_FPERIOD_OVERRIDE=FQ","FILING_STATUS=MR","Sort=A","Dates=H","DateFormat=P","Fill=—","Direction=H","UseDPDF=Y")</f>
        <v>0</v>
      </c>
      <c r="V84" s="13" cm="1">
        <f t="array" ref="V84">_xll.BDH("NUE US Equity","BS_OPTIONS_GRANTED","FQ2 2023","FQ2 2023","Currency=USD","Period=FQ","BEST_FPERIOD_OVERRIDE=FQ","FILING_STATUS=MR","Sort=A","Dates=H","DateFormat=P","Fill=—","Direction=H","UseDPDF=Y")</f>
        <v>9.0999999999999998E-2</v>
      </c>
      <c r="W84" s="13" cm="1">
        <f t="array" ref="W84">_xll.BDH("NUE US Equity","BS_OPTIONS_GRANTED","FQ3 2023","FQ3 2023","Currency=USD","Period=FQ","BEST_FPERIOD_OVERRIDE=FQ","FILING_STATUS=MR","Sort=A","Dates=H","DateFormat=P","Fill=—","Direction=H","UseDPDF=Y")</f>
        <v>0</v>
      </c>
      <c r="X84" s="13" cm="1">
        <f t="array" ref="X84">_xll.BDH("NUE US Equity","BS_OPTIONS_GRANTED","FQ4 2023","FQ4 2023","Currency=USD","Period=FQ","BEST_FPERIOD_OVERRIDE=FQ","FILING_STATUS=MR","Sort=A","Dates=H","DateFormat=P","Fill=—","Direction=H","UseDPDF=Y")</f>
        <v>0</v>
      </c>
      <c r="Y84" s="13" cm="1">
        <f t="array" ref="Y84">_xll.BDH("NUE US Equity","BS_OPTIONS_GRANTED","FQ1 2024","FQ1 2024","Currency=USD","Period=FQ","BEST_FPERIOD_OVERRIDE=FQ","FILING_STATUS=MR","Sort=A","Dates=H","DateFormat=P","Fill=—","Direction=H","UseDPDF=Y")</f>
        <v>0</v>
      </c>
      <c r="Z84" s="13" cm="1">
        <f t="array" ref="Z84">_xll.BDH("NUE US Equity","BS_OPTIONS_GRANTED","FQ2 2024","FQ2 2024","Currency=USD","Period=FQ","BEST_FPERIOD_OVERRIDE=FQ","FILING_STATUS=MR","Sort=A","Dates=H","DateFormat=P","Fill=—","Direction=H","UseDPDF=Y")</f>
        <v>7.2999999999999995E-2</v>
      </c>
      <c r="AA84" s="13" cm="1">
        <f t="array" ref="AA84">_xll.BDH("NUE US Equity","BS_OPTIONS_GRANTED","FQ3 2024","FQ3 2024","Currency=USD","Period=FQ","BEST_FPERIOD_OVERRIDE=FQ","FILING_STATUS=MR","Sort=A","Dates=H","DateFormat=P","Fill=—","Direction=H","UseDPDF=Y")</f>
        <v>0</v>
      </c>
      <c r="AB84" s="13" cm="1">
        <f t="array" ref="AB84">_xll.BDH("NUE US Equity","BS_OPTIONS_GRANTED","FQ4 2024","FQ4 2024","Currency=USD","Period=FQ","BEST_FPERIOD_OVERRIDE=FQ","FILING_STATUS=MR","Sort=A","Dates=H","DateFormat=P","Fill=—","Direction=H","UseDPDF=Y")</f>
        <v>0</v>
      </c>
      <c r="AC84" s="13" cm="1">
        <f t="array" ref="AC84">_xll.BDH("NUE US Equity","BS_OPTIONS_GRANTED","FQ1 2025","FQ1 2025","Currency=USD","Period=FQ","BEST_FPERIOD_OVERRIDE=FQ","FILING_STATUS=MR","Sort=A","Dates=H","DateFormat=P","Fill=—","Direction=H","UseDPDF=Y")</f>
        <v>0</v>
      </c>
      <c r="AD84" s="13" cm="1">
        <f t="array" ref="AD84">_xll.BDH("NUE US Equity","BS_OPTIONS_GRANTED","FQ2 2025","FQ2 2025","Currency=USD","Period=FQ","BEST_FPERIOD_OVERRIDE=FQ","FILING_STATUS=MR","Sort=A","Dates=H","DateFormat=P","Fill=—","Direction=H","UseDPDF=Y")</f>
        <v>0.13800000000000001</v>
      </c>
      <c r="AE84" s="13" cm="1">
        <f t="array" ref="AE84">_xll.BDH("NUE US Equity","BS_OPTIONS_GRANTED","FQ3 2025","FQ3 2025","Currency=USD","Period=FQ","BEST_FPERIOD_OVERRIDE=FQ","FILING_STATUS=MR","Sort=A","Dates=H","DateFormat=P","Fill=—","Direction=H","UseDPDF=Y")</f>
        <v>0</v>
      </c>
      <c r="AF84" s="13" t="str" cm="1">
        <f t="array" ref="AF84">_xll.BDH("NUE US Equity","BS_OPTIONS_GRANTED","FQ4 2025","FQ4 2025","Currency=USD","Period=FQ","BEST_FPERIOD_OVERRIDE=FQ","FILING_STATUS=MR","Sort=A","Dates=H","DateFormat=P","Fill=—","Direction=H","UseDPDF=Y")</f>
        <v>—</v>
      </c>
    </row>
    <row r="85" spans="1:32" x14ac:dyDescent="0.25">
      <c r="A85" s="10" t="s">
        <v>212</v>
      </c>
      <c r="B85" s="10" t="s">
        <v>213</v>
      </c>
      <c r="C85" s="13" cm="1">
        <f t="array" ref="C85">_xll.BDH("NUE US Equity","BS_OPTIONS_OUTSTANDING","FQ3 2018","FQ3 2018","Currency=USD","Period=FQ","BEST_FPERIOD_OVERRIDE=FQ","FILING_STATUS=MR","Sort=A","Dates=H","DateFormat=P","Fill=—","Direction=H","UseDPDF=Y")</f>
        <v>3.8279999999999998</v>
      </c>
      <c r="D85" s="13" cm="1">
        <f t="array" ref="D85">_xll.BDH("NUE US Equity","BS_OPTIONS_OUTSTANDING","FQ4 2018","FQ4 2018","Currency=USD","Period=FQ","BEST_FPERIOD_OVERRIDE=FQ","FILING_STATUS=MR","Sort=A","Dates=H","DateFormat=P","Fill=—","Direction=H","UseDPDF=Y")</f>
        <v>3.8279999999999998</v>
      </c>
      <c r="E85" s="13" cm="1">
        <f t="array" ref="E85">_xll.BDH("NUE US Equity","BS_OPTIONS_OUTSTANDING","FQ1 2019","FQ1 2019","Currency=USD","Period=FQ","BEST_FPERIOD_OVERRIDE=FQ","FILING_STATUS=MR","Sort=A","Dates=H","DateFormat=P","Fill=—","Direction=H","UseDPDF=Y")</f>
        <v>3.74</v>
      </c>
      <c r="F85" s="13" cm="1">
        <f t="array" ref="F85">_xll.BDH("NUE US Equity","BS_OPTIONS_OUTSTANDING","FQ2 2019","FQ2 2019","Currency=USD","Period=FQ","BEST_FPERIOD_OVERRIDE=FQ","FILING_STATUS=MR","Sort=A","Dates=H","DateFormat=P","Fill=—","Direction=H","UseDPDF=Y")</f>
        <v>4.1639999999999997</v>
      </c>
      <c r="G85" s="13" cm="1">
        <f t="array" ref="G85">_xll.BDH("NUE US Equity","BS_OPTIONS_OUTSTANDING","FQ3 2019","FQ3 2019","Currency=USD","Period=FQ","BEST_FPERIOD_OVERRIDE=FQ","FILING_STATUS=MR","Sort=A","Dates=H","DateFormat=P","Fill=—","Direction=H","UseDPDF=Y")</f>
        <v>4.1639999999999997</v>
      </c>
      <c r="H85" s="13" cm="1">
        <f t="array" ref="H85">_xll.BDH("NUE US Equity","BS_OPTIONS_OUTSTANDING","FQ4 2019","FQ4 2019","Currency=USD","Period=FQ","BEST_FPERIOD_OVERRIDE=FQ","FILING_STATUS=MR","Sort=A","Dates=H","DateFormat=P","Fill=—","Direction=H","UseDPDF=Y")</f>
        <v>3.8919999999999999</v>
      </c>
      <c r="I85" s="13" cm="1">
        <f t="array" ref="I85">_xll.BDH("NUE US Equity","BS_OPTIONS_OUTSTANDING","FQ1 2020","FQ1 2020","Currency=USD","Period=FQ","BEST_FPERIOD_OVERRIDE=FQ","FILING_STATUS=MR","Sort=A","Dates=H","DateFormat=P","Fill=—","Direction=H","UseDPDF=Y")</f>
        <v>3.8919999999999999</v>
      </c>
      <c r="J85" s="13" cm="1">
        <f t="array" ref="J85">_xll.BDH("NUE US Equity","BS_OPTIONS_OUTSTANDING","FQ2 2020","FQ2 2020","Currency=USD","Period=FQ","BEST_FPERIOD_OVERRIDE=FQ","FILING_STATUS=MR","Sort=A","Dates=H","DateFormat=P","Fill=—","Direction=H","UseDPDF=Y")</f>
        <v>4.1820000000000004</v>
      </c>
      <c r="K85" s="13" cm="1">
        <f t="array" ref="K85">_xll.BDH("NUE US Equity","BS_OPTIONS_OUTSTANDING","FQ3 2020","FQ3 2020","Currency=USD","Period=FQ","BEST_FPERIOD_OVERRIDE=FQ","FILING_STATUS=MR","Sort=A","Dates=H","DateFormat=P","Fill=—","Direction=H","UseDPDF=Y")</f>
        <v>4.1820000000000004</v>
      </c>
      <c r="L85" s="13" cm="1">
        <f t="array" ref="L85">_xll.BDH("NUE US Equity","BS_OPTIONS_OUTSTANDING","FQ4 2020","FQ4 2020","Currency=USD","Period=FQ","BEST_FPERIOD_OVERRIDE=FQ","FILING_STATUS=MR","Sort=A","Dates=H","DateFormat=P","Fill=—","Direction=H","UseDPDF=Y")</f>
        <v>3.9159999999999999</v>
      </c>
      <c r="M85" s="13" cm="1">
        <f t="array" ref="M85">_xll.BDH("NUE US Equity","BS_OPTIONS_OUTSTANDING","FQ1 2021","FQ1 2021","Currency=USD","Period=FQ","BEST_FPERIOD_OVERRIDE=FQ","FILING_STATUS=MR","Sort=A","Dates=H","DateFormat=P","Fill=—","Direction=H","UseDPDF=Y")</f>
        <v>1.7809999999999999</v>
      </c>
      <c r="N85" s="13" cm="1">
        <f t="array" ref="N85">_xll.BDH("NUE US Equity","BS_OPTIONS_OUTSTANDING","FQ2 2021","FQ2 2021","Currency=USD","Period=FQ","BEST_FPERIOD_OVERRIDE=FQ","FILING_STATUS=MR","Sort=A","Dates=H","DateFormat=P","Fill=—","Direction=H","UseDPDF=Y")</f>
        <v>1.5</v>
      </c>
      <c r="O85" s="13" cm="1">
        <f t="array" ref="O85">_xll.BDH("NUE US Equity","BS_OPTIONS_OUTSTANDING","FQ3 2021","FQ3 2021","Currency=USD","Period=FQ","BEST_FPERIOD_OVERRIDE=FQ","FILING_STATUS=MR","Sort=A","Dates=H","DateFormat=P","Fill=—","Direction=H","UseDPDF=Y")</f>
        <v>1.2150000000000001</v>
      </c>
      <c r="P85" s="13" cm="1">
        <f t="array" ref="P85">_xll.BDH("NUE US Equity","BS_OPTIONS_OUTSTANDING","FQ4 2021","FQ4 2021","Currency=USD","Period=FQ","BEST_FPERIOD_OVERRIDE=FQ","FILING_STATUS=MR","Sort=A","Dates=H","DateFormat=P","Fill=—","Direction=H","UseDPDF=Y")</f>
        <v>1.1859999999999999</v>
      </c>
      <c r="Q85" s="13" cm="1">
        <f t="array" ref="Q85">_xll.BDH("NUE US Equity","BS_OPTIONS_OUTSTANDING","FQ1 2022","FQ1 2022","Currency=USD","Period=FQ","BEST_FPERIOD_OVERRIDE=FQ","FILING_STATUS=MR","Sort=A","Dates=H","DateFormat=P","Fill=—","Direction=H","UseDPDF=Y")</f>
        <v>0.876</v>
      </c>
      <c r="R85" s="13" cm="1">
        <f t="array" ref="R85">_xll.BDH("NUE US Equity","BS_OPTIONS_OUTSTANDING","FQ2 2022","FQ2 2022","Currency=USD","Period=FQ","BEST_FPERIOD_OVERRIDE=FQ","FILING_STATUS=MR","Sort=A","Dates=H","DateFormat=P","Fill=—","Direction=H","UseDPDF=Y")</f>
        <v>0.92500000000000004</v>
      </c>
      <c r="S85" s="13" cm="1">
        <f t="array" ref="S85">_xll.BDH("NUE US Equity","BS_OPTIONS_OUTSTANDING","FQ3 2022","FQ3 2022","Currency=USD","Period=FQ","BEST_FPERIOD_OVERRIDE=FQ","FILING_STATUS=MR","Sort=A","Dates=H","DateFormat=P","Fill=—","Direction=H","UseDPDF=Y")</f>
        <v>0.86299999999999999</v>
      </c>
      <c r="T85" s="13" cm="1">
        <f t="array" ref="T85">_xll.BDH("NUE US Equity","BS_OPTIONS_OUTSTANDING","FQ4 2022","FQ4 2022","Currency=USD","Period=FQ","BEST_FPERIOD_OVERRIDE=FQ","FILING_STATUS=MR","Sort=A","Dates=H","DateFormat=P","Fill=—","Direction=H","UseDPDF=Y")</f>
        <v>0.83699999999999997</v>
      </c>
      <c r="U85" s="13" cm="1">
        <f t="array" ref="U85">_xll.BDH("NUE US Equity","BS_OPTIONS_OUTSTANDING","FQ1 2023","FQ1 2023","Currency=USD","Period=FQ","BEST_FPERIOD_OVERRIDE=FQ","FILING_STATUS=MR","Sort=A","Dates=H","DateFormat=P","Fill=—","Direction=H","UseDPDF=Y")</f>
        <v>0.70599999999999996</v>
      </c>
      <c r="V85" s="13" cm="1">
        <f t="array" ref="V85">_xll.BDH("NUE US Equity","BS_OPTIONS_OUTSTANDING","FQ2 2023","FQ2 2023","Currency=USD","Period=FQ","BEST_FPERIOD_OVERRIDE=FQ","FILING_STATUS=MR","Sort=A","Dates=H","DateFormat=P","Fill=—","Direction=H","UseDPDF=Y")</f>
        <v>0.79700000000000004</v>
      </c>
      <c r="W85" s="13" cm="1">
        <f t="array" ref="W85">_xll.BDH("NUE US Equity","BS_OPTIONS_OUTSTANDING","FQ3 2023","FQ3 2023","Currency=USD","Period=FQ","BEST_FPERIOD_OVERRIDE=FQ","FILING_STATUS=MR","Sort=A","Dates=H","DateFormat=P","Fill=—","Direction=H","UseDPDF=Y")</f>
        <v>0.747</v>
      </c>
      <c r="X85" s="13" cm="1">
        <f t="array" ref="X85">_xll.BDH("NUE US Equity","BS_OPTIONS_OUTSTANDING","FQ4 2023","FQ4 2023","Currency=USD","Period=FQ","BEST_FPERIOD_OVERRIDE=FQ","FILING_STATUS=MR","Sort=A","Dates=H","DateFormat=P","Fill=—","Direction=H","UseDPDF=Y")</f>
        <v>0.71799999999999997</v>
      </c>
      <c r="Y85" s="13" cm="1">
        <f t="array" ref="Y85">_xll.BDH("NUE US Equity","BS_OPTIONS_OUTSTANDING","FQ1 2024","FQ1 2024","Currency=USD","Period=FQ","BEST_FPERIOD_OVERRIDE=FQ","FILING_STATUS=MR","Sort=A","Dates=H","DateFormat=P","Fill=—","Direction=H","UseDPDF=Y")</f>
        <v>0.66400000000000003</v>
      </c>
      <c r="Z85" s="13" cm="1">
        <f t="array" ref="Z85">_xll.BDH("NUE US Equity","BS_OPTIONS_OUTSTANDING","FQ2 2024","FQ2 2024","Currency=USD","Period=FQ","BEST_FPERIOD_OVERRIDE=FQ","FILING_STATUS=MR","Sort=A","Dates=H","DateFormat=P","Fill=—","Direction=H","UseDPDF=Y")</f>
        <v>0.73</v>
      </c>
      <c r="AA85" s="13" cm="1">
        <f t="array" ref="AA85">_xll.BDH("NUE US Equity","BS_OPTIONS_OUTSTANDING","FQ3 2024","FQ3 2024","Currency=USD","Period=FQ","BEST_FPERIOD_OVERRIDE=FQ","FILING_STATUS=MR","Sort=A","Dates=H","DateFormat=P","Fill=—","Direction=H","UseDPDF=Y")</f>
        <v>0.73</v>
      </c>
      <c r="AB85" s="13" cm="1">
        <f t="array" ref="AB85">_xll.BDH("NUE US Equity","BS_OPTIONS_OUTSTANDING","FQ4 2024","FQ4 2024","Currency=USD","Period=FQ","BEST_FPERIOD_OVERRIDE=FQ","FILING_STATUS=MR","Sort=A","Dates=H","DateFormat=P","Fill=—","Direction=H","UseDPDF=Y")</f>
        <v>0.72399999999999998</v>
      </c>
      <c r="AC85" s="13" cm="1">
        <f t="array" ref="AC85">_xll.BDH("NUE US Equity","BS_OPTIONS_OUTSTANDING","FQ1 2025","FQ1 2025","Currency=USD","Period=FQ","BEST_FPERIOD_OVERRIDE=FQ","FILING_STATUS=MR","Sort=A","Dates=H","DateFormat=P","Fill=—","Direction=H","UseDPDF=Y")</f>
        <v>0.72399999999999998</v>
      </c>
      <c r="AD85" s="13" cm="1">
        <f t="array" ref="AD85">_xll.BDH("NUE US Equity","BS_OPTIONS_OUTSTANDING","FQ2 2025","FQ2 2025","Currency=USD","Period=FQ","BEST_FPERIOD_OVERRIDE=FQ","FILING_STATUS=MR","Sort=A","Dates=H","DateFormat=P","Fill=—","Direction=H","UseDPDF=Y")</f>
        <v>0.86199999999999999</v>
      </c>
      <c r="AE85" s="13" cm="1">
        <f t="array" ref="AE85">_xll.BDH("NUE US Equity","BS_OPTIONS_OUTSTANDING","FQ3 2025","FQ3 2025","Currency=USD","Period=FQ","BEST_FPERIOD_OVERRIDE=FQ","FILING_STATUS=MR","Sort=A","Dates=H","DateFormat=P","Fill=—","Direction=H","UseDPDF=Y")</f>
        <v>0.85099999999999998</v>
      </c>
      <c r="AF85" s="13" t="str" cm="1">
        <f t="array" ref="AF85">_xll.BDH("NUE US Equity","BS_OPTIONS_OUTSTANDING","FQ4 2025","FQ4 2025","Currency=USD","Period=FQ","BEST_FPERIOD_OVERRIDE=FQ","FILING_STATUS=MR","Sort=A","Dates=H","DateFormat=P","Fill=—","Direction=H","UseDPDF=Y")</f>
        <v>—</v>
      </c>
    </row>
    <row r="86" spans="1:32" x14ac:dyDescent="0.25">
      <c r="A86" s="10" t="s">
        <v>214</v>
      </c>
      <c r="B86" s="10" t="s">
        <v>215</v>
      </c>
      <c r="C86" s="13" cm="1">
        <f t="array" ref="C86">_xll.BDH("NUE US Equity","NET_DEBT","FQ3 2018","FQ3 2018","Currency=USD","Period=FQ","BEST_FPERIOD_OVERRIDE=FQ","FILING_STATUS=MR","SCALING_FORMAT=MLN","Sort=A","Dates=H","DateFormat=P","Fill=—","Direction=H","UseDPDF=Y")</f>
        <v>2353.4340000000002</v>
      </c>
      <c r="D86" s="13" cm="1">
        <f t="array" ref="D86">_xll.BDH("NUE US Equity","NET_DEBT","FQ4 2018","FQ4 2018","Currency=USD","Period=FQ","BEST_FPERIOD_OVERRIDE=FQ","FILING_STATUS=MR","SCALING_FORMAT=MLN","Sort=A","Dates=H","DateFormat=P","Fill=—","Direction=H","UseDPDF=Y")</f>
        <v>2892.26</v>
      </c>
      <c r="E86" s="13" cm="1">
        <f t="array" ref="E86">_xll.BDH("NUE US Equity","NET_DEBT","FQ1 2019","FQ1 2019","Currency=USD","Period=FQ","BEST_FPERIOD_OVERRIDE=FQ","FILING_STATUS=MR","SCALING_FORMAT=MLN","Sort=A","Dates=H","DateFormat=P","Fill=—","Direction=H","UseDPDF=Y")</f>
        <v>2879.752</v>
      </c>
      <c r="F86" s="13" cm="1">
        <f t="array" ref="F86">_xll.BDH("NUE US Equity","NET_DEBT","FQ2 2019","FQ2 2019","Currency=USD","Period=FQ","BEST_FPERIOD_OVERRIDE=FQ","FILING_STATUS=MR","SCALING_FORMAT=MLN","Sort=A","Dates=H","DateFormat=P","Fill=—","Direction=H","UseDPDF=Y")</f>
        <v>2983.4670000000001</v>
      </c>
      <c r="G86" s="13" cm="1">
        <f t="array" ref="G86">_xll.BDH("NUE US Equity","NET_DEBT","FQ3 2019","FQ3 2019","Currency=USD","Period=FQ","BEST_FPERIOD_OVERRIDE=FQ","FILING_STATUS=MR","SCALING_FORMAT=MLN","Sort=A","Dates=H","DateFormat=P","Fill=—","Direction=H","UseDPDF=Y")</f>
        <v>2603.0859999999998</v>
      </c>
      <c r="H86" s="13" cm="1">
        <f t="array" ref="H86">_xll.BDH("NUE US Equity","NET_DEBT","FQ4 2019","FQ4 2019","Currency=USD","Period=FQ","BEST_FPERIOD_OVERRIDE=FQ","FILING_STATUS=MR","SCALING_FORMAT=MLN","Sort=A","Dates=H","DateFormat=P","Fill=—","Direction=H","UseDPDF=Y")</f>
        <v>2726.1120000000001</v>
      </c>
      <c r="I86" s="13" cm="1">
        <f t="array" ref="I86">_xll.BDH("NUE US Equity","NET_DEBT","FQ1 2020","FQ1 2020","Currency=USD","Period=FQ","BEST_FPERIOD_OVERRIDE=FQ","FILING_STATUS=MR","SCALING_FORMAT=MLN","Sort=A","Dates=H","DateFormat=P","Fill=—","Direction=H","UseDPDF=Y")</f>
        <v>2934.6819999999998</v>
      </c>
      <c r="J86" s="13" cm="1">
        <f t="array" ref="J86">_xll.BDH("NUE US Equity","NET_DEBT","FQ2 2020","FQ2 2020","Currency=USD","Period=FQ","BEST_FPERIOD_OVERRIDE=FQ","FILING_STATUS=MR","SCALING_FORMAT=MLN","Sort=A","Dates=H","DateFormat=P","Fill=—","Direction=H","UseDPDF=Y")</f>
        <v>2336.614</v>
      </c>
      <c r="K86" s="13" cm="1">
        <f t="array" ref="K86">_xll.BDH("NUE US Equity","NET_DEBT","FQ3 2020","FQ3 2020","Currency=USD","Period=FQ","BEST_FPERIOD_OVERRIDE=FQ","FILING_STATUS=MR","SCALING_FORMAT=MLN","Sort=A","Dates=H","DateFormat=P","Fill=—","Direction=H","UseDPDF=Y")</f>
        <v>2247.4670000000001</v>
      </c>
      <c r="L86" s="13" cm="1">
        <f t="array" ref="L86">_xll.BDH("NUE US Equity","NET_DEBT","FQ4 2020","FQ4 2020","Currency=USD","Period=FQ","BEST_FPERIOD_OVERRIDE=FQ","FILING_STATUS=MR","SCALING_FORMAT=MLN","Sort=A","Dates=H","DateFormat=P","Fill=—","Direction=H","UseDPDF=Y")</f>
        <v>2478.9650000000001</v>
      </c>
      <c r="M86" s="13" cm="1">
        <f t="array" ref="M86">_xll.BDH("NUE US Equity","NET_DEBT","FQ1 2021","FQ1 2021","Currency=USD","Period=FQ","BEST_FPERIOD_OVERRIDE=FQ","FILING_STATUS=MR","SCALING_FORMAT=MLN","Sort=A","Dates=H","DateFormat=P","Fill=—","Direction=H","UseDPDF=Y")</f>
        <v>2476.6610000000001</v>
      </c>
      <c r="N86" s="13" cm="1">
        <f t="array" ref="N86">_xll.BDH("NUE US Equity","NET_DEBT","FQ2 2021","FQ2 2021","Currency=USD","Period=FQ","BEST_FPERIOD_OVERRIDE=FQ","FILING_STATUS=MR","SCALING_FORMAT=MLN","Sort=A","Dates=H","DateFormat=P","Fill=—","Direction=H","UseDPDF=Y")</f>
        <v>2267.1439999999998</v>
      </c>
      <c r="O86" s="13" cm="1">
        <f t="array" ref="O86">_xll.BDH("NUE US Equity","NET_DEBT","FQ3 2021","FQ3 2021","Currency=USD","Period=FQ","BEST_FPERIOD_OVERRIDE=FQ","FILING_STATUS=MR","SCALING_FORMAT=MLN","Sort=A","Dates=H","DateFormat=P","Fill=—","Direction=H","UseDPDF=Y")</f>
        <v>3656.2719999999999</v>
      </c>
      <c r="P86" s="13" cm="1">
        <f t="array" ref="P86">_xll.BDH("NUE US Equity","NET_DEBT","FQ4 2021","FQ4 2021","Currency=USD","Period=FQ","BEST_FPERIOD_OVERRIDE=FQ","FILING_STATUS=MR","SCALING_FORMAT=MLN","Sort=A","Dates=H","DateFormat=P","Fill=—","Direction=H","UseDPDF=Y")</f>
        <v>3340.76</v>
      </c>
      <c r="Q86" s="13" cm="1">
        <f t="array" ref="Q86">_xll.BDH("NUE US Equity","NET_DEBT","FQ1 2022","FQ1 2022","Currency=USD","Period=FQ","BEST_FPERIOD_OVERRIDE=FQ","FILING_STATUS=MR","SCALING_FORMAT=MLN","Sort=A","Dates=H","DateFormat=P","Fill=—","Direction=H","UseDPDF=Y")</f>
        <v>2656.2539999999999</v>
      </c>
      <c r="R86" s="13" cm="1">
        <f t="array" ref="R86">_xll.BDH("NUE US Equity","NET_DEBT","FQ2 2022","FQ2 2022","Currency=USD","Period=FQ","BEST_FPERIOD_OVERRIDE=FQ","FILING_STATUS=MR","SCALING_FORMAT=MLN","Sort=A","Dates=H","DateFormat=P","Fill=—","Direction=H","UseDPDF=Y")</f>
        <v>4985.37</v>
      </c>
      <c r="S86" s="13" cm="1">
        <f t="array" ref="S86">_xll.BDH("NUE US Equity","NET_DEBT","FQ3 2022","FQ3 2022","Currency=USD","Period=FQ","BEST_FPERIOD_OVERRIDE=FQ","FILING_STATUS=MR","SCALING_FORMAT=MLN","Sort=A","Dates=H","DateFormat=P","Fill=—","Direction=H","UseDPDF=Y")</f>
        <v>3283.3829999999998</v>
      </c>
      <c r="T86" s="13" cm="1">
        <f t="array" ref="T86">_xll.BDH("NUE US Equity","NET_DEBT","FQ4 2022","FQ4 2022","Currency=USD","Period=FQ","BEST_FPERIOD_OVERRIDE=FQ","FILING_STATUS=MR","SCALING_FORMAT=MLN","Sort=A","Dates=H","DateFormat=P","Fill=—","Direction=H","UseDPDF=Y")</f>
        <v>2127.0140000000001</v>
      </c>
      <c r="U86" s="13" cm="1">
        <f t="array" ref="U86">_xll.BDH("NUE US Equity","NET_DEBT","FQ1 2023","FQ1 2023","Currency=USD","Period=FQ","BEST_FPERIOD_OVERRIDE=FQ","FILING_STATUS=MR","SCALING_FORMAT=MLN","Sort=A","Dates=H","DateFormat=P","Fill=—","Direction=H","UseDPDF=Y")</f>
        <v>2053.1019999999999</v>
      </c>
      <c r="V86" s="13" cm="1">
        <f t="array" ref="V86">_xll.BDH("NUE US Equity","NET_DEBT","FQ2 2023","FQ2 2023","Currency=USD","Period=FQ","BEST_FPERIOD_OVERRIDE=FQ","FILING_STATUS=MR","SCALING_FORMAT=MLN","Sort=A","Dates=H","DateFormat=P","Fill=—","Direction=H","UseDPDF=Y")</f>
        <v>1298.0740000000001</v>
      </c>
      <c r="W86" s="13" cm="1">
        <f t="array" ref="W86">_xll.BDH("NUE US Equity","NET_DEBT","FQ3 2023","FQ3 2023","Currency=USD","Period=FQ","BEST_FPERIOD_OVERRIDE=FQ","FILING_STATUS=MR","SCALING_FORMAT=MLN","Sort=A","Dates=H","DateFormat=P","Fill=—","Direction=H","UseDPDF=Y")</f>
        <v>-37.631999999999998</v>
      </c>
      <c r="X86" s="13" cm="1">
        <f t="array" ref="X86">_xll.BDH("NUE US Equity","NET_DEBT","FQ4 2023","FQ4 2023","Currency=USD","Period=FQ","BEST_FPERIOD_OVERRIDE=FQ","FILING_STATUS=MR","SCALING_FORMAT=MLN","Sort=A","Dates=H","DateFormat=P","Fill=—","Direction=H","UseDPDF=Y")</f>
        <v>7.3760000000000003</v>
      </c>
      <c r="Y86" s="13" cm="1">
        <f t="array" ref="Y86">_xll.BDH("NUE US Equity","NET_DEBT","FQ1 2024","FQ1 2024","Currency=USD","Period=FQ","BEST_FPERIOD_OVERRIDE=FQ","FILING_STATUS=MR","SCALING_FORMAT=MLN","Sort=A","Dates=H","DateFormat=P","Fill=—","Direction=H","UseDPDF=Y")</f>
        <v>1312.5139999999999</v>
      </c>
      <c r="Z86" s="13" cm="1">
        <f t="array" ref="Z86">_xll.BDH("NUE US Equity","NET_DEBT","FQ2 2024","FQ2 2024","Currency=USD","Period=FQ","BEST_FPERIOD_OVERRIDE=FQ","FILING_STATUS=MR","SCALING_FORMAT=MLN","Sort=A","Dates=H","DateFormat=P","Fill=—","Direction=H","UseDPDF=Y")</f>
        <v>1458.11</v>
      </c>
      <c r="AA86" s="13" cm="1">
        <f t="array" ref="AA86">_xll.BDH("NUE US Equity","NET_DEBT","FQ3 2024","FQ3 2024","Currency=USD","Period=FQ","BEST_FPERIOD_OVERRIDE=FQ","FILING_STATUS=MR","SCALING_FORMAT=MLN","Sort=A","Dates=H","DateFormat=P","Fill=—","Direction=H","UseDPDF=Y")</f>
        <v>2080.6179999999999</v>
      </c>
      <c r="AB86" s="13" cm="1">
        <f t="array" ref="AB86">_xll.BDH("NUE US Equity","NET_DEBT","FQ4 2024","FQ4 2024","Currency=USD","Period=FQ","BEST_FPERIOD_OVERRIDE=FQ","FILING_STATUS=MR","SCALING_FORMAT=MLN","Sort=A","Dates=H","DateFormat=P","Fill=—","Direction=H","UseDPDF=Y")</f>
        <v>3119</v>
      </c>
      <c r="AC86" s="13" cm="1">
        <f t="array" ref="AC86">_xll.BDH("NUE US Equity","NET_DEBT","FQ1 2025","FQ1 2025","Currency=USD","Period=FQ","BEST_FPERIOD_OVERRIDE=FQ","FILING_STATUS=MR","SCALING_FORMAT=MLN","Sort=A","Dates=H","DateFormat=P","Fill=—","Direction=H","UseDPDF=Y")</f>
        <v>3819</v>
      </c>
      <c r="AD86" s="13" cm="1">
        <f t="array" ref="AD86">_xll.BDH("NUE US Equity","NET_DEBT","FQ2 2025","FQ2 2025","Currency=USD","Period=FQ","BEST_FPERIOD_OVERRIDE=FQ","FILING_STATUS=MR","SCALING_FORMAT=MLN","Sort=A","Dates=H","DateFormat=P","Fill=—","Direction=H","UseDPDF=Y")</f>
        <v>4398</v>
      </c>
      <c r="AE86" s="13" cm="1">
        <f t="array" ref="AE86">_xll.BDH("NUE US Equity","NET_DEBT","FQ3 2025","FQ3 2025","Currency=USD","Period=FQ","BEST_FPERIOD_OVERRIDE=FQ","FILING_STATUS=MR","SCALING_FORMAT=MLN","Sort=A","Dates=H","DateFormat=P","Fill=—","Direction=H","UseDPDF=Y")</f>
        <v>4108</v>
      </c>
      <c r="AF86" s="13" cm="1">
        <f t="array" ref="AF86">_xll.BDH("NUE US Equity","NET_DEBT","FQ4 2025","FQ4 2025","Currency=USD","Period=FQ","BEST_FPERIOD_OVERRIDE=FQ","FILING_STATUS=MR","SCALING_FORMAT=MLN","Sort=A","Dates=H","DateFormat=P","Fill=—","Direction=H","UseDPDF=Y")</f>
        <v>4422</v>
      </c>
    </row>
    <row r="87" spans="1:32" x14ac:dyDescent="0.25">
      <c r="A87" s="10" t="s">
        <v>216</v>
      </c>
      <c r="B87" s="10" t="s">
        <v>217</v>
      </c>
      <c r="C87" s="14" cm="1">
        <f t="array" ref="C87">_xll.BDH("NUE US Equity","NET_DEBT_TO_SHRHLDR_EQTY","FQ3 2018","FQ3 2018","Currency=USD","Period=FQ","BEST_FPERIOD_OVERRIDE=FQ","FILING_STATUS=MR","Sort=A","Dates=H","DateFormat=P","Fill=—","Direction=H","UseDPDF=Y")</f>
        <v>23.1309</v>
      </c>
      <c r="D87" s="14" cm="1">
        <f t="array" ref="D87">_xll.BDH("NUE US Equity","NET_DEBT_TO_SHRHLDR_EQTY","FQ4 2018","FQ4 2018","Currency=USD","Period=FQ","BEST_FPERIOD_OVERRIDE=FQ","FILING_STATUS=MR","Sort=A","Dates=H","DateFormat=P","Fill=—","Direction=H","UseDPDF=Y")</f>
        <v>28.35</v>
      </c>
      <c r="E87" s="14" cm="1">
        <f t="array" ref="E87">_xll.BDH("NUE US Equity","NET_DEBT_TO_SHRHLDR_EQTY","FQ1 2019","FQ1 2019","Currency=USD","Period=FQ","BEST_FPERIOD_OVERRIDE=FQ","FILING_STATUS=MR","Sort=A","Dates=H","DateFormat=P","Fill=—","Direction=H","UseDPDF=Y")</f>
        <v>27.4192</v>
      </c>
      <c r="F87" s="14" cm="1">
        <f t="array" ref="F87">_xll.BDH("NUE US Equity","NET_DEBT_TO_SHRHLDR_EQTY","FQ2 2019","FQ2 2019","Currency=USD","Period=FQ","BEST_FPERIOD_OVERRIDE=FQ","FILING_STATUS=MR","Sort=A","Dates=H","DateFormat=P","Fill=—","Direction=H","UseDPDF=Y")</f>
        <v>27.888100000000001</v>
      </c>
      <c r="G87" s="14" cm="1">
        <f t="array" ref="G87">_xll.BDH("NUE US Equity","NET_DEBT_TO_SHRHLDR_EQTY","FQ3 2019","FQ3 2019","Currency=USD","Period=FQ","BEST_FPERIOD_OVERRIDE=FQ","FILING_STATUS=MR","Sort=A","Dates=H","DateFormat=P","Fill=—","Direction=H","UseDPDF=Y")</f>
        <v>23.967199999999998</v>
      </c>
      <c r="H87" s="14" cm="1">
        <f t="array" ref="H87">_xll.BDH("NUE US Equity","NET_DEBT_TO_SHRHLDR_EQTY","FQ4 2019","FQ4 2019","Currency=USD","Period=FQ","BEST_FPERIOD_OVERRIDE=FQ","FILING_STATUS=MR","Sort=A","Dates=H","DateFormat=P","Fill=—","Direction=H","UseDPDF=Y")</f>
        <v>25.2624</v>
      </c>
      <c r="I87" s="14" cm="1">
        <f t="array" ref="I87">_xll.BDH("NUE US Equity","NET_DEBT_TO_SHRHLDR_EQTY","FQ1 2020","FQ1 2020","Currency=USD","Period=FQ","BEST_FPERIOD_OVERRIDE=FQ","FILING_STATUS=MR","Sort=A","Dates=H","DateFormat=P","Fill=—","Direction=H","UseDPDF=Y")</f>
        <v>27.696000000000002</v>
      </c>
      <c r="J87" s="14" cm="1">
        <f t="array" ref="J87">_xll.BDH("NUE US Equity","NET_DEBT_TO_SHRHLDR_EQTY","FQ2 2020","FQ2 2020","Currency=USD","Period=FQ","BEST_FPERIOD_OVERRIDE=FQ","FILING_STATUS=MR","Sort=A","Dates=H","DateFormat=P","Fill=—","Direction=H","UseDPDF=Y")</f>
        <v>21.994800000000001</v>
      </c>
      <c r="K87" s="14" cm="1">
        <f t="array" ref="K87">_xll.BDH("NUE US Equity","NET_DEBT_TO_SHRHLDR_EQTY","FQ3 2020","FQ3 2020","Currency=USD","Period=FQ","BEST_FPERIOD_OVERRIDE=FQ","FILING_STATUS=MR","Sort=A","Dates=H","DateFormat=P","Fill=—","Direction=H","UseDPDF=Y")</f>
        <v>20.9709</v>
      </c>
      <c r="L87" s="14" cm="1">
        <f t="array" ref="L87">_xll.BDH("NUE US Equity","NET_DEBT_TO_SHRHLDR_EQTY","FQ4 2020","FQ4 2020","Currency=USD","Period=FQ","BEST_FPERIOD_OVERRIDE=FQ","FILING_STATUS=MR","Sort=A","Dates=H","DateFormat=P","Fill=—","Direction=H","UseDPDF=Y")</f>
        <v>22.070799999999998</v>
      </c>
      <c r="M87" s="14" cm="1">
        <f t="array" ref="M87">_xll.BDH("NUE US Equity","NET_DEBT_TO_SHRHLDR_EQTY","FQ1 2021","FQ1 2021","Currency=USD","Period=FQ","BEST_FPERIOD_OVERRIDE=FQ","FILING_STATUS=MR","Sort=A","Dates=H","DateFormat=P","Fill=—","Direction=H","UseDPDF=Y")</f>
        <v>20.8794</v>
      </c>
      <c r="N87" s="14" cm="1">
        <f t="array" ref="N87">_xll.BDH("NUE US Equity","NET_DEBT_TO_SHRHLDR_EQTY","FQ2 2021","FQ2 2021","Currency=USD","Period=FQ","BEST_FPERIOD_OVERRIDE=FQ","FILING_STATUS=MR","Sort=A","Dates=H","DateFormat=P","Fill=—","Direction=H","UseDPDF=Y")</f>
        <v>17.838000000000001</v>
      </c>
      <c r="O87" s="14" cm="1">
        <f t="array" ref="O87">_xll.BDH("NUE US Equity","NET_DEBT_TO_SHRHLDR_EQTY","FQ3 2021","FQ3 2021","Currency=USD","Period=FQ","BEST_FPERIOD_OVERRIDE=FQ","FILING_STATUS=MR","Sort=A","Dates=H","DateFormat=P","Fill=—","Direction=H","UseDPDF=Y")</f>
        <v>26.209299999999999</v>
      </c>
      <c r="P87" s="14" cm="1">
        <f t="array" ref="P87">_xll.BDH("NUE US Equity","NET_DEBT_TO_SHRHLDR_EQTY","FQ4 2021","FQ4 2021","Currency=USD","Period=FQ","BEST_FPERIOD_OVERRIDE=FQ","FILING_STATUS=MR","Sort=A","Dates=H","DateFormat=P","Fill=—","Direction=H","UseDPDF=Y")</f>
        <v>22.876000000000001</v>
      </c>
      <c r="Q87" s="14" cm="1">
        <f t="array" ref="Q87">_xll.BDH("NUE US Equity","NET_DEBT_TO_SHRHLDR_EQTY","FQ1 2022","FQ1 2022","Currency=USD","Period=FQ","BEST_FPERIOD_OVERRIDE=FQ","FILING_STATUS=MR","Sort=A","Dates=H","DateFormat=P","Fill=—","Direction=H","UseDPDF=Y")</f>
        <v>16.4544</v>
      </c>
      <c r="R87" s="14" cm="1">
        <f t="array" ref="R87">_xll.BDH("NUE US Equity","NET_DEBT_TO_SHRHLDR_EQTY","FQ2 2022","FQ2 2022","Currency=USD","Period=FQ","BEST_FPERIOD_OVERRIDE=FQ","FILING_STATUS=MR","Sort=A","Dates=H","DateFormat=P","Fill=—","Direction=H","UseDPDF=Y")</f>
        <v>27.924900000000001</v>
      </c>
      <c r="S87" s="14" cm="1">
        <f t="array" ref="S87">_xll.BDH("NUE US Equity","NET_DEBT_TO_SHRHLDR_EQTY","FQ3 2022","FQ3 2022","Currency=USD","Period=FQ","BEST_FPERIOD_OVERRIDE=FQ","FILING_STATUS=MR","Sort=A","Dates=H","DateFormat=P","Fill=—","Direction=H","UseDPDF=Y")</f>
        <v>17.4419</v>
      </c>
      <c r="T87" s="14" cm="1">
        <f t="array" ref="T87">_xll.BDH("NUE US Equity","NET_DEBT_TO_SHRHLDR_EQTY","FQ4 2022","FQ4 2022","Currency=USD","Period=FQ","BEST_FPERIOD_OVERRIDE=FQ","FILING_STATUS=MR","Sort=A","Dates=H","DateFormat=P","Fill=—","Direction=H","UseDPDF=Y")</f>
        <v>10.8688</v>
      </c>
      <c r="U87" s="14" cm="1">
        <f t="array" ref="U87">_xll.BDH("NUE US Equity","NET_DEBT_TO_SHRHLDR_EQTY","FQ1 2023","FQ1 2023","Currency=USD","Period=FQ","BEST_FPERIOD_OVERRIDE=FQ","FILING_STATUS=MR","Sort=A","Dates=H","DateFormat=P","Fill=—","Direction=H","UseDPDF=Y")</f>
        <v>10.301600000000001</v>
      </c>
      <c r="V87" s="14" cm="1">
        <f t="array" ref="V87">_xll.BDH("NUE US Equity","NET_DEBT_TO_SHRHLDR_EQTY","FQ2 2023","FQ2 2023","Currency=USD","Period=FQ","BEST_FPERIOD_OVERRIDE=FQ","FILING_STATUS=MR","Sort=A","Dates=H","DateFormat=P","Fill=—","Direction=H","UseDPDF=Y")</f>
        <v>6.1986999999999997</v>
      </c>
      <c r="W87" s="14" cm="1">
        <f t="array" ref="W87">_xll.BDH("NUE US Equity","NET_DEBT_TO_SHRHLDR_EQTY","FQ3 2023","FQ3 2023","Currency=USD","Period=FQ","BEST_FPERIOD_OVERRIDE=FQ","FILING_STATUS=MR","Sort=A","Dates=H","DateFormat=P","Fill=—","Direction=H","UseDPDF=Y")</f>
        <v>-0.17499999999999999</v>
      </c>
      <c r="X87" s="14" cm="1">
        <f t="array" ref="X87">_xll.BDH("NUE US Equity","NET_DEBT_TO_SHRHLDR_EQTY","FQ4 2023","FQ4 2023","Currency=USD","Period=FQ","BEST_FPERIOD_OVERRIDE=FQ","FILING_STATUS=MR","Sort=A","Dates=H","DateFormat=P","Fill=—","Direction=H","UseDPDF=Y")</f>
        <v>3.3300000000000003E-2</v>
      </c>
      <c r="Y87" s="14" cm="1">
        <f t="array" ref="Y87">_xll.BDH("NUE US Equity","NET_DEBT_TO_SHRHLDR_EQTY","FQ1 2024","FQ1 2024","Currency=USD","Period=FQ","BEST_FPERIOD_OVERRIDE=FQ","FILING_STATUS=MR","Sort=A","Dates=H","DateFormat=P","Fill=—","Direction=H","UseDPDF=Y")</f>
        <v>6.0412999999999997</v>
      </c>
      <c r="Z87" s="14" cm="1">
        <f t="array" ref="Z87">_xll.BDH("NUE US Equity","NET_DEBT_TO_SHRHLDR_EQTY","FQ2 2024","FQ2 2024","Currency=USD","Period=FQ","BEST_FPERIOD_OVERRIDE=FQ","FILING_STATUS=MR","Sort=A","Dates=H","DateFormat=P","Fill=—","Direction=H","UseDPDF=Y")</f>
        <v>6.6970000000000001</v>
      </c>
      <c r="AA87" s="14" cm="1">
        <f t="array" ref="AA87">_xll.BDH("NUE US Equity","NET_DEBT_TO_SHRHLDR_EQTY","FQ3 2024","FQ3 2024","Currency=USD","Period=FQ","BEST_FPERIOD_OVERRIDE=FQ","FILING_STATUS=MR","Sort=A","Dates=H","DateFormat=P","Fill=—","Direction=H","UseDPDF=Y")</f>
        <v>9.6518999999999995</v>
      </c>
      <c r="AB87" s="14" cm="1">
        <f t="array" ref="AB87">_xll.BDH("NUE US Equity","NET_DEBT_TO_SHRHLDR_EQTY","FQ4 2024","FQ4 2024","Currency=USD","Period=FQ","BEST_FPERIOD_OVERRIDE=FQ","FILING_STATUS=MR","Sort=A","Dates=H","DateFormat=P","Fill=—","Direction=H","UseDPDF=Y")</f>
        <v>14.5632</v>
      </c>
      <c r="AC87" s="14" cm="1">
        <f t="array" ref="AC87">_xll.BDH("NUE US Equity","NET_DEBT_TO_SHRHLDR_EQTY","FQ1 2025","FQ1 2025","Currency=USD","Period=FQ","BEST_FPERIOD_OVERRIDE=FQ","FILING_STATUS=MR","Sort=A","Dates=H","DateFormat=P","Fill=—","Direction=H","UseDPDF=Y")</f>
        <v>18.0867</v>
      </c>
      <c r="AD87" s="14" cm="1">
        <f t="array" ref="AD87">_xll.BDH("NUE US Equity","NET_DEBT_TO_SHRHLDR_EQTY","FQ2 2025","FQ2 2025","Currency=USD","Period=FQ","BEST_FPERIOD_OVERRIDE=FQ","FILING_STATUS=MR","Sort=A","Dates=H","DateFormat=P","Fill=—","Direction=H","UseDPDF=Y")</f>
        <v>20.4634</v>
      </c>
      <c r="AE87" s="14" cm="1">
        <f t="array" ref="AE87">_xll.BDH("NUE US Equity","NET_DEBT_TO_SHRHLDR_EQTY","FQ3 2025","FQ3 2025","Currency=USD","Period=FQ","BEST_FPERIOD_OVERRIDE=FQ","FILING_STATUS=MR","Sort=A","Dates=H","DateFormat=P","Fill=—","Direction=H","UseDPDF=Y")</f>
        <v>18.7315</v>
      </c>
      <c r="AF87" s="14" cm="1">
        <f t="array" ref="AF87">_xll.BDH("NUE US Equity","NET_DEBT_TO_SHRHLDR_EQTY","FQ4 2025","FQ4 2025","Currency=USD","Period=FQ","BEST_FPERIOD_OVERRIDE=FQ","FILING_STATUS=MR","Sort=A","Dates=H","DateFormat=P","Fill=—","Direction=H","UseDPDF=Y")</f>
        <v>19.987300000000001</v>
      </c>
    </row>
    <row r="88" spans="1:32" x14ac:dyDescent="0.25">
      <c r="A88" s="10" t="s">
        <v>218</v>
      </c>
      <c r="B88" s="10" t="s">
        <v>219</v>
      </c>
      <c r="C88" s="14" cm="1">
        <f t="array" ref="C88">_xll.BDH("NUE US Equity","TCE_RATIO","FQ3 2018","FQ3 2018","Currency=USD","Period=FQ","BEST_FPERIOD_OVERRIDE=FQ","FILING_STATUS=MR","Sort=A","Dates=H","DateFormat=P","Fill=—","Direction=H","UseDPDF=Y")</f>
        <v>45.240200000000002</v>
      </c>
      <c r="D88" s="14" cm="1">
        <f t="array" ref="D88">_xll.BDH("NUE US Equity","TCE_RATIO","FQ4 2018","FQ4 2018","Currency=USD","Period=FQ","BEST_FPERIOD_OVERRIDE=FQ","FILING_STATUS=MR","Sort=A","Dates=H","DateFormat=P","Fill=—","Direction=H","UseDPDF=Y")</f>
        <v>45.474600000000002</v>
      </c>
      <c r="E88" s="14" cm="1">
        <f t="array" ref="E88">_xll.BDH("NUE US Equity","TCE_RATIO","FQ1 2019","FQ1 2019","Currency=USD","Period=FQ","BEST_FPERIOD_OVERRIDE=FQ","FILING_STATUS=MR","Sort=A","Dates=H","DateFormat=P","Fill=—","Direction=H","UseDPDF=Y")</f>
        <v>47.188400000000001</v>
      </c>
      <c r="F88" s="14" cm="1">
        <f t="array" ref="F88">_xll.BDH("NUE US Equity","TCE_RATIO","FQ2 2019","FQ2 2019","Currency=USD","Period=FQ","BEST_FPERIOD_OVERRIDE=FQ","FILING_STATUS=MR","Sort=A","Dates=H","DateFormat=P","Fill=—","Direction=H","UseDPDF=Y")</f>
        <v>48.352499999999999</v>
      </c>
      <c r="G88" s="14" cm="1">
        <f t="array" ref="G88">_xll.BDH("NUE US Equity","TCE_RATIO","FQ3 2019","FQ3 2019","Currency=USD","Period=FQ","BEST_FPERIOD_OVERRIDE=FQ","FILING_STATUS=MR","Sort=A","Dates=H","DateFormat=P","Fill=—","Direction=H","UseDPDF=Y")</f>
        <v>48.203400000000002</v>
      </c>
      <c r="H88" s="14" cm="1">
        <f t="array" ref="H88">_xll.BDH("NUE US Equity","TCE_RATIO","FQ4 2019","FQ4 2019","Currency=USD","Period=FQ","BEST_FPERIOD_OVERRIDE=FQ","FILING_STATUS=MR","Sort=A","Dates=H","DateFormat=P","Fill=—","Direction=H","UseDPDF=Y")</f>
        <v>48.142400000000002</v>
      </c>
      <c r="I88" s="14" cm="1">
        <f t="array" ref="I88">_xll.BDH("NUE US Equity","TCE_RATIO","FQ1 2020","FQ1 2020","Currency=USD","Period=FQ","BEST_FPERIOD_OVERRIDE=FQ","FILING_STATUS=MR","Sort=A","Dates=H","DateFormat=P","Fill=—","Direction=H","UseDPDF=Y")</f>
        <v>48.561100000000003</v>
      </c>
      <c r="J88" s="14" cm="1">
        <f t="array" ref="J88">_xll.BDH("NUE US Equity","TCE_RATIO","FQ2 2020","FQ2 2020","Currency=USD","Period=FQ","BEST_FPERIOD_OVERRIDE=FQ","FILING_STATUS=MR","Sort=A","Dates=H","DateFormat=P","Fill=—","Direction=H","UseDPDF=Y")</f>
        <v>46.016599999999997</v>
      </c>
      <c r="K88" s="14" cm="1">
        <f t="array" ref="K88">_xll.BDH("NUE US Equity","TCE_RATIO","FQ3 2020","FQ3 2020","Currency=USD","Period=FQ","BEST_FPERIOD_OVERRIDE=FQ","FILING_STATUS=MR","Sort=A","Dates=H","DateFormat=P","Fill=—","Direction=H","UseDPDF=Y")</f>
        <v>44.626600000000003</v>
      </c>
      <c r="L88" s="14" cm="1">
        <f t="array" ref="L88">_xll.BDH("NUE US Equity","TCE_RATIO","FQ4 2020","FQ4 2020","Currency=USD","Period=FQ","BEST_FPERIOD_OVERRIDE=FQ","FILING_STATUS=MR","Sort=A","Dates=H","DateFormat=P","Fill=—","Direction=H","UseDPDF=Y")</f>
        <v>45.804000000000002</v>
      </c>
      <c r="M88" s="14" cm="1">
        <f t="array" ref="M88">_xll.BDH("NUE US Equity","TCE_RATIO","FQ1 2021","FQ1 2021","Currency=USD","Period=FQ","BEST_FPERIOD_OVERRIDE=FQ","FILING_STATUS=MR","Sort=A","Dates=H","DateFormat=P","Fill=—","Direction=H","UseDPDF=Y")</f>
        <v>46.827199999999998</v>
      </c>
      <c r="N88" s="14" cm="1">
        <f t="array" ref="N88">_xll.BDH("NUE US Equity","TCE_RATIO","FQ2 2021","FQ2 2021","Currency=USD","Period=FQ","BEST_FPERIOD_OVERRIDE=FQ","FILING_STATUS=MR","Sort=A","Dates=H","DateFormat=P","Fill=—","Direction=H","UseDPDF=Y")</f>
        <v>46.630400000000002</v>
      </c>
      <c r="O88" s="14" cm="1">
        <f t="array" ref="O88">_xll.BDH("NUE US Equity","TCE_RATIO","FQ3 2021","FQ3 2021","Currency=USD","Period=FQ","BEST_FPERIOD_OVERRIDE=FQ","FILING_STATUS=MR","Sort=A","Dates=H","DateFormat=P","Fill=—","Direction=H","UseDPDF=Y")</f>
        <v>45.084099999999999</v>
      </c>
      <c r="P88" s="14" cm="1">
        <f t="array" ref="P88">_xll.BDH("NUE US Equity","TCE_RATIO","FQ4 2021","FQ4 2021","Currency=USD","Period=FQ","BEST_FPERIOD_OVERRIDE=FQ","FILING_STATUS=MR","Sort=A","Dates=H","DateFormat=P","Fill=—","Direction=H","UseDPDF=Y")</f>
        <v>46.068399999999997</v>
      </c>
      <c r="Q88" s="14" cm="1">
        <f t="array" ref="Q88">_xll.BDH("NUE US Equity","TCE_RATIO","FQ1 2022","FQ1 2022","Currency=USD","Period=FQ","BEST_FPERIOD_OVERRIDE=FQ","FILING_STATUS=MR","Sort=A","Dates=H","DateFormat=P","Fill=—","Direction=H","UseDPDF=Y")</f>
        <v>45.558399999999999</v>
      </c>
      <c r="R88" s="14" cm="1">
        <f t="array" ref="R88">_xll.BDH("NUE US Equity","TCE_RATIO","FQ2 2022","FQ2 2022","Currency=USD","Period=FQ","BEST_FPERIOD_OVERRIDE=FQ","FILING_STATUS=MR","Sort=A","Dates=H","DateFormat=P","Fill=—","Direction=H","UseDPDF=Y")</f>
        <v>38.873199999999997</v>
      </c>
      <c r="S88" s="14" cm="1">
        <f t="array" ref="S88">_xll.BDH("NUE US Equity","TCE_RATIO","FQ3 2022","FQ3 2022","Currency=USD","Period=FQ","BEST_FPERIOD_OVERRIDE=FQ","FILING_STATUS=MR","Sort=A","Dates=H","DateFormat=P","Fill=—","Direction=H","UseDPDF=Y")</f>
        <v>41.991500000000002</v>
      </c>
      <c r="T88" s="14" cm="1">
        <f t="array" ref="T88">_xll.BDH("NUE US Equity","TCE_RATIO","FQ4 2022","FQ4 2022","Currency=USD","Period=FQ","BEST_FPERIOD_OVERRIDE=FQ","FILING_STATUS=MR","Sort=A","Dates=H","DateFormat=P","Fill=—","Direction=H","UseDPDF=Y")</f>
        <v>44.27</v>
      </c>
      <c r="U88" s="14" cm="1">
        <f t="array" ref="U88">_xll.BDH("NUE US Equity","TCE_RATIO","FQ1 2023","FQ1 2023","Currency=USD","Period=FQ","BEST_FPERIOD_OVERRIDE=FQ","FILING_STATUS=MR","Sort=A","Dates=H","DateFormat=P","Fill=—","Direction=H","UseDPDF=Y")</f>
        <v>47.227699999999999</v>
      </c>
      <c r="V88" s="14" cm="1">
        <f t="array" ref="V88">_xll.BDH("NUE US Equity","TCE_RATIO","FQ2 2023","FQ2 2023","Currency=USD","Period=FQ","BEST_FPERIOD_OVERRIDE=FQ","FILING_STATUS=MR","Sort=A","Dates=H","DateFormat=P","Fill=—","Direction=H","UseDPDF=Y")</f>
        <v>48.848199999999999</v>
      </c>
      <c r="W88" s="14" cm="1">
        <f t="array" ref="W88">_xll.BDH("NUE US Equity","TCE_RATIO","FQ3 2023","FQ3 2023","Currency=USD","Period=FQ","BEST_FPERIOD_OVERRIDE=FQ","FILING_STATUS=MR","Sort=A","Dates=H","DateFormat=P","Fill=—","Direction=H","UseDPDF=Y")</f>
        <v>49.254399999999997</v>
      </c>
      <c r="X88" s="14" cm="1">
        <f t="array" ref="X88">_xll.BDH("NUE US Equity","TCE_RATIO","FQ4 2023","FQ4 2023","Currency=USD","Period=FQ","BEST_FPERIOD_OVERRIDE=FQ","FILING_STATUS=MR","Sort=A","Dates=H","DateFormat=P","Fill=—","Direction=H","UseDPDF=Y")</f>
        <v>49.051600000000001</v>
      </c>
      <c r="Y88" s="14" cm="1">
        <f t="array" ref="Y88">_xll.BDH("NUE US Equity","TCE_RATIO","FQ1 2024","FQ1 2024","Currency=USD","Period=FQ","BEST_FPERIOD_OVERRIDE=FQ","FILING_STATUS=MR","Sort=A","Dates=H","DateFormat=P","Fill=—","Direction=H","UseDPDF=Y")</f>
        <v>50.8352</v>
      </c>
      <c r="Z88" s="14" cm="1">
        <f t="array" ref="Z88">_xll.BDH("NUE US Equity","TCE_RATIO","FQ2 2024","FQ2 2024","Currency=USD","Period=FQ","BEST_FPERIOD_OVERRIDE=FQ","FILING_STATUS=MR","Sort=A","Dates=H","DateFormat=P","Fill=—","Direction=H","UseDPDF=Y")</f>
        <v>50.387300000000003</v>
      </c>
      <c r="AA88" s="14" cm="1">
        <f t="array" ref="AA88">_xll.BDH("NUE US Equity","TCE_RATIO","FQ3 2024","FQ3 2024","Currency=USD","Period=FQ","BEST_FPERIOD_OVERRIDE=FQ","FILING_STATUS=MR","Sort=A","Dates=H","DateFormat=P","Fill=—","Direction=H","UseDPDF=Y")</f>
        <v>48.384700000000002</v>
      </c>
      <c r="AB88" s="14" cm="1">
        <f t="array" ref="AB88">_xll.BDH("NUE US Equity","TCE_RATIO","FQ4 2024","FQ4 2024","Currency=USD","Period=FQ","BEST_FPERIOD_OVERRIDE=FQ","FILING_STATUS=MR","Sort=A","Dates=H","DateFormat=P","Fill=—","Direction=H","UseDPDF=Y")</f>
        <v>48.540599999999998</v>
      </c>
      <c r="AC88" s="14" cm="1">
        <f t="array" ref="AC88">_xll.BDH("NUE US Equity","TCE_RATIO","FQ1 2025","FQ1 2025","Currency=USD","Period=FQ","BEST_FPERIOD_OVERRIDE=FQ","FILING_STATUS=MR","Sort=A","Dates=H","DateFormat=P","Fill=—","Direction=H","UseDPDF=Y")</f>
        <v>46.494500000000002</v>
      </c>
      <c r="AD88" s="14" cm="1">
        <f t="array" ref="AD88">_xll.BDH("NUE US Equity","TCE_RATIO","FQ2 2025","FQ2 2025","Currency=USD","Period=FQ","BEST_FPERIOD_OVERRIDE=FQ","FILING_STATUS=MR","Sort=A","Dates=H","DateFormat=P","Fill=—","Direction=H","UseDPDF=Y")</f>
        <v>48.617699999999999</v>
      </c>
      <c r="AE88" s="14" cm="1">
        <f t="array" ref="AE88">_xll.BDH("NUE US Equity","TCE_RATIO","FQ3 2025","FQ3 2025","Currency=USD","Period=FQ","BEST_FPERIOD_OVERRIDE=FQ","FILING_STATUS=MR","Sort=A","Dates=H","DateFormat=P","Fill=—","Direction=H","UseDPDF=Y")</f>
        <v>49.141199999999998</v>
      </c>
      <c r="AF88" s="14" cm="1">
        <f t="array" ref="AF88">_xll.BDH("NUE US Equity","TCE_RATIO","FQ4 2025","FQ4 2025","Currency=USD","Period=FQ","BEST_FPERIOD_OVERRIDE=FQ","FILING_STATUS=MR","Sort=A","Dates=H","DateFormat=P","Fill=—","Direction=H","UseDPDF=Y")</f>
        <v>49.267699999999998</v>
      </c>
    </row>
    <row r="89" spans="1:32" x14ac:dyDescent="0.25">
      <c r="A89" s="10" t="s">
        <v>220</v>
      </c>
      <c r="B89" s="10" t="s">
        <v>221</v>
      </c>
      <c r="C89" s="14" cm="1">
        <f t="array" ref="C89">_xll.BDH("NUE US Equity","CUR_RATIO","FQ3 2018","FQ3 2018","Currency=USD","Period=FQ","BEST_FPERIOD_OVERRIDE=FQ","FILING_STATUS=MR","Sort=A","Dates=H","DateFormat=P","Fill=—","Direction=H","UseDPDF=Y")</f>
        <v>3.15</v>
      </c>
      <c r="D89" s="14" cm="1">
        <f t="array" ref="D89">_xll.BDH("NUE US Equity","CUR_RATIO","FQ4 2018","FQ4 2018","Currency=USD","Period=FQ","BEST_FPERIOD_OVERRIDE=FQ","FILING_STATUS=MR","Sort=A","Dates=H","DateFormat=P","Fill=—","Direction=H","UseDPDF=Y")</f>
        <v>3.0775000000000001</v>
      </c>
      <c r="E89" s="14" cm="1">
        <f t="array" ref="E89">_xll.BDH("NUE US Equity","CUR_RATIO","FQ1 2019","FQ1 2019","Currency=USD","Period=FQ","BEST_FPERIOD_OVERRIDE=FQ","FILING_STATUS=MR","Sort=A","Dates=H","DateFormat=P","Fill=—","Direction=H","UseDPDF=Y")</f>
        <v>3.3685</v>
      </c>
      <c r="F89" s="14" cm="1">
        <f t="array" ref="F89">_xll.BDH("NUE US Equity","CUR_RATIO","FQ2 2019","FQ2 2019","Currency=USD","Period=FQ","BEST_FPERIOD_OVERRIDE=FQ","FILING_STATUS=MR","Sort=A","Dates=H","DateFormat=P","Fill=—","Direction=H","UseDPDF=Y")</f>
        <v>3.5569999999999999</v>
      </c>
      <c r="G89" s="14" cm="1">
        <f t="array" ref="G89">_xll.BDH("NUE US Equity","CUR_RATIO","FQ3 2019","FQ3 2019","Currency=USD","Period=FQ","BEST_FPERIOD_OVERRIDE=FQ","FILING_STATUS=MR","Sort=A","Dates=H","DateFormat=P","Fill=—","Direction=H","UseDPDF=Y")</f>
        <v>3.3582000000000001</v>
      </c>
      <c r="H89" s="14" cm="1">
        <f t="array" ref="H89">_xll.BDH("NUE US Equity","CUR_RATIO","FQ4 2019","FQ4 2019","Currency=USD","Period=FQ","BEST_FPERIOD_OVERRIDE=FQ","FILING_STATUS=MR","Sort=A","Dates=H","DateFormat=P","Fill=—","Direction=H","UseDPDF=Y")</f>
        <v>3.3389000000000002</v>
      </c>
      <c r="I89" s="14" cm="1">
        <f t="array" ref="I89">_xll.BDH("NUE US Equity","CUR_RATIO","FQ1 2020","FQ1 2020","Currency=USD","Period=FQ","BEST_FPERIOD_OVERRIDE=FQ","FILING_STATUS=MR","Sort=A","Dates=H","DateFormat=P","Fill=—","Direction=H","UseDPDF=Y")</f>
        <v>3.5371000000000001</v>
      </c>
      <c r="J89" s="14" cm="1">
        <f t="array" ref="J89">_xll.BDH("NUE US Equity","CUR_RATIO","FQ2 2020","FQ2 2020","Currency=USD","Period=FQ","BEST_FPERIOD_OVERRIDE=FQ","FILING_STATUS=MR","Sort=A","Dates=H","DateFormat=P","Fill=—","Direction=H","UseDPDF=Y")</f>
        <v>4.3943000000000003</v>
      </c>
      <c r="K89" s="14" cm="1">
        <f t="array" ref="K89">_xll.BDH("NUE US Equity","CUR_RATIO","FQ3 2020","FQ3 2020","Currency=USD","Period=FQ","BEST_FPERIOD_OVERRIDE=FQ","FILING_STATUS=MR","Sort=A","Dates=H","DateFormat=P","Fill=—","Direction=H","UseDPDF=Y")</f>
        <v>3.7778</v>
      </c>
      <c r="L89" s="14" cm="1">
        <f t="array" ref="L89">_xll.BDH("NUE US Equity","CUR_RATIO","FQ4 2020","FQ4 2020","Currency=USD","Period=FQ","BEST_FPERIOD_OVERRIDE=FQ","FILING_STATUS=MR","Sort=A","Dates=H","DateFormat=P","Fill=—","Direction=H","UseDPDF=Y")</f>
        <v>3.6107999999999998</v>
      </c>
      <c r="M89" s="14" cm="1">
        <f t="array" ref="M89">_xll.BDH("NUE US Equity","CUR_RATIO","FQ1 2021","FQ1 2021","Currency=USD","Period=FQ","BEST_FPERIOD_OVERRIDE=FQ","FILING_STATUS=MR","Sort=A","Dates=H","DateFormat=P","Fill=—","Direction=H","UseDPDF=Y")</f>
        <v>3.5042</v>
      </c>
      <c r="N89" s="14" cm="1">
        <f t="array" ref="N89">_xll.BDH("NUE US Equity","CUR_RATIO","FQ2 2021","FQ2 2021","Currency=USD","Period=FQ","BEST_FPERIOD_OVERRIDE=FQ","FILING_STATUS=MR","Sort=A","Dates=H","DateFormat=P","Fill=—","Direction=H","UseDPDF=Y")</f>
        <v>3.1072000000000002</v>
      </c>
      <c r="O89" s="14" cm="1">
        <f t="array" ref="O89">_xll.BDH("NUE US Equity","CUR_RATIO","FQ3 2021","FQ3 2021","Currency=USD","Period=FQ","BEST_FPERIOD_OVERRIDE=FQ","FILING_STATUS=MR","Sort=A","Dates=H","DateFormat=P","Fill=—","Direction=H","UseDPDF=Y")</f>
        <v>2.5270999999999999</v>
      </c>
      <c r="P89" s="14" cm="1">
        <f t="array" ref="P89">_xll.BDH("NUE US Equity","CUR_RATIO","FQ4 2021","FQ4 2021","Currency=USD","Period=FQ","BEST_FPERIOD_OVERRIDE=FQ","FILING_STATUS=MR","Sort=A","Dates=H","DateFormat=P","Fill=—","Direction=H","UseDPDF=Y")</f>
        <v>2.4817999999999998</v>
      </c>
      <c r="Q89" s="14" cm="1">
        <f t="array" ref="Q89">_xll.BDH("NUE US Equity","CUR_RATIO","FQ1 2022","FQ1 2022","Currency=USD","Period=FQ","BEST_FPERIOD_OVERRIDE=FQ","FILING_STATUS=MR","Sort=A","Dates=H","DateFormat=P","Fill=—","Direction=H","UseDPDF=Y")</f>
        <v>2.8792</v>
      </c>
      <c r="R89" s="14" cm="1">
        <f t="array" ref="R89">_xll.BDH("NUE US Equity","CUR_RATIO","FQ2 2022","FQ2 2022","Currency=USD","Period=FQ","BEST_FPERIOD_OVERRIDE=FQ","FILING_STATUS=MR","Sort=A","Dates=H","DateFormat=P","Fill=—","Direction=H","UseDPDF=Y")</f>
        <v>2.6185999999999998</v>
      </c>
      <c r="S89" s="14" cm="1">
        <f t="array" ref="S89">_xll.BDH("NUE US Equity","CUR_RATIO","FQ3 2022","FQ3 2022","Currency=USD","Period=FQ","BEST_FPERIOD_OVERRIDE=FQ","FILING_STATUS=MR","Sort=A","Dates=H","DateFormat=P","Fill=—","Direction=H","UseDPDF=Y")</f>
        <v>3.0992999999999999</v>
      </c>
      <c r="T89" s="14" cm="1">
        <f t="array" ref="T89">_xll.BDH("NUE US Equity","CUR_RATIO","FQ4 2022","FQ4 2022","Currency=USD","Period=FQ","BEST_FPERIOD_OVERRIDE=FQ","FILING_STATUS=MR","Sort=A","Dates=H","DateFormat=P","Fill=—","Direction=H","UseDPDF=Y")</f>
        <v>3.3932000000000002</v>
      </c>
      <c r="U89" s="14" cm="1">
        <f t="array" ref="U89">_xll.BDH("NUE US Equity","CUR_RATIO","FQ1 2023","FQ1 2023","Currency=USD","Period=FQ","BEST_FPERIOD_OVERRIDE=FQ","FILING_STATUS=MR","Sort=A","Dates=H","DateFormat=P","Fill=—","Direction=H","UseDPDF=Y")</f>
        <v>3.738</v>
      </c>
      <c r="V89" s="14" cm="1">
        <f t="array" ref="V89">_xll.BDH("NUE US Equity","CUR_RATIO","FQ2 2023","FQ2 2023","Currency=USD","Period=FQ","BEST_FPERIOD_OVERRIDE=FQ","FILING_STATUS=MR","Sort=A","Dates=H","DateFormat=P","Fill=—","Direction=H","UseDPDF=Y")</f>
        <v>3.8186</v>
      </c>
      <c r="W89" s="14" cm="1">
        <f t="array" ref="W89">_xll.BDH("NUE US Equity","CUR_RATIO","FQ3 2023","FQ3 2023","Currency=USD","Period=FQ","BEST_FPERIOD_OVERRIDE=FQ","FILING_STATUS=MR","Sort=A","Dates=H","DateFormat=P","Fill=—","Direction=H","UseDPDF=Y")</f>
        <v>3.7229999999999999</v>
      </c>
      <c r="X89" s="14" cm="1">
        <f t="array" ref="X89">_xll.BDH("NUE US Equity","CUR_RATIO","FQ4 2023","FQ4 2023","Currency=USD","Period=FQ","BEST_FPERIOD_OVERRIDE=FQ","FILING_STATUS=MR","Sort=A","Dates=H","DateFormat=P","Fill=—","Direction=H","UseDPDF=Y")</f>
        <v>3.5663999999999998</v>
      </c>
      <c r="Y89" s="14" cm="1">
        <f t="array" ref="Y89">_xll.BDH("NUE US Equity","CUR_RATIO","FQ1 2024","FQ1 2024","Currency=USD","Period=FQ","BEST_FPERIOD_OVERRIDE=FQ","FILING_STATUS=MR","Sort=A","Dates=H","DateFormat=P","Fill=—","Direction=H","UseDPDF=Y")</f>
        <v>4.0160999999999998</v>
      </c>
      <c r="Z89" s="14" cm="1">
        <f t="array" ref="Z89">_xll.BDH("NUE US Equity","CUR_RATIO","FQ2 2024","FQ2 2024","Currency=USD","Period=FQ","BEST_FPERIOD_OVERRIDE=FQ","FILING_STATUS=MR","Sort=A","Dates=H","DateFormat=P","Fill=—","Direction=H","UseDPDF=Y")</f>
        <v>2.9306000000000001</v>
      </c>
      <c r="AA89" s="14" cm="1">
        <f t="array" ref="AA89">_xll.BDH("NUE US Equity","CUR_RATIO","FQ3 2024","FQ3 2024","Currency=USD","Period=FQ","BEST_FPERIOD_OVERRIDE=FQ","FILING_STATUS=MR","Sort=A","Dates=H","DateFormat=P","Fill=—","Direction=H","UseDPDF=Y")</f>
        <v>2.5918999999999999</v>
      </c>
      <c r="AB89" s="14" cm="1">
        <f t="array" ref="AB89">_xll.BDH("NUE US Equity","CUR_RATIO","FQ4 2024","FQ4 2024","Currency=USD","Period=FQ","BEST_FPERIOD_OVERRIDE=FQ","FILING_STATUS=MR","Sort=A","Dates=H","DateFormat=P","Fill=—","Direction=H","UseDPDF=Y")</f>
        <v>2.5065</v>
      </c>
      <c r="AC89" s="14" cm="1">
        <f t="array" ref="AC89">_xll.BDH("NUE US Equity","CUR_RATIO","FQ1 2025","FQ1 2025","Currency=USD","Period=FQ","BEST_FPERIOD_OVERRIDE=FQ","FILING_STATUS=MR","Sort=A","Dates=H","DateFormat=P","Fill=—","Direction=H","UseDPDF=Y")</f>
        <v>2.5222000000000002</v>
      </c>
      <c r="AD89" s="14" cm="1">
        <f t="array" ref="AD89">_xll.BDH("NUE US Equity","CUR_RATIO","FQ2 2025","FQ2 2025","Currency=USD","Period=FQ","BEST_FPERIOD_OVERRIDE=FQ","FILING_STATUS=MR","Sort=A","Dates=H","DateFormat=P","Fill=—","Direction=H","UseDPDF=Y")</f>
        <v>2.8266</v>
      </c>
      <c r="AE89" s="14" cm="1">
        <f t="array" ref="AE89">_xll.BDH("NUE US Equity","CUR_RATIO","FQ3 2025","FQ3 2025","Currency=USD","Period=FQ","BEST_FPERIOD_OVERRIDE=FQ","FILING_STATUS=MR","Sort=A","Dates=H","DateFormat=P","Fill=—","Direction=H","UseDPDF=Y")</f>
        <v>2.7738</v>
      </c>
      <c r="AF89" s="14" cm="1">
        <f t="array" ref="AF89">_xll.BDH("NUE US Equity","CUR_RATIO","FQ4 2025","FQ4 2025","Currency=USD","Period=FQ","BEST_FPERIOD_OVERRIDE=FQ","FILING_STATUS=MR","Sort=A","Dates=H","DateFormat=P","Fill=—","Direction=H","UseDPDF=Y")</f>
        <v>2.9382999999999999</v>
      </c>
    </row>
    <row r="90" spans="1:32" x14ac:dyDescent="0.25">
      <c r="A90" s="10" t="s">
        <v>222</v>
      </c>
      <c r="B90" s="10" t="s">
        <v>223</v>
      </c>
      <c r="C90" s="14" cm="1">
        <f t="array" ref="C90">_xll.BDH("NUE US Equity","CASH_CONVERSION_CYCLE","FQ3 2018","FQ3 2018","Currency=USD","Period=FQ","BEST_FPERIOD_OVERRIDE=FQ","FILING_STATUS=MR","FA_ADJUSTED=GAAP","Sort=A","Dates=H","DateFormat=P","Fill=—","Direction=H","UseDPDF=Y")</f>
        <v>80.8703</v>
      </c>
      <c r="D90" s="14" cm="1">
        <f t="array" ref="D90">_xll.BDH("NUE US Equity","CASH_CONVERSION_CYCLE","FQ4 2018","FQ4 2018","Currency=USD","Period=FQ","BEST_FPERIOD_OVERRIDE=FQ","FILING_STATUS=MR","FA_ADJUSTED=GAAP","Sort=A","Dates=H","DateFormat=P","Fill=—","Direction=H","UseDPDF=Y")</f>
        <v>81.648700000000005</v>
      </c>
      <c r="E90" s="14" cm="1">
        <f t="array" ref="E90">_xll.BDH("NUE US Equity","CASH_CONVERSION_CYCLE","FQ1 2019","FQ1 2019","Currency=USD","Period=FQ","BEST_FPERIOD_OVERRIDE=FQ","FILING_STATUS=MR","FA_ADJUSTED=GAAP","Sort=A","Dates=H","DateFormat=P","Fill=—","Direction=H","UseDPDF=Y")</f>
        <v>81.781700000000001</v>
      </c>
      <c r="F90" s="14" cm="1">
        <f t="array" ref="F90">_xll.BDH("NUE US Equity","CASH_CONVERSION_CYCLE","FQ2 2019","FQ2 2019","Currency=USD","Period=FQ","BEST_FPERIOD_OVERRIDE=FQ","FILING_STATUS=MR","FA_ADJUSTED=GAAP","Sort=A","Dates=H","DateFormat=P","Fill=—","Direction=H","UseDPDF=Y")</f>
        <v>85.624600000000001</v>
      </c>
      <c r="G90" s="14" cm="1">
        <f t="array" ref="G90">_xll.BDH("NUE US Equity","CASH_CONVERSION_CYCLE","FQ3 2019","FQ3 2019","Currency=USD","Period=FQ","BEST_FPERIOD_OVERRIDE=FQ","FILING_STATUS=MR","FA_ADJUSTED=GAAP","Sort=A","Dates=H","DateFormat=P","Fill=—","Direction=H","UseDPDF=Y")</f>
        <v>86.237700000000004</v>
      </c>
      <c r="H90" s="14" cm="1">
        <f t="array" ref="H90">_xll.BDH("NUE US Equity","CASH_CONVERSION_CYCLE","FQ4 2019","FQ4 2019","Currency=USD","Period=FQ","BEST_FPERIOD_OVERRIDE=FQ","FILING_STATUS=MR","FA_ADJUSTED=GAAP","Sort=A","Dates=H","DateFormat=P","Fill=—","Direction=H","UseDPDF=Y")</f>
        <v>89.652100000000004</v>
      </c>
      <c r="I90" s="14" cm="1">
        <f t="array" ref="I90">_xll.BDH("NUE US Equity","CASH_CONVERSION_CYCLE","FQ1 2020","FQ1 2020","Currency=USD","Period=FQ","BEST_FPERIOD_OVERRIDE=FQ","FILING_STATUS=MR","FA_ADJUSTED=GAAP","Sort=A","Dates=H","DateFormat=P","Fill=—","Direction=H","UseDPDF=Y")</f>
        <v>92.833299999999994</v>
      </c>
      <c r="J90" s="14" cm="1">
        <f t="array" ref="J90">_xll.BDH("NUE US Equity","CASH_CONVERSION_CYCLE","FQ2 2020","FQ2 2020","Currency=USD","Period=FQ","BEST_FPERIOD_OVERRIDE=FQ","FILING_STATUS=MR","FA_ADJUSTED=GAAP","Sort=A","Dates=H","DateFormat=P","Fill=—","Direction=H","UseDPDF=Y")</f>
        <v>92.886600000000001</v>
      </c>
      <c r="K90" s="14" cm="1">
        <f t="array" ref="K90">_xll.BDH("NUE US Equity","CASH_CONVERSION_CYCLE","FQ3 2020","FQ3 2020","Currency=USD","Period=FQ","BEST_FPERIOD_OVERRIDE=FQ","FILING_STATUS=MR","FA_ADJUSTED=GAAP","Sort=A","Dates=H","DateFormat=P","Fill=—","Direction=H","UseDPDF=Y")</f>
        <v>89.2654</v>
      </c>
      <c r="L90" s="14" cm="1">
        <f t="array" ref="L90">_xll.BDH("NUE US Equity","CASH_CONVERSION_CYCLE","FQ4 2020","FQ4 2020","Currency=USD","Period=FQ","BEST_FPERIOD_OVERRIDE=FQ","FILING_STATUS=MR","FA_ADJUSTED=GAAP","Sort=A","Dates=H","DateFormat=P","Fill=—","Direction=H","UseDPDF=Y")</f>
        <v>88.908900000000003</v>
      </c>
      <c r="M90" s="14" cm="1">
        <f t="array" ref="M90">_xll.BDH("NUE US Equity","CASH_CONVERSION_CYCLE","FQ1 2021","FQ1 2021","Currency=USD","Period=FQ","BEST_FPERIOD_OVERRIDE=FQ","FILING_STATUS=MR","FA_ADJUSTED=GAAP","Sort=A","Dates=H","DateFormat=P","Fill=—","Direction=H","UseDPDF=Y")</f>
        <v>97.360900000000001</v>
      </c>
      <c r="N90" s="14" cm="1">
        <f t="array" ref="N90">_xll.BDH("NUE US Equity","CASH_CONVERSION_CYCLE","FQ2 2021","FQ2 2021","Currency=USD","Period=FQ","BEST_FPERIOD_OVERRIDE=FQ","FILING_STATUS=MR","FA_ADJUSTED=GAAP","Sort=A","Dates=H","DateFormat=P","Fill=—","Direction=H","UseDPDF=Y")</f>
        <v>87.767200000000003</v>
      </c>
      <c r="O90" s="14" cm="1">
        <f t="array" ref="O90">_xll.BDH("NUE US Equity","CASH_CONVERSION_CYCLE","FQ3 2021","FQ3 2021","Currency=USD","Period=FQ","BEST_FPERIOD_OVERRIDE=FQ","FILING_STATUS=MR","FA_ADJUSTED=GAAP","Sort=A","Dates=H","DateFormat=P","Fill=—","Direction=H","UseDPDF=Y")</f>
        <v>84.327399999999997</v>
      </c>
      <c r="P90" s="14" cm="1">
        <f t="array" ref="P90">_xll.BDH("NUE US Equity","CASH_CONVERSION_CYCLE","FQ4 2021","FQ4 2021","Currency=USD","Period=FQ","BEST_FPERIOD_OVERRIDE=FQ","FILING_STATUS=MR","FA_ADJUSTED=GAAP","Sort=A","Dates=H","DateFormat=P","Fill=—","Direction=H","UseDPDF=Y")</f>
        <v>77.1738</v>
      </c>
      <c r="Q90" s="14" cm="1">
        <f t="array" ref="Q90">_xll.BDH("NUE US Equity","CASH_CONVERSION_CYCLE","FQ1 2022","FQ1 2022","Currency=USD","Period=FQ","BEST_FPERIOD_OVERRIDE=FQ","FILING_STATUS=MR","FA_ADJUSTED=GAAP","Sort=A","Dates=H","DateFormat=P","Fill=—","Direction=H","UseDPDF=Y")</f>
        <v>80.465299999999999</v>
      </c>
      <c r="R90" s="14" cm="1">
        <f t="array" ref="R90">_xll.BDH("NUE US Equity","CASH_CONVERSION_CYCLE","FQ2 2022","FQ2 2022","Currency=USD","Period=FQ","BEST_FPERIOD_OVERRIDE=FQ","FILING_STATUS=MR","FA_ADJUSTED=GAAP","Sort=A","Dates=H","DateFormat=P","Fill=—","Direction=H","UseDPDF=Y")</f>
        <v>81.795500000000004</v>
      </c>
      <c r="S90" s="14" cm="1">
        <f t="array" ref="S90">_xll.BDH("NUE US Equity","CASH_CONVERSION_CYCLE","FQ3 2022","FQ3 2022","Currency=USD","Period=FQ","BEST_FPERIOD_OVERRIDE=FQ","FILING_STATUS=MR","FA_ADJUSTED=GAAP","Sort=A","Dates=H","DateFormat=P","Fill=—","Direction=H","UseDPDF=Y")</f>
        <v>85.338999999999999</v>
      </c>
      <c r="T90" s="14" cm="1">
        <f t="array" ref="T90">_xll.BDH("NUE US Equity","CASH_CONVERSION_CYCLE","FQ4 2022","FQ4 2022","Currency=USD","Period=FQ","BEST_FPERIOD_OVERRIDE=FQ","FILING_STATUS=MR","FA_ADJUSTED=GAAP","Sort=A","Dates=H","DateFormat=P","Fill=—","Direction=H","UseDPDF=Y")</f>
        <v>81.613</v>
      </c>
      <c r="U90" s="14" cm="1">
        <f t="array" ref="U90">_xll.BDH("NUE US Equity","CASH_CONVERSION_CYCLE","FQ1 2023","FQ1 2023","Currency=USD","Period=FQ","BEST_FPERIOD_OVERRIDE=FQ","FILING_STATUS=MR","FA_ADJUSTED=GAAP","Sort=A","Dates=H","DateFormat=P","Fill=—","Direction=H","UseDPDF=Y")</f>
        <v>85.304400000000001</v>
      </c>
      <c r="V90" s="14" cm="1">
        <f t="array" ref="V90">_xll.BDH("NUE US Equity","CASH_CONVERSION_CYCLE","FQ2 2023","FQ2 2023","Currency=USD","Period=FQ","BEST_FPERIOD_OVERRIDE=FQ","FILING_STATUS=MR","FA_ADJUSTED=GAAP","Sort=A","Dates=H","DateFormat=P","Fill=—","Direction=H","UseDPDF=Y")</f>
        <v>93.953999999999994</v>
      </c>
      <c r="W90" s="14" cm="1">
        <f t="array" ref="W90">_xll.BDH("NUE US Equity","CASH_CONVERSION_CYCLE","FQ3 2023","FQ3 2023","Currency=USD","Period=FQ","BEST_FPERIOD_OVERRIDE=FQ","FILING_STATUS=MR","FA_ADJUSTED=GAAP","Sort=A","Dates=H","DateFormat=P","Fill=—","Direction=H","UseDPDF=Y")</f>
        <v>89.120800000000003</v>
      </c>
      <c r="X90" s="14" cm="1">
        <f t="array" ref="X90">_xll.BDH("NUE US Equity","CASH_CONVERSION_CYCLE","FQ4 2023","FQ4 2023","Currency=USD","Period=FQ","BEST_FPERIOD_OVERRIDE=FQ","FILING_STATUS=MR","FA_ADJUSTED=GAAP","Sort=A","Dates=H","DateFormat=P","Fill=—","Direction=H","UseDPDF=Y")</f>
        <v>84.4649</v>
      </c>
      <c r="Y90" s="14" cm="1">
        <f t="array" ref="Y90">_xll.BDH("NUE US Equity","CASH_CONVERSION_CYCLE","FQ1 2024","FQ1 2024","Currency=USD","Period=FQ","BEST_FPERIOD_OVERRIDE=FQ","FILING_STATUS=MR","FA_ADJUSTED=GAAP","Sort=A","Dates=H","DateFormat=P","Fill=—","Direction=H","UseDPDF=Y")</f>
        <v>87.635199999999998</v>
      </c>
      <c r="Z90" s="14" cm="1">
        <f t="array" ref="Z90">_xll.BDH("NUE US Equity","CASH_CONVERSION_CYCLE","FQ2 2024","FQ2 2024","Currency=USD","Period=FQ","BEST_FPERIOD_OVERRIDE=FQ","FILING_STATUS=MR","FA_ADJUSTED=GAAP","Sort=A","Dates=H","DateFormat=P","Fill=—","Direction=H","UseDPDF=Y")</f>
        <v>88.296000000000006</v>
      </c>
      <c r="AA90" s="14" cm="1">
        <f t="array" ref="AA90">_xll.BDH("NUE US Equity","CASH_CONVERSION_CYCLE","FQ3 2024","FQ3 2024","Currency=USD","Period=FQ","BEST_FPERIOD_OVERRIDE=FQ","FILING_STATUS=MR","FA_ADJUSTED=GAAP","Sort=A","Dates=H","DateFormat=P","Fill=—","Direction=H","UseDPDF=Y")</f>
        <v>82.331000000000003</v>
      </c>
      <c r="AB90" s="14" cm="1">
        <f t="array" ref="AB90">_xll.BDH("NUE US Equity","CASH_CONVERSION_CYCLE","FQ4 2024","FQ4 2024","Currency=USD","Period=FQ","BEST_FPERIOD_OVERRIDE=FQ","FILING_STATUS=MR","FA_ADJUSTED=GAAP","Sort=A","Dates=H","DateFormat=P","Fill=—","Direction=H","UseDPDF=Y")</f>
        <v>79.976500000000001</v>
      </c>
      <c r="AC90" s="14" cm="1">
        <f t="array" ref="AC90">_xll.BDH("NUE US Equity","CASH_CONVERSION_CYCLE","FQ1 2025","FQ1 2025","Currency=USD","Period=FQ","BEST_FPERIOD_OVERRIDE=FQ","FILING_STATUS=MR","FA_ADJUSTED=GAAP","Sort=A","Dates=H","DateFormat=P","Fill=—","Direction=H","UseDPDF=Y")</f>
        <v>84.367900000000006</v>
      </c>
      <c r="AD90" s="14" cm="1">
        <f t="array" ref="AD90">_xll.BDH("NUE US Equity","CASH_CONVERSION_CYCLE","FQ2 2025","FQ2 2025","Currency=USD","Period=FQ","BEST_FPERIOD_OVERRIDE=FQ","FILING_STATUS=MR","FA_ADJUSTED=GAAP","Sort=A","Dates=H","DateFormat=P","Fill=—","Direction=H","UseDPDF=Y")</f>
        <v>84.990399999999994</v>
      </c>
      <c r="AE90" s="14" cm="1">
        <f t="array" ref="AE90">_xll.BDH("NUE US Equity","CASH_CONVERSION_CYCLE","FQ3 2025","FQ3 2025","Currency=USD","Period=FQ","BEST_FPERIOD_OVERRIDE=FQ","FILING_STATUS=MR","FA_ADJUSTED=GAAP","Sort=A","Dates=H","DateFormat=P","Fill=—","Direction=H","UseDPDF=Y")</f>
        <v>79.047200000000004</v>
      </c>
      <c r="AF90" s="14" cm="1">
        <f t="array" ref="AF90">_xll.BDH("NUE US Equity","CASH_CONVERSION_CYCLE","FQ4 2025","FQ4 2025","Currency=USD","Period=FQ","BEST_FPERIOD_OVERRIDE=FQ","FILING_STATUS=MR","FA_ADJUSTED=GAAP","Sort=A","Dates=H","DateFormat=P","Fill=—","Direction=H","UseDPDF=Y")</f>
        <v>76.415300000000002</v>
      </c>
    </row>
    <row r="91" spans="1:32" x14ac:dyDescent="0.25">
      <c r="A91" s="10" t="s">
        <v>224</v>
      </c>
      <c r="B91" s="10" t="s">
        <v>225</v>
      </c>
      <c r="C91" s="14" t="str" cm="1">
        <f t="array" ref="C91">_xll.BDH("NUE US Equity","NUM_OF_EMPLOYEES","FQ3 2018","FQ3 2018","Currency=USD","Period=FQ","BEST_FPERIOD_OVERRIDE=FQ","FILING_STATUS=MR","Sort=A","Dates=H","DateFormat=P","Fill=—","Direction=H","UseDPDF=Y")</f>
        <v>—</v>
      </c>
      <c r="D91" s="14" cm="1">
        <f t="array" ref="D91">_xll.BDH("NUE US Equity","NUM_OF_EMPLOYEES","FQ4 2018","FQ4 2018","Currency=USD","Period=FQ","BEST_FPERIOD_OVERRIDE=FQ","FILING_STATUS=MR","Sort=A","Dates=H","DateFormat=P","Fill=—","Direction=H","UseDPDF=Y")</f>
        <v>26800</v>
      </c>
      <c r="E91" s="14" t="str" cm="1">
        <f t="array" ref="E91">_xll.BDH("NUE US Equity","NUM_OF_EMPLOYEES","FQ1 2019","FQ1 2019","Currency=USD","Period=FQ","BEST_FPERIOD_OVERRIDE=FQ","FILING_STATUS=MR","Sort=A","Dates=H","DateFormat=P","Fill=—","Direction=H","UseDPDF=Y")</f>
        <v>—</v>
      </c>
      <c r="F91" s="14" t="str" cm="1">
        <f t="array" ref="F91">_xll.BDH("NUE US Equity","NUM_OF_EMPLOYEES","FQ2 2019","FQ2 2019","Currency=USD","Period=FQ","BEST_FPERIOD_OVERRIDE=FQ","FILING_STATUS=MR","Sort=A","Dates=H","DateFormat=P","Fill=—","Direction=H","UseDPDF=Y")</f>
        <v>—</v>
      </c>
      <c r="G91" s="14" t="str" cm="1">
        <f t="array" ref="G91">_xll.BDH("NUE US Equity","NUM_OF_EMPLOYEES","FQ3 2019","FQ3 2019","Currency=USD","Period=FQ","BEST_FPERIOD_OVERRIDE=FQ","FILING_STATUS=MR","Sort=A","Dates=H","DateFormat=P","Fill=—","Direction=H","UseDPDF=Y")</f>
        <v>—</v>
      </c>
      <c r="H91" s="14" cm="1">
        <f t="array" ref="H91">_xll.BDH("NUE US Equity","NUM_OF_EMPLOYEES","FQ4 2019","FQ4 2019","Currency=USD","Period=FQ","BEST_FPERIOD_OVERRIDE=FQ","FILING_STATUS=MR","Sort=A","Dates=H","DateFormat=P","Fill=—","Direction=H","UseDPDF=Y")</f>
        <v>26800</v>
      </c>
      <c r="I91" s="14" t="str" cm="1">
        <f t="array" ref="I91">_xll.BDH("NUE US Equity","NUM_OF_EMPLOYEES","FQ1 2020","FQ1 2020","Currency=USD","Period=FQ","BEST_FPERIOD_OVERRIDE=FQ","FILING_STATUS=MR","Sort=A","Dates=H","DateFormat=P","Fill=—","Direction=H","UseDPDF=Y")</f>
        <v>—</v>
      </c>
      <c r="J91" s="14" t="str" cm="1">
        <f t="array" ref="J91">_xll.BDH("NUE US Equity","NUM_OF_EMPLOYEES","FQ2 2020","FQ2 2020","Currency=USD","Period=FQ","BEST_FPERIOD_OVERRIDE=FQ","FILING_STATUS=MR","Sort=A","Dates=H","DateFormat=P","Fill=—","Direction=H","UseDPDF=Y")</f>
        <v>—</v>
      </c>
      <c r="K91" s="14" t="str" cm="1">
        <f t="array" ref="K91">_xll.BDH("NUE US Equity","NUM_OF_EMPLOYEES","FQ3 2020","FQ3 2020","Currency=USD","Period=FQ","BEST_FPERIOD_OVERRIDE=FQ","FILING_STATUS=MR","Sort=A","Dates=H","DateFormat=P","Fill=—","Direction=H","UseDPDF=Y")</f>
        <v>—</v>
      </c>
      <c r="L91" s="14" cm="1">
        <f t="array" ref="L91">_xll.BDH("NUE US Equity","NUM_OF_EMPLOYEES","FQ4 2020","FQ4 2020","Currency=USD","Period=FQ","BEST_FPERIOD_OVERRIDE=FQ","FILING_STATUS=MR","Sort=A","Dates=H","DateFormat=P","Fill=—","Direction=H","UseDPDF=Y")</f>
        <v>26400</v>
      </c>
      <c r="M91" s="14" t="str" cm="1">
        <f t="array" ref="M91">_xll.BDH("NUE US Equity","NUM_OF_EMPLOYEES","FQ1 2021","FQ1 2021","Currency=USD","Period=FQ","BEST_FPERIOD_OVERRIDE=FQ","FILING_STATUS=MR","Sort=A","Dates=H","DateFormat=P","Fill=—","Direction=H","UseDPDF=Y")</f>
        <v>—</v>
      </c>
      <c r="N91" s="14" t="str" cm="1">
        <f t="array" ref="N91">_xll.BDH("NUE US Equity","NUM_OF_EMPLOYEES","FQ2 2021","FQ2 2021","Currency=USD","Period=FQ","BEST_FPERIOD_OVERRIDE=FQ","FILING_STATUS=MR","Sort=A","Dates=H","DateFormat=P","Fill=—","Direction=H","UseDPDF=Y")</f>
        <v>—</v>
      </c>
      <c r="O91" s="14" t="str" cm="1">
        <f t="array" ref="O91">_xll.BDH("NUE US Equity","NUM_OF_EMPLOYEES","FQ3 2021","FQ3 2021","Currency=USD","Period=FQ","BEST_FPERIOD_OVERRIDE=FQ","FILING_STATUS=MR","Sort=A","Dates=H","DateFormat=P","Fill=—","Direction=H","UseDPDF=Y")</f>
        <v>—</v>
      </c>
      <c r="P91" s="14" cm="1">
        <f t="array" ref="P91">_xll.BDH("NUE US Equity","NUM_OF_EMPLOYEES","FQ4 2021","FQ4 2021","Currency=USD","Period=FQ","BEST_FPERIOD_OVERRIDE=FQ","FILING_STATUS=MR","Sort=A","Dates=H","DateFormat=P","Fill=—","Direction=H","UseDPDF=Y")</f>
        <v>28800</v>
      </c>
      <c r="Q91" s="14" t="str" cm="1">
        <f t="array" ref="Q91">_xll.BDH("NUE US Equity","NUM_OF_EMPLOYEES","FQ1 2022","FQ1 2022","Currency=USD","Period=FQ","BEST_FPERIOD_OVERRIDE=FQ","FILING_STATUS=MR","Sort=A","Dates=H","DateFormat=P","Fill=—","Direction=H","UseDPDF=Y")</f>
        <v>—</v>
      </c>
      <c r="R91" s="14" t="str" cm="1">
        <f t="array" ref="R91">_xll.BDH("NUE US Equity","NUM_OF_EMPLOYEES","FQ2 2022","FQ2 2022","Currency=USD","Period=FQ","BEST_FPERIOD_OVERRIDE=FQ","FILING_STATUS=MR","Sort=A","Dates=H","DateFormat=P","Fill=—","Direction=H","UseDPDF=Y")</f>
        <v>—</v>
      </c>
      <c r="S91" s="14" t="str" cm="1">
        <f t="array" ref="S91">_xll.BDH("NUE US Equity","NUM_OF_EMPLOYEES","FQ3 2022","FQ3 2022","Currency=USD","Period=FQ","BEST_FPERIOD_OVERRIDE=FQ","FILING_STATUS=MR","Sort=A","Dates=H","DateFormat=P","Fill=—","Direction=H","UseDPDF=Y")</f>
        <v>—</v>
      </c>
      <c r="T91" s="14" cm="1">
        <f t="array" ref="T91">_xll.BDH("NUE US Equity","NUM_OF_EMPLOYEES","FQ4 2022","FQ4 2022","Currency=USD","Period=FQ","BEST_FPERIOD_OVERRIDE=FQ","FILING_STATUS=MR","Sort=A","Dates=H","DateFormat=P","Fill=—","Direction=H","UseDPDF=Y")</f>
        <v>31000</v>
      </c>
      <c r="U91" s="14" t="str" cm="1">
        <f t="array" ref="U91">_xll.BDH("NUE US Equity","NUM_OF_EMPLOYEES","FQ1 2023","FQ1 2023","Currency=USD","Period=FQ","BEST_FPERIOD_OVERRIDE=FQ","FILING_STATUS=MR","Sort=A","Dates=H","DateFormat=P","Fill=—","Direction=H","UseDPDF=Y")</f>
        <v>—</v>
      </c>
      <c r="V91" s="14" t="str" cm="1">
        <f t="array" ref="V91">_xll.BDH("NUE US Equity","NUM_OF_EMPLOYEES","FQ2 2023","FQ2 2023","Currency=USD","Period=FQ","BEST_FPERIOD_OVERRIDE=FQ","FILING_STATUS=MR","Sort=A","Dates=H","DateFormat=P","Fill=—","Direction=H","UseDPDF=Y")</f>
        <v>—</v>
      </c>
      <c r="W91" s="14" t="str" cm="1">
        <f t="array" ref="W91">_xll.BDH("NUE US Equity","NUM_OF_EMPLOYEES","FQ3 2023","FQ3 2023","Currency=USD","Period=FQ","BEST_FPERIOD_OVERRIDE=FQ","FILING_STATUS=MR","Sort=A","Dates=H","DateFormat=P","Fill=—","Direction=H","UseDPDF=Y")</f>
        <v>—</v>
      </c>
      <c r="X91" s="14" cm="1">
        <f t="array" ref="X91">_xll.BDH("NUE US Equity","NUM_OF_EMPLOYEES","FQ4 2023","FQ4 2023","Currency=USD","Period=FQ","BEST_FPERIOD_OVERRIDE=FQ","FILING_STATUS=MR","Sort=A","Dates=H","DateFormat=P","Fill=—","Direction=H","UseDPDF=Y")</f>
        <v>32000</v>
      </c>
      <c r="Y91" s="14" t="str" cm="1">
        <f t="array" ref="Y91">_xll.BDH("NUE US Equity","NUM_OF_EMPLOYEES","FQ1 2024","FQ1 2024","Currency=USD","Period=FQ","BEST_FPERIOD_OVERRIDE=FQ","FILING_STATUS=MR","Sort=A","Dates=H","DateFormat=P","Fill=—","Direction=H","UseDPDF=Y")</f>
        <v>—</v>
      </c>
      <c r="Z91" s="14" t="str" cm="1">
        <f t="array" ref="Z91">_xll.BDH("NUE US Equity","NUM_OF_EMPLOYEES","FQ2 2024","FQ2 2024","Currency=USD","Period=FQ","BEST_FPERIOD_OVERRIDE=FQ","FILING_STATUS=MR","Sort=A","Dates=H","DateFormat=P","Fill=—","Direction=H","UseDPDF=Y")</f>
        <v>—</v>
      </c>
      <c r="AA91" s="14" t="str" cm="1">
        <f t="array" ref="AA91">_xll.BDH("NUE US Equity","NUM_OF_EMPLOYEES","FQ3 2024","FQ3 2024","Currency=USD","Period=FQ","BEST_FPERIOD_OVERRIDE=FQ","FILING_STATUS=MR","Sort=A","Dates=H","DateFormat=P","Fill=—","Direction=H","UseDPDF=Y")</f>
        <v>—</v>
      </c>
      <c r="AB91" s="14" cm="1">
        <f t="array" ref="AB91">_xll.BDH("NUE US Equity","NUM_OF_EMPLOYEES","FQ4 2024","FQ4 2024","Currency=USD","Period=FQ","BEST_FPERIOD_OVERRIDE=FQ","FILING_STATUS=MR","Sort=A","Dates=H","DateFormat=P","Fill=—","Direction=H","UseDPDF=Y")</f>
        <v>32700</v>
      </c>
      <c r="AC91" s="14" t="str" cm="1">
        <f t="array" ref="AC91">_xll.BDH("NUE US Equity","NUM_OF_EMPLOYEES","FQ1 2025","FQ1 2025","Currency=USD","Period=FQ","BEST_FPERIOD_OVERRIDE=FQ","FILING_STATUS=MR","Sort=A","Dates=H","DateFormat=P","Fill=—","Direction=H","UseDPDF=Y")</f>
        <v>—</v>
      </c>
      <c r="AD91" s="14" t="str" cm="1">
        <f t="array" ref="AD91">_xll.BDH("NUE US Equity","NUM_OF_EMPLOYEES","FQ2 2025","FQ2 2025","Currency=USD","Period=FQ","BEST_FPERIOD_OVERRIDE=FQ","FILING_STATUS=MR","Sort=A","Dates=H","DateFormat=P","Fill=—","Direction=H","UseDPDF=Y")</f>
        <v>—</v>
      </c>
      <c r="AE91" s="14" t="str" cm="1">
        <f t="array" ref="AE91">_xll.BDH("NUE US Equity","NUM_OF_EMPLOYEES","FQ3 2025","FQ3 2025","Currency=USD","Period=FQ","BEST_FPERIOD_OVERRIDE=FQ","FILING_STATUS=MR","Sort=A","Dates=H","DateFormat=P","Fill=—","Direction=H","UseDPDF=Y")</f>
        <v>—</v>
      </c>
      <c r="AF91" s="14" t="str" cm="1">
        <f t="array" ref="AF91">_xll.BDH("NUE US Equity","NUM_OF_EMPLOYEES","FQ4 2025","FQ4 2025","Currency=USD","Period=FQ","BEST_FPERIOD_OVERRIDE=FQ","FILING_STATUS=MR","Sort=A","Dates=H","DateFormat=P","Fill=—","Direction=H","UseDPDF=Y")</f>
        <v>—</v>
      </c>
    </row>
    <row r="92" spans="1:32" x14ac:dyDescent="0.25">
      <c r="A92" s="7" t="s">
        <v>226</v>
      </c>
      <c r="B92" s="7"/>
      <c r="C92" s="7" t="s">
        <v>1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 - Standardized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Juan Francisco Rodríguez Rodríguez</cp:lastModifiedBy>
  <dcterms:created xsi:type="dcterms:W3CDTF">2013-04-03T15:49:21Z</dcterms:created>
  <dcterms:modified xsi:type="dcterms:W3CDTF">2026-02-19T01:57:39Z</dcterms:modified>
</cp:coreProperties>
</file>