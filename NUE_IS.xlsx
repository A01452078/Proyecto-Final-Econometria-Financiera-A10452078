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BEF976F9-DD56-4B05-BD20-1D399CA136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48" i="2" l="1" a="1"/>
  <c r="W53" i="2" a="1"/>
  <c r="Y53" i="2" a="1"/>
  <c r="K30" i="2" a="1"/>
  <c r="X48" i="2" a="1"/>
  <c r="AA26" i="2" a="1"/>
  <c r="AA35" i="2" a="1"/>
  <c r="AA45" i="2" a="1"/>
  <c r="S41" i="2" a="1"/>
  <c r="Z53" i="2" a="1"/>
  <c r="W6" i="2" a="1"/>
  <c r="W12" i="2" a="1"/>
  <c r="W61" i="2" a="1"/>
  <c r="W41" i="2" a="1"/>
  <c r="G41" i="2" a="1"/>
  <c r="K17" i="2" a="1"/>
  <c r="K62" i="2" a="1"/>
  <c r="K23" i="2" a="1"/>
  <c r="K11" i="2" a="1"/>
  <c r="C64" i="2" a="1"/>
  <c r="C38" i="2" a="1"/>
  <c r="O30" i="2" a="1"/>
  <c r="O67" i="2" a="1"/>
  <c r="AA43" i="2" a="1"/>
  <c r="AA15" i="2" a="1"/>
  <c r="AA13" i="2" a="1"/>
  <c r="AA12" i="2" a="1"/>
  <c r="AA41" i="2" a="1"/>
  <c r="AA67" i="2" a="1"/>
  <c r="G59" i="2" a="1"/>
  <c r="G22" i="2" a="1"/>
  <c r="G11" i="2" a="1"/>
  <c r="G18" i="2" a="1"/>
  <c r="O19" i="2" a="1"/>
  <c r="O59" i="2" a="1"/>
  <c r="O22" i="2" a="1"/>
  <c r="O17" i="2" a="1"/>
  <c r="C8" i="2" a="1"/>
  <c r="C11" i="2" a="1"/>
  <c r="C13" i="2" a="1"/>
  <c r="K54" i="2" a="1"/>
  <c r="C55" i="2" a="1"/>
  <c r="C49" i="2" a="1"/>
  <c r="K35" i="2" a="1"/>
  <c r="K69" i="2" a="1"/>
  <c r="K14" i="2" a="1"/>
  <c r="W55" i="2" a="1"/>
  <c r="S11" i="2" a="1"/>
  <c r="S12" i="2" a="1"/>
  <c r="S18" i="2" a="1"/>
  <c r="S22" i="2" a="1"/>
  <c r="AA48" i="2" a="1"/>
  <c r="W34" i="2" a="1"/>
  <c r="W70" i="2" a="1"/>
  <c r="W32" i="2" a="1"/>
  <c r="S66" i="2" a="1"/>
  <c r="G66" i="2" a="1"/>
  <c r="W63" i="2" a="1"/>
  <c r="K66" i="2" a="1"/>
  <c r="G68" i="2" a="1"/>
  <c r="G35" i="2" a="1"/>
  <c r="G39" i="2" a="1"/>
  <c r="G49" i="2" a="1"/>
  <c r="S47" i="2" a="1"/>
  <c r="AA63" i="2" a="1"/>
  <c r="X38" i="2" a="1"/>
  <c r="C34" i="2" a="1"/>
  <c r="C28" i="2" a="1"/>
  <c r="C70" i="2" a="1"/>
  <c r="L19" i="2" a="1"/>
  <c r="L16" i="2" a="1"/>
  <c r="L43" i="2" a="1"/>
  <c r="L13" i="2" a="1"/>
  <c r="S44" i="2" a="1"/>
  <c r="S33" i="2" a="1"/>
  <c r="O29" i="2" a="1"/>
  <c r="S25" i="2" a="1"/>
  <c r="O45" i="2" a="1"/>
  <c r="O27" i="2" a="1"/>
  <c r="X15" i="2" a="1"/>
  <c r="X62" i="2" a="1"/>
  <c r="P36" i="2" a="1"/>
  <c r="O64" i="2" a="1"/>
  <c r="G40" i="2" a="1"/>
  <c r="AA64" i="2" a="1"/>
  <c r="C69" i="2" a="1"/>
  <c r="L8" i="2" a="1"/>
  <c r="W26" i="2" a="1"/>
  <c r="S50" i="2" a="1"/>
  <c r="C35" i="2" a="1"/>
  <c r="L24" i="2" a="1"/>
  <c r="Y48" i="2" a="1"/>
  <c r="K38" i="2" a="1"/>
  <c r="X53" i="2" a="1"/>
  <c r="AA34" i="2" a="1"/>
  <c r="AA40" i="2" a="1"/>
  <c r="AA33" i="2" a="1"/>
  <c r="S37" i="2" a="1"/>
  <c r="Z48" i="2" a="1"/>
  <c r="W43" i="2" a="1"/>
  <c r="W17" i="2" a="1"/>
  <c r="W10" i="2" a="1"/>
  <c r="W31" i="2" a="1"/>
  <c r="G38" i="2" a="1"/>
  <c r="K43" i="2" a="1"/>
  <c r="K8" i="2" a="1"/>
  <c r="K12" i="2" a="1"/>
  <c r="K19" i="2" a="1"/>
  <c r="C65" i="2" a="1"/>
  <c r="C41" i="2" a="1"/>
  <c r="O37" i="2" a="1"/>
  <c r="O49" i="2" a="1"/>
  <c r="AA61" i="2" a="1"/>
  <c r="AA21" i="2" a="1"/>
  <c r="AA10" i="2" a="1"/>
  <c r="AA11" i="2" a="1"/>
  <c r="AA37" i="2" a="1"/>
  <c r="AA52" i="2" a="1"/>
  <c r="G6" i="2" a="1"/>
  <c r="G8" i="2" a="1"/>
  <c r="G20" i="2" a="1"/>
  <c r="G12" i="2" a="1"/>
  <c r="O10" i="2" a="1"/>
  <c r="O15" i="2" a="1"/>
  <c r="O11" i="2" a="1"/>
  <c r="C17" i="2" a="1"/>
  <c r="C22" i="2" a="1"/>
  <c r="C24" i="2" a="1"/>
  <c r="C9" i="2" a="1"/>
  <c r="K50" i="2" a="1"/>
  <c r="C52" i="2" a="1"/>
  <c r="C48" i="2" a="1"/>
  <c r="K29" i="2" a="1"/>
  <c r="K28" i="2" a="1"/>
  <c r="K25" i="2" a="1"/>
  <c r="W50" i="2" a="1"/>
  <c r="S61" i="2" a="1"/>
  <c r="S6" i="2" a="1"/>
  <c r="S59" i="2" a="1"/>
  <c r="S21" i="2" a="1"/>
  <c r="AA53" i="2" a="1"/>
  <c r="W69" i="2" a="1"/>
  <c r="W39" i="2" a="1"/>
  <c r="G64" i="2" a="1"/>
  <c r="K60" i="2" a="1"/>
  <c r="G44" i="2" a="1"/>
  <c r="G54" i="2" a="1"/>
  <c r="C71" i="2" a="1"/>
  <c r="L20" i="2" a="1"/>
  <c r="S68" i="2" a="1"/>
  <c r="K64" i="2" a="1"/>
  <c r="S49" i="2" a="1"/>
  <c r="X37" i="2" a="1"/>
  <c r="C25" i="2" a="1"/>
  <c r="L17" i="2" a="1"/>
  <c r="L12" i="2" a="1"/>
  <c r="K48" i="2" a="1"/>
  <c r="K41" i="2" a="1"/>
  <c r="L48" i="2" a="1"/>
  <c r="AA69" i="2" a="1"/>
  <c r="AA27" i="2" a="1"/>
  <c r="AA44" i="2" a="1"/>
  <c r="S31" i="2" a="1"/>
  <c r="W23" i="2" a="1"/>
  <c r="W22" i="2" a="1"/>
  <c r="W21" i="2" a="1"/>
  <c r="W16" i="2" a="1"/>
  <c r="W30" i="2" a="1"/>
  <c r="G36" i="2" a="1"/>
  <c r="K9" i="2" a="1"/>
  <c r="K7" i="2" a="1"/>
  <c r="K10" i="2" a="1"/>
  <c r="K24" i="2" a="1"/>
  <c r="C60" i="2" a="1"/>
  <c r="C36" i="2" a="1"/>
  <c r="O41" i="2" a="1"/>
  <c r="O50" i="2" a="1"/>
  <c r="AA16" i="2" a="1"/>
  <c r="AA24" i="2" a="1"/>
  <c r="AA22" i="2" a="1"/>
  <c r="AA6" i="2" a="1"/>
  <c r="AA38" i="2" a="1"/>
  <c r="AA50" i="2" a="1"/>
  <c r="G7" i="2" a="1"/>
  <c r="G43" i="2" a="1"/>
  <c r="G61" i="2" a="1"/>
  <c r="G9" i="2" a="1"/>
  <c r="O6" i="2" a="1"/>
  <c r="O18" i="2" a="1"/>
  <c r="O16" i="2" a="1"/>
  <c r="C16" i="2" a="1"/>
  <c r="C10" i="2" a="1"/>
  <c r="C19" i="2" a="1"/>
  <c r="C6" i="2" a="1"/>
  <c r="K67" i="2" a="1"/>
  <c r="C47" i="2" a="1"/>
  <c r="C53" i="2" a="1"/>
  <c r="K44" i="2" a="1"/>
  <c r="K39" i="2" a="1"/>
  <c r="K27" i="2" a="1"/>
  <c r="W67" i="2" a="1"/>
  <c r="S19" i="2" a="1"/>
  <c r="S8" i="2" a="1"/>
  <c r="S20" i="2" a="1"/>
  <c r="S15" i="2" a="1"/>
  <c r="W14" i="2" a="1"/>
  <c r="W35" i="2" a="1"/>
  <c r="W28" i="2" a="1"/>
  <c r="S64" i="2" a="1"/>
  <c r="O65" i="2" a="1"/>
  <c r="G60" i="2" a="1"/>
  <c r="W60" i="2" a="1"/>
  <c r="G28" i="2" a="1"/>
  <c r="G14" i="2" a="1"/>
  <c r="G70" i="2" a="1"/>
  <c r="G50" i="2" a="1"/>
  <c r="AA66" i="2" a="1"/>
  <c r="C40" i="2" a="1"/>
  <c r="C44" i="2" a="1"/>
  <c r="L9" i="2" a="1"/>
  <c r="K53" i="2" a="1"/>
  <c r="K37" i="2" a="1"/>
  <c r="L53" i="2" a="1"/>
  <c r="AA14" i="2" a="1"/>
  <c r="AA71" i="2" a="1"/>
  <c r="AA32" i="2" a="1"/>
  <c r="S38" i="2" a="1"/>
  <c r="W9" i="2" a="1"/>
  <c r="W24" i="2" a="1"/>
  <c r="W11" i="2" a="1"/>
  <c r="W8" i="2" a="1"/>
  <c r="W37" i="2" a="1"/>
  <c r="G30" i="2" a="1"/>
  <c r="K61" i="2" a="1"/>
  <c r="K36" i="2" a="1"/>
  <c r="M48" i="2" a="1"/>
  <c r="N48" i="2" a="1"/>
  <c r="AA25" i="2" a="1"/>
  <c r="AA29" i="2" a="1"/>
  <c r="AA39" i="2" a="1"/>
  <c r="S36" i="2" a="1"/>
  <c r="W15" i="2" a="1"/>
  <c r="W18" i="2" a="1"/>
  <c r="W19" i="2" a="1"/>
  <c r="W59" i="2" a="1"/>
  <c r="K31" i="2" a="1"/>
  <c r="M53" i="2" a="1"/>
  <c r="N53" i="2" a="1"/>
  <c r="AA68" i="2" a="1"/>
  <c r="AA70" i="2" a="1"/>
  <c r="X20" i="2" a="1"/>
  <c r="W64" i="2" a="1"/>
  <c r="G69" i="2" a="1"/>
  <c r="X30" i="2" a="1"/>
  <c r="L18" i="2" a="1"/>
  <c r="S14" i="2" a="1"/>
  <c r="AA28" i="2" a="1"/>
  <c r="K21" i="2" a="1"/>
  <c r="O36" i="2" a="1"/>
  <c r="AA8" i="2" a="1"/>
  <c r="AA49" i="2" a="1"/>
  <c r="G13" i="2" a="1"/>
  <c r="O12" i="2" a="1"/>
  <c r="C15" i="2" a="1"/>
  <c r="K55" i="2" a="1"/>
  <c r="K68" i="2" a="1"/>
  <c r="W47" i="2" a="1"/>
  <c r="S24" i="2" a="1"/>
  <c r="W71" i="2" a="1"/>
  <c r="O63" i="2" a="1"/>
  <c r="G45" i="2" a="1"/>
  <c r="G52" i="2" a="1"/>
  <c r="S34" i="2" a="1"/>
  <c r="S29" i="2" a="1"/>
  <c r="O40" i="2" a="1"/>
  <c r="O44" i="2" a="1"/>
  <c r="X24" i="2" a="1"/>
  <c r="X21" i="2" a="1"/>
  <c r="X59" i="2" a="1"/>
  <c r="S30" i="2" a="1"/>
  <c r="K20" i="2" a="1"/>
  <c r="O38" i="2" a="1"/>
  <c r="AA9" i="2" a="1"/>
  <c r="AA55" i="2" a="1"/>
  <c r="X31" i="2" a="1"/>
  <c r="L62" i="2" a="1"/>
  <c r="K13" i="2" a="1"/>
  <c r="O31" i="2" a="1"/>
  <c r="G23" i="2" a="1"/>
  <c r="O13" i="2" a="1"/>
  <c r="K52" i="2" a="1"/>
  <c r="W49" i="2" a="1"/>
  <c r="W29" i="2" a="1"/>
  <c r="O66" i="2" a="1"/>
  <c r="G67" i="2" a="1"/>
  <c r="S40" i="2" a="1"/>
  <c r="O69" i="2" a="1"/>
  <c r="X10" i="2" a="1"/>
  <c r="AA31" i="2" a="1"/>
  <c r="S62" i="2" a="1"/>
  <c r="W65" i="2" a="1"/>
  <c r="L7" i="2" a="1"/>
  <c r="G19" i="2" a="1"/>
  <c r="W44" i="2" a="1"/>
  <c r="X18" i="2" a="1"/>
  <c r="AA18" i="2" a="1"/>
  <c r="L22" i="2" a="1"/>
  <c r="K47" i="2" a="1"/>
  <c r="X19" i="2" a="1"/>
  <c r="O24" i="2" a="1"/>
  <c r="P31" i="2" a="1"/>
  <c r="K59" i="2" a="1"/>
  <c r="K63" i="2" a="1"/>
  <c r="S48" i="2" a="1"/>
  <c r="AA23" i="2" a="1"/>
  <c r="G26" i="2" a="1"/>
  <c r="W13" i="2" a="1"/>
  <c r="K6" i="2" a="1"/>
  <c r="O54" i="2" a="1"/>
  <c r="AA19" i="2" a="1"/>
  <c r="G62" i="2" a="1"/>
  <c r="O8" i="2" a="1"/>
  <c r="O43" i="2" a="1"/>
  <c r="C21" i="2" a="1"/>
  <c r="C50" i="2" a="1"/>
  <c r="K32" i="2" a="1"/>
  <c r="S17" i="2" a="1"/>
  <c r="S10" i="2" a="1"/>
  <c r="W45" i="2" a="1"/>
  <c r="G65" i="2" a="1"/>
  <c r="G32" i="2" a="1"/>
  <c r="G55" i="2" a="1"/>
  <c r="X41" i="2" a="1"/>
  <c r="C32" i="2" a="1"/>
  <c r="L23" i="2" a="1"/>
  <c r="L11" i="2" a="1"/>
  <c r="O14" i="2" a="1"/>
  <c r="X12" i="2" a="1"/>
  <c r="P41" i="2" a="1"/>
  <c r="W7" i="2" a="1"/>
  <c r="AA7" i="2" a="1"/>
  <c r="X36" i="2" a="1"/>
  <c r="L6" i="2" a="1"/>
  <c r="S27" i="2" a="1"/>
  <c r="K15" i="2" a="1"/>
  <c r="AA17" i="2" a="1"/>
  <c r="O61" i="2" a="1"/>
  <c r="C20" i="2" a="1"/>
  <c r="C54" i="2" a="1"/>
  <c r="S43" i="2" a="1"/>
  <c r="W27" i="2" a="1"/>
  <c r="G25" i="2" a="1"/>
  <c r="S35" i="2" a="1"/>
  <c r="O39" i="2" a="1"/>
  <c r="P38" i="2" a="1"/>
  <c r="C66" i="2" a="1"/>
  <c r="O9" i="2" a="1"/>
  <c r="C61" i="2" a="1"/>
  <c r="S63" i="2" a="1"/>
  <c r="C14" i="2" a="1"/>
  <c r="L59" i="2" a="1"/>
  <c r="C43" i="2" a="1"/>
  <c r="S60" i="2" a="1"/>
  <c r="S55" i="2" a="1"/>
  <c r="AA36" i="2" a="1"/>
  <c r="C26" i="2" a="1"/>
  <c r="O7" i="2" a="1"/>
  <c r="O68" i="2" a="1"/>
  <c r="W20" i="2" a="1"/>
  <c r="K16" i="2" a="1"/>
  <c r="O55" i="2" a="1"/>
  <c r="AA59" i="2" a="1"/>
  <c r="G10" i="2" a="1"/>
  <c r="O62" i="2" a="1"/>
  <c r="O21" i="2" a="1"/>
  <c r="C18" i="2" a="1"/>
  <c r="C67" i="2" a="1"/>
  <c r="K45" i="2" a="1"/>
  <c r="S16" i="2" a="1"/>
  <c r="O53" i="2" a="1"/>
  <c r="W33" i="2" a="1"/>
  <c r="G63" i="2" a="1"/>
  <c r="G34" i="2" a="1"/>
  <c r="S54" i="2" a="1"/>
  <c r="S26" i="2" a="1"/>
  <c r="S70" i="2" a="1"/>
  <c r="O32" i="2" a="1"/>
  <c r="O35" i="2" a="1"/>
  <c r="X8" i="2" a="1"/>
  <c r="X43" i="2" a="1"/>
  <c r="P37" i="2" a="1"/>
  <c r="K18" i="2" a="1"/>
  <c r="O52" i="2" a="1"/>
  <c r="C29" i="2" a="1"/>
  <c r="L61" i="2" a="1"/>
  <c r="W36" i="2" a="1"/>
  <c r="O47" i="2" a="1"/>
  <c r="G17" i="2" a="1"/>
  <c r="O23" i="2" a="1"/>
  <c r="K33" i="2" a="1"/>
  <c r="O48" i="2" a="1"/>
  <c r="W66" i="2" a="1"/>
  <c r="S67" i="2" a="1"/>
  <c r="O26" i="2" a="1"/>
  <c r="X9" i="2" a="1"/>
  <c r="X23" i="2" a="1"/>
  <c r="W38" i="2" a="1"/>
  <c r="C59" i="2" a="1"/>
  <c r="K40" i="2" a="1"/>
  <c r="W40" i="2" a="1"/>
  <c r="S52" i="2" a="1"/>
  <c r="S32" i="2" a="1"/>
  <c r="C12" i="2" a="1"/>
  <c r="K65" i="2" a="1"/>
  <c r="O70" i="2" a="1"/>
  <c r="G37" i="2" a="1"/>
  <c r="S28" i="2" a="1"/>
  <c r="W52" i="2" a="1"/>
  <c r="AA65" i="2" a="1"/>
  <c r="O34" i="2" a="1"/>
  <c r="X16" i="2" a="1"/>
  <c r="L15" i="2" a="1"/>
  <c r="C23" i="2" a="1"/>
  <c r="P30" i="2" a="1"/>
  <c r="K70" i="2" a="1"/>
  <c r="X61" i="2" a="1"/>
  <c r="C31" i="2" a="1"/>
  <c r="W25" i="2" a="1"/>
  <c r="O71" i="2" a="1"/>
  <c r="S53" i="2" a="1"/>
  <c r="S71" i="2" a="1"/>
  <c r="G24" i="2" a="1"/>
  <c r="S65" i="2" a="1"/>
  <c r="X13" i="2" a="1"/>
  <c r="G31" i="2" a="1"/>
  <c r="C63" i="2" a="1"/>
  <c r="AA30" i="2" a="1"/>
  <c r="S7" i="2" a="1"/>
  <c r="AA54" i="2" a="1"/>
  <c r="S9" i="2" a="1"/>
  <c r="S39" i="2" a="1"/>
  <c r="K22" i="2" a="1"/>
  <c r="C37" i="2" a="1"/>
  <c r="AA20" i="2" a="1"/>
  <c r="AA47" i="2" a="1"/>
  <c r="G21" i="2" a="1"/>
  <c r="O20" i="2" a="1"/>
  <c r="C62" i="2" a="1"/>
  <c r="K49" i="2" a="1"/>
  <c r="K71" i="2" a="1"/>
  <c r="W54" i="2" a="1"/>
  <c r="S13" i="2" a="1"/>
  <c r="W68" i="2" a="1"/>
  <c r="O60" i="2" a="1"/>
  <c r="G71" i="2" a="1"/>
  <c r="G47" i="2" a="1"/>
  <c r="AA60" i="2" a="1"/>
  <c r="C68" i="2" a="1"/>
  <c r="C27" i="2" a="1"/>
  <c r="L21" i="2" a="1"/>
  <c r="S45" i="2" a="1"/>
  <c r="O33" i="2" a="1"/>
  <c r="X6" i="2" a="1"/>
  <c r="C39" i="2" a="1"/>
  <c r="L10" i="2" a="1"/>
  <c r="W62" i="2" a="1"/>
  <c r="AA62" i="2" a="1"/>
  <c r="G16" i="2" a="1"/>
  <c r="C7" i="2" a="1"/>
  <c r="K34" i="2" a="1"/>
  <c r="S23" i="2" a="1"/>
  <c r="G33" i="2" a="1"/>
  <c r="S69" i="2" a="1"/>
  <c r="O25" i="2" a="1"/>
  <c r="X22" i="2" a="1"/>
  <c r="X11" i="2" a="1"/>
  <c r="G15" i="2" a="1"/>
  <c r="G53" i="2" a="1"/>
  <c r="G29" i="2" a="1"/>
  <c r="C45" i="2" a="1"/>
  <c r="X7" i="2" a="1"/>
  <c r="G48" i="2" a="1"/>
  <c r="G27" i="2" a="1"/>
  <c r="O28" i="2" a="1"/>
  <c r="C30" i="2" a="1"/>
  <c r="C33" i="2" a="1"/>
  <c r="K26" i="2" a="1"/>
  <c r="X17" i="2" a="1"/>
  <c r="L36" i="2" a="1"/>
  <c r="P48" i="2" a="1"/>
  <c r="H38" i="2" a="1"/>
  <c r="T31" i="2" a="1"/>
  <c r="P55" i="2" a="1"/>
  <c r="M15" i="2" a="1"/>
  <c r="M20" i="2" a="1"/>
  <c r="M7" i="2" a="1"/>
  <c r="M61" i="2" a="1"/>
  <c r="D36" i="2" a="1"/>
  <c r="AB31" i="2" a="1"/>
  <c r="D49" i="2" a="1"/>
  <c r="AB55" i="2" a="1"/>
  <c r="L67" i="2" a="1"/>
  <c r="H53" i="2" a="1"/>
  <c r="D13" i="2" a="1"/>
  <c r="D43" i="2" a="1"/>
  <c r="D15" i="2" a="1"/>
  <c r="T13" i="2" a="1"/>
  <c r="T19" i="2" a="1"/>
  <c r="T6" i="2" a="1"/>
  <c r="T16" i="2" a="1"/>
  <c r="H9" i="2" a="1"/>
  <c r="H11" i="2" a="1"/>
  <c r="H62" i="2" a="1"/>
  <c r="H12" i="2" a="1"/>
  <c r="T64" i="2" a="1"/>
  <c r="AB8" i="2" a="1"/>
  <c r="AB11" i="2" a="1"/>
  <c r="AB59" i="2" a="1"/>
  <c r="AB13" i="2" a="1"/>
  <c r="X67" i="2" a="1"/>
  <c r="D66" i="2" a="1"/>
  <c r="P22" i="2" a="1"/>
  <c r="P61" i="2" a="1"/>
  <c r="P17" i="2" a="1"/>
  <c r="P10" i="2" a="1"/>
  <c r="D34" i="2" a="1"/>
  <c r="D14" i="2" a="1"/>
  <c r="D40" i="2" a="1"/>
  <c r="X26" i="2" a="1"/>
  <c r="X27" i="2" a="1"/>
  <c r="X35" i="2" a="1"/>
  <c r="P63" i="2" a="1"/>
  <c r="H64" i="2" a="1"/>
  <c r="AB35" i="2" a="1"/>
  <c r="AB33" i="2" a="1"/>
  <c r="AB28" i="2" a="1"/>
  <c r="H35" i="2" a="1"/>
  <c r="H32" i="2" a="1"/>
  <c r="H68" i="2" a="1"/>
  <c r="T33" i="2" a="1"/>
  <c r="T39" i="2" a="1"/>
  <c r="T27" i="2" a="1"/>
  <c r="P29" i="2" a="1"/>
  <c r="P35" i="2" a="1"/>
  <c r="P33" i="2" a="1"/>
  <c r="Y20" i="2" a="1"/>
  <c r="Y12" i="2" a="1"/>
  <c r="Y62" i="2" a="1"/>
  <c r="Y13" i="2" a="1"/>
  <c r="X65" i="2" a="1"/>
  <c r="H49" i="2" a="1"/>
  <c r="L39" i="2" a="1"/>
  <c r="L26" i="2" a="1"/>
  <c r="L14" i="2" a="1"/>
  <c r="AB64" i="2" a="1"/>
  <c r="U30" i="2" a="1"/>
  <c r="T50" i="2" a="1"/>
  <c r="Y36" i="2" a="1"/>
  <c r="M30" i="2" a="1"/>
  <c r="E37" i="2" a="1"/>
  <c r="Q30" i="2" a="1"/>
  <c r="I36" i="2" a="1"/>
  <c r="Q52" i="2" a="1"/>
  <c r="E50" i="2" a="1"/>
  <c r="H69" i="2" a="1"/>
  <c r="T32" i="2" a="1"/>
  <c r="Y59" i="2" a="1"/>
  <c r="H52" i="2" a="1"/>
  <c r="L29" i="2" a="1"/>
  <c r="T47" i="2" a="1"/>
  <c r="AC50" i="2" a="1"/>
  <c r="X68" i="2" a="1"/>
  <c r="AB71" i="2" a="1"/>
  <c r="H39" i="2" a="1"/>
  <c r="P71" i="2" a="1"/>
  <c r="Y43" i="2" a="1"/>
  <c r="L70" i="2" a="1"/>
  <c r="Y30" i="2" a="1"/>
  <c r="Q31" i="2" a="1"/>
  <c r="L41" i="2" a="1"/>
  <c r="P53" i="2" a="1"/>
  <c r="H37" i="2" a="1"/>
  <c r="T36" i="2" a="1"/>
  <c r="P54" i="2" a="1"/>
  <c r="M24" i="2" a="1"/>
  <c r="M21" i="2" a="1"/>
  <c r="M22" i="2" a="1"/>
  <c r="M19" i="2" a="1"/>
  <c r="D30" i="2" a="1"/>
  <c r="AB37" i="2" a="1"/>
  <c r="D52" i="2" a="1"/>
  <c r="AB47" i="2" a="1"/>
  <c r="L54" i="2" a="1"/>
  <c r="H48" i="2" a="1"/>
  <c r="D6" i="2" a="1"/>
  <c r="D19" i="2" a="1"/>
  <c r="D20" i="2" a="1"/>
  <c r="T10" i="2" a="1"/>
  <c r="T11" i="2" a="1"/>
  <c r="T20" i="2" a="1"/>
  <c r="T24" i="2" a="1"/>
  <c r="H15" i="2" a="1"/>
  <c r="H43" i="2" a="1"/>
  <c r="H18" i="2" a="1"/>
  <c r="H17" i="2" a="1"/>
  <c r="D53" i="2" a="1"/>
  <c r="AB10" i="2" a="1"/>
  <c r="AB20" i="2" a="1"/>
  <c r="AB23" i="2" a="1"/>
  <c r="X52" i="2" a="1"/>
  <c r="X54" i="2" a="1"/>
  <c r="D65" i="2" a="1"/>
  <c r="P59" i="2" a="1"/>
  <c r="P23" i="2" a="1"/>
  <c r="P8" i="2" a="1"/>
  <c r="L60" i="2" a="1"/>
  <c r="D27" i="2" a="1"/>
  <c r="D69" i="2" a="1"/>
  <c r="D26" i="2" a="1"/>
  <c r="X45" i="2" a="1"/>
  <c r="X70" i="2" a="1"/>
  <c r="P64" i="2" a="1"/>
  <c r="AB26" i="2" a="1"/>
  <c r="AB25" i="2" a="1"/>
  <c r="H70" i="2" a="1"/>
  <c r="T25" i="2" a="1"/>
  <c r="P68" i="2" a="1"/>
  <c r="Y22" i="2" a="1"/>
  <c r="H67" i="2" a="1"/>
  <c r="U41" i="2" a="1"/>
  <c r="M36" i="2" a="1"/>
  <c r="I37" i="2" a="1"/>
  <c r="H21" i="2" a="1"/>
  <c r="D60" i="2" a="1"/>
  <c r="L30" i="2" a="1"/>
  <c r="T48" i="2" a="1"/>
  <c r="H31" i="2" a="1"/>
  <c r="T37" i="2" a="1"/>
  <c r="P67" i="2" a="1"/>
  <c r="M12" i="2" a="1"/>
  <c r="M59" i="2" a="1"/>
  <c r="M9" i="2" a="1"/>
  <c r="M62" i="2" a="1"/>
  <c r="D38" i="2" a="1"/>
  <c r="AB41" i="2" a="1"/>
  <c r="D47" i="2" a="1"/>
  <c r="AB54" i="2" a="1"/>
  <c r="L52" i="2" a="1"/>
  <c r="D61" i="2" a="1"/>
  <c r="D11" i="2" a="1"/>
  <c r="D9" i="2" a="1"/>
  <c r="D17" i="2" a="1"/>
  <c r="T15" i="2" a="1"/>
  <c r="T7" i="2" a="1"/>
  <c r="T21" i="2" a="1"/>
  <c r="T61" i="2" a="1"/>
  <c r="H13" i="2" a="1"/>
  <c r="H22" i="2" a="1"/>
  <c r="T60" i="2" a="1"/>
  <c r="D48" i="2" a="1"/>
  <c r="AB15" i="2" a="1"/>
  <c r="AB24" i="2" a="1"/>
  <c r="AB61" i="2" a="1"/>
  <c r="X50" i="2" a="1"/>
  <c r="AB48" i="2" a="1"/>
  <c r="D67" i="2" a="1"/>
  <c r="T8" i="2" a="1"/>
  <c r="T9" i="2" a="1"/>
  <c r="H8" i="2" a="1"/>
  <c r="T65" i="2" a="1"/>
  <c r="L31" i="2" a="1"/>
  <c r="T53" i="2" a="1"/>
  <c r="H41" i="2" a="1"/>
  <c r="T41" i="2" a="1"/>
  <c r="P49" i="2" a="1"/>
  <c r="M23" i="2" a="1"/>
  <c r="M16" i="2" a="1"/>
  <c r="M13" i="2" a="1"/>
  <c r="D41" i="2" a="1"/>
  <c r="AB38" i="2" a="1"/>
  <c r="D55" i="2" a="1"/>
  <c r="AB67" i="2" a="1"/>
  <c r="L55" i="2" a="1"/>
  <c r="D21" i="2" a="1"/>
  <c r="D22" i="2" a="1"/>
  <c r="D59" i="2" a="1"/>
  <c r="D24" i="2" a="1"/>
  <c r="T18" i="2" a="1"/>
  <c r="T22" i="2" a="1"/>
  <c r="H23" i="2" a="1"/>
  <c r="H19" i="2" a="1"/>
  <c r="L47" i="2" a="1"/>
  <c r="T12" i="2" a="1"/>
  <c r="H7" i="2" a="1"/>
  <c r="H16" i="2" a="1"/>
  <c r="AB9" i="2" a="1"/>
  <c r="L37" i="2" a="1"/>
  <c r="H30" i="2" a="1"/>
  <c r="T30" i="2" a="1"/>
  <c r="P47" i="2" a="1"/>
  <c r="P52" i="2" a="1"/>
  <c r="M10" i="2" a="1"/>
  <c r="M6" i="2" a="1"/>
  <c r="M8" i="2" a="1"/>
  <c r="D31" i="2" a="1"/>
  <c r="AB30" i="2" a="1"/>
  <c r="D54" i="2" a="1"/>
  <c r="AB52" i="2" a="1"/>
  <c r="AB50" i="2" a="1"/>
  <c r="D16" i="2" a="1"/>
  <c r="D10" i="2" a="1"/>
  <c r="D7" i="2" a="1"/>
  <c r="D8" i="2" a="1"/>
  <c r="T23" i="2" a="1"/>
  <c r="T62" i="2" a="1"/>
  <c r="H20" i="2" a="1"/>
  <c r="H59" i="2" a="1"/>
  <c r="T66" i="2" a="1"/>
  <c r="AB49" i="2" a="1"/>
  <c r="H61" i="2" a="1"/>
  <c r="H6" i="2" a="1"/>
  <c r="T63" i="2" a="1"/>
  <c r="L38" i="2" a="1"/>
  <c r="H36" i="2" a="1"/>
  <c r="T38" i="2" a="1"/>
  <c r="P50" i="2" a="1"/>
  <c r="M11" i="2" a="1"/>
  <c r="M18" i="2" a="1"/>
  <c r="M43" i="2" a="1"/>
  <c r="M17" i="2" a="1"/>
  <c r="D37" i="2" a="1"/>
  <c r="AB36" i="2" a="1"/>
  <c r="D50" i="2" a="1"/>
  <c r="L49" i="2" a="1"/>
  <c r="L50" i="2" a="1"/>
  <c r="D23" i="2" a="1"/>
  <c r="D12" i="2" a="1"/>
  <c r="D18" i="2" a="1"/>
  <c r="D62" i="2" a="1"/>
  <c r="T17" i="2" a="1"/>
  <c r="T43" i="2" a="1"/>
  <c r="T59" i="2" a="1"/>
  <c r="H24" i="2" a="1"/>
  <c r="H10" i="2" a="1"/>
  <c r="AB12" i="2" a="1"/>
  <c r="AC67" i="2" a="1"/>
  <c r="AC37" i="2" a="1"/>
  <c r="U48" i="2" a="1"/>
  <c r="H65" i="2" a="1"/>
  <c r="T40" i="2" a="1"/>
  <c r="P14" i="2" a="1"/>
  <c r="Y9" i="2" a="1"/>
  <c r="L25" i="2" a="1"/>
  <c r="T55" i="2" a="1"/>
  <c r="E41" i="2" a="1"/>
  <c r="AB6" i="2" a="1"/>
  <c r="X47" i="2" a="1"/>
  <c r="P43" i="2" a="1"/>
  <c r="D28" i="2" a="1"/>
  <c r="X44" i="2" a="1"/>
  <c r="P65" i="2" a="1"/>
  <c r="AB40" i="2" a="1"/>
  <c r="H40" i="2" a="1"/>
  <c r="T14" i="2" a="1"/>
  <c r="P34" i="2" a="1"/>
  <c r="Y8" i="2" a="1"/>
  <c r="H54" i="2" a="1"/>
  <c r="L68" i="2" a="1"/>
  <c r="T54" i="2" a="1"/>
  <c r="I48" i="2" a="1"/>
  <c r="Q37" i="2" a="1"/>
  <c r="Q50" i="2" a="1"/>
  <c r="AB16" i="2" a="1"/>
  <c r="AB53" i="2" a="1"/>
  <c r="P24" i="2" a="1"/>
  <c r="D45" i="2" a="1"/>
  <c r="X28" i="2" a="1"/>
  <c r="P60" i="2" a="1"/>
  <c r="AB27" i="2" a="1"/>
  <c r="H29" i="2" a="1"/>
  <c r="T28" i="2" a="1"/>
  <c r="P26" i="2" a="1"/>
  <c r="Y18" i="2" a="1"/>
  <c r="L32" i="2" a="1"/>
  <c r="E36" i="2" a="1"/>
  <c r="Q67" i="2" a="1"/>
  <c r="D63" i="2" a="1"/>
  <c r="D33" i="2" a="1"/>
  <c r="X29" i="2" a="1"/>
  <c r="AB68" i="2" a="1"/>
  <c r="T68" i="2" a="1"/>
  <c r="Y11" i="2" a="1"/>
  <c r="L27" i="2" a="1"/>
  <c r="E38" i="2" a="1"/>
  <c r="Q49" i="2" a="1"/>
  <c r="D64" i="2" a="1"/>
  <c r="X33" i="2" a="1"/>
  <c r="AB69" i="2" a="1"/>
  <c r="T26" i="2" a="1"/>
  <c r="Y15" i="2" a="1"/>
  <c r="AB66" i="2" a="1"/>
  <c r="Y31" i="2" a="1"/>
  <c r="I31" i="2" a="1"/>
  <c r="P7" i="2" a="1"/>
  <c r="P6" i="2" a="1"/>
  <c r="H66" i="2" a="1"/>
  <c r="H14" i="2" a="1"/>
  <c r="P27" i="2" a="1"/>
  <c r="L35" i="2" a="1"/>
  <c r="E30" i="2" a="1"/>
  <c r="Q54" i="2" a="1"/>
  <c r="P13" i="2" a="1"/>
  <c r="D71" i="2" a="1"/>
  <c r="AB32" i="2" a="1"/>
  <c r="T71" i="2" a="1"/>
  <c r="Y17" i="2" a="1"/>
  <c r="L28" i="2" a="1"/>
  <c r="AC47" i="2" a="1"/>
  <c r="I38" i="2" a="1"/>
  <c r="AB22" i="2" a="1"/>
  <c r="P15" i="2" a="1"/>
  <c r="X40" i="2" a="1"/>
  <c r="H25" i="2" a="1"/>
  <c r="P69" i="2" a="1"/>
  <c r="Y21" i="2" a="1"/>
  <c r="AB65" i="2" a="1"/>
  <c r="AC49" i="2" a="1"/>
  <c r="AC30" i="2" a="1"/>
  <c r="AB43" i="2" a="1"/>
  <c r="L63" i="2" a="1"/>
  <c r="X25" i="2" a="1"/>
  <c r="H45" i="2" a="1"/>
  <c r="T69" i="2" a="1"/>
  <c r="Y24" i="2" a="1"/>
  <c r="L45" i="2" a="1"/>
  <c r="M31" i="2" a="1"/>
  <c r="AC31" i="2" a="1"/>
  <c r="AB62" i="2" a="1"/>
  <c r="D32" i="2" a="1"/>
  <c r="H33" i="2" a="1"/>
  <c r="T70" i="2" a="1"/>
  <c r="Y23" i="2" a="1"/>
  <c r="L33" i="2" a="1"/>
  <c r="AC55" i="2" a="1"/>
  <c r="E49" i="2" a="1"/>
  <c r="X63" i="2" a="1"/>
  <c r="AC54" i="2" a="1"/>
  <c r="T34" i="2" a="1"/>
  <c r="AC38" i="2" a="1"/>
  <c r="H28" i="2" a="1"/>
  <c r="P28" i="2" a="1"/>
  <c r="AB70" i="2" a="1"/>
  <c r="X60" i="2" a="1"/>
  <c r="X14" i="2" a="1"/>
  <c r="E67" i="2" a="1"/>
  <c r="Q36" i="2" a="1"/>
  <c r="D44" i="2" a="1"/>
  <c r="L69" i="2" a="1"/>
  <c r="P19" i="2" a="1"/>
  <c r="U38" i="2" a="1"/>
  <c r="T29" i="2" a="1"/>
  <c r="M38" i="2" a="1"/>
  <c r="P25" i="2" a="1"/>
  <c r="AB21" i="2" a="1"/>
  <c r="P9" i="2" a="1"/>
  <c r="L66" i="2" a="1"/>
  <c r="Y10" i="2" a="1"/>
  <c r="AC41" i="2" a="1"/>
  <c r="U36" i="2" a="1"/>
  <c r="X49" i="2" a="1"/>
  <c r="P18" i="2" a="1"/>
  <c r="L64" i="2" a="1"/>
  <c r="D39" i="2" a="1"/>
  <c r="X39" i="2" a="1"/>
  <c r="AB45" i="2" a="1"/>
  <c r="Y7" i="2" a="1"/>
  <c r="E55" i="2" a="1"/>
  <c r="X55" i="2" a="1"/>
  <c r="P62" i="2" a="1"/>
  <c r="D29" i="2" a="1"/>
  <c r="X71" i="2" a="1"/>
  <c r="P66" i="2" a="1"/>
  <c r="AB44" i="2" a="1"/>
  <c r="H26" i="2" a="1"/>
  <c r="T44" i="2" a="1"/>
  <c r="P44" i="2" a="1"/>
  <c r="Y19" i="2" a="1"/>
  <c r="H47" i="2" a="1"/>
  <c r="L40" i="2" a="1"/>
  <c r="T49" i="2" a="1"/>
  <c r="I53" i="2" a="1"/>
  <c r="Q38" i="2" a="1"/>
  <c r="Q55" i="2" a="1"/>
  <c r="E54" i="2" a="1"/>
  <c r="H55" i="2" a="1"/>
  <c r="T52" i="2" a="1"/>
  <c r="Q41" i="2" a="1"/>
  <c r="AB17" i="2" a="1"/>
  <c r="P11" i="2" a="1"/>
  <c r="H63" i="2" a="1"/>
  <c r="H27" i="2" a="1"/>
  <c r="P45" i="2" a="1"/>
  <c r="H50" i="2" a="1"/>
  <c r="T67" i="2" a="1"/>
  <c r="I41" i="2" a="1"/>
  <c r="AB18" i="2" a="1"/>
  <c r="P20" i="2" a="1"/>
  <c r="D68" i="2" a="1"/>
  <c r="H60" i="2" a="1"/>
  <c r="H34" i="2" a="1"/>
  <c r="P32" i="2" a="1"/>
  <c r="L44" i="2" a="1"/>
  <c r="E31" i="2" a="1"/>
  <c r="Q47" i="2" a="1"/>
  <c r="AB7" i="2" a="1"/>
  <c r="D35" i="2" a="1"/>
  <c r="X69" i="2" a="1"/>
  <c r="AB29" i="2" a="1"/>
  <c r="T35" i="2" a="1"/>
  <c r="Y6" i="2" a="1"/>
  <c r="AB63" i="2" a="1"/>
  <c r="Y38" i="2" a="1"/>
  <c r="I30" i="2" a="1"/>
  <c r="AB19" i="2" a="1"/>
  <c r="P16" i="2" a="1"/>
  <c r="X34" i="2" a="1"/>
  <c r="H44" i="2" a="1"/>
  <c r="P39" i="2" a="1"/>
  <c r="Y61" i="2" a="1"/>
  <c r="AB60" i="2" a="1"/>
  <c r="Y37" i="2" a="1"/>
  <c r="U53" i="2" a="1"/>
  <c r="P12" i="2" a="1"/>
  <c r="D70" i="2" a="1"/>
  <c r="AB39" i="2" a="1"/>
  <c r="T45" i="2" a="1"/>
  <c r="Y16" i="2" a="1"/>
  <c r="L34" i="2" a="1"/>
  <c r="Y41" i="2" a="1"/>
  <c r="E47" i="2" a="1"/>
  <c r="P21" i="2" a="1"/>
  <c r="D25" i="2" a="1"/>
  <c r="AB14" i="2" a="1"/>
  <c r="P70" i="2" a="1"/>
  <c r="X64" i="2" a="1"/>
  <c r="U37" i="2" a="1"/>
  <c r="AC52" i="2" a="1"/>
  <c r="E52" i="2" a="1"/>
  <c r="L65" i="2" a="1"/>
  <c r="X32" i="2" a="1"/>
  <c r="AB34" i="2" a="1"/>
  <c r="P40" i="2" a="1"/>
  <c r="X66" i="2" a="1"/>
  <c r="M41" i="2" a="1"/>
  <c r="AC36" i="2" a="1"/>
  <c r="L71" i="2" a="1"/>
  <c r="U31" i="2" a="1"/>
  <c r="H71" i="2" a="1"/>
  <c r="M37" i="2" a="1"/>
  <c r="M49" i="2" a="1"/>
  <c r="M67" i="2" a="1"/>
  <c r="AC64" i="2" a="1"/>
  <c r="I24" i="2" a="1"/>
  <c r="I11" i="2" a="1"/>
  <c r="AC18" i="2" a="1"/>
  <c r="I19" i="2" a="1"/>
  <c r="I16" i="2" a="1"/>
  <c r="AC13" i="2" a="1"/>
  <c r="AC24" i="2" a="1"/>
  <c r="U24" i="2" a="1"/>
  <c r="U11" i="2" a="1"/>
  <c r="U13" i="2" a="1"/>
  <c r="U59" i="2" a="1"/>
  <c r="Q17" i="2" a="1"/>
  <c r="Q43" i="2" a="1"/>
  <c r="Q9" i="2" a="1"/>
  <c r="E20" i="2" a="1"/>
  <c r="E18" i="2" a="1"/>
  <c r="E62" i="2" a="1"/>
  <c r="E13" i="2" a="1"/>
  <c r="M44" i="2" a="1"/>
  <c r="M29" i="2" a="1"/>
  <c r="M33" i="2" a="1"/>
  <c r="Y50" i="2" a="1"/>
  <c r="Y49" i="2" a="1"/>
  <c r="E25" i="2" a="1"/>
  <c r="E34" i="2" a="1"/>
  <c r="E27" i="2" a="1"/>
  <c r="Q34" i="2" a="1"/>
  <c r="Q70" i="2" a="1"/>
  <c r="Q28" i="2" a="1"/>
  <c r="Z37" i="2" a="1"/>
  <c r="Q48" i="2" a="1"/>
  <c r="I39" i="2" a="1"/>
  <c r="I34" i="2" a="1"/>
  <c r="I70" i="2" a="1"/>
  <c r="I67" i="2" a="1"/>
  <c r="U35" i="2" a="1"/>
  <c r="U28" i="2" a="1"/>
  <c r="U70" i="2" a="1"/>
  <c r="Z9" i="2" a="1"/>
  <c r="Z16" i="2" a="1"/>
  <c r="Z18" i="2" a="1"/>
  <c r="Z43" i="2" a="1"/>
  <c r="Y27" i="2" a="1"/>
  <c r="Y70" i="2" a="1"/>
  <c r="Y44" i="2" a="1"/>
  <c r="U49" i="2" a="1"/>
  <c r="U54" i="2" a="1"/>
  <c r="AC32" i="2" a="1"/>
  <c r="AC29" i="2" a="1"/>
  <c r="AC27" i="2" a="1"/>
  <c r="E60" i="2" a="1"/>
  <c r="N24" i="2" a="1"/>
  <c r="N21" i="2" a="1"/>
  <c r="E48" i="2" a="1"/>
  <c r="I7" i="2" a="1"/>
  <c r="I59" i="2" a="1"/>
  <c r="AC62" i="2" a="1"/>
  <c r="I9" i="2" a="1"/>
  <c r="M54" i="2" a="1"/>
  <c r="I20" i="2" a="1"/>
  <c r="AC23" i="2" a="1"/>
  <c r="AC66" i="2" a="1"/>
  <c r="M47" i="2" a="1"/>
  <c r="M50" i="2" a="1"/>
  <c r="AC60" i="2" a="1"/>
  <c r="I15" i="2" a="1"/>
  <c r="I10" i="2" a="1"/>
  <c r="I43" i="2" a="1"/>
  <c r="I6" i="2" a="1"/>
  <c r="I18" i="2" a="1"/>
  <c r="AC61" i="2" a="1"/>
  <c r="AC22" i="2" a="1"/>
  <c r="AC6" i="2" a="1"/>
  <c r="U17" i="2" a="1"/>
  <c r="U6" i="2" a="1"/>
  <c r="U7" i="2" a="1"/>
  <c r="Q23" i="2" a="1"/>
  <c r="Q61" i="2" a="1"/>
  <c r="Q22" i="2" a="1"/>
  <c r="AC20" i="2" a="1"/>
  <c r="I22" i="2" a="1"/>
  <c r="AC15" i="2" a="1"/>
  <c r="U62" i="2" a="1"/>
  <c r="M55" i="2" a="1"/>
  <c r="AC63" i="2" a="1"/>
  <c r="I17" i="2" a="1"/>
  <c r="AC9" i="2" a="1"/>
  <c r="AC16" i="2" a="1"/>
  <c r="AC12" i="2" a="1"/>
  <c r="U22" i="2" a="1"/>
  <c r="M52" i="2" a="1"/>
  <c r="AC65" i="2" a="1"/>
  <c r="I23" i="2" a="1"/>
  <c r="AC10" i="2" a="1"/>
  <c r="AC7" i="2" a="1"/>
  <c r="I61" i="2" a="1"/>
  <c r="I13" i="2" a="1"/>
  <c r="AC8" i="2" a="1"/>
  <c r="AC59" i="2" a="1"/>
  <c r="U16" i="2" a="1"/>
  <c r="U20" i="2" a="1"/>
  <c r="U23" i="2" a="1"/>
  <c r="U12" i="2" a="1"/>
  <c r="Q59" i="2" a="1"/>
  <c r="Q21" i="2" a="1"/>
  <c r="Q6" i="2" a="1"/>
  <c r="Q18" i="2" a="1"/>
  <c r="E17" i="2" a="1"/>
  <c r="E22" i="2" a="1"/>
  <c r="E6" i="2" a="1"/>
  <c r="AC53" i="2" a="1"/>
  <c r="M26" i="2" a="1"/>
  <c r="M45" i="2" a="1"/>
  <c r="M40" i="2" a="1"/>
  <c r="Y54" i="2" a="1"/>
  <c r="E28" i="2" a="1"/>
  <c r="E33" i="2" a="1"/>
  <c r="E69" i="2" a="1"/>
  <c r="U64" i="2" a="1"/>
  <c r="Q25" i="2" a="1"/>
  <c r="Q69" i="2" a="1"/>
  <c r="Q32" i="2" a="1"/>
  <c r="Z31" i="2" a="1"/>
  <c r="I25" i="2" a="1"/>
  <c r="I68" i="2" a="1"/>
  <c r="I33" i="2" a="1"/>
  <c r="I50" i="2" a="1"/>
  <c r="U33" i="2" a="1"/>
  <c r="U69" i="2" a="1"/>
  <c r="U34" i="2" a="1"/>
  <c r="Z20" i="2" a="1"/>
  <c r="Z24" i="2" a="1"/>
  <c r="Z10" i="2" a="1"/>
  <c r="Z59" i="2" a="1"/>
  <c r="M65" i="2" a="1"/>
  <c r="Y71" i="2" a="1"/>
  <c r="Y33" i="2" a="1"/>
  <c r="Y35" i="2" a="1"/>
  <c r="U47" i="2" a="1"/>
  <c r="AC68" i="2" a="1"/>
  <c r="AC69" i="2" a="1"/>
  <c r="AC28" i="2" a="1"/>
  <c r="E65" i="2" a="1"/>
  <c r="N8" i="2" a="1"/>
  <c r="N10" i="2" a="1"/>
  <c r="U9" i="2" a="1"/>
  <c r="Q24" i="2" a="1"/>
  <c r="Q10" i="2" a="1"/>
  <c r="E10" i="2" a="1"/>
  <c r="E16" i="2" a="1"/>
  <c r="M14" i="2" a="1"/>
  <c r="Y55" i="2" a="1"/>
  <c r="E35" i="2" a="1"/>
  <c r="U60" i="2" a="1"/>
  <c r="Q71" i="2" a="1"/>
  <c r="Z38" i="2" a="1"/>
  <c r="I32" i="2" a="1"/>
  <c r="I54" i="2" a="1"/>
  <c r="U26" i="2" a="1"/>
  <c r="U25" i="2" a="1"/>
  <c r="Y32" i="2" a="1"/>
  <c r="Y29" i="2" a="1"/>
  <c r="E53" i="2" a="1"/>
  <c r="I8" i="2" a="1"/>
  <c r="Z8" i="2" a="1"/>
  <c r="M60" i="2" a="1"/>
  <c r="Y34" i="2" a="1"/>
  <c r="AC14" i="2" a="1"/>
  <c r="AC25" i="2" a="1"/>
  <c r="E64" i="2" a="1"/>
  <c r="I66" i="2" a="1"/>
  <c r="N59" i="2" a="1"/>
  <c r="U10" i="2" a="1"/>
  <c r="Q15" i="2" a="1"/>
  <c r="Q12" i="2" a="1"/>
  <c r="E8" i="2" a="1"/>
  <c r="E11" i="2" a="1"/>
  <c r="M68" i="2" a="1"/>
  <c r="Y47" i="2" a="1"/>
  <c r="U66" i="2" a="1"/>
  <c r="Z36" i="2" a="1"/>
  <c r="I47" i="2" a="1"/>
  <c r="U71" i="2" a="1"/>
  <c r="AC35" i="2" a="1"/>
  <c r="I12" i="2" a="1"/>
  <c r="U18" i="2" a="1"/>
  <c r="E9" i="2" a="1"/>
  <c r="AC48" i="2" a="1"/>
  <c r="Y52" i="2" a="1"/>
  <c r="Q33" i="2" a="1"/>
  <c r="I14" i="2" a="1"/>
  <c r="U40" i="2" a="1"/>
  <c r="Z17" i="2" a="1"/>
  <c r="M66" i="2" a="1"/>
  <c r="Y39" i="2" a="1"/>
  <c r="N7" i="2" a="1"/>
  <c r="U15" i="2" a="1"/>
  <c r="E7" i="2" a="1"/>
  <c r="M70" i="2" a="1"/>
  <c r="E70" i="2" a="1"/>
  <c r="Q35" i="2" a="1"/>
  <c r="Q53" i="2" a="1"/>
  <c r="I55" i="2" a="1"/>
  <c r="Z12" i="2" a="1"/>
  <c r="I21" i="2" a="1"/>
  <c r="AC17" i="2" a="1"/>
  <c r="Q7" i="2" a="1"/>
  <c r="AC43" i="2" a="1"/>
  <c r="U21" i="2" a="1"/>
  <c r="E12" i="2" a="1"/>
  <c r="E43" i="2" a="1"/>
  <c r="Q8" i="2" a="1"/>
  <c r="E59" i="2" a="1"/>
  <c r="E21" i="2" a="1"/>
  <c r="M28" i="2" a="1"/>
  <c r="Y67" i="2" a="1"/>
  <c r="E29" i="2" a="1"/>
  <c r="U63" i="2" a="1"/>
  <c r="Q44" i="2" a="1"/>
  <c r="Z30" i="2" a="1"/>
  <c r="I28" i="2" a="1"/>
  <c r="I71" i="2" a="1"/>
  <c r="U14" i="2" a="1"/>
  <c r="U44" i="2" a="1"/>
  <c r="Z19" i="2" a="1"/>
  <c r="Y25" i="2" a="1"/>
  <c r="Y68" i="2" a="1"/>
  <c r="U52" i="2" a="1"/>
  <c r="AC40" i="2" a="1"/>
  <c r="N16" i="2" a="1"/>
  <c r="I62" i="2" a="1"/>
  <c r="U19" i="2" a="1"/>
  <c r="Q11" i="2" a="1"/>
  <c r="Z11" i="2" a="1"/>
  <c r="Z13" i="2" a="1"/>
  <c r="AC71" i="2" a="1"/>
  <c r="I65" i="2" a="1"/>
  <c r="E32" i="2" a="1"/>
  <c r="Q45" i="2" a="1"/>
  <c r="I69" i="2" a="1"/>
  <c r="Z23" i="2" a="1"/>
  <c r="Y28" i="2" a="1"/>
  <c r="E63" i="2" a="1"/>
  <c r="AC11" i="2" a="1"/>
  <c r="Q19" i="2" a="1"/>
  <c r="M71" i="2" a="1"/>
  <c r="E45" i="2" a="1"/>
  <c r="U65" i="2" a="1"/>
  <c r="Z41" i="2" a="1"/>
  <c r="I49" i="2" a="1"/>
  <c r="Z6" i="2" a="1"/>
  <c r="Y14" i="2" a="1"/>
  <c r="AC34" i="2" a="1"/>
  <c r="I64" i="2" a="1"/>
  <c r="Q62" i="2" a="1"/>
  <c r="E61" i="2" a="1"/>
  <c r="M32" i="2" a="1"/>
  <c r="E14" i="2" a="1"/>
  <c r="Q14" i="2" a="1"/>
  <c r="I44" i="2" a="1"/>
  <c r="U32" i="2" a="1"/>
  <c r="Z15" i="2" a="1"/>
  <c r="M64" i="2" a="1"/>
  <c r="AC19" i="2" a="1"/>
  <c r="M39" i="2" a="1"/>
  <c r="Q26" i="2" a="1"/>
  <c r="I26" i="2" a="1"/>
  <c r="Z7" i="2" a="1"/>
  <c r="Y26" i="2" a="1"/>
  <c r="I60" i="2" a="1"/>
  <c r="M35" i="2" a="1"/>
  <c r="N13" i="2" a="1"/>
  <c r="AC21" i="2" a="1"/>
  <c r="E23" i="2" a="1"/>
  <c r="Q40" i="2" a="1"/>
  <c r="Z62" i="2" a="1"/>
  <c r="Y69" i="2" a="1"/>
  <c r="AC26" i="2" a="1"/>
  <c r="E44" i="2" a="1"/>
  <c r="Q27" i="2" a="1"/>
  <c r="Z61" i="2" a="1"/>
  <c r="Y45" i="2" a="1"/>
  <c r="N61" i="2" a="1"/>
  <c r="U61" i="2" a="1"/>
  <c r="Q68" i="2" a="1"/>
  <c r="I52" i="2" a="1"/>
  <c r="Z22" i="2" a="1"/>
  <c r="U55" i="2" a="1"/>
  <c r="M34" i="2" a="1"/>
  <c r="Q29" i="2" a="1"/>
  <c r="N15" i="2" a="1"/>
  <c r="U50" i="2" a="1"/>
  <c r="E24" i="2" a="1"/>
  <c r="I35" i="2" a="1"/>
  <c r="I45" i="2" a="1"/>
  <c r="AC45" i="2" a="1"/>
  <c r="E15" i="2" a="1"/>
  <c r="E26" i="2" a="1"/>
  <c r="Z21" i="2" a="1"/>
  <c r="AC70" i="2" a="1"/>
  <c r="Q20" i="2" a="1"/>
  <c r="M25" i="2" a="1"/>
  <c r="E71" i="2" a="1"/>
  <c r="I29" i="2" a="1"/>
  <c r="U68" i="2" a="1"/>
  <c r="M63" i="2" a="1"/>
  <c r="E66" i="2" a="1"/>
  <c r="M69" i="2" a="1"/>
  <c r="U67" i="2" a="1"/>
  <c r="M27" i="2" a="1"/>
  <c r="E40" i="2" a="1"/>
  <c r="I27" i="2" a="1"/>
  <c r="Y40" i="2" a="1"/>
  <c r="AC44" i="2" a="1"/>
  <c r="E39" i="2" a="1"/>
  <c r="I40" i="2" a="1"/>
  <c r="AC39" i="2" a="1"/>
  <c r="E19" i="2" a="1"/>
  <c r="AC33" i="2" a="1"/>
  <c r="U43" i="2" a="1"/>
  <c r="U29" i="2" a="1"/>
  <c r="Q39" i="2" a="1"/>
  <c r="Q16" i="2" a="1"/>
  <c r="I63" i="2" a="1"/>
  <c r="U39" i="2" a="1"/>
  <c r="Q13" i="2" a="1"/>
  <c r="U27" i="2" a="1"/>
  <c r="U8" i="2" a="1"/>
  <c r="N23" i="2" a="1"/>
  <c r="E68" i="2" a="1"/>
  <c r="U45" i="2" a="1"/>
  <c r="N43" i="2" a="1"/>
  <c r="N20" i="2" a="1"/>
  <c r="Q60" i="2" a="1"/>
  <c r="Y65" i="2" a="1"/>
  <c r="F30" i="2" a="1"/>
  <c r="F37" i="2" a="1"/>
  <c r="J38" i="2" a="1"/>
  <c r="N31" i="2" a="1"/>
  <c r="R38" i="2" a="1"/>
  <c r="Z55" i="2" a="1"/>
  <c r="J24" i="2" a="1"/>
  <c r="J13" i="2" a="1"/>
  <c r="J61" i="2" a="1"/>
  <c r="J7" i="2" a="1"/>
  <c r="J65" i="2" a="1"/>
  <c r="AD19" i="2" a="1"/>
  <c r="AD21" i="2" a="1"/>
  <c r="AD23" i="2" a="1"/>
  <c r="R52" i="2" a="1"/>
  <c r="J25" i="2" a="1"/>
  <c r="J45" i="2" a="1"/>
  <c r="J29" i="2" a="1"/>
  <c r="V11" i="2" a="1"/>
  <c r="V22" i="2" a="1"/>
  <c r="V21" i="2" a="1"/>
  <c r="V24" i="2" a="1"/>
  <c r="R45" i="2" a="1"/>
  <c r="R44" i="2" a="1"/>
  <c r="R40" i="2" a="1"/>
  <c r="F50" i="2" a="1"/>
  <c r="R59" i="2" a="1"/>
  <c r="R61" i="2" a="1"/>
  <c r="R20" i="2" a="1"/>
  <c r="R18" i="2" a="1"/>
  <c r="J37" i="2" a="1"/>
  <c r="Z52" i="2" a="1"/>
  <c r="J20" i="2" a="1"/>
  <c r="AD9" i="2" a="1"/>
  <c r="AD15" i="2" a="1"/>
  <c r="J33" i="2" a="1"/>
  <c r="V6" i="2" a="1"/>
  <c r="R33" i="2" a="1"/>
  <c r="R35" i="2" a="1"/>
  <c r="R11" i="2" a="1"/>
  <c r="R22" i="2" a="1"/>
  <c r="N12" i="2" a="1"/>
  <c r="V36" i="2" a="1"/>
  <c r="N37" i="2" a="1"/>
  <c r="Z54" i="2" a="1"/>
  <c r="J10" i="2" a="1"/>
  <c r="J19" i="2" a="1"/>
  <c r="AD61" i="2" a="1"/>
  <c r="R54" i="2" a="1"/>
  <c r="J14" i="2" a="1"/>
  <c r="V17" i="2" a="1"/>
  <c r="V8" i="2" a="1"/>
  <c r="R28" i="2" a="1"/>
  <c r="R16" i="2" a="1"/>
  <c r="R7" i="2" a="1"/>
  <c r="N9" i="2" a="1"/>
  <c r="J27" i="2" a="1"/>
  <c r="Y63" i="2" a="1"/>
  <c r="AD20" i="2" a="1"/>
  <c r="V12" i="2" a="1"/>
  <c r="F54" i="2" a="1"/>
  <c r="N6" i="2" a="1"/>
  <c r="N22" i="2" a="1"/>
  <c r="Q66" i="2" a="1"/>
  <c r="Y64" i="2" a="1"/>
  <c r="V38" i="2" a="1"/>
  <c r="V30" i="2" a="1"/>
  <c r="R31" i="2" a="1"/>
  <c r="J17" i="2" a="1"/>
  <c r="V9" i="2" a="1"/>
  <c r="Q64" i="2" a="1"/>
  <c r="AD59" i="2" a="1"/>
  <c r="V62" i="2" a="1"/>
  <c r="R43" i="2" a="1"/>
  <c r="N36" i="2" a="1"/>
  <c r="J62" i="2" a="1"/>
  <c r="J22" i="2" a="1"/>
  <c r="AD7" i="2" a="1"/>
  <c r="AD6" i="2" a="1"/>
  <c r="R47" i="2" a="1"/>
  <c r="J35" i="2" a="1"/>
  <c r="V61" i="2" a="1"/>
  <c r="V15" i="2" a="1"/>
  <c r="R71" i="2" a="1"/>
  <c r="F67" i="2" a="1"/>
  <c r="R8" i="2" a="1"/>
  <c r="R15" i="2" a="1"/>
  <c r="N11" i="2" a="1"/>
  <c r="V37" i="2" a="1"/>
  <c r="J30" i="2" a="1"/>
  <c r="R41" i="2" a="1"/>
  <c r="J21" i="2" a="1"/>
  <c r="J63" i="2" a="1"/>
  <c r="AD11" i="2" a="1"/>
  <c r="J32" i="2" a="1"/>
  <c r="J34" i="2" a="1"/>
  <c r="R29" i="2" a="1"/>
  <c r="R26" i="2" a="1"/>
  <c r="R13" i="2" a="1"/>
  <c r="N62" i="2" a="1"/>
  <c r="J36" i="2" a="1"/>
  <c r="R37" i="2" a="1"/>
  <c r="J16" i="2" a="1"/>
  <c r="AD17" i="2" a="1"/>
  <c r="J71" i="2" a="1"/>
  <c r="J40" i="2" a="1"/>
  <c r="F55" i="2" a="1"/>
  <c r="R17" i="2" a="1"/>
  <c r="N41" i="2" a="1"/>
  <c r="Q65" i="2" a="1"/>
  <c r="V16" i="2" a="1"/>
  <c r="R55" i="2" a="1"/>
  <c r="R36" i="2" a="1"/>
  <c r="Y66" i="2" a="1"/>
  <c r="J9" i="2" a="1"/>
  <c r="J11" i="2" a="1"/>
  <c r="AD24" i="2" a="1"/>
  <c r="V13" i="2" a="1"/>
  <c r="V10" i="2" a="1"/>
  <c r="R68" i="2" a="1"/>
  <c r="R10" i="2" a="1"/>
  <c r="Z67" i="2" a="1"/>
  <c r="V18" i="2" a="1"/>
  <c r="R62" i="2" a="1"/>
  <c r="F31" i="2" a="1"/>
  <c r="AD62" i="2" a="1"/>
  <c r="R69" i="2" a="1"/>
  <c r="F49" i="2" a="1"/>
  <c r="Z47" i="2" a="1"/>
  <c r="R67" i="2" a="1"/>
  <c r="V7" i="2" a="1"/>
  <c r="R12" i="2" a="1"/>
  <c r="F38" i="2" a="1"/>
  <c r="J66" i="2" a="1"/>
  <c r="V19" i="2" a="1"/>
  <c r="R32" i="2" a="1"/>
  <c r="V41" i="2" a="1"/>
  <c r="R50" i="2" a="1"/>
  <c r="R70" i="2" a="1"/>
  <c r="R23" i="2" a="1"/>
  <c r="Z49" i="2" a="1"/>
  <c r="J64" i="2" a="1"/>
  <c r="V20" i="2" a="1"/>
  <c r="F36" i="2" a="1"/>
  <c r="AD8" i="2" a="1"/>
  <c r="R25" i="2" a="1"/>
  <c r="J15" i="2" a="1"/>
  <c r="J70" i="2" a="1"/>
  <c r="N18" i="2" a="1"/>
  <c r="F41" i="2" a="1"/>
  <c r="J41" i="2" a="1"/>
  <c r="R30" i="2" a="1"/>
  <c r="AD16" i="2" a="1"/>
  <c r="AD43" i="2" a="1"/>
  <c r="J68" i="2" a="1"/>
  <c r="R34" i="2" a="1"/>
  <c r="R19" i="2" a="1"/>
  <c r="J12" i="2" a="1"/>
  <c r="J8" i="2" a="1"/>
  <c r="J26" i="2" a="1"/>
  <c r="V23" i="2" a="1"/>
  <c r="N19" i="2" a="1"/>
  <c r="J31" i="2" a="1"/>
  <c r="J60" i="2" a="1"/>
  <c r="R49" i="2" a="1"/>
  <c r="R14" i="2" a="1"/>
  <c r="N30" i="2" a="1"/>
  <c r="J59" i="2" a="1"/>
  <c r="J69" i="2" a="1"/>
  <c r="R21" i="2" a="1"/>
  <c r="N17" i="2" a="1"/>
  <c r="J43" i="2" a="1"/>
  <c r="AD10" i="2" a="1"/>
  <c r="R27" i="2" a="1"/>
  <c r="Z50" i="2" a="1"/>
  <c r="AD12" i="2" a="1"/>
  <c r="J39" i="2" a="1"/>
  <c r="R9" i="2" a="1"/>
  <c r="J23" i="2" a="1"/>
  <c r="J44" i="2" a="1"/>
  <c r="Q63" i="2" a="1"/>
  <c r="AD18" i="2" a="1"/>
  <c r="F47" i="2" a="1"/>
  <c r="J18" i="2" a="1"/>
  <c r="J28" i="2" a="1"/>
  <c r="R6" i="2" a="1"/>
  <c r="Y60" i="2" a="1"/>
  <c r="V31" i="2" a="1"/>
  <c r="J6" i="2" a="1"/>
  <c r="AD13" i="2" a="1"/>
  <c r="AD22" i="2" a="1"/>
  <c r="V59" i="2" a="1"/>
  <c r="R39" i="2" a="1"/>
  <c r="F52" i="2" a="1"/>
  <c r="N38" i="2" a="1"/>
  <c r="R24" i="2" a="1"/>
  <c r="V43" i="2" a="1"/>
  <c r="N28" i="2" a="1"/>
  <c r="N45" i="2" a="1"/>
  <c r="N14" i="2" a="1"/>
  <c r="V32" i="2" a="1"/>
  <c r="V34" i="2" a="1"/>
  <c r="V70" i="2" a="1"/>
  <c r="V60" i="2" a="1"/>
  <c r="N50" i="2" a="1"/>
  <c r="F26" i="2" a="1"/>
  <c r="F25" i="2" a="1"/>
  <c r="F71" i="2" a="1"/>
  <c r="V53" i="2" a="1"/>
  <c r="Z60" i="2" a="1"/>
  <c r="AD44" i="2" a="1"/>
  <c r="AD28" i="2" a="1"/>
  <c r="AD34" i="2" a="1"/>
  <c r="AD52" i="2" a="1"/>
  <c r="Z34" i="2" a="1"/>
  <c r="Z69" i="2" a="1"/>
  <c r="Z14" i="2" a="1"/>
  <c r="F21" i="2" a="1"/>
  <c r="F62" i="2" a="1"/>
  <c r="F24" i="2" a="1"/>
  <c r="F9" i="2" a="1"/>
  <c r="V49" i="2" a="1"/>
  <c r="N60" i="2" a="1"/>
  <c r="F63" i="2" a="1"/>
  <c r="AD37" i="2" a="1"/>
  <c r="J67" i="2" a="1"/>
  <c r="R65" i="2" a="1"/>
  <c r="AD48" i="2" a="1"/>
  <c r="F61" i="2" a="1"/>
  <c r="F18" i="2" a="1"/>
  <c r="F66" i="2" a="1"/>
  <c r="R63" i="2" a="1"/>
  <c r="Z29" i="2" a="1"/>
  <c r="F6" i="2" a="1"/>
  <c r="N66" i="2" a="1"/>
  <c r="AD38" i="2" a="1"/>
  <c r="AD64" i="2" a="1"/>
  <c r="N71" i="2" a="1"/>
  <c r="N33" i="2" a="1"/>
  <c r="N69" i="2" a="1"/>
  <c r="V68" i="2" a="1"/>
  <c r="V28" i="2" a="1"/>
  <c r="V44" i="2" a="1"/>
  <c r="V64" i="2" a="1"/>
  <c r="N55" i="2" a="1"/>
  <c r="F35" i="2" a="1"/>
  <c r="F68" i="2" a="1"/>
  <c r="F29" i="2" a="1"/>
  <c r="V48" i="2" a="1"/>
  <c r="AD25" i="2" a="1"/>
  <c r="AD70" i="2" a="1"/>
  <c r="AD71" i="2" a="1"/>
  <c r="AD55" i="2" a="1"/>
  <c r="AD54" i="2" a="1"/>
  <c r="Z39" i="2" a="1"/>
  <c r="Z44" i="2" a="1"/>
  <c r="F19" i="2" a="1"/>
  <c r="V55" i="2" a="1"/>
  <c r="J47" i="2" a="1"/>
  <c r="J55" i="2" a="1"/>
  <c r="AD65" i="2" a="1"/>
  <c r="AD31" i="2" a="1"/>
  <c r="N68" i="2" a="1"/>
  <c r="N44" i="2" a="1"/>
  <c r="N70" i="2" a="1"/>
  <c r="V25" i="2" a="1"/>
  <c r="V14" i="2" a="1"/>
  <c r="V39" i="2" a="1"/>
  <c r="V65" i="2" a="1"/>
  <c r="N49" i="2" a="1"/>
  <c r="F27" i="2" a="1"/>
  <c r="F14" i="2" a="1"/>
  <c r="F45" i="2" a="1"/>
  <c r="Z64" i="2" a="1"/>
  <c r="AD39" i="2" a="1"/>
  <c r="AD26" i="2" a="1"/>
  <c r="AD45" i="2" a="1"/>
  <c r="AD47" i="2" a="1"/>
  <c r="F53" i="2" a="1"/>
  <c r="Z40" i="2" a="1"/>
  <c r="Z28" i="2" a="1"/>
  <c r="Z32" i="2" a="1"/>
  <c r="F20" i="2" a="1"/>
  <c r="F13" i="2" a="1"/>
  <c r="F15" i="2" a="1"/>
  <c r="V50" i="2" a="1"/>
  <c r="V67" i="2" a="1"/>
  <c r="J48" i="2" a="1"/>
  <c r="F64" i="2" a="1"/>
  <c r="AD41" i="2" a="1"/>
  <c r="R66" i="2" a="1"/>
  <c r="AD60" i="2" a="1"/>
  <c r="R60" i="2" a="1"/>
  <c r="AD63" i="2" a="1"/>
  <c r="AD36" i="2" a="1"/>
  <c r="R64" i="2" a="1"/>
  <c r="J52" i="2" a="1"/>
  <c r="AD53" i="2" a="1"/>
  <c r="N32" i="2" a="1"/>
  <c r="N29" i="2" a="1"/>
  <c r="N34" i="2" a="1"/>
  <c r="V45" i="2" a="1"/>
  <c r="V40" i="2" a="1"/>
  <c r="V71" i="2" a="1"/>
  <c r="V66" i="2" a="1"/>
  <c r="N52" i="2" a="1"/>
  <c r="F28" i="2" a="1"/>
  <c r="F70" i="2" a="1"/>
  <c r="F33" i="2" a="1"/>
  <c r="Z66" i="2" a="1"/>
  <c r="AD40" i="2" a="1"/>
  <c r="AD29" i="2" a="1"/>
  <c r="AD33" i="2" a="1"/>
  <c r="AD67" i="2" a="1"/>
  <c r="F48" i="2" a="1"/>
  <c r="Z35" i="2" a="1"/>
  <c r="Z27" i="2" a="1"/>
  <c r="Z71" i="2" a="1"/>
  <c r="F7" i="2" a="1"/>
  <c r="F11" i="2" a="1"/>
  <c r="F17" i="2" a="1"/>
  <c r="V54" i="2" a="1"/>
  <c r="N63" i="2" a="1"/>
  <c r="J53" i="2" a="1"/>
  <c r="J54" i="2" a="1"/>
  <c r="J49" i="2" a="1"/>
  <c r="R53" i="2" a="1"/>
  <c r="F10" i="2" a="1"/>
  <c r="N39" i="2" a="1"/>
  <c r="N26" i="2" a="1"/>
  <c r="N40" i="2" a="1"/>
  <c r="V33" i="2" a="1"/>
  <c r="V35" i="2" a="1"/>
  <c r="V27" i="2" a="1"/>
  <c r="V63" i="2" a="1"/>
  <c r="N67" i="2" a="1"/>
  <c r="F44" i="2" a="1"/>
  <c r="F69" i="2" a="1"/>
  <c r="F40" i="2" a="1"/>
  <c r="Z65" i="2" a="1"/>
  <c r="AD69" i="2" a="1"/>
  <c r="AD27" i="2" a="1"/>
  <c r="AD35" i="2" a="1"/>
  <c r="AD49" i="2" a="1"/>
  <c r="Z45" i="2" a="1"/>
  <c r="Z25" i="2" a="1"/>
  <c r="Z26" i="2" a="1"/>
  <c r="F8" i="2" a="1"/>
  <c r="F23" i="2" a="1"/>
  <c r="F16" i="2" a="1"/>
  <c r="V52" i="2" a="1"/>
  <c r="N64" i="2" a="1"/>
  <c r="F60" i="2" a="1"/>
  <c r="AD66" i="2" a="1"/>
  <c r="F22" i="2" a="1"/>
  <c r="F65" i="2" a="1"/>
  <c r="J50" i="2" a="1"/>
  <c r="N27" i="2" a="1"/>
  <c r="N35" i="2" a="1"/>
  <c r="N25" i="2" a="1"/>
  <c r="V29" i="2" a="1"/>
  <c r="V26" i="2" a="1"/>
  <c r="V69" i="2" a="1"/>
  <c r="N47" i="2" a="1"/>
  <c r="N54" i="2" a="1"/>
  <c r="F39" i="2" a="1"/>
  <c r="F32" i="2" a="1"/>
  <c r="F34" i="2" a="1"/>
  <c r="Z63" i="2" a="1"/>
  <c r="AD32" i="2" a="1"/>
  <c r="AD14" i="2" a="1"/>
  <c r="AD68" i="2" a="1"/>
  <c r="AD50" i="2" a="1"/>
  <c r="Z33" i="2" a="1"/>
  <c r="Z68" i="2" a="1"/>
  <c r="Z70" i="2" a="1"/>
  <c r="F59" i="2" a="1"/>
  <c r="F12" i="2" a="1"/>
  <c r="F43" i="2" a="1"/>
  <c r="V47" i="2" a="1"/>
  <c r="N65" i="2" a="1"/>
  <c r="AD30" i="2" a="1"/>
  <c r="R48" i="2" a="1"/>
  <c r="W53" i="2" l="1"/>
  <c r="W48" i="2"/>
  <c r="X17" i="2"/>
  <c r="K26" i="2"/>
  <c r="C33" i="2"/>
  <c r="C30" i="2"/>
  <c r="O28" i="2"/>
  <c r="G27" i="2"/>
  <c r="G48" i="2"/>
  <c r="X7" i="2"/>
  <c r="C45" i="2"/>
  <c r="G29" i="2"/>
  <c r="G53" i="2"/>
  <c r="G15" i="2"/>
  <c r="X11" i="2"/>
  <c r="X22" i="2"/>
  <c r="O25" i="2"/>
  <c r="S69" i="2"/>
  <c r="G33" i="2"/>
  <c r="S23" i="2"/>
  <c r="K34" i="2"/>
  <c r="C7" i="2"/>
  <c r="G16" i="2"/>
  <c r="AA62" i="2"/>
  <c r="W62" i="2"/>
  <c r="L10" i="2"/>
  <c r="C39" i="2"/>
  <c r="X6" i="2"/>
  <c r="O33" i="2"/>
  <c r="S45" i="2"/>
  <c r="L21" i="2"/>
  <c r="C27" i="2"/>
  <c r="C68" i="2"/>
  <c r="AA60" i="2"/>
  <c r="G47" i="2"/>
  <c r="G71" i="2"/>
  <c r="O60" i="2"/>
  <c r="W68" i="2"/>
  <c r="S13" i="2"/>
  <c r="W54" i="2"/>
  <c r="K71" i="2"/>
  <c r="K49" i="2"/>
  <c r="C62" i="2"/>
  <c r="O20" i="2"/>
  <c r="G21" i="2"/>
  <c r="AA47" i="2"/>
  <c r="AA20" i="2"/>
  <c r="C37" i="2"/>
  <c r="K22" i="2"/>
  <c r="S39" i="2"/>
  <c r="S9" i="2"/>
  <c r="AA54" i="2"/>
  <c r="S7" i="2"/>
  <c r="AA30" i="2"/>
  <c r="C63" i="2"/>
  <c r="G31" i="2"/>
  <c r="X13" i="2"/>
  <c r="S65" i="2"/>
  <c r="G24" i="2"/>
  <c r="S71" i="2"/>
  <c r="S53" i="2"/>
  <c r="O71" i="2"/>
  <c r="W25" i="2"/>
  <c r="C31" i="2"/>
  <c r="X61" i="2"/>
  <c r="K70" i="2"/>
  <c r="P30" i="2"/>
  <c r="C23" i="2"/>
  <c r="L15" i="2"/>
  <c r="X16" i="2"/>
  <c r="O34" i="2"/>
  <c r="AA65" i="2"/>
  <c r="W52" i="2"/>
  <c r="S28" i="2"/>
  <c r="G37" i="2"/>
  <c r="O70" i="2"/>
  <c r="K65" i="2"/>
  <c r="C12" i="2"/>
  <c r="S32" i="2"/>
  <c r="S52" i="2"/>
  <c r="W40" i="2"/>
  <c r="K40" i="2"/>
  <c r="C59" i="2"/>
  <c r="W38" i="2"/>
  <c r="X23" i="2"/>
  <c r="X9" i="2"/>
  <c r="O26" i="2"/>
  <c r="S67" i="2"/>
  <c r="W66" i="2"/>
  <c r="O48" i="2"/>
  <c r="K33" i="2"/>
  <c r="O23" i="2"/>
  <c r="G17" i="2"/>
  <c r="O47" i="2"/>
  <c r="W36" i="2"/>
  <c r="L61" i="2"/>
  <c r="C29" i="2"/>
  <c r="O52" i="2"/>
  <c r="K18" i="2"/>
  <c r="P37" i="2"/>
  <c r="X43" i="2"/>
  <c r="X8" i="2"/>
  <c r="O35" i="2"/>
  <c r="O32" i="2"/>
  <c r="S70" i="2"/>
  <c r="S26" i="2"/>
  <c r="S54" i="2"/>
  <c r="G34" i="2"/>
  <c r="G63" i="2"/>
  <c r="W33" i="2"/>
  <c r="O53" i="2"/>
  <c r="S16" i="2"/>
  <c r="K45" i="2"/>
  <c r="C67" i="2"/>
  <c r="C18" i="2"/>
  <c r="O21" i="2"/>
  <c r="O62" i="2"/>
  <c r="G10" i="2"/>
  <c r="AA59" i="2"/>
  <c r="O55" i="2"/>
  <c r="K16" i="2"/>
  <c r="W20" i="2"/>
  <c r="O68" i="2"/>
  <c r="O7" i="2"/>
  <c r="C26" i="2"/>
  <c r="AA36" i="2"/>
  <c r="S55" i="2"/>
  <c r="S60" i="2"/>
  <c r="C43" i="2"/>
  <c r="L59" i="2"/>
  <c r="C14" i="2"/>
  <c r="S63" i="2"/>
  <c r="C61" i="2"/>
  <c r="O9" i="2"/>
  <c r="C66" i="2"/>
  <c r="P38" i="2"/>
  <c r="O39" i="2"/>
  <c r="S35" i="2"/>
  <c r="G25" i="2"/>
  <c r="W27" i="2"/>
  <c r="S43" i="2"/>
  <c r="C54" i="2"/>
  <c r="C20" i="2"/>
  <c r="O61" i="2"/>
  <c r="AA17" i="2"/>
  <c r="K15" i="2"/>
  <c r="S27" i="2"/>
  <c r="L6" i="2"/>
  <c r="X36" i="2"/>
  <c r="AA7" i="2"/>
  <c r="W7" i="2"/>
  <c r="P41" i="2"/>
  <c r="X12" i="2"/>
  <c r="O14" i="2"/>
  <c r="L11" i="2"/>
  <c r="L23" i="2"/>
  <c r="C32" i="2"/>
  <c r="X41" i="2"/>
  <c r="G55" i="2"/>
  <c r="G32" i="2"/>
  <c r="G65" i="2"/>
  <c r="W45" i="2"/>
  <c r="S10" i="2"/>
  <c r="S17" i="2"/>
  <c r="K32" i="2"/>
  <c r="C50" i="2"/>
  <c r="C21" i="2"/>
  <c r="O43" i="2"/>
  <c r="O8" i="2"/>
  <c r="G62" i="2"/>
  <c r="AA19" i="2"/>
  <c r="O54" i="2"/>
  <c r="K6" i="2"/>
  <c r="W13" i="2"/>
  <c r="G26" i="2"/>
  <c r="AA23" i="2"/>
  <c r="S48" i="2"/>
  <c r="K63" i="2"/>
  <c r="K59" i="2"/>
  <c r="P31" i="2"/>
  <c r="O24" i="2"/>
  <c r="X19" i="2"/>
  <c r="K47" i="2"/>
  <c r="L22" i="2"/>
  <c r="AA18" i="2"/>
  <c r="X18" i="2"/>
  <c r="W44" i="2"/>
  <c r="G19" i="2"/>
  <c r="L7" i="2"/>
  <c r="W65" i="2"/>
  <c r="S62" i="2"/>
  <c r="AA31" i="2"/>
  <c r="X10" i="2"/>
  <c r="O69" i="2"/>
  <c r="S40" i="2"/>
  <c r="G67" i="2"/>
  <c r="O66" i="2"/>
  <c r="W29" i="2"/>
  <c r="W49" i="2"/>
  <c r="K52" i="2"/>
  <c r="O13" i="2"/>
  <c r="G23" i="2"/>
  <c r="O31" i="2"/>
  <c r="K13" i="2"/>
  <c r="L62" i="2"/>
  <c r="X31" i="2"/>
  <c r="AA55" i="2"/>
  <c r="AA9" i="2"/>
  <c r="O38" i="2"/>
  <c r="K20" i="2"/>
  <c r="S30" i="2"/>
  <c r="X59" i="2"/>
  <c r="X21" i="2"/>
  <c r="X24" i="2"/>
  <c r="O44" i="2"/>
  <c r="O40" i="2"/>
  <c r="S29" i="2"/>
  <c r="S34" i="2"/>
  <c r="G52" i="2"/>
  <c r="G45" i="2"/>
  <c r="O63" i="2"/>
  <c r="W71" i="2"/>
  <c r="S24" i="2"/>
  <c r="W47" i="2"/>
  <c r="K68" i="2"/>
  <c r="K55" i="2"/>
  <c r="C15" i="2"/>
  <c r="O12" i="2"/>
  <c r="G13" i="2"/>
  <c r="AA49" i="2"/>
  <c r="AA8" i="2"/>
  <c r="O36" i="2"/>
  <c r="K21" i="2"/>
  <c r="AA28" i="2"/>
  <c r="S14" i="2"/>
  <c r="L18" i="2"/>
  <c r="X30" i="2"/>
  <c r="G69" i="2"/>
  <c r="W64" i="2"/>
  <c r="X20" i="2"/>
  <c r="AA70" i="2"/>
  <c r="AA68" i="2"/>
  <c r="N53" i="2"/>
  <c r="M53" i="2"/>
  <c r="K31" i="2"/>
  <c r="W59" i="2"/>
  <c r="W19" i="2"/>
  <c r="W18" i="2"/>
  <c r="W15" i="2"/>
  <c r="S36" i="2"/>
  <c r="AA39" i="2"/>
  <c r="AA29" i="2"/>
  <c r="AA25" i="2"/>
  <c r="N48" i="2"/>
  <c r="M48" i="2"/>
  <c r="K36" i="2"/>
  <c r="K61" i="2"/>
  <c r="G30" i="2"/>
  <c r="W37" i="2"/>
  <c r="W8" i="2"/>
  <c r="W11" i="2"/>
  <c r="W24" i="2"/>
  <c r="W9" i="2"/>
  <c r="S38" i="2"/>
  <c r="AA32" i="2"/>
  <c r="AA71" i="2"/>
  <c r="AA14" i="2"/>
  <c r="L53" i="2"/>
  <c r="K37" i="2"/>
  <c r="K53" i="2"/>
  <c r="L9" i="2"/>
  <c r="C44" i="2"/>
  <c r="C40" i="2"/>
  <c r="AA66" i="2"/>
  <c r="G50" i="2"/>
  <c r="G70" i="2"/>
  <c r="G14" i="2"/>
  <c r="G28" i="2"/>
  <c r="W60" i="2"/>
  <c r="G60" i="2"/>
  <c r="O65" i="2"/>
  <c r="S64" i="2"/>
  <c r="W28" i="2"/>
  <c r="W35" i="2"/>
  <c r="W14" i="2"/>
  <c r="S15" i="2"/>
  <c r="S20" i="2"/>
  <c r="S8" i="2"/>
  <c r="S19" i="2"/>
  <c r="W67" i="2"/>
  <c r="K27" i="2"/>
  <c r="K39" i="2"/>
  <c r="K44" i="2"/>
  <c r="C53" i="2"/>
  <c r="C47" i="2"/>
  <c r="K67" i="2"/>
  <c r="C6" i="2"/>
  <c r="C19" i="2"/>
  <c r="C10" i="2"/>
  <c r="C16" i="2"/>
  <c r="O16" i="2"/>
  <c r="O18" i="2"/>
  <c r="O6" i="2"/>
  <c r="G9" i="2"/>
  <c r="G61" i="2"/>
  <c r="G43" i="2"/>
  <c r="G7" i="2"/>
  <c r="AA50" i="2"/>
  <c r="AA38" i="2"/>
  <c r="AA6" i="2"/>
  <c r="AA22" i="2"/>
  <c r="AA24" i="2"/>
  <c r="AA16" i="2"/>
  <c r="O50" i="2"/>
  <c r="O41" i="2"/>
  <c r="C36" i="2"/>
  <c r="C60" i="2"/>
  <c r="K24" i="2"/>
  <c r="K10" i="2"/>
  <c r="K7" i="2"/>
  <c r="K9" i="2"/>
  <c r="G36" i="2"/>
  <c r="W30" i="2"/>
  <c r="W16" i="2"/>
  <c r="W21" i="2"/>
  <c r="W22" i="2"/>
  <c r="W23" i="2"/>
  <c r="S31" i="2"/>
  <c r="AA44" i="2"/>
  <c r="AA27" i="2"/>
  <c r="AA69" i="2"/>
  <c r="L48" i="2"/>
  <c r="K41" i="2"/>
  <c r="K48" i="2"/>
  <c r="L12" i="2"/>
  <c r="L17" i="2"/>
  <c r="C25" i="2"/>
  <c r="X37" i="2"/>
  <c r="S49" i="2"/>
  <c r="K64" i="2"/>
  <c r="S68" i="2"/>
  <c r="L20" i="2"/>
  <c r="C71" i="2"/>
  <c r="G54" i="2"/>
  <c r="G44" i="2"/>
  <c r="K60" i="2"/>
  <c r="G64" i="2"/>
  <c r="W39" i="2"/>
  <c r="W69" i="2"/>
  <c r="AA53" i="2"/>
  <c r="S21" i="2"/>
  <c r="S59" i="2"/>
  <c r="S6" i="2"/>
  <c r="S61" i="2"/>
  <c r="W50" i="2"/>
  <c r="K25" i="2"/>
  <c r="K28" i="2"/>
  <c r="K29" i="2"/>
  <c r="C48" i="2"/>
  <c r="C52" i="2"/>
  <c r="K50" i="2"/>
  <c r="C9" i="2"/>
  <c r="C24" i="2"/>
  <c r="C22" i="2"/>
  <c r="C17" i="2"/>
  <c r="O11" i="2"/>
  <c r="O15" i="2"/>
  <c r="O10" i="2"/>
  <c r="G12" i="2"/>
  <c r="G20" i="2"/>
  <c r="G8" i="2"/>
  <c r="G6" i="2"/>
  <c r="AA52" i="2"/>
  <c r="AA37" i="2"/>
  <c r="AA11" i="2"/>
  <c r="AA10" i="2"/>
  <c r="AA21" i="2"/>
  <c r="AA61" i="2"/>
  <c r="O49" i="2"/>
  <c r="O37" i="2"/>
  <c r="C41" i="2"/>
  <c r="C65" i="2"/>
  <c r="K19" i="2"/>
  <c r="K12" i="2"/>
  <c r="K8" i="2"/>
  <c r="K43" i="2"/>
  <c r="G38" i="2"/>
  <c r="W31" i="2"/>
  <c r="W10" i="2"/>
  <c r="W17" i="2"/>
  <c r="W43" i="2"/>
  <c r="Z48" i="2"/>
  <c r="S37" i="2"/>
  <c r="AA33" i="2"/>
  <c r="AA40" i="2"/>
  <c r="AA34" i="2"/>
  <c r="X53" i="2"/>
  <c r="K38" i="2"/>
  <c r="Y48" i="2"/>
  <c r="L24" i="2"/>
  <c r="C35" i="2"/>
  <c r="S50" i="2"/>
  <c r="W26" i="2"/>
  <c r="L8" i="2"/>
  <c r="C69" i="2"/>
  <c r="AA64" i="2"/>
  <c r="G40" i="2"/>
  <c r="O64" i="2"/>
  <c r="P36" i="2"/>
  <c r="X62" i="2"/>
  <c r="X15" i="2"/>
  <c r="O27" i="2"/>
  <c r="O45" i="2"/>
  <c r="S25" i="2"/>
  <c r="O29" i="2"/>
  <c r="S33" i="2"/>
  <c r="S44" i="2"/>
  <c r="L13" i="2"/>
  <c r="L43" i="2"/>
  <c r="L16" i="2"/>
  <c r="L19" i="2"/>
  <c r="C70" i="2"/>
  <c r="C28" i="2"/>
  <c r="C34" i="2"/>
  <c r="X38" i="2"/>
  <c r="AA63" i="2"/>
  <c r="S47" i="2"/>
  <c r="G49" i="2"/>
  <c r="G39" i="2"/>
  <c r="G35" i="2"/>
  <c r="G68" i="2"/>
  <c r="K66" i="2"/>
  <c r="W63" i="2"/>
  <c r="G66" i="2"/>
  <c r="S66" i="2"/>
  <c r="W32" i="2"/>
  <c r="W70" i="2"/>
  <c r="W34" i="2"/>
  <c r="AA48" i="2"/>
  <c r="S22" i="2"/>
  <c r="S18" i="2"/>
  <c r="S12" i="2"/>
  <c r="S11" i="2"/>
  <c r="W55" i="2"/>
  <c r="K14" i="2"/>
  <c r="K69" i="2"/>
  <c r="K35" i="2"/>
  <c r="C49" i="2"/>
  <c r="C55" i="2"/>
  <c r="K54" i="2"/>
  <c r="C13" i="2"/>
  <c r="C11" i="2"/>
  <c r="C8" i="2"/>
  <c r="O17" i="2"/>
  <c r="O22" i="2"/>
  <c r="O59" i="2"/>
  <c r="O19" i="2"/>
  <c r="G18" i="2"/>
  <c r="G11" i="2"/>
  <c r="G22" i="2"/>
  <c r="G59" i="2"/>
  <c r="AA67" i="2"/>
  <c r="AA41" i="2"/>
  <c r="AA12" i="2"/>
  <c r="AA13" i="2"/>
  <c r="AA15" i="2"/>
  <c r="AA43" i="2"/>
  <c r="O67" i="2"/>
  <c r="O30" i="2"/>
  <c r="C38" i="2"/>
  <c r="C64" i="2"/>
  <c r="K11" i="2"/>
  <c r="K23" i="2"/>
  <c r="K62" i="2"/>
  <c r="K17" i="2"/>
  <c r="G41" i="2"/>
  <c r="W41" i="2"/>
  <c r="W61" i="2"/>
  <c r="W12" i="2"/>
  <c r="W6" i="2"/>
  <c r="Z53" i="2"/>
  <c r="S41" i="2"/>
  <c r="AA45" i="2"/>
  <c r="AA35" i="2"/>
  <c r="AA26" i="2"/>
  <c r="X48" i="2"/>
  <c r="K30" i="2"/>
  <c r="Y53" i="2"/>
  <c r="M37" i="2"/>
  <c r="H71" i="2"/>
  <c r="U31" i="2"/>
  <c r="L71" i="2"/>
  <c r="AC36" i="2"/>
  <c r="M41" i="2"/>
  <c r="X66" i="2"/>
  <c r="P40" i="2"/>
  <c r="AB34" i="2"/>
  <c r="X32" i="2"/>
  <c r="L65" i="2"/>
  <c r="E52" i="2"/>
  <c r="AC52" i="2"/>
  <c r="U37" i="2"/>
  <c r="X64" i="2"/>
  <c r="P70" i="2"/>
  <c r="AB14" i="2"/>
  <c r="D25" i="2"/>
  <c r="P21" i="2"/>
  <c r="E47" i="2"/>
  <c r="Y41" i="2"/>
  <c r="L34" i="2"/>
  <c r="Y16" i="2"/>
  <c r="T45" i="2"/>
  <c r="AB39" i="2"/>
  <c r="D70" i="2"/>
  <c r="P12" i="2"/>
  <c r="U53" i="2"/>
  <c r="Y37" i="2"/>
  <c r="AB60" i="2"/>
  <c r="Y61" i="2"/>
  <c r="P39" i="2"/>
  <c r="H44" i="2"/>
  <c r="X34" i="2"/>
  <c r="P16" i="2"/>
  <c r="AB19" i="2"/>
  <c r="I30" i="2"/>
  <c r="Y38" i="2"/>
  <c r="AB63" i="2"/>
  <c r="Y6" i="2"/>
  <c r="T35" i="2"/>
  <c r="AB29" i="2"/>
  <c r="X69" i="2"/>
  <c r="D35" i="2"/>
  <c r="AB7" i="2"/>
  <c r="Q47" i="2"/>
  <c r="E31" i="2"/>
  <c r="L44" i="2"/>
  <c r="P32" i="2"/>
  <c r="H34" i="2"/>
  <c r="H60" i="2"/>
  <c r="D68" i="2"/>
  <c r="P20" i="2"/>
  <c r="AB18" i="2"/>
  <c r="I41" i="2"/>
  <c r="T67" i="2"/>
  <c r="H50" i="2"/>
  <c r="P45" i="2"/>
  <c r="H27" i="2"/>
  <c r="H63" i="2"/>
  <c r="P11" i="2"/>
  <c r="AB17" i="2"/>
  <c r="Q41" i="2"/>
  <c r="T52" i="2"/>
  <c r="H55" i="2"/>
  <c r="E54" i="2"/>
  <c r="Q55" i="2"/>
  <c r="Q38" i="2"/>
  <c r="I53" i="2"/>
  <c r="T49" i="2"/>
  <c r="L40" i="2"/>
  <c r="H47" i="2"/>
  <c r="Y19" i="2"/>
  <c r="P44" i="2"/>
  <c r="T44" i="2"/>
  <c r="H26" i="2"/>
  <c r="AB44" i="2"/>
  <c r="P66" i="2"/>
  <c r="X71" i="2"/>
  <c r="D29" i="2"/>
  <c r="P62" i="2"/>
  <c r="X55" i="2"/>
  <c r="E55" i="2"/>
  <c r="Y7" i="2"/>
  <c r="AB45" i="2"/>
  <c r="X39" i="2"/>
  <c r="D39" i="2"/>
  <c r="L64" i="2"/>
  <c r="P18" i="2"/>
  <c r="X49" i="2"/>
  <c r="U36" i="2"/>
  <c r="AC41" i="2"/>
  <c r="Y10" i="2"/>
  <c r="L66" i="2"/>
  <c r="P9" i="2"/>
  <c r="AB21" i="2"/>
  <c r="P25" i="2"/>
  <c r="M38" i="2"/>
  <c r="T29" i="2"/>
  <c r="U38" i="2"/>
  <c r="P19" i="2"/>
  <c r="L69" i="2"/>
  <c r="D44" i="2"/>
  <c r="Q36" i="2"/>
  <c r="E67" i="2"/>
  <c r="X14" i="2"/>
  <c r="X60" i="2"/>
  <c r="AB70" i="2"/>
  <c r="P28" i="2"/>
  <c r="H28" i="2"/>
  <c r="AC38" i="2"/>
  <c r="T34" i="2"/>
  <c r="AC54" i="2"/>
  <c r="X63" i="2"/>
  <c r="E49" i="2"/>
  <c r="AC55" i="2"/>
  <c r="L33" i="2"/>
  <c r="Y23" i="2"/>
  <c r="T70" i="2"/>
  <c r="H33" i="2"/>
  <c r="D32" i="2"/>
  <c r="AB62" i="2"/>
  <c r="AC31" i="2"/>
  <c r="M31" i="2"/>
  <c r="L45" i="2"/>
  <c r="Y24" i="2"/>
  <c r="T69" i="2"/>
  <c r="H45" i="2"/>
  <c r="X25" i="2"/>
  <c r="L63" i="2"/>
  <c r="AB43" i="2"/>
  <c r="AC30" i="2"/>
  <c r="AC49" i="2"/>
  <c r="AB65" i="2"/>
  <c r="Y21" i="2"/>
  <c r="P69" i="2"/>
  <c r="H25" i="2"/>
  <c r="X40" i="2"/>
  <c r="P15" i="2"/>
  <c r="AB22" i="2"/>
  <c r="I38" i="2"/>
  <c r="AC47" i="2"/>
  <c r="L28" i="2"/>
  <c r="Y17" i="2"/>
  <c r="T71" i="2"/>
  <c r="AB32" i="2"/>
  <c r="D71" i="2"/>
  <c r="P13" i="2"/>
  <c r="Q54" i="2"/>
  <c r="E30" i="2"/>
  <c r="L35" i="2"/>
  <c r="P27" i="2"/>
  <c r="H14" i="2"/>
  <c r="H66" i="2"/>
  <c r="P6" i="2"/>
  <c r="P7" i="2"/>
  <c r="I31" i="2"/>
  <c r="Y31" i="2"/>
  <c r="AB66" i="2"/>
  <c r="Y15" i="2"/>
  <c r="T26" i="2"/>
  <c r="AB69" i="2"/>
  <c r="X33" i="2"/>
  <c r="D64" i="2"/>
  <c r="Q49" i="2"/>
  <c r="E38" i="2"/>
  <c r="L27" i="2"/>
  <c r="Y11" i="2"/>
  <c r="T68" i="2"/>
  <c r="AB68" i="2"/>
  <c r="X29" i="2"/>
  <c r="D33" i="2"/>
  <c r="D63" i="2"/>
  <c r="Q67" i="2"/>
  <c r="E36" i="2"/>
  <c r="L32" i="2"/>
  <c r="Y18" i="2"/>
  <c r="P26" i="2"/>
  <c r="T28" i="2"/>
  <c r="H29" i="2"/>
  <c r="AB27" i="2"/>
  <c r="P60" i="2"/>
  <c r="X28" i="2"/>
  <c r="D45" i="2"/>
  <c r="P24" i="2"/>
  <c r="AB53" i="2"/>
  <c r="AB16" i="2"/>
  <c r="Q50" i="2"/>
  <c r="Q37" i="2"/>
  <c r="I48" i="2"/>
  <c r="T54" i="2"/>
  <c r="L68" i="2"/>
  <c r="H54" i="2"/>
  <c r="Y8" i="2"/>
  <c r="P34" i="2"/>
  <c r="T14" i="2"/>
  <c r="H40" i="2"/>
  <c r="AB40" i="2"/>
  <c r="P65" i="2"/>
  <c r="X44" i="2"/>
  <c r="D28" i="2"/>
  <c r="P43" i="2"/>
  <c r="X47" i="2"/>
  <c r="AB6" i="2"/>
  <c r="E41" i="2"/>
  <c r="T55" i="2"/>
  <c r="L25" i="2"/>
  <c r="Y9" i="2"/>
  <c r="P14" i="2"/>
  <c r="T40" i="2"/>
  <c r="H65" i="2"/>
  <c r="U48" i="2"/>
  <c r="AC37" i="2"/>
  <c r="AC67" i="2"/>
  <c r="AB12" i="2"/>
  <c r="H10" i="2"/>
  <c r="H24" i="2"/>
  <c r="T59" i="2"/>
  <c r="T43" i="2"/>
  <c r="T17" i="2"/>
  <c r="D62" i="2"/>
  <c r="D18" i="2"/>
  <c r="D12" i="2"/>
  <c r="D23" i="2"/>
  <c r="L50" i="2"/>
  <c r="L49" i="2"/>
  <c r="D50" i="2"/>
  <c r="AB36" i="2"/>
  <c r="D37" i="2"/>
  <c r="M17" i="2"/>
  <c r="M43" i="2"/>
  <c r="M18" i="2"/>
  <c r="M11" i="2"/>
  <c r="P50" i="2"/>
  <c r="T38" i="2"/>
  <c r="H36" i="2"/>
  <c r="L38" i="2"/>
  <c r="T63" i="2"/>
  <c r="H6" i="2"/>
  <c r="H61" i="2"/>
  <c r="AB49" i="2"/>
  <c r="T66" i="2"/>
  <c r="H59" i="2"/>
  <c r="H20" i="2"/>
  <c r="T62" i="2"/>
  <c r="T23" i="2"/>
  <c r="D8" i="2"/>
  <c r="D7" i="2"/>
  <c r="D10" i="2"/>
  <c r="D16" i="2"/>
  <c r="AB50" i="2"/>
  <c r="AB52" i="2"/>
  <c r="D54" i="2"/>
  <c r="AB30" i="2"/>
  <c r="D31" i="2"/>
  <c r="M8" i="2"/>
  <c r="M6" i="2"/>
  <c r="M10" i="2"/>
  <c r="P52" i="2"/>
  <c r="P47" i="2"/>
  <c r="T30" i="2"/>
  <c r="H30" i="2"/>
  <c r="L37" i="2"/>
  <c r="AB9" i="2"/>
  <c r="H16" i="2"/>
  <c r="H7" i="2"/>
  <c r="T12" i="2"/>
  <c r="L47" i="2"/>
  <c r="H19" i="2"/>
  <c r="H23" i="2"/>
  <c r="T22" i="2"/>
  <c r="T18" i="2"/>
  <c r="D24" i="2"/>
  <c r="D59" i="2"/>
  <c r="D22" i="2"/>
  <c r="D21" i="2"/>
  <c r="L55" i="2"/>
  <c r="AB67" i="2"/>
  <c r="D55" i="2"/>
  <c r="AB38" i="2"/>
  <c r="D41" i="2"/>
  <c r="M13" i="2"/>
  <c r="M16" i="2"/>
  <c r="M23" i="2"/>
  <c r="P49" i="2"/>
  <c r="T41" i="2"/>
  <c r="H41" i="2"/>
  <c r="T53" i="2"/>
  <c r="L31" i="2"/>
  <c r="T65" i="2"/>
  <c r="H8" i="2"/>
  <c r="T9" i="2"/>
  <c r="T8" i="2"/>
  <c r="D67" i="2"/>
  <c r="AB48" i="2"/>
  <c r="X50" i="2"/>
  <c r="AB61" i="2"/>
  <c r="AB24" i="2"/>
  <c r="AB15" i="2"/>
  <c r="D48" i="2"/>
  <c r="T60" i="2"/>
  <c r="H22" i="2"/>
  <c r="H13" i="2"/>
  <c r="T61" i="2"/>
  <c r="T21" i="2"/>
  <c r="T7" i="2"/>
  <c r="T15" i="2"/>
  <c r="D17" i="2"/>
  <c r="D9" i="2"/>
  <c r="D11" i="2"/>
  <c r="D61" i="2"/>
  <c r="L52" i="2"/>
  <c r="AB54" i="2"/>
  <c r="D47" i="2"/>
  <c r="AB41" i="2"/>
  <c r="D38" i="2"/>
  <c r="M62" i="2"/>
  <c r="M9" i="2"/>
  <c r="M59" i="2"/>
  <c r="M12" i="2"/>
  <c r="P67" i="2"/>
  <c r="T37" i="2"/>
  <c r="H31" i="2"/>
  <c r="T48" i="2"/>
  <c r="L30" i="2"/>
  <c r="D60" i="2"/>
  <c r="H21" i="2"/>
  <c r="I37" i="2"/>
  <c r="M36" i="2"/>
  <c r="U41" i="2"/>
  <c r="H67" i="2"/>
  <c r="Y22" i="2"/>
  <c r="P68" i="2"/>
  <c r="T25" i="2"/>
  <c r="H70" i="2"/>
  <c r="AB25" i="2"/>
  <c r="AB26" i="2"/>
  <c r="P64" i="2"/>
  <c r="X70" i="2"/>
  <c r="X45" i="2"/>
  <c r="D26" i="2"/>
  <c r="D69" i="2"/>
  <c r="D27" i="2"/>
  <c r="L60" i="2"/>
  <c r="P8" i="2"/>
  <c r="P23" i="2"/>
  <c r="P59" i="2"/>
  <c r="D65" i="2"/>
  <c r="X54" i="2"/>
  <c r="X52" i="2"/>
  <c r="AB23" i="2"/>
  <c r="AB20" i="2"/>
  <c r="AB10" i="2"/>
  <c r="D53" i="2"/>
  <c r="H17" i="2"/>
  <c r="H18" i="2"/>
  <c r="H43" i="2"/>
  <c r="H15" i="2"/>
  <c r="T24" i="2"/>
  <c r="T20" i="2"/>
  <c r="T11" i="2"/>
  <c r="T10" i="2"/>
  <c r="D20" i="2"/>
  <c r="D19" i="2"/>
  <c r="D6" i="2"/>
  <c r="H48" i="2"/>
  <c r="L54" i="2"/>
  <c r="AB47" i="2"/>
  <c r="D52" i="2"/>
  <c r="AB37" i="2"/>
  <c r="D30" i="2"/>
  <c r="M19" i="2"/>
  <c r="M22" i="2"/>
  <c r="M21" i="2"/>
  <c r="M24" i="2"/>
  <c r="P54" i="2"/>
  <c r="T36" i="2"/>
  <c r="H37" i="2"/>
  <c r="P53" i="2"/>
  <c r="L41" i="2"/>
  <c r="Q31" i="2"/>
  <c r="Y30" i="2"/>
  <c r="L70" i="2"/>
  <c r="Y43" i="2"/>
  <c r="P71" i="2"/>
  <c r="H39" i="2"/>
  <c r="AB71" i="2"/>
  <c r="X68" i="2"/>
  <c r="AC50" i="2"/>
  <c r="T47" i="2"/>
  <c r="L29" i="2"/>
  <c r="H52" i="2"/>
  <c r="Y59" i="2"/>
  <c r="T32" i="2"/>
  <c r="H69" i="2"/>
  <c r="E50" i="2"/>
  <c r="Q52" i="2"/>
  <c r="I36" i="2"/>
  <c r="Q30" i="2"/>
  <c r="E37" i="2"/>
  <c r="M30" i="2"/>
  <c r="Y36" i="2"/>
  <c r="T50" i="2"/>
  <c r="U30" i="2"/>
  <c r="AB64" i="2"/>
  <c r="L14" i="2"/>
  <c r="L26" i="2"/>
  <c r="L39" i="2"/>
  <c r="H49" i="2"/>
  <c r="X65" i="2"/>
  <c r="Y13" i="2"/>
  <c r="Y62" i="2"/>
  <c r="Y12" i="2"/>
  <c r="Y20" i="2"/>
  <c r="P33" i="2"/>
  <c r="P35" i="2"/>
  <c r="P29" i="2"/>
  <c r="T27" i="2"/>
  <c r="T39" i="2"/>
  <c r="T33" i="2"/>
  <c r="H68" i="2"/>
  <c r="H32" i="2"/>
  <c r="H35" i="2"/>
  <c r="AB28" i="2"/>
  <c r="AB33" i="2"/>
  <c r="AB35" i="2"/>
  <c r="H64" i="2"/>
  <c r="P63" i="2"/>
  <c r="X35" i="2"/>
  <c r="X27" i="2"/>
  <c r="X26" i="2"/>
  <c r="D40" i="2"/>
  <c r="D14" i="2"/>
  <c r="D34" i="2"/>
  <c r="P10" i="2"/>
  <c r="P17" i="2"/>
  <c r="P61" i="2"/>
  <c r="P22" i="2"/>
  <c r="D66" i="2"/>
  <c r="X67" i="2"/>
  <c r="AB13" i="2"/>
  <c r="AB59" i="2"/>
  <c r="AB11" i="2"/>
  <c r="AB8" i="2"/>
  <c r="T64" i="2"/>
  <c r="H12" i="2"/>
  <c r="H62" i="2"/>
  <c r="H11" i="2"/>
  <c r="H9" i="2"/>
  <c r="T16" i="2"/>
  <c r="T6" i="2"/>
  <c r="T19" i="2"/>
  <c r="T13" i="2"/>
  <c r="D15" i="2"/>
  <c r="D43" i="2"/>
  <c r="D13" i="2"/>
  <c r="H53" i="2"/>
  <c r="L67" i="2"/>
  <c r="AB55" i="2"/>
  <c r="D49" i="2"/>
  <c r="AB31" i="2"/>
  <c r="D36" i="2"/>
  <c r="M61" i="2"/>
  <c r="M7" i="2"/>
  <c r="M20" i="2"/>
  <c r="M15" i="2"/>
  <c r="P55" i="2"/>
  <c r="T31" i="2"/>
  <c r="H38" i="2"/>
  <c r="P48" i="2"/>
  <c r="L36" i="2"/>
  <c r="U45" i="2"/>
  <c r="E68" i="2"/>
  <c r="N23" i="2"/>
  <c r="U8" i="2"/>
  <c r="U27" i="2"/>
  <c r="Q13" i="2"/>
  <c r="U39" i="2"/>
  <c r="I63" i="2"/>
  <c r="Q16" i="2"/>
  <c r="Q39" i="2"/>
  <c r="U29" i="2"/>
  <c r="U43" i="2"/>
  <c r="AC33" i="2"/>
  <c r="E19" i="2"/>
  <c r="AC39" i="2"/>
  <c r="I40" i="2"/>
  <c r="E39" i="2"/>
  <c r="AC44" i="2"/>
  <c r="Y40" i="2"/>
  <c r="I27" i="2"/>
  <c r="E40" i="2"/>
  <c r="M27" i="2"/>
  <c r="U67" i="2"/>
  <c r="M69" i="2"/>
  <c r="E66" i="2"/>
  <c r="M63" i="2"/>
  <c r="U68" i="2"/>
  <c r="I29" i="2"/>
  <c r="E71" i="2"/>
  <c r="M25" i="2"/>
  <c r="Q20" i="2"/>
  <c r="AC70" i="2"/>
  <c r="Z21" i="2"/>
  <c r="E26" i="2"/>
  <c r="E15" i="2"/>
  <c r="AC45" i="2"/>
  <c r="I45" i="2"/>
  <c r="I35" i="2"/>
  <c r="E24" i="2"/>
  <c r="U50" i="2"/>
  <c r="N15" i="2"/>
  <c r="Q29" i="2"/>
  <c r="M34" i="2"/>
  <c r="U55" i="2"/>
  <c r="Z22" i="2"/>
  <c r="I52" i="2"/>
  <c r="Q68" i="2"/>
  <c r="U61" i="2"/>
  <c r="N61" i="2"/>
  <c r="Y45" i="2"/>
  <c r="Z61" i="2"/>
  <c r="Q27" i="2"/>
  <c r="E44" i="2"/>
  <c r="AC26" i="2"/>
  <c r="Y69" i="2"/>
  <c r="Z62" i="2"/>
  <c r="Q40" i="2"/>
  <c r="E23" i="2"/>
  <c r="AC21" i="2"/>
  <c r="N13" i="2"/>
  <c r="M35" i="2"/>
  <c r="I60" i="2"/>
  <c r="Y26" i="2"/>
  <c r="Z7" i="2"/>
  <c r="I26" i="2"/>
  <c r="Q26" i="2"/>
  <c r="M39" i="2"/>
  <c r="AC19" i="2"/>
  <c r="M64" i="2"/>
  <c r="Z15" i="2"/>
  <c r="U32" i="2"/>
  <c r="I44" i="2"/>
  <c r="Q14" i="2"/>
  <c r="E14" i="2"/>
  <c r="M32" i="2"/>
  <c r="E61" i="2"/>
  <c r="Q62" i="2"/>
  <c r="I64" i="2"/>
  <c r="AC34" i="2"/>
  <c r="Y14" i="2"/>
  <c r="Z6" i="2"/>
  <c r="I49" i="2"/>
  <c r="Z41" i="2"/>
  <c r="U65" i="2"/>
  <c r="E45" i="2"/>
  <c r="M71" i="2"/>
  <c r="Q19" i="2"/>
  <c r="AC11" i="2"/>
  <c r="E63" i="2"/>
  <c r="Y28" i="2"/>
  <c r="Z23" i="2"/>
  <c r="I69" i="2"/>
  <c r="Q45" i="2"/>
  <c r="E32" i="2"/>
  <c r="I65" i="2"/>
  <c r="AC71" i="2"/>
  <c r="Z13" i="2"/>
  <c r="Z11" i="2"/>
  <c r="Q11" i="2"/>
  <c r="U19" i="2"/>
  <c r="I62" i="2"/>
  <c r="N16" i="2"/>
  <c r="AC40" i="2"/>
  <c r="U52" i="2"/>
  <c r="Y68" i="2"/>
  <c r="Y25" i="2"/>
  <c r="Z19" i="2"/>
  <c r="U44" i="2"/>
  <c r="U14" i="2"/>
  <c r="I71" i="2"/>
  <c r="I28" i="2"/>
  <c r="Z30" i="2"/>
  <c r="Q44" i="2"/>
  <c r="U63" i="2"/>
  <c r="E29" i="2"/>
  <c r="Y67" i="2"/>
  <c r="M28" i="2"/>
  <c r="E21" i="2"/>
  <c r="E59" i="2"/>
  <c r="Q8" i="2"/>
  <c r="E43" i="2"/>
  <c r="E12" i="2"/>
  <c r="U21" i="2"/>
  <c r="AC43" i="2"/>
  <c r="Q7" i="2"/>
  <c r="AC17" i="2"/>
  <c r="I21" i="2"/>
  <c r="Z12" i="2"/>
  <c r="I55" i="2"/>
  <c r="Q53" i="2"/>
  <c r="Q35" i="2"/>
  <c r="E70" i="2"/>
  <c r="M70" i="2"/>
  <c r="E7" i="2"/>
  <c r="U15" i="2"/>
  <c r="N7" i="2"/>
  <c r="Y39" i="2"/>
  <c r="M66" i="2"/>
  <c r="Z17" i="2"/>
  <c r="U40" i="2"/>
  <c r="I14" i="2"/>
  <c r="Q33" i="2"/>
  <c r="Y52" i="2"/>
  <c r="AC48" i="2"/>
  <c r="E9" i="2"/>
  <c r="U18" i="2"/>
  <c r="I12" i="2"/>
  <c r="AC35" i="2"/>
  <c r="U71" i="2"/>
  <c r="I47" i="2"/>
  <c r="Z36" i="2"/>
  <c r="U66" i="2"/>
  <c r="Y47" i="2"/>
  <c r="M68" i="2"/>
  <c r="E11" i="2"/>
  <c r="E8" i="2"/>
  <c r="Q12" i="2"/>
  <c r="Q15" i="2"/>
  <c r="U10" i="2"/>
  <c r="N59" i="2"/>
  <c r="I66" i="2"/>
  <c r="E64" i="2"/>
  <c r="AC25" i="2"/>
  <c r="AC14" i="2"/>
  <c r="Y34" i="2"/>
  <c r="M60" i="2"/>
  <c r="Z8" i="2"/>
  <c r="I8" i="2"/>
  <c r="E53" i="2"/>
  <c r="Y29" i="2"/>
  <c r="Y32" i="2"/>
  <c r="U25" i="2"/>
  <c r="U26" i="2"/>
  <c r="I54" i="2"/>
  <c r="I32" i="2"/>
  <c r="Z38" i="2"/>
  <c r="Q71" i="2"/>
  <c r="U60" i="2"/>
  <c r="E35" i="2"/>
  <c r="Y55" i="2"/>
  <c r="M14" i="2"/>
  <c r="E16" i="2"/>
  <c r="E10" i="2"/>
  <c r="Q10" i="2"/>
  <c r="Q24" i="2"/>
  <c r="U9" i="2"/>
  <c r="N10" i="2"/>
  <c r="N8" i="2"/>
  <c r="E65" i="2"/>
  <c r="AC28" i="2"/>
  <c r="AC69" i="2"/>
  <c r="AC68" i="2"/>
  <c r="U47" i="2"/>
  <c r="Y35" i="2"/>
  <c r="Y33" i="2"/>
  <c r="Y71" i="2"/>
  <c r="M65" i="2"/>
  <c r="Z59" i="2"/>
  <c r="Z10" i="2"/>
  <c r="Z24" i="2"/>
  <c r="Z20" i="2"/>
  <c r="U34" i="2"/>
  <c r="U69" i="2"/>
  <c r="U33" i="2"/>
  <c r="I50" i="2"/>
  <c r="I33" i="2"/>
  <c r="I68" i="2"/>
  <c r="I25" i="2"/>
  <c r="Z31" i="2"/>
  <c r="Q32" i="2"/>
  <c r="Q69" i="2"/>
  <c r="Q25" i="2"/>
  <c r="U64" i="2"/>
  <c r="E69" i="2"/>
  <c r="E33" i="2"/>
  <c r="E28" i="2"/>
  <c r="Y54" i="2"/>
  <c r="M40" i="2"/>
  <c r="M45" i="2"/>
  <c r="M26" i="2"/>
  <c r="AC53" i="2"/>
  <c r="E6" i="2"/>
  <c r="E22" i="2"/>
  <c r="E17" i="2"/>
  <c r="Q18" i="2"/>
  <c r="Q6" i="2"/>
  <c r="Q21" i="2"/>
  <c r="Q59" i="2"/>
  <c r="U12" i="2"/>
  <c r="U23" i="2"/>
  <c r="U20" i="2"/>
  <c r="U16" i="2"/>
  <c r="AC59" i="2"/>
  <c r="AC8" i="2"/>
  <c r="I13" i="2"/>
  <c r="I61" i="2"/>
  <c r="AC7" i="2"/>
  <c r="AC10" i="2"/>
  <c r="I23" i="2"/>
  <c r="AC65" i="2"/>
  <c r="M52" i="2"/>
  <c r="U22" i="2"/>
  <c r="AC12" i="2"/>
  <c r="AC16" i="2"/>
  <c r="AC9" i="2"/>
  <c r="I17" i="2"/>
  <c r="AC63" i="2"/>
  <c r="M55" i="2"/>
  <c r="U62" i="2"/>
  <c r="AC15" i="2"/>
  <c r="I22" i="2"/>
  <c r="AC20" i="2"/>
  <c r="Q22" i="2"/>
  <c r="Q61" i="2"/>
  <c r="Q23" i="2"/>
  <c r="U7" i="2"/>
  <c r="U6" i="2"/>
  <c r="U17" i="2"/>
  <c r="AC6" i="2"/>
  <c r="AC22" i="2"/>
  <c r="AC61" i="2"/>
  <c r="I18" i="2"/>
  <c r="I6" i="2"/>
  <c r="I43" i="2"/>
  <c r="I10" i="2"/>
  <c r="I15" i="2"/>
  <c r="AC60" i="2"/>
  <c r="M50" i="2"/>
  <c r="M47" i="2"/>
  <c r="AC66" i="2"/>
  <c r="AC23" i="2"/>
  <c r="I20" i="2"/>
  <c r="M54" i="2"/>
  <c r="I9" i="2"/>
  <c r="AC62" i="2"/>
  <c r="I59" i="2"/>
  <c r="I7" i="2"/>
  <c r="E48" i="2"/>
  <c r="N21" i="2"/>
  <c r="N24" i="2"/>
  <c r="E60" i="2"/>
  <c r="AC27" i="2"/>
  <c r="AC29" i="2"/>
  <c r="AC32" i="2"/>
  <c r="U54" i="2"/>
  <c r="U49" i="2"/>
  <c r="Y44" i="2"/>
  <c r="Y70" i="2"/>
  <c r="Y27" i="2"/>
  <c r="Z43" i="2"/>
  <c r="Z18" i="2"/>
  <c r="Z16" i="2"/>
  <c r="Z9" i="2"/>
  <c r="U70" i="2"/>
  <c r="U28" i="2"/>
  <c r="U35" i="2"/>
  <c r="I67" i="2"/>
  <c r="I70" i="2"/>
  <c r="I34" i="2"/>
  <c r="I39" i="2"/>
  <c r="Q48" i="2"/>
  <c r="Z37" i="2"/>
  <c r="Q28" i="2"/>
  <c r="Q70" i="2"/>
  <c r="Q34" i="2"/>
  <c r="E27" i="2"/>
  <c r="E34" i="2"/>
  <c r="E25" i="2"/>
  <c r="Y49" i="2"/>
  <c r="Y50" i="2"/>
  <c r="M33" i="2"/>
  <c r="M29" i="2"/>
  <c r="M44" i="2"/>
  <c r="E13" i="2"/>
  <c r="E62" i="2"/>
  <c r="E18" i="2"/>
  <c r="E20" i="2"/>
  <c r="Q9" i="2"/>
  <c r="Q43" i="2"/>
  <c r="Q17" i="2"/>
  <c r="U59" i="2"/>
  <c r="U13" i="2"/>
  <c r="U11" i="2"/>
  <c r="U24" i="2"/>
  <c r="AC24" i="2"/>
  <c r="AC13" i="2"/>
  <c r="I16" i="2"/>
  <c r="I19" i="2"/>
  <c r="AC18" i="2"/>
  <c r="I11" i="2"/>
  <c r="I24" i="2"/>
  <c r="AC64" i="2"/>
  <c r="M67" i="2"/>
  <c r="M49" i="2"/>
  <c r="V43" i="2"/>
  <c r="R24" i="2"/>
  <c r="N38" i="2"/>
  <c r="F52" i="2"/>
  <c r="R39" i="2"/>
  <c r="V59" i="2"/>
  <c r="AD22" i="2"/>
  <c r="AD13" i="2"/>
  <c r="J6" i="2"/>
  <c r="V31" i="2"/>
  <c r="Y60" i="2"/>
  <c r="R6" i="2"/>
  <c r="J28" i="2"/>
  <c r="J18" i="2"/>
  <c r="F47" i="2"/>
  <c r="AD18" i="2"/>
  <c r="Q63" i="2"/>
  <c r="J44" i="2"/>
  <c r="J23" i="2"/>
  <c r="R9" i="2"/>
  <c r="J39" i="2"/>
  <c r="AD12" i="2"/>
  <c r="Z50" i="2"/>
  <c r="R27" i="2"/>
  <c r="AD10" i="2"/>
  <c r="J43" i="2"/>
  <c r="N17" i="2"/>
  <c r="R21" i="2"/>
  <c r="J69" i="2"/>
  <c r="J59" i="2"/>
  <c r="N30" i="2"/>
  <c r="R14" i="2"/>
  <c r="R49" i="2"/>
  <c r="J60" i="2"/>
  <c r="J31" i="2"/>
  <c r="N19" i="2"/>
  <c r="V23" i="2"/>
  <c r="J26" i="2"/>
  <c r="J8" i="2"/>
  <c r="J12" i="2"/>
  <c r="R19" i="2"/>
  <c r="R34" i="2"/>
  <c r="J68" i="2"/>
  <c r="AD43" i="2"/>
  <c r="AD16" i="2"/>
  <c r="R30" i="2"/>
  <c r="J41" i="2"/>
  <c r="F41" i="2"/>
  <c r="N18" i="2"/>
  <c r="J70" i="2"/>
  <c r="J15" i="2"/>
  <c r="R25" i="2"/>
  <c r="AD8" i="2"/>
  <c r="F36" i="2"/>
  <c r="V20" i="2"/>
  <c r="J64" i="2"/>
  <c r="Z49" i="2"/>
  <c r="R23" i="2"/>
  <c r="R70" i="2"/>
  <c r="R50" i="2"/>
  <c r="V41" i="2"/>
  <c r="R32" i="2"/>
  <c r="V19" i="2"/>
  <c r="J66" i="2"/>
  <c r="F38" i="2"/>
  <c r="R12" i="2"/>
  <c r="V7" i="2"/>
  <c r="R67" i="2"/>
  <c r="Z47" i="2"/>
  <c r="F49" i="2"/>
  <c r="R69" i="2"/>
  <c r="AD62" i="2"/>
  <c r="F31" i="2"/>
  <c r="R62" i="2"/>
  <c r="V18" i="2"/>
  <c r="Z67" i="2"/>
  <c r="R10" i="2"/>
  <c r="R68" i="2"/>
  <c r="V10" i="2"/>
  <c r="V13" i="2"/>
  <c r="AD24" i="2"/>
  <c r="J11" i="2"/>
  <c r="J9" i="2"/>
  <c r="Y66" i="2"/>
  <c r="R36" i="2"/>
  <c r="R55" i="2"/>
  <c r="V16" i="2"/>
  <c r="Q65" i="2"/>
  <c r="N41" i="2"/>
  <c r="R17" i="2"/>
  <c r="F55" i="2"/>
  <c r="J40" i="2"/>
  <c r="J71" i="2"/>
  <c r="AD17" i="2"/>
  <c r="J16" i="2"/>
  <c r="R37" i="2"/>
  <c r="J36" i="2"/>
  <c r="N62" i="2"/>
  <c r="R13" i="2"/>
  <c r="R26" i="2"/>
  <c r="R29" i="2"/>
  <c r="J34" i="2"/>
  <c r="J32" i="2"/>
  <c r="AD11" i="2"/>
  <c r="J63" i="2"/>
  <c r="J21" i="2"/>
  <c r="R41" i="2"/>
  <c r="J30" i="2"/>
  <c r="V37" i="2"/>
  <c r="N11" i="2"/>
  <c r="R15" i="2"/>
  <c r="R8" i="2"/>
  <c r="F67" i="2"/>
  <c r="R71" i="2"/>
  <c r="V15" i="2"/>
  <c r="V61" i="2"/>
  <c r="J35" i="2"/>
  <c r="R47" i="2"/>
  <c r="AD6" i="2"/>
  <c r="AD7" i="2"/>
  <c r="J22" i="2"/>
  <c r="J62" i="2"/>
  <c r="N36" i="2"/>
  <c r="R43" i="2"/>
  <c r="V62" i="2"/>
  <c r="AD59" i="2"/>
  <c r="Q64" i="2"/>
  <c r="V9" i="2"/>
  <c r="J17" i="2"/>
  <c r="R31" i="2"/>
  <c r="V30" i="2"/>
  <c r="V38" i="2"/>
  <c r="Y64" i="2"/>
  <c r="Q66" i="2"/>
  <c r="N22" i="2"/>
  <c r="N6" i="2"/>
  <c r="F54" i="2"/>
  <c r="V12" i="2"/>
  <c r="AD20" i="2"/>
  <c r="Y63" i="2"/>
  <c r="J27" i="2"/>
  <c r="N9" i="2"/>
  <c r="R7" i="2"/>
  <c r="R16" i="2"/>
  <c r="R28" i="2"/>
  <c r="V8" i="2"/>
  <c r="V17" i="2"/>
  <c r="J14" i="2"/>
  <c r="R54" i="2"/>
  <c r="AD61" i="2"/>
  <c r="J19" i="2"/>
  <c r="J10" i="2"/>
  <c r="Z54" i="2"/>
  <c r="N37" i="2"/>
  <c r="V36" i="2"/>
  <c r="N12" i="2"/>
  <c r="R22" i="2"/>
  <c r="R11" i="2"/>
  <c r="R35" i="2"/>
  <c r="R33" i="2"/>
  <c r="V6" i="2"/>
  <c r="J33" i="2"/>
  <c r="AD15" i="2"/>
  <c r="AD9" i="2"/>
  <c r="J20" i="2"/>
  <c r="Z52" i="2"/>
  <c r="J37" i="2"/>
  <c r="R18" i="2"/>
  <c r="R20" i="2"/>
  <c r="R61" i="2"/>
  <c r="R59" i="2"/>
  <c r="F50" i="2"/>
  <c r="R40" i="2"/>
  <c r="R44" i="2"/>
  <c r="R45" i="2"/>
  <c r="V24" i="2"/>
  <c r="V21" i="2"/>
  <c r="V22" i="2"/>
  <c r="V11" i="2"/>
  <c r="J29" i="2"/>
  <c r="J45" i="2"/>
  <c r="J25" i="2"/>
  <c r="R52" i="2"/>
  <c r="AD23" i="2"/>
  <c r="AD21" i="2"/>
  <c r="AD19" i="2"/>
  <c r="J65" i="2"/>
  <c r="J7" i="2"/>
  <c r="J61" i="2"/>
  <c r="J13" i="2"/>
  <c r="J24" i="2"/>
  <c r="Z55" i="2"/>
  <c r="R38" i="2"/>
  <c r="N31" i="2"/>
  <c r="J38" i="2"/>
  <c r="F37" i="2"/>
  <c r="F30" i="2"/>
  <c r="Y65" i="2"/>
  <c r="Q60" i="2"/>
  <c r="N20" i="2"/>
  <c r="N43" i="2"/>
  <c r="R48" i="2"/>
  <c r="AD30" i="2"/>
  <c r="N65" i="2"/>
  <c r="V47" i="2"/>
  <c r="F43" i="2"/>
  <c r="F12" i="2"/>
  <c r="F59" i="2"/>
  <c r="Z70" i="2"/>
  <c r="Z68" i="2"/>
  <c r="Z33" i="2"/>
  <c r="AD50" i="2"/>
  <c r="AD68" i="2"/>
  <c r="AD14" i="2"/>
  <c r="AD32" i="2"/>
  <c r="Z63" i="2"/>
  <c r="F34" i="2"/>
  <c r="F32" i="2"/>
  <c r="F39" i="2"/>
  <c r="N54" i="2"/>
  <c r="N47" i="2"/>
  <c r="V69" i="2"/>
  <c r="V26" i="2"/>
  <c r="V29" i="2"/>
  <c r="N25" i="2"/>
  <c r="N35" i="2"/>
  <c r="N27" i="2"/>
  <c r="J50" i="2"/>
  <c r="F65" i="2"/>
  <c r="F22" i="2"/>
  <c r="AD66" i="2"/>
  <c r="F60" i="2"/>
  <c r="N64" i="2"/>
  <c r="V52" i="2"/>
  <c r="F16" i="2"/>
  <c r="F23" i="2"/>
  <c r="F8" i="2"/>
  <c r="Z26" i="2"/>
  <c r="Z25" i="2"/>
  <c r="Z45" i="2"/>
  <c r="AD49" i="2"/>
  <c r="AD35" i="2"/>
  <c r="AD27" i="2"/>
  <c r="AD69" i="2"/>
  <c r="Z65" i="2"/>
  <c r="F40" i="2"/>
  <c r="F69" i="2"/>
  <c r="F44" i="2"/>
  <c r="N67" i="2"/>
  <c r="V63" i="2"/>
  <c r="V27" i="2"/>
  <c r="V35" i="2"/>
  <c r="V33" i="2"/>
  <c r="N40" i="2"/>
  <c r="N26" i="2"/>
  <c r="N39" i="2"/>
  <c r="F10" i="2"/>
  <c r="R53" i="2"/>
  <c r="J49" i="2"/>
  <c r="J54" i="2"/>
  <c r="J53" i="2"/>
  <c r="N63" i="2"/>
  <c r="V54" i="2"/>
  <c r="F17" i="2"/>
  <c r="F11" i="2"/>
  <c r="F7" i="2"/>
  <c r="Z71" i="2"/>
  <c r="Z27" i="2"/>
  <c r="Z35" i="2"/>
  <c r="F48" i="2"/>
  <c r="AD67" i="2"/>
  <c r="AD33" i="2"/>
  <c r="AD29" i="2"/>
  <c r="AD40" i="2"/>
  <c r="Z66" i="2"/>
  <c r="F33" i="2"/>
  <c r="F70" i="2"/>
  <c r="F28" i="2"/>
  <c r="N52" i="2"/>
  <c r="V66" i="2"/>
  <c r="V71" i="2"/>
  <c r="V40" i="2"/>
  <c r="V45" i="2"/>
  <c r="N34" i="2"/>
  <c r="N29" i="2"/>
  <c r="N32" i="2"/>
  <c r="AD53" i="2"/>
  <c r="J52" i="2"/>
  <c r="R64" i="2"/>
  <c r="AD36" i="2"/>
  <c r="AD63" i="2"/>
  <c r="R60" i="2"/>
  <c r="AD60" i="2"/>
  <c r="R66" i="2"/>
  <c r="AD41" i="2"/>
  <c r="F64" i="2"/>
  <c r="J48" i="2"/>
  <c r="V67" i="2"/>
  <c r="V50" i="2"/>
  <c r="F15" i="2"/>
  <c r="F13" i="2"/>
  <c r="F20" i="2"/>
  <c r="Z32" i="2"/>
  <c r="Z28" i="2"/>
  <c r="Z40" i="2"/>
  <c r="F53" i="2"/>
  <c r="AD47" i="2"/>
  <c r="AD45" i="2"/>
  <c r="AD26" i="2"/>
  <c r="AD39" i="2"/>
  <c r="Z64" i="2"/>
  <c r="F45" i="2"/>
  <c r="F14" i="2"/>
  <c r="F27" i="2"/>
  <c r="N49" i="2"/>
  <c r="V65" i="2"/>
  <c r="V39" i="2"/>
  <c r="V14" i="2"/>
  <c r="V25" i="2"/>
  <c r="N70" i="2"/>
  <c r="N44" i="2"/>
  <c r="N68" i="2"/>
  <c r="AD31" i="2"/>
  <c r="AD65" i="2"/>
  <c r="J55" i="2"/>
  <c r="J47" i="2"/>
  <c r="V55" i="2"/>
  <c r="F19" i="2"/>
  <c r="Z44" i="2"/>
  <c r="Z39" i="2"/>
  <c r="AD54" i="2"/>
  <c r="AD55" i="2"/>
  <c r="AD71" i="2"/>
  <c r="AD70" i="2"/>
  <c r="AD25" i="2"/>
  <c r="V48" i="2"/>
  <c r="F29" i="2"/>
  <c r="F68" i="2"/>
  <c r="F35" i="2"/>
  <c r="N55" i="2"/>
  <c r="V64" i="2"/>
  <c r="V44" i="2"/>
  <c r="V28" i="2"/>
  <c r="V68" i="2"/>
  <c r="N69" i="2"/>
  <c r="N33" i="2"/>
  <c r="N71" i="2"/>
  <c r="AD64" i="2"/>
  <c r="AD38" i="2"/>
  <c r="N66" i="2"/>
  <c r="F6" i="2"/>
  <c r="Z29" i="2"/>
  <c r="R63" i="2"/>
  <c r="F66" i="2"/>
  <c r="F18" i="2"/>
  <c r="F61" i="2"/>
  <c r="AD48" i="2"/>
  <c r="R65" i="2"/>
  <c r="J67" i="2"/>
  <c r="AD37" i="2"/>
  <c r="F63" i="2"/>
  <c r="N60" i="2"/>
  <c r="V49" i="2"/>
  <c r="F9" i="2"/>
  <c r="F24" i="2"/>
  <c r="F62" i="2"/>
  <c r="F21" i="2"/>
  <c r="Z14" i="2"/>
  <c r="Z69" i="2"/>
  <c r="Z34" i="2"/>
  <c r="AD52" i="2"/>
  <c r="AD34" i="2"/>
  <c r="AD28" i="2"/>
  <c r="AD44" i="2"/>
  <c r="Z60" i="2"/>
  <c r="V53" i="2"/>
  <c r="F71" i="2"/>
  <c r="F25" i="2"/>
  <c r="F26" i="2"/>
  <c r="N50" i="2"/>
  <c r="V60" i="2"/>
  <c r="V70" i="2"/>
  <c r="V34" i="2"/>
  <c r="V32" i="2"/>
  <c r="N14" i="2"/>
  <c r="N45" i="2"/>
  <c r="N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<sst xmlns="http://schemas.openxmlformats.org/spreadsheetml/2006/main" count="216" uniqueCount="183">
  <si>
    <t>Revenue</t>
  </si>
  <si>
    <t>Gross Profit</t>
  </si>
  <si>
    <t>Reference Items</t>
  </si>
  <si>
    <t>Right click to show data transparency (not supported for all values)</t>
  </si>
  <si>
    <t>Nucor Corp (NUE US) - BBG Adjusted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</si>
  <si>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</si>
  <si>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</si>
  <si>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</si>
  <si>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</si>
  <si>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</si>
  <si>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</si>
  <si>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</si>
  <si>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</si>
  <si>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</si>
  <si>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</si>
  <si>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</si>
  <si>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</si>
  <si>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</si>
  <si>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</si>
  <si>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</si>
  <si>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</si>
  <si>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</si>
  <si>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</si>
  <si>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</si>
  <si>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</si>
  <si>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</si>
  <si>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</si>
  <si>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</si>
  <si>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</si>
  <si>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</si>
  <si>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</si>
  <si>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</si>
  <si>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</si>
  <si>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</si>
  <si>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</si>
  <si>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</si>
  <si>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</si>
  <si>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03/30/2019</t>
  </si>
  <si>
    <t>06/29/2019</t>
  </si>
  <si>
    <t>09/28/2019</t>
  </si>
  <si>
    <t>12/31/2019</t>
  </si>
  <si>
    <t>04/04/2020</t>
  </si>
  <si>
    <t>07/04/2020</t>
  </si>
  <si>
    <t>10/03/2020</t>
  </si>
  <si>
    <t>12/31/2020</t>
  </si>
  <si>
    <t>04/03/2021</t>
  </si>
  <si>
    <t>07/03/2021</t>
  </si>
  <si>
    <t>10/02/2021</t>
  </si>
  <si>
    <t>12/31/2021</t>
  </si>
  <si>
    <t>04/02/2022</t>
  </si>
  <si>
    <t>06/29/2022</t>
  </si>
  <si>
    <t>10/01/2022</t>
  </si>
  <si>
    <t>12/31/2022</t>
  </si>
  <si>
    <t>04/01/2023</t>
  </si>
  <si>
    <t>07/01/2023</t>
  </si>
  <si>
    <t>09/30/2023</t>
  </si>
  <si>
    <t>12/31/2023</t>
  </si>
  <si>
    <t>03/30/2024</t>
  </si>
  <si>
    <t>06/29/2024</t>
  </si>
  <si>
    <t>09/28/2024</t>
  </si>
  <si>
    <t>12/31/2024</t>
  </si>
  <si>
    <t>04/05/2025</t>
  </si>
  <si>
    <t>07/05/2025</t>
  </si>
  <si>
    <t>10/04/2025</t>
  </si>
  <si>
    <t>12/31/2025</t>
  </si>
  <si>
    <t>03/31/2026</t>
  </si>
  <si>
    <t>06/30/2026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</si>
  <si>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</si>
  <si>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</si>
  <si>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</si>
  <si>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</si>
  <si>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</si>
  <si>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</si>
  <si>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</si>
  <si>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</si>
  <si>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</si>
  <si>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</si>
  <si>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</si>
  <si>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</si>
  <si>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</si>
  <si>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</si>
  <si>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</si>
  <si>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</si>
  <si>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</si>
  <si>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</si>
  <si>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</si>
  <si>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</si>
  <si>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</si>
  <si>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</si>
  <si>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</si>
  <si>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</si>
  <si>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</si>
  <si>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</si>
  <si>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</si>
  <si>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</si>
  <si>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</si>
  <si>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</si>
  <si>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</si>
  <si>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</si>
  <si>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</si>
  <si>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</si>
  <si>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</si>
  <si>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</si>
  <si>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</si>
  <si>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</si>
  <si>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Asset Write-Down</t>
  </si>
  <si>
    <t>IS_IMPAIRMENT_ASSETS</t>
  </si>
  <si>
    <t xml:space="preserve">    + Impairment of Intangibles</t>
  </si>
  <si>
    <t>IS_IMPAIR_OF_INTANG_ASSETS</t>
  </si>
  <si>
    <t xml:space="preserve">    + Restructuring</t>
  </si>
  <si>
    <t>IS_RESTRUCTURING_EXPENSES</t>
  </si>
  <si>
    <t xml:space="preserve">    + Insurance Settlement</t>
  </si>
  <si>
    <t>IS_INSURANCE_SETTLEMENTS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</si>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</sst>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BDH|17314258196157920181</stp>
        <tr r="T13" s="2"/>
      </tp>
      <tp t="s">
        <v>#N/A N/A</v>
        <stp/>
        <stp>BDH|10573970510590043234</stp>
        <tr r="X63" s="2"/>
      </tp>
      <tp t="s">
        <v>#N/A N/A</v>
        <stp/>
        <stp>BDH|12854602266199836174</stp>
        <tr r="V19" s="2"/>
      </tp>
      <tp t="s">
        <v>#N/A N/A</v>
        <stp/>
        <stp>BDH|17123844745759616870</stp>
        <tr r="I24" s="2"/>
      </tp>
      <tp t="s">
        <v>#N/A N/A</v>
        <stp/>
        <stp>BDH|10700784141588724187</stp>
        <tr r="H32" s="2"/>
      </tp>
      <tp t="s">
        <v>#N/A N/A</v>
        <stp/>
        <stp>BDH|14257978105644431343</stp>
        <tr r="T7" s="2"/>
      </tp>
      <tp t="s">
        <v>#N/A N/A</v>
        <stp/>
        <stp>BDH|13821996001521534153</stp>
        <tr r="L7" s="2"/>
      </tp>
      <tp t="s">
        <v>#N/A N/A</v>
        <stp/>
        <stp>BDH|10193855014911380203</stp>
        <tr r="Y7" s="2"/>
      </tp>
      <tp t="s">
        <v>#N/A N/A</v>
        <stp/>
        <stp>BDH|11876542222175966942</stp>
        <tr r="H65" s="2"/>
      </tp>
      <tp t="s">
        <v>#N/A N/A</v>
        <stp/>
        <stp>BDH|18092956185691413260</stp>
        <tr r="V61" s="2"/>
      </tp>
      <tp t="s">
        <v>#N/A N/A</v>
        <stp/>
        <stp>BDH|14790413614762633963</stp>
        <tr r="R21" s="2"/>
      </tp>
      <tp t="s">
        <v>#N/A N/A</v>
        <stp/>
        <stp>BDH|12062866643101748509</stp>
        <tr r="K67" s="2"/>
      </tp>
      <tp t="s">
        <v>#N/A N/A</v>
        <stp/>
        <stp>BDH|13216278861684582936</stp>
        <tr r="G38" s="2"/>
      </tp>
      <tp t="s">
        <v>#N/A N/A</v>
        <stp/>
        <stp>BDH|11789234753108381462</stp>
        <tr r="N23" s="2"/>
      </tp>
      <tp t="s">
        <v>#N/A N/A</v>
        <stp/>
        <stp>BDH|12774037861429452748</stp>
        <tr r="AC32" s="2"/>
      </tp>
      <tp t="s">
        <v>#N/A N/A</v>
        <stp/>
        <stp>BDH|10750112080117646453</stp>
        <tr r="N10" s="2"/>
      </tp>
      <tp t="s">
        <v>#N/A N/A</v>
        <stp/>
        <stp>BDH|12133084519988749133</stp>
        <tr r="F23" s="2"/>
      </tp>
      <tp t="s">
        <v>#N/A N/A</v>
        <stp/>
        <stp>BDH|16435669463125055957</stp>
        <tr r="O71" s="2"/>
      </tp>
      <tp t="s">
        <v>#N/A N/A</v>
        <stp/>
        <stp>BDH|13872065987685966444</stp>
        <tr r="J9" s="2"/>
      </tp>
      <tp t="s">
        <v>#N/A N/A</v>
        <stp/>
        <stp>BDH|16087510684947023617</stp>
        <tr r="K48" s="2"/>
      </tp>
      <tp t="s">
        <v>#N/A N/A</v>
        <stp/>
        <stp>BDH|17518011392894483058</stp>
        <tr r="V50" s="2"/>
      </tp>
      <tp t="s">
        <v>#N/A N/A</v>
        <stp/>
        <stp>BDH|11974022208868317364</stp>
        <tr r="D50" s="2"/>
      </tp>
      <tp t="s">
        <v>#N/A N/A</v>
        <stp/>
        <stp>BDH|15639823108424989331</stp>
        <tr r="W43" s="2"/>
      </tp>
      <tp t="s">
        <v>#N/A N/A</v>
        <stp/>
        <stp>BDH|13776402802705219814</stp>
        <tr r="C22" s="2"/>
      </tp>
      <tp t="s">
        <v>#N/A N/A</v>
        <stp/>
        <stp>BDH|16767927920711721640</stp>
        <tr r="Z64" s="2"/>
      </tp>
      <tp t="s">
        <v>#N/A N/A</v>
        <stp/>
        <stp>BDH|18224022560770839418</stp>
        <tr r="R65" s="2"/>
      </tp>
      <tp t="s">
        <v>#N/A N/A</v>
        <stp/>
        <stp>BDH|11911919331903152214</stp>
        <tr r="E37" s="2"/>
      </tp>
      <tp t="s">
        <v>#N/A N/A</v>
        <stp/>
        <stp>BDH|10669931448953663430</stp>
        <tr r="Q22" s="2"/>
      </tp>
      <tp t="s">
        <v>#N/A N/A</v>
        <stp/>
        <stp>BDH|10530861989359790357</stp>
        <tr r="P61" s="2"/>
      </tp>
      <tp t="s">
        <v>#N/A N/A</v>
        <stp/>
        <stp>BDH|16361743598614675619</stp>
        <tr r="P22" s="2"/>
      </tp>
      <tp t="s">
        <v>#N/A N/A</v>
        <stp/>
        <stp>BDH|17974426820783258817</stp>
        <tr r="J35" s="2"/>
      </tp>
      <tp t="s">
        <v>#N/A N/A</v>
        <stp/>
        <stp>BDH|16443642292246936533</stp>
        <tr r="X31" s="2"/>
      </tp>
      <tp t="s">
        <v>#N/A N/A</v>
        <stp/>
        <stp>BDH|10900379407790667945</stp>
        <tr r="O33" s="2"/>
        <tr r="O45" s="2"/>
      </tp>
      <tp t="s">
        <v>#N/A N/A</v>
        <stp/>
        <stp>BDH|13369824362635080295</stp>
        <tr r="L49" s="2"/>
      </tp>
      <tp t="s">
        <v>#N/A N/A</v>
        <stp/>
        <stp>BDH|14569879128725230158</stp>
        <tr r="F61" s="2"/>
      </tp>
      <tp t="s">
        <v>#N/A N/A</v>
        <stp/>
        <stp>BDH|11089607390710982459</stp>
        <tr r="U13" s="2"/>
      </tp>
      <tp t="s">
        <v>#N/A N/A</v>
        <stp/>
        <stp>BDH|15347603853314485882</stp>
        <tr r="S37" s="2"/>
      </tp>
      <tp t="s">
        <v>#N/A N/A</v>
        <stp/>
        <stp>BDH|16514483055844767932</stp>
        <tr r="M12" s="2"/>
      </tp>
      <tp t="s">
        <v>#N/A N/A</v>
        <stp/>
        <stp>BDH|11894671193805231121</stp>
        <tr r="T62" s="2"/>
      </tp>
      <tp t="s">
        <v>#N/A N/A</v>
        <stp/>
        <stp>BDH|17735106138799304603</stp>
        <tr r="AD18" s="2"/>
      </tp>
      <tp t="s">
        <v>#N/A N/A</v>
        <stp/>
        <stp>BDH|13453862105062237392</stp>
        <tr r="R9" s="2"/>
      </tp>
      <tp t="s">
        <v>#N/A N/A</v>
        <stp/>
        <stp>BDH|14885936573163122358</stp>
        <tr r="C71" s="2"/>
      </tp>
      <tp t="s">
        <v>#N/A N/A</v>
        <stp/>
        <stp>BDH|15959418283075277661</stp>
        <tr r="S61" s="2"/>
      </tp>
      <tp t="s">
        <v>#N/A N/A</v>
        <stp/>
        <stp>BDH|16898995360187956473</stp>
        <tr r="U37" s="2"/>
      </tp>
      <tp t="s">
        <v>#N/A N/A</v>
        <stp/>
        <stp>BDH|11945820324949811882</stp>
        <tr r="M34" s="2"/>
      </tp>
      <tp t="s">
        <v>#N/A N/A</v>
        <stp/>
        <stp>BDH|17579228486937792084</stp>
        <tr r="P50" s="2"/>
      </tp>
      <tp t="s">
        <v>#N/A N/A</v>
        <stp/>
        <stp>BDH|10860620438398726645</stp>
        <tr r="AB17" s="2"/>
      </tp>
      <tp t="s">
        <v>#N/A N/A</v>
        <stp/>
        <stp>BDH|14433586899045362674</stp>
        <tr r="G8" s="2"/>
      </tp>
      <tp t="s">
        <v>#N/A N/A</v>
        <stp/>
        <stp>BDH|13832170068948588721</stp>
        <tr r="C43" s="2"/>
      </tp>
      <tp t="s">
        <v>#N/A N/A</v>
        <stp/>
        <stp>BDH|12521651933749433575</stp>
        <tr r="G24" s="2"/>
      </tp>
      <tp t="s">
        <v>#N/A N/A</v>
        <stp/>
        <stp>BDH|16807304851342887924</stp>
        <tr r="J36" s="2"/>
      </tp>
      <tp t="s">
        <v>#N/A N/A</v>
        <stp/>
        <stp>BDH|17192087911145339885</stp>
        <tr r="T55" s="2"/>
      </tp>
      <tp t="s">
        <v>#N/A N/A</v>
        <stp/>
        <stp>BDH|10325446342509452229</stp>
        <tr r="Y10" s="2"/>
      </tp>
      <tp t="s">
        <v>#N/A N/A</v>
        <stp/>
        <stp>BDH|17083498551564862933</stp>
        <tr r="R37" s="2"/>
      </tp>
      <tp t="s">
        <v>#N/A N/A</v>
        <stp/>
        <stp>BDH|15530860207266747001</stp>
        <tr r="M49" s="2"/>
      </tp>
      <tp t="s">
        <v>#N/A N/A</v>
        <stp/>
        <stp>BDH|12483817645773319613</stp>
        <tr r="C66" s="2"/>
      </tp>
      <tp t="s">
        <v>#N/A N/A</v>
        <stp/>
        <stp>BDH|13757890009810002059</stp>
        <tr r="D11" s="2"/>
      </tp>
      <tp t="s">
        <v>#N/A N/A</v>
        <stp/>
        <stp>BDH|13554831614946558724</stp>
        <tr r="W50" s="2"/>
      </tp>
      <tp t="s">
        <v>#N/A N/A</v>
        <stp/>
        <stp>BDH|12150999499031318867</stp>
        <tr r="AD7" s="2"/>
      </tp>
      <tp t="s">
        <v>#N/A N/A</v>
        <stp/>
        <stp>BDH|11283807281919369343</stp>
        <tr r="M6" s="2"/>
      </tp>
      <tp t="s">
        <v>#N/A N/A</v>
        <stp/>
        <stp>BDH|14720855327774092121</stp>
        <tr r="X64" s="2"/>
      </tp>
      <tp t="s">
        <v>#N/A N/A</v>
        <stp/>
        <stp>BDH|15290916876739123934</stp>
        <tr r="E65" s="2"/>
      </tp>
      <tp t="s">
        <v>#N/A N/A</v>
        <stp/>
        <stp>BDH|11281994955126865019</stp>
        <tr r="E38" s="2"/>
      </tp>
      <tp t="s">
        <v>#N/A N/A</v>
        <stp/>
        <stp>BDH|18042213576641263720</stp>
        <tr r="U24" s="2"/>
      </tp>
      <tp t="s">
        <v>#N/A N/A</v>
        <stp/>
        <stp>BDH|18358207567367230008</stp>
        <tr r="W9" s="2"/>
      </tp>
      <tp t="s">
        <v>#N/A N/A</v>
        <stp/>
        <stp>BDH|16742091202589883420</stp>
        <tr r="AC10" s="2"/>
      </tp>
      <tp t="s">
        <v>#N/A N/A</v>
        <stp/>
        <stp>BDH|12335590309979219575</stp>
        <tr r="G31" s="2"/>
      </tp>
      <tp t="s">
        <v>#N/A N/A</v>
        <stp/>
        <stp>BDH|18217391826666315485</stp>
        <tr r="I41" s="2"/>
      </tp>
      <tp t="s">
        <v>#N/A N/A</v>
        <stp/>
        <stp>BDH|12474734193855197234</stp>
        <tr r="W67" s="2"/>
      </tp>
      <tp t="s">
        <v>#N/A N/A</v>
        <stp/>
        <stp>BDH|18059297803132138321</stp>
        <tr r="AB30" s="2"/>
      </tp>
      <tp t="s">
        <v>#N/A N/A</v>
        <stp/>
        <stp>BDH|13557200287711878330</stp>
        <tr r="T11" s="2"/>
      </tp>
      <tp t="s">
        <v>#N/A N/A</v>
        <stp/>
        <stp>BDH|13892432785144073063</stp>
        <tr r="Q27" s="2"/>
      </tp>
      <tp t="s">
        <v>#N/A N/A</v>
        <stp/>
        <stp>BDH|10352372950008437588</stp>
        <tr r="AA27" s="2"/>
      </tp>
      <tp t="s">
        <v>#N/A N/A</v>
        <stp/>
        <stp>BDH|11377691995250787500</stp>
        <tr r="Y71" s="2"/>
      </tp>
      <tp t="s">
        <v>#N/A N/A</v>
        <stp/>
        <stp>BDH|17558762078384769878</stp>
        <tr r="L67" s="2"/>
      </tp>
      <tp t="s">
        <v>#N/A N/A</v>
        <stp/>
        <stp>BDH|15233059404436852806</stp>
        <tr r="I12" s="2"/>
      </tp>
      <tp t="s">
        <v>#N/A N/A</v>
        <stp/>
        <stp>BDH|10644308870166482995</stp>
        <tr r="N38" s="2"/>
      </tp>
      <tp t="s">
        <v>#N/A N/A</v>
        <stp/>
        <stp>BDH|14838920740292216037</stp>
        <tr r="P69" s="2"/>
      </tp>
      <tp t="s">
        <v>#N/A N/A</v>
        <stp/>
        <stp>BDH|11156433704289962746</stp>
        <tr r="O38" s="2"/>
      </tp>
      <tp t="s">
        <v>#N/A N/A</v>
        <stp/>
        <stp>BDH|17914391758188681242</stp>
        <tr r="G23" s="2"/>
      </tp>
      <tp t="s">
        <v>#N/A N/A</v>
        <stp/>
        <stp>BDH|12155283564559757401</stp>
        <tr r="V33" s="2"/>
        <tr r="V45" s="2"/>
      </tp>
      <tp t="s">
        <v>#N/A N/A</v>
        <stp/>
        <stp>BDH|10296447722059832415</stp>
        <tr r="AC25" s="2"/>
      </tp>
      <tp t="s">
        <v>#N/A N/A</v>
        <stp/>
        <stp>BDH|18031272111576818639</stp>
        <tr r="H20" s="2"/>
      </tp>
      <tp t="s">
        <v>#N/A N/A</v>
        <stp/>
        <stp>BDH|12860416146090591975</stp>
        <tr r="E49" s="2"/>
      </tp>
      <tp t="s">
        <v>#N/A N/A</v>
        <stp/>
        <stp>BDH|11348896567842101619</stp>
        <tr r="M25" s="2"/>
      </tp>
      <tp t="s">
        <v>#N/A N/A</v>
        <stp/>
        <stp>BDH|13062826102467404797</stp>
        <tr r="R44" s="2"/>
      </tp>
      <tp t="s">
        <v>#N/A N/A</v>
        <stp/>
        <stp>BDH|11189885212802607102</stp>
        <tr r="D65" s="2"/>
      </tp>
      <tp t="s">
        <v>#N/A N/A</v>
        <stp/>
        <stp>BDH|17971660706398634222</stp>
        <tr r="P13" s="2"/>
      </tp>
      <tp t="s">
        <v>#N/A N/A</v>
        <stp/>
        <stp>BDH|16310319430385779890</stp>
        <tr r="M44" s="2"/>
      </tp>
      <tp t="s">
        <v>#N/A N/A</v>
        <stp/>
        <stp>BDH|17846025894700249500</stp>
        <tr r="D34" s="2"/>
      </tp>
      <tp t="s">
        <v>#N/A N/A</v>
        <stp/>
        <stp>BDH|16424933631473193481</stp>
        <tr r="M48" s="2"/>
      </tp>
      <tp t="s">
        <v>#N/A N/A</v>
        <stp/>
        <stp>BDH|14152911989368186673</stp>
        <tr r="K50" s="2"/>
      </tp>
      <tp t="s">
        <v>#N/A N/A</v>
        <stp/>
        <stp>BDH|14667532332789139087</stp>
        <tr r="T65" s="2"/>
      </tp>
      <tp t="s">
        <v>#N/A N/A</v>
        <stp/>
        <stp>BDH|15698258786806378173</stp>
        <tr r="U55" s="2"/>
      </tp>
      <tp t="s">
        <v>#N/A N/A</v>
        <stp/>
        <stp>BDH|18064173160493357455</stp>
        <tr r="P7" s="2"/>
      </tp>
      <tp t="s">
        <v>#N/A N/A</v>
        <stp/>
        <stp>BDH|15017896438215555356</stp>
        <tr r="G10" s="2"/>
      </tp>
      <tp t="s">
        <v>#N/A N/A</v>
        <stp/>
        <stp>BDH|10166960213655163542</stp>
        <tr r="X38" s="2"/>
      </tp>
      <tp t="s">
        <v>#N/A N/A</v>
        <stp/>
        <stp>BDH|15138297092580944635</stp>
        <tr r="Q31" s="2"/>
      </tp>
      <tp t="s">
        <v>#N/A N/A</v>
        <stp/>
        <stp>BDH|10410924337521691345</stp>
        <tr r="AC60" s="2"/>
      </tp>
      <tp t="s">
        <v>#N/A N/A</v>
        <stp/>
        <stp>BDH|10387083486932751294</stp>
        <tr r="O52" s="2"/>
      </tp>
      <tp t="s">
        <v>#N/A N/A</v>
        <stp/>
        <stp>BDH|12596802140240109666</stp>
        <tr r="X66" s="2"/>
      </tp>
      <tp t="s">
        <v>#N/A N/A</v>
        <stp/>
        <stp>BDH|13911481894167789106</stp>
        <tr r="I36" s="2"/>
      </tp>
      <tp t="s">
        <v>#N/A N/A</v>
        <stp/>
        <stp>BDH|17575075224279281466</stp>
        <tr r="Z23" s="2"/>
      </tp>
      <tp t="s">
        <v>#N/A N/A</v>
        <stp/>
        <stp>BDH|15556058994423239747</stp>
        <tr r="Q52" s="2"/>
      </tp>
      <tp t="s">
        <v>#N/A N/A</v>
        <stp/>
        <stp>BDH|17813390033946733977</stp>
        <tr r="G7" s="2"/>
      </tp>
      <tp t="s">
        <v>#N/A N/A</v>
        <stp/>
        <stp>BDH|14779541912170718841</stp>
        <tr r="Q26" s="2"/>
      </tp>
      <tp t="s">
        <v>#N/A N/A</v>
        <stp/>
        <stp>BDH|10755477052289636010</stp>
        <tr r="V65" s="2"/>
      </tp>
      <tp t="s">
        <v>#N/A N/A</v>
        <stp/>
        <stp>BDH|14285288156902135991</stp>
        <tr r="L52" s="2"/>
      </tp>
      <tp t="s">
        <v>#N/A N/A</v>
        <stp/>
        <stp>BDH|15662855366641881292</stp>
        <tr r="J68" s="2"/>
      </tp>
      <tp t="s">
        <v>#N/A N/A</v>
        <stp/>
        <stp>BDH|13179465121654596945</stp>
        <tr r="AB36" s="2"/>
      </tp>
      <tp t="s">
        <v>#N/A N/A</v>
        <stp/>
        <stp>BDH|14428841322844033259</stp>
        <tr r="R39" s="2"/>
      </tp>
      <tp t="s">
        <v>#N/A N/A</v>
        <stp/>
        <stp>BDH|11536621175740048851</stp>
        <tr r="W26" s="2"/>
      </tp>
      <tp t="s">
        <v>#N/A N/A</v>
        <stp/>
        <stp>BDH|13748980041575118380</stp>
        <tr r="AB38" s="2"/>
      </tp>
      <tp t="s">
        <v>#N/A N/A</v>
        <stp/>
        <stp>BDH|14405827720550020610</stp>
        <tr r="Y20" s="2"/>
      </tp>
      <tp t="s">
        <v>#N/A N/A</v>
        <stp/>
        <stp>BDH|17790881802586898123</stp>
        <tr r="N63" s="2"/>
      </tp>
      <tp t="s">
        <v>#N/A N/A</v>
        <stp/>
        <stp>BDH|18415827880917208738</stp>
        <tr r="D64" s="2"/>
      </tp>
      <tp t="s">
        <v>#N/A N/A</v>
        <stp/>
        <stp>BDH|18240489071080957347</stp>
        <tr r="AA26" s="2"/>
      </tp>
      <tp t="s">
        <v>#N/A N/A</v>
        <stp/>
        <stp>BDH|17858299232278593604</stp>
        <tr r="K17" s="2"/>
      </tp>
      <tp t="s">
        <v>#N/A N/A</v>
        <stp/>
        <stp>BDH|11774154691525614434</stp>
        <tr r="P35" s="2"/>
      </tp>
      <tp t="s">
        <v>#N/A N/A</v>
        <stp/>
        <stp>BDH|12628640942179711114</stp>
        <tr r="N30" s="2"/>
      </tp>
      <tp t="s">
        <v>#N/A N/A</v>
        <stp/>
        <stp>BDH|16037348019615804938</stp>
        <tr r="M23" s="2"/>
      </tp>
      <tp t="s">
        <v>#N/A N/A</v>
        <stp/>
        <stp>BDH|17178145538384134953</stp>
        <tr r="X26" s="2"/>
      </tp>
      <tp t="s">
        <v>#N/A N/A</v>
        <stp/>
        <stp>BDH|18150282761365621177</stp>
        <tr r="V11" s="2"/>
      </tp>
      <tp t="s">
        <v>#N/A N/A</v>
        <stp/>
        <stp>BDH|13862982508320155211</stp>
        <tr r="C63" s="2"/>
      </tp>
      <tp t="s">
        <v>#N/A N/A</v>
        <stp/>
        <stp>BDH|16354169876198817038</stp>
        <tr r="W53" s="2"/>
      </tp>
      <tp t="s">
        <v>#N/A N/A</v>
        <stp/>
        <stp>BDH|13116726098410030506</stp>
        <tr r="Q70" s="2"/>
      </tp>
      <tp t="s">
        <v>#N/A N/A</v>
        <stp/>
        <stp>BDH|16778566182001917215</stp>
        <tr r="F41" s="2"/>
      </tp>
      <tp t="s">
        <v>#N/A N/A</v>
        <stp/>
        <stp>BDH|13557487043822044944</stp>
        <tr r="W29" s="2"/>
      </tp>
      <tp t="s">
        <v>#N/A N/A</v>
        <stp/>
        <stp>BDH|12399348880150981140</stp>
        <tr r="AA41" s="2"/>
      </tp>
      <tp t="s">
        <v>#N/A N/A</v>
        <stp/>
        <stp>BDH|11581889529645952672</stp>
        <tr r="P64" s="2"/>
      </tp>
      <tp t="s">
        <v>#N/A N/A</v>
        <stp/>
        <stp>BDH|11445732126898390483</stp>
        <tr r="H28" s="2"/>
      </tp>
      <tp t="s">
        <v>#N/A N/A</v>
        <stp/>
        <stp>BDH|13939075271664736855</stp>
        <tr r="K59" s="2"/>
      </tp>
      <tp t="s">
        <v>#N/A N/A</v>
        <stp/>
        <stp>BDH|12118408269419646120</stp>
        <tr r="O70" s="2"/>
      </tp>
      <tp t="s">
        <v>#N/A N/A</v>
        <stp/>
        <stp>BDH|16976131631849344549</stp>
        <tr r="W25" s="2"/>
      </tp>
      <tp t="s">
        <v>#N/A N/A</v>
        <stp/>
        <stp>BDH|10631488098174309198</stp>
        <tr r="H49" s="2"/>
      </tp>
      <tp t="s">
        <v>#N/A N/A</v>
        <stp/>
        <stp>BDH|18298510875955951716</stp>
        <tr r="H44" s="2"/>
      </tp>
      <tp t="s">
        <v>#N/A N/A</v>
        <stp/>
        <stp>BDH|11700974035292236066</stp>
        <tr r="F28" s="2"/>
      </tp>
      <tp t="s">
        <v>#N/A N/A</v>
        <stp/>
        <stp>BDH|16839764783396516695</stp>
        <tr r="X18" s="2"/>
      </tp>
      <tp t="s">
        <v>#N/A N/A</v>
        <stp/>
        <stp>BDH|17056642104531414955</stp>
        <tr r="Z38" s="2"/>
      </tp>
      <tp t="s">
        <v>#N/A N/A</v>
        <stp/>
        <stp>BDH|13759871407295587725</stp>
        <tr r="P21" s="2"/>
      </tp>
      <tp t="s">
        <v>#N/A N/A</v>
        <stp/>
        <stp>BDH|14152163246741507945</stp>
        <tr r="X8" s="2"/>
      </tp>
      <tp t="s">
        <v>#N/A N/A</v>
        <stp/>
        <stp>BDH|10720228274959514579</stp>
        <tr r="I44" s="2"/>
      </tp>
      <tp t="s">
        <v>#N/A N/A</v>
        <stp/>
        <stp>BDH|17390705732378635246</stp>
        <tr r="G17" s="2"/>
      </tp>
      <tp t="s">
        <v>#N/A N/A</v>
        <stp/>
        <stp>BDH|15153876961692667022</stp>
        <tr r="AC49" s="2"/>
      </tp>
      <tp t="s">
        <v>#N/A N/A</v>
        <stp/>
        <stp>BDH|16867277699755075142</stp>
        <tr r="O62" s="2"/>
      </tp>
      <tp t="s">
        <v>#N/A N/A</v>
        <stp/>
        <stp>BDH|17798512861844666936</stp>
        <tr r="I63" s="2"/>
      </tp>
      <tp t="s">
        <v>#N/A N/A</v>
        <stp/>
        <stp>BDH|17128464239771964820</stp>
        <tr r="U8" s="2"/>
      </tp>
      <tp t="s">
        <v>#N/A N/A</v>
        <stp/>
        <stp>BDH|10521211842129109625</stp>
        <tr r="AB66" s="2"/>
      </tp>
      <tp t="s">
        <v>#N/A N/A</v>
        <stp/>
        <stp>BDH|12085743252251298814</stp>
        <tr r="AD64" s="2"/>
      </tp>
      <tp t="s">
        <v>#N/A N/A</v>
        <stp/>
        <stp>BDH|13938833543500884651</stp>
        <tr r="G64" s="2"/>
      </tp>
      <tp t="s">
        <v>#N/A N/A</v>
        <stp/>
        <stp>BDH|17544253793242240753</stp>
        <tr r="W14" s="2"/>
      </tp>
      <tp t="s">
        <v>#N/A N/A</v>
        <stp/>
        <stp>BDH|17762055297253070412</stp>
        <tr r="I29" s="2"/>
      </tp>
      <tp t="s">
        <v>#N/A N/A</v>
        <stp/>
        <stp>BDH|17443832625642019658</stp>
        <tr r="AA53" s="2"/>
      </tp>
      <tp t="s">
        <v>#N/A N/A</v>
        <stp/>
        <stp>BDH|12537322224623695927</stp>
        <tr r="AC16" s="2"/>
      </tp>
      <tp t="s">
        <v>#N/A N/A</v>
        <stp/>
        <stp>BDH|17957989366915982490</stp>
        <tr r="N24" s="2"/>
      </tp>
      <tp t="s">
        <v>#N/A N/A</v>
        <stp/>
        <stp>BDH|18272630939536854275</stp>
        <tr r="U22" s="2"/>
      </tp>
      <tp t="s">
        <v>#N/A N/A</v>
        <stp/>
        <stp>BDH|12334575834478342541</stp>
        <tr r="K26" s="2"/>
      </tp>
      <tp t="s">
        <v>#N/A N/A</v>
        <stp/>
        <stp>BDH|17079460890890903396</stp>
        <tr r="D27" s="2"/>
      </tp>
      <tp t="s">
        <v>#N/A N/A</v>
        <stp/>
        <stp>BDH|14670270327879135414</stp>
        <tr r="S19" s="2"/>
      </tp>
      <tp t="s">
        <v>#N/A N/A</v>
        <stp/>
        <stp>BDH|13870569678501251922</stp>
        <tr r="AC39" s="2"/>
      </tp>
      <tp t="s">
        <v>#N/A N/A</v>
        <stp/>
        <stp>BDH|12099872010922252033</stp>
        <tr r="G11" s="2"/>
      </tp>
      <tp t="s">
        <v>#N/A N/A</v>
        <stp/>
        <stp>BDH|14733609688224742716</stp>
        <tr r="I49" s="2"/>
      </tp>
      <tp t="s">
        <v>#N/A N/A</v>
        <stp/>
        <stp>BDH|11201223994825911644</stp>
        <tr r="R63" s="2"/>
      </tp>
      <tp t="s">
        <v>#N/A N/A</v>
        <stp/>
        <stp>BDH|11835735494657335152</stp>
        <tr r="T66" s="2"/>
      </tp>
      <tp t="s">
        <v>#N/A N/A</v>
        <stp/>
        <stp>BDH|14562004683503407698</stp>
        <tr r="O61" s="2"/>
      </tp>
      <tp t="s">
        <v>#N/A N/A</v>
        <stp/>
        <stp>BDH|10540784429219649595</stp>
        <tr r="AA67" s="2"/>
      </tp>
      <tp t="s">
        <v>#N/A N/A</v>
        <stp/>
        <stp>BDH|11608359270158867416</stp>
        <tr r="E29" s="2"/>
      </tp>
      <tp t="s">
        <v>#N/A N/A</v>
        <stp/>
        <stp>BDH|14387985348244976405</stp>
        <tr r="J12" s="2"/>
      </tp>
      <tp t="s">
        <v>#N/A N/A</v>
        <stp/>
        <stp>BDH|14432722868625221962</stp>
        <tr r="P49" s="2"/>
      </tp>
      <tp t="s">
        <v>#N/A N/A</v>
        <stp/>
        <stp>BDH|13198443248218247258</stp>
        <tr r="S39" s="2"/>
      </tp>
      <tp t="s">
        <v>#N/A N/A</v>
        <stp/>
        <stp>BDH|11890558621208629768</stp>
        <tr r="C62" s="2"/>
      </tp>
      <tp t="s">
        <v>#N/A N/A</v>
        <stp/>
        <stp>BDH|17080073919626344916</stp>
        <tr r="Z17" s="2"/>
      </tp>
      <tp t="s">
        <v>#N/A N/A</v>
        <stp/>
        <stp>BDH|16369479561154371991</stp>
        <tr r="N71" s="2"/>
      </tp>
      <tp t="s">
        <v>#N/A N/A</v>
        <stp/>
        <stp>BDH|12987171993716328513</stp>
        <tr r="W48" s="2"/>
      </tp>
      <tp t="s">
        <v>#N/A N/A</v>
        <stp/>
        <stp>BDH|15697992773430035233</stp>
        <tr r="AD53" s="2"/>
      </tp>
      <tp t="s">
        <v>#N/A N/A</v>
        <stp/>
        <stp>BDH|17323430329931741913</stp>
        <tr r="G33" s="2"/>
        <tr r="G45" s="2"/>
      </tp>
      <tp t="s">
        <v>#N/A N/A</v>
        <stp/>
        <stp>BDH|17413979253593669198</stp>
        <tr r="Q23" s="2"/>
      </tp>
      <tp t="s">
        <v>#N/A N/A</v>
        <stp/>
        <stp>BDH|15728019439129290625</stp>
        <tr r="W69" s="2"/>
      </tp>
      <tp t="s">
        <v>#N/A N/A</v>
        <stp/>
        <stp>BDH|11571422745550803849</stp>
        <tr r="D10" s="2"/>
      </tp>
      <tp t="s">
        <v>#N/A N/A</v>
        <stp/>
        <stp>BDH|11144670877528616194</stp>
        <tr r="R71" s="2"/>
      </tp>
      <tp t="s">
        <v>#N/A N/A</v>
        <stp/>
        <stp>BDH|16041157802809270046</stp>
        <tr r="AC19" s="2"/>
      </tp>
      <tp t="s">
        <v>#N/A N/A</v>
        <stp/>
        <stp>BDH|14036483820475173985</stp>
        <tr r="U20" s="2"/>
      </tp>
      <tp t="s">
        <v>#N/A N/A</v>
        <stp/>
        <stp>BDH|15086444405196955983</stp>
        <tr r="X12" s="2"/>
      </tp>
      <tp t="s">
        <v>#N/A N/A</v>
        <stp/>
        <stp>BDH|13257864031725418314</stp>
        <tr r="U19" s="2"/>
      </tp>
      <tp t="s">
        <v>#N/A N/A</v>
        <stp/>
        <stp>BDH|14039133514452663812</stp>
        <tr r="E23" s="2"/>
      </tp>
      <tp t="s">
        <v>#N/A N/A</v>
        <stp/>
        <stp>BDH|16025385705642872956</stp>
        <tr r="Y17" s="2"/>
      </tp>
      <tp t="s">
        <v>#N/A N/A</v>
        <stp/>
        <stp>BDH|13201007660958585373</stp>
        <tr r="W22" s="2"/>
      </tp>
      <tp t="s">
        <v>#N/A N/A</v>
        <stp/>
        <stp>BDH|15051849436532834296</stp>
        <tr r="X52" s="2"/>
      </tp>
      <tp t="s">
        <v>#N/A N/A</v>
        <stp/>
        <stp>BDH|13555749213828973383</stp>
        <tr r="Q25" s="2"/>
      </tp>
      <tp t="s">
        <v>#N/A N/A</v>
        <stp/>
        <stp>BDH|11848286205709287456</stp>
        <tr r="U35" s="2"/>
      </tp>
      <tp t="s">
        <v>#N/A N/A</v>
        <stp/>
        <stp>BDH|17729955534567422406</stp>
        <tr r="S11" s="2"/>
      </tp>
      <tp t="s">
        <v>#N/A N/A</v>
        <stp/>
        <stp>BDH|18347315169881184287</stp>
        <tr r="K63" s="2"/>
      </tp>
      <tp t="s">
        <v>#N/A N/A</v>
        <stp/>
        <stp>BDH|17588861153733783729</stp>
        <tr r="J32" s="2"/>
      </tp>
      <tp t="s">
        <v>#N/A N/A</v>
        <stp/>
        <stp>BDH|11918940448130472246</stp>
        <tr r="M59" s="2"/>
      </tp>
      <tp t="s">
        <v>#N/A N/A</v>
        <stp/>
        <stp>BDH|15639799659130491973</stp>
        <tr r="F26" s="2"/>
      </tp>
      <tp t="s">
        <v>#N/A N/A</v>
        <stp/>
        <stp>BDH|15293560521034484844</stp>
        <tr r="H61" s="2"/>
      </tp>
      <tp t="s">
        <v>#N/A N/A</v>
        <stp/>
        <stp>BDH|14412322078266881826</stp>
        <tr r="Z9" s="2"/>
      </tp>
      <tp t="s">
        <v>#N/A N/A</v>
        <stp/>
        <stp>BDH|11972123716196949902</stp>
        <tr r="M38" s="2"/>
      </tp>
      <tp t="s">
        <v>#N/A N/A</v>
        <stp/>
        <stp>BDH|14486268062619432706</stp>
        <tr r="M20" s="2"/>
      </tp>
      <tp t="s">
        <v>#N/A N/A</v>
        <stp/>
        <stp>BDH|17838899272192055478</stp>
        <tr r="G59" s="2"/>
      </tp>
      <tp t="s">
        <v>#N/A N/A</v>
        <stp/>
        <stp>BDH|10336699608610661832</stp>
        <tr r="G60" s="2"/>
      </tp>
      <tp t="s">
        <v>#N/A N/A</v>
        <stp/>
        <stp>BDH|17367264000308349317</stp>
        <tr r="AB39" s="2"/>
      </tp>
      <tp t="s">
        <v>#N/A N/A</v>
        <stp/>
        <stp>BDH|10734243000124033846</stp>
        <tr r="X6" s="2"/>
      </tp>
      <tp t="s">
        <v>#N/A N/A</v>
        <stp/>
        <stp>BDH|18163505770795406137</stp>
        <tr r="H52" s="2"/>
      </tp>
      <tp t="s">
        <v>#N/A N/A</v>
        <stp/>
        <stp>BDH|11141957096706660925</stp>
        <tr r="K22" s="2"/>
      </tp>
      <tp t="s">
        <v>#N/A N/A</v>
        <stp/>
        <stp>BDH|10248078511726586977</stp>
        <tr r="V21" s="2"/>
      </tp>
      <tp t="s">
        <v>#N/A N/A</v>
        <stp/>
        <stp>BDH|10282342742289479090</stp>
        <tr r="K21" s="2"/>
      </tp>
      <tp t="s">
        <v>#N/A N/A</v>
        <stp/>
        <stp>BDH|13616427038008143240</stp>
        <tr r="AB53" s="2"/>
      </tp>
      <tp t="s">
        <v>#N/A N/A</v>
        <stp/>
        <stp>BDH|13102919583274996830</stp>
        <tr r="G15" s="2"/>
      </tp>
      <tp t="s">
        <v>#N/A N/A</v>
        <stp/>
        <stp>BDH|13267579995872194392</stp>
        <tr r="AD49" s="2"/>
      </tp>
      <tp t="s">
        <v>#N/A N/A</v>
        <stp/>
        <stp>BDH|15677927014544939715</stp>
        <tr r="K47" s="2"/>
      </tp>
      <tp t="s">
        <v>#N/A N/A</v>
        <stp/>
        <stp>BDH|12168337729435681862</stp>
        <tr r="I20" s="2"/>
      </tp>
      <tp t="s">
        <v>#N/A N/A</v>
        <stp/>
        <stp>BDH|17314831741506806324</stp>
        <tr r="W55" s="2"/>
      </tp>
      <tp t="s">
        <v>#N/A N/A</v>
        <stp/>
        <stp>BDH|15305744878673397861</stp>
        <tr r="Y67" s="2"/>
      </tp>
      <tp t="s">
        <v>#N/A N/A</v>
        <stp/>
        <stp>BDH|15941172383031238358</stp>
        <tr r="Q59" s="2"/>
      </tp>
      <tp t="s">
        <v>#N/A N/A</v>
        <stp/>
        <stp>BDH|14378214835919979241</stp>
        <tr r="V22" s="2"/>
      </tp>
      <tp t="s">
        <v>#N/A N/A</v>
        <stp/>
        <stp>BDH|13852120032816323966</stp>
        <tr r="J13" s="2"/>
      </tp>
      <tp t="s">
        <v>#N/A N/A</v>
        <stp/>
        <stp>BDH|12289386234688671457</stp>
        <tr r="U67" s="2"/>
      </tp>
      <tp t="s">
        <v>#N/A N/A</v>
        <stp/>
        <stp>BDH|12895826616011241438</stp>
        <tr r="AB63" s="2"/>
      </tp>
      <tp t="s">
        <v>#N/A N/A</v>
        <stp/>
        <stp>BDH|11728038204306499990</stp>
        <tr r="M70" s="2"/>
      </tp>
      <tp t="s">
        <v>#N/A N/A</v>
        <stp/>
        <stp>BDH|15959954674344312175</stp>
        <tr r="W6" s="2"/>
      </tp>
      <tp t="s">
        <v>#N/A N/A</v>
        <stp/>
        <stp>BDH|12457557822962471985</stp>
        <tr r="P70" s="2"/>
      </tp>
      <tp t="s">
        <v>#N/A N/A</v>
        <stp/>
        <stp>BDH|12716008399605647073</stp>
        <tr r="T49" s="2"/>
      </tp>
      <tp t="s">
        <v>#N/A N/A</v>
        <stp/>
        <stp>BDH|15504806585873798889</stp>
        <tr r="T18" s="2"/>
      </tp>
      <tp t="s">
        <v>#N/A N/A</v>
        <stp/>
        <stp>BDH|10225792492627446721</stp>
        <tr r="F13" s="2"/>
      </tp>
      <tp t="s">
        <v>#N/A N/A</v>
        <stp/>
        <stp>BDH|13996377390790874787</stp>
        <tr r="F63" s="2"/>
      </tp>
      <tp t="s">
        <v>#N/A N/A</v>
        <stp/>
        <stp>BDH|15185895953017515101</stp>
        <tr r="O25" s="2"/>
      </tp>
      <tp t="s">
        <v>#N/A N/A</v>
        <stp/>
        <stp>BDH|11902854704596179171</stp>
        <tr r="S44" s="2"/>
      </tp>
      <tp t="s">
        <v>#N/A N/A</v>
        <stp/>
        <stp>BDH|14158715368612036888</stp>
        <tr r="AA14" s="2"/>
      </tp>
      <tp t="s">
        <v>#N/A N/A</v>
        <stp/>
        <stp>BDH|10141564044187730941</stp>
        <tr r="E10" s="2"/>
      </tp>
      <tp t="s">
        <v>#N/A N/A</v>
        <stp/>
        <stp>BDH|13579221195370622745</stp>
        <tr r="I11" s="2"/>
      </tp>
      <tp t="s">
        <v>#N/A N/A</v>
        <stp/>
        <stp>BDH|10522559847219019778</stp>
        <tr r="Z62" s="2"/>
      </tp>
      <tp t="s">
        <v>#N/A N/A</v>
        <stp/>
        <stp>BDH|14070369358778533587</stp>
        <tr r="F53" s="2"/>
      </tp>
      <tp t="s">
        <v>#N/A N/A</v>
        <stp/>
        <stp>BDH|10619212260842240963</stp>
        <tr r="F62" s="2"/>
      </tp>
      <tp t="s">
        <v>#N/A N/A</v>
        <stp/>
        <stp>BDH|15650305897410671043</stp>
        <tr r="E68" s="2"/>
      </tp>
      <tp t="s">
        <v>#N/A N/A</v>
        <stp/>
        <stp>BDH|17761947876125284350</stp>
        <tr r="D55" s="2"/>
      </tp>
      <tp t="s">
        <v>#N/A N/A</v>
        <stp/>
        <stp>BDH|10830327218464382939</stp>
        <tr r="M71" s="2"/>
      </tp>
      <tp t="s">
        <v>#N/A N/A</v>
        <stp/>
        <stp>BDH|16581036843838344546</stp>
        <tr r="R49" s="2"/>
      </tp>
      <tp t="s">
        <v>#N/A N/A</v>
        <stp/>
        <stp>BDH|12895833849553049272</stp>
        <tr r="Y38" s="2"/>
      </tp>
      <tp t="s">
        <v>#N/A N/A</v>
        <stp/>
        <stp>BDH|17255913546762174713</stp>
        <tr r="H25" s="2"/>
      </tp>
      <tp t="s">
        <v>#N/A N/A</v>
        <stp/>
        <stp>BDH|11063708654728873483</stp>
        <tr r="K62" s="2"/>
      </tp>
      <tp t="s">
        <v>#N/A N/A</v>
        <stp/>
        <stp>BDH|11629747170647301951</stp>
        <tr r="I69" s="2"/>
      </tp>
      <tp t="s">
        <v>#N/A N/A</v>
        <stp/>
        <stp>BDH|17020814957367331214</stp>
        <tr r="K43" s="2"/>
      </tp>
      <tp t="s">
        <v>#N/A N/A</v>
        <stp/>
        <stp>BDH|13117702787773038014</stp>
        <tr r="X17" s="2"/>
      </tp>
      <tp t="s">
        <v>#N/A N/A</v>
        <stp/>
        <stp>BDH|13032075978922014997</stp>
        <tr r="I28" s="2"/>
      </tp>
      <tp t="s">
        <v>#N/A N/A</v>
        <stp/>
        <stp>BDH|16159234181425290672</stp>
        <tr r="N68" s="2"/>
      </tp>
      <tp t="s">
        <v>#N/A N/A</v>
        <stp/>
        <stp>BDH|12321111631999655632</stp>
        <tr r="P40" s="2"/>
      </tp>
      <tp t="s">
        <v>#N/A N/A</v>
        <stp/>
        <stp>BDH|10646962449704726686</stp>
        <tr r="T6" s="2"/>
      </tp>
      <tp t="s">
        <v>#N/A N/A</v>
        <stp/>
        <stp>BDH|17836186091409912915</stp>
        <tr r="G6" s="2"/>
      </tp>
      <tp t="s">
        <v>#N/A N/A</v>
        <stp/>
        <stp>BDH|12960809662740380302</stp>
        <tr r="S48" s="2"/>
      </tp>
      <tp t="s">
        <v>#N/A N/A</v>
        <stp/>
        <stp>BDH|17066192596257217769</stp>
        <tr r="L54" s="2"/>
      </tp>
      <tp t="s">
        <v>#N/A N/A</v>
        <stp/>
        <stp>BDH|17975842205785395516</stp>
        <tr r="V17" s="2"/>
      </tp>
      <tp t="s">
        <v>#N/A N/A</v>
        <stp/>
        <stp>BDH|15210558398466354065</stp>
        <tr r="E28" s="2"/>
      </tp>
      <tp t="s">
        <v>#N/A N/A</v>
        <stp/>
        <stp>BDH|16179596623757843993</stp>
        <tr r="G66" s="2"/>
      </tp>
      <tp t="s">
        <v>#N/A N/A</v>
        <stp/>
        <stp>BDH|11619964548251453263</stp>
        <tr r="D33" s="2"/>
        <tr r="D45" s="2"/>
      </tp>
      <tp t="s">
        <v>#N/A N/A</v>
        <stp/>
        <stp>BDH|16166267621589513095</stp>
        <tr r="D60" s="2"/>
      </tp>
      <tp t="s">
        <v>#N/A N/A</v>
        <stp/>
        <stp>BDH|13127039444268313083</stp>
        <tr r="M18" s="2"/>
      </tp>
      <tp t="s">
        <v>#N/A N/A</v>
        <stp/>
        <stp>BDH|10188084571468437012</stp>
        <tr r="K20" s="2"/>
      </tp>
      <tp t="s">
        <v>#N/A N/A</v>
        <stp/>
        <stp>BDH|16296239645329196683</stp>
        <tr r="C52" s="2"/>
      </tp>
      <tp t="s">
        <v>#N/A N/A</v>
        <stp/>
        <stp>BDH|16784048654655976930</stp>
        <tr r="P63" s="2"/>
      </tp>
      <tp t="s">
        <v>#N/A N/A</v>
        <stp/>
        <stp>BDH|13512673492371478290</stp>
        <tr r="V7" s="2"/>
      </tp>
      <tp t="s">
        <v>#N/A N/A</v>
        <stp/>
        <stp>BDH|10825970681437841998</stp>
        <tr r="X29" s="2"/>
      </tp>
      <tp t="s">
        <v>#N/A N/A</v>
        <stp/>
        <stp>BDH|18409528517793913071</stp>
        <tr r="AA48" s="2"/>
      </tp>
      <tp t="s">
        <v>#N/A N/A</v>
        <stp/>
        <stp>BDH|13922042226137552911</stp>
        <tr r="O65" s="2"/>
      </tp>
      <tp t="s">
        <v>#N/A N/A</v>
        <stp/>
        <stp>BDH|15942059754008511730</stp>
        <tr r="D16" s="2"/>
      </tp>
      <tp t="s">
        <v>#N/A N/A</v>
        <stp/>
        <stp>BDH|18079023174688076883</stp>
        <tr r="S64" s="2"/>
      </tp>
      <tp t="s">
        <v>#N/A N/A</v>
        <stp/>
        <stp>BDH|17887910830972827308</stp>
        <tr r="N28" s="2"/>
      </tp>
      <tp t="s">
        <v>#N/A N/A</v>
        <stp/>
        <stp>BDH|13344548304122404872</stp>
        <tr r="O14" s="2"/>
      </tp>
      <tp t="s">
        <v>#N/A N/A</v>
        <stp/>
        <stp>BDH|11784870115284574000</stp>
        <tr r="AB8" s="2"/>
      </tp>
      <tp t="s">
        <v>#N/A N/A</v>
        <stp/>
        <stp>BDH|15276733987791336750</stp>
        <tr r="S69" s="2"/>
      </tp>
      <tp t="s">
        <v>#N/A N/A</v>
        <stp/>
        <stp>BDH|13720752734742340954</stp>
        <tr r="P41" s="2"/>
      </tp>
      <tp t="s">
        <v>#N/A N/A</v>
        <stp/>
        <stp>BDH|10652455280102640250</stp>
        <tr r="T54" s="2"/>
      </tp>
      <tp t="s">
        <v>#N/A N/A</v>
        <stp/>
        <stp>BDH|12024582293836803406</stp>
        <tr r="Z50" s="2"/>
      </tp>
      <tp t="s">
        <v>#N/A N/A</v>
        <stp/>
        <stp>BDH|18010641459371613684</stp>
        <tr r="M11" s="2"/>
      </tp>
      <tp t="s">
        <v>#N/A N/A</v>
        <stp/>
        <stp>BDH|10812265337338371582</stp>
        <tr r="X49" s="2"/>
      </tp>
      <tp t="s">
        <v>#N/A N/A</v>
        <stp/>
        <stp>BDH|14437935543193307628</stp>
        <tr r="I65" s="2"/>
      </tp>
      <tp t="s">
        <v>#N/A N/A</v>
        <stp/>
        <stp>BDH|11113902824613323539</stp>
        <tr r="C15" s="2"/>
      </tp>
      <tp t="s">
        <v>#N/A N/A</v>
        <stp/>
        <stp>BDH|15167706984110947696</stp>
        <tr r="F21" s="2"/>
      </tp>
      <tp t="s">
        <v>#N/A N/A</v>
        <stp/>
        <stp>BDH|12712229817855274844</stp>
        <tr r="U10" s="2"/>
      </tp>
      <tp t="s">
        <v>#N/A N/A</v>
        <stp/>
        <stp>BDH|11592413491854418455</stp>
        <tr r="Z48" s="2"/>
      </tp>
      <tp t="s">
        <v>#N/A N/A</v>
        <stp/>
        <stp>BDH|12553247829469774788</stp>
        <tr r="E50" s="2"/>
      </tp>
      <tp t="s">
        <v>#N/A N/A</v>
        <stp/>
        <stp>BDH|11909995653377505618</stp>
        <tr r="G20" s="2"/>
      </tp>
      <tp t="s">
        <v>#N/A N/A</v>
        <stp/>
        <stp>BDH|15543360893741204251</stp>
        <tr r="X41" s="2"/>
      </tp>
      <tp t="s">
        <v>#N/A N/A</v>
        <stp/>
        <stp>BDH|14478896809001684159</stp>
        <tr r="K35" s="2"/>
      </tp>
      <tp t="s">
        <v>#N/A N/A</v>
        <stp/>
        <stp>BDH|11841490554899596573</stp>
        <tr r="F12" s="2"/>
      </tp>
      <tp t="s">
        <v>#N/A N/A</v>
        <stp/>
        <stp>BDH|15690749064528468055</stp>
        <tr r="AD69" s="2"/>
      </tp>
      <tp t="s">
        <v>#N/A N/A</v>
        <stp/>
        <stp>BDH|17352039882417482407</stp>
        <tr r="C17" s="2"/>
      </tp>
      <tp t="s">
        <v>#N/A N/A</v>
        <stp/>
        <stp>BDH|11621272001528305752</stp>
        <tr r="J20" s="2"/>
      </tp>
      <tp t="s">
        <v>#N/A N/A</v>
        <stp/>
        <stp>BDH|11057148699994213168</stp>
        <tr r="K8" s="2"/>
      </tp>
      <tp t="s">
        <v>#N/A N/A</v>
        <stp/>
        <stp>BDH|17454568094116932162</stp>
        <tr r="U61" s="2"/>
      </tp>
      <tp t="s">
        <v>#N/A N/A</v>
        <stp/>
        <stp>BDH|14808033914500708909</stp>
        <tr r="R59" s="2"/>
      </tp>
      <tp t="s">
        <v>#N/A N/A</v>
        <stp/>
        <stp>BDH|12646384595004388004</stp>
        <tr r="Y66" s="2"/>
      </tp>
      <tp t="s">
        <v>#N/A N/A</v>
        <stp/>
        <stp>BDH|10348677789693457114</stp>
        <tr r="J21" s="2"/>
      </tp>
      <tp t="s">
        <v>#N/A N/A</v>
        <stp/>
        <stp>BDH|17954548175589648055</stp>
        <tr r="I17" s="2"/>
      </tp>
      <tp t="s">
        <v>#N/A N/A</v>
        <stp/>
        <stp>BDH|11745140991005998004</stp>
        <tr r="AC21" s="2"/>
      </tp>
      <tp t="s">
        <v>#N/A N/A</v>
        <stp/>
        <stp>BDH|17396650867783943821</stp>
        <tr r="Q20" s="2"/>
      </tp>
      <tp t="s">
        <v>#N/A N/A</v>
        <stp/>
        <stp>BDH|16833571723105441828</stp>
        <tr r="AD25" s="2"/>
      </tp>
      <tp t="s">
        <v>#N/A N/A</v>
        <stp/>
        <stp>BDH|13460964798716449930</stp>
        <tr r="G53" s="2"/>
      </tp>
      <tp t="s">
        <v>#N/A N/A</v>
        <stp/>
        <stp>BDH|15359925438821107279</stp>
        <tr r="X68" s="2"/>
      </tp>
      <tp t="s">
        <v>#N/A N/A</v>
        <stp/>
        <stp>BDH|12172486032930699933</stp>
        <tr r="Z67" s="2"/>
      </tp>
      <tp t="s">
        <v>#N/A N/A</v>
        <stp/>
        <stp>BDH|12886519093897252568</stp>
        <tr r="U9" s="2"/>
      </tp>
      <tp t="s">
        <v>#N/A N/A</v>
        <stp/>
        <stp>BDH|18400502145972959697</stp>
        <tr r="O29" s="2"/>
      </tp>
      <tp t="s">
        <v>#N/A N/A</v>
        <stp/>
        <stp>BDH|12166892172376930626</stp>
        <tr r="J26" s="2"/>
      </tp>
      <tp t="s">
        <v>#N/A N/A</v>
        <stp/>
        <stp>BDH|17223458371718138177</stp>
        <tr r="R43" s="2"/>
      </tp>
      <tp t="s">
        <v>#N/A N/A</v>
        <stp/>
        <stp>BDH|18037964156468296127</stp>
        <tr r="R69" s="2"/>
      </tp>
      <tp t="s">
        <v>#N/A N/A</v>
        <stp/>
        <stp>BDH|11275633400062796860</stp>
        <tr r="M69" s="2"/>
      </tp>
      <tp t="s">
        <v>#N/A N/A</v>
        <stp/>
        <stp>BDH|10978933002270929411</stp>
        <tr r="V16" s="2"/>
      </tp>
      <tp t="s">
        <v>#N/A N/A</v>
        <stp/>
        <stp>BDH|14271309016838758337</stp>
        <tr r="F44" s="2"/>
      </tp>
      <tp t="s">
        <v>#N/A N/A</v>
        <stp/>
        <stp>BDH|17961561908047339840</stp>
        <tr r="N47" s="2"/>
      </tp>
      <tp t="s">
        <v>#N/A N/A</v>
        <stp/>
        <stp>BDH|16535566477610064976</stp>
        <tr r="X19" s="2"/>
      </tp>
      <tp t="s">
        <v>#N/A N/A</v>
        <stp/>
        <stp>BDH|14237103192646668751</stp>
        <tr r="G35" s="2"/>
      </tp>
      <tp t="s">
        <v>#N/A N/A</v>
        <stp/>
        <stp>BDH|18374389918271976683</stp>
        <tr r="D61" s="2"/>
      </tp>
      <tp t="s">
        <v>#N/A N/A</v>
        <stp/>
        <stp>BDH|16127676065873154805</stp>
        <tr r="G68" s="2"/>
      </tp>
      <tp t="s">
        <v>#N/A N/A</v>
        <stp/>
        <stp>BDH|11662474181581364110</stp>
        <tr r="G61" s="2"/>
      </tp>
      <tp t="s">
        <v>#N/A N/A</v>
        <stp/>
        <stp>BDH|12169896046234340787</stp>
        <tr r="I59" s="2"/>
      </tp>
      <tp t="s">
        <v>#N/A N/A</v>
        <stp/>
        <stp>BDH|16370308252695780836</stp>
        <tr r="I64" s="2"/>
      </tp>
      <tp t="s">
        <v>#N/A N/A</v>
        <stp/>
        <stp>BDH|13681515623768536156</stp>
        <tr r="U29" s="2"/>
      </tp>
      <tp t="s">
        <v>#N/A N/A</v>
        <stp/>
        <stp>BDH|12473348582847172371</stp>
        <tr r="T29" s="2"/>
      </tp>
      <tp t="s">
        <v>#N/A N/A</v>
        <stp/>
        <stp>BDH|17039330656575795969</stp>
        <tr r="D54" s="2"/>
      </tp>
      <tp t="s">
        <v>#N/A N/A</v>
        <stp/>
        <stp>BDH|14183901571704244354</stp>
        <tr r="L6" s="2"/>
      </tp>
      <tp t="s">
        <v>#N/A N/A</v>
        <stp/>
        <stp>BDH|16559263940938376578</stp>
        <tr r="H64" s="2"/>
      </tp>
      <tp t="s">
        <v>#N/A N/A</v>
        <stp/>
        <stp>BDH|17533716157828579001</stp>
        <tr r="E44" s="2"/>
      </tp>
      <tp t="s">
        <v>#N/A N/A</v>
        <stp/>
        <stp>BDH|12095930647423630146</stp>
        <tr r="X37" s="2"/>
      </tp>
      <tp t="s">
        <v>#N/A N/A</v>
        <stp/>
        <stp>BDH|18403679529368452987</stp>
        <tr r="W23" s="2"/>
      </tp>
      <tp t="s">
        <v>#N/A N/A</v>
        <stp/>
        <stp>BDH|16406679657210260801</stp>
        <tr r="J63" s="2"/>
      </tp>
      <tp t="s">
        <v>#N/A N/A</v>
        <stp/>
        <stp>BDH|14455892998241676950</stp>
        <tr r="G44" s="2"/>
      </tp>
      <tp t="s">
        <v>#N/A N/A</v>
        <stp/>
        <stp>BDH|15181529931438107655</stp>
        <tr r="AD47" s="2"/>
      </tp>
      <tp t="s">
        <v>#N/A N/A</v>
        <stp/>
        <stp>BDH|16205716784056253235</stp>
        <tr r="AC47" s="2"/>
      </tp>
      <tp t="s">
        <v>#N/A N/A</v>
        <stp/>
        <stp>BDH|16190923546673873541</stp>
        <tr r="AC44" s="2"/>
      </tp>
      <tp t="s">
        <v>#N/A N/A</v>
        <stp/>
        <stp>BDH|10335992833295492243</stp>
        <tr r="S31" s="2"/>
      </tp>
      <tp t="s">
        <v>#N/A N/A</v>
        <stp/>
        <stp>BDH|17944669861263036973</stp>
        <tr r="H47" s="2"/>
      </tp>
      <tp t="s">
        <v>#N/A N/A</v>
        <stp/>
        <stp>BDH|10466297866288375117</stp>
        <tr r="S14" s="2"/>
      </tp>
      <tp t="s">
        <v>#N/A N/A</v>
        <stp/>
        <stp>BDH|15921070772648514704</stp>
        <tr r="AD36" s="2"/>
      </tp>
      <tp t="s">
        <v>#N/A N/A</v>
        <stp/>
        <stp>BDH|18427332256181064283</stp>
        <tr r="E66" s="2"/>
      </tp>
      <tp t="s">
        <v>#N/A N/A</v>
        <stp/>
        <stp>BDH|13684523915448046298</stp>
        <tr r="S16" s="2"/>
      </tp>
      <tp t="s">
        <v>#N/A N/A</v>
        <stp/>
        <stp>BDH|11879077494111563466</stp>
        <tr r="P25" s="2"/>
      </tp>
      <tp t="s">
        <v>#N/A N/A</v>
        <stp/>
        <stp>BDH|18294443709955071472</stp>
        <tr r="O8" s="2"/>
      </tp>
      <tp t="s">
        <v>#N/A N/A</v>
        <stp/>
        <stp>BDH|17587767183131365481</stp>
        <tr r="V32" s="2"/>
      </tp>
      <tp t="s">
        <v>#N/A N/A</v>
        <stp/>
        <stp>BDH|16599693346591668874</stp>
        <tr r="Z33" s="2"/>
        <tr r="Z45" s="2"/>
      </tp>
      <tp t="s">
        <v>#N/A N/A</v>
        <stp/>
        <stp>BDH|10024930472537947435</stp>
        <tr r="I66" s="2"/>
      </tp>
      <tp t="s">
        <v>#N/A N/A</v>
        <stp/>
        <stp>BDH|10797033565803378891</stp>
        <tr r="AC61" s="2"/>
      </tp>
      <tp t="s">
        <v>#N/A N/A</v>
        <stp/>
        <stp>BDH|12467439618358092252</stp>
        <tr r="I39" s="2"/>
      </tp>
      <tp t="s">
        <v>#N/A N/A</v>
        <stp/>
        <stp>BDH|10436297237638904495</stp>
        <tr r="K7" s="2"/>
      </tp>
      <tp t="s">
        <v>#N/A N/A</v>
        <stp/>
        <stp>BDH|12010300467663255989</stp>
        <tr r="O55" s="2"/>
      </tp>
      <tp t="s">
        <v>#N/A N/A</v>
        <stp/>
        <stp>BDH|17963206785253507348</stp>
        <tr r="E20" s="2"/>
      </tp>
      <tp t="s">
        <v>#N/A N/A</v>
        <stp/>
        <stp>BDH|15862988345271851400</stp>
        <tr r="I27" s="2"/>
      </tp>
      <tp t="s">
        <v>#N/A N/A</v>
        <stp/>
        <stp>BDH|17083567268319397007</stp>
        <tr r="AB35" s="2"/>
      </tp>
      <tp t="s">
        <v>#N/A N/A</v>
        <stp/>
        <stp>BDH|14858311561495153944</stp>
        <tr r="F59" s="2"/>
      </tp>
      <tp t="s">
        <v>#N/A N/A</v>
        <stp/>
        <stp>BDH|10986125218635830872</stp>
        <tr r="AA35" s="2"/>
      </tp>
      <tp t="s">
        <v>#N/A N/A</v>
        <stp/>
        <stp>BDH|16585684334868089654</stp>
        <tr r="L48" s="2"/>
      </tp>
      <tp t="s">
        <v>#N/A N/A</v>
        <stp/>
        <stp>BDH|11296490088705863576</stp>
        <tr r="Y70" s="2"/>
      </tp>
      <tp t="s">
        <v>#N/A N/A</v>
        <stp/>
        <stp>BDH|10701621651718939616</stp>
        <tr r="AA40" s="2"/>
      </tp>
      <tp t="s">
        <v>#N/A N/A</v>
        <stp/>
        <stp>BDH|16435661550940786894</stp>
        <tr r="AA69" s="2"/>
      </tp>
      <tp t="s">
        <v>#N/A N/A</v>
        <stp/>
        <stp>BDH|17002517869749363072</stp>
        <tr r="P39" s="2"/>
      </tp>
      <tp t="s">
        <v>#N/A N/A</v>
        <stp/>
        <stp>BDH|15699333518479762358</stp>
        <tr r="AD11" s="2"/>
      </tp>
      <tp t="s">
        <v>#N/A N/A</v>
        <stp/>
        <stp>BDH|18317555025404867657</stp>
        <tr r="J25" s="2"/>
      </tp>
      <tp t="s">
        <v>#N/A N/A</v>
        <stp/>
        <stp>BDH|14339100340874494892</stp>
        <tr r="Q36" s="2"/>
      </tp>
      <tp t="s">
        <v>#N/A N/A</v>
        <stp/>
        <stp>BDH|14676833308959593864</stp>
        <tr r="AB9" s="2"/>
      </tp>
      <tp t="s">
        <v>#N/A N/A</v>
        <stp/>
        <stp>BDH|15450266181324698942</stp>
        <tr r="J62" s="2"/>
      </tp>
      <tp t="s">
        <v>#N/A N/A</v>
        <stp/>
        <stp>BDH|14378194655157800561</stp>
        <tr r="Z30" s="2"/>
      </tp>
      <tp t="s">
        <v>#N/A N/A</v>
        <stp/>
        <stp>BDH|15133500260044234022</stp>
        <tr r="AB6" s="2"/>
      </tp>
      <tp t="s">
        <v>#N/A N/A</v>
        <stp/>
        <stp>BDH|16183740526181069031</stp>
        <tr r="J48" s="2"/>
      </tp>
      <tp t="s">
        <v>#N/A N/A</v>
        <stp/>
        <stp>BDH|17812672248032374549</stp>
        <tr r="L44" s="2"/>
      </tp>
      <tp t="s">
        <v>#N/A N/A</v>
        <stp/>
        <stp>BDH|18096708694691131558</stp>
        <tr r="D21" s="2"/>
      </tp>
      <tp t="s">
        <v>#N/A N/A</v>
        <stp/>
        <stp>BDH|12519561723163493444</stp>
        <tr r="W24" s="2"/>
      </tp>
      <tp t="s">
        <v>#N/A N/A</v>
        <stp/>
        <stp>BDH|17672328260038512827</stp>
        <tr r="AA47" s="2"/>
      </tp>
      <tp t="s">
        <v>#N/A N/A</v>
        <stp/>
        <stp>BDH|14897297333086984188</stp>
        <tr r="P59" s="2"/>
      </tp>
      <tp t="s">
        <v>#N/A N/A</v>
        <stp/>
        <stp>BDH|15028527890143238832</stp>
        <tr r="AC34" s="2"/>
      </tp>
      <tp t="s">
        <v>#N/A N/A</v>
        <stp/>
        <stp>BDH|11375258542776150375</stp>
        <tr r="V34" s="2"/>
      </tp>
      <tp t="s">
        <v>#N/A N/A</v>
        <stp/>
        <stp>BDH|17181649816564364621</stp>
        <tr r="N55" s="2"/>
      </tp>
      <tp t="s">
        <v>#N/A N/A</v>
        <stp/>
        <stp>BDH|12988631963783963328</stp>
        <tr r="W35" s="2"/>
      </tp>
      <tp t="s">
        <v>#N/A N/A</v>
        <stp/>
        <stp>BDH|12061127033312690029</stp>
        <tr r="Q43" s="2"/>
      </tp>
      <tp t="s">
        <v>#N/A N/A</v>
        <stp/>
        <stp>BDH|17470645134927909792</stp>
        <tr r="H54" s="2"/>
      </tp>
      <tp t="s">
        <v>#N/A N/A</v>
        <stp/>
        <stp>BDH|11675108960050723459</stp>
        <tr r="V43" s="2"/>
      </tp>
      <tp t="s">
        <v>#N/A N/A</v>
        <stp/>
        <stp>BDH|16653672917051941288</stp>
        <tr r="O28" s="2"/>
      </tp>
      <tp t="s">
        <v>#N/A N/A</v>
        <stp/>
        <stp>BDH|12110407976397622465</stp>
        <tr r="H33" s="2"/>
        <tr r="H45" s="2"/>
      </tp>
      <tp t="s">
        <v>#N/A N/A</v>
        <stp/>
        <stp>BDH|10419635750379759874</stp>
        <tr r="AA50" s="2"/>
      </tp>
      <tp t="s">
        <v>#N/A N/A</v>
        <stp/>
        <stp>BDH|16570797853915176382</stp>
        <tr r="J71" s="2"/>
      </tp>
      <tp t="s">
        <v>#N/A N/A</v>
        <stp/>
        <stp>BDH|13200844703071207815</stp>
        <tr r="T69" s="2"/>
      </tp>
      <tp t="s">
        <v>#N/A N/A</v>
        <stp/>
        <stp>BDH|15498916404217394944</stp>
        <tr r="Y60" s="2"/>
      </tp>
      <tp t="s">
        <v>#N/A N/A</v>
        <stp/>
        <stp>BDH|11239069962826644361</stp>
        <tr r="Y23" s="2"/>
      </tp>
      <tp t="s">
        <v>#N/A N/A</v>
        <stp/>
        <stp>BDH|13664776403276896038</stp>
        <tr r="V52" s="2"/>
      </tp>
      <tp t="s">
        <v>#N/A N/A</v>
        <stp/>
        <stp>BDH|13905108937046082572</stp>
        <tr r="M21" s="2"/>
      </tp>
      <tp t="s">
        <v>#N/A N/A</v>
        <stp/>
        <stp>BDH|15207391675513747007</stp>
        <tr r="Y53" s="2"/>
      </tp>
      <tp t="s">
        <v>#N/A N/A</v>
        <stp/>
        <stp>BDH|10907537709105394299</stp>
        <tr r="S8" s="2"/>
      </tp>
      <tp t="s">
        <v>#N/A N/A</v>
        <stp/>
        <stp>BDH|17218919550218952125</stp>
        <tr r="W40" s="2"/>
      </tp>
      <tp t="s">
        <v>#N/A N/A</v>
        <stp/>
        <stp>BDH|15880907907267259950</stp>
        <tr r="I47" s="2"/>
      </tp>
      <tp t="s">
        <v>#N/A N/A</v>
        <stp/>
        <stp>BDH|15346636273294826230</stp>
        <tr r="X22" s="2"/>
      </tp>
      <tp t="s">
        <v>#N/A N/A</v>
        <stp/>
        <stp>BDH|10429747419574783053</stp>
        <tr r="H22" s="2"/>
      </tp>
      <tp t="s">
        <v>#N/A N/A</v>
        <stp/>
        <stp>BDH|10712374447470903558</stp>
        <tr r="I34" s="2"/>
      </tp>
      <tp t="s">
        <v>#N/A N/A</v>
        <stp/>
        <stp>BDH|14433839298076422118</stp>
        <tr r="H13" s="2"/>
      </tp>
      <tp t="s">
        <v>#N/A N/A</v>
        <stp/>
        <stp>BDH|11581071099392207842</stp>
        <tr r="W54" s="2"/>
      </tp>
      <tp t="s">
        <v>#N/A N/A</v>
        <stp/>
        <stp>BDH|14120086545995455757</stp>
        <tr r="P54" s="2"/>
      </tp>
      <tp t="s">
        <v>#N/A N/A</v>
        <stp/>
        <stp>BDH|17664556632915945651</stp>
        <tr r="P47" s="2"/>
      </tp>
      <tp t="s">
        <v>#N/A N/A</v>
        <stp/>
        <stp>BDH|12706315962522175781</stp>
        <tr r="AA25" s="2"/>
      </tp>
      <tp t="s">
        <v>#N/A N/A</v>
        <stp/>
        <stp>BDH|13225807450669763580</stp>
        <tr r="Q15" s="2"/>
      </tp>
      <tp t="s">
        <v>#N/A N/A</v>
        <stp/>
        <stp>BDH|11084352719341829081</stp>
        <tr r="L33" s="2"/>
        <tr r="L45" s="2"/>
      </tp>
      <tp t="s">
        <v>#N/A N/A</v>
        <stp/>
        <stp>BDH|12693721678599160915</stp>
        <tr r="O32" s="2"/>
      </tp>
      <tp t="s">
        <v>#N/A N/A</v>
        <stp/>
        <stp>BDH|10187393205319380827</stp>
        <tr r="N33" s="2"/>
        <tr r="N45" s="2"/>
      </tp>
      <tp t="s">
        <v>#N/A N/A</v>
        <stp/>
        <stp>BDH|14004581108746579597</stp>
        <tr r="AB14" s="2"/>
      </tp>
      <tp t="s">
        <v>#N/A N/A</v>
        <stp/>
        <stp>BDH|12083025529057173551</stp>
        <tr r="V60" s="2"/>
      </tp>
      <tp t="s">
        <v>#N/A N/A</v>
        <stp/>
        <stp>BDH|10449095721377760746</stp>
        <tr r="W12" s="2"/>
      </tp>
      <tp t="s">
        <v>#N/A N/A</v>
        <stp/>
        <stp>BDH|14733288514781174459</stp>
        <tr r="L31" s="2"/>
      </tp>
      <tp t="s">
        <v>#N/A N/A</v>
        <stp/>
        <stp>BDH|17862279311262675460</stp>
        <tr r="W15" s="2"/>
      </tp>
      <tp t="s">
        <v>#N/A N/A</v>
        <stp/>
        <stp>BDH|16787295513631269612</stp>
        <tr r="Q11" s="2"/>
      </tp>
      <tp t="s">
        <v>#N/A N/A</v>
        <stp/>
        <stp>BDH|12933759457506236472</stp>
        <tr r="Q61" s="2"/>
      </tp>
      <tp t="s">
        <v>#N/A N/A</v>
        <stp/>
        <stp>BDH|11773617177732880072</stp>
        <tr r="M64" s="2"/>
      </tp>
      <tp t="s">
        <v>#N/A N/A</v>
        <stp/>
        <stp>BDH|11927379014289195850</stp>
        <tr r="AA68" s="2"/>
      </tp>
      <tp t="s">
        <v>#N/A N/A</v>
        <stp/>
        <stp>BDH|14352478862101505425</stp>
        <tr r="V31" s="2"/>
      </tp>
      <tp t="s">
        <v>#N/A N/A</v>
        <stp/>
        <stp>BDH|10256419935666595224</stp>
        <tr r="P36" s="2"/>
      </tp>
      <tp t="s">
        <v>#N/A N/A</v>
        <stp/>
        <stp>BDH|11044541242984730717</stp>
        <tr r="E35" s="2"/>
      </tp>
      <tp t="s">
        <v>#N/A N/A</v>
        <stp/>
        <stp>BDH|15652539317705404768</stp>
        <tr r="J60" s="2"/>
      </tp>
      <tp t="s">
        <v>#N/A N/A</v>
        <stp/>
        <stp>BDH|16605052441291780059</stp>
        <tr r="M66" s="2"/>
      </tp>
      <tp t="s">
        <v>#N/A N/A</v>
        <stp/>
        <stp>BDH|12378964713039314052</stp>
        <tr r="U50" s="2"/>
      </tp>
      <tp t="s">
        <v>#N/A N/A</v>
        <stp/>
        <stp>BDH|11164716742831215034</stp>
        <tr r="F19" s="2"/>
      </tp>
      <tp t="s">
        <v>#N/A N/A</v>
        <stp/>
        <stp>BDH|16884346821143900765</stp>
        <tr r="L60" s="2"/>
      </tp>
      <tp t="s">
        <v>#N/A N/A</v>
        <stp/>
        <stp>BDH|16087567631831295274</stp>
        <tr r="R27" s="2"/>
      </tp>
      <tp t="s">
        <v>#N/A N/A</v>
        <stp/>
        <stp>BDH|13330770569490866178</stp>
        <tr r="AA20" s="2"/>
      </tp>
      <tp t="s">
        <v>#N/A N/A</v>
        <stp/>
        <stp>BDH|13510122704857756666</stp>
        <tr r="H24" s="2"/>
      </tp>
      <tp t="s">
        <v>#N/A N/A</v>
        <stp/>
        <stp>BDH|18053919069424247084</stp>
        <tr r="U16" s="2"/>
      </tp>
      <tp t="s">
        <v>#N/A N/A</v>
        <stp/>
        <stp>BDH|10405406117121007714</stp>
        <tr r="N27" s="2"/>
      </tp>
      <tp t="s">
        <v>#N/A N/A</v>
        <stp/>
        <stp>BDH|11263857045088592626</stp>
        <tr r="Y26" s="2"/>
      </tp>
      <tp t="s">
        <v>#N/A N/A</v>
        <stp/>
        <stp>BDH|12037233126636615766</stp>
        <tr r="J52" s="2"/>
      </tp>
      <tp t="s">
        <v>#N/A N/A</v>
        <stp/>
        <stp>BDH|15712756980379620013</stp>
        <tr r="N52" s="2"/>
      </tp>
      <tp t="s">
        <v>#N/A N/A</v>
        <stp/>
        <stp>BDH|11376429053337478426</stp>
        <tr r="J50" s="2"/>
      </tp>
      <tp t="s">
        <v>#N/A N/A</v>
        <stp/>
        <stp>BDH|16865552318299051810</stp>
        <tr r="T10" s="2"/>
      </tp>
      <tp t="s">
        <v>#N/A N/A</v>
        <stp/>
        <stp>BDH|16945622157457118192</stp>
        <tr r="W66" s="2"/>
      </tp>
      <tp t="s">
        <v>#N/A N/A</v>
        <stp/>
        <stp>BDH|14331017930690442427</stp>
        <tr r="S26" s="2"/>
      </tp>
      <tp t="s">
        <v>#N/A N/A</v>
        <stp/>
        <stp>BDH|11201407425917312331</stp>
        <tr r="C68" s="2"/>
      </tp>
      <tp t="s">
        <v>#N/A N/A</v>
        <stp/>
        <stp>BDH|10974559173947111691</stp>
        <tr r="G48" s="2"/>
      </tp>
      <tp t="s">
        <v>#N/A N/A</v>
        <stp/>
        <stp>BDH|13569418972717283436</stp>
        <tr r="P29" s="2"/>
      </tp>
      <tp t="s">
        <v>#N/A N/A</v>
        <stp/>
        <stp>BDH|10134008723706644725</stp>
        <tr r="V62" s="2"/>
      </tp>
      <tp t="s">
        <v>#N/A N/A</v>
        <stp/>
        <stp>BDH|12872761039924266139</stp>
        <tr r="G19" s="2"/>
      </tp>
      <tp t="s">
        <v>#N/A N/A</v>
        <stp/>
        <stp>BDH|10485013072023804766</stp>
        <tr r="M28" s="2"/>
      </tp>
      <tp t="s">
        <v>#N/A N/A</v>
        <stp/>
        <stp>BDH|11492796121855346262</stp>
        <tr r="V29" s="2"/>
      </tp>
      <tp t="s">
        <v>#N/A N/A</v>
        <stp/>
        <stp>BDH|14224080459024909628</stp>
        <tr r="I53" s="2"/>
      </tp>
      <tp t="s">
        <v>#N/A N/A</v>
        <stp/>
        <stp>BDH|12343129979347433045</stp>
        <tr r="K31" s="2"/>
      </tp>
      <tp t="s">
        <v>#N/A N/A</v>
        <stp/>
        <stp>BDH|16745992592234668120</stp>
        <tr r="AC14" s="2"/>
      </tp>
      <tp t="s">
        <v>#N/A N/A</v>
        <stp/>
        <stp>BDH|17218322132523385798</stp>
        <tr r="K36" s="2"/>
      </tp>
      <tp t="s">
        <v>#N/A N/A</v>
        <stp/>
        <stp>BDH|13079567425543998417</stp>
        <tr r="T8" s="2"/>
      </tp>
      <tp t="s">
        <v>#N/A N/A</v>
        <stp/>
        <stp>BDH|13628975590158996832</stp>
        <tr r="O19" s="2"/>
      </tp>
      <tp t="s">
        <v>#N/A N/A</v>
        <stp/>
        <stp>BDH|12923689570979820924</stp>
        <tr r="Z35" s="2"/>
      </tp>
      <tp t="s">
        <v>#N/A N/A</v>
        <stp/>
        <stp>BDH|14117150399619583626</stp>
        <tr r="F7" s="2"/>
      </tp>
      <tp t="s">
        <v>#N/A N/A</v>
        <stp/>
        <stp>BDH|11188462119182349571</stp>
        <tr r="AC12" s="2"/>
      </tp>
      <tp t="s">
        <v>#N/A N/A</v>
        <stp/>
        <stp>BDH|14525501224022976225</stp>
        <tr r="C47" s="2"/>
      </tp>
      <tp t="s">
        <v>#N/A N/A</v>
        <stp/>
        <stp>BDH|12511035338592052040</stp>
        <tr r="S12" s="2"/>
      </tp>
      <tp t="s">
        <v>#N/A N/A</v>
        <stp/>
        <stp>BDH|15745688373240557743</stp>
        <tr r="T45" s="2"/>
        <tr r="T33" s="2"/>
      </tp>
      <tp t="s">
        <v>#N/A N/A</v>
        <stp/>
        <stp>BDH|14553960567011927909</stp>
        <tr r="E52" s="2"/>
      </tp>
      <tp t="s">
        <v>#N/A N/A</v>
        <stp/>
        <stp>BDH|12083509579995607625</stp>
        <tr r="J69" s="2"/>
      </tp>
      <tp t="s">
        <v>#N/A N/A</v>
        <stp/>
        <stp>BDH|15167202175230912304</stp>
        <tr r="D41" s="2"/>
      </tp>
      <tp t="s">
        <v>#N/A N/A</v>
        <stp/>
        <stp>BDH|18431080985720542317</stp>
        <tr r="D63" s="2"/>
      </tp>
      <tp t="s">
        <v>#N/A N/A</v>
        <stp/>
        <stp>BDH|12590197200054584454</stp>
        <tr r="Q71" s="2"/>
      </tp>
      <tp t="s">
        <v>#N/A N/A</v>
        <stp/>
        <stp>BDH|17532686761240249423</stp>
        <tr r="J16" s="2"/>
      </tp>
      <tp t="s">
        <v>#N/A N/A</v>
        <stp/>
        <stp>BDH|14048594169085457182</stp>
        <tr r="V6" s="2"/>
      </tp>
      <tp t="s">
        <v>#N/A N/A</v>
        <stp/>
        <stp>BDH|12559194152304537174</stp>
        <tr r="L16" s="2"/>
      </tp>
      <tp t="s">
        <v>#N/A N/A</v>
        <stp/>
        <stp>BDH|14083637451151414597</stp>
        <tr r="M31" s="2"/>
      </tp>
      <tp t="s">
        <v>#N/A N/A</v>
        <stp/>
        <stp>BDH|12713957662647900961</stp>
        <tr r="E17" s="2"/>
      </tp>
      <tp t="s">
        <v>#N/A N/A</v>
        <stp/>
        <stp>BDH|17164644108591558376</stp>
        <tr r="C59" s="2"/>
      </tp>
      <tp t="s">
        <v>#N/A N/A</v>
        <stp/>
        <stp>BDH|16851530911407636620</stp>
        <tr r="AB48" s="2"/>
      </tp>
      <tp t="s">
        <v>#N/A N/A</v>
        <stp/>
        <stp>BDH|10710649849903348271</stp>
        <tr r="E59" s="2"/>
      </tp>
      <tp t="s">
        <v>#N/A N/A</v>
        <stp/>
        <stp>BDH|11198915189827886707</stp>
        <tr r="AC62" s="2"/>
      </tp>
      <tp t="s">
        <v>#N/A N/A</v>
        <stp/>
        <stp>BDH|15552108362953196179</stp>
        <tr r="AC18" s="2"/>
      </tp>
      <tp t="s">
        <v>#N/A N/A</v>
        <stp/>
        <stp>BDH|13767567888176822818</stp>
        <tr r="E18" s="2"/>
      </tp>
      <tp t="s">
        <v>#N/A N/A</v>
        <stp/>
        <stp>BDH|15966271179528381846</stp>
        <tr r="Q55" s="2"/>
      </tp>
      <tp t="s">
        <v>#N/A N/A</v>
        <stp/>
        <stp>BDH|13732996288663792119</stp>
        <tr r="Z34" s="2"/>
      </tp>
      <tp t="s">
        <v>#N/A N/A</v>
        <stp/>
        <stp>BDH|12823778734215366388</stp>
        <tr r="C10" s="2"/>
      </tp>
      <tp t="s">
        <v>#N/A N/A</v>
        <stp/>
        <stp>BDH|14581354263195800481</stp>
        <tr r="R29" s="2"/>
      </tp>
      <tp t="s">
        <v>#N/A N/A</v>
        <stp/>
        <stp>BDH|18358028606189049152</stp>
        <tr r="V68" s="2"/>
      </tp>
      <tp t="s">
        <v>#N/A N/A</v>
        <stp/>
        <stp>BDH|14493421172956610109</stp>
        <tr r="V64" s="2"/>
      </tp>
      <tp t="s">
        <v>#N/A N/A</v>
        <stp/>
        <stp>BDH|16353643621853468100</stp>
        <tr r="AA63" s="2"/>
      </tp>
      <tp t="s">
        <v>#N/A N/A</v>
        <stp/>
        <stp>BDH|16812583196893217966</stp>
        <tr r="F35" s="2"/>
      </tp>
      <tp t="s">
        <v>#N/A N/A</v>
        <stp/>
        <stp>BDH|16666675358230880535</stp>
        <tr r="H63" s="2"/>
      </tp>
      <tp t="s">
        <v>#N/A N/A</v>
        <stp/>
        <stp>BDH|17083449131307353740</stp>
        <tr r="AD24" s="2"/>
      </tp>
      <tp t="s">
        <v>#N/A N/A</v>
        <stp/>
        <stp>BDH|12976271512733972208</stp>
        <tr r="W70" s="2"/>
      </tp>
      <tp t="s">
        <v>#N/A N/A</v>
        <stp/>
        <stp>BDH|14377680850225604285</stp>
        <tr r="E24" s="2"/>
      </tp>
      <tp t="s">
        <v>#N/A N/A</v>
        <stp/>
        <stp>BDH|14314361761957175615</stp>
        <tr r="G34" s="2"/>
      </tp>
      <tp t="s">
        <v>#N/A N/A</v>
        <stp/>
        <stp>BDH|12710454726244851082</stp>
        <tr r="Y24" s="2"/>
      </tp>
      <tp t="s">
        <v>#N/A N/A</v>
        <stp/>
        <stp>BDH|13556051537791639154</stp>
        <tr r="E25" s="2"/>
      </tp>
      <tp t="s">
        <v>#N/A N/A</v>
        <stp/>
        <stp>BDH|11881305239095516437</stp>
        <tr r="J59" s="2"/>
      </tp>
      <tp t="s">
        <v>#N/A N/A</v>
        <stp/>
        <stp>BDH|13240939794413027026</stp>
        <tr r="Q50" s="2"/>
      </tp>
      <tp t="s">
        <v>#N/A N/A</v>
        <stp/>
        <stp>BDH|12246153416820544237</stp>
        <tr r="F52" s="2"/>
      </tp>
      <tp t="s">
        <v>#N/A N/A</v>
        <stp/>
        <stp>BDH|14859205961526822667</stp>
        <tr r="AB26" s="2"/>
      </tp>
      <tp t="s">
        <v>#N/A N/A</v>
        <stp/>
        <stp>BDH|17610804576051370945</stp>
        <tr r="AB52" s="2"/>
      </tp>
      <tp t="s">
        <v>#N/A N/A</v>
        <stp/>
        <stp>BDH|12464215641614161027</stp>
        <tr r="P71" s="2"/>
      </tp>
      <tp t="s">
        <v>#N/A N/A</v>
        <stp/>
        <stp>BDH|16387311693674678810</stp>
        <tr r="N8" s="2"/>
      </tp>
      <tp t="s">
        <v>#N/A N/A</v>
        <stp/>
        <stp>BDH|10342939985839490873</stp>
        <tr r="H26" s="2"/>
      </tp>
      <tp t="s">
        <v>#N/A N/A</v>
        <stp/>
        <stp>BDH|10822987524032050923</stp>
        <tr r="M7" s="2"/>
      </tp>
      <tp t="s">
        <v>#N/A N/A</v>
        <stp/>
        <stp>BDH|11340968507150484803</stp>
        <tr r="AA37" s="2"/>
      </tp>
      <tp t="s">
        <v>#N/A N/A</v>
        <stp/>
        <stp>BDH|17985448471581430516</stp>
        <tr r="S63" s="2"/>
      </tp>
      <tp t="s">
        <v>#N/A N/A</v>
        <stp/>
        <stp>BDH|17620385563466102454</stp>
        <tr r="G71" s="2"/>
      </tp>
      <tp t="s">
        <v>#N/A N/A</v>
        <stp/>
        <stp>BDH|17820517395243423802</stp>
        <tr r="H30" s="2"/>
      </tp>
      <tp t="s">
        <v>#N/A N/A</v>
        <stp/>
        <stp>BDH|13181357347624381084</stp>
        <tr r="T70" s="2"/>
      </tp>
      <tp t="s">
        <v>#N/A N/A</v>
        <stp/>
        <stp>BDH|12460054755642768599</stp>
        <tr r="N13" s="2"/>
      </tp>
      <tp t="s">
        <v>#N/A N/A</v>
        <stp/>
        <stp>BDH|10999250662384163051</stp>
        <tr r="P18" s="2"/>
      </tp>
      <tp t="s">
        <v>#N/A N/A</v>
        <stp/>
        <stp>BDH|10874571465263179015</stp>
        <tr r="Y55" s="2"/>
      </tp>
      <tp t="s">
        <v>#N/A N/A</v>
        <stp/>
        <stp>BDH|16578216469741379329</stp>
        <tr r="L39" s="2"/>
      </tp>
      <tp t="s">
        <v>#N/A N/A</v>
        <stp/>
        <stp>BDH|12779935920020052986</stp>
        <tr r="H11" s="2"/>
      </tp>
      <tp t="s">
        <v>#N/A N/A</v>
        <stp/>
        <stp>BDH|14888128453693257377</stp>
        <tr r="L34" s="2"/>
      </tp>
      <tp t="s">
        <v>#N/A N/A</v>
        <stp/>
        <stp>BDH|11194460994149934552</stp>
        <tr r="AA38" s="2"/>
      </tp>
      <tp t="s">
        <v>#N/A N/A</v>
        <stp/>
        <stp>BDH|11962519702581210575</stp>
        <tr r="AD26" s="2"/>
      </tp>
      <tp t="s">
        <v>#N/A N/A</v>
        <stp/>
        <stp>BDH|13612986651658364731</stp>
        <tr r="X30" s="2"/>
      </tp>
      <tp t="s">
        <v>#N/A N/A</v>
        <stp/>
        <stp>BDH|11947254973132657661</stp>
        <tr r="D14" s="2"/>
      </tp>
      <tp t="s">
        <v>#N/A N/A</v>
        <stp/>
        <stp>BDH|16815663441347367333</stp>
        <tr r="V41" s="2"/>
      </tp>
      <tp t="s">
        <v>#N/A N/A</v>
        <stp/>
        <stp>BDH|15116141659539171839</stp>
        <tr r="I7" s="2"/>
      </tp>
      <tp t="s">
        <v>#N/A N/A</v>
        <stp/>
        <stp>BDH|16704861305148309698</stp>
        <tr r="AA34" s="2"/>
      </tp>
      <tp t="s">
        <v>#N/A N/A</v>
        <stp/>
        <stp>BDH|15026184554859024820</stp>
        <tr r="Q65" s="2"/>
      </tp>
      <tp t="s">
        <v>#N/A N/A</v>
        <stp/>
        <stp>BDH|16967595219396320444</stp>
        <tr r="Y27" s="2"/>
      </tp>
      <tp t="s">
        <v>#N/A N/A</v>
        <stp/>
        <stp>BDH|10360233527868701919</stp>
        <tr r="S62" s="2"/>
      </tp>
      <tp t="s">
        <v>#N/A N/A</v>
        <stp/>
        <stp>BDH|14238173446849564964</stp>
        <tr r="I21" s="2"/>
      </tp>
      <tp t="s">
        <v>#N/A N/A</v>
        <stp/>
        <stp>BDH|16984649403186754798</stp>
        <tr r="Q48" s="2"/>
      </tp>
      <tp t="s">
        <v>#N/A N/A</v>
        <stp/>
        <stp>BDH|12310087604026931568</stp>
        <tr r="L22" s="2"/>
      </tp>
      <tp t="s">
        <v>#N/A N/A</v>
        <stp/>
        <stp>BDH|15839548678840112651</stp>
        <tr r="J24" s="2"/>
      </tp>
      <tp t="s">
        <v>#N/A N/A</v>
        <stp/>
        <stp>BDH|12700018376354158019</stp>
        <tr r="E67" s="2"/>
      </tp>
      <tp t="s">
        <v>#N/A N/A</v>
        <stp/>
        <stp>BDH|16076266436142255418</stp>
        <tr r="AD39" s="2"/>
      </tp>
      <tp t="s">
        <v>#N/A N/A</v>
        <stp/>
        <stp>BDH|17578975845093316871</stp>
        <tr r="O53" s="2"/>
      </tp>
      <tp t="s">
        <v>#N/A N/A</v>
        <stp/>
        <stp>BDH|10805664142196650597</stp>
        <tr r="AB34" s="2"/>
      </tp>
      <tp t="s">
        <v>#N/A N/A</v>
        <stp/>
        <stp>BDH|11340632426920491411</stp>
        <tr r="U6" s="2"/>
      </tp>
      <tp t="s">
        <v>#N/A N/A</v>
        <stp/>
        <stp>BDH|14492453110486292602</stp>
        <tr r="V18" s="2"/>
      </tp>
      <tp t="s">
        <v>#N/A N/A</v>
        <stp/>
        <stp>BDH|18071894518337549770</stp>
        <tr r="AB32" s="2"/>
      </tp>
      <tp t="s">
        <v>#N/A N/A</v>
        <stp/>
        <stp>BDH|14091403304279647818</stp>
        <tr r="I25" s="2"/>
      </tp>
      <tp t="s">
        <v>#N/A N/A</v>
        <stp/>
        <stp>BDH|15226741767596687354</stp>
        <tr r="X71" s="2"/>
      </tp>
      <tp t="s">
        <v>#N/A N/A</v>
        <stp/>
        <stp>BDH|11894396272580149402</stp>
        <tr r="N61" s="2"/>
      </tp>
      <tp t="s">
        <v>#N/A N/A</v>
        <stp/>
        <stp>BDH|16865088121284643123</stp>
        <tr r="L19" s="2"/>
      </tp>
      <tp t="s">
        <v>#N/A N/A</v>
        <stp/>
        <stp>BDH|10469360436690929181</stp>
        <tr r="R8" s="2"/>
      </tp>
      <tp t="s">
        <v>#N/A N/A</v>
        <stp/>
        <stp>BDH|12751438614107573109</stp>
        <tr r="AC7" s="2"/>
      </tp>
      <tp t="s">
        <v>#N/A N/A</v>
        <stp/>
        <stp>BDH|12398006414142364019</stp>
        <tr r="F39" s="2"/>
      </tp>
      <tp t="s">
        <v>#N/A N/A</v>
        <stp/>
        <stp>BDH|18300978808277962713</stp>
        <tr r="V53" s="2"/>
      </tp>
      <tp t="s">
        <v>#N/A N/A</v>
        <stp/>
        <stp>BDH|16601251876681384322</stp>
        <tr r="AD55" s="2"/>
      </tp>
      <tp t="s">
        <v>#N/A N/A</v>
        <stp/>
        <stp>BDH|17803923753509810355</stp>
        <tr r="E7" s="2"/>
      </tp>
      <tp t="s">
        <v>#N/A N/A</v>
        <stp/>
        <stp>BDH|12135578777488288973</stp>
        <tr r="P28" s="2"/>
      </tp>
      <tp t="s">
        <v>#N/A N/A</v>
        <stp/>
        <stp>BDH|16099350016376368377</stp>
        <tr r="O54" s="2"/>
      </tp>
      <tp t="s">
        <v>#N/A N/A</v>
        <stp/>
        <stp>BDH|12507916583785836788</stp>
        <tr r="I37" s="2"/>
      </tp>
      <tp t="s">
        <v>#N/A N/A</v>
        <stp/>
        <stp>BDH|14788590428493251136</stp>
        <tr r="D29" s="2"/>
      </tp>
      <tp t="s">
        <v>#N/A N/A</v>
        <stp/>
        <stp>BDH|14092372495569035659</stp>
        <tr r="Q24" s="2"/>
      </tp>
      <tp t="s">
        <v>#N/A N/A</v>
        <stp/>
        <stp>BDH|12524480149224785755</stp>
        <tr r="W71" s="2"/>
      </tp>
      <tp t="s">
        <v>#N/A N/A</v>
        <stp/>
        <stp>BDH|14748650929434050525</stp>
        <tr r="W68" s="2"/>
      </tp>
      <tp t="s">
        <v>#N/A N/A</v>
        <stp/>
        <stp>BDH|17135604301232924203</stp>
        <tr r="L35" s="2"/>
      </tp>
      <tp t="s">
        <v>#N/A N/A</v>
        <stp/>
        <stp>BDH|13288495977286522715</stp>
        <tr r="V38" s="2"/>
      </tp>
      <tp t="s">
        <v>#N/A N/A</v>
        <stp/>
        <stp>BDH|18021071520623862875</stp>
        <tr r="R33" s="2"/>
        <tr r="R45" s="2"/>
      </tp>
      <tp t="s">
        <v>#N/A N/A</v>
        <stp/>
        <stp>BDH|12388927109443696952</stp>
        <tr r="P19" s="2"/>
      </tp>
      <tp t="s">
        <v>#N/A N/A</v>
        <stp/>
        <stp>BDH|14242484179002117491</stp>
        <tr r="Q40" s="2"/>
      </tp>
      <tp t="s">
        <v>#N/A N/A</v>
        <stp/>
        <stp>BDH|17737498357331351618</stp>
        <tr r="R19" s="2"/>
      </tp>
      <tp t="s">
        <v>#N/A N/A</v>
        <stp/>
        <stp>BDH|16912277246573799252</stp>
        <tr r="AC9" s="2"/>
      </tp>
      <tp t="s">
        <v>#N/A N/A</v>
        <stp/>
        <stp>BDH|10161564642472619292</stp>
        <tr r="N59" s="2"/>
      </tp>
      <tp t="s">
        <v>#N/A N/A</v>
        <stp/>
        <stp>BDH|16565700640632947660</stp>
        <tr r="P12" s="2"/>
      </tp>
      <tp t="s">
        <v>#N/A N/A</v>
        <stp/>
        <stp>BDH|16264251244966675786</stp>
        <tr r="M41" s="2"/>
      </tp>
      <tp t="s">
        <v>#N/A N/A</v>
        <stp/>
        <stp>BDH|13255947598642191030</stp>
        <tr r="V12" s="2"/>
      </tp>
      <tp t="s">
        <v>#N/A N/A</v>
        <stp/>
        <stp>BDH|14503080150255645574</stp>
        <tr r="S17" s="2"/>
      </tp>
      <tp t="s">
        <v>#N/A N/A</v>
        <stp/>
        <stp>BDH|11879379212732347017</stp>
        <tr r="G36" s="2"/>
      </tp>
      <tp t="s">
        <v>#N/A N/A</v>
        <stp/>
        <stp>BDH|12566521216003943479</stp>
        <tr r="J14" s="2"/>
      </tp>
      <tp t="s">
        <v>#N/A N/A</v>
        <stp/>
        <stp>BDH|16285172894866850966</stp>
        <tr r="C23" s="2"/>
      </tp>
      <tp t="s">
        <v>#N/A N/A</v>
        <stp/>
        <stp>BDH|12256004243151894668</stp>
        <tr r="X50" s="2"/>
      </tp>
      <tp t="s">
        <v>#N/A N/A</v>
        <stp/>
        <stp>BDH|18211556387763528043</stp>
        <tr r="E47" s="2"/>
      </tp>
      <tp t="s">
        <v>#N/A N/A</v>
        <stp/>
        <stp>BDH|18047219096550517523</stp>
        <tr r="U60" s="2"/>
      </tp>
      <tp t="s">
        <v>#N/A N/A</v>
        <stp/>
        <stp>BDH|11588260212607165308</stp>
        <tr r="S6" s="2"/>
      </tp>
      <tp t="s">
        <v>#N/A N/A</v>
        <stp/>
        <stp>BDH|15305691249248295922</stp>
        <tr r="O64" s="2"/>
      </tp>
      <tp t="s">
        <v>#N/A N/A</v>
        <stp/>
        <stp>BDH|16302739002064271330</stp>
        <tr r="K61" s="2"/>
      </tp>
      <tp t="s">
        <v>#N/A N/A</v>
        <stp/>
        <stp>BDH|14533339900781592006</stp>
        <tr r="R25" s="2"/>
      </tp>
      <tp t="s">
        <v>#N/A N/A</v>
        <stp/>
        <stp>BDH|15939021358944288222</stp>
        <tr r="M10" s="2"/>
      </tp>
      <tp t="s">
        <v>#N/A N/A</v>
        <stp/>
        <stp>BDH|12499818775542532961</stp>
        <tr r="F31" s="2"/>
      </tp>
      <tp t="s">
        <v>#N/A N/A</v>
        <stp/>
        <stp>BDH|15372762052264550514</stp>
        <tr r="N64" s="2"/>
      </tp>
      <tp t="s">
        <v>#N/A N/A</v>
        <stp/>
        <stp>BDH|11962736008431850195</stp>
        <tr r="C40" s="2"/>
      </tp>
      <tp t="s">
        <v>#N/A N/A</v>
        <stp/>
        <stp>BDH|15175040992553254978</stp>
        <tr r="G41" s="2"/>
      </tp>
      <tp t="s">
        <v>#N/A N/A</v>
        <stp/>
        <stp>BDH|11252034680356041939</stp>
        <tr r="AD29" s="2"/>
      </tp>
      <tp t="s">
        <v>#N/A N/A</v>
        <stp/>
        <stp>BDH|17943394607724755626</stp>
        <tr r="AA43" s="2"/>
      </tp>
      <tp t="s">
        <v>#N/A N/A</v>
        <stp/>
        <stp>BDH|13705293669540737158</stp>
        <tr r="L70" s="2"/>
      </tp>
      <tp t="s">
        <v>#N/A N/A</v>
        <stp/>
        <stp>BDH|14592366279060959671</stp>
        <tr r="AD32" s="2"/>
      </tp>
      <tp t="s">
        <v>#N/A N/A</v>
        <stp/>
        <stp>BDH|14574566780946741907</stp>
        <tr r="T17" s="2"/>
      </tp>
      <tp t="s">
        <v>#N/A N/A</v>
        <stp/>
        <stp>BDH|17734276255390093613</stp>
        <tr r="M15" s="2"/>
      </tp>
      <tp t="s">
        <v>#N/A N/A</v>
        <stp/>
        <stp>BDH|15125571746593511116</stp>
        <tr r="T31" s="2"/>
      </tp>
      <tp t="s">
        <v>#N/A N/A</v>
        <stp/>
        <stp>BDH|10623103134275524131</stp>
        <tr r="O30" s="2"/>
      </tp>
      <tp t="s">
        <v>#N/A N/A</v>
        <stp/>
        <stp>BDH|10165207743995332561</stp>
        <tr r="H55" s="2"/>
      </tp>
      <tp t="s">
        <v>#N/A N/A</v>
        <stp/>
        <stp>BDH|15604028748661213695</stp>
        <tr r="S54" s="2"/>
      </tp>
      <tp t="s">
        <v>#N/A N/A</v>
        <stp/>
        <stp>BDH|11491436477812257653</stp>
        <tr r="C53" s="2"/>
      </tp>
      <tp t="s">
        <v>#N/A N/A</v>
        <stp/>
        <stp>BDH|11551289349906416774</stp>
        <tr r="O26" s="2"/>
      </tp>
      <tp t="s">
        <v>#N/A N/A</v>
        <stp/>
        <stp>BDH|16791562372347557502</stp>
        <tr r="Y25" s="2"/>
      </tp>
      <tp t="s">
        <v>#N/A N/A</v>
        <stp/>
        <stp>BDH|12022756488073945826</stp>
        <tr r="H23" s="2"/>
      </tp>
      <tp t="s">
        <v>#N/A N/A</v>
        <stp/>
        <stp>BDH|14577694074883736062</stp>
        <tr r="G22" s="2"/>
      </tp>
      <tp t="s">
        <v>#N/A N/A</v>
        <stp/>
        <stp>BDH|18032789672398031621</stp>
        <tr r="I15" s="2"/>
      </tp>
      <tp t="s">
        <v>#N/A N/A</v>
        <stp/>
        <stp>BDH|14344702969267032420</stp>
        <tr r="G52" s="2"/>
      </tp>
      <tp t="s">
        <v>#N/A N/A</v>
        <stp/>
        <stp>BDH|14864515067250137177</stp>
        <tr r="H69" s="2"/>
      </tp>
      <tp t="s">
        <v>#N/A N/A</v>
        <stp/>
        <stp>BDH|10350228642420067085</stp>
        <tr r="H70" s="2"/>
      </tp>
      <tp t="s">
        <v>#N/A N/A</v>
        <stp/>
        <stp>BDH|17234125700485382587</stp>
        <tr r="J28" s="2"/>
      </tp>
      <tp t="s">
        <v>#N/A N/A</v>
        <stp/>
        <stp>BDH|12670289270658628936</stp>
        <tr r="AB12" s="2"/>
      </tp>
      <tp t="s">
        <v>#N/A N/A</v>
        <stp/>
        <stp>BDH|10875961294740099603</stp>
        <tr r="C31" s="2"/>
      </tp>
      <tp t="s">
        <v>#N/A N/A</v>
        <stp/>
        <stp>BDH|13588023069006740536</stp>
        <tr r="Z29" s="2"/>
      </tp>
      <tp t="s">
        <v>#N/A N/A</v>
        <stp/>
        <stp>BDH|11005431726444611597</stp>
        <tr r="D49" s="2"/>
      </tp>
      <tp t="s">
        <v>#N/A N/A</v>
        <stp/>
        <stp>BDH|15824666134415878385</stp>
        <tr r="W34" s="2"/>
      </tp>
      <tp t="s">
        <v>#N/A N/A</v>
        <stp/>
        <stp>BDH|16971070945312429657</stp>
        <tr r="U17" s="2"/>
      </tp>
      <tp t="s">
        <v>#N/A N/A</v>
        <stp/>
        <stp>BDH|12780397400451608656</stp>
        <tr r="Q62" s="2"/>
      </tp>
      <tp t="s">
        <v>#N/A N/A</v>
        <stp/>
        <stp>BDH|15471648649550604137</stp>
        <tr r="AC63" s="2"/>
      </tp>
      <tp t="s">
        <v>#N/A N/A</v>
        <stp/>
        <stp>BDH|18238985958591673387</stp>
        <tr r="W41" s="2"/>
      </tp>
      <tp t="s">
        <v>#N/A N/A</v>
        <stp/>
        <stp>BDH|11280083128915764096</stp>
        <tr r="W31" s="2"/>
      </tp>
      <tp t="s">
        <v>#N/A N/A</v>
        <stp/>
        <stp>BDH|16006813769518582618</stp>
        <tr r="AD40" s="2"/>
      </tp>
      <tp t="s">
        <v>#N/A N/A</v>
        <stp/>
        <stp>BDH|14969565092736394818</stp>
        <tr r="J10" s="2"/>
      </tp>
      <tp t="s">
        <v>#N/A N/A</v>
        <stp/>
        <stp>BDH|15832298110687881760</stp>
        <tr r="Z20" s="2"/>
      </tp>
      <tp t="s">
        <v>#N/A N/A</v>
        <stp/>
        <stp>BDH|17864924893652189363</stp>
        <tr r="V13" s="2"/>
      </tp>
      <tp t="s">
        <v>#N/A N/A</v>
        <stp/>
        <stp>BDH|13963751866153521717</stp>
        <tr r="AC53" s="2"/>
      </tp>
      <tp t="s">
        <v>#N/A N/A</v>
        <stp/>
        <stp>BDH|13715920168788064233</stp>
        <tr r="V25" s="2"/>
      </tp>
      <tp t="s">
        <v>#N/A N/A</v>
        <stp/>
        <stp>BDH|16013070615121086132</stp>
        <tr r="AA18" s="2"/>
      </tp>
      <tp t="s">
        <v>#N/A N/A</v>
        <stp/>
        <stp>BDH|11286669183178692006</stp>
        <tr r="AB15" s="2"/>
      </tp>
      <tp t="s">
        <v>#N/A N/A</v>
        <stp/>
        <stp>BDH|12871592292588697145</stp>
        <tr r="Q21" s="2"/>
      </tp>
      <tp t="s">
        <v>#N/A N/A</v>
        <stp/>
        <stp>BDH|14643150640825583372</stp>
        <tr r="L18" s="2"/>
      </tp>
      <tp t="s">
        <v>#N/A N/A</v>
        <stp/>
        <stp>BDH|17439355222860032134</stp>
        <tr r="T71" s="2"/>
      </tp>
      <tp t="s">
        <v>#N/A N/A</v>
        <stp/>
        <stp>BDH|13833778823998964959</stp>
        <tr r="H7" s="2"/>
      </tp>
      <tp t="s">
        <v>#N/A N/A</v>
        <stp/>
        <stp>BDH|10537729160280663625</stp>
        <tr r="N21" s="2"/>
      </tp>
      <tp t="s">
        <v>#N/A N/A</v>
        <stp/>
        <stp>BDH|16445072139601888313</stp>
        <tr r="AA61" s="2"/>
      </tp>
      <tp t="s">
        <v>#N/A N/A</v>
        <stp/>
        <stp>BDH|12289522006848487810</stp>
        <tr r="I32" s="2"/>
      </tp>
      <tp t="s">
        <v>#N/A N/A</v>
        <stp/>
        <stp>BDH|17633202545281363736</stp>
        <tr r="AA65" s="2"/>
      </tp>
      <tp t="s">
        <v>#N/A N/A</v>
        <stp/>
        <stp>BDH|13455082603644854047</stp>
        <tr r="U63" s="2"/>
      </tp>
      <tp t="s">
        <v>#N/A N/A</v>
        <stp/>
        <stp>BDH|16721259620385753476</stp>
        <tr r="E12" s="2"/>
      </tp>
      <tp t="s">
        <v>#N/A N/A</v>
        <stp/>
        <stp>BDH|17453466215453578604</stp>
        <tr r="N50" s="2"/>
      </tp>
      <tp t="s">
        <v>#N/A N/A</v>
        <stp/>
        <stp>BDH|10656191522705083182</stp>
        <tr r="AB18" s="2"/>
      </tp>
      <tp t="s">
        <v>#N/A N/A</v>
        <stp/>
        <stp>BDH|18071071351849136324</stp>
        <tr r="AD61" s="2"/>
      </tp>
      <tp t="s">
        <v>#N/A N/A</v>
        <stp/>
        <stp>BDH|16579262905693436078</stp>
        <tr r="K9" s="2"/>
      </tp>
      <tp t="s">
        <v>#N/A N/A</v>
        <stp/>
        <stp>BDH|15089176467684221161</stp>
        <tr r="H15" s="2"/>
      </tp>
      <tp t="s">
        <v>#N/A N/A</v>
        <stp/>
        <stp>BDH|12395690196549829306</stp>
        <tr r="D22" s="2"/>
      </tp>
      <tp t="s">
        <v>#N/A N/A</v>
        <stp/>
        <stp>BDH|16276320413461185266</stp>
        <tr r="AC48" s="2"/>
      </tp>
      <tp t="s">
        <v>#N/A N/A</v>
        <stp/>
        <stp>BDH|18171127886811371723</stp>
        <tr r="F65" s="2"/>
      </tp>
      <tp t="s">
        <v>#N/A N/A</v>
        <stp/>
        <stp>BDH|13053640068501942517</stp>
        <tr r="W18" s="2"/>
      </tp>
      <tp t="s">
        <v>#N/A N/A</v>
        <stp/>
        <stp>BDH|12558315135013120642</stp>
        <tr r="J41" s="2"/>
      </tp>
      <tp t="s">
        <v>#N/A N/A</v>
        <stp/>
        <stp>BDH|10733436214135219763</stp>
        <tr r="H43" s="2"/>
      </tp>
      <tp t="s">
        <v>#N/A N/A</v>
        <stp/>
        <stp>BDH|15128256166654599203</stp>
        <tr r="D31" s="2"/>
      </tp>
      <tp t="s">
        <v>#N/A N/A</v>
        <stp/>
        <stp>BDH|11141008917864030319</stp>
        <tr r="Z47" s="2"/>
      </tp>
      <tp t="s">
        <v>#N/A N/A</v>
        <stp/>
        <stp>BDH|10590711433547399438</stp>
        <tr r="P48" s="2"/>
      </tp>
      <tp t="s">
        <v>#N/A N/A</v>
        <stp/>
        <stp>BDH|12274015344315287437</stp>
        <tr r="M16" s="2"/>
      </tp>
      <tp t="s">
        <v>#N/A N/A</v>
        <stp/>
        <stp>BDH|11007395919707684308</stp>
        <tr r="S41" s="2"/>
      </tp>
      <tp t="s">
        <v>#N/A N/A</v>
        <stp/>
        <stp>BDH|15649432392789257636</stp>
        <tr r="K40" s="2"/>
      </tp>
      <tp t="s">
        <v>#N/A N/A</v>
        <stp/>
        <stp>BDH|13646690513137231486</stp>
        <tr r="Z40" s="2"/>
      </tp>
      <tp t="s">
        <v>#N/A N/A</v>
        <stp/>
        <stp>BDH|17742081277785830292</stp>
        <tr r="W62" s="2"/>
      </tp>
      <tp t="s">
        <v>#N/A N/A</v>
        <stp/>
        <stp>BDH|17370054559430334553</stp>
        <tr r="U49" s="2"/>
      </tp>
      <tp t="s">
        <v>#N/A N/A</v>
        <stp/>
        <stp>BDH|13064731369603246613</stp>
        <tr r="Y59" s="2"/>
      </tp>
      <tp t="s">
        <v>#N/A N/A</v>
        <stp/>
        <stp>BDH|16507822088126253742</stp>
        <tr r="E70" s="2"/>
      </tp>
      <tp t="s">
        <v>#N/A N/A</v>
        <stp/>
        <stp>BDH|17138699741560069217</stp>
        <tr r="G62" s="2"/>
      </tp>
      <tp t="s">
        <v>#N/A N/A</v>
        <stp/>
        <stp>BDH|15430530842305994648</stp>
        <tr r="H9" s="2"/>
      </tp>
      <tp t="s">
        <v>#N/A N/A</v>
        <stp/>
        <stp>BDH|11335101258824661665</stp>
        <tr r="J67" s="2"/>
      </tp>
      <tp t="s">
        <v>#N/A N/A</v>
        <stp/>
        <stp>BDH|17121646565486233692</stp>
        <tr r="L23" s="2"/>
      </tp>
      <tp t="s">
        <v>#N/A N/A</v>
        <stp/>
        <stp>BDH|17760710010260939647</stp>
        <tr r="L62" s="2"/>
      </tp>
      <tp t="s">
        <v>#N/A N/A</v>
        <stp/>
        <stp>BDH|15265408845093562198</stp>
        <tr r="Q17" s="2"/>
      </tp>
      <tp t="s">
        <v>#N/A N/A</v>
        <stp/>
        <stp>BDH|11771459345635440388</stp>
        <tr r="J39" s="2"/>
      </tp>
      <tp t="s">
        <v>#N/A N/A</v>
        <stp/>
        <stp>BDH|12591367660187935707</stp>
        <tr r="AD44" s="2"/>
      </tp>
      <tp t="s">
        <v>#N/A N/A</v>
        <stp/>
        <stp>BDH|12953195319453786645</stp>
        <tr r="Q44" s="2"/>
      </tp>
      <tp t="s">
        <v>#N/A N/A</v>
        <stp/>
        <stp>BDH|10849125461288347828</stp>
        <tr r="V9" s="2"/>
      </tp>
      <tp t="s">
        <v>#N/A N/A</v>
        <stp/>
        <stp>BDH|10832750947352184614</stp>
        <tr r="X28" s="2"/>
      </tp>
      <tp t="s">
        <v>#N/A N/A</v>
        <stp/>
        <stp>BDH|11871947196023732571</stp>
        <tr r="Z53" s="2"/>
      </tp>
      <tp t="s">
        <v>#N/A N/A</v>
        <stp/>
        <stp>BDH|10225884292572245402</stp>
        <tr r="C55" s="2"/>
      </tp>
      <tp t="s">
        <v>#N/A N/A</v>
        <stp/>
        <stp>BDH|10865129713630517713</stp>
        <tr r="P9" s="2"/>
      </tp>
      <tp t="s">
        <v>#N/A N/A</v>
        <stp/>
        <stp>BDH|12797557593410562992</stp>
        <tr r="O10" s="2"/>
      </tp>
      <tp t="s">
        <v>#N/A N/A</v>
        <stp/>
        <stp>BDH|13038920111168732495</stp>
        <tr r="E48" s="2"/>
      </tp>
      <tp t="s">
        <v>#N/A N/A</v>
        <stp/>
        <stp>BDH|17074346099658299233</stp>
        <tr r="M24" s="2"/>
      </tp>
      <tp t="s">
        <v>#N/A N/A</v>
        <stp/>
        <stp>BDH|11215735033055844762</stp>
        <tr r="O6" s="2"/>
      </tp>
      <tp t="s">
        <v>#N/A N/A</v>
        <stp/>
        <stp>BDH|12881845182323425653</stp>
        <tr r="H36" s="2"/>
      </tp>
      <tp t="s">
        <v>#N/A N/A</v>
        <stp/>
        <stp>BDH|13707908435157599998</stp>
        <tr r="AC68" s="2"/>
      </tp>
      <tp t="s">
        <v>#N/A N/A</v>
        <stp/>
        <stp>BDH|15043553556963820153</stp>
        <tr r="M54" s="2"/>
      </tp>
      <tp t="s">
        <v>#N/A N/A</v>
        <stp/>
        <stp>BDH|17988021813230228148</stp>
        <tr r="AD65" s="2"/>
      </tp>
      <tp t="s">
        <v>#N/A N/A</v>
        <stp/>
        <stp>BDH|14692006772577987333</stp>
        <tr r="T25" s="2"/>
      </tp>
      <tp t="s">
        <v>#N/A N/A</v>
        <stp/>
        <stp>BDH|16186986685671788154</stp>
        <tr r="T15" s="2"/>
      </tp>
      <tp t="s">
        <v>#N/A N/A</v>
        <stp/>
        <stp>BDH|14554860841504090833</stp>
        <tr r="X44" s="2"/>
      </tp>
      <tp t="s">
        <v>#N/A N/A</v>
        <stp/>
        <stp>BDH|15196323582899892388</stp>
        <tr r="AC67" s="2"/>
      </tp>
      <tp t="s">
        <v>#N/A N/A</v>
        <stp/>
        <stp>BDH|15658774630762802782</stp>
        <tr r="X24" s="2"/>
      </tp>
      <tp t="s">
        <v>#N/A N/A</v>
        <stp/>
        <stp>BDH|10635173782105117824</stp>
        <tr r="Z7" s="2"/>
      </tp>
      <tp t="s">
        <v>#N/A N/A</v>
        <stp/>
        <stp>BDH|15722273434806693624</stp>
        <tr r="O40" s="2"/>
      </tp>
      <tp t="s">
        <v>#N/A N/A</v>
        <stp/>
        <stp>BDH|16379579145933455066</stp>
        <tr r="D13" s="2"/>
      </tp>
      <tp t="s">
        <v>#N/A N/A</v>
        <stp/>
        <stp>BDH|16682416464140774067</stp>
        <tr r="L28" s="2"/>
      </tp>
      <tp t="s">
        <v>#N/A N/A</v>
        <stp/>
        <stp>BDH|10580610232303144258</stp>
        <tr r="R24" s="2"/>
      </tp>
      <tp t="s">
        <v>#N/A N/A</v>
        <stp/>
        <stp>BDH|17046413150767182550</stp>
        <tr r="W44" s="2"/>
      </tp>
      <tp t="s">
        <v>#N/A N/A</v>
        <stp/>
        <stp>BDH|11447588752667301287</stp>
        <tr r="T34" s="2"/>
      </tp>
      <tp t="s">
        <v>#N/A N/A</v>
        <stp/>
        <stp>BDH|18005077536697674824</stp>
        <tr r="Y31" s="2"/>
      </tp>
      <tp t="s">
        <v>#N/A N/A</v>
        <stp/>
        <stp>BDH|11548331925884022076</stp>
        <tr r="AB10" s="2"/>
      </tp>
      <tp t="s">
        <v>#N/A N/A</v>
        <stp/>
        <stp>BDH|14456400825390284676</stp>
        <tr r="U11" s="2"/>
      </tp>
      <tp t="s">
        <v>#N/A N/A</v>
        <stp/>
        <stp>BDH|10161057527897013176</stp>
        <tr r="S67" s="2"/>
      </tp>
      <tp t="s">
        <v>#N/A N/A</v>
        <stp/>
        <stp>BDH|11965551729935580748</stp>
        <tr r="D12" s="2"/>
      </tp>
      <tp t="s">
        <v>#N/A N/A</v>
        <stp/>
        <stp>BDH|16350299174875217287</stp>
        <tr r="L41" s="2"/>
      </tp>
      <tp t="s">
        <v>#N/A N/A</v>
        <stp/>
        <stp>BDH|14814191548610824553</stp>
        <tr r="I54" s="2"/>
      </tp>
      <tp t="s">
        <v>#N/A N/A</v>
        <stp/>
        <stp>BDH|10465286313251309684</stp>
        <tr r="P31" s="2"/>
      </tp>
      <tp t="s">
        <v>#N/A N/A</v>
        <stp/>
        <stp>BDH|15449314423926487658</stp>
        <tr r="T23" s="2"/>
      </tp>
      <tp t="s">
        <v>#N/A N/A</v>
        <stp/>
        <stp>BDH|18069308631464277843</stp>
        <tr r="O36" s="2"/>
      </tp>
      <tp t="s">
        <v>#N/A N/A</v>
        <stp/>
        <stp>BDH|10567561955574112002</stp>
        <tr r="T43" s="2"/>
      </tp>
      <tp t="s">
        <v>#N/A N/A</v>
        <stp/>
        <stp>BDH|13889079837404809069</stp>
        <tr r="X9" s="2"/>
      </tp>
      <tp t="s">
        <v>#N/A N/A</v>
        <stp/>
        <stp>BDH|11759506035502501116</stp>
        <tr r="N16" s="2"/>
      </tp>
      <tp t="s">
        <v>#N/A N/A</v>
        <stp/>
        <stp>BDH|13294527727045625579</stp>
        <tr r="Y32" s="2"/>
      </tp>
      <tp t="s">
        <v>#N/A N/A</v>
        <stp/>
        <stp>BDH|15090447513406625282</stp>
        <tr r="X15" s="2"/>
      </tp>
      <tp t="s">
        <v>#N/A N/A</v>
        <stp/>
        <stp>BDH|14119828881031990129</stp>
        <tr r="N39" s="2"/>
      </tp>
      <tp t="s">
        <v>#N/A N/A</v>
        <stp/>
        <stp>BDH|10673711429455696415</stp>
        <tr r="F47" s="2"/>
      </tp>
      <tp t="s">
        <v>#N/A N/A</v>
        <stp/>
        <stp>BDH|15157648759565237761</stp>
        <tr r="T30" s="2"/>
      </tp>
      <tp t="s">
        <v>#N/A N/A</v>
        <stp/>
        <stp>BDH|16935452265931698173</stp>
        <tr r="C16" s="2"/>
      </tp>
      <tp t="s">
        <v>#N/A N/A</v>
        <stp/>
        <stp>BDH|16180723549749644873</stp>
        <tr r="F27" s="2"/>
      </tp>
      <tp t="s">
        <v>#N/A N/A</v>
        <stp/>
        <stp>BDH|10223890804204183854</stp>
        <tr r="E55" s="2"/>
      </tp>
      <tp t="s">
        <v>#N/A N/A</v>
        <stp/>
        <stp>BDH|16083241054223287694</stp>
        <tr r="AA16" s="2"/>
      </tp>
      <tp t="s">
        <v>#N/A N/A</v>
        <stp/>
        <stp>BDH|12325680404443400303</stp>
        <tr r="V49" s="2"/>
      </tp>
      <tp t="s">
        <v>#N/A N/A</v>
        <stp/>
        <stp>BDH|10594773646530704790</stp>
        <tr r="I68" s="2"/>
      </tp>
      <tp t="s">
        <v>#N/A N/A</v>
        <stp/>
        <stp>BDH|13069046708332179577</stp>
        <tr r="X62" s="2"/>
      </tp>
      <tp t="s">
        <v>#N/A N/A</v>
        <stp/>
        <stp>BDH|12468313652816487694</stp>
        <tr r="K66" s="2"/>
      </tp>
      <tp t="s">
        <v>#N/A N/A</v>
        <stp/>
        <stp>BDH|10699773752097949175</stp>
        <tr r="AD62" s="2"/>
      </tp>
      <tp t="s">
        <v>#N/A N/A</v>
        <stp/>
        <stp>BDH|14477257242715678383</stp>
        <tr r="D28" s="2"/>
      </tp>
      <tp t="s">
        <v>#N/A N/A</v>
        <stp/>
        <stp>BDH|13340920987735881339</stp>
        <tr r="R68" s="2"/>
      </tp>
      <tp t="s">
        <v>#N/A N/A</v>
        <stp/>
        <stp>BDH|14211273538453493250</stp>
        <tr r="J38" s="2"/>
      </tp>
      <tp t="s">
        <v>#N/A N/A</v>
        <stp/>
        <stp>BDH|17734901921748292082</stp>
        <tr r="M60" s="2"/>
      </tp>
      <tp t="s">
        <v>#N/A N/A</v>
        <stp/>
        <stp>BDH|14612153173197456185</stp>
        <tr r="C48" s="2"/>
      </tp>
      <tp t="s">
        <v>#N/A N/A</v>
        <stp/>
        <stp>BDH|11850934255688164133</stp>
        <tr r="AC71" s="2"/>
      </tp>
      <tp t="s">
        <v>#N/A N/A</v>
        <stp/>
        <stp>BDH|15099046929577168434</stp>
        <tr r="I10" s="2"/>
      </tp>
      <tp t="s">
        <v>#N/A N/A</v>
        <stp/>
        <stp>BDH|10477423918871732061</stp>
        <tr r="AD31" s="2"/>
      </tp>
      <tp t="s">
        <v>#N/A N/A</v>
        <stp/>
        <stp>BDH|13950049208327281084</stp>
        <tr r="Q38" s="2"/>
      </tp>
      <tp t="s">
        <v>#N/A N/A</v>
        <stp/>
        <stp>BDH|15235594855952107309</stp>
        <tr r="D6" s="2"/>
      </tp>
      <tp t="s">
        <v>#N/A N/A</v>
        <stp/>
        <stp>BDH|16608098421977606775</stp>
        <tr r="L65" s="2"/>
      </tp>
      <tp t="s">
        <v>#N/A N/A</v>
        <stp/>
        <stp>BDH|10816219910746578125</stp>
        <tr r="K29" s="2"/>
      </tp>
      <tp t="s">
        <v>#N/A N/A</v>
        <stp/>
        <stp>BDH|14467120624644500796</stp>
        <tr r="T19" s="2"/>
      </tp>
      <tp t="s">
        <v>#N/A N/A</v>
        <stp/>
        <stp>BDH|11771000574583428196</stp>
        <tr r="W13" s="2"/>
      </tp>
      <tp t="s">
        <v>#N/A N/A</v>
        <stp/>
        <stp>BDH|11612352272407844788</stp>
        <tr r="AA15" s="2"/>
      </tp>
      <tp t="s">
        <v>#N/A N/A</v>
        <stp/>
        <stp>BDH|17987359562174911368</stp>
        <tr r="K70" s="2"/>
      </tp>
      <tp t="s">
        <v>#N/A N/A</v>
        <stp/>
        <stp>BDH|18323073176572344801</stp>
        <tr r="AD9" s="2"/>
      </tp>
      <tp t="s">
        <v>#N/A N/A</v>
        <stp/>
        <stp>BDH|16513163518481317290</stp>
        <tr r="U62" s="2"/>
      </tp>
      <tp t="s">
        <v>#N/A N/A</v>
        <stp/>
        <stp>BDH|16714327610682160352</stp>
        <tr r="L36" s="2"/>
      </tp>
      <tp t="s">
        <v>#N/A N/A</v>
        <stp/>
        <stp>BDH|10249502146806116251</stp>
        <tr r="F25" s="2"/>
      </tp>
      <tp t="s">
        <v>#N/A N/A</v>
        <stp/>
        <stp>BDH|14494330474857284218</stp>
        <tr r="F20" s="2"/>
      </tp>
      <tp t="s">
        <v>#N/A N/A</v>
        <stp/>
        <stp>BDH|16155158574055482042</stp>
        <tr r="I40" s="2"/>
      </tp>
      <tp t="s">
        <v>#N/A N/A</v>
        <stp/>
        <stp>BDH|13265644212542461306</stp>
        <tr r="L20" s="2"/>
      </tp>
      <tp t="s">
        <v>#N/A N/A</v>
        <stp/>
        <stp>BDH|14409438966826014514</stp>
        <tr r="AA23" s="2"/>
      </tp>
      <tp t="s">
        <v>#N/A N/A</v>
        <stp/>
        <stp>BDH|14444712213586472118</stp>
        <tr r="L17" s="2"/>
      </tp>
      <tp t="s">
        <v>#N/A N/A</v>
        <stp/>
        <stp>BDH|12136042421517442232</stp>
        <tr r="I14" s="2"/>
      </tp>
      <tp t="s">
        <v>#N/A N/A</v>
        <stp/>
        <stp>BDH|13460692347274863016</stp>
        <tr r="W52" s="2"/>
      </tp>
      <tp t="s">
        <v>#N/A N/A</v>
        <stp/>
        <stp>BDH|16387302947202057679</stp>
        <tr r="C34" s="2"/>
      </tp>
      <tp t="s">
        <v>#N/A N/A</v>
        <stp/>
        <stp>BDH|15492417316510676575</stp>
        <tr r="Y16" s="2"/>
      </tp>
      <tp t="s">
        <v>#N/A N/A</v>
        <stp/>
        <stp>BDH|16019148081763212959</stp>
        <tr r="AA30" s="2"/>
      </tp>
      <tp t="s">
        <v>#N/A N/A</v>
        <stp/>
        <stp>BDH|15743429917372574723</stp>
        <tr r="AC20" s="2"/>
      </tp>
      <tp t="s">
        <v>#N/A N/A</v>
        <stp/>
        <stp>BDH|18240932478723599097</stp>
        <tr r="E60" s="2"/>
      </tp>
      <tp t="s">
        <v>#N/A N/A</v>
        <stp/>
        <stp>BDH|10985412069480679727</stp>
        <tr r="S47" s="2"/>
      </tp>
      <tp t="s">
        <v>#N/A N/A</v>
        <stp/>
        <stp>BDH|16285516046197093505</stp>
        <tr r="E26" s="2"/>
      </tp>
      <tp t="s">
        <v>#N/A N/A</v>
        <stp/>
        <stp>BDH|14500113117687550630</stp>
        <tr r="K54" s="2"/>
      </tp>
      <tp t="s">
        <v>#N/A N/A</v>
        <stp/>
        <stp>BDH|15225484009162660606</stp>
        <tr r="C14" s="2"/>
      </tp>
      <tp t="s">
        <v>#N/A N/A</v>
        <stp/>
        <stp>BDH|13919480010576270565</stp>
        <tr r="AA31" s="2"/>
      </tp>
      <tp t="s">
        <v>#N/A N/A</v>
        <stp/>
        <stp>BDH|13566031301943606548</stp>
        <tr r="S43" s="2"/>
      </tp>
      <tp t="s">
        <v>#N/A N/A</v>
        <stp/>
        <stp>BDH|15381545831675146337</stp>
        <tr r="H35" s="2"/>
      </tp>
      <tp t="s">
        <v>#N/A N/A</v>
        <stp/>
        <stp>BDH|10597555554431738477</stp>
        <tr r="L71" s="2"/>
      </tp>
      <tp t="s">
        <v>#N/A N/A</v>
        <stp/>
        <stp>BDH|12938272502826056389</stp>
        <tr r="U45" s="2"/>
        <tr r="U33" s="2"/>
      </tp>
      <tp t="s">
        <v>#N/A N/A</v>
        <stp/>
        <stp>BDH|15512822142568144438</stp>
        <tr r="F8" s="2"/>
      </tp>
      <tp t="s">
        <v>#N/A N/A</v>
        <stp/>
        <stp>BDH|11221741837435587536</stp>
        <tr r="M26" s="2"/>
      </tp>
      <tp t="s">
        <v>#N/A N/A</v>
        <stp/>
        <stp>BDH|14900276661065977019</stp>
        <tr r="G28" s="2"/>
      </tp>
      <tp t="s">
        <v>#N/A N/A</v>
        <stp/>
        <stp>BDH|11072987619839685500</stp>
        <tr r="Q7" s="2"/>
      </tp>
      <tp t="s">
        <v>#N/A N/A</v>
        <stp/>
        <stp>BDH|17749563046097633462</stp>
        <tr r="Z37" s="2"/>
      </tp>
      <tp t="s">
        <v>#N/A N/A</v>
        <stp/>
        <stp>BDH|12722208561167699468</stp>
        <tr r="Y34" s="2"/>
      </tp>
      <tp t="s">
        <v>#N/A N/A</v>
        <stp/>
        <stp>BDH|10338758815242628134</stp>
        <tr r="M43" s="2"/>
      </tp>
      <tp t="s">
        <v>#N/A N/A</v>
        <stp/>
        <stp>BDH|16005596610772898577</stp>
        <tr r="N32" s="2"/>
      </tp>
      <tp t="s">
        <v>#N/A N/A</v>
        <stp/>
        <stp>BDH|14024779519087070080</stp>
        <tr r="J33" s="2"/>
        <tr r="J45" s="2"/>
      </tp>
      <tp t="s">
        <v>#N/A N/A</v>
        <stp/>
        <stp>BDH|15084320365051097416</stp>
        <tr r="C8" s="2"/>
      </tp>
      <tp t="s">
        <v>#N/A N/A</v>
        <stp/>
        <stp>BDH|14353317086482702850</stp>
        <tr r="G43" s="2"/>
      </tp>
      <tp t="s">
        <v>#N/A N/A</v>
        <stp/>
        <stp>BDH|16871317546470864416</stp>
        <tr r="Y40" s="2"/>
      </tp>
      <tp t="s">
        <v>#N/A N/A</v>
        <stp/>
        <stp>BDH|16975114920431476158</stp>
        <tr r="J54" s="2"/>
      </tp>
      <tp t="s">
        <v>#N/A N/A</v>
        <stp/>
        <stp>BDH|10584592677523725451</stp>
        <tr r="G25" s="2"/>
      </tp>
      <tp t="s">
        <v>#N/A N/A</v>
        <stp/>
        <stp>BDH|14143089704841435000</stp>
        <tr r="I60" s="2"/>
      </tp>
      <tp t="s">
        <v>#N/A N/A</v>
        <stp/>
        <stp>BDH|13435820613368887755</stp>
        <tr r="S34" s="2"/>
      </tp>
      <tp t="s">
        <v>#N/A N/A</v>
        <stp/>
        <stp>BDH|18427877225425661280</stp>
        <tr r="J15" s="2"/>
      </tp>
      <tp t="s">
        <v>#N/A N/A</v>
        <stp/>
        <stp>BDH|13588570552974938228</stp>
        <tr r="W63" s="2"/>
      </tp>
      <tp t="s">
        <v>#N/A N/A</v>
        <stp/>
        <stp>BDH|12493072157313889177</stp>
        <tr r="U38" s="2"/>
      </tp>
      <tp t="s">
        <v>#N/A N/A</v>
        <stp/>
        <stp>BDH|10306191445189325968</stp>
        <tr r="M14" s="2"/>
      </tp>
      <tp t="s">
        <v>#N/A N/A</v>
        <stp/>
        <stp>BDH|15189265708724036650</stp>
        <tr r="AA54" s="2"/>
      </tp>
      <tp t="s">
        <v>#N/A N/A</v>
        <stp/>
        <stp>BDH|10517900388467737305</stp>
        <tr r="X27" s="2"/>
      </tp>
      <tp t="s">
        <v>#N/A N/A</v>
        <stp/>
        <stp>BDH|14968401888299249492</stp>
        <tr r="Q30" s="2"/>
      </tp>
      <tp t="s">
        <v>#N/A N/A</v>
        <stp/>
        <stp>BDH|10282950802875807971</stp>
        <tr r="K44" s="2"/>
      </tp>
      <tp t="s">
        <v>#N/A N/A</v>
        <stp/>
        <stp>BDH|17084547609531094677</stp>
        <tr r="C26" s="2"/>
      </tp>
      <tp t="s">
        <v>#N/A N/A</v>
        <stp/>
        <stp>BDH|17201331735415876719</stp>
        <tr r="D23" s="2"/>
      </tp>
      <tp t="s">
        <v>#N/A N/A</v>
        <stp/>
        <stp>BDH|16165518100820495695</stp>
        <tr r="AD13" s="2"/>
      </tp>
      <tp t="s">
        <v>#N/A N/A</v>
        <stp/>
        <stp>BDH|17184054321015842500</stp>
        <tr r="I23" s="2"/>
      </tp>
      <tp t="s">
        <v>#N/A N/A</v>
        <stp/>
        <stp>BDH|16080287802516390742</stp>
        <tr r="N41" s="2"/>
      </tp>
      <tp t="s">
        <v>#N/A N/A</v>
        <stp/>
        <stp>BDH|16911114334008116902</stp>
        <tr r="P55" s="2"/>
      </tp>
      <tp t="s">
        <v>#N/A N/A</v>
        <stp/>
        <stp>BDH|17517187768594847103</stp>
        <tr r="R11" s="2"/>
      </tp>
      <tp t="s">
        <v>#N/A N/A</v>
        <stp/>
        <stp>BDH|13497276534930267799</stp>
        <tr r="U41" s="2"/>
      </tp>
      <tp t="s">
        <v>#N/A N/A</v>
        <stp/>
        <stp>BDH|13037477925297813767</stp>
        <tr r="Z12" s="2"/>
      </tp>
      <tp t="s">
        <v>#N/A N/A</v>
        <stp/>
        <stp>BDH|13713191623347715264</stp>
        <tr r="X61" s="2"/>
      </tp>
      <tp t="s">
        <v>#N/A N/A</v>
        <stp/>
        <stp>BDH|12130802507408052790</stp>
        <tr r="Q37" s="2"/>
      </tp>
      <tp t="s">
        <v>#N/A N/A</v>
        <stp/>
        <stp>BDH|11128658746001496788</stp>
        <tr r="U14" s="2"/>
      </tp>
      <tp t="s">
        <v>#N/A N/A</v>
        <stp/>
        <stp>BDH|17980391916411075182</stp>
        <tr r="Q34" s="2"/>
      </tp>
      <tp t="s">
        <v>#N/A N/A</v>
        <stp/>
        <stp>BDH|14952629095949658766</stp>
        <tr r="Q35" s="2"/>
      </tp>
    </main>
    <main first="bofaddin.rtdserver">
      <tp t="s">
        <v>#N/A N/A</v>
        <stp/>
        <stp>BDH|7028039820506941</stp>
        <tr r="U25" s="2"/>
      </tp>
      <tp t="s">
        <v>#N/A N/A</v>
        <stp/>
        <stp>BDH|9149435517483099</stp>
        <tr r="O17" s="2"/>
      </tp>
      <tp t="s">
        <v>#N/A N/A</v>
        <stp/>
        <stp>BDH|9777184476976734548</stp>
        <tr r="AC50" s="2"/>
      </tp>
      <tp t="s">
        <v>#N/A N/A</v>
        <stp/>
        <stp>BDH|9560146469424153634</stp>
        <tr r="Z25" s="2"/>
      </tp>
      <tp t="s">
        <v>#N/A N/A</v>
        <stp/>
        <stp>BDH|9852387174837615682</stp>
        <tr r="K13" s="2"/>
      </tp>
      <tp t="s">
        <v>#N/A N/A</v>
        <stp/>
        <stp>BDH|5464819734372970020</stp>
        <tr r="K16" s="2"/>
      </tp>
      <tp t="s">
        <v>#N/A N/A</v>
        <stp/>
        <stp>BDH|7310639785354857173</stp>
        <tr r="I62" s="2"/>
      </tp>
      <tp t="s">
        <v>#N/A N/A</v>
        <stp/>
        <stp>BDH|7867813476753496708</stp>
        <tr r="J27" s="2"/>
      </tp>
      <tp t="s">
        <v>#N/A N/A</v>
        <stp/>
        <stp>BDH|6049668626129295793</stp>
        <tr r="Y11" s="2"/>
      </tp>
      <tp t="s">
        <v>#N/A N/A</v>
        <stp/>
        <stp>BDH|7934641893084683035</stp>
        <tr r="C35" s="2"/>
      </tp>
      <tp t="s">
        <v>#N/A N/A</v>
        <stp/>
        <stp>BDH|4093837535675902647</stp>
        <tr r="V39" s="2"/>
      </tp>
      <tp t="s">
        <v>#N/A N/A</v>
        <stp/>
        <stp>BDH|5492657042568282398</stp>
        <tr r="F54" s="2"/>
      </tp>
      <tp t="s">
        <v>#N/A N/A</v>
        <stp/>
        <stp>BDH|8116813923909826733</stp>
        <tr r="H37" s="2"/>
      </tp>
      <tp t="s">
        <v>#N/A N/A</v>
        <stp/>
        <stp>BDH|5444948901745832504</stp>
        <tr r="AB7" s="2"/>
      </tp>
      <tp t="s">
        <v>#N/A N/A</v>
        <stp/>
        <stp>BDH|6541874562203193784</stp>
        <tr r="P53" s="2"/>
      </tp>
      <tp t="s">
        <v>#N/A N/A</v>
        <stp/>
        <stp>BDH|4534732453849414387</stp>
        <tr r="V44" s="2"/>
      </tp>
      <tp t="s">
        <v>#N/A N/A</v>
        <stp/>
        <stp>BDH|1183477636382799894</stp>
        <tr r="N60" s="2"/>
      </tp>
      <tp t="s">
        <v>#N/A N/A</v>
        <stp/>
        <stp>BDH|5284394095571491247</stp>
        <tr r="C13" s="2"/>
      </tp>
      <tp t="s">
        <v>#N/A N/A</v>
        <stp/>
        <stp>BDH|9627510979101903683</stp>
        <tr r="R34" s="2"/>
      </tp>
      <tp t="s">
        <v>#N/A N/A</v>
        <stp/>
        <stp>BDH|3067035548378650321</stp>
        <tr r="L61" s="2"/>
      </tp>
      <tp t="s">
        <v>#N/A N/A</v>
        <stp/>
        <stp>BDH|4862846263666037003</stp>
        <tr r="H19" s="2"/>
      </tp>
      <tp t="s">
        <v>#N/A N/A</v>
        <stp/>
        <stp>BDH|7951497870970831876</stp>
        <tr r="J47" s="2"/>
      </tp>
      <tp t="s">
        <v>#N/A N/A</v>
        <stp/>
        <stp>BDH|2187239465318989221</stp>
        <tr r="V71" s="2"/>
      </tp>
      <tp t="s">
        <v>#N/A N/A</v>
        <stp/>
        <stp>BDH|6589442429419684532</stp>
        <tr r="V14" s="2"/>
      </tp>
      <tp t="s">
        <v>#N/A N/A</v>
        <stp/>
        <stp>BDH|2015507874398085492</stp>
        <tr r="P14" s="2"/>
      </tp>
      <tp t="s">
        <v>#N/A N/A</v>
        <stp/>
        <stp>BDH|1331051097006594269</stp>
        <tr r="P16" s="2"/>
      </tp>
      <tp t="s">
        <v>#N/A N/A</v>
        <stp/>
        <stp>BDH|5178916103470614073</stp>
        <tr r="D18" s="2"/>
      </tp>
      <tp t="s">
        <v>#N/A N/A</v>
        <stp/>
        <stp>BDH|4288092508489090118</stp>
        <tr r="O48" s="2"/>
      </tp>
      <tp t="s">
        <v>#N/A N/A</v>
        <stp/>
        <stp>BDH|2281634518498925137</stp>
        <tr r="Q29" s="2"/>
      </tp>
      <tp t="s">
        <v>#N/A N/A</v>
        <stp/>
        <stp>BDH|6160565955933602949</stp>
        <tr r="S59" s="2"/>
      </tp>
      <tp t="s">
        <v>#N/A N/A</v>
        <stp/>
        <stp>BDH|8352185399178443463</stp>
        <tr r="W11" s="2"/>
      </tp>
      <tp t="s">
        <v>#N/A N/A</v>
        <stp/>
        <stp>BDH|7639740980214605048</stp>
        <tr r="F43" s="2"/>
      </tp>
      <tp t="s">
        <v>#N/A N/A</v>
        <stp/>
        <stp>BDH|4071883701501616193</stp>
        <tr r="Y6" s="2"/>
      </tp>
      <tp t="s">
        <v>#N/A N/A</v>
        <stp/>
        <stp>BDH|4512395269668585560</stp>
        <tr r="D71" s="2"/>
      </tp>
      <tp t="s">
        <v>#N/A N/A</v>
        <stp/>
        <stp>BDH|3341856464212001357</stp>
        <tr r="Z14" s="2"/>
      </tp>
      <tp t="s">
        <v>#N/A N/A</v>
        <stp/>
        <stp>BDH|2336949338566992211</stp>
        <tr r="Y49" s="2"/>
      </tp>
      <tp t="s">
        <v>#N/A N/A</v>
        <stp/>
        <stp>BDH|2747820130896655340</stp>
        <tr r="J6" s="2"/>
      </tp>
      <tp t="s">
        <v>#N/A N/A</v>
        <stp/>
        <stp>BDH|7714809121842489352</stp>
        <tr r="Z39" s="2"/>
      </tp>
      <tp t="s">
        <v>#N/A N/A</v>
        <stp/>
        <stp>BDH|8524472114543757250</stp>
        <tr r="E62" s="2"/>
      </tp>
      <tp t="s">
        <v>#N/A N/A</v>
        <stp/>
        <stp>BDH|9748166852024377540</stp>
        <tr r="P23" s="2"/>
      </tp>
      <tp t="s">
        <v>#N/A N/A</v>
        <stp/>
        <stp>BDH|2737865761150776035</stp>
        <tr r="R40" s="2"/>
      </tp>
      <tp t="s">
        <v>#N/A N/A</v>
        <stp/>
        <stp>BDH|3388339517878334501</stp>
        <tr r="AB62" s="2"/>
      </tp>
      <tp t="s">
        <v>#N/A N/A</v>
        <stp/>
        <stp>BDH|7371815136885976596</stp>
        <tr r="X34" s="2"/>
      </tp>
      <tp t="s">
        <v>#N/A N/A</v>
        <stp/>
        <stp>BDH|3004823169502902370</stp>
        <tr r="R67" s="2"/>
      </tp>
      <tp t="s">
        <v>#N/A N/A</v>
        <stp/>
        <stp>BDH|2520766892206046644</stp>
        <tr r="AD23" s="2"/>
      </tp>
      <tp t="s">
        <v>#N/A N/A</v>
        <stp/>
        <stp>BDH|4101469286082575613</stp>
        <tr r="I16" s="2"/>
      </tp>
      <tp t="s">
        <v>#N/A N/A</v>
        <stp/>
        <stp>BDH|22733342440486248</stp>
        <tr r="J22" s="2"/>
      </tp>
      <tp t="s">
        <v>#N/A N/A</v>
        <stp/>
        <stp>BDH|24204528626486755</stp>
        <tr r="Y63" s="2"/>
      </tp>
      <tp t="s">
        <v>#N/A N/A</v>
        <stp/>
        <stp>BDH|4424813935733800106</stp>
        <tr r="H16" s="2"/>
      </tp>
      <tp t="s">
        <v>#N/A N/A</v>
        <stp/>
        <stp>BDH|2893874234066691253</stp>
        <tr r="AA17" s="2"/>
      </tp>
      <tp t="s">
        <v>#N/A N/A</v>
        <stp/>
        <stp>BDH|4563339600489835361</stp>
        <tr r="AA60" s="2"/>
      </tp>
      <tp t="s">
        <v>#N/A N/A</v>
        <stp/>
        <stp>BDH|8341398416882744538</stp>
        <tr r="G29" s="2"/>
      </tp>
      <tp t="s">
        <v>#N/A N/A</v>
        <stp/>
        <stp>BDH|1123379438694134872</stp>
        <tr r="Z49" s="2"/>
      </tp>
      <tp t="s">
        <v>#N/A N/A</v>
        <stp/>
        <stp>BDH|7256791487256454312</stp>
        <tr r="I18" s="2"/>
      </tp>
      <tp t="s">
        <v>#N/A N/A</v>
        <stp/>
        <stp>BDH|7699371247538856508</stp>
        <tr r="S28" s="2"/>
      </tp>
      <tp t="s">
        <v>#N/A N/A</v>
        <stp/>
        <stp>BDH|4923395493594974740</stp>
        <tr r="Z52" s="2"/>
      </tp>
      <tp t="s">
        <v>#N/A N/A</v>
        <stp/>
        <stp>BDH|9548767054684936223</stp>
        <tr r="T52" s="2"/>
      </tp>
      <tp t="s">
        <v>#N/A N/A</v>
        <stp/>
        <stp>BDH|4833463657410001852</stp>
        <tr r="I9" s="2"/>
      </tp>
      <tp t="s">
        <v>#N/A N/A</v>
        <stp/>
        <stp>BDH|8500055843212717397</stp>
        <tr r="T44" s="2"/>
      </tp>
      <tp t="s">
        <v>#N/A N/A</v>
        <stp/>
        <stp>BDH|4869343585596485408</stp>
        <tr r="G47" s="2"/>
      </tp>
      <tp t="s">
        <v>#N/A N/A</v>
        <stp/>
        <stp>BDH|5833393150157934954</stp>
        <tr r="L59" s="2"/>
      </tp>
      <tp t="s">
        <v>#N/A N/A</v>
        <stp/>
        <stp>BDH|2844809913516676009</stp>
        <tr r="N69" s="2"/>
      </tp>
      <tp t="s">
        <v>#N/A N/A</v>
        <stp/>
        <stp>BDH|9042594681020672939</stp>
        <tr r="AB11" s="2"/>
      </tp>
      <tp t="s">
        <v>#N/A N/A</v>
        <stp/>
        <stp>BDH|2291238997305106157</stp>
        <tr r="AD68" s="2"/>
      </tp>
      <tp t="s">
        <v>#N/A N/A</v>
        <stp/>
        <stp>BDH|5597909695588229000</stp>
        <tr r="AC41" s="2"/>
      </tp>
      <tp t="s">
        <v>#N/A N/A</v>
        <stp/>
        <stp>BDH|6770578657518241373</stp>
        <tr r="AA10" s="2"/>
      </tp>
      <tp t="s">
        <v>#N/A N/A</v>
        <stp/>
        <stp>BDH|9471607608916689492</stp>
        <tr r="AA8" s="2"/>
      </tp>
      <tp t="s">
        <v>#N/A N/A</v>
        <stp/>
        <stp>BDH|4075488007965875843</stp>
        <tr r="X65" s="2"/>
      </tp>
      <tp t="s">
        <v>#N/A N/A</v>
        <stp/>
        <stp>BDH|8453258457117480516</stp>
        <tr r="Q13" s="2"/>
      </tp>
      <tp t="s">
        <v>#N/A N/A</v>
        <stp/>
        <stp>BDH|7010523888214170385</stp>
        <tr r="C19" s="2"/>
      </tp>
      <tp t="s">
        <v>#N/A N/A</v>
        <stp/>
        <stp>BDH|1651663323019778152</stp>
        <tr r="AD63" s="2"/>
      </tp>
      <tp t="s">
        <v>#N/A N/A</v>
        <stp/>
        <stp>BDH|1531541942635339815</stp>
        <tr r="C12" s="2"/>
      </tp>
      <tp t="s">
        <v>#N/A N/A</v>
        <stp/>
        <stp>BDH|5937354858318397665</stp>
        <tr r="C9" s="2"/>
      </tp>
      <tp t="s">
        <v>#N/A N/A</v>
        <stp/>
        <stp>BDH|8418203470400522009</stp>
        <tr r="Q16" s="2"/>
      </tp>
      <tp t="s">
        <v>#N/A N/A</v>
        <stp/>
        <stp>BDH|6006175940949974783</stp>
        <tr r="N6" s="2"/>
      </tp>
      <tp t="s">
        <v>#N/A N/A</v>
        <stp/>
        <stp>BDH|9416578573002353457</stp>
        <tr r="AD19" s="2"/>
      </tp>
      <tp t="s">
        <v>#N/A N/A</v>
        <stp/>
        <stp>BDH|7018357720339255206</stp>
        <tr r="W19" s="2"/>
      </tp>
      <tp t="s">
        <v>#N/A N/A</v>
        <stp/>
        <stp>BDH|1418828559709969811</stp>
        <tr r="G70" s="2"/>
      </tp>
      <tp t="s">
        <v>#N/A N/A</v>
        <stp/>
        <stp>BDH|7109703750811208943</stp>
        <tr r="Q66" s="2"/>
      </tp>
      <tp t="s">
        <v>#N/A N/A</v>
        <stp/>
        <stp>BDH|7022589495214187281</stp>
        <tr r="J55" s="2"/>
      </tp>
      <tp t="s">
        <v>#N/A N/A</v>
        <stp/>
        <stp>BDH|9254889103488938441</stp>
        <tr r="I61" s="2"/>
      </tp>
      <tp t="s">
        <v>#N/A N/A</v>
        <stp/>
        <stp>BDH|4340576482173236712</stp>
        <tr r="O13" s="2"/>
      </tp>
      <tp t="s">
        <v>#N/A N/A</v>
        <stp/>
        <stp>BDH|8169623637532204235</stp>
        <tr r="Y29" s="2"/>
      </tp>
      <tp t="s">
        <v>#N/A N/A</v>
        <stp/>
        <stp>BDH|5710012981854687444</stp>
        <tr r="F36" s="2"/>
      </tp>
      <tp t="s">
        <v>#N/A N/A</v>
        <stp/>
        <stp>BDH|5683954720102594132</stp>
        <tr r="AC36" s="2"/>
      </tp>
      <tp t="s">
        <v>#N/A N/A</v>
        <stp/>
        <stp>BDH|7279900222813070256</stp>
        <tr r="E53" s="2"/>
      </tp>
      <tp t="s">
        <v>#N/A N/A</v>
        <stp/>
        <stp>BDH|9112205722282826511</stp>
        <tr r="L21" s="2"/>
      </tp>
      <tp t="s">
        <v>#N/A N/A</v>
        <stp/>
        <stp>BDH|7166406026818409794</stp>
        <tr r="X20" s="2"/>
      </tp>
      <tp t="s">
        <v>#N/A N/A</v>
        <stp/>
        <stp>BDH|5340220087806564786</stp>
        <tr r="N36" s="2"/>
      </tp>
      <tp t="s">
        <v>#N/A N/A</v>
        <stp/>
        <stp>BDH|4075541036349255598</stp>
        <tr r="H21" s="2"/>
      </tp>
      <tp t="s">
        <v>#N/A N/A</v>
        <stp/>
        <stp>BDH|5456622815345362998</stp>
        <tr r="P17" s="2"/>
      </tp>
      <tp t="s">
        <v>#N/A N/A</v>
        <stp/>
        <stp>BDH|9535671138155305776</stp>
        <tr r="I43" s="2"/>
      </tp>
      <tp t="s">
        <v>#N/A N/A</v>
        <stp/>
        <stp>BDH|1797105410079856613</stp>
        <tr r="C49" s="2"/>
      </tp>
      <tp t="s">
        <v>#N/A N/A</v>
        <stp/>
        <stp>BDH|8989875106766791802</stp>
        <tr r="D53" s="2"/>
      </tp>
      <tp t="s">
        <v>#N/A N/A</v>
        <stp/>
        <stp>BDH|1874298359361272957</stp>
        <tr r="N70" s="2"/>
      </tp>
      <tp t="s">
        <v>#N/A N/A</v>
        <stp/>
        <stp>BDH|3765991122134231224</stp>
        <tr r="M27" s="2"/>
      </tp>
      <tp t="s">
        <v>#N/A N/A</v>
        <stp/>
        <stp>BDH|2248303715937291990</stp>
        <tr r="L15" s="2"/>
      </tp>
      <tp t="s">
        <v>#N/A N/A</v>
        <stp/>
        <stp>BDH|7574139585571963166</stp>
        <tr r="G18" s="2"/>
      </tp>
      <tp t="s">
        <v>#N/A N/A</v>
        <stp/>
        <stp>BDH|9799489863215758062</stp>
        <tr r="P68" s="2"/>
      </tp>
      <tp t="s">
        <v>#N/A N/A</v>
        <stp/>
        <stp>BDH|4065232605360269897</stp>
        <tr r="F22" s="2"/>
      </tp>
      <tp t="s">
        <v>#N/A N/A</v>
        <stp/>
        <stp>BDH|8252391593584335868</stp>
        <tr r="R16" s="2"/>
      </tp>
      <tp t="s">
        <v>#N/A N/A</v>
        <stp/>
        <stp>BDH|4383077393866766525</stp>
        <tr r="U53" s="2"/>
      </tp>
      <tp t="s">
        <v>#N/A N/A</v>
        <stp/>
        <stp>BDH|7706118034243682865</stp>
        <tr r="O69" s="2"/>
      </tp>
      <tp t="s">
        <v>#N/A N/A</v>
        <stp/>
        <stp>BDH|5575944340780468663</stp>
        <tr r="AC69" s="2"/>
      </tp>
      <tp t="s">
        <v>#N/A N/A</v>
        <stp/>
        <stp>BDH|8137858879470799994</stp>
        <tr r="Z8" s="2"/>
      </tp>
      <tp t="s">
        <v>#N/A N/A</v>
        <stp/>
        <stp>BDH|3747237934058461477</stp>
        <tr r="D26" s="2"/>
      </tp>
      <tp t="s">
        <v>#N/A N/A</v>
        <stp/>
        <stp>BDH|8199137454182294071</stp>
        <tr r="I26" s="2"/>
      </tp>
      <tp t="s">
        <v>#N/A N/A</v>
        <stp/>
        <stp>BDH|2218242316359062630</stp>
        <tr r="R12" s="2"/>
      </tp>
      <tp t="s">
        <v>#N/A N/A</v>
        <stp/>
        <stp>BDH|5657972010691315218</stp>
        <tr r="V59" s="2"/>
      </tp>
      <tp t="s">
        <v>#N/A N/A</v>
        <stp/>
        <stp>BDH|6002155386315287425</stp>
        <tr r="S60" s="2"/>
      </tp>
      <tp t="s">
        <v>#N/A N/A</v>
        <stp/>
        <stp>BDH|1961016210666944829</stp>
        <tr r="J53" s="2"/>
      </tp>
      <tp t="s">
        <v>#N/A N/A</v>
        <stp/>
        <stp>BDH|2753159142650524964</stp>
        <tr r="R50" s="2"/>
      </tp>
      <tp t="s">
        <v>#N/A N/A</v>
        <stp/>
        <stp>BDH|3010939437125755200</stp>
        <tr r="Z54" s="2"/>
      </tp>
      <tp t="s">
        <v>#N/A N/A</v>
        <stp/>
        <stp>BDH|1610898425366074393</stp>
        <tr r="C27" s="2"/>
      </tp>
      <tp t="s">
        <v>#N/A N/A</v>
        <stp/>
        <stp>BDH|3696954627780180655</stp>
        <tr r="Y21" s="2"/>
      </tp>
      <tp t="s">
        <v>#N/A N/A</v>
        <stp/>
        <stp>BDH|8284335281528804581</stp>
        <tr r="I48" s="2"/>
      </tp>
      <tp t="s">
        <v>#N/A N/A</v>
        <stp/>
        <stp>BDH|2143123498904835023</stp>
        <tr r="X25" s="2"/>
      </tp>
      <tp t="s">
        <v>#N/A N/A</v>
        <stp/>
        <stp>BDH|3763996624751857753</stp>
        <tr r="T48" s="2"/>
      </tp>
      <tp t="s">
        <v>#N/A N/A</v>
        <stp/>
        <stp>BDH|3729945350519623821</stp>
        <tr r="V10" s="2"/>
      </tp>
      <tp t="s">
        <v>#N/A N/A</v>
        <stp/>
        <stp>BDH|6716216194093323060</stp>
        <tr r="X55" s="2"/>
      </tp>
      <tp t="s">
        <v>#N/A N/A</v>
        <stp/>
        <stp>BDH|6773608877879243055</stp>
        <tr r="AD12" s="2"/>
      </tp>
      <tp t="s">
        <v>#N/A N/A</v>
        <stp/>
        <stp>BDH|4311468451733721846</stp>
        <tr r="R13" s="2"/>
      </tp>
      <tp t="s">
        <v>#N/A N/A</v>
        <stp/>
        <stp>BDH|2005804367780559264</stp>
        <tr r="Q64" s="2"/>
      </tp>
      <tp t="s">
        <v>#N/A N/A</v>
        <stp/>
        <stp>BDH|6161570047060309960</stp>
        <tr r="AD28" s="2"/>
      </tp>
      <tp t="s">
        <v>#N/A N/A</v>
        <stp/>
        <stp>BDH|3584981439145689269</stp>
        <tr r="G50" s="2"/>
      </tp>
      <tp t="s">
        <v>#N/A N/A</v>
        <stp/>
        <stp>BDH|3244082058651764901</stp>
        <tr r="AA44" s="2"/>
      </tp>
      <tp t="s">
        <v>#N/A N/A</v>
        <stp/>
        <stp>BDH|9574127197098503706</stp>
        <tr r="D19" s="2"/>
      </tp>
      <tp t="s">
        <v>#N/A N/A</v>
        <stp/>
        <stp>BDH|2015562944975467834</stp>
        <tr r="L38" s="2"/>
      </tp>
      <tp t="s">
        <v>#N/A N/A</v>
        <stp/>
        <stp>BDH|33979455516139951</stp>
        <tr r="F18" s="2"/>
      </tp>
      <tp t="s">
        <v>#N/A N/A</v>
        <stp/>
        <stp>BDH|8151641013185505591</stp>
        <tr r="K39" s="2"/>
      </tp>
      <tp t="s">
        <v>#N/A N/A</v>
        <stp/>
        <stp>BDH|1060497752419811698</stp>
        <tr r="AC24" s="2"/>
      </tp>
      <tp t="s">
        <v>#N/A N/A</v>
        <stp/>
        <stp>BDH|1715358943230353982</stp>
        <tr r="M37" s="2"/>
      </tp>
      <tp t="s">
        <v>#N/A N/A</v>
        <stp/>
        <stp>BDH|2810932920017267122</stp>
        <tr r="U36" s="2"/>
      </tp>
      <tp t="s">
        <v>#N/A N/A</v>
        <stp/>
        <stp>BDH|3168878250676592786</stp>
        <tr r="AA52" s="2"/>
      </tp>
      <tp t="s">
        <v>#N/A N/A</v>
        <stp/>
        <stp>BDH|8923474238367669781</stp>
        <tr r="Y22" s="2"/>
      </tp>
      <tp t="s">
        <v>#N/A N/A</v>
        <stp/>
        <stp>BDH|5746782022756795923</stp>
        <tr r="P6" s="2"/>
      </tp>
      <tp t="s">
        <v>#N/A N/A</v>
        <stp/>
        <stp>BDH|1566546084912933140</stp>
        <tr r="T26" s="2"/>
      </tp>
      <tp t="s">
        <v>#N/A N/A</v>
        <stp/>
        <stp>BDH|6258553032848957745</stp>
        <tr r="C18" s="2"/>
      </tp>
      <tp t="s">
        <v>#N/A N/A</v>
        <stp/>
        <stp>BDH|7034294657388635712</stp>
        <tr r="V48" s="2"/>
      </tp>
      <tp t="s">
        <v>#N/A N/A</v>
        <stp/>
        <stp>BDH|3259883173777313437</stp>
        <tr r="X70" s="2"/>
      </tp>
      <tp t="s">
        <v>#N/A N/A</v>
        <stp/>
        <stp>BDH|4175295130092458851</stp>
        <tr r="Y62" s="2"/>
      </tp>
      <tp t="s">
        <v>#N/A N/A</v>
        <stp/>
        <stp>BDH|7427492316208084541</stp>
        <tr r="V63" s="2"/>
      </tp>
      <tp t="s">
        <v>#N/A N/A</v>
        <stp/>
        <stp>BDH|2348014343978762192</stp>
        <tr r="U43" s="2"/>
      </tp>
      <tp t="s">
        <v>#N/A N/A</v>
        <stp/>
        <stp>BDH|4001292552504135858</stp>
        <tr r="X13" s="2"/>
      </tp>
      <tp t="s">
        <v>#N/A N/A</v>
        <stp/>
        <stp>BDH|5541485273170639940</stp>
        <tr r="S20" s="2"/>
      </tp>
      <tp t="s">
        <v>#N/A N/A</v>
        <stp/>
        <stp>BDH|6999876466863255465</stp>
        <tr r="L12" s="2"/>
      </tp>
      <tp t="s">
        <v>#N/A N/A</v>
        <stp/>
        <stp>BDH|6560045891879410998</stp>
        <tr r="O20" s="2"/>
      </tp>
      <tp t="s">
        <v>#N/A N/A</v>
        <stp/>
        <stp>BDH|4993822249626980168</stp>
        <tr r="Z13" s="2"/>
      </tp>
      <tp t="s">
        <v>#N/A N/A</v>
        <stp/>
        <stp>BDH|3026896732920744717</stp>
        <tr r="K24" s="2"/>
      </tp>
      <tp t="s">
        <v>#N/A N/A</v>
        <stp/>
        <stp>BDH|8459365219156944304</stp>
        <tr r="Q69" s="2"/>
      </tp>
      <tp t="s">
        <v>#N/A N/A</v>
        <stp/>
        <stp>BDH|7945294664194137866</stp>
        <tr r="E64" s="2"/>
      </tp>
      <tp t="s">
        <v>#N/A N/A</v>
        <stp/>
        <stp>BDH|9536219113264581117</stp>
        <tr r="L69" s="2"/>
      </tp>
      <tp t="s">
        <v>#N/A N/A</v>
        <stp/>
        <stp>BDH|8963333329454643269</stp>
        <tr r="W30" s="2"/>
      </tp>
      <tp t="s">
        <v>#N/A N/A</v>
        <stp/>
        <stp>BDH|1609344130389092711</stp>
        <tr r="D62" s="2"/>
      </tp>
      <tp t="s">
        <v>#N/A N/A</v>
        <stp/>
        <stp>BDH|8155901812419146626</stp>
        <tr r="I70" s="2"/>
      </tp>
      <tp t="s">
        <v>#N/A N/A</v>
        <stp/>
        <stp>BDH|9170705665387714034</stp>
        <tr r="O35" s="2"/>
      </tp>
      <tp t="s">
        <v>#N/A N/A</v>
        <stp/>
        <stp>BDH|8616309912604137154</stp>
        <tr r="G67" s="2"/>
      </tp>
      <tp t="s">
        <v>#N/A N/A</v>
        <stp/>
        <stp>BDH|7882886310557983699</stp>
        <tr r="P38" s="2"/>
      </tp>
      <tp t="s">
        <v>#N/A N/A</v>
        <stp/>
        <stp>BDH|5488108994176570447</stp>
        <tr r="T14" s="2"/>
      </tp>
      <tp t="s">
        <v>#N/A N/A</v>
        <stp/>
        <stp>BDH|8637683231257753595</stp>
        <tr r="R36" s="2"/>
      </tp>
      <tp t="s">
        <v>#N/A N/A</v>
        <stp/>
        <stp>BDH|4124743929329873752</stp>
        <tr r="T16" s="2"/>
      </tp>
      <tp t="s">
        <v>#N/A N/A</v>
        <stp/>
        <stp>BDH|9790118810394842286</stp>
        <tr r="K23" s="2"/>
      </tp>
      <tp t="s">
        <v>#N/A N/A</v>
        <stp/>
        <stp>BDH|8570011296668172647</stp>
        <tr r="S27" s="2"/>
      </tp>
      <tp t="s">
        <v>#N/A N/A</v>
        <stp/>
        <stp>BDH|1839516329539329040</stp>
        <tr r="J37" s="2"/>
      </tp>
      <tp t="s">
        <v>#N/A N/A</v>
        <stp/>
        <stp>BDH|9710463642287746133</stp>
        <tr r="AA21" s="2"/>
      </tp>
      <tp t="s">
        <v>#N/A N/A</v>
        <stp/>
        <stp>BDH|3407083053770087981</stp>
        <tr r="P15" s="2"/>
      </tp>
      <tp t="s">
        <v>#N/A N/A</v>
        <stp/>
        <stp>BDH|9710885488553795576</stp>
        <tr r="C30" s="2"/>
      </tp>
      <tp t="s">
        <v>#N/A N/A</v>
        <stp/>
        <stp>BDH|5277560081291758660</stp>
        <tr r="F64" s="2"/>
      </tp>
      <tp t="s">
        <v>#N/A N/A</v>
        <stp/>
        <stp>BDH|6026380854798933710</stp>
        <tr r="G40" s="2"/>
      </tp>
      <tp t="s">
        <v>#N/A N/A</v>
        <stp/>
        <stp>BDH|5864214098537124643</stp>
        <tr r="S53" s="2"/>
      </tp>
      <tp t="s">
        <v>#N/A N/A</v>
        <stp/>
        <stp>BDH|6541742848358942248</stp>
        <tr r="F10" s="2"/>
      </tp>
      <tp t="s">
        <v>#N/A N/A</v>
        <stp/>
        <stp>BDH|7394958911541609145</stp>
        <tr r="N29" s="2"/>
      </tp>
      <tp t="s">
        <v>#N/A N/A</v>
        <stp/>
        <stp>BDH|5448843370223549603</stp>
        <tr r="AD71" s="2"/>
      </tp>
      <tp t="s">
        <v>#N/A N/A</v>
        <stp/>
        <stp>BDH|4492970127841303124</stp>
        <tr r="R64" s="2"/>
      </tp>
      <tp t="s">
        <v>#N/A N/A</v>
        <stp/>
        <stp>BDH|3101665350476707954</stp>
        <tr r="M35" s="2"/>
      </tp>
      <tp t="s">
        <v>#N/A N/A</v>
        <stp/>
        <stp>BDH|4398314788610959067</stp>
        <tr r="S66" s="2"/>
      </tp>
      <tp t="s">
        <v>#N/A N/A</v>
        <stp/>
        <stp>BDH|9081831336084822985</stp>
        <tr r="AC65" s="2"/>
      </tp>
      <tp t="s">
        <v>#N/A N/A</v>
        <stp/>
        <stp>BDH|34068225753182360</stp>
        <tr r="L8" s="2"/>
      </tp>
      <tp t="s">
        <v>#N/A N/A</v>
        <stp/>
        <stp>BDH|10903149959124623</stp>
        <tr r="Q63" s="2"/>
      </tp>
      <tp t="s">
        <v>#N/A N/A</v>
        <stp/>
        <stp>BDH|9057837184036904748</stp>
        <tr r="X33" s="2"/>
        <tr r="X45" s="2"/>
      </tp>
      <tp t="s">
        <v>#N/A N/A</v>
        <stp/>
        <stp>BDH|7941210920808414767</stp>
        <tr r="I19" s="2"/>
      </tp>
      <tp t="s">
        <v>#N/A N/A</v>
        <stp/>
        <stp>BDH|8000596634242068469</stp>
        <tr r="R6" s="2"/>
      </tp>
      <tp t="s">
        <v>#N/A N/A</v>
        <stp/>
        <stp>BDH|3759029495734875637</stp>
        <tr r="AB37" s="2"/>
      </tp>
      <tp t="s">
        <v>#N/A N/A</v>
        <stp/>
        <stp>BDH|3842864652595283357</stp>
        <tr r="U39" s="2"/>
      </tp>
      <tp t="s">
        <v>#N/A N/A</v>
        <stp/>
        <stp>BDH|9773380563481090574</stp>
        <tr r="D66" s="2"/>
      </tp>
      <tp t="s">
        <v>#N/A N/A</v>
        <stp/>
        <stp>BDH|6814741133418537226</stp>
        <tr r="E32" s="2"/>
      </tp>
      <tp t="s">
        <v>#N/A N/A</v>
        <stp/>
        <stp>BDH|8202123858551045503</stp>
        <tr r="AD30" s="2"/>
      </tp>
      <tp t="s">
        <v>#N/A N/A</v>
        <stp/>
        <stp>BDH|6169295870628765373</stp>
        <tr r="D59" s="2"/>
      </tp>
      <tp t="s">
        <v>#N/A N/A</v>
        <stp/>
        <stp>BDH|1795486974943205910</stp>
        <tr r="K15" s="2"/>
      </tp>
      <tp t="s">
        <v>#N/A N/A</v>
        <stp/>
        <stp>BDH|6881126183617401051</stp>
        <tr r="O18" s="2"/>
      </tp>
      <tp t="s">
        <v>#N/A N/A</v>
        <stp/>
        <stp>BDH|8830724617826225073</stp>
        <tr r="U23" s="2"/>
      </tp>
      <tp t="s">
        <v>#N/A N/A</v>
        <stp/>
        <stp>BDH|7419597350128211767</stp>
        <tr r="AD52" s="2"/>
      </tp>
      <tp t="s">
        <v>#N/A N/A</v>
        <stp/>
        <stp>BDH|5076229888237165027</stp>
        <tr r="K33" s="2"/>
        <tr r="K45" s="2"/>
      </tp>
      <tp t="s">
        <v>#N/A N/A</v>
        <stp/>
        <stp>BDH|4559737678879139565</stp>
        <tr r="H31" s="2"/>
      </tp>
      <tp t="s">
        <v>#N/A N/A</v>
        <stp/>
        <stp>BDH|9687786331806787311</stp>
        <tr r="P62" s="2"/>
      </tp>
      <tp t="s">
        <v>#N/A N/A</v>
        <stp/>
        <stp>BDH|3296718158771028852</stp>
        <tr r="N37" s="2"/>
      </tp>
      <tp t="s">
        <v>#N/A N/A</v>
        <stp/>
        <stp>BDH|2710565185971963633</stp>
        <tr r="G55" s="2"/>
      </tp>
      <tp t="s">
        <v>#N/A N/A</v>
        <stp/>
        <stp>BDH|2804849250743466462</stp>
        <tr r="Y13" s="2"/>
      </tp>
      <tp t="s">
        <v>#N/A N/A</v>
        <stp/>
        <stp>BDH|2774077248539633708</stp>
        <tr r="V37" s="2"/>
      </tp>
      <tp t="s">
        <v>#N/A N/A</v>
        <stp/>
        <stp>BDH|6067566279108985487</stp>
        <tr r="C20" s="2"/>
      </tp>
      <tp t="s">
        <v>#N/A N/A</v>
        <stp/>
        <stp>BDH|5529797797722182144</stp>
        <tr r="E19" s="2"/>
      </tp>
      <tp t="s">
        <v>#N/A N/A</v>
        <stp/>
        <stp>BDH|8921054807445792530</stp>
        <tr r="I35" s="2"/>
      </tp>
      <tp t="s">
        <v>#N/A N/A</v>
        <stp/>
        <stp>BDH|2001169913572312890</stp>
        <tr r="AD35" s="2"/>
      </tp>
      <tp t="s">
        <v>#N/A N/A</v>
        <stp/>
        <stp>BDH|2467432008628276616</stp>
        <tr r="S15" s="2"/>
      </tp>
      <tp t="s">
        <v>#N/A N/A</v>
        <stp/>
        <stp>BDH|9810667966188140954</stp>
        <tr r="Y14" s="2"/>
      </tp>
      <tp t="s">
        <v>#N/A N/A</v>
        <stp/>
        <stp>BDH|4866469496580204166</stp>
        <tr r="G54" s="2"/>
      </tp>
      <tp t="s">
        <v>#N/A N/A</v>
        <stp/>
        <stp>BDH|6668688872637145812</stp>
        <tr r="F70" s="2"/>
      </tp>
      <tp t="s">
        <v>#N/A N/A</v>
        <stp/>
        <stp>BDH|9398397688732880872</stp>
        <tr r="P44" s="2"/>
      </tp>
      <tp t="s">
        <v>#N/A N/A</v>
        <stp/>
        <stp>BDH|1544620624889871468</stp>
        <tr r="L27" s="2"/>
      </tp>
      <tp t="s">
        <v>#N/A N/A</v>
        <stp/>
        <stp>BDH|1990194140649471599</stp>
        <tr r="C41" s="2"/>
      </tp>
      <tp t="s">
        <v>#N/A N/A</v>
        <stp/>
        <stp>BDH|8134274822635591530</stp>
        <tr r="X48" s="2"/>
      </tp>
      <tp t="s">
        <v>#N/A N/A</v>
        <stp/>
        <stp>BDH|7976151882383586592</stp>
        <tr r="E61" s="2"/>
      </tp>
      <tp t="s">
        <v>#N/A N/A</v>
        <stp/>
        <stp>BDH|7446492505909387287</stp>
        <tr r="S49" s="2"/>
      </tp>
      <tp t="s">
        <v>#N/A N/A</v>
        <stp/>
        <stp>BDH|9491729503133064567</stp>
        <tr r="I6" s="2"/>
      </tp>
      <tp t="s">
        <v>#N/A N/A</v>
        <stp/>
        <stp>BDH|2738055697450412323</stp>
        <tr r="R48" s="2"/>
      </tp>
      <tp t="s">
        <v>#N/A N/A</v>
        <stp/>
        <stp>BDH|8856260427703219387</stp>
        <tr r="F11" s="2"/>
      </tp>
      <tp t="s">
        <v>#N/A N/A</v>
        <stp/>
        <stp>BDH|3664578044969070352</stp>
        <tr r="L37" s="2"/>
      </tp>
      <tp t="s">
        <v>#N/A N/A</v>
        <stp/>
        <stp>BDH|9292267544914225320</stp>
        <tr r="AD70" s="2"/>
      </tp>
      <tp t="s">
        <v>#N/A N/A</v>
        <stp/>
        <stp>BDH|6741194319466196863</stp>
        <tr r="U31" s="2"/>
      </tp>
      <tp t="s">
        <v>#N/A N/A</v>
        <stp/>
        <stp>BDH|5307256094491615751</stp>
        <tr r="J49" s="2"/>
      </tp>
      <tp t="s">
        <v>#N/A N/A</v>
        <stp/>
        <stp>BDH|8046650935674794160</stp>
        <tr r="U52" s="2"/>
      </tp>
      <tp t="s">
        <v>#N/A N/A</v>
        <stp/>
        <stp>BDH|8270770165076359729</stp>
        <tr r="O9" s="2"/>
      </tp>
      <tp t="s">
        <v>#N/A N/A</v>
        <stp/>
        <stp>BDH|6922993976670282055</stp>
        <tr r="AB40" s="2"/>
      </tp>
      <tp t="s">
        <v>#N/A N/A</v>
        <stp/>
        <stp>BDH|1904799133735312811</stp>
        <tr r="U30" s="2"/>
      </tp>
      <tp t="s">
        <v>#N/A N/A</v>
        <stp/>
        <stp>BDH|6391222537169254628</stp>
        <tr r="W16" s="2"/>
      </tp>
      <tp t="s">
        <v>#N/A N/A</v>
        <stp/>
        <stp>BDH|1166419496331836582</stp>
        <tr r="Q12" s="2"/>
      </tp>
      <tp t="s">
        <v>#N/A N/A</v>
        <stp/>
        <stp>BDH|5099585884756231684</stp>
        <tr r="AD33" s="2"/>
        <tr r="AD45" s="2"/>
      </tp>
      <tp t="s">
        <v>#N/A N/A</v>
        <stp/>
        <stp>BDH|2558917782993235827</stp>
        <tr r="AC66" s="2"/>
      </tp>
      <tp t="s">
        <v>#N/A N/A</v>
        <stp/>
        <stp>BDH|7479891071417365789</stp>
        <tr r="T37" s="2"/>
      </tp>
      <tp t="s">
        <v>#N/A N/A</v>
        <stp/>
        <stp>BDH|6727520384195679635</stp>
        <tr r="C32" s="2"/>
      </tp>
      <tp t="s">
        <v>#N/A N/A</v>
        <stp/>
        <stp>BDH|7215438662124506929</stp>
        <tr r="D37" s="2"/>
      </tp>
      <tp t="s">
        <v>#N/A N/A</v>
        <stp/>
        <stp>BDH|8620602720805088121</stp>
        <tr r="I50" s="2"/>
      </tp>
      <tp t="s">
        <v>#N/A N/A</v>
        <stp/>
        <stp>BDH|8373344186272045950</stp>
        <tr r="L26" s="2"/>
      </tp>
      <tp t="s">
        <v>#N/A N/A</v>
        <stp/>
        <stp>BDH|5493131643171240924</stp>
        <tr r="Y28" s="2"/>
      </tp>
      <tp t="s">
        <v>#N/A N/A</v>
        <stp/>
        <stp>BDH|2955812638520250173</stp>
        <tr r="O43" s="2"/>
      </tp>
      <tp t="s">
        <v>#N/A N/A</v>
        <stp/>
        <stp>BDH|9655671378599981953</stp>
        <tr r="AA24" s="2"/>
      </tp>
      <tp t="s">
        <v>#N/A N/A</v>
        <stp/>
        <stp>BDH|2841773100828858520</stp>
        <tr r="J64" s="2"/>
      </tp>
      <tp t="s">
        <v>#N/A N/A</v>
        <stp/>
        <stp>BDH|3279455704657316859</stp>
        <tr r="N14" s="2"/>
      </tp>
      <tp t="s">
        <v>#N/A N/A</v>
        <stp/>
        <stp>BDH|8179563726322090541</stp>
        <tr r="H71" s="2"/>
      </tp>
      <tp t="s">
        <v>#N/A N/A</v>
        <stp/>
        <stp>BDH|83179955659302883</stp>
        <tr r="AB13" s="2"/>
      </tp>
      <tp t="s">
        <v>#N/A N/A</v>
        <stp/>
        <stp>BDH|6062089063558035111</stp>
        <tr r="Y18" s="2"/>
      </tp>
      <tp t="s">
        <v>#N/A N/A</v>
        <stp/>
        <stp>BDH|4992894058836607648</stp>
        <tr r="C67" s="2"/>
      </tp>
      <tp t="s">
        <v>#N/A N/A</v>
        <stp/>
        <stp>BDH|5554133692793852769</stp>
        <tr r="F37" s="2"/>
      </tp>
      <tp t="s">
        <v>#N/A N/A</v>
        <stp/>
        <stp>BDH|8275503623274217286</stp>
        <tr r="D68" s="2"/>
      </tp>
      <tp t="s">
        <v>#N/A N/A</v>
        <stp/>
        <stp>BDH|6929810586597234876</stp>
        <tr r="W37" s="2"/>
      </tp>
      <tp t="s">
        <v>#N/A N/A</v>
        <stp/>
        <stp>BDH|8206292916255731732</stp>
        <tr r="AB45" s="2"/>
        <tr r="AB33" s="2"/>
      </tp>
      <tp t="s">
        <v>#N/A N/A</v>
        <stp/>
        <stp>BDH|2299888811797576573</stp>
        <tr r="AD15" s="2"/>
      </tp>
      <tp t="s">
        <v>#N/A N/A</v>
        <stp/>
        <stp>BDH|9232123678194946281</stp>
        <tr r="T32" s="2"/>
      </tp>
      <tp t="s">
        <v>#N/A N/A</v>
        <stp/>
        <stp>BDH|2863696008779491444</stp>
        <tr r="N35" s="2"/>
      </tp>
      <tp t="s">
        <v>#N/A N/A</v>
        <stp/>
        <stp>BDH|2822916490753156865</stp>
        <tr r="H53" s="2"/>
      </tp>
      <tp t="s">
        <v>#N/A N/A</v>
        <stp/>
        <stp>BDH|8992653941240539363</stp>
        <tr r="M9" s="2"/>
      </tp>
      <tp t="s">
        <v>#N/A N/A</v>
        <stp/>
        <stp>BDH|7843835486629587765</stp>
        <tr r="S32" s="2"/>
      </tp>
      <tp t="s">
        <v>#N/A N/A</v>
        <stp/>
        <stp>BDH|3685210700959822103</stp>
        <tr r="J44" s="2"/>
      </tp>
      <tp t="s">
        <v>#N/A N/A</v>
        <stp/>
        <stp>BDH|7523334890423105782</stp>
        <tr r="L10" s="2"/>
      </tp>
      <tp t="s">
        <v>#N/A N/A</v>
        <stp/>
        <stp>BDH|9034676889078452655</stp>
        <tr r="L63" s="2"/>
      </tp>
      <tp t="s">
        <v>#N/A N/A</v>
        <stp/>
        <stp>BDH|7924943266405320478</stp>
        <tr r="V54" s="2"/>
      </tp>
      <tp t="s">
        <v>#N/A N/A</v>
        <stp/>
        <stp>BDH|9028397702046781533</stp>
        <tr r="G32" s="2"/>
      </tp>
      <tp t="s">
        <v>#N/A N/A</v>
        <stp/>
        <stp>BDH|3637913454463630591</stp>
        <tr r="D70" s="2"/>
      </tp>
      <tp t="s">
        <v>#N/A N/A</v>
        <stp/>
        <stp>BDH|3931157863019742449</stp>
        <tr r="F49" s="2"/>
      </tp>
      <tp t="s">
        <v>#N/A N/A</v>
        <stp/>
        <stp>BDH|1897867312597253626</stp>
        <tr r="R15" s="2"/>
      </tp>
      <tp t="s">
        <v>#N/A N/A</v>
        <stp/>
        <stp>BDH|7177517698353412116</stp>
        <tr r="O15" s="2"/>
      </tp>
      <tp t="s">
        <v>#N/A N/A</v>
        <stp/>
        <stp>BDH|2339197447567626992</stp>
        <tr r="Q39" s="2"/>
      </tp>
      <tp t="s">
        <v>#N/A N/A</v>
        <stp/>
        <stp>BDH|4775304746652567860</stp>
        <tr r="AA6" s="2"/>
      </tp>
      <tp t="s">
        <v>#N/A N/A</v>
        <stp/>
        <stp>BDH|3658216917621114836</stp>
        <tr r="Z63" s="2"/>
      </tp>
      <tp t="s">
        <v>#N/A N/A</v>
        <stp/>
        <stp>BDH|1856839108947990785</stp>
        <tr r="Q10" s="2"/>
      </tp>
      <tp t="s">
        <v>#N/A N/A</v>
        <stp/>
        <stp>BDH|8786816364247746872</stp>
        <tr r="J18" s="2"/>
      </tp>
      <tp t="s">
        <v>#N/A N/A</v>
        <stp/>
        <stp>BDH|4342015144989137040</stp>
        <tr r="M32" s="2"/>
      </tp>
      <tp t="s">
        <v>#N/A N/A</v>
        <stp/>
        <stp>BDH|2683019595164797665</stp>
        <tr r="W60" s="2"/>
      </tp>
      <tp t="s">
        <v>#N/A N/A</v>
        <stp/>
        <stp>BDH|5247754532338739028</stp>
        <tr r="H6" s="2"/>
      </tp>
      <tp t="s">
        <v>#N/A N/A</v>
        <stp/>
        <stp>BDH|8978735310676263189</stp>
        <tr r="K34" s="2"/>
      </tp>
      <tp t="s">
        <v>#N/A N/A</v>
        <stp/>
        <stp>BDH|2890990376177536224</stp>
        <tr r="W32" s="2"/>
      </tp>
      <tp t="s">
        <v>#N/A N/A</v>
        <stp/>
        <stp>BDH|3325401860231073923</stp>
        <tr r="Z18" s="2"/>
      </tp>
      <tp t="s">
        <v>#N/A N/A</v>
        <stp/>
        <stp>BDH|4365279984114381321</stp>
        <tr r="L64" s="2"/>
      </tp>
      <tp t="s">
        <v>#N/A N/A</v>
        <stp/>
        <stp>BDH|5922580876209913780</stp>
        <tr r="L47" s="2"/>
      </tp>
      <tp t="s">
        <v>#N/A N/A</v>
        <stp/>
        <stp>BDH|2247925001450342251</stp>
        <tr r="AC40" s="2"/>
      </tp>
      <tp t="s">
        <v>#N/A N/A</v>
        <stp/>
        <stp>BDH|4855333097775359284</stp>
        <tr r="H50" s="2"/>
      </tp>
      <tp t="s">
        <v>#N/A N/A</v>
        <stp/>
        <stp>BDH|8700650914420425655</stp>
        <tr r="G69" s="2"/>
      </tp>
      <tp t="s">
        <v>#N/A N/A</v>
        <stp/>
        <stp>BDH|2946879248520544749</stp>
        <tr r="AB69" s="2"/>
      </tp>
      <tp t="s">
        <v>#N/A N/A</v>
        <stp/>
        <stp>BDH|2325830537956592656</stp>
        <tr r="J65" s="2"/>
      </tp>
      <tp t="s">
        <v>#N/A N/A</v>
        <stp/>
        <stp>BDH|9852884256068881596</stp>
        <tr r="S7" s="2"/>
      </tp>
      <tp t="s">
        <v>#N/A N/A</v>
        <stp/>
        <stp>BDH|8616635952063983192</stp>
        <tr r="T39" s="2"/>
      </tp>
      <tp t="s">
        <v>#N/A N/A</v>
        <stp/>
        <stp>BDH|8363160653486724351</stp>
        <tr r="H62" s="2"/>
      </tp>
      <tp t="s">
        <v>#N/A N/A</v>
        <stp/>
        <stp>BDH|4581802054328501812</stp>
        <tr r="W10" s="2"/>
      </tp>
      <tp t="s">
        <v>#N/A N/A</v>
        <stp/>
        <stp>BDH|5662133833959422771</stp>
        <tr r="AB65" s="2"/>
      </tp>
      <tp t="s">
        <v>#N/A N/A</v>
        <stp/>
        <stp>BDH|9688768944289692989</stp>
        <tr r="O44" s="2"/>
      </tp>
      <tp t="s">
        <v>#N/A N/A</v>
        <stp/>
        <stp>BDH|4871970162151436033</stp>
        <tr r="K14" s="2"/>
      </tp>
      <tp t="s">
        <v>#N/A N/A</v>
        <stp/>
        <stp>BDH|1656188195733208030</stp>
        <tr r="Q54" s="2"/>
      </tp>
      <tp t="s">
        <v>#N/A N/A</v>
        <stp/>
        <stp>BDH|6201521784310971178</stp>
        <tr r="W47" s="2"/>
      </tp>
      <tp t="s">
        <v>#N/A N/A</v>
        <stp/>
        <stp>BDH|2515580745600639954</stp>
        <tr r="E45" s="2"/>
        <tr r="E33" s="2"/>
      </tp>
      <tp t="s">
        <v>#N/A N/A</v>
        <stp/>
        <stp>BDH|8199851529028458029</stp>
        <tr r="AA71" s="2"/>
      </tp>
      <tp t="s">
        <v>#N/A N/A</v>
        <stp/>
        <stp>BDH|9460560744085841755</stp>
        <tr r="T60" s="2"/>
      </tp>
      <tp t="s">
        <v>#N/A N/A</v>
        <stp/>
        <stp>BDH|9282780507840219449</stp>
        <tr r="AB70" s="2"/>
      </tp>
      <tp t="s">
        <v>#N/A N/A</v>
        <stp/>
        <stp>BDH|7908406781865046430</stp>
        <tr r="E43" s="2"/>
      </tp>
      <tp t="s">
        <v>#N/A N/A</v>
        <stp/>
        <stp>BDH|1025246515938979030</stp>
        <tr r="S71" s="2"/>
      </tp>
      <tp t="s">
        <v>#N/A N/A</v>
        <stp/>
        <stp>BDH|3554932664830966605</stp>
        <tr r="D47" s="2"/>
      </tp>
      <tp t="s">
        <v>#N/A N/A</v>
        <stp/>
        <stp>BDH|4550405095720147392</stp>
        <tr r="Y54" s="2"/>
      </tp>
      <tp t="s">
        <v>#N/A N/A</v>
        <stp/>
        <stp>BDH|9936143322822349249</stp>
        <tr r="O68" s="2"/>
      </tp>
      <tp t="s">
        <v>#N/A N/A</v>
        <stp/>
        <stp>BDH|9585943049156963898</stp>
        <tr r="S9" s="2"/>
      </tp>
      <tp t="s">
        <v>#N/A N/A</v>
        <stp/>
        <stp>BDH|5914290078669650365</stp>
        <tr r="C29" s="2"/>
      </tp>
      <tp t="s">
        <v>#N/A N/A</v>
        <stp/>
        <stp>BDH|5004202858280058809</stp>
        <tr r="AB60" s="2"/>
      </tp>
      <tp t="s">
        <v>#N/A N/A</v>
        <stp/>
        <stp>BDH|4568425163098822451</stp>
        <tr r="M61" s="2"/>
      </tp>
      <tp t="s">
        <v>#N/A N/A</v>
        <stp/>
        <stp>BDH|8904861421908660065</stp>
        <tr r="M8" s="2"/>
      </tp>
      <tp t="s">
        <v>#N/A N/A</v>
        <stp/>
        <stp>BDH|6934430330889138255</stp>
        <tr r="U28" s="2"/>
      </tp>
      <tp t="s">
        <v>#N/A N/A</v>
        <stp/>
        <stp>BDH|6935658192297391423</stp>
        <tr r="D36" s="2"/>
      </tp>
      <tp t="s">
        <v>#N/A N/A</v>
        <stp/>
        <stp>BDH|2588526992537279389</stp>
        <tr r="W39" s="2"/>
      </tp>
      <tp t="s">
        <v>#N/A N/A</v>
        <stp/>
        <stp>BDH|4720021119799154628</stp>
        <tr r="F71" s="2"/>
      </tp>
      <tp t="s">
        <v>#N/A N/A</v>
        <stp/>
        <stp>BDH|5759923349732865087</stp>
        <tr r="D30" s="2"/>
      </tp>
      <tp t="s">
        <v>#N/A N/A</v>
        <stp/>
        <stp>BDH|6795990331956748047</stp>
        <tr r="W28" s="2"/>
      </tp>
      <tp t="s">
        <v>#N/A N/A</v>
        <stp/>
        <stp>BDH|6297367581726920100</stp>
        <tr r="M13" s="2"/>
      </tp>
      <tp t="s">
        <v>#N/A N/A</v>
        <stp/>
        <stp>BDH|9836006923827428625</stp>
        <tr r="Q45" s="2"/>
        <tr r="Q33" s="2"/>
      </tp>
      <tp t="s">
        <v>#N/A N/A</v>
        <stp/>
        <stp>BDH|4209008019757077898</stp>
        <tr r="D40" s="2"/>
      </tp>
      <tp t="s">
        <v>#N/A N/A</v>
        <stp/>
        <stp>BDH|7171034953381007935</stp>
        <tr r="F14" s="2"/>
      </tp>
      <tp t="s">
        <v>#N/A N/A</v>
        <stp/>
        <stp>BDH|1631886847545813236</stp>
        <tr r="S35" s="2"/>
      </tp>
      <tp t="s">
        <v>#N/A N/A</v>
        <stp/>
        <stp>BDH|5129420368575181882</stp>
        <tr r="D7" s="2"/>
      </tp>
      <tp t="s">
        <v>#N/A N/A</v>
        <stp/>
        <stp>BDH|1134650814644088821</stp>
        <tr r="R55" s="2"/>
      </tp>
      <tp t="s">
        <v>#N/A N/A</v>
        <stp/>
        <stp>BDH|9065333856856484339</stp>
        <tr r="F68" s="2"/>
      </tp>
      <tp t="s">
        <v>#N/A N/A</v>
        <stp/>
        <stp>BDH|4334847043236433434</stp>
        <tr r="AC15" s="2"/>
      </tp>
      <tp t="s">
        <v>#N/A N/A</v>
        <stp/>
        <stp>BDH|8765302012063374351</stp>
        <tr r="Z16" s="2"/>
      </tp>
      <tp t="s">
        <v>#N/A N/A</v>
        <stp/>
        <stp>BDH|4097315102999523452</stp>
        <tr r="N12" s="2"/>
      </tp>
      <tp t="s">
        <v>#N/A N/A</v>
        <stp/>
        <stp>BDH|9207605463940235307</stp>
        <tr r="AC13" s="2"/>
      </tp>
      <tp t="s">
        <v>#N/A N/A</v>
        <stp/>
        <stp>BDH|8588013292533703822</stp>
        <tr r="F50" s="2"/>
      </tp>
      <tp t="s">
        <v>#N/A N/A</v>
        <stp/>
        <stp>BDH|5833667227919919233</stp>
        <tr r="AD37" s="2"/>
      </tp>
      <tp t="s">
        <v>#N/A N/A</v>
        <stp/>
        <stp>BDH|6725217152589014241</stp>
        <tr r="C54" s="2"/>
      </tp>
      <tp t="s">
        <v>#N/A N/A</v>
        <stp/>
        <stp>BDH|6571931133482446419</stp>
        <tr r="Y47" s="2"/>
      </tp>
      <tp t="s">
        <v>#N/A N/A</v>
        <stp/>
        <stp>BDH|6544420197132346321</stp>
        <tr r="G39" s="2"/>
      </tp>
      <tp t="s">
        <v>#N/A N/A</v>
        <stp/>
        <stp>BDH|5619477014443435901</stp>
        <tr r="Z55" s="2"/>
      </tp>
      <tp t="s">
        <v>#N/A N/A</v>
        <stp/>
        <stp>BDH|7788827141639091850</stp>
        <tr r="G21" s="2"/>
      </tp>
      <tp t="s">
        <v>#N/A N/A</v>
        <stp/>
        <stp>BDH|6801461833272915956</stp>
        <tr r="Y45" s="2"/>
        <tr r="Y33" s="2"/>
      </tp>
      <tp t="s">
        <v>#N/A N/A</v>
        <stp/>
        <stp>BDH|5579834500775554228</stp>
        <tr r="X35" s="2"/>
      </tp>
      <tp t="s">
        <v>#N/A N/A</v>
        <stp/>
        <stp>BDH|6884205268448470053</stp>
        <tr r="Z22" s="2"/>
      </tp>
      <tp t="s">
        <v>#N/A N/A</v>
        <stp/>
        <stp>BDH|7010943114504111176</stp>
        <tr r="AD59" s="2"/>
      </tp>
      <tp t="s">
        <v>#N/A N/A</v>
        <stp/>
        <stp>BDH|5903040911799242783</stp>
        <tr r="L50" s="2"/>
      </tp>
      <tp t="s">
        <v>#N/A N/A</v>
        <stp/>
        <stp>BDH|5857484939700773888</stp>
        <tr r="T64" s="2"/>
      </tp>
      <tp t="s">
        <v>#N/A N/A</v>
        <stp/>
        <stp>BDH|6142111890101121565</stp>
        <tr r="E15" s="2"/>
      </tp>
      <tp t="s">
        <v>#N/A N/A</v>
        <stp/>
        <stp>BDH|2601057390635153451</stp>
        <tr r="S70" s="2"/>
      </tp>
      <tp t="s">
        <v>#N/A N/A</v>
        <stp/>
        <stp>BDH|8773991588472477152</stp>
        <tr r="O24" s="2"/>
      </tp>
      <tp t="s">
        <v>#N/A N/A</v>
        <stp/>
        <stp>BDH|9558430471859872983</stp>
        <tr r="AB16" s="2"/>
      </tp>
      <tp t="s">
        <v>#N/A N/A</v>
        <stp/>
        <stp>BDH|3969112138173541829</stp>
        <tr r="E14" s="2"/>
      </tp>
      <tp t="s">
        <v>#N/A N/A</v>
        <stp/>
        <stp>BDH|6861866650619801819</stp>
        <tr r="AD6" s="2"/>
      </tp>
      <tp t="s">
        <v>#N/A N/A</v>
        <stp/>
        <stp>BDH|3094993101886439683</stp>
        <tr r="AB25" s="2"/>
      </tp>
      <tp t="s">
        <v>#N/A N/A</v>
        <stp/>
        <stp>BDH|8166153436905251542</stp>
        <tr r="X10" s="2"/>
      </tp>
      <tp t="s">
        <v>#N/A N/A</v>
        <stp/>
        <stp>BDH|4429861592548619729</stp>
        <tr r="T38" s="2"/>
      </tp>
      <tp t="s">
        <v>#N/A N/A</v>
        <stp/>
        <stp>BDH|9081526649792653084</stp>
        <tr r="N48" s="2"/>
      </tp>
      <tp t="s">
        <v>#N/A N/A</v>
        <stp/>
        <stp>BDH|63924570970758983</stp>
        <tr r="R7" s="2"/>
      </tp>
      <tp t="s">
        <v>#N/A N/A</v>
        <stp/>
        <stp>BDH|72242868930793362</stp>
        <tr r="AA28" s="2"/>
      </tp>
      <tp t="s">
        <v>#N/A N/A</v>
        <stp/>
        <stp>BDH|5145833107414665294</stp>
        <tr r="P45" s="2"/>
        <tr r="P33" s="2"/>
      </tp>
      <tp t="s">
        <v>#N/A N/A</v>
        <stp/>
        <stp>BDH|2634929639651202257</stp>
        <tr r="Z44" s="2"/>
      </tp>
      <tp t="s">
        <v>#N/A N/A</v>
        <stp/>
        <stp>BDH|9361668595048353594</stp>
        <tr r="C25" s="2"/>
      </tp>
      <tp t="s">
        <v>#N/A N/A</v>
        <stp/>
        <stp>BDH|3398075363076881845</stp>
        <tr r="Q14" s="2"/>
      </tp>
      <tp t="s">
        <v>#N/A N/A</v>
        <stp/>
        <stp>BDH|6307593230263530840</stp>
        <tr r="AD14" s="2"/>
      </tp>
      <tp t="s">
        <v>#N/A N/A</v>
        <stp/>
        <stp>BDH|6391795528038814016</stp>
        <tr r="Q60" s="2"/>
      </tp>
      <tp t="s">
        <v>#N/A N/A</v>
        <stp/>
        <stp>BDH|1458828225713971325</stp>
        <tr r="R32" s="2"/>
      </tp>
      <tp t="s">
        <v>#N/A N/A</v>
        <stp/>
        <stp>BDH|9841717752903423375</stp>
        <tr r="AC30" s="2"/>
      </tp>
      <tp t="s">
        <v>#N/A N/A</v>
        <stp/>
        <stp>BDH|5534491264829843582</stp>
        <tr r="U15" s="2"/>
      </tp>
      <tp t="s">
        <v>#N/A N/A</v>
        <stp/>
        <stp>BDH|8207517808240603644</stp>
        <tr r="X60" s="2"/>
      </tp>
      <tp t="s">
        <v>#N/A N/A</v>
        <stp/>
        <stp>BDH|7660076291096037396</stp>
        <tr r="G27" s="2"/>
      </tp>
      <tp t="s">
        <v>#N/A N/A</v>
        <stp/>
        <stp>BDH|8086332619362650358</stp>
        <tr r="F38" s="2"/>
      </tp>
      <tp t="s">
        <v>#N/A N/A</v>
        <stp/>
        <stp>BDH|4537783785205205535</stp>
        <tr r="D35" s="2"/>
      </tp>
      <tp t="s">
        <v>#N/A N/A</v>
        <stp/>
        <stp>BDH|7839607775579061440</stp>
        <tr r="Z36" s="2"/>
      </tp>
      <tp t="s">
        <v>#N/A N/A</v>
        <stp/>
        <stp>BDH|9563064941525891334</stp>
        <tr r="X21" s="2"/>
      </tp>
      <tp t="s">
        <v>#N/A N/A</v>
        <stp/>
        <stp>BDH|9980551045767358448</stp>
        <tr r="Z68" s="2"/>
      </tp>
      <tp t="s">
        <v>#N/A N/A</v>
        <stp/>
        <stp>BDH|4437576282282747086</stp>
        <tr r="S24" s="2"/>
      </tp>
      <tp t="s">
        <v>#N/A N/A</v>
        <stp/>
        <stp>BDH|4968836147217028437</stp>
        <tr r="H27" s="2"/>
      </tp>
      <tp t="s">
        <v>#N/A N/A</v>
        <stp/>
        <stp>BDH|7749059374572181998</stp>
        <tr r="P66" s="2"/>
      </tp>
      <tp t="s">
        <v>#N/A N/A</v>
        <stp/>
        <stp>BDH|3205731084542827521</stp>
        <tr r="I71" s="2"/>
      </tp>
      <tp t="s">
        <v>#N/A N/A</v>
        <stp/>
        <stp>BDH|2865148631859139232</stp>
        <tr r="H34" s="2"/>
      </tp>
      <tp t="s">
        <v>#N/A N/A</v>
        <stp/>
        <stp>BDH|1507884463622714665</stp>
        <tr r="E71" s="2"/>
      </tp>
      <tp t="s">
        <v>#N/A N/A</v>
        <stp/>
        <stp>BDH|9834221808599966947</stp>
        <tr r="V30" s="2"/>
      </tp>
      <tp t="s">
        <v>#N/A N/A</v>
        <stp/>
        <stp>BDH|2935075780563986283</stp>
        <tr r="D24" s="2"/>
      </tp>
      <tp t="s">
        <v>#N/A N/A</v>
        <stp/>
        <stp>BDH|4548020199455238306</stp>
        <tr r="O49" s="2"/>
      </tp>
      <tp t="s">
        <v>#N/A N/A</v>
        <stp/>
        <stp>BDH|6792991637906734125</stp>
        <tr r="G26" s="2"/>
      </tp>
      <tp t="s">
        <v>#N/A N/A</v>
        <stp/>
        <stp>BDH|9945378835172707005</stp>
        <tr r="M47" s="2"/>
      </tp>
      <tp t="s">
        <v>#N/A N/A</v>
        <stp/>
        <stp>BDH|6988120898595726099</stp>
        <tr r="Q49" s="2"/>
      </tp>
      <tp t="s">
        <v>#N/A N/A</v>
        <stp/>
        <stp>BDH|8926358213147602640</stp>
        <tr r="AD16" s="2"/>
      </tp>
      <tp t="s">
        <v>#N/A N/A</v>
        <stp/>
        <stp>BDH|8848379412602374336</stp>
        <tr r="F16" s="2"/>
      </tp>
      <tp t="s">
        <v>#N/A N/A</v>
        <stp/>
        <stp>BDH|8417932687491056323</stp>
        <tr r="Q68" s="2"/>
      </tp>
      <tp t="s">
        <v>#N/A N/A</v>
        <stp/>
        <stp>BDH|9579291418052091377</stp>
        <tr r="AC8" s="2"/>
      </tp>
      <tp t="s">
        <v>#N/A N/A</v>
        <stp/>
        <stp>BDH|5370111604718495715</stp>
        <tr r="T36" s="2"/>
      </tp>
      <tp t="s">
        <v>#N/A N/A</v>
        <stp/>
        <stp>BDH|2867695026568421534</stp>
        <tr r="F40" s="2"/>
      </tp>
      <tp t="s">
        <v>#N/A N/A</v>
        <stp/>
        <stp>BDH|1848114032521849932</stp>
        <tr r="K11" s="2"/>
      </tp>
      <tp t="s">
        <v>#N/A N/A</v>
        <stp/>
        <stp>BDH|7430960605742614713</stp>
        <tr r="W61" s="2"/>
      </tp>
      <tp t="s">
        <v>#N/A N/A</v>
        <stp/>
        <stp>BDH|2557082004330953918</stp>
        <tr r="W8" s="2"/>
      </tp>
      <tp t="s">
        <v>#N/A N/A</v>
        <stp/>
        <stp>BDH|9245325028804158785</stp>
        <tr r="K68" s="2"/>
      </tp>
      <tp t="s">
        <v>#N/A N/A</v>
        <stp/>
        <stp>BDH|7621239057133217811</stp>
        <tr r="L66" s="2"/>
      </tp>
      <tp t="s">
        <v>#N/A N/A</v>
        <stp/>
        <stp>BDH|8758660526087011015</stp>
        <tr r="Q6" s="2"/>
      </tp>
      <tp t="s">
        <v>#N/A N/A</v>
        <stp/>
        <stp>BDH|4753974769886994667</stp>
        <tr r="T40" s="2"/>
      </tp>
      <tp t="s">
        <v>#N/A N/A</v>
        <stp/>
        <stp>BDH|8146946324289493132</stp>
        <tr r="Z69" s="2"/>
      </tp>
      <tp t="s">
        <v>#N/A N/A</v>
        <stp/>
        <stp>BDH|1548021449859087789</stp>
        <tr r="X59" s="2"/>
      </tp>
      <tp t="s">
        <v>#N/A N/A</v>
        <stp/>
        <stp>BDH|7547410607669758132</stp>
        <tr r="K10" s="2"/>
      </tp>
      <tp t="s">
        <v>#N/A N/A</v>
        <stp/>
        <stp>BDH|4767734493305779470</stp>
        <tr r="T50" s="2"/>
      </tp>
      <tp t="s">
        <v>#N/A N/A</v>
        <stp/>
        <stp>BDH|2337271281571087223</stp>
        <tr r="AC70" s="2"/>
      </tp>
      <tp t="s">
        <v>#N/A N/A</v>
        <stp/>
        <stp>BDH|3764373000649102250</stp>
        <tr r="O37" s="2"/>
      </tp>
      <tp t="s">
        <v>#N/A N/A</v>
        <stp/>
        <stp>BDH|9655904531199401172</stp>
        <tr r="N7" s="2"/>
      </tp>
      <tp t="s">
        <v>#N/A N/A</v>
        <stp/>
        <stp>BDH|6949007607995373892</stp>
        <tr r="F60" s="2"/>
      </tp>
      <tp t="s">
        <v>#N/A N/A</v>
        <stp/>
        <stp>BDH|5651443460469441538</stp>
        <tr r="K49" s="2"/>
      </tp>
      <tp t="s">
        <v>#N/A N/A</v>
        <stp/>
        <stp>BDH|7443041136928484882</stp>
        <tr r="AA29" s="2"/>
      </tp>
      <tp t="s">
        <v>#N/A N/A</v>
        <stp/>
        <stp>BDH|4701375532805123593</stp>
        <tr r="K30" s="2"/>
      </tp>
      <tp t="s">
        <v>#N/A N/A</v>
        <stp/>
        <stp>BDH|2232825673128081191</stp>
        <tr r="AA49" s="2"/>
      </tp>
      <tp t="s">
        <v>#N/A N/A</v>
        <stp/>
        <stp>BDH|9364743287246227496</stp>
        <tr r="W17" s="2"/>
      </tp>
      <tp t="s">
        <v>#N/A N/A</v>
        <stp/>
        <stp>BDH|2801269148664441499</stp>
        <tr r="AC33" s="2"/>
        <tr r="AC45" s="2"/>
      </tp>
      <tp t="s">
        <v>#N/A N/A</v>
        <stp/>
        <stp>BDH|6640793400343281669</stp>
        <tr r="T63" s="2"/>
      </tp>
      <tp t="s">
        <v>#N/A N/A</v>
        <stp/>
        <stp>BDH|9256392256412120979</stp>
        <tr r="Y68" s="2"/>
      </tp>
      <tp t="s">
        <v>#N/A N/A</v>
        <stp/>
        <stp>BDH|7266981485541508323</stp>
        <tr r="AB44" s="2"/>
      </tp>
      <tp t="s">
        <v>#N/A N/A</v>
        <stp/>
        <stp>BDH|9223037509658180504</stp>
        <tr r="K12" s="2"/>
      </tp>
      <tp t="s">
        <v>#N/A N/A</v>
        <stp/>
        <stp>BDH|2286166391446283892</stp>
        <tr r="F34" s="2"/>
      </tp>
      <tp t="s">
        <v>#N/A N/A</v>
        <stp/>
        <stp>BDH|2904405867761210523</stp>
        <tr r="Q8" s="2"/>
      </tp>
      <tp t="s">
        <v>#N/A N/A</v>
        <stp/>
        <stp>BDH|5919854094050166076</stp>
        <tr r="U18" s="2"/>
      </tp>
      <tp t="s">
        <v>#N/A N/A</v>
        <stp/>
        <stp>BDH|6314025435387996637</stp>
        <tr r="W59" s="2"/>
      </tp>
      <tp t="s">
        <v>#N/A N/A</v>
        <stp/>
        <stp>BDH|5817488839446340043</stp>
        <tr r="T20" s="2"/>
      </tp>
      <tp t="s">
        <v>#N/A N/A</v>
        <stp/>
        <stp>BDH|5682896897983688302</stp>
        <tr r="AA59" s="2"/>
      </tp>
      <tp t="s">
        <v>#N/A N/A</v>
        <stp/>
        <stp>BDH|6533202127263976144</stp>
        <tr r="AC11" s="2"/>
      </tp>
      <tp t="s">
        <v>#N/A N/A</v>
        <stp/>
        <stp>BDH|6589429482367221983</stp>
        <tr r="C37" s="2"/>
      </tp>
      <tp t="s">
        <v>#N/A N/A</v>
        <stp/>
        <stp>BDH|1779096667031794216</stp>
        <tr r="AC28" s="2"/>
      </tp>
      <tp t="s">
        <v>#N/A N/A</v>
        <stp/>
        <stp>BDH|1503568071540896775</stp>
        <tr r="AC54" s="2"/>
      </tp>
      <tp t="s">
        <v>#N/A N/A</v>
        <stp/>
        <stp>BDH|5718690166420577107</stp>
        <tr r="C44" s="2"/>
      </tp>
      <tp t="s">
        <v>#N/A N/A</v>
        <stp/>
        <stp>BDH|8162846070067686418</stp>
        <tr r="U40" s="2"/>
      </tp>
      <tp t="s">
        <v>#N/A N/A</v>
        <stp/>
        <stp>BDH|5993418043061974005</stp>
        <tr r="S29" s="2"/>
      </tp>
      <tp t="s">
        <v>#N/A N/A</v>
        <stp/>
        <stp>BDH|7284847081870638331</stp>
        <tr r="C21" s="2"/>
      </tp>
      <tp t="s">
        <v>#N/A N/A</v>
        <stp/>
        <stp>BDH|7670737463294124657</stp>
        <tr r="V70" s="2"/>
      </tp>
      <tp t="s">
        <v>#N/A N/A</v>
        <stp/>
        <stp>BDH|5849607935060907465</stp>
        <tr r="Y36" s="2"/>
      </tp>
      <tp t="s">
        <v>#N/A N/A</v>
        <stp/>
        <stp>BDH|1666672771525735158</stp>
        <tr r="J30" s="2"/>
      </tp>
      <tp t="s">
        <v>#N/A N/A</v>
        <stp/>
        <stp>BDH|3094686947695433096</stp>
        <tr r="P30" s="2"/>
      </tp>
      <tp t="s">
        <v>#N/A N/A</v>
        <stp/>
        <stp>BDH|8936869897838392588</stp>
        <tr r="Y19" s="2"/>
      </tp>
      <tp t="s">
        <v>#N/A N/A</v>
        <stp/>
        <stp>BDH|3565635694490670875</stp>
        <tr r="Z21" s="2"/>
      </tp>
      <tp t="s">
        <v>#N/A N/A</v>
        <stp/>
        <stp>BDH|3235240031590020642</stp>
        <tr r="O22" s="2"/>
      </tp>
      <tp t="s">
        <v>#N/A N/A</v>
        <stp/>
        <stp>BDH|2570539090522259873</stp>
        <tr r="I22" s="2"/>
      </tp>
      <tp t="s">
        <v>#N/A N/A</v>
        <stp/>
        <stp>BDH|3057687367081737686</stp>
        <tr r="AA32" s="2"/>
      </tp>
      <tp t="s">
        <v>#N/A N/A</v>
        <stp/>
        <stp>BDH|5141770866117862797</stp>
        <tr r="Z65" s="2"/>
      </tp>
      <tp t="s">
        <v>#N/A N/A</v>
        <stp/>
        <stp>BDH|2821955288490524719</stp>
        <tr r="J40" s="2"/>
      </tp>
      <tp t="s">
        <v>#N/A N/A</v>
        <stp/>
        <stp>BDH|9625853667455654643</stp>
        <tr r="M22" s="2"/>
      </tp>
      <tp t="s">
        <v>#N/A N/A</v>
        <stp/>
        <stp>BDH|4934939567497979820</stp>
        <tr r="AA11" s="2"/>
      </tp>
      <tp t="s">
        <v>#N/A N/A</v>
        <stp/>
        <stp>BDH|7643676294904592868</stp>
        <tr r="H60" s="2"/>
      </tp>
      <tp t="s">
        <v>#N/A N/A</v>
        <stp/>
        <stp>BDH|2159178133711609549</stp>
        <tr r="N20" s="2"/>
      </tp>
      <tp t="s">
        <v>#N/A N/A</v>
        <stp/>
        <stp>BDH|2668348855506496640</stp>
        <tr r="Q47" s="2"/>
      </tp>
      <tp t="s">
        <v>#N/A N/A</v>
        <stp/>
        <stp>BDH|1941607652517526193</stp>
        <tr r="D8" s="2"/>
      </tp>
      <tp t="s">
        <v>#N/A N/A</v>
        <stp/>
        <stp>BDH|8206049328199867717</stp>
        <tr r="K28" s="2"/>
      </tp>
      <tp t="s">
        <v>#N/A N/A</v>
        <stp/>
        <stp>BDH|1526061516614354018</stp>
        <tr r="AD48" s="2"/>
      </tp>
      <tp t="s">
        <v>#N/A N/A</v>
        <stp/>
        <stp>BDH|3308261250176022612</stp>
        <tr r="L68" s="2"/>
      </tp>
      <tp t="s">
        <v>#N/A N/A</v>
        <stp/>
        <stp>BDH|8445975304665073036</stp>
        <tr r="F67" s="2"/>
      </tp>
      <tp t="s">
        <v>#N/A N/A</v>
        <stp/>
        <stp>BDH|1194462863437513050</stp>
        <tr r="M52" s="2"/>
      </tp>
      <tp t="s">
        <v>#N/A N/A</v>
        <stp/>
        <stp>BDH|3330991447102940816</stp>
        <tr r="R28" s="2"/>
      </tp>
      <tp t="s">
        <v>#N/A N/A</v>
        <stp/>
        <stp>BDH|1225271271232357225</stp>
        <tr r="G37" s="2"/>
      </tp>
      <tp t="s">
        <v>#N/A N/A</v>
        <stp/>
        <stp>BDH|8069879676396333574</stp>
        <tr r="G49" s="2"/>
      </tp>
      <tp t="s">
        <v>#N/A N/A</v>
        <stp/>
        <stp>BDH|2235594979141996412</stp>
        <tr r="C61" s="2"/>
      </tp>
      <tp t="s">
        <v>#N/A N/A</v>
        <stp/>
        <stp>BDH|6174552761746668688</stp>
        <tr r="AB55" s="2"/>
      </tp>
      <tp t="s">
        <v>#N/A N/A</v>
        <stp/>
        <stp>BDH|3754934183084655394</stp>
        <tr r="E6" s="2"/>
      </tp>
      <tp t="s">
        <v>#N/A N/A</v>
        <stp/>
        <stp>BDH|5787300480688948368</stp>
        <tr r="AC52" s="2"/>
      </tp>
      <tp t="s">
        <v>#N/A N/A</v>
        <stp/>
        <stp>BDH|4396124874994833352</stp>
        <tr r="AA55" s="2"/>
      </tp>
      <tp t="s">
        <v>#N/A N/A</v>
        <stp/>
        <stp>BDH|3773700918860365045</stp>
        <tr r="Y61" s="2"/>
      </tp>
      <tp t="s">
        <v>#N/A N/A</v>
        <stp/>
        <stp>BDH|7966864937279171019</stp>
        <tr r="Z28" s="2"/>
      </tp>
      <tp t="s">
        <v>#N/A N/A</v>
        <stp/>
        <stp>BDH|5876107523286667540</stp>
        <tr r="H68" s="2"/>
      </tp>
      <tp t="s">
        <v>#N/A N/A</v>
        <stp/>
        <stp>BDH|3070571357373808512</stp>
        <tr r="H39" s="2"/>
      </tp>
      <tp t="s">
        <v>#N/A N/A</v>
        <stp/>
        <stp>BDH|6871141863234444028</stp>
        <tr r="AA13" s="2"/>
      </tp>
      <tp t="s">
        <v>#N/A N/A</v>
        <stp/>
        <stp>BDH|4924231941237026045</stp>
        <tr r="U21" s="2"/>
      </tp>
      <tp t="s">
        <v>#N/A N/A</v>
        <stp/>
        <stp>BDH|6360551364778591880</stp>
        <tr r="F66" s="2"/>
      </tp>
      <tp t="s">
        <v>#N/A N/A</v>
        <stp/>
        <stp>BDH|5267552736397789194</stp>
        <tr r="K55" s="2"/>
      </tp>
      <tp t="s">
        <v>#N/A N/A</v>
        <stp/>
        <stp>BDH|9028694913752348968</stp>
        <tr r="W21" s="2"/>
      </tp>
      <tp t="s">
        <v>#N/A N/A</v>
        <stp/>
        <stp>BDH|7513808168039182505</stp>
        <tr r="K19" s="2"/>
      </tp>
      <tp t="s">
        <v>#N/A N/A</v>
        <stp/>
        <stp>BDH|2397542577483992650</stp>
        <tr r="O47" s="2"/>
      </tp>
      <tp t="s">
        <v>#N/A N/A</v>
        <stp/>
        <stp>BDH|3279733234277926519</stp>
        <tr r="D17" s="2"/>
      </tp>
      <tp t="s">
        <v>#N/A N/A</v>
        <stp/>
        <stp>BDH|8103197121279529718</stp>
        <tr r="L24" s="2"/>
      </tp>
      <tp t="s">
        <v>#N/A N/A</v>
        <stp/>
        <stp>BDH|4828377362954044006</stp>
        <tr r="AB54" s="2"/>
      </tp>
      <tp t="s">
        <v>#N/A N/A</v>
        <stp/>
        <stp>BDH|9059927949468136980</stp>
        <tr r="O60" s="2"/>
      </tp>
      <tp t="s">
        <v>#N/A N/A</v>
        <stp/>
        <stp>BDH|2018938471691393831</stp>
        <tr r="AC59" s="2"/>
      </tp>
      <tp t="s">
        <v>#N/A N/A</v>
        <stp/>
        <stp>BDH|7701371683789783065</stp>
        <tr r="W33" s="2"/>
        <tr r="W45" s="2"/>
      </tp>
      <tp t="s">
        <v>#N/A N/A</v>
        <stp/>
        <stp>BDH|4295010696110608815</stp>
        <tr r="F29" s="2"/>
      </tp>
      <tp t="s">
        <v>#N/A N/A</v>
        <stp/>
        <stp>BDH|5615414239932457586</stp>
        <tr r="AB59" s="2"/>
      </tp>
      <tp t="s">
        <v>#N/A N/A</v>
        <stp/>
        <stp>BDH|3364830398911893632</stp>
        <tr r="M19" s="2"/>
      </tp>
      <tp t="s">
        <v>#N/A N/A</v>
        <stp/>
        <stp>BDH|4139002466846581116</stp>
        <tr r="Y15" s="2"/>
      </tp>
      <tp t="s">
        <v>#N/A N/A</v>
        <stp/>
        <stp>BDH|6335720633582177508</stp>
        <tr r="U65" s="2"/>
      </tp>
      <tp t="s">
        <v>#N/A N/A</v>
        <stp/>
        <stp>BDH|3839683101114456452</stp>
        <tr r="Q28" s="2"/>
      </tp>
      <tp t="s">
        <v>#N/A N/A</v>
        <stp/>
        <stp>BDH|5661913112760793822</stp>
        <tr r="N49" s="2"/>
      </tp>
      <tp t="s">
        <v>#N/A N/A</v>
        <stp/>
        <stp>BDH|9687008916034370939</stp>
        <tr r="K6" s="2"/>
      </tp>
      <tp t="s">
        <v>#N/A N/A</v>
        <stp/>
        <stp>BDH|2961039378314346409</stp>
        <tr r="AD38" s="2"/>
      </tp>
      <tp t="s">
        <v>#N/A N/A</v>
        <stp/>
        <stp>BDH|4238159335102085134</stp>
        <tr r="I45" s="2"/>
        <tr r="I33" s="2"/>
      </tp>
      <tp t="s">
        <v>#N/A N/A</v>
        <stp/>
        <stp>BDH|2115536050102463579</stp>
        <tr r="T61" s="2"/>
      </tp>
      <tp t="s">
        <v>#N/A N/A</v>
        <stp/>
        <stp>BDH|4425061052471602504</stp>
        <tr r="J66" s="2"/>
      </tp>
      <tp t="s">
        <v>#N/A N/A</v>
        <stp/>
        <stp>BDH|6429210490421625951</stp>
        <tr r="C28" s="2"/>
      </tp>
      <tp t="s">
        <v>#N/A N/A</v>
        <stp/>
        <stp>BDH|3503544314341321303</stp>
        <tr r="AA70" s="2"/>
      </tp>
      <tp t="s">
        <v>#N/A N/A</v>
        <stp/>
        <stp>BDH|7582547127643702670</stp>
        <tr r="O63" s="2"/>
      </tp>
      <tp t="s">
        <v>#N/A N/A</v>
        <stp/>
        <stp>BDH|2863598372267276271</stp>
        <tr r="G63" s="2"/>
      </tp>
      <tp t="s">
        <v>#N/A N/A</v>
        <stp/>
        <stp>BDH|3563267124935899383</stp>
        <tr r="M39" s="2"/>
      </tp>
      <tp t="s">
        <v>#N/A N/A</v>
        <stp/>
        <stp>BDH|2962068977143706387</stp>
        <tr r="O50" s="2"/>
      </tp>
      <tp t="s">
        <v>#N/A N/A</v>
        <stp/>
        <stp>BDH|3579702278801353793</stp>
        <tr r="P20" s="2"/>
      </tp>
      <tp t="s">
        <v>#N/A N/A</v>
        <stp/>
        <stp>BDH|3139576014340703213</stp>
        <tr r="S38" s="2"/>
      </tp>
      <tp t="s">
        <v>#N/A N/A</v>
        <stp/>
        <stp>BDH|8096986537026813139</stp>
        <tr r="X23" s="2"/>
      </tp>
      <tp t="s">
        <v>#N/A N/A</v>
        <stp/>
        <stp>BDH|2244631450107393365</stp>
        <tr r="N19" s="2"/>
      </tp>
      <tp t="s">
        <v>#N/A N/A</v>
        <stp/>
        <stp>BDH|6297486422211504493</stp>
        <tr r="AC22" s="2"/>
      </tp>
      <tp t="s">
        <v>#N/A N/A</v>
        <stp/>
        <stp>BDH|1574460403489078954</stp>
        <tr r="O34" s="2"/>
      </tp>
      <tp t="s">
        <v>#N/A N/A</v>
        <stp/>
        <stp>BDH|1283296249996002477</stp>
        <tr r="F30" s="2"/>
      </tp>
      <tp t="s">
        <v>#N/A N/A</v>
        <stp/>
        <stp>BDH|8987895347958201907</stp>
        <tr r="E36" s="2"/>
      </tp>
      <tp t="s">
        <v>#N/A N/A</v>
        <stp/>
        <stp>BDH|8577954057067304617</stp>
        <tr r="AD10" s="2"/>
      </tp>
      <tp t="s">
        <v>#N/A N/A</v>
        <stp/>
        <stp>BDH|3811738279773488530</stp>
        <tr r="AC64" s="2"/>
      </tp>
      <tp t="s">
        <v>#N/A N/A</v>
        <stp/>
        <stp>BDH|5373920191270652038</stp>
        <tr r="K60" s="2"/>
      </tp>
      <tp t="s">
        <v>#N/A N/A</v>
        <stp/>
        <stp>BDH|7685905230629530165</stp>
        <tr r="Z15" s="2"/>
      </tp>
      <tp t="s">
        <v>#N/A N/A</v>
        <stp/>
        <stp>BDH|1026014785514657878</stp>
        <tr r="AD41" s="2"/>
      </tp>
      <tp t="s">
        <v>#N/A N/A</v>
        <stp/>
        <stp>BDH|9346946634933724517</stp>
        <tr r="P43" s="2"/>
      </tp>
      <tp t="s">
        <v>#N/A N/A</v>
        <stp/>
        <stp>BDH|7034733541395828701</stp>
        <tr r="AC55" s="2"/>
      </tp>
      <tp t="s">
        <v>#N/A N/A</v>
        <stp/>
        <stp>BDH|7955132198070816904</stp>
        <tr r="P67" s="2"/>
      </tp>
      <tp t="s">
        <v>#N/A N/A</v>
        <stp/>
        <stp>BDH|7360919910161916819</stp>
        <tr r="O59" s="2"/>
      </tp>
      <tp t="s">
        <v>#N/A N/A</v>
        <stp/>
        <stp>BDH|9642894273061113178</stp>
        <tr r="P11" s="2"/>
      </tp>
      <tp t="s">
        <v>#N/A N/A</v>
        <stp/>
        <stp>BDH|1891655964943724456</stp>
        <tr r="M50" s="2"/>
      </tp>
      <tp t="s">
        <v>#N/A N/A</v>
        <stp/>
        <stp>BDH|3089935415308492594</stp>
        <tr r="AB23" s="2"/>
      </tp>
      <tp t="s">
        <v>#N/A N/A</v>
        <stp/>
        <stp>BDH|4241051512790639384</stp>
        <tr r="O16" s="2"/>
      </tp>
      <tp t="s">
        <v>#N/A N/A</v>
        <stp/>
        <stp>BDH|4939194668984439179</stp>
        <tr r="G30" s="2"/>
      </tp>
      <tp t="s">
        <v>#N/A N/A</v>
        <stp/>
        <stp>BDH|1024088042307139436</stp>
        <tr r="D67" s="2"/>
      </tp>
      <tp t="s">
        <v>#N/A N/A</v>
        <stp/>
        <stp>BDH|3313886494695924182</stp>
        <tr r="Y39" s="2"/>
      </tp>
      <tp t="s">
        <v>#N/A N/A</v>
        <stp/>
        <stp>BDH|7734481611671207527</stp>
        <tr r="C50" s="2"/>
      </tp>
      <tp t="s">
        <v>#N/A N/A</v>
        <stp/>
        <stp>BDH|9535293942821261836</stp>
        <tr r="S36" s="2"/>
      </tp>
      <tp t="s">
        <v>#N/A N/A</v>
        <stp/>
        <stp>BDH|5402982896283240079</stp>
        <tr r="T68" s="2"/>
      </tp>
      <tp t="s">
        <v>#N/A N/A</v>
        <stp/>
        <stp>BDH|4418744556392022298</stp>
        <tr r="R22" s="2"/>
      </tp>
      <tp t="s">
        <v>#N/A N/A</v>
        <stp/>
        <stp>BDH|5643998828908820008</stp>
        <tr r="AA7" s="2"/>
      </tp>
      <tp t="s">
        <v>#N/A N/A</v>
        <stp/>
        <stp>BDH|4210327449573680633</stp>
        <tr r="C38" s="2"/>
      </tp>
      <tp t="s">
        <v>#N/A N/A</v>
        <stp/>
        <stp>BDH|2872227507882566443</stp>
        <tr r="AD50" s="2"/>
      </tp>
      <tp t="s">
        <v>#N/A N/A</v>
        <stp/>
        <stp>BDH|7221649799179739745</stp>
        <tr r="P8" s="2"/>
      </tp>
      <tp t="s">
        <v>#N/A N/A</v>
        <stp/>
        <stp>BDH|6128530644657283682</stp>
        <tr r="D52" s="2"/>
      </tp>
      <tp t="s">
        <v>#N/A N/A</v>
        <stp/>
        <stp>BDH|3819666246975586202</stp>
        <tr r="K18" s="2"/>
      </tp>
      <tp t="s">
        <v>#N/A N/A</v>
        <stp/>
        <stp>BDH|6622856469947228958</stp>
        <tr r="AA22" s="2"/>
      </tp>
      <tp t="s">
        <v>#N/A N/A</v>
        <stp/>
        <stp>BDH|6105650759333284020</stp>
        <tr r="M53" s="2"/>
      </tp>
      <tp t="s">
        <v>#N/A N/A</v>
        <stp/>
        <stp>BDH|4957182399988424212</stp>
        <tr r="E39" s="2"/>
      </tp>
      <tp t="s">
        <v>#N/A N/A</v>
        <stp/>
        <stp>BDH|3440457270233391509</stp>
        <tr r="AA33" s="2"/>
        <tr r="AA45" s="2"/>
      </tp>
      <tp t="s">
        <v>#N/A N/A</v>
        <stp/>
        <stp>BDH|2470069304034590017</stp>
        <tr r="R60" s="2"/>
      </tp>
      <tp t="s">
        <v>#N/A N/A</v>
        <stp/>
        <stp>BDH|2423642121980401079</stp>
        <tr r="H10" s="2"/>
      </tp>
      <tp t="s">
        <v>#N/A N/A</v>
        <stp/>
        <stp>BDH|2698829303285264976</stp>
        <tr r="M55" s="2"/>
      </tp>
      <tp t="s">
        <v>#N/A N/A</v>
        <stp/>
        <stp>BDH|2770592154220849406</stp>
        <tr r="AD22" s="2"/>
      </tp>
      <tp t="s">
        <v>#N/A N/A</v>
        <stp/>
        <stp>BDH|1222678062266085156</stp>
        <tr r="H17" s="2"/>
      </tp>
      <tp t="s">
        <v>#N/A N/A</v>
        <stp/>
        <stp>BDH|2457567674320128640</stp>
        <tr r="U68" s="2"/>
      </tp>
      <tp t="s">
        <v>#N/A N/A</v>
        <stp/>
        <stp>BDH|7867447548176437737</stp>
        <tr r="T28" s="2"/>
      </tp>
      <tp t="s">
        <v>#N/A N/A</v>
        <stp/>
        <stp>BDH|3813490353444717063</stp>
        <tr r="Y48" s="2"/>
      </tp>
      <tp t="s">
        <v>#N/A N/A</v>
        <stp/>
        <stp>BDH|7579315701987751517</stp>
        <tr r="Y37" s="2"/>
      </tp>
      <tp t="s">
        <v>#N/A N/A</v>
        <stp/>
        <stp>BDH|5648744941597688750</stp>
        <tr r="E31" s="2"/>
      </tp>
      <tp t="s">
        <v>#N/A N/A</v>
        <stp/>
        <stp>BDH|5033626753625945595</stp>
        <tr r="J11" s="2"/>
      </tp>
      <tp t="s">
        <v>#N/A N/A</v>
        <stp/>
        <stp>BDH|3807176399894496930</stp>
        <tr r="D15" s="2"/>
      </tp>
      <tp t="s">
        <v>#N/A N/A</v>
        <stp/>
        <stp>BDH|5011175418312766199</stp>
        <tr r="D48" s="2"/>
      </tp>
      <tp t="s">
        <v>#N/A N/A</v>
        <stp/>
        <stp>BDH|5764661997244791803</stp>
        <tr r="R10" s="2"/>
      </tp>
      <tp t="s">
        <v>#N/A N/A</v>
        <stp/>
        <stp>BDH|4142564400284197309</stp>
        <tr r="J34" s="2"/>
      </tp>
      <tp t="s">
        <v>#N/A N/A</v>
        <stp/>
        <stp>BDH|6382146255411043542</stp>
        <tr r="Z19" s="2"/>
      </tp>
      <tp t="s">
        <v>#N/A N/A</v>
        <stp/>
        <stp>BDH|3651108660611678363</stp>
        <tr r="C6" s="2"/>
      </tp>
      <tp t="s">
        <v>#N/A N/A</v>
        <stp/>
        <stp>BDH|1201200371623582100</stp>
        <tr r="V27" s="2"/>
      </tp>
      <tp t="s">
        <v>#N/A N/A</v>
        <stp/>
        <stp>BDH|5353649527833304442</stp>
        <tr r="R66" s="2"/>
      </tp>
      <tp t="s">
        <v>#N/A N/A</v>
        <stp/>
        <stp>BDH|9585896168673087201</stp>
        <tr r="Y44" s="2"/>
      </tp>
      <tp t="s">
        <v>#N/A N/A</v>
        <stp/>
        <stp>BDH|3679658136229882995</stp>
        <tr r="J70" s="2"/>
      </tp>
      <tp t="s">
        <v>#N/A N/A</v>
        <stp/>
        <stp>BDH|1210622837413173128</stp>
        <tr r="N9" s="2"/>
      </tp>
      <tp t="s">
        <v>#N/A N/A</v>
        <stp/>
        <stp>BDH|6963956359838026411</stp>
        <tr r="I13" s="2"/>
      </tp>
      <tp t="s">
        <v>#N/A N/A</v>
        <stp/>
        <stp>BDH|1807076206483832442</stp>
        <tr r="AD54" s="2"/>
      </tp>
      <tp t="s">
        <v>#N/A N/A</v>
        <stp/>
        <stp>BDH|3539667947181313626</stp>
        <tr r="R30" s="2"/>
      </tp>
      <tp t="s">
        <v>#N/A N/A</v>
        <stp/>
        <stp>BDH|3989014283818850567</stp>
        <tr r="D20" s="2"/>
      </tp>
      <tp t="s">
        <v>#N/A N/A</v>
        <stp/>
        <stp>BDH|16660225236548983</stp>
        <tr r="S30" s="2"/>
      </tp>
      <tp t="s">
        <v>#N/A N/A</v>
        <stp/>
        <stp>BDH|9607043048299382338</stp>
        <tr r="K71" s="2"/>
      </tp>
      <tp t="s">
        <v>#N/A N/A</v>
        <stp/>
        <stp>BDH|8824124683280778640</stp>
        <tr r="Y64" s="2"/>
      </tp>
      <tp t="s">
        <v>#N/A N/A</v>
        <stp/>
        <stp>BDH|1654247889794541864</stp>
        <tr r="P52" s="2"/>
      </tp>
      <tp t="s">
        <v>#N/A N/A</v>
        <stp/>
        <stp>BDH|9814086125134838851</stp>
        <tr r="D69" s="2"/>
      </tp>
      <tp t="s">
        <v>#N/A N/A</v>
        <stp/>
        <stp>BDH|8976506747299403739</stp>
        <tr r="K69" s="2"/>
      </tp>
      <tp t="s">
        <v>#N/A N/A</v>
        <stp/>
        <stp>BDH|5135276138492194165</stp>
        <tr r="T27" s="2"/>
      </tp>
      <tp t="s">
        <v>#N/A N/A</v>
        <stp/>
        <stp>BDH|8524126180455182389</stp>
        <tr r="C11" s="2"/>
      </tp>
      <tp t="s">
        <v>#N/A N/A</v>
        <stp/>
        <stp>BDH|7535995882636626760</stp>
        <tr r="U66" s="2"/>
      </tp>
      <tp t="s">
        <v>#N/A N/A</v>
        <stp/>
        <stp>BDH|5810375604112112343</stp>
        <tr r="M30" s="2"/>
      </tp>
      <tp t="s">
        <v>#N/A N/A</v>
        <stp/>
        <stp>BDH|2640103408257977398</stp>
        <tr r="I30" s="2"/>
      </tp>
      <tp t="s">
        <v>#N/A N/A</v>
        <stp/>
        <stp>BDH|9743705837349782383</stp>
        <tr r="E8" s="2"/>
      </tp>
      <tp t="s">
        <v>#N/A N/A</v>
        <stp/>
        <stp>BDH|7159546560894347797</stp>
        <tr r="Y69" s="2"/>
      </tp>
      <tp t="s">
        <v>#N/A N/A</v>
        <stp/>
        <stp>BDH|7943113611642120240</stp>
        <tr r="R47" s="2"/>
      </tp>
      <tp t="s">
        <v>#N/A N/A</v>
        <stp/>
        <stp>BDH|2436683717980792205</stp>
        <tr r="Z59" s="2"/>
      </tp>
      <tp t="s">
        <v>#N/A N/A</v>
        <stp/>
        <stp>BDH|9243097093452716531</stp>
        <tr r="AA9" s="2"/>
      </tp>
      <tp t="s">
        <v>#N/A N/A</v>
        <stp/>
        <stp>BDH|6612500644681082108</stp>
        <tr r="AA19" s="2"/>
      </tp>
      <tp t="s">
        <v>#N/A N/A</v>
        <stp/>
        <stp>BDH|7778723780677227856</stp>
        <tr r="O7" s="2"/>
      </tp>
      <tp t="s">
        <v>#N/A N/A</v>
        <stp/>
        <stp>BDH|6151689966796975744</stp>
        <tr r="Y8" s="2"/>
      </tp>
      <tp t="s">
        <v>#N/A N/A</v>
        <stp/>
        <stp>BDH|9726456950757214831</stp>
        <tr r="N44" s="2"/>
      </tp>
      <tp t="s">
        <v>#N/A N/A</v>
        <stp/>
        <stp>BDH|1949770383411604889</stp>
        <tr r="AB67" s="2"/>
      </tp>
      <tp t="s">
        <v>#N/A N/A</v>
        <stp/>
        <stp>BDH|8532920473513543216</stp>
        <tr r="AA62" s="2"/>
      </tp>
      <tp t="s">
        <v>#N/A N/A</v>
        <stp/>
        <stp>BDH|7857238206312414097</stp>
        <tr r="Q41" s="2"/>
      </tp>
      <tp t="s">
        <v>#N/A N/A</v>
        <stp/>
        <stp>BDH|3241318688037331882</stp>
        <tr r="U64" s="2"/>
      </tp>
      <tp t="s">
        <v>#N/A N/A</v>
        <stp/>
        <stp>BDH|6997399789043800902</stp>
        <tr r="U7" s="2"/>
      </tp>
      <tp t="s">
        <v>#N/A N/A</v>
        <stp/>
        <stp>BDH|3410571294941327953</stp>
        <tr r="E30" s="2"/>
      </tp>
      <tp t="s">
        <v>#N/A N/A</v>
        <stp/>
        <stp>BDH|9738460953116071939</stp>
        <tr r="L55" s="2"/>
      </tp>
      <tp t="s">
        <v>#N/A N/A</v>
        <stp/>
        <stp>BDH|5582541823394198159</stp>
        <tr r="F69" s="2"/>
      </tp>
      <tp t="s">
        <v>#N/A N/A</v>
        <stp/>
        <stp>BDH|9749532597995113743</stp>
        <tr r="AB31" s="2"/>
      </tp>
      <tp t="s">
        <v>#N/A N/A</v>
        <stp/>
        <stp>BDH|4735521195319678609</stp>
        <tr r="O12" s="2"/>
      </tp>
      <tp t="s">
        <v>#N/A N/A</v>
        <stp/>
        <stp>BDH|4364096735445110596</stp>
        <tr r="AC38" s="2"/>
      </tp>
      <tp t="s">
        <v>#N/A N/A</v>
        <stp/>
        <stp>BDH|2395590374732808518</stp>
        <tr r="J8" s="2"/>
      </tp>
      <tp t="s">
        <v>#N/A N/A</v>
        <stp/>
        <stp>BDH|8776753790411538008</stp>
        <tr r="Z24" s="2"/>
      </tp>
      <tp t="s">
        <v>#N/A N/A</v>
        <stp/>
        <stp>BDH|4136060470483092704</stp>
        <tr r="O11" s="2"/>
      </tp>
      <tp t="s">
        <v>#N/A N/A</v>
        <stp/>
        <stp>BDH|7999000438932046169</stp>
        <tr r="AB20" s="2"/>
      </tp>
      <tp t="s">
        <v>#N/A N/A</v>
        <stp/>
        <stp>BDH|4944883784950006321</stp>
        <tr r="F17" s="2"/>
      </tp>
      <tp t="s">
        <v>#N/A N/A</v>
        <stp/>
        <stp>BDH|3401249154302685163</stp>
        <tr r="R31" s="2"/>
      </tp>
      <tp t="s">
        <v>#N/A N/A</v>
        <stp/>
        <stp>BDH|3531375665466275712</stp>
        <tr r="T24" s="2"/>
      </tp>
      <tp t="s">
        <v>#N/A N/A</v>
        <stp/>
        <stp>BDH|1582756366417580063</stp>
        <tr r="N22" s="2"/>
      </tp>
      <tp t="s">
        <v>#N/A N/A</v>
        <stp/>
        <stp>BDH|8614561996395006631</stp>
        <tr r="G14" s="2"/>
      </tp>
      <tp t="s">
        <v>#N/A N/A</v>
        <stp/>
        <stp>BDH|4542331428814897630</stp>
        <tr r="AB61" s="2"/>
      </tp>
      <tp t="s">
        <v>#N/A N/A</v>
        <stp/>
        <stp>BDH|4766435081667589856</stp>
        <tr r="I31" s="2"/>
      </tp>
      <tp t="s">
        <v>#N/A N/A</v>
        <stp/>
        <stp>BDH|6352048513026384629</stp>
        <tr r="F6" s="2"/>
      </tp>
      <tp t="s">
        <v>#N/A N/A</v>
        <stp/>
        <stp>BDH|6885415533487976694</stp>
        <tr r="K32" s="2"/>
      </tp>
      <tp t="s">
        <v>#N/A N/A</v>
        <stp/>
        <stp>BDH|7618313729461498711</stp>
        <tr r="J31" s="2"/>
      </tp>
      <tp t="s">
        <v>#N/A N/A</v>
        <stp/>
        <stp>BDH|5292493672093908586</stp>
        <tr r="AB19" s="2"/>
      </tp>
      <tp t="s">
        <v>#N/A N/A</v>
        <stp/>
        <stp>BDH|6558563963716642386</stp>
        <tr r="S18" s="2"/>
      </tp>
      <tp t="s">
        <v>#N/A N/A</v>
        <stp/>
        <stp>BDH|2918826281762235066</stp>
        <tr r="V24" s="2"/>
      </tp>
      <tp t="s">
        <v>#N/A N/A</v>
        <stp/>
        <stp>BDH|5754082445801460002</stp>
        <tr r="AB49" s="2"/>
      </tp>
      <tp t="s">
        <v>#N/A N/A</v>
        <stp/>
        <stp>BDH|1329831025388392384</stp>
        <tr r="X32" s="2"/>
      </tp>
      <tp t="s">
        <v>#N/A N/A</v>
        <stp/>
        <stp>BDH|4630340908902076542</stp>
        <tr r="U69" s="2"/>
      </tp>
      <tp t="s">
        <v>#N/A N/A</v>
        <stp/>
        <stp>BDH|8883833492761048868</stp>
        <tr r="E41" s="2"/>
      </tp>
      <tp t="s">
        <v>#N/A N/A</v>
        <stp/>
        <stp>BDH|7977310256690757162</stp>
        <tr r="AC37" s="2"/>
      </tp>
      <tp t="s">
        <v>#N/A N/A</v>
        <stp/>
        <stp>BDH|7635202802163824602</stp>
        <tr r="AA64" s="2"/>
      </tp>
      <tp t="s">
        <v>#N/A N/A</v>
        <stp/>
        <stp>BDH|5618021309404808185</stp>
        <tr r="AA12" s="2"/>
      </tp>
      <tp t="s">
        <v>#N/A N/A</v>
        <stp/>
        <stp>BDH|7083653270596055089</stp>
        <tr r="H18" s="2"/>
      </tp>
      <tp t="s">
        <v>#N/A N/A</v>
        <stp/>
        <stp>BDH|9384887723563313064</stp>
        <tr r="AA36" s="2"/>
      </tp>
      <tp t="s">
        <v>#N/A N/A</v>
        <stp/>
        <stp>BDH|9208066177847835998</stp>
        <tr r="V47" s="2"/>
      </tp>
      <tp t="s">
        <v>#N/A N/A</v>
        <stp/>
        <stp>BDH|6412254906867452314</stp>
        <tr r="AB68" s="2"/>
      </tp>
      <tp t="s">
        <v>#N/A N/A</v>
        <stp/>
        <stp>BDH|5027506296741248868</stp>
        <tr r="X7" s="2"/>
      </tp>
      <tp t="s">
        <v>#N/A N/A</v>
        <stp/>
        <stp>BDH|9812864253534965076</stp>
        <tr r="R61" s="2"/>
      </tp>
      <tp t="s">
        <v>#N/A N/A</v>
        <stp/>
        <stp>BDH|6080620223155379719</stp>
        <tr r="C33" s="2"/>
        <tr r="C45" s="2"/>
      </tp>
      <tp t="s">
        <v>#N/A N/A</v>
        <stp/>
        <stp>BDH|4470134756338112837</stp>
        <tr r="N26" s="2"/>
      </tp>
      <tp t="s">
        <v>#N/A N/A</v>
        <stp/>
        <stp>BDH|4413035504367984390</stp>
        <tr r="AC23" s="2"/>
      </tp>
      <tp t="s">
        <v>#N/A N/A</v>
        <stp/>
        <stp>BDH|5010688174192761681</stp>
        <tr r="S50" s="2"/>
      </tp>
      <tp t="s">
        <v>#N/A N/A</v>
        <stp/>
        <stp>BDH|7330532442937221105</stp>
        <tr r="P24" s="2"/>
      </tp>
      <tp t="s">
        <v>#N/A N/A</v>
        <stp/>
        <stp>BDH|4951671828888280850</stp>
        <tr r="S13" s="2"/>
      </tp>
      <tp t="s">
        <v>#N/A N/A</v>
        <stp/>
        <stp>BDH|4076685365963563794</stp>
        <tr r="G16" s="2"/>
      </tp>
      <tp t="s">
        <v>#N/A N/A</v>
        <stp/>
        <stp>BDH|7486766246582169640</stp>
        <tr r="J61" s="2"/>
      </tp>
      <tp t="s">
        <v>#N/A N/A</v>
        <stp/>
        <stp>BDH|8162459655968390132</stp>
        <tr r="M63" s="2"/>
      </tp>
      <tp t="s">
        <v>#N/A N/A</v>
        <stp/>
        <stp>BDH|2209328012915009541</stp>
        <tr r="Q53" s="2"/>
      </tp>
      <tp t="s">
        <v>#N/A N/A</v>
        <stp/>
        <stp>BDH|5438006676656249464</stp>
        <tr r="R20" s="2"/>
      </tp>
      <tp t="s">
        <v>#N/A N/A</v>
        <stp/>
        <stp>BDH|6091558023890095102</stp>
        <tr r="T22" s="2"/>
      </tp>
      <tp t="s">
        <v>#N/A N/A</v>
        <stp/>
        <stp>BDH|8597922927463171075</stp>
        <tr r="Z66" s="2"/>
      </tp>
      <tp t="s">
        <v>#N/A N/A</v>
        <stp/>
        <stp>BDH|9055659041539156230</stp>
        <tr r="H8" s="2"/>
      </tp>
      <tp t="s">
        <v>#N/A N/A</v>
        <stp/>
        <stp>BDH|1114523073540156366</stp>
        <tr r="I55" s="2"/>
      </tp>
      <tp t="s">
        <v>#N/A N/A</v>
        <stp/>
        <stp>BDH|7666160565006556679</stp>
        <tr r="R17" s="2"/>
      </tp>
      <tp t="s">
        <v>#N/A N/A</v>
        <stp/>
        <stp>BDH|5544772143556237073</stp>
        <tr r="Z41" s="2"/>
      </tp>
      <tp t="s">
        <v>#N/A N/A</v>
        <stp/>
        <stp>BDH|6916456498169523257</stp>
        <tr r="P37" s="2"/>
      </tp>
      <tp t="s">
        <v>#N/A N/A</v>
        <stp/>
        <stp>BDH|1373040885038505135</stp>
        <tr r="V67" s="2"/>
      </tp>
      <tp t="s">
        <v>#N/A N/A</v>
        <stp/>
        <stp>BDH|8078801376923144433</stp>
        <tr r="H59" s="2"/>
      </tp>
      <tp t="s">
        <v>#N/A N/A</v>
        <stp/>
        <stp>BDH|1959526493608497584</stp>
        <tr r="R41" s="2"/>
      </tp>
      <tp t="s">
        <v>#N/A N/A</v>
        <stp/>
        <stp>BDH|5022181210800903551</stp>
        <tr r="K37" s="2"/>
      </tp>
      <tp t="s">
        <v>#N/A N/A</v>
        <stp/>
        <stp>BDH|2032025763511305573</stp>
        <tr r="T53" s="2"/>
      </tp>
      <tp t="s">
        <v>#N/A N/A</v>
        <stp/>
        <stp>BDH|1026533236364163317</stp>
        <tr r="J7" s="2"/>
      </tp>
      <tp t="s">
        <v>#N/A N/A</v>
        <stp/>
        <stp>BDH|4824196647896662758</stp>
        <tr r="Y43" s="2"/>
      </tp>
      <tp t="s">
        <v>#N/A N/A</v>
        <stp/>
        <stp>BDH|3892917783622418149</stp>
        <tr r="R62" s="2"/>
      </tp>
      <tp t="s">
        <v>#N/A N/A</v>
        <stp/>
        <stp>BDH|3568420974137956601</stp>
        <tr r="W36" s="2"/>
      </tp>
      <tp t="s">
        <v>#N/A N/A</v>
        <stp/>
        <stp>BDH|2829301812244196517</stp>
        <tr r="D32" s="2"/>
      </tp>
      <tp t="s">
        <v>#N/A N/A</v>
        <stp/>
        <stp>BDH|7210331507901806446</stp>
        <tr r="AC35" s="2"/>
      </tp>
      <tp t="s">
        <v>#N/A N/A</v>
        <stp/>
        <stp>BDH|3955859372775219879</stp>
        <tr r="M45" s="2"/>
        <tr r="M33" s="2"/>
      </tp>
      <tp t="s">
        <v>#N/A N/A</v>
        <stp/>
        <stp>BDH|9664092133109585228</stp>
        <tr r="C39" s="2"/>
      </tp>
      <tp t="s">
        <v>#N/A N/A</v>
        <stp/>
        <stp>BDH|6201160008752063475</stp>
        <tr r="W27" s="2"/>
      </tp>
      <tp t="s">
        <v>#N/A N/A</v>
        <stp/>
        <stp>BDH|2652272363966907107</stp>
        <tr r="S21" s="2"/>
      </tp>
      <tp t="s">
        <v>#N/A N/A</v>
        <stp/>
        <stp>BDH|7545525107890961324</stp>
        <tr r="S45" s="2"/>
        <tr r="S33" s="2"/>
      </tp>
      <tp t="s">
        <v>#N/A N/A</v>
        <stp/>
        <stp>BDH|3497237000571891173</stp>
        <tr r="R53" s="2"/>
      </tp>
      <tp t="s">
        <v>#N/A N/A</v>
        <stp/>
        <stp>BDH|5473256029175702175</stp>
        <tr r="F48" s="2"/>
      </tp>
      <tp t="s">
        <v>#N/A N/A</v>
        <stp/>
        <stp>BDH|7549015439960004550</stp>
        <tr r="U32" s="2"/>
      </tp>
      <tp t="s">
        <v>#N/A N/A</v>
        <stp/>
        <stp>BDH|8492958888610754870</stp>
        <tr r="Z11" s="2"/>
      </tp>
      <tp t="s">
        <v>#N/A N/A</v>
        <stp/>
        <stp>BDH|1950365613215199743</stp>
        <tr r="R18" s="2"/>
      </tp>
      <tp t="s">
        <v>#N/A N/A</v>
        <stp/>
        <stp>BDH|4054165834915367285</stp>
        <tr r="J19" s="2"/>
      </tp>
      <tp t="s">
        <v>#N/A N/A</v>
        <stp/>
        <stp>BDH|8892056895423310324</stp>
        <tr r="T21" s="2"/>
      </tp>
      <tp t="s">
        <v>#N/A N/A</v>
        <stp/>
        <stp>BDH|3311639438181333659</stp>
        <tr r="R23" s="2"/>
      </tp>
      <tp t="s">
        <v>#N/A N/A</v>
        <stp/>
        <stp>BDH|4541681931247305711</stp>
        <tr r="C64" s="2"/>
      </tp>
      <tp t="s">
        <v>#N/A N/A</v>
        <stp/>
        <stp>BDH|5163221929175754138</stp>
        <tr r="P26" s="2"/>
      </tp>
      <tp t="s">
        <v>#N/A N/A</v>
        <stp/>
        <stp>BDH|7711592674524035056</stp>
        <tr r="M65" s="2"/>
      </tp>
      <tp t="s">
        <v>#N/A N/A</v>
        <stp/>
        <stp>BDH|7870028824117474355</stp>
        <tr r="Z10" s="2"/>
      </tp>
      <tp t="s">
        <v>#N/A N/A</v>
        <stp/>
        <stp>BDH|5928686116511817230</stp>
        <tr r="G13" s="2"/>
      </tp>
      <tp t="s">
        <v>#N/A N/A</v>
        <stp/>
        <stp>BDH|6291863990271999718</stp>
        <tr r="Y41" s="2"/>
      </tp>
      <tp t="s">
        <v>#N/A N/A</v>
        <stp/>
        <stp>BDH|9821796198100002640</stp>
        <tr r="AC31" s="2"/>
      </tp>
      <tp t="s">
        <v>#N/A N/A</v>
        <stp/>
        <stp>BDH|9918270350187582898</stp>
        <tr r="Y65" s="2"/>
      </tp>
      <tp t="s">
        <v>#N/A N/A</v>
        <stp/>
        <stp>BDH|6665147504910027646</stp>
        <tr r="AD21" s="2"/>
      </tp>
      <tp t="s">
        <v>#N/A N/A</v>
        <stp/>
        <stp>BDH|5723305187008138722</stp>
        <tr r="AB28" s="2"/>
      </tp>
      <tp t="s">
        <v>#N/A N/A</v>
        <stp/>
        <stp>BDH|9382404951591452854</stp>
        <tr r="Y12" s="2"/>
      </tp>
      <tp t="s">
        <v>#N/A N/A</v>
        <stp/>
        <stp>BDH|3183370407402015321</stp>
        <tr r="F33" s="2"/>
        <tr r="F45" s="2"/>
      </tp>
      <tp t="s">
        <v>#N/A N/A</v>
        <stp/>
        <stp>BDH|2277043816185145713</stp>
        <tr r="K27" s="2"/>
      </tp>
      <tp t="s">
        <v>#N/A N/A</v>
        <stp/>
        <stp>BDH|4199564403245723531</stp>
        <tr r="K25" s="2"/>
      </tp>
      <tp t="s">
        <v>#N/A N/A</v>
        <stp/>
        <stp>BDH|4257333280456603865</stp>
        <tr r="X47" s="2"/>
      </tp>
      <tp t="s">
        <v>#N/A N/A</v>
        <stp/>
        <stp>BDH|7647389802727544289</stp>
        <tr r="S68" s="2"/>
      </tp>
      <tp t="s">
        <v>#N/A N/A</v>
        <stp/>
        <stp>BDH|3660327109104983553</stp>
        <tr r="L40" s="2"/>
      </tp>
      <tp t="s">
        <v>#N/A N/A</v>
        <stp/>
        <stp>BDH|7701909177420264836</stp>
        <tr r="AB71" s="2"/>
      </tp>
      <tp t="s">
        <v>#N/A N/A</v>
        <stp/>
        <stp>BDH|2190312839111109295</stp>
        <tr r="O21" s="2"/>
      </tp>
      <tp t="s">
        <v>#N/A N/A</v>
        <stp/>
        <stp>BDH|9327801405050265020</stp>
        <tr r="C7" s="2"/>
      </tp>
      <tp t="s">
        <v>#N/A N/A</v>
        <stp/>
        <stp>BDH|8581883069083162436</stp>
        <tr r="H38" s="2"/>
      </tp>
      <tp t="s">
        <v>#N/A N/A</v>
        <stp/>
        <stp>BDH|9473040507460743877</stp>
        <tr r="E9" s="2"/>
      </tp>
      <tp t="s">
        <v>#N/A N/A</v>
        <stp/>
        <stp>BDH|3594901624741508836</stp>
        <tr r="E40" s="2"/>
      </tp>
      <tp t="s">
        <v>#N/A N/A</v>
        <stp/>
        <stp>BDH|4932696203051395271</stp>
        <tr r="R54" s="2"/>
      </tp>
      <tp t="s">
        <v>#N/A N/A</v>
        <stp/>
        <stp>BDH|5844627929850567013</stp>
        <tr r="N62" s="2"/>
      </tp>
      <tp t="s">
        <v>#N/A N/A</v>
        <stp/>
        <stp>BDH|3424622737094400313</stp>
        <tr r="U12" s="2"/>
      </tp>
      <tp t="s">
        <v>#N/A N/A</v>
        <stp/>
        <stp>BDH|5708517870791329710</stp>
        <tr r="O39" s="2"/>
      </tp>
      <tp t="s">
        <v>#N/A N/A</v>
        <stp/>
        <stp>BDH|1332352096782160859</stp>
        <tr r="N11" s="2"/>
      </tp>
      <tp t="s">
        <v>#N/A N/A</v>
        <stp/>
        <stp>BDH|2603548009904682293</stp>
        <tr r="AB47" s="2"/>
      </tp>
      <tp t="s">
        <v>#N/A N/A</v>
        <stp/>
        <stp>BDH|4822224883228533788</stp>
        <tr r="AD66" s="2"/>
      </tp>
      <tp t="s">
        <v>#N/A N/A</v>
        <stp/>
        <stp>BDH|9980273262965841912</stp>
        <tr r="J43" s="2"/>
      </tp>
      <tp t="s">
        <v>#N/A N/A</v>
        <stp/>
        <stp>BDH|3296636558161850044</stp>
        <tr r="V55" s="2"/>
      </tp>
      <tp t="s">
        <v>#N/A N/A</v>
        <stp/>
        <stp>BDH|5842312013461645798</stp>
        <tr r="AD8" s="2"/>
      </tp>
      <tp t="s">
        <v>#N/A N/A</v>
        <stp/>
        <stp>BDH|2175286442265553341</stp>
        <tr r="M40" s="2"/>
      </tp>
      <tp t="s">
        <v>#N/A N/A</v>
        <stp/>
        <stp>BDH|7556675313512921037</stp>
        <tr r="O66" s="2"/>
      </tp>
      <tp t="s">
        <v>#N/A N/A</v>
        <stp/>
        <stp>BDH|8358430498322661550</stp>
        <tr r="N15" s="2"/>
      </tp>
      <tp t="s">
        <v>#N/A N/A</v>
        <stp/>
        <stp>BDH|4355361429411164661</stp>
        <tr r="T59" s="2"/>
      </tp>
      <tp t="s">
        <v>#N/A N/A</v>
        <stp/>
        <stp>BDH|1986022319215087797</stp>
        <tr r="E69" s="2"/>
      </tp>
      <tp t="s">
        <v>#N/A N/A</v>
        <stp/>
        <stp>BDH|5845115238540950537</stp>
        <tr r="M29" s="2"/>
      </tp>
      <tp t="s">
        <v>#N/A N/A</v>
        <stp/>
        <stp>BDH|4545058078384022536</stp>
        <tr r="I67" s="2"/>
      </tp>
      <tp t="s">
        <v>#N/A N/A</v>
        <stp/>
        <stp>BDH|5551501129391209166</stp>
        <tr r="Z26" s="2"/>
      </tp>
      <tp t="s">
        <v>#N/A N/A</v>
        <stp/>
        <stp>BDH|6652656047246814040</stp>
        <tr r="R38" s="2"/>
      </tp>
      <tp t="s">
        <v>#N/A N/A</v>
        <stp/>
        <stp>BDH|6897057960821001353</stp>
        <tr r="L11" s="2"/>
      </tp>
      <tp t="s">
        <v>#N/A N/A</v>
        <stp/>
        <stp>BDH|7592217899528377660</stp>
        <tr r="AB22" s="2"/>
      </tp>
      <tp t="s">
        <v>#N/A N/A</v>
        <stp/>
        <stp>BDH|4641171605290539785</stp>
        <tr r="O67" s="2"/>
      </tp>
      <tp t="s">
        <v>#N/A N/A</v>
        <stp/>
        <stp>BDH|6327784245666072174</stp>
        <tr r="V35" s="2"/>
      </tp>
      <tp t="s">
        <v>#N/A N/A</v>
        <stp/>
        <stp>BDH|5955696920163955002</stp>
        <tr r="M68" s="2"/>
      </tp>
      <tp t="s">
        <v>#N/A N/A</v>
        <stp/>
        <stp>BDH|8153692236789447632</stp>
        <tr r="R52" s="2"/>
      </tp>
      <tp t="s">
        <v>#N/A N/A</v>
        <stp/>
        <stp>BDH|5445439538157688774</stp>
        <tr r="S40" s="2"/>
      </tp>
      <tp t="s">
        <v>#N/A N/A</v>
        <stp/>
        <stp>BDH|5888782848062291649</stp>
        <tr r="K41" s="2"/>
      </tp>
      <tp t="s">
        <v>#N/A N/A</v>
        <stp/>
        <stp>BDH|7880306921837585322</stp>
        <tr r="W20" s="2"/>
      </tp>
      <tp t="s">
        <v>#N/A N/A</v>
        <stp/>
        <stp>BDH|8439291806968665024</stp>
        <tr r="J23" s="2"/>
      </tp>
      <tp t="s">
        <v>#N/A N/A</v>
        <stp/>
        <stp>BDH|7937691343912847542</stp>
        <tr r="K65" s="2"/>
      </tp>
      <tp t="s">
        <v>#N/A N/A</v>
        <stp/>
        <stp>BDH|4408306424044723388</stp>
        <tr r="F32" s="2"/>
      </tp>
      <tp t="s">
        <v>#N/A N/A</v>
        <stp/>
        <stp>BDH|4860410200403065156</stp>
        <tr r="Q9" s="2"/>
      </tp>
      <tp t="s">
        <v>#N/A N/A</v>
        <stp/>
        <stp>BDH|8205280488513930367</stp>
        <tr r="Z6" s="2"/>
      </tp>
      <tp t="s">
        <v>#N/A N/A</v>
        <stp/>
        <stp>BDH|9495881296903241950</stp>
        <tr r="U26" s="2"/>
      </tp>
      <tp t="s">
        <v>#N/A N/A</v>
        <stp/>
        <stp>BDH|1574185301852814096</stp>
        <tr r="X16" s="2"/>
      </tp>
      <tp t="s">
        <v>#N/A N/A</v>
        <stp/>
        <stp>BDH|7349104579370473339</stp>
        <tr r="AD60" s="2"/>
      </tp>
      <tp t="s">
        <v>#N/A N/A</v>
        <stp/>
        <stp>BDH|7345775816897746483</stp>
        <tr r="D9" s="2"/>
      </tp>
      <tp t="s">
        <v>#N/A N/A</v>
        <stp/>
        <stp>BDH|3620009122022682100</stp>
        <tr r="Z70" s="2"/>
      </tp>
      <tp t="s">
        <v>#N/A N/A</v>
        <stp/>
        <stp>BDH|7418350842011844397</stp>
        <tr r="Z27" s="2"/>
      </tp>
      <tp t="s">
        <v>#N/A N/A</v>
        <stp/>
        <stp>BDH|7240511437815267659</stp>
        <tr r="Y50" s="2"/>
      </tp>
      <tp t="s">
        <v>#N/A N/A</v>
        <stp/>
        <stp>BDH|5024584040156925021</stp>
        <tr r="N67" s="2"/>
      </tp>
      <tp t="s">
        <v>#N/A N/A</v>
        <stp/>
        <stp>BDH|7312041802562138770</stp>
        <tr r="N43" s="2"/>
      </tp>
      <tp t="s">
        <v>#N/A N/A</v>
        <stp/>
        <stp>BDH|2448166111113002309</stp>
        <tr r="Y30" s="2"/>
      </tp>
      <tp t="s">
        <v>#N/A N/A</v>
        <stp/>
        <stp>BDH|7353608849074825312</stp>
        <tr r="X69" s="2"/>
      </tp>
      <tp t="s">
        <v>#N/A N/A</v>
        <stp/>
        <stp>BDH|6605109091788304471</stp>
        <tr r="L30" s="2"/>
      </tp>
      <tp t="s">
        <v>#N/A N/A</v>
        <stp/>
        <stp>BDH|5084607250683418741</stp>
        <tr r="W7" s="2"/>
      </tp>
      <tp t="s">
        <v>#N/A N/A</v>
        <stp/>
        <stp>BDH|5050369235565343207</stp>
        <tr r="AB27" s="2"/>
      </tp>
      <tp t="s">
        <v>#N/A N/A</v>
        <stp/>
        <stp>BDH|7630093162925400696</stp>
        <tr r="N65" s="2"/>
      </tp>
      <tp t="s">
        <v>#N/A N/A</v>
        <stp/>
        <stp>BDH|8165817491009089216</stp>
        <tr r="AD67" s="2"/>
      </tp>
      <tp t="s">
        <v>#N/A N/A</v>
        <stp/>
        <stp>BDH|9526822236245368532</stp>
        <tr r="L43" s="2"/>
      </tp>
      <tp t="s">
        <v>#N/A N/A</v>
        <stp/>
        <stp>BDH|9960960735910973123</stp>
        <tr r="L9" s="2"/>
      </tp>
      <tp t="s">
        <v>#N/A N/A</v>
        <stp/>
        <stp>BDH|2234767575969281928</stp>
        <tr r="H66" s="2"/>
      </tp>
      <tp t="s">
        <v>#N/A N/A</v>
        <stp/>
        <stp>BDH|5761863733654404801</stp>
        <tr r="V28" s="2"/>
      </tp>
      <tp t="s">
        <v>#N/A N/A</v>
        <stp/>
        <stp>BDH|4115052354680025365</stp>
        <tr r="AB43" s="2"/>
      </tp>
      <tp t="s">
        <v>#N/A N/A</v>
        <stp/>
        <stp>BDH|6200643717462133174</stp>
        <tr r="C70" s="2"/>
      </tp>
      <tp t="s">
        <v>#N/A N/A</v>
        <stp/>
        <stp>BDH|9821286225628025324</stp>
        <tr r="Q67" s="2"/>
      </tp>
      <tp t="s">
        <v>#N/A N/A</v>
        <stp/>
        <stp>BDH|6505379905602880583</stp>
        <tr r="G65" s="2"/>
      </tp>
      <tp t="s">
        <v>#N/A N/A</v>
        <stp/>
        <stp>BDH|7612436082279609061</stp>
        <tr r="J17" s="2"/>
      </tp>
      <tp t="s">
        <v>#N/A N/A</v>
        <stp/>
        <stp>BDH|9596385481922364288</stp>
        <tr r="V26" s="2"/>
      </tp>
      <tp t="s">
        <v>#N/A N/A</v>
        <stp/>
        <stp>BDH|9469826737336751622</stp>
        <tr r="D43" s="2"/>
      </tp>
      <tp t="s">
        <v>#N/A N/A</v>
        <stp/>
        <stp>BDH|5683321132630014728</stp>
        <tr r="E34" s="2"/>
      </tp>
      <tp t="s">
        <v>#N/A N/A</v>
        <stp/>
        <stp>BDH|1755170283573686913</stp>
        <tr r="P65" s="2"/>
      </tp>
      <tp t="s">
        <v>#N/A N/A</v>
        <stp/>
        <stp>BDH|3129355323212182226</stp>
        <tr r="T67" s="2"/>
      </tp>
      <tp t="s">
        <v>#N/A N/A</v>
        <stp/>
        <stp>BDH|1555612045708222978</stp>
        <tr r="AB29" s="2"/>
      </tp>
      <tp t="s">
        <v>#N/A N/A</v>
        <stp/>
        <stp>BDH|2617493204105781184</stp>
        <tr r="AB64" s="2"/>
      </tp>
      <tp t="s">
        <v>#N/A N/A</v>
        <stp/>
        <stp>BDH|9470411801677070809</stp>
        <tr r="J29" s="2"/>
      </tp>
      <tp t="s">
        <v>#N/A N/A</v>
        <stp/>
        <stp>BDH|8340974450714201230</stp>
        <tr r="X43" s="2"/>
      </tp>
      <tp t="s">
        <v>#N/A N/A</v>
        <stp/>
        <stp>BDH|4051170213236584049</stp>
        <tr r="F9" s="2"/>
      </tp>
      <tp t="s">
        <v>#N/A N/A</v>
        <stp/>
        <stp>BDH|1600225815558375980</stp>
        <tr r="AD20" s="2"/>
      </tp>
      <tp t="s">
        <v>#N/A N/A</v>
        <stp/>
        <stp>BDH|3990429337166260153</stp>
        <tr r="W49" s="2"/>
      </tp>
      <tp t="s">
        <v>#N/A N/A</v>
        <stp/>
        <stp>BDH|4864107266678246877</stp>
        <tr r="T12" s="2"/>
      </tp>
      <tp t="s">
        <v>#N/A N/A</v>
        <stp/>
        <stp>BDH|6747053161701011285</stp>
        <tr r="H40" s="2"/>
      </tp>
      <tp t="s">
        <v>#N/A N/A</v>
        <stp/>
        <stp>BDH|1490958479658169427</stp>
        <tr r="X67" s="2"/>
      </tp>
      <tp t="s">
        <v>#N/A N/A</v>
        <stp/>
        <stp>BDH|7913399001134923337</stp>
        <tr r="V66" s="2"/>
      </tp>
      <tp t="s">
        <v>#N/A N/A</v>
        <stp/>
        <stp>BDH|2394844549854750912</stp>
        <tr r="H12" s="2"/>
      </tp>
      <tp t="s">
        <v>#N/A N/A</v>
        <stp/>
        <stp>BDH|3558068767222814443</stp>
        <tr r="V23" s="2"/>
      </tp>
      <tp t="s">
        <v>#N/A N/A</v>
        <stp/>
        <stp>BDH|2699591672516601528</stp>
        <tr r="L32" s="2"/>
      </tp>
      <tp t="s">
        <v>#N/A N/A</v>
        <stp/>
        <stp>BDH|4137478928796462733</stp>
        <tr r="Y52" s="2"/>
      </tp>
      <tp t="s">
        <v>#N/A N/A</v>
        <stp/>
        <stp>BDH|7348441730482687186</stp>
        <tr r="H29" s="2"/>
      </tp>
      <tp t="s">
        <v>#N/A N/A</v>
        <stp/>
        <stp>BDH|3351041463735911337</stp>
        <tr r="R14" s="2"/>
      </tp>
      <tp t="s">
        <v>#N/A N/A</v>
        <stp/>
        <stp>BDH|4215873178329038138</stp>
        <tr r="V36" s="2"/>
      </tp>
      <tp t="s">
        <v>#N/A N/A</v>
        <stp/>
        <stp>BDH|3365955563688845724</stp>
        <tr r="N53" s="2"/>
      </tp>
      <tp t="s">
        <v>#N/A N/A</v>
        <stp/>
        <stp>BDH|6877378790217761871</stp>
        <tr r="AC26" s="2"/>
      </tp>
      <tp t="s">
        <v>#N/A N/A</v>
        <stp/>
        <stp>BDH|9142322020459504298</stp>
        <tr r="K38" s="2"/>
      </tp>
      <tp t="s">
        <v>#N/A N/A</v>
        <stp/>
        <stp>BDH|1352383364066624150</stp>
        <tr r="X40" s="2"/>
      </tp>
      <tp t="s">
        <v>#N/A N/A</v>
        <stp/>
        <stp>BDH|2760682642196729576</stp>
        <tr r="S22" s="2"/>
      </tp>
      <tp t="s">
        <v>#N/A N/A</v>
        <stp/>
        <stp>BDH|8237417430445634982</stp>
        <tr r="W64" s="2"/>
      </tp>
      <tp t="s">
        <v>#N/A N/A</v>
        <stp/>
        <stp>BDH|9051137088500758312</stp>
        <tr r="E22" s="2"/>
      </tp>
      <tp t="s">
        <v>#N/A N/A</v>
        <stp/>
        <stp>BDH|5155326792274511895</stp>
        <tr r="O31" s="2"/>
      </tp>
      <tp t="s">
        <v>#N/A N/A</v>
        <stp/>
        <stp>BDH|7930804547899387100</stp>
        <tr r="P34" s="2"/>
      </tp>
      <tp t="s">
        <v>#N/A N/A</v>
        <stp/>
        <stp>BDH|9062825339003456220</stp>
        <tr r="U71" s="2"/>
      </tp>
      <tp t="s">
        <v>#N/A N/A</v>
        <stp/>
        <stp>BDH|8900136295035449669</stp>
        <tr r="U47" s="2"/>
      </tp>
      <tp t="s">
        <v>#N/A N/A</v>
        <stp/>
        <stp>BDH|5418617006427606777</stp>
        <tr r="F15" s="2"/>
      </tp>
      <tp t="s">
        <v>#N/A N/A</v>
        <stp/>
        <stp>BDH|3012323021749751867</stp>
        <tr r="D25" s="2"/>
      </tp>
      <tp t="s">
        <v>#N/A N/A</v>
        <stp/>
        <stp>BDH|3118963206329598063</stp>
        <tr r="L25" s="2"/>
      </tp>
      <tp t="s">
        <v>#N/A N/A</v>
        <stp/>
        <stp>BDH|6157139784198449403</stp>
        <tr r="AB24" s="2"/>
      </tp>
      <tp t="s">
        <v>#N/A N/A</v>
        <stp/>
        <stp>BDH|5933496825029292950</stp>
        <tr r="S65" s="2"/>
      </tp>
      <tp t="s">
        <v>#N/A N/A</v>
        <stp/>
        <stp>BDH|2774663451966781473</stp>
        <tr r="G12" s="2"/>
      </tp>
      <tp t="s">
        <v>#N/A N/A</v>
        <stp/>
        <stp>BDH|2503747170958009918</stp>
        <tr r="E13" s="2"/>
      </tp>
      <tp t="s">
        <v>#N/A N/A</v>
        <stp/>
        <stp>BDH|5272527392293128939</stp>
        <tr r="F55" s="2"/>
      </tp>
      <tp t="s">
        <v>#N/A N/A</v>
        <stp/>
        <stp>BDH|9950678318365208842</stp>
        <tr r="Z61" s="2"/>
      </tp>
      <tp t="s">
        <v>#N/A N/A</v>
        <stp/>
        <stp>BDH|1258932123591650848</stp>
        <tr r="C65" s="2"/>
      </tp>
      <tp t="s">
        <v>#N/A N/A</v>
        <stp/>
        <stp>BDH|2772553626621097759</stp>
        <tr r="AB21" s="2"/>
      </tp>
      <tp t="s">
        <v>#N/A N/A</v>
        <stp/>
        <stp>BDH|7343113526981424619</stp>
        <tr r="U48" s="2"/>
      </tp>
      <tp t="s">
        <v>#N/A N/A</v>
        <stp/>
        <stp>BDH|8307342897060462126</stp>
        <tr r="C24" s="2"/>
      </tp>
      <tp t="s">
        <v>#N/A N/A</v>
        <stp/>
        <stp>BDH|3105450350740063124</stp>
        <tr r="N18" s="2"/>
      </tp>
      <tp t="s">
        <v>#N/A N/A</v>
        <stp/>
        <stp>BDH|2764144075283173407</stp>
        <tr r="E63" s="2"/>
      </tp>
      <tp t="s">
        <v>#N/A N/A</v>
        <stp/>
        <stp>BDH|9786378516668052016</stp>
        <tr r="V40" s="2"/>
      </tp>
      <tp t="s">
        <v>#N/A N/A</v>
        <stp/>
        <stp>BDH|5503720178567854104</stp>
        <tr r="AC29" s="2"/>
      </tp>
      <tp t="s">
        <v>#N/A N/A</v>
        <stp/>
        <stp>BDH|1124213855960439564</stp>
        <tr r="H67" s="2"/>
      </tp>
      <tp t="s">
        <v>#N/A N/A</v>
        <stp/>
        <stp>BDH|7502050876113619041</stp>
        <tr r="AD27" s="2"/>
      </tp>
      <tp t="s">
        <v>#N/A N/A</v>
        <stp/>
        <stp>BDH|4391407449842737595</stp>
        <tr r="S23" s="2"/>
      </tp>
      <tp t="s">
        <v>#N/A N/A</v>
        <stp/>
        <stp>BDH|2882112417786367795</stp>
        <tr r="C69" s="2"/>
      </tp>
      <tp t="s">
        <v>#N/A N/A</v>
        <stp/>
        <stp>BDH|1554485031430923507</stp>
        <tr r="AC17" s="2"/>
      </tp>
      <tp t="s">
        <v>#N/A N/A</v>
        <stp/>
        <stp>BDH|7443575951131700509</stp>
        <tr r="K53" s="2"/>
      </tp>
      <tp t="s">
        <v>#N/A N/A</v>
        <stp/>
        <stp>BDH|183508240757981357</stp>
        <tr r="L29" s="2"/>
      </tp>
      <tp t="s">
        <v>#N/A N/A</v>
        <stp/>
        <stp>BDH|610579416709809852</stp>
        <tr r="AB50" s="2"/>
      </tp>
      <tp t="s">
        <v>#N/A N/A</v>
        <stp/>
        <stp>BDH|949622108095922604</stp>
        <tr r="H14" s="2"/>
      </tp>
      <tp t="s">
        <v>#N/A N/A</v>
        <stp/>
        <stp>BDH|507451652253476736</stp>
        <tr r="T47" s="2"/>
      </tp>
      <tp t="s">
        <v>#N/A N/A</v>
        <stp/>
        <stp>BDH|344883402209448487</stp>
        <tr r="S10" s="2"/>
      </tp>
      <tp t="s">
        <v>#N/A N/A</v>
        <stp/>
        <stp>BDH|344746113090512347</stp>
        <tr r="Q19" s="2"/>
      </tp>
      <tp t="s">
        <v>#N/A N/A</v>
        <stp/>
        <stp>BDH|311101620456132040</stp>
        <tr r="E27" s="2"/>
      </tp>
      <tp t="s">
        <v>#N/A N/A</v>
        <stp/>
        <stp>BDH|274003776820448273</stp>
        <tr r="I38" s="2"/>
      </tp>
      <tp t="s">
        <v>#N/A N/A</v>
        <stp/>
        <stp>BDH|629211616157082167</stp>
        <tr r="Z31" s="2"/>
      </tp>
      <tp t="s">
        <v>#N/A N/A</v>
        <stp/>
        <stp>BDH|447224003193430432</stp>
        <tr r="X54" s="2"/>
      </tp>
      <tp t="s">
        <v>#N/A N/A</v>
        <stp/>
        <stp>BDH|642799527255612479</stp>
        <tr r="S55" s="2"/>
      </tp>
      <tp t="s">
        <v>#N/A N/A</v>
        <stp/>
        <stp>BDH|704681375670680570</stp>
        <tr r="Y35" s="2"/>
      </tp>
      <tp t="s">
        <v>#N/A N/A</v>
        <stp/>
        <stp>BDH|437991422049908632</stp>
        <tr r="AD17" s="2"/>
      </tp>
      <tp t="s">
        <v>#N/A N/A</v>
        <stp/>
        <stp>BDH|796478123462377061</stp>
        <tr r="N31" s="2"/>
      </tp>
      <tp t="s">
        <v>#N/A N/A</v>
        <stp/>
        <stp>BDH|315069508135661193</stp>
        <tr r="C36" s="2"/>
      </tp>
      <tp t="s">
        <v>#N/A N/A</v>
        <stp/>
        <stp>BDH|825097914936556328</stp>
        <tr r="AA39" s="2"/>
      </tp>
      <tp t="s">
        <v>#N/A N/A</v>
        <stp/>
        <stp>BDH|773581583628173214</stp>
        <tr r="M17" s="2"/>
      </tp>
      <tp t="s">
        <v>#N/A N/A</v>
        <stp/>
        <stp>BDH|378885301166691927</stp>
        <tr r="H48" s="2"/>
      </tp>
      <tp t="s">
        <v>#N/A N/A</v>
        <stp/>
        <stp>BDH|216093849155743617</stp>
        <tr r="M36" s="2"/>
      </tp>
      <tp t="s">
        <v>#N/A N/A</v>
        <stp/>
        <stp>BDH|212289167420989331</stp>
        <tr r="U44" s="2"/>
      </tp>
      <tp t="s">
        <v>#N/A N/A</v>
        <stp/>
        <stp>BDH|246741381761672909</stp>
        <tr r="V20" s="2"/>
      </tp>
      <tp t="s">
        <v>#N/A N/A</v>
        <stp/>
        <stp>BDH|801360760312109115</stp>
        <tr r="W38" s="2"/>
      </tp>
      <tp t="s">
        <v>#N/A N/A</v>
        <stp/>
        <stp>BDH|176360819337411335</stp>
        <tr r="Z60" s="2"/>
      </tp>
      <tp t="s">
        <v>#N/A N/A</v>
        <stp/>
        <stp>BDH|250697708440069062</stp>
        <tr r="K64" s="2"/>
      </tp>
      <tp t="s">
        <v>#N/A N/A</v>
        <stp/>
        <stp>BDH|714483241107064196</stp>
        <tr r="U59" s="2"/>
      </tp>
      <tp t="s">
        <v>#N/A N/A</v>
        <stp/>
        <stp>BDH|334539425075238451</stp>
        <tr r="P27" s="2"/>
      </tp>
      <tp t="s">
        <v>#N/A N/A</v>
        <stp/>
        <stp>BDH|536761985998839605</stp>
        <tr r="Z43" s="2"/>
      </tp>
      <tp t="s">
        <v>#N/A N/A</v>
        <stp/>
        <stp>BDH|265339089652651814</stp>
        <tr r="U54" s="2"/>
      </tp>
      <tp t="s">
        <v>#N/A N/A</v>
        <stp/>
        <stp>BDH|544119929051352314</stp>
        <tr r="X36" s="2"/>
      </tp>
      <tp t="s">
        <v>#N/A N/A</v>
        <stp/>
        <stp>BDH|893206531058926854</stp>
        <tr r="F24" s="2"/>
      </tp>
      <tp t="s">
        <v>#N/A N/A</v>
        <stp/>
        <stp>BDH|127313672471255452</stp>
        <tr r="N25" s="2"/>
      </tp>
      <tp t="s">
        <v>#N/A N/A</v>
        <stp/>
        <stp>BDH|272074435062882093</stp>
        <tr r="AC6" s="2"/>
      </tp>
      <tp t="s">
        <v>#N/A N/A</v>
        <stp/>
        <stp>BDH|958234182292892938</stp>
        <tr r="O27" s="2"/>
      </tp>
      <tp t="s">
        <v>#N/A N/A</v>
        <stp/>
        <stp>BDH|796973949694411915</stp>
        <tr r="L13" s="2"/>
      </tp>
      <tp t="s">
        <v>#N/A N/A</v>
        <stp/>
        <stp>BDH|660899760737691920</stp>
        <tr r="K52" s="2"/>
      </tp>
      <tp t="s">
        <v>#N/A N/A</v>
        <stp/>
        <stp>BDH|627575536934023225</stp>
        <tr r="AD34" s="2"/>
      </tp>
      <tp t="s">
        <v>#N/A N/A</v>
        <stp/>
        <stp>BDH|105645047151107331</stp>
        <tr r="E11" s="2"/>
      </tp>
      <tp t="s">
        <v>#N/A N/A</v>
        <stp/>
        <stp>BDH|914773040306154670</stp>
        <tr r="P60" s="2"/>
      </tp>
      <tp t="s">
        <v>#N/A N/A</v>
        <stp/>
        <stp>BDH|994677640840439132</stp>
        <tr r="V69" s="2"/>
      </tp>
      <tp t="s">
        <v>#N/A N/A</v>
        <stp/>
        <stp>BDH|887731788779961511</stp>
        <tr r="U34" s="2"/>
      </tp>
      <tp t="s">
        <v>#N/A N/A</v>
        <stp/>
        <stp>BDH|535432663196305712</stp>
        <tr r="H41" s="2"/>
      </tp>
      <tp t="s">
        <v>#N/A N/A</v>
        <stp/>
        <stp>BDH|866202397800942849</stp>
        <tr r="S52" s="2"/>
      </tp>
      <tp t="s">
        <v>#N/A N/A</v>
        <stp/>
        <stp>BDH|575725254152733299</stp>
        <tr r="Q32" s="2"/>
      </tp>
      <tp t="s">
        <v>#N/A N/A</v>
        <stp/>
        <stp>BDH|165189582559472218</stp>
        <tr r="N40" s="2"/>
      </tp>
      <tp t="s">
        <v>#N/A N/A</v>
        <stp/>
        <stp>BDH|398350468803051454</stp>
        <tr r="R35" s="2"/>
      </tp>
      <tp t="s">
        <v>#N/A N/A</v>
        <stp/>
        <stp>BDH|192827504788401254</stp>
        <tr r="X39" s="2"/>
      </tp>
      <tp t="s">
        <v>#N/A N/A</v>
        <stp/>
        <stp>BDH|423154657836684073</stp>
        <tr r="Z71" s="2"/>
      </tp>
      <tp t="s">
        <v>#N/A N/A</v>
        <stp/>
        <stp>BDH|971894692602525169</stp>
        <tr r="N54" s="2"/>
      </tp>
      <tp t="s">
        <v>#N/A N/A</v>
        <stp/>
        <stp>BDH|904917910423038991</stp>
        <tr r="I8" s="2"/>
      </tp>
      <tp t="s">
        <v>#N/A N/A</v>
        <stp/>
        <stp>BDH|197679324885178315</stp>
        <tr r="D38" s="2"/>
      </tp>
      <tp t="s">
        <v>#N/A N/A</v>
        <stp/>
        <stp>BDH|494721843871138067</stp>
        <tr r="M62" s="2"/>
      </tp>
      <tp t="s">
        <v>#N/A N/A</v>
        <stp/>
        <stp>BDH|596839726021387902</stp>
        <tr r="G9" s="2"/>
      </tp>
      <tp t="s">
        <v>#N/A N/A</v>
        <stp/>
        <stp>BDH|798286072820359859</stp>
        <tr r="U27" s="2"/>
      </tp>
      <tp t="s">
        <v>#N/A N/A</v>
        <stp/>
        <stp>BDH|711552838833345828</stp>
        <tr r="W65" s="2"/>
      </tp>
      <tp t="s">
        <v>#N/A N/A</v>
        <stp/>
        <stp>BDH|879790872008426539</stp>
        <tr r="R26" s="2"/>
      </tp>
      <tp t="s">
        <v>#N/A N/A</v>
        <stp/>
        <stp>BDH|574127726848767609</stp>
        <tr r="U70" s="2"/>
      </tp>
      <tp t="s">
        <v>#N/A N/A</v>
        <stp/>
        <stp>BDH|274718975194057948</stp>
        <tr r="Q18" s="2"/>
      </tp>
      <tp t="s">
        <v>#N/A N/A</v>
        <stp/>
        <stp>BDH|901575692730911177</stp>
        <tr r="D44" s="2"/>
      </tp>
      <tp t="s">
        <v>#N/A N/A</v>
        <stp/>
        <stp>BDH|520491383412303241</stp>
        <tr r="N66" s="2"/>
      </tp>
      <tp t="s">
        <v>#N/A N/A</v>
        <stp/>
        <stp>BDH|307415382706317659</stp>
        <tr r="AC43" s="2"/>
      </tp>
      <tp t="s">
        <v>#N/A N/A</v>
        <stp/>
        <stp>BDH|321574280222229025</stp>
        <tr r="AA66" s="2"/>
      </tp>
      <tp t="s">
        <v>#N/A N/A</v>
        <stp/>
        <stp>BDH|381340391467015245</stp>
        <tr r="X11" s="2"/>
      </tp>
      <tp t="s">
        <v>#N/A N/A</v>
        <stp/>
        <stp>BDH|543221960538044346</stp>
        <tr r="N17" s="2"/>
      </tp>
      <tp t="s">
        <v>#N/A N/A</v>
        <stp/>
        <stp>BDH|442745824653976807</stp>
        <tr r="AB41" s="2"/>
      </tp>
      <tp t="s">
        <v>#N/A N/A</v>
        <stp/>
        <stp>BDH|698277647881961960</stp>
        <tr r="D39" s="2"/>
      </tp>
      <tp t="s">
        <v>#N/A N/A</v>
        <stp/>
        <stp>BDH|398295259311716807</stp>
        <tr r="I52" s="2"/>
      </tp>
      <tp t="s">
        <v>#N/A N/A</v>
        <stp/>
        <stp>BDH|698067162078668013</stp>
        <tr r="T35" s="2"/>
      </tp>
      <tp t="s">
        <v>#N/A N/A</v>
        <stp/>
        <stp>BDH|772257394270384509</stp>
        <tr r="E21" s="2"/>
      </tp>
      <tp t="s">
        <v>#N/A N/A</v>
        <stp/>
        <stp>BDH|556973174085247517</stp>
        <tr r="T9" s="2"/>
      </tp>
      <tp t="s">
        <v>#N/A N/A</v>
        <stp/>
        <stp>BDH|933775598685565535</stp>
        <tr r="AC27" s="2"/>
      </tp>
      <tp t="s">
        <v>#N/A N/A</v>
        <stp/>
        <stp>BDH|475786565158328041</stp>
        <tr r="S25" s="2"/>
      </tp>
      <tp t="s">
        <v>#N/A N/A</v>
        <stp/>
        <stp>BDH|669390497044439793</stp>
        <tr r="M67" s="2"/>
      </tp>
      <tp t="s">
        <v>#N/A N/A</v>
        <stp/>
        <stp>BDH|126148886915056510</stp>
        <tr r="R70" s="2"/>
      </tp>
      <tp t="s">
        <v>#N/A N/A</v>
        <stp/>
        <stp>BDH|874597190955469188</stp>
        <tr r="V15" s="2"/>
      </tp>
      <tp t="s">
        <v>#N/A N/A</v>
        <stp/>
        <stp>BDH|184245688753720128</stp>
        <tr r="E54" s="2"/>
      </tp>
      <tp t="s">
        <v>#N/A N/A</v>
        <stp/>
        <stp>BDH|939968869904952342</stp>
        <tr r="L14" s="2"/>
      </tp>
      <tp t="s">
        <v>#N/A N/A</v>
        <stp/>
        <stp>BDH|699622493437517075</stp>
        <tr r="N34" s="2"/>
      </tp>
      <tp t="s">
        <v>#N/A N/A</v>
        <stp/>
        <stp>BDH|909886357613240623</stp>
        <tr r="O23" s="2"/>
      </tp>
      <tp t="s">
        <v>#N/A N/A</v>
        <stp/>
        <stp>BDH|690584791272171690</stp>
        <tr r="V8" s="2"/>
      </tp>
      <tp t="s">
        <v>#N/A N/A</v>
        <stp/>
        <stp>BDH|696807926161258327</stp>
        <tr r="E16" s="2"/>
      </tp>
      <tp t="s">
        <v>#N/A N/A</v>
        <stp/>
        <stp>BDH|715826034544077717</stp>
        <tr r="T41" s="2"/>
      </tp>
      <tp t="s">
        <v>#N/A N/A</v>
        <stp/>
        <stp>BDH|736518902599090780</stp>
        <tr r="X53" s="2"/>
      </tp>
      <tp t="s">
        <v>#N/A N/A</v>
        <stp/>
        <stp>BDH|983439143002842992</stp>
        <tr r="Y9" s="2"/>
      </tp>
      <tp t="s">
        <v>#N/A N/A</v>
        <stp/>
        <stp>BDH|774664225168112754</stp>
        <tr r="P32" s="2"/>
      </tp>
      <tp t="s">
        <v>#N/A N/A</v>
        <stp/>
        <stp>BDH|196790484564086127</stp>
        <tr r="AD43" s="2"/>
      </tp>
      <tp t="s">
        <v>#N/A N/A</v>
        <stp/>
        <stp>BDH|524594290055528365</stp>
        <tr r="P10" s="2"/>
      </tp>
      <tp t="s">
        <v>#N/A N/A</v>
        <stp/>
        <stp>BDH|706866758792366529</stp>
        <tr r="O41" s="2"/>
      </tp>
      <tp t="s">
        <v>#N/A N/A</v>
        <stp/>
        <stp>BDH|817039490652885177</stp>
        <tr r="Z32" s="2"/>
      </tp>
      <tp t="s">
        <v>#N/A N/A</v>
        <stp/>
        <stp>BDH|530468239959506487</stp>
        <tr r="L53" s="2"/>
      </tp>
      <tp t="s">
        <v>#N/A N/A</v>
        <stp/>
        <stp>BDH|382894025721776189</stp>
        <tr r="C60" s="2"/>
      </tp>
      <tp t="s">
        <v>#N/A N/A</v>
        <stp/>
        <stp>BDH|839966308688842</stp>
        <tr r="X1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_xll.BDH("NUE US Equity","SALES_REV_TURN","FQ1 2019","FQ1 2019","Currency=USD","Period=FQ","BEST_FPERIOD_OVERRIDE=FQ","FILING_STATUS=MR","SCALING_FORMAT=MLN","FA_ADJUSTED=Adjusted","Sort=A","Dates=H","DateFormat=P","Fill=—","Direction=H","UseDPDF=Y")</f>
        <v>6096.6239999999998</v>
      </c>
      <c r="D6" s="16" cm="1">
        <f t="array" ref="D6">_xll.BDH("NUE US Equity","SALES_REV_TURN","FQ2 2019","FQ2 2019","Currency=USD","Period=FQ","BEST_FPERIOD_OVERRIDE=FQ","FILING_STATUS=MR","SCALING_FORMAT=MLN","FA_ADJUSTED=Adjusted","Sort=A","Dates=H","DateFormat=P","Fill=—","Direction=H","UseDPDF=Y")</f>
        <v>5895.9859999999999</v>
      </c>
      <c r="E6" s="16" cm="1">
        <f t="array" ref="E6">_xll.BDH("NUE US Equity","SALES_REV_TURN","FQ3 2019","FQ3 2019","Currency=USD","Period=FQ","BEST_FPERIOD_OVERRIDE=FQ","FILING_STATUS=MR","SCALING_FORMAT=MLN","FA_ADJUSTED=Adjusted","Sort=A","Dates=H","DateFormat=P","Fill=—","Direction=H","UseDPDF=Y")</f>
        <v>5464.5020000000004</v>
      </c>
      <c r="F6" s="16" cm="1">
        <f t="array" ref="F6">_xll.BDH("NUE US Equity","SALES_REV_TURN","FQ4 2019","FQ4 2019","Currency=USD","Period=FQ","BEST_FPERIOD_OVERRIDE=FQ","FILING_STATUS=MR","SCALING_FORMAT=MLN","FA_ADJUSTED=Adjusted","Sort=A","Dates=H","DateFormat=P","Fill=—","Direction=H","UseDPDF=Y")</f>
        <v>5131.7460000000001</v>
      </c>
      <c r="G6" s="16" cm="1">
        <f t="array" ref="G6">_xll.BDH("NUE US Equity","SALES_REV_TURN","FQ1 2020","FQ1 2020","Currency=USD","Period=FQ","BEST_FPERIOD_OVERRIDE=FQ","FILING_STATUS=MR","SCALING_FORMAT=MLN","FA_ADJUSTED=Adjusted","Sort=A","Dates=H","DateFormat=P","Fill=—","Direction=H","UseDPDF=Y")</f>
        <v>5624.3370000000004</v>
      </c>
      <c r="H6" s="16" cm="1">
        <f t="array" ref="H6">_xll.BDH("NUE US Equity","SALES_REV_TURN","FQ2 2020","FQ2 2020","Currency=USD","Period=FQ","BEST_FPERIOD_OVERRIDE=FQ","FILING_STATUS=MR","SCALING_FORMAT=MLN","FA_ADJUSTED=Adjusted","Sort=A","Dates=H","DateFormat=P","Fill=—","Direction=H","UseDPDF=Y")</f>
        <v>4327.3059999999996</v>
      </c>
      <c r="I6" s="16" cm="1">
        <f t="array" ref="I6">_xll.BDH("NUE US Equity","SALES_REV_TURN","FQ3 2020","FQ3 2020","Currency=USD","Period=FQ","BEST_FPERIOD_OVERRIDE=FQ","FILING_STATUS=MR","SCALING_FORMAT=MLN","FA_ADJUSTED=Adjusted","Sort=A","Dates=H","DateFormat=P","Fill=—","Direction=H","UseDPDF=Y")</f>
        <v>4927.96</v>
      </c>
      <c r="J6" s="16" cm="1">
        <f t="array" ref="J6">_xll.BDH("NUE US Equity","SALES_REV_TURN","FQ4 2020","FQ4 2020","Currency=USD","Period=FQ","BEST_FPERIOD_OVERRIDE=FQ","FILING_STATUS=MR","SCALING_FORMAT=MLN","FA_ADJUSTED=Adjusted","Sort=A","Dates=H","DateFormat=P","Fill=—","Direction=H","UseDPDF=Y")</f>
        <v>5260.0550000000003</v>
      </c>
      <c r="K6" s="16" cm="1">
        <f t="array" ref="K6">_xll.BDH("NUE US Equity","SALES_REV_TURN","FQ1 2021","FQ1 2021","Currency=USD","Period=FQ","BEST_FPERIOD_OVERRIDE=FQ","FILING_STATUS=MR","SCALING_FORMAT=MLN","FA_ADJUSTED=Adjusted","Sort=A","Dates=H","DateFormat=P","Fill=—","Direction=H","UseDPDF=Y")</f>
        <v>7017.14</v>
      </c>
      <c r="L6" s="16" cm="1">
        <f t="array" ref="L6">_xll.BDH("NUE US Equity","SALES_REV_TURN","FQ2 2021","FQ2 2021","Currency=USD","Period=FQ","BEST_FPERIOD_OVERRIDE=FQ","FILING_STATUS=MR","SCALING_FORMAT=MLN","FA_ADJUSTED=Adjusted","Sort=A","Dates=H","DateFormat=P","Fill=—","Direction=H","UseDPDF=Y")</f>
        <v>8789.1640000000007</v>
      </c>
      <c r="M6" s="16" cm="1">
        <f t="array" ref="M6">_xll.BDH("NUE US Equity","SALES_REV_TURN","FQ3 2021","FQ3 2021","Currency=USD","Period=FQ","BEST_FPERIOD_OVERRIDE=FQ","FILING_STATUS=MR","SCALING_FORMAT=MLN","FA_ADJUSTED=Adjusted","Sort=A","Dates=H","DateFormat=P","Fill=—","Direction=H","UseDPDF=Y")</f>
        <v>10313.223</v>
      </c>
      <c r="N6" s="16" cm="1">
        <f t="array" ref="N6">_xll.BDH("NUE US Equity","SALES_REV_TURN","FQ4 2021","FQ4 2021","Currency=USD","Period=FQ","BEST_FPERIOD_OVERRIDE=FQ","FILING_STATUS=MR","SCALING_FORMAT=MLN","FA_ADJUSTED=Adjusted","Sort=A","Dates=H","DateFormat=P","Fill=—","Direction=H","UseDPDF=Y")</f>
        <v>10364.412</v>
      </c>
      <c r="O6" s="16" cm="1">
        <f t="array" ref="O6">_xll.BDH("NUE US Equity","SALES_REV_TURN","FQ1 2022","FQ1 2022","Currency=USD","Period=FQ","BEST_FPERIOD_OVERRIDE=FQ","FILING_STATUS=MR","SCALING_FORMAT=MLN","FA_ADJUSTED=Adjusted","Sort=A","Dates=H","DateFormat=P","Fill=—","Direction=H","UseDPDF=Y")</f>
        <v>10493.281999999999</v>
      </c>
      <c r="P6" s="16" cm="1">
        <f t="array" ref="P6">_xll.BDH("NUE US Equity","SALES_REV_TURN","FQ2 2022","FQ2 2022","Currency=USD","Period=FQ","BEST_FPERIOD_OVERRIDE=FQ","FILING_STATUS=MR","SCALING_FORMAT=MLN","FA_ADJUSTED=Adjusted","Sort=A","Dates=H","DateFormat=P","Fill=—","Direction=H","UseDPDF=Y")</f>
        <v>11794.474</v>
      </c>
      <c r="Q6" s="16" cm="1">
        <f t="array" ref="Q6">_xll.BDH("NUE US Equity","SALES_REV_TURN","FQ3 2022","FQ3 2022","Currency=USD","Period=FQ","BEST_FPERIOD_OVERRIDE=FQ","FILING_STATUS=MR","SCALING_FORMAT=MLN","FA_ADJUSTED=Adjusted","Sort=A","Dates=H","DateFormat=P","Fill=—","Direction=H","UseDPDF=Y")</f>
        <v>10500.754999999999</v>
      </c>
      <c r="R6" s="16" cm="1">
        <f t="array" ref="R6">_xll.BDH("NUE US Equity","SALES_REV_TURN","FQ4 2022","FQ4 2022","Currency=USD","Period=FQ","BEST_FPERIOD_OVERRIDE=FQ","FILING_STATUS=MR","SCALING_FORMAT=MLN","FA_ADJUSTED=Adjusted","Sort=A","Dates=H","DateFormat=P","Fill=—","Direction=H","UseDPDF=Y")</f>
        <v>8723.9560000000001</v>
      </c>
      <c r="S6" s="16" cm="1">
        <f t="array" ref="S6">_xll.BDH("NUE US Equity","SALES_REV_TURN","FQ1 2023","FQ1 2023","Currency=USD","Period=FQ","BEST_FPERIOD_OVERRIDE=FQ","FILING_STATUS=MR","SCALING_FORMAT=MLN","FA_ADJUSTED=Adjusted","Sort=A","Dates=H","DateFormat=P","Fill=—","Direction=H","UseDPDF=Y")</f>
        <v>8709.98</v>
      </c>
      <c r="T6" s="16" cm="1">
        <f t="array" ref="T6">_xll.BDH("NUE US Equity","SALES_REV_TURN","FQ2 2023","FQ2 2023","Currency=USD","Period=FQ","BEST_FPERIOD_OVERRIDE=FQ","FILING_STATUS=MR","SCALING_FORMAT=MLN","FA_ADJUSTED=Adjusted","Sort=A","Dates=H","DateFormat=P","Fill=—","Direction=H","UseDPDF=Y")</f>
        <v>9523.2559999999994</v>
      </c>
      <c r="U6" s="16" cm="1">
        <f t="array" ref="U6">_xll.BDH("NUE US Equity","SALES_REV_TURN","FQ3 2023","FQ3 2023","Currency=USD","Period=FQ","BEST_FPERIOD_OVERRIDE=FQ","FILING_STATUS=MR","SCALING_FORMAT=MLN","FA_ADJUSTED=Adjusted","Sort=A","Dates=H","DateFormat=P","Fill=—","Direction=H","UseDPDF=Y")</f>
        <v>8775.7340000000004</v>
      </c>
      <c r="V6" s="16" cm="1">
        <f t="array" ref="V6">_xll.BDH("NUE US Equity","SALES_REV_TURN","FQ4 2023","FQ4 2023","Currency=USD","Period=FQ","BEST_FPERIOD_OVERRIDE=FQ","FILING_STATUS=MR","SCALING_FORMAT=MLN","FA_ADJUSTED=Adjusted","Sort=A","Dates=H","DateFormat=P","Fill=—","Direction=H","UseDPDF=Y")</f>
        <v>7704.5309999999999</v>
      </c>
      <c r="W6" s="16" cm="1">
        <f t="array" ref="W6">_xll.BDH("NUE US Equity","SALES_REV_TURN","FQ1 2024","FQ1 2024","Currency=USD","Period=FQ","BEST_FPERIOD_OVERRIDE=FQ","FILING_STATUS=MR","SCALING_FORMAT=MLN","FA_ADJUSTED=Adjusted","Sort=A","Dates=H","DateFormat=P","Fill=—","Direction=H","UseDPDF=Y")</f>
        <v>8137.0829999999996</v>
      </c>
      <c r="X6" s="16" cm="1">
        <f t="array" ref="X6">_xll.BDH("NUE US Equity","SALES_REV_TURN","FQ2 2024","FQ2 2024","Currency=USD","Period=FQ","BEST_FPERIOD_OVERRIDE=FQ","FILING_STATUS=MR","SCALING_FORMAT=MLN","FA_ADJUSTED=Adjusted","Sort=A","Dates=H","DateFormat=P","Fill=—","Direction=H","UseDPDF=Y")</f>
        <v>8077.1719999999996</v>
      </c>
      <c r="Y6" s="16" cm="1">
        <f t="array" ref="Y6">_xll.BDH("NUE US Equity","SALES_REV_TURN","FQ3 2024","FQ3 2024","Currency=USD","Period=FQ","BEST_FPERIOD_OVERRIDE=FQ","FILING_STATUS=MR","SCALING_FORMAT=MLN","FA_ADJUSTED=Adjusted","Sort=A","Dates=H","DateFormat=P","Fill=—","Direction=H","UseDPDF=Y")</f>
        <v>7444.16</v>
      </c>
      <c r="Z6" s="16" cm="1">
        <f t="array" ref="Z6">_xll.BDH("NUE US Equity","SALES_REV_TURN","FQ4 2024","FQ4 2024","Currency=USD","Period=FQ","BEST_FPERIOD_OVERRIDE=FQ","FILING_STATUS=MR","SCALING_FORMAT=MLN","FA_ADJUSTED=Adjusted","Sort=A","Dates=H","DateFormat=P","Fill=—","Direction=H","UseDPDF=Y")</f>
        <v>7076</v>
      </c>
      <c r="AA6" s="16" cm="1">
        <f t="array" ref="AA6">_xll.BDH("NUE US Equity","SALES_REV_TURN","FQ1 2025","FQ1 2025","Currency=USD","Period=FQ","BEST_FPERIOD_OVERRIDE=FQ","FILING_STATUS=MR","SCALING_FORMAT=MLN","FA_ADJUSTED=Adjusted","Sort=A","Dates=H","DateFormat=P","Fill=—","Direction=H","UseDPDF=Y")</f>
        <v>7830</v>
      </c>
      <c r="AB6" s="16" cm="1">
        <f t="array" ref="AB6">_xll.BDH("NUE US Equity","SALES_REV_TURN","FQ2 2025","FQ2 2025","Currency=USD","Period=FQ","BEST_FPERIOD_OVERRIDE=FQ","FILING_STATUS=MR","SCALING_FORMAT=MLN","FA_ADJUSTED=Adjusted","Sort=A","Dates=H","DateFormat=P","Fill=—","Direction=H","UseDPDF=Y")</f>
        <v>8456</v>
      </c>
      <c r="AC6" s="16" cm="1">
        <f t="array" ref="AC6">_xll.BDH("NUE US Equity","SALES_REV_TURN","FQ3 2025","FQ3 2025","Currency=USD","Period=FQ","BEST_FPERIOD_OVERRIDE=FQ","FILING_STATUS=MR","SCALING_FORMAT=MLN","FA_ADJUSTED=Adjusted","Sort=A","Dates=H","DateFormat=P","Fill=—","Direction=H","UseDPDF=Y")</f>
        <v>8521</v>
      </c>
      <c r="AD6" s="16" cm="1">
        <f t="array" ref="AD6">_xll.BDH("NUE US Equity","SALES_REV_TURN","FQ4 2025","FQ4 2025","Currency=USD","Period=FQ","BEST_FPERIOD_OVERRIDE=FQ","FILING_STATUS=MR","SCALING_FORMAT=MLN","FA_ADJUSTED=Adjusted","Sort=A","Dates=H","DateFormat=P","Fill=—","Direction=H","UseDPDF=Y")</f>
        <v>7687</v>
      </c>
      <c r="AE6" s="16">
        <v>8892.4</v>
      </c>
      <c r="AF6" s="16">
        <v>9288.2000000000007</v>
      </c>
    </row>
    <row r="7" spans="1:32" x14ac:dyDescent="0.25">
      <c r="A7" s="10" t="s">
        <v>68</v>
      </c>
      <c r="B7" s="10" t="s">
        <v>69</v>
      </c>
      <c r="C7" s="13" cm="1">
        <f t="array" ref="C7">_xll.BDH("NUE US Equity","IS_SALES_AND_SERVICES_REVENUES","FQ1 2019","FQ1 2019","Currency=USD","Period=FQ","BEST_FPERIOD_OVERRIDE=FQ","FILING_STATUS=MR","SCALING_FORMAT=MLN","FA_ADJUSTED=Adjusted","Sort=A","Dates=H","DateFormat=P","Fill=—","Direction=H","UseDPDF=Y")</f>
        <v>6096.6239999999998</v>
      </c>
      <c r="D7" s="13" cm="1">
        <f t="array" ref="D7">_xll.BDH("NUE US Equity","IS_SALES_AND_SERVICES_REVENUES","FQ2 2019","FQ2 2019","Currency=USD","Period=FQ","BEST_FPERIOD_OVERRIDE=FQ","FILING_STATUS=MR","SCALING_FORMAT=MLN","FA_ADJUSTED=Adjusted","Sort=A","Dates=H","DateFormat=P","Fill=—","Direction=H","UseDPDF=Y")</f>
        <v>5895.9859999999999</v>
      </c>
      <c r="E7" s="13" cm="1">
        <f t="array" ref="E7">_xll.BDH("NUE US Equity","IS_SALES_AND_SERVICES_REVENUES","FQ3 2019","FQ3 2019","Currency=USD","Period=FQ","BEST_FPERIOD_OVERRIDE=FQ","FILING_STATUS=MR","SCALING_FORMAT=MLN","FA_ADJUSTED=Adjusted","Sort=A","Dates=H","DateFormat=P","Fill=—","Direction=H","UseDPDF=Y")</f>
        <v>5464.5020000000004</v>
      </c>
      <c r="F7" s="13" cm="1">
        <f t="array" ref="F7">_xll.BDH("NUE US Equity","IS_SALES_AND_SERVICES_REVENUES","FQ4 2019","FQ4 2019","Currency=USD","Period=FQ","BEST_FPERIOD_OVERRIDE=FQ","FILING_STATUS=MR","SCALING_FORMAT=MLN","FA_ADJUSTED=Adjusted","Sort=A","Dates=H","DateFormat=P","Fill=—","Direction=H","UseDPDF=Y")</f>
        <v>5131.7460000000001</v>
      </c>
      <c r="G7" s="13" cm="1">
        <f t="array" ref="G7">_xll.BDH("NUE US Equity","IS_SALES_AND_SERVICES_REVENUES","FQ1 2020","FQ1 2020","Currency=USD","Period=FQ","BEST_FPERIOD_OVERRIDE=FQ","FILING_STATUS=MR","SCALING_FORMAT=MLN","FA_ADJUSTED=Adjusted","Sort=A","Dates=H","DateFormat=P","Fill=—","Direction=H","UseDPDF=Y")</f>
        <v>5624.3370000000004</v>
      </c>
      <c r="H7" s="13" cm="1">
        <f t="array" ref="H7">_xll.BDH("NUE US Equity","IS_SALES_AND_SERVICES_REVENUES","FQ2 2020","FQ2 2020","Currency=USD","Period=FQ","BEST_FPERIOD_OVERRIDE=FQ","FILING_STATUS=MR","SCALING_FORMAT=MLN","FA_ADJUSTED=Adjusted","Sort=A","Dates=H","DateFormat=P","Fill=—","Direction=H","UseDPDF=Y")</f>
        <v>4327.3059999999996</v>
      </c>
      <c r="I7" s="13" cm="1">
        <f t="array" ref="I7">_xll.BDH("NUE US Equity","IS_SALES_AND_SERVICES_REVENUES","FQ3 2020","FQ3 2020","Currency=USD","Period=FQ","BEST_FPERIOD_OVERRIDE=FQ","FILING_STATUS=MR","SCALING_FORMAT=MLN","FA_ADJUSTED=Adjusted","Sort=A","Dates=H","DateFormat=P","Fill=—","Direction=H","UseDPDF=Y")</f>
        <v>4927.96</v>
      </c>
      <c r="J7" s="13" cm="1">
        <f t="array" ref="J7">_xll.BDH("NUE US Equity","IS_SALES_AND_SERVICES_REVENUES","FQ4 2020","FQ4 2020","Currency=USD","Period=FQ","BEST_FPERIOD_OVERRIDE=FQ","FILING_STATUS=MR","SCALING_FORMAT=MLN","FA_ADJUSTED=Adjusted","Sort=A","Dates=H","DateFormat=P","Fill=—","Direction=H","UseDPDF=Y")</f>
        <v>5260.0550000000003</v>
      </c>
      <c r="K7" s="13" cm="1">
        <f t="array" ref="K7">_xll.BDH("NUE US Equity","IS_SALES_AND_SERVICES_REVENUES","FQ1 2021","FQ1 2021","Currency=USD","Period=FQ","BEST_FPERIOD_OVERRIDE=FQ","FILING_STATUS=MR","SCALING_FORMAT=MLN","FA_ADJUSTED=Adjusted","Sort=A","Dates=H","DateFormat=P","Fill=—","Direction=H","UseDPDF=Y")</f>
        <v>7017.14</v>
      </c>
      <c r="L7" s="13" cm="1">
        <f t="array" ref="L7">_xll.BDH("NUE US Equity","IS_SALES_AND_SERVICES_REVENUES","FQ2 2021","FQ2 2021","Currency=USD","Period=FQ","BEST_FPERIOD_OVERRIDE=FQ","FILING_STATUS=MR","SCALING_FORMAT=MLN","FA_ADJUSTED=Adjusted","Sort=A","Dates=H","DateFormat=P","Fill=—","Direction=H","UseDPDF=Y")</f>
        <v>8789.1640000000007</v>
      </c>
      <c r="M7" s="13" cm="1">
        <f t="array" ref="M7">_xll.BDH("NUE US Equity","IS_SALES_AND_SERVICES_REVENUES","FQ3 2021","FQ3 2021","Currency=USD","Period=FQ","BEST_FPERIOD_OVERRIDE=FQ","FILING_STATUS=MR","SCALING_FORMAT=MLN","FA_ADJUSTED=Adjusted","Sort=A","Dates=H","DateFormat=P","Fill=—","Direction=H","UseDPDF=Y")</f>
        <v>10313.223</v>
      </c>
      <c r="N7" s="13" cm="1">
        <f t="array" ref="N7">_xll.BDH("NUE US Equity","IS_SALES_AND_SERVICES_REVENUES","FQ4 2021","FQ4 2021","Currency=USD","Period=FQ","BEST_FPERIOD_OVERRIDE=FQ","FILING_STATUS=MR","SCALING_FORMAT=MLN","FA_ADJUSTED=Adjusted","Sort=A","Dates=H","DateFormat=P","Fill=—","Direction=H","UseDPDF=Y")</f>
        <v>10364.412</v>
      </c>
      <c r="O7" s="13" cm="1">
        <f t="array" ref="O7">_xll.BDH("NUE US Equity","IS_SALES_AND_SERVICES_REVENUES","FQ1 2022","FQ1 2022","Currency=USD","Period=FQ","BEST_FPERIOD_OVERRIDE=FQ","FILING_STATUS=MR","SCALING_FORMAT=MLN","FA_ADJUSTED=Adjusted","Sort=A","Dates=H","DateFormat=P","Fill=—","Direction=H","UseDPDF=Y")</f>
        <v>10493.281999999999</v>
      </c>
      <c r="P7" s="13" cm="1">
        <f t="array" ref="P7">_xll.BDH("NUE US Equity","IS_SALES_AND_SERVICES_REVENUES","FQ2 2022","FQ2 2022","Currency=USD","Period=FQ","BEST_FPERIOD_OVERRIDE=FQ","FILING_STATUS=MR","SCALING_FORMAT=MLN","FA_ADJUSTED=Adjusted","Sort=A","Dates=H","DateFormat=P","Fill=—","Direction=H","UseDPDF=Y")</f>
        <v>11794.474</v>
      </c>
      <c r="Q7" s="13" cm="1">
        <f t="array" ref="Q7">_xll.BDH("NUE US Equity","IS_SALES_AND_SERVICES_REVENUES","FQ3 2022","FQ3 2022","Currency=USD","Period=FQ","BEST_FPERIOD_OVERRIDE=FQ","FILING_STATUS=MR","SCALING_FORMAT=MLN","FA_ADJUSTED=Adjusted","Sort=A","Dates=H","DateFormat=P","Fill=—","Direction=H","UseDPDF=Y")</f>
        <v>10500.754999999999</v>
      </c>
      <c r="R7" s="13" cm="1">
        <f t="array" ref="R7">_xll.BDH("NUE US Equity","IS_SALES_AND_SERVICES_REVENUES","FQ4 2022","FQ4 2022","Currency=USD","Period=FQ","BEST_FPERIOD_OVERRIDE=FQ","FILING_STATUS=MR","SCALING_FORMAT=MLN","FA_ADJUSTED=Adjusted","Sort=A","Dates=H","DateFormat=P","Fill=—","Direction=H","UseDPDF=Y")</f>
        <v>8723.9560000000001</v>
      </c>
      <c r="S7" s="13" cm="1">
        <f t="array" ref="S7">_xll.BDH("NUE US Equity","IS_SALES_AND_SERVICES_REVENUES","FQ1 2023","FQ1 2023","Currency=USD","Period=FQ","BEST_FPERIOD_OVERRIDE=FQ","FILING_STATUS=MR","SCALING_FORMAT=MLN","FA_ADJUSTED=Adjusted","Sort=A","Dates=H","DateFormat=P","Fill=—","Direction=H","UseDPDF=Y")</f>
        <v>8709.98</v>
      </c>
      <c r="T7" s="13" cm="1">
        <f t="array" ref="T7">_xll.BDH("NUE US Equity","IS_SALES_AND_SERVICES_REVENUES","FQ2 2023","FQ2 2023","Currency=USD","Period=FQ","BEST_FPERIOD_OVERRIDE=FQ","FILING_STATUS=MR","SCALING_FORMAT=MLN","FA_ADJUSTED=Adjusted","Sort=A","Dates=H","DateFormat=P","Fill=—","Direction=H","UseDPDF=Y")</f>
        <v>9523.2559999999994</v>
      </c>
      <c r="U7" s="13" cm="1">
        <f t="array" ref="U7">_xll.BDH("NUE US Equity","IS_SALES_AND_SERVICES_REVENUES","FQ3 2023","FQ3 2023","Currency=USD","Period=FQ","BEST_FPERIOD_OVERRIDE=FQ","FILING_STATUS=MR","SCALING_FORMAT=MLN","FA_ADJUSTED=Adjusted","Sort=A","Dates=H","DateFormat=P","Fill=—","Direction=H","UseDPDF=Y")</f>
        <v>8775.7340000000004</v>
      </c>
      <c r="V7" s="13" cm="1">
        <f t="array" ref="V7">_xll.BDH("NUE US Equity","IS_SALES_AND_SERVICES_REVENUES","FQ4 2023","FQ4 2023","Currency=USD","Period=FQ","BEST_FPERIOD_OVERRIDE=FQ","FILING_STATUS=MR","SCALING_FORMAT=MLN","FA_ADJUSTED=Adjusted","Sort=A","Dates=H","DateFormat=P","Fill=—","Direction=H","UseDPDF=Y")</f>
        <v>7704.5309999999999</v>
      </c>
      <c r="W7" s="13" cm="1">
        <f t="array" ref="W7">_xll.BDH("NUE US Equity","IS_SALES_AND_SERVICES_REVENUES","FQ1 2024","FQ1 2024","Currency=USD","Period=FQ","BEST_FPERIOD_OVERRIDE=FQ","FILING_STATUS=MR","SCALING_FORMAT=MLN","FA_ADJUSTED=Adjusted","Sort=A","Dates=H","DateFormat=P","Fill=—","Direction=H","UseDPDF=Y")</f>
        <v>8137.0829999999996</v>
      </c>
      <c r="X7" s="13" cm="1">
        <f t="array" ref="X7">_xll.BDH("NUE US Equity","IS_SALES_AND_SERVICES_REVENUES","FQ2 2024","FQ2 2024","Currency=USD","Period=FQ","BEST_FPERIOD_OVERRIDE=FQ","FILING_STATUS=MR","SCALING_FORMAT=MLN","FA_ADJUSTED=Adjusted","Sort=A","Dates=H","DateFormat=P","Fill=—","Direction=H","UseDPDF=Y")</f>
        <v>8077.1719999999996</v>
      </c>
      <c r="Y7" s="13" cm="1">
        <f t="array" ref="Y7">_xll.BDH("NUE US Equity","IS_SALES_AND_SERVICES_REVENUES","FQ3 2024","FQ3 2024","Currency=USD","Period=FQ","BEST_FPERIOD_OVERRIDE=FQ","FILING_STATUS=MR","SCALING_FORMAT=MLN","FA_ADJUSTED=Adjusted","Sort=A","Dates=H","DateFormat=P","Fill=—","Direction=H","UseDPDF=Y")</f>
        <v>7444.16</v>
      </c>
      <c r="Z7" s="13" cm="1">
        <f t="array" ref="Z7">_xll.BDH("NUE US Equity","IS_SALES_AND_SERVICES_REVENUES","FQ4 2024","FQ4 2024","Currency=USD","Period=FQ","BEST_FPERIOD_OVERRIDE=FQ","FILING_STATUS=MR","SCALING_FORMAT=MLN","FA_ADJUSTED=Adjusted","Sort=A","Dates=H","DateFormat=P","Fill=—","Direction=H","UseDPDF=Y")</f>
        <v>7076</v>
      </c>
      <c r="AA7" s="13" cm="1">
        <f t="array" ref="AA7">_xll.BDH("NUE US Equity","IS_SALES_AND_SERVICES_REVENUES","FQ1 2025","FQ1 2025","Currency=USD","Period=FQ","BEST_FPERIOD_OVERRIDE=FQ","FILING_STATUS=MR","SCALING_FORMAT=MLN","FA_ADJUSTED=Adjusted","Sort=A","Dates=H","DateFormat=P","Fill=—","Direction=H","UseDPDF=Y")</f>
        <v>7830</v>
      </c>
      <c r="AB7" s="13" cm="1">
        <f t="array" ref="AB7">_xll.BDH("NUE US Equity","IS_SALES_AND_SERVICES_REVENUES","FQ2 2025","FQ2 2025","Currency=USD","Period=FQ","BEST_FPERIOD_OVERRIDE=FQ","FILING_STATUS=MR","SCALING_FORMAT=MLN","FA_ADJUSTED=Adjusted","Sort=A","Dates=H","DateFormat=P","Fill=—","Direction=H","UseDPDF=Y")</f>
        <v>8456</v>
      </c>
      <c r="AC7" s="13" cm="1">
        <f t="array" ref="AC7">_xll.BDH("NUE US Equity","IS_SALES_AND_SERVICES_REVENUES","FQ3 2025","FQ3 2025","Currency=USD","Period=FQ","BEST_FPERIOD_OVERRIDE=FQ","FILING_STATUS=MR","SCALING_FORMAT=MLN","FA_ADJUSTED=Adjusted","Sort=A","Dates=H","DateFormat=P","Fill=—","Direction=H","UseDPDF=Y")</f>
        <v>8521</v>
      </c>
      <c r="AD7" s="13" cm="1">
        <f t="array" ref="AD7">_xll.BDH("NUE US Equity","IS_SALES_AND_SERVICES_REVENUES","FQ4 2025","FQ4 2025","Currency=USD","Period=FQ","BEST_FPERIOD_OVERRIDE=FQ","FILING_STATUS=MR","SCALING_FORMAT=MLN","FA_ADJUSTED=Adjusted","Sort=A","Dates=H","DateFormat=P","Fill=—","Direction=H","UseDPDF=Y")</f>
        <v>7687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_xll.BDH("NUE US Equity","IS_COGS_TO_FE_AND_PP_AND_G","FQ1 2019","FQ1 2019","Currency=USD","Period=FQ","BEST_FPERIOD_OVERRIDE=FQ","FILING_STATUS=MR","SCALING_FORMAT=MLN","FA_ADJUSTED=Adjusted","Sort=A","Dates=H","DateFormat=P","Fill=—","Direction=H","UseDPDF=Y")</f>
        <v>5200.732</v>
      </c>
      <c r="D8" s="13" cm="1">
        <f t="array" ref="D8">_xll.BDH("NUE US Equity","IS_COGS_TO_FE_AND_PP_AND_G","FQ2 2019","FQ2 2019","Currency=USD","Period=FQ","BEST_FPERIOD_OVERRIDE=FQ","FILING_STATUS=MR","SCALING_FORMAT=MLN","FA_ADJUSTED=Adjusted","Sort=A","Dates=H","DateFormat=P","Fill=—","Direction=H","UseDPDF=Y")</f>
        <v>5120.4920000000002</v>
      </c>
      <c r="E8" s="13" cm="1">
        <f t="array" ref="E8">_xll.BDH("NUE US Equity","IS_COGS_TO_FE_AND_PP_AND_G","FQ3 2019","FQ3 2019","Currency=USD","Period=FQ","BEST_FPERIOD_OVERRIDE=FQ","FILING_STATUS=MR","SCALING_FORMAT=MLN","FA_ADJUSTED=Adjusted","Sort=A","Dates=H","DateFormat=P","Fill=—","Direction=H","UseDPDF=Y")</f>
        <v>4891.991</v>
      </c>
      <c r="F8" s="13" cm="1">
        <f t="array" ref="F8">_xll.BDH("NUE US Equity","IS_COGS_TO_FE_AND_PP_AND_G","FQ4 2019","FQ4 2019","Currency=USD","Period=FQ","BEST_FPERIOD_OVERRIDE=FQ","FILING_STATUS=MR","SCALING_FORMAT=MLN","FA_ADJUSTED=Adjusted","Sort=A","Dates=H","DateFormat=P","Fill=—","Direction=H","UseDPDF=Y")</f>
        <v>4696.558</v>
      </c>
      <c r="G8" s="13" cm="1">
        <f t="array" ref="G8">_xll.BDH("NUE US Equity","IS_COGS_TO_FE_AND_PP_AND_G","FQ1 2020","FQ1 2020","Currency=USD","Period=FQ","BEST_FPERIOD_OVERRIDE=FQ","FILING_STATUS=MR","SCALING_FORMAT=MLN","FA_ADJUSTED=Adjusted","Sort=A","Dates=H","DateFormat=P","Fill=—","Direction=H","UseDPDF=Y")</f>
        <v>4995.0690000000004</v>
      </c>
      <c r="H8" s="13" cm="1">
        <f t="array" ref="H8">_xll.BDH("NUE US Equity","IS_COGS_TO_FE_AND_PP_AND_G","FQ2 2020","FQ2 2020","Currency=USD","Period=FQ","BEST_FPERIOD_OVERRIDE=FQ","FILING_STATUS=MR","SCALING_FORMAT=MLN","FA_ADJUSTED=Adjusted","Sort=A","Dates=H","DateFormat=P","Fill=—","Direction=H","UseDPDF=Y")</f>
        <v>3949.3470000000002</v>
      </c>
      <c r="I8" s="13" cm="1">
        <f t="array" ref="I8">_xll.BDH("NUE US Equity","IS_COGS_TO_FE_AND_PP_AND_G","FQ3 2020","FQ3 2020","Currency=USD","Period=FQ","BEST_FPERIOD_OVERRIDE=FQ","FILING_STATUS=MR","SCALING_FORMAT=MLN","FA_ADJUSTED=Adjusted","Sort=A","Dates=H","DateFormat=P","Fill=—","Direction=H","UseDPDF=Y")</f>
        <v>4425.7650000000003</v>
      </c>
      <c r="J8" s="13" cm="1">
        <f t="array" ref="J8">_xll.BDH("NUE US Equity","IS_COGS_TO_FE_AND_PP_AND_G","FQ4 2020","FQ4 2020","Currency=USD","Period=FQ","BEST_FPERIOD_OVERRIDE=FQ","FILING_STATUS=MR","SCALING_FORMAT=MLN","FA_ADJUSTED=Adjusted","Sort=A","Dates=H","DateFormat=P","Fill=—","Direction=H","UseDPDF=Y")</f>
        <v>4541.527</v>
      </c>
      <c r="K8" s="13" cm="1">
        <f t="array" ref="K8">_xll.BDH("NUE US Equity","IS_COGS_TO_FE_AND_PP_AND_G","FQ1 2021","FQ1 2021","Currency=USD","Period=FQ","BEST_FPERIOD_OVERRIDE=FQ","FILING_STATUS=MR","SCALING_FORMAT=MLN","FA_ADJUSTED=Adjusted","Sort=A","Dates=H","DateFormat=P","Fill=—","Direction=H","UseDPDF=Y")</f>
        <v>5394.7030000000004</v>
      </c>
      <c r="L8" s="13" cm="1">
        <f t="array" ref="L8">_xll.BDH("NUE US Equity","IS_COGS_TO_FE_AND_PP_AND_G","FQ2 2021","FQ2 2021","Currency=USD","Period=FQ","BEST_FPERIOD_OVERRIDE=FQ","FILING_STATUS=MR","SCALING_FORMAT=MLN","FA_ADJUSTED=Adjusted","Sort=A","Dates=H","DateFormat=P","Fill=—","Direction=H","UseDPDF=Y")</f>
        <v>6315.6610000000001</v>
      </c>
      <c r="M8" s="13" cm="1">
        <f t="array" ref="M8">_xll.BDH("NUE US Equity","IS_COGS_TO_FE_AND_PP_AND_G","FQ3 2021","FQ3 2021","Currency=USD","Period=FQ","BEST_FPERIOD_OVERRIDE=FQ","FILING_STATUS=MR","SCALING_FORMAT=MLN","FA_ADJUSTED=Adjusted","Sort=A","Dates=H","DateFormat=P","Fill=—","Direction=H","UseDPDF=Y")</f>
        <v>6906.95</v>
      </c>
      <c r="N8" s="13" cm="1">
        <f t="array" ref="N8">_xll.BDH("NUE US Equity","IS_COGS_TO_FE_AND_PP_AND_G","FQ4 2021","FQ4 2021","Currency=USD","Period=FQ","BEST_FPERIOD_OVERRIDE=FQ","FILING_STATUS=MR","SCALING_FORMAT=MLN","FA_ADJUSTED=Adjusted","Sort=A","Dates=H","DateFormat=P","Fill=—","Direction=H","UseDPDF=Y")</f>
        <v>6841.2110000000002</v>
      </c>
      <c r="O8" s="13" cm="1">
        <f t="array" ref="O8">_xll.BDH("NUE US Equity","IS_COGS_TO_FE_AND_PP_AND_G","FQ1 2022","FQ1 2022","Currency=USD","Period=FQ","BEST_FPERIOD_OVERRIDE=FQ","FILING_STATUS=MR","SCALING_FORMAT=MLN","FA_ADJUSTED=Adjusted","Sort=A","Dates=H","DateFormat=P","Fill=—","Direction=H","UseDPDF=Y")</f>
        <v>7035.143</v>
      </c>
      <c r="P8" s="13" cm="1">
        <f t="array" ref="P8">_xll.BDH("NUE US Equity","IS_COGS_TO_FE_AND_PP_AND_G","FQ2 2022","FQ2 2022","Currency=USD","Period=FQ","BEST_FPERIOD_OVERRIDE=FQ","FILING_STATUS=MR","SCALING_FORMAT=MLN","FA_ADJUSTED=Adjusted","Sort=A","Dates=H","DateFormat=P","Fill=—","Direction=H","UseDPDF=Y")</f>
        <v>7690.2110000000002</v>
      </c>
      <c r="Q8" s="13" cm="1">
        <f t="array" ref="Q8">_xll.BDH("NUE US Equity","IS_COGS_TO_FE_AND_PP_AND_G","FQ3 2022","FQ3 2022","Currency=USD","Period=FQ","BEST_FPERIOD_OVERRIDE=FQ","FILING_STATUS=MR","SCALING_FORMAT=MLN","FA_ADJUSTED=Adjusted","Sort=A","Dates=H","DateFormat=P","Fill=—","Direction=H","UseDPDF=Y")</f>
        <v>7657.3639999999996</v>
      </c>
      <c r="R8" s="13" cm="1">
        <f t="array" ref="R8">_xll.BDH("NUE US Equity","IS_COGS_TO_FE_AND_PP_AND_G","FQ4 2022","FQ4 2022","Currency=USD","Period=FQ","BEST_FPERIOD_OVERRIDE=FQ","FILING_STATUS=MR","SCALING_FORMAT=MLN","FA_ADJUSTED=Adjusted","Sort=A","Dates=H","DateFormat=P","Fill=—","Direction=H","UseDPDF=Y")</f>
        <v>6626.4690000000001</v>
      </c>
      <c r="S8" s="13" cm="1">
        <f t="array" ref="S8">_xll.BDH("NUE US Equity","IS_COGS_TO_FE_AND_PP_AND_G","FQ1 2023","FQ1 2023","Currency=USD","Period=FQ","BEST_FPERIOD_OVERRIDE=FQ","FILING_STATUS=MR","SCALING_FORMAT=MLN","FA_ADJUSTED=Adjusted","Sort=A","Dates=H","DateFormat=P","Fill=—","Direction=H","UseDPDF=Y")</f>
        <v>6711.7780000000002</v>
      </c>
      <c r="T8" s="13" cm="1">
        <f t="array" ref="T8">_xll.BDH("NUE US Equity","IS_COGS_TO_FE_AND_PP_AND_G","FQ2 2023","FQ2 2023","Currency=USD","Period=FQ","BEST_FPERIOD_OVERRIDE=FQ","FILING_STATUS=MR","SCALING_FORMAT=MLN","FA_ADJUSTED=Adjusted","Sort=A","Dates=H","DateFormat=P","Fill=—","Direction=H","UseDPDF=Y")</f>
        <v>7021.5820000000003</v>
      </c>
      <c r="U8" s="13" cm="1">
        <f t="array" ref="U8">_xll.BDH("NUE US Equity","IS_COGS_TO_FE_AND_PP_AND_G","FQ3 2023","FQ3 2023","Currency=USD","Period=FQ","BEST_FPERIOD_OVERRIDE=FQ","FILING_STATUS=MR","SCALING_FORMAT=MLN","FA_ADJUSTED=Adjusted","Sort=A","Dates=H","DateFormat=P","Fill=—","Direction=H","UseDPDF=Y")</f>
        <v>6854.9340000000002</v>
      </c>
      <c r="V8" s="13" cm="1">
        <f t="array" ref="V8">_xll.BDH("NUE US Equity","IS_COGS_TO_FE_AND_PP_AND_G","FQ4 2023","FQ4 2023","Currency=USD","Period=FQ","BEST_FPERIOD_OVERRIDE=FQ","FILING_STATUS=MR","SCALING_FORMAT=MLN","FA_ADJUSTED=Adjusted","Sort=A","Dates=H","DateFormat=P","Fill=—","Direction=H","UseDPDF=Y")</f>
        <v>6310.8130000000001</v>
      </c>
      <c r="W8" s="13" cm="1">
        <f t="array" ref="W8">_xll.BDH("NUE US Equity","IS_COGS_TO_FE_AND_PP_AND_G","FQ1 2024","FQ1 2024","Currency=USD","Period=FQ","BEST_FPERIOD_OVERRIDE=FQ","FILING_STATUS=MR","SCALING_FORMAT=MLN","FA_ADJUSTED=Adjusted","Sort=A","Dates=H","DateFormat=P","Fill=—","Direction=H","UseDPDF=Y")</f>
        <v>6613.9030000000002</v>
      </c>
      <c r="X8" s="13" cm="1">
        <f t="array" ref="X8">_xll.BDH("NUE US Equity","IS_COGS_TO_FE_AND_PP_AND_G","FQ2 2024","FQ2 2024","Currency=USD","Period=FQ","BEST_FPERIOD_OVERRIDE=FQ","FILING_STATUS=MR","SCALING_FORMAT=MLN","FA_ADJUSTED=Adjusted","Sort=A","Dates=H","DateFormat=P","Fill=—","Direction=H","UseDPDF=Y")</f>
        <v>6883.1170000000002</v>
      </c>
      <c r="Y8" s="13" cm="1">
        <f t="array" ref="Y8">_xll.BDH("NUE US Equity","IS_COGS_TO_FE_AND_PP_AND_G","FQ3 2024","FQ3 2024","Currency=USD","Period=FQ","BEST_FPERIOD_OVERRIDE=FQ","FILING_STATUS=MR","SCALING_FORMAT=MLN","FA_ADJUSTED=Adjusted","Sort=A","Dates=H","DateFormat=P","Fill=—","Direction=H","UseDPDF=Y")</f>
        <v>6686.2259999999997</v>
      </c>
      <c r="Z8" s="13" cm="1">
        <f t="array" ref="Z8">_xll.BDH("NUE US Equity","IS_COGS_TO_FE_AND_PP_AND_G","FQ4 2024","FQ4 2024","Currency=USD","Period=FQ","BEST_FPERIOD_OVERRIDE=FQ","FILING_STATUS=MR","SCALING_FORMAT=MLN","FA_ADJUSTED=Adjusted","Sort=A","Dates=H","DateFormat=P","Fill=—","Direction=H","UseDPDF=Y")</f>
        <v>6449</v>
      </c>
      <c r="AA8" s="13" cm="1">
        <f t="array" ref="AA8">_xll.BDH("NUE US Equity","IS_COGS_TO_FE_AND_PP_AND_G","FQ1 2025","FQ1 2025","Currency=USD","Period=FQ","BEST_FPERIOD_OVERRIDE=FQ","FILING_STATUS=MR","SCALING_FORMAT=MLN","FA_ADJUSTED=Adjusted","Sort=A","Dates=H","DateFormat=P","Fill=—","Direction=H","UseDPDF=Y")</f>
        <v>7225</v>
      </c>
      <c r="AB8" s="13" cm="1">
        <f t="array" ref="AB8">_xll.BDH("NUE US Equity","IS_COGS_TO_FE_AND_PP_AND_G","FQ2 2025","FQ2 2025","Currency=USD","Period=FQ","BEST_FPERIOD_OVERRIDE=FQ","FILING_STATUS=MR","SCALING_FORMAT=MLN","FA_ADJUSTED=Adjusted","Sort=A","Dates=H","DateFormat=P","Fill=—","Direction=H","UseDPDF=Y")</f>
        <v>7233</v>
      </c>
      <c r="AC8" s="13" cm="1">
        <f t="array" ref="AC8">_xll.BDH("NUE US Equity","IS_COGS_TO_FE_AND_PP_AND_G","FQ3 2025","FQ3 2025","Currency=USD","Period=FQ","BEST_FPERIOD_OVERRIDE=FQ","FILING_STATUS=MR","SCALING_FORMAT=MLN","FA_ADJUSTED=Adjusted","Sort=A","Dates=H","DateFormat=P","Fill=—","Direction=H","UseDPDF=Y")</f>
        <v>7333</v>
      </c>
      <c r="AD8" s="13" cm="1">
        <f t="array" ref="AD8">_xll.BDH("NUE US Equity","IS_COGS_TO_FE_AND_PP_AND_G","FQ4 2025","FQ4 2025","Currency=USD","Period=FQ","BEST_FPERIOD_OVERRIDE=FQ","FILING_STATUS=MR","SCALING_FORMAT=MLN","FA_ADJUSTED=Adjusted","Sort=A","Dates=H","DateFormat=P","Fill=—","Direction=H","UseDPDF=Y")</f>
        <v>6825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_xll.BDH("NUE US Equity","IS_COG_AND_SERVICES_SOLD","FQ1 2019","FQ1 2019","Currency=USD","Period=FQ","BEST_FPERIOD_OVERRIDE=FQ","FILING_STATUS=MR","SCALING_FORMAT=MLN","FA_ADJUSTED=Adjusted","Sort=A","Dates=H","DateFormat=P","Fill=—","Direction=H","UseDPDF=Y")</f>
        <v>5200.732</v>
      </c>
      <c r="D9" s="13" cm="1">
        <f t="array" ref="D9">_xll.BDH("NUE US Equity","IS_COG_AND_SERVICES_SOLD","FQ2 2019","FQ2 2019","Currency=USD","Period=FQ","BEST_FPERIOD_OVERRIDE=FQ","FILING_STATUS=MR","SCALING_FORMAT=MLN","FA_ADJUSTED=Adjusted","Sort=A","Dates=H","DateFormat=P","Fill=—","Direction=H","UseDPDF=Y")</f>
        <v>5120.4920000000002</v>
      </c>
      <c r="E9" s="13" cm="1">
        <f t="array" ref="E9">_xll.BDH("NUE US Equity","IS_COG_AND_SERVICES_SOLD","FQ3 2019","FQ3 2019","Currency=USD","Period=FQ","BEST_FPERIOD_OVERRIDE=FQ","FILING_STATUS=MR","SCALING_FORMAT=MLN","FA_ADJUSTED=Adjusted","Sort=A","Dates=H","DateFormat=P","Fill=—","Direction=H","UseDPDF=Y")</f>
        <v>4891.991</v>
      </c>
      <c r="F9" s="13" cm="1">
        <f t="array" ref="F9">_xll.BDH("NUE US Equity","IS_COG_AND_SERVICES_SOLD","FQ4 2019","FQ4 2019","Currency=USD","Period=FQ","BEST_FPERIOD_OVERRIDE=FQ","FILING_STATUS=MR","SCALING_FORMAT=MLN","FA_ADJUSTED=Adjusted","Sort=A","Dates=H","DateFormat=P","Fill=—","Direction=H","UseDPDF=Y")</f>
        <v>4696.558</v>
      </c>
      <c r="G9" s="13" cm="1">
        <f t="array" ref="G9">_xll.BDH("NUE US Equity","IS_COG_AND_SERVICES_SOLD","FQ1 2020","FQ1 2020","Currency=USD","Period=FQ","BEST_FPERIOD_OVERRIDE=FQ","FILING_STATUS=MR","SCALING_FORMAT=MLN","FA_ADJUSTED=Adjusted","Sort=A","Dates=H","DateFormat=P","Fill=—","Direction=H","UseDPDF=Y")</f>
        <v>4995.0690000000004</v>
      </c>
      <c r="H9" s="13" cm="1">
        <f t="array" ref="H9">_xll.BDH("NUE US Equity","IS_COG_AND_SERVICES_SOLD","FQ2 2020","FQ2 2020","Currency=USD","Period=FQ","BEST_FPERIOD_OVERRIDE=FQ","FILING_STATUS=MR","SCALING_FORMAT=MLN","FA_ADJUSTED=Adjusted","Sort=A","Dates=H","DateFormat=P","Fill=—","Direction=H","UseDPDF=Y")</f>
        <v>3949.3470000000002</v>
      </c>
      <c r="I9" s="13" cm="1">
        <f t="array" ref="I9">_xll.BDH("NUE US Equity","IS_COG_AND_SERVICES_SOLD","FQ3 2020","FQ3 2020","Currency=USD","Period=FQ","BEST_FPERIOD_OVERRIDE=FQ","FILING_STATUS=MR","SCALING_FORMAT=MLN","FA_ADJUSTED=Adjusted","Sort=A","Dates=H","DateFormat=P","Fill=—","Direction=H","UseDPDF=Y")</f>
        <v>4425.7650000000003</v>
      </c>
      <c r="J9" s="13" cm="1">
        <f t="array" ref="J9">_xll.BDH("NUE US Equity","IS_COG_AND_SERVICES_SOLD","FQ4 2020","FQ4 2020","Currency=USD","Period=FQ","BEST_FPERIOD_OVERRIDE=FQ","FILING_STATUS=MR","SCALING_FORMAT=MLN","FA_ADJUSTED=Adjusted","Sort=A","Dates=H","DateFormat=P","Fill=—","Direction=H","UseDPDF=Y")</f>
        <v>4541.527</v>
      </c>
      <c r="K9" s="13" cm="1">
        <f t="array" ref="K9">_xll.BDH("NUE US Equity","IS_COG_AND_SERVICES_SOLD","FQ1 2021","FQ1 2021","Currency=USD","Period=FQ","BEST_FPERIOD_OVERRIDE=FQ","FILING_STATUS=MR","SCALING_FORMAT=MLN","FA_ADJUSTED=Adjusted","Sort=A","Dates=H","DateFormat=P","Fill=—","Direction=H","UseDPDF=Y")</f>
        <v>5394.7030000000004</v>
      </c>
      <c r="L9" s="13" cm="1">
        <f t="array" ref="L9">_xll.BDH("NUE US Equity","IS_COG_AND_SERVICES_SOLD","FQ2 2021","FQ2 2021","Currency=USD","Period=FQ","BEST_FPERIOD_OVERRIDE=FQ","FILING_STATUS=MR","SCALING_FORMAT=MLN","FA_ADJUSTED=Adjusted","Sort=A","Dates=H","DateFormat=P","Fill=—","Direction=H","UseDPDF=Y")</f>
        <v>6315.6610000000001</v>
      </c>
      <c r="M9" s="13" cm="1">
        <f t="array" ref="M9">_xll.BDH("NUE US Equity","IS_COG_AND_SERVICES_SOLD","FQ3 2021","FQ3 2021","Currency=USD","Period=FQ","BEST_FPERIOD_OVERRIDE=FQ","FILING_STATUS=MR","SCALING_FORMAT=MLN","FA_ADJUSTED=Adjusted","Sort=A","Dates=H","DateFormat=P","Fill=—","Direction=H","UseDPDF=Y")</f>
        <v>6906.95</v>
      </c>
      <c r="N9" s="13" cm="1">
        <f t="array" ref="N9">_xll.BDH("NUE US Equity","IS_COG_AND_SERVICES_SOLD","FQ4 2021","FQ4 2021","Currency=USD","Period=FQ","BEST_FPERIOD_OVERRIDE=FQ","FILING_STATUS=MR","SCALING_FORMAT=MLN","FA_ADJUSTED=Adjusted","Sort=A","Dates=H","DateFormat=P","Fill=—","Direction=H","UseDPDF=Y")</f>
        <v>6841.2110000000002</v>
      </c>
      <c r="O9" s="13" cm="1">
        <f t="array" ref="O9">_xll.BDH("NUE US Equity","IS_COG_AND_SERVICES_SOLD","FQ1 2022","FQ1 2022","Currency=USD","Period=FQ","BEST_FPERIOD_OVERRIDE=FQ","FILING_STATUS=MR","SCALING_FORMAT=MLN","FA_ADJUSTED=Adjusted","Sort=A","Dates=H","DateFormat=P","Fill=—","Direction=H","UseDPDF=Y")</f>
        <v>7035.143</v>
      </c>
      <c r="P9" s="13" cm="1">
        <f t="array" ref="P9">_xll.BDH("NUE US Equity","IS_COG_AND_SERVICES_SOLD","FQ2 2022","FQ2 2022","Currency=USD","Period=FQ","BEST_FPERIOD_OVERRIDE=FQ","FILING_STATUS=MR","SCALING_FORMAT=MLN","FA_ADJUSTED=Adjusted","Sort=A","Dates=H","DateFormat=P","Fill=—","Direction=H","UseDPDF=Y")</f>
        <v>7690.2110000000002</v>
      </c>
      <c r="Q9" s="13" cm="1">
        <f t="array" ref="Q9">_xll.BDH("NUE US Equity","IS_COG_AND_SERVICES_SOLD","FQ3 2022","FQ3 2022","Currency=USD","Period=FQ","BEST_FPERIOD_OVERRIDE=FQ","FILING_STATUS=MR","SCALING_FORMAT=MLN","FA_ADJUSTED=Adjusted","Sort=A","Dates=H","DateFormat=P","Fill=—","Direction=H","UseDPDF=Y")</f>
        <v>7657.3639999999996</v>
      </c>
      <c r="R9" s="13" cm="1">
        <f t="array" ref="R9">_xll.BDH("NUE US Equity","IS_COG_AND_SERVICES_SOLD","FQ4 2022","FQ4 2022","Currency=USD","Period=FQ","BEST_FPERIOD_OVERRIDE=FQ","FILING_STATUS=MR","SCALING_FORMAT=MLN","FA_ADJUSTED=Adjusted","Sort=A","Dates=H","DateFormat=P","Fill=—","Direction=H","UseDPDF=Y")</f>
        <v>6626.4690000000001</v>
      </c>
      <c r="S9" s="13" cm="1">
        <f t="array" ref="S9">_xll.BDH("NUE US Equity","IS_COG_AND_SERVICES_SOLD","FQ1 2023","FQ1 2023","Currency=USD","Period=FQ","BEST_FPERIOD_OVERRIDE=FQ","FILING_STATUS=MR","SCALING_FORMAT=MLN","FA_ADJUSTED=Adjusted","Sort=A","Dates=H","DateFormat=P","Fill=—","Direction=H","UseDPDF=Y")</f>
        <v>6711.7780000000002</v>
      </c>
      <c r="T9" s="13" cm="1">
        <f t="array" ref="T9">_xll.BDH("NUE US Equity","IS_COG_AND_SERVICES_SOLD","FQ2 2023","FQ2 2023","Currency=USD","Period=FQ","BEST_FPERIOD_OVERRIDE=FQ","FILING_STATUS=MR","SCALING_FORMAT=MLN","FA_ADJUSTED=Adjusted","Sort=A","Dates=H","DateFormat=P","Fill=—","Direction=H","UseDPDF=Y")</f>
        <v>7021.5820000000003</v>
      </c>
      <c r="U9" s="13" cm="1">
        <f t="array" ref="U9">_xll.BDH("NUE US Equity","IS_COG_AND_SERVICES_SOLD","FQ3 2023","FQ3 2023","Currency=USD","Period=FQ","BEST_FPERIOD_OVERRIDE=FQ","FILING_STATUS=MR","SCALING_FORMAT=MLN","FA_ADJUSTED=Adjusted","Sort=A","Dates=H","DateFormat=P","Fill=—","Direction=H","UseDPDF=Y")</f>
        <v>6854.9340000000002</v>
      </c>
      <c r="V9" s="13" cm="1">
        <f t="array" ref="V9">_xll.BDH("NUE US Equity","IS_COG_AND_SERVICES_SOLD","FQ4 2023","FQ4 2023","Currency=USD","Period=FQ","BEST_FPERIOD_OVERRIDE=FQ","FILING_STATUS=MR","SCALING_FORMAT=MLN","FA_ADJUSTED=Adjusted","Sort=A","Dates=H","DateFormat=P","Fill=—","Direction=H","UseDPDF=Y")</f>
        <v>6310.8130000000001</v>
      </c>
      <c r="W9" s="13" cm="1">
        <f t="array" ref="W9">_xll.BDH("NUE US Equity","IS_COG_AND_SERVICES_SOLD","FQ1 2024","FQ1 2024","Currency=USD","Period=FQ","BEST_FPERIOD_OVERRIDE=FQ","FILING_STATUS=MR","SCALING_FORMAT=MLN","FA_ADJUSTED=Adjusted","Sort=A","Dates=H","DateFormat=P","Fill=—","Direction=H","UseDPDF=Y")</f>
        <v>6613.9030000000002</v>
      </c>
      <c r="X9" s="13" cm="1">
        <f t="array" ref="X9">_xll.BDH("NUE US Equity","IS_COG_AND_SERVICES_SOLD","FQ2 2024","FQ2 2024","Currency=USD","Period=FQ","BEST_FPERIOD_OVERRIDE=FQ","FILING_STATUS=MR","SCALING_FORMAT=MLN","FA_ADJUSTED=Adjusted","Sort=A","Dates=H","DateFormat=P","Fill=—","Direction=H","UseDPDF=Y")</f>
        <v>6883.1170000000002</v>
      </c>
      <c r="Y9" s="13" cm="1">
        <f t="array" ref="Y9">_xll.BDH("NUE US Equity","IS_COG_AND_SERVICES_SOLD","FQ3 2024","FQ3 2024","Currency=USD","Period=FQ","BEST_FPERIOD_OVERRIDE=FQ","FILING_STATUS=MR","SCALING_FORMAT=MLN","FA_ADJUSTED=Adjusted","Sort=A","Dates=H","DateFormat=P","Fill=—","Direction=H","UseDPDF=Y")</f>
        <v>6686.2259999999997</v>
      </c>
      <c r="Z9" s="13" cm="1">
        <f t="array" ref="Z9">_xll.BDH("NUE US Equity","IS_COG_AND_SERVICES_SOLD","FQ4 2024","FQ4 2024","Currency=USD","Period=FQ","BEST_FPERIOD_OVERRIDE=FQ","FILING_STATUS=MR","SCALING_FORMAT=MLN","FA_ADJUSTED=Adjusted","Sort=A","Dates=H","DateFormat=P","Fill=—","Direction=H","UseDPDF=Y")</f>
        <v>6449</v>
      </c>
      <c r="AA9" s="13" cm="1">
        <f t="array" ref="AA9">_xll.BDH("NUE US Equity","IS_COG_AND_SERVICES_SOLD","FQ1 2025","FQ1 2025","Currency=USD","Period=FQ","BEST_FPERIOD_OVERRIDE=FQ","FILING_STATUS=MR","SCALING_FORMAT=MLN","FA_ADJUSTED=Adjusted","Sort=A","Dates=H","DateFormat=P","Fill=—","Direction=H","UseDPDF=Y")</f>
        <v>7225</v>
      </c>
      <c r="AB9" s="13" cm="1">
        <f t="array" ref="AB9">_xll.BDH("NUE US Equity","IS_COG_AND_SERVICES_SOLD","FQ2 2025","FQ2 2025","Currency=USD","Period=FQ","BEST_FPERIOD_OVERRIDE=FQ","FILING_STATUS=MR","SCALING_FORMAT=MLN","FA_ADJUSTED=Adjusted","Sort=A","Dates=H","DateFormat=P","Fill=—","Direction=H","UseDPDF=Y")</f>
        <v>7233</v>
      </c>
      <c r="AC9" s="13" cm="1">
        <f t="array" ref="AC9">_xll.BDH("NUE US Equity","IS_COG_AND_SERVICES_SOLD","FQ3 2025","FQ3 2025","Currency=USD","Period=FQ","BEST_FPERIOD_OVERRIDE=FQ","FILING_STATUS=MR","SCALING_FORMAT=MLN","FA_ADJUSTED=Adjusted","Sort=A","Dates=H","DateFormat=P","Fill=—","Direction=H","UseDPDF=Y")</f>
        <v>7333</v>
      </c>
      <c r="AD9" s="13" cm="1">
        <f t="array" ref="AD9">_xll.BDH("NUE US Equity","IS_COG_AND_SERVICES_SOLD","FQ4 2025","FQ4 2025","Currency=USD","Period=FQ","BEST_FPERIOD_OVERRIDE=FQ","FILING_STATUS=MR","SCALING_FORMAT=MLN","FA_ADJUSTED=Adjusted","Sort=A","Dates=H","DateFormat=P","Fill=—","Direction=H","UseDPDF=Y")</f>
        <v>6825</v>
      </c>
      <c r="AE9" s="13"/>
      <c r="AF9" s="13"/>
    </row>
    <row r="10" spans="1:32" x14ac:dyDescent="0.25">
      <c r="A10" s="6" t="s">
        <v>1</v>
      </c>
      <c r="B10" s="6" t="s">
        <v>74</v>
      </c>
      <c r="C10" s="16" cm="1">
        <f t="array" ref="C10">_xll.BDH("NUE US Equity","GROSS_PROFIT","FQ1 2019","FQ1 2019","Currency=USD","Period=FQ","BEST_FPERIOD_OVERRIDE=FQ","FILING_STATUS=MR","SCALING_FORMAT=MLN","FA_ADJUSTED=Adjusted","Sort=A","Dates=H","DateFormat=P","Fill=—","Direction=H","UseDPDF=Y")</f>
        <v>895.89200000000005</v>
      </c>
      <c r="D10" s="16" cm="1">
        <f t="array" ref="D10">_xll.BDH("NUE US Equity","GROSS_PROFIT","FQ2 2019","FQ2 2019","Currency=USD","Period=FQ","BEST_FPERIOD_OVERRIDE=FQ","FILING_STATUS=MR","SCALING_FORMAT=MLN","FA_ADJUSTED=Adjusted","Sort=A","Dates=H","DateFormat=P","Fill=—","Direction=H","UseDPDF=Y")</f>
        <v>775.49400000000003</v>
      </c>
      <c r="E10" s="16" cm="1">
        <f t="array" ref="E10">_xll.BDH("NUE US Equity","GROSS_PROFIT","FQ3 2019","FQ3 2019","Currency=USD","Period=FQ","BEST_FPERIOD_OVERRIDE=FQ","FILING_STATUS=MR","SCALING_FORMAT=MLN","FA_ADJUSTED=Adjusted","Sort=A","Dates=H","DateFormat=P","Fill=—","Direction=H","UseDPDF=Y")</f>
        <v>572.51099999999997</v>
      </c>
      <c r="F10" s="16" cm="1">
        <f t="array" ref="F10">_xll.BDH("NUE US Equity","GROSS_PROFIT","FQ4 2019","FQ4 2019","Currency=USD","Period=FQ","BEST_FPERIOD_OVERRIDE=FQ","FILING_STATUS=MR","SCALING_FORMAT=MLN","FA_ADJUSTED=Adjusted","Sort=A","Dates=H","DateFormat=P","Fill=—","Direction=H","UseDPDF=Y")</f>
        <v>435.18799999999999</v>
      </c>
      <c r="G10" s="16" cm="1">
        <f t="array" ref="G10">_xll.BDH("NUE US Equity","GROSS_PROFIT","FQ1 2020","FQ1 2020","Currency=USD","Period=FQ","BEST_FPERIOD_OVERRIDE=FQ","FILING_STATUS=MR","SCALING_FORMAT=MLN","FA_ADJUSTED=Adjusted","Sort=A","Dates=H","DateFormat=P","Fill=—","Direction=H","UseDPDF=Y")</f>
        <v>629.26800000000003</v>
      </c>
      <c r="H10" s="16" cm="1">
        <f t="array" ref="H10">_xll.BDH("NUE US Equity","GROSS_PROFIT","FQ2 2020","FQ2 2020","Currency=USD","Period=FQ","BEST_FPERIOD_OVERRIDE=FQ","FILING_STATUS=MR","SCALING_FORMAT=MLN","FA_ADJUSTED=Adjusted","Sort=A","Dates=H","DateFormat=P","Fill=—","Direction=H","UseDPDF=Y")</f>
        <v>377.959</v>
      </c>
      <c r="I10" s="16" cm="1">
        <f t="array" ref="I10">_xll.BDH("NUE US Equity","GROSS_PROFIT","FQ3 2020","FQ3 2020","Currency=USD","Period=FQ","BEST_FPERIOD_OVERRIDE=FQ","FILING_STATUS=MR","SCALING_FORMAT=MLN","FA_ADJUSTED=Adjusted","Sort=A","Dates=H","DateFormat=P","Fill=—","Direction=H","UseDPDF=Y")</f>
        <v>502.19499999999999</v>
      </c>
      <c r="J10" s="16" cm="1">
        <f t="array" ref="J10">_xll.BDH("NUE US Equity","GROSS_PROFIT","FQ4 2020","FQ4 2020","Currency=USD","Period=FQ","BEST_FPERIOD_OVERRIDE=FQ","FILING_STATUS=MR","SCALING_FORMAT=MLN","FA_ADJUSTED=Adjusted","Sort=A","Dates=H","DateFormat=P","Fill=—","Direction=H","UseDPDF=Y")</f>
        <v>718.52800000000002</v>
      </c>
      <c r="K10" s="16" cm="1">
        <f t="array" ref="K10">_xll.BDH("NUE US Equity","GROSS_PROFIT","FQ1 2021","FQ1 2021","Currency=USD","Period=FQ","BEST_FPERIOD_OVERRIDE=FQ","FILING_STATUS=MR","SCALING_FORMAT=MLN","FA_ADJUSTED=Adjusted","Sort=A","Dates=H","DateFormat=P","Fill=—","Direction=H","UseDPDF=Y")</f>
        <v>1622.4369999999999</v>
      </c>
      <c r="L10" s="16" cm="1">
        <f t="array" ref="L10">_xll.BDH("NUE US Equity","GROSS_PROFIT","FQ2 2021","FQ2 2021","Currency=USD","Period=FQ","BEST_FPERIOD_OVERRIDE=FQ","FILING_STATUS=MR","SCALING_FORMAT=MLN","FA_ADJUSTED=Adjusted","Sort=A","Dates=H","DateFormat=P","Fill=—","Direction=H","UseDPDF=Y")</f>
        <v>2473.5030000000002</v>
      </c>
      <c r="M10" s="16" cm="1">
        <f t="array" ref="M10">_xll.BDH("NUE US Equity","GROSS_PROFIT","FQ3 2021","FQ3 2021","Currency=USD","Period=FQ","BEST_FPERIOD_OVERRIDE=FQ","FILING_STATUS=MR","SCALING_FORMAT=MLN","FA_ADJUSTED=Adjusted","Sort=A","Dates=H","DateFormat=P","Fill=—","Direction=H","UseDPDF=Y")</f>
        <v>3406.2730000000001</v>
      </c>
      <c r="N10" s="16" cm="1">
        <f t="array" ref="N10">_xll.BDH("NUE US Equity","GROSS_PROFIT","FQ4 2021","FQ4 2021","Currency=USD","Period=FQ","BEST_FPERIOD_OVERRIDE=FQ","FILING_STATUS=MR","SCALING_FORMAT=MLN","FA_ADJUSTED=Adjusted","Sort=A","Dates=H","DateFormat=P","Fill=—","Direction=H","UseDPDF=Y")</f>
        <v>3523.201</v>
      </c>
      <c r="O10" s="16" cm="1">
        <f t="array" ref="O10">_xll.BDH("NUE US Equity","GROSS_PROFIT","FQ1 2022","FQ1 2022","Currency=USD","Period=FQ","BEST_FPERIOD_OVERRIDE=FQ","FILING_STATUS=MR","SCALING_FORMAT=MLN","FA_ADJUSTED=Adjusted","Sort=A","Dates=H","DateFormat=P","Fill=—","Direction=H","UseDPDF=Y")</f>
        <v>3458.1390000000001</v>
      </c>
      <c r="P10" s="16" cm="1">
        <f t="array" ref="P10">_xll.BDH("NUE US Equity","GROSS_PROFIT","FQ2 2022","FQ2 2022","Currency=USD","Period=FQ","BEST_FPERIOD_OVERRIDE=FQ","FILING_STATUS=MR","SCALING_FORMAT=MLN","FA_ADJUSTED=Adjusted","Sort=A","Dates=H","DateFormat=P","Fill=—","Direction=H","UseDPDF=Y")</f>
        <v>4104.2629999999999</v>
      </c>
      <c r="Q10" s="16" cm="1">
        <f t="array" ref="Q10">_xll.BDH("NUE US Equity","GROSS_PROFIT","FQ3 2022","FQ3 2022","Currency=USD","Period=FQ","BEST_FPERIOD_OVERRIDE=FQ","FILING_STATUS=MR","SCALING_FORMAT=MLN","FA_ADJUSTED=Adjusted","Sort=A","Dates=H","DateFormat=P","Fill=—","Direction=H","UseDPDF=Y")</f>
        <v>2843.3910000000001</v>
      </c>
      <c r="R10" s="16" cm="1">
        <f t="array" ref="R10">_xll.BDH("NUE US Equity","GROSS_PROFIT","FQ4 2022","FQ4 2022","Currency=USD","Period=FQ","BEST_FPERIOD_OVERRIDE=FQ","FILING_STATUS=MR","SCALING_FORMAT=MLN","FA_ADJUSTED=Adjusted","Sort=A","Dates=H","DateFormat=P","Fill=—","Direction=H","UseDPDF=Y")</f>
        <v>2097.4870000000001</v>
      </c>
      <c r="S10" s="16" cm="1">
        <f t="array" ref="S10">_xll.BDH("NUE US Equity","GROSS_PROFIT","FQ1 2023","FQ1 2023","Currency=USD","Period=FQ","BEST_FPERIOD_OVERRIDE=FQ","FILING_STATUS=MR","SCALING_FORMAT=MLN","FA_ADJUSTED=Adjusted","Sort=A","Dates=H","DateFormat=P","Fill=—","Direction=H","UseDPDF=Y")</f>
        <v>1998.202</v>
      </c>
      <c r="T10" s="16" cm="1">
        <f t="array" ref="T10">_xll.BDH("NUE US Equity","GROSS_PROFIT","FQ2 2023","FQ2 2023","Currency=USD","Period=FQ","BEST_FPERIOD_OVERRIDE=FQ","FILING_STATUS=MR","SCALING_FORMAT=MLN","FA_ADJUSTED=Adjusted","Sort=A","Dates=H","DateFormat=P","Fill=—","Direction=H","UseDPDF=Y")</f>
        <v>2501.674</v>
      </c>
      <c r="U10" s="16" cm="1">
        <f t="array" ref="U10">_xll.BDH("NUE US Equity","GROSS_PROFIT","FQ3 2023","FQ3 2023","Currency=USD","Period=FQ","BEST_FPERIOD_OVERRIDE=FQ","FILING_STATUS=MR","SCALING_FORMAT=MLN","FA_ADJUSTED=Adjusted","Sort=A","Dates=H","DateFormat=P","Fill=—","Direction=H","UseDPDF=Y")</f>
        <v>1920.8</v>
      </c>
      <c r="V10" s="16" cm="1">
        <f t="array" ref="V10">_xll.BDH("NUE US Equity","GROSS_PROFIT","FQ4 2023","FQ4 2023","Currency=USD","Period=FQ","BEST_FPERIOD_OVERRIDE=FQ","FILING_STATUS=MR","SCALING_FORMAT=MLN","FA_ADJUSTED=Adjusted","Sort=A","Dates=H","DateFormat=P","Fill=—","Direction=H","UseDPDF=Y")</f>
        <v>1393.7180000000001</v>
      </c>
      <c r="W10" s="16" cm="1">
        <f t="array" ref="W10">_xll.BDH("NUE US Equity","GROSS_PROFIT","FQ1 2024","FQ1 2024","Currency=USD","Period=FQ","BEST_FPERIOD_OVERRIDE=FQ","FILING_STATUS=MR","SCALING_FORMAT=MLN","FA_ADJUSTED=Adjusted","Sort=A","Dates=H","DateFormat=P","Fill=—","Direction=H","UseDPDF=Y")</f>
        <v>1523.18</v>
      </c>
      <c r="X10" s="16" cm="1">
        <f t="array" ref="X10">_xll.BDH("NUE US Equity","GROSS_PROFIT","FQ2 2024","FQ2 2024","Currency=USD","Period=FQ","BEST_FPERIOD_OVERRIDE=FQ","FILING_STATUS=MR","SCALING_FORMAT=MLN","FA_ADJUSTED=Adjusted","Sort=A","Dates=H","DateFormat=P","Fill=—","Direction=H","UseDPDF=Y")</f>
        <v>1194.0550000000001</v>
      </c>
      <c r="Y10" s="16" cm="1">
        <f t="array" ref="Y10">_xll.BDH("NUE US Equity","GROSS_PROFIT","FQ3 2024","FQ3 2024","Currency=USD","Period=FQ","BEST_FPERIOD_OVERRIDE=FQ","FILING_STATUS=MR","SCALING_FORMAT=MLN","FA_ADJUSTED=Adjusted","Sort=A","Dates=H","DateFormat=P","Fill=—","Direction=H","UseDPDF=Y")</f>
        <v>757.93399999999997</v>
      </c>
      <c r="Z10" s="16" cm="1">
        <f t="array" ref="Z10">_xll.BDH("NUE US Equity","GROSS_PROFIT","FQ4 2024","FQ4 2024","Currency=USD","Period=FQ","BEST_FPERIOD_OVERRIDE=FQ","FILING_STATUS=MR","SCALING_FORMAT=MLN","FA_ADJUSTED=Adjusted","Sort=A","Dates=H","DateFormat=P","Fill=—","Direction=H","UseDPDF=Y")</f>
        <v>627</v>
      </c>
      <c r="AA10" s="16" cm="1">
        <f t="array" ref="AA10">_xll.BDH("NUE US Equity","GROSS_PROFIT","FQ1 2025","FQ1 2025","Currency=USD","Period=FQ","BEST_FPERIOD_OVERRIDE=FQ","FILING_STATUS=MR","SCALING_FORMAT=MLN","FA_ADJUSTED=Adjusted","Sort=A","Dates=H","DateFormat=P","Fill=—","Direction=H","UseDPDF=Y")</f>
        <v>605</v>
      </c>
      <c r="AB10" s="16" cm="1">
        <f t="array" ref="AB10">_xll.BDH("NUE US Equity","GROSS_PROFIT","FQ2 2025","FQ2 2025","Currency=USD","Period=FQ","BEST_FPERIOD_OVERRIDE=FQ","FILING_STATUS=MR","SCALING_FORMAT=MLN","FA_ADJUSTED=Adjusted","Sort=A","Dates=H","DateFormat=P","Fill=—","Direction=H","UseDPDF=Y")</f>
        <v>1223</v>
      </c>
      <c r="AC10" s="16" cm="1">
        <f t="array" ref="AC10">_xll.BDH("NUE US Equity","GROSS_PROFIT","FQ3 2025","FQ3 2025","Currency=USD","Period=FQ","BEST_FPERIOD_OVERRIDE=FQ","FILING_STATUS=MR","SCALING_FORMAT=MLN","FA_ADJUSTED=Adjusted","Sort=A","Dates=H","DateFormat=P","Fill=—","Direction=H","UseDPDF=Y")</f>
        <v>1188</v>
      </c>
      <c r="AD10" s="16" cm="1">
        <f t="array" ref="AD10">_xll.BDH("NUE US Equity","GROSS_PROFIT","FQ4 2025","FQ4 2025","Currency=USD","Period=FQ","BEST_FPERIOD_OVERRIDE=FQ","FILING_STATUS=MR","SCALING_FORMAT=MLN","FA_ADJUSTED=Adjusted","Sort=A","Dates=H","DateFormat=P","Fill=—","Direction=H","UseDPDF=Y")</f>
        <v>862</v>
      </c>
      <c r="AE10" s="16">
        <v>1385.524844</v>
      </c>
      <c r="AF10" s="16">
        <v>1542.212728</v>
      </c>
    </row>
    <row r="11" spans="1:32" x14ac:dyDescent="0.25">
      <c r="A11" s="10" t="s">
        <v>75</v>
      </c>
      <c r="B11" s="10" t="s">
        <v>76</v>
      </c>
      <c r="C11" s="13" cm="1">
        <f t="array" ref="C11">_xll.BDH("NUE US Equity","IS_OTHER_OPER_INC","FQ1 2019","FQ1 2019","Currency=USD","Period=FQ","BEST_FPERIOD_OVERRIDE=FQ","FILING_STATUS=MR","SCALING_FORMAT=MLN","FA_ADJUSTED=Adjusted","Sort=A","Dates=H","DateFormat=P","Fill=—","Direction=H","UseDPDF=Y")</f>
        <v>0</v>
      </c>
      <c r="D11" s="13" cm="1">
        <f t="array" ref="D11">_xll.BDH("NUE US Equity","IS_OTHER_OPER_INC","FQ2 2019","FQ2 2019","Currency=USD","Period=FQ","BEST_FPERIOD_OVERRIDE=FQ","FILING_STATUS=MR","SCALING_FORMAT=MLN","FA_ADJUSTED=Adjusted","Sort=A","Dates=H","DateFormat=P","Fill=—","Direction=H","UseDPDF=Y")</f>
        <v>0</v>
      </c>
      <c r="E11" s="13" cm="1">
        <f t="array" ref="E11">_xll.BDH("NUE US Equity","IS_OTHER_OPER_INC","FQ3 2019","FQ3 2019","Currency=USD","Period=FQ","BEST_FPERIOD_OVERRIDE=FQ","FILING_STATUS=MR","SCALING_FORMAT=MLN","FA_ADJUSTED=Adjusted","Sort=A","Dates=H","DateFormat=P","Fill=—","Direction=H","UseDPDF=Y")</f>
        <v>0</v>
      </c>
      <c r="F11" s="13" cm="1">
        <f t="array" ref="F11">_xll.BDH("NUE US Equity","IS_OTHER_OPER_INC","FQ4 2019","FQ4 2019","Currency=USD","Period=FQ","BEST_FPERIOD_OVERRIDE=FQ","FILING_STATUS=MR","SCALING_FORMAT=MLN","FA_ADJUSTED=Adjusted","Sort=A","Dates=H","DateFormat=P","Fill=—","Direction=H","UseDPDF=Y")</f>
        <v>0</v>
      </c>
      <c r="G11" s="13" cm="1">
        <f t="array" ref="G11">_xll.BDH("NUE US Equity","IS_OTHER_OPER_INC","FQ1 2020","FQ1 2020","Currency=USD","Period=FQ","BEST_FPERIOD_OVERRIDE=FQ","FILING_STATUS=MR","SCALING_FORMAT=MLN","FA_ADJUSTED=Adjusted","Sort=A","Dates=H","DateFormat=P","Fill=—","Direction=H","UseDPDF=Y")</f>
        <v>0</v>
      </c>
      <c r="H11" s="13" cm="1">
        <f t="array" ref="H11">_xll.BDH("NUE US Equity","IS_OTHER_OPER_INC","FQ2 2020","FQ2 2020","Currency=USD","Period=FQ","BEST_FPERIOD_OVERRIDE=FQ","FILING_STATUS=MR","SCALING_FORMAT=MLN","FA_ADJUSTED=Adjusted","Sort=A","Dates=H","DateFormat=P","Fill=—","Direction=H","UseDPDF=Y")</f>
        <v>0</v>
      </c>
      <c r="I11" s="13" cm="1">
        <f t="array" ref="I11">_xll.BDH("NUE US Equity","IS_OTHER_OPER_INC","FQ3 2020","FQ3 2020","Currency=USD","Period=FQ","BEST_FPERIOD_OVERRIDE=FQ","FILING_STATUS=MR","SCALING_FORMAT=MLN","FA_ADJUSTED=Adjusted","Sort=A","Dates=H","DateFormat=P","Fill=—","Direction=H","UseDPDF=Y")</f>
        <v>0</v>
      </c>
      <c r="J11" s="13" cm="1">
        <f t="array" ref="J11">_xll.BDH("NUE US Equity","IS_OTHER_OPER_INC","FQ4 2020","FQ4 2020","Currency=USD","Period=FQ","BEST_FPERIOD_OVERRIDE=FQ","FILING_STATUS=MR","SCALING_FORMAT=MLN","FA_ADJUSTED=Adjusted","Sort=A","Dates=H","DateFormat=P","Fill=—","Direction=H","UseDPDF=Y")</f>
        <v>0</v>
      </c>
      <c r="K11" s="13" cm="1">
        <f t="array" ref="K11">_xll.BDH("NUE US Equity","IS_OTHER_OPER_INC","FQ1 2021","FQ1 2021","Currency=USD","Period=FQ","BEST_FPERIOD_OVERRIDE=FQ","FILING_STATUS=MR","SCALING_FORMAT=MLN","FA_ADJUSTED=Adjusted","Sort=A","Dates=H","DateFormat=P","Fill=—","Direction=H","UseDPDF=Y")</f>
        <v>0</v>
      </c>
      <c r="L11" s="13" cm="1">
        <f t="array" ref="L11">_xll.BDH("NUE US Equity","IS_OTHER_OPER_INC","FQ2 2021","FQ2 2021","Currency=USD","Period=FQ","BEST_FPERIOD_OVERRIDE=FQ","FILING_STATUS=MR","SCALING_FORMAT=MLN","FA_ADJUSTED=Adjusted","Sort=A","Dates=H","DateFormat=P","Fill=—","Direction=H","UseDPDF=Y")</f>
        <v>0</v>
      </c>
      <c r="M11" s="13" cm="1">
        <f t="array" ref="M11">_xll.BDH("NUE US Equity","IS_OTHER_OPER_INC","FQ3 2021","FQ3 2021","Currency=USD","Period=FQ","BEST_FPERIOD_OVERRIDE=FQ","FILING_STATUS=MR","SCALING_FORMAT=MLN","FA_ADJUSTED=Adjusted","Sort=A","Dates=H","DateFormat=P","Fill=—","Direction=H","UseDPDF=Y")</f>
        <v>0</v>
      </c>
      <c r="N11" s="13" cm="1">
        <f t="array" ref="N11">_xll.BDH("NUE US Equity","IS_OTHER_OPER_INC","FQ4 2021","FQ4 2021","Currency=USD","Period=FQ","BEST_FPERIOD_OVERRIDE=FQ","FILING_STATUS=MR","SCALING_FORMAT=MLN","FA_ADJUSTED=Adjusted","Sort=A","Dates=H","DateFormat=P","Fill=—","Direction=H","UseDPDF=Y")</f>
        <v>0</v>
      </c>
      <c r="O11" s="13" cm="1">
        <f t="array" ref="O11">_xll.BDH("NUE US Equity","IS_OTHER_OPER_INC","FQ1 2022","FQ1 2022","Currency=USD","Period=FQ","BEST_FPERIOD_OVERRIDE=FQ","FILING_STATUS=MR","SCALING_FORMAT=MLN","FA_ADJUSTED=Adjusted","Sort=A","Dates=H","DateFormat=P","Fill=—","Direction=H","UseDPDF=Y")</f>
        <v>0</v>
      </c>
      <c r="P11" s="13" cm="1">
        <f t="array" ref="P11">_xll.BDH("NUE US Equity","IS_OTHER_OPER_INC","FQ2 2022","FQ2 2022","Currency=USD","Period=FQ","BEST_FPERIOD_OVERRIDE=FQ","FILING_STATUS=MR","SCALING_FORMAT=MLN","FA_ADJUSTED=Adjusted","Sort=A","Dates=H","DateFormat=P","Fill=—","Direction=H","UseDPDF=Y")</f>
        <v>0</v>
      </c>
      <c r="Q11" s="13" cm="1">
        <f t="array" ref="Q11">_xll.BDH("NUE US Equity","IS_OTHER_OPER_INC","FQ3 2022","FQ3 2022","Currency=USD","Period=FQ","BEST_FPERIOD_OVERRIDE=FQ","FILING_STATUS=MR","SCALING_FORMAT=MLN","FA_ADJUSTED=Adjusted","Sort=A","Dates=H","DateFormat=P","Fill=—","Direction=H","UseDPDF=Y")</f>
        <v>0</v>
      </c>
      <c r="R11" s="13" cm="1">
        <f t="array" ref="R11">_xll.BDH("NUE US Equity","IS_OTHER_OPER_INC","FQ4 2022","FQ4 2022","Currency=USD","Period=FQ","BEST_FPERIOD_OVERRIDE=FQ","FILING_STATUS=MR","SCALING_FORMAT=MLN","FA_ADJUSTED=Adjusted","Sort=A","Dates=H","DateFormat=P","Fill=—","Direction=H","UseDPDF=Y")</f>
        <v>0</v>
      </c>
      <c r="S11" s="13" cm="1">
        <f t="array" ref="S11">_xll.BDH("NUE US Equity","IS_OTHER_OPER_INC","FQ1 2023","FQ1 2023","Currency=USD","Period=FQ","BEST_FPERIOD_OVERRIDE=FQ","FILING_STATUS=MR","SCALING_FORMAT=MLN","FA_ADJUSTED=Adjusted","Sort=A","Dates=H","DateFormat=P","Fill=—","Direction=H","UseDPDF=Y")</f>
        <v>0</v>
      </c>
      <c r="T11" s="13" cm="1">
        <f t="array" ref="T11">_xll.BDH("NUE US Equity","IS_OTHER_OPER_INC","FQ2 2023","FQ2 2023","Currency=USD","Period=FQ","BEST_FPERIOD_OVERRIDE=FQ","FILING_STATUS=MR","SCALING_FORMAT=MLN","FA_ADJUSTED=Adjusted","Sort=A","Dates=H","DateFormat=P","Fill=—","Direction=H","UseDPDF=Y")</f>
        <v>0</v>
      </c>
      <c r="U11" s="13" cm="1">
        <f t="array" ref="U11">_xll.BDH("NUE US Equity","IS_OTHER_OPER_INC","FQ3 2023","FQ3 2023","Currency=USD","Period=FQ","BEST_FPERIOD_OVERRIDE=FQ","FILING_STATUS=MR","SCALING_FORMAT=MLN","FA_ADJUSTED=Adjusted","Sort=A","Dates=H","DateFormat=P","Fill=—","Direction=H","UseDPDF=Y")</f>
        <v>0</v>
      </c>
      <c r="V11" s="13" cm="1">
        <f t="array" ref="V11">_xll.BDH("NUE US Equity","IS_OTHER_OPER_INC","FQ4 2023","FQ4 2023","Currency=USD","Period=FQ","BEST_FPERIOD_OVERRIDE=FQ","FILING_STATUS=MR","SCALING_FORMAT=MLN","FA_ADJUSTED=Adjusted","Sort=A","Dates=H","DateFormat=P","Fill=—","Direction=H","UseDPDF=Y")</f>
        <v>0</v>
      </c>
      <c r="W11" s="13" cm="1">
        <f t="array" ref="W11">_xll.BDH("NUE US Equity","IS_OTHER_OPER_INC","FQ1 2024","FQ1 2024","Currency=USD","Period=FQ","BEST_FPERIOD_OVERRIDE=FQ","FILING_STATUS=MR","SCALING_FORMAT=MLN","FA_ADJUSTED=Adjusted","Sort=A","Dates=H","DateFormat=P","Fill=—","Direction=H","UseDPDF=Y")</f>
        <v>0</v>
      </c>
      <c r="X11" s="13" cm="1">
        <f t="array" ref="X11">_xll.BDH("NUE US Equity","IS_OTHER_OPER_INC","FQ2 2024","FQ2 2024","Currency=USD","Period=FQ","BEST_FPERIOD_OVERRIDE=FQ","FILING_STATUS=MR","SCALING_FORMAT=MLN","FA_ADJUSTED=Adjusted","Sort=A","Dates=H","DateFormat=P","Fill=—","Direction=H","UseDPDF=Y")</f>
        <v>0</v>
      </c>
      <c r="Y11" s="13" cm="1">
        <f t="array" ref="Y11">_xll.BDH("NUE US Equity","IS_OTHER_OPER_INC","FQ3 2024","FQ3 2024","Currency=USD","Period=FQ","BEST_FPERIOD_OVERRIDE=FQ","FILING_STATUS=MR","SCALING_FORMAT=MLN","FA_ADJUSTED=Adjusted","Sort=A","Dates=H","DateFormat=P","Fill=—","Direction=H","UseDPDF=Y")</f>
        <v>0</v>
      </c>
      <c r="Z11" s="13" cm="1">
        <f t="array" ref="Z11">_xll.BDH("NUE US Equity","IS_OTHER_OPER_INC","FQ4 2024","FQ4 2024","Currency=USD","Period=FQ","BEST_FPERIOD_OVERRIDE=FQ","FILING_STATUS=MR","SCALING_FORMAT=MLN","FA_ADJUSTED=Adjusted","Sort=A","Dates=H","DateFormat=P","Fill=—","Direction=H","UseDPDF=Y")</f>
        <v>0</v>
      </c>
      <c r="AA11" s="13" cm="1">
        <f t="array" ref="AA11">_xll.BDH("NUE US Equity","IS_OTHER_OPER_INC","FQ1 2025","FQ1 2025","Currency=USD","Period=FQ","BEST_FPERIOD_OVERRIDE=FQ","FILING_STATUS=MR","SCALING_FORMAT=MLN","FA_ADJUSTED=Adjusted","Sort=A","Dates=H","DateFormat=P","Fill=—","Direction=H","UseDPDF=Y")</f>
        <v>0</v>
      </c>
      <c r="AB11" s="13" cm="1">
        <f t="array" ref="AB11">_xll.BDH("NUE US Equity","IS_OTHER_OPER_INC","FQ2 2025","FQ2 2025","Currency=USD","Period=FQ","BEST_FPERIOD_OVERRIDE=FQ","FILING_STATUS=MR","SCALING_FORMAT=MLN","FA_ADJUSTED=Adjusted","Sort=A","Dates=H","DateFormat=P","Fill=—","Direction=H","UseDPDF=Y")</f>
        <v>0</v>
      </c>
      <c r="AC11" s="13" cm="1">
        <f t="array" ref="AC11">_xll.BDH("NUE US Equity","IS_OTHER_OPER_INC","FQ3 2025","FQ3 2025","Currency=USD","Period=FQ","BEST_FPERIOD_OVERRIDE=FQ","FILING_STATUS=MR","SCALING_FORMAT=MLN","FA_ADJUSTED=Adjusted","Sort=A","Dates=H","DateFormat=P","Fill=—","Direction=H","UseDPDF=Y")</f>
        <v>0</v>
      </c>
      <c r="AD11" s="13" cm="1">
        <f t="array" ref="AD11">_xll.BDH("NUE US Equity","IS_OTHER_OPER_INC","FQ4 2025","FQ4 2025","Currency=USD","Period=FQ","BEST_FPERIOD_OVERRIDE=FQ","FILING_STATUS=MR","SCALING_FORMAT=MLN","FA_ADJUSTED=Adjusted","Sort=A","Dates=H","DateFormat=P","Fill=—","Direction=H","UseDPDF=Y")</f>
        <v>0</v>
      </c>
      <c r="AE11" s="13"/>
      <c r="AF11" s="13"/>
    </row>
    <row r="12" spans="1:32" x14ac:dyDescent="0.25">
      <c r="A12" s="10" t="s">
        <v>77</v>
      </c>
      <c r="B12" s="10" t="s">
        <v>78</v>
      </c>
      <c r="C12" s="13" cm="1">
        <f t="array" ref="C12">_xll.BDH("NUE US Equity","IS_OPERATING_EXPN","FQ1 2019","FQ1 2019","Currency=USD","Period=FQ","BEST_FPERIOD_OVERRIDE=FQ","FILING_STATUS=MR","SCALING_FORMAT=MLN","FA_ADJUSTED=Adjusted","Sort=A","Dates=H","DateFormat=P","Fill=—","Direction=H","UseDPDF=Y")</f>
        <v>180.739</v>
      </c>
      <c r="D12" s="13" cm="1">
        <f t="array" ref="D12">_xll.BDH("NUE US Equity","IS_OPERATING_EXPN","FQ2 2019","FQ2 2019","Currency=USD","Period=FQ","BEST_FPERIOD_OVERRIDE=FQ","FILING_STATUS=MR","SCALING_FORMAT=MLN","FA_ADJUSTED=Adjusted","Sort=A","Dates=H","DateFormat=P","Fill=—","Direction=H","UseDPDF=Y")</f>
        <v>188.48</v>
      </c>
      <c r="E12" s="13" cm="1">
        <f t="array" ref="E12">_xll.BDH("NUE US Equity","IS_OPERATING_EXPN","FQ3 2019","FQ3 2019","Currency=USD","Period=FQ","BEST_FPERIOD_OVERRIDE=FQ","FILING_STATUS=MR","SCALING_FORMAT=MLN","FA_ADJUSTED=Adjusted","Sort=A","Dates=H","DateFormat=P","Fill=—","Direction=H","UseDPDF=Y")</f>
        <v>131.30099999999999</v>
      </c>
      <c r="F12" s="13" cm="1">
        <f t="array" ref="F12">_xll.BDH("NUE US Equity","IS_OPERATING_EXPN","FQ4 2019","FQ4 2019","Currency=USD","Period=FQ","BEST_FPERIOD_OVERRIDE=FQ","FILING_STATUS=MR","SCALING_FORMAT=MLN","FA_ADJUSTED=Adjusted","Sort=A","Dates=H","DateFormat=P","Fill=—","Direction=H","UseDPDF=Y")</f>
        <v>127.22799999999999</v>
      </c>
      <c r="G12" s="13" cm="1">
        <f t="array" ref="G12">_xll.BDH("NUE US Equity","IS_OPERATING_EXPN","FQ1 2020","FQ1 2020","Currency=USD","Period=FQ","BEST_FPERIOD_OVERRIDE=FQ","FILING_STATUS=MR","SCALING_FORMAT=MLN","FA_ADJUSTED=Adjusted","Sort=A","Dates=H","DateFormat=P","Fill=—","Direction=H","UseDPDF=Y")</f>
        <v>124.392</v>
      </c>
      <c r="H12" s="13" cm="1">
        <f t="array" ref="H12">_xll.BDH("NUE US Equity","IS_OPERATING_EXPN","FQ2 2020","FQ2 2020","Currency=USD","Period=FQ","BEST_FPERIOD_OVERRIDE=FQ","FILING_STATUS=MR","SCALING_FORMAT=MLN","FA_ADJUSTED=Adjusted","Sort=A","Dates=H","DateFormat=P","Fill=—","Direction=H","UseDPDF=Y")</f>
        <v>120.017</v>
      </c>
      <c r="I12" s="13" cm="1">
        <f t="array" ref="I12">_xll.BDH("NUE US Equity","IS_OPERATING_EXPN","FQ3 2020","FQ3 2020","Currency=USD","Period=FQ","BEST_FPERIOD_OVERRIDE=FQ","FILING_STATUS=MR","SCALING_FORMAT=MLN","FA_ADJUSTED=Adjusted","Sort=A","Dates=H","DateFormat=P","Fill=—","Direction=H","UseDPDF=Y")</f>
        <v>149.113</v>
      </c>
      <c r="J12" s="13" cm="1">
        <f t="array" ref="J12">_xll.BDH("NUE US Equity","IS_OPERATING_EXPN","FQ4 2020","FQ4 2020","Currency=USD","Period=FQ","BEST_FPERIOD_OVERRIDE=FQ","FILING_STATUS=MR","SCALING_FORMAT=MLN","FA_ADJUSTED=Adjusted","Sort=A","Dates=H","DateFormat=P","Fill=—","Direction=H","UseDPDF=Y")</f>
        <v>126.119</v>
      </c>
      <c r="K12" s="13" cm="1">
        <f t="array" ref="K12">_xll.BDH("NUE US Equity","IS_OPERATING_EXPN","FQ1 2021","FQ1 2021","Currency=USD","Period=FQ","BEST_FPERIOD_OVERRIDE=FQ","FILING_STATUS=MR","SCALING_FORMAT=MLN","FA_ADJUSTED=Adjusted","Sort=A","Dates=H","DateFormat=P","Fill=—","Direction=H","UseDPDF=Y")</f>
        <v>272.12400000000002</v>
      </c>
      <c r="L12" s="13" cm="1">
        <f t="array" ref="L12">_xll.BDH("NUE US Equity","IS_OPERATING_EXPN","FQ2 2021","FQ2 2021","Currency=USD","Period=FQ","BEST_FPERIOD_OVERRIDE=FQ","FILING_STATUS=MR","SCALING_FORMAT=MLN","FA_ADJUSTED=Adjusted","Sort=A","Dates=H","DateFormat=P","Fill=—","Direction=H","UseDPDF=Y")</f>
        <v>365.07</v>
      </c>
      <c r="M12" s="13" cm="1">
        <f t="array" ref="M12">_xll.BDH("NUE US Equity","IS_OPERATING_EXPN","FQ3 2021","FQ3 2021","Currency=USD","Period=FQ","BEST_FPERIOD_OVERRIDE=FQ","FILING_STATUS=MR","SCALING_FORMAT=MLN","FA_ADJUSTED=Adjusted","Sort=A","Dates=H","DateFormat=P","Fill=—","Direction=H","UseDPDF=Y")</f>
        <v>490.34500000000003</v>
      </c>
      <c r="N12" s="13" cm="1">
        <f t="array" ref="N12">_xll.BDH("NUE US Equity","IS_OPERATING_EXPN","FQ4 2021","FQ4 2021","Currency=USD","Period=FQ","BEST_FPERIOD_OVERRIDE=FQ","FILING_STATUS=MR","SCALING_FORMAT=MLN","FA_ADJUSTED=Adjusted","Sort=A","Dates=H","DateFormat=P","Fill=—","Direction=H","UseDPDF=Y")</f>
        <v>448.07</v>
      </c>
      <c r="O12" s="13" cm="1">
        <f t="array" ref="O12">_xll.BDH("NUE US Equity","IS_OPERATING_EXPN","FQ1 2022","FQ1 2022","Currency=USD","Period=FQ","BEST_FPERIOD_OVERRIDE=FQ","FILING_STATUS=MR","SCALING_FORMAT=MLN","FA_ADJUSTED=Adjusted","Sort=A","Dates=H","DateFormat=P","Fill=—","Direction=H","UseDPDF=Y")</f>
        <v>462.584</v>
      </c>
      <c r="P12" s="13" cm="1">
        <f t="array" ref="P12">_xll.BDH("NUE US Equity","IS_OPERATING_EXPN","FQ2 2022","FQ2 2022","Currency=USD","Period=FQ","BEST_FPERIOD_OVERRIDE=FQ","FILING_STATUS=MR","SCALING_FORMAT=MLN","FA_ADJUSTED=Adjusted","Sort=A","Dates=H","DateFormat=P","Fill=—","Direction=H","UseDPDF=Y")</f>
        <v>503.21100000000001</v>
      </c>
      <c r="Q12" s="13" cm="1">
        <f t="array" ref="Q12">_xll.BDH("NUE US Equity","IS_OPERATING_EXPN","FQ3 2022","FQ3 2022","Currency=USD","Period=FQ","BEST_FPERIOD_OVERRIDE=FQ","FILING_STATUS=MR","SCALING_FORMAT=MLN","FA_ADJUSTED=Adjusted","Sort=A","Dates=H","DateFormat=P","Fill=—","Direction=H","UseDPDF=Y")</f>
        <v>434.56</v>
      </c>
      <c r="R12" s="13" cm="1">
        <f t="array" ref="R12">_xll.BDH("NUE US Equity","IS_OPERATING_EXPN","FQ4 2022","FQ4 2022","Currency=USD","Period=FQ","BEST_FPERIOD_OVERRIDE=FQ","FILING_STATUS=MR","SCALING_FORMAT=MLN","FA_ADJUSTED=Adjusted","Sort=A","Dates=H","DateFormat=P","Fill=—","Direction=H","UseDPDF=Y")</f>
        <v>349.82299999999998</v>
      </c>
      <c r="S12" s="13" cm="1">
        <f t="array" ref="S12">_xll.BDH("NUE US Equity","IS_OPERATING_EXPN","FQ1 2023","FQ1 2023","Currency=USD","Period=FQ","BEST_FPERIOD_OVERRIDE=FQ","FILING_STATUS=MR","SCALING_FORMAT=MLN","FA_ADJUSTED=Adjusted","Sort=A","Dates=H","DateFormat=P","Fill=—","Direction=H","UseDPDF=Y")</f>
        <v>307.89499999999998</v>
      </c>
      <c r="T12" s="13" cm="1">
        <f t="array" ref="T12">_xll.BDH("NUE US Equity","IS_OPERATING_EXPN","FQ2 2023","FQ2 2023","Currency=USD","Period=FQ","BEST_FPERIOD_OVERRIDE=FQ","FILING_STATUS=MR","SCALING_FORMAT=MLN","FA_ADJUSTED=Adjusted","Sort=A","Dates=H","DateFormat=P","Fill=—","Direction=H","UseDPDF=Y")</f>
        <v>363.38799999999998</v>
      </c>
      <c r="U12" s="13" cm="1">
        <f t="array" ref="U12">_xll.BDH("NUE US Equity","IS_OPERATING_EXPN","FQ3 2023","FQ3 2023","Currency=USD","Period=FQ","BEST_FPERIOD_OVERRIDE=FQ","FILING_STATUS=MR","SCALING_FORMAT=MLN","FA_ADJUSTED=Adjusted","Sort=A","Dates=H","DateFormat=P","Fill=—","Direction=H","UseDPDF=Y")</f>
        <v>284.76799999999997</v>
      </c>
      <c r="V12" s="13" cm="1">
        <f t="array" ref="V12">_xll.BDH("NUE US Equity","IS_OPERATING_EXPN","FQ4 2023","FQ4 2023","Currency=USD","Period=FQ","BEST_FPERIOD_OVERRIDE=FQ","FILING_STATUS=MR","SCALING_FORMAT=MLN","FA_ADJUSTED=Adjusted","Sort=A","Dates=H","DateFormat=P","Fill=—","Direction=H","UseDPDF=Y")</f>
        <v>228.001</v>
      </c>
      <c r="W12" s="13" cm="1">
        <f t="array" ref="W12">_xll.BDH("NUE US Equity","IS_OPERATING_EXPN","FQ1 2024","FQ1 2024","Currency=USD","Period=FQ","BEST_FPERIOD_OVERRIDE=FQ","FILING_STATUS=MR","SCALING_FORMAT=MLN","FA_ADJUSTED=Adjusted","Sort=A","Dates=H","DateFormat=P","Fill=—","Direction=H","UseDPDF=Y")</f>
        <v>220.39500000000001</v>
      </c>
      <c r="X12" s="13" cm="1">
        <f t="array" ref="X12">_xll.BDH("NUE US Equity","IS_OPERATING_EXPN","FQ2 2024","FQ2 2024","Currency=USD","Period=FQ","BEST_FPERIOD_OVERRIDE=FQ","FILING_STATUS=MR","SCALING_FORMAT=MLN","FA_ADJUSTED=Adjusted","Sort=A","Dates=H","DateFormat=P","Fill=—","Direction=H","UseDPDF=Y")</f>
        <v>182.23</v>
      </c>
      <c r="Y12" s="13" cm="1">
        <f t="array" ref="Y12">_xll.BDH("NUE US Equity","IS_OPERATING_EXPN","FQ3 2024","FQ3 2024","Currency=USD","Period=FQ","BEST_FPERIOD_OVERRIDE=FQ","FILING_STATUS=MR","SCALING_FORMAT=MLN","FA_ADJUSTED=Adjusted","Sort=A","Dates=H","DateFormat=P","Fill=—","Direction=H","UseDPDF=Y")</f>
        <v>76.656999999999996</v>
      </c>
      <c r="Z12" s="13" cm="1">
        <f t="array" ref="Z12">_xll.BDH("NUE US Equity","IS_OPERATING_EXPN","FQ4 2024","FQ4 2024","Currency=USD","Period=FQ","BEST_FPERIOD_OVERRIDE=FQ","FILING_STATUS=MR","SCALING_FORMAT=MLN","FA_ADJUSTED=Adjusted","Sort=A","Dates=H","DateFormat=P","Fill=—","Direction=H","UseDPDF=Y")</f>
        <v>76</v>
      </c>
      <c r="AA12" s="13" cm="1">
        <f t="array" ref="AA12">_xll.BDH("NUE US Equity","IS_OPERATING_EXPN","FQ1 2025","FQ1 2025","Currency=USD","Period=FQ","BEST_FPERIOD_OVERRIDE=FQ","FILING_STATUS=MR","SCALING_FORMAT=MLN","FA_ADJUSTED=Adjusted","Sort=A","Dates=H","DateFormat=P","Fill=—","Direction=H","UseDPDF=Y")</f>
        <v>111</v>
      </c>
      <c r="AB12" s="13" cm="1">
        <f t="array" ref="AB12">_xll.BDH("NUE US Equity","IS_OPERATING_EXPN","FQ2 2025","FQ2 2025","Currency=USD","Period=FQ","BEST_FPERIOD_OVERRIDE=FQ","FILING_STATUS=MR","SCALING_FORMAT=MLN","FA_ADJUSTED=Adjusted","Sort=A","Dates=H","DateFormat=P","Fill=—","Direction=H","UseDPDF=Y")</f>
        <v>304</v>
      </c>
      <c r="AC12" s="13" cm="1">
        <f t="array" ref="AC12">_xll.BDH("NUE US Equity","IS_OPERATING_EXPN","FQ3 2025","FQ3 2025","Currency=USD","Period=FQ","BEST_FPERIOD_OVERRIDE=FQ","FILING_STATUS=MR","SCALING_FORMAT=MLN","FA_ADJUSTED=Adjusted","Sort=A","Dates=H","DateFormat=P","Fill=—","Direction=H","UseDPDF=Y")</f>
        <v>197</v>
      </c>
      <c r="AD12" s="13" cm="1">
        <f t="array" ref="AD12">_xll.BDH("NUE US Equity","IS_OPERATING_EXPN","FQ4 2025","FQ4 2025","Currency=USD","Period=FQ","BEST_FPERIOD_OVERRIDE=FQ","FILING_STATUS=MR","SCALING_FORMAT=MLN","FA_ADJUSTED=Adjusted","Sort=A","Dates=H","DateFormat=P","Fill=—","Direction=H","UseDPDF=Y")</f>
        <v>247</v>
      </c>
      <c r="AE12" s="13"/>
      <c r="AF12" s="13"/>
    </row>
    <row r="13" spans="1:32" x14ac:dyDescent="0.25">
      <c r="A13" s="11" t="s">
        <v>79</v>
      </c>
      <c r="B13" s="11" t="s">
        <v>80</v>
      </c>
      <c r="C13" s="18" cm="1">
        <f t="array" ref="C13">_xll.BDH("NUE US Equity","IS_SELLING_EXPENSES","FQ1 2019","FQ1 2019","Currency=USD","Period=FQ","BEST_FPERIOD_OVERRIDE=FQ","FILING_STATUS=MR","SCALING_FORMAT=MLN","FA_ADJUSTED=Adjusted","Sort=A","Dates=H","DateFormat=P","Fill=—","Direction=H","UseDPDF=Y")</f>
        <v>180.739</v>
      </c>
      <c r="D13" s="18" cm="1">
        <f t="array" ref="D13">_xll.BDH("NUE US Equity","IS_SELLING_EXPENSES","FQ2 2019","FQ2 2019","Currency=USD","Period=FQ","BEST_FPERIOD_OVERRIDE=FQ","FILING_STATUS=MR","SCALING_FORMAT=MLN","FA_ADJUSTED=Adjusted","Sort=A","Dates=H","DateFormat=P","Fill=—","Direction=H","UseDPDF=Y")</f>
        <v>208.98</v>
      </c>
      <c r="E13" s="18" cm="1">
        <f t="array" ref="E13">_xll.BDH("NUE US Equity","IS_SELLING_EXPENSES","FQ3 2019","FQ3 2019","Currency=USD","Period=FQ","BEST_FPERIOD_OVERRIDE=FQ","FILING_STATUS=MR","SCALING_FORMAT=MLN","FA_ADJUSTED=Adjusted","Sort=A","Dates=H","DateFormat=P","Fill=—","Direction=H","UseDPDF=Y")</f>
        <v>159.30099999999999</v>
      </c>
      <c r="F13" s="18" cm="1">
        <f t="array" ref="F13">_xll.BDH("NUE US Equity","IS_SELLING_EXPENSES","FQ4 2019","FQ4 2019","Currency=USD","Period=FQ","BEST_FPERIOD_OVERRIDE=FQ","FILING_STATUS=MR","SCALING_FORMAT=MLN","FA_ADJUSTED=Adjusted","Sort=A","Dates=H","DateFormat=P","Fill=—","Direction=H","UseDPDF=Y")</f>
        <v>162.22800000000001</v>
      </c>
      <c r="G13" s="18" cm="1">
        <f t="array" ref="G13">_xll.BDH("NUE US Equity","IS_SELLING_EXPENSES","FQ1 2020","FQ1 2020","Currency=USD","Period=FQ","BEST_FPERIOD_OVERRIDE=FQ","FILING_STATUS=MR","SCALING_FORMAT=MLN","FA_ADJUSTED=Adjusted","Sort=A","Dates=H","DateFormat=P","Fill=—","Direction=H","UseDPDF=Y")</f>
        <v>153.392</v>
      </c>
      <c r="H13" s="18" cm="1">
        <f t="array" ref="H13">_xll.BDH("NUE US Equity","IS_SELLING_EXPENSES","FQ2 2020","FQ2 2020","Currency=USD","Period=FQ","BEST_FPERIOD_OVERRIDE=FQ","FILING_STATUS=MR","SCALING_FORMAT=MLN","FA_ADJUSTED=Adjusted","Sort=A","Dates=H","DateFormat=P","Fill=—","Direction=H","UseDPDF=Y")</f>
        <v>142.017</v>
      </c>
      <c r="I13" s="18" cm="1">
        <f t="array" ref="I13">_xll.BDH("NUE US Equity","IS_SELLING_EXPENSES","FQ3 2020","FQ3 2020","Currency=USD","Period=FQ","BEST_FPERIOD_OVERRIDE=FQ","FILING_STATUS=MR","SCALING_FORMAT=MLN","FA_ADJUSTED=Adjusted","Sort=A","Dates=H","DateFormat=P","Fill=—","Direction=H","UseDPDF=Y")</f>
        <v>165.51300000000001</v>
      </c>
      <c r="J13" s="18" cm="1">
        <f t="array" ref="J13">_xll.BDH("NUE US Equity","IS_SELLING_EXPENSES","FQ4 2020","FQ4 2020","Currency=USD","Period=FQ","BEST_FPERIOD_OVERRIDE=FQ","FILING_STATUS=MR","SCALING_FORMAT=MLN","FA_ADJUSTED=Adjusted","Sort=A","Dates=H","DateFormat=P","Fill=—","Direction=H","UseDPDF=Y")</f>
        <v>154.119</v>
      </c>
      <c r="K13" s="18" cm="1">
        <f t="array" ref="K13">_xll.BDH("NUE US Equity","IS_SELLING_EXPENSES","FQ1 2021","FQ1 2021","Currency=USD","Period=FQ","BEST_FPERIOD_OVERRIDE=FQ","FILING_STATUS=MR","SCALING_FORMAT=MLN","FA_ADJUSTED=Adjusted","Sort=A","Dates=H","DateFormat=P","Fill=—","Direction=H","UseDPDF=Y")</f>
        <v>291.12400000000002</v>
      </c>
      <c r="L13" s="18" cm="1">
        <f t="array" ref="L13">_xll.BDH("NUE US Equity","IS_SELLING_EXPENSES","FQ2 2021","FQ2 2021","Currency=USD","Period=FQ","BEST_FPERIOD_OVERRIDE=FQ","FILING_STATUS=MR","SCALING_FORMAT=MLN","FA_ADJUSTED=Adjusted","Sort=A","Dates=H","DateFormat=P","Fill=—","Direction=H","UseDPDF=Y")</f>
        <v>387.07</v>
      </c>
      <c r="M13" s="18" cm="1">
        <f t="array" ref="M13">_xll.BDH("NUE US Equity","IS_SELLING_EXPENSES","FQ3 2021","FQ3 2021","Currency=USD","Period=FQ","BEST_FPERIOD_OVERRIDE=FQ","FILING_STATUS=MR","SCALING_FORMAT=MLN","FA_ADJUSTED=Adjusted","Sort=A","Dates=H","DateFormat=P","Fill=—","Direction=H","UseDPDF=Y")</f>
        <v>526.34500000000003</v>
      </c>
      <c r="N13" s="18" cm="1">
        <f t="array" ref="N13">_xll.BDH("NUE US Equity","IS_SELLING_EXPENSES","FQ4 2021","FQ4 2021","Currency=USD","Period=FQ","BEST_FPERIOD_OVERRIDE=FQ","FILING_STATUS=MR","SCALING_FORMAT=MLN","FA_ADJUSTED=Adjusted","Sort=A","Dates=H","DateFormat=P","Fill=—","Direction=H","UseDPDF=Y")</f>
        <v>502.07</v>
      </c>
      <c r="O13" s="18" cm="1">
        <f t="array" ref="O13">_xll.BDH("NUE US Equity","IS_SELLING_EXPENSES","FQ1 2022","FQ1 2022","Currency=USD","Period=FQ","BEST_FPERIOD_OVERRIDE=FQ","FILING_STATUS=MR","SCALING_FORMAT=MLN","FA_ADJUSTED=Adjusted","Sort=A","Dates=H","DateFormat=P","Fill=—","Direction=H","UseDPDF=Y")</f>
        <v>524.58399999999995</v>
      </c>
      <c r="P13" s="18" cm="1">
        <f t="array" ref="P13">_xll.BDH("NUE US Equity","IS_SELLING_EXPENSES","FQ2 2022","FQ2 2022","Currency=USD","Period=FQ","BEST_FPERIOD_OVERRIDE=FQ","FILING_STATUS=MR","SCALING_FORMAT=MLN","FA_ADJUSTED=Adjusted","Sort=A","Dates=H","DateFormat=P","Fill=—","Direction=H","UseDPDF=Y")</f>
        <v>563.21100000000001</v>
      </c>
      <c r="Q13" s="18" cm="1">
        <f t="array" ref="Q13">_xll.BDH("NUE US Equity","IS_SELLING_EXPENSES","FQ3 2022","FQ3 2022","Currency=USD","Period=FQ","BEST_FPERIOD_OVERRIDE=FQ","FILING_STATUS=MR","SCALING_FORMAT=MLN","FA_ADJUSTED=Adjusted","Sort=A","Dates=H","DateFormat=P","Fill=—","Direction=H","UseDPDF=Y")</f>
        <v>486.56</v>
      </c>
      <c r="R13" s="18" cm="1">
        <f t="array" ref="R13">_xll.BDH("NUE US Equity","IS_SELLING_EXPENSES","FQ4 2022","FQ4 2022","Currency=USD","Period=FQ","BEST_FPERIOD_OVERRIDE=FQ","FILING_STATUS=MR","SCALING_FORMAT=MLN","FA_ADJUSTED=Adjusted","Sort=A","Dates=H","DateFormat=P","Fill=—","Direction=H","UseDPDF=Y")</f>
        <v>422.82299999999998</v>
      </c>
      <c r="S13" s="18" cm="1">
        <f t="array" ref="S13">_xll.BDH("NUE US Equity","IS_SELLING_EXPENSES","FQ1 2023","FQ1 2023","Currency=USD","Period=FQ","BEST_FPERIOD_OVERRIDE=FQ","FILING_STATUS=MR","SCALING_FORMAT=MLN","FA_ADJUSTED=Adjusted","Sort=A","Dates=H","DateFormat=P","Fill=—","Direction=H","UseDPDF=Y")</f>
        <v>389.89499999999998</v>
      </c>
      <c r="T13" s="18" cm="1">
        <f t="array" ref="T13">_xll.BDH("NUE US Equity","IS_SELLING_EXPENSES","FQ2 2023","FQ2 2023","Currency=USD","Period=FQ","BEST_FPERIOD_OVERRIDE=FQ","FILING_STATUS=MR","SCALING_FORMAT=MLN","FA_ADJUSTED=Adjusted","Sort=A","Dates=H","DateFormat=P","Fill=—","Direction=H","UseDPDF=Y")</f>
        <v>453.38799999999998</v>
      </c>
      <c r="U13" s="18" cm="1">
        <f t="array" ref="U13">_xll.BDH("NUE US Equity","IS_SELLING_EXPENSES","FQ3 2023","FQ3 2023","Currency=USD","Period=FQ","BEST_FPERIOD_OVERRIDE=FQ","FILING_STATUS=MR","SCALING_FORMAT=MLN","FA_ADJUSTED=Adjusted","Sort=A","Dates=H","DateFormat=P","Fill=—","Direction=H","UseDPDF=Y")</f>
        <v>385.76799999999997</v>
      </c>
      <c r="V13" s="18" cm="1">
        <f t="array" ref="V13">_xll.BDH("NUE US Equity","IS_SELLING_EXPENSES","FQ4 2023","FQ4 2023","Currency=USD","Period=FQ","BEST_FPERIOD_OVERRIDE=FQ","FILING_STATUS=MR","SCALING_FORMAT=MLN","FA_ADJUSTED=Adjusted","Sort=A","Dates=H","DateFormat=P","Fill=—","Direction=H","UseDPDF=Y")</f>
        <v>355.00099999999998</v>
      </c>
      <c r="W13" s="18" cm="1">
        <f t="array" ref="W13">_xll.BDH("NUE US Equity","IS_SELLING_EXPENSES","FQ1 2024","FQ1 2024","Currency=USD","Period=FQ","BEST_FPERIOD_OVERRIDE=FQ","FILING_STATUS=MR","SCALING_FORMAT=MLN","FA_ADJUSTED=Adjusted","Sort=A","Dates=H","DateFormat=P","Fill=—","Direction=H","UseDPDF=Y")</f>
        <v>345.39499999999998</v>
      </c>
      <c r="X13" s="18" cm="1">
        <f t="array" ref="X13">_xll.BDH("NUE US Equity","IS_SELLING_EXPENSES","FQ2 2024","FQ2 2024","Currency=USD","Period=FQ","BEST_FPERIOD_OVERRIDE=FQ","FILING_STATUS=MR","SCALING_FORMAT=MLN","FA_ADJUSTED=Adjusted","Sort=A","Dates=H","DateFormat=P","Fill=—","Direction=H","UseDPDF=Y")</f>
        <v>307.23</v>
      </c>
      <c r="Y13" s="18" cm="1">
        <f t="array" ref="Y13">_xll.BDH("NUE US Equity","IS_SELLING_EXPENSES","FQ3 2024","FQ3 2024","Currency=USD","Period=FQ","BEST_FPERIOD_OVERRIDE=FQ","FILING_STATUS=MR","SCALING_FORMAT=MLN","FA_ADJUSTED=Adjusted","Sort=A","Dates=H","DateFormat=P","Fill=—","Direction=H","UseDPDF=Y")</f>
        <v>244.65700000000001</v>
      </c>
      <c r="Z13" s="18" cm="1">
        <f t="array" ref="Z13">_xll.BDH("NUE US Equity","IS_SELLING_EXPENSES","FQ4 2024","FQ4 2024","Currency=USD","Period=FQ","BEST_FPERIOD_OVERRIDE=FQ","FILING_STATUS=MR","SCALING_FORMAT=MLN","FA_ADJUSTED=Adjusted","Sort=A","Dates=H","DateFormat=P","Fill=—","Direction=H","UseDPDF=Y")</f>
        <v>240</v>
      </c>
      <c r="AA13" s="18" cm="1">
        <f t="array" ref="AA13">_xll.BDH("NUE US Equity","IS_SELLING_EXPENSES","FQ1 2025","FQ1 2025","Currency=USD","Period=FQ","BEST_FPERIOD_OVERRIDE=FQ","FILING_STATUS=MR","SCALING_FORMAT=MLN","FA_ADJUSTED=Adjusted","Sort=A","Dates=H","DateFormat=P","Fill=—","Direction=H","UseDPDF=Y")</f>
        <v>281</v>
      </c>
      <c r="AB13" s="18" cm="1">
        <f t="array" ref="AB13">_xll.BDH("NUE US Equity","IS_SELLING_EXPENSES","FQ2 2025","FQ2 2025","Currency=USD","Period=FQ","BEST_FPERIOD_OVERRIDE=FQ","FILING_STATUS=MR","SCALING_FORMAT=MLN","FA_ADJUSTED=Adjusted","Sort=A","Dates=H","DateFormat=P","Fill=—","Direction=H","UseDPDF=Y")</f>
        <v>304</v>
      </c>
      <c r="AC13" s="18" cm="1">
        <f t="array" ref="AC13">_xll.BDH("NUE US Equity","IS_SELLING_EXPENSES","FQ3 2025","FQ3 2025","Currency=USD","Period=FQ","BEST_FPERIOD_OVERRIDE=FQ","FILING_STATUS=MR","SCALING_FORMAT=MLN","FA_ADJUSTED=Adjusted","Sort=A","Dates=H","DateFormat=P","Fill=—","Direction=H","UseDPDF=Y")</f>
        <v>300</v>
      </c>
      <c r="AD13" s="18" cm="1">
        <f t="array" ref="AD13">_xll.BDH("NUE US Equity","IS_SELLING_EXPENSES","FQ4 2025","FQ4 2025","Currency=USD","Period=FQ","BEST_FPERIOD_OVERRIDE=FQ","FILING_STATUS=MR","SCALING_FORMAT=MLN","FA_ADJUSTED=Adjusted","Sort=A","Dates=H","DateFormat=P","Fill=—","Direction=H","UseDPDF=Y")</f>
        <v>334</v>
      </c>
      <c r="AE13" s="18"/>
      <c r="AF13" s="18"/>
    </row>
    <row r="14" spans="1:32" x14ac:dyDescent="0.25">
      <c r="A14" s="10" t="s">
        <v>81</v>
      </c>
      <c r="B14" s="10" t="s">
        <v>82</v>
      </c>
      <c r="C14" s="13" t="str" cm="1">
        <f t="array" ref="C14">_xll.BDH("NUE US Equity","IS_OPERATING_EXPENSES_RD","FQ1 2019","FQ1 2019","Currency=USD","Period=FQ","BEST_FPERIOD_OVERRIDE=FQ","FILING_STATUS=MR","SCALING_FORMAT=MLN","Sort=A","Dates=H","DateFormat=P","Fill=—","Direction=H","UseDPDF=Y")</f>
        <v>—</v>
      </c>
      <c r="D14" s="13" t="str" cm="1">
        <f t="array" ref="D14">_xll.BDH("NUE US Equity","IS_OPERATING_EXPENSES_RD","FQ2 2019","FQ2 2019","Currency=USD","Period=FQ","BEST_FPERIOD_OVERRIDE=FQ","FILING_STATUS=MR","SCALING_FORMAT=MLN","Sort=A","Dates=H","DateFormat=P","Fill=—","Direction=H","UseDPDF=Y")</f>
        <v>—</v>
      </c>
      <c r="E14" s="13" t="str" cm="1">
        <f t="array" ref="E14">_xll.BDH("NUE US Equity","IS_OPERATING_EXPENSES_RD","FQ3 2019","FQ3 2019","Currency=USD","Period=FQ","BEST_FPERIOD_OVERRIDE=FQ","FILING_STATUS=MR","SCALING_FORMAT=MLN","Sort=A","Dates=H","DateFormat=P","Fill=—","Direction=H","UseDPDF=Y")</f>
        <v>—</v>
      </c>
      <c r="F14" s="13" cm="1">
        <f t="array" ref="F14">_xll.BDH("NUE US Equity","IS_OPERATING_EXPENSES_RD","FQ4 2019","FQ4 2019","Currency=USD","Period=FQ","BEST_FPERIOD_OVERRIDE=FQ","FILING_STATUS=MR","SCALING_FORMAT=MLN","Sort=A","Dates=H","DateFormat=P","Fill=—","Direction=H","UseDPDF=Y")</f>
        <v>0</v>
      </c>
      <c r="G14" s="13" t="str" cm="1">
        <f t="array" ref="G14">_xll.BDH("NUE US Equity","IS_OPERATING_EXPENSES_RD","FQ1 2020","FQ1 2020","Currency=USD","Period=FQ","BEST_FPERIOD_OVERRIDE=FQ","FILING_STATUS=MR","SCALING_FORMAT=MLN","Sort=A","Dates=H","DateFormat=P","Fill=—","Direction=H","UseDPDF=Y")</f>
        <v>—</v>
      </c>
      <c r="H14" s="13" t="str" cm="1">
        <f t="array" ref="H14">_xll.BDH("NUE US Equity","IS_OPERATING_EXPENSES_RD","FQ2 2020","FQ2 2020","Currency=USD","Period=FQ","BEST_FPERIOD_OVERRIDE=FQ","FILING_STATUS=MR","SCALING_FORMAT=MLN","Sort=A","Dates=H","DateFormat=P","Fill=—","Direction=H","UseDPDF=Y")</f>
        <v>—</v>
      </c>
      <c r="I14" s="13" t="str" cm="1">
        <f t="array" ref="I14">_xll.BDH("NUE US Equity","IS_OPERATING_EXPENSES_RD","FQ3 2020","FQ3 2020","Currency=USD","Period=FQ","BEST_FPERIOD_OVERRIDE=FQ","FILING_STATUS=MR","SCALING_FORMAT=MLN","Sort=A","Dates=H","DateFormat=P","Fill=—","Direction=H","UseDPDF=Y")</f>
        <v>—</v>
      </c>
      <c r="J14" s="13" cm="1">
        <f t="array" ref="J14">_xll.BDH("NUE US Equity","IS_OPERATING_EXPENSES_RD","FQ4 2020","FQ4 2020","Currency=USD","Period=FQ","BEST_FPERIOD_OVERRIDE=FQ","FILING_STATUS=MR","SCALING_FORMAT=MLN","Sort=A","Dates=H","DateFormat=P","Fill=—","Direction=H","UseDPDF=Y")</f>
        <v>0</v>
      </c>
      <c r="K14" s="13" t="str" cm="1">
        <f t="array" ref="K14">_xll.BDH("NUE US Equity","IS_OPERATING_EXPENSES_RD","FQ1 2021","FQ1 2021","Currency=USD","Period=FQ","BEST_FPERIOD_OVERRIDE=FQ","FILING_STATUS=MR","SCALING_FORMAT=MLN","Sort=A","Dates=H","DateFormat=P","Fill=—","Direction=H","UseDPDF=Y")</f>
        <v>—</v>
      </c>
      <c r="L14" s="13" t="str" cm="1">
        <f t="array" ref="L14">_xll.BDH("NUE US Equity","IS_OPERATING_EXPENSES_RD","FQ2 2021","FQ2 2021","Currency=USD","Period=FQ","BEST_FPERIOD_OVERRIDE=FQ","FILING_STATUS=MR","SCALING_FORMAT=MLN","Sort=A","Dates=H","DateFormat=P","Fill=—","Direction=H","UseDPDF=Y")</f>
        <v>—</v>
      </c>
      <c r="M14" s="13" t="str" cm="1">
        <f t="array" ref="M14">_xll.BDH("NUE US Equity","IS_OPERATING_EXPENSES_RD","FQ3 2021","FQ3 2021","Currency=USD","Period=FQ","BEST_FPERIOD_OVERRIDE=FQ","FILING_STATUS=MR","SCALING_FORMAT=MLN","Sort=A","Dates=H","DateFormat=P","Fill=—","Direction=H","UseDPDF=Y")</f>
        <v>—</v>
      </c>
      <c r="N14" s="13" t="str" cm="1">
        <f t="array" ref="N14">_xll.BDH("NUE US Equity","IS_OPERATING_EXPENSES_RD","FQ4 2021","FQ4 2021","Currency=USD","Period=FQ","BEST_FPERIOD_OVERRIDE=FQ","FILING_STATUS=MR","SCALING_FORMAT=MLN","Sort=A","Dates=H","DateFormat=P","Fill=—","Direction=H","UseDPDF=Y")</f>
        <v>—</v>
      </c>
      <c r="O14" s="13" t="str" cm="1">
        <f t="array" ref="O14">_xll.BDH("NUE US Equity","IS_OPERATING_EXPENSES_RD","FQ1 2022","FQ1 2022","Currency=USD","Period=FQ","BEST_FPERIOD_OVERRIDE=FQ","FILING_STATUS=MR","SCALING_FORMAT=MLN","Sort=A","Dates=H","DateFormat=P","Fill=—","Direction=H","UseDPDF=Y")</f>
        <v>—</v>
      </c>
      <c r="P14" s="13" t="str" cm="1">
        <f t="array" ref="P14">_xll.BDH("NUE US Equity","IS_OPERATING_EXPENSES_RD","FQ2 2022","FQ2 2022","Currency=USD","Period=FQ","BEST_FPERIOD_OVERRIDE=FQ","FILING_STATUS=MR","SCALING_FORMAT=MLN","Sort=A","Dates=H","DateFormat=P","Fill=—","Direction=H","UseDPDF=Y")</f>
        <v>—</v>
      </c>
      <c r="Q14" s="13" t="str" cm="1">
        <f t="array" ref="Q14">_xll.BDH("NUE US Equity","IS_OPERATING_EXPENSES_RD","FQ3 2022","FQ3 2022","Currency=USD","Period=FQ","BEST_FPERIOD_OVERRIDE=FQ","FILING_STATUS=MR","SCALING_FORMAT=MLN","Sort=A","Dates=H","DateFormat=P","Fill=—","Direction=H","UseDPDF=Y")</f>
        <v>—</v>
      </c>
      <c r="R14" s="13" t="str" cm="1">
        <f t="array" ref="R14">_xll.BDH("NUE US Equity","IS_OPERATING_EXPENSES_RD","FQ4 2022","FQ4 2022","Currency=USD","Period=FQ","BEST_FPERIOD_OVERRIDE=FQ","FILING_STATUS=MR","SCALING_FORMAT=MLN","Sort=A","Dates=H","DateFormat=P","Fill=—","Direction=H","UseDPDF=Y")</f>
        <v>—</v>
      </c>
      <c r="S14" s="13" t="str" cm="1">
        <f t="array" ref="S14">_xll.BDH("NUE US Equity","IS_OPERATING_EXPENSES_RD","FQ1 2023","FQ1 2023","Currency=USD","Period=FQ","BEST_FPERIOD_OVERRIDE=FQ","FILING_STATUS=MR","SCALING_FORMAT=MLN","Sort=A","Dates=H","DateFormat=P","Fill=—","Direction=H","UseDPDF=Y")</f>
        <v>—</v>
      </c>
      <c r="T14" s="13" t="str" cm="1">
        <f t="array" ref="T14">_xll.BDH("NUE US Equity","IS_OPERATING_EXPENSES_RD","FQ2 2023","FQ2 2023","Currency=USD","Period=FQ","BEST_FPERIOD_OVERRIDE=FQ","FILING_STATUS=MR","SCALING_FORMAT=MLN","Sort=A","Dates=H","DateFormat=P","Fill=—","Direction=H","UseDPDF=Y")</f>
        <v>—</v>
      </c>
      <c r="U14" s="13" t="str" cm="1">
        <f t="array" ref="U14">_xll.BDH("NUE US Equity","IS_OPERATING_EXPENSES_RD","FQ3 2023","FQ3 2023","Currency=USD","Period=FQ","BEST_FPERIOD_OVERRIDE=FQ","FILING_STATUS=MR","SCALING_FORMAT=MLN","Sort=A","Dates=H","DateFormat=P","Fill=—","Direction=H","UseDPDF=Y")</f>
        <v>—</v>
      </c>
      <c r="V14" s="13" cm="1">
        <f t="array" ref="V14">_xll.BDH("NUE US Equity","IS_OPERATING_EXPENSES_RD","FQ4 2023","FQ4 2023","Currency=USD","Period=FQ","BEST_FPERIOD_OVERRIDE=FQ","FILING_STATUS=MR","SCALING_FORMAT=MLN","Sort=A","Dates=H","DateFormat=P","Fill=—","Direction=H","UseDPDF=Y")</f>
        <v>0</v>
      </c>
      <c r="W14" s="13" t="str" cm="1">
        <f t="array" ref="W14">_xll.BDH("NUE US Equity","IS_OPERATING_EXPENSES_RD","FQ1 2024","FQ1 2024","Currency=USD","Period=FQ","BEST_FPERIOD_OVERRIDE=FQ","FILING_STATUS=MR","SCALING_FORMAT=MLN","Sort=A","Dates=H","DateFormat=P","Fill=—","Direction=H","UseDPDF=Y")</f>
        <v>—</v>
      </c>
      <c r="X14" s="13" t="str" cm="1">
        <f t="array" ref="X14">_xll.BDH("NUE US Equity","IS_OPERATING_EXPENSES_RD","FQ2 2024","FQ2 2024","Currency=USD","Period=FQ","BEST_FPERIOD_OVERRIDE=FQ","FILING_STATUS=MR","SCALING_FORMAT=MLN","Sort=A","Dates=H","DateFormat=P","Fill=—","Direction=H","UseDPDF=Y")</f>
        <v>—</v>
      </c>
      <c r="Y14" s="13" t="str" cm="1">
        <f t="array" ref="Y14">_xll.BDH("NUE US Equity","IS_OPERATING_EXPENSES_RD","FQ3 2024","FQ3 2024","Currency=USD","Period=FQ","BEST_FPERIOD_OVERRIDE=FQ","FILING_STATUS=MR","SCALING_FORMAT=MLN","Sort=A","Dates=H","DateFormat=P","Fill=—","Direction=H","UseDPDF=Y")</f>
        <v>—</v>
      </c>
      <c r="Z14" s="13" cm="1">
        <f t="array" ref="Z14">_xll.BDH("NUE US Equity","IS_OPERATING_EXPENSES_RD","FQ4 2024","FQ4 2024","Currency=USD","Period=FQ","BEST_FPERIOD_OVERRIDE=FQ","FILING_STATUS=MR","SCALING_FORMAT=MLN","Sort=A","Dates=H","DateFormat=P","Fill=—","Direction=H","UseDPDF=Y")</f>
        <v>0</v>
      </c>
      <c r="AA14" s="13" t="str" cm="1">
        <f t="array" ref="AA14">_xll.BDH("NUE US Equity","IS_OPERATING_EXPENSES_RD","FQ1 2025","FQ1 2025","Currency=USD","Period=FQ","BEST_FPERIOD_OVERRIDE=FQ","FILING_STATUS=MR","SCALING_FORMAT=MLN","Sort=A","Dates=H","DateFormat=P","Fill=—","Direction=H","UseDPDF=Y")</f>
        <v>—</v>
      </c>
      <c r="AB14" s="13" t="str" cm="1">
        <f t="array" ref="AB14">_xll.BDH("NUE US Equity","IS_OPERATING_EXPENSES_RD","FQ2 2025","FQ2 2025","Currency=USD","Period=FQ","BEST_FPERIOD_OVERRIDE=FQ","FILING_STATUS=MR","SCALING_FORMAT=MLN","Sort=A","Dates=H","DateFormat=P","Fill=—","Direction=H","UseDPDF=Y")</f>
        <v>—</v>
      </c>
      <c r="AC14" s="13" t="str" cm="1">
        <f t="array" ref="AC14">_xll.BDH("NUE US Equity","IS_OPERATING_EXPENSES_RD","FQ3 2025","FQ3 2025","Currency=USD","Period=FQ","BEST_FPERIOD_OVERRIDE=FQ","FILING_STATUS=MR","SCALING_FORMAT=MLN","Sort=A","Dates=H","DateFormat=P","Fill=—","Direction=H","UseDPDF=Y")</f>
        <v>—</v>
      </c>
      <c r="AD14" s="13" t="str" cm="1">
        <f t="array" ref="AD14">_xll.BDH("NUE US Equity","IS_OPERATING_EXPENSES_RD","FQ4 2025","FQ4 2025","Currency=USD","Period=FQ","BEST_FPERIOD_OVERRIDE=FQ","FILING_STATUS=MR","SCALING_FORMAT=MLN","Sort=A","Dates=H","DateFormat=P","Fill=—","Direction=H","UseDPDF=Y")</f>
        <v>—</v>
      </c>
      <c r="AE14" s="13"/>
      <c r="AF14" s="13"/>
    </row>
    <row r="15" spans="1:32" x14ac:dyDescent="0.25">
      <c r="A15" s="10" t="s">
        <v>83</v>
      </c>
      <c r="B15" s="10" t="s">
        <v>84</v>
      </c>
      <c r="C15" s="13" cm="1">
        <f t="array" ref="C15">_xll.BDH("NUE US Equity","IS_OTHER_OPERATING_EXPENSES","FQ1 2019","FQ1 2019","Currency=USD","Period=FQ","BEST_FPERIOD_OVERRIDE=FQ","FILING_STATUS=MR","SCALING_FORMAT=MLN","FA_ADJUSTED=Adjusted","Sort=A","Dates=H","DateFormat=P","Fill=—","Direction=H","UseDPDF=Y")</f>
        <v>0</v>
      </c>
      <c r="D15" s="13" cm="1">
        <f t="array" ref="D15">_xll.BDH("NUE US Equity","IS_OTHER_OPERATING_EXPENSES","FQ2 2019","FQ2 2019","Currency=USD","Period=FQ","BEST_FPERIOD_OVERRIDE=FQ","FILING_STATUS=MR","SCALING_FORMAT=MLN","FA_ADJUSTED=Adjusted","Sort=A","Dates=H","DateFormat=P","Fill=—","Direction=H","UseDPDF=Y")</f>
        <v>-20.5</v>
      </c>
      <c r="E15" s="13" cm="1">
        <f t="array" ref="E15">_xll.BDH("NUE US Equity","IS_OTHER_OPERATING_EXPENSES","FQ3 2019","FQ3 2019","Currency=USD","Period=FQ","BEST_FPERIOD_OVERRIDE=FQ","FILING_STATUS=MR","SCALING_FORMAT=MLN","FA_ADJUSTED=Adjusted","Sort=A","Dates=H","DateFormat=P","Fill=—","Direction=H","UseDPDF=Y")</f>
        <v>-28</v>
      </c>
      <c r="F15" s="13" cm="1">
        <f t="array" ref="F15">_xll.BDH("NUE US Equity","IS_OTHER_OPERATING_EXPENSES","FQ4 2019","FQ4 2019","Currency=USD","Period=FQ","BEST_FPERIOD_OVERRIDE=FQ","FILING_STATUS=MR","SCALING_FORMAT=MLN","FA_ADJUSTED=Adjusted","Sort=A","Dates=H","DateFormat=P","Fill=—","Direction=H","UseDPDF=Y")</f>
        <v>-35</v>
      </c>
      <c r="G15" s="13" cm="1">
        <f t="array" ref="G15">_xll.BDH("NUE US Equity","IS_OTHER_OPERATING_EXPENSES","FQ1 2020","FQ1 2020","Currency=USD","Period=FQ","BEST_FPERIOD_OVERRIDE=FQ","FILING_STATUS=MR","SCALING_FORMAT=MLN","FA_ADJUSTED=Adjusted","Sort=A","Dates=H","DateFormat=P","Fill=—","Direction=H","UseDPDF=Y")</f>
        <v>-29</v>
      </c>
      <c r="H15" s="13" cm="1">
        <f t="array" ref="H15">_xll.BDH("NUE US Equity","IS_OTHER_OPERATING_EXPENSES","FQ2 2020","FQ2 2020","Currency=USD","Period=FQ","BEST_FPERIOD_OVERRIDE=FQ","FILING_STATUS=MR","SCALING_FORMAT=MLN","FA_ADJUSTED=Adjusted","Sort=A","Dates=H","DateFormat=P","Fill=—","Direction=H","UseDPDF=Y")</f>
        <v>-22</v>
      </c>
      <c r="I15" s="13" cm="1">
        <f t="array" ref="I15">_xll.BDH("NUE US Equity","IS_OTHER_OPERATING_EXPENSES","FQ3 2020","FQ3 2020","Currency=USD","Period=FQ","BEST_FPERIOD_OVERRIDE=FQ","FILING_STATUS=MR","SCALING_FORMAT=MLN","FA_ADJUSTED=Adjusted","Sort=A","Dates=H","DateFormat=P","Fill=—","Direction=H","UseDPDF=Y")</f>
        <v>-16.399999999999999</v>
      </c>
      <c r="J15" s="13" cm="1">
        <f t="array" ref="J15">_xll.BDH("NUE US Equity","IS_OTHER_OPERATING_EXPENSES","FQ4 2020","FQ4 2020","Currency=USD","Period=FQ","BEST_FPERIOD_OVERRIDE=FQ","FILING_STATUS=MR","SCALING_FORMAT=MLN","FA_ADJUSTED=Adjusted","Sort=A","Dates=H","DateFormat=P","Fill=—","Direction=H","UseDPDF=Y")</f>
        <v>-28</v>
      </c>
      <c r="K15" s="13" cm="1">
        <f t="array" ref="K15">_xll.BDH("NUE US Equity","IS_OTHER_OPERATING_EXPENSES","FQ1 2021","FQ1 2021","Currency=USD","Period=FQ","BEST_FPERIOD_OVERRIDE=FQ","FILING_STATUS=MR","SCALING_FORMAT=MLN","FA_ADJUSTED=Adjusted","Sort=A","Dates=H","DateFormat=P","Fill=—","Direction=H","UseDPDF=Y")</f>
        <v>-19</v>
      </c>
      <c r="L15" s="13" cm="1">
        <f t="array" ref="L15">_xll.BDH("NUE US Equity","IS_OTHER_OPERATING_EXPENSES","FQ2 2021","FQ2 2021","Currency=USD","Period=FQ","BEST_FPERIOD_OVERRIDE=FQ","FILING_STATUS=MR","SCALING_FORMAT=MLN","FA_ADJUSTED=Adjusted","Sort=A","Dates=H","DateFormat=P","Fill=—","Direction=H","UseDPDF=Y")</f>
        <v>-22</v>
      </c>
      <c r="M15" s="13" cm="1">
        <f t="array" ref="M15">_xll.BDH("NUE US Equity","IS_OTHER_OPERATING_EXPENSES","FQ3 2021","FQ3 2021","Currency=USD","Period=FQ","BEST_FPERIOD_OVERRIDE=FQ","FILING_STATUS=MR","SCALING_FORMAT=MLN","FA_ADJUSTED=Adjusted","Sort=A","Dates=H","DateFormat=P","Fill=—","Direction=H","UseDPDF=Y")</f>
        <v>-36</v>
      </c>
      <c r="N15" s="13" cm="1">
        <f t="array" ref="N15">_xll.BDH("NUE US Equity","IS_OTHER_OPERATING_EXPENSES","FQ4 2021","FQ4 2021","Currency=USD","Period=FQ","BEST_FPERIOD_OVERRIDE=FQ","FILING_STATUS=MR","SCALING_FORMAT=MLN","FA_ADJUSTED=Adjusted","Sort=A","Dates=H","DateFormat=P","Fill=—","Direction=H","UseDPDF=Y")</f>
        <v>-54</v>
      </c>
      <c r="O15" s="13" cm="1">
        <f t="array" ref="O15">_xll.BDH("NUE US Equity","IS_OTHER_OPERATING_EXPENSES","FQ1 2022","FQ1 2022","Currency=USD","Period=FQ","BEST_FPERIOD_OVERRIDE=FQ","FILING_STATUS=MR","SCALING_FORMAT=MLN","FA_ADJUSTED=Adjusted","Sort=A","Dates=H","DateFormat=P","Fill=—","Direction=H","UseDPDF=Y")</f>
        <v>-62</v>
      </c>
      <c r="P15" s="13" cm="1">
        <f t="array" ref="P15">_xll.BDH("NUE US Equity","IS_OTHER_OPERATING_EXPENSES","FQ2 2022","FQ2 2022","Currency=USD","Period=FQ","BEST_FPERIOD_OVERRIDE=FQ","FILING_STATUS=MR","SCALING_FORMAT=MLN","FA_ADJUSTED=Adjusted","Sort=A","Dates=H","DateFormat=P","Fill=—","Direction=H","UseDPDF=Y")</f>
        <v>-60</v>
      </c>
      <c r="Q15" s="13" cm="1">
        <f t="array" ref="Q15">_xll.BDH("NUE US Equity","IS_OTHER_OPERATING_EXPENSES","FQ3 2022","FQ3 2022","Currency=USD","Period=FQ","BEST_FPERIOD_OVERRIDE=FQ","FILING_STATUS=MR","SCALING_FORMAT=MLN","FA_ADJUSTED=Adjusted","Sort=A","Dates=H","DateFormat=P","Fill=—","Direction=H","UseDPDF=Y")</f>
        <v>-52</v>
      </c>
      <c r="R15" s="13" cm="1">
        <f t="array" ref="R15">_xll.BDH("NUE US Equity","IS_OTHER_OPERATING_EXPENSES","FQ4 2022","FQ4 2022","Currency=USD","Period=FQ","BEST_FPERIOD_OVERRIDE=FQ","FILING_STATUS=MR","SCALING_FORMAT=MLN","FA_ADJUSTED=Adjusted","Sort=A","Dates=H","DateFormat=P","Fill=—","Direction=H","UseDPDF=Y")</f>
        <v>-73</v>
      </c>
      <c r="S15" s="13" cm="1">
        <f t="array" ref="S15">_xll.BDH("NUE US Equity","IS_OTHER_OPERATING_EXPENSES","FQ1 2023","FQ1 2023","Currency=USD","Period=FQ","BEST_FPERIOD_OVERRIDE=FQ","FILING_STATUS=MR","SCALING_FORMAT=MLN","FA_ADJUSTED=Adjusted","Sort=A","Dates=H","DateFormat=P","Fill=—","Direction=H","UseDPDF=Y")</f>
        <v>-82</v>
      </c>
      <c r="T15" s="13" cm="1">
        <f t="array" ref="T15">_xll.BDH("NUE US Equity","IS_OTHER_OPERATING_EXPENSES","FQ2 2023","FQ2 2023","Currency=USD","Period=FQ","BEST_FPERIOD_OVERRIDE=FQ","FILING_STATUS=MR","SCALING_FORMAT=MLN","FA_ADJUSTED=Adjusted","Sort=A","Dates=H","DateFormat=P","Fill=—","Direction=H","UseDPDF=Y")</f>
        <v>-90</v>
      </c>
      <c r="U15" s="13" cm="1">
        <f t="array" ref="U15">_xll.BDH("NUE US Equity","IS_OTHER_OPERATING_EXPENSES","FQ3 2023","FQ3 2023","Currency=USD","Period=FQ","BEST_FPERIOD_OVERRIDE=FQ","FILING_STATUS=MR","SCALING_FORMAT=MLN","FA_ADJUSTED=Adjusted","Sort=A","Dates=H","DateFormat=P","Fill=—","Direction=H","UseDPDF=Y")</f>
        <v>-101</v>
      </c>
      <c r="V15" s="13" cm="1">
        <f t="array" ref="V15">_xll.BDH("NUE US Equity","IS_OTHER_OPERATING_EXPENSES","FQ4 2023","FQ4 2023","Currency=USD","Period=FQ","BEST_FPERIOD_OVERRIDE=FQ","FILING_STATUS=MR","SCALING_FORMAT=MLN","FA_ADJUSTED=Adjusted","Sort=A","Dates=H","DateFormat=P","Fill=—","Direction=H","UseDPDF=Y")</f>
        <v>-127</v>
      </c>
      <c r="W15" s="13" cm="1">
        <f t="array" ref="W15">_xll.BDH("NUE US Equity","IS_OTHER_OPERATING_EXPENSES","FQ1 2024","FQ1 2024","Currency=USD","Period=FQ","BEST_FPERIOD_OVERRIDE=FQ","FILING_STATUS=MR","SCALING_FORMAT=MLN","FA_ADJUSTED=Adjusted","Sort=A","Dates=H","DateFormat=P","Fill=—","Direction=H","UseDPDF=Y")</f>
        <v>-125</v>
      </c>
      <c r="X15" s="13" cm="1">
        <f t="array" ref="X15">_xll.BDH("NUE US Equity","IS_OTHER_OPERATING_EXPENSES","FQ2 2024","FQ2 2024","Currency=USD","Period=FQ","BEST_FPERIOD_OVERRIDE=FQ","FILING_STATUS=MR","SCALING_FORMAT=MLN","FA_ADJUSTED=Adjusted","Sort=A","Dates=H","DateFormat=P","Fill=—","Direction=H","UseDPDF=Y")</f>
        <v>-125</v>
      </c>
      <c r="Y15" s="13" cm="1">
        <f t="array" ref="Y15">_xll.BDH("NUE US Equity","IS_OTHER_OPERATING_EXPENSES","FQ3 2024","FQ3 2024","Currency=USD","Period=FQ","BEST_FPERIOD_OVERRIDE=FQ","FILING_STATUS=MR","SCALING_FORMAT=MLN","FA_ADJUSTED=Adjusted","Sort=A","Dates=H","DateFormat=P","Fill=—","Direction=H","UseDPDF=Y")</f>
        <v>-168</v>
      </c>
      <c r="Z15" s="13" cm="1">
        <f t="array" ref="Z15">_xll.BDH("NUE US Equity","IS_OTHER_OPERATING_EXPENSES","FQ4 2024","FQ4 2024","Currency=USD","Period=FQ","BEST_FPERIOD_OVERRIDE=FQ","FILING_STATUS=MR","SCALING_FORMAT=MLN","FA_ADJUSTED=Adjusted","Sort=A","Dates=H","DateFormat=P","Fill=—","Direction=H","UseDPDF=Y")</f>
        <v>-164</v>
      </c>
      <c r="AA15" s="13" cm="1">
        <f t="array" ref="AA15">_xll.BDH("NUE US Equity","IS_OTHER_OPERATING_EXPENSES","FQ1 2025","FQ1 2025","Currency=USD","Period=FQ","BEST_FPERIOD_OVERRIDE=FQ","FILING_STATUS=MR","SCALING_FORMAT=MLN","FA_ADJUSTED=Adjusted","Sort=A","Dates=H","DateFormat=P","Fill=—","Direction=H","UseDPDF=Y")</f>
        <v>-170</v>
      </c>
      <c r="AB15" s="13" cm="1">
        <f t="array" ref="AB15">_xll.BDH("NUE US Equity","IS_OTHER_OPERATING_EXPENSES","FQ2 2025","FQ2 2025","Currency=USD","Period=FQ","BEST_FPERIOD_OVERRIDE=FQ","FILING_STATUS=MR","SCALING_FORMAT=MLN","FA_ADJUSTED=Adjusted","Sort=A","Dates=H","DateFormat=P","Fill=—","Direction=H","UseDPDF=Y")</f>
        <v>0</v>
      </c>
      <c r="AC15" s="13" cm="1">
        <f t="array" ref="AC15">_xll.BDH("NUE US Equity","IS_OTHER_OPERATING_EXPENSES","FQ3 2025","FQ3 2025","Currency=USD","Period=FQ","BEST_FPERIOD_OVERRIDE=FQ","FILING_STATUS=MR","SCALING_FORMAT=MLN","FA_ADJUSTED=Adjusted","Sort=A","Dates=H","DateFormat=P","Fill=—","Direction=H","UseDPDF=Y")</f>
        <v>-103</v>
      </c>
      <c r="AD15" s="13" cm="1">
        <f t="array" ref="AD15">_xll.BDH("NUE US Equity","IS_OTHER_OPERATING_EXPENSES","FQ4 2025","FQ4 2025","Currency=USD","Period=FQ","BEST_FPERIOD_OVERRIDE=FQ","FILING_STATUS=MR","SCALING_FORMAT=MLN","FA_ADJUSTED=Adjusted","Sort=A","Dates=H","DateFormat=P","Fill=—","Direction=H","UseDPDF=Y")</f>
        <v>-87</v>
      </c>
      <c r="AE15" s="13"/>
      <c r="AF15" s="13"/>
    </row>
    <row r="16" spans="1:32" x14ac:dyDescent="0.25">
      <c r="A16" s="6" t="s">
        <v>85</v>
      </c>
      <c r="B16" s="6" t="s">
        <v>86</v>
      </c>
      <c r="C16" s="16" cm="1">
        <f t="array" ref="C16">_xll.BDH("NUE US Equity","IS_OPER_INC","FQ1 2019","FQ1 2019","Currency=USD","Period=FQ","BEST_FPERIOD_OVERRIDE=FQ","FILING_STATUS=MR","SCALING_FORMAT=MLN","FA_ADJUSTED=Adjusted","Sort=A","Dates=H","DateFormat=P","Fill=—","Direction=H","UseDPDF=Y")</f>
        <v>715.15300000000002</v>
      </c>
      <c r="D16" s="16" cm="1">
        <f t="array" ref="D16">_xll.BDH("NUE US Equity","IS_OPER_INC","FQ2 2019","FQ2 2019","Currency=USD","Period=FQ","BEST_FPERIOD_OVERRIDE=FQ","FILING_STATUS=MR","SCALING_FORMAT=MLN","FA_ADJUSTED=Adjusted","Sort=A","Dates=H","DateFormat=P","Fill=—","Direction=H","UseDPDF=Y")</f>
        <v>587.01400000000001</v>
      </c>
      <c r="E16" s="16" cm="1">
        <f t="array" ref="E16">_xll.BDH("NUE US Equity","IS_OPER_INC","FQ3 2019","FQ3 2019","Currency=USD","Period=FQ","BEST_FPERIOD_OVERRIDE=FQ","FILING_STATUS=MR","SCALING_FORMAT=MLN","FA_ADJUSTED=Adjusted","Sort=A","Dates=H","DateFormat=P","Fill=—","Direction=H","UseDPDF=Y")</f>
        <v>441.21</v>
      </c>
      <c r="F16" s="16" cm="1">
        <f t="array" ref="F16">_xll.BDH("NUE US Equity","IS_OPER_INC","FQ4 2019","FQ4 2019","Currency=USD","Period=FQ","BEST_FPERIOD_OVERRIDE=FQ","FILING_STATUS=MR","SCALING_FORMAT=MLN","FA_ADJUSTED=Adjusted","Sort=A","Dates=H","DateFormat=P","Fill=—","Direction=H","UseDPDF=Y")</f>
        <v>307.95999999999998</v>
      </c>
      <c r="G16" s="16" cm="1">
        <f t="array" ref="G16">_xll.BDH("NUE US Equity","IS_OPER_INC","FQ1 2020","FQ1 2020","Currency=USD","Period=FQ","BEST_FPERIOD_OVERRIDE=FQ","FILING_STATUS=MR","SCALING_FORMAT=MLN","FA_ADJUSTED=Adjusted","Sort=A","Dates=H","DateFormat=P","Fill=—","Direction=H","UseDPDF=Y")</f>
        <v>504.87599999999998</v>
      </c>
      <c r="H16" s="16" cm="1">
        <f t="array" ref="H16">_xll.BDH("NUE US Equity","IS_OPER_INC","FQ2 2020","FQ2 2020","Currency=USD","Period=FQ","BEST_FPERIOD_OVERRIDE=FQ","FILING_STATUS=MR","SCALING_FORMAT=MLN","FA_ADJUSTED=Adjusted","Sort=A","Dates=H","DateFormat=P","Fill=—","Direction=H","UseDPDF=Y")</f>
        <v>257.94200000000001</v>
      </c>
      <c r="I16" s="16" cm="1">
        <f t="array" ref="I16">_xll.BDH("NUE US Equity","IS_OPER_INC","FQ3 2020","FQ3 2020","Currency=USD","Period=FQ","BEST_FPERIOD_OVERRIDE=FQ","FILING_STATUS=MR","SCALING_FORMAT=MLN","FA_ADJUSTED=Adjusted","Sort=A","Dates=H","DateFormat=P","Fill=—","Direction=H","UseDPDF=Y")</f>
        <v>353.08199999999999</v>
      </c>
      <c r="J16" s="16" cm="1">
        <f t="array" ref="J16">_xll.BDH("NUE US Equity","IS_OPER_INC","FQ4 2020","FQ4 2020","Currency=USD","Period=FQ","BEST_FPERIOD_OVERRIDE=FQ","FILING_STATUS=MR","SCALING_FORMAT=MLN","FA_ADJUSTED=Adjusted","Sort=A","Dates=H","DateFormat=P","Fill=—","Direction=H","UseDPDF=Y")</f>
        <v>592.40899999999999</v>
      </c>
      <c r="K16" s="16" cm="1">
        <f t="array" ref="K16">_xll.BDH("NUE US Equity","IS_OPER_INC","FQ1 2021","FQ1 2021","Currency=USD","Period=FQ","BEST_FPERIOD_OVERRIDE=FQ","FILING_STATUS=MR","SCALING_FORMAT=MLN","FA_ADJUSTED=Adjusted","Sort=A","Dates=H","DateFormat=P","Fill=—","Direction=H","UseDPDF=Y")</f>
        <v>1350.3130000000001</v>
      </c>
      <c r="L16" s="16" cm="1">
        <f t="array" ref="L16">_xll.BDH("NUE US Equity","IS_OPER_INC","FQ2 2021","FQ2 2021","Currency=USD","Period=FQ","BEST_FPERIOD_OVERRIDE=FQ","FILING_STATUS=MR","SCALING_FORMAT=MLN","FA_ADJUSTED=Adjusted","Sort=A","Dates=H","DateFormat=P","Fill=—","Direction=H","UseDPDF=Y")</f>
        <v>2108.433</v>
      </c>
      <c r="M16" s="16" cm="1">
        <f t="array" ref="M16">_xll.BDH("NUE US Equity","IS_OPER_INC","FQ3 2021","FQ3 2021","Currency=USD","Period=FQ","BEST_FPERIOD_OVERRIDE=FQ","FILING_STATUS=MR","SCALING_FORMAT=MLN","FA_ADJUSTED=Adjusted","Sort=A","Dates=H","DateFormat=P","Fill=—","Direction=H","UseDPDF=Y")</f>
        <v>2915.9279999999999</v>
      </c>
      <c r="N16" s="16" cm="1">
        <f t="array" ref="N16">_xll.BDH("NUE US Equity","IS_OPER_INC","FQ4 2021","FQ4 2021","Currency=USD","Period=FQ","BEST_FPERIOD_OVERRIDE=FQ","FILING_STATUS=MR","SCALING_FORMAT=MLN","FA_ADJUSTED=Adjusted","Sort=A","Dates=H","DateFormat=P","Fill=—","Direction=H","UseDPDF=Y")</f>
        <v>3075.1309999999999</v>
      </c>
      <c r="O16" s="16" cm="1">
        <f t="array" ref="O16">_xll.BDH("NUE US Equity","IS_OPER_INC","FQ1 2022","FQ1 2022","Currency=USD","Period=FQ","BEST_FPERIOD_OVERRIDE=FQ","FILING_STATUS=MR","SCALING_FORMAT=MLN","FA_ADJUSTED=Adjusted","Sort=A","Dates=H","DateFormat=P","Fill=—","Direction=H","UseDPDF=Y")</f>
        <v>2995.5549999999998</v>
      </c>
      <c r="P16" s="16" cm="1">
        <f t="array" ref="P16">_xll.BDH("NUE US Equity","IS_OPER_INC","FQ2 2022","FQ2 2022","Currency=USD","Period=FQ","BEST_FPERIOD_OVERRIDE=FQ","FILING_STATUS=MR","SCALING_FORMAT=MLN","FA_ADJUSTED=Adjusted","Sort=A","Dates=H","DateFormat=P","Fill=—","Direction=H","UseDPDF=Y")</f>
        <v>3601.0520000000001</v>
      </c>
      <c r="Q16" s="16" cm="1">
        <f t="array" ref="Q16">_xll.BDH("NUE US Equity","IS_OPER_INC","FQ3 2022","FQ3 2022","Currency=USD","Period=FQ","BEST_FPERIOD_OVERRIDE=FQ","FILING_STATUS=MR","SCALING_FORMAT=MLN","FA_ADJUSTED=Adjusted","Sort=A","Dates=H","DateFormat=P","Fill=—","Direction=H","UseDPDF=Y")</f>
        <v>2408.8310000000001</v>
      </c>
      <c r="R16" s="16" cm="1">
        <f t="array" ref="R16">_xll.BDH("NUE US Equity","IS_OPER_INC","FQ4 2022","FQ4 2022","Currency=USD","Period=FQ","BEST_FPERIOD_OVERRIDE=FQ","FILING_STATUS=MR","SCALING_FORMAT=MLN","FA_ADJUSTED=Adjusted","Sort=A","Dates=H","DateFormat=P","Fill=—","Direction=H","UseDPDF=Y")</f>
        <v>1747.664</v>
      </c>
      <c r="S16" s="16" cm="1">
        <f t="array" ref="S16">_xll.BDH("NUE US Equity","IS_OPER_INC","FQ1 2023","FQ1 2023","Currency=USD","Period=FQ","BEST_FPERIOD_OVERRIDE=FQ","FILING_STATUS=MR","SCALING_FORMAT=MLN","FA_ADJUSTED=Adjusted","Sort=A","Dates=H","DateFormat=P","Fill=—","Direction=H","UseDPDF=Y")</f>
        <v>1690.307</v>
      </c>
      <c r="T16" s="16" cm="1">
        <f t="array" ref="T16">_xll.BDH("NUE US Equity","IS_OPER_INC","FQ2 2023","FQ2 2023","Currency=USD","Period=FQ","BEST_FPERIOD_OVERRIDE=FQ","FILING_STATUS=MR","SCALING_FORMAT=MLN","FA_ADJUSTED=Adjusted","Sort=A","Dates=H","DateFormat=P","Fill=—","Direction=H","UseDPDF=Y")</f>
        <v>2138.2860000000001</v>
      </c>
      <c r="U16" s="16" cm="1">
        <f t="array" ref="U16">_xll.BDH("NUE US Equity","IS_OPER_INC","FQ3 2023","FQ3 2023","Currency=USD","Period=FQ","BEST_FPERIOD_OVERRIDE=FQ","FILING_STATUS=MR","SCALING_FORMAT=MLN","FA_ADJUSTED=Adjusted","Sort=A","Dates=H","DateFormat=P","Fill=—","Direction=H","UseDPDF=Y")</f>
        <v>1636.0319999999999</v>
      </c>
      <c r="V16" s="16" cm="1">
        <f t="array" ref="V16">_xll.BDH("NUE US Equity","IS_OPER_INC","FQ4 2023","FQ4 2023","Currency=USD","Period=FQ","BEST_FPERIOD_OVERRIDE=FQ","FILING_STATUS=MR","SCALING_FORMAT=MLN","FA_ADJUSTED=Adjusted","Sort=A","Dates=H","DateFormat=P","Fill=—","Direction=H","UseDPDF=Y")</f>
        <v>1165.7170000000001</v>
      </c>
      <c r="W16" s="16" cm="1">
        <f t="array" ref="W16">_xll.BDH("NUE US Equity","IS_OPER_INC","FQ1 2024","FQ1 2024","Currency=USD","Period=FQ","BEST_FPERIOD_OVERRIDE=FQ","FILING_STATUS=MR","SCALING_FORMAT=MLN","FA_ADJUSTED=Adjusted","Sort=A","Dates=H","DateFormat=P","Fill=—","Direction=H","UseDPDF=Y")</f>
        <v>1302.7850000000001</v>
      </c>
      <c r="X16" s="16" cm="1">
        <f t="array" ref="X16">_xll.BDH("NUE US Equity","IS_OPER_INC","FQ2 2024","FQ2 2024","Currency=USD","Period=FQ","BEST_FPERIOD_OVERRIDE=FQ","FILING_STATUS=MR","SCALING_FORMAT=MLN","FA_ADJUSTED=Adjusted","Sort=A","Dates=H","DateFormat=P","Fill=—","Direction=H","UseDPDF=Y")</f>
        <v>1011.825</v>
      </c>
      <c r="Y16" s="16" cm="1">
        <f t="array" ref="Y16">_xll.BDH("NUE US Equity","IS_OPER_INC","FQ3 2024","FQ3 2024","Currency=USD","Period=FQ","BEST_FPERIOD_OVERRIDE=FQ","FILING_STATUS=MR","SCALING_FORMAT=MLN","FA_ADJUSTED=Adjusted","Sort=A","Dates=H","DateFormat=P","Fill=—","Direction=H","UseDPDF=Y")</f>
        <v>681.27700000000004</v>
      </c>
      <c r="Z16" s="16" cm="1">
        <f t="array" ref="Z16">_xll.BDH("NUE US Equity","IS_OPER_INC","FQ4 2024","FQ4 2024","Currency=USD","Period=FQ","BEST_FPERIOD_OVERRIDE=FQ","FILING_STATUS=MR","SCALING_FORMAT=MLN","FA_ADJUSTED=Adjusted","Sort=A","Dates=H","DateFormat=P","Fill=—","Direction=H","UseDPDF=Y")</f>
        <v>551</v>
      </c>
      <c r="AA16" s="16" cm="1">
        <f t="array" ref="AA16">_xll.BDH("NUE US Equity","IS_OPER_INC","FQ1 2025","FQ1 2025","Currency=USD","Period=FQ","BEST_FPERIOD_OVERRIDE=FQ","FILING_STATUS=MR","SCALING_FORMAT=MLN","FA_ADJUSTED=Adjusted","Sort=A","Dates=H","DateFormat=P","Fill=—","Direction=H","UseDPDF=Y")</f>
        <v>494</v>
      </c>
      <c r="AB16" s="16" cm="1">
        <f t="array" ref="AB16">_xll.BDH("NUE US Equity","IS_OPER_INC","FQ2 2025","FQ2 2025","Currency=USD","Period=FQ","BEST_FPERIOD_OVERRIDE=FQ","FILING_STATUS=MR","SCALING_FORMAT=MLN","FA_ADJUSTED=Adjusted","Sort=A","Dates=H","DateFormat=P","Fill=—","Direction=H","UseDPDF=Y")</f>
        <v>919</v>
      </c>
      <c r="AC16" s="16" cm="1">
        <f t="array" ref="AC16">_xll.BDH("NUE US Equity","IS_OPER_INC","FQ3 2025","FQ3 2025","Currency=USD","Period=FQ","BEST_FPERIOD_OVERRIDE=FQ","FILING_STATUS=MR","SCALING_FORMAT=MLN","FA_ADJUSTED=Adjusted","Sort=A","Dates=H","DateFormat=P","Fill=—","Direction=H","UseDPDF=Y")</f>
        <v>991</v>
      </c>
      <c r="AD16" s="16" cm="1">
        <f t="array" ref="AD16">_xll.BDH("NUE US Equity","IS_OPER_INC","FQ4 2025","FQ4 2025","Currency=USD","Period=FQ","BEST_FPERIOD_OVERRIDE=FQ","FILING_STATUS=MR","SCALING_FORMAT=MLN","FA_ADJUSTED=Adjusted","Sort=A","Dates=H","DateFormat=P","Fill=—","Direction=H","UseDPDF=Y")</f>
        <v>615</v>
      </c>
      <c r="AE16" s="16">
        <v>941.2</v>
      </c>
      <c r="AF16" s="16">
        <v>1072.5</v>
      </c>
    </row>
    <row r="17" spans="1:32" x14ac:dyDescent="0.25">
      <c r="A17" s="10" t="s">
        <v>87</v>
      </c>
      <c r="B17" s="10" t="s">
        <v>88</v>
      </c>
      <c r="C17" s="13" cm="1">
        <f t="array" ref="C17">_xll.BDH("NUE US Equity","IS_NONOP_INCOME_LOSS","FQ1 2019","FQ1 2019","Currency=USD","Period=FQ","BEST_FPERIOD_OVERRIDE=FQ","FILING_STATUS=MR","SCALING_FORMAT=MLN","FA_ADJUSTED=Adjusted","Sort=A","Dates=H","DateFormat=P","Fill=—","Direction=H","UseDPDF=Y")</f>
        <v>25.536999999999999</v>
      </c>
      <c r="D17" s="13" cm="1">
        <f t="array" ref="D17">_xll.BDH("NUE US Equity","IS_NONOP_INCOME_LOSS","FQ2 2019","FQ2 2019","Currency=USD","Period=FQ","BEST_FPERIOD_OVERRIDE=FQ","FILING_STATUS=MR","SCALING_FORMAT=MLN","FA_ADJUSTED=Adjusted","Sort=A","Dates=H","DateFormat=P","Fill=—","Direction=H","UseDPDF=Y")</f>
        <v>31.891999999999999</v>
      </c>
      <c r="E17" s="13" cm="1">
        <f t="array" ref="E17">_xll.BDH("NUE US Equity","IS_NONOP_INCOME_LOSS","FQ3 2019","FQ3 2019","Currency=USD","Period=FQ","BEST_FPERIOD_OVERRIDE=FQ","FILING_STATUS=MR","SCALING_FORMAT=MLN","FA_ADJUSTED=Adjusted","Sort=A","Dates=H","DateFormat=P","Fill=—","Direction=H","UseDPDF=Y")</f>
        <v>32.871000000000002</v>
      </c>
      <c r="F17" s="13" cm="1">
        <f t="array" ref="F17">_xll.BDH("NUE US Equity","IS_NONOP_INCOME_LOSS","FQ4 2019","FQ4 2019","Currency=USD","Period=FQ","BEST_FPERIOD_OVERRIDE=FQ","FILING_STATUS=MR","SCALING_FORMAT=MLN","FA_ADJUSTED=Adjusted","Sort=A","Dates=H","DateFormat=P","Fill=—","Direction=H","UseDPDF=Y")</f>
        <v>27.814</v>
      </c>
      <c r="G17" s="13" cm="1">
        <f t="array" ref="G17">_xll.BDH("NUE US Equity","IS_NONOP_INCOME_LOSS","FQ1 2020","FQ1 2020","Currency=USD","Period=FQ","BEST_FPERIOD_OVERRIDE=FQ","FILING_STATUS=MR","SCALING_FORMAT=MLN","FA_ADJUSTED=Adjusted","Sort=A","Dates=H","DateFormat=P","Fill=—","Direction=H","UseDPDF=Y")</f>
        <v>41.732999999999997</v>
      </c>
      <c r="H17" s="13" cm="1">
        <f t="array" ref="H17">_xll.BDH("NUE US Equity","IS_NONOP_INCOME_LOSS","FQ2 2020","FQ2 2020","Currency=USD","Period=FQ","BEST_FPERIOD_OVERRIDE=FQ","FILING_STATUS=MR","SCALING_FORMAT=MLN","FA_ADJUSTED=Adjusted","Sort=A","Dates=H","DateFormat=P","Fill=—","Direction=H","UseDPDF=Y")</f>
        <v>49.884999999999998</v>
      </c>
      <c r="I17" s="13" cm="1">
        <f t="array" ref="I17">_xll.BDH("NUE US Equity","IS_NONOP_INCOME_LOSS","FQ3 2020","FQ3 2020","Currency=USD","Period=FQ","BEST_FPERIOD_OVERRIDE=FQ","FILING_STATUS=MR","SCALING_FORMAT=MLN","FA_ADJUSTED=Adjusted","Sort=A","Dates=H","DateFormat=P","Fill=—","Direction=H","UseDPDF=Y")</f>
        <v>39.659999999999997</v>
      </c>
      <c r="J17" s="13" cm="1">
        <f t="array" ref="J17">_xll.BDH("NUE US Equity","IS_NONOP_INCOME_LOSS","FQ4 2020","FQ4 2020","Currency=USD","Period=FQ","BEST_FPERIOD_OVERRIDE=FQ","FILING_STATUS=MR","SCALING_FORMAT=MLN","FA_ADJUSTED=Adjusted","Sort=A","Dates=H","DateFormat=P","Fill=—","Direction=H","UseDPDF=Y")</f>
        <v>32.453000000000003</v>
      </c>
      <c r="K17" s="13" cm="1">
        <f t="array" ref="K17">_xll.BDH("NUE US Equity","IS_NONOP_INCOME_LOSS","FQ1 2021","FQ1 2021","Currency=USD","Period=FQ","BEST_FPERIOD_OVERRIDE=FQ","FILING_STATUS=MR","SCALING_FORMAT=MLN","FA_ADJUSTED=Adjusted","Sort=A","Dates=H","DateFormat=P","Fill=—","Direction=H","UseDPDF=Y")</f>
        <v>26.405000000000001</v>
      </c>
      <c r="L17" s="13" cm="1">
        <f t="array" ref="L17">_xll.BDH("NUE US Equity","IS_NONOP_INCOME_LOSS","FQ2 2021","FQ2 2021","Currency=USD","Period=FQ","BEST_FPERIOD_OVERRIDE=FQ","FILING_STATUS=MR","SCALING_FORMAT=MLN","FA_ADJUSTED=Adjusted","Sort=A","Dates=H","DateFormat=P","Fill=—","Direction=H","UseDPDF=Y")</f>
        <v>16.376999999999999</v>
      </c>
      <c r="M17" s="13" cm="1">
        <f t="array" ref="M17">_xll.BDH("NUE US Equity","IS_NONOP_INCOME_LOSS","FQ3 2021","FQ3 2021","Currency=USD","Period=FQ","BEST_FPERIOD_OVERRIDE=FQ","FILING_STATUS=MR","SCALING_FORMAT=MLN","FA_ADJUSTED=Adjusted","Sort=A","Dates=H","DateFormat=P","Fill=—","Direction=H","UseDPDF=Y")</f>
        <v>10.821</v>
      </c>
      <c r="N17" s="13" cm="1">
        <f t="array" ref="N17">_xll.BDH("NUE US Equity","IS_NONOP_INCOME_LOSS","FQ4 2021","FQ4 2021","Currency=USD","Period=FQ","BEST_FPERIOD_OVERRIDE=FQ","FILING_STATUS=MR","SCALING_FORMAT=MLN","FA_ADJUSTED=Adjusted","Sort=A","Dates=H","DateFormat=P","Fill=—","Direction=H","UseDPDF=Y")</f>
        <v>2.1829999999999998</v>
      </c>
      <c r="O17" s="13" cm="1">
        <f t="array" ref="O17">_xll.BDH("NUE US Equity","IS_NONOP_INCOME_LOSS","FQ1 2022","FQ1 2022","Currency=USD","Period=FQ","BEST_FPERIOD_OVERRIDE=FQ","FILING_STATUS=MR","SCALING_FORMAT=MLN","FA_ADJUSTED=Adjusted","Sort=A","Dates=H","DateFormat=P","Fill=—","Direction=H","UseDPDF=Y")</f>
        <v>35.44</v>
      </c>
      <c r="P17" s="13" cm="1">
        <f t="array" ref="P17">_xll.BDH("NUE US Equity","IS_NONOP_INCOME_LOSS","FQ2 2022","FQ2 2022","Currency=USD","Period=FQ","BEST_FPERIOD_OVERRIDE=FQ","FILING_STATUS=MR","SCALING_FORMAT=MLN","FA_ADJUSTED=Adjusted","Sort=A","Dates=H","DateFormat=P","Fill=—","Direction=H","UseDPDF=Y")</f>
        <v>50.65</v>
      </c>
      <c r="Q17" s="13" cm="1">
        <f t="array" ref="Q17">_xll.BDH("NUE US Equity","IS_NONOP_INCOME_LOSS","FQ3 2022","FQ3 2022","Currency=USD","Period=FQ","BEST_FPERIOD_OVERRIDE=FQ","FILING_STATUS=MR","SCALING_FORMAT=MLN","FA_ADJUSTED=Adjusted","Sort=A","Dates=H","DateFormat=P","Fill=—","Direction=H","UseDPDF=Y")</f>
        <v>33.908999999999999</v>
      </c>
      <c r="R17" s="13" cm="1">
        <f t="array" ref="R17">_xll.BDH("NUE US Equity","IS_NONOP_INCOME_LOSS","FQ4 2022","FQ4 2022","Currency=USD","Period=FQ","BEST_FPERIOD_OVERRIDE=FQ","FILING_STATUS=MR","SCALING_FORMAT=MLN","FA_ADJUSTED=Adjusted","Sort=A","Dates=H","DateFormat=P","Fill=—","Direction=H","UseDPDF=Y")</f>
        <v>39.503</v>
      </c>
      <c r="S17" s="13" cm="1">
        <f t="array" ref="S17">_xll.BDH("NUE US Equity","IS_NONOP_INCOME_LOSS","FQ1 2023","FQ1 2023","Currency=USD","Period=FQ","BEST_FPERIOD_OVERRIDE=FQ","FILING_STATUS=MR","SCALING_FORMAT=MLN","FA_ADJUSTED=Adjusted","Sort=A","Dates=H","DateFormat=P","Fill=—","Direction=H","UseDPDF=Y")</f>
        <v>11.523</v>
      </c>
      <c r="T17" s="13" cm="1">
        <f t="array" ref="T17">_xll.BDH("NUE US Equity","IS_NONOP_INCOME_LOSS","FQ2 2023","FQ2 2023","Currency=USD","Period=FQ","BEST_FPERIOD_OVERRIDE=FQ","FILING_STATUS=MR","SCALING_FORMAT=MLN","FA_ADJUSTED=Adjusted","Sort=A","Dates=H","DateFormat=P","Fill=—","Direction=H","UseDPDF=Y")</f>
        <v>-1.496</v>
      </c>
      <c r="U17" s="13" cm="1">
        <f t="array" ref="U17">_xll.BDH("NUE US Equity","IS_NONOP_INCOME_LOSS","FQ3 2023","FQ3 2023","Currency=USD","Period=FQ","BEST_FPERIOD_OVERRIDE=FQ","FILING_STATUS=MR","SCALING_FORMAT=MLN","FA_ADJUSTED=Adjusted","Sort=A","Dates=H","DateFormat=P","Fill=—","Direction=H","UseDPDF=Y")</f>
        <v>-13.05</v>
      </c>
      <c r="V17" s="13" cm="1">
        <f t="array" ref="V17">_xll.BDH("NUE US Equity","IS_NONOP_INCOME_LOSS","FQ4 2023","FQ4 2023","Currency=USD","Period=FQ","BEST_FPERIOD_OVERRIDE=FQ","FILING_STATUS=MR","SCALING_FORMAT=MLN","FA_ADJUSTED=Adjusted","Sort=A","Dates=H","DateFormat=P","Fill=—","Direction=H","UseDPDF=Y")</f>
        <v>-39.392000000000003</v>
      </c>
      <c r="W17" s="13" cm="1">
        <f t="array" ref="W17">_xll.BDH("NUE US Equity","IS_NONOP_INCOME_LOSS","FQ1 2024","FQ1 2024","Currency=USD","Period=FQ","BEST_FPERIOD_OVERRIDE=FQ","FILING_STATUS=MR","SCALING_FORMAT=MLN","FA_ADJUSTED=Adjusted","Sort=A","Dates=H","DateFormat=P","Fill=—","Direction=H","UseDPDF=Y")</f>
        <v>-47.555999999999997</v>
      </c>
      <c r="X17" s="13" cm="1">
        <f t="array" ref="X17">_xll.BDH("NUE US Equity","IS_NONOP_INCOME_LOSS","FQ2 2024","FQ2 2024","Currency=USD","Period=FQ","BEST_FPERIOD_OVERRIDE=FQ","FILING_STATUS=MR","SCALING_FORMAT=MLN","FA_ADJUSTED=Adjusted","Sort=A","Dates=H","DateFormat=P","Fill=—","Direction=H","UseDPDF=Y")</f>
        <v>-11.337999999999999</v>
      </c>
      <c r="Y17" s="13" cm="1">
        <f t="array" ref="Y17">_xll.BDH("NUE US Equity","IS_NONOP_INCOME_LOSS","FQ3 2024","FQ3 2024","Currency=USD","Period=FQ","BEST_FPERIOD_OVERRIDE=FQ","FILING_STATUS=MR","SCALING_FORMAT=MLN","FA_ADJUSTED=Adjusted","Sort=A","Dates=H","DateFormat=P","Fill=—","Direction=H","UseDPDF=Y")</f>
        <v>2.004</v>
      </c>
      <c r="Z17" s="13" cm="1">
        <f t="array" ref="Z17">_xll.BDH("NUE US Equity","IS_NONOP_INCOME_LOSS","FQ4 2024","FQ4 2024","Currency=USD","Period=FQ","BEST_FPERIOD_OVERRIDE=FQ","FILING_STATUS=MR","SCALING_FORMAT=MLN","FA_ADJUSTED=Adjusted","Sort=A","Dates=H","DateFormat=P","Fill=—","Direction=H","UseDPDF=Y")</f>
        <v>-3</v>
      </c>
      <c r="AA17" s="13" cm="1">
        <f t="array" ref="AA17">_xll.BDH("NUE US Equity","IS_NONOP_INCOME_LOSS","FQ1 2025","FQ1 2025","Currency=USD","Period=FQ","BEST_FPERIOD_OVERRIDE=FQ","FILING_STATUS=MR","SCALING_FORMAT=MLN","FA_ADJUSTED=Adjusted","Sort=A","Dates=H","DateFormat=P","Fill=—","Direction=H","UseDPDF=Y")</f>
        <v>10</v>
      </c>
      <c r="AB17" s="13" cm="1">
        <f t="array" ref="AB17">_xll.BDH("NUE US Equity","IS_NONOP_INCOME_LOSS","FQ2 2025","FQ2 2025","Currency=USD","Period=FQ","BEST_FPERIOD_OVERRIDE=FQ","FILING_STATUS=MR","SCALING_FORMAT=MLN","FA_ADJUSTED=Adjusted","Sort=A","Dates=H","DateFormat=P","Fill=—","Direction=H","UseDPDF=Y")</f>
        <v>9</v>
      </c>
      <c r="AC17" s="13" cm="1">
        <f t="array" ref="AC17">_xll.BDH("NUE US Equity","IS_NONOP_INCOME_LOSS","FQ3 2025","FQ3 2025","Currency=USD","Period=FQ","BEST_FPERIOD_OVERRIDE=FQ","FILING_STATUS=MR","SCALING_FORMAT=MLN","FA_ADJUSTED=Adjusted","Sort=A","Dates=H","DateFormat=P","Fill=—","Direction=H","UseDPDF=Y")</f>
        <v>5</v>
      </c>
      <c r="AD17" s="13" cm="1">
        <f t="array" ref="AD17">_xll.BDH("NUE US Equity","IS_NONOP_INCOME_LOSS","FQ4 2025","FQ4 2025","Currency=USD","Period=FQ","BEST_FPERIOD_OVERRIDE=FQ","FILING_STATUS=MR","SCALING_FORMAT=MLN","FA_ADJUSTED=Adjusted","Sort=A","Dates=H","DateFormat=P","Fill=—","Direction=H","UseDPDF=Y")</f>
        <v>0</v>
      </c>
      <c r="AE17" s="13"/>
      <c r="AF17" s="13"/>
    </row>
    <row r="18" spans="1:32" x14ac:dyDescent="0.25">
      <c r="A18" s="10" t="s">
        <v>89</v>
      </c>
      <c r="B18" s="10" t="s">
        <v>90</v>
      </c>
      <c r="C18" s="13" cm="1">
        <f t="array" ref="C18">_xll.BDH("NUE US Equity","IS_NET_INTEREST_EXPENSE","FQ1 2019","FQ1 2019","Currency=USD","Period=FQ","BEST_FPERIOD_OVERRIDE=FQ","FILING_STATUS=MR","SCALING_FORMAT=MLN","FA_ADJUSTED=Adjusted","Sort=A","Dates=H","DateFormat=P","Fill=—","Direction=H","UseDPDF=Y")</f>
        <v>28.443000000000001</v>
      </c>
      <c r="D18" s="13" cm="1">
        <f t="array" ref="D18">_xll.BDH("NUE US Equity","IS_NET_INTEREST_EXPENSE","FQ2 2019","FQ2 2019","Currency=USD","Period=FQ","BEST_FPERIOD_OVERRIDE=FQ","FILING_STATUS=MR","SCALING_FORMAT=MLN","FA_ADJUSTED=Adjusted","Sort=A","Dates=H","DateFormat=P","Fill=—","Direction=H","UseDPDF=Y")</f>
        <v>33.03</v>
      </c>
      <c r="E18" s="13" cm="1">
        <f t="array" ref="E18">_xll.BDH("NUE US Equity","IS_NET_INTEREST_EXPENSE","FQ3 2019","FQ3 2019","Currency=USD","Period=FQ","BEST_FPERIOD_OVERRIDE=FQ","FILING_STATUS=MR","SCALING_FORMAT=MLN","FA_ADJUSTED=Adjusted","Sort=A","Dates=H","DateFormat=P","Fill=—","Direction=H","UseDPDF=Y")</f>
        <v>31.286000000000001</v>
      </c>
      <c r="F18" s="13" cm="1">
        <f t="array" ref="F18">_xll.BDH("NUE US Equity","IS_NET_INTEREST_EXPENSE","FQ4 2019","FQ4 2019","Currency=USD","Period=FQ","BEST_FPERIOD_OVERRIDE=FQ","FILING_STATUS=MR","SCALING_FORMAT=MLN","FA_ADJUSTED=Adjusted","Sort=A","Dates=H","DateFormat=P","Fill=—","Direction=H","UseDPDF=Y")</f>
        <v>28.666</v>
      </c>
      <c r="G18" s="13" cm="1">
        <f t="array" ref="G18">_xll.BDH("NUE US Equity","IS_NET_INTEREST_EXPENSE","FQ1 2020","FQ1 2020","Currency=USD","Period=FQ","BEST_FPERIOD_OVERRIDE=FQ","FILING_STATUS=MR","SCALING_FORMAT=MLN","FA_ADJUSTED=Adjusted","Sort=A","Dates=H","DateFormat=P","Fill=—","Direction=H","UseDPDF=Y")</f>
        <v>40.909999999999997</v>
      </c>
      <c r="H18" s="13" cm="1">
        <f t="array" ref="H18">_xll.BDH("NUE US Equity","IS_NET_INTEREST_EXPENSE","FQ2 2020","FQ2 2020","Currency=USD","Period=FQ","BEST_FPERIOD_OVERRIDE=FQ","FILING_STATUS=MR","SCALING_FORMAT=MLN","FA_ADJUSTED=Adjusted","Sort=A","Dates=H","DateFormat=P","Fill=—","Direction=H","UseDPDF=Y")</f>
        <v>35.807000000000002</v>
      </c>
      <c r="I18" s="13" cm="1">
        <f t="array" ref="I18">_xll.BDH("NUE US Equity","IS_NET_INTEREST_EXPENSE","FQ3 2020","FQ3 2020","Currency=USD","Period=FQ","BEST_FPERIOD_OVERRIDE=FQ","FILING_STATUS=MR","SCALING_FORMAT=MLN","FA_ADJUSTED=Adjusted","Sort=A","Dates=H","DateFormat=P","Fill=—","Direction=H","UseDPDF=Y")</f>
        <v>40.139000000000003</v>
      </c>
      <c r="J18" s="13" cm="1">
        <f t="array" ref="J18">_xll.BDH("NUE US Equity","IS_NET_INTEREST_EXPENSE","FQ4 2020","FQ4 2020","Currency=USD","Period=FQ","BEST_FPERIOD_OVERRIDE=FQ","FILING_STATUS=MR","SCALING_FORMAT=MLN","FA_ADJUSTED=Adjusted","Sort=A","Dates=H","DateFormat=P","Fill=—","Direction=H","UseDPDF=Y")</f>
        <v>36.341999999999999</v>
      </c>
      <c r="K18" s="13" cm="1">
        <f t="array" ref="K18">_xll.BDH("NUE US Equity","IS_NET_INTEREST_EXPENSE","FQ1 2021","FQ1 2021","Currency=USD","Period=FQ","BEST_FPERIOD_OVERRIDE=FQ","FILING_STATUS=MR","SCALING_FORMAT=MLN","FA_ADJUSTED=Adjusted","Sort=A","Dates=H","DateFormat=P","Fill=—","Direction=H","UseDPDF=Y")</f>
        <v>39.643999999999998</v>
      </c>
      <c r="L18" s="13" cm="1">
        <f t="array" ref="L18">_xll.BDH("NUE US Equity","IS_NET_INTEREST_EXPENSE","FQ2 2021","FQ2 2021","Currency=USD","Period=FQ","BEST_FPERIOD_OVERRIDE=FQ","FILING_STATUS=MR","SCALING_FORMAT=MLN","FA_ADJUSTED=Adjusted","Sort=A","Dates=H","DateFormat=P","Fill=—","Direction=H","UseDPDF=Y")</f>
        <v>35.78</v>
      </c>
      <c r="M18" s="13" cm="1">
        <f t="array" ref="M18">_xll.BDH("NUE US Equity","IS_NET_INTEREST_EXPENSE","FQ3 2021","FQ3 2021","Currency=USD","Period=FQ","BEST_FPERIOD_OVERRIDE=FQ","FILING_STATUS=MR","SCALING_FORMAT=MLN","FA_ADJUSTED=Adjusted","Sort=A","Dates=H","DateFormat=P","Fill=—","Direction=H","UseDPDF=Y")</f>
        <v>43.284999999999997</v>
      </c>
      <c r="N18" s="13" cm="1">
        <f t="array" ref="N18">_xll.BDH("NUE US Equity","IS_NET_INTEREST_EXPENSE","FQ4 2021","FQ4 2021","Currency=USD","Period=FQ","BEST_FPERIOD_OVERRIDE=FQ","FILING_STATUS=MR","SCALING_FORMAT=MLN","FA_ADJUSTED=Adjusted","Sort=A","Dates=H","DateFormat=P","Fill=—","Direction=H","UseDPDF=Y")</f>
        <v>40.145000000000003</v>
      </c>
      <c r="O18" s="13" cm="1">
        <f t="array" ref="O18">_xll.BDH("NUE US Equity","IS_NET_INTEREST_EXPENSE","FQ1 2022","FQ1 2022","Currency=USD","Period=FQ","BEST_FPERIOD_OVERRIDE=FQ","FILING_STATUS=MR","SCALING_FORMAT=MLN","FA_ADJUSTED=Adjusted","Sort=A","Dates=H","DateFormat=P","Fill=—","Direction=H","UseDPDF=Y")</f>
        <v>43.134999999999998</v>
      </c>
      <c r="P18" s="13" cm="1">
        <f t="array" ref="P18">_xll.BDH("NUE US Equity","IS_NET_INTEREST_EXPENSE","FQ2 2022","FQ2 2022","Currency=USD","Period=FQ","BEST_FPERIOD_OVERRIDE=FQ","FILING_STATUS=MR","SCALING_FORMAT=MLN","FA_ADJUSTED=Adjusted","Sort=A","Dates=H","DateFormat=P","Fill=—","Direction=H","UseDPDF=Y")</f>
        <v>57.762999999999998</v>
      </c>
      <c r="Q18" s="13" cm="1">
        <f t="array" ref="Q18">_xll.BDH("NUE US Equity","IS_NET_INTEREST_EXPENSE","FQ3 2022","FQ3 2022","Currency=USD","Period=FQ","BEST_FPERIOD_OVERRIDE=FQ","FILING_STATUS=MR","SCALING_FORMAT=MLN","FA_ADJUSTED=Adjusted","Sort=A","Dates=H","DateFormat=P","Fill=—","Direction=H","UseDPDF=Y")</f>
        <v>42.347000000000001</v>
      </c>
      <c r="R18" s="13" cm="1">
        <f t="array" ref="R18">_xll.BDH("NUE US Equity","IS_NET_INTEREST_EXPENSE","FQ4 2022","FQ4 2022","Currency=USD","Period=FQ","BEST_FPERIOD_OVERRIDE=FQ","FILING_STATUS=MR","SCALING_FORMAT=MLN","FA_ADJUSTED=Adjusted","Sort=A","Dates=H","DateFormat=P","Fill=—","Direction=H","UseDPDF=Y")</f>
        <v>26.971</v>
      </c>
      <c r="S18" s="13" cm="1">
        <f t="array" ref="S18">_xll.BDH("NUE US Equity","IS_NET_INTEREST_EXPENSE","FQ1 2023","FQ1 2023","Currency=USD","Period=FQ","BEST_FPERIOD_OVERRIDE=FQ","FILING_STATUS=MR","SCALING_FORMAT=MLN","FA_ADJUSTED=Adjusted","Sort=A","Dates=H","DateFormat=P","Fill=—","Direction=H","UseDPDF=Y")</f>
        <v>10.183</v>
      </c>
      <c r="T18" s="13" cm="1">
        <f t="array" ref="T18">_xll.BDH("NUE US Equity","IS_NET_INTEREST_EXPENSE","FQ2 2023","FQ2 2023","Currency=USD","Period=FQ","BEST_FPERIOD_OVERRIDE=FQ","FILING_STATUS=MR","SCALING_FORMAT=MLN","FA_ADJUSTED=Adjusted","Sort=A","Dates=H","DateFormat=P","Fill=—","Direction=H","UseDPDF=Y")</f>
        <v>4.5979999999999999</v>
      </c>
      <c r="U18" s="13" cm="1">
        <f t="array" ref="U18">_xll.BDH("NUE US Equity","IS_NET_INTEREST_EXPENSE","FQ3 2023","FQ3 2023","Currency=USD","Period=FQ","BEST_FPERIOD_OVERRIDE=FQ","FILING_STATUS=MR","SCALING_FORMAT=MLN","FA_ADJUSTED=Adjusted","Sort=A","Dates=H","DateFormat=P","Fill=—","Direction=H","UseDPDF=Y")</f>
        <v>-14.132999999999999</v>
      </c>
      <c r="V18" s="13" cm="1">
        <f t="array" ref="V18">_xll.BDH("NUE US Equity","IS_NET_INTEREST_EXPENSE","FQ4 2023","FQ4 2023","Currency=USD","Period=FQ","BEST_FPERIOD_OVERRIDE=FQ","FILING_STATUS=MR","SCALING_FORMAT=MLN","FA_ADJUSTED=Adjusted","Sort=A","Dates=H","DateFormat=P","Fill=—","Direction=H","UseDPDF=Y")</f>
        <v>-30.28</v>
      </c>
      <c r="W18" s="13" cm="1">
        <f t="array" ref="W18">_xll.BDH("NUE US Equity","IS_NET_INTEREST_EXPENSE","FQ1 2024","FQ1 2024","Currency=USD","Period=FQ","BEST_FPERIOD_OVERRIDE=FQ","FILING_STATUS=MR","SCALING_FORMAT=MLN","FA_ADJUSTED=Adjusted","Sort=A","Dates=H","DateFormat=P","Fill=—","Direction=H","UseDPDF=Y")</f>
        <v>-37.786999999999999</v>
      </c>
      <c r="X18" s="13" cm="1">
        <f t="array" ref="X18">_xll.BDH("NUE US Equity","IS_NET_INTEREST_EXPENSE","FQ2 2024","FQ2 2024","Currency=USD","Period=FQ","BEST_FPERIOD_OVERRIDE=FQ","FILING_STATUS=MR","SCALING_FORMAT=MLN","FA_ADJUSTED=Adjusted","Sort=A","Dates=H","DateFormat=P","Fill=—","Direction=H","UseDPDF=Y")</f>
        <v>-2.306</v>
      </c>
      <c r="Y18" s="13" cm="1">
        <f t="array" ref="Y18">_xll.BDH("NUE US Equity","IS_NET_INTEREST_EXPENSE","FQ3 2024","FQ3 2024","Currency=USD","Period=FQ","BEST_FPERIOD_OVERRIDE=FQ","FILING_STATUS=MR","SCALING_FORMAT=MLN","FA_ADJUSTED=Adjusted","Sort=A","Dates=H","DateFormat=P","Fill=—","Direction=H","UseDPDF=Y")</f>
        <v>7.282</v>
      </c>
      <c r="Z18" s="13" cm="1">
        <f t="array" ref="Z18">_xll.BDH("NUE US Equity","IS_NET_INTEREST_EXPENSE","FQ4 2024","FQ4 2024","Currency=USD","Period=FQ","BEST_FPERIOD_OVERRIDE=FQ","FILING_STATUS=MR","SCALING_FORMAT=MLN","FA_ADJUSTED=Adjusted","Sort=A","Dates=H","DateFormat=P","Fill=—","Direction=H","UseDPDF=Y")</f>
        <v>3</v>
      </c>
      <c r="AA18" s="13" cm="1">
        <f t="array" ref="AA18">_xll.BDH("NUE US Equity","IS_NET_INTEREST_EXPENSE","FQ1 2025","FQ1 2025","Currency=USD","Period=FQ","BEST_FPERIOD_OVERRIDE=FQ","FILING_STATUS=MR","SCALING_FORMAT=MLN","FA_ADJUSTED=Adjusted","Sort=A","Dates=H","DateFormat=P","Fill=—","Direction=H","UseDPDF=Y")</f>
        <v>14</v>
      </c>
      <c r="AB18" s="13" cm="1">
        <f t="array" ref="AB18">_xll.BDH("NUE US Equity","IS_NET_INTEREST_EXPENSE","FQ2 2025","FQ2 2025","Currency=USD","Period=FQ","BEST_FPERIOD_OVERRIDE=FQ","FILING_STATUS=MR","SCALING_FORMAT=MLN","FA_ADJUSTED=Adjusted","Sort=A","Dates=H","DateFormat=P","Fill=—","Direction=H","UseDPDF=Y")</f>
        <v>19</v>
      </c>
      <c r="AC18" s="13" cm="1">
        <f t="array" ref="AC18">_xll.BDH("NUE US Equity","IS_NET_INTEREST_EXPENSE","FQ3 2025","FQ3 2025","Currency=USD","Period=FQ","BEST_FPERIOD_OVERRIDE=FQ","FILING_STATUS=MR","SCALING_FORMAT=MLN","FA_ADJUSTED=Adjusted","Sort=A","Dates=H","DateFormat=P","Fill=—","Direction=H","UseDPDF=Y")</f>
        <v>15</v>
      </c>
      <c r="AD18" s="13" cm="1">
        <f t="array" ref="AD18">_xll.BDH("NUE US Equity","IS_NET_INTEREST_EXPENSE","FQ4 2025","FQ4 2025","Currency=USD","Period=FQ","BEST_FPERIOD_OVERRIDE=FQ","FILING_STATUS=MR","SCALING_FORMAT=MLN","FA_ADJUSTED=Adjusted","Sort=A","Dates=H","DateFormat=P","Fill=—","Direction=H","UseDPDF=Y")</f>
        <v>11</v>
      </c>
      <c r="AE18" s="13"/>
      <c r="AF18" s="13"/>
    </row>
    <row r="19" spans="1:32" x14ac:dyDescent="0.25">
      <c r="A19" s="11" t="s">
        <v>91</v>
      </c>
      <c r="B19" s="11" t="s">
        <v>92</v>
      </c>
      <c r="C19" s="18" cm="1">
        <f t="array" ref="C19">_xll.BDH("NUE US Equity","IS_INT_EXPENSE","FQ1 2019","FQ1 2019","Currency=USD","Period=FQ","BEST_FPERIOD_OVERRIDE=FQ","FILING_STATUS=MR","SCALING_FORMAT=MLN","FA_ADJUSTED=Adjusted","Sort=A","Dates=H","DateFormat=P","Fill=—","Direction=H","UseDPDF=Y")</f>
        <v>37.061999999999998</v>
      </c>
      <c r="D19" s="18" cm="1">
        <f t="array" ref="D19">_xll.BDH("NUE US Equity","IS_INT_EXPENSE","FQ2 2019","FQ2 2019","Currency=USD","Period=FQ","BEST_FPERIOD_OVERRIDE=FQ","FILING_STATUS=MR","SCALING_FORMAT=MLN","FA_ADJUSTED=Adjusted","Sort=A","Dates=H","DateFormat=P","Fill=—","Direction=H","UseDPDF=Y")</f>
        <v>41.953000000000003</v>
      </c>
      <c r="E19" s="18" cm="1">
        <f t="array" ref="E19">_xll.BDH("NUE US Equity","IS_INT_EXPENSE","FQ3 2019","FQ3 2019","Currency=USD","Period=FQ","BEST_FPERIOD_OVERRIDE=FQ","FILING_STATUS=MR","SCALING_FORMAT=MLN","FA_ADJUSTED=Adjusted","Sort=A","Dates=H","DateFormat=P","Fill=—","Direction=H","UseDPDF=Y")</f>
        <v>40.720999999999997</v>
      </c>
      <c r="F19" s="18" cm="1">
        <f t="array" ref="F19">_xll.BDH("NUE US Equity","IS_INT_EXPENSE","FQ4 2019","FQ4 2019","Currency=USD","Period=FQ","BEST_FPERIOD_OVERRIDE=FQ","FILING_STATUS=MR","SCALING_FORMAT=MLN","FA_ADJUSTED=Adjusted","Sort=A","Dates=H","DateFormat=P","Fill=—","Direction=H","UseDPDF=Y")</f>
        <v>37.622</v>
      </c>
      <c r="G19" s="18" cm="1">
        <f t="array" ref="G19">_xll.BDH("NUE US Equity","IS_INT_EXPENSE","FQ1 2020","FQ1 2020","Currency=USD","Period=FQ","BEST_FPERIOD_OVERRIDE=FQ","FILING_STATUS=MR","SCALING_FORMAT=MLN","FA_ADJUSTED=Adjusted","Sort=A","Dates=H","DateFormat=P","Fill=—","Direction=H","UseDPDF=Y")</f>
        <v>47.595999999999997</v>
      </c>
      <c r="H19" s="18" cm="1">
        <f t="array" ref="H19">_xll.BDH("NUE US Equity","IS_INT_EXPENSE","FQ2 2020","FQ2 2020","Currency=USD","Period=FQ","BEST_FPERIOD_OVERRIDE=FQ","FILING_STATUS=MR","SCALING_FORMAT=MLN","FA_ADJUSTED=Adjusted","Sort=A","Dates=H","DateFormat=P","Fill=—","Direction=H","UseDPDF=Y")</f>
        <v>38.848999999999997</v>
      </c>
      <c r="I19" s="18" cm="1">
        <f t="array" ref="I19">_xll.BDH("NUE US Equity","IS_INT_EXPENSE","FQ3 2020","FQ3 2020","Currency=USD","Period=FQ","BEST_FPERIOD_OVERRIDE=FQ","FILING_STATUS=MR","SCALING_FORMAT=MLN","FA_ADJUSTED=Adjusted","Sort=A","Dates=H","DateFormat=P","Fill=—","Direction=H","UseDPDF=Y")</f>
        <v>42.280999999999999</v>
      </c>
      <c r="J19" s="18" cm="1">
        <f t="array" ref="J19">_xll.BDH("NUE US Equity","IS_INT_EXPENSE","FQ4 2020","FQ4 2020","Currency=USD","Period=FQ","BEST_FPERIOD_OVERRIDE=FQ","FILING_STATUS=MR","SCALING_FORMAT=MLN","FA_ADJUSTED=Adjusted","Sort=A","Dates=H","DateFormat=P","Fill=—","Direction=H","UseDPDF=Y")</f>
        <v>37.887</v>
      </c>
      <c r="K19" s="18" cm="1">
        <f t="array" ref="K19">_xll.BDH("NUE US Equity","IS_INT_EXPENSE","FQ1 2021","FQ1 2021","Currency=USD","Period=FQ","BEST_FPERIOD_OVERRIDE=FQ","FILING_STATUS=MR","SCALING_FORMAT=MLN","FA_ADJUSTED=Adjusted","Sort=A","Dates=H","DateFormat=P","Fill=—","Direction=H","UseDPDF=Y")</f>
        <v>40.97</v>
      </c>
      <c r="L19" s="18" cm="1">
        <f t="array" ref="L19">_xll.BDH("NUE US Equity","IS_INT_EXPENSE","FQ2 2021","FQ2 2021","Currency=USD","Period=FQ","BEST_FPERIOD_OVERRIDE=FQ","FILING_STATUS=MR","SCALING_FORMAT=MLN","FA_ADJUSTED=Adjusted","Sort=A","Dates=H","DateFormat=P","Fill=—","Direction=H","UseDPDF=Y")</f>
        <v>37.661000000000001</v>
      </c>
      <c r="M19" s="18" cm="1">
        <f t="array" ref="M19">_xll.BDH("NUE US Equity","IS_INT_EXPENSE","FQ3 2021","FQ3 2021","Currency=USD","Period=FQ","BEST_FPERIOD_OVERRIDE=FQ","FILING_STATUS=MR","SCALING_FORMAT=MLN","FA_ADJUSTED=Adjusted","Sort=A","Dates=H","DateFormat=P","Fill=—","Direction=H","UseDPDF=Y")</f>
        <v>43.908000000000001</v>
      </c>
      <c r="N19" s="18" cm="1">
        <f t="array" ref="N19">_xll.BDH("NUE US Equity","IS_INT_EXPENSE","FQ4 2021","FQ4 2021","Currency=USD","Period=FQ","BEST_FPERIOD_OVERRIDE=FQ","FILING_STATUS=MR","SCALING_FORMAT=MLN","FA_ADJUSTED=Adjusted","Sort=A","Dates=H","DateFormat=P","Fill=—","Direction=H","UseDPDF=Y")</f>
        <v>40.582000000000001</v>
      </c>
      <c r="O19" s="18" cm="1">
        <f t="array" ref="O19">_xll.BDH("NUE US Equity","IS_INT_EXPENSE","FQ1 2022","FQ1 2022","Currency=USD","Period=FQ","BEST_FPERIOD_OVERRIDE=FQ","FILING_STATUS=MR","SCALING_FORMAT=MLN","FA_ADJUSTED=Adjusted","Sort=A","Dates=H","DateFormat=P","Fill=—","Direction=H","UseDPDF=Y")</f>
        <v>44.076000000000001</v>
      </c>
      <c r="P19" s="18" cm="1">
        <f t="array" ref="P19">_xll.BDH("NUE US Equity","IS_INT_EXPENSE","FQ2 2022","FQ2 2022","Currency=USD","Period=FQ","BEST_FPERIOD_OVERRIDE=FQ","FILING_STATUS=MR","SCALING_FORMAT=MLN","FA_ADJUSTED=Adjusted","Sort=A","Dates=H","DateFormat=P","Fill=—","Direction=H","UseDPDF=Y")</f>
        <v>63.514000000000003</v>
      </c>
      <c r="Q19" s="18" cm="1">
        <f t="array" ref="Q19">_xll.BDH("NUE US Equity","IS_INT_EXPENSE","FQ3 2022","FQ3 2022","Currency=USD","Period=FQ","BEST_FPERIOD_OVERRIDE=FQ","FILING_STATUS=MR","SCALING_FORMAT=MLN","FA_ADJUSTED=Adjusted","Sort=A","Dates=H","DateFormat=P","Fill=—","Direction=H","UseDPDF=Y")</f>
        <v>54.569000000000003</v>
      </c>
      <c r="R19" s="18" cm="1">
        <f t="array" ref="R19">_xll.BDH("NUE US Equity","IS_INT_EXPENSE","FQ4 2022","FQ4 2022","Currency=USD","Period=FQ","BEST_FPERIOD_OVERRIDE=FQ","FILING_STATUS=MR","SCALING_FORMAT=MLN","FA_ADJUSTED=Adjusted","Sort=A","Dates=H","DateFormat=P","Fill=—","Direction=H","UseDPDF=Y")</f>
        <v>56.752000000000002</v>
      </c>
      <c r="S19" s="18" cm="1">
        <f t="array" ref="S19">_xll.BDH("NUE US Equity","IS_INT_EXPENSE","FQ1 2023","FQ1 2023","Currency=USD","Period=FQ","BEST_FPERIOD_OVERRIDE=FQ","FILING_STATUS=MR","SCALING_FORMAT=MLN","FA_ADJUSTED=Adjusted","Sort=A","Dates=H","DateFormat=P","Fill=—","Direction=H","UseDPDF=Y")</f>
        <v>62.682000000000002</v>
      </c>
      <c r="T19" s="18" cm="1">
        <f t="array" ref="T19">_xll.BDH("NUE US Equity","IS_INT_EXPENSE","FQ2 2023","FQ2 2023","Currency=USD","Period=FQ","BEST_FPERIOD_OVERRIDE=FQ","FILING_STATUS=MR","SCALING_FORMAT=MLN","FA_ADJUSTED=Adjusted","Sort=A","Dates=H","DateFormat=P","Fill=—","Direction=H","UseDPDF=Y")</f>
        <v>60.805999999999997</v>
      </c>
      <c r="U19" s="18" cm="1">
        <f t="array" ref="U19">_xll.BDH("NUE US Equity","IS_INT_EXPENSE","FQ3 2023","FQ3 2023","Currency=USD","Period=FQ","BEST_FPERIOD_OVERRIDE=FQ","FILING_STATUS=MR","SCALING_FORMAT=MLN","FA_ADJUSTED=Adjusted","Sort=A","Dates=H","DateFormat=P","Fill=—","Direction=H","UseDPDF=Y")</f>
        <v>63.228000000000002</v>
      </c>
      <c r="V19" s="18" t="str" cm="1">
        <f t="array" ref="V19">_xll.BDH("NUE US Equity","IS_INT_EXPENSE","FQ4 2023","FQ4 2023","Currency=USD","Period=FQ","BEST_FPERIOD_OVERRIDE=FQ","FILING_STATUS=MR","SCALING_FORMAT=MLN","FA_ADJUSTED=Adjusted","Sort=A","Dates=H","DateFormat=P","Fill=—","Direction=H","UseDPDF=Y")</f>
        <v>—</v>
      </c>
      <c r="W19" s="18" cm="1">
        <f t="array" ref="W19">_xll.BDH("NUE US Equity","IS_INT_EXPENSE","FQ1 2024","FQ1 2024","Currency=USD","Period=FQ","BEST_FPERIOD_OVERRIDE=FQ","FILING_STATUS=MR","SCALING_FORMAT=MLN","FA_ADJUSTED=Adjusted","Sort=A","Dates=H","DateFormat=P","Fill=—","Direction=H","UseDPDF=Y")</f>
        <v>43.487000000000002</v>
      </c>
      <c r="X19" s="18" cm="1">
        <f t="array" ref="X19">_xll.BDH("NUE US Equity","IS_INT_EXPENSE","FQ2 2024","FQ2 2024","Currency=USD","Period=FQ","BEST_FPERIOD_OVERRIDE=FQ","FILING_STATUS=MR","SCALING_FORMAT=MLN","FA_ADJUSTED=Adjusted","Sort=A","Dates=H","DateFormat=P","Fill=—","Direction=H","UseDPDF=Y")</f>
        <v>66.852000000000004</v>
      </c>
      <c r="Y19" s="18" cm="1">
        <f t="array" ref="Y19">_xll.BDH("NUE US Equity","IS_INT_EXPENSE","FQ3 2024","FQ3 2024","Currency=USD","Period=FQ","BEST_FPERIOD_OVERRIDE=FQ","FILING_STATUS=MR","SCALING_FORMAT=MLN","FA_ADJUSTED=Adjusted","Sort=A","Dates=H","DateFormat=P","Fill=—","Direction=H","UseDPDF=Y")</f>
        <v>65.376000000000005</v>
      </c>
      <c r="Z19" s="18" cm="1">
        <f t="array" ref="Z19">_xll.BDH("NUE US Equity","IS_INT_EXPENSE","FQ4 2024","FQ4 2024","Currency=USD","Period=FQ","BEST_FPERIOD_OVERRIDE=FQ","FILING_STATUS=MR","SCALING_FORMAT=MLN","FA_ADJUSTED=Adjusted","Sort=A","Dates=H","DateFormat=P","Fill=—","Direction=H","UseDPDF=Y")</f>
        <v>53</v>
      </c>
      <c r="AA19" s="18" cm="1">
        <f t="array" ref="AA19">_xll.BDH("NUE US Equity","IS_INT_EXPENSE","FQ1 2025","FQ1 2025","Currency=USD","Period=FQ","BEST_FPERIOD_OVERRIDE=FQ","FILING_STATUS=MR","SCALING_FORMAT=MLN","FA_ADJUSTED=Adjusted","Sort=A","Dates=H","DateFormat=P","Fill=—","Direction=H","UseDPDF=Y")</f>
        <v>51</v>
      </c>
      <c r="AB19" s="18" cm="1">
        <f t="array" ref="AB19">_xll.BDH("NUE US Equity","IS_INT_EXPENSE","FQ2 2025","FQ2 2025","Currency=USD","Period=FQ","BEST_FPERIOD_OVERRIDE=FQ","FILING_STATUS=MR","SCALING_FORMAT=MLN","FA_ADJUSTED=Adjusted","Sort=A","Dates=H","DateFormat=P","Fill=—","Direction=H","UseDPDF=Y")</f>
        <v>49</v>
      </c>
      <c r="AC19" s="18" cm="1">
        <f t="array" ref="AC19">_xll.BDH("NUE US Equity","IS_INT_EXPENSE","FQ3 2025","FQ3 2025","Currency=USD","Period=FQ","BEST_FPERIOD_OVERRIDE=FQ","FILING_STATUS=MR","SCALING_FORMAT=MLN","FA_ADJUSTED=Adjusted","Sort=A","Dates=H","DateFormat=P","Fill=—","Direction=H","UseDPDF=Y")</f>
        <v>38</v>
      </c>
      <c r="AD19" s="18" t="str" cm="1">
        <f t="array" ref="AD19">_xll.BDH("NUE US Equity","IS_INT_EXPENSE","FQ4 2025","FQ4 2025","Currency=USD","Period=FQ","BEST_FPERIOD_OVERRIDE=FQ","FILING_STATUS=MR","SCALING_FORMAT=MLN","FA_ADJUSTED=Adjusted","Sort=A","Dates=H","DateFormat=P","Fill=—","Direction=H","UseDPDF=Y")</f>
        <v>—</v>
      </c>
      <c r="AE19" s="18"/>
      <c r="AF19" s="18"/>
    </row>
    <row r="20" spans="1:32" x14ac:dyDescent="0.25">
      <c r="A20" s="11" t="s">
        <v>93</v>
      </c>
      <c r="B20" s="11" t="s">
        <v>94</v>
      </c>
      <c r="C20" s="18" cm="1">
        <f t="array" ref="C20">_xll.BDH("NUE US Equity","IS_INT_INC","FQ1 2019","FQ1 2019","Currency=USD","Period=FQ","BEST_FPERIOD_OVERRIDE=FQ","FILING_STATUS=MR","SCALING_FORMAT=MLN","FA_ADJUSTED=Adjusted","Sort=A","Dates=H","DateFormat=P","Fill=—","Direction=H","UseDPDF=Y")</f>
        <v>8.6189999999999998</v>
      </c>
      <c r="D20" s="18" cm="1">
        <f t="array" ref="D20">_xll.BDH("NUE US Equity","IS_INT_INC","FQ2 2019","FQ2 2019","Currency=USD","Period=FQ","BEST_FPERIOD_OVERRIDE=FQ","FILING_STATUS=MR","SCALING_FORMAT=MLN","FA_ADJUSTED=Adjusted","Sort=A","Dates=H","DateFormat=P","Fill=—","Direction=H","UseDPDF=Y")</f>
        <v>8.923</v>
      </c>
      <c r="E20" s="18" cm="1">
        <f t="array" ref="E20">_xll.BDH("NUE US Equity","IS_INT_INC","FQ3 2019","FQ3 2019","Currency=USD","Period=FQ","BEST_FPERIOD_OVERRIDE=FQ","FILING_STATUS=MR","SCALING_FORMAT=MLN","FA_ADJUSTED=Adjusted","Sort=A","Dates=H","DateFormat=P","Fill=—","Direction=H","UseDPDF=Y")</f>
        <v>9.4350000000000005</v>
      </c>
      <c r="F20" s="18" cm="1">
        <f t="array" ref="F20">_xll.BDH("NUE US Equity","IS_INT_INC","FQ4 2019","FQ4 2019","Currency=USD","Period=FQ","BEST_FPERIOD_OVERRIDE=FQ","FILING_STATUS=MR","SCALING_FORMAT=MLN","FA_ADJUSTED=Adjusted","Sort=A","Dates=H","DateFormat=P","Fill=—","Direction=H","UseDPDF=Y")</f>
        <v>8.9559999999999995</v>
      </c>
      <c r="G20" s="18" cm="1">
        <f t="array" ref="G20">_xll.BDH("NUE US Equity","IS_INT_INC","FQ1 2020","FQ1 2020","Currency=USD","Period=FQ","BEST_FPERIOD_OVERRIDE=FQ","FILING_STATUS=MR","SCALING_FORMAT=MLN","FA_ADJUSTED=Adjusted","Sort=A","Dates=H","DateFormat=P","Fill=—","Direction=H","UseDPDF=Y")</f>
        <v>6.6859999999999999</v>
      </c>
      <c r="H20" s="18" cm="1">
        <f t="array" ref="H20">_xll.BDH("NUE US Equity","IS_INT_INC","FQ2 2020","FQ2 2020","Currency=USD","Period=FQ","BEST_FPERIOD_OVERRIDE=FQ","FILING_STATUS=MR","SCALING_FORMAT=MLN","FA_ADJUSTED=Adjusted","Sort=A","Dates=H","DateFormat=P","Fill=—","Direction=H","UseDPDF=Y")</f>
        <v>3.0419999999999998</v>
      </c>
      <c r="I20" s="18" cm="1">
        <f t="array" ref="I20">_xll.BDH("NUE US Equity","IS_INT_INC","FQ3 2020","FQ3 2020","Currency=USD","Period=FQ","BEST_FPERIOD_OVERRIDE=FQ","FILING_STATUS=MR","SCALING_FORMAT=MLN","FA_ADJUSTED=Adjusted","Sort=A","Dates=H","DateFormat=P","Fill=—","Direction=H","UseDPDF=Y")</f>
        <v>2.1419999999999999</v>
      </c>
      <c r="J20" s="18" cm="1">
        <f t="array" ref="J20">_xll.BDH("NUE US Equity","IS_INT_INC","FQ4 2020","FQ4 2020","Currency=USD","Period=FQ","BEST_FPERIOD_OVERRIDE=FQ","FILING_STATUS=MR","SCALING_FORMAT=MLN","FA_ADJUSTED=Adjusted","Sort=A","Dates=H","DateFormat=P","Fill=—","Direction=H","UseDPDF=Y")</f>
        <v>1.5449999999999999</v>
      </c>
      <c r="K20" s="18" cm="1">
        <f t="array" ref="K20">_xll.BDH("NUE US Equity","IS_INT_INC","FQ1 2021","FQ1 2021","Currency=USD","Period=FQ","BEST_FPERIOD_OVERRIDE=FQ","FILING_STATUS=MR","SCALING_FORMAT=MLN","FA_ADJUSTED=Adjusted","Sort=A","Dates=H","DateFormat=P","Fill=—","Direction=H","UseDPDF=Y")</f>
        <v>1.3260000000000001</v>
      </c>
      <c r="L20" s="18" cm="1">
        <f t="array" ref="L20">_xll.BDH("NUE US Equity","IS_INT_INC","FQ2 2021","FQ2 2021","Currency=USD","Period=FQ","BEST_FPERIOD_OVERRIDE=FQ","FILING_STATUS=MR","SCALING_FORMAT=MLN","FA_ADJUSTED=Adjusted","Sort=A","Dates=H","DateFormat=P","Fill=—","Direction=H","UseDPDF=Y")</f>
        <v>1.881</v>
      </c>
      <c r="M20" s="18" cm="1">
        <f t="array" ref="M20">_xll.BDH("NUE US Equity","IS_INT_INC","FQ3 2021","FQ3 2021","Currency=USD","Period=FQ","BEST_FPERIOD_OVERRIDE=FQ","FILING_STATUS=MR","SCALING_FORMAT=MLN","FA_ADJUSTED=Adjusted","Sort=A","Dates=H","DateFormat=P","Fill=—","Direction=H","UseDPDF=Y")</f>
        <v>0.623</v>
      </c>
      <c r="N20" s="18" cm="1">
        <f t="array" ref="N20">_xll.BDH("NUE US Equity","IS_INT_INC","FQ4 2021","FQ4 2021","Currency=USD","Period=FQ","BEST_FPERIOD_OVERRIDE=FQ","FILING_STATUS=MR","SCALING_FORMAT=MLN","FA_ADJUSTED=Adjusted","Sort=A","Dates=H","DateFormat=P","Fill=—","Direction=H","UseDPDF=Y")</f>
        <v>0.437</v>
      </c>
      <c r="O20" s="18" cm="1">
        <f t="array" ref="O20">_xll.BDH("NUE US Equity","IS_INT_INC","FQ1 2022","FQ1 2022","Currency=USD","Period=FQ","BEST_FPERIOD_OVERRIDE=FQ","FILING_STATUS=MR","SCALING_FORMAT=MLN","FA_ADJUSTED=Adjusted","Sort=A","Dates=H","DateFormat=P","Fill=—","Direction=H","UseDPDF=Y")</f>
        <v>0.94099999999999995</v>
      </c>
      <c r="P20" s="18" cm="1">
        <f t="array" ref="P20">_xll.BDH("NUE US Equity","IS_INT_INC","FQ2 2022","FQ2 2022","Currency=USD","Period=FQ","BEST_FPERIOD_OVERRIDE=FQ","FILING_STATUS=MR","SCALING_FORMAT=MLN","FA_ADJUSTED=Adjusted","Sort=A","Dates=H","DateFormat=P","Fill=—","Direction=H","UseDPDF=Y")</f>
        <v>5.7510000000000003</v>
      </c>
      <c r="Q20" s="18" cm="1">
        <f t="array" ref="Q20">_xll.BDH("NUE US Equity","IS_INT_INC","FQ3 2022","FQ3 2022","Currency=USD","Period=FQ","BEST_FPERIOD_OVERRIDE=FQ","FILING_STATUS=MR","SCALING_FORMAT=MLN","FA_ADJUSTED=Adjusted","Sort=A","Dates=H","DateFormat=P","Fill=—","Direction=H","UseDPDF=Y")</f>
        <v>12.222</v>
      </c>
      <c r="R20" s="18" cm="1">
        <f t="array" ref="R20">_xll.BDH("NUE US Equity","IS_INT_INC","FQ4 2022","FQ4 2022","Currency=USD","Period=FQ","BEST_FPERIOD_OVERRIDE=FQ","FILING_STATUS=MR","SCALING_FORMAT=MLN","FA_ADJUSTED=Adjusted","Sort=A","Dates=H","DateFormat=P","Fill=—","Direction=H","UseDPDF=Y")</f>
        <v>29.780999999999999</v>
      </c>
      <c r="S20" s="18" cm="1">
        <f t="array" ref="S20">_xll.BDH("NUE US Equity","IS_INT_INC","FQ1 2023","FQ1 2023","Currency=USD","Period=FQ","BEST_FPERIOD_OVERRIDE=FQ","FILING_STATUS=MR","SCALING_FORMAT=MLN","FA_ADJUSTED=Adjusted","Sort=A","Dates=H","DateFormat=P","Fill=—","Direction=H","UseDPDF=Y")</f>
        <v>52.499000000000002</v>
      </c>
      <c r="T20" s="18" cm="1">
        <f t="array" ref="T20">_xll.BDH("NUE US Equity","IS_INT_INC","FQ2 2023","FQ2 2023","Currency=USD","Period=FQ","BEST_FPERIOD_OVERRIDE=FQ","FILING_STATUS=MR","SCALING_FORMAT=MLN","FA_ADJUSTED=Adjusted","Sort=A","Dates=H","DateFormat=P","Fill=—","Direction=H","UseDPDF=Y")</f>
        <v>56.207999999999998</v>
      </c>
      <c r="U20" s="18" cm="1">
        <f t="array" ref="U20">_xll.BDH("NUE US Equity","IS_INT_INC","FQ3 2023","FQ3 2023","Currency=USD","Period=FQ","BEST_FPERIOD_OVERRIDE=FQ","FILING_STATUS=MR","SCALING_FORMAT=MLN","FA_ADJUSTED=Adjusted","Sort=A","Dates=H","DateFormat=P","Fill=—","Direction=H","UseDPDF=Y")</f>
        <v>77.361000000000004</v>
      </c>
      <c r="V20" s="18" t="str" cm="1">
        <f t="array" ref="V20">_xll.BDH("NUE US Equity","IS_INT_INC","FQ4 2023","FQ4 2023","Currency=USD","Period=FQ","BEST_FPERIOD_OVERRIDE=FQ","FILING_STATUS=MR","SCALING_FORMAT=MLN","FA_ADJUSTED=Adjusted","Sort=A","Dates=H","DateFormat=P","Fill=—","Direction=H","UseDPDF=Y")</f>
        <v>—</v>
      </c>
      <c r="W20" s="18" cm="1">
        <f t="array" ref="W20">_xll.BDH("NUE US Equity","IS_INT_INC","FQ1 2024","FQ1 2024","Currency=USD","Period=FQ","BEST_FPERIOD_OVERRIDE=FQ","FILING_STATUS=MR","SCALING_FORMAT=MLN","FA_ADJUSTED=Adjusted","Sort=A","Dates=H","DateFormat=P","Fill=—","Direction=H","UseDPDF=Y")</f>
        <v>81.274000000000001</v>
      </c>
      <c r="X20" s="18" cm="1">
        <f t="array" ref="X20">_xll.BDH("NUE US Equity","IS_INT_INC","FQ2 2024","FQ2 2024","Currency=USD","Period=FQ","BEST_FPERIOD_OVERRIDE=FQ","FILING_STATUS=MR","SCALING_FORMAT=MLN","FA_ADJUSTED=Adjusted","Sort=A","Dates=H","DateFormat=P","Fill=—","Direction=H","UseDPDF=Y")</f>
        <v>69.158000000000001</v>
      </c>
      <c r="Y20" s="18" cm="1">
        <f t="array" ref="Y20">_xll.BDH("NUE US Equity","IS_INT_INC","FQ3 2024","FQ3 2024","Currency=USD","Period=FQ","BEST_FPERIOD_OVERRIDE=FQ","FILING_STATUS=MR","SCALING_FORMAT=MLN","FA_ADJUSTED=Adjusted","Sort=A","Dates=H","DateFormat=P","Fill=—","Direction=H","UseDPDF=Y")</f>
        <v>58.094000000000001</v>
      </c>
      <c r="Z20" s="18" cm="1">
        <f t="array" ref="Z20">_xll.BDH("NUE US Equity","IS_INT_INC","FQ4 2024","FQ4 2024","Currency=USD","Period=FQ","BEST_FPERIOD_OVERRIDE=FQ","FILING_STATUS=MR","SCALING_FORMAT=MLN","FA_ADJUSTED=Adjusted","Sort=A","Dates=H","DateFormat=P","Fill=—","Direction=H","UseDPDF=Y")</f>
        <v>50</v>
      </c>
      <c r="AA20" s="18" cm="1">
        <f t="array" ref="AA20">_xll.BDH("NUE US Equity","IS_INT_INC","FQ1 2025","FQ1 2025","Currency=USD","Period=FQ","BEST_FPERIOD_OVERRIDE=FQ","FILING_STATUS=MR","SCALING_FORMAT=MLN","FA_ADJUSTED=Adjusted","Sort=A","Dates=H","DateFormat=P","Fill=—","Direction=H","UseDPDF=Y")</f>
        <v>37</v>
      </c>
      <c r="AB20" s="18" cm="1">
        <f t="array" ref="AB20">_xll.BDH("NUE US Equity","IS_INT_INC","FQ2 2025","FQ2 2025","Currency=USD","Period=FQ","BEST_FPERIOD_OVERRIDE=FQ","FILING_STATUS=MR","SCALING_FORMAT=MLN","FA_ADJUSTED=Adjusted","Sort=A","Dates=H","DateFormat=P","Fill=—","Direction=H","UseDPDF=Y")</f>
        <v>30</v>
      </c>
      <c r="AC20" s="18" cm="1">
        <f t="array" ref="AC20">_xll.BDH("NUE US Equity","IS_INT_INC","FQ3 2025","FQ3 2025","Currency=USD","Period=FQ","BEST_FPERIOD_OVERRIDE=FQ","FILING_STATUS=MR","SCALING_FORMAT=MLN","FA_ADJUSTED=Adjusted","Sort=A","Dates=H","DateFormat=P","Fill=—","Direction=H","UseDPDF=Y")</f>
        <v>23</v>
      </c>
      <c r="AD20" s="18" t="str" cm="1">
        <f t="array" ref="AD20">_xll.BDH("NUE US Equity","IS_INT_INC","FQ4 2025","FQ4 2025","Currency=USD","Period=FQ","BEST_FPERIOD_OVERRIDE=FQ","FILING_STATUS=MR","SCALING_FORMAT=MLN","FA_ADJUSTED=Adjusted","Sort=A","Dates=H","DateFormat=P","Fill=—","Direction=H","UseDPDF=Y")</f>
        <v>—</v>
      </c>
      <c r="AE20" s="18"/>
      <c r="AF20" s="18"/>
    </row>
    <row r="21" spans="1:32" x14ac:dyDescent="0.25">
      <c r="A21" s="10" t="s">
        <v>95</v>
      </c>
      <c r="B21" s="10" t="s">
        <v>96</v>
      </c>
      <c r="C21" s="13" cm="1">
        <f t="array" ref="C21">_xll.BDH("NUE US Equity","IS_FOREIGN_EXCH_LOSS","FQ1 2019","FQ1 2019","Currency=USD","Period=FQ","BEST_FPERIOD_OVERRIDE=FQ","FILING_STATUS=MR","SCALING_FORMAT=MLN","FA_ADJUSTED=Adjusted","Sort=A","Dates=H","DateFormat=P","Fill=—","Direction=H","UseDPDF=Y")</f>
        <v>0</v>
      </c>
      <c r="D21" s="13" cm="1">
        <f t="array" ref="D21">_xll.BDH("NUE US Equity","IS_FOREIGN_EXCH_LOSS","FQ2 2019","FQ2 2019","Currency=USD","Period=FQ","BEST_FPERIOD_OVERRIDE=FQ","FILING_STATUS=MR","SCALING_FORMAT=MLN","FA_ADJUSTED=Adjusted","Sort=A","Dates=H","DateFormat=P","Fill=—","Direction=H","UseDPDF=Y")</f>
        <v>0</v>
      </c>
      <c r="E21" s="13" cm="1">
        <f t="array" ref="E21">_xll.BDH("NUE US Equity","IS_FOREIGN_EXCH_LOSS","FQ3 2019","FQ3 2019","Currency=USD","Period=FQ","BEST_FPERIOD_OVERRIDE=FQ","FILING_STATUS=MR","SCALING_FORMAT=MLN","FA_ADJUSTED=Adjusted","Sort=A","Dates=H","DateFormat=P","Fill=—","Direction=H","UseDPDF=Y")</f>
        <v>0</v>
      </c>
      <c r="F21" s="13" cm="1">
        <f t="array" ref="F21">_xll.BDH("NUE US Equity","IS_FOREIGN_EXCH_LOSS","FQ4 2019","FQ4 2019","Currency=USD","Period=FQ","BEST_FPERIOD_OVERRIDE=FQ","FILING_STATUS=MR","SCALING_FORMAT=MLN","FA_ADJUSTED=Adjusted","Sort=A","Dates=H","DateFormat=P","Fill=—","Direction=H","UseDPDF=Y")</f>
        <v>0</v>
      </c>
      <c r="G21" s="13" t="str" cm="1">
        <f t="array" ref="G21">_xll.BDH("NUE US Equity","IS_FOREIGN_EXCH_LOSS","FQ1 2020","FQ1 2020","Currency=USD","Period=FQ","BEST_FPERIOD_OVERRIDE=FQ","FILING_STATUS=MR","SCALING_FORMAT=MLN","FA_ADJUSTED=Adjusted","Sort=A","Dates=H","DateFormat=P","Fill=—","Direction=H","UseDPDF=Y")</f>
        <v>—</v>
      </c>
      <c r="H21" s="13" cm="1">
        <f t="array" ref="H21">_xll.BDH("NUE US Equity","IS_FOREIGN_EXCH_LOSS","FQ2 2020","FQ2 2020","Currency=USD","Period=FQ","BEST_FPERIOD_OVERRIDE=FQ","FILING_STATUS=MR","SCALING_FORMAT=MLN","FA_ADJUSTED=Adjusted","Sort=A","Dates=H","DateFormat=P","Fill=—","Direction=H","UseDPDF=Y")</f>
        <v>0</v>
      </c>
      <c r="I21" s="13" cm="1">
        <f t="array" ref="I21">_xll.BDH("NUE US Equity","IS_FOREIGN_EXCH_LOSS","FQ3 2020","FQ3 2020","Currency=USD","Period=FQ","BEST_FPERIOD_OVERRIDE=FQ","FILING_STATUS=MR","SCALING_FORMAT=MLN","FA_ADJUSTED=Adjusted","Sort=A","Dates=H","DateFormat=P","Fill=—","Direction=H","UseDPDF=Y")</f>
        <v>0</v>
      </c>
      <c r="J21" s="13" cm="1">
        <f t="array" ref="J21">_xll.BDH("NUE US Equity","IS_FOREIGN_EXCH_LOSS","FQ4 2020","FQ4 2020","Currency=USD","Period=FQ","BEST_FPERIOD_OVERRIDE=FQ","FILING_STATUS=MR","SCALING_FORMAT=MLN","FA_ADJUSTED=Adjusted","Sort=A","Dates=H","DateFormat=P","Fill=—","Direction=H","UseDPDF=Y")</f>
        <v>0</v>
      </c>
      <c r="K21" s="13" t="str" cm="1">
        <f t="array" ref="K21">_xll.BDH("NUE US Equity","IS_FOREIGN_EXCH_LOSS","FQ1 2021","FQ1 2021","Currency=USD","Period=FQ","BEST_FPERIOD_OVERRIDE=FQ","FILING_STATUS=MR","SCALING_FORMAT=MLN","FA_ADJUSTED=Adjusted","Sort=A","Dates=H","DateFormat=P","Fill=—","Direction=H","UseDPDF=Y")</f>
        <v>—</v>
      </c>
      <c r="L21" s="13" t="str" cm="1">
        <f t="array" ref="L21">_xll.BDH("NUE US Equity","IS_FOREIGN_EXCH_LOSS","FQ2 2021","FQ2 2021","Currency=USD","Period=FQ","BEST_FPERIOD_OVERRIDE=FQ","FILING_STATUS=MR","SCALING_FORMAT=MLN","FA_ADJUSTED=Adjusted","Sort=A","Dates=H","DateFormat=P","Fill=—","Direction=H","UseDPDF=Y")</f>
        <v>—</v>
      </c>
      <c r="M21" s="13" t="str" cm="1">
        <f t="array" ref="M21">_xll.BDH("NUE US Equity","IS_FOREIGN_EXCH_LOSS","FQ3 2021","FQ3 2021","Currency=USD","Period=FQ","BEST_FPERIOD_OVERRIDE=FQ","FILING_STATUS=MR","SCALING_FORMAT=MLN","FA_ADJUSTED=Adjusted","Sort=A","Dates=H","DateFormat=P","Fill=—","Direction=H","UseDPDF=Y")</f>
        <v>—</v>
      </c>
      <c r="N21" s="13" cm="1">
        <f t="array" ref="N21">_xll.BDH("NUE US Equity","IS_FOREIGN_EXCH_LOSS","FQ4 2021","FQ4 2021","Currency=USD","Period=FQ","BEST_FPERIOD_OVERRIDE=FQ","FILING_STATUS=MR","SCALING_FORMAT=MLN","FA_ADJUSTED=Adjusted","Sort=A","Dates=H","DateFormat=P","Fill=—","Direction=H","UseDPDF=Y")</f>
        <v>0</v>
      </c>
      <c r="O21" s="13" t="str" cm="1">
        <f t="array" ref="O21">_xll.BDH("NUE US Equity","IS_FOREIGN_EXCH_LOSS","FQ1 2022","FQ1 2022","Currency=USD","Period=FQ","BEST_FPERIOD_OVERRIDE=FQ","FILING_STATUS=MR","SCALING_FORMAT=MLN","FA_ADJUSTED=Adjusted","Sort=A","Dates=H","DateFormat=P","Fill=—","Direction=H","UseDPDF=Y")</f>
        <v>—</v>
      </c>
      <c r="P21" s="13" t="str" cm="1">
        <f t="array" ref="P21">_xll.BDH("NUE US Equity","IS_FOREIGN_EXCH_LOSS","FQ2 2022","FQ2 2022","Currency=USD","Period=FQ","BEST_FPERIOD_OVERRIDE=FQ","FILING_STATUS=MR","SCALING_FORMAT=MLN","FA_ADJUSTED=Adjusted","Sort=A","Dates=H","DateFormat=P","Fill=—","Direction=H","UseDPDF=Y")</f>
        <v>—</v>
      </c>
      <c r="Q21" s="13" t="str" cm="1">
        <f t="array" ref="Q21">_xll.BDH("NUE US Equity","IS_FOREIGN_EXCH_LOSS","FQ3 2022","FQ3 2022","Currency=USD","Period=FQ","BEST_FPERIOD_OVERRIDE=FQ","FILING_STATUS=MR","SCALING_FORMAT=MLN","FA_ADJUSTED=Adjusted","Sort=A","Dates=H","DateFormat=P","Fill=—","Direction=H","UseDPDF=Y")</f>
        <v>—</v>
      </c>
      <c r="R21" s="13" t="str" cm="1">
        <f t="array" ref="R21">_xll.BDH("NUE US Equity","IS_FOREIGN_EXCH_LOSS","FQ4 2022","FQ4 2022","Currency=USD","Period=FQ","BEST_FPERIOD_OVERRIDE=FQ","FILING_STATUS=MR","SCALING_FORMAT=MLN","FA_ADJUSTED=Adjusted","Sort=A","Dates=H","DateFormat=P","Fill=—","Direction=H","UseDPDF=Y")</f>
        <v>—</v>
      </c>
      <c r="S21" s="13" t="str" cm="1">
        <f t="array" ref="S21">_xll.BDH("NUE US Equity","IS_FOREIGN_EXCH_LOSS","FQ1 2023","FQ1 2023","Currency=USD","Period=FQ","BEST_FPERIOD_OVERRIDE=FQ","FILING_STATUS=MR","SCALING_FORMAT=MLN","FA_ADJUSTED=Adjusted","Sort=A","Dates=H","DateFormat=P","Fill=—","Direction=H","UseDPDF=Y")</f>
        <v>—</v>
      </c>
      <c r="T21" s="13" t="str" cm="1">
        <f t="array" ref="T21">_xll.BDH("NUE US Equity","IS_FOREIGN_EXCH_LOSS","FQ2 2023","FQ2 2023","Currency=USD","Period=FQ","BEST_FPERIOD_OVERRIDE=FQ","FILING_STATUS=MR","SCALING_FORMAT=MLN","FA_ADJUSTED=Adjusted","Sort=A","Dates=H","DateFormat=P","Fill=—","Direction=H","UseDPDF=Y")</f>
        <v>—</v>
      </c>
      <c r="U21" s="13" t="str" cm="1">
        <f t="array" ref="U21">_xll.BDH("NUE US Equity","IS_FOREIGN_EXCH_LOSS","FQ3 2023","FQ3 2023","Currency=USD","Period=FQ","BEST_FPERIOD_OVERRIDE=FQ","FILING_STATUS=MR","SCALING_FORMAT=MLN","FA_ADJUSTED=Adjusted","Sort=A","Dates=H","DateFormat=P","Fill=—","Direction=H","UseDPDF=Y")</f>
        <v>—</v>
      </c>
      <c r="V21" s="13" cm="1">
        <f t="array" ref="V21">_xll.BDH("NUE US Equity","IS_FOREIGN_EXCH_LOSS","FQ4 2023","FQ4 2023","Currency=USD","Period=FQ","BEST_FPERIOD_OVERRIDE=FQ","FILING_STATUS=MR","SCALING_FORMAT=MLN","FA_ADJUSTED=Adjusted","Sort=A","Dates=H","DateFormat=P","Fill=—","Direction=H","UseDPDF=Y")</f>
        <v>0</v>
      </c>
      <c r="W21" s="13" cm="1">
        <f t="array" ref="W21">_xll.BDH("NUE US Equity","IS_FOREIGN_EXCH_LOSS","FQ1 2024","FQ1 2024","Currency=USD","Period=FQ","BEST_FPERIOD_OVERRIDE=FQ","FILING_STATUS=MR","SCALING_FORMAT=MLN","FA_ADJUSTED=Adjusted","Sort=A","Dates=H","DateFormat=P","Fill=—","Direction=H","UseDPDF=Y")</f>
        <v>0</v>
      </c>
      <c r="X21" s="13" cm="1">
        <f t="array" ref="X21">_xll.BDH("NUE US Equity","IS_FOREIGN_EXCH_LOSS","FQ2 2024","FQ2 2024","Currency=USD","Period=FQ","BEST_FPERIOD_OVERRIDE=FQ","FILING_STATUS=MR","SCALING_FORMAT=MLN","FA_ADJUSTED=Adjusted","Sort=A","Dates=H","DateFormat=P","Fill=—","Direction=H","UseDPDF=Y")</f>
        <v>0</v>
      </c>
      <c r="Y21" s="13" t="str" cm="1">
        <f t="array" ref="Y21">_xll.BDH("NUE US Equity","IS_FOREIGN_EXCH_LOSS","FQ3 2024","FQ3 2024","Currency=USD","Period=FQ","BEST_FPERIOD_OVERRIDE=FQ","FILING_STATUS=MR","SCALING_FORMAT=MLN","FA_ADJUSTED=Adjusted","Sort=A","Dates=H","DateFormat=P","Fill=—","Direction=H","UseDPDF=Y")</f>
        <v>—</v>
      </c>
      <c r="Z21" s="13" t="str" cm="1">
        <f t="array" ref="Z21">_xll.BDH("NUE US Equity","IS_FOREIGN_EXCH_LOSS","FQ4 2024","FQ4 2024","Currency=USD","Period=FQ","BEST_FPERIOD_OVERRIDE=FQ","FILING_STATUS=MR","SCALING_FORMAT=MLN","FA_ADJUSTED=Adjusted","Sort=A","Dates=H","DateFormat=P","Fill=—","Direction=H","UseDPDF=Y")</f>
        <v>—</v>
      </c>
      <c r="AA21" s="13" t="str" cm="1">
        <f t="array" ref="AA21">_xll.BDH("NUE US Equity","IS_FOREIGN_EXCH_LOSS","FQ1 2025","FQ1 2025","Currency=USD","Period=FQ","BEST_FPERIOD_OVERRIDE=FQ","FILING_STATUS=MR","SCALING_FORMAT=MLN","FA_ADJUSTED=Adjusted","Sort=A","Dates=H","DateFormat=P","Fill=—","Direction=H","UseDPDF=Y")</f>
        <v>—</v>
      </c>
      <c r="AB21" s="13" t="str" cm="1">
        <f t="array" ref="AB21">_xll.BDH("NUE US Equity","IS_FOREIGN_EXCH_LOSS","FQ2 2025","FQ2 2025","Currency=USD","Period=FQ","BEST_FPERIOD_OVERRIDE=FQ","FILING_STATUS=MR","SCALING_FORMAT=MLN","FA_ADJUSTED=Adjusted","Sort=A","Dates=H","DateFormat=P","Fill=—","Direction=H","UseDPDF=Y")</f>
        <v>—</v>
      </c>
      <c r="AC21" s="13" t="str" cm="1">
        <f t="array" ref="AC21">_xll.BDH("NUE US Equity","IS_FOREIGN_EXCH_LOSS","FQ3 2025","FQ3 2025","Currency=USD","Period=FQ","BEST_FPERIOD_OVERRIDE=FQ","FILING_STATUS=MR","SCALING_FORMAT=MLN","FA_ADJUSTED=Adjusted","Sort=A","Dates=H","DateFormat=P","Fill=—","Direction=H","UseDPDF=Y")</f>
        <v>—</v>
      </c>
      <c r="AD21" s="13" t="str" cm="1">
        <f t="array" ref="AD21">_xll.BDH("NUE US Equity","IS_FOREIGN_EXCH_LOSS","FQ4 2025","FQ4 2025","Currency=USD","Period=FQ","BEST_FPERIOD_OVERRIDE=FQ","FILING_STATUS=MR","SCALING_FORMAT=MLN","FA_ADJUSTED=Adjusted","Sort=A","Dates=H","DateFormat=P","Fill=—","Direction=H","UseDPDF=Y")</f>
        <v>—</v>
      </c>
      <c r="AE21" s="13"/>
      <c r="AF21" s="13"/>
    </row>
    <row r="22" spans="1:32" x14ac:dyDescent="0.25">
      <c r="A22" s="10" t="s">
        <v>97</v>
      </c>
      <c r="B22" s="10" t="s">
        <v>98</v>
      </c>
      <c r="C22" s="13" cm="1">
        <f t="array" ref="C22">_xll.BDH("NUE US Equity","INCOME_LOSS_FROM_AFFILIATES","FQ1 2019","FQ1 2019","Currency=USD","Period=FQ","BEST_FPERIOD_OVERRIDE=FQ","FILING_STATUS=MR","SCALING_FORMAT=MLN","FA_ADJUSTED=Adjusted","Sort=A","Dates=H","DateFormat=P","Fill=—","Direction=H","UseDPDF=Y")</f>
        <v>-2.9060000000000001</v>
      </c>
      <c r="D22" s="13" cm="1">
        <f t="array" ref="D22">_xll.BDH("NUE US Equity","INCOME_LOSS_FROM_AFFILIATES","FQ2 2019","FQ2 2019","Currency=USD","Period=FQ","BEST_FPERIOD_OVERRIDE=FQ","FILING_STATUS=MR","SCALING_FORMAT=MLN","FA_ADJUSTED=Adjusted","Sort=A","Dates=H","DateFormat=P","Fill=—","Direction=H","UseDPDF=Y")</f>
        <v>-1.1379999999999999</v>
      </c>
      <c r="E22" s="13" cm="1">
        <f t="array" ref="E22">_xll.BDH("NUE US Equity","INCOME_LOSS_FROM_AFFILIATES","FQ3 2019","FQ3 2019","Currency=USD","Period=FQ","BEST_FPERIOD_OVERRIDE=FQ","FILING_STATUS=MR","SCALING_FORMAT=MLN","FA_ADJUSTED=Adjusted","Sort=A","Dates=H","DateFormat=P","Fill=—","Direction=H","UseDPDF=Y")</f>
        <v>1.585</v>
      </c>
      <c r="F22" s="13" cm="1">
        <f t="array" ref="F22">_xll.BDH("NUE US Equity","INCOME_LOSS_FROM_AFFILIATES","FQ4 2019","FQ4 2019","Currency=USD","Period=FQ","BEST_FPERIOD_OVERRIDE=FQ","FILING_STATUS=MR","SCALING_FORMAT=MLN","FA_ADJUSTED=Adjusted","Sort=A","Dates=H","DateFormat=P","Fill=—","Direction=H","UseDPDF=Y")</f>
        <v>-0.85199999999999998</v>
      </c>
      <c r="G22" s="13" cm="1">
        <f t="array" ref="G22">_xll.BDH("NUE US Equity","INCOME_LOSS_FROM_AFFILIATES","FQ1 2020","FQ1 2020","Currency=USD","Period=FQ","BEST_FPERIOD_OVERRIDE=FQ","FILING_STATUS=MR","SCALING_FORMAT=MLN","FA_ADJUSTED=Adjusted","Sort=A","Dates=H","DateFormat=P","Fill=—","Direction=H","UseDPDF=Y")</f>
        <v>0.82299999999999995</v>
      </c>
      <c r="H22" s="13" cm="1">
        <f t="array" ref="H22">_xll.BDH("NUE US Equity","INCOME_LOSS_FROM_AFFILIATES","FQ2 2020","FQ2 2020","Currency=USD","Period=FQ","BEST_FPERIOD_OVERRIDE=FQ","FILING_STATUS=MR","SCALING_FORMAT=MLN","FA_ADJUSTED=Adjusted","Sort=A","Dates=H","DateFormat=P","Fill=—","Direction=H","UseDPDF=Y")</f>
        <v>14.077999999999999</v>
      </c>
      <c r="I22" s="13" cm="1">
        <f t="array" ref="I22">_xll.BDH("NUE US Equity","INCOME_LOSS_FROM_AFFILIATES","FQ3 2020","FQ3 2020","Currency=USD","Period=FQ","BEST_FPERIOD_OVERRIDE=FQ","FILING_STATUS=MR","SCALING_FORMAT=MLN","FA_ADJUSTED=Adjusted","Sort=A","Dates=H","DateFormat=P","Fill=—","Direction=H","UseDPDF=Y")</f>
        <v>-0.47899999999999998</v>
      </c>
      <c r="J22" s="13" cm="1">
        <f t="array" ref="J22">_xll.BDH("NUE US Equity","INCOME_LOSS_FROM_AFFILIATES","FQ4 2020","FQ4 2020","Currency=USD","Period=FQ","BEST_FPERIOD_OVERRIDE=FQ","FILING_STATUS=MR","SCALING_FORMAT=MLN","FA_ADJUSTED=Adjusted","Sort=A","Dates=H","DateFormat=P","Fill=—","Direction=H","UseDPDF=Y")</f>
        <v>-3.8889999999999998</v>
      </c>
      <c r="K22" s="13" cm="1">
        <f t="array" ref="K22">_xll.BDH("NUE US Equity","INCOME_LOSS_FROM_AFFILIATES","FQ1 2021","FQ1 2021","Currency=USD","Period=FQ","BEST_FPERIOD_OVERRIDE=FQ","FILING_STATUS=MR","SCALING_FORMAT=MLN","FA_ADJUSTED=Adjusted","Sort=A","Dates=H","DateFormat=P","Fill=—","Direction=H","UseDPDF=Y")</f>
        <v>-13.239000000000001</v>
      </c>
      <c r="L22" s="13" cm="1">
        <f t="array" ref="L22">_xll.BDH("NUE US Equity","INCOME_LOSS_FROM_AFFILIATES","FQ2 2021","FQ2 2021","Currency=USD","Period=FQ","BEST_FPERIOD_OVERRIDE=FQ","FILING_STATUS=MR","SCALING_FORMAT=MLN","FA_ADJUSTED=Adjusted","Sort=A","Dates=H","DateFormat=P","Fill=—","Direction=H","UseDPDF=Y")</f>
        <v>-19.402999999999999</v>
      </c>
      <c r="M22" s="13" cm="1">
        <f t="array" ref="M22">_xll.BDH("NUE US Equity","INCOME_LOSS_FROM_AFFILIATES","FQ3 2021","FQ3 2021","Currency=USD","Period=FQ","BEST_FPERIOD_OVERRIDE=FQ","FILING_STATUS=MR","SCALING_FORMAT=MLN","FA_ADJUSTED=Adjusted","Sort=A","Dates=H","DateFormat=P","Fill=—","Direction=H","UseDPDF=Y")</f>
        <v>-32.463999999999999</v>
      </c>
      <c r="N22" s="13" cm="1">
        <f t="array" ref="N22">_xll.BDH("NUE US Equity","INCOME_LOSS_FROM_AFFILIATES","FQ4 2021","FQ4 2021","Currency=USD","Period=FQ","BEST_FPERIOD_OVERRIDE=FQ","FILING_STATUS=MR","SCALING_FORMAT=MLN","FA_ADJUSTED=Adjusted","Sort=A","Dates=H","DateFormat=P","Fill=—","Direction=H","UseDPDF=Y")</f>
        <v>-37.962000000000003</v>
      </c>
      <c r="O22" s="13" cm="1">
        <f t="array" ref="O22">_xll.BDH("NUE US Equity","INCOME_LOSS_FROM_AFFILIATES","FQ1 2022","FQ1 2022","Currency=USD","Period=FQ","BEST_FPERIOD_OVERRIDE=FQ","FILING_STATUS=MR","SCALING_FORMAT=MLN","FA_ADJUSTED=Adjusted","Sort=A","Dates=H","DateFormat=P","Fill=—","Direction=H","UseDPDF=Y")</f>
        <v>-7.6950000000000003</v>
      </c>
      <c r="P22" s="13" cm="1">
        <f t="array" ref="P22">_xll.BDH("NUE US Equity","INCOME_LOSS_FROM_AFFILIATES","FQ2 2022","FQ2 2022","Currency=USD","Period=FQ","BEST_FPERIOD_OVERRIDE=FQ","FILING_STATUS=MR","SCALING_FORMAT=MLN","FA_ADJUSTED=Adjusted","Sort=A","Dates=H","DateFormat=P","Fill=—","Direction=H","UseDPDF=Y")</f>
        <v>-7.1130000000000004</v>
      </c>
      <c r="Q22" s="13" cm="1">
        <f t="array" ref="Q22">_xll.BDH("NUE US Equity","INCOME_LOSS_FROM_AFFILIATES","FQ3 2022","FQ3 2022","Currency=USD","Period=FQ","BEST_FPERIOD_OVERRIDE=FQ","FILING_STATUS=MR","SCALING_FORMAT=MLN","FA_ADJUSTED=Adjusted","Sort=A","Dates=H","DateFormat=P","Fill=—","Direction=H","UseDPDF=Y")</f>
        <v>-8.4380000000000006</v>
      </c>
      <c r="R22" s="13" cm="1">
        <f t="array" ref="R22">_xll.BDH("NUE US Equity","INCOME_LOSS_FROM_AFFILIATES","FQ4 2022","FQ4 2022","Currency=USD","Period=FQ","BEST_FPERIOD_OVERRIDE=FQ","FILING_STATUS=MR","SCALING_FORMAT=MLN","FA_ADJUSTED=Adjusted","Sort=A","Dates=H","DateFormat=P","Fill=—","Direction=H","UseDPDF=Y")</f>
        <v>12.532</v>
      </c>
      <c r="S22" s="13" cm="1">
        <f t="array" ref="S22">_xll.BDH("NUE US Equity","INCOME_LOSS_FROM_AFFILIATES","FQ1 2023","FQ1 2023","Currency=USD","Period=FQ","BEST_FPERIOD_OVERRIDE=FQ","FILING_STATUS=MR","SCALING_FORMAT=MLN","FA_ADJUSTED=Adjusted","Sort=A","Dates=H","DateFormat=P","Fill=—","Direction=H","UseDPDF=Y")</f>
        <v>1.34</v>
      </c>
      <c r="T22" s="13" cm="1">
        <f t="array" ref="T22">_xll.BDH("NUE US Equity","INCOME_LOSS_FROM_AFFILIATES","FQ2 2023","FQ2 2023","Currency=USD","Period=FQ","BEST_FPERIOD_OVERRIDE=FQ","FILING_STATUS=MR","SCALING_FORMAT=MLN","FA_ADJUSTED=Adjusted","Sort=A","Dates=H","DateFormat=P","Fill=—","Direction=H","UseDPDF=Y")</f>
        <v>-6.0940000000000003</v>
      </c>
      <c r="U22" s="13" cm="1">
        <f t="array" ref="U22">_xll.BDH("NUE US Equity","INCOME_LOSS_FROM_AFFILIATES","FQ3 2023","FQ3 2023","Currency=USD","Period=FQ","BEST_FPERIOD_OVERRIDE=FQ","FILING_STATUS=MR","SCALING_FORMAT=MLN","FA_ADJUSTED=Adjusted","Sort=A","Dates=H","DateFormat=P","Fill=—","Direction=H","UseDPDF=Y")</f>
        <v>1.083</v>
      </c>
      <c r="V22" s="13" cm="1">
        <f t="array" ref="V22">_xll.BDH("NUE US Equity","INCOME_LOSS_FROM_AFFILIATES","FQ4 2023","FQ4 2023","Currency=USD","Period=FQ","BEST_FPERIOD_OVERRIDE=FQ","FILING_STATUS=MR","SCALING_FORMAT=MLN","FA_ADJUSTED=Adjusted","Sort=A","Dates=H","DateFormat=P","Fill=—","Direction=H","UseDPDF=Y")</f>
        <v>-9.1120000000000001</v>
      </c>
      <c r="W22" s="13" cm="1">
        <f t="array" ref="W22">_xll.BDH("NUE US Equity","INCOME_LOSS_FROM_AFFILIATES","FQ1 2024","FQ1 2024","Currency=USD","Period=FQ","BEST_FPERIOD_OVERRIDE=FQ","FILING_STATUS=MR","SCALING_FORMAT=MLN","FA_ADJUSTED=Adjusted","Sort=A","Dates=H","DateFormat=P","Fill=—","Direction=H","UseDPDF=Y")</f>
        <v>-9.7690000000000001</v>
      </c>
      <c r="X22" s="13" cm="1">
        <f t="array" ref="X22">_xll.BDH("NUE US Equity","INCOME_LOSS_FROM_AFFILIATES","FQ2 2024","FQ2 2024","Currency=USD","Period=FQ","BEST_FPERIOD_OVERRIDE=FQ","FILING_STATUS=MR","SCALING_FORMAT=MLN","FA_ADJUSTED=Adjusted","Sort=A","Dates=H","DateFormat=P","Fill=—","Direction=H","UseDPDF=Y")</f>
        <v>-9.032</v>
      </c>
      <c r="Y22" s="13" cm="1">
        <f t="array" ref="Y22">_xll.BDH("NUE US Equity","INCOME_LOSS_FROM_AFFILIATES","FQ3 2024","FQ3 2024","Currency=USD","Period=FQ","BEST_FPERIOD_OVERRIDE=FQ","FILING_STATUS=MR","SCALING_FORMAT=MLN","FA_ADJUSTED=Adjusted","Sort=A","Dates=H","DateFormat=P","Fill=—","Direction=H","UseDPDF=Y")</f>
        <v>-5.2779999999999996</v>
      </c>
      <c r="Z22" s="13" cm="1">
        <f t="array" ref="Z22">_xll.BDH("NUE US Equity","INCOME_LOSS_FROM_AFFILIATES","FQ4 2024","FQ4 2024","Currency=USD","Period=FQ","BEST_FPERIOD_OVERRIDE=FQ","FILING_STATUS=MR","SCALING_FORMAT=MLN","FA_ADJUSTED=Adjusted","Sort=A","Dates=H","DateFormat=P","Fill=—","Direction=H","UseDPDF=Y")</f>
        <v>-6</v>
      </c>
      <c r="AA22" s="13" cm="1">
        <f t="array" ref="AA22">_xll.BDH("NUE US Equity","INCOME_LOSS_FROM_AFFILIATES","FQ1 2025","FQ1 2025","Currency=USD","Period=FQ","BEST_FPERIOD_OVERRIDE=FQ","FILING_STATUS=MR","SCALING_FORMAT=MLN","FA_ADJUSTED=Adjusted","Sort=A","Dates=H","DateFormat=P","Fill=—","Direction=H","UseDPDF=Y")</f>
        <v>-4</v>
      </c>
      <c r="AB22" s="13" cm="1">
        <f t="array" ref="AB22">_xll.BDH("NUE US Equity","INCOME_LOSS_FROM_AFFILIATES","FQ2 2025","FQ2 2025","Currency=USD","Period=FQ","BEST_FPERIOD_OVERRIDE=FQ","FILING_STATUS=MR","SCALING_FORMAT=MLN","FA_ADJUSTED=Adjusted","Sort=A","Dates=H","DateFormat=P","Fill=—","Direction=H","UseDPDF=Y")</f>
        <v>-10</v>
      </c>
      <c r="AC22" s="13" cm="1">
        <f t="array" ref="AC22">_xll.BDH("NUE US Equity","INCOME_LOSS_FROM_AFFILIATES","FQ3 2025","FQ3 2025","Currency=USD","Period=FQ","BEST_FPERIOD_OVERRIDE=FQ","FILING_STATUS=MR","SCALING_FORMAT=MLN","FA_ADJUSTED=Adjusted","Sort=A","Dates=H","DateFormat=P","Fill=—","Direction=H","UseDPDF=Y")</f>
        <v>-10</v>
      </c>
      <c r="AD22" s="13" cm="1">
        <f t="array" ref="AD22">_xll.BDH("NUE US Equity","INCOME_LOSS_FROM_AFFILIATES","FQ4 2025","FQ4 2025","Currency=USD","Period=FQ","BEST_FPERIOD_OVERRIDE=FQ","FILING_STATUS=MR","SCALING_FORMAT=MLN","FA_ADJUSTED=Adjusted","Sort=A","Dates=H","DateFormat=P","Fill=—","Direction=H","UseDPDF=Y")</f>
        <v>-11</v>
      </c>
      <c r="AE22" s="13"/>
      <c r="AF22" s="13"/>
    </row>
    <row r="23" spans="1:32" x14ac:dyDescent="0.25">
      <c r="A23" s="10" t="s">
        <v>99</v>
      </c>
      <c r="B23" s="10" t="s">
        <v>100</v>
      </c>
      <c r="C23" s="13" cm="1">
        <f t="array" ref="C23">_xll.BDH("NUE US Equity","IS_OTHER_NON_OPERATING_INC_LOSS","FQ1 2019","FQ1 2019","Currency=USD","Period=FQ","BEST_FPERIOD_OVERRIDE=FQ","FILING_STATUS=MR","SCALING_FORMAT=MLN","FA_ADJUSTED=Adjusted","Sort=A","Dates=H","DateFormat=P","Fill=—","Direction=H","UseDPDF=Y")</f>
        <v>0</v>
      </c>
      <c r="D23" s="13" cm="1">
        <f t="array" ref="D23">_xll.BDH("NUE US Equity","IS_OTHER_NON_OPERATING_INC_LOSS","FQ2 2019","FQ2 2019","Currency=USD","Period=FQ","BEST_FPERIOD_OVERRIDE=FQ","FILING_STATUS=MR","SCALING_FORMAT=MLN","FA_ADJUSTED=Adjusted","Sort=A","Dates=H","DateFormat=P","Fill=—","Direction=H","UseDPDF=Y")</f>
        <v>0</v>
      </c>
      <c r="E23" s="13" cm="1">
        <f t="array" ref="E23">_xll.BDH("NUE US Equity","IS_OTHER_NON_OPERATING_INC_LOSS","FQ3 2019","FQ3 2019","Currency=USD","Period=FQ","BEST_FPERIOD_OVERRIDE=FQ","FILING_STATUS=MR","SCALING_FORMAT=MLN","FA_ADJUSTED=Adjusted","Sort=A","Dates=H","DateFormat=P","Fill=—","Direction=H","UseDPDF=Y")</f>
        <v>0</v>
      </c>
      <c r="F23" s="13" cm="1">
        <f t="array" ref="F23">_xll.BDH("NUE US Equity","IS_OTHER_NON_OPERATING_INC_LOSS","FQ4 2019","FQ4 2019","Currency=USD","Period=FQ","BEST_FPERIOD_OVERRIDE=FQ","FILING_STATUS=MR","SCALING_FORMAT=MLN","FA_ADJUSTED=Adjusted","Sort=A","Dates=H","DateFormat=P","Fill=—","Direction=H","UseDPDF=Y")</f>
        <v>0</v>
      </c>
      <c r="G23" s="13" cm="1">
        <f t="array" ref="G23">_xll.BDH("NUE US Equity","IS_OTHER_NON_OPERATING_INC_LOSS","FQ1 2020","FQ1 2020","Currency=USD","Period=FQ","BEST_FPERIOD_OVERRIDE=FQ","FILING_STATUS=MR","SCALING_FORMAT=MLN","FA_ADJUSTED=Adjusted","Sort=A","Dates=H","DateFormat=P","Fill=—","Direction=H","UseDPDF=Y")</f>
        <v>0</v>
      </c>
      <c r="H23" s="13" cm="1">
        <f t="array" ref="H23">_xll.BDH("NUE US Equity","IS_OTHER_NON_OPERATING_INC_LOSS","FQ2 2020","FQ2 2020","Currency=USD","Period=FQ","BEST_FPERIOD_OVERRIDE=FQ","FILING_STATUS=MR","SCALING_FORMAT=MLN","FA_ADJUSTED=Adjusted","Sort=A","Dates=H","DateFormat=P","Fill=—","Direction=H","UseDPDF=Y")</f>
        <v>0</v>
      </c>
      <c r="I23" s="13" cm="1">
        <f t="array" ref="I23">_xll.BDH("NUE US Equity","IS_OTHER_NON_OPERATING_INC_LOSS","FQ3 2020","FQ3 2020","Currency=USD","Period=FQ","BEST_FPERIOD_OVERRIDE=FQ","FILING_STATUS=MR","SCALING_FORMAT=MLN","FA_ADJUSTED=Adjusted","Sort=A","Dates=H","DateFormat=P","Fill=—","Direction=H","UseDPDF=Y")</f>
        <v>0</v>
      </c>
      <c r="J23" s="13" cm="1">
        <f t="array" ref="J23">_xll.BDH("NUE US Equity","IS_OTHER_NON_OPERATING_INC_LOSS","FQ4 2020","FQ4 2020","Currency=USD","Period=FQ","BEST_FPERIOD_OVERRIDE=FQ","FILING_STATUS=MR","SCALING_FORMAT=MLN","FA_ADJUSTED=Adjusted","Sort=A","Dates=H","DateFormat=P","Fill=—","Direction=H","UseDPDF=Y")</f>
        <v>0</v>
      </c>
      <c r="K23" s="13" cm="1">
        <f t="array" ref="K23">_xll.BDH("NUE US Equity","IS_OTHER_NON_OPERATING_INC_LOSS","FQ1 2021","FQ1 2021","Currency=USD","Period=FQ","BEST_FPERIOD_OVERRIDE=FQ","FILING_STATUS=MR","SCALING_FORMAT=MLN","FA_ADJUSTED=Adjusted","Sort=A","Dates=H","DateFormat=P","Fill=—","Direction=H","UseDPDF=Y")</f>
        <v>0</v>
      </c>
      <c r="L23" s="13" cm="1">
        <f t="array" ref="L23">_xll.BDH("NUE US Equity","IS_OTHER_NON_OPERATING_INC_LOSS","FQ2 2021","FQ2 2021","Currency=USD","Period=FQ","BEST_FPERIOD_OVERRIDE=FQ","FILING_STATUS=MR","SCALING_FORMAT=MLN","FA_ADJUSTED=Adjusted","Sort=A","Dates=H","DateFormat=P","Fill=—","Direction=H","UseDPDF=Y")</f>
        <v>0</v>
      </c>
      <c r="M23" s="13" cm="1">
        <f t="array" ref="M23">_xll.BDH("NUE US Equity","IS_OTHER_NON_OPERATING_INC_LOSS","FQ3 2021","FQ3 2021","Currency=USD","Period=FQ","BEST_FPERIOD_OVERRIDE=FQ","FILING_STATUS=MR","SCALING_FORMAT=MLN","FA_ADJUSTED=Adjusted","Sort=A","Dates=H","DateFormat=P","Fill=—","Direction=H","UseDPDF=Y")</f>
        <v>0</v>
      </c>
      <c r="N23" s="13" cm="1">
        <f t="array" ref="N23">_xll.BDH("NUE US Equity","IS_OTHER_NON_OPERATING_INC_LOSS","FQ4 2021","FQ4 2021","Currency=USD","Period=FQ","BEST_FPERIOD_OVERRIDE=FQ","FILING_STATUS=MR","SCALING_FORMAT=MLN","FA_ADJUSTED=Adjusted","Sort=A","Dates=H","DateFormat=P","Fill=—","Direction=H","UseDPDF=Y")</f>
        <v>0</v>
      </c>
      <c r="O23" s="13" cm="1">
        <f t="array" ref="O23">_xll.BDH("NUE US Equity","IS_OTHER_NON_OPERATING_INC_LOSS","FQ1 2022","FQ1 2022","Currency=USD","Period=FQ","BEST_FPERIOD_OVERRIDE=FQ","FILING_STATUS=MR","SCALING_FORMAT=MLN","FA_ADJUSTED=Adjusted","Sort=A","Dates=H","DateFormat=P","Fill=—","Direction=H","UseDPDF=Y")</f>
        <v>0</v>
      </c>
      <c r="P23" s="13" cm="1">
        <f t="array" ref="P23">_xll.BDH("NUE US Equity","IS_OTHER_NON_OPERATING_INC_LOSS","FQ2 2022","FQ2 2022","Currency=USD","Period=FQ","BEST_FPERIOD_OVERRIDE=FQ","FILING_STATUS=MR","SCALING_FORMAT=MLN","FA_ADJUSTED=Adjusted","Sort=A","Dates=H","DateFormat=P","Fill=—","Direction=H","UseDPDF=Y")</f>
        <v>0</v>
      </c>
      <c r="Q23" s="13" cm="1">
        <f t="array" ref="Q23">_xll.BDH("NUE US Equity","IS_OTHER_NON_OPERATING_INC_LOSS","FQ3 2022","FQ3 2022","Currency=USD","Period=FQ","BEST_FPERIOD_OVERRIDE=FQ","FILING_STATUS=MR","SCALING_FORMAT=MLN","FA_ADJUSTED=Adjusted","Sort=A","Dates=H","DateFormat=P","Fill=—","Direction=H","UseDPDF=Y")</f>
        <v>0</v>
      </c>
      <c r="R23" s="13" cm="1">
        <f t="array" ref="R23">_xll.BDH("NUE US Equity","IS_OTHER_NON_OPERATING_INC_LOSS","FQ4 2022","FQ4 2022","Currency=USD","Period=FQ","BEST_FPERIOD_OVERRIDE=FQ","FILING_STATUS=MR","SCALING_FORMAT=MLN","FA_ADJUSTED=Adjusted","Sort=A","Dates=H","DateFormat=P","Fill=—","Direction=H","UseDPDF=Y")</f>
        <v>0</v>
      </c>
      <c r="S23" s="13" cm="1">
        <f t="array" ref="S23">_xll.BDH("NUE US Equity","IS_OTHER_NON_OPERATING_INC_LOSS","FQ1 2023","FQ1 2023","Currency=USD","Period=FQ","BEST_FPERIOD_OVERRIDE=FQ","FILING_STATUS=MR","SCALING_FORMAT=MLN","FA_ADJUSTED=Adjusted","Sort=A","Dates=H","DateFormat=P","Fill=—","Direction=H","UseDPDF=Y")</f>
        <v>0</v>
      </c>
      <c r="T23" s="13" cm="1">
        <f t="array" ref="T23">_xll.BDH("NUE US Equity","IS_OTHER_NON_OPERATING_INC_LOSS","FQ2 2023","FQ2 2023","Currency=USD","Period=FQ","BEST_FPERIOD_OVERRIDE=FQ","FILING_STATUS=MR","SCALING_FORMAT=MLN","FA_ADJUSTED=Adjusted","Sort=A","Dates=H","DateFormat=P","Fill=—","Direction=H","UseDPDF=Y")</f>
        <v>0</v>
      </c>
      <c r="U23" s="13" cm="1">
        <f t="array" ref="U23">_xll.BDH("NUE US Equity","IS_OTHER_NON_OPERATING_INC_LOSS","FQ3 2023","FQ3 2023","Currency=USD","Period=FQ","BEST_FPERIOD_OVERRIDE=FQ","FILING_STATUS=MR","SCALING_FORMAT=MLN","FA_ADJUSTED=Adjusted","Sort=A","Dates=H","DateFormat=P","Fill=—","Direction=H","UseDPDF=Y")</f>
        <v>0</v>
      </c>
      <c r="V23" s="13" cm="1">
        <f t="array" ref="V23">_xll.BDH("NUE US Equity","IS_OTHER_NON_OPERATING_INC_LOSS","FQ4 2023","FQ4 2023","Currency=USD","Period=FQ","BEST_FPERIOD_OVERRIDE=FQ","FILING_STATUS=MR","SCALING_FORMAT=MLN","FA_ADJUSTED=Adjusted","Sort=A","Dates=H","DateFormat=P","Fill=—","Direction=H","UseDPDF=Y")</f>
        <v>0</v>
      </c>
      <c r="W23" s="13" cm="1">
        <f t="array" ref="W23">_xll.BDH("NUE US Equity","IS_OTHER_NON_OPERATING_INC_LOSS","FQ1 2024","FQ1 2024","Currency=USD","Period=FQ","BEST_FPERIOD_OVERRIDE=FQ","FILING_STATUS=MR","SCALING_FORMAT=MLN","FA_ADJUSTED=Adjusted","Sort=A","Dates=H","DateFormat=P","Fill=—","Direction=H","UseDPDF=Y")</f>
        <v>0</v>
      </c>
      <c r="X23" s="13" cm="1">
        <f t="array" ref="X23">_xll.BDH("NUE US Equity","IS_OTHER_NON_OPERATING_INC_LOSS","FQ2 2024","FQ2 2024","Currency=USD","Period=FQ","BEST_FPERIOD_OVERRIDE=FQ","FILING_STATUS=MR","SCALING_FORMAT=MLN","FA_ADJUSTED=Adjusted","Sort=A","Dates=H","DateFormat=P","Fill=—","Direction=H","UseDPDF=Y")</f>
        <v>0</v>
      </c>
      <c r="Y23" s="13" cm="1">
        <f t="array" ref="Y23">_xll.BDH("NUE US Equity","IS_OTHER_NON_OPERATING_INC_LOSS","FQ3 2024","FQ3 2024","Currency=USD","Period=FQ","BEST_FPERIOD_OVERRIDE=FQ","FILING_STATUS=MR","SCALING_FORMAT=MLN","FA_ADJUSTED=Adjusted","Sort=A","Dates=H","DateFormat=P","Fill=—","Direction=H","UseDPDF=Y")</f>
        <v>0</v>
      </c>
      <c r="Z23" s="13" cm="1">
        <f t="array" ref="Z23">_xll.BDH("NUE US Equity","IS_OTHER_NON_OPERATING_INC_LOSS","FQ4 2024","FQ4 2024","Currency=USD","Period=FQ","BEST_FPERIOD_OVERRIDE=FQ","FILING_STATUS=MR","SCALING_FORMAT=MLN","FA_ADJUSTED=Adjusted","Sort=A","Dates=H","DateFormat=P","Fill=—","Direction=H","UseDPDF=Y")</f>
        <v>0</v>
      </c>
      <c r="AA23" s="13" cm="1">
        <f t="array" ref="AA23">_xll.BDH("NUE US Equity","IS_OTHER_NON_OPERATING_INC_LOSS","FQ1 2025","FQ1 2025","Currency=USD","Period=FQ","BEST_FPERIOD_OVERRIDE=FQ","FILING_STATUS=MR","SCALING_FORMAT=MLN","FA_ADJUSTED=Adjusted","Sort=A","Dates=H","DateFormat=P","Fill=—","Direction=H","UseDPDF=Y")</f>
        <v>0</v>
      </c>
      <c r="AB23" s="13" cm="1">
        <f t="array" ref="AB23">_xll.BDH("NUE US Equity","IS_OTHER_NON_OPERATING_INC_LOSS","FQ2 2025","FQ2 2025","Currency=USD","Period=FQ","BEST_FPERIOD_OVERRIDE=FQ","FILING_STATUS=MR","SCALING_FORMAT=MLN","FA_ADJUSTED=Adjusted","Sort=A","Dates=H","DateFormat=P","Fill=—","Direction=H","UseDPDF=Y")</f>
        <v>0</v>
      </c>
      <c r="AC23" s="13" cm="1">
        <f t="array" ref="AC23">_xll.BDH("NUE US Equity","IS_OTHER_NON_OPERATING_INC_LOSS","FQ3 2025","FQ3 2025","Currency=USD","Period=FQ","BEST_FPERIOD_OVERRIDE=FQ","FILING_STATUS=MR","SCALING_FORMAT=MLN","FA_ADJUSTED=Adjusted","Sort=A","Dates=H","DateFormat=P","Fill=—","Direction=H","UseDPDF=Y")</f>
        <v>0</v>
      </c>
      <c r="AD23" s="13" cm="1">
        <f t="array" ref="AD23">_xll.BDH("NUE US Equity","IS_OTHER_NON_OPERATING_INC_LOSS","FQ4 2025","FQ4 2025","Currency=USD","Period=FQ","BEST_FPERIOD_OVERRIDE=FQ","FILING_STATUS=MR","SCALING_FORMAT=MLN","FA_ADJUSTED=Adjusted","Sort=A","Dates=H","DateFormat=P","Fill=—","Direction=H","UseDPDF=Y")</f>
        <v>0</v>
      </c>
      <c r="AE23" s="13"/>
      <c r="AF23" s="13"/>
    </row>
    <row r="24" spans="1:32" x14ac:dyDescent="0.25">
      <c r="A24" s="6" t="s">
        <v>101</v>
      </c>
      <c r="B24" s="6" t="s">
        <v>102</v>
      </c>
      <c r="C24" s="16" cm="1">
        <f t="array" ref="C24">_xll.BDH("NUE US Equity","PRETAX_INC","FQ1 2019","FQ1 2019","Currency=USD","Period=FQ","BEST_FPERIOD_OVERRIDE=FQ","FILING_STATUS=MR","SCALING_FORMAT=MLN","FA_ADJUSTED=Adjusted","Sort=A","Dates=H","DateFormat=P","Fill=—","Direction=H","UseDPDF=Y")</f>
        <v>689.61599999999999</v>
      </c>
      <c r="D24" s="16" cm="1">
        <f t="array" ref="D24">_xll.BDH("NUE US Equity","PRETAX_INC","FQ2 2019","FQ2 2019","Currency=USD","Period=FQ","BEST_FPERIOD_OVERRIDE=FQ","FILING_STATUS=MR","SCALING_FORMAT=MLN","FA_ADJUSTED=Adjusted","Sort=A","Dates=H","DateFormat=P","Fill=—","Direction=H","UseDPDF=Y")</f>
        <v>555.12199999999996</v>
      </c>
      <c r="E24" s="16" cm="1">
        <f t="array" ref="E24">_xll.BDH("NUE US Equity","PRETAX_INC","FQ3 2019","FQ3 2019","Currency=USD","Period=FQ","BEST_FPERIOD_OVERRIDE=FQ","FILING_STATUS=MR","SCALING_FORMAT=MLN","FA_ADJUSTED=Adjusted","Sort=A","Dates=H","DateFormat=P","Fill=—","Direction=H","UseDPDF=Y")</f>
        <v>408.339</v>
      </c>
      <c r="F24" s="16" cm="1">
        <f t="array" ref="F24">_xll.BDH("NUE US Equity","PRETAX_INC","FQ4 2019","FQ4 2019","Currency=USD","Period=FQ","BEST_FPERIOD_OVERRIDE=FQ","FILING_STATUS=MR","SCALING_FORMAT=MLN","FA_ADJUSTED=Adjusted","Sort=A","Dates=H","DateFormat=P","Fill=—","Direction=H","UseDPDF=Y")</f>
        <v>280.14600000000002</v>
      </c>
      <c r="G24" s="16" cm="1">
        <f t="array" ref="G24">_xll.BDH("NUE US Equity","PRETAX_INC","FQ1 2020","FQ1 2020","Currency=USD","Period=FQ","BEST_FPERIOD_OVERRIDE=FQ","FILING_STATUS=MR","SCALING_FORMAT=MLN","FA_ADJUSTED=Adjusted","Sort=A","Dates=H","DateFormat=P","Fill=—","Direction=H","UseDPDF=Y")</f>
        <v>463.14299999999997</v>
      </c>
      <c r="H24" s="16" cm="1">
        <f t="array" ref="H24">_xll.BDH("NUE US Equity","PRETAX_INC","FQ2 2020","FQ2 2020","Currency=USD","Period=FQ","BEST_FPERIOD_OVERRIDE=FQ","FILING_STATUS=MR","SCALING_FORMAT=MLN","FA_ADJUSTED=Adjusted","Sort=A","Dates=H","DateFormat=P","Fill=—","Direction=H","UseDPDF=Y")</f>
        <v>208.05699999999999</v>
      </c>
      <c r="I24" s="16" cm="1">
        <f t="array" ref="I24">_xll.BDH("NUE US Equity","PRETAX_INC","FQ3 2020","FQ3 2020","Currency=USD","Period=FQ","BEST_FPERIOD_OVERRIDE=FQ","FILING_STATUS=MR","SCALING_FORMAT=MLN","FA_ADJUSTED=Adjusted","Sort=A","Dates=H","DateFormat=P","Fill=—","Direction=H","UseDPDF=Y")</f>
        <v>313.42200000000003</v>
      </c>
      <c r="J24" s="16" cm="1">
        <f t="array" ref="J24">_xll.BDH("NUE US Equity","PRETAX_INC","FQ4 2020","FQ4 2020","Currency=USD","Period=FQ","BEST_FPERIOD_OVERRIDE=FQ","FILING_STATUS=MR","SCALING_FORMAT=MLN","FA_ADJUSTED=Adjusted","Sort=A","Dates=H","DateFormat=P","Fill=—","Direction=H","UseDPDF=Y")</f>
        <v>559.95600000000002</v>
      </c>
      <c r="K24" s="16" cm="1">
        <f t="array" ref="K24">_xll.BDH("NUE US Equity","PRETAX_INC","FQ1 2021","FQ1 2021","Currency=USD","Period=FQ","BEST_FPERIOD_OVERRIDE=FQ","FILING_STATUS=MR","SCALING_FORMAT=MLN","FA_ADJUSTED=Adjusted","Sort=A","Dates=H","DateFormat=P","Fill=—","Direction=H","UseDPDF=Y")</f>
        <v>1323.9079999999999</v>
      </c>
      <c r="L24" s="16" cm="1">
        <f t="array" ref="L24">_xll.BDH("NUE US Equity","PRETAX_INC","FQ2 2021","FQ2 2021","Currency=USD","Period=FQ","BEST_FPERIOD_OVERRIDE=FQ","FILING_STATUS=MR","SCALING_FORMAT=MLN","FA_ADJUSTED=Adjusted","Sort=A","Dates=H","DateFormat=P","Fill=—","Direction=H","UseDPDF=Y")</f>
        <v>2092.056</v>
      </c>
      <c r="M24" s="16" cm="1">
        <f t="array" ref="M24">_xll.BDH("NUE US Equity","PRETAX_INC","FQ3 2021","FQ3 2021","Currency=USD","Period=FQ","BEST_FPERIOD_OVERRIDE=FQ","FILING_STATUS=MR","SCALING_FORMAT=MLN","FA_ADJUSTED=Adjusted","Sort=A","Dates=H","DateFormat=P","Fill=—","Direction=H","UseDPDF=Y")</f>
        <v>2905.107</v>
      </c>
      <c r="N24" s="16" cm="1">
        <f t="array" ref="N24">_xll.BDH("NUE US Equity","PRETAX_INC","FQ4 2021","FQ4 2021","Currency=USD","Period=FQ","BEST_FPERIOD_OVERRIDE=FQ","FILING_STATUS=MR","SCALING_FORMAT=MLN","FA_ADJUSTED=Adjusted","Sort=A","Dates=H","DateFormat=P","Fill=—","Direction=H","UseDPDF=Y")</f>
        <v>3072.9479999999999</v>
      </c>
      <c r="O24" s="16" cm="1">
        <f t="array" ref="O24">_xll.BDH("NUE US Equity","PRETAX_INC","FQ1 2022","FQ1 2022","Currency=USD","Period=FQ","BEST_FPERIOD_OVERRIDE=FQ","FILING_STATUS=MR","SCALING_FORMAT=MLN","FA_ADJUSTED=Adjusted","Sort=A","Dates=H","DateFormat=P","Fill=—","Direction=H","UseDPDF=Y")</f>
        <v>2960.1149999999998</v>
      </c>
      <c r="P24" s="16" cm="1">
        <f t="array" ref="P24">_xll.BDH("NUE US Equity","PRETAX_INC","FQ2 2022","FQ2 2022","Currency=USD","Period=FQ","BEST_FPERIOD_OVERRIDE=FQ","FILING_STATUS=MR","SCALING_FORMAT=MLN","FA_ADJUSTED=Adjusted","Sort=A","Dates=H","DateFormat=P","Fill=—","Direction=H","UseDPDF=Y")</f>
        <v>3550.402</v>
      </c>
      <c r="Q24" s="16" cm="1">
        <f t="array" ref="Q24">_xll.BDH("NUE US Equity","PRETAX_INC","FQ3 2022","FQ3 2022","Currency=USD","Period=FQ","BEST_FPERIOD_OVERRIDE=FQ","FILING_STATUS=MR","SCALING_FORMAT=MLN","FA_ADJUSTED=Adjusted","Sort=A","Dates=H","DateFormat=P","Fill=—","Direction=H","UseDPDF=Y")</f>
        <v>2374.922</v>
      </c>
      <c r="R24" s="16" cm="1">
        <f t="array" ref="R24">_xll.BDH("NUE US Equity","PRETAX_INC","FQ4 2022","FQ4 2022","Currency=USD","Period=FQ","BEST_FPERIOD_OVERRIDE=FQ","FILING_STATUS=MR","SCALING_FORMAT=MLN","FA_ADJUSTED=Adjusted","Sort=A","Dates=H","DateFormat=P","Fill=—","Direction=H","UseDPDF=Y")</f>
        <v>1708.1610000000001</v>
      </c>
      <c r="S24" s="16" cm="1">
        <f t="array" ref="S24">_xll.BDH("NUE US Equity","PRETAX_INC","FQ1 2023","FQ1 2023","Currency=USD","Period=FQ","BEST_FPERIOD_OVERRIDE=FQ","FILING_STATUS=MR","SCALING_FORMAT=MLN","FA_ADJUSTED=Adjusted","Sort=A","Dates=H","DateFormat=P","Fill=—","Direction=H","UseDPDF=Y")</f>
        <v>1678.7840000000001</v>
      </c>
      <c r="T24" s="16" cm="1">
        <f t="array" ref="T24">_xll.BDH("NUE US Equity","PRETAX_INC","FQ2 2023","FQ2 2023","Currency=USD","Period=FQ","BEST_FPERIOD_OVERRIDE=FQ","FILING_STATUS=MR","SCALING_FORMAT=MLN","FA_ADJUSTED=Adjusted","Sort=A","Dates=H","DateFormat=P","Fill=—","Direction=H","UseDPDF=Y")</f>
        <v>2139.7820000000002</v>
      </c>
      <c r="U24" s="16" cm="1">
        <f t="array" ref="U24">_xll.BDH("NUE US Equity","PRETAX_INC","FQ3 2023","FQ3 2023","Currency=USD","Period=FQ","BEST_FPERIOD_OVERRIDE=FQ","FILING_STATUS=MR","SCALING_FORMAT=MLN","FA_ADJUSTED=Adjusted","Sort=A","Dates=H","DateFormat=P","Fill=—","Direction=H","UseDPDF=Y")</f>
        <v>1649.0820000000001</v>
      </c>
      <c r="V24" s="16" cm="1">
        <f t="array" ref="V24">_xll.BDH("NUE US Equity","PRETAX_INC","FQ4 2023","FQ4 2023","Currency=USD","Period=FQ","BEST_FPERIOD_OVERRIDE=FQ","FILING_STATUS=MR","SCALING_FORMAT=MLN","FA_ADJUSTED=Adjusted","Sort=A","Dates=H","DateFormat=P","Fill=—","Direction=H","UseDPDF=Y")</f>
        <v>1205.1089999999999</v>
      </c>
      <c r="W24" s="16" cm="1">
        <f t="array" ref="W24">_xll.BDH("NUE US Equity","PRETAX_INC","FQ1 2024","FQ1 2024","Currency=USD","Period=FQ","BEST_FPERIOD_OVERRIDE=FQ","FILING_STATUS=MR","SCALING_FORMAT=MLN","FA_ADJUSTED=Adjusted","Sort=A","Dates=H","DateFormat=P","Fill=—","Direction=H","UseDPDF=Y")</f>
        <v>1350.3409999999999</v>
      </c>
      <c r="X24" s="16" cm="1">
        <f t="array" ref="X24">_xll.BDH("NUE US Equity","PRETAX_INC","FQ2 2024","FQ2 2024","Currency=USD","Period=FQ","BEST_FPERIOD_OVERRIDE=FQ","FILING_STATUS=MR","SCALING_FORMAT=MLN","FA_ADJUSTED=Adjusted","Sort=A","Dates=H","DateFormat=P","Fill=—","Direction=H","UseDPDF=Y")</f>
        <v>1023.163</v>
      </c>
      <c r="Y24" s="16" cm="1">
        <f t="array" ref="Y24">_xll.BDH("NUE US Equity","PRETAX_INC","FQ3 2024","FQ3 2024","Currency=USD","Period=FQ","BEST_FPERIOD_OVERRIDE=FQ","FILING_STATUS=MR","SCALING_FORMAT=MLN","FA_ADJUSTED=Adjusted","Sort=A","Dates=H","DateFormat=P","Fill=—","Direction=H","UseDPDF=Y")</f>
        <v>679.27300000000002</v>
      </c>
      <c r="Z24" s="16" cm="1">
        <f t="array" ref="Z24">_xll.BDH("NUE US Equity","PRETAX_INC","FQ4 2024","FQ4 2024","Currency=USD","Period=FQ","BEST_FPERIOD_OVERRIDE=FQ","FILING_STATUS=MR","SCALING_FORMAT=MLN","FA_ADJUSTED=Adjusted","Sort=A","Dates=H","DateFormat=P","Fill=—","Direction=H","UseDPDF=Y")</f>
        <v>554</v>
      </c>
      <c r="AA24" s="16" cm="1">
        <f t="array" ref="AA24">_xll.BDH("NUE US Equity","PRETAX_INC","FQ1 2025","FQ1 2025","Currency=USD","Period=FQ","BEST_FPERIOD_OVERRIDE=FQ","FILING_STATUS=MR","SCALING_FORMAT=MLN","FA_ADJUSTED=Adjusted","Sort=A","Dates=H","DateFormat=P","Fill=—","Direction=H","UseDPDF=Y")</f>
        <v>484</v>
      </c>
      <c r="AB24" s="16" cm="1">
        <f t="array" ref="AB24">_xll.BDH("NUE US Equity","PRETAX_INC","FQ2 2025","FQ2 2025","Currency=USD","Period=FQ","BEST_FPERIOD_OVERRIDE=FQ","FILING_STATUS=MR","SCALING_FORMAT=MLN","FA_ADJUSTED=Adjusted","Sort=A","Dates=H","DateFormat=P","Fill=—","Direction=H","UseDPDF=Y")</f>
        <v>910</v>
      </c>
      <c r="AC24" s="16" cm="1">
        <f t="array" ref="AC24">_xll.BDH("NUE US Equity","PRETAX_INC","FQ3 2025","FQ3 2025","Currency=USD","Period=FQ","BEST_FPERIOD_OVERRIDE=FQ","FILING_STATUS=MR","SCALING_FORMAT=MLN","FA_ADJUSTED=Adjusted","Sort=A","Dates=H","DateFormat=P","Fill=—","Direction=H","UseDPDF=Y")</f>
        <v>986</v>
      </c>
      <c r="AD24" s="16" cm="1">
        <f t="array" ref="AD24">_xll.BDH("NUE US Equity","PRETAX_INC","FQ4 2025","FQ4 2025","Currency=USD","Period=FQ","BEST_FPERIOD_OVERRIDE=FQ","FILING_STATUS=MR","SCALING_FORMAT=MLN","FA_ADJUSTED=Adjusted","Sort=A","Dates=H","DateFormat=P","Fill=—","Direction=H","UseDPDF=Y")</f>
        <v>615</v>
      </c>
      <c r="AE24" s="16">
        <v>908.5</v>
      </c>
      <c r="AF24" s="16">
        <v>1032.25</v>
      </c>
    </row>
    <row r="25" spans="1:32" x14ac:dyDescent="0.25">
      <c r="A25" s="10" t="s">
        <v>103</v>
      </c>
      <c r="B25" s="10" t="s">
        <v>104</v>
      </c>
      <c r="C25" s="13" cm="1">
        <f t="array" ref="C25">_xll.BDH("NUE US Equity","IS_ABNORMAL_ITEM","FQ1 2019","FQ1 2019","Currency=USD","Period=FQ","BEST_FPERIOD_OVERRIDE=FQ","FILING_STATUS=MR","SCALING_FORMAT=MLN","Sort=A","Dates=H","DateFormat=P","Fill=—","Direction=H","UseDPDF=Y")</f>
        <v>0</v>
      </c>
      <c r="D25" s="13" cm="1">
        <f t="array" ref="D25">_xll.BDH("NUE US Equity","IS_ABNORMAL_ITEM","FQ2 2019","FQ2 2019","Currency=USD","Period=FQ","BEST_FPERIOD_OVERRIDE=FQ","FILING_STATUS=MR","SCALING_FORMAT=MLN","Sort=A","Dates=H","DateFormat=P","Fill=—","Direction=H","UseDPDF=Y")</f>
        <v>20.5</v>
      </c>
      <c r="E25" s="13" cm="1">
        <f t="array" ref="E25">_xll.BDH("NUE US Equity","IS_ABNORMAL_ITEM","FQ3 2019","FQ3 2019","Currency=USD","Period=FQ","BEST_FPERIOD_OVERRIDE=FQ","FILING_STATUS=MR","SCALING_FORMAT=MLN","Sort=A","Dates=H","DateFormat=P","Fill=—","Direction=H","UseDPDF=Y")</f>
        <v>28</v>
      </c>
      <c r="F25" s="13" cm="1">
        <f t="array" ref="F25">_xll.BDH("NUE US Equity","IS_ABNORMAL_ITEM","FQ4 2019","FQ4 2019","Currency=USD","Period=FQ","BEST_FPERIOD_OVERRIDE=FQ","FILING_STATUS=MR","SCALING_FORMAT=MLN","Sort=A","Dates=H","DateFormat=P","Fill=—","Direction=H","UseDPDF=Y")</f>
        <v>101.916</v>
      </c>
      <c r="G25" s="13" cm="1">
        <f t="array" ref="G25">_xll.BDH("NUE US Equity","IS_ABNORMAL_ITEM","FQ1 2020","FQ1 2020","Currency=USD","Period=FQ","BEST_FPERIOD_OVERRIDE=FQ","FILING_STATUS=MR","SCALING_FORMAT=MLN","Sort=A","Dates=H","DateFormat=P","Fill=—","Direction=H","UseDPDF=Y")</f>
        <v>316.846</v>
      </c>
      <c r="H25" s="13" cm="1">
        <f t="array" ref="H25">_xll.BDH("NUE US Equity","IS_ABNORMAL_ITEM","FQ2 2020","FQ2 2020","Currency=USD","Period=FQ","BEST_FPERIOD_OVERRIDE=FQ","FILING_STATUS=MR","SCALING_FORMAT=MLN","Sort=A","Dates=H","DateFormat=P","Fill=—","Direction=H","UseDPDF=Y")</f>
        <v>27</v>
      </c>
      <c r="I25" s="13" cm="1">
        <f t="array" ref="I25">_xll.BDH("NUE US Equity","IS_ABNORMAL_ITEM","FQ3 2020","FQ3 2020","Currency=USD","Period=FQ","BEST_FPERIOD_OVERRIDE=FQ","FILING_STATUS=MR","SCALING_FORMAT=MLN","Sort=A","Dates=H","DateFormat=P","Fill=—","Direction=H","UseDPDF=Y")</f>
        <v>23.004000000000001</v>
      </c>
      <c r="J25" s="13" cm="1">
        <f t="array" ref="J25">_xll.BDH("NUE US Equity","IS_ABNORMAL_ITEM","FQ4 2020","FQ4 2020","Currency=USD","Period=FQ","BEST_FPERIOD_OVERRIDE=FQ","FILING_STATUS=MR","SCALING_FORMAT=MLN","Sort=A","Dates=H","DateFormat=P","Fill=—","Direction=H","UseDPDF=Y")</f>
        <v>342.19</v>
      </c>
      <c r="K25" s="13" cm="1">
        <f t="array" ref="K25">_xll.BDH("NUE US Equity","IS_ABNORMAL_ITEM","FQ1 2021","FQ1 2021","Currency=USD","Period=FQ","BEST_FPERIOD_OVERRIDE=FQ","FILING_STATUS=MR","SCALING_FORMAT=MLN","Sort=A","Dates=H","DateFormat=P","Fill=—","Direction=H","UseDPDF=Y")</f>
        <v>25.661999999999999</v>
      </c>
      <c r="L25" s="13" cm="1">
        <f t="array" ref="L25">_xll.BDH("NUE US Equity","IS_ABNORMAL_ITEM","FQ2 2021","FQ2 2021","Currency=USD","Period=FQ","BEST_FPERIOD_OVERRIDE=FQ","FILING_STATUS=MR","SCALING_FORMAT=MLN","Sort=A","Dates=H","DateFormat=P","Fill=—","Direction=H","UseDPDF=Y")</f>
        <v>66.308000000000007</v>
      </c>
      <c r="M25" s="13" cm="1">
        <f t="array" ref="M25">_xll.BDH("NUE US Equity","IS_ABNORMAL_ITEM","FQ3 2021","FQ3 2021","Currency=USD","Period=FQ","BEST_FPERIOD_OVERRIDE=FQ","FILING_STATUS=MR","SCALING_FORMAT=MLN","Sort=A","Dates=H","DateFormat=P","Fill=—","Direction=H","UseDPDF=Y")</f>
        <v>36</v>
      </c>
      <c r="N25" s="13" cm="1">
        <f t="array" ref="N25">_xll.BDH("NUE US Equity","IS_ABNORMAL_ITEM","FQ4 2021","FQ4 2021","Currency=USD","Period=FQ","BEST_FPERIOD_OVERRIDE=FQ","FILING_STATUS=MR","SCALING_FORMAT=MLN","Sort=A","Dates=H","DateFormat=P","Fill=—","Direction=H","UseDPDF=Y")</f>
        <v>65.191000000000003</v>
      </c>
      <c r="O25" s="13" cm="1">
        <f t="array" ref="O25">_xll.BDH("NUE US Equity","IS_ABNORMAL_ITEM","FQ1 2022","FQ1 2022","Currency=USD","Period=FQ","BEST_FPERIOD_OVERRIDE=FQ","FILING_STATUS=MR","SCALING_FORMAT=MLN","Sort=A","Dates=H","DateFormat=P","Fill=—","Direction=H","UseDPDF=Y")</f>
        <v>62</v>
      </c>
      <c r="P25" s="13" cm="1">
        <f t="array" ref="P25">_xll.BDH("NUE US Equity","IS_ABNORMAL_ITEM","FQ2 2022","FQ2 2022","Currency=USD","Period=FQ","BEST_FPERIOD_OVERRIDE=FQ","FILING_STATUS=MR","SCALING_FORMAT=MLN","Sort=A","Dates=H","DateFormat=P","Fill=—","Direction=H","UseDPDF=Y")</f>
        <v>60</v>
      </c>
      <c r="Q25" s="13" cm="1">
        <f t="array" ref="Q25">_xll.BDH("NUE US Equity","IS_ABNORMAL_ITEM","FQ3 2022","FQ3 2022","Currency=USD","Period=FQ","BEST_FPERIOD_OVERRIDE=FQ","FILING_STATUS=MR","SCALING_FORMAT=MLN","Sort=A","Dates=H","DateFormat=P","Fill=—","Direction=H","UseDPDF=Y")</f>
        <v>52</v>
      </c>
      <c r="R25" s="13" cm="1">
        <f t="array" ref="R25">_xll.BDH("NUE US Equity","IS_ABNORMAL_ITEM","FQ4 2022","FQ4 2022","Currency=USD","Period=FQ","BEST_FPERIOD_OVERRIDE=FQ","FILING_STATUS=MR","SCALING_FORMAT=MLN","Sort=A","Dates=H","DateFormat=P","Fill=—","Direction=H","UseDPDF=Y")</f>
        <v>174.756</v>
      </c>
      <c r="S25" s="13" cm="1">
        <f t="array" ref="S25">_xll.BDH("NUE US Equity","IS_ABNORMAL_ITEM","FQ1 2023","FQ1 2023","Currency=USD","Period=FQ","BEST_FPERIOD_OVERRIDE=FQ","FILING_STATUS=MR","SCALING_FORMAT=MLN","Sort=A","Dates=H","DateFormat=P","Fill=—","Direction=H","UseDPDF=Y")</f>
        <v>82</v>
      </c>
      <c r="T25" s="13" cm="1">
        <f t="array" ref="T25">_xll.BDH("NUE US Equity","IS_ABNORMAL_ITEM","FQ2 2023","FQ2 2023","Currency=USD","Period=FQ","BEST_FPERIOD_OVERRIDE=FQ","FILING_STATUS=MR","SCALING_FORMAT=MLN","Sort=A","Dates=H","DateFormat=P","Fill=—","Direction=H","UseDPDF=Y")</f>
        <v>90</v>
      </c>
      <c r="U25" s="13" cm="1">
        <f t="array" ref="U25">_xll.BDH("NUE US Equity","IS_ABNORMAL_ITEM","FQ3 2023","FQ3 2023","Currency=USD","Period=FQ","BEST_FPERIOD_OVERRIDE=FQ","FILING_STATUS=MR","SCALING_FORMAT=MLN","Sort=A","Dates=H","DateFormat=P","Fill=—","Direction=H","UseDPDF=Y")</f>
        <v>101</v>
      </c>
      <c r="V25" s="13" cm="1">
        <f t="array" ref="V25">_xll.BDH("NUE US Equity","IS_ABNORMAL_ITEM","FQ4 2023","FQ4 2023","Currency=USD","Period=FQ","BEST_FPERIOD_OVERRIDE=FQ","FILING_STATUS=MR","SCALING_FORMAT=MLN","Sort=A","Dates=H","DateFormat=P","Fill=—","Direction=H","UseDPDF=Y")</f>
        <v>127</v>
      </c>
      <c r="W25" s="13" cm="1">
        <f t="array" ref="W25">_xll.BDH("NUE US Equity","IS_ABNORMAL_ITEM","FQ1 2024","FQ1 2024","Currency=USD","Period=FQ","BEST_FPERIOD_OVERRIDE=FQ","FILING_STATUS=MR","SCALING_FORMAT=MLN","Sort=A","Dates=H","DateFormat=P","Fill=—","Direction=H","UseDPDF=Y")</f>
        <v>125</v>
      </c>
      <c r="X25" s="13" cm="1">
        <f t="array" ref="X25">_xll.BDH("NUE US Equity","IS_ABNORMAL_ITEM","FQ2 2024","FQ2 2024","Currency=USD","Period=FQ","BEST_FPERIOD_OVERRIDE=FQ","FILING_STATUS=MR","SCALING_FORMAT=MLN","Sort=A","Dates=H","DateFormat=P","Fill=—","Direction=H","UseDPDF=Y")</f>
        <v>125</v>
      </c>
      <c r="Y25" s="13" cm="1">
        <f t="array" ref="Y25">_xll.BDH("NUE US Equity","IS_ABNORMAL_ITEM","FQ3 2024","FQ3 2024","Currency=USD","Period=FQ","BEST_FPERIOD_OVERRIDE=FQ","FILING_STATUS=MR","SCALING_FORMAT=MLN","Sort=A","Dates=H","DateFormat=P","Fill=—","Direction=H","UseDPDF=Y")</f>
        <v>291</v>
      </c>
      <c r="Z25" s="13" cm="1">
        <f t="array" ref="Z25">_xll.BDH("NUE US Equity","IS_ABNORMAL_ITEM","FQ4 2024","FQ4 2024","Currency=USD","Period=FQ","BEST_FPERIOD_OVERRIDE=FQ","FILING_STATUS=MR","SCALING_FORMAT=MLN","Sort=A","Dates=H","DateFormat=P","Fill=—","Direction=H","UseDPDF=Y")</f>
        <v>164</v>
      </c>
      <c r="AA25" s="13" cm="1">
        <f t="array" ref="AA25">_xll.BDH("NUE US Equity","IS_ABNORMAL_ITEM","FQ1 2025","FQ1 2025","Currency=USD","Period=FQ","BEST_FPERIOD_OVERRIDE=FQ","FILING_STATUS=MR","SCALING_FORMAT=MLN","Sort=A","Dates=H","DateFormat=P","Fill=—","Direction=H","UseDPDF=Y")</f>
        <v>199</v>
      </c>
      <c r="AB25" s="13" cm="1">
        <f t="array" ref="AB25">_xll.BDH("NUE US Equity","IS_ABNORMAL_ITEM","FQ2 2025","FQ2 2025","Currency=USD","Period=FQ","BEST_FPERIOD_OVERRIDE=FQ","FILING_STATUS=MR","SCALING_FORMAT=MLN","Sort=A","Dates=H","DateFormat=P","Fill=—","Direction=H","UseDPDF=Y")</f>
        <v>11</v>
      </c>
      <c r="AC25" s="13" cm="1">
        <f t="array" ref="AC25">_xll.BDH("NUE US Equity","IS_ABNORMAL_ITEM","FQ3 2025","FQ3 2025","Currency=USD","Period=FQ","BEST_FPERIOD_OVERRIDE=FQ","FILING_STATUS=MR","SCALING_FORMAT=MLN","Sort=A","Dates=H","DateFormat=P","Fill=—","Direction=H","UseDPDF=Y")</f>
        <v>103</v>
      </c>
      <c r="AD25" s="13" cm="1">
        <f t="array" ref="AD25">_xll.BDH("NUE US Equity","IS_ABNORMAL_ITEM","FQ4 2025","FQ4 2025","Currency=USD","Period=FQ","BEST_FPERIOD_OVERRIDE=FQ","FILING_STATUS=MR","SCALING_FORMAT=MLN","Sort=A","Dates=H","DateFormat=P","Fill=—","Direction=H","UseDPDF=Y")</f>
        <v>114</v>
      </c>
      <c r="AE25" s="13"/>
      <c r="AF25" s="13"/>
    </row>
    <row r="26" spans="1:32" x14ac:dyDescent="0.25">
      <c r="A26" s="10" t="s">
        <v>105</v>
      </c>
      <c r="B26" s="10" t="s">
        <v>106</v>
      </c>
      <c r="C26" s="13" t="str" cm="1">
        <f t="array" ref="C26">_xll.BDH("NUE US Equity","IS_IMPAIRMENT_ASSETS","FQ1 2019","FQ1 2019","Currency=USD","Period=FQ","BEST_FPERIOD_OVERRIDE=FQ","FILING_STATUS=MR","SCALING_FORMAT=MLN","Sort=A","Dates=H","DateFormat=P","Fill=—","Direction=H","UseDPDF=Y")</f>
        <v>—</v>
      </c>
      <c r="D26" s="13" t="str" cm="1">
        <f t="array" ref="D26">_xll.BDH("NUE US Equity","IS_IMPAIRMENT_ASSETS","FQ2 2019","FQ2 2019","Currency=USD","Period=FQ","BEST_FPERIOD_OVERRIDE=FQ","FILING_STATUS=MR","SCALING_FORMAT=MLN","Sort=A","Dates=H","DateFormat=P","Fill=—","Direction=H","UseDPDF=Y")</f>
        <v>—</v>
      </c>
      <c r="E26" s="13" t="str" cm="1">
        <f t="array" ref="E26">_xll.BDH("NUE US Equity","IS_IMPAIRMENT_ASSETS","FQ3 2019","FQ3 2019","Currency=USD","Period=FQ","BEST_FPERIOD_OVERRIDE=FQ","FILING_STATUS=MR","SCALING_FORMAT=MLN","Sort=A","Dates=H","DateFormat=P","Fill=—","Direction=H","UseDPDF=Y")</f>
        <v>—</v>
      </c>
      <c r="F26" s="13" cm="1">
        <f t="array" ref="F26">_xll.BDH("NUE US Equity","IS_IMPAIRMENT_ASSETS","FQ4 2019","FQ4 2019","Currency=USD","Period=FQ","BEST_FPERIOD_OVERRIDE=FQ","FILING_STATUS=MR","SCALING_FORMAT=MLN","Sort=A","Dates=H","DateFormat=P","Fill=—","Direction=H","UseDPDF=Y")</f>
        <v>55.015999999999998</v>
      </c>
      <c r="G26" s="13" cm="1">
        <f t="array" ref="G26">_xll.BDH("NUE US Equity","IS_IMPAIRMENT_ASSETS","FQ1 2020","FQ1 2020","Currency=USD","Period=FQ","BEST_FPERIOD_OVERRIDE=FQ","FILING_STATUS=MR","SCALING_FORMAT=MLN","Sort=A","Dates=H","DateFormat=P","Fill=—","Direction=H","UseDPDF=Y")</f>
        <v>287.846</v>
      </c>
      <c r="H26" s="13" cm="1">
        <f t="array" ref="H26">_xll.BDH("NUE US Equity","IS_IMPAIRMENT_ASSETS","FQ2 2020","FQ2 2020","Currency=USD","Period=FQ","BEST_FPERIOD_OVERRIDE=FQ","FILING_STATUS=MR","SCALING_FORMAT=MLN","Sort=A","Dates=H","DateFormat=P","Fill=—","Direction=H","UseDPDF=Y")</f>
        <v>5</v>
      </c>
      <c r="I26" s="13" cm="1">
        <f t="array" ref="I26">_xll.BDH("NUE US Equity","IS_IMPAIRMENT_ASSETS","FQ3 2020","FQ3 2020","Currency=USD","Period=FQ","BEST_FPERIOD_OVERRIDE=FQ","FILING_STATUS=MR","SCALING_FORMAT=MLN","Sort=A","Dates=H","DateFormat=P","Fill=—","Direction=H","UseDPDF=Y")</f>
        <v>6.6040000000000001</v>
      </c>
      <c r="J26" s="13" cm="1">
        <f t="array" ref="J26">_xll.BDH("NUE US Equity","IS_IMPAIRMENT_ASSETS","FQ4 2020","FQ4 2020","Currency=USD","Period=FQ","BEST_FPERIOD_OVERRIDE=FQ","FILING_STATUS=MR","SCALING_FORMAT=MLN","Sort=A","Dates=H","DateFormat=P","Fill=—","Direction=H","UseDPDF=Y")</f>
        <v>314.19</v>
      </c>
      <c r="K26" s="13" cm="1">
        <f t="array" ref="K26">_xll.BDH("NUE US Equity","IS_IMPAIRMENT_ASSETS","FQ1 2021","FQ1 2021","Currency=USD","Period=FQ","BEST_FPERIOD_OVERRIDE=FQ","FILING_STATUS=MR","SCALING_FORMAT=MLN","Sort=A","Dates=H","DateFormat=P","Fill=—","Direction=H","UseDPDF=Y")</f>
        <v>6.6619999999999999</v>
      </c>
      <c r="L26" s="13" cm="1">
        <f t="array" ref="L26">_xll.BDH("NUE US Equity","IS_IMPAIRMENT_ASSETS","FQ2 2021","FQ2 2021","Currency=USD","Period=FQ","BEST_FPERIOD_OVERRIDE=FQ","FILING_STATUS=MR","SCALING_FORMAT=MLN","Sort=A","Dates=H","DateFormat=P","Fill=—","Direction=H","UseDPDF=Y")</f>
        <v>44.308</v>
      </c>
      <c r="M26" s="13" t="str" cm="1">
        <f t="array" ref="M26">_xll.BDH("NUE US Equity","IS_IMPAIRMENT_ASSETS","FQ3 2021","FQ3 2021","Currency=USD","Period=FQ","BEST_FPERIOD_OVERRIDE=FQ","FILING_STATUS=MR","SCALING_FORMAT=MLN","Sort=A","Dates=H","DateFormat=P","Fill=—","Direction=H","UseDPDF=Y")</f>
        <v>—</v>
      </c>
      <c r="N26" s="13" cm="1">
        <f t="array" ref="N26">_xll.BDH("NUE US Equity","IS_IMPAIRMENT_ASSETS","FQ4 2021","FQ4 2021","Currency=USD","Period=FQ","BEST_FPERIOD_OVERRIDE=FQ","FILING_STATUS=MR","SCALING_FORMAT=MLN","Sort=A","Dates=H","DateFormat=P","Fill=—","Direction=H","UseDPDF=Y")</f>
        <v>11.191000000000001</v>
      </c>
      <c r="O26" s="13" t="str" cm="1">
        <f t="array" ref="O26">_xll.BDH("NUE US Equity","IS_IMPAIRMENT_ASSETS","FQ1 2022","FQ1 2022","Currency=USD","Period=FQ","BEST_FPERIOD_OVERRIDE=FQ","FILING_STATUS=MR","SCALING_FORMAT=MLN","Sort=A","Dates=H","DateFormat=P","Fill=—","Direction=H","UseDPDF=Y")</f>
        <v>—</v>
      </c>
      <c r="P26" s="13" t="str" cm="1">
        <f t="array" ref="P26">_xll.BDH("NUE US Equity","IS_IMPAIRMENT_ASSETS","FQ2 2022","FQ2 2022","Currency=USD","Period=FQ","BEST_FPERIOD_OVERRIDE=FQ","FILING_STATUS=MR","SCALING_FORMAT=MLN","Sort=A","Dates=H","DateFormat=P","Fill=—","Direction=H","UseDPDF=Y")</f>
        <v>—</v>
      </c>
      <c r="Q26" s="13" t="str" cm="1">
        <f t="array" ref="Q26">_xll.BDH("NUE US Equity","IS_IMPAIRMENT_ASSETS","FQ3 2022","FQ3 2022","Currency=USD","Period=FQ","BEST_FPERIOD_OVERRIDE=FQ","FILING_STATUS=MR","SCALING_FORMAT=MLN","Sort=A","Dates=H","DateFormat=P","Fill=—","Direction=H","UseDPDF=Y")</f>
        <v>—</v>
      </c>
      <c r="R26" s="13" cm="1">
        <f t="array" ref="R26">_xll.BDH("NUE US Equity","IS_IMPAIRMENT_ASSETS","FQ4 2022","FQ4 2022","Currency=USD","Period=FQ","BEST_FPERIOD_OVERRIDE=FQ","FILING_STATUS=MR","SCALING_FORMAT=MLN","Sort=A","Dates=H","DateFormat=P","Fill=—","Direction=H","UseDPDF=Y")</f>
        <v>101.756</v>
      </c>
      <c r="S26" s="13" t="str" cm="1">
        <f t="array" ref="S26">_xll.BDH("NUE US Equity","IS_IMPAIRMENT_ASSETS","FQ1 2023","FQ1 2023","Currency=USD","Period=FQ","BEST_FPERIOD_OVERRIDE=FQ","FILING_STATUS=MR","SCALING_FORMAT=MLN","Sort=A","Dates=H","DateFormat=P","Fill=—","Direction=H","UseDPDF=Y")</f>
        <v>—</v>
      </c>
      <c r="T26" s="13" t="str" cm="1">
        <f t="array" ref="T26">_xll.BDH("NUE US Equity","IS_IMPAIRMENT_ASSETS","FQ2 2023","FQ2 2023","Currency=USD","Period=FQ","BEST_FPERIOD_OVERRIDE=FQ","FILING_STATUS=MR","SCALING_FORMAT=MLN","Sort=A","Dates=H","DateFormat=P","Fill=—","Direction=H","UseDPDF=Y")</f>
        <v>—</v>
      </c>
      <c r="U26" s="13" t="str" cm="1">
        <f t="array" ref="U26">_xll.BDH("NUE US Equity","IS_IMPAIRMENT_ASSETS","FQ3 2023","FQ3 2023","Currency=USD","Period=FQ","BEST_FPERIOD_OVERRIDE=FQ","FILING_STATUS=MR","SCALING_FORMAT=MLN","Sort=A","Dates=H","DateFormat=P","Fill=—","Direction=H","UseDPDF=Y")</f>
        <v>—</v>
      </c>
      <c r="V26" s="13" t="str" cm="1">
        <f t="array" ref="V26">_xll.BDH("NUE US Equity","IS_IMPAIRMENT_ASSETS","FQ4 2023","FQ4 2023","Currency=USD","Period=FQ","BEST_FPERIOD_OVERRIDE=FQ","FILING_STATUS=MR","SCALING_FORMAT=MLN","Sort=A","Dates=H","DateFormat=P","Fill=—","Direction=H","UseDPDF=Y")</f>
        <v>—</v>
      </c>
      <c r="W26" s="13" t="str" cm="1">
        <f t="array" ref="W26">_xll.BDH("NUE US Equity","IS_IMPAIRMENT_ASSETS","FQ1 2024","FQ1 2024","Currency=USD","Period=FQ","BEST_FPERIOD_OVERRIDE=FQ","FILING_STATUS=MR","SCALING_FORMAT=MLN","Sort=A","Dates=H","DateFormat=P","Fill=—","Direction=H","UseDPDF=Y")</f>
        <v>—</v>
      </c>
      <c r="X26" s="13" t="str" cm="1">
        <f t="array" ref="X26">_xll.BDH("NUE US Equity","IS_IMPAIRMENT_ASSETS","FQ2 2024","FQ2 2024","Currency=USD","Period=FQ","BEST_FPERIOD_OVERRIDE=FQ","FILING_STATUS=MR","SCALING_FORMAT=MLN","Sort=A","Dates=H","DateFormat=P","Fill=—","Direction=H","UseDPDF=Y")</f>
        <v>—</v>
      </c>
      <c r="Y26" s="13" cm="1">
        <f t="array" ref="Y26">_xll.BDH("NUE US Equity","IS_IMPAIRMENT_ASSETS","FQ3 2024","FQ3 2024","Currency=USD","Period=FQ","BEST_FPERIOD_OVERRIDE=FQ","FILING_STATUS=MR","SCALING_FORMAT=MLN","Sort=A","Dates=H","DateFormat=P","Fill=—","Direction=H","UseDPDF=Y")</f>
        <v>123</v>
      </c>
      <c r="Z26" s="13" t="str" cm="1">
        <f t="array" ref="Z26">_xll.BDH("NUE US Equity","IS_IMPAIRMENT_ASSETS","FQ4 2024","FQ4 2024","Currency=USD","Period=FQ","BEST_FPERIOD_OVERRIDE=FQ","FILING_STATUS=MR","SCALING_FORMAT=MLN","Sort=A","Dates=H","DateFormat=P","Fill=—","Direction=H","UseDPDF=Y")</f>
        <v>—</v>
      </c>
      <c r="AA26" s="13" cm="1">
        <f t="array" ref="AA26">_xll.BDH("NUE US Equity","IS_IMPAIRMENT_ASSETS","FQ1 2025","FQ1 2025","Currency=USD","Period=FQ","BEST_FPERIOD_OVERRIDE=FQ","FILING_STATUS=MR","SCALING_FORMAT=MLN","Sort=A","Dates=H","DateFormat=P","Fill=—","Direction=H","UseDPDF=Y")</f>
        <v>29</v>
      </c>
      <c r="AB26" s="13" cm="1">
        <f t="array" ref="AB26">_xll.BDH("NUE US Equity","IS_IMPAIRMENT_ASSETS","FQ2 2025","FQ2 2025","Currency=USD","Period=FQ","BEST_FPERIOD_OVERRIDE=FQ","FILING_STATUS=MR","SCALING_FORMAT=MLN","Sort=A","Dates=H","DateFormat=P","Fill=—","Direction=H","UseDPDF=Y")</f>
        <v>11</v>
      </c>
      <c r="AC26" s="13" t="str" cm="1">
        <f t="array" ref="AC26">_xll.BDH("NUE US Equity","IS_IMPAIRMENT_ASSETS","FQ3 2025","FQ3 2025","Currency=USD","Period=FQ","BEST_FPERIOD_OVERRIDE=FQ","FILING_STATUS=MR","SCALING_FORMAT=MLN","Sort=A","Dates=H","DateFormat=P","Fill=—","Direction=H","UseDPDF=Y")</f>
        <v>—</v>
      </c>
      <c r="AD26" s="13" cm="1">
        <f t="array" ref="AD26">_xll.BDH("NUE US Equity","IS_IMPAIRMENT_ASSETS","FQ4 2025","FQ4 2025","Currency=USD","Period=FQ","BEST_FPERIOD_OVERRIDE=FQ","FILING_STATUS=MR","SCALING_FORMAT=MLN","Sort=A","Dates=H","DateFormat=P","Fill=—","Direction=H","UseDPDF=Y")</f>
        <v>27</v>
      </c>
      <c r="AE26" s="13"/>
      <c r="AF26" s="13"/>
    </row>
    <row r="27" spans="1:32" x14ac:dyDescent="0.25">
      <c r="A27" s="10" t="s">
        <v>107</v>
      </c>
      <c r="B27" s="10" t="s">
        <v>108</v>
      </c>
      <c r="C27" s="13" t="str" cm="1">
        <f t="array" ref="C27">_xll.BDH("NUE US Equity","IS_IMPAIR_OF_INTANG_ASSETS","FQ1 2019","FQ1 2019","Currency=USD","Period=FQ","BEST_FPERIOD_OVERRIDE=FQ","FILING_STATUS=MR","SCALING_FORMAT=MLN","Sort=A","Dates=H","DateFormat=P","Fill=—","Direction=H","UseDPDF=Y")</f>
        <v>—</v>
      </c>
      <c r="D27" s="13" t="str" cm="1">
        <f t="array" ref="D27">_xll.BDH("NUE US Equity","IS_IMPAIR_OF_INTANG_ASSETS","FQ2 2019","FQ2 2019","Currency=USD","Period=FQ","BEST_FPERIOD_OVERRIDE=FQ","FILING_STATUS=MR","SCALING_FORMAT=MLN","Sort=A","Dates=H","DateFormat=P","Fill=—","Direction=H","UseDPDF=Y")</f>
        <v>—</v>
      </c>
      <c r="E27" s="13" t="str" cm="1">
        <f t="array" ref="E27">_xll.BDH("NUE US Equity","IS_IMPAIR_OF_INTANG_ASSETS","FQ3 2019","FQ3 2019","Currency=USD","Period=FQ","BEST_FPERIOD_OVERRIDE=FQ","FILING_STATUS=MR","SCALING_FORMAT=MLN","Sort=A","Dates=H","DateFormat=P","Fill=—","Direction=H","UseDPDF=Y")</f>
        <v>—</v>
      </c>
      <c r="F27" s="13" cm="1">
        <f t="array" ref="F27">_xll.BDH("NUE US Equity","IS_IMPAIR_OF_INTANG_ASSETS","FQ4 2019","FQ4 2019","Currency=USD","Period=FQ","BEST_FPERIOD_OVERRIDE=FQ","FILING_STATUS=MR","SCALING_FORMAT=MLN","Sort=A","Dates=H","DateFormat=P","Fill=—","Direction=H","UseDPDF=Y")</f>
        <v>11.9</v>
      </c>
      <c r="G27" s="13" t="str" cm="1">
        <f t="array" ref="G27">_xll.BDH("NUE US Equity","IS_IMPAIR_OF_INTANG_ASSETS","FQ1 2020","FQ1 2020","Currency=USD","Period=FQ","BEST_FPERIOD_OVERRIDE=FQ","FILING_STATUS=MR","SCALING_FORMAT=MLN","Sort=A","Dates=H","DateFormat=P","Fill=—","Direction=H","UseDPDF=Y")</f>
        <v>—</v>
      </c>
      <c r="H27" s="13" t="str" cm="1">
        <f t="array" ref="H27">_xll.BDH("NUE US Equity","IS_IMPAIR_OF_INTANG_ASSETS","FQ2 2020","FQ2 2020","Currency=USD","Period=FQ","BEST_FPERIOD_OVERRIDE=FQ","FILING_STATUS=MR","SCALING_FORMAT=MLN","Sort=A","Dates=H","DateFormat=P","Fill=—","Direction=H","UseDPDF=Y")</f>
        <v>—</v>
      </c>
      <c r="I27" s="13" t="str" cm="1">
        <f t="array" ref="I27">_xll.BDH("NUE US Equity","IS_IMPAIR_OF_INTANG_ASSETS","FQ3 2020","FQ3 2020","Currency=USD","Period=FQ","BEST_FPERIOD_OVERRIDE=FQ","FILING_STATUS=MR","SCALING_FORMAT=MLN","Sort=A","Dates=H","DateFormat=P","Fill=—","Direction=H","UseDPDF=Y")</f>
        <v>—</v>
      </c>
      <c r="J27" s="13" t="str" cm="1">
        <f t="array" ref="J27">_xll.BDH("NUE US Equity","IS_IMPAIR_OF_INTANG_ASSETS","FQ4 2020","FQ4 2020","Currency=USD","Period=FQ","BEST_FPERIOD_OVERRIDE=FQ","FILING_STATUS=MR","SCALING_FORMAT=MLN","Sort=A","Dates=H","DateFormat=P","Fill=—","Direction=H","UseDPDF=Y")</f>
        <v>—</v>
      </c>
      <c r="K27" s="13" t="str" cm="1">
        <f t="array" ref="K27">_xll.BDH("NUE US Equity","IS_IMPAIR_OF_INTANG_ASSETS","FQ1 2021","FQ1 2021","Currency=USD","Period=FQ","BEST_FPERIOD_OVERRIDE=FQ","FILING_STATUS=MR","SCALING_FORMAT=MLN","Sort=A","Dates=H","DateFormat=P","Fill=—","Direction=H","UseDPDF=Y")</f>
        <v>—</v>
      </c>
      <c r="L27" s="13" t="str" cm="1">
        <f t="array" ref="L27">_xll.BDH("NUE US Equity","IS_IMPAIR_OF_INTANG_ASSETS","FQ2 2021","FQ2 2021","Currency=USD","Period=FQ","BEST_FPERIOD_OVERRIDE=FQ","FILING_STATUS=MR","SCALING_FORMAT=MLN","Sort=A","Dates=H","DateFormat=P","Fill=—","Direction=H","UseDPDF=Y")</f>
        <v>—</v>
      </c>
      <c r="M27" s="13" t="str" cm="1">
        <f t="array" ref="M27">_xll.BDH("NUE US Equity","IS_IMPAIR_OF_INTANG_ASSETS","FQ3 2021","FQ3 2021","Currency=USD","Period=FQ","BEST_FPERIOD_OVERRIDE=FQ","FILING_STATUS=MR","SCALING_FORMAT=MLN","Sort=A","Dates=H","DateFormat=P","Fill=—","Direction=H","UseDPDF=Y")</f>
        <v>—</v>
      </c>
      <c r="N27" s="13" t="str" cm="1">
        <f t="array" ref="N27">_xll.BDH("NUE US Equity","IS_IMPAIR_OF_INTANG_ASSETS","FQ4 2021","FQ4 2021","Currency=USD","Period=FQ","BEST_FPERIOD_OVERRIDE=FQ","FILING_STATUS=MR","SCALING_FORMAT=MLN","Sort=A","Dates=H","DateFormat=P","Fill=—","Direction=H","UseDPDF=Y")</f>
        <v>—</v>
      </c>
      <c r="O27" s="13" t="str" cm="1">
        <f t="array" ref="O27">_xll.BDH("NUE US Equity","IS_IMPAIR_OF_INTANG_ASSETS","FQ1 2022","FQ1 2022","Currency=USD","Period=FQ","BEST_FPERIOD_OVERRIDE=FQ","FILING_STATUS=MR","SCALING_FORMAT=MLN","Sort=A","Dates=H","DateFormat=P","Fill=—","Direction=H","UseDPDF=Y")</f>
        <v>—</v>
      </c>
      <c r="P27" s="13" t="str" cm="1">
        <f t="array" ref="P27">_xll.BDH("NUE US Equity","IS_IMPAIR_OF_INTANG_ASSETS","FQ2 2022","FQ2 2022","Currency=USD","Period=FQ","BEST_FPERIOD_OVERRIDE=FQ","FILING_STATUS=MR","SCALING_FORMAT=MLN","Sort=A","Dates=H","DateFormat=P","Fill=—","Direction=H","UseDPDF=Y")</f>
        <v>—</v>
      </c>
      <c r="Q27" s="13" t="str" cm="1">
        <f t="array" ref="Q27">_xll.BDH("NUE US Equity","IS_IMPAIR_OF_INTANG_ASSETS","FQ3 2022","FQ3 2022","Currency=USD","Period=FQ","BEST_FPERIOD_OVERRIDE=FQ","FILING_STATUS=MR","SCALING_FORMAT=MLN","Sort=A","Dates=H","DateFormat=P","Fill=—","Direction=H","UseDPDF=Y")</f>
        <v>—</v>
      </c>
      <c r="R27" s="13" t="str" cm="1">
        <f t="array" ref="R27">_xll.BDH("NUE US Equity","IS_IMPAIR_OF_INTANG_ASSETS","FQ4 2022","FQ4 2022","Currency=USD","Period=FQ","BEST_FPERIOD_OVERRIDE=FQ","FILING_STATUS=MR","SCALING_FORMAT=MLN","Sort=A","Dates=H","DateFormat=P","Fill=—","Direction=H","UseDPDF=Y")</f>
        <v>—</v>
      </c>
      <c r="S27" s="13" t="str" cm="1">
        <f t="array" ref="S27">_xll.BDH("NUE US Equity","IS_IMPAIR_OF_INTANG_ASSETS","FQ1 2023","FQ1 2023","Currency=USD","Period=FQ","BEST_FPERIOD_OVERRIDE=FQ","FILING_STATUS=MR","SCALING_FORMAT=MLN","Sort=A","Dates=H","DateFormat=P","Fill=—","Direction=H","UseDPDF=Y")</f>
        <v>—</v>
      </c>
      <c r="T27" s="13" t="str" cm="1">
        <f t="array" ref="T27">_xll.BDH("NUE US Equity","IS_IMPAIR_OF_INTANG_ASSETS","FQ2 2023","FQ2 2023","Currency=USD","Period=FQ","BEST_FPERIOD_OVERRIDE=FQ","FILING_STATUS=MR","SCALING_FORMAT=MLN","Sort=A","Dates=H","DateFormat=P","Fill=—","Direction=H","UseDPDF=Y")</f>
        <v>—</v>
      </c>
      <c r="U27" s="13" t="str" cm="1">
        <f t="array" ref="U27">_xll.BDH("NUE US Equity","IS_IMPAIR_OF_INTANG_ASSETS","FQ3 2023","FQ3 2023","Currency=USD","Period=FQ","BEST_FPERIOD_OVERRIDE=FQ","FILING_STATUS=MR","SCALING_FORMAT=MLN","Sort=A","Dates=H","DateFormat=P","Fill=—","Direction=H","UseDPDF=Y")</f>
        <v>—</v>
      </c>
      <c r="V27" s="13" t="str" cm="1">
        <f t="array" ref="V27">_xll.BDH("NUE US Equity","IS_IMPAIR_OF_INTANG_ASSETS","FQ4 2023","FQ4 2023","Currency=USD","Period=FQ","BEST_FPERIOD_OVERRIDE=FQ","FILING_STATUS=MR","SCALING_FORMAT=MLN","Sort=A","Dates=H","DateFormat=P","Fill=—","Direction=H","UseDPDF=Y")</f>
        <v>—</v>
      </c>
      <c r="W27" s="13" t="str" cm="1">
        <f t="array" ref="W27">_xll.BDH("NUE US Equity","IS_IMPAIR_OF_INTANG_ASSETS","FQ1 2024","FQ1 2024","Currency=USD","Period=FQ","BEST_FPERIOD_OVERRIDE=FQ","FILING_STATUS=MR","SCALING_FORMAT=MLN","Sort=A","Dates=H","DateFormat=P","Fill=—","Direction=H","UseDPDF=Y")</f>
        <v>—</v>
      </c>
      <c r="X27" s="13" t="str" cm="1">
        <f t="array" ref="X27">_xll.BDH("NUE US Equity","IS_IMPAIR_OF_INTANG_ASSETS","FQ2 2024","FQ2 2024","Currency=USD","Period=FQ","BEST_FPERIOD_OVERRIDE=FQ","FILING_STATUS=MR","SCALING_FORMAT=MLN","Sort=A","Dates=H","DateFormat=P","Fill=—","Direction=H","UseDPDF=Y")</f>
        <v>—</v>
      </c>
      <c r="Y27" s="13" t="str" cm="1">
        <f t="array" ref="Y27">_xll.BDH("NUE US Equity","IS_IMPAIR_OF_INTANG_ASSETS","FQ3 2024","FQ3 2024","Currency=USD","Period=FQ","BEST_FPERIOD_OVERRIDE=FQ","FILING_STATUS=MR","SCALING_FORMAT=MLN","Sort=A","Dates=H","DateFormat=P","Fill=—","Direction=H","UseDPDF=Y")</f>
        <v>—</v>
      </c>
      <c r="Z27" s="13" t="str" cm="1">
        <f t="array" ref="Z27">_xll.BDH("NUE US Equity","IS_IMPAIR_OF_INTANG_ASSETS","FQ4 2024","FQ4 2024","Currency=USD","Period=FQ","BEST_FPERIOD_OVERRIDE=FQ","FILING_STATUS=MR","SCALING_FORMAT=MLN","Sort=A","Dates=H","DateFormat=P","Fill=—","Direction=H","UseDPDF=Y")</f>
        <v>—</v>
      </c>
      <c r="AA27" s="13" t="str" cm="1">
        <f t="array" ref="AA27">_xll.BDH("NUE US Equity","IS_IMPAIR_OF_INTANG_ASSETS","FQ1 2025","FQ1 2025","Currency=USD","Period=FQ","BEST_FPERIOD_OVERRIDE=FQ","FILING_STATUS=MR","SCALING_FORMAT=MLN","Sort=A","Dates=H","DateFormat=P","Fill=—","Direction=H","UseDPDF=Y")</f>
        <v>—</v>
      </c>
      <c r="AB27" s="13" t="str" cm="1">
        <f t="array" ref="AB27">_xll.BDH("NUE US Equity","IS_IMPAIR_OF_INTANG_ASSETS","FQ2 2025","FQ2 2025","Currency=USD","Period=FQ","BEST_FPERIOD_OVERRIDE=FQ","FILING_STATUS=MR","SCALING_FORMAT=MLN","Sort=A","Dates=H","DateFormat=P","Fill=—","Direction=H","UseDPDF=Y")</f>
        <v>—</v>
      </c>
      <c r="AC27" s="13" t="str" cm="1">
        <f t="array" ref="AC27">_xll.BDH("NUE US Equity","IS_IMPAIR_OF_INTANG_ASSETS","FQ3 2025","FQ3 2025","Currency=USD","Period=FQ","BEST_FPERIOD_OVERRIDE=FQ","FILING_STATUS=MR","SCALING_FORMAT=MLN","Sort=A","Dates=H","DateFormat=P","Fill=—","Direction=H","UseDPDF=Y")</f>
        <v>—</v>
      </c>
      <c r="AD27" s="13" t="str" cm="1">
        <f t="array" ref="AD27">_xll.BDH("NUE US Equity","IS_IMPAIR_OF_INTANG_ASSETS","FQ4 2025","FQ4 2025","Currency=USD","Period=FQ","BEST_FPERIOD_OVERRIDE=FQ","FILING_STATUS=MR","SCALING_FORMAT=MLN","Sort=A","Dates=H","DateFormat=P","Fill=—","Direction=H","UseDPDF=Y")</f>
        <v>—</v>
      </c>
      <c r="AE27" s="13"/>
      <c r="AF27" s="13"/>
    </row>
    <row r="28" spans="1:32" x14ac:dyDescent="0.25">
      <c r="A28" s="10" t="s">
        <v>109</v>
      </c>
      <c r="B28" s="10" t="s">
        <v>110</v>
      </c>
      <c r="C28" s="13" t="str" cm="1">
        <f t="array" ref="C28">_xll.BDH("NUE US Equity","IS_RESTRUCTURING_EXPENSES","FQ1 2019","FQ1 2019","Currency=USD","Period=FQ","BEST_FPERIOD_OVERRIDE=FQ","FILING_STATUS=MR","SCALING_FORMAT=MLN","Sort=A","Dates=H","DateFormat=P","Fill=—","Direction=H","UseDPDF=Y")</f>
        <v>—</v>
      </c>
      <c r="D28" s="13" cm="1">
        <f t="array" ref="D28">_xll.BDH("NUE US Equity","IS_RESTRUCTURING_EXPENSES","FQ2 2019","FQ2 2019","Currency=USD","Period=FQ","BEST_FPERIOD_OVERRIDE=FQ","FILING_STATUS=MR","SCALING_FORMAT=MLN","Sort=A","Dates=H","DateFormat=P","Fill=—","Direction=H","UseDPDF=Y")</f>
        <v>20.5</v>
      </c>
      <c r="E28" s="13" cm="1">
        <f t="array" ref="E28">_xll.BDH("NUE US Equity","IS_RESTRUCTURING_EXPENSES","FQ3 2019","FQ3 2019","Currency=USD","Period=FQ","BEST_FPERIOD_OVERRIDE=FQ","FILING_STATUS=MR","SCALING_FORMAT=MLN","Sort=A","Dates=H","DateFormat=P","Fill=—","Direction=H","UseDPDF=Y")</f>
        <v>28</v>
      </c>
      <c r="F28" s="13" cm="1">
        <f t="array" ref="F28">_xll.BDH("NUE US Equity","IS_RESTRUCTURING_EXPENSES","FQ4 2019","FQ4 2019","Currency=USD","Period=FQ","BEST_FPERIOD_OVERRIDE=FQ","FILING_STATUS=MR","SCALING_FORMAT=MLN","Sort=A","Dates=H","DateFormat=P","Fill=—","Direction=H","UseDPDF=Y")</f>
        <v>35</v>
      </c>
      <c r="G28" s="13" cm="1">
        <f t="array" ref="G28">_xll.BDH("NUE US Equity","IS_RESTRUCTURING_EXPENSES","FQ1 2020","FQ1 2020","Currency=USD","Period=FQ","BEST_FPERIOD_OVERRIDE=FQ","FILING_STATUS=MR","SCALING_FORMAT=MLN","Sort=A","Dates=H","DateFormat=P","Fill=—","Direction=H","UseDPDF=Y")</f>
        <v>29</v>
      </c>
      <c r="H28" s="13" cm="1">
        <f t="array" ref="H28">_xll.BDH("NUE US Equity","IS_RESTRUCTURING_EXPENSES","FQ2 2020","FQ2 2020","Currency=USD","Period=FQ","BEST_FPERIOD_OVERRIDE=FQ","FILING_STATUS=MR","SCALING_FORMAT=MLN","Sort=A","Dates=H","DateFormat=P","Fill=—","Direction=H","UseDPDF=Y")</f>
        <v>22</v>
      </c>
      <c r="I28" s="13" cm="1">
        <f t="array" ref="I28">_xll.BDH("NUE US Equity","IS_RESTRUCTURING_EXPENSES","FQ3 2020","FQ3 2020","Currency=USD","Period=FQ","BEST_FPERIOD_OVERRIDE=FQ","FILING_STATUS=MR","SCALING_FORMAT=MLN","Sort=A","Dates=H","DateFormat=P","Fill=—","Direction=H","UseDPDF=Y")</f>
        <v>16.399999999999999</v>
      </c>
      <c r="J28" s="13" cm="1">
        <f t="array" ref="J28">_xll.BDH("NUE US Equity","IS_RESTRUCTURING_EXPENSES","FQ4 2020","FQ4 2020","Currency=USD","Period=FQ","BEST_FPERIOD_OVERRIDE=FQ","FILING_STATUS=MR","SCALING_FORMAT=MLN","Sort=A","Dates=H","DateFormat=P","Fill=—","Direction=H","UseDPDF=Y")</f>
        <v>28</v>
      </c>
      <c r="K28" s="13" cm="1">
        <f t="array" ref="K28">_xll.BDH("NUE US Equity","IS_RESTRUCTURING_EXPENSES","FQ1 2021","FQ1 2021","Currency=USD","Period=FQ","BEST_FPERIOD_OVERRIDE=FQ","FILING_STATUS=MR","SCALING_FORMAT=MLN","Sort=A","Dates=H","DateFormat=P","Fill=—","Direction=H","UseDPDF=Y")</f>
        <v>19</v>
      </c>
      <c r="L28" s="13" cm="1">
        <f t="array" ref="L28">_xll.BDH("NUE US Equity","IS_RESTRUCTURING_EXPENSES","FQ2 2021","FQ2 2021","Currency=USD","Period=FQ","BEST_FPERIOD_OVERRIDE=FQ","FILING_STATUS=MR","SCALING_FORMAT=MLN","Sort=A","Dates=H","DateFormat=P","Fill=—","Direction=H","UseDPDF=Y")</f>
        <v>22</v>
      </c>
      <c r="M28" s="13" cm="1">
        <f t="array" ref="M28">_xll.BDH("NUE US Equity","IS_RESTRUCTURING_EXPENSES","FQ3 2021","FQ3 2021","Currency=USD","Period=FQ","BEST_FPERIOD_OVERRIDE=FQ","FILING_STATUS=MR","SCALING_FORMAT=MLN","Sort=A","Dates=H","DateFormat=P","Fill=—","Direction=H","UseDPDF=Y")</f>
        <v>36</v>
      </c>
      <c r="N28" s="13" cm="1">
        <f t="array" ref="N28">_xll.BDH("NUE US Equity","IS_RESTRUCTURING_EXPENSES","FQ4 2021","FQ4 2021","Currency=USD","Period=FQ","BEST_FPERIOD_OVERRIDE=FQ","FILING_STATUS=MR","SCALING_FORMAT=MLN","Sort=A","Dates=H","DateFormat=P","Fill=—","Direction=H","UseDPDF=Y")</f>
        <v>54</v>
      </c>
      <c r="O28" s="13" cm="1">
        <f t="array" ref="O28">_xll.BDH("NUE US Equity","IS_RESTRUCTURING_EXPENSES","FQ1 2022","FQ1 2022","Currency=USD","Period=FQ","BEST_FPERIOD_OVERRIDE=FQ","FILING_STATUS=MR","SCALING_FORMAT=MLN","Sort=A","Dates=H","DateFormat=P","Fill=—","Direction=H","UseDPDF=Y")</f>
        <v>62</v>
      </c>
      <c r="P28" s="13" cm="1">
        <f t="array" ref="P28">_xll.BDH("NUE US Equity","IS_RESTRUCTURING_EXPENSES","FQ2 2022","FQ2 2022","Currency=USD","Period=FQ","BEST_FPERIOD_OVERRIDE=FQ","FILING_STATUS=MR","SCALING_FORMAT=MLN","Sort=A","Dates=H","DateFormat=P","Fill=—","Direction=H","UseDPDF=Y")</f>
        <v>60</v>
      </c>
      <c r="Q28" s="13" cm="1">
        <f t="array" ref="Q28">_xll.BDH("NUE US Equity","IS_RESTRUCTURING_EXPENSES","FQ3 2022","FQ3 2022","Currency=USD","Period=FQ","BEST_FPERIOD_OVERRIDE=FQ","FILING_STATUS=MR","SCALING_FORMAT=MLN","Sort=A","Dates=H","DateFormat=P","Fill=—","Direction=H","UseDPDF=Y")</f>
        <v>52</v>
      </c>
      <c r="R28" s="13" cm="1">
        <f t="array" ref="R28">_xll.BDH("NUE US Equity","IS_RESTRUCTURING_EXPENSES","FQ4 2022","FQ4 2022","Currency=USD","Period=FQ","BEST_FPERIOD_OVERRIDE=FQ","FILING_STATUS=MR","SCALING_FORMAT=MLN","Sort=A","Dates=H","DateFormat=P","Fill=—","Direction=H","UseDPDF=Y")</f>
        <v>73</v>
      </c>
      <c r="S28" s="13" cm="1">
        <f t="array" ref="S28">_xll.BDH("NUE US Equity","IS_RESTRUCTURING_EXPENSES","FQ1 2023","FQ1 2023","Currency=USD","Period=FQ","BEST_FPERIOD_OVERRIDE=FQ","FILING_STATUS=MR","SCALING_FORMAT=MLN","Sort=A","Dates=H","DateFormat=P","Fill=—","Direction=H","UseDPDF=Y")</f>
        <v>82</v>
      </c>
      <c r="T28" s="13" cm="1">
        <f t="array" ref="T28">_xll.BDH("NUE US Equity","IS_RESTRUCTURING_EXPENSES","FQ2 2023","FQ2 2023","Currency=USD","Period=FQ","BEST_FPERIOD_OVERRIDE=FQ","FILING_STATUS=MR","SCALING_FORMAT=MLN","Sort=A","Dates=H","DateFormat=P","Fill=—","Direction=H","UseDPDF=Y")</f>
        <v>90</v>
      </c>
      <c r="U28" s="13" cm="1">
        <f t="array" ref="U28">_xll.BDH("NUE US Equity","IS_RESTRUCTURING_EXPENSES","FQ3 2023","FQ3 2023","Currency=USD","Period=FQ","BEST_FPERIOD_OVERRIDE=FQ","FILING_STATUS=MR","SCALING_FORMAT=MLN","Sort=A","Dates=H","DateFormat=P","Fill=—","Direction=H","UseDPDF=Y")</f>
        <v>101</v>
      </c>
      <c r="V28" s="13" cm="1">
        <f t="array" ref="V28">_xll.BDH("NUE US Equity","IS_RESTRUCTURING_EXPENSES","FQ4 2023","FQ4 2023","Currency=USD","Period=FQ","BEST_FPERIOD_OVERRIDE=FQ","FILING_STATUS=MR","SCALING_FORMAT=MLN","Sort=A","Dates=H","DateFormat=P","Fill=—","Direction=H","UseDPDF=Y")</f>
        <v>127</v>
      </c>
      <c r="W28" s="13" cm="1">
        <f t="array" ref="W28">_xll.BDH("NUE US Equity","IS_RESTRUCTURING_EXPENSES","FQ1 2024","FQ1 2024","Currency=USD","Period=FQ","BEST_FPERIOD_OVERRIDE=FQ","FILING_STATUS=MR","SCALING_FORMAT=MLN","Sort=A","Dates=H","DateFormat=P","Fill=—","Direction=H","UseDPDF=Y")</f>
        <v>125</v>
      </c>
      <c r="X28" s="13" cm="1">
        <f t="array" ref="X28">_xll.BDH("NUE US Equity","IS_RESTRUCTURING_EXPENSES","FQ2 2024","FQ2 2024","Currency=USD","Period=FQ","BEST_FPERIOD_OVERRIDE=FQ","FILING_STATUS=MR","SCALING_FORMAT=MLN","Sort=A","Dates=H","DateFormat=P","Fill=—","Direction=H","UseDPDF=Y")</f>
        <v>125</v>
      </c>
      <c r="Y28" s="13" cm="1">
        <f t="array" ref="Y28">_xll.BDH("NUE US Equity","IS_RESTRUCTURING_EXPENSES","FQ3 2024","FQ3 2024","Currency=USD","Period=FQ","BEST_FPERIOD_OVERRIDE=FQ","FILING_STATUS=MR","SCALING_FORMAT=MLN","Sort=A","Dates=H","DateFormat=P","Fill=—","Direction=H","UseDPDF=Y")</f>
        <v>168</v>
      </c>
      <c r="Z28" s="13" cm="1">
        <f t="array" ref="Z28">_xll.BDH("NUE US Equity","IS_RESTRUCTURING_EXPENSES","FQ4 2024","FQ4 2024","Currency=USD","Period=FQ","BEST_FPERIOD_OVERRIDE=FQ","FILING_STATUS=MR","SCALING_FORMAT=MLN","Sort=A","Dates=H","DateFormat=P","Fill=—","Direction=H","UseDPDF=Y")</f>
        <v>164</v>
      </c>
      <c r="AA28" s="13" cm="1">
        <f t="array" ref="AA28">_xll.BDH("NUE US Equity","IS_RESTRUCTURING_EXPENSES","FQ1 2025","FQ1 2025","Currency=USD","Period=FQ","BEST_FPERIOD_OVERRIDE=FQ","FILING_STATUS=MR","SCALING_FORMAT=MLN","Sort=A","Dates=H","DateFormat=P","Fill=—","Direction=H","UseDPDF=Y")</f>
        <v>170</v>
      </c>
      <c r="AB28" s="13" t="str" cm="1">
        <f t="array" ref="AB28">_xll.BDH("NUE US Equity","IS_RESTRUCTURING_EXPENSES","FQ2 2025","FQ2 2025","Currency=USD","Period=FQ","BEST_FPERIOD_OVERRIDE=FQ","FILING_STATUS=MR","SCALING_FORMAT=MLN","Sort=A","Dates=H","DateFormat=P","Fill=—","Direction=H","UseDPDF=Y")</f>
        <v>—</v>
      </c>
      <c r="AC28" s="13" cm="1">
        <f t="array" ref="AC28">_xll.BDH("NUE US Equity","IS_RESTRUCTURING_EXPENSES","FQ3 2025","FQ3 2025","Currency=USD","Period=FQ","BEST_FPERIOD_OVERRIDE=FQ","FILING_STATUS=MR","SCALING_FORMAT=MLN","Sort=A","Dates=H","DateFormat=P","Fill=—","Direction=H","UseDPDF=Y")</f>
        <v>103</v>
      </c>
      <c r="AD28" s="13" cm="1">
        <f t="array" ref="AD28">_xll.BDH("NUE US Equity","IS_RESTRUCTURING_EXPENSES","FQ4 2025","FQ4 2025","Currency=USD","Period=FQ","BEST_FPERIOD_OVERRIDE=FQ","FILING_STATUS=MR","SCALING_FORMAT=MLN","Sort=A","Dates=H","DateFormat=P","Fill=—","Direction=H","UseDPDF=Y")</f>
        <v>87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t="str" cm="1">
        <f t="array" ref="C29">_xll.BDH("NUE US Equity","IS_INSURANCE_SETTLEMENTS","FQ1 2019","FQ1 2019","Currency=USD","Period=FQ","BEST_FPERIOD_OVERRIDE=FQ","FILING_STATUS=MR","SCALING_FORMAT=MLN","Sort=A","Dates=H","DateFormat=P","Fill=—","Direction=H","UseDPDF=Y")</f>
        <v>—</v>
      </c>
      <c r="D29" s="13" t="str" cm="1">
        <f t="array" ref="D29">_xll.BDH("NUE US Equity","IS_INSURANCE_SETTLEMENTS","FQ2 2019","FQ2 2019","Currency=USD","Period=FQ","BEST_FPERIOD_OVERRIDE=FQ","FILING_STATUS=MR","SCALING_FORMAT=MLN","Sort=A","Dates=H","DateFormat=P","Fill=—","Direction=H","UseDPDF=Y")</f>
        <v>—</v>
      </c>
      <c r="E29" s="13" t="str" cm="1">
        <f t="array" ref="E29">_xll.BDH("NUE US Equity","IS_INSURANCE_SETTLEMENTS","FQ3 2019","FQ3 2019","Currency=USD","Period=FQ","BEST_FPERIOD_OVERRIDE=FQ","FILING_STATUS=MR","SCALING_FORMAT=MLN","Sort=A","Dates=H","DateFormat=P","Fill=—","Direction=H","UseDPDF=Y")</f>
        <v>—</v>
      </c>
      <c r="F29" s="13" t="str" cm="1">
        <f t="array" ref="F29">_xll.BDH("NUE US Equity","IS_INSURANCE_SETTLEMENTS","FQ4 2019","FQ4 2019","Currency=USD","Period=FQ","BEST_FPERIOD_OVERRIDE=FQ","FILING_STATUS=MR","SCALING_FORMAT=MLN","Sort=A","Dates=H","DateFormat=P","Fill=—","Direction=H","UseDPDF=Y")</f>
        <v>—</v>
      </c>
      <c r="G29" s="13" t="str" cm="1">
        <f t="array" ref="G29">_xll.BDH("NUE US Equity","IS_INSURANCE_SETTLEMENTS","FQ1 2020","FQ1 2020","Currency=USD","Period=FQ","BEST_FPERIOD_OVERRIDE=FQ","FILING_STATUS=MR","SCALING_FORMAT=MLN","Sort=A","Dates=H","DateFormat=P","Fill=—","Direction=H","UseDPDF=Y")</f>
        <v>—</v>
      </c>
      <c r="H29" s="13" t="str" cm="1">
        <f t="array" ref="H29">_xll.BDH("NUE US Equity","IS_INSURANCE_SETTLEMENTS","FQ2 2020","FQ2 2020","Currency=USD","Period=FQ","BEST_FPERIOD_OVERRIDE=FQ","FILING_STATUS=MR","SCALING_FORMAT=MLN","Sort=A","Dates=H","DateFormat=P","Fill=—","Direction=H","UseDPDF=Y")</f>
        <v>—</v>
      </c>
      <c r="I29" s="13" t="str" cm="1">
        <f t="array" ref="I29">_xll.BDH("NUE US Equity","IS_INSURANCE_SETTLEMENTS","FQ3 2020","FQ3 2020","Currency=USD","Period=FQ","BEST_FPERIOD_OVERRIDE=FQ","FILING_STATUS=MR","SCALING_FORMAT=MLN","Sort=A","Dates=H","DateFormat=P","Fill=—","Direction=H","UseDPDF=Y")</f>
        <v>—</v>
      </c>
      <c r="J29" s="13" t="str" cm="1">
        <f t="array" ref="J29">_xll.BDH("NUE US Equity","IS_INSURANCE_SETTLEMENTS","FQ4 2020","FQ4 2020","Currency=USD","Period=FQ","BEST_FPERIOD_OVERRIDE=FQ","FILING_STATUS=MR","SCALING_FORMAT=MLN","Sort=A","Dates=H","DateFormat=P","Fill=—","Direction=H","UseDPDF=Y")</f>
        <v>—</v>
      </c>
      <c r="K29" s="13" t="str" cm="1">
        <f t="array" ref="K29">_xll.BDH("NUE US Equity","IS_INSURANCE_SETTLEMENTS","FQ1 2021","FQ1 2021","Currency=USD","Period=FQ","BEST_FPERIOD_OVERRIDE=FQ","FILING_STATUS=MR","SCALING_FORMAT=MLN","Sort=A","Dates=H","DateFormat=P","Fill=—","Direction=H","UseDPDF=Y")</f>
        <v>—</v>
      </c>
      <c r="L29" s="13" t="str" cm="1">
        <f t="array" ref="L29">_xll.BDH("NUE US Equity","IS_INSURANCE_SETTLEMENTS","FQ2 2021","FQ2 2021","Currency=USD","Period=FQ","BEST_FPERIOD_OVERRIDE=FQ","FILING_STATUS=MR","SCALING_FORMAT=MLN","Sort=A","Dates=H","DateFormat=P","Fill=—","Direction=H","UseDPDF=Y")</f>
        <v>—</v>
      </c>
      <c r="M29" s="13" t="str" cm="1">
        <f t="array" ref="M29">_xll.BDH("NUE US Equity","IS_INSURANCE_SETTLEMENTS","FQ3 2021","FQ3 2021","Currency=USD","Period=FQ","BEST_FPERIOD_OVERRIDE=FQ","FILING_STATUS=MR","SCALING_FORMAT=MLN","Sort=A","Dates=H","DateFormat=P","Fill=—","Direction=H","UseDPDF=Y")</f>
        <v>—</v>
      </c>
      <c r="N29" s="13" t="str" cm="1">
        <f t="array" ref="N29">_xll.BDH("NUE US Equity","IS_INSURANCE_SETTLEMENTS","FQ4 2021","FQ4 2021","Currency=USD","Period=FQ","BEST_FPERIOD_OVERRIDE=FQ","FILING_STATUS=MR","SCALING_FORMAT=MLN","Sort=A","Dates=H","DateFormat=P","Fill=—","Direction=H","UseDPDF=Y")</f>
        <v>—</v>
      </c>
      <c r="O29" s="13" t="str" cm="1">
        <f t="array" ref="O29">_xll.BDH("NUE US Equity","IS_INSURANCE_SETTLEMENTS","FQ1 2022","FQ1 2022","Currency=USD","Period=FQ","BEST_FPERIOD_OVERRIDE=FQ","FILING_STATUS=MR","SCALING_FORMAT=MLN","Sort=A","Dates=H","DateFormat=P","Fill=—","Direction=H","UseDPDF=Y")</f>
        <v>—</v>
      </c>
      <c r="P29" s="13" t="str" cm="1">
        <f t="array" ref="P29">_xll.BDH("NUE US Equity","IS_INSURANCE_SETTLEMENTS","FQ2 2022","FQ2 2022","Currency=USD","Period=FQ","BEST_FPERIOD_OVERRIDE=FQ","FILING_STATUS=MR","SCALING_FORMAT=MLN","Sort=A","Dates=H","DateFormat=P","Fill=—","Direction=H","UseDPDF=Y")</f>
        <v>—</v>
      </c>
      <c r="Q29" s="13" t="str" cm="1">
        <f t="array" ref="Q29">_xll.BDH("NUE US Equity","IS_INSURANCE_SETTLEMENTS","FQ3 2022","FQ3 2022","Currency=USD","Period=FQ","BEST_FPERIOD_OVERRIDE=FQ","FILING_STATUS=MR","SCALING_FORMAT=MLN","Sort=A","Dates=H","DateFormat=P","Fill=—","Direction=H","UseDPDF=Y")</f>
        <v>—</v>
      </c>
      <c r="R29" s="13" t="str" cm="1">
        <f t="array" ref="R29">_xll.BDH("NUE US Equity","IS_INSURANCE_SETTLEMENTS","FQ4 2022","FQ4 2022","Currency=USD","Period=FQ","BEST_FPERIOD_OVERRIDE=FQ","FILING_STATUS=MR","SCALING_FORMAT=MLN","Sort=A","Dates=H","DateFormat=P","Fill=—","Direction=H","UseDPDF=Y")</f>
        <v>—</v>
      </c>
      <c r="S29" s="13" t="str" cm="1">
        <f t="array" ref="S29">_xll.BDH("NUE US Equity","IS_INSURANCE_SETTLEMENTS","FQ1 2023","FQ1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_xll.BDH("NUE US Equity","IS_INSURANCE_SETTLEMENTS","FQ2 2023","FQ2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_xll.BDH("NUE US Equity","IS_INSURANCE_SETTLEMENTS","FQ3 2023","FQ3 2023","Currency=USD","Period=FQ","BEST_FPERIOD_OVERRIDE=FQ","FILING_STATUS=MR","SCALING_FORMAT=MLN","Sort=A","Dates=H","DateFormat=P","Fill=—","Direction=H","UseDPDF=Y")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_xll.BDH("NUE US Equity","IS_INSURANCE_SETTLEMENTS","FQ4 2023","FQ4 2023","Currency=USD","Period=FQ","BEST_FPERIOD_OVERRIDE=FQ","FILING_STATUS=MR","SCALING_FORMAT=MLN","Sort=A","Dates=H","DateFormat=P","Fill=—","Direction=H","UseDPDF=Y")</f>
        <v>—</v>
      </c>
      <c r="W29" s="13" t="str" cm="1">
        <f t="array" ref="W29">_xll.BDH("NUE US Equity","IS_INSURANCE_SETTLEMENTS","FQ1 2024","FQ1 2024","Currency=USD","Period=FQ","BEST_FPERIOD_OVERRIDE=FQ","FILING_STATUS=MR","SCALING_FORMAT=MLN","Sort=A","Dates=H","DateFormat=P","Fill=—","Direction=H","UseDPDF=Y")</f>
        <v>—</v>
      </c>
      <c r="X29" s="13" t="str" cm="1">
        <f t="array" ref="X29">_xll.BDH("NUE US Equity","IS_INSURANCE_SETTLEMENTS","FQ2 2024","FQ2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_xll.BDH("NUE US Equity","IS_INSURANCE_SETTLEMENTS","FQ3 2024","FQ3 2024","Currency=USD","Period=FQ","BEST_FPERIOD_OVERRIDE=FQ","FILING_STATUS=MR","SCALING_FORMAT=MLN","Sort=A","Dates=H","DateFormat=P","Fill=—","Direction=H","UseDPDF=Y")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_xll.BDH("NUE US Equity","IS_INSURANCE_SETTLEMENTS","FQ4 2024","FQ4 2024","Currency=USD","Period=FQ","BEST_FPERIOD_OVERRIDE=FQ","FILING_STATUS=MR","SCALING_FORMAT=MLN","Sort=A","Dates=H","DateFormat=P","Fill=—","Direction=H","UseDPDF=Y")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_xll.BDH("NUE US Equity","IS_INSURANCE_SETTLEMENTS","FQ1 2025","FQ1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_xll.BDH("NUE US Equity","IS_INSURANCE_SETTLEMENTS","FQ2 2025","FQ2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_xll.BDH("NUE US Equity","IS_INSURANCE_SETTLEMENTS","FQ3 2025","FQ3 2025","Currency=USD","Period=FQ","BEST_FPERIOD_OVERRIDE=FQ","FILING_STATUS=MR","SCALING_FORMAT=MLN","Sort=A","Dates=H","DateFormat=P","Fill=—","Direction=H","UseDPDF=Y")</f>
        <v>—</v>
      </c>
      <c r="AD29" s="13" t="str" cm="1">
        <f t="array" ref="AD29">_xll.BDH("NUE US Equity","IS_INSURANCE_SETTLEMENTS","FQ4 2025","FQ4 2025","Currency=USD","Period=FQ","BEST_FPERIOD_OVERRIDE=FQ","FILING_STATUS=MR","SCALING_FORMAT=MLN","Sort=A","Dates=H","DateFormat=P","Fill=—","Direction=H","UseDPDF=Y")</f>
        <v>—</v>
      </c>
      <c r="AE29" s="13"/>
      <c r="AF29" s="13"/>
    </row>
    <row r="30" spans="1:32" x14ac:dyDescent="0.25">
      <c r="A30" s="6" t="s">
        <v>113</v>
      </c>
      <c r="B30" s="6" t="s">
        <v>102</v>
      </c>
      <c r="C30" s="16" cm="1">
        <f t="array" ref="C30">_xll.BDH("NUE US Equity","PRETAX_INC","FQ1 2019","FQ1 2019","Currency=USD","Period=FQ","BEST_FPERIOD_OVERRIDE=FQ","FILING_STATUS=MR","SCALING_FORMAT=MLN","FA_ADJUSTED=GAAP","Sort=A","Dates=H","DateFormat=P","Fill=—","Direction=H","UseDPDF=Y")</f>
        <v>689.61599999999999</v>
      </c>
      <c r="D30" s="16" cm="1">
        <f t="array" ref="D30">_xll.BDH("NUE US Equity","PRETAX_INC","FQ2 2019","FQ2 2019","Currency=USD","Period=FQ","BEST_FPERIOD_OVERRIDE=FQ","FILING_STATUS=MR","SCALING_FORMAT=MLN","FA_ADJUSTED=GAAP","Sort=A","Dates=H","DateFormat=P","Fill=—","Direction=H","UseDPDF=Y")</f>
        <v>534.62199999999996</v>
      </c>
      <c r="E30" s="16" cm="1">
        <f t="array" ref="E30">_xll.BDH("NUE US Equity","PRETAX_INC","FQ3 2019","FQ3 2019","Currency=USD","Period=FQ","BEST_FPERIOD_OVERRIDE=FQ","FILING_STATUS=MR","SCALING_FORMAT=MLN","FA_ADJUSTED=GAAP","Sort=A","Dates=H","DateFormat=P","Fill=—","Direction=H","UseDPDF=Y")</f>
        <v>380.339</v>
      </c>
      <c r="F30" s="16" cm="1">
        <f t="array" ref="F30">_xll.BDH("NUE US Equity","PRETAX_INC","FQ4 2019","FQ4 2019","Currency=USD","Period=FQ","BEST_FPERIOD_OVERRIDE=FQ","FILING_STATUS=MR","SCALING_FORMAT=MLN","FA_ADJUSTED=GAAP","Sort=A","Dates=H","DateFormat=P","Fill=—","Direction=H","UseDPDF=Y")</f>
        <v>178.23</v>
      </c>
      <c r="G30" s="16" cm="1">
        <f t="array" ref="G30">_xll.BDH("NUE US Equity","PRETAX_INC","FQ1 2020","FQ1 2020","Currency=USD","Period=FQ","BEST_FPERIOD_OVERRIDE=FQ","FILING_STATUS=MR","SCALING_FORMAT=MLN","FA_ADJUSTED=GAAP","Sort=A","Dates=H","DateFormat=P","Fill=—","Direction=H","UseDPDF=Y")</f>
        <v>146.297</v>
      </c>
      <c r="H30" s="16" cm="1">
        <f t="array" ref="H30">_xll.BDH("NUE US Equity","PRETAX_INC","FQ2 2020","FQ2 2020","Currency=USD","Period=FQ","BEST_FPERIOD_OVERRIDE=FQ","FILING_STATUS=MR","SCALING_FORMAT=MLN","FA_ADJUSTED=GAAP","Sort=A","Dates=H","DateFormat=P","Fill=—","Direction=H","UseDPDF=Y")</f>
        <v>181.05699999999999</v>
      </c>
      <c r="I30" s="16" cm="1">
        <f t="array" ref="I30">_xll.BDH("NUE US Equity","PRETAX_INC","FQ3 2020","FQ3 2020","Currency=USD","Period=FQ","BEST_FPERIOD_OVERRIDE=FQ","FILING_STATUS=MR","SCALING_FORMAT=MLN","FA_ADJUSTED=GAAP","Sort=A","Dates=H","DateFormat=P","Fill=—","Direction=H","UseDPDF=Y")</f>
        <v>290.41800000000001</v>
      </c>
      <c r="J30" s="16" cm="1">
        <f t="array" ref="J30">_xll.BDH("NUE US Equity","PRETAX_INC","FQ4 2020","FQ4 2020","Currency=USD","Period=FQ","BEST_FPERIOD_OVERRIDE=FQ","FILING_STATUS=MR","SCALING_FORMAT=MLN","FA_ADJUSTED=GAAP","Sort=A","Dates=H","DateFormat=P","Fill=—","Direction=H","UseDPDF=Y")</f>
        <v>217.76599999999999</v>
      </c>
      <c r="K30" s="16" cm="1">
        <f t="array" ref="K30">_xll.BDH("NUE US Equity","PRETAX_INC","FQ1 2021","FQ1 2021","Currency=USD","Period=FQ","BEST_FPERIOD_OVERRIDE=FQ","FILING_STATUS=MR","SCALING_FORMAT=MLN","FA_ADJUSTED=GAAP","Sort=A","Dates=H","DateFormat=P","Fill=—","Direction=H","UseDPDF=Y")</f>
        <v>1298.2460000000001</v>
      </c>
      <c r="L30" s="16" cm="1">
        <f t="array" ref="L30">_xll.BDH("NUE US Equity","PRETAX_INC","FQ2 2021","FQ2 2021","Currency=USD","Period=FQ","BEST_FPERIOD_OVERRIDE=FQ","FILING_STATUS=MR","SCALING_FORMAT=MLN","FA_ADJUSTED=GAAP","Sort=A","Dates=H","DateFormat=P","Fill=—","Direction=H","UseDPDF=Y")</f>
        <v>2025.748</v>
      </c>
      <c r="M30" s="16" cm="1">
        <f t="array" ref="M30">_xll.BDH("NUE US Equity","PRETAX_INC","FQ3 2021","FQ3 2021","Currency=USD","Period=FQ","BEST_FPERIOD_OVERRIDE=FQ","FILING_STATUS=MR","SCALING_FORMAT=MLN","FA_ADJUSTED=GAAP","Sort=A","Dates=H","DateFormat=P","Fill=—","Direction=H","UseDPDF=Y")</f>
        <v>2869.107</v>
      </c>
      <c r="N30" s="16" cm="1">
        <f t="array" ref="N30">_xll.BDH("NUE US Equity","PRETAX_INC","FQ4 2021","FQ4 2021","Currency=USD","Period=FQ","BEST_FPERIOD_OVERRIDE=FQ","FILING_STATUS=MR","SCALING_FORMAT=MLN","FA_ADJUSTED=GAAP","Sort=A","Dates=H","DateFormat=P","Fill=—","Direction=H","UseDPDF=Y")</f>
        <v>3007.7570000000001</v>
      </c>
      <c r="O30" s="16" cm="1">
        <f t="array" ref="O30">_xll.BDH("NUE US Equity","PRETAX_INC","FQ1 2022","FQ1 2022","Currency=USD","Period=FQ","BEST_FPERIOD_OVERRIDE=FQ","FILING_STATUS=MR","SCALING_FORMAT=MLN","FA_ADJUSTED=GAAP","Sort=A","Dates=H","DateFormat=P","Fill=—","Direction=H","UseDPDF=Y")</f>
        <v>2898.1149999999998</v>
      </c>
      <c r="P30" s="16" cm="1">
        <f t="array" ref="P30">_xll.BDH("NUE US Equity","PRETAX_INC","FQ2 2022","FQ2 2022","Currency=USD","Period=FQ","BEST_FPERIOD_OVERRIDE=FQ","FILING_STATUS=MR","SCALING_FORMAT=MLN","FA_ADJUSTED=GAAP","Sort=A","Dates=H","DateFormat=P","Fill=—","Direction=H","UseDPDF=Y")</f>
        <v>3490.402</v>
      </c>
      <c r="Q30" s="16" cm="1">
        <f t="array" ref="Q30">_xll.BDH("NUE US Equity","PRETAX_INC","FQ3 2022","FQ3 2022","Currency=USD","Period=FQ","BEST_FPERIOD_OVERRIDE=FQ","FILING_STATUS=MR","SCALING_FORMAT=MLN","FA_ADJUSTED=GAAP","Sort=A","Dates=H","DateFormat=P","Fill=—","Direction=H","UseDPDF=Y")</f>
        <v>2322.922</v>
      </c>
      <c r="R30" s="16" cm="1">
        <f t="array" ref="R30">_xll.BDH("NUE US Equity","PRETAX_INC","FQ4 2022","FQ4 2022","Currency=USD","Period=FQ","BEST_FPERIOD_OVERRIDE=FQ","FILING_STATUS=MR","SCALING_FORMAT=MLN","FA_ADJUSTED=GAAP","Sort=A","Dates=H","DateFormat=P","Fill=—","Direction=H","UseDPDF=Y")</f>
        <v>1533.405</v>
      </c>
      <c r="S30" s="16" cm="1">
        <f t="array" ref="S30">_xll.BDH("NUE US Equity","PRETAX_INC","FQ1 2023","FQ1 2023","Currency=USD","Period=FQ","BEST_FPERIOD_OVERRIDE=FQ","FILING_STATUS=MR","SCALING_FORMAT=MLN","FA_ADJUSTED=GAAP","Sort=A","Dates=H","DateFormat=P","Fill=—","Direction=H","UseDPDF=Y")</f>
        <v>1596.7840000000001</v>
      </c>
      <c r="T30" s="16" cm="1">
        <f t="array" ref="T30">_xll.BDH("NUE US Equity","PRETAX_INC","FQ2 2023","FQ2 2023","Currency=USD","Period=FQ","BEST_FPERIOD_OVERRIDE=FQ","FILING_STATUS=MR","SCALING_FORMAT=MLN","FA_ADJUSTED=GAAP","Sort=A","Dates=H","DateFormat=P","Fill=—","Direction=H","UseDPDF=Y")</f>
        <v>2049.7820000000002</v>
      </c>
      <c r="U30" s="16" cm="1">
        <f t="array" ref="U30">_xll.BDH("NUE US Equity","PRETAX_INC","FQ3 2023","FQ3 2023","Currency=USD","Period=FQ","BEST_FPERIOD_OVERRIDE=FQ","FILING_STATUS=MR","SCALING_FORMAT=MLN","FA_ADJUSTED=GAAP","Sort=A","Dates=H","DateFormat=P","Fill=—","Direction=H","UseDPDF=Y")</f>
        <v>1548.0820000000001</v>
      </c>
      <c r="V30" s="16" cm="1">
        <f t="array" ref="V30">_xll.BDH("NUE US Equity","PRETAX_INC","FQ4 2023","FQ4 2023","Currency=USD","Period=FQ","BEST_FPERIOD_OVERRIDE=FQ","FILING_STATUS=MR","SCALING_FORMAT=MLN","FA_ADJUSTED=GAAP","Sort=A","Dates=H","DateFormat=P","Fill=—","Direction=H","UseDPDF=Y")</f>
        <v>1078.1089999999999</v>
      </c>
      <c r="W30" s="16" cm="1">
        <f t="array" ref="W30">_xll.BDH("NUE US Equity","PRETAX_INC","FQ1 2024","FQ1 2024","Currency=USD","Period=FQ","BEST_FPERIOD_OVERRIDE=FQ","FILING_STATUS=MR","SCALING_FORMAT=MLN","FA_ADJUSTED=GAAP","Sort=A","Dates=H","DateFormat=P","Fill=—","Direction=H","UseDPDF=Y")</f>
        <v>1225.3409999999999</v>
      </c>
      <c r="X30" s="16" cm="1">
        <f t="array" ref="X30">_xll.BDH("NUE US Equity","PRETAX_INC","FQ2 2024","FQ2 2024","Currency=USD","Period=FQ","BEST_FPERIOD_OVERRIDE=FQ","FILING_STATUS=MR","SCALING_FORMAT=MLN","FA_ADJUSTED=GAAP","Sort=A","Dates=H","DateFormat=P","Fill=—","Direction=H","UseDPDF=Y")</f>
        <v>898.16300000000001</v>
      </c>
      <c r="Y30" s="16" cm="1">
        <f t="array" ref="Y30">_xll.BDH("NUE US Equity","PRETAX_INC","FQ3 2024","FQ3 2024","Currency=USD","Period=FQ","BEST_FPERIOD_OVERRIDE=FQ","FILING_STATUS=MR","SCALING_FORMAT=MLN","FA_ADJUSTED=GAAP","Sort=A","Dates=H","DateFormat=P","Fill=—","Direction=H","UseDPDF=Y")</f>
        <v>388.27300000000002</v>
      </c>
      <c r="Z30" s="16" cm="1">
        <f t="array" ref="Z30">_xll.BDH("NUE US Equity","PRETAX_INC","FQ4 2024","FQ4 2024","Currency=USD","Period=FQ","BEST_FPERIOD_OVERRIDE=FQ","FILING_STATUS=MR","SCALING_FORMAT=MLN","FA_ADJUSTED=GAAP","Sort=A","Dates=H","DateFormat=P","Fill=—","Direction=H","UseDPDF=Y")</f>
        <v>390</v>
      </c>
      <c r="AA30" s="16" cm="1">
        <f t="array" ref="AA30">_xll.BDH("NUE US Equity","PRETAX_INC","FQ1 2025","FQ1 2025","Currency=USD","Period=FQ","BEST_FPERIOD_OVERRIDE=FQ","FILING_STATUS=MR","SCALING_FORMAT=MLN","FA_ADJUSTED=GAAP","Sort=A","Dates=H","DateFormat=P","Fill=—","Direction=H","UseDPDF=Y")</f>
        <v>285</v>
      </c>
      <c r="AB30" s="16" cm="1">
        <f t="array" ref="AB30">_xll.BDH("NUE US Equity","PRETAX_INC","FQ2 2025","FQ2 2025","Currency=USD","Period=FQ","BEST_FPERIOD_OVERRIDE=FQ","FILING_STATUS=MR","SCALING_FORMAT=MLN","FA_ADJUSTED=GAAP","Sort=A","Dates=H","DateFormat=P","Fill=—","Direction=H","UseDPDF=Y")</f>
        <v>899</v>
      </c>
      <c r="AC30" s="16" cm="1">
        <f t="array" ref="AC30">_xll.BDH("NUE US Equity","PRETAX_INC","FQ3 2025","FQ3 2025","Currency=USD","Period=FQ","BEST_FPERIOD_OVERRIDE=FQ","FILING_STATUS=MR","SCALING_FORMAT=MLN","FA_ADJUSTED=GAAP","Sort=A","Dates=H","DateFormat=P","Fill=—","Direction=H","UseDPDF=Y")</f>
        <v>883</v>
      </c>
      <c r="AD30" s="16" cm="1">
        <f t="array" ref="AD30">_xll.BDH("NUE US Equity","PRETAX_INC","FQ4 2025","FQ4 2025","Currency=USD","Period=FQ","BEST_FPERIOD_OVERRIDE=FQ","FILING_STATUS=MR","SCALING_FORMAT=MLN","FA_ADJUSTED=GAAP","Sort=A","Dates=H","DateFormat=P","Fill=—","Direction=H","UseDPDF=Y")</f>
        <v>501</v>
      </c>
      <c r="AE30" s="16">
        <v>908.5</v>
      </c>
      <c r="AF30" s="16">
        <v>1032.25</v>
      </c>
    </row>
    <row r="31" spans="1:32" x14ac:dyDescent="0.25">
      <c r="A31" s="10" t="s">
        <v>114</v>
      </c>
      <c r="B31" s="10" t="s">
        <v>115</v>
      </c>
      <c r="C31" s="13" cm="1">
        <f t="array" ref="C31">_xll.BDH("NUE US Equity","IS_INC_TAX_EXP","FQ1 2019","FQ1 2019","Currency=USD","Period=FQ","BEST_FPERIOD_OVERRIDE=FQ","FILING_STATUS=MR","SCALING_FORMAT=MLN","FA_ADJUSTED=GAAP","Sort=A","Dates=H","DateFormat=P","Fill=—","Direction=H","UseDPDF=Y")</f>
        <v>158.82300000000001</v>
      </c>
      <c r="D31" s="13" cm="1">
        <f t="array" ref="D31">_xll.BDH("NUE US Equity","IS_INC_TAX_EXP","FQ2 2019","FQ2 2019","Currency=USD","Period=FQ","BEST_FPERIOD_OVERRIDE=FQ","FILING_STATUS=MR","SCALING_FORMAT=MLN","FA_ADJUSTED=GAAP","Sort=A","Dates=H","DateFormat=P","Fill=—","Direction=H","UseDPDF=Y")</f>
        <v>122.345</v>
      </c>
      <c r="E31" s="13" cm="1">
        <f t="array" ref="E31">_xll.BDH("NUE US Equity","IS_INC_TAX_EXP","FQ3 2019","FQ3 2019","Currency=USD","Period=FQ","BEST_FPERIOD_OVERRIDE=FQ","FILING_STATUS=MR","SCALING_FORMAT=MLN","FA_ADJUSTED=GAAP","Sort=A","Dates=H","DateFormat=P","Fill=—","Direction=H","UseDPDF=Y")</f>
        <v>86.751999999999995</v>
      </c>
      <c r="F31" s="13" cm="1">
        <f t="array" ref="F31">_xll.BDH("NUE US Equity","IS_INC_TAX_EXP","FQ4 2019","FQ4 2019","Currency=USD","Period=FQ","BEST_FPERIOD_OVERRIDE=FQ","FILING_STATUS=MR","SCALING_FORMAT=MLN","FA_ADJUSTED=GAAP","Sort=A","Dates=H","DateFormat=P","Fill=—","Direction=H","UseDPDF=Y")</f>
        <v>43.976999999999997</v>
      </c>
      <c r="G31" s="13" cm="1">
        <f t="array" ref="G31">_xll.BDH("NUE US Equity","IS_INC_TAX_EXP","FQ1 2020","FQ1 2020","Currency=USD","Period=FQ","BEST_FPERIOD_OVERRIDE=FQ","FILING_STATUS=MR","SCALING_FORMAT=MLN","FA_ADJUSTED=GAAP","Sort=A","Dates=H","DateFormat=P","Fill=—","Direction=H","UseDPDF=Y")</f>
        <v>91.918000000000006</v>
      </c>
      <c r="H31" s="13" cm="1">
        <f t="array" ref="H31">_xll.BDH("NUE US Equity","IS_INC_TAX_EXP","FQ2 2020","FQ2 2020","Currency=USD","Period=FQ","BEST_FPERIOD_OVERRIDE=FQ","FILING_STATUS=MR","SCALING_FORMAT=MLN","FA_ADJUSTED=GAAP","Sort=A","Dates=H","DateFormat=P","Fill=—","Direction=H","UseDPDF=Y")</f>
        <v>47.904000000000003</v>
      </c>
      <c r="I31" s="13" cm="1">
        <f t="array" ref="I31">_xll.BDH("NUE US Equity","IS_INC_TAX_EXP","FQ3 2020","FQ3 2020","Currency=USD","Period=FQ","BEST_FPERIOD_OVERRIDE=FQ","FILING_STATUS=MR","SCALING_FORMAT=MLN","FA_ADJUSTED=GAAP","Sort=A","Dates=H","DateFormat=P","Fill=—","Direction=H","UseDPDF=Y")</f>
        <v>67.787999999999997</v>
      </c>
      <c r="J31" s="13" cm="1">
        <f t="array" ref="J31">_xll.BDH("NUE US Equity","IS_INC_TAX_EXP","FQ4 2020","FQ4 2020","Currency=USD","Period=FQ","BEST_FPERIOD_OVERRIDE=FQ","FILING_STATUS=MR","SCALING_FORMAT=MLN","FA_ADJUSTED=GAAP","Sort=A","Dates=H","DateFormat=P","Fill=—","Direction=H","UseDPDF=Y")</f>
        <v>-208.1</v>
      </c>
      <c r="K31" s="13" cm="1">
        <f t="array" ref="K31">_xll.BDH("NUE US Equity","IS_INC_TAX_EXP","FQ1 2021","FQ1 2021","Currency=USD","Period=FQ","BEST_FPERIOD_OVERRIDE=FQ","FILING_STATUS=MR","SCALING_FORMAT=MLN","FA_ADJUSTED=GAAP","Sort=A","Dates=H","DateFormat=P","Fill=—","Direction=H","UseDPDF=Y")</f>
        <v>310.73200000000003</v>
      </c>
      <c r="L31" s="13" cm="1">
        <f t="array" ref="L31">_xll.BDH("NUE US Equity","IS_INC_TAX_EXP","FQ2 2021","FQ2 2021","Currency=USD","Period=FQ","BEST_FPERIOD_OVERRIDE=FQ","FILING_STATUS=MR","SCALING_FORMAT=MLN","FA_ADJUSTED=GAAP","Sort=A","Dates=H","DateFormat=P","Fill=—","Direction=H","UseDPDF=Y")</f>
        <v>454.28899999999999</v>
      </c>
      <c r="M31" s="13" cm="1">
        <f t="array" ref="M31">_xll.BDH("NUE US Equity","IS_INC_TAX_EXP","FQ3 2021","FQ3 2021","Currency=USD","Period=FQ","BEST_FPERIOD_OVERRIDE=FQ","FILING_STATUS=MR","SCALING_FORMAT=MLN","FA_ADJUSTED=GAAP","Sort=A","Dates=H","DateFormat=P","Fill=—","Direction=H","UseDPDF=Y")</f>
        <v>645.84199999999998</v>
      </c>
      <c r="N31" s="13" cm="1">
        <f t="array" ref="N31">_xll.BDH("NUE US Equity","IS_INC_TAX_EXP","FQ4 2021","FQ4 2021","Currency=USD","Period=FQ","BEST_FPERIOD_OVERRIDE=FQ","FILING_STATUS=MR","SCALING_FORMAT=MLN","FA_ADJUSTED=GAAP","Sort=A","Dates=H","DateFormat=P","Fill=—","Direction=H","UseDPDF=Y")</f>
        <v>667.625</v>
      </c>
      <c r="O31" s="13" cm="1">
        <f t="array" ref="O31">_xll.BDH("NUE US Equity","IS_INC_TAX_EXP","FQ1 2022","FQ1 2022","Currency=USD","Period=FQ","BEST_FPERIOD_OVERRIDE=FQ","FILING_STATUS=MR","SCALING_FORMAT=MLN","FA_ADJUSTED=GAAP","Sort=A","Dates=H","DateFormat=P","Fill=—","Direction=H","UseDPDF=Y")</f>
        <v>671</v>
      </c>
      <c r="P31" s="13" cm="1">
        <f t="array" ref="P31">_xll.BDH("NUE US Equity","IS_INC_TAX_EXP","FQ2 2022","FQ2 2022","Currency=USD","Period=FQ","BEST_FPERIOD_OVERRIDE=FQ","FILING_STATUS=MR","SCALING_FORMAT=MLN","FA_ADJUSTED=GAAP","Sort=A","Dates=H","DateFormat=P","Fill=—","Direction=H","UseDPDF=Y")</f>
        <v>763.16499999999996</v>
      </c>
      <c r="Q31" s="13" cm="1">
        <f t="array" ref="Q31">_xll.BDH("NUE US Equity","IS_INC_TAX_EXP","FQ3 2022","FQ3 2022","Currency=USD","Period=FQ","BEST_FPERIOD_OVERRIDE=FQ","FILING_STATUS=MR","SCALING_FORMAT=MLN","FA_ADJUSTED=GAAP","Sort=A","Dates=H","DateFormat=P","Fill=—","Direction=H","UseDPDF=Y")</f>
        <v>523.87900000000002</v>
      </c>
      <c r="R31" s="13" cm="1">
        <f t="array" ref="R31">_xll.BDH("NUE US Equity","IS_INC_TAX_EXP","FQ4 2022","FQ4 2022","Currency=USD","Period=FQ","BEST_FPERIOD_OVERRIDE=FQ","FILING_STATUS=MR","SCALING_FORMAT=MLN","FA_ADJUSTED=GAAP","Sort=A","Dates=H","DateFormat=P","Fill=—","Direction=H","UseDPDF=Y")</f>
        <v>207.16</v>
      </c>
      <c r="S31" s="13" cm="1">
        <f t="array" ref="S31">_xll.BDH("NUE US Equity","IS_INC_TAX_EXP","FQ1 2023","FQ1 2023","Currency=USD","Period=FQ","BEST_FPERIOD_OVERRIDE=FQ","FILING_STATUS=MR","SCALING_FORMAT=MLN","FA_ADJUSTED=GAAP","Sort=A","Dates=H","DateFormat=P","Fill=—","Direction=H","UseDPDF=Y")</f>
        <v>365.15499999999997</v>
      </c>
      <c r="T31" s="13" cm="1">
        <f t="array" ref="T31">_xll.BDH("NUE US Equity","IS_INC_TAX_EXP","FQ2 2023","FQ2 2023","Currency=USD","Period=FQ","BEST_FPERIOD_OVERRIDE=FQ","FILING_STATUS=MR","SCALING_FORMAT=MLN","FA_ADJUSTED=GAAP","Sort=A","Dates=H","DateFormat=P","Fill=—","Direction=H","UseDPDF=Y")</f>
        <v>462.70699999999999</v>
      </c>
      <c r="U31" s="13" cm="1">
        <f t="array" ref="U31">_xll.BDH("NUE US Equity","IS_INC_TAX_EXP","FQ3 2023","FQ3 2023","Currency=USD","Period=FQ","BEST_FPERIOD_OVERRIDE=FQ","FILING_STATUS=MR","SCALING_FORMAT=MLN","FA_ADJUSTED=GAAP","Sort=A","Dates=H","DateFormat=P","Fill=—","Direction=H","UseDPDF=Y")</f>
        <v>326.827</v>
      </c>
      <c r="V31" s="13" cm="1">
        <f t="array" ref="V31">_xll.BDH("NUE US Equity","IS_INC_TAX_EXP","FQ4 2023","FQ4 2023","Currency=USD","Period=FQ","BEST_FPERIOD_OVERRIDE=FQ","FILING_STATUS=MR","SCALING_FORMAT=MLN","FA_ADJUSTED=GAAP","Sort=A","Dates=H","DateFormat=P","Fill=—","Direction=H","UseDPDF=Y")</f>
        <v>205.27699999999999</v>
      </c>
      <c r="W31" s="13" cm="1">
        <f t="array" ref="W31">_xll.BDH("NUE US Equity","IS_INC_TAX_EXP","FQ1 2024","FQ1 2024","Currency=USD","Period=FQ","BEST_FPERIOD_OVERRIDE=FQ","FILING_STATUS=MR","SCALING_FORMAT=MLN","FA_ADJUSTED=GAAP","Sort=A","Dates=H","DateFormat=P","Fill=—","Direction=H","UseDPDF=Y")</f>
        <v>266.37900000000002</v>
      </c>
      <c r="X31" s="13" cm="1">
        <f t="array" ref="X31">_xll.BDH("NUE US Equity","IS_INC_TAX_EXP","FQ2 2024","FQ2 2024","Currency=USD","Period=FQ","BEST_FPERIOD_OVERRIDE=FQ","FILING_STATUS=MR","SCALING_FORMAT=MLN","FA_ADJUSTED=GAAP","Sort=A","Dates=H","DateFormat=P","Fill=—","Direction=H","UseDPDF=Y")</f>
        <v>186.02</v>
      </c>
      <c r="Y31" s="13" cm="1">
        <f t="array" ref="Y31">_xll.BDH("NUE US Equity","IS_INC_TAX_EXP","FQ3 2024","FQ3 2024","Currency=USD","Period=FQ","BEST_FPERIOD_OVERRIDE=FQ","FILING_STATUS=MR","SCALING_FORMAT=MLN","FA_ADJUSTED=GAAP","Sort=A","Dates=H","DateFormat=P","Fill=—","Direction=H","UseDPDF=Y")</f>
        <v>85.447999999999993</v>
      </c>
      <c r="Z31" s="13" cm="1">
        <f t="array" ref="Z31">_xll.BDH("NUE US Equity","IS_INC_TAX_EXP","FQ4 2024","FQ4 2024","Currency=USD","Period=FQ","BEST_FPERIOD_OVERRIDE=FQ","FILING_STATUS=MR","SCALING_FORMAT=MLN","FA_ADJUSTED=GAAP","Sort=A","Dates=H","DateFormat=P","Fill=—","Direction=H","UseDPDF=Y")</f>
        <v>45</v>
      </c>
      <c r="AA31" s="13" cm="1">
        <f t="array" ref="AA31">_xll.BDH("NUE US Equity","IS_INC_TAX_EXP","FQ1 2025","FQ1 2025","Currency=USD","Period=FQ","BEST_FPERIOD_OVERRIDE=FQ","FILING_STATUS=MR","SCALING_FORMAT=MLN","FA_ADJUSTED=GAAP","Sort=A","Dates=H","DateFormat=P","Fill=—","Direction=H","UseDPDF=Y")</f>
        <v>59</v>
      </c>
      <c r="AB31" s="13" cm="1">
        <f t="array" ref="AB31">_xll.BDH("NUE US Equity","IS_INC_TAX_EXP","FQ2 2025","FQ2 2025","Currency=USD","Period=FQ","BEST_FPERIOD_OVERRIDE=FQ","FILING_STATUS=MR","SCALING_FORMAT=MLN","FA_ADJUSTED=GAAP","Sort=A","Dates=H","DateFormat=P","Fill=—","Direction=H","UseDPDF=Y")</f>
        <v>193</v>
      </c>
      <c r="AC31" s="13" cm="1">
        <f t="array" ref="AC31">_xll.BDH("NUE US Equity","IS_INC_TAX_EXP","FQ3 2025","FQ3 2025","Currency=USD","Period=FQ","BEST_FPERIOD_OVERRIDE=FQ","FILING_STATUS=MR","SCALING_FORMAT=MLN","FA_ADJUSTED=GAAP","Sort=A","Dates=H","DateFormat=P","Fill=—","Direction=H","UseDPDF=Y")</f>
        <v>200</v>
      </c>
      <c r="AD31" s="13" cm="1">
        <f t="array" ref="AD31">_xll.BDH("NUE US Equity","IS_INC_TAX_EXP","FQ4 2025","FQ4 2025","Currency=USD","Period=FQ","BEST_FPERIOD_OVERRIDE=FQ","FILING_STATUS=MR","SCALING_FORMAT=MLN","FA_ADJUSTED=GAAP","Sort=A","Dates=H","DateFormat=P","Fill=—","Direction=H","UseDPDF=Y")</f>
        <v>78</v>
      </c>
      <c r="AE31" s="13"/>
      <c r="AF31" s="13"/>
    </row>
    <row r="32" spans="1:32" x14ac:dyDescent="0.25">
      <c r="A32" s="6" t="s">
        <v>116</v>
      </c>
      <c r="B32" s="6" t="s">
        <v>117</v>
      </c>
      <c r="C32" s="16" cm="1">
        <f t="array" ref="C32">_xll.BDH("NUE US Equity","IS_INC_BEF_XO_ITEM","FQ1 2019","FQ1 2019","Currency=USD","Period=FQ","BEST_FPERIOD_OVERRIDE=FQ","FILING_STATUS=MR","SCALING_FORMAT=MLN","Sort=A","Dates=H","DateFormat=P","Fill=—","Direction=H","UseDPDF=Y")</f>
        <v>530.79300000000001</v>
      </c>
      <c r="D32" s="16" cm="1">
        <f t="array" ref="D32">_xll.BDH("NUE US Equity","IS_INC_BEF_XO_ITEM","FQ2 2019","FQ2 2019","Currency=USD","Period=FQ","BEST_FPERIOD_OVERRIDE=FQ","FILING_STATUS=MR","SCALING_FORMAT=MLN","Sort=A","Dates=H","DateFormat=P","Fill=—","Direction=H","UseDPDF=Y")</f>
        <v>412.27699999999999</v>
      </c>
      <c r="E32" s="16" cm="1">
        <f t="array" ref="E32">_xll.BDH("NUE US Equity","IS_INC_BEF_XO_ITEM","FQ3 2019","FQ3 2019","Currency=USD","Period=FQ","BEST_FPERIOD_OVERRIDE=FQ","FILING_STATUS=MR","SCALING_FORMAT=MLN","Sort=A","Dates=H","DateFormat=P","Fill=—","Direction=H","UseDPDF=Y")</f>
        <v>293.58699999999999</v>
      </c>
      <c r="F32" s="16" cm="1">
        <f t="array" ref="F32">_xll.BDH("NUE US Equity","IS_INC_BEF_XO_ITEM","FQ4 2019","FQ4 2019","Currency=USD","Period=FQ","BEST_FPERIOD_OVERRIDE=FQ","FILING_STATUS=MR","SCALING_FORMAT=MLN","Sort=A","Dates=H","DateFormat=P","Fill=—","Direction=H","UseDPDF=Y")</f>
        <v>134.25299999999999</v>
      </c>
      <c r="G32" s="16" cm="1">
        <f t="array" ref="G32">_xll.BDH("NUE US Equity","IS_INC_BEF_XO_ITEM","FQ1 2020","FQ1 2020","Currency=USD","Period=FQ","BEST_FPERIOD_OVERRIDE=FQ","FILING_STATUS=MR","SCALING_FORMAT=MLN","Sort=A","Dates=H","DateFormat=P","Fill=—","Direction=H","UseDPDF=Y")</f>
        <v>54.378999999999998</v>
      </c>
      <c r="H32" s="16" cm="1">
        <f t="array" ref="H32">_xll.BDH("NUE US Equity","IS_INC_BEF_XO_ITEM","FQ2 2020","FQ2 2020","Currency=USD","Period=FQ","BEST_FPERIOD_OVERRIDE=FQ","FILING_STATUS=MR","SCALING_FORMAT=MLN","Sort=A","Dates=H","DateFormat=P","Fill=—","Direction=H","UseDPDF=Y")</f>
        <v>133.15299999999999</v>
      </c>
      <c r="I32" s="16" cm="1">
        <f t="array" ref="I32">_xll.BDH("NUE US Equity","IS_INC_BEF_XO_ITEM","FQ3 2020","FQ3 2020","Currency=USD","Period=FQ","BEST_FPERIOD_OVERRIDE=FQ","FILING_STATUS=MR","SCALING_FORMAT=MLN","Sort=A","Dates=H","DateFormat=P","Fill=—","Direction=H","UseDPDF=Y")</f>
        <v>222.63</v>
      </c>
      <c r="J32" s="16" cm="1">
        <f t="array" ref="J32">_xll.BDH("NUE US Equity","IS_INC_BEF_XO_ITEM","FQ4 2020","FQ4 2020","Currency=USD","Period=FQ","BEST_FPERIOD_OVERRIDE=FQ","FILING_STATUS=MR","SCALING_FORMAT=MLN","Sort=A","Dates=H","DateFormat=P","Fill=—","Direction=H","UseDPDF=Y")</f>
        <v>425.86599999999999</v>
      </c>
      <c r="K32" s="16" cm="1">
        <f t="array" ref="K32">_xll.BDH("NUE US Equity","IS_INC_BEF_XO_ITEM","FQ1 2021","FQ1 2021","Currency=USD","Period=FQ","BEST_FPERIOD_OVERRIDE=FQ","FILING_STATUS=MR","SCALING_FORMAT=MLN","Sort=A","Dates=H","DateFormat=P","Fill=—","Direction=H","UseDPDF=Y")</f>
        <v>987.51400000000001</v>
      </c>
      <c r="L32" s="16" cm="1">
        <f t="array" ref="L32">_xll.BDH("NUE US Equity","IS_INC_BEF_XO_ITEM","FQ2 2021","FQ2 2021","Currency=USD","Period=FQ","BEST_FPERIOD_OVERRIDE=FQ","FILING_STATUS=MR","SCALING_FORMAT=MLN","Sort=A","Dates=H","DateFormat=P","Fill=—","Direction=H","UseDPDF=Y")</f>
        <v>1571.4590000000001</v>
      </c>
      <c r="M32" s="16" cm="1">
        <f t="array" ref="M32">_xll.BDH("NUE US Equity","IS_INC_BEF_XO_ITEM","FQ3 2021","FQ3 2021","Currency=USD","Period=FQ","BEST_FPERIOD_OVERRIDE=FQ","FILING_STATUS=MR","SCALING_FORMAT=MLN","Sort=A","Dates=H","DateFormat=P","Fill=—","Direction=H","UseDPDF=Y")</f>
        <v>2223.2649999999999</v>
      </c>
      <c r="N32" s="16" cm="1">
        <f t="array" ref="N32">_xll.BDH("NUE US Equity","IS_INC_BEF_XO_ITEM","FQ4 2021","FQ4 2021","Currency=USD","Period=FQ","BEST_FPERIOD_OVERRIDE=FQ","FILING_STATUS=MR","SCALING_FORMAT=MLN","Sort=A","Dates=H","DateFormat=P","Fill=—","Direction=H","UseDPDF=Y")</f>
        <v>2340.1320000000001</v>
      </c>
      <c r="O32" s="16" cm="1">
        <f t="array" ref="O32">_xll.BDH("NUE US Equity","IS_INC_BEF_XO_ITEM","FQ1 2022","FQ1 2022","Currency=USD","Period=FQ","BEST_FPERIOD_OVERRIDE=FQ","FILING_STATUS=MR","SCALING_FORMAT=MLN","Sort=A","Dates=H","DateFormat=P","Fill=—","Direction=H","UseDPDF=Y")</f>
        <v>2227.1149999999998</v>
      </c>
      <c r="P32" s="16" cm="1">
        <f t="array" ref="P32">_xll.BDH("NUE US Equity","IS_INC_BEF_XO_ITEM","FQ2 2022","FQ2 2022","Currency=USD","Period=FQ","BEST_FPERIOD_OVERRIDE=FQ","FILING_STATUS=MR","SCALING_FORMAT=MLN","Sort=A","Dates=H","DateFormat=P","Fill=—","Direction=H","UseDPDF=Y")</f>
        <v>2727.2370000000001</v>
      </c>
      <c r="Q32" s="16" cm="1">
        <f t="array" ref="Q32">_xll.BDH("NUE US Equity","IS_INC_BEF_XO_ITEM","FQ3 2022","FQ3 2022","Currency=USD","Period=FQ","BEST_FPERIOD_OVERRIDE=FQ","FILING_STATUS=MR","SCALING_FORMAT=MLN","Sort=A","Dates=H","DateFormat=P","Fill=—","Direction=H","UseDPDF=Y")</f>
        <v>1799.0429999999999</v>
      </c>
      <c r="R32" s="16" cm="1">
        <f t="array" ref="R32">_xll.BDH("NUE US Equity","IS_INC_BEF_XO_ITEM","FQ4 2022","FQ4 2022","Currency=USD","Period=FQ","BEST_FPERIOD_OVERRIDE=FQ","FILING_STATUS=MR","SCALING_FORMAT=MLN","Sort=A","Dates=H","DateFormat=P","Fill=—","Direction=H","UseDPDF=Y")</f>
        <v>1326.2449999999999</v>
      </c>
      <c r="S32" s="16" cm="1">
        <f t="array" ref="S32">_xll.BDH("NUE US Equity","IS_INC_BEF_XO_ITEM","FQ1 2023","FQ1 2023","Currency=USD","Period=FQ","BEST_FPERIOD_OVERRIDE=FQ","FILING_STATUS=MR","SCALING_FORMAT=MLN","Sort=A","Dates=H","DateFormat=P","Fill=—","Direction=H","UseDPDF=Y")</f>
        <v>1231.6289999999999</v>
      </c>
      <c r="T32" s="16" cm="1">
        <f t="array" ref="T32">_xll.BDH("NUE US Equity","IS_INC_BEF_XO_ITEM","FQ2 2023","FQ2 2023","Currency=USD","Period=FQ","BEST_FPERIOD_OVERRIDE=FQ","FILING_STATUS=MR","SCALING_FORMAT=MLN","Sort=A","Dates=H","DateFormat=P","Fill=—","Direction=H","UseDPDF=Y")</f>
        <v>1587.075</v>
      </c>
      <c r="U32" s="16" cm="1">
        <f t="array" ref="U32">_xll.BDH("NUE US Equity","IS_INC_BEF_XO_ITEM","FQ3 2023","FQ3 2023","Currency=USD","Period=FQ","BEST_FPERIOD_OVERRIDE=FQ","FILING_STATUS=MR","SCALING_FORMAT=MLN","Sort=A","Dates=H","DateFormat=P","Fill=—","Direction=H","UseDPDF=Y")</f>
        <v>1221.2550000000001</v>
      </c>
      <c r="V32" s="16" cm="1">
        <f t="array" ref="V32">_xll.BDH("NUE US Equity","IS_INC_BEF_XO_ITEM","FQ4 2023","FQ4 2023","Currency=USD","Period=FQ","BEST_FPERIOD_OVERRIDE=FQ","FILING_STATUS=MR","SCALING_FORMAT=MLN","Sort=A","Dates=H","DateFormat=P","Fill=—","Direction=H","UseDPDF=Y")</f>
        <v>872.83199999999999</v>
      </c>
      <c r="W32" s="16" cm="1">
        <f t="array" ref="W32">_xll.BDH("NUE US Equity","IS_INC_BEF_XO_ITEM","FQ1 2024","FQ1 2024","Currency=USD","Period=FQ","BEST_FPERIOD_OVERRIDE=FQ","FILING_STATUS=MR","SCALING_FORMAT=MLN","Sort=A","Dates=H","DateFormat=P","Fill=—","Direction=H","UseDPDF=Y")</f>
        <v>958.96199999999999</v>
      </c>
      <c r="X32" s="16" cm="1">
        <f t="array" ref="X32">_xll.BDH("NUE US Equity","IS_INC_BEF_XO_ITEM","FQ2 2024","FQ2 2024","Currency=USD","Period=FQ","BEST_FPERIOD_OVERRIDE=FQ","FILING_STATUS=MR","SCALING_FORMAT=MLN","Sort=A","Dates=H","DateFormat=P","Fill=—","Direction=H","UseDPDF=Y")</f>
        <v>712.14300000000003</v>
      </c>
      <c r="Y32" s="16" cm="1">
        <f t="array" ref="Y32">_xll.BDH("NUE US Equity","IS_INC_BEF_XO_ITEM","FQ3 2024","FQ3 2024","Currency=USD","Period=FQ","BEST_FPERIOD_OVERRIDE=FQ","FILING_STATUS=MR","SCALING_FORMAT=MLN","Sort=A","Dates=H","DateFormat=P","Fill=—","Direction=H","UseDPDF=Y")</f>
        <v>302.82499999999999</v>
      </c>
      <c r="Z32" s="16" cm="1">
        <f t="array" ref="Z32">_xll.BDH("NUE US Equity","IS_INC_BEF_XO_ITEM","FQ4 2024","FQ4 2024","Currency=USD","Period=FQ","BEST_FPERIOD_OVERRIDE=FQ","FILING_STATUS=MR","SCALING_FORMAT=MLN","Sort=A","Dates=H","DateFormat=P","Fill=—","Direction=H","UseDPDF=Y")</f>
        <v>345</v>
      </c>
      <c r="AA32" s="16" cm="1">
        <f t="array" ref="AA32">_xll.BDH("NUE US Equity","IS_INC_BEF_XO_ITEM","FQ1 2025","FQ1 2025","Currency=USD","Period=FQ","BEST_FPERIOD_OVERRIDE=FQ","FILING_STATUS=MR","SCALING_FORMAT=MLN","Sort=A","Dates=H","DateFormat=P","Fill=—","Direction=H","UseDPDF=Y")</f>
        <v>226</v>
      </c>
      <c r="AB32" s="16" cm="1">
        <f t="array" ref="AB32">_xll.BDH("NUE US Equity","IS_INC_BEF_XO_ITEM","FQ2 2025","FQ2 2025","Currency=USD","Period=FQ","BEST_FPERIOD_OVERRIDE=FQ","FILING_STATUS=MR","SCALING_FORMAT=MLN","Sort=A","Dates=H","DateFormat=P","Fill=—","Direction=H","UseDPDF=Y")</f>
        <v>706</v>
      </c>
      <c r="AC32" s="16" cm="1">
        <f t="array" ref="AC32">_xll.BDH("NUE US Equity","IS_INC_BEF_XO_ITEM","FQ3 2025","FQ3 2025","Currency=USD","Period=FQ","BEST_FPERIOD_OVERRIDE=FQ","FILING_STATUS=MR","SCALING_FORMAT=MLN","Sort=A","Dates=H","DateFormat=P","Fill=—","Direction=H","UseDPDF=Y")</f>
        <v>683</v>
      </c>
      <c r="AD32" s="16" cm="1">
        <f t="array" ref="AD32">_xll.BDH("NUE US Equity","IS_INC_BEF_XO_ITEM","FQ4 2025","FQ4 2025","Currency=USD","Period=FQ","BEST_FPERIOD_OVERRIDE=FQ","FILING_STATUS=MR","SCALING_FORMAT=MLN","Sort=A","Dates=H","DateFormat=P","Fill=—","Direction=H","UseDPDF=Y")</f>
        <v>423</v>
      </c>
      <c r="AE32" s="16">
        <v>655.85699999999997</v>
      </c>
      <c r="AF32" s="16">
        <v>768.57100000000003</v>
      </c>
    </row>
    <row r="33" spans="1:32" x14ac:dyDescent="0.25">
      <c r="A33" s="10" t="s">
        <v>118</v>
      </c>
      <c r="B33" s="10" t="s">
        <v>119</v>
      </c>
      <c r="C33" s="13" cm="1">
        <f t="array" ref="C33">_xll.BDH("NUE US Equity","XO_GL_NET_OF_TAX","FQ1 2019","FQ1 2019","Currency=USD","Period=FQ","BEST_FPERIOD_OVERRIDE=FQ","FILING_STATUS=MR","SCALING_FORMAT=MLN","Sort=A","Dates=H","DateFormat=P","Fill=—","Direction=H","UseDPDF=Y")</f>
        <v>0</v>
      </c>
      <c r="D33" s="13" cm="1">
        <f t="array" ref="D33">_xll.BDH("NUE US Equity","XO_GL_NET_OF_TAX","FQ2 2019","FQ2 2019","Currency=USD","Period=FQ","BEST_FPERIOD_OVERRIDE=FQ","FILING_STATUS=MR","SCALING_FORMAT=MLN","Sort=A","Dates=H","DateFormat=P","Fill=—","Direction=H","UseDPDF=Y")</f>
        <v>0</v>
      </c>
      <c r="E33" s="13" cm="1">
        <f t="array" ref="E33">_xll.BDH("NUE US Equity","XO_GL_NET_OF_TAX","FQ3 2019","FQ3 2019","Currency=USD","Period=FQ","BEST_FPERIOD_OVERRIDE=FQ","FILING_STATUS=MR","SCALING_FORMAT=MLN","Sort=A","Dates=H","DateFormat=P","Fill=—","Direction=H","UseDPDF=Y")</f>
        <v>0</v>
      </c>
      <c r="F33" s="13" cm="1">
        <f t="array" ref="F33">_xll.BDH("NUE US Equity","XO_GL_NET_OF_TAX","FQ4 2019","FQ4 2019","Currency=USD","Period=FQ","BEST_FPERIOD_OVERRIDE=FQ","FILING_STATUS=MR","SCALING_FORMAT=MLN","Sort=A","Dates=H","DateFormat=P","Fill=—","Direction=H","UseDPDF=Y")</f>
        <v>0</v>
      </c>
      <c r="G33" s="13" cm="1">
        <f t="array" ref="G33">_xll.BDH("NUE US Equity","XO_GL_NET_OF_TAX","FQ1 2020","FQ1 2020","Currency=USD","Period=FQ","BEST_FPERIOD_OVERRIDE=FQ","FILING_STATUS=MR","SCALING_FORMAT=MLN","Sort=A","Dates=H","DateFormat=P","Fill=—","Direction=H","UseDPDF=Y")</f>
        <v>0</v>
      </c>
      <c r="H33" s="13" cm="1">
        <f t="array" ref="H33">_xll.BDH("NUE US Equity","XO_GL_NET_OF_TAX","FQ2 2020","FQ2 2020","Currency=USD","Period=FQ","BEST_FPERIOD_OVERRIDE=FQ","FILING_STATUS=MR","SCALING_FORMAT=MLN","Sort=A","Dates=H","DateFormat=P","Fill=—","Direction=H","UseDPDF=Y")</f>
        <v>0</v>
      </c>
      <c r="I33" s="13" cm="1">
        <f t="array" ref="I33">_xll.BDH("NUE US Equity","XO_GL_NET_OF_TAX","FQ3 2020","FQ3 2020","Currency=USD","Period=FQ","BEST_FPERIOD_OVERRIDE=FQ","FILING_STATUS=MR","SCALING_FORMAT=MLN","Sort=A","Dates=H","DateFormat=P","Fill=—","Direction=H","UseDPDF=Y")</f>
        <v>0</v>
      </c>
      <c r="J33" s="13" cm="1">
        <f t="array" ref="J33">_xll.BDH("NUE US Equity","XO_GL_NET_OF_TAX","FQ4 2020","FQ4 2020","Currency=USD","Period=FQ","BEST_FPERIOD_OVERRIDE=FQ","FILING_STATUS=MR","SCALING_FORMAT=MLN","Sort=A","Dates=H","DateFormat=P","Fill=—","Direction=H","UseDPDF=Y")</f>
        <v>0</v>
      </c>
      <c r="K33" s="13" cm="1">
        <f t="array" ref="K33">_xll.BDH("NUE US Equity","XO_GL_NET_OF_TAX","FQ1 2021","FQ1 2021","Currency=USD","Period=FQ","BEST_FPERIOD_OVERRIDE=FQ","FILING_STATUS=MR","SCALING_FORMAT=MLN","Sort=A","Dates=H","DateFormat=P","Fill=—","Direction=H","UseDPDF=Y")</f>
        <v>0</v>
      </c>
      <c r="L33" s="13" cm="1">
        <f t="array" ref="L33">_xll.BDH("NUE US Equity","XO_GL_NET_OF_TAX","FQ2 2021","FQ2 2021","Currency=USD","Period=FQ","BEST_FPERIOD_OVERRIDE=FQ","FILING_STATUS=MR","SCALING_FORMAT=MLN","Sort=A","Dates=H","DateFormat=P","Fill=—","Direction=H","UseDPDF=Y")</f>
        <v>0</v>
      </c>
      <c r="M33" s="13" cm="1">
        <f t="array" ref="M33">_xll.BDH("NUE US Equity","XO_GL_NET_OF_TAX","FQ3 2021","FQ3 2021","Currency=USD","Period=FQ","BEST_FPERIOD_OVERRIDE=FQ","FILING_STATUS=MR","SCALING_FORMAT=MLN","Sort=A","Dates=H","DateFormat=P","Fill=—","Direction=H","UseDPDF=Y")</f>
        <v>0</v>
      </c>
      <c r="N33" s="13" cm="1">
        <f t="array" ref="N33">_xll.BDH("NUE US Equity","XO_GL_NET_OF_TAX","FQ4 2021","FQ4 2021","Currency=USD","Period=FQ","BEST_FPERIOD_OVERRIDE=FQ","FILING_STATUS=MR","SCALING_FORMAT=MLN","Sort=A","Dates=H","DateFormat=P","Fill=—","Direction=H","UseDPDF=Y")</f>
        <v>0</v>
      </c>
      <c r="O33" s="13" cm="1">
        <f t="array" ref="O33">_xll.BDH("NUE US Equity","XO_GL_NET_OF_TAX","FQ1 2022","FQ1 2022","Currency=USD","Period=FQ","BEST_FPERIOD_OVERRIDE=FQ","FILING_STATUS=MR","SCALING_FORMAT=MLN","Sort=A","Dates=H","DateFormat=P","Fill=—","Direction=H","UseDPDF=Y")</f>
        <v>0</v>
      </c>
      <c r="P33" s="13" cm="1">
        <f t="array" ref="P33">_xll.BDH("NUE US Equity","XO_GL_NET_OF_TAX","FQ2 2022","FQ2 2022","Currency=USD","Period=FQ","BEST_FPERIOD_OVERRIDE=FQ","FILING_STATUS=MR","SCALING_FORMAT=MLN","Sort=A","Dates=H","DateFormat=P","Fill=—","Direction=H","UseDPDF=Y")</f>
        <v>0</v>
      </c>
      <c r="Q33" s="13" cm="1">
        <f t="array" ref="Q33">_xll.BDH("NUE US Equity","XO_GL_NET_OF_TAX","FQ3 2022","FQ3 2022","Currency=USD","Period=FQ","BEST_FPERIOD_OVERRIDE=FQ","FILING_STATUS=MR","SCALING_FORMAT=MLN","Sort=A","Dates=H","DateFormat=P","Fill=—","Direction=H","UseDPDF=Y")</f>
        <v>0</v>
      </c>
      <c r="R33" s="13" cm="1">
        <f t="array" ref="R33">_xll.BDH("NUE US Equity","XO_GL_NET_OF_TAX","FQ4 2022","FQ4 2022","Currency=USD","Period=FQ","BEST_FPERIOD_OVERRIDE=FQ","FILING_STATUS=MR","SCALING_FORMAT=MLN","Sort=A","Dates=H","DateFormat=P","Fill=—","Direction=H","UseDPDF=Y")</f>
        <v>0</v>
      </c>
      <c r="S33" s="13" cm="1">
        <f t="array" ref="S33">_xll.BDH("NUE US Equity","XO_GL_NET_OF_TAX","FQ1 2023","FQ1 2023","Currency=USD","Period=FQ","BEST_FPERIOD_OVERRIDE=FQ","FILING_STATUS=MR","SCALING_FORMAT=MLN","Sort=A","Dates=H","DateFormat=P","Fill=—","Direction=H","UseDPDF=Y")</f>
        <v>0</v>
      </c>
      <c r="T33" s="13" cm="1">
        <f t="array" ref="T33">_xll.BDH("NUE US Equity","XO_GL_NET_OF_TAX","FQ2 2023","FQ2 2023","Currency=USD","Period=FQ","BEST_FPERIOD_OVERRIDE=FQ","FILING_STATUS=MR","SCALING_FORMAT=MLN","Sort=A","Dates=H","DateFormat=P","Fill=—","Direction=H","UseDPDF=Y")</f>
        <v>0</v>
      </c>
      <c r="U33" s="13" cm="1">
        <f t="array" ref="U33">_xll.BDH("NUE US Equity","XO_GL_NET_OF_TAX","FQ3 2023","FQ3 2023","Currency=USD","Period=FQ","BEST_FPERIOD_OVERRIDE=FQ","FILING_STATUS=MR","SCALING_FORMAT=MLN","Sort=A","Dates=H","DateFormat=P","Fill=—","Direction=H","UseDPDF=Y")</f>
        <v>0</v>
      </c>
      <c r="V33" s="13" cm="1">
        <f t="array" ref="V33">_xll.BDH("NUE US Equity","XO_GL_NET_OF_TAX","FQ4 2023","FQ4 2023","Currency=USD","Period=FQ","BEST_FPERIOD_OVERRIDE=FQ","FILING_STATUS=MR","SCALING_FORMAT=MLN","Sort=A","Dates=H","DateFormat=P","Fill=—","Direction=H","UseDPDF=Y")</f>
        <v>0</v>
      </c>
      <c r="W33" s="13" cm="1">
        <f t="array" ref="W33">_xll.BDH("NUE US Equity","XO_GL_NET_OF_TAX","FQ1 2024","FQ1 2024","Currency=USD","Period=FQ","BEST_FPERIOD_OVERRIDE=FQ","FILING_STATUS=MR","SCALING_FORMAT=MLN","Sort=A","Dates=H","DateFormat=P","Fill=—","Direction=H","UseDPDF=Y")</f>
        <v>0</v>
      </c>
      <c r="X33" s="13" cm="1">
        <f t="array" ref="X33">_xll.BDH("NUE US Equity","XO_GL_NET_OF_TAX","FQ2 2024","FQ2 2024","Currency=USD","Period=FQ","BEST_FPERIOD_OVERRIDE=FQ","FILING_STATUS=MR","SCALING_FORMAT=MLN","Sort=A","Dates=H","DateFormat=P","Fill=—","Direction=H","UseDPDF=Y")</f>
        <v>0</v>
      </c>
      <c r="Y33" s="13" cm="1">
        <f t="array" ref="Y33">_xll.BDH("NUE US Equity","XO_GL_NET_OF_TAX","FQ3 2024","FQ3 2024","Currency=USD","Period=FQ","BEST_FPERIOD_OVERRIDE=FQ","FILING_STATUS=MR","SCALING_FORMAT=MLN","Sort=A","Dates=H","DateFormat=P","Fill=—","Direction=H","UseDPDF=Y")</f>
        <v>0</v>
      </c>
      <c r="Z33" s="13" cm="1">
        <f t="array" ref="Z33">_xll.BDH("NUE US Equity","XO_GL_NET_OF_TAX","FQ4 2024","FQ4 2024","Currency=USD","Period=FQ","BEST_FPERIOD_OVERRIDE=FQ","FILING_STATUS=MR","SCALING_FORMAT=MLN","Sort=A","Dates=H","DateFormat=P","Fill=—","Direction=H","UseDPDF=Y")</f>
        <v>0</v>
      </c>
      <c r="AA33" s="13" cm="1">
        <f t="array" ref="AA33">_xll.BDH("NUE US Equity","XO_GL_NET_OF_TAX","FQ1 2025","FQ1 2025","Currency=USD","Period=FQ","BEST_FPERIOD_OVERRIDE=FQ","FILING_STATUS=MR","SCALING_FORMAT=MLN","Sort=A","Dates=H","DateFormat=P","Fill=—","Direction=H","UseDPDF=Y")</f>
        <v>0</v>
      </c>
      <c r="AB33" s="13" cm="1">
        <f t="array" ref="AB33">_xll.BDH("NUE US Equity","XO_GL_NET_OF_TAX","FQ2 2025","FQ2 2025","Currency=USD","Period=FQ","BEST_FPERIOD_OVERRIDE=FQ","FILING_STATUS=MR","SCALING_FORMAT=MLN","Sort=A","Dates=H","DateFormat=P","Fill=—","Direction=H","UseDPDF=Y")</f>
        <v>0</v>
      </c>
      <c r="AC33" s="13" cm="1">
        <f t="array" ref="AC33">_xll.BDH("NUE US Equity","XO_GL_NET_OF_TAX","FQ3 2025","FQ3 2025","Currency=USD","Period=FQ","BEST_FPERIOD_OVERRIDE=FQ","FILING_STATUS=MR","SCALING_FORMAT=MLN","Sort=A","Dates=H","DateFormat=P","Fill=—","Direction=H","UseDPDF=Y")</f>
        <v>0</v>
      </c>
      <c r="AD33" s="13" cm="1">
        <f t="array" ref="AD33">_xll.BDH("NUE US Equity","XO_GL_NET_OF_TAX","FQ4 2025","FQ4 2025","Currency=USD","Period=FQ","BEST_FPERIOD_OVERRIDE=FQ","FILING_STATUS=MR","SCALING_FORMAT=MLN","Sort=A","Dates=H","DateFormat=P","Fill=—","Direction=H","UseDPDF=Y")</f>
        <v>0</v>
      </c>
      <c r="AE33" s="13"/>
      <c r="AF33" s="13"/>
    </row>
    <row r="34" spans="1:32" x14ac:dyDescent="0.25">
      <c r="A34" s="10" t="s">
        <v>120</v>
      </c>
      <c r="B34" s="10" t="s">
        <v>121</v>
      </c>
      <c r="C34" s="13" cm="1">
        <f t="array" ref="C34">_xll.BDH("NUE US Equity","IS_DISCONTINUED_OPERATIONS","FQ1 2019","FQ1 2019","Currency=USD","Period=FQ","BEST_FPERIOD_OVERRIDE=FQ","FILING_STATUS=MR","SCALING_FORMAT=MLN","Sort=A","Dates=H","DateFormat=P","Fill=—","Direction=H","UseDPDF=Y")</f>
        <v>0</v>
      </c>
      <c r="D34" s="13" cm="1">
        <f t="array" ref="D34">_xll.BDH("NUE US Equity","IS_DISCONTINUED_OPERATIONS","FQ2 2019","FQ2 2019","Currency=USD","Period=FQ","BEST_FPERIOD_OVERRIDE=FQ","FILING_STATUS=MR","SCALING_FORMAT=MLN","Sort=A","Dates=H","DateFormat=P","Fill=—","Direction=H","UseDPDF=Y")</f>
        <v>0</v>
      </c>
      <c r="E34" s="13" cm="1">
        <f t="array" ref="E34">_xll.BDH("NUE US Equity","IS_DISCONTINUED_OPERATIONS","FQ3 2019","FQ3 2019","Currency=USD","Period=FQ","BEST_FPERIOD_OVERRIDE=FQ","FILING_STATUS=MR","SCALING_FORMAT=MLN","Sort=A","Dates=H","DateFormat=P","Fill=—","Direction=H","UseDPDF=Y")</f>
        <v>0</v>
      </c>
      <c r="F34" s="13" cm="1">
        <f t="array" ref="F34">_xll.BDH("NUE US Equity","IS_DISCONTINUED_OPERATIONS","FQ4 2019","FQ4 2019","Currency=USD","Period=FQ","BEST_FPERIOD_OVERRIDE=FQ","FILING_STATUS=MR","SCALING_FORMAT=MLN","Sort=A","Dates=H","DateFormat=P","Fill=—","Direction=H","UseDPDF=Y")</f>
        <v>0</v>
      </c>
      <c r="G34" s="13" cm="1">
        <f t="array" ref="G34">_xll.BDH("NUE US Equity","IS_DISCONTINUED_OPERATIONS","FQ1 2020","FQ1 2020","Currency=USD","Period=FQ","BEST_FPERIOD_OVERRIDE=FQ","FILING_STATUS=MR","SCALING_FORMAT=MLN","Sort=A","Dates=H","DateFormat=P","Fill=—","Direction=H","UseDPDF=Y")</f>
        <v>0</v>
      </c>
      <c r="H34" s="13" cm="1">
        <f t="array" ref="H34">_xll.BDH("NUE US Equity","IS_DISCONTINUED_OPERATIONS","FQ2 2020","FQ2 2020","Currency=USD","Period=FQ","BEST_FPERIOD_OVERRIDE=FQ","FILING_STATUS=MR","SCALING_FORMAT=MLN","Sort=A","Dates=H","DateFormat=P","Fill=—","Direction=H","UseDPDF=Y")</f>
        <v>0</v>
      </c>
      <c r="I34" s="13" cm="1">
        <f t="array" ref="I34">_xll.BDH("NUE US Equity","IS_DISCONTINUED_OPERATIONS","FQ3 2020","FQ3 2020","Currency=USD","Period=FQ","BEST_FPERIOD_OVERRIDE=FQ","FILING_STATUS=MR","SCALING_FORMAT=MLN","Sort=A","Dates=H","DateFormat=P","Fill=—","Direction=H","UseDPDF=Y")</f>
        <v>0</v>
      </c>
      <c r="J34" s="13" cm="1">
        <f t="array" ref="J34">_xll.BDH("NUE US Equity","IS_DISCONTINUED_OPERATIONS","FQ4 2020","FQ4 2020","Currency=USD","Period=FQ","BEST_FPERIOD_OVERRIDE=FQ","FILING_STATUS=MR","SCALING_FORMAT=MLN","Sort=A","Dates=H","DateFormat=P","Fill=—","Direction=H","UseDPDF=Y")</f>
        <v>0</v>
      </c>
      <c r="K34" s="13" cm="1">
        <f t="array" ref="K34">_xll.BDH("NUE US Equity","IS_DISCONTINUED_OPERATIONS","FQ1 2021","FQ1 2021","Currency=USD","Period=FQ","BEST_FPERIOD_OVERRIDE=FQ","FILING_STATUS=MR","SCALING_FORMAT=MLN","Sort=A","Dates=H","DateFormat=P","Fill=—","Direction=H","UseDPDF=Y")</f>
        <v>0</v>
      </c>
      <c r="L34" s="13" cm="1">
        <f t="array" ref="L34">_xll.BDH("NUE US Equity","IS_DISCONTINUED_OPERATIONS","FQ2 2021","FQ2 2021","Currency=USD","Period=FQ","BEST_FPERIOD_OVERRIDE=FQ","FILING_STATUS=MR","SCALING_FORMAT=MLN","Sort=A","Dates=H","DateFormat=P","Fill=—","Direction=H","UseDPDF=Y")</f>
        <v>0</v>
      </c>
      <c r="M34" s="13" cm="1">
        <f t="array" ref="M34">_xll.BDH("NUE US Equity","IS_DISCONTINUED_OPERATIONS","FQ3 2021","FQ3 2021","Currency=USD","Period=FQ","BEST_FPERIOD_OVERRIDE=FQ","FILING_STATUS=MR","SCALING_FORMAT=MLN","Sort=A","Dates=H","DateFormat=P","Fill=—","Direction=H","UseDPDF=Y")</f>
        <v>0</v>
      </c>
      <c r="N34" s="13" cm="1">
        <f t="array" ref="N34">_xll.BDH("NUE US Equity","IS_DISCONTINUED_OPERATIONS","FQ4 2021","FQ4 2021","Currency=USD","Period=FQ","BEST_FPERIOD_OVERRIDE=FQ","FILING_STATUS=MR","SCALING_FORMAT=MLN","Sort=A","Dates=H","DateFormat=P","Fill=—","Direction=H","UseDPDF=Y")</f>
        <v>0</v>
      </c>
      <c r="O34" s="13" cm="1">
        <f t="array" ref="O34">_xll.BDH("NUE US Equity","IS_DISCONTINUED_OPERATIONS","FQ1 2022","FQ1 2022","Currency=USD","Period=FQ","BEST_FPERIOD_OVERRIDE=FQ","FILING_STATUS=MR","SCALING_FORMAT=MLN","Sort=A","Dates=H","DateFormat=P","Fill=—","Direction=H","UseDPDF=Y")</f>
        <v>0</v>
      </c>
      <c r="P34" s="13" cm="1">
        <f t="array" ref="P34">_xll.BDH("NUE US Equity","IS_DISCONTINUED_OPERATIONS","FQ2 2022","FQ2 2022","Currency=USD","Period=FQ","BEST_FPERIOD_OVERRIDE=FQ","FILING_STATUS=MR","SCALING_FORMAT=MLN","Sort=A","Dates=H","DateFormat=P","Fill=—","Direction=H","UseDPDF=Y")</f>
        <v>0</v>
      </c>
      <c r="Q34" s="13" cm="1">
        <f t="array" ref="Q34">_xll.BDH("NUE US Equity","IS_DISCONTINUED_OPERATIONS","FQ3 2022","FQ3 2022","Currency=USD","Period=FQ","BEST_FPERIOD_OVERRIDE=FQ","FILING_STATUS=MR","SCALING_FORMAT=MLN","Sort=A","Dates=H","DateFormat=P","Fill=—","Direction=H","UseDPDF=Y")</f>
        <v>0</v>
      </c>
      <c r="R34" s="13" cm="1">
        <f t="array" ref="R34">_xll.BDH("NUE US Equity","IS_DISCONTINUED_OPERATIONS","FQ4 2022","FQ4 2022","Currency=USD","Period=FQ","BEST_FPERIOD_OVERRIDE=FQ","FILING_STATUS=MR","SCALING_FORMAT=MLN","Sort=A","Dates=H","DateFormat=P","Fill=—","Direction=H","UseDPDF=Y")</f>
        <v>0</v>
      </c>
      <c r="S34" s="13" cm="1">
        <f t="array" ref="S34">_xll.BDH("NUE US Equity","IS_DISCONTINUED_OPERATIONS","FQ1 2023","FQ1 2023","Currency=USD","Period=FQ","BEST_FPERIOD_OVERRIDE=FQ","FILING_STATUS=MR","SCALING_FORMAT=MLN","Sort=A","Dates=H","DateFormat=P","Fill=—","Direction=H","UseDPDF=Y")</f>
        <v>0</v>
      </c>
      <c r="T34" s="13" cm="1">
        <f t="array" ref="T34">_xll.BDH("NUE US Equity","IS_DISCONTINUED_OPERATIONS","FQ2 2023","FQ2 2023","Currency=USD","Period=FQ","BEST_FPERIOD_OVERRIDE=FQ","FILING_STATUS=MR","SCALING_FORMAT=MLN","Sort=A","Dates=H","DateFormat=P","Fill=—","Direction=H","UseDPDF=Y")</f>
        <v>0</v>
      </c>
      <c r="U34" s="13" cm="1">
        <f t="array" ref="U34">_xll.BDH("NUE US Equity","IS_DISCONTINUED_OPERATIONS","FQ3 2023","FQ3 2023","Currency=USD","Period=FQ","BEST_FPERIOD_OVERRIDE=FQ","FILING_STATUS=MR","SCALING_FORMAT=MLN","Sort=A","Dates=H","DateFormat=P","Fill=—","Direction=H","UseDPDF=Y")</f>
        <v>0</v>
      </c>
      <c r="V34" s="13" cm="1">
        <f t="array" ref="V34">_xll.BDH("NUE US Equity","IS_DISCONTINUED_OPERATIONS","FQ4 2023","FQ4 2023","Currency=USD","Period=FQ","BEST_FPERIOD_OVERRIDE=FQ","FILING_STATUS=MR","SCALING_FORMAT=MLN","Sort=A","Dates=H","DateFormat=P","Fill=—","Direction=H","UseDPDF=Y")</f>
        <v>0</v>
      </c>
      <c r="W34" s="13" cm="1">
        <f t="array" ref="W34">_xll.BDH("NUE US Equity","IS_DISCONTINUED_OPERATIONS","FQ1 2024","FQ1 2024","Currency=USD","Period=FQ","BEST_FPERIOD_OVERRIDE=FQ","FILING_STATUS=MR","SCALING_FORMAT=MLN","Sort=A","Dates=H","DateFormat=P","Fill=—","Direction=H","UseDPDF=Y")</f>
        <v>0</v>
      </c>
      <c r="X34" s="13" cm="1">
        <f t="array" ref="X34">_xll.BDH("NUE US Equity","IS_DISCONTINUED_OPERATIONS","FQ2 2024","FQ2 2024","Currency=USD","Period=FQ","BEST_FPERIOD_OVERRIDE=FQ","FILING_STATUS=MR","SCALING_FORMAT=MLN","Sort=A","Dates=H","DateFormat=P","Fill=—","Direction=H","UseDPDF=Y")</f>
        <v>0</v>
      </c>
      <c r="Y34" s="13" cm="1">
        <f t="array" ref="Y34">_xll.BDH("NUE US Equity","IS_DISCONTINUED_OPERATIONS","FQ3 2024","FQ3 2024","Currency=USD","Period=FQ","BEST_FPERIOD_OVERRIDE=FQ","FILING_STATUS=MR","SCALING_FORMAT=MLN","Sort=A","Dates=H","DateFormat=P","Fill=—","Direction=H","UseDPDF=Y")</f>
        <v>0</v>
      </c>
      <c r="Z34" s="13" cm="1">
        <f t="array" ref="Z34">_xll.BDH("NUE US Equity","IS_DISCONTINUED_OPERATIONS","FQ4 2024","FQ4 2024","Currency=USD","Period=FQ","BEST_FPERIOD_OVERRIDE=FQ","FILING_STATUS=MR","SCALING_FORMAT=MLN","Sort=A","Dates=H","DateFormat=P","Fill=—","Direction=H","UseDPDF=Y")</f>
        <v>0</v>
      </c>
      <c r="AA34" s="13" cm="1">
        <f t="array" ref="AA34">_xll.BDH("NUE US Equity","IS_DISCONTINUED_OPERATIONS","FQ1 2025","FQ1 2025","Currency=USD","Period=FQ","BEST_FPERIOD_OVERRIDE=FQ","FILING_STATUS=MR","SCALING_FORMAT=MLN","Sort=A","Dates=H","DateFormat=P","Fill=—","Direction=H","UseDPDF=Y")</f>
        <v>0</v>
      </c>
      <c r="AB34" s="13" cm="1">
        <f t="array" ref="AB34">_xll.BDH("NUE US Equity","IS_DISCONTINUED_OPERATIONS","FQ2 2025","FQ2 2025","Currency=USD","Period=FQ","BEST_FPERIOD_OVERRIDE=FQ","FILING_STATUS=MR","SCALING_FORMAT=MLN","Sort=A","Dates=H","DateFormat=P","Fill=—","Direction=H","UseDPDF=Y")</f>
        <v>0</v>
      </c>
      <c r="AC34" s="13" cm="1">
        <f t="array" ref="AC34">_xll.BDH("NUE US Equity","IS_DISCONTINUED_OPERATIONS","FQ3 2025","FQ3 2025","Currency=USD","Period=FQ","BEST_FPERIOD_OVERRIDE=FQ","FILING_STATUS=MR","SCALING_FORMAT=MLN","Sort=A","Dates=H","DateFormat=P","Fill=—","Direction=H","UseDPDF=Y")</f>
        <v>0</v>
      </c>
      <c r="AD34" s="13" cm="1">
        <f t="array" ref="AD34">_xll.BDH("NUE US Equity","IS_DISCONTINUED_OPERATIONS","FQ4 2025","FQ4 2025","Currency=USD","Period=FQ","BEST_FPERIOD_OVERRIDE=FQ","FILING_STATUS=MR","SCALING_FORMAT=MLN","Sort=A","Dates=H","DateFormat=P","Fill=—","Direction=H","UseDPDF=Y")</f>
        <v>0</v>
      </c>
      <c r="AE34" s="13"/>
      <c r="AF34" s="13"/>
    </row>
    <row r="35" spans="1:32" x14ac:dyDescent="0.25">
      <c r="A35" s="10" t="s">
        <v>122</v>
      </c>
      <c r="B35" s="10" t="s">
        <v>123</v>
      </c>
      <c r="C35" s="13" cm="1">
        <f t="array" ref="C35">_xll.BDH("NUE US Equity","EXTRAORD_ITEMS_ACCOUNTING_CHANGS","FQ1 2019","FQ1 2019","Currency=USD","Period=FQ","BEST_FPERIOD_OVERRIDE=FQ","FILING_STATUS=MR","SCALING_FORMAT=MLN","Sort=A","Dates=H","DateFormat=P","Fill=—","Direction=H","UseDPDF=Y")</f>
        <v>0</v>
      </c>
      <c r="D35" s="13" cm="1">
        <f t="array" ref="D35">_xll.BDH("NUE US Equity","EXTRAORD_ITEMS_ACCOUNTING_CHANGS","FQ2 2019","FQ2 2019","Currency=USD","Period=FQ","BEST_FPERIOD_OVERRIDE=FQ","FILING_STATUS=MR","SCALING_FORMAT=MLN","Sort=A","Dates=H","DateFormat=P","Fill=—","Direction=H","UseDPDF=Y")</f>
        <v>0</v>
      </c>
      <c r="E35" s="13" cm="1">
        <f t="array" ref="E35">_xll.BDH("NUE US Equity","EXTRAORD_ITEMS_ACCOUNTING_CHANGS","FQ3 2019","FQ3 2019","Currency=USD","Period=FQ","BEST_FPERIOD_OVERRIDE=FQ","FILING_STATUS=MR","SCALING_FORMAT=MLN","Sort=A","Dates=H","DateFormat=P","Fill=—","Direction=H","UseDPDF=Y")</f>
        <v>0</v>
      </c>
      <c r="F35" s="13" cm="1">
        <f t="array" ref="F35">_xll.BDH("NUE US Equity","EXTRAORD_ITEMS_ACCOUNTING_CHANGS","FQ4 2019","FQ4 2019","Currency=USD","Period=FQ","BEST_FPERIOD_OVERRIDE=FQ","FILING_STATUS=MR","SCALING_FORMAT=MLN","Sort=A","Dates=H","DateFormat=P","Fill=—","Direction=H","UseDPDF=Y")</f>
        <v>0</v>
      </c>
      <c r="G35" s="13" cm="1">
        <f t="array" ref="G35">_xll.BDH("NUE US Equity","EXTRAORD_ITEMS_ACCOUNTING_CHANGS","FQ1 2020","FQ1 2020","Currency=USD","Period=FQ","BEST_FPERIOD_OVERRIDE=FQ","FILING_STATUS=MR","SCALING_FORMAT=MLN","Sort=A","Dates=H","DateFormat=P","Fill=—","Direction=H","UseDPDF=Y")</f>
        <v>0</v>
      </c>
      <c r="H35" s="13" cm="1">
        <f t="array" ref="H35">_xll.BDH("NUE US Equity","EXTRAORD_ITEMS_ACCOUNTING_CHANGS","FQ2 2020","FQ2 2020","Currency=USD","Period=FQ","BEST_FPERIOD_OVERRIDE=FQ","FILING_STATUS=MR","SCALING_FORMAT=MLN","Sort=A","Dates=H","DateFormat=P","Fill=—","Direction=H","UseDPDF=Y")</f>
        <v>0</v>
      </c>
      <c r="I35" s="13" cm="1">
        <f t="array" ref="I35">_xll.BDH("NUE US Equity","EXTRAORD_ITEMS_ACCOUNTING_CHANGS","FQ3 2020","FQ3 2020","Currency=USD","Period=FQ","BEST_FPERIOD_OVERRIDE=FQ","FILING_STATUS=MR","SCALING_FORMAT=MLN","Sort=A","Dates=H","DateFormat=P","Fill=—","Direction=H","UseDPDF=Y")</f>
        <v>0</v>
      </c>
      <c r="J35" s="13" cm="1">
        <f t="array" ref="J35">_xll.BDH("NUE US Equity","EXTRAORD_ITEMS_ACCOUNTING_CHANGS","FQ4 2020","FQ4 2020","Currency=USD","Period=FQ","BEST_FPERIOD_OVERRIDE=FQ","FILING_STATUS=MR","SCALING_FORMAT=MLN","Sort=A","Dates=H","DateFormat=P","Fill=—","Direction=H","UseDPDF=Y")</f>
        <v>0</v>
      </c>
      <c r="K35" s="13" cm="1">
        <f t="array" ref="K35">_xll.BDH("NUE US Equity","EXTRAORD_ITEMS_ACCOUNTING_CHANGS","FQ1 2021","FQ1 2021","Currency=USD","Period=FQ","BEST_FPERIOD_OVERRIDE=FQ","FILING_STATUS=MR","SCALING_FORMAT=MLN","Sort=A","Dates=H","DateFormat=P","Fill=—","Direction=H","UseDPDF=Y")</f>
        <v>0</v>
      </c>
      <c r="L35" s="13" cm="1">
        <f t="array" ref="L35">_xll.BDH("NUE US Equity","EXTRAORD_ITEMS_ACCOUNTING_CHANGS","FQ2 2021","FQ2 2021","Currency=USD","Period=FQ","BEST_FPERIOD_OVERRIDE=FQ","FILING_STATUS=MR","SCALING_FORMAT=MLN","Sort=A","Dates=H","DateFormat=P","Fill=—","Direction=H","UseDPDF=Y")</f>
        <v>0</v>
      </c>
      <c r="M35" s="13" cm="1">
        <f t="array" ref="M35">_xll.BDH("NUE US Equity","EXTRAORD_ITEMS_ACCOUNTING_CHANGS","FQ3 2021","FQ3 2021","Currency=USD","Period=FQ","BEST_FPERIOD_OVERRIDE=FQ","FILING_STATUS=MR","SCALING_FORMAT=MLN","Sort=A","Dates=H","DateFormat=P","Fill=—","Direction=H","UseDPDF=Y")</f>
        <v>0</v>
      </c>
      <c r="N35" s="13" cm="1">
        <f t="array" ref="N35">_xll.BDH("NUE US Equity","EXTRAORD_ITEMS_ACCOUNTING_CHANGS","FQ4 2021","FQ4 2021","Currency=USD","Period=FQ","BEST_FPERIOD_OVERRIDE=FQ","FILING_STATUS=MR","SCALING_FORMAT=MLN","Sort=A","Dates=H","DateFormat=P","Fill=—","Direction=H","UseDPDF=Y")</f>
        <v>0</v>
      </c>
      <c r="O35" s="13" cm="1">
        <f t="array" ref="O35">_xll.BDH("NUE US Equity","EXTRAORD_ITEMS_ACCOUNTING_CHANGS","FQ1 2022","FQ1 2022","Currency=USD","Period=FQ","BEST_FPERIOD_OVERRIDE=FQ","FILING_STATUS=MR","SCALING_FORMAT=MLN","Sort=A","Dates=H","DateFormat=P","Fill=—","Direction=H","UseDPDF=Y")</f>
        <v>0</v>
      </c>
      <c r="P35" s="13" cm="1">
        <f t="array" ref="P35">_xll.BDH("NUE US Equity","EXTRAORD_ITEMS_ACCOUNTING_CHANGS","FQ2 2022","FQ2 2022","Currency=USD","Period=FQ","BEST_FPERIOD_OVERRIDE=FQ","FILING_STATUS=MR","SCALING_FORMAT=MLN","Sort=A","Dates=H","DateFormat=P","Fill=—","Direction=H","UseDPDF=Y")</f>
        <v>0</v>
      </c>
      <c r="Q35" s="13" cm="1">
        <f t="array" ref="Q35">_xll.BDH("NUE US Equity","EXTRAORD_ITEMS_ACCOUNTING_CHANGS","FQ3 2022","FQ3 2022","Currency=USD","Period=FQ","BEST_FPERIOD_OVERRIDE=FQ","FILING_STATUS=MR","SCALING_FORMAT=MLN","Sort=A","Dates=H","DateFormat=P","Fill=—","Direction=H","UseDPDF=Y")</f>
        <v>0</v>
      </c>
      <c r="R35" s="13" cm="1">
        <f t="array" ref="R35">_xll.BDH("NUE US Equity","EXTRAORD_ITEMS_ACCOUNTING_CHANGS","FQ4 2022","FQ4 2022","Currency=USD","Period=FQ","BEST_FPERIOD_OVERRIDE=FQ","FILING_STATUS=MR","SCALING_FORMAT=MLN","Sort=A","Dates=H","DateFormat=P","Fill=—","Direction=H","UseDPDF=Y")</f>
        <v>0</v>
      </c>
      <c r="S35" s="13" cm="1">
        <f t="array" ref="S35">_xll.BDH("NUE US Equity","EXTRAORD_ITEMS_ACCOUNTING_CHANGS","FQ1 2023","FQ1 2023","Currency=USD","Period=FQ","BEST_FPERIOD_OVERRIDE=FQ","FILING_STATUS=MR","SCALING_FORMAT=MLN","Sort=A","Dates=H","DateFormat=P","Fill=—","Direction=H","UseDPDF=Y")</f>
        <v>0</v>
      </c>
      <c r="T35" s="13" cm="1">
        <f t="array" ref="T35">_xll.BDH("NUE US Equity","EXTRAORD_ITEMS_ACCOUNTING_CHANGS","FQ2 2023","FQ2 2023","Currency=USD","Period=FQ","BEST_FPERIOD_OVERRIDE=FQ","FILING_STATUS=MR","SCALING_FORMAT=MLN","Sort=A","Dates=H","DateFormat=P","Fill=—","Direction=H","UseDPDF=Y")</f>
        <v>0</v>
      </c>
      <c r="U35" s="13" cm="1">
        <f t="array" ref="U35">_xll.BDH("NUE US Equity","EXTRAORD_ITEMS_ACCOUNTING_CHANGS","FQ3 2023","FQ3 2023","Currency=USD","Period=FQ","BEST_FPERIOD_OVERRIDE=FQ","FILING_STATUS=MR","SCALING_FORMAT=MLN","Sort=A","Dates=H","DateFormat=P","Fill=—","Direction=H","UseDPDF=Y")</f>
        <v>0</v>
      </c>
      <c r="V35" s="13" cm="1">
        <f t="array" ref="V35">_xll.BDH("NUE US Equity","EXTRAORD_ITEMS_ACCOUNTING_CHANGS","FQ4 2023","FQ4 2023","Currency=USD","Period=FQ","BEST_FPERIOD_OVERRIDE=FQ","FILING_STATUS=MR","SCALING_FORMAT=MLN","Sort=A","Dates=H","DateFormat=P","Fill=—","Direction=H","UseDPDF=Y")</f>
        <v>0</v>
      </c>
      <c r="W35" s="13" cm="1">
        <f t="array" ref="W35">_xll.BDH("NUE US Equity","EXTRAORD_ITEMS_ACCOUNTING_CHANGS","FQ1 2024","FQ1 2024","Currency=USD","Period=FQ","BEST_FPERIOD_OVERRIDE=FQ","FILING_STATUS=MR","SCALING_FORMAT=MLN","Sort=A","Dates=H","DateFormat=P","Fill=—","Direction=H","UseDPDF=Y")</f>
        <v>0</v>
      </c>
      <c r="X35" s="13" cm="1">
        <f t="array" ref="X35">_xll.BDH("NUE US Equity","EXTRAORD_ITEMS_ACCOUNTING_CHANGS","FQ2 2024","FQ2 2024","Currency=USD","Period=FQ","BEST_FPERIOD_OVERRIDE=FQ","FILING_STATUS=MR","SCALING_FORMAT=MLN","Sort=A","Dates=H","DateFormat=P","Fill=—","Direction=H","UseDPDF=Y")</f>
        <v>0</v>
      </c>
      <c r="Y35" s="13" cm="1">
        <f t="array" ref="Y35">_xll.BDH("NUE US Equity","EXTRAORD_ITEMS_ACCOUNTING_CHANGS","FQ3 2024","FQ3 2024","Currency=USD","Period=FQ","BEST_FPERIOD_OVERRIDE=FQ","FILING_STATUS=MR","SCALING_FORMAT=MLN","Sort=A","Dates=H","DateFormat=P","Fill=—","Direction=H","UseDPDF=Y")</f>
        <v>0</v>
      </c>
      <c r="Z35" s="13" cm="1">
        <f t="array" ref="Z35">_xll.BDH("NUE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A35" s="13" cm="1">
        <f t="array" ref="AA35">_xll.BDH("NUE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B35" s="13" cm="1">
        <f t="array" ref="AB35">_xll.BDH("NUE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C35" s="13" cm="1">
        <f t="array" ref="AC35">_xll.BDH("NUE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D35" s="13" cm="1">
        <f t="array" ref="AD35">_xll.BDH("NUE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E35" s="13"/>
      <c r="AF35" s="13"/>
    </row>
    <row r="36" spans="1:32" x14ac:dyDescent="0.25">
      <c r="A36" s="6" t="s">
        <v>124</v>
      </c>
      <c r="B36" s="6" t="s">
        <v>125</v>
      </c>
      <c r="C36" s="16" cm="1">
        <f t="array" ref="C36">_xll.BDH("NUE US Equity","NI_INCLUDING_MINORITY_INT_RATIO","FQ1 2019","FQ1 2019","Currency=USD","Period=FQ","BEST_FPERIOD_OVERRIDE=FQ","FILING_STATUS=MR","SCALING_FORMAT=MLN","FA_ADJUSTED=GAAP","Sort=A","Dates=H","DateFormat=P","Fill=—","Direction=H","UseDPDF=Y")</f>
        <v>530.79300000000001</v>
      </c>
      <c r="D36" s="16" cm="1">
        <f t="array" ref="D36">_xll.BDH("NUE US Equity","NI_INCLUDING_MINORITY_INT_RATIO","FQ2 2019","FQ2 2019","Currency=USD","Period=FQ","BEST_FPERIOD_OVERRIDE=FQ","FILING_STATUS=MR","SCALING_FORMAT=MLN","FA_ADJUSTED=GAAP","Sort=A","Dates=H","DateFormat=P","Fill=—","Direction=H","UseDPDF=Y")</f>
        <v>412.27699999999999</v>
      </c>
      <c r="E36" s="16" cm="1">
        <f t="array" ref="E36">_xll.BDH("NUE US Equity","NI_INCLUDING_MINORITY_INT_RATIO","FQ3 2019","FQ3 2019","Currency=USD","Period=FQ","BEST_FPERIOD_OVERRIDE=FQ","FILING_STATUS=MR","SCALING_FORMAT=MLN","FA_ADJUSTED=GAAP","Sort=A","Dates=H","DateFormat=P","Fill=—","Direction=H","UseDPDF=Y")</f>
        <v>293.58699999999999</v>
      </c>
      <c r="F36" s="16" cm="1">
        <f t="array" ref="F36">_xll.BDH("NUE US Equity","NI_INCLUDING_MINORITY_INT_RATIO","FQ4 2019","FQ4 2019","Currency=USD","Period=FQ","BEST_FPERIOD_OVERRIDE=FQ","FILING_STATUS=MR","SCALING_FORMAT=MLN","FA_ADJUSTED=GAAP","Sort=A","Dates=H","DateFormat=P","Fill=—","Direction=H","UseDPDF=Y")</f>
        <v>134.25299999999999</v>
      </c>
      <c r="G36" s="16" cm="1">
        <f t="array" ref="G36">_xll.BDH("NUE US Equity","NI_INCLUDING_MINORITY_INT_RATIO","FQ1 2020","FQ1 2020","Currency=USD","Period=FQ","BEST_FPERIOD_OVERRIDE=FQ","FILING_STATUS=MR","SCALING_FORMAT=MLN","FA_ADJUSTED=GAAP","Sort=A","Dates=H","DateFormat=P","Fill=—","Direction=H","UseDPDF=Y")</f>
        <v>54.378999999999998</v>
      </c>
      <c r="H36" s="16" cm="1">
        <f t="array" ref="H36">_xll.BDH("NUE US Equity","NI_INCLUDING_MINORITY_INT_RATIO","FQ2 2020","FQ2 2020","Currency=USD","Period=FQ","BEST_FPERIOD_OVERRIDE=FQ","FILING_STATUS=MR","SCALING_FORMAT=MLN","FA_ADJUSTED=GAAP","Sort=A","Dates=H","DateFormat=P","Fill=—","Direction=H","UseDPDF=Y")</f>
        <v>133.15299999999999</v>
      </c>
      <c r="I36" s="16" cm="1">
        <f t="array" ref="I36">_xll.BDH("NUE US Equity","NI_INCLUDING_MINORITY_INT_RATIO","FQ3 2020","FQ3 2020","Currency=USD","Period=FQ","BEST_FPERIOD_OVERRIDE=FQ","FILING_STATUS=MR","SCALING_FORMAT=MLN","FA_ADJUSTED=GAAP","Sort=A","Dates=H","DateFormat=P","Fill=—","Direction=H","UseDPDF=Y")</f>
        <v>222.63</v>
      </c>
      <c r="J36" s="16" cm="1">
        <f t="array" ref="J36">_xll.BDH("NUE US Equity","NI_INCLUDING_MINORITY_INT_RATIO","FQ4 2020","FQ4 2020","Currency=USD","Period=FQ","BEST_FPERIOD_OVERRIDE=FQ","FILING_STATUS=MR","SCALING_FORMAT=MLN","FA_ADJUSTED=GAAP","Sort=A","Dates=H","DateFormat=P","Fill=—","Direction=H","UseDPDF=Y")</f>
        <v>425.86599999999999</v>
      </c>
      <c r="K36" s="16" cm="1">
        <f t="array" ref="K36">_xll.BDH("NUE US Equity","NI_INCLUDING_MINORITY_INT_RATIO","FQ1 2021","FQ1 2021","Currency=USD","Period=FQ","BEST_FPERIOD_OVERRIDE=FQ","FILING_STATUS=MR","SCALING_FORMAT=MLN","FA_ADJUSTED=GAAP","Sort=A","Dates=H","DateFormat=P","Fill=—","Direction=H","UseDPDF=Y")</f>
        <v>987.51400000000001</v>
      </c>
      <c r="L36" s="16" cm="1">
        <f t="array" ref="L36">_xll.BDH("NUE US Equity","NI_INCLUDING_MINORITY_INT_RATIO","FQ2 2021","FQ2 2021","Currency=USD","Period=FQ","BEST_FPERIOD_OVERRIDE=FQ","FILING_STATUS=MR","SCALING_FORMAT=MLN","FA_ADJUSTED=GAAP","Sort=A","Dates=H","DateFormat=P","Fill=—","Direction=H","UseDPDF=Y")</f>
        <v>1571.4590000000001</v>
      </c>
      <c r="M36" s="16" cm="1">
        <f t="array" ref="M36">_xll.BDH("NUE US Equity","NI_INCLUDING_MINORITY_INT_RATIO","FQ3 2021","FQ3 2021","Currency=USD","Period=FQ","BEST_FPERIOD_OVERRIDE=FQ","FILING_STATUS=MR","SCALING_FORMAT=MLN","FA_ADJUSTED=GAAP","Sort=A","Dates=H","DateFormat=P","Fill=—","Direction=H","UseDPDF=Y")</f>
        <v>2223.2649999999999</v>
      </c>
      <c r="N36" s="16" cm="1">
        <f t="array" ref="N36">_xll.BDH("NUE US Equity","NI_INCLUDING_MINORITY_INT_RATIO","FQ4 2021","FQ4 2021","Currency=USD","Period=FQ","BEST_FPERIOD_OVERRIDE=FQ","FILING_STATUS=MR","SCALING_FORMAT=MLN","FA_ADJUSTED=GAAP","Sort=A","Dates=H","DateFormat=P","Fill=—","Direction=H","UseDPDF=Y")</f>
        <v>2340.1320000000001</v>
      </c>
      <c r="O36" s="16" cm="1">
        <f t="array" ref="O36">_xll.BDH("NUE US Equity","NI_INCLUDING_MINORITY_INT_RATIO","FQ1 2022","FQ1 2022","Currency=USD","Period=FQ","BEST_FPERIOD_OVERRIDE=FQ","FILING_STATUS=MR","SCALING_FORMAT=MLN","FA_ADJUSTED=GAAP","Sort=A","Dates=H","DateFormat=P","Fill=—","Direction=H","UseDPDF=Y")</f>
        <v>2227.1149999999998</v>
      </c>
      <c r="P36" s="16" cm="1">
        <f t="array" ref="P36">_xll.BDH("NUE US Equity","NI_INCLUDING_MINORITY_INT_RATIO","FQ2 2022","FQ2 2022","Currency=USD","Period=FQ","BEST_FPERIOD_OVERRIDE=FQ","FILING_STATUS=MR","SCALING_FORMAT=MLN","FA_ADJUSTED=GAAP","Sort=A","Dates=H","DateFormat=P","Fill=—","Direction=H","UseDPDF=Y")</f>
        <v>2727.2370000000001</v>
      </c>
      <c r="Q36" s="16" cm="1">
        <f t="array" ref="Q36">_xll.BDH("NUE US Equity","NI_INCLUDING_MINORITY_INT_RATIO","FQ3 2022","FQ3 2022","Currency=USD","Period=FQ","BEST_FPERIOD_OVERRIDE=FQ","FILING_STATUS=MR","SCALING_FORMAT=MLN","FA_ADJUSTED=GAAP","Sort=A","Dates=H","DateFormat=P","Fill=—","Direction=H","UseDPDF=Y")</f>
        <v>1799.0429999999999</v>
      </c>
      <c r="R36" s="16" cm="1">
        <f t="array" ref="R36">_xll.BDH("NUE US Equity","NI_INCLUDING_MINORITY_INT_RATIO","FQ4 2022","FQ4 2022","Currency=USD","Period=FQ","BEST_FPERIOD_OVERRIDE=FQ","FILING_STATUS=MR","SCALING_FORMAT=MLN","FA_ADJUSTED=GAAP","Sort=A","Dates=H","DateFormat=P","Fill=—","Direction=H","UseDPDF=Y")</f>
        <v>1326.2449999999999</v>
      </c>
      <c r="S36" s="16" cm="1">
        <f t="array" ref="S36">_xll.BDH("NUE US Equity","NI_INCLUDING_MINORITY_INT_RATIO","FQ1 2023","FQ1 2023","Currency=USD","Period=FQ","BEST_FPERIOD_OVERRIDE=FQ","FILING_STATUS=MR","SCALING_FORMAT=MLN","FA_ADJUSTED=GAAP","Sort=A","Dates=H","DateFormat=P","Fill=—","Direction=H","UseDPDF=Y")</f>
        <v>1231.6289999999999</v>
      </c>
      <c r="T36" s="16" cm="1">
        <f t="array" ref="T36">_xll.BDH("NUE US Equity","NI_INCLUDING_MINORITY_INT_RATIO","FQ2 2023","FQ2 2023","Currency=USD","Period=FQ","BEST_FPERIOD_OVERRIDE=FQ","FILING_STATUS=MR","SCALING_FORMAT=MLN","FA_ADJUSTED=GAAP","Sort=A","Dates=H","DateFormat=P","Fill=—","Direction=H","UseDPDF=Y")</f>
        <v>1587.075</v>
      </c>
      <c r="U36" s="16" cm="1">
        <f t="array" ref="U36">_xll.BDH("NUE US Equity","NI_INCLUDING_MINORITY_INT_RATIO","FQ3 2023","FQ3 2023","Currency=USD","Period=FQ","BEST_FPERIOD_OVERRIDE=FQ","FILING_STATUS=MR","SCALING_FORMAT=MLN","FA_ADJUSTED=GAAP","Sort=A","Dates=H","DateFormat=P","Fill=—","Direction=H","UseDPDF=Y")</f>
        <v>1221.2550000000001</v>
      </c>
      <c r="V36" s="16" cm="1">
        <f t="array" ref="V36">_xll.BDH("NUE US Equity","NI_INCLUDING_MINORITY_INT_RATIO","FQ4 2023","FQ4 2023","Currency=USD","Period=FQ","BEST_FPERIOD_OVERRIDE=FQ","FILING_STATUS=MR","SCALING_FORMAT=MLN","FA_ADJUSTED=GAAP","Sort=A","Dates=H","DateFormat=P","Fill=—","Direction=H","UseDPDF=Y")</f>
        <v>872.83199999999999</v>
      </c>
      <c r="W36" s="16" cm="1">
        <f t="array" ref="W36">_xll.BDH("NUE US Equity","NI_INCLUDING_MINORITY_INT_RATIO","FQ1 2024","FQ1 2024","Currency=USD","Period=FQ","BEST_FPERIOD_OVERRIDE=FQ","FILING_STATUS=MR","SCALING_FORMAT=MLN","FA_ADJUSTED=GAAP","Sort=A","Dates=H","DateFormat=P","Fill=—","Direction=H","UseDPDF=Y")</f>
        <v>958.96199999999999</v>
      </c>
      <c r="X36" s="16" cm="1">
        <f t="array" ref="X36">_xll.BDH("NUE US Equity","NI_INCLUDING_MINORITY_INT_RATIO","FQ2 2024","FQ2 2024","Currency=USD","Period=FQ","BEST_FPERIOD_OVERRIDE=FQ","FILING_STATUS=MR","SCALING_FORMAT=MLN","FA_ADJUSTED=GAAP","Sort=A","Dates=H","DateFormat=P","Fill=—","Direction=H","UseDPDF=Y")</f>
        <v>712.14300000000003</v>
      </c>
      <c r="Y36" s="16" cm="1">
        <f t="array" ref="Y36">_xll.BDH("NUE US Equity","NI_INCLUDING_MINORITY_INT_RATIO","FQ3 2024","FQ3 2024","Currency=USD","Period=FQ","BEST_FPERIOD_OVERRIDE=FQ","FILING_STATUS=MR","SCALING_FORMAT=MLN","FA_ADJUSTED=GAAP","Sort=A","Dates=H","DateFormat=P","Fill=—","Direction=H","UseDPDF=Y")</f>
        <v>302.82499999999999</v>
      </c>
      <c r="Z36" s="16" cm="1">
        <f t="array" ref="Z36">_xll.BDH("NUE US Equity","NI_INCLUDING_MINORITY_INT_RATIO","FQ4 2024","FQ4 2024","Currency=USD","Period=FQ","BEST_FPERIOD_OVERRIDE=FQ","FILING_STATUS=MR","SCALING_FORMAT=MLN","FA_ADJUSTED=GAAP","Sort=A","Dates=H","DateFormat=P","Fill=—","Direction=H","UseDPDF=Y")</f>
        <v>345</v>
      </c>
      <c r="AA36" s="16" cm="1">
        <f t="array" ref="AA36">_xll.BDH("NUE US Equity","NI_INCLUDING_MINORITY_INT_RATIO","FQ1 2025","FQ1 2025","Currency=USD","Period=FQ","BEST_FPERIOD_OVERRIDE=FQ","FILING_STATUS=MR","SCALING_FORMAT=MLN","FA_ADJUSTED=GAAP","Sort=A","Dates=H","DateFormat=P","Fill=—","Direction=H","UseDPDF=Y")</f>
        <v>226</v>
      </c>
      <c r="AB36" s="16" cm="1">
        <f t="array" ref="AB36">_xll.BDH("NUE US Equity","NI_INCLUDING_MINORITY_INT_RATIO","FQ2 2025","FQ2 2025","Currency=USD","Period=FQ","BEST_FPERIOD_OVERRIDE=FQ","FILING_STATUS=MR","SCALING_FORMAT=MLN","FA_ADJUSTED=GAAP","Sort=A","Dates=H","DateFormat=P","Fill=—","Direction=H","UseDPDF=Y")</f>
        <v>706</v>
      </c>
      <c r="AC36" s="16" cm="1">
        <f t="array" ref="AC36">_xll.BDH("NUE US Equity","NI_INCLUDING_MINORITY_INT_RATIO","FQ3 2025","FQ3 2025","Currency=USD","Period=FQ","BEST_FPERIOD_OVERRIDE=FQ","FILING_STATUS=MR","SCALING_FORMAT=MLN","FA_ADJUSTED=GAAP","Sort=A","Dates=H","DateFormat=P","Fill=—","Direction=H","UseDPDF=Y")</f>
        <v>683</v>
      </c>
      <c r="AD36" s="16" cm="1">
        <f t="array" ref="AD36">_xll.BDH("NUE US Equity","NI_INCLUDING_MINORITY_INT_RATIO","FQ4 2025","FQ4 2025","Currency=USD","Period=FQ","BEST_FPERIOD_OVERRIDE=FQ","FILING_STATUS=MR","SCALING_FORMAT=MLN","FA_ADJUSTED=GAAP","Sort=A","Dates=H","DateFormat=P","Fill=—","Direction=H","UseDPDF=Y")</f>
        <v>423</v>
      </c>
      <c r="AE36" s="16"/>
      <c r="AF36" s="16"/>
    </row>
    <row r="37" spans="1:32" x14ac:dyDescent="0.25">
      <c r="A37" s="10" t="s">
        <v>126</v>
      </c>
      <c r="B37" s="10" t="s">
        <v>127</v>
      </c>
      <c r="C37" s="13" cm="1">
        <f t="array" ref="C37">_xll.BDH("NUE US Equity","MIN_NONCONTROL_INTEREST_CREDITS","FQ1 2019","FQ1 2019","Currency=USD","Period=FQ","BEST_FPERIOD_OVERRIDE=FQ","FILING_STATUS=MR","SCALING_FORMAT=MLN","FA_ADJUSTED=GAAP","Sort=A","Dates=H","DateFormat=P","Fill=—","Direction=H","UseDPDF=Y")</f>
        <v>28.986999999999998</v>
      </c>
      <c r="D37" s="13" cm="1">
        <f t="array" ref="D37">_xll.BDH("NUE US Equity","MIN_NONCONTROL_INTEREST_CREDITS","FQ2 2019","FQ2 2019","Currency=USD","Period=FQ","BEST_FPERIOD_OVERRIDE=FQ","FILING_STATUS=MR","SCALING_FORMAT=MLN","FA_ADJUSTED=GAAP","Sort=A","Dates=H","DateFormat=P","Fill=—","Direction=H","UseDPDF=Y")</f>
        <v>25.794</v>
      </c>
      <c r="E37" s="13" cm="1">
        <f t="array" ref="E37">_xll.BDH("NUE US Equity","MIN_NONCONTROL_INTEREST_CREDITS","FQ3 2019","FQ3 2019","Currency=USD","Period=FQ","BEST_FPERIOD_OVERRIDE=FQ","FILING_STATUS=MR","SCALING_FORMAT=MLN","FA_ADJUSTED=GAAP","Sort=A","Dates=H","DateFormat=P","Fill=—","Direction=H","UseDPDF=Y")</f>
        <v>18.556000000000001</v>
      </c>
      <c r="F37" s="13" cm="1">
        <f t="array" ref="F37">_xll.BDH("NUE US Equity","MIN_NONCONTROL_INTEREST_CREDITS","FQ4 2019","FQ4 2019","Currency=USD","Period=FQ","BEST_FPERIOD_OVERRIDE=FQ","FILING_STATUS=MR","SCALING_FORMAT=MLN","FA_ADJUSTED=GAAP","Sort=A","Dates=H","DateFormat=P","Fill=—","Direction=H","UseDPDF=Y")</f>
        <v>26.43</v>
      </c>
      <c r="G37" s="13" cm="1">
        <f t="array" ref="G37">_xll.BDH("NUE US Equity","MIN_NONCONTROL_INTEREST_CREDITS","FQ1 2020","FQ1 2020","Currency=USD","Period=FQ","BEST_FPERIOD_OVERRIDE=FQ","FILING_STATUS=MR","SCALING_FORMAT=MLN","FA_ADJUSTED=GAAP","Sort=A","Dates=H","DateFormat=P","Fill=—","Direction=H","UseDPDF=Y")</f>
        <v>34.048000000000002</v>
      </c>
      <c r="H37" s="13" cm="1">
        <f t="array" ref="H37">_xll.BDH("NUE US Equity","MIN_NONCONTROL_INTEREST_CREDITS","FQ2 2020","FQ2 2020","Currency=USD","Period=FQ","BEST_FPERIOD_OVERRIDE=FQ","FILING_STATUS=MR","SCALING_FORMAT=MLN","FA_ADJUSTED=GAAP","Sort=A","Dates=H","DateFormat=P","Fill=—","Direction=H","UseDPDF=Y")</f>
        <v>24.271999999999998</v>
      </c>
      <c r="I37" s="13" cm="1">
        <f t="array" ref="I37">_xll.BDH("NUE US Equity","MIN_NONCONTROL_INTEREST_CREDITS","FQ3 2020","FQ3 2020","Currency=USD","Period=FQ","BEST_FPERIOD_OVERRIDE=FQ","FILING_STATUS=MR","SCALING_FORMAT=MLN","FA_ADJUSTED=GAAP","Sort=A","Dates=H","DateFormat=P","Fill=—","Direction=H","UseDPDF=Y")</f>
        <v>29.215</v>
      </c>
      <c r="J37" s="13" cm="1">
        <f t="array" ref="J37">_xll.BDH("NUE US Equity","MIN_NONCONTROL_INTEREST_CREDITS","FQ4 2020","FQ4 2020","Currency=USD","Period=FQ","BEST_FPERIOD_OVERRIDE=FQ","FILING_STATUS=MR","SCALING_FORMAT=MLN","FA_ADJUSTED=GAAP","Sort=A","Dates=H","DateFormat=P","Fill=—","Direction=H","UseDPDF=Y")</f>
        <v>27.023</v>
      </c>
      <c r="K37" s="13" cm="1">
        <f t="array" ref="K37">_xll.BDH("NUE US Equity","MIN_NONCONTROL_INTEREST_CREDITS","FQ1 2021","FQ1 2021","Currency=USD","Period=FQ","BEST_FPERIOD_OVERRIDE=FQ","FILING_STATUS=MR","SCALING_FORMAT=MLN","FA_ADJUSTED=GAAP","Sort=A","Dates=H","DateFormat=P","Fill=—","Direction=H","UseDPDF=Y")</f>
        <v>45.082000000000001</v>
      </c>
      <c r="L37" s="13" cm="1">
        <f t="array" ref="L37">_xll.BDH("NUE US Equity","MIN_NONCONTROL_INTEREST_CREDITS","FQ2 2021","FQ2 2021","Currency=USD","Period=FQ","BEST_FPERIOD_OVERRIDE=FQ","FILING_STATUS=MR","SCALING_FORMAT=MLN","FA_ADJUSTED=GAAP","Sort=A","Dates=H","DateFormat=P","Fill=—","Direction=H","UseDPDF=Y")</f>
        <v>64.590999999999994</v>
      </c>
      <c r="M37" s="13" cm="1">
        <f t="array" ref="M37">_xll.BDH("NUE US Equity","MIN_NONCONTROL_INTEREST_CREDITS","FQ3 2021","FQ3 2021","Currency=USD","Period=FQ","BEST_FPERIOD_OVERRIDE=FQ","FILING_STATUS=MR","SCALING_FORMAT=MLN","FA_ADJUSTED=GAAP","Sort=A","Dates=H","DateFormat=P","Fill=—","Direction=H","UseDPDF=Y")</f>
        <v>95.522000000000006</v>
      </c>
      <c r="N37" s="13" cm="1">
        <f t="array" ref="N37">_xll.BDH("NUE US Equity","MIN_NONCONTROL_INTEREST_CREDITS","FQ4 2021","FQ4 2021","Currency=USD","Period=FQ","BEST_FPERIOD_OVERRIDE=FQ","FILING_STATUS=MR","SCALING_FORMAT=MLN","FA_ADJUSTED=GAAP","Sort=A","Dates=H","DateFormat=P","Fill=—","Direction=H","UseDPDF=Y")</f>
        <v>89.713999999999999</v>
      </c>
      <c r="O37" s="13" cm="1">
        <f t="array" ref="O37">_xll.BDH("NUE US Equity","MIN_NONCONTROL_INTEREST_CREDITS","FQ1 2022","FQ1 2022","Currency=USD","Period=FQ","BEST_FPERIOD_OVERRIDE=FQ","FILING_STATUS=MR","SCALING_FORMAT=MLN","FA_ADJUSTED=GAAP","Sort=A","Dates=H","DateFormat=P","Fill=—","Direction=H","UseDPDF=Y")</f>
        <v>131.49199999999999</v>
      </c>
      <c r="P37" s="13" cm="1">
        <f t="array" ref="P37">_xll.BDH("NUE US Equity","MIN_NONCONTROL_INTEREST_CREDITS","FQ2 2022","FQ2 2022","Currency=USD","Period=FQ","BEST_FPERIOD_OVERRIDE=FQ","FILING_STATUS=MR","SCALING_FORMAT=MLN","FA_ADJUSTED=GAAP","Sort=A","Dates=H","DateFormat=P","Fill=—","Direction=H","UseDPDF=Y")</f>
        <v>166.00399999999999</v>
      </c>
      <c r="Q37" s="13" cm="1">
        <f t="array" ref="Q37">_xll.BDH("NUE US Equity","MIN_NONCONTROL_INTEREST_CREDITS","FQ3 2022","FQ3 2022","Currency=USD","Period=FQ","BEST_FPERIOD_OVERRIDE=FQ","FILING_STATUS=MR","SCALING_FORMAT=MLN","FA_ADJUSTED=GAAP","Sort=A","Dates=H","DateFormat=P","Fill=—","Direction=H","UseDPDF=Y")</f>
        <v>104.295</v>
      </c>
      <c r="R37" s="13" cm="1">
        <f t="array" ref="R37">_xll.BDH("NUE US Equity","MIN_NONCONTROL_INTEREST_CREDITS","FQ4 2022","FQ4 2022","Currency=USD","Period=FQ","BEST_FPERIOD_OVERRIDE=FQ","FILING_STATUS=MR","SCALING_FORMAT=MLN","FA_ADJUSTED=GAAP","Sort=A","Dates=H","DateFormat=P","Fill=—","Direction=H","UseDPDF=Y")</f>
        <v>70.512</v>
      </c>
      <c r="S37" s="13" cm="1">
        <f t="array" ref="S37">_xll.BDH("NUE US Equity","MIN_NONCONTROL_INTEREST_CREDITS","FQ1 2023","FQ1 2023","Currency=USD","Period=FQ","BEST_FPERIOD_OVERRIDE=FQ","FILING_STATUS=MR","SCALING_FORMAT=MLN","FA_ADJUSTED=GAAP","Sort=A","Dates=H","DateFormat=P","Fill=—","Direction=H","UseDPDF=Y")</f>
        <v>95.087000000000003</v>
      </c>
      <c r="T37" s="13" cm="1">
        <f t="array" ref="T37">_xll.BDH("NUE US Equity","MIN_NONCONTROL_INTEREST_CREDITS","FQ2 2023","FQ2 2023","Currency=USD","Period=FQ","BEST_FPERIOD_OVERRIDE=FQ","FILING_STATUS=MR","SCALING_FORMAT=MLN","FA_ADJUSTED=GAAP","Sort=A","Dates=H","DateFormat=P","Fill=—","Direction=H","UseDPDF=Y")</f>
        <v>125.721</v>
      </c>
      <c r="U37" s="13" cm="1">
        <f t="array" ref="U37">_xll.BDH("NUE US Equity","MIN_NONCONTROL_INTEREST_CREDITS","FQ3 2023","FQ3 2023","Currency=USD","Period=FQ","BEST_FPERIOD_OVERRIDE=FQ","FILING_STATUS=MR","SCALING_FORMAT=MLN","FA_ADJUSTED=GAAP","Sort=A","Dates=H","DateFormat=P","Fill=—","Direction=H","UseDPDF=Y")</f>
        <v>79.748999999999995</v>
      </c>
      <c r="V37" s="13" cm="1">
        <f t="array" ref="V37">_xll.BDH("NUE US Equity","MIN_NONCONTROL_INTEREST_CREDITS","FQ4 2023","FQ4 2023","Currency=USD","Period=FQ","BEST_FPERIOD_OVERRIDE=FQ","FILING_STATUS=MR","SCALING_FORMAT=MLN","FA_ADJUSTED=GAAP","Sort=A","Dates=H","DateFormat=P","Fill=—","Direction=H","UseDPDF=Y")</f>
        <v>87.433000000000007</v>
      </c>
      <c r="W37" s="13" cm="1">
        <f t="array" ref="W37">_xll.BDH("NUE US Equity","MIN_NONCONTROL_INTEREST_CREDITS","FQ1 2024","FQ1 2024","Currency=USD","Period=FQ","BEST_FPERIOD_OVERRIDE=FQ","FILING_STATUS=MR","SCALING_FORMAT=MLN","FA_ADJUSTED=GAAP","Sort=A","Dates=H","DateFormat=P","Fill=—","Direction=H","UseDPDF=Y")</f>
        <v>114.121</v>
      </c>
      <c r="X37" s="13" cm="1">
        <f t="array" ref="X37">_xll.BDH("NUE US Equity","MIN_NONCONTROL_INTEREST_CREDITS","FQ2 2024","FQ2 2024","Currency=USD","Period=FQ","BEST_FPERIOD_OVERRIDE=FQ","FILING_STATUS=MR","SCALING_FORMAT=MLN","FA_ADJUSTED=GAAP","Sort=A","Dates=H","DateFormat=P","Fill=—","Direction=H","UseDPDF=Y")</f>
        <v>66.926000000000002</v>
      </c>
      <c r="Y37" s="13" cm="1">
        <f t="array" ref="Y37">_xll.BDH("NUE US Equity","MIN_NONCONTROL_INTEREST_CREDITS","FQ3 2024","FQ3 2024","Currency=USD","Period=FQ","BEST_FPERIOD_OVERRIDE=FQ","FILING_STATUS=MR","SCALING_FORMAT=MLN","FA_ADJUSTED=GAAP","Sort=A","Dates=H","DateFormat=P","Fill=—","Direction=H","UseDPDF=Y")</f>
        <v>52.914999999999999</v>
      </c>
      <c r="Z37" s="13" cm="1">
        <f t="array" ref="Z37">_xll.BDH("NUE US Equity","MIN_NONCONTROL_INTEREST_CREDITS","FQ4 2024","FQ4 2024","Currency=USD","Period=FQ","BEST_FPERIOD_OVERRIDE=FQ","FILING_STATUS=MR","SCALING_FORMAT=MLN","FA_ADJUSTED=GAAP","Sort=A","Dates=H","DateFormat=P","Fill=—","Direction=H","UseDPDF=Y")</f>
        <v>58</v>
      </c>
      <c r="AA37" s="13" cm="1">
        <f t="array" ref="AA37">_xll.BDH("NUE US Equity","MIN_NONCONTROL_INTEREST_CREDITS","FQ1 2025","FQ1 2025","Currency=USD","Period=FQ","BEST_FPERIOD_OVERRIDE=FQ","FILING_STATUS=MR","SCALING_FORMAT=MLN","FA_ADJUSTED=GAAP","Sort=A","Dates=H","DateFormat=P","Fill=—","Direction=H","UseDPDF=Y")</f>
        <v>70</v>
      </c>
      <c r="AB37" s="13" cm="1">
        <f t="array" ref="AB37">_xll.BDH("NUE US Equity","MIN_NONCONTROL_INTEREST_CREDITS","FQ2 2025","FQ2 2025","Currency=USD","Period=FQ","BEST_FPERIOD_OVERRIDE=FQ","FILING_STATUS=MR","SCALING_FORMAT=MLN","FA_ADJUSTED=GAAP","Sort=A","Dates=H","DateFormat=P","Fill=—","Direction=H","UseDPDF=Y")</f>
        <v>103</v>
      </c>
      <c r="AC37" s="13" cm="1">
        <f t="array" ref="AC37">_xll.BDH("NUE US Equity","MIN_NONCONTROL_INTEREST_CREDITS","FQ3 2025","FQ3 2025","Currency=USD","Period=FQ","BEST_FPERIOD_OVERRIDE=FQ","FILING_STATUS=MR","SCALING_FORMAT=MLN","FA_ADJUSTED=GAAP","Sort=A","Dates=H","DateFormat=P","Fill=—","Direction=H","UseDPDF=Y")</f>
        <v>76</v>
      </c>
      <c r="AD37" s="13" cm="1">
        <f t="array" ref="AD37">_xll.BDH("NUE US Equity","MIN_NONCONTROL_INTEREST_CREDITS","FQ4 2025","FQ4 2025","Currency=USD","Period=FQ","BEST_FPERIOD_OVERRIDE=FQ","FILING_STATUS=MR","SCALING_FORMAT=MLN","FA_ADJUSTED=GAAP","Sort=A","Dates=H","DateFormat=P","Fill=—","Direction=H","UseDPDF=Y")</f>
        <v>45</v>
      </c>
      <c r="AE37" s="13"/>
      <c r="AF37" s="13"/>
    </row>
    <row r="38" spans="1:32" x14ac:dyDescent="0.25">
      <c r="A38" s="6" t="s">
        <v>128</v>
      </c>
      <c r="B38" s="6" t="s">
        <v>129</v>
      </c>
      <c r="C38" s="16" cm="1">
        <f t="array" ref="C38">_xll.BDH("NUE US Equity","NET_INCOME","FQ1 2019","FQ1 2019","Currency=USD","Period=FQ","BEST_FPERIOD_OVERRIDE=FQ","FILING_STATUS=MR","SCALING_FORMAT=MLN","FA_ADJUSTED=GAAP","Sort=A","Dates=H","DateFormat=P","Fill=—","Direction=H","UseDPDF=Y")</f>
        <v>501.80599999999998</v>
      </c>
      <c r="D38" s="16" cm="1">
        <f t="array" ref="D38">_xll.BDH("NUE US Equity","NET_INCOME","FQ2 2019","FQ2 2019","Currency=USD","Period=FQ","BEST_FPERIOD_OVERRIDE=FQ","FILING_STATUS=MR","SCALING_FORMAT=MLN","FA_ADJUSTED=GAAP","Sort=A","Dates=H","DateFormat=P","Fill=—","Direction=H","UseDPDF=Y")</f>
        <v>386.483</v>
      </c>
      <c r="E38" s="16" cm="1">
        <f t="array" ref="E38">_xll.BDH("NUE US Equity","NET_INCOME","FQ3 2019","FQ3 2019","Currency=USD","Period=FQ","BEST_FPERIOD_OVERRIDE=FQ","FILING_STATUS=MR","SCALING_FORMAT=MLN","FA_ADJUSTED=GAAP","Sort=A","Dates=H","DateFormat=P","Fill=—","Direction=H","UseDPDF=Y")</f>
        <v>275.03100000000001</v>
      </c>
      <c r="F38" s="16" cm="1">
        <f t="array" ref="F38">_xll.BDH("NUE US Equity","NET_INCOME","FQ4 2019","FQ4 2019","Currency=USD","Period=FQ","BEST_FPERIOD_OVERRIDE=FQ","FILING_STATUS=MR","SCALING_FORMAT=MLN","FA_ADJUSTED=GAAP","Sort=A","Dates=H","DateFormat=P","Fill=—","Direction=H","UseDPDF=Y")</f>
        <v>107.82299999999999</v>
      </c>
      <c r="G38" s="16" cm="1">
        <f t="array" ref="G38">_xll.BDH("NUE US Equity","NET_INCOME","FQ1 2020","FQ1 2020","Currency=USD","Period=FQ","BEST_FPERIOD_OVERRIDE=FQ","FILING_STATUS=MR","SCALING_FORMAT=MLN","FA_ADJUSTED=GAAP","Sort=A","Dates=H","DateFormat=P","Fill=—","Direction=H","UseDPDF=Y")</f>
        <v>20.331</v>
      </c>
      <c r="H38" s="16" cm="1">
        <f t="array" ref="H38">_xll.BDH("NUE US Equity","NET_INCOME","FQ2 2020","FQ2 2020","Currency=USD","Period=FQ","BEST_FPERIOD_OVERRIDE=FQ","FILING_STATUS=MR","SCALING_FORMAT=MLN","FA_ADJUSTED=GAAP","Sort=A","Dates=H","DateFormat=P","Fill=—","Direction=H","UseDPDF=Y")</f>
        <v>108.881</v>
      </c>
      <c r="I38" s="16" cm="1">
        <f t="array" ref="I38">_xll.BDH("NUE US Equity","NET_INCOME","FQ3 2020","FQ3 2020","Currency=USD","Period=FQ","BEST_FPERIOD_OVERRIDE=FQ","FILING_STATUS=MR","SCALING_FORMAT=MLN","FA_ADJUSTED=GAAP","Sort=A","Dates=H","DateFormat=P","Fill=—","Direction=H","UseDPDF=Y")</f>
        <v>193.41499999999999</v>
      </c>
      <c r="J38" s="16" cm="1">
        <f t="array" ref="J38">_xll.BDH("NUE US Equity","NET_INCOME","FQ4 2020","FQ4 2020","Currency=USD","Period=FQ","BEST_FPERIOD_OVERRIDE=FQ","FILING_STATUS=MR","SCALING_FORMAT=MLN","FA_ADJUSTED=GAAP","Sort=A","Dates=H","DateFormat=P","Fill=—","Direction=H","UseDPDF=Y")</f>
        <v>398.84300000000002</v>
      </c>
      <c r="K38" s="16" cm="1">
        <f t="array" ref="K38">_xll.BDH("NUE US Equity","NET_INCOME","FQ1 2021","FQ1 2021","Currency=USD","Period=FQ","BEST_FPERIOD_OVERRIDE=FQ","FILING_STATUS=MR","SCALING_FORMAT=MLN","FA_ADJUSTED=GAAP","Sort=A","Dates=H","DateFormat=P","Fill=—","Direction=H","UseDPDF=Y")</f>
        <v>942.43200000000002</v>
      </c>
      <c r="L38" s="16" cm="1">
        <f t="array" ref="L38">_xll.BDH("NUE US Equity","NET_INCOME","FQ2 2021","FQ2 2021","Currency=USD","Period=FQ","BEST_FPERIOD_OVERRIDE=FQ","FILING_STATUS=MR","SCALING_FORMAT=MLN","FA_ADJUSTED=GAAP","Sort=A","Dates=H","DateFormat=P","Fill=—","Direction=H","UseDPDF=Y")</f>
        <v>1506.8679999999999</v>
      </c>
      <c r="M38" s="16" cm="1">
        <f t="array" ref="M38">_xll.BDH("NUE US Equity","NET_INCOME","FQ3 2021","FQ3 2021","Currency=USD","Period=FQ","BEST_FPERIOD_OVERRIDE=FQ","FILING_STATUS=MR","SCALING_FORMAT=MLN","FA_ADJUSTED=GAAP","Sort=A","Dates=H","DateFormat=P","Fill=—","Direction=H","UseDPDF=Y")</f>
        <v>2127.7429999999999</v>
      </c>
      <c r="N38" s="16" cm="1">
        <f t="array" ref="N38">_xll.BDH("NUE US Equity","NET_INCOME","FQ4 2021","FQ4 2021","Currency=USD","Period=FQ","BEST_FPERIOD_OVERRIDE=FQ","FILING_STATUS=MR","SCALING_FORMAT=MLN","FA_ADJUSTED=GAAP","Sort=A","Dates=H","DateFormat=P","Fill=—","Direction=H","UseDPDF=Y")</f>
        <v>2250.4180000000001</v>
      </c>
      <c r="O38" s="16" cm="1">
        <f t="array" ref="O38">_xll.BDH("NUE US Equity","NET_INCOME","FQ1 2022","FQ1 2022","Currency=USD","Period=FQ","BEST_FPERIOD_OVERRIDE=FQ","FILING_STATUS=MR","SCALING_FORMAT=MLN","FA_ADJUSTED=GAAP","Sort=A","Dates=H","DateFormat=P","Fill=—","Direction=H","UseDPDF=Y")</f>
        <v>2095.623</v>
      </c>
      <c r="P38" s="16" cm="1">
        <f t="array" ref="P38">_xll.BDH("NUE US Equity","NET_INCOME","FQ2 2022","FQ2 2022","Currency=USD","Period=FQ","BEST_FPERIOD_OVERRIDE=FQ","FILING_STATUS=MR","SCALING_FORMAT=MLN","FA_ADJUSTED=GAAP","Sort=A","Dates=H","DateFormat=P","Fill=—","Direction=H","UseDPDF=Y")</f>
        <v>2561.2330000000002</v>
      </c>
      <c r="Q38" s="16" cm="1">
        <f t="array" ref="Q38">_xll.BDH("NUE US Equity","NET_INCOME","FQ3 2022","FQ3 2022","Currency=USD","Period=FQ","BEST_FPERIOD_OVERRIDE=FQ","FILING_STATUS=MR","SCALING_FORMAT=MLN","FA_ADJUSTED=GAAP","Sort=A","Dates=H","DateFormat=P","Fill=—","Direction=H","UseDPDF=Y")</f>
        <v>1694.748</v>
      </c>
      <c r="R38" s="16" cm="1">
        <f t="array" ref="R38">_xll.BDH("NUE US Equity","NET_INCOME","FQ4 2022","FQ4 2022","Currency=USD","Period=FQ","BEST_FPERIOD_OVERRIDE=FQ","FILING_STATUS=MR","SCALING_FORMAT=MLN","FA_ADJUSTED=GAAP","Sort=A","Dates=H","DateFormat=P","Fill=—","Direction=H","UseDPDF=Y")</f>
        <v>1255.7329999999999</v>
      </c>
      <c r="S38" s="16" cm="1">
        <f t="array" ref="S38">_xll.BDH("NUE US Equity","NET_INCOME","FQ1 2023","FQ1 2023","Currency=USD","Period=FQ","BEST_FPERIOD_OVERRIDE=FQ","FILING_STATUS=MR","SCALING_FORMAT=MLN","FA_ADJUSTED=GAAP","Sort=A","Dates=H","DateFormat=P","Fill=—","Direction=H","UseDPDF=Y")</f>
        <v>1136.5419999999999</v>
      </c>
      <c r="T38" s="16" cm="1">
        <f t="array" ref="T38">_xll.BDH("NUE US Equity","NET_INCOME","FQ2 2023","FQ2 2023","Currency=USD","Period=FQ","BEST_FPERIOD_OVERRIDE=FQ","FILING_STATUS=MR","SCALING_FORMAT=MLN","FA_ADJUSTED=GAAP","Sort=A","Dates=H","DateFormat=P","Fill=—","Direction=H","UseDPDF=Y")</f>
        <v>1461.354</v>
      </c>
      <c r="U38" s="16" cm="1">
        <f t="array" ref="U38">_xll.BDH("NUE US Equity","NET_INCOME","FQ3 2023","FQ3 2023","Currency=USD","Period=FQ","BEST_FPERIOD_OVERRIDE=FQ","FILING_STATUS=MR","SCALING_FORMAT=MLN","FA_ADJUSTED=GAAP","Sort=A","Dates=H","DateFormat=P","Fill=—","Direction=H","UseDPDF=Y")</f>
        <v>1141.5060000000001</v>
      </c>
      <c r="V38" s="16" cm="1">
        <f t="array" ref="V38">_xll.BDH("NUE US Equity","NET_INCOME","FQ4 2023","FQ4 2023","Currency=USD","Period=FQ","BEST_FPERIOD_OVERRIDE=FQ","FILING_STATUS=MR","SCALING_FORMAT=MLN","FA_ADJUSTED=GAAP","Sort=A","Dates=H","DateFormat=P","Fill=—","Direction=H","UseDPDF=Y")</f>
        <v>785.399</v>
      </c>
      <c r="W38" s="16" cm="1">
        <f t="array" ref="W38">_xll.BDH("NUE US Equity","NET_INCOME","FQ1 2024","FQ1 2024","Currency=USD","Period=FQ","BEST_FPERIOD_OVERRIDE=FQ","FILING_STATUS=MR","SCALING_FORMAT=MLN","FA_ADJUSTED=GAAP","Sort=A","Dates=H","DateFormat=P","Fill=—","Direction=H","UseDPDF=Y")</f>
        <v>844.84100000000001</v>
      </c>
      <c r="X38" s="16" cm="1">
        <f t="array" ref="X38">_xll.BDH("NUE US Equity","NET_INCOME","FQ2 2024","FQ2 2024","Currency=USD","Period=FQ","BEST_FPERIOD_OVERRIDE=FQ","FILING_STATUS=MR","SCALING_FORMAT=MLN","FA_ADJUSTED=GAAP","Sort=A","Dates=H","DateFormat=P","Fill=—","Direction=H","UseDPDF=Y")</f>
        <v>645.21699999999998</v>
      </c>
      <c r="Y38" s="16" cm="1">
        <f t="array" ref="Y38">_xll.BDH("NUE US Equity","NET_INCOME","FQ3 2024","FQ3 2024","Currency=USD","Period=FQ","BEST_FPERIOD_OVERRIDE=FQ","FILING_STATUS=MR","SCALING_FORMAT=MLN","FA_ADJUSTED=GAAP","Sort=A","Dates=H","DateFormat=P","Fill=—","Direction=H","UseDPDF=Y")</f>
        <v>249.91</v>
      </c>
      <c r="Z38" s="16" cm="1">
        <f t="array" ref="Z38">_xll.BDH("NUE US Equity","NET_INCOME","FQ4 2024","FQ4 2024","Currency=USD","Period=FQ","BEST_FPERIOD_OVERRIDE=FQ","FILING_STATUS=MR","SCALING_FORMAT=MLN","FA_ADJUSTED=GAAP","Sort=A","Dates=H","DateFormat=P","Fill=—","Direction=H","UseDPDF=Y")</f>
        <v>287</v>
      </c>
      <c r="AA38" s="16" cm="1">
        <f t="array" ref="AA38">_xll.BDH("NUE US Equity","NET_INCOME","FQ1 2025","FQ1 2025","Currency=USD","Period=FQ","BEST_FPERIOD_OVERRIDE=FQ","FILING_STATUS=MR","SCALING_FORMAT=MLN","FA_ADJUSTED=GAAP","Sort=A","Dates=H","DateFormat=P","Fill=—","Direction=H","UseDPDF=Y")</f>
        <v>156</v>
      </c>
      <c r="AB38" s="16" cm="1">
        <f t="array" ref="AB38">_xll.BDH("NUE US Equity","NET_INCOME","FQ2 2025","FQ2 2025","Currency=USD","Period=FQ","BEST_FPERIOD_OVERRIDE=FQ","FILING_STATUS=MR","SCALING_FORMAT=MLN","FA_ADJUSTED=GAAP","Sort=A","Dates=H","DateFormat=P","Fill=—","Direction=H","UseDPDF=Y")</f>
        <v>603</v>
      </c>
      <c r="AC38" s="16" cm="1">
        <f t="array" ref="AC38">_xll.BDH("NUE US Equity","NET_INCOME","FQ3 2025","FQ3 2025","Currency=USD","Period=FQ","BEST_FPERIOD_OVERRIDE=FQ","FILING_STATUS=MR","SCALING_FORMAT=MLN","FA_ADJUSTED=GAAP","Sort=A","Dates=H","DateFormat=P","Fill=—","Direction=H","UseDPDF=Y")</f>
        <v>607</v>
      </c>
      <c r="AD38" s="16" cm="1">
        <f t="array" ref="AD38">_xll.BDH("NUE US Equity","NET_INCOME","FQ4 2025","FQ4 2025","Currency=USD","Period=FQ","BEST_FPERIOD_OVERRIDE=FQ","FILING_STATUS=MR","SCALING_FORMAT=MLN","FA_ADJUSTED=GAAP","Sort=A","Dates=H","DateFormat=P","Fill=—","Direction=H","UseDPDF=Y")</f>
        <v>378</v>
      </c>
      <c r="AE38" s="16">
        <v>655.85699999999997</v>
      </c>
      <c r="AF38" s="16">
        <v>768.57100000000003</v>
      </c>
    </row>
    <row r="39" spans="1:32" x14ac:dyDescent="0.25">
      <c r="A39" s="10" t="s">
        <v>130</v>
      </c>
      <c r="B39" s="10" t="s">
        <v>131</v>
      </c>
      <c r="C39" s="13" cm="1">
        <f t="array" ref="C39">_xll.BDH("NUE US Equity","IS_TOT_CASH_PFD_DVD","FQ1 2019","FQ1 2019","Currency=USD","Period=FQ","BEST_FPERIOD_OVERRIDE=FQ","FILING_STATUS=MR","SCALING_FORMAT=MLN","Sort=A","Dates=H","DateFormat=P","Fill=—","Direction=H","UseDPDF=Y")</f>
        <v>0</v>
      </c>
      <c r="D39" s="13" cm="1">
        <f t="array" ref="D39">_xll.BDH("NUE US Equity","IS_TOT_CASH_PFD_DVD","FQ2 2019","FQ2 2019","Currency=USD","Period=FQ","BEST_FPERIOD_OVERRIDE=FQ","FILING_STATUS=MR","SCALING_FORMAT=MLN","Sort=A","Dates=H","DateFormat=P","Fill=—","Direction=H","UseDPDF=Y")</f>
        <v>0</v>
      </c>
      <c r="E39" s="13" cm="1">
        <f t="array" ref="E39">_xll.BDH("NUE US Equity","IS_TOT_CASH_PFD_DVD","FQ3 2019","FQ3 2019","Currency=USD","Period=FQ","BEST_FPERIOD_OVERRIDE=FQ","FILING_STATUS=MR","SCALING_FORMAT=MLN","Sort=A","Dates=H","DateFormat=P","Fill=—","Direction=H","UseDPDF=Y")</f>
        <v>0</v>
      </c>
      <c r="F39" s="13" cm="1">
        <f t="array" ref="F39">_xll.BDH("NUE US Equity","IS_TOT_CASH_PFD_DVD","FQ4 2019","FQ4 2019","Currency=USD","Period=FQ","BEST_FPERIOD_OVERRIDE=FQ","FILING_STATUS=MR","SCALING_FORMAT=MLN","Sort=A","Dates=H","DateFormat=P","Fill=—","Direction=H","UseDPDF=Y")</f>
        <v>0</v>
      </c>
      <c r="G39" s="13" cm="1">
        <f t="array" ref="G39">_xll.BDH("NUE US Equity","IS_TOT_CASH_PFD_DVD","FQ1 2020","FQ1 2020","Currency=USD","Period=FQ","BEST_FPERIOD_OVERRIDE=FQ","FILING_STATUS=MR","SCALING_FORMAT=MLN","Sort=A","Dates=H","DateFormat=P","Fill=—","Direction=H","UseDPDF=Y")</f>
        <v>0</v>
      </c>
      <c r="H39" s="13" cm="1">
        <f t="array" ref="H39">_xll.BDH("NUE US Equity","IS_TOT_CASH_PFD_DVD","FQ2 2020","FQ2 2020","Currency=USD","Period=FQ","BEST_FPERIOD_OVERRIDE=FQ","FILING_STATUS=MR","SCALING_FORMAT=MLN","Sort=A","Dates=H","DateFormat=P","Fill=—","Direction=H","UseDPDF=Y")</f>
        <v>0</v>
      </c>
      <c r="I39" s="13" cm="1">
        <f t="array" ref="I39">_xll.BDH("NUE US Equity","IS_TOT_CASH_PFD_DVD","FQ3 2020","FQ3 2020","Currency=USD","Period=FQ","BEST_FPERIOD_OVERRIDE=FQ","FILING_STATUS=MR","SCALING_FORMAT=MLN","Sort=A","Dates=H","DateFormat=P","Fill=—","Direction=H","UseDPDF=Y")</f>
        <v>0</v>
      </c>
      <c r="J39" s="13" cm="1">
        <f t="array" ref="J39">_xll.BDH("NUE US Equity","IS_TOT_CASH_PFD_DVD","FQ4 2020","FQ4 2020","Currency=USD","Period=FQ","BEST_FPERIOD_OVERRIDE=FQ","FILING_STATUS=MR","SCALING_FORMAT=MLN","Sort=A","Dates=H","DateFormat=P","Fill=—","Direction=H","UseDPDF=Y")</f>
        <v>0</v>
      </c>
      <c r="K39" s="13" cm="1">
        <f t="array" ref="K39">_xll.BDH("NUE US Equity","IS_TOT_CASH_PFD_DVD","FQ1 2021","FQ1 2021","Currency=USD","Period=FQ","BEST_FPERIOD_OVERRIDE=FQ","FILING_STATUS=MR","SCALING_FORMAT=MLN","Sort=A","Dates=H","DateFormat=P","Fill=—","Direction=H","UseDPDF=Y")</f>
        <v>0</v>
      </c>
      <c r="L39" s="13" cm="1">
        <f t="array" ref="L39">_xll.BDH("NUE US Equity","IS_TOT_CASH_PFD_DVD","FQ2 2021","FQ2 2021","Currency=USD","Period=FQ","BEST_FPERIOD_OVERRIDE=FQ","FILING_STATUS=MR","SCALING_FORMAT=MLN","Sort=A","Dates=H","DateFormat=P","Fill=—","Direction=H","UseDPDF=Y")</f>
        <v>0</v>
      </c>
      <c r="M39" s="13" cm="1">
        <f t="array" ref="M39">_xll.BDH("NUE US Equity","IS_TOT_CASH_PFD_DVD","FQ3 2021","FQ3 2021","Currency=USD","Period=FQ","BEST_FPERIOD_OVERRIDE=FQ","FILING_STATUS=MR","SCALING_FORMAT=MLN","Sort=A","Dates=H","DateFormat=P","Fill=—","Direction=H","UseDPDF=Y")</f>
        <v>0</v>
      </c>
      <c r="N39" s="13" cm="1">
        <f t="array" ref="N39">_xll.BDH("NUE US Equity","IS_TOT_CASH_PFD_DVD","FQ4 2021","FQ4 2021","Currency=USD","Period=FQ","BEST_FPERIOD_OVERRIDE=FQ","FILING_STATUS=MR","SCALING_FORMAT=MLN","Sort=A","Dates=H","DateFormat=P","Fill=—","Direction=H","UseDPDF=Y")</f>
        <v>0</v>
      </c>
      <c r="O39" s="13" cm="1">
        <f t="array" ref="O39">_xll.BDH("NUE US Equity","IS_TOT_CASH_PFD_DVD","FQ1 2022","FQ1 2022","Currency=USD","Period=FQ","BEST_FPERIOD_OVERRIDE=FQ","FILING_STATUS=MR","SCALING_FORMAT=MLN","Sort=A","Dates=H","DateFormat=P","Fill=—","Direction=H","UseDPDF=Y")</f>
        <v>0</v>
      </c>
      <c r="P39" s="13" cm="1">
        <f t="array" ref="P39">_xll.BDH("NUE US Equity","IS_TOT_CASH_PFD_DVD","FQ2 2022","FQ2 2022","Currency=USD","Period=FQ","BEST_FPERIOD_OVERRIDE=FQ","FILING_STATUS=MR","SCALING_FORMAT=MLN","Sort=A","Dates=H","DateFormat=P","Fill=—","Direction=H","UseDPDF=Y")</f>
        <v>0</v>
      </c>
      <c r="Q39" s="13" cm="1">
        <f t="array" ref="Q39">_xll.BDH("NUE US Equity","IS_TOT_CASH_PFD_DVD","FQ3 2022","FQ3 2022","Currency=USD","Period=FQ","BEST_FPERIOD_OVERRIDE=FQ","FILING_STATUS=MR","SCALING_FORMAT=MLN","Sort=A","Dates=H","DateFormat=P","Fill=—","Direction=H","UseDPDF=Y")</f>
        <v>0</v>
      </c>
      <c r="R39" s="13" cm="1">
        <f t="array" ref="R39">_xll.BDH("NUE US Equity","IS_TOT_CASH_PFD_DVD","FQ4 2022","FQ4 2022","Currency=USD","Period=FQ","BEST_FPERIOD_OVERRIDE=FQ","FILING_STATUS=MR","SCALING_FORMAT=MLN","Sort=A","Dates=H","DateFormat=P","Fill=—","Direction=H","UseDPDF=Y")</f>
        <v>0</v>
      </c>
      <c r="S39" s="13" cm="1">
        <f t="array" ref="S39">_xll.BDH("NUE US Equity","IS_TOT_CASH_PFD_DVD","FQ1 2023","FQ1 2023","Currency=USD","Period=FQ","BEST_FPERIOD_OVERRIDE=FQ","FILING_STATUS=MR","SCALING_FORMAT=MLN","Sort=A","Dates=H","DateFormat=P","Fill=—","Direction=H","UseDPDF=Y")</f>
        <v>0</v>
      </c>
      <c r="T39" s="13" cm="1">
        <f t="array" ref="T39">_xll.BDH("NUE US Equity","IS_TOT_CASH_PFD_DVD","FQ2 2023","FQ2 2023","Currency=USD","Period=FQ","BEST_FPERIOD_OVERRIDE=FQ","FILING_STATUS=MR","SCALING_FORMAT=MLN","Sort=A","Dates=H","DateFormat=P","Fill=—","Direction=H","UseDPDF=Y")</f>
        <v>0</v>
      </c>
      <c r="U39" s="13" cm="1">
        <f t="array" ref="U39">_xll.BDH("NUE US Equity","IS_TOT_CASH_PFD_DVD","FQ3 2023","FQ3 2023","Currency=USD","Period=FQ","BEST_FPERIOD_OVERRIDE=FQ","FILING_STATUS=MR","SCALING_FORMAT=MLN","Sort=A","Dates=H","DateFormat=P","Fill=—","Direction=H","UseDPDF=Y")</f>
        <v>0</v>
      </c>
      <c r="V39" s="13" cm="1">
        <f t="array" ref="V39">_xll.BDH("NUE US Equity","IS_TOT_CASH_PFD_DVD","FQ4 2023","FQ4 2023","Currency=USD","Period=FQ","BEST_FPERIOD_OVERRIDE=FQ","FILING_STATUS=MR","SCALING_FORMAT=MLN","Sort=A","Dates=H","DateFormat=P","Fill=—","Direction=H","UseDPDF=Y")</f>
        <v>0</v>
      </c>
      <c r="W39" s="13" cm="1">
        <f t="array" ref="W39">_xll.BDH("NUE US Equity","IS_TOT_CASH_PFD_DVD","FQ1 2024","FQ1 2024","Currency=USD","Period=FQ","BEST_FPERIOD_OVERRIDE=FQ","FILING_STATUS=MR","SCALING_FORMAT=MLN","Sort=A","Dates=H","DateFormat=P","Fill=—","Direction=H","UseDPDF=Y")</f>
        <v>0</v>
      </c>
      <c r="X39" s="13" cm="1">
        <f t="array" ref="X39">_xll.BDH("NUE US Equity","IS_TOT_CASH_PFD_DVD","FQ2 2024","FQ2 2024","Currency=USD","Period=FQ","BEST_FPERIOD_OVERRIDE=FQ","FILING_STATUS=MR","SCALING_FORMAT=MLN","Sort=A","Dates=H","DateFormat=P","Fill=—","Direction=H","UseDPDF=Y")</f>
        <v>0</v>
      </c>
      <c r="Y39" s="13" cm="1">
        <f t="array" ref="Y39">_xll.BDH("NUE US Equity","IS_TOT_CASH_PFD_DVD","FQ3 2024","FQ3 2024","Currency=USD","Period=FQ","BEST_FPERIOD_OVERRIDE=FQ","FILING_STATUS=MR","SCALING_FORMAT=MLN","Sort=A","Dates=H","DateFormat=P","Fill=—","Direction=H","UseDPDF=Y")</f>
        <v>0</v>
      </c>
      <c r="Z39" s="13" cm="1">
        <f t="array" ref="Z39">_xll.BDH("NUE US Equity","IS_TOT_CASH_PFD_DVD","FQ4 2024","FQ4 2024","Currency=USD","Period=FQ","BEST_FPERIOD_OVERRIDE=FQ","FILING_STATUS=MR","SCALING_FORMAT=MLN","Sort=A","Dates=H","DateFormat=P","Fill=—","Direction=H","UseDPDF=Y")</f>
        <v>0</v>
      </c>
      <c r="AA39" s="13" cm="1">
        <f t="array" ref="AA39">_xll.BDH("NUE US Equity","IS_TOT_CASH_PFD_DVD","FQ1 2025","FQ1 2025","Currency=USD","Period=FQ","BEST_FPERIOD_OVERRIDE=FQ","FILING_STATUS=MR","SCALING_FORMAT=MLN","Sort=A","Dates=H","DateFormat=P","Fill=—","Direction=H","UseDPDF=Y")</f>
        <v>0</v>
      </c>
      <c r="AB39" s="13" cm="1">
        <f t="array" ref="AB39">_xll.BDH("NUE US Equity","IS_TOT_CASH_PFD_DVD","FQ2 2025","FQ2 2025","Currency=USD","Period=FQ","BEST_FPERIOD_OVERRIDE=FQ","FILING_STATUS=MR","SCALING_FORMAT=MLN","Sort=A","Dates=H","DateFormat=P","Fill=—","Direction=H","UseDPDF=Y")</f>
        <v>0</v>
      </c>
      <c r="AC39" s="13" cm="1">
        <f t="array" ref="AC39">_xll.BDH("NUE US Equity","IS_TOT_CASH_PFD_DVD","FQ3 2025","FQ3 2025","Currency=USD","Period=FQ","BEST_FPERIOD_OVERRIDE=FQ","FILING_STATUS=MR","SCALING_FORMAT=MLN","Sort=A","Dates=H","DateFormat=P","Fill=—","Direction=H","UseDPDF=Y")</f>
        <v>0</v>
      </c>
      <c r="AD39" s="13" cm="1">
        <f t="array" ref="AD39">_xll.BDH("NUE US Equity","IS_TOT_CASH_PFD_DVD","FQ4 2025","FQ4 2025","Currency=USD","Period=FQ","BEST_FPERIOD_OVERRIDE=FQ","FILING_STATUS=MR","SCALING_FORMAT=MLN","Sort=A","Dates=H","DateFormat=P","Fill=—","Direction=H","UseDPDF=Y")</f>
        <v>0</v>
      </c>
      <c r="AE39" s="13"/>
      <c r="AF39" s="13"/>
    </row>
    <row r="40" spans="1:32" x14ac:dyDescent="0.25">
      <c r="A40" s="10" t="s">
        <v>132</v>
      </c>
      <c r="B40" s="10" t="s">
        <v>133</v>
      </c>
      <c r="C40" s="13" cm="1">
        <f t="array" ref="C40">_xll.BDH("NUE US Equity","OTHER_ADJUSTMENTS","FQ1 2019","FQ1 2019","Currency=USD","Period=FQ","BEST_FPERIOD_OVERRIDE=FQ","FILING_STATUS=MR","SCALING_FORMAT=MLN","Sort=A","Dates=H","DateFormat=P","Fill=—","Direction=H","UseDPDF=Y")</f>
        <v>1.968</v>
      </c>
      <c r="D40" s="13" cm="1">
        <f t="array" ref="D40">_xll.BDH("NUE US Equity","OTHER_ADJUSTMENTS","FQ2 2019","FQ2 2019","Currency=USD","Period=FQ","BEST_FPERIOD_OVERRIDE=FQ","FILING_STATUS=MR","SCALING_FORMAT=MLN","Sort=A","Dates=H","DateFormat=P","Fill=—","Direction=H","UseDPDF=Y")</f>
        <v>2.431</v>
      </c>
      <c r="E40" s="13" cm="1">
        <f t="array" ref="E40">_xll.BDH("NUE US Equity","OTHER_ADJUSTMENTS","FQ3 2019","FQ3 2019","Currency=USD","Period=FQ","BEST_FPERIOD_OVERRIDE=FQ","FILING_STATUS=MR","SCALING_FORMAT=MLN","Sort=A","Dates=H","DateFormat=P","Fill=—","Direction=H","UseDPDF=Y")</f>
        <v>1.655</v>
      </c>
      <c r="F40" s="13" cm="1">
        <f t="array" ref="F40">_xll.BDH("NUE US Equity","OTHER_ADJUSTMENTS","FQ4 2019","FQ4 2019","Currency=USD","Period=FQ","BEST_FPERIOD_OVERRIDE=FQ","FILING_STATUS=MR","SCALING_FORMAT=MLN","Sort=A","Dates=H","DateFormat=P","Fill=—","Direction=H","UseDPDF=Y")</f>
        <v>0.74</v>
      </c>
      <c r="G40" s="13" cm="1">
        <f t="array" ref="G40">_xll.BDH("NUE US Equity","OTHER_ADJUSTMENTS","FQ1 2020","FQ1 2020","Currency=USD","Period=FQ","BEST_FPERIOD_OVERRIDE=FQ","FILING_STATUS=MR","SCALING_FORMAT=MLN","Sort=A","Dates=H","DateFormat=P","Fill=—","Direction=H","UseDPDF=Y")</f>
        <v>0.63</v>
      </c>
      <c r="H40" s="13" cm="1">
        <f t="array" ref="H40">_xll.BDH("NUE US Equity","OTHER_ADJUSTMENTS","FQ2 2020","FQ2 2020","Currency=USD","Period=FQ","BEST_FPERIOD_OVERRIDE=FQ","FILING_STATUS=MR","SCALING_FORMAT=MLN","Sort=A","Dates=H","DateFormat=P","Fill=—","Direction=H","UseDPDF=Y")</f>
        <v>0.79200000000000004</v>
      </c>
      <c r="I40" s="13" cm="1">
        <f t="array" ref="I40">_xll.BDH("NUE US Equity","OTHER_ADJUSTMENTS","FQ3 2020","FQ3 2020","Currency=USD","Period=FQ","BEST_FPERIOD_OVERRIDE=FQ","FILING_STATUS=MR","SCALING_FORMAT=MLN","Sort=A","Dates=H","DateFormat=P","Fill=—","Direction=H","UseDPDF=Y")</f>
        <v>1.2010000000000001</v>
      </c>
      <c r="J40" s="13" cm="1">
        <f t="array" ref="J40">_xll.BDH("NUE US Equity","OTHER_ADJUSTMENTS","FQ4 2020","FQ4 2020","Currency=USD","Period=FQ","BEST_FPERIOD_OVERRIDE=FQ","FILING_STATUS=MR","SCALING_FORMAT=MLN","Sort=A","Dates=H","DateFormat=P","Fill=—","Direction=H","UseDPDF=Y")</f>
        <v>2.1739999999999999</v>
      </c>
      <c r="K40" s="13" cm="1">
        <f t="array" ref="K40">_xll.BDH("NUE US Equity","OTHER_ADJUSTMENTS","FQ1 2021","FQ1 2021","Currency=USD","Period=FQ","BEST_FPERIOD_OVERRIDE=FQ","FILING_STATUS=MR","SCALING_FORMAT=MLN","Sort=A","Dates=H","DateFormat=P","Fill=—","Direction=H","UseDPDF=Y")</f>
        <v>5.3760000000000003</v>
      </c>
      <c r="L40" s="13" cm="1">
        <f t="array" ref="L40">_xll.BDH("NUE US Equity","OTHER_ADJUSTMENTS","FQ2 2021","FQ2 2021","Currency=USD","Period=FQ","BEST_FPERIOD_OVERRIDE=FQ","FILING_STATUS=MR","SCALING_FORMAT=MLN","Sort=A","Dates=H","DateFormat=P","Fill=—","Direction=H","UseDPDF=Y")</f>
        <v>0</v>
      </c>
      <c r="M40" s="13" cm="1">
        <f t="array" ref="M40">_xll.BDH("NUE US Equity","OTHER_ADJUSTMENTS","FQ3 2021","FQ3 2021","Currency=USD","Period=FQ","BEST_FPERIOD_OVERRIDE=FQ","FILING_STATUS=MR","SCALING_FORMAT=MLN","Sort=A","Dates=H","DateFormat=P","Fill=—","Direction=H","UseDPDF=Y")</f>
        <v>9.4420000000000002</v>
      </c>
      <c r="N40" s="13" cm="1">
        <f t="array" ref="N40">_xll.BDH("NUE US Equity","OTHER_ADJUSTMENTS","FQ4 2021","FQ4 2021","Currency=USD","Period=FQ","BEST_FPERIOD_OVERRIDE=FQ","FILING_STATUS=MR","SCALING_FORMAT=MLN","Sort=A","Dates=H","DateFormat=P","Fill=—","Direction=H","UseDPDF=Y")</f>
        <v>10.039</v>
      </c>
      <c r="O40" s="13" cm="1">
        <f t="array" ref="O40">_xll.BDH("NUE US Equity","OTHER_ADJUSTMENTS","FQ1 2022","FQ1 2022","Currency=USD","Period=FQ","BEST_FPERIOD_OVERRIDE=FQ","FILING_STATUS=MR","SCALING_FORMAT=MLN","Sort=A","Dates=H","DateFormat=P","Fill=—","Direction=H","UseDPDF=Y")</f>
        <v>8.42</v>
      </c>
      <c r="P40" s="13" cm="1">
        <f t="array" ref="P40">_xll.BDH("NUE US Equity","OTHER_ADJUSTMENTS","FQ2 2022","FQ2 2022","Currency=USD","Period=FQ","BEST_FPERIOD_OVERRIDE=FQ","FILING_STATUS=MR","SCALING_FORMAT=MLN","Sort=A","Dates=H","DateFormat=P","Fill=—","Direction=H","UseDPDF=Y")</f>
        <v>0</v>
      </c>
      <c r="Q40" s="13" cm="1">
        <f t="array" ref="Q40">_xll.BDH("NUE US Equity","OTHER_ADJUSTMENTS","FQ3 2022","FQ3 2022","Currency=USD","Period=FQ","BEST_FPERIOD_OVERRIDE=FQ","FILING_STATUS=MR","SCALING_FORMAT=MLN","Sort=A","Dates=H","DateFormat=P","Fill=—","Direction=H","UseDPDF=Y")</f>
        <v>-6.8929999999999998</v>
      </c>
      <c r="R40" s="13" cm="1">
        <f t="array" ref="R40">_xll.BDH("NUE US Equity","OTHER_ADJUSTMENTS","FQ4 2022","FQ4 2022","Currency=USD","Period=FQ","BEST_FPERIOD_OVERRIDE=FQ","FILING_STATUS=MR","SCALING_FORMAT=MLN","Sort=A","Dates=H","DateFormat=P","Fill=—","Direction=H","UseDPDF=Y")</f>
        <v>0</v>
      </c>
      <c r="S40" s="13" cm="1">
        <f t="array" ref="S40">_xll.BDH("NUE US Equity","OTHER_ADJUSTMENTS","FQ1 2023","FQ1 2023","Currency=USD","Period=FQ","BEST_FPERIOD_OVERRIDE=FQ","FILING_STATUS=MR","SCALING_FORMAT=MLN","Sort=A","Dates=H","DateFormat=P","Fill=—","Direction=H","UseDPDF=Y")</f>
        <v>3.4129999999999998</v>
      </c>
      <c r="T40" s="13" cm="1">
        <f t="array" ref="T40">_xll.BDH("NUE US Equity","OTHER_ADJUSTMENTS","FQ2 2023","FQ2 2023","Currency=USD","Period=FQ","BEST_FPERIOD_OVERRIDE=FQ","FILING_STATUS=MR","SCALING_FORMAT=MLN","Sort=A","Dates=H","DateFormat=P","Fill=—","Direction=H","UseDPDF=Y")</f>
        <v>6.0289999999999999</v>
      </c>
      <c r="U40" s="13" cm="1">
        <f t="array" ref="U40">_xll.BDH("NUE US Equity","OTHER_ADJUSTMENTS","FQ3 2023","FQ3 2023","Currency=USD","Period=FQ","BEST_FPERIOD_OVERRIDE=FQ","FILING_STATUS=MR","SCALING_FORMAT=MLN","Sort=A","Dates=H","DateFormat=P","Fill=—","Direction=H","UseDPDF=Y")</f>
        <v>4.4880000000000004</v>
      </c>
      <c r="V40" s="13" cm="1">
        <f t="array" ref="V40">_xll.BDH("NUE US Equity","OTHER_ADJUSTMENTS","FQ4 2023","FQ4 2023","Currency=USD","Period=FQ","BEST_FPERIOD_OVERRIDE=FQ","FILING_STATUS=MR","SCALING_FORMAT=MLN","Sort=A","Dates=H","DateFormat=P","Fill=—","Direction=H","UseDPDF=Y")</f>
        <v>0</v>
      </c>
      <c r="W40" s="13" cm="1">
        <f t="array" ref="W40">_xll.BDH("NUE US Equity","OTHER_ADJUSTMENTS","FQ1 2024","FQ1 2024","Currency=USD","Period=FQ","BEST_FPERIOD_OVERRIDE=FQ","FILING_STATUS=MR","SCALING_FORMAT=MLN","Sort=A","Dates=H","DateFormat=P","Fill=—","Direction=H","UseDPDF=Y")</f>
        <v>3.2210000000000001</v>
      </c>
      <c r="X40" s="13" cm="1">
        <f t="array" ref="X40">_xll.BDH("NUE US Equity","OTHER_ADJUSTMENTS","FQ2 2024","FQ2 2024","Currency=USD","Period=FQ","BEST_FPERIOD_OVERRIDE=FQ","FILING_STATUS=MR","SCALING_FORMAT=MLN","Sort=A","Dates=H","DateFormat=P","Fill=—","Direction=H","UseDPDF=Y")</f>
        <v>3.0529999999999999</v>
      </c>
      <c r="Y40" s="13" cm="1">
        <f t="array" ref="Y40">_xll.BDH("NUE US Equity","OTHER_ADJUSTMENTS","FQ3 2024","FQ3 2024","Currency=USD","Period=FQ","BEST_FPERIOD_OVERRIDE=FQ","FILING_STATUS=MR","SCALING_FORMAT=MLN","Sort=A","Dates=H","DateFormat=P","Fill=—","Direction=H","UseDPDF=Y")</f>
        <v>1.117</v>
      </c>
      <c r="Z40" s="13" cm="1">
        <f t="array" ref="Z40">_xll.BDH("NUE US Equity","OTHER_ADJUSTMENTS","FQ4 2024","FQ4 2024","Currency=USD","Period=FQ","BEST_FPERIOD_OVERRIDE=FQ","FILING_STATUS=MR","SCALING_FORMAT=MLN","Sort=A","Dates=H","DateFormat=P","Fill=—","Direction=H","UseDPDF=Y")</f>
        <v>0</v>
      </c>
      <c r="AA40" s="13" cm="1">
        <f t="array" ref="AA40">_xll.BDH("NUE US Equity","OTHER_ADJUSTMENTS","FQ1 2025","FQ1 2025","Currency=USD","Period=FQ","BEST_FPERIOD_OVERRIDE=FQ","FILING_STATUS=MR","SCALING_FORMAT=MLN","Sort=A","Dates=H","DateFormat=P","Fill=—","Direction=H","UseDPDF=Y")</f>
        <v>0</v>
      </c>
      <c r="AB40" s="13" cm="1">
        <f t="array" ref="AB40">_xll.BDH("NUE US Equity","OTHER_ADJUSTMENTS","FQ2 2025","FQ2 2025","Currency=USD","Period=FQ","BEST_FPERIOD_OVERRIDE=FQ","FILING_STATUS=MR","SCALING_FORMAT=MLN","Sort=A","Dates=H","DateFormat=P","Fill=—","Direction=H","UseDPDF=Y")</f>
        <v>3</v>
      </c>
      <c r="AC40" s="13" cm="1">
        <f t="array" ref="AC40">_xll.BDH("NUE US Equity","OTHER_ADJUSTMENTS","FQ3 2025","FQ3 2025","Currency=USD","Period=FQ","BEST_FPERIOD_OVERRIDE=FQ","FILING_STATUS=MR","SCALING_FORMAT=MLN","Sort=A","Dates=H","DateFormat=P","Fill=—","Direction=H","UseDPDF=Y")</f>
        <v>2</v>
      </c>
      <c r="AD40" s="13" cm="1">
        <f t="array" ref="AD40">_xll.BDH("NUE US Equity","OTHER_ADJUSTMENTS","FQ4 2025","FQ4 2025","Currency=USD","Period=FQ","BEST_FPERIOD_OVERRIDE=FQ","FILING_STATUS=MR","SCALING_FORMAT=MLN","Sort=A","Dates=H","DateFormat=P","Fill=—","Direction=H","UseDPDF=Y")</f>
        <v>0</v>
      </c>
      <c r="AE40" s="13"/>
      <c r="AF40" s="13"/>
    </row>
    <row r="41" spans="1:32" x14ac:dyDescent="0.25">
      <c r="A41" s="6" t="s">
        <v>134</v>
      </c>
      <c r="B41" s="6" t="s">
        <v>135</v>
      </c>
      <c r="C41" s="16" cm="1">
        <f t="array" ref="C41">_xll.BDH("NUE US Equity","EARN_FOR_COMMON","FQ1 2019","FQ1 2019","Currency=USD","Period=FQ","BEST_FPERIOD_OVERRIDE=FQ","FILING_STATUS=MR","SCALING_FORMAT=MLN","FA_ADJUSTED=GAAP","Sort=A","Dates=H","DateFormat=P","Fill=—","Direction=H","UseDPDF=Y")</f>
        <v>499.83800000000002</v>
      </c>
      <c r="D41" s="16" cm="1">
        <f t="array" ref="D41">_xll.BDH("NUE US Equity","EARN_FOR_COMMON","FQ2 2019","FQ2 2019","Currency=USD","Period=FQ","BEST_FPERIOD_OVERRIDE=FQ","FILING_STATUS=MR","SCALING_FORMAT=MLN","FA_ADJUSTED=GAAP","Sort=A","Dates=H","DateFormat=P","Fill=—","Direction=H","UseDPDF=Y")</f>
        <v>384.05200000000002</v>
      </c>
      <c r="E41" s="16" cm="1">
        <f t="array" ref="E41">_xll.BDH("NUE US Equity","EARN_FOR_COMMON","FQ3 2019","FQ3 2019","Currency=USD","Period=FQ","BEST_FPERIOD_OVERRIDE=FQ","FILING_STATUS=MR","SCALING_FORMAT=MLN","FA_ADJUSTED=GAAP","Sort=A","Dates=H","DateFormat=P","Fill=—","Direction=H","UseDPDF=Y")</f>
        <v>273.37599999999998</v>
      </c>
      <c r="F41" s="16" cm="1">
        <f t="array" ref="F41">_xll.BDH("NUE US Equity","EARN_FOR_COMMON","FQ4 2019","FQ4 2019","Currency=USD","Period=FQ","BEST_FPERIOD_OVERRIDE=FQ","FILING_STATUS=MR","SCALING_FORMAT=MLN","FA_ADJUSTED=GAAP","Sort=A","Dates=H","DateFormat=P","Fill=—","Direction=H","UseDPDF=Y")</f>
        <v>107.083</v>
      </c>
      <c r="G41" s="16" cm="1">
        <f t="array" ref="G41">_xll.BDH("NUE US Equity","EARN_FOR_COMMON","FQ1 2020","FQ1 2020","Currency=USD","Period=FQ","BEST_FPERIOD_OVERRIDE=FQ","FILING_STATUS=MR","SCALING_FORMAT=MLN","FA_ADJUSTED=GAAP","Sort=A","Dates=H","DateFormat=P","Fill=—","Direction=H","UseDPDF=Y")</f>
        <v>19.701000000000001</v>
      </c>
      <c r="H41" s="16" cm="1">
        <f t="array" ref="H41">_xll.BDH("NUE US Equity","EARN_FOR_COMMON","FQ2 2020","FQ2 2020","Currency=USD","Period=FQ","BEST_FPERIOD_OVERRIDE=FQ","FILING_STATUS=MR","SCALING_FORMAT=MLN","FA_ADJUSTED=GAAP","Sort=A","Dates=H","DateFormat=P","Fill=—","Direction=H","UseDPDF=Y")</f>
        <v>108.089</v>
      </c>
      <c r="I41" s="16" cm="1">
        <f t="array" ref="I41">_xll.BDH("NUE US Equity","EARN_FOR_COMMON","FQ3 2020","FQ3 2020","Currency=USD","Period=FQ","BEST_FPERIOD_OVERRIDE=FQ","FILING_STATUS=MR","SCALING_FORMAT=MLN","FA_ADJUSTED=GAAP","Sort=A","Dates=H","DateFormat=P","Fill=—","Direction=H","UseDPDF=Y")</f>
        <v>192.214</v>
      </c>
      <c r="J41" s="16" cm="1">
        <f t="array" ref="J41">_xll.BDH("NUE US Equity","EARN_FOR_COMMON","FQ4 2020","FQ4 2020","Currency=USD","Period=FQ","BEST_FPERIOD_OVERRIDE=FQ","FILING_STATUS=MR","SCALING_FORMAT=MLN","FA_ADJUSTED=GAAP","Sort=A","Dates=H","DateFormat=P","Fill=—","Direction=H","UseDPDF=Y")</f>
        <v>396.66899999999998</v>
      </c>
      <c r="K41" s="16" cm="1">
        <f t="array" ref="K41">_xll.BDH("NUE US Equity","EARN_FOR_COMMON","FQ1 2021","FQ1 2021","Currency=USD","Period=FQ","BEST_FPERIOD_OVERRIDE=FQ","FILING_STATUS=MR","SCALING_FORMAT=MLN","FA_ADJUSTED=GAAP","Sort=A","Dates=H","DateFormat=P","Fill=—","Direction=H","UseDPDF=Y")</f>
        <v>937.05600000000004</v>
      </c>
      <c r="L41" s="16" cm="1">
        <f t="array" ref="L41">_xll.BDH("NUE US Equity","EARN_FOR_COMMON","FQ2 2021","FQ2 2021","Currency=USD","Period=FQ","BEST_FPERIOD_OVERRIDE=FQ","FILING_STATUS=MR","SCALING_FORMAT=MLN","FA_ADJUSTED=GAAP","Sort=A","Dates=H","DateFormat=P","Fill=—","Direction=H","UseDPDF=Y")</f>
        <v>1506.8679999999999</v>
      </c>
      <c r="M41" s="16" cm="1">
        <f t="array" ref="M41">_xll.BDH("NUE US Equity","EARN_FOR_COMMON","FQ3 2021","FQ3 2021","Currency=USD","Period=FQ","BEST_FPERIOD_OVERRIDE=FQ","FILING_STATUS=MR","SCALING_FORMAT=MLN","FA_ADJUSTED=GAAP","Sort=A","Dates=H","DateFormat=P","Fill=—","Direction=H","UseDPDF=Y")</f>
        <v>2118.3009999999999</v>
      </c>
      <c r="N41" s="16" cm="1">
        <f t="array" ref="N41">_xll.BDH("NUE US Equity","EARN_FOR_COMMON","FQ4 2021","FQ4 2021","Currency=USD","Period=FQ","BEST_FPERIOD_OVERRIDE=FQ","FILING_STATUS=MR","SCALING_FORMAT=MLN","FA_ADJUSTED=GAAP","Sort=A","Dates=H","DateFormat=P","Fill=—","Direction=H","UseDPDF=Y")</f>
        <v>2240.3789999999999</v>
      </c>
      <c r="O41" s="16" cm="1">
        <f t="array" ref="O41">_xll.BDH("NUE US Equity","EARN_FOR_COMMON","FQ1 2022","FQ1 2022","Currency=USD","Period=FQ","BEST_FPERIOD_OVERRIDE=FQ","FILING_STATUS=MR","SCALING_FORMAT=MLN","FA_ADJUSTED=GAAP","Sort=A","Dates=H","DateFormat=P","Fill=—","Direction=H","UseDPDF=Y")</f>
        <v>2087.203</v>
      </c>
      <c r="P41" s="16" cm="1">
        <f t="array" ref="P41">_xll.BDH("NUE US Equity","EARN_FOR_COMMON","FQ2 2022","FQ2 2022","Currency=USD","Period=FQ","BEST_FPERIOD_OVERRIDE=FQ","FILING_STATUS=MR","SCALING_FORMAT=MLN","FA_ADJUSTED=GAAP","Sort=A","Dates=H","DateFormat=P","Fill=—","Direction=H","UseDPDF=Y")</f>
        <v>2561.2330000000002</v>
      </c>
      <c r="Q41" s="16" cm="1">
        <f t="array" ref="Q41">_xll.BDH("NUE US Equity","EARN_FOR_COMMON","FQ3 2022","FQ3 2022","Currency=USD","Period=FQ","BEST_FPERIOD_OVERRIDE=FQ","FILING_STATUS=MR","SCALING_FORMAT=MLN","FA_ADJUSTED=GAAP","Sort=A","Dates=H","DateFormat=P","Fill=—","Direction=H","UseDPDF=Y")</f>
        <v>1701.6410000000001</v>
      </c>
      <c r="R41" s="16" cm="1">
        <f t="array" ref="R41">_xll.BDH("NUE US Equity","EARN_FOR_COMMON","FQ4 2022","FQ4 2022","Currency=USD","Period=FQ","BEST_FPERIOD_OVERRIDE=FQ","FILING_STATUS=MR","SCALING_FORMAT=MLN","FA_ADJUSTED=GAAP","Sort=A","Dates=H","DateFormat=P","Fill=—","Direction=H","UseDPDF=Y")</f>
        <v>1255.7329999999999</v>
      </c>
      <c r="S41" s="16" cm="1">
        <f t="array" ref="S41">_xll.BDH("NUE US Equity","EARN_FOR_COMMON","FQ1 2023","FQ1 2023","Currency=USD","Period=FQ","BEST_FPERIOD_OVERRIDE=FQ","FILING_STATUS=MR","SCALING_FORMAT=MLN","FA_ADJUSTED=GAAP","Sort=A","Dates=H","DateFormat=P","Fill=—","Direction=H","UseDPDF=Y")</f>
        <v>1133.1289999999999</v>
      </c>
      <c r="T41" s="16" cm="1">
        <f t="array" ref="T41">_xll.BDH("NUE US Equity","EARN_FOR_COMMON","FQ2 2023","FQ2 2023","Currency=USD","Period=FQ","BEST_FPERIOD_OVERRIDE=FQ","FILING_STATUS=MR","SCALING_FORMAT=MLN","FA_ADJUSTED=GAAP","Sort=A","Dates=H","DateFormat=P","Fill=—","Direction=H","UseDPDF=Y")</f>
        <v>1455.325</v>
      </c>
      <c r="U41" s="16" cm="1">
        <f t="array" ref="U41">_xll.BDH("NUE US Equity","EARN_FOR_COMMON","FQ3 2023","FQ3 2023","Currency=USD","Period=FQ","BEST_FPERIOD_OVERRIDE=FQ","FILING_STATUS=MR","SCALING_FORMAT=MLN","FA_ADJUSTED=GAAP","Sort=A","Dates=H","DateFormat=P","Fill=—","Direction=H","UseDPDF=Y")</f>
        <v>1137.018</v>
      </c>
      <c r="V41" s="16" cm="1">
        <f t="array" ref="V41">_xll.BDH("NUE US Equity","EARN_FOR_COMMON","FQ4 2023","FQ4 2023","Currency=USD","Period=FQ","BEST_FPERIOD_OVERRIDE=FQ","FILING_STATUS=MR","SCALING_FORMAT=MLN","FA_ADJUSTED=GAAP","Sort=A","Dates=H","DateFormat=P","Fill=—","Direction=H","UseDPDF=Y")</f>
        <v>785.399</v>
      </c>
      <c r="W41" s="16" cm="1">
        <f t="array" ref="W41">_xll.BDH("NUE US Equity","EARN_FOR_COMMON","FQ1 2024","FQ1 2024","Currency=USD","Period=FQ","BEST_FPERIOD_OVERRIDE=FQ","FILING_STATUS=MR","SCALING_FORMAT=MLN","FA_ADJUSTED=GAAP","Sort=A","Dates=H","DateFormat=P","Fill=—","Direction=H","UseDPDF=Y")</f>
        <v>841.62</v>
      </c>
      <c r="X41" s="16" cm="1">
        <f t="array" ref="X41">_xll.BDH("NUE US Equity","EARN_FOR_COMMON","FQ2 2024","FQ2 2024","Currency=USD","Period=FQ","BEST_FPERIOD_OVERRIDE=FQ","FILING_STATUS=MR","SCALING_FORMAT=MLN","FA_ADJUSTED=GAAP","Sort=A","Dates=H","DateFormat=P","Fill=—","Direction=H","UseDPDF=Y")</f>
        <v>642.16399999999999</v>
      </c>
      <c r="Y41" s="16" cm="1">
        <f t="array" ref="Y41">_xll.BDH("NUE US Equity","EARN_FOR_COMMON","FQ3 2024","FQ3 2024","Currency=USD","Period=FQ","BEST_FPERIOD_OVERRIDE=FQ","FILING_STATUS=MR","SCALING_FORMAT=MLN","FA_ADJUSTED=GAAP","Sort=A","Dates=H","DateFormat=P","Fill=—","Direction=H","UseDPDF=Y")</f>
        <v>248.79300000000001</v>
      </c>
      <c r="Z41" s="16" cm="1">
        <f t="array" ref="Z41">_xll.BDH("NUE US Equity","EARN_FOR_COMMON","FQ4 2024","FQ4 2024","Currency=USD","Period=FQ","BEST_FPERIOD_OVERRIDE=FQ","FILING_STATUS=MR","SCALING_FORMAT=MLN","FA_ADJUSTED=GAAP","Sort=A","Dates=H","DateFormat=P","Fill=—","Direction=H","UseDPDF=Y")</f>
        <v>287</v>
      </c>
      <c r="AA41" s="16" cm="1">
        <f t="array" ref="AA41">_xll.BDH("NUE US Equity","EARN_FOR_COMMON","FQ1 2025","FQ1 2025","Currency=USD","Period=FQ","BEST_FPERIOD_OVERRIDE=FQ","FILING_STATUS=MR","SCALING_FORMAT=MLN","FA_ADJUSTED=GAAP","Sort=A","Dates=H","DateFormat=P","Fill=—","Direction=H","UseDPDF=Y")</f>
        <v>156</v>
      </c>
      <c r="AB41" s="16" cm="1">
        <f t="array" ref="AB41">_xll.BDH("NUE US Equity","EARN_FOR_COMMON","FQ2 2025","FQ2 2025","Currency=USD","Period=FQ","BEST_FPERIOD_OVERRIDE=FQ","FILING_STATUS=MR","SCALING_FORMAT=MLN","FA_ADJUSTED=GAAP","Sort=A","Dates=H","DateFormat=P","Fill=—","Direction=H","UseDPDF=Y")</f>
        <v>600</v>
      </c>
      <c r="AC41" s="16" cm="1">
        <f t="array" ref="AC41">_xll.BDH("NUE US Equity","EARN_FOR_COMMON","FQ3 2025","FQ3 2025","Currency=USD","Period=FQ","BEST_FPERIOD_OVERRIDE=FQ","FILING_STATUS=MR","SCALING_FORMAT=MLN","FA_ADJUSTED=GAAP","Sort=A","Dates=H","DateFormat=P","Fill=—","Direction=H","UseDPDF=Y")</f>
        <v>605</v>
      </c>
      <c r="AD41" s="16" cm="1">
        <f t="array" ref="AD41">_xll.BDH("NUE US Equity","EARN_FOR_COMMON","FQ4 2025","FQ4 2025","Currency=USD","Period=FQ","BEST_FPERIOD_OVERRIDE=FQ","FILING_STATUS=MR","SCALING_FORMAT=MLN","FA_ADJUSTED=GAAP","Sort=A","Dates=H","DateFormat=P","Fill=—","Direction=H","UseDPDF=Y")</f>
        <v>378</v>
      </c>
      <c r="AE41" s="16">
        <v>655.85699999999997</v>
      </c>
      <c r="AF41" s="16">
        <v>768.57100000000003</v>
      </c>
    </row>
    <row r="42" spans="1:32" x14ac:dyDescent="0.25">
      <c r="A42" s="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x14ac:dyDescent="0.25">
      <c r="A43" s="6" t="s">
        <v>136</v>
      </c>
      <c r="B43" s="6" t="s">
        <v>135</v>
      </c>
      <c r="C43" s="16" cm="1">
        <f t="array" ref="C43">_xll.BDH("NUE US Equity","EARN_FOR_COMMON","FQ1 2019","FQ1 2019","Currency=USD","Period=FQ","BEST_FPERIOD_OVERRIDE=FQ","FILING_STATUS=MR","SCALING_FORMAT=MLN","FA_ADJUSTED=Adjusted","Sort=A","Dates=H","DateFormat=P","Fill=—","Direction=H","UseDPDF=Y")</f>
        <v>499.83800000000002</v>
      </c>
      <c r="D43" s="16" cm="1">
        <f t="array" ref="D43">_xll.BDH("NUE US Equity","EARN_FOR_COMMON","FQ2 2019","FQ2 2019","Currency=USD","Period=FQ","BEST_FPERIOD_OVERRIDE=FQ","FILING_STATUS=MR","SCALING_FORMAT=MLN","FA_ADJUSTED=Adjusted","Sort=A","Dates=H","DateFormat=P","Fill=—","Direction=H","UseDPDF=Y")</f>
        <v>399.34960000000001</v>
      </c>
      <c r="E43" s="16" cm="1">
        <f t="array" ref="E43">_xll.BDH("NUE US Equity","EARN_FOR_COMMON","FQ3 2019","FQ3 2019","Currency=USD","Period=FQ","BEST_FPERIOD_OVERRIDE=FQ","FILING_STATUS=MR","SCALING_FORMAT=MLN","FA_ADJUSTED=Adjusted","Sort=A","Dates=H","DateFormat=P","Fill=—","Direction=H","UseDPDF=Y")</f>
        <v>294.72460000000001</v>
      </c>
      <c r="F43" s="16" cm="1">
        <f t="array" ref="F43">_xll.BDH("NUE US Equity","EARN_FOR_COMMON","FQ4 2019","FQ4 2019","Currency=USD","Period=FQ","BEST_FPERIOD_OVERRIDE=FQ","FILING_STATUS=MR","SCALING_FORMAT=MLN","FA_ADJUSTED=Adjusted","Sort=A","Dates=H","DateFormat=P","Fill=—","Direction=H","UseDPDF=Y")</f>
        <v>187.5966</v>
      </c>
      <c r="G43" s="16" cm="1">
        <f t="array" ref="G43">_xll.BDH("NUE US Equity","EARN_FOR_COMMON","FQ1 2020","FQ1 2020","Currency=USD","Period=FQ","BEST_FPERIOD_OVERRIDE=FQ","FILING_STATUS=MR","SCALING_FORMAT=MLN","FA_ADJUSTED=Adjusted","Sort=A","Dates=H","DateFormat=P","Fill=—","Direction=H","UseDPDF=Y")</f>
        <v>268.30459999999999</v>
      </c>
      <c r="H43" s="16" cm="1">
        <f t="array" ref="H43">_xll.BDH("NUE US Equity","EARN_FOR_COMMON","FQ2 2020","FQ2 2020","Currency=USD","Period=FQ","BEST_FPERIOD_OVERRIDE=FQ","FILING_STATUS=MR","SCALING_FORMAT=MLN","FA_ADJUSTED=Adjusted","Sort=A","Dates=H","DateFormat=P","Fill=—","Direction=H","UseDPDF=Y")</f>
        <v>130.215</v>
      </c>
      <c r="I43" s="16" cm="1">
        <f t="array" ref="I43">_xll.BDH("NUE US Equity","EARN_FOR_COMMON","FQ3 2020","FQ3 2020","Currency=USD","Period=FQ","BEST_FPERIOD_OVERRIDE=FQ","FILING_STATUS=MR","SCALING_FORMAT=MLN","FA_ADJUSTED=Adjusted","Sort=A","Dates=H","DateFormat=P","Fill=—","Direction=H","UseDPDF=Y")</f>
        <v>209.56880000000001</v>
      </c>
      <c r="J43" s="16" cm="1">
        <f t="array" ref="J43">_xll.BDH("NUE US Equity","EARN_FOR_COMMON","FQ4 2020","FQ4 2020","Currency=USD","Period=FQ","BEST_FPERIOD_OVERRIDE=FQ","FILING_STATUS=MR","SCALING_FORMAT=MLN","FA_ADJUSTED=Adjusted","Sort=A","Dates=H","DateFormat=P","Fill=—","Direction=H","UseDPDF=Y")</f>
        <v>579.09910000000002</v>
      </c>
      <c r="K43" s="16" cm="1">
        <f t="array" ref="K43">_xll.BDH("NUE US Equity","EARN_FOR_COMMON","FQ1 2021","FQ1 2021","Currency=USD","Period=FQ","BEST_FPERIOD_OVERRIDE=FQ","FILING_STATUS=MR","SCALING_FORMAT=MLN","FA_ADJUSTED=Adjusted","Sort=A","Dates=H","DateFormat=P","Fill=—","Direction=H","UseDPDF=Y")</f>
        <v>957.44489999999996</v>
      </c>
      <c r="L43" s="16" cm="1">
        <f t="array" ref="L43">_xll.BDH("NUE US Equity","EARN_FOR_COMMON","FQ2 2021","FQ2 2021","Currency=USD","Period=FQ","BEST_FPERIOD_OVERRIDE=FQ","FILING_STATUS=MR","SCALING_FORMAT=MLN","FA_ADJUSTED=Adjusted","Sort=A","Dates=H","DateFormat=P","Fill=—","Direction=H","UseDPDF=Y")</f>
        <v>1559.7230999999999</v>
      </c>
      <c r="M43" s="16" cm="1">
        <f t="array" ref="M43">_xll.BDH("NUE US Equity","EARN_FOR_COMMON","FQ3 2021","FQ3 2021","Currency=USD","Period=FQ","BEST_FPERIOD_OVERRIDE=FQ","FILING_STATUS=MR","SCALING_FORMAT=MLN","FA_ADJUSTED=Adjusted","Sort=A","Dates=H","DateFormat=P","Fill=—","Direction=H","UseDPDF=Y")</f>
        <v>2144.5047</v>
      </c>
      <c r="N43" s="16" cm="1">
        <f t="array" ref="N43">_xll.BDH("NUE US Equity","EARN_FOR_COMMON","FQ4 2021","FQ4 2021","Currency=USD","Period=FQ","BEST_FPERIOD_OVERRIDE=FQ","FILING_STATUS=MR","SCALING_FORMAT=MLN","FA_ADJUSTED=Adjusted","Sort=A","Dates=H","DateFormat=P","Fill=—","Direction=H","UseDPDF=Y")</f>
        <v>2291.3768</v>
      </c>
      <c r="O43" s="16" cm="1">
        <f t="array" ref="O43">_xll.BDH("NUE US Equity","EARN_FOR_COMMON","FQ1 2022","FQ1 2022","Currency=USD","Period=FQ","BEST_FPERIOD_OVERRIDE=FQ","FILING_STATUS=MR","SCALING_FORMAT=MLN","FA_ADJUSTED=Adjusted","Sort=A","Dates=H","DateFormat=P","Fill=—","Direction=H","UseDPDF=Y")</f>
        <v>2133.4589999999998</v>
      </c>
      <c r="P43" s="16" cm="1">
        <f t="array" ref="P43">_xll.BDH("NUE US Equity","EARN_FOR_COMMON","FQ2 2022","FQ2 2022","Currency=USD","Period=FQ","BEST_FPERIOD_OVERRIDE=FQ","FILING_STATUS=MR","SCALING_FORMAT=MLN","FA_ADJUSTED=Adjusted","Sort=A","Dates=H","DateFormat=P","Fill=—","Direction=H","UseDPDF=Y")</f>
        <v>2606.0652</v>
      </c>
      <c r="Q43" s="16" cm="1">
        <f t="array" ref="Q43">_xll.BDH("NUE US Equity","EARN_FOR_COMMON","FQ3 2022","FQ3 2022","Currency=USD","Period=FQ","BEST_FPERIOD_OVERRIDE=FQ","FILING_STATUS=MR","SCALING_FORMAT=MLN","FA_ADJUSTED=Adjusted","Sort=A","Dates=H","DateFormat=P","Fill=—","Direction=H","UseDPDF=Y")</f>
        <v>1740.5699</v>
      </c>
      <c r="R43" s="16" cm="1">
        <f t="array" ref="R43">_xll.BDH("NUE US Equity","EARN_FOR_COMMON","FQ4 2022","FQ4 2022","Currency=USD","Period=FQ","BEST_FPERIOD_OVERRIDE=FQ","FILING_STATUS=MR","SCALING_FORMAT=MLN","FA_ADJUSTED=Adjusted","Sort=A","Dates=H","DateFormat=P","Fill=—","Direction=H","UseDPDF=Y")</f>
        <v>1393.7901999999999</v>
      </c>
      <c r="S43" s="16" cm="1">
        <f t="array" ref="S43">_xll.BDH("NUE US Equity","EARN_FOR_COMMON","FQ1 2023","FQ1 2023","Currency=USD","Period=FQ","BEST_FPERIOD_OVERRIDE=FQ","FILING_STATUS=MR","SCALING_FORMAT=MLN","FA_ADJUSTED=Adjusted","Sort=A","Dates=H","DateFormat=P","Fill=—","Direction=H","UseDPDF=Y")</f>
        <v>1194.1842999999999</v>
      </c>
      <c r="T43" s="16" cm="1">
        <f t="array" ref="T43">_xll.BDH("NUE US Equity","EARN_FOR_COMMON","FQ2 2023","FQ2 2023","Currency=USD","Period=FQ","BEST_FPERIOD_OVERRIDE=FQ","FILING_STATUS=MR","SCALING_FORMAT=MLN","FA_ADJUSTED=Adjusted","Sort=A","Dates=H","DateFormat=P","Fill=—","Direction=H","UseDPDF=Y")</f>
        <v>1522.9665</v>
      </c>
      <c r="U43" s="16" cm="1">
        <f t="array" ref="U43">_xll.BDH("NUE US Equity","EARN_FOR_COMMON","FQ3 2023","FQ3 2023","Currency=USD","Period=FQ","BEST_FPERIOD_OVERRIDE=FQ","FILING_STATUS=MR","SCALING_FORMAT=MLN","FA_ADJUSTED=Adjusted","Sort=A","Dates=H","DateFormat=P","Fill=—","Direction=H","UseDPDF=Y")</f>
        <v>1214.182</v>
      </c>
      <c r="V43" s="16" cm="1">
        <f t="array" ref="V43">_xll.BDH("NUE US Equity","EARN_FOR_COMMON","FQ4 2023","FQ4 2023","Currency=USD","Period=FQ","BEST_FPERIOD_OVERRIDE=FQ","FILING_STATUS=MR","SCALING_FORMAT=MLN","FA_ADJUSTED=Adjusted","Sort=A","Dates=H","DateFormat=P","Fill=—","Direction=H","UseDPDF=Y")</f>
        <v>881.8261</v>
      </c>
      <c r="W43" s="16" cm="1">
        <f t="array" ref="W43">_xll.BDH("NUE US Equity","EARN_FOR_COMMON","FQ1 2024","FQ1 2024","Currency=USD","Period=FQ","BEST_FPERIOD_OVERRIDE=FQ","FILING_STATUS=MR","SCALING_FORMAT=MLN","FA_ADJUSTED=Adjusted","Sort=A","Dates=H","DateFormat=P","Fill=—","Direction=H","UseDPDF=Y")</f>
        <v>936.5838</v>
      </c>
      <c r="X43" s="16" cm="1">
        <f t="array" ref="X43">_xll.BDH("NUE US Equity","EARN_FOR_COMMON","FQ2 2024","FQ2 2024","Currency=USD","Period=FQ","BEST_FPERIOD_OVERRIDE=FQ","FILING_STATUS=MR","SCALING_FORMAT=MLN","FA_ADJUSTED=Adjusted","Sort=A","Dates=H","DateFormat=P","Fill=—","Direction=H","UseDPDF=Y")</f>
        <v>735.73869999999999</v>
      </c>
      <c r="Y43" s="16" cm="1">
        <f t="array" ref="Y43">_xll.BDH("NUE US Equity","EARN_FOR_COMMON","FQ3 2024","FQ3 2024","Currency=USD","Period=FQ","BEST_FPERIOD_OVERRIDE=FQ","FILING_STATUS=MR","SCALING_FORMAT=MLN","FA_ADJUSTED=Adjusted","Sort=A","Dates=H","DateFormat=P","Fill=—","Direction=H","UseDPDF=Y")</f>
        <v>473.8177</v>
      </c>
      <c r="Z43" s="16" cm="1">
        <f t="array" ref="Z43">_xll.BDH("NUE US Equity","EARN_FOR_COMMON","FQ4 2024","FQ4 2024","Currency=USD","Period=FQ","BEST_FPERIOD_OVERRIDE=FQ","FILING_STATUS=MR","SCALING_FORMAT=MLN","FA_ADJUSTED=Adjusted","Sort=A","Dates=H","DateFormat=P","Fill=—","Direction=H","UseDPDF=Y")</f>
        <v>411.17899999999997</v>
      </c>
      <c r="AA43" s="16" cm="1">
        <f t="array" ref="AA43">_xll.BDH("NUE US Equity","EARN_FOR_COMMON","FQ1 2025","FQ1 2025","Currency=USD","Period=FQ","BEST_FPERIOD_OVERRIDE=FQ","FILING_STATUS=MR","SCALING_FORMAT=MLN","FA_ADJUSTED=Adjusted","Sort=A","Dates=H","DateFormat=P","Fill=—","Direction=H","UseDPDF=Y")</f>
        <v>309.334</v>
      </c>
      <c r="AB43" s="16" cm="1">
        <f t="array" ref="AB43">_xll.BDH("NUE US Equity","EARN_FOR_COMMON","FQ2 2025","FQ2 2025","Currency=USD","Period=FQ","BEST_FPERIOD_OVERRIDE=FQ","FILING_STATUS=MR","SCALING_FORMAT=MLN","FA_ADJUSTED=Adjusted","Sort=A","Dates=H","DateFormat=P","Fill=—","Direction=H","UseDPDF=Y")</f>
        <v>608.69000000000005</v>
      </c>
      <c r="AC43" s="16" cm="1">
        <f t="array" ref="AC43">_xll.BDH("NUE US Equity","EARN_FOR_COMMON","FQ3 2025","FQ3 2025","Currency=USD","Period=FQ","BEST_FPERIOD_OVERRIDE=FQ","FILING_STATUS=MR","SCALING_FORMAT=MLN","FA_ADJUSTED=Adjusted","Sort=A","Dates=H","DateFormat=P","Fill=—","Direction=H","UseDPDF=Y")</f>
        <v>683.26800000000003</v>
      </c>
      <c r="AD43" s="16" cm="1">
        <f t="array" ref="AD43">_xll.BDH("NUE US Equity","EARN_FOR_COMMON","FQ4 2025","FQ4 2025","Currency=USD","Period=FQ","BEST_FPERIOD_OVERRIDE=FQ","FILING_STATUS=MR","SCALING_FORMAT=MLN","FA_ADJUSTED=Adjusted","Sort=A","Dates=H","DateFormat=P","Fill=—","Direction=H","UseDPDF=Y")</f>
        <v>465.91399999999999</v>
      </c>
      <c r="AE43" s="16">
        <v>645.66700000000003</v>
      </c>
      <c r="AF43" s="16">
        <v>747.11099999999999</v>
      </c>
    </row>
    <row r="44" spans="1:32" x14ac:dyDescent="0.25">
      <c r="A44" s="10" t="s">
        <v>137</v>
      </c>
      <c r="B44" s="10" t="s">
        <v>138</v>
      </c>
      <c r="C44" s="13" cm="1">
        <f t="array" ref="C44">_xll.BDH("NUE US Equity","IS_NET_ABNORMAL_ITEMS","FQ1 2019","FQ1 2019","Currency=USD","Period=FQ","BEST_FPERIOD_OVERRIDE=FQ","FILING_STATUS=MR","SCALING_FORMAT=MLN","Sort=A","Dates=H","DateFormat=P","Fill=—","Direction=H","UseDPDF=Y")</f>
        <v>0</v>
      </c>
      <c r="D44" s="13" cm="1">
        <f t="array" ref="D44">_xll.BDH("NUE US Equity","IS_NET_ABNORMAL_ITEMS","FQ2 2019","FQ2 2019","Currency=USD","Period=FQ","BEST_FPERIOD_OVERRIDE=FQ","FILING_STATUS=MR","SCALING_FORMAT=MLN","Sort=A","Dates=H","DateFormat=P","Fill=—","Direction=H","UseDPDF=Y")</f>
        <v>15.297599999999999</v>
      </c>
      <c r="E44" s="13" cm="1">
        <f t="array" ref="E44">_xll.BDH("NUE US Equity","IS_NET_ABNORMAL_ITEMS","FQ3 2019","FQ3 2019","Currency=USD","Period=FQ","BEST_FPERIOD_OVERRIDE=FQ","FILING_STATUS=MR","SCALING_FORMAT=MLN","Sort=A","Dates=H","DateFormat=P","Fill=—","Direction=H","UseDPDF=Y")</f>
        <v>21.348600000000001</v>
      </c>
      <c r="F44" s="13" cm="1">
        <f t="array" ref="F44">_xll.BDH("NUE US Equity","IS_NET_ABNORMAL_ITEMS","FQ4 2019","FQ4 2019","Currency=USD","Period=FQ","BEST_FPERIOD_OVERRIDE=FQ","FILING_STATUS=MR","SCALING_FORMAT=MLN","Sort=A","Dates=H","DateFormat=P","Fill=—","Direction=H","UseDPDF=Y")</f>
        <v>80.513599999999997</v>
      </c>
      <c r="G44" s="13" cm="1">
        <f t="array" ref="G44">_xll.BDH("NUE US Equity","IS_NET_ABNORMAL_ITEMS","FQ1 2020","FQ1 2020","Currency=USD","Period=FQ","BEST_FPERIOD_OVERRIDE=FQ","FILING_STATUS=MR","SCALING_FORMAT=MLN","Sort=A","Dates=H","DateFormat=P","Fill=—","Direction=H","UseDPDF=Y")</f>
        <v>248.6036</v>
      </c>
      <c r="H44" s="13" cm="1">
        <f t="array" ref="H44">_xll.BDH("NUE US Equity","IS_NET_ABNORMAL_ITEMS","FQ2 2020","FQ2 2020","Currency=USD","Period=FQ","BEST_FPERIOD_OVERRIDE=FQ","FILING_STATUS=MR","SCALING_FORMAT=MLN","Sort=A","Dates=H","DateFormat=P","Fill=—","Direction=H","UseDPDF=Y")</f>
        <v>22.126000000000001</v>
      </c>
      <c r="I44" s="13" cm="1">
        <f t="array" ref="I44">_xll.BDH("NUE US Equity","IS_NET_ABNORMAL_ITEMS","FQ3 2020","FQ3 2020","Currency=USD","Period=FQ","BEST_FPERIOD_OVERRIDE=FQ","FILING_STATUS=MR","SCALING_FORMAT=MLN","Sort=A","Dates=H","DateFormat=P","Fill=—","Direction=H","UseDPDF=Y")</f>
        <v>17.354800000000001</v>
      </c>
      <c r="J44" s="13" cm="1">
        <f t="array" ref="J44">_xll.BDH("NUE US Equity","IS_NET_ABNORMAL_ITEMS","FQ4 2020","FQ4 2020","Currency=USD","Period=FQ","BEST_FPERIOD_OVERRIDE=FQ","FILING_STATUS=MR","SCALING_FORMAT=MLN","Sort=A","Dates=H","DateFormat=P","Fill=—","Direction=H","UseDPDF=Y")</f>
        <v>182.43010000000001</v>
      </c>
      <c r="K44" s="13" cm="1">
        <f t="array" ref="K44">_xll.BDH("NUE US Equity","IS_NET_ABNORMAL_ITEMS","FQ1 2021","FQ1 2021","Currency=USD","Period=FQ","BEST_FPERIOD_OVERRIDE=FQ","FILING_STATUS=MR","SCALING_FORMAT=MLN","Sort=A","Dates=H","DateFormat=P","Fill=—","Direction=H","UseDPDF=Y")</f>
        <v>20.3889</v>
      </c>
      <c r="L44" s="13" cm="1">
        <f t="array" ref="L44">_xll.BDH("NUE US Equity","IS_NET_ABNORMAL_ITEMS","FQ2 2021","FQ2 2021","Currency=USD","Period=FQ","BEST_FPERIOD_OVERRIDE=FQ","FILING_STATUS=MR","SCALING_FORMAT=MLN","Sort=A","Dates=H","DateFormat=P","Fill=—","Direction=H","UseDPDF=Y")</f>
        <v>52.8551</v>
      </c>
      <c r="M44" s="13" cm="1">
        <f t="array" ref="M44">_xll.BDH("NUE US Equity","IS_NET_ABNORMAL_ITEMS","FQ3 2021","FQ3 2021","Currency=USD","Period=FQ","BEST_FPERIOD_OVERRIDE=FQ","FILING_STATUS=MR","SCALING_FORMAT=MLN","Sort=A","Dates=H","DateFormat=P","Fill=—","Direction=H","UseDPDF=Y")</f>
        <v>26.203700000000001</v>
      </c>
      <c r="N44" s="13" cm="1">
        <f t="array" ref="N44">_xll.BDH("NUE US Equity","IS_NET_ABNORMAL_ITEMS","FQ4 2021","FQ4 2021","Currency=USD","Period=FQ","BEST_FPERIOD_OVERRIDE=FQ","FILING_STATUS=MR","SCALING_FORMAT=MLN","Sort=A","Dates=H","DateFormat=P","Fill=—","Direction=H","UseDPDF=Y")</f>
        <v>50.997799999999998</v>
      </c>
      <c r="O44" s="13" cm="1">
        <f t="array" ref="O44">_xll.BDH("NUE US Equity","IS_NET_ABNORMAL_ITEMS","FQ1 2022","FQ1 2022","Currency=USD","Period=FQ","BEST_FPERIOD_OVERRIDE=FQ","FILING_STATUS=MR","SCALING_FORMAT=MLN","Sort=A","Dates=H","DateFormat=P","Fill=—","Direction=H","UseDPDF=Y")</f>
        <v>46.256</v>
      </c>
      <c r="P44" s="13" cm="1">
        <f t="array" ref="P44">_xll.BDH("NUE US Equity","IS_NET_ABNORMAL_ITEMS","FQ2 2022","FQ2 2022","Currency=USD","Period=FQ","BEST_FPERIOD_OVERRIDE=FQ","FILING_STATUS=MR","SCALING_FORMAT=MLN","Sort=A","Dates=H","DateFormat=P","Fill=—","Direction=H","UseDPDF=Y")</f>
        <v>44.8322</v>
      </c>
      <c r="Q44" s="13" cm="1">
        <f t="array" ref="Q44">_xll.BDH("NUE US Equity","IS_NET_ABNORMAL_ITEMS","FQ3 2022","FQ3 2022","Currency=USD","Period=FQ","BEST_FPERIOD_OVERRIDE=FQ","FILING_STATUS=MR","SCALING_FORMAT=MLN","Sort=A","Dates=H","DateFormat=P","Fill=—","Direction=H","UseDPDF=Y")</f>
        <v>38.928899999999999</v>
      </c>
      <c r="R44" s="13" cm="1">
        <f t="array" ref="R44">_xll.BDH("NUE US Equity","IS_NET_ABNORMAL_ITEMS","FQ4 2022","FQ4 2022","Currency=USD","Period=FQ","BEST_FPERIOD_OVERRIDE=FQ","FILING_STATUS=MR","SCALING_FORMAT=MLN","Sort=A","Dates=H","DateFormat=P","Fill=—","Direction=H","UseDPDF=Y")</f>
        <v>138.05719999999999</v>
      </c>
      <c r="S44" s="13" cm="1">
        <f t="array" ref="S44">_xll.BDH("NUE US Equity","IS_NET_ABNORMAL_ITEMS","FQ1 2023","FQ1 2023","Currency=USD","Period=FQ","BEST_FPERIOD_OVERRIDE=FQ","FILING_STATUS=MR","SCALING_FORMAT=MLN","Sort=A","Dates=H","DateFormat=P","Fill=—","Direction=H","UseDPDF=Y")</f>
        <v>61.055300000000003</v>
      </c>
      <c r="T44" s="13" cm="1">
        <f t="array" ref="T44">_xll.BDH("NUE US Equity","IS_NET_ABNORMAL_ITEMS","FQ2 2023","FQ2 2023","Currency=USD","Period=FQ","BEST_FPERIOD_OVERRIDE=FQ","FILING_STATUS=MR","SCALING_FORMAT=MLN","Sort=A","Dates=H","DateFormat=P","Fill=—","Direction=H","UseDPDF=Y")</f>
        <v>67.641499999999994</v>
      </c>
      <c r="U44" s="13" cm="1">
        <f t="array" ref="U44">_xll.BDH("NUE US Equity","IS_NET_ABNORMAL_ITEMS","FQ3 2023","FQ3 2023","Currency=USD","Period=FQ","BEST_FPERIOD_OVERRIDE=FQ","FILING_STATUS=MR","SCALING_FORMAT=MLN","Sort=A","Dates=H","DateFormat=P","Fill=—","Direction=H","UseDPDF=Y")</f>
        <v>77.164000000000001</v>
      </c>
      <c r="V44" s="13" cm="1">
        <f t="array" ref="V44">_xll.BDH("NUE US Equity","IS_NET_ABNORMAL_ITEMS","FQ4 2023","FQ4 2023","Currency=USD","Period=FQ","BEST_FPERIOD_OVERRIDE=FQ","FILING_STATUS=MR","SCALING_FORMAT=MLN","Sort=A","Dates=H","DateFormat=P","Fill=—","Direction=H","UseDPDF=Y")</f>
        <v>96.427099999999996</v>
      </c>
      <c r="W44" s="13" cm="1">
        <f t="array" ref="W44">_xll.BDH("NUE US Equity","IS_NET_ABNORMAL_ITEMS","FQ1 2024","FQ1 2024","Currency=USD","Period=FQ","BEST_FPERIOD_OVERRIDE=FQ","FILING_STATUS=MR","SCALING_FORMAT=MLN","Sort=A","Dates=H","DateFormat=P","Fill=—","Direction=H","UseDPDF=Y")</f>
        <v>94.963800000000006</v>
      </c>
      <c r="X44" s="13" cm="1">
        <f t="array" ref="X44">_xll.BDH("NUE US Equity","IS_NET_ABNORMAL_ITEMS","FQ2 2024","FQ2 2024","Currency=USD","Period=FQ","BEST_FPERIOD_OVERRIDE=FQ","FILING_STATUS=MR","SCALING_FORMAT=MLN","Sort=A","Dates=H","DateFormat=P","Fill=—","Direction=H","UseDPDF=Y")</f>
        <v>93.574700000000007</v>
      </c>
      <c r="Y44" s="13" cm="1">
        <f t="array" ref="Y44">_xll.BDH("NUE US Equity","IS_NET_ABNORMAL_ITEMS","FQ3 2024","FQ3 2024","Currency=USD","Period=FQ","BEST_FPERIOD_OVERRIDE=FQ","FILING_STATUS=MR","SCALING_FORMAT=MLN","Sort=A","Dates=H","DateFormat=P","Fill=—","Direction=H","UseDPDF=Y")</f>
        <v>225.0247</v>
      </c>
      <c r="Z44" s="13" cm="1">
        <f t="array" ref="Z44">_xll.BDH("NUE US Equity","IS_NET_ABNORMAL_ITEMS","FQ4 2024","FQ4 2024","Currency=USD","Period=FQ","BEST_FPERIOD_OVERRIDE=FQ","FILING_STATUS=MR","SCALING_FORMAT=MLN","Sort=A","Dates=H","DateFormat=P","Fill=—","Direction=H","UseDPDF=Y")</f>
        <v>124.179</v>
      </c>
      <c r="AA44" s="13" cm="1">
        <f t="array" ref="AA44">_xll.BDH("NUE US Equity","IS_NET_ABNORMAL_ITEMS","FQ1 2025","FQ1 2025","Currency=USD","Period=FQ","BEST_FPERIOD_OVERRIDE=FQ","FILING_STATUS=MR","SCALING_FORMAT=MLN","Sort=A","Dates=H","DateFormat=P","Fill=—","Direction=H","UseDPDF=Y")</f>
        <v>153.334</v>
      </c>
      <c r="AB44" s="13" cm="1">
        <f t="array" ref="AB44">_xll.BDH("NUE US Equity","IS_NET_ABNORMAL_ITEMS","FQ2 2025","FQ2 2025","Currency=USD","Period=FQ","BEST_FPERIOD_OVERRIDE=FQ","FILING_STATUS=MR","SCALING_FORMAT=MLN","Sort=A","Dates=H","DateFormat=P","Fill=—","Direction=H","UseDPDF=Y")</f>
        <v>8.69</v>
      </c>
      <c r="AC44" s="13" cm="1">
        <f t="array" ref="AC44">_xll.BDH("NUE US Equity","IS_NET_ABNORMAL_ITEMS","FQ3 2025","FQ3 2025","Currency=USD","Period=FQ","BEST_FPERIOD_OVERRIDE=FQ","FILING_STATUS=MR","SCALING_FORMAT=MLN","Sort=A","Dates=H","DateFormat=P","Fill=—","Direction=H","UseDPDF=Y")</f>
        <v>78.268000000000001</v>
      </c>
      <c r="AD44" s="13" cm="1">
        <f t="array" ref="AD44">_xll.BDH("NUE US Equity","IS_NET_ABNORMAL_ITEMS","FQ4 2025","FQ4 2025","Currency=USD","Period=FQ","BEST_FPERIOD_OVERRIDE=FQ","FILING_STATUS=MR","SCALING_FORMAT=MLN","Sort=A","Dates=H","DateFormat=P","Fill=—","Direction=H","UseDPDF=Y")</f>
        <v>87.914000000000001</v>
      </c>
      <c r="AE44" s="13"/>
      <c r="AF44" s="13"/>
    </row>
    <row r="45" spans="1:32" x14ac:dyDescent="0.25">
      <c r="A45" s="10" t="s">
        <v>139</v>
      </c>
      <c r="B45" s="10" t="s">
        <v>119</v>
      </c>
      <c r="C45" s="13" cm="1">
        <f t="array" ref="C45">_xll.BDH("NUE US Equity","XO_GL_NET_OF_TAX","FQ1 2019","FQ1 2019","Currency=USD","Period=FQ","BEST_FPERIOD_OVERRIDE=FQ","FILING_STATUS=MR","SCALING_FORMAT=MLN","Sort=A","Dates=H","DateFormat=P","Fill=—","Direction=H","UseDPDF=Y")</f>
        <v>0</v>
      </c>
      <c r="D45" s="13" cm="1">
        <f t="array" ref="D45">_xll.BDH("NUE US Equity","XO_GL_NET_OF_TAX","FQ2 2019","FQ2 2019","Currency=USD","Period=FQ","BEST_FPERIOD_OVERRIDE=FQ","FILING_STATUS=MR","SCALING_FORMAT=MLN","Sort=A","Dates=H","DateFormat=P","Fill=—","Direction=H","UseDPDF=Y")</f>
        <v>0</v>
      </c>
      <c r="E45" s="13" cm="1">
        <f t="array" ref="E45">_xll.BDH("NUE US Equity","XO_GL_NET_OF_TAX","FQ3 2019","FQ3 2019","Currency=USD","Period=FQ","BEST_FPERIOD_OVERRIDE=FQ","FILING_STATUS=MR","SCALING_FORMAT=MLN","Sort=A","Dates=H","DateFormat=P","Fill=—","Direction=H","UseDPDF=Y")</f>
        <v>0</v>
      </c>
      <c r="F45" s="13" cm="1">
        <f t="array" ref="F45">_xll.BDH("NUE US Equity","XO_GL_NET_OF_TAX","FQ4 2019","FQ4 2019","Currency=USD","Period=FQ","BEST_FPERIOD_OVERRIDE=FQ","FILING_STATUS=MR","SCALING_FORMAT=MLN","Sort=A","Dates=H","DateFormat=P","Fill=—","Direction=H","UseDPDF=Y")</f>
        <v>0</v>
      </c>
      <c r="G45" s="13" cm="1">
        <f t="array" ref="G45">_xll.BDH("NUE US Equity","XO_GL_NET_OF_TAX","FQ1 2020","FQ1 2020","Currency=USD","Period=FQ","BEST_FPERIOD_OVERRIDE=FQ","FILING_STATUS=MR","SCALING_FORMAT=MLN","Sort=A","Dates=H","DateFormat=P","Fill=—","Direction=H","UseDPDF=Y")</f>
        <v>0</v>
      </c>
      <c r="H45" s="13" cm="1">
        <f t="array" ref="H45">_xll.BDH("NUE US Equity","XO_GL_NET_OF_TAX","FQ2 2020","FQ2 2020","Currency=USD","Period=FQ","BEST_FPERIOD_OVERRIDE=FQ","FILING_STATUS=MR","SCALING_FORMAT=MLN","Sort=A","Dates=H","DateFormat=P","Fill=—","Direction=H","UseDPDF=Y")</f>
        <v>0</v>
      </c>
      <c r="I45" s="13" cm="1">
        <f t="array" ref="I45">_xll.BDH("NUE US Equity","XO_GL_NET_OF_TAX","FQ3 2020","FQ3 2020","Currency=USD","Period=FQ","BEST_FPERIOD_OVERRIDE=FQ","FILING_STATUS=MR","SCALING_FORMAT=MLN","Sort=A","Dates=H","DateFormat=P","Fill=—","Direction=H","UseDPDF=Y")</f>
        <v>0</v>
      </c>
      <c r="J45" s="13" cm="1">
        <f t="array" ref="J45">_xll.BDH("NUE US Equity","XO_GL_NET_OF_TAX","FQ4 2020","FQ4 2020","Currency=USD","Period=FQ","BEST_FPERIOD_OVERRIDE=FQ","FILING_STATUS=MR","SCALING_FORMAT=MLN","Sort=A","Dates=H","DateFormat=P","Fill=—","Direction=H","UseDPDF=Y")</f>
        <v>0</v>
      </c>
      <c r="K45" s="13" cm="1">
        <f t="array" ref="K45">_xll.BDH("NUE US Equity","XO_GL_NET_OF_TAX","FQ1 2021","FQ1 2021","Currency=USD","Period=FQ","BEST_FPERIOD_OVERRIDE=FQ","FILING_STATUS=MR","SCALING_FORMAT=MLN","Sort=A","Dates=H","DateFormat=P","Fill=—","Direction=H","UseDPDF=Y")</f>
        <v>0</v>
      </c>
      <c r="L45" s="13" cm="1">
        <f t="array" ref="L45">_xll.BDH("NUE US Equity","XO_GL_NET_OF_TAX","FQ2 2021","FQ2 2021","Currency=USD","Period=FQ","BEST_FPERIOD_OVERRIDE=FQ","FILING_STATUS=MR","SCALING_FORMAT=MLN","Sort=A","Dates=H","DateFormat=P","Fill=—","Direction=H","UseDPDF=Y")</f>
        <v>0</v>
      </c>
      <c r="M45" s="13" cm="1">
        <f t="array" ref="M45">_xll.BDH("NUE US Equity","XO_GL_NET_OF_TAX","FQ3 2021","FQ3 2021","Currency=USD","Period=FQ","BEST_FPERIOD_OVERRIDE=FQ","FILING_STATUS=MR","SCALING_FORMAT=MLN","Sort=A","Dates=H","DateFormat=P","Fill=—","Direction=H","UseDPDF=Y")</f>
        <v>0</v>
      </c>
      <c r="N45" s="13" cm="1">
        <f t="array" ref="N45">_xll.BDH("NUE US Equity","XO_GL_NET_OF_TAX","FQ4 2021","FQ4 2021","Currency=USD","Period=FQ","BEST_FPERIOD_OVERRIDE=FQ","FILING_STATUS=MR","SCALING_FORMAT=MLN","Sort=A","Dates=H","DateFormat=P","Fill=—","Direction=H","UseDPDF=Y")</f>
        <v>0</v>
      </c>
      <c r="O45" s="13" cm="1">
        <f t="array" ref="O45">_xll.BDH("NUE US Equity","XO_GL_NET_OF_TAX","FQ1 2022","FQ1 2022","Currency=USD","Period=FQ","BEST_FPERIOD_OVERRIDE=FQ","FILING_STATUS=MR","SCALING_FORMAT=MLN","Sort=A","Dates=H","DateFormat=P","Fill=—","Direction=H","UseDPDF=Y")</f>
        <v>0</v>
      </c>
      <c r="P45" s="13" cm="1">
        <f t="array" ref="P45">_xll.BDH("NUE US Equity","XO_GL_NET_OF_TAX","FQ2 2022","FQ2 2022","Currency=USD","Period=FQ","BEST_FPERIOD_OVERRIDE=FQ","FILING_STATUS=MR","SCALING_FORMAT=MLN","Sort=A","Dates=H","DateFormat=P","Fill=—","Direction=H","UseDPDF=Y")</f>
        <v>0</v>
      </c>
      <c r="Q45" s="13" cm="1">
        <f t="array" ref="Q45">_xll.BDH("NUE US Equity","XO_GL_NET_OF_TAX","FQ3 2022","FQ3 2022","Currency=USD","Period=FQ","BEST_FPERIOD_OVERRIDE=FQ","FILING_STATUS=MR","SCALING_FORMAT=MLN","Sort=A","Dates=H","DateFormat=P","Fill=—","Direction=H","UseDPDF=Y")</f>
        <v>0</v>
      </c>
      <c r="R45" s="13" cm="1">
        <f t="array" ref="R45">_xll.BDH("NUE US Equity","XO_GL_NET_OF_TAX","FQ4 2022","FQ4 2022","Currency=USD","Period=FQ","BEST_FPERIOD_OVERRIDE=FQ","FILING_STATUS=MR","SCALING_FORMAT=MLN","Sort=A","Dates=H","DateFormat=P","Fill=—","Direction=H","UseDPDF=Y")</f>
        <v>0</v>
      </c>
      <c r="S45" s="13" cm="1">
        <f t="array" ref="S45">_xll.BDH("NUE US Equity","XO_GL_NET_OF_TAX","FQ1 2023","FQ1 2023","Currency=USD","Period=FQ","BEST_FPERIOD_OVERRIDE=FQ","FILING_STATUS=MR","SCALING_FORMAT=MLN","Sort=A","Dates=H","DateFormat=P","Fill=—","Direction=H","UseDPDF=Y")</f>
        <v>0</v>
      </c>
      <c r="T45" s="13" cm="1">
        <f t="array" ref="T45">_xll.BDH("NUE US Equity","XO_GL_NET_OF_TAX","FQ2 2023","FQ2 2023","Currency=USD","Period=FQ","BEST_FPERIOD_OVERRIDE=FQ","FILING_STATUS=MR","SCALING_FORMAT=MLN","Sort=A","Dates=H","DateFormat=P","Fill=—","Direction=H","UseDPDF=Y")</f>
        <v>0</v>
      </c>
      <c r="U45" s="13" cm="1">
        <f t="array" ref="U45">_xll.BDH("NUE US Equity","XO_GL_NET_OF_TAX","FQ3 2023","FQ3 2023","Currency=USD","Period=FQ","BEST_FPERIOD_OVERRIDE=FQ","FILING_STATUS=MR","SCALING_FORMAT=MLN","Sort=A","Dates=H","DateFormat=P","Fill=—","Direction=H","UseDPDF=Y")</f>
        <v>0</v>
      </c>
      <c r="V45" s="13" cm="1">
        <f t="array" ref="V45">_xll.BDH("NUE US Equity","XO_GL_NET_OF_TAX","FQ4 2023","FQ4 2023","Currency=USD","Period=FQ","BEST_FPERIOD_OVERRIDE=FQ","FILING_STATUS=MR","SCALING_FORMAT=MLN","Sort=A","Dates=H","DateFormat=P","Fill=—","Direction=H","UseDPDF=Y")</f>
        <v>0</v>
      </c>
      <c r="W45" s="13" cm="1">
        <f t="array" ref="W45">_xll.BDH("NUE US Equity","XO_GL_NET_OF_TAX","FQ1 2024","FQ1 2024","Currency=USD","Period=FQ","BEST_FPERIOD_OVERRIDE=FQ","FILING_STATUS=MR","SCALING_FORMAT=MLN","Sort=A","Dates=H","DateFormat=P","Fill=—","Direction=H","UseDPDF=Y")</f>
        <v>0</v>
      </c>
      <c r="X45" s="13" cm="1">
        <f t="array" ref="X45">_xll.BDH("NUE US Equity","XO_GL_NET_OF_TAX","FQ2 2024","FQ2 2024","Currency=USD","Period=FQ","BEST_FPERIOD_OVERRIDE=FQ","FILING_STATUS=MR","SCALING_FORMAT=MLN","Sort=A","Dates=H","DateFormat=P","Fill=—","Direction=H","UseDPDF=Y")</f>
        <v>0</v>
      </c>
      <c r="Y45" s="13" cm="1">
        <f t="array" ref="Y45">_xll.BDH("NUE US Equity","XO_GL_NET_OF_TAX","FQ3 2024","FQ3 2024","Currency=USD","Period=FQ","BEST_FPERIOD_OVERRIDE=FQ","FILING_STATUS=MR","SCALING_FORMAT=MLN","Sort=A","Dates=H","DateFormat=P","Fill=—","Direction=H","UseDPDF=Y")</f>
        <v>0</v>
      </c>
      <c r="Z45" s="13" cm="1">
        <f t="array" ref="Z45">_xll.BDH("NUE US Equity","XO_GL_NET_OF_TAX","FQ4 2024","FQ4 2024","Currency=USD","Period=FQ","BEST_FPERIOD_OVERRIDE=FQ","FILING_STATUS=MR","SCALING_FORMAT=MLN","Sort=A","Dates=H","DateFormat=P","Fill=—","Direction=H","UseDPDF=Y")</f>
        <v>0</v>
      </c>
      <c r="AA45" s="13" cm="1">
        <f t="array" ref="AA45">_xll.BDH("NUE US Equity","XO_GL_NET_OF_TAX","FQ1 2025","FQ1 2025","Currency=USD","Period=FQ","BEST_FPERIOD_OVERRIDE=FQ","FILING_STATUS=MR","SCALING_FORMAT=MLN","Sort=A","Dates=H","DateFormat=P","Fill=—","Direction=H","UseDPDF=Y")</f>
        <v>0</v>
      </c>
      <c r="AB45" s="13" cm="1">
        <f t="array" ref="AB45">_xll.BDH("NUE US Equity","XO_GL_NET_OF_TAX","FQ2 2025","FQ2 2025","Currency=USD","Period=FQ","BEST_FPERIOD_OVERRIDE=FQ","FILING_STATUS=MR","SCALING_FORMAT=MLN","Sort=A","Dates=H","DateFormat=P","Fill=—","Direction=H","UseDPDF=Y")</f>
        <v>0</v>
      </c>
      <c r="AC45" s="13" cm="1">
        <f t="array" ref="AC45">_xll.BDH("NUE US Equity","XO_GL_NET_OF_TAX","FQ3 2025","FQ3 2025","Currency=USD","Period=FQ","BEST_FPERIOD_OVERRIDE=FQ","FILING_STATUS=MR","SCALING_FORMAT=MLN","Sort=A","Dates=H","DateFormat=P","Fill=—","Direction=H","UseDPDF=Y")</f>
        <v>0</v>
      </c>
      <c r="AD45" s="13" cm="1">
        <f t="array" ref="AD45">_xll.BDH("NUE US Equity","XO_GL_NET_OF_TAX","FQ4 2025","FQ4 2025","Currency=USD","Period=FQ","BEST_FPERIOD_OVERRIDE=FQ","FILING_STATUS=MR","SCALING_FORMAT=MLN","Sort=A","Dates=H","DateFormat=P","Fill=—","Direction=H","UseDPDF=Y")</f>
        <v>0</v>
      </c>
      <c r="AE45" s="13"/>
      <c r="AF45" s="13"/>
    </row>
    <row r="46" spans="1:32" x14ac:dyDescent="0.25">
      <c r="A46" s="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1:32" x14ac:dyDescent="0.25">
      <c r="A47" s="10" t="s">
        <v>140</v>
      </c>
      <c r="B47" s="10" t="s">
        <v>141</v>
      </c>
      <c r="C47" s="13" cm="1">
        <f t="array" ref="C47">_xll.BDH("NUE US Equity","IS_AVG_NUM_SH_FOR_EPS","FQ1 2019","FQ1 2019","Currency=USD","Period=FQ","BEST_FPERIOD_OVERRIDE=FQ","FILING_STATUS=MR","Sort=A","Dates=H","DateFormat=P","Fill=—","Direction=H","UseDPDF=Y")</f>
        <v>306.58499999999998</v>
      </c>
      <c r="D47" s="13" cm="1">
        <f t="array" ref="D47">_xll.BDH("NUE US Equity","IS_AVG_NUM_SH_FOR_EPS","FQ2 2019","FQ2 2019","Currency=USD","Period=FQ","BEST_FPERIOD_OVERRIDE=FQ","FILING_STATUS=MR","Sort=A","Dates=H","DateFormat=P","Fill=—","Direction=H","UseDPDF=Y")</f>
        <v>305.46100000000001</v>
      </c>
      <c r="E47" s="13" cm="1">
        <f t="array" ref="E47">_xll.BDH("NUE US Equity","IS_AVG_NUM_SH_FOR_EPS","FQ3 2019","FQ3 2019","Currency=USD","Period=FQ","BEST_FPERIOD_OVERRIDE=FQ","FILING_STATUS=MR","Sort=A","Dates=H","DateFormat=P","Fill=—","Direction=H","UseDPDF=Y")</f>
        <v>304.637</v>
      </c>
      <c r="F47" s="13" cm="1">
        <f t="array" ref="F47">_xll.BDH("NUE US Equity","IS_AVG_NUM_SH_FOR_EPS","FQ4 2019","FQ4 2019","Currency=USD","Period=FQ","BEST_FPERIOD_OVERRIDE=FQ","FILING_STATUS=MR","Sort=A","Dates=H","DateFormat=P","Fill=—","Direction=H","UseDPDF=Y")</f>
        <v>303.56</v>
      </c>
      <c r="G47" s="13" cm="1">
        <f t="array" ref="G47">_xll.BDH("NUE US Equity","IS_AVG_NUM_SH_FOR_EPS","FQ1 2020","FQ1 2020","Currency=USD","Period=FQ","BEST_FPERIOD_OVERRIDE=FQ","FILING_STATUS=MR","Sort=A","Dates=H","DateFormat=P","Fill=—","Direction=H","UseDPDF=Y")</f>
        <v>302.90899999999999</v>
      </c>
      <c r="H47" s="13" cm="1">
        <f t="array" ref="H47">_xll.BDH("NUE US Equity","IS_AVG_NUM_SH_FOR_EPS","FQ2 2020","FQ2 2020","Currency=USD","Period=FQ","BEST_FPERIOD_OVERRIDE=FQ","FILING_STATUS=MR","Sort=A","Dates=H","DateFormat=P","Fill=—","Direction=H","UseDPDF=Y")</f>
        <v>302.92099999999999</v>
      </c>
      <c r="I47" s="13" cm="1">
        <f t="array" ref="I47">_xll.BDH("NUE US Equity","IS_AVG_NUM_SH_FOR_EPS","FQ3 2020","FQ3 2020","Currency=USD","Period=FQ","BEST_FPERIOD_OVERRIDE=FQ","FILING_STATUS=MR","Sort=A","Dates=H","DateFormat=P","Fill=—","Direction=H","UseDPDF=Y")</f>
        <v>303.39400000000001</v>
      </c>
      <c r="J47" s="13" cm="1">
        <f t="array" ref="J47">_xll.BDH("NUE US Equity","IS_AVG_NUM_SH_FOR_EPS","FQ4 2020","FQ4 2020","Currency=USD","Period=FQ","BEST_FPERIOD_OVERRIDE=FQ","FILING_STATUS=MR","Sort=A","Dates=H","DateFormat=P","Fill=—","Direction=H","UseDPDF=Y")</f>
        <v>303.46699999999998</v>
      </c>
      <c r="K47" s="13" cm="1">
        <f t="array" ref="K47">_xll.BDH("NUE US Equity","IS_AVG_NUM_SH_FOR_EPS","FQ1 2021","FQ1 2021","Currency=USD","Period=FQ","BEST_FPERIOD_OVERRIDE=FQ","FILING_STATUS=MR","Sort=A","Dates=H","DateFormat=P","Fill=—","Direction=H","UseDPDF=Y")</f>
        <v>301.846</v>
      </c>
      <c r="L47" s="13" cm="1">
        <f t="array" ref="L47">_xll.BDH("NUE US Equity","IS_AVG_NUM_SH_FOR_EPS","FQ2 2021","FQ2 2021","Currency=USD","Period=FQ","BEST_FPERIOD_OVERRIDE=FQ","FILING_STATUS=MR","Sort=A","Dates=H","DateFormat=P","Fill=—","Direction=H","UseDPDF=Y")</f>
        <v>296.81700000000001</v>
      </c>
      <c r="M47" s="13" cm="1">
        <f t="array" ref="M47">_xll.BDH("NUE US Equity","IS_AVG_NUM_SH_FOR_EPS","FQ3 2021","FQ3 2021","Currency=USD","Period=FQ","BEST_FPERIOD_OVERRIDE=FQ","FILING_STATUS=MR","Sort=A","Dates=H","DateFormat=P","Fill=—","Direction=H","UseDPDF=Y")</f>
        <v>290.51</v>
      </c>
      <c r="N47" s="13" cm="1">
        <f t="array" ref="N47">_xll.BDH("NUE US Equity","IS_AVG_NUM_SH_FOR_EPS","FQ4 2021","FQ4 2021","Currency=USD","Period=FQ","BEST_FPERIOD_OVERRIDE=FQ","FILING_STATUS=MR","Sort=A","Dates=H","DateFormat=P","Fill=—","Direction=H","UseDPDF=Y")</f>
        <v>280.45100000000002</v>
      </c>
      <c r="O47" s="13" cm="1">
        <f t="array" ref="O47">_xll.BDH("NUE US Equity","IS_AVG_NUM_SH_FOR_EPS","FQ1 2022","FQ1 2022","Currency=USD","Period=FQ","BEST_FPERIOD_OVERRIDE=FQ","FILING_STATUS=MR","Sort=A","Dates=H","DateFormat=P","Fill=—","Direction=H","UseDPDF=Y")</f>
        <v>271.56400000000002</v>
      </c>
      <c r="P47" s="13" cm="1">
        <f t="array" ref="P47">_xll.BDH("NUE US Equity","IS_AVG_NUM_SH_FOR_EPS","FQ2 2022","FQ2 2022","Currency=USD","Period=FQ","BEST_FPERIOD_OVERRIDE=FQ","FILING_STATUS=MR","Sort=A","Dates=H","DateFormat=P","Fill=—","Direction=H","UseDPDF=Y")</f>
        <v>263.221</v>
      </c>
      <c r="Q47" s="13" cm="1">
        <f t="array" ref="Q47">_xll.BDH("NUE US Equity","IS_AVG_NUM_SH_FOR_EPS","FQ3 2022","FQ3 2022","Currency=USD","Period=FQ","BEST_FPERIOD_OVERRIDE=FQ","FILING_STATUS=MR","Sort=A","Dates=H","DateFormat=P","Fill=—","Direction=H","UseDPDF=Y")</f>
        <v>259.10199999999998</v>
      </c>
      <c r="R47" s="13" cm="1">
        <f t="array" ref="R47">_xll.BDH("NUE US Equity","IS_AVG_NUM_SH_FOR_EPS","FQ4 2022","FQ4 2022","Currency=USD","Period=FQ","BEST_FPERIOD_OVERRIDE=FQ","FILING_STATUS=MR","Sort=A","Dates=H","DateFormat=P","Fill=—","Direction=H","UseDPDF=Y")</f>
        <v>255.40199999999999</v>
      </c>
      <c r="S47" s="13" cm="1">
        <f t="array" ref="S47">_xll.BDH("NUE US Equity","IS_AVG_NUM_SH_FOR_EPS","FQ1 2023","FQ1 2023","Currency=USD","Period=FQ","BEST_FPERIOD_OVERRIDE=FQ","FILING_STATUS=MR","Sort=A","Dates=H","DateFormat=P","Fill=—","Direction=H","UseDPDF=Y")</f>
        <v>253.608</v>
      </c>
      <c r="T47" s="13" cm="1">
        <f t="array" ref="T47">_xll.BDH("NUE US Equity","IS_AVG_NUM_SH_FOR_EPS","FQ2 2023","FQ2 2023","Currency=USD","Period=FQ","BEST_FPERIOD_OVERRIDE=FQ","FILING_STATUS=MR","Sort=A","Dates=H","DateFormat=P","Fill=—","Direction=H","UseDPDF=Y")</f>
        <v>250.14400000000001</v>
      </c>
      <c r="U47" s="13" cm="1">
        <f t="array" ref="U47">_xll.BDH("NUE US Equity","IS_AVG_NUM_SH_FOR_EPS","FQ3 2023","FQ3 2023","Currency=USD","Period=FQ","BEST_FPERIOD_OVERRIDE=FQ","FILING_STATUS=MR","Sort=A","Dates=H","DateFormat=P","Fill=—","Direction=H","UseDPDF=Y")</f>
        <v>248.50399999999999</v>
      </c>
      <c r="V47" s="13" cm="1">
        <f t="array" ref="V47">_xll.BDH("NUE US Equity","IS_AVG_NUM_SH_FOR_EPS","FQ4 2023","FQ4 2023","Currency=USD","Period=FQ","BEST_FPERIOD_OVERRIDE=FQ","FILING_STATUS=MR","Sort=A","Dates=H","DateFormat=P","Fill=—","Direction=H","UseDPDF=Y")</f>
        <v>246.86799999999999</v>
      </c>
      <c r="W47" s="13" cm="1">
        <f t="array" ref="W47">_xll.BDH("NUE US Equity","IS_AVG_NUM_SH_FOR_EPS","FQ1 2024","FQ1 2024","Currency=USD","Period=FQ","BEST_FPERIOD_OVERRIDE=FQ","FILING_STATUS=MR","Sort=A","Dates=H","DateFormat=P","Fill=—","Direction=H","UseDPDF=Y")</f>
        <v>243.09800000000001</v>
      </c>
      <c r="X47" s="13" cm="1">
        <f t="array" ref="X47">_xll.BDH("NUE US Equity","IS_AVG_NUM_SH_FOR_EPS","FQ2 2024","FQ2 2024","Currency=USD","Period=FQ","BEST_FPERIOD_OVERRIDE=FQ","FILING_STATUS=MR","Sort=A","Dates=H","DateFormat=P","Fill=—","Direction=H","UseDPDF=Y")</f>
        <v>239.58</v>
      </c>
      <c r="Y47" s="13" cm="1">
        <f t="array" ref="Y47">_xll.BDH("NUE US Equity","IS_AVG_NUM_SH_FOR_EPS","FQ3 2024","FQ3 2024","Currency=USD","Period=FQ","BEST_FPERIOD_OVERRIDE=FQ","FILING_STATUS=MR","Sort=A","Dates=H","DateFormat=P","Fill=—","Direction=H","UseDPDF=Y")</f>
        <v>236.46199999999999</v>
      </c>
      <c r="Z47" s="13" cm="1">
        <f t="array" ref="Z47">_xll.BDH("NUE US Equity","IS_AVG_NUM_SH_FOR_EPS","FQ4 2024","FQ4 2024","Currency=USD","Period=FQ","BEST_FPERIOD_OVERRIDE=FQ","FILING_STATUS=MR","Sort=A","Dates=H","DateFormat=P","Fill=—","Direction=H","UseDPDF=Y")</f>
        <v>234</v>
      </c>
      <c r="AA47" s="13" cm="1">
        <f t="array" ref="AA47">_xll.BDH("NUE US Equity","IS_AVG_NUM_SH_FOR_EPS","FQ1 2025","FQ1 2025","Currency=USD","Period=FQ","BEST_FPERIOD_OVERRIDE=FQ","FILING_STATUS=MR","Sort=A","Dates=H","DateFormat=P","Fill=—","Direction=H","UseDPDF=Y")</f>
        <v>232.7</v>
      </c>
      <c r="AB47" s="13" cm="1">
        <f t="array" ref="AB47">_xll.BDH("NUE US Equity","IS_AVG_NUM_SH_FOR_EPS","FQ2 2025","FQ2 2025","Currency=USD","Period=FQ","BEST_FPERIOD_OVERRIDE=FQ","FILING_STATUS=MR","Sort=A","Dates=H","DateFormat=P","Fill=—","Direction=H","UseDPDF=Y")</f>
        <v>230.6</v>
      </c>
      <c r="AC47" s="13" cm="1">
        <f t="array" ref="AC47">_xll.BDH("NUE US Equity","IS_AVG_NUM_SH_FOR_EPS","FQ3 2025","FQ3 2025","Currency=USD","Period=FQ","BEST_FPERIOD_OVERRIDE=FQ","FILING_STATUS=MR","Sort=A","Dates=H","DateFormat=P","Fill=—","Direction=H","UseDPDF=Y")</f>
        <v>229.9</v>
      </c>
      <c r="AD47" s="13" cm="1">
        <f t="array" ref="AD47">_xll.BDH("NUE US Equity","IS_AVG_NUM_SH_FOR_EPS","FQ4 2025","FQ4 2025","Currency=USD","Period=FQ","BEST_FPERIOD_OVERRIDE=FQ","FILING_STATUS=MR","Sort=A","Dates=H","DateFormat=P","Fill=—","Direction=H","UseDPDF=Y")</f>
        <v>229.3</v>
      </c>
      <c r="AE47" s="13"/>
      <c r="AF47" s="13"/>
    </row>
    <row r="48" spans="1:32" x14ac:dyDescent="0.25">
      <c r="A48" s="6" t="s">
        <v>142</v>
      </c>
      <c r="B48" s="6" t="s">
        <v>143</v>
      </c>
      <c r="C48" s="17" cm="1">
        <f t="array" ref="C48">_xll.BDH("NUE US Equity","IS_EPS","FQ1 2019","FQ1 2019","Currency=USD","Period=FQ","BEST_FPERIOD_OVERRIDE=FQ","FILING_STATUS=MR","FA_ADJUSTED=GAAP","Sort=A","Dates=H","DateFormat=P","Fill=—","Direction=H","UseDPDF=Y")</f>
        <v>1.63</v>
      </c>
      <c r="D48" s="17" cm="1">
        <f t="array" ref="D48">_xll.BDH("NUE US Equity","IS_EPS","FQ2 2019","FQ2 2019","Currency=USD","Period=FQ","BEST_FPERIOD_OVERRIDE=FQ","FILING_STATUS=MR","FA_ADJUSTED=GAAP","Sort=A","Dates=H","DateFormat=P","Fill=—","Direction=H","UseDPDF=Y")</f>
        <v>1.26</v>
      </c>
      <c r="E48" s="17" cm="1">
        <f t="array" ref="E48">_xll.BDH("NUE US Equity","IS_EPS","FQ3 2019","FQ3 2019","Currency=USD","Period=FQ","BEST_FPERIOD_OVERRIDE=FQ","FILING_STATUS=MR","FA_ADJUSTED=GAAP","Sort=A","Dates=H","DateFormat=P","Fill=—","Direction=H","UseDPDF=Y")</f>
        <v>0.9</v>
      </c>
      <c r="F48" s="17" cm="1">
        <f t="array" ref="F48">_xll.BDH("NUE US Equity","IS_EPS","FQ4 2019","FQ4 2019","Currency=USD","Period=FQ","BEST_FPERIOD_OVERRIDE=FQ","FILING_STATUS=MR","FA_ADJUSTED=GAAP","Sort=A","Dates=H","DateFormat=P","Fill=—","Direction=H","UseDPDF=Y")</f>
        <v>0.35</v>
      </c>
      <c r="G48" s="17" cm="1">
        <f t="array" ref="G48">_xll.BDH("NUE US Equity","IS_EPS","FQ1 2020","FQ1 2020","Currency=USD","Period=FQ","BEST_FPERIOD_OVERRIDE=FQ","FILING_STATUS=MR","FA_ADJUSTED=GAAP","Sort=A","Dates=H","DateFormat=P","Fill=—","Direction=H","UseDPDF=Y")</f>
        <v>7.0000000000000007E-2</v>
      </c>
      <c r="H48" s="17" cm="1">
        <f t="array" ref="H48">_xll.BDH("NUE US Equity","IS_EPS","FQ2 2020","FQ2 2020","Currency=USD","Period=FQ","BEST_FPERIOD_OVERRIDE=FQ","FILING_STATUS=MR","FA_ADJUSTED=GAAP","Sort=A","Dates=H","DateFormat=P","Fill=—","Direction=H","UseDPDF=Y")</f>
        <v>0.36</v>
      </c>
      <c r="I48" s="17" cm="1">
        <f t="array" ref="I48">_xll.BDH("NUE US Equity","IS_EPS","FQ3 2020","FQ3 2020","Currency=USD","Period=FQ","BEST_FPERIOD_OVERRIDE=FQ","FILING_STATUS=MR","FA_ADJUSTED=GAAP","Sort=A","Dates=H","DateFormat=P","Fill=—","Direction=H","UseDPDF=Y")</f>
        <v>0.63</v>
      </c>
      <c r="J48" s="17" cm="1">
        <f t="array" ref="J48">_xll.BDH("NUE US Equity","IS_EPS","FQ4 2020","FQ4 2020","Currency=USD","Period=FQ","BEST_FPERIOD_OVERRIDE=FQ","FILING_STATUS=MR","FA_ADJUSTED=GAAP","Sort=A","Dates=H","DateFormat=P","Fill=—","Direction=H","UseDPDF=Y")</f>
        <v>1.31</v>
      </c>
      <c r="K48" s="17" cm="1">
        <f t="array" ref="K48">_xll.BDH("NUE US Equity","IS_EPS","FQ1 2021","FQ1 2021","Currency=USD","Period=FQ","BEST_FPERIOD_OVERRIDE=FQ","FILING_STATUS=MR","FA_ADJUSTED=GAAP","Sort=A","Dates=H","DateFormat=P","Fill=—","Direction=H","UseDPDF=Y")</f>
        <v>3.1</v>
      </c>
      <c r="L48" s="17" cm="1">
        <f t="array" ref="L48">_xll.BDH("NUE US Equity","IS_EPS","FQ2 2021","FQ2 2021","Currency=USD","Period=FQ","BEST_FPERIOD_OVERRIDE=FQ","FILING_STATUS=MR","FA_ADJUSTED=GAAP","Sort=A","Dates=H","DateFormat=P","Fill=—","Direction=H","UseDPDF=Y")</f>
        <v>5.0768000000000004</v>
      </c>
      <c r="M48" s="17" cm="1">
        <f t="array" ref="M48">_xll.BDH("NUE US Equity","IS_EPS","FQ3 2021","FQ3 2021","Currency=USD","Period=FQ","BEST_FPERIOD_OVERRIDE=FQ","FILING_STATUS=MR","FA_ADJUSTED=GAAP","Sort=A","Dates=H","DateFormat=P","Fill=—","Direction=H","UseDPDF=Y")</f>
        <v>7.29</v>
      </c>
      <c r="N48" s="17" cm="1">
        <f t="array" ref="N48">_xll.BDH("NUE US Equity","IS_EPS","FQ4 2021","FQ4 2021","Currency=USD","Period=FQ","BEST_FPERIOD_OVERRIDE=FQ","FILING_STATUS=MR","FA_ADJUSTED=GAAP","Sort=A","Dates=H","DateFormat=P","Fill=—","Direction=H","UseDPDF=Y")</f>
        <v>7.99</v>
      </c>
      <c r="O48" s="17" cm="1">
        <f t="array" ref="O48">_xll.BDH("NUE US Equity","IS_EPS","FQ1 2022","FQ1 2022","Currency=USD","Period=FQ","BEST_FPERIOD_OVERRIDE=FQ","FILING_STATUS=MR","FA_ADJUSTED=GAAP","Sort=A","Dates=H","DateFormat=P","Fill=—","Direction=H","UseDPDF=Y")</f>
        <v>7.69</v>
      </c>
      <c r="P48" s="17" cm="1">
        <f t="array" ref="P48">_xll.BDH("NUE US Equity","IS_EPS","FQ2 2022","FQ2 2022","Currency=USD","Period=FQ","BEST_FPERIOD_OVERRIDE=FQ","FILING_STATUS=MR","FA_ADJUSTED=GAAP","Sort=A","Dates=H","DateFormat=P","Fill=—","Direction=H","UseDPDF=Y")</f>
        <v>9.69</v>
      </c>
      <c r="Q48" s="17" cm="1">
        <f t="array" ref="Q48">_xll.BDH("NUE US Equity","IS_EPS","FQ3 2022","FQ3 2022","Currency=USD","Period=FQ","BEST_FPERIOD_OVERRIDE=FQ","FILING_STATUS=MR","FA_ADJUSTED=GAAP","Sort=A","Dates=H","DateFormat=P","Fill=—","Direction=H","UseDPDF=Y")</f>
        <v>6.5674999999999999</v>
      </c>
      <c r="R48" s="17" cm="1">
        <f t="array" ref="R48">_xll.BDH("NUE US Equity","IS_EPS","FQ4 2022","FQ4 2022","Currency=USD","Period=FQ","BEST_FPERIOD_OVERRIDE=FQ","FILING_STATUS=MR","FA_ADJUSTED=GAAP","Sort=A","Dates=H","DateFormat=P","Fill=—","Direction=H","UseDPDF=Y")</f>
        <v>4.9000000000000004</v>
      </c>
      <c r="S48" s="17" cm="1">
        <f t="array" ref="S48">_xll.BDH("NUE US Equity","IS_EPS","FQ1 2023","FQ1 2023","Currency=USD","Period=FQ","BEST_FPERIOD_OVERRIDE=FQ","FILING_STATUS=MR","FA_ADJUSTED=GAAP","Sort=A","Dates=H","DateFormat=P","Fill=—","Direction=H","UseDPDF=Y")</f>
        <v>4.47</v>
      </c>
      <c r="T48" s="17" cm="1">
        <f t="array" ref="T48">_xll.BDH("NUE US Equity","IS_EPS","FQ2 2023","FQ2 2023","Currency=USD","Period=FQ","BEST_FPERIOD_OVERRIDE=FQ","FILING_STATUS=MR","FA_ADJUSTED=GAAP","Sort=A","Dates=H","DateFormat=P","Fill=—","Direction=H","UseDPDF=Y")</f>
        <v>5.82</v>
      </c>
      <c r="U48" s="17" cm="1">
        <f t="array" ref="U48">_xll.BDH("NUE US Equity","IS_EPS","FQ3 2023","FQ3 2023","Currency=USD","Period=FQ","BEST_FPERIOD_OVERRIDE=FQ","FILING_STATUS=MR","FA_ADJUSTED=GAAP","Sort=A","Dates=H","DateFormat=P","Fill=—","Direction=H","UseDPDF=Y")</f>
        <v>4.58</v>
      </c>
      <c r="V48" s="17" cm="1">
        <f t="array" ref="V48">_xll.BDH("NUE US Equity","IS_EPS","FQ4 2023","FQ4 2023","Currency=USD","Period=FQ","BEST_FPERIOD_OVERRIDE=FQ","FILING_STATUS=MR","FA_ADJUSTED=GAAP","Sort=A","Dates=H","DateFormat=P","Fill=—","Direction=H","UseDPDF=Y")</f>
        <v>3.17</v>
      </c>
      <c r="W48" s="17" cm="1">
        <f t="array" ref="W48">_xll.BDH("NUE US Equity","IS_EPS","FQ1 2024","FQ1 2024","Currency=USD","Period=FQ","BEST_FPERIOD_OVERRIDE=FQ","FILING_STATUS=MR","FA_ADJUSTED=GAAP","Sort=A","Dates=H","DateFormat=P","Fill=—","Direction=H","UseDPDF=Y")</f>
        <v>3.46</v>
      </c>
      <c r="X48" s="17" cm="1">
        <f t="array" ref="X48">_xll.BDH("NUE US Equity","IS_EPS","FQ2 2024","FQ2 2024","Currency=USD","Period=FQ","BEST_FPERIOD_OVERRIDE=FQ","FILING_STATUS=MR","FA_ADJUSTED=GAAP","Sort=A","Dates=H","DateFormat=P","Fill=—","Direction=H","UseDPDF=Y")</f>
        <v>2.68</v>
      </c>
      <c r="Y48" s="17" cm="1">
        <f t="array" ref="Y48">_xll.BDH("NUE US Equity","IS_EPS","FQ3 2024","FQ3 2024","Currency=USD","Period=FQ","BEST_FPERIOD_OVERRIDE=FQ","FILING_STATUS=MR","FA_ADJUSTED=GAAP","Sort=A","Dates=H","DateFormat=P","Fill=—","Direction=H","UseDPDF=Y")</f>
        <v>1.05</v>
      </c>
      <c r="Z48" s="17" cm="1">
        <f t="array" ref="Z48">_xll.BDH("NUE US Equity","IS_EPS","FQ4 2024","FQ4 2024","Currency=USD","Period=FQ","BEST_FPERIOD_OVERRIDE=FQ","FILING_STATUS=MR","FA_ADJUSTED=GAAP","Sort=A","Dates=H","DateFormat=P","Fill=—","Direction=H","UseDPDF=Y")</f>
        <v>1.2264999999999999</v>
      </c>
      <c r="AA48" s="17" cm="1">
        <f t="array" ref="AA48">_xll.BDH("NUE US Equity","IS_EPS","FQ1 2025","FQ1 2025","Currency=USD","Period=FQ","BEST_FPERIOD_OVERRIDE=FQ","FILING_STATUS=MR","FA_ADJUSTED=GAAP","Sort=A","Dates=H","DateFormat=P","Fill=—","Direction=H","UseDPDF=Y")</f>
        <v>0.67</v>
      </c>
      <c r="AB48" s="17" cm="1">
        <f t="array" ref="AB48">_xll.BDH("NUE US Equity","IS_EPS","FQ2 2025","FQ2 2025","Currency=USD","Period=FQ","BEST_FPERIOD_OVERRIDE=FQ","FILING_STATUS=MR","FA_ADJUSTED=GAAP","Sort=A","Dates=H","DateFormat=P","Fill=—","Direction=H","UseDPDF=Y")</f>
        <v>2.6</v>
      </c>
      <c r="AC48" s="17" cm="1">
        <f t="array" ref="AC48">_xll.BDH("NUE US Equity","IS_EPS","FQ3 2025","FQ3 2025","Currency=USD","Period=FQ","BEST_FPERIOD_OVERRIDE=FQ","FILING_STATUS=MR","FA_ADJUSTED=GAAP","Sort=A","Dates=H","DateFormat=P","Fill=—","Direction=H","UseDPDF=Y")</f>
        <v>2.63</v>
      </c>
      <c r="AD48" s="17" cm="1">
        <f t="array" ref="AD48">_xll.BDH("NUE US Equity","IS_EPS","FQ4 2025","FQ4 2025","Currency=USD","Period=FQ","BEST_FPERIOD_OVERRIDE=FQ","FILING_STATUS=MR","FA_ADJUSTED=GAAP","Sort=A","Dates=H","DateFormat=P","Fill=—","Direction=H","UseDPDF=Y")</f>
        <v>1.64</v>
      </c>
      <c r="AE48" s="17">
        <v>2.8639999999999999</v>
      </c>
      <c r="AF48" s="17">
        <v>3.4319999999999999</v>
      </c>
    </row>
    <row r="49" spans="1:32" x14ac:dyDescent="0.25">
      <c r="A49" s="6" t="s">
        <v>144</v>
      </c>
      <c r="B49" s="6" t="s">
        <v>145</v>
      </c>
      <c r="C49" s="17" cm="1">
        <f t="array" ref="C49">_xll.BDH("NUE US Equity","IS_EARN_BEF_XO_ITEMS_PER_SH","FQ1 2019","FQ1 2019","Currency=USD","Period=FQ","BEST_FPERIOD_OVERRIDE=FQ","FILING_STATUS=MR","Sort=A","Dates=H","DateFormat=P","Fill=—","Direction=H","UseDPDF=Y")</f>
        <v>1.63</v>
      </c>
      <c r="D49" s="17" cm="1">
        <f t="array" ref="D49">_xll.BDH("NUE US Equity","IS_EARN_BEF_XO_ITEMS_PER_SH","FQ2 2019","FQ2 2019","Currency=USD","Period=FQ","BEST_FPERIOD_OVERRIDE=FQ","FILING_STATUS=MR","Sort=A","Dates=H","DateFormat=P","Fill=—","Direction=H","UseDPDF=Y")</f>
        <v>1.26</v>
      </c>
      <c r="E49" s="17" cm="1">
        <f t="array" ref="E49">_xll.BDH("NUE US Equity","IS_EARN_BEF_XO_ITEMS_PER_SH","FQ3 2019","FQ3 2019","Currency=USD","Period=FQ","BEST_FPERIOD_OVERRIDE=FQ","FILING_STATUS=MR","Sort=A","Dates=H","DateFormat=P","Fill=—","Direction=H","UseDPDF=Y")</f>
        <v>0.9</v>
      </c>
      <c r="F49" s="17" cm="1">
        <f t="array" ref="F49">_xll.BDH("NUE US Equity","IS_EARN_BEF_XO_ITEMS_PER_SH","FQ4 2019","FQ4 2019","Currency=USD","Period=FQ","BEST_FPERIOD_OVERRIDE=FQ","FILING_STATUS=MR","Sort=A","Dates=H","DateFormat=P","Fill=—","Direction=H","UseDPDF=Y")</f>
        <v>0.35</v>
      </c>
      <c r="G49" s="17" cm="1">
        <f t="array" ref="G49">_xll.BDH("NUE US Equity","IS_EARN_BEF_XO_ITEMS_PER_SH","FQ1 2020","FQ1 2020","Currency=USD","Period=FQ","BEST_FPERIOD_OVERRIDE=FQ","FILING_STATUS=MR","Sort=A","Dates=H","DateFormat=P","Fill=—","Direction=H","UseDPDF=Y")</f>
        <v>7.0000000000000007E-2</v>
      </c>
      <c r="H49" s="17" cm="1">
        <f t="array" ref="H49">_xll.BDH("NUE US Equity","IS_EARN_BEF_XO_ITEMS_PER_SH","FQ2 2020","FQ2 2020","Currency=USD","Period=FQ","BEST_FPERIOD_OVERRIDE=FQ","FILING_STATUS=MR","Sort=A","Dates=H","DateFormat=P","Fill=—","Direction=H","UseDPDF=Y")</f>
        <v>0.36</v>
      </c>
      <c r="I49" s="17" cm="1">
        <f t="array" ref="I49">_xll.BDH("NUE US Equity","IS_EARN_BEF_XO_ITEMS_PER_SH","FQ3 2020","FQ3 2020","Currency=USD","Period=FQ","BEST_FPERIOD_OVERRIDE=FQ","FILING_STATUS=MR","Sort=A","Dates=H","DateFormat=P","Fill=—","Direction=H","UseDPDF=Y")</f>
        <v>0.63</v>
      </c>
      <c r="J49" s="17" cm="1">
        <f t="array" ref="J49">_xll.BDH("NUE US Equity","IS_EARN_BEF_XO_ITEMS_PER_SH","FQ4 2020","FQ4 2020","Currency=USD","Period=FQ","BEST_FPERIOD_OVERRIDE=FQ","FILING_STATUS=MR","Sort=A","Dates=H","DateFormat=P","Fill=—","Direction=H","UseDPDF=Y")</f>
        <v>1.31</v>
      </c>
      <c r="K49" s="17" cm="1">
        <f t="array" ref="K49">_xll.BDH("NUE US Equity","IS_EARN_BEF_XO_ITEMS_PER_SH","FQ1 2021","FQ1 2021","Currency=USD","Period=FQ","BEST_FPERIOD_OVERRIDE=FQ","FILING_STATUS=MR","Sort=A","Dates=H","DateFormat=P","Fill=—","Direction=H","UseDPDF=Y")</f>
        <v>3.1</v>
      </c>
      <c r="L49" s="17" cm="1">
        <f t="array" ref="L49">_xll.BDH("NUE US Equity","IS_EARN_BEF_XO_ITEMS_PER_SH","FQ2 2021","FQ2 2021","Currency=USD","Period=FQ","BEST_FPERIOD_OVERRIDE=FQ","FILING_STATUS=MR","Sort=A","Dates=H","DateFormat=P","Fill=—","Direction=H","UseDPDF=Y")</f>
        <v>5.0768000000000004</v>
      </c>
      <c r="M49" s="17" cm="1">
        <f t="array" ref="M49">_xll.BDH("NUE US Equity","IS_EARN_BEF_XO_ITEMS_PER_SH","FQ3 2021","FQ3 2021","Currency=USD","Period=FQ","BEST_FPERIOD_OVERRIDE=FQ","FILING_STATUS=MR","Sort=A","Dates=H","DateFormat=P","Fill=—","Direction=H","UseDPDF=Y")</f>
        <v>7.29</v>
      </c>
      <c r="N49" s="17" cm="1">
        <f t="array" ref="N49">_xll.BDH("NUE US Equity","IS_EARN_BEF_XO_ITEMS_PER_SH","FQ4 2021","FQ4 2021","Currency=USD","Period=FQ","BEST_FPERIOD_OVERRIDE=FQ","FILING_STATUS=MR","Sort=A","Dates=H","DateFormat=P","Fill=—","Direction=H","UseDPDF=Y")</f>
        <v>7.99</v>
      </c>
      <c r="O49" s="17" cm="1">
        <f t="array" ref="O49">_xll.BDH("NUE US Equity","IS_EARN_BEF_XO_ITEMS_PER_SH","FQ1 2022","FQ1 2022","Currency=USD","Period=FQ","BEST_FPERIOD_OVERRIDE=FQ","FILING_STATUS=MR","Sort=A","Dates=H","DateFormat=P","Fill=—","Direction=H","UseDPDF=Y")</f>
        <v>7.69</v>
      </c>
      <c r="P49" s="17" cm="1">
        <f t="array" ref="P49">_xll.BDH("NUE US Equity","IS_EARN_BEF_XO_ITEMS_PER_SH","FQ2 2022","FQ2 2022","Currency=USD","Period=FQ","BEST_FPERIOD_OVERRIDE=FQ","FILING_STATUS=MR","Sort=A","Dates=H","DateFormat=P","Fill=—","Direction=H","UseDPDF=Y")</f>
        <v>9.69</v>
      </c>
      <c r="Q49" s="17" cm="1">
        <f t="array" ref="Q49">_xll.BDH("NUE US Equity","IS_EARN_BEF_XO_ITEMS_PER_SH","FQ3 2022","FQ3 2022","Currency=USD","Period=FQ","BEST_FPERIOD_OVERRIDE=FQ","FILING_STATUS=MR","Sort=A","Dates=H","DateFormat=P","Fill=—","Direction=H","UseDPDF=Y")</f>
        <v>6.5674999999999999</v>
      </c>
      <c r="R49" s="17" cm="1">
        <f t="array" ref="R49">_xll.BDH("NUE US Equity","IS_EARN_BEF_XO_ITEMS_PER_SH","FQ4 2022","FQ4 2022","Currency=USD","Period=FQ","BEST_FPERIOD_OVERRIDE=FQ","FILING_STATUS=MR","Sort=A","Dates=H","DateFormat=P","Fill=—","Direction=H","UseDPDF=Y")</f>
        <v>4.9000000000000004</v>
      </c>
      <c r="S49" s="17" cm="1">
        <f t="array" ref="S49">_xll.BDH("NUE US Equity","IS_EARN_BEF_XO_ITEMS_PER_SH","FQ1 2023","FQ1 2023","Currency=USD","Period=FQ","BEST_FPERIOD_OVERRIDE=FQ","FILING_STATUS=MR","Sort=A","Dates=H","DateFormat=P","Fill=—","Direction=H","UseDPDF=Y")</f>
        <v>4.47</v>
      </c>
      <c r="T49" s="17" cm="1">
        <f t="array" ref="T49">_xll.BDH("NUE US Equity","IS_EARN_BEF_XO_ITEMS_PER_SH","FQ2 2023","FQ2 2023","Currency=USD","Period=FQ","BEST_FPERIOD_OVERRIDE=FQ","FILING_STATUS=MR","Sort=A","Dates=H","DateFormat=P","Fill=—","Direction=H","UseDPDF=Y")</f>
        <v>5.82</v>
      </c>
      <c r="U49" s="17" cm="1">
        <f t="array" ref="U49">_xll.BDH("NUE US Equity","IS_EARN_BEF_XO_ITEMS_PER_SH","FQ3 2023","FQ3 2023","Currency=USD","Period=FQ","BEST_FPERIOD_OVERRIDE=FQ","FILING_STATUS=MR","Sort=A","Dates=H","DateFormat=P","Fill=—","Direction=H","UseDPDF=Y")</f>
        <v>4.58</v>
      </c>
      <c r="V49" s="17" cm="1">
        <f t="array" ref="V49">_xll.BDH("NUE US Equity","IS_EARN_BEF_XO_ITEMS_PER_SH","FQ4 2023","FQ4 2023","Currency=USD","Period=FQ","BEST_FPERIOD_OVERRIDE=FQ","FILING_STATUS=MR","Sort=A","Dates=H","DateFormat=P","Fill=—","Direction=H","UseDPDF=Y")</f>
        <v>3.17</v>
      </c>
      <c r="W49" s="17" cm="1">
        <f t="array" ref="W49">_xll.BDH("NUE US Equity","IS_EARN_BEF_XO_ITEMS_PER_SH","FQ1 2024","FQ1 2024","Currency=USD","Period=FQ","BEST_FPERIOD_OVERRIDE=FQ","FILING_STATUS=MR","Sort=A","Dates=H","DateFormat=P","Fill=—","Direction=H","UseDPDF=Y")</f>
        <v>3.46</v>
      </c>
      <c r="X49" s="17" cm="1">
        <f t="array" ref="X49">_xll.BDH("NUE US Equity","IS_EARN_BEF_XO_ITEMS_PER_SH","FQ2 2024","FQ2 2024","Currency=USD","Period=FQ","BEST_FPERIOD_OVERRIDE=FQ","FILING_STATUS=MR","Sort=A","Dates=H","DateFormat=P","Fill=—","Direction=H","UseDPDF=Y")</f>
        <v>2.68</v>
      </c>
      <c r="Y49" s="17" cm="1">
        <f t="array" ref="Y49">_xll.BDH("NUE US Equity","IS_EARN_BEF_XO_ITEMS_PER_SH","FQ3 2024","FQ3 2024","Currency=USD","Period=FQ","BEST_FPERIOD_OVERRIDE=FQ","FILING_STATUS=MR","Sort=A","Dates=H","DateFormat=P","Fill=—","Direction=H","UseDPDF=Y")</f>
        <v>1.05</v>
      </c>
      <c r="Z49" s="17" cm="1">
        <f t="array" ref="Z49">_xll.BDH("NUE US Equity","IS_EARN_BEF_XO_ITEMS_PER_SH","FQ4 2024","FQ4 2024","Currency=USD","Period=FQ","BEST_FPERIOD_OVERRIDE=FQ","FILING_STATUS=MR","Sort=A","Dates=H","DateFormat=P","Fill=—","Direction=H","UseDPDF=Y")</f>
        <v>1.2264999999999999</v>
      </c>
      <c r="AA49" s="17" cm="1">
        <f t="array" ref="AA49">_xll.BDH("NUE US Equity","IS_EARN_BEF_XO_ITEMS_PER_SH","FQ1 2025","FQ1 2025","Currency=USD","Period=FQ","BEST_FPERIOD_OVERRIDE=FQ","FILING_STATUS=MR","Sort=A","Dates=H","DateFormat=P","Fill=—","Direction=H","UseDPDF=Y")</f>
        <v>0.67</v>
      </c>
      <c r="AB49" s="17" cm="1">
        <f t="array" ref="AB49">_xll.BDH("NUE US Equity","IS_EARN_BEF_XO_ITEMS_PER_SH","FQ2 2025","FQ2 2025","Currency=USD","Period=FQ","BEST_FPERIOD_OVERRIDE=FQ","FILING_STATUS=MR","Sort=A","Dates=H","DateFormat=P","Fill=—","Direction=H","UseDPDF=Y")</f>
        <v>2.6</v>
      </c>
      <c r="AC49" s="17" cm="1">
        <f t="array" ref="AC49">_xll.BDH("NUE US Equity","IS_EARN_BEF_XO_ITEMS_PER_SH","FQ3 2025","FQ3 2025","Currency=USD","Period=FQ","BEST_FPERIOD_OVERRIDE=FQ","FILING_STATUS=MR","Sort=A","Dates=H","DateFormat=P","Fill=—","Direction=H","UseDPDF=Y")</f>
        <v>2.63</v>
      </c>
      <c r="AD49" s="17" cm="1">
        <f t="array" ref="AD49">_xll.BDH("NUE US Equity","IS_EARN_BEF_XO_ITEMS_PER_SH","FQ4 2025","FQ4 2025","Currency=USD","Period=FQ","BEST_FPERIOD_OVERRIDE=FQ","FILING_STATUS=MR","Sort=A","Dates=H","DateFormat=P","Fill=—","Direction=H","UseDPDF=Y")</f>
        <v>1.64</v>
      </c>
      <c r="AE49" s="17">
        <v>2.8639999999999999</v>
      </c>
      <c r="AF49" s="17">
        <v>3.4319999999999999</v>
      </c>
    </row>
    <row r="50" spans="1:32" x14ac:dyDescent="0.25">
      <c r="A50" s="6" t="s">
        <v>146</v>
      </c>
      <c r="B50" s="6" t="s">
        <v>147</v>
      </c>
      <c r="C50" s="17" cm="1">
        <f t="array" ref="C50">_xll.BDH("NUE US Equity","IS_BASIC_EPS_CONT_OPS","FQ1 2019","FQ1 2019","Currency=USD","Period=FQ","BEST_FPERIOD_OVERRIDE=FQ","FILING_STATUS=MR","Sort=A","Dates=H","DateFormat=P","Fill=—","Direction=H","UseDPDF=Y")</f>
        <v>1.63</v>
      </c>
      <c r="D50" s="17" cm="1">
        <f t="array" ref="D50">_xll.BDH("NUE US Equity","IS_BASIC_EPS_CONT_OPS","FQ2 2019","FQ2 2019","Currency=USD","Period=FQ","BEST_FPERIOD_OVERRIDE=FQ","FILING_STATUS=MR","Sort=A","Dates=H","DateFormat=P","Fill=—","Direction=H","UseDPDF=Y")</f>
        <v>1.3073999999999999</v>
      </c>
      <c r="E50" s="17" cm="1">
        <f t="array" ref="E50">_xll.BDH("NUE US Equity","IS_BASIC_EPS_CONT_OPS","FQ3 2019","FQ3 2019","Currency=USD","Period=FQ","BEST_FPERIOD_OVERRIDE=FQ","FILING_STATUS=MR","Sort=A","Dates=H","DateFormat=P","Fill=—","Direction=H","UseDPDF=Y")</f>
        <v>0.96750000000000003</v>
      </c>
      <c r="F50" s="17" cm="1">
        <f t="array" ref="F50">_xll.BDH("NUE US Equity","IS_BASIC_EPS_CONT_OPS","FQ4 2019","FQ4 2019","Currency=USD","Period=FQ","BEST_FPERIOD_OVERRIDE=FQ","FILING_STATUS=MR","Sort=A","Dates=H","DateFormat=P","Fill=—","Direction=H","UseDPDF=Y")</f>
        <v>0.61799999999999999</v>
      </c>
      <c r="G50" s="17" cm="1">
        <f t="array" ref="G50">_xll.BDH("NUE US Equity","IS_BASIC_EPS_CONT_OPS","FQ1 2020","FQ1 2020","Currency=USD","Period=FQ","BEST_FPERIOD_OVERRIDE=FQ","FILING_STATUS=MR","Sort=A","Dates=H","DateFormat=P","Fill=—","Direction=H","UseDPDF=Y")</f>
        <v>0.88580000000000003</v>
      </c>
      <c r="H50" s="17" cm="1">
        <f t="array" ref="H50">_xll.BDH("NUE US Equity","IS_BASIC_EPS_CONT_OPS","FQ2 2020","FQ2 2020","Currency=USD","Period=FQ","BEST_FPERIOD_OVERRIDE=FQ","FILING_STATUS=MR","Sort=A","Dates=H","DateFormat=P","Fill=—","Direction=H","UseDPDF=Y")</f>
        <v>0.4299</v>
      </c>
      <c r="I50" s="17" cm="1">
        <f t="array" ref="I50">_xll.BDH("NUE US Equity","IS_BASIC_EPS_CONT_OPS","FQ3 2020","FQ3 2020","Currency=USD","Period=FQ","BEST_FPERIOD_OVERRIDE=FQ","FILING_STATUS=MR","Sort=A","Dates=H","DateFormat=P","Fill=—","Direction=H","UseDPDF=Y")</f>
        <v>0.69069999999999998</v>
      </c>
      <c r="J50" s="17" cm="1">
        <f t="array" ref="J50">_xll.BDH("NUE US Equity","IS_BASIC_EPS_CONT_OPS","FQ4 2020","FQ4 2020","Currency=USD","Period=FQ","BEST_FPERIOD_OVERRIDE=FQ","FILING_STATUS=MR","Sort=A","Dates=H","DateFormat=P","Fill=—","Direction=H","UseDPDF=Y")</f>
        <v>1.9083000000000001</v>
      </c>
      <c r="K50" s="17" cm="1">
        <f t="array" ref="K50">_xll.BDH("NUE US Equity","IS_BASIC_EPS_CONT_OPS","FQ1 2021","FQ1 2021","Currency=USD","Period=FQ","BEST_FPERIOD_OVERRIDE=FQ","FILING_STATUS=MR","Sort=A","Dates=H","DateFormat=P","Fill=—","Direction=H","UseDPDF=Y")</f>
        <v>3.1720000000000002</v>
      </c>
      <c r="L50" s="17" cm="1">
        <f t="array" ref="L50">_xll.BDH("NUE US Equity","IS_BASIC_EPS_CONT_OPS","FQ2 2021","FQ2 2021","Currency=USD","Period=FQ","BEST_FPERIOD_OVERRIDE=FQ","FILING_STATUS=MR","Sort=A","Dates=H","DateFormat=P","Fill=—","Direction=H","UseDPDF=Y")</f>
        <v>5.2548000000000004</v>
      </c>
      <c r="M50" s="17" cm="1">
        <f t="array" ref="M50">_xll.BDH("NUE US Equity","IS_BASIC_EPS_CONT_OPS","FQ3 2021","FQ3 2021","Currency=USD","Period=FQ","BEST_FPERIOD_OVERRIDE=FQ","FILING_STATUS=MR","Sort=A","Dates=H","DateFormat=P","Fill=—","Direction=H","UseDPDF=Y")</f>
        <v>7.3818999999999999</v>
      </c>
      <c r="N50" s="17" cm="1">
        <f t="array" ref="N50">_xll.BDH("NUE US Equity","IS_BASIC_EPS_CONT_OPS","FQ4 2021","FQ4 2021","Currency=USD","Period=FQ","BEST_FPERIOD_OVERRIDE=FQ","FILING_STATUS=MR","Sort=A","Dates=H","DateFormat=P","Fill=—","Direction=H","UseDPDF=Y")</f>
        <v>8.1702999999999992</v>
      </c>
      <c r="O50" s="17" cm="1">
        <f t="array" ref="O50">_xll.BDH("NUE US Equity","IS_BASIC_EPS_CONT_OPS","FQ1 2022","FQ1 2022","Currency=USD","Period=FQ","BEST_FPERIOD_OVERRIDE=FQ","FILING_STATUS=MR","Sort=A","Dates=H","DateFormat=P","Fill=—","Direction=H","UseDPDF=Y")</f>
        <v>7.8562000000000003</v>
      </c>
      <c r="P50" s="17" cm="1">
        <f t="array" ref="P50">_xll.BDH("NUE US Equity","IS_BASIC_EPS_CONT_OPS","FQ2 2022","FQ2 2022","Currency=USD","Period=FQ","BEST_FPERIOD_OVERRIDE=FQ","FILING_STATUS=MR","Sort=A","Dates=H","DateFormat=P","Fill=—","Direction=H","UseDPDF=Y")</f>
        <v>9.9007000000000005</v>
      </c>
      <c r="Q50" s="17" cm="1">
        <f t="array" ref="Q50">_xll.BDH("NUE US Equity","IS_BASIC_EPS_CONT_OPS","FQ3 2022","FQ3 2022","Currency=USD","Period=FQ","BEST_FPERIOD_OVERRIDE=FQ","FILING_STATUS=MR","Sort=A","Dates=H","DateFormat=P","Fill=—","Direction=H","UseDPDF=Y")</f>
        <v>6.7176999999999998</v>
      </c>
      <c r="R50" s="17" cm="1">
        <f t="array" ref="R50">_xll.BDH("NUE US Equity","IS_BASIC_EPS_CONT_OPS","FQ4 2022","FQ4 2022","Currency=USD","Period=FQ","BEST_FPERIOD_OVERRIDE=FQ","FILING_STATUS=MR","Sort=A","Dates=H","DateFormat=P","Fill=—","Direction=H","UseDPDF=Y")</f>
        <v>5.4572000000000003</v>
      </c>
      <c r="S50" s="17" cm="1">
        <f t="array" ref="S50">_xll.BDH("NUE US Equity","IS_BASIC_EPS_CONT_OPS","FQ1 2023","FQ1 2023","Currency=USD","Period=FQ","BEST_FPERIOD_OVERRIDE=FQ","FILING_STATUS=MR","Sort=A","Dates=H","DateFormat=P","Fill=—","Direction=H","UseDPDF=Y")</f>
        <v>4.7088000000000001</v>
      </c>
      <c r="T50" s="17" cm="1">
        <f t="array" ref="T50">_xll.BDH("NUE US Equity","IS_BASIC_EPS_CONT_OPS","FQ2 2023","FQ2 2023","Currency=USD","Period=FQ","BEST_FPERIOD_OVERRIDE=FQ","FILING_STATUS=MR","Sort=A","Dates=H","DateFormat=P","Fill=—","Direction=H","UseDPDF=Y")</f>
        <v>6.0884</v>
      </c>
      <c r="U50" s="17" cm="1">
        <f t="array" ref="U50">_xll.BDH("NUE US Equity","IS_BASIC_EPS_CONT_OPS","FQ3 2023","FQ3 2023","Currency=USD","Period=FQ","BEST_FPERIOD_OVERRIDE=FQ","FILING_STATUS=MR","Sort=A","Dates=H","DateFormat=P","Fill=—","Direction=H","UseDPDF=Y")</f>
        <v>4.8860000000000001</v>
      </c>
      <c r="V50" s="17" cm="1">
        <f t="array" ref="V50">_xll.BDH("NUE US Equity","IS_BASIC_EPS_CONT_OPS","FQ4 2023","FQ4 2023","Currency=USD","Period=FQ","BEST_FPERIOD_OVERRIDE=FQ","FILING_STATUS=MR","Sort=A","Dates=H","DateFormat=P","Fill=—","Direction=H","UseDPDF=Y")</f>
        <v>3.5720999999999998</v>
      </c>
      <c r="W50" s="17" cm="1">
        <f t="array" ref="W50">_xll.BDH("NUE US Equity","IS_BASIC_EPS_CONT_OPS","FQ1 2024","FQ1 2024","Currency=USD","Period=FQ","BEST_FPERIOD_OVERRIDE=FQ","FILING_STATUS=MR","Sort=A","Dates=H","DateFormat=P","Fill=—","Direction=H","UseDPDF=Y")</f>
        <v>3.8527</v>
      </c>
      <c r="X50" s="17" cm="1">
        <f t="array" ref="X50">_xll.BDH("NUE US Equity","IS_BASIC_EPS_CONT_OPS","FQ2 2024","FQ2 2024","Currency=USD","Period=FQ","BEST_FPERIOD_OVERRIDE=FQ","FILING_STATUS=MR","Sort=A","Dates=H","DateFormat=P","Fill=—","Direction=H","UseDPDF=Y")</f>
        <v>3.0710000000000002</v>
      </c>
      <c r="Y50" s="17" cm="1">
        <f t="array" ref="Y50">_xll.BDH("NUE US Equity","IS_BASIC_EPS_CONT_OPS","FQ3 2024","FQ3 2024","Currency=USD","Period=FQ","BEST_FPERIOD_OVERRIDE=FQ","FILING_STATUS=MR","Sort=A","Dates=H","DateFormat=P","Fill=—","Direction=H","UseDPDF=Y")</f>
        <v>2.0038</v>
      </c>
      <c r="Z50" s="17" cm="1">
        <f t="array" ref="Z50">_xll.BDH("NUE US Equity","IS_BASIC_EPS_CONT_OPS","FQ4 2024","FQ4 2024","Currency=USD","Period=FQ","BEST_FPERIOD_OVERRIDE=FQ","FILING_STATUS=MR","Sort=A","Dates=H","DateFormat=P","Fill=—","Direction=H","UseDPDF=Y")</f>
        <v>1.7572000000000001</v>
      </c>
      <c r="AA50" s="17" cm="1">
        <f t="array" ref="AA50">_xll.BDH("NUE US Equity","IS_BASIC_EPS_CONT_OPS","FQ1 2025","FQ1 2025","Currency=USD","Period=FQ","BEST_FPERIOD_OVERRIDE=FQ","FILING_STATUS=MR","Sort=A","Dates=H","DateFormat=P","Fill=—","Direction=H","UseDPDF=Y")</f>
        <v>1.3292999999999999</v>
      </c>
      <c r="AB50" s="17" cm="1">
        <f t="array" ref="AB50">_xll.BDH("NUE US Equity","IS_BASIC_EPS_CONT_OPS","FQ2 2025","FQ2 2025","Currency=USD","Period=FQ","BEST_FPERIOD_OVERRIDE=FQ","FILING_STATUS=MR","Sort=A","Dates=H","DateFormat=P","Fill=—","Direction=H","UseDPDF=Y")</f>
        <v>2.6396000000000002</v>
      </c>
      <c r="AC50" s="17" cm="1">
        <f t="array" ref="AC50">_xll.BDH("NUE US Equity","IS_BASIC_EPS_CONT_OPS","FQ3 2025","FQ3 2025","Currency=USD","Period=FQ","BEST_FPERIOD_OVERRIDE=FQ","FILING_STATUS=MR","Sort=A","Dates=H","DateFormat=P","Fill=—","Direction=H","UseDPDF=Y")</f>
        <v>2.972</v>
      </c>
      <c r="AD50" s="17" cm="1">
        <f t="array" ref="AD50">_xll.BDH("NUE US Equity","IS_BASIC_EPS_CONT_OPS","FQ4 2025","FQ4 2025","Currency=USD","Period=FQ","BEST_FPERIOD_OVERRIDE=FQ","FILING_STATUS=MR","Sort=A","Dates=H","DateFormat=P","Fill=—","Direction=H","UseDPDF=Y")</f>
        <v>2.0318999999999998</v>
      </c>
      <c r="AE50" s="17">
        <v>2.895</v>
      </c>
      <c r="AF50" s="17">
        <v>3.24</v>
      </c>
    </row>
    <row r="51" spans="1:32" x14ac:dyDescent="0.25">
      <c r="A51" s="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0" t="s">
        <v>148</v>
      </c>
      <c r="B52" s="10" t="s">
        <v>149</v>
      </c>
      <c r="C52" s="13" cm="1">
        <f t="array" ref="C52">_xll.BDH("NUE US Equity","IS_SH_FOR_DILUTED_EPS","FQ1 2019","FQ1 2019","Currency=USD","Period=FQ","BEST_FPERIOD_OVERRIDE=FQ","FILING_STATUS=MR","Sort=A","Dates=H","DateFormat=P","Fill=—","Direction=H","UseDPDF=Y")</f>
        <v>307.18</v>
      </c>
      <c r="D52" s="13" cm="1">
        <f t="array" ref="D52">_xll.BDH("NUE US Equity","IS_SH_FOR_DILUTED_EPS","FQ2 2019","FQ2 2019","Currency=USD","Period=FQ","BEST_FPERIOD_OVERRIDE=FQ","FILING_STATUS=MR","Sort=A","Dates=H","DateFormat=P","Fill=—","Direction=H","UseDPDF=Y")</f>
        <v>305.952</v>
      </c>
      <c r="E52" s="13" cm="1">
        <f t="array" ref="E52">_xll.BDH("NUE US Equity","IS_SH_FOR_DILUTED_EPS","FQ3 2019","FQ3 2019","Currency=USD","Period=FQ","BEST_FPERIOD_OVERRIDE=FQ","FILING_STATUS=MR","Sort=A","Dates=H","DateFormat=P","Fill=—","Direction=H","UseDPDF=Y")</f>
        <v>304.98</v>
      </c>
      <c r="F52" s="13" cm="1">
        <f t="array" ref="F52">_xll.BDH("NUE US Equity","IS_SH_FOR_DILUTED_EPS","FQ4 2019","FQ4 2019","Currency=USD","Period=FQ","BEST_FPERIOD_OVERRIDE=FQ","FILING_STATUS=MR","Sort=A","Dates=H","DateFormat=P","Fill=—","Direction=H","UseDPDF=Y")</f>
        <v>303.98700000000002</v>
      </c>
      <c r="G52" s="13" cm="1">
        <f t="array" ref="G52">_xll.BDH("NUE US Equity","IS_SH_FOR_DILUTED_EPS","FQ1 2020","FQ1 2020","Currency=USD","Period=FQ","BEST_FPERIOD_OVERRIDE=FQ","FILING_STATUS=MR","Sort=A","Dates=H","DateFormat=P","Fill=—","Direction=H","UseDPDF=Y")</f>
        <v>302.93200000000002</v>
      </c>
      <c r="H52" s="13" cm="1">
        <f t="array" ref="H52">_xll.BDH("NUE US Equity","IS_SH_FOR_DILUTED_EPS","FQ2 2020","FQ2 2020","Currency=USD","Period=FQ","BEST_FPERIOD_OVERRIDE=FQ","FILING_STATUS=MR","Sort=A","Dates=H","DateFormat=P","Fill=—","Direction=H","UseDPDF=Y")</f>
        <v>302.93299999999999</v>
      </c>
      <c r="I52" s="13" cm="1">
        <f t="array" ref="I52">_xll.BDH("NUE US Equity","IS_SH_FOR_DILUTED_EPS","FQ3 2020","FQ3 2020","Currency=USD","Period=FQ","BEST_FPERIOD_OVERRIDE=FQ","FILING_STATUS=MR","Sort=A","Dates=H","DateFormat=P","Fill=—","Direction=H","UseDPDF=Y")</f>
        <v>303.44099999999997</v>
      </c>
      <c r="J52" s="13" cm="1">
        <f t="array" ref="J52">_xll.BDH("NUE US Equity","IS_SH_FOR_DILUTED_EPS","FQ4 2020","FQ4 2020","Currency=USD","Period=FQ","BEST_FPERIOD_OVERRIDE=FQ","FILING_STATUS=MR","Sort=A","Dates=H","DateFormat=P","Fill=—","Direction=H","UseDPDF=Y")</f>
        <v>303.80599999999998</v>
      </c>
      <c r="K52" s="13" cm="1">
        <f t="array" ref="K52">_xll.BDH("NUE US Equity","IS_SH_FOR_DILUTED_EPS","FQ1 2021","FQ1 2021","Currency=USD","Period=FQ","BEST_FPERIOD_OVERRIDE=FQ","FILING_STATUS=MR","Sort=A","Dates=H","DateFormat=P","Fill=—","Direction=H","UseDPDF=Y")</f>
        <v>302.51799999999997</v>
      </c>
      <c r="L52" s="13" cm="1">
        <f t="array" ref="L52">_xll.BDH("NUE US Equity","IS_SH_FOR_DILUTED_EPS","FQ2 2021","FQ2 2021","Currency=USD","Period=FQ","BEST_FPERIOD_OVERRIDE=FQ","FILING_STATUS=MR","Sort=A","Dates=H","DateFormat=P","Fill=—","Direction=H","UseDPDF=Y")</f>
        <v>297.529</v>
      </c>
      <c r="M52" s="13" cm="1">
        <f t="array" ref="M52">_xll.BDH("NUE US Equity","IS_SH_FOR_DILUTED_EPS","FQ3 2021","FQ3 2021","Currency=USD","Period=FQ","BEST_FPERIOD_OVERRIDE=FQ","FILING_STATUS=MR","Sort=A","Dates=H","DateFormat=P","Fill=—","Direction=H","UseDPDF=Y")</f>
        <v>291.15199999999999</v>
      </c>
      <c r="N52" s="13" cm="1">
        <f t="array" ref="N52">_xll.BDH("NUE US Equity","IS_SH_FOR_DILUTED_EPS","FQ4 2021","FQ4 2021","Currency=USD","Period=FQ","BEST_FPERIOD_OVERRIDE=FQ","FILING_STATUS=MR","Sort=A","Dates=H","DateFormat=P","Fill=—","Direction=H","UseDPDF=Y")</f>
        <v>281.04599999999999</v>
      </c>
      <c r="O52" s="13" cm="1">
        <f t="array" ref="O52">_xll.BDH("NUE US Equity","IS_SH_FOR_DILUTED_EPS","FQ1 2022","FQ1 2022","Currency=USD","Period=FQ","BEST_FPERIOD_OVERRIDE=FQ","FILING_STATUS=MR","Sort=A","Dates=H","DateFormat=P","Fill=—","Direction=H","UseDPDF=Y")</f>
        <v>272.09399999999999</v>
      </c>
      <c r="P52" s="13" cm="1">
        <f t="array" ref="P52">_xll.BDH("NUE US Equity","IS_SH_FOR_DILUTED_EPS","FQ2 2022","FQ2 2022","Currency=USD","Period=FQ","BEST_FPERIOD_OVERRIDE=FQ","FILING_STATUS=MR","Sort=A","Dates=H","DateFormat=P","Fill=—","Direction=H","UseDPDF=Y")</f>
        <v>263.71899999999999</v>
      </c>
      <c r="Q52" s="13" cm="1">
        <f t="array" ref="Q52">_xll.BDH("NUE US Equity","IS_SH_FOR_DILUTED_EPS","FQ3 2022","FQ3 2022","Currency=USD","Period=FQ","BEST_FPERIOD_OVERRIDE=FQ","FILING_STATUS=MR","Sort=A","Dates=H","DateFormat=P","Fill=—","Direction=H","UseDPDF=Y")</f>
        <v>259.52600000000001</v>
      </c>
      <c r="R52" s="13" cm="1">
        <f t="array" ref="R52">_xll.BDH("NUE US Equity","IS_SH_FOR_DILUTED_EPS","FQ4 2022","FQ4 2022","Currency=USD","Period=FQ","BEST_FPERIOD_OVERRIDE=FQ","FILING_STATUS=MR","Sort=A","Dates=H","DateFormat=P","Fill=—","Direction=H","UseDPDF=Y")</f>
        <v>255.83799999999999</v>
      </c>
      <c r="S52" s="13" cm="1">
        <f t="array" ref="S52">_xll.BDH("NUE US Equity","IS_SH_FOR_DILUTED_EPS","FQ1 2023","FQ1 2023","Currency=USD","Period=FQ","BEST_FPERIOD_OVERRIDE=FQ","FILING_STATUS=MR","Sort=A","Dates=H","DateFormat=P","Fill=—","Direction=H","UseDPDF=Y")</f>
        <v>254.39699999999999</v>
      </c>
      <c r="T52" s="13" cm="1">
        <f t="array" ref="T52">_xll.BDH("NUE US Equity","IS_SH_FOR_DILUTED_EPS","FQ2 2023","FQ2 2023","Currency=USD","Period=FQ","BEST_FPERIOD_OVERRIDE=FQ","FILING_STATUS=MR","Sort=A","Dates=H","DateFormat=P","Fill=—","Direction=H","UseDPDF=Y")</f>
        <v>250.524</v>
      </c>
      <c r="U52" s="13" cm="1">
        <f t="array" ref="U52">_xll.BDH("NUE US Equity","IS_SH_FOR_DILUTED_EPS","FQ3 2023","FQ3 2023","Currency=USD","Period=FQ","BEST_FPERIOD_OVERRIDE=FQ","FILING_STATUS=MR","Sort=A","Dates=H","DateFormat=P","Fill=—","Direction=H","UseDPDF=Y")</f>
        <v>248.916</v>
      </c>
      <c r="V52" s="13" cm="1">
        <f t="array" ref="V52">_xll.BDH("NUE US Equity","IS_SH_FOR_DILUTED_EPS","FQ4 2023","FQ4 2023","Currency=USD","Period=FQ","BEST_FPERIOD_OVERRIDE=FQ","FILING_STATUS=MR","Sort=A","Dates=H","DateFormat=P","Fill=—","Direction=H","UseDPDF=Y")</f>
        <v>247.249</v>
      </c>
      <c r="W52" s="13" cm="1">
        <f t="array" ref="W52">_xll.BDH("NUE US Equity","IS_SH_FOR_DILUTED_EPS","FQ1 2024","FQ1 2024","Currency=USD","Period=FQ","BEST_FPERIOD_OVERRIDE=FQ","FILING_STATUS=MR","Sort=A","Dates=H","DateFormat=P","Fill=—","Direction=H","UseDPDF=Y")</f>
        <v>243.49700000000001</v>
      </c>
      <c r="X52" s="13" cm="1">
        <f t="array" ref="X52">_xll.BDH("NUE US Equity","IS_SH_FOR_DILUTED_EPS","FQ2 2024","FQ2 2024","Currency=USD","Period=FQ","BEST_FPERIOD_OVERRIDE=FQ","FILING_STATUS=MR","Sort=A","Dates=H","DateFormat=P","Fill=—","Direction=H","UseDPDF=Y")</f>
        <v>239.935</v>
      </c>
      <c r="Y52" s="13" cm="1">
        <f t="array" ref="Y52">_xll.BDH("NUE US Equity","IS_SH_FOR_DILUTED_EPS","FQ3 2024","FQ3 2024","Currency=USD","Period=FQ","BEST_FPERIOD_OVERRIDE=FQ","FILING_STATUS=MR","Sort=A","Dates=H","DateFormat=P","Fill=—","Direction=H","UseDPDF=Y")</f>
        <v>236.768</v>
      </c>
      <c r="Z52" s="13" cm="1">
        <f t="array" ref="Z52">_xll.BDH("NUE US Equity","IS_SH_FOR_DILUTED_EPS","FQ4 2024","FQ4 2024","Currency=USD","Period=FQ","BEST_FPERIOD_OVERRIDE=FQ","FILING_STATUS=MR","Sort=A","Dates=H","DateFormat=P","Fill=—","Direction=H","UseDPDF=Y")</f>
        <v>234.3</v>
      </c>
      <c r="AA52" s="13" cm="1">
        <f t="array" ref="AA52">_xll.BDH("NUE US Equity","IS_SH_FOR_DILUTED_EPS","FQ1 2025","FQ1 2025","Currency=USD","Period=FQ","BEST_FPERIOD_OVERRIDE=FQ","FILING_STATUS=MR","Sort=A","Dates=H","DateFormat=P","Fill=—","Direction=H","UseDPDF=Y")</f>
        <v>232.9</v>
      </c>
      <c r="AB52" s="13" cm="1">
        <f t="array" ref="AB52">_xll.BDH("NUE US Equity","IS_SH_FOR_DILUTED_EPS","FQ2 2025","FQ2 2025","Currency=USD","Period=FQ","BEST_FPERIOD_OVERRIDE=FQ","FILING_STATUS=MR","Sort=A","Dates=H","DateFormat=P","Fill=—","Direction=H","UseDPDF=Y")</f>
        <v>230.8</v>
      </c>
      <c r="AC52" s="13" cm="1">
        <f t="array" ref="AC52">_xll.BDH("NUE US Equity","IS_SH_FOR_DILUTED_EPS","FQ3 2025","FQ3 2025","Currency=USD","Period=FQ","BEST_FPERIOD_OVERRIDE=FQ","FILING_STATUS=MR","Sort=A","Dates=H","DateFormat=P","Fill=—","Direction=H","UseDPDF=Y")</f>
        <v>230.2</v>
      </c>
      <c r="AD52" s="13" cm="1">
        <f t="array" ref="AD52">_xll.BDH("NUE US Equity","IS_SH_FOR_DILUTED_EPS","FQ4 2025","FQ4 2025","Currency=USD","Period=FQ","BEST_FPERIOD_OVERRIDE=FQ","FILING_STATUS=MR","Sort=A","Dates=H","DateFormat=P","Fill=—","Direction=H","UseDPDF=Y")</f>
        <v>229.6</v>
      </c>
      <c r="AE52" s="13"/>
      <c r="AF52" s="13"/>
    </row>
    <row r="53" spans="1:32" x14ac:dyDescent="0.25">
      <c r="A53" s="6" t="s">
        <v>150</v>
      </c>
      <c r="B53" s="6" t="s">
        <v>151</v>
      </c>
      <c r="C53" s="17" cm="1">
        <f t="array" ref="C53">_xll.BDH("NUE US Equity","IS_DILUTED_EPS","FQ1 2019","FQ1 2019","Currency=USD","Period=FQ","BEST_FPERIOD_OVERRIDE=FQ","FILING_STATUS=MR","FA_ADJUSTED=GAAP","Sort=A","Dates=H","DateFormat=P","Fill=—","Direction=H","UseDPDF=Y")</f>
        <v>1.63</v>
      </c>
      <c r="D53" s="17" cm="1">
        <f t="array" ref="D53">_xll.BDH("NUE US Equity","IS_DILUTED_EPS","FQ2 2019","FQ2 2019","Currency=USD","Period=FQ","BEST_FPERIOD_OVERRIDE=FQ","FILING_STATUS=MR","FA_ADJUSTED=GAAP","Sort=A","Dates=H","DateFormat=P","Fill=—","Direction=H","UseDPDF=Y")</f>
        <v>1.26</v>
      </c>
      <c r="E53" s="17" cm="1">
        <f t="array" ref="E53">_xll.BDH("NUE US Equity","IS_DILUTED_EPS","FQ3 2019","FQ3 2019","Currency=USD","Period=FQ","BEST_FPERIOD_OVERRIDE=FQ","FILING_STATUS=MR","FA_ADJUSTED=GAAP","Sort=A","Dates=H","DateFormat=P","Fill=—","Direction=H","UseDPDF=Y")</f>
        <v>0.9</v>
      </c>
      <c r="F53" s="17" cm="1">
        <f t="array" ref="F53">_xll.BDH("NUE US Equity","IS_DILUTED_EPS","FQ4 2019","FQ4 2019","Currency=USD","Period=FQ","BEST_FPERIOD_OVERRIDE=FQ","FILING_STATUS=MR","FA_ADJUSTED=GAAP","Sort=A","Dates=H","DateFormat=P","Fill=—","Direction=H","UseDPDF=Y")</f>
        <v>0.35</v>
      </c>
      <c r="G53" s="17" cm="1">
        <f t="array" ref="G53">_xll.BDH("NUE US Equity","IS_DILUTED_EPS","FQ1 2020","FQ1 2020","Currency=USD","Period=FQ","BEST_FPERIOD_OVERRIDE=FQ","FILING_STATUS=MR","FA_ADJUSTED=GAAP","Sort=A","Dates=H","DateFormat=P","Fill=—","Direction=H","UseDPDF=Y")</f>
        <v>7.0000000000000007E-2</v>
      </c>
      <c r="H53" s="17" cm="1">
        <f t="array" ref="H53">_xll.BDH("NUE US Equity","IS_DILUTED_EPS","FQ2 2020","FQ2 2020","Currency=USD","Period=FQ","BEST_FPERIOD_OVERRIDE=FQ","FILING_STATUS=MR","FA_ADJUSTED=GAAP","Sort=A","Dates=H","DateFormat=P","Fill=—","Direction=H","UseDPDF=Y")</f>
        <v>0.36</v>
      </c>
      <c r="I53" s="17" cm="1">
        <f t="array" ref="I53">_xll.BDH("NUE US Equity","IS_DILUTED_EPS","FQ3 2020","FQ3 2020","Currency=USD","Period=FQ","BEST_FPERIOD_OVERRIDE=FQ","FILING_STATUS=MR","FA_ADJUSTED=GAAP","Sort=A","Dates=H","DateFormat=P","Fill=—","Direction=H","UseDPDF=Y")</f>
        <v>0.63</v>
      </c>
      <c r="J53" s="17" cm="1">
        <f t="array" ref="J53">_xll.BDH("NUE US Equity","IS_DILUTED_EPS","FQ4 2020","FQ4 2020","Currency=USD","Period=FQ","BEST_FPERIOD_OVERRIDE=FQ","FILING_STATUS=MR","FA_ADJUSTED=GAAP","Sort=A","Dates=H","DateFormat=P","Fill=—","Direction=H","UseDPDF=Y")</f>
        <v>1.3</v>
      </c>
      <c r="K53" s="17" cm="1">
        <f t="array" ref="K53">_xll.BDH("NUE US Equity","IS_DILUTED_EPS","FQ1 2021","FQ1 2021","Currency=USD","Period=FQ","BEST_FPERIOD_OVERRIDE=FQ","FILING_STATUS=MR","FA_ADJUSTED=GAAP","Sort=A","Dates=H","DateFormat=P","Fill=—","Direction=H","UseDPDF=Y")</f>
        <v>3.1</v>
      </c>
      <c r="L53" s="17" cm="1">
        <f t="array" ref="L53">_xll.BDH("NUE US Equity","IS_DILUTED_EPS","FQ2 2021","FQ2 2021","Currency=USD","Period=FQ","BEST_FPERIOD_OVERRIDE=FQ","FILING_STATUS=MR","FA_ADJUSTED=GAAP","Sort=A","Dates=H","DateFormat=P","Fill=—","Direction=H","UseDPDF=Y")</f>
        <v>5.0423</v>
      </c>
      <c r="M53" s="17" cm="1">
        <f t="array" ref="M53">_xll.BDH("NUE US Equity","IS_DILUTED_EPS","FQ3 2021","FQ3 2021","Currency=USD","Period=FQ","BEST_FPERIOD_OVERRIDE=FQ","FILING_STATUS=MR","FA_ADJUSTED=GAAP","Sort=A","Dates=H","DateFormat=P","Fill=—","Direction=H","UseDPDF=Y")</f>
        <v>7.28</v>
      </c>
      <c r="N53" s="17" cm="1">
        <f t="array" ref="N53">_xll.BDH("NUE US Equity","IS_DILUTED_EPS","FQ4 2021","FQ4 2021","Currency=USD","Period=FQ","BEST_FPERIOD_OVERRIDE=FQ","FILING_STATUS=MR","FA_ADJUSTED=GAAP","Sort=A","Dates=H","DateFormat=P","Fill=—","Direction=H","UseDPDF=Y")</f>
        <v>7.97</v>
      </c>
      <c r="O53" s="17" cm="1">
        <f t="array" ref="O53">_xll.BDH("NUE US Equity","IS_DILUTED_EPS","FQ1 2022","FQ1 2022","Currency=USD","Period=FQ","BEST_FPERIOD_OVERRIDE=FQ","FILING_STATUS=MR","FA_ADJUSTED=GAAP","Sort=A","Dates=H","DateFormat=P","Fill=—","Direction=H","UseDPDF=Y")</f>
        <v>7.67</v>
      </c>
      <c r="P53" s="17" cm="1">
        <f t="array" ref="P53">_xll.BDH("NUE US Equity","IS_DILUTED_EPS","FQ2 2022","FQ2 2022","Currency=USD","Period=FQ","BEST_FPERIOD_OVERRIDE=FQ","FILING_STATUS=MR","FA_ADJUSTED=GAAP","Sort=A","Dates=H","DateFormat=P","Fill=—","Direction=H","UseDPDF=Y")</f>
        <v>9.67</v>
      </c>
      <c r="Q53" s="17" cm="1">
        <f t="array" ref="Q53">_xll.BDH("NUE US Equity","IS_DILUTED_EPS","FQ3 2022","FQ3 2022","Currency=USD","Period=FQ","BEST_FPERIOD_OVERRIDE=FQ","FILING_STATUS=MR","FA_ADJUSTED=GAAP","Sort=A","Dates=H","DateFormat=P","Fill=—","Direction=H","UseDPDF=Y")</f>
        <v>6.5567000000000002</v>
      </c>
      <c r="R53" s="17" cm="1">
        <f t="array" ref="R53">_xll.BDH("NUE US Equity","IS_DILUTED_EPS","FQ4 2022","FQ4 2022","Currency=USD","Period=FQ","BEST_FPERIOD_OVERRIDE=FQ","FILING_STATUS=MR","FA_ADJUSTED=GAAP","Sort=A","Dates=H","DateFormat=P","Fill=—","Direction=H","UseDPDF=Y")</f>
        <v>4.8899999999999997</v>
      </c>
      <c r="S53" s="17" cm="1">
        <f t="array" ref="S53">_xll.BDH("NUE US Equity","IS_DILUTED_EPS","FQ1 2023","FQ1 2023","Currency=USD","Period=FQ","BEST_FPERIOD_OVERRIDE=FQ","FILING_STATUS=MR","FA_ADJUSTED=GAAP","Sort=A","Dates=H","DateFormat=P","Fill=—","Direction=H","UseDPDF=Y")</f>
        <v>4.45</v>
      </c>
      <c r="T53" s="17" cm="1">
        <f t="array" ref="T53">_xll.BDH("NUE US Equity","IS_DILUTED_EPS","FQ2 2023","FQ2 2023","Currency=USD","Period=FQ","BEST_FPERIOD_OVERRIDE=FQ","FILING_STATUS=MR","FA_ADJUSTED=GAAP","Sort=A","Dates=H","DateFormat=P","Fill=—","Direction=H","UseDPDF=Y")</f>
        <v>5.81</v>
      </c>
      <c r="U53" s="17" cm="1">
        <f t="array" ref="U53">_xll.BDH("NUE US Equity","IS_DILUTED_EPS","FQ3 2023","FQ3 2023","Currency=USD","Period=FQ","BEST_FPERIOD_OVERRIDE=FQ","FILING_STATUS=MR","FA_ADJUSTED=GAAP","Sort=A","Dates=H","DateFormat=P","Fill=—","Direction=H","UseDPDF=Y")</f>
        <v>4.57</v>
      </c>
      <c r="V53" s="17" cm="1">
        <f t="array" ref="V53">_xll.BDH("NUE US Equity","IS_DILUTED_EPS","FQ4 2023","FQ4 2023","Currency=USD","Period=FQ","BEST_FPERIOD_OVERRIDE=FQ","FILING_STATUS=MR","FA_ADJUSTED=GAAP","Sort=A","Dates=H","DateFormat=P","Fill=—","Direction=H","UseDPDF=Y")</f>
        <v>3.16</v>
      </c>
      <c r="W53" s="17" cm="1">
        <f t="array" ref="W53">_xll.BDH("NUE US Equity","IS_DILUTED_EPS","FQ1 2024","FQ1 2024","Currency=USD","Period=FQ","BEST_FPERIOD_OVERRIDE=FQ","FILING_STATUS=MR","FA_ADJUSTED=GAAP","Sort=A","Dates=H","DateFormat=P","Fill=—","Direction=H","UseDPDF=Y")</f>
        <v>3.46</v>
      </c>
      <c r="X53" s="17" cm="1">
        <f t="array" ref="X53">_xll.BDH("NUE US Equity","IS_DILUTED_EPS","FQ2 2024","FQ2 2024","Currency=USD","Period=FQ","BEST_FPERIOD_OVERRIDE=FQ","FILING_STATUS=MR","FA_ADJUSTED=GAAP","Sort=A","Dates=H","DateFormat=P","Fill=—","Direction=H","UseDPDF=Y")</f>
        <v>2.68</v>
      </c>
      <c r="Y53" s="17" cm="1">
        <f t="array" ref="Y53">_xll.BDH("NUE US Equity","IS_DILUTED_EPS","FQ3 2024","FQ3 2024","Currency=USD","Period=FQ","BEST_FPERIOD_OVERRIDE=FQ","FILING_STATUS=MR","FA_ADJUSTED=GAAP","Sort=A","Dates=H","DateFormat=P","Fill=—","Direction=H","UseDPDF=Y")</f>
        <v>1.05</v>
      </c>
      <c r="Z53" s="17" cm="1">
        <f t="array" ref="Z53">_xll.BDH("NUE US Equity","IS_DILUTED_EPS","FQ4 2024","FQ4 2024","Currency=USD","Period=FQ","BEST_FPERIOD_OVERRIDE=FQ","FILING_STATUS=MR","FA_ADJUSTED=GAAP","Sort=A","Dates=H","DateFormat=P","Fill=—","Direction=H","UseDPDF=Y")</f>
        <v>1.2249000000000001</v>
      </c>
      <c r="AA53" s="17" cm="1">
        <f t="array" ref="AA53">_xll.BDH("NUE US Equity","IS_DILUTED_EPS","FQ1 2025","FQ1 2025","Currency=USD","Period=FQ","BEST_FPERIOD_OVERRIDE=FQ","FILING_STATUS=MR","FA_ADJUSTED=GAAP","Sort=A","Dates=H","DateFormat=P","Fill=—","Direction=H","UseDPDF=Y")</f>
        <v>0.67</v>
      </c>
      <c r="AB53" s="17" cm="1">
        <f t="array" ref="AB53">_xll.BDH("NUE US Equity","IS_DILUTED_EPS","FQ2 2025","FQ2 2025","Currency=USD","Period=FQ","BEST_FPERIOD_OVERRIDE=FQ","FILING_STATUS=MR","FA_ADJUSTED=GAAP","Sort=A","Dates=H","DateFormat=P","Fill=—","Direction=H","UseDPDF=Y")</f>
        <v>2.6</v>
      </c>
      <c r="AC53" s="17" cm="1">
        <f t="array" ref="AC53">_xll.BDH("NUE US Equity","IS_DILUTED_EPS","FQ3 2025","FQ3 2025","Currency=USD","Period=FQ","BEST_FPERIOD_OVERRIDE=FQ","FILING_STATUS=MR","FA_ADJUSTED=GAAP","Sort=A","Dates=H","DateFormat=P","Fill=—","Direction=H","UseDPDF=Y")</f>
        <v>2.63</v>
      </c>
      <c r="AD53" s="17" cm="1">
        <f t="array" ref="AD53">_xll.BDH("NUE US Equity","IS_DILUTED_EPS","FQ4 2025","FQ4 2025","Currency=USD","Period=FQ","BEST_FPERIOD_OVERRIDE=FQ","FILING_STATUS=MR","FA_ADJUSTED=GAAP","Sort=A","Dates=H","DateFormat=P","Fill=—","Direction=H","UseDPDF=Y")</f>
        <v>1.64</v>
      </c>
      <c r="AE53" s="17">
        <v>2.8639999999999999</v>
      </c>
      <c r="AF53" s="17">
        <v>3.4319999999999999</v>
      </c>
    </row>
    <row r="54" spans="1:32" x14ac:dyDescent="0.25">
      <c r="A54" s="6" t="s">
        <v>152</v>
      </c>
      <c r="B54" s="6" t="s">
        <v>153</v>
      </c>
      <c r="C54" s="17" cm="1">
        <f t="array" ref="C54">_xll.BDH("NUE US Equity","IS_DIL_EPS_BEF_XO","FQ1 2019","FQ1 2019","Currency=USD","Period=FQ","BEST_FPERIOD_OVERRIDE=FQ","FILING_STATUS=MR","Sort=A","Dates=H","DateFormat=P","Fill=—","Direction=H","UseDPDF=Y")</f>
        <v>1.63</v>
      </c>
      <c r="D54" s="17" cm="1">
        <f t="array" ref="D54">_xll.BDH("NUE US Equity","IS_DIL_EPS_BEF_XO","FQ2 2019","FQ2 2019","Currency=USD","Period=FQ","BEST_FPERIOD_OVERRIDE=FQ","FILING_STATUS=MR","Sort=A","Dates=H","DateFormat=P","Fill=—","Direction=H","UseDPDF=Y")</f>
        <v>1.26</v>
      </c>
      <c r="E54" s="17" cm="1">
        <f t="array" ref="E54">_xll.BDH("NUE US Equity","IS_DIL_EPS_BEF_XO","FQ3 2019","FQ3 2019","Currency=USD","Period=FQ","BEST_FPERIOD_OVERRIDE=FQ","FILING_STATUS=MR","Sort=A","Dates=H","DateFormat=P","Fill=—","Direction=H","UseDPDF=Y")</f>
        <v>0.9</v>
      </c>
      <c r="F54" s="17" cm="1">
        <f t="array" ref="F54">_xll.BDH("NUE US Equity","IS_DIL_EPS_BEF_XO","FQ4 2019","FQ4 2019","Currency=USD","Period=FQ","BEST_FPERIOD_OVERRIDE=FQ","FILING_STATUS=MR","Sort=A","Dates=H","DateFormat=P","Fill=—","Direction=H","UseDPDF=Y")</f>
        <v>0.35</v>
      </c>
      <c r="G54" s="17" cm="1">
        <f t="array" ref="G54">_xll.BDH("NUE US Equity","IS_DIL_EPS_BEF_XO","FQ1 2020","FQ1 2020","Currency=USD","Period=FQ","BEST_FPERIOD_OVERRIDE=FQ","FILING_STATUS=MR","Sort=A","Dates=H","DateFormat=P","Fill=—","Direction=H","UseDPDF=Y")</f>
        <v>7.0000000000000007E-2</v>
      </c>
      <c r="H54" s="17" cm="1">
        <f t="array" ref="H54">_xll.BDH("NUE US Equity","IS_DIL_EPS_BEF_XO","FQ2 2020","FQ2 2020","Currency=USD","Period=FQ","BEST_FPERIOD_OVERRIDE=FQ","FILING_STATUS=MR","Sort=A","Dates=H","DateFormat=P","Fill=—","Direction=H","UseDPDF=Y")</f>
        <v>0.36</v>
      </c>
      <c r="I54" s="17" cm="1">
        <f t="array" ref="I54">_xll.BDH("NUE US Equity","IS_DIL_EPS_BEF_XO","FQ3 2020","FQ3 2020","Currency=USD","Period=FQ","BEST_FPERIOD_OVERRIDE=FQ","FILING_STATUS=MR","Sort=A","Dates=H","DateFormat=P","Fill=—","Direction=H","UseDPDF=Y")</f>
        <v>0.63</v>
      </c>
      <c r="J54" s="17" cm="1">
        <f t="array" ref="J54">_xll.BDH("NUE US Equity","IS_DIL_EPS_BEF_XO","FQ4 2020","FQ4 2020","Currency=USD","Period=FQ","BEST_FPERIOD_OVERRIDE=FQ","FILING_STATUS=MR","Sort=A","Dates=H","DateFormat=P","Fill=—","Direction=H","UseDPDF=Y")</f>
        <v>1.3</v>
      </c>
      <c r="K54" s="17" cm="1">
        <f t="array" ref="K54">_xll.BDH("NUE US Equity","IS_DIL_EPS_BEF_XO","FQ1 2021","FQ1 2021","Currency=USD","Period=FQ","BEST_FPERIOD_OVERRIDE=FQ","FILING_STATUS=MR","Sort=A","Dates=H","DateFormat=P","Fill=—","Direction=H","UseDPDF=Y")</f>
        <v>3.1</v>
      </c>
      <c r="L54" s="17" cm="1">
        <f t="array" ref="L54">_xll.BDH("NUE US Equity","IS_DIL_EPS_BEF_XO","FQ2 2021","FQ2 2021","Currency=USD","Period=FQ","BEST_FPERIOD_OVERRIDE=FQ","FILING_STATUS=MR","Sort=A","Dates=H","DateFormat=P","Fill=—","Direction=H","UseDPDF=Y")</f>
        <v>5.0423</v>
      </c>
      <c r="M54" s="17" cm="1">
        <f t="array" ref="M54">_xll.BDH("NUE US Equity","IS_DIL_EPS_BEF_XO","FQ3 2021","FQ3 2021","Currency=USD","Period=FQ","BEST_FPERIOD_OVERRIDE=FQ","FILING_STATUS=MR","Sort=A","Dates=H","DateFormat=P","Fill=—","Direction=H","UseDPDF=Y")</f>
        <v>7.28</v>
      </c>
      <c r="N54" s="17" cm="1">
        <f t="array" ref="N54">_xll.BDH("NUE US Equity","IS_DIL_EPS_BEF_XO","FQ4 2021","FQ4 2021","Currency=USD","Period=FQ","BEST_FPERIOD_OVERRIDE=FQ","FILING_STATUS=MR","Sort=A","Dates=H","DateFormat=P","Fill=—","Direction=H","UseDPDF=Y")</f>
        <v>7.97</v>
      </c>
      <c r="O54" s="17" cm="1">
        <f t="array" ref="O54">_xll.BDH("NUE US Equity","IS_DIL_EPS_BEF_XO","FQ1 2022","FQ1 2022","Currency=USD","Period=FQ","BEST_FPERIOD_OVERRIDE=FQ","FILING_STATUS=MR","Sort=A","Dates=H","DateFormat=P","Fill=—","Direction=H","UseDPDF=Y")</f>
        <v>7.67</v>
      </c>
      <c r="P54" s="17" cm="1">
        <f t="array" ref="P54">_xll.BDH("NUE US Equity","IS_DIL_EPS_BEF_XO","FQ2 2022","FQ2 2022","Currency=USD","Period=FQ","BEST_FPERIOD_OVERRIDE=FQ","FILING_STATUS=MR","Sort=A","Dates=H","DateFormat=P","Fill=—","Direction=H","UseDPDF=Y")</f>
        <v>9.67</v>
      </c>
      <c r="Q54" s="17" cm="1">
        <f t="array" ref="Q54">_xll.BDH("NUE US Equity","IS_DIL_EPS_BEF_XO","FQ3 2022","FQ3 2022","Currency=USD","Period=FQ","BEST_FPERIOD_OVERRIDE=FQ","FILING_STATUS=MR","Sort=A","Dates=H","DateFormat=P","Fill=—","Direction=H","UseDPDF=Y")</f>
        <v>6.5567000000000002</v>
      </c>
      <c r="R54" s="17" cm="1">
        <f t="array" ref="R54">_xll.BDH("NUE US Equity","IS_DIL_EPS_BEF_XO","FQ4 2022","FQ4 2022","Currency=USD","Period=FQ","BEST_FPERIOD_OVERRIDE=FQ","FILING_STATUS=MR","Sort=A","Dates=H","DateFormat=P","Fill=—","Direction=H","UseDPDF=Y")</f>
        <v>4.8899999999999997</v>
      </c>
      <c r="S54" s="17" cm="1">
        <f t="array" ref="S54">_xll.BDH("NUE US Equity","IS_DIL_EPS_BEF_XO","FQ1 2023","FQ1 2023","Currency=USD","Period=FQ","BEST_FPERIOD_OVERRIDE=FQ","FILING_STATUS=MR","Sort=A","Dates=H","DateFormat=P","Fill=—","Direction=H","UseDPDF=Y")</f>
        <v>4.45</v>
      </c>
      <c r="T54" s="17" cm="1">
        <f t="array" ref="T54">_xll.BDH("NUE US Equity","IS_DIL_EPS_BEF_XO","FQ2 2023","FQ2 2023","Currency=USD","Period=FQ","BEST_FPERIOD_OVERRIDE=FQ","FILING_STATUS=MR","Sort=A","Dates=H","DateFormat=P","Fill=—","Direction=H","UseDPDF=Y")</f>
        <v>5.81</v>
      </c>
      <c r="U54" s="17" cm="1">
        <f t="array" ref="U54">_xll.BDH("NUE US Equity","IS_DIL_EPS_BEF_XO","FQ3 2023","FQ3 2023","Currency=USD","Period=FQ","BEST_FPERIOD_OVERRIDE=FQ","FILING_STATUS=MR","Sort=A","Dates=H","DateFormat=P","Fill=—","Direction=H","UseDPDF=Y")</f>
        <v>4.57</v>
      </c>
      <c r="V54" s="17" cm="1">
        <f t="array" ref="V54">_xll.BDH("NUE US Equity","IS_DIL_EPS_BEF_XO","FQ4 2023","FQ4 2023","Currency=USD","Period=FQ","BEST_FPERIOD_OVERRIDE=FQ","FILING_STATUS=MR","Sort=A","Dates=H","DateFormat=P","Fill=—","Direction=H","UseDPDF=Y")</f>
        <v>3.16</v>
      </c>
      <c r="W54" s="17" cm="1">
        <f t="array" ref="W54">_xll.BDH("NUE US Equity","IS_DIL_EPS_BEF_XO","FQ1 2024","FQ1 2024","Currency=USD","Period=FQ","BEST_FPERIOD_OVERRIDE=FQ","FILING_STATUS=MR","Sort=A","Dates=H","DateFormat=P","Fill=—","Direction=H","UseDPDF=Y")</f>
        <v>3.46</v>
      </c>
      <c r="X54" s="17" cm="1">
        <f t="array" ref="X54">_xll.BDH("NUE US Equity","IS_DIL_EPS_BEF_XO","FQ2 2024","FQ2 2024","Currency=USD","Period=FQ","BEST_FPERIOD_OVERRIDE=FQ","FILING_STATUS=MR","Sort=A","Dates=H","DateFormat=P","Fill=—","Direction=H","UseDPDF=Y")</f>
        <v>2.68</v>
      </c>
      <c r="Y54" s="17" cm="1">
        <f t="array" ref="Y54">_xll.BDH("NUE US Equity","IS_DIL_EPS_BEF_XO","FQ3 2024","FQ3 2024","Currency=USD","Period=FQ","BEST_FPERIOD_OVERRIDE=FQ","FILING_STATUS=MR","Sort=A","Dates=H","DateFormat=P","Fill=—","Direction=H","UseDPDF=Y")</f>
        <v>1.05</v>
      </c>
      <c r="Z54" s="17" cm="1">
        <f t="array" ref="Z54">_xll.BDH("NUE US Equity","IS_DIL_EPS_BEF_XO","FQ4 2024","FQ4 2024","Currency=USD","Period=FQ","BEST_FPERIOD_OVERRIDE=FQ","FILING_STATUS=MR","Sort=A","Dates=H","DateFormat=P","Fill=—","Direction=H","UseDPDF=Y")</f>
        <v>1.2249000000000001</v>
      </c>
      <c r="AA54" s="17" cm="1">
        <f t="array" ref="AA54">_xll.BDH("NUE US Equity","IS_DIL_EPS_BEF_XO","FQ1 2025","FQ1 2025","Currency=USD","Period=FQ","BEST_FPERIOD_OVERRIDE=FQ","FILING_STATUS=MR","Sort=A","Dates=H","DateFormat=P","Fill=—","Direction=H","UseDPDF=Y")</f>
        <v>0.67</v>
      </c>
      <c r="AB54" s="17" cm="1">
        <f t="array" ref="AB54">_xll.BDH("NUE US Equity","IS_DIL_EPS_BEF_XO","FQ2 2025","FQ2 2025","Currency=USD","Period=FQ","BEST_FPERIOD_OVERRIDE=FQ","FILING_STATUS=MR","Sort=A","Dates=H","DateFormat=P","Fill=—","Direction=H","UseDPDF=Y")</f>
        <v>2.6</v>
      </c>
      <c r="AC54" s="17" cm="1">
        <f t="array" ref="AC54">_xll.BDH("NUE US Equity","IS_DIL_EPS_BEF_XO","FQ3 2025","FQ3 2025","Currency=USD","Period=FQ","BEST_FPERIOD_OVERRIDE=FQ","FILING_STATUS=MR","Sort=A","Dates=H","DateFormat=P","Fill=—","Direction=H","UseDPDF=Y")</f>
        <v>2.63</v>
      </c>
      <c r="AD54" s="17" cm="1">
        <f t="array" ref="AD54">_xll.BDH("NUE US Equity","IS_DIL_EPS_BEF_XO","FQ4 2025","FQ4 2025","Currency=USD","Period=FQ","BEST_FPERIOD_OVERRIDE=FQ","FILING_STATUS=MR","Sort=A","Dates=H","DateFormat=P","Fill=—","Direction=H","UseDPDF=Y")</f>
        <v>1.64</v>
      </c>
      <c r="AE54" s="17">
        <v>2.8639999999999999</v>
      </c>
      <c r="AF54" s="17">
        <v>3.4319999999999999</v>
      </c>
    </row>
    <row r="55" spans="1:32" x14ac:dyDescent="0.25">
      <c r="A55" s="6" t="s">
        <v>154</v>
      </c>
      <c r="B55" s="6" t="s">
        <v>155</v>
      </c>
      <c r="C55" s="17" cm="1">
        <f t="array" ref="C55">_xll.BDH("NUE US Equity","IS_DIL_EPS_CONT_OPS","FQ1 2019","FQ1 2019","Currency=USD","Period=FQ","BEST_FPERIOD_OVERRIDE=FQ","FILING_STATUS=MR","Sort=A","Dates=H","DateFormat=P","Fill=—","Direction=H","UseDPDF=Y")</f>
        <v>1.63</v>
      </c>
      <c r="D55" s="17" cm="1">
        <f t="array" ref="D55">_xll.BDH("NUE US Equity","IS_DIL_EPS_CONT_OPS","FQ2 2019","FQ2 2019","Currency=USD","Period=FQ","BEST_FPERIOD_OVERRIDE=FQ","FILING_STATUS=MR","Sort=A","Dates=H","DateFormat=P","Fill=—","Direction=H","UseDPDF=Y")</f>
        <v>1.3073999999999999</v>
      </c>
      <c r="E55" s="17" cm="1">
        <f t="array" ref="E55">_xll.BDH("NUE US Equity","IS_DIL_EPS_CONT_OPS","FQ3 2019","FQ3 2019","Currency=USD","Period=FQ","BEST_FPERIOD_OVERRIDE=FQ","FILING_STATUS=MR","Sort=A","Dates=H","DateFormat=P","Fill=—","Direction=H","UseDPDF=Y")</f>
        <v>0.96750000000000003</v>
      </c>
      <c r="F55" s="17" cm="1">
        <f t="array" ref="F55">_xll.BDH("NUE US Equity","IS_DIL_EPS_CONT_OPS","FQ4 2019","FQ4 2019","Currency=USD","Period=FQ","BEST_FPERIOD_OVERRIDE=FQ","FILING_STATUS=MR","Sort=A","Dates=H","DateFormat=P","Fill=—","Direction=H","UseDPDF=Y")</f>
        <v>0.6149</v>
      </c>
      <c r="G55" s="17" cm="1">
        <f t="array" ref="G55">_xll.BDH("NUE US Equity","IS_DIL_EPS_CONT_OPS","FQ1 2020","FQ1 2020","Currency=USD","Period=FQ","BEST_FPERIOD_OVERRIDE=FQ","FILING_STATUS=MR","Sort=A","Dates=H","DateFormat=P","Fill=—","Direction=H","UseDPDF=Y")</f>
        <v>0.88580000000000003</v>
      </c>
      <c r="H55" s="17" cm="1">
        <f t="array" ref="H55">_xll.BDH("NUE US Equity","IS_DIL_EPS_CONT_OPS","FQ2 2020","FQ2 2020","Currency=USD","Period=FQ","BEST_FPERIOD_OVERRIDE=FQ","FILING_STATUS=MR","Sort=A","Dates=H","DateFormat=P","Fill=—","Direction=H","UseDPDF=Y")</f>
        <v>0.4299</v>
      </c>
      <c r="I55" s="17" cm="1">
        <f t="array" ref="I55">_xll.BDH("NUE US Equity","IS_DIL_EPS_CONT_OPS","FQ3 2020","FQ3 2020","Currency=USD","Period=FQ","BEST_FPERIOD_OVERRIDE=FQ","FILING_STATUS=MR","Sort=A","Dates=H","DateFormat=P","Fill=—","Direction=H","UseDPDF=Y")</f>
        <v>0.68720000000000003</v>
      </c>
      <c r="J55" s="17" cm="1">
        <f t="array" ref="J55">_xll.BDH("NUE US Equity","IS_DIL_EPS_CONT_OPS","FQ4 2020","FQ4 2020","Currency=USD","Period=FQ","BEST_FPERIOD_OVERRIDE=FQ","FILING_STATUS=MR","Sort=A","Dates=H","DateFormat=P","Fill=—","Direction=H","UseDPDF=Y")</f>
        <v>1.9005000000000001</v>
      </c>
      <c r="K55" s="17" cm="1">
        <f t="array" ref="K55">_xll.BDH("NUE US Equity","IS_DIL_EPS_CONT_OPS","FQ1 2021","FQ1 2021","Currency=USD","Period=FQ","BEST_FPERIOD_OVERRIDE=FQ","FILING_STATUS=MR","Sort=A","Dates=H","DateFormat=P","Fill=—","Direction=H","UseDPDF=Y")</f>
        <v>3.1674000000000002</v>
      </c>
      <c r="L55" s="17" cm="1">
        <f t="array" ref="L55">_xll.BDH("NUE US Equity","IS_DIL_EPS_CONT_OPS","FQ2 2021","FQ2 2021","Currency=USD","Period=FQ","BEST_FPERIOD_OVERRIDE=FQ","FILING_STATUS=MR","Sort=A","Dates=H","DateFormat=P","Fill=—","Direction=H","UseDPDF=Y")</f>
        <v>5.2199</v>
      </c>
      <c r="M55" s="17" cm="1">
        <f t="array" ref="M55">_xll.BDH("NUE US Equity","IS_DIL_EPS_CONT_OPS","FQ3 2021","FQ3 2021","Currency=USD","Period=FQ","BEST_FPERIOD_OVERRIDE=FQ","FILING_STATUS=MR","Sort=A","Dates=H","DateFormat=P","Fill=—","Direction=H","UseDPDF=Y")</f>
        <v>7.37</v>
      </c>
      <c r="N55" s="17" cm="1">
        <f t="array" ref="N55">_xll.BDH("NUE US Equity","IS_DIL_EPS_CONT_OPS","FQ4 2021","FQ4 2021","Currency=USD","Period=FQ","BEST_FPERIOD_OVERRIDE=FQ","FILING_STATUS=MR","Sort=A","Dates=H","DateFormat=P","Fill=—","Direction=H","UseDPDF=Y")</f>
        <v>8.1515000000000004</v>
      </c>
      <c r="O55" s="17" cm="1">
        <f t="array" ref="O55">_xll.BDH("NUE US Equity","IS_DIL_EPS_CONT_OPS","FQ1 2022","FQ1 2022","Currency=USD","Period=FQ","BEST_FPERIOD_OVERRIDE=FQ","FILING_STATUS=MR","Sort=A","Dates=H","DateFormat=P","Fill=—","Direction=H","UseDPDF=Y")</f>
        <v>7.84</v>
      </c>
      <c r="P55" s="17" cm="1">
        <f t="array" ref="P55">_xll.BDH("NUE US Equity","IS_DIL_EPS_CONT_OPS","FQ2 2022","FQ2 2022","Currency=USD","Period=FQ","BEST_FPERIOD_OVERRIDE=FQ","FILING_STATUS=MR","Sort=A","Dates=H","DateFormat=P","Fill=—","Direction=H","UseDPDF=Y")</f>
        <v>9.84</v>
      </c>
      <c r="Q55" s="17" cm="1">
        <f t="array" ref="Q55">_xll.BDH("NUE US Equity","IS_DIL_EPS_CONT_OPS","FQ3 2022","FQ3 2022","Currency=USD","Period=FQ","BEST_FPERIOD_OVERRIDE=FQ","FILING_STATUS=MR","Sort=A","Dates=H","DateFormat=P","Fill=—","Direction=H","UseDPDF=Y")</f>
        <v>6.7066999999999997</v>
      </c>
      <c r="R55" s="17" cm="1">
        <f t="array" ref="R55">_xll.BDH("NUE US Equity","IS_DIL_EPS_CONT_OPS","FQ4 2022","FQ4 2022","Currency=USD","Period=FQ","BEST_FPERIOD_OVERRIDE=FQ","FILING_STATUS=MR","Sort=A","Dates=H","DateFormat=P","Fill=—","Direction=H","UseDPDF=Y")</f>
        <v>5.4295999999999998</v>
      </c>
      <c r="S55" s="17" cm="1">
        <f t="array" ref="S55">_xll.BDH("NUE US Equity","IS_DIL_EPS_CONT_OPS","FQ1 2023","FQ1 2023","Currency=USD","Period=FQ","BEST_FPERIOD_OVERRIDE=FQ","FILING_STATUS=MR","Sort=A","Dates=H","DateFormat=P","Fill=—","Direction=H","UseDPDF=Y")</f>
        <v>4.6900000000000004</v>
      </c>
      <c r="T55" s="17" cm="1">
        <f t="array" ref="T55">_xll.BDH("NUE US Equity","IS_DIL_EPS_CONT_OPS","FQ2 2023","FQ2 2023","Currency=USD","Period=FQ","BEST_FPERIOD_OVERRIDE=FQ","FILING_STATUS=MR","Sort=A","Dates=H","DateFormat=P","Fill=—","Direction=H","UseDPDF=Y")</f>
        <v>6.08</v>
      </c>
      <c r="U55" s="17" cm="1">
        <f t="array" ref="U55">_xll.BDH("NUE US Equity","IS_DIL_EPS_CONT_OPS","FQ3 2023","FQ3 2023","Currency=USD","Period=FQ","BEST_FPERIOD_OVERRIDE=FQ","FILING_STATUS=MR","Sort=A","Dates=H","DateFormat=P","Fill=—","Direction=H","UseDPDF=Y")</f>
        <v>4.88</v>
      </c>
      <c r="V55" s="17" cm="1">
        <f t="array" ref="V55">_xll.BDH("NUE US Equity","IS_DIL_EPS_CONT_OPS","FQ4 2023","FQ4 2023","Currency=USD","Period=FQ","BEST_FPERIOD_OVERRIDE=FQ","FILING_STATUS=MR","Sort=A","Dates=H","DateFormat=P","Fill=—","Direction=H","UseDPDF=Y")</f>
        <v>3.55</v>
      </c>
      <c r="W55" s="17" cm="1">
        <f t="array" ref="W55">_xll.BDH("NUE US Equity","IS_DIL_EPS_CONT_OPS","FQ1 2024","FQ1 2024","Currency=USD","Period=FQ","BEST_FPERIOD_OVERRIDE=FQ","FILING_STATUS=MR","Sort=A","Dates=H","DateFormat=P","Fill=—","Direction=H","UseDPDF=Y")</f>
        <v>3.85</v>
      </c>
      <c r="X55" s="17" cm="1">
        <f t="array" ref="X55">_xll.BDH("NUE US Equity","IS_DIL_EPS_CONT_OPS","FQ2 2024","FQ2 2024","Currency=USD","Period=FQ","BEST_FPERIOD_OVERRIDE=FQ","FILING_STATUS=MR","Sort=A","Dates=H","DateFormat=P","Fill=—","Direction=H","UseDPDF=Y")</f>
        <v>3.07</v>
      </c>
      <c r="Y55" s="17" cm="1">
        <f t="array" ref="Y55">_xll.BDH("NUE US Equity","IS_DIL_EPS_CONT_OPS","FQ3 2024","FQ3 2024","Currency=USD","Period=FQ","BEST_FPERIOD_OVERRIDE=FQ","FILING_STATUS=MR","Sort=A","Dates=H","DateFormat=P","Fill=—","Direction=H","UseDPDF=Y")</f>
        <v>2.0004</v>
      </c>
      <c r="Z55" s="17" cm="1">
        <f t="array" ref="Z55">_xll.BDH("NUE US Equity","IS_DIL_EPS_CONT_OPS","FQ4 2024","FQ4 2024","Currency=USD","Period=FQ","BEST_FPERIOD_OVERRIDE=FQ","FILING_STATUS=MR","Sort=A","Dates=H","DateFormat=P","Fill=—","Direction=H","UseDPDF=Y")</f>
        <v>1.7548999999999999</v>
      </c>
      <c r="AA55" s="17" cm="1">
        <f t="array" ref="AA55">_xll.BDH("NUE US Equity","IS_DIL_EPS_CONT_OPS","FQ1 2025","FQ1 2025","Currency=USD","Period=FQ","BEST_FPERIOD_OVERRIDE=FQ","FILING_STATUS=MR","Sort=A","Dates=H","DateFormat=P","Fill=—","Direction=H","UseDPDF=Y")</f>
        <v>1.3284</v>
      </c>
      <c r="AB55" s="17" cm="1">
        <f t="array" ref="AB55">_xll.BDH("NUE US Equity","IS_DIL_EPS_CONT_OPS","FQ2 2025","FQ2 2025","Currency=USD","Period=FQ","BEST_FPERIOD_OVERRIDE=FQ","FILING_STATUS=MR","Sort=A","Dates=H","DateFormat=P","Fill=—","Direction=H","UseDPDF=Y")</f>
        <v>2.6377000000000002</v>
      </c>
      <c r="AC55" s="17" cm="1">
        <f t="array" ref="AC55">_xll.BDH("NUE US Equity","IS_DIL_EPS_CONT_OPS","FQ3 2025","FQ3 2025","Currency=USD","Period=FQ","BEST_FPERIOD_OVERRIDE=FQ","FILING_STATUS=MR","Sort=A","Dates=H","DateFormat=P","Fill=—","Direction=H","UseDPDF=Y")</f>
        <v>2.97</v>
      </c>
      <c r="AD55" s="17" cm="1">
        <f t="array" ref="AD55">_xll.BDH("NUE US Equity","IS_DIL_EPS_CONT_OPS","FQ4 2025","FQ4 2025","Currency=USD","Period=FQ","BEST_FPERIOD_OVERRIDE=FQ","FILING_STATUS=MR","Sort=A","Dates=H","DateFormat=P","Fill=—","Direction=H","UseDPDF=Y")</f>
        <v>2.0228999999999999</v>
      </c>
      <c r="AE55" s="17">
        <v>2.895</v>
      </c>
      <c r="AF55" s="17">
        <v>3.24</v>
      </c>
    </row>
    <row r="56" spans="1:32" x14ac:dyDescent="0.25">
      <c r="A56" s="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x14ac:dyDescent="0.25">
      <c r="A57" s="6" t="s">
        <v>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10" t="s">
        <v>156</v>
      </c>
      <c r="B58" s="10" t="s">
        <v>157</v>
      </c>
      <c r="C58" s="12" t="s">
        <v>158</v>
      </c>
      <c r="D58" s="12" t="s">
        <v>158</v>
      </c>
      <c r="E58" s="12" t="s">
        <v>158</v>
      </c>
      <c r="F58" s="12" t="s">
        <v>158</v>
      </c>
      <c r="G58" s="12" t="s">
        <v>158</v>
      </c>
      <c r="H58" s="12" t="s">
        <v>158</v>
      </c>
      <c r="I58" s="12" t="s">
        <v>158</v>
      </c>
      <c r="J58" s="12" t="s">
        <v>158</v>
      </c>
      <c r="K58" s="12" t="s">
        <v>158</v>
      </c>
      <c r="L58" s="12" t="s">
        <v>158</v>
      </c>
      <c r="M58" s="12" t="s">
        <v>158</v>
      </c>
      <c r="N58" s="12" t="s">
        <v>158</v>
      </c>
      <c r="O58" s="12" t="s">
        <v>158</v>
      </c>
      <c r="P58" s="12" t="s">
        <v>158</v>
      </c>
      <c r="Q58" s="12" t="s">
        <v>158</v>
      </c>
      <c r="R58" s="12" t="s">
        <v>158</v>
      </c>
      <c r="S58" s="12" t="s">
        <v>158</v>
      </c>
      <c r="T58" s="12" t="s">
        <v>158</v>
      </c>
      <c r="U58" s="12" t="s">
        <v>158</v>
      </c>
      <c r="V58" s="12" t="s">
        <v>158</v>
      </c>
      <c r="W58" s="12" t="s">
        <v>158</v>
      </c>
      <c r="X58" s="12" t="s">
        <v>158</v>
      </c>
      <c r="Y58" s="12" t="s">
        <v>158</v>
      </c>
      <c r="Z58" s="12" t="s">
        <v>158</v>
      </c>
      <c r="AA58" s="12" t="s">
        <v>158</v>
      </c>
      <c r="AB58" s="12" t="s">
        <v>158</v>
      </c>
      <c r="AC58" s="12" t="s">
        <v>158</v>
      </c>
      <c r="AD58" s="12" t="s">
        <v>158</v>
      </c>
      <c r="AE58" s="12"/>
      <c r="AF58" s="12"/>
    </row>
    <row r="59" spans="1:32" x14ac:dyDescent="0.25">
      <c r="A59" s="10" t="s">
        <v>159</v>
      </c>
      <c r="B59" s="10" t="s">
        <v>159</v>
      </c>
      <c r="C59" s="13" cm="1">
        <f t="array" ref="C59">_xll.BDH("NUE US Equity","EBITDA","FQ1 2019","FQ1 2019","Currency=USD","Period=FQ","BEST_FPERIOD_OVERRIDE=FQ","FILING_STATUS=MR","SCALING_FORMAT=MLN","FA_ADJUSTED=Adjusted","Sort=A","Dates=H","DateFormat=P","Fill=—","Direction=H","UseDPDF=Y")</f>
        <v>900.62400000000002</v>
      </c>
      <c r="D59" s="13" cm="1">
        <f t="array" ref="D59">_xll.BDH("NUE US Equity","EBITDA","FQ2 2019","FQ2 2019","Currency=USD","Period=FQ","BEST_FPERIOD_OVERRIDE=FQ","FILING_STATUS=MR","SCALING_FORMAT=MLN","FA_ADJUSTED=Adjusted","Sort=A","Dates=H","DateFormat=P","Fill=—","Direction=H","UseDPDF=Y")</f>
        <v>777.97</v>
      </c>
      <c r="E59" s="13" cm="1">
        <f t="array" ref="E59">_xll.BDH("NUE US Equity","EBITDA","FQ3 2019","FQ3 2019","Currency=USD","Period=FQ","BEST_FPERIOD_OVERRIDE=FQ","FILING_STATUS=MR","SCALING_FORMAT=MLN","FA_ADJUSTED=Adjusted","Sort=A","Dates=H","DateFormat=P","Fill=—","Direction=H","UseDPDF=Y")</f>
        <v>625.01700000000005</v>
      </c>
      <c r="F59" s="13" cm="1">
        <f t="array" ref="F59">_xll.BDH("NUE US Equity","EBITDA","FQ4 2019","FQ4 2019","Currency=USD","Period=FQ","BEST_FPERIOD_OVERRIDE=FQ","FILING_STATUS=MR","SCALING_FORMAT=MLN","FA_ADJUSTED=Adjusted","Sort=A","Dates=H","DateFormat=P","Fill=—","Direction=H","UseDPDF=Y")</f>
        <v>505.82499999999999</v>
      </c>
      <c r="G59" s="13" cm="1">
        <f t="array" ref="G59">_xll.BDH("NUE US Equity","EBITDA","FQ1 2020","FQ1 2020","Currency=USD","Period=FQ","BEST_FPERIOD_OVERRIDE=FQ","FILING_STATUS=MR","SCALING_FORMAT=MLN","FA_ADJUSTED=Adjusted","Sort=A","Dates=H","DateFormat=P","Fill=—","Direction=H","UseDPDF=Y")</f>
        <v>702.15099999999995</v>
      </c>
      <c r="H59" s="13" cm="1">
        <f t="array" ref="H59">_xll.BDH("NUE US Equity","EBITDA","FQ2 2020","FQ2 2020","Currency=USD","Period=FQ","BEST_FPERIOD_OVERRIDE=FQ","FILING_STATUS=MR","SCALING_FORMAT=MLN","FA_ADJUSTED=Adjusted","Sort=A","Dates=H","DateFormat=P","Fill=—","Direction=H","UseDPDF=Y")</f>
        <v>452.52300000000002</v>
      </c>
      <c r="I59" s="13" cm="1">
        <f t="array" ref="I59">_xll.BDH("NUE US Equity","EBITDA","FQ3 2020","FQ3 2020","Currency=USD","Period=FQ","BEST_FPERIOD_OVERRIDE=FQ","FILING_STATUS=MR","SCALING_FORMAT=MLN","FA_ADJUSTED=Adjusted","Sort=A","Dates=H","DateFormat=P","Fill=—","Direction=H","UseDPDF=Y")</f>
        <v>549.79100000000005</v>
      </c>
      <c r="J59" s="13" cm="1">
        <f t="array" ref="J59">_xll.BDH("NUE US Equity","EBITDA","FQ4 2020","FQ4 2020","Currency=USD","Period=FQ","BEST_FPERIOD_OVERRIDE=FQ","FILING_STATUS=MR","SCALING_FORMAT=MLN","FA_ADJUSTED=Adjusted","Sort=A","Dates=H","DateFormat=P","Fill=—","Direction=H","UseDPDF=Y")</f>
        <v>789.31</v>
      </c>
      <c r="K59" s="13" cm="1">
        <f t="array" ref="K59">_xll.BDH("NUE US Equity","EBITDA","FQ1 2021","FQ1 2021","Currency=USD","Period=FQ","BEST_FPERIOD_OVERRIDE=FQ","FILING_STATUS=MR","SCALING_FORMAT=MLN","FA_ADJUSTED=Adjusted","Sort=A","Dates=H","DateFormat=P","Fill=—","Direction=H","UseDPDF=Y")</f>
        <v>1551.2629999999999</v>
      </c>
      <c r="L59" s="13" cm="1">
        <f t="array" ref="L59">_xll.BDH("NUE US Equity","EBITDA","FQ2 2021","FQ2 2021","Currency=USD","Period=FQ","BEST_FPERIOD_OVERRIDE=FQ","FILING_STATUS=MR","SCALING_FORMAT=MLN","FA_ADJUSTED=Adjusted","Sort=A","Dates=H","DateFormat=P","Fill=—","Direction=H","UseDPDF=Y")</f>
        <v>2311.8330000000001</v>
      </c>
      <c r="M59" s="13" cm="1">
        <f t="array" ref="M59">_xll.BDH("NUE US Equity","EBITDA","FQ3 2021","FQ3 2021","Currency=USD","Period=FQ","BEST_FPERIOD_OVERRIDE=FQ","FILING_STATUS=MR","SCALING_FORMAT=MLN","FA_ADJUSTED=Adjusted","Sort=A","Dates=H","DateFormat=P","Fill=—","Direction=H","UseDPDF=Y")</f>
        <v>3134.8530000000001</v>
      </c>
      <c r="N59" s="13" cm="1">
        <f t="array" ref="N59">_xll.BDH("NUE US Equity","EBITDA","FQ4 2021","FQ4 2021","Currency=USD","Period=FQ","BEST_FPERIOD_OVERRIDE=FQ","FILING_STATUS=MR","SCALING_FORMAT=MLN","FA_ADJUSTED=Adjusted","Sort=A","Dates=H","DateFormat=P","Fill=—","Direction=H","UseDPDF=Y")</f>
        <v>3316.4189999999999</v>
      </c>
      <c r="O59" s="13" cm="1">
        <f t="array" ref="O59">_xll.BDH("NUE US Equity","EBITDA","FQ1 2022","FQ1 2022","Currency=USD","Period=FQ","BEST_FPERIOD_OVERRIDE=FQ","FILING_STATUS=MR","SCALING_FORMAT=MLN","FA_ADJUSTED=Adjusted","Sort=A","Dates=H","DateFormat=P","Fill=—","Direction=H","UseDPDF=Y")</f>
        <v>3232.444</v>
      </c>
      <c r="P59" s="13" cm="1">
        <f t="array" ref="P59">_xll.BDH("NUE US Equity","EBITDA","FQ2 2022","FQ2 2022","Currency=USD","Period=FQ","BEST_FPERIOD_OVERRIDE=FQ","FILING_STATUS=MR","SCALING_FORMAT=MLN","FA_ADJUSTED=Adjusted","Sort=A","Dates=H","DateFormat=P","Fill=—","Direction=H","UseDPDF=Y")</f>
        <v>3848.7</v>
      </c>
      <c r="Q59" s="13" cm="1">
        <f t="array" ref="Q59">_xll.BDH("NUE US Equity","EBITDA","FQ3 2022","FQ3 2022","Currency=USD","Period=FQ","BEST_FPERIOD_OVERRIDE=FQ","FILING_STATUS=MR","SCALING_FORMAT=MLN","FA_ADJUSTED=Adjusted","Sort=A","Dates=H","DateFormat=P","Fill=—","Direction=H","UseDPDF=Y")</f>
        <v>2698.7069999999999</v>
      </c>
      <c r="R59" s="13" cm="1">
        <f t="array" ref="R59">_xll.BDH("NUE US Equity","EBITDA","FQ4 2022","FQ4 2022","Currency=USD","Period=FQ","BEST_FPERIOD_OVERRIDE=FQ","FILING_STATUS=MR","SCALING_FORMAT=MLN","FA_ADJUSTED=Adjusted","Sort=A","Dates=H","DateFormat=P","Fill=—","Direction=H","UseDPDF=Y")</f>
        <v>2034.885</v>
      </c>
      <c r="S59" s="13" cm="1">
        <f t="array" ref="S59">_xll.BDH("NUE US Equity","EBITDA","FQ1 2023","FQ1 2023","Currency=USD","Period=FQ","BEST_FPERIOD_OVERRIDE=FQ","FILING_STATUS=MR","SCALING_FORMAT=MLN","FA_ADJUSTED=Adjusted","Sort=A","Dates=H","DateFormat=P","Fill=—","Direction=H","UseDPDF=Y")</f>
        <v>1970.165</v>
      </c>
      <c r="T59" s="13" cm="1">
        <f t="array" ref="T59">_xll.BDH("NUE US Equity","EBITDA","FQ2 2023","FQ2 2023","Currency=USD","Period=FQ","BEST_FPERIOD_OVERRIDE=FQ","FILING_STATUS=MR","SCALING_FORMAT=MLN","FA_ADJUSTED=Adjusted","Sort=A","Dates=H","DateFormat=P","Fill=—","Direction=H","UseDPDF=Y")</f>
        <v>2424.4949999999999</v>
      </c>
      <c r="U59" s="13" cm="1">
        <f t="array" ref="U59">_xll.BDH("NUE US Equity","EBITDA","FQ3 2023","FQ3 2023","Currency=USD","Period=FQ","BEST_FPERIOD_OVERRIDE=FQ","FILING_STATUS=MR","SCALING_FORMAT=MLN","FA_ADJUSTED=Adjusted","Sort=A","Dates=H","DateFormat=P","Fill=—","Direction=H","UseDPDF=Y")</f>
        <v>1926.819</v>
      </c>
      <c r="V59" s="13" cm="1">
        <f t="array" ref="V59">_xll.BDH("NUE US Equity","EBITDA","FQ4 2023","FQ4 2023","Currency=USD","Period=FQ","BEST_FPERIOD_OVERRIDE=FQ","FILING_STATUS=MR","SCALING_FORMAT=MLN","FA_ADJUSTED=Adjusted","Sort=A","Dates=H","DateFormat=P","Fill=—","Direction=H","UseDPDF=Y")</f>
        <v>1477.1780000000001</v>
      </c>
      <c r="W59" s="13" cm="1">
        <f t="array" ref="W59">_xll.BDH("NUE US Equity","EBITDA","FQ1 2024","FQ1 2024","Currency=USD","Period=FQ","BEST_FPERIOD_OVERRIDE=FQ","FILING_STATUS=MR","SCALING_FORMAT=MLN","FA_ADJUSTED=Adjusted","Sort=A","Dates=H","DateFormat=P","Fill=—","Direction=H","UseDPDF=Y")</f>
        <v>1618.4059999999999</v>
      </c>
      <c r="X59" s="13" cm="1">
        <f t="array" ref="X59">_xll.BDH("NUE US Equity","EBITDA","FQ2 2024","FQ2 2024","Currency=USD","Period=FQ","BEST_FPERIOD_OVERRIDE=FQ","FILING_STATUS=MR","SCALING_FORMAT=MLN","FA_ADJUSTED=Adjusted","Sort=A","Dates=H","DateFormat=P","Fill=—","Direction=H","UseDPDF=Y")</f>
        <v>1343.68</v>
      </c>
      <c r="Y59" s="13" cm="1">
        <f t="array" ref="Y59">_xll.BDH("NUE US Equity","EBITDA","FQ3 2024","FQ3 2024","Currency=USD","Period=FQ","BEST_FPERIOD_OVERRIDE=FQ","FILING_STATUS=MR","SCALING_FORMAT=MLN","FA_ADJUSTED=Adjusted","Sort=A","Dates=H","DateFormat=P","Fill=—","Direction=H","UseDPDF=Y")</f>
        <v>1031.7380000000001</v>
      </c>
      <c r="Z59" s="13" cm="1">
        <f t="array" ref="Z59">_xll.BDH("NUE US Equity","EBITDA","FQ4 2024","FQ4 2024","Currency=USD","Period=FQ","BEST_FPERIOD_OVERRIDE=FQ","FILING_STATUS=MR","SCALING_FORMAT=MLN","FA_ADJUSTED=Adjusted","Sort=A","Dates=H","DateFormat=P","Fill=—","Direction=H","UseDPDF=Y")</f>
        <v>909.06299999999999</v>
      </c>
      <c r="AA59" s="13" cm="1">
        <f t="array" ref="AA59">_xll.BDH("NUE US Equity","EBITDA","FQ1 2025","FQ1 2025","Currency=USD","Period=FQ","BEST_FPERIOD_OVERRIDE=FQ","FILING_STATUS=MR","SCALING_FORMAT=MLN","FA_ADJUSTED=Adjusted","Sort=A","Dates=H","DateFormat=P","Fill=—","Direction=H","UseDPDF=Y")</f>
        <v>862</v>
      </c>
      <c r="AB59" s="13" cm="1">
        <f t="array" ref="AB59">_xll.BDH("NUE US Equity","EBITDA","FQ2 2025","FQ2 2025","Currency=USD","Period=FQ","BEST_FPERIOD_OVERRIDE=FQ","FILING_STATUS=MR","SCALING_FORMAT=MLN","FA_ADJUSTED=Adjusted","Sort=A","Dates=H","DateFormat=P","Fill=—","Direction=H","UseDPDF=Y")</f>
        <v>1285</v>
      </c>
      <c r="AC59" s="13" cm="1">
        <f t="array" ref="AC59">_xll.BDH("NUE US Equity","EBITDA","FQ3 2025","FQ3 2025","Currency=USD","Period=FQ","BEST_FPERIOD_OVERRIDE=FQ","FILING_STATUS=MR","SCALING_FORMAT=MLN","FA_ADJUSTED=Adjusted","Sort=A","Dates=H","DateFormat=P","Fill=—","Direction=H","UseDPDF=Y")</f>
        <v>1358</v>
      </c>
      <c r="AD59" s="13" cm="1">
        <f t="array" ref="AD59">_xll.BDH("NUE US Equity","EBITDA","FQ4 2025","FQ4 2025","Currency=USD","Period=FQ","BEST_FPERIOD_OVERRIDE=FQ","FILING_STATUS=MR","SCALING_FORMAT=MLN","FA_ADJUSTED=Adjusted","Sort=A","Dates=H","DateFormat=P","Fill=—","Direction=H","UseDPDF=Y")</f>
        <v>994</v>
      </c>
      <c r="AE59" s="13">
        <v>1341</v>
      </c>
      <c r="AF59" s="13">
        <v>1461.6363636363601</v>
      </c>
    </row>
    <row r="60" spans="1:32" x14ac:dyDescent="0.25">
      <c r="A60" s="10" t="s">
        <v>160</v>
      </c>
      <c r="B60" s="10" t="s">
        <v>161</v>
      </c>
      <c r="C60" s="14" cm="1">
        <f t="array" ref="C60">_xll.BDH("NUE US Equity","EBITDA_MARGIN","FQ1 2019","FQ1 2019","Currency=USD","Period=FQ","BEST_FPERIOD_OVERRIDE=FQ","FILING_STATUS=MR","FA_ADJUSTED=Adjusted","Sort=A","Dates=H","DateFormat=P","Fill=—","Direction=H","UseDPDF=Y")</f>
        <v>16.706399999999999</v>
      </c>
      <c r="D60" s="14" cm="1">
        <f t="array" ref="D60">_xll.BDH("NUE US Equity","EBITDA_MARGIN","FQ2 2019","FQ2 2019","Currency=USD","Period=FQ","BEST_FPERIOD_OVERRIDE=FQ","FILING_STATUS=MR","FA_ADJUSTED=Adjusted","Sort=A","Dates=H","DateFormat=P","Fill=—","Direction=H","UseDPDF=Y")</f>
        <v>15.8665</v>
      </c>
      <c r="E60" s="14" cm="1">
        <f t="array" ref="E60">_xll.BDH("NUE US Equity","EBITDA_MARGIN","FQ3 2019","FQ3 2019","Currency=USD","Period=FQ","BEST_FPERIOD_OVERRIDE=FQ","FILING_STATUS=MR","FA_ADJUSTED=Adjusted","Sort=A","Dates=H","DateFormat=P","Fill=—","Direction=H","UseDPDF=Y")</f>
        <v>14.2517</v>
      </c>
      <c r="F60" s="14" cm="1">
        <f t="array" ref="F60">_xll.BDH("NUE US Equity","EBITDA_MARGIN","FQ4 2019","FQ4 2019","Currency=USD","Period=FQ","BEST_FPERIOD_OVERRIDE=FQ","FILING_STATUS=MR","FA_ADJUSTED=Adjusted","Sort=A","Dates=H","DateFormat=P","Fill=—","Direction=H","UseDPDF=Y")</f>
        <v>12.4373</v>
      </c>
      <c r="G60" s="14" cm="1">
        <f t="array" ref="G60">_xll.BDH("NUE US Equity","EBITDA_MARGIN","FQ1 2020","FQ1 2020","Currency=USD","Period=FQ","BEST_FPERIOD_OVERRIDE=FQ","FILING_STATUS=MR","FA_ADJUSTED=Adjusted","Sort=A","Dates=H","DateFormat=P","Fill=—","Direction=H","UseDPDF=Y")</f>
        <v>11.8055</v>
      </c>
      <c r="H60" s="14" cm="1">
        <f t="array" ref="H60">_xll.BDH("NUE US Equity","EBITDA_MARGIN","FQ2 2020","FQ2 2020","Currency=USD","Period=FQ","BEST_FPERIOD_OVERRIDE=FQ","FILING_STATUS=MR","FA_ADJUSTED=Adjusted","Sort=A","Dates=H","DateFormat=P","Fill=—","Direction=H","UseDPDF=Y")</f>
        <v>11.1229</v>
      </c>
      <c r="I60" s="14" cm="1">
        <f t="array" ref="I60">_xll.BDH("NUE US Equity","EBITDA_MARGIN","FQ3 2020","FQ3 2020","Currency=USD","Period=FQ","BEST_FPERIOD_OVERRIDE=FQ","FILING_STATUS=MR","FA_ADJUSTED=Adjusted","Sort=A","Dates=H","DateFormat=P","Fill=—","Direction=H","UseDPDF=Y")</f>
        <v>11.045199999999999</v>
      </c>
      <c r="J60" s="14" cm="1">
        <f t="array" ref="J60">_xll.BDH("NUE US Equity","EBITDA_MARGIN","FQ4 2020","FQ4 2020","Currency=USD","Period=FQ","BEST_FPERIOD_OVERRIDE=FQ","FILING_STATUS=MR","FA_ADJUSTED=Adjusted","Sort=A","Dates=H","DateFormat=P","Fill=—","Direction=H","UseDPDF=Y")</f>
        <v>12.382400000000001</v>
      </c>
      <c r="K60" s="14" cm="1">
        <f t="array" ref="K60">_xll.BDH("NUE US Equity","EBITDA_MARGIN","FQ1 2021","FQ1 2021","Currency=USD","Period=FQ","BEST_FPERIOD_OVERRIDE=FQ","FILING_STATUS=MR","FA_ADJUSTED=Adjusted","Sort=A","Dates=H","DateFormat=P","Fill=—","Direction=H","UseDPDF=Y")</f>
        <v>15.524900000000001</v>
      </c>
      <c r="L60" s="14" cm="1">
        <f t="array" ref="L60">_xll.BDH("NUE US Equity","EBITDA_MARGIN","FQ2 2021","FQ2 2021","Currency=USD","Period=FQ","BEST_FPERIOD_OVERRIDE=FQ","FILING_STATUS=MR","FA_ADJUSTED=Adjusted","Sort=A","Dates=H","DateFormat=P","Fill=—","Direction=H","UseDPDF=Y")</f>
        <v>20.012799999999999</v>
      </c>
      <c r="M60" s="14" cm="1">
        <f t="array" ref="M60">_xll.BDH("NUE US Equity","EBITDA_MARGIN","FQ3 2021","FQ3 2021","Currency=USD","Period=FQ","BEST_FPERIOD_OVERRIDE=FQ","FILING_STATUS=MR","FA_ADJUSTED=Adjusted","Sort=A","Dates=H","DateFormat=P","Fill=—","Direction=H","UseDPDF=Y")</f>
        <v>24.816299999999998</v>
      </c>
      <c r="N60" s="14" cm="1">
        <f t="array" ref="N60">_xll.BDH("NUE US Equity","EBITDA_MARGIN","FQ4 2021","FQ4 2021","Currency=USD","Period=FQ","BEST_FPERIOD_OVERRIDE=FQ","FILING_STATUS=MR","FA_ADJUSTED=Adjusted","Sort=A","Dates=H","DateFormat=P","Fill=—","Direction=H","UseDPDF=Y")</f>
        <v>28.271000000000001</v>
      </c>
      <c r="O60" s="14" cm="1">
        <f t="array" ref="O60">_xll.BDH("NUE US Equity","EBITDA_MARGIN","FQ1 2022","FQ1 2022","Currency=USD","Period=FQ","BEST_FPERIOD_OVERRIDE=FQ","FILING_STATUS=MR","FA_ADJUSTED=Adjusted","Sort=A","Dates=H","DateFormat=P","Fill=—","Direction=H","UseDPDF=Y")</f>
        <v>30.018799999999999</v>
      </c>
      <c r="P60" s="14" cm="1">
        <f t="array" ref="P60">_xll.BDH("NUE US Equity","EBITDA_MARGIN","FQ2 2022","FQ2 2022","Currency=USD","Period=FQ","BEST_FPERIOD_OVERRIDE=FQ","FILING_STATUS=MR","FA_ADJUSTED=Adjusted","Sort=A","Dates=H","DateFormat=P","Fill=—","Direction=H","UseDPDF=Y")</f>
        <v>31.496099999999998</v>
      </c>
      <c r="Q60" s="14" cm="1">
        <f t="array" ref="Q60">_xll.BDH("NUE US Equity","EBITDA_MARGIN","FQ3 2022","FQ3 2022","Currency=USD","Period=FQ","BEST_FPERIOD_OVERRIDE=FQ","FILING_STATUS=MR","FA_ADJUSTED=Adjusted","Sort=A","Dates=H","DateFormat=P","Fill=—","Direction=H","UseDPDF=Y")</f>
        <v>30.348500000000001</v>
      </c>
      <c r="R60" s="14" cm="1">
        <f t="array" ref="R60">_xll.BDH("NUE US Equity","EBITDA_MARGIN","FQ4 2022","FQ4 2022","Currency=USD","Period=FQ","BEST_FPERIOD_OVERRIDE=FQ","FILING_STATUS=MR","FA_ADJUSTED=Adjusted","Sort=A","Dates=H","DateFormat=P","Fill=—","Direction=H","UseDPDF=Y")</f>
        <v>28.460699999999999</v>
      </c>
      <c r="S60" s="14" cm="1">
        <f t="array" ref="S60">_xll.BDH("NUE US Equity","EBITDA_MARGIN","FQ1 2023","FQ1 2023","Currency=USD","Period=FQ","BEST_FPERIOD_OVERRIDE=FQ","FILING_STATUS=MR","FA_ADJUSTED=Adjusted","Sort=A","Dates=H","DateFormat=P","Fill=—","Direction=H","UseDPDF=Y")</f>
        <v>26.561</v>
      </c>
      <c r="T60" s="14" cm="1">
        <f t="array" ref="T60">_xll.BDH("NUE US Equity","EBITDA_MARGIN","FQ2 2023","FQ2 2023","Currency=USD","Period=FQ","BEST_FPERIOD_OVERRIDE=FQ","FILING_STATUS=MR","FA_ADJUSTED=Adjusted","Sort=A","Dates=H","DateFormat=P","Fill=—","Direction=H","UseDPDF=Y")</f>
        <v>24.369299999999999</v>
      </c>
      <c r="U60" s="14" cm="1">
        <f t="array" ref="U60">_xll.BDH("NUE US Equity","EBITDA_MARGIN","FQ3 2023","FQ3 2023","Currency=USD","Period=FQ","BEST_FPERIOD_OVERRIDE=FQ","FILING_STATUS=MR","FA_ADJUSTED=Adjusted","Sort=A","Dates=H","DateFormat=P","Fill=—","Direction=H","UseDPDF=Y")</f>
        <v>23.3856</v>
      </c>
      <c r="V60" s="14" cm="1">
        <f t="array" ref="V60">_xll.BDH("NUE US Equity","EBITDA_MARGIN","FQ4 2023","FQ4 2023","Currency=USD","Period=FQ","BEST_FPERIOD_OVERRIDE=FQ","FILING_STATUS=MR","FA_ADJUSTED=Adjusted","Sort=A","Dates=H","DateFormat=P","Fill=—","Direction=H","UseDPDF=Y")</f>
        <v>22.465800000000002</v>
      </c>
      <c r="W60" s="14" cm="1">
        <f t="array" ref="W60">_xll.BDH("NUE US Equity","EBITDA_MARGIN","FQ1 2024","FQ1 2024","Currency=USD","Period=FQ","BEST_FPERIOD_OVERRIDE=FQ","FILING_STATUS=MR","FA_ADJUSTED=Adjusted","Sort=A","Dates=H","DateFormat=P","Fill=—","Direction=H","UseDPDF=Y")</f>
        <v>21.8124</v>
      </c>
      <c r="X60" s="14" cm="1">
        <f t="array" ref="X60">_xll.BDH("NUE US Equity","EBITDA_MARGIN","FQ2 2024","FQ2 2024","Currency=USD","Period=FQ","BEST_FPERIOD_OVERRIDE=FQ","FILING_STATUS=MR","FA_ADJUSTED=Adjusted","Sort=A","Dates=H","DateFormat=P","Fill=—","Direction=H","UseDPDF=Y")</f>
        <v>19.471399999999999</v>
      </c>
      <c r="Y60" s="14" cm="1">
        <f t="array" ref="Y60">_xll.BDH("NUE US Equity","EBITDA_MARGIN","FQ3 2024","FQ3 2024","Currency=USD","Period=FQ","BEST_FPERIOD_OVERRIDE=FQ","FILING_STATUS=MR","FA_ADJUSTED=Adjusted","Sort=A","Dates=H","DateFormat=P","Fill=—","Direction=H","UseDPDF=Y")</f>
        <v>17.444199999999999</v>
      </c>
      <c r="Z60" s="14" cm="1">
        <f t="array" ref="Z60">_xll.BDH("NUE US Equity","EBITDA_MARGIN","FQ4 2024","FQ4 2024","Currency=USD","Period=FQ","BEST_FPERIOD_OVERRIDE=FQ","FILING_STATUS=MR","FA_ADJUSTED=Adjusted","Sort=A","Dates=H","DateFormat=P","Fill=—","Direction=H","UseDPDF=Y")</f>
        <v>15.952400000000001</v>
      </c>
      <c r="AA60" s="14" cm="1">
        <f t="array" ref="AA60">_xll.BDH("NUE US Equity","EBITDA_MARGIN","FQ1 2025","FQ1 2025","Currency=USD","Period=FQ","BEST_FPERIOD_OVERRIDE=FQ","FILING_STATUS=MR","FA_ADJUSTED=Adjusted","Sort=A","Dates=H","DateFormat=P","Fill=—","Direction=H","UseDPDF=Y")</f>
        <v>13.6275</v>
      </c>
      <c r="AB60" s="14" cm="1">
        <f t="array" ref="AB60">_xll.BDH("NUE US Equity","EBITDA_MARGIN","FQ2 2025","FQ2 2025","Currency=USD","Period=FQ","BEST_FPERIOD_OVERRIDE=FQ","FILING_STATUS=MR","FA_ADJUSTED=Adjusted","Sort=A","Dates=H","DateFormat=P","Fill=—","Direction=H","UseDPDF=Y")</f>
        <v>13.269399999999999</v>
      </c>
      <c r="AC60" s="14" cm="1">
        <f t="array" ref="AC60">_xll.BDH("NUE US Equity","EBITDA_MARGIN","FQ3 2025","FQ3 2025","Currency=USD","Period=FQ","BEST_FPERIOD_OVERRIDE=FQ","FILING_STATUS=MR","FA_ADJUSTED=Adjusted","Sort=A","Dates=H","DateFormat=P","Fill=—","Direction=H","UseDPDF=Y")</f>
        <v>13.8446</v>
      </c>
      <c r="AD60" s="14" cm="1">
        <f t="array" ref="AD60">_xll.BDH("NUE US Equity","EBITDA_MARGIN","FQ4 2025","FQ4 2025","Currency=USD","Period=FQ","BEST_FPERIOD_OVERRIDE=FQ","FILING_STATUS=MR","FA_ADJUSTED=Adjusted","Sort=A","Dates=H","DateFormat=P","Fill=—","Direction=H","UseDPDF=Y")</f>
        <v>13.845599999999999</v>
      </c>
      <c r="AE60" s="14">
        <v>15.2923370144066</v>
      </c>
      <c r="AF60" s="14">
        <v>15.4314771646184</v>
      </c>
    </row>
    <row r="61" spans="1:32" x14ac:dyDescent="0.25">
      <c r="A61" s="10" t="s">
        <v>162</v>
      </c>
      <c r="B61" s="10" t="s">
        <v>162</v>
      </c>
      <c r="C61" s="13" cm="1">
        <f t="array" ref="C61">_xll.BDH("NUE US Equity","EBITA","FQ1 2019","FQ1 2019","Currency=USD","Period=FQ","BEST_FPERIOD_OVERRIDE=FQ","FILING_STATUS=MR","SCALING_FORMAT=MLN","FA_ADJUSTED=Adjusted","Sort=A","Dates=H","DateFormat=P","Fill=—","Direction=H","UseDPDF=Y")</f>
        <v>742.45299999999997</v>
      </c>
      <c r="D61" s="13" cm="1">
        <f t="array" ref="D61">_xll.BDH("NUE US Equity","EBITA","FQ2 2019","FQ2 2019","Currency=USD","Period=FQ","BEST_FPERIOD_OVERRIDE=FQ","FILING_STATUS=MR","SCALING_FORMAT=MLN","FA_ADJUSTED=Adjusted","Sort=A","Dates=H","DateFormat=P","Fill=—","Direction=H","UseDPDF=Y")</f>
        <v>614.16200000000003</v>
      </c>
      <c r="E61" s="13" cm="1">
        <f t="array" ref="E61">_xll.BDH("NUE US Equity","EBITA","FQ3 2019","FQ3 2019","Currency=USD","Period=FQ","BEST_FPERIOD_OVERRIDE=FQ","FILING_STATUS=MR","SCALING_FORMAT=MLN","FA_ADJUSTED=Adjusted","Sort=A","Dates=H","DateFormat=P","Fill=—","Direction=H","UseDPDF=Y")</f>
        <v>469.03899999999999</v>
      </c>
      <c r="F61" s="13" cm="1">
        <f t="array" ref="F61">_xll.BDH("NUE US Equity","EBITA","FQ4 2019","FQ4 2019","Currency=USD","Period=FQ","BEST_FPERIOD_OVERRIDE=FQ","FILING_STATUS=MR","SCALING_FORMAT=MLN","FA_ADJUSTED=Adjusted","Sort=A","Dates=H","DateFormat=P","Fill=—","Direction=H","UseDPDF=Y")</f>
        <v>334.87099999999998</v>
      </c>
      <c r="G61" s="13" cm="1">
        <f t="array" ref="G61">_xll.BDH("NUE US Equity","EBITA","FQ1 2020","FQ1 2020","Currency=USD","Period=FQ","BEST_FPERIOD_OVERRIDE=FQ","FILING_STATUS=MR","SCALING_FORMAT=MLN","FA_ADJUSTED=Adjusted","Sort=A","Dates=H","DateFormat=P","Fill=—","Direction=H","UseDPDF=Y")</f>
        <v>526.38400000000001</v>
      </c>
      <c r="H61" s="13" cm="1">
        <f t="array" ref="H61">_xll.BDH("NUE US Equity","EBITA","FQ2 2020","FQ2 2020","Currency=USD","Period=FQ","BEST_FPERIOD_OVERRIDE=FQ","FILING_STATUS=MR","SCALING_FORMAT=MLN","FA_ADJUSTED=Adjusted","Sort=A","Dates=H","DateFormat=P","Fill=—","Direction=H","UseDPDF=Y")</f>
        <v>278.59899999999999</v>
      </c>
      <c r="I61" s="13" cm="1">
        <f t="array" ref="I61">_xll.BDH("NUE US Equity","EBITA","FQ3 2020","FQ3 2020","Currency=USD","Period=FQ","BEST_FPERIOD_OVERRIDE=FQ","FILING_STATUS=MR","SCALING_FORMAT=MLN","FA_ADJUSTED=Adjusted","Sort=A","Dates=H","DateFormat=P","Fill=—","Direction=H","UseDPDF=Y")</f>
        <v>373.79399999999998</v>
      </c>
      <c r="J61" s="13" cm="1">
        <f t="array" ref="J61">_xll.BDH("NUE US Equity","EBITA","FQ4 2020","FQ4 2020","Currency=USD","Period=FQ","BEST_FPERIOD_OVERRIDE=FQ","FILING_STATUS=MR","SCALING_FORMAT=MLN","FA_ADJUSTED=Adjusted","Sort=A","Dates=H","DateFormat=P","Fill=—","Direction=H","UseDPDF=Y")</f>
        <v>612.88800000000003</v>
      </c>
      <c r="K61" s="13" cm="1">
        <f t="array" ref="K61">_xll.BDH("NUE US Equity","EBITA","FQ1 2021","FQ1 2021","Currency=USD","Period=FQ","BEST_FPERIOD_OVERRIDE=FQ","FILING_STATUS=MR","SCALING_FORMAT=MLN","FA_ADJUSTED=Adjusted","Sort=A","Dates=H","DateFormat=P","Fill=—","Direction=H","UseDPDF=Y")</f>
        <v>1371.443</v>
      </c>
      <c r="L61" s="13" cm="1">
        <f t="array" ref="L61">_xll.BDH("NUE US Equity","EBITA","FQ2 2021","FQ2 2021","Currency=USD","Period=FQ","BEST_FPERIOD_OVERRIDE=FQ","FILING_STATUS=MR","SCALING_FORMAT=MLN","FA_ADJUSTED=Adjusted","Sort=A","Dates=H","DateFormat=P","Fill=—","Direction=H","UseDPDF=Y")</f>
        <v>2129.1610000000001</v>
      </c>
      <c r="M61" s="13" cm="1">
        <f t="array" ref="M61">_xll.BDH("NUE US Equity","EBITA","FQ3 2021","FQ3 2021","Currency=USD","Period=FQ","BEST_FPERIOD_OVERRIDE=FQ","FILING_STATUS=MR","SCALING_FORMAT=MLN","FA_ADJUSTED=Adjusted","Sort=A","Dates=H","DateFormat=P","Fill=—","Direction=H","UseDPDF=Y")</f>
        <v>2950.7260000000001</v>
      </c>
      <c r="N61" s="13" cm="1">
        <f t="array" ref="N61">_xll.BDH("NUE US Equity","EBITA","FQ4 2021","FQ4 2021","Currency=USD","Period=FQ","BEST_FPERIOD_OVERRIDE=FQ","FILING_STATUS=MR","SCALING_FORMAT=MLN","FA_ADJUSTED=Adjusted","Sort=A","Dates=H","DateFormat=P","Fill=—","Direction=H","UseDPDF=Y")</f>
        <v>3127.6320000000001</v>
      </c>
      <c r="O61" s="13" cm="1">
        <f t="array" ref="O61">_xll.BDH("NUE US Equity","EBITA","FQ1 2022","FQ1 2022","Currency=USD","Period=FQ","BEST_FPERIOD_OVERRIDE=FQ","FILING_STATUS=MR","SCALING_FORMAT=MLN","FA_ADJUSTED=Adjusted","Sort=A","Dates=H","DateFormat=P","Fill=—","Direction=H","UseDPDF=Y")</f>
        <v>3036.9659999999999</v>
      </c>
      <c r="P61" s="13" cm="1">
        <f t="array" ref="P61">_xll.BDH("NUE US Equity","EBITA","FQ2 2022","FQ2 2022","Currency=USD","Period=FQ","BEST_FPERIOD_OVERRIDE=FQ","FILING_STATUS=MR","SCALING_FORMAT=MLN","FA_ADJUSTED=Adjusted","Sort=A","Dates=H","DateFormat=P","Fill=—","Direction=H","UseDPDF=Y")</f>
        <v>3646.9079999999999</v>
      </c>
      <c r="Q61" s="13" cm="1">
        <f t="array" ref="Q61">_xll.BDH("NUE US Equity","EBITA","FQ3 2022","FQ3 2022","Currency=USD","Period=FQ","BEST_FPERIOD_OVERRIDE=FQ","FILING_STATUS=MR","SCALING_FORMAT=MLN","FA_ADJUSTED=Adjusted","Sort=A","Dates=H","DateFormat=P","Fill=—","Direction=H","UseDPDF=Y")</f>
        <v>2486.0439999999999</v>
      </c>
      <c r="R61" s="13" cm="1">
        <f t="array" ref="R61">_xll.BDH("NUE US Equity","EBITA","FQ4 2022","FQ4 2022","Currency=USD","Period=FQ","BEST_FPERIOD_OVERRIDE=FQ","FILING_STATUS=MR","SCALING_FORMAT=MLN","FA_ADJUSTED=Adjusted","Sort=A","Dates=H","DateFormat=P","Fill=—","Direction=H","UseDPDF=Y")</f>
        <v>1754.8119999999999</v>
      </c>
      <c r="S61" s="13" cm="1">
        <f t="array" ref="S61">_xll.BDH("NUE US Equity","EBITA","FQ1 2023","FQ1 2023","Currency=USD","Period=FQ","BEST_FPERIOD_OVERRIDE=FQ","FILING_STATUS=MR","SCALING_FORMAT=MLN","FA_ADJUSTED=Adjusted","Sort=A","Dates=H","DateFormat=P","Fill=—","Direction=H","UseDPDF=Y")</f>
        <v>1749.076</v>
      </c>
      <c r="T61" s="13" cm="1">
        <f t="array" ref="T61">_xll.BDH("NUE US Equity","EBITA","FQ2 2023","FQ2 2023","Currency=USD","Period=FQ","BEST_FPERIOD_OVERRIDE=FQ","FILING_STATUS=MR","SCALING_FORMAT=MLN","FA_ADJUSTED=Adjusted","Sort=A","Dates=H","DateFormat=P","Fill=—","Direction=H","UseDPDF=Y")</f>
        <v>2196.748</v>
      </c>
      <c r="U61" s="13" cm="1">
        <f t="array" ref="U61">_xll.BDH("NUE US Equity","EBITA","FQ3 2023","FQ3 2023","Currency=USD","Period=FQ","BEST_FPERIOD_OVERRIDE=FQ","FILING_STATUS=MR","SCALING_FORMAT=MLN","FA_ADJUSTED=Adjusted","Sort=A","Dates=H","DateFormat=P","Fill=—","Direction=H","UseDPDF=Y")</f>
        <v>1694.502</v>
      </c>
      <c r="V61" s="13" cm="1">
        <f t="array" ref="V61">_xll.BDH("NUE US Equity","EBITA","FQ4 2023","FQ4 2023","Currency=USD","Period=FQ","BEST_FPERIOD_OVERRIDE=FQ","FILING_STATUS=MR","SCALING_FORMAT=MLN","FA_ADJUSTED=Adjusted","Sort=A","Dates=H","DateFormat=P","Fill=—","Direction=H","UseDPDF=Y")</f>
        <v>1227.7460000000001</v>
      </c>
      <c r="W61" s="13" cm="1">
        <f t="array" ref="W61">_xll.BDH("NUE US Equity","EBITA","FQ1 2024","FQ1 2024","Currency=USD","Period=FQ","BEST_FPERIOD_OVERRIDE=FQ","FILING_STATUS=MR","SCALING_FORMAT=MLN","FA_ADJUSTED=Adjusted","Sort=A","Dates=H","DateFormat=P","Fill=—","Direction=H","UseDPDF=Y")</f>
        <v>1361.4680000000001</v>
      </c>
      <c r="X61" s="13" cm="1">
        <f t="array" ref="X61">_xll.BDH("NUE US Equity","EBITA","FQ2 2024","FQ2 2024","Currency=USD","Period=FQ","BEST_FPERIOD_OVERRIDE=FQ","FILING_STATUS=MR","SCALING_FORMAT=MLN","FA_ADJUSTED=Adjusted","Sort=A","Dates=H","DateFormat=P","Fill=—","Direction=H","UseDPDF=Y")</f>
        <v>1072.992</v>
      </c>
      <c r="Y61" s="13" cm="1">
        <f t="array" ref="Y61">_xll.BDH("NUE US Equity","EBITA","FQ3 2024","FQ3 2024","Currency=USD","Period=FQ","BEST_FPERIOD_OVERRIDE=FQ","FILING_STATUS=MR","SCALING_FORMAT=MLN","FA_ADJUSTED=Adjusted","Sort=A","Dates=H","DateFormat=P","Fill=—","Direction=H","UseDPDF=Y")</f>
        <v>750.57299999999998</v>
      </c>
      <c r="Z61" s="13" cm="1">
        <f t="array" ref="Z61">_xll.BDH("NUE US Equity","EBITA","FQ4 2024","FQ4 2024","Currency=USD","Period=FQ","BEST_FPERIOD_OVERRIDE=FQ","FILING_STATUS=MR","SCALING_FORMAT=MLN","FA_ADJUSTED=Adjusted","Sort=A","Dates=H","DateFormat=P","Fill=—","Direction=H","UseDPDF=Y")</f>
        <v>624.06299999999999</v>
      </c>
      <c r="AA61" s="13" cm="1">
        <f t="array" ref="AA61">_xll.BDH("NUE US Equity","EBITA","FQ1 2025","FQ1 2025","Currency=USD","Period=FQ","BEST_FPERIOD_OVERRIDE=FQ","FILING_STATUS=MR","SCALING_FORMAT=MLN","FA_ADJUSTED=Adjusted","Sort=A","Dates=H","DateFormat=P","Fill=—","Direction=H","UseDPDF=Y")</f>
        <v>559</v>
      </c>
      <c r="AB61" s="13" cm="1">
        <f t="array" ref="AB61">_xll.BDH("NUE US Equity","EBITA","FQ2 2025","FQ2 2025","Currency=USD","Period=FQ","BEST_FPERIOD_OVERRIDE=FQ","FILING_STATUS=MR","SCALING_FORMAT=MLN","FA_ADJUSTED=Adjusted","Sort=A","Dates=H","DateFormat=P","Fill=—","Direction=H","UseDPDF=Y")</f>
        <v>982</v>
      </c>
      <c r="AC61" s="13" cm="1">
        <f t="array" ref="AC61">_xll.BDH("NUE US Equity","EBITA","FQ3 2025","FQ3 2025","Currency=USD","Period=FQ","BEST_FPERIOD_OVERRIDE=FQ","FILING_STATUS=MR","SCALING_FORMAT=MLN","FA_ADJUSTED=Adjusted","Sort=A","Dates=H","DateFormat=P","Fill=—","Direction=H","UseDPDF=Y")</f>
        <v>1054</v>
      </c>
      <c r="AD61" s="13" cm="1">
        <f t="array" ref="AD61">_xll.BDH("NUE US Equity","EBITA","FQ4 2025","FQ4 2025","Currency=USD","Period=FQ","BEST_FPERIOD_OVERRIDE=FQ","FILING_STATUS=MR","SCALING_FORMAT=MLN","FA_ADJUSTED=Adjusted","Sort=A","Dates=H","DateFormat=P","Fill=—","Direction=H","UseDPDF=Y")</f>
        <v>678</v>
      </c>
      <c r="AE61" s="13"/>
      <c r="AF61" s="13"/>
    </row>
    <row r="62" spans="1:32" x14ac:dyDescent="0.25">
      <c r="A62" s="10" t="s">
        <v>163</v>
      </c>
      <c r="B62" s="10" t="s">
        <v>163</v>
      </c>
      <c r="C62" s="13" cm="1">
        <f t="array" ref="C62">_xll.BDH("NUE US Equity","EBIT","FQ1 2019","FQ1 2019","Currency=USD","Period=FQ","BEST_FPERIOD_OVERRIDE=FQ","FILING_STATUS=MR","SCALING_FORMAT=MLN","FA_ADJUSTED=Adjusted","Sort=A","Dates=H","DateFormat=P","Fill=—","Direction=H","UseDPDF=Y")</f>
        <v>715.15300000000002</v>
      </c>
      <c r="D62" s="13" cm="1">
        <f t="array" ref="D62">_xll.BDH("NUE US Equity","EBIT","FQ2 2019","FQ2 2019","Currency=USD","Period=FQ","BEST_FPERIOD_OVERRIDE=FQ","FILING_STATUS=MR","SCALING_FORMAT=MLN","FA_ADJUSTED=Adjusted","Sort=A","Dates=H","DateFormat=P","Fill=—","Direction=H","UseDPDF=Y")</f>
        <v>587.01400000000001</v>
      </c>
      <c r="E62" s="13" cm="1">
        <f t="array" ref="E62">_xll.BDH("NUE US Equity","EBIT","FQ3 2019","FQ3 2019","Currency=USD","Period=FQ","BEST_FPERIOD_OVERRIDE=FQ","FILING_STATUS=MR","SCALING_FORMAT=MLN","FA_ADJUSTED=Adjusted","Sort=A","Dates=H","DateFormat=P","Fill=—","Direction=H","UseDPDF=Y")</f>
        <v>441.21</v>
      </c>
      <c r="F62" s="13" cm="1">
        <f t="array" ref="F62">_xll.BDH("NUE US Equity","EBIT","FQ4 2019","FQ4 2019","Currency=USD","Period=FQ","BEST_FPERIOD_OVERRIDE=FQ","FILING_STATUS=MR","SCALING_FORMAT=MLN","FA_ADJUSTED=Adjusted","Sort=A","Dates=H","DateFormat=P","Fill=—","Direction=H","UseDPDF=Y")</f>
        <v>307.95999999999998</v>
      </c>
      <c r="G62" s="13" cm="1">
        <f t="array" ref="G62">_xll.BDH("NUE US Equity","EBIT","FQ1 2020","FQ1 2020","Currency=USD","Period=FQ","BEST_FPERIOD_OVERRIDE=FQ","FILING_STATUS=MR","SCALING_FORMAT=MLN","FA_ADJUSTED=Adjusted","Sort=A","Dates=H","DateFormat=P","Fill=—","Direction=H","UseDPDF=Y")</f>
        <v>504.87599999999998</v>
      </c>
      <c r="H62" s="13" cm="1">
        <f t="array" ref="H62">_xll.BDH("NUE US Equity","EBIT","FQ2 2020","FQ2 2020","Currency=USD","Period=FQ","BEST_FPERIOD_OVERRIDE=FQ","FILING_STATUS=MR","SCALING_FORMAT=MLN","FA_ADJUSTED=Adjusted","Sort=A","Dates=H","DateFormat=P","Fill=—","Direction=H","UseDPDF=Y")</f>
        <v>257.94200000000001</v>
      </c>
      <c r="I62" s="13" cm="1">
        <f t="array" ref="I62">_xll.BDH("NUE US Equity","EBIT","FQ3 2020","FQ3 2020","Currency=USD","Period=FQ","BEST_FPERIOD_OVERRIDE=FQ","FILING_STATUS=MR","SCALING_FORMAT=MLN","FA_ADJUSTED=Adjusted","Sort=A","Dates=H","DateFormat=P","Fill=—","Direction=H","UseDPDF=Y")</f>
        <v>353.08199999999999</v>
      </c>
      <c r="J62" s="13" cm="1">
        <f t="array" ref="J62">_xll.BDH("NUE US Equity","EBIT","FQ4 2020","FQ4 2020","Currency=USD","Period=FQ","BEST_FPERIOD_OVERRIDE=FQ","FILING_STATUS=MR","SCALING_FORMAT=MLN","FA_ADJUSTED=Adjusted","Sort=A","Dates=H","DateFormat=P","Fill=—","Direction=H","UseDPDF=Y")</f>
        <v>592.40899999999999</v>
      </c>
      <c r="K62" s="13" cm="1">
        <f t="array" ref="K62">_xll.BDH("NUE US Equity","EBIT","FQ1 2021","FQ1 2021","Currency=USD","Period=FQ","BEST_FPERIOD_OVERRIDE=FQ","FILING_STATUS=MR","SCALING_FORMAT=MLN","FA_ADJUSTED=Adjusted","Sort=A","Dates=H","DateFormat=P","Fill=—","Direction=H","UseDPDF=Y")</f>
        <v>1350.3130000000001</v>
      </c>
      <c r="L62" s="13" cm="1">
        <f t="array" ref="L62">_xll.BDH("NUE US Equity","EBIT","FQ2 2021","FQ2 2021","Currency=USD","Period=FQ","BEST_FPERIOD_OVERRIDE=FQ","FILING_STATUS=MR","SCALING_FORMAT=MLN","FA_ADJUSTED=Adjusted","Sort=A","Dates=H","DateFormat=P","Fill=—","Direction=H","UseDPDF=Y")</f>
        <v>2108.433</v>
      </c>
      <c r="M62" s="13" cm="1">
        <f t="array" ref="M62">_xll.BDH("NUE US Equity","EBIT","FQ3 2021","FQ3 2021","Currency=USD","Period=FQ","BEST_FPERIOD_OVERRIDE=FQ","FILING_STATUS=MR","SCALING_FORMAT=MLN","FA_ADJUSTED=Adjusted","Sort=A","Dates=H","DateFormat=P","Fill=—","Direction=H","UseDPDF=Y")</f>
        <v>2915.9279999999999</v>
      </c>
      <c r="N62" s="13" cm="1">
        <f t="array" ref="N62">_xll.BDH("NUE US Equity","EBIT","FQ4 2021","FQ4 2021","Currency=USD","Period=FQ","BEST_FPERIOD_OVERRIDE=FQ","FILING_STATUS=MR","SCALING_FORMAT=MLN","FA_ADJUSTED=Adjusted","Sort=A","Dates=H","DateFormat=P","Fill=—","Direction=H","UseDPDF=Y")</f>
        <v>3075.1309999999999</v>
      </c>
      <c r="O62" s="13" cm="1">
        <f t="array" ref="O62">_xll.BDH("NUE US Equity","EBIT","FQ1 2022","FQ1 2022","Currency=USD","Period=FQ","BEST_FPERIOD_OVERRIDE=FQ","FILING_STATUS=MR","SCALING_FORMAT=MLN","FA_ADJUSTED=Adjusted","Sort=A","Dates=H","DateFormat=P","Fill=—","Direction=H","UseDPDF=Y")</f>
        <v>2995.5549999999998</v>
      </c>
      <c r="P62" s="13" cm="1">
        <f t="array" ref="P62">_xll.BDH("NUE US Equity","EBIT","FQ2 2022","FQ2 2022","Currency=USD","Period=FQ","BEST_FPERIOD_OVERRIDE=FQ","FILING_STATUS=MR","SCALING_FORMAT=MLN","FA_ADJUSTED=Adjusted","Sort=A","Dates=H","DateFormat=P","Fill=—","Direction=H","UseDPDF=Y")</f>
        <v>3601.0520000000001</v>
      </c>
      <c r="Q62" s="13" cm="1">
        <f t="array" ref="Q62">_xll.BDH("NUE US Equity","EBIT","FQ3 2022","FQ3 2022","Currency=USD","Period=FQ","BEST_FPERIOD_OVERRIDE=FQ","FILING_STATUS=MR","SCALING_FORMAT=MLN","FA_ADJUSTED=Adjusted","Sort=A","Dates=H","DateFormat=P","Fill=—","Direction=H","UseDPDF=Y")</f>
        <v>2408.8310000000001</v>
      </c>
      <c r="R62" s="13" cm="1">
        <f t="array" ref="R62">_xll.BDH("NUE US Equity","EBIT","FQ4 2022","FQ4 2022","Currency=USD","Period=FQ","BEST_FPERIOD_OVERRIDE=FQ","FILING_STATUS=MR","SCALING_FORMAT=MLN","FA_ADJUSTED=Adjusted","Sort=A","Dates=H","DateFormat=P","Fill=—","Direction=H","UseDPDF=Y")</f>
        <v>1747.664</v>
      </c>
      <c r="S62" s="13" cm="1">
        <f t="array" ref="S62">_xll.BDH("NUE US Equity","EBIT","FQ1 2023","FQ1 2023","Currency=USD","Period=FQ","BEST_FPERIOD_OVERRIDE=FQ","FILING_STATUS=MR","SCALING_FORMAT=MLN","FA_ADJUSTED=Adjusted","Sort=A","Dates=H","DateFormat=P","Fill=—","Direction=H","UseDPDF=Y")</f>
        <v>1690.307</v>
      </c>
      <c r="T62" s="13" cm="1">
        <f t="array" ref="T62">_xll.BDH("NUE US Equity","EBIT","FQ2 2023","FQ2 2023","Currency=USD","Period=FQ","BEST_FPERIOD_OVERRIDE=FQ","FILING_STATUS=MR","SCALING_FORMAT=MLN","FA_ADJUSTED=Adjusted","Sort=A","Dates=H","DateFormat=P","Fill=—","Direction=H","UseDPDF=Y")</f>
        <v>2138.2860000000001</v>
      </c>
      <c r="U62" s="13" cm="1">
        <f t="array" ref="U62">_xll.BDH("NUE US Equity","EBIT","FQ3 2023","FQ3 2023","Currency=USD","Period=FQ","BEST_FPERIOD_OVERRIDE=FQ","FILING_STATUS=MR","SCALING_FORMAT=MLN","FA_ADJUSTED=Adjusted","Sort=A","Dates=H","DateFormat=P","Fill=—","Direction=H","UseDPDF=Y")</f>
        <v>1636.0319999999999</v>
      </c>
      <c r="V62" s="13" cm="1">
        <f t="array" ref="V62">_xll.BDH("NUE US Equity","EBIT","FQ4 2023","FQ4 2023","Currency=USD","Period=FQ","BEST_FPERIOD_OVERRIDE=FQ","FILING_STATUS=MR","SCALING_FORMAT=MLN","FA_ADJUSTED=Adjusted","Sort=A","Dates=H","DateFormat=P","Fill=—","Direction=H","UseDPDF=Y")</f>
        <v>1165.7170000000001</v>
      </c>
      <c r="W62" s="13" cm="1">
        <f t="array" ref="W62">_xll.BDH("NUE US Equity","EBIT","FQ1 2024","FQ1 2024","Currency=USD","Period=FQ","BEST_FPERIOD_OVERRIDE=FQ","FILING_STATUS=MR","SCALING_FORMAT=MLN","FA_ADJUSTED=Adjusted","Sort=A","Dates=H","DateFormat=P","Fill=—","Direction=H","UseDPDF=Y")</f>
        <v>1302.7850000000001</v>
      </c>
      <c r="X62" s="13" cm="1">
        <f t="array" ref="X62">_xll.BDH("NUE US Equity","EBIT","FQ2 2024","FQ2 2024","Currency=USD","Period=FQ","BEST_FPERIOD_OVERRIDE=FQ","FILING_STATUS=MR","SCALING_FORMAT=MLN","FA_ADJUSTED=Adjusted","Sort=A","Dates=H","DateFormat=P","Fill=—","Direction=H","UseDPDF=Y")</f>
        <v>1011.825</v>
      </c>
      <c r="Y62" s="13" cm="1">
        <f t="array" ref="Y62">_xll.BDH("NUE US Equity","EBIT","FQ3 2024","FQ3 2024","Currency=USD","Period=FQ","BEST_FPERIOD_OVERRIDE=FQ","FILING_STATUS=MR","SCALING_FORMAT=MLN","FA_ADJUSTED=Adjusted","Sort=A","Dates=H","DateFormat=P","Fill=—","Direction=H","UseDPDF=Y")</f>
        <v>681.27700000000004</v>
      </c>
      <c r="Z62" s="13" cm="1">
        <f t="array" ref="Z62">_xll.BDH("NUE US Equity","EBIT","FQ4 2024","FQ4 2024","Currency=USD","Period=FQ","BEST_FPERIOD_OVERRIDE=FQ","FILING_STATUS=MR","SCALING_FORMAT=MLN","FA_ADJUSTED=Adjusted","Sort=A","Dates=H","DateFormat=P","Fill=—","Direction=H","UseDPDF=Y")</f>
        <v>551</v>
      </c>
      <c r="AA62" s="13" cm="1">
        <f t="array" ref="AA62">_xll.BDH("NUE US Equity","EBIT","FQ1 2025","FQ1 2025","Currency=USD","Period=FQ","BEST_FPERIOD_OVERRIDE=FQ","FILING_STATUS=MR","SCALING_FORMAT=MLN","FA_ADJUSTED=Adjusted","Sort=A","Dates=H","DateFormat=P","Fill=—","Direction=H","UseDPDF=Y")</f>
        <v>494</v>
      </c>
      <c r="AB62" s="13" cm="1">
        <f t="array" ref="AB62">_xll.BDH("NUE US Equity","EBIT","FQ2 2025","FQ2 2025","Currency=USD","Period=FQ","BEST_FPERIOD_OVERRIDE=FQ","FILING_STATUS=MR","SCALING_FORMAT=MLN","FA_ADJUSTED=Adjusted","Sort=A","Dates=H","DateFormat=P","Fill=—","Direction=H","UseDPDF=Y")</f>
        <v>919</v>
      </c>
      <c r="AC62" s="13" cm="1">
        <f t="array" ref="AC62">_xll.BDH("NUE US Equity","EBIT","FQ3 2025","FQ3 2025","Currency=USD","Period=FQ","BEST_FPERIOD_OVERRIDE=FQ","FILING_STATUS=MR","SCALING_FORMAT=MLN","FA_ADJUSTED=Adjusted","Sort=A","Dates=H","DateFormat=P","Fill=—","Direction=H","UseDPDF=Y")</f>
        <v>991</v>
      </c>
      <c r="AD62" s="13" cm="1">
        <f t="array" ref="AD62">_xll.BDH("NUE US Equity","EBIT","FQ4 2025","FQ4 2025","Currency=USD","Period=FQ","BEST_FPERIOD_OVERRIDE=FQ","FILING_STATUS=MR","SCALING_FORMAT=MLN","FA_ADJUSTED=Adjusted","Sort=A","Dates=H","DateFormat=P","Fill=—","Direction=H","UseDPDF=Y")</f>
        <v>615</v>
      </c>
      <c r="AE62" s="13">
        <v>941.2</v>
      </c>
      <c r="AF62" s="13">
        <v>1072.5</v>
      </c>
    </row>
    <row r="63" spans="1:32" x14ac:dyDescent="0.25">
      <c r="A63" s="10" t="s">
        <v>164</v>
      </c>
      <c r="B63" s="10" t="s">
        <v>165</v>
      </c>
      <c r="C63" s="14" cm="1">
        <f t="array" ref="C63">_xll.BDH("NUE US Equity","GROSS_MARGIN","FQ1 2019","FQ1 2019","Currency=USD","Period=FQ","BEST_FPERIOD_OVERRIDE=FQ","FILING_STATUS=MR","FA_ADJUSTED=Adjusted","Sort=A","Dates=H","DateFormat=P","Fill=—","Direction=H","UseDPDF=Y")</f>
        <v>14.694900000000001</v>
      </c>
      <c r="D63" s="14" cm="1">
        <f t="array" ref="D63">_xll.BDH("NUE US Equity","GROSS_MARGIN","FQ2 2019","FQ2 2019","Currency=USD","Period=FQ","BEST_FPERIOD_OVERRIDE=FQ","FILING_STATUS=MR","FA_ADJUSTED=Adjusted","Sort=A","Dates=H","DateFormat=P","Fill=—","Direction=H","UseDPDF=Y")</f>
        <v>13.152900000000001</v>
      </c>
      <c r="E63" s="14" cm="1">
        <f t="array" ref="E63">_xll.BDH("NUE US Equity","GROSS_MARGIN","FQ3 2019","FQ3 2019","Currency=USD","Period=FQ","BEST_FPERIOD_OVERRIDE=FQ","FILING_STATUS=MR","FA_ADJUSTED=Adjusted","Sort=A","Dates=H","DateFormat=P","Fill=—","Direction=H","UseDPDF=Y")</f>
        <v>10.476900000000001</v>
      </c>
      <c r="F63" s="14" cm="1">
        <f t="array" ref="F63">_xll.BDH("NUE US Equity","GROSS_MARGIN","FQ4 2019","FQ4 2019","Currency=USD","Period=FQ","BEST_FPERIOD_OVERRIDE=FQ","FILING_STATUS=MR","FA_ADJUSTED=Adjusted","Sort=A","Dates=H","DateFormat=P","Fill=—","Direction=H","UseDPDF=Y")</f>
        <v>8.4802999999999997</v>
      </c>
      <c r="G63" s="14" cm="1">
        <f t="array" ref="G63">_xll.BDH("NUE US Equity","GROSS_MARGIN","FQ1 2020","FQ1 2020","Currency=USD","Period=FQ","BEST_FPERIOD_OVERRIDE=FQ","FILING_STATUS=MR","FA_ADJUSTED=Adjusted","Sort=A","Dates=H","DateFormat=P","Fill=—","Direction=H","UseDPDF=Y")</f>
        <v>11.1883</v>
      </c>
      <c r="H63" s="14" cm="1">
        <f t="array" ref="H63">_xll.BDH("NUE US Equity","GROSS_MARGIN","FQ2 2020","FQ2 2020","Currency=USD","Period=FQ","BEST_FPERIOD_OVERRIDE=FQ","FILING_STATUS=MR","FA_ADJUSTED=Adjusted","Sort=A","Dates=H","DateFormat=P","Fill=—","Direction=H","UseDPDF=Y")</f>
        <v>8.7342999999999993</v>
      </c>
      <c r="I63" s="14" cm="1">
        <f t="array" ref="I63">_xll.BDH("NUE US Equity","GROSS_MARGIN","FQ3 2020","FQ3 2020","Currency=USD","Period=FQ","BEST_FPERIOD_OVERRIDE=FQ","FILING_STATUS=MR","FA_ADJUSTED=Adjusted","Sort=A","Dates=H","DateFormat=P","Fill=—","Direction=H","UseDPDF=Y")</f>
        <v>10.1907</v>
      </c>
      <c r="J63" s="14" cm="1">
        <f t="array" ref="J63">_xll.BDH("NUE US Equity","GROSS_MARGIN","FQ4 2020","FQ4 2020","Currency=USD","Period=FQ","BEST_FPERIOD_OVERRIDE=FQ","FILING_STATUS=MR","FA_ADJUSTED=Adjusted","Sort=A","Dates=H","DateFormat=P","Fill=—","Direction=H","UseDPDF=Y")</f>
        <v>13.6601</v>
      </c>
      <c r="K63" s="14" cm="1">
        <f t="array" ref="K63">_xll.BDH("NUE US Equity","GROSS_MARGIN","FQ1 2021","FQ1 2021","Currency=USD","Period=FQ","BEST_FPERIOD_OVERRIDE=FQ","FILING_STATUS=MR","FA_ADJUSTED=Adjusted","Sort=A","Dates=H","DateFormat=P","Fill=—","Direction=H","UseDPDF=Y")</f>
        <v>23.121099999999998</v>
      </c>
      <c r="L63" s="14" cm="1">
        <f t="array" ref="L63">_xll.BDH("NUE US Equity","GROSS_MARGIN","FQ2 2021","FQ2 2021","Currency=USD","Period=FQ","BEST_FPERIOD_OVERRIDE=FQ","FILING_STATUS=MR","FA_ADJUSTED=Adjusted","Sort=A","Dates=H","DateFormat=P","Fill=—","Direction=H","UseDPDF=Y")</f>
        <v>28.142600000000002</v>
      </c>
      <c r="M63" s="14" cm="1">
        <f t="array" ref="M63">_xll.BDH("NUE US Equity","GROSS_MARGIN","FQ3 2021","FQ3 2021","Currency=USD","Period=FQ","BEST_FPERIOD_OVERRIDE=FQ","FILING_STATUS=MR","FA_ADJUSTED=Adjusted","Sort=A","Dates=H","DateFormat=P","Fill=—","Direction=H","UseDPDF=Y")</f>
        <v>33.028199999999998</v>
      </c>
      <c r="N63" s="14" cm="1">
        <f t="array" ref="N63">_xll.BDH("NUE US Equity","GROSS_MARGIN","FQ4 2021","FQ4 2021","Currency=USD","Period=FQ","BEST_FPERIOD_OVERRIDE=FQ","FILING_STATUS=MR","FA_ADJUSTED=Adjusted","Sort=A","Dates=H","DateFormat=P","Fill=—","Direction=H","UseDPDF=Y")</f>
        <v>33.993299999999998</v>
      </c>
      <c r="O63" s="14" cm="1">
        <f t="array" ref="O63">_xll.BDH("NUE US Equity","GROSS_MARGIN","FQ1 2022","FQ1 2022","Currency=USD","Period=FQ","BEST_FPERIOD_OVERRIDE=FQ","FILING_STATUS=MR","FA_ADJUSTED=Adjusted","Sort=A","Dates=H","DateFormat=P","Fill=—","Direction=H","UseDPDF=Y")</f>
        <v>32.9557</v>
      </c>
      <c r="P63" s="14" cm="1">
        <f t="array" ref="P63">_xll.BDH("NUE US Equity","GROSS_MARGIN","FQ2 2022","FQ2 2022","Currency=USD","Period=FQ","BEST_FPERIOD_OVERRIDE=FQ","FILING_STATUS=MR","FA_ADJUSTED=Adjusted","Sort=A","Dates=H","DateFormat=P","Fill=—","Direction=H","UseDPDF=Y")</f>
        <v>34.798200000000001</v>
      </c>
      <c r="Q63" s="14" cm="1">
        <f t="array" ref="Q63">_xll.BDH("NUE US Equity","GROSS_MARGIN","FQ3 2022","FQ3 2022","Currency=USD","Period=FQ","BEST_FPERIOD_OVERRIDE=FQ","FILING_STATUS=MR","FA_ADJUSTED=Adjusted","Sort=A","Dates=H","DateFormat=P","Fill=—","Direction=H","UseDPDF=Y")</f>
        <v>27.077999999999999</v>
      </c>
      <c r="R63" s="14" cm="1">
        <f t="array" ref="R63">_xll.BDH("NUE US Equity","GROSS_MARGIN","FQ4 2022","FQ4 2022","Currency=USD","Period=FQ","BEST_FPERIOD_OVERRIDE=FQ","FILING_STATUS=MR","FA_ADJUSTED=Adjusted","Sort=A","Dates=H","DateFormat=P","Fill=—","Direction=H","UseDPDF=Y")</f>
        <v>24.0428</v>
      </c>
      <c r="S63" s="14" cm="1">
        <f t="array" ref="S63">_xll.BDH("NUE US Equity","GROSS_MARGIN","FQ1 2023","FQ1 2023","Currency=USD","Period=FQ","BEST_FPERIOD_OVERRIDE=FQ","FILING_STATUS=MR","FA_ADJUSTED=Adjusted","Sort=A","Dates=H","DateFormat=P","Fill=—","Direction=H","UseDPDF=Y")</f>
        <v>22.941500000000001</v>
      </c>
      <c r="T63" s="14" cm="1">
        <f t="array" ref="T63">_xll.BDH("NUE US Equity","GROSS_MARGIN","FQ2 2023","FQ2 2023","Currency=USD","Period=FQ","BEST_FPERIOD_OVERRIDE=FQ","FILING_STATUS=MR","FA_ADJUSTED=Adjusted","Sort=A","Dates=H","DateFormat=P","Fill=—","Direction=H","UseDPDF=Y")</f>
        <v>26.269100000000002</v>
      </c>
      <c r="U63" s="14" cm="1">
        <f t="array" ref="U63">_xll.BDH("NUE US Equity","GROSS_MARGIN","FQ3 2023","FQ3 2023","Currency=USD","Period=FQ","BEST_FPERIOD_OVERRIDE=FQ","FILING_STATUS=MR","FA_ADJUSTED=Adjusted","Sort=A","Dates=H","DateFormat=P","Fill=—","Direction=H","UseDPDF=Y")</f>
        <v>21.887599999999999</v>
      </c>
      <c r="V63" s="14" cm="1">
        <f t="array" ref="V63">_xll.BDH("NUE US Equity","GROSS_MARGIN","FQ4 2023","FQ4 2023","Currency=USD","Period=FQ","BEST_FPERIOD_OVERRIDE=FQ","FILING_STATUS=MR","FA_ADJUSTED=Adjusted","Sort=A","Dates=H","DateFormat=P","Fill=—","Direction=H","UseDPDF=Y")</f>
        <v>18.089600000000001</v>
      </c>
      <c r="W63" s="14" cm="1">
        <f t="array" ref="W63">_xll.BDH("NUE US Equity","GROSS_MARGIN","FQ1 2024","FQ1 2024","Currency=USD","Period=FQ","BEST_FPERIOD_OVERRIDE=FQ","FILING_STATUS=MR","FA_ADJUSTED=Adjusted","Sort=A","Dates=H","DateFormat=P","Fill=—","Direction=H","UseDPDF=Y")</f>
        <v>18.719000000000001</v>
      </c>
      <c r="X63" s="14" cm="1">
        <f t="array" ref="X63">_xll.BDH("NUE US Equity","GROSS_MARGIN","FQ2 2024","FQ2 2024","Currency=USD","Period=FQ","BEST_FPERIOD_OVERRIDE=FQ","FILING_STATUS=MR","FA_ADJUSTED=Adjusted","Sort=A","Dates=H","DateFormat=P","Fill=—","Direction=H","UseDPDF=Y")</f>
        <v>14.783099999999999</v>
      </c>
      <c r="Y63" s="14" cm="1">
        <f t="array" ref="Y63">_xll.BDH("NUE US Equity","GROSS_MARGIN","FQ3 2024","FQ3 2024","Currency=USD","Period=FQ","BEST_FPERIOD_OVERRIDE=FQ","FILING_STATUS=MR","FA_ADJUSTED=Adjusted","Sort=A","Dates=H","DateFormat=P","Fill=—","Direction=H","UseDPDF=Y")</f>
        <v>10.1816</v>
      </c>
      <c r="Z63" s="14" cm="1">
        <f t="array" ref="Z63">_xll.BDH("NUE US Equity","GROSS_MARGIN","FQ4 2024","FQ4 2024","Currency=USD","Period=FQ","BEST_FPERIOD_OVERRIDE=FQ","FILING_STATUS=MR","FA_ADJUSTED=Adjusted","Sort=A","Dates=H","DateFormat=P","Fill=—","Direction=H","UseDPDF=Y")</f>
        <v>8.8609000000000009</v>
      </c>
      <c r="AA63" s="14" cm="1">
        <f t="array" ref="AA63">_xll.BDH("NUE US Equity","GROSS_MARGIN","FQ1 2025","FQ1 2025","Currency=USD","Period=FQ","BEST_FPERIOD_OVERRIDE=FQ","FILING_STATUS=MR","FA_ADJUSTED=Adjusted","Sort=A","Dates=H","DateFormat=P","Fill=—","Direction=H","UseDPDF=Y")</f>
        <v>7.7267000000000001</v>
      </c>
      <c r="AB63" s="14" cm="1">
        <f t="array" ref="AB63">_xll.BDH("NUE US Equity","GROSS_MARGIN","FQ2 2025","FQ2 2025","Currency=USD","Period=FQ","BEST_FPERIOD_OVERRIDE=FQ","FILING_STATUS=MR","FA_ADJUSTED=Adjusted","Sort=A","Dates=H","DateFormat=P","Fill=—","Direction=H","UseDPDF=Y")</f>
        <v>14.463100000000001</v>
      </c>
      <c r="AC63" s="14" cm="1">
        <f t="array" ref="AC63">_xll.BDH("NUE US Equity","GROSS_MARGIN","FQ3 2025","FQ3 2025","Currency=USD","Period=FQ","BEST_FPERIOD_OVERRIDE=FQ","FILING_STATUS=MR","FA_ADJUSTED=Adjusted","Sort=A","Dates=H","DateFormat=P","Fill=—","Direction=H","UseDPDF=Y")</f>
        <v>13.942</v>
      </c>
      <c r="AD63" s="14" cm="1">
        <f t="array" ref="AD63">_xll.BDH("NUE US Equity","GROSS_MARGIN","FQ4 2025","FQ4 2025","Currency=USD","Period=FQ","BEST_FPERIOD_OVERRIDE=FQ","FILING_STATUS=MR","FA_ADJUSTED=Adjusted","Sort=A","Dates=H","DateFormat=P","Fill=—","Direction=H","UseDPDF=Y")</f>
        <v>11.213699999999999</v>
      </c>
      <c r="AE63" s="14">
        <v>15.581</v>
      </c>
      <c r="AF63" s="14">
        <v>16.603999999999999</v>
      </c>
    </row>
    <row r="64" spans="1:32" x14ac:dyDescent="0.25">
      <c r="A64" s="10" t="s">
        <v>166</v>
      </c>
      <c r="B64" s="10" t="s">
        <v>167</v>
      </c>
      <c r="C64" s="14" cm="1">
        <f t="array" ref="C64">_xll.BDH("NUE US Equity","OPER_MARGIN","FQ1 2019","FQ1 2019","Currency=USD","Period=FQ","BEST_FPERIOD_OVERRIDE=FQ","FILING_STATUS=MR","FA_ADJUSTED=Adjusted","Sort=A","Dates=H","DateFormat=P","Fill=—","Direction=H","UseDPDF=Y")</f>
        <v>11.7303</v>
      </c>
      <c r="D64" s="14" cm="1">
        <f t="array" ref="D64">_xll.BDH("NUE US Equity","OPER_MARGIN","FQ2 2019","FQ2 2019","Currency=USD","Period=FQ","BEST_FPERIOD_OVERRIDE=FQ","FILING_STATUS=MR","FA_ADJUSTED=Adjusted","Sort=A","Dates=H","DateFormat=P","Fill=—","Direction=H","UseDPDF=Y")</f>
        <v>9.9562000000000008</v>
      </c>
      <c r="E64" s="14" cm="1">
        <f t="array" ref="E64">_xll.BDH("NUE US Equity","OPER_MARGIN","FQ3 2019","FQ3 2019","Currency=USD","Period=FQ","BEST_FPERIOD_OVERRIDE=FQ","FILING_STATUS=MR","FA_ADJUSTED=Adjusted","Sort=A","Dates=H","DateFormat=P","Fill=—","Direction=H","UseDPDF=Y")</f>
        <v>8.0740999999999996</v>
      </c>
      <c r="F64" s="14" cm="1">
        <f t="array" ref="F64">_xll.BDH("NUE US Equity","OPER_MARGIN","FQ4 2019","FQ4 2019","Currency=USD","Period=FQ","BEST_FPERIOD_OVERRIDE=FQ","FILING_STATUS=MR","FA_ADJUSTED=Adjusted","Sort=A","Dates=H","DateFormat=P","Fill=—","Direction=H","UseDPDF=Y")</f>
        <v>6.0011000000000001</v>
      </c>
      <c r="G64" s="14" cm="1">
        <f t="array" ref="G64">_xll.BDH("NUE US Equity","OPER_MARGIN","FQ1 2020","FQ1 2020","Currency=USD","Period=FQ","BEST_FPERIOD_OVERRIDE=FQ","FILING_STATUS=MR","FA_ADJUSTED=Adjusted","Sort=A","Dates=H","DateFormat=P","Fill=—","Direction=H","UseDPDF=Y")</f>
        <v>8.9765999999999995</v>
      </c>
      <c r="H64" s="14" cm="1">
        <f t="array" ref="H64">_xll.BDH("NUE US Equity","OPER_MARGIN","FQ2 2020","FQ2 2020","Currency=USD","Period=FQ","BEST_FPERIOD_OVERRIDE=FQ","FILING_STATUS=MR","FA_ADJUSTED=Adjusted","Sort=A","Dates=H","DateFormat=P","Fill=—","Direction=H","UseDPDF=Y")</f>
        <v>5.9607999999999999</v>
      </c>
      <c r="I64" s="14" cm="1">
        <f t="array" ref="I64">_xll.BDH("NUE US Equity","OPER_MARGIN","FQ3 2020","FQ3 2020","Currency=USD","Period=FQ","BEST_FPERIOD_OVERRIDE=FQ","FILING_STATUS=MR","FA_ADJUSTED=Adjusted","Sort=A","Dates=H","DateFormat=P","Fill=—","Direction=H","UseDPDF=Y")</f>
        <v>7.1649000000000003</v>
      </c>
      <c r="J64" s="14" cm="1">
        <f t="array" ref="J64">_xll.BDH("NUE US Equity","OPER_MARGIN","FQ4 2020","FQ4 2020","Currency=USD","Period=FQ","BEST_FPERIOD_OVERRIDE=FQ","FILING_STATUS=MR","FA_ADJUSTED=Adjusted","Sort=A","Dates=H","DateFormat=P","Fill=—","Direction=H","UseDPDF=Y")</f>
        <v>11.2624</v>
      </c>
      <c r="K64" s="14" cm="1">
        <f t="array" ref="K64">_xll.BDH("NUE US Equity","OPER_MARGIN","FQ1 2021","FQ1 2021","Currency=USD","Period=FQ","BEST_FPERIOD_OVERRIDE=FQ","FILING_STATUS=MR","FA_ADJUSTED=Adjusted","Sort=A","Dates=H","DateFormat=P","Fill=—","Direction=H","UseDPDF=Y")</f>
        <v>19.243099999999998</v>
      </c>
      <c r="L64" s="14" cm="1">
        <f t="array" ref="L64">_xll.BDH("NUE US Equity","OPER_MARGIN","FQ2 2021","FQ2 2021","Currency=USD","Period=FQ","BEST_FPERIOD_OVERRIDE=FQ","FILING_STATUS=MR","FA_ADJUSTED=Adjusted","Sort=A","Dates=H","DateFormat=P","Fill=—","Direction=H","UseDPDF=Y")</f>
        <v>23.989000000000001</v>
      </c>
      <c r="M64" s="14" cm="1">
        <f t="array" ref="M64">_xll.BDH("NUE US Equity","OPER_MARGIN","FQ3 2021","FQ3 2021","Currency=USD","Period=FQ","BEST_FPERIOD_OVERRIDE=FQ","FILING_STATUS=MR","FA_ADJUSTED=Adjusted","Sort=A","Dates=H","DateFormat=P","Fill=—","Direction=H","UseDPDF=Y")</f>
        <v>28.273700000000002</v>
      </c>
      <c r="N64" s="14" cm="1">
        <f t="array" ref="N64">_xll.BDH("NUE US Equity","OPER_MARGIN","FQ4 2021","FQ4 2021","Currency=USD","Period=FQ","BEST_FPERIOD_OVERRIDE=FQ","FILING_STATUS=MR","FA_ADJUSTED=Adjusted","Sort=A","Dates=H","DateFormat=P","Fill=—","Direction=H","UseDPDF=Y")</f>
        <v>29.670100000000001</v>
      </c>
      <c r="O64" s="14" cm="1">
        <f t="array" ref="O64">_xll.BDH("NUE US Equity","OPER_MARGIN","FQ1 2022","FQ1 2022","Currency=USD","Period=FQ","BEST_FPERIOD_OVERRIDE=FQ","FILING_STATUS=MR","FA_ADJUSTED=Adjusted","Sort=A","Dates=H","DateFormat=P","Fill=—","Direction=H","UseDPDF=Y")</f>
        <v>28.5474</v>
      </c>
      <c r="P64" s="14" cm="1">
        <f t="array" ref="P64">_xll.BDH("NUE US Equity","OPER_MARGIN","FQ2 2022","FQ2 2022","Currency=USD","Period=FQ","BEST_FPERIOD_OVERRIDE=FQ","FILING_STATUS=MR","FA_ADJUSTED=Adjusted","Sort=A","Dates=H","DateFormat=P","Fill=—","Direction=H","UseDPDF=Y")</f>
        <v>30.531700000000001</v>
      </c>
      <c r="Q64" s="14" cm="1">
        <f t="array" ref="Q64">_xll.BDH("NUE US Equity","OPER_MARGIN","FQ3 2022","FQ3 2022","Currency=USD","Period=FQ","BEST_FPERIOD_OVERRIDE=FQ","FILING_STATUS=MR","FA_ADJUSTED=Adjusted","Sort=A","Dates=H","DateFormat=P","Fill=—","Direction=H","UseDPDF=Y")</f>
        <v>22.939599999999999</v>
      </c>
      <c r="R64" s="14" cm="1">
        <f t="array" ref="R64">_xll.BDH("NUE US Equity","OPER_MARGIN","FQ4 2022","FQ4 2022","Currency=USD","Period=FQ","BEST_FPERIOD_OVERRIDE=FQ","FILING_STATUS=MR","FA_ADJUSTED=Adjusted","Sort=A","Dates=H","DateFormat=P","Fill=—","Direction=H","UseDPDF=Y")</f>
        <v>20.032900000000001</v>
      </c>
      <c r="S64" s="14" cm="1">
        <f t="array" ref="S64">_xll.BDH("NUE US Equity","OPER_MARGIN","FQ1 2023","FQ1 2023","Currency=USD","Period=FQ","BEST_FPERIOD_OVERRIDE=FQ","FILING_STATUS=MR","FA_ADJUSTED=Adjusted","Sort=A","Dates=H","DateFormat=P","Fill=—","Direction=H","UseDPDF=Y")</f>
        <v>19.406600000000001</v>
      </c>
      <c r="T64" s="14" cm="1">
        <f t="array" ref="T64">_xll.BDH("NUE US Equity","OPER_MARGIN","FQ2 2023","FQ2 2023","Currency=USD","Period=FQ","BEST_FPERIOD_OVERRIDE=FQ","FILING_STATUS=MR","FA_ADJUSTED=Adjusted","Sort=A","Dates=H","DateFormat=P","Fill=—","Direction=H","UseDPDF=Y")</f>
        <v>22.453299999999999</v>
      </c>
      <c r="U64" s="14" cm="1">
        <f t="array" ref="U64">_xll.BDH("NUE US Equity","OPER_MARGIN","FQ3 2023","FQ3 2023","Currency=USD","Period=FQ","BEST_FPERIOD_OVERRIDE=FQ","FILING_STATUS=MR","FA_ADJUSTED=Adjusted","Sort=A","Dates=H","DateFormat=P","Fill=—","Direction=H","UseDPDF=Y")</f>
        <v>18.642700000000001</v>
      </c>
      <c r="V64" s="14" cm="1">
        <f t="array" ref="V64">_xll.BDH("NUE US Equity","OPER_MARGIN","FQ4 2023","FQ4 2023","Currency=USD","Period=FQ","BEST_FPERIOD_OVERRIDE=FQ","FILING_STATUS=MR","FA_ADJUSTED=Adjusted","Sort=A","Dates=H","DateFormat=P","Fill=—","Direction=H","UseDPDF=Y")</f>
        <v>15.1303</v>
      </c>
      <c r="W64" s="14" cm="1">
        <f t="array" ref="W64">_xll.BDH("NUE US Equity","OPER_MARGIN","FQ1 2024","FQ1 2024","Currency=USD","Period=FQ","BEST_FPERIOD_OVERRIDE=FQ","FILING_STATUS=MR","FA_ADJUSTED=Adjusted","Sort=A","Dates=H","DateFormat=P","Fill=—","Direction=H","UseDPDF=Y")</f>
        <v>16.0105</v>
      </c>
      <c r="X64" s="14" cm="1">
        <f t="array" ref="X64">_xll.BDH("NUE US Equity","OPER_MARGIN","FQ2 2024","FQ2 2024","Currency=USD","Period=FQ","BEST_FPERIOD_OVERRIDE=FQ","FILING_STATUS=MR","FA_ADJUSTED=Adjusted","Sort=A","Dates=H","DateFormat=P","Fill=—","Direction=H","UseDPDF=Y")</f>
        <v>12.526999999999999</v>
      </c>
      <c r="Y64" s="14" cm="1">
        <f t="array" ref="Y64">_xll.BDH("NUE US Equity","OPER_MARGIN","FQ3 2024","FQ3 2024","Currency=USD","Period=FQ","BEST_FPERIOD_OVERRIDE=FQ","FILING_STATUS=MR","FA_ADJUSTED=Adjusted","Sort=A","Dates=H","DateFormat=P","Fill=—","Direction=H","UseDPDF=Y")</f>
        <v>9.1517999999999997</v>
      </c>
      <c r="Z64" s="14" cm="1">
        <f t="array" ref="Z64">_xll.BDH("NUE US Equity","OPER_MARGIN","FQ4 2024","FQ4 2024","Currency=USD","Period=FQ","BEST_FPERIOD_OVERRIDE=FQ","FILING_STATUS=MR","FA_ADJUSTED=Adjusted","Sort=A","Dates=H","DateFormat=P","Fill=—","Direction=H","UseDPDF=Y")</f>
        <v>7.7869000000000002</v>
      </c>
      <c r="AA64" s="14" cm="1">
        <f t="array" ref="AA64">_xll.BDH("NUE US Equity","OPER_MARGIN","FQ1 2025","FQ1 2025","Currency=USD","Period=FQ","BEST_FPERIOD_OVERRIDE=FQ","FILING_STATUS=MR","FA_ADJUSTED=Adjusted","Sort=A","Dates=H","DateFormat=P","Fill=—","Direction=H","UseDPDF=Y")</f>
        <v>6.3090999999999999</v>
      </c>
      <c r="AB64" s="14" cm="1">
        <f t="array" ref="AB64">_xll.BDH("NUE US Equity","OPER_MARGIN","FQ2 2025","FQ2 2025","Currency=USD","Period=FQ","BEST_FPERIOD_OVERRIDE=FQ","FILING_STATUS=MR","FA_ADJUSTED=Adjusted","Sort=A","Dates=H","DateFormat=P","Fill=—","Direction=H","UseDPDF=Y")</f>
        <v>10.868</v>
      </c>
      <c r="AC64" s="14" cm="1">
        <f t="array" ref="AC64">_xll.BDH("NUE US Equity","OPER_MARGIN","FQ3 2025","FQ3 2025","Currency=USD","Period=FQ","BEST_FPERIOD_OVERRIDE=FQ","FILING_STATUS=MR","FA_ADJUSTED=Adjusted","Sort=A","Dates=H","DateFormat=P","Fill=—","Direction=H","UseDPDF=Y")</f>
        <v>11.630100000000001</v>
      </c>
      <c r="AD64" s="14" cm="1">
        <f t="array" ref="AD64">_xll.BDH("NUE US Equity","OPER_MARGIN","FQ4 2025","FQ4 2025","Currency=USD","Period=FQ","BEST_FPERIOD_OVERRIDE=FQ","FILING_STATUS=MR","FA_ADJUSTED=Adjusted","Sort=A","Dates=H","DateFormat=P","Fill=—","Direction=H","UseDPDF=Y")</f>
        <v>8.0005000000000006</v>
      </c>
      <c r="AE64" s="14">
        <v>10.5843191939184</v>
      </c>
      <c r="AF64" s="14">
        <v>11.5469089812881</v>
      </c>
    </row>
    <row r="65" spans="1:32" x14ac:dyDescent="0.25">
      <c r="A65" s="10" t="s">
        <v>168</v>
      </c>
      <c r="B65" s="10" t="s">
        <v>169</v>
      </c>
      <c r="C65" s="14" cm="1">
        <f t="array" ref="C65">_xll.BDH("NUE US Equity","PROF_MARGIN","FQ1 2019","FQ1 2019","Currency=USD","Period=FQ","BEST_FPERIOD_OVERRIDE=FQ","FILING_STATUS=MR","FA_ADJUSTED=Adjusted","Sort=A","Dates=H","DateFormat=P","Fill=—","Direction=H","UseDPDF=Y")</f>
        <v>8.2309000000000001</v>
      </c>
      <c r="D65" s="14" cm="1">
        <f t="array" ref="D65">_xll.BDH("NUE US Equity","PROF_MARGIN","FQ2 2019","FQ2 2019","Currency=USD","Period=FQ","BEST_FPERIOD_OVERRIDE=FQ","FILING_STATUS=MR","FA_ADJUSTED=Adjusted","Sort=A","Dates=H","DateFormat=P","Fill=—","Direction=H","UseDPDF=Y")</f>
        <v>6.8144999999999998</v>
      </c>
      <c r="E65" s="14" cm="1">
        <f t="array" ref="E65">_xll.BDH("NUE US Equity","PROF_MARGIN","FQ3 2019","FQ3 2019","Currency=USD","Period=FQ","BEST_FPERIOD_OVERRIDE=FQ","FILING_STATUS=MR","FA_ADJUSTED=Adjusted","Sort=A","Dates=H","DateFormat=P","Fill=—","Direction=H","UseDPDF=Y")</f>
        <v>5.4237000000000002</v>
      </c>
      <c r="F65" s="14" cm="1">
        <f t="array" ref="F65">_xll.BDH("NUE US Equity","PROF_MARGIN","FQ4 2019","FQ4 2019","Currency=USD","Period=FQ","BEST_FPERIOD_OVERRIDE=FQ","FILING_STATUS=MR","FA_ADJUSTED=Adjusted","Sort=A","Dates=H","DateFormat=P","Fill=—","Direction=H","UseDPDF=Y")</f>
        <v>3.67</v>
      </c>
      <c r="G65" s="14" cm="1">
        <f t="array" ref="G65">_xll.BDH("NUE US Equity","PROF_MARGIN","FQ1 2020","FQ1 2020","Currency=USD","Period=FQ","BEST_FPERIOD_OVERRIDE=FQ","FILING_STATUS=MR","FA_ADJUSTED=Adjusted","Sort=A","Dates=H","DateFormat=P","Fill=—","Direction=H","UseDPDF=Y")</f>
        <v>4.7816000000000001</v>
      </c>
      <c r="H65" s="14" cm="1">
        <f t="array" ref="H65">_xll.BDH("NUE US Equity","PROF_MARGIN","FQ2 2020","FQ2 2020","Currency=USD","Period=FQ","BEST_FPERIOD_OVERRIDE=FQ","FILING_STATUS=MR","FA_ADJUSTED=Adjusted","Sort=A","Dates=H","DateFormat=P","Fill=—","Direction=H","UseDPDF=Y")</f>
        <v>3.0274000000000001</v>
      </c>
      <c r="I65" s="14" cm="1">
        <f t="array" ref="I65">_xll.BDH("NUE US Equity","PROF_MARGIN","FQ3 2020","FQ3 2020","Currency=USD","Period=FQ","BEST_FPERIOD_OVERRIDE=FQ","FILING_STATUS=MR","FA_ADJUSTED=Adjusted","Sort=A","Dates=H","DateFormat=P","Fill=—","Direction=H","UseDPDF=Y")</f>
        <v>4.2770000000000001</v>
      </c>
      <c r="J65" s="14" cm="1">
        <f t="array" ref="J65">_xll.BDH("NUE US Equity","PROF_MARGIN","FQ4 2020","FQ4 2020","Currency=USD","Period=FQ","BEST_FPERIOD_OVERRIDE=FQ","FILING_STATUS=MR","FA_ADJUSTED=Adjusted","Sort=A","Dates=H","DateFormat=P","Fill=—","Direction=H","UseDPDF=Y")</f>
        <v>11.050700000000001</v>
      </c>
      <c r="K65" s="14" cm="1">
        <f t="array" ref="K65">_xll.BDH("NUE US Equity","PROF_MARGIN","FQ1 2021","FQ1 2021","Currency=USD","Period=FQ","BEST_FPERIOD_OVERRIDE=FQ","FILING_STATUS=MR","FA_ADJUSTED=Adjusted","Sort=A","Dates=H","DateFormat=P","Fill=—","Direction=H","UseDPDF=Y")</f>
        <v>13.721</v>
      </c>
      <c r="L65" s="14" cm="1">
        <f t="array" ref="L65">_xll.BDH("NUE US Equity","PROF_MARGIN","FQ2 2021","FQ2 2021","Currency=USD","Period=FQ","BEST_FPERIOD_OVERRIDE=FQ","FILING_STATUS=MR","FA_ADJUSTED=Adjusted","Sort=A","Dates=H","DateFormat=P","Fill=—","Direction=H","UseDPDF=Y")</f>
        <v>17.745999999999999</v>
      </c>
      <c r="M65" s="14" cm="1">
        <f t="array" ref="M65">_xll.BDH("NUE US Equity","PROF_MARGIN","FQ3 2021","FQ3 2021","Currency=USD","Period=FQ","BEST_FPERIOD_OVERRIDE=FQ","FILING_STATUS=MR","FA_ADJUSTED=Adjusted","Sort=A","Dates=H","DateFormat=P","Fill=—","Direction=H","UseDPDF=Y")</f>
        <v>20.885300000000001</v>
      </c>
      <c r="N65" s="14" cm="1">
        <f t="array" ref="N65">_xll.BDH("NUE US Equity","PROF_MARGIN","FQ4 2021","FQ4 2021","Currency=USD","Period=FQ","BEST_FPERIOD_OVERRIDE=FQ","FILING_STATUS=MR","FA_ADJUSTED=Adjusted","Sort=A","Dates=H","DateFormat=P","Fill=—","Direction=H","UseDPDF=Y")</f>
        <v>22.204999999999998</v>
      </c>
      <c r="O65" s="14" cm="1">
        <f t="array" ref="O65">_xll.BDH("NUE US Equity","PROF_MARGIN","FQ1 2022","FQ1 2022","Currency=USD","Period=FQ","BEST_FPERIOD_OVERRIDE=FQ","FILING_STATUS=MR","FA_ADJUSTED=Adjusted","Sort=A","Dates=H","DateFormat=P","Fill=—","Direction=H","UseDPDF=Y")</f>
        <v>20.411899999999999</v>
      </c>
      <c r="P65" s="14" cm="1">
        <f t="array" ref="P65">_xll.BDH("NUE US Equity","PROF_MARGIN","FQ2 2022","FQ2 2022","Currency=USD","Period=FQ","BEST_FPERIOD_OVERRIDE=FQ","FILING_STATUS=MR","FA_ADJUSTED=Adjusted","Sort=A","Dates=H","DateFormat=P","Fill=—","Direction=H","UseDPDF=Y")</f>
        <v>22.095600000000001</v>
      </c>
      <c r="Q65" s="14" cm="1">
        <f t="array" ref="Q65">_xll.BDH("NUE US Equity","PROF_MARGIN","FQ3 2022","FQ3 2022","Currency=USD","Period=FQ","BEST_FPERIOD_OVERRIDE=FQ","FILING_STATUS=MR","FA_ADJUSTED=Adjusted","Sort=A","Dates=H","DateFormat=P","Fill=—","Direction=H","UseDPDF=Y")</f>
        <v>16.510000000000002</v>
      </c>
      <c r="R65" s="14" cm="1">
        <f t="array" ref="R65">_xll.BDH("NUE US Equity","PROF_MARGIN","FQ4 2022","FQ4 2022","Currency=USD","Period=FQ","BEST_FPERIOD_OVERRIDE=FQ","FILING_STATUS=MR","FA_ADJUSTED=Adjusted","Sort=A","Dates=H","DateFormat=P","Fill=—","Direction=H","UseDPDF=Y")</f>
        <v>15.976599999999999</v>
      </c>
      <c r="S65" s="14" cm="1">
        <f t="array" ref="S65">_xll.BDH("NUE US Equity","PROF_MARGIN","FQ1 2023","FQ1 2023","Currency=USD","Period=FQ","BEST_FPERIOD_OVERRIDE=FQ","FILING_STATUS=MR","FA_ADJUSTED=Adjusted","Sort=A","Dates=H","DateFormat=P","Fill=—","Direction=H","UseDPDF=Y")</f>
        <v>13.749700000000001</v>
      </c>
      <c r="T65" s="14" cm="1">
        <f t="array" ref="T65">_xll.BDH("NUE US Equity","PROF_MARGIN","FQ2 2023","FQ2 2023","Currency=USD","Period=FQ","BEST_FPERIOD_OVERRIDE=FQ","FILING_STATUS=MR","FA_ADJUSTED=Adjusted","Sort=A","Dates=H","DateFormat=P","Fill=—","Direction=H","UseDPDF=Y")</f>
        <v>16.055399999999999</v>
      </c>
      <c r="U65" s="14" cm="1">
        <f t="array" ref="U65">_xll.BDH("NUE US Equity","PROF_MARGIN","FQ3 2023","FQ3 2023","Currency=USD","Period=FQ","BEST_FPERIOD_OVERRIDE=FQ","FILING_STATUS=MR","FA_ADJUSTED=Adjusted","Sort=A","Dates=H","DateFormat=P","Fill=—","Direction=H","UseDPDF=Y")</f>
        <v>13.886799999999999</v>
      </c>
      <c r="V65" s="14" cm="1">
        <f t="array" ref="V65">_xll.BDH("NUE US Equity","PROF_MARGIN","FQ4 2023","FQ4 2023","Currency=USD","Period=FQ","BEST_FPERIOD_OVERRIDE=FQ","FILING_STATUS=MR","FA_ADJUSTED=Adjusted","Sort=A","Dates=H","DateFormat=P","Fill=—","Direction=H","UseDPDF=Y")</f>
        <v>11.445600000000001</v>
      </c>
      <c r="W65" s="14" cm="1">
        <f t="array" ref="W65">_xll.BDH("NUE US Equity","PROF_MARGIN","FQ1 2024","FQ1 2024","Currency=USD","Period=FQ","BEST_FPERIOD_OVERRIDE=FQ","FILING_STATUS=MR","FA_ADJUSTED=Adjusted","Sort=A","Dates=H","DateFormat=P","Fill=—","Direction=H","UseDPDF=Y")</f>
        <v>11.5497</v>
      </c>
      <c r="X65" s="14" cm="1">
        <f t="array" ref="X65">_xll.BDH("NUE US Equity","PROF_MARGIN","FQ2 2024","FQ2 2024","Currency=USD","Period=FQ","BEST_FPERIOD_OVERRIDE=FQ","FILING_STATUS=MR","FA_ADJUSTED=Adjusted","Sort=A","Dates=H","DateFormat=P","Fill=—","Direction=H","UseDPDF=Y")</f>
        <v>9.1466999999999992</v>
      </c>
      <c r="Y65" s="14" cm="1">
        <f t="array" ref="Y65">_xll.BDH("NUE US Equity","PROF_MARGIN","FQ3 2024","FQ3 2024","Currency=USD","Period=FQ","BEST_FPERIOD_OVERRIDE=FQ","FILING_STATUS=MR","FA_ADJUSTED=Adjusted","Sort=A","Dates=H","DateFormat=P","Fill=—","Direction=H","UseDPDF=Y")</f>
        <v>6.38</v>
      </c>
      <c r="Z65" s="14" cm="1">
        <f t="array" ref="Z65">_xll.BDH("NUE US Equity","PROF_MARGIN","FQ4 2024","FQ4 2024","Currency=USD","Period=FQ","BEST_FPERIOD_OVERRIDE=FQ","FILING_STATUS=MR","FA_ADJUSTED=Adjusted","Sort=A","Dates=H","DateFormat=P","Fill=—","Direction=H","UseDPDF=Y")</f>
        <v>5.8109000000000002</v>
      </c>
      <c r="AA65" s="14" cm="1">
        <f t="array" ref="AA65">_xll.BDH("NUE US Equity","PROF_MARGIN","FQ1 2025","FQ1 2025","Currency=USD","Period=FQ","BEST_FPERIOD_OVERRIDE=FQ","FILING_STATUS=MR","FA_ADJUSTED=Adjusted","Sort=A","Dates=H","DateFormat=P","Fill=—","Direction=H","UseDPDF=Y")</f>
        <v>3.9506000000000001</v>
      </c>
      <c r="AB65" s="14" cm="1">
        <f t="array" ref="AB65">_xll.BDH("NUE US Equity","PROF_MARGIN","FQ2 2025","FQ2 2025","Currency=USD","Period=FQ","BEST_FPERIOD_OVERRIDE=FQ","FILING_STATUS=MR","FA_ADJUSTED=Adjusted","Sort=A","Dates=H","DateFormat=P","Fill=—","Direction=H","UseDPDF=Y")</f>
        <v>7.2337999999999996</v>
      </c>
      <c r="AC65" s="14" cm="1">
        <f t="array" ref="AC65">_xll.BDH("NUE US Equity","PROF_MARGIN","FQ3 2025","FQ3 2025","Currency=USD","Period=FQ","BEST_FPERIOD_OVERRIDE=FQ","FILING_STATUS=MR","FA_ADJUSTED=Adjusted","Sort=A","Dates=H","DateFormat=P","Fill=—","Direction=H","UseDPDF=Y")</f>
        <v>8.0420999999999996</v>
      </c>
      <c r="AD65" s="14" cm="1">
        <f t="array" ref="AD65">_xll.BDH("NUE US Equity","PROF_MARGIN","FQ4 2025","FQ4 2025","Currency=USD","Period=FQ","BEST_FPERIOD_OVERRIDE=FQ","FILING_STATUS=MR","FA_ADJUSTED=Adjusted","Sort=A","Dates=H","DateFormat=P","Fill=—","Direction=H","UseDPDF=Y")</f>
        <v>6.0610999999999997</v>
      </c>
      <c r="AE65" s="14">
        <v>7.2608857001484397</v>
      </c>
      <c r="AF65" s="14">
        <v>8.0436575439805296</v>
      </c>
    </row>
    <row r="66" spans="1:32" x14ac:dyDescent="0.25">
      <c r="A66" s="10" t="s">
        <v>170</v>
      </c>
      <c r="B66" s="10" t="s">
        <v>171</v>
      </c>
      <c r="C66" s="14" t="str" cm="1">
        <f t="array" ref="C66">_xll.BDH("NUE US Equity","ACTUAL_SALES_PER_EMPL","FQ1 2019","FQ1 2019","Currency=USD","Period=FQ","BEST_FPERIOD_OVERRIDE=FQ","FILING_STATUS=MR","FA_ADJUSTED=Adjusted","Sort=A","Dates=H","DateFormat=P","Fill=—","Direction=H","UseDPDF=Y")</f>
        <v>—</v>
      </c>
      <c r="D66" s="14" t="str" cm="1">
        <f t="array" ref="D66">_xll.BDH("NUE US Equity","ACTUAL_SALES_PER_EMPL","FQ2 2019","FQ2 2019","Currency=USD","Period=FQ","BEST_FPERIOD_OVERRIDE=FQ","FILING_STATUS=MR","FA_ADJUSTED=Adjusted","Sort=A","Dates=H","DateFormat=P","Fill=—","Direction=H","UseDPDF=Y")</f>
        <v>—</v>
      </c>
      <c r="E66" s="14" t="str" cm="1">
        <f t="array" ref="E66">_xll.BDH("NUE US Equity","ACTUAL_SALES_PER_EMPL","FQ3 2019","FQ3 2019","Currency=USD","Period=FQ","BEST_FPERIOD_OVERRIDE=FQ","FILING_STATUS=MR","FA_ADJUSTED=Adjusted","Sort=A","Dates=H","DateFormat=P","Fill=—","Direction=H","UseDPDF=Y")</f>
        <v>—</v>
      </c>
      <c r="F66" s="14" cm="1">
        <f t="array" ref="F66">_xll.BDH("NUE US Equity","ACTUAL_SALES_PER_EMPL","FQ4 2019","FQ4 2019","Currency=USD","Period=FQ","BEST_FPERIOD_OVERRIDE=FQ","FILING_STATUS=MR","FA_ADJUSTED=Adjusted","Sort=A","Dates=H","DateFormat=P","Fill=—","Direction=H","UseDPDF=Y")</f>
        <v>191483.05970000001</v>
      </c>
      <c r="G66" s="14" t="str" cm="1">
        <f t="array" ref="G66">_xll.BDH("NUE US Equity","ACTUAL_SALES_PER_EMPL","FQ1 2020","FQ1 2020","Currency=USD","Period=FQ","BEST_FPERIOD_OVERRIDE=FQ","FILING_STATUS=MR","FA_ADJUSTED=Adjusted","Sort=A","Dates=H","DateFormat=P","Fill=—","Direction=H","UseDPDF=Y")</f>
        <v>—</v>
      </c>
      <c r="H66" s="14" t="str" cm="1">
        <f t="array" ref="H66">_xll.BDH("NUE US Equity","ACTUAL_SALES_PER_EMPL","FQ2 2020","FQ2 2020","Currency=USD","Period=FQ","BEST_FPERIOD_OVERRIDE=FQ","FILING_STATUS=MR","FA_ADJUSTED=Adjusted","Sort=A","Dates=H","DateFormat=P","Fill=—","Direction=H","UseDPDF=Y")</f>
        <v>—</v>
      </c>
      <c r="I66" s="14" t="str" cm="1">
        <f t="array" ref="I66">_xll.BDH("NUE US Equity","ACTUAL_SALES_PER_EMPL","FQ3 2020","FQ3 2020","Currency=USD","Period=FQ","BEST_FPERIOD_OVERRIDE=FQ","FILING_STATUS=MR","FA_ADJUSTED=Adjusted","Sort=A","Dates=H","DateFormat=P","Fill=—","Direction=H","UseDPDF=Y")</f>
        <v>—</v>
      </c>
      <c r="J66" s="14" cm="1">
        <f t="array" ref="J66">_xll.BDH("NUE US Equity","ACTUAL_SALES_PER_EMPL","FQ4 2020","FQ4 2020","Currency=USD","Period=FQ","BEST_FPERIOD_OVERRIDE=FQ","FILING_STATUS=MR","FA_ADJUSTED=Adjusted","Sort=A","Dates=H","DateFormat=P","Fill=—","Direction=H","UseDPDF=Y")</f>
        <v>199244.50760000001</v>
      </c>
      <c r="K66" s="14" t="str" cm="1">
        <f t="array" ref="K66">_xll.BDH("NUE US Equity","ACTUAL_SALES_PER_EMPL","FQ1 2021","FQ1 2021","Currency=USD","Period=FQ","BEST_FPERIOD_OVERRIDE=FQ","FILING_STATUS=MR","FA_ADJUSTED=Adjusted","Sort=A","Dates=H","DateFormat=P","Fill=—","Direction=H","UseDPDF=Y")</f>
        <v>—</v>
      </c>
      <c r="L66" s="14" t="str" cm="1">
        <f t="array" ref="L66">_xll.BDH("NUE US Equity","ACTUAL_SALES_PER_EMPL","FQ2 2021","FQ2 2021","Currency=USD","Period=FQ","BEST_FPERIOD_OVERRIDE=FQ","FILING_STATUS=MR","FA_ADJUSTED=Adjusted","Sort=A","Dates=H","DateFormat=P","Fill=—","Direction=H","UseDPDF=Y")</f>
        <v>—</v>
      </c>
      <c r="M66" s="14" t="str" cm="1">
        <f t="array" ref="M66">_xll.BDH("NUE US Equity","ACTUAL_SALES_PER_EMPL","FQ3 2021","FQ3 2021","Currency=USD","Period=FQ","BEST_FPERIOD_OVERRIDE=FQ","FILING_STATUS=MR","FA_ADJUSTED=Adjusted","Sort=A","Dates=H","DateFormat=P","Fill=—","Direction=H","UseDPDF=Y")</f>
        <v>—</v>
      </c>
      <c r="N66" s="14" cm="1">
        <f t="array" ref="N66">_xll.BDH("NUE US Equity","ACTUAL_SALES_PER_EMPL","FQ4 2021","FQ4 2021","Currency=USD","Period=FQ","BEST_FPERIOD_OVERRIDE=FQ","FILING_STATUS=MR","FA_ADJUSTED=Adjusted","Sort=A","Dates=H","DateFormat=P","Fill=—","Direction=H","UseDPDF=Y")</f>
        <v>359875.4167</v>
      </c>
      <c r="O66" s="14" t="str" cm="1">
        <f t="array" ref="O66">_xll.BDH("NUE US Equity","ACTUAL_SALES_PER_EMPL","FQ1 2022","FQ1 2022","Currency=USD","Period=FQ","BEST_FPERIOD_OVERRIDE=FQ","FILING_STATUS=MR","FA_ADJUSTED=Adjusted","Sort=A","Dates=H","DateFormat=P","Fill=—","Direction=H","UseDPDF=Y")</f>
        <v>—</v>
      </c>
      <c r="P66" s="14" t="str" cm="1">
        <f t="array" ref="P66">_xll.BDH("NUE US Equity","ACTUAL_SALES_PER_EMPL","FQ2 2022","FQ2 2022","Currency=USD","Period=FQ","BEST_FPERIOD_OVERRIDE=FQ","FILING_STATUS=MR","FA_ADJUSTED=Adjusted","Sort=A","Dates=H","DateFormat=P","Fill=—","Direction=H","UseDPDF=Y")</f>
        <v>—</v>
      </c>
      <c r="Q66" s="14" t="str" cm="1">
        <f t="array" ref="Q66">_xll.BDH("NUE US Equity","ACTUAL_SALES_PER_EMPL","FQ3 2022","FQ3 2022","Currency=USD","Period=FQ","BEST_FPERIOD_OVERRIDE=FQ","FILING_STATUS=MR","FA_ADJUSTED=Adjusted","Sort=A","Dates=H","DateFormat=P","Fill=—","Direction=H","UseDPDF=Y")</f>
        <v>—</v>
      </c>
      <c r="R66" s="14" cm="1">
        <f t="array" ref="R66">_xll.BDH("NUE US Equity","ACTUAL_SALES_PER_EMPL","FQ4 2022","FQ4 2022","Currency=USD","Period=FQ","BEST_FPERIOD_OVERRIDE=FQ","FILING_STATUS=MR","FA_ADJUSTED=Adjusted","Sort=A","Dates=H","DateFormat=P","Fill=—","Direction=H","UseDPDF=Y")</f>
        <v>281417.93550000002</v>
      </c>
      <c r="S66" s="14" t="str" cm="1">
        <f t="array" ref="S66">_xll.BDH("NUE US Equity","ACTUAL_SALES_PER_EMPL","FQ1 2023","FQ1 2023","Currency=USD","Period=FQ","BEST_FPERIOD_OVERRIDE=FQ","FILING_STATUS=MR","FA_ADJUSTED=Adjusted","Sort=A","Dates=H","DateFormat=P","Fill=—","Direction=H","UseDPDF=Y")</f>
        <v>—</v>
      </c>
      <c r="T66" s="14" t="str" cm="1">
        <f t="array" ref="T66">_xll.BDH("NUE US Equity","ACTUAL_SALES_PER_EMPL","FQ2 2023","FQ2 2023","Currency=USD","Period=FQ","BEST_FPERIOD_OVERRIDE=FQ","FILING_STATUS=MR","FA_ADJUSTED=Adjusted","Sort=A","Dates=H","DateFormat=P","Fill=—","Direction=H","UseDPDF=Y")</f>
        <v>—</v>
      </c>
      <c r="U66" s="14" t="str" cm="1">
        <f t="array" ref="U66">_xll.BDH("NUE US Equity","ACTUAL_SALES_PER_EMPL","FQ3 2023","FQ3 2023","Currency=USD","Period=FQ","BEST_FPERIOD_OVERRIDE=FQ","FILING_STATUS=MR","FA_ADJUSTED=Adjusted","Sort=A","Dates=H","DateFormat=P","Fill=—","Direction=H","UseDPDF=Y")</f>
        <v>—</v>
      </c>
      <c r="V66" s="14" cm="1">
        <f t="array" ref="V66">_xll.BDH("NUE US Equity","ACTUAL_SALES_PER_EMPL","FQ4 2023","FQ4 2023","Currency=USD","Period=FQ","BEST_FPERIOD_OVERRIDE=FQ","FILING_STATUS=MR","FA_ADJUSTED=Adjusted","Sort=A","Dates=H","DateFormat=P","Fill=—","Direction=H","UseDPDF=Y")</f>
        <v>240766.5938</v>
      </c>
      <c r="W66" s="14" t="str" cm="1">
        <f t="array" ref="W66">_xll.BDH("NUE US Equity","ACTUAL_SALES_PER_EMPL","FQ1 2024","FQ1 2024","Currency=USD","Period=FQ","BEST_FPERIOD_OVERRIDE=FQ","FILING_STATUS=MR","FA_ADJUSTED=Adjusted","Sort=A","Dates=H","DateFormat=P","Fill=—","Direction=H","UseDPDF=Y")</f>
        <v>—</v>
      </c>
      <c r="X66" s="14" t="str" cm="1">
        <f t="array" ref="X66">_xll.BDH("NUE US Equity","ACTUAL_SALES_PER_EMPL","FQ2 2024","FQ2 2024","Currency=USD","Period=FQ","BEST_FPERIOD_OVERRIDE=FQ","FILING_STATUS=MR","FA_ADJUSTED=Adjusted","Sort=A","Dates=H","DateFormat=P","Fill=—","Direction=H","UseDPDF=Y")</f>
        <v>—</v>
      </c>
      <c r="Y66" s="14" t="str" cm="1">
        <f t="array" ref="Y66">_xll.BDH("NUE US Equity","ACTUAL_SALES_PER_EMPL","FQ3 2024","FQ3 2024","Currency=USD","Period=FQ","BEST_FPERIOD_OVERRIDE=FQ","FILING_STATUS=MR","FA_ADJUSTED=Adjusted","Sort=A","Dates=H","DateFormat=P","Fill=—","Direction=H","UseDPDF=Y")</f>
        <v>—</v>
      </c>
      <c r="Z66" s="14" cm="1">
        <f t="array" ref="Z66">_xll.BDH("NUE US Equity","ACTUAL_SALES_PER_EMPL","FQ4 2024","FQ4 2024","Currency=USD","Period=FQ","BEST_FPERIOD_OVERRIDE=FQ","FILING_STATUS=MR","FA_ADJUSTED=Adjusted","Sort=A","Dates=H","DateFormat=P","Fill=—","Direction=H","UseDPDF=Y")</f>
        <v>216391.43729999999</v>
      </c>
      <c r="AA66" s="14" t="str" cm="1">
        <f t="array" ref="AA66">_xll.BDH("NUE US Equity","ACTUAL_SALES_PER_EMPL","FQ1 2025","FQ1 2025","Currency=USD","Period=FQ","BEST_FPERIOD_OVERRIDE=FQ","FILING_STATUS=MR","FA_ADJUSTED=Adjusted","Sort=A","Dates=H","DateFormat=P","Fill=—","Direction=H","UseDPDF=Y")</f>
        <v>—</v>
      </c>
      <c r="AB66" s="14" t="str" cm="1">
        <f t="array" ref="AB66">_xll.BDH("NUE US Equity","ACTUAL_SALES_PER_EMPL","FQ2 2025","FQ2 2025","Currency=USD","Period=FQ","BEST_FPERIOD_OVERRIDE=FQ","FILING_STATUS=MR","FA_ADJUSTED=Adjusted","Sort=A","Dates=H","DateFormat=P","Fill=—","Direction=H","UseDPDF=Y")</f>
        <v>—</v>
      </c>
      <c r="AC66" s="14" t="str" cm="1">
        <f t="array" ref="AC66">_xll.BDH("NUE US Equity","ACTUAL_SALES_PER_EMPL","FQ3 2025","FQ3 2025","Currency=USD","Period=FQ","BEST_FPERIOD_OVERRIDE=FQ","FILING_STATUS=MR","FA_ADJUSTED=Adjusted","Sort=A","Dates=H","DateFormat=P","Fill=—","Direction=H","UseDPDF=Y")</f>
        <v>—</v>
      </c>
      <c r="AD66" s="14" t="str" cm="1">
        <f t="array" ref="AD66">_xll.BDH("NUE US Equity","ACTUAL_SALES_PER_EMPL","FQ4 2025","FQ4 2025","Currency=USD","Period=FQ","BEST_FPERIOD_OVERRIDE=FQ","FILING_STATUS=MR","FA_ADJUSTED=Adjusted","Sort=A","Dates=H","DateFormat=P","Fill=—","Direction=H","UseDPDF=Y")</f>
        <v>—</v>
      </c>
      <c r="AE66" s="14"/>
      <c r="AF66" s="14"/>
    </row>
    <row r="67" spans="1:32" x14ac:dyDescent="0.25">
      <c r="A67" s="10" t="s">
        <v>172</v>
      </c>
      <c r="B67" s="10" t="s">
        <v>173</v>
      </c>
      <c r="C67" s="14" cm="1">
        <f t="array" ref="C67">_xll.BDH("NUE US Equity","EQY_DPS","FQ1 2019","FQ1 2019","Currency=USD","Period=FQ","BEST_FPERIOD_OVERRIDE=FQ","FILING_STATUS=MR","Sort=A","Dates=H","DateFormat=P","Fill=—","Direction=H","UseDPDF=Y")</f>
        <v>0.4</v>
      </c>
      <c r="D67" s="14" cm="1">
        <f t="array" ref="D67">_xll.BDH("NUE US Equity","EQY_DPS","FQ2 2019","FQ2 2019","Currency=USD","Period=FQ","BEST_FPERIOD_OVERRIDE=FQ","FILING_STATUS=MR","Sort=A","Dates=H","DateFormat=P","Fill=—","Direction=H","UseDPDF=Y")</f>
        <v>0.4</v>
      </c>
      <c r="E67" s="14" cm="1">
        <f t="array" ref="E67">_xll.BDH("NUE US Equity","EQY_DPS","FQ3 2019","FQ3 2019","Currency=USD","Period=FQ","BEST_FPERIOD_OVERRIDE=FQ","FILING_STATUS=MR","Sort=A","Dates=H","DateFormat=P","Fill=—","Direction=H","UseDPDF=Y")</f>
        <v>0.4</v>
      </c>
      <c r="F67" s="14" cm="1">
        <f t="array" ref="F67">_xll.BDH("NUE US Equity","EQY_DPS","FQ4 2019","FQ4 2019","Currency=USD","Period=FQ","BEST_FPERIOD_OVERRIDE=FQ","FILING_STATUS=MR","Sort=A","Dates=H","DateFormat=P","Fill=—","Direction=H","UseDPDF=Y")</f>
        <v>0.40250000000000002</v>
      </c>
      <c r="G67" s="14" cm="1">
        <f t="array" ref="G67">_xll.BDH("NUE US Equity","EQY_DPS","FQ1 2020","FQ1 2020","Currency=USD","Period=FQ","BEST_FPERIOD_OVERRIDE=FQ","FILING_STATUS=MR","Sort=A","Dates=H","DateFormat=P","Fill=—","Direction=H","UseDPDF=Y")</f>
        <v>0.40250000000000002</v>
      </c>
      <c r="H67" s="14" cm="1">
        <f t="array" ref="H67">_xll.BDH("NUE US Equity","EQY_DPS","FQ2 2020","FQ2 2020","Currency=USD","Period=FQ","BEST_FPERIOD_OVERRIDE=FQ","FILING_STATUS=MR","Sort=A","Dates=H","DateFormat=P","Fill=—","Direction=H","UseDPDF=Y")</f>
        <v>0.40250000000000002</v>
      </c>
      <c r="I67" s="14" cm="1">
        <f t="array" ref="I67">_xll.BDH("NUE US Equity","EQY_DPS","FQ3 2020","FQ3 2020","Currency=USD","Period=FQ","BEST_FPERIOD_OVERRIDE=FQ","FILING_STATUS=MR","Sort=A","Dates=H","DateFormat=P","Fill=—","Direction=H","UseDPDF=Y")</f>
        <v>0.40250000000000002</v>
      </c>
      <c r="J67" s="14" cm="1">
        <f t="array" ref="J67">_xll.BDH("NUE US Equity","EQY_DPS","FQ4 2020","FQ4 2020","Currency=USD","Period=FQ","BEST_FPERIOD_OVERRIDE=FQ","FILING_STATUS=MR","Sort=A","Dates=H","DateFormat=P","Fill=—","Direction=H","UseDPDF=Y")</f>
        <v>0.40500000000000003</v>
      </c>
      <c r="K67" s="14" cm="1">
        <f t="array" ref="K67">_xll.BDH("NUE US Equity","EQY_DPS","FQ1 2021","FQ1 2021","Currency=USD","Period=FQ","BEST_FPERIOD_OVERRIDE=FQ","FILING_STATUS=MR","Sort=A","Dates=H","DateFormat=P","Fill=—","Direction=H","UseDPDF=Y")</f>
        <v>0.40500000000000003</v>
      </c>
      <c r="L67" s="14" cm="1">
        <f t="array" ref="L67">_xll.BDH("NUE US Equity","EQY_DPS","FQ2 2021","FQ2 2021","Currency=USD","Period=FQ","BEST_FPERIOD_OVERRIDE=FQ","FILING_STATUS=MR","Sort=A","Dates=H","DateFormat=P","Fill=—","Direction=H","UseDPDF=Y")</f>
        <v>0.40500000000000003</v>
      </c>
      <c r="M67" s="14" cm="1">
        <f t="array" ref="M67">_xll.BDH("NUE US Equity","EQY_DPS","FQ3 2021","FQ3 2021","Currency=USD","Period=FQ","BEST_FPERIOD_OVERRIDE=FQ","FILING_STATUS=MR","Sort=A","Dates=H","DateFormat=P","Fill=—","Direction=H","UseDPDF=Y")</f>
        <v>0.40500000000000003</v>
      </c>
      <c r="N67" s="14" cm="1">
        <f t="array" ref="N67">_xll.BDH("NUE US Equity","EQY_DPS","FQ4 2021","FQ4 2021","Currency=USD","Period=FQ","BEST_FPERIOD_OVERRIDE=FQ","FILING_STATUS=MR","Sort=A","Dates=H","DateFormat=P","Fill=—","Direction=H","UseDPDF=Y")</f>
        <v>0.5</v>
      </c>
      <c r="O67" s="14" cm="1">
        <f t="array" ref="O67">_xll.BDH("NUE US Equity","EQY_DPS","FQ1 2022","FQ1 2022","Currency=USD","Period=FQ","BEST_FPERIOD_OVERRIDE=FQ","FILING_STATUS=MR","Sort=A","Dates=H","DateFormat=P","Fill=—","Direction=H","UseDPDF=Y")</f>
        <v>0.5</v>
      </c>
      <c r="P67" s="14" cm="1">
        <f t="array" ref="P67">_xll.BDH("NUE US Equity","EQY_DPS","FQ2 2022","FQ2 2022","Currency=USD","Period=FQ","BEST_FPERIOD_OVERRIDE=FQ","FILING_STATUS=MR","Sort=A","Dates=H","DateFormat=P","Fill=—","Direction=H","UseDPDF=Y")</f>
        <v>0.5</v>
      </c>
      <c r="Q67" s="14" cm="1">
        <f t="array" ref="Q67">_xll.BDH("NUE US Equity","EQY_DPS","FQ3 2022","FQ3 2022","Currency=USD","Period=FQ","BEST_FPERIOD_OVERRIDE=FQ","FILING_STATUS=MR","Sort=A","Dates=H","DateFormat=P","Fill=—","Direction=H","UseDPDF=Y")</f>
        <v>0.5</v>
      </c>
      <c r="R67" s="14" cm="1">
        <f t="array" ref="R67">_xll.BDH("NUE US Equity","EQY_DPS","FQ4 2022","FQ4 2022","Currency=USD","Period=FQ","BEST_FPERIOD_OVERRIDE=FQ","FILING_STATUS=MR","Sort=A","Dates=H","DateFormat=P","Fill=—","Direction=H","UseDPDF=Y")</f>
        <v>0.51</v>
      </c>
      <c r="S67" s="14" cm="1">
        <f t="array" ref="S67">_xll.BDH("NUE US Equity","EQY_DPS","FQ1 2023","FQ1 2023","Currency=USD","Period=FQ","BEST_FPERIOD_OVERRIDE=FQ","FILING_STATUS=MR","Sort=A","Dates=H","DateFormat=P","Fill=—","Direction=H","UseDPDF=Y")</f>
        <v>0.51</v>
      </c>
      <c r="T67" s="14" cm="1">
        <f t="array" ref="T67">_xll.BDH("NUE US Equity","EQY_DPS","FQ2 2023","FQ2 2023","Currency=USD","Period=FQ","BEST_FPERIOD_OVERRIDE=FQ","FILING_STATUS=MR","Sort=A","Dates=H","DateFormat=P","Fill=—","Direction=H","UseDPDF=Y")</f>
        <v>0.51</v>
      </c>
      <c r="U67" s="14" cm="1">
        <f t="array" ref="U67">_xll.BDH("NUE US Equity","EQY_DPS","FQ3 2023","FQ3 2023","Currency=USD","Period=FQ","BEST_FPERIOD_OVERRIDE=FQ","FILING_STATUS=MR","Sort=A","Dates=H","DateFormat=P","Fill=—","Direction=H","UseDPDF=Y")</f>
        <v>0.51</v>
      </c>
      <c r="V67" s="14" cm="1">
        <f t="array" ref="V67">_xll.BDH("NUE US Equity","EQY_DPS","FQ4 2023","FQ4 2023","Currency=USD","Period=FQ","BEST_FPERIOD_OVERRIDE=FQ","FILING_STATUS=MR","Sort=A","Dates=H","DateFormat=P","Fill=—","Direction=H","UseDPDF=Y")</f>
        <v>0.54</v>
      </c>
      <c r="W67" s="14" cm="1">
        <f t="array" ref="W67">_xll.BDH("NUE US Equity","EQY_DPS","FQ1 2024","FQ1 2024","Currency=USD","Period=FQ","BEST_FPERIOD_OVERRIDE=FQ","FILING_STATUS=MR","Sort=A","Dates=H","DateFormat=P","Fill=—","Direction=H","UseDPDF=Y")</f>
        <v>0.54</v>
      </c>
      <c r="X67" s="14" cm="1">
        <f t="array" ref="X67">_xll.BDH("NUE US Equity","EQY_DPS","FQ2 2024","FQ2 2024","Currency=USD","Period=FQ","BEST_FPERIOD_OVERRIDE=FQ","FILING_STATUS=MR","Sort=A","Dates=H","DateFormat=P","Fill=—","Direction=H","UseDPDF=Y")</f>
        <v>0.54</v>
      </c>
      <c r="Y67" s="14" cm="1">
        <f t="array" ref="Y67">_xll.BDH("NUE US Equity","EQY_DPS","FQ3 2024","FQ3 2024","Currency=USD","Period=FQ","BEST_FPERIOD_OVERRIDE=FQ","FILING_STATUS=MR","Sort=A","Dates=H","DateFormat=P","Fill=—","Direction=H","UseDPDF=Y")</f>
        <v>0.54</v>
      </c>
      <c r="Z67" s="14" cm="1">
        <f t="array" ref="Z67">_xll.BDH("NUE US Equity","EQY_DPS","FQ4 2024","FQ4 2024","Currency=USD","Period=FQ","BEST_FPERIOD_OVERRIDE=FQ","FILING_STATUS=MR","Sort=A","Dates=H","DateFormat=P","Fill=—","Direction=H","UseDPDF=Y")</f>
        <v>0.55000000000000004</v>
      </c>
      <c r="AA67" s="14" cm="1">
        <f t="array" ref="AA67">_xll.BDH("NUE US Equity","EQY_DPS","FQ1 2025","FQ1 2025","Currency=USD","Period=FQ","BEST_FPERIOD_OVERRIDE=FQ","FILING_STATUS=MR","Sort=A","Dates=H","DateFormat=P","Fill=—","Direction=H","UseDPDF=Y")</f>
        <v>0.55000000000000004</v>
      </c>
      <c r="AB67" s="14" cm="1">
        <f t="array" ref="AB67">_xll.BDH("NUE US Equity","EQY_DPS","FQ2 2025","FQ2 2025","Currency=USD","Period=FQ","BEST_FPERIOD_OVERRIDE=FQ","FILING_STATUS=MR","Sort=A","Dates=H","DateFormat=P","Fill=—","Direction=H","UseDPDF=Y")</f>
        <v>0.55000000000000004</v>
      </c>
      <c r="AC67" s="14" cm="1">
        <f t="array" ref="AC67">_xll.BDH("NUE US Equity","EQY_DPS","FQ3 2025","FQ3 2025","Currency=USD","Period=FQ","BEST_FPERIOD_OVERRIDE=FQ","FILING_STATUS=MR","Sort=A","Dates=H","DateFormat=P","Fill=—","Direction=H","UseDPDF=Y")</f>
        <v>0.55000000000000004</v>
      </c>
      <c r="AD67" s="14" cm="1">
        <f t="array" ref="AD67">_xll.BDH("NUE US Equity","EQY_DPS","FQ4 2025","FQ4 2025","Currency=USD","Period=FQ","BEST_FPERIOD_OVERRIDE=FQ","FILING_STATUS=MR","Sort=A","Dates=H","DateFormat=P","Fill=—","Direction=H","UseDPDF=Y")</f>
        <v>0.56000000000000005</v>
      </c>
      <c r="AE67" s="14">
        <v>0.56000000000000005</v>
      </c>
      <c r="AF67" s="14">
        <v>0.56000000000000005</v>
      </c>
    </row>
    <row r="68" spans="1:32" x14ac:dyDescent="0.25">
      <c r="A68" s="10" t="s">
        <v>174</v>
      </c>
      <c r="B68" s="10" t="s">
        <v>175</v>
      </c>
      <c r="C68" s="13" cm="1">
        <f t="array" ref="C68">_xll.BDH("NUE US Equity","IS_TOT_CASH_COM_DVD","FQ1 2019","FQ1 2019","Currency=USD","Period=FQ","BEST_FPERIOD_OVERRIDE=FQ","FILING_STATUS=MR","SCALING_FORMAT=MLN","Sort=A","Dates=H","DateFormat=P","Fill=—","Direction=H","UseDPDF=Y")</f>
        <v>122.634</v>
      </c>
      <c r="D68" s="13" cm="1">
        <f t="array" ref="D68">_xll.BDH("NUE US Equity","IS_TOT_CASH_COM_DVD","FQ2 2019","FQ2 2019","Currency=USD","Period=FQ","BEST_FPERIOD_OVERRIDE=FQ","FILING_STATUS=MR","SCALING_FORMAT=MLN","Sort=A","Dates=H","DateFormat=P","Fill=—","Direction=H","UseDPDF=Y")</f>
        <v>122.1844</v>
      </c>
      <c r="E68" s="13" cm="1">
        <f t="array" ref="E68">_xll.BDH("NUE US Equity","IS_TOT_CASH_COM_DVD","FQ3 2019","FQ3 2019","Currency=USD","Period=FQ","BEST_FPERIOD_OVERRIDE=FQ","FILING_STATUS=MR","SCALING_FORMAT=MLN","Sort=A","Dates=H","DateFormat=P","Fill=—","Direction=H","UseDPDF=Y")</f>
        <v>121.8548</v>
      </c>
      <c r="F68" s="13" cm="1">
        <f t="array" ref="F68">_xll.BDH("NUE US Equity","IS_TOT_CASH_COM_DVD","FQ4 2019","FQ4 2019","Currency=USD","Period=FQ","BEST_FPERIOD_OVERRIDE=FQ","FILING_STATUS=MR","SCALING_FORMAT=MLN","Sort=A","Dates=H","DateFormat=P","Fill=—","Direction=H","UseDPDF=Y")</f>
        <v>122.1829</v>
      </c>
      <c r="G68" s="13" cm="1">
        <f t="array" ref="G68">_xll.BDH("NUE US Equity","IS_TOT_CASH_COM_DVD","FQ1 2020","FQ1 2020","Currency=USD","Period=FQ","BEST_FPERIOD_OVERRIDE=FQ","FILING_STATUS=MR","SCALING_FORMAT=MLN","Sort=A","Dates=H","DateFormat=P","Fill=—","Direction=H","UseDPDF=Y")</f>
        <v>121.9209</v>
      </c>
      <c r="H68" s="13" cm="1">
        <f t="array" ref="H68">_xll.BDH("NUE US Equity","IS_TOT_CASH_COM_DVD","FQ2 2020","FQ2 2020","Currency=USD","Period=FQ","BEST_FPERIOD_OVERRIDE=FQ","FILING_STATUS=MR","SCALING_FORMAT=MLN","Sort=A","Dates=H","DateFormat=P","Fill=—","Direction=H","UseDPDF=Y")</f>
        <v>121.92570000000001</v>
      </c>
      <c r="I68" s="13" cm="1">
        <f t="array" ref="I68">_xll.BDH("NUE US Equity","IS_TOT_CASH_COM_DVD","FQ3 2020","FQ3 2020","Currency=USD","Period=FQ","BEST_FPERIOD_OVERRIDE=FQ","FILING_STATUS=MR","SCALING_FORMAT=MLN","Sort=A","Dates=H","DateFormat=P","Fill=—","Direction=H","UseDPDF=Y")</f>
        <v>122.1161</v>
      </c>
      <c r="J68" s="13" cm="1">
        <f t="array" ref="J68">_xll.BDH("NUE US Equity","IS_TOT_CASH_COM_DVD","FQ4 2020","FQ4 2020","Currency=USD","Period=FQ","BEST_FPERIOD_OVERRIDE=FQ","FILING_STATUS=MR","SCALING_FORMAT=MLN","Sort=A","Dates=H","DateFormat=P","Fill=—","Direction=H","UseDPDF=Y")</f>
        <v>122.9041</v>
      </c>
      <c r="K68" s="13" cm="1">
        <f t="array" ref="K68">_xll.BDH("NUE US Equity","IS_TOT_CASH_COM_DVD","FQ1 2021","FQ1 2021","Currency=USD","Period=FQ","BEST_FPERIOD_OVERRIDE=FQ","FILING_STATUS=MR","SCALING_FORMAT=MLN","Sort=A","Dates=H","DateFormat=P","Fill=—","Direction=H","UseDPDF=Y")</f>
        <v>122.24760000000001</v>
      </c>
      <c r="L68" s="13" cm="1">
        <f t="array" ref="L68">_xll.BDH("NUE US Equity","IS_TOT_CASH_COM_DVD","FQ2 2021","FQ2 2021","Currency=USD","Period=FQ","BEST_FPERIOD_OVERRIDE=FQ","FILING_STATUS=MR","SCALING_FORMAT=MLN","Sort=A","Dates=H","DateFormat=P","Fill=—","Direction=H","UseDPDF=Y")</f>
        <v>120.2109</v>
      </c>
      <c r="M68" s="13" cm="1">
        <f t="array" ref="M68">_xll.BDH("NUE US Equity","IS_TOT_CASH_COM_DVD","FQ3 2021","FQ3 2021","Currency=USD","Period=FQ","BEST_FPERIOD_OVERRIDE=FQ","FILING_STATUS=MR","SCALING_FORMAT=MLN","Sort=A","Dates=H","DateFormat=P","Fill=—","Direction=H","UseDPDF=Y")</f>
        <v>117.6566</v>
      </c>
      <c r="N68" s="13" cm="1">
        <f t="array" ref="N68">_xll.BDH("NUE US Equity","IS_TOT_CASH_COM_DVD","FQ4 2021","FQ4 2021","Currency=USD","Period=FQ","BEST_FPERIOD_OVERRIDE=FQ","FILING_STATUS=MR","SCALING_FORMAT=MLN","Sort=A","Dates=H","DateFormat=P","Fill=—","Direction=H","UseDPDF=Y")</f>
        <v>140.22550000000001</v>
      </c>
      <c r="O68" s="13" cm="1">
        <f t="array" ref="O68">_xll.BDH("NUE US Equity","IS_TOT_CASH_COM_DVD","FQ1 2022","FQ1 2022","Currency=USD","Period=FQ","BEST_FPERIOD_OVERRIDE=FQ","FILING_STATUS=MR","SCALING_FORMAT=MLN","Sort=A","Dates=H","DateFormat=P","Fill=—","Direction=H","UseDPDF=Y")</f>
        <v>135.78200000000001</v>
      </c>
      <c r="P68" s="13" cm="1">
        <f t="array" ref="P68">_xll.BDH("NUE US Equity","IS_TOT_CASH_COM_DVD","FQ2 2022","FQ2 2022","Currency=USD","Period=FQ","BEST_FPERIOD_OVERRIDE=FQ","FILING_STATUS=MR","SCALING_FORMAT=MLN","Sort=A","Dates=H","DateFormat=P","Fill=—","Direction=H","UseDPDF=Y")</f>
        <v>131.6105</v>
      </c>
      <c r="Q68" s="13" cm="1">
        <f t="array" ref="Q68">_xll.BDH("NUE US Equity","IS_TOT_CASH_COM_DVD","FQ3 2022","FQ3 2022","Currency=USD","Period=FQ","BEST_FPERIOD_OVERRIDE=FQ","FILING_STATUS=MR","SCALING_FORMAT=MLN","Sort=A","Dates=H","DateFormat=P","Fill=—","Direction=H","UseDPDF=Y")</f>
        <v>129.55099999999999</v>
      </c>
      <c r="R68" s="13" cm="1">
        <f t="array" ref="R68">_xll.BDH("NUE US Equity","IS_TOT_CASH_COM_DVD","FQ4 2022","FQ4 2022","Currency=USD","Period=FQ","BEST_FPERIOD_OVERRIDE=FQ","FILING_STATUS=MR","SCALING_FORMAT=MLN","Sort=A","Dates=H","DateFormat=P","Fill=—","Direction=H","UseDPDF=Y")</f>
        <v>130.255</v>
      </c>
      <c r="S68" s="13" cm="1">
        <f t="array" ref="S68">_xll.BDH("NUE US Equity","IS_TOT_CASH_COM_DVD","FQ1 2023","FQ1 2023","Currency=USD","Period=FQ","BEST_FPERIOD_OVERRIDE=FQ","FILING_STATUS=MR","SCALING_FORMAT=MLN","Sort=A","Dates=H","DateFormat=P","Fill=—","Direction=H","UseDPDF=Y")</f>
        <v>129.34010000000001</v>
      </c>
      <c r="T68" s="13" cm="1">
        <f t="array" ref="T68">_xll.BDH("NUE US Equity","IS_TOT_CASH_COM_DVD","FQ2 2023","FQ2 2023","Currency=USD","Period=FQ","BEST_FPERIOD_OVERRIDE=FQ","FILING_STATUS=MR","SCALING_FORMAT=MLN","Sort=A","Dates=H","DateFormat=P","Fill=—","Direction=H","UseDPDF=Y")</f>
        <v>127.57340000000001</v>
      </c>
      <c r="U68" s="13" cm="1">
        <f t="array" ref="U68">_xll.BDH("NUE US Equity","IS_TOT_CASH_COM_DVD","FQ3 2023","FQ3 2023","Currency=USD","Period=FQ","BEST_FPERIOD_OVERRIDE=FQ","FILING_STATUS=MR","SCALING_FORMAT=MLN","Sort=A","Dates=H","DateFormat=P","Fill=—","Direction=H","UseDPDF=Y")</f>
        <v>126.73699999999999</v>
      </c>
      <c r="V68" s="13" cm="1">
        <f t="array" ref="V68">_xll.BDH("NUE US Equity","IS_TOT_CASH_COM_DVD","FQ4 2023","FQ4 2023","Currency=USD","Period=FQ","BEST_FPERIOD_OVERRIDE=FQ","FILING_STATUS=MR","SCALING_FORMAT=MLN","Sort=A","Dates=H","DateFormat=P","Fill=—","Direction=H","UseDPDF=Y")</f>
        <v>133.30869999999999</v>
      </c>
      <c r="W68" s="13" cm="1">
        <f t="array" ref="W68">_xll.BDH("NUE US Equity","IS_TOT_CASH_COM_DVD","FQ1 2024","FQ1 2024","Currency=USD","Period=FQ","BEST_FPERIOD_OVERRIDE=FQ","FILING_STATUS=MR","SCALING_FORMAT=MLN","Sort=A","Dates=H","DateFormat=P","Fill=—","Direction=H","UseDPDF=Y")</f>
        <v>131.27289999999999</v>
      </c>
      <c r="X68" s="13" cm="1">
        <f t="array" ref="X68">_xll.BDH("NUE US Equity","IS_TOT_CASH_COM_DVD","FQ2 2024","FQ2 2024","Currency=USD","Period=FQ","BEST_FPERIOD_OVERRIDE=FQ","FILING_STATUS=MR","SCALING_FORMAT=MLN","Sort=A","Dates=H","DateFormat=P","Fill=—","Direction=H","UseDPDF=Y")</f>
        <v>129.3732</v>
      </c>
      <c r="Y68" s="13" cm="1">
        <f t="array" ref="Y68">_xll.BDH("NUE US Equity","IS_TOT_CASH_COM_DVD","FQ3 2024","FQ3 2024","Currency=USD","Period=FQ","BEST_FPERIOD_OVERRIDE=FQ","FILING_STATUS=MR","SCALING_FORMAT=MLN","Sort=A","Dates=H","DateFormat=P","Fill=—","Direction=H","UseDPDF=Y")</f>
        <v>127.6895</v>
      </c>
      <c r="Z68" s="13" cm="1">
        <f t="array" ref="Z68">_xll.BDH("NUE US Equity","IS_TOT_CASH_COM_DVD","FQ4 2024","FQ4 2024","Currency=USD","Period=FQ","BEST_FPERIOD_OVERRIDE=FQ","FILING_STATUS=MR","SCALING_FORMAT=MLN","Sort=A","Dates=H","DateFormat=P","Fill=—","Direction=H","UseDPDF=Y")</f>
        <v>128.69999999999999</v>
      </c>
      <c r="AA68" s="13" cm="1">
        <f t="array" ref="AA68">_xll.BDH("NUE US Equity","IS_TOT_CASH_COM_DVD","FQ1 2025","FQ1 2025","Currency=USD","Period=FQ","BEST_FPERIOD_OVERRIDE=FQ","FILING_STATUS=MR","SCALING_FORMAT=MLN","Sort=A","Dates=H","DateFormat=P","Fill=—","Direction=H","UseDPDF=Y")</f>
        <v>127.985</v>
      </c>
      <c r="AB68" s="13" cm="1">
        <f t="array" ref="AB68">_xll.BDH("NUE US Equity","IS_TOT_CASH_COM_DVD","FQ2 2025","FQ2 2025","Currency=USD","Period=FQ","BEST_FPERIOD_OVERRIDE=FQ","FILING_STATUS=MR","SCALING_FORMAT=MLN","Sort=A","Dates=H","DateFormat=P","Fill=—","Direction=H","UseDPDF=Y")</f>
        <v>126.83</v>
      </c>
      <c r="AC68" s="13" cm="1">
        <f t="array" ref="AC68">_xll.BDH("NUE US Equity","IS_TOT_CASH_COM_DVD","FQ3 2025","FQ3 2025","Currency=USD","Period=FQ","BEST_FPERIOD_OVERRIDE=FQ","FILING_STATUS=MR","SCALING_FORMAT=MLN","Sort=A","Dates=H","DateFormat=P","Fill=—","Direction=H","UseDPDF=Y")</f>
        <v>126.44499999999999</v>
      </c>
      <c r="AD68" s="13" cm="1">
        <f t="array" ref="AD68">_xll.BDH("NUE US Equity","IS_TOT_CASH_COM_DVD","FQ4 2025","FQ4 2025","Currency=USD","Period=FQ","BEST_FPERIOD_OVERRIDE=FQ","FILING_STATUS=MR","SCALING_FORMAT=MLN","Sort=A","Dates=H","DateFormat=P","Fill=—","Direction=H","UseDPDF=Y")</f>
        <v>128.40799999999999</v>
      </c>
      <c r="AE68" s="13"/>
      <c r="AF68" s="13"/>
    </row>
    <row r="69" spans="1:32" x14ac:dyDescent="0.25">
      <c r="A69" s="10" t="s">
        <v>176</v>
      </c>
      <c r="B69" s="10" t="s">
        <v>177</v>
      </c>
      <c r="C69" s="13" t="str" cm="1">
        <f t="array" ref="C69">_xll.BDH("NUE US Equity","IS_CAP_INT_EXP","FQ1 2019","FQ1 2019","Currency=USD","Period=FQ","BEST_FPERIOD_OVERRIDE=FQ","FILING_STATUS=MR","SCALING_FORMAT=MLN","Sort=A","Dates=H","DateFormat=P","Fill=—","Direction=H","UseDPDF=Y")</f>
        <v>—</v>
      </c>
      <c r="D69" s="13" t="str" cm="1">
        <f t="array" ref="D69">_xll.BDH("NUE US Equity","IS_CAP_INT_EXP","FQ2 2019","FQ2 2019","Currency=USD","Period=FQ","BEST_FPERIOD_OVERRIDE=FQ","FILING_STATUS=MR","SCALING_FORMAT=MLN","Sort=A","Dates=H","DateFormat=P","Fill=—","Direction=H","UseDPDF=Y")</f>
        <v>—</v>
      </c>
      <c r="E69" s="13" t="str" cm="1">
        <f t="array" ref="E69">_xll.BDH("NUE US Equity","IS_CAP_INT_EXP","FQ3 2019","FQ3 2019","Currency=USD","Period=FQ","BEST_FPERIOD_OVERRIDE=FQ","FILING_STATUS=MR","SCALING_FORMAT=MLN","Sort=A","Dates=H","DateFormat=P","Fill=—","Direction=H","UseDPDF=Y")</f>
        <v>—</v>
      </c>
      <c r="F69" s="13" t="str" cm="1">
        <f t="array" ref="F69">_xll.BDH("NUE US Equity","IS_CAP_INT_EXP","FQ4 2019","FQ4 2019","Currency=USD","Period=FQ","BEST_FPERIOD_OVERRIDE=FQ","FILING_STATUS=MR","SCALING_FORMAT=MLN","Sort=A","Dates=H","DateFormat=P","Fill=—","Direction=H","UseDPDF=Y")</f>
        <v>—</v>
      </c>
      <c r="G69" s="13" t="str" cm="1">
        <f t="array" ref="G69">_xll.BDH("NUE US Equity","IS_CAP_INT_EXP","FQ1 2020","FQ1 2020","Currency=USD","Period=FQ","BEST_FPERIOD_OVERRIDE=FQ","FILING_STATUS=MR","SCALING_FORMAT=MLN","Sort=A","Dates=H","DateFormat=P","Fill=—","Direction=H","UseDPDF=Y")</f>
        <v>—</v>
      </c>
      <c r="H69" s="13" t="str" cm="1">
        <f t="array" ref="H69">_xll.BDH("NUE US Equity","IS_CAP_INT_EXP","FQ2 2020","FQ2 2020","Currency=USD","Period=FQ","BEST_FPERIOD_OVERRIDE=FQ","FILING_STATUS=MR","SCALING_FORMAT=MLN","Sort=A","Dates=H","DateFormat=P","Fill=—","Direction=H","UseDPDF=Y")</f>
        <v>—</v>
      </c>
      <c r="I69" s="13" t="str" cm="1">
        <f t="array" ref="I69">_xll.BDH("NUE US Equity","IS_CAP_INT_EXP","FQ3 2020","FQ3 2020","Currency=USD","Period=FQ","BEST_FPERIOD_OVERRIDE=FQ","FILING_STATUS=MR","SCALING_FORMAT=MLN","Sort=A","Dates=H","DateFormat=P","Fill=—","Direction=H","UseDPDF=Y")</f>
        <v>—</v>
      </c>
      <c r="J69" s="13" t="str" cm="1">
        <f t="array" ref="J69">_xll.BDH("NUE US Equity","IS_CAP_INT_EXP","FQ4 2020","FQ4 2020","Currency=USD","Period=FQ","BEST_FPERIOD_OVERRIDE=FQ","FILING_STATUS=MR","SCALING_FORMAT=MLN","Sort=A","Dates=H","DateFormat=P","Fill=—","Direction=H","UseDPDF=Y")</f>
        <v>—</v>
      </c>
      <c r="K69" s="13" t="str" cm="1">
        <f t="array" ref="K69">_xll.BDH("NUE US Equity","IS_CAP_INT_EXP","FQ1 2021","FQ1 2021","Currency=USD","Period=FQ","BEST_FPERIOD_OVERRIDE=FQ","FILING_STATUS=MR","SCALING_FORMAT=MLN","Sort=A","Dates=H","DateFormat=P","Fill=—","Direction=H","UseDPDF=Y")</f>
        <v>—</v>
      </c>
      <c r="L69" s="13" t="str" cm="1">
        <f t="array" ref="L69">_xll.BDH("NUE US Equity","IS_CAP_INT_EXP","FQ2 2021","FQ2 2021","Currency=USD","Period=FQ","BEST_FPERIOD_OVERRIDE=FQ","FILING_STATUS=MR","SCALING_FORMAT=MLN","Sort=A","Dates=H","DateFormat=P","Fill=—","Direction=H","UseDPDF=Y")</f>
        <v>—</v>
      </c>
      <c r="M69" s="13" t="str" cm="1">
        <f t="array" ref="M69">_xll.BDH("NUE US Equity","IS_CAP_INT_EXP","FQ3 2021","FQ3 2021","Currency=USD","Period=FQ","BEST_FPERIOD_OVERRIDE=FQ","FILING_STATUS=MR","SCALING_FORMAT=MLN","Sort=A","Dates=H","DateFormat=P","Fill=—","Direction=H","UseDPDF=Y")</f>
        <v>—</v>
      </c>
      <c r="N69" s="13" t="str" cm="1">
        <f t="array" ref="N69">_xll.BDH("NUE US Equity","IS_CAP_INT_EXP","FQ4 2021","FQ4 2021","Currency=USD","Period=FQ","BEST_FPERIOD_OVERRIDE=FQ","FILING_STATUS=MR","SCALING_FORMAT=MLN","Sort=A","Dates=H","DateFormat=P","Fill=—","Direction=H","UseDPDF=Y")</f>
        <v>—</v>
      </c>
      <c r="O69" s="13" t="str" cm="1">
        <f t="array" ref="O69">_xll.BDH("NUE US Equity","IS_CAP_INT_EXP","FQ1 2022","FQ1 2022","Currency=USD","Period=FQ","BEST_FPERIOD_OVERRIDE=FQ","FILING_STATUS=MR","SCALING_FORMAT=MLN","Sort=A","Dates=H","DateFormat=P","Fill=—","Direction=H","UseDPDF=Y")</f>
        <v>—</v>
      </c>
      <c r="P69" s="13" t="str" cm="1">
        <f t="array" ref="P69">_xll.BDH("NUE US Equity","IS_CAP_INT_EXP","FQ2 2022","FQ2 2022","Currency=USD","Period=FQ","BEST_FPERIOD_OVERRIDE=FQ","FILING_STATUS=MR","SCALING_FORMAT=MLN","Sort=A","Dates=H","DateFormat=P","Fill=—","Direction=H","UseDPDF=Y")</f>
        <v>—</v>
      </c>
      <c r="Q69" s="13" t="str" cm="1">
        <f t="array" ref="Q69">_xll.BDH("NUE US Equity","IS_CAP_INT_EXP","FQ3 2022","FQ3 2022","Currency=USD","Period=FQ","BEST_FPERIOD_OVERRIDE=FQ","FILING_STATUS=MR","SCALING_FORMAT=MLN","Sort=A","Dates=H","DateFormat=P","Fill=—","Direction=H","UseDPDF=Y")</f>
        <v>—</v>
      </c>
      <c r="R69" s="13" t="str" cm="1">
        <f t="array" ref="R69">_xll.BDH("NUE US Equity","IS_CAP_INT_EXP","FQ4 2022","FQ4 2022","Currency=USD","Period=FQ","BEST_FPERIOD_OVERRIDE=FQ","FILING_STATUS=MR","SCALING_FORMAT=MLN","Sort=A","Dates=H","DateFormat=P","Fill=—","Direction=H","UseDPDF=Y")</f>
        <v>—</v>
      </c>
      <c r="S69" s="13" t="str" cm="1">
        <f t="array" ref="S69">_xll.BDH("NUE US Equity","IS_CAP_INT_EXP","FQ1 2023","FQ1 2023","Currency=USD","Period=FQ","BEST_FPERIOD_OVERRIDE=FQ","FILING_STATUS=MR","SCALING_FORMAT=MLN","Sort=A","Dates=H","DateFormat=P","Fill=—","Direction=H","UseDPDF=Y")</f>
        <v>—</v>
      </c>
      <c r="T69" s="13" t="str" cm="1">
        <f t="array" ref="T69">_xll.BDH("NUE US Equity","IS_CAP_INT_EXP","FQ2 2023","FQ2 2023","Currency=USD","Period=FQ","BEST_FPERIOD_OVERRIDE=FQ","FILING_STATUS=MR","SCALING_FORMAT=MLN","Sort=A","Dates=H","DateFormat=P","Fill=—","Direction=H","UseDPDF=Y")</f>
        <v>—</v>
      </c>
      <c r="U69" s="13" t="str" cm="1">
        <f t="array" ref="U69">_xll.BDH("NUE US Equity","IS_CAP_INT_EXP","FQ3 2023","FQ3 2023","Currency=USD","Period=FQ","BEST_FPERIOD_OVERRIDE=FQ","FILING_STATUS=MR","SCALING_FORMAT=MLN","Sort=A","Dates=H","DateFormat=P","Fill=—","Direction=H","UseDPDF=Y")</f>
        <v>—</v>
      </c>
      <c r="V69" s="13" t="str" cm="1">
        <f t="array" ref="V69">_xll.BDH("NUE US Equity","IS_CAP_INT_EXP","FQ4 2023","FQ4 2023","Currency=USD","Period=FQ","BEST_FPERIOD_OVERRIDE=FQ","FILING_STATUS=MR","SCALING_FORMAT=MLN","Sort=A","Dates=H","DateFormat=P","Fill=—","Direction=H","UseDPDF=Y")</f>
        <v>—</v>
      </c>
      <c r="W69" s="13" t="str" cm="1">
        <f t="array" ref="W69">_xll.BDH("NUE US Equity","IS_CAP_INT_EXP","FQ1 2024","FQ1 2024","Currency=USD","Period=FQ","BEST_FPERIOD_OVERRIDE=FQ","FILING_STATUS=MR","SCALING_FORMAT=MLN","Sort=A","Dates=H","DateFormat=P","Fill=—","Direction=H","UseDPDF=Y")</f>
        <v>—</v>
      </c>
      <c r="X69" s="13" t="str" cm="1">
        <f t="array" ref="X69">_xll.BDH("NUE US Equity","IS_CAP_INT_EXP","FQ2 2024","FQ2 2024","Currency=USD","Period=FQ","BEST_FPERIOD_OVERRIDE=FQ","FILING_STATUS=MR","SCALING_FORMAT=MLN","Sort=A","Dates=H","DateFormat=P","Fill=—","Direction=H","UseDPDF=Y")</f>
        <v>—</v>
      </c>
      <c r="Y69" s="13" t="str" cm="1">
        <f t="array" ref="Y69">_xll.BDH("NUE US Equity","IS_CAP_INT_EXP","FQ3 2024","FQ3 2024","Currency=USD","Period=FQ","BEST_FPERIOD_OVERRIDE=FQ","FILING_STATUS=MR","SCALING_FORMAT=MLN","Sort=A","Dates=H","DateFormat=P","Fill=—","Direction=H","UseDPDF=Y")</f>
        <v>—</v>
      </c>
      <c r="Z69" s="13" t="str" cm="1">
        <f t="array" ref="Z69">_xll.BDH("NUE US Equity","IS_CAP_INT_EXP","FQ4 2024","FQ4 2024","Currency=USD","Period=FQ","BEST_FPERIOD_OVERRIDE=FQ","FILING_STATUS=MR","SCALING_FORMAT=MLN","Sort=A","Dates=H","DateFormat=P","Fill=—","Direction=H","UseDPDF=Y")</f>
        <v>—</v>
      </c>
      <c r="AA69" s="13" t="str" cm="1">
        <f t="array" ref="AA69">_xll.BDH("NUE US Equity","IS_CAP_INT_EXP","FQ1 2025","FQ1 2025","Currency=USD","Period=FQ","BEST_FPERIOD_OVERRIDE=FQ","FILING_STATUS=MR","SCALING_FORMAT=MLN","Sort=A","Dates=H","DateFormat=P","Fill=—","Direction=H","UseDPDF=Y")</f>
        <v>—</v>
      </c>
      <c r="AB69" s="13" t="str" cm="1">
        <f t="array" ref="AB69">_xll.BDH("NUE US Equity","IS_CAP_INT_EXP","FQ2 2025","FQ2 2025","Currency=USD","Period=FQ","BEST_FPERIOD_OVERRIDE=FQ","FILING_STATUS=MR","SCALING_FORMAT=MLN","Sort=A","Dates=H","DateFormat=P","Fill=—","Direction=H","UseDPDF=Y")</f>
        <v>—</v>
      </c>
      <c r="AC69" s="13" t="str" cm="1">
        <f t="array" ref="AC69">_xll.BDH("NUE US Equity","IS_CAP_INT_EXP","FQ3 2025","FQ3 2025","Currency=USD","Period=FQ","BEST_FPERIOD_OVERRIDE=FQ","FILING_STATUS=MR","SCALING_FORMAT=MLN","Sort=A","Dates=H","DateFormat=P","Fill=—","Direction=H","UseDPDF=Y")</f>
        <v>—</v>
      </c>
      <c r="AD69" s="13" t="str" cm="1">
        <f t="array" ref="AD69">_xll.BDH("NUE US Equity","IS_CAP_INT_EXP","FQ4 2025","FQ4 2025","Currency=USD","Period=FQ","BEST_FPERIOD_OVERRIDE=FQ","FILING_STATUS=MR","SCALING_FORMAT=MLN","Sort=A","Dates=H","DateFormat=P","Fill=—","Direction=H","UseDPDF=Y")</f>
        <v>—</v>
      </c>
      <c r="AE69" s="13"/>
      <c r="AF69" s="13"/>
    </row>
    <row r="70" spans="1:32" x14ac:dyDescent="0.25">
      <c r="A70" s="10" t="s">
        <v>178</v>
      </c>
      <c r="B70" s="10" t="s">
        <v>179</v>
      </c>
      <c r="C70" s="13" cm="1">
        <f t="array" ref="C70">_xll.BDH("NUE US Equity","IS_DEPR_EXP","FQ1 2019","FQ1 2019","Currency=USD","Period=FQ","BEST_FPERIOD_OVERRIDE=FQ","FILING_STATUS=MR","SCALING_FORMAT=MLN","Sort=A","Dates=H","DateFormat=P","Fill=—","Direction=H","UseDPDF=Y")</f>
        <v>158.17099999999999</v>
      </c>
      <c r="D70" s="13" cm="1">
        <f t="array" ref="D70">_xll.BDH("NUE US Equity","IS_DEPR_EXP","FQ2 2019","FQ2 2019","Currency=USD","Period=FQ","BEST_FPERIOD_OVERRIDE=FQ","FILING_STATUS=MR","SCALING_FORMAT=MLN","Sort=A","Dates=H","DateFormat=P","Fill=—","Direction=H","UseDPDF=Y")</f>
        <v>163.80799999999999</v>
      </c>
      <c r="E70" s="13" cm="1">
        <f t="array" ref="E70">_xll.BDH("NUE US Equity","IS_DEPR_EXP","FQ3 2019","FQ3 2019","Currency=USD","Period=FQ","BEST_FPERIOD_OVERRIDE=FQ","FILING_STATUS=MR","SCALING_FORMAT=MLN","Sort=A","Dates=H","DateFormat=P","Fill=—","Direction=H","UseDPDF=Y")</f>
        <v>155.97800000000001</v>
      </c>
      <c r="F70" s="13" cm="1">
        <f t="array" ref="F70">_xll.BDH("NUE US Equity","IS_DEPR_EXP","FQ4 2019","FQ4 2019","Currency=USD","Period=FQ","BEST_FPERIOD_OVERRIDE=FQ","FILING_STATUS=MR","SCALING_FORMAT=MLN","Sort=A","Dates=H","DateFormat=P","Fill=—","Direction=H","UseDPDF=Y")</f>
        <v>170.95400000000001</v>
      </c>
      <c r="G70" s="13" cm="1">
        <f t="array" ref="G70">_xll.BDH("NUE US Equity","IS_DEPR_EXP","FQ1 2020","FQ1 2020","Currency=USD","Period=FQ","BEST_FPERIOD_OVERRIDE=FQ","FILING_STATUS=MR","SCALING_FORMAT=MLN","Sort=A","Dates=H","DateFormat=P","Fill=—","Direction=H","UseDPDF=Y")</f>
        <v>175.767</v>
      </c>
      <c r="H70" s="13" cm="1">
        <f t="array" ref="H70">_xll.BDH("NUE US Equity","IS_DEPR_EXP","FQ2 2020","FQ2 2020","Currency=USD","Period=FQ","BEST_FPERIOD_OVERRIDE=FQ","FILING_STATUS=MR","SCALING_FORMAT=MLN","Sort=A","Dates=H","DateFormat=P","Fill=—","Direction=H","UseDPDF=Y")</f>
        <v>173.92400000000001</v>
      </c>
      <c r="I70" s="13" cm="1">
        <f t="array" ref="I70">_xll.BDH("NUE US Equity","IS_DEPR_EXP","FQ3 2020","FQ3 2020","Currency=USD","Period=FQ","BEST_FPERIOD_OVERRIDE=FQ","FILING_STATUS=MR","SCALING_FORMAT=MLN","Sort=A","Dates=H","DateFormat=P","Fill=—","Direction=H","UseDPDF=Y")</f>
        <v>175.99700000000001</v>
      </c>
      <c r="J70" s="13" cm="1">
        <f t="array" ref="J70">_xll.BDH("NUE US Equity","IS_DEPR_EXP","FQ4 2020","FQ4 2020","Currency=USD","Period=FQ","BEST_FPERIOD_OVERRIDE=FQ","FILING_STATUS=MR","SCALING_FORMAT=MLN","Sort=A","Dates=H","DateFormat=P","Fill=—","Direction=H","UseDPDF=Y")</f>
        <v>176.422</v>
      </c>
      <c r="K70" s="13" cm="1">
        <f t="array" ref="K70">_xll.BDH("NUE US Equity","IS_DEPR_EXP","FQ1 2021","FQ1 2021","Currency=USD","Period=FQ","BEST_FPERIOD_OVERRIDE=FQ","FILING_STATUS=MR","SCALING_FORMAT=MLN","Sort=A","Dates=H","DateFormat=P","Fill=—","Direction=H","UseDPDF=Y")</f>
        <v>179.82</v>
      </c>
      <c r="L70" s="13" cm="1">
        <f t="array" ref="L70">_xll.BDH("NUE US Equity","IS_DEPR_EXP","FQ2 2021","FQ2 2021","Currency=USD","Period=FQ","BEST_FPERIOD_OVERRIDE=FQ","FILING_STATUS=MR","SCALING_FORMAT=MLN","Sort=A","Dates=H","DateFormat=P","Fill=—","Direction=H","UseDPDF=Y")</f>
        <v>182.672</v>
      </c>
      <c r="M70" s="13" cm="1">
        <f t="array" ref="M70">_xll.BDH("NUE US Equity","IS_DEPR_EXP","FQ3 2021","FQ3 2021","Currency=USD","Period=FQ","BEST_FPERIOD_OVERRIDE=FQ","FILING_STATUS=MR","SCALING_FORMAT=MLN","Sort=A","Dates=H","DateFormat=P","Fill=—","Direction=H","UseDPDF=Y")</f>
        <v>184.12700000000001</v>
      </c>
      <c r="N70" s="13" cm="1">
        <f t="array" ref="N70">_xll.BDH("NUE US Equity","IS_DEPR_EXP","FQ4 2021","FQ4 2021","Currency=USD","Period=FQ","BEST_FPERIOD_OVERRIDE=FQ","FILING_STATUS=MR","SCALING_FORMAT=MLN","Sort=A","Dates=H","DateFormat=P","Fill=—","Direction=H","UseDPDF=Y")</f>
        <v>188.78700000000001</v>
      </c>
      <c r="O70" s="13" cm="1">
        <f t="array" ref="O70">_xll.BDH("NUE US Equity","IS_DEPR_EXP","FQ1 2022","FQ1 2022","Currency=USD","Period=FQ","BEST_FPERIOD_OVERRIDE=FQ","FILING_STATUS=MR","SCALING_FORMAT=MLN","Sort=A","Dates=H","DateFormat=P","Fill=—","Direction=H","UseDPDF=Y")</f>
        <v>195.47800000000001</v>
      </c>
      <c r="P70" s="13" cm="1">
        <f t="array" ref="P70">_xll.BDH("NUE US Equity","IS_DEPR_EXP","FQ2 2022","FQ2 2022","Currency=USD","Period=FQ","BEST_FPERIOD_OVERRIDE=FQ","FILING_STATUS=MR","SCALING_FORMAT=MLN","Sort=A","Dates=H","DateFormat=P","Fill=—","Direction=H","UseDPDF=Y")</f>
        <v>201.792</v>
      </c>
      <c r="Q70" s="13" cm="1">
        <f t="array" ref="Q70">_xll.BDH("NUE US Equity","IS_DEPR_EXP","FQ3 2022","FQ3 2022","Currency=USD","Period=FQ","BEST_FPERIOD_OVERRIDE=FQ","FILING_STATUS=MR","SCALING_FORMAT=MLN","Sort=A","Dates=H","DateFormat=P","Fill=—","Direction=H","UseDPDF=Y")</f>
        <v>212.66300000000001</v>
      </c>
      <c r="R70" s="13" cm="1">
        <f t="array" ref="R70">_xll.BDH("NUE US Equity","IS_DEPR_EXP","FQ4 2022","FQ4 2022","Currency=USD","Period=FQ","BEST_FPERIOD_OVERRIDE=FQ","FILING_STATUS=MR","SCALING_FORMAT=MLN","Sort=A","Dates=H","DateFormat=P","Fill=—","Direction=H","UseDPDF=Y")</f>
        <v>280.07299999999998</v>
      </c>
      <c r="S70" s="13" cm="1">
        <f t="array" ref="S70">_xll.BDH("NUE US Equity","IS_DEPR_EXP","FQ1 2023","FQ1 2023","Currency=USD","Period=FQ","BEST_FPERIOD_OVERRIDE=FQ","FILING_STATUS=MR","SCALING_FORMAT=MLN","Sort=A","Dates=H","DateFormat=P","Fill=—","Direction=H","UseDPDF=Y")</f>
        <v>221.089</v>
      </c>
      <c r="T70" s="13" cm="1">
        <f t="array" ref="T70">_xll.BDH("NUE US Equity","IS_DEPR_EXP","FQ2 2023","FQ2 2023","Currency=USD","Period=FQ","BEST_FPERIOD_OVERRIDE=FQ","FILING_STATUS=MR","SCALING_FORMAT=MLN","Sort=A","Dates=H","DateFormat=P","Fill=—","Direction=H","UseDPDF=Y")</f>
        <v>227.74700000000001</v>
      </c>
      <c r="U70" s="13" cm="1">
        <f t="array" ref="U70">_xll.BDH("NUE US Equity","IS_DEPR_EXP","FQ3 2023","FQ3 2023","Currency=USD","Period=FQ","BEST_FPERIOD_OVERRIDE=FQ","FILING_STATUS=MR","SCALING_FORMAT=MLN","Sort=A","Dates=H","DateFormat=P","Fill=—","Direction=H","UseDPDF=Y")</f>
        <v>232.31700000000001</v>
      </c>
      <c r="V70" s="13" cm="1">
        <f t="array" ref="V70">_xll.BDH("NUE US Equity","IS_DEPR_EXP","FQ4 2023","FQ4 2023","Currency=USD","Period=FQ","BEST_FPERIOD_OVERRIDE=FQ","FILING_STATUS=MR","SCALING_FORMAT=MLN","Sort=A","Dates=H","DateFormat=P","Fill=—","Direction=H","UseDPDF=Y")</f>
        <v>249.43199999999999</v>
      </c>
      <c r="W70" s="13" cm="1">
        <f t="array" ref="W70">_xll.BDH("NUE US Equity","IS_DEPR_EXP","FQ1 2024","FQ1 2024","Currency=USD","Period=FQ","BEST_FPERIOD_OVERRIDE=FQ","FILING_STATUS=MR","SCALING_FORMAT=MLN","Sort=A","Dates=H","DateFormat=P","Fill=—","Direction=H","UseDPDF=Y")</f>
        <v>256.93799999999999</v>
      </c>
      <c r="X70" s="13" cm="1">
        <f t="array" ref="X70">_xll.BDH("NUE US Equity","IS_DEPR_EXP","FQ2 2024","FQ2 2024","Currency=USD","Period=FQ","BEST_FPERIOD_OVERRIDE=FQ","FILING_STATUS=MR","SCALING_FORMAT=MLN","Sort=A","Dates=H","DateFormat=P","Fill=—","Direction=H","UseDPDF=Y")</f>
        <v>270.68799999999999</v>
      </c>
      <c r="Y70" s="13" cm="1">
        <f t="array" ref="Y70">_xll.BDH("NUE US Equity","IS_DEPR_EXP","FQ3 2024","FQ3 2024","Currency=USD","Period=FQ","BEST_FPERIOD_OVERRIDE=FQ","FILING_STATUS=MR","SCALING_FORMAT=MLN","Sort=A","Dates=H","DateFormat=P","Fill=—","Direction=H","UseDPDF=Y")</f>
        <v>281.16500000000002</v>
      </c>
      <c r="Z70" s="13" cm="1">
        <f t="array" ref="Z70">_xll.BDH("NUE US Equity","IS_DEPR_EXP","FQ4 2024","FQ4 2024","Currency=USD","Period=FQ","BEST_FPERIOD_OVERRIDE=FQ","FILING_STATUS=MR","SCALING_FORMAT=MLN","Sort=A","Dates=H","DateFormat=P","Fill=—","Direction=H","UseDPDF=Y")</f>
        <v>285</v>
      </c>
      <c r="AA70" s="13" cm="1">
        <f t="array" ref="AA70">_xll.BDH("NUE US Equity","IS_DEPR_EXP","FQ1 2025","FQ1 2025","Currency=USD","Period=FQ","BEST_FPERIOD_OVERRIDE=FQ","FILING_STATUS=MR","SCALING_FORMAT=MLN","Sort=A","Dates=H","DateFormat=P","Fill=—","Direction=H","UseDPDF=Y")</f>
        <v>303</v>
      </c>
      <c r="AB70" s="13" cm="1">
        <f t="array" ref="AB70">_xll.BDH("NUE US Equity","IS_DEPR_EXP","FQ2 2025","FQ2 2025","Currency=USD","Period=FQ","BEST_FPERIOD_OVERRIDE=FQ","FILING_STATUS=MR","SCALING_FORMAT=MLN","Sort=A","Dates=H","DateFormat=P","Fill=—","Direction=H","UseDPDF=Y")</f>
        <v>303</v>
      </c>
      <c r="AC70" s="13" cm="1">
        <f t="array" ref="AC70">_xll.BDH("NUE US Equity","IS_DEPR_EXP","FQ3 2025","FQ3 2025","Currency=USD","Period=FQ","BEST_FPERIOD_OVERRIDE=FQ","FILING_STATUS=MR","SCALING_FORMAT=MLN","Sort=A","Dates=H","DateFormat=P","Fill=—","Direction=H","UseDPDF=Y")</f>
        <v>304</v>
      </c>
      <c r="AD70" s="13" cm="1">
        <f t="array" ref="AD70">_xll.BDH("NUE US Equity","IS_DEPR_EXP","FQ4 2025","FQ4 2025","Currency=USD","Period=FQ","BEST_FPERIOD_OVERRIDE=FQ","FILING_STATUS=MR","SCALING_FORMAT=MLN","Sort=A","Dates=H","DateFormat=P","Fill=—","Direction=H","UseDPDF=Y")</f>
        <v>316</v>
      </c>
      <c r="AE70" s="13"/>
      <c r="AF70" s="13"/>
    </row>
    <row r="71" spans="1:32" x14ac:dyDescent="0.25">
      <c r="A71" s="10" t="s">
        <v>180</v>
      </c>
      <c r="B71" s="10" t="s">
        <v>181</v>
      </c>
      <c r="C71" s="13" cm="1">
        <f t="array" ref="C71">_xll.BDH("NUE US Equity","BS_CURR_RENTAL_EXPENSE","FQ1 2019","FQ1 2019","Currency=USD","Period=FQ","BEST_FPERIOD_OVERRIDE=FQ","FILING_STATUS=MR","SCALING_FORMAT=MLN","Sort=A","Dates=H","DateFormat=P","Fill=—","Direction=H","UseDPDF=Y")</f>
        <v>5.8</v>
      </c>
      <c r="D71" s="13" cm="1">
        <f t="array" ref="D71">_xll.BDH("NUE US Equity","BS_CURR_RENTAL_EXPENSE","FQ2 2019","FQ2 2019","Currency=USD","Period=FQ","BEST_FPERIOD_OVERRIDE=FQ","FILING_STATUS=MR","SCALING_FORMAT=MLN","Sort=A","Dates=H","DateFormat=P","Fill=—","Direction=H","UseDPDF=Y")</f>
        <v>5.9</v>
      </c>
      <c r="E71" s="13" cm="1">
        <f t="array" ref="E71">_xll.BDH("NUE US Equity","BS_CURR_RENTAL_EXPENSE","FQ3 2019","FQ3 2019","Currency=USD","Period=FQ","BEST_FPERIOD_OVERRIDE=FQ","FILING_STATUS=MR","SCALING_FORMAT=MLN","Sort=A","Dates=H","DateFormat=P","Fill=—","Direction=H","UseDPDF=Y")</f>
        <v>5.9219999999999997</v>
      </c>
      <c r="F71" s="13" cm="1">
        <f t="array" ref="F71">_xll.BDH("NUE US Equity","BS_CURR_RENTAL_EXPENSE","FQ4 2019","FQ4 2019","Currency=USD","Period=FQ","BEST_FPERIOD_OVERRIDE=FQ","FILING_STATUS=MR","SCALING_FORMAT=MLN","Sort=A","Dates=H","DateFormat=P","Fill=—","Direction=H","UseDPDF=Y")</f>
        <v>5.8239999999999998</v>
      </c>
      <c r="G71" s="13" t="str" cm="1">
        <f t="array" ref="G71">_xll.BDH("NUE US Equity","BS_CURR_RENTAL_EXPENSE","FQ1 2020","FQ1 2020","Currency=USD","Period=FQ","BEST_FPERIOD_OVERRIDE=FQ","FILING_STATUS=MR","SCALING_FORMAT=MLN","Sort=A","Dates=H","DateFormat=P","Fill=—","Direction=H","UseDPDF=Y")</f>
        <v>—</v>
      </c>
      <c r="H71" s="13" t="str" cm="1">
        <f t="array" ref="H71">_xll.BDH("NUE US Equity","BS_CURR_RENTAL_EXPENSE","FQ2 2020","FQ2 2020","Currency=USD","Period=FQ","BEST_FPERIOD_OVERRIDE=FQ","FILING_STATUS=MR","SCALING_FORMAT=MLN","Sort=A","Dates=H","DateFormat=P","Fill=—","Direction=H","UseDPDF=Y")</f>
        <v>—</v>
      </c>
      <c r="I71" s="13" t="str" cm="1">
        <f t="array" ref="I71">_xll.BDH("NUE US Equity","BS_CURR_RENTAL_EXPENSE","FQ3 2020","FQ3 2020","Currency=USD","Period=FQ","BEST_FPERIOD_OVERRIDE=FQ","FILING_STATUS=MR","SCALING_FORMAT=MLN","Sort=A","Dates=H","DateFormat=P","Fill=—","Direction=H","UseDPDF=Y")</f>
        <v>—</v>
      </c>
      <c r="J71" s="13" t="str" cm="1">
        <f t="array" ref="J71">_xll.BDH("NUE US Equity","BS_CURR_RENTAL_EXPENSE","FQ4 2020","FQ4 2020","Currency=USD","Period=FQ","BEST_FPERIOD_OVERRIDE=FQ","FILING_STATUS=MR","SCALING_FORMAT=MLN","Sort=A","Dates=H","DateFormat=P","Fill=—","Direction=H","UseDPDF=Y")</f>
        <v>—</v>
      </c>
      <c r="K71" s="13" t="str" cm="1">
        <f t="array" ref="K71">_xll.BDH("NUE US Equity","BS_CURR_RENTAL_EXPENSE","FQ1 2021","FQ1 2021","Currency=USD","Period=FQ","BEST_FPERIOD_OVERRIDE=FQ","FILING_STATUS=MR","SCALING_FORMAT=MLN","Sort=A","Dates=H","DateFormat=P","Fill=—","Direction=H","UseDPDF=Y")</f>
        <v>—</v>
      </c>
      <c r="L71" s="13" t="str" cm="1">
        <f t="array" ref="L71">_xll.BDH("NUE US Equity","BS_CURR_RENTAL_EXPENSE","FQ2 2021","FQ2 2021","Currency=USD","Period=FQ","BEST_FPERIOD_OVERRIDE=FQ","FILING_STATUS=MR","SCALING_FORMAT=MLN","Sort=A","Dates=H","DateFormat=P","Fill=—","Direction=H","UseDPDF=Y")</f>
        <v>—</v>
      </c>
      <c r="M71" s="13" t="str" cm="1">
        <f t="array" ref="M71">_xll.BDH("NUE US Equity","BS_CURR_RENTAL_EXPENSE","FQ3 2021","FQ3 2021","Currency=USD","Period=FQ","BEST_FPERIOD_OVERRIDE=FQ","FILING_STATUS=MR","SCALING_FORMAT=MLN","Sort=A","Dates=H","DateFormat=P","Fill=—","Direction=H","UseDPDF=Y")</f>
        <v>—</v>
      </c>
      <c r="N71" s="13" t="str" cm="1">
        <f t="array" ref="N71">_xll.BDH("NUE US Equity","BS_CURR_RENTAL_EXPENSE","FQ4 2021","FQ4 2021","Currency=USD","Period=FQ","BEST_FPERIOD_OVERRIDE=FQ","FILING_STATUS=MR","SCALING_FORMAT=MLN","Sort=A","Dates=H","DateFormat=P","Fill=—","Direction=H","UseDPDF=Y")</f>
        <v>—</v>
      </c>
      <c r="O71" s="13" t="str" cm="1">
        <f t="array" ref="O71">_xll.BDH("NUE US Equity","BS_CURR_RENTAL_EXPENSE","FQ1 2022","FQ1 2022","Currency=USD","Period=FQ","BEST_FPERIOD_OVERRIDE=FQ","FILING_STATUS=MR","SCALING_FORMAT=MLN","Sort=A","Dates=H","DateFormat=P","Fill=—","Direction=H","UseDPDF=Y")</f>
        <v>—</v>
      </c>
      <c r="P71" s="13" t="str" cm="1">
        <f t="array" ref="P71">_xll.BDH("NUE US Equity","BS_CURR_RENTAL_EXPENSE","FQ2 2022","FQ2 2022","Currency=USD","Period=FQ","BEST_FPERIOD_OVERRIDE=FQ","FILING_STATUS=MR","SCALING_FORMAT=MLN","Sort=A","Dates=H","DateFormat=P","Fill=—","Direction=H","UseDPDF=Y")</f>
        <v>—</v>
      </c>
      <c r="Q71" s="13" t="str" cm="1">
        <f t="array" ref="Q71">_xll.BDH("NUE US Equity","BS_CURR_RENTAL_EXPENSE","FQ3 2022","FQ3 2022","Currency=USD","Period=FQ","BEST_FPERIOD_OVERRIDE=FQ","FILING_STATUS=MR","SCALING_FORMAT=MLN","Sort=A","Dates=H","DateFormat=P","Fill=—","Direction=H","UseDPDF=Y")</f>
        <v>—</v>
      </c>
      <c r="R71" s="13" t="str" cm="1">
        <f t="array" ref="R71">_xll.BDH("NUE US Equity","BS_CURR_RENTAL_EXPENSE","FQ4 2022","FQ4 2022","Currency=USD","Period=FQ","BEST_FPERIOD_OVERRIDE=FQ","FILING_STATUS=MR","SCALING_FORMAT=MLN","Sort=A","Dates=H","DateFormat=P","Fill=—","Direction=H","UseDPDF=Y")</f>
        <v>—</v>
      </c>
      <c r="S71" s="13" t="str" cm="1">
        <f t="array" ref="S71">_xll.BDH("NUE US Equity","BS_CURR_RENTAL_EXPENSE","FQ1 2023","FQ1 2023","Currency=USD","Period=FQ","BEST_FPERIOD_OVERRIDE=FQ","FILING_STATUS=MR","SCALING_FORMAT=MLN","Sort=A","Dates=H","DateFormat=P","Fill=—","Direction=H","UseDPDF=Y")</f>
        <v>—</v>
      </c>
      <c r="T71" s="13" t="str" cm="1">
        <f t="array" ref="T71">_xll.BDH("NUE US Equity","BS_CURR_RENTAL_EXPENSE","FQ2 2023","FQ2 2023","Currency=USD","Period=FQ","BEST_FPERIOD_OVERRIDE=FQ","FILING_STATUS=MR","SCALING_FORMAT=MLN","Sort=A","Dates=H","DateFormat=P","Fill=—","Direction=H","UseDPDF=Y")</f>
        <v>—</v>
      </c>
      <c r="U71" s="13" t="str" cm="1">
        <f t="array" ref="U71">_xll.BDH("NUE US Equity","BS_CURR_RENTAL_EXPENSE","FQ3 2023","FQ3 2023","Currency=USD","Period=FQ","BEST_FPERIOD_OVERRIDE=FQ","FILING_STATUS=MR","SCALING_FORMAT=MLN","Sort=A","Dates=H","DateFormat=P","Fill=—","Direction=H","UseDPDF=Y")</f>
        <v>—</v>
      </c>
      <c r="V71" s="13" t="str" cm="1">
        <f t="array" ref="V71">_xll.BDH("NUE US Equity","BS_CURR_RENTAL_EXPENSE","FQ4 2023","FQ4 2023","Currency=USD","Period=FQ","BEST_FPERIOD_OVERRIDE=FQ","FILING_STATUS=MR","SCALING_FORMAT=MLN","Sort=A","Dates=H","DateFormat=P","Fill=—","Direction=H","UseDPDF=Y")</f>
        <v>—</v>
      </c>
      <c r="W71" s="13" t="str" cm="1">
        <f t="array" ref="W71">_xll.BDH("NUE US Equity","BS_CURR_RENTAL_EXPENSE","FQ1 2024","FQ1 2024","Currency=USD","Period=FQ","BEST_FPERIOD_OVERRIDE=FQ","FILING_STATUS=MR","SCALING_FORMAT=MLN","Sort=A","Dates=H","DateFormat=P","Fill=—","Direction=H","UseDPDF=Y")</f>
        <v>—</v>
      </c>
      <c r="X71" s="13" t="str" cm="1">
        <f t="array" ref="X71">_xll.BDH("NUE US Equity","BS_CURR_RENTAL_EXPENSE","FQ2 2024","FQ2 2024","Currency=USD","Period=FQ","BEST_FPERIOD_OVERRIDE=FQ","FILING_STATUS=MR","SCALING_FORMAT=MLN","Sort=A","Dates=H","DateFormat=P","Fill=—","Direction=H","UseDPDF=Y")</f>
        <v>—</v>
      </c>
      <c r="Y71" s="13" t="str" cm="1">
        <f t="array" ref="Y71">_xll.BDH("NUE US Equity","BS_CURR_RENTAL_EXPENSE","FQ3 2024","FQ3 2024","Currency=USD","Period=FQ","BEST_FPERIOD_OVERRIDE=FQ","FILING_STATUS=MR","SCALING_FORMAT=MLN","Sort=A","Dates=H","DateFormat=P","Fill=—","Direction=H","UseDPDF=Y")</f>
        <v>—</v>
      </c>
      <c r="Z71" s="13" t="str" cm="1">
        <f t="array" ref="Z71">_xll.BDH("NUE US Equity","BS_CURR_RENTAL_EXPENSE","FQ4 2024","FQ4 2024","Currency=USD","Period=FQ","BEST_FPERIOD_OVERRIDE=FQ","FILING_STATUS=MR","SCALING_FORMAT=MLN","Sort=A","Dates=H","DateFormat=P","Fill=—","Direction=H","UseDPDF=Y")</f>
        <v>—</v>
      </c>
      <c r="AA71" s="13" t="str" cm="1">
        <f t="array" ref="AA71">_xll.BDH("NUE US Equity","BS_CURR_RENTAL_EXPENSE","FQ1 2025","FQ1 2025","Currency=USD","Period=FQ","BEST_FPERIOD_OVERRIDE=FQ","FILING_STATUS=MR","SCALING_FORMAT=MLN","Sort=A","Dates=H","DateFormat=P","Fill=—","Direction=H","UseDPDF=Y")</f>
        <v>—</v>
      </c>
      <c r="AB71" s="13" t="str" cm="1">
        <f t="array" ref="AB71">_xll.BDH("NUE US Equity","BS_CURR_RENTAL_EXPENSE","FQ2 2025","FQ2 2025","Currency=USD","Period=FQ","BEST_FPERIOD_OVERRIDE=FQ","FILING_STATUS=MR","SCALING_FORMAT=MLN","Sort=A","Dates=H","DateFormat=P","Fill=—","Direction=H","UseDPDF=Y")</f>
        <v>—</v>
      </c>
      <c r="AC71" s="13" t="str" cm="1">
        <f t="array" ref="AC71">_xll.BDH("NUE US Equity","BS_CURR_RENTAL_EXPENSE","FQ3 2025","FQ3 2025","Currency=USD","Period=FQ","BEST_FPERIOD_OVERRIDE=FQ","FILING_STATUS=MR","SCALING_FORMAT=MLN","Sort=A","Dates=H","DateFormat=P","Fill=—","Direction=H","UseDPDF=Y")</f>
        <v>—</v>
      </c>
      <c r="AD71" s="13" t="str" cm="1">
        <f t="array" ref="AD71">_xll.BDH("NUE US Equity","BS_CURR_RENTAL_EXPENSE","FQ4 2025","FQ4 2025","Currency=USD","Period=FQ","BEST_FPERIOD_OVERRIDE=FQ","FILING_STATUS=MR","SCALING_FORMAT=MLN","Sort=A","Dates=H","DateFormat=P","Fill=—","Direction=H","UseDPDF=Y")</f>
        <v>—</v>
      </c>
      <c r="AE71" s="13"/>
      <c r="AF71" s="13"/>
    </row>
    <row r="72" spans="1:32" x14ac:dyDescent="0.25">
      <c r="A72" s="7" t="s">
        <v>182</v>
      </c>
      <c r="B72" s="7"/>
      <c r="C72" s="7" t="s">
        <v>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2026-02-19T01:57:01Z</dcterms:modified>
</cp:coreProperties>
</file>