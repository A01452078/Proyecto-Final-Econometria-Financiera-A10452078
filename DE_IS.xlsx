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73D849B3-C2D8-4633-8DCD-53E022FC1B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BG Adjust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46" i="2" l="1" a="1"/>
  <c r="AB35" i="2" a="1"/>
  <c r="D34" i="2" a="1"/>
  <c r="P43" i="2" a="1"/>
  <c r="G58" i="2" a="1"/>
  <c r="H43" i="2" a="1"/>
  <c r="S17" i="2" a="1"/>
  <c r="S19" i="2" a="1"/>
  <c r="S23" i="2" a="1"/>
  <c r="T43" i="2" a="1"/>
  <c r="T35" i="2" a="1"/>
  <c r="S41" i="2" a="1"/>
  <c r="G34" i="2" a="1"/>
  <c r="K43" i="2" a="1"/>
  <c r="G9" i="2" a="1"/>
  <c r="G12" i="2" a="1"/>
  <c r="G10" i="2" a="1"/>
  <c r="G66" i="2" a="1"/>
  <c r="V53" i="2" a="1"/>
  <c r="H53" i="2" a="1"/>
  <c r="C34" i="2" a="1"/>
  <c r="O34" i="2" a="1"/>
  <c r="W46" i="2" a="1"/>
  <c r="AA42" i="2" a="1"/>
  <c r="W54" i="2" a="1"/>
  <c r="W59" i="2" a="1"/>
  <c r="G59" i="2" a="1"/>
  <c r="AB36" i="2" a="1"/>
  <c r="D35" i="2" a="1"/>
  <c r="P36" i="2" a="1"/>
  <c r="H34" i="2" a="1"/>
  <c r="S66" i="2" a="1"/>
  <c r="S21" i="2" a="1"/>
  <c r="S42" i="2" a="1"/>
  <c r="G46" i="2" a="1"/>
  <c r="G25" i="2" a="1"/>
  <c r="G23" i="2" a="1"/>
  <c r="G67" i="2" a="1"/>
  <c r="C36" i="2" a="1"/>
  <c r="W35" i="2" a="1"/>
  <c r="W72" i="2" a="1"/>
  <c r="G54" i="2" a="1"/>
  <c r="D43" i="2" a="1"/>
  <c r="P46" i="2" a="1"/>
  <c r="S6" i="2" a="1"/>
  <c r="S7" i="2" a="1"/>
  <c r="T58" i="2" a="1"/>
  <c r="G20" i="2" a="1"/>
  <c r="U53" i="2" a="1"/>
  <c r="C41" i="2" a="1"/>
  <c r="AA35" i="2" a="1"/>
  <c r="C42" i="2" a="1"/>
  <c r="AA43" i="2" a="1"/>
  <c r="W55" i="2" a="1"/>
  <c r="S24" i="2" a="1"/>
  <c r="G41" i="2" a="1"/>
  <c r="O46" i="2" a="1"/>
  <c r="H46" i="2" a="1"/>
  <c r="G43" i="2" a="1"/>
  <c r="G19" i="2" a="1"/>
  <c r="O42" i="2" a="1"/>
  <c r="G55" i="2" a="1"/>
  <c r="W41" i="2" a="1"/>
  <c r="O41" i="2" a="1"/>
  <c r="S10" i="2" a="1"/>
  <c r="G14" i="2" a="1"/>
  <c r="AA34" i="2" a="1"/>
  <c r="C46" i="2" a="1"/>
  <c r="S43" i="2" a="1"/>
  <c r="G24" i="2" a="1"/>
  <c r="W42" i="2" a="1"/>
  <c r="G13" i="2" a="1"/>
  <c r="G72" i="2" a="1"/>
  <c r="S18" i="2" a="1"/>
  <c r="G6" i="2" a="1"/>
  <c r="AA41" i="2" a="1"/>
  <c r="P34" i="2" a="1"/>
  <c r="S11" i="2" a="1"/>
  <c r="S48" i="2" a="1"/>
  <c r="S36" i="2" a="1"/>
  <c r="G36" i="2" a="1"/>
  <c r="G48" i="2" a="1"/>
  <c r="G7" i="2" a="1"/>
  <c r="O43" i="2" a="1"/>
  <c r="W36" i="2" a="1"/>
  <c r="H41" i="2" a="1"/>
  <c r="S46" i="2" a="1"/>
  <c r="J58" i="2" a="1"/>
  <c r="AB42" i="2" a="1"/>
  <c r="D42" i="2" a="1"/>
  <c r="S53" i="2" a="1"/>
  <c r="H35" i="2" a="1"/>
  <c r="S12" i="2" a="1"/>
  <c r="S13" i="2" a="1"/>
  <c r="T41" i="2" a="1"/>
  <c r="T53" i="2" a="1"/>
  <c r="K46" i="2" a="1"/>
  <c r="G64" i="2" a="1"/>
  <c r="O35" i="2" a="1"/>
  <c r="G60" i="2" a="1"/>
  <c r="S22" i="2" a="1"/>
  <c r="T46" i="2" a="1"/>
  <c r="H58" i="2" a="1"/>
  <c r="H42" i="2" a="1"/>
  <c r="S20" i="2" a="1"/>
  <c r="T36" i="2" a="1"/>
  <c r="S35" i="2" a="1"/>
  <c r="G42" i="2" a="1"/>
  <c r="G22" i="2" a="1"/>
  <c r="G15" i="2" a="1"/>
  <c r="J53" i="2" a="1"/>
  <c r="W43" i="2" a="1"/>
  <c r="D41" i="2" a="1"/>
  <c r="K36" i="2" a="1"/>
  <c r="W57" i="2" a="1"/>
  <c r="AB34" i="2" a="1"/>
  <c r="D46" i="2" a="1"/>
  <c r="P41" i="2" a="1"/>
  <c r="P42" i="2" a="1"/>
  <c r="S15" i="2" a="1"/>
  <c r="S25" i="2" a="1"/>
  <c r="S14" i="2" a="1"/>
  <c r="G35" i="2" a="1"/>
  <c r="K34" i="2" a="1"/>
  <c r="G17" i="2" a="1"/>
  <c r="I53" i="2" a="1"/>
  <c r="C35" i="2" a="1"/>
  <c r="P35" i="2" a="1"/>
  <c r="G21" i="2" a="1"/>
  <c r="G52" i="2" a="1"/>
  <c r="AB43" i="2" a="1"/>
  <c r="I58" i="2" a="1"/>
  <c r="D36" i="2" a="1"/>
  <c r="H36" i="2" a="1"/>
  <c r="S67" i="2" a="1"/>
  <c r="T34" i="2" a="1"/>
  <c r="S34" i="2" a="1"/>
  <c r="K41" i="2" a="1"/>
  <c r="G18" i="2" a="1"/>
  <c r="V58" i="2" a="1"/>
  <c r="O36" i="2" a="1"/>
  <c r="AA36" i="2" a="1"/>
  <c r="G57" i="2" a="1"/>
  <c r="AB41" i="2" a="1"/>
  <c r="S58" i="2" a="1"/>
  <c r="S64" i="2" a="1"/>
  <c r="S9" i="2" a="1"/>
  <c r="T42" i="2" a="1"/>
  <c r="K35" i="2" a="1"/>
  <c r="G11" i="2" a="1"/>
  <c r="C43" i="2" a="1"/>
  <c r="W60" i="2" a="1"/>
  <c r="U58" i="2" a="1"/>
  <c r="W52" i="2" a="1"/>
  <c r="AA46" i="2" a="1"/>
  <c r="G53" i="2" a="1"/>
  <c r="K42" i="2" a="1"/>
  <c r="W34" i="2" a="1"/>
  <c r="K24" i="2" a="1"/>
  <c r="K15" i="2" a="1"/>
  <c r="K25" i="2" a="1"/>
  <c r="K23" i="2" a="1"/>
  <c r="AA19" i="2" a="1"/>
  <c r="AA12" i="2" a="1"/>
  <c r="AA18" i="2" a="1"/>
  <c r="AA24" i="2" a="1"/>
  <c r="C13" i="2" a="1"/>
  <c r="C15" i="2" a="1"/>
  <c r="C21" i="2" a="1"/>
  <c r="C66" i="2" a="1"/>
  <c r="O64" i="2" a="1"/>
  <c r="O10" i="2" a="1"/>
  <c r="O18" i="2" a="1"/>
  <c r="O48" i="2" a="1"/>
  <c r="K59" i="2" a="1"/>
  <c r="W6" i="2" a="1"/>
  <c r="W19" i="2" a="1"/>
  <c r="W11" i="2" a="1"/>
  <c r="W9" i="2" a="1"/>
  <c r="S72" i="2" a="1"/>
  <c r="AA57" i="2" a="1"/>
  <c r="AA60" i="2" a="1"/>
  <c r="AA68" i="2" a="1"/>
  <c r="K65" i="2" a="1"/>
  <c r="S70" i="2" a="1"/>
  <c r="W69" i="2" a="1"/>
  <c r="O59" i="2" a="1"/>
  <c r="O68" i="2" a="1"/>
  <c r="O27" i="2" a="1"/>
  <c r="O74" i="2" a="1"/>
  <c r="O40" i="2" a="1"/>
  <c r="O32" i="2" a="1"/>
  <c r="G31" i="2" a="1"/>
  <c r="G38" i="2" a="1"/>
  <c r="G30" i="2" a="1"/>
  <c r="K31" i="2" a="1"/>
  <c r="K28" i="2" a="1"/>
  <c r="K37" i="2" a="1"/>
  <c r="K32" i="2" a="1"/>
  <c r="AA27" i="2" a="1"/>
  <c r="AA30" i="2" a="1"/>
  <c r="AA16" i="2" a="1"/>
  <c r="W27" i="2" a="1"/>
  <c r="W29" i="2" a="1"/>
  <c r="W38" i="2" a="1"/>
  <c r="W26" i="2" a="1"/>
  <c r="H14" i="2" a="1"/>
  <c r="H15" i="2" a="1"/>
  <c r="H20" i="2" a="1"/>
  <c r="H23" i="2" a="1"/>
  <c r="C49" i="2" a="1"/>
  <c r="C45" i="2" a="1"/>
  <c r="C39" i="2" a="1"/>
  <c r="C37" i="2" a="1"/>
  <c r="T48" i="2" a="1"/>
  <c r="T22" i="2" a="1"/>
  <c r="T19" i="2" a="1"/>
  <c r="S50" i="2" a="1"/>
  <c r="S74" i="2" a="1"/>
  <c r="S27" i="2" a="1"/>
  <c r="S75" i="2" a="1"/>
  <c r="C60" i="2" a="1"/>
  <c r="AB18" i="2" a="1"/>
  <c r="AB25" i="2" a="1"/>
  <c r="AB12" i="2" a="1"/>
  <c r="AB20" i="2" a="1"/>
  <c r="P7" i="2" a="1"/>
  <c r="P66" i="2" a="1"/>
  <c r="P67" i="2" a="1"/>
  <c r="L34" i="2" a="1"/>
  <c r="D53" i="2" a="1"/>
  <c r="D25" i="2" a="1"/>
  <c r="D15" i="2" a="1"/>
  <c r="D66" i="2" a="1"/>
  <c r="P58" i="2" a="1"/>
  <c r="X35" i="2" a="1"/>
  <c r="X59" i="2" a="1"/>
  <c r="X23" i="2" a="1"/>
  <c r="X11" i="2" a="1"/>
  <c r="X25" i="2" a="1"/>
  <c r="X10" i="2" a="1"/>
  <c r="K66" i="2" a="1"/>
  <c r="K13" i="2" a="1"/>
  <c r="K18" i="2" a="1"/>
  <c r="K12" i="2" a="1"/>
  <c r="AA20" i="2" a="1"/>
  <c r="AA21" i="2" a="1"/>
  <c r="AA13" i="2" a="1"/>
  <c r="AA23" i="2" a="1"/>
  <c r="C6" i="2" a="1"/>
  <c r="C17" i="2" a="1"/>
  <c r="C67" i="2" a="1"/>
  <c r="C19" i="2" a="1"/>
  <c r="O25" i="2" a="1"/>
  <c r="O12" i="2" a="1"/>
  <c r="O22" i="2" a="1"/>
  <c r="O9" i="2" a="1"/>
  <c r="K54" i="2" a="1"/>
  <c r="W15" i="2" a="1"/>
  <c r="W21" i="2" a="1"/>
  <c r="W23" i="2" a="1"/>
  <c r="W13" i="2" a="1"/>
  <c r="S54" i="2" a="1"/>
  <c r="AA55" i="2" a="1"/>
  <c r="W58" i="2" a="1"/>
  <c r="AA70" i="2" a="1"/>
  <c r="C70" i="2" a="1"/>
  <c r="S69" i="2" a="1"/>
  <c r="W65" i="2" a="1"/>
  <c r="K20" i="2" a="1"/>
  <c r="K64" i="2" a="1"/>
  <c r="K19" i="2" a="1"/>
  <c r="K10" i="2" a="1"/>
  <c r="AA25" i="2" a="1"/>
  <c r="AA15" i="2" a="1"/>
  <c r="AA7" i="2" a="1"/>
  <c r="O53" i="2" a="1"/>
  <c r="C22" i="2" a="1"/>
  <c r="C25" i="2" a="1"/>
  <c r="C7" i="2" a="1"/>
  <c r="K58" i="2" a="1"/>
  <c r="O7" i="2" a="1"/>
  <c r="O67" i="2" a="1"/>
  <c r="O24" i="2" a="1"/>
  <c r="K57" i="2" a="1"/>
  <c r="K55" i="2" a="1"/>
  <c r="W67" i="2" a="1"/>
  <c r="W20" i="2" a="1"/>
  <c r="W64" i="2" a="1"/>
  <c r="W18" i="2" a="1"/>
  <c r="S59" i="2" a="1"/>
  <c r="AA52" i="2" a="1"/>
  <c r="W53" i="2" a="1"/>
  <c r="K69" i="2" a="1"/>
  <c r="C68" i="2" a="1"/>
  <c r="S68" i="2" a="1"/>
  <c r="W71" i="2" a="1"/>
  <c r="O72" i="2" a="1"/>
  <c r="O70" i="2" a="1"/>
  <c r="O8" i="2" a="1"/>
  <c r="O44" i="2" a="1"/>
  <c r="O26" i="2" a="1"/>
  <c r="G40" i="2" a="1"/>
  <c r="G45" i="2" a="1"/>
  <c r="G8" i="2" a="1"/>
  <c r="G37" i="2" a="1"/>
  <c r="K14" i="2" a="1"/>
  <c r="K11" i="2" a="1"/>
  <c r="K21" i="2" a="1"/>
  <c r="K17" i="2" a="1"/>
  <c r="AA64" i="2" a="1"/>
  <c r="AA11" i="2" a="1"/>
  <c r="AA10" i="2" a="1"/>
  <c r="O58" i="2" a="1"/>
  <c r="C24" i="2" a="1"/>
  <c r="C23" i="2" a="1"/>
  <c r="C48" i="2" a="1"/>
  <c r="K53" i="2" a="1"/>
  <c r="O6" i="2" a="1"/>
  <c r="O14" i="2" a="1"/>
  <c r="O15" i="2" a="1"/>
  <c r="K72" i="2" a="1"/>
  <c r="C53" i="2" a="1"/>
  <c r="W17" i="2" a="1"/>
  <c r="W12" i="2" a="1"/>
  <c r="W48" i="2" a="1"/>
  <c r="K7" i="2" a="1"/>
  <c r="K67" i="2" a="1"/>
  <c r="K68" i="2" a="1"/>
  <c r="S65" i="2" a="1"/>
  <c r="AA29" i="2" a="1"/>
  <c r="AA26" i="2" a="1"/>
  <c r="W8" i="2" a="1"/>
  <c r="W32" i="2" a="1"/>
  <c r="G69" i="2" a="1"/>
  <c r="C33" i="2" a="1"/>
  <c r="C32" i="2" a="1"/>
  <c r="T7" i="2" a="1"/>
  <c r="T24" i="2" a="1"/>
  <c r="S38" i="2" a="1"/>
  <c r="AB10" i="2" a="1"/>
  <c r="AB21" i="2" a="1"/>
  <c r="P13" i="2" a="1"/>
  <c r="P22" i="2" a="1"/>
  <c r="L42" i="2" a="1"/>
  <c r="X46" i="2" a="1"/>
  <c r="X60" i="2" a="1"/>
  <c r="X66" i="2" a="1"/>
  <c r="X17" i="2" a="1"/>
  <c r="H59" i="2" a="1"/>
  <c r="T16" i="2" a="1"/>
  <c r="T28" i="2" a="1"/>
  <c r="T75" i="2" a="1"/>
  <c r="T38" i="2" a="1"/>
  <c r="L11" i="2" a="1"/>
  <c r="L15" i="2" a="1"/>
  <c r="L17" i="2" a="1"/>
  <c r="L25" i="2" a="1"/>
  <c r="H32" i="2" a="1"/>
  <c r="H74" i="2" a="1"/>
  <c r="H38" i="2" a="1"/>
  <c r="T57" i="2" a="1"/>
  <c r="P70" i="2" a="1"/>
  <c r="K48" i="2" a="1"/>
  <c r="AA14" i="2" a="1"/>
  <c r="C14" i="2" a="1"/>
  <c r="C10" i="2" a="1"/>
  <c r="O66" i="2" a="1"/>
  <c r="C58" i="2" a="1"/>
  <c r="W25" i="2" a="1"/>
  <c r="AA58" i="2" a="1"/>
  <c r="O71" i="2" a="1"/>
  <c r="O16" i="2" a="1"/>
  <c r="O49" i="2" a="1"/>
  <c r="G50" i="2" a="1"/>
  <c r="K40" i="2" a="1"/>
  <c r="K26" i="2" a="1"/>
  <c r="AA40" i="2" a="1"/>
  <c r="AA44" i="2" a="1"/>
  <c r="G71" i="2" a="1"/>
  <c r="H21" i="2" a="1"/>
  <c r="H67" i="2" a="1"/>
  <c r="C26" i="2" a="1"/>
  <c r="C31" i="2" a="1"/>
  <c r="S33" i="2" a="1"/>
  <c r="S73" i="2" a="1"/>
  <c r="C52" i="2" a="1"/>
  <c r="AB66" i="2" a="1"/>
  <c r="AB17" i="2" a="1"/>
  <c r="L35" i="2" a="1"/>
  <c r="D19" i="2" a="1"/>
  <c r="D12" i="2" a="1"/>
  <c r="X42" i="2" a="1"/>
  <c r="X72" i="2" a="1"/>
  <c r="H54" i="2" a="1"/>
  <c r="L52" i="2" a="1"/>
  <c r="T54" i="2" a="1"/>
  <c r="P68" i="2" a="1"/>
  <c r="C64" i="2" a="1"/>
  <c r="W66" i="2" a="1"/>
  <c r="O50" i="2" a="1"/>
  <c r="G73" i="2" a="1"/>
  <c r="W30" i="2" a="1"/>
  <c r="C8" i="2" a="1"/>
  <c r="AB22" i="2" a="1"/>
  <c r="D20" i="2" a="1"/>
  <c r="X21" i="2" a="1"/>
  <c r="S55" i="2" a="1"/>
  <c r="AA49" i="2" a="1"/>
  <c r="H66" i="2" a="1"/>
  <c r="S30" i="2" a="1"/>
  <c r="D14" i="2" a="1"/>
  <c r="T26" i="2" a="1"/>
  <c r="L12" i="2" a="1"/>
  <c r="H45" i="2" a="1"/>
  <c r="P71" i="2" a="1"/>
  <c r="G74" i="2" a="1"/>
  <c r="T12" i="2" a="1"/>
  <c r="P15" i="2" a="1"/>
  <c r="AB53" i="2" a="1"/>
  <c r="D18" i="2" a="1"/>
  <c r="L60" i="2" a="1"/>
  <c r="L7" i="2" a="1"/>
  <c r="T55" i="2" a="1"/>
  <c r="K52" i="2" a="1"/>
  <c r="S57" i="2" a="1"/>
  <c r="G32" i="2" a="1"/>
  <c r="AA72" i="2" a="1"/>
  <c r="K71" i="2" a="1"/>
  <c r="W70" i="2" a="1"/>
  <c r="O69" i="2" a="1"/>
  <c r="O73" i="2" a="1"/>
  <c r="G49" i="2" a="1"/>
  <c r="G27" i="2" a="1"/>
  <c r="K39" i="2" a="1"/>
  <c r="AA50" i="2" a="1"/>
  <c r="W73" i="2" a="1"/>
  <c r="W74" i="2" a="1"/>
  <c r="G65" i="2" a="1"/>
  <c r="H18" i="2" a="1"/>
  <c r="C74" i="2" a="1"/>
  <c r="T23" i="2" a="1"/>
  <c r="T11" i="2" a="1"/>
  <c r="S16" i="2" a="1"/>
  <c r="S45" i="2" a="1"/>
  <c r="AB67" i="2" a="1"/>
  <c r="P6" i="2" a="1"/>
  <c r="P23" i="2" a="1"/>
  <c r="L36" i="2" a="1"/>
  <c r="D24" i="2" a="1"/>
  <c r="X55" i="2" a="1"/>
  <c r="X48" i="2" a="1"/>
  <c r="X15" i="2" a="1"/>
  <c r="H52" i="2" a="1"/>
  <c r="T40" i="2" a="1"/>
  <c r="T73" i="2" a="1"/>
  <c r="T45" i="2" a="1"/>
  <c r="T37" i="2" a="1"/>
  <c r="L23" i="2" a="1"/>
  <c r="L22" i="2" a="1"/>
  <c r="L21" i="2" a="1"/>
  <c r="H8" i="2" a="1"/>
  <c r="H27" i="2" a="1"/>
  <c r="H40" i="2" a="1"/>
  <c r="H75" i="2" a="1"/>
  <c r="P65" i="2" a="1"/>
  <c r="AA17" i="2" a="1"/>
  <c r="O57" i="2" a="1"/>
  <c r="K50" i="2" a="1"/>
  <c r="W37" i="2" a="1"/>
  <c r="C29" i="2" a="1"/>
  <c r="C55" i="2" a="1"/>
  <c r="P24" i="2" a="1"/>
  <c r="X67" i="2" a="1"/>
  <c r="K33" i="2" a="1"/>
  <c r="G68" i="2" a="1"/>
  <c r="C16" i="2" a="1"/>
  <c r="AB9" i="2" a="1"/>
  <c r="L46" i="2" a="1"/>
  <c r="T31" i="2" a="1"/>
  <c r="L18" i="2" a="1"/>
  <c r="H33" i="2" a="1"/>
  <c r="C73" i="2" a="1"/>
  <c r="P14" i="2" a="1"/>
  <c r="X43" i="2" a="1"/>
  <c r="L59" i="2" a="1"/>
  <c r="D11" i="2" a="1"/>
  <c r="X64" i="2" a="1"/>
  <c r="T74" i="2" a="1"/>
  <c r="H30" i="2" a="1"/>
  <c r="O17" i="2" a="1"/>
  <c r="C71" i="2" a="1"/>
  <c r="K74" i="2" a="1"/>
  <c r="K22" i="2" a="1"/>
  <c r="AA66" i="2" a="1"/>
  <c r="C18" i="2" a="1"/>
  <c r="C11" i="2" a="1"/>
  <c r="O20" i="2" a="1"/>
  <c r="W10" i="2" a="1"/>
  <c r="W22" i="2" a="1"/>
  <c r="W68" i="2" a="1"/>
  <c r="O65" i="2" a="1"/>
  <c r="O45" i="2" a="1"/>
  <c r="G39" i="2" a="1"/>
  <c r="G28" i="2" a="1"/>
  <c r="K73" i="2" a="1"/>
  <c r="K44" i="2" a="1"/>
  <c r="AA73" i="2" a="1"/>
  <c r="AA38" i="2" a="1"/>
  <c r="W75" i="2" a="1"/>
  <c r="H17" i="2" a="1"/>
  <c r="H25" i="2" a="1"/>
  <c r="C40" i="2" a="1"/>
  <c r="C44" i="2" a="1"/>
  <c r="T17" i="2" a="1"/>
  <c r="S28" i="2" a="1"/>
  <c r="C59" i="2" a="1"/>
  <c r="AB14" i="2" a="1"/>
  <c r="AB15" i="2" a="1"/>
  <c r="P17" i="2" a="1"/>
  <c r="D21" i="2" a="1"/>
  <c r="D7" i="2" a="1"/>
  <c r="X36" i="2" a="1"/>
  <c r="X52" i="2" a="1"/>
  <c r="X12" i="2" a="1"/>
  <c r="H72" i="2" a="1"/>
  <c r="L55" i="2" a="1"/>
  <c r="H39" i="2" a="1"/>
  <c r="T72" i="2" a="1"/>
  <c r="O13" i="2" a="1"/>
  <c r="O21" i="2" a="1"/>
  <c r="O28" i="2" a="1"/>
  <c r="AA28" i="2" a="1"/>
  <c r="H9" i="2" a="1"/>
  <c r="T10" i="2" a="1"/>
  <c r="P64" i="2" a="1"/>
  <c r="X34" i="2" a="1"/>
  <c r="H60" i="2" a="1"/>
  <c r="K38" i="2" a="1"/>
  <c r="W31" i="2" a="1"/>
  <c r="T15" i="2" a="1"/>
  <c r="P21" i="2" a="1"/>
  <c r="X41" i="2" a="1"/>
  <c r="X53" i="2" a="1"/>
  <c r="L10" i="2" a="1"/>
  <c r="H37" i="2" a="1"/>
  <c r="T52" i="2" a="1"/>
  <c r="AA31" i="2" a="1"/>
  <c r="T25" i="2" a="1"/>
  <c r="AB48" i="2" a="1"/>
  <c r="X22" i="2" a="1"/>
  <c r="D23" i="2" a="1"/>
  <c r="L53" i="2" a="1"/>
  <c r="L9" i="2" a="1"/>
  <c r="H44" i="2" a="1"/>
  <c r="AA67" i="2" a="1"/>
  <c r="O54" i="2" a="1"/>
  <c r="S60" i="2" a="1"/>
  <c r="AA54" i="2" a="1"/>
  <c r="K70" i="2" a="1"/>
  <c r="K49" i="2" a="1"/>
  <c r="K30" i="2" a="1"/>
  <c r="W49" i="2" a="1"/>
  <c r="W50" i="2" a="1"/>
  <c r="G70" i="2" a="1"/>
  <c r="H19" i="2" a="1"/>
  <c r="H6" i="2" a="1"/>
  <c r="T6" i="2" a="1"/>
  <c r="T66" i="2" a="1"/>
  <c r="S44" i="2" a="1"/>
  <c r="S31" i="2" a="1"/>
  <c r="C72" i="2" a="1"/>
  <c r="P20" i="2" a="1"/>
  <c r="P48" i="2" a="1"/>
  <c r="L43" i="2" a="1"/>
  <c r="D17" i="2" a="1"/>
  <c r="D9" i="2" a="1"/>
  <c r="X18" i="2" a="1"/>
  <c r="X20" i="2" a="1"/>
  <c r="X58" i="2" a="1"/>
  <c r="T27" i="2" a="1"/>
  <c r="T39" i="2" a="1"/>
  <c r="T8" i="2" a="1"/>
  <c r="T30" i="2" a="1"/>
  <c r="L14" i="2" a="1"/>
  <c r="L6" i="2" a="1"/>
  <c r="L66" i="2" a="1"/>
  <c r="H28" i="2" a="1"/>
  <c r="H26" i="2" a="1"/>
  <c r="H49" i="2" a="1"/>
  <c r="K6" i="2" a="1"/>
  <c r="C65" i="2" a="1"/>
  <c r="G33" i="2" a="1"/>
  <c r="AA8" i="2" a="1"/>
  <c r="T67" i="2" a="1"/>
  <c r="AB11" i="2" a="1"/>
  <c r="X24" i="2" a="1"/>
  <c r="AA59" i="2" a="1"/>
  <c r="H13" i="2" a="1"/>
  <c r="S29" i="2" a="1"/>
  <c r="AB6" i="2" a="1"/>
  <c r="D67" i="2" a="1"/>
  <c r="AB58" i="2" a="1"/>
  <c r="T49" i="2" a="1"/>
  <c r="L48" i="2" a="1"/>
  <c r="H29" i="2" a="1"/>
  <c r="AA75" i="2" a="1"/>
  <c r="C30" i="2" a="1"/>
  <c r="AB7" i="2" a="1"/>
  <c r="X6" i="2" a="1"/>
  <c r="P10" i="2" a="1"/>
  <c r="T29" i="2" a="1"/>
  <c r="L20" i="2" a="1"/>
  <c r="AA6" i="2" a="1"/>
  <c r="AA65" i="2" a="1"/>
  <c r="H73" i="2" a="1"/>
  <c r="L13" i="2" a="1"/>
  <c r="K9" i="2" a="1"/>
  <c r="AA48" i="2" a="1"/>
  <c r="C9" i="2" a="1"/>
  <c r="O23" i="2" a="1"/>
  <c r="O11" i="2" a="1"/>
  <c r="W14" i="2" a="1"/>
  <c r="AA71" i="2" a="1"/>
  <c r="C69" i="2" a="1"/>
  <c r="O55" i="2" a="1"/>
  <c r="O38" i="2" a="1"/>
  <c r="O37" i="2" a="1"/>
  <c r="G16" i="2" a="1"/>
  <c r="W33" i="2" a="1"/>
  <c r="W45" i="2" a="1"/>
  <c r="H12" i="2" a="1"/>
  <c r="S37" i="2" a="1"/>
  <c r="D58" i="2" a="1"/>
  <c r="T59" i="2" a="1"/>
  <c r="W24" i="2" a="1"/>
  <c r="O29" i="2" a="1"/>
  <c r="S52" i="2" a="1"/>
  <c r="O52" i="2" a="1"/>
  <c r="O30" i="2" a="1"/>
  <c r="O75" i="2" a="1"/>
  <c r="G75" i="2" a="1"/>
  <c r="G44" i="2" a="1"/>
  <c r="K29" i="2" a="1"/>
  <c r="K8" i="2" a="1"/>
  <c r="AA37" i="2" a="1"/>
  <c r="AA33" i="2" a="1"/>
  <c r="H24" i="2" a="1"/>
  <c r="H7" i="2" a="1"/>
  <c r="C50" i="2" a="1"/>
  <c r="C28" i="2" a="1"/>
  <c r="T64" i="2" a="1"/>
  <c r="S8" i="2" a="1"/>
  <c r="S49" i="2" a="1"/>
  <c r="AB24" i="2" a="1"/>
  <c r="AB64" i="2" a="1"/>
  <c r="X54" i="2" a="1"/>
  <c r="T32" i="2" a="1"/>
  <c r="C12" i="2" a="1"/>
  <c r="G26" i="2" a="1"/>
  <c r="AA9" i="2" a="1"/>
  <c r="AA22" i="2" a="1"/>
  <c r="C20" i="2" a="1"/>
  <c r="O19" i="2" a="1"/>
  <c r="K60" i="2" a="1"/>
  <c r="W7" i="2" a="1"/>
  <c r="AA53" i="2" a="1"/>
  <c r="AA69" i="2" a="1"/>
  <c r="O60" i="2" a="1"/>
  <c r="O33" i="2" a="1"/>
  <c r="O31" i="2" a="1"/>
  <c r="G29" i="2" a="1"/>
  <c r="K75" i="2" a="1"/>
  <c r="K27" i="2" a="1"/>
  <c r="AA39" i="2" a="1"/>
  <c r="W39" i="2" a="1"/>
  <c r="W44" i="2" a="1"/>
  <c r="H11" i="2" a="1"/>
  <c r="H22" i="2" a="1"/>
  <c r="C75" i="2" a="1"/>
  <c r="T21" i="2" a="1"/>
  <c r="S39" i="2" a="1"/>
  <c r="S40" i="2" a="1"/>
  <c r="C54" i="2" a="1"/>
  <c r="AB19" i="2" a="1"/>
  <c r="P19" i="2" a="1"/>
  <c r="L41" i="2" a="1"/>
  <c r="D48" i="2" a="1"/>
  <c r="D6" i="2" a="1"/>
  <c r="P53" i="2" a="1"/>
  <c r="X13" i="2" a="1"/>
  <c r="H57" i="2" a="1"/>
  <c r="L57" i="2" a="1"/>
  <c r="T14" i="2" a="1"/>
  <c r="P18" i="2" a="1"/>
  <c r="X57" i="2" a="1"/>
  <c r="H10" i="2" a="1"/>
  <c r="T13" i="2" a="1"/>
  <c r="P11" i="2" a="1"/>
  <c r="X19" i="2" a="1"/>
  <c r="T33" i="2" a="1"/>
  <c r="L67" i="2" a="1"/>
  <c r="H16" i="2" a="1"/>
  <c r="K16" i="2" a="1"/>
  <c r="P12" i="2" a="1"/>
  <c r="C27" i="2" a="1"/>
  <c r="W16" i="2" a="1"/>
  <c r="T18" i="2" a="1"/>
  <c r="P69" i="2" a="1"/>
  <c r="H48" i="2" a="1"/>
  <c r="S26" i="2" a="1"/>
  <c r="P25" i="2" a="1"/>
  <c r="X7" i="2" a="1"/>
  <c r="H50" i="2" a="1"/>
  <c r="D13" i="2" a="1"/>
  <c r="AA45" i="2" a="1"/>
  <c r="C57" i="2" a="1"/>
  <c r="AA74" i="2" a="1"/>
  <c r="D22" i="2" a="1"/>
  <c r="T50" i="2" a="1"/>
  <c r="AA32" i="2" a="1"/>
  <c r="L54" i="2" a="1"/>
  <c r="D10" i="2" a="1"/>
  <c r="L19" i="2" a="1"/>
  <c r="K45" i="2" a="1"/>
  <c r="H64" i="2" a="1"/>
  <c r="X14" i="2" a="1"/>
  <c r="T44" i="2" a="1"/>
  <c r="L64" i="2" a="1"/>
  <c r="S32" i="2" a="1"/>
  <c r="H55" i="2" a="1"/>
  <c r="C38" i="2" a="1"/>
  <c r="S71" i="2" a="1"/>
  <c r="L72" i="2" a="1"/>
  <c r="L24" i="2" a="1"/>
  <c r="AB23" i="2" a="1"/>
  <c r="T9" i="2" a="1"/>
  <c r="W40" i="2" a="1"/>
  <c r="H31" i="2" a="1"/>
  <c r="W28" i="2" a="1"/>
  <c r="T20" i="2" a="1"/>
  <c r="P9" i="2" a="1"/>
  <c r="X9" i="2" a="1"/>
  <c r="T60" i="2" a="1"/>
  <c r="D64" i="2" a="1"/>
  <c r="O39" i="2" a="1"/>
  <c r="AB13" i="2" a="1"/>
  <c r="L58" i="2" a="1"/>
  <c r="X28" i="2" a="1"/>
  <c r="X27" i="2" a="1"/>
  <c r="X39" i="2" a="1"/>
  <c r="X45" i="2" a="1"/>
  <c r="H65" i="2" a="1"/>
  <c r="L65" i="2" a="1"/>
  <c r="AB71" i="2" a="1"/>
  <c r="D50" i="2" a="1"/>
  <c r="D73" i="2" a="1"/>
  <c r="D26" i="2" a="1"/>
  <c r="D75" i="2" a="1"/>
  <c r="L33" i="2" a="1"/>
  <c r="L73" i="2" a="1"/>
  <c r="L29" i="2" a="1"/>
  <c r="P28" i="2" a="1"/>
  <c r="P40" i="2" a="1"/>
  <c r="P74" i="2" a="1"/>
  <c r="P38" i="2" a="1"/>
  <c r="AB49" i="2" a="1"/>
  <c r="AB28" i="2" a="1"/>
  <c r="AB16" i="2" a="1"/>
  <c r="D59" i="2" a="1"/>
  <c r="P54" i="2" a="1"/>
  <c r="P57" i="2" a="1"/>
  <c r="T70" i="2" a="1"/>
  <c r="AB52" i="2" a="1"/>
  <c r="I19" i="2" a="1"/>
  <c r="I24" i="2" a="1"/>
  <c r="I7" i="2" a="1"/>
  <c r="I18" i="2" a="1"/>
  <c r="M35" i="2" a="1"/>
  <c r="AC41" i="2" a="1"/>
  <c r="U12" i="2" a="1"/>
  <c r="U6" i="2" a="1"/>
  <c r="U21" i="2" a="1"/>
  <c r="U19" i="2" a="1"/>
  <c r="U36" i="2" a="1"/>
  <c r="Q36" i="2" a="1"/>
  <c r="E41" i="2" a="1"/>
  <c r="E34" i="2" a="1"/>
  <c r="I43" i="2" a="1"/>
  <c r="Y43" i="2" a="1"/>
  <c r="Q21" i="2" a="1"/>
  <c r="Q17" i="2" a="1"/>
  <c r="Q19" i="2" a="1"/>
  <c r="Q12" i="2" a="1"/>
  <c r="Y60" i="2" a="1"/>
  <c r="M57" i="2" a="1"/>
  <c r="M17" i="2" a="1"/>
  <c r="U72" i="2" a="1"/>
  <c r="Y67" i="2" a="1"/>
  <c r="X75" i="2" a="1"/>
  <c r="X49" i="2" a="1"/>
  <c r="X8" i="2" a="1"/>
  <c r="X31" i="2" a="1"/>
  <c r="H70" i="2" a="1"/>
  <c r="D69" i="2" a="1"/>
  <c r="AB68" i="2" a="1"/>
  <c r="D38" i="2" a="1"/>
  <c r="D49" i="2" a="1"/>
  <c r="D33" i="2" a="1"/>
  <c r="D16" i="2" a="1"/>
  <c r="L28" i="2" a="1"/>
  <c r="L8" i="2" a="1"/>
  <c r="L75" i="2" a="1"/>
  <c r="P45" i="2" a="1"/>
  <c r="P26" i="2" a="1"/>
  <c r="P29" i="2" a="1"/>
  <c r="P37" i="2" a="1"/>
  <c r="AB45" i="2" a="1"/>
  <c r="AB26" i="2" a="1"/>
  <c r="AB75" i="2" a="1"/>
  <c r="D60" i="2" a="1"/>
  <c r="P59" i="2" a="1"/>
  <c r="X68" i="2" a="1"/>
  <c r="T65" i="2" a="1"/>
  <c r="AB55" i="2" a="1"/>
  <c r="I20" i="2" a="1"/>
  <c r="I48" i="2" a="1"/>
  <c r="I67" i="2" a="1"/>
  <c r="I6" i="2" a="1"/>
  <c r="M43" i="2" a="1"/>
  <c r="AC35" i="2" a="1"/>
  <c r="U13" i="2" a="1"/>
  <c r="U66" i="2" a="1"/>
  <c r="U67" i="2" a="1"/>
  <c r="U7" i="2" a="1"/>
  <c r="U42" i="2" a="1"/>
  <c r="Q41" i="2" a="1"/>
  <c r="E36" i="2" a="1"/>
  <c r="I41" i="2" a="1"/>
  <c r="I36" i="2" a="1"/>
  <c r="Y36" i="2" a="1"/>
  <c r="Q11" i="2" a="1"/>
  <c r="Q14" i="2" a="1"/>
  <c r="Q6" i="2" a="1"/>
  <c r="Q15" i="2" a="1"/>
  <c r="Y55" i="2" a="1"/>
  <c r="Q53" i="2" a="1"/>
  <c r="E49" i="2" a="1"/>
  <c r="E75" i="2" a="1"/>
  <c r="E74" i="2" a="1"/>
  <c r="E27" i="2" a="1"/>
  <c r="M18" i="2" a="1"/>
  <c r="M67" i="2" a="1"/>
  <c r="I55" i="2" a="1"/>
  <c r="I72" i="2" a="1"/>
  <c r="Y10" i="2" a="1"/>
  <c r="I13" i="2" a="1"/>
  <c r="U24" i="2" a="1"/>
  <c r="U20" i="2" a="1"/>
  <c r="Q43" i="2" a="1"/>
  <c r="E42" i="2" a="1"/>
  <c r="Y35" i="2" a="1"/>
  <c r="X29" i="2" a="1"/>
  <c r="X74" i="2" a="1"/>
  <c r="X40" i="2" a="1"/>
  <c r="X37" i="2" a="1"/>
  <c r="L70" i="2" a="1"/>
  <c r="D68" i="2" a="1"/>
  <c r="AB70" i="2" a="1"/>
  <c r="D30" i="2" a="1"/>
  <c r="D39" i="2" a="1"/>
  <c r="D29" i="2" a="1"/>
  <c r="L50" i="2" a="1"/>
  <c r="L45" i="2" a="1"/>
  <c r="L31" i="2" a="1"/>
  <c r="L32" i="2" a="1"/>
  <c r="P49" i="2" a="1"/>
  <c r="P27" i="2" a="1"/>
  <c r="P75" i="2" a="1"/>
  <c r="AB32" i="2" a="1"/>
  <c r="AB33" i="2" a="1"/>
  <c r="AB30" i="2" a="1"/>
  <c r="AB37" i="2" a="1"/>
  <c r="D52" i="2" a="1"/>
  <c r="P55" i="2" a="1"/>
  <c r="X71" i="2" a="1"/>
  <c r="T69" i="2" a="1"/>
  <c r="AB57" i="2" a="1"/>
  <c r="I23" i="2" a="1"/>
  <c r="I64" i="2" a="1"/>
  <c r="I10" i="2" a="1"/>
  <c r="M36" i="2" a="1"/>
  <c r="AC43" i="2" a="1"/>
  <c r="U25" i="2" a="1"/>
  <c r="U23" i="2" a="1"/>
  <c r="U46" i="2" a="1"/>
  <c r="I35" i="2" a="1"/>
  <c r="E30" i="2" a="1"/>
  <c r="M19" i="2" a="1"/>
  <c r="Y23" i="2" a="1"/>
  <c r="Y73" i="2" a="1"/>
  <c r="X33" i="2" a="1"/>
  <c r="X44" i="2" a="1"/>
  <c r="X16" i="2" a="1"/>
  <c r="H71" i="2" a="1"/>
  <c r="L68" i="2" a="1"/>
  <c r="D70" i="2" a="1"/>
  <c r="AB65" i="2" a="1"/>
  <c r="D27" i="2" a="1"/>
  <c r="D8" i="2" a="1"/>
  <c r="D31" i="2" a="1"/>
  <c r="L38" i="2" a="1"/>
  <c r="L49" i="2" a="1"/>
  <c r="L16" i="2" a="1"/>
  <c r="L30" i="2" a="1"/>
  <c r="P39" i="2" a="1"/>
  <c r="P31" i="2" a="1"/>
  <c r="P32" i="2" a="1"/>
  <c r="AB40" i="2" a="1"/>
  <c r="AB50" i="2" a="1"/>
  <c r="AB39" i="2" a="1"/>
  <c r="AB29" i="2" a="1"/>
  <c r="D57" i="2" a="1"/>
  <c r="P72" i="2" a="1"/>
  <c r="X65" i="2" a="1"/>
  <c r="T68" i="2" a="1"/>
  <c r="AB60" i="2" a="1"/>
  <c r="I17" i="2" a="1"/>
  <c r="I14" i="2" a="1"/>
  <c r="I25" i="2" a="1"/>
  <c r="I9" i="2" a="1"/>
  <c r="M34" i="2" a="1"/>
  <c r="AC36" i="2" a="1"/>
  <c r="U18" i="2" a="1"/>
  <c r="U17" i="2" a="1"/>
  <c r="U64" i="2" a="1"/>
  <c r="U48" i="2" a="1"/>
  <c r="U34" i="2" a="1"/>
  <c r="Q46" i="2" a="1"/>
  <c r="E43" i="2" a="1"/>
  <c r="I34" i="2" a="1"/>
  <c r="Y42" i="2" a="1"/>
  <c r="AC58" i="2" a="1"/>
  <c r="Q18" i="2" a="1"/>
  <c r="Q24" i="2" a="1"/>
  <c r="Q48" i="2" a="1"/>
  <c r="E53" i="2" a="1"/>
  <c r="Y72" i="2" a="1"/>
  <c r="M60" i="2" a="1"/>
  <c r="M58" i="2" a="1"/>
  <c r="E33" i="2" a="1"/>
  <c r="E32" i="2" a="1"/>
  <c r="M13" i="2" a="1"/>
  <c r="M64" i="2" a="1"/>
  <c r="M21" i="2" a="1"/>
  <c r="U54" i="2" a="1"/>
  <c r="I59" i="2" a="1"/>
  <c r="Y13" i="2" a="1"/>
  <c r="Y18" i="2" a="1"/>
  <c r="Y11" i="2" a="1"/>
  <c r="Y39" i="2" a="1"/>
  <c r="E31" i="2" a="1"/>
  <c r="M7" i="2" a="1"/>
  <c r="U55" i="2" a="1"/>
  <c r="Y14" i="2" a="1"/>
  <c r="Y21" i="2" a="1"/>
  <c r="Y8" i="2" a="1"/>
  <c r="AC48" i="2" a="1"/>
  <c r="X32" i="2" a="1"/>
  <c r="X73" i="2" a="1"/>
  <c r="X50" i="2" a="1"/>
  <c r="H69" i="2" a="1"/>
  <c r="L71" i="2" a="1"/>
  <c r="D71" i="2" a="1"/>
  <c r="AB69" i="2" a="1"/>
  <c r="D28" i="2" a="1"/>
  <c r="D74" i="2" a="1"/>
  <c r="D32" i="2" a="1"/>
  <c r="L27" i="2" a="1"/>
  <c r="L44" i="2" a="1"/>
  <c r="L74" i="2" a="1"/>
  <c r="L39" i="2" a="1"/>
  <c r="P44" i="2" a="1"/>
  <c r="P30" i="2" a="1"/>
  <c r="P8" i="2" a="1"/>
  <c r="AB27" i="2" a="1"/>
  <c r="AB38" i="2" a="1"/>
  <c r="AB73" i="2" a="1"/>
  <c r="AB8" i="2" a="1"/>
  <c r="D54" i="2" a="1"/>
  <c r="P60" i="2" a="1"/>
  <c r="X69" i="2" a="1"/>
  <c r="T71" i="2" a="1"/>
  <c r="AB54" i="2" a="1"/>
  <c r="I15" i="2" a="1"/>
  <c r="I12" i="2" a="1"/>
  <c r="I66" i="2" a="1"/>
  <c r="M41" i="2" a="1"/>
  <c r="M42" i="2" a="1"/>
  <c r="AC42" i="2" a="1"/>
  <c r="U9" i="2" a="1"/>
  <c r="U15" i="2" a="1"/>
  <c r="U11" i="2" a="1"/>
  <c r="U43" i="2" a="1"/>
  <c r="U35" i="2" a="1"/>
  <c r="Q42" i="2" a="1"/>
  <c r="E46" i="2" a="1"/>
  <c r="I42" i="2" a="1"/>
  <c r="Y41" i="2" a="1"/>
  <c r="AC53" i="2" a="1"/>
  <c r="Q20" i="2" a="1"/>
  <c r="Q66" i="2" a="1"/>
  <c r="Q64" i="2" a="1"/>
  <c r="E58" i="2" a="1"/>
  <c r="Y54" i="2" a="1"/>
  <c r="M54" i="2" a="1"/>
  <c r="M53" i="2" a="1"/>
  <c r="E73" i="2" a="1"/>
  <c r="E40" i="2" a="1"/>
  <c r="M48" i="2" a="1"/>
  <c r="M66" i="2" a="1"/>
  <c r="M24" i="2" a="1"/>
  <c r="I52" i="2" a="1"/>
  <c r="Y20" i="2" a="1"/>
  <c r="Y15" i="2" a="1"/>
  <c r="Y31" i="2" a="1"/>
  <c r="Y75" i="2" a="1"/>
  <c r="Y33" i="2" a="1"/>
  <c r="AC17" i="2" a="1"/>
  <c r="Y44" i="2" a="1"/>
  <c r="AC20" i="2" a="1"/>
  <c r="AC12" i="2" a="1"/>
  <c r="E15" i="2" a="1"/>
  <c r="E22" i="2" a="1"/>
  <c r="X26" i="2" a="1"/>
  <c r="X30" i="2" a="1"/>
  <c r="X38" i="2" a="1"/>
  <c r="H68" i="2" a="1"/>
  <c r="L69" i="2" a="1"/>
  <c r="D65" i="2" a="1"/>
  <c r="D44" i="2" a="1"/>
  <c r="D40" i="2" a="1"/>
  <c r="D37" i="2" a="1"/>
  <c r="D45" i="2" a="1"/>
  <c r="L37" i="2" a="1"/>
  <c r="L26" i="2" a="1"/>
  <c r="L40" i="2" a="1"/>
  <c r="P33" i="2" a="1"/>
  <c r="P16" i="2" a="1"/>
  <c r="P73" i="2" a="1"/>
  <c r="P50" i="2" a="1"/>
  <c r="AB44" i="2" a="1"/>
  <c r="AB31" i="2" a="1"/>
  <c r="AB74" i="2" a="1"/>
  <c r="D72" i="2" a="1"/>
  <c r="D55" i="2" a="1"/>
  <c r="P52" i="2" a="1"/>
  <c r="X70" i="2" a="1"/>
  <c r="AB59" i="2" a="1"/>
  <c r="AB72" i="2" a="1"/>
  <c r="I11" i="2" a="1"/>
  <c r="I21" i="2" a="1"/>
  <c r="I22" i="2" a="1"/>
  <c r="M46" i="2" a="1"/>
  <c r="AC34" i="2" a="1"/>
  <c r="AC46" i="2" a="1"/>
  <c r="U10" i="2" a="1"/>
  <c r="U14" i="2" a="1"/>
  <c r="U22" i="2" a="1"/>
  <c r="U41" i="2" a="1"/>
  <c r="Q35" i="2" a="1"/>
  <c r="Q34" i="2" a="1"/>
  <c r="E35" i="2" a="1"/>
  <c r="I46" i="2" a="1"/>
  <c r="Y46" i="2" a="1"/>
  <c r="Q25" i="2" a="1"/>
  <c r="Q67" i="2" a="1"/>
  <c r="Q13" i="2" a="1"/>
  <c r="Q23" i="2" a="1"/>
  <c r="Y57" i="2" a="1"/>
  <c r="Y59" i="2" a="1"/>
  <c r="M55" i="2" a="1"/>
  <c r="E45" i="2" a="1"/>
  <c r="E44" i="2" a="1"/>
  <c r="E50" i="2" a="1"/>
  <c r="E8" i="2" a="1"/>
  <c r="M22" i="2" a="1"/>
  <c r="M20" i="2" a="1"/>
  <c r="M11" i="2" a="1"/>
  <c r="M9" i="2" a="1"/>
  <c r="U52" i="2" a="1"/>
  <c r="I57" i="2" a="1"/>
  <c r="Y48" i="2" a="1"/>
  <c r="Y64" i="2" a="1"/>
  <c r="Y24" i="2" a="1"/>
  <c r="Y7" i="2" a="1"/>
  <c r="Y30" i="2" a="1"/>
  <c r="Y49" i="2" a="1"/>
  <c r="AC7" i="2" a="1"/>
  <c r="AC24" i="2" a="1"/>
  <c r="E7" i="2" a="1"/>
  <c r="E21" i="2" a="1"/>
  <c r="Q9" i="2" a="1"/>
  <c r="Q58" i="2" a="1"/>
  <c r="M10" i="2" a="1"/>
  <c r="U60" i="2" a="1"/>
  <c r="Y22" i="2" a="1"/>
  <c r="Y38" i="2" a="1"/>
  <c r="AC21" i="2" a="1"/>
  <c r="AC22" i="2" a="1"/>
  <c r="E19" i="2" a="1"/>
  <c r="E10" i="2" a="1"/>
  <c r="AC18" i="2" a="1"/>
  <c r="AC25" i="2" a="1"/>
  <c r="E25" i="2" a="1"/>
  <c r="E24" i="2" a="1"/>
  <c r="Q22" i="2" a="1"/>
  <c r="E26" i="2" a="1"/>
  <c r="M25" i="2" a="1"/>
  <c r="U59" i="2" a="1"/>
  <c r="Y25" i="2" a="1"/>
  <c r="Y29" i="2" a="1"/>
  <c r="AC64" i="2" a="1"/>
  <c r="AC10" i="2" a="1"/>
  <c r="E13" i="2" a="1"/>
  <c r="E23" i="2" a="1"/>
  <c r="E39" i="2" a="1"/>
  <c r="M15" i="2" a="1"/>
  <c r="I60" i="2" a="1"/>
  <c r="Y9" i="2" a="1"/>
  <c r="Y27" i="2" a="1"/>
  <c r="AC67" i="2" a="1"/>
  <c r="Q10" i="2" a="1"/>
  <c r="Y19" i="2" a="1"/>
  <c r="Y28" i="2" a="1"/>
  <c r="E48" i="2" a="1"/>
  <c r="M12" i="2" a="1"/>
  <c r="I54" i="2" a="1"/>
  <c r="E17" i="2" a="1"/>
  <c r="E29" i="2" a="1"/>
  <c r="AC6" i="2" a="1"/>
  <c r="AC15" i="2" a="1"/>
  <c r="Y53" i="2" a="1"/>
  <c r="E64" i="2" a="1"/>
  <c r="M14" i="2" a="1"/>
  <c r="E20" i="2" a="1"/>
  <c r="AC23" i="2" a="1"/>
  <c r="E6" i="2" a="1"/>
  <c r="Y17" i="2" a="1"/>
  <c r="AC19" i="2" a="1"/>
  <c r="AC9" i="2" a="1"/>
  <c r="AC11" i="2" a="1"/>
  <c r="Y16" i="2" a="1"/>
  <c r="Y6" i="2" a="1"/>
  <c r="E38" i="2" a="1"/>
  <c r="E18" i="2" a="1"/>
  <c r="M6" i="2" a="1"/>
  <c r="M52" i="2" a="1"/>
  <c r="M59" i="2" a="1"/>
  <c r="E16" i="2" a="1"/>
  <c r="M23" i="2" a="1"/>
  <c r="Y66" i="2" a="1"/>
  <c r="Y40" i="2" a="1"/>
  <c r="Q7" i="2" a="1"/>
  <c r="Y37" i="2" a="1"/>
  <c r="Y45" i="2" a="1"/>
  <c r="AC66" i="2" a="1"/>
  <c r="E12" i="2" a="1"/>
  <c r="E11" i="2" a="1"/>
  <c r="M72" i="2" a="1"/>
  <c r="E28" i="2" a="1"/>
  <c r="U57" i="2" a="1"/>
  <c r="Y12" i="2" a="1"/>
  <c r="Y50" i="2" a="1"/>
  <c r="AC14" i="2" a="1"/>
  <c r="E9" i="2" a="1"/>
  <c r="E14" i="2" a="1"/>
  <c r="AC13" i="2" a="1"/>
  <c r="E66" i="2" a="1"/>
  <c r="E37" i="2" a="1"/>
  <c r="Y26" i="2" a="1"/>
  <c r="Y52" i="2" a="1"/>
  <c r="Y58" i="2" a="1"/>
  <c r="E67" i="2" a="1"/>
  <c r="Y74" i="2" a="1"/>
  <c r="Y34" i="2" a="1"/>
  <c r="Y32" i="2" a="1"/>
  <c r="AC73" i="2" a="1"/>
  <c r="AC75" i="2" a="1"/>
  <c r="AC39" i="2" a="1"/>
  <c r="AC31" i="2" a="1"/>
  <c r="I50" i="2" a="1"/>
  <c r="I29" i="2" a="1"/>
  <c r="I8" i="2" a="1"/>
  <c r="M26" i="2" a="1"/>
  <c r="M31" i="2" a="1"/>
  <c r="M44" i="2" a="1"/>
  <c r="M50" i="2" a="1"/>
  <c r="M71" i="2" a="1"/>
  <c r="U26" i="2" a="1"/>
  <c r="U50" i="2" a="1"/>
  <c r="U29" i="2" a="1"/>
  <c r="E57" i="2" a="1"/>
  <c r="E65" i="2" a="1"/>
  <c r="U69" i="2" a="1"/>
  <c r="Q70" i="2" a="1"/>
  <c r="Q37" i="2" a="1"/>
  <c r="Q40" i="2" a="1"/>
  <c r="Q39" i="2" a="1"/>
  <c r="AC68" i="2" a="1"/>
  <c r="I70" i="2" a="1"/>
  <c r="Q72" i="2" a="1"/>
  <c r="Y71" i="2" a="1"/>
  <c r="AC59" i="2" a="1"/>
  <c r="Z34" i="2" a="1"/>
  <c r="AD36" i="2" a="1"/>
  <c r="AD35" i="2" a="1"/>
  <c r="V46" i="2" a="1"/>
  <c r="J46" i="2" a="1"/>
  <c r="V24" i="2" a="1"/>
  <c r="V25" i="2" a="1"/>
  <c r="V17" i="2" a="1"/>
  <c r="V23" i="2" a="1"/>
  <c r="R36" i="2" a="1"/>
  <c r="N35" i="2" a="1"/>
  <c r="F34" i="2" a="1"/>
  <c r="R27" i="2" a="1"/>
  <c r="R40" i="2" a="1"/>
  <c r="R50" i="2" a="1"/>
  <c r="R49" i="2" a="1"/>
  <c r="J23" i="2" a="1"/>
  <c r="J11" i="2" a="1"/>
  <c r="J14" i="2" a="1"/>
  <c r="R20" i="2" a="1"/>
  <c r="R6" i="2" a="1"/>
  <c r="R7" i="2" a="1"/>
  <c r="R24" i="2" a="1"/>
  <c r="AD38" i="2" a="1"/>
  <c r="AD8" i="2" a="1"/>
  <c r="AD32" i="2" a="1"/>
  <c r="J44" i="2" a="1"/>
  <c r="J75" i="2" a="1"/>
  <c r="J30" i="2" a="1"/>
  <c r="J26" i="2" a="1"/>
  <c r="Q50" i="2" a="1"/>
  <c r="Q54" i="2" a="1"/>
  <c r="AC52" i="2" a="1"/>
  <c r="AD34" i="2" a="1"/>
  <c r="V41" i="2" a="1"/>
  <c r="V13" i="2" a="1"/>
  <c r="R41" i="2" a="1"/>
  <c r="N46" i="2" a="1"/>
  <c r="R8" i="2" a="1"/>
  <c r="R38" i="2" a="1"/>
  <c r="J10" i="2" a="1"/>
  <c r="AC44" i="2" a="1"/>
  <c r="AC32" i="2" a="1"/>
  <c r="AC16" i="2" a="1"/>
  <c r="AC30" i="2" a="1"/>
  <c r="I38" i="2" a="1"/>
  <c r="I73" i="2" a="1"/>
  <c r="I40" i="2" a="1"/>
  <c r="M49" i="2" a="1"/>
  <c r="M37" i="2" a="1"/>
  <c r="M30" i="2" a="1"/>
  <c r="M38" i="2" a="1"/>
  <c r="M65" i="2" a="1"/>
  <c r="U40" i="2" a="1"/>
  <c r="U38" i="2" a="1"/>
  <c r="U74" i="2" a="1"/>
  <c r="E72" i="2" a="1"/>
  <c r="E69" i="2" a="1"/>
  <c r="U68" i="2" a="1"/>
  <c r="Q71" i="2" a="1"/>
  <c r="Q33" i="2" a="1"/>
  <c r="Q31" i="2" a="1"/>
  <c r="AC65" i="2" a="1"/>
  <c r="I68" i="2" a="1"/>
  <c r="Y65" i="2" a="1"/>
  <c r="Z43" i="2" a="1"/>
  <c r="V43" i="2" a="1"/>
  <c r="J34" i="2" a="1"/>
  <c r="V19" i="2" a="1"/>
  <c r="V48" i="2" a="1"/>
  <c r="R42" i="2" a="1"/>
  <c r="F36" i="2" a="1"/>
  <c r="R44" i="2" a="1"/>
  <c r="J13" i="2" a="1"/>
  <c r="J9" i="2" a="1"/>
  <c r="J19" i="2" a="1"/>
  <c r="R15" i="2" a="1"/>
  <c r="R18" i="2" a="1"/>
  <c r="R12" i="2" a="1"/>
  <c r="Q38" i="2" a="1"/>
  <c r="AC55" i="2" a="1"/>
  <c r="AD41" i="2" a="1"/>
  <c r="J36" i="2" a="1"/>
  <c r="V10" i="2" a="1"/>
  <c r="V21" i="2" a="1"/>
  <c r="N34" i="2" a="1"/>
  <c r="F35" i="2" a="1"/>
  <c r="R75" i="2" a="1"/>
  <c r="J22" i="2" a="1"/>
  <c r="J17" i="2" a="1"/>
  <c r="R17" i="2" a="1"/>
  <c r="R11" i="2" a="1"/>
  <c r="R21" i="2" a="1"/>
  <c r="AC49" i="2" a="1"/>
  <c r="AC27" i="2" a="1"/>
  <c r="AC26" i="2" a="1"/>
  <c r="AC74" i="2" a="1"/>
  <c r="I33" i="2" a="1"/>
  <c r="I39" i="2" a="1"/>
  <c r="I74" i="2" a="1"/>
  <c r="M8" i="2" a="1"/>
  <c r="M32" i="2" a="1"/>
  <c r="M33" i="2" a="1"/>
  <c r="M29" i="2" a="1"/>
  <c r="U33" i="2" a="1"/>
  <c r="U30" i="2" a="1"/>
  <c r="U49" i="2" a="1"/>
  <c r="U37" i="2" a="1"/>
  <c r="E59" i="2" a="1"/>
  <c r="E68" i="2" a="1"/>
  <c r="U65" i="2" a="1"/>
  <c r="Q65" i="2" a="1"/>
  <c r="Q32" i="2" a="1"/>
  <c r="Q44" i="2" a="1"/>
  <c r="AC70" i="2" a="1"/>
  <c r="I71" i="2" a="1"/>
  <c r="Q52" i="2" a="1"/>
  <c r="Y69" i="2" a="1"/>
  <c r="Z46" i="2" a="1"/>
  <c r="V36" i="2" a="1"/>
  <c r="J43" i="2" a="1"/>
  <c r="V20" i="2" a="1"/>
  <c r="R43" i="2" a="1"/>
  <c r="N41" i="2" a="1"/>
  <c r="R26" i="2" a="1"/>
  <c r="R32" i="2" a="1"/>
  <c r="J67" i="2" a="1"/>
  <c r="J20" i="2" a="1"/>
  <c r="R13" i="2" a="1"/>
  <c r="AD27" i="2" a="1"/>
  <c r="J66" i="2" a="1"/>
  <c r="AD30" i="2" a="1"/>
  <c r="AD74" i="2" a="1"/>
  <c r="J74" i="2" a="1"/>
  <c r="J16" i="2" a="1"/>
  <c r="I26" i="2" a="1"/>
  <c r="U27" i="2" a="1"/>
  <c r="U28" i="2" a="1"/>
  <c r="AC37" i="2" a="1"/>
  <c r="AC28" i="2" a="1"/>
  <c r="AC8" i="2" a="1"/>
  <c r="I45" i="2" a="1"/>
  <c r="I30" i="2" a="1"/>
  <c r="I44" i="2" a="1"/>
  <c r="I75" i="2" a="1"/>
  <c r="M16" i="2" a="1"/>
  <c r="M27" i="2" a="1"/>
  <c r="M39" i="2" a="1"/>
  <c r="M69" i="2" a="1"/>
  <c r="U39" i="2" a="1"/>
  <c r="U32" i="2" a="1"/>
  <c r="U16" i="2" a="1"/>
  <c r="U73" i="2" a="1"/>
  <c r="E54" i="2" a="1"/>
  <c r="E70" i="2" a="1"/>
  <c r="U71" i="2" a="1"/>
  <c r="Q45" i="2" a="1"/>
  <c r="Q73" i="2" a="1"/>
  <c r="Q28" i="2" a="1"/>
  <c r="Q74" i="2" a="1"/>
  <c r="AC69" i="2" a="1"/>
  <c r="I65" i="2" a="1"/>
  <c r="Q60" i="2" a="1"/>
  <c r="Y68" i="2" a="1"/>
  <c r="AC57" i="2" a="1"/>
  <c r="Z35" i="2" a="1"/>
  <c r="AD42" i="2" a="1"/>
  <c r="V42" i="2" a="1"/>
  <c r="J41" i="2" a="1"/>
  <c r="V14" i="2" a="1"/>
  <c r="V12" i="2" a="1"/>
  <c r="V9" i="2" a="1"/>
  <c r="V11" i="2" a="1"/>
  <c r="R46" i="2" a="1"/>
  <c r="N42" i="2" a="1"/>
  <c r="F42" i="2" a="1"/>
  <c r="F41" i="2" a="1"/>
  <c r="R33" i="2" a="1"/>
  <c r="R39" i="2" a="1"/>
  <c r="R37" i="2" a="1"/>
  <c r="J24" i="2" a="1"/>
  <c r="J64" i="2" a="1"/>
  <c r="J7" i="2" a="1"/>
  <c r="R10" i="2" a="1"/>
  <c r="R9" i="2" a="1"/>
  <c r="R19" i="2" a="1"/>
  <c r="AD73" i="2" a="1"/>
  <c r="AD40" i="2" a="1"/>
  <c r="J8" i="2" a="1"/>
  <c r="AC50" i="2" a="1"/>
  <c r="M74" i="2" a="1"/>
  <c r="U75" i="2" a="1"/>
  <c r="E60" i="2" a="1"/>
  <c r="AC29" i="2" a="1"/>
  <c r="AC40" i="2" a="1"/>
  <c r="I49" i="2" a="1"/>
  <c r="I31" i="2" a="1"/>
  <c r="I32" i="2" a="1"/>
  <c r="M73" i="2" a="1"/>
  <c r="M28" i="2" a="1"/>
  <c r="M68" i="2" a="1"/>
  <c r="U45" i="2" a="1"/>
  <c r="AC33" i="2" a="1"/>
  <c r="AC45" i="2" a="1"/>
  <c r="AC38" i="2" a="1"/>
  <c r="I16" i="2" a="1"/>
  <c r="I28" i="2" a="1"/>
  <c r="I37" i="2" a="1"/>
  <c r="I27" i="2" a="1"/>
  <c r="M45" i="2" a="1"/>
  <c r="M40" i="2" a="1"/>
  <c r="M75" i="2" a="1"/>
  <c r="M70" i="2" a="1"/>
  <c r="U44" i="2" a="1"/>
  <c r="U8" i="2" a="1"/>
  <c r="U31" i="2" a="1"/>
  <c r="E52" i="2" a="1"/>
  <c r="E55" i="2" a="1"/>
  <c r="U70" i="2" a="1"/>
  <c r="Q69" i="2" a="1"/>
  <c r="Q8" i="2" a="1"/>
  <c r="Q30" i="2" a="1"/>
  <c r="Q49" i="2" a="1"/>
  <c r="Q27" i="2" a="1"/>
  <c r="I69" i="2" a="1"/>
  <c r="Q59" i="2" a="1"/>
  <c r="Y70" i="2" a="1"/>
  <c r="AC72" i="2" a="1"/>
  <c r="Z41" i="2" a="1"/>
  <c r="Z42" i="2" a="1"/>
  <c r="AD46" i="2" a="1"/>
  <c r="V35" i="2" a="1"/>
  <c r="J35" i="2" a="1"/>
  <c r="V66" i="2" a="1"/>
  <c r="V67" i="2" a="1"/>
  <c r="V15" i="2" a="1"/>
  <c r="V64" i="2" a="1"/>
  <c r="R34" i="2" a="1"/>
  <c r="N36" i="2" a="1"/>
  <c r="F43" i="2" a="1"/>
  <c r="R16" i="2" a="1"/>
  <c r="R31" i="2" a="1"/>
  <c r="R29" i="2" a="1"/>
  <c r="R28" i="2" a="1"/>
  <c r="J15" i="2" a="1"/>
  <c r="J12" i="2" a="1"/>
  <c r="J21" i="2" a="1"/>
  <c r="R66" i="2" a="1"/>
  <c r="R14" i="2" a="1"/>
  <c r="R22" i="2" a="1"/>
  <c r="R25" i="2" a="1"/>
  <c r="AD50" i="2" a="1"/>
  <c r="AD39" i="2" a="1"/>
  <c r="AD28" i="2" a="1"/>
  <c r="AD33" i="2" a="1"/>
  <c r="J45" i="2" a="1"/>
  <c r="J27" i="2" a="1"/>
  <c r="J28" i="2" a="1"/>
  <c r="AD26" i="2" a="1"/>
  <c r="J39" i="2" a="1"/>
  <c r="J40" i="2" a="1"/>
  <c r="R23" i="2" a="1"/>
  <c r="J73" i="2" a="1"/>
  <c r="AD29" i="2" a="1"/>
  <c r="AD44" i="2" a="1"/>
  <c r="V7" i="2" a="1"/>
  <c r="J6" i="2" a="1"/>
  <c r="R67" i="2" a="1"/>
  <c r="V22" i="2" a="1"/>
  <c r="AD75" i="2" a="1"/>
  <c r="Q29" i="2" a="1"/>
  <c r="R74" i="2" a="1"/>
  <c r="AD31" i="2" a="1"/>
  <c r="J29" i="2" a="1"/>
  <c r="AC71" i="2" a="1"/>
  <c r="R45" i="2" a="1"/>
  <c r="Q68" i="2" a="1"/>
  <c r="Q57" i="2" a="1"/>
  <c r="V34" i="2" a="1"/>
  <c r="R35" i="2" a="1"/>
  <c r="R30" i="2" a="1"/>
  <c r="J31" i="2" a="1"/>
  <c r="AD45" i="2" a="1"/>
  <c r="J32" i="2" a="1"/>
  <c r="J33" i="2" a="1"/>
  <c r="AC60" i="2" a="1"/>
  <c r="J50" i="2" a="1"/>
  <c r="J38" i="2" a="1"/>
  <c r="AC54" i="2" a="1"/>
  <c r="J25" i="2" a="1"/>
  <c r="J37" i="2" a="1"/>
  <c r="Z36" i="2" a="1"/>
  <c r="J18" i="2" a="1"/>
  <c r="E71" i="2" a="1"/>
  <c r="V6" i="2" a="1"/>
  <c r="J49" i="2" a="1"/>
  <c r="Q26" i="2" a="1"/>
  <c r="Q55" i="2" a="1"/>
  <c r="J42" i="2" a="1"/>
  <c r="N43" i="2" a="1"/>
  <c r="J48" i="2" a="1"/>
  <c r="R64" i="2" a="1"/>
  <c r="Q75" i="2" a="1"/>
  <c r="F46" i="2" a="1"/>
  <c r="Q16" i="2" a="1"/>
  <c r="R73" i="2" a="1"/>
  <c r="AD49" i="2" a="1"/>
  <c r="AD37" i="2" a="1"/>
  <c r="V18" i="2" a="1"/>
  <c r="AD16" i="2" a="1"/>
  <c r="AD43" i="2" a="1"/>
  <c r="R48" i="2" a="1"/>
  <c r="V39" i="2" a="1"/>
  <c r="V75" i="2" a="1"/>
  <c r="V45" i="2" a="1"/>
  <c r="V44" i="2" a="1"/>
  <c r="F32" i="2" a="1"/>
  <c r="F74" i="2" a="1"/>
  <c r="F37" i="2" a="1"/>
  <c r="Z32" i="2" a="1"/>
  <c r="Z26" i="2" a="1"/>
  <c r="Z50" i="2" a="1"/>
  <c r="Z44" i="2" a="1"/>
  <c r="AD14" i="2" a="1"/>
  <c r="AD15" i="2" a="1"/>
  <c r="AD22" i="2" a="1"/>
  <c r="AD23" i="2" a="1"/>
  <c r="F12" i="2" a="1"/>
  <c r="F14" i="2" a="1"/>
  <c r="F21" i="2" a="1"/>
  <c r="V59" i="2" a="1"/>
  <c r="Z54" i="2" a="1"/>
  <c r="Z52" i="2" a="1"/>
  <c r="N57" i="2" a="1"/>
  <c r="AD55" i="2" a="1"/>
  <c r="AD60" i="2" a="1"/>
  <c r="N6" i="2" a="1"/>
  <c r="N40" i="2" a="1"/>
  <c r="N9" i="2" a="1"/>
  <c r="N33" i="2" a="1"/>
  <c r="N49" i="2" a="1"/>
  <c r="N73" i="2" a="1"/>
  <c r="N64" i="2" a="1"/>
  <c r="Z12" i="2" a="1"/>
  <c r="Z48" i="2" a="1"/>
  <c r="Z22" i="2" a="1"/>
  <c r="Z18" i="2" a="1"/>
  <c r="F52" i="2" a="1"/>
  <c r="F57" i="2" a="1"/>
  <c r="R58" i="2" a="1"/>
  <c r="V68" i="2" a="1"/>
  <c r="J72" i="2" a="1"/>
  <c r="F53" i="2" a="1"/>
  <c r="Z38" i="2" a="1"/>
  <c r="AD10" i="2" a="1"/>
  <c r="F19" i="2" a="1"/>
  <c r="Z60" i="2" a="1"/>
  <c r="N55" i="2" a="1"/>
  <c r="AD59" i="2" a="1"/>
  <c r="N66" i="2" a="1"/>
  <c r="N17" i="2" a="1"/>
  <c r="Z6" i="2" a="1"/>
  <c r="R53" i="2" a="1"/>
  <c r="F58" i="2" a="1"/>
  <c r="Z23" i="2" a="1"/>
  <c r="V65" i="2" a="1"/>
  <c r="AD53" i="2" a="1"/>
  <c r="F29" i="2" a="1"/>
  <c r="AD12" i="2" a="1"/>
  <c r="F64" i="2" a="1"/>
  <c r="N27" i="2" a="1"/>
  <c r="Z66" i="2" a="1"/>
  <c r="J55" i="2" a="1"/>
  <c r="Z33" i="2" a="1"/>
  <c r="F20" i="2" a="1"/>
  <c r="N26" i="2" a="1"/>
  <c r="N15" i="2" a="1"/>
  <c r="F71" i="2" a="1"/>
  <c r="AD67" i="2" a="1"/>
  <c r="J65" i="2" a="1"/>
  <c r="N13" i="2" a="1"/>
  <c r="AD70" i="2" a="1"/>
  <c r="F25" i="2" a="1"/>
  <c r="N14" i="2" a="1"/>
  <c r="N18" i="2" a="1"/>
  <c r="AD69" i="2" a="1"/>
  <c r="J57" i="2" a="1"/>
  <c r="N32" i="2" a="1"/>
  <c r="Z24" i="2" a="1"/>
  <c r="F73" i="2" a="1"/>
  <c r="Z28" i="2" a="1"/>
  <c r="F6" i="2" a="1"/>
  <c r="J71" i="2" a="1"/>
  <c r="N75" i="2" a="1"/>
  <c r="Z11" i="2" a="1"/>
  <c r="V69" i="2" a="1"/>
  <c r="Z49" i="2" a="1"/>
  <c r="AD18" i="2" a="1"/>
  <c r="J69" i="2" a="1"/>
  <c r="N11" i="2" a="1"/>
  <c r="AD65" i="2" a="1"/>
  <c r="Z16" i="2" a="1"/>
  <c r="V72" i="2" a="1"/>
  <c r="N19" i="2" a="1"/>
  <c r="Z67" i="2" a="1"/>
  <c r="V40" i="2" a="1"/>
  <c r="V37" i="2" a="1"/>
  <c r="V29" i="2" a="1"/>
  <c r="V49" i="2" a="1"/>
  <c r="F16" i="2" a="1"/>
  <c r="F50" i="2" a="1"/>
  <c r="F31" i="2" a="1"/>
  <c r="Z39" i="2" a="1"/>
  <c r="Z45" i="2" a="1"/>
  <c r="AD9" i="2" a="1"/>
  <c r="AD7" i="2" a="1"/>
  <c r="F66" i="2" a="1"/>
  <c r="J68" i="2" a="1"/>
  <c r="N50" i="2" a="1"/>
  <c r="Z25" i="2" a="1"/>
  <c r="F68" i="2" a="1"/>
  <c r="N37" i="2" a="1"/>
  <c r="Z19" i="2" a="1"/>
  <c r="N53" i="2" a="1"/>
  <c r="V50" i="2" a="1"/>
  <c r="Z30" i="2" a="1"/>
  <c r="F13" i="2" a="1"/>
  <c r="AD54" i="2" a="1"/>
  <c r="N74" i="2" a="1"/>
  <c r="AD68" i="2" a="1"/>
  <c r="AD58" i="2" a="1"/>
  <c r="AD17" i="2" a="1"/>
  <c r="F22" i="2" a="1"/>
  <c r="Z57" i="2" a="1"/>
  <c r="N21" i="2" a="1"/>
  <c r="Z9" i="2" a="1"/>
  <c r="Z73" i="2" a="1"/>
  <c r="V60" i="2" a="1"/>
  <c r="N31" i="2" a="1"/>
  <c r="F69" i="2" a="1"/>
  <c r="AD24" i="2" a="1"/>
  <c r="F18" i="2" a="1"/>
  <c r="Z72" i="2" a="1"/>
  <c r="N72" i="2" a="1"/>
  <c r="AD72" i="2" a="1"/>
  <c r="N25" i="2" a="1"/>
  <c r="N23" i="2" a="1"/>
  <c r="F70" i="2" a="1"/>
  <c r="V27" i="2" a="1"/>
  <c r="Z31" i="2" a="1"/>
  <c r="AD20" i="2" a="1"/>
  <c r="N54" i="2" a="1"/>
  <c r="N67" i="2" a="1"/>
  <c r="F59" i="2" a="1"/>
  <c r="F8" i="2" a="1"/>
  <c r="F10" i="2" a="1"/>
  <c r="AD57" i="2" a="1"/>
  <c r="N30" i="2" a="1"/>
  <c r="Z7" i="2" a="1"/>
  <c r="Z58" i="2" a="1"/>
  <c r="AD6" i="2" a="1"/>
  <c r="Z59" i="2" a="1"/>
  <c r="N20" i="2" a="1"/>
  <c r="Z13" i="2" a="1"/>
  <c r="V28" i="2" a="1"/>
  <c r="V31" i="2" a="1"/>
  <c r="V32" i="2" a="1"/>
  <c r="V8" i="2" a="1"/>
  <c r="F28" i="2" a="1"/>
  <c r="F38" i="2" a="1"/>
  <c r="F49" i="2" a="1"/>
  <c r="Z27" i="2" a="1"/>
  <c r="Z29" i="2" a="1"/>
  <c r="Z37" i="2" a="1"/>
  <c r="Z74" i="2" a="1"/>
  <c r="AD66" i="2" a="1"/>
  <c r="AD21" i="2" a="1"/>
  <c r="F7" i="2" a="1"/>
  <c r="F11" i="2" a="1"/>
  <c r="F15" i="2" a="1"/>
  <c r="V54" i="2" a="1"/>
  <c r="J70" i="2" a="1"/>
  <c r="N39" i="2" a="1"/>
  <c r="N24" i="2" a="1"/>
  <c r="N38" i="2" a="1"/>
  <c r="F55" i="2" a="1"/>
  <c r="V74" i="2" a="1"/>
  <c r="AD19" i="2" a="1"/>
  <c r="V52" i="2" a="1"/>
  <c r="N16" i="2" a="1"/>
  <c r="N29" i="2" a="1"/>
  <c r="Z17" i="2" a="1"/>
  <c r="N58" i="2" a="1"/>
  <c r="Z75" i="2" a="1"/>
  <c r="AD25" i="2" a="1"/>
  <c r="V57" i="2" a="1"/>
  <c r="N44" i="2" a="1"/>
  <c r="Z20" i="2" a="1"/>
  <c r="V71" i="2" a="1"/>
  <c r="AD13" i="2" a="1"/>
  <c r="N60" i="2" a="1"/>
  <c r="N48" i="2" a="1"/>
  <c r="Z10" i="2" a="1"/>
  <c r="V70" i="2" a="1"/>
  <c r="N12" i="2" a="1"/>
  <c r="N8" i="2" a="1"/>
  <c r="Z53" i="2" a="1"/>
  <c r="F26" i="2" a="1"/>
  <c r="F60" i="2" a="1"/>
  <c r="F24" i="2" a="1"/>
  <c r="J52" i="2" a="1"/>
  <c r="Z8" i="2" a="1"/>
  <c r="V33" i="2" a="1"/>
  <c r="V26" i="2" a="1"/>
  <c r="V38" i="2" a="1"/>
  <c r="F30" i="2" a="1"/>
  <c r="F40" i="2" a="1"/>
  <c r="AD11" i="2" a="1"/>
  <c r="Z64" i="2" a="1"/>
  <c r="F67" i="2" a="1"/>
  <c r="V73" i="2" a="1"/>
  <c r="V30" i="2" a="1"/>
  <c r="V16" i="2" a="1"/>
  <c r="F75" i="2" a="1"/>
  <c r="F27" i="2" a="1"/>
  <c r="F39" i="2" a="1"/>
  <c r="F44" i="2" a="1"/>
  <c r="F17" i="2" a="1"/>
  <c r="Z40" i="2" a="1"/>
  <c r="F9" i="2" a="1"/>
  <c r="V55" i="2" a="1"/>
  <c r="N59" i="2" a="1"/>
  <c r="N22" i="2" a="1"/>
  <c r="N7" i="2" a="1"/>
  <c r="Z14" i="2" a="1"/>
  <c r="F72" i="2" a="1"/>
  <c r="J59" i="2" a="1"/>
  <c r="N10" i="2" a="1"/>
  <c r="AD71" i="2" a="1"/>
  <c r="J60" i="2" a="1"/>
  <c r="F45" i="2" a="1"/>
  <c r="AD48" i="2" a="1"/>
  <c r="F23" i="2" a="1"/>
  <c r="Z55" i="2" a="1"/>
  <c r="N45" i="2" a="1"/>
  <c r="Z21" i="2" a="1"/>
  <c r="F65" i="2" a="1"/>
  <c r="F33" i="2" a="1"/>
  <c r="F48" i="2" a="1"/>
  <c r="N52" i="2" a="1"/>
  <c r="Z15" i="2" a="1"/>
  <c r="J54" i="2" a="1"/>
  <c r="AD64" i="2" a="1"/>
  <c r="AD52" i="2" a="1"/>
  <c r="N28" i="2" a="1"/>
  <c r="F54" i="2" a="1"/>
  <c r="R59" i="2" a="1"/>
  <c r="R54" i="2" a="1"/>
  <c r="Z68" i="2" a="1"/>
  <c r="N65" i="2" a="1"/>
  <c r="R57" i="2" a="1"/>
  <c r="R65" i="2" a="1"/>
  <c r="Z70" i="2" a="1"/>
  <c r="R70" i="2" a="1"/>
  <c r="N70" i="2" a="1"/>
  <c r="R71" i="2" a="1"/>
  <c r="Z69" i="2" a="1"/>
  <c r="R52" i="2" a="1"/>
  <c r="Z71" i="2" a="1"/>
  <c r="R68" i="2" a="1"/>
  <c r="N69" i="2" a="1"/>
  <c r="Z65" i="2" a="1"/>
  <c r="N68" i="2" a="1"/>
  <c r="R60" i="2" a="1"/>
  <c r="R55" i="2" a="1"/>
  <c r="N71" i="2" a="1"/>
  <c r="R69" i="2" a="1"/>
  <c r="R72" i="2" a="1"/>
  <c r="W34" i="2" l="1"/>
  <c r="K42" i="2"/>
  <c r="G53" i="2"/>
  <c r="AA46" i="2"/>
  <c r="W52" i="2"/>
  <c r="U58" i="2"/>
  <c r="W60" i="2"/>
  <c r="C43" i="2"/>
  <c r="G11" i="2"/>
  <c r="K35" i="2"/>
  <c r="T42" i="2"/>
  <c r="S9" i="2"/>
  <c r="S64" i="2"/>
  <c r="S58" i="2"/>
  <c r="AB41" i="2"/>
  <c r="G57" i="2"/>
  <c r="AA36" i="2"/>
  <c r="O36" i="2"/>
  <c r="V58" i="2"/>
  <c r="G18" i="2"/>
  <c r="K41" i="2"/>
  <c r="S34" i="2"/>
  <c r="T34" i="2"/>
  <c r="S67" i="2"/>
  <c r="H36" i="2"/>
  <c r="D36" i="2"/>
  <c r="I58" i="2"/>
  <c r="AB43" i="2"/>
  <c r="G52" i="2"/>
  <c r="G21" i="2"/>
  <c r="P35" i="2"/>
  <c r="C35" i="2"/>
  <c r="I53" i="2"/>
  <c r="G17" i="2"/>
  <c r="K34" i="2"/>
  <c r="G35" i="2"/>
  <c r="S14" i="2"/>
  <c r="S25" i="2"/>
  <c r="S15" i="2"/>
  <c r="P42" i="2"/>
  <c r="P41" i="2"/>
  <c r="D46" i="2"/>
  <c r="AB34" i="2"/>
  <c r="W57" i="2"/>
  <c r="K36" i="2"/>
  <c r="D41" i="2"/>
  <c r="W43" i="2"/>
  <c r="J53" i="2"/>
  <c r="G15" i="2"/>
  <c r="G22" i="2"/>
  <c r="G42" i="2"/>
  <c r="S35" i="2"/>
  <c r="T36" i="2"/>
  <c r="S20" i="2"/>
  <c r="H42" i="2"/>
  <c r="H58" i="2"/>
  <c r="T46" i="2"/>
  <c r="S22" i="2"/>
  <c r="G60" i="2"/>
  <c r="O35" i="2"/>
  <c r="G64" i="2"/>
  <c r="K46" i="2"/>
  <c r="T53" i="2"/>
  <c r="T41" i="2"/>
  <c r="S13" i="2"/>
  <c r="S12" i="2"/>
  <c r="H35" i="2"/>
  <c r="S53" i="2"/>
  <c r="D42" i="2"/>
  <c r="AB42" i="2"/>
  <c r="J58" i="2"/>
  <c r="S46" i="2"/>
  <c r="H41" i="2"/>
  <c r="W36" i="2"/>
  <c r="O43" i="2"/>
  <c r="G7" i="2"/>
  <c r="G48" i="2"/>
  <c r="G36" i="2"/>
  <c r="S36" i="2"/>
  <c r="S48" i="2"/>
  <c r="S11" i="2"/>
  <c r="P34" i="2"/>
  <c r="AA41" i="2"/>
  <c r="G6" i="2"/>
  <c r="S18" i="2"/>
  <c r="G72" i="2"/>
  <c r="G13" i="2"/>
  <c r="W42" i="2"/>
  <c r="G24" i="2"/>
  <c r="S43" i="2"/>
  <c r="C46" i="2"/>
  <c r="AA34" i="2"/>
  <c r="G14" i="2"/>
  <c r="S10" i="2"/>
  <c r="O41" i="2"/>
  <c r="W41" i="2"/>
  <c r="G55" i="2"/>
  <c r="O42" i="2"/>
  <c r="G19" i="2"/>
  <c r="G43" i="2"/>
  <c r="H46" i="2"/>
  <c r="O46" i="2"/>
  <c r="G41" i="2"/>
  <c r="S24" i="2"/>
  <c r="W55" i="2"/>
  <c r="AA43" i="2"/>
  <c r="C42" i="2"/>
  <c r="AA35" i="2"/>
  <c r="C41" i="2"/>
  <c r="U53" i="2"/>
  <c r="G20" i="2"/>
  <c r="T58" i="2"/>
  <c r="S7" i="2"/>
  <c r="S6" i="2"/>
  <c r="P46" i="2"/>
  <c r="D43" i="2"/>
  <c r="G54" i="2"/>
  <c r="W72" i="2"/>
  <c r="W35" i="2"/>
  <c r="C36" i="2"/>
  <c r="G67" i="2"/>
  <c r="G23" i="2"/>
  <c r="G25" i="2"/>
  <c r="G46" i="2"/>
  <c r="S42" i="2"/>
  <c r="S21" i="2"/>
  <c r="S66" i="2"/>
  <c r="H34" i="2"/>
  <c r="P36" i="2"/>
  <c r="D35" i="2"/>
  <c r="AB36" i="2"/>
  <c r="G59" i="2"/>
  <c r="W59" i="2"/>
  <c r="W54" i="2"/>
  <c r="AA42" i="2"/>
  <c r="W46" i="2"/>
  <c r="O34" i="2"/>
  <c r="C34" i="2"/>
  <c r="H53" i="2"/>
  <c r="V53" i="2"/>
  <c r="G66" i="2"/>
  <c r="G10" i="2"/>
  <c r="G12" i="2"/>
  <c r="G9" i="2"/>
  <c r="K43" i="2"/>
  <c r="G34" i="2"/>
  <c r="S41" i="2"/>
  <c r="T35" i="2"/>
  <c r="T43" i="2"/>
  <c r="S23" i="2"/>
  <c r="S19" i="2"/>
  <c r="S17" i="2"/>
  <c r="H43" i="2"/>
  <c r="G58" i="2"/>
  <c r="P43" i="2"/>
  <c r="D34" i="2"/>
  <c r="AB35" i="2"/>
  <c r="AB46" i="2"/>
  <c r="L58" i="2"/>
  <c r="AB13" i="2"/>
  <c r="O39" i="2"/>
  <c r="D64" i="2"/>
  <c r="T60" i="2"/>
  <c r="X9" i="2"/>
  <c r="P9" i="2"/>
  <c r="T20" i="2"/>
  <c r="W28" i="2"/>
  <c r="H31" i="2"/>
  <c r="W40" i="2"/>
  <c r="T9" i="2"/>
  <c r="AB23" i="2"/>
  <c r="L24" i="2"/>
  <c r="L72" i="2"/>
  <c r="S71" i="2"/>
  <c r="C38" i="2"/>
  <c r="H55" i="2"/>
  <c r="S32" i="2"/>
  <c r="L64" i="2"/>
  <c r="T44" i="2"/>
  <c r="X14" i="2"/>
  <c r="H64" i="2"/>
  <c r="K45" i="2"/>
  <c r="L19" i="2"/>
  <c r="D10" i="2"/>
  <c r="L54" i="2"/>
  <c r="AA32" i="2"/>
  <c r="T50" i="2"/>
  <c r="D22" i="2"/>
  <c r="AA74" i="2"/>
  <c r="C57" i="2"/>
  <c r="AA45" i="2"/>
  <c r="D13" i="2"/>
  <c r="H50" i="2"/>
  <c r="X7" i="2"/>
  <c r="P25" i="2"/>
  <c r="S26" i="2"/>
  <c r="H48" i="2"/>
  <c r="P69" i="2"/>
  <c r="T18" i="2"/>
  <c r="W16" i="2"/>
  <c r="C27" i="2"/>
  <c r="P12" i="2"/>
  <c r="K16" i="2"/>
  <c r="H16" i="2"/>
  <c r="L67" i="2"/>
  <c r="T33" i="2"/>
  <c r="X19" i="2"/>
  <c r="P11" i="2"/>
  <c r="T13" i="2"/>
  <c r="H10" i="2"/>
  <c r="X57" i="2"/>
  <c r="P18" i="2"/>
  <c r="T14" i="2"/>
  <c r="L57" i="2"/>
  <c r="H57" i="2"/>
  <c r="X13" i="2"/>
  <c r="P53" i="2"/>
  <c r="D6" i="2"/>
  <c r="D48" i="2"/>
  <c r="L41" i="2"/>
  <c r="P19" i="2"/>
  <c r="AB19" i="2"/>
  <c r="C54" i="2"/>
  <c r="S40" i="2"/>
  <c r="S39" i="2"/>
  <c r="T21" i="2"/>
  <c r="C75" i="2"/>
  <c r="H22" i="2"/>
  <c r="H11" i="2"/>
  <c r="W44" i="2"/>
  <c r="W39" i="2"/>
  <c r="AA39" i="2"/>
  <c r="K27" i="2"/>
  <c r="K75" i="2"/>
  <c r="G29" i="2"/>
  <c r="O31" i="2"/>
  <c r="O33" i="2"/>
  <c r="O60" i="2"/>
  <c r="AA69" i="2"/>
  <c r="AA53" i="2"/>
  <c r="W7" i="2"/>
  <c r="K60" i="2"/>
  <c r="O19" i="2"/>
  <c r="C20" i="2"/>
  <c r="AA22" i="2"/>
  <c r="AA9" i="2"/>
  <c r="G26" i="2"/>
  <c r="C12" i="2"/>
  <c r="T32" i="2"/>
  <c r="X54" i="2"/>
  <c r="AB64" i="2"/>
  <c r="AB24" i="2"/>
  <c r="S49" i="2"/>
  <c r="S8" i="2"/>
  <c r="T64" i="2"/>
  <c r="C28" i="2"/>
  <c r="C50" i="2"/>
  <c r="H7" i="2"/>
  <c r="H24" i="2"/>
  <c r="AA33" i="2"/>
  <c r="AA37" i="2"/>
  <c r="K8" i="2"/>
  <c r="K29" i="2"/>
  <c r="G44" i="2"/>
  <c r="G75" i="2"/>
  <c r="O75" i="2"/>
  <c r="O30" i="2"/>
  <c r="O52" i="2"/>
  <c r="S52" i="2"/>
  <c r="O29" i="2"/>
  <c r="W24" i="2"/>
  <c r="T59" i="2"/>
  <c r="D58" i="2"/>
  <c r="S37" i="2"/>
  <c r="H12" i="2"/>
  <c r="W45" i="2"/>
  <c r="W33" i="2"/>
  <c r="G16" i="2"/>
  <c r="O37" i="2"/>
  <c r="O38" i="2"/>
  <c r="O55" i="2"/>
  <c r="C69" i="2"/>
  <c r="AA71" i="2"/>
  <c r="W14" i="2"/>
  <c r="O11" i="2"/>
  <c r="O23" i="2"/>
  <c r="C9" i="2"/>
  <c r="AA48" i="2"/>
  <c r="K9" i="2"/>
  <c r="L13" i="2"/>
  <c r="H73" i="2"/>
  <c r="AA65" i="2"/>
  <c r="AA6" i="2"/>
  <c r="L20" i="2"/>
  <c r="T29" i="2"/>
  <c r="P10" i="2"/>
  <c r="X6" i="2"/>
  <c r="AB7" i="2"/>
  <c r="C30" i="2"/>
  <c r="AA75" i="2"/>
  <c r="H29" i="2"/>
  <c r="L48" i="2"/>
  <c r="T49" i="2"/>
  <c r="AB58" i="2"/>
  <c r="D67" i="2"/>
  <c r="AB6" i="2"/>
  <c r="S29" i="2"/>
  <c r="H13" i="2"/>
  <c r="AA59" i="2"/>
  <c r="X24" i="2"/>
  <c r="AB11" i="2"/>
  <c r="T67" i="2"/>
  <c r="AA8" i="2"/>
  <c r="G33" i="2"/>
  <c r="C65" i="2"/>
  <c r="K6" i="2"/>
  <c r="H49" i="2"/>
  <c r="H26" i="2"/>
  <c r="H28" i="2"/>
  <c r="L66" i="2"/>
  <c r="L6" i="2"/>
  <c r="L14" i="2"/>
  <c r="T30" i="2"/>
  <c r="T8" i="2"/>
  <c r="T39" i="2"/>
  <c r="T27" i="2"/>
  <c r="X58" i="2"/>
  <c r="X20" i="2"/>
  <c r="X18" i="2"/>
  <c r="D9" i="2"/>
  <c r="D17" i="2"/>
  <c r="L43" i="2"/>
  <c r="P48" i="2"/>
  <c r="P20" i="2"/>
  <c r="C72" i="2"/>
  <c r="S31" i="2"/>
  <c r="S44" i="2"/>
  <c r="T66" i="2"/>
  <c r="T6" i="2"/>
  <c r="H6" i="2"/>
  <c r="H19" i="2"/>
  <c r="G70" i="2"/>
  <c r="W50" i="2"/>
  <c r="W49" i="2"/>
  <c r="K30" i="2"/>
  <c r="K49" i="2"/>
  <c r="K70" i="2"/>
  <c r="AA54" i="2"/>
  <c r="S60" i="2"/>
  <c r="O54" i="2"/>
  <c r="AA67" i="2"/>
  <c r="H44" i="2"/>
  <c r="L9" i="2"/>
  <c r="L53" i="2"/>
  <c r="D23" i="2"/>
  <c r="X22" i="2"/>
  <c r="AB48" i="2"/>
  <c r="T25" i="2"/>
  <c r="AA31" i="2"/>
  <c r="T52" i="2"/>
  <c r="H37" i="2"/>
  <c r="L10" i="2"/>
  <c r="X53" i="2"/>
  <c r="X41" i="2"/>
  <c r="P21" i="2"/>
  <c r="T15" i="2"/>
  <c r="W31" i="2"/>
  <c r="K38" i="2"/>
  <c r="H60" i="2"/>
  <c r="X34" i="2"/>
  <c r="P64" i="2"/>
  <c r="T10" i="2"/>
  <c r="H9" i="2"/>
  <c r="AA28" i="2"/>
  <c r="O28" i="2"/>
  <c r="O21" i="2"/>
  <c r="O13" i="2"/>
  <c r="T72" i="2"/>
  <c r="H39" i="2"/>
  <c r="L55" i="2"/>
  <c r="H72" i="2"/>
  <c r="X12" i="2"/>
  <c r="X52" i="2"/>
  <c r="X36" i="2"/>
  <c r="D7" i="2"/>
  <c r="D21" i="2"/>
  <c r="P17" i="2"/>
  <c r="AB15" i="2"/>
  <c r="AB14" i="2"/>
  <c r="C59" i="2"/>
  <c r="S28" i="2"/>
  <c r="T17" i="2"/>
  <c r="C44" i="2"/>
  <c r="C40" i="2"/>
  <c r="H25" i="2"/>
  <c r="H17" i="2"/>
  <c r="W75" i="2"/>
  <c r="AA38" i="2"/>
  <c r="AA73" i="2"/>
  <c r="K44" i="2"/>
  <c r="K73" i="2"/>
  <c r="G28" i="2"/>
  <c r="G39" i="2"/>
  <c r="O45" i="2"/>
  <c r="O65" i="2"/>
  <c r="W68" i="2"/>
  <c r="W22" i="2"/>
  <c r="W10" i="2"/>
  <c r="O20" i="2"/>
  <c r="C11" i="2"/>
  <c r="C18" i="2"/>
  <c r="AA66" i="2"/>
  <c r="K22" i="2"/>
  <c r="K74" i="2"/>
  <c r="C71" i="2"/>
  <c r="O17" i="2"/>
  <c r="H30" i="2"/>
  <c r="T74" i="2"/>
  <c r="X64" i="2"/>
  <c r="D11" i="2"/>
  <c r="L59" i="2"/>
  <c r="X43" i="2"/>
  <c r="P14" i="2"/>
  <c r="C73" i="2"/>
  <c r="H33" i="2"/>
  <c r="L18" i="2"/>
  <c r="T31" i="2"/>
  <c r="L46" i="2"/>
  <c r="AB9" i="2"/>
  <c r="C16" i="2"/>
  <c r="G68" i="2"/>
  <c r="K33" i="2"/>
  <c r="X67" i="2"/>
  <c r="P24" i="2"/>
  <c r="C55" i="2"/>
  <c r="C29" i="2"/>
  <c r="W37" i="2"/>
  <c r="K50" i="2"/>
  <c r="O57" i="2"/>
  <c r="AA17" i="2"/>
  <c r="P65" i="2"/>
  <c r="H75" i="2"/>
  <c r="H40" i="2"/>
  <c r="H27" i="2"/>
  <c r="H8" i="2"/>
  <c r="L21" i="2"/>
  <c r="L22" i="2"/>
  <c r="L23" i="2"/>
  <c r="T37" i="2"/>
  <c r="T45" i="2"/>
  <c r="T73" i="2"/>
  <c r="T40" i="2"/>
  <c r="H52" i="2"/>
  <c r="X15" i="2"/>
  <c r="X48" i="2"/>
  <c r="X55" i="2"/>
  <c r="D24" i="2"/>
  <c r="L36" i="2"/>
  <c r="P23" i="2"/>
  <c r="P6" i="2"/>
  <c r="AB67" i="2"/>
  <c r="S45" i="2"/>
  <c r="S16" i="2"/>
  <c r="T11" i="2"/>
  <c r="T23" i="2"/>
  <c r="C74" i="2"/>
  <c r="H18" i="2"/>
  <c r="G65" i="2"/>
  <c r="W74" i="2"/>
  <c r="W73" i="2"/>
  <c r="AA50" i="2"/>
  <c r="K39" i="2"/>
  <c r="G27" i="2"/>
  <c r="G49" i="2"/>
  <c r="O73" i="2"/>
  <c r="O69" i="2"/>
  <c r="W70" i="2"/>
  <c r="K71" i="2"/>
  <c r="AA72" i="2"/>
  <c r="G32" i="2"/>
  <c r="S57" i="2"/>
  <c r="K52" i="2"/>
  <c r="T55" i="2"/>
  <c r="L7" i="2"/>
  <c r="L60" i="2"/>
  <c r="D18" i="2"/>
  <c r="AB53" i="2"/>
  <c r="P15" i="2"/>
  <c r="T12" i="2"/>
  <c r="G74" i="2"/>
  <c r="P71" i="2"/>
  <c r="H45" i="2"/>
  <c r="L12" i="2"/>
  <c r="T26" i="2"/>
  <c r="D14" i="2"/>
  <c r="S30" i="2"/>
  <c r="H66" i="2"/>
  <c r="AA49" i="2"/>
  <c r="S55" i="2"/>
  <c r="X21" i="2"/>
  <c r="D20" i="2"/>
  <c r="AB22" i="2"/>
  <c r="C8" i="2"/>
  <c r="W30" i="2"/>
  <c r="G73" i="2"/>
  <c r="O50" i="2"/>
  <c r="W66" i="2"/>
  <c r="C64" i="2"/>
  <c r="P68" i="2"/>
  <c r="T54" i="2"/>
  <c r="L52" i="2"/>
  <c r="H54" i="2"/>
  <c r="X72" i="2"/>
  <c r="X42" i="2"/>
  <c r="D12" i="2"/>
  <c r="D19" i="2"/>
  <c r="L35" i="2"/>
  <c r="AB17" i="2"/>
  <c r="AB66" i="2"/>
  <c r="C52" i="2"/>
  <c r="S73" i="2"/>
  <c r="S33" i="2"/>
  <c r="C31" i="2"/>
  <c r="C26" i="2"/>
  <c r="H67" i="2"/>
  <c r="H21" i="2"/>
  <c r="G71" i="2"/>
  <c r="AA44" i="2"/>
  <c r="AA40" i="2"/>
  <c r="K26" i="2"/>
  <c r="K40" i="2"/>
  <c r="G50" i="2"/>
  <c r="O49" i="2"/>
  <c r="O16" i="2"/>
  <c r="O71" i="2"/>
  <c r="AA58" i="2"/>
  <c r="W25" i="2"/>
  <c r="C58" i="2"/>
  <c r="O66" i="2"/>
  <c r="C10" i="2"/>
  <c r="C14" i="2"/>
  <c r="AA14" i="2"/>
  <c r="K48" i="2"/>
  <c r="P70" i="2"/>
  <c r="T57" i="2"/>
  <c r="H38" i="2"/>
  <c r="H74" i="2"/>
  <c r="H32" i="2"/>
  <c r="L25" i="2"/>
  <c r="L17" i="2"/>
  <c r="L15" i="2"/>
  <c r="L11" i="2"/>
  <c r="T38" i="2"/>
  <c r="T75" i="2"/>
  <c r="T28" i="2"/>
  <c r="T16" i="2"/>
  <c r="H59" i="2"/>
  <c r="X17" i="2"/>
  <c r="X66" i="2"/>
  <c r="X60" i="2"/>
  <c r="X46" i="2"/>
  <c r="L42" i="2"/>
  <c r="P22" i="2"/>
  <c r="P13" i="2"/>
  <c r="AB21" i="2"/>
  <c r="AB10" i="2"/>
  <c r="S38" i="2"/>
  <c r="T24" i="2"/>
  <c r="T7" i="2"/>
  <c r="C32" i="2"/>
  <c r="C33" i="2"/>
  <c r="G69" i="2"/>
  <c r="W32" i="2"/>
  <c r="W8" i="2"/>
  <c r="AA26" i="2"/>
  <c r="AA29" i="2"/>
  <c r="S65" i="2"/>
  <c r="K68" i="2"/>
  <c r="K67" i="2"/>
  <c r="K7" i="2"/>
  <c r="W48" i="2"/>
  <c r="W12" i="2"/>
  <c r="W17" i="2"/>
  <c r="C53" i="2"/>
  <c r="K72" i="2"/>
  <c r="O15" i="2"/>
  <c r="O14" i="2"/>
  <c r="O6" i="2"/>
  <c r="K53" i="2"/>
  <c r="C48" i="2"/>
  <c r="C23" i="2"/>
  <c r="C24" i="2"/>
  <c r="O58" i="2"/>
  <c r="AA10" i="2"/>
  <c r="AA11" i="2"/>
  <c r="AA64" i="2"/>
  <c r="K17" i="2"/>
  <c r="K21" i="2"/>
  <c r="K11" i="2"/>
  <c r="K14" i="2"/>
  <c r="G37" i="2"/>
  <c r="G8" i="2"/>
  <c r="G45" i="2"/>
  <c r="G40" i="2"/>
  <c r="O26" i="2"/>
  <c r="O44" i="2"/>
  <c r="O8" i="2"/>
  <c r="O70" i="2"/>
  <c r="O72" i="2"/>
  <c r="W71" i="2"/>
  <c r="S68" i="2"/>
  <c r="C68" i="2"/>
  <c r="K69" i="2"/>
  <c r="W53" i="2"/>
  <c r="AA52" i="2"/>
  <c r="S59" i="2"/>
  <c r="W18" i="2"/>
  <c r="W64" i="2"/>
  <c r="W20" i="2"/>
  <c r="W67" i="2"/>
  <c r="K55" i="2"/>
  <c r="K57" i="2"/>
  <c r="O24" i="2"/>
  <c r="O67" i="2"/>
  <c r="O7" i="2"/>
  <c r="K58" i="2"/>
  <c r="C7" i="2"/>
  <c r="C25" i="2"/>
  <c r="C22" i="2"/>
  <c r="O53" i="2"/>
  <c r="AA7" i="2"/>
  <c r="AA15" i="2"/>
  <c r="AA25" i="2"/>
  <c r="K10" i="2"/>
  <c r="K19" i="2"/>
  <c r="K64" i="2"/>
  <c r="K20" i="2"/>
  <c r="W65" i="2"/>
  <c r="S69" i="2"/>
  <c r="C70" i="2"/>
  <c r="AA70" i="2"/>
  <c r="W58" i="2"/>
  <c r="AA55" i="2"/>
  <c r="S54" i="2"/>
  <c r="W13" i="2"/>
  <c r="W23" i="2"/>
  <c r="W21" i="2"/>
  <c r="W15" i="2"/>
  <c r="K54" i="2"/>
  <c r="O9" i="2"/>
  <c r="O22" i="2"/>
  <c r="O12" i="2"/>
  <c r="O25" i="2"/>
  <c r="C19" i="2"/>
  <c r="C67" i="2"/>
  <c r="C17" i="2"/>
  <c r="C6" i="2"/>
  <c r="AA23" i="2"/>
  <c r="AA13" i="2"/>
  <c r="AA21" i="2"/>
  <c r="AA20" i="2"/>
  <c r="K12" i="2"/>
  <c r="K18" i="2"/>
  <c r="K13" i="2"/>
  <c r="K66" i="2"/>
  <c r="X10" i="2"/>
  <c r="X25" i="2"/>
  <c r="X11" i="2"/>
  <c r="X23" i="2"/>
  <c r="X59" i="2"/>
  <c r="X35" i="2"/>
  <c r="P58" i="2"/>
  <c r="D66" i="2"/>
  <c r="D15" i="2"/>
  <c r="D25" i="2"/>
  <c r="D53" i="2"/>
  <c r="L34" i="2"/>
  <c r="P67" i="2"/>
  <c r="P66" i="2"/>
  <c r="P7" i="2"/>
  <c r="AB20" i="2"/>
  <c r="AB12" i="2"/>
  <c r="AB25" i="2"/>
  <c r="AB18" i="2"/>
  <c r="C60" i="2"/>
  <c r="S75" i="2"/>
  <c r="S27" i="2"/>
  <c r="S74" i="2"/>
  <c r="S50" i="2"/>
  <c r="T19" i="2"/>
  <c r="T22" i="2"/>
  <c r="T48" i="2"/>
  <c r="C37" i="2"/>
  <c r="C39" i="2"/>
  <c r="C45" i="2"/>
  <c r="C49" i="2"/>
  <c r="H23" i="2"/>
  <c r="H20" i="2"/>
  <c r="H15" i="2"/>
  <c r="H14" i="2"/>
  <c r="W26" i="2"/>
  <c r="W38" i="2"/>
  <c r="W29" i="2"/>
  <c r="W27" i="2"/>
  <c r="AA16" i="2"/>
  <c r="AA30" i="2"/>
  <c r="AA27" i="2"/>
  <c r="K32" i="2"/>
  <c r="K37" i="2"/>
  <c r="K28" i="2"/>
  <c r="K31" i="2"/>
  <c r="G30" i="2"/>
  <c r="G38" i="2"/>
  <c r="G31" i="2"/>
  <c r="O32" i="2"/>
  <c r="O40" i="2"/>
  <c r="O74" i="2"/>
  <c r="O27" i="2"/>
  <c r="O68" i="2"/>
  <c r="O59" i="2"/>
  <c r="W69" i="2"/>
  <c r="S70" i="2"/>
  <c r="K65" i="2"/>
  <c r="AA68" i="2"/>
  <c r="AA60" i="2"/>
  <c r="AA57" i="2"/>
  <c r="S72" i="2"/>
  <c r="W9" i="2"/>
  <c r="W11" i="2"/>
  <c r="W19" i="2"/>
  <c r="W6" i="2"/>
  <c r="K59" i="2"/>
  <c r="O48" i="2"/>
  <c r="O18" i="2"/>
  <c r="O10" i="2"/>
  <c r="O64" i="2"/>
  <c r="C66" i="2"/>
  <c r="C21" i="2"/>
  <c r="C15" i="2"/>
  <c r="C13" i="2"/>
  <c r="AA24" i="2"/>
  <c r="AA18" i="2"/>
  <c r="AA12" i="2"/>
  <c r="AA19" i="2"/>
  <c r="K23" i="2"/>
  <c r="K25" i="2"/>
  <c r="K15" i="2"/>
  <c r="K24" i="2"/>
  <c r="Y32" i="2"/>
  <c r="Y34" i="2"/>
  <c r="Y74" i="2"/>
  <c r="E67" i="2"/>
  <c r="Y58" i="2"/>
  <c r="Y52" i="2"/>
  <c r="Y26" i="2"/>
  <c r="E37" i="2"/>
  <c r="E66" i="2"/>
  <c r="AC13" i="2"/>
  <c r="E14" i="2"/>
  <c r="E9" i="2"/>
  <c r="AC14" i="2"/>
  <c r="Y50" i="2"/>
  <c r="Y12" i="2"/>
  <c r="U57" i="2"/>
  <c r="E28" i="2"/>
  <c r="M72" i="2"/>
  <c r="E11" i="2"/>
  <c r="E12" i="2"/>
  <c r="AC66" i="2"/>
  <c r="Y45" i="2"/>
  <c r="Y37" i="2"/>
  <c r="Q7" i="2"/>
  <c r="Y40" i="2"/>
  <c r="Y66" i="2"/>
  <c r="M23" i="2"/>
  <c r="E16" i="2"/>
  <c r="M59" i="2"/>
  <c r="M52" i="2"/>
  <c r="M6" i="2"/>
  <c r="E18" i="2"/>
  <c r="E38" i="2"/>
  <c r="Y6" i="2"/>
  <c r="Y16" i="2"/>
  <c r="AC11" i="2"/>
  <c r="AC9" i="2"/>
  <c r="AC19" i="2"/>
  <c r="Y17" i="2"/>
  <c r="E6" i="2"/>
  <c r="AC23" i="2"/>
  <c r="E20" i="2"/>
  <c r="M14" i="2"/>
  <c r="E64" i="2"/>
  <c r="Y53" i="2"/>
  <c r="AC15" i="2"/>
  <c r="AC6" i="2"/>
  <c r="E29" i="2"/>
  <c r="E17" i="2"/>
  <c r="I54" i="2"/>
  <c r="M12" i="2"/>
  <c r="E48" i="2"/>
  <c r="Y28" i="2"/>
  <c r="Y19" i="2"/>
  <c r="Q10" i="2"/>
  <c r="AC67" i="2"/>
  <c r="Y27" i="2"/>
  <c r="Y9" i="2"/>
  <c r="I60" i="2"/>
  <c r="M15" i="2"/>
  <c r="E39" i="2"/>
  <c r="E23" i="2"/>
  <c r="E13" i="2"/>
  <c r="AC10" i="2"/>
  <c r="AC64" i="2"/>
  <c r="Y29" i="2"/>
  <c r="Y25" i="2"/>
  <c r="U59" i="2"/>
  <c r="M25" i="2"/>
  <c r="E26" i="2"/>
  <c r="Q22" i="2"/>
  <c r="E24" i="2"/>
  <c r="E25" i="2"/>
  <c r="AC25" i="2"/>
  <c r="AC18" i="2"/>
  <c r="E10" i="2"/>
  <c r="E19" i="2"/>
  <c r="AC22" i="2"/>
  <c r="AC21" i="2"/>
  <c r="Y38" i="2"/>
  <c r="Y22" i="2"/>
  <c r="U60" i="2"/>
  <c r="M10" i="2"/>
  <c r="Q58" i="2"/>
  <c r="Q9" i="2"/>
  <c r="E21" i="2"/>
  <c r="E7" i="2"/>
  <c r="AC24" i="2"/>
  <c r="AC7" i="2"/>
  <c r="Y49" i="2"/>
  <c r="Y30" i="2"/>
  <c r="Y7" i="2"/>
  <c r="Y24" i="2"/>
  <c r="Y64" i="2"/>
  <c r="Y48" i="2"/>
  <c r="I57" i="2"/>
  <c r="U52" i="2"/>
  <c r="M9" i="2"/>
  <c r="M11" i="2"/>
  <c r="M20" i="2"/>
  <c r="M22" i="2"/>
  <c r="E8" i="2"/>
  <c r="E50" i="2"/>
  <c r="E44" i="2"/>
  <c r="E45" i="2"/>
  <c r="M55" i="2"/>
  <c r="Y59" i="2"/>
  <c r="Y57" i="2"/>
  <c r="Q23" i="2"/>
  <c r="Q13" i="2"/>
  <c r="Q67" i="2"/>
  <c r="Q25" i="2"/>
  <c r="Y46" i="2"/>
  <c r="I46" i="2"/>
  <c r="E35" i="2"/>
  <c r="Q34" i="2"/>
  <c r="Q35" i="2"/>
  <c r="U41" i="2"/>
  <c r="U22" i="2"/>
  <c r="U14" i="2"/>
  <c r="U10" i="2"/>
  <c r="AC46" i="2"/>
  <c r="AC34" i="2"/>
  <c r="M46" i="2"/>
  <c r="I22" i="2"/>
  <c r="I21" i="2"/>
  <c r="I11" i="2"/>
  <c r="AB72" i="2"/>
  <c r="AB59" i="2"/>
  <c r="X70" i="2"/>
  <c r="P52" i="2"/>
  <c r="D55" i="2"/>
  <c r="D72" i="2"/>
  <c r="AB74" i="2"/>
  <c r="AB31" i="2"/>
  <c r="AB44" i="2"/>
  <c r="P50" i="2"/>
  <c r="P73" i="2"/>
  <c r="P16" i="2"/>
  <c r="P33" i="2"/>
  <c r="L40" i="2"/>
  <c r="L26" i="2"/>
  <c r="L37" i="2"/>
  <c r="D45" i="2"/>
  <c r="D37" i="2"/>
  <c r="D40" i="2"/>
  <c r="D44" i="2"/>
  <c r="D65" i="2"/>
  <c r="L69" i="2"/>
  <c r="H68" i="2"/>
  <c r="X38" i="2"/>
  <c r="X30" i="2"/>
  <c r="X26" i="2"/>
  <c r="E22" i="2"/>
  <c r="E15" i="2"/>
  <c r="AC12" i="2"/>
  <c r="AC20" i="2"/>
  <c r="Y44" i="2"/>
  <c r="AC17" i="2"/>
  <c r="Y33" i="2"/>
  <c r="Y75" i="2"/>
  <c r="Y31" i="2"/>
  <c r="Y15" i="2"/>
  <c r="Y20" i="2"/>
  <c r="I52" i="2"/>
  <c r="M24" i="2"/>
  <c r="M66" i="2"/>
  <c r="M48" i="2"/>
  <c r="E40" i="2"/>
  <c r="E73" i="2"/>
  <c r="M53" i="2"/>
  <c r="M54" i="2"/>
  <c r="Y54" i="2"/>
  <c r="E58" i="2"/>
  <c r="Q64" i="2"/>
  <c r="Q66" i="2"/>
  <c r="Q20" i="2"/>
  <c r="AC53" i="2"/>
  <c r="Y41" i="2"/>
  <c r="I42" i="2"/>
  <c r="E46" i="2"/>
  <c r="Q42" i="2"/>
  <c r="U35" i="2"/>
  <c r="U43" i="2"/>
  <c r="U11" i="2"/>
  <c r="U15" i="2"/>
  <c r="U9" i="2"/>
  <c r="AC42" i="2"/>
  <c r="M42" i="2"/>
  <c r="M41" i="2"/>
  <c r="I66" i="2"/>
  <c r="I12" i="2"/>
  <c r="I15" i="2"/>
  <c r="AB54" i="2"/>
  <c r="T71" i="2"/>
  <c r="X69" i="2"/>
  <c r="P60" i="2"/>
  <c r="D54" i="2"/>
  <c r="AB8" i="2"/>
  <c r="AB73" i="2"/>
  <c r="AB38" i="2"/>
  <c r="AB27" i="2"/>
  <c r="P8" i="2"/>
  <c r="P30" i="2"/>
  <c r="P44" i="2"/>
  <c r="L39" i="2"/>
  <c r="L74" i="2"/>
  <c r="L44" i="2"/>
  <c r="L27" i="2"/>
  <c r="D32" i="2"/>
  <c r="D74" i="2"/>
  <c r="D28" i="2"/>
  <c r="AB69" i="2"/>
  <c r="D71" i="2"/>
  <c r="L71" i="2"/>
  <c r="H69" i="2"/>
  <c r="X50" i="2"/>
  <c r="X73" i="2"/>
  <c r="X32" i="2"/>
  <c r="AC48" i="2"/>
  <c r="Y8" i="2"/>
  <c r="Y21" i="2"/>
  <c r="Y14" i="2"/>
  <c r="U55" i="2"/>
  <c r="M7" i="2"/>
  <c r="E31" i="2"/>
  <c r="Y39" i="2"/>
  <c r="Y11" i="2"/>
  <c r="Y18" i="2"/>
  <c r="Y13" i="2"/>
  <c r="I59" i="2"/>
  <c r="U54" i="2"/>
  <c r="M21" i="2"/>
  <c r="M64" i="2"/>
  <c r="M13" i="2"/>
  <c r="E32" i="2"/>
  <c r="E33" i="2"/>
  <c r="M58" i="2"/>
  <c r="M60" i="2"/>
  <c r="Y72" i="2"/>
  <c r="E53" i="2"/>
  <c r="Q48" i="2"/>
  <c r="Q24" i="2"/>
  <c r="Q18" i="2"/>
  <c r="AC58" i="2"/>
  <c r="Y42" i="2"/>
  <c r="I34" i="2"/>
  <c r="E43" i="2"/>
  <c r="Q46" i="2"/>
  <c r="U34" i="2"/>
  <c r="U48" i="2"/>
  <c r="U64" i="2"/>
  <c r="U17" i="2"/>
  <c r="U18" i="2"/>
  <c r="AC36" i="2"/>
  <c r="M34" i="2"/>
  <c r="I9" i="2"/>
  <c r="I25" i="2"/>
  <c r="I14" i="2"/>
  <c r="I17" i="2"/>
  <c r="AB60" i="2"/>
  <c r="T68" i="2"/>
  <c r="X65" i="2"/>
  <c r="P72" i="2"/>
  <c r="D57" i="2"/>
  <c r="AB29" i="2"/>
  <c r="AB39" i="2"/>
  <c r="AB50" i="2"/>
  <c r="AB40" i="2"/>
  <c r="P32" i="2"/>
  <c r="P31" i="2"/>
  <c r="P39" i="2"/>
  <c r="L30" i="2"/>
  <c r="L16" i="2"/>
  <c r="L49" i="2"/>
  <c r="L38" i="2"/>
  <c r="D31" i="2"/>
  <c r="D8" i="2"/>
  <c r="D27" i="2"/>
  <c r="AB65" i="2"/>
  <c r="D70" i="2"/>
  <c r="L68" i="2"/>
  <c r="H71" i="2"/>
  <c r="X16" i="2"/>
  <c r="X44" i="2"/>
  <c r="X33" i="2"/>
  <c r="Y73" i="2"/>
  <c r="Y23" i="2"/>
  <c r="M19" i="2"/>
  <c r="E30" i="2"/>
  <c r="I35" i="2"/>
  <c r="U46" i="2"/>
  <c r="U23" i="2"/>
  <c r="U25" i="2"/>
  <c r="AC43" i="2"/>
  <c r="M36" i="2"/>
  <c r="I10" i="2"/>
  <c r="I64" i="2"/>
  <c r="I23" i="2"/>
  <c r="AB57" i="2"/>
  <c r="T69" i="2"/>
  <c r="X71" i="2"/>
  <c r="P55" i="2"/>
  <c r="D52" i="2"/>
  <c r="AB37" i="2"/>
  <c r="AB30" i="2"/>
  <c r="AB33" i="2"/>
  <c r="AB32" i="2"/>
  <c r="P75" i="2"/>
  <c r="P27" i="2"/>
  <c r="P49" i="2"/>
  <c r="L32" i="2"/>
  <c r="L31" i="2"/>
  <c r="L45" i="2"/>
  <c r="L50" i="2"/>
  <c r="D29" i="2"/>
  <c r="D39" i="2"/>
  <c r="D30" i="2"/>
  <c r="AB70" i="2"/>
  <c r="D68" i="2"/>
  <c r="L70" i="2"/>
  <c r="X37" i="2"/>
  <c r="X40" i="2"/>
  <c r="X74" i="2"/>
  <c r="X29" i="2"/>
  <c r="Y35" i="2"/>
  <c r="E42" i="2"/>
  <c r="Q43" i="2"/>
  <c r="U20" i="2"/>
  <c r="U24" i="2"/>
  <c r="I13" i="2"/>
  <c r="Y10" i="2"/>
  <c r="I72" i="2"/>
  <c r="I55" i="2"/>
  <c r="M67" i="2"/>
  <c r="M18" i="2"/>
  <c r="E27" i="2"/>
  <c r="E74" i="2"/>
  <c r="E75" i="2"/>
  <c r="E49" i="2"/>
  <c r="Q53" i="2"/>
  <c r="Y55" i="2"/>
  <c r="Q15" i="2"/>
  <c r="Q6" i="2"/>
  <c r="Q14" i="2"/>
  <c r="Q11" i="2"/>
  <c r="Y36" i="2"/>
  <c r="I36" i="2"/>
  <c r="I41" i="2"/>
  <c r="E36" i="2"/>
  <c r="Q41" i="2"/>
  <c r="U42" i="2"/>
  <c r="U7" i="2"/>
  <c r="U67" i="2"/>
  <c r="U66" i="2"/>
  <c r="U13" i="2"/>
  <c r="AC35" i="2"/>
  <c r="M43" i="2"/>
  <c r="I6" i="2"/>
  <c r="I67" i="2"/>
  <c r="I48" i="2"/>
  <c r="I20" i="2"/>
  <c r="AB55" i="2"/>
  <c r="T65" i="2"/>
  <c r="X68" i="2"/>
  <c r="P59" i="2"/>
  <c r="D60" i="2"/>
  <c r="AB75" i="2"/>
  <c r="AB26" i="2"/>
  <c r="AB45" i="2"/>
  <c r="P37" i="2"/>
  <c r="P29" i="2"/>
  <c r="P26" i="2"/>
  <c r="P45" i="2"/>
  <c r="L75" i="2"/>
  <c r="L8" i="2"/>
  <c r="L28" i="2"/>
  <c r="D16" i="2"/>
  <c r="D33" i="2"/>
  <c r="D49" i="2"/>
  <c r="D38" i="2"/>
  <c r="AB68" i="2"/>
  <c r="D69" i="2"/>
  <c r="H70" i="2"/>
  <c r="X31" i="2"/>
  <c r="X8" i="2"/>
  <c r="X49" i="2"/>
  <c r="X75" i="2"/>
  <c r="Y67" i="2"/>
  <c r="U72" i="2"/>
  <c r="M17" i="2"/>
  <c r="M57" i="2"/>
  <c r="Y60" i="2"/>
  <c r="Q12" i="2"/>
  <c r="Q19" i="2"/>
  <c r="Q17" i="2"/>
  <c r="Q21" i="2"/>
  <c r="Y43" i="2"/>
  <c r="I43" i="2"/>
  <c r="E34" i="2"/>
  <c r="E41" i="2"/>
  <c r="Q36" i="2"/>
  <c r="U36" i="2"/>
  <c r="U19" i="2"/>
  <c r="U21" i="2"/>
  <c r="U6" i="2"/>
  <c r="U12" i="2"/>
  <c r="AC41" i="2"/>
  <c r="M35" i="2"/>
  <c r="I18" i="2"/>
  <c r="I7" i="2"/>
  <c r="I24" i="2"/>
  <c r="I19" i="2"/>
  <c r="AB52" i="2"/>
  <c r="T70" i="2"/>
  <c r="P57" i="2"/>
  <c r="P54" i="2"/>
  <c r="D59" i="2"/>
  <c r="AB16" i="2"/>
  <c r="AB28" i="2"/>
  <c r="AB49" i="2"/>
  <c r="P38" i="2"/>
  <c r="P74" i="2"/>
  <c r="P40" i="2"/>
  <c r="P28" i="2"/>
  <c r="L29" i="2"/>
  <c r="L73" i="2"/>
  <c r="L33" i="2"/>
  <c r="D75" i="2"/>
  <c r="D26" i="2"/>
  <c r="D73" i="2"/>
  <c r="D50" i="2"/>
  <c r="AB71" i="2"/>
  <c r="L65" i="2"/>
  <c r="H65" i="2"/>
  <c r="X45" i="2"/>
  <c r="X39" i="2"/>
  <c r="X27" i="2"/>
  <c r="X28" i="2"/>
  <c r="R48" i="2"/>
  <c r="AD43" i="2"/>
  <c r="AD16" i="2"/>
  <c r="V18" i="2"/>
  <c r="AD37" i="2"/>
  <c r="AD49" i="2"/>
  <c r="R73" i="2"/>
  <c r="Q16" i="2"/>
  <c r="F46" i="2"/>
  <c r="Q75" i="2"/>
  <c r="R64" i="2"/>
  <c r="J48" i="2"/>
  <c r="N43" i="2"/>
  <c r="J42" i="2"/>
  <c r="Q55" i="2"/>
  <c r="Q26" i="2"/>
  <c r="J49" i="2"/>
  <c r="V6" i="2"/>
  <c r="E71" i="2"/>
  <c r="J18" i="2"/>
  <c r="Z36" i="2"/>
  <c r="J37" i="2"/>
  <c r="J25" i="2"/>
  <c r="AC54" i="2"/>
  <c r="J38" i="2"/>
  <c r="J50" i="2"/>
  <c r="AC60" i="2"/>
  <c r="J33" i="2"/>
  <c r="J32" i="2"/>
  <c r="AD45" i="2"/>
  <c r="J31" i="2"/>
  <c r="R30" i="2"/>
  <c r="R35" i="2"/>
  <c r="V34" i="2"/>
  <c r="Q57" i="2"/>
  <c r="Q68" i="2"/>
  <c r="R45" i="2"/>
  <c r="AC71" i="2"/>
  <c r="J29" i="2"/>
  <c r="AD31" i="2"/>
  <c r="R74" i="2"/>
  <c r="Q29" i="2"/>
  <c r="AD75" i="2"/>
  <c r="V22" i="2"/>
  <c r="R67" i="2"/>
  <c r="J6" i="2"/>
  <c r="V7" i="2"/>
  <c r="AD44" i="2"/>
  <c r="AD29" i="2"/>
  <c r="J73" i="2"/>
  <c r="R23" i="2"/>
  <c r="J40" i="2"/>
  <c r="J39" i="2"/>
  <c r="AD26" i="2"/>
  <c r="J28" i="2"/>
  <c r="J27" i="2"/>
  <c r="J45" i="2"/>
  <c r="AD33" i="2"/>
  <c r="AD28" i="2"/>
  <c r="AD39" i="2"/>
  <c r="AD50" i="2"/>
  <c r="R25" i="2"/>
  <c r="R22" i="2"/>
  <c r="R14" i="2"/>
  <c r="R66" i="2"/>
  <c r="J21" i="2"/>
  <c r="J12" i="2"/>
  <c r="J15" i="2"/>
  <c r="R28" i="2"/>
  <c r="R29" i="2"/>
  <c r="R31" i="2"/>
  <c r="R16" i="2"/>
  <c r="F43" i="2"/>
  <c r="N36" i="2"/>
  <c r="R34" i="2"/>
  <c r="V64" i="2"/>
  <c r="V15" i="2"/>
  <c r="V67" i="2"/>
  <c r="V66" i="2"/>
  <c r="J35" i="2"/>
  <c r="V35" i="2"/>
  <c r="AD46" i="2"/>
  <c r="Z42" i="2"/>
  <c r="Z41" i="2"/>
  <c r="AC72" i="2"/>
  <c r="Y70" i="2"/>
  <c r="Q59" i="2"/>
  <c r="I69" i="2"/>
  <c r="Q27" i="2"/>
  <c r="Q49" i="2"/>
  <c r="Q30" i="2"/>
  <c r="Q8" i="2"/>
  <c r="Q69" i="2"/>
  <c r="U70" i="2"/>
  <c r="E55" i="2"/>
  <c r="E52" i="2"/>
  <c r="U31" i="2"/>
  <c r="U8" i="2"/>
  <c r="U44" i="2"/>
  <c r="M70" i="2"/>
  <c r="M75" i="2"/>
  <c r="M40" i="2"/>
  <c r="M45" i="2"/>
  <c r="I27" i="2"/>
  <c r="I37" i="2"/>
  <c r="I28" i="2"/>
  <c r="I16" i="2"/>
  <c r="AC38" i="2"/>
  <c r="AC45" i="2"/>
  <c r="AC33" i="2"/>
  <c r="U45" i="2"/>
  <c r="M68" i="2"/>
  <c r="M28" i="2"/>
  <c r="M73" i="2"/>
  <c r="I32" i="2"/>
  <c r="I31" i="2"/>
  <c r="I49" i="2"/>
  <c r="AC40" i="2"/>
  <c r="AC29" i="2"/>
  <c r="E60" i="2"/>
  <c r="U75" i="2"/>
  <c r="M74" i="2"/>
  <c r="AC50" i="2"/>
  <c r="J8" i="2"/>
  <c r="AD40" i="2"/>
  <c r="AD73" i="2"/>
  <c r="R19" i="2"/>
  <c r="R9" i="2"/>
  <c r="R10" i="2"/>
  <c r="J7" i="2"/>
  <c r="J64" i="2"/>
  <c r="J24" i="2"/>
  <c r="R37" i="2"/>
  <c r="R39" i="2"/>
  <c r="R33" i="2"/>
  <c r="F41" i="2"/>
  <c r="F42" i="2"/>
  <c r="N42" i="2"/>
  <c r="R46" i="2"/>
  <c r="V11" i="2"/>
  <c r="V9" i="2"/>
  <c r="V12" i="2"/>
  <c r="V14" i="2"/>
  <c r="J41" i="2"/>
  <c r="V42" i="2"/>
  <c r="AD42" i="2"/>
  <c r="Z35" i="2"/>
  <c r="AC57" i="2"/>
  <c r="Y68" i="2"/>
  <c r="Q60" i="2"/>
  <c r="I65" i="2"/>
  <c r="AC69" i="2"/>
  <c r="Q74" i="2"/>
  <c r="Q28" i="2"/>
  <c r="Q73" i="2"/>
  <c r="Q45" i="2"/>
  <c r="U71" i="2"/>
  <c r="E70" i="2"/>
  <c r="E54" i="2"/>
  <c r="U73" i="2"/>
  <c r="U16" i="2"/>
  <c r="U32" i="2"/>
  <c r="U39" i="2"/>
  <c r="M69" i="2"/>
  <c r="M39" i="2"/>
  <c r="M27" i="2"/>
  <c r="M16" i="2"/>
  <c r="I75" i="2"/>
  <c r="I44" i="2"/>
  <c r="I30" i="2"/>
  <c r="I45" i="2"/>
  <c r="AC8" i="2"/>
  <c r="AC28" i="2"/>
  <c r="AC37" i="2"/>
  <c r="U28" i="2"/>
  <c r="U27" i="2"/>
  <c r="I26" i="2"/>
  <c r="J16" i="2"/>
  <c r="J74" i="2"/>
  <c r="AD74" i="2"/>
  <c r="AD30" i="2"/>
  <c r="J66" i="2"/>
  <c r="AD27" i="2"/>
  <c r="R13" i="2"/>
  <c r="J20" i="2"/>
  <c r="J67" i="2"/>
  <c r="R32" i="2"/>
  <c r="R26" i="2"/>
  <c r="N41" i="2"/>
  <c r="R43" i="2"/>
  <c r="V20" i="2"/>
  <c r="J43" i="2"/>
  <c r="V36" i="2"/>
  <c r="Z46" i="2"/>
  <c r="Y69" i="2"/>
  <c r="Q52" i="2"/>
  <c r="I71" i="2"/>
  <c r="AC70" i="2"/>
  <c r="Q44" i="2"/>
  <c r="Q32" i="2"/>
  <c r="Q65" i="2"/>
  <c r="U65" i="2"/>
  <c r="E68" i="2"/>
  <c r="E59" i="2"/>
  <c r="U37" i="2"/>
  <c r="U49" i="2"/>
  <c r="U30" i="2"/>
  <c r="U33" i="2"/>
  <c r="M29" i="2"/>
  <c r="M33" i="2"/>
  <c r="M32" i="2"/>
  <c r="M8" i="2"/>
  <c r="I74" i="2"/>
  <c r="I39" i="2"/>
  <c r="I33" i="2"/>
  <c r="AC74" i="2"/>
  <c r="AC26" i="2"/>
  <c r="AC27" i="2"/>
  <c r="AC49" i="2"/>
  <c r="R21" i="2"/>
  <c r="R11" i="2"/>
  <c r="R17" i="2"/>
  <c r="J17" i="2"/>
  <c r="J22" i="2"/>
  <c r="R75" i="2"/>
  <c r="F35" i="2"/>
  <c r="N34" i="2"/>
  <c r="V21" i="2"/>
  <c r="V10" i="2"/>
  <c r="J36" i="2"/>
  <c r="AD41" i="2"/>
  <c r="AC55" i="2"/>
  <c r="Q38" i="2"/>
  <c r="R12" i="2"/>
  <c r="R18" i="2"/>
  <c r="R15" i="2"/>
  <c r="J19" i="2"/>
  <c r="J9" i="2"/>
  <c r="J13" i="2"/>
  <c r="R44" i="2"/>
  <c r="F36" i="2"/>
  <c r="R42" i="2"/>
  <c r="V48" i="2"/>
  <c r="V19" i="2"/>
  <c r="J34" i="2"/>
  <c r="V43" i="2"/>
  <c r="Z43" i="2"/>
  <c r="Y65" i="2"/>
  <c r="I68" i="2"/>
  <c r="AC65" i="2"/>
  <c r="Q31" i="2"/>
  <c r="Q33" i="2"/>
  <c r="Q71" i="2"/>
  <c r="U68" i="2"/>
  <c r="E69" i="2"/>
  <c r="E72" i="2"/>
  <c r="U74" i="2"/>
  <c r="U38" i="2"/>
  <c r="U40" i="2"/>
  <c r="M65" i="2"/>
  <c r="M38" i="2"/>
  <c r="M30" i="2"/>
  <c r="M37" i="2"/>
  <c r="M49" i="2"/>
  <c r="I40" i="2"/>
  <c r="I73" i="2"/>
  <c r="I38" i="2"/>
  <c r="AC30" i="2"/>
  <c r="AC16" i="2"/>
  <c r="AC32" i="2"/>
  <c r="AC44" i="2"/>
  <c r="J10" i="2"/>
  <c r="R38" i="2"/>
  <c r="R8" i="2"/>
  <c r="N46" i="2"/>
  <c r="R41" i="2"/>
  <c r="V13" i="2"/>
  <c r="V41" i="2"/>
  <c r="AD34" i="2"/>
  <c r="AC52" i="2"/>
  <c r="Q54" i="2"/>
  <c r="Q50" i="2"/>
  <c r="J26" i="2"/>
  <c r="J30" i="2"/>
  <c r="J75" i="2"/>
  <c r="J44" i="2"/>
  <c r="AD32" i="2"/>
  <c r="AD8" i="2"/>
  <c r="AD38" i="2"/>
  <c r="R24" i="2"/>
  <c r="R7" i="2"/>
  <c r="R6" i="2"/>
  <c r="R20" i="2"/>
  <c r="J14" i="2"/>
  <c r="J11" i="2"/>
  <c r="J23" i="2"/>
  <c r="R49" i="2"/>
  <c r="R50" i="2"/>
  <c r="R40" i="2"/>
  <c r="R27" i="2"/>
  <c r="F34" i="2"/>
  <c r="N35" i="2"/>
  <c r="R36" i="2"/>
  <c r="V23" i="2"/>
  <c r="V17" i="2"/>
  <c r="V25" i="2"/>
  <c r="V24" i="2"/>
  <c r="J46" i="2"/>
  <c r="V46" i="2"/>
  <c r="AD35" i="2"/>
  <c r="AD36" i="2"/>
  <c r="Z34" i="2"/>
  <c r="AC59" i="2"/>
  <c r="Y71" i="2"/>
  <c r="Q72" i="2"/>
  <c r="I70" i="2"/>
  <c r="AC68" i="2"/>
  <c r="Q39" i="2"/>
  <c r="Q40" i="2"/>
  <c r="Q37" i="2"/>
  <c r="Q70" i="2"/>
  <c r="U69" i="2"/>
  <c r="E65" i="2"/>
  <c r="E57" i="2"/>
  <c r="U29" i="2"/>
  <c r="U50" i="2"/>
  <c r="U26" i="2"/>
  <c r="M71" i="2"/>
  <c r="M50" i="2"/>
  <c r="M44" i="2"/>
  <c r="M31" i="2"/>
  <c r="M26" i="2"/>
  <c r="I8" i="2"/>
  <c r="I29" i="2"/>
  <c r="I50" i="2"/>
  <c r="AC31" i="2"/>
  <c r="AC39" i="2"/>
  <c r="AC75" i="2"/>
  <c r="AC73" i="2"/>
  <c r="F54" i="2"/>
  <c r="N28" i="2"/>
  <c r="AD52" i="2"/>
  <c r="AD64" i="2"/>
  <c r="J54" i="2"/>
  <c r="Z15" i="2"/>
  <c r="N52" i="2"/>
  <c r="F48" i="2"/>
  <c r="F33" i="2"/>
  <c r="F65" i="2"/>
  <c r="Z21" i="2"/>
  <c r="N45" i="2"/>
  <c r="Z55" i="2"/>
  <c r="F23" i="2"/>
  <c r="AD48" i="2"/>
  <c r="F45" i="2"/>
  <c r="J60" i="2"/>
  <c r="AD71" i="2"/>
  <c r="N10" i="2"/>
  <c r="J59" i="2"/>
  <c r="F72" i="2"/>
  <c r="Z14" i="2"/>
  <c r="N7" i="2"/>
  <c r="N22" i="2"/>
  <c r="N59" i="2"/>
  <c r="V55" i="2"/>
  <c r="F9" i="2"/>
  <c r="Z40" i="2"/>
  <c r="F17" i="2"/>
  <c r="F44" i="2"/>
  <c r="F39" i="2"/>
  <c r="F27" i="2"/>
  <c r="F75" i="2"/>
  <c r="V16" i="2"/>
  <c r="V30" i="2"/>
  <c r="V73" i="2"/>
  <c r="F67" i="2"/>
  <c r="Z64" i="2"/>
  <c r="AD11" i="2"/>
  <c r="F40" i="2"/>
  <c r="F30" i="2"/>
  <c r="V38" i="2"/>
  <c r="V26" i="2"/>
  <c r="V33" i="2"/>
  <c r="Z8" i="2"/>
  <c r="J52" i="2"/>
  <c r="F24" i="2"/>
  <c r="F60" i="2"/>
  <c r="F26" i="2"/>
  <c r="Z53" i="2"/>
  <c r="N8" i="2"/>
  <c r="N12" i="2"/>
  <c r="V70" i="2"/>
  <c r="Z10" i="2"/>
  <c r="N48" i="2"/>
  <c r="N60" i="2"/>
  <c r="AD13" i="2"/>
  <c r="V71" i="2"/>
  <c r="Z20" i="2"/>
  <c r="N44" i="2"/>
  <c r="V57" i="2"/>
  <c r="AD25" i="2"/>
  <c r="Z75" i="2"/>
  <c r="N58" i="2"/>
  <c r="Z17" i="2"/>
  <c r="N29" i="2"/>
  <c r="N16" i="2"/>
  <c r="V52" i="2"/>
  <c r="AD19" i="2"/>
  <c r="V74" i="2"/>
  <c r="F55" i="2"/>
  <c r="N38" i="2"/>
  <c r="N24" i="2"/>
  <c r="N39" i="2"/>
  <c r="J70" i="2"/>
  <c r="V54" i="2"/>
  <c r="F15" i="2"/>
  <c r="F11" i="2"/>
  <c r="F7" i="2"/>
  <c r="AD21" i="2"/>
  <c r="AD66" i="2"/>
  <c r="Z74" i="2"/>
  <c r="Z37" i="2"/>
  <c r="Z29" i="2"/>
  <c r="Z27" i="2"/>
  <c r="F49" i="2"/>
  <c r="F38" i="2"/>
  <c r="F28" i="2"/>
  <c r="V8" i="2"/>
  <c r="V32" i="2"/>
  <c r="V31" i="2"/>
  <c r="V28" i="2"/>
  <c r="Z13" i="2"/>
  <c r="N20" i="2"/>
  <c r="Z59" i="2"/>
  <c r="AD6" i="2"/>
  <c r="Z58" i="2"/>
  <c r="Z7" i="2"/>
  <c r="N30" i="2"/>
  <c r="AD57" i="2"/>
  <c r="F10" i="2"/>
  <c r="F8" i="2"/>
  <c r="F59" i="2"/>
  <c r="N67" i="2"/>
  <c r="N54" i="2"/>
  <c r="AD20" i="2"/>
  <c r="Z31" i="2"/>
  <c r="V27" i="2"/>
  <c r="F70" i="2"/>
  <c r="N23" i="2"/>
  <c r="N25" i="2"/>
  <c r="AD72" i="2"/>
  <c r="N72" i="2"/>
  <c r="Z72" i="2"/>
  <c r="F18" i="2"/>
  <c r="AD24" i="2"/>
  <c r="F69" i="2"/>
  <c r="N31" i="2"/>
  <c r="V60" i="2"/>
  <c r="Z73" i="2"/>
  <c r="Z9" i="2"/>
  <c r="N21" i="2"/>
  <c r="Z57" i="2"/>
  <c r="F22" i="2"/>
  <c r="AD17" i="2"/>
  <c r="AD58" i="2"/>
  <c r="AD68" i="2"/>
  <c r="N74" i="2"/>
  <c r="AD54" i="2"/>
  <c r="F13" i="2"/>
  <c r="Z30" i="2"/>
  <c r="V50" i="2"/>
  <c r="N53" i="2"/>
  <c r="Z19" i="2"/>
  <c r="N37" i="2"/>
  <c r="F68" i="2"/>
  <c r="Z25" i="2"/>
  <c r="N50" i="2"/>
  <c r="J68" i="2"/>
  <c r="F66" i="2"/>
  <c r="AD7" i="2"/>
  <c r="AD9" i="2"/>
  <c r="Z45" i="2"/>
  <c r="Z39" i="2"/>
  <c r="F31" i="2"/>
  <c r="F50" i="2"/>
  <c r="F16" i="2"/>
  <c r="V49" i="2"/>
  <c r="V29" i="2"/>
  <c r="V37" i="2"/>
  <c r="V40" i="2"/>
  <c r="Z67" i="2"/>
  <c r="N19" i="2"/>
  <c r="V72" i="2"/>
  <c r="Z16" i="2"/>
  <c r="AD65" i="2"/>
  <c r="N11" i="2"/>
  <c r="J69" i="2"/>
  <c r="AD18" i="2"/>
  <c r="Z49" i="2"/>
  <c r="V69" i="2"/>
  <c r="Z11" i="2"/>
  <c r="N75" i="2"/>
  <c r="J71" i="2"/>
  <c r="F6" i="2"/>
  <c r="Z28" i="2"/>
  <c r="F73" i="2"/>
  <c r="Z24" i="2"/>
  <c r="N32" i="2"/>
  <c r="J57" i="2"/>
  <c r="AD69" i="2"/>
  <c r="N18" i="2"/>
  <c r="N14" i="2"/>
  <c r="F25" i="2"/>
  <c r="AD70" i="2"/>
  <c r="N13" i="2"/>
  <c r="J65" i="2"/>
  <c r="AD67" i="2"/>
  <c r="F71" i="2"/>
  <c r="N15" i="2"/>
  <c r="N26" i="2"/>
  <c r="F20" i="2"/>
  <c r="Z33" i="2"/>
  <c r="J55" i="2"/>
  <c r="Z66" i="2"/>
  <c r="N27" i="2"/>
  <c r="F64" i="2"/>
  <c r="AD12" i="2"/>
  <c r="F29" i="2"/>
  <c r="AD53" i="2"/>
  <c r="V65" i="2"/>
  <c r="Z23" i="2"/>
  <c r="F58" i="2"/>
  <c r="R53" i="2"/>
  <c r="Z6" i="2"/>
  <c r="N17" i="2"/>
  <c r="N66" i="2"/>
  <c r="AD59" i="2"/>
  <c r="N55" i="2"/>
  <c r="Z60" i="2"/>
  <c r="F19" i="2"/>
  <c r="AD10" i="2"/>
  <c r="Z38" i="2"/>
  <c r="F53" i="2"/>
  <c r="J72" i="2"/>
  <c r="V68" i="2"/>
  <c r="R58" i="2"/>
  <c r="F57" i="2"/>
  <c r="F52" i="2"/>
  <c r="Z18" i="2"/>
  <c r="Z22" i="2"/>
  <c r="Z48" i="2"/>
  <c r="Z12" i="2"/>
  <c r="N64" i="2"/>
  <c r="N73" i="2"/>
  <c r="N49" i="2"/>
  <c r="N33" i="2"/>
  <c r="N9" i="2"/>
  <c r="N40" i="2"/>
  <c r="N6" i="2"/>
  <c r="AD60" i="2"/>
  <c r="AD55" i="2"/>
  <c r="N57" i="2"/>
  <c r="Z52" i="2"/>
  <c r="Z54" i="2"/>
  <c r="V59" i="2"/>
  <c r="F21" i="2"/>
  <c r="F14" i="2"/>
  <c r="F12" i="2"/>
  <c r="AD23" i="2"/>
  <c r="AD22" i="2"/>
  <c r="AD15" i="2"/>
  <c r="AD14" i="2"/>
  <c r="Z44" i="2"/>
  <c r="Z50" i="2"/>
  <c r="Z26" i="2"/>
  <c r="Z32" i="2"/>
  <c r="F37" i="2"/>
  <c r="F74" i="2"/>
  <c r="F32" i="2"/>
  <c r="V44" i="2"/>
  <c r="V45" i="2"/>
  <c r="V75" i="2"/>
  <c r="V39" i="2"/>
  <c r="R72" i="2"/>
  <c r="R69" i="2"/>
  <c r="N71" i="2"/>
  <c r="R55" i="2"/>
  <c r="R60" i="2"/>
  <c r="N68" i="2"/>
  <c r="Z65" i="2"/>
  <c r="N69" i="2"/>
  <c r="R68" i="2"/>
  <c r="Z71" i="2"/>
  <c r="R52" i="2"/>
  <c r="Z69" i="2"/>
  <c r="R71" i="2"/>
  <c r="N70" i="2"/>
  <c r="R70" i="2"/>
  <c r="Z70" i="2"/>
  <c r="R65" i="2"/>
  <c r="R57" i="2"/>
  <c r="N65" i="2"/>
  <c r="Z68" i="2"/>
  <c r="R54" i="2"/>
  <c r="R5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<sst xmlns="http://schemas.openxmlformats.org/spreadsheetml/2006/main" count="224" uniqueCount="191">
  <si>
    <t>Revenue</t>
  </si>
  <si>
    <t>Gross Profit</t>
  </si>
  <si>
    <t>Reference Items</t>
  </si>
  <si>
    <t>Right click to show data transparency (not supported for all values)</t>
  </si>
  <si>
    <t>Deere &amp; Co (DE US) - BBG Adjusted</t>
  </si>
  <si>
    <t>In Millions of USD except Per Share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</si>
  <si>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</si>
  <si>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</si>
  <si>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</si>
  <si>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</si>
  <si>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</si>
  <si>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</si>
  <si>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</si>
  <si>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</si>
  <si>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</si>
  <si>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</si>
  <si>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</si>
  <si>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</si>
  <si>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</si>
  <si>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</si>
  <si>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</si>
  <si>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</si>
  <si>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</si>
  <si>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</si>
  <si>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</si>
  <si>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</si>
  <si>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</si>
  <si>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</si>
  <si>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</si>
  <si>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</si>
  <si>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</si>
  <si>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</si>
  <si>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</si>
  <si>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</si>
  <si>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</si>
  <si>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</si>
  <si>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Months Ending</t>
  </si>
  <si>
    <t>01/27/2019</t>
  </si>
  <si>
    <t>04/28/2019</t>
  </si>
  <si>
    <t>07/28/2019</t>
  </si>
  <si>
    <t>11/03/2019</t>
  </si>
  <si>
    <t>02/02/2020</t>
  </si>
  <si>
    <t>05/03/2020</t>
  </si>
  <si>
    <t>08/02/2020</t>
  </si>
  <si>
    <t>11/01/2020</t>
  </si>
  <si>
    <t>01/30/2021</t>
  </si>
  <si>
    <t>05/02/2021</t>
  </si>
  <si>
    <t>08/01/2021</t>
  </si>
  <si>
    <t>10/31/2021</t>
  </si>
  <si>
    <t>01/30/2022</t>
  </si>
  <si>
    <t>05/01/2022</t>
  </si>
  <si>
    <t>07/31/2022</t>
  </si>
  <si>
    <t>10/30/2022</t>
  </si>
  <si>
    <t>01/29/2023</t>
  </si>
  <si>
    <t>04/30/2023</t>
  </si>
  <si>
    <t>07/30/2023</t>
  </si>
  <si>
    <t>10/29/2023</t>
  </si>
  <si>
    <t>01/28/2024</t>
  </si>
  <si>
    <t>04/28/2024</t>
  </si>
  <si>
    <t>07/28/2024</t>
  </si>
  <si>
    <t>10/27/2024</t>
  </si>
  <si>
    <t>01/26/2025</t>
  </si>
  <si>
    <t>04/27/2025</t>
  </si>
  <si>
    <t>07/27/2025</t>
  </si>
  <si>
    <t>11/02/2025</t>
  </si>
  <si>
    <t>01/31/2026</t>
  </si>
  <si>
    <t>04/30/2026</t>
  </si>
  <si>
    <t>SALES_REV_TURN</t>
  </si>
  <si>
    <t xml:space="preserve">    + Sales &amp; Services Revenue</t>
  </si>
  <si>
    <t>IS_SALES_AND_SERVICES_REVENUES</t>
  </si>
  <si>
    <t xml:space="preserve">    + Financing Revenue</t>
  </si>
  <si>
    <t>IS_ADJUSTED_FIN_SUBSIDIARY_REV</t>
  </si>
  <si>
    <t xml:space="preserve">    + Other Revenue</t>
  </si>
  <si>
    <t>IS_OTHER_REVENUE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</si>
  <si>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</si>
  <si>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</si>
  <si>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</si>
  <si>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</si>
  <si>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</si>
  <si>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</si>
  <si>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</si>
  <si>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</si>
  <si>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</si>
  <si>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</si>
  <si>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</si>
  <si>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</si>
  <si>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</si>
  <si>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</si>
  <si>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</si>
  <si>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</si>
  <si>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>IS_OPER_INC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</si>
  <si>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</si>
  <si>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</si>
  <si>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</si>
  <si>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</si>
  <si>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</si>
  <si>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</si>
  <si>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</si>
  <si>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</si>
  <si>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</si>
  <si>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</si>
  <si>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</si>
  <si>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</si>
  <si>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</si>
  <si>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</si>
  <si>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</si>
  <si>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</si>
  <si>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Asset Write-Down</t>
  </si>
  <si>
    <t>IS_IMPAIRMENT_ASSETS</t>
  </si>
  <si>
    <t xml:space="preserve">    + Impairment of Intangibles</t>
  </si>
  <si>
    <t>IS_IMPAIR_OF_INTANG_ASSETS</t>
  </si>
  <si>
    <t xml:space="preserve">    + Gain/Loss on Sale/Acquisition of Business</t>
  </si>
  <si>
    <t>IS_SALE_OF_BUSINESS</t>
  </si>
  <si>
    <t xml:space="preserve">    + Legal Settlement</t>
  </si>
  <si>
    <t>IS_LEGAL_LITIGATION_SETTLEMENT</t>
  </si>
  <si>
    <t xml:space="preserve">    + Restructuring</t>
  </si>
  <si>
    <t>IS_RESTRUCTURING_EXPENSES</t>
  </si>
  <si>
    <t xml:space="preserve">    + Unrealized Investments</t>
  </si>
  <si>
    <t>IS_UNREALIZED_INVESTMENTS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</si>
  <si>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</si>
  <si>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</si>
  <si>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</si>
  <si>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</si>
  <si>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</si>
  <si>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 xml:space="preserve">  - (Income) Loss from Affiliates</t>
  </si>
  <si>
    <t>IS_SH_PRO_EQY_MT_INV_NET_OF_TAX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</si>
  <si>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</si>
  <si>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</si>
  <si>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</si>
  <si>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</si>
  <si>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</si>
  <si>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</si>
  <si>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</si>
  <si>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</si>
  <si>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</si>
  <si>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</si>
  <si>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</si>
  <si>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</si>
  <si>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</si>
  <si>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</si>
  <si>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</si>
  <si>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</si>
  <si>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</si>
  <si>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</si>
  <si>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</si>
  <si>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</si>
  <si>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</si>
  <si>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</si>
  <si>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</si>
  <si>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</si>
  <si>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</si>
  <si>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</si>
  <si>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</si>
  <si>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</si>
  <si>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</si>
  <si>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</si>
  <si>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</si>
  <si>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</si>
  <si>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</si>
  <si>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</si>
  <si>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</si>
  <si>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</si>
  <si>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</si>
  <si>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</si>
  <si>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</si>
  <si>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</si>
  <si>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</si>
  <si>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</si>
  <si>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US GAAP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</si>
  <si>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</si>
  <si>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</si>
  <si>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</si>
  <si>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</si>
  <si>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</si>
  <si>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</si>
  <si>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</si>
  <si>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</si>
  <si>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</si>
  <si>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</si>
  <si>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</si>
  <si>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</si>
  <si>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</si>
  <si>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</si>
  <si>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</si>
  <si>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</si>
  <si>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</si>
  <si>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Depreciation Expense</t>
  </si>
  <si>
    <t>IS_DEPR_EXP</t>
  </si>
  <si>
    <t>Rental Expense</t>
  </si>
  <si>
    <t>BS_CURR_RENTAL_EXPENSE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</si>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</sst>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0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</cellStyleXfs>
  <cellXfs count="19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71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8" fillId="34" borderId="2" xfId="56" applyNumberFormat="1" applyFont="1" applyFill="1" applyBorder="1" applyAlignment="1" applyProtection="1">
      <alignment horizontal="right"/>
    </xf>
    <xf numFmtId="171" fontId="8" fillId="34" borderId="2" xfId="57" applyNumberFormat="1" applyFont="1" applyFill="1" applyBorder="1" applyAlignment="1" applyProtection="1">
      <alignment horizontal="right"/>
    </xf>
    <xf numFmtId="4" fontId="8" fillId="34" borderId="2" xfId="58" applyNumberFormat="1" applyFont="1" applyFill="1" applyBorder="1" applyAlignment="1" applyProtection="1">
      <alignment horizontal="right"/>
    </xf>
    <xf numFmtId="171" fontId="11" fillId="34" borderId="2" xfId="59" applyNumberFormat="1" applyFont="1" applyFill="1" applyBorder="1" applyAlignment="1" applyProtection="1">
      <alignment horizontal="right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6" xr:uid="{00000000-0005-0000-0000-000023000000}"/>
    <cellStyle name="fa_data_bold_1_grouped" xfId="57" xr:uid="{00000000-0005-0000-0000-000024000000}"/>
    <cellStyle name="fa_data_bold_2_grouped" xfId="58" xr:uid="{00000000-0005-0000-0000-000025000000}"/>
    <cellStyle name="fa_data_italic_1_grouped" xfId="59" xr:uid="{00000000-0005-0000-0000-000026000000}"/>
    <cellStyle name="fa_data_standard_0_grouped" xfId="53" xr:uid="{00000000-0005-0000-0000-000027000000}"/>
    <cellStyle name="fa_data_standard_1_grouped" xfId="54" xr:uid="{00000000-0005-0000-0000-000028000000}"/>
    <cellStyle name="fa_data_standard_2_grouped" xfId="55" xr:uid="{00000000-0005-0000-0000-000029000000}"/>
    <cellStyle name="fa_footer_italic" xfId="34" xr:uid="{00000000-0005-0000-0000-00002A000000}"/>
    <cellStyle name="fa_row_header_bold" xfId="35" xr:uid="{00000000-0005-0000-0000-00002B000000}"/>
    <cellStyle name="fa_row_header_italic" xfId="36" xr:uid="{00000000-0005-0000-0000-00002C000000}"/>
    <cellStyle name="fa_row_header_standard" xfId="37" xr:uid="{00000000-0005-0000-0000-00002D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BDH|16504456086417035778</stp>
        <tr r="L10" s="2"/>
      </tp>
      <tp t="s">
        <v>#N/A N/A</v>
        <stp/>
        <stp>BDH|16930716043809372692</stp>
        <tr r="V19" s="2"/>
      </tp>
      <tp t="s">
        <v>#N/A N/A</v>
        <stp/>
        <stp>BDH|16589143376112290840</stp>
        <tr r="H8" s="2"/>
      </tp>
      <tp t="s">
        <v>#N/A N/A</v>
        <stp/>
        <stp>BDH|10601835757506629157</stp>
        <tr r="L26" s="2"/>
      </tp>
      <tp t="s">
        <v>#N/A N/A</v>
        <stp/>
        <stp>BDH|15179070544202341911</stp>
        <tr r="E30" s="2"/>
      </tp>
      <tp t="s">
        <v>#N/A N/A</v>
        <stp/>
        <stp>BDH|14652834576345609452</stp>
        <tr r="F67" s="2"/>
      </tp>
      <tp t="s">
        <v>#N/A N/A</v>
        <stp/>
        <stp>BDH|16009203483502062407</stp>
        <tr r="S12" s="2"/>
      </tp>
      <tp t="s">
        <v>#N/A N/A</v>
        <stp/>
        <stp>BDH|14009064614649088602</stp>
        <tr r="M57" s="2"/>
      </tp>
      <tp t="s">
        <v>#N/A N/A</v>
        <stp/>
        <stp>BDH|11446220191435341568</stp>
        <tr r="U26" s="2"/>
      </tp>
      <tp t="s">
        <v>#N/A N/A</v>
        <stp/>
        <stp>BDH|17917677490403405180</stp>
        <tr r="X28" s="2"/>
      </tp>
      <tp t="s">
        <v>#N/A N/A</v>
        <stp/>
        <stp>BDH|17747827284334237911</stp>
        <tr r="S64" s="2"/>
      </tp>
      <tp t="s">
        <v>#N/A N/A</v>
        <stp/>
        <stp>BDH|11533850467161461416</stp>
        <tr r="X35" s="2"/>
      </tp>
      <tp t="s">
        <v>#N/A N/A</v>
        <stp/>
        <stp>BDH|11201307161339454750</stp>
        <tr r="C54" s="2"/>
      </tp>
      <tp t="s">
        <v>#N/A N/A</v>
        <stp/>
        <stp>BDH|17635015675608563253</stp>
        <tr r="V7" s="2"/>
      </tp>
      <tp t="s">
        <v>#N/A N/A</v>
        <stp/>
        <stp>BDH|10561146190634602629</stp>
        <tr r="W7" s="2"/>
      </tp>
      <tp t="s">
        <v>#N/A N/A</v>
        <stp/>
        <stp>BDH|14564198145398828341</stp>
        <tr r="AD50" s="2"/>
        <tr r="AD38" s="2"/>
      </tp>
      <tp t="s">
        <v>#N/A N/A</v>
        <stp/>
        <stp>BDH|15387619899178750899</stp>
        <tr r="O25" s="2"/>
      </tp>
      <tp t="s">
        <v>#N/A N/A</v>
        <stp/>
        <stp>BDH|13072874586388045142</stp>
        <tr r="AB36" s="2"/>
      </tp>
      <tp t="s">
        <v>#N/A N/A</v>
        <stp/>
        <stp>BDH|12678858445273150733</stp>
        <tr r="P27" s="2"/>
      </tp>
      <tp t="s">
        <v>#N/A N/A</v>
        <stp/>
        <stp>BDH|14995842550274851725</stp>
        <tr r="I70" s="2"/>
      </tp>
      <tp t="s">
        <v>#N/A N/A</v>
        <stp/>
        <stp>BDH|10919392476248549642</stp>
        <tr r="H15" s="2"/>
      </tp>
      <tp t="s">
        <v>#N/A N/A</v>
        <stp/>
        <stp>BDH|15610478737791050909</stp>
        <tr r="R70" s="2"/>
      </tp>
      <tp t="s">
        <v>#N/A N/A</v>
        <stp/>
        <stp>BDH|11546875219122458093</stp>
        <tr r="D23" s="2"/>
      </tp>
      <tp t="s">
        <v>#N/A N/A</v>
        <stp/>
        <stp>BDH|14110817893827956838</stp>
        <tr r="X60" s="2"/>
      </tp>
      <tp t="s">
        <v>#N/A N/A</v>
        <stp/>
        <stp>BDH|10921093598654243732</stp>
        <tr r="AB33" s="2"/>
      </tp>
      <tp t="s">
        <v>#N/A N/A</v>
        <stp/>
        <stp>BDH|10637901247041055698</stp>
        <tr r="H32" s="2"/>
      </tp>
      <tp t="s">
        <v>#N/A N/A</v>
        <stp/>
        <stp>BDH|15652638714249971105</stp>
        <tr r="Z27" s="2"/>
      </tp>
      <tp t="s">
        <v>#N/A N/A</v>
        <stp/>
        <stp>BDH|10173154921350428990</stp>
        <tr r="S29" s="2"/>
      </tp>
      <tp t="s">
        <v>#N/A N/A</v>
        <stp/>
        <stp>BDH|18282520542866098595</stp>
        <tr r="F68" s="2"/>
      </tp>
      <tp t="s">
        <v>#N/A N/A</v>
        <stp/>
        <stp>BDH|15252510507353700980</stp>
        <tr r="N14" s="2"/>
      </tp>
      <tp t="s">
        <v>#N/A N/A</v>
        <stp/>
        <stp>BDH|17276419194403552388</stp>
        <tr r="E26" s="2"/>
      </tp>
      <tp t="s">
        <v>#N/A N/A</v>
        <stp/>
        <stp>BDH|18141780734143686519</stp>
        <tr r="X57" s="2"/>
      </tp>
      <tp t="s">
        <v>#N/A N/A</v>
        <stp/>
        <stp>BDH|17714836367600672388</stp>
        <tr r="G54" s="2"/>
      </tp>
      <tp t="s">
        <v>#N/A N/A</v>
        <stp/>
        <stp>BDH|13557988303735036537</stp>
        <tr r="H54" s="2"/>
      </tp>
      <tp t="s">
        <v>#N/A N/A</v>
        <stp/>
        <stp>BDH|18061142188483978880</stp>
        <tr r="AA19" s="2"/>
      </tp>
      <tp t="s">
        <v>#N/A N/A</v>
        <stp/>
        <stp>BDH|16249786323729640027</stp>
        <tr r="P16" s="2"/>
      </tp>
      <tp t="s">
        <v>#N/A N/A</v>
        <stp/>
        <stp>BDH|14978813840667500519</stp>
        <tr r="U33" s="2"/>
      </tp>
      <tp t="s">
        <v>#N/A N/A</v>
        <stp/>
        <stp>BDH|17082187354300670953</stp>
        <tr r="V24" s="2"/>
      </tp>
      <tp t="s">
        <v>#N/A N/A</v>
        <stp/>
        <stp>BDH|18232074423131980100</stp>
        <tr r="E20" s="2"/>
      </tp>
      <tp t="s">
        <v>#N/A N/A</v>
        <stp/>
        <stp>BDH|12552120982595908432</stp>
        <tr r="X26" s="2"/>
      </tp>
      <tp t="s">
        <v>#N/A N/A</v>
        <stp/>
        <stp>BDH|12206766128498775542</stp>
        <tr r="G24" s="2"/>
      </tp>
      <tp t="s">
        <v>#N/A N/A</v>
        <stp/>
        <stp>BDH|13916234930298130043</stp>
        <tr r="H35" s="2"/>
      </tp>
      <tp t="s">
        <v>#N/A N/A</v>
        <stp/>
        <stp>BDH|13691717901118816602</stp>
        <tr r="L54" s="2"/>
      </tp>
      <tp t="s">
        <v>#N/A N/A</v>
        <stp/>
        <stp>BDH|10297288064726143810</stp>
        <tr r="D58" s="2"/>
      </tp>
      <tp t="s">
        <v>#N/A N/A</v>
        <stp/>
        <stp>BDH|16802464155049362466</stp>
        <tr r="U36" s="2"/>
      </tp>
      <tp t="s">
        <v>#N/A N/A</v>
        <stp/>
        <stp>BDH|10063837622906543755</stp>
        <tr r="AA48" s="2"/>
      </tp>
      <tp t="s">
        <v>#N/A N/A</v>
        <stp/>
        <stp>BDH|11200317897218723824</stp>
        <tr r="Q40" s="2"/>
      </tp>
      <tp t="s">
        <v>#N/A N/A</v>
        <stp/>
        <stp>BDH|17985898610981698471</stp>
        <tr r="Z66" s="2"/>
      </tp>
      <tp t="s">
        <v>#N/A N/A</v>
        <stp/>
        <stp>BDH|11587929922895252468</stp>
        <tr r="AB66" s="2"/>
      </tp>
      <tp t="s">
        <v>#N/A N/A</v>
        <stp/>
        <stp>BDH|11602398020523673895</stp>
        <tr r="H46" s="2"/>
      </tp>
      <tp t="s">
        <v>#N/A N/A</v>
        <stp/>
        <stp>BDH|13158603625489776534</stp>
        <tr r="W20" s="2"/>
      </tp>
      <tp t="s">
        <v>#N/A N/A</v>
        <stp/>
        <stp>BDH|18216064732799393963</stp>
        <tr r="U13" s="2"/>
      </tp>
      <tp t="s">
        <v>#N/A N/A</v>
        <stp/>
        <stp>BDH|11992750809168539536</stp>
        <tr r="V25" s="2"/>
      </tp>
      <tp t="s">
        <v>#N/A N/A</v>
        <stp/>
        <stp>BDH|17066690475545879874</stp>
        <tr r="W15" s="2"/>
      </tp>
      <tp t="s">
        <v>#N/A N/A</v>
        <stp/>
        <stp>BDH|10534608646161087805</stp>
        <tr r="Z14" s="2"/>
      </tp>
      <tp t="s">
        <v>#N/A N/A</v>
        <stp/>
        <stp>BDH|14954387268588872225</stp>
        <tr r="AA66" s="2"/>
      </tp>
      <tp t="s">
        <v>#N/A N/A</v>
        <stp/>
        <stp>BDH|16595372944368056258</stp>
        <tr r="AC60" s="2"/>
      </tp>
      <tp t="s">
        <v>#N/A N/A</v>
        <stp/>
        <stp>BDH|14891018547389472290</stp>
        <tr r="L41" s="2"/>
      </tp>
      <tp t="s">
        <v>#N/A N/A</v>
        <stp/>
        <stp>BDH|13787876603795320520</stp>
        <tr r="E75" s="2"/>
      </tp>
      <tp t="s">
        <v>#N/A N/A</v>
        <stp/>
        <stp>BDH|11651552628664810919</stp>
        <tr r="T48" s="2"/>
      </tp>
      <tp t="s">
        <v>#N/A N/A</v>
        <stp/>
        <stp>BDH|13482613151093053869</stp>
        <tr r="J45" s="2"/>
      </tp>
      <tp t="s">
        <v>#N/A N/A</v>
        <stp/>
        <stp>BDH|14951439942617910847</stp>
        <tr r="X23" s="2"/>
      </tp>
      <tp t="s">
        <v>#N/A N/A</v>
        <stp/>
        <stp>BDH|10584146824828166017</stp>
        <tr r="AB14" s="2"/>
      </tp>
      <tp t="s">
        <v>#N/A N/A</v>
        <stp/>
        <stp>BDH|15132978112835805396</stp>
        <tr r="M52" s="2"/>
      </tp>
      <tp t="s">
        <v>#N/A N/A</v>
        <stp/>
        <stp>BDH|14961972059955664650</stp>
        <tr r="I17" s="2"/>
      </tp>
      <tp t="s">
        <v>#N/A N/A</v>
        <stp/>
        <stp>BDH|14179762131298280300</stp>
        <tr r="D38" s="2"/>
        <tr r="D50" s="2"/>
      </tp>
      <tp t="s">
        <v>#N/A N/A</v>
        <stp/>
        <stp>BDH|10906133798172459122</stp>
        <tr r="N75" s="2"/>
      </tp>
      <tp t="s">
        <v>#N/A N/A</v>
        <stp/>
        <stp>BDH|17894451389933738348</stp>
        <tr r="X46" s="2"/>
      </tp>
      <tp t="s">
        <v>#N/A N/A</v>
        <stp/>
        <stp>BDH|11654936412981744370</stp>
        <tr r="N11" s="2"/>
      </tp>
      <tp t="s">
        <v>#N/A N/A</v>
        <stp/>
        <stp>BDH|13207196429979054256</stp>
        <tr r="U10" s="2"/>
      </tp>
      <tp t="s">
        <v>#N/A N/A</v>
        <stp/>
        <stp>BDH|16288172050130391912</stp>
        <tr r="H37" s="2"/>
      </tp>
      <tp t="s">
        <v>#N/A N/A</v>
        <stp/>
        <stp>BDH|10041331255189163404</stp>
        <tr r="J73" s="2"/>
      </tp>
      <tp t="s">
        <v>#N/A N/A</v>
        <stp/>
        <stp>BDH|12246594729399161741</stp>
        <tr r="U44" s="2"/>
      </tp>
      <tp t="s">
        <v>#N/A N/A</v>
        <stp/>
        <stp>BDH|11535924951712192415</stp>
        <tr r="S59" s="2"/>
      </tp>
      <tp t="s">
        <v>#N/A N/A</v>
        <stp/>
        <stp>BDH|17229728264944677943</stp>
        <tr r="W54" s="2"/>
      </tp>
      <tp t="s">
        <v>#N/A N/A</v>
        <stp/>
        <stp>BDH|17398904571207821536</stp>
        <tr r="N39" s="2"/>
      </tp>
      <tp t="s">
        <v>#N/A N/A</v>
        <stp/>
        <stp>BDH|18163009677920980465</stp>
        <tr r="U68" s="2"/>
      </tp>
      <tp t="s">
        <v>#N/A N/A</v>
        <stp/>
        <stp>BDH|14399219405385614888</stp>
        <tr r="T27" s="2"/>
      </tp>
      <tp t="s">
        <v>#N/A N/A</v>
        <stp/>
        <stp>BDH|11700891377017479244</stp>
        <tr r="J54" s="2"/>
      </tp>
      <tp t="s">
        <v>#N/A N/A</v>
        <stp/>
        <stp>BDH|10058824645416653181</stp>
        <tr r="S43" s="2"/>
      </tp>
      <tp t="s">
        <v>#N/A N/A</v>
        <stp/>
        <stp>BDH|10670185390034492720</stp>
        <tr r="M68" s="2"/>
      </tp>
      <tp t="s">
        <v>#N/A N/A</v>
        <stp/>
        <stp>BDH|16496602467494384988</stp>
        <tr r="M49" s="2"/>
      </tp>
      <tp t="s">
        <v>#N/A N/A</v>
        <stp/>
        <stp>BDH|16715277886941690687</stp>
        <tr r="Q37" s="2"/>
      </tp>
      <tp t="s">
        <v>#N/A N/A</v>
        <stp/>
        <stp>BDH|13205301321411966822</stp>
        <tr r="E13" s="2"/>
      </tp>
      <tp t="s">
        <v>#N/A N/A</v>
        <stp/>
        <stp>BDH|17197169416279999530</stp>
        <tr r="AD19" s="2"/>
      </tp>
      <tp t="s">
        <v>#N/A N/A</v>
        <stp/>
        <stp>BDH|17069355877131195985</stp>
        <tr r="AB59" s="2"/>
      </tp>
      <tp t="s">
        <v>#N/A N/A</v>
        <stp/>
        <stp>BDH|11291136140629980635</stp>
        <tr r="F71" s="2"/>
      </tp>
      <tp t="s">
        <v>#N/A N/A</v>
        <stp/>
        <stp>BDH|17972328991754232223</stp>
        <tr r="O30" s="2"/>
      </tp>
      <tp t="s">
        <v>#N/A N/A</v>
        <stp/>
        <stp>BDH|13598994780060382950</stp>
        <tr r="O35" s="2"/>
      </tp>
      <tp t="s">
        <v>#N/A N/A</v>
        <stp/>
        <stp>BDH|14089885404125739266</stp>
        <tr r="E37" s="2"/>
      </tp>
      <tp t="s">
        <v>#N/A N/A</v>
        <stp/>
        <stp>BDH|18360496912475180343</stp>
        <tr r="E6" s="2"/>
      </tp>
      <tp t="s">
        <v>#N/A N/A</v>
        <stp/>
        <stp>BDH|11727402498460353712</stp>
        <tr r="W32" s="2"/>
      </tp>
      <tp t="s">
        <v>#N/A N/A</v>
        <stp/>
        <stp>BDH|11395274920333087990</stp>
        <tr r="M32" s="2"/>
      </tp>
      <tp t="s">
        <v>#N/A N/A</v>
        <stp/>
        <stp>BDH|16932449595279230962</stp>
        <tr r="X42" s="2"/>
      </tp>
      <tp t="s">
        <v>#N/A N/A</v>
        <stp/>
        <stp>BDH|13677845589191686917</stp>
        <tr r="O53" s="2"/>
      </tp>
      <tp t="s">
        <v>#N/A N/A</v>
        <stp/>
        <stp>BDH|15501007109576875880</stp>
        <tr r="V36" s="2"/>
      </tp>
      <tp t="s">
        <v>#N/A N/A</v>
        <stp/>
        <stp>BDH|17731281483062622449</stp>
        <tr r="P49" s="2"/>
      </tp>
      <tp t="s">
        <v>#N/A N/A</v>
        <stp/>
        <stp>BDH|11148053063904042897</stp>
        <tr r="E46" s="2"/>
      </tp>
      <tp t="s">
        <v>#N/A N/A</v>
        <stp/>
        <stp>BDH|12167236039541078950</stp>
        <tr r="D53" s="2"/>
      </tp>
      <tp t="s">
        <v>#N/A N/A</v>
        <stp/>
        <stp>BDH|16265687697541563362</stp>
        <tr r="I23" s="2"/>
      </tp>
      <tp t="s">
        <v>#N/A N/A</v>
        <stp/>
        <stp>BDH|14464884577429171941</stp>
        <tr r="E19" s="2"/>
      </tp>
      <tp t="s">
        <v>#N/A N/A</v>
        <stp/>
        <stp>BDH|12095467994202639554</stp>
        <tr r="AD73" s="2"/>
      </tp>
      <tp t="s">
        <v>#N/A N/A</v>
        <stp/>
        <stp>BDH|13204558020809741516</stp>
        <tr r="AD52" s="2"/>
      </tp>
      <tp t="s">
        <v>#N/A N/A</v>
        <stp/>
        <stp>BDH|18328893244418679494</stp>
        <tr r="Q57" s="2"/>
      </tp>
      <tp t="s">
        <v>#N/A N/A</v>
        <stp/>
        <stp>BDH|15563864479520263294</stp>
        <tr r="AA28" s="2"/>
      </tp>
      <tp t="s">
        <v>#N/A N/A</v>
        <stp/>
        <stp>BDH|18043061947511932597</stp>
        <tr r="F70" s="2"/>
      </tp>
      <tp t="s">
        <v>#N/A N/A</v>
        <stp/>
        <stp>BDH|12181267686995164505</stp>
        <tr r="S33" s="2"/>
      </tp>
      <tp t="s">
        <v>#N/A N/A</v>
        <stp/>
        <stp>BDH|14827710259638352635</stp>
        <tr r="Z58" s="2"/>
      </tp>
      <tp t="s">
        <v>#N/A N/A</v>
        <stp/>
        <stp>BDH|14675719085180421357</stp>
        <tr r="M59" s="2"/>
      </tp>
      <tp t="s">
        <v>#N/A N/A</v>
        <stp/>
        <stp>BDH|13720689897690262498</stp>
        <tr r="Z33" s="2"/>
      </tp>
      <tp t="s">
        <v>#N/A N/A</v>
        <stp/>
        <stp>BDH|10269294943167963925</stp>
        <tr r="T25" s="2"/>
      </tp>
      <tp t="s">
        <v>#N/A N/A</v>
        <stp/>
        <stp>BDH|18029155176333232521</stp>
        <tr r="I19" s="2"/>
      </tp>
      <tp t="s">
        <v>#N/A N/A</v>
        <stp/>
        <stp>BDH|12872467611716932942</stp>
        <tr r="AA15" s="2"/>
      </tp>
      <tp t="s">
        <v>#N/A N/A</v>
        <stp/>
        <stp>BDH|11577756730924180935</stp>
        <tr r="I28" s="2"/>
      </tp>
      <tp t="s">
        <v>#N/A N/A</v>
        <stp/>
        <stp>BDH|11932124590566854765</stp>
        <tr r="Z10" s="2"/>
      </tp>
      <tp t="s">
        <v>#N/A N/A</v>
        <stp/>
        <stp>BDH|12224549584124681310</stp>
        <tr r="U24" s="2"/>
      </tp>
      <tp t="s">
        <v>#N/A N/A</v>
        <stp/>
        <stp>BDH|10343376392595256714</stp>
        <tr r="U65" s="2"/>
      </tp>
      <tp t="s">
        <v>#N/A N/A</v>
        <stp/>
        <stp>BDH|10254159485237685606</stp>
        <tr r="AB25" s="2"/>
      </tp>
      <tp t="s">
        <v>#N/A N/A</v>
        <stp/>
        <stp>BDH|17256831062146302741</stp>
        <tr r="Z32" s="2"/>
      </tp>
      <tp t="s">
        <v>#N/A N/A</v>
        <stp/>
        <stp>BDH|14345576908058387180</stp>
        <tr r="F42" s="2"/>
      </tp>
      <tp t="s">
        <v>#N/A N/A</v>
        <stp/>
        <stp>BDH|10233943757620099467</stp>
        <tr r="L11" s="2"/>
      </tp>
      <tp t="s">
        <v>#N/A N/A</v>
        <stp/>
        <stp>BDH|11774909067730349642</stp>
        <tr r="F11" s="2"/>
      </tp>
      <tp t="s">
        <v>#N/A N/A</v>
        <stp/>
        <stp>BDH|15672433966739717633</stp>
        <tr r="Y48" s="2"/>
      </tp>
      <tp t="s">
        <v>#N/A N/A</v>
        <stp/>
        <stp>BDH|16843696193488472910</stp>
        <tr r="K31" s="2"/>
      </tp>
      <tp t="s">
        <v>#N/A N/A</v>
        <stp/>
        <stp>BDH|11975418699302407633</stp>
        <tr r="Y39" s="2"/>
      </tp>
      <tp t="s">
        <v>#N/A N/A</v>
        <stp/>
        <stp>BDH|14138866464810122242</stp>
        <tr r="Z41" s="2"/>
      </tp>
      <tp t="s">
        <v>#N/A N/A</v>
        <stp/>
        <stp>BDH|18297060352981444442</stp>
        <tr r="Z15" s="2"/>
      </tp>
      <tp t="s">
        <v>#N/A N/A</v>
        <stp/>
        <stp>BDH|17432324025118217686</stp>
        <tr r="Q59" s="2"/>
      </tp>
      <tp t="s">
        <v>#N/A N/A</v>
        <stp/>
        <stp>BDH|16385045489611580723</stp>
        <tr r="J31" s="2"/>
      </tp>
      <tp t="s">
        <v>#N/A N/A</v>
        <stp/>
        <stp>BDH|10849013913479523065</stp>
        <tr r="T6" s="2"/>
      </tp>
      <tp t="s">
        <v>#N/A N/A</v>
        <stp/>
        <stp>BDH|14102253370079460091</stp>
        <tr r="K52" s="2"/>
      </tp>
      <tp t="s">
        <v>#N/A N/A</v>
        <stp/>
        <stp>BDH|15693974928863806599</stp>
        <tr r="M73" s="2"/>
      </tp>
      <tp t="s">
        <v>#N/A N/A</v>
        <stp/>
        <stp>BDH|17636721481676839656</stp>
        <tr r="N42" s="2"/>
      </tp>
      <tp t="s">
        <v>#N/A N/A</v>
        <stp/>
        <stp>BDH|18331887253489115411</stp>
        <tr r="N57" s="2"/>
      </tp>
      <tp t="s">
        <v>#N/A N/A</v>
        <stp/>
        <stp>BDH|12284437405328661691</stp>
        <tr r="AC37" s="2"/>
      </tp>
      <tp t="s">
        <v>#N/A N/A</v>
        <stp/>
        <stp>BDH|10195540187975966009</stp>
        <tr r="H18" s="2"/>
      </tp>
      <tp t="s">
        <v>#N/A N/A</v>
        <stp/>
        <stp>BDH|13387252899162564210</stp>
        <tr r="F12" s="2"/>
      </tp>
      <tp t="s">
        <v>#N/A N/A</v>
        <stp/>
        <stp>BDH|10482423640441827940</stp>
        <tr r="AA17" s="2"/>
      </tp>
      <tp t="s">
        <v>#N/A N/A</v>
        <stp/>
        <stp>BDH|10212870439713040063</stp>
        <tr r="W58" s="2"/>
      </tp>
      <tp t="s">
        <v>#N/A N/A</v>
        <stp/>
        <stp>BDH|15027134928336807895</stp>
        <tr r="V42" s="2"/>
      </tp>
      <tp t="s">
        <v>#N/A N/A</v>
        <stp/>
        <stp>BDH|16050826075566810725</stp>
        <tr r="Y70" s="2"/>
      </tp>
      <tp t="s">
        <v>#N/A N/A</v>
        <stp/>
        <stp>BDH|10040891904620820092</stp>
        <tr r="G17" s="2"/>
      </tp>
      <tp t="s">
        <v>#N/A N/A</v>
        <stp/>
        <stp>BDH|17024610744519358499</stp>
        <tr r="J68" s="2"/>
      </tp>
      <tp t="s">
        <v>#N/A N/A</v>
        <stp/>
        <stp>BDH|13235074488064488762</stp>
        <tr r="C26" s="2"/>
      </tp>
      <tp t="s">
        <v>#N/A N/A</v>
        <stp/>
        <stp>BDH|11488139322782822839</stp>
        <tr r="D15" s="2"/>
      </tp>
      <tp t="s">
        <v>#N/A N/A</v>
        <stp/>
        <stp>BDH|15080560523523519815</stp>
        <tr r="AC6" s="2"/>
      </tp>
      <tp t="s">
        <v>#N/A N/A</v>
        <stp/>
        <stp>BDH|17028255048021890940</stp>
        <tr r="W34" s="2"/>
      </tp>
      <tp t="s">
        <v>#N/A N/A</v>
        <stp/>
        <stp>BDH|17121724383734854594</stp>
        <tr r="O39" s="2"/>
      </tp>
      <tp t="s">
        <v>#N/A N/A</v>
        <stp/>
        <stp>BDH|12629203183716530712</stp>
        <tr r="Q30" s="2"/>
      </tp>
      <tp t="s">
        <v>#N/A N/A</v>
        <stp/>
        <stp>BDH|16055600221979925284</stp>
        <tr r="X6" s="2"/>
      </tp>
      <tp t="s">
        <v>#N/A N/A</v>
        <stp/>
        <stp>BDH|15897314282047927027</stp>
        <tr r="Y43" s="2"/>
      </tp>
      <tp t="s">
        <v>#N/A N/A</v>
        <stp/>
        <stp>BDH|10781373484242551011</stp>
        <tr r="X71" s="2"/>
      </tp>
      <tp t="s">
        <v>#N/A N/A</v>
        <stp/>
        <stp>BDH|12701908060751618524</stp>
        <tr r="X33" s="2"/>
      </tp>
      <tp t="s">
        <v>#N/A N/A</v>
        <stp/>
        <stp>BDH|18314017070777267138</stp>
        <tr r="E45" s="2"/>
      </tp>
      <tp t="s">
        <v>#N/A N/A</v>
        <stp/>
        <stp>BDH|12434247187837701632</stp>
        <tr r="G60" s="2"/>
      </tp>
      <tp t="s">
        <v>#N/A N/A</v>
        <stp/>
        <stp>BDH|10337353664378266439</stp>
        <tr r="V75" s="2"/>
      </tp>
      <tp t="s">
        <v>#N/A N/A</v>
        <stp/>
        <stp>BDH|14212513684867741727</stp>
        <tr r="S52" s="2"/>
      </tp>
      <tp t="s">
        <v>#N/A N/A</v>
        <stp/>
        <stp>BDH|15749449093232578370</stp>
        <tr r="W75" s="2"/>
      </tp>
      <tp t="s">
        <v>#N/A N/A</v>
        <stp/>
        <stp>BDH|10789250044978452708</stp>
        <tr r="H53" s="2"/>
      </tp>
      <tp t="s">
        <v>#N/A N/A</v>
        <stp/>
        <stp>BDH|10628538591965239040</stp>
        <tr r="K74" s="2"/>
      </tp>
      <tp t="s">
        <v>#N/A N/A</v>
        <stp/>
        <stp>BDH|14134816717220363465</stp>
        <tr r="Z43" s="2"/>
      </tp>
      <tp t="s">
        <v>#N/A N/A</v>
        <stp/>
        <stp>BDH|14606964566247570563</stp>
        <tr r="Z23" s="2"/>
      </tp>
      <tp t="s">
        <v>#N/A N/A</v>
        <stp/>
        <stp>BDH|15217162352691061920</stp>
        <tr r="W72" s="2"/>
      </tp>
      <tp t="s">
        <v>#N/A N/A</v>
        <stp/>
        <stp>BDH|16139312817028537563</stp>
        <tr r="AC9" s="2"/>
      </tp>
      <tp t="s">
        <v>#N/A N/A</v>
        <stp/>
        <stp>BDH|13336090275668980516</stp>
        <tr r="I11" s="2"/>
      </tp>
      <tp t="s">
        <v>#N/A N/A</v>
        <stp/>
        <stp>BDH|17679337805835180860</stp>
        <tr r="O57" s="2"/>
      </tp>
      <tp t="s">
        <v>#N/A N/A</v>
        <stp/>
        <stp>BDH|15554133198462169680</stp>
        <tr r="T31" s="2"/>
      </tp>
      <tp t="s">
        <v>#N/A N/A</v>
        <stp/>
        <stp>BDH|13522646670733420832</stp>
        <tr r="P43" s="2"/>
      </tp>
      <tp t="s">
        <v>#N/A N/A</v>
        <stp/>
        <stp>BDH|10007322043628546625</stp>
        <tr r="W23" s="2"/>
      </tp>
      <tp t="s">
        <v>#N/A N/A</v>
        <stp/>
        <stp>BDH|17478451391010840313</stp>
        <tr r="AB32" s="2"/>
      </tp>
      <tp t="s">
        <v>#N/A N/A</v>
        <stp/>
        <stp>BDH|17159274803659593587</stp>
        <tr r="P44" s="2"/>
      </tp>
      <tp t="s">
        <v>#N/A N/A</v>
        <stp/>
        <stp>BDH|16898346491386212379</stp>
        <tr r="N6" s="2"/>
      </tp>
      <tp t="s">
        <v>#N/A N/A</v>
        <stp/>
        <stp>BDH|11795513068573507805</stp>
        <tr r="C24" s="2"/>
      </tp>
      <tp t="s">
        <v>#N/A N/A</v>
        <stp/>
        <stp>BDH|14543255746333529882</stp>
        <tr r="Y17" s="2"/>
      </tp>
      <tp t="s">
        <v>#N/A N/A</v>
        <stp/>
        <stp>BDH|11741493511029267465</stp>
        <tr r="K69" s="2"/>
      </tp>
      <tp t="s">
        <v>#N/A N/A</v>
        <stp/>
        <stp>BDH|14380855244623042287</stp>
        <tr r="I38" s="2"/>
        <tr r="I50" s="2"/>
      </tp>
      <tp t="s">
        <v>#N/A N/A</v>
        <stp/>
        <stp>BDH|11291743588647331000</stp>
        <tr r="AD11" s="2"/>
      </tp>
      <tp t="s">
        <v>#N/A N/A</v>
        <stp/>
        <stp>BDH|10554233034940953875</stp>
        <tr r="AB38" s="2"/>
        <tr r="AB50" s="2"/>
      </tp>
      <tp t="s">
        <v>#N/A N/A</v>
        <stp/>
        <stp>BDH|10409068984488337991</stp>
        <tr r="V59" s="2"/>
      </tp>
      <tp t="s">
        <v>#N/A N/A</v>
        <stp/>
        <stp>BDH|17181995353673141155</stp>
        <tr r="AC48" s="2"/>
      </tp>
      <tp t="s">
        <v>#N/A N/A</v>
        <stp/>
        <stp>BDH|16514173578710613935</stp>
        <tr r="I69" s="2"/>
      </tp>
      <tp t="s">
        <v>#N/A N/A</v>
        <stp/>
        <stp>BDH|12445921313917246492</stp>
        <tr r="S6" s="2"/>
      </tp>
      <tp t="s">
        <v>#N/A N/A</v>
        <stp/>
        <stp>BDH|13008338593130638773</stp>
        <tr r="AB58" s="2"/>
      </tp>
      <tp t="s">
        <v>#N/A N/A</v>
        <stp/>
        <stp>BDH|13008741965519879582</stp>
        <tr r="V22" s="2"/>
      </tp>
      <tp t="s">
        <v>#N/A N/A</v>
        <stp/>
        <stp>BDH|15523972314145455635</stp>
        <tr r="J13" s="2"/>
      </tp>
      <tp t="s">
        <v>#N/A N/A</v>
        <stp/>
        <stp>BDH|16724032614670084933</stp>
        <tr r="AB9" s="2"/>
      </tp>
      <tp t="s">
        <v>#N/A N/A</v>
        <stp/>
        <stp>BDH|12496752796730680224</stp>
        <tr r="O6" s="2"/>
      </tp>
      <tp t="s">
        <v>#N/A N/A</v>
        <stp/>
        <stp>BDH|16619095828918182252</stp>
        <tr r="E49" s="2"/>
      </tp>
      <tp t="s">
        <v>#N/A N/A</v>
        <stp/>
        <stp>BDH|13077827543491253004</stp>
        <tr r="K29" s="2"/>
      </tp>
      <tp t="s">
        <v>#N/A N/A</v>
        <stp/>
        <stp>BDH|12603057285822637652</stp>
        <tr r="AA36" s="2"/>
      </tp>
      <tp t="s">
        <v>#N/A N/A</v>
        <stp/>
        <stp>BDH|10861767049004365908</stp>
        <tr r="S66" s="2"/>
      </tp>
      <tp t="s">
        <v>#N/A N/A</v>
        <stp/>
        <stp>BDH|10413790143659384490</stp>
        <tr r="N66" s="2"/>
      </tp>
      <tp t="s">
        <v>#N/A N/A</v>
        <stp/>
        <stp>BDH|14450902034462745239</stp>
        <tr r="L60" s="2"/>
      </tp>
      <tp t="s">
        <v>#N/A N/A</v>
        <stp/>
        <stp>BDH|14073944407275625614</stp>
        <tr r="D30" s="2"/>
      </tp>
      <tp t="s">
        <v>#N/A N/A</v>
        <stp/>
        <stp>BDH|10686308262053290817</stp>
        <tr r="U40" s="2"/>
      </tp>
      <tp t="s">
        <v>#N/A N/A</v>
        <stp/>
        <stp>BDH|14536081709292579869</stp>
        <tr r="S15" s="2"/>
      </tp>
      <tp t="s">
        <v>#N/A N/A</v>
        <stp/>
        <stp>BDH|13559857555883325314</stp>
        <tr r="AC49" s="2"/>
      </tp>
      <tp t="s">
        <v>#N/A N/A</v>
        <stp/>
        <stp>BDH|16793272896726276520</stp>
        <tr r="V28" s="2"/>
      </tp>
      <tp t="s">
        <v>#N/A N/A</v>
        <stp/>
        <stp>BDH|13076093140568677199</stp>
        <tr r="V12" s="2"/>
      </tp>
      <tp t="s">
        <v>#N/A N/A</v>
        <stp/>
        <stp>BDH|14242887988313054949</stp>
        <tr r="Z20" s="2"/>
      </tp>
      <tp t="s">
        <v>#N/A N/A</v>
        <stp/>
        <stp>BDH|10243805803616256055</stp>
        <tr r="X70" s="2"/>
      </tp>
      <tp t="s">
        <v>#N/A N/A</v>
        <stp/>
        <stp>BDH|15947092465894935955</stp>
        <tr r="K39" s="2"/>
      </tp>
      <tp t="s">
        <v>#N/A N/A</v>
        <stp/>
        <stp>BDH|14597871555015766292</stp>
        <tr r="W16" s="2"/>
      </tp>
      <tp t="s">
        <v>#N/A N/A</v>
        <stp/>
        <stp>BDH|17747098074739383702</stp>
        <tr r="D19" s="2"/>
      </tp>
      <tp t="s">
        <v>#N/A N/A</v>
        <stp/>
        <stp>BDH|10412759599472669262</stp>
        <tr r="Y41" s="2"/>
      </tp>
      <tp t="s">
        <v>#N/A N/A</v>
        <stp/>
        <stp>BDH|15302699486691215461</stp>
        <tr r="E15" s="2"/>
      </tp>
      <tp t="s">
        <v>#N/A N/A</v>
        <stp/>
        <stp>BDH|18295991647089777239</stp>
        <tr r="W8" s="2"/>
      </tp>
      <tp t="s">
        <v>#N/A N/A</v>
        <stp/>
        <stp>BDH|11843277580343684620</stp>
        <tr r="N40" s="2"/>
      </tp>
      <tp t="s">
        <v>#N/A N/A</v>
        <stp/>
        <stp>BDH|16662750701558068799</stp>
        <tr r="R27" s="2"/>
      </tp>
      <tp t="s">
        <v>#N/A N/A</v>
        <stp/>
        <stp>BDH|11451287990201578533</stp>
        <tr r="AA55" s="2"/>
      </tp>
      <tp t="s">
        <v>#N/A N/A</v>
        <stp/>
        <stp>BDH|16021419560579488389</stp>
        <tr r="Y31" s="2"/>
      </tp>
      <tp t="s">
        <v>#N/A N/A</v>
        <stp/>
        <stp>BDH|16274087386635113505</stp>
        <tr r="AD57" s="2"/>
      </tp>
      <tp t="s">
        <v>#N/A N/A</v>
        <stp/>
        <stp>BDH|15932286986543862223</stp>
        <tr r="R26" s="2"/>
      </tp>
      <tp t="s">
        <v>#N/A N/A</v>
        <stp/>
        <stp>BDH|16770866808173426319</stp>
        <tr r="AD17" s="2"/>
      </tp>
      <tp t="s">
        <v>#N/A N/A</v>
        <stp/>
        <stp>BDH|10956315861992533902</stp>
        <tr r="Q69" s="2"/>
      </tp>
      <tp t="s">
        <v>#N/A N/A</v>
        <stp/>
        <stp>BDH|12162354796725783395</stp>
        <tr r="U66" s="2"/>
      </tp>
      <tp t="s">
        <v>#N/A N/A</v>
        <stp/>
        <stp>BDH|14411106768585359809</stp>
        <tr r="K49" s="2"/>
      </tp>
      <tp t="s">
        <v>#N/A N/A</v>
        <stp/>
        <stp>BDH|13006800988349198474</stp>
        <tr r="O8" s="2"/>
      </tp>
      <tp t="s">
        <v>#N/A N/A</v>
        <stp/>
        <stp>BDH|18061536826218271993</stp>
        <tr r="F7" s="2"/>
      </tp>
      <tp t="s">
        <v>#N/A N/A</v>
        <stp/>
        <stp>BDH|13025452160909220762</stp>
        <tr r="H10" s="2"/>
      </tp>
      <tp t="s">
        <v>#N/A N/A</v>
        <stp/>
        <stp>BDH|18421436314576514473</stp>
        <tr r="S39" s="2"/>
      </tp>
      <tp t="s">
        <v>#N/A N/A</v>
        <stp/>
        <stp>BDH|16317842571643462533</stp>
        <tr r="AB41" s="2"/>
      </tp>
      <tp t="s">
        <v>#N/A N/A</v>
        <stp/>
        <stp>BDH|18195549406382470062</stp>
        <tr r="F52" s="2"/>
      </tp>
      <tp t="s">
        <v>#N/A N/A</v>
        <stp/>
        <stp>BDH|12006828620762113528</stp>
        <tr r="Y69" s="2"/>
      </tp>
      <tp t="s">
        <v>#N/A N/A</v>
        <stp/>
        <stp>BDH|14595570443322685867</stp>
        <tr r="AA12" s="2"/>
      </tp>
      <tp t="s">
        <v>#N/A N/A</v>
        <stp/>
        <stp>BDH|12851891718786114280</stp>
        <tr r="C6" s="2"/>
      </tp>
      <tp t="s">
        <v>#N/A N/A</v>
        <stp/>
        <stp>BDH|10616081193763813568</stp>
        <tr r="D27" s="2"/>
      </tp>
      <tp t="s">
        <v>#N/A N/A</v>
        <stp/>
        <stp>BDH|13104040650741104869</stp>
        <tr r="O7" s="2"/>
      </tp>
      <tp t="s">
        <v>#N/A N/A</v>
        <stp/>
        <stp>BDH|12776576657679701426</stp>
        <tr r="N53" s="2"/>
      </tp>
      <tp t="s">
        <v>#N/A N/A</v>
        <stp/>
        <stp>BDH|13077206443162905885</stp>
        <tr r="U70" s="2"/>
      </tp>
      <tp t="s">
        <v>#N/A N/A</v>
        <stp/>
        <stp>BDH|13347903022892681528</stp>
        <tr r="Y67" s="2"/>
      </tp>
      <tp t="s">
        <v>#N/A N/A</v>
        <stp/>
        <stp>BDH|14933970622871082191</stp>
        <tr r="Z12" s="2"/>
      </tp>
      <tp t="s">
        <v>#N/A N/A</v>
        <stp/>
        <stp>BDH|15803891937844291510</stp>
        <tr r="M16" s="2"/>
      </tp>
      <tp t="s">
        <v>#N/A N/A</v>
        <stp/>
        <stp>BDH|10949479101942897931</stp>
        <tr r="P14" s="2"/>
      </tp>
      <tp t="s">
        <v>#N/A N/A</v>
        <stp/>
        <stp>BDH|17400350283984096762</stp>
        <tr r="AC18" s="2"/>
      </tp>
      <tp t="s">
        <v>#N/A N/A</v>
        <stp/>
        <stp>BDH|10412151451643519817</stp>
        <tr r="AA65" s="2"/>
      </tp>
      <tp t="s">
        <v>#N/A N/A</v>
        <stp/>
        <stp>BDH|11201395618278751406</stp>
        <tr r="T17" s="2"/>
      </tp>
      <tp t="s">
        <v>#N/A N/A</v>
        <stp/>
        <stp>BDH|18129180374137334698</stp>
        <tr r="I26" s="2"/>
      </tp>
      <tp t="s">
        <v>#N/A N/A</v>
        <stp/>
        <stp>BDH|14582765872359376256</stp>
        <tr r="D17" s="2"/>
      </tp>
      <tp t="s">
        <v>#N/A N/A</v>
        <stp/>
        <stp>BDH|11523965696259293701</stp>
        <tr r="V20" s="2"/>
      </tp>
      <tp t="s">
        <v>#N/A N/A</v>
        <stp/>
        <stp>BDH|13114433308660908842</stp>
        <tr r="G21" s="2"/>
      </tp>
      <tp t="s">
        <v>#N/A N/A</v>
        <stp/>
        <stp>BDH|16742646587043436477</stp>
        <tr r="O23" s="2"/>
      </tp>
      <tp t="s">
        <v>#N/A N/A</v>
        <stp/>
        <stp>BDH|10688320780626332210</stp>
        <tr r="E33" s="2"/>
      </tp>
      <tp t="s">
        <v>#N/A N/A</v>
        <stp/>
        <stp>BDH|16995592443981695939</stp>
        <tr r="M13" s="2"/>
      </tp>
      <tp t="s">
        <v>#N/A N/A</v>
        <stp/>
        <stp>BDH|15142003305089082329</stp>
        <tr r="AB55" s="2"/>
      </tp>
      <tp t="s">
        <v>#N/A N/A</v>
        <stp/>
        <stp>BDH|15861572488491867667</stp>
        <tr r="J74" s="2"/>
      </tp>
      <tp t="s">
        <v>#N/A N/A</v>
        <stp/>
        <stp>BDH|11484047383784388297</stp>
        <tr r="AC72" s="2"/>
      </tp>
      <tp t="s">
        <v>#N/A N/A</v>
        <stp/>
        <stp>BDH|18235082864345247444</stp>
        <tr r="AA6" s="2"/>
      </tp>
      <tp t="s">
        <v>#N/A N/A</v>
        <stp/>
        <stp>BDH|13171384867429202045</stp>
        <tr r="T65" s="2"/>
      </tp>
      <tp t="s">
        <v>#N/A N/A</v>
        <stp/>
        <stp>BDH|15500333790683663382</stp>
        <tr r="T60" s="2"/>
      </tp>
      <tp t="s">
        <v>#N/A N/A</v>
        <stp/>
        <stp>BDH|16685328270654849943</stp>
        <tr r="Z54" s="2"/>
      </tp>
      <tp t="s">
        <v>#N/A N/A</v>
        <stp/>
        <stp>BDH|17714949578032451445</stp>
        <tr r="Q21" s="2"/>
      </tp>
      <tp t="s">
        <v>#N/A N/A</v>
        <stp/>
        <stp>BDH|18012874721579863450</stp>
        <tr r="W10" s="2"/>
      </tp>
      <tp t="s">
        <v>#N/A N/A</v>
        <stp/>
        <stp>BDH|14296214300379136099</stp>
        <tr r="C59" s="2"/>
      </tp>
      <tp t="s">
        <v>#N/A N/A</v>
        <stp/>
        <stp>BDH|15830235795351442078</stp>
        <tr r="W14" s="2"/>
      </tp>
      <tp t="s">
        <v>#N/A N/A</v>
        <stp/>
        <stp>BDH|14983257545435214864</stp>
        <tr r="L45" s="2"/>
      </tp>
      <tp t="s">
        <v>#N/A N/A</v>
        <stp/>
        <stp>BDH|13416992106776676306</stp>
        <tr r="C53" s="2"/>
      </tp>
      <tp t="s">
        <v>#N/A N/A</v>
        <stp/>
        <stp>BDH|16705844567766968119</stp>
        <tr r="X58" s="2"/>
      </tp>
      <tp t="s">
        <v>#N/A N/A</v>
        <stp/>
        <stp>BDH|16037648868601841888</stp>
        <tr r="H55" s="2"/>
      </tp>
      <tp t="s">
        <v>#N/A N/A</v>
        <stp/>
        <stp>BDH|11163950459601504372</stp>
        <tr r="I48" s="2"/>
      </tp>
      <tp t="s">
        <v>#N/A N/A</v>
        <stp/>
        <stp>BDH|12850939356007457668</stp>
        <tr r="X9" s="2"/>
      </tp>
      <tp t="s">
        <v>#N/A N/A</v>
        <stp/>
        <stp>BDH|10019616338793507930</stp>
        <tr r="AA35" s="2"/>
      </tp>
      <tp t="s">
        <v>#N/A N/A</v>
        <stp/>
        <stp>BDH|13383943741943061283</stp>
        <tr r="I68" s="2"/>
      </tp>
      <tp t="s">
        <v>#N/A N/A</v>
        <stp/>
        <stp>BDH|18147191542376285799</stp>
        <tr r="G49" s="2"/>
      </tp>
      <tp t="s">
        <v>#N/A N/A</v>
        <stp/>
        <stp>BDH|17048660931387282954</stp>
        <tr r="Q8" s="2"/>
      </tp>
      <tp t="s">
        <v>#N/A N/A</v>
        <stp/>
        <stp>BDH|17297049736928269024</stp>
        <tr r="X75" s="2"/>
      </tp>
      <tp t="s">
        <v>#N/A N/A</v>
        <stp/>
        <stp>BDH|16103661387616907298</stp>
        <tr r="T55" s="2"/>
      </tp>
      <tp t="s">
        <v>#N/A N/A</v>
        <stp/>
        <stp>BDH|12058229794001523432</stp>
        <tr r="AB19" s="2"/>
      </tp>
      <tp t="s">
        <v>#N/A N/A</v>
        <stp/>
        <stp>BDH|11717312428684612888</stp>
        <tr r="X27" s="2"/>
      </tp>
      <tp t="s">
        <v>#N/A N/A</v>
        <stp/>
        <stp>BDH|12541688383404742490</stp>
        <tr r="U6" s="2"/>
      </tp>
      <tp t="s">
        <v>#N/A N/A</v>
        <stp/>
        <stp>BDH|11381235667429795000</stp>
        <tr r="C64" s="2"/>
      </tp>
      <tp t="s">
        <v>#N/A N/A</v>
        <stp/>
        <stp>BDH|10362971633680749628</stp>
        <tr r="V46" s="2"/>
      </tp>
      <tp t="s">
        <v>#N/A N/A</v>
        <stp/>
        <stp>BDH|10062574185565024406</stp>
        <tr r="AD36" s="2"/>
      </tp>
      <tp t="s">
        <v>#N/A N/A</v>
        <stp/>
        <stp>BDH|14223621083692724418</stp>
        <tr r="AA27" s="2"/>
      </tp>
      <tp t="s">
        <v>#N/A N/A</v>
        <stp/>
        <stp>BDH|17658509625708050463</stp>
        <tr r="E52" s="2"/>
      </tp>
      <tp t="s">
        <v>#N/A N/A</v>
        <stp/>
        <stp>BDH|12245463496422308141</stp>
        <tr r="E69" s="2"/>
      </tp>
      <tp t="s">
        <v>#N/A N/A</v>
        <stp/>
        <stp>BDH|16665876950223164456</stp>
        <tr r="F59" s="2"/>
      </tp>
      <tp t="s">
        <v>#N/A N/A</v>
        <stp/>
        <stp>BDH|11807844105046565395</stp>
        <tr r="J36" s="2"/>
      </tp>
      <tp t="s">
        <v>#N/A N/A</v>
        <stp/>
        <stp>BDH|14207095980461830166</stp>
        <tr r="H24" s="2"/>
      </tp>
      <tp t="s">
        <v>#N/A N/A</v>
        <stp/>
        <stp>BDH|10477856840333174346</stp>
        <tr r="Q17" s="2"/>
      </tp>
      <tp t="s">
        <v>#N/A N/A</v>
        <stp/>
        <stp>BDH|18391119752802499206</stp>
        <tr r="L38" s="2"/>
        <tr r="L50" s="2"/>
      </tp>
      <tp t="s">
        <v>#N/A N/A</v>
        <stp/>
        <stp>BDH|10277170007065515833</stp>
        <tr r="V55" s="2"/>
      </tp>
      <tp t="s">
        <v>#N/A N/A</v>
        <stp/>
        <stp>BDH|12370134450262623818</stp>
        <tr r="AA31" s="2"/>
      </tp>
      <tp t="s">
        <v>#N/A N/A</v>
        <stp/>
        <stp>BDH|12633226642791468959</stp>
        <tr r="M25" s="2"/>
      </tp>
      <tp t="s">
        <v>#N/A N/A</v>
        <stp/>
        <stp>BDH|17497290008229477061</stp>
        <tr r="X36" s="2"/>
      </tp>
      <tp t="s">
        <v>#N/A N/A</v>
        <stp/>
        <stp>BDH|12255995932043735796</stp>
        <tr r="G34" s="2"/>
      </tp>
      <tp t="s">
        <v>#N/A N/A</v>
        <stp/>
        <stp>BDH|17381582753502975979</stp>
        <tr r="Y6" s="2"/>
      </tp>
      <tp t="s">
        <v>#N/A N/A</v>
        <stp/>
        <stp>BDH|10625193081154776108</stp>
        <tr r="J75" s="2"/>
      </tp>
      <tp t="s">
        <v>#N/A N/A</v>
        <stp/>
        <stp>BDH|10822462569308962677</stp>
        <tr r="AB11" s="2"/>
      </tp>
      <tp t="s">
        <v>#N/A N/A</v>
        <stp/>
        <stp>BDH|12025125063569813007</stp>
        <tr r="AB54" s="2"/>
      </tp>
      <tp t="s">
        <v>#N/A N/A</v>
        <stp/>
        <stp>BDH|10425776027801422884</stp>
        <tr r="W45" s="2"/>
      </tp>
      <tp t="s">
        <v>#N/A N/A</v>
        <stp/>
        <stp>BDH|10988528021649594248</stp>
        <tr r="L44" s="2"/>
      </tp>
      <tp t="s">
        <v>#N/A N/A</v>
        <stp/>
        <stp>BDH|11201767947227183999</stp>
        <tr r="P31" s="2"/>
      </tp>
      <tp t="s">
        <v>#N/A N/A</v>
        <stp/>
        <stp>BDH|11650978828441763744</stp>
        <tr r="H21" s="2"/>
      </tp>
      <tp t="s">
        <v>#N/A N/A</v>
        <stp/>
        <stp>BDH|10131256696020097787</stp>
        <tr r="AC33" s="2"/>
      </tp>
      <tp t="s">
        <v>#N/A N/A</v>
        <stp/>
        <stp>BDH|12849780888913667241</stp>
        <tr r="P13" s="2"/>
      </tp>
      <tp t="s">
        <v>#N/A N/A</v>
        <stp/>
        <stp>BDH|15061309141896340881</stp>
        <tr r="J60" s="2"/>
      </tp>
      <tp t="s">
        <v>#N/A N/A</v>
        <stp/>
        <stp>BDH|13008390887221163556</stp>
        <tr r="N60" s="2"/>
      </tp>
      <tp t="s">
        <v>#N/A N/A</v>
        <stp/>
        <stp>BDH|10656283598244416384</stp>
        <tr r="AD15" s="2"/>
      </tp>
      <tp t="s">
        <v>#N/A N/A</v>
        <stp/>
        <stp>BDH|14607807448014241065</stp>
        <tr r="W33" s="2"/>
      </tp>
      <tp t="s">
        <v>#N/A N/A</v>
        <stp/>
        <stp>BDH|17737348899605421430</stp>
        <tr r="K75" s="2"/>
      </tp>
      <tp t="s">
        <v>#N/A N/A</v>
        <stp/>
        <stp>BDH|14154174249029791458</stp>
        <tr r="AD9" s="2"/>
      </tp>
      <tp t="s">
        <v>#N/A N/A</v>
        <stp/>
        <stp>BDH|15326689047278932399</stp>
        <tr r="T34" s="2"/>
      </tp>
      <tp t="s">
        <v>#N/A N/A</v>
        <stp/>
        <stp>BDH|11066250868381186830</stp>
        <tr r="AA30" s="2"/>
      </tp>
      <tp t="s">
        <v>#N/A N/A</v>
        <stp/>
        <stp>BDH|15363434098670370440</stp>
        <tr r="S55" s="2"/>
      </tp>
      <tp t="s">
        <v>#N/A N/A</v>
        <stp/>
        <stp>BDH|16665786157480541830</stp>
        <tr r="H68" s="2"/>
      </tp>
      <tp t="s">
        <v>#N/A N/A</v>
        <stp/>
        <stp>BDH|12415120348762722963</stp>
        <tr r="P60" s="2"/>
      </tp>
      <tp t="s">
        <v>#N/A N/A</v>
        <stp/>
        <stp>BDH|16450930249764386330</stp>
        <tr r="Y73" s="2"/>
      </tp>
      <tp t="s">
        <v>#N/A N/A</v>
        <stp/>
        <stp>BDH|11245690596712085032</stp>
        <tr r="K14" s="2"/>
      </tp>
      <tp t="s">
        <v>#N/A N/A</v>
        <stp/>
        <stp>BDH|17152980417730090308</stp>
        <tr r="V66" s="2"/>
      </tp>
      <tp t="s">
        <v>#N/A N/A</v>
        <stp/>
        <stp>BDH|15515653126969334549</stp>
        <tr r="V27" s="2"/>
      </tp>
      <tp t="s">
        <v>#N/A N/A</v>
        <stp/>
        <stp>BDH|16843180116068716303</stp>
        <tr r="W17" s="2"/>
      </tp>
      <tp t="s">
        <v>#N/A N/A</v>
        <stp/>
        <stp>BDH|13663461961049962588</stp>
        <tr r="G48" s="2"/>
      </tp>
      <tp t="s">
        <v>#N/A N/A</v>
        <stp/>
        <stp>BDH|10864491392000791047</stp>
        <tr r="W69" s="2"/>
      </tp>
      <tp t="s">
        <v>#N/A N/A</v>
        <stp/>
        <stp>BDH|14499321351268118753</stp>
        <tr r="T23" s="2"/>
      </tp>
      <tp t="s">
        <v>#N/A N/A</v>
        <stp/>
        <stp>BDH|14418381788013023171</stp>
        <tr r="E25" s="2"/>
      </tp>
      <tp t="s">
        <v>#N/A N/A</v>
        <stp/>
        <stp>BDH|17357407111266899987</stp>
        <tr r="AA41" s="2"/>
      </tp>
      <tp t="s">
        <v>#N/A N/A</v>
        <stp/>
        <stp>BDH|13778484434819109086</stp>
        <tr r="W21" s="2"/>
      </tp>
      <tp t="s">
        <v>#N/A N/A</v>
        <stp/>
        <stp>BDH|17699833060917084377</stp>
        <tr r="H69" s="2"/>
      </tp>
      <tp t="s">
        <v>#N/A N/A</v>
        <stp/>
        <stp>BDH|10805959150923941267</stp>
        <tr r="H42" s="2"/>
      </tp>
      <tp t="s">
        <v>#N/A N/A</v>
        <stp/>
        <stp>BDH|17755898812041056296</stp>
        <tr r="Z39" s="2"/>
      </tp>
      <tp t="s">
        <v>#N/A N/A</v>
        <stp/>
        <stp>BDH|11345957344535148478</stp>
        <tr r="W50" s="2"/>
        <tr r="W38" s="2"/>
      </tp>
      <tp t="s">
        <v>#N/A N/A</v>
        <stp/>
        <stp>BDH|16126958630864658568</stp>
        <tr r="G39" s="2"/>
      </tp>
      <tp t="s">
        <v>#N/A N/A</v>
        <stp/>
        <stp>BDH|11234560441198994587</stp>
        <tr r="E29" s="2"/>
      </tp>
      <tp t="s">
        <v>#N/A N/A</v>
        <stp/>
        <stp>BDH|10557437410450651842</stp>
        <tr r="X12" s="2"/>
      </tp>
      <tp t="s">
        <v>#N/A N/A</v>
        <stp/>
        <stp>BDH|14559429239457022994</stp>
        <tr r="Z11" s="2"/>
      </tp>
      <tp t="s">
        <v>#N/A N/A</v>
        <stp/>
        <stp>BDH|16441678792053397747</stp>
        <tr r="W66" s="2"/>
      </tp>
      <tp t="s">
        <v>#N/A N/A</v>
        <stp/>
        <stp>BDH|13411367100964858932</stp>
        <tr r="P18" s="2"/>
      </tp>
      <tp t="s">
        <v>#N/A N/A</v>
        <stp/>
        <stp>BDH|10171050051531436983</stp>
        <tr r="L23" s="2"/>
      </tp>
      <tp t="s">
        <v>#N/A N/A</v>
        <stp/>
        <stp>BDH|10794572331899073284</stp>
        <tr r="F22" s="2"/>
      </tp>
      <tp t="s">
        <v>#N/A N/A</v>
        <stp/>
        <stp>BDH|10819892788444253927</stp>
        <tr r="W55" s="2"/>
      </tp>
      <tp t="s">
        <v>#N/A N/A</v>
        <stp/>
        <stp>BDH|11771224608178572609</stp>
        <tr r="M17" s="2"/>
      </tp>
      <tp t="s">
        <v>#N/A N/A</v>
        <stp/>
        <stp>BDH|14228275074215284983</stp>
        <tr r="K33" s="2"/>
      </tp>
      <tp t="s">
        <v>#N/A N/A</v>
        <stp/>
        <stp>BDH|16328988120936310636</stp>
        <tr r="K57" s="2"/>
      </tp>
      <tp t="s">
        <v>#N/A N/A</v>
        <stp/>
        <stp>BDH|17586890098899695286</stp>
        <tr r="AA25" s="2"/>
      </tp>
      <tp t="s">
        <v>#N/A N/A</v>
        <stp/>
        <stp>BDH|14321813031475813718</stp>
        <tr r="J48" s="2"/>
      </tp>
      <tp t="s">
        <v>#N/A N/A</v>
        <stp/>
        <stp>BDH|16837808623245472452</stp>
        <tr r="C18" s="2"/>
      </tp>
      <tp t="s">
        <v>#N/A N/A</v>
        <stp/>
        <stp>BDH|12341584793977297406</stp>
        <tr r="Q53" s="2"/>
      </tp>
      <tp t="s">
        <v>#N/A N/A</v>
        <stp/>
        <stp>BDH|17438362190675032580</stp>
        <tr r="U25" s="2"/>
      </tp>
      <tp t="s">
        <v>#N/A N/A</v>
        <stp/>
        <stp>BDH|12851104490913514401</stp>
        <tr r="Q60" s="2"/>
      </tp>
      <tp t="s">
        <v>#N/A N/A</v>
        <stp/>
        <stp>BDH|15443908313384278484</stp>
        <tr r="K72" s="2"/>
      </tp>
      <tp t="s">
        <v>#N/A N/A</v>
        <stp/>
        <stp>BDH|18219523002654858475</stp>
        <tr r="C70" s="2"/>
      </tp>
      <tp t="s">
        <v>#N/A N/A</v>
        <stp/>
        <stp>BDH|15847461706144186855</stp>
        <tr r="L59" s="2"/>
      </tp>
      <tp t="s">
        <v>#N/A N/A</v>
        <stp/>
        <stp>BDH|18035859847941815861</stp>
        <tr r="AC7" s="2"/>
      </tp>
      <tp t="s">
        <v>#N/A N/A</v>
        <stp/>
        <stp>BDH|11021813845599805906</stp>
        <tr r="M55" s="2"/>
      </tp>
      <tp t="s">
        <v>#N/A N/A</v>
        <stp/>
        <stp>BDH|11682291075911098868</stp>
        <tr r="V13" s="2"/>
      </tp>
      <tp t="s">
        <v>#N/A N/A</v>
        <stp/>
        <stp>BDH|18326097513175250148</stp>
        <tr r="Q25" s="2"/>
      </tp>
      <tp t="s">
        <v>#N/A N/A</v>
        <stp/>
        <stp>BDH|18135387351986201552</stp>
        <tr r="V39" s="2"/>
      </tp>
      <tp t="s">
        <v>#N/A N/A</v>
        <stp/>
        <stp>BDH|17305835641100846662</stp>
        <tr r="W73" s="2"/>
      </tp>
      <tp t="s">
        <v>#N/A N/A</v>
        <stp/>
        <stp>BDH|15268829809927083774</stp>
        <tr r="X34" s="2"/>
      </tp>
      <tp t="s">
        <v>#N/A N/A</v>
        <stp/>
        <stp>BDH|17447066030341515893</stp>
        <tr r="P10" s="2"/>
      </tp>
      <tp t="s">
        <v>#N/A N/A</v>
        <stp/>
        <stp>BDH|16969862476808875301</stp>
        <tr r="W67" s="2"/>
      </tp>
      <tp t="s">
        <v>#N/A N/A</v>
        <stp/>
        <stp>BDH|12757067596650291947</stp>
        <tr r="P6" s="2"/>
      </tp>
      <tp t="s">
        <v>#N/A N/A</v>
        <stp/>
        <stp>BDH|14293120763371796050</stp>
        <tr r="V72" s="2"/>
      </tp>
      <tp t="s">
        <v>#N/A N/A</v>
        <stp/>
        <stp>BDH|17196584808677308721</stp>
        <tr r="S69" s="2"/>
      </tp>
      <tp t="s">
        <v>#N/A N/A</v>
        <stp/>
        <stp>BDH|14574189528551222471</stp>
        <tr r="Z25" s="2"/>
      </tp>
      <tp t="s">
        <v>#N/A N/A</v>
        <stp/>
        <stp>BDH|11795537073275332447</stp>
        <tr r="AB34" s="2"/>
      </tp>
      <tp t="s">
        <v>#N/A N/A</v>
        <stp/>
        <stp>BDH|14144561637110212029</stp>
        <tr r="Z30" s="2"/>
      </tp>
      <tp t="s">
        <v>#N/A N/A</v>
        <stp/>
        <stp>BDH|15060075643650706336</stp>
        <tr r="E44" s="2"/>
      </tp>
      <tp t="s">
        <v>#N/A N/A</v>
        <stp/>
        <stp>BDH|13631621024846804389</stp>
        <tr r="AA21" s="2"/>
      </tp>
      <tp t="s">
        <v>#N/A N/A</v>
        <stp/>
        <stp>BDH|16952406528510870293</stp>
        <tr r="AB40" s="2"/>
      </tp>
      <tp t="s">
        <v>#N/A N/A</v>
        <stp/>
        <stp>BDH|11243242672844597217</stp>
        <tr r="P70" s="2"/>
      </tp>
      <tp t="s">
        <v>#N/A N/A</v>
        <stp/>
        <stp>BDH|13058720732264125112</stp>
        <tr r="P26" s="2"/>
      </tp>
      <tp t="s">
        <v>#N/A N/A</v>
        <stp/>
        <stp>BDH|11947686867700658306</stp>
        <tr r="R20" s="2"/>
      </tp>
      <tp t="s">
        <v>#N/A N/A</v>
        <stp/>
        <stp>BDH|12077645956477620441</stp>
        <tr r="Z55" s="2"/>
      </tp>
      <tp t="s">
        <v>#N/A N/A</v>
        <stp/>
        <stp>BDH|17481244874443399374</stp>
        <tr r="V40" s="2"/>
      </tp>
      <tp t="s">
        <v>#N/A N/A</v>
        <stp/>
        <stp>BDH|17206332833070625544</stp>
        <tr r="C57" s="2"/>
      </tp>
      <tp t="s">
        <v>#N/A N/A</v>
        <stp/>
        <stp>BDH|17914292735746496222</stp>
        <tr r="C14" s="2"/>
      </tp>
      <tp t="s">
        <v>#N/A N/A</v>
        <stp/>
        <stp>BDH|14355156163388193961</stp>
        <tr r="H31" s="2"/>
      </tp>
      <tp t="s">
        <v>#N/A N/A</v>
        <stp/>
        <stp>BDH|12092139585409030049</stp>
        <tr r="F28" s="2"/>
      </tp>
      <tp t="s">
        <v>#N/A N/A</v>
        <stp/>
        <stp>BDH|17947630238030882080</stp>
        <tr r="AA20" s="2"/>
      </tp>
      <tp t="s">
        <v>#N/A N/A</v>
        <stp/>
        <stp>BDH|15639256937447709160</stp>
        <tr r="G35" s="2"/>
      </tp>
      <tp t="s">
        <v>#N/A N/A</v>
        <stp/>
        <stp>BDH|13386437239153873548</stp>
        <tr r="H73" s="2"/>
      </tp>
      <tp t="s">
        <v>#N/A N/A</v>
        <stp/>
        <stp>BDH|11262300528403765180</stp>
        <tr r="X48" s="2"/>
      </tp>
      <tp t="s">
        <v>#N/A N/A</v>
        <stp/>
        <stp>BDH|15028518311227391470</stp>
        <tr r="I52" s="2"/>
      </tp>
      <tp t="s">
        <v>#N/A N/A</v>
        <stp/>
        <stp>BDH|10268631122144079270</stp>
        <tr r="O46" s="2"/>
      </tp>
      <tp t="s">
        <v>#N/A N/A</v>
        <stp/>
        <stp>BDH|15410711317063081250</stp>
        <tr r="Z64" s="2"/>
      </tp>
      <tp t="s">
        <v>#N/A N/A</v>
        <stp/>
        <stp>BDH|17890412070942967476</stp>
        <tr r="F73" s="2"/>
      </tp>
      <tp t="s">
        <v>#N/A N/A</v>
        <stp/>
        <stp>BDH|18222913564353201622</stp>
        <tr r="D11" s="2"/>
      </tp>
      <tp t="s">
        <v>#N/A N/A</v>
        <stp/>
        <stp>BDH|14661020328385946126</stp>
        <tr r="J24" s="2"/>
      </tp>
      <tp t="s">
        <v>#N/A N/A</v>
        <stp/>
        <stp>BDH|10589078275743388639</stp>
        <tr r="M15" s="2"/>
      </tp>
      <tp t="s">
        <v>#N/A N/A</v>
        <stp/>
        <stp>BDH|16959228868668064854</stp>
        <tr r="C38" s="2"/>
        <tr r="C50" s="2"/>
      </tp>
      <tp t="s">
        <v>#N/A N/A</v>
        <stp/>
        <stp>BDH|15935468991888028289</stp>
        <tr r="AA40" s="2"/>
      </tp>
      <tp t="s">
        <v>#N/A N/A</v>
        <stp/>
        <stp>BDH|15178961694770729724</stp>
        <tr r="D44" s="2"/>
      </tp>
      <tp t="s">
        <v>#N/A N/A</v>
        <stp/>
        <stp>BDH|11299027018195665773</stp>
        <tr r="F43" s="2"/>
      </tp>
      <tp t="s">
        <v>#N/A N/A</v>
        <stp/>
        <stp>BDH|10032045304656091491</stp>
        <tr r="U14" s="2"/>
      </tp>
      <tp t="s">
        <v>#N/A N/A</v>
        <stp/>
        <stp>BDH|11569522549502578026</stp>
        <tr r="AD41" s="2"/>
      </tp>
      <tp t="s">
        <v>#N/A N/A</v>
        <stp/>
        <stp>BDH|16588630416616169588</stp>
        <tr r="N72" s="2"/>
      </tp>
      <tp t="s">
        <v>#N/A N/A</v>
        <stp/>
        <stp>BDH|12740228300103761192</stp>
        <tr r="H58" s="2"/>
      </tp>
      <tp t="s">
        <v>#N/A N/A</v>
        <stp/>
        <stp>BDH|17302602677903718784</stp>
        <tr r="U55" s="2"/>
      </tp>
      <tp t="s">
        <v>#N/A N/A</v>
        <stp/>
        <stp>BDH|12884078561337486118</stp>
        <tr r="W74" s="2"/>
      </tp>
      <tp t="s">
        <v>#N/A N/A</v>
        <stp/>
        <stp>BDH|12276242429262452201</stp>
        <tr r="N44" s="2"/>
      </tp>
      <tp t="s">
        <v>#N/A N/A</v>
        <stp/>
        <stp>BDH|18358759614668943415</stp>
        <tr r="D69" s="2"/>
      </tp>
      <tp t="s">
        <v>#N/A N/A</v>
        <stp/>
        <stp>BDH|15692179459013423061</stp>
        <tr r="K73" s="2"/>
      </tp>
      <tp t="s">
        <v>#N/A N/A</v>
        <stp/>
        <stp>BDH|17507128378873259077</stp>
        <tr r="T16" s="2"/>
      </tp>
      <tp t="s">
        <v>#N/A N/A</v>
        <stp/>
        <stp>BDH|16905085009193787726</stp>
        <tr r="F72" s="2"/>
      </tp>
      <tp t="s">
        <v>#N/A N/A</v>
        <stp/>
        <stp>BDH|12660996817018317069</stp>
        <tr r="J15" s="2"/>
      </tp>
      <tp t="s">
        <v>#N/A N/A</v>
        <stp/>
        <stp>BDH|17133872329517227808</stp>
        <tr r="J39" s="2"/>
      </tp>
      <tp t="s">
        <v>#N/A N/A</v>
        <stp/>
        <stp>BDH|13806079104715007460</stp>
        <tr r="W43" s="2"/>
      </tp>
      <tp t="s">
        <v>#N/A N/A</v>
        <stp/>
        <stp>BDH|13538460918067444320</stp>
        <tr r="P69" s="2"/>
      </tp>
      <tp t="s">
        <v>#N/A N/A</v>
        <stp/>
        <stp>BDH|14542545662320766592</stp>
        <tr r="E53" s="2"/>
      </tp>
      <tp t="s">
        <v>#N/A N/A</v>
        <stp/>
        <stp>BDH|17669489880180541977</stp>
        <tr r="I45" s="2"/>
      </tp>
      <tp t="s">
        <v>#N/A N/A</v>
        <stp/>
        <stp>BDH|13398629479736455604</stp>
        <tr r="I33" s="2"/>
      </tp>
      <tp t="s">
        <v>#N/A N/A</v>
        <stp/>
        <stp>BDH|12046850684436940640</stp>
        <tr r="AA45" s="2"/>
      </tp>
      <tp t="s">
        <v>#N/A N/A</v>
        <stp/>
        <stp>BDH|11121459300351861634</stp>
        <tr r="K28" s="2"/>
      </tp>
      <tp t="s">
        <v>#N/A N/A</v>
        <stp/>
        <stp>BDH|17424942407164928817</stp>
        <tr r="Q26" s="2"/>
      </tp>
      <tp t="s">
        <v>#N/A N/A</v>
        <stp/>
        <stp>BDH|17694785729085838514</stp>
        <tr r="G55" s="2"/>
      </tp>
      <tp t="s">
        <v>#N/A N/A</v>
        <stp/>
        <stp>BDH|16298039378885954712</stp>
        <tr r="V43" s="2"/>
      </tp>
      <tp t="s">
        <v>#N/A N/A</v>
        <stp/>
        <stp>BDH|15999215802687209395</stp>
        <tr r="Y14" s="2"/>
      </tp>
      <tp t="s">
        <v>#N/A N/A</v>
        <stp/>
        <stp>BDH|15799606154131635440</stp>
        <tr r="W19" s="2"/>
      </tp>
      <tp t="s">
        <v>#N/A N/A</v>
        <stp/>
        <stp>BDH|15581459210080126300</stp>
        <tr r="U9" s="2"/>
      </tp>
      <tp t="s">
        <v>#N/A N/A</v>
        <stp/>
        <stp>BDH|16572518302584481430</stp>
        <tr r="H28" s="2"/>
      </tp>
      <tp t="s">
        <v>#N/A N/A</v>
        <stp/>
        <stp>BDH|14711503967627962383</stp>
        <tr r="Y58" s="2"/>
      </tp>
      <tp t="s">
        <v>#N/A N/A</v>
        <stp/>
        <stp>BDH|17313111187434006945</stp>
        <tr r="K41" s="2"/>
      </tp>
      <tp t="s">
        <v>#N/A N/A</v>
        <stp/>
        <stp>BDH|17332636181022348834</stp>
        <tr r="AA39" s="2"/>
      </tp>
      <tp t="s">
        <v>#N/A N/A</v>
        <stp/>
        <stp>BDH|16613113839356709185</stp>
        <tr r="N22" s="2"/>
      </tp>
      <tp t="s">
        <v>#N/A N/A</v>
        <stp/>
        <stp>BDH|17197763934183291318</stp>
        <tr r="AB27" s="2"/>
      </tp>
      <tp t="s">
        <v>#N/A N/A</v>
        <stp/>
        <stp>BDH|17155834493910785569</stp>
        <tr r="AA64" s="2"/>
      </tp>
      <tp t="s">
        <v>#N/A N/A</v>
        <stp/>
        <stp>BDH|15720518837587871791</stp>
        <tr r="G16" s="2"/>
      </tp>
      <tp t="s">
        <v>#N/A N/A</v>
        <stp/>
        <stp>BDH|13982087184688295078</stp>
        <tr r="H59" s="2"/>
      </tp>
      <tp t="s">
        <v>#N/A N/A</v>
        <stp/>
        <stp>BDH|13419657647544487626</stp>
        <tr r="J41" s="2"/>
      </tp>
      <tp t="s">
        <v>#N/A N/A</v>
        <stp/>
        <stp>BDH|12420277623493963294</stp>
        <tr r="S72" s="2"/>
      </tp>
      <tp t="s">
        <v>#N/A N/A</v>
        <stp/>
        <stp>BDH|17167648946817366102</stp>
        <tr r="K42" s="2"/>
      </tp>
      <tp t="s">
        <v>#N/A N/A</v>
        <stp/>
        <stp>BDH|15693576570887039316</stp>
        <tr r="C75" s="2"/>
      </tp>
      <tp t="s">
        <v>#N/A N/A</v>
        <stp/>
        <stp>BDH|13854334148197064032</stp>
        <tr r="W52" s="2"/>
      </tp>
      <tp t="s">
        <v>#N/A N/A</v>
        <stp/>
        <stp>BDH|15997091552976104501</stp>
        <tr r="N16" s="2"/>
      </tp>
      <tp t="s">
        <v>#N/A N/A</v>
        <stp/>
        <stp>BDH|15956266679807194445</stp>
        <tr r="P54" s="2"/>
      </tp>
      <tp t="s">
        <v>#N/A N/A</v>
        <stp/>
        <stp>BDH|10249742410364639159</stp>
        <tr r="K55" s="2"/>
      </tp>
      <tp t="s">
        <v>#N/A N/A</v>
        <stp/>
        <stp>BDH|12070131129525968766</stp>
        <tr r="P58" s="2"/>
      </tp>
      <tp t="s">
        <v>#N/A N/A</v>
        <stp/>
        <stp>BDH|10209787410770683598</stp>
        <tr r="I64" s="2"/>
      </tp>
      <tp t="s">
        <v>#N/A N/A</v>
        <stp/>
        <stp>BDH|10067880900409824250</stp>
        <tr r="H26" s="2"/>
      </tp>
      <tp t="s">
        <v>#N/A N/A</v>
        <stp/>
        <stp>BDH|13352070571185808284</stp>
        <tr r="N27" s="2"/>
      </tp>
      <tp t="s">
        <v>#N/A N/A</v>
        <stp/>
        <stp>BDH|12641242226417423656</stp>
        <tr r="Q75" s="2"/>
      </tp>
      <tp t="s">
        <v>#N/A N/A</v>
        <stp/>
        <stp>BDH|14547507263391335507</stp>
        <tr r="N43" s="2"/>
      </tp>
      <tp t="s">
        <v>#N/A N/A</v>
        <stp/>
        <stp>BDH|15431344625467488059</stp>
        <tr r="G20" s="2"/>
      </tp>
      <tp t="s">
        <v>#N/A N/A</v>
        <stp/>
        <stp>BDH|17771625647043194579</stp>
        <tr r="AD54" s="2"/>
      </tp>
      <tp t="s">
        <v>#N/A N/A</v>
        <stp/>
        <stp>BDH|13084135766031796665</stp>
        <tr r="G12" s="2"/>
      </tp>
      <tp t="s">
        <v>#N/A N/A</v>
        <stp/>
        <stp>BDH|12989310261860527487</stp>
        <tr r="Y66" s="2"/>
      </tp>
      <tp t="s">
        <v>#N/A N/A</v>
        <stp/>
        <stp>BDH|17496190234137849166</stp>
        <tr r="R16" s="2"/>
      </tp>
      <tp t="s">
        <v>#N/A N/A</v>
        <stp/>
        <stp>BDH|10365219758867862354</stp>
        <tr r="M27" s="2"/>
      </tp>
      <tp t="s">
        <v>#N/A N/A</v>
        <stp/>
        <stp>BDH|11675053971566327370</stp>
        <tr r="Q35" s="2"/>
      </tp>
      <tp t="s">
        <v>#N/A N/A</v>
        <stp/>
        <stp>BDH|15704555408263845040</stp>
        <tr r="D24" s="2"/>
      </tp>
      <tp t="s">
        <v>#N/A N/A</v>
        <stp/>
        <stp>BDH|16313832092010327473</stp>
        <tr r="S35" s="2"/>
      </tp>
      <tp t="s">
        <v>#N/A N/A</v>
        <stp/>
        <stp>BDH|17503565905988491940</stp>
        <tr r="T9" s="2"/>
      </tp>
      <tp t="s">
        <v>#N/A N/A</v>
        <stp/>
        <stp>BDH|16161341578020337180</stp>
        <tr r="L27" s="2"/>
      </tp>
      <tp t="s">
        <v>#N/A N/A</v>
        <stp/>
        <stp>BDH|14196280392365404963</stp>
        <tr r="O55" s="2"/>
      </tp>
      <tp t="s">
        <v>#N/A N/A</v>
        <stp/>
        <stp>BDH|10127782251907418654</stp>
        <tr r="V18" s="2"/>
      </tp>
      <tp t="s">
        <v>#N/A N/A</v>
        <stp/>
        <stp>BDH|14778086460629208846</stp>
        <tr r="X32" s="2"/>
      </tp>
      <tp t="s">
        <v>#N/A N/A</v>
        <stp/>
        <stp>BDH|18424299652255729903</stp>
        <tr r="S42" s="2"/>
      </tp>
      <tp t="s">
        <v>#N/A N/A</v>
        <stp/>
        <stp>BDH|12192520209042386610</stp>
        <tr r="AC68" s="2"/>
      </tp>
      <tp t="s">
        <v>#N/A N/A</v>
        <stp/>
        <stp>BDH|14602388316615353004</stp>
        <tr r="E41" s="2"/>
      </tp>
      <tp t="s">
        <v>#N/A N/A</v>
        <stp/>
        <stp>BDH|10908546471433777204</stp>
        <tr r="I29" s="2"/>
      </tp>
      <tp t="s">
        <v>#N/A N/A</v>
        <stp/>
        <stp>BDH|14403766810010070191</stp>
        <tr r="W29" s="2"/>
      </tp>
      <tp t="s">
        <v>#N/A N/A</v>
        <stp/>
        <stp>BDH|16455374979076037709</stp>
        <tr r="X68" s="2"/>
      </tp>
      <tp t="s">
        <v>#N/A N/A</v>
        <stp/>
        <stp>BDH|11446083764196285203</stp>
        <tr r="X66" s="2"/>
      </tp>
      <tp t="s">
        <v>#N/A N/A</v>
        <stp/>
        <stp>BDH|10890728612420228504</stp>
        <tr r="I73" s="2"/>
      </tp>
      <tp t="s">
        <v>#N/A N/A</v>
        <stp/>
        <stp>BDH|14015326999425761867</stp>
        <tr r="N9" s="2"/>
      </tp>
      <tp t="s">
        <v>#N/A N/A</v>
        <stp/>
        <stp>BDH|15009837745029455384</stp>
        <tr r="N25" s="2"/>
      </tp>
      <tp t="s">
        <v>#N/A N/A</v>
        <stp/>
        <stp>BDH|14090797144130067409</stp>
        <tr r="W40" s="2"/>
      </tp>
      <tp t="s">
        <v>#N/A N/A</v>
        <stp/>
        <stp>BDH|14500884038745875914</stp>
        <tr r="R33" s="2"/>
      </tp>
      <tp t="s">
        <v>#N/A N/A</v>
        <stp/>
        <stp>BDH|12408096155017287368</stp>
        <tr r="X49" s="2"/>
      </tp>
      <tp t="s">
        <v>#N/A N/A</v>
        <stp/>
        <stp>BDH|15827122505772126516</stp>
        <tr r="D71" s="2"/>
      </tp>
      <tp t="s">
        <v>#N/A N/A</v>
        <stp/>
        <stp>BDH|13918202827590485045</stp>
        <tr r="R46" s="2"/>
      </tp>
      <tp t="s">
        <v>#N/A N/A</v>
        <stp/>
        <stp>BDH|18025198631189841315</stp>
        <tr r="T58" s="2"/>
      </tp>
      <tp t="s">
        <v>#N/A N/A</v>
        <stp/>
        <stp>BDH|17367582897479869259</stp>
        <tr r="U41" s="2"/>
      </tp>
      <tp t="s">
        <v>#N/A N/A</v>
        <stp/>
        <stp>BDH|12824495996756284946</stp>
        <tr r="D36" s="2"/>
      </tp>
      <tp t="s">
        <v>#N/A N/A</v>
        <stp/>
        <stp>BDH|14329347675087368701</stp>
        <tr r="G33" s="2"/>
      </tp>
      <tp t="s">
        <v>#N/A N/A</v>
        <stp/>
        <stp>BDH|17232315562590266222</stp>
        <tr r="AC67" s="2"/>
      </tp>
      <tp t="s">
        <v>#N/A N/A</v>
        <stp/>
        <stp>BDH|16471649647980186479</stp>
        <tr r="P39" s="2"/>
      </tp>
      <tp t="s">
        <v>#N/A N/A</v>
        <stp/>
        <stp>BDH|14989581845382303778</stp>
        <tr r="AB52" s="2"/>
      </tp>
      <tp t="s">
        <v>#N/A N/A</v>
        <stp/>
        <stp>BDH|16156567320723203255</stp>
        <tr r="U42" s="2"/>
      </tp>
      <tp t="s">
        <v>#N/A N/A</v>
        <stp/>
        <stp>BDH|12752014523901292149</stp>
        <tr r="Y30" s="2"/>
      </tp>
      <tp t="s">
        <v>#N/A N/A</v>
        <stp/>
        <stp>BDH|10192120312326718654</stp>
        <tr r="J52" s="2"/>
      </tp>
      <tp t="s">
        <v>#N/A N/A</v>
        <stp/>
        <stp>BDH|12519246003474749465</stp>
        <tr r="AA49" s="2"/>
      </tp>
      <tp t="s">
        <v>#N/A N/A</v>
        <stp/>
        <stp>BDH|13084359127043047115</stp>
        <tr r="AB46" s="2"/>
      </tp>
      <tp t="s">
        <v>#N/A N/A</v>
        <stp/>
        <stp>BDH|12577635972687561425</stp>
        <tr r="R55" s="2"/>
      </tp>
      <tp t="s">
        <v>#N/A N/A</v>
        <stp/>
        <stp>BDH|13507025571832114652</stp>
        <tr r="Z73" s="2"/>
      </tp>
      <tp t="s">
        <v>#N/A N/A</v>
        <stp/>
        <stp>BDH|12420179767981512431</stp>
        <tr r="V67" s="2"/>
      </tp>
      <tp t="s">
        <v>#N/A N/A</v>
        <stp/>
        <stp>BDH|16033428771626624304</stp>
        <tr r="C68" s="2"/>
      </tp>
      <tp t="s">
        <v>#N/A N/A</v>
        <stp/>
        <stp>BDH|14304013607682685668</stp>
        <tr r="D72" s="2"/>
      </tp>
      <tp t="s">
        <v>#N/A N/A</v>
        <stp/>
        <stp>BDH|17820436630147940768</stp>
        <tr r="W6" s="2"/>
      </tp>
      <tp t="s">
        <v>#N/A N/A</v>
        <stp/>
        <stp>BDH|14052713148723482494</stp>
        <tr r="M45" s="2"/>
      </tp>
      <tp t="s">
        <v>#N/A N/A</v>
        <stp/>
        <stp>BDH|16103037534720342517</stp>
        <tr r="N69" s="2"/>
      </tp>
      <tp t="s">
        <v>#N/A N/A</v>
        <stp/>
        <stp>BDH|14038696439902299362</stp>
        <tr r="Y53" s="2"/>
      </tp>
      <tp t="s">
        <v>#N/A N/A</v>
        <stp/>
        <stp>BDH|15398221629601982453</stp>
        <tr r="W49" s="2"/>
      </tp>
      <tp t="s">
        <v>#N/A N/A</v>
        <stp/>
        <stp>BDH|10363123760896157173</stp>
        <tr r="S16" s="2"/>
      </tp>
      <tp t="s">
        <v>#N/A N/A</v>
        <stp/>
        <stp>BDH|13116187890073919879</stp>
        <tr r="W39" s="2"/>
      </tp>
      <tp t="s">
        <v>#N/A N/A</v>
        <stp/>
        <stp>BDH|16568640082641686937</stp>
        <tr r="Y23" s="2"/>
      </tp>
      <tp t="s">
        <v>#N/A N/A</v>
        <stp/>
        <stp>BDH|12758163724282442371</stp>
        <tr r="F19" s="2"/>
      </tp>
      <tp t="s">
        <v>#N/A N/A</v>
        <stp/>
        <stp>BDH|15552565372653408436</stp>
        <tr r="T54" s="2"/>
      </tp>
      <tp t="s">
        <v>#N/A N/A</v>
        <stp/>
        <stp>BDH|12073209065904110226</stp>
        <tr r="J69" s="2"/>
      </tp>
      <tp t="s">
        <v>#N/A N/A</v>
        <stp/>
        <stp>BDH|10295945296168028869</stp>
        <tr r="Z29" s="2"/>
      </tp>
      <tp t="s">
        <v>#N/A N/A</v>
        <stp/>
        <stp>BDH|15019173254878337990</stp>
        <tr r="J22" s="2"/>
      </tp>
      <tp t="s">
        <v>#N/A N/A</v>
        <stp/>
        <stp>BDH|10429888003740548837</stp>
        <tr r="W35" s="2"/>
      </tp>
      <tp t="s">
        <v>#N/A N/A</v>
        <stp/>
        <stp>BDH|17452567516576948544</stp>
        <tr r="AC44" s="2"/>
      </tp>
      <tp t="s">
        <v>#N/A N/A</v>
        <stp/>
        <stp>BDH|15546559269893627563</stp>
        <tr r="AB49" s="2"/>
      </tp>
      <tp t="s">
        <v>#N/A N/A</v>
        <stp/>
        <stp>BDH|14263690748213244599</stp>
        <tr r="AD16" s="2"/>
      </tp>
      <tp t="s">
        <v>#N/A N/A</v>
        <stp/>
        <stp>BDH|10704516350081653181</stp>
        <tr r="R74" s="2"/>
      </tp>
      <tp t="s">
        <v>#N/A N/A</v>
        <stp/>
        <stp>BDH|17827719408450186086</stp>
        <tr r="M10" s="2"/>
      </tp>
      <tp t="s">
        <v>#N/A N/A</v>
        <stp/>
        <stp>BDH|17096698132551221312</stp>
        <tr r="X24" s="2"/>
      </tp>
      <tp t="s">
        <v>#N/A N/A</v>
        <stp/>
        <stp>BDH|13282103748640220637</stp>
        <tr r="Q18" s="2"/>
      </tp>
      <tp t="s">
        <v>#N/A N/A</v>
        <stp/>
        <stp>BDH|14408466600471099199</stp>
        <tr r="AD72" s="2"/>
      </tp>
      <tp t="s">
        <v>#N/A N/A</v>
        <stp/>
        <stp>BDH|10269504436582658493</stp>
        <tr r="T53" s="2"/>
      </tp>
      <tp t="s">
        <v>#N/A N/A</v>
        <stp/>
        <stp>BDH|10209550413590732486</stp>
        <tr r="AA69" s="2"/>
      </tp>
      <tp t="s">
        <v>#N/A N/A</v>
        <stp/>
        <stp>BDH|18119931468384631369</stp>
        <tr r="V65" s="2"/>
      </tp>
      <tp t="s">
        <v>#N/A N/A</v>
        <stp/>
        <stp>BDH|11091307129626150623</stp>
        <tr r="U17" s="2"/>
      </tp>
      <tp t="s">
        <v>#N/A N/A</v>
        <stp/>
        <stp>BDH|14647124211602922666</stp>
        <tr r="V71" s="2"/>
      </tp>
      <tp t="s">
        <v>#N/A N/A</v>
        <stp/>
        <stp>BDH|12935298809945272510</stp>
        <tr r="Y13" s="2"/>
      </tp>
      <tp t="s">
        <v>#N/A N/A</v>
        <stp/>
        <stp>BDH|16964723008580912170</stp>
        <tr r="D25" s="2"/>
      </tp>
      <tp t="s">
        <v>#N/A N/A</v>
        <stp/>
        <stp>BDH|14069208678525042458</stp>
        <tr r="Z72" s="2"/>
      </tp>
      <tp t="s">
        <v>#N/A N/A</v>
        <stp/>
        <stp>BDH|17951393787294277885</stp>
        <tr r="D13" s="2"/>
      </tp>
      <tp t="s">
        <v>#N/A N/A</v>
        <stp/>
        <stp>BDH|17856096377905946528</stp>
        <tr r="R73" s="2"/>
      </tp>
      <tp t="s">
        <v>#N/A N/A</v>
        <stp/>
        <stp>BDH|13121797236482513565</stp>
        <tr r="E58" s="2"/>
      </tp>
      <tp t="s">
        <v>#N/A N/A</v>
        <stp/>
        <stp>BDH|15066659011387802537</stp>
        <tr r="AD14" s="2"/>
      </tp>
      <tp t="s">
        <v>#N/A N/A</v>
        <stp/>
        <stp>BDH|15702952064349061398</stp>
        <tr r="N19" s="2"/>
      </tp>
      <tp t="s">
        <v>#N/A N/A</v>
        <stp/>
        <stp>BDH|11967748616350418700</stp>
        <tr r="G75" s="2"/>
      </tp>
      <tp t="s">
        <v>#N/A N/A</v>
        <stp/>
        <stp>BDH|14789110130200107689</stp>
        <tr r="O41" s="2"/>
      </tp>
      <tp t="s">
        <v>#N/A N/A</v>
        <stp/>
        <stp>BDH|16816619388689896165</stp>
        <tr r="I55" s="2"/>
      </tp>
      <tp t="s">
        <v>#N/A N/A</v>
        <stp/>
        <stp>BDH|17710920285696635093</stp>
        <tr r="AC21" s="2"/>
      </tp>
      <tp t="s">
        <v>#N/A N/A</v>
        <stp/>
        <stp>BDH|11891241601272307107</stp>
        <tr r="R15" s="2"/>
      </tp>
      <tp t="s">
        <v>#N/A N/A</v>
        <stp/>
        <stp>BDH|15986478015154242478</stp>
        <tr r="X54" s="2"/>
      </tp>
      <tp t="s">
        <v>#N/A N/A</v>
        <stp/>
        <stp>BDH|17285716541591594593</stp>
        <tr r="Q52" s="2"/>
      </tp>
      <tp t="s">
        <v>#N/A N/A</v>
        <stp/>
        <stp>BDH|17171905168691527922</stp>
        <tr r="T57" s="2"/>
      </tp>
      <tp t="s">
        <v>#N/A N/A</v>
        <stp/>
        <stp>BDH|11769191642533519686</stp>
        <tr r="V58" s="2"/>
      </tp>
      <tp t="s">
        <v>#N/A N/A</v>
        <stp/>
        <stp>BDH|17894026008187728149</stp>
        <tr r="D48" s="2"/>
      </tp>
      <tp t="s">
        <v>#N/A N/A</v>
        <stp/>
        <stp>BDH|13520740450524545449</stp>
        <tr r="P40" s="2"/>
      </tp>
      <tp t="s">
        <v>#N/A N/A</v>
        <stp/>
        <stp>BDH|12026254093229505137</stp>
        <tr r="AD26" s="2"/>
      </tp>
      <tp t="s">
        <v>#N/A N/A</v>
        <stp/>
        <stp>BDH|10193012424031126258</stp>
        <tr r="AA68" s="2"/>
      </tp>
      <tp t="s">
        <v>#N/A N/A</v>
        <stp/>
        <stp>BDH|12826739041056281685</stp>
        <tr r="AD68" s="2"/>
      </tp>
      <tp t="s">
        <v>#N/A N/A</v>
        <stp/>
        <stp>BDH|13602691905783844727</stp>
        <tr r="N8" s="2"/>
      </tp>
      <tp t="s">
        <v>#N/A N/A</v>
        <stp/>
        <stp>BDH|10606637130094193075</stp>
        <tr r="J71" s="2"/>
      </tp>
      <tp t="s">
        <v>#N/A N/A</v>
        <stp/>
        <stp>BDH|14937624916991878361</stp>
        <tr r="D21" s="2"/>
      </tp>
      <tp t="s">
        <v>#N/A N/A</v>
        <stp/>
        <stp>BDH|11081840391861594031</stp>
        <tr r="C15" s="2"/>
      </tp>
      <tp t="s">
        <v>#N/A N/A</v>
        <stp/>
        <stp>BDH|11749381578232392671</stp>
        <tr r="L42" s="2"/>
      </tp>
      <tp t="s">
        <v>#N/A N/A</v>
        <stp/>
        <stp>BDH|16146728945411206575</stp>
        <tr r="L9" s="2"/>
      </tp>
      <tp t="s">
        <v>#N/A N/A</v>
        <stp/>
        <stp>BDH|10361024605337211655</stp>
        <tr r="I41" s="2"/>
      </tp>
      <tp t="s">
        <v>#N/A N/A</v>
        <stp/>
        <stp>BDH|17219053412157116068</stp>
        <tr r="T40" s="2"/>
      </tp>
      <tp t="s">
        <v>#N/A N/A</v>
        <stp/>
        <stp>BDH|15347778096088547256</stp>
        <tr r="P59" s="2"/>
      </tp>
      <tp t="s">
        <v>#N/A N/A</v>
        <stp/>
        <stp>BDH|11402069041716303223</stp>
        <tr r="AD39" s="2"/>
      </tp>
      <tp t="s">
        <v>#N/A N/A</v>
        <stp/>
        <stp>BDH|12454357353782012706</stp>
        <tr r="U46" s="2"/>
      </tp>
      <tp t="s">
        <v>#N/A N/A</v>
        <stp/>
        <stp>BDH|12233384051371922404</stp>
        <tr r="L34" s="2"/>
      </tp>
      <tp t="s">
        <v>#N/A N/A</v>
        <stp/>
        <stp>BDH|15614722609560760381</stp>
        <tr r="AC58" s="2"/>
      </tp>
      <tp t="s">
        <v>#N/A N/A</v>
        <stp/>
        <stp>BDH|10584536844365249551</stp>
        <tr r="F40" s="2"/>
      </tp>
      <tp t="s">
        <v>#N/A N/A</v>
        <stp/>
        <stp>BDH|12217721592279130462</stp>
        <tr r="S38" s="2"/>
        <tr r="S50" s="2"/>
      </tp>
      <tp t="s">
        <v>#N/A N/A</v>
        <stp/>
        <stp>BDH|15516634150202076532</stp>
        <tr r="E57" s="2"/>
      </tp>
      <tp t="s">
        <v>#N/A N/A</v>
        <stp/>
        <stp>BDH|17562264886515348937</stp>
        <tr r="X29" s="2"/>
      </tp>
      <tp t="s">
        <v>#N/A N/A</v>
        <stp/>
        <stp>BDH|10714226025530009149</stp>
        <tr r="Q20" s="2"/>
      </tp>
      <tp t="s">
        <v>#N/A N/A</v>
        <stp/>
        <stp>BDH|14541661101594699703</stp>
        <tr r="R66" s="2"/>
      </tp>
      <tp t="s">
        <v>#N/A N/A</v>
        <stp/>
        <stp>BDH|15471247403827684119</stp>
        <tr r="AB23" s="2"/>
      </tp>
      <tp t="s">
        <v>#N/A N/A</v>
        <stp/>
        <stp>BDH|18127669617949476708</stp>
        <tr r="AD34" s="2"/>
      </tp>
      <tp t="s">
        <v>#N/A N/A</v>
        <stp/>
        <stp>BDH|10618751042192533001</stp>
        <tr r="W37" s="2"/>
      </tp>
      <tp t="s">
        <v>#N/A N/A</v>
        <stp/>
        <stp>BDH|10383725343041004354</stp>
        <tr r="X11" s="2"/>
      </tp>
      <tp t="s">
        <v>#N/A N/A</v>
        <stp/>
        <stp>BDH|16690458365721357420</stp>
        <tr r="Z34" s="2"/>
      </tp>
      <tp t="s">
        <v>#N/A N/A</v>
        <stp/>
        <stp>BDH|10256322615274063724</stp>
        <tr r="P11" s="2"/>
      </tp>
      <tp t="s">
        <v>#N/A N/A</v>
        <stp/>
        <stp>BDH|14327775664606120278</stp>
        <tr r="AB70" s="2"/>
      </tp>
      <tp t="s">
        <v>#N/A N/A</v>
        <stp/>
        <stp>BDH|10874376208730271236</stp>
        <tr r="Y35" s="2"/>
      </tp>
      <tp t="s">
        <v>#N/A N/A</v>
        <stp/>
        <stp>BDH|11604171507646851785</stp>
        <tr r="J23" s="2"/>
      </tp>
      <tp t="s">
        <v>#N/A N/A</v>
        <stp/>
        <stp>BDH|11231281114653609019</stp>
        <tr r="J70" s="2"/>
      </tp>
      <tp t="s">
        <v>#N/A N/A</v>
        <stp/>
        <stp>BDH|18369127847324826870</stp>
        <tr r="O38" s="2"/>
        <tr r="O50" s="2"/>
      </tp>
      <tp t="s">
        <v>#N/A N/A</v>
        <stp/>
        <stp>BDH|16204616405634958561</stp>
        <tr r="F30" s="2"/>
      </tp>
      <tp t="s">
        <v>#N/A N/A</v>
        <stp/>
        <stp>BDH|16081168925013969732</stp>
        <tr r="K20" s="2"/>
      </tp>
      <tp t="s">
        <v>#N/A N/A</v>
        <stp/>
        <stp>BDH|14663580359567698291</stp>
        <tr r="W30" s="2"/>
      </tp>
      <tp t="s">
        <v>#N/A N/A</v>
        <stp/>
        <stp>BDH|11657763649071178208</stp>
        <tr r="I24" s="2"/>
      </tp>
      <tp t="s">
        <v>#N/A N/A</v>
        <stp/>
        <stp>BDH|10850239952243348525</stp>
        <tr r="W24" s="2"/>
      </tp>
      <tp t="s">
        <v>#N/A N/A</v>
        <stp/>
        <stp>BDH|10980627666218091952</stp>
        <tr r="X59" s="2"/>
      </tp>
      <tp t="s">
        <v>#N/A N/A</v>
        <stp/>
        <stp>BDH|17303008506585951374</stp>
        <tr r="AC64" s="2"/>
      </tp>
      <tp t="s">
        <v>#N/A N/A</v>
        <stp/>
        <stp>BDH|16297496349836925103</stp>
        <tr r="G9" s="2"/>
      </tp>
      <tp t="s">
        <v>#N/A N/A</v>
        <stp/>
        <stp>BDH|10977596054471764087</stp>
        <tr r="C33" s="2"/>
      </tp>
      <tp t="s">
        <v>#N/A N/A</v>
        <stp/>
        <stp>BDH|16979331866496581433</stp>
        <tr r="AD30" s="2"/>
      </tp>
      <tp t="s">
        <v>#N/A N/A</v>
        <stp/>
        <stp>BDH|11647716126136876338</stp>
        <tr r="Z45" s="2"/>
      </tp>
      <tp t="s">
        <v>#N/A N/A</v>
        <stp/>
        <stp>BDH|17786084455805447641</stp>
        <tr r="H71" s="2"/>
      </tp>
      <tp t="s">
        <v>#N/A N/A</v>
        <stp/>
        <stp>BDH|11205517938145827394</stp>
        <tr r="AA71" s="2"/>
      </tp>
      <tp t="s">
        <v>#N/A N/A</v>
        <stp/>
        <stp>BDH|14818578716350339179</stp>
        <tr r="I59" s="2"/>
      </tp>
      <tp t="s">
        <v>#N/A N/A</v>
        <stp/>
        <stp>BDH|17858165665077178672</stp>
        <tr r="M26" s="2"/>
      </tp>
      <tp t="s">
        <v>#N/A N/A</v>
        <stp/>
        <stp>BDH|14387087132176239077</stp>
        <tr r="Y57" s="2"/>
      </tp>
      <tp t="s">
        <v>#N/A N/A</v>
        <stp/>
        <stp>BDH|12821939516002812997</stp>
        <tr r="AC17" s="2"/>
      </tp>
      <tp t="s">
        <v>#N/A N/A</v>
        <stp/>
        <stp>BDH|11529209247584644289</stp>
        <tr r="W12" s="2"/>
      </tp>
      <tp t="s">
        <v>#N/A N/A</v>
        <stp/>
        <stp>BDH|15876130747358802987</stp>
        <tr r="AD55" s="2"/>
      </tp>
      <tp t="s">
        <v>#N/A N/A</v>
        <stp/>
        <stp>BDH|10149194327020703242</stp>
        <tr r="R17" s="2"/>
      </tp>
      <tp t="s">
        <v>#N/A N/A</v>
        <stp/>
        <stp>BDH|15932355824357067242</stp>
        <tr r="U53" s="2"/>
      </tp>
      <tp t="s">
        <v>#N/A N/A</v>
        <stp/>
        <stp>BDH|16371358572054932719</stp>
        <tr r="N24" s="2"/>
      </tp>
      <tp t="s">
        <v>#N/A N/A</v>
        <stp/>
        <stp>BDH|15906169404363356674</stp>
        <tr r="L33" s="2"/>
      </tp>
      <tp t="s">
        <v>#N/A N/A</v>
        <stp/>
        <stp>BDH|11936780981098602790</stp>
        <tr r="C22" s="2"/>
      </tp>
      <tp t="s">
        <v>#N/A N/A</v>
        <stp/>
        <stp>BDH|11775625139644696147</stp>
        <tr r="P17" s="2"/>
      </tp>
      <tp t="s">
        <v>#N/A N/A</v>
        <stp/>
        <stp>BDH|18075311967619118598</stp>
        <tr r="L37" s="2"/>
      </tp>
      <tp t="s">
        <v>#N/A N/A</v>
        <stp/>
        <stp>BDH|15871753210595490770</stp>
        <tr r="AA73" s="2"/>
      </tp>
      <tp t="s">
        <v>#N/A N/A</v>
        <stp/>
        <stp>BDH|12094448230432257681</stp>
        <tr r="AA37" s="2"/>
      </tp>
      <tp t="s">
        <v>#N/A N/A</v>
        <stp/>
        <stp>BDH|11130097474025130237</stp>
        <tr r="G50" s="2"/>
        <tr r="G38" s="2"/>
      </tp>
      <tp t="s">
        <v>#N/A N/A</v>
        <stp/>
        <stp>BDH|14033672864032796053</stp>
        <tr r="AB18" s="2"/>
      </tp>
      <tp t="s">
        <v>#N/A N/A</v>
        <stp/>
        <stp>BDH|16525175753186178219</stp>
        <tr r="J44" s="2"/>
      </tp>
      <tp t="s">
        <v>#N/A N/A</v>
        <stp/>
        <stp>BDH|10440701125123181013</stp>
        <tr r="Z24" s="2"/>
      </tp>
      <tp t="s">
        <v>#N/A N/A</v>
        <stp/>
        <stp>BDH|16040001545626532213</stp>
        <tr r="C49" s="2"/>
      </tp>
      <tp t="s">
        <v>#N/A N/A</v>
        <stp/>
        <stp>BDH|15017213116963798313</stp>
        <tr r="L28" s="2"/>
      </tp>
      <tp t="s">
        <v>#N/A N/A</v>
        <stp/>
        <stp>BDH|17109269127885350425</stp>
        <tr r="Q72" s="2"/>
      </tp>
      <tp t="s">
        <v>#N/A N/A</v>
        <stp/>
        <stp>BDH|14144254833320755313</stp>
        <tr r="E31" s="2"/>
      </tp>
      <tp t="s">
        <v>#N/A N/A</v>
        <stp/>
        <stp>BDH|12185662617806459552</stp>
        <tr r="AD27" s="2"/>
      </tp>
      <tp t="s">
        <v>#N/A N/A</v>
        <stp/>
        <stp>BDH|12495590049774306175</stp>
        <tr r="P55" s="2"/>
      </tp>
      <tp t="s">
        <v>#N/A N/A</v>
        <stp/>
        <stp>BDH|15322462813371227748</stp>
        <tr r="T7" s="2"/>
      </tp>
      <tp t="s">
        <v>#N/A N/A</v>
        <stp/>
        <stp>BDH|10864710150433848715</stp>
        <tr r="T72" s="2"/>
      </tp>
      <tp t="s">
        <v>#N/A N/A</v>
        <stp/>
        <stp>BDH|12644111750042529221</stp>
        <tr r="P7" s="2"/>
      </tp>
      <tp t="s">
        <v>#N/A N/A</v>
        <stp/>
        <stp>BDH|13876752717145050697</stp>
        <tr r="M31" s="2"/>
      </tp>
      <tp t="s">
        <v>#N/A N/A</v>
        <stp/>
        <stp>BDH|14273588420956997314</stp>
        <tr r="D67" s="2"/>
      </tp>
      <tp t="s">
        <v>#N/A N/A</v>
        <stp/>
        <stp>BDH|11468719188478650093</stp>
        <tr r="L49" s="2"/>
      </tp>
      <tp t="s">
        <v>#N/A N/A</v>
        <stp/>
        <stp>BDH|16297481243579381989</stp>
        <tr r="AB68" s="2"/>
      </tp>
      <tp t="s">
        <v>#N/A N/A</v>
        <stp/>
        <stp>BDH|18283345397942139620</stp>
        <tr r="P33" s="2"/>
      </tp>
      <tp t="s">
        <v>#N/A N/A</v>
        <stp/>
        <stp>BDH|15115073381718437310</stp>
        <tr r="E12" s="2"/>
      </tp>
      <tp t="s">
        <v>#N/A N/A</v>
        <stp/>
        <stp>BDH|10816746245547364281</stp>
        <tr r="Q33" s="2"/>
      </tp>
      <tp t="s">
        <v>#N/A N/A</v>
        <stp/>
        <stp>BDH|13142291945727104498</stp>
        <tr r="R8" s="2"/>
      </tp>
      <tp t="s">
        <v>#N/A N/A</v>
        <stp/>
        <stp>BDH|10897437199098420336</stp>
        <tr r="AC29" s="2"/>
      </tp>
      <tp t="s">
        <v>#N/A N/A</v>
        <stp/>
        <stp>BDH|18277684623823436987</stp>
        <tr r="D68" s="2"/>
      </tp>
      <tp t="s">
        <v>#N/A N/A</v>
        <stp/>
        <stp>BDH|17388701897876496959</stp>
        <tr r="Y42" s="2"/>
      </tp>
      <tp t="s">
        <v>#N/A N/A</v>
        <stp/>
        <stp>BDH|14496318912350342011</stp>
        <tr r="I15" s="2"/>
      </tp>
      <tp t="s">
        <v>#N/A N/A</v>
        <stp/>
        <stp>BDH|13488862867949204201</stp>
        <tr r="X19" s="2"/>
      </tp>
      <tp t="s">
        <v>#N/A N/A</v>
        <stp/>
        <stp>BDH|14406950590664111669</stp>
        <tr r="N48" s="2"/>
      </tp>
      <tp t="s">
        <v>#N/A N/A</v>
        <stp/>
        <stp>BDH|15435467296839479766</stp>
        <tr r="L72" s="2"/>
      </tp>
      <tp t="s">
        <v>#N/A N/A</v>
        <stp/>
        <stp>BDH|11013949461880656854</stp>
        <tr r="AD6" s="2"/>
      </tp>
      <tp t="s">
        <v>#N/A N/A</v>
        <stp/>
        <stp>BDH|11327697522467575450</stp>
        <tr r="AD48" s="2"/>
      </tp>
      <tp t="s">
        <v>#N/A N/A</v>
        <stp/>
        <stp>BDH|15566023220332820348</stp>
        <tr r="K7" s="2"/>
      </tp>
      <tp t="s">
        <v>#N/A N/A</v>
        <stp/>
        <stp>BDH|16562382736044655460</stp>
        <tr r="O64" s="2"/>
      </tp>
      <tp t="s">
        <v>#N/A N/A</v>
        <stp/>
        <stp>BDH|10054317218696473278</stp>
        <tr r="AD7" s="2"/>
      </tp>
      <tp t="s">
        <v>#N/A N/A</v>
        <stp/>
        <stp>BDH|10170982403039718676</stp>
        <tr r="P30" s="2"/>
      </tp>
      <tp t="s">
        <v>#N/A N/A</v>
        <stp/>
        <stp>BDH|14473511505755941235</stp>
        <tr r="S22" s="2"/>
      </tp>
      <tp t="s">
        <v>#N/A N/A</v>
        <stp/>
        <stp>BDH|10904586668631269412</stp>
        <tr r="T43" s="2"/>
      </tp>
      <tp t="s">
        <v>#N/A N/A</v>
        <stp/>
        <stp>BDH|11413467755471984734</stp>
        <tr r="F45" s="2"/>
      </tp>
      <tp t="s">
        <v>#N/A N/A</v>
        <stp/>
        <stp>BDH|11398047747671493288</stp>
        <tr r="X74" s="2"/>
      </tp>
      <tp t="s">
        <v>#N/A N/A</v>
        <stp/>
        <stp>BDH|17489162881019603197</stp>
        <tr r="AC73" s="2"/>
      </tp>
      <tp t="s">
        <v>#N/A N/A</v>
        <stp/>
        <stp>BDH|17632064295781985904</stp>
        <tr r="Q45" s="2"/>
      </tp>
      <tp t="s">
        <v>#N/A N/A</v>
        <stp/>
        <stp>BDH|13112257505460407791</stp>
        <tr r="M37" s="2"/>
      </tp>
      <tp t="s">
        <v>#N/A N/A</v>
        <stp/>
        <stp>BDH|10018172358300670257</stp>
        <tr r="N30" s="2"/>
      </tp>
      <tp t="s">
        <v>#N/A N/A</v>
        <stp/>
        <stp>BDH|11995373442947222721</stp>
        <tr r="K60" s="2"/>
      </tp>
      <tp t="s">
        <v>#N/A N/A</v>
        <stp/>
        <stp>BDH|12064005259472445315</stp>
        <tr r="V33" s="2"/>
      </tp>
      <tp t="s">
        <v>#N/A N/A</v>
        <stp/>
        <stp>BDH|18072142319648126607</stp>
        <tr r="AA57" s="2"/>
      </tp>
      <tp t="s">
        <v>#N/A N/A</v>
        <stp/>
        <stp>BDH|12248539204194959538</stp>
        <tr r="G18" s="2"/>
      </tp>
      <tp t="s">
        <v>#N/A N/A</v>
        <stp/>
        <stp>BDH|14659781975725315773</stp>
        <tr r="AB57" s="2"/>
      </tp>
      <tp t="s">
        <v>#N/A N/A</v>
        <stp/>
        <stp>BDH|13330500809918076842</stp>
        <tr r="G31" s="2"/>
      </tp>
      <tp t="s">
        <v>#N/A N/A</v>
        <stp/>
        <stp>BDH|11569594718502211188</stp>
        <tr r="G45" s="2"/>
      </tp>
      <tp t="s">
        <v>#N/A N/A</v>
        <stp/>
        <stp>BDH|15058565464908928857</stp>
        <tr r="P9" s="2"/>
      </tp>
      <tp t="s">
        <v>#N/A N/A</v>
        <stp/>
        <stp>BDH|18366930657281021391</stp>
        <tr r="F9" s="2"/>
      </tp>
      <tp t="s">
        <v>#N/A N/A</v>
        <stp/>
        <stp>BDH|10860883203306478896</stp>
        <tr r="Z48" s="2"/>
      </tp>
      <tp t="s">
        <v>#N/A N/A</v>
        <stp/>
        <stp>BDH|11390143935925928055</stp>
        <tr r="V73" s="2"/>
      </tp>
      <tp t="s">
        <v>#N/A N/A</v>
        <stp/>
        <stp>BDH|18137866566355185417</stp>
        <tr r="U12" s="2"/>
      </tp>
      <tp t="s">
        <v>#N/A N/A</v>
        <stp/>
        <stp>BDH|16164657115350762679</stp>
        <tr r="F23" s="2"/>
      </tp>
      <tp t="s">
        <v>#N/A N/A</v>
        <stp/>
        <stp>BDH|17646473055629495806</stp>
        <tr r="U43" s="2"/>
      </tp>
      <tp t="s">
        <v>#N/A N/A</v>
        <stp/>
        <stp>BDH|17777517557362597270</stp>
        <tr r="O13" s="2"/>
      </tp>
      <tp t="s">
        <v>#N/A N/A</v>
        <stp/>
        <stp>BDH|12901581345244495036</stp>
        <tr r="P72" s="2"/>
      </tp>
      <tp t="s">
        <v>#N/A N/A</v>
        <stp/>
        <stp>BDH|15149162822237253656</stp>
        <tr r="R65" s="2"/>
      </tp>
      <tp t="s">
        <v>#N/A N/A</v>
        <stp/>
        <stp>BDH|16718316022598206830</stp>
        <tr r="J57" s="2"/>
      </tp>
      <tp t="s">
        <v>#N/A N/A</v>
        <stp/>
        <stp>BDH|17324411812796669333</stp>
        <tr r="U18" s="2"/>
      </tp>
      <tp t="s">
        <v>#N/A N/A</v>
        <stp/>
        <stp>BDH|11093855282300598673</stp>
        <tr r="J42" s="2"/>
      </tp>
      <tp t="s">
        <v>#N/A N/A</v>
        <stp/>
        <stp>BDH|15341668519252088782</stp>
        <tr r="AC11" s="2"/>
      </tp>
      <tp t="s">
        <v>#N/A N/A</v>
        <stp/>
        <stp>BDH|13586571385169933090</stp>
        <tr r="U27" s="2"/>
      </tp>
      <tp t="s">
        <v>#N/A N/A</v>
        <stp/>
        <stp>BDH|10584256100340511525</stp>
        <tr r="O17" s="2"/>
      </tp>
      <tp t="s">
        <v>#N/A N/A</v>
        <stp/>
        <stp>BDH|17314568265880278355</stp>
        <tr r="W27" s="2"/>
      </tp>
      <tp t="s">
        <v>#N/A N/A</v>
        <stp/>
        <stp>BDH|14335104339633851255</stp>
        <tr r="H12" s="2"/>
      </tp>
      <tp t="s">
        <v>#N/A N/A</v>
        <stp/>
        <stp>BDH|12374514498470964958</stp>
        <tr r="I30" s="2"/>
      </tp>
      <tp t="s">
        <v>#N/A N/A</v>
        <stp/>
        <stp>BDH|15492245788459661181</stp>
        <tr r="V10" s="2"/>
      </tp>
      <tp t="s">
        <v>#N/A N/A</v>
        <stp/>
        <stp>BDH|18185663593364277403</stp>
        <tr r="S36" s="2"/>
      </tp>
      <tp t="s">
        <v>#N/A N/A</v>
        <stp/>
        <stp>BDH|15896549296287554990</stp>
        <tr r="AD75" s="2"/>
      </tp>
      <tp t="s">
        <v>#N/A N/A</v>
        <stp/>
        <stp>BDH|16621460184218014526</stp>
        <tr r="AD69" s="2"/>
      </tp>
      <tp t="s">
        <v>#N/A N/A</v>
        <stp/>
        <stp>BDH|15748918201103000819</stp>
        <tr r="G69" s="2"/>
      </tp>
      <tp t="s">
        <v>#N/A N/A</v>
        <stp/>
        <stp>BDH|13540755687392925977</stp>
        <tr r="G22" s="2"/>
      </tp>
      <tp t="s">
        <v>#N/A N/A</v>
        <stp/>
        <stp>BDH|13966521777181160744</stp>
        <tr r="O52" s="2"/>
      </tp>
      <tp t="s">
        <v>#N/A N/A</v>
        <stp/>
        <stp>BDH|10453319000166542284</stp>
        <tr r="G64" s="2"/>
      </tp>
      <tp t="s">
        <v>#N/A N/A</v>
        <stp/>
        <stp>BDH|11413477614746623591</stp>
        <tr r="AD66" s="2"/>
      </tp>
      <tp t="s">
        <v>#N/A N/A</v>
        <stp/>
        <stp>BDH|17056047069337167147</stp>
        <tr r="AC34" s="2"/>
      </tp>
      <tp t="s">
        <v>#N/A N/A</v>
        <stp/>
        <stp>BDH|10755954598297505074</stp>
        <tr r="P20" s="2"/>
      </tp>
      <tp t="s">
        <v>#N/A N/A</v>
        <stp/>
        <stp>BDH|16927507479424876702</stp>
        <tr r="R41" s="2"/>
      </tp>
      <tp t="s">
        <v>#N/A N/A</v>
        <stp/>
        <stp>BDH|16493076615920928041</stp>
        <tr r="Z60" s="2"/>
      </tp>
      <tp t="s">
        <v>#N/A N/A</v>
        <stp/>
        <stp>BDH|10131196670858278907</stp>
        <tr r="AC32" s="2"/>
      </tp>
      <tp t="s">
        <v>#N/A N/A</v>
        <stp/>
        <stp>BDH|16979131257207557258</stp>
        <tr r="T70" s="2"/>
      </tp>
      <tp t="s">
        <v>#N/A N/A</v>
        <stp/>
        <stp>BDH|15800308485020801987</stp>
        <tr r="T18" s="2"/>
      </tp>
      <tp t="s">
        <v>#N/A N/A</v>
        <stp/>
        <stp>BDH|10566372791554782996</stp>
        <tr r="T64" s="2"/>
      </tp>
      <tp t="s">
        <v>#N/A N/A</v>
        <stp/>
        <stp>BDH|17748477141142495285</stp>
        <tr r="K24" s="2"/>
      </tp>
      <tp t="s">
        <v>#N/A N/A</v>
        <stp/>
        <stp>BDH|15604200355262793784</stp>
        <tr r="G25" s="2"/>
      </tp>
      <tp t="s">
        <v>#N/A N/A</v>
        <stp/>
        <stp>BDH|12984407745324074109</stp>
        <tr r="N20" s="2"/>
      </tp>
      <tp t="s">
        <v>#N/A N/A</v>
        <stp/>
        <stp>BDH|17474180688719173090</stp>
        <tr r="M41" s="2"/>
      </tp>
      <tp t="s">
        <v>#N/A N/A</v>
        <stp/>
        <stp>BDH|13833553166510508720</stp>
        <tr r="Q73" s="2"/>
      </tp>
      <tp t="s">
        <v>#N/A N/A</v>
        <stp/>
        <stp>BDH|11280503104822916114</stp>
        <tr r="AA44" s="2"/>
      </tp>
      <tp t="s">
        <v>#N/A N/A</v>
        <stp/>
        <stp>BDH|16744453777316883438</stp>
        <tr r="AA42" s="2"/>
      </tp>
      <tp t="s">
        <v>#N/A N/A</v>
        <stp/>
        <stp>BDH|11413120835600586772</stp>
        <tr r="AB10" s="2"/>
      </tp>
      <tp t="s">
        <v>#N/A N/A</v>
        <stp/>
        <stp>BDH|15408163835354569733</stp>
        <tr r="F75" s="2"/>
      </tp>
      <tp t="s">
        <v>#N/A N/A</v>
        <stp/>
        <stp>BDH|10129076903557347371</stp>
        <tr r="C52" s="2"/>
      </tp>
      <tp t="s">
        <v>#N/A N/A</v>
        <stp/>
        <stp>BDH|17143140637781119030</stp>
        <tr r="AA14" s="2"/>
      </tp>
      <tp t="s">
        <v>#N/A N/A</v>
        <stp/>
        <stp>BDH|14733450880205627942</stp>
        <tr r="I16" s="2"/>
      </tp>
      <tp t="s">
        <v>#N/A N/A</v>
        <stp/>
        <stp>BDH|10731047031913081425</stp>
        <tr r="F6" s="2"/>
      </tp>
      <tp t="s">
        <v>#N/A N/A</v>
        <stp/>
        <stp>BDH|18320538028559349282</stp>
        <tr r="Q68" s="2"/>
      </tp>
      <tp t="s">
        <v>#N/A N/A</v>
        <stp/>
        <stp>BDH|11766553154220387563</stp>
        <tr r="Y20" s="2"/>
      </tp>
      <tp t="s">
        <v>#N/A N/A</v>
        <stp/>
        <stp>BDH|10621308406592779548</stp>
        <tr r="S44" s="2"/>
      </tp>
      <tp t="s">
        <v>#N/A N/A</v>
        <stp/>
        <stp>BDH|14765074636966575516</stp>
        <tr r="N34" s="2"/>
      </tp>
      <tp t="s">
        <v>#N/A N/A</v>
        <stp/>
        <stp>BDH|11704393069893633334</stp>
        <tr r="Z26" s="2"/>
      </tp>
      <tp t="s">
        <v>#N/A N/A</v>
        <stp/>
        <stp>BDH|18349900773643750157</stp>
        <tr r="O27" s="2"/>
      </tp>
      <tp t="s">
        <v>#N/A N/A</v>
        <stp/>
        <stp>BDH|10393560647636116318</stp>
        <tr r="T67" s="2"/>
      </tp>
      <tp t="s">
        <v>#N/A N/A</v>
        <stp/>
        <stp>BDH|13656647311824183473</stp>
        <tr r="Y46" s="2"/>
      </tp>
      <tp t="s">
        <v>#N/A N/A</v>
        <stp/>
        <stp>BDH|10896940619205387932</stp>
        <tr r="AD59" s="2"/>
      </tp>
      <tp t="s">
        <v>#N/A N/A</v>
        <stp/>
        <stp>BDH|13596034257345495702</stp>
        <tr r="Q38" s="2"/>
        <tr r="Q50" s="2"/>
      </tp>
      <tp t="s">
        <v>#N/A N/A</v>
        <stp/>
        <stp>BDH|12505621515799602808</stp>
        <tr r="Y37" s="2"/>
      </tp>
      <tp t="s">
        <v>#N/A N/A</v>
        <stp/>
        <stp>BDH|13764605086849078051</stp>
        <tr r="G68" s="2"/>
      </tp>
      <tp t="s">
        <v>#N/A N/A</v>
        <stp/>
        <stp>BDH|16307503175313615344</stp>
        <tr r="G72" s="2"/>
      </tp>
      <tp t="s">
        <v>#N/A N/A</v>
        <stp/>
        <stp>BDH|15335354397638718316</stp>
        <tr r="W60" s="2"/>
      </tp>
      <tp t="s">
        <v>#N/A N/A</v>
        <stp/>
        <stp>BDH|17969888000558320347</stp>
        <tr r="S60" s="2"/>
      </tp>
      <tp t="s">
        <v>#N/A N/A</v>
        <stp/>
        <stp>BDH|13196032113552111461</stp>
        <tr r="V34" s="2"/>
      </tp>
      <tp t="s">
        <v>#N/A N/A</v>
        <stp/>
        <stp>BDH|11471293565375863460</stp>
        <tr r="J35" s="2"/>
      </tp>
      <tp t="s">
        <v>#N/A N/A</v>
        <stp/>
        <stp>BDH|15822869291848785810</stp>
        <tr r="E39" s="2"/>
      </tp>
      <tp t="s">
        <v>#N/A N/A</v>
        <stp/>
        <stp>BDH|13418611912284816478</stp>
        <tr r="R57" s="2"/>
      </tp>
      <tp t="s">
        <v>#N/A N/A</v>
        <stp/>
        <stp>BDH|16809019828470876013</stp>
        <tr r="K66" s="2"/>
      </tp>
      <tp t="s">
        <v>#N/A N/A</v>
        <stp/>
        <stp>BDH|12827607436624746714</stp>
        <tr r="AA11" s="2"/>
      </tp>
      <tp t="s">
        <v>#N/A N/A</v>
        <stp/>
        <stp>BDH|15667859298092586257</stp>
        <tr r="F10" s="2"/>
      </tp>
      <tp t="s">
        <v>#N/A N/A</v>
        <stp/>
        <stp>BDH|14805883472156972903</stp>
        <tr r="E9" s="2"/>
      </tp>
      <tp t="s">
        <v>#N/A N/A</v>
        <stp/>
        <stp>BDH|10113047325485824328</stp>
        <tr r="T20" s="2"/>
      </tp>
      <tp t="s">
        <v>#N/A N/A</v>
        <stp/>
        <stp>BDH|16828085357554553389</stp>
        <tr r="Y16" s="2"/>
      </tp>
      <tp t="s">
        <v>#N/A N/A</v>
        <stp/>
        <stp>BDH|10384074347851102183</stp>
        <tr r="G52" s="2"/>
      </tp>
      <tp t="s">
        <v>#N/A N/A</v>
        <stp/>
        <stp>BDH|14090190596531786952</stp>
        <tr r="J55" s="2"/>
      </tp>
      <tp t="s">
        <v>#N/A N/A</v>
        <stp/>
        <stp>BDH|17021373507047590798</stp>
        <tr r="I20" s="2"/>
      </tp>
      <tp t="s">
        <v>#N/A N/A</v>
        <stp/>
        <stp>BDH|15312753642871810332</stp>
        <tr r="I60" s="2"/>
      </tp>
      <tp t="s">
        <v>#N/A N/A</v>
        <stp/>
        <stp>BDH|12816701518970975061</stp>
        <tr r="F53" s="2"/>
      </tp>
      <tp t="s">
        <v>#N/A N/A</v>
        <stp/>
        <stp>BDH|12183576999708331238</stp>
        <tr r="AB44" s="2"/>
      </tp>
      <tp t="s">
        <v>#N/A N/A</v>
        <stp/>
        <stp>BDH|11796246705991926604</stp>
        <tr r="I49" s="2"/>
      </tp>
      <tp t="s">
        <v>#N/A N/A</v>
        <stp/>
        <stp>BDH|10445364633246856267</stp>
        <tr r="O19" s="2"/>
      </tp>
      <tp t="s">
        <v>#N/A N/A</v>
        <stp/>
        <stp>BDH|14701526460300378394</stp>
        <tr r="X64" s="2"/>
      </tp>
      <tp t="s">
        <v>#N/A N/A</v>
        <stp/>
        <stp>BDH|17954069755546560009</stp>
        <tr r="P45" s="2"/>
      </tp>
      <tp t="s">
        <v>#N/A N/A</v>
        <stp/>
        <stp>BDH|10556996376259780330</stp>
        <tr r="W11" s="2"/>
      </tp>
      <tp t="s">
        <v>#N/A N/A</v>
        <stp/>
        <stp>BDH|16598714410662891627</stp>
        <tr r="H14" s="2"/>
      </tp>
      <tp t="s">
        <v>#N/A N/A</v>
        <stp/>
        <stp>BDH|18218647688142893174</stp>
        <tr r="AA9" s="2"/>
      </tp>
      <tp t="s">
        <v>#N/A N/A</v>
        <stp/>
        <stp>BDH|10430345524231051559</stp>
        <tr r="U15" s="2"/>
      </tp>
      <tp t="s">
        <v>#N/A N/A</v>
        <stp/>
        <stp>BDH|14335135406933402332</stp>
        <tr r="U39" s="2"/>
      </tp>
      <tp t="s">
        <v>#N/A N/A</v>
        <stp/>
        <stp>BDH|10858516259355628070</stp>
        <tr r="Q11" s="2"/>
      </tp>
      <tp t="s">
        <v>#N/A N/A</v>
        <stp/>
        <stp>BDH|12907090187718184767</stp>
        <tr r="Y65" s="2"/>
      </tp>
      <tp t="s">
        <v>#N/A N/A</v>
        <stp/>
        <stp>BDH|14263548042209207963</stp>
        <tr r="F32" s="2"/>
      </tp>
      <tp t="s">
        <v>#N/A N/A</v>
        <stp/>
        <stp>BDH|17169641433391056662</stp>
        <tr r="AA29" s="2"/>
      </tp>
      <tp t="s">
        <v>#N/A N/A</v>
        <stp/>
        <stp>BDH|15360711414014001260</stp>
        <tr r="L19" s="2"/>
      </tp>
      <tp t="s">
        <v>#N/A N/A</v>
        <stp/>
        <stp>BDH|15615555351380013020</stp>
        <tr r="AB24" s="2"/>
      </tp>
      <tp t="s">
        <v>#N/A N/A</v>
        <stp/>
        <stp>BDH|13396571932714205472</stp>
        <tr r="D42" s="2"/>
      </tp>
      <tp t="s">
        <v>#N/A N/A</v>
        <stp/>
        <stp>BDH|15980188335617226558</stp>
        <tr r="AD67" s="2"/>
      </tp>
      <tp t="s">
        <v>#N/A N/A</v>
        <stp/>
        <stp>BDH|13582868455072568915</stp>
        <tr r="G41" s="2"/>
      </tp>
      <tp t="s">
        <v>#N/A N/A</v>
        <stp/>
        <stp>BDH|11453932899406513291</stp>
        <tr r="AA26" s="2"/>
      </tp>
      <tp t="s">
        <v>#N/A N/A</v>
        <stp/>
        <stp>BDH|13528073927640146461</stp>
        <tr r="R43" s="2"/>
      </tp>
      <tp t="s">
        <v>#N/A N/A</v>
        <stp/>
        <stp>BDH|14056755495076066924</stp>
        <tr r="H57" s="2"/>
      </tp>
      <tp t="s">
        <v>#N/A N/A</v>
        <stp/>
        <stp>BDH|16422807605383605851</stp>
        <tr r="AC20" s="2"/>
      </tp>
      <tp t="s">
        <v>#N/A N/A</v>
        <stp/>
        <stp>BDH|11474412906073537339</stp>
        <tr r="K54" s="2"/>
      </tp>
      <tp t="s">
        <v>#N/A N/A</v>
        <stp/>
        <stp>BDH|15932405012582722795</stp>
        <tr r="S41" s="2"/>
      </tp>
      <tp t="s">
        <v>#N/A N/A</v>
        <stp/>
        <stp>BDH|10978699006680506371</stp>
        <tr r="Y60" s="2"/>
      </tp>
      <tp t="s">
        <v>#N/A N/A</v>
        <stp/>
        <stp>BDH|12340688829251084269</stp>
        <tr r="J46" s="2"/>
      </tp>
      <tp t="s">
        <v>#N/A N/A</v>
        <stp/>
        <stp>BDH|11976755828075494446</stp>
        <tr r="AB45" s="2"/>
      </tp>
      <tp t="s">
        <v>#N/A N/A</v>
        <stp/>
        <stp>BDH|13253319469544640780</stp>
        <tr r="S17" s="2"/>
      </tp>
      <tp t="s">
        <v>#N/A N/A</v>
        <stp/>
        <stp>BDH|13774974399773430596</stp>
        <tr r="AC19" s="2"/>
      </tp>
      <tp t="s">
        <v>#N/A N/A</v>
        <stp/>
        <stp>BDH|14741061697421145933</stp>
        <tr r="N68" s="2"/>
      </tp>
      <tp t="s">
        <v>#N/A N/A</v>
        <stp/>
        <stp>BDH|14640252242287649035</stp>
        <tr r="Q7" s="2"/>
      </tp>
      <tp t="s">
        <v>#N/A N/A</v>
        <stp/>
        <stp>BDH|17642136015526598425</stp>
        <tr r="K40" s="2"/>
      </tp>
      <tp t="s">
        <v>#N/A N/A</v>
        <stp/>
        <stp>BDH|11611679996192290928</stp>
        <tr r="K59" s="2"/>
      </tp>
      <tp t="s">
        <v>#N/A N/A</v>
        <stp/>
        <stp>BDH|18099304636458003515</stp>
        <tr r="P28" s="2"/>
      </tp>
      <tp t="s">
        <v>#N/A N/A</v>
        <stp/>
        <stp>BDH|16673630111036723249</stp>
        <tr r="N59" s="2"/>
      </tp>
      <tp t="s">
        <v>#N/A N/A</v>
        <stp/>
        <stp>BDH|11866244204272848476</stp>
        <tr r="W46" s="2"/>
      </tp>
      <tp t="s">
        <v>#N/A N/A</v>
        <stp/>
        <stp>BDH|14092351255206064167</stp>
        <tr r="N26" s="2"/>
      </tp>
      <tp t="s">
        <v>#N/A N/A</v>
        <stp/>
        <stp>BDH|14866178458150491559</stp>
        <tr r="X65" s="2"/>
      </tp>
      <tp t="s">
        <v>#N/A N/A</v>
        <stp/>
        <stp>BDH|14342959541888835498</stp>
        <tr r="AC41" s="2"/>
      </tp>
      <tp t="s">
        <v>#N/A N/A</v>
        <stp/>
        <stp>BDH|16748822082512932183</stp>
        <tr r="G40" s="2"/>
      </tp>
      <tp t="s">
        <v>#N/A N/A</v>
        <stp/>
        <stp>BDH|12285542033719597865</stp>
        <tr r="H11" s="2"/>
      </tp>
      <tp t="s">
        <v>#N/A N/A</v>
        <stp/>
        <stp>BDH|13377335976455814787</stp>
        <tr r="C36" s="2"/>
      </tp>
      <tp t="s">
        <v>#N/A N/A</v>
        <stp/>
        <stp>BDH|12801751239316675542</stp>
        <tr r="H27" s="2"/>
      </tp>
      <tp t="s">
        <v>#N/A N/A</v>
        <stp/>
        <stp>BDH|13787060129014848090</stp>
        <tr r="F16" s="2"/>
      </tp>
      <tp t="s">
        <v>#N/A N/A</v>
        <stp/>
        <stp>BDH|10390388970761278018</stp>
        <tr r="AC52" s="2"/>
      </tp>
      <tp t="s">
        <v>#N/A N/A</v>
        <stp/>
        <stp>BDH|14135696525944021153</stp>
        <tr r="K58" s="2"/>
      </tp>
      <tp t="s">
        <v>#N/A N/A</v>
        <stp/>
        <stp>BDH|16438625276264824607</stp>
        <tr r="M8" s="2"/>
      </tp>
      <tp t="s">
        <v>#N/A N/A</v>
        <stp/>
        <stp>BDH|11321617146850424689</stp>
        <tr r="G26" s="2"/>
      </tp>
      <tp t="s">
        <v>#N/A N/A</v>
        <stp/>
        <stp>BDH|10691973686047890375</stp>
        <tr r="AC24" s="2"/>
      </tp>
      <tp t="s">
        <v>#N/A N/A</v>
        <stp/>
        <stp>BDH|10679478388831698844</stp>
        <tr r="AD8" s="2"/>
      </tp>
      <tp t="s">
        <v>#N/A N/A</v>
        <stp/>
        <stp>BDH|15099992686539563810</stp>
        <tr r="M22" s="2"/>
      </tp>
      <tp t="s">
        <v>#N/A N/A</v>
        <stp/>
        <stp>BDH|16580688247764174518</stp>
        <tr r="L70" s="2"/>
      </tp>
      <tp t="s">
        <v>#N/A N/A</v>
        <stp/>
        <stp>BDH|11404952008699421478</stp>
        <tr r="F46" s="2"/>
      </tp>
      <tp t="s">
        <v>#N/A N/A</v>
        <stp/>
        <stp>BDH|10071238275266434683</stp>
        <tr r="Z21" s="2"/>
      </tp>
      <tp t="s">
        <v>#N/A N/A</v>
        <stp/>
        <stp>BDH|10590397153375146645</stp>
        <tr r="L35" s="2"/>
      </tp>
      <tp t="s">
        <v>#N/A N/A</v>
        <stp/>
        <stp>BDH|14439519651995985478</stp>
        <tr r="M60" s="2"/>
      </tp>
      <tp t="s">
        <v>#N/A N/A</v>
        <stp/>
        <stp>BDH|11745514091270894859</stp>
        <tr r="G53" s="2"/>
      </tp>
      <tp t="s">
        <v>#N/A N/A</v>
        <stp/>
        <stp>BDH|14604472230212944426</stp>
        <tr r="H36" s="2"/>
      </tp>
      <tp t="s">
        <v>#N/A N/A</v>
        <stp/>
        <stp>BDH|12616563200250228285</stp>
        <tr r="C40" s="2"/>
      </tp>
      <tp t="s">
        <v>#N/A N/A</v>
        <stp/>
        <stp>BDH|10107803446218504185</stp>
        <tr r="AD45" s="2"/>
      </tp>
      <tp t="s">
        <v>#N/A N/A</v>
        <stp/>
        <stp>BDH|12226900493620489782</stp>
        <tr r="P52" s="2"/>
      </tp>
      <tp t="s">
        <v>#N/A N/A</v>
        <stp/>
        <stp>BDH|15980317594863824996</stp>
        <tr r="R58" s="2"/>
      </tp>
      <tp t="s">
        <v>#N/A N/A</v>
        <stp/>
        <stp>BDH|13201193859396848471</stp>
        <tr r="C13" s="2"/>
      </tp>
      <tp t="s">
        <v>#N/A N/A</v>
        <stp/>
        <stp>BDH|11499314803160905728</stp>
        <tr r="P64" s="2"/>
      </tp>
      <tp t="s">
        <v>#N/A N/A</v>
        <stp/>
        <stp>BDH|15897529891975037976</stp>
        <tr r="M48" s="2"/>
      </tp>
      <tp t="s">
        <v>#N/A N/A</v>
        <stp/>
        <stp>BDH|10225869158549488144</stp>
        <tr r="K16" s="2"/>
      </tp>
      <tp t="s">
        <v>#N/A N/A</v>
        <stp/>
        <stp>BDH|12931394830702686593</stp>
        <tr r="K53" s="2"/>
      </tp>
      <tp t="s">
        <v>#N/A N/A</v>
        <stp/>
        <stp>BDH|17695266219316513739</stp>
        <tr r="V14" s="2"/>
      </tp>
      <tp t="s">
        <v>#N/A N/A</v>
        <stp/>
        <stp>BDH|11123187122694187342</stp>
        <tr r="G46" s="2"/>
      </tp>
    </main>
    <main first="bofaddin.rtdserver">
      <tp t="s">
        <v>#N/A N/A</v>
        <stp/>
        <stp>BDH|8070377964597705</stp>
        <tr r="F41" s="2"/>
      </tp>
      <tp t="s">
        <v>#N/A N/A</v>
        <stp/>
        <stp>BDH|6574455398061284608</stp>
        <tr r="O72" s="2"/>
      </tp>
      <tp t="s">
        <v>#N/A N/A</v>
        <stp/>
        <stp>BDH|1730614186522334199</stp>
        <tr r="E71" s="2"/>
      </tp>
      <tp t="s">
        <v>#N/A N/A</v>
        <stp/>
        <stp>BDH|3816095982170897714</stp>
        <tr r="R42" s="2"/>
      </tp>
      <tp t="s">
        <v>#N/A N/A</v>
        <stp/>
        <stp>BDH|7608330775609942613</stp>
        <tr r="K64" s="2"/>
      </tp>
      <tp t="s">
        <v>#N/A N/A</v>
        <stp/>
        <stp>BDH|3253002481112361580</stp>
        <tr r="AB60" s="2"/>
      </tp>
      <tp t="s">
        <v>#N/A N/A</v>
        <stp/>
        <stp>BDH|9832174034467657056</stp>
        <tr r="S24" s="2"/>
      </tp>
      <tp t="s">
        <v>#N/A N/A</v>
        <stp/>
        <stp>BDH|7854945452891538638</stp>
        <tr r="O45" s="2"/>
      </tp>
      <tp t="s">
        <v>#N/A N/A</v>
        <stp/>
        <stp>BDH|9935995428356782879</stp>
        <tr r="O10" s="2"/>
      </tp>
      <tp t="s">
        <v>#N/A N/A</v>
        <stp/>
        <stp>BDH|6057812728183104317</stp>
        <tr r="X72" s="2"/>
      </tp>
      <tp t="s">
        <v>#N/A N/A</v>
        <stp/>
        <stp>BDH|2684118751623970965</stp>
        <tr r="U71" s="2"/>
      </tp>
      <tp t="s">
        <v>#N/A N/A</v>
        <stp/>
        <stp>BDH|7966491671970022884</stp>
        <tr r="X39" s="2"/>
      </tp>
      <tp t="s">
        <v>#N/A N/A</v>
        <stp/>
        <stp>BDH|3475420061814619985</stp>
        <tr r="R38" s="2"/>
        <tr r="R50" s="2"/>
      </tp>
      <tp t="s">
        <v>#N/A N/A</v>
        <stp/>
        <stp>BDH|2393989765566556750</stp>
        <tr r="Z40" s="2"/>
      </tp>
      <tp t="s">
        <v>#N/A N/A</v>
        <stp/>
        <stp>BDH|9492558139001704211</stp>
        <tr r="R31" s="2"/>
      </tp>
      <tp t="s">
        <v>#N/A N/A</v>
        <stp/>
        <stp>BDH|9156724555856807109</stp>
        <tr r="M71" s="2"/>
      </tp>
      <tp t="s">
        <v>#N/A N/A</v>
        <stp/>
        <stp>BDH|9018047497829555588</stp>
        <tr r="V15" s="2"/>
      </tp>
      <tp t="s">
        <v>#N/A N/A</v>
        <stp/>
        <stp>BDH|6616186034641427901</stp>
        <tr r="L67" s="2"/>
      </tp>
      <tp t="s">
        <v>#N/A N/A</v>
        <stp/>
        <stp>BDH|5495853923297827448</stp>
        <tr r="N74" s="2"/>
      </tp>
      <tp t="s">
        <v>#N/A N/A</v>
        <stp/>
        <stp>BDH|8157805995985867029</stp>
        <tr r="R6" s="2"/>
      </tp>
      <tp t="s">
        <v>#N/A N/A</v>
        <stp/>
        <stp>BDH|8682405907377743784</stp>
        <tr r="O34" s="2"/>
      </tp>
      <tp t="s">
        <v>#N/A N/A</v>
        <stp/>
        <stp>BDH|8325980355120368826</stp>
        <tr r="H52" s="2"/>
      </tp>
      <tp t="s">
        <v>#N/A N/A</v>
        <stp/>
        <stp>BDH|9645145451765854446</stp>
        <tr r="F14" s="2"/>
      </tp>
      <tp t="s">
        <v>#N/A N/A</v>
        <stp/>
        <stp>BDH|9277404326454344785</stp>
        <tr r="Z67" s="2"/>
      </tp>
      <tp t="s">
        <v>#N/A N/A</v>
        <stp/>
        <stp>BDH|8087916988257300257</stp>
        <tr r="Q70" s="2"/>
      </tp>
      <tp t="s">
        <v>#N/A N/A</v>
        <stp/>
        <stp>BDH|9400783636947494619</stp>
        <tr r="K68" s="2"/>
      </tp>
      <tp t="s">
        <v>#N/A N/A</v>
        <stp/>
        <stp>BDH|3201777100419892119</stp>
        <tr r="K8" s="2"/>
      </tp>
      <tp t="s">
        <v>#N/A N/A</v>
        <stp/>
        <stp>BDH|4616823353690338596</stp>
        <tr r="I74" s="2"/>
      </tp>
      <tp t="s">
        <v>#N/A N/A</v>
        <stp/>
        <stp>BDH|1370098812438432413</stp>
        <tr r="E24" s="2"/>
      </tp>
      <tp t="s">
        <v>#N/A N/A</v>
        <stp/>
        <stp>BDH|3566183856323088863</stp>
        <tr r="O54" s="2"/>
      </tp>
      <tp t="s">
        <v>#N/A N/A</v>
        <stp/>
        <stp>BDH|7805552567991322945</stp>
        <tr r="L57" s="2"/>
      </tp>
      <tp t="s">
        <v>#N/A N/A</v>
        <stp/>
        <stp>BDH|4484257257657573819</stp>
        <tr r="S7" s="2"/>
      </tp>
      <tp t="s">
        <v>#N/A N/A</v>
        <stp/>
        <stp>BDH|4444965611411741169</stp>
        <tr r="M58" s="2"/>
      </tp>
      <tp t="s">
        <v>#N/A N/A</v>
        <stp/>
        <stp>BDH|7031538244312582811</stp>
        <tr r="Q39" s="2"/>
      </tp>
      <tp t="s">
        <v>#N/A N/A</v>
        <stp/>
        <stp>BDH|2546220044409788178</stp>
        <tr r="Z36" s="2"/>
      </tp>
      <tp t="s">
        <v>#N/A N/A</v>
        <stp/>
        <stp>BDH|4552975246305291052</stp>
        <tr r="W65" s="2"/>
      </tp>
      <tp t="s">
        <v>#N/A N/A</v>
        <stp/>
        <stp>BDH|2380141437195315901</stp>
        <tr r="C44" s="2"/>
      </tp>
      <tp t="s">
        <v>#N/A N/A</v>
        <stp/>
        <stp>BDH|8547251764836646613</stp>
        <tr r="R14" s="2"/>
      </tp>
      <tp t="s">
        <v>#N/A N/A</v>
        <stp/>
        <stp>BDH|6831409875360745997</stp>
        <tr r="C30" s="2"/>
      </tp>
      <tp t="s">
        <v>#N/A N/A</v>
        <stp/>
        <stp>BDH|8915387070071098123</stp>
        <tr r="H74" s="2"/>
      </tp>
      <tp t="s">
        <v>#N/A N/A</v>
        <stp/>
        <stp>BDH|9216203719030259696</stp>
        <tr r="Q58" s="2"/>
      </tp>
      <tp t="s">
        <v>#N/A N/A</v>
        <stp/>
        <stp>BDH|9301381908546146028</stp>
        <tr r="AB31" s="2"/>
      </tp>
      <tp t="s">
        <v>#N/A N/A</v>
        <stp/>
        <stp>BDH|3697184605757274997</stp>
        <tr r="AB39" s="2"/>
      </tp>
      <tp t="s">
        <v>#N/A N/A</v>
        <stp/>
        <stp>BDH|4831784145558248379</stp>
        <tr r="X16" s="2"/>
      </tp>
      <tp t="s">
        <v>#N/A N/A</v>
        <stp/>
        <stp>BDH|8591407116313445268</stp>
        <tr r="V41" s="2"/>
      </tp>
      <tp t="s">
        <v>#N/A N/A</v>
        <stp/>
        <stp>BDH|9636911607174685878</stp>
        <tr r="D12" s="2"/>
      </tp>
      <tp t="s">
        <v>#N/A N/A</v>
        <stp/>
        <stp>BDH|7385910495703450827</stp>
        <tr r="L7" s="2"/>
      </tp>
      <tp t="s">
        <v>#N/A N/A</v>
        <stp/>
        <stp>BDH|9577767967360225408</stp>
        <tr r="G29" s="2"/>
      </tp>
      <tp t="s">
        <v>#N/A N/A</v>
        <stp/>
        <stp>BDH|7653960932604424508</stp>
        <tr r="T26" s="2"/>
      </tp>
      <tp t="s">
        <v>#N/A N/A</v>
        <stp/>
        <stp>BDH|5434868810344771436</stp>
        <tr r="U45" s="2"/>
      </tp>
      <tp t="s">
        <v>#N/A N/A</v>
        <stp/>
        <stp>BDH|9414596846764499096</stp>
        <tr r="M64" s="2"/>
      </tp>
      <tp t="s">
        <v>#N/A N/A</v>
        <stp/>
        <stp>BDH|3381762452918025500</stp>
        <tr r="J59" s="2"/>
      </tp>
      <tp t="s">
        <v>#N/A N/A</v>
        <stp/>
        <stp>BDH|5879367106553930965</stp>
        <tr r="J49" s="2"/>
      </tp>
      <tp t="s">
        <v>#N/A N/A</v>
        <stp/>
        <stp>BDH|9844105228582501428</stp>
        <tr r="D64" s="2"/>
      </tp>
      <tp t="s">
        <v>#N/A N/A</v>
        <stp/>
        <stp>BDH|7343187275199371496</stp>
        <tr r="M33" s="2"/>
      </tp>
      <tp t="s">
        <v>#N/A N/A</v>
        <stp/>
        <stp>BDH|2043412781556380479</stp>
        <tr r="AB72" s="2"/>
      </tp>
      <tp t="s">
        <v>#N/A N/A</v>
        <stp/>
        <stp>BDH|6268355433209467356</stp>
        <tr r="U11" s="2"/>
      </tp>
      <tp t="s">
        <v>#N/A N/A</v>
        <stp/>
        <stp>BDH|6872903953416659088</stp>
        <tr r="Q43" s="2"/>
      </tp>
      <tp t="s">
        <v>#N/A N/A</v>
        <stp/>
        <stp>BDH|80969832753403853</stp>
        <tr r="N37" s="2"/>
      </tp>
      <tp t="s">
        <v>#N/A N/A</v>
        <stp/>
        <stp>BDH|1319395095226117045</stp>
        <tr r="I36" s="2"/>
      </tp>
      <tp t="s">
        <v>#N/A N/A</v>
        <stp/>
        <stp>BDH|2027352720098891674</stp>
        <tr r="Z42" s="2"/>
      </tp>
      <tp t="s">
        <v>#N/A N/A</v>
        <stp/>
        <stp>BDH|2932631747504181960</stp>
        <tr r="U31" s="2"/>
      </tp>
      <tp t="s">
        <v>#N/A N/A</v>
        <stp/>
        <stp>BDH|3640808637343893627</stp>
        <tr r="R64" s="2"/>
      </tp>
      <tp t="s">
        <v>#N/A N/A</v>
        <stp/>
        <stp>BDH|6886468562680672917</stp>
        <tr r="V21" s="2"/>
      </tp>
      <tp t="s">
        <v>#N/A N/A</v>
        <stp/>
        <stp>BDH|1403582689186689783</stp>
        <tr r="S65" s="2"/>
      </tp>
      <tp t="s">
        <v>#N/A N/A</v>
        <stp/>
        <stp>BDH|6626931749267020145</stp>
        <tr r="L15" s="2"/>
      </tp>
      <tp t="s">
        <v>#N/A N/A</v>
        <stp/>
        <stp>BDH|7632734615839820514</stp>
        <tr r="AB64" s="2"/>
      </tp>
      <tp t="s">
        <v>#N/A N/A</v>
        <stp/>
        <stp>BDH|8812425565296697100</stp>
        <tr r="O74" s="2"/>
      </tp>
      <tp t="s">
        <v>#N/A N/A</v>
        <stp/>
        <stp>BDH|9776746471367385384</stp>
        <tr r="Q32" s="2"/>
      </tp>
      <tp t="s">
        <v>#N/A N/A</v>
        <stp/>
        <stp>BDH|6028987435212474371</stp>
        <tr r="D33" s="2"/>
      </tp>
      <tp t="s">
        <v>#N/A N/A</v>
        <stp/>
        <stp>BDH|9412315365359726892</stp>
        <tr r="V9" s="2"/>
      </tp>
      <tp t="s">
        <v>#N/A N/A</v>
        <stp/>
        <stp>BDH|4196693140312034975</stp>
        <tr r="Q65" s="2"/>
      </tp>
      <tp t="s">
        <v>#N/A N/A</v>
        <stp/>
        <stp>BDH|3645839987866769896</stp>
        <tr r="J21" s="2"/>
      </tp>
      <tp t="s">
        <v>#N/A N/A</v>
        <stp/>
        <stp>BDH|9315012869864347644</stp>
        <tr r="C25" s="2"/>
      </tp>
      <tp t="s">
        <v>#N/A N/A</v>
        <stp/>
        <stp>BDH|9973084474133812001</stp>
        <tr r="AA75" s="2"/>
      </tp>
      <tp t="s">
        <v>#N/A N/A</v>
        <stp/>
        <stp>BDH|7469669059920142975</stp>
        <tr r="G28" s="2"/>
      </tp>
      <tp t="s">
        <v>#N/A N/A</v>
        <stp/>
        <stp>BDH|9800944729557662817</stp>
        <tr r="D22" s="2"/>
      </tp>
      <tp t="s">
        <v>#N/A N/A</v>
        <stp/>
        <stp>BDH|4839240162715828844</stp>
        <tr r="V32" s="2"/>
      </tp>
      <tp t="s">
        <v>#N/A N/A</v>
        <stp/>
        <stp>BDH|1655820718652899768</stp>
        <tr r="AC42" s="2"/>
      </tp>
      <tp t="s">
        <v>#N/A N/A</v>
        <stp/>
        <stp>BDH|1280940954280389034</stp>
        <tr r="L25" s="2"/>
      </tp>
      <tp t="s">
        <v>#N/A N/A</v>
        <stp/>
        <stp>BDH|3453810831837408225</stp>
        <tr r="I6" s="2"/>
      </tp>
      <tp t="s">
        <v>#N/A N/A</v>
        <stp/>
        <stp>BDH|3452048602899226728</stp>
        <tr r="P42" s="2"/>
      </tp>
      <tp t="s">
        <v>#N/A N/A</v>
        <stp/>
        <stp>BDH|7575003381605287759</stp>
        <tr r="I42" s="2"/>
      </tp>
      <tp t="s">
        <v>#N/A N/A</v>
        <stp/>
        <stp>BDH|3875780000048589169</stp>
        <tr r="I75" s="2"/>
      </tp>
      <tp t="s">
        <v>#N/A N/A</v>
        <stp/>
        <stp>BDH|2458808978810993067</stp>
        <tr r="K21" s="2"/>
      </tp>
      <tp t="s">
        <v>#N/A N/A</v>
        <stp/>
        <stp>BDH|6661394796039395896</stp>
        <tr r="AD10" s="2"/>
      </tp>
      <tp t="s">
        <v>#N/A N/A</v>
        <stp/>
        <stp>BDH|8336734010947409448</stp>
        <tr r="W64" s="2"/>
      </tp>
      <tp t="s">
        <v>#N/A N/A</v>
        <stp/>
        <stp>BDH|4159912354483533603</stp>
        <tr r="G65" s="2"/>
      </tp>
      <tp t="s">
        <v>#N/A N/A</v>
        <stp/>
        <stp>BDH|5880592031727884990</stp>
        <tr r="S20" s="2"/>
      </tp>
      <tp t="s">
        <v>#N/A N/A</v>
        <stp/>
        <stp>BDH|8123468568693728494</stp>
        <tr r="Z6" s="2"/>
      </tp>
      <tp t="s">
        <v>#N/A N/A</v>
        <stp/>
        <stp>BDH|1676503097974793407</stp>
        <tr r="V60" s="2"/>
      </tp>
      <tp t="s">
        <v>#N/A N/A</v>
        <stp/>
        <stp>BDH|9566281764287622791</stp>
        <tr r="R10" s="2"/>
      </tp>
      <tp t="s">
        <v>#N/A N/A</v>
        <stp/>
        <stp>BDH|4829643677489501188</stp>
        <tr r="H50" s="2"/>
        <tr r="H38" s="2"/>
      </tp>
      <tp t="s">
        <v>#N/A N/A</v>
        <stp/>
        <stp>BDH|9034723225412014304</stp>
        <tr r="E73" s="2"/>
      </tp>
      <tp t="s">
        <v>#N/A N/A</v>
        <stp/>
        <stp>BDH|7391900506363520078</stp>
        <tr r="T75" s="2"/>
      </tp>
      <tp t="s">
        <v>#N/A N/A</v>
        <stp/>
        <stp>BDH|9020674644670307675</stp>
        <tr r="AC27" s="2"/>
      </tp>
      <tp t="s">
        <v>#N/A N/A</v>
        <stp/>
        <stp>BDH|8251020205056236300</stp>
        <tr r="E36" s="2"/>
      </tp>
      <tp t="s">
        <v>#N/A N/A</v>
        <stp/>
        <stp>BDH|8769663381048472338</stp>
        <tr r="C60" s="2"/>
      </tp>
      <tp t="s">
        <v>#N/A N/A</v>
        <stp/>
        <stp>BDH|2786255999377415385</stp>
        <tr r="X17" s="2"/>
      </tp>
      <tp t="s">
        <v>#N/A N/A</v>
        <stp/>
        <stp>BDH|6662454754309741342</stp>
        <tr r="C55" s="2"/>
      </tp>
      <tp t="s">
        <v>#N/A N/A</v>
        <stp/>
        <stp>BDH|8104425909377775685</stp>
        <tr r="L29" s="2"/>
      </tp>
      <tp t="s">
        <v>#N/A N/A</v>
        <stp/>
        <stp>BDH|6789659180507491239</stp>
        <tr r="S58" s="2"/>
      </tp>
      <tp t="s">
        <v>#N/A N/A</v>
        <stp/>
        <stp>BDH|6204141581247724557</stp>
        <tr r="O29" s="2"/>
      </tp>
      <tp t="s">
        <v>#N/A N/A</v>
        <stp/>
        <stp>BDH|6072262694262879102</stp>
        <tr r="Y68" s="2"/>
      </tp>
      <tp t="s">
        <v>#N/A N/A</v>
        <stp/>
        <stp>BDH|1811370712218314555</stp>
        <tr r="Y54" s="2"/>
      </tp>
      <tp t="s">
        <v>#N/A N/A</v>
        <stp/>
        <stp>BDH|2575993134171348709</stp>
        <tr r="X45" s="2"/>
      </tp>
      <tp t="s">
        <v>#N/A N/A</v>
        <stp/>
        <stp>BDH|8415512226244008589</stp>
        <tr r="L40" s="2"/>
      </tp>
      <tp t="s">
        <v>#N/A N/A</v>
        <stp/>
        <stp>BDH|8067060491287818848</stp>
        <tr r="D39" s="2"/>
      </tp>
      <tp t="s">
        <v>#N/A N/A</v>
        <stp/>
        <stp>BDH|1119605488553676276</stp>
        <tr r="J19" s="2"/>
      </tp>
      <tp t="s">
        <v>#N/A N/A</v>
        <stp/>
        <stp>BDH|6999006601920999899</stp>
        <tr r="D37" s="2"/>
      </tp>
      <tp t="s">
        <v>#N/A N/A</v>
        <stp/>
        <stp>BDH|6125493321699491757</stp>
        <tr r="U67" s="2"/>
      </tp>
      <tp t="s">
        <v>#N/A N/A</v>
        <stp/>
        <stp>BDH|6181903752232885623</stp>
        <tr r="I8" s="2"/>
      </tp>
      <tp t="s">
        <v>#N/A N/A</v>
        <stp/>
        <stp>BDH|8710171549341165264</stp>
        <tr r="S74" s="2"/>
      </tp>
      <tp t="s">
        <v>#N/A N/A</v>
        <stp/>
        <stp>BDH|4724583895343626524</stp>
        <tr r="M74" s="2"/>
      </tp>
      <tp t="s">
        <v>#N/A N/A</v>
        <stp/>
        <stp>BDH|2650804255958947946</stp>
        <tr r="AB12" s="2"/>
      </tp>
      <tp t="s">
        <v>#N/A N/A</v>
        <stp/>
        <stp>BDH|2914818387698777465</stp>
        <tr r="AC38" s="2"/>
        <tr r="AC50" s="2"/>
      </tp>
      <tp t="s">
        <v>#N/A N/A</v>
        <stp/>
        <stp>BDH|4265770000038340592</stp>
        <tr r="H48" s="2"/>
      </tp>
      <tp t="s">
        <v>#N/A N/A</v>
        <stp/>
        <stp>BDH|2181908299665560922</stp>
        <tr r="N64" s="2"/>
      </tp>
      <tp t="s">
        <v>#N/A N/A</v>
        <stp/>
        <stp>BDH|4923451695197747014</stp>
        <tr r="Q46" s="2"/>
      </tp>
      <tp t="s">
        <v>#N/A N/A</v>
        <stp/>
        <stp>BDH|2318194567462460960</stp>
        <tr r="M23" s="2"/>
      </tp>
      <tp t="s">
        <v>#N/A N/A</v>
        <stp/>
        <stp>BDH|8857718058057702390</stp>
        <tr r="X73" s="2"/>
      </tp>
      <tp t="s">
        <v>#N/A N/A</v>
        <stp/>
        <stp>BDH|6809976171516381025</stp>
        <tr r="R9" s="2"/>
      </tp>
      <tp t="s">
        <v>#N/A N/A</v>
        <stp/>
        <stp>BDH|5504919166832963677</stp>
        <tr r="AD18" s="2"/>
      </tp>
      <tp t="s">
        <v>#N/A N/A</v>
        <stp/>
        <stp>BDH|9537643414233197389</stp>
        <tr r="Z7" s="2"/>
      </tp>
      <tp t="s">
        <v>#N/A N/A</v>
        <stp/>
        <stp>BDH|6363243395175978677</stp>
        <tr r="N33" s="2"/>
      </tp>
      <tp t="s">
        <v>#N/A N/A</v>
        <stp/>
        <stp>BDH|4026384990626598610</stp>
        <tr r="R19" s="2"/>
      </tp>
      <tp t="s">
        <v>#N/A N/A</v>
        <stp/>
        <stp>BDH|2576597296953220340</stp>
        <tr r="X15" s="2"/>
      </tp>
      <tp t="s">
        <v>#N/A N/A</v>
        <stp/>
        <stp>BDH|6152919777955292396</stp>
        <tr r="X67" s="2"/>
      </tp>
      <tp t="s">
        <v>#N/A N/A</v>
        <stp/>
        <stp>BDH|1392613393555525581</stp>
        <tr r="G32" s="2"/>
      </tp>
      <tp t="s">
        <v>#N/A N/A</v>
        <stp/>
        <stp>BDH|6771202019042098933</stp>
        <tr r="J34" s="2"/>
      </tp>
      <tp t="s">
        <v>#N/A N/A</v>
        <stp/>
        <stp>BDH|3575212903186618931</stp>
        <tr r="V16" s="2"/>
      </tp>
      <tp t="s">
        <v>#N/A N/A</v>
        <stp/>
        <stp>BDH|7672012547745059835</stp>
        <tr r="G73" s="2"/>
      </tp>
      <tp t="s">
        <v>#N/A N/A</v>
        <stp/>
        <stp>BDH|7354846773075134364</stp>
        <tr r="E74" s="2"/>
      </tp>
      <tp t="s">
        <v>#N/A N/A</v>
        <stp/>
        <stp>BDH|1110815371171723158</stp>
        <tr r="C66" s="2"/>
      </tp>
      <tp t="s">
        <v>#N/A N/A</v>
        <stp/>
        <stp>BDH|7572162434502239952</stp>
        <tr r="S57" s="2"/>
      </tp>
      <tp t="s">
        <v>#N/A N/A</v>
        <stp/>
        <stp>BDH|2628888281879703586</stp>
        <tr r="W9" s="2"/>
      </tp>
      <tp t="s">
        <v>#N/A N/A</v>
        <stp/>
        <stp>BDH|5406111313689779216</stp>
        <tr r="X40" s="2"/>
      </tp>
      <tp t="s">
        <v>#N/A N/A</v>
        <stp/>
        <stp>BDH|3327081801634206991</stp>
        <tr r="K18" s="2"/>
      </tp>
      <tp t="s">
        <v>#N/A N/A</v>
        <stp/>
        <stp>BDH|2280514834178477223</stp>
        <tr r="C73" s="2"/>
      </tp>
      <tp t="s">
        <v>#N/A N/A</v>
        <stp/>
        <stp>BDH|8152264608881679585</stp>
        <tr r="E59" s="2"/>
      </tp>
      <tp t="s">
        <v>#N/A N/A</v>
        <stp/>
        <stp>BDH|2862630762415063988</stp>
        <tr r="X14" s="2"/>
      </tp>
      <tp t="s">
        <v>#N/A N/A</v>
        <stp/>
        <stp>BDH|6313620801548985680</stp>
        <tr r="AA70" s="2"/>
      </tp>
      <tp t="s">
        <v>#N/A N/A</v>
        <stp/>
        <stp>BDH|2862883881505063975</stp>
        <tr r="Q54" s="2"/>
      </tp>
      <tp t="s">
        <v>#N/A N/A</v>
        <stp/>
        <stp>BDH|4308761484361598429</stp>
        <tr r="AA24" s="2"/>
      </tp>
      <tp t="s">
        <v>#N/A N/A</v>
        <stp/>
        <stp>BDH|9656233017086006243</stp>
        <tr r="L8" s="2"/>
      </tp>
      <tp t="s">
        <v>#N/A N/A</v>
        <stp/>
        <stp>BDH|6022816304701345108</stp>
        <tr r="J43" s="2"/>
      </tp>
      <tp t="s">
        <v>#N/A N/A</v>
        <stp/>
        <stp>BDH|6554432580953741764</stp>
        <tr r="I10" s="2"/>
      </tp>
      <tp t="s">
        <v>#N/A N/A</v>
        <stp/>
        <stp>BDH|4001584589377719024</stp>
        <tr r="M65" s="2"/>
      </tp>
      <tp t="s">
        <v>#N/A N/A</v>
        <stp/>
        <stp>BDH|9102229753991202165</stp>
        <tr r="C35" s="2"/>
      </tp>
      <tp t="s">
        <v>#N/A N/A</v>
        <stp/>
        <stp>BDH|1088863570977187729</stp>
        <tr r="Q27" s="2"/>
      </tp>
      <tp t="s">
        <v>#N/A N/A</v>
        <stp/>
        <stp>BDH|1229727287189633945</stp>
        <tr r="J58" s="2"/>
      </tp>
      <tp t="s">
        <v>#N/A N/A</v>
        <stp/>
        <stp>BDH|8061890248853897837</stp>
        <tr r="J53" s="2"/>
      </tp>
      <tp t="s">
        <v>#N/A N/A</v>
        <stp/>
        <stp>BDH|5324862156772068593</stp>
        <tr r="T19" s="2"/>
      </tp>
      <tp t="s">
        <v>#N/A N/A</v>
        <stp/>
        <stp>BDH|7337591782960655549</stp>
        <tr r="T66" s="2"/>
      </tp>
      <tp t="s">
        <v>#N/A N/A</v>
        <stp/>
        <stp>BDH|5800056206958749266</stp>
        <tr r="C28" s="2"/>
      </tp>
      <tp t="s">
        <v>#N/A N/A</v>
        <stp/>
        <stp>BDH|6686190747699271519</stp>
        <tr r="Z37" s="2"/>
      </tp>
      <tp t="s">
        <v>#N/A N/A</v>
        <stp/>
        <stp>BDH|7004101740359903429</stp>
        <tr r="X18" s="2"/>
      </tp>
      <tp t="s">
        <v>#N/A N/A</v>
        <stp/>
        <stp>BDH|5750117739860063879</stp>
        <tr r="E22" s="2"/>
      </tp>
      <tp t="s">
        <v>#N/A N/A</v>
        <stp/>
        <stp>BDH|4514926127038895807</stp>
        <tr r="L32" s="2"/>
      </tp>
      <tp t="s">
        <v>#N/A N/A</v>
        <stp/>
        <stp>BDH|6765789803359104750</stp>
        <tr r="AB71" s="2"/>
      </tp>
      <tp t="s">
        <v>#N/A N/A</v>
        <stp/>
        <stp>BDH|2060599785343717328</stp>
        <tr r="U74" s="2"/>
      </tp>
      <tp t="s">
        <v>#N/A N/A</v>
        <stp/>
        <stp>BDH|4305663162132729995</stp>
        <tr r="M67" s="2"/>
      </tp>
      <tp t="s">
        <v>#N/A N/A</v>
        <stp/>
        <stp>BDH|9544827512856563999</stp>
        <tr r="S70" s="2"/>
      </tp>
      <tp t="s">
        <v>#N/A N/A</v>
        <stp/>
        <stp>BDH|8441562816002865159</stp>
        <tr r="AC43" s="2"/>
      </tp>
      <tp t="s">
        <v>#N/A N/A</v>
        <stp/>
        <stp>BDH|9212346395884480893</stp>
        <tr r="L74" s="2"/>
      </tp>
      <tp t="s">
        <v>#N/A N/A</v>
        <stp/>
        <stp>BDH|4833122344029487741</stp>
        <tr r="P50" s="2"/>
        <tr r="P38" s="2"/>
      </tp>
      <tp t="s">
        <v>#N/A N/A</v>
        <stp/>
        <stp>BDH|8636183899959021693</stp>
        <tr r="H44" s="2"/>
      </tp>
      <tp t="s">
        <v>#N/A N/A</v>
        <stp/>
        <stp>BDH|5954837102186573422</stp>
        <tr r="N32" s="2"/>
      </tp>
      <tp t="s">
        <v>#N/A N/A</v>
        <stp/>
        <stp>BDH|3826827813652611709</stp>
        <tr r="S45" s="2"/>
      </tp>
      <tp t="s">
        <v>#N/A N/A</v>
        <stp/>
        <stp>BDH|5771183090244087601</stp>
        <tr r="W44" s="2"/>
      </tp>
      <tp t="s">
        <v>#N/A N/A</v>
        <stp/>
        <stp>BDH|5637575396122335484</stp>
        <tr r="J40" s="2"/>
      </tp>
      <tp t="s">
        <v>#N/A N/A</v>
        <stp/>
        <stp>BDH|7824653847902183875</stp>
        <tr r="G71" s="2"/>
      </tp>
      <tp t="s">
        <v>#N/A N/A</v>
        <stp/>
        <stp>BDH|7761932677460977676</stp>
        <tr r="D8" s="2"/>
      </tp>
      <tp t="s">
        <v>#N/A N/A</v>
        <stp/>
        <stp>BDH|4279182172615313860</stp>
        <tr r="E8" s="2"/>
      </tp>
      <tp t="s">
        <v>#N/A N/A</v>
        <stp/>
        <stp>BDH|6096569653389436034</stp>
        <tr r="L22" s="2"/>
      </tp>
      <tp t="s">
        <v>#N/A N/A</v>
        <stp/>
        <stp>BDH|5993386922553435850</stp>
        <tr r="R22" s="2"/>
      </tp>
      <tp t="s">
        <v>#N/A N/A</v>
        <stp/>
        <stp>BDH|1448501741139689616</stp>
        <tr r="Z74" s="2"/>
      </tp>
      <tp t="s">
        <v>#N/A N/A</v>
        <stp/>
        <stp>BDH|4020914455465693201</stp>
        <tr r="Z44" s="2"/>
      </tp>
      <tp t="s">
        <v>#N/A N/A</v>
        <stp/>
        <stp>BDH|8836050513482927459</stp>
        <tr r="D40" s="2"/>
      </tp>
      <tp t="s">
        <v>#N/A N/A</v>
        <stp/>
        <stp>BDH|1450594812558553293</stp>
        <tr r="R67" s="2"/>
      </tp>
      <tp t="s">
        <v>#N/A N/A</v>
        <stp/>
        <stp>BDH|3396868461013604115</stp>
        <tr r="F54" s="2"/>
      </tp>
      <tp t="s">
        <v>#N/A N/A</v>
        <stp/>
        <stp>BDH|6443241727138735133</stp>
        <tr r="K70" s="2"/>
      </tp>
      <tp t="s">
        <v>#N/A N/A</v>
        <stp/>
        <stp>BDH|6587871221872730174</stp>
        <tr r="U54" s="2"/>
      </tp>
      <tp t="s">
        <v>#N/A N/A</v>
        <stp/>
        <stp>BDH|9382565206295517657</stp>
        <tr r="Q41" s="2"/>
      </tp>
      <tp t="s">
        <v>#N/A N/A</v>
        <stp/>
        <stp>BDH|8574088879064731405</stp>
        <tr r="E16" s="2"/>
      </tp>
      <tp t="s">
        <v>#N/A N/A</v>
        <stp/>
        <stp>BDH|6636598387342217696</stp>
        <tr r="N45" s="2"/>
      </tp>
      <tp t="s">
        <v>#N/A N/A</v>
        <stp/>
        <stp>BDH|5419498588033600531</stp>
        <tr r="O18" s="2"/>
      </tp>
      <tp t="s">
        <v>#N/A N/A</v>
        <stp/>
        <stp>BDH|1542870430560470576</stp>
        <tr r="V68" s="2"/>
      </tp>
      <tp t="s">
        <v>#N/A N/A</v>
        <stp/>
        <stp>BDH|8009710231594671772</stp>
        <tr r="N12" s="2"/>
      </tp>
      <tp t="s">
        <v>#N/A N/A</v>
        <stp/>
        <stp>BDH|9079232332196026104</stp>
        <tr r="D7" s="2"/>
      </tp>
      <tp t="s">
        <v>#N/A N/A</v>
        <stp/>
        <stp>BDH|1907931876196427697</stp>
        <tr r="Q13" s="2"/>
      </tp>
      <tp t="s">
        <v>#N/A N/A</v>
        <stp/>
        <stp>BDH|9445856250169497243</stp>
        <tr r="AA13" s="2"/>
      </tp>
      <tp t="s">
        <v>#N/A N/A</v>
        <stp/>
        <stp>BDH|2475888808614031152</stp>
        <tr r="Q34" s="2"/>
      </tp>
      <tp t="s">
        <v>#N/A N/A</v>
        <stp/>
        <stp>BDH|2947787220721404932</stp>
        <tr r="S27" s="2"/>
      </tp>
      <tp t="s">
        <v>#N/A N/A</v>
        <stp/>
        <stp>BDH|3838175548218164104</stp>
        <tr r="AC16" s="2"/>
      </tp>
      <tp t="s">
        <v>#N/A N/A</v>
        <stp/>
        <stp>BDH|7693610889542921415</stp>
        <tr r="AA59" s="2"/>
      </tp>
      <tp t="s">
        <v>#N/A N/A</v>
        <stp/>
        <stp>BDH|3149760636690580825</stp>
        <tr r="F35" s="2"/>
      </tp>
      <tp t="s">
        <v>#N/A N/A</v>
        <stp/>
        <stp>BDH|2484952643545007540</stp>
        <tr r="G58" s="2"/>
      </tp>
      <tp t="s">
        <v>#N/A N/A</v>
        <stp/>
        <stp>BDH|8571237541317136616</stp>
        <tr r="AA38" s="2"/>
        <tr r="AA50" s="2"/>
      </tp>
      <tp t="s">
        <v>#N/A N/A</v>
        <stp/>
        <stp>BDH|8736176180437623918</stp>
        <tr r="L46" s="2"/>
      </tp>
      <tp t="s">
        <v>#N/A N/A</v>
        <stp/>
        <stp>BDH|6496251285201699265</stp>
        <tr r="AC22" s="2"/>
      </tp>
      <tp t="s">
        <v>#N/A N/A</v>
        <stp/>
        <stp>BDH|2487866700570027575</stp>
        <tr r="AB75" s="2"/>
      </tp>
      <tp t="s">
        <v>#N/A N/A</v>
        <stp/>
        <stp>BDH|4096385051109580364</stp>
        <tr r="Y9" s="2"/>
      </tp>
      <tp t="s">
        <v>#N/A N/A</v>
        <stp/>
        <stp>BDH|9690486120123631428</stp>
        <tr r="C17" s="2"/>
      </tp>
      <tp t="s">
        <v>#N/A N/A</v>
        <stp/>
        <stp>BDH|2380140928318271175</stp>
        <tr r="D45" s="2"/>
      </tp>
      <tp t="s">
        <v>#N/A N/A</v>
        <stp/>
        <stp>BDH|5162247498533673518</stp>
        <tr r="AA32" s="2"/>
      </tp>
      <tp t="s">
        <v>#N/A N/A</v>
        <stp/>
        <stp>BDH|1656581565653901992</stp>
        <tr r="S75" s="2"/>
      </tp>
      <tp t="s">
        <v>#N/A N/A</v>
        <stp/>
        <stp>BDH|8324782347136737504</stp>
        <tr r="P12" s="2"/>
      </tp>
      <tp t="s">
        <v>#N/A N/A</v>
        <stp/>
        <stp>BDH|4861740820020244962</stp>
        <tr r="Y18" s="2"/>
      </tp>
      <tp t="s">
        <v>#N/A N/A</v>
        <stp/>
        <stp>BDH|4937187290320935406</stp>
        <tr r="R60" s="2"/>
      </tp>
      <tp t="s">
        <v>#N/A N/A</v>
        <stp/>
        <stp>BDH|2359747411225906975</stp>
        <tr r="AB16" s="2"/>
      </tp>
      <tp t="s">
        <v>#N/A N/A</v>
        <stp/>
        <stp>BDH|8422875590276934734</stp>
        <tr r="AD25" s="2"/>
      </tp>
      <tp t="s">
        <v>#N/A N/A</v>
        <stp/>
        <stp>BDH|1566848550561988517</stp>
        <tr r="O70" s="2"/>
      </tp>
      <tp t="s">
        <v>#N/A N/A</v>
        <stp/>
        <stp>BDH|1950952454473316651</stp>
        <tr r="M38" s="2"/>
        <tr r="M50" s="2"/>
      </tp>
      <tp t="s">
        <v>#N/A N/A</v>
        <stp/>
        <stp>BDH|7711171078890109973</stp>
        <tr r="F38" s="2"/>
        <tr r="F50" s="2"/>
      </tp>
      <tp t="s">
        <v>#N/A N/A</v>
        <stp/>
        <stp>BDH|8506378875234283090</stp>
        <tr r="N36" s="2"/>
      </tp>
      <tp t="s">
        <v>#N/A N/A</v>
        <stp/>
        <stp>BDH|8047076338115342600</stp>
        <tr r="O66" s="2"/>
      </tp>
      <tp t="s">
        <v>#N/A N/A</v>
        <stp/>
        <stp>BDH|5901794636281373883</stp>
        <tr r="R7" s="2"/>
      </tp>
      <tp t="s">
        <v>#N/A N/A</v>
        <stp/>
        <stp>BDH|8166187959047630342</stp>
        <tr r="N35" s="2"/>
      </tp>
      <tp t="s">
        <v>#N/A N/A</v>
        <stp/>
        <stp>BDH|9709057657794693011</stp>
        <tr r="T22" s="2"/>
      </tp>
      <tp t="s">
        <v>#N/A N/A</v>
        <stp/>
        <stp>BDH|6371794448048921580</stp>
        <tr r="T11" s="2"/>
      </tp>
      <tp t="s">
        <v>#N/A N/A</v>
        <stp/>
        <stp>BDH|6632233940360626801</stp>
        <tr r="AC45" s="2"/>
      </tp>
      <tp t="s">
        <v>#N/A N/A</v>
        <stp/>
        <stp>BDH|2975983587893117849</stp>
        <tr r="V64" s="2"/>
      </tp>
      <tp t="s">
        <v>#N/A N/A</v>
        <stp/>
        <stp>BDH|6138243466163043901</stp>
        <tr r="R29" s="2"/>
      </tp>
      <tp t="s">
        <v>#N/A N/A</v>
        <stp/>
        <stp>BDH|7481737265136622877</stp>
        <tr r="C72" s="2"/>
      </tp>
      <tp t="s">
        <v>#N/A N/A</v>
        <stp/>
        <stp>BDH|7782903865538402854</stp>
        <tr r="O59" s="2"/>
      </tp>
      <tp t="s">
        <v>#N/A N/A</v>
        <stp/>
        <stp>BDH|6232734289618903915</stp>
        <tr r="P48" s="2"/>
      </tp>
      <tp t="s">
        <v>#N/A N/A</v>
        <stp/>
        <stp>BDH|3305577672560072963</stp>
        <tr r="U16" s="2"/>
      </tp>
      <tp t="s">
        <v>#N/A N/A</v>
        <stp/>
        <stp>BDH|8034098919719632865</stp>
        <tr r="Y64" s="2"/>
      </tp>
      <tp t="s">
        <v>#N/A N/A</v>
        <stp/>
        <stp>BDH|4712684787733177189</stp>
        <tr r="P41" s="2"/>
      </tp>
      <tp t="s">
        <v>#N/A N/A</v>
        <stp/>
        <stp>BDH|8995652738755489018</stp>
        <tr r="R48" s="2"/>
      </tp>
      <tp t="s">
        <v>#N/A N/A</v>
        <stp/>
        <stp>BDH|4867691994642671157</stp>
        <tr r="Z9" s="2"/>
      </tp>
      <tp t="s">
        <v>#N/A N/A</v>
        <stp/>
        <stp>BDH|4944754360165906833</stp>
        <tr r="AC39" s="2"/>
      </tp>
      <tp t="s">
        <v>#N/A N/A</v>
        <stp/>
        <stp>BDH|8133075217090757101</stp>
        <tr r="M12" s="2"/>
      </tp>
      <tp t="s">
        <v>#N/A N/A</v>
        <stp/>
        <stp>BDH|7749680388385623479</stp>
        <tr r="I39" s="2"/>
      </tp>
      <tp t="s">
        <v>#N/A N/A</v>
        <stp/>
        <stp>BDH|3717860410002084068</stp>
        <tr r="AD46" s="2"/>
      </tp>
      <tp t="s">
        <v>#N/A N/A</v>
        <stp/>
        <stp>BDH|8805328158471672738</stp>
        <tr r="R71" s="2"/>
      </tp>
      <tp t="s">
        <v>#N/A N/A</v>
        <stp/>
        <stp>BDH|2025506760370379943</stp>
        <tr r="N28" s="2"/>
      </tp>
      <tp t="s">
        <v>#N/A N/A</v>
        <stp/>
        <stp>BDH|6216989940784592784</stp>
        <tr r="V11" s="2"/>
      </tp>
      <tp t="s">
        <v>#N/A N/A</v>
        <stp/>
        <stp>BDH|6884996526915675057</stp>
        <tr r="R75" s="2"/>
      </tp>
      <tp t="s">
        <v>#N/A N/A</v>
        <stp/>
        <stp>BDH|6064153798227152190</stp>
        <tr r="I66" s="2"/>
      </tp>
      <tp t="s">
        <v>#N/A N/A</v>
        <stp/>
        <stp>BDH|8421192139087059510</stp>
        <tr r="D73" s="2"/>
      </tp>
      <tp t="s">
        <v>#N/A N/A</v>
        <stp/>
        <stp>BDH|9369767257805550624</stp>
        <tr r="T33" s="2"/>
      </tp>
      <tp t="s">
        <v>#N/A N/A</v>
        <stp/>
        <stp>BDH|4736959055068167833</stp>
        <tr r="AB21" s="2"/>
      </tp>
      <tp t="s">
        <v>#N/A N/A</v>
        <stp/>
        <stp>BDH|8240906195710457194</stp>
        <tr r="Z75" s="2"/>
      </tp>
      <tp t="s">
        <v>#N/A N/A</v>
        <stp/>
        <stp>BDH|5882479159299929457</stp>
        <tr r="N46" s="2"/>
      </tp>
      <tp t="s">
        <v>#N/A N/A</v>
        <stp/>
        <stp>BDH|5439915077734089683</stp>
        <tr r="AA8" s="2"/>
      </tp>
      <tp t="s">
        <v>#N/A N/A</v>
        <stp/>
        <stp>BDH|7983223482747565365</stp>
        <tr r="Y36" s="2"/>
      </tp>
      <tp t="s">
        <v>#N/A N/A</v>
        <stp/>
        <stp>BDH|1368747380302545589</stp>
        <tr r="T74" s="2"/>
      </tp>
      <tp t="s">
        <v>#N/A N/A</v>
        <stp/>
        <stp>BDH|2020694475248584232</stp>
        <tr r="U73" s="2"/>
      </tp>
      <tp t="s">
        <v>#N/A N/A</v>
        <stp/>
        <stp>BDH|7281414871669849400</stp>
        <tr r="Q49" s="2"/>
      </tp>
      <tp t="s">
        <v>#N/A N/A</v>
        <stp/>
        <stp>BDH|8249895463436476972</stp>
        <tr r="U35" s="2"/>
      </tp>
      <tp t="s">
        <v>#N/A N/A</v>
        <stp/>
        <stp>BDH|3012246050445721889</stp>
        <tr r="Q44" s="2"/>
      </tp>
      <tp t="s">
        <v>#N/A N/A</v>
        <stp/>
        <stp>BDH|4990296585746951177</stp>
        <tr r="I65" s="2"/>
      </tp>
      <tp t="s">
        <v>#N/A N/A</v>
        <stp/>
        <stp>BDH|9942604778296131784</stp>
        <tr r="AD12" s="2"/>
      </tp>
      <tp t="s">
        <v>#N/A N/A</v>
        <stp/>
        <stp>BDH|8987298153044822236</stp>
        <tr r="F34" s="2"/>
      </tp>
      <tp t="s">
        <v>#N/A N/A</v>
        <stp/>
        <stp>BDH|4538821442538403999</stp>
        <tr r="Y75" s="2"/>
      </tp>
      <tp t="s">
        <v>#N/A N/A</v>
        <stp/>
        <stp>BDH|9479385928098414992</stp>
        <tr r="V31" s="2"/>
      </tp>
      <tp t="s">
        <v>#N/A N/A</v>
        <stp/>
        <stp>BDH|8747078646944803177</stp>
        <tr r="M20" s="2"/>
      </tp>
      <tp t="s">
        <v>#N/A N/A</v>
        <stp/>
        <stp>BDH|9033405063165847753</stp>
        <tr r="Q9" s="2"/>
      </tp>
      <tp t="s">
        <v>#N/A N/A</v>
        <stp/>
        <stp>BDH|6644029249939148220</stp>
        <tr r="AB53" s="2"/>
      </tp>
      <tp t="s">
        <v>#N/A N/A</v>
        <stp/>
        <stp>BDH|2706610499001257538</stp>
        <tr r="C46" s="2"/>
      </tp>
      <tp t="s">
        <v>#N/A N/A</v>
        <stp/>
        <stp>BDH|3330394863966070975</stp>
        <tr r="Z18" s="2"/>
      </tp>
      <tp t="s">
        <v>#N/A N/A</v>
        <stp/>
        <stp>BDH|2307133607523821905</stp>
        <tr r="J32" s="2"/>
      </tp>
      <tp t="s">
        <v>#N/A N/A</v>
        <stp/>
        <stp>BDH|9549803496430847145</stp>
        <tr r="X44" s="2"/>
      </tp>
      <tp t="s">
        <v>#N/A N/A</v>
        <stp/>
        <stp>BDH|7853085930628807572</stp>
        <tr r="N58" s="2"/>
      </tp>
      <tp t="s">
        <v>#N/A N/A</v>
        <stp/>
        <stp>BDH|8301272424384978551</stp>
        <tr r="Y29" s="2"/>
      </tp>
      <tp t="s">
        <v>#N/A N/A</v>
        <stp/>
        <stp>BDH|1285303381370924363</stp>
        <tr r="R21" s="2"/>
      </tp>
      <tp t="s">
        <v>#N/A N/A</v>
        <stp/>
        <stp>BDH|8318251947640486791</stp>
        <tr r="U23" s="2"/>
      </tp>
      <tp t="s">
        <v>#N/A N/A</v>
        <stp/>
        <stp>BDH|8811579661956743441</stp>
        <tr r="M66" s="2"/>
      </tp>
      <tp t="s">
        <v>#N/A N/A</v>
        <stp/>
        <stp>BDH|7616776961317753850</stp>
        <tr r="L14" s="2"/>
      </tp>
      <tp t="s">
        <v>#N/A N/A</v>
        <stp/>
        <stp>BDH|1778047641265462944</stp>
        <tr r="J14" s="2"/>
      </tp>
      <tp t="s">
        <v>#N/A N/A</v>
        <stp/>
        <stp>BDH|5675238065261273919</stp>
        <tr r="U64" s="2"/>
      </tp>
      <tp t="s">
        <v>#N/A N/A</v>
        <stp/>
        <stp>BDH|8189457358660820073</stp>
        <tr r="M44" s="2"/>
      </tp>
      <tp t="s">
        <v>#N/A N/A</v>
        <stp/>
        <stp>BDH|5298236801457477977</stp>
        <tr r="I54" s="2"/>
      </tp>
      <tp t="s">
        <v>#N/A N/A</v>
        <stp/>
        <stp>BDH|6341737916700609905</stp>
        <tr r="O26" s="2"/>
      </tp>
      <tp t="s">
        <v>#N/A N/A</v>
        <stp/>
        <stp>BDH|5768531686037467660</stp>
        <tr r="AB69" s="2"/>
      </tp>
      <tp t="s">
        <v>#N/A N/A</v>
        <stp/>
        <stp>BDH|9823127341893869632</stp>
        <tr r="Q14" s="2"/>
      </tp>
      <tp t="s">
        <v>#N/A N/A</v>
        <stp/>
        <stp>BDH|3912068630401745884</stp>
        <tr r="L71" s="2"/>
      </tp>
      <tp t="s">
        <v>#N/A N/A</v>
        <stp/>
        <stp>BDH|5695900612955096146</stp>
        <tr r="U60" s="2"/>
      </tp>
      <tp t="s">
        <v>#N/A N/A</v>
        <stp/>
        <stp>BDH|2396819073333863786</stp>
        <tr r="E40" s="2"/>
      </tp>
      <tp t="s">
        <v>#N/A N/A</v>
        <stp/>
        <stp>BDH|4302952665287327510</stp>
        <tr r="M69" s="2"/>
      </tp>
      <tp t="s">
        <v>#N/A N/A</v>
        <stp/>
        <stp>BDH|5913809525162573489</stp>
        <tr r="C69" s="2"/>
      </tp>
      <tp t="s">
        <v>#N/A N/A</v>
        <stp/>
        <stp>BDH|9514932123059227267</stp>
        <tr r="P66" s="2"/>
      </tp>
      <tp t="s">
        <v>#N/A N/A</v>
        <stp/>
        <stp>BDH|2298238255924664834</stp>
        <tr r="S34" s="2"/>
      </tp>
      <tp t="s">
        <v>#N/A N/A</v>
        <stp/>
        <stp>BDH|2098475644513364810</stp>
        <tr r="H34" s="2"/>
      </tp>
      <tp t="s">
        <v>#N/A N/A</v>
        <stp/>
        <stp>BDH|8878749476511511099</stp>
        <tr r="F55" s="2"/>
      </tp>
      <tp t="s">
        <v>#N/A N/A</v>
        <stp/>
        <stp>BDH|5651893038396564141</stp>
        <tr r="C67" s="2"/>
      </tp>
      <tp t="s">
        <v>#N/A N/A</v>
        <stp/>
        <stp>BDH|8076259181933398819</stp>
        <tr r="C23" s="2"/>
      </tp>
      <tp t="s">
        <v>#N/A N/A</v>
        <stp/>
        <stp>BDH|7049943700341129627</stp>
        <tr r="G10" s="2"/>
      </tp>
      <tp t="s">
        <v>#N/A N/A</v>
        <stp/>
        <stp>BDH|1131078395193364279</stp>
        <tr r="X31" s="2"/>
      </tp>
      <tp t="s">
        <v>#N/A N/A</v>
        <stp/>
        <stp>BDH|4263551436859285249</stp>
        <tr r="X69" s="2"/>
      </tp>
      <tp t="s">
        <v>#N/A N/A</v>
        <stp/>
        <stp>BDH|8963130622745924751</stp>
        <tr r="L53" s="2"/>
      </tp>
      <tp t="s">
        <v>#N/A N/A</v>
        <stp/>
        <stp>BDH|8557770768405972574</stp>
        <tr r="L16" s="2"/>
      </tp>
      <tp t="s">
        <v>#N/A N/A</v>
        <stp/>
        <stp>BDH|7435361581377556234</stp>
        <tr r="M18" s="2"/>
      </tp>
      <tp t="s">
        <v>#N/A N/A</v>
        <stp/>
        <stp>BDH|8368502668744793695</stp>
        <tr r="N38" s="2"/>
        <tr r="N50" s="2"/>
      </tp>
      <tp t="s">
        <v>#N/A N/A</v>
        <stp/>
        <stp>BDH|95063007914459011</stp>
        <tr r="Z71" s="2"/>
      </tp>
      <tp t="s">
        <v>#N/A N/A</v>
        <stp/>
        <stp>BDH|2468930633602847061</stp>
        <tr r="C8" s="2"/>
      </tp>
      <tp t="s">
        <v>#N/A N/A</v>
        <stp/>
        <stp>BDH|5919777490359372862</stp>
        <tr r="AD37" s="2"/>
      </tp>
      <tp t="s">
        <v>#N/A N/A</v>
        <stp/>
        <stp>BDH|2162686691900538769</stp>
        <tr r="AB48" s="2"/>
      </tp>
      <tp t="s">
        <v>#N/A N/A</v>
        <stp/>
        <stp>BDH|3295363587602081088</stp>
        <tr r="X53" s="2"/>
      </tp>
      <tp t="s">
        <v>#N/A N/A</v>
        <stp/>
        <stp>BDH|5812811706085360244</stp>
        <tr r="D57" s="2"/>
      </tp>
      <tp t="s">
        <v>#N/A N/A</v>
        <stp/>
        <stp>BDH|5769646277418440682</stp>
        <tr r="K48" s="2"/>
      </tp>
      <tp t="s">
        <v>#N/A N/A</v>
        <stp/>
        <stp>BDH|1251264228663652829</stp>
        <tr r="M34" s="2"/>
      </tp>
      <tp t="s">
        <v>#N/A N/A</v>
        <stp/>
        <stp>BDH|2235002283968099884</stp>
        <tr r="F25" s="2"/>
      </tp>
      <tp t="s">
        <v>#N/A N/A</v>
        <stp/>
        <stp>BDH|5582704241788584484</stp>
        <tr r="G15" s="2"/>
      </tp>
      <tp t="s">
        <v>#N/A N/A</v>
        <stp/>
        <stp>BDH|2224133777166913811</stp>
        <tr r="T36" s="2"/>
      </tp>
      <tp t="s">
        <v>#N/A N/A</v>
        <stp/>
        <stp>BDH|5221152390472972507</stp>
        <tr r="Y21" s="2"/>
      </tp>
      <tp t="s">
        <v>#N/A N/A</v>
        <stp/>
        <stp>BDH|6457888851204234517</stp>
        <tr r="C42" s="2"/>
      </tp>
      <tp t="s">
        <v>#N/A N/A</v>
        <stp/>
        <stp>BDH|3064015096598122889</stp>
        <tr r="O21" s="2"/>
      </tp>
      <tp t="s">
        <v>#N/A N/A</v>
        <stp/>
        <stp>BDH|5336246372863309983</stp>
        <tr r="AD32" s="2"/>
      </tp>
      <tp t="s">
        <v>#N/A N/A</v>
        <stp/>
        <stp>BDH|9916251873854297222</stp>
        <tr r="C9" s="2"/>
      </tp>
      <tp t="s">
        <v>#N/A N/A</v>
        <stp/>
        <stp>BDH|7719097135377517911</stp>
        <tr r="I53" s="2"/>
      </tp>
      <tp t="s">
        <v>#N/A N/A</v>
        <stp/>
        <stp>BDH|7621443616549917128</stp>
        <tr r="AD71" s="2"/>
      </tp>
      <tp t="s">
        <v>#N/A N/A</v>
        <stp/>
        <stp>BDH|7385026290921520580</stp>
        <tr r="Y52" s="2"/>
      </tp>
      <tp t="s">
        <v>#N/A N/A</v>
        <stp/>
        <stp>BDH|9407320627535981746</stp>
        <tr r="Y8" s="2"/>
      </tp>
      <tp t="s">
        <v>#N/A N/A</v>
        <stp/>
        <stp>BDH|9971276238092307085</stp>
        <tr r="G43" s="2"/>
      </tp>
      <tp t="s">
        <v>#N/A N/A</v>
        <stp/>
        <stp>BDH|6711535868797857890</stp>
        <tr r="D29" s="2"/>
      </tp>
      <tp t="s">
        <v>#N/A N/A</v>
        <stp/>
        <stp>BDH|8455433495879614699</stp>
        <tr r="J67" s="2"/>
      </tp>
      <tp t="s">
        <v>#N/A N/A</v>
        <stp/>
        <stp>BDH|5033285112324065879</stp>
        <tr r="Y26" s="2"/>
      </tp>
      <tp t="s">
        <v>#N/A N/A</v>
        <stp/>
        <stp>BDH|5309330324879681703</stp>
        <tr r="D6" s="2"/>
      </tp>
      <tp t="s">
        <v>#N/A N/A</v>
        <stp/>
        <stp>BDH|9367014860716153312</stp>
        <tr r="E7" s="2"/>
      </tp>
      <tp t="s">
        <v>#N/A N/A</v>
        <stp/>
        <stp>BDH|7143485456235537985</stp>
        <tr r="E38" s="2"/>
        <tr r="E50" s="2"/>
      </tp>
      <tp t="s">
        <v>#N/A N/A</v>
        <stp/>
        <stp>BDH|7086706887577044558</stp>
        <tr r="W48" s="2"/>
      </tp>
      <tp t="s">
        <v>#N/A N/A</v>
        <stp/>
        <stp>BDH|7131247584566404177</stp>
        <tr r="AA54" s="2"/>
      </tp>
      <tp t="s">
        <v>#N/A N/A</v>
        <stp/>
        <stp>BDH|4094536288252163181</stp>
        <tr r="I22" s="2"/>
      </tp>
      <tp t="s">
        <v>#N/A N/A</v>
        <stp/>
        <stp>BDH|8960588075187670718</stp>
        <tr r="H43" s="2"/>
      </tp>
      <tp t="s">
        <v>#N/A N/A</v>
        <stp/>
        <stp>BDH|9646363909846375697</stp>
        <tr r="F17" s="2"/>
      </tp>
      <tp t="s">
        <v>#N/A N/A</v>
        <stp/>
        <stp>BDH|7652610661419546437</stp>
        <tr r="S26" s="2"/>
      </tp>
      <tp t="s">
        <v>#N/A N/A</v>
        <stp/>
        <stp>BDH|4653046982523068505</stp>
        <tr r="I25" s="2"/>
      </tp>
      <tp t="s">
        <v>#N/A N/A</v>
        <stp/>
        <stp>BDH|6110919142634039528</stp>
        <tr r="C21" s="2"/>
      </tp>
      <tp t="s">
        <v>#N/A N/A</v>
        <stp/>
        <stp>BDH|9050754723583261549</stp>
        <tr r="D59" s="2"/>
      </tp>
      <tp t="s">
        <v>#N/A N/A</v>
        <stp/>
        <stp>BDH|4635958070786477676</stp>
        <tr r="Z49" s="2"/>
      </tp>
      <tp t="s">
        <v>#N/A N/A</v>
        <stp/>
        <stp>BDH|5725677521652510951</stp>
        <tr r="AA33" s="2"/>
      </tp>
      <tp t="s">
        <v>#N/A N/A</v>
        <stp/>
        <stp>BDH|6495405534028198302</stp>
        <tr r="E54" s="2"/>
      </tp>
      <tp t="s">
        <v>#N/A N/A</v>
        <stp/>
        <stp>BDH|3183239961978349569</stp>
        <tr r="W36" s="2"/>
      </tp>
      <tp t="s">
        <v>#N/A N/A</v>
        <stp/>
        <stp>BDH|2715373677004640872</stp>
        <tr r="M72" s="2"/>
      </tp>
      <tp t="s">
        <v>#N/A N/A</v>
        <stp/>
        <stp>BDH|2756817340202394632</stp>
        <tr r="W22" s="2"/>
      </tp>
      <tp t="s">
        <v>#N/A N/A</v>
        <stp/>
        <stp>BDH|7923254288845078224</stp>
        <tr r="E35" s="2"/>
      </tp>
      <tp t="s">
        <v>#N/A N/A</v>
        <stp/>
        <stp>BDH|8888264430456819519</stp>
        <tr r="U21" s="2"/>
      </tp>
      <tp t="s">
        <v>#N/A N/A</v>
        <stp/>
        <stp>BDH|3773453584677472256</stp>
        <tr r="K71" s="2"/>
      </tp>
      <tp t="s">
        <v>#N/A N/A</v>
        <stp/>
        <stp>BDH|8180762475117670534</stp>
        <tr r="L52" s="2"/>
      </tp>
      <tp t="s">
        <v>#N/A N/A</v>
        <stp/>
        <stp>BDH|3530790119607029828</stp>
        <tr r="Y55" s="2"/>
      </tp>
      <tp t="s">
        <v>#N/A N/A</v>
        <stp/>
        <stp>BDH|6321984726523070495</stp>
        <tr r="H39" s="2"/>
      </tp>
      <tp t="s">
        <v>#N/A N/A</v>
        <stp/>
        <stp>BDH|5259550002582530847</stp>
        <tr r="H30" s="2"/>
      </tp>
      <tp t="s">
        <v>#N/A N/A</v>
        <stp/>
        <stp>BDH|6397486519341128876</stp>
        <tr r="O40" s="2"/>
      </tp>
      <tp t="s">
        <v>#N/A N/A</v>
        <stp/>
        <stp>BDH|8793225229973975118</stp>
        <tr r="G36" s="2"/>
      </tp>
      <tp t="s">
        <v>#N/A N/A</v>
        <stp/>
        <stp>BDH|9026176664470641419</stp>
        <tr r="AA52" s="2"/>
      </tp>
      <tp t="s">
        <v>#N/A N/A</v>
        <stp/>
        <stp>BDH|4729226698856913312</stp>
        <tr r="C7" s="2"/>
      </tp>
      <tp t="s">
        <v>#N/A N/A</v>
        <stp/>
        <stp>BDH|6894978751523274264</stp>
        <tr r="AD21" s="2"/>
      </tp>
      <tp t="s">
        <v>#N/A N/A</v>
        <stp/>
        <stp>BDH|8712284547530063528</stp>
        <tr r="N7" s="2"/>
      </tp>
      <tp t="s">
        <v>#N/A N/A</v>
        <stp/>
        <stp>BDH|9487488216162272537</stp>
        <tr r="E42" s="2"/>
      </tp>
      <tp t="s">
        <v>#N/A N/A</v>
        <stp/>
        <stp>BDH|6590829749725352462</stp>
        <tr r="R39" s="2"/>
      </tp>
      <tp t="s">
        <v>#N/A N/A</v>
        <stp/>
        <stp>BDH|8688138927030849012</stp>
        <tr r="K67" s="2"/>
      </tp>
      <tp t="s">
        <v>#N/A N/A</v>
        <stp/>
        <stp>BDH|8711167519730940393</stp>
        <tr r="Z22" s="2"/>
      </tp>
      <tp t="s">
        <v>#N/A N/A</v>
        <stp/>
        <stp>BDH|2582423298835677118</stp>
        <tr r="O42" s="2"/>
      </tp>
      <tp t="s">
        <v>#N/A N/A</v>
        <stp/>
        <stp>BDH|4656741620512358898</stp>
        <tr r="F31" s="2"/>
      </tp>
      <tp t="s">
        <v>#N/A N/A</v>
        <stp/>
        <stp>BDH|3095249373408925572</stp>
        <tr r="Q22" s="2"/>
      </tp>
      <tp t="s">
        <v>#N/A N/A</v>
        <stp/>
        <stp>BDH|8385121411221012292</stp>
        <tr r="U34" s="2"/>
      </tp>
      <tp t="s">
        <v>#N/A N/A</v>
        <stp/>
        <stp>BDH|5931110714457113949</stp>
        <tr r="P67" s="2"/>
      </tp>
      <tp t="s">
        <v>#N/A N/A</v>
        <stp/>
        <stp>BDH|6794328092444956301</stp>
        <tr r="F60" s="2"/>
      </tp>
      <tp t="s">
        <v>#N/A N/A</v>
        <stp/>
        <stp>BDH|5030957308094349302</stp>
        <tr r="J17" s="2"/>
      </tp>
      <tp t="s">
        <v>#N/A N/A</v>
        <stp/>
        <stp>BDH|2146224199043419103</stp>
        <tr r="K65" s="2"/>
      </tp>
      <tp t="s">
        <v>#N/A N/A</v>
        <stp/>
        <stp>BDH|3657218554806973947</stp>
        <tr r="AB43" s="2"/>
      </tp>
      <tp t="s">
        <v>#N/A N/A</v>
        <stp/>
        <stp>BDH|7214508919860719829</stp>
        <tr r="C65" s="2"/>
      </tp>
      <tp t="s">
        <v>#N/A N/A</v>
        <stp/>
        <stp>BDH|3680173899185503528</stp>
        <tr r="N13" s="2"/>
      </tp>
      <tp t="s">
        <v>#N/A N/A</v>
        <stp/>
        <stp>BDH|9557489973809662879</stp>
        <tr r="I34" s="2"/>
      </tp>
      <tp t="s">
        <v>#N/A N/A</v>
        <stp/>
        <stp>BDH|1699793065683256875</stp>
        <tr r="Q23" s="2"/>
      </tp>
      <tp t="s">
        <v>#N/A N/A</v>
        <stp/>
        <stp>BDH|1702906757441887743</stp>
        <tr r="I32" s="2"/>
      </tp>
      <tp t="s">
        <v>#N/A N/A</v>
        <stp/>
        <stp>BDH|3605583346550780928</stp>
        <tr r="AD58" s="2"/>
      </tp>
      <tp t="s">
        <v>#N/A N/A</v>
        <stp/>
        <stp>BDH|3713547509219198465</stp>
        <tr r="T10" s="2"/>
      </tp>
      <tp t="s">
        <v>#N/A N/A</v>
        <stp/>
        <stp>BDH|9352477737101460454</stp>
        <tr r="O12" s="2"/>
      </tp>
      <tp t="s">
        <v>#N/A N/A</v>
        <stp/>
        <stp>BDH|6979850266284953714</stp>
        <tr r="F36" s="2"/>
      </tp>
      <tp t="s">
        <v>#N/A N/A</v>
        <stp/>
        <stp>BDH|8233585350594842703</stp>
        <tr r="E68" s="2"/>
      </tp>
      <tp t="s">
        <v>#N/A N/A</v>
        <stp/>
        <stp>BDH|3955898180198172037</stp>
        <tr r="G14" s="2"/>
      </tp>
      <tp t="s">
        <v>#N/A N/A</v>
        <stp/>
        <stp>BDH|8438420747770634341</stp>
        <tr r="O73" s="2"/>
      </tp>
      <tp t="s">
        <v>#N/A N/A</v>
        <stp/>
        <stp>BDH|9032550270172303259</stp>
        <tr r="G27" s="2"/>
      </tp>
      <tp t="s">
        <v>#N/A N/A</v>
        <stp/>
        <stp>BDH|7744878252266577742</stp>
        <tr r="R40" s="2"/>
      </tp>
      <tp t="s">
        <v>#N/A N/A</v>
        <stp/>
        <stp>BDH|2086355212263632819</stp>
        <tr r="AC59" s="2"/>
      </tp>
      <tp t="s">
        <v>#N/A N/A</v>
        <stp/>
        <stp>BDH|1220249287187571748</stp>
        <tr r="C71" s="2"/>
      </tp>
      <tp t="s">
        <v>#N/A N/A</v>
        <stp/>
        <stp>BDH|5895890443555637746</stp>
        <tr r="L6" s="2"/>
      </tp>
      <tp t="s">
        <v>#N/A N/A</v>
        <stp/>
        <stp>BDH|2663341520399308103</stp>
        <tr r="J16" s="2"/>
      </tp>
      <tp t="s">
        <v>#N/A N/A</v>
        <stp/>
        <stp>BDH|7132123085697120216</stp>
        <tr r="R11" s="2"/>
      </tp>
      <tp t="s">
        <v>#N/A N/A</v>
        <stp/>
        <stp>BDH|7247851274314630732</stp>
        <tr r="Y27" s="2"/>
      </tp>
      <tp t="s">
        <v>#N/A N/A</v>
        <stp/>
        <stp>BDH|6600395287955776391</stp>
        <tr r="R44" s="2"/>
      </tp>
      <tp t="s">
        <v>#N/A N/A</v>
        <stp/>
        <stp>BDH|9367684669995120757</stp>
        <tr r="M46" s="2"/>
      </tp>
      <tp t="s">
        <v>#N/A N/A</v>
        <stp/>
        <stp>BDH|5392858620072084619</stp>
        <tr r="K22" s="2"/>
      </tp>
      <tp t="s">
        <v>#N/A N/A</v>
        <stp/>
        <stp>BDH|8653716339674818311</stp>
        <tr r="V29" s="2"/>
      </tp>
      <tp t="s">
        <v>#N/A N/A</v>
        <stp/>
        <stp>BDH|7221382608099746623</stp>
        <tr r="V45" s="2"/>
      </tp>
      <tp t="s">
        <v>#N/A N/A</v>
        <stp/>
        <stp>BDH|4209176100858079620</stp>
        <tr r="C48" s="2"/>
      </tp>
      <tp t="s">
        <v>#N/A N/A</v>
        <stp/>
        <stp>BDH|9809538921617445290</stp>
        <tr r="AC75" s="2"/>
      </tp>
      <tp t="s">
        <v>#N/A N/A</v>
        <stp/>
        <stp>BDH|7539303494285015369</stp>
        <tr r="O44" s="2"/>
      </tp>
      <tp t="s">
        <v>#N/A N/A</v>
        <stp/>
        <stp>BDH|4936997279004690580</stp>
        <tr r="R13" s="2"/>
      </tp>
      <tp t="s">
        <v>#N/A N/A</v>
        <stp/>
        <stp>BDH|7888468795532743380</stp>
        <tr r="J12" s="2"/>
      </tp>
      <tp t="s">
        <v>#N/A N/A</v>
        <stp/>
        <stp>BDH|1442394341605962813</stp>
        <tr r="AA23" s="2"/>
      </tp>
      <tp t="s">
        <v>#N/A N/A</v>
        <stp/>
        <stp>BDH|9485438035610499526</stp>
        <tr r="S19" s="2"/>
      </tp>
      <tp t="s">
        <v>#N/A N/A</v>
        <stp/>
        <stp>BDH|2510193048398137418</stp>
        <tr r="O11" s="2"/>
      </tp>
      <tp t="s">
        <v>#N/A N/A</v>
        <stp/>
        <stp>BDH|2643166792491325059</stp>
        <tr r="AB15" s="2"/>
      </tp>
      <tp t="s">
        <v>#N/A N/A</v>
        <stp/>
        <stp>BDH|3228866264542650428</stp>
        <tr r="F24" s="2"/>
      </tp>
      <tp t="s">
        <v>#N/A N/A</v>
        <stp/>
        <stp>BDH|9231525526943665659</stp>
        <tr r="Z70" s="2"/>
      </tp>
      <tp t="s">
        <v>#N/A N/A</v>
        <stp/>
        <stp>BDH|6343308512916440905</stp>
        <tr r="X8" s="2"/>
      </tp>
      <tp t="s">
        <v>#N/A N/A</v>
        <stp/>
        <stp>BDH|3046796349423558804</stp>
        <tr r="R30" s="2"/>
      </tp>
      <tp t="s">
        <v>#N/A N/A</v>
        <stp/>
        <stp>BDH|4984256098295453154</stp>
        <tr r="I37" s="2"/>
      </tp>
      <tp t="s">
        <v>#N/A N/A</v>
        <stp/>
        <stp>BDH|8411068220903759209</stp>
        <tr r="E72" s="2"/>
      </tp>
      <tp t="s">
        <v>#N/A N/A</v>
        <stp/>
        <stp>BDH|47747402367573604</stp>
        <tr r="D10" s="2"/>
      </tp>
      <tp t="s">
        <v>#N/A N/A</v>
        <stp/>
        <stp>BDH|4142228960022105688</stp>
        <tr r="X55" s="2"/>
      </tp>
      <tp t="s">
        <v>#N/A N/A</v>
        <stp/>
        <stp>BDH|5851473211504796030</stp>
        <tr r="J27" s="2"/>
      </tp>
      <tp t="s">
        <v>#N/A N/A</v>
        <stp/>
        <stp>BDH|2336076212924906356</stp>
        <tr r="V30" s="2"/>
      </tp>
      <tp t="s">
        <v>#N/A N/A</v>
        <stp/>
        <stp>BDH|9992775029369889146</stp>
        <tr r="D43" s="2"/>
      </tp>
      <tp t="s">
        <v>#N/A N/A</v>
        <stp/>
        <stp>BDH|8653217723338991468</stp>
        <tr r="Y49" s="2"/>
      </tp>
      <tp t="s">
        <v>#N/A N/A</v>
        <stp/>
        <stp>BDH|2682311369891673232</stp>
        <tr r="S68" s="2"/>
      </tp>
      <tp t="s">
        <v>#N/A N/A</v>
        <stp/>
        <stp>BDH|8966786878499415569</stp>
        <tr r="V74" s="2"/>
      </tp>
      <tp t="s">
        <v>#N/A N/A</v>
        <stp/>
        <stp>BDH|3149192970391608064</stp>
        <tr r="T59" s="2"/>
      </tp>
      <tp t="s">
        <v>#N/A N/A</v>
        <stp/>
        <stp>BDH|9991409077359192779</stp>
        <tr r="K27" s="2"/>
      </tp>
      <tp t="s">
        <v>#N/A N/A</v>
        <stp/>
        <stp>BDH|5207711565890687084</stp>
        <tr r="AD44" s="2"/>
      </tp>
      <tp t="s">
        <v>#N/A N/A</v>
        <stp/>
        <stp>BDH|3422594713153249047</stp>
        <tr r="AC13" s="2"/>
      </tp>
      <tp t="s">
        <v>#N/A N/A</v>
        <stp/>
        <stp>BDH|9633777361128111492</stp>
        <tr r="S25" s="2"/>
      </tp>
      <tp t="s">
        <v>#N/A N/A</v>
        <stp/>
        <stp>BDH|9256173614954843912</stp>
        <tr r="N55" s="2"/>
      </tp>
      <tp t="s">
        <v>#N/A N/A</v>
        <stp/>
        <stp>BDH|1124058902907768298</stp>
        <tr r="L65" s="2"/>
      </tp>
      <tp t="s">
        <v>#N/A N/A</v>
        <stp/>
        <stp>BDH|9961199792257855226</stp>
        <tr r="L12" s="2"/>
      </tp>
      <tp t="s">
        <v>#N/A N/A</v>
        <stp/>
        <stp>BDH|9783280096974884297</stp>
        <tr r="E48" s="2"/>
      </tp>
      <tp t="s">
        <v>#N/A N/A</v>
        <stp/>
        <stp>BDH|2269321572955348783</stp>
        <tr r="Q71" s="2"/>
      </tp>
      <tp t="s">
        <v>#N/A N/A</v>
        <stp/>
        <stp>BDH|9914176579908842362</stp>
        <tr r="AC55" s="2"/>
      </tp>
      <tp t="s">
        <v>#N/A N/A</v>
        <stp/>
        <stp>BDH|3924660400562863395</stp>
        <tr r="F48" s="2"/>
      </tp>
      <tp t="s">
        <v>#N/A N/A</v>
        <stp/>
        <stp>BDH|1135594560961366753</stp>
        <tr r="AC23" s="2"/>
      </tp>
      <tp t="s">
        <v>#N/A N/A</v>
        <stp/>
        <stp>BDH|5645439358070308002</stp>
        <tr r="K34" s="2"/>
      </tp>
      <tp t="s">
        <v>#N/A N/A</v>
        <stp/>
        <stp>BDH|3694329416062935742</stp>
        <tr r="Z59" s="2"/>
      </tp>
      <tp t="s">
        <v>#N/A N/A</v>
        <stp/>
        <stp>BDH|5146399747701605768</stp>
        <tr r="J9" s="2"/>
      </tp>
      <tp t="s">
        <v>#N/A N/A</v>
        <stp/>
        <stp>BDH|2594206633991127681</stp>
        <tr r="P37" s="2"/>
      </tp>
      <tp t="s">
        <v>#N/A N/A</v>
        <stp/>
        <stp>BDH|4532446152169930851</stp>
        <tr r="G7" s="2"/>
      </tp>
      <tp t="s">
        <v>#N/A N/A</v>
        <stp/>
        <stp>BDH|5917546136300464704</stp>
        <tr r="D35" s="2"/>
      </tp>
      <tp t="s">
        <v>#N/A N/A</v>
        <stp/>
        <stp>BDH|2104704776084894204</stp>
        <tr r="T49" s="2"/>
      </tp>
      <tp t="s">
        <v>#N/A N/A</v>
        <stp/>
        <stp>BDH|3820520510834659737</stp>
        <tr r="K30" s="2"/>
      </tp>
      <tp t="s">
        <v>#N/A N/A</v>
        <stp/>
        <stp>BDH|5104652008962049537</stp>
        <tr r="C32" s="2"/>
      </tp>
      <tp t="s">
        <v>#N/A N/A</v>
        <stp/>
        <stp>BDH|1801109550831287057</stp>
        <tr r="S71" s="2"/>
      </tp>
      <tp t="s">
        <v>#N/A N/A</v>
        <stp/>
        <stp>BDH|2561679188169424124</stp>
        <tr r="G30" s="2"/>
      </tp>
      <tp t="s">
        <v>#N/A N/A</v>
        <stp/>
        <stp>BDH|9772400513858966016</stp>
        <tr r="N21" s="2"/>
      </tp>
      <tp t="s">
        <v>#N/A N/A</v>
        <stp/>
        <stp>BDH|7239325178584088345</stp>
        <tr r="AA67" s="2"/>
      </tp>
      <tp t="s">
        <v>#N/A N/A</v>
        <stp/>
        <stp>BDH|2932336203632065747</stp>
        <tr r="D14" s="2"/>
      </tp>
      <tp t="s">
        <v>#N/A N/A</v>
        <stp/>
        <stp>BDH|9981877603601820482</stp>
        <tr r="S11" s="2"/>
      </tp>
      <tp t="s">
        <v>#N/A N/A</v>
        <stp/>
        <stp>BDH|8983678408413293992</stp>
        <tr r="Z16" s="2"/>
      </tp>
      <tp t="s">
        <v>#N/A N/A</v>
        <stp/>
        <stp>BDH|5134154522801433309</stp>
        <tr r="E60" s="2"/>
      </tp>
      <tp t="s">
        <v>#N/A N/A</v>
        <stp/>
        <stp>BDH|1771662040942705548</stp>
        <tr r="M36" s="2"/>
      </tp>
      <tp t="s">
        <v>#N/A N/A</v>
        <stp/>
        <stp>BDH|5113203171596070235</stp>
        <tr r="U8" s="2"/>
      </tp>
      <tp t="s">
        <v>#N/A N/A</v>
        <stp/>
        <stp>BDH|9543900937785883297</stp>
        <tr r="S37" s="2"/>
      </tp>
      <tp t="s">
        <v>#N/A N/A</v>
        <stp/>
        <stp>BDH|8321792059368218613</stp>
        <tr r="P22" s="2"/>
      </tp>
      <tp t="s">
        <v>#N/A N/A</v>
        <stp/>
        <stp>BDH|8911389850662799862</stp>
        <tr r="P73" s="2"/>
      </tp>
      <tp t="s">
        <v>#N/A N/A</v>
        <stp/>
        <stp>BDH|9819395402549533767</stp>
        <tr r="H41" s="2"/>
      </tp>
      <tp t="s">
        <v>#N/A N/A</v>
        <stp/>
        <stp>BDH|4453769152354777673</stp>
        <tr r="H64" s="2"/>
      </tp>
      <tp t="s">
        <v>#N/A N/A</v>
        <stp/>
        <stp>BDH|4010044813554616501</stp>
        <tr r="AC26" s="2"/>
      </tp>
      <tp t="s">
        <v>#N/A N/A</v>
        <stp/>
        <stp>BDH|5536021670043635504</stp>
        <tr r="S10" s="2"/>
      </tp>
      <tp t="s">
        <v>#N/A N/A</v>
        <stp/>
        <stp>BDH|3794333821963369571</stp>
        <tr r="E11" s="2"/>
      </tp>
      <tp t="s">
        <v>#N/A N/A</v>
        <stp/>
        <stp>BDH|9724698846956053992</stp>
        <tr r="AA18" s="2"/>
      </tp>
      <tp t="s">
        <v>#N/A N/A</v>
        <stp/>
        <stp>BDH|2953394414012481669</stp>
        <tr r="F21" s="2"/>
      </tp>
      <tp t="s">
        <v>#N/A N/A</v>
        <stp/>
        <stp>BDH|8678113290243579745</stp>
        <tr r="M30" s="2"/>
      </tp>
      <tp t="s">
        <v>#N/A N/A</v>
        <stp/>
        <stp>BDH|7754900130870919988</stp>
        <tr r="T39" s="2"/>
      </tp>
      <tp t="s">
        <v>#N/A N/A</v>
        <stp/>
        <stp>BDH|6321095029855565501</stp>
        <tr r="AC25" s="2"/>
      </tp>
      <tp t="s">
        <v>#N/A N/A</v>
        <stp/>
        <stp>BDH|2284461945254676214</stp>
        <tr r="S31" s="2"/>
      </tp>
      <tp t="s">
        <v>#N/A N/A</v>
        <stp/>
        <stp>BDH|4967786356791834399</stp>
        <tr r="P23" s="2"/>
      </tp>
      <tp t="s">
        <v>#N/A N/A</v>
        <stp/>
        <stp>BDH|9268187599290581519</stp>
        <tr r="S67" s="2"/>
      </tp>
      <tp t="s">
        <v>#N/A N/A</v>
        <stp/>
        <stp>BDH|9126279954363325961</stp>
        <tr r="H45" s="2"/>
      </tp>
      <tp t="s">
        <v>#N/A N/A</v>
        <stp/>
        <stp>BDH|7205611440072571319</stp>
        <tr r="K26" s="2"/>
      </tp>
      <tp t="s">
        <v>#N/A N/A</v>
        <stp/>
        <stp>BDH|2737215643988137808</stp>
        <tr r="M53" s="2"/>
      </tp>
      <tp t="s">
        <v>#N/A N/A</v>
        <stp/>
        <stp>BDH|4267948502498729170</stp>
        <tr r="M70" s="2"/>
      </tp>
      <tp t="s">
        <v>#N/A N/A</v>
        <stp/>
        <stp>BDH|9468493992359071851</stp>
        <tr r="Q16" s="2"/>
      </tp>
      <tp t="s">
        <v>#N/A N/A</v>
        <stp/>
        <stp>BDH|5154096757217207276</stp>
        <tr r="D66" s="2"/>
      </tp>
      <tp t="s">
        <v>#N/A N/A</v>
        <stp/>
        <stp>BDH|3268632965671949766</stp>
        <tr r="G11" s="2"/>
      </tp>
      <tp t="s">
        <v>#N/A N/A</v>
        <stp/>
        <stp>BDH|1033986180302103720</stp>
        <tr r="S54" s="2"/>
      </tp>
      <tp t="s">
        <v>#N/A N/A</v>
        <stp/>
        <stp>BDH|4626579546693425389</stp>
        <tr r="F13" s="2"/>
      </tp>
      <tp t="s">
        <v>#N/A N/A</v>
        <stp/>
        <stp>BDH|5959256656091751655</stp>
        <tr r="M6" s="2"/>
      </tp>
      <tp t="s">
        <v>#N/A N/A</v>
        <stp/>
        <stp>BDH|3734679067412795484</stp>
        <tr r="AD49" s="2"/>
      </tp>
      <tp t="s">
        <v>#N/A N/A</v>
        <stp/>
        <stp>BDH|1325290364922453227</stp>
        <tr r="L30" s="2"/>
      </tp>
      <tp t="s">
        <v>#N/A N/A</v>
        <stp/>
        <stp>BDH|1958030197929514400</stp>
        <tr r="C10" s="2"/>
      </tp>
      <tp t="s">
        <v>#N/A N/A</v>
        <stp/>
        <stp>BDH|8680048181991386493</stp>
        <tr r="V48" s="2"/>
      </tp>
      <tp t="s">
        <v>#N/A N/A</v>
        <stp/>
        <stp>BDH|8629060418979866599</stp>
        <tr r="C41" s="2"/>
      </tp>
      <tp t="s">
        <v>#N/A N/A</v>
        <stp/>
        <stp>BDH|5542724814790312691</stp>
        <tr r="D74" s="2"/>
      </tp>
      <tp t="s">
        <v>#N/A N/A</v>
        <stp/>
        <stp>BDH|7801767424804052332</stp>
        <tr r="K13" s="2"/>
      </tp>
      <tp t="s">
        <v>#N/A N/A</v>
        <stp/>
        <stp>BDH|4551089750165042131</stp>
        <tr r="J72" s="2"/>
      </tp>
      <tp t="s">
        <v>#N/A N/A</v>
        <stp/>
        <stp>BDH|2217782884540782870</stp>
        <tr r="F15" s="2"/>
      </tp>
      <tp t="s">
        <v>#N/A N/A</v>
        <stp/>
        <stp>BDH|7004966635109422185</stp>
        <tr r="C20" s="2"/>
      </tp>
      <tp t="s">
        <v>#N/A N/A</v>
        <stp/>
        <stp>BDH|2672005950386978406</stp>
        <tr r="D32" s="2"/>
      </tp>
      <tp t="s">
        <v>#N/A N/A</v>
        <stp/>
        <stp>BDH|2669741870734517385</stp>
        <tr r="N29" s="2"/>
      </tp>
      <tp t="s">
        <v>#N/A N/A</v>
        <stp/>
        <stp>BDH|2507183849434256699</stp>
        <tr r="AB22" s="2"/>
      </tp>
      <tp t="s">
        <v>#N/A N/A</v>
        <stp/>
        <stp>BDH|2670035817942790492</stp>
        <tr r="G44" s="2"/>
      </tp>
      <tp t="s">
        <v>#N/A N/A</v>
        <stp/>
        <stp>BDH|2987434037275344523</stp>
        <tr r="T15" s="2"/>
      </tp>
      <tp t="s">
        <v>#N/A N/A</v>
        <stp/>
        <stp>BDH|3889693592900787987</stp>
        <tr r="AC36" s="2"/>
      </tp>
      <tp t="s">
        <v>#N/A N/A</v>
        <stp/>
        <stp>BDH|5962789983918814776</stp>
        <tr r="O68" s="2"/>
      </tp>
      <tp t="s">
        <v>#N/A N/A</v>
        <stp/>
        <stp>BDH|9544518059064757879</stp>
        <tr r="F27" s="2"/>
      </tp>
      <tp t="s">
        <v>#N/A N/A</v>
        <stp/>
        <stp>BDH|2577281467615583628</stp>
        <tr r="W59" s="2"/>
      </tp>
      <tp t="s">
        <v>#N/A N/A</v>
        <stp/>
        <stp>BDH|3385263549977018710</stp>
        <tr r="P21" s="2"/>
      </tp>
      <tp t="s">
        <v>#N/A N/A</v>
        <stp/>
        <stp>BDH|4281340665713737798</stp>
        <tr r="M11" s="2"/>
      </tp>
      <tp t="s">
        <v>#N/A N/A</v>
        <stp/>
        <stp>BDH|3081220834605867234</stp>
        <tr r="U75" s="2"/>
      </tp>
      <tp t="s">
        <v>#N/A N/A</v>
        <stp/>
        <stp>BDH|9866933544122505386</stp>
        <tr r="V17" s="2"/>
      </tp>
      <tp t="s">
        <v>#N/A N/A</v>
        <stp/>
        <stp>BDH|4704213637586370607</stp>
        <tr r="Y25" s="2"/>
      </tp>
      <tp t="s">
        <v>#N/A N/A</v>
        <stp/>
        <stp>BDH|4597588768833229155</stp>
        <tr r="P15" s="2"/>
      </tp>
      <tp t="s">
        <v>#N/A N/A</v>
        <stp/>
        <stp>BDH|7587811734678645159</stp>
        <tr r="AD29" s="2"/>
      </tp>
      <tp t="s">
        <v>#N/A N/A</v>
        <stp/>
        <stp>BDH|8021305837328436505</stp>
        <tr r="X30" s="2"/>
      </tp>
      <tp t="s">
        <v>#N/A N/A</v>
        <stp/>
        <stp>BDH|2498073478932011280</stp>
        <tr r="K9" s="2"/>
      </tp>
      <tp t="s">
        <v>#N/A N/A</v>
        <stp/>
        <stp>BDH|4171547920461260744</stp>
        <tr r="AC10" s="2"/>
      </tp>
      <tp t="s">
        <v>#N/A N/A</v>
        <stp/>
        <stp>BDH|7784155963451496466</stp>
        <tr r="F66" s="2"/>
      </tp>
      <tp t="s">
        <v>#N/A N/A</v>
        <stp/>
        <stp>BDH|5204618671786415761</stp>
        <tr r="P8" s="2"/>
      </tp>
      <tp t="s">
        <v>#N/A N/A</v>
        <stp/>
        <stp>BDH|5506444384588253466</stp>
        <tr r="W25" s="2"/>
      </tp>
      <tp t="s">
        <v>#N/A N/A</v>
        <stp/>
        <stp>BDH|9183537797626202667</stp>
        <tr r="O67" s="2"/>
      </tp>
      <tp t="s">
        <v>#N/A N/A</v>
        <stp/>
        <stp>BDH|1593684368260549415</stp>
        <tr r="U22" s="2"/>
      </tp>
      <tp t="s">
        <v>#N/A N/A</v>
        <stp/>
        <stp>BDH|4360370558731386699</stp>
        <tr r="V26" s="2"/>
      </tp>
      <tp t="s">
        <v>#N/A N/A</v>
        <stp/>
        <stp>BDH|3699430527371538119</stp>
        <tr r="H22" s="2"/>
      </tp>
      <tp t="s">
        <v>#N/A N/A</v>
        <stp/>
        <stp>BDH|2564515175553244657</stp>
        <tr r="R28" s="2"/>
      </tp>
      <tp t="s">
        <v>#N/A N/A</v>
        <stp/>
        <stp>BDH|4222088118598490800</stp>
        <tr r="AC71" s="2"/>
      </tp>
      <tp t="s">
        <v>#N/A N/A</v>
        <stp/>
        <stp>BDH|4159676875584599406</stp>
        <tr r="W71" s="2"/>
      </tp>
      <tp t="s">
        <v>#N/A N/A</v>
        <stp/>
        <stp>BDH|8711937511304544168</stp>
        <tr r="C16" s="2"/>
      </tp>
      <tp t="s">
        <v>#N/A N/A</v>
        <stp/>
        <stp>BDH|9658444826882332812</stp>
        <tr r="N65" s="2"/>
      </tp>
      <tp t="s">
        <v>#N/A N/A</v>
        <stp/>
        <stp>BDH|2592622661452942590</stp>
        <tr r="Z69" s="2"/>
      </tp>
      <tp t="s">
        <v>#N/A N/A</v>
        <stp/>
        <stp>BDH|1004335874339055919</stp>
        <tr r="Y7" s="2"/>
      </tp>
      <tp t="s">
        <v>#N/A N/A</v>
        <stp/>
        <stp>BDH|7171868352959729654</stp>
        <tr r="I7" s="2"/>
      </tp>
      <tp t="s">
        <v>#N/A N/A</v>
        <stp/>
        <stp>BDH|6829725898948050559</stp>
        <tr r="T8" s="2"/>
      </tp>
      <tp t="s">
        <v>#N/A N/A</v>
        <stp/>
        <stp>BDH|3624609038736173582</stp>
        <tr r="M75" s="2"/>
      </tp>
      <tp t="s">
        <v>#N/A N/A</v>
        <stp/>
        <stp>BDH|3639230294529276448</stp>
        <tr r="I18" s="2"/>
      </tp>
      <tp t="s">
        <v>#N/A N/A</v>
        <stp/>
        <stp>BDH|6001101781043462916</stp>
        <tr r="R23" s="2"/>
      </tp>
      <tp t="s">
        <v>#N/A N/A</v>
        <stp/>
        <stp>BDH|7264041333279974882</stp>
        <tr r="AC14" s="2"/>
      </tp>
      <tp t="s">
        <v>#N/A N/A</v>
        <stp/>
        <stp>BDH|1420352755651283328</stp>
        <tr r="AC30" s="2"/>
      </tp>
      <tp t="s">
        <v>#N/A N/A</v>
        <stp/>
        <stp>BDH|3168264717544127153</stp>
        <tr r="T41" s="2"/>
      </tp>
      <tp t="s">
        <v>#N/A N/A</v>
        <stp/>
        <stp>BDH|5393567284004557903</stp>
        <tr r="T71" s="2"/>
      </tp>
      <tp t="s">
        <v>#N/A N/A</v>
        <stp/>
        <stp>BDH|1438789476735843164</stp>
        <tr r="U52" s="2"/>
      </tp>
      <tp t="s">
        <v>#N/A N/A</v>
        <stp/>
        <stp>BDH|2967237366981928214</stp>
        <tr r="L75" s="2"/>
      </tp>
      <tp t="s">
        <v>#N/A N/A</v>
        <stp/>
        <stp>BDH|4423132602992295221</stp>
        <tr r="N52" s="2"/>
      </tp>
      <tp t="s">
        <v>#N/A N/A</v>
        <stp/>
        <stp>BDH|1757825850538803182</stp>
        <tr r="C11" s="2"/>
      </tp>
      <tp t="s">
        <v>#N/A N/A</v>
        <stp/>
        <stp>BDH|5629513750400393013</stp>
        <tr r="P32" s="2"/>
      </tp>
      <tp t="s">
        <v>#N/A N/A</v>
        <stp/>
        <stp>BDH|13536699466295230</stp>
        <tr r="AB35" s="2"/>
      </tp>
      <tp t="s">
        <v>#N/A N/A</v>
        <stp/>
        <stp>BDH|8339406408592136802</stp>
        <tr r="J6" s="2"/>
      </tp>
      <tp t="s">
        <v>#N/A N/A</v>
        <stp/>
        <stp>BDH|4531483313390227761</stp>
        <tr r="AA46" s="2"/>
      </tp>
      <tp t="s">
        <v>#N/A N/A</v>
        <stp/>
        <stp>BDH|4232273645501249588</stp>
        <tr r="J66" s="2"/>
      </tp>
      <tp t="s">
        <v>#N/A N/A</v>
        <stp/>
        <stp>BDH|4623491233626408336</stp>
        <tr r="C27" s="2"/>
      </tp>
      <tp t="s">
        <v>#N/A N/A</v>
        <stp/>
        <stp>BDH|5289584206286690011</stp>
        <tr r="Y22" s="2"/>
      </tp>
      <tp t="s">
        <v>#N/A N/A</v>
        <stp/>
        <stp>BDH|2078594710304157438</stp>
        <tr r="Y32" s="2"/>
      </tp>
      <tp t="s">
        <v>#N/A N/A</v>
        <stp/>
        <stp>BDH|5630555814856461186</stp>
        <tr r="R34" s="2"/>
      </tp>
      <tp t="s">
        <v>#N/A N/A</v>
        <stp/>
        <stp>BDH|5190108962427226393</stp>
        <tr r="X25" s="2"/>
      </tp>
      <tp t="s">
        <v>#N/A N/A</v>
        <stp/>
        <stp>BDH|8177250985271012590</stp>
        <tr r="K15" s="2"/>
      </tp>
      <tp t="s">
        <v>#N/A N/A</v>
        <stp/>
        <stp>BDH|7232731238124991197</stp>
        <tr r="C12" s="2"/>
      </tp>
      <tp t="s">
        <v>#N/A N/A</v>
        <stp/>
        <stp>BDH|9990502825748675037</stp>
        <tr r="P46" s="2"/>
      </tp>
      <tp t="s">
        <v>#N/A N/A</v>
        <stp/>
        <stp>BDH|4709897139550800912</stp>
        <tr r="S28" s="2"/>
      </tp>
      <tp t="s">
        <v>#N/A N/A</v>
        <stp/>
        <stp>BDH|6096711377970175080</stp>
        <tr r="Y28" s="2"/>
      </tp>
      <tp t="s">
        <v>#N/A N/A</v>
        <stp/>
        <stp>BDH|4553874707413883926</stp>
        <tr r="C31" s="2"/>
      </tp>
      <tp t="s">
        <v>#N/A N/A</v>
        <stp/>
        <stp>BDH|4196375723007272480</stp>
        <tr r="V35" s="2"/>
      </tp>
      <tp t="s">
        <v>#N/A N/A</v>
        <stp/>
        <stp>BDH|6823140310561787145</stp>
        <tr r="AC28" s="2"/>
      </tp>
      <tp t="s">
        <v>#N/A N/A</v>
        <stp/>
        <stp>BDH|5080431506001860621</stp>
        <tr r="AD43" s="2"/>
      </tp>
      <tp t="s">
        <v>#N/A N/A</v>
        <stp/>
        <stp>BDH|4604968771458479493</stp>
        <tr r="R12" s="2"/>
      </tp>
      <tp t="s">
        <v>#N/A N/A</v>
        <stp/>
        <stp>BDH|5252372568451982787</stp>
        <tr r="K44" s="2"/>
      </tp>
      <tp t="s">
        <v>#N/A N/A</v>
        <stp/>
        <stp>BDH|5705132177526722396</stp>
        <tr r="J37" s="2"/>
      </tp>
      <tp t="s">
        <v>#N/A N/A</v>
        <stp/>
        <stp>BDH|8421753893893636399</stp>
        <tr r="I21" s="2"/>
      </tp>
      <tp t="s">
        <v>#N/A N/A</v>
        <stp/>
        <stp>BDH|6162046773251961620</stp>
        <tr r="AA16" s="2"/>
      </tp>
      <tp t="s">
        <v>#N/A N/A</v>
        <stp/>
        <stp>BDH|9668085670498063039</stp>
        <tr r="T29" s="2"/>
      </tp>
      <tp t="s">
        <v>#N/A N/A</v>
        <stp/>
        <stp>BDH|7379466963861809234</stp>
        <tr r="W42" s="2"/>
      </tp>
      <tp t="s">
        <v>#N/A N/A</v>
        <stp/>
        <stp>BDH|6781411221375792321</stp>
        <tr r="S73" s="2"/>
      </tp>
      <tp t="s">
        <v>#N/A N/A</v>
        <stp/>
        <stp>BDH|7238447739647439193</stp>
        <tr r="P29" s="2"/>
      </tp>
      <tp t="s">
        <v>#N/A N/A</v>
        <stp/>
        <stp>BDH|3796752330228696969</stp>
        <tr r="AB13" s="2"/>
      </tp>
      <tp t="s">
        <v>#N/A N/A</v>
        <stp/>
        <stp>BDH|8880254811069625480</stp>
        <tr r="AB6" s="2"/>
      </tp>
      <tp t="s">
        <v>#N/A N/A</v>
        <stp/>
        <stp>BDH|4113654044136631654</stp>
        <tr r="Q36" s="2"/>
      </tp>
      <tp t="s">
        <v>#N/A N/A</v>
        <stp/>
        <stp>BDH|8982811178071598064</stp>
        <tr r="D70" s="2"/>
      </tp>
      <tp t="s">
        <v>#N/A N/A</v>
        <stp/>
        <stp>BDH|7258636992526501850</stp>
        <tr r="AD13" s="2"/>
      </tp>
      <tp t="s">
        <v>#N/A N/A</v>
        <stp/>
        <stp>BDH|6262192828461491270</stp>
        <tr r="T68" s="2"/>
      </tp>
      <tp t="s">
        <v>#N/A N/A</v>
        <stp/>
        <stp>BDH|5874096432933567363</stp>
        <tr r="L18" s="2"/>
      </tp>
      <tp t="s">
        <v>#N/A N/A</v>
        <stp/>
        <stp>BDH|8339457376445650868</stp>
        <tr r="C45" s="2"/>
      </tp>
      <tp t="s">
        <v>#N/A N/A</v>
        <stp/>
        <stp>BDH|7267031192348522076</stp>
        <tr r="F18" s="2"/>
      </tp>
      <tp t="s">
        <v>#N/A N/A</v>
        <stp/>
        <stp>BDH|6536191617007933738</stp>
        <tr r="Z19" s="2"/>
      </tp>
      <tp t="s">
        <v>#N/A N/A</v>
        <stp/>
        <stp>BDH|2958485823335384700</stp>
        <tr r="Y72" s="2"/>
      </tp>
      <tp t="s">
        <v>#N/A N/A</v>
        <stp/>
        <stp>BDH|7222290375857825301</stp>
        <tr r="S40" s="2"/>
      </tp>
      <tp t="s">
        <v>#N/A N/A</v>
        <stp/>
        <stp>BDH|4921251924361801371</stp>
        <tr r="AB30" s="2"/>
      </tp>
      <tp t="s">
        <v>#N/A N/A</v>
        <stp/>
        <stp>BDH|5691373920410494223</stp>
        <tr r="I71" s="2"/>
      </tp>
      <tp t="s">
        <v>#N/A N/A</v>
        <stp/>
        <stp>BDH|6391518017512340616</stp>
        <tr r="E32" s="2"/>
      </tp>
      <tp t="s">
        <v>#N/A N/A</v>
        <stp/>
        <stp>BDH|3319776611056750558</stp>
        <tr r="O69" s="2"/>
      </tp>
      <tp t="s">
        <v>#N/A N/A</v>
        <stp/>
        <stp>BDH|2762426456575321078</stp>
        <tr r="L66" s="2"/>
      </tp>
      <tp t="s">
        <v>#N/A N/A</v>
        <stp/>
        <stp>BDH|4029322033757282540</stp>
        <tr r="F37" s="2"/>
      </tp>
      <tp t="s">
        <v>#N/A N/A</v>
        <stp/>
        <stp>BDH|1000222777626015414</stp>
        <tr r="E23" s="2"/>
      </tp>
      <tp t="s">
        <v>#N/A N/A</v>
        <stp/>
        <stp>BDH|2443150451061537117</stp>
        <tr r="AB37" s="2"/>
      </tp>
      <tp t="s">
        <v>#N/A N/A</v>
        <stp/>
        <stp>BDH|5356168400345900789</stp>
        <tr r="AD65" s="2"/>
      </tp>
      <tp t="s">
        <v>#N/A N/A</v>
        <stp/>
        <stp>BDH|5745678286824485967</stp>
        <tr r="X7" s="2"/>
      </tp>
      <tp t="s">
        <v>#N/A N/A</v>
        <stp/>
        <stp>BDH|6777675949903814151</stp>
        <tr r="F39" s="2"/>
      </tp>
      <tp t="s">
        <v>#N/A N/A</v>
        <stp/>
        <stp>BDH|7856209534517915712</stp>
        <tr r="S8" s="2"/>
      </tp>
      <tp t="s">
        <v>#N/A N/A</v>
        <stp/>
        <stp>BDH|5493560985779659754</stp>
        <tr r="T24" s="2"/>
      </tp>
      <tp t="s">
        <v>#N/A N/A</v>
        <stp/>
        <stp>BDH|5223738773402383145</stp>
        <tr r="E18" s="2"/>
      </tp>
      <tp t="s">
        <v>#N/A N/A</v>
        <stp/>
        <stp>BDH|1833590575961982480</stp>
        <tr r="Y34" s="2"/>
      </tp>
      <tp t="s">
        <v>#N/A N/A</v>
        <stp/>
        <stp>BDH|1356688219916506622</stp>
        <tr r="E10" s="2"/>
      </tp>
      <tp t="s">
        <v>#N/A N/A</v>
        <stp/>
        <stp>BDH|4134852676605251854</stp>
        <tr r="O15" s="2"/>
      </tp>
      <tp t="s">
        <v>#N/A N/A</v>
        <stp/>
        <stp>BDH|1152940031014695885</stp>
        <tr r="J28" s="2"/>
      </tp>
      <tp t="s">
        <v>#N/A N/A</v>
        <stp/>
        <stp>BDH|3274740014546991416</stp>
        <tr r="T52" s="2"/>
      </tp>
      <tp t="s">
        <v>#N/A N/A</v>
        <stp/>
        <stp>BDH|1905481912284026781</stp>
        <tr r="H65" s="2"/>
      </tp>
      <tp t="s">
        <v>#N/A N/A</v>
        <stp/>
        <stp>BDH|7609026026244970601</stp>
        <tr r="T32" s="2"/>
      </tp>
      <tp t="s">
        <v>#N/A N/A</v>
        <stp/>
        <stp>BDH|3943076566097324504</stp>
        <tr r="H60" s="2"/>
      </tp>
      <tp t="s">
        <v>#N/A N/A</v>
        <stp/>
        <stp>BDH|3670822542891567981</stp>
        <tr r="E55" s="2"/>
      </tp>
      <tp t="s">
        <v>#N/A N/A</v>
        <stp/>
        <stp>BDH|9708663113071204880</stp>
        <tr r="L36" s="2"/>
      </tp>
      <tp t="s">
        <v>#N/A N/A</v>
        <stp/>
        <stp>BDH|4432609297219366588</stp>
        <tr r="Z65" s="2"/>
      </tp>
      <tp t="s">
        <v>#N/A N/A</v>
        <stp/>
        <stp>BDH|7188367368370350541</stp>
        <tr r="J11" s="2"/>
      </tp>
      <tp t="s">
        <v>#N/A N/A</v>
        <stp/>
        <stp>BDH|6098368638668089961</stp>
        <tr r="V52" s="2"/>
      </tp>
      <tp t="s">
        <v>#N/A N/A</v>
        <stp/>
        <stp>BDH|1436392917460072433</stp>
        <tr r="S18" s="2"/>
      </tp>
      <tp t="s">
        <v>#N/A N/A</v>
        <stp/>
        <stp>BDH|5459517340095502692</stp>
        <tr r="L64" s="2"/>
      </tp>
      <tp t="s">
        <v>#N/A N/A</v>
        <stp/>
        <stp>BDH|6634385052503352465</stp>
        <tr r="F29" s="2"/>
      </tp>
      <tp t="s">
        <v>#N/A N/A</v>
        <stp/>
        <stp>BDH|7882035854940000567</stp>
        <tr r="R59" s="2"/>
      </tp>
      <tp t="s">
        <v>#N/A N/A</v>
        <stp/>
        <stp>BDH|9864751007471187821</stp>
        <tr r="W31" s="2"/>
      </tp>
      <tp t="s">
        <v>#N/A N/A</v>
        <stp/>
        <stp>BDH|4739231973213673588</stp>
        <tr r="R45" s="2"/>
      </tp>
      <tp t="s">
        <v>#N/A N/A</v>
        <stp/>
        <stp>BDH|8044782396163759272</stp>
        <tr r="P36" s="2"/>
      </tp>
      <tp t="s">
        <v>#N/A N/A</v>
        <stp/>
        <stp>BDH|6630901499402042311</stp>
        <tr r="H33" s="2"/>
      </tp>
      <tp t="s">
        <v>#N/A N/A</v>
        <stp/>
        <stp>BDH|5731506229187634265</stp>
        <tr r="Z46" s="2"/>
      </tp>
      <tp t="s">
        <v>#N/A N/A</v>
        <stp/>
        <stp>BDH|2331451009033856291</stp>
        <tr r="AD35" s="2"/>
      </tp>
      <tp t="s">
        <v>#N/A N/A</v>
        <stp/>
        <stp>BDH|4447021378894445043</stp>
        <tr r="D20" s="2"/>
      </tp>
      <tp t="s">
        <v>#N/A N/A</v>
        <stp/>
        <stp>BDH|4419085781189160232</stp>
        <tr r="AD20" s="2"/>
      </tp>
      <tp t="s">
        <v>#N/A N/A</v>
        <stp/>
        <stp>BDH|9857922107907776055</stp>
        <tr r="V37" s="2"/>
      </tp>
      <tp t="s">
        <v>#N/A N/A</v>
        <stp/>
        <stp>BDH|9325234366222137888</stp>
        <tr r="D28" s="2"/>
      </tp>
      <tp t="s">
        <v>#N/A N/A</v>
        <stp/>
        <stp>BDH|3701473798731121856</stp>
        <tr r="C34" s="2"/>
      </tp>
      <tp t="s">
        <v>#N/A N/A</v>
        <stp/>
        <stp>BDH|9576543267554370995</stp>
        <tr r="J10" s="2"/>
      </tp>
      <tp t="s">
        <v>#N/A N/A</v>
        <stp/>
        <stp>BDH|2463275776794833402</stp>
        <tr r="O49" s="2"/>
      </tp>
      <tp t="s">
        <v>#N/A N/A</v>
        <stp/>
        <stp>BDH|1958567536178919822</stp>
        <tr r="Y40" s="2"/>
      </tp>
      <tp t="s">
        <v>#N/A N/A</v>
        <stp/>
        <stp>BDH|2048177324811732768</stp>
        <tr r="AC31" s="2"/>
      </tp>
      <tp t="s">
        <v>#N/A N/A</v>
        <stp/>
        <stp>BDH|5083318135753023163</stp>
        <tr r="O22" s="2"/>
      </tp>
      <tp t="s">
        <v>#N/A N/A</v>
        <stp/>
        <stp>BDH|7493353501235214600</stp>
        <tr r="Y12" s="2"/>
      </tp>
      <tp t="s">
        <v>#N/A N/A</v>
        <stp/>
        <stp>BDH|4504893185583948029</stp>
        <tr r="O24" s="2"/>
      </tp>
      <tp t="s">
        <v>#N/A N/A</v>
        <stp/>
        <stp>BDH|2177691319854556666</stp>
        <tr r="AB29" s="2"/>
      </tp>
      <tp t="s">
        <v>#N/A N/A</v>
        <stp/>
        <stp>BDH|9598518782912150150</stp>
        <tr r="O16" s="2"/>
      </tp>
      <tp t="s">
        <v>#N/A N/A</v>
        <stp/>
        <stp>BDH|6980165618653163242</stp>
        <tr r="G59" s="2"/>
      </tp>
      <tp t="s">
        <v>#N/A N/A</v>
        <stp/>
        <stp>BDH|7192609186489358779</stp>
        <tr r="G6" s="2"/>
      </tp>
      <tp t="s">
        <v>#N/A N/A</v>
        <stp/>
        <stp>BDH|7125911398050044084</stp>
        <tr r="L58" s="2"/>
      </tp>
      <tp t="s">
        <v>#N/A N/A</v>
        <stp/>
        <stp>BDH|3099125966691789230</stp>
        <tr r="AB73" s="2"/>
      </tp>
      <tp t="s">
        <v>#N/A N/A</v>
        <stp/>
        <stp>BDH|1171070511997030079</stp>
        <tr r="Y33" s="2"/>
      </tp>
      <tp t="s">
        <v>#N/A N/A</v>
        <stp/>
        <stp>BDH|3564797719691595308</stp>
        <tr r="U49" s="2"/>
      </tp>
      <tp t="s">
        <v>#N/A N/A</v>
        <stp/>
        <stp>BDH|6141899197606705687</stp>
        <tr r="E64" s="2"/>
      </tp>
      <tp t="s">
        <v>#N/A N/A</v>
        <stp/>
        <stp>BDH|5085152049504490393</stp>
        <tr r="P71" s="2"/>
      </tp>
      <tp t="s">
        <v>#N/A N/A</v>
        <stp/>
        <stp>BDH|9092294144311850943</stp>
        <tr r="AD24" s="2"/>
      </tp>
      <tp t="s">
        <v>#N/A N/A</v>
        <stp/>
        <stp>BDH|3804480304895271572</stp>
        <tr r="X43" s="2"/>
      </tp>
      <tp t="s">
        <v>#N/A N/A</v>
        <stp/>
        <stp>BDH|3676311605301780642</stp>
        <tr r="AB67" s="2"/>
      </tp>
      <tp t="s">
        <v>#N/A N/A</v>
        <stp/>
        <stp>BDH|3712433047510023456</stp>
        <tr r="G57" s="2"/>
      </tp>
      <tp t="s">
        <v>#N/A N/A</v>
        <stp/>
        <stp>BDH|6868235819433517112</stp>
        <tr r="E67" s="2"/>
      </tp>
      <tp t="s">
        <v>#N/A N/A</v>
        <stp/>
        <stp>BDH|4641216130903572146</stp>
        <tr r="D54" s="2"/>
      </tp>
      <tp t="s">
        <v>#N/A N/A</v>
        <stp/>
        <stp>BDH|3533716208973247098</stp>
        <tr r="R37" s="2"/>
      </tp>
      <tp t="s">
        <v>#N/A N/A</v>
        <stp/>
        <stp>BDH|6445554743032190249</stp>
        <tr r="I31" s="2"/>
      </tp>
      <tp t="s">
        <v>#N/A N/A</v>
        <stp/>
        <stp>BDH|9114007035519725449</stp>
        <tr r="O71" s="2"/>
      </tp>
      <tp t="s">
        <v>#N/A N/A</v>
        <stp/>
        <stp>BDH|8680975901642522410</stp>
        <tr r="M40" s="2"/>
      </tp>
      <tp t="s">
        <v>#N/A N/A</v>
        <stp/>
        <stp>BDH|8296971623095551175</stp>
        <tr r="J29" s="2"/>
      </tp>
      <tp t="s">
        <v>#N/A N/A</v>
        <stp/>
        <stp>BDH|7226849553238053516</stp>
        <tr r="M21" s="2"/>
      </tp>
      <tp t="s">
        <v>#N/A N/A</v>
        <stp/>
        <stp>BDH|8714621098797981702</stp>
        <tr r="AB28" s="2"/>
      </tp>
      <tp t="s">
        <v>#N/A N/A</v>
        <stp/>
        <stp>BDH|8327420621011422811</stp>
        <tr r="H40" s="2"/>
      </tp>
      <tp t="s">
        <v>#N/A N/A</v>
        <stp/>
        <stp>BDH|3493101936071506729</stp>
        <tr r="G8" s="2"/>
      </tp>
      <tp t="s">
        <v>#N/A N/A</v>
        <stp/>
        <stp>BDH|2261330376540314115</stp>
        <tr r="S30" s="2"/>
      </tp>
      <tp t="s">
        <v>#N/A N/A</v>
        <stp/>
        <stp>BDH|7029022831667379456</stp>
        <tr r="AB26" s="2"/>
      </tp>
      <tp t="s">
        <v>#N/A N/A</v>
        <stp/>
        <stp>BDH|5795861213683037871</stp>
        <tr r="AA10" s="2"/>
      </tp>
      <tp t="s">
        <v>#N/A N/A</v>
        <stp/>
        <stp>BDH|12776988781432476</stp>
        <tr r="K17" s="2"/>
      </tp>
      <tp t="s">
        <v>#N/A N/A</v>
        <stp/>
        <stp>BDH|2925601246613605337</stp>
        <tr r="O48" s="2"/>
      </tp>
      <tp t="s">
        <v>#N/A N/A</v>
        <stp/>
        <stp>BDH|5794694621904502502</stp>
        <tr r="E65" s="2"/>
      </tp>
      <tp t="s">
        <v>#N/A N/A</v>
        <stp/>
        <stp>BDH|1027420757048666881</stp>
        <tr r="U28" s="2"/>
      </tp>
      <tp t="s">
        <v>#N/A N/A</v>
        <stp/>
        <stp>BDH|2417971728400699962</stp>
        <tr r="D31" s="2"/>
      </tp>
      <tp t="s">
        <v>#N/A N/A</v>
        <stp/>
        <stp>BDH|8975922364121451630</stp>
        <tr r="AC65" s="2"/>
      </tp>
      <tp t="s">
        <v>#N/A N/A</v>
        <stp/>
        <stp>BDH|7555490560713402601</stp>
        <tr r="P19" s="2"/>
      </tp>
      <tp t="s">
        <v>#N/A N/A</v>
        <stp/>
        <stp>BDH|6783292654097617648</stp>
        <tr r="AB42" s="2"/>
      </tp>
      <tp t="s">
        <v>#N/A N/A</v>
        <stp/>
        <stp>BDH|1436490360662702127</stp>
        <tr r="AD23" s="2"/>
      </tp>
      <tp t="s">
        <v>#N/A N/A</v>
        <stp/>
        <stp>BDH|1865087038063070102</stp>
        <tr r="AA74" s="2"/>
      </tp>
      <tp t="s">
        <v>#N/A N/A</v>
        <stp/>
        <stp>BDH|6511238207193846717</stp>
        <tr r="D41" s="2"/>
      </tp>
      <tp t="s">
        <v>#N/A N/A</v>
        <stp/>
        <stp>BDH|8964637389777991122</stp>
        <tr r="L43" s="2"/>
      </tp>
      <tp t="s">
        <v>#N/A N/A</v>
        <stp/>
        <stp>BDH|8824461013129693434</stp>
        <tr r="J38" s="2"/>
        <tr r="J50" s="2"/>
      </tp>
      <tp t="s">
        <v>#N/A N/A</v>
        <stp/>
        <stp>BDH|8056659010137526899</stp>
        <tr r="AB7" s="2"/>
      </tp>
      <tp t="s">
        <v>#N/A N/A</v>
        <stp/>
        <stp>BDH|2989510418553085593</stp>
        <tr r="Q74" s="2"/>
      </tp>
      <tp t="s">
        <v>#N/A N/A</v>
        <stp/>
        <stp>BDH|7388714240160262492</stp>
        <tr r="O37" s="2"/>
      </tp>
      <tp t="s">
        <v>#N/A N/A</v>
        <stp/>
        <stp>BDH|1394878801161891838</stp>
        <tr r="Q64" s="2"/>
      </tp>
      <tp t="s">
        <v>#N/A N/A</v>
        <stp/>
        <stp>BDH|1375984666136769842</stp>
        <tr r="L13" s="2"/>
      </tp>
      <tp t="s">
        <v>#N/A N/A</v>
        <stp/>
        <stp>BDH|7125602191660688888</stp>
        <tr r="AD22" s="2"/>
      </tp>
      <tp t="s">
        <v>#N/A N/A</v>
        <stp/>
        <stp>BDH|5010044619860247410</stp>
        <tr r="J25" s="2"/>
      </tp>
      <tp t="s">
        <v>#N/A N/A</v>
        <stp/>
        <stp>BDH|9102132109348573014</stp>
        <tr r="AA7" s="2"/>
      </tp>
      <tp t="s">
        <v>#N/A N/A</v>
        <stp/>
        <stp>BDH|1470684317582005441</stp>
        <tr r="E27" s="2"/>
      </tp>
      <tp t="s">
        <v>#N/A N/A</v>
        <stp/>
        <stp>BDH|2448878081287943544</stp>
        <tr r="P24" s="2"/>
      </tp>
      <tp t="s">
        <v>#N/A N/A</v>
        <stp/>
        <stp>BDH|3665454156804859618</stp>
        <tr r="Z17" s="2"/>
      </tp>
      <tp t="s">
        <v>#N/A N/A</v>
        <stp/>
        <stp>BDH|9843124690254592535</stp>
        <tr r="AC66" s="2"/>
      </tp>
      <tp t="s">
        <v>#N/A N/A</v>
        <stp/>
        <stp>BDH|4062688145443649570</stp>
        <tr r="V70" s="2"/>
      </tp>
      <tp t="s">
        <v>#N/A N/A</v>
        <stp/>
        <stp>BDH|1835126423533538118</stp>
        <tr r="N70" s="2"/>
      </tp>
      <tp t="s">
        <v>#N/A N/A</v>
        <stp/>
        <stp>BDH|9733804958637095326</stp>
        <tr r="Z53" s="2"/>
      </tp>
      <tp t="s">
        <v>#N/A N/A</v>
        <stp/>
        <stp>BDH|1796043101934782578</stp>
        <tr r="R52" s="2"/>
      </tp>
      <tp t="s">
        <v>#N/A N/A</v>
        <stp/>
        <stp>BDH|4579651017193542006</stp>
        <tr r="AA60" s="2"/>
      </tp>
      <tp t="s">
        <v>#N/A N/A</v>
        <stp/>
        <stp>BDH|9427143693767454656</stp>
        <tr r="H19" s="2"/>
      </tp>
      <tp t="s">
        <v>#N/A N/A</v>
        <stp/>
        <stp>BDH|8021501890153710755</stp>
        <tr r="Q24" s="2"/>
      </tp>
      <tp t="s">
        <v>#N/A N/A</v>
        <stp/>
        <stp>BDH|2119465776062333301</stp>
        <tr r="H6" s="2"/>
      </tp>
      <tp t="s">
        <v>#N/A N/A</v>
        <stp/>
        <stp>BDH|7835195276030205179</stp>
        <tr r="H13" s="2"/>
      </tp>
      <tp t="s">
        <v>#N/A N/A</v>
        <stp/>
        <stp>BDH|2865088200377246518</stp>
        <tr r="E43" s="2"/>
      </tp>
      <tp t="s">
        <v>#N/A N/A</v>
        <stp/>
        <stp>BDH|3105130045084054244</stp>
        <tr r="S48" s="2"/>
      </tp>
      <tp t="s">
        <v>#N/A N/A</v>
        <stp/>
        <stp>BDH|6729845576001117874</stp>
        <tr r="AD53" s="2"/>
      </tp>
      <tp t="s">
        <v>#N/A N/A</v>
        <stp/>
        <stp>BDH|5919437736414819674</stp>
        <tr r="D60" s="2"/>
      </tp>
      <tp t="s">
        <v>#N/A N/A</v>
        <stp/>
        <stp>BDH|5673524334854645756</stp>
        <tr r="N41" s="2"/>
      </tp>
      <tp t="s">
        <v>#N/A N/A</v>
        <stp/>
        <stp>BDH|5680459253112389602</stp>
        <tr r="Z68" s="2"/>
      </tp>
      <tp t="s">
        <v>#N/A N/A</v>
        <stp/>
        <stp>BDH|2571209676153436441</stp>
        <tr r="M14" s="2"/>
      </tp>
      <tp t="s">
        <v>#N/A N/A</v>
        <stp/>
        <stp>BDH|3311042057671776772</stp>
        <tr r="G66" s="2"/>
      </tp>
      <tp t="s">
        <v>#N/A N/A</v>
        <stp/>
        <stp>BDH|3317340878750912767</stp>
        <tr r="K38" s="2"/>
        <tr r="K50" s="2"/>
      </tp>
      <tp t="s">
        <v>#N/A N/A</v>
        <stp/>
        <stp>BDH|6469857281224458244</stp>
        <tr r="H72" s="2"/>
      </tp>
      <tp t="s">
        <v>#N/A N/A</v>
        <stp/>
        <stp>BDH|1441350054273354461</stp>
        <tr r="F20" s="2"/>
      </tp>
      <tp t="s">
        <v>#N/A N/A</v>
        <stp/>
        <stp>BDH|3363631431145731361</stp>
        <tr r="N31" s="2"/>
      </tp>
      <tp t="s">
        <v>#N/A N/A</v>
        <stp/>
        <stp>BDH|2157899029401381927</stp>
        <tr r="S49" s="2"/>
      </tp>
      <tp t="s">
        <v>#N/A N/A</v>
        <stp/>
        <stp>BDH|3047364712876694728</stp>
        <tr r="AC8" s="2"/>
      </tp>
      <tp t="s">
        <v>#N/A N/A</v>
        <stp/>
        <stp>BDH|9433049587728732905</stp>
        <tr r="C58" s="2"/>
      </tp>
      <tp t="s">
        <v>#N/A N/A</v>
        <stp/>
        <stp>BDH|7295814839325973937</stp>
        <tr r="T44" s="2"/>
      </tp>
      <tp t="s">
        <v>#N/A N/A</v>
        <stp/>
        <stp>BDH|7069031527974685137</stp>
        <tr r="W70" s="2"/>
      </tp>
      <tp t="s">
        <v>#N/A N/A</v>
        <stp/>
        <stp>BDH|1442716855063526047</stp>
        <tr r="L48" s="2"/>
      </tp>
      <tp t="s">
        <v>#N/A N/A</v>
        <stp/>
        <stp>BDH|5588373746611321360</stp>
        <tr r="W57" s="2"/>
      </tp>
      <tp t="s">
        <v>#N/A N/A</v>
        <stp/>
        <stp>BDH|7761586288309215332</stp>
        <tr r="U58" s="2"/>
      </tp>
      <tp t="s">
        <v>#N/A N/A</v>
        <stp/>
        <stp>BDH|3377110342290264640</stp>
        <tr r="P65" s="2"/>
      </tp>
      <tp t="s">
        <v>#N/A N/A</v>
        <stp/>
        <stp>BDH|2737773992144540816</stp>
        <tr r="L55" s="2"/>
      </tp>
      <tp t="s">
        <v>#N/A N/A</v>
        <stp/>
        <stp>BDH|9400410476509028352</stp>
        <tr r="Z28" s="2"/>
      </tp>
      <tp t="s">
        <v>#N/A N/A</v>
        <stp/>
        <stp>BDH|4720165457823380333</stp>
        <tr r="F57" s="2"/>
      </tp>
      <tp t="s">
        <v>#N/A N/A</v>
        <stp/>
        <stp>BDH|2071342725102311143</stp>
        <tr r="F64" s="2"/>
      </tp>
      <tp t="s">
        <v>#N/A N/A</v>
        <stp/>
        <stp>BDH|1663620312102194415</stp>
        <tr r="S14" s="2"/>
      </tp>
      <tp t="s">
        <v>#N/A N/A</v>
        <stp/>
        <stp>BDH|8527861021745391772</stp>
        <tr r="F74" s="2"/>
      </tp>
      <tp t="s">
        <v>#N/A N/A</v>
        <stp/>
        <stp>BDH|4913011156495132484</stp>
        <tr r="M7" s="2"/>
      </tp>
      <tp t="s">
        <v>#N/A N/A</v>
        <stp/>
        <stp>BDH|8613617593434718341</stp>
        <tr r="Z57" s="2"/>
      </tp>
      <tp t="s">
        <v>#N/A N/A</v>
        <stp/>
        <stp>BDH|4973851829356463866</stp>
        <tr r="AA22" s="2"/>
      </tp>
      <tp t="s">
        <v>#N/A N/A</v>
        <stp/>
        <stp>BDH|3280428324873199629</stp>
        <tr r="T45" s="2"/>
      </tp>
      <tp t="s">
        <v>#N/A N/A</v>
        <stp/>
        <stp>BDH|4790158717153654748</stp>
        <tr r="AC70" s="2"/>
      </tp>
      <tp t="s">
        <v>#N/A N/A</v>
        <stp/>
        <stp>BDH|7708857386235318235</stp>
        <tr r="E17" s="2"/>
      </tp>
      <tp t="s">
        <v>#N/A N/A</v>
        <stp/>
        <stp>BDH|1029662661059562861</stp>
        <tr r="Q55" s="2"/>
      </tp>
      <tp t="s">
        <v>#N/A N/A</v>
        <stp/>
        <stp>BDH|8526248095510939396</stp>
        <tr r="D49" s="2"/>
      </tp>
      <tp t="s">
        <v>#N/A N/A</v>
        <stp/>
        <stp>BDH|2407505473845282505</stp>
        <tr r="H25" s="2"/>
      </tp>
      <tp t="s">
        <v>#N/A N/A</v>
        <stp/>
        <stp>BDH|7427434153501276730</stp>
        <tr r="W28" s="2"/>
      </tp>
      <tp t="s">
        <v>#N/A N/A</v>
        <stp/>
        <stp>BDH|1877685416196054032</stp>
        <tr r="K6" s="2"/>
      </tp>
      <tp t="s">
        <v>#N/A N/A</v>
        <stp/>
        <stp>BDH|60120246240398848</stp>
        <tr r="AC54" s="2"/>
      </tp>
      <tp t="s">
        <v>#N/A N/A</v>
        <stp/>
        <stp>BDH|2525931387362966024</stp>
        <tr r="J26" s="2"/>
      </tp>
      <tp t="s">
        <v>#N/A N/A</v>
        <stp/>
        <stp>BDH|7788144563357399694</stp>
        <tr r="O28" s="2"/>
      </tp>
      <tp t="s">
        <v>#N/A N/A</v>
        <stp/>
        <stp>BDH|8913748473370166958</stp>
        <tr r="K35" s="2"/>
      </tp>
      <tp t="s">
        <v>#N/A N/A</v>
        <stp/>
        <stp>BDH|3714741124635875259</stp>
        <tr r="H20" s="2"/>
      </tp>
      <tp t="s">
        <v>#N/A N/A</v>
        <stp/>
        <stp>BDH|3640601661892465096</stp>
        <tr r="AD28" s="2"/>
      </tp>
      <tp t="s">
        <v>#N/A N/A</v>
        <stp/>
        <stp>BDH|1696000182510719892</stp>
        <tr r="H70" s="2"/>
      </tp>
      <tp t="s">
        <v>#N/A N/A</v>
        <stp/>
        <stp>BDH|1840342035223326317</stp>
        <tr r="X20" s="2"/>
      </tp>
      <tp t="s">
        <v>#N/A N/A</v>
        <stp/>
        <stp>BDH|5826900897426345272</stp>
        <tr r="K11" s="2"/>
      </tp>
      <tp t="s">
        <v>#N/A N/A</v>
        <stp/>
        <stp>BDH|6023583785068447226</stp>
        <tr r="M39" s="2"/>
      </tp>
      <tp t="s">
        <v>#N/A N/A</v>
        <stp/>
        <stp>BDH|4351590649297117395</stp>
        <tr r="K37" s="2"/>
      </tp>
      <tp t="s">
        <v>#N/A N/A</v>
        <stp/>
        <stp>BDH|2267311400610957013</stp>
        <tr r="I13" s="2"/>
      </tp>
      <tp t="s">
        <v>#N/A N/A</v>
        <stp/>
        <stp>BDH|5664943144778725191</stp>
        <tr r="G42" s="2"/>
      </tp>
      <tp t="s">
        <v>#N/A N/A</v>
        <stp/>
        <stp>BDH|7400556190978093293</stp>
        <tr r="S13" s="2"/>
      </tp>
      <tp t="s">
        <v>#N/A N/A</v>
        <stp/>
        <stp>BDH|4161527553635834000</stp>
        <tr r="AD40" s="2"/>
      </tp>
      <tp t="s">
        <v>#N/A N/A</v>
        <stp/>
        <stp>BDH|6316079361611526084</stp>
        <tr r="O36" s="2"/>
      </tp>
      <tp t="s">
        <v>#N/A N/A</v>
        <stp/>
        <stp>BDH|4143724221599341986</stp>
        <tr r="AC12" s="2"/>
      </tp>
      <tp t="s">
        <v>#N/A N/A</v>
        <stp/>
        <stp>BDH|9088587635236159823</stp>
        <tr r="I12" s="2"/>
      </tp>
      <tp t="s">
        <v>#N/A N/A</v>
        <stp/>
        <stp>BDH|3287383301589444815</stp>
        <tr r="Q19" s="2"/>
      </tp>
      <tp t="s">
        <v>#N/A N/A</v>
        <stp/>
        <stp>BDH|5081198304320599564</stp>
        <tr r="AD42" s="2"/>
      </tp>
      <tp t="s">
        <v>#N/A N/A</v>
        <stp/>
        <stp>BDH|4191689621530153160</stp>
        <tr r="L21" s="2"/>
      </tp>
      <tp t="s">
        <v>#N/A N/A</v>
        <stp/>
        <stp>BDH|3039416463601994149</stp>
        <tr r="I35" s="2"/>
      </tp>
      <tp t="s">
        <v>#N/A N/A</v>
        <stp/>
        <stp>BDH|2109596371305437424</stp>
        <tr r="U19" s="2"/>
      </tp>
      <tp t="s">
        <v>#N/A N/A</v>
        <stp/>
        <stp>BDH|1699912598319144919</stp>
        <tr r="H23" s="2"/>
      </tp>
      <tp t="s">
        <v>#N/A N/A</v>
        <stp/>
        <stp>BDH|7312698356344647155</stp>
        <tr r="R35" s="2"/>
      </tp>
      <tp t="s">
        <v>#N/A N/A</v>
        <stp/>
        <stp>BDH|4128215237252991613</stp>
        <tr r="V38" s="2"/>
        <tr r="V50" s="2"/>
      </tp>
      <tp t="s">
        <v>#N/A N/A</v>
        <stp/>
        <stp>BDH|2242043415373829173</stp>
        <tr r="V53" s="2"/>
      </tp>
      <tp t="s">
        <v>#N/A N/A</v>
        <stp/>
        <stp>BDH|6441260203577894251</stp>
        <tr r="I57" s="2"/>
      </tp>
      <tp t="s">
        <v>#N/A N/A</v>
        <stp/>
        <stp>BDH|1798488432737689061</stp>
        <tr r="U57" s="2"/>
      </tp>
      <tp t="s">
        <v>#N/A N/A</v>
        <stp/>
        <stp>BDH|5049568226733521079</stp>
        <tr r="S21" s="2"/>
      </tp>
      <tp t="s">
        <v>#N/A N/A</v>
        <stp/>
        <stp>BDH|1942187108181801032</stp>
        <tr r="AA53" s="2"/>
      </tp>
      <tp t="s">
        <v>#N/A N/A</v>
        <stp/>
        <stp>BDH|1881284167927648334</stp>
        <tr r="T35" s="2"/>
      </tp>
      <tp t="s">
        <v>#N/A N/A</v>
        <stp/>
        <stp>BDH|3306076048875685380</stp>
        <tr r="AD64" s="2"/>
      </tp>
      <tp t="s">
        <v>#N/A N/A</v>
        <stp/>
        <stp>BDH|1272357910611277379</stp>
        <tr r="AA58" s="2"/>
      </tp>
      <tp t="s">
        <v>#N/A N/A</v>
        <stp/>
        <stp>BDH|2968868810258575287</stp>
        <tr r="N49" s="2"/>
      </tp>
      <tp t="s">
        <v>#N/A N/A</v>
        <stp/>
        <stp>BDH|4704468177646519010</stp>
        <tr r="D65" s="2"/>
      </tp>
      <tp t="s">
        <v>#N/A N/A</v>
        <stp/>
        <stp>BDH|7000374546315602443</stp>
        <tr r="Y10" s="2"/>
      </tp>
      <tp t="s">
        <v>#N/A N/A</v>
        <stp/>
        <stp>BDH|8766322518182944975</stp>
        <tr r="P74" s="2"/>
      </tp>
      <tp t="s">
        <v>#N/A N/A</v>
        <stp/>
        <stp>BDH|1497540427327393078</stp>
        <tr r="R24" s="2"/>
      </tp>
      <tp t="s">
        <v>#N/A N/A</v>
        <stp/>
        <stp>BDH|5956290156882770125</stp>
        <tr r="V6" s="2"/>
      </tp>
      <tp t="s">
        <v>#N/A N/A</v>
        <stp/>
        <stp>BDH|6547342320044921284</stp>
        <tr r="U32" s="2"/>
      </tp>
      <tp t="s">
        <v>#N/A N/A</v>
        <stp/>
        <stp>BDH|1567650392989762659</stp>
        <tr r="W26" s="2"/>
      </tp>
      <tp t="s">
        <v>#N/A N/A</v>
        <stp/>
        <stp>BDH|5592784629620239162</stp>
        <tr r="AC40" s="2"/>
      </tp>
      <tp t="s">
        <v>#N/A N/A</v>
        <stp/>
        <stp>BDH|9522375766934121951</stp>
        <tr r="T69" s="2"/>
      </tp>
      <tp t="s">
        <v>#N/A N/A</v>
        <stp/>
        <stp>BDH|4473178957298790925</stp>
        <tr r="I46" s="2"/>
      </tp>
      <tp t="s">
        <v>#N/A N/A</v>
        <stp/>
        <stp>BDH|3672921593851691302</stp>
        <tr r="Y44" s="2"/>
      </tp>
      <tp t="s">
        <v>#N/A N/A</v>
        <stp/>
        <stp>BDH|4204435751281362524</stp>
        <tr r="L69" s="2"/>
      </tp>
      <tp t="s">
        <v>#N/A N/A</v>
        <stp/>
        <stp>BDH|3196130625483402227</stp>
        <tr r="D26" s="2"/>
      </tp>
      <tp t="s">
        <v>#N/A N/A</v>
        <stp/>
        <stp>BDH|9096855913842749379</stp>
        <tr r="I14" s="2"/>
      </tp>
      <tp t="s">
        <v>#N/A N/A</v>
        <stp/>
        <stp>BDH|6001743783298853099</stp>
        <tr r="N54" s="2"/>
      </tp>
      <tp t="s">
        <v>#N/A N/A</v>
        <stp/>
        <stp>BDH|4503822315358158458</stp>
        <tr r="P35" s="2"/>
      </tp>
      <tp t="s">
        <v>#N/A N/A</v>
        <stp/>
        <stp>BDH|5969785948442773591</stp>
        <tr r="N67" s="2"/>
      </tp>
      <tp t="s">
        <v>#N/A N/A</v>
        <stp/>
        <stp>BDH|7515216556736123748</stp>
        <tr r="AA72" s="2"/>
      </tp>
      <tp t="s">
        <v>#N/A N/A</v>
        <stp/>
        <stp>BDH|3420151582282293958</stp>
        <tr r="X13" s="2"/>
      </tp>
      <tp t="s">
        <v>#N/A N/A</v>
        <stp/>
        <stp>BDH|2264100244106524076</stp>
        <tr r="R25" s="2"/>
      </tp>
      <tp t="s">
        <v>#N/A N/A</v>
        <stp/>
        <stp>BDH|2033538616711892691</stp>
        <tr r="H49" s="2"/>
      </tp>
      <tp t="s">
        <v>#N/A N/A</v>
        <stp/>
        <stp>BDH|8993991046157352317</stp>
        <tr r="M43" s="2"/>
      </tp>
      <tp t="s">
        <v>#N/A N/A</v>
        <stp/>
        <stp>BDH|4711358599897680895</stp>
        <tr r="X38" s="2"/>
        <tr r="X50" s="2"/>
      </tp>
      <tp t="s">
        <v>#N/A N/A</v>
        <stp/>
        <stp>BDH|6471780070811898611</stp>
        <tr r="Z35" s="2"/>
      </tp>
      <tp t="s">
        <v>#N/A N/A</v>
        <stp/>
        <stp>BDH|91019021199114724</stp>
        <tr r="H66" s="2"/>
      </tp>
      <tp t="s">
        <v>#N/A N/A</v>
        <stp/>
        <stp>BDH|9314591267440109874</stp>
        <tr r="Q67" s="2"/>
      </tp>
      <tp t="s">
        <v>#N/A N/A</v>
        <stp/>
        <stp>BDH|7047528773004272386</stp>
        <tr r="M54" s="2"/>
      </tp>
      <tp t="s">
        <v>#N/A N/A</v>
        <stp/>
        <stp>BDH|2305808615039892062</stp>
        <tr r="H67" s="2"/>
      </tp>
      <tp t="s">
        <v>#N/A N/A</v>
        <stp/>
        <stp>BDH|1971038627525150440</stp>
        <tr r="E28" s="2"/>
      </tp>
      <tp t="s">
        <v>#N/A N/A</v>
        <stp/>
        <stp>BDH|3891143104442467247</stp>
        <tr r="D55" s="2"/>
      </tp>
      <tp t="s">
        <v>#N/A N/A</v>
        <stp/>
        <stp>BDH|6050097077452349136</stp>
        <tr r="AC35" s="2"/>
      </tp>
      <tp t="s">
        <v>#N/A N/A</v>
        <stp/>
        <stp>BDH|7089562341364860016</stp>
        <tr r="I67" s="2"/>
      </tp>
      <tp t="s">
        <v>#N/A N/A</v>
        <stp/>
        <stp>BDH|4059299897369415443</stp>
        <tr r="P34" s="2"/>
      </tp>
      <tp t="s">
        <v>#N/A N/A</v>
        <stp/>
        <stp>BDH|6103688202351257371</stp>
        <tr r="R53" s="2"/>
      </tp>
      <tp t="s">
        <v>#N/A N/A</v>
        <stp/>
        <stp>BDH|9989907025286584665</stp>
        <tr r="U69" s="2"/>
      </tp>
      <tp t="s">
        <v>#N/A N/A</v>
        <stp/>
        <stp>BDH|7572355767551009184</stp>
        <tr r="I44" s="2"/>
      </tp>
      <tp t="s">
        <v>#N/A N/A</v>
        <stp/>
        <stp>BDH|9996885654015832328</stp>
        <tr r="W41" s="2"/>
      </tp>
      <tp t="s">
        <v>#N/A N/A</v>
        <stp/>
        <stp>BDH|7364270705803725495</stp>
        <tr r="H7" s="2"/>
      </tp>
      <tp t="s">
        <v>#N/A N/A</v>
        <stp/>
        <stp>BDH|9648216057439789583</stp>
        <tr r="Y50" s="2"/>
        <tr r="Y38" s="2"/>
      </tp>
      <tp t="s">
        <v>#N/A N/A</v>
        <stp/>
        <stp>BDH|3937539421667578128</stp>
        <tr r="Y19" s="2"/>
      </tp>
      <tp t="s">
        <v>#N/A N/A</v>
        <stp/>
        <stp>BDH|9595767169989312359</stp>
        <tr r="X41" s="2"/>
      </tp>
      <tp t="s">
        <v>#N/A N/A</v>
        <stp/>
        <stp>BDH|4697073412864667384</stp>
        <tr r="AC69" s="2"/>
      </tp>
      <tp t="s">
        <v>#N/A N/A</v>
        <stp/>
        <stp>BDH|8458885554594125342</stp>
        <tr r="T14" s="2"/>
      </tp>
      <tp t="s">
        <v>#N/A N/A</v>
        <stp/>
        <stp>BDH|3325507553228944945</stp>
        <tr r="G37" s="2"/>
      </tp>
      <tp t="s">
        <v>#N/A N/A</v>
        <stp/>
        <stp>BDH|4847806965019806171</stp>
        <tr r="U38" s="2"/>
        <tr r="U50" s="2"/>
      </tp>
      <tp t="s">
        <v>#N/A N/A</v>
        <stp/>
        <stp>BDH|2226517845521640020</stp>
        <tr r="AA43" s="2"/>
      </tp>
      <tp t="s">
        <v>#N/A N/A</v>
        <stp/>
        <stp>BDH|4139378928365510293</stp>
        <tr r="V69" s="2"/>
      </tp>
      <tp t="s">
        <v>#N/A N/A</v>
        <stp/>
        <stp>BDH|5201583129184191406</stp>
        <tr r="I58" s="2"/>
      </tp>
      <tp t="s">
        <v>#N/A N/A</v>
        <stp/>
        <stp>BDH|1859717637860829747</stp>
        <tr r="G67" s="2"/>
      </tp>
      <tp t="s">
        <v>#N/A N/A</v>
        <stp/>
        <stp>BDH|9143610744729567025</stp>
        <tr r="C29" s="2"/>
      </tp>
      <tp t="s">
        <v>#N/A N/A</v>
        <stp/>
        <stp>BDH|2682409853574389559</stp>
        <tr r="V54" s="2"/>
      </tp>
      <tp t="s">
        <v>#N/A N/A</v>
        <stp/>
        <stp>BDH|2728624295136749946</stp>
        <tr r="E14" s="2"/>
      </tp>
      <tp t="s">
        <v>#N/A N/A</v>
        <stp/>
        <stp>BDH|2061013270791763653</stp>
        <tr r="O9" s="2"/>
      </tp>
      <tp t="s">
        <v>#N/A N/A</v>
        <stp/>
        <stp>BDH|5876494430915767556</stp>
        <tr r="O31" s="2"/>
      </tp>
      <tp t="s">
        <v>#N/A N/A</v>
        <stp/>
        <stp>BDH|5504672730861816396</stp>
        <tr r="L20" s="2"/>
      </tp>
      <tp t="s">
        <v>#N/A N/A</v>
        <stp/>
        <stp>BDH|7633223758673532192</stp>
        <tr r="F8" s="2"/>
      </tp>
      <tp t="s">
        <v>#N/A N/A</v>
        <stp/>
        <stp>BDH|1215855172199428511</stp>
        <tr r="M19" s="2"/>
      </tp>
      <tp t="s">
        <v>#N/A N/A</v>
        <stp/>
        <stp>BDH|5550377004631499520</stp>
        <tr r="N18" s="2"/>
      </tp>
      <tp t="s">
        <v>#N/A N/A</v>
        <stp/>
        <stp>BDH|5259576615742317139</stp>
        <tr r="S23" s="2"/>
      </tp>
      <tp t="s">
        <v>#N/A N/A</v>
        <stp/>
        <stp>BDH|9918819942321246681</stp>
        <tr r="O33" s="2"/>
      </tp>
      <tp t="s">
        <v>#N/A N/A</v>
        <stp/>
        <stp>BDH|9666944173835695069</stp>
        <tr r="L73" s="2"/>
      </tp>
      <tp t="s">
        <v>#N/A N/A</v>
        <stp/>
        <stp>BDH|8333767718794229894</stp>
        <tr r="T42" s="2"/>
      </tp>
      <tp t="s">
        <v>#N/A N/A</v>
        <stp/>
        <stp>BDH|4667269247213828394</stp>
        <tr r="O58" s="2"/>
      </tp>
      <tp t="s">
        <v>#N/A N/A</v>
        <stp/>
        <stp>BDH|3049523232297797016</stp>
        <tr r="C39" s="2"/>
      </tp>
      <tp t="s">
        <v>#N/A N/A</v>
        <stp/>
        <stp>BDH|6112671983462240801</stp>
        <tr r="O20" s="2"/>
      </tp>
      <tp t="s">
        <v>#N/A N/A</v>
        <stp/>
        <stp>BDH|7176622002581279247</stp>
        <tr r="AD74" s="2"/>
      </tp>
      <tp t="s">
        <v>#N/A N/A</v>
        <stp/>
        <stp>BDH|1660461727440067500</stp>
        <tr r="T12" s="2"/>
      </tp>
      <tp t="s">
        <v>#N/A N/A</v>
        <stp/>
        <stp>BDH|5016512201534129663</stp>
        <tr r="Z31" s="2"/>
      </tp>
      <tp t="s">
        <v>#N/A N/A</v>
        <stp/>
        <stp>BDH|4587559423448087946</stp>
        <tr r="Q28" s="2"/>
      </tp>
      <tp t="s">
        <v>#N/A N/A</v>
        <stp/>
        <stp>BDH|4735769606229720870</stp>
        <tr r="Y24" s="2"/>
      </tp>
      <tp t="s">
        <v>#N/A N/A</v>
        <stp/>
        <stp>BDH|2750865542295671928</stp>
        <tr r="AB17" s="2"/>
      </tp>
      <tp t="s">
        <v>#N/A N/A</v>
        <stp/>
        <stp>BDH|8230898645421021791</stp>
        <tr r="T21" s="2"/>
      </tp>
      <tp t="s">
        <v>#N/A N/A</v>
        <stp/>
        <stp>BDH|2805179319949433962</stp>
        <tr r="AB65" s="2"/>
      </tp>
      <tp t="s">
        <v>#N/A N/A</v>
        <stp/>
        <stp>BDH|4062035863410678020</stp>
        <tr r="C74" s="2"/>
      </tp>
      <tp t="s">
        <v>#N/A N/A</v>
        <stp/>
        <stp>BDH|3293263700380460348</stp>
        <tr r="Y11" s="2"/>
      </tp>
      <tp t="s">
        <v>#N/A N/A</v>
        <stp/>
        <stp>BDH|3883614114585120387</stp>
        <tr r="G19" s="2"/>
      </tp>
      <tp t="s">
        <v>#N/A N/A</v>
        <stp/>
        <stp>BDH|6538512228763097097</stp>
        <tr r="P75" s="2"/>
      </tp>
      <tp t="s">
        <v>#N/A N/A</v>
        <stp/>
        <stp>BDH|43754381789687952</stp>
        <tr r="M9" s="2"/>
      </tp>
      <tp t="s">
        <v>#N/A N/A</v>
        <stp/>
        <stp>BDH|97542694794371774</stp>
        <tr r="O65" s="2"/>
      </tp>
      <tp t="s">
        <v>#N/A N/A</v>
        <stp/>
        <stp>BDH|2008864496654302487</stp>
        <tr r="K36" s="2"/>
      </tp>
      <tp t="s">
        <v>#N/A N/A</v>
        <stp/>
        <stp>BDH|8905459078800973860</stp>
        <tr r="M28" s="2"/>
      </tp>
      <tp t="s">
        <v>#N/A N/A</v>
        <stp/>
        <stp>BDH|3896241003823713137</stp>
        <tr r="Y74" s="2"/>
      </tp>
      <tp t="s">
        <v>#N/A N/A</v>
        <stp/>
        <stp>BDH|2380798771847967694</stp>
        <tr r="Q48" s="2"/>
      </tp>
      <tp t="s">
        <v>#N/A N/A</v>
        <stp/>
        <stp>BDH|2880249012466787420</stp>
        <tr r="AB74" s="2"/>
      </tp>
      <tp t="s">
        <v>#N/A N/A</v>
        <stp/>
        <stp>BDH|6087488102547083610</stp>
        <tr r="U30" s="2"/>
      </tp>
      <tp t="s">
        <v>#N/A N/A</v>
        <stp/>
        <stp>BDH|4596243536305914354</stp>
        <tr r="K19" s="2"/>
      </tp>
      <tp t="s">
        <v>#N/A N/A</v>
        <stp/>
        <stp>BDH|2813349943782216461</stp>
        <tr r="Y15" s="2"/>
      </tp>
      <tp t="s">
        <v>#N/A N/A</v>
        <stp/>
        <stp>BDH|3529047517862818353</stp>
        <tr r="P53" s="2"/>
      </tp>
      <tp t="s">
        <v>#N/A N/A</v>
        <stp/>
        <stp>BDH|4195186285739232755</stp>
        <tr r="N15" s="2"/>
      </tp>
      <tp t="s">
        <v>#N/A N/A</v>
        <stp/>
        <stp>BDH|6871277608275674290</stp>
        <tr r="K46" s="2"/>
      </tp>
      <tp t="s">
        <v>#N/A N/A</v>
        <stp/>
        <stp>BDH|4113652855826031293</stp>
        <tr r="AC53" s="2"/>
      </tp>
      <tp t="s">
        <v>#N/A N/A</v>
        <stp/>
        <stp>BDH|2027337435973872264</stp>
        <tr r="Q42" s="2"/>
      </tp>
      <tp t="s">
        <v>#N/A N/A</v>
        <stp/>
        <stp>BDH|8146900942875350386</stp>
        <tr r="O14" s="2"/>
      </tp>
      <tp t="s">
        <v>#N/A N/A</v>
        <stp/>
        <stp>BDH|2760989027469136316</stp>
        <tr r="F69" s="2"/>
      </tp>
      <tp t="s">
        <v>#N/A N/A</v>
        <stp/>
        <stp>BDH|9918161216192648868</stp>
        <tr r="K43" s="2"/>
      </tp>
      <tp t="s">
        <v>#N/A N/A</v>
        <stp/>
        <stp>BDH|4785874319027856987</stp>
        <tr r="K25" s="2"/>
      </tp>
      <tp t="s">
        <v>#N/A N/A</v>
        <stp/>
        <stp>BDH|1762138127990568190</stp>
        <tr r="AD31" s="2"/>
      </tp>
      <tp t="s">
        <v>#N/A N/A</v>
        <stp/>
        <stp>BDH|1795972772139934549</stp>
        <tr r="Y45" s="2"/>
      </tp>
      <tp t="s">
        <v>#N/A N/A</v>
        <stp/>
        <stp>BDH|7056988930616365848</stp>
        <tr r="Y71" s="2"/>
      </tp>
      <tp t="s">
        <v>#N/A N/A</v>
        <stp/>
        <stp>BDH|2289845986500722182</stp>
        <tr r="R72" s="2"/>
      </tp>
      <tp t="s">
        <v>#N/A N/A</v>
        <stp/>
        <stp>BDH|4262497051454374252</stp>
        <tr r="H75" s="2"/>
      </tp>
      <tp t="s">
        <v>#N/A N/A</v>
        <stp/>
        <stp>BDH|2888202432821759114</stp>
        <tr r="AD70" s="2"/>
      </tp>
      <tp t="s">
        <v>#N/A N/A</v>
        <stp/>
        <stp>BDH|7226809861999640394</stp>
        <tr r="Q66" s="2"/>
      </tp>
      <tp t="s">
        <v>#N/A N/A</v>
        <stp/>
        <stp>BDH|6469156412546663394</stp>
        <tr r="G74" s="2"/>
      </tp>
      <tp t="s">
        <v>#N/A N/A</v>
        <stp/>
        <stp>BDH|4759508743691157795</stp>
        <tr r="D9" s="2"/>
      </tp>
      <tp t="s">
        <v>#N/A N/A</v>
        <stp/>
        <stp>BDH|4947806363258163179</stp>
        <tr r="E70" s="2"/>
      </tp>
      <tp t="s">
        <v>#N/A N/A</v>
        <stp/>
        <stp>BDH|4952934028488833468</stp>
        <tr r="Q31" s="2"/>
      </tp>
      <tp t="s">
        <v>#N/A N/A</v>
        <stp/>
        <stp>BDH|7833045141111122114</stp>
        <tr r="R18" s="2"/>
      </tp>
      <tp t="s">
        <v>#N/A N/A</v>
        <stp/>
        <stp>BDH|9366167789261861295</stp>
        <tr r="L31" s="2"/>
      </tp>
      <tp t="s">
        <v>#N/A N/A</v>
        <stp/>
        <stp>BDH|1128226778860552736</stp>
        <tr r="X52" s="2"/>
      </tp>
      <tp t="s">
        <v>#N/A N/A</v>
        <stp/>
        <stp>BDH|8933173489323066156</stp>
        <tr r="J64" s="2"/>
      </tp>
      <tp t="s">
        <v>#N/A N/A</v>
        <stp/>
        <stp>BDH|6684813223047455820</stp>
        <tr r="G23" s="2"/>
      </tp>
      <tp t="s">
        <v>#N/A N/A</v>
        <stp/>
        <stp>BDH|3471063572265353202</stp>
        <tr r="Z13" s="2"/>
      </tp>
      <tp t="s">
        <v>#N/A N/A</v>
        <stp/>
        <stp>BDH|5620176709403322482</stp>
        <tr r="F65" s="2"/>
      </tp>
      <tp t="s">
        <v>#N/A N/A</v>
        <stp/>
        <stp>BDH|5383039452152121100</stp>
        <tr r="X22" s="2"/>
      </tp>
      <tp t="s">
        <v>#N/A N/A</v>
        <stp/>
        <stp>BDH|8075782453098145197</stp>
        <tr r="T73" s="2"/>
      </tp>
      <tp t="s">
        <v>#N/A N/A</v>
        <stp/>
        <stp>BDH|8521398730899984259</stp>
        <tr r="H16" s="2"/>
      </tp>
      <tp t="s">
        <v>#N/A N/A</v>
        <stp/>
        <stp>BDH|6317843262052675937</stp>
        <tr r="D52" s="2"/>
      </tp>
      <tp t="s">
        <v>#N/A N/A</v>
        <stp/>
        <stp>BDH|8531369807909335176</stp>
        <tr r="J8" s="2"/>
      </tp>
      <tp t="s">
        <v>#N/A N/A</v>
        <stp/>
        <stp>BDH|5759208881945263949</stp>
        <tr r="M35" s="2"/>
      </tp>
      <tp t="s">
        <v>#N/A N/A</v>
        <stp/>
        <stp>BDH|9432686368019764339</stp>
        <tr r="H17" s="2"/>
      </tp>
      <tp t="s">
        <v>#N/A N/A</v>
        <stp/>
        <stp>BDH|7696916821686720917</stp>
        <tr r="L68" s="2"/>
      </tp>
      <tp t="s">
        <v>#N/A N/A</v>
        <stp/>
        <stp>BDH|4230541957264463359</stp>
        <tr r="R36" s="2"/>
      </tp>
      <tp t="s">
        <v>#N/A N/A</v>
        <stp/>
        <stp>BDH|2290129295030398966</stp>
        <tr r="U29" s="2"/>
      </tp>
      <tp t="s">
        <v>#N/A N/A</v>
        <stp/>
        <stp>BDH|5966304904334542194</stp>
        <tr r="R32" s="2"/>
      </tp>
      <tp t="s">
        <v>#N/A N/A</v>
        <stp/>
        <stp>BDH|6009407830586334422</stp>
        <tr r="P68" s="2"/>
      </tp>
      <tp t="s">
        <v>#N/A N/A</v>
        <stp/>
        <stp>BDH|1441715665194021715</stp>
        <tr r="R54" s="2"/>
      </tp>
      <tp t="s">
        <v>#N/A N/A</v>
        <stp/>
        <stp>BDH|5948821148458043255</stp>
        <tr r="I43" s="2"/>
      </tp>
      <tp t="s">
        <v>#N/A N/A</v>
        <stp/>
        <stp>BDH|4882147176522803343</stp>
        <tr r="L17" s="2"/>
      </tp>
      <tp t="s">
        <v>#N/A N/A</v>
        <stp/>
        <stp>BDH|9359114095396122412</stp>
        <tr r="T28" s="2"/>
      </tp>
      <tp t="s">
        <v>#N/A N/A</v>
        <stp/>
        <stp>BDH|5797467271094367141</stp>
        <tr r="J65" s="2"/>
      </tp>
      <tp t="s">
        <v>#N/A N/A</v>
        <stp/>
        <stp>BDH|3799061030781160273</stp>
        <tr r="R69" s="2"/>
      </tp>
      <tp t="s">
        <v>#N/A N/A</v>
        <stp/>
        <stp>BDH|7133168925291509607</stp>
        <tr r="Z38" s="2"/>
        <tr r="Z50" s="2"/>
      </tp>
      <tp t="s">
        <v>#N/A N/A</v>
        <stp/>
        <stp>BDH|8008107111292017956</stp>
        <tr r="S9" s="2"/>
      </tp>
      <tp t="s">
        <v>#N/A N/A</v>
        <stp/>
        <stp>BDH|5029709654182529651</stp>
        <tr r="J30" s="2"/>
      </tp>
      <tp t="s">
        <v>#N/A N/A</v>
        <stp/>
        <stp>BDH|6215883117694882814</stp>
        <tr r="O75" s="2"/>
      </tp>
      <tp t="s">
        <v>#N/A N/A</v>
        <stp/>
        <stp>BDH|2618025835780692235</stp>
        <tr r="W13" s="2"/>
      </tp>
      <tp t="s">
        <v>#N/A N/A</v>
        <stp/>
        <stp>BDH|7678116936421763733</stp>
        <tr r="D46" s="2"/>
      </tp>
      <tp t="s">
        <v>#N/A N/A</v>
        <stp/>
        <stp>BDH|6716959891586507339</stp>
        <tr r="N23" s="2"/>
      </tp>
      <tp t="s">
        <v>#N/A N/A</v>
        <stp/>
        <stp>BDH|1115908985905228634</stp>
        <tr r="AD60" s="2"/>
      </tp>
      <tp t="s">
        <v>#N/A N/A</v>
        <stp/>
        <stp>BDH|4513341574651370238</stp>
        <tr r="I40" s="2"/>
      </tp>
      <tp t="s">
        <v>#N/A N/A</v>
        <stp/>
        <stp>BDH|4729771610163205279</stp>
        <tr r="U72" s="2"/>
      </tp>
      <tp t="s">
        <v>#N/A N/A</v>
        <stp/>
        <stp>BDH|3464658432511453423</stp>
        <tr r="Z8" s="2"/>
      </tp>
      <tp t="s">
        <v>#N/A N/A</v>
        <stp/>
        <stp>BDH|1771924321048095116</stp>
        <tr r="U37" s="2"/>
      </tp>
      <tp t="s">
        <v>#N/A N/A</v>
        <stp/>
        <stp>BDH|532129340737835766</stp>
        <tr r="C19" s="2"/>
      </tp>
      <tp t="s">
        <v>#N/A N/A</v>
        <stp/>
        <stp>BDH|831881114614160992</stp>
        <tr r="W68" s="2"/>
      </tp>
      <tp t="s">
        <v>#N/A N/A</v>
        <stp/>
        <stp>BDH|848953233826151820</stp>
        <tr r="S46" s="2"/>
      </tp>
      <tp t="s">
        <v>#N/A N/A</v>
        <stp/>
        <stp>BDH|489560913684700488</stp>
        <tr r="V23" s="2"/>
      </tp>
      <tp t="s">
        <v>#N/A N/A</v>
        <stp/>
        <stp>BDH|862166987619097463</stp>
        <tr r="O32" s="2"/>
      </tp>
      <tp t="s">
        <v>#N/A N/A</v>
        <stp/>
        <stp>BDH|703283676568466943</stp>
        <tr r="N73" s="2"/>
      </tp>
      <tp t="s">
        <v>#N/A N/A</v>
        <stp/>
        <stp>BDH|906392026983339652</stp>
        <tr r="F33" s="2"/>
      </tp>
      <tp t="s">
        <v>#N/A N/A</v>
        <stp/>
        <stp>BDH|699346435500572429</stp>
        <tr r="J7" s="2"/>
      </tp>
      <tp t="s">
        <v>#N/A N/A</v>
        <stp/>
        <stp>BDH|227633613486242514</stp>
        <tr r="R68" s="2"/>
      </tp>
      <tp t="s">
        <v>#N/A N/A</v>
        <stp/>
        <stp>BDH|994227215382572661</stp>
        <tr r="K23" s="2"/>
      </tp>
      <tp t="s">
        <v>#N/A N/A</v>
        <stp/>
        <stp>BDH|572422809122247161</stp>
        <tr r="AC57" s="2"/>
      </tp>
      <tp t="s">
        <v>#N/A N/A</v>
        <stp/>
        <stp>BDH|255144987167542905</stp>
        <tr r="J18" s="2"/>
      </tp>
      <tp t="s">
        <v>#N/A N/A</v>
        <stp/>
        <stp>BDH|583069666891771043</stp>
        <tr r="E66" s="2"/>
      </tp>
      <tp t="s">
        <v>#N/A N/A</v>
        <stp/>
        <stp>BDH|364551836298516932</stp>
        <tr r="AC15" s="2"/>
      </tp>
      <tp t="s">
        <v>#N/A N/A</v>
        <stp/>
        <stp>BDH|546759931460857382</stp>
        <tr r="H9" s="2"/>
      </tp>
      <tp t="s">
        <v>#N/A N/A</v>
        <stp/>
        <stp>BDH|795679731107789548</stp>
        <tr r="U20" s="2"/>
      </tp>
      <tp t="s">
        <v>#N/A N/A</v>
        <stp/>
        <stp>BDH|736758196748113162</stp>
        <tr r="E34" s="2"/>
      </tp>
      <tp t="s">
        <v>#N/A N/A</v>
        <stp/>
        <stp>BDH|129579828187420679</stp>
        <tr r="F44" s="2"/>
      </tp>
      <tp t="s">
        <v>#N/A N/A</v>
        <stp/>
        <stp>BDH|891747223167698477</stp>
        <tr r="W18" s="2"/>
      </tp>
      <tp t="s">
        <v>#N/A N/A</v>
        <stp/>
        <stp>BDH|736518028526720727</stp>
        <tr r="U59" s="2"/>
      </tp>
      <tp t="s">
        <v>#N/A N/A</v>
        <stp/>
        <stp>BDH|816105226421137447</stp>
        <tr r="Z52" s="2"/>
      </tp>
      <tp t="s">
        <v>#N/A N/A</v>
        <stp/>
        <stp>BDH|823713579536424033</stp>
        <tr r="J20" s="2"/>
      </tp>
      <tp t="s">
        <v>#N/A N/A</v>
        <stp/>
        <stp>BDH|419344562222718123</stp>
        <tr r="D16" s="2"/>
      </tp>
      <tp t="s">
        <v>#N/A N/A</v>
        <stp/>
        <stp>BDH|491733311736425633</stp>
        <tr r="M42" s="2"/>
      </tp>
      <tp t="s">
        <v>#N/A N/A</v>
        <stp/>
        <stp>BDH|923952635145394988</stp>
        <tr r="E21" s="2"/>
      </tp>
      <tp t="s">
        <v>#N/A N/A</v>
        <stp/>
        <stp>BDH|144359354983344311</stp>
        <tr r="X37" s="2"/>
      </tp>
      <tp t="s">
        <v>#N/A N/A</v>
        <stp/>
        <stp>BDH|468851223869943586</stp>
        <tr r="K45" s="2"/>
      </tp>
      <tp t="s">
        <v>#N/A N/A</v>
        <stp/>
        <stp>BDH|963373089849189394</stp>
        <tr r="G13" s="2"/>
      </tp>
      <tp t="s">
        <v>#N/A N/A</v>
        <stp/>
        <stp>BDH|621128359301505410</stp>
        <tr r="Y59" s="2"/>
      </tp>
      <tp t="s">
        <v>#N/A N/A</v>
        <stp/>
        <stp>BDH|382360680743940964</stp>
        <tr r="Q6" s="2"/>
      </tp>
      <tp t="s">
        <v>#N/A N/A</v>
        <stp/>
        <stp>BDH|110403135846735076</stp>
        <tr r="I9" s="2"/>
      </tp>
      <tp t="s">
        <v>#N/A N/A</v>
        <stp/>
        <stp>BDH|948992596384939599</stp>
        <tr r="F49" s="2"/>
      </tp>
      <tp t="s">
        <v>#N/A N/A</v>
        <stp/>
        <stp>BDH|307522900893682776</stp>
        <tr r="P25" s="2"/>
      </tp>
      <tp t="s">
        <v>#N/A N/A</v>
        <stp/>
        <stp>BDH|389651907271442675</stp>
        <tr r="L39" s="2"/>
      </tp>
      <tp t="s">
        <v>#N/A N/A</v>
        <stp/>
        <stp>BDH|121592260253303030</stp>
        <tr r="M24" s="2"/>
      </tp>
      <tp t="s">
        <v>#N/A N/A</v>
        <stp/>
        <stp>BDH|114661380277050928</stp>
        <tr r="P57" s="2"/>
      </tp>
      <tp t="s">
        <v>#N/A N/A</v>
        <stp/>
        <stp>BDH|263146923741002224</stp>
        <tr r="O43" s="2"/>
      </tp>
      <tp t="s">
        <v>#N/A N/A</v>
        <stp/>
        <stp>BDH|808853564788155684</stp>
        <tr r="V57" s="2"/>
      </tp>
      <tp t="s">
        <v>#N/A N/A</v>
        <stp/>
        <stp>BDH|821703798106953888</stp>
        <tr r="M29" s="2"/>
      </tp>
      <tp t="s">
        <v>#N/A N/A</v>
        <stp/>
        <stp>BDH|841645202914582104</stp>
        <tr r="U7" s="2"/>
      </tp>
      <tp t="s">
        <v>#N/A N/A</v>
        <stp/>
        <stp>BDH|816708704426901229</stp>
        <tr r="J33" s="2"/>
      </tp>
      <tp t="s">
        <v>#N/A N/A</v>
        <stp/>
        <stp>BDH|160585532602143679</stp>
        <tr r="K32" s="2"/>
      </tp>
      <tp t="s">
        <v>#N/A N/A</v>
        <stp/>
        <stp>BDH|484546106215045285</stp>
        <tr r="Q15" s="2"/>
      </tp>
      <tp t="s">
        <v>#N/A N/A</v>
        <stp/>
        <stp>BDH|612884059686900907</stp>
        <tr r="Q12" s="2"/>
      </tp>
      <tp t="s">
        <v>#N/A N/A</v>
        <stp/>
        <stp>BDH|857830334278296129</stp>
        <tr r="H29" s="2"/>
      </tp>
      <tp t="s">
        <v>#N/A N/A</v>
        <stp/>
        <stp>BDH|580094655723927484</stp>
        <tr r="V44" s="2"/>
      </tp>
      <tp t="s">
        <v>#N/A N/A</v>
        <stp/>
        <stp>BDH|385697697347525500</stp>
        <tr r="X21" s="2"/>
      </tp>
      <tp t="s">
        <v>#N/A N/A</v>
        <stp/>
        <stp>BDH|338258863381657873</stp>
        <tr r="AC46" s="2"/>
      </tp>
      <tp t="s">
        <v>#N/A N/A</v>
        <stp/>
        <stp>BDH|780652772978331418</stp>
        <tr r="X10" s="2"/>
      </tp>
      <tp t="s">
        <v>#N/A N/A</v>
        <stp/>
        <stp>BDH|540305584487937004</stp>
        <tr r="S53" s="2"/>
      </tp>
      <tp t="s">
        <v>#N/A N/A</v>
        <stp/>
        <stp>BDH|212812860053843123</stp>
        <tr r="Q10" s="2"/>
      </tp>
      <tp t="s">
        <v>#N/A N/A</v>
        <stp/>
        <stp>BDH|770330682413040426</stp>
        <tr r="T46" s="2"/>
      </tp>
      <tp t="s">
        <v>#N/A N/A</v>
        <stp/>
        <stp>BDH|695908253678131814</stp>
        <tr r="AB8" s="2"/>
      </tp>
      <tp t="s">
        <v>#N/A N/A</v>
        <stp/>
        <stp>BDH|365847416251713700</stp>
        <tr r="AD33" s="2"/>
      </tp>
      <tp t="s">
        <v>#N/A N/A</v>
        <stp/>
        <stp>BDH|714517673779680427</stp>
        <tr r="I72" s="2"/>
      </tp>
      <tp t="s">
        <v>#N/A N/A</v>
        <stp/>
        <stp>BDH|941727370269244719</stp>
        <tr r="L24" s="2"/>
      </tp>
      <tp t="s">
        <v>#N/A N/A</v>
        <stp/>
        <stp>BDH|358563928039569017</stp>
        <tr r="AB20" s="2"/>
      </tp>
      <tp t="s">
        <v>#N/A N/A</v>
        <stp/>
        <stp>BDH|552899166583520355</stp>
        <tr r="G70" s="2"/>
      </tp>
      <tp t="s">
        <v>#N/A N/A</v>
        <stp/>
        <stp>BDH|278674443459591559</stp>
        <tr r="U48" s="2"/>
      </tp>
      <tp t="s">
        <v>#N/A N/A</v>
        <stp/>
        <stp>BDH|969433163988681491</stp>
        <tr r="N17" s="2"/>
      </tp>
      <tp t="s">
        <v>#N/A N/A</v>
        <stp/>
        <stp>BDH|595494303599425479</stp>
        <tr r="K12" s="2"/>
      </tp>
      <tp t="s">
        <v>#N/A N/A</v>
        <stp/>
        <stp>BDH|154785960249278164</stp>
        <tr r="T30" s="2"/>
      </tp>
      <tp t="s">
        <v>#N/A N/A</v>
        <stp/>
        <stp>BDH|848681680836413158</stp>
        <tr r="AC74" s="2"/>
      </tp>
      <tp t="s">
        <v>#N/A N/A</v>
        <stp/>
        <stp>BDH|810652226605035892</stp>
        <tr r="S32" s="2"/>
      </tp>
      <tp t="s">
        <v>#N/A N/A</v>
        <stp/>
        <stp>BDH|242570237177985884</stp>
        <tr r="O60" s="2"/>
      </tp>
      <tp t="s">
        <v>#N/A N/A</v>
        <stp/>
        <stp>BDH|305962744961435499</stp>
        <tr r="C37" s="2"/>
      </tp>
      <tp t="s">
        <v>#N/A N/A</v>
        <stp/>
        <stp>BDH|639400515439585485</stp>
        <tr r="C43" s="2"/>
      </tp>
      <tp t="s">
        <v>#N/A N/A</v>
        <stp/>
        <stp>BDH|227323997383114196</stp>
        <tr r="T13" s="2"/>
      </tp>
      <tp t="s">
        <v>#N/A N/A</v>
        <stp/>
        <stp>BDH|897515182672447766</stp>
        <tr r="T50" s="2"/>
        <tr r="T38" s="2"/>
      </tp>
      <tp t="s">
        <v>#N/A N/A</v>
        <stp/>
        <stp>BDH|174465373218636381</stp>
        <tr r="N10" s="2"/>
      </tp>
      <tp t="s">
        <v>#N/A N/A</v>
        <stp/>
        <stp>BDH|115910426391235258</stp>
        <tr r="D18" s="2"/>
      </tp>
      <tp t="s">
        <v>#N/A N/A</v>
        <stp/>
        <stp>BDH|454365280719625989</stp>
        <tr r="K10" s="2"/>
      </tp>
      <tp t="s">
        <v>#N/A N/A</v>
        <stp/>
        <stp>BDH|125690447859897080</stp>
        <tr r="N71" s="2"/>
      </tp>
      <tp t="s">
        <v>#N/A N/A</v>
        <stp/>
        <stp>BDH|859932325572759238</stp>
        <tr r="F58" s="2"/>
      </tp>
      <tp t="s">
        <v>#N/A N/A</v>
        <stp/>
        <stp>BDH|327575417017636833</stp>
        <tr r="D34" s="2"/>
      </tp>
      <tp t="s">
        <v>#N/A N/A</v>
        <stp/>
        <stp>BDH|601198222430790883</stp>
        <tr r="R49" s="2"/>
      </tp>
      <tp t="s">
        <v>#N/A N/A</v>
        <stp/>
        <stp>BDH|980610798423129726</stp>
        <tr r="W53" s="2"/>
      </tp>
      <tp t="s">
        <v>#N/A N/A</v>
        <stp/>
        <stp>BDH|293986974145270107</stp>
        <tr r="T37" s="2"/>
      </tp>
      <tp t="s">
        <v>#N/A N/A</v>
        <stp/>
        <stp>BDH|633727201779187497</stp>
        <tr r="D75" s="2"/>
      </tp>
      <tp t="s">
        <v>#N/A N/A</v>
        <stp/>
        <stp>BDH|178472784600834603</stp>
        <tr r="V49" s="2"/>
      </tp>
      <tp t="s">
        <v>#N/A N/A</v>
        <stp/>
        <stp>BDH|965880429640108034</stp>
        <tr r="AA34" s="2"/>
      </tp>
      <tp t="s">
        <v>#N/A N/A</v>
        <stp/>
        <stp>BDH|766225337722092965</stp>
        <tr r="Q29" s="2"/>
      </tp>
      <tp t="s">
        <v>#N/A N/A</v>
        <stp/>
        <stp>BDH|884145505048505396</stp>
        <tr r="I27" s="2"/>
      </tp>
      <tp t="s">
        <v>#N/A N/A</v>
        <stp/>
        <stp>BDH|320774874353913981</stp>
        <tr r="F26" s="2"/>
      </tp>
      <tp t="s">
        <v>#N/A N/A</v>
        <stp/>
        <stp>BDH|733660920772535</stp>
        <tr r="V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6"/>
  <sheetViews>
    <sheetView tabSelected="1" workbookViewId="0"/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66</v>
      </c>
    </row>
    <row r="6" spans="1:32" x14ac:dyDescent="0.25">
      <c r="A6" s="6" t="s">
        <v>0</v>
      </c>
      <c r="B6" s="6" t="s">
        <v>67</v>
      </c>
      <c r="C6" s="16" cm="1">
        <f t="array" ref="C6">_xll.BDH("DE US Equity","SALES_REV_TURN","FQ1 2019","FQ1 2019","Currency=USD","Period=FQ","BEST_FPERIOD_OVERRIDE=FQ","FILING_STATUS=MR","SCALING_FORMAT=MLN","FA_ADJUSTED=Adjusted","Sort=A","Dates=H","DateFormat=P","Fill=—","Direction=H","UseDPDF=Y")</f>
        <v>7984</v>
      </c>
      <c r="D6" s="16" cm="1">
        <f t="array" ref="D6">_xll.BDH("DE US Equity","SALES_REV_TURN","FQ2 2019","FQ2 2019","Currency=USD","Period=FQ","BEST_FPERIOD_OVERRIDE=FQ","FILING_STATUS=MR","SCALING_FORMAT=MLN","FA_ADJUSTED=Adjusted","Sort=A","Dates=H","DateFormat=P","Fill=—","Direction=H","UseDPDF=Y")</f>
        <v>11342</v>
      </c>
      <c r="E6" s="16" cm="1">
        <f t="array" ref="E6">_xll.BDH("DE US Equity","SALES_REV_TURN","FQ3 2019","FQ3 2019","Currency=USD","Period=FQ","BEST_FPERIOD_OVERRIDE=FQ","FILING_STATUS=MR","SCALING_FORMAT=MLN","FA_ADJUSTED=Adjusted","Sort=A","Dates=H","DateFormat=P","Fill=—","Direction=H","UseDPDF=Y")</f>
        <v>10036</v>
      </c>
      <c r="F6" s="16" cm="1">
        <f t="array" ref="F6">_xll.BDH("DE US Equity","SALES_REV_TURN","FQ4 2019","FQ4 2019","Currency=USD","Period=FQ","BEST_FPERIOD_OVERRIDE=FQ","FILING_STATUS=MR","SCALING_FORMAT=MLN","FA_ADJUSTED=Adjusted","Sort=A","Dates=H","DateFormat=P","Fill=—","Direction=H","UseDPDF=Y")</f>
        <v>9896</v>
      </c>
      <c r="G6" s="16" cm="1">
        <f t="array" ref="G6">_xll.BDH("DE US Equity","SALES_REV_TURN","FQ1 2020","FQ1 2020","Currency=USD","Period=FQ","BEST_FPERIOD_OVERRIDE=FQ","FILING_STATUS=MR","SCALING_FORMAT=MLN","FA_ADJUSTED=Adjusted","Sort=A","Dates=H","DateFormat=P","Fill=—","Direction=H","UseDPDF=Y")</f>
        <v>7631</v>
      </c>
      <c r="H6" s="16" cm="1">
        <f t="array" ref="H6">_xll.BDH("DE US Equity","SALES_REV_TURN","FQ2 2020","FQ2 2020","Currency=USD","Period=FQ","BEST_FPERIOD_OVERRIDE=FQ","FILING_STATUS=MR","SCALING_FORMAT=MLN","FA_ADJUSTED=Adjusted","Sort=A","Dates=H","DateFormat=P","Fill=—","Direction=H","UseDPDF=Y")</f>
        <v>9253</v>
      </c>
      <c r="I6" s="16" cm="1">
        <f t="array" ref="I6">_xll.BDH("DE US Equity","SALES_REV_TURN","FQ3 2020","FQ3 2020","Currency=USD","Period=FQ","BEST_FPERIOD_OVERRIDE=FQ","FILING_STATUS=MR","SCALING_FORMAT=MLN","FA_ADJUSTED=Adjusted","Sort=A","Dates=H","DateFormat=P","Fill=—","Direction=H","UseDPDF=Y")</f>
        <v>8925</v>
      </c>
      <c r="J6" s="16" cm="1">
        <f t="array" ref="J6">_xll.BDH("DE US Equity","SALES_REV_TURN","FQ4 2020","FQ4 2020","Currency=USD","Period=FQ","BEST_FPERIOD_OVERRIDE=FQ","FILING_STATUS=MR","SCALING_FORMAT=MLN","FA_ADJUSTED=Adjusted","Sort=A","Dates=H","DateFormat=P","Fill=—","Direction=H","UseDPDF=Y")</f>
        <v>9731</v>
      </c>
      <c r="K6" s="16" cm="1">
        <f t="array" ref="K6">_xll.BDH("DE US Equity","SALES_REV_TURN","FQ1 2021","FQ1 2021","Currency=USD","Period=FQ","BEST_FPERIOD_OVERRIDE=FQ","FILING_STATUS=MR","SCALING_FORMAT=MLN","FA_ADJUSTED=Adjusted","Sort=A","Dates=H","DateFormat=P","Fill=—","Direction=H","UseDPDF=Y")</f>
        <v>9112</v>
      </c>
      <c r="L6" s="16" cm="1">
        <f t="array" ref="L6">_xll.BDH("DE US Equity","SALES_REV_TURN","FQ2 2021","FQ2 2021","Currency=USD","Period=FQ","BEST_FPERIOD_OVERRIDE=FQ","FILING_STATUS=MR","SCALING_FORMAT=MLN","FA_ADJUSTED=Adjusted","Sort=A","Dates=H","DateFormat=P","Fill=—","Direction=H","UseDPDF=Y")</f>
        <v>12058</v>
      </c>
      <c r="M6" s="16" cm="1">
        <f t="array" ref="M6">_xll.BDH("DE US Equity","SALES_REV_TURN","FQ3 2021","FQ3 2021","Currency=USD","Period=FQ","BEST_FPERIOD_OVERRIDE=FQ","FILING_STATUS=MR","SCALING_FORMAT=MLN","FA_ADJUSTED=Adjusted","Sort=A","Dates=H","DateFormat=P","Fill=—","Direction=H","UseDPDF=Y")</f>
        <v>11527</v>
      </c>
      <c r="N6" s="16" cm="1">
        <f t="array" ref="N6">_xll.BDH("DE US Equity","SALES_REV_TURN","FQ4 2021","FQ4 2021","Currency=USD","Period=FQ","BEST_FPERIOD_OVERRIDE=FQ","FILING_STATUS=MR","SCALING_FORMAT=MLN","FA_ADJUSTED=Adjusted","Sort=A","Dates=H","DateFormat=P","Fill=—","Direction=H","UseDPDF=Y")</f>
        <v>11327</v>
      </c>
      <c r="O6" s="16" cm="1">
        <f t="array" ref="O6">_xll.BDH("DE US Equity","SALES_REV_TURN","FQ1 2022","FQ1 2022","Currency=USD","Period=FQ","BEST_FPERIOD_OVERRIDE=FQ","FILING_STATUS=MR","SCALING_FORMAT=MLN","FA_ADJUSTED=Adjusted","Sort=A","Dates=H","DateFormat=P","Fill=—","Direction=H","UseDPDF=Y")</f>
        <v>9569</v>
      </c>
      <c r="P6" s="16" cm="1">
        <f t="array" ref="P6">_xll.BDH("DE US Equity","SALES_REV_TURN","FQ2 2022","FQ2 2022","Currency=USD","Period=FQ","BEST_FPERIOD_OVERRIDE=FQ","FILING_STATUS=MR","SCALING_FORMAT=MLN","FA_ADJUSTED=Adjusted","Sort=A","Dates=H","DateFormat=P","Fill=—","Direction=H","UseDPDF=Y")</f>
        <v>13370</v>
      </c>
      <c r="Q6" s="16" cm="1">
        <f t="array" ref="Q6">_xll.BDH("DE US Equity","SALES_REV_TURN","FQ3 2022","FQ3 2022","Currency=USD","Period=FQ","BEST_FPERIOD_OVERRIDE=FQ","FILING_STATUS=MR","SCALING_FORMAT=MLN","FA_ADJUSTED=Adjusted","Sort=A","Dates=H","DateFormat=P","Fill=—","Direction=H","UseDPDF=Y")</f>
        <v>14102</v>
      </c>
      <c r="R6" s="16" cm="1">
        <f t="array" ref="R6">_xll.BDH("DE US Equity","SALES_REV_TURN","FQ4 2022","FQ4 2022","Currency=USD","Period=FQ","BEST_FPERIOD_OVERRIDE=FQ","FILING_STATUS=MR","SCALING_FORMAT=MLN","FA_ADJUSTED=Adjusted","Sort=A","Dates=H","DateFormat=P","Fill=—","Direction=H","UseDPDF=Y")</f>
        <v>15536</v>
      </c>
      <c r="S6" s="16" cm="1">
        <f t="array" ref="S6">_xll.BDH("DE US Equity","SALES_REV_TURN","FQ1 2023","FQ1 2023","Currency=USD","Period=FQ","BEST_FPERIOD_OVERRIDE=FQ","FILING_STATUS=MR","SCALING_FORMAT=MLN","FA_ADJUSTED=Adjusted","Sort=A","Dates=H","DateFormat=P","Fill=—","Direction=H","UseDPDF=Y")</f>
        <v>12652</v>
      </c>
      <c r="T6" s="16" cm="1">
        <f t="array" ref="T6">_xll.BDH("DE US Equity","SALES_REV_TURN","FQ2 2023","FQ2 2023","Currency=USD","Period=FQ","BEST_FPERIOD_OVERRIDE=FQ","FILING_STATUS=MR","SCALING_FORMAT=MLN","FA_ADJUSTED=Adjusted","Sort=A","Dates=H","DateFormat=P","Fill=—","Direction=H","UseDPDF=Y")</f>
        <v>17387</v>
      </c>
      <c r="U6" s="16" cm="1">
        <f t="array" ref="U6">_xll.BDH("DE US Equity","SALES_REV_TURN","FQ3 2023","FQ3 2023","Currency=USD","Period=FQ","BEST_FPERIOD_OVERRIDE=FQ","FILING_STATUS=MR","SCALING_FORMAT=MLN","FA_ADJUSTED=Adjusted","Sort=A","Dates=H","DateFormat=P","Fill=—","Direction=H","UseDPDF=Y")</f>
        <v>15801</v>
      </c>
      <c r="V6" s="16" cm="1">
        <f t="array" ref="V6">_xll.BDH("DE US Equity","SALES_REV_TURN","FQ4 2023","FQ4 2023","Currency=USD","Period=FQ","BEST_FPERIOD_OVERRIDE=FQ","FILING_STATUS=MR","SCALING_FORMAT=MLN","FA_ADJUSTED=Adjusted","Sort=A","Dates=H","DateFormat=P","Fill=—","Direction=H","UseDPDF=Y")</f>
        <v>15412</v>
      </c>
      <c r="W6" s="16" cm="1">
        <f t="array" ref="W6">_xll.BDH("DE US Equity","SALES_REV_TURN","FQ1 2024","FQ1 2024","Currency=USD","Period=FQ","BEST_FPERIOD_OVERRIDE=FQ","FILING_STATUS=MR","SCALING_FORMAT=MLN","FA_ADJUSTED=Adjusted","Sort=A","Dates=H","DateFormat=P","Fill=—","Direction=H","UseDPDF=Y")</f>
        <v>12185</v>
      </c>
      <c r="X6" s="16" cm="1">
        <f t="array" ref="X6">_xll.BDH("DE US Equity","SALES_REV_TURN","FQ2 2024","FQ2 2024","Currency=USD","Period=FQ","BEST_FPERIOD_OVERRIDE=FQ","FILING_STATUS=MR","SCALING_FORMAT=MLN","FA_ADJUSTED=Adjusted","Sort=A","Dates=H","DateFormat=P","Fill=—","Direction=H","UseDPDF=Y")</f>
        <v>15235</v>
      </c>
      <c r="Y6" s="16" cm="1">
        <f t="array" ref="Y6">_xll.BDH("DE US Equity","SALES_REV_TURN","FQ3 2024","FQ3 2024","Currency=USD","Period=FQ","BEST_FPERIOD_OVERRIDE=FQ","FILING_STATUS=MR","SCALING_FORMAT=MLN","FA_ADJUSTED=Adjusted","Sort=A","Dates=H","DateFormat=P","Fill=—","Direction=H","UseDPDF=Y")</f>
        <v>13152</v>
      </c>
      <c r="Z6" s="16" cm="1">
        <f t="array" ref="Z6">_xll.BDH("DE US Equity","SALES_REV_TURN","FQ4 2024","FQ4 2024","Currency=USD","Period=FQ","BEST_FPERIOD_OVERRIDE=FQ","FILING_STATUS=MR","SCALING_FORMAT=MLN","FA_ADJUSTED=Adjusted","Sort=A","Dates=H","DateFormat=P","Fill=—","Direction=H","UseDPDF=Y")</f>
        <v>11143</v>
      </c>
      <c r="AA6" s="16" cm="1">
        <f t="array" ref="AA6">_xll.BDH("DE US Equity","SALES_REV_TURN","FQ1 2025","FQ1 2025","Currency=USD","Period=FQ","BEST_FPERIOD_OVERRIDE=FQ","FILING_STATUS=MR","SCALING_FORMAT=MLN","FA_ADJUSTED=Adjusted","Sort=A","Dates=H","DateFormat=P","Fill=—","Direction=H","UseDPDF=Y")</f>
        <v>8508</v>
      </c>
      <c r="AB6" s="16" cm="1">
        <f t="array" ref="AB6">_xll.BDH("DE US Equity","SALES_REV_TURN","FQ2 2025","FQ2 2025","Currency=USD","Period=FQ","BEST_FPERIOD_OVERRIDE=FQ","FILING_STATUS=MR","SCALING_FORMAT=MLN","FA_ADJUSTED=Adjusted","Sort=A","Dates=H","DateFormat=P","Fill=—","Direction=H","UseDPDF=Y")</f>
        <v>12763</v>
      </c>
      <c r="AC6" s="16" cm="1">
        <f t="array" ref="AC6">_xll.BDH("DE US Equity","SALES_REV_TURN","FQ3 2025","FQ3 2025","Currency=USD","Period=FQ","BEST_FPERIOD_OVERRIDE=FQ","FILING_STATUS=MR","SCALING_FORMAT=MLN","FA_ADJUSTED=Adjusted","Sort=A","Dates=H","DateFormat=P","Fill=—","Direction=H","UseDPDF=Y")</f>
        <v>12018</v>
      </c>
      <c r="AD6" s="16" cm="1">
        <f t="array" ref="AD6">_xll.BDH("DE US Equity","SALES_REV_TURN","FQ4 2025","FQ4 2025","Currency=USD","Period=FQ","BEST_FPERIOD_OVERRIDE=FQ","FILING_STATUS=MR","SCALING_FORMAT=MLN","FA_ADJUSTED=Adjusted","Sort=A","Dates=H","DateFormat=P","Fill=—","Direction=H","UseDPDF=Y")</f>
        <v>12394</v>
      </c>
      <c r="AE6" s="16">
        <v>7592.8125</v>
      </c>
      <c r="AF6" s="16">
        <v>11396.1875</v>
      </c>
    </row>
    <row r="7" spans="1:32" x14ac:dyDescent="0.25">
      <c r="A7" s="10" t="s">
        <v>68</v>
      </c>
      <c r="B7" s="10" t="s">
        <v>69</v>
      </c>
      <c r="C7" s="13" cm="1">
        <f t="array" ref="C7">_xll.BDH("DE US Equity","IS_SALES_AND_SERVICES_REVENUES","FQ1 2019","FQ1 2019","Currency=USD","Period=FQ","BEST_FPERIOD_OVERRIDE=FQ","FILING_STATUS=MR","SCALING_FORMAT=MLN","FA_ADJUSTED=Adjusted","Sort=A","Dates=H","DateFormat=P","Fill=—","Direction=H","UseDPDF=Y")</f>
        <v>6941</v>
      </c>
      <c r="D7" s="13" cm="1">
        <f t="array" ref="D7">_xll.BDH("DE US Equity","IS_SALES_AND_SERVICES_REVENUES","FQ2 2019","FQ2 2019","Currency=USD","Period=FQ","BEST_FPERIOD_OVERRIDE=FQ","FILING_STATUS=MR","SCALING_FORMAT=MLN","FA_ADJUSTED=Adjusted","Sort=A","Dates=H","DateFormat=P","Fill=—","Direction=H","UseDPDF=Y")</f>
        <v>10273</v>
      </c>
      <c r="E7" s="13" cm="1">
        <f t="array" ref="E7">_xll.BDH("DE US Equity","IS_SALES_AND_SERVICES_REVENUES","FQ3 2019","FQ3 2019","Currency=USD","Period=FQ","BEST_FPERIOD_OVERRIDE=FQ","FILING_STATUS=MR","SCALING_FORMAT=MLN","FA_ADJUSTED=Adjusted","Sort=A","Dates=H","DateFormat=P","Fill=—","Direction=H","UseDPDF=Y")</f>
        <v>8969</v>
      </c>
      <c r="F7" s="13" cm="1">
        <f t="array" ref="F7">_xll.BDH("DE US Equity","IS_SALES_AND_SERVICES_REVENUES","FQ4 2019","FQ4 2019","Currency=USD","Period=FQ","BEST_FPERIOD_OVERRIDE=FQ","FILING_STATUS=MR","SCALING_FORMAT=MLN","FA_ADJUSTED=Adjusted","Sort=A","Dates=H","DateFormat=P","Fill=—","Direction=H","UseDPDF=Y")</f>
        <v>8703</v>
      </c>
      <c r="G7" s="13" cm="1">
        <f t="array" ref="G7">_xll.BDH("DE US Equity","IS_SALES_AND_SERVICES_REVENUES","FQ1 2020","FQ1 2020","Currency=USD","Period=FQ","BEST_FPERIOD_OVERRIDE=FQ","FILING_STATUS=MR","SCALING_FORMAT=MLN","FA_ADJUSTED=Adjusted","Sort=A","Dates=H","DateFormat=P","Fill=—","Direction=H","UseDPDF=Y")</f>
        <v>6530</v>
      </c>
      <c r="H7" s="13" cm="1">
        <f t="array" ref="H7">_xll.BDH("DE US Equity","IS_SALES_AND_SERVICES_REVENUES","FQ2 2020","FQ2 2020","Currency=USD","Period=FQ","BEST_FPERIOD_OVERRIDE=FQ","FILING_STATUS=MR","SCALING_FORMAT=MLN","FA_ADJUSTED=Adjusted","Sort=A","Dates=H","DateFormat=P","Fill=—","Direction=H","UseDPDF=Y")</f>
        <v>8224</v>
      </c>
      <c r="I7" s="13" cm="1">
        <f t="array" ref="I7">_xll.BDH("DE US Equity","IS_SALES_AND_SERVICES_REVENUES","FQ3 2020","FQ3 2020","Currency=USD","Period=FQ","BEST_FPERIOD_OVERRIDE=FQ","FILING_STATUS=MR","SCALING_FORMAT=MLN","FA_ADJUSTED=Adjusted","Sort=A","Dates=H","DateFormat=P","Fill=—","Direction=H","UseDPDF=Y")</f>
        <v>7859</v>
      </c>
      <c r="J7" s="13" cm="1">
        <f t="array" ref="J7">_xll.BDH("DE US Equity","IS_SALES_AND_SERVICES_REVENUES","FQ4 2020","FQ4 2020","Currency=USD","Period=FQ","BEST_FPERIOD_OVERRIDE=FQ","FILING_STATUS=MR","SCALING_FORMAT=MLN","FA_ADJUSTED=Adjusted","Sort=A","Dates=H","DateFormat=P","Fill=—","Direction=H","UseDPDF=Y")</f>
        <v>8659</v>
      </c>
      <c r="K7" s="13" cm="1">
        <f t="array" ref="K7">_xll.BDH("DE US Equity","IS_SALES_AND_SERVICES_REVENUES","FQ1 2021","FQ1 2021","Currency=USD","Period=FQ","BEST_FPERIOD_OVERRIDE=FQ","FILING_STATUS=MR","SCALING_FORMAT=MLN","FA_ADJUSTED=Adjusted","Sort=A","Dates=H","DateFormat=P","Fill=—","Direction=H","UseDPDF=Y")</f>
        <v>8051</v>
      </c>
      <c r="L7" s="13" cm="1">
        <f t="array" ref="L7">_xll.BDH("DE US Equity","IS_SALES_AND_SERVICES_REVENUES","FQ2 2021","FQ2 2021","Currency=USD","Period=FQ","BEST_FPERIOD_OVERRIDE=FQ","FILING_STATUS=MR","SCALING_FORMAT=MLN","FA_ADJUSTED=Adjusted","Sort=A","Dates=H","DateFormat=P","Fill=—","Direction=H","UseDPDF=Y")</f>
        <v>10998</v>
      </c>
      <c r="M7" s="13" cm="1">
        <f t="array" ref="M7">_xll.BDH("DE US Equity","IS_SALES_AND_SERVICES_REVENUES","FQ3 2021","FQ3 2021","Currency=USD","Period=FQ","BEST_FPERIOD_OVERRIDE=FQ","FILING_STATUS=MR","SCALING_FORMAT=MLN","FA_ADJUSTED=Adjusted","Sort=A","Dates=H","DateFormat=P","Fill=—","Direction=H","UseDPDF=Y")</f>
        <v>10413</v>
      </c>
      <c r="N7" s="13" cm="1">
        <f t="array" ref="N7">_xll.BDH("DE US Equity","IS_SALES_AND_SERVICES_REVENUES","FQ4 2021","FQ4 2021","Currency=USD","Period=FQ","BEST_FPERIOD_OVERRIDE=FQ","FILING_STATUS=MR","SCALING_FORMAT=MLN","FA_ADJUSTED=Adjusted","Sort=A","Dates=H","DateFormat=P","Fill=—","Direction=H","UseDPDF=Y")</f>
        <v>10276</v>
      </c>
      <c r="O7" s="13" cm="1">
        <f t="array" ref="O7">_xll.BDH("DE US Equity","IS_SALES_AND_SERVICES_REVENUES","FQ1 2022","FQ1 2022","Currency=USD","Period=FQ","BEST_FPERIOD_OVERRIDE=FQ","FILING_STATUS=MR","SCALING_FORMAT=MLN","FA_ADJUSTED=Adjusted","Sort=A","Dates=H","DateFormat=P","Fill=—","Direction=H","UseDPDF=Y")</f>
        <v>8531</v>
      </c>
      <c r="P7" s="13" cm="1">
        <f t="array" ref="P7">_xll.BDH("DE US Equity","IS_SALES_AND_SERVICES_REVENUES","FQ2 2022","FQ2 2022","Currency=USD","Period=FQ","BEST_FPERIOD_OVERRIDE=FQ","FILING_STATUS=MR","SCALING_FORMAT=MLN","FA_ADJUSTED=Adjusted","Sort=A","Dates=H","DateFormat=P","Fill=—","Direction=H","UseDPDF=Y")</f>
        <v>12034</v>
      </c>
      <c r="Q7" s="13" cm="1">
        <f t="array" ref="Q7">_xll.BDH("DE US Equity","IS_SALES_AND_SERVICES_REVENUES","FQ3 2022","FQ3 2022","Currency=USD","Period=FQ","BEST_FPERIOD_OVERRIDE=FQ","FILING_STATUS=MR","SCALING_FORMAT=MLN","FA_ADJUSTED=Adjusted","Sort=A","Dates=H","DateFormat=P","Fill=—","Direction=H","UseDPDF=Y")</f>
        <v>13000</v>
      </c>
      <c r="R7" s="13" cm="1">
        <f t="array" ref="R7">_xll.BDH("DE US Equity","IS_SALES_AND_SERVICES_REVENUES","FQ4 2022","FQ4 2022","Currency=USD","Period=FQ","BEST_FPERIOD_OVERRIDE=FQ","FILING_STATUS=MR","SCALING_FORMAT=MLN","FA_ADJUSTED=Adjusted","Sort=A","Dates=H","DateFormat=P","Fill=—","Direction=H","UseDPDF=Y")</f>
        <v>14352</v>
      </c>
      <c r="S7" s="13" cm="1">
        <f t="array" ref="S7">_xll.BDH("DE US Equity","IS_SALES_AND_SERVICES_REVENUES","FQ1 2023","FQ1 2023","Currency=USD","Period=FQ","BEST_FPERIOD_OVERRIDE=FQ","FILING_STATUS=MR","SCALING_FORMAT=MLN","FA_ADJUSTED=Adjusted","Sort=A","Dates=H","DateFormat=P","Fill=—","Direction=H","UseDPDF=Y")</f>
        <v>11402</v>
      </c>
      <c r="T7" s="13" cm="1">
        <f t="array" ref="T7">_xll.BDH("DE US Equity","IS_SALES_AND_SERVICES_REVENUES","FQ2 2023","FQ2 2023","Currency=USD","Period=FQ","BEST_FPERIOD_OVERRIDE=FQ","FILING_STATUS=MR","SCALING_FORMAT=MLN","FA_ADJUSTED=Adjusted","Sort=A","Dates=H","DateFormat=P","Fill=—","Direction=H","UseDPDF=Y")</f>
        <v>16079</v>
      </c>
      <c r="U7" s="13" cm="1">
        <f t="array" ref="U7">_xll.BDH("DE US Equity","IS_SALES_AND_SERVICES_REVENUES","FQ3 2023","FQ3 2023","Currency=USD","Period=FQ","BEST_FPERIOD_OVERRIDE=FQ","FILING_STATUS=MR","SCALING_FORMAT=MLN","FA_ADJUSTED=Adjusted","Sort=A","Dates=H","DateFormat=P","Fill=—","Direction=H","UseDPDF=Y")</f>
        <v>14284</v>
      </c>
      <c r="V7" s="13" cm="1">
        <f t="array" ref="V7">_xll.BDH("DE US Equity","IS_SALES_AND_SERVICES_REVENUES","FQ4 2023","FQ4 2023","Currency=USD","Period=FQ","BEST_FPERIOD_OVERRIDE=FQ","FILING_STATUS=MR","SCALING_FORMAT=MLN","FA_ADJUSTED=Adjusted","Sort=A","Dates=H","DateFormat=P","Fill=—","Direction=H","UseDPDF=Y")</f>
        <v>13801</v>
      </c>
      <c r="W7" s="13" cm="1">
        <f t="array" ref="W7">_xll.BDH("DE US Equity","IS_SALES_AND_SERVICES_REVENUES","FQ1 2024","FQ1 2024","Currency=USD","Period=FQ","BEST_FPERIOD_OVERRIDE=FQ","FILING_STATUS=MR","SCALING_FORMAT=MLN","FA_ADJUSTED=Adjusted","Sort=A","Dates=H","DateFormat=P","Fill=—","Direction=H","UseDPDF=Y")</f>
        <v>10486</v>
      </c>
      <c r="X7" s="13" cm="1">
        <f t="array" ref="X7">_xll.BDH("DE US Equity","IS_SALES_AND_SERVICES_REVENUES","FQ2 2024","FQ2 2024","Currency=USD","Period=FQ","BEST_FPERIOD_OVERRIDE=FQ","FILING_STATUS=MR","SCALING_FORMAT=MLN","FA_ADJUSTED=Adjusted","Sort=A","Dates=H","DateFormat=P","Fill=—","Direction=H","UseDPDF=Y")</f>
        <v>13610</v>
      </c>
      <c r="Y7" s="13" cm="1">
        <f t="array" ref="Y7">_xll.BDH("DE US Equity","IS_SALES_AND_SERVICES_REVENUES","FQ3 2024","FQ3 2024","Currency=USD","Period=FQ","BEST_FPERIOD_OVERRIDE=FQ","FILING_STATUS=MR","SCALING_FORMAT=MLN","FA_ADJUSTED=Adjusted","Sort=A","Dates=H","DateFormat=P","Fill=—","Direction=H","UseDPDF=Y")</f>
        <v>11387</v>
      </c>
      <c r="Z7" s="13" cm="1">
        <f t="array" ref="Z7">_xll.BDH("DE US Equity","IS_SALES_AND_SERVICES_REVENUES","FQ4 2024","FQ4 2024","Currency=USD","Period=FQ","BEST_FPERIOD_OVERRIDE=FQ","FILING_STATUS=MR","SCALING_FORMAT=MLN","FA_ADJUSTED=Adjusted","Sort=A","Dates=H","DateFormat=P","Fill=—","Direction=H","UseDPDF=Y")</f>
        <v>9275</v>
      </c>
      <c r="AA7" s="13" cm="1">
        <f t="array" ref="AA7">_xll.BDH("DE US Equity","IS_SALES_AND_SERVICES_REVENUES","FQ1 2025","FQ1 2025","Currency=USD","Period=FQ","BEST_FPERIOD_OVERRIDE=FQ","FILING_STATUS=MR","SCALING_FORMAT=MLN","FA_ADJUSTED=Adjusted","Sort=A","Dates=H","DateFormat=P","Fill=—","Direction=H","UseDPDF=Y")</f>
        <v>6809</v>
      </c>
      <c r="AB7" s="13" cm="1">
        <f t="array" ref="AB7">_xll.BDH("DE US Equity","IS_SALES_AND_SERVICES_REVENUES","FQ2 2025","FQ2 2025","Currency=USD","Period=FQ","BEST_FPERIOD_OVERRIDE=FQ","FILING_STATUS=MR","SCALING_FORMAT=MLN","FA_ADJUSTED=Adjusted","Sort=A","Dates=H","DateFormat=P","Fill=—","Direction=H","UseDPDF=Y")</f>
        <v>11171</v>
      </c>
      <c r="AC7" s="13" cm="1">
        <f t="array" ref="AC7">_xll.BDH("DE US Equity","IS_SALES_AND_SERVICES_REVENUES","FQ3 2025","FQ3 2025","Currency=USD","Period=FQ","BEST_FPERIOD_OVERRIDE=FQ","FILING_STATUS=MR","SCALING_FORMAT=MLN","FA_ADJUSTED=Adjusted","Sort=A","Dates=H","DateFormat=P","Fill=—","Direction=H","UseDPDF=Y")</f>
        <v>10357</v>
      </c>
      <c r="AD7" s="13" cm="1">
        <f t="array" ref="AD7">_xll.BDH("DE US Equity","IS_SALES_AND_SERVICES_REVENUES","FQ4 2025","FQ4 2025","Currency=USD","Period=FQ","BEST_FPERIOD_OVERRIDE=FQ","FILING_STATUS=MR","SCALING_FORMAT=MLN","FA_ADJUSTED=Adjusted","Sort=A","Dates=H","DateFormat=P","Fill=—","Direction=H","UseDPDF=Y")</f>
        <v>10579</v>
      </c>
      <c r="AE7" s="13"/>
      <c r="AF7" s="13"/>
    </row>
    <row r="8" spans="1:32" x14ac:dyDescent="0.25">
      <c r="A8" s="10" t="s">
        <v>70</v>
      </c>
      <c r="B8" s="10" t="s">
        <v>71</v>
      </c>
      <c r="C8" s="13" cm="1">
        <f t="array" ref="C8">_xll.BDH("DE US Equity","IS_ADJUSTED_FIN_SUBSIDIARY_REV","FQ1 2019","FQ1 2019","Currency=USD","Period=FQ","BEST_FPERIOD_OVERRIDE=FQ","FILING_STATUS=MR","SCALING_FORMAT=MLN","Sort=A","Dates=H","DateFormat=P","Fill=—","Direction=H","UseDPDF=Y")</f>
        <v>815</v>
      </c>
      <c r="D8" s="13" cm="1">
        <f t="array" ref="D8">_xll.BDH("DE US Equity","IS_ADJUSTED_FIN_SUBSIDIARY_REV","FQ2 2019","FQ2 2019","Currency=USD","Period=FQ","BEST_FPERIOD_OVERRIDE=FQ","FILING_STATUS=MR","SCALING_FORMAT=MLN","Sort=A","Dates=H","DateFormat=P","Fill=—","Direction=H","UseDPDF=Y")</f>
        <v>838</v>
      </c>
      <c r="E8" s="13" cm="1">
        <f t="array" ref="E8">_xll.BDH("DE US Equity","IS_ADJUSTED_FIN_SUBSIDIARY_REV","FQ3 2019","FQ3 2019","Currency=USD","Period=FQ","BEST_FPERIOD_OVERRIDE=FQ","FILING_STATUS=MR","SCALING_FORMAT=MLN","Sort=A","Dates=H","DateFormat=P","Fill=—","Direction=H","UseDPDF=Y")</f>
        <v>884</v>
      </c>
      <c r="F8" s="13" cm="1">
        <f t="array" ref="F8">_xll.BDH("DE US Equity","IS_ADJUSTED_FIN_SUBSIDIARY_REV","FQ4 2019","FQ4 2019","Currency=USD","Period=FQ","BEST_FPERIOD_OVERRIDE=FQ","FILING_STATUS=MR","SCALING_FORMAT=MLN","Sort=A","Dates=H","DateFormat=P","Fill=—","Direction=H","UseDPDF=Y")</f>
        <v>956</v>
      </c>
      <c r="G8" s="13" cm="1">
        <f t="array" ref="G8">_xll.BDH("DE US Equity","IS_ADJUSTED_FIN_SUBSIDIARY_REV","FQ1 2020","FQ1 2020","Currency=USD","Period=FQ","BEST_FPERIOD_OVERRIDE=FQ","FILING_STATUS=MR","SCALING_FORMAT=MLN","Sort=A","Dates=H","DateFormat=P","Fill=—","Direction=H","UseDPDF=Y")</f>
        <v>896</v>
      </c>
      <c r="H8" s="13" cm="1">
        <f t="array" ref="H8">_xll.BDH("DE US Equity","IS_ADJUSTED_FIN_SUBSIDIARY_REV","FQ2 2020","FQ2 2020","Currency=USD","Period=FQ","BEST_FPERIOD_OVERRIDE=FQ","FILING_STATUS=MR","SCALING_FORMAT=MLN","Sort=A","Dates=H","DateFormat=P","Fill=—","Direction=H","UseDPDF=Y")</f>
        <v>849</v>
      </c>
      <c r="I8" s="13" cm="1">
        <f t="array" ref="I8">_xll.BDH("DE US Equity","IS_ADJUSTED_FIN_SUBSIDIARY_REV","FQ3 2020","FQ3 2020","Currency=USD","Period=FQ","BEST_FPERIOD_OVERRIDE=FQ","FILING_STATUS=MR","SCALING_FORMAT=MLN","Sort=A","Dates=H","DateFormat=P","Fill=—","Direction=H","UseDPDF=Y")</f>
        <v>838</v>
      </c>
      <c r="J8" s="13" cm="1">
        <f t="array" ref="J8">_xll.BDH("DE US Equity","IS_ADJUSTED_FIN_SUBSIDIARY_REV","FQ4 2020","FQ4 2020","Currency=USD","Period=FQ","BEST_FPERIOD_OVERRIDE=FQ","FILING_STATUS=MR","SCALING_FORMAT=MLN","Sort=A","Dates=H","DateFormat=P","Fill=—","Direction=H","UseDPDF=Y")</f>
        <v>867</v>
      </c>
      <c r="K8" s="13" cm="1">
        <f t="array" ref="K8">_xll.BDH("DE US Equity","IS_ADJUSTED_FIN_SUBSIDIARY_REV","FQ1 2021","FQ1 2021","Currency=USD","Period=FQ","BEST_FPERIOD_OVERRIDE=FQ","FILING_STATUS=MR","SCALING_FORMAT=MLN","Sort=A","Dates=H","DateFormat=P","Fill=—","Direction=H","UseDPDF=Y")</f>
        <v>834</v>
      </c>
      <c r="L8" s="13" cm="1">
        <f t="array" ref="L8">_xll.BDH("DE US Equity","IS_ADJUSTED_FIN_SUBSIDIARY_REV","FQ2 2021","FQ2 2021","Currency=USD","Period=FQ","BEST_FPERIOD_OVERRIDE=FQ","FILING_STATUS=MR","SCALING_FORMAT=MLN","Sort=A","Dates=H","DateFormat=P","Fill=—","Direction=H","UseDPDF=Y")</f>
        <v>809</v>
      </c>
      <c r="M8" s="13" cm="1">
        <f t="array" ref="M8">_xll.BDH("DE US Equity","IS_ADJUSTED_FIN_SUBSIDIARY_REV","FQ3 2021","FQ3 2021","Currency=USD","Period=FQ","BEST_FPERIOD_OVERRIDE=FQ","FILING_STATUS=MR","SCALING_FORMAT=MLN","Sort=A","Dates=H","DateFormat=P","Fill=—","Direction=H","UseDPDF=Y")</f>
        <v>825</v>
      </c>
      <c r="N8" s="13" cm="1">
        <f t="array" ref="N8">_xll.BDH("DE US Equity","IS_ADJUSTED_FIN_SUBSIDIARY_REV","FQ4 2021","FQ4 2021","Currency=USD","Period=FQ","BEST_FPERIOD_OVERRIDE=FQ","FILING_STATUS=MR","SCALING_FORMAT=MLN","Sort=A","Dates=H","DateFormat=P","Fill=—","Direction=H","UseDPDF=Y")</f>
        <v>828</v>
      </c>
      <c r="O8" s="13" cm="1">
        <f t="array" ref="O8">_xll.BDH("DE US Equity","IS_ADJUSTED_FIN_SUBSIDIARY_REV","FQ1 2022","FQ1 2022","Currency=USD","Period=FQ","BEST_FPERIOD_OVERRIDE=FQ","FILING_STATUS=MR","SCALING_FORMAT=MLN","Sort=A","Dates=H","DateFormat=P","Fill=—","Direction=H","UseDPDF=Y")</f>
        <v>800</v>
      </c>
      <c r="P8" s="13" cm="1">
        <f t="array" ref="P8">_xll.BDH("DE US Equity","IS_ADJUSTED_FIN_SUBSIDIARY_REV","FQ2 2022","FQ2 2022","Currency=USD","Period=FQ","BEST_FPERIOD_OVERRIDE=FQ","FILING_STATUS=MR","SCALING_FORMAT=MLN","Sort=A","Dates=H","DateFormat=P","Fill=—","Direction=H","UseDPDF=Y")</f>
        <v>796</v>
      </c>
      <c r="Q8" s="13" cm="1">
        <f t="array" ref="Q8">_xll.BDH("DE US Equity","IS_ADJUSTED_FIN_SUBSIDIARY_REV","FQ3 2022","FQ3 2022","Currency=USD","Period=FQ","BEST_FPERIOD_OVERRIDE=FQ","FILING_STATUS=MR","SCALING_FORMAT=MLN","Sort=A","Dates=H","DateFormat=P","Fill=—","Direction=H","UseDPDF=Y")</f>
        <v>846</v>
      </c>
      <c r="R8" s="13" cm="1">
        <f t="array" ref="R8">_xll.BDH("DE US Equity","IS_ADJUSTED_FIN_SUBSIDIARY_REV","FQ4 2022","FQ4 2022","Currency=USD","Period=FQ","BEST_FPERIOD_OVERRIDE=FQ","FILING_STATUS=MR","SCALING_FORMAT=MLN","Sort=A","Dates=H","DateFormat=P","Fill=—","Direction=H","UseDPDF=Y")</f>
        <v>924</v>
      </c>
      <c r="S8" s="13" cm="1">
        <f t="array" ref="S8">_xll.BDH("DE US Equity","IS_ADJUSTED_FIN_SUBSIDIARY_REV","FQ1 2023","FQ1 2023","Currency=USD","Period=FQ","BEST_FPERIOD_OVERRIDE=FQ","FILING_STATUS=MR","SCALING_FORMAT=MLN","Sort=A","Dates=H","DateFormat=P","Fill=—","Direction=H","UseDPDF=Y")</f>
        <v>994</v>
      </c>
      <c r="T8" s="13" cm="1">
        <f t="array" ref="T8">_xll.BDH("DE US Equity","IS_ADJUSTED_FIN_SUBSIDIARY_REV","FQ2 2023","FQ2 2023","Currency=USD","Period=FQ","BEST_FPERIOD_OVERRIDE=FQ","FILING_STATUS=MR","SCALING_FORMAT=MLN","Sort=A","Dates=H","DateFormat=P","Fill=—","Direction=H","UseDPDF=Y")</f>
        <v>1079</v>
      </c>
      <c r="U8" s="13" cm="1">
        <f t="array" ref="U8">_xll.BDH("DE US Equity","IS_ADJUSTED_FIN_SUBSIDIARY_REV","FQ3 2023","FQ3 2023","Currency=USD","Period=FQ","BEST_FPERIOD_OVERRIDE=FQ","FILING_STATUS=MR","SCALING_FORMAT=MLN","Sort=A","Dates=H","DateFormat=P","Fill=—","Direction=H","UseDPDF=Y")</f>
        <v>1253</v>
      </c>
      <c r="V8" s="13" cm="1">
        <f t="array" ref="V8">_xll.BDH("DE US Equity","IS_ADJUSTED_FIN_SUBSIDIARY_REV","FQ4 2023","FQ4 2023","Currency=USD","Period=FQ","BEST_FPERIOD_OVERRIDE=FQ","FILING_STATUS=MR","SCALING_FORMAT=MLN","Sort=A","Dates=H","DateFormat=P","Fill=—","Direction=H","UseDPDF=Y")</f>
        <v>1357</v>
      </c>
      <c r="W8" s="13" cm="1">
        <f t="array" ref="W8">_xll.BDH("DE US Equity","IS_ADJUSTED_FIN_SUBSIDIARY_REV","FQ1 2024","FQ1 2024","Currency=USD","Period=FQ","BEST_FPERIOD_OVERRIDE=FQ","FILING_STATUS=MR","SCALING_FORMAT=MLN","Sort=A","Dates=H","DateFormat=P","Fill=—","Direction=H","UseDPDF=Y")</f>
        <v>1360</v>
      </c>
      <c r="X8" s="13" cm="1">
        <f t="array" ref="X8">_xll.BDH("DE US Equity","IS_ADJUSTED_FIN_SUBSIDIARY_REV","FQ2 2024","FQ2 2024","Currency=USD","Period=FQ","BEST_FPERIOD_OVERRIDE=FQ","FILING_STATUS=MR","SCALING_FORMAT=MLN","Sort=A","Dates=H","DateFormat=P","Fill=—","Direction=H","UseDPDF=Y")</f>
        <v>1387</v>
      </c>
      <c r="Y8" s="13" cm="1">
        <f t="array" ref="Y8">_xll.BDH("DE US Equity","IS_ADJUSTED_FIN_SUBSIDIARY_REV","FQ3 2024","FQ3 2024","Currency=USD","Period=FQ","BEST_FPERIOD_OVERRIDE=FQ","FILING_STATUS=MR","SCALING_FORMAT=MLN","Sort=A","Dates=H","DateFormat=P","Fill=—","Direction=H","UseDPDF=Y")</f>
        <v>1461</v>
      </c>
      <c r="Z8" s="13" cm="1">
        <f t="array" ref="Z8">_xll.BDH("DE US Equity","IS_ADJUSTED_FIN_SUBSIDIARY_REV","FQ4 2024","FQ4 2024","Currency=USD","Period=FQ","BEST_FPERIOD_OVERRIDE=FQ","FILING_STATUS=MR","SCALING_FORMAT=MLN","Sort=A","Dates=H","DateFormat=P","Fill=—","Direction=H","UseDPDF=Y")</f>
        <v>1551</v>
      </c>
      <c r="AA8" s="13" cm="1">
        <f t="array" ref="AA8">_xll.BDH("DE US Equity","IS_ADJUSTED_FIN_SUBSIDIARY_REV","FQ1 2025","FQ1 2025","Currency=USD","Period=FQ","BEST_FPERIOD_OVERRIDE=FQ","FILING_STATUS=MR","SCALING_FORMAT=MLN","Sort=A","Dates=H","DateFormat=P","Fill=—","Direction=H","UseDPDF=Y")</f>
        <v>1453</v>
      </c>
      <c r="AB8" s="13" cm="1">
        <f t="array" ref="AB8">_xll.BDH("DE US Equity","IS_ADJUSTED_FIN_SUBSIDIARY_REV","FQ2 2025","FQ2 2025","Currency=USD","Period=FQ","BEST_FPERIOD_OVERRIDE=FQ","FILING_STATUS=MR","SCALING_FORMAT=MLN","Sort=A","Dates=H","DateFormat=P","Fill=—","Direction=H","UseDPDF=Y")</f>
        <v>1354</v>
      </c>
      <c r="AC8" s="13" cm="1">
        <f t="array" ref="AC8">_xll.BDH("DE US Equity","IS_ADJUSTED_FIN_SUBSIDIARY_REV","FQ3 2025","FQ3 2025","Currency=USD","Period=FQ","BEST_FPERIOD_OVERRIDE=FQ","FILING_STATUS=MR","SCALING_FORMAT=MLN","Sort=A","Dates=H","DateFormat=P","Fill=—","Direction=H","UseDPDF=Y")</f>
        <v>1426</v>
      </c>
      <c r="AD8" s="13" cm="1">
        <f t="array" ref="AD8">_xll.BDH("DE US Equity","IS_ADJUSTED_FIN_SUBSIDIARY_REV","FQ4 2025","FQ4 2025","Currency=USD","Period=FQ","BEST_FPERIOD_OVERRIDE=FQ","FILING_STATUS=MR","SCALING_FORMAT=MLN","Sort=A","Dates=H","DateFormat=P","Fill=—","Direction=H","UseDPDF=Y")</f>
        <v>1515</v>
      </c>
      <c r="AE8" s="13"/>
      <c r="AF8" s="13"/>
    </row>
    <row r="9" spans="1:32" x14ac:dyDescent="0.25">
      <c r="A9" s="10" t="s">
        <v>72</v>
      </c>
      <c r="B9" s="10" t="s">
        <v>73</v>
      </c>
      <c r="C9" s="13" cm="1">
        <f t="array" ref="C9">_xll.BDH("DE US Equity","IS_OTHER_REVENUE","FQ1 2019","FQ1 2019","Currency=USD","Period=FQ","BEST_FPERIOD_OVERRIDE=FQ","FILING_STATUS=MR","SCALING_FORMAT=MLN","FA_ADJUSTED=Adjusted","Sort=A","Dates=H","DateFormat=P","Fill=—","Direction=H","UseDPDF=Y")</f>
        <v>228</v>
      </c>
      <c r="D9" s="13" cm="1">
        <f t="array" ref="D9">_xll.BDH("DE US Equity","IS_OTHER_REVENUE","FQ2 2019","FQ2 2019","Currency=USD","Period=FQ","BEST_FPERIOD_OVERRIDE=FQ","FILING_STATUS=MR","SCALING_FORMAT=MLN","FA_ADJUSTED=Adjusted","Sort=A","Dates=H","DateFormat=P","Fill=—","Direction=H","UseDPDF=Y")</f>
        <v>231</v>
      </c>
      <c r="E9" s="13" cm="1">
        <f t="array" ref="E9">_xll.BDH("DE US Equity","IS_OTHER_REVENUE","FQ3 2019","FQ3 2019","Currency=USD","Period=FQ","BEST_FPERIOD_OVERRIDE=FQ","FILING_STATUS=MR","SCALING_FORMAT=MLN","FA_ADJUSTED=Adjusted","Sort=A","Dates=H","DateFormat=P","Fill=—","Direction=H","UseDPDF=Y")</f>
        <v>183</v>
      </c>
      <c r="F9" s="13" cm="1">
        <f t="array" ref="F9">_xll.BDH("DE US Equity","IS_OTHER_REVENUE","FQ4 2019","FQ4 2019","Currency=USD","Period=FQ","BEST_FPERIOD_OVERRIDE=FQ","FILING_STATUS=MR","SCALING_FORMAT=MLN","FA_ADJUSTED=Adjusted","Sort=A","Dates=H","DateFormat=P","Fill=—","Direction=H","UseDPDF=Y")</f>
        <v>237</v>
      </c>
      <c r="G9" s="13" cm="1">
        <f t="array" ref="G9">_xll.BDH("DE US Equity","IS_OTHER_REVENUE","FQ1 2020","FQ1 2020","Currency=USD","Period=FQ","BEST_FPERIOD_OVERRIDE=FQ","FILING_STATUS=MR","SCALING_FORMAT=MLN","FA_ADJUSTED=Adjusted","Sort=A","Dates=H","DateFormat=P","Fill=—","Direction=H","UseDPDF=Y")</f>
        <v>205</v>
      </c>
      <c r="H9" s="13" cm="1">
        <f t="array" ref="H9">_xll.BDH("DE US Equity","IS_OTHER_REVENUE","FQ2 2020","FQ2 2020","Currency=USD","Period=FQ","BEST_FPERIOD_OVERRIDE=FQ","FILING_STATUS=MR","SCALING_FORMAT=MLN","FA_ADJUSTED=Adjusted","Sort=A","Dates=H","DateFormat=P","Fill=—","Direction=H","UseDPDF=Y")</f>
        <v>180</v>
      </c>
      <c r="I9" s="13" cm="1">
        <f t="array" ref="I9">_xll.BDH("DE US Equity","IS_OTHER_REVENUE","FQ3 2020","FQ3 2020","Currency=USD","Period=FQ","BEST_FPERIOD_OVERRIDE=FQ","FILING_STATUS=MR","SCALING_FORMAT=MLN","FA_ADJUSTED=Adjusted","Sort=A","Dates=H","DateFormat=P","Fill=—","Direction=H","UseDPDF=Y")</f>
        <v>228</v>
      </c>
      <c r="J9" s="13" cm="1">
        <f t="array" ref="J9">_xll.BDH("DE US Equity","IS_OTHER_REVENUE","FQ4 2020","FQ4 2020","Currency=USD","Period=FQ","BEST_FPERIOD_OVERRIDE=FQ","FILING_STATUS=MR","SCALING_FORMAT=MLN","FA_ADJUSTED=Adjusted","Sort=A","Dates=H","DateFormat=P","Fill=—","Direction=H","UseDPDF=Y")</f>
        <v>205</v>
      </c>
      <c r="K9" s="13" cm="1">
        <f t="array" ref="K9">_xll.BDH("DE US Equity","IS_OTHER_REVENUE","FQ1 2021","FQ1 2021","Currency=USD","Period=FQ","BEST_FPERIOD_OVERRIDE=FQ","FILING_STATUS=MR","SCALING_FORMAT=MLN","FA_ADJUSTED=Adjusted","Sort=A","Dates=H","DateFormat=P","Fill=—","Direction=H","UseDPDF=Y")</f>
        <v>227</v>
      </c>
      <c r="L9" s="13" cm="1">
        <f t="array" ref="L9">_xll.BDH("DE US Equity","IS_OTHER_REVENUE","FQ2 2021","FQ2 2021","Currency=USD","Period=FQ","BEST_FPERIOD_OVERRIDE=FQ","FILING_STATUS=MR","SCALING_FORMAT=MLN","FA_ADJUSTED=Adjusted","Sort=A","Dates=H","DateFormat=P","Fill=—","Direction=H","UseDPDF=Y")</f>
        <v>251</v>
      </c>
      <c r="M9" s="13" cm="1">
        <f t="array" ref="M9">_xll.BDH("DE US Equity","IS_OTHER_REVENUE","FQ3 2021","FQ3 2021","Currency=USD","Period=FQ","BEST_FPERIOD_OVERRIDE=FQ","FILING_STATUS=MR","SCALING_FORMAT=MLN","FA_ADJUSTED=Adjusted","Sort=A","Dates=H","DateFormat=P","Fill=—","Direction=H","UseDPDF=Y")</f>
        <v>289</v>
      </c>
      <c r="N9" s="13" cm="1">
        <f t="array" ref="N9">_xll.BDH("DE US Equity","IS_OTHER_REVENUE","FQ4 2021","FQ4 2021","Currency=USD","Period=FQ","BEST_FPERIOD_OVERRIDE=FQ","FILING_STATUS=MR","SCALING_FORMAT=MLN","FA_ADJUSTED=Adjusted","Sort=A","Dates=H","DateFormat=P","Fill=—","Direction=H","UseDPDF=Y")</f>
        <v>223</v>
      </c>
      <c r="O9" s="13" cm="1">
        <f t="array" ref="O9">_xll.BDH("DE US Equity","IS_OTHER_REVENUE","FQ1 2022","FQ1 2022","Currency=USD","Period=FQ","BEST_FPERIOD_OVERRIDE=FQ","FILING_STATUS=MR","SCALING_FORMAT=MLN","FA_ADJUSTED=Adjusted","Sort=A","Dates=H","DateFormat=P","Fill=—","Direction=H","UseDPDF=Y")</f>
        <v>238</v>
      </c>
      <c r="P9" s="13" cm="1">
        <f t="array" ref="P9">_xll.BDH("DE US Equity","IS_OTHER_REVENUE","FQ2 2022","FQ2 2022","Currency=USD","Period=FQ","BEST_FPERIOD_OVERRIDE=FQ","FILING_STATUS=MR","SCALING_FORMAT=MLN","FA_ADJUSTED=Adjusted","Sort=A","Dates=H","DateFormat=P","Fill=—","Direction=H","UseDPDF=Y")</f>
        <v>540</v>
      </c>
      <c r="Q9" s="13" cm="1">
        <f t="array" ref="Q9">_xll.BDH("DE US Equity","IS_OTHER_REVENUE","FQ3 2022","FQ3 2022","Currency=USD","Period=FQ","BEST_FPERIOD_OVERRIDE=FQ","FILING_STATUS=MR","SCALING_FORMAT=MLN","FA_ADJUSTED=Adjusted","Sort=A","Dates=H","DateFormat=P","Fill=—","Direction=H","UseDPDF=Y")</f>
        <v>256</v>
      </c>
      <c r="R9" s="13" cm="1">
        <f t="array" ref="R9">_xll.BDH("DE US Equity","IS_OTHER_REVENUE","FQ4 2022","FQ4 2022","Currency=USD","Period=FQ","BEST_FPERIOD_OVERRIDE=FQ","FILING_STATUS=MR","SCALING_FORMAT=MLN","FA_ADJUSTED=Adjusted","Sort=A","Dates=H","DateFormat=P","Fill=—","Direction=H","UseDPDF=Y")</f>
        <v>260</v>
      </c>
      <c r="S9" s="13" cm="1">
        <f t="array" ref="S9">_xll.BDH("DE US Equity","IS_OTHER_REVENUE","FQ1 2023","FQ1 2023","Currency=USD","Period=FQ","BEST_FPERIOD_OVERRIDE=FQ","FILING_STATUS=MR","SCALING_FORMAT=MLN","FA_ADJUSTED=Adjusted","Sort=A","Dates=H","DateFormat=P","Fill=—","Direction=H","UseDPDF=Y")</f>
        <v>256</v>
      </c>
      <c r="T9" s="13" cm="1">
        <f t="array" ref="T9">_xll.BDH("DE US Equity","IS_OTHER_REVENUE","FQ2 2023","FQ2 2023","Currency=USD","Period=FQ","BEST_FPERIOD_OVERRIDE=FQ","FILING_STATUS=MR","SCALING_FORMAT=MLN","FA_ADJUSTED=Adjusted","Sort=A","Dates=H","DateFormat=P","Fill=—","Direction=H","UseDPDF=Y")</f>
        <v>229</v>
      </c>
      <c r="U9" s="13" cm="1">
        <f t="array" ref="U9">_xll.BDH("DE US Equity","IS_OTHER_REVENUE","FQ3 2023","FQ3 2023","Currency=USD","Period=FQ","BEST_FPERIOD_OVERRIDE=FQ","FILING_STATUS=MR","SCALING_FORMAT=MLN","FA_ADJUSTED=Adjusted","Sort=A","Dates=H","DateFormat=P","Fill=—","Direction=H","UseDPDF=Y")</f>
        <v>264</v>
      </c>
      <c r="V9" s="13" cm="1">
        <f t="array" ref="V9">_xll.BDH("DE US Equity","IS_OTHER_REVENUE","FQ4 2023","FQ4 2023","Currency=USD","Period=FQ","BEST_FPERIOD_OVERRIDE=FQ","FILING_STATUS=MR","SCALING_FORMAT=MLN","FA_ADJUSTED=Adjusted","Sort=A","Dates=H","DateFormat=P","Fill=—","Direction=H","UseDPDF=Y")</f>
        <v>254</v>
      </c>
      <c r="W9" s="13" cm="1">
        <f t="array" ref="W9">_xll.BDH("DE US Equity","IS_OTHER_REVENUE","FQ1 2024","FQ1 2024","Currency=USD","Period=FQ","BEST_FPERIOD_OVERRIDE=FQ","FILING_STATUS=MR","SCALING_FORMAT=MLN","FA_ADJUSTED=Adjusted","Sort=A","Dates=H","DateFormat=P","Fill=—","Direction=H","UseDPDF=Y")</f>
        <v>339</v>
      </c>
      <c r="X9" s="13" cm="1">
        <f t="array" ref="X9">_xll.BDH("DE US Equity","IS_OTHER_REVENUE","FQ2 2024","FQ2 2024","Currency=USD","Period=FQ","BEST_FPERIOD_OVERRIDE=FQ","FILING_STATUS=MR","SCALING_FORMAT=MLN","FA_ADJUSTED=Adjusted","Sort=A","Dates=H","DateFormat=P","Fill=—","Direction=H","UseDPDF=Y")</f>
        <v>238</v>
      </c>
      <c r="Y9" s="13" cm="1">
        <f t="array" ref="Y9">_xll.BDH("DE US Equity","IS_OTHER_REVENUE","FQ3 2024","FQ3 2024","Currency=USD","Period=FQ","BEST_FPERIOD_OVERRIDE=FQ","FILING_STATUS=MR","SCALING_FORMAT=MLN","FA_ADJUSTED=Adjusted","Sort=A","Dates=H","DateFormat=P","Fill=—","Direction=H","UseDPDF=Y")</f>
        <v>304</v>
      </c>
      <c r="Z9" s="13" cm="1">
        <f t="array" ref="Z9">_xll.BDH("DE US Equity","IS_OTHER_REVENUE","FQ4 2024","FQ4 2024","Currency=USD","Period=FQ","BEST_FPERIOD_OVERRIDE=FQ","FILING_STATUS=MR","SCALING_FORMAT=MLN","FA_ADJUSTED=Adjusted","Sort=A","Dates=H","DateFormat=P","Fill=—","Direction=H","UseDPDF=Y")</f>
        <v>317</v>
      </c>
      <c r="AA9" s="13" cm="1">
        <f t="array" ref="AA9">_xll.BDH("DE US Equity","IS_OTHER_REVENUE","FQ1 2025","FQ1 2025","Currency=USD","Period=FQ","BEST_FPERIOD_OVERRIDE=FQ","FILING_STATUS=MR","SCALING_FORMAT=MLN","FA_ADJUSTED=Adjusted","Sort=A","Dates=H","DateFormat=P","Fill=—","Direction=H","UseDPDF=Y")</f>
        <v>246</v>
      </c>
      <c r="AB9" s="13" cm="1">
        <f t="array" ref="AB9">_xll.BDH("DE US Equity","IS_OTHER_REVENUE","FQ2 2025","FQ2 2025","Currency=USD","Period=FQ","BEST_FPERIOD_OVERRIDE=FQ","FILING_STATUS=MR","SCALING_FORMAT=MLN","FA_ADJUSTED=Adjusted","Sort=A","Dates=H","DateFormat=P","Fill=—","Direction=H","UseDPDF=Y")</f>
        <v>238</v>
      </c>
      <c r="AC9" s="13" cm="1">
        <f t="array" ref="AC9">_xll.BDH("DE US Equity","IS_OTHER_REVENUE","FQ3 2025","FQ3 2025","Currency=USD","Period=FQ","BEST_FPERIOD_OVERRIDE=FQ","FILING_STATUS=MR","SCALING_FORMAT=MLN","FA_ADJUSTED=Adjusted","Sort=A","Dates=H","DateFormat=P","Fill=—","Direction=H","UseDPDF=Y")</f>
        <v>235</v>
      </c>
      <c r="AD9" s="13" cm="1">
        <f t="array" ref="AD9">_xll.BDH("DE US Equity","IS_OTHER_REVENUE","FQ4 2025","FQ4 2025","Currency=USD","Period=FQ","BEST_FPERIOD_OVERRIDE=FQ","FILING_STATUS=MR","SCALING_FORMAT=MLN","FA_ADJUSTED=Adjusted","Sort=A","Dates=H","DateFormat=P","Fill=—","Direction=H","UseDPDF=Y")</f>
        <v>300</v>
      </c>
      <c r="AE9" s="13"/>
      <c r="AF9" s="13"/>
    </row>
    <row r="10" spans="1:32" x14ac:dyDescent="0.25">
      <c r="A10" s="10" t="s">
        <v>74</v>
      </c>
      <c r="B10" s="10" t="s">
        <v>75</v>
      </c>
      <c r="C10" s="13" cm="1">
        <f t="array" ref="C10">_xll.BDH("DE US Equity","IS_COGS_TO_FE_AND_PP_AND_G","FQ1 2019","FQ1 2019","Currency=USD","Period=FQ","BEST_FPERIOD_OVERRIDE=FQ","FILING_STATUS=MR","SCALING_FORMAT=MLN","FA_ADJUSTED=Adjusted","Sort=A","Dates=H","DateFormat=P","Fill=—","Direction=H","UseDPDF=Y")</f>
        <v>5432</v>
      </c>
      <c r="D10" s="13" cm="1">
        <f t="array" ref="D10">_xll.BDH("DE US Equity","IS_COGS_TO_FE_AND_PP_AND_G","FQ2 2019","FQ2 2019","Currency=USD","Period=FQ","BEST_FPERIOD_OVERRIDE=FQ","FILING_STATUS=MR","SCALING_FORMAT=MLN","FA_ADJUSTED=Adjusted","Sort=A","Dates=H","DateFormat=P","Fill=—","Direction=H","UseDPDF=Y")</f>
        <v>7755</v>
      </c>
      <c r="E10" s="13" cm="1">
        <f t="array" ref="E10">_xll.BDH("DE US Equity","IS_COGS_TO_FE_AND_PP_AND_G","FQ3 2019","FQ3 2019","Currency=USD","Period=FQ","BEST_FPERIOD_OVERRIDE=FQ","FILING_STATUS=MR","SCALING_FORMAT=MLN","FA_ADJUSTED=Adjusted","Sort=A","Dates=H","DateFormat=P","Fill=—","Direction=H","UseDPDF=Y")</f>
        <v>6870</v>
      </c>
      <c r="F10" s="13" cm="1">
        <f t="array" ref="F10">_xll.BDH("DE US Equity","IS_COGS_TO_FE_AND_PP_AND_G","FQ4 2019","FQ4 2019","Currency=USD","Period=FQ","BEST_FPERIOD_OVERRIDE=FQ","FILING_STATUS=MR","SCALING_FORMAT=MLN","FA_ADJUSTED=Adjusted","Sort=A","Dates=H","DateFormat=P","Fill=—","Direction=H","UseDPDF=Y")</f>
        <v>6735</v>
      </c>
      <c r="G10" s="13" cm="1">
        <f t="array" ref="G10">_xll.BDH("DE US Equity","IS_COGS_TO_FE_AND_PP_AND_G","FQ1 2020","FQ1 2020","Currency=USD","Period=FQ","BEST_FPERIOD_OVERRIDE=FQ","FILING_STATUS=MR","SCALING_FORMAT=MLN","FA_ADJUSTED=Adjusted","Sort=A","Dates=H","DateFormat=P","Fill=—","Direction=H","UseDPDF=Y")</f>
        <v>5038</v>
      </c>
      <c r="H10" s="13" cm="1">
        <f t="array" ref="H10">_xll.BDH("DE US Equity","IS_COGS_TO_FE_AND_PP_AND_G","FQ2 2020","FQ2 2020","Currency=USD","Period=FQ","BEST_FPERIOD_OVERRIDE=FQ","FILING_STATUS=MR","SCALING_FORMAT=MLN","FA_ADJUSTED=Adjusted","Sort=A","Dates=H","DateFormat=P","Fill=—","Direction=H","UseDPDF=Y")</f>
        <v>6294</v>
      </c>
      <c r="I10" s="13" cm="1">
        <f t="array" ref="I10">_xll.BDH("DE US Equity","IS_COGS_TO_FE_AND_PP_AND_G","FQ3 2020","FQ3 2020","Currency=USD","Period=FQ","BEST_FPERIOD_OVERRIDE=FQ","FILING_STATUS=MR","SCALING_FORMAT=MLN","FA_ADJUSTED=Adjusted","Sort=A","Dates=H","DateFormat=P","Fill=—","Direction=H","UseDPDF=Y")</f>
        <v>5831</v>
      </c>
      <c r="J10" s="13" cm="1">
        <f t="array" ref="J10">_xll.BDH("DE US Equity","IS_COGS_TO_FE_AND_PP_AND_G","FQ4 2020","FQ4 2020","Currency=USD","Period=FQ","BEST_FPERIOD_OVERRIDE=FQ","FILING_STATUS=MR","SCALING_FORMAT=MLN","FA_ADJUSTED=Adjusted","Sort=A","Dates=H","DateFormat=P","Fill=—","Direction=H","UseDPDF=Y")</f>
        <v>6432</v>
      </c>
      <c r="K10" s="13" cm="1">
        <f t="array" ref="K10">_xll.BDH("DE US Equity","IS_COGS_TO_FE_AND_PP_AND_G","FQ1 2021","FQ1 2021","Currency=USD","Period=FQ","BEST_FPERIOD_OVERRIDE=FQ","FILING_STATUS=MR","SCALING_FORMAT=MLN","FA_ADJUSTED=Adjusted","Sort=A","Dates=H","DateFormat=P","Fill=—","Direction=H","UseDPDF=Y")</f>
        <v>5813</v>
      </c>
      <c r="L10" s="13" cm="1">
        <f t="array" ref="L10">_xll.BDH("DE US Equity","IS_COGS_TO_FE_AND_PP_AND_G","FQ2 2021","FQ2 2021","Currency=USD","Period=FQ","BEST_FPERIOD_OVERRIDE=FQ","FILING_STATUS=MR","SCALING_FORMAT=MLN","FA_ADJUSTED=Adjusted","Sort=A","Dates=H","DateFormat=P","Fill=—","Direction=H","UseDPDF=Y")</f>
        <v>7928</v>
      </c>
      <c r="M10" s="13" cm="1">
        <f t="array" ref="M10">_xll.BDH("DE US Equity","IS_COGS_TO_FE_AND_PP_AND_G","FQ3 2021","FQ3 2021","Currency=USD","Period=FQ","BEST_FPERIOD_OVERRIDE=FQ","FILING_STATUS=MR","SCALING_FORMAT=MLN","FA_ADJUSTED=Adjusted","Sort=A","Dates=H","DateFormat=P","Fill=—","Direction=H","UseDPDF=Y")</f>
        <v>7574</v>
      </c>
      <c r="N10" s="13" cm="1">
        <f t="array" ref="N10">_xll.BDH("DE US Equity","IS_COGS_TO_FE_AND_PP_AND_G","FQ4 2021","FQ4 2021","Currency=USD","Period=FQ","BEST_FPERIOD_OVERRIDE=FQ","FILING_STATUS=MR","SCALING_FORMAT=MLN","FA_ADJUSTED=Adjusted","Sort=A","Dates=H","DateFormat=P","Fill=—","Direction=H","UseDPDF=Y")</f>
        <v>7801</v>
      </c>
      <c r="O10" s="13" cm="1">
        <f t="array" ref="O10">_xll.BDH("DE US Equity","IS_COGS_TO_FE_AND_PP_AND_G","FQ1 2022","FQ1 2022","Currency=USD","Period=FQ","BEST_FPERIOD_OVERRIDE=FQ","FILING_STATUS=MR","SCALING_FORMAT=MLN","FA_ADJUSTED=Adjusted","Sort=A","Dates=H","DateFormat=P","Fill=—","Direction=H","UseDPDF=Y")</f>
        <v>6695</v>
      </c>
      <c r="P10" s="13" cm="1">
        <f t="array" ref="P10">_xll.BDH("DE US Equity","IS_COGS_TO_FE_AND_PP_AND_G","FQ2 2022","FQ2 2022","Currency=USD","Period=FQ","BEST_FPERIOD_OVERRIDE=FQ","FILING_STATUS=MR","SCALING_FORMAT=MLN","FA_ADJUSTED=Adjusted","Sort=A","Dates=H","DateFormat=P","Fill=—","Direction=H","UseDPDF=Y")</f>
        <v>8918</v>
      </c>
      <c r="Q10" s="13" cm="1">
        <f t="array" ref="Q10">_xll.BDH("DE US Equity","IS_COGS_TO_FE_AND_PP_AND_G","FQ3 2022","FQ3 2022","Currency=USD","Period=FQ","BEST_FPERIOD_OVERRIDE=FQ","FILING_STATUS=MR","SCALING_FORMAT=MLN","FA_ADJUSTED=Adjusted","Sort=A","Dates=H","DateFormat=P","Fill=—","Direction=H","UseDPDF=Y")</f>
        <v>9511</v>
      </c>
      <c r="R10" s="13" cm="1">
        <f t="array" ref="R10">_xll.BDH("DE US Equity","IS_COGS_TO_FE_AND_PP_AND_G","FQ4 2022","FQ4 2022","Currency=USD","Period=FQ","BEST_FPERIOD_OVERRIDE=FQ","FILING_STATUS=MR","SCALING_FORMAT=MLN","FA_ADJUSTED=Adjusted","Sort=A","Dates=H","DateFormat=P","Fill=—","Direction=H","UseDPDF=Y")</f>
        <v>10214</v>
      </c>
      <c r="S10" s="13" cm="1">
        <f t="array" ref="S10">_xll.BDH("DE US Equity","IS_COGS_TO_FE_AND_PP_AND_G","FQ1 2023","FQ1 2023","Currency=USD","Period=FQ","BEST_FPERIOD_OVERRIDE=FQ","FILING_STATUS=MR","SCALING_FORMAT=MLN","FA_ADJUSTED=Adjusted","Sort=A","Dates=H","DateFormat=P","Fill=—","Direction=H","UseDPDF=Y")</f>
        <v>7934</v>
      </c>
      <c r="T10" s="13" cm="1">
        <f t="array" ref="T10">_xll.BDH("DE US Equity","IS_COGS_TO_FE_AND_PP_AND_G","FQ2 2023","FQ2 2023","Currency=USD","Period=FQ","BEST_FPERIOD_OVERRIDE=FQ","FILING_STATUS=MR","SCALING_FORMAT=MLN","FA_ADJUSTED=Adjusted","Sort=A","Dates=H","DateFormat=P","Fill=—","Direction=H","UseDPDF=Y")</f>
        <v>10730</v>
      </c>
      <c r="U10" s="13" cm="1">
        <f t="array" ref="U10">_xll.BDH("DE US Equity","IS_COGS_TO_FE_AND_PP_AND_G","FQ3 2023","FQ3 2023","Currency=USD","Period=FQ","BEST_FPERIOD_OVERRIDE=FQ","FILING_STATUS=MR","SCALING_FORMAT=MLN","FA_ADJUSTED=Adjusted","Sort=A","Dates=H","DateFormat=P","Fill=—","Direction=H","UseDPDF=Y")</f>
        <v>9624</v>
      </c>
      <c r="V10" s="13" cm="1">
        <f t="array" ref="V10">_xll.BDH("DE US Equity","IS_COGS_TO_FE_AND_PP_AND_G","FQ4 2023","FQ4 2023","Currency=USD","Period=FQ","BEST_FPERIOD_OVERRIDE=FQ","FILING_STATUS=MR","SCALING_FORMAT=MLN","FA_ADJUSTED=Adjusted","Sort=A","Dates=H","DateFormat=P","Fill=—","Direction=H","UseDPDF=Y")</f>
        <v>9427</v>
      </c>
      <c r="W10" s="13" cm="1">
        <f t="array" ref="W10">_xll.BDH("DE US Equity","IS_COGS_TO_FE_AND_PP_AND_G","FQ1 2024","FQ1 2024","Currency=USD","Period=FQ","BEST_FPERIOD_OVERRIDE=FQ","FILING_STATUS=MR","SCALING_FORMAT=MLN","FA_ADJUSTED=Adjusted","Sort=A","Dates=H","DateFormat=P","Fill=—","Direction=H","UseDPDF=Y")</f>
        <v>7200</v>
      </c>
      <c r="X10" s="13" cm="1">
        <f t="array" ref="X10">_xll.BDH("DE US Equity","IS_COGS_TO_FE_AND_PP_AND_G","FQ2 2024","FQ2 2024","Currency=USD","Period=FQ","BEST_FPERIOD_OVERRIDE=FQ","FILING_STATUS=MR","SCALING_FORMAT=MLN","FA_ADJUSTED=Adjusted","Sort=A","Dates=H","DateFormat=P","Fill=—","Direction=H","UseDPDF=Y")</f>
        <v>9157</v>
      </c>
      <c r="Y10" s="13" cm="1">
        <f t="array" ref="Y10">_xll.BDH("DE US Equity","IS_COGS_TO_FE_AND_PP_AND_G","FQ3 2024","FQ3 2024","Currency=USD","Period=FQ","BEST_FPERIOD_OVERRIDE=FQ","FILING_STATUS=MR","SCALING_FORMAT=MLN","FA_ADJUSTED=Adjusted","Sort=A","Dates=H","DateFormat=P","Fill=—","Direction=H","UseDPDF=Y")</f>
        <v>7848</v>
      </c>
      <c r="Z10" s="13" cm="1">
        <f t="array" ref="Z10">_xll.BDH("DE US Equity","IS_COGS_TO_FE_AND_PP_AND_G","FQ4 2024","FQ4 2024","Currency=USD","Period=FQ","BEST_FPERIOD_OVERRIDE=FQ","FILING_STATUS=MR","SCALING_FORMAT=MLN","FA_ADJUSTED=Adjusted","Sort=A","Dates=H","DateFormat=P","Fill=—","Direction=H","UseDPDF=Y")</f>
        <v>6571</v>
      </c>
      <c r="AA10" s="13" cm="1">
        <f t="array" ref="AA10">_xll.BDH("DE US Equity","IS_COGS_TO_FE_AND_PP_AND_G","FQ1 2025","FQ1 2025","Currency=USD","Period=FQ","BEST_FPERIOD_OVERRIDE=FQ","FILING_STATUS=MR","SCALING_FORMAT=MLN","FA_ADJUSTED=Adjusted","Sort=A","Dates=H","DateFormat=P","Fill=—","Direction=H","UseDPDF=Y")</f>
        <v>5037</v>
      </c>
      <c r="AB10" s="13" cm="1">
        <f t="array" ref="AB10">_xll.BDH("DE US Equity","IS_COGS_TO_FE_AND_PP_AND_G","FQ2 2025","FQ2 2025","Currency=USD","Period=FQ","BEST_FPERIOD_OVERRIDE=FQ","FILING_STATUS=MR","SCALING_FORMAT=MLN","FA_ADJUSTED=Adjusted","Sort=A","Dates=H","DateFormat=P","Fill=—","Direction=H","UseDPDF=Y")</f>
        <v>7609</v>
      </c>
      <c r="AC10" s="13" cm="1">
        <f t="array" ref="AC10">_xll.BDH("DE US Equity","IS_COGS_TO_FE_AND_PP_AND_G","FQ3 2025","FQ3 2025","Currency=USD","Period=FQ","BEST_FPERIOD_OVERRIDE=FQ","FILING_STATUS=MR","SCALING_FORMAT=MLN","FA_ADJUSTED=Adjusted","Sort=A","Dates=H","DateFormat=P","Fill=—","Direction=H","UseDPDF=Y")</f>
        <v>7570</v>
      </c>
      <c r="AD10" s="13" cm="1">
        <f t="array" ref="AD10">_xll.BDH("DE US Equity","IS_COGS_TO_FE_AND_PP_AND_G","FQ4 2025","FQ4 2025","Currency=USD","Period=FQ","BEST_FPERIOD_OVERRIDE=FQ","FILING_STATUS=MR","SCALING_FORMAT=MLN","FA_ADJUSTED=Adjusted","Sort=A","Dates=H","DateFormat=P","Fill=—","Direction=H","UseDPDF=Y")</f>
        <v>7944</v>
      </c>
      <c r="AE10" s="13"/>
      <c r="AF10" s="13"/>
    </row>
    <row r="11" spans="1:32" x14ac:dyDescent="0.25">
      <c r="A11" s="10" t="s">
        <v>76</v>
      </c>
      <c r="B11" s="10" t="s">
        <v>77</v>
      </c>
      <c r="C11" s="13" cm="1">
        <f t="array" ref="C11">_xll.BDH("DE US Equity","IS_COG_AND_SERVICES_SOLD","FQ1 2019","FQ1 2019","Currency=USD","Period=FQ","BEST_FPERIOD_OVERRIDE=FQ","FILING_STATUS=MR","SCALING_FORMAT=MLN","FA_ADJUSTED=Adjusted","Sort=A","Dates=H","DateFormat=P","Fill=—","Direction=H","UseDPDF=Y")</f>
        <v>5432</v>
      </c>
      <c r="D11" s="13" cm="1">
        <f t="array" ref="D11">_xll.BDH("DE US Equity","IS_COG_AND_SERVICES_SOLD","FQ2 2019","FQ2 2019","Currency=USD","Period=FQ","BEST_FPERIOD_OVERRIDE=FQ","FILING_STATUS=MR","SCALING_FORMAT=MLN","FA_ADJUSTED=Adjusted","Sort=A","Dates=H","DateFormat=P","Fill=—","Direction=H","UseDPDF=Y")</f>
        <v>7755</v>
      </c>
      <c r="E11" s="13" cm="1">
        <f t="array" ref="E11">_xll.BDH("DE US Equity","IS_COG_AND_SERVICES_SOLD","FQ3 2019","FQ3 2019","Currency=USD","Period=FQ","BEST_FPERIOD_OVERRIDE=FQ","FILING_STATUS=MR","SCALING_FORMAT=MLN","FA_ADJUSTED=Adjusted","Sort=A","Dates=H","DateFormat=P","Fill=—","Direction=H","UseDPDF=Y")</f>
        <v>6870</v>
      </c>
      <c r="F11" s="13" cm="1">
        <f t="array" ref="F11">_xll.BDH("DE US Equity","IS_COG_AND_SERVICES_SOLD","FQ4 2019","FQ4 2019","Currency=USD","Period=FQ","BEST_FPERIOD_OVERRIDE=FQ","FILING_STATUS=MR","SCALING_FORMAT=MLN","FA_ADJUSTED=Adjusted","Sort=A","Dates=H","DateFormat=P","Fill=—","Direction=H","UseDPDF=Y")</f>
        <v>6735</v>
      </c>
      <c r="G11" s="13" cm="1">
        <f t="array" ref="G11">_xll.BDH("DE US Equity","IS_COG_AND_SERVICES_SOLD","FQ1 2020","FQ1 2020","Currency=USD","Period=FQ","BEST_FPERIOD_OVERRIDE=FQ","FILING_STATUS=MR","SCALING_FORMAT=MLN","FA_ADJUSTED=Adjusted","Sort=A","Dates=H","DateFormat=P","Fill=—","Direction=H","UseDPDF=Y")</f>
        <v>5038</v>
      </c>
      <c r="H11" s="13" cm="1">
        <f t="array" ref="H11">_xll.BDH("DE US Equity","IS_COG_AND_SERVICES_SOLD","FQ2 2020","FQ2 2020","Currency=USD","Period=FQ","BEST_FPERIOD_OVERRIDE=FQ","FILING_STATUS=MR","SCALING_FORMAT=MLN","FA_ADJUSTED=Adjusted","Sort=A","Dates=H","DateFormat=P","Fill=—","Direction=H","UseDPDF=Y")</f>
        <v>6294</v>
      </c>
      <c r="I11" s="13" cm="1">
        <f t="array" ref="I11">_xll.BDH("DE US Equity","IS_COG_AND_SERVICES_SOLD","FQ3 2020","FQ3 2020","Currency=USD","Period=FQ","BEST_FPERIOD_OVERRIDE=FQ","FILING_STATUS=MR","SCALING_FORMAT=MLN","FA_ADJUSTED=Adjusted","Sort=A","Dates=H","DateFormat=P","Fill=—","Direction=H","UseDPDF=Y")</f>
        <v>5831</v>
      </c>
      <c r="J11" s="13" cm="1">
        <f t="array" ref="J11">_xll.BDH("DE US Equity","IS_COG_AND_SERVICES_SOLD","FQ4 2020","FQ4 2020","Currency=USD","Period=FQ","BEST_FPERIOD_OVERRIDE=FQ","FILING_STATUS=MR","SCALING_FORMAT=MLN","FA_ADJUSTED=Adjusted","Sort=A","Dates=H","DateFormat=P","Fill=—","Direction=H","UseDPDF=Y")</f>
        <v>6432</v>
      </c>
      <c r="K11" s="13" cm="1">
        <f t="array" ref="K11">_xll.BDH("DE US Equity","IS_COG_AND_SERVICES_SOLD","FQ1 2021","FQ1 2021","Currency=USD","Period=FQ","BEST_FPERIOD_OVERRIDE=FQ","FILING_STATUS=MR","SCALING_FORMAT=MLN","FA_ADJUSTED=Adjusted","Sort=A","Dates=H","DateFormat=P","Fill=—","Direction=H","UseDPDF=Y")</f>
        <v>5813</v>
      </c>
      <c r="L11" s="13" cm="1">
        <f t="array" ref="L11">_xll.BDH("DE US Equity","IS_COG_AND_SERVICES_SOLD","FQ2 2021","FQ2 2021","Currency=USD","Period=FQ","BEST_FPERIOD_OVERRIDE=FQ","FILING_STATUS=MR","SCALING_FORMAT=MLN","FA_ADJUSTED=Adjusted","Sort=A","Dates=H","DateFormat=P","Fill=—","Direction=H","UseDPDF=Y")</f>
        <v>7928</v>
      </c>
      <c r="M11" s="13" cm="1">
        <f t="array" ref="M11">_xll.BDH("DE US Equity","IS_COG_AND_SERVICES_SOLD","FQ3 2021","FQ3 2021","Currency=USD","Period=FQ","BEST_FPERIOD_OVERRIDE=FQ","FILING_STATUS=MR","SCALING_FORMAT=MLN","FA_ADJUSTED=Adjusted","Sort=A","Dates=H","DateFormat=P","Fill=—","Direction=H","UseDPDF=Y")</f>
        <v>7574</v>
      </c>
      <c r="N11" s="13" cm="1">
        <f t="array" ref="N11">_xll.BDH("DE US Equity","IS_COG_AND_SERVICES_SOLD","FQ4 2021","FQ4 2021","Currency=USD","Period=FQ","BEST_FPERIOD_OVERRIDE=FQ","FILING_STATUS=MR","SCALING_FORMAT=MLN","FA_ADJUSTED=Adjusted","Sort=A","Dates=H","DateFormat=P","Fill=—","Direction=H","UseDPDF=Y")</f>
        <v>7801</v>
      </c>
      <c r="O11" s="13" cm="1">
        <f t="array" ref="O11">_xll.BDH("DE US Equity","IS_COG_AND_SERVICES_SOLD","FQ1 2022","FQ1 2022","Currency=USD","Period=FQ","BEST_FPERIOD_OVERRIDE=FQ","FILING_STATUS=MR","SCALING_FORMAT=MLN","FA_ADJUSTED=Adjusted","Sort=A","Dates=H","DateFormat=P","Fill=—","Direction=H","UseDPDF=Y")</f>
        <v>6695</v>
      </c>
      <c r="P11" s="13" cm="1">
        <f t="array" ref="P11">_xll.BDH("DE US Equity","IS_COG_AND_SERVICES_SOLD","FQ2 2022","FQ2 2022","Currency=USD","Period=FQ","BEST_FPERIOD_OVERRIDE=FQ","FILING_STATUS=MR","SCALING_FORMAT=MLN","FA_ADJUSTED=Adjusted","Sort=A","Dates=H","DateFormat=P","Fill=—","Direction=H","UseDPDF=Y")</f>
        <v>8918</v>
      </c>
      <c r="Q11" s="13" cm="1">
        <f t="array" ref="Q11">_xll.BDH("DE US Equity","IS_COG_AND_SERVICES_SOLD","FQ3 2022","FQ3 2022","Currency=USD","Period=FQ","BEST_FPERIOD_OVERRIDE=FQ","FILING_STATUS=MR","SCALING_FORMAT=MLN","FA_ADJUSTED=Adjusted","Sort=A","Dates=H","DateFormat=P","Fill=—","Direction=H","UseDPDF=Y")</f>
        <v>9511</v>
      </c>
      <c r="R11" s="13" cm="1">
        <f t="array" ref="R11">_xll.BDH("DE US Equity","IS_COG_AND_SERVICES_SOLD","FQ4 2022","FQ4 2022","Currency=USD","Period=FQ","BEST_FPERIOD_OVERRIDE=FQ","FILING_STATUS=MR","SCALING_FORMAT=MLN","FA_ADJUSTED=Adjusted","Sort=A","Dates=H","DateFormat=P","Fill=—","Direction=H","UseDPDF=Y")</f>
        <v>10214</v>
      </c>
      <c r="S11" s="13" cm="1">
        <f t="array" ref="S11">_xll.BDH("DE US Equity","IS_COG_AND_SERVICES_SOLD","FQ1 2023","FQ1 2023","Currency=USD","Period=FQ","BEST_FPERIOD_OVERRIDE=FQ","FILING_STATUS=MR","SCALING_FORMAT=MLN","FA_ADJUSTED=Adjusted","Sort=A","Dates=H","DateFormat=P","Fill=—","Direction=H","UseDPDF=Y")</f>
        <v>7934</v>
      </c>
      <c r="T11" s="13" cm="1">
        <f t="array" ref="T11">_xll.BDH("DE US Equity","IS_COG_AND_SERVICES_SOLD","FQ2 2023","FQ2 2023","Currency=USD","Period=FQ","BEST_FPERIOD_OVERRIDE=FQ","FILING_STATUS=MR","SCALING_FORMAT=MLN","FA_ADJUSTED=Adjusted","Sort=A","Dates=H","DateFormat=P","Fill=—","Direction=H","UseDPDF=Y")</f>
        <v>10730</v>
      </c>
      <c r="U11" s="13" cm="1">
        <f t="array" ref="U11">_xll.BDH("DE US Equity","IS_COG_AND_SERVICES_SOLD","FQ3 2023","FQ3 2023","Currency=USD","Period=FQ","BEST_FPERIOD_OVERRIDE=FQ","FILING_STATUS=MR","SCALING_FORMAT=MLN","FA_ADJUSTED=Adjusted","Sort=A","Dates=H","DateFormat=P","Fill=—","Direction=H","UseDPDF=Y")</f>
        <v>9624</v>
      </c>
      <c r="V11" s="13" cm="1">
        <f t="array" ref="V11">_xll.BDH("DE US Equity","IS_COG_AND_SERVICES_SOLD","FQ4 2023","FQ4 2023","Currency=USD","Period=FQ","BEST_FPERIOD_OVERRIDE=FQ","FILING_STATUS=MR","SCALING_FORMAT=MLN","FA_ADJUSTED=Adjusted","Sort=A","Dates=H","DateFormat=P","Fill=—","Direction=H","UseDPDF=Y")</f>
        <v>9427</v>
      </c>
      <c r="W11" s="13" cm="1">
        <f t="array" ref="W11">_xll.BDH("DE US Equity","IS_COG_AND_SERVICES_SOLD","FQ1 2024","FQ1 2024","Currency=USD","Period=FQ","BEST_FPERIOD_OVERRIDE=FQ","FILING_STATUS=MR","SCALING_FORMAT=MLN","FA_ADJUSTED=Adjusted","Sort=A","Dates=H","DateFormat=P","Fill=—","Direction=H","UseDPDF=Y")</f>
        <v>7200</v>
      </c>
      <c r="X11" s="13" cm="1">
        <f t="array" ref="X11">_xll.BDH("DE US Equity","IS_COG_AND_SERVICES_SOLD","FQ2 2024","FQ2 2024","Currency=USD","Period=FQ","BEST_FPERIOD_OVERRIDE=FQ","FILING_STATUS=MR","SCALING_FORMAT=MLN","FA_ADJUSTED=Adjusted","Sort=A","Dates=H","DateFormat=P","Fill=—","Direction=H","UseDPDF=Y")</f>
        <v>9157</v>
      </c>
      <c r="Y11" s="13" cm="1">
        <f t="array" ref="Y11">_xll.BDH("DE US Equity","IS_COG_AND_SERVICES_SOLD","FQ3 2024","FQ3 2024","Currency=USD","Period=FQ","BEST_FPERIOD_OVERRIDE=FQ","FILING_STATUS=MR","SCALING_FORMAT=MLN","FA_ADJUSTED=Adjusted","Sort=A","Dates=H","DateFormat=P","Fill=—","Direction=H","UseDPDF=Y")</f>
        <v>7848</v>
      </c>
      <c r="Z11" s="13" cm="1">
        <f t="array" ref="Z11">_xll.BDH("DE US Equity","IS_COG_AND_SERVICES_SOLD","FQ4 2024","FQ4 2024","Currency=USD","Period=FQ","BEST_FPERIOD_OVERRIDE=FQ","FILING_STATUS=MR","SCALING_FORMAT=MLN","FA_ADJUSTED=Adjusted","Sort=A","Dates=H","DateFormat=P","Fill=—","Direction=H","UseDPDF=Y")</f>
        <v>6571</v>
      </c>
      <c r="AA11" s="13" cm="1">
        <f t="array" ref="AA11">_xll.BDH("DE US Equity","IS_COG_AND_SERVICES_SOLD","FQ1 2025","FQ1 2025","Currency=USD","Period=FQ","BEST_FPERIOD_OVERRIDE=FQ","FILING_STATUS=MR","SCALING_FORMAT=MLN","FA_ADJUSTED=Adjusted","Sort=A","Dates=H","DateFormat=P","Fill=—","Direction=H","UseDPDF=Y")</f>
        <v>5037</v>
      </c>
      <c r="AB11" s="13" cm="1">
        <f t="array" ref="AB11">_xll.BDH("DE US Equity","IS_COG_AND_SERVICES_SOLD","FQ2 2025","FQ2 2025","Currency=USD","Period=FQ","BEST_FPERIOD_OVERRIDE=FQ","FILING_STATUS=MR","SCALING_FORMAT=MLN","FA_ADJUSTED=Adjusted","Sort=A","Dates=H","DateFormat=P","Fill=—","Direction=H","UseDPDF=Y")</f>
        <v>7609</v>
      </c>
      <c r="AC11" s="13" cm="1">
        <f t="array" ref="AC11">_xll.BDH("DE US Equity","IS_COG_AND_SERVICES_SOLD","FQ3 2025","FQ3 2025","Currency=USD","Period=FQ","BEST_FPERIOD_OVERRIDE=FQ","FILING_STATUS=MR","SCALING_FORMAT=MLN","FA_ADJUSTED=Adjusted","Sort=A","Dates=H","DateFormat=P","Fill=—","Direction=H","UseDPDF=Y")</f>
        <v>7570</v>
      </c>
      <c r="AD11" s="13" cm="1">
        <f t="array" ref="AD11">_xll.BDH("DE US Equity","IS_COG_AND_SERVICES_SOLD","FQ4 2025","FQ4 2025","Currency=USD","Period=FQ","BEST_FPERIOD_OVERRIDE=FQ","FILING_STATUS=MR","SCALING_FORMAT=MLN","FA_ADJUSTED=Adjusted","Sort=A","Dates=H","DateFormat=P","Fill=—","Direction=H","UseDPDF=Y")</f>
        <v>7944</v>
      </c>
      <c r="AE11" s="13"/>
      <c r="AF11" s="13"/>
    </row>
    <row r="12" spans="1:32" x14ac:dyDescent="0.25">
      <c r="A12" s="6" t="s">
        <v>1</v>
      </c>
      <c r="B12" s="6" t="s">
        <v>78</v>
      </c>
      <c r="C12" s="16" cm="1">
        <f t="array" ref="C12">_xll.BDH("DE US Equity","GROSS_PROFIT","FQ1 2019","FQ1 2019","Currency=USD","Period=FQ","BEST_FPERIOD_OVERRIDE=FQ","FILING_STATUS=MR","SCALING_FORMAT=MLN","FA_ADJUSTED=Adjusted","Sort=A","Dates=H","DateFormat=P","Fill=—","Direction=H","UseDPDF=Y")</f>
        <v>2552</v>
      </c>
      <c r="D12" s="16" cm="1">
        <f t="array" ref="D12">_xll.BDH("DE US Equity","GROSS_PROFIT","FQ2 2019","FQ2 2019","Currency=USD","Period=FQ","BEST_FPERIOD_OVERRIDE=FQ","FILING_STATUS=MR","SCALING_FORMAT=MLN","FA_ADJUSTED=Adjusted","Sort=A","Dates=H","DateFormat=P","Fill=—","Direction=H","UseDPDF=Y")</f>
        <v>3587</v>
      </c>
      <c r="E12" s="16" cm="1">
        <f t="array" ref="E12">_xll.BDH("DE US Equity","GROSS_PROFIT","FQ3 2019","FQ3 2019","Currency=USD","Period=FQ","BEST_FPERIOD_OVERRIDE=FQ","FILING_STATUS=MR","SCALING_FORMAT=MLN","FA_ADJUSTED=Adjusted","Sort=A","Dates=H","DateFormat=P","Fill=—","Direction=H","UseDPDF=Y")</f>
        <v>3166</v>
      </c>
      <c r="F12" s="16" cm="1">
        <f t="array" ref="F12">_xll.BDH("DE US Equity","GROSS_PROFIT","FQ4 2019","FQ4 2019","Currency=USD","Period=FQ","BEST_FPERIOD_OVERRIDE=FQ","FILING_STATUS=MR","SCALING_FORMAT=MLN","FA_ADJUSTED=Adjusted","Sort=A","Dates=H","DateFormat=P","Fill=—","Direction=H","UseDPDF=Y")</f>
        <v>3161</v>
      </c>
      <c r="G12" s="16" cm="1">
        <f t="array" ref="G12">_xll.BDH("DE US Equity","GROSS_PROFIT","FQ1 2020","FQ1 2020","Currency=USD","Period=FQ","BEST_FPERIOD_OVERRIDE=FQ","FILING_STATUS=MR","SCALING_FORMAT=MLN","FA_ADJUSTED=Adjusted","Sort=A","Dates=H","DateFormat=P","Fill=—","Direction=H","UseDPDF=Y")</f>
        <v>2593</v>
      </c>
      <c r="H12" s="16" cm="1">
        <f t="array" ref="H12">_xll.BDH("DE US Equity","GROSS_PROFIT","FQ2 2020","FQ2 2020","Currency=USD","Period=FQ","BEST_FPERIOD_OVERRIDE=FQ","FILING_STATUS=MR","SCALING_FORMAT=MLN","FA_ADJUSTED=Adjusted","Sort=A","Dates=H","DateFormat=P","Fill=—","Direction=H","UseDPDF=Y")</f>
        <v>2959</v>
      </c>
      <c r="I12" s="16" cm="1">
        <f t="array" ref="I12">_xll.BDH("DE US Equity","GROSS_PROFIT","FQ3 2020","FQ3 2020","Currency=USD","Period=FQ","BEST_FPERIOD_OVERRIDE=FQ","FILING_STATUS=MR","SCALING_FORMAT=MLN","FA_ADJUSTED=Adjusted","Sort=A","Dates=H","DateFormat=P","Fill=—","Direction=H","UseDPDF=Y")</f>
        <v>3094</v>
      </c>
      <c r="J12" s="16" cm="1">
        <f t="array" ref="J12">_xll.BDH("DE US Equity","GROSS_PROFIT","FQ4 2020","FQ4 2020","Currency=USD","Period=FQ","BEST_FPERIOD_OVERRIDE=FQ","FILING_STATUS=MR","SCALING_FORMAT=MLN","FA_ADJUSTED=Adjusted","Sort=A","Dates=H","DateFormat=P","Fill=—","Direction=H","UseDPDF=Y")</f>
        <v>3299</v>
      </c>
      <c r="K12" s="16" cm="1">
        <f t="array" ref="K12">_xll.BDH("DE US Equity","GROSS_PROFIT","FQ1 2021","FQ1 2021","Currency=USD","Period=FQ","BEST_FPERIOD_OVERRIDE=FQ","FILING_STATUS=MR","SCALING_FORMAT=MLN","FA_ADJUSTED=Adjusted","Sort=A","Dates=H","DateFormat=P","Fill=—","Direction=H","UseDPDF=Y")</f>
        <v>3299</v>
      </c>
      <c r="L12" s="16" cm="1">
        <f t="array" ref="L12">_xll.BDH("DE US Equity","GROSS_PROFIT","FQ2 2021","FQ2 2021","Currency=USD","Period=FQ","BEST_FPERIOD_OVERRIDE=FQ","FILING_STATUS=MR","SCALING_FORMAT=MLN","FA_ADJUSTED=Adjusted","Sort=A","Dates=H","DateFormat=P","Fill=—","Direction=H","UseDPDF=Y")</f>
        <v>4130</v>
      </c>
      <c r="M12" s="16" cm="1">
        <f t="array" ref="M12">_xll.BDH("DE US Equity","GROSS_PROFIT","FQ3 2021","FQ3 2021","Currency=USD","Period=FQ","BEST_FPERIOD_OVERRIDE=FQ","FILING_STATUS=MR","SCALING_FORMAT=MLN","FA_ADJUSTED=Adjusted","Sort=A","Dates=H","DateFormat=P","Fill=—","Direction=H","UseDPDF=Y")</f>
        <v>3953</v>
      </c>
      <c r="N12" s="16" cm="1">
        <f t="array" ref="N12">_xll.BDH("DE US Equity","GROSS_PROFIT","FQ4 2021","FQ4 2021","Currency=USD","Period=FQ","BEST_FPERIOD_OVERRIDE=FQ","FILING_STATUS=MR","SCALING_FORMAT=MLN","FA_ADJUSTED=Adjusted","Sort=A","Dates=H","DateFormat=P","Fill=—","Direction=H","UseDPDF=Y")</f>
        <v>3526</v>
      </c>
      <c r="O12" s="16" cm="1">
        <f t="array" ref="O12">_xll.BDH("DE US Equity","GROSS_PROFIT","FQ1 2022","FQ1 2022","Currency=USD","Period=FQ","BEST_FPERIOD_OVERRIDE=FQ","FILING_STATUS=MR","SCALING_FORMAT=MLN","FA_ADJUSTED=Adjusted","Sort=A","Dates=H","DateFormat=P","Fill=—","Direction=H","UseDPDF=Y")</f>
        <v>2874</v>
      </c>
      <c r="P12" s="16" cm="1">
        <f t="array" ref="P12">_xll.BDH("DE US Equity","GROSS_PROFIT","FQ2 2022","FQ2 2022","Currency=USD","Period=FQ","BEST_FPERIOD_OVERRIDE=FQ","FILING_STATUS=MR","SCALING_FORMAT=MLN","FA_ADJUSTED=Adjusted","Sort=A","Dates=H","DateFormat=P","Fill=—","Direction=H","UseDPDF=Y")</f>
        <v>4452</v>
      </c>
      <c r="Q12" s="16" cm="1">
        <f t="array" ref="Q12">_xll.BDH("DE US Equity","GROSS_PROFIT","FQ3 2022","FQ3 2022","Currency=USD","Period=FQ","BEST_FPERIOD_OVERRIDE=FQ","FILING_STATUS=MR","SCALING_FORMAT=MLN","FA_ADJUSTED=Adjusted","Sort=A","Dates=H","DateFormat=P","Fill=—","Direction=H","UseDPDF=Y")</f>
        <v>4591</v>
      </c>
      <c r="R12" s="16" cm="1">
        <f t="array" ref="R12">_xll.BDH("DE US Equity","GROSS_PROFIT","FQ4 2022","FQ4 2022","Currency=USD","Period=FQ","BEST_FPERIOD_OVERRIDE=FQ","FILING_STATUS=MR","SCALING_FORMAT=MLN","FA_ADJUSTED=Adjusted","Sort=A","Dates=H","DateFormat=P","Fill=—","Direction=H","UseDPDF=Y")</f>
        <v>5322</v>
      </c>
      <c r="S12" s="16" cm="1">
        <f t="array" ref="S12">_xll.BDH("DE US Equity","GROSS_PROFIT","FQ1 2023","FQ1 2023","Currency=USD","Period=FQ","BEST_FPERIOD_OVERRIDE=FQ","FILING_STATUS=MR","SCALING_FORMAT=MLN","FA_ADJUSTED=Adjusted","Sort=A","Dates=H","DateFormat=P","Fill=—","Direction=H","UseDPDF=Y")</f>
        <v>4718</v>
      </c>
      <c r="T12" s="16" cm="1">
        <f t="array" ref="T12">_xll.BDH("DE US Equity","GROSS_PROFIT","FQ2 2023","FQ2 2023","Currency=USD","Period=FQ","BEST_FPERIOD_OVERRIDE=FQ","FILING_STATUS=MR","SCALING_FORMAT=MLN","FA_ADJUSTED=Adjusted","Sort=A","Dates=H","DateFormat=P","Fill=—","Direction=H","UseDPDF=Y")</f>
        <v>6657</v>
      </c>
      <c r="U12" s="16" cm="1">
        <f t="array" ref="U12">_xll.BDH("DE US Equity","GROSS_PROFIT","FQ3 2023","FQ3 2023","Currency=USD","Period=FQ","BEST_FPERIOD_OVERRIDE=FQ","FILING_STATUS=MR","SCALING_FORMAT=MLN","FA_ADJUSTED=Adjusted","Sort=A","Dates=H","DateFormat=P","Fill=—","Direction=H","UseDPDF=Y")</f>
        <v>6177</v>
      </c>
      <c r="V12" s="16" cm="1">
        <f t="array" ref="V12">_xll.BDH("DE US Equity","GROSS_PROFIT","FQ4 2023","FQ4 2023","Currency=USD","Period=FQ","BEST_FPERIOD_OVERRIDE=FQ","FILING_STATUS=MR","SCALING_FORMAT=MLN","FA_ADJUSTED=Adjusted","Sort=A","Dates=H","DateFormat=P","Fill=—","Direction=H","UseDPDF=Y")</f>
        <v>5985</v>
      </c>
      <c r="W12" s="16" cm="1">
        <f t="array" ref="W12">_xll.BDH("DE US Equity","GROSS_PROFIT","FQ1 2024","FQ1 2024","Currency=USD","Period=FQ","BEST_FPERIOD_OVERRIDE=FQ","FILING_STATUS=MR","SCALING_FORMAT=MLN","FA_ADJUSTED=Adjusted","Sort=A","Dates=H","DateFormat=P","Fill=—","Direction=H","UseDPDF=Y")</f>
        <v>4985</v>
      </c>
      <c r="X12" s="16" cm="1">
        <f t="array" ref="X12">_xll.BDH("DE US Equity","GROSS_PROFIT","FQ2 2024","FQ2 2024","Currency=USD","Period=FQ","BEST_FPERIOD_OVERRIDE=FQ","FILING_STATUS=MR","SCALING_FORMAT=MLN","FA_ADJUSTED=Adjusted","Sort=A","Dates=H","DateFormat=P","Fill=—","Direction=H","UseDPDF=Y")</f>
        <v>6078</v>
      </c>
      <c r="Y12" s="16" cm="1">
        <f t="array" ref="Y12">_xll.BDH("DE US Equity","GROSS_PROFIT","FQ3 2024","FQ3 2024","Currency=USD","Period=FQ","BEST_FPERIOD_OVERRIDE=FQ","FILING_STATUS=MR","SCALING_FORMAT=MLN","FA_ADJUSTED=Adjusted","Sort=A","Dates=H","DateFormat=P","Fill=—","Direction=H","UseDPDF=Y")</f>
        <v>5304</v>
      </c>
      <c r="Z12" s="16" cm="1">
        <f t="array" ref="Z12">_xll.BDH("DE US Equity","GROSS_PROFIT","FQ4 2024","FQ4 2024","Currency=USD","Period=FQ","BEST_FPERIOD_OVERRIDE=FQ","FILING_STATUS=MR","SCALING_FORMAT=MLN","FA_ADJUSTED=Adjusted","Sort=A","Dates=H","DateFormat=P","Fill=—","Direction=H","UseDPDF=Y")</f>
        <v>4572</v>
      </c>
      <c r="AA12" s="16" cm="1">
        <f t="array" ref="AA12">_xll.BDH("DE US Equity","GROSS_PROFIT","FQ1 2025","FQ1 2025","Currency=USD","Period=FQ","BEST_FPERIOD_OVERRIDE=FQ","FILING_STATUS=MR","SCALING_FORMAT=MLN","FA_ADJUSTED=Adjusted","Sort=A","Dates=H","DateFormat=P","Fill=—","Direction=H","UseDPDF=Y")</f>
        <v>3471</v>
      </c>
      <c r="AB12" s="16" cm="1">
        <f t="array" ref="AB12">_xll.BDH("DE US Equity","GROSS_PROFIT","FQ2 2025","FQ2 2025","Currency=USD","Period=FQ","BEST_FPERIOD_OVERRIDE=FQ","FILING_STATUS=MR","SCALING_FORMAT=MLN","FA_ADJUSTED=Adjusted","Sort=A","Dates=H","DateFormat=P","Fill=—","Direction=H","UseDPDF=Y")</f>
        <v>5154</v>
      </c>
      <c r="AC12" s="16" cm="1">
        <f t="array" ref="AC12">_xll.BDH("DE US Equity","GROSS_PROFIT","FQ3 2025","FQ3 2025","Currency=USD","Period=FQ","BEST_FPERIOD_OVERRIDE=FQ","FILING_STATUS=MR","SCALING_FORMAT=MLN","FA_ADJUSTED=Adjusted","Sort=A","Dates=H","DateFormat=P","Fill=—","Direction=H","UseDPDF=Y")</f>
        <v>4448</v>
      </c>
      <c r="AD12" s="16" cm="1">
        <f t="array" ref="AD12">_xll.BDH("DE US Equity","GROSS_PROFIT","FQ4 2025","FQ4 2025","Currency=USD","Period=FQ","BEST_FPERIOD_OVERRIDE=FQ","FILING_STATUS=MR","SCALING_FORMAT=MLN","FA_ADJUSTED=Adjusted","Sort=A","Dates=H","DateFormat=P","Fill=—","Direction=H","UseDPDF=Y")</f>
        <v>4450</v>
      </c>
      <c r="AE12" s="16">
        <v>1776.6421968750001</v>
      </c>
      <c r="AF12" s="16">
        <v>3233.09839375</v>
      </c>
    </row>
    <row r="13" spans="1:32" x14ac:dyDescent="0.25">
      <c r="A13" s="10" t="s">
        <v>79</v>
      </c>
      <c r="B13" s="10" t="s">
        <v>80</v>
      </c>
      <c r="C13" s="13" cm="1">
        <f t="array" ref="C13">_xll.BDH("DE US Equity","IS_OTHER_OPER_INC","FQ1 2019","FQ1 2019","Currency=USD","Period=FQ","BEST_FPERIOD_OVERRIDE=FQ","FILING_STATUS=MR","SCALING_FORMAT=MLN","FA_ADJUSTED=Adjusted","Sort=A","Dates=H","DateFormat=P","Fill=—","Direction=H","UseDPDF=Y")</f>
        <v>0</v>
      </c>
      <c r="D13" s="13" cm="1">
        <f t="array" ref="D13">_xll.BDH("DE US Equity","IS_OTHER_OPER_INC","FQ2 2019","FQ2 2019","Currency=USD","Period=FQ","BEST_FPERIOD_OVERRIDE=FQ","FILING_STATUS=MR","SCALING_FORMAT=MLN","FA_ADJUSTED=Adjusted","Sort=A","Dates=H","DateFormat=P","Fill=—","Direction=H","UseDPDF=Y")</f>
        <v>0</v>
      </c>
      <c r="E13" s="13" cm="1">
        <f t="array" ref="E13">_xll.BDH("DE US Equity","IS_OTHER_OPER_INC","FQ3 2019","FQ3 2019","Currency=USD","Period=FQ","BEST_FPERIOD_OVERRIDE=FQ","FILING_STATUS=MR","SCALING_FORMAT=MLN","FA_ADJUSTED=Adjusted","Sort=A","Dates=H","DateFormat=P","Fill=—","Direction=H","UseDPDF=Y")</f>
        <v>0</v>
      </c>
      <c r="F13" s="13" cm="1">
        <f t="array" ref="F13">_xll.BDH("DE US Equity","IS_OTHER_OPER_INC","FQ4 2019","FQ4 2019","Currency=USD","Period=FQ","BEST_FPERIOD_OVERRIDE=FQ","FILING_STATUS=MR","SCALING_FORMAT=MLN","FA_ADJUSTED=Adjusted","Sort=A","Dates=H","DateFormat=P","Fill=—","Direction=H","UseDPDF=Y")</f>
        <v>0</v>
      </c>
      <c r="G13" s="13" cm="1">
        <f t="array" ref="G13">_xll.BDH("DE US Equity","IS_OTHER_OPER_INC","FQ1 2020","FQ1 2020","Currency=USD","Period=FQ","BEST_FPERIOD_OVERRIDE=FQ","FILING_STATUS=MR","SCALING_FORMAT=MLN","FA_ADJUSTED=Adjusted","Sort=A","Dates=H","DateFormat=P","Fill=—","Direction=H","UseDPDF=Y")</f>
        <v>0</v>
      </c>
      <c r="H13" s="13" cm="1">
        <f t="array" ref="H13">_xll.BDH("DE US Equity","IS_OTHER_OPER_INC","FQ2 2020","FQ2 2020","Currency=USD","Period=FQ","BEST_FPERIOD_OVERRIDE=FQ","FILING_STATUS=MR","SCALING_FORMAT=MLN","FA_ADJUSTED=Adjusted","Sort=A","Dates=H","DateFormat=P","Fill=—","Direction=H","UseDPDF=Y")</f>
        <v>0</v>
      </c>
      <c r="I13" s="13" cm="1">
        <f t="array" ref="I13">_xll.BDH("DE US Equity","IS_OTHER_OPER_INC","FQ3 2020","FQ3 2020","Currency=USD","Period=FQ","BEST_FPERIOD_OVERRIDE=FQ","FILING_STATUS=MR","SCALING_FORMAT=MLN","FA_ADJUSTED=Adjusted","Sort=A","Dates=H","DateFormat=P","Fill=—","Direction=H","UseDPDF=Y")</f>
        <v>0</v>
      </c>
      <c r="J13" s="13" cm="1">
        <f t="array" ref="J13">_xll.BDH("DE US Equity","IS_OTHER_OPER_INC","FQ4 2020","FQ4 2020","Currency=USD","Period=FQ","BEST_FPERIOD_OVERRIDE=FQ","FILING_STATUS=MR","SCALING_FORMAT=MLN","FA_ADJUSTED=Adjusted","Sort=A","Dates=H","DateFormat=P","Fill=—","Direction=H","UseDPDF=Y")</f>
        <v>0</v>
      </c>
      <c r="K13" s="13" cm="1">
        <f t="array" ref="K13">_xll.BDH("DE US Equity","IS_OTHER_OPER_INC","FQ1 2021","FQ1 2021","Currency=USD","Period=FQ","BEST_FPERIOD_OVERRIDE=FQ","FILING_STATUS=MR","SCALING_FORMAT=MLN","FA_ADJUSTED=Adjusted","Sort=A","Dates=H","DateFormat=P","Fill=—","Direction=H","UseDPDF=Y")</f>
        <v>0</v>
      </c>
      <c r="L13" s="13" cm="1">
        <f t="array" ref="L13">_xll.BDH("DE US Equity","IS_OTHER_OPER_INC","FQ2 2021","FQ2 2021","Currency=USD","Period=FQ","BEST_FPERIOD_OVERRIDE=FQ","FILING_STATUS=MR","SCALING_FORMAT=MLN","FA_ADJUSTED=Adjusted","Sort=A","Dates=H","DateFormat=P","Fill=—","Direction=H","UseDPDF=Y")</f>
        <v>0</v>
      </c>
      <c r="M13" s="13" cm="1">
        <f t="array" ref="M13">_xll.BDH("DE US Equity","IS_OTHER_OPER_INC","FQ3 2021","FQ3 2021","Currency=USD","Period=FQ","BEST_FPERIOD_OVERRIDE=FQ","FILING_STATUS=MR","SCALING_FORMAT=MLN","FA_ADJUSTED=Adjusted","Sort=A","Dates=H","DateFormat=P","Fill=—","Direction=H","UseDPDF=Y")</f>
        <v>0</v>
      </c>
      <c r="N13" s="13" cm="1">
        <f t="array" ref="N13">_xll.BDH("DE US Equity","IS_OTHER_OPER_INC","FQ4 2021","FQ4 2021","Currency=USD","Period=FQ","BEST_FPERIOD_OVERRIDE=FQ","FILING_STATUS=MR","SCALING_FORMAT=MLN","FA_ADJUSTED=Adjusted","Sort=A","Dates=H","DateFormat=P","Fill=—","Direction=H","UseDPDF=Y")</f>
        <v>0</v>
      </c>
      <c r="O13" s="13" cm="1">
        <f t="array" ref="O13">_xll.BDH("DE US Equity","IS_OTHER_OPER_INC","FQ1 2022","FQ1 2022","Currency=USD","Period=FQ","BEST_FPERIOD_OVERRIDE=FQ","FILING_STATUS=MR","SCALING_FORMAT=MLN","FA_ADJUSTED=Adjusted","Sort=A","Dates=H","DateFormat=P","Fill=—","Direction=H","UseDPDF=Y")</f>
        <v>0</v>
      </c>
      <c r="P13" s="13" cm="1">
        <f t="array" ref="P13">_xll.BDH("DE US Equity","IS_OTHER_OPER_INC","FQ2 2022","FQ2 2022","Currency=USD","Period=FQ","BEST_FPERIOD_OVERRIDE=FQ","FILING_STATUS=MR","SCALING_FORMAT=MLN","FA_ADJUSTED=Adjusted","Sort=A","Dates=H","DateFormat=P","Fill=—","Direction=H","UseDPDF=Y")</f>
        <v>0</v>
      </c>
      <c r="Q13" s="13" cm="1">
        <f t="array" ref="Q13">_xll.BDH("DE US Equity","IS_OTHER_OPER_INC","FQ3 2022","FQ3 2022","Currency=USD","Period=FQ","BEST_FPERIOD_OVERRIDE=FQ","FILING_STATUS=MR","SCALING_FORMAT=MLN","FA_ADJUSTED=Adjusted","Sort=A","Dates=H","DateFormat=P","Fill=—","Direction=H","UseDPDF=Y")</f>
        <v>0</v>
      </c>
      <c r="R13" s="13" cm="1">
        <f t="array" ref="R13">_xll.BDH("DE US Equity","IS_OTHER_OPER_INC","FQ4 2022","FQ4 2022","Currency=USD","Period=FQ","BEST_FPERIOD_OVERRIDE=FQ","FILING_STATUS=MR","SCALING_FORMAT=MLN","FA_ADJUSTED=Adjusted","Sort=A","Dates=H","DateFormat=P","Fill=—","Direction=H","UseDPDF=Y")</f>
        <v>0</v>
      </c>
      <c r="S13" s="13" cm="1">
        <f t="array" ref="S13">_xll.BDH("DE US Equity","IS_OTHER_OPER_INC","FQ1 2023","FQ1 2023","Currency=USD","Period=FQ","BEST_FPERIOD_OVERRIDE=FQ","FILING_STATUS=MR","SCALING_FORMAT=MLN","FA_ADJUSTED=Adjusted","Sort=A","Dates=H","DateFormat=P","Fill=—","Direction=H","UseDPDF=Y")</f>
        <v>0</v>
      </c>
      <c r="T13" s="13" cm="1">
        <f t="array" ref="T13">_xll.BDH("DE US Equity","IS_OTHER_OPER_INC","FQ2 2023","FQ2 2023","Currency=USD","Period=FQ","BEST_FPERIOD_OVERRIDE=FQ","FILING_STATUS=MR","SCALING_FORMAT=MLN","FA_ADJUSTED=Adjusted","Sort=A","Dates=H","DateFormat=P","Fill=—","Direction=H","UseDPDF=Y")</f>
        <v>0</v>
      </c>
      <c r="U13" s="13" cm="1">
        <f t="array" ref="U13">_xll.BDH("DE US Equity","IS_OTHER_OPER_INC","FQ3 2023","FQ3 2023","Currency=USD","Period=FQ","BEST_FPERIOD_OVERRIDE=FQ","FILING_STATUS=MR","SCALING_FORMAT=MLN","FA_ADJUSTED=Adjusted","Sort=A","Dates=H","DateFormat=P","Fill=—","Direction=H","UseDPDF=Y")</f>
        <v>0</v>
      </c>
      <c r="V13" s="13" cm="1">
        <f t="array" ref="V13">_xll.BDH("DE US Equity","IS_OTHER_OPER_INC","FQ4 2023","FQ4 2023","Currency=USD","Period=FQ","BEST_FPERIOD_OVERRIDE=FQ","FILING_STATUS=MR","SCALING_FORMAT=MLN","FA_ADJUSTED=Adjusted","Sort=A","Dates=H","DateFormat=P","Fill=—","Direction=H","UseDPDF=Y")</f>
        <v>0</v>
      </c>
      <c r="W13" s="13" cm="1">
        <f t="array" ref="W13">_xll.BDH("DE US Equity","IS_OTHER_OPER_INC","FQ1 2024","FQ1 2024","Currency=USD","Period=FQ","BEST_FPERIOD_OVERRIDE=FQ","FILING_STATUS=MR","SCALING_FORMAT=MLN","FA_ADJUSTED=Adjusted","Sort=A","Dates=H","DateFormat=P","Fill=—","Direction=H","UseDPDF=Y")</f>
        <v>0</v>
      </c>
      <c r="X13" s="13" cm="1">
        <f t="array" ref="X13">_xll.BDH("DE US Equity","IS_OTHER_OPER_INC","FQ2 2024","FQ2 2024","Currency=USD","Period=FQ","BEST_FPERIOD_OVERRIDE=FQ","FILING_STATUS=MR","SCALING_FORMAT=MLN","FA_ADJUSTED=Adjusted","Sort=A","Dates=H","DateFormat=P","Fill=—","Direction=H","UseDPDF=Y")</f>
        <v>0</v>
      </c>
      <c r="Y13" s="13" cm="1">
        <f t="array" ref="Y13">_xll.BDH("DE US Equity","IS_OTHER_OPER_INC","FQ3 2024","FQ3 2024","Currency=USD","Period=FQ","BEST_FPERIOD_OVERRIDE=FQ","FILING_STATUS=MR","SCALING_FORMAT=MLN","FA_ADJUSTED=Adjusted","Sort=A","Dates=H","DateFormat=P","Fill=—","Direction=H","UseDPDF=Y")</f>
        <v>0</v>
      </c>
      <c r="Z13" s="13" cm="1">
        <f t="array" ref="Z13">_xll.BDH("DE US Equity","IS_OTHER_OPER_INC","FQ4 2024","FQ4 2024","Currency=USD","Period=FQ","BEST_FPERIOD_OVERRIDE=FQ","FILING_STATUS=MR","SCALING_FORMAT=MLN","FA_ADJUSTED=Adjusted","Sort=A","Dates=H","DateFormat=P","Fill=—","Direction=H","UseDPDF=Y")</f>
        <v>0</v>
      </c>
      <c r="AA13" s="13" cm="1">
        <f t="array" ref="AA13">_xll.BDH("DE US Equity","IS_OTHER_OPER_INC","FQ1 2025","FQ1 2025","Currency=USD","Period=FQ","BEST_FPERIOD_OVERRIDE=FQ","FILING_STATUS=MR","SCALING_FORMAT=MLN","FA_ADJUSTED=Adjusted","Sort=A","Dates=H","DateFormat=P","Fill=—","Direction=H","UseDPDF=Y")</f>
        <v>0</v>
      </c>
      <c r="AB13" s="13" cm="1">
        <f t="array" ref="AB13">_xll.BDH("DE US Equity","IS_OTHER_OPER_INC","FQ2 2025","FQ2 2025","Currency=USD","Period=FQ","BEST_FPERIOD_OVERRIDE=FQ","FILING_STATUS=MR","SCALING_FORMAT=MLN","FA_ADJUSTED=Adjusted","Sort=A","Dates=H","DateFormat=P","Fill=—","Direction=H","UseDPDF=Y")</f>
        <v>0</v>
      </c>
      <c r="AC13" s="13" cm="1">
        <f t="array" ref="AC13">_xll.BDH("DE US Equity","IS_OTHER_OPER_INC","FQ3 2025","FQ3 2025","Currency=USD","Period=FQ","BEST_FPERIOD_OVERRIDE=FQ","FILING_STATUS=MR","SCALING_FORMAT=MLN","FA_ADJUSTED=Adjusted","Sort=A","Dates=H","DateFormat=P","Fill=—","Direction=H","UseDPDF=Y")</f>
        <v>0</v>
      </c>
      <c r="AD13" s="13" cm="1">
        <f t="array" ref="AD13">_xll.BDH("DE US Equity","IS_OTHER_OPER_INC","FQ4 2025","FQ4 2025","Currency=USD","Period=FQ","BEST_FPERIOD_OVERRIDE=FQ","FILING_STATUS=MR","SCALING_FORMAT=MLN","FA_ADJUSTED=Adjusted","Sort=A","Dates=H","DateFormat=P","Fill=—","Direction=H","UseDPDF=Y")</f>
        <v>0</v>
      </c>
      <c r="AE13" s="13"/>
      <c r="AF13" s="13"/>
    </row>
    <row r="14" spans="1:32" x14ac:dyDescent="0.25">
      <c r="A14" s="10" t="s">
        <v>81</v>
      </c>
      <c r="B14" s="10" t="s">
        <v>82</v>
      </c>
      <c r="C14" s="13" cm="1">
        <f t="array" ref="C14">_xll.BDH("DE US Equity","IS_OPERATING_EXPN","FQ1 2019","FQ1 2019","Currency=USD","Period=FQ","BEST_FPERIOD_OVERRIDE=FQ","FILING_STATUS=MR","SCALING_FORMAT=MLN","FA_ADJUSTED=Adjusted","Sort=A","Dates=H","DateFormat=P","Fill=—","Direction=H","UseDPDF=Y")</f>
        <v>1522</v>
      </c>
      <c r="D14" s="13" cm="1">
        <f t="array" ref="D14">_xll.BDH("DE US Equity","IS_OPERATING_EXPN","FQ2 2019","FQ2 2019","Currency=USD","Period=FQ","BEST_FPERIOD_OVERRIDE=FQ","FILING_STATUS=MR","SCALING_FORMAT=MLN","FA_ADJUSTED=Adjusted","Sort=A","Dates=H","DateFormat=P","Fill=—","Direction=H","UseDPDF=Y")</f>
        <v>1763</v>
      </c>
      <c r="E14" s="13" cm="1">
        <f t="array" ref="E14">_xll.BDH("DE US Equity","IS_OPERATING_EXPN","FQ3 2019","FQ3 2019","Currency=USD","Period=FQ","BEST_FPERIOD_OVERRIDE=FQ","FILING_STATUS=MR","SCALING_FORMAT=MLN","FA_ADJUSTED=Adjusted","Sort=A","Dates=H","DateFormat=P","Fill=—","Direction=H","UseDPDF=Y")</f>
        <v>1679</v>
      </c>
      <c r="F14" s="13" cm="1">
        <f t="array" ref="F14">_xll.BDH("DE US Equity","IS_OPERATING_EXPN","FQ4 2019","FQ4 2019","Currency=USD","Period=FQ","BEST_FPERIOD_OVERRIDE=FQ","FILING_STATUS=MR","SCALING_FORMAT=MLN","FA_ADJUSTED=Adjusted","Sort=A","Dates=H","DateFormat=P","Fill=—","Direction=H","UseDPDF=Y")</f>
        <v>1866</v>
      </c>
      <c r="G14" s="13" cm="1">
        <f t="array" ref="G14">_xll.BDH("DE US Equity","IS_OPERATING_EXPN","FQ1 2020","FQ1 2020","Currency=USD","Period=FQ","BEST_FPERIOD_OVERRIDE=FQ","FILING_STATUS=MR","SCALING_FORMAT=MLN","FA_ADJUSTED=Adjusted","Sort=A","Dates=H","DateFormat=P","Fill=—","Direction=H","UseDPDF=Y")</f>
        <v>1561</v>
      </c>
      <c r="H14" s="13" cm="1">
        <f t="array" ref="H14">_xll.BDH("DE US Equity","IS_OPERATING_EXPN","FQ2 2020","FQ2 2020","Currency=USD","Period=FQ","BEST_FPERIOD_OVERRIDE=FQ","FILING_STATUS=MR","SCALING_FORMAT=MLN","FA_ADJUSTED=Adjusted","Sort=A","Dates=H","DateFormat=P","Fill=—","Direction=H","UseDPDF=Y")</f>
        <v>1483</v>
      </c>
      <c r="I14" s="13" cm="1">
        <f t="array" ref="I14">_xll.BDH("DE US Equity","IS_OPERATING_EXPN","FQ3 2020","FQ3 2020","Currency=USD","Period=FQ","BEST_FPERIOD_OVERRIDE=FQ","FILING_STATUS=MR","SCALING_FORMAT=MLN","FA_ADJUSTED=Adjusted","Sort=A","Dates=H","DateFormat=P","Fill=—","Direction=H","UseDPDF=Y")</f>
        <v>1521</v>
      </c>
      <c r="J14" s="13" cm="1">
        <f t="array" ref="J14">_xll.BDH("DE US Equity","IS_OPERATING_EXPN","FQ4 2020","FQ4 2020","Currency=USD","Period=FQ","BEST_FPERIOD_OVERRIDE=FQ","FILING_STATUS=MR","SCALING_FORMAT=MLN","FA_ADJUSTED=Adjusted","Sort=A","Dates=H","DateFormat=P","Fill=—","Direction=H","UseDPDF=Y")</f>
        <v>1558.519</v>
      </c>
      <c r="K14" s="13" cm="1">
        <f t="array" ref="K14">_xll.BDH("DE US Equity","IS_OPERATING_EXPN","FQ1 2021","FQ1 2021","Currency=USD","Period=FQ","BEST_FPERIOD_OVERRIDE=FQ","FILING_STATUS=MR","SCALING_FORMAT=MLN","FA_ADJUSTED=Adjusted","Sort=A","Dates=H","DateFormat=P","Fill=—","Direction=H","UseDPDF=Y")</f>
        <v>1508</v>
      </c>
      <c r="L14" s="13" cm="1">
        <f t="array" ref="L14">_xll.BDH("DE US Equity","IS_OPERATING_EXPN","FQ2 2021","FQ2 2021","Currency=USD","Period=FQ","BEST_FPERIOD_OVERRIDE=FQ","FILING_STATUS=MR","SCALING_FORMAT=MLN","FA_ADJUSTED=Adjusted","Sort=A","Dates=H","DateFormat=P","Fill=—","Direction=H","UseDPDF=Y")</f>
        <v>1550</v>
      </c>
      <c r="M14" s="13" cm="1">
        <f t="array" ref="M14">_xll.BDH("DE US Equity","IS_OPERATING_EXPN","FQ3 2021","FQ3 2021","Currency=USD","Period=FQ","BEST_FPERIOD_OVERRIDE=FQ","FILING_STATUS=MR","SCALING_FORMAT=MLN","FA_ADJUSTED=Adjusted","Sort=A","Dates=H","DateFormat=P","Fill=—","Direction=H","UseDPDF=Y")</f>
        <v>1586</v>
      </c>
      <c r="N14" s="13" cm="1">
        <f t="array" ref="N14">_xll.BDH("DE US Equity","IS_OPERATING_EXPN","FQ4 2021","FQ4 2021","Currency=USD","Period=FQ","BEST_FPERIOD_OVERRIDE=FQ","FILING_STATUS=MR","SCALING_FORMAT=MLN","FA_ADJUSTED=Adjusted","Sort=A","Dates=H","DateFormat=P","Fill=—","Direction=H","UseDPDF=Y")</f>
        <v>1703</v>
      </c>
      <c r="O14" s="13" cm="1">
        <f t="array" ref="O14">_xll.BDH("DE US Equity","IS_OPERATING_EXPN","FQ1 2022","FQ1 2022","Currency=USD","Period=FQ","BEST_FPERIOD_OVERRIDE=FQ","FILING_STATUS=MR","SCALING_FORMAT=MLN","FA_ADJUSTED=Adjusted","Sort=A","Dates=H","DateFormat=P","Fill=—","Direction=H","UseDPDF=Y")</f>
        <v>1404</v>
      </c>
      <c r="P14" s="13" cm="1">
        <f t="array" ref="P14">_xll.BDH("DE US Equity","IS_OPERATING_EXPN","FQ2 2022","FQ2 2022","Currency=USD","Period=FQ","BEST_FPERIOD_OVERRIDE=FQ","FILING_STATUS=MR","SCALING_FORMAT=MLN","FA_ADJUSTED=Adjusted","Sort=A","Dates=H","DateFormat=P","Fill=—","Direction=H","UseDPDF=Y")</f>
        <v>1644</v>
      </c>
      <c r="Q14" s="13" cm="1">
        <f t="array" ref="Q14">_xll.BDH("DE US Equity","IS_OPERATING_EXPN","FQ3 2022","FQ3 2022","Currency=USD","Period=FQ","BEST_FPERIOD_OVERRIDE=FQ","FILING_STATUS=MR","SCALING_FORMAT=MLN","FA_ADJUSTED=Adjusted","Sort=A","Dates=H","DateFormat=P","Fill=—","Direction=H","UseDPDF=Y")</f>
        <v>1716</v>
      </c>
      <c r="R14" s="13" cm="1">
        <f t="array" ref="R14">_xll.BDH("DE US Equity","IS_OPERATING_EXPN","FQ4 2022","FQ4 2022","Currency=USD","Period=FQ","BEST_FPERIOD_OVERRIDE=FQ","FILING_STATUS=MR","SCALING_FORMAT=MLN","FA_ADJUSTED=Adjusted","Sort=A","Dates=H","DateFormat=P","Fill=—","Direction=H","UseDPDF=Y")</f>
        <v>2322</v>
      </c>
      <c r="S14" s="13" cm="1">
        <f t="array" ref="S14">_xll.BDH("DE US Equity","IS_OPERATING_EXPN","FQ1 2023","FQ1 2023","Currency=USD","Period=FQ","BEST_FPERIOD_OVERRIDE=FQ","FILING_STATUS=MR","SCALING_FORMAT=MLN","FA_ADJUSTED=Adjusted","Sort=A","Dates=H","DateFormat=P","Fill=—","Direction=H","UseDPDF=Y")</f>
        <v>1746</v>
      </c>
      <c r="T14" s="13" cm="1">
        <f t="array" ref="T14">_xll.BDH("DE US Equity","IS_OPERATING_EXPN","FQ2 2023","FQ2 2023","Currency=USD","Period=FQ","BEST_FPERIOD_OVERRIDE=FQ","FILING_STATUS=MR","SCALING_FORMAT=MLN","FA_ADJUSTED=Adjusted","Sort=A","Dates=H","DateFormat=P","Fill=—","Direction=H","UseDPDF=Y")</f>
        <v>2067</v>
      </c>
      <c r="U14" s="13" cm="1">
        <f t="array" ref="U14">_xll.BDH("DE US Equity","IS_OPERATING_EXPN","FQ3 2023","FQ3 2023","Currency=USD","Period=FQ","BEST_FPERIOD_OVERRIDE=FQ","FILING_STATUS=MR","SCALING_FORMAT=MLN","FA_ADJUSTED=Adjusted","Sort=A","Dates=H","DateFormat=P","Fill=—","Direction=H","UseDPDF=Y")</f>
        <v>1948</v>
      </c>
      <c r="V14" s="13" cm="1">
        <f t="array" ref="V14">_xll.BDH("DE US Equity","IS_OPERATING_EXPN","FQ4 2023","FQ4 2023","Currency=USD","Period=FQ","BEST_FPERIOD_OVERRIDE=FQ","FILING_STATUS=MR","SCALING_FORMAT=MLN","FA_ADJUSTED=Adjusted","Sort=A","Dates=H","DateFormat=P","Fill=—","Direction=H","UseDPDF=Y")</f>
        <v>2113</v>
      </c>
      <c r="W14" s="13" cm="1">
        <f t="array" ref="W14">_xll.BDH("DE US Equity","IS_OPERATING_EXPN","FQ1 2024","FQ1 2024","Currency=USD","Period=FQ","BEST_FPERIOD_OVERRIDE=FQ","FILING_STATUS=MR","SCALING_FORMAT=MLN","FA_ADJUSTED=Adjusted","Sort=A","Dates=H","DateFormat=P","Fill=—","Direction=H","UseDPDF=Y")</f>
        <v>1968</v>
      </c>
      <c r="X14" s="13" cm="1">
        <f t="array" ref="X14">_xll.BDH("DE US Equity","IS_OPERATING_EXPN","FQ2 2024","FQ2 2024","Currency=USD","Period=FQ","BEST_FPERIOD_OVERRIDE=FQ","FILING_STATUS=MR","SCALING_FORMAT=MLN","FA_ADJUSTED=Adjusted","Sort=A","Dates=H","DateFormat=P","Fill=—","Direction=H","UseDPDF=Y")</f>
        <v>2125</v>
      </c>
      <c r="Y14" s="13" cm="1">
        <f t="array" ref="Y14">_xll.BDH("DE US Equity","IS_OPERATING_EXPN","FQ3 2024","FQ3 2024","Currency=USD","Period=FQ","BEST_FPERIOD_OVERRIDE=FQ","FILING_STATUS=MR","SCALING_FORMAT=MLN","FA_ADJUSTED=Adjusted","Sort=A","Dates=H","DateFormat=P","Fill=—","Direction=H","UseDPDF=Y")</f>
        <v>2109</v>
      </c>
      <c r="Z14" s="13" cm="1">
        <f t="array" ref="Z14">_xll.BDH("DE US Equity","IS_OPERATING_EXPN","FQ4 2024","FQ4 2024","Currency=USD","Period=FQ","BEST_FPERIOD_OVERRIDE=FQ","FILING_STATUS=MR","SCALING_FORMAT=MLN","FA_ADJUSTED=Adjusted","Sort=A","Dates=H","DateFormat=P","Fill=—","Direction=H","UseDPDF=Y")</f>
        <v>2137</v>
      </c>
      <c r="AA14" s="13" cm="1">
        <f t="array" ref="AA14">_xll.BDH("DE US Equity","IS_OPERATING_EXPN","FQ1 2025","FQ1 2025","Currency=USD","Period=FQ","BEST_FPERIOD_OVERRIDE=FQ","FILING_STATUS=MR","SCALING_FORMAT=MLN","FA_ADJUSTED=Adjusted","Sort=A","Dates=H","DateFormat=P","Fill=—","Direction=H","UseDPDF=Y")</f>
        <v>1779</v>
      </c>
      <c r="AB14" s="13" cm="1">
        <f t="array" ref="AB14">_xll.BDH("DE US Equity","IS_OPERATING_EXPN","FQ2 2025","FQ2 2025","Currency=USD","Period=FQ","BEST_FPERIOD_OVERRIDE=FQ","FILING_STATUS=MR","SCALING_FORMAT=MLN","FA_ADJUSTED=Adjusted","Sort=A","Dates=H","DateFormat=P","Fill=—","Direction=H","UseDPDF=Y")</f>
        <v>2033</v>
      </c>
      <c r="AC14" s="13" cm="1">
        <f t="array" ref="AC14">_xll.BDH("DE US Equity","IS_OPERATING_EXPN","FQ3 2025","FQ3 2025","Currency=USD","Period=FQ","BEST_FPERIOD_OVERRIDE=FQ","FILING_STATUS=MR","SCALING_FORMAT=MLN","FA_ADJUSTED=Adjusted","Sort=A","Dates=H","DateFormat=P","Fill=—","Direction=H","UseDPDF=Y")</f>
        <v>1993</v>
      </c>
      <c r="AD14" s="13" cm="1">
        <f t="array" ref="AD14">_xll.BDH("DE US Equity","IS_OPERATING_EXPN","FQ4 2025","FQ4 2025","Currency=USD","Period=FQ","BEST_FPERIOD_OVERRIDE=FQ","FILING_STATUS=MR","SCALING_FORMAT=MLN","FA_ADJUSTED=Adjusted","Sort=A","Dates=H","DateFormat=P","Fill=—","Direction=H","UseDPDF=Y")</f>
        <v>2169</v>
      </c>
      <c r="AE14" s="13"/>
      <c r="AF14" s="13"/>
    </row>
    <row r="15" spans="1:32" x14ac:dyDescent="0.25">
      <c r="A15" s="10" t="s">
        <v>83</v>
      </c>
      <c r="B15" s="10" t="s">
        <v>84</v>
      </c>
      <c r="C15" s="13" cm="1">
        <f t="array" ref="C15">_xll.BDH("DE US Equity","IS_SGA_EXPENSE","FQ1 2019","FQ1 2019","Currency=USD","Period=FQ","BEST_FPERIOD_OVERRIDE=FQ","FILING_STATUS=MR","SCALING_FORMAT=MLN","FA_ADJUSTED=Adjusted","Sort=A","Dates=H","DateFormat=P","Fill=—","Direction=H","UseDPDF=Y")</f>
        <v>764</v>
      </c>
      <c r="D15" s="13" cm="1">
        <f t="array" ref="D15">_xll.BDH("DE US Equity","IS_SGA_EXPENSE","FQ2 2019","FQ2 2019","Currency=USD","Period=FQ","BEST_FPERIOD_OVERRIDE=FQ","FILING_STATUS=MR","SCALING_FORMAT=MLN","FA_ADJUSTED=Adjusted","Sort=A","Dates=H","DateFormat=P","Fill=—","Direction=H","UseDPDF=Y")</f>
        <v>947</v>
      </c>
      <c r="E15" s="13" cm="1">
        <f t="array" ref="E15">_xll.BDH("DE US Equity","IS_SGA_EXPENSE","FQ3 2019","FQ3 2019","Currency=USD","Period=FQ","BEST_FPERIOD_OVERRIDE=FQ","FILING_STATUS=MR","SCALING_FORMAT=MLN","FA_ADJUSTED=Adjusted","Sort=A","Dates=H","DateFormat=P","Fill=—","Direction=H","UseDPDF=Y")</f>
        <v>896</v>
      </c>
      <c r="F15" s="13" cm="1">
        <f t="array" ref="F15">_xll.BDH("DE US Equity","IS_SGA_EXPENSE","FQ4 2019","FQ4 2019","Currency=USD","Period=FQ","BEST_FPERIOD_OVERRIDE=FQ","FILING_STATUS=MR","SCALING_FORMAT=MLN","FA_ADJUSTED=Adjusted","Sort=A","Dates=H","DateFormat=P","Fill=—","Direction=H","UseDPDF=Y")</f>
        <v>945</v>
      </c>
      <c r="G15" s="13" cm="1">
        <f t="array" ref="G15">_xll.BDH("DE US Equity","IS_SGA_EXPENSE","FQ1 2020","FQ1 2020","Currency=USD","Period=FQ","BEST_FPERIOD_OVERRIDE=FQ","FILING_STATUS=MR","SCALING_FORMAT=MLN","FA_ADJUSTED=Adjusted","Sort=A","Dates=H","DateFormat=P","Fill=—","Direction=H","UseDPDF=Y")</f>
        <v>759</v>
      </c>
      <c r="H15" s="13" cm="1">
        <f t="array" ref="H15">_xll.BDH("DE US Equity","IS_SGA_EXPENSE","FQ2 2020","FQ2 2020","Currency=USD","Period=FQ","BEST_FPERIOD_OVERRIDE=FQ","FILING_STATUS=MR","SCALING_FORMAT=MLN","FA_ADJUSTED=Adjusted","Sort=A","Dates=H","DateFormat=P","Fill=—","Direction=H","UseDPDF=Y")</f>
        <v>906</v>
      </c>
      <c r="I15" s="13" cm="1">
        <f t="array" ref="I15">_xll.BDH("DE US Equity","IS_SGA_EXPENSE","FQ3 2020","FQ3 2020","Currency=USD","Period=FQ","BEST_FPERIOD_OVERRIDE=FQ","FILING_STATUS=MR","SCALING_FORMAT=MLN","FA_ADJUSTED=Adjusted","Sort=A","Dates=H","DateFormat=P","Fill=—","Direction=H","UseDPDF=Y")</f>
        <v>752</v>
      </c>
      <c r="J15" s="13" cm="1">
        <f t="array" ref="J15">_xll.BDH("DE US Equity","IS_SGA_EXPENSE","FQ4 2020","FQ4 2020","Currency=USD","Period=FQ","BEST_FPERIOD_OVERRIDE=FQ","FILING_STATUS=MR","SCALING_FORMAT=MLN","FA_ADJUSTED=Adjusted","Sort=A","Dates=H","DateFormat=P","Fill=—","Direction=H","UseDPDF=Y")</f>
        <v>1007</v>
      </c>
      <c r="K15" s="13" cm="1">
        <f t="array" ref="K15">_xll.BDH("DE US Equity","IS_SGA_EXPENSE","FQ1 2021","FQ1 2021","Currency=USD","Period=FQ","BEST_FPERIOD_OVERRIDE=FQ","FILING_STATUS=MR","SCALING_FORMAT=MLN","FA_ADJUSTED=Adjusted","Sort=A","Dates=H","DateFormat=P","Fill=—","Direction=H","UseDPDF=Y")</f>
        <v>769</v>
      </c>
      <c r="L15" s="13" cm="1">
        <f t="array" ref="L15">_xll.BDH("DE US Equity","IS_SGA_EXPENSE","FQ2 2021","FQ2 2021","Currency=USD","Period=FQ","BEST_FPERIOD_OVERRIDE=FQ","FILING_STATUS=MR","SCALING_FORMAT=MLN","FA_ADJUSTED=Adjusted","Sort=A","Dates=H","DateFormat=P","Fill=—","Direction=H","UseDPDF=Y")</f>
        <v>838</v>
      </c>
      <c r="M15" s="13" cm="1">
        <f t="array" ref="M15">_xll.BDH("DE US Equity","IS_SGA_EXPENSE","FQ3 2021","FQ3 2021","Currency=USD","Period=FQ","BEST_FPERIOD_OVERRIDE=FQ","FILING_STATUS=MR","SCALING_FORMAT=MLN","FA_ADJUSTED=Adjusted","Sort=A","Dates=H","DateFormat=P","Fill=—","Direction=H","UseDPDF=Y")</f>
        <v>841</v>
      </c>
      <c r="N15" s="13" cm="1">
        <f t="array" ref="N15">_xll.BDH("DE US Equity","IS_SGA_EXPENSE","FQ4 2021","FQ4 2021","Currency=USD","Period=FQ","BEST_FPERIOD_OVERRIDE=FQ","FILING_STATUS=MR","SCALING_FORMAT=MLN","FA_ADJUSTED=Adjusted","Sort=A","Dates=H","DateFormat=P","Fill=—","Direction=H","UseDPDF=Y")</f>
        <v>935</v>
      </c>
      <c r="O15" s="13" cm="1">
        <f t="array" ref="O15">_xll.BDH("DE US Equity","IS_SGA_EXPENSE","FQ1 2022","FQ1 2022","Currency=USD","Period=FQ","BEST_FPERIOD_OVERRIDE=FQ","FILING_STATUS=MR","SCALING_FORMAT=MLN","FA_ADJUSTED=Adjusted","Sort=A","Dates=H","DateFormat=P","Fill=—","Direction=H","UseDPDF=Y")</f>
        <v>781</v>
      </c>
      <c r="P15" s="13" cm="1">
        <f t="array" ref="P15">_xll.BDH("DE US Equity","IS_SGA_EXPENSE","FQ2 2022","FQ2 2022","Currency=USD","Period=FQ","BEST_FPERIOD_OVERRIDE=FQ","FILING_STATUS=MR","SCALING_FORMAT=MLN","FA_ADJUSTED=Adjusted","Sort=A","Dates=H","DateFormat=P","Fill=—","Direction=H","UseDPDF=Y")</f>
        <v>932</v>
      </c>
      <c r="Q15" s="13" cm="1">
        <f t="array" ref="Q15">_xll.BDH("DE US Equity","IS_SGA_EXPENSE","FQ3 2022","FQ3 2022","Currency=USD","Period=FQ","BEST_FPERIOD_OVERRIDE=FQ","FILING_STATUS=MR","SCALING_FORMAT=MLN","FA_ADJUSTED=Adjusted","Sort=A","Dates=H","DateFormat=P","Fill=—","Direction=H","UseDPDF=Y")</f>
        <v>959</v>
      </c>
      <c r="R15" s="13" cm="1">
        <f t="array" ref="R15">_xll.BDH("DE US Equity","IS_SGA_EXPENSE","FQ4 2022","FQ4 2022","Currency=USD","Period=FQ","BEST_FPERIOD_OVERRIDE=FQ","FILING_STATUS=MR","SCALING_FORMAT=MLN","FA_ADJUSTED=Adjusted","Sort=A","Dates=H","DateFormat=P","Fill=—","Direction=H","UseDPDF=Y")</f>
        <v>1191</v>
      </c>
      <c r="S15" s="13" cm="1">
        <f t="array" ref="S15">_xll.BDH("DE US Equity","IS_SGA_EXPENSE","FQ1 2023","FQ1 2023","Currency=USD","Period=FQ","BEST_FPERIOD_OVERRIDE=FQ","FILING_STATUS=MR","SCALING_FORMAT=MLN","FA_ADJUSTED=Adjusted","Sort=A","Dates=H","DateFormat=P","Fill=—","Direction=H","UseDPDF=Y")</f>
        <v>952</v>
      </c>
      <c r="T15" s="13" cm="1">
        <f t="array" ref="T15">_xll.BDH("DE US Equity","IS_SGA_EXPENSE","FQ2 2023","FQ2 2023","Currency=USD","Period=FQ","BEST_FPERIOD_OVERRIDE=FQ","FILING_STATUS=MR","SCALING_FORMAT=MLN","FA_ADJUSTED=Adjusted","Sort=A","Dates=H","DateFormat=P","Fill=—","Direction=H","UseDPDF=Y")</f>
        <v>1330</v>
      </c>
      <c r="U15" s="13" cm="1">
        <f t="array" ref="U15">_xll.BDH("DE US Equity","IS_SGA_EXPENSE","FQ3 2023","FQ3 2023","Currency=USD","Period=FQ","BEST_FPERIOD_OVERRIDE=FQ","FILING_STATUS=MR","SCALING_FORMAT=MLN","FA_ADJUSTED=Adjusted","Sort=A","Dates=H","DateFormat=P","Fill=—","Direction=H","UseDPDF=Y")</f>
        <v>1110</v>
      </c>
      <c r="V15" s="13" cm="1">
        <f t="array" ref="V15">_xll.BDH("DE US Equity","IS_SGA_EXPENSE","FQ4 2023","FQ4 2023","Currency=USD","Period=FQ","BEST_FPERIOD_OVERRIDE=FQ","FILING_STATUS=MR","SCALING_FORMAT=MLN","FA_ADJUSTED=Adjusted","Sort=A","Dates=H","DateFormat=P","Fill=—","Direction=H","UseDPDF=Y")</f>
        <v>1203</v>
      </c>
      <c r="W15" s="13" cm="1">
        <f t="array" ref="W15">_xll.BDH("DE US Equity","IS_SGA_EXPENSE","FQ1 2024","FQ1 2024","Currency=USD","Period=FQ","BEST_FPERIOD_OVERRIDE=FQ","FILING_STATUS=MR","SCALING_FORMAT=MLN","FA_ADJUSTED=Adjusted","Sort=A","Dates=H","DateFormat=P","Fill=—","Direction=H","UseDPDF=Y")</f>
        <v>1066</v>
      </c>
      <c r="X15" s="13" cm="1">
        <f t="array" ref="X15">_xll.BDH("DE US Equity","IS_SGA_EXPENSE","FQ2 2024","FQ2 2024","Currency=USD","Period=FQ","BEST_FPERIOD_OVERRIDE=FQ","FILING_STATUS=MR","SCALING_FORMAT=MLN","FA_ADJUSTED=Adjusted","Sort=A","Dates=H","DateFormat=P","Fill=—","Direction=H","UseDPDF=Y")</f>
        <v>1265</v>
      </c>
      <c r="Y15" s="13" cm="1">
        <f t="array" ref="Y15">_xll.BDH("DE US Equity","IS_SGA_EXPENSE","FQ3 2024","FQ3 2024","Currency=USD","Period=FQ","BEST_FPERIOD_OVERRIDE=FQ","FILING_STATUS=MR","SCALING_FORMAT=MLN","FA_ADJUSTED=Adjusted","Sort=A","Dates=H","DateFormat=P","Fill=—","Direction=H","UseDPDF=Y")</f>
        <v>1278</v>
      </c>
      <c r="Z15" s="13" cm="1">
        <f t="array" ref="Z15">_xll.BDH("DE US Equity","IS_SGA_EXPENSE","FQ4 2024","FQ4 2024","Currency=USD","Period=FQ","BEST_FPERIOD_OVERRIDE=FQ","FILING_STATUS=MR","SCALING_FORMAT=MLN","FA_ADJUSTED=Adjusted","Sort=A","Dates=H","DateFormat=P","Fill=—","Direction=H","UseDPDF=Y")</f>
        <v>1232</v>
      </c>
      <c r="AA15" s="13" cm="1">
        <f t="array" ref="AA15">_xll.BDH("DE US Equity","IS_SGA_EXPENSE","FQ1 2025","FQ1 2025","Currency=USD","Period=FQ","BEST_FPERIOD_OVERRIDE=FQ","FILING_STATUS=MR","SCALING_FORMAT=MLN","FA_ADJUSTED=Adjusted","Sort=A","Dates=H","DateFormat=P","Fill=—","Direction=H","UseDPDF=Y")</f>
        <v>972</v>
      </c>
      <c r="AB15" s="13" cm="1">
        <f t="array" ref="AB15">_xll.BDH("DE US Equity","IS_SGA_EXPENSE","FQ2 2025","FQ2 2025","Currency=USD","Period=FQ","BEST_FPERIOD_OVERRIDE=FQ","FILING_STATUS=MR","SCALING_FORMAT=MLN","FA_ADJUSTED=Adjusted","Sort=A","Dates=H","DateFormat=P","Fill=—","Direction=H","UseDPDF=Y")</f>
        <v>1197</v>
      </c>
      <c r="AC15" s="13" cm="1">
        <f t="array" ref="AC15">_xll.BDH("DE US Equity","IS_SGA_EXPENSE","FQ3 2025","FQ3 2025","Currency=USD","Period=FQ","BEST_FPERIOD_OVERRIDE=FQ","FILING_STATUS=MR","SCALING_FORMAT=MLN","FA_ADJUSTED=Adjusted","Sort=A","Dates=H","DateFormat=P","Fill=—","Direction=H","UseDPDF=Y")</f>
        <v>1217</v>
      </c>
      <c r="AD15" s="13" cm="1">
        <f t="array" ref="AD15">_xll.BDH("DE US Equity","IS_SGA_EXPENSE","FQ4 2025","FQ4 2025","Currency=USD","Period=FQ","BEST_FPERIOD_OVERRIDE=FQ","FILING_STATUS=MR","SCALING_FORMAT=MLN","FA_ADJUSTED=Adjusted","Sort=A","Dates=H","DateFormat=P","Fill=—","Direction=H","UseDPDF=Y")</f>
        <v>1276</v>
      </c>
      <c r="AE15" s="13"/>
      <c r="AF15" s="13"/>
    </row>
    <row r="16" spans="1:32" x14ac:dyDescent="0.25">
      <c r="A16" s="10" t="s">
        <v>85</v>
      </c>
      <c r="B16" s="10" t="s">
        <v>86</v>
      </c>
      <c r="C16" s="13" cm="1">
        <f t="array" ref="C16">_xll.BDH("DE US Equity","IS_OPERATING_EXPENSES_RD","FQ1 2019","FQ1 2019","Currency=USD","Period=FQ","BEST_FPERIOD_OVERRIDE=FQ","FILING_STATUS=MR","SCALING_FORMAT=MLN","Sort=A","Dates=H","DateFormat=P","Fill=—","Direction=H","UseDPDF=Y")</f>
        <v>407</v>
      </c>
      <c r="D16" s="13" cm="1">
        <f t="array" ref="D16">_xll.BDH("DE US Equity","IS_OPERATING_EXPENSES_RD","FQ2 2019","FQ2 2019","Currency=USD","Period=FQ","BEST_FPERIOD_OVERRIDE=FQ","FILING_STATUS=MR","SCALING_FORMAT=MLN","Sort=A","Dates=H","DateFormat=P","Fill=—","Direction=H","UseDPDF=Y")</f>
        <v>457</v>
      </c>
      <c r="E16" s="13" cm="1">
        <f t="array" ref="E16">_xll.BDH("DE US Equity","IS_OPERATING_EXPENSES_RD","FQ3 2019","FQ3 2019","Currency=USD","Period=FQ","BEST_FPERIOD_OVERRIDE=FQ","FILING_STATUS=MR","SCALING_FORMAT=MLN","Sort=A","Dates=H","DateFormat=P","Fill=—","Direction=H","UseDPDF=Y")</f>
        <v>431</v>
      </c>
      <c r="F16" s="13" cm="1">
        <f t="array" ref="F16">_xll.BDH("DE US Equity","IS_OPERATING_EXPENSES_RD","FQ4 2019","FQ4 2019","Currency=USD","Period=FQ","BEST_FPERIOD_OVERRIDE=FQ","FILING_STATUS=MR","SCALING_FORMAT=MLN","Sort=A","Dates=H","DateFormat=P","Fill=—","Direction=H","UseDPDF=Y")</f>
        <v>488</v>
      </c>
      <c r="G16" s="13" cm="1">
        <f t="array" ref="G16">_xll.BDH("DE US Equity","IS_OPERATING_EXPENSES_RD","FQ1 2020","FQ1 2020","Currency=USD","Period=FQ","BEST_FPERIOD_OVERRIDE=FQ","FILING_STATUS=MR","SCALING_FORMAT=MLN","Sort=A","Dates=H","DateFormat=P","Fill=—","Direction=H","UseDPDF=Y")</f>
        <v>409</v>
      </c>
      <c r="H16" s="13" cm="1">
        <f t="array" ref="H16">_xll.BDH("DE US Equity","IS_OPERATING_EXPENSES_RD","FQ2 2020","FQ2 2020","Currency=USD","Period=FQ","BEST_FPERIOD_OVERRIDE=FQ","FILING_STATUS=MR","SCALING_FORMAT=MLN","Sort=A","Dates=H","DateFormat=P","Fill=—","Direction=H","UseDPDF=Y")</f>
        <v>406</v>
      </c>
      <c r="I16" s="13" cm="1">
        <f t="array" ref="I16">_xll.BDH("DE US Equity","IS_OPERATING_EXPENSES_RD","FQ3 2020","FQ3 2020","Currency=USD","Period=FQ","BEST_FPERIOD_OVERRIDE=FQ","FILING_STATUS=MR","SCALING_FORMAT=MLN","Sort=A","Dates=H","DateFormat=P","Fill=—","Direction=H","UseDPDF=Y")</f>
        <v>370</v>
      </c>
      <c r="J16" s="13" cm="1">
        <f t="array" ref="J16">_xll.BDH("DE US Equity","IS_OPERATING_EXPENSES_RD","FQ4 2020","FQ4 2020","Currency=USD","Period=FQ","BEST_FPERIOD_OVERRIDE=FQ","FILING_STATUS=MR","SCALING_FORMAT=MLN","Sort=A","Dates=H","DateFormat=P","Fill=—","Direction=H","UseDPDF=Y")</f>
        <v>443</v>
      </c>
      <c r="K16" s="13" cm="1">
        <f t="array" ref="K16">_xll.BDH("DE US Equity","IS_OPERATING_EXPENSES_RD","FQ1 2021","FQ1 2021","Currency=USD","Period=FQ","BEST_FPERIOD_OVERRIDE=FQ","FILING_STATUS=MR","SCALING_FORMAT=MLN","Sort=A","Dates=H","DateFormat=P","Fill=—","Direction=H","UseDPDF=Y")</f>
        <v>366</v>
      </c>
      <c r="L16" s="13" cm="1">
        <f t="array" ref="L16">_xll.BDH("DE US Equity","IS_OPERATING_EXPENSES_RD","FQ2 2021","FQ2 2021","Currency=USD","Period=FQ","BEST_FPERIOD_OVERRIDE=FQ","FILING_STATUS=MR","SCALING_FORMAT=MLN","Sort=A","Dates=H","DateFormat=P","Fill=—","Direction=H","UseDPDF=Y")</f>
        <v>377</v>
      </c>
      <c r="M16" s="13" cm="1">
        <f t="array" ref="M16">_xll.BDH("DE US Equity","IS_OPERATING_EXPENSES_RD","FQ3 2021","FQ3 2021","Currency=USD","Period=FQ","BEST_FPERIOD_OVERRIDE=FQ","FILING_STATUS=MR","SCALING_FORMAT=MLN","Sort=A","Dates=H","DateFormat=P","Fill=—","Direction=H","UseDPDF=Y")</f>
        <v>394</v>
      </c>
      <c r="N16" s="13" cm="1">
        <f t="array" ref="N16">_xll.BDH("DE US Equity","IS_OPERATING_EXPENSES_RD","FQ4 2021","FQ4 2021","Currency=USD","Period=FQ","BEST_FPERIOD_OVERRIDE=FQ","FILING_STATUS=MR","SCALING_FORMAT=MLN","Sort=A","Dates=H","DateFormat=P","Fill=—","Direction=H","UseDPDF=Y")</f>
        <v>450</v>
      </c>
      <c r="O16" s="13" cm="1">
        <f t="array" ref="O16">_xll.BDH("DE US Equity","IS_OPERATING_EXPENSES_RD","FQ1 2022","FQ1 2022","Currency=USD","Period=FQ","BEST_FPERIOD_OVERRIDE=FQ","FILING_STATUS=MR","SCALING_FORMAT=MLN","Sort=A","Dates=H","DateFormat=P","Fill=—","Direction=H","UseDPDF=Y")</f>
        <v>402</v>
      </c>
      <c r="P16" s="13" cm="1">
        <f t="array" ref="P16">_xll.BDH("DE US Equity","IS_OPERATING_EXPENSES_RD","FQ2 2022","FQ2 2022","Currency=USD","Period=FQ","BEST_FPERIOD_OVERRIDE=FQ","FILING_STATUS=MR","SCALING_FORMAT=MLN","Sort=A","Dates=H","DateFormat=P","Fill=—","Direction=H","UseDPDF=Y")</f>
        <v>453</v>
      </c>
      <c r="Q16" s="13" cm="1">
        <f t="array" ref="Q16">_xll.BDH("DE US Equity","IS_OPERATING_EXPENSES_RD","FQ3 2022","FQ3 2022","Currency=USD","Period=FQ","BEST_FPERIOD_OVERRIDE=FQ","FILING_STATUS=MR","SCALING_FORMAT=MLN","Sort=A","Dates=H","DateFormat=P","Fill=—","Direction=H","UseDPDF=Y")</f>
        <v>481</v>
      </c>
      <c r="R16" s="13" cm="1">
        <f t="array" ref="R16">_xll.BDH("DE US Equity","IS_OPERATING_EXPENSES_RD","FQ4 2022","FQ4 2022","Currency=USD","Period=FQ","BEST_FPERIOD_OVERRIDE=FQ","FILING_STATUS=MR","SCALING_FORMAT=MLN","Sort=A","Dates=H","DateFormat=P","Fill=—","Direction=H","UseDPDF=Y")</f>
        <v>576</v>
      </c>
      <c r="S16" s="13" cm="1">
        <f t="array" ref="S16">_xll.BDH("DE US Equity","IS_OPERATING_EXPENSES_RD","FQ1 2023","FQ1 2023","Currency=USD","Period=FQ","BEST_FPERIOD_OVERRIDE=FQ","FILING_STATUS=MR","SCALING_FORMAT=MLN","Sort=A","Dates=H","DateFormat=P","Fill=—","Direction=H","UseDPDF=Y")</f>
        <v>495</v>
      </c>
      <c r="T16" s="13" cm="1">
        <f t="array" ref="T16">_xll.BDH("DE US Equity","IS_OPERATING_EXPENSES_RD","FQ2 2023","FQ2 2023","Currency=USD","Period=FQ","BEST_FPERIOD_OVERRIDE=FQ","FILING_STATUS=MR","SCALING_FORMAT=MLN","Sort=A","Dates=H","DateFormat=P","Fill=—","Direction=H","UseDPDF=Y")</f>
        <v>547</v>
      </c>
      <c r="U16" s="13" cm="1">
        <f t="array" ref="U16">_xll.BDH("DE US Equity","IS_OPERATING_EXPENSES_RD","FQ3 2023","FQ3 2023","Currency=USD","Period=FQ","BEST_FPERIOD_OVERRIDE=FQ","FILING_STATUS=MR","SCALING_FORMAT=MLN","Sort=A","Dates=H","DateFormat=P","Fill=—","Direction=H","UseDPDF=Y")</f>
        <v>528</v>
      </c>
      <c r="V16" s="13" cm="1">
        <f t="array" ref="V16">_xll.BDH("DE US Equity","IS_OPERATING_EXPENSES_RD","FQ4 2023","FQ4 2023","Currency=USD","Period=FQ","BEST_FPERIOD_OVERRIDE=FQ","FILING_STATUS=MR","SCALING_FORMAT=MLN","Sort=A","Dates=H","DateFormat=P","Fill=—","Direction=H","UseDPDF=Y")</f>
        <v>606</v>
      </c>
      <c r="W16" s="13" cm="1">
        <f t="array" ref="W16">_xll.BDH("DE US Equity","IS_OPERATING_EXPENSES_RD","FQ1 2024","FQ1 2024","Currency=USD","Period=FQ","BEST_FPERIOD_OVERRIDE=FQ","FILING_STATUS=MR","SCALING_FORMAT=MLN","Sort=A","Dates=H","DateFormat=P","Fill=—","Direction=H","UseDPDF=Y")</f>
        <v>533</v>
      </c>
      <c r="X16" s="13" cm="1">
        <f t="array" ref="X16">_xll.BDH("DE US Equity","IS_OPERATING_EXPENSES_RD","FQ2 2024","FQ2 2024","Currency=USD","Period=FQ","BEST_FPERIOD_OVERRIDE=FQ","FILING_STATUS=MR","SCALING_FORMAT=MLN","Sort=A","Dates=H","DateFormat=P","Fill=—","Direction=H","UseDPDF=Y")</f>
        <v>565</v>
      </c>
      <c r="Y16" s="13" cm="1">
        <f t="array" ref="Y16">_xll.BDH("DE US Equity","IS_OPERATING_EXPENSES_RD","FQ3 2024","FQ3 2024","Currency=USD","Period=FQ","BEST_FPERIOD_OVERRIDE=FQ","FILING_STATUS=MR","SCALING_FORMAT=MLN","Sort=A","Dates=H","DateFormat=P","Fill=—","Direction=H","UseDPDF=Y")</f>
        <v>567</v>
      </c>
      <c r="Z16" s="13" cm="1">
        <f t="array" ref="Z16">_xll.BDH("DE US Equity","IS_OPERATING_EXPENSES_RD","FQ4 2024","FQ4 2024","Currency=USD","Period=FQ","BEST_FPERIOD_OVERRIDE=FQ","FILING_STATUS=MR","SCALING_FORMAT=MLN","Sort=A","Dates=H","DateFormat=P","Fill=—","Direction=H","UseDPDF=Y")</f>
        <v>626</v>
      </c>
      <c r="AA16" s="13" cm="1">
        <f t="array" ref="AA16">_xll.BDH("DE US Equity","IS_OPERATING_EXPENSES_RD","FQ1 2025","FQ1 2025","Currency=USD","Period=FQ","BEST_FPERIOD_OVERRIDE=FQ","FILING_STATUS=MR","SCALING_FORMAT=MLN","Sort=A","Dates=H","DateFormat=P","Fill=—","Direction=H","UseDPDF=Y")</f>
        <v>526</v>
      </c>
      <c r="AB16" s="13" cm="1">
        <f t="array" ref="AB16">_xll.BDH("DE US Equity","IS_OPERATING_EXPENSES_RD","FQ2 2025","FQ2 2025","Currency=USD","Period=FQ","BEST_FPERIOD_OVERRIDE=FQ","FILING_STATUS=MR","SCALING_FORMAT=MLN","Sort=A","Dates=H","DateFormat=P","Fill=—","Direction=H","UseDPDF=Y")</f>
        <v>549</v>
      </c>
      <c r="AC16" s="13" cm="1">
        <f t="array" ref="AC16">_xll.BDH("DE US Equity","IS_OPERATING_EXPENSES_RD","FQ3 2025","FQ3 2025","Currency=USD","Period=FQ","BEST_FPERIOD_OVERRIDE=FQ","FILING_STATUS=MR","SCALING_FORMAT=MLN","Sort=A","Dates=H","DateFormat=P","Fill=—","Direction=H","UseDPDF=Y")</f>
        <v>556</v>
      </c>
      <c r="AD16" s="13" cm="1">
        <f t="array" ref="AD16">_xll.BDH("DE US Equity","IS_OPERATING_EXPENSES_RD","FQ4 2025","FQ4 2025","Currency=USD","Period=FQ","BEST_FPERIOD_OVERRIDE=FQ","FILING_STATUS=MR","SCALING_FORMAT=MLN","Sort=A","Dates=H","DateFormat=P","Fill=—","Direction=H","UseDPDF=Y")</f>
        <v>681</v>
      </c>
      <c r="AE16" s="13"/>
      <c r="AF16" s="13"/>
    </row>
    <row r="17" spans="1:32" x14ac:dyDescent="0.25">
      <c r="A17" s="10" t="s">
        <v>87</v>
      </c>
      <c r="B17" s="10" t="s">
        <v>88</v>
      </c>
      <c r="C17" s="13" cm="1">
        <f t="array" ref="C17">_xll.BDH("DE US Equity","IS_OTHER_OPERATING_EXPENSES","FQ1 2019","FQ1 2019","Currency=USD","Period=FQ","BEST_FPERIOD_OVERRIDE=FQ","FILING_STATUS=MR","SCALING_FORMAT=MLN","FA_ADJUSTED=Adjusted","Sort=A","Dates=H","DateFormat=P","Fill=—","Direction=H","UseDPDF=Y")</f>
        <v>351</v>
      </c>
      <c r="D17" s="13" cm="1">
        <f t="array" ref="D17">_xll.BDH("DE US Equity","IS_OTHER_OPERATING_EXPENSES","FQ2 2019","FQ2 2019","Currency=USD","Period=FQ","BEST_FPERIOD_OVERRIDE=FQ","FILING_STATUS=MR","SCALING_FORMAT=MLN","FA_ADJUSTED=Adjusted","Sort=A","Dates=H","DateFormat=P","Fill=—","Direction=H","UseDPDF=Y")</f>
        <v>359</v>
      </c>
      <c r="E17" s="13" cm="1">
        <f t="array" ref="E17">_xll.BDH("DE US Equity","IS_OTHER_OPERATING_EXPENSES","FQ3 2019","FQ3 2019","Currency=USD","Period=FQ","BEST_FPERIOD_OVERRIDE=FQ","FILING_STATUS=MR","SCALING_FORMAT=MLN","FA_ADJUSTED=Adjusted","Sort=A","Dates=H","DateFormat=P","Fill=—","Direction=H","UseDPDF=Y")</f>
        <v>352</v>
      </c>
      <c r="F17" s="13" cm="1">
        <f t="array" ref="F17">_xll.BDH("DE US Equity","IS_OTHER_OPERATING_EXPENSES","FQ4 2019","FQ4 2019","Currency=USD","Period=FQ","BEST_FPERIOD_OVERRIDE=FQ","FILING_STATUS=MR","SCALING_FORMAT=MLN","FA_ADJUSTED=Adjusted","Sort=A","Dates=H","DateFormat=P","Fill=—","Direction=H","UseDPDF=Y")</f>
        <v>433</v>
      </c>
      <c r="G17" s="13" cm="1">
        <f t="array" ref="G17">_xll.BDH("DE US Equity","IS_OTHER_OPERATING_EXPENSES","FQ1 2020","FQ1 2020","Currency=USD","Period=FQ","BEST_FPERIOD_OVERRIDE=FQ","FILING_STATUS=MR","SCALING_FORMAT=MLN","FA_ADJUSTED=Adjusted","Sort=A","Dates=H","DateFormat=P","Fill=—","Direction=H","UseDPDF=Y")</f>
        <v>393</v>
      </c>
      <c r="H17" s="13" cm="1">
        <f t="array" ref="H17">_xll.BDH("DE US Equity","IS_OTHER_OPERATING_EXPENSES","FQ2 2020","FQ2 2020","Currency=USD","Period=FQ","BEST_FPERIOD_OVERRIDE=FQ","FILING_STATUS=MR","SCALING_FORMAT=MLN","FA_ADJUSTED=Adjusted","Sort=A","Dates=H","DateFormat=P","Fill=—","Direction=H","UseDPDF=Y")</f>
        <v>171</v>
      </c>
      <c r="I17" s="13" cm="1">
        <f t="array" ref="I17">_xll.BDH("DE US Equity","IS_OTHER_OPERATING_EXPENSES","FQ3 2020","FQ3 2020","Currency=USD","Period=FQ","BEST_FPERIOD_OVERRIDE=FQ","FILING_STATUS=MR","SCALING_FORMAT=MLN","FA_ADJUSTED=Adjusted","Sort=A","Dates=H","DateFormat=P","Fill=—","Direction=H","UseDPDF=Y")</f>
        <v>399</v>
      </c>
      <c r="J17" s="13" cm="1">
        <f t="array" ref="J17">_xll.BDH("DE US Equity","IS_OTHER_OPERATING_EXPENSES","FQ4 2020","FQ4 2020","Currency=USD","Period=FQ","BEST_FPERIOD_OVERRIDE=FQ","FILING_STATUS=MR","SCALING_FORMAT=MLN","FA_ADJUSTED=Adjusted","Sort=A","Dates=H","DateFormat=P","Fill=—","Direction=H","UseDPDF=Y")</f>
        <v>108.51900000000001</v>
      </c>
      <c r="K17" s="13" cm="1">
        <f t="array" ref="K17">_xll.BDH("DE US Equity","IS_OTHER_OPERATING_EXPENSES","FQ1 2021","FQ1 2021","Currency=USD","Period=FQ","BEST_FPERIOD_OVERRIDE=FQ","FILING_STATUS=MR","SCALING_FORMAT=MLN","FA_ADJUSTED=Adjusted","Sort=A","Dates=H","DateFormat=P","Fill=—","Direction=H","UseDPDF=Y")</f>
        <v>373</v>
      </c>
      <c r="L17" s="13" cm="1">
        <f t="array" ref="L17">_xll.BDH("DE US Equity","IS_OTHER_OPERATING_EXPENSES","FQ2 2021","FQ2 2021","Currency=USD","Period=FQ","BEST_FPERIOD_OVERRIDE=FQ","FILING_STATUS=MR","SCALING_FORMAT=MLN","FA_ADJUSTED=Adjusted","Sort=A","Dates=H","DateFormat=P","Fill=—","Direction=H","UseDPDF=Y")</f>
        <v>335</v>
      </c>
      <c r="M17" s="13" cm="1">
        <f t="array" ref="M17">_xll.BDH("DE US Equity","IS_OTHER_OPERATING_EXPENSES","FQ3 2021","FQ3 2021","Currency=USD","Period=FQ","BEST_FPERIOD_OVERRIDE=FQ","FILING_STATUS=MR","SCALING_FORMAT=MLN","FA_ADJUSTED=Adjusted","Sort=A","Dates=H","DateFormat=P","Fill=—","Direction=H","UseDPDF=Y")</f>
        <v>351</v>
      </c>
      <c r="N17" s="13" cm="1">
        <f t="array" ref="N17">_xll.BDH("DE US Equity","IS_OTHER_OPERATING_EXPENSES","FQ4 2021","FQ4 2021","Currency=USD","Period=FQ","BEST_FPERIOD_OVERRIDE=FQ","FILING_STATUS=MR","SCALING_FORMAT=MLN","FA_ADJUSTED=Adjusted","Sort=A","Dates=H","DateFormat=P","Fill=—","Direction=H","UseDPDF=Y")</f>
        <v>318</v>
      </c>
      <c r="O17" s="13" cm="1">
        <f t="array" ref="O17">_xll.BDH("DE US Equity","IS_OTHER_OPERATING_EXPENSES","FQ1 2022","FQ1 2022","Currency=USD","Period=FQ","BEST_FPERIOD_OVERRIDE=FQ","FILING_STATUS=MR","SCALING_FORMAT=MLN","FA_ADJUSTED=Adjusted","Sort=A","Dates=H","DateFormat=P","Fill=—","Direction=H","UseDPDF=Y")</f>
        <v>221</v>
      </c>
      <c r="P17" s="13" cm="1">
        <f t="array" ref="P17">_xll.BDH("DE US Equity","IS_OTHER_OPERATING_EXPENSES","FQ2 2022","FQ2 2022","Currency=USD","Period=FQ","BEST_FPERIOD_OVERRIDE=FQ","FILING_STATUS=MR","SCALING_FORMAT=MLN","FA_ADJUSTED=Adjusted","Sort=A","Dates=H","DateFormat=P","Fill=—","Direction=H","UseDPDF=Y")</f>
        <v>259</v>
      </c>
      <c r="Q17" s="13" cm="1">
        <f t="array" ref="Q17">_xll.BDH("DE US Equity","IS_OTHER_OPERATING_EXPENSES","FQ3 2022","FQ3 2022","Currency=USD","Period=FQ","BEST_FPERIOD_OVERRIDE=FQ","FILING_STATUS=MR","SCALING_FORMAT=MLN","FA_ADJUSTED=Adjusted","Sort=A","Dates=H","DateFormat=P","Fill=—","Direction=H","UseDPDF=Y")</f>
        <v>276</v>
      </c>
      <c r="R17" s="13" cm="1">
        <f t="array" ref="R17">_xll.BDH("DE US Equity","IS_OTHER_OPERATING_EXPENSES","FQ4 2022","FQ4 2022","Currency=USD","Period=FQ","BEST_FPERIOD_OVERRIDE=FQ","FILING_STATUS=MR","SCALING_FORMAT=MLN","FA_ADJUSTED=Adjusted","Sort=A","Dates=H","DateFormat=P","Fill=—","Direction=H","UseDPDF=Y")</f>
        <v>555</v>
      </c>
      <c r="S17" s="13" cm="1">
        <f t="array" ref="S17">_xll.BDH("DE US Equity","IS_OTHER_OPERATING_EXPENSES","FQ1 2023","FQ1 2023","Currency=USD","Period=FQ","BEST_FPERIOD_OVERRIDE=FQ","FILING_STATUS=MR","SCALING_FORMAT=MLN","FA_ADJUSTED=Adjusted","Sort=A","Dates=H","DateFormat=P","Fill=—","Direction=H","UseDPDF=Y")</f>
        <v>299</v>
      </c>
      <c r="T17" s="13" cm="1">
        <f t="array" ref="T17">_xll.BDH("DE US Equity","IS_OTHER_OPERATING_EXPENSES","FQ2 2023","FQ2 2023","Currency=USD","Period=FQ","BEST_FPERIOD_OVERRIDE=FQ","FILING_STATUS=MR","SCALING_FORMAT=MLN","FA_ADJUSTED=Adjusted","Sort=A","Dates=H","DateFormat=P","Fill=—","Direction=H","UseDPDF=Y")</f>
        <v>190</v>
      </c>
      <c r="U17" s="13" cm="1">
        <f t="array" ref="U17">_xll.BDH("DE US Equity","IS_OTHER_OPERATING_EXPENSES","FQ3 2023","FQ3 2023","Currency=USD","Period=FQ","BEST_FPERIOD_OVERRIDE=FQ","FILING_STATUS=MR","SCALING_FORMAT=MLN","FA_ADJUSTED=Adjusted","Sort=A","Dates=H","DateFormat=P","Fill=—","Direction=H","UseDPDF=Y")</f>
        <v>310</v>
      </c>
      <c r="V17" s="13" cm="1">
        <f t="array" ref="V17">_xll.BDH("DE US Equity","IS_OTHER_OPERATING_EXPENSES","FQ4 2023","FQ4 2023","Currency=USD","Period=FQ","BEST_FPERIOD_OVERRIDE=FQ","FILING_STATUS=MR","SCALING_FORMAT=MLN","FA_ADJUSTED=Adjusted","Sort=A","Dates=H","DateFormat=P","Fill=—","Direction=H","UseDPDF=Y")</f>
        <v>304</v>
      </c>
      <c r="W17" s="13" cm="1">
        <f t="array" ref="W17">_xll.BDH("DE US Equity","IS_OTHER_OPERATING_EXPENSES","FQ1 2024","FQ1 2024","Currency=USD","Period=FQ","BEST_FPERIOD_OVERRIDE=FQ","FILING_STATUS=MR","SCALING_FORMAT=MLN","FA_ADJUSTED=Adjusted","Sort=A","Dates=H","DateFormat=P","Fill=—","Direction=H","UseDPDF=Y")</f>
        <v>369</v>
      </c>
      <c r="X17" s="13" cm="1">
        <f t="array" ref="X17">_xll.BDH("DE US Equity","IS_OTHER_OPERATING_EXPENSES","FQ2 2024","FQ2 2024","Currency=USD","Period=FQ","BEST_FPERIOD_OVERRIDE=FQ","FILING_STATUS=MR","SCALING_FORMAT=MLN","FA_ADJUSTED=Adjusted","Sort=A","Dates=H","DateFormat=P","Fill=—","Direction=H","UseDPDF=Y")</f>
        <v>295</v>
      </c>
      <c r="Y17" s="13" cm="1">
        <f t="array" ref="Y17">_xll.BDH("DE US Equity","IS_OTHER_OPERATING_EXPENSES","FQ3 2024","FQ3 2024","Currency=USD","Period=FQ","BEST_FPERIOD_OVERRIDE=FQ","FILING_STATUS=MR","SCALING_FORMAT=MLN","FA_ADJUSTED=Adjusted","Sort=A","Dates=H","DateFormat=P","Fill=—","Direction=H","UseDPDF=Y")</f>
        <v>264</v>
      </c>
      <c r="Z17" s="13" cm="1">
        <f t="array" ref="Z17">_xll.BDH("DE US Equity","IS_OTHER_OPERATING_EXPENSES","FQ4 2024","FQ4 2024","Currency=USD","Period=FQ","BEST_FPERIOD_OVERRIDE=FQ","FILING_STATUS=MR","SCALING_FORMAT=MLN","FA_ADJUSTED=Adjusted","Sort=A","Dates=H","DateFormat=P","Fill=—","Direction=H","UseDPDF=Y")</f>
        <v>279</v>
      </c>
      <c r="AA17" s="13" cm="1">
        <f t="array" ref="AA17">_xll.BDH("DE US Equity","IS_OTHER_OPERATING_EXPENSES","FQ1 2025","FQ1 2025","Currency=USD","Period=FQ","BEST_FPERIOD_OVERRIDE=FQ","FILING_STATUS=MR","SCALING_FORMAT=MLN","FA_ADJUSTED=Adjusted","Sort=A","Dates=H","DateFormat=P","Fill=—","Direction=H","UseDPDF=Y")</f>
        <v>281</v>
      </c>
      <c r="AB17" s="13" cm="1">
        <f t="array" ref="AB17">_xll.BDH("DE US Equity","IS_OTHER_OPERATING_EXPENSES","FQ2 2025","FQ2 2025","Currency=USD","Period=FQ","BEST_FPERIOD_OVERRIDE=FQ","FILING_STATUS=MR","SCALING_FORMAT=MLN","FA_ADJUSTED=Adjusted","Sort=A","Dates=H","DateFormat=P","Fill=—","Direction=H","UseDPDF=Y")</f>
        <v>287</v>
      </c>
      <c r="AC17" s="13" cm="1">
        <f t="array" ref="AC17">_xll.BDH("DE US Equity","IS_OTHER_OPERATING_EXPENSES","FQ3 2025","FQ3 2025","Currency=USD","Period=FQ","BEST_FPERIOD_OVERRIDE=FQ","FILING_STATUS=MR","SCALING_FORMAT=MLN","FA_ADJUSTED=Adjusted","Sort=A","Dates=H","DateFormat=P","Fill=—","Direction=H","UseDPDF=Y")</f>
        <v>220</v>
      </c>
      <c r="AD17" s="13" cm="1">
        <f t="array" ref="AD17">_xll.BDH("DE US Equity","IS_OTHER_OPERATING_EXPENSES","FQ4 2025","FQ4 2025","Currency=USD","Period=FQ","BEST_FPERIOD_OVERRIDE=FQ","FILING_STATUS=MR","SCALING_FORMAT=MLN","FA_ADJUSTED=Adjusted","Sort=A","Dates=H","DateFormat=P","Fill=—","Direction=H","UseDPDF=Y")</f>
        <v>212</v>
      </c>
      <c r="AE17" s="13"/>
      <c r="AF17" s="13"/>
    </row>
    <row r="18" spans="1:32" x14ac:dyDescent="0.25">
      <c r="A18" s="6" t="s">
        <v>89</v>
      </c>
      <c r="B18" s="6" t="s">
        <v>90</v>
      </c>
      <c r="C18" s="16" cm="1">
        <f t="array" ref="C18">_xll.BDH("DE US Equity","IS_OPER_INC","FQ1 2019","FQ1 2019","Currency=USD","Period=FQ","BEST_FPERIOD_OVERRIDE=FQ","FILING_STATUS=MR","SCALING_FORMAT=MLN","FA_ADJUSTED=Adjusted","Sort=A","Dates=H","DateFormat=P","Fill=—","Direction=H","UseDPDF=Y")</f>
        <v>1030</v>
      </c>
      <c r="D18" s="16" cm="1">
        <f t="array" ref="D18">_xll.BDH("DE US Equity","IS_OPER_INC","FQ2 2019","FQ2 2019","Currency=USD","Period=FQ","BEST_FPERIOD_OVERRIDE=FQ","FILING_STATUS=MR","SCALING_FORMAT=MLN","FA_ADJUSTED=Adjusted","Sort=A","Dates=H","DateFormat=P","Fill=—","Direction=H","UseDPDF=Y")</f>
        <v>1824</v>
      </c>
      <c r="E18" s="16" cm="1">
        <f t="array" ref="E18">_xll.BDH("DE US Equity","IS_OPER_INC","FQ3 2019","FQ3 2019","Currency=USD","Period=FQ","BEST_FPERIOD_OVERRIDE=FQ","FILING_STATUS=MR","SCALING_FORMAT=MLN","FA_ADJUSTED=Adjusted","Sort=A","Dates=H","DateFormat=P","Fill=—","Direction=H","UseDPDF=Y")</f>
        <v>1487</v>
      </c>
      <c r="F18" s="16" cm="1">
        <f t="array" ref="F18">_xll.BDH("DE US Equity","IS_OPER_INC","FQ4 2019","FQ4 2019","Currency=USD","Period=FQ","BEST_FPERIOD_OVERRIDE=FQ","FILING_STATUS=MR","SCALING_FORMAT=MLN","FA_ADJUSTED=Adjusted","Sort=A","Dates=H","DateFormat=P","Fill=—","Direction=H","UseDPDF=Y")</f>
        <v>1295</v>
      </c>
      <c r="G18" s="16" cm="1">
        <f t="array" ref="G18">_xll.BDH("DE US Equity","IS_OPER_INC","FQ1 2020","FQ1 2020","Currency=USD","Period=FQ","BEST_FPERIOD_OVERRIDE=FQ","FILING_STATUS=MR","SCALING_FORMAT=MLN","FA_ADJUSTED=Adjusted","Sort=A","Dates=H","DateFormat=P","Fill=—","Direction=H","UseDPDF=Y")</f>
        <v>1032</v>
      </c>
      <c r="H18" s="16" cm="1">
        <f t="array" ref="H18">_xll.BDH("DE US Equity","IS_OPER_INC","FQ2 2020","FQ2 2020","Currency=USD","Period=FQ","BEST_FPERIOD_OVERRIDE=FQ","FILING_STATUS=MR","SCALING_FORMAT=MLN","FA_ADJUSTED=Adjusted","Sort=A","Dates=H","DateFormat=P","Fill=—","Direction=H","UseDPDF=Y")</f>
        <v>1476</v>
      </c>
      <c r="I18" s="16" cm="1">
        <f t="array" ref="I18">_xll.BDH("DE US Equity","IS_OPER_INC","FQ3 2020","FQ3 2020","Currency=USD","Period=FQ","BEST_FPERIOD_OVERRIDE=FQ","FILING_STATUS=MR","SCALING_FORMAT=MLN","FA_ADJUSTED=Adjusted","Sort=A","Dates=H","DateFormat=P","Fill=—","Direction=H","UseDPDF=Y")</f>
        <v>1573</v>
      </c>
      <c r="J18" s="16" cm="1">
        <f t="array" ref="J18">_xll.BDH("DE US Equity","IS_OPER_INC","FQ4 2020","FQ4 2020","Currency=USD","Period=FQ","BEST_FPERIOD_OVERRIDE=FQ","FILING_STATUS=MR","SCALING_FORMAT=MLN","FA_ADJUSTED=Adjusted","Sort=A","Dates=H","DateFormat=P","Fill=—","Direction=H","UseDPDF=Y")</f>
        <v>1740.481</v>
      </c>
      <c r="K18" s="16" cm="1">
        <f t="array" ref="K18">_xll.BDH("DE US Equity","IS_OPER_INC","FQ1 2021","FQ1 2021","Currency=USD","Period=FQ","BEST_FPERIOD_OVERRIDE=FQ","FILING_STATUS=MR","SCALING_FORMAT=MLN","FA_ADJUSTED=Adjusted","Sort=A","Dates=H","DateFormat=P","Fill=—","Direction=H","UseDPDF=Y")</f>
        <v>1791</v>
      </c>
      <c r="L18" s="16" cm="1">
        <f t="array" ref="L18">_xll.BDH("DE US Equity","IS_OPER_INC","FQ2 2021","FQ2 2021","Currency=USD","Period=FQ","BEST_FPERIOD_OVERRIDE=FQ","FILING_STATUS=MR","SCALING_FORMAT=MLN","FA_ADJUSTED=Adjusted","Sort=A","Dates=H","DateFormat=P","Fill=—","Direction=H","UseDPDF=Y")</f>
        <v>2580</v>
      </c>
      <c r="M18" s="16" cm="1">
        <f t="array" ref="M18">_xll.BDH("DE US Equity","IS_OPER_INC","FQ3 2021","FQ3 2021","Currency=USD","Period=FQ","BEST_FPERIOD_OVERRIDE=FQ","FILING_STATUS=MR","SCALING_FORMAT=MLN","FA_ADJUSTED=Adjusted","Sort=A","Dates=H","DateFormat=P","Fill=—","Direction=H","UseDPDF=Y")</f>
        <v>2367</v>
      </c>
      <c r="N18" s="16" cm="1">
        <f t="array" ref="N18">_xll.BDH("DE US Equity","IS_OPER_INC","FQ4 2021","FQ4 2021","Currency=USD","Period=FQ","BEST_FPERIOD_OVERRIDE=FQ","FILING_STATUS=MR","SCALING_FORMAT=MLN","FA_ADJUSTED=Adjusted","Sort=A","Dates=H","DateFormat=P","Fill=—","Direction=H","UseDPDF=Y")</f>
        <v>1823</v>
      </c>
      <c r="O18" s="16" cm="1">
        <f t="array" ref="O18">_xll.BDH("DE US Equity","IS_OPER_INC","FQ1 2022","FQ1 2022","Currency=USD","Period=FQ","BEST_FPERIOD_OVERRIDE=FQ","FILING_STATUS=MR","SCALING_FORMAT=MLN","FA_ADJUSTED=Adjusted","Sort=A","Dates=H","DateFormat=P","Fill=—","Direction=H","UseDPDF=Y")</f>
        <v>1470</v>
      </c>
      <c r="P18" s="16" cm="1">
        <f t="array" ref="P18">_xll.BDH("DE US Equity","IS_OPER_INC","FQ2 2022","FQ2 2022","Currency=USD","Period=FQ","BEST_FPERIOD_OVERRIDE=FQ","FILING_STATUS=MR","SCALING_FORMAT=MLN","FA_ADJUSTED=Adjusted","Sort=A","Dates=H","DateFormat=P","Fill=—","Direction=H","UseDPDF=Y")</f>
        <v>2808</v>
      </c>
      <c r="Q18" s="16" cm="1">
        <f t="array" ref="Q18">_xll.BDH("DE US Equity","IS_OPER_INC","FQ3 2022","FQ3 2022","Currency=USD","Period=FQ","BEST_FPERIOD_OVERRIDE=FQ","FILING_STATUS=MR","SCALING_FORMAT=MLN","FA_ADJUSTED=Adjusted","Sort=A","Dates=H","DateFormat=P","Fill=—","Direction=H","UseDPDF=Y")</f>
        <v>2875</v>
      </c>
      <c r="R18" s="16" cm="1">
        <f t="array" ref="R18">_xll.BDH("DE US Equity","IS_OPER_INC","FQ4 2022","FQ4 2022","Currency=USD","Period=FQ","BEST_FPERIOD_OVERRIDE=FQ","FILING_STATUS=MR","SCALING_FORMAT=MLN","FA_ADJUSTED=Adjusted","Sort=A","Dates=H","DateFormat=P","Fill=—","Direction=H","UseDPDF=Y")</f>
        <v>3000</v>
      </c>
      <c r="S18" s="16" cm="1">
        <f t="array" ref="S18">_xll.BDH("DE US Equity","IS_OPER_INC","FQ1 2023","FQ1 2023","Currency=USD","Period=FQ","BEST_FPERIOD_OVERRIDE=FQ","FILING_STATUS=MR","SCALING_FORMAT=MLN","FA_ADJUSTED=Adjusted","Sort=A","Dates=H","DateFormat=P","Fill=—","Direction=H","UseDPDF=Y")</f>
        <v>2972</v>
      </c>
      <c r="T18" s="16" cm="1">
        <f t="array" ref="T18">_xll.BDH("DE US Equity","IS_OPER_INC","FQ2 2023","FQ2 2023","Currency=USD","Period=FQ","BEST_FPERIOD_OVERRIDE=FQ","FILING_STATUS=MR","SCALING_FORMAT=MLN","FA_ADJUSTED=Adjusted","Sort=A","Dates=H","DateFormat=P","Fill=—","Direction=H","UseDPDF=Y")</f>
        <v>4590</v>
      </c>
      <c r="U18" s="16" cm="1">
        <f t="array" ref="U18">_xll.BDH("DE US Equity","IS_OPER_INC","FQ3 2023","FQ3 2023","Currency=USD","Period=FQ","BEST_FPERIOD_OVERRIDE=FQ","FILING_STATUS=MR","SCALING_FORMAT=MLN","FA_ADJUSTED=Adjusted","Sort=A","Dates=H","DateFormat=P","Fill=—","Direction=H","UseDPDF=Y")</f>
        <v>4229</v>
      </c>
      <c r="V18" s="16" cm="1">
        <f t="array" ref="V18">_xll.BDH("DE US Equity","IS_OPER_INC","FQ4 2023","FQ4 2023","Currency=USD","Period=FQ","BEST_FPERIOD_OVERRIDE=FQ","FILING_STATUS=MR","SCALING_FORMAT=MLN","FA_ADJUSTED=Adjusted","Sort=A","Dates=H","DateFormat=P","Fill=—","Direction=H","UseDPDF=Y")</f>
        <v>3872</v>
      </c>
      <c r="W18" s="16" cm="1">
        <f t="array" ref="W18">_xll.BDH("DE US Equity","IS_OPER_INC","FQ1 2024","FQ1 2024","Currency=USD","Period=FQ","BEST_FPERIOD_OVERRIDE=FQ","FILING_STATUS=MR","SCALING_FORMAT=MLN","FA_ADJUSTED=Adjusted","Sort=A","Dates=H","DateFormat=P","Fill=—","Direction=H","UseDPDF=Y")</f>
        <v>3017</v>
      </c>
      <c r="X18" s="16" cm="1">
        <f t="array" ref="X18">_xll.BDH("DE US Equity","IS_OPER_INC","FQ2 2024","FQ2 2024","Currency=USD","Period=FQ","BEST_FPERIOD_OVERRIDE=FQ","FILING_STATUS=MR","SCALING_FORMAT=MLN","FA_ADJUSTED=Adjusted","Sort=A","Dates=H","DateFormat=P","Fill=—","Direction=H","UseDPDF=Y")</f>
        <v>3953</v>
      </c>
      <c r="Y18" s="16" cm="1">
        <f t="array" ref="Y18">_xll.BDH("DE US Equity","IS_OPER_INC","FQ3 2024","FQ3 2024","Currency=USD","Period=FQ","BEST_FPERIOD_OVERRIDE=FQ","FILING_STATUS=MR","SCALING_FORMAT=MLN","FA_ADJUSTED=Adjusted","Sort=A","Dates=H","DateFormat=P","Fill=—","Direction=H","UseDPDF=Y")</f>
        <v>3195</v>
      </c>
      <c r="Z18" s="16" cm="1">
        <f t="array" ref="Z18">_xll.BDH("DE US Equity","IS_OPER_INC","FQ4 2024","FQ4 2024","Currency=USD","Period=FQ","BEST_FPERIOD_OVERRIDE=FQ","FILING_STATUS=MR","SCALING_FORMAT=MLN","FA_ADJUSTED=Adjusted","Sort=A","Dates=H","DateFormat=P","Fill=—","Direction=H","UseDPDF=Y")</f>
        <v>2435</v>
      </c>
      <c r="AA18" s="16" cm="1">
        <f t="array" ref="AA18">_xll.BDH("DE US Equity","IS_OPER_INC","FQ1 2025","FQ1 2025","Currency=USD","Period=FQ","BEST_FPERIOD_OVERRIDE=FQ","FILING_STATUS=MR","SCALING_FORMAT=MLN","FA_ADJUSTED=Adjusted","Sort=A","Dates=H","DateFormat=P","Fill=—","Direction=H","UseDPDF=Y")</f>
        <v>1692</v>
      </c>
      <c r="AB18" s="16" cm="1">
        <f t="array" ref="AB18">_xll.BDH("DE US Equity","IS_OPER_INC","FQ2 2025","FQ2 2025","Currency=USD","Period=FQ","BEST_FPERIOD_OVERRIDE=FQ","FILING_STATUS=MR","SCALING_FORMAT=MLN","FA_ADJUSTED=Adjusted","Sort=A","Dates=H","DateFormat=P","Fill=—","Direction=H","UseDPDF=Y")</f>
        <v>3121</v>
      </c>
      <c r="AC18" s="16" cm="1">
        <f t="array" ref="AC18">_xll.BDH("DE US Equity","IS_OPER_INC","FQ3 2025","FQ3 2025","Currency=USD","Period=FQ","BEST_FPERIOD_OVERRIDE=FQ","FILING_STATUS=MR","SCALING_FORMAT=MLN","FA_ADJUSTED=Adjusted","Sort=A","Dates=H","DateFormat=P","Fill=—","Direction=H","UseDPDF=Y")</f>
        <v>2455</v>
      </c>
      <c r="AD18" s="16" cm="1">
        <f t="array" ref="AD18">_xll.BDH("DE US Equity","IS_OPER_INC","FQ4 2025","FQ4 2025","Currency=USD","Period=FQ","BEST_FPERIOD_OVERRIDE=FQ","FILING_STATUS=MR","SCALING_FORMAT=MLN","FA_ADJUSTED=Adjusted","Sort=A","Dates=H","DateFormat=P","Fill=—","Direction=H","UseDPDF=Y")</f>
        <v>2281</v>
      </c>
      <c r="AE18" s="16">
        <v>495.58333333333297</v>
      </c>
      <c r="AF18" s="16">
        <v>1743.75</v>
      </c>
    </row>
    <row r="19" spans="1:32" x14ac:dyDescent="0.25">
      <c r="A19" s="10" t="s">
        <v>91</v>
      </c>
      <c r="B19" s="10" t="s">
        <v>92</v>
      </c>
      <c r="C19" s="13" cm="1">
        <f t="array" ref="C19">_xll.BDH("DE US Equity","IS_NONOP_INCOME_LOSS","FQ1 2019","FQ1 2019","Currency=USD","Period=FQ","BEST_FPERIOD_OVERRIDE=FQ","FILING_STATUS=MR","SCALING_FORMAT=MLN","FA_ADJUSTED=Adjusted","Sort=A","Dates=H","DateFormat=P","Fill=—","Direction=H","UseDPDF=Y")</f>
        <v>353</v>
      </c>
      <c r="D19" s="13" cm="1">
        <f t="array" ref="D19">_xll.BDH("DE US Equity","IS_NONOP_INCOME_LOSS","FQ2 2019","FQ2 2019","Currency=USD","Period=FQ","BEST_FPERIOD_OVERRIDE=FQ","FILING_STATUS=MR","SCALING_FORMAT=MLN","FA_ADJUSTED=Adjusted","Sort=A","Dates=H","DateFormat=P","Fill=—","Direction=H","UseDPDF=Y")</f>
        <v>351</v>
      </c>
      <c r="E19" s="13" cm="1">
        <f t="array" ref="E19">_xll.BDH("DE US Equity","IS_NONOP_INCOME_LOSS","FQ3 2019","FQ3 2019","Currency=USD","Period=FQ","BEST_FPERIOD_OVERRIDE=FQ","FILING_STATUS=MR","SCALING_FORMAT=MLN","FA_ADJUSTED=Adjusted","Sort=A","Dates=H","DateFormat=P","Fill=—","Direction=H","UseDPDF=Y")</f>
        <v>374</v>
      </c>
      <c r="F19" s="13" cm="1">
        <f t="array" ref="F19">_xll.BDH("DE US Equity","IS_NONOP_INCOME_LOSS","FQ4 2019","FQ4 2019","Currency=USD","Period=FQ","BEST_FPERIOD_OVERRIDE=FQ","FILING_STATUS=MR","SCALING_FORMAT=MLN","FA_ADJUSTED=Adjusted","Sort=A","Dates=H","DateFormat=P","Fill=—","Direction=H","UseDPDF=Y")</f>
        <v>388</v>
      </c>
      <c r="G19" s="13" cm="1">
        <f t="array" ref="G19">_xll.BDH("DE US Equity","IS_NONOP_INCOME_LOSS","FQ1 2020","FQ1 2020","Currency=USD","Period=FQ","BEST_FPERIOD_OVERRIDE=FQ","FILING_STATUS=MR","SCALING_FORMAT=MLN","FA_ADJUSTED=Adjusted","Sort=A","Dates=H","DateFormat=P","Fill=—","Direction=H","UseDPDF=Y")</f>
        <v>336</v>
      </c>
      <c r="H19" s="13" cm="1">
        <f t="array" ref="H19">_xll.BDH("DE US Equity","IS_NONOP_INCOME_LOSS","FQ2 2020","FQ2 2020","Currency=USD","Period=FQ","BEST_FPERIOD_OVERRIDE=FQ","FILING_STATUS=MR","SCALING_FORMAT=MLN","FA_ADJUSTED=Adjusted","Sort=A","Dates=H","DateFormat=P","Fill=—","Direction=H","UseDPDF=Y")</f>
        <v>342</v>
      </c>
      <c r="I19" s="13" cm="1">
        <f t="array" ref="I19">_xll.BDH("DE US Equity","IS_NONOP_INCOME_LOSS","FQ3 2020","FQ3 2020","Currency=USD","Period=FQ","BEST_FPERIOD_OVERRIDE=FQ","FILING_STATUS=MR","SCALING_FORMAT=MLN","FA_ADJUSTED=Adjusted","Sort=A","Dates=H","DateFormat=P","Fill=—","Direction=H","UseDPDF=Y")</f>
        <v>290</v>
      </c>
      <c r="J19" s="13" cm="1">
        <f t="array" ref="J19">_xll.BDH("DE US Equity","IS_NONOP_INCOME_LOSS","FQ4 2020","FQ4 2020","Currency=USD","Period=FQ","BEST_FPERIOD_OVERRIDE=FQ","FILING_STATUS=MR","SCALING_FORMAT=MLN","FA_ADJUSTED=Adjusted","Sort=A","Dates=H","DateFormat=P","Fill=—","Direction=H","UseDPDF=Y")</f>
        <v>278</v>
      </c>
      <c r="K19" s="13" cm="1">
        <f t="array" ref="K19">_xll.BDH("DE US Equity","IS_NONOP_INCOME_LOSS","FQ1 2021","FQ1 2021","Currency=USD","Period=FQ","BEST_FPERIOD_OVERRIDE=FQ","FILING_STATUS=MR","SCALING_FORMAT=MLN","FA_ADJUSTED=Adjusted","Sort=A","Dates=H","DateFormat=P","Fill=—","Direction=H","UseDPDF=Y")</f>
        <v>271</v>
      </c>
      <c r="L19" s="13" cm="1">
        <f t="array" ref="L19">_xll.BDH("DE US Equity","IS_NONOP_INCOME_LOSS","FQ2 2021","FQ2 2021","Currency=USD","Period=FQ","BEST_FPERIOD_OVERRIDE=FQ","FILING_STATUS=MR","SCALING_FORMAT=MLN","FA_ADJUSTED=Adjusted","Sort=A","Dates=H","DateFormat=P","Fill=—","Direction=H","UseDPDF=Y")</f>
        <v>268</v>
      </c>
      <c r="M19" s="13" cm="1">
        <f t="array" ref="M19">_xll.BDH("DE US Equity","IS_NONOP_INCOME_LOSS","FQ3 2021","FQ3 2021","Currency=USD","Period=FQ","BEST_FPERIOD_OVERRIDE=FQ","FILING_STATUS=MR","SCALING_FORMAT=MLN","FA_ADJUSTED=Adjusted","Sort=A","Dates=H","DateFormat=P","Fill=—","Direction=H","UseDPDF=Y")</f>
        <v>244</v>
      </c>
      <c r="N19" s="13" cm="1">
        <f t="array" ref="N19">_xll.BDH("DE US Equity","IS_NONOP_INCOME_LOSS","FQ4 2021","FQ4 2021","Currency=USD","Period=FQ","BEST_FPERIOD_OVERRIDE=FQ","FILING_STATUS=MR","SCALING_FORMAT=MLN","FA_ADJUSTED=Adjusted","Sort=A","Dates=H","DateFormat=P","Fill=—","Direction=H","UseDPDF=Y")</f>
        <v>210</v>
      </c>
      <c r="O19" s="13" cm="1">
        <f t="array" ref="O19">_xll.BDH("DE US Equity","IS_NONOP_INCOME_LOSS","FQ1 2022","FQ1 2022","Currency=USD","Period=FQ","BEST_FPERIOD_OVERRIDE=FQ","FILING_STATUS=MR","SCALING_FORMAT=MLN","FA_ADJUSTED=Adjusted","Sort=A","Dates=H","DateFormat=P","Fill=—","Direction=H","UseDPDF=Y")</f>
        <v>229</v>
      </c>
      <c r="P19" s="13" cm="1">
        <f t="array" ref="P19">_xll.BDH("DE US Equity","IS_NONOP_INCOME_LOSS","FQ2 2022","FQ2 2022","Currency=USD","Period=FQ","BEST_FPERIOD_OVERRIDE=FQ","FILING_STATUS=MR","SCALING_FORMAT=MLN","FA_ADJUSTED=Adjusted","Sort=A","Dates=H","DateFormat=P","Fill=—","Direction=H","UseDPDF=Y")</f>
        <v>187</v>
      </c>
      <c r="Q19" s="13" cm="1">
        <f t="array" ref="Q19">_xll.BDH("DE US Equity","IS_NONOP_INCOME_LOSS","FQ3 2022","FQ3 2022","Currency=USD","Period=FQ","BEST_FPERIOD_OVERRIDE=FQ","FILING_STATUS=MR","SCALING_FORMAT=MLN","FA_ADJUSTED=Adjusted","Sort=A","Dates=H","DateFormat=P","Fill=—","Direction=H","UseDPDF=Y")</f>
        <v>296</v>
      </c>
      <c r="R19" s="13" cm="1">
        <f t="array" ref="R19">_xll.BDH("DE US Equity","IS_NONOP_INCOME_LOSS","FQ4 2022","FQ4 2022","Currency=USD","Period=FQ","BEST_FPERIOD_OVERRIDE=FQ","FILING_STATUS=MR","SCALING_FORMAT=MLN","FA_ADJUSTED=Adjusted","Sort=A","Dates=H","DateFormat=P","Fill=—","Direction=H","UseDPDF=Y")</f>
        <v>349</v>
      </c>
      <c r="S19" s="13" cm="1">
        <f t="array" ref="S19">_xll.BDH("DE US Equity","IS_NONOP_INCOME_LOSS","FQ1 2023","FQ1 2023","Currency=USD","Period=FQ","BEST_FPERIOD_OVERRIDE=FQ","FILING_STATUS=MR","SCALING_FORMAT=MLN","FA_ADJUSTED=Adjusted","Sort=A","Dates=H","DateFormat=P","Fill=—","Direction=H","UseDPDF=Y")</f>
        <v>479</v>
      </c>
      <c r="T19" s="13" cm="1">
        <f t="array" ref="T19">_xll.BDH("DE US Equity","IS_NONOP_INCOME_LOSS","FQ2 2023","FQ2 2023","Currency=USD","Period=FQ","BEST_FPERIOD_OVERRIDE=FQ","FILING_STATUS=MR","SCALING_FORMAT=MLN","FA_ADJUSTED=Adjusted","Sort=A","Dates=H","DateFormat=P","Fill=—","Direction=H","UseDPDF=Y")</f>
        <v>569</v>
      </c>
      <c r="U19" s="13" cm="1">
        <f t="array" ref="U19">_xll.BDH("DE US Equity","IS_NONOP_INCOME_LOSS","FQ3 2023","FQ3 2023","Currency=USD","Period=FQ","BEST_FPERIOD_OVERRIDE=FQ","FILING_STATUS=MR","SCALING_FORMAT=MLN","FA_ADJUSTED=Adjusted","Sort=A","Dates=H","DateFormat=P","Fill=—","Direction=H","UseDPDF=Y")</f>
        <v>623</v>
      </c>
      <c r="V19" s="13" cm="1">
        <f t="array" ref="V19">_xll.BDH("DE US Equity","IS_NONOP_INCOME_LOSS","FQ4 2023","FQ4 2023","Currency=USD","Period=FQ","BEST_FPERIOD_OVERRIDE=FQ","FILING_STATUS=MR","SCALING_FORMAT=MLN","FA_ADJUSTED=Adjusted","Sort=A","Dates=H","DateFormat=P","Fill=—","Direction=H","UseDPDF=Y")</f>
        <v>781</v>
      </c>
      <c r="W19" s="13" cm="1">
        <f t="array" ref="W19">_xll.BDH("DE US Equity","IS_NONOP_INCOME_LOSS","FQ1 2024","FQ1 2024","Currency=USD","Period=FQ","BEST_FPERIOD_OVERRIDE=FQ","FILING_STATUS=MR","SCALING_FORMAT=MLN","FA_ADJUSTED=Adjusted","Sort=A","Dates=H","DateFormat=P","Fill=—","Direction=H","UseDPDF=Y")</f>
        <v>802</v>
      </c>
      <c r="X19" s="13" cm="1">
        <f t="array" ref="X19">_xll.BDH("DE US Equity","IS_NONOP_INCOME_LOSS","FQ2 2024","FQ2 2024","Currency=USD","Period=FQ","BEST_FPERIOD_OVERRIDE=FQ","FILING_STATUS=MR","SCALING_FORMAT=MLN","FA_ADJUSTED=Adjusted","Sort=A","Dates=H","DateFormat=P","Fill=—","Direction=H","UseDPDF=Y")</f>
        <v>836</v>
      </c>
      <c r="Y19" s="13" cm="1">
        <f t="array" ref="Y19">_xll.BDH("DE US Equity","IS_NONOP_INCOME_LOSS","FQ3 2024","FQ3 2024","Currency=USD","Period=FQ","BEST_FPERIOD_OVERRIDE=FQ","FILING_STATUS=MR","SCALING_FORMAT=MLN","FA_ADJUSTED=Adjusted","Sort=A","Dates=H","DateFormat=P","Fill=—","Direction=H","UseDPDF=Y")</f>
        <v>840</v>
      </c>
      <c r="Z19" s="13" cm="1">
        <f t="array" ref="Z19">_xll.BDH("DE US Equity","IS_NONOP_INCOME_LOSS","FQ4 2024","FQ4 2024","Currency=USD","Period=FQ","BEST_FPERIOD_OVERRIDE=FQ","FILING_STATUS=MR","SCALING_FORMAT=MLN","FA_ADJUSTED=Adjusted","Sort=A","Dates=H","DateFormat=P","Fill=—","Direction=H","UseDPDF=Y")</f>
        <v>869</v>
      </c>
      <c r="AA19" s="13" cm="1">
        <f t="array" ref="AA19">_xll.BDH("DE US Equity","IS_NONOP_INCOME_LOSS","FQ1 2025","FQ1 2025","Currency=USD","Period=FQ","BEST_FPERIOD_OVERRIDE=FQ","FILING_STATUS=MR","SCALING_FORMAT=MLN","FA_ADJUSTED=Adjusted","Sort=A","Dates=H","DateFormat=P","Fill=—","Direction=H","UseDPDF=Y")</f>
        <v>829</v>
      </c>
      <c r="AB19" s="13" cm="1">
        <f t="array" ref="AB19">_xll.BDH("DE US Equity","IS_NONOP_INCOME_LOSS","FQ2 2025","FQ2 2025","Currency=USD","Period=FQ","BEST_FPERIOD_OVERRIDE=FQ","FILING_STATUS=MR","SCALING_FORMAT=MLN","FA_ADJUSTED=Adjusted","Sort=A","Dates=H","DateFormat=P","Fill=—","Direction=H","UseDPDF=Y")</f>
        <v>784</v>
      </c>
      <c r="AC19" s="13" cm="1">
        <f t="array" ref="AC19">_xll.BDH("DE US Equity","IS_NONOP_INCOME_LOSS","FQ3 2025","FQ3 2025","Currency=USD","Period=FQ","BEST_FPERIOD_OVERRIDE=FQ","FILING_STATUS=MR","SCALING_FORMAT=MLN","FA_ADJUSTED=Adjusted","Sort=A","Dates=H","DateFormat=P","Fill=—","Direction=H","UseDPDF=Y")</f>
        <v>794</v>
      </c>
      <c r="AD19" s="13" cm="1">
        <f t="array" ref="AD19">_xll.BDH("DE US Equity","IS_NONOP_INCOME_LOSS","FQ4 2025","FQ4 2025","Currency=USD","Period=FQ","BEST_FPERIOD_OVERRIDE=FQ","FILING_STATUS=MR","SCALING_FORMAT=MLN","FA_ADJUSTED=Adjusted","Sort=A","Dates=H","DateFormat=P","Fill=—","Direction=H","UseDPDF=Y")</f>
        <v>762</v>
      </c>
      <c r="AE19" s="13"/>
      <c r="AF19" s="13"/>
    </row>
    <row r="20" spans="1:32" x14ac:dyDescent="0.25">
      <c r="A20" s="10" t="s">
        <v>93</v>
      </c>
      <c r="B20" s="10" t="s">
        <v>94</v>
      </c>
      <c r="C20" s="13" cm="1">
        <f t="array" ref="C20">_xll.BDH("DE US Equity","IS_NET_INTEREST_EXPENSE","FQ1 2019","FQ1 2019","Currency=USD","Period=FQ","BEST_FPERIOD_OVERRIDE=FQ","FILING_STATUS=MR","SCALING_FORMAT=MLN","FA_ADJUSTED=Adjusted","Sort=A","Dates=H","DateFormat=P","Fill=—","Direction=H","UseDPDF=Y")</f>
        <v>353</v>
      </c>
      <c r="D20" s="13" cm="1">
        <f t="array" ref="D20">_xll.BDH("DE US Equity","IS_NET_INTEREST_EXPENSE","FQ2 2019","FQ2 2019","Currency=USD","Period=FQ","BEST_FPERIOD_OVERRIDE=FQ","FILING_STATUS=MR","SCALING_FORMAT=MLN","FA_ADJUSTED=Adjusted","Sort=A","Dates=H","DateFormat=P","Fill=—","Direction=H","UseDPDF=Y")</f>
        <v>351</v>
      </c>
      <c r="E20" s="13" cm="1">
        <f t="array" ref="E20">_xll.BDH("DE US Equity","IS_NET_INTEREST_EXPENSE","FQ3 2019","FQ3 2019","Currency=USD","Period=FQ","BEST_FPERIOD_OVERRIDE=FQ","FILING_STATUS=MR","SCALING_FORMAT=MLN","FA_ADJUSTED=Adjusted","Sort=A","Dates=H","DateFormat=P","Fill=—","Direction=H","UseDPDF=Y")</f>
        <v>374</v>
      </c>
      <c r="F20" s="13" cm="1">
        <f t="array" ref="F20">_xll.BDH("DE US Equity","IS_NET_INTEREST_EXPENSE","FQ4 2019","FQ4 2019","Currency=USD","Period=FQ","BEST_FPERIOD_OVERRIDE=FQ","FILING_STATUS=MR","SCALING_FORMAT=MLN","FA_ADJUSTED=Adjusted","Sort=A","Dates=H","DateFormat=P","Fill=—","Direction=H","UseDPDF=Y")</f>
        <v>388</v>
      </c>
      <c r="G20" s="13" cm="1">
        <f t="array" ref="G20">_xll.BDH("DE US Equity","IS_NET_INTEREST_EXPENSE","FQ1 2020","FQ1 2020","Currency=USD","Period=FQ","BEST_FPERIOD_OVERRIDE=FQ","FILING_STATUS=MR","SCALING_FORMAT=MLN","FA_ADJUSTED=Adjusted","Sort=A","Dates=H","DateFormat=P","Fill=—","Direction=H","UseDPDF=Y")</f>
        <v>336</v>
      </c>
      <c r="H20" s="13" cm="1">
        <f t="array" ref="H20">_xll.BDH("DE US Equity","IS_NET_INTEREST_EXPENSE","FQ2 2020","FQ2 2020","Currency=USD","Period=FQ","BEST_FPERIOD_OVERRIDE=FQ","FILING_STATUS=MR","SCALING_FORMAT=MLN","FA_ADJUSTED=Adjusted","Sort=A","Dates=H","DateFormat=P","Fill=—","Direction=H","UseDPDF=Y")</f>
        <v>342</v>
      </c>
      <c r="I20" s="13" cm="1">
        <f t="array" ref="I20">_xll.BDH("DE US Equity","IS_NET_INTEREST_EXPENSE","FQ3 2020","FQ3 2020","Currency=USD","Period=FQ","BEST_FPERIOD_OVERRIDE=FQ","FILING_STATUS=MR","SCALING_FORMAT=MLN","FA_ADJUSTED=Adjusted","Sort=A","Dates=H","DateFormat=P","Fill=—","Direction=H","UseDPDF=Y")</f>
        <v>290</v>
      </c>
      <c r="J20" s="13" cm="1">
        <f t="array" ref="J20">_xll.BDH("DE US Equity","IS_NET_INTEREST_EXPENSE","FQ4 2020","FQ4 2020","Currency=USD","Period=FQ","BEST_FPERIOD_OVERRIDE=FQ","FILING_STATUS=MR","SCALING_FORMAT=MLN","FA_ADJUSTED=Adjusted","Sort=A","Dates=H","DateFormat=P","Fill=—","Direction=H","UseDPDF=Y")</f>
        <v>278</v>
      </c>
      <c r="K20" s="13" cm="1">
        <f t="array" ref="K20">_xll.BDH("DE US Equity","IS_NET_INTEREST_EXPENSE","FQ1 2021","FQ1 2021","Currency=USD","Period=FQ","BEST_FPERIOD_OVERRIDE=FQ","FILING_STATUS=MR","SCALING_FORMAT=MLN","FA_ADJUSTED=Adjusted","Sort=A","Dates=H","DateFormat=P","Fill=—","Direction=H","UseDPDF=Y")</f>
        <v>271</v>
      </c>
      <c r="L20" s="13" cm="1">
        <f t="array" ref="L20">_xll.BDH("DE US Equity","IS_NET_INTEREST_EXPENSE","FQ2 2021","FQ2 2021","Currency=USD","Period=FQ","BEST_FPERIOD_OVERRIDE=FQ","FILING_STATUS=MR","SCALING_FORMAT=MLN","FA_ADJUSTED=Adjusted","Sort=A","Dates=H","DateFormat=P","Fill=—","Direction=H","UseDPDF=Y")</f>
        <v>268</v>
      </c>
      <c r="M20" s="13" cm="1">
        <f t="array" ref="M20">_xll.BDH("DE US Equity","IS_NET_INTEREST_EXPENSE","FQ3 2021","FQ3 2021","Currency=USD","Period=FQ","BEST_FPERIOD_OVERRIDE=FQ","FILING_STATUS=MR","SCALING_FORMAT=MLN","FA_ADJUSTED=Adjusted","Sort=A","Dates=H","DateFormat=P","Fill=—","Direction=H","UseDPDF=Y")</f>
        <v>244</v>
      </c>
      <c r="N20" s="13" cm="1">
        <f t="array" ref="N20">_xll.BDH("DE US Equity","IS_NET_INTEREST_EXPENSE","FQ4 2021","FQ4 2021","Currency=USD","Period=FQ","BEST_FPERIOD_OVERRIDE=FQ","FILING_STATUS=MR","SCALING_FORMAT=MLN","FA_ADJUSTED=Adjusted","Sort=A","Dates=H","DateFormat=P","Fill=—","Direction=H","UseDPDF=Y")</f>
        <v>210</v>
      </c>
      <c r="O20" s="13" cm="1">
        <f t="array" ref="O20">_xll.BDH("DE US Equity","IS_NET_INTEREST_EXPENSE","FQ1 2022","FQ1 2022","Currency=USD","Period=FQ","BEST_FPERIOD_OVERRIDE=FQ","FILING_STATUS=MR","SCALING_FORMAT=MLN","FA_ADJUSTED=Adjusted","Sort=A","Dates=H","DateFormat=P","Fill=—","Direction=H","UseDPDF=Y")</f>
        <v>229</v>
      </c>
      <c r="P20" s="13" cm="1">
        <f t="array" ref="P20">_xll.BDH("DE US Equity","IS_NET_INTEREST_EXPENSE","FQ2 2022","FQ2 2022","Currency=USD","Period=FQ","BEST_FPERIOD_OVERRIDE=FQ","FILING_STATUS=MR","SCALING_FORMAT=MLN","FA_ADJUSTED=Adjusted","Sort=A","Dates=H","DateFormat=P","Fill=—","Direction=H","UseDPDF=Y")</f>
        <v>187</v>
      </c>
      <c r="Q20" s="13" cm="1">
        <f t="array" ref="Q20">_xll.BDH("DE US Equity","IS_NET_INTEREST_EXPENSE","FQ3 2022","FQ3 2022","Currency=USD","Period=FQ","BEST_FPERIOD_OVERRIDE=FQ","FILING_STATUS=MR","SCALING_FORMAT=MLN","FA_ADJUSTED=Adjusted","Sort=A","Dates=H","DateFormat=P","Fill=—","Direction=H","UseDPDF=Y")</f>
        <v>296</v>
      </c>
      <c r="R20" s="13" cm="1">
        <f t="array" ref="R20">_xll.BDH("DE US Equity","IS_NET_INTEREST_EXPENSE","FQ4 2022","FQ4 2022","Currency=USD","Period=FQ","BEST_FPERIOD_OVERRIDE=FQ","FILING_STATUS=MR","SCALING_FORMAT=MLN","FA_ADJUSTED=Adjusted","Sort=A","Dates=H","DateFormat=P","Fill=—","Direction=H","UseDPDF=Y")</f>
        <v>349</v>
      </c>
      <c r="S20" s="13" cm="1">
        <f t="array" ref="S20">_xll.BDH("DE US Equity","IS_NET_INTEREST_EXPENSE","FQ1 2023","FQ1 2023","Currency=USD","Period=FQ","BEST_FPERIOD_OVERRIDE=FQ","FILING_STATUS=MR","SCALING_FORMAT=MLN","FA_ADJUSTED=Adjusted","Sort=A","Dates=H","DateFormat=P","Fill=—","Direction=H","UseDPDF=Y")</f>
        <v>479</v>
      </c>
      <c r="T20" s="13" cm="1">
        <f t="array" ref="T20">_xll.BDH("DE US Equity","IS_NET_INTEREST_EXPENSE","FQ2 2023","FQ2 2023","Currency=USD","Period=FQ","BEST_FPERIOD_OVERRIDE=FQ","FILING_STATUS=MR","SCALING_FORMAT=MLN","FA_ADJUSTED=Adjusted","Sort=A","Dates=H","DateFormat=P","Fill=—","Direction=H","UseDPDF=Y")</f>
        <v>569</v>
      </c>
      <c r="U20" s="13" cm="1">
        <f t="array" ref="U20">_xll.BDH("DE US Equity","IS_NET_INTEREST_EXPENSE","FQ3 2023","FQ3 2023","Currency=USD","Period=FQ","BEST_FPERIOD_OVERRIDE=FQ","FILING_STATUS=MR","SCALING_FORMAT=MLN","FA_ADJUSTED=Adjusted","Sort=A","Dates=H","DateFormat=P","Fill=—","Direction=H","UseDPDF=Y")</f>
        <v>623</v>
      </c>
      <c r="V20" s="13" cm="1">
        <f t="array" ref="V20">_xll.BDH("DE US Equity","IS_NET_INTEREST_EXPENSE","FQ4 2023","FQ4 2023","Currency=USD","Period=FQ","BEST_FPERIOD_OVERRIDE=FQ","FILING_STATUS=MR","SCALING_FORMAT=MLN","FA_ADJUSTED=Adjusted","Sort=A","Dates=H","DateFormat=P","Fill=—","Direction=H","UseDPDF=Y")</f>
        <v>781</v>
      </c>
      <c r="W20" s="13" cm="1">
        <f t="array" ref="W20">_xll.BDH("DE US Equity","IS_NET_INTEREST_EXPENSE","FQ1 2024","FQ1 2024","Currency=USD","Period=FQ","BEST_FPERIOD_OVERRIDE=FQ","FILING_STATUS=MR","SCALING_FORMAT=MLN","FA_ADJUSTED=Adjusted","Sort=A","Dates=H","DateFormat=P","Fill=—","Direction=H","UseDPDF=Y")</f>
        <v>802</v>
      </c>
      <c r="X20" s="13" cm="1">
        <f t="array" ref="X20">_xll.BDH("DE US Equity","IS_NET_INTEREST_EXPENSE","FQ2 2024","FQ2 2024","Currency=USD","Period=FQ","BEST_FPERIOD_OVERRIDE=FQ","FILING_STATUS=MR","SCALING_FORMAT=MLN","FA_ADJUSTED=Adjusted","Sort=A","Dates=H","DateFormat=P","Fill=—","Direction=H","UseDPDF=Y")</f>
        <v>836</v>
      </c>
      <c r="Y20" s="13" cm="1">
        <f t="array" ref="Y20">_xll.BDH("DE US Equity","IS_NET_INTEREST_EXPENSE","FQ3 2024","FQ3 2024","Currency=USD","Period=FQ","BEST_FPERIOD_OVERRIDE=FQ","FILING_STATUS=MR","SCALING_FORMAT=MLN","FA_ADJUSTED=Adjusted","Sort=A","Dates=H","DateFormat=P","Fill=—","Direction=H","UseDPDF=Y")</f>
        <v>840</v>
      </c>
      <c r="Z20" s="13" cm="1">
        <f t="array" ref="Z20">_xll.BDH("DE US Equity","IS_NET_INTEREST_EXPENSE","FQ4 2024","FQ4 2024","Currency=USD","Period=FQ","BEST_FPERIOD_OVERRIDE=FQ","FILING_STATUS=MR","SCALING_FORMAT=MLN","FA_ADJUSTED=Adjusted","Sort=A","Dates=H","DateFormat=P","Fill=—","Direction=H","UseDPDF=Y")</f>
        <v>870</v>
      </c>
      <c r="AA20" s="13" cm="1">
        <f t="array" ref="AA20">_xll.BDH("DE US Equity","IS_NET_INTEREST_EXPENSE","FQ1 2025","FQ1 2025","Currency=USD","Period=FQ","BEST_FPERIOD_OVERRIDE=FQ","FILING_STATUS=MR","SCALING_FORMAT=MLN","FA_ADJUSTED=Adjusted","Sort=A","Dates=H","DateFormat=P","Fill=—","Direction=H","UseDPDF=Y")</f>
        <v>829</v>
      </c>
      <c r="AB20" s="13" cm="1">
        <f t="array" ref="AB20">_xll.BDH("DE US Equity","IS_NET_INTEREST_EXPENSE","FQ2 2025","FQ2 2025","Currency=USD","Period=FQ","BEST_FPERIOD_OVERRIDE=FQ","FILING_STATUS=MR","SCALING_FORMAT=MLN","FA_ADJUSTED=Adjusted","Sort=A","Dates=H","DateFormat=P","Fill=—","Direction=H","UseDPDF=Y")</f>
        <v>784</v>
      </c>
      <c r="AC20" s="13" cm="1">
        <f t="array" ref="AC20">_xll.BDH("DE US Equity","IS_NET_INTEREST_EXPENSE","FQ3 2025","FQ3 2025","Currency=USD","Period=FQ","BEST_FPERIOD_OVERRIDE=FQ","FILING_STATUS=MR","SCALING_FORMAT=MLN","FA_ADJUSTED=Adjusted","Sort=A","Dates=H","DateFormat=P","Fill=—","Direction=H","UseDPDF=Y")</f>
        <v>794</v>
      </c>
      <c r="AD20" s="13" cm="1">
        <f t="array" ref="AD20">_xll.BDH("DE US Equity","IS_NET_INTEREST_EXPENSE","FQ4 2025","FQ4 2025","Currency=USD","Period=FQ","BEST_FPERIOD_OVERRIDE=FQ","FILING_STATUS=MR","SCALING_FORMAT=MLN","FA_ADJUSTED=Adjusted","Sort=A","Dates=H","DateFormat=P","Fill=—","Direction=H","UseDPDF=Y")</f>
        <v>762</v>
      </c>
      <c r="AE20" s="13"/>
      <c r="AF20" s="13"/>
    </row>
    <row r="21" spans="1:32" x14ac:dyDescent="0.25">
      <c r="A21" s="11" t="s">
        <v>95</v>
      </c>
      <c r="B21" s="11" t="s">
        <v>96</v>
      </c>
      <c r="C21" s="18" cm="1">
        <f t="array" ref="C21">_xll.BDH("DE US Equity","IS_INT_EXPENSE","FQ1 2019","FQ1 2019","Currency=USD","Period=FQ","BEST_FPERIOD_OVERRIDE=FQ","FILING_STATUS=MR","SCALING_FORMAT=MLN","FA_ADJUSTED=Adjusted","Sort=A","Dates=H","DateFormat=P","Fill=—","Direction=H","UseDPDF=Y")</f>
        <v>353</v>
      </c>
      <c r="D21" s="18" cm="1">
        <f t="array" ref="D21">_xll.BDH("DE US Equity","IS_INT_EXPENSE","FQ2 2019","FQ2 2019","Currency=USD","Period=FQ","BEST_FPERIOD_OVERRIDE=FQ","FILING_STATUS=MR","SCALING_FORMAT=MLN","FA_ADJUSTED=Adjusted","Sort=A","Dates=H","DateFormat=P","Fill=—","Direction=H","UseDPDF=Y")</f>
        <v>351</v>
      </c>
      <c r="E21" s="18" cm="1">
        <f t="array" ref="E21">_xll.BDH("DE US Equity","IS_INT_EXPENSE","FQ3 2019","FQ3 2019","Currency=USD","Period=FQ","BEST_FPERIOD_OVERRIDE=FQ","FILING_STATUS=MR","SCALING_FORMAT=MLN","FA_ADJUSTED=Adjusted","Sort=A","Dates=H","DateFormat=P","Fill=—","Direction=H","UseDPDF=Y")</f>
        <v>374</v>
      </c>
      <c r="F21" s="18" cm="1">
        <f t="array" ref="F21">_xll.BDH("DE US Equity","IS_INT_EXPENSE","FQ4 2019","FQ4 2019","Currency=USD","Period=FQ","BEST_FPERIOD_OVERRIDE=FQ","FILING_STATUS=MR","SCALING_FORMAT=MLN","FA_ADJUSTED=Adjusted","Sort=A","Dates=H","DateFormat=P","Fill=—","Direction=H","UseDPDF=Y")</f>
        <v>388</v>
      </c>
      <c r="G21" s="18" cm="1">
        <f t="array" ref="G21">_xll.BDH("DE US Equity","IS_INT_EXPENSE","FQ1 2020","FQ1 2020","Currency=USD","Period=FQ","BEST_FPERIOD_OVERRIDE=FQ","FILING_STATUS=MR","SCALING_FORMAT=MLN","FA_ADJUSTED=Adjusted","Sort=A","Dates=H","DateFormat=P","Fill=—","Direction=H","UseDPDF=Y")</f>
        <v>336</v>
      </c>
      <c r="H21" s="18" cm="1">
        <f t="array" ref="H21">_xll.BDH("DE US Equity","IS_INT_EXPENSE","FQ2 2020","FQ2 2020","Currency=USD","Period=FQ","BEST_FPERIOD_OVERRIDE=FQ","FILING_STATUS=MR","SCALING_FORMAT=MLN","FA_ADJUSTED=Adjusted","Sort=A","Dates=H","DateFormat=P","Fill=—","Direction=H","UseDPDF=Y")</f>
        <v>342</v>
      </c>
      <c r="I21" s="18" cm="1">
        <f t="array" ref="I21">_xll.BDH("DE US Equity","IS_INT_EXPENSE","FQ3 2020","FQ3 2020","Currency=USD","Period=FQ","BEST_FPERIOD_OVERRIDE=FQ","FILING_STATUS=MR","SCALING_FORMAT=MLN","FA_ADJUSTED=Adjusted","Sort=A","Dates=H","DateFormat=P","Fill=—","Direction=H","UseDPDF=Y")</f>
        <v>290</v>
      </c>
      <c r="J21" s="18" cm="1">
        <f t="array" ref="J21">_xll.BDH("DE US Equity","IS_INT_EXPENSE","FQ4 2020","FQ4 2020","Currency=USD","Period=FQ","BEST_FPERIOD_OVERRIDE=FQ","FILING_STATUS=MR","SCALING_FORMAT=MLN","FA_ADJUSTED=Adjusted","Sort=A","Dates=H","DateFormat=P","Fill=—","Direction=H","UseDPDF=Y")</f>
        <v>278</v>
      </c>
      <c r="K21" s="18" cm="1">
        <f t="array" ref="K21">_xll.BDH("DE US Equity","IS_INT_EXPENSE","FQ1 2021","FQ1 2021","Currency=USD","Period=FQ","BEST_FPERIOD_OVERRIDE=FQ","FILING_STATUS=MR","SCALING_FORMAT=MLN","FA_ADJUSTED=Adjusted","Sort=A","Dates=H","DateFormat=P","Fill=—","Direction=H","UseDPDF=Y")</f>
        <v>271</v>
      </c>
      <c r="L21" s="18" cm="1">
        <f t="array" ref="L21">_xll.BDH("DE US Equity","IS_INT_EXPENSE","FQ2 2021","FQ2 2021","Currency=USD","Period=FQ","BEST_FPERIOD_OVERRIDE=FQ","FILING_STATUS=MR","SCALING_FORMAT=MLN","FA_ADJUSTED=Adjusted","Sort=A","Dates=H","DateFormat=P","Fill=—","Direction=H","UseDPDF=Y")</f>
        <v>268</v>
      </c>
      <c r="M21" s="18" cm="1">
        <f t="array" ref="M21">_xll.BDH("DE US Equity","IS_INT_EXPENSE","FQ3 2021","FQ3 2021","Currency=USD","Period=FQ","BEST_FPERIOD_OVERRIDE=FQ","FILING_STATUS=MR","SCALING_FORMAT=MLN","FA_ADJUSTED=Adjusted","Sort=A","Dates=H","DateFormat=P","Fill=—","Direction=H","UseDPDF=Y")</f>
        <v>244</v>
      </c>
      <c r="N21" s="18" cm="1">
        <f t="array" ref="N21">_xll.BDH("DE US Equity","IS_INT_EXPENSE","FQ4 2021","FQ4 2021","Currency=USD","Period=FQ","BEST_FPERIOD_OVERRIDE=FQ","FILING_STATUS=MR","SCALING_FORMAT=MLN","FA_ADJUSTED=Adjusted","Sort=A","Dates=H","DateFormat=P","Fill=—","Direction=H","UseDPDF=Y")</f>
        <v>210</v>
      </c>
      <c r="O21" s="18" cm="1">
        <f t="array" ref="O21">_xll.BDH("DE US Equity","IS_INT_EXPENSE","FQ1 2022","FQ1 2022","Currency=USD","Period=FQ","BEST_FPERIOD_OVERRIDE=FQ","FILING_STATUS=MR","SCALING_FORMAT=MLN","FA_ADJUSTED=Adjusted","Sort=A","Dates=H","DateFormat=P","Fill=—","Direction=H","UseDPDF=Y")</f>
        <v>229</v>
      </c>
      <c r="P21" s="18" cm="1">
        <f t="array" ref="P21">_xll.BDH("DE US Equity","IS_INT_EXPENSE","FQ2 2022","FQ2 2022","Currency=USD","Period=FQ","BEST_FPERIOD_OVERRIDE=FQ","FILING_STATUS=MR","SCALING_FORMAT=MLN","FA_ADJUSTED=Adjusted","Sort=A","Dates=H","DateFormat=P","Fill=—","Direction=H","UseDPDF=Y")</f>
        <v>187</v>
      </c>
      <c r="Q21" s="18" cm="1">
        <f t="array" ref="Q21">_xll.BDH("DE US Equity","IS_INT_EXPENSE","FQ3 2022","FQ3 2022","Currency=USD","Period=FQ","BEST_FPERIOD_OVERRIDE=FQ","FILING_STATUS=MR","SCALING_FORMAT=MLN","FA_ADJUSTED=Adjusted","Sort=A","Dates=H","DateFormat=P","Fill=—","Direction=H","UseDPDF=Y")</f>
        <v>296</v>
      </c>
      <c r="R21" s="18" cm="1">
        <f t="array" ref="R21">_xll.BDH("DE US Equity","IS_INT_EXPENSE","FQ4 2022","FQ4 2022","Currency=USD","Period=FQ","BEST_FPERIOD_OVERRIDE=FQ","FILING_STATUS=MR","SCALING_FORMAT=MLN","FA_ADJUSTED=Adjusted","Sort=A","Dates=H","DateFormat=P","Fill=—","Direction=H","UseDPDF=Y")</f>
        <v>349</v>
      </c>
      <c r="S21" s="18" cm="1">
        <f t="array" ref="S21">_xll.BDH("DE US Equity","IS_INT_EXPENSE","FQ1 2023","FQ1 2023","Currency=USD","Period=FQ","BEST_FPERIOD_OVERRIDE=FQ","FILING_STATUS=MR","SCALING_FORMAT=MLN","FA_ADJUSTED=Adjusted","Sort=A","Dates=H","DateFormat=P","Fill=—","Direction=H","UseDPDF=Y")</f>
        <v>479</v>
      </c>
      <c r="T21" s="18" cm="1">
        <f t="array" ref="T21">_xll.BDH("DE US Equity","IS_INT_EXPENSE","FQ2 2023","FQ2 2023","Currency=USD","Period=FQ","BEST_FPERIOD_OVERRIDE=FQ","FILING_STATUS=MR","SCALING_FORMAT=MLN","FA_ADJUSTED=Adjusted","Sort=A","Dates=H","DateFormat=P","Fill=—","Direction=H","UseDPDF=Y")</f>
        <v>569</v>
      </c>
      <c r="U21" s="18" cm="1">
        <f t="array" ref="U21">_xll.BDH("DE US Equity","IS_INT_EXPENSE","FQ3 2023","FQ3 2023","Currency=USD","Period=FQ","BEST_FPERIOD_OVERRIDE=FQ","FILING_STATUS=MR","SCALING_FORMAT=MLN","FA_ADJUSTED=Adjusted","Sort=A","Dates=H","DateFormat=P","Fill=—","Direction=H","UseDPDF=Y")</f>
        <v>623</v>
      </c>
      <c r="V21" s="18" cm="1">
        <f t="array" ref="V21">_xll.BDH("DE US Equity","IS_INT_EXPENSE","FQ4 2023","FQ4 2023","Currency=USD","Period=FQ","BEST_FPERIOD_OVERRIDE=FQ","FILING_STATUS=MR","SCALING_FORMAT=MLN","FA_ADJUSTED=Adjusted","Sort=A","Dates=H","DateFormat=P","Fill=—","Direction=H","UseDPDF=Y")</f>
        <v>781</v>
      </c>
      <c r="W21" s="18" cm="1">
        <f t="array" ref="W21">_xll.BDH("DE US Equity","IS_INT_EXPENSE","FQ1 2024","FQ1 2024","Currency=USD","Period=FQ","BEST_FPERIOD_OVERRIDE=FQ","FILING_STATUS=MR","SCALING_FORMAT=MLN","FA_ADJUSTED=Adjusted","Sort=A","Dates=H","DateFormat=P","Fill=—","Direction=H","UseDPDF=Y")</f>
        <v>802</v>
      </c>
      <c r="X21" s="18" cm="1">
        <f t="array" ref="X21">_xll.BDH("DE US Equity","IS_INT_EXPENSE","FQ2 2024","FQ2 2024","Currency=USD","Period=FQ","BEST_FPERIOD_OVERRIDE=FQ","FILING_STATUS=MR","SCALING_FORMAT=MLN","FA_ADJUSTED=Adjusted","Sort=A","Dates=H","DateFormat=P","Fill=—","Direction=H","UseDPDF=Y")</f>
        <v>836</v>
      </c>
      <c r="Y21" s="18" cm="1">
        <f t="array" ref="Y21">_xll.BDH("DE US Equity","IS_INT_EXPENSE","FQ3 2024","FQ3 2024","Currency=USD","Period=FQ","BEST_FPERIOD_OVERRIDE=FQ","FILING_STATUS=MR","SCALING_FORMAT=MLN","FA_ADJUSTED=Adjusted","Sort=A","Dates=H","DateFormat=P","Fill=—","Direction=H","UseDPDF=Y")</f>
        <v>840</v>
      </c>
      <c r="Z21" s="18" cm="1">
        <f t="array" ref="Z21">_xll.BDH("DE US Equity","IS_INT_EXPENSE","FQ4 2024","FQ4 2024","Currency=USD","Period=FQ","BEST_FPERIOD_OVERRIDE=FQ","FILING_STATUS=MR","SCALING_FORMAT=MLN","FA_ADJUSTED=Adjusted","Sort=A","Dates=H","DateFormat=P","Fill=—","Direction=H","UseDPDF=Y")</f>
        <v>870</v>
      </c>
      <c r="AA21" s="18" cm="1">
        <f t="array" ref="AA21">_xll.BDH("DE US Equity","IS_INT_EXPENSE","FQ1 2025","FQ1 2025","Currency=USD","Period=FQ","BEST_FPERIOD_OVERRIDE=FQ","FILING_STATUS=MR","SCALING_FORMAT=MLN","FA_ADJUSTED=Adjusted","Sort=A","Dates=H","DateFormat=P","Fill=—","Direction=H","UseDPDF=Y")</f>
        <v>829</v>
      </c>
      <c r="AB21" s="18" cm="1">
        <f t="array" ref="AB21">_xll.BDH("DE US Equity","IS_INT_EXPENSE","FQ2 2025","FQ2 2025","Currency=USD","Period=FQ","BEST_FPERIOD_OVERRIDE=FQ","FILING_STATUS=MR","SCALING_FORMAT=MLN","FA_ADJUSTED=Adjusted","Sort=A","Dates=H","DateFormat=P","Fill=—","Direction=H","UseDPDF=Y")</f>
        <v>784</v>
      </c>
      <c r="AC21" s="18" cm="1">
        <f t="array" ref="AC21">_xll.BDH("DE US Equity","IS_INT_EXPENSE","FQ3 2025","FQ3 2025","Currency=USD","Period=FQ","BEST_FPERIOD_OVERRIDE=FQ","FILING_STATUS=MR","SCALING_FORMAT=MLN","FA_ADJUSTED=Adjusted","Sort=A","Dates=H","DateFormat=P","Fill=—","Direction=H","UseDPDF=Y")</f>
        <v>794</v>
      </c>
      <c r="AD21" s="18" cm="1">
        <f t="array" ref="AD21">_xll.BDH("DE US Equity","IS_INT_EXPENSE","FQ4 2025","FQ4 2025","Currency=USD","Period=FQ","BEST_FPERIOD_OVERRIDE=FQ","FILING_STATUS=MR","SCALING_FORMAT=MLN","FA_ADJUSTED=Adjusted","Sort=A","Dates=H","DateFormat=P","Fill=—","Direction=H","UseDPDF=Y")</f>
        <v>762</v>
      </c>
      <c r="AE21" s="18"/>
      <c r="AF21" s="18"/>
    </row>
    <row r="22" spans="1:32" x14ac:dyDescent="0.25">
      <c r="A22" s="11" t="s">
        <v>97</v>
      </c>
      <c r="B22" s="11" t="s">
        <v>98</v>
      </c>
      <c r="C22" s="18" cm="1">
        <f t="array" ref="C22">_xll.BDH("DE US Equity","IS_INT_INC","FQ1 2019","FQ1 2019","Currency=USD","Period=FQ","BEST_FPERIOD_OVERRIDE=FQ","FILING_STATUS=MR","SCALING_FORMAT=MLN","FA_ADJUSTED=Adjusted","Sort=A","Dates=H","DateFormat=P","Fill=—","Direction=H","UseDPDF=Y")</f>
        <v>0</v>
      </c>
      <c r="D22" s="18" cm="1">
        <f t="array" ref="D22">_xll.BDH("DE US Equity","IS_INT_INC","FQ2 2019","FQ2 2019","Currency=USD","Period=FQ","BEST_FPERIOD_OVERRIDE=FQ","FILING_STATUS=MR","SCALING_FORMAT=MLN","FA_ADJUSTED=Adjusted","Sort=A","Dates=H","DateFormat=P","Fill=—","Direction=H","UseDPDF=Y")</f>
        <v>0</v>
      </c>
      <c r="E22" s="18" cm="1">
        <f t="array" ref="E22">_xll.BDH("DE US Equity","IS_INT_INC","FQ3 2019","FQ3 2019","Currency=USD","Period=FQ","BEST_FPERIOD_OVERRIDE=FQ","FILING_STATUS=MR","SCALING_FORMAT=MLN","FA_ADJUSTED=Adjusted","Sort=A","Dates=H","DateFormat=P","Fill=—","Direction=H","UseDPDF=Y")</f>
        <v>0</v>
      </c>
      <c r="F22" s="18" cm="1">
        <f t="array" ref="F22">_xll.BDH("DE US Equity","IS_INT_INC","FQ4 2019","FQ4 2019","Currency=USD","Period=FQ","BEST_FPERIOD_OVERRIDE=FQ","FILING_STATUS=MR","SCALING_FORMAT=MLN","FA_ADJUSTED=Adjusted","Sort=A","Dates=H","DateFormat=P","Fill=—","Direction=H","UseDPDF=Y")</f>
        <v>0</v>
      </c>
      <c r="G22" s="18" cm="1">
        <f t="array" ref="G22">_xll.BDH("DE US Equity","IS_INT_INC","FQ1 2020","FQ1 2020","Currency=USD","Period=FQ","BEST_FPERIOD_OVERRIDE=FQ","FILING_STATUS=MR","SCALING_FORMAT=MLN","FA_ADJUSTED=Adjusted","Sort=A","Dates=H","DateFormat=P","Fill=—","Direction=H","UseDPDF=Y")</f>
        <v>0</v>
      </c>
      <c r="H22" s="18" cm="1">
        <f t="array" ref="H22">_xll.BDH("DE US Equity","IS_INT_INC","FQ2 2020","FQ2 2020","Currency=USD","Period=FQ","BEST_FPERIOD_OVERRIDE=FQ","FILING_STATUS=MR","SCALING_FORMAT=MLN","FA_ADJUSTED=Adjusted","Sort=A","Dates=H","DateFormat=P","Fill=—","Direction=H","UseDPDF=Y")</f>
        <v>0</v>
      </c>
      <c r="I22" s="18" cm="1">
        <f t="array" ref="I22">_xll.BDH("DE US Equity","IS_INT_INC","FQ3 2020","FQ3 2020","Currency=USD","Period=FQ","BEST_FPERIOD_OVERRIDE=FQ","FILING_STATUS=MR","SCALING_FORMAT=MLN","FA_ADJUSTED=Adjusted","Sort=A","Dates=H","DateFormat=P","Fill=—","Direction=H","UseDPDF=Y")</f>
        <v>0</v>
      </c>
      <c r="J22" s="18" cm="1">
        <f t="array" ref="J22">_xll.BDH("DE US Equity","IS_INT_INC","FQ4 2020","FQ4 2020","Currency=USD","Period=FQ","BEST_FPERIOD_OVERRIDE=FQ","FILING_STATUS=MR","SCALING_FORMAT=MLN","FA_ADJUSTED=Adjusted","Sort=A","Dates=H","DateFormat=P","Fill=—","Direction=H","UseDPDF=Y")</f>
        <v>0</v>
      </c>
      <c r="K22" s="18" cm="1">
        <f t="array" ref="K22">_xll.BDH("DE US Equity","IS_INT_INC","FQ1 2021","FQ1 2021","Currency=USD","Period=FQ","BEST_FPERIOD_OVERRIDE=FQ","FILING_STATUS=MR","SCALING_FORMAT=MLN","FA_ADJUSTED=Adjusted","Sort=A","Dates=H","DateFormat=P","Fill=—","Direction=H","UseDPDF=Y")</f>
        <v>0</v>
      </c>
      <c r="L22" s="18" cm="1">
        <f t="array" ref="L22">_xll.BDH("DE US Equity","IS_INT_INC","FQ2 2021","FQ2 2021","Currency=USD","Period=FQ","BEST_FPERIOD_OVERRIDE=FQ","FILING_STATUS=MR","SCALING_FORMAT=MLN","FA_ADJUSTED=Adjusted","Sort=A","Dates=H","DateFormat=P","Fill=—","Direction=H","UseDPDF=Y")</f>
        <v>0</v>
      </c>
      <c r="M22" s="18" cm="1">
        <f t="array" ref="M22">_xll.BDH("DE US Equity","IS_INT_INC","FQ3 2021","FQ3 2021","Currency=USD","Period=FQ","BEST_FPERIOD_OVERRIDE=FQ","FILING_STATUS=MR","SCALING_FORMAT=MLN","FA_ADJUSTED=Adjusted","Sort=A","Dates=H","DateFormat=P","Fill=—","Direction=H","UseDPDF=Y")</f>
        <v>0</v>
      </c>
      <c r="N22" s="18" cm="1">
        <f t="array" ref="N22">_xll.BDH("DE US Equity","IS_INT_INC","FQ4 2021","FQ4 2021","Currency=USD","Period=FQ","BEST_FPERIOD_OVERRIDE=FQ","FILING_STATUS=MR","SCALING_FORMAT=MLN","FA_ADJUSTED=Adjusted","Sort=A","Dates=H","DateFormat=P","Fill=—","Direction=H","UseDPDF=Y")</f>
        <v>0</v>
      </c>
      <c r="O22" s="18" cm="1">
        <f t="array" ref="O22">_xll.BDH("DE US Equity","IS_INT_INC","FQ1 2022","FQ1 2022","Currency=USD","Period=FQ","BEST_FPERIOD_OVERRIDE=FQ","FILING_STATUS=MR","SCALING_FORMAT=MLN","FA_ADJUSTED=Adjusted","Sort=A","Dates=H","DateFormat=P","Fill=—","Direction=H","UseDPDF=Y")</f>
        <v>0</v>
      </c>
      <c r="P22" s="18" cm="1">
        <f t="array" ref="P22">_xll.BDH("DE US Equity","IS_INT_INC","FQ2 2022","FQ2 2022","Currency=USD","Period=FQ","BEST_FPERIOD_OVERRIDE=FQ","FILING_STATUS=MR","SCALING_FORMAT=MLN","FA_ADJUSTED=Adjusted","Sort=A","Dates=H","DateFormat=P","Fill=—","Direction=H","UseDPDF=Y")</f>
        <v>0</v>
      </c>
      <c r="Q22" s="18" cm="1">
        <f t="array" ref="Q22">_xll.BDH("DE US Equity","IS_INT_INC","FQ3 2022","FQ3 2022","Currency=USD","Period=FQ","BEST_FPERIOD_OVERRIDE=FQ","FILING_STATUS=MR","SCALING_FORMAT=MLN","FA_ADJUSTED=Adjusted","Sort=A","Dates=H","DateFormat=P","Fill=—","Direction=H","UseDPDF=Y")</f>
        <v>0</v>
      </c>
      <c r="R22" s="18" cm="1">
        <f t="array" ref="R22">_xll.BDH("DE US Equity","IS_INT_INC","FQ4 2022","FQ4 2022","Currency=USD","Period=FQ","BEST_FPERIOD_OVERRIDE=FQ","FILING_STATUS=MR","SCALING_FORMAT=MLN","FA_ADJUSTED=Adjusted","Sort=A","Dates=H","DateFormat=P","Fill=—","Direction=H","UseDPDF=Y")</f>
        <v>0</v>
      </c>
      <c r="S22" s="18" cm="1">
        <f t="array" ref="S22">_xll.BDH("DE US Equity","IS_INT_INC","FQ1 2023","FQ1 2023","Currency=USD","Period=FQ","BEST_FPERIOD_OVERRIDE=FQ","FILING_STATUS=MR","SCALING_FORMAT=MLN","FA_ADJUSTED=Adjusted","Sort=A","Dates=H","DateFormat=P","Fill=—","Direction=H","UseDPDF=Y")</f>
        <v>0</v>
      </c>
      <c r="T22" s="18" cm="1">
        <f t="array" ref="T22">_xll.BDH("DE US Equity","IS_INT_INC","FQ2 2023","FQ2 2023","Currency=USD","Period=FQ","BEST_FPERIOD_OVERRIDE=FQ","FILING_STATUS=MR","SCALING_FORMAT=MLN","FA_ADJUSTED=Adjusted","Sort=A","Dates=H","DateFormat=P","Fill=—","Direction=H","UseDPDF=Y")</f>
        <v>0</v>
      </c>
      <c r="U22" s="18" cm="1">
        <f t="array" ref="U22">_xll.BDH("DE US Equity","IS_INT_INC","FQ3 2023","FQ3 2023","Currency=USD","Period=FQ","BEST_FPERIOD_OVERRIDE=FQ","FILING_STATUS=MR","SCALING_FORMAT=MLN","FA_ADJUSTED=Adjusted","Sort=A","Dates=H","DateFormat=P","Fill=—","Direction=H","UseDPDF=Y")</f>
        <v>0</v>
      </c>
      <c r="V22" s="18" cm="1">
        <f t="array" ref="V22">_xll.BDH("DE US Equity","IS_INT_INC","FQ4 2023","FQ4 2023","Currency=USD","Period=FQ","BEST_FPERIOD_OVERRIDE=FQ","FILING_STATUS=MR","SCALING_FORMAT=MLN","FA_ADJUSTED=Adjusted","Sort=A","Dates=H","DateFormat=P","Fill=—","Direction=H","UseDPDF=Y")</f>
        <v>0</v>
      </c>
      <c r="W22" s="18" cm="1">
        <f t="array" ref="W22">_xll.BDH("DE US Equity","IS_INT_INC","FQ1 2024","FQ1 2024","Currency=USD","Period=FQ","BEST_FPERIOD_OVERRIDE=FQ","FILING_STATUS=MR","SCALING_FORMAT=MLN","FA_ADJUSTED=Adjusted","Sort=A","Dates=H","DateFormat=P","Fill=—","Direction=H","UseDPDF=Y")</f>
        <v>0</v>
      </c>
      <c r="X22" s="18" cm="1">
        <f t="array" ref="X22">_xll.BDH("DE US Equity","IS_INT_INC","FQ2 2024","FQ2 2024","Currency=USD","Period=FQ","BEST_FPERIOD_OVERRIDE=FQ","FILING_STATUS=MR","SCALING_FORMAT=MLN","FA_ADJUSTED=Adjusted","Sort=A","Dates=H","DateFormat=P","Fill=—","Direction=H","UseDPDF=Y")</f>
        <v>0</v>
      </c>
      <c r="Y22" s="18" cm="1">
        <f t="array" ref="Y22">_xll.BDH("DE US Equity","IS_INT_INC","FQ3 2024","FQ3 2024","Currency=USD","Period=FQ","BEST_FPERIOD_OVERRIDE=FQ","FILING_STATUS=MR","SCALING_FORMAT=MLN","FA_ADJUSTED=Adjusted","Sort=A","Dates=H","DateFormat=P","Fill=—","Direction=H","UseDPDF=Y")</f>
        <v>0</v>
      </c>
      <c r="Z22" s="18" cm="1">
        <f t="array" ref="Z22">_xll.BDH("DE US Equity","IS_INT_INC","FQ4 2024","FQ4 2024","Currency=USD","Period=FQ","BEST_FPERIOD_OVERRIDE=FQ","FILING_STATUS=MR","SCALING_FORMAT=MLN","FA_ADJUSTED=Adjusted","Sort=A","Dates=H","DateFormat=P","Fill=—","Direction=H","UseDPDF=Y")</f>
        <v>0</v>
      </c>
      <c r="AA22" s="18" cm="1">
        <f t="array" ref="AA22">_xll.BDH("DE US Equity","IS_INT_INC","FQ1 2025","FQ1 2025","Currency=USD","Period=FQ","BEST_FPERIOD_OVERRIDE=FQ","FILING_STATUS=MR","SCALING_FORMAT=MLN","FA_ADJUSTED=Adjusted","Sort=A","Dates=H","DateFormat=P","Fill=—","Direction=H","UseDPDF=Y")</f>
        <v>0</v>
      </c>
      <c r="AB22" s="18" cm="1">
        <f t="array" ref="AB22">_xll.BDH("DE US Equity","IS_INT_INC","FQ2 2025","FQ2 2025","Currency=USD","Period=FQ","BEST_FPERIOD_OVERRIDE=FQ","FILING_STATUS=MR","SCALING_FORMAT=MLN","FA_ADJUSTED=Adjusted","Sort=A","Dates=H","DateFormat=P","Fill=—","Direction=H","UseDPDF=Y")</f>
        <v>0</v>
      </c>
      <c r="AC22" s="18" cm="1">
        <f t="array" ref="AC22">_xll.BDH("DE US Equity","IS_INT_INC","FQ3 2025","FQ3 2025","Currency=USD","Period=FQ","BEST_FPERIOD_OVERRIDE=FQ","FILING_STATUS=MR","SCALING_FORMAT=MLN","FA_ADJUSTED=Adjusted","Sort=A","Dates=H","DateFormat=P","Fill=—","Direction=H","UseDPDF=Y")</f>
        <v>0</v>
      </c>
      <c r="AD22" s="18" cm="1">
        <f t="array" ref="AD22">_xll.BDH("DE US Equity","IS_INT_INC","FQ4 2025","FQ4 2025","Currency=USD","Period=FQ","BEST_FPERIOD_OVERRIDE=FQ","FILING_STATUS=MR","SCALING_FORMAT=MLN","FA_ADJUSTED=Adjusted","Sort=A","Dates=H","DateFormat=P","Fill=—","Direction=H","UseDPDF=Y")</f>
        <v>0</v>
      </c>
      <c r="AE22" s="18"/>
      <c r="AF22" s="18"/>
    </row>
    <row r="23" spans="1:32" x14ac:dyDescent="0.25">
      <c r="A23" s="10" t="s">
        <v>99</v>
      </c>
      <c r="B23" s="10" t="s">
        <v>100</v>
      </c>
      <c r="C23" s="13" t="str" cm="1">
        <f t="array" ref="C23">_xll.BDH("DE US Equity","IS_FOREIGN_EXCH_LOSS","FQ1 2019","FQ1 2019","Currency=USD","Period=FQ","BEST_FPERIOD_OVERRIDE=FQ","FILING_STATUS=MR","SCALING_FORMAT=MLN","FA_ADJUSTED=Adjusted","Sort=A","Dates=H","DateFormat=P","Fill=—","Direction=H","UseDPDF=Y")</f>
        <v>—</v>
      </c>
      <c r="D23" s="13" t="str" cm="1">
        <f t="array" ref="D23">_xll.BDH("DE US Equity","IS_FOREIGN_EXCH_LOSS","FQ2 2019","FQ2 2019","Currency=USD","Period=FQ","BEST_FPERIOD_OVERRIDE=FQ","FILING_STATUS=MR","SCALING_FORMAT=MLN","FA_ADJUSTED=Adjusted","Sort=A","Dates=H","DateFormat=P","Fill=—","Direction=H","UseDPDF=Y")</f>
        <v>—</v>
      </c>
      <c r="E23" s="13" t="str" cm="1">
        <f t="array" ref="E23">_xll.BDH("DE US Equity","IS_FOREIGN_EXCH_LOSS","FQ3 2019","FQ3 2019","Currency=USD","Period=FQ","BEST_FPERIOD_OVERRIDE=FQ","FILING_STATUS=MR","SCALING_FORMAT=MLN","FA_ADJUSTED=Adjusted","Sort=A","Dates=H","DateFormat=P","Fill=—","Direction=H","UseDPDF=Y")</f>
        <v>—</v>
      </c>
      <c r="F23" s="13" t="str" cm="1">
        <f t="array" ref="F23">_xll.BDH("DE US Equity","IS_FOREIGN_EXCH_LOSS","FQ4 2019","FQ4 2019","Currency=USD","Period=FQ","BEST_FPERIOD_OVERRIDE=FQ","FILING_STATUS=MR","SCALING_FORMAT=MLN","FA_ADJUSTED=Adjusted","Sort=A","Dates=H","DateFormat=P","Fill=—","Direction=H","UseDPDF=Y")</f>
        <v>—</v>
      </c>
      <c r="G23" s="13" t="str" cm="1">
        <f t="array" ref="G23">_xll.BDH("DE US Equity","IS_FOREIGN_EXCH_LOSS","FQ1 2020","FQ1 2020","Currency=USD","Period=FQ","BEST_FPERIOD_OVERRIDE=FQ","FILING_STATUS=MR","SCALING_FORMAT=MLN","FA_ADJUSTED=Adjusted","Sort=A","Dates=H","DateFormat=P","Fill=—","Direction=H","UseDPDF=Y")</f>
        <v>—</v>
      </c>
      <c r="H23" s="13" t="str" cm="1">
        <f t="array" ref="H23">_xll.BDH("DE US Equity","IS_FOREIGN_EXCH_LOSS","FQ2 2020","FQ2 2020","Currency=USD","Period=FQ","BEST_FPERIOD_OVERRIDE=FQ","FILING_STATUS=MR","SCALING_FORMAT=MLN","FA_ADJUSTED=Adjusted","Sort=A","Dates=H","DateFormat=P","Fill=—","Direction=H","UseDPDF=Y")</f>
        <v>—</v>
      </c>
      <c r="I23" s="13" t="str" cm="1">
        <f t="array" ref="I23">_xll.BDH("DE US Equity","IS_FOREIGN_EXCH_LOSS","FQ3 2020","FQ3 2020","Currency=USD","Period=FQ","BEST_FPERIOD_OVERRIDE=FQ","FILING_STATUS=MR","SCALING_FORMAT=MLN","FA_ADJUSTED=Adjusted","Sort=A","Dates=H","DateFormat=P","Fill=—","Direction=H","UseDPDF=Y")</f>
        <v>—</v>
      </c>
      <c r="J23" s="13" cm="1">
        <f t="array" ref="J23">_xll.BDH("DE US Equity","IS_FOREIGN_EXCH_LOSS","FQ4 2020","FQ4 2020","Currency=USD","Period=FQ","BEST_FPERIOD_OVERRIDE=FQ","FILING_STATUS=MR","SCALING_FORMAT=MLN","FA_ADJUSTED=Adjusted","Sort=A","Dates=H","DateFormat=P","Fill=—","Direction=H","UseDPDF=Y")</f>
        <v>0</v>
      </c>
      <c r="K23" s="13" t="str" cm="1">
        <f t="array" ref="K23">_xll.BDH("DE US Equity","IS_FOREIGN_EXCH_LOSS","FQ1 2021","FQ1 2021","Currency=USD","Period=FQ","BEST_FPERIOD_OVERRIDE=FQ","FILING_STATUS=MR","SCALING_FORMAT=MLN","FA_ADJUSTED=Adjusted","Sort=A","Dates=H","DateFormat=P","Fill=—","Direction=H","UseDPDF=Y")</f>
        <v>—</v>
      </c>
      <c r="L23" s="13" t="str" cm="1">
        <f t="array" ref="L23">_xll.BDH("DE US Equity","IS_FOREIGN_EXCH_LOSS","FQ2 2021","FQ2 2021","Currency=USD","Period=FQ","BEST_FPERIOD_OVERRIDE=FQ","FILING_STATUS=MR","SCALING_FORMAT=MLN","FA_ADJUSTED=Adjusted","Sort=A","Dates=H","DateFormat=P","Fill=—","Direction=H","UseDPDF=Y")</f>
        <v>—</v>
      </c>
      <c r="M23" s="13" t="str" cm="1">
        <f t="array" ref="M23">_xll.BDH("DE US Equity","IS_FOREIGN_EXCH_LOSS","FQ3 2021","FQ3 2021","Currency=USD","Period=FQ","BEST_FPERIOD_OVERRIDE=FQ","FILING_STATUS=MR","SCALING_FORMAT=MLN","FA_ADJUSTED=Adjusted","Sort=A","Dates=H","DateFormat=P","Fill=—","Direction=H","UseDPDF=Y")</f>
        <v>—</v>
      </c>
      <c r="N23" s="13" t="str" cm="1">
        <f t="array" ref="N23">_xll.BDH("DE US Equity","IS_FOREIGN_EXCH_LOSS","FQ4 2021","FQ4 2021","Currency=USD","Period=FQ","BEST_FPERIOD_OVERRIDE=FQ","FILING_STATUS=MR","SCALING_FORMAT=MLN","FA_ADJUSTED=Adjusted","Sort=A","Dates=H","DateFormat=P","Fill=—","Direction=H","UseDPDF=Y")</f>
        <v>—</v>
      </c>
      <c r="O23" s="13" t="str" cm="1">
        <f t="array" ref="O23">_xll.BDH("DE US Equity","IS_FOREIGN_EXCH_LOSS","FQ1 2022","FQ1 2022","Currency=USD","Period=FQ","BEST_FPERIOD_OVERRIDE=FQ","FILING_STATUS=MR","SCALING_FORMAT=MLN","FA_ADJUSTED=Adjusted","Sort=A","Dates=H","DateFormat=P","Fill=—","Direction=H","UseDPDF=Y")</f>
        <v>—</v>
      </c>
      <c r="P23" s="13" t="str" cm="1">
        <f t="array" ref="P23">_xll.BDH("DE US Equity","IS_FOREIGN_EXCH_LOSS","FQ2 2022","FQ2 2022","Currency=USD","Period=FQ","BEST_FPERIOD_OVERRIDE=FQ","FILING_STATUS=MR","SCALING_FORMAT=MLN","FA_ADJUSTED=Adjusted","Sort=A","Dates=H","DateFormat=P","Fill=—","Direction=H","UseDPDF=Y")</f>
        <v>—</v>
      </c>
      <c r="Q23" s="13" t="str" cm="1">
        <f t="array" ref="Q23">_xll.BDH("DE US Equity","IS_FOREIGN_EXCH_LOSS","FQ3 2022","FQ3 2022","Currency=USD","Period=FQ","BEST_FPERIOD_OVERRIDE=FQ","FILING_STATUS=MR","SCALING_FORMAT=MLN","FA_ADJUSTED=Adjusted","Sort=A","Dates=H","DateFormat=P","Fill=—","Direction=H","UseDPDF=Y")</f>
        <v>—</v>
      </c>
      <c r="R23" s="13" t="str" cm="1">
        <f t="array" ref="R23">_xll.BDH("DE US Equity","IS_FOREIGN_EXCH_LOSS","FQ4 2022","FQ4 2022","Currency=USD","Period=FQ","BEST_FPERIOD_OVERRIDE=FQ","FILING_STATUS=MR","SCALING_FORMAT=MLN","FA_ADJUSTED=Adjusted","Sort=A","Dates=H","DateFormat=P","Fill=—","Direction=H","UseDPDF=Y")</f>
        <v>—</v>
      </c>
      <c r="S23" s="13" t="str" cm="1">
        <f t="array" ref="S23">_xll.BDH("DE US Equity","IS_FOREIGN_EXCH_LOSS","FQ1 2023","FQ1 2023","Currency=USD","Period=FQ","BEST_FPERIOD_OVERRIDE=FQ","FILING_STATUS=MR","SCALING_FORMAT=MLN","FA_ADJUSTED=Adjusted","Sort=A","Dates=H","DateFormat=P","Fill=—","Direction=H","UseDPDF=Y")</f>
        <v>—</v>
      </c>
      <c r="T23" s="13" t="str" cm="1">
        <f t="array" ref="T23">_xll.BDH("DE US Equity","IS_FOREIGN_EXCH_LOSS","FQ2 2023","FQ2 2023","Currency=USD","Period=FQ","BEST_FPERIOD_OVERRIDE=FQ","FILING_STATUS=MR","SCALING_FORMAT=MLN","FA_ADJUSTED=Adjusted","Sort=A","Dates=H","DateFormat=P","Fill=—","Direction=H","UseDPDF=Y")</f>
        <v>—</v>
      </c>
      <c r="U23" s="13" t="str" cm="1">
        <f t="array" ref="U23">_xll.BDH("DE US Equity","IS_FOREIGN_EXCH_LOSS","FQ3 2023","FQ3 2023","Currency=USD","Period=FQ","BEST_FPERIOD_OVERRIDE=FQ","FILING_STATUS=MR","SCALING_FORMAT=MLN","FA_ADJUSTED=Adjusted","Sort=A","Dates=H","DateFormat=P","Fill=—","Direction=H","UseDPDF=Y")</f>
        <v>—</v>
      </c>
      <c r="V23" s="13" t="str" cm="1">
        <f t="array" ref="V23">_xll.BDH("DE US Equity","IS_FOREIGN_EXCH_LOSS","FQ4 2023","FQ4 2023","Currency=USD","Period=FQ","BEST_FPERIOD_OVERRIDE=FQ","FILING_STATUS=MR","SCALING_FORMAT=MLN","FA_ADJUSTED=Adjusted","Sort=A","Dates=H","DateFormat=P","Fill=—","Direction=H","UseDPDF=Y")</f>
        <v>—</v>
      </c>
      <c r="W23" s="13" t="str" cm="1">
        <f t="array" ref="W23">_xll.BDH("DE US Equity","IS_FOREIGN_EXCH_LOSS","FQ1 2024","FQ1 2024","Currency=USD","Period=FQ","BEST_FPERIOD_OVERRIDE=FQ","FILING_STATUS=MR","SCALING_FORMAT=MLN","FA_ADJUSTED=Adjusted","Sort=A","Dates=H","DateFormat=P","Fill=—","Direction=H","UseDPDF=Y")</f>
        <v>—</v>
      </c>
      <c r="X23" s="13" t="str" cm="1">
        <f t="array" ref="X23">_xll.BDH("DE US Equity","IS_FOREIGN_EXCH_LOSS","FQ2 2024","FQ2 2024","Currency=USD","Period=FQ","BEST_FPERIOD_OVERRIDE=FQ","FILING_STATUS=MR","SCALING_FORMAT=MLN","FA_ADJUSTED=Adjusted","Sort=A","Dates=H","DateFormat=P","Fill=—","Direction=H","UseDPDF=Y")</f>
        <v>—</v>
      </c>
      <c r="Y23" s="13" t="str" cm="1">
        <f t="array" ref="Y23">_xll.BDH("DE US Equity","IS_FOREIGN_EXCH_LOSS","FQ3 2024","FQ3 2024","Currency=USD","Period=FQ","BEST_FPERIOD_OVERRIDE=FQ","FILING_STATUS=MR","SCALING_FORMAT=MLN","FA_ADJUSTED=Adjusted","Sort=A","Dates=H","DateFormat=P","Fill=—","Direction=H","UseDPDF=Y")</f>
        <v>—</v>
      </c>
      <c r="Z23" s="13" t="str" cm="1">
        <f t="array" ref="Z23">_xll.BDH("DE US Equity","IS_FOREIGN_EXCH_LOSS","FQ4 2024","FQ4 2024","Currency=USD","Period=FQ","BEST_FPERIOD_OVERRIDE=FQ","FILING_STATUS=MR","SCALING_FORMAT=MLN","FA_ADJUSTED=Adjusted","Sort=A","Dates=H","DateFormat=P","Fill=—","Direction=H","UseDPDF=Y")</f>
        <v>—</v>
      </c>
      <c r="AA23" s="13" t="str" cm="1">
        <f t="array" ref="AA23">_xll.BDH("DE US Equity","IS_FOREIGN_EXCH_LOSS","FQ1 2025","FQ1 2025","Currency=USD","Period=FQ","BEST_FPERIOD_OVERRIDE=FQ","FILING_STATUS=MR","SCALING_FORMAT=MLN","FA_ADJUSTED=Adjusted","Sort=A","Dates=H","DateFormat=P","Fill=—","Direction=H","UseDPDF=Y")</f>
        <v>—</v>
      </c>
      <c r="AB23" s="13" t="str" cm="1">
        <f t="array" ref="AB23">_xll.BDH("DE US Equity","IS_FOREIGN_EXCH_LOSS","FQ2 2025","FQ2 2025","Currency=USD","Period=FQ","BEST_FPERIOD_OVERRIDE=FQ","FILING_STATUS=MR","SCALING_FORMAT=MLN","FA_ADJUSTED=Adjusted","Sort=A","Dates=H","DateFormat=P","Fill=—","Direction=H","UseDPDF=Y")</f>
        <v>—</v>
      </c>
      <c r="AC23" s="13" t="str" cm="1">
        <f t="array" ref="AC23">_xll.BDH("DE US Equity","IS_FOREIGN_EXCH_LOSS","FQ3 2025","FQ3 2025","Currency=USD","Period=FQ","BEST_FPERIOD_OVERRIDE=FQ","FILING_STATUS=MR","SCALING_FORMAT=MLN","FA_ADJUSTED=Adjusted","Sort=A","Dates=H","DateFormat=P","Fill=—","Direction=H","UseDPDF=Y")</f>
        <v>—</v>
      </c>
      <c r="AD23" s="13" t="str" cm="1">
        <f t="array" ref="AD23">_xll.BDH("DE US Equity","IS_FOREIGN_EXCH_LOSS","FQ4 2025","FQ4 2025","Currency=USD","Period=FQ","BEST_FPERIOD_OVERRIDE=FQ","FILING_STATUS=MR","SCALING_FORMAT=MLN","FA_ADJUSTED=Adjusted","Sort=A","Dates=H","DateFormat=P","Fill=—","Direction=H","UseDPDF=Y")</f>
        <v>—</v>
      </c>
      <c r="AE23" s="13"/>
      <c r="AF23" s="13"/>
    </row>
    <row r="24" spans="1:32" x14ac:dyDescent="0.25">
      <c r="A24" s="10" t="s">
        <v>101</v>
      </c>
      <c r="B24" s="10" t="s">
        <v>102</v>
      </c>
      <c r="C24" s="13" cm="1">
        <f t="array" ref="C24">_xll.BDH("DE US Equity","IS_OTHER_NON_OPERATING_INC_LOSS","FQ1 2019","FQ1 2019","Currency=USD","Period=FQ","BEST_FPERIOD_OVERRIDE=FQ","FILING_STATUS=MR","SCALING_FORMAT=MLN","FA_ADJUSTED=Adjusted","Sort=A","Dates=H","DateFormat=P","Fill=—","Direction=H","UseDPDF=Y")</f>
        <v>0</v>
      </c>
      <c r="D24" s="13" cm="1">
        <f t="array" ref="D24">_xll.BDH("DE US Equity","IS_OTHER_NON_OPERATING_INC_LOSS","FQ2 2019","FQ2 2019","Currency=USD","Period=FQ","BEST_FPERIOD_OVERRIDE=FQ","FILING_STATUS=MR","SCALING_FORMAT=MLN","FA_ADJUSTED=Adjusted","Sort=A","Dates=H","DateFormat=P","Fill=—","Direction=H","UseDPDF=Y")</f>
        <v>0</v>
      </c>
      <c r="E24" s="13" cm="1">
        <f t="array" ref="E24">_xll.BDH("DE US Equity","IS_OTHER_NON_OPERATING_INC_LOSS","FQ3 2019","FQ3 2019","Currency=USD","Period=FQ","BEST_FPERIOD_OVERRIDE=FQ","FILING_STATUS=MR","SCALING_FORMAT=MLN","FA_ADJUSTED=Adjusted","Sort=A","Dates=H","DateFormat=P","Fill=—","Direction=H","UseDPDF=Y")</f>
        <v>0</v>
      </c>
      <c r="F24" s="13" cm="1">
        <f t="array" ref="F24">_xll.BDH("DE US Equity","IS_OTHER_NON_OPERATING_INC_LOSS","FQ4 2019","FQ4 2019","Currency=USD","Period=FQ","BEST_FPERIOD_OVERRIDE=FQ","FILING_STATUS=MR","SCALING_FORMAT=MLN","FA_ADJUSTED=Adjusted","Sort=A","Dates=H","DateFormat=P","Fill=—","Direction=H","UseDPDF=Y")</f>
        <v>0</v>
      </c>
      <c r="G24" s="13" cm="1">
        <f t="array" ref="G24">_xll.BDH("DE US Equity","IS_OTHER_NON_OPERATING_INC_LOSS","FQ1 2020","FQ1 2020","Currency=USD","Period=FQ","BEST_FPERIOD_OVERRIDE=FQ","FILING_STATUS=MR","SCALING_FORMAT=MLN","FA_ADJUSTED=Adjusted","Sort=A","Dates=H","DateFormat=P","Fill=—","Direction=H","UseDPDF=Y")</f>
        <v>0</v>
      </c>
      <c r="H24" s="13" cm="1">
        <f t="array" ref="H24">_xll.BDH("DE US Equity","IS_OTHER_NON_OPERATING_INC_LOSS","FQ2 2020","FQ2 2020","Currency=USD","Period=FQ","BEST_FPERIOD_OVERRIDE=FQ","FILING_STATUS=MR","SCALING_FORMAT=MLN","FA_ADJUSTED=Adjusted","Sort=A","Dates=H","DateFormat=P","Fill=—","Direction=H","UseDPDF=Y")</f>
        <v>0</v>
      </c>
      <c r="I24" s="13" cm="1">
        <f t="array" ref="I24">_xll.BDH("DE US Equity","IS_OTHER_NON_OPERATING_INC_LOSS","FQ3 2020","FQ3 2020","Currency=USD","Period=FQ","BEST_FPERIOD_OVERRIDE=FQ","FILING_STATUS=MR","SCALING_FORMAT=MLN","FA_ADJUSTED=Adjusted","Sort=A","Dates=H","DateFormat=P","Fill=—","Direction=H","UseDPDF=Y")</f>
        <v>0</v>
      </c>
      <c r="J24" s="13" cm="1">
        <f t="array" ref="J24">_xll.BDH("DE US Equity","IS_OTHER_NON_OPERATING_INC_LOSS","FQ4 2020","FQ4 2020","Currency=USD","Period=FQ","BEST_FPERIOD_OVERRIDE=FQ","FILING_STATUS=MR","SCALING_FORMAT=MLN","FA_ADJUSTED=Adjusted","Sort=A","Dates=H","DateFormat=P","Fill=—","Direction=H","UseDPDF=Y")</f>
        <v>0</v>
      </c>
      <c r="K24" s="13" cm="1">
        <f t="array" ref="K24">_xll.BDH("DE US Equity","IS_OTHER_NON_OPERATING_INC_LOSS","FQ1 2021","FQ1 2021","Currency=USD","Period=FQ","BEST_FPERIOD_OVERRIDE=FQ","FILING_STATUS=MR","SCALING_FORMAT=MLN","FA_ADJUSTED=Adjusted","Sort=A","Dates=H","DateFormat=P","Fill=—","Direction=H","UseDPDF=Y")</f>
        <v>0</v>
      </c>
      <c r="L24" s="13" cm="1">
        <f t="array" ref="L24">_xll.BDH("DE US Equity","IS_OTHER_NON_OPERATING_INC_LOSS","FQ2 2021","FQ2 2021","Currency=USD","Period=FQ","BEST_FPERIOD_OVERRIDE=FQ","FILING_STATUS=MR","SCALING_FORMAT=MLN","FA_ADJUSTED=Adjusted","Sort=A","Dates=H","DateFormat=P","Fill=—","Direction=H","UseDPDF=Y")</f>
        <v>0</v>
      </c>
      <c r="M24" s="13" cm="1">
        <f t="array" ref="M24">_xll.BDH("DE US Equity","IS_OTHER_NON_OPERATING_INC_LOSS","FQ3 2021","FQ3 2021","Currency=USD","Period=FQ","BEST_FPERIOD_OVERRIDE=FQ","FILING_STATUS=MR","SCALING_FORMAT=MLN","FA_ADJUSTED=Adjusted","Sort=A","Dates=H","DateFormat=P","Fill=—","Direction=H","UseDPDF=Y")</f>
        <v>0</v>
      </c>
      <c r="N24" s="13" cm="1">
        <f t="array" ref="N24">_xll.BDH("DE US Equity","IS_OTHER_NON_OPERATING_INC_LOSS","FQ4 2021","FQ4 2021","Currency=USD","Period=FQ","BEST_FPERIOD_OVERRIDE=FQ","FILING_STATUS=MR","SCALING_FORMAT=MLN","FA_ADJUSTED=Adjusted","Sort=A","Dates=H","DateFormat=P","Fill=—","Direction=H","UseDPDF=Y")</f>
        <v>0</v>
      </c>
      <c r="O24" s="13" cm="1">
        <f t="array" ref="O24">_xll.BDH("DE US Equity","IS_OTHER_NON_OPERATING_INC_LOSS","FQ1 2022","FQ1 2022","Currency=USD","Period=FQ","BEST_FPERIOD_OVERRIDE=FQ","FILING_STATUS=MR","SCALING_FORMAT=MLN","FA_ADJUSTED=Adjusted","Sort=A","Dates=H","DateFormat=P","Fill=—","Direction=H","UseDPDF=Y")</f>
        <v>0</v>
      </c>
      <c r="P24" s="13" cm="1">
        <f t="array" ref="P24">_xll.BDH("DE US Equity","IS_OTHER_NON_OPERATING_INC_LOSS","FQ2 2022","FQ2 2022","Currency=USD","Period=FQ","BEST_FPERIOD_OVERRIDE=FQ","FILING_STATUS=MR","SCALING_FORMAT=MLN","FA_ADJUSTED=Adjusted","Sort=A","Dates=H","DateFormat=P","Fill=—","Direction=H","UseDPDF=Y")</f>
        <v>0</v>
      </c>
      <c r="Q24" s="13" cm="1">
        <f t="array" ref="Q24">_xll.BDH("DE US Equity","IS_OTHER_NON_OPERATING_INC_LOSS","FQ3 2022","FQ3 2022","Currency=USD","Period=FQ","BEST_FPERIOD_OVERRIDE=FQ","FILING_STATUS=MR","SCALING_FORMAT=MLN","FA_ADJUSTED=Adjusted","Sort=A","Dates=H","DateFormat=P","Fill=—","Direction=H","UseDPDF=Y")</f>
        <v>0</v>
      </c>
      <c r="R24" s="13" cm="1">
        <f t="array" ref="R24">_xll.BDH("DE US Equity","IS_OTHER_NON_OPERATING_INC_LOSS","FQ4 2022","FQ4 2022","Currency=USD","Period=FQ","BEST_FPERIOD_OVERRIDE=FQ","FILING_STATUS=MR","SCALING_FORMAT=MLN","FA_ADJUSTED=Adjusted","Sort=A","Dates=H","DateFormat=P","Fill=—","Direction=H","UseDPDF=Y")</f>
        <v>0</v>
      </c>
      <c r="S24" s="13" cm="1">
        <f t="array" ref="S24">_xll.BDH("DE US Equity","IS_OTHER_NON_OPERATING_INC_LOSS","FQ1 2023","FQ1 2023","Currency=USD","Period=FQ","BEST_FPERIOD_OVERRIDE=FQ","FILING_STATUS=MR","SCALING_FORMAT=MLN","FA_ADJUSTED=Adjusted","Sort=A","Dates=H","DateFormat=P","Fill=—","Direction=H","UseDPDF=Y")</f>
        <v>0</v>
      </c>
      <c r="T24" s="13" cm="1">
        <f t="array" ref="T24">_xll.BDH("DE US Equity","IS_OTHER_NON_OPERATING_INC_LOSS","FQ2 2023","FQ2 2023","Currency=USD","Period=FQ","BEST_FPERIOD_OVERRIDE=FQ","FILING_STATUS=MR","SCALING_FORMAT=MLN","FA_ADJUSTED=Adjusted","Sort=A","Dates=H","DateFormat=P","Fill=—","Direction=H","UseDPDF=Y")</f>
        <v>0</v>
      </c>
      <c r="U24" s="13" cm="1">
        <f t="array" ref="U24">_xll.BDH("DE US Equity","IS_OTHER_NON_OPERATING_INC_LOSS","FQ3 2023","FQ3 2023","Currency=USD","Period=FQ","BEST_FPERIOD_OVERRIDE=FQ","FILING_STATUS=MR","SCALING_FORMAT=MLN","FA_ADJUSTED=Adjusted","Sort=A","Dates=H","DateFormat=P","Fill=—","Direction=H","UseDPDF=Y")</f>
        <v>0</v>
      </c>
      <c r="V24" s="13" cm="1">
        <f t="array" ref="V24">_xll.BDH("DE US Equity","IS_OTHER_NON_OPERATING_INC_LOSS","FQ4 2023","FQ4 2023","Currency=USD","Period=FQ","BEST_FPERIOD_OVERRIDE=FQ","FILING_STATUS=MR","SCALING_FORMAT=MLN","FA_ADJUSTED=Adjusted","Sort=A","Dates=H","DateFormat=P","Fill=—","Direction=H","UseDPDF=Y")</f>
        <v>0</v>
      </c>
      <c r="W24" s="13" cm="1">
        <f t="array" ref="W24">_xll.BDH("DE US Equity","IS_OTHER_NON_OPERATING_INC_LOSS","FQ1 2024","FQ1 2024","Currency=USD","Period=FQ","BEST_FPERIOD_OVERRIDE=FQ","FILING_STATUS=MR","SCALING_FORMAT=MLN","FA_ADJUSTED=Adjusted","Sort=A","Dates=H","DateFormat=P","Fill=—","Direction=H","UseDPDF=Y")</f>
        <v>0</v>
      </c>
      <c r="X24" s="13" cm="1">
        <f t="array" ref="X24">_xll.BDH("DE US Equity","IS_OTHER_NON_OPERATING_INC_LOSS","FQ2 2024","FQ2 2024","Currency=USD","Period=FQ","BEST_FPERIOD_OVERRIDE=FQ","FILING_STATUS=MR","SCALING_FORMAT=MLN","FA_ADJUSTED=Adjusted","Sort=A","Dates=H","DateFormat=P","Fill=—","Direction=H","UseDPDF=Y")</f>
        <v>0</v>
      </c>
      <c r="Y24" s="13" cm="1">
        <f t="array" ref="Y24">_xll.BDH("DE US Equity","IS_OTHER_NON_OPERATING_INC_LOSS","FQ3 2024","FQ3 2024","Currency=USD","Period=FQ","BEST_FPERIOD_OVERRIDE=FQ","FILING_STATUS=MR","SCALING_FORMAT=MLN","FA_ADJUSTED=Adjusted","Sort=A","Dates=H","DateFormat=P","Fill=—","Direction=H","UseDPDF=Y")</f>
        <v>0</v>
      </c>
      <c r="Z24" s="13" cm="1">
        <f t="array" ref="Z24">_xll.BDH("DE US Equity","IS_OTHER_NON_OPERATING_INC_LOSS","FQ4 2024","FQ4 2024","Currency=USD","Period=FQ","BEST_FPERIOD_OVERRIDE=FQ","FILING_STATUS=MR","SCALING_FORMAT=MLN","FA_ADJUSTED=Adjusted","Sort=A","Dates=H","DateFormat=P","Fill=—","Direction=H","UseDPDF=Y")</f>
        <v>-1</v>
      </c>
      <c r="AA24" s="13" cm="1">
        <f t="array" ref="AA24">_xll.BDH("DE US Equity","IS_OTHER_NON_OPERATING_INC_LOSS","FQ1 2025","FQ1 2025","Currency=USD","Period=FQ","BEST_FPERIOD_OVERRIDE=FQ","FILING_STATUS=MR","SCALING_FORMAT=MLN","FA_ADJUSTED=Adjusted","Sort=A","Dates=H","DateFormat=P","Fill=—","Direction=H","UseDPDF=Y")</f>
        <v>0</v>
      </c>
      <c r="AB24" s="13" cm="1">
        <f t="array" ref="AB24">_xll.BDH("DE US Equity","IS_OTHER_NON_OPERATING_INC_LOSS","FQ2 2025","FQ2 2025","Currency=USD","Period=FQ","BEST_FPERIOD_OVERRIDE=FQ","FILING_STATUS=MR","SCALING_FORMAT=MLN","FA_ADJUSTED=Adjusted","Sort=A","Dates=H","DateFormat=P","Fill=—","Direction=H","UseDPDF=Y")</f>
        <v>0</v>
      </c>
      <c r="AC24" s="13" cm="1">
        <f t="array" ref="AC24">_xll.BDH("DE US Equity","IS_OTHER_NON_OPERATING_INC_LOSS","FQ3 2025","FQ3 2025","Currency=USD","Period=FQ","BEST_FPERIOD_OVERRIDE=FQ","FILING_STATUS=MR","SCALING_FORMAT=MLN","FA_ADJUSTED=Adjusted","Sort=A","Dates=H","DateFormat=P","Fill=—","Direction=H","UseDPDF=Y")</f>
        <v>0</v>
      </c>
      <c r="AD24" s="13" cm="1">
        <f t="array" ref="AD24">_xll.BDH("DE US Equity","IS_OTHER_NON_OPERATING_INC_LOSS","FQ4 2025","FQ4 2025","Currency=USD","Period=FQ","BEST_FPERIOD_OVERRIDE=FQ","FILING_STATUS=MR","SCALING_FORMAT=MLN","FA_ADJUSTED=Adjusted","Sort=A","Dates=H","DateFormat=P","Fill=—","Direction=H","UseDPDF=Y")</f>
        <v>0</v>
      </c>
      <c r="AE24" s="13"/>
      <c r="AF24" s="13"/>
    </row>
    <row r="25" spans="1:32" x14ac:dyDescent="0.25">
      <c r="A25" s="6" t="s">
        <v>103</v>
      </c>
      <c r="B25" s="6" t="s">
        <v>104</v>
      </c>
      <c r="C25" s="16" cm="1">
        <f t="array" ref="C25">_xll.BDH("DE US Equity","PRETAX_INC","FQ1 2019","FQ1 2019","Currency=USD","Period=FQ","BEST_FPERIOD_OVERRIDE=FQ","FILING_STATUS=MR","SCALING_FORMAT=MLN","FA_ADJUSTED=Adjusted","Sort=A","Dates=H","DateFormat=P","Fill=—","Direction=H","UseDPDF=Y")</f>
        <v>677</v>
      </c>
      <c r="D25" s="16" cm="1">
        <f t="array" ref="D25">_xll.BDH("DE US Equity","PRETAX_INC","FQ2 2019","FQ2 2019","Currency=USD","Period=FQ","BEST_FPERIOD_OVERRIDE=FQ","FILING_STATUS=MR","SCALING_FORMAT=MLN","FA_ADJUSTED=Adjusted","Sort=A","Dates=H","DateFormat=P","Fill=—","Direction=H","UseDPDF=Y")</f>
        <v>1473</v>
      </c>
      <c r="E25" s="16" cm="1">
        <f t="array" ref="E25">_xll.BDH("DE US Equity","PRETAX_INC","FQ3 2019","FQ3 2019","Currency=USD","Period=FQ","BEST_FPERIOD_OVERRIDE=FQ","FILING_STATUS=MR","SCALING_FORMAT=MLN","FA_ADJUSTED=Adjusted","Sort=A","Dates=H","DateFormat=P","Fill=—","Direction=H","UseDPDF=Y")</f>
        <v>1113</v>
      </c>
      <c r="F25" s="16" cm="1">
        <f t="array" ref="F25">_xll.BDH("DE US Equity","PRETAX_INC","FQ4 2019","FQ4 2019","Currency=USD","Period=FQ","BEST_FPERIOD_OVERRIDE=FQ","FILING_STATUS=MR","SCALING_FORMAT=MLN","FA_ADJUSTED=Adjusted","Sort=A","Dates=H","DateFormat=P","Fill=—","Direction=H","UseDPDF=Y")</f>
        <v>907</v>
      </c>
      <c r="G25" s="16" cm="1">
        <f t="array" ref="G25">_xll.BDH("DE US Equity","PRETAX_INC","FQ1 2020","FQ1 2020","Currency=USD","Period=FQ","BEST_FPERIOD_OVERRIDE=FQ","FILING_STATUS=MR","SCALING_FORMAT=MLN","FA_ADJUSTED=Adjusted","Sort=A","Dates=H","DateFormat=P","Fill=—","Direction=H","UseDPDF=Y")</f>
        <v>696</v>
      </c>
      <c r="H25" s="16" cm="1">
        <f t="array" ref="H25">_xll.BDH("DE US Equity","PRETAX_INC","FQ2 2020","FQ2 2020","Currency=USD","Period=FQ","BEST_FPERIOD_OVERRIDE=FQ","FILING_STATUS=MR","SCALING_FORMAT=MLN","FA_ADJUSTED=Adjusted","Sort=A","Dates=H","DateFormat=P","Fill=—","Direction=H","UseDPDF=Y")</f>
        <v>1134</v>
      </c>
      <c r="I25" s="16" cm="1">
        <f t="array" ref="I25">_xll.BDH("DE US Equity","PRETAX_INC","FQ3 2020","FQ3 2020","Currency=USD","Period=FQ","BEST_FPERIOD_OVERRIDE=FQ","FILING_STATUS=MR","SCALING_FORMAT=MLN","FA_ADJUSTED=Adjusted","Sort=A","Dates=H","DateFormat=P","Fill=—","Direction=H","UseDPDF=Y")</f>
        <v>1283</v>
      </c>
      <c r="J25" s="16" cm="1">
        <f t="array" ref="J25">_xll.BDH("DE US Equity","PRETAX_INC","FQ4 2020","FQ4 2020","Currency=USD","Period=FQ","BEST_FPERIOD_OVERRIDE=FQ","FILING_STATUS=MR","SCALING_FORMAT=MLN","FA_ADJUSTED=Adjusted","Sort=A","Dates=H","DateFormat=P","Fill=—","Direction=H","UseDPDF=Y")</f>
        <v>1462.481</v>
      </c>
      <c r="K25" s="16" cm="1">
        <f t="array" ref="K25">_xll.BDH("DE US Equity","PRETAX_INC","FQ1 2021","FQ1 2021","Currency=USD","Period=FQ","BEST_FPERIOD_OVERRIDE=FQ","FILING_STATUS=MR","SCALING_FORMAT=MLN","FA_ADJUSTED=Adjusted","Sort=A","Dates=H","DateFormat=P","Fill=—","Direction=H","UseDPDF=Y")</f>
        <v>1520</v>
      </c>
      <c r="L25" s="16" cm="1">
        <f t="array" ref="L25">_xll.BDH("DE US Equity","PRETAX_INC","FQ2 2021","FQ2 2021","Currency=USD","Period=FQ","BEST_FPERIOD_OVERRIDE=FQ","FILING_STATUS=MR","SCALING_FORMAT=MLN","FA_ADJUSTED=Adjusted","Sort=A","Dates=H","DateFormat=P","Fill=—","Direction=H","UseDPDF=Y")</f>
        <v>2312</v>
      </c>
      <c r="M25" s="16" cm="1">
        <f t="array" ref="M25">_xll.BDH("DE US Equity","PRETAX_INC","FQ3 2021","FQ3 2021","Currency=USD","Period=FQ","BEST_FPERIOD_OVERRIDE=FQ","FILING_STATUS=MR","SCALING_FORMAT=MLN","FA_ADJUSTED=Adjusted","Sort=A","Dates=H","DateFormat=P","Fill=—","Direction=H","UseDPDF=Y")</f>
        <v>2123</v>
      </c>
      <c r="N25" s="16" cm="1">
        <f t="array" ref="N25">_xll.BDH("DE US Equity","PRETAX_INC","FQ4 2021","FQ4 2021","Currency=USD","Period=FQ","BEST_FPERIOD_OVERRIDE=FQ","FILING_STATUS=MR","SCALING_FORMAT=MLN","FA_ADJUSTED=Adjusted","Sort=A","Dates=H","DateFormat=P","Fill=—","Direction=H","UseDPDF=Y")</f>
        <v>1613</v>
      </c>
      <c r="O25" s="16" cm="1">
        <f t="array" ref="O25">_xll.BDH("DE US Equity","PRETAX_INC","FQ1 2022","FQ1 2022","Currency=USD","Period=FQ","BEST_FPERIOD_OVERRIDE=FQ","FILING_STATUS=MR","SCALING_FORMAT=MLN","FA_ADJUSTED=Adjusted","Sort=A","Dates=H","DateFormat=P","Fill=—","Direction=H","UseDPDF=Y")</f>
        <v>1241</v>
      </c>
      <c r="P25" s="16" cm="1">
        <f t="array" ref="P25">_xll.BDH("DE US Equity","PRETAX_INC","FQ2 2022","FQ2 2022","Currency=USD","Period=FQ","BEST_FPERIOD_OVERRIDE=FQ","FILING_STATUS=MR","SCALING_FORMAT=MLN","FA_ADJUSTED=Adjusted","Sort=A","Dates=H","DateFormat=P","Fill=—","Direction=H","UseDPDF=Y")</f>
        <v>2621</v>
      </c>
      <c r="Q25" s="16" cm="1">
        <f t="array" ref="Q25">_xll.BDH("DE US Equity","PRETAX_INC","FQ3 2022","FQ3 2022","Currency=USD","Period=FQ","BEST_FPERIOD_OVERRIDE=FQ","FILING_STATUS=MR","SCALING_FORMAT=MLN","FA_ADJUSTED=Adjusted","Sort=A","Dates=H","DateFormat=P","Fill=—","Direction=H","UseDPDF=Y")</f>
        <v>2579</v>
      </c>
      <c r="R25" s="16" cm="1">
        <f t="array" ref="R25">_xll.BDH("DE US Equity","PRETAX_INC","FQ4 2022","FQ4 2022","Currency=USD","Period=FQ","BEST_FPERIOD_OVERRIDE=FQ","FILING_STATUS=MR","SCALING_FORMAT=MLN","FA_ADJUSTED=Adjusted","Sort=A","Dates=H","DateFormat=P","Fill=—","Direction=H","UseDPDF=Y")</f>
        <v>2651</v>
      </c>
      <c r="S25" s="16" cm="1">
        <f t="array" ref="S25">_xll.BDH("DE US Equity","PRETAX_INC","FQ1 2023","FQ1 2023","Currency=USD","Period=FQ","BEST_FPERIOD_OVERRIDE=FQ","FILING_STATUS=MR","SCALING_FORMAT=MLN","FA_ADJUSTED=Adjusted","Sort=A","Dates=H","DateFormat=P","Fill=—","Direction=H","UseDPDF=Y")</f>
        <v>2493</v>
      </c>
      <c r="T25" s="16" cm="1">
        <f t="array" ref="T25">_xll.BDH("DE US Equity","PRETAX_INC","FQ2 2023","FQ2 2023","Currency=USD","Period=FQ","BEST_FPERIOD_OVERRIDE=FQ","FILING_STATUS=MR","SCALING_FORMAT=MLN","FA_ADJUSTED=Adjusted","Sort=A","Dates=H","DateFormat=P","Fill=—","Direction=H","UseDPDF=Y")</f>
        <v>4021</v>
      </c>
      <c r="U25" s="16" cm="1">
        <f t="array" ref="U25">_xll.BDH("DE US Equity","PRETAX_INC","FQ3 2023","FQ3 2023","Currency=USD","Period=FQ","BEST_FPERIOD_OVERRIDE=FQ","FILING_STATUS=MR","SCALING_FORMAT=MLN","FA_ADJUSTED=Adjusted","Sort=A","Dates=H","DateFormat=P","Fill=—","Direction=H","UseDPDF=Y")</f>
        <v>3606</v>
      </c>
      <c r="V25" s="16" cm="1">
        <f t="array" ref="V25">_xll.BDH("DE US Equity","PRETAX_INC","FQ4 2023","FQ4 2023","Currency=USD","Period=FQ","BEST_FPERIOD_OVERRIDE=FQ","FILING_STATUS=MR","SCALING_FORMAT=MLN","FA_ADJUSTED=Adjusted","Sort=A","Dates=H","DateFormat=P","Fill=—","Direction=H","UseDPDF=Y")</f>
        <v>3091</v>
      </c>
      <c r="W25" s="16" cm="1">
        <f t="array" ref="W25">_xll.BDH("DE US Equity","PRETAX_INC","FQ1 2024","FQ1 2024","Currency=USD","Period=FQ","BEST_FPERIOD_OVERRIDE=FQ","FILING_STATUS=MR","SCALING_FORMAT=MLN","FA_ADJUSTED=Adjusted","Sort=A","Dates=H","DateFormat=P","Fill=—","Direction=H","UseDPDF=Y")</f>
        <v>2215</v>
      </c>
      <c r="X25" s="16" cm="1">
        <f t="array" ref="X25">_xll.BDH("DE US Equity","PRETAX_INC","FQ2 2024","FQ2 2024","Currency=USD","Period=FQ","BEST_FPERIOD_OVERRIDE=FQ","FILING_STATUS=MR","SCALING_FORMAT=MLN","FA_ADJUSTED=Adjusted","Sort=A","Dates=H","DateFormat=P","Fill=—","Direction=H","UseDPDF=Y")</f>
        <v>3117</v>
      </c>
      <c r="Y25" s="16" cm="1">
        <f t="array" ref="Y25">_xll.BDH("DE US Equity","PRETAX_INC","FQ3 2024","FQ3 2024","Currency=USD","Period=FQ","BEST_FPERIOD_OVERRIDE=FQ","FILING_STATUS=MR","SCALING_FORMAT=MLN","FA_ADJUSTED=Adjusted","Sort=A","Dates=H","DateFormat=P","Fill=—","Direction=H","UseDPDF=Y")</f>
        <v>2355</v>
      </c>
      <c r="Z25" s="16" cm="1">
        <f t="array" ref="Z25">_xll.BDH("DE US Equity","PRETAX_INC","FQ4 2024","FQ4 2024","Currency=USD","Period=FQ","BEST_FPERIOD_OVERRIDE=FQ","FILING_STATUS=MR","SCALING_FORMAT=MLN","FA_ADJUSTED=Adjusted","Sort=A","Dates=H","DateFormat=P","Fill=—","Direction=H","UseDPDF=Y")</f>
        <v>1566</v>
      </c>
      <c r="AA25" s="16" cm="1">
        <f t="array" ref="AA25">_xll.BDH("DE US Equity","PRETAX_INC","FQ1 2025","FQ1 2025","Currency=USD","Period=FQ","BEST_FPERIOD_OVERRIDE=FQ","FILING_STATUS=MR","SCALING_FORMAT=MLN","FA_ADJUSTED=Adjusted","Sort=A","Dates=H","DateFormat=P","Fill=—","Direction=H","UseDPDF=Y")</f>
        <v>863</v>
      </c>
      <c r="AB25" s="16" cm="1">
        <f t="array" ref="AB25">_xll.BDH("DE US Equity","PRETAX_INC","FQ2 2025","FQ2 2025","Currency=USD","Period=FQ","BEST_FPERIOD_OVERRIDE=FQ","FILING_STATUS=MR","SCALING_FORMAT=MLN","FA_ADJUSTED=Adjusted","Sort=A","Dates=H","DateFormat=P","Fill=—","Direction=H","UseDPDF=Y")</f>
        <v>2337</v>
      </c>
      <c r="AC25" s="16" cm="1">
        <f t="array" ref="AC25">_xll.BDH("DE US Equity","PRETAX_INC","FQ3 2025","FQ3 2025","Currency=USD","Period=FQ","BEST_FPERIOD_OVERRIDE=FQ","FILING_STATUS=MR","SCALING_FORMAT=MLN","FA_ADJUSTED=Adjusted","Sort=A","Dates=H","DateFormat=P","Fill=—","Direction=H","UseDPDF=Y")</f>
        <v>1661</v>
      </c>
      <c r="AD25" s="16" cm="1">
        <f t="array" ref="AD25">_xll.BDH("DE US Equity","PRETAX_INC","FQ4 2025","FQ4 2025","Currency=USD","Period=FQ","BEST_FPERIOD_OVERRIDE=FQ","FILING_STATUS=MR","SCALING_FORMAT=MLN","FA_ADJUSTED=Adjusted","Sort=A","Dates=H","DateFormat=P","Fill=—","Direction=H","UseDPDF=Y")</f>
        <v>1519</v>
      </c>
      <c r="AE25" s="16">
        <v>687.66700000000003</v>
      </c>
      <c r="AF25" s="16">
        <v>2063.143</v>
      </c>
    </row>
    <row r="26" spans="1:32" x14ac:dyDescent="0.25">
      <c r="A26" s="10" t="s">
        <v>105</v>
      </c>
      <c r="B26" s="10" t="s">
        <v>106</v>
      </c>
      <c r="C26" s="13" cm="1">
        <f t="array" ref="C26">_xll.BDH("DE US Equity","IS_ABNORMAL_ITEM","FQ1 2019","FQ1 2019","Currency=USD","Period=FQ","BEST_FPERIOD_OVERRIDE=FQ","FILING_STATUS=MR","SCALING_FORMAT=MLN","Sort=A","Dates=H","DateFormat=P","Fill=—","Direction=H","UseDPDF=Y")</f>
        <v>0</v>
      </c>
      <c r="D26" s="13" cm="1">
        <f t="array" ref="D26">_xll.BDH("DE US Equity","IS_ABNORMAL_ITEM","FQ2 2019","FQ2 2019","Currency=USD","Period=FQ","BEST_FPERIOD_OVERRIDE=FQ","FILING_STATUS=MR","SCALING_FORMAT=MLN","Sort=A","Dates=H","DateFormat=P","Fill=—","Direction=H","UseDPDF=Y")</f>
        <v>0</v>
      </c>
      <c r="E26" s="13" cm="1">
        <f t="array" ref="E26">_xll.BDH("DE US Equity","IS_ABNORMAL_ITEM","FQ3 2019","FQ3 2019","Currency=USD","Period=FQ","BEST_FPERIOD_OVERRIDE=FQ","FILING_STATUS=MR","SCALING_FORMAT=MLN","Sort=A","Dates=H","DateFormat=P","Fill=—","Direction=H","UseDPDF=Y")</f>
        <v>0</v>
      </c>
      <c r="F26" s="13" cm="1">
        <f t="array" ref="F26">_xll.BDH("DE US Equity","IS_ABNORMAL_ITEM","FQ4 2019","FQ4 2019","Currency=USD","Period=FQ","BEST_FPERIOD_OVERRIDE=FQ","FILING_STATUS=MR","SCALING_FORMAT=MLN","Sort=A","Dates=H","DateFormat=P","Fill=—","Direction=H","UseDPDF=Y")</f>
        <v>82</v>
      </c>
      <c r="G26" s="13" cm="1">
        <f t="array" ref="G26">_xll.BDH("DE US Equity","IS_ABNORMAL_ITEM","FQ1 2020","FQ1 2020","Currency=USD","Period=FQ","BEST_FPERIOD_OVERRIDE=FQ","FILING_STATUS=MR","SCALING_FORMAT=MLN","Sort=A","Dates=H","DateFormat=P","Fill=—","Direction=H","UseDPDF=Y")</f>
        <v>127</v>
      </c>
      <c r="H26" s="13" cm="1">
        <f t="array" ref="H26">_xll.BDH("DE US Equity","IS_ABNORMAL_ITEM","FQ2 2020","FQ2 2020","Currency=USD","Period=FQ","BEST_FPERIOD_OVERRIDE=FQ","FILING_STATUS=MR","SCALING_FORMAT=MLN","Sort=A","Dates=H","DateFormat=P","Fill=—","Direction=H","UseDPDF=Y")</f>
        <v>206</v>
      </c>
      <c r="I26" s="13" cm="1">
        <f t="array" ref="I26">_xll.BDH("DE US Equity","IS_ABNORMAL_ITEM","FQ3 2020","FQ3 2020","Currency=USD","Period=FQ","BEST_FPERIOD_OVERRIDE=FQ","FILING_STATUS=MR","SCALING_FORMAT=MLN","Sort=A","Dates=H","DateFormat=P","Fill=—","Direction=H","UseDPDF=Y")</f>
        <v>13</v>
      </c>
      <c r="J26" s="13" cm="1">
        <f t="array" ref="J26">_xll.BDH("DE US Equity","IS_ABNORMAL_ITEM","FQ4 2020","FQ4 2020","Currency=USD","Period=FQ","BEST_FPERIOD_OVERRIDE=FQ","FILING_STATUS=MR","SCALING_FORMAT=MLN","Sort=A","Dates=H","DateFormat=P","Fill=—","Direction=H","UseDPDF=Y")</f>
        <v>347.48099999999999</v>
      </c>
      <c r="K26" s="13" cm="1">
        <f t="array" ref="K26">_xll.BDH("DE US Equity","IS_ABNORMAL_ITEM","FQ1 2021","FQ1 2021","Currency=USD","Period=FQ","BEST_FPERIOD_OVERRIDE=FQ","FILING_STATUS=MR","SCALING_FORMAT=MLN","Sort=A","Dates=H","DateFormat=P","Fill=—","Direction=H","UseDPDF=Y")</f>
        <v>-8</v>
      </c>
      <c r="L26" s="13" cm="1">
        <f t="array" ref="L26">_xll.BDH("DE US Equity","IS_ABNORMAL_ITEM","FQ2 2021","FQ2 2021","Currency=USD","Period=FQ","BEST_FPERIOD_OVERRIDE=FQ","FILING_STATUS=MR","SCALING_FORMAT=MLN","Sort=A","Dates=H","DateFormat=P","Fill=—","Direction=H","UseDPDF=Y")</f>
        <v>0</v>
      </c>
      <c r="M26" s="13" cm="1">
        <f t="array" ref="M26">_xll.BDH("DE US Equity","IS_ABNORMAL_ITEM","FQ3 2021","FQ3 2021","Currency=USD","Period=FQ","BEST_FPERIOD_OVERRIDE=FQ","FILING_STATUS=MR","SCALING_FORMAT=MLN","Sort=A","Dates=H","DateFormat=P","Fill=—","Direction=H","UseDPDF=Y")</f>
        <v>-27</v>
      </c>
      <c r="N26" s="13" cm="1">
        <f t="array" ref="N26">_xll.BDH("DE US Equity","IS_ABNORMAL_ITEM","FQ4 2021","FQ4 2021","Currency=USD","Period=FQ","BEST_FPERIOD_OVERRIDE=FQ","FILING_STATUS=MR","SCALING_FORMAT=MLN","Sort=A","Dates=H","DateFormat=P","Fill=—","Direction=H","UseDPDF=Y")</f>
        <v>0</v>
      </c>
      <c r="O26" s="13" cm="1">
        <f t="array" ref="O26">_xll.BDH("DE US Equity","IS_ABNORMAL_ITEM","FQ1 2022","FQ1 2022","Currency=USD","Period=FQ","BEST_FPERIOD_OVERRIDE=FQ","FILING_STATUS=MR","SCALING_FORMAT=MLN","Sort=A","Dates=H","DateFormat=P","Fill=—","Direction=H","UseDPDF=Y")</f>
        <v>90</v>
      </c>
      <c r="P26" s="13" cm="1">
        <f t="array" ref="P26">_xll.BDH("DE US Equity","IS_ABNORMAL_ITEM","FQ2 2022","FQ2 2022","Currency=USD","Period=FQ","BEST_FPERIOD_OVERRIDE=FQ","FILING_STATUS=MR","SCALING_FORMAT=MLN","Sort=A","Dates=H","DateFormat=P","Fill=—","Direction=H","UseDPDF=Y")</f>
        <v>69</v>
      </c>
      <c r="Q26" s="13" cm="1">
        <f t="array" ref="Q26">_xll.BDH("DE US Equity","IS_ABNORMAL_ITEM","FQ3 2022","FQ3 2022","Currency=USD","Period=FQ","BEST_FPERIOD_OVERRIDE=FQ","FILING_STATUS=MR","SCALING_FORMAT=MLN","Sort=A","Dates=H","DateFormat=P","Fill=—","Direction=H","UseDPDF=Y")</f>
        <v>40</v>
      </c>
      <c r="R26" s="13" cm="1">
        <f t="array" ref="R26">_xll.BDH("DE US Equity","IS_ABNORMAL_ITEM","FQ4 2022","FQ4 2022","Currency=USD","Period=FQ","BEST_FPERIOD_OVERRIDE=FQ","FILING_STATUS=MR","SCALING_FORMAT=MLN","Sort=A","Dates=H","DateFormat=P","Fill=—","Direction=H","UseDPDF=Y")</f>
        <v>-234</v>
      </c>
      <c r="S26" s="13" cm="1">
        <f t="array" ref="S26">_xll.BDH("DE US Equity","IS_ABNORMAL_ITEM","FQ1 2023","FQ1 2023","Currency=USD","Period=FQ","BEST_FPERIOD_OVERRIDE=FQ","FILING_STATUS=MR","SCALING_FORMAT=MLN","Sort=A","Dates=H","DateFormat=P","Fill=—","Direction=H","UseDPDF=Y")</f>
        <v>0</v>
      </c>
      <c r="T26" s="13" cm="1">
        <f t="array" ref="T26">_xll.BDH("DE US Equity","IS_ABNORMAL_ITEM","FQ2 2023","FQ2 2023","Currency=USD","Period=FQ","BEST_FPERIOD_OVERRIDE=FQ","FILING_STATUS=MR","SCALING_FORMAT=MLN","Sort=A","Dates=H","DateFormat=P","Fill=—","Direction=H","UseDPDF=Y")</f>
        <v>173</v>
      </c>
      <c r="U26" s="13" cm="1">
        <f t="array" ref="U26">_xll.BDH("DE US Equity","IS_ABNORMAL_ITEM","FQ3 2023","FQ3 2023","Currency=USD","Period=FQ","BEST_FPERIOD_OVERRIDE=FQ","FILING_STATUS=MR","SCALING_FORMAT=MLN","Sort=A","Dates=H","DateFormat=P","Fill=—","Direction=H","UseDPDF=Y")</f>
        <v>0</v>
      </c>
      <c r="V26" s="13" cm="1">
        <f t="array" ref="V26">_xll.BDH("DE US Equity","IS_ABNORMAL_ITEM","FQ4 2023","FQ4 2023","Currency=USD","Period=FQ","BEST_FPERIOD_OVERRIDE=FQ","FILING_STATUS=MR","SCALING_FORMAT=MLN","Sort=A","Dates=H","DateFormat=P","Fill=—","Direction=H","UseDPDF=Y")</f>
        <v>18</v>
      </c>
      <c r="W26" s="13" cm="1">
        <f t="array" ref="W26">_xll.BDH("DE US Equity","IS_ABNORMAL_ITEM","FQ1 2024","FQ1 2024","Currency=USD","Period=FQ","BEST_FPERIOD_OVERRIDE=FQ","FILING_STATUS=MR","SCALING_FORMAT=MLN","Sort=A","Dates=H","DateFormat=P","Fill=—","Direction=H","UseDPDF=Y")</f>
        <v>0</v>
      </c>
      <c r="X26" s="13" cm="1">
        <f t="array" ref="X26">_xll.BDH("DE US Equity","IS_ABNORMAL_ITEM","FQ2 2024","FQ2 2024","Currency=USD","Period=FQ","BEST_FPERIOD_OVERRIDE=FQ","FILING_STATUS=MR","SCALING_FORMAT=MLN","Sort=A","Dates=H","DateFormat=P","Fill=—","Direction=H","UseDPDF=Y")</f>
        <v>0</v>
      </c>
      <c r="Y26" s="13" cm="1">
        <f t="array" ref="Y26">_xll.BDH("DE US Equity","IS_ABNORMAL_ITEM","FQ3 2024","FQ3 2024","Currency=USD","Period=FQ","BEST_FPERIOD_OVERRIDE=FQ","FILING_STATUS=MR","SCALING_FORMAT=MLN","Sort=A","Dates=H","DateFormat=P","Fill=—","Direction=H","UseDPDF=Y")</f>
        <v>0</v>
      </c>
      <c r="Z26" s="13" cm="1">
        <f t="array" ref="Z26">_xll.BDH("DE US Equity","IS_ABNORMAL_ITEM","FQ4 2024","FQ4 2024","Currency=USD","Period=FQ","BEST_FPERIOD_OVERRIDE=FQ","FILING_STATUS=MR","SCALING_FORMAT=MLN","Sort=A","Dates=H","DateFormat=P","Fill=—","Direction=H","UseDPDF=Y")</f>
        <v>48</v>
      </c>
      <c r="AA26" s="13" cm="1">
        <f t="array" ref="AA26">_xll.BDH("DE US Equity","IS_ABNORMAL_ITEM","FQ1 2025","FQ1 2025","Currency=USD","Period=FQ","BEST_FPERIOD_OVERRIDE=FQ","FILING_STATUS=MR","SCALING_FORMAT=MLN","Sort=A","Dates=H","DateFormat=P","Fill=—","Direction=H","UseDPDF=Y")</f>
        <v>-32</v>
      </c>
      <c r="AB26" s="13" cm="1">
        <f t="array" ref="AB26">_xll.BDH("DE US Equity","IS_ABNORMAL_ITEM","FQ2 2025","FQ2 2025","Currency=USD","Period=FQ","BEST_FPERIOD_OVERRIDE=FQ","FILING_STATUS=MR","SCALING_FORMAT=MLN","Sort=A","Dates=H","DateFormat=P","Fill=—","Direction=H","UseDPDF=Y")</f>
        <v>0</v>
      </c>
      <c r="AC26" s="13" cm="1">
        <f t="array" ref="AC26">_xll.BDH("DE US Equity","IS_ABNORMAL_ITEM","FQ3 2025","FQ3 2025","Currency=USD","Period=FQ","BEST_FPERIOD_OVERRIDE=FQ","FILING_STATUS=MR","SCALING_FORMAT=MLN","Sort=A","Dates=H","DateFormat=P","Fill=—","Direction=H","UseDPDF=Y")</f>
        <v>61</v>
      </c>
      <c r="AD26" s="13" cm="1">
        <f t="array" ref="AD26">_xll.BDH("DE US Equity","IS_ABNORMAL_ITEM","FQ4 2025","FQ4 2025","Currency=USD","Period=FQ","BEST_FPERIOD_OVERRIDE=FQ","FILING_STATUS=MR","SCALING_FORMAT=MLN","Sort=A","Dates=H","DateFormat=P","Fill=—","Direction=H","UseDPDF=Y")</f>
        <v>95</v>
      </c>
      <c r="AE26" s="13"/>
      <c r="AF26" s="13"/>
    </row>
    <row r="27" spans="1:32" x14ac:dyDescent="0.25">
      <c r="A27" s="10" t="s">
        <v>107</v>
      </c>
      <c r="B27" s="10" t="s">
        <v>108</v>
      </c>
      <c r="C27" s="13" t="str" cm="1">
        <f t="array" ref="C27">_xll.BDH("DE US Equity","IS_IMPAIRMENT_ASSETS","FQ1 2019","FQ1 2019","Currency=USD","Period=FQ","BEST_FPERIOD_OVERRIDE=FQ","FILING_STATUS=MR","SCALING_FORMAT=MLN","Sort=A","Dates=H","DateFormat=P","Fill=—","Direction=H","UseDPDF=Y")</f>
        <v>—</v>
      </c>
      <c r="D27" s="13" t="str" cm="1">
        <f t="array" ref="D27">_xll.BDH("DE US Equity","IS_IMPAIRMENT_ASSETS","FQ2 2019","FQ2 2019","Currency=USD","Period=FQ","BEST_FPERIOD_OVERRIDE=FQ","FILING_STATUS=MR","SCALING_FORMAT=MLN","Sort=A","Dates=H","DateFormat=P","Fill=—","Direction=H","UseDPDF=Y")</f>
        <v>—</v>
      </c>
      <c r="E27" s="13" t="str" cm="1">
        <f t="array" ref="E27">_xll.BDH("DE US Equity","IS_IMPAIRMENT_ASSETS","FQ3 2019","FQ3 2019","Currency=USD","Period=FQ","BEST_FPERIOD_OVERRIDE=FQ","FILING_STATUS=MR","SCALING_FORMAT=MLN","Sort=A","Dates=H","DateFormat=P","Fill=—","Direction=H","UseDPDF=Y")</f>
        <v>—</v>
      </c>
      <c r="F27" s="13" cm="1">
        <f t="array" ref="F27">_xll.BDH("DE US Equity","IS_IMPAIRMENT_ASSETS","FQ4 2019","FQ4 2019","Currency=USD","Period=FQ","BEST_FPERIOD_OVERRIDE=FQ","FILING_STATUS=MR","SCALING_FORMAT=MLN","Sort=A","Dates=H","DateFormat=P","Fill=—","Direction=H","UseDPDF=Y")</f>
        <v>77</v>
      </c>
      <c r="G27" s="13" t="str" cm="1">
        <f t="array" ref="G27">_xll.BDH("DE US Equity","IS_IMPAIRMENT_ASSETS","FQ1 2020","FQ1 2020","Currency=USD","Period=FQ","BEST_FPERIOD_OVERRIDE=FQ","FILING_STATUS=MR","SCALING_FORMAT=MLN","Sort=A","Dates=H","DateFormat=P","Fill=—","Direction=H","UseDPDF=Y")</f>
        <v>—</v>
      </c>
      <c r="H27" s="13" cm="1">
        <f t="array" ref="H27">_xll.BDH("DE US Equity","IS_IMPAIRMENT_ASSETS","FQ2 2020","FQ2 2020","Currency=USD","Period=FQ","BEST_FPERIOD_OVERRIDE=FQ","FILING_STATUS=MR","SCALING_FORMAT=MLN","Sort=A","Dates=H","DateFormat=P","Fill=—","Direction=H","UseDPDF=Y")</f>
        <v>176</v>
      </c>
      <c r="I27" s="13" cm="1">
        <f t="array" ref="I27">_xll.BDH("DE US Equity","IS_IMPAIRMENT_ASSETS","FQ3 2020","FQ3 2020","Currency=USD","Period=FQ","BEST_FPERIOD_OVERRIDE=FQ","FILING_STATUS=MR","SCALING_FORMAT=MLN","Sort=A","Dates=H","DateFormat=P","Fill=—","Direction=H","UseDPDF=Y")</f>
        <v>9</v>
      </c>
      <c r="J27" s="13" cm="1">
        <f t="array" ref="J27">_xll.BDH("DE US Equity","IS_IMPAIRMENT_ASSETS","FQ4 2020","FQ4 2020","Currency=USD","Period=FQ","BEST_FPERIOD_OVERRIDE=FQ","FILING_STATUS=MR","SCALING_FORMAT=MLN","Sort=A","Dates=H","DateFormat=P","Fill=—","Direction=H","UseDPDF=Y")</f>
        <v>72</v>
      </c>
      <c r="K27" s="13" cm="1">
        <f t="array" ref="K27">_xll.BDH("DE US Equity","IS_IMPAIRMENT_ASSETS","FQ1 2021","FQ1 2021","Currency=USD","Period=FQ","BEST_FPERIOD_OVERRIDE=FQ","FILING_STATUS=MR","SCALING_FORMAT=MLN","Sort=A","Dates=H","DateFormat=P","Fill=—","Direction=H","UseDPDF=Y")</f>
        <v>50</v>
      </c>
      <c r="L27" s="13" t="str" cm="1">
        <f t="array" ref="L27">_xll.BDH("DE US Equity","IS_IMPAIRMENT_ASSETS","FQ2 2021","FQ2 2021","Currency=USD","Period=FQ","BEST_FPERIOD_OVERRIDE=FQ","FILING_STATUS=MR","SCALING_FORMAT=MLN","Sort=A","Dates=H","DateFormat=P","Fill=—","Direction=H","UseDPDF=Y")</f>
        <v>—</v>
      </c>
      <c r="M27" s="13" t="str" cm="1">
        <f t="array" ref="M27">_xll.BDH("DE US Equity","IS_IMPAIRMENT_ASSETS","FQ3 2021","FQ3 2021","Currency=USD","Period=FQ","BEST_FPERIOD_OVERRIDE=FQ","FILING_STATUS=MR","SCALING_FORMAT=MLN","Sort=A","Dates=H","DateFormat=P","Fill=—","Direction=H","UseDPDF=Y")</f>
        <v>—</v>
      </c>
      <c r="N27" s="13" t="str" cm="1">
        <f t="array" ref="N27">_xll.BDH("DE US Equity","IS_IMPAIRMENT_ASSETS","FQ4 2021","FQ4 2021","Currency=USD","Period=FQ","BEST_FPERIOD_OVERRIDE=FQ","FILING_STATUS=MR","SCALING_FORMAT=MLN","Sort=A","Dates=H","DateFormat=P","Fill=—","Direction=H","UseDPDF=Y")</f>
        <v>—</v>
      </c>
      <c r="O27" s="13" t="str" cm="1">
        <f t="array" ref="O27">_xll.BDH("DE US Equity","IS_IMPAIRMENT_ASSETS","FQ1 2022","FQ1 2022","Currency=USD","Period=FQ","BEST_FPERIOD_OVERRIDE=FQ","FILING_STATUS=MR","SCALING_FORMAT=MLN","Sort=A","Dates=H","DateFormat=P","Fill=—","Direction=H","UseDPDF=Y")</f>
        <v>—</v>
      </c>
      <c r="P27" s="13" cm="1">
        <f t="array" ref="P27">_xll.BDH("DE US Equity","IS_IMPAIRMENT_ASSETS","FQ2 2022","FQ2 2022","Currency=USD","Period=FQ","BEST_FPERIOD_OVERRIDE=FQ","FILING_STATUS=MR","SCALING_FORMAT=MLN","Sort=A","Dates=H","DateFormat=P","Fill=—","Direction=H","UseDPDF=Y")</f>
        <v>41</v>
      </c>
      <c r="Q27" s="13" cm="1">
        <f t="array" ref="Q27">_xll.BDH("DE US Equity","IS_IMPAIRMENT_ASSETS","FQ3 2022","FQ3 2022","Currency=USD","Period=FQ","BEST_FPERIOD_OVERRIDE=FQ","FILING_STATUS=MR","SCALING_FORMAT=MLN","Sort=A","Dates=H","DateFormat=P","Fill=—","Direction=H","UseDPDF=Y")</f>
        <v>40</v>
      </c>
      <c r="R27" s="13" cm="1">
        <f t="array" ref="R27">_xll.BDH("DE US Equity","IS_IMPAIRMENT_ASSETS","FQ4 2022","FQ4 2022","Currency=USD","Period=FQ","BEST_FPERIOD_OVERRIDE=FQ","FILING_STATUS=MR","SCALING_FORMAT=MLN","Sort=A","Dates=H","DateFormat=P","Fill=—","Direction=H","UseDPDF=Y")</f>
        <v>-40</v>
      </c>
      <c r="S27" s="13" t="str" cm="1">
        <f t="array" ref="S27">_xll.BDH("DE US Equity","IS_IMPAIRMENT_ASSETS","FQ1 2023","FQ1 2023","Currency=USD","Period=FQ","BEST_FPERIOD_OVERRIDE=FQ","FILING_STATUS=MR","SCALING_FORMAT=MLN","Sort=A","Dates=H","DateFormat=P","Fill=—","Direction=H","UseDPDF=Y")</f>
        <v>—</v>
      </c>
      <c r="T27" s="13" t="str" cm="1">
        <f t="array" ref="T27">_xll.BDH("DE US Equity","IS_IMPAIRMENT_ASSETS","FQ2 2023","FQ2 2023","Currency=USD","Period=FQ","BEST_FPERIOD_OVERRIDE=FQ","FILING_STATUS=MR","SCALING_FORMAT=MLN","Sort=A","Dates=H","DateFormat=P","Fill=—","Direction=H","UseDPDF=Y")</f>
        <v>—</v>
      </c>
      <c r="U27" s="13" t="str" cm="1">
        <f t="array" ref="U27">_xll.BDH("DE US Equity","IS_IMPAIRMENT_ASSETS","FQ3 2023","FQ3 2023","Currency=USD","Period=FQ","BEST_FPERIOD_OVERRIDE=FQ","FILING_STATUS=MR","SCALING_FORMAT=MLN","Sort=A","Dates=H","DateFormat=P","Fill=—","Direction=H","UseDPDF=Y")</f>
        <v>—</v>
      </c>
      <c r="V27" s="13" t="str" cm="1">
        <f t="array" ref="V27">_xll.BDH("DE US Equity","IS_IMPAIRMENT_ASSETS","FQ4 2023","FQ4 2023","Currency=USD","Period=FQ","BEST_FPERIOD_OVERRIDE=FQ","FILING_STATUS=MR","SCALING_FORMAT=MLN","Sort=A","Dates=H","DateFormat=P","Fill=—","Direction=H","UseDPDF=Y")</f>
        <v>—</v>
      </c>
      <c r="W27" s="13" t="str" cm="1">
        <f t="array" ref="W27">_xll.BDH("DE US Equity","IS_IMPAIRMENT_ASSETS","FQ1 2024","FQ1 2024","Currency=USD","Period=FQ","BEST_FPERIOD_OVERRIDE=FQ","FILING_STATUS=MR","SCALING_FORMAT=MLN","Sort=A","Dates=H","DateFormat=P","Fill=—","Direction=H","UseDPDF=Y")</f>
        <v>—</v>
      </c>
      <c r="X27" s="13" t="str" cm="1">
        <f t="array" ref="X27">_xll.BDH("DE US Equity","IS_IMPAIRMENT_ASSETS","FQ2 2024","FQ2 2024","Currency=USD","Period=FQ","BEST_FPERIOD_OVERRIDE=FQ","FILING_STATUS=MR","SCALING_FORMAT=MLN","Sort=A","Dates=H","DateFormat=P","Fill=—","Direction=H","UseDPDF=Y")</f>
        <v>—</v>
      </c>
      <c r="Y27" s="13" t="str" cm="1">
        <f t="array" ref="Y27">_xll.BDH("DE US Equity","IS_IMPAIRMENT_ASSETS","FQ3 2024","FQ3 2024","Currency=USD","Period=FQ","BEST_FPERIOD_OVERRIDE=FQ","FILING_STATUS=MR","SCALING_FORMAT=MLN","Sort=A","Dates=H","DateFormat=P","Fill=—","Direction=H","UseDPDF=Y")</f>
        <v>—</v>
      </c>
      <c r="Z27" s="13" cm="1">
        <f t="array" ref="Z27">_xll.BDH("DE US Equity","IS_IMPAIRMENT_ASSETS","FQ4 2024","FQ4 2024","Currency=USD","Period=FQ","BEST_FPERIOD_OVERRIDE=FQ","FILING_STATUS=MR","SCALING_FORMAT=MLN","Sort=A","Dates=H","DateFormat=P","Fill=—","Direction=H","UseDPDF=Y")</f>
        <v>28</v>
      </c>
      <c r="AA27" s="13" t="str" cm="1">
        <f t="array" ref="AA27">_xll.BDH("DE US Equity","IS_IMPAIRMENT_ASSETS","FQ1 2025","FQ1 2025","Currency=USD","Period=FQ","BEST_FPERIOD_OVERRIDE=FQ","FILING_STATUS=MR","SCALING_FORMAT=MLN","Sort=A","Dates=H","DateFormat=P","Fill=—","Direction=H","UseDPDF=Y")</f>
        <v>—</v>
      </c>
      <c r="AB27" s="13" t="str" cm="1">
        <f t="array" ref="AB27">_xll.BDH("DE US Equity","IS_IMPAIRMENT_ASSETS","FQ2 2025","FQ2 2025","Currency=USD","Period=FQ","BEST_FPERIOD_OVERRIDE=FQ","FILING_STATUS=MR","SCALING_FORMAT=MLN","Sort=A","Dates=H","DateFormat=P","Fill=—","Direction=H","UseDPDF=Y")</f>
        <v>—</v>
      </c>
      <c r="AC27" s="13" cm="1">
        <f t="array" ref="AC27">_xll.BDH("DE US Equity","IS_IMPAIRMENT_ASSETS","FQ3 2025","FQ3 2025","Currency=USD","Period=FQ","BEST_FPERIOD_OVERRIDE=FQ","FILING_STATUS=MR","SCALING_FORMAT=MLN","Sort=A","Dates=H","DateFormat=P","Fill=—","Direction=H","UseDPDF=Y")</f>
        <v>61</v>
      </c>
      <c r="AD27" s="13" t="str" cm="1">
        <f t="array" ref="AD27">_xll.BDH("DE US Equity","IS_IMPAIRMENT_ASSETS","FQ4 2025","FQ4 2025","Currency=USD","Period=FQ","BEST_FPERIOD_OVERRIDE=FQ","FILING_STATUS=MR","SCALING_FORMAT=MLN","Sort=A","Dates=H","DateFormat=P","Fill=—","Direction=H","UseDPDF=Y")</f>
        <v>—</v>
      </c>
      <c r="AE27" s="13"/>
      <c r="AF27" s="13"/>
    </row>
    <row r="28" spans="1:32" x14ac:dyDescent="0.25">
      <c r="A28" s="10" t="s">
        <v>109</v>
      </c>
      <c r="B28" s="10" t="s">
        <v>110</v>
      </c>
      <c r="C28" s="13" t="str" cm="1">
        <f t="array" ref="C28">_xll.BDH("DE US Equity","IS_IMPAIR_OF_INTANG_ASSETS","FQ1 2019","FQ1 2019","Currency=USD","Period=FQ","BEST_FPERIOD_OVERRIDE=FQ","FILING_STATUS=MR","SCALING_FORMAT=MLN","Sort=A","Dates=H","DateFormat=P","Fill=—","Direction=H","UseDPDF=Y")</f>
        <v>—</v>
      </c>
      <c r="D28" s="13" t="str" cm="1">
        <f t="array" ref="D28">_xll.BDH("DE US Equity","IS_IMPAIR_OF_INTANG_ASSETS","FQ2 2019","FQ2 2019","Currency=USD","Period=FQ","BEST_FPERIOD_OVERRIDE=FQ","FILING_STATUS=MR","SCALING_FORMAT=MLN","Sort=A","Dates=H","DateFormat=P","Fill=—","Direction=H","UseDPDF=Y")</f>
        <v>—</v>
      </c>
      <c r="E28" s="13" t="str" cm="1">
        <f t="array" ref="E28">_xll.BDH("DE US Equity","IS_IMPAIR_OF_INTANG_ASSETS","FQ3 2019","FQ3 2019","Currency=USD","Period=FQ","BEST_FPERIOD_OVERRIDE=FQ","FILING_STATUS=MR","SCALING_FORMAT=MLN","Sort=A","Dates=H","DateFormat=P","Fill=—","Direction=H","UseDPDF=Y")</f>
        <v>—</v>
      </c>
      <c r="F28" s="13" t="str" cm="1">
        <f t="array" ref="F28">_xll.BDH("DE US Equity","IS_IMPAIR_OF_INTANG_ASSETS","FQ4 2019","FQ4 2019","Currency=USD","Period=FQ","BEST_FPERIOD_OVERRIDE=FQ","FILING_STATUS=MR","SCALING_FORMAT=MLN","Sort=A","Dates=H","DateFormat=P","Fill=—","Direction=H","UseDPDF=Y")</f>
        <v>—</v>
      </c>
      <c r="G28" s="13" t="str" cm="1">
        <f t="array" ref="G28">_xll.BDH("DE US Equity","IS_IMPAIR_OF_INTANG_ASSETS","FQ1 2020","FQ1 2020","Currency=USD","Period=FQ","BEST_FPERIOD_OVERRIDE=FQ","FILING_STATUS=MR","SCALING_FORMAT=MLN","Sort=A","Dates=H","DateFormat=P","Fill=—","Direction=H","UseDPDF=Y")</f>
        <v>—</v>
      </c>
      <c r="H28" s="13" t="str" cm="1">
        <f t="array" ref="H28">_xll.BDH("DE US Equity","IS_IMPAIR_OF_INTANG_ASSETS","FQ2 2020","FQ2 2020","Currency=USD","Period=FQ","BEST_FPERIOD_OVERRIDE=FQ","FILING_STATUS=MR","SCALING_FORMAT=MLN","Sort=A","Dates=H","DateFormat=P","Fill=—","Direction=H","UseDPDF=Y")</f>
        <v>—</v>
      </c>
      <c r="I28" s="13" t="str" cm="1">
        <f t="array" ref="I28">_xll.BDH("DE US Equity","IS_IMPAIR_OF_INTANG_ASSETS","FQ3 2020","FQ3 2020","Currency=USD","Period=FQ","BEST_FPERIOD_OVERRIDE=FQ","FILING_STATUS=MR","SCALING_FORMAT=MLN","Sort=A","Dates=H","DateFormat=P","Fill=—","Direction=H","UseDPDF=Y")</f>
        <v>—</v>
      </c>
      <c r="J28" s="13" t="str" cm="1">
        <f t="array" ref="J28">_xll.BDH("DE US Equity","IS_IMPAIR_OF_INTANG_ASSETS","FQ4 2020","FQ4 2020","Currency=USD","Period=FQ","BEST_FPERIOD_OVERRIDE=FQ","FILING_STATUS=MR","SCALING_FORMAT=MLN","Sort=A","Dates=H","DateFormat=P","Fill=—","Direction=H","UseDPDF=Y")</f>
        <v>—</v>
      </c>
      <c r="K28" s="13" t="str" cm="1">
        <f t="array" ref="K28">_xll.BDH("DE US Equity","IS_IMPAIR_OF_INTANG_ASSETS","FQ1 2021","FQ1 2021","Currency=USD","Period=FQ","BEST_FPERIOD_OVERRIDE=FQ","FILING_STATUS=MR","SCALING_FORMAT=MLN","Sort=A","Dates=H","DateFormat=P","Fill=—","Direction=H","UseDPDF=Y")</f>
        <v>—</v>
      </c>
      <c r="L28" s="13" t="str" cm="1">
        <f t="array" ref="L28">_xll.BDH("DE US Equity","IS_IMPAIR_OF_INTANG_ASSETS","FQ2 2021","FQ2 2021","Currency=USD","Period=FQ","BEST_FPERIOD_OVERRIDE=FQ","FILING_STATUS=MR","SCALING_FORMAT=MLN","Sort=A","Dates=H","DateFormat=P","Fill=—","Direction=H","UseDPDF=Y")</f>
        <v>—</v>
      </c>
      <c r="M28" s="13" t="str" cm="1">
        <f t="array" ref="M28">_xll.BDH("DE US Equity","IS_IMPAIR_OF_INTANG_ASSETS","FQ3 2021","FQ3 2021","Currency=USD","Period=FQ","BEST_FPERIOD_OVERRIDE=FQ","FILING_STATUS=MR","SCALING_FORMAT=MLN","Sort=A","Dates=H","DateFormat=P","Fill=—","Direction=H","UseDPDF=Y")</f>
        <v>—</v>
      </c>
      <c r="N28" s="13" t="str" cm="1">
        <f t="array" ref="N28">_xll.BDH("DE US Equity","IS_IMPAIR_OF_INTANG_ASSETS","FQ4 2021","FQ4 2021","Currency=USD","Period=FQ","BEST_FPERIOD_OVERRIDE=FQ","FILING_STATUS=MR","SCALING_FORMAT=MLN","Sort=A","Dates=H","DateFormat=P","Fill=—","Direction=H","UseDPDF=Y")</f>
        <v>—</v>
      </c>
      <c r="O28" s="13" t="str" cm="1">
        <f t="array" ref="O28">_xll.BDH("DE US Equity","IS_IMPAIR_OF_INTANG_ASSETS","FQ1 2022","FQ1 2022","Currency=USD","Period=FQ","BEST_FPERIOD_OVERRIDE=FQ","FILING_STATUS=MR","SCALING_FORMAT=MLN","Sort=A","Dates=H","DateFormat=P","Fill=—","Direction=H","UseDPDF=Y")</f>
        <v>—</v>
      </c>
      <c r="P28" s="13" cm="1">
        <f t="array" ref="P28">_xll.BDH("DE US Equity","IS_IMPAIR_OF_INTANG_ASSETS","FQ2 2022","FQ2 2022","Currency=USD","Period=FQ","BEST_FPERIOD_OVERRIDE=FQ","FILING_STATUS=MR","SCALING_FORMAT=MLN","Sort=A","Dates=H","DateFormat=P","Fill=—","Direction=H","UseDPDF=Y")</f>
        <v>28</v>
      </c>
      <c r="Q28" s="13" t="str" cm="1">
        <f t="array" ref="Q28">_xll.BDH("DE US Equity","IS_IMPAIR_OF_INTANG_ASSETS","FQ3 2022","FQ3 2022","Currency=USD","Period=FQ","BEST_FPERIOD_OVERRIDE=FQ","FILING_STATUS=MR","SCALING_FORMAT=MLN","Sort=A","Dates=H","DateFormat=P","Fill=—","Direction=H","UseDPDF=Y")</f>
        <v>—</v>
      </c>
      <c r="R28" s="13" cm="1">
        <f t="array" ref="R28">_xll.BDH("DE US Equity","IS_IMPAIR_OF_INTANG_ASSETS","FQ4 2022","FQ4 2022","Currency=USD","Period=FQ","BEST_FPERIOD_OVERRIDE=FQ","FILING_STATUS=MR","SCALING_FORMAT=MLN","Sort=A","Dates=H","DateFormat=P","Fill=—","Direction=H","UseDPDF=Y")</f>
        <v>28</v>
      </c>
      <c r="S28" s="13" t="str" cm="1">
        <f t="array" ref="S28">_xll.BDH("DE US Equity","IS_IMPAIR_OF_INTANG_ASSETS","FQ1 2023","FQ1 2023","Currency=USD","Period=FQ","BEST_FPERIOD_OVERRIDE=FQ","FILING_STATUS=MR","SCALING_FORMAT=MLN","Sort=A","Dates=H","DateFormat=P","Fill=—","Direction=H","UseDPDF=Y")</f>
        <v>—</v>
      </c>
      <c r="T28" s="13" t="str" cm="1">
        <f t="array" ref="T28">_xll.BDH("DE US Equity","IS_IMPAIR_OF_INTANG_ASSETS","FQ2 2023","FQ2 2023","Currency=USD","Period=FQ","BEST_FPERIOD_OVERRIDE=FQ","FILING_STATUS=MR","SCALING_FORMAT=MLN","Sort=A","Dates=H","DateFormat=P","Fill=—","Direction=H","UseDPDF=Y")</f>
        <v>—</v>
      </c>
      <c r="U28" s="13" t="str" cm="1">
        <f t="array" ref="U28">_xll.BDH("DE US Equity","IS_IMPAIR_OF_INTANG_ASSETS","FQ3 2023","FQ3 2023","Currency=USD","Period=FQ","BEST_FPERIOD_OVERRIDE=FQ","FILING_STATUS=MR","SCALING_FORMAT=MLN","Sort=A","Dates=H","DateFormat=P","Fill=—","Direction=H","UseDPDF=Y")</f>
        <v>—</v>
      </c>
      <c r="V28" s="13" t="str" cm="1">
        <f t="array" ref="V28">_xll.BDH("DE US Equity","IS_IMPAIR_OF_INTANG_ASSETS","FQ4 2023","FQ4 2023","Currency=USD","Period=FQ","BEST_FPERIOD_OVERRIDE=FQ","FILING_STATUS=MR","SCALING_FORMAT=MLN","Sort=A","Dates=H","DateFormat=P","Fill=—","Direction=H","UseDPDF=Y")</f>
        <v>—</v>
      </c>
      <c r="W28" s="13" t="str" cm="1">
        <f t="array" ref="W28">_xll.BDH("DE US Equity","IS_IMPAIR_OF_INTANG_ASSETS","FQ1 2024","FQ1 2024","Currency=USD","Period=FQ","BEST_FPERIOD_OVERRIDE=FQ","FILING_STATUS=MR","SCALING_FORMAT=MLN","Sort=A","Dates=H","DateFormat=P","Fill=—","Direction=H","UseDPDF=Y")</f>
        <v>—</v>
      </c>
      <c r="X28" s="13" t="str" cm="1">
        <f t="array" ref="X28">_xll.BDH("DE US Equity","IS_IMPAIR_OF_INTANG_ASSETS","FQ2 2024","FQ2 2024","Currency=USD","Period=FQ","BEST_FPERIOD_OVERRIDE=FQ","FILING_STATUS=MR","SCALING_FORMAT=MLN","Sort=A","Dates=H","DateFormat=P","Fill=—","Direction=H","UseDPDF=Y")</f>
        <v>—</v>
      </c>
      <c r="Y28" s="13" t="str" cm="1">
        <f t="array" ref="Y28">_xll.BDH("DE US Equity","IS_IMPAIR_OF_INTANG_ASSETS","FQ3 2024","FQ3 2024","Currency=USD","Period=FQ","BEST_FPERIOD_OVERRIDE=FQ","FILING_STATUS=MR","SCALING_FORMAT=MLN","Sort=A","Dates=H","DateFormat=P","Fill=—","Direction=H","UseDPDF=Y")</f>
        <v>—</v>
      </c>
      <c r="Z28" s="13" t="str" cm="1">
        <f t="array" ref="Z28">_xll.BDH("DE US Equity","IS_IMPAIR_OF_INTANG_ASSETS","FQ4 2024","FQ4 2024","Currency=USD","Period=FQ","BEST_FPERIOD_OVERRIDE=FQ","FILING_STATUS=MR","SCALING_FORMAT=MLN","Sort=A","Dates=H","DateFormat=P","Fill=—","Direction=H","UseDPDF=Y")</f>
        <v>—</v>
      </c>
      <c r="AA28" s="13" t="str" cm="1">
        <f t="array" ref="AA28">_xll.BDH("DE US Equity","IS_IMPAIR_OF_INTANG_ASSETS","FQ1 2025","FQ1 2025","Currency=USD","Period=FQ","BEST_FPERIOD_OVERRIDE=FQ","FILING_STATUS=MR","SCALING_FORMAT=MLN","Sort=A","Dates=H","DateFormat=P","Fill=—","Direction=H","UseDPDF=Y")</f>
        <v>—</v>
      </c>
      <c r="AB28" s="13" t="str" cm="1">
        <f t="array" ref="AB28">_xll.BDH("DE US Equity","IS_IMPAIR_OF_INTANG_ASSETS","FQ2 2025","FQ2 2025","Currency=USD","Period=FQ","BEST_FPERIOD_OVERRIDE=FQ","FILING_STATUS=MR","SCALING_FORMAT=MLN","Sort=A","Dates=H","DateFormat=P","Fill=—","Direction=H","UseDPDF=Y")</f>
        <v>—</v>
      </c>
      <c r="AC28" s="13" t="str" cm="1">
        <f t="array" ref="AC28">_xll.BDH("DE US Equity","IS_IMPAIR_OF_INTANG_ASSETS","FQ3 2025","FQ3 2025","Currency=USD","Period=FQ","BEST_FPERIOD_OVERRIDE=FQ","FILING_STATUS=MR","SCALING_FORMAT=MLN","Sort=A","Dates=H","DateFormat=P","Fill=—","Direction=H","UseDPDF=Y")</f>
        <v>—</v>
      </c>
      <c r="AD28" s="13" t="str" cm="1">
        <f t="array" ref="AD28">_xll.BDH("DE US Equity","IS_IMPAIR_OF_INTANG_ASSETS","FQ4 2025","FQ4 2025","Currency=USD","Period=FQ","BEST_FPERIOD_OVERRIDE=FQ","FILING_STATUS=MR","SCALING_FORMAT=MLN","Sort=A","Dates=H","DateFormat=P","Fill=—","Direction=H","UseDPDF=Y")</f>
        <v>—</v>
      </c>
      <c r="AE28" s="13"/>
      <c r="AF28" s="13"/>
    </row>
    <row r="29" spans="1:32" x14ac:dyDescent="0.25">
      <c r="A29" s="10" t="s">
        <v>111</v>
      </c>
      <c r="B29" s="10" t="s">
        <v>112</v>
      </c>
      <c r="C29" s="13" t="str" cm="1">
        <f t="array" ref="C29">_xll.BDH("DE US Equity","IS_SALE_OF_BUSINESS","FQ1 2019","FQ1 2019","Currency=USD","Period=FQ","BEST_FPERIOD_OVERRIDE=FQ","FILING_STATUS=MR","SCALING_FORMAT=MLN","Sort=A","Dates=H","DateFormat=P","Fill=—","Direction=H","UseDPDF=Y")</f>
        <v>—</v>
      </c>
      <c r="D29" s="13" t="str" cm="1">
        <f t="array" ref="D29">_xll.BDH("DE US Equity","IS_SALE_OF_BUSINESS","FQ2 2019","FQ2 2019","Currency=USD","Period=FQ","BEST_FPERIOD_OVERRIDE=FQ","FILING_STATUS=MR","SCALING_FORMAT=MLN","Sort=A","Dates=H","DateFormat=P","Fill=—","Direction=H","UseDPDF=Y")</f>
        <v>—</v>
      </c>
      <c r="E29" s="13" t="str" cm="1">
        <f t="array" ref="E29">_xll.BDH("DE US Equity","IS_SALE_OF_BUSINESS","FQ3 2019","FQ3 2019","Currency=USD","Period=FQ","BEST_FPERIOD_OVERRIDE=FQ","FILING_STATUS=MR","SCALING_FORMAT=MLN","Sort=A","Dates=H","DateFormat=P","Fill=—","Direction=H","UseDPDF=Y")</f>
        <v>—</v>
      </c>
      <c r="F29" s="13" cm="1">
        <f t="array" ref="F29">_xll.BDH("DE US Equity","IS_SALE_OF_BUSINESS","FQ4 2019","FQ4 2019","Currency=USD","Period=FQ","BEST_FPERIOD_OVERRIDE=FQ","FILING_STATUS=MR","SCALING_FORMAT=MLN","Sort=A","Dates=H","DateFormat=P","Fill=—","Direction=H","UseDPDF=Y")</f>
        <v>5</v>
      </c>
      <c r="G29" s="13" t="str" cm="1">
        <f t="array" ref="G29">_xll.BDH("DE US Equity","IS_SALE_OF_BUSINESS","FQ1 2020","FQ1 2020","Currency=USD","Period=FQ","BEST_FPERIOD_OVERRIDE=FQ","FILING_STATUS=MR","SCALING_FORMAT=MLN","Sort=A","Dates=H","DateFormat=P","Fill=—","Direction=H","UseDPDF=Y")</f>
        <v>—</v>
      </c>
      <c r="H29" s="13" t="str" cm="1">
        <f t="array" ref="H29">_xll.BDH("DE US Equity","IS_SALE_OF_BUSINESS","FQ2 2020","FQ2 2020","Currency=USD","Period=FQ","BEST_FPERIOD_OVERRIDE=FQ","FILING_STATUS=MR","SCALING_FORMAT=MLN","Sort=A","Dates=H","DateFormat=P","Fill=—","Direction=H","UseDPDF=Y")</f>
        <v>—</v>
      </c>
      <c r="I29" s="13" t="str" cm="1">
        <f t="array" ref="I29">_xll.BDH("DE US Equity","IS_SALE_OF_BUSINESS","FQ3 2020","FQ3 2020","Currency=USD","Period=FQ","BEST_FPERIOD_OVERRIDE=FQ","FILING_STATUS=MR","SCALING_FORMAT=MLN","Sort=A","Dates=H","DateFormat=P","Fill=—","Direction=H","UseDPDF=Y")</f>
        <v>—</v>
      </c>
      <c r="J29" s="13" t="str" cm="1">
        <f t="array" ref="J29">_xll.BDH("DE US Equity","IS_SALE_OF_BUSINESS","FQ4 2020","FQ4 2020","Currency=USD","Period=FQ","BEST_FPERIOD_OVERRIDE=FQ","FILING_STATUS=MR","SCALING_FORMAT=MLN","Sort=A","Dates=H","DateFormat=P","Fill=—","Direction=H","UseDPDF=Y")</f>
        <v>—</v>
      </c>
      <c r="K29" s="13" t="str" cm="1">
        <f t="array" ref="K29">_xll.BDH("DE US Equity","IS_SALE_OF_BUSINESS","FQ1 2021","FQ1 2021","Currency=USD","Period=FQ","BEST_FPERIOD_OVERRIDE=FQ","FILING_STATUS=MR","SCALING_FORMAT=MLN","Sort=A","Dates=H","DateFormat=P","Fill=—","Direction=H","UseDPDF=Y")</f>
        <v>—</v>
      </c>
      <c r="L29" s="13" t="str" cm="1">
        <f t="array" ref="L29">_xll.BDH("DE US Equity","IS_SALE_OF_BUSINESS","FQ2 2021","FQ2 2021","Currency=USD","Period=FQ","BEST_FPERIOD_OVERRIDE=FQ","FILING_STATUS=MR","SCALING_FORMAT=MLN","Sort=A","Dates=H","DateFormat=P","Fill=—","Direction=H","UseDPDF=Y")</f>
        <v>—</v>
      </c>
      <c r="M29" s="13" t="str" cm="1">
        <f t="array" ref="M29">_xll.BDH("DE US Equity","IS_SALE_OF_BUSINESS","FQ3 2021","FQ3 2021","Currency=USD","Period=FQ","BEST_FPERIOD_OVERRIDE=FQ","FILING_STATUS=MR","SCALING_FORMAT=MLN","Sort=A","Dates=H","DateFormat=P","Fill=—","Direction=H","UseDPDF=Y")</f>
        <v>—</v>
      </c>
      <c r="N29" s="13" cm="1">
        <f t="array" ref="N29">_xll.BDH("DE US Equity","IS_SALE_OF_BUSINESS","FQ4 2021","FQ4 2021","Currency=USD","Period=FQ","BEST_FPERIOD_OVERRIDE=FQ","FILING_STATUS=MR","SCALING_FORMAT=MLN","Sort=A","Dates=H","DateFormat=P","Fill=—","Direction=H","UseDPDF=Y")</f>
        <v>-27</v>
      </c>
      <c r="O29" s="13" t="str" cm="1">
        <f t="array" ref="O29">_xll.BDH("DE US Equity","IS_SALE_OF_BUSINESS","FQ1 2022","FQ1 2022","Currency=USD","Period=FQ","BEST_FPERIOD_OVERRIDE=FQ","FILING_STATUS=MR","SCALING_FORMAT=MLN","Sort=A","Dates=H","DateFormat=P","Fill=—","Direction=H","UseDPDF=Y")</f>
        <v>—</v>
      </c>
      <c r="P29" s="13" t="str" cm="1">
        <f t="array" ref="P29">_xll.BDH("DE US Equity","IS_SALE_OF_BUSINESS","FQ2 2022","FQ2 2022","Currency=USD","Period=FQ","BEST_FPERIOD_OVERRIDE=FQ","FILING_STATUS=MR","SCALING_FORMAT=MLN","Sort=A","Dates=H","DateFormat=P","Fill=—","Direction=H","UseDPDF=Y")</f>
        <v>—</v>
      </c>
      <c r="Q29" s="13" t="str" cm="1">
        <f t="array" ref="Q29">_xll.BDH("DE US Equity","IS_SALE_OF_BUSINESS","FQ3 2022","FQ3 2022","Currency=USD","Period=FQ","BEST_FPERIOD_OVERRIDE=FQ","FILING_STATUS=MR","SCALING_FORMAT=MLN","Sort=A","Dates=H","DateFormat=P","Fill=—","Direction=H","UseDPDF=Y")</f>
        <v>—</v>
      </c>
      <c r="R29" s="13" t="str" cm="1">
        <f t="array" ref="R29">_xll.BDH("DE US Equity","IS_SALE_OF_BUSINESS","FQ4 2022","FQ4 2022","Currency=USD","Period=FQ","BEST_FPERIOD_OVERRIDE=FQ","FILING_STATUS=MR","SCALING_FORMAT=MLN","Sort=A","Dates=H","DateFormat=P","Fill=—","Direction=H","UseDPDF=Y")</f>
        <v>—</v>
      </c>
      <c r="S29" s="13" t="str" cm="1">
        <f t="array" ref="S29">_xll.BDH("DE US Equity","IS_SALE_OF_BUSINESS","FQ1 2023","FQ1 2023","Currency=USD","Period=FQ","BEST_FPERIOD_OVERRIDE=FQ","FILING_STATUS=MR","SCALING_FORMAT=MLN","Sort=A","Dates=H","DateFormat=P","Fill=—","Direction=H","UseDPDF=Y")</f>
        <v>—</v>
      </c>
      <c r="T29" s="13" t="str" cm="1">
        <f t="array" ref="T29">_xll.BDH("DE US Equity","IS_SALE_OF_BUSINESS","FQ2 2023","FQ2 2023","Currency=USD","Period=FQ","BEST_FPERIOD_OVERRIDE=FQ","FILING_STATUS=MR","SCALING_FORMAT=MLN","Sort=A","Dates=H","DateFormat=P","Fill=—","Direction=H","UseDPDF=Y")</f>
        <v>—</v>
      </c>
      <c r="U29" s="13" t="str" cm="1">
        <f t="array" ref="U29">_xll.BDH("DE US Equity","IS_SALE_OF_BUSINESS","FQ3 2023","FQ3 2023","Currency=USD","Period=FQ","BEST_FPERIOD_OVERRIDE=FQ","FILING_STATUS=MR","SCALING_FORMAT=MLN","Sort=A","Dates=H","DateFormat=P","Fill=—","Direction=H","UseDPDF=Y")</f>
        <v>—</v>
      </c>
      <c r="V29" s="13" t="str" cm="1">
        <f t="array" ref="V29">_xll.BDH("DE US Equity","IS_SALE_OF_BUSINESS","FQ4 2023","FQ4 2023","Currency=USD","Period=FQ","BEST_FPERIOD_OVERRIDE=FQ","FILING_STATUS=MR","SCALING_FORMAT=MLN","Sort=A","Dates=H","DateFormat=P","Fill=—","Direction=H","UseDPDF=Y")</f>
        <v>—</v>
      </c>
      <c r="W29" s="13" t="str" cm="1">
        <f t="array" ref="W29">_xll.BDH("DE US Equity","IS_SALE_OF_BUSINESS","FQ1 2024","FQ1 2024","Currency=USD","Period=FQ","BEST_FPERIOD_OVERRIDE=FQ","FILING_STATUS=MR","SCALING_FORMAT=MLN","Sort=A","Dates=H","DateFormat=P","Fill=—","Direction=H","UseDPDF=Y")</f>
        <v>—</v>
      </c>
      <c r="X29" s="13" t="str" cm="1">
        <f t="array" ref="X29">_xll.BDH("DE US Equity","IS_SALE_OF_BUSINESS","FQ2 2024","FQ2 2024","Currency=USD","Period=FQ","BEST_FPERIOD_OVERRIDE=FQ","FILING_STATUS=MR","SCALING_FORMAT=MLN","Sort=A","Dates=H","DateFormat=P","Fill=—","Direction=H","UseDPDF=Y")</f>
        <v>—</v>
      </c>
      <c r="Y29" s="13" t="str" cm="1">
        <f t="array" ref="Y29">_xll.BDH("DE US Equity","IS_SALE_OF_BUSINESS","FQ3 2024","FQ3 2024","Currency=USD","Period=FQ","BEST_FPERIOD_OVERRIDE=FQ","FILING_STATUS=MR","SCALING_FORMAT=MLN","Sort=A","Dates=H","DateFormat=P","Fill=—","Direction=H","UseDPDF=Y")</f>
        <v>—</v>
      </c>
      <c r="Z29" s="13" t="str" cm="1">
        <f t="array" ref="Z29">_xll.BDH("DE US Equity","IS_SALE_OF_BUSINESS","FQ4 2024","FQ4 2024","Currency=USD","Period=FQ","BEST_FPERIOD_OVERRIDE=FQ","FILING_STATUS=MR","SCALING_FORMAT=MLN","Sort=A","Dates=H","DateFormat=P","Fill=—","Direction=H","UseDPDF=Y")</f>
        <v>—</v>
      </c>
      <c r="AA29" s="13" t="str" cm="1">
        <f t="array" ref="AA29">_xll.BDH("DE US Equity","IS_SALE_OF_BUSINESS","FQ1 2025","FQ1 2025","Currency=USD","Period=FQ","BEST_FPERIOD_OVERRIDE=FQ","FILING_STATUS=MR","SCALING_FORMAT=MLN","Sort=A","Dates=H","DateFormat=P","Fill=—","Direction=H","UseDPDF=Y")</f>
        <v>—</v>
      </c>
      <c r="AB29" s="13" t="str" cm="1">
        <f t="array" ref="AB29">_xll.BDH("DE US Equity","IS_SALE_OF_BUSINESS","FQ2 2025","FQ2 2025","Currency=USD","Period=FQ","BEST_FPERIOD_OVERRIDE=FQ","FILING_STATUS=MR","SCALING_FORMAT=MLN","Sort=A","Dates=H","DateFormat=P","Fill=—","Direction=H","UseDPDF=Y")</f>
        <v>—</v>
      </c>
      <c r="AC29" s="13" t="str" cm="1">
        <f t="array" ref="AC29">_xll.BDH("DE US Equity","IS_SALE_OF_BUSINESS","FQ3 2025","FQ3 2025","Currency=USD","Period=FQ","BEST_FPERIOD_OVERRIDE=FQ","FILING_STATUS=MR","SCALING_FORMAT=MLN","Sort=A","Dates=H","DateFormat=P","Fill=—","Direction=H","UseDPDF=Y")</f>
        <v>—</v>
      </c>
      <c r="AD29" s="13" t="str" cm="1">
        <f t="array" ref="AD29">_xll.BDH("DE US Equity","IS_SALE_OF_BUSINESS","FQ4 2025","FQ4 2025","Currency=USD","Period=FQ","BEST_FPERIOD_OVERRIDE=FQ","FILING_STATUS=MR","SCALING_FORMAT=MLN","Sort=A","Dates=H","DateFormat=P","Fill=—","Direction=H","UseDPDF=Y")</f>
        <v>—</v>
      </c>
      <c r="AE29" s="13"/>
      <c r="AF29" s="13"/>
    </row>
    <row r="30" spans="1:32" x14ac:dyDescent="0.25">
      <c r="A30" s="10" t="s">
        <v>113</v>
      </c>
      <c r="B30" s="10" t="s">
        <v>114</v>
      </c>
      <c r="C30" s="13" t="str" cm="1">
        <f t="array" ref="C30">_xll.BDH("DE US Equity","IS_LEGAL_LITIGATION_SETTLEMENT","FQ1 2019","FQ1 2019","Currency=USD","Period=FQ","BEST_FPERIOD_OVERRIDE=FQ","FILING_STATUS=MR","SCALING_FORMAT=MLN","Sort=A","Dates=H","DateFormat=P","Fill=—","Direction=H","UseDPDF=Y")</f>
        <v>—</v>
      </c>
      <c r="D30" s="13" t="str" cm="1">
        <f t="array" ref="D30">_xll.BDH("DE US Equity","IS_LEGAL_LITIGATION_SETTLEMENT","FQ2 2019","FQ2 2019","Currency=USD","Period=FQ","BEST_FPERIOD_OVERRIDE=FQ","FILING_STATUS=MR","SCALING_FORMAT=MLN","Sort=A","Dates=H","DateFormat=P","Fill=—","Direction=H","UseDPDF=Y")</f>
        <v>—</v>
      </c>
      <c r="E30" s="13" t="str" cm="1">
        <f t="array" ref="E30">_xll.BDH("DE US Equity","IS_LEGAL_LITIGATION_SETTLEMENT","FQ3 2019","FQ3 2019","Currency=USD","Period=FQ","BEST_FPERIOD_OVERRIDE=FQ","FILING_STATUS=MR","SCALING_FORMAT=MLN","Sort=A","Dates=H","DateFormat=P","Fill=—","Direction=H","UseDPDF=Y")</f>
        <v>—</v>
      </c>
      <c r="F30" s="13" t="str" cm="1">
        <f t="array" ref="F30">_xll.BDH("DE US Equity","IS_LEGAL_LITIGATION_SETTLEMENT","FQ4 2019","FQ4 2019","Currency=USD","Period=FQ","BEST_FPERIOD_OVERRIDE=FQ","FILING_STATUS=MR","SCALING_FORMAT=MLN","Sort=A","Dates=H","DateFormat=P","Fill=—","Direction=H","UseDPDF=Y")</f>
        <v>—</v>
      </c>
      <c r="G30" s="13" t="str" cm="1">
        <f t="array" ref="G30">_xll.BDH("DE US Equity","IS_LEGAL_LITIGATION_SETTLEMENT","FQ1 2020","FQ1 2020","Currency=USD","Period=FQ","BEST_FPERIOD_OVERRIDE=FQ","FILING_STATUS=MR","SCALING_FORMAT=MLN","Sort=A","Dates=H","DateFormat=P","Fill=—","Direction=H","UseDPDF=Y")</f>
        <v>—</v>
      </c>
      <c r="H30" s="13" t="str" cm="1">
        <f t="array" ref="H30">_xll.BDH("DE US Equity","IS_LEGAL_LITIGATION_SETTLEMENT","FQ2 2020","FQ2 2020","Currency=USD","Period=FQ","BEST_FPERIOD_OVERRIDE=FQ","FILING_STATUS=MR","SCALING_FORMAT=MLN","Sort=A","Dates=H","DateFormat=P","Fill=—","Direction=H","UseDPDF=Y")</f>
        <v>—</v>
      </c>
      <c r="I30" s="13" t="str" cm="1">
        <f t="array" ref="I30">_xll.BDH("DE US Equity","IS_LEGAL_LITIGATION_SETTLEMENT","FQ3 2020","FQ3 2020","Currency=USD","Period=FQ","BEST_FPERIOD_OVERRIDE=FQ","FILING_STATUS=MR","SCALING_FORMAT=MLN","Sort=A","Dates=H","DateFormat=P","Fill=—","Direction=H","UseDPDF=Y")</f>
        <v>—</v>
      </c>
      <c r="J30" s="13" t="str" cm="1">
        <f t="array" ref="J30">_xll.BDH("DE US Equity","IS_LEGAL_LITIGATION_SETTLEMENT","FQ4 2020","FQ4 2020","Currency=USD","Period=FQ","BEST_FPERIOD_OVERRIDE=FQ","FILING_STATUS=MR","SCALING_FORMAT=MLN","Sort=A","Dates=H","DateFormat=P","Fill=—","Direction=H","UseDPDF=Y")</f>
        <v>—</v>
      </c>
      <c r="K30" s="13" t="str" cm="1">
        <f t="array" ref="K30">_xll.BDH("DE US Equity","IS_LEGAL_LITIGATION_SETTLEMENT","FQ1 2021","FQ1 2021","Currency=USD","Period=FQ","BEST_FPERIOD_OVERRIDE=FQ","FILING_STATUS=MR","SCALING_FORMAT=MLN","Sort=A","Dates=H","DateFormat=P","Fill=—","Direction=H","UseDPDF=Y")</f>
        <v>—</v>
      </c>
      <c r="L30" s="13" t="str" cm="1">
        <f t="array" ref="L30">_xll.BDH("DE US Equity","IS_LEGAL_LITIGATION_SETTLEMENT","FQ2 2021","FQ2 2021","Currency=USD","Period=FQ","BEST_FPERIOD_OVERRIDE=FQ","FILING_STATUS=MR","SCALING_FORMAT=MLN","Sort=A","Dates=H","DateFormat=P","Fill=—","Direction=H","UseDPDF=Y")</f>
        <v>—</v>
      </c>
      <c r="M30" s="13" t="str" cm="1">
        <f t="array" ref="M30">_xll.BDH("DE US Equity","IS_LEGAL_LITIGATION_SETTLEMENT","FQ3 2021","FQ3 2021","Currency=USD","Period=FQ","BEST_FPERIOD_OVERRIDE=FQ","FILING_STATUS=MR","SCALING_FORMAT=MLN","Sort=A","Dates=H","DateFormat=P","Fill=—","Direction=H","UseDPDF=Y")</f>
        <v>—</v>
      </c>
      <c r="N30" s="13" t="str" cm="1">
        <f t="array" ref="N30">_xll.BDH("DE US Equity","IS_LEGAL_LITIGATION_SETTLEMENT","FQ4 2021","FQ4 2021","Currency=USD","Period=FQ","BEST_FPERIOD_OVERRIDE=FQ","FILING_STATUS=MR","SCALING_FORMAT=MLN","Sort=A","Dates=H","DateFormat=P","Fill=—","Direction=H","UseDPDF=Y")</f>
        <v>—</v>
      </c>
      <c r="O30" s="13" t="str" cm="1">
        <f t="array" ref="O30">_xll.BDH("DE US Equity","IS_LEGAL_LITIGATION_SETTLEMENT","FQ1 2022","FQ1 2022","Currency=USD","Period=FQ","BEST_FPERIOD_OVERRIDE=FQ","FILING_STATUS=MR","SCALING_FORMAT=MLN","Sort=A","Dates=H","DateFormat=P","Fill=—","Direction=H","UseDPDF=Y")</f>
        <v>—</v>
      </c>
      <c r="P30" s="13" t="str" cm="1">
        <f t="array" ref="P30">_xll.BDH("DE US Equity","IS_LEGAL_LITIGATION_SETTLEMENT","FQ2 2022","FQ2 2022","Currency=USD","Period=FQ","BEST_FPERIOD_OVERRIDE=FQ","FILING_STATUS=MR","SCALING_FORMAT=MLN","Sort=A","Dates=H","DateFormat=P","Fill=—","Direction=H","UseDPDF=Y")</f>
        <v>—</v>
      </c>
      <c r="Q30" s="13" t="str" cm="1">
        <f t="array" ref="Q30">_xll.BDH("DE US Equity","IS_LEGAL_LITIGATION_SETTLEMENT","FQ3 2022","FQ3 2022","Currency=USD","Period=FQ","BEST_FPERIOD_OVERRIDE=FQ","FILING_STATUS=MR","SCALING_FORMAT=MLN","Sort=A","Dates=H","DateFormat=P","Fill=—","Direction=H","UseDPDF=Y")</f>
        <v>—</v>
      </c>
      <c r="R30" s="13" t="str" cm="1">
        <f t="array" ref="R30">_xll.BDH("DE US Equity","IS_LEGAL_LITIGATION_SETTLEMENT","FQ4 2022","FQ4 2022","Currency=USD","Period=FQ","BEST_FPERIOD_OVERRIDE=FQ","FILING_STATUS=MR","SCALING_FORMAT=MLN","Sort=A","Dates=H","DateFormat=P","Fill=—","Direction=H","UseDPDF=Y")</f>
        <v>—</v>
      </c>
      <c r="S30" s="13" t="str" cm="1">
        <f t="array" ref="S30">_xll.BDH("DE US Equity","IS_LEGAL_LITIGATION_SETTLEMENT","FQ1 2023","FQ1 2023","Currency=USD","Period=FQ","BEST_FPERIOD_OVERRIDE=FQ","FILING_STATUS=MR","SCALING_FORMAT=MLN","Sort=A","Dates=H","DateFormat=P","Fill=—","Direction=H","UseDPDF=Y")</f>
        <v>—</v>
      </c>
      <c r="T30" s="13" t="str" cm="1">
        <f t="array" ref="T30">_xll.BDH("DE US Equity","IS_LEGAL_LITIGATION_SETTLEMENT","FQ2 2023","FQ2 2023","Currency=USD","Period=FQ","BEST_FPERIOD_OVERRIDE=FQ","FILING_STATUS=MR","SCALING_FORMAT=MLN","Sort=A","Dates=H","DateFormat=P","Fill=—","Direction=H","UseDPDF=Y")</f>
        <v>—</v>
      </c>
      <c r="U30" s="13" t="str" cm="1">
        <f t="array" ref="U30">_xll.BDH("DE US Equity","IS_LEGAL_LITIGATION_SETTLEMENT","FQ3 2023","FQ3 2023","Currency=USD","Period=FQ","BEST_FPERIOD_OVERRIDE=FQ","FILING_STATUS=MR","SCALING_FORMAT=MLN","Sort=A","Dates=H","DateFormat=P","Fill=—","Direction=H","UseDPDF=Y")</f>
        <v>—</v>
      </c>
      <c r="V30" s="13" t="str" cm="1">
        <f t="array" ref="V30">_xll.BDH("DE US Equity","IS_LEGAL_LITIGATION_SETTLEMENT","FQ4 2023","FQ4 2023","Currency=USD","Period=FQ","BEST_FPERIOD_OVERRIDE=FQ","FILING_STATUS=MR","SCALING_FORMAT=MLN","Sort=A","Dates=H","DateFormat=P","Fill=—","Direction=H","UseDPDF=Y")</f>
        <v>—</v>
      </c>
      <c r="W30" s="13" t="str" cm="1">
        <f t="array" ref="W30">_xll.BDH("DE US Equity","IS_LEGAL_LITIGATION_SETTLEMENT","FQ1 2024","FQ1 2024","Currency=USD","Period=FQ","BEST_FPERIOD_OVERRIDE=FQ","FILING_STATUS=MR","SCALING_FORMAT=MLN","Sort=A","Dates=H","DateFormat=P","Fill=—","Direction=H","UseDPDF=Y")</f>
        <v>—</v>
      </c>
      <c r="X30" s="13" t="str" cm="1">
        <f t="array" ref="X30">_xll.BDH("DE US Equity","IS_LEGAL_LITIGATION_SETTLEMENT","FQ2 2024","FQ2 2024","Currency=USD","Period=FQ","BEST_FPERIOD_OVERRIDE=FQ","FILING_STATUS=MR","SCALING_FORMAT=MLN","Sort=A","Dates=H","DateFormat=P","Fill=—","Direction=H","UseDPDF=Y")</f>
        <v>—</v>
      </c>
      <c r="Y30" s="13" t="str" cm="1">
        <f t="array" ref="Y30">_xll.BDH("DE US Equity","IS_LEGAL_LITIGATION_SETTLEMENT","FQ3 2024","FQ3 2024","Currency=USD","Period=FQ","BEST_FPERIOD_OVERRIDE=FQ","FILING_STATUS=MR","SCALING_FORMAT=MLN","Sort=A","Dates=H","DateFormat=P","Fill=—","Direction=H","UseDPDF=Y")</f>
        <v>—</v>
      </c>
      <c r="Z30" s="13" cm="1">
        <f t="array" ref="Z30">_xll.BDH("DE US Equity","IS_LEGAL_LITIGATION_SETTLEMENT","FQ4 2024","FQ4 2024","Currency=USD","Period=FQ","BEST_FPERIOD_OVERRIDE=FQ","FILING_STATUS=MR","SCALING_FORMAT=MLN","Sort=A","Dates=H","DateFormat=P","Fill=—","Direction=H","UseDPDF=Y")</f>
        <v>-57</v>
      </c>
      <c r="AA30" s="13" t="str" cm="1">
        <f t="array" ref="AA30">_xll.BDH("DE US Equity","IS_LEGAL_LITIGATION_SETTLEMENT","FQ1 2025","FQ1 2025","Currency=USD","Period=FQ","BEST_FPERIOD_OVERRIDE=FQ","FILING_STATUS=MR","SCALING_FORMAT=MLN","Sort=A","Dates=H","DateFormat=P","Fill=—","Direction=H","UseDPDF=Y")</f>
        <v>—</v>
      </c>
      <c r="AB30" s="13" t="str" cm="1">
        <f t="array" ref="AB30">_xll.BDH("DE US Equity","IS_LEGAL_LITIGATION_SETTLEMENT","FQ2 2025","FQ2 2025","Currency=USD","Period=FQ","BEST_FPERIOD_OVERRIDE=FQ","FILING_STATUS=MR","SCALING_FORMAT=MLN","Sort=A","Dates=H","DateFormat=P","Fill=—","Direction=H","UseDPDF=Y")</f>
        <v>—</v>
      </c>
      <c r="AC30" s="13" t="str" cm="1">
        <f t="array" ref="AC30">_xll.BDH("DE US Equity","IS_LEGAL_LITIGATION_SETTLEMENT","FQ3 2025","FQ3 2025","Currency=USD","Period=FQ","BEST_FPERIOD_OVERRIDE=FQ","FILING_STATUS=MR","SCALING_FORMAT=MLN","Sort=A","Dates=H","DateFormat=P","Fill=—","Direction=H","UseDPDF=Y")</f>
        <v>—</v>
      </c>
      <c r="AD30" s="13" cm="1">
        <f t="array" ref="AD30">_xll.BDH("DE US Equity","IS_LEGAL_LITIGATION_SETTLEMENT","FQ4 2025","FQ4 2025","Currency=USD","Period=FQ","BEST_FPERIOD_OVERRIDE=FQ","FILING_STATUS=MR","SCALING_FORMAT=MLN","Sort=A","Dates=H","DateFormat=P","Fill=—","Direction=H","UseDPDF=Y")</f>
        <v>95</v>
      </c>
      <c r="AE30" s="13"/>
      <c r="AF30" s="13"/>
    </row>
    <row r="31" spans="1:32" x14ac:dyDescent="0.25">
      <c r="A31" s="10" t="s">
        <v>115</v>
      </c>
      <c r="B31" s="10" t="s">
        <v>116</v>
      </c>
      <c r="C31" s="13" t="str" cm="1">
        <f t="array" ref="C31">_xll.BDH("DE US Equity","IS_RESTRUCTURING_EXPENSES","FQ1 2019","FQ1 2019","Currency=USD","Period=FQ","BEST_FPERIOD_OVERRIDE=FQ","FILING_STATUS=MR","SCALING_FORMAT=MLN","Sort=A","Dates=H","DateFormat=P","Fill=—","Direction=H","UseDPDF=Y")</f>
        <v>—</v>
      </c>
      <c r="D31" s="13" t="str" cm="1">
        <f t="array" ref="D31">_xll.BDH("DE US Equity","IS_RESTRUCTURING_EXPENSES","FQ2 2019","FQ2 2019","Currency=USD","Period=FQ","BEST_FPERIOD_OVERRIDE=FQ","FILING_STATUS=MR","SCALING_FORMAT=MLN","Sort=A","Dates=H","DateFormat=P","Fill=—","Direction=H","UseDPDF=Y")</f>
        <v>—</v>
      </c>
      <c r="E31" s="13" t="str" cm="1">
        <f t="array" ref="E31">_xll.BDH("DE US Equity","IS_RESTRUCTURING_EXPENSES","FQ3 2019","FQ3 2019","Currency=USD","Period=FQ","BEST_FPERIOD_OVERRIDE=FQ","FILING_STATUS=MR","SCALING_FORMAT=MLN","Sort=A","Dates=H","DateFormat=P","Fill=—","Direction=H","UseDPDF=Y")</f>
        <v>—</v>
      </c>
      <c r="F31" s="13" t="str" cm="1">
        <f t="array" ref="F31">_xll.BDH("DE US Equity","IS_RESTRUCTURING_EXPENSES","FQ4 2019","FQ4 2019","Currency=USD","Period=FQ","BEST_FPERIOD_OVERRIDE=FQ","FILING_STATUS=MR","SCALING_FORMAT=MLN","Sort=A","Dates=H","DateFormat=P","Fill=—","Direction=H","UseDPDF=Y")</f>
        <v>—</v>
      </c>
      <c r="G31" s="13" cm="1">
        <f t="array" ref="G31">_xll.BDH("DE US Equity","IS_RESTRUCTURING_EXPENSES","FQ1 2020","FQ1 2020","Currency=USD","Period=FQ","BEST_FPERIOD_OVERRIDE=FQ","FILING_STATUS=MR","SCALING_FORMAT=MLN","Sort=A","Dates=H","DateFormat=P","Fill=—","Direction=H","UseDPDF=Y")</f>
        <v>127</v>
      </c>
      <c r="H31" s="13" cm="1">
        <f t="array" ref="H31">_xll.BDH("DE US Equity","IS_RESTRUCTURING_EXPENSES","FQ2 2020","FQ2 2020","Currency=USD","Period=FQ","BEST_FPERIOD_OVERRIDE=FQ","FILING_STATUS=MR","SCALING_FORMAT=MLN","Sort=A","Dates=H","DateFormat=P","Fill=—","Direction=H","UseDPDF=Y")</f>
        <v>9</v>
      </c>
      <c r="I31" s="13" cm="1">
        <f t="array" ref="I31">_xll.BDH("DE US Equity","IS_RESTRUCTURING_EXPENSES","FQ3 2020","FQ3 2020","Currency=USD","Period=FQ","BEST_FPERIOD_OVERRIDE=FQ","FILING_STATUS=MR","SCALING_FORMAT=MLN","Sort=A","Dates=H","DateFormat=P","Fill=—","Direction=H","UseDPDF=Y")</f>
        <v>4</v>
      </c>
      <c r="J31" s="13" cm="1">
        <f t="array" ref="J31">_xll.BDH("DE US Equity","IS_RESTRUCTURING_EXPENSES","FQ4 2020","FQ4 2020","Currency=USD","Period=FQ","BEST_FPERIOD_OVERRIDE=FQ","FILING_STATUS=MR","SCALING_FORMAT=MLN","Sort=A","Dates=H","DateFormat=P","Fill=—","Direction=H","UseDPDF=Y")</f>
        <v>197</v>
      </c>
      <c r="K31" s="13" t="str" cm="1">
        <f t="array" ref="K31">_xll.BDH("DE US Equity","IS_RESTRUCTURING_EXPENSES","FQ1 2021","FQ1 2021","Currency=USD","Period=FQ","BEST_FPERIOD_OVERRIDE=FQ","FILING_STATUS=MR","SCALING_FORMAT=MLN","Sort=A","Dates=H","DateFormat=P","Fill=—","Direction=H","UseDPDF=Y")</f>
        <v>—</v>
      </c>
      <c r="L31" s="13" t="str" cm="1">
        <f t="array" ref="L31">_xll.BDH("DE US Equity","IS_RESTRUCTURING_EXPENSES","FQ2 2021","FQ2 2021","Currency=USD","Period=FQ","BEST_FPERIOD_OVERRIDE=FQ","FILING_STATUS=MR","SCALING_FORMAT=MLN","Sort=A","Dates=H","DateFormat=P","Fill=—","Direction=H","UseDPDF=Y")</f>
        <v>—</v>
      </c>
      <c r="M31" s="13" t="str" cm="1">
        <f t="array" ref="M31">_xll.BDH("DE US Equity","IS_RESTRUCTURING_EXPENSES","FQ3 2021","FQ3 2021","Currency=USD","Period=FQ","BEST_FPERIOD_OVERRIDE=FQ","FILING_STATUS=MR","SCALING_FORMAT=MLN","Sort=A","Dates=H","DateFormat=P","Fill=—","Direction=H","UseDPDF=Y")</f>
        <v>—</v>
      </c>
      <c r="N31" s="13" t="str" cm="1">
        <f t="array" ref="N31">_xll.BDH("DE US Equity","IS_RESTRUCTURING_EXPENSES","FQ4 2021","FQ4 2021","Currency=USD","Period=FQ","BEST_FPERIOD_OVERRIDE=FQ","FILING_STATUS=MR","SCALING_FORMAT=MLN","Sort=A","Dates=H","DateFormat=P","Fill=—","Direction=H","UseDPDF=Y")</f>
        <v>—</v>
      </c>
      <c r="O31" s="13" t="str" cm="1">
        <f t="array" ref="O31">_xll.BDH("DE US Equity","IS_RESTRUCTURING_EXPENSES","FQ1 2022","FQ1 2022","Currency=USD","Period=FQ","BEST_FPERIOD_OVERRIDE=FQ","FILING_STATUS=MR","SCALING_FORMAT=MLN","Sort=A","Dates=H","DateFormat=P","Fill=—","Direction=H","UseDPDF=Y")</f>
        <v>—</v>
      </c>
      <c r="P31" s="13" t="str" cm="1">
        <f t="array" ref="P31">_xll.BDH("DE US Equity","IS_RESTRUCTURING_EXPENSES","FQ2 2022","FQ2 2022","Currency=USD","Period=FQ","BEST_FPERIOD_OVERRIDE=FQ","FILING_STATUS=MR","SCALING_FORMAT=MLN","Sort=A","Dates=H","DateFormat=P","Fill=—","Direction=H","UseDPDF=Y")</f>
        <v>—</v>
      </c>
      <c r="Q31" s="13" t="str" cm="1">
        <f t="array" ref="Q31">_xll.BDH("DE US Equity","IS_RESTRUCTURING_EXPENSES","FQ3 2022","FQ3 2022","Currency=USD","Period=FQ","BEST_FPERIOD_OVERRIDE=FQ","FILING_STATUS=MR","SCALING_FORMAT=MLN","Sort=A","Dates=H","DateFormat=P","Fill=—","Direction=H","UseDPDF=Y")</f>
        <v>—</v>
      </c>
      <c r="R31" s="13" cm="1">
        <f t="array" ref="R31">_xll.BDH("DE US Equity","IS_RESTRUCTURING_EXPENSES","FQ4 2022","FQ4 2022","Currency=USD","Period=FQ","BEST_FPERIOD_OVERRIDE=FQ","FILING_STATUS=MR","SCALING_FORMAT=MLN","Sort=A","Dates=H","DateFormat=P","Fill=—","Direction=H","UseDPDF=Y")</f>
        <v>14</v>
      </c>
      <c r="S31" s="13" t="str" cm="1">
        <f t="array" ref="S31">_xll.BDH("DE US Equity","IS_RESTRUCTURING_EXPENSES","FQ1 2023","FQ1 2023","Currency=USD","Period=FQ","BEST_FPERIOD_OVERRIDE=FQ","FILING_STATUS=MR","SCALING_FORMAT=MLN","Sort=A","Dates=H","DateFormat=P","Fill=—","Direction=H","UseDPDF=Y")</f>
        <v>—</v>
      </c>
      <c r="T31" s="13" t="str" cm="1">
        <f t="array" ref="T31">_xll.BDH("DE US Equity","IS_RESTRUCTURING_EXPENSES","FQ2 2023","FQ2 2023","Currency=USD","Period=FQ","BEST_FPERIOD_OVERRIDE=FQ","FILING_STATUS=MR","SCALING_FORMAT=MLN","Sort=A","Dates=H","DateFormat=P","Fill=—","Direction=H","UseDPDF=Y")</f>
        <v>—</v>
      </c>
      <c r="U31" s="13" t="str" cm="1">
        <f t="array" ref="U31">_xll.BDH("DE US Equity","IS_RESTRUCTURING_EXPENSES","FQ3 2023","FQ3 2023","Currency=USD","Period=FQ","BEST_FPERIOD_OVERRIDE=FQ","FILING_STATUS=MR","SCALING_FORMAT=MLN","Sort=A","Dates=H","DateFormat=P","Fill=—","Direction=H","UseDPDF=Y")</f>
        <v>—</v>
      </c>
      <c r="V31" s="13" t="str" cm="1">
        <f t="array" ref="V31">_xll.BDH("DE US Equity","IS_RESTRUCTURING_EXPENSES","FQ4 2023","FQ4 2023","Currency=USD","Period=FQ","BEST_FPERIOD_OVERRIDE=FQ","FILING_STATUS=MR","SCALING_FORMAT=MLN","Sort=A","Dates=H","DateFormat=P","Fill=—","Direction=H","UseDPDF=Y")</f>
        <v>—</v>
      </c>
      <c r="W31" s="13" t="str" cm="1">
        <f t="array" ref="W31">_xll.BDH("DE US Equity","IS_RESTRUCTURING_EXPENSES","FQ1 2024","FQ1 2024","Currency=USD","Period=FQ","BEST_FPERIOD_OVERRIDE=FQ","FILING_STATUS=MR","SCALING_FORMAT=MLN","Sort=A","Dates=H","DateFormat=P","Fill=—","Direction=H","UseDPDF=Y")</f>
        <v>—</v>
      </c>
      <c r="X31" s="13" t="str" cm="1">
        <f t="array" ref="X31">_xll.BDH("DE US Equity","IS_RESTRUCTURING_EXPENSES","FQ2 2024","FQ2 2024","Currency=USD","Period=FQ","BEST_FPERIOD_OVERRIDE=FQ","FILING_STATUS=MR","SCALING_FORMAT=MLN","Sort=A","Dates=H","DateFormat=P","Fill=—","Direction=H","UseDPDF=Y")</f>
        <v>—</v>
      </c>
      <c r="Y31" s="13" t="str" cm="1">
        <f t="array" ref="Y31">_xll.BDH("DE US Equity","IS_RESTRUCTURING_EXPENSES","FQ3 2024","FQ3 2024","Currency=USD","Period=FQ","BEST_FPERIOD_OVERRIDE=FQ","FILING_STATUS=MR","SCALING_FORMAT=MLN","Sort=A","Dates=H","DateFormat=P","Fill=—","Direction=H","UseDPDF=Y")</f>
        <v>—</v>
      </c>
      <c r="Z31" s="13" cm="1">
        <f t="array" ref="Z31">_xll.BDH("DE US Equity","IS_RESTRUCTURING_EXPENSES","FQ4 2024","FQ4 2024","Currency=USD","Period=FQ","BEST_FPERIOD_OVERRIDE=FQ","FILING_STATUS=MR","SCALING_FORMAT=MLN","Sort=A","Dates=H","DateFormat=P","Fill=—","Direction=H","UseDPDF=Y")</f>
        <v>33</v>
      </c>
      <c r="AA31" s="13" t="str" cm="1">
        <f t="array" ref="AA31">_xll.BDH("DE US Equity","IS_RESTRUCTURING_EXPENSES","FQ1 2025","FQ1 2025","Currency=USD","Period=FQ","BEST_FPERIOD_OVERRIDE=FQ","FILING_STATUS=MR","SCALING_FORMAT=MLN","Sort=A","Dates=H","DateFormat=P","Fill=—","Direction=H","UseDPDF=Y")</f>
        <v>—</v>
      </c>
      <c r="AB31" s="13" t="str" cm="1">
        <f t="array" ref="AB31">_xll.BDH("DE US Equity","IS_RESTRUCTURING_EXPENSES","FQ2 2025","FQ2 2025","Currency=USD","Period=FQ","BEST_FPERIOD_OVERRIDE=FQ","FILING_STATUS=MR","SCALING_FORMAT=MLN","Sort=A","Dates=H","DateFormat=P","Fill=—","Direction=H","UseDPDF=Y")</f>
        <v>—</v>
      </c>
      <c r="AC31" s="13" t="str" cm="1">
        <f t="array" ref="AC31">_xll.BDH("DE US Equity","IS_RESTRUCTURING_EXPENSES","FQ3 2025","FQ3 2025","Currency=USD","Period=FQ","BEST_FPERIOD_OVERRIDE=FQ","FILING_STATUS=MR","SCALING_FORMAT=MLN","Sort=A","Dates=H","DateFormat=P","Fill=—","Direction=H","UseDPDF=Y")</f>
        <v>—</v>
      </c>
      <c r="AD31" s="13" t="str" cm="1">
        <f t="array" ref="AD31">_xll.BDH("DE US Equity","IS_RESTRUCTURING_EXPENSES","FQ4 2025","FQ4 2025","Currency=USD","Period=FQ","BEST_FPERIOD_OVERRIDE=FQ","FILING_STATUS=MR","SCALING_FORMAT=MLN","Sort=A","Dates=H","DateFormat=P","Fill=—","Direction=H","UseDPDF=Y")</f>
        <v>—</v>
      </c>
      <c r="AE31" s="13"/>
      <c r="AF31" s="13"/>
    </row>
    <row r="32" spans="1:32" x14ac:dyDescent="0.25">
      <c r="A32" s="10" t="s">
        <v>117</v>
      </c>
      <c r="B32" s="10" t="s">
        <v>118</v>
      </c>
      <c r="C32" s="13" t="str" cm="1">
        <f t="array" ref="C32">_xll.BDH("DE US Equity","IS_UNREALIZED_INVESTMENTS","FQ1 2019","FQ1 2019","Currency=USD","Period=FQ","BEST_FPERIOD_OVERRIDE=FQ","FILING_STATUS=MR","SCALING_FORMAT=MLN","Sort=A","Dates=H","DateFormat=P","Fill=—","Direction=H","UseDPDF=Y")</f>
        <v>—</v>
      </c>
      <c r="D32" s="13" t="str" cm="1">
        <f t="array" ref="D32">_xll.BDH("DE US Equity","IS_UNREALIZED_INVESTMENTS","FQ2 2019","FQ2 2019","Currency=USD","Period=FQ","BEST_FPERIOD_OVERRIDE=FQ","FILING_STATUS=MR","SCALING_FORMAT=MLN","Sort=A","Dates=H","DateFormat=P","Fill=—","Direction=H","UseDPDF=Y")</f>
        <v>—</v>
      </c>
      <c r="E32" s="13" t="str" cm="1">
        <f t="array" ref="E32">_xll.BDH("DE US Equity","IS_UNREALIZED_INVESTMENTS","FQ3 2019","FQ3 2019","Currency=USD","Period=FQ","BEST_FPERIOD_OVERRIDE=FQ","FILING_STATUS=MR","SCALING_FORMAT=MLN","Sort=A","Dates=H","DateFormat=P","Fill=—","Direction=H","UseDPDF=Y")</f>
        <v>—</v>
      </c>
      <c r="F32" s="13" t="str" cm="1">
        <f t="array" ref="F32">_xll.BDH("DE US Equity","IS_UNREALIZED_INVESTMENTS","FQ4 2019","FQ4 2019","Currency=USD","Period=FQ","BEST_FPERIOD_OVERRIDE=FQ","FILING_STATUS=MR","SCALING_FORMAT=MLN","Sort=A","Dates=H","DateFormat=P","Fill=—","Direction=H","UseDPDF=Y")</f>
        <v>—</v>
      </c>
      <c r="G32" s="13" t="str" cm="1">
        <f t="array" ref="G32">_xll.BDH("DE US Equity","IS_UNREALIZED_INVESTMENTS","FQ1 2020","FQ1 2020","Currency=USD","Period=FQ","BEST_FPERIOD_OVERRIDE=FQ","FILING_STATUS=MR","SCALING_FORMAT=MLN","Sort=A","Dates=H","DateFormat=P","Fill=—","Direction=H","UseDPDF=Y")</f>
        <v>—</v>
      </c>
      <c r="H32" s="13" t="str" cm="1">
        <f t="array" ref="H32">_xll.BDH("DE US Equity","IS_UNREALIZED_INVESTMENTS","FQ2 2020","FQ2 2020","Currency=USD","Period=FQ","BEST_FPERIOD_OVERRIDE=FQ","FILING_STATUS=MR","SCALING_FORMAT=MLN","Sort=A","Dates=H","DateFormat=P","Fill=—","Direction=H","UseDPDF=Y")</f>
        <v>—</v>
      </c>
      <c r="I32" s="13" t="str" cm="1">
        <f t="array" ref="I32">_xll.BDH("DE US Equity","IS_UNREALIZED_INVESTMENTS","FQ3 2020","FQ3 2020","Currency=USD","Period=FQ","BEST_FPERIOD_OVERRIDE=FQ","FILING_STATUS=MR","SCALING_FORMAT=MLN","Sort=A","Dates=H","DateFormat=P","Fill=—","Direction=H","UseDPDF=Y")</f>
        <v>—</v>
      </c>
      <c r="J32" s="13" t="str" cm="1">
        <f t="array" ref="J32">_xll.BDH("DE US Equity","IS_UNREALIZED_INVESTMENTS","FQ4 2020","FQ4 2020","Currency=USD","Period=FQ","BEST_FPERIOD_OVERRIDE=FQ","FILING_STATUS=MR","SCALING_FORMAT=MLN","Sort=A","Dates=H","DateFormat=P","Fill=—","Direction=H","UseDPDF=Y")</f>
        <v>—</v>
      </c>
      <c r="K32" s="13" t="str" cm="1">
        <f t="array" ref="K32">_xll.BDH("DE US Equity","IS_UNREALIZED_INVESTMENTS","FQ1 2021","FQ1 2021","Currency=USD","Period=FQ","BEST_FPERIOD_OVERRIDE=FQ","FILING_STATUS=MR","SCALING_FORMAT=MLN","Sort=A","Dates=H","DateFormat=P","Fill=—","Direction=H","UseDPDF=Y")</f>
        <v>—</v>
      </c>
      <c r="L32" s="13" t="str" cm="1">
        <f t="array" ref="L32">_xll.BDH("DE US Equity","IS_UNREALIZED_INVESTMENTS","FQ2 2021","FQ2 2021","Currency=USD","Period=FQ","BEST_FPERIOD_OVERRIDE=FQ","FILING_STATUS=MR","SCALING_FORMAT=MLN","Sort=A","Dates=H","DateFormat=P","Fill=—","Direction=H","UseDPDF=Y")</f>
        <v>—</v>
      </c>
      <c r="M32" s="13" t="str" cm="1">
        <f t="array" ref="M32">_xll.BDH("DE US Equity","IS_UNREALIZED_INVESTMENTS","FQ3 2021","FQ3 2021","Currency=USD","Period=FQ","BEST_FPERIOD_OVERRIDE=FQ","FILING_STATUS=MR","SCALING_FORMAT=MLN","Sort=A","Dates=H","DateFormat=P","Fill=—","Direction=H","UseDPDF=Y")</f>
        <v>—</v>
      </c>
      <c r="N32" s="13" t="str" cm="1">
        <f t="array" ref="N32">_xll.BDH("DE US Equity","IS_UNREALIZED_INVESTMENTS","FQ4 2021","FQ4 2021","Currency=USD","Period=FQ","BEST_FPERIOD_OVERRIDE=FQ","FILING_STATUS=MR","SCALING_FORMAT=MLN","Sort=A","Dates=H","DateFormat=P","Fill=—","Direction=H","UseDPDF=Y")</f>
        <v>—</v>
      </c>
      <c r="O32" s="13" t="str" cm="1">
        <f t="array" ref="O32">_xll.BDH("DE US Equity","IS_UNREALIZED_INVESTMENTS","FQ1 2022","FQ1 2022","Currency=USD","Period=FQ","BEST_FPERIOD_OVERRIDE=FQ","FILING_STATUS=MR","SCALING_FORMAT=MLN","Sort=A","Dates=H","DateFormat=P","Fill=—","Direction=H","UseDPDF=Y")</f>
        <v>—</v>
      </c>
      <c r="P32" s="13" t="str" cm="1">
        <f t="array" ref="P32">_xll.BDH("DE US Equity","IS_UNREALIZED_INVESTMENTS","FQ2 2022","FQ2 2022","Currency=USD","Period=FQ","BEST_FPERIOD_OVERRIDE=FQ","FILING_STATUS=MR","SCALING_FORMAT=MLN","Sort=A","Dates=H","DateFormat=P","Fill=—","Direction=H","UseDPDF=Y")</f>
        <v>—</v>
      </c>
      <c r="Q32" s="13" t="str" cm="1">
        <f t="array" ref="Q32">_xll.BDH("DE US Equity","IS_UNREALIZED_INVESTMENTS","FQ3 2022","FQ3 2022","Currency=USD","Period=FQ","BEST_FPERIOD_OVERRIDE=FQ","FILING_STATUS=MR","SCALING_FORMAT=MLN","Sort=A","Dates=H","DateFormat=P","Fill=—","Direction=H","UseDPDF=Y")</f>
        <v>—</v>
      </c>
      <c r="R32" s="13" cm="1">
        <f t="array" ref="R32">_xll.BDH("DE US Equity","IS_UNREALIZED_INVESTMENTS","FQ4 2022","FQ4 2022","Currency=USD","Period=FQ","BEST_FPERIOD_OVERRIDE=FQ","FILING_STATUS=MR","SCALING_FORMAT=MLN","Sort=A","Dates=H","DateFormat=P","Fill=—","Direction=H","UseDPDF=Y")</f>
        <v>-326</v>
      </c>
      <c r="S32" s="13" t="str" cm="1">
        <f t="array" ref="S32">_xll.BDH("DE US Equity","IS_UNREALIZED_INVESTMENTS","FQ1 2023","FQ1 2023","Currency=USD","Period=FQ","BEST_FPERIOD_OVERRIDE=FQ","FILING_STATUS=MR","SCALING_FORMAT=MLN","Sort=A","Dates=H","DateFormat=P","Fill=—","Direction=H","UseDPDF=Y")</f>
        <v>—</v>
      </c>
      <c r="T32" s="13" t="str" cm="1">
        <f t="array" ref="T32">_xll.BDH("DE US Equity","IS_UNREALIZED_INVESTMENTS","FQ2 2023","FQ2 2023","Currency=USD","Period=FQ","BEST_FPERIOD_OVERRIDE=FQ","FILING_STATUS=MR","SCALING_FORMAT=MLN","Sort=A","Dates=H","DateFormat=P","Fill=—","Direction=H","UseDPDF=Y")</f>
        <v>—</v>
      </c>
      <c r="U32" s="13" t="str" cm="1">
        <f t="array" ref="U32">_xll.BDH("DE US Equity","IS_UNREALIZED_INVESTMENTS","FQ3 2023","FQ3 2023","Currency=USD","Period=FQ","BEST_FPERIOD_OVERRIDE=FQ","FILING_STATUS=MR","SCALING_FORMAT=MLN","Sort=A","Dates=H","DateFormat=P","Fill=—","Direction=H","UseDPDF=Y")</f>
        <v>—</v>
      </c>
      <c r="V32" s="13" t="str" cm="1">
        <f t="array" ref="V32">_xll.BDH("DE US Equity","IS_UNREALIZED_INVESTMENTS","FQ4 2023","FQ4 2023","Currency=USD","Period=FQ","BEST_FPERIOD_OVERRIDE=FQ","FILING_STATUS=MR","SCALING_FORMAT=MLN","Sort=A","Dates=H","DateFormat=P","Fill=—","Direction=H","UseDPDF=Y")</f>
        <v>—</v>
      </c>
      <c r="W32" s="13" t="str" cm="1">
        <f t="array" ref="W32">_xll.BDH("DE US Equity","IS_UNREALIZED_INVESTMENTS","FQ1 2024","FQ1 2024","Currency=USD","Period=FQ","BEST_FPERIOD_OVERRIDE=FQ","FILING_STATUS=MR","SCALING_FORMAT=MLN","Sort=A","Dates=H","DateFormat=P","Fill=—","Direction=H","UseDPDF=Y")</f>
        <v>—</v>
      </c>
      <c r="X32" s="13" t="str" cm="1">
        <f t="array" ref="X32">_xll.BDH("DE US Equity","IS_UNREALIZED_INVESTMENTS","FQ2 2024","FQ2 2024","Currency=USD","Period=FQ","BEST_FPERIOD_OVERRIDE=FQ","FILING_STATUS=MR","SCALING_FORMAT=MLN","Sort=A","Dates=H","DateFormat=P","Fill=—","Direction=H","UseDPDF=Y")</f>
        <v>—</v>
      </c>
      <c r="Y32" s="13" t="str" cm="1">
        <f t="array" ref="Y32">_xll.BDH("DE US Equity","IS_UNREALIZED_INVESTMENTS","FQ3 2024","FQ3 2024","Currency=USD","Period=FQ","BEST_FPERIOD_OVERRIDE=FQ","FILING_STATUS=MR","SCALING_FORMAT=MLN","Sort=A","Dates=H","DateFormat=P","Fill=—","Direction=H","UseDPDF=Y")</f>
        <v>—</v>
      </c>
      <c r="Z32" s="13" t="str" cm="1">
        <f t="array" ref="Z32">_xll.BDH("DE US Equity","IS_UNREALIZED_INVESTMENTS","FQ4 2024","FQ4 2024","Currency=USD","Period=FQ","BEST_FPERIOD_OVERRIDE=FQ","FILING_STATUS=MR","SCALING_FORMAT=MLN","Sort=A","Dates=H","DateFormat=P","Fill=—","Direction=H","UseDPDF=Y")</f>
        <v>—</v>
      </c>
      <c r="AA32" s="13" t="str" cm="1">
        <f t="array" ref="AA32">_xll.BDH("DE US Equity","IS_UNREALIZED_INVESTMENTS","FQ1 2025","FQ1 2025","Currency=USD","Period=FQ","BEST_FPERIOD_OVERRIDE=FQ","FILING_STATUS=MR","SCALING_FORMAT=MLN","Sort=A","Dates=H","DateFormat=P","Fill=—","Direction=H","UseDPDF=Y")</f>
        <v>—</v>
      </c>
      <c r="AB32" s="13" t="str" cm="1">
        <f t="array" ref="AB32">_xll.BDH("DE US Equity","IS_UNREALIZED_INVESTMENTS","FQ2 2025","FQ2 2025","Currency=USD","Period=FQ","BEST_FPERIOD_OVERRIDE=FQ","FILING_STATUS=MR","SCALING_FORMAT=MLN","Sort=A","Dates=H","DateFormat=P","Fill=—","Direction=H","UseDPDF=Y")</f>
        <v>—</v>
      </c>
      <c r="AC32" s="13" t="str" cm="1">
        <f t="array" ref="AC32">_xll.BDH("DE US Equity","IS_UNREALIZED_INVESTMENTS","FQ3 2025","FQ3 2025","Currency=USD","Period=FQ","BEST_FPERIOD_OVERRIDE=FQ","FILING_STATUS=MR","SCALING_FORMAT=MLN","Sort=A","Dates=H","DateFormat=P","Fill=—","Direction=H","UseDPDF=Y")</f>
        <v>—</v>
      </c>
      <c r="AD32" s="13" t="str" cm="1">
        <f t="array" ref="AD32">_xll.BDH("DE US Equity","IS_UNREALIZED_INVESTMENTS","FQ4 2025","FQ4 2025","Currency=USD","Period=FQ","BEST_FPERIOD_OVERRIDE=FQ","FILING_STATUS=MR","SCALING_FORMAT=MLN","Sort=A","Dates=H","DateFormat=P","Fill=—","Direction=H","UseDPDF=Y")</f>
        <v>—</v>
      </c>
      <c r="AE32" s="13"/>
      <c r="AF32" s="13"/>
    </row>
    <row r="33" spans="1:32" x14ac:dyDescent="0.25">
      <c r="A33" s="10" t="s">
        <v>119</v>
      </c>
      <c r="B33" s="10" t="s">
        <v>120</v>
      </c>
      <c r="C33" s="13" t="str" cm="1">
        <f t="array" ref="C33">_xll.BDH("DE US Equity","IS_OTHER_ONE_TIME_ITEMS","FQ1 2019","FQ1 2019","Currency=USD","Period=FQ","BEST_FPERIOD_OVERRIDE=FQ","FILING_STATUS=MR","SCALING_FORMAT=MLN","Sort=A","Dates=H","DateFormat=P","Fill=—","Direction=H","UseDPDF=Y")</f>
        <v>—</v>
      </c>
      <c r="D33" s="13" t="str" cm="1">
        <f t="array" ref="D33">_xll.BDH("DE US Equity","IS_OTHER_ONE_TIME_ITEMS","FQ2 2019","FQ2 2019","Currency=USD","Period=FQ","BEST_FPERIOD_OVERRIDE=FQ","FILING_STATUS=MR","SCALING_FORMAT=MLN","Sort=A","Dates=H","DateFormat=P","Fill=—","Direction=H","UseDPDF=Y")</f>
        <v>—</v>
      </c>
      <c r="E33" s="13" t="str" cm="1">
        <f t="array" ref="E33">_xll.BDH("DE US Equity","IS_OTHER_ONE_TIME_ITEMS","FQ3 2019","FQ3 2019","Currency=USD","Period=FQ","BEST_FPERIOD_OVERRIDE=FQ","FILING_STATUS=MR","SCALING_FORMAT=MLN","Sort=A","Dates=H","DateFormat=P","Fill=—","Direction=H","UseDPDF=Y")</f>
        <v>—</v>
      </c>
      <c r="F33" s="13" t="str" cm="1">
        <f t="array" ref="F33">_xll.BDH("DE US Equity","IS_OTHER_ONE_TIME_ITEMS","FQ4 2019","FQ4 2019","Currency=USD","Period=FQ","BEST_FPERIOD_OVERRIDE=FQ","FILING_STATUS=MR","SCALING_FORMAT=MLN","Sort=A","Dates=H","DateFormat=P","Fill=—","Direction=H","UseDPDF=Y")</f>
        <v>—</v>
      </c>
      <c r="G33" s="13" t="str" cm="1">
        <f t="array" ref="G33">_xll.BDH("DE US Equity","IS_OTHER_ONE_TIME_ITEMS","FQ1 2020","FQ1 2020","Currency=USD","Period=FQ","BEST_FPERIOD_OVERRIDE=FQ","FILING_STATUS=MR","SCALING_FORMAT=MLN","Sort=A","Dates=H","DateFormat=P","Fill=—","Direction=H","UseDPDF=Y")</f>
        <v>—</v>
      </c>
      <c r="H33" s="13" cm="1">
        <f t="array" ref="H33">_xll.BDH("DE US Equity","IS_OTHER_ONE_TIME_ITEMS","FQ2 2020","FQ2 2020","Currency=USD","Period=FQ","BEST_FPERIOD_OVERRIDE=FQ","FILING_STATUS=MR","SCALING_FORMAT=MLN","Sort=A","Dates=H","DateFormat=P","Fill=—","Direction=H","UseDPDF=Y")</f>
        <v>21</v>
      </c>
      <c r="I33" s="13" t="str" cm="1">
        <f t="array" ref="I33">_xll.BDH("DE US Equity","IS_OTHER_ONE_TIME_ITEMS","FQ3 2020","FQ3 2020","Currency=USD","Period=FQ","BEST_FPERIOD_OVERRIDE=FQ","FILING_STATUS=MR","SCALING_FORMAT=MLN","Sort=A","Dates=H","DateFormat=P","Fill=—","Direction=H","UseDPDF=Y")</f>
        <v>—</v>
      </c>
      <c r="J33" s="13" cm="1">
        <f t="array" ref="J33">_xll.BDH("DE US Equity","IS_OTHER_ONE_TIME_ITEMS","FQ4 2020","FQ4 2020","Currency=USD","Period=FQ","BEST_FPERIOD_OVERRIDE=FQ","FILING_STATUS=MR","SCALING_FORMAT=MLN","Sort=A","Dates=H","DateFormat=P","Fill=—","Direction=H","UseDPDF=Y")</f>
        <v>78.480999999999995</v>
      </c>
      <c r="K33" s="13" cm="1">
        <f t="array" ref="K33">_xll.BDH("DE US Equity","IS_OTHER_ONE_TIME_ITEMS","FQ1 2021","FQ1 2021","Currency=USD","Period=FQ","BEST_FPERIOD_OVERRIDE=FQ","FILING_STATUS=MR","SCALING_FORMAT=MLN","Sort=A","Dates=H","DateFormat=P","Fill=—","Direction=H","UseDPDF=Y")</f>
        <v>-58</v>
      </c>
      <c r="L33" s="13" t="str" cm="1">
        <f t="array" ref="L33">_xll.BDH("DE US Equity","IS_OTHER_ONE_TIME_ITEMS","FQ2 2021","FQ2 2021","Currency=USD","Period=FQ","BEST_FPERIOD_OVERRIDE=FQ","FILING_STATUS=MR","SCALING_FORMAT=MLN","Sort=A","Dates=H","DateFormat=P","Fill=—","Direction=H","UseDPDF=Y")</f>
        <v>—</v>
      </c>
      <c r="M33" s="13" cm="1">
        <f t="array" ref="M33">_xll.BDH("DE US Equity","IS_OTHER_ONE_TIME_ITEMS","FQ3 2021","FQ3 2021","Currency=USD","Period=FQ","BEST_FPERIOD_OVERRIDE=FQ","FILING_STATUS=MR","SCALING_FORMAT=MLN","Sort=A","Dates=H","DateFormat=P","Fill=—","Direction=H","UseDPDF=Y")</f>
        <v>-27</v>
      </c>
      <c r="N33" s="13" cm="1">
        <f t="array" ref="N33">_xll.BDH("DE US Equity","IS_OTHER_ONE_TIME_ITEMS","FQ4 2021","FQ4 2021","Currency=USD","Period=FQ","BEST_FPERIOD_OVERRIDE=FQ","FILING_STATUS=MR","SCALING_FORMAT=MLN","Sort=A","Dates=H","DateFormat=P","Fill=—","Direction=H","UseDPDF=Y")</f>
        <v>27</v>
      </c>
      <c r="O33" s="13" cm="1">
        <f t="array" ref="O33">_xll.BDH("DE US Equity","IS_OTHER_ONE_TIME_ITEMS","FQ1 2022","FQ1 2022","Currency=USD","Period=FQ","BEST_FPERIOD_OVERRIDE=FQ","FILING_STATUS=MR","SCALING_FORMAT=MLN","Sort=A","Dates=H","DateFormat=P","Fill=—","Direction=H","UseDPDF=Y")</f>
        <v>90</v>
      </c>
      <c r="P33" s="13" t="str" cm="1">
        <f t="array" ref="P33">_xll.BDH("DE US Equity","IS_OTHER_ONE_TIME_ITEMS","FQ2 2022","FQ2 2022","Currency=USD","Period=FQ","BEST_FPERIOD_OVERRIDE=FQ","FILING_STATUS=MR","SCALING_FORMAT=MLN","Sort=A","Dates=H","DateFormat=P","Fill=—","Direction=H","UseDPDF=Y")</f>
        <v>—</v>
      </c>
      <c r="Q33" s="13" t="str" cm="1">
        <f t="array" ref="Q33">_xll.BDH("DE US Equity","IS_OTHER_ONE_TIME_ITEMS","FQ3 2022","FQ3 2022","Currency=USD","Period=FQ","BEST_FPERIOD_OVERRIDE=FQ","FILING_STATUS=MR","SCALING_FORMAT=MLN","Sort=A","Dates=H","DateFormat=P","Fill=—","Direction=H","UseDPDF=Y")</f>
        <v>—</v>
      </c>
      <c r="R33" s="13" cm="1">
        <f t="array" ref="R33">_xll.BDH("DE US Equity","IS_OTHER_ONE_TIME_ITEMS","FQ4 2022","FQ4 2022","Currency=USD","Period=FQ","BEST_FPERIOD_OVERRIDE=FQ","FILING_STATUS=MR","SCALING_FORMAT=MLN","Sort=A","Dates=H","DateFormat=P","Fill=—","Direction=H","UseDPDF=Y")</f>
        <v>90</v>
      </c>
      <c r="S33" s="13" t="str" cm="1">
        <f t="array" ref="S33">_xll.BDH("DE US Equity","IS_OTHER_ONE_TIME_ITEMS","FQ1 2023","FQ1 2023","Currency=USD","Period=FQ","BEST_FPERIOD_OVERRIDE=FQ","FILING_STATUS=MR","SCALING_FORMAT=MLN","Sort=A","Dates=H","DateFormat=P","Fill=—","Direction=H","UseDPDF=Y")</f>
        <v>—</v>
      </c>
      <c r="T33" s="13" cm="1">
        <f t="array" ref="T33">_xll.BDH("DE US Equity","IS_OTHER_ONE_TIME_ITEMS","FQ2 2023","FQ2 2023","Currency=USD","Period=FQ","BEST_FPERIOD_OVERRIDE=FQ","FILING_STATUS=MR","SCALING_FORMAT=MLN","Sort=A","Dates=H","DateFormat=P","Fill=—","Direction=H","UseDPDF=Y")</f>
        <v>173</v>
      </c>
      <c r="U33" s="13" t="str" cm="1">
        <f t="array" ref="U33">_xll.BDH("DE US Equity","IS_OTHER_ONE_TIME_ITEMS","FQ3 2023","FQ3 2023","Currency=USD","Period=FQ","BEST_FPERIOD_OVERRIDE=FQ","FILING_STATUS=MR","SCALING_FORMAT=MLN","Sort=A","Dates=H","DateFormat=P","Fill=—","Direction=H","UseDPDF=Y")</f>
        <v>—</v>
      </c>
      <c r="V33" s="13" cm="1">
        <f t="array" ref="V33">_xll.BDH("DE US Equity","IS_OTHER_ONE_TIME_ITEMS","FQ4 2023","FQ4 2023","Currency=USD","Period=FQ","BEST_FPERIOD_OVERRIDE=FQ","FILING_STATUS=MR","SCALING_FORMAT=MLN","Sort=A","Dates=H","DateFormat=P","Fill=—","Direction=H","UseDPDF=Y")</f>
        <v>18</v>
      </c>
      <c r="W33" s="13" t="str" cm="1">
        <f t="array" ref="W33">_xll.BDH("DE US Equity","IS_OTHER_ONE_TIME_ITEMS","FQ1 2024","FQ1 2024","Currency=USD","Period=FQ","BEST_FPERIOD_OVERRIDE=FQ","FILING_STATUS=MR","SCALING_FORMAT=MLN","Sort=A","Dates=H","DateFormat=P","Fill=—","Direction=H","UseDPDF=Y")</f>
        <v>—</v>
      </c>
      <c r="X33" s="13" t="str" cm="1">
        <f t="array" ref="X33">_xll.BDH("DE US Equity","IS_OTHER_ONE_TIME_ITEMS","FQ2 2024","FQ2 2024","Currency=USD","Period=FQ","BEST_FPERIOD_OVERRIDE=FQ","FILING_STATUS=MR","SCALING_FORMAT=MLN","Sort=A","Dates=H","DateFormat=P","Fill=—","Direction=H","UseDPDF=Y")</f>
        <v>—</v>
      </c>
      <c r="Y33" s="13" t="str" cm="1">
        <f t="array" ref="Y33">_xll.BDH("DE US Equity","IS_OTHER_ONE_TIME_ITEMS","FQ3 2024","FQ3 2024","Currency=USD","Period=FQ","BEST_FPERIOD_OVERRIDE=FQ","FILING_STATUS=MR","SCALING_FORMAT=MLN","Sort=A","Dates=H","DateFormat=P","Fill=—","Direction=H","UseDPDF=Y")</f>
        <v>—</v>
      </c>
      <c r="Z33" s="13" cm="1">
        <f t="array" ref="Z33">_xll.BDH("DE US Equity","IS_OTHER_ONE_TIME_ITEMS","FQ4 2024","FQ4 2024","Currency=USD","Period=FQ","BEST_FPERIOD_OVERRIDE=FQ","FILING_STATUS=MR","SCALING_FORMAT=MLN","Sort=A","Dates=H","DateFormat=P","Fill=—","Direction=H","UseDPDF=Y")</f>
        <v>44</v>
      </c>
      <c r="AA33" s="13" cm="1">
        <f t="array" ref="AA33">_xll.BDH("DE US Equity","IS_OTHER_ONE_TIME_ITEMS","FQ1 2025","FQ1 2025","Currency=USD","Period=FQ","BEST_FPERIOD_OVERRIDE=FQ","FILING_STATUS=MR","SCALING_FORMAT=MLN","Sort=A","Dates=H","DateFormat=P","Fill=—","Direction=H","UseDPDF=Y")</f>
        <v>-32</v>
      </c>
      <c r="AB33" s="13" t="str" cm="1">
        <f t="array" ref="AB33">_xll.BDH("DE US Equity","IS_OTHER_ONE_TIME_ITEMS","FQ2 2025","FQ2 2025","Currency=USD","Period=FQ","BEST_FPERIOD_OVERRIDE=FQ","FILING_STATUS=MR","SCALING_FORMAT=MLN","Sort=A","Dates=H","DateFormat=P","Fill=—","Direction=H","UseDPDF=Y")</f>
        <v>—</v>
      </c>
      <c r="AC33" s="13" t="str" cm="1">
        <f t="array" ref="AC33">_xll.BDH("DE US Equity","IS_OTHER_ONE_TIME_ITEMS","FQ3 2025","FQ3 2025","Currency=USD","Period=FQ","BEST_FPERIOD_OVERRIDE=FQ","FILING_STATUS=MR","SCALING_FORMAT=MLN","Sort=A","Dates=H","DateFormat=P","Fill=—","Direction=H","UseDPDF=Y")</f>
        <v>—</v>
      </c>
      <c r="AD33" s="13" t="str" cm="1">
        <f t="array" ref="AD33">_xll.BDH("DE US Equity","IS_OTHER_ONE_TIME_ITEMS","FQ4 2025","FQ4 2025","Currency=USD","Period=FQ","BEST_FPERIOD_OVERRIDE=FQ","FILING_STATUS=MR","SCALING_FORMAT=MLN","Sort=A","Dates=H","DateFormat=P","Fill=—","Direction=H","UseDPDF=Y")</f>
        <v>—</v>
      </c>
      <c r="AE33" s="13"/>
      <c r="AF33" s="13"/>
    </row>
    <row r="34" spans="1:32" x14ac:dyDescent="0.25">
      <c r="A34" s="6" t="s">
        <v>121</v>
      </c>
      <c r="B34" s="6" t="s">
        <v>104</v>
      </c>
      <c r="C34" s="16" cm="1">
        <f t="array" ref="C34">_xll.BDH("DE US Equity","PRETAX_INC","FQ1 2019","FQ1 2019","Currency=USD","Period=FQ","BEST_FPERIOD_OVERRIDE=FQ","FILING_STATUS=MR","SCALING_FORMAT=MLN","FA_ADJUSTED=GAAP","Sort=A","Dates=H","DateFormat=P","Fill=—","Direction=H","UseDPDF=Y")</f>
        <v>677</v>
      </c>
      <c r="D34" s="16" cm="1">
        <f t="array" ref="D34">_xll.BDH("DE US Equity","PRETAX_INC","FQ2 2019","FQ2 2019","Currency=USD","Period=FQ","BEST_FPERIOD_OVERRIDE=FQ","FILING_STATUS=MR","SCALING_FORMAT=MLN","FA_ADJUSTED=GAAP","Sort=A","Dates=H","DateFormat=P","Fill=—","Direction=H","UseDPDF=Y")</f>
        <v>1473</v>
      </c>
      <c r="E34" s="16" cm="1">
        <f t="array" ref="E34">_xll.BDH("DE US Equity","PRETAX_INC","FQ3 2019","FQ3 2019","Currency=USD","Period=FQ","BEST_FPERIOD_OVERRIDE=FQ","FILING_STATUS=MR","SCALING_FORMAT=MLN","FA_ADJUSTED=GAAP","Sort=A","Dates=H","DateFormat=P","Fill=—","Direction=H","UseDPDF=Y")</f>
        <v>1113</v>
      </c>
      <c r="F34" s="16" cm="1">
        <f t="array" ref="F34">_xll.BDH("DE US Equity","PRETAX_INC","FQ4 2019","FQ4 2019","Currency=USD","Period=FQ","BEST_FPERIOD_OVERRIDE=FQ","FILING_STATUS=MR","SCALING_FORMAT=MLN","FA_ADJUSTED=GAAP","Sort=A","Dates=H","DateFormat=P","Fill=—","Direction=H","UseDPDF=Y")</f>
        <v>825</v>
      </c>
      <c r="G34" s="16" cm="1">
        <f t="array" ref="G34">_xll.BDH("DE US Equity","PRETAX_INC","FQ1 2020","FQ1 2020","Currency=USD","Period=FQ","BEST_FPERIOD_OVERRIDE=FQ","FILING_STATUS=MR","SCALING_FORMAT=MLN","FA_ADJUSTED=GAAP","Sort=A","Dates=H","DateFormat=P","Fill=—","Direction=H","UseDPDF=Y")</f>
        <v>569</v>
      </c>
      <c r="H34" s="16" cm="1">
        <f t="array" ref="H34">_xll.BDH("DE US Equity","PRETAX_INC","FQ2 2020","FQ2 2020","Currency=USD","Period=FQ","BEST_FPERIOD_OVERRIDE=FQ","FILING_STATUS=MR","SCALING_FORMAT=MLN","FA_ADJUSTED=GAAP","Sort=A","Dates=H","DateFormat=P","Fill=—","Direction=H","UseDPDF=Y")</f>
        <v>928</v>
      </c>
      <c r="I34" s="16" cm="1">
        <f t="array" ref="I34">_xll.BDH("DE US Equity","PRETAX_INC","FQ3 2020","FQ3 2020","Currency=USD","Period=FQ","BEST_FPERIOD_OVERRIDE=FQ","FILING_STATUS=MR","SCALING_FORMAT=MLN","FA_ADJUSTED=GAAP","Sort=A","Dates=H","DateFormat=P","Fill=—","Direction=H","UseDPDF=Y")</f>
        <v>1270</v>
      </c>
      <c r="J34" s="16" cm="1">
        <f t="array" ref="J34">_xll.BDH("DE US Equity","PRETAX_INC","FQ4 2020","FQ4 2020","Currency=USD","Period=FQ","BEST_FPERIOD_OVERRIDE=FQ","FILING_STATUS=MR","SCALING_FORMAT=MLN","FA_ADJUSTED=GAAP","Sort=A","Dates=H","DateFormat=P","Fill=—","Direction=H","UseDPDF=Y")</f>
        <v>1115</v>
      </c>
      <c r="K34" s="16" cm="1">
        <f t="array" ref="K34">_xll.BDH("DE US Equity","PRETAX_INC","FQ1 2021","FQ1 2021","Currency=USD","Period=FQ","BEST_FPERIOD_OVERRIDE=FQ","FILING_STATUS=MR","SCALING_FORMAT=MLN","FA_ADJUSTED=GAAP","Sort=A","Dates=H","DateFormat=P","Fill=—","Direction=H","UseDPDF=Y")</f>
        <v>1528</v>
      </c>
      <c r="L34" s="16" cm="1">
        <f t="array" ref="L34">_xll.BDH("DE US Equity","PRETAX_INC","FQ2 2021","FQ2 2021","Currency=USD","Period=FQ","BEST_FPERIOD_OVERRIDE=FQ","FILING_STATUS=MR","SCALING_FORMAT=MLN","FA_ADJUSTED=GAAP","Sort=A","Dates=H","DateFormat=P","Fill=—","Direction=H","UseDPDF=Y")</f>
        <v>2312</v>
      </c>
      <c r="M34" s="16" cm="1">
        <f t="array" ref="M34">_xll.BDH("DE US Equity","PRETAX_INC","FQ3 2021","FQ3 2021","Currency=USD","Period=FQ","BEST_FPERIOD_OVERRIDE=FQ","FILING_STATUS=MR","SCALING_FORMAT=MLN","FA_ADJUSTED=GAAP","Sort=A","Dates=H","DateFormat=P","Fill=—","Direction=H","UseDPDF=Y")</f>
        <v>2150</v>
      </c>
      <c r="N34" s="16" cm="1">
        <f t="array" ref="N34">_xll.BDH("DE US Equity","PRETAX_INC","FQ4 2021","FQ4 2021","Currency=USD","Period=FQ","BEST_FPERIOD_OVERRIDE=FQ","FILING_STATUS=MR","SCALING_FORMAT=MLN","FA_ADJUSTED=GAAP","Sort=A","Dates=H","DateFormat=P","Fill=—","Direction=H","UseDPDF=Y")</f>
        <v>1613</v>
      </c>
      <c r="O34" s="16" cm="1">
        <f t="array" ref="O34">_xll.BDH("DE US Equity","PRETAX_INC","FQ1 2022","FQ1 2022","Currency=USD","Period=FQ","BEST_FPERIOD_OVERRIDE=FQ","FILING_STATUS=MR","SCALING_FORMAT=MLN","FA_ADJUSTED=GAAP","Sort=A","Dates=H","DateFormat=P","Fill=—","Direction=H","UseDPDF=Y")</f>
        <v>1151</v>
      </c>
      <c r="P34" s="16" cm="1">
        <f t="array" ref="P34">_xll.BDH("DE US Equity","PRETAX_INC","FQ2 2022","FQ2 2022","Currency=USD","Period=FQ","BEST_FPERIOD_OVERRIDE=FQ","FILING_STATUS=MR","SCALING_FORMAT=MLN","FA_ADJUSTED=GAAP","Sort=A","Dates=H","DateFormat=P","Fill=—","Direction=H","UseDPDF=Y")</f>
        <v>2552</v>
      </c>
      <c r="Q34" s="16" cm="1">
        <f t="array" ref="Q34">_xll.BDH("DE US Equity","PRETAX_INC","FQ3 2022","FQ3 2022","Currency=USD","Period=FQ","BEST_FPERIOD_OVERRIDE=FQ","FILING_STATUS=MR","SCALING_FORMAT=MLN","FA_ADJUSTED=GAAP","Sort=A","Dates=H","DateFormat=P","Fill=—","Direction=H","UseDPDF=Y")</f>
        <v>2539</v>
      </c>
      <c r="R34" s="16" cm="1">
        <f t="array" ref="R34">_xll.BDH("DE US Equity","PRETAX_INC","FQ4 2022","FQ4 2022","Currency=USD","Period=FQ","BEST_FPERIOD_OVERRIDE=FQ","FILING_STATUS=MR","SCALING_FORMAT=MLN","FA_ADJUSTED=GAAP","Sort=A","Dates=H","DateFormat=P","Fill=—","Direction=H","UseDPDF=Y")</f>
        <v>2885</v>
      </c>
      <c r="S34" s="16" cm="1">
        <f t="array" ref="S34">_xll.BDH("DE US Equity","PRETAX_INC","FQ1 2023","FQ1 2023","Currency=USD","Period=FQ","BEST_FPERIOD_OVERRIDE=FQ","FILING_STATUS=MR","SCALING_FORMAT=MLN","FA_ADJUSTED=GAAP","Sort=A","Dates=H","DateFormat=P","Fill=—","Direction=H","UseDPDF=Y")</f>
        <v>2493</v>
      </c>
      <c r="T34" s="16" cm="1">
        <f t="array" ref="T34">_xll.BDH("DE US Equity","PRETAX_INC","FQ2 2023","FQ2 2023","Currency=USD","Period=FQ","BEST_FPERIOD_OVERRIDE=FQ","FILING_STATUS=MR","SCALING_FORMAT=MLN","FA_ADJUSTED=GAAP","Sort=A","Dates=H","DateFormat=P","Fill=—","Direction=H","UseDPDF=Y")</f>
        <v>3848</v>
      </c>
      <c r="U34" s="16" cm="1">
        <f t="array" ref="U34">_xll.BDH("DE US Equity","PRETAX_INC","FQ3 2023","FQ3 2023","Currency=USD","Period=FQ","BEST_FPERIOD_OVERRIDE=FQ","FILING_STATUS=MR","SCALING_FORMAT=MLN","FA_ADJUSTED=GAAP","Sort=A","Dates=H","DateFormat=P","Fill=—","Direction=H","UseDPDF=Y")</f>
        <v>3606</v>
      </c>
      <c r="V34" s="16" cm="1">
        <f t="array" ref="V34">_xll.BDH("DE US Equity","PRETAX_INC","FQ4 2023","FQ4 2023","Currency=USD","Period=FQ","BEST_FPERIOD_OVERRIDE=FQ","FILING_STATUS=MR","SCALING_FORMAT=MLN","FA_ADJUSTED=GAAP","Sort=A","Dates=H","DateFormat=P","Fill=—","Direction=H","UseDPDF=Y")</f>
        <v>3073</v>
      </c>
      <c r="W34" s="16" cm="1">
        <f t="array" ref="W34">_xll.BDH("DE US Equity","PRETAX_INC","FQ1 2024","FQ1 2024","Currency=USD","Period=FQ","BEST_FPERIOD_OVERRIDE=FQ","FILING_STATUS=MR","SCALING_FORMAT=MLN","FA_ADJUSTED=GAAP","Sort=A","Dates=H","DateFormat=P","Fill=—","Direction=H","UseDPDF=Y")</f>
        <v>2215</v>
      </c>
      <c r="X34" s="16" cm="1">
        <f t="array" ref="X34">_xll.BDH("DE US Equity","PRETAX_INC","FQ2 2024","FQ2 2024","Currency=USD","Period=FQ","BEST_FPERIOD_OVERRIDE=FQ","FILING_STATUS=MR","SCALING_FORMAT=MLN","FA_ADJUSTED=GAAP","Sort=A","Dates=H","DateFormat=P","Fill=—","Direction=H","UseDPDF=Y")</f>
        <v>3117</v>
      </c>
      <c r="Y34" s="16" cm="1">
        <f t="array" ref="Y34">_xll.BDH("DE US Equity","PRETAX_INC","FQ3 2024","FQ3 2024","Currency=USD","Period=FQ","BEST_FPERIOD_OVERRIDE=FQ","FILING_STATUS=MR","SCALING_FORMAT=MLN","FA_ADJUSTED=GAAP","Sort=A","Dates=H","DateFormat=P","Fill=—","Direction=H","UseDPDF=Y")</f>
        <v>2355</v>
      </c>
      <c r="Z34" s="16" cm="1">
        <f t="array" ref="Z34">_xll.BDH("DE US Equity","PRETAX_INC","FQ4 2024","FQ4 2024","Currency=USD","Period=FQ","BEST_FPERIOD_OVERRIDE=FQ","FILING_STATUS=MR","SCALING_FORMAT=MLN","FA_ADJUSTED=GAAP","Sort=A","Dates=H","DateFormat=P","Fill=—","Direction=H","UseDPDF=Y")</f>
        <v>1518</v>
      </c>
      <c r="AA34" s="16" cm="1">
        <f t="array" ref="AA34">_xll.BDH("DE US Equity","PRETAX_INC","FQ1 2025","FQ1 2025","Currency=USD","Period=FQ","BEST_FPERIOD_OVERRIDE=FQ","FILING_STATUS=MR","SCALING_FORMAT=MLN","FA_ADJUSTED=GAAP","Sort=A","Dates=H","DateFormat=P","Fill=—","Direction=H","UseDPDF=Y")</f>
        <v>895</v>
      </c>
      <c r="AB34" s="16" cm="1">
        <f t="array" ref="AB34">_xll.BDH("DE US Equity","PRETAX_INC","FQ2 2025","FQ2 2025","Currency=USD","Period=FQ","BEST_FPERIOD_OVERRIDE=FQ","FILING_STATUS=MR","SCALING_FORMAT=MLN","FA_ADJUSTED=GAAP","Sort=A","Dates=H","DateFormat=P","Fill=—","Direction=H","UseDPDF=Y")</f>
        <v>2337</v>
      </c>
      <c r="AC34" s="16" cm="1">
        <f t="array" ref="AC34">_xll.BDH("DE US Equity","PRETAX_INC","FQ3 2025","FQ3 2025","Currency=USD","Period=FQ","BEST_FPERIOD_OVERRIDE=FQ","FILING_STATUS=MR","SCALING_FORMAT=MLN","FA_ADJUSTED=GAAP","Sort=A","Dates=H","DateFormat=P","Fill=—","Direction=H","UseDPDF=Y")</f>
        <v>1600</v>
      </c>
      <c r="AD34" s="16" cm="1">
        <f t="array" ref="AD34">_xll.BDH("DE US Equity","PRETAX_INC","FQ4 2025","FQ4 2025","Currency=USD","Period=FQ","BEST_FPERIOD_OVERRIDE=FQ","FILING_STATUS=MR","SCALING_FORMAT=MLN","FA_ADJUSTED=GAAP","Sort=A","Dates=H","DateFormat=P","Fill=—","Direction=H","UseDPDF=Y")</f>
        <v>1424</v>
      </c>
      <c r="AE34" s="16">
        <v>687.66700000000003</v>
      </c>
      <c r="AF34" s="16">
        <v>2063.143</v>
      </c>
    </row>
    <row r="35" spans="1:32" x14ac:dyDescent="0.25">
      <c r="A35" s="10" t="s">
        <v>122</v>
      </c>
      <c r="B35" s="10" t="s">
        <v>123</v>
      </c>
      <c r="C35" s="13" cm="1">
        <f t="array" ref="C35">_xll.BDH("DE US Equity","IS_INC_TAX_EXP","FQ1 2019","FQ1 2019","Currency=USD","Period=FQ","BEST_FPERIOD_OVERRIDE=FQ","FILING_STATUS=MR","SCALING_FORMAT=MLN","FA_ADJUSTED=GAAP","Sort=A","Dates=H","DateFormat=P","Fill=—","Direction=H","UseDPDF=Y")</f>
        <v>184</v>
      </c>
      <c r="D35" s="13" cm="1">
        <f t="array" ref="D35">_xll.BDH("DE US Equity","IS_INC_TAX_EXP","FQ2 2019","FQ2 2019","Currency=USD","Period=FQ","BEST_FPERIOD_OVERRIDE=FQ","FILING_STATUS=MR","SCALING_FORMAT=MLN","FA_ADJUSTED=GAAP","Sort=A","Dates=H","DateFormat=P","Fill=—","Direction=H","UseDPDF=Y")</f>
        <v>343</v>
      </c>
      <c r="E35" s="13" cm="1">
        <f t="array" ref="E35">_xll.BDH("DE US Equity","IS_INC_TAX_EXP","FQ3 2019","FQ3 2019","Currency=USD","Period=FQ","BEST_FPERIOD_OVERRIDE=FQ","FILING_STATUS=MR","SCALING_FORMAT=MLN","FA_ADJUSTED=GAAP","Sort=A","Dates=H","DateFormat=P","Fill=—","Direction=H","UseDPDF=Y")</f>
        <v>221</v>
      </c>
      <c r="F35" s="13" cm="1">
        <f t="array" ref="F35">_xll.BDH("DE US Equity","IS_INC_TAX_EXP","FQ4 2019","FQ4 2019","Currency=USD","Period=FQ","BEST_FPERIOD_OVERRIDE=FQ","FILING_STATUS=MR","SCALING_FORMAT=MLN","FA_ADJUSTED=GAAP","Sort=A","Dates=H","DateFormat=P","Fill=—","Direction=H","UseDPDF=Y")</f>
        <v>104</v>
      </c>
      <c r="G35" s="13" cm="1">
        <f t="array" ref="G35">_xll.BDH("DE US Equity","IS_INC_TAX_EXP","FQ1 2020","FQ1 2020","Currency=USD","Period=FQ","BEST_FPERIOD_OVERRIDE=FQ","FILING_STATUS=MR","SCALING_FORMAT=MLN","FA_ADJUSTED=GAAP","Sort=A","Dates=H","DateFormat=P","Fill=—","Direction=H","UseDPDF=Y")</f>
        <v>50</v>
      </c>
      <c r="H35" s="13" cm="1">
        <f t="array" ref="H35">_xll.BDH("DE US Equity","IS_INC_TAX_EXP","FQ2 2020","FQ2 2020","Currency=USD","Period=FQ","BEST_FPERIOD_OVERRIDE=FQ","FILING_STATUS=MR","SCALING_FORMAT=MLN","FA_ADJUSTED=GAAP","Sort=A","Dates=H","DateFormat=P","Fill=—","Direction=H","UseDPDF=Y")</f>
        <v>245</v>
      </c>
      <c r="I35" s="13" cm="1">
        <f t="array" ref="I35">_xll.BDH("DE US Equity","IS_INC_TAX_EXP","FQ3 2020","FQ3 2020","Currency=USD","Period=FQ","BEST_FPERIOD_OVERRIDE=FQ","FILING_STATUS=MR","SCALING_FORMAT=MLN","FA_ADJUSTED=GAAP","Sort=A","Dates=H","DateFormat=P","Fill=—","Direction=H","UseDPDF=Y")</f>
        <v>457</v>
      </c>
      <c r="J35" s="13" cm="1">
        <f t="array" ref="J35">_xll.BDH("DE US Equity","IS_INC_TAX_EXP","FQ4 2020","FQ4 2020","Currency=USD","Period=FQ","BEST_FPERIOD_OVERRIDE=FQ","FILING_STATUS=MR","SCALING_FORMAT=MLN","FA_ADJUSTED=GAAP","Sort=A","Dates=H","DateFormat=P","Fill=—","Direction=H","UseDPDF=Y")</f>
        <v>329</v>
      </c>
      <c r="K35" s="13" cm="1">
        <f t="array" ref="K35">_xll.BDH("DE US Equity","IS_INC_TAX_EXP","FQ1 2021","FQ1 2021","Currency=USD","Period=FQ","BEST_FPERIOD_OVERRIDE=FQ","FILING_STATUS=MR","SCALING_FORMAT=MLN","FA_ADJUSTED=GAAP","Sort=A","Dates=H","DateFormat=P","Fill=—","Direction=H","UseDPDF=Y")</f>
        <v>308</v>
      </c>
      <c r="L35" s="13" cm="1">
        <f t="array" ref="L35">_xll.BDH("DE US Equity","IS_INC_TAX_EXP","FQ2 2021","FQ2 2021","Currency=USD","Period=FQ","BEST_FPERIOD_OVERRIDE=FQ","FILING_STATUS=MR","SCALING_FORMAT=MLN","FA_ADJUSTED=GAAP","Sort=A","Dates=H","DateFormat=P","Fill=—","Direction=H","UseDPDF=Y")</f>
        <v>530</v>
      </c>
      <c r="M35" s="13" cm="1">
        <f t="array" ref="M35">_xll.BDH("DE US Equity","IS_INC_TAX_EXP","FQ3 2021","FQ3 2021","Currency=USD","Period=FQ","BEST_FPERIOD_OVERRIDE=FQ","FILING_STATUS=MR","SCALING_FORMAT=MLN","FA_ADJUSTED=GAAP","Sort=A","Dates=H","DateFormat=P","Fill=—","Direction=H","UseDPDF=Y")</f>
        <v>491</v>
      </c>
      <c r="N35" s="13" cm="1">
        <f t="array" ref="N35">_xll.BDH("DE US Equity","IS_INC_TAX_EXP","FQ4 2021","FQ4 2021","Currency=USD","Period=FQ","BEST_FPERIOD_OVERRIDE=FQ","FILING_STATUS=MR","SCALING_FORMAT=MLN","FA_ADJUSTED=GAAP","Sort=A","Dates=H","DateFormat=P","Fill=—","Direction=H","UseDPDF=Y")</f>
        <v>330</v>
      </c>
      <c r="O35" s="13" cm="1">
        <f t="array" ref="O35">_xll.BDH("DE US Equity","IS_INC_TAX_EXP","FQ1 2022","FQ1 2022","Currency=USD","Period=FQ","BEST_FPERIOD_OVERRIDE=FQ","FILING_STATUS=MR","SCALING_FORMAT=MLN","FA_ADJUSTED=GAAP","Sort=A","Dates=H","DateFormat=P","Fill=—","Direction=H","UseDPDF=Y")</f>
        <v>250</v>
      </c>
      <c r="P35" s="13" cm="1">
        <f t="array" ref="P35">_xll.BDH("DE US Equity","IS_INC_TAX_EXP","FQ2 2022","FQ2 2022","Currency=USD","Period=FQ","BEST_FPERIOD_OVERRIDE=FQ","FILING_STATUS=MR","SCALING_FORMAT=MLN","FA_ADJUSTED=GAAP","Sort=A","Dates=H","DateFormat=P","Fill=—","Direction=H","UseDPDF=Y")</f>
        <v>461</v>
      </c>
      <c r="Q35" s="13" cm="1">
        <f t="array" ref="Q35">_xll.BDH("DE US Equity","IS_INC_TAX_EXP","FQ3 2022","FQ3 2022","Currency=USD","Period=FQ","BEST_FPERIOD_OVERRIDE=FQ","FILING_STATUS=MR","SCALING_FORMAT=MLN","FA_ADJUSTED=GAAP","Sort=A","Dates=H","DateFormat=P","Fill=—","Direction=H","UseDPDF=Y")</f>
        <v>654</v>
      </c>
      <c r="R35" s="13" cm="1">
        <f t="array" ref="R35">_xll.BDH("DE US Equity","IS_INC_TAX_EXP","FQ4 2022","FQ4 2022","Currency=USD","Period=FQ","BEST_FPERIOD_OVERRIDE=FQ","FILING_STATUS=MR","SCALING_FORMAT=MLN","FA_ADJUSTED=GAAP","Sort=A","Dates=H","DateFormat=P","Fill=—","Direction=H","UseDPDF=Y")</f>
        <v>643</v>
      </c>
      <c r="S35" s="13" cm="1">
        <f t="array" ref="S35">_xll.BDH("DE US Equity","IS_INC_TAX_EXP","FQ1 2023","FQ1 2023","Currency=USD","Period=FQ","BEST_FPERIOD_OVERRIDE=FQ","FILING_STATUS=MR","SCALING_FORMAT=MLN","FA_ADJUSTED=GAAP","Sort=A","Dates=H","DateFormat=P","Fill=—","Direction=H","UseDPDF=Y")</f>
        <v>537</v>
      </c>
      <c r="T35" s="13" cm="1">
        <f t="array" ref="T35">_xll.BDH("DE US Equity","IS_INC_TAX_EXP","FQ2 2023","FQ2 2023","Currency=USD","Period=FQ","BEST_FPERIOD_OVERRIDE=FQ","FILING_STATUS=MR","SCALING_FORMAT=MLN","FA_ADJUSTED=GAAP","Sort=A","Dates=H","DateFormat=P","Fill=—","Direction=H","UseDPDF=Y")</f>
        <v>991</v>
      </c>
      <c r="U35" s="13" cm="1">
        <f t="array" ref="U35">_xll.BDH("DE US Equity","IS_INC_TAX_EXP","FQ3 2023","FQ3 2023","Currency=USD","Period=FQ","BEST_FPERIOD_OVERRIDE=FQ","FILING_STATUS=MR","SCALING_FORMAT=MLN","FA_ADJUSTED=GAAP","Sort=A","Dates=H","DateFormat=P","Fill=—","Direction=H","UseDPDF=Y")</f>
        <v>636</v>
      </c>
      <c r="V35" s="13" cm="1">
        <f t="array" ref="V35">_xll.BDH("DE US Equity","IS_INC_TAX_EXP","FQ4 2023","FQ4 2023","Currency=USD","Period=FQ","BEST_FPERIOD_OVERRIDE=FQ","FILING_STATUS=MR","SCALING_FORMAT=MLN","FA_ADJUSTED=GAAP","Sort=A","Dates=H","DateFormat=P","Fill=—","Direction=H","UseDPDF=Y")</f>
        <v>707</v>
      </c>
      <c r="W35" s="13" cm="1">
        <f t="array" ref="W35">_xll.BDH("DE US Equity","IS_INC_TAX_EXP","FQ1 2024","FQ1 2024","Currency=USD","Period=FQ","BEST_FPERIOD_OVERRIDE=FQ","FILING_STATUS=MR","SCALING_FORMAT=MLN","FA_ADJUSTED=GAAP","Sort=A","Dates=H","DateFormat=P","Fill=—","Direction=H","UseDPDF=Y")</f>
        <v>469</v>
      </c>
      <c r="X35" s="13" cm="1">
        <f t="array" ref="X35">_xll.BDH("DE US Equity","IS_INC_TAX_EXP","FQ2 2024","FQ2 2024","Currency=USD","Period=FQ","BEST_FPERIOD_OVERRIDE=FQ","FILING_STATUS=MR","SCALING_FORMAT=MLN","FA_ADJUSTED=GAAP","Sort=A","Dates=H","DateFormat=P","Fill=—","Direction=H","UseDPDF=Y")</f>
        <v>751</v>
      </c>
      <c r="Y35" s="13" cm="1">
        <f t="array" ref="Y35">_xll.BDH("DE US Equity","IS_INC_TAX_EXP","FQ3 2024","FQ3 2024","Currency=USD","Period=FQ","BEST_FPERIOD_OVERRIDE=FQ","FILING_STATUS=MR","SCALING_FORMAT=MLN","FA_ADJUSTED=GAAP","Sort=A","Dates=H","DateFormat=P","Fill=—","Direction=H","UseDPDF=Y")</f>
        <v>625</v>
      </c>
      <c r="Z35" s="13" cm="1">
        <f t="array" ref="Z35">_xll.BDH("DE US Equity","IS_INC_TAX_EXP","FQ4 2024","FQ4 2024","Currency=USD","Period=FQ","BEST_FPERIOD_OVERRIDE=FQ","FILING_STATUS=MR","SCALING_FORMAT=MLN","FA_ADJUSTED=GAAP","Sort=A","Dates=H","DateFormat=P","Fill=—","Direction=H","UseDPDF=Y")</f>
        <v>248</v>
      </c>
      <c r="AA35" s="13" cm="1">
        <f t="array" ref="AA35">_xll.BDH("DE US Equity","IS_INC_TAX_EXP","FQ1 2025","FQ1 2025","Currency=USD","Period=FQ","BEST_FPERIOD_OVERRIDE=FQ","FILING_STATUS=MR","SCALING_FORMAT=MLN","FA_ADJUSTED=GAAP","Sort=A","Dates=H","DateFormat=P","Fill=—","Direction=H","UseDPDF=Y")</f>
        <v>27</v>
      </c>
      <c r="AB35" s="13" cm="1">
        <f t="array" ref="AB35">_xll.BDH("DE US Equity","IS_INC_TAX_EXP","FQ2 2025","FQ2 2025","Currency=USD","Period=FQ","BEST_FPERIOD_OVERRIDE=FQ","FILING_STATUS=MR","SCALING_FORMAT=MLN","FA_ADJUSTED=GAAP","Sort=A","Dates=H","DateFormat=P","Fill=—","Direction=H","UseDPDF=Y")</f>
        <v>539</v>
      </c>
      <c r="AC35" s="13" cm="1">
        <f t="array" ref="AC35">_xll.BDH("DE US Equity","IS_INC_TAX_EXP","FQ3 2025","FQ3 2025","Currency=USD","Period=FQ","BEST_FPERIOD_OVERRIDE=FQ","FILING_STATUS=MR","SCALING_FORMAT=MLN","FA_ADJUSTED=GAAP","Sort=A","Dates=H","DateFormat=P","Fill=—","Direction=H","UseDPDF=Y")</f>
        <v>339</v>
      </c>
      <c r="AD35" s="13" cm="1">
        <f t="array" ref="AD35">_xll.BDH("DE US Equity","IS_INC_TAX_EXP","FQ4 2025","FQ4 2025","Currency=USD","Period=FQ","BEST_FPERIOD_OVERRIDE=FQ","FILING_STATUS=MR","SCALING_FORMAT=MLN","FA_ADJUSTED=GAAP","Sort=A","Dates=H","DateFormat=P","Fill=—","Direction=H","UseDPDF=Y")</f>
        <v>354</v>
      </c>
      <c r="AE35" s="13"/>
      <c r="AF35" s="13"/>
    </row>
    <row r="36" spans="1:32" x14ac:dyDescent="0.25">
      <c r="A36" s="10" t="s">
        <v>124</v>
      </c>
      <c r="B36" s="10" t="s">
        <v>125</v>
      </c>
      <c r="C36" s="13" cm="1">
        <f t="array" ref="C36">_xll.BDH("DE US Equity","IS_SH_PRO_EQY_MT_INV_NET_OF_TAX","FQ1 2019","FQ1 2019","Currency=USD","Period=FQ","BEST_FPERIOD_OVERRIDE=FQ","FILING_STATUS=MR","SCALING_FORMAT=MLN","FA_ADJUSTED=GAAP","Sort=A","Dates=H","DateFormat=P","Fill=—","Direction=H","UseDPDF=Y")</f>
        <v>-7</v>
      </c>
      <c r="D36" s="13" cm="1">
        <f t="array" ref="D36">_xll.BDH("DE US Equity","IS_SH_PRO_EQY_MT_INV_NET_OF_TAX","FQ2 2019","FQ2 2019","Currency=USD","Period=FQ","BEST_FPERIOD_OVERRIDE=FQ","FILING_STATUS=MR","SCALING_FORMAT=MLN","FA_ADJUSTED=GAAP","Sort=A","Dates=H","DateFormat=P","Fill=—","Direction=H","UseDPDF=Y")</f>
        <v>-6</v>
      </c>
      <c r="E36" s="13" cm="1">
        <f t="array" ref="E36">_xll.BDH("DE US Equity","IS_SH_PRO_EQY_MT_INV_NET_OF_TAX","FQ3 2019","FQ3 2019","Currency=USD","Period=FQ","BEST_FPERIOD_OVERRIDE=FQ","FILING_STATUS=MR","SCALING_FORMAT=MLN","FA_ADJUSTED=GAAP","Sort=A","Dates=H","DateFormat=P","Fill=—","Direction=H","UseDPDF=Y")</f>
        <v>-7</v>
      </c>
      <c r="F36" s="13" cm="1">
        <f t="array" ref="F36">_xll.BDH("DE US Equity","IS_SH_PRO_EQY_MT_INV_NET_OF_TAX","FQ4 2019","FQ4 2019","Currency=USD","Period=FQ","BEST_FPERIOD_OVERRIDE=FQ","FILING_STATUS=MR","SCALING_FORMAT=MLN","FA_ADJUSTED=GAAP","Sort=A","Dates=H","DateFormat=P","Fill=—","Direction=H","UseDPDF=Y")</f>
        <v>-1</v>
      </c>
      <c r="G36" s="13" cm="1">
        <f t="array" ref="G36">_xll.BDH("DE US Equity","IS_SH_PRO_EQY_MT_INV_NET_OF_TAX","FQ1 2020","FQ1 2020","Currency=USD","Period=FQ","BEST_FPERIOD_OVERRIDE=FQ","FILING_STATUS=MR","SCALING_FORMAT=MLN","FA_ADJUSTED=GAAP","Sort=A","Dates=H","DateFormat=P","Fill=—","Direction=H","UseDPDF=Y")</f>
        <v>1</v>
      </c>
      <c r="H36" s="13" cm="1">
        <f t="array" ref="H36">_xll.BDH("DE US Equity","IS_SH_PRO_EQY_MT_INV_NET_OF_TAX","FQ2 2020","FQ2 2020","Currency=USD","Period=FQ","BEST_FPERIOD_OVERRIDE=FQ","FILING_STATUS=MR","SCALING_FORMAT=MLN","FA_ADJUSTED=GAAP","Sort=A","Dates=H","DateFormat=P","Fill=—","Direction=H","UseDPDF=Y")</f>
        <v>17</v>
      </c>
      <c r="I36" s="13" cm="1">
        <f t="array" ref="I36">_xll.BDH("DE US Equity","IS_SH_PRO_EQY_MT_INV_NET_OF_TAX","FQ3 2020","FQ3 2020","Currency=USD","Period=FQ","BEST_FPERIOD_OVERRIDE=FQ","FILING_STATUS=MR","SCALING_FORMAT=MLN","FA_ADJUSTED=GAAP","Sort=A","Dates=H","DateFormat=P","Fill=—","Direction=H","UseDPDF=Y")</f>
        <v>2</v>
      </c>
      <c r="J36" s="13" cm="1">
        <f t="array" ref="J36">_xll.BDH("DE US Equity","IS_SH_PRO_EQY_MT_INV_NET_OF_TAX","FQ4 2020","FQ4 2020","Currency=USD","Period=FQ","BEST_FPERIOD_OVERRIDE=FQ","FILING_STATUS=MR","SCALING_FORMAT=MLN","FA_ADJUSTED=GAAP","Sort=A","Dates=H","DateFormat=P","Fill=—","Direction=H","UseDPDF=Y")</f>
        <v>28</v>
      </c>
      <c r="K36" s="13" cm="1">
        <f t="array" ref="K36">_xll.BDH("DE US Equity","IS_SH_PRO_EQY_MT_INV_NET_OF_TAX","FQ1 2021","FQ1 2021","Currency=USD","Period=FQ","BEST_FPERIOD_OVERRIDE=FQ","FILING_STATUS=MR","SCALING_FORMAT=MLN","FA_ADJUSTED=GAAP","Sort=A","Dates=H","DateFormat=P","Fill=—","Direction=H","UseDPDF=Y")</f>
        <v>-4</v>
      </c>
      <c r="L36" s="13" cm="1">
        <f t="array" ref="L36">_xll.BDH("DE US Equity","IS_SH_PRO_EQY_MT_INV_NET_OF_TAX","FQ2 2021","FQ2 2021","Currency=USD","Period=FQ","BEST_FPERIOD_OVERRIDE=FQ","FILING_STATUS=MR","SCALING_FORMAT=MLN","FA_ADJUSTED=GAAP","Sort=A","Dates=H","DateFormat=P","Fill=—","Direction=H","UseDPDF=Y")</f>
        <v>-8</v>
      </c>
      <c r="M36" s="13" cm="1">
        <f t="array" ref="M36">_xll.BDH("DE US Equity","IS_SH_PRO_EQY_MT_INV_NET_OF_TAX","FQ3 2021","FQ3 2021","Currency=USD","Period=FQ","BEST_FPERIOD_OVERRIDE=FQ","FILING_STATUS=MR","SCALING_FORMAT=MLN","FA_ADJUSTED=GAAP","Sort=A","Dates=H","DateFormat=P","Fill=—","Direction=H","UseDPDF=Y")</f>
        <v>-8</v>
      </c>
      <c r="N36" s="13" cm="1">
        <f t="array" ref="N36">_xll.BDH("DE US Equity","IS_SH_PRO_EQY_MT_INV_NET_OF_TAX","FQ4 2021","FQ4 2021","Currency=USD","Period=FQ","BEST_FPERIOD_OVERRIDE=FQ","FILING_STATUS=MR","SCALING_FORMAT=MLN","FA_ADJUSTED=GAAP","Sort=A","Dates=H","DateFormat=P","Fill=—","Direction=H","UseDPDF=Y")</f>
        <v>0</v>
      </c>
      <c r="O36" s="13" cm="1">
        <f t="array" ref="O36">_xll.BDH("DE US Equity","IS_SH_PRO_EQY_MT_INV_NET_OF_TAX","FQ1 2022","FQ1 2022","Currency=USD","Period=FQ","BEST_FPERIOD_OVERRIDE=FQ","FILING_STATUS=MR","SCALING_FORMAT=MLN","FA_ADJUSTED=GAAP","Sort=A","Dates=H","DateFormat=P","Fill=—","Direction=H","UseDPDF=Y")</f>
        <v>-3</v>
      </c>
      <c r="P36" s="13" cm="1">
        <f t="array" ref="P36">_xll.BDH("DE US Equity","IS_SH_PRO_EQY_MT_INV_NET_OF_TAX","FQ2 2022","FQ2 2022","Currency=USD","Period=FQ","BEST_FPERIOD_OVERRIDE=FQ","FILING_STATUS=MR","SCALING_FORMAT=MLN","FA_ADJUSTED=GAAP","Sort=A","Dates=H","DateFormat=P","Fill=—","Direction=H","UseDPDF=Y")</f>
        <v>-6</v>
      </c>
      <c r="Q36" s="13" t="str" cm="1">
        <f t="array" ref="Q36">_xll.BDH("DE US Equity","IS_SH_PRO_EQY_MT_INV_NET_OF_TAX","FQ3 2022","FQ3 2022","Currency=USD","Period=FQ","BEST_FPERIOD_OVERRIDE=FQ","FILING_STATUS=MR","SCALING_FORMAT=MLN","FA_ADJUSTED=GAAP","Sort=A","Dates=H","DateFormat=P","Fill=—","Direction=H","UseDPDF=Y")</f>
        <v>—</v>
      </c>
      <c r="R36" s="13" cm="1">
        <f t="array" ref="R36">_xll.BDH("DE US Equity","IS_SH_PRO_EQY_MT_INV_NET_OF_TAX","FQ4 2022","FQ4 2022","Currency=USD","Period=FQ","BEST_FPERIOD_OVERRIDE=FQ","FILING_STATUS=MR","SCALING_FORMAT=MLN","FA_ADJUSTED=GAAP","Sort=A","Dates=H","DateFormat=P","Fill=—","Direction=H","UseDPDF=Y")</f>
        <v>-2</v>
      </c>
      <c r="S36" s="13" cm="1">
        <f t="array" ref="S36">_xll.BDH("DE US Equity","IS_SH_PRO_EQY_MT_INV_NET_OF_TAX","FQ1 2023","FQ1 2023","Currency=USD","Period=FQ","BEST_FPERIOD_OVERRIDE=FQ","FILING_STATUS=MR","SCALING_FORMAT=MLN","FA_ADJUSTED=GAAP","Sort=A","Dates=H","DateFormat=P","Fill=—","Direction=H","UseDPDF=Y")</f>
        <v>-1</v>
      </c>
      <c r="T36" s="13" cm="1">
        <f t="array" ref="T36">_xll.BDH("DE US Equity","IS_SH_PRO_EQY_MT_INV_NET_OF_TAX","FQ2 2023","FQ2 2023","Currency=USD","Period=FQ","BEST_FPERIOD_OVERRIDE=FQ","FILING_STATUS=MR","SCALING_FORMAT=MLN","FA_ADJUSTED=GAAP","Sort=A","Dates=H","DateFormat=P","Fill=—","Direction=H","UseDPDF=Y")</f>
        <v>-2</v>
      </c>
      <c r="U36" s="13" cm="1">
        <f t="array" ref="U36">_xll.BDH("DE US Equity","IS_SH_PRO_EQY_MT_INV_NET_OF_TAX","FQ3 2023","FQ3 2023","Currency=USD","Period=FQ","BEST_FPERIOD_OVERRIDE=FQ","FILING_STATUS=MR","SCALING_FORMAT=MLN","FA_ADJUSTED=GAAP","Sort=A","Dates=H","DateFormat=P","Fill=—","Direction=H","UseDPDF=Y")</f>
        <v>-2</v>
      </c>
      <c r="V36" s="13" cm="1">
        <f t="array" ref="V36">_xll.BDH("DE US Equity","IS_SH_PRO_EQY_MT_INV_NET_OF_TAX","FQ4 2023","FQ4 2023","Currency=USD","Period=FQ","BEST_FPERIOD_OVERRIDE=FQ","FILING_STATUS=MR","SCALING_FORMAT=MLN","FA_ADJUSTED=GAAP","Sort=A","Dates=H","DateFormat=P","Fill=—","Direction=H","UseDPDF=Y")</f>
        <v>-2</v>
      </c>
      <c r="W36" s="13" cm="1">
        <f t="array" ref="W36">_xll.BDH("DE US Equity","IS_SH_PRO_EQY_MT_INV_NET_OF_TAX","FQ1 2024","FQ1 2024","Currency=USD","Period=FQ","BEST_FPERIOD_OVERRIDE=FQ","FILING_STATUS=MR","SCALING_FORMAT=MLN","FA_ADJUSTED=GAAP","Sort=A","Dates=H","DateFormat=P","Fill=—","Direction=H","UseDPDF=Y")</f>
        <v>-2</v>
      </c>
      <c r="X36" s="13" cm="1">
        <f t="array" ref="X36">_xll.BDH("DE US Equity","IS_SH_PRO_EQY_MT_INV_NET_OF_TAX","FQ2 2024","FQ2 2024","Currency=USD","Period=FQ","BEST_FPERIOD_OVERRIDE=FQ","FILING_STATUS=MR","SCALING_FORMAT=MLN","FA_ADJUSTED=GAAP","Sort=A","Dates=H","DateFormat=P","Fill=—","Direction=H","UseDPDF=Y")</f>
        <v>-2</v>
      </c>
      <c r="Y36" s="13" cm="1">
        <f t="array" ref="Y36">_xll.BDH("DE US Equity","IS_SH_PRO_EQY_MT_INV_NET_OF_TAX","FQ3 2024","FQ3 2024","Currency=USD","Period=FQ","BEST_FPERIOD_OVERRIDE=FQ","FILING_STATUS=MR","SCALING_FORMAT=MLN","FA_ADJUSTED=GAAP","Sort=A","Dates=H","DateFormat=P","Fill=—","Direction=H","UseDPDF=Y")</f>
        <v>-1</v>
      </c>
      <c r="Z36" s="13" cm="1">
        <f t="array" ref="Z36">_xll.BDH("DE US Equity","IS_SH_PRO_EQY_MT_INV_NET_OF_TAX","FQ4 2024","FQ4 2024","Currency=USD","Period=FQ","BEST_FPERIOD_OVERRIDE=FQ","FILING_STATUS=MR","SCALING_FORMAT=MLN","FA_ADJUSTED=GAAP","Sort=A","Dates=H","DateFormat=P","Fill=—","Direction=H","UseDPDF=Y")</f>
        <v>28</v>
      </c>
      <c r="AA36" s="13" cm="1">
        <f t="array" ref="AA36">_xll.BDH("DE US Equity","IS_SH_PRO_EQY_MT_INV_NET_OF_TAX","FQ1 2025","FQ1 2025","Currency=USD","Period=FQ","BEST_FPERIOD_OVERRIDE=FQ","FILING_STATUS=MR","SCALING_FORMAT=MLN","FA_ADJUSTED=GAAP","Sort=A","Dates=H","DateFormat=P","Fill=—","Direction=H","UseDPDF=Y")</f>
        <v>1</v>
      </c>
      <c r="AB36" s="13" cm="1">
        <f t="array" ref="AB36">_xll.BDH("DE US Equity","IS_SH_PRO_EQY_MT_INV_NET_OF_TAX","FQ2 2025","FQ2 2025","Currency=USD","Period=FQ","BEST_FPERIOD_OVERRIDE=FQ","FILING_STATUS=MR","SCALING_FORMAT=MLN","FA_ADJUSTED=GAAP","Sort=A","Dates=H","DateFormat=P","Fill=—","Direction=H","UseDPDF=Y")</f>
        <v>-3</v>
      </c>
      <c r="AC36" s="13" cm="1">
        <f t="array" ref="AC36">_xll.BDH("DE US Equity","IS_SH_PRO_EQY_MT_INV_NET_OF_TAX","FQ3 2025","FQ3 2025","Currency=USD","Period=FQ","BEST_FPERIOD_OVERRIDE=FQ","FILING_STATUS=MR","SCALING_FORMAT=MLN","FA_ADJUSTED=GAAP","Sort=A","Dates=H","DateFormat=P","Fill=—","Direction=H","UseDPDF=Y")</f>
        <v>-10</v>
      </c>
      <c r="AD36" s="13" cm="1">
        <f t="array" ref="AD36">_xll.BDH("DE US Equity","IS_SH_PRO_EQY_MT_INV_NET_OF_TAX","FQ4 2025","FQ4 2025","Currency=USD","Period=FQ","BEST_FPERIOD_OVERRIDE=FQ","FILING_STATUS=MR","SCALING_FORMAT=MLN","FA_ADJUSTED=GAAP","Sort=A","Dates=H","DateFormat=P","Fill=—","Direction=H","UseDPDF=Y")</f>
        <v>10</v>
      </c>
      <c r="AE36" s="13"/>
      <c r="AF36" s="13"/>
    </row>
    <row r="37" spans="1:32" x14ac:dyDescent="0.25">
      <c r="A37" s="6" t="s">
        <v>126</v>
      </c>
      <c r="B37" s="6" t="s">
        <v>127</v>
      </c>
      <c r="C37" s="16" cm="1">
        <f t="array" ref="C37">_xll.BDH("DE US Equity","IS_INC_BEF_XO_ITEM","FQ1 2019","FQ1 2019","Currency=USD","Period=FQ","BEST_FPERIOD_OVERRIDE=FQ","FILING_STATUS=MR","SCALING_FORMAT=MLN","Sort=A","Dates=H","DateFormat=P","Fill=—","Direction=H","UseDPDF=Y")</f>
        <v>500</v>
      </c>
      <c r="D37" s="16" cm="1">
        <f t="array" ref="D37">_xll.BDH("DE US Equity","IS_INC_BEF_XO_ITEM","FQ2 2019","FQ2 2019","Currency=USD","Period=FQ","BEST_FPERIOD_OVERRIDE=FQ","FILING_STATUS=MR","SCALING_FORMAT=MLN","Sort=A","Dates=H","DateFormat=P","Fill=—","Direction=H","UseDPDF=Y")</f>
        <v>1136</v>
      </c>
      <c r="E37" s="16" cm="1">
        <f t="array" ref="E37">_xll.BDH("DE US Equity","IS_INC_BEF_XO_ITEM","FQ3 2019","FQ3 2019","Currency=USD","Period=FQ","BEST_FPERIOD_OVERRIDE=FQ","FILING_STATUS=MR","SCALING_FORMAT=MLN","Sort=A","Dates=H","DateFormat=P","Fill=—","Direction=H","UseDPDF=Y")</f>
        <v>899</v>
      </c>
      <c r="F37" s="16" cm="1">
        <f t="array" ref="F37">_xll.BDH("DE US Equity","IS_INC_BEF_XO_ITEM","FQ4 2019","FQ4 2019","Currency=USD","Period=FQ","BEST_FPERIOD_OVERRIDE=FQ","FILING_STATUS=MR","SCALING_FORMAT=MLN","Sort=A","Dates=H","DateFormat=P","Fill=—","Direction=H","UseDPDF=Y")</f>
        <v>722</v>
      </c>
      <c r="G37" s="16" cm="1">
        <f t="array" ref="G37">_xll.BDH("DE US Equity","IS_INC_BEF_XO_ITEM","FQ1 2020","FQ1 2020","Currency=USD","Period=FQ","BEST_FPERIOD_OVERRIDE=FQ","FILING_STATUS=MR","SCALING_FORMAT=MLN","Sort=A","Dates=H","DateFormat=P","Fill=—","Direction=H","UseDPDF=Y")</f>
        <v>518</v>
      </c>
      <c r="H37" s="16" cm="1">
        <f t="array" ref="H37">_xll.BDH("DE US Equity","IS_INC_BEF_XO_ITEM","FQ2 2020","FQ2 2020","Currency=USD","Period=FQ","BEST_FPERIOD_OVERRIDE=FQ","FILING_STATUS=MR","SCALING_FORMAT=MLN","Sort=A","Dates=H","DateFormat=P","Fill=—","Direction=H","UseDPDF=Y")</f>
        <v>666</v>
      </c>
      <c r="I37" s="16" cm="1">
        <f t="array" ref="I37">_xll.BDH("DE US Equity","IS_INC_BEF_XO_ITEM","FQ3 2020","FQ3 2020","Currency=USD","Period=FQ","BEST_FPERIOD_OVERRIDE=FQ","FILING_STATUS=MR","SCALING_FORMAT=MLN","Sort=A","Dates=H","DateFormat=P","Fill=—","Direction=H","UseDPDF=Y")</f>
        <v>811</v>
      </c>
      <c r="J37" s="16" cm="1">
        <f t="array" ref="J37">_xll.BDH("DE US Equity","IS_INC_BEF_XO_ITEM","FQ4 2020","FQ4 2020","Currency=USD","Period=FQ","BEST_FPERIOD_OVERRIDE=FQ","FILING_STATUS=MR","SCALING_FORMAT=MLN","Sort=A","Dates=H","DateFormat=P","Fill=—","Direction=H","UseDPDF=Y")</f>
        <v>758</v>
      </c>
      <c r="K37" s="16" cm="1">
        <f t="array" ref="K37">_xll.BDH("DE US Equity","IS_INC_BEF_XO_ITEM","FQ1 2021","FQ1 2021","Currency=USD","Period=FQ","BEST_FPERIOD_OVERRIDE=FQ","FILING_STATUS=MR","SCALING_FORMAT=MLN","Sort=A","Dates=H","DateFormat=P","Fill=—","Direction=H","UseDPDF=Y")</f>
        <v>1224</v>
      </c>
      <c r="L37" s="16" cm="1">
        <f t="array" ref="L37">_xll.BDH("DE US Equity","IS_INC_BEF_XO_ITEM","FQ2 2021","FQ2 2021","Currency=USD","Period=FQ","BEST_FPERIOD_OVERRIDE=FQ","FILING_STATUS=MR","SCALING_FORMAT=MLN","Sort=A","Dates=H","DateFormat=P","Fill=—","Direction=H","UseDPDF=Y")</f>
        <v>1790</v>
      </c>
      <c r="M37" s="16" cm="1">
        <f t="array" ref="M37">_xll.BDH("DE US Equity","IS_INC_BEF_XO_ITEM","FQ3 2021","FQ3 2021","Currency=USD","Period=FQ","BEST_FPERIOD_OVERRIDE=FQ","FILING_STATUS=MR","SCALING_FORMAT=MLN","Sort=A","Dates=H","DateFormat=P","Fill=—","Direction=H","UseDPDF=Y")</f>
        <v>1667</v>
      </c>
      <c r="N37" s="16" cm="1">
        <f t="array" ref="N37">_xll.BDH("DE US Equity","IS_INC_BEF_XO_ITEM","FQ4 2021","FQ4 2021","Currency=USD","Period=FQ","BEST_FPERIOD_OVERRIDE=FQ","FILING_STATUS=MR","SCALING_FORMAT=MLN","Sort=A","Dates=H","DateFormat=P","Fill=—","Direction=H","UseDPDF=Y")</f>
        <v>1283</v>
      </c>
      <c r="O37" s="16" cm="1">
        <f t="array" ref="O37">_xll.BDH("DE US Equity","IS_INC_BEF_XO_ITEM","FQ1 2022","FQ1 2022","Currency=USD","Period=FQ","BEST_FPERIOD_OVERRIDE=FQ","FILING_STATUS=MR","SCALING_FORMAT=MLN","Sort=A","Dates=H","DateFormat=P","Fill=—","Direction=H","UseDPDF=Y")</f>
        <v>904</v>
      </c>
      <c r="P37" s="16" cm="1">
        <f t="array" ref="P37">_xll.BDH("DE US Equity","IS_INC_BEF_XO_ITEM","FQ2 2022","FQ2 2022","Currency=USD","Period=FQ","BEST_FPERIOD_OVERRIDE=FQ","FILING_STATUS=MR","SCALING_FORMAT=MLN","Sort=A","Dates=H","DateFormat=P","Fill=—","Direction=H","UseDPDF=Y")</f>
        <v>2097</v>
      </c>
      <c r="Q37" s="16" cm="1">
        <f t="array" ref="Q37">_xll.BDH("DE US Equity","IS_INC_BEF_XO_ITEM","FQ3 2022","FQ3 2022","Currency=USD","Period=FQ","BEST_FPERIOD_OVERRIDE=FQ","FILING_STATUS=MR","SCALING_FORMAT=MLN","Sort=A","Dates=H","DateFormat=P","Fill=—","Direction=H","UseDPDF=Y")</f>
        <v>1885</v>
      </c>
      <c r="R37" s="16" cm="1">
        <f t="array" ref="R37">_xll.BDH("DE US Equity","IS_INC_BEF_XO_ITEM","FQ4 2022","FQ4 2022","Currency=USD","Period=FQ","BEST_FPERIOD_OVERRIDE=FQ","FILING_STATUS=MR","SCALING_FORMAT=MLN","Sort=A","Dates=H","DateFormat=P","Fill=—","Direction=H","UseDPDF=Y")</f>
        <v>2244</v>
      </c>
      <c r="S37" s="16" cm="1">
        <f t="array" ref="S37">_xll.BDH("DE US Equity","IS_INC_BEF_XO_ITEM","FQ1 2023","FQ1 2023","Currency=USD","Period=FQ","BEST_FPERIOD_OVERRIDE=FQ","FILING_STATUS=MR","SCALING_FORMAT=MLN","Sort=A","Dates=H","DateFormat=P","Fill=—","Direction=H","UseDPDF=Y")</f>
        <v>1957</v>
      </c>
      <c r="T37" s="16" cm="1">
        <f t="array" ref="T37">_xll.BDH("DE US Equity","IS_INC_BEF_XO_ITEM","FQ2 2023","FQ2 2023","Currency=USD","Period=FQ","BEST_FPERIOD_OVERRIDE=FQ","FILING_STATUS=MR","SCALING_FORMAT=MLN","Sort=A","Dates=H","DateFormat=P","Fill=—","Direction=H","UseDPDF=Y")</f>
        <v>2859</v>
      </c>
      <c r="U37" s="16" cm="1">
        <f t="array" ref="U37">_xll.BDH("DE US Equity","IS_INC_BEF_XO_ITEM","FQ3 2023","FQ3 2023","Currency=USD","Period=FQ","BEST_FPERIOD_OVERRIDE=FQ","FILING_STATUS=MR","SCALING_FORMAT=MLN","Sort=A","Dates=H","DateFormat=P","Fill=—","Direction=H","UseDPDF=Y")</f>
        <v>2972</v>
      </c>
      <c r="V37" s="16" cm="1">
        <f t="array" ref="V37">_xll.BDH("DE US Equity","IS_INC_BEF_XO_ITEM","FQ4 2023","FQ4 2023","Currency=USD","Period=FQ","BEST_FPERIOD_OVERRIDE=FQ","FILING_STATUS=MR","SCALING_FORMAT=MLN","Sort=A","Dates=H","DateFormat=P","Fill=—","Direction=H","UseDPDF=Y")</f>
        <v>2368</v>
      </c>
      <c r="W37" s="16" cm="1">
        <f t="array" ref="W37">_xll.BDH("DE US Equity","IS_INC_BEF_XO_ITEM","FQ1 2024","FQ1 2024","Currency=USD","Period=FQ","BEST_FPERIOD_OVERRIDE=FQ","FILING_STATUS=MR","SCALING_FORMAT=MLN","Sort=A","Dates=H","DateFormat=P","Fill=—","Direction=H","UseDPDF=Y")</f>
        <v>1748</v>
      </c>
      <c r="X37" s="16" cm="1">
        <f t="array" ref="X37">_xll.BDH("DE US Equity","IS_INC_BEF_XO_ITEM","FQ2 2024","FQ2 2024","Currency=USD","Period=FQ","BEST_FPERIOD_OVERRIDE=FQ","FILING_STATUS=MR","SCALING_FORMAT=MLN","Sort=A","Dates=H","DateFormat=P","Fill=—","Direction=H","UseDPDF=Y")</f>
        <v>2368</v>
      </c>
      <c r="Y37" s="16" cm="1">
        <f t="array" ref="Y37">_xll.BDH("DE US Equity","IS_INC_BEF_XO_ITEM","FQ3 2024","FQ3 2024","Currency=USD","Period=FQ","BEST_FPERIOD_OVERRIDE=FQ","FILING_STATUS=MR","SCALING_FORMAT=MLN","Sort=A","Dates=H","DateFormat=P","Fill=—","Direction=H","UseDPDF=Y")</f>
        <v>1731</v>
      </c>
      <c r="Z37" s="16" cm="1">
        <f t="array" ref="Z37">_xll.BDH("DE US Equity","IS_INC_BEF_XO_ITEM","FQ4 2024","FQ4 2024","Currency=USD","Period=FQ","BEST_FPERIOD_OVERRIDE=FQ","FILING_STATUS=MR","SCALING_FORMAT=MLN","Sort=A","Dates=H","DateFormat=P","Fill=—","Direction=H","UseDPDF=Y")</f>
        <v>1242</v>
      </c>
      <c r="AA37" s="16" cm="1">
        <f t="array" ref="AA37">_xll.BDH("DE US Equity","IS_INC_BEF_XO_ITEM","FQ1 2025","FQ1 2025","Currency=USD","Period=FQ","BEST_FPERIOD_OVERRIDE=FQ","FILING_STATUS=MR","SCALING_FORMAT=MLN","Sort=A","Dates=H","DateFormat=P","Fill=—","Direction=H","UseDPDF=Y")</f>
        <v>867</v>
      </c>
      <c r="AB37" s="16" cm="1">
        <f t="array" ref="AB37">_xll.BDH("DE US Equity","IS_INC_BEF_XO_ITEM","FQ2 2025","FQ2 2025","Currency=USD","Period=FQ","BEST_FPERIOD_OVERRIDE=FQ","FILING_STATUS=MR","SCALING_FORMAT=MLN","Sort=A","Dates=H","DateFormat=P","Fill=—","Direction=H","UseDPDF=Y")</f>
        <v>1801</v>
      </c>
      <c r="AC37" s="16" cm="1">
        <f t="array" ref="AC37">_xll.BDH("DE US Equity","IS_INC_BEF_XO_ITEM","FQ3 2025","FQ3 2025","Currency=USD","Period=FQ","BEST_FPERIOD_OVERRIDE=FQ","FILING_STATUS=MR","SCALING_FORMAT=MLN","Sort=A","Dates=H","DateFormat=P","Fill=—","Direction=H","UseDPDF=Y")</f>
        <v>1271</v>
      </c>
      <c r="AD37" s="16" cm="1">
        <f t="array" ref="AD37">_xll.BDH("DE US Equity","IS_INC_BEF_XO_ITEM","FQ4 2025","FQ4 2025","Currency=USD","Period=FQ","BEST_FPERIOD_OVERRIDE=FQ","FILING_STATUS=MR","SCALING_FORMAT=MLN","Sort=A","Dates=H","DateFormat=P","Fill=—","Direction=H","UseDPDF=Y")</f>
        <v>1060</v>
      </c>
      <c r="AE37" s="16">
        <v>560.06299999999999</v>
      </c>
      <c r="AF37" s="16">
        <v>1467.75</v>
      </c>
    </row>
    <row r="38" spans="1:32" x14ac:dyDescent="0.25">
      <c r="A38" s="10" t="s">
        <v>128</v>
      </c>
      <c r="B38" s="10" t="s">
        <v>129</v>
      </c>
      <c r="C38" s="13" cm="1">
        <f t="array" ref="C38">_xll.BDH("DE US Equity","XO_GL_NET_OF_TAX","FQ1 2019","FQ1 2019","Currency=USD","Period=FQ","BEST_FPERIOD_OVERRIDE=FQ","FILING_STATUS=MR","SCALING_FORMAT=MLN","Sort=A","Dates=H","DateFormat=P","Fill=—","Direction=H","UseDPDF=Y")</f>
        <v>0</v>
      </c>
      <c r="D38" s="13" cm="1">
        <f t="array" ref="D38">_xll.BDH("DE US Equity","XO_GL_NET_OF_TAX","FQ2 2019","FQ2 2019","Currency=USD","Period=FQ","BEST_FPERIOD_OVERRIDE=FQ","FILING_STATUS=MR","SCALING_FORMAT=MLN","Sort=A","Dates=H","DateFormat=P","Fill=—","Direction=H","UseDPDF=Y")</f>
        <v>0</v>
      </c>
      <c r="E38" s="13" cm="1">
        <f t="array" ref="E38">_xll.BDH("DE US Equity","XO_GL_NET_OF_TAX","FQ3 2019","FQ3 2019","Currency=USD","Period=FQ","BEST_FPERIOD_OVERRIDE=FQ","FILING_STATUS=MR","SCALING_FORMAT=MLN","Sort=A","Dates=H","DateFormat=P","Fill=—","Direction=H","UseDPDF=Y")</f>
        <v>0</v>
      </c>
      <c r="F38" s="13" cm="1">
        <f t="array" ref="F38">_xll.BDH("DE US Equity","XO_GL_NET_OF_TAX","FQ4 2019","FQ4 2019","Currency=USD","Period=FQ","BEST_FPERIOD_OVERRIDE=FQ","FILING_STATUS=MR","SCALING_FORMAT=MLN","Sort=A","Dates=H","DateFormat=P","Fill=—","Direction=H","UseDPDF=Y")</f>
        <v>0</v>
      </c>
      <c r="G38" s="13" cm="1">
        <f t="array" ref="G38">_xll.BDH("DE US Equity","XO_GL_NET_OF_TAX","FQ1 2020","FQ1 2020","Currency=USD","Period=FQ","BEST_FPERIOD_OVERRIDE=FQ","FILING_STATUS=MR","SCALING_FORMAT=MLN","Sort=A","Dates=H","DateFormat=P","Fill=—","Direction=H","UseDPDF=Y")</f>
        <v>0</v>
      </c>
      <c r="H38" s="13" cm="1">
        <f t="array" ref="H38">_xll.BDH("DE US Equity","XO_GL_NET_OF_TAX","FQ2 2020","FQ2 2020","Currency=USD","Period=FQ","BEST_FPERIOD_OVERRIDE=FQ","FILING_STATUS=MR","SCALING_FORMAT=MLN","Sort=A","Dates=H","DateFormat=P","Fill=—","Direction=H","UseDPDF=Y")</f>
        <v>0</v>
      </c>
      <c r="I38" s="13" cm="1">
        <f t="array" ref="I38">_xll.BDH("DE US Equity","XO_GL_NET_OF_TAX","FQ3 2020","FQ3 2020","Currency=USD","Period=FQ","BEST_FPERIOD_OVERRIDE=FQ","FILING_STATUS=MR","SCALING_FORMAT=MLN","Sort=A","Dates=H","DateFormat=P","Fill=—","Direction=H","UseDPDF=Y")</f>
        <v>0</v>
      </c>
      <c r="J38" s="13" cm="1">
        <f t="array" ref="J38">_xll.BDH("DE US Equity","XO_GL_NET_OF_TAX","FQ4 2020","FQ4 2020","Currency=USD","Period=FQ","BEST_FPERIOD_OVERRIDE=FQ","FILING_STATUS=MR","SCALING_FORMAT=MLN","Sort=A","Dates=H","DateFormat=P","Fill=—","Direction=H","UseDPDF=Y")</f>
        <v>0</v>
      </c>
      <c r="K38" s="13" cm="1">
        <f t="array" ref="K38">_xll.BDH("DE US Equity","XO_GL_NET_OF_TAX","FQ1 2021","FQ1 2021","Currency=USD","Period=FQ","BEST_FPERIOD_OVERRIDE=FQ","FILING_STATUS=MR","SCALING_FORMAT=MLN","Sort=A","Dates=H","DateFormat=P","Fill=—","Direction=H","UseDPDF=Y")</f>
        <v>0</v>
      </c>
      <c r="L38" s="13" cm="1">
        <f t="array" ref="L38">_xll.BDH("DE US Equity","XO_GL_NET_OF_TAX","FQ2 2021","FQ2 2021","Currency=USD","Period=FQ","BEST_FPERIOD_OVERRIDE=FQ","FILING_STATUS=MR","SCALING_FORMAT=MLN","Sort=A","Dates=H","DateFormat=P","Fill=—","Direction=H","UseDPDF=Y")</f>
        <v>0</v>
      </c>
      <c r="M38" s="13" cm="1">
        <f t="array" ref="M38">_xll.BDH("DE US Equity","XO_GL_NET_OF_TAX","FQ3 2021","FQ3 2021","Currency=USD","Period=FQ","BEST_FPERIOD_OVERRIDE=FQ","FILING_STATUS=MR","SCALING_FORMAT=MLN","Sort=A","Dates=H","DateFormat=P","Fill=—","Direction=H","UseDPDF=Y")</f>
        <v>0</v>
      </c>
      <c r="N38" s="13" cm="1">
        <f t="array" ref="N38">_xll.BDH("DE US Equity","XO_GL_NET_OF_TAX","FQ4 2021","FQ4 2021","Currency=USD","Period=FQ","BEST_FPERIOD_OVERRIDE=FQ","FILING_STATUS=MR","SCALING_FORMAT=MLN","Sort=A","Dates=H","DateFormat=P","Fill=—","Direction=H","UseDPDF=Y")</f>
        <v>0</v>
      </c>
      <c r="O38" s="13" cm="1">
        <f t="array" ref="O38">_xll.BDH("DE US Equity","XO_GL_NET_OF_TAX","FQ1 2022","FQ1 2022","Currency=USD","Period=FQ","BEST_FPERIOD_OVERRIDE=FQ","FILING_STATUS=MR","SCALING_FORMAT=MLN","Sort=A","Dates=H","DateFormat=P","Fill=—","Direction=H","UseDPDF=Y")</f>
        <v>0</v>
      </c>
      <c r="P38" s="13" cm="1">
        <f t="array" ref="P38">_xll.BDH("DE US Equity","XO_GL_NET_OF_TAX","FQ2 2022","FQ2 2022","Currency=USD","Period=FQ","BEST_FPERIOD_OVERRIDE=FQ","FILING_STATUS=MR","SCALING_FORMAT=MLN","Sort=A","Dates=H","DateFormat=P","Fill=—","Direction=H","UseDPDF=Y")</f>
        <v>0</v>
      </c>
      <c r="Q38" s="13" cm="1">
        <f t="array" ref="Q38">_xll.BDH("DE US Equity","XO_GL_NET_OF_TAX","FQ3 2022","FQ3 2022","Currency=USD","Period=FQ","BEST_FPERIOD_OVERRIDE=FQ","FILING_STATUS=MR","SCALING_FORMAT=MLN","Sort=A","Dates=H","DateFormat=P","Fill=—","Direction=H","UseDPDF=Y")</f>
        <v>0</v>
      </c>
      <c r="R38" s="13" cm="1">
        <f t="array" ref="R38">_xll.BDH("DE US Equity","XO_GL_NET_OF_TAX","FQ4 2022","FQ4 2022","Currency=USD","Period=FQ","BEST_FPERIOD_OVERRIDE=FQ","FILING_STATUS=MR","SCALING_FORMAT=MLN","Sort=A","Dates=H","DateFormat=P","Fill=—","Direction=H","UseDPDF=Y")</f>
        <v>0</v>
      </c>
      <c r="S38" s="13" cm="1">
        <f t="array" ref="S38">_xll.BDH("DE US Equity","XO_GL_NET_OF_TAX","FQ1 2023","FQ1 2023","Currency=USD","Period=FQ","BEST_FPERIOD_OVERRIDE=FQ","FILING_STATUS=MR","SCALING_FORMAT=MLN","Sort=A","Dates=H","DateFormat=P","Fill=—","Direction=H","UseDPDF=Y")</f>
        <v>0</v>
      </c>
      <c r="T38" s="13" cm="1">
        <f t="array" ref="T38">_xll.BDH("DE US Equity","XO_GL_NET_OF_TAX","FQ2 2023","FQ2 2023","Currency=USD","Period=FQ","BEST_FPERIOD_OVERRIDE=FQ","FILING_STATUS=MR","SCALING_FORMAT=MLN","Sort=A","Dates=H","DateFormat=P","Fill=—","Direction=H","UseDPDF=Y")</f>
        <v>0</v>
      </c>
      <c r="U38" s="13" cm="1">
        <f t="array" ref="U38">_xll.BDH("DE US Equity","XO_GL_NET_OF_TAX","FQ3 2023","FQ3 2023","Currency=USD","Period=FQ","BEST_FPERIOD_OVERRIDE=FQ","FILING_STATUS=MR","SCALING_FORMAT=MLN","Sort=A","Dates=H","DateFormat=P","Fill=—","Direction=H","UseDPDF=Y")</f>
        <v>0</v>
      </c>
      <c r="V38" s="13" cm="1">
        <f t="array" ref="V38">_xll.BDH("DE US Equity","XO_GL_NET_OF_TAX","FQ4 2023","FQ4 2023","Currency=USD","Period=FQ","BEST_FPERIOD_OVERRIDE=FQ","FILING_STATUS=MR","SCALING_FORMAT=MLN","Sort=A","Dates=H","DateFormat=P","Fill=—","Direction=H","UseDPDF=Y")</f>
        <v>0</v>
      </c>
      <c r="W38" s="13" cm="1">
        <f t="array" ref="W38">_xll.BDH("DE US Equity","XO_GL_NET_OF_TAX","FQ1 2024","FQ1 2024","Currency=USD","Period=FQ","BEST_FPERIOD_OVERRIDE=FQ","FILING_STATUS=MR","SCALING_FORMAT=MLN","Sort=A","Dates=H","DateFormat=P","Fill=—","Direction=H","UseDPDF=Y")</f>
        <v>0</v>
      </c>
      <c r="X38" s="13" cm="1">
        <f t="array" ref="X38">_xll.BDH("DE US Equity","XO_GL_NET_OF_TAX","FQ2 2024","FQ2 2024","Currency=USD","Period=FQ","BEST_FPERIOD_OVERRIDE=FQ","FILING_STATUS=MR","SCALING_FORMAT=MLN","Sort=A","Dates=H","DateFormat=P","Fill=—","Direction=H","UseDPDF=Y")</f>
        <v>0</v>
      </c>
      <c r="Y38" s="13" cm="1">
        <f t="array" ref="Y38">_xll.BDH("DE US Equity","XO_GL_NET_OF_TAX","FQ3 2024","FQ3 2024","Currency=USD","Period=FQ","BEST_FPERIOD_OVERRIDE=FQ","FILING_STATUS=MR","SCALING_FORMAT=MLN","Sort=A","Dates=H","DateFormat=P","Fill=—","Direction=H","UseDPDF=Y")</f>
        <v>0</v>
      </c>
      <c r="Z38" s="13" cm="1">
        <f t="array" ref="Z38">_xll.BDH("DE US Equity","XO_GL_NET_OF_TAX","FQ4 2024","FQ4 2024","Currency=USD","Period=FQ","BEST_FPERIOD_OVERRIDE=FQ","FILING_STATUS=MR","SCALING_FORMAT=MLN","Sort=A","Dates=H","DateFormat=P","Fill=—","Direction=H","UseDPDF=Y")</f>
        <v>0</v>
      </c>
      <c r="AA38" s="13" cm="1">
        <f t="array" ref="AA38">_xll.BDH("DE US Equity","XO_GL_NET_OF_TAX","FQ1 2025","FQ1 2025","Currency=USD","Period=FQ","BEST_FPERIOD_OVERRIDE=FQ","FILING_STATUS=MR","SCALING_FORMAT=MLN","Sort=A","Dates=H","DateFormat=P","Fill=—","Direction=H","UseDPDF=Y")</f>
        <v>0</v>
      </c>
      <c r="AB38" s="13" cm="1">
        <f t="array" ref="AB38">_xll.BDH("DE US Equity","XO_GL_NET_OF_TAX","FQ2 2025","FQ2 2025","Currency=USD","Period=FQ","BEST_FPERIOD_OVERRIDE=FQ","FILING_STATUS=MR","SCALING_FORMAT=MLN","Sort=A","Dates=H","DateFormat=P","Fill=—","Direction=H","UseDPDF=Y")</f>
        <v>0</v>
      </c>
      <c r="AC38" s="13" cm="1">
        <f t="array" ref="AC38">_xll.BDH("DE US Equity","XO_GL_NET_OF_TAX","FQ3 2025","FQ3 2025","Currency=USD","Period=FQ","BEST_FPERIOD_OVERRIDE=FQ","FILING_STATUS=MR","SCALING_FORMAT=MLN","Sort=A","Dates=H","DateFormat=P","Fill=—","Direction=H","UseDPDF=Y")</f>
        <v>0</v>
      </c>
      <c r="AD38" s="13" cm="1">
        <f t="array" ref="AD38">_xll.BDH("DE US Equity","XO_GL_NET_OF_TAX","FQ4 2025","FQ4 2025","Currency=USD","Period=FQ","BEST_FPERIOD_OVERRIDE=FQ","FILING_STATUS=MR","SCALING_FORMAT=MLN","Sort=A","Dates=H","DateFormat=P","Fill=—","Direction=H","UseDPDF=Y")</f>
        <v>0</v>
      </c>
      <c r="AE38" s="13"/>
      <c r="AF38" s="13"/>
    </row>
    <row r="39" spans="1:32" x14ac:dyDescent="0.25">
      <c r="A39" s="10" t="s">
        <v>130</v>
      </c>
      <c r="B39" s="10" t="s">
        <v>131</v>
      </c>
      <c r="C39" s="13" cm="1">
        <f t="array" ref="C39">_xll.BDH("DE US Equity","IS_DISCONTINUED_OPERATIONS","FQ1 2019","FQ1 2019","Currency=USD","Period=FQ","BEST_FPERIOD_OVERRIDE=FQ","FILING_STATUS=MR","SCALING_FORMAT=MLN","Sort=A","Dates=H","DateFormat=P","Fill=—","Direction=H","UseDPDF=Y")</f>
        <v>0</v>
      </c>
      <c r="D39" s="13" cm="1">
        <f t="array" ref="D39">_xll.BDH("DE US Equity","IS_DISCONTINUED_OPERATIONS","FQ2 2019","FQ2 2019","Currency=USD","Period=FQ","BEST_FPERIOD_OVERRIDE=FQ","FILING_STATUS=MR","SCALING_FORMAT=MLN","Sort=A","Dates=H","DateFormat=P","Fill=—","Direction=H","UseDPDF=Y")</f>
        <v>0</v>
      </c>
      <c r="E39" s="13" cm="1">
        <f t="array" ref="E39">_xll.BDH("DE US Equity","IS_DISCONTINUED_OPERATIONS","FQ3 2019","FQ3 2019","Currency=USD","Period=FQ","BEST_FPERIOD_OVERRIDE=FQ","FILING_STATUS=MR","SCALING_FORMAT=MLN","Sort=A","Dates=H","DateFormat=P","Fill=—","Direction=H","UseDPDF=Y")</f>
        <v>0</v>
      </c>
      <c r="F39" s="13" cm="1">
        <f t="array" ref="F39">_xll.BDH("DE US Equity","IS_DISCONTINUED_OPERATIONS","FQ4 2019","FQ4 2019","Currency=USD","Period=FQ","BEST_FPERIOD_OVERRIDE=FQ","FILING_STATUS=MR","SCALING_FORMAT=MLN","Sort=A","Dates=H","DateFormat=P","Fill=—","Direction=H","UseDPDF=Y")</f>
        <v>0</v>
      </c>
      <c r="G39" s="13" cm="1">
        <f t="array" ref="G39">_xll.BDH("DE US Equity","IS_DISCONTINUED_OPERATIONS","FQ1 2020","FQ1 2020","Currency=USD","Period=FQ","BEST_FPERIOD_OVERRIDE=FQ","FILING_STATUS=MR","SCALING_FORMAT=MLN","Sort=A","Dates=H","DateFormat=P","Fill=—","Direction=H","UseDPDF=Y")</f>
        <v>0</v>
      </c>
      <c r="H39" s="13" cm="1">
        <f t="array" ref="H39">_xll.BDH("DE US Equity","IS_DISCONTINUED_OPERATIONS","FQ2 2020","FQ2 2020","Currency=USD","Period=FQ","BEST_FPERIOD_OVERRIDE=FQ","FILING_STATUS=MR","SCALING_FORMAT=MLN","Sort=A","Dates=H","DateFormat=P","Fill=—","Direction=H","UseDPDF=Y")</f>
        <v>0</v>
      </c>
      <c r="I39" s="13" cm="1">
        <f t="array" ref="I39">_xll.BDH("DE US Equity","IS_DISCONTINUED_OPERATIONS","FQ3 2020","FQ3 2020","Currency=USD","Period=FQ","BEST_FPERIOD_OVERRIDE=FQ","FILING_STATUS=MR","SCALING_FORMAT=MLN","Sort=A","Dates=H","DateFormat=P","Fill=—","Direction=H","UseDPDF=Y")</f>
        <v>0</v>
      </c>
      <c r="J39" s="13" cm="1">
        <f t="array" ref="J39">_xll.BDH("DE US Equity","IS_DISCONTINUED_OPERATIONS","FQ4 2020","FQ4 2020","Currency=USD","Period=FQ","BEST_FPERIOD_OVERRIDE=FQ","FILING_STATUS=MR","SCALING_FORMAT=MLN","Sort=A","Dates=H","DateFormat=P","Fill=—","Direction=H","UseDPDF=Y")</f>
        <v>0</v>
      </c>
      <c r="K39" s="13" cm="1">
        <f t="array" ref="K39">_xll.BDH("DE US Equity","IS_DISCONTINUED_OPERATIONS","FQ1 2021","FQ1 2021","Currency=USD","Period=FQ","BEST_FPERIOD_OVERRIDE=FQ","FILING_STATUS=MR","SCALING_FORMAT=MLN","Sort=A","Dates=H","DateFormat=P","Fill=—","Direction=H","UseDPDF=Y")</f>
        <v>0</v>
      </c>
      <c r="L39" s="13" cm="1">
        <f t="array" ref="L39">_xll.BDH("DE US Equity","IS_DISCONTINUED_OPERATIONS","FQ2 2021","FQ2 2021","Currency=USD","Period=FQ","BEST_FPERIOD_OVERRIDE=FQ","FILING_STATUS=MR","SCALING_FORMAT=MLN","Sort=A","Dates=H","DateFormat=P","Fill=—","Direction=H","UseDPDF=Y")</f>
        <v>0</v>
      </c>
      <c r="M39" s="13" cm="1">
        <f t="array" ref="M39">_xll.BDH("DE US Equity","IS_DISCONTINUED_OPERATIONS","FQ3 2021","FQ3 2021","Currency=USD","Period=FQ","BEST_FPERIOD_OVERRIDE=FQ","FILING_STATUS=MR","SCALING_FORMAT=MLN","Sort=A","Dates=H","DateFormat=P","Fill=—","Direction=H","UseDPDF=Y")</f>
        <v>0</v>
      </c>
      <c r="N39" s="13" cm="1">
        <f t="array" ref="N39">_xll.BDH("DE US Equity","IS_DISCONTINUED_OPERATIONS","FQ4 2021","FQ4 2021","Currency=USD","Period=FQ","BEST_FPERIOD_OVERRIDE=FQ","FILING_STATUS=MR","SCALING_FORMAT=MLN","Sort=A","Dates=H","DateFormat=P","Fill=—","Direction=H","UseDPDF=Y")</f>
        <v>0</v>
      </c>
      <c r="O39" s="13" cm="1">
        <f t="array" ref="O39">_xll.BDH("DE US Equity","IS_DISCONTINUED_OPERATIONS","FQ1 2022","FQ1 2022","Currency=USD","Period=FQ","BEST_FPERIOD_OVERRIDE=FQ","FILING_STATUS=MR","SCALING_FORMAT=MLN","Sort=A","Dates=H","DateFormat=P","Fill=—","Direction=H","UseDPDF=Y")</f>
        <v>0</v>
      </c>
      <c r="P39" s="13" cm="1">
        <f t="array" ref="P39">_xll.BDH("DE US Equity","IS_DISCONTINUED_OPERATIONS","FQ2 2022","FQ2 2022","Currency=USD","Period=FQ","BEST_FPERIOD_OVERRIDE=FQ","FILING_STATUS=MR","SCALING_FORMAT=MLN","Sort=A","Dates=H","DateFormat=P","Fill=—","Direction=H","UseDPDF=Y")</f>
        <v>0</v>
      </c>
      <c r="Q39" s="13" cm="1">
        <f t="array" ref="Q39">_xll.BDH("DE US Equity","IS_DISCONTINUED_OPERATIONS","FQ3 2022","FQ3 2022","Currency=USD","Period=FQ","BEST_FPERIOD_OVERRIDE=FQ","FILING_STATUS=MR","SCALING_FORMAT=MLN","Sort=A","Dates=H","DateFormat=P","Fill=—","Direction=H","UseDPDF=Y")</f>
        <v>0</v>
      </c>
      <c r="R39" s="13" cm="1">
        <f t="array" ref="R39">_xll.BDH("DE US Equity","IS_DISCONTINUED_OPERATIONS","FQ4 2022","FQ4 2022","Currency=USD","Period=FQ","BEST_FPERIOD_OVERRIDE=FQ","FILING_STATUS=MR","SCALING_FORMAT=MLN","Sort=A","Dates=H","DateFormat=P","Fill=—","Direction=H","UseDPDF=Y")</f>
        <v>0</v>
      </c>
      <c r="S39" s="13" cm="1">
        <f t="array" ref="S39">_xll.BDH("DE US Equity","IS_DISCONTINUED_OPERATIONS","FQ1 2023","FQ1 2023","Currency=USD","Period=FQ","BEST_FPERIOD_OVERRIDE=FQ","FILING_STATUS=MR","SCALING_FORMAT=MLN","Sort=A","Dates=H","DateFormat=P","Fill=—","Direction=H","UseDPDF=Y")</f>
        <v>0</v>
      </c>
      <c r="T39" s="13" cm="1">
        <f t="array" ref="T39">_xll.BDH("DE US Equity","IS_DISCONTINUED_OPERATIONS","FQ2 2023","FQ2 2023","Currency=USD","Period=FQ","BEST_FPERIOD_OVERRIDE=FQ","FILING_STATUS=MR","SCALING_FORMAT=MLN","Sort=A","Dates=H","DateFormat=P","Fill=—","Direction=H","UseDPDF=Y")</f>
        <v>0</v>
      </c>
      <c r="U39" s="13" cm="1">
        <f t="array" ref="U39">_xll.BDH("DE US Equity","IS_DISCONTINUED_OPERATIONS","FQ3 2023","FQ3 2023","Currency=USD","Period=FQ","BEST_FPERIOD_OVERRIDE=FQ","FILING_STATUS=MR","SCALING_FORMAT=MLN","Sort=A","Dates=H","DateFormat=P","Fill=—","Direction=H","UseDPDF=Y")</f>
        <v>0</v>
      </c>
      <c r="V39" s="13" cm="1">
        <f t="array" ref="V39">_xll.BDH("DE US Equity","IS_DISCONTINUED_OPERATIONS","FQ4 2023","FQ4 2023","Currency=USD","Period=FQ","BEST_FPERIOD_OVERRIDE=FQ","FILING_STATUS=MR","SCALING_FORMAT=MLN","Sort=A","Dates=H","DateFormat=P","Fill=—","Direction=H","UseDPDF=Y")</f>
        <v>0</v>
      </c>
      <c r="W39" s="13" cm="1">
        <f t="array" ref="W39">_xll.BDH("DE US Equity","IS_DISCONTINUED_OPERATIONS","FQ1 2024","FQ1 2024","Currency=USD","Period=FQ","BEST_FPERIOD_OVERRIDE=FQ","FILING_STATUS=MR","SCALING_FORMAT=MLN","Sort=A","Dates=H","DateFormat=P","Fill=—","Direction=H","UseDPDF=Y")</f>
        <v>0</v>
      </c>
      <c r="X39" s="13" cm="1">
        <f t="array" ref="X39">_xll.BDH("DE US Equity","IS_DISCONTINUED_OPERATIONS","FQ2 2024","FQ2 2024","Currency=USD","Period=FQ","BEST_FPERIOD_OVERRIDE=FQ","FILING_STATUS=MR","SCALING_FORMAT=MLN","Sort=A","Dates=H","DateFormat=P","Fill=—","Direction=H","UseDPDF=Y")</f>
        <v>0</v>
      </c>
      <c r="Y39" s="13" cm="1">
        <f t="array" ref="Y39">_xll.BDH("DE US Equity","IS_DISCONTINUED_OPERATIONS","FQ3 2024","FQ3 2024","Currency=USD","Period=FQ","BEST_FPERIOD_OVERRIDE=FQ","FILING_STATUS=MR","SCALING_FORMAT=MLN","Sort=A","Dates=H","DateFormat=P","Fill=—","Direction=H","UseDPDF=Y")</f>
        <v>0</v>
      </c>
      <c r="Z39" s="13" cm="1">
        <f t="array" ref="Z39">_xll.BDH("DE US Equity","IS_DISCONTINUED_OPERATIONS","FQ4 2024","FQ4 2024","Currency=USD","Period=FQ","BEST_FPERIOD_OVERRIDE=FQ","FILING_STATUS=MR","SCALING_FORMAT=MLN","Sort=A","Dates=H","DateFormat=P","Fill=—","Direction=H","UseDPDF=Y")</f>
        <v>0</v>
      </c>
      <c r="AA39" s="13" cm="1">
        <f t="array" ref="AA39">_xll.BDH("DE US Equity","IS_DISCONTINUED_OPERATIONS","FQ1 2025","FQ1 2025","Currency=USD","Period=FQ","BEST_FPERIOD_OVERRIDE=FQ","FILING_STATUS=MR","SCALING_FORMAT=MLN","Sort=A","Dates=H","DateFormat=P","Fill=—","Direction=H","UseDPDF=Y")</f>
        <v>0</v>
      </c>
      <c r="AB39" s="13" cm="1">
        <f t="array" ref="AB39">_xll.BDH("DE US Equity","IS_DISCONTINUED_OPERATIONS","FQ2 2025","FQ2 2025","Currency=USD","Period=FQ","BEST_FPERIOD_OVERRIDE=FQ","FILING_STATUS=MR","SCALING_FORMAT=MLN","Sort=A","Dates=H","DateFormat=P","Fill=—","Direction=H","UseDPDF=Y")</f>
        <v>0</v>
      </c>
      <c r="AC39" s="13" cm="1">
        <f t="array" ref="AC39">_xll.BDH("DE US Equity","IS_DISCONTINUED_OPERATIONS","FQ3 2025","FQ3 2025","Currency=USD","Period=FQ","BEST_FPERIOD_OVERRIDE=FQ","FILING_STATUS=MR","SCALING_FORMAT=MLN","Sort=A","Dates=H","DateFormat=P","Fill=—","Direction=H","UseDPDF=Y")</f>
        <v>0</v>
      </c>
      <c r="AD39" s="13" cm="1">
        <f t="array" ref="AD39">_xll.BDH("DE US Equity","IS_DISCONTINUED_OPERATIONS","FQ4 2025","FQ4 2025","Currency=USD","Period=FQ","BEST_FPERIOD_OVERRIDE=FQ","FILING_STATUS=MR","SCALING_FORMAT=MLN","Sort=A","Dates=H","DateFormat=P","Fill=—","Direction=H","UseDPDF=Y")</f>
        <v>0</v>
      </c>
      <c r="AE39" s="13"/>
      <c r="AF39" s="13"/>
    </row>
    <row r="40" spans="1:32" x14ac:dyDescent="0.25">
      <c r="A40" s="10" t="s">
        <v>132</v>
      </c>
      <c r="B40" s="10" t="s">
        <v>133</v>
      </c>
      <c r="C40" s="13" cm="1">
        <f t="array" ref="C40">_xll.BDH("DE US Equity","EXTRAORD_ITEMS_ACCOUNTING_CHANGS","FQ1 2019","FQ1 2019","Currency=USD","Period=FQ","BEST_FPERIOD_OVERRIDE=FQ","FILING_STATUS=MR","SCALING_FORMAT=MLN","Sort=A","Dates=H","DateFormat=P","Fill=—","Direction=H","UseDPDF=Y")</f>
        <v>0</v>
      </c>
      <c r="D40" s="13" cm="1">
        <f t="array" ref="D40">_xll.BDH("DE US Equity","EXTRAORD_ITEMS_ACCOUNTING_CHANGS","FQ2 2019","FQ2 2019","Currency=USD","Period=FQ","BEST_FPERIOD_OVERRIDE=FQ","FILING_STATUS=MR","SCALING_FORMAT=MLN","Sort=A","Dates=H","DateFormat=P","Fill=—","Direction=H","UseDPDF=Y")</f>
        <v>0</v>
      </c>
      <c r="E40" s="13" cm="1">
        <f t="array" ref="E40">_xll.BDH("DE US Equity","EXTRAORD_ITEMS_ACCOUNTING_CHANGS","FQ3 2019","FQ3 2019","Currency=USD","Period=FQ","BEST_FPERIOD_OVERRIDE=FQ","FILING_STATUS=MR","SCALING_FORMAT=MLN","Sort=A","Dates=H","DateFormat=P","Fill=—","Direction=H","UseDPDF=Y")</f>
        <v>0</v>
      </c>
      <c r="F40" s="13" cm="1">
        <f t="array" ref="F40">_xll.BDH("DE US Equity","EXTRAORD_ITEMS_ACCOUNTING_CHANGS","FQ4 2019","FQ4 2019","Currency=USD","Period=FQ","BEST_FPERIOD_OVERRIDE=FQ","FILING_STATUS=MR","SCALING_FORMAT=MLN","Sort=A","Dates=H","DateFormat=P","Fill=—","Direction=H","UseDPDF=Y")</f>
        <v>0</v>
      </c>
      <c r="G40" s="13" cm="1">
        <f t="array" ref="G40">_xll.BDH("DE US Equity","EXTRAORD_ITEMS_ACCOUNTING_CHANGS","FQ1 2020","FQ1 2020","Currency=USD","Period=FQ","BEST_FPERIOD_OVERRIDE=FQ","FILING_STATUS=MR","SCALING_FORMAT=MLN","Sort=A","Dates=H","DateFormat=P","Fill=—","Direction=H","UseDPDF=Y")</f>
        <v>0</v>
      </c>
      <c r="H40" s="13" cm="1">
        <f t="array" ref="H40">_xll.BDH("DE US Equity","EXTRAORD_ITEMS_ACCOUNTING_CHANGS","FQ2 2020","FQ2 2020","Currency=USD","Period=FQ","BEST_FPERIOD_OVERRIDE=FQ","FILING_STATUS=MR","SCALING_FORMAT=MLN","Sort=A","Dates=H","DateFormat=P","Fill=—","Direction=H","UseDPDF=Y")</f>
        <v>0</v>
      </c>
      <c r="I40" s="13" cm="1">
        <f t="array" ref="I40">_xll.BDH("DE US Equity","EXTRAORD_ITEMS_ACCOUNTING_CHANGS","FQ3 2020","FQ3 2020","Currency=USD","Period=FQ","BEST_FPERIOD_OVERRIDE=FQ","FILING_STATUS=MR","SCALING_FORMAT=MLN","Sort=A","Dates=H","DateFormat=P","Fill=—","Direction=H","UseDPDF=Y")</f>
        <v>0</v>
      </c>
      <c r="J40" s="13" cm="1">
        <f t="array" ref="J40">_xll.BDH("DE US Equity","EXTRAORD_ITEMS_ACCOUNTING_CHANGS","FQ4 2020","FQ4 2020","Currency=USD","Period=FQ","BEST_FPERIOD_OVERRIDE=FQ","FILING_STATUS=MR","SCALING_FORMAT=MLN","Sort=A","Dates=H","DateFormat=P","Fill=—","Direction=H","UseDPDF=Y")</f>
        <v>0</v>
      </c>
      <c r="K40" s="13" cm="1">
        <f t="array" ref="K40">_xll.BDH("DE US Equity","EXTRAORD_ITEMS_ACCOUNTING_CHANGS","FQ1 2021","FQ1 2021","Currency=USD","Period=FQ","BEST_FPERIOD_OVERRIDE=FQ","FILING_STATUS=MR","SCALING_FORMAT=MLN","Sort=A","Dates=H","DateFormat=P","Fill=—","Direction=H","UseDPDF=Y")</f>
        <v>0</v>
      </c>
      <c r="L40" s="13" cm="1">
        <f t="array" ref="L40">_xll.BDH("DE US Equity","EXTRAORD_ITEMS_ACCOUNTING_CHANGS","FQ2 2021","FQ2 2021","Currency=USD","Period=FQ","BEST_FPERIOD_OVERRIDE=FQ","FILING_STATUS=MR","SCALING_FORMAT=MLN","Sort=A","Dates=H","DateFormat=P","Fill=—","Direction=H","UseDPDF=Y")</f>
        <v>0</v>
      </c>
      <c r="M40" s="13" cm="1">
        <f t="array" ref="M40">_xll.BDH("DE US Equity","EXTRAORD_ITEMS_ACCOUNTING_CHANGS","FQ3 2021","FQ3 2021","Currency=USD","Period=FQ","BEST_FPERIOD_OVERRIDE=FQ","FILING_STATUS=MR","SCALING_FORMAT=MLN","Sort=A","Dates=H","DateFormat=P","Fill=—","Direction=H","UseDPDF=Y")</f>
        <v>0</v>
      </c>
      <c r="N40" s="13" cm="1">
        <f t="array" ref="N40">_xll.BDH("DE US Equity","EXTRAORD_ITEMS_ACCOUNTING_CHANGS","FQ4 2021","FQ4 2021","Currency=USD","Period=FQ","BEST_FPERIOD_OVERRIDE=FQ","FILING_STATUS=MR","SCALING_FORMAT=MLN","Sort=A","Dates=H","DateFormat=P","Fill=—","Direction=H","UseDPDF=Y")</f>
        <v>0</v>
      </c>
      <c r="O40" s="13" cm="1">
        <f t="array" ref="O40">_xll.BDH("DE US Equity","EXTRAORD_ITEMS_ACCOUNTING_CHANGS","FQ1 2022","FQ1 2022","Currency=USD","Period=FQ","BEST_FPERIOD_OVERRIDE=FQ","FILING_STATUS=MR","SCALING_FORMAT=MLN","Sort=A","Dates=H","DateFormat=P","Fill=—","Direction=H","UseDPDF=Y")</f>
        <v>0</v>
      </c>
      <c r="P40" s="13" cm="1">
        <f t="array" ref="P40">_xll.BDH("DE US Equity","EXTRAORD_ITEMS_ACCOUNTING_CHANGS","FQ2 2022","FQ2 2022","Currency=USD","Period=FQ","BEST_FPERIOD_OVERRIDE=FQ","FILING_STATUS=MR","SCALING_FORMAT=MLN","Sort=A","Dates=H","DateFormat=P","Fill=—","Direction=H","UseDPDF=Y")</f>
        <v>0</v>
      </c>
      <c r="Q40" s="13" cm="1">
        <f t="array" ref="Q40">_xll.BDH("DE US Equity","EXTRAORD_ITEMS_ACCOUNTING_CHANGS","FQ3 2022","FQ3 2022","Currency=USD","Period=FQ","BEST_FPERIOD_OVERRIDE=FQ","FILING_STATUS=MR","SCALING_FORMAT=MLN","Sort=A","Dates=H","DateFormat=P","Fill=—","Direction=H","UseDPDF=Y")</f>
        <v>0</v>
      </c>
      <c r="R40" s="13" cm="1">
        <f t="array" ref="R40">_xll.BDH("DE US Equity","EXTRAORD_ITEMS_ACCOUNTING_CHANGS","FQ4 2022","FQ4 2022","Currency=USD","Period=FQ","BEST_FPERIOD_OVERRIDE=FQ","FILING_STATUS=MR","SCALING_FORMAT=MLN","Sort=A","Dates=H","DateFormat=P","Fill=—","Direction=H","UseDPDF=Y")</f>
        <v>0</v>
      </c>
      <c r="S40" s="13" cm="1">
        <f t="array" ref="S40">_xll.BDH("DE US Equity","EXTRAORD_ITEMS_ACCOUNTING_CHANGS","FQ1 2023","FQ1 2023","Currency=USD","Period=FQ","BEST_FPERIOD_OVERRIDE=FQ","FILING_STATUS=MR","SCALING_FORMAT=MLN","Sort=A","Dates=H","DateFormat=P","Fill=—","Direction=H","UseDPDF=Y")</f>
        <v>0</v>
      </c>
      <c r="T40" s="13" cm="1">
        <f t="array" ref="T40">_xll.BDH("DE US Equity","EXTRAORD_ITEMS_ACCOUNTING_CHANGS","FQ2 2023","FQ2 2023","Currency=USD","Period=FQ","BEST_FPERIOD_OVERRIDE=FQ","FILING_STATUS=MR","SCALING_FORMAT=MLN","Sort=A","Dates=H","DateFormat=P","Fill=—","Direction=H","UseDPDF=Y")</f>
        <v>0</v>
      </c>
      <c r="U40" s="13" cm="1">
        <f t="array" ref="U40">_xll.BDH("DE US Equity","EXTRAORD_ITEMS_ACCOUNTING_CHANGS","FQ3 2023","FQ3 2023","Currency=USD","Period=FQ","BEST_FPERIOD_OVERRIDE=FQ","FILING_STATUS=MR","SCALING_FORMAT=MLN","Sort=A","Dates=H","DateFormat=P","Fill=—","Direction=H","UseDPDF=Y")</f>
        <v>0</v>
      </c>
      <c r="V40" s="13" cm="1">
        <f t="array" ref="V40">_xll.BDH("DE US Equity","EXTRAORD_ITEMS_ACCOUNTING_CHANGS","FQ4 2023","FQ4 2023","Currency=USD","Period=FQ","BEST_FPERIOD_OVERRIDE=FQ","FILING_STATUS=MR","SCALING_FORMAT=MLN","Sort=A","Dates=H","DateFormat=P","Fill=—","Direction=H","UseDPDF=Y")</f>
        <v>0</v>
      </c>
      <c r="W40" s="13" cm="1">
        <f t="array" ref="W40">_xll.BDH("DE US Equity","EXTRAORD_ITEMS_ACCOUNTING_CHANGS","FQ1 2024","FQ1 2024","Currency=USD","Period=FQ","BEST_FPERIOD_OVERRIDE=FQ","FILING_STATUS=MR","SCALING_FORMAT=MLN","Sort=A","Dates=H","DateFormat=P","Fill=—","Direction=H","UseDPDF=Y")</f>
        <v>0</v>
      </c>
      <c r="X40" s="13" cm="1">
        <f t="array" ref="X40">_xll.BDH("DE US Equity","EXTRAORD_ITEMS_ACCOUNTING_CHANGS","FQ2 2024","FQ2 2024","Currency=USD","Period=FQ","BEST_FPERIOD_OVERRIDE=FQ","FILING_STATUS=MR","SCALING_FORMAT=MLN","Sort=A","Dates=H","DateFormat=P","Fill=—","Direction=H","UseDPDF=Y")</f>
        <v>0</v>
      </c>
      <c r="Y40" s="13" cm="1">
        <f t="array" ref="Y40">_xll.BDH("DE US Equity","EXTRAORD_ITEMS_ACCOUNTING_CHANGS","FQ3 2024","FQ3 2024","Currency=USD","Period=FQ","BEST_FPERIOD_OVERRIDE=FQ","FILING_STATUS=MR","SCALING_FORMAT=MLN","Sort=A","Dates=H","DateFormat=P","Fill=—","Direction=H","UseDPDF=Y")</f>
        <v>0</v>
      </c>
      <c r="Z40" s="13" cm="1">
        <f t="array" ref="Z40">_xll.BDH("DE US Equity","EXTRAORD_ITEMS_ACCOUNTING_CHANGS","FQ4 2024","FQ4 2024","Currency=USD","Period=FQ","BEST_FPERIOD_OVERRIDE=FQ","FILING_STATUS=MR","SCALING_FORMAT=MLN","Sort=A","Dates=H","DateFormat=P","Fill=—","Direction=H","UseDPDF=Y")</f>
        <v>0</v>
      </c>
      <c r="AA40" s="13" cm="1">
        <f t="array" ref="AA40">_xll.BDH("DE US Equity","EXTRAORD_ITEMS_ACCOUNTING_CHANGS","FQ1 2025","FQ1 2025","Currency=USD","Period=FQ","BEST_FPERIOD_OVERRIDE=FQ","FILING_STATUS=MR","SCALING_FORMAT=MLN","Sort=A","Dates=H","DateFormat=P","Fill=—","Direction=H","UseDPDF=Y")</f>
        <v>0</v>
      </c>
      <c r="AB40" s="13" cm="1">
        <f t="array" ref="AB40">_xll.BDH("DE US Equity","EXTRAORD_ITEMS_ACCOUNTING_CHANGS","FQ2 2025","FQ2 2025","Currency=USD","Period=FQ","BEST_FPERIOD_OVERRIDE=FQ","FILING_STATUS=MR","SCALING_FORMAT=MLN","Sort=A","Dates=H","DateFormat=P","Fill=—","Direction=H","UseDPDF=Y")</f>
        <v>0</v>
      </c>
      <c r="AC40" s="13" cm="1">
        <f t="array" ref="AC40">_xll.BDH("DE US Equity","EXTRAORD_ITEMS_ACCOUNTING_CHANGS","FQ3 2025","FQ3 2025","Currency=USD","Period=FQ","BEST_FPERIOD_OVERRIDE=FQ","FILING_STATUS=MR","SCALING_FORMAT=MLN","Sort=A","Dates=H","DateFormat=P","Fill=—","Direction=H","UseDPDF=Y")</f>
        <v>0</v>
      </c>
      <c r="AD40" s="13" cm="1">
        <f t="array" ref="AD40">_xll.BDH("DE US Equity","EXTRAORD_ITEMS_ACCOUNTING_CHANGS","FQ4 2025","FQ4 2025","Currency=USD","Period=FQ","BEST_FPERIOD_OVERRIDE=FQ","FILING_STATUS=MR","SCALING_FORMAT=MLN","Sort=A","Dates=H","DateFormat=P","Fill=—","Direction=H","UseDPDF=Y")</f>
        <v>0</v>
      </c>
      <c r="AE40" s="13"/>
      <c r="AF40" s="13"/>
    </row>
    <row r="41" spans="1:32" x14ac:dyDescent="0.25">
      <c r="A41" s="6" t="s">
        <v>134</v>
      </c>
      <c r="B41" s="6" t="s">
        <v>135</v>
      </c>
      <c r="C41" s="16" cm="1">
        <f t="array" ref="C41">_xll.BDH("DE US Equity","NI_INCLUDING_MINORITY_INT_RATIO","FQ1 2019","FQ1 2019","Currency=USD","Period=FQ","BEST_FPERIOD_OVERRIDE=FQ","FILING_STATUS=MR","SCALING_FORMAT=MLN","FA_ADJUSTED=GAAP","Sort=A","Dates=H","DateFormat=P","Fill=—","Direction=H","UseDPDF=Y")</f>
        <v>500</v>
      </c>
      <c r="D41" s="16" cm="1">
        <f t="array" ref="D41">_xll.BDH("DE US Equity","NI_INCLUDING_MINORITY_INT_RATIO","FQ2 2019","FQ2 2019","Currency=USD","Period=FQ","BEST_FPERIOD_OVERRIDE=FQ","FILING_STATUS=MR","SCALING_FORMAT=MLN","FA_ADJUSTED=GAAP","Sort=A","Dates=H","DateFormat=P","Fill=—","Direction=H","UseDPDF=Y")</f>
        <v>1136</v>
      </c>
      <c r="E41" s="16" cm="1">
        <f t="array" ref="E41">_xll.BDH("DE US Equity","NI_INCLUDING_MINORITY_INT_RATIO","FQ3 2019","FQ3 2019","Currency=USD","Period=FQ","BEST_FPERIOD_OVERRIDE=FQ","FILING_STATUS=MR","SCALING_FORMAT=MLN","FA_ADJUSTED=GAAP","Sort=A","Dates=H","DateFormat=P","Fill=—","Direction=H","UseDPDF=Y")</f>
        <v>899</v>
      </c>
      <c r="F41" s="16" cm="1">
        <f t="array" ref="F41">_xll.BDH("DE US Equity","NI_INCLUDING_MINORITY_INT_RATIO","FQ4 2019","FQ4 2019","Currency=USD","Period=FQ","BEST_FPERIOD_OVERRIDE=FQ","FILING_STATUS=MR","SCALING_FORMAT=MLN","FA_ADJUSTED=GAAP","Sort=A","Dates=H","DateFormat=P","Fill=—","Direction=H","UseDPDF=Y")</f>
        <v>722</v>
      </c>
      <c r="G41" s="16" cm="1">
        <f t="array" ref="G41">_xll.BDH("DE US Equity","NI_INCLUDING_MINORITY_INT_RATIO","FQ1 2020","FQ1 2020","Currency=USD","Period=FQ","BEST_FPERIOD_OVERRIDE=FQ","FILING_STATUS=MR","SCALING_FORMAT=MLN","FA_ADJUSTED=GAAP","Sort=A","Dates=H","DateFormat=P","Fill=—","Direction=H","UseDPDF=Y")</f>
        <v>518</v>
      </c>
      <c r="H41" s="16" cm="1">
        <f t="array" ref="H41">_xll.BDH("DE US Equity","NI_INCLUDING_MINORITY_INT_RATIO","FQ2 2020","FQ2 2020","Currency=USD","Period=FQ","BEST_FPERIOD_OVERRIDE=FQ","FILING_STATUS=MR","SCALING_FORMAT=MLN","FA_ADJUSTED=GAAP","Sort=A","Dates=H","DateFormat=P","Fill=—","Direction=H","UseDPDF=Y")</f>
        <v>666</v>
      </c>
      <c r="I41" s="16" cm="1">
        <f t="array" ref="I41">_xll.BDH("DE US Equity","NI_INCLUDING_MINORITY_INT_RATIO","FQ3 2020","FQ3 2020","Currency=USD","Period=FQ","BEST_FPERIOD_OVERRIDE=FQ","FILING_STATUS=MR","SCALING_FORMAT=MLN","FA_ADJUSTED=GAAP","Sort=A","Dates=H","DateFormat=P","Fill=—","Direction=H","UseDPDF=Y")</f>
        <v>811</v>
      </c>
      <c r="J41" s="16" cm="1">
        <f t="array" ref="J41">_xll.BDH("DE US Equity","NI_INCLUDING_MINORITY_INT_RATIO","FQ4 2020","FQ4 2020","Currency=USD","Period=FQ","BEST_FPERIOD_OVERRIDE=FQ","FILING_STATUS=MR","SCALING_FORMAT=MLN","FA_ADJUSTED=GAAP","Sort=A","Dates=H","DateFormat=P","Fill=—","Direction=H","UseDPDF=Y")</f>
        <v>758</v>
      </c>
      <c r="K41" s="16" cm="1">
        <f t="array" ref="K41">_xll.BDH("DE US Equity","NI_INCLUDING_MINORITY_INT_RATIO","FQ1 2021","FQ1 2021","Currency=USD","Period=FQ","BEST_FPERIOD_OVERRIDE=FQ","FILING_STATUS=MR","SCALING_FORMAT=MLN","FA_ADJUSTED=GAAP","Sort=A","Dates=H","DateFormat=P","Fill=—","Direction=H","UseDPDF=Y")</f>
        <v>1224</v>
      </c>
      <c r="L41" s="16" cm="1">
        <f t="array" ref="L41">_xll.BDH("DE US Equity","NI_INCLUDING_MINORITY_INT_RATIO","FQ2 2021","FQ2 2021","Currency=USD","Period=FQ","BEST_FPERIOD_OVERRIDE=FQ","FILING_STATUS=MR","SCALING_FORMAT=MLN","FA_ADJUSTED=GAAP","Sort=A","Dates=H","DateFormat=P","Fill=—","Direction=H","UseDPDF=Y")</f>
        <v>1790</v>
      </c>
      <c r="M41" s="16" cm="1">
        <f t="array" ref="M41">_xll.BDH("DE US Equity","NI_INCLUDING_MINORITY_INT_RATIO","FQ3 2021","FQ3 2021","Currency=USD","Period=FQ","BEST_FPERIOD_OVERRIDE=FQ","FILING_STATUS=MR","SCALING_FORMAT=MLN","FA_ADJUSTED=GAAP","Sort=A","Dates=H","DateFormat=P","Fill=—","Direction=H","UseDPDF=Y")</f>
        <v>1667</v>
      </c>
      <c r="N41" s="16" cm="1">
        <f t="array" ref="N41">_xll.BDH("DE US Equity","NI_INCLUDING_MINORITY_INT_RATIO","FQ4 2021","FQ4 2021","Currency=USD","Period=FQ","BEST_FPERIOD_OVERRIDE=FQ","FILING_STATUS=MR","SCALING_FORMAT=MLN","FA_ADJUSTED=GAAP","Sort=A","Dates=H","DateFormat=P","Fill=—","Direction=H","UseDPDF=Y")</f>
        <v>1283</v>
      </c>
      <c r="O41" s="16" cm="1">
        <f t="array" ref="O41">_xll.BDH("DE US Equity","NI_INCLUDING_MINORITY_INT_RATIO","FQ1 2022","FQ1 2022","Currency=USD","Period=FQ","BEST_FPERIOD_OVERRIDE=FQ","FILING_STATUS=MR","SCALING_FORMAT=MLN","FA_ADJUSTED=GAAP","Sort=A","Dates=H","DateFormat=P","Fill=—","Direction=H","UseDPDF=Y")</f>
        <v>904</v>
      </c>
      <c r="P41" s="16" cm="1">
        <f t="array" ref="P41">_xll.BDH("DE US Equity","NI_INCLUDING_MINORITY_INT_RATIO","FQ2 2022","FQ2 2022","Currency=USD","Period=FQ","BEST_FPERIOD_OVERRIDE=FQ","FILING_STATUS=MR","SCALING_FORMAT=MLN","FA_ADJUSTED=GAAP","Sort=A","Dates=H","DateFormat=P","Fill=—","Direction=H","UseDPDF=Y")</f>
        <v>2097</v>
      </c>
      <c r="Q41" s="16" cm="1">
        <f t="array" ref="Q41">_xll.BDH("DE US Equity","NI_INCLUDING_MINORITY_INT_RATIO","FQ3 2022","FQ3 2022","Currency=USD","Period=FQ","BEST_FPERIOD_OVERRIDE=FQ","FILING_STATUS=MR","SCALING_FORMAT=MLN","FA_ADJUSTED=GAAP","Sort=A","Dates=H","DateFormat=P","Fill=—","Direction=H","UseDPDF=Y")</f>
        <v>1885</v>
      </c>
      <c r="R41" s="16" cm="1">
        <f t="array" ref="R41">_xll.BDH("DE US Equity","NI_INCLUDING_MINORITY_INT_RATIO","FQ4 2022","FQ4 2022","Currency=USD","Period=FQ","BEST_FPERIOD_OVERRIDE=FQ","FILING_STATUS=MR","SCALING_FORMAT=MLN","FA_ADJUSTED=GAAP","Sort=A","Dates=H","DateFormat=P","Fill=—","Direction=H","UseDPDF=Y")</f>
        <v>2244</v>
      </c>
      <c r="S41" s="16" cm="1">
        <f t="array" ref="S41">_xll.BDH("DE US Equity","NI_INCLUDING_MINORITY_INT_RATIO","FQ1 2023","FQ1 2023","Currency=USD","Period=FQ","BEST_FPERIOD_OVERRIDE=FQ","FILING_STATUS=MR","SCALING_FORMAT=MLN","FA_ADJUSTED=GAAP","Sort=A","Dates=H","DateFormat=P","Fill=—","Direction=H","UseDPDF=Y")</f>
        <v>1957</v>
      </c>
      <c r="T41" s="16" cm="1">
        <f t="array" ref="T41">_xll.BDH("DE US Equity","NI_INCLUDING_MINORITY_INT_RATIO","FQ2 2023","FQ2 2023","Currency=USD","Period=FQ","BEST_FPERIOD_OVERRIDE=FQ","FILING_STATUS=MR","SCALING_FORMAT=MLN","FA_ADJUSTED=GAAP","Sort=A","Dates=H","DateFormat=P","Fill=—","Direction=H","UseDPDF=Y")</f>
        <v>2859</v>
      </c>
      <c r="U41" s="16" cm="1">
        <f t="array" ref="U41">_xll.BDH("DE US Equity","NI_INCLUDING_MINORITY_INT_RATIO","FQ3 2023","FQ3 2023","Currency=USD","Period=FQ","BEST_FPERIOD_OVERRIDE=FQ","FILING_STATUS=MR","SCALING_FORMAT=MLN","FA_ADJUSTED=GAAP","Sort=A","Dates=H","DateFormat=P","Fill=—","Direction=H","UseDPDF=Y")</f>
        <v>2972</v>
      </c>
      <c r="V41" s="16" cm="1">
        <f t="array" ref="V41">_xll.BDH("DE US Equity","NI_INCLUDING_MINORITY_INT_RATIO","FQ4 2023","FQ4 2023","Currency=USD","Period=FQ","BEST_FPERIOD_OVERRIDE=FQ","FILING_STATUS=MR","SCALING_FORMAT=MLN","FA_ADJUSTED=GAAP","Sort=A","Dates=H","DateFormat=P","Fill=—","Direction=H","UseDPDF=Y")</f>
        <v>2368</v>
      </c>
      <c r="W41" s="16" cm="1">
        <f t="array" ref="W41">_xll.BDH("DE US Equity","NI_INCLUDING_MINORITY_INT_RATIO","FQ1 2024","FQ1 2024","Currency=USD","Period=FQ","BEST_FPERIOD_OVERRIDE=FQ","FILING_STATUS=MR","SCALING_FORMAT=MLN","FA_ADJUSTED=GAAP","Sort=A","Dates=H","DateFormat=P","Fill=—","Direction=H","UseDPDF=Y")</f>
        <v>1748</v>
      </c>
      <c r="X41" s="16" cm="1">
        <f t="array" ref="X41">_xll.BDH("DE US Equity","NI_INCLUDING_MINORITY_INT_RATIO","FQ2 2024","FQ2 2024","Currency=USD","Period=FQ","BEST_FPERIOD_OVERRIDE=FQ","FILING_STATUS=MR","SCALING_FORMAT=MLN","FA_ADJUSTED=GAAP","Sort=A","Dates=H","DateFormat=P","Fill=—","Direction=H","UseDPDF=Y")</f>
        <v>2368</v>
      </c>
      <c r="Y41" s="16" cm="1">
        <f t="array" ref="Y41">_xll.BDH("DE US Equity","NI_INCLUDING_MINORITY_INT_RATIO","FQ3 2024","FQ3 2024","Currency=USD","Period=FQ","BEST_FPERIOD_OVERRIDE=FQ","FILING_STATUS=MR","SCALING_FORMAT=MLN","FA_ADJUSTED=GAAP","Sort=A","Dates=H","DateFormat=P","Fill=—","Direction=H","UseDPDF=Y")</f>
        <v>1731</v>
      </c>
      <c r="Z41" s="16" cm="1">
        <f t="array" ref="Z41">_xll.BDH("DE US Equity","NI_INCLUDING_MINORITY_INT_RATIO","FQ4 2024","FQ4 2024","Currency=USD","Period=FQ","BEST_FPERIOD_OVERRIDE=FQ","FILING_STATUS=MR","SCALING_FORMAT=MLN","FA_ADJUSTED=GAAP","Sort=A","Dates=H","DateFormat=P","Fill=—","Direction=H","UseDPDF=Y")</f>
        <v>1242</v>
      </c>
      <c r="AA41" s="16" cm="1">
        <f t="array" ref="AA41">_xll.BDH("DE US Equity","NI_INCLUDING_MINORITY_INT_RATIO","FQ1 2025","FQ1 2025","Currency=USD","Period=FQ","BEST_FPERIOD_OVERRIDE=FQ","FILING_STATUS=MR","SCALING_FORMAT=MLN","FA_ADJUSTED=GAAP","Sort=A","Dates=H","DateFormat=P","Fill=—","Direction=H","UseDPDF=Y")</f>
        <v>867</v>
      </c>
      <c r="AB41" s="16" cm="1">
        <f t="array" ref="AB41">_xll.BDH("DE US Equity","NI_INCLUDING_MINORITY_INT_RATIO","FQ2 2025","FQ2 2025","Currency=USD","Period=FQ","BEST_FPERIOD_OVERRIDE=FQ","FILING_STATUS=MR","SCALING_FORMAT=MLN","FA_ADJUSTED=GAAP","Sort=A","Dates=H","DateFormat=P","Fill=—","Direction=H","UseDPDF=Y")</f>
        <v>1801</v>
      </c>
      <c r="AC41" s="16" cm="1">
        <f t="array" ref="AC41">_xll.BDH("DE US Equity","NI_INCLUDING_MINORITY_INT_RATIO","FQ3 2025","FQ3 2025","Currency=USD","Period=FQ","BEST_FPERIOD_OVERRIDE=FQ","FILING_STATUS=MR","SCALING_FORMAT=MLN","FA_ADJUSTED=GAAP","Sort=A","Dates=H","DateFormat=P","Fill=—","Direction=H","UseDPDF=Y")</f>
        <v>1271</v>
      </c>
      <c r="AD41" s="16" cm="1">
        <f t="array" ref="AD41">_xll.BDH("DE US Equity","NI_INCLUDING_MINORITY_INT_RATIO","FQ4 2025","FQ4 2025","Currency=USD","Period=FQ","BEST_FPERIOD_OVERRIDE=FQ","FILING_STATUS=MR","SCALING_FORMAT=MLN","FA_ADJUSTED=GAAP","Sort=A","Dates=H","DateFormat=P","Fill=—","Direction=H","UseDPDF=Y")</f>
        <v>1060</v>
      </c>
      <c r="AE41" s="16"/>
      <c r="AF41" s="16"/>
    </row>
    <row r="42" spans="1:32" x14ac:dyDescent="0.25">
      <c r="A42" s="10" t="s">
        <v>136</v>
      </c>
      <c r="B42" s="10" t="s">
        <v>137</v>
      </c>
      <c r="C42" s="13" cm="1">
        <f t="array" ref="C42">_xll.BDH("DE US Equity","MIN_NONCONTROL_INTEREST_CREDITS","FQ1 2019","FQ1 2019","Currency=USD","Period=FQ","BEST_FPERIOD_OVERRIDE=FQ","FILING_STATUS=MR","SCALING_FORMAT=MLN","FA_ADJUSTED=GAAP","Sort=A","Dates=H","DateFormat=P","Fill=—","Direction=H","UseDPDF=Y")</f>
        <v>2</v>
      </c>
      <c r="D42" s="13" cm="1">
        <f t="array" ref="D42">_xll.BDH("DE US Equity","MIN_NONCONTROL_INTEREST_CREDITS","FQ2 2019","FQ2 2019","Currency=USD","Period=FQ","BEST_FPERIOD_OVERRIDE=FQ","FILING_STATUS=MR","SCALING_FORMAT=MLN","FA_ADJUSTED=GAAP","Sort=A","Dates=H","DateFormat=P","Fill=—","Direction=H","UseDPDF=Y")</f>
        <v>1</v>
      </c>
      <c r="E42" s="13" t="str" cm="1">
        <f t="array" ref="E42">_xll.BDH("DE US Equity","MIN_NONCONTROL_INTEREST_CREDITS","FQ3 2019","FQ3 2019","Currency=USD","Period=FQ","BEST_FPERIOD_OVERRIDE=FQ","FILING_STATUS=MR","SCALING_FORMAT=MLN","FA_ADJUSTED=GAAP","Sort=A","Dates=H","DateFormat=P","Fill=—","Direction=H","UseDPDF=Y")</f>
        <v>—</v>
      </c>
      <c r="F42" s="13" t="str" cm="1">
        <f t="array" ref="F42">_xll.BDH("DE US Equity","MIN_NONCONTROL_INTEREST_CREDITS","FQ4 2019","FQ4 2019","Currency=USD","Period=FQ","BEST_FPERIOD_OVERRIDE=FQ","FILING_STATUS=MR","SCALING_FORMAT=MLN","FA_ADJUSTED=GAAP","Sort=A","Dates=H","DateFormat=P","Fill=—","Direction=H","UseDPDF=Y")</f>
        <v>—</v>
      </c>
      <c r="G42" s="13" cm="1">
        <f t="array" ref="G42">_xll.BDH("DE US Equity","MIN_NONCONTROL_INTEREST_CREDITS","FQ1 2020","FQ1 2020","Currency=USD","Period=FQ","BEST_FPERIOD_OVERRIDE=FQ","FILING_STATUS=MR","SCALING_FORMAT=MLN","FA_ADJUSTED=GAAP","Sort=A","Dates=H","DateFormat=P","Fill=—","Direction=H","UseDPDF=Y")</f>
        <v>1</v>
      </c>
      <c r="H42" s="13" cm="1">
        <f t="array" ref="H42">_xll.BDH("DE US Equity","MIN_NONCONTROL_INTEREST_CREDITS","FQ2 2020","FQ2 2020","Currency=USD","Period=FQ","BEST_FPERIOD_OVERRIDE=FQ","FILING_STATUS=MR","SCALING_FORMAT=MLN","FA_ADJUSTED=GAAP","Sort=A","Dates=H","DateFormat=P","Fill=—","Direction=H","UseDPDF=Y")</f>
        <v>0</v>
      </c>
      <c r="I42" s="13" t="str" cm="1">
        <f t="array" ref="I42">_xll.BDH("DE US Equity","MIN_NONCONTROL_INTEREST_CREDITS","FQ3 2020","FQ3 2020","Currency=USD","Period=FQ","BEST_FPERIOD_OVERRIDE=FQ","FILING_STATUS=MR","SCALING_FORMAT=MLN","FA_ADJUSTED=GAAP","Sort=A","Dates=H","DateFormat=P","Fill=—","Direction=H","UseDPDF=Y")</f>
        <v>—</v>
      </c>
      <c r="J42" s="13" cm="1">
        <f t="array" ref="J42">_xll.BDH("DE US Equity","MIN_NONCONTROL_INTEREST_CREDITS","FQ4 2020","FQ4 2020","Currency=USD","Period=FQ","BEST_FPERIOD_OVERRIDE=FQ","FILING_STATUS=MR","SCALING_FORMAT=MLN","FA_ADJUSTED=GAAP","Sort=A","Dates=H","DateFormat=P","Fill=—","Direction=H","UseDPDF=Y")</f>
        <v>1</v>
      </c>
      <c r="K42" s="13" t="str" cm="1">
        <f t="array" ref="K42">_xll.BDH("DE US Equity","MIN_NONCONTROL_INTEREST_CREDITS","FQ1 2021","FQ1 2021","Currency=USD","Period=FQ","BEST_FPERIOD_OVERRIDE=FQ","FILING_STATUS=MR","SCALING_FORMAT=MLN","FA_ADJUSTED=GAAP","Sort=A","Dates=H","DateFormat=P","Fill=—","Direction=H","UseDPDF=Y")</f>
        <v>—</v>
      </c>
      <c r="L42" s="13" t="str" cm="1">
        <f t="array" ref="L42">_xll.BDH("DE US Equity","MIN_NONCONTROL_INTEREST_CREDITS","FQ2 2021","FQ2 2021","Currency=USD","Period=FQ","BEST_FPERIOD_OVERRIDE=FQ","FILING_STATUS=MR","SCALING_FORMAT=MLN","FA_ADJUSTED=GAAP","Sort=A","Dates=H","DateFormat=P","Fill=—","Direction=H","UseDPDF=Y")</f>
        <v>—</v>
      </c>
      <c r="M42" s="13" cm="1">
        <f t="array" ref="M42">_xll.BDH("DE US Equity","MIN_NONCONTROL_INTEREST_CREDITS","FQ3 2021","FQ3 2021","Currency=USD","Period=FQ","BEST_FPERIOD_OVERRIDE=FQ","FILING_STATUS=MR","SCALING_FORMAT=MLN","FA_ADJUSTED=GAAP","Sort=A","Dates=H","DateFormat=P","Fill=—","Direction=H","UseDPDF=Y")</f>
        <v>0</v>
      </c>
      <c r="N42" s="13" cm="1">
        <f t="array" ref="N42">_xll.BDH("DE US Equity","MIN_NONCONTROL_INTEREST_CREDITS","FQ4 2021","FQ4 2021","Currency=USD","Period=FQ","BEST_FPERIOD_OVERRIDE=FQ","FILING_STATUS=MR","SCALING_FORMAT=MLN","FA_ADJUSTED=GAAP","Sort=A","Dates=H","DateFormat=P","Fill=—","Direction=H","UseDPDF=Y")</f>
        <v>0</v>
      </c>
      <c r="O42" s="13" cm="1">
        <f t="array" ref="O42">_xll.BDH("DE US Equity","MIN_NONCONTROL_INTEREST_CREDITS","FQ1 2022","FQ1 2022","Currency=USD","Period=FQ","BEST_FPERIOD_OVERRIDE=FQ","FILING_STATUS=MR","SCALING_FORMAT=MLN","FA_ADJUSTED=GAAP","Sort=A","Dates=H","DateFormat=P","Fill=—","Direction=H","UseDPDF=Y")</f>
        <v>1</v>
      </c>
      <c r="P42" s="13" cm="1">
        <f t="array" ref="P42">_xll.BDH("DE US Equity","MIN_NONCONTROL_INTEREST_CREDITS","FQ2 2022","FQ2 2022","Currency=USD","Period=FQ","BEST_FPERIOD_OVERRIDE=FQ","FILING_STATUS=MR","SCALING_FORMAT=MLN","FA_ADJUSTED=GAAP","Sort=A","Dates=H","DateFormat=P","Fill=—","Direction=H","UseDPDF=Y")</f>
        <v>-1</v>
      </c>
      <c r="Q42" s="13" cm="1">
        <f t="array" ref="Q42">_xll.BDH("DE US Equity","MIN_NONCONTROL_INTEREST_CREDITS","FQ3 2022","FQ3 2022","Currency=USD","Period=FQ","BEST_FPERIOD_OVERRIDE=FQ","FILING_STATUS=MR","SCALING_FORMAT=MLN","FA_ADJUSTED=GAAP","Sort=A","Dates=H","DateFormat=P","Fill=—","Direction=H","UseDPDF=Y")</f>
        <v>1</v>
      </c>
      <c r="R42" s="13" cm="1">
        <f t="array" ref="R42">_xll.BDH("DE US Equity","MIN_NONCONTROL_INTEREST_CREDITS","FQ4 2022","FQ4 2022","Currency=USD","Period=FQ","BEST_FPERIOD_OVERRIDE=FQ","FILING_STATUS=MR","SCALING_FORMAT=MLN","FA_ADJUSTED=GAAP","Sort=A","Dates=H","DateFormat=P","Fill=—","Direction=H","UseDPDF=Y")</f>
        <v>-2</v>
      </c>
      <c r="S42" s="13" cm="1">
        <f t="array" ref="S42">_xll.BDH("DE US Equity","MIN_NONCONTROL_INTEREST_CREDITS","FQ1 2023","FQ1 2023","Currency=USD","Period=FQ","BEST_FPERIOD_OVERRIDE=FQ","FILING_STATUS=MR","SCALING_FORMAT=MLN","FA_ADJUSTED=GAAP","Sort=A","Dates=H","DateFormat=P","Fill=—","Direction=H","UseDPDF=Y")</f>
        <v>-2</v>
      </c>
      <c r="T42" s="13" cm="1">
        <f t="array" ref="T42">_xll.BDH("DE US Equity","MIN_NONCONTROL_INTEREST_CREDITS","FQ2 2023","FQ2 2023","Currency=USD","Period=FQ","BEST_FPERIOD_OVERRIDE=FQ","FILING_STATUS=MR","SCALING_FORMAT=MLN","FA_ADJUSTED=GAAP","Sort=A","Dates=H","DateFormat=P","Fill=—","Direction=H","UseDPDF=Y")</f>
        <v>-1</v>
      </c>
      <c r="U42" s="13" cm="1">
        <f t="array" ref="U42">_xll.BDH("DE US Equity","MIN_NONCONTROL_INTEREST_CREDITS","FQ3 2023","FQ3 2023","Currency=USD","Period=FQ","BEST_FPERIOD_OVERRIDE=FQ","FILING_STATUS=MR","SCALING_FORMAT=MLN","FA_ADJUSTED=GAAP","Sort=A","Dates=H","DateFormat=P","Fill=—","Direction=H","UseDPDF=Y")</f>
        <v>-6</v>
      </c>
      <c r="V42" s="13" cm="1">
        <f t="array" ref="V42">_xll.BDH("DE US Equity","MIN_NONCONTROL_INTEREST_CREDITS","FQ4 2023","FQ4 2023","Currency=USD","Period=FQ","BEST_FPERIOD_OVERRIDE=FQ","FILING_STATUS=MR","SCALING_FORMAT=MLN","FA_ADJUSTED=GAAP","Sort=A","Dates=H","DateFormat=P","Fill=—","Direction=H","UseDPDF=Y")</f>
        <v>-1</v>
      </c>
      <c r="W42" s="13" cm="1">
        <f t="array" ref="W42">_xll.BDH("DE US Equity","MIN_NONCONTROL_INTEREST_CREDITS","FQ1 2024","FQ1 2024","Currency=USD","Period=FQ","BEST_FPERIOD_OVERRIDE=FQ","FILING_STATUS=MR","SCALING_FORMAT=MLN","FA_ADJUSTED=GAAP","Sort=A","Dates=H","DateFormat=P","Fill=—","Direction=H","UseDPDF=Y")</f>
        <v>-3</v>
      </c>
      <c r="X42" s="13" cm="1">
        <f t="array" ref="X42">_xll.BDH("DE US Equity","MIN_NONCONTROL_INTEREST_CREDITS","FQ2 2024","FQ2 2024","Currency=USD","Period=FQ","BEST_FPERIOD_OVERRIDE=FQ","FILING_STATUS=MR","SCALING_FORMAT=MLN","FA_ADJUSTED=GAAP","Sort=A","Dates=H","DateFormat=P","Fill=—","Direction=H","UseDPDF=Y")</f>
        <v>-2</v>
      </c>
      <c r="Y42" s="13" cm="1">
        <f t="array" ref="Y42">_xll.BDH("DE US Equity","MIN_NONCONTROL_INTEREST_CREDITS","FQ3 2024","FQ3 2024","Currency=USD","Period=FQ","BEST_FPERIOD_OVERRIDE=FQ","FILING_STATUS=MR","SCALING_FORMAT=MLN","FA_ADJUSTED=GAAP","Sort=A","Dates=H","DateFormat=P","Fill=—","Direction=H","UseDPDF=Y")</f>
        <v>-3</v>
      </c>
      <c r="Z42" s="13" cm="1">
        <f t="array" ref="Z42">_xll.BDH("DE US Equity","MIN_NONCONTROL_INTEREST_CREDITS","FQ4 2024","FQ4 2024","Currency=USD","Period=FQ","BEST_FPERIOD_OVERRIDE=FQ","FILING_STATUS=MR","SCALING_FORMAT=MLN","FA_ADJUSTED=GAAP","Sort=A","Dates=H","DateFormat=P","Fill=—","Direction=H","UseDPDF=Y")</f>
        <v>-3</v>
      </c>
      <c r="AA42" s="13" cm="1">
        <f t="array" ref="AA42">_xll.BDH("DE US Equity","MIN_NONCONTROL_INTEREST_CREDITS","FQ1 2025","FQ1 2025","Currency=USD","Period=FQ","BEST_FPERIOD_OVERRIDE=FQ","FILING_STATUS=MR","SCALING_FORMAT=MLN","FA_ADJUSTED=GAAP","Sort=A","Dates=H","DateFormat=P","Fill=—","Direction=H","UseDPDF=Y")</f>
        <v>-2</v>
      </c>
      <c r="AB42" s="13" cm="1">
        <f t="array" ref="AB42">_xll.BDH("DE US Equity","MIN_NONCONTROL_INTEREST_CREDITS","FQ2 2025","FQ2 2025","Currency=USD","Period=FQ","BEST_FPERIOD_OVERRIDE=FQ","FILING_STATUS=MR","SCALING_FORMAT=MLN","FA_ADJUSTED=GAAP","Sort=A","Dates=H","DateFormat=P","Fill=—","Direction=H","UseDPDF=Y")</f>
        <v>-3</v>
      </c>
      <c r="AC42" s="13" cm="1">
        <f t="array" ref="AC42">_xll.BDH("DE US Equity","MIN_NONCONTROL_INTEREST_CREDITS","FQ3 2025","FQ3 2025","Currency=USD","Period=FQ","BEST_FPERIOD_OVERRIDE=FQ","FILING_STATUS=MR","SCALING_FORMAT=MLN","FA_ADJUSTED=GAAP","Sort=A","Dates=H","DateFormat=P","Fill=—","Direction=H","UseDPDF=Y")</f>
        <v>-18</v>
      </c>
      <c r="AD42" s="13" cm="1">
        <f t="array" ref="AD42">_xll.BDH("DE US Equity","MIN_NONCONTROL_INTEREST_CREDITS","FQ4 2025","FQ4 2025","Currency=USD","Period=FQ","BEST_FPERIOD_OVERRIDE=FQ","FILING_STATUS=MR","SCALING_FORMAT=MLN","FA_ADJUSTED=GAAP","Sort=A","Dates=H","DateFormat=P","Fill=—","Direction=H","UseDPDF=Y")</f>
        <v>-5</v>
      </c>
      <c r="AE42" s="13"/>
      <c r="AF42" s="13"/>
    </row>
    <row r="43" spans="1:32" x14ac:dyDescent="0.25">
      <c r="A43" s="6" t="s">
        <v>138</v>
      </c>
      <c r="B43" s="6" t="s">
        <v>139</v>
      </c>
      <c r="C43" s="16" cm="1">
        <f t="array" ref="C43">_xll.BDH("DE US Equity","NET_INCOME","FQ1 2019","FQ1 2019","Currency=USD","Period=FQ","BEST_FPERIOD_OVERRIDE=FQ","FILING_STATUS=MR","SCALING_FORMAT=MLN","FA_ADJUSTED=GAAP","Sort=A","Dates=H","DateFormat=P","Fill=—","Direction=H","UseDPDF=Y")</f>
        <v>498</v>
      </c>
      <c r="D43" s="16" cm="1">
        <f t="array" ref="D43">_xll.BDH("DE US Equity","NET_INCOME","FQ2 2019","FQ2 2019","Currency=USD","Period=FQ","BEST_FPERIOD_OVERRIDE=FQ","FILING_STATUS=MR","SCALING_FORMAT=MLN","FA_ADJUSTED=GAAP","Sort=A","Dates=H","DateFormat=P","Fill=—","Direction=H","UseDPDF=Y")</f>
        <v>1135</v>
      </c>
      <c r="E43" s="16" cm="1">
        <f t="array" ref="E43">_xll.BDH("DE US Equity","NET_INCOME","FQ3 2019","FQ3 2019","Currency=USD","Period=FQ","BEST_FPERIOD_OVERRIDE=FQ","FILING_STATUS=MR","SCALING_FORMAT=MLN","FA_ADJUSTED=GAAP","Sort=A","Dates=H","DateFormat=P","Fill=—","Direction=H","UseDPDF=Y")</f>
        <v>899</v>
      </c>
      <c r="F43" s="16" cm="1">
        <f t="array" ref="F43">_xll.BDH("DE US Equity","NET_INCOME","FQ4 2019","FQ4 2019","Currency=USD","Period=FQ","BEST_FPERIOD_OVERRIDE=FQ","FILING_STATUS=MR","SCALING_FORMAT=MLN","FA_ADJUSTED=GAAP","Sort=A","Dates=H","DateFormat=P","Fill=—","Direction=H","UseDPDF=Y")</f>
        <v>722</v>
      </c>
      <c r="G43" s="16" cm="1">
        <f t="array" ref="G43">_xll.BDH("DE US Equity","NET_INCOME","FQ1 2020","FQ1 2020","Currency=USD","Period=FQ","BEST_FPERIOD_OVERRIDE=FQ","FILING_STATUS=MR","SCALING_FORMAT=MLN","FA_ADJUSTED=GAAP","Sort=A","Dates=H","DateFormat=P","Fill=—","Direction=H","UseDPDF=Y")</f>
        <v>517</v>
      </c>
      <c r="H43" s="16" cm="1">
        <f t="array" ref="H43">_xll.BDH("DE US Equity","NET_INCOME","FQ2 2020","FQ2 2020","Currency=USD","Period=FQ","BEST_FPERIOD_OVERRIDE=FQ","FILING_STATUS=MR","SCALING_FORMAT=MLN","FA_ADJUSTED=GAAP","Sort=A","Dates=H","DateFormat=P","Fill=—","Direction=H","UseDPDF=Y")</f>
        <v>666</v>
      </c>
      <c r="I43" s="16" cm="1">
        <f t="array" ref="I43">_xll.BDH("DE US Equity","NET_INCOME","FQ3 2020","FQ3 2020","Currency=USD","Period=FQ","BEST_FPERIOD_OVERRIDE=FQ","FILING_STATUS=MR","SCALING_FORMAT=MLN","FA_ADJUSTED=GAAP","Sort=A","Dates=H","DateFormat=P","Fill=—","Direction=H","UseDPDF=Y")</f>
        <v>811</v>
      </c>
      <c r="J43" s="16" cm="1">
        <f t="array" ref="J43">_xll.BDH("DE US Equity","NET_INCOME","FQ4 2020","FQ4 2020","Currency=USD","Period=FQ","BEST_FPERIOD_OVERRIDE=FQ","FILING_STATUS=MR","SCALING_FORMAT=MLN","FA_ADJUSTED=GAAP","Sort=A","Dates=H","DateFormat=P","Fill=—","Direction=H","UseDPDF=Y")</f>
        <v>757</v>
      </c>
      <c r="K43" s="16" cm="1">
        <f t="array" ref="K43">_xll.BDH("DE US Equity","NET_INCOME","FQ1 2021","FQ1 2021","Currency=USD","Period=FQ","BEST_FPERIOD_OVERRIDE=FQ","FILING_STATUS=MR","SCALING_FORMAT=MLN","FA_ADJUSTED=GAAP","Sort=A","Dates=H","DateFormat=P","Fill=—","Direction=H","UseDPDF=Y")</f>
        <v>1224</v>
      </c>
      <c r="L43" s="16" cm="1">
        <f t="array" ref="L43">_xll.BDH("DE US Equity","NET_INCOME","FQ2 2021","FQ2 2021","Currency=USD","Period=FQ","BEST_FPERIOD_OVERRIDE=FQ","FILING_STATUS=MR","SCALING_FORMAT=MLN","FA_ADJUSTED=GAAP","Sort=A","Dates=H","DateFormat=P","Fill=—","Direction=H","UseDPDF=Y")</f>
        <v>1790</v>
      </c>
      <c r="M43" s="16" cm="1">
        <f t="array" ref="M43">_xll.BDH("DE US Equity","NET_INCOME","FQ3 2021","FQ3 2021","Currency=USD","Period=FQ","BEST_FPERIOD_OVERRIDE=FQ","FILING_STATUS=MR","SCALING_FORMAT=MLN","FA_ADJUSTED=GAAP","Sort=A","Dates=H","DateFormat=P","Fill=—","Direction=H","UseDPDF=Y")</f>
        <v>1667</v>
      </c>
      <c r="N43" s="16" cm="1">
        <f t="array" ref="N43">_xll.BDH("DE US Equity","NET_INCOME","FQ4 2021","FQ4 2021","Currency=USD","Period=FQ","BEST_FPERIOD_OVERRIDE=FQ","FILING_STATUS=MR","SCALING_FORMAT=MLN","FA_ADJUSTED=GAAP","Sort=A","Dates=H","DateFormat=P","Fill=—","Direction=H","UseDPDF=Y")</f>
        <v>1283</v>
      </c>
      <c r="O43" s="16" cm="1">
        <f t="array" ref="O43">_xll.BDH("DE US Equity","NET_INCOME","FQ1 2022","FQ1 2022","Currency=USD","Period=FQ","BEST_FPERIOD_OVERRIDE=FQ","FILING_STATUS=MR","SCALING_FORMAT=MLN","FA_ADJUSTED=GAAP","Sort=A","Dates=H","DateFormat=P","Fill=—","Direction=H","UseDPDF=Y")</f>
        <v>903</v>
      </c>
      <c r="P43" s="16" cm="1">
        <f t="array" ref="P43">_xll.BDH("DE US Equity","NET_INCOME","FQ2 2022","FQ2 2022","Currency=USD","Period=FQ","BEST_FPERIOD_OVERRIDE=FQ","FILING_STATUS=MR","SCALING_FORMAT=MLN","FA_ADJUSTED=GAAP","Sort=A","Dates=H","DateFormat=P","Fill=—","Direction=H","UseDPDF=Y")</f>
        <v>2098</v>
      </c>
      <c r="Q43" s="16" cm="1">
        <f t="array" ref="Q43">_xll.BDH("DE US Equity","NET_INCOME","FQ3 2022","FQ3 2022","Currency=USD","Period=FQ","BEST_FPERIOD_OVERRIDE=FQ","FILING_STATUS=MR","SCALING_FORMAT=MLN","FA_ADJUSTED=GAAP","Sort=A","Dates=H","DateFormat=P","Fill=—","Direction=H","UseDPDF=Y")</f>
        <v>1884</v>
      </c>
      <c r="R43" s="16" cm="1">
        <f t="array" ref="R43">_xll.BDH("DE US Equity","NET_INCOME","FQ4 2022","FQ4 2022","Currency=USD","Period=FQ","BEST_FPERIOD_OVERRIDE=FQ","FILING_STATUS=MR","SCALING_FORMAT=MLN","FA_ADJUSTED=GAAP","Sort=A","Dates=H","DateFormat=P","Fill=—","Direction=H","UseDPDF=Y")</f>
        <v>2246</v>
      </c>
      <c r="S43" s="16" cm="1">
        <f t="array" ref="S43">_xll.BDH("DE US Equity","NET_INCOME","FQ1 2023","FQ1 2023","Currency=USD","Period=FQ","BEST_FPERIOD_OVERRIDE=FQ","FILING_STATUS=MR","SCALING_FORMAT=MLN","FA_ADJUSTED=GAAP","Sort=A","Dates=H","DateFormat=P","Fill=—","Direction=H","UseDPDF=Y")</f>
        <v>1959</v>
      </c>
      <c r="T43" s="16" cm="1">
        <f t="array" ref="T43">_xll.BDH("DE US Equity","NET_INCOME","FQ2 2023","FQ2 2023","Currency=USD","Period=FQ","BEST_FPERIOD_OVERRIDE=FQ","FILING_STATUS=MR","SCALING_FORMAT=MLN","FA_ADJUSTED=GAAP","Sort=A","Dates=H","DateFormat=P","Fill=—","Direction=H","UseDPDF=Y")</f>
        <v>2860</v>
      </c>
      <c r="U43" s="16" cm="1">
        <f t="array" ref="U43">_xll.BDH("DE US Equity","NET_INCOME","FQ3 2023","FQ3 2023","Currency=USD","Period=FQ","BEST_FPERIOD_OVERRIDE=FQ","FILING_STATUS=MR","SCALING_FORMAT=MLN","FA_ADJUSTED=GAAP","Sort=A","Dates=H","DateFormat=P","Fill=—","Direction=H","UseDPDF=Y")</f>
        <v>2978</v>
      </c>
      <c r="V43" s="16" cm="1">
        <f t="array" ref="V43">_xll.BDH("DE US Equity","NET_INCOME","FQ4 2023","FQ4 2023","Currency=USD","Period=FQ","BEST_FPERIOD_OVERRIDE=FQ","FILING_STATUS=MR","SCALING_FORMAT=MLN","FA_ADJUSTED=GAAP","Sort=A","Dates=H","DateFormat=P","Fill=—","Direction=H","UseDPDF=Y")</f>
        <v>2369</v>
      </c>
      <c r="W43" s="16" cm="1">
        <f t="array" ref="W43">_xll.BDH("DE US Equity","NET_INCOME","FQ1 2024","FQ1 2024","Currency=USD","Period=FQ","BEST_FPERIOD_OVERRIDE=FQ","FILING_STATUS=MR","SCALING_FORMAT=MLN","FA_ADJUSTED=GAAP","Sort=A","Dates=H","DateFormat=P","Fill=—","Direction=H","UseDPDF=Y")</f>
        <v>1751</v>
      </c>
      <c r="X43" s="16" cm="1">
        <f t="array" ref="X43">_xll.BDH("DE US Equity","NET_INCOME","FQ2 2024","FQ2 2024","Currency=USD","Period=FQ","BEST_FPERIOD_OVERRIDE=FQ","FILING_STATUS=MR","SCALING_FORMAT=MLN","FA_ADJUSTED=GAAP","Sort=A","Dates=H","DateFormat=P","Fill=—","Direction=H","UseDPDF=Y")</f>
        <v>2370</v>
      </c>
      <c r="Y43" s="16" cm="1">
        <f t="array" ref="Y43">_xll.BDH("DE US Equity","NET_INCOME","FQ3 2024","FQ3 2024","Currency=USD","Period=FQ","BEST_FPERIOD_OVERRIDE=FQ","FILING_STATUS=MR","SCALING_FORMAT=MLN","FA_ADJUSTED=GAAP","Sort=A","Dates=H","DateFormat=P","Fill=—","Direction=H","UseDPDF=Y")</f>
        <v>1734</v>
      </c>
      <c r="Z43" s="16" cm="1">
        <f t="array" ref="Z43">_xll.BDH("DE US Equity","NET_INCOME","FQ4 2024","FQ4 2024","Currency=USD","Period=FQ","BEST_FPERIOD_OVERRIDE=FQ","FILING_STATUS=MR","SCALING_FORMAT=MLN","FA_ADJUSTED=GAAP","Sort=A","Dates=H","DateFormat=P","Fill=—","Direction=H","UseDPDF=Y")</f>
        <v>1245</v>
      </c>
      <c r="AA43" s="16" cm="1">
        <f t="array" ref="AA43">_xll.BDH("DE US Equity","NET_INCOME","FQ1 2025","FQ1 2025","Currency=USD","Period=FQ","BEST_FPERIOD_OVERRIDE=FQ","FILING_STATUS=MR","SCALING_FORMAT=MLN","FA_ADJUSTED=GAAP","Sort=A","Dates=H","DateFormat=P","Fill=—","Direction=H","UseDPDF=Y")</f>
        <v>869</v>
      </c>
      <c r="AB43" s="16" cm="1">
        <f t="array" ref="AB43">_xll.BDH("DE US Equity","NET_INCOME","FQ2 2025","FQ2 2025","Currency=USD","Period=FQ","BEST_FPERIOD_OVERRIDE=FQ","FILING_STATUS=MR","SCALING_FORMAT=MLN","FA_ADJUSTED=GAAP","Sort=A","Dates=H","DateFormat=P","Fill=—","Direction=H","UseDPDF=Y")</f>
        <v>1804</v>
      </c>
      <c r="AC43" s="16" cm="1">
        <f t="array" ref="AC43">_xll.BDH("DE US Equity","NET_INCOME","FQ3 2025","FQ3 2025","Currency=USD","Period=FQ","BEST_FPERIOD_OVERRIDE=FQ","FILING_STATUS=MR","SCALING_FORMAT=MLN","FA_ADJUSTED=GAAP","Sort=A","Dates=H","DateFormat=P","Fill=—","Direction=H","UseDPDF=Y")</f>
        <v>1289</v>
      </c>
      <c r="AD43" s="16" cm="1">
        <f t="array" ref="AD43">_xll.BDH("DE US Equity","NET_INCOME","FQ4 2025","FQ4 2025","Currency=USD","Period=FQ","BEST_FPERIOD_OVERRIDE=FQ","FILING_STATUS=MR","SCALING_FORMAT=MLN","FA_ADJUSTED=GAAP","Sort=A","Dates=H","DateFormat=P","Fill=—","Direction=H","UseDPDF=Y")</f>
        <v>1065</v>
      </c>
      <c r="AE43" s="16">
        <v>560.06299999999999</v>
      </c>
      <c r="AF43" s="16">
        <v>1467.75</v>
      </c>
    </row>
    <row r="44" spans="1:32" x14ac:dyDescent="0.25">
      <c r="A44" s="10" t="s">
        <v>140</v>
      </c>
      <c r="B44" s="10" t="s">
        <v>141</v>
      </c>
      <c r="C44" s="13" cm="1">
        <f t="array" ref="C44">_xll.BDH("DE US Equity","IS_TOT_CASH_PFD_DVD","FQ1 2019","FQ1 2019","Currency=USD","Period=FQ","BEST_FPERIOD_OVERRIDE=FQ","FILING_STATUS=MR","SCALING_FORMAT=MLN","Sort=A","Dates=H","DateFormat=P","Fill=—","Direction=H","UseDPDF=Y")</f>
        <v>0</v>
      </c>
      <c r="D44" s="13" cm="1">
        <f t="array" ref="D44">_xll.BDH("DE US Equity","IS_TOT_CASH_PFD_DVD","FQ2 2019","FQ2 2019","Currency=USD","Period=FQ","BEST_FPERIOD_OVERRIDE=FQ","FILING_STATUS=MR","SCALING_FORMAT=MLN","Sort=A","Dates=H","DateFormat=P","Fill=—","Direction=H","UseDPDF=Y")</f>
        <v>0</v>
      </c>
      <c r="E44" s="13" cm="1">
        <f t="array" ref="E44">_xll.BDH("DE US Equity","IS_TOT_CASH_PFD_DVD","FQ3 2019","FQ3 2019","Currency=USD","Period=FQ","BEST_FPERIOD_OVERRIDE=FQ","FILING_STATUS=MR","SCALING_FORMAT=MLN","Sort=A","Dates=H","DateFormat=P","Fill=—","Direction=H","UseDPDF=Y")</f>
        <v>0</v>
      </c>
      <c r="F44" s="13" cm="1">
        <f t="array" ref="F44">_xll.BDH("DE US Equity","IS_TOT_CASH_PFD_DVD","FQ4 2019","FQ4 2019","Currency=USD","Period=FQ","BEST_FPERIOD_OVERRIDE=FQ","FILING_STATUS=MR","SCALING_FORMAT=MLN","Sort=A","Dates=H","DateFormat=P","Fill=—","Direction=H","UseDPDF=Y")</f>
        <v>0</v>
      </c>
      <c r="G44" s="13" cm="1">
        <f t="array" ref="G44">_xll.BDH("DE US Equity","IS_TOT_CASH_PFD_DVD","FQ1 2020","FQ1 2020","Currency=USD","Period=FQ","BEST_FPERIOD_OVERRIDE=FQ","FILING_STATUS=MR","SCALING_FORMAT=MLN","Sort=A","Dates=H","DateFormat=P","Fill=—","Direction=H","UseDPDF=Y")</f>
        <v>0</v>
      </c>
      <c r="H44" s="13" cm="1">
        <f t="array" ref="H44">_xll.BDH("DE US Equity","IS_TOT_CASH_PFD_DVD","FQ2 2020","FQ2 2020","Currency=USD","Period=FQ","BEST_FPERIOD_OVERRIDE=FQ","FILING_STATUS=MR","SCALING_FORMAT=MLN","Sort=A","Dates=H","DateFormat=P","Fill=—","Direction=H","UseDPDF=Y")</f>
        <v>0</v>
      </c>
      <c r="I44" s="13" cm="1">
        <f t="array" ref="I44">_xll.BDH("DE US Equity","IS_TOT_CASH_PFD_DVD","FQ3 2020","FQ3 2020","Currency=USD","Period=FQ","BEST_FPERIOD_OVERRIDE=FQ","FILING_STATUS=MR","SCALING_FORMAT=MLN","Sort=A","Dates=H","DateFormat=P","Fill=—","Direction=H","UseDPDF=Y")</f>
        <v>0</v>
      </c>
      <c r="J44" s="13" cm="1">
        <f t="array" ref="J44">_xll.BDH("DE US Equity","IS_TOT_CASH_PFD_DVD","FQ4 2020","FQ4 2020","Currency=USD","Period=FQ","BEST_FPERIOD_OVERRIDE=FQ","FILING_STATUS=MR","SCALING_FORMAT=MLN","Sort=A","Dates=H","DateFormat=P","Fill=—","Direction=H","UseDPDF=Y")</f>
        <v>0</v>
      </c>
      <c r="K44" s="13" cm="1">
        <f t="array" ref="K44">_xll.BDH("DE US Equity","IS_TOT_CASH_PFD_DVD","FQ1 2021","FQ1 2021","Currency=USD","Period=FQ","BEST_FPERIOD_OVERRIDE=FQ","FILING_STATUS=MR","SCALING_FORMAT=MLN","Sort=A","Dates=H","DateFormat=P","Fill=—","Direction=H","UseDPDF=Y")</f>
        <v>0</v>
      </c>
      <c r="L44" s="13" cm="1">
        <f t="array" ref="L44">_xll.BDH("DE US Equity","IS_TOT_CASH_PFD_DVD","FQ2 2021","FQ2 2021","Currency=USD","Period=FQ","BEST_FPERIOD_OVERRIDE=FQ","FILING_STATUS=MR","SCALING_FORMAT=MLN","Sort=A","Dates=H","DateFormat=P","Fill=—","Direction=H","UseDPDF=Y")</f>
        <v>0</v>
      </c>
      <c r="M44" s="13" cm="1">
        <f t="array" ref="M44">_xll.BDH("DE US Equity","IS_TOT_CASH_PFD_DVD","FQ3 2021","FQ3 2021","Currency=USD","Period=FQ","BEST_FPERIOD_OVERRIDE=FQ","FILING_STATUS=MR","SCALING_FORMAT=MLN","Sort=A","Dates=H","DateFormat=P","Fill=—","Direction=H","UseDPDF=Y")</f>
        <v>0</v>
      </c>
      <c r="N44" s="13" cm="1">
        <f t="array" ref="N44">_xll.BDH("DE US Equity","IS_TOT_CASH_PFD_DVD","FQ4 2021","FQ4 2021","Currency=USD","Period=FQ","BEST_FPERIOD_OVERRIDE=FQ","FILING_STATUS=MR","SCALING_FORMAT=MLN","Sort=A","Dates=H","DateFormat=P","Fill=—","Direction=H","UseDPDF=Y")</f>
        <v>0</v>
      </c>
      <c r="O44" s="13" cm="1">
        <f t="array" ref="O44">_xll.BDH("DE US Equity","IS_TOT_CASH_PFD_DVD","FQ1 2022","FQ1 2022","Currency=USD","Period=FQ","BEST_FPERIOD_OVERRIDE=FQ","FILING_STATUS=MR","SCALING_FORMAT=MLN","Sort=A","Dates=H","DateFormat=P","Fill=—","Direction=H","UseDPDF=Y")</f>
        <v>0</v>
      </c>
      <c r="P44" s="13" cm="1">
        <f t="array" ref="P44">_xll.BDH("DE US Equity","IS_TOT_CASH_PFD_DVD","FQ2 2022","FQ2 2022","Currency=USD","Period=FQ","BEST_FPERIOD_OVERRIDE=FQ","FILING_STATUS=MR","SCALING_FORMAT=MLN","Sort=A","Dates=H","DateFormat=P","Fill=—","Direction=H","UseDPDF=Y")</f>
        <v>0</v>
      </c>
      <c r="Q44" s="13" cm="1">
        <f t="array" ref="Q44">_xll.BDH("DE US Equity","IS_TOT_CASH_PFD_DVD","FQ3 2022","FQ3 2022","Currency=USD","Period=FQ","BEST_FPERIOD_OVERRIDE=FQ","FILING_STATUS=MR","SCALING_FORMAT=MLN","Sort=A","Dates=H","DateFormat=P","Fill=—","Direction=H","UseDPDF=Y")</f>
        <v>0</v>
      </c>
      <c r="R44" s="13" cm="1">
        <f t="array" ref="R44">_xll.BDH("DE US Equity","IS_TOT_CASH_PFD_DVD","FQ4 2022","FQ4 2022","Currency=USD","Period=FQ","BEST_FPERIOD_OVERRIDE=FQ","FILING_STATUS=MR","SCALING_FORMAT=MLN","Sort=A","Dates=H","DateFormat=P","Fill=—","Direction=H","UseDPDF=Y")</f>
        <v>0</v>
      </c>
      <c r="S44" s="13" cm="1">
        <f t="array" ref="S44">_xll.BDH("DE US Equity","IS_TOT_CASH_PFD_DVD","FQ1 2023","FQ1 2023","Currency=USD","Period=FQ","BEST_FPERIOD_OVERRIDE=FQ","FILING_STATUS=MR","SCALING_FORMAT=MLN","Sort=A","Dates=H","DateFormat=P","Fill=—","Direction=H","UseDPDF=Y")</f>
        <v>0</v>
      </c>
      <c r="T44" s="13" cm="1">
        <f t="array" ref="T44">_xll.BDH("DE US Equity","IS_TOT_CASH_PFD_DVD","FQ2 2023","FQ2 2023","Currency=USD","Period=FQ","BEST_FPERIOD_OVERRIDE=FQ","FILING_STATUS=MR","SCALING_FORMAT=MLN","Sort=A","Dates=H","DateFormat=P","Fill=—","Direction=H","UseDPDF=Y")</f>
        <v>0</v>
      </c>
      <c r="U44" s="13" cm="1">
        <f t="array" ref="U44">_xll.BDH("DE US Equity","IS_TOT_CASH_PFD_DVD","FQ3 2023","FQ3 2023","Currency=USD","Period=FQ","BEST_FPERIOD_OVERRIDE=FQ","FILING_STATUS=MR","SCALING_FORMAT=MLN","Sort=A","Dates=H","DateFormat=P","Fill=—","Direction=H","UseDPDF=Y")</f>
        <v>0</v>
      </c>
      <c r="V44" s="13" cm="1">
        <f t="array" ref="V44">_xll.BDH("DE US Equity","IS_TOT_CASH_PFD_DVD","FQ4 2023","FQ4 2023","Currency=USD","Period=FQ","BEST_FPERIOD_OVERRIDE=FQ","FILING_STATUS=MR","SCALING_FORMAT=MLN","Sort=A","Dates=H","DateFormat=P","Fill=—","Direction=H","UseDPDF=Y")</f>
        <v>0</v>
      </c>
      <c r="W44" s="13" cm="1">
        <f t="array" ref="W44">_xll.BDH("DE US Equity","IS_TOT_CASH_PFD_DVD","FQ1 2024","FQ1 2024","Currency=USD","Period=FQ","BEST_FPERIOD_OVERRIDE=FQ","FILING_STATUS=MR","SCALING_FORMAT=MLN","Sort=A","Dates=H","DateFormat=P","Fill=—","Direction=H","UseDPDF=Y")</f>
        <v>0</v>
      </c>
      <c r="X44" s="13" cm="1">
        <f t="array" ref="X44">_xll.BDH("DE US Equity","IS_TOT_CASH_PFD_DVD","FQ2 2024","FQ2 2024","Currency=USD","Period=FQ","BEST_FPERIOD_OVERRIDE=FQ","FILING_STATUS=MR","SCALING_FORMAT=MLN","Sort=A","Dates=H","DateFormat=P","Fill=—","Direction=H","UseDPDF=Y")</f>
        <v>0</v>
      </c>
      <c r="Y44" s="13" cm="1">
        <f t="array" ref="Y44">_xll.BDH("DE US Equity","IS_TOT_CASH_PFD_DVD","FQ3 2024","FQ3 2024","Currency=USD","Period=FQ","BEST_FPERIOD_OVERRIDE=FQ","FILING_STATUS=MR","SCALING_FORMAT=MLN","Sort=A","Dates=H","DateFormat=P","Fill=—","Direction=H","UseDPDF=Y")</f>
        <v>0</v>
      </c>
      <c r="Z44" s="13" cm="1">
        <f t="array" ref="Z44">_xll.BDH("DE US Equity","IS_TOT_CASH_PFD_DVD","FQ4 2024","FQ4 2024","Currency=USD","Period=FQ","BEST_FPERIOD_OVERRIDE=FQ","FILING_STATUS=MR","SCALING_FORMAT=MLN","Sort=A","Dates=H","DateFormat=P","Fill=—","Direction=H","UseDPDF=Y")</f>
        <v>0</v>
      </c>
      <c r="AA44" s="13" cm="1">
        <f t="array" ref="AA44">_xll.BDH("DE US Equity","IS_TOT_CASH_PFD_DVD","FQ1 2025","FQ1 2025","Currency=USD","Period=FQ","BEST_FPERIOD_OVERRIDE=FQ","FILING_STATUS=MR","SCALING_FORMAT=MLN","Sort=A","Dates=H","DateFormat=P","Fill=—","Direction=H","UseDPDF=Y")</f>
        <v>0</v>
      </c>
      <c r="AB44" s="13" cm="1">
        <f t="array" ref="AB44">_xll.BDH("DE US Equity","IS_TOT_CASH_PFD_DVD","FQ2 2025","FQ2 2025","Currency=USD","Period=FQ","BEST_FPERIOD_OVERRIDE=FQ","FILING_STATUS=MR","SCALING_FORMAT=MLN","Sort=A","Dates=H","DateFormat=P","Fill=—","Direction=H","UseDPDF=Y")</f>
        <v>0</v>
      </c>
      <c r="AC44" s="13" cm="1">
        <f t="array" ref="AC44">_xll.BDH("DE US Equity","IS_TOT_CASH_PFD_DVD","FQ3 2025","FQ3 2025","Currency=USD","Period=FQ","BEST_FPERIOD_OVERRIDE=FQ","FILING_STATUS=MR","SCALING_FORMAT=MLN","Sort=A","Dates=H","DateFormat=P","Fill=—","Direction=H","UseDPDF=Y")</f>
        <v>0</v>
      </c>
      <c r="AD44" s="13" cm="1">
        <f t="array" ref="AD44">_xll.BDH("DE US Equity","IS_TOT_CASH_PFD_DVD","FQ4 2025","FQ4 2025","Currency=USD","Period=FQ","BEST_FPERIOD_OVERRIDE=FQ","FILING_STATUS=MR","SCALING_FORMAT=MLN","Sort=A","Dates=H","DateFormat=P","Fill=—","Direction=H","UseDPDF=Y")</f>
        <v>0</v>
      </c>
      <c r="AE44" s="13"/>
      <c r="AF44" s="13"/>
    </row>
    <row r="45" spans="1:32" x14ac:dyDescent="0.25">
      <c r="A45" s="10" t="s">
        <v>142</v>
      </c>
      <c r="B45" s="10" t="s">
        <v>143</v>
      </c>
      <c r="C45" s="13" cm="1">
        <f t="array" ref="C45">_xll.BDH("DE US Equity","OTHER_ADJUSTMENTS","FQ1 2019","FQ1 2019","Currency=USD","Period=FQ","BEST_FPERIOD_OVERRIDE=FQ","FILING_STATUS=MR","SCALING_FORMAT=MLN","Sort=A","Dates=H","DateFormat=P","Fill=—","Direction=H","UseDPDF=Y")</f>
        <v>0</v>
      </c>
      <c r="D45" s="13" cm="1">
        <f t="array" ref="D45">_xll.BDH("DE US Equity","OTHER_ADJUSTMENTS","FQ2 2019","FQ2 2019","Currency=USD","Period=FQ","BEST_FPERIOD_OVERRIDE=FQ","FILING_STATUS=MR","SCALING_FORMAT=MLN","Sort=A","Dates=H","DateFormat=P","Fill=—","Direction=H","UseDPDF=Y")</f>
        <v>0</v>
      </c>
      <c r="E45" s="13" cm="1">
        <f t="array" ref="E45">_xll.BDH("DE US Equity","OTHER_ADJUSTMENTS","FQ3 2019","FQ3 2019","Currency=USD","Period=FQ","BEST_FPERIOD_OVERRIDE=FQ","FILING_STATUS=MR","SCALING_FORMAT=MLN","Sort=A","Dates=H","DateFormat=P","Fill=—","Direction=H","UseDPDF=Y")</f>
        <v>0</v>
      </c>
      <c r="F45" s="13" cm="1">
        <f t="array" ref="F45">_xll.BDH("DE US Equity","OTHER_ADJUSTMENTS","FQ4 2019","FQ4 2019","Currency=USD","Period=FQ","BEST_FPERIOD_OVERRIDE=FQ","FILING_STATUS=MR","SCALING_FORMAT=MLN","Sort=A","Dates=H","DateFormat=P","Fill=—","Direction=H","UseDPDF=Y")</f>
        <v>0</v>
      </c>
      <c r="G45" s="13" cm="1">
        <f t="array" ref="G45">_xll.BDH("DE US Equity","OTHER_ADJUSTMENTS","FQ1 2020","FQ1 2020","Currency=USD","Period=FQ","BEST_FPERIOD_OVERRIDE=FQ","FILING_STATUS=MR","SCALING_FORMAT=MLN","Sort=A","Dates=H","DateFormat=P","Fill=—","Direction=H","UseDPDF=Y")</f>
        <v>0</v>
      </c>
      <c r="H45" s="13" cm="1">
        <f t="array" ref="H45">_xll.BDH("DE US Equity","OTHER_ADJUSTMENTS","FQ2 2020","FQ2 2020","Currency=USD","Period=FQ","BEST_FPERIOD_OVERRIDE=FQ","FILING_STATUS=MR","SCALING_FORMAT=MLN","Sort=A","Dates=H","DateFormat=P","Fill=—","Direction=H","UseDPDF=Y")</f>
        <v>0</v>
      </c>
      <c r="I45" s="13" cm="1">
        <f t="array" ref="I45">_xll.BDH("DE US Equity","OTHER_ADJUSTMENTS","FQ3 2020","FQ3 2020","Currency=USD","Period=FQ","BEST_FPERIOD_OVERRIDE=FQ","FILING_STATUS=MR","SCALING_FORMAT=MLN","Sort=A","Dates=H","DateFormat=P","Fill=—","Direction=H","UseDPDF=Y")</f>
        <v>0</v>
      </c>
      <c r="J45" s="13" cm="1">
        <f t="array" ref="J45">_xll.BDH("DE US Equity","OTHER_ADJUSTMENTS","FQ4 2020","FQ4 2020","Currency=USD","Period=FQ","BEST_FPERIOD_OVERRIDE=FQ","FILING_STATUS=MR","SCALING_FORMAT=MLN","Sort=A","Dates=H","DateFormat=P","Fill=—","Direction=H","UseDPDF=Y")</f>
        <v>0</v>
      </c>
      <c r="K45" s="13" cm="1">
        <f t="array" ref="K45">_xll.BDH("DE US Equity","OTHER_ADJUSTMENTS","FQ1 2021","FQ1 2021","Currency=USD","Period=FQ","BEST_FPERIOD_OVERRIDE=FQ","FILING_STATUS=MR","SCALING_FORMAT=MLN","Sort=A","Dates=H","DateFormat=P","Fill=—","Direction=H","UseDPDF=Y")</f>
        <v>0</v>
      </c>
      <c r="L45" s="13" cm="1">
        <f t="array" ref="L45">_xll.BDH("DE US Equity","OTHER_ADJUSTMENTS","FQ2 2021","FQ2 2021","Currency=USD","Period=FQ","BEST_FPERIOD_OVERRIDE=FQ","FILING_STATUS=MR","SCALING_FORMAT=MLN","Sort=A","Dates=H","DateFormat=P","Fill=—","Direction=H","UseDPDF=Y")</f>
        <v>0</v>
      </c>
      <c r="M45" s="13" cm="1">
        <f t="array" ref="M45">_xll.BDH("DE US Equity","OTHER_ADJUSTMENTS","FQ3 2021","FQ3 2021","Currency=USD","Period=FQ","BEST_FPERIOD_OVERRIDE=FQ","FILING_STATUS=MR","SCALING_FORMAT=MLN","Sort=A","Dates=H","DateFormat=P","Fill=—","Direction=H","UseDPDF=Y")</f>
        <v>0</v>
      </c>
      <c r="N45" s="13" cm="1">
        <f t="array" ref="N45">_xll.BDH("DE US Equity","OTHER_ADJUSTMENTS","FQ4 2021","FQ4 2021","Currency=USD","Period=FQ","BEST_FPERIOD_OVERRIDE=FQ","FILING_STATUS=MR","SCALING_FORMAT=MLN","Sort=A","Dates=H","DateFormat=P","Fill=—","Direction=H","UseDPDF=Y")</f>
        <v>0</v>
      </c>
      <c r="O45" s="13" cm="1">
        <f t="array" ref="O45">_xll.BDH("DE US Equity","OTHER_ADJUSTMENTS","FQ1 2022","FQ1 2022","Currency=USD","Period=FQ","BEST_FPERIOD_OVERRIDE=FQ","FILING_STATUS=MR","SCALING_FORMAT=MLN","Sort=A","Dates=H","DateFormat=P","Fill=—","Direction=H","UseDPDF=Y")</f>
        <v>0</v>
      </c>
      <c r="P45" s="13" cm="1">
        <f t="array" ref="P45">_xll.BDH("DE US Equity","OTHER_ADJUSTMENTS","FQ2 2022","FQ2 2022","Currency=USD","Period=FQ","BEST_FPERIOD_OVERRIDE=FQ","FILING_STATUS=MR","SCALING_FORMAT=MLN","Sort=A","Dates=H","DateFormat=P","Fill=—","Direction=H","UseDPDF=Y")</f>
        <v>0</v>
      </c>
      <c r="Q45" s="13" cm="1">
        <f t="array" ref="Q45">_xll.BDH("DE US Equity","OTHER_ADJUSTMENTS","FQ3 2022","FQ3 2022","Currency=USD","Period=FQ","BEST_FPERIOD_OVERRIDE=FQ","FILING_STATUS=MR","SCALING_FORMAT=MLN","Sort=A","Dates=H","DateFormat=P","Fill=—","Direction=H","UseDPDF=Y")</f>
        <v>0</v>
      </c>
      <c r="R45" s="13" cm="1">
        <f t="array" ref="R45">_xll.BDH("DE US Equity","OTHER_ADJUSTMENTS","FQ4 2022","FQ4 2022","Currency=USD","Period=FQ","BEST_FPERIOD_OVERRIDE=FQ","FILING_STATUS=MR","SCALING_FORMAT=MLN","Sort=A","Dates=H","DateFormat=P","Fill=—","Direction=H","UseDPDF=Y")</f>
        <v>0</v>
      </c>
      <c r="S45" s="13" cm="1">
        <f t="array" ref="S45">_xll.BDH("DE US Equity","OTHER_ADJUSTMENTS","FQ1 2023","FQ1 2023","Currency=USD","Period=FQ","BEST_FPERIOD_OVERRIDE=FQ","FILING_STATUS=MR","SCALING_FORMAT=MLN","Sort=A","Dates=H","DateFormat=P","Fill=—","Direction=H","UseDPDF=Y")</f>
        <v>0</v>
      </c>
      <c r="T45" s="13" cm="1">
        <f t="array" ref="T45">_xll.BDH("DE US Equity","OTHER_ADJUSTMENTS","FQ2 2023","FQ2 2023","Currency=USD","Period=FQ","BEST_FPERIOD_OVERRIDE=FQ","FILING_STATUS=MR","SCALING_FORMAT=MLN","Sort=A","Dates=H","DateFormat=P","Fill=—","Direction=H","UseDPDF=Y")</f>
        <v>0</v>
      </c>
      <c r="U45" s="13" cm="1">
        <f t="array" ref="U45">_xll.BDH("DE US Equity","OTHER_ADJUSTMENTS","FQ3 2023","FQ3 2023","Currency=USD","Period=FQ","BEST_FPERIOD_OVERRIDE=FQ","FILING_STATUS=MR","SCALING_FORMAT=MLN","Sort=A","Dates=H","DateFormat=P","Fill=—","Direction=H","UseDPDF=Y")</f>
        <v>0</v>
      </c>
      <c r="V45" s="13" cm="1">
        <f t="array" ref="V45">_xll.BDH("DE US Equity","OTHER_ADJUSTMENTS","FQ4 2023","FQ4 2023","Currency=USD","Period=FQ","BEST_FPERIOD_OVERRIDE=FQ","FILING_STATUS=MR","SCALING_FORMAT=MLN","Sort=A","Dates=H","DateFormat=P","Fill=—","Direction=H","UseDPDF=Y")</f>
        <v>0</v>
      </c>
      <c r="W45" s="13" cm="1">
        <f t="array" ref="W45">_xll.BDH("DE US Equity","OTHER_ADJUSTMENTS","FQ1 2024","FQ1 2024","Currency=USD","Period=FQ","BEST_FPERIOD_OVERRIDE=FQ","FILING_STATUS=MR","SCALING_FORMAT=MLN","Sort=A","Dates=H","DateFormat=P","Fill=—","Direction=H","UseDPDF=Y")</f>
        <v>0</v>
      </c>
      <c r="X45" s="13" cm="1">
        <f t="array" ref="X45">_xll.BDH("DE US Equity","OTHER_ADJUSTMENTS","FQ2 2024","FQ2 2024","Currency=USD","Period=FQ","BEST_FPERIOD_OVERRIDE=FQ","FILING_STATUS=MR","SCALING_FORMAT=MLN","Sort=A","Dates=H","DateFormat=P","Fill=—","Direction=H","UseDPDF=Y")</f>
        <v>0</v>
      </c>
      <c r="Y45" s="13" cm="1">
        <f t="array" ref="Y45">_xll.BDH("DE US Equity","OTHER_ADJUSTMENTS","FQ3 2024","FQ3 2024","Currency=USD","Period=FQ","BEST_FPERIOD_OVERRIDE=FQ","FILING_STATUS=MR","SCALING_FORMAT=MLN","Sort=A","Dates=H","DateFormat=P","Fill=—","Direction=H","UseDPDF=Y")</f>
        <v>0</v>
      </c>
      <c r="Z45" s="13" cm="1">
        <f t="array" ref="Z45">_xll.BDH("DE US Equity","OTHER_ADJUSTMENTS","FQ4 2024","FQ4 2024","Currency=USD","Period=FQ","BEST_FPERIOD_OVERRIDE=FQ","FILING_STATUS=MR","SCALING_FORMAT=MLN","Sort=A","Dates=H","DateFormat=P","Fill=—","Direction=H","UseDPDF=Y")</f>
        <v>0</v>
      </c>
      <c r="AA45" s="13" cm="1">
        <f t="array" ref="AA45">_xll.BDH("DE US Equity","OTHER_ADJUSTMENTS","FQ1 2025","FQ1 2025","Currency=USD","Period=FQ","BEST_FPERIOD_OVERRIDE=FQ","FILING_STATUS=MR","SCALING_FORMAT=MLN","Sort=A","Dates=H","DateFormat=P","Fill=—","Direction=H","UseDPDF=Y")</f>
        <v>0</v>
      </c>
      <c r="AB45" s="13" cm="1">
        <f t="array" ref="AB45">_xll.BDH("DE US Equity","OTHER_ADJUSTMENTS","FQ2 2025","FQ2 2025","Currency=USD","Period=FQ","BEST_FPERIOD_OVERRIDE=FQ","FILING_STATUS=MR","SCALING_FORMAT=MLN","Sort=A","Dates=H","DateFormat=P","Fill=—","Direction=H","UseDPDF=Y")</f>
        <v>0</v>
      </c>
      <c r="AC45" s="13" cm="1">
        <f t="array" ref="AC45">_xll.BDH("DE US Equity","OTHER_ADJUSTMENTS","FQ3 2025","FQ3 2025","Currency=USD","Period=FQ","BEST_FPERIOD_OVERRIDE=FQ","FILING_STATUS=MR","SCALING_FORMAT=MLN","Sort=A","Dates=H","DateFormat=P","Fill=—","Direction=H","UseDPDF=Y")</f>
        <v>0</v>
      </c>
      <c r="AD45" s="13" cm="1">
        <f t="array" ref="AD45">_xll.BDH("DE US Equity","OTHER_ADJUSTMENTS","FQ4 2025","FQ4 2025","Currency=USD","Period=FQ","BEST_FPERIOD_OVERRIDE=FQ","FILING_STATUS=MR","SCALING_FORMAT=MLN","Sort=A","Dates=H","DateFormat=P","Fill=—","Direction=H","UseDPDF=Y")</f>
        <v>0</v>
      </c>
      <c r="AE45" s="13"/>
      <c r="AF45" s="13"/>
    </row>
    <row r="46" spans="1:32" x14ac:dyDescent="0.25">
      <c r="A46" s="6" t="s">
        <v>144</v>
      </c>
      <c r="B46" s="6" t="s">
        <v>145</v>
      </c>
      <c r="C46" s="16" cm="1">
        <f t="array" ref="C46">_xll.BDH("DE US Equity","EARN_FOR_COMMON","FQ1 2019","FQ1 2019","Currency=USD","Period=FQ","BEST_FPERIOD_OVERRIDE=FQ","FILING_STATUS=MR","SCALING_FORMAT=MLN","FA_ADJUSTED=GAAP","Sort=A","Dates=H","DateFormat=P","Fill=—","Direction=H","UseDPDF=Y")</f>
        <v>498</v>
      </c>
      <c r="D46" s="16" cm="1">
        <f t="array" ref="D46">_xll.BDH("DE US Equity","EARN_FOR_COMMON","FQ2 2019","FQ2 2019","Currency=USD","Period=FQ","BEST_FPERIOD_OVERRIDE=FQ","FILING_STATUS=MR","SCALING_FORMAT=MLN","FA_ADJUSTED=GAAP","Sort=A","Dates=H","DateFormat=P","Fill=—","Direction=H","UseDPDF=Y")</f>
        <v>1135</v>
      </c>
      <c r="E46" s="16" cm="1">
        <f t="array" ref="E46">_xll.BDH("DE US Equity","EARN_FOR_COMMON","FQ3 2019","FQ3 2019","Currency=USD","Period=FQ","BEST_FPERIOD_OVERRIDE=FQ","FILING_STATUS=MR","SCALING_FORMAT=MLN","FA_ADJUSTED=GAAP","Sort=A","Dates=H","DateFormat=P","Fill=—","Direction=H","UseDPDF=Y")</f>
        <v>899</v>
      </c>
      <c r="F46" s="16" cm="1">
        <f t="array" ref="F46">_xll.BDH("DE US Equity","EARN_FOR_COMMON","FQ4 2019","FQ4 2019","Currency=USD","Period=FQ","BEST_FPERIOD_OVERRIDE=FQ","FILING_STATUS=MR","SCALING_FORMAT=MLN","FA_ADJUSTED=GAAP","Sort=A","Dates=H","DateFormat=P","Fill=—","Direction=H","UseDPDF=Y")</f>
        <v>722</v>
      </c>
      <c r="G46" s="16" cm="1">
        <f t="array" ref="G46">_xll.BDH("DE US Equity","EARN_FOR_COMMON","FQ1 2020","FQ1 2020","Currency=USD","Period=FQ","BEST_FPERIOD_OVERRIDE=FQ","FILING_STATUS=MR","SCALING_FORMAT=MLN","FA_ADJUSTED=GAAP","Sort=A","Dates=H","DateFormat=P","Fill=—","Direction=H","UseDPDF=Y")</f>
        <v>517</v>
      </c>
      <c r="H46" s="16" cm="1">
        <f t="array" ref="H46">_xll.BDH("DE US Equity","EARN_FOR_COMMON","FQ2 2020","FQ2 2020","Currency=USD","Period=FQ","BEST_FPERIOD_OVERRIDE=FQ","FILING_STATUS=MR","SCALING_FORMAT=MLN","FA_ADJUSTED=GAAP","Sort=A","Dates=H","DateFormat=P","Fill=—","Direction=H","UseDPDF=Y")</f>
        <v>666</v>
      </c>
      <c r="I46" s="16" cm="1">
        <f t="array" ref="I46">_xll.BDH("DE US Equity","EARN_FOR_COMMON","FQ3 2020","FQ3 2020","Currency=USD","Period=FQ","BEST_FPERIOD_OVERRIDE=FQ","FILING_STATUS=MR","SCALING_FORMAT=MLN","FA_ADJUSTED=GAAP","Sort=A","Dates=H","DateFormat=P","Fill=—","Direction=H","UseDPDF=Y")</f>
        <v>811</v>
      </c>
      <c r="J46" s="16" cm="1">
        <f t="array" ref="J46">_xll.BDH("DE US Equity","EARN_FOR_COMMON","FQ4 2020","FQ4 2020","Currency=USD","Period=FQ","BEST_FPERIOD_OVERRIDE=FQ","FILING_STATUS=MR","SCALING_FORMAT=MLN","FA_ADJUSTED=GAAP","Sort=A","Dates=H","DateFormat=P","Fill=—","Direction=H","UseDPDF=Y")</f>
        <v>757</v>
      </c>
      <c r="K46" s="16" cm="1">
        <f t="array" ref="K46">_xll.BDH("DE US Equity","EARN_FOR_COMMON","FQ1 2021","FQ1 2021","Currency=USD","Period=FQ","BEST_FPERIOD_OVERRIDE=FQ","FILING_STATUS=MR","SCALING_FORMAT=MLN","FA_ADJUSTED=GAAP","Sort=A","Dates=H","DateFormat=P","Fill=—","Direction=H","UseDPDF=Y")</f>
        <v>1224</v>
      </c>
      <c r="L46" s="16" cm="1">
        <f t="array" ref="L46">_xll.BDH("DE US Equity","EARN_FOR_COMMON","FQ2 2021","FQ2 2021","Currency=USD","Period=FQ","BEST_FPERIOD_OVERRIDE=FQ","FILING_STATUS=MR","SCALING_FORMAT=MLN","FA_ADJUSTED=GAAP","Sort=A","Dates=H","DateFormat=P","Fill=—","Direction=H","UseDPDF=Y")</f>
        <v>1790</v>
      </c>
      <c r="M46" s="16" cm="1">
        <f t="array" ref="M46">_xll.BDH("DE US Equity","EARN_FOR_COMMON","FQ3 2021","FQ3 2021","Currency=USD","Period=FQ","BEST_FPERIOD_OVERRIDE=FQ","FILING_STATUS=MR","SCALING_FORMAT=MLN","FA_ADJUSTED=GAAP","Sort=A","Dates=H","DateFormat=P","Fill=—","Direction=H","UseDPDF=Y")</f>
        <v>1667</v>
      </c>
      <c r="N46" s="16" cm="1">
        <f t="array" ref="N46">_xll.BDH("DE US Equity","EARN_FOR_COMMON","FQ4 2021","FQ4 2021","Currency=USD","Period=FQ","BEST_FPERIOD_OVERRIDE=FQ","FILING_STATUS=MR","SCALING_FORMAT=MLN","FA_ADJUSTED=GAAP","Sort=A","Dates=H","DateFormat=P","Fill=—","Direction=H","UseDPDF=Y")</f>
        <v>1283</v>
      </c>
      <c r="O46" s="16" cm="1">
        <f t="array" ref="O46">_xll.BDH("DE US Equity","EARN_FOR_COMMON","FQ1 2022","FQ1 2022","Currency=USD","Period=FQ","BEST_FPERIOD_OVERRIDE=FQ","FILING_STATUS=MR","SCALING_FORMAT=MLN","FA_ADJUSTED=GAAP","Sort=A","Dates=H","DateFormat=P","Fill=—","Direction=H","UseDPDF=Y")</f>
        <v>903</v>
      </c>
      <c r="P46" s="16" cm="1">
        <f t="array" ref="P46">_xll.BDH("DE US Equity","EARN_FOR_COMMON","FQ2 2022","FQ2 2022","Currency=USD","Period=FQ","BEST_FPERIOD_OVERRIDE=FQ","FILING_STATUS=MR","SCALING_FORMAT=MLN","FA_ADJUSTED=GAAP","Sort=A","Dates=H","DateFormat=P","Fill=—","Direction=H","UseDPDF=Y")</f>
        <v>2098</v>
      </c>
      <c r="Q46" s="16" cm="1">
        <f t="array" ref="Q46">_xll.BDH("DE US Equity","EARN_FOR_COMMON","FQ3 2022","FQ3 2022","Currency=USD","Period=FQ","BEST_FPERIOD_OVERRIDE=FQ","FILING_STATUS=MR","SCALING_FORMAT=MLN","FA_ADJUSTED=GAAP","Sort=A","Dates=H","DateFormat=P","Fill=—","Direction=H","UseDPDF=Y")</f>
        <v>1884</v>
      </c>
      <c r="R46" s="16" cm="1">
        <f t="array" ref="R46">_xll.BDH("DE US Equity","EARN_FOR_COMMON","FQ4 2022","FQ4 2022","Currency=USD","Period=FQ","BEST_FPERIOD_OVERRIDE=FQ","FILING_STATUS=MR","SCALING_FORMAT=MLN","FA_ADJUSTED=GAAP","Sort=A","Dates=H","DateFormat=P","Fill=—","Direction=H","UseDPDF=Y")</f>
        <v>2246</v>
      </c>
      <c r="S46" s="16" cm="1">
        <f t="array" ref="S46">_xll.BDH("DE US Equity","EARN_FOR_COMMON","FQ1 2023","FQ1 2023","Currency=USD","Period=FQ","BEST_FPERIOD_OVERRIDE=FQ","FILING_STATUS=MR","SCALING_FORMAT=MLN","FA_ADJUSTED=GAAP","Sort=A","Dates=H","DateFormat=P","Fill=—","Direction=H","UseDPDF=Y")</f>
        <v>1959</v>
      </c>
      <c r="T46" s="16" cm="1">
        <f t="array" ref="T46">_xll.BDH("DE US Equity","EARN_FOR_COMMON","FQ2 2023","FQ2 2023","Currency=USD","Period=FQ","BEST_FPERIOD_OVERRIDE=FQ","FILING_STATUS=MR","SCALING_FORMAT=MLN","FA_ADJUSTED=GAAP","Sort=A","Dates=H","DateFormat=P","Fill=—","Direction=H","UseDPDF=Y")</f>
        <v>2860</v>
      </c>
      <c r="U46" s="16" cm="1">
        <f t="array" ref="U46">_xll.BDH("DE US Equity","EARN_FOR_COMMON","FQ3 2023","FQ3 2023","Currency=USD","Period=FQ","BEST_FPERIOD_OVERRIDE=FQ","FILING_STATUS=MR","SCALING_FORMAT=MLN","FA_ADJUSTED=GAAP","Sort=A","Dates=H","DateFormat=P","Fill=—","Direction=H","UseDPDF=Y")</f>
        <v>2978</v>
      </c>
      <c r="V46" s="16" cm="1">
        <f t="array" ref="V46">_xll.BDH("DE US Equity","EARN_FOR_COMMON","FQ4 2023","FQ4 2023","Currency=USD","Period=FQ","BEST_FPERIOD_OVERRIDE=FQ","FILING_STATUS=MR","SCALING_FORMAT=MLN","FA_ADJUSTED=GAAP","Sort=A","Dates=H","DateFormat=P","Fill=—","Direction=H","UseDPDF=Y")</f>
        <v>2369</v>
      </c>
      <c r="W46" s="16" cm="1">
        <f t="array" ref="W46">_xll.BDH("DE US Equity","EARN_FOR_COMMON","FQ1 2024","FQ1 2024","Currency=USD","Period=FQ","BEST_FPERIOD_OVERRIDE=FQ","FILING_STATUS=MR","SCALING_FORMAT=MLN","FA_ADJUSTED=GAAP","Sort=A","Dates=H","DateFormat=P","Fill=—","Direction=H","UseDPDF=Y")</f>
        <v>1751</v>
      </c>
      <c r="X46" s="16" cm="1">
        <f t="array" ref="X46">_xll.BDH("DE US Equity","EARN_FOR_COMMON","FQ2 2024","FQ2 2024","Currency=USD","Period=FQ","BEST_FPERIOD_OVERRIDE=FQ","FILING_STATUS=MR","SCALING_FORMAT=MLN","FA_ADJUSTED=GAAP","Sort=A","Dates=H","DateFormat=P","Fill=—","Direction=H","UseDPDF=Y")</f>
        <v>2370</v>
      </c>
      <c r="Y46" s="16" cm="1">
        <f t="array" ref="Y46">_xll.BDH("DE US Equity","EARN_FOR_COMMON","FQ3 2024","FQ3 2024","Currency=USD","Period=FQ","BEST_FPERIOD_OVERRIDE=FQ","FILING_STATUS=MR","SCALING_FORMAT=MLN","FA_ADJUSTED=GAAP","Sort=A","Dates=H","DateFormat=P","Fill=—","Direction=H","UseDPDF=Y")</f>
        <v>1734</v>
      </c>
      <c r="Z46" s="16" cm="1">
        <f t="array" ref="Z46">_xll.BDH("DE US Equity","EARN_FOR_COMMON","FQ4 2024","FQ4 2024","Currency=USD","Period=FQ","BEST_FPERIOD_OVERRIDE=FQ","FILING_STATUS=MR","SCALING_FORMAT=MLN","FA_ADJUSTED=GAAP","Sort=A","Dates=H","DateFormat=P","Fill=—","Direction=H","UseDPDF=Y")</f>
        <v>1245</v>
      </c>
      <c r="AA46" s="16" cm="1">
        <f t="array" ref="AA46">_xll.BDH("DE US Equity","EARN_FOR_COMMON","FQ1 2025","FQ1 2025","Currency=USD","Period=FQ","BEST_FPERIOD_OVERRIDE=FQ","FILING_STATUS=MR","SCALING_FORMAT=MLN","FA_ADJUSTED=GAAP","Sort=A","Dates=H","DateFormat=P","Fill=—","Direction=H","UseDPDF=Y")</f>
        <v>869</v>
      </c>
      <c r="AB46" s="16" cm="1">
        <f t="array" ref="AB46">_xll.BDH("DE US Equity","EARN_FOR_COMMON","FQ2 2025","FQ2 2025","Currency=USD","Period=FQ","BEST_FPERIOD_OVERRIDE=FQ","FILING_STATUS=MR","SCALING_FORMAT=MLN","FA_ADJUSTED=GAAP","Sort=A","Dates=H","DateFormat=P","Fill=—","Direction=H","UseDPDF=Y")</f>
        <v>1804</v>
      </c>
      <c r="AC46" s="16" cm="1">
        <f t="array" ref="AC46">_xll.BDH("DE US Equity","EARN_FOR_COMMON","FQ3 2025","FQ3 2025","Currency=USD","Period=FQ","BEST_FPERIOD_OVERRIDE=FQ","FILING_STATUS=MR","SCALING_FORMAT=MLN","FA_ADJUSTED=GAAP","Sort=A","Dates=H","DateFormat=P","Fill=—","Direction=H","UseDPDF=Y")</f>
        <v>1289</v>
      </c>
      <c r="AD46" s="16" cm="1">
        <f t="array" ref="AD46">_xll.BDH("DE US Equity","EARN_FOR_COMMON","FQ4 2025","FQ4 2025","Currency=USD","Period=FQ","BEST_FPERIOD_OVERRIDE=FQ","FILING_STATUS=MR","SCALING_FORMAT=MLN","FA_ADJUSTED=GAAP","Sort=A","Dates=H","DateFormat=P","Fill=—","Direction=H","UseDPDF=Y")</f>
        <v>1065</v>
      </c>
      <c r="AE46" s="16">
        <v>560.06299999999999</v>
      </c>
      <c r="AF46" s="16">
        <v>1467.75</v>
      </c>
    </row>
    <row r="47" spans="1:32" x14ac:dyDescent="0.25">
      <c r="A47" s="6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 spans="1:32" x14ac:dyDescent="0.25">
      <c r="A48" s="6" t="s">
        <v>146</v>
      </c>
      <c r="B48" s="6" t="s">
        <v>145</v>
      </c>
      <c r="C48" s="16" cm="1">
        <f t="array" ref="C48">_xll.BDH("DE US Equity","EARN_FOR_COMMON","FQ1 2019","FQ1 2019","Currency=USD","Period=FQ","BEST_FPERIOD_OVERRIDE=FQ","FILING_STATUS=MR","SCALING_FORMAT=MLN","FA_ADJUSTED=Adjusted","Sort=A","Dates=H","DateFormat=P","Fill=—","Direction=H","UseDPDF=Y")</f>
        <v>498</v>
      </c>
      <c r="D48" s="16" cm="1">
        <f t="array" ref="D48">_xll.BDH("DE US Equity","EARN_FOR_COMMON","FQ2 2019","FQ2 2019","Currency=USD","Period=FQ","BEST_FPERIOD_OVERRIDE=FQ","FILING_STATUS=MR","SCALING_FORMAT=MLN","FA_ADJUSTED=Adjusted","Sort=A","Dates=H","DateFormat=P","Fill=—","Direction=H","UseDPDF=Y")</f>
        <v>1135</v>
      </c>
      <c r="E48" s="16" cm="1">
        <f t="array" ref="E48">_xll.BDH("DE US Equity","EARN_FOR_COMMON","FQ3 2019","FQ3 2019","Currency=USD","Period=FQ","BEST_FPERIOD_OVERRIDE=FQ","FILING_STATUS=MR","SCALING_FORMAT=MLN","FA_ADJUSTED=Adjusted","Sort=A","Dates=H","DateFormat=P","Fill=—","Direction=H","UseDPDF=Y")</f>
        <v>867</v>
      </c>
      <c r="F48" s="16" cm="1">
        <f t="array" ref="F48">_xll.BDH("DE US Equity","EARN_FOR_COMMON","FQ4 2019","FQ4 2019","Currency=USD","Period=FQ","BEST_FPERIOD_OVERRIDE=FQ","FILING_STATUS=MR","SCALING_FORMAT=MLN","FA_ADJUSTED=Adjusted","Sort=A","Dates=H","DateFormat=P","Fill=—","Direction=H","UseDPDF=Y")</f>
        <v>745.78</v>
      </c>
      <c r="G48" s="16" cm="1">
        <f t="array" ref="G48">_xll.BDH("DE US Equity","EARN_FOR_COMMON","FQ1 2020","FQ1 2020","Currency=USD","Period=FQ","BEST_FPERIOD_OVERRIDE=FQ","FILING_STATUS=MR","SCALING_FORMAT=MLN","FA_ADJUSTED=Adjusted","Sort=A","Dates=H","DateFormat=P","Fill=—","Direction=H","UseDPDF=Y")</f>
        <v>617.33000000000004</v>
      </c>
      <c r="H48" s="16" cm="1">
        <f t="array" ref="H48">_xll.BDH("DE US Equity","EARN_FOR_COMMON","FQ2 2020","FQ2 2020","Currency=USD","Period=FQ","BEST_FPERIOD_OVERRIDE=FQ","FILING_STATUS=MR","SCALING_FORMAT=MLN","FA_ADJUSTED=Adjusted","Sort=A","Dates=H","DateFormat=P","Fill=—","Direction=H","UseDPDF=Y")</f>
        <v>856.7</v>
      </c>
      <c r="I48" s="16" cm="1">
        <f t="array" ref="I48">_xll.BDH("DE US Equity","EARN_FOR_COMMON","FQ3 2020","FQ3 2020","Currency=USD","Period=FQ","BEST_FPERIOD_OVERRIDE=FQ","FILING_STATUS=MR","SCALING_FORMAT=MLN","FA_ADJUSTED=Adjusted","Sort=A","Dates=H","DateFormat=P","Fill=—","Direction=H","UseDPDF=Y")</f>
        <v>821.27</v>
      </c>
      <c r="J48" s="16" cm="1">
        <f t="array" ref="J48">_xll.BDH("DE US Equity","EARN_FOR_COMMON","FQ4 2020","FQ4 2020","Currency=USD","Period=FQ","BEST_FPERIOD_OVERRIDE=FQ","FILING_STATUS=MR","SCALING_FORMAT=MLN","FA_ADJUSTED=Adjusted","Sort=A","Dates=H","DateFormat=P","Fill=—","Direction=H","UseDPDF=Y")</f>
        <v>1024.8800000000001</v>
      </c>
      <c r="K48" s="16" cm="1">
        <f t="array" ref="K48">_xll.BDH("DE US Equity","EARN_FOR_COMMON","FQ1 2021","FQ1 2021","Currency=USD","Period=FQ","BEST_FPERIOD_OVERRIDE=FQ","FILING_STATUS=MR","SCALING_FORMAT=MLN","FA_ADJUSTED=Adjusted","Sort=A","Dates=H","DateFormat=P","Fill=—","Direction=H","UseDPDF=Y")</f>
        <v>1225.6600000000001</v>
      </c>
      <c r="L48" s="16" cm="1">
        <f t="array" ref="L48">_xll.BDH("DE US Equity","EARN_FOR_COMMON","FQ2 2021","FQ2 2021","Currency=USD","Period=FQ","BEST_FPERIOD_OVERRIDE=FQ","FILING_STATUS=MR","SCALING_FORMAT=MLN","FA_ADJUSTED=Adjusted","Sort=A","Dates=H","DateFormat=P","Fill=—","Direction=H","UseDPDF=Y")</f>
        <v>1790</v>
      </c>
      <c r="M48" s="16" cm="1">
        <f t="array" ref="M48">_xll.BDH("DE US Equity","EARN_FOR_COMMON","FQ3 2021","FQ3 2021","Currency=USD","Period=FQ","BEST_FPERIOD_OVERRIDE=FQ","FILING_STATUS=MR","SCALING_FORMAT=MLN","FA_ADJUSTED=Adjusted","Sort=A","Dates=H","DateFormat=P","Fill=—","Direction=H","UseDPDF=Y")</f>
        <v>1645.67</v>
      </c>
      <c r="N48" s="16" cm="1">
        <f t="array" ref="N48">_xll.BDH("DE US Equity","EARN_FOR_COMMON","FQ4 2021","FQ4 2021","Currency=USD","Period=FQ","BEST_FPERIOD_OVERRIDE=FQ","FILING_STATUS=MR","SCALING_FORMAT=MLN","FA_ADJUSTED=Adjusted","Sort=A","Dates=H","DateFormat=P","Fill=—","Direction=H","UseDPDF=Y")</f>
        <v>1283</v>
      </c>
      <c r="O48" s="16" cm="1">
        <f t="array" ref="O48">_xll.BDH("DE US Equity","EARN_FOR_COMMON","FQ1 2022","FQ1 2022","Currency=USD","Period=FQ","BEST_FPERIOD_OVERRIDE=FQ","FILING_STATUS=MR","SCALING_FORMAT=MLN","FA_ADJUSTED=Adjusted","Sort=A","Dates=H","DateFormat=P","Fill=—","Direction=H","UseDPDF=Y")</f>
        <v>974.1</v>
      </c>
      <c r="P48" s="16" cm="1">
        <f t="array" ref="P48">_xll.BDH("DE US Equity","EARN_FOR_COMMON","FQ2 2022","FQ2 2022","Currency=USD","Period=FQ","BEST_FPERIOD_OVERRIDE=FQ","FILING_STATUS=MR","SCALING_FORMAT=MLN","FA_ADJUSTED=Adjusted","Sort=A","Dates=H","DateFormat=P","Fill=—","Direction=H","UseDPDF=Y")</f>
        <v>2152.5100000000002</v>
      </c>
      <c r="Q48" s="16" cm="1">
        <f t="array" ref="Q48">_xll.BDH("DE US Equity","EARN_FOR_COMMON","FQ3 2022","FQ3 2022","Currency=USD","Period=FQ","BEST_FPERIOD_OVERRIDE=FQ","FILING_STATUS=MR","SCALING_FORMAT=MLN","FA_ADJUSTED=Adjusted","Sort=A","Dates=H","DateFormat=P","Fill=—","Direction=H","UseDPDF=Y")</f>
        <v>1915.6</v>
      </c>
      <c r="R48" s="16" cm="1">
        <f t="array" ref="R48">_xll.BDH("DE US Equity","EARN_FOR_COMMON","FQ4 2022","FQ4 2022","Currency=USD","Period=FQ","BEST_FPERIOD_OVERRIDE=FQ","FILING_STATUS=MR","SCALING_FORMAT=MLN","FA_ADJUSTED=Adjusted","Sort=A","Dates=H","DateFormat=P","Fill=—","Direction=H","UseDPDF=Y")</f>
        <v>2061.14</v>
      </c>
      <c r="S48" s="16" cm="1">
        <f t="array" ref="S48">_xll.BDH("DE US Equity","EARN_FOR_COMMON","FQ1 2023","FQ1 2023","Currency=USD","Period=FQ","BEST_FPERIOD_OVERRIDE=FQ","FILING_STATUS=MR","SCALING_FORMAT=MLN","FA_ADJUSTED=Adjusted","Sort=A","Dates=H","DateFormat=P","Fill=—","Direction=H","UseDPDF=Y")</f>
        <v>1959</v>
      </c>
      <c r="T48" s="16" cm="1">
        <f t="array" ref="T48">_xll.BDH("DE US Equity","EARN_FOR_COMMON","FQ2 2023","FQ2 2023","Currency=USD","Period=FQ","BEST_FPERIOD_OVERRIDE=FQ","FILING_STATUS=MR","SCALING_FORMAT=MLN","FA_ADJUSTED=Adjusted","Sort=A","Dates=H","DateFormat=P","Fill=—","Direction=H","UseDPDF=Y")</f>
        <v>2996.67</v>
      </c>
      <c r="U48" s="16" cm="1">
        <f t="array" ref="U48">_xll.BDH("DE US Equity","EARN_FOR_COMMON","FQ3 2023","FQ3 2023","Currency=USD","Period=FQ","BEST_FPERIOD_OVERRIDE=FQ","FILING_STATUS=MR","SCALING_FORMAT=MLN","FA_ADJUSTED=Adjusted","Sort=A","Dates=H","DateFormat=P","Fill=—","Direction=H","UseDPDF=Y")</f>
        <v>2735</v>
      </c>
      <c r="V48" s="16" cm="1">
        <f t="array" ref="V48">_xll.BDH("DE US Equity","EARN_FOR_COMMON","FQ4 2023","FQ4 2023","Currency=USD","Period=FQ","BEST_FPERIOD_OVERRIDE=FQ","FILING_STATUS=MR","SCALING_FORMAT=MLN","FA_ADJUSTED=Adjusted","Sort=A","Dates=H","DateFormat=P","Fill=—","Direction=H","UseDPDF=Y")</f>
        <v>2383.2199999999998</v>
      </c>
      <c r="W48" s="16" cm="1">
        <f t="array" ref="W48">_xll.BDH("DE US Equity","EARN_FOR_COMMON","FQ1 2024","FQ1 2024","Currency=USD","Period=FQ","BEST_FPERIOD_OVERRIDE=FQ","FILING_STATUS=MR","SCALING_FORMAT=MLN","FA_ADJUSTED=Adjusted","Sort=A","Dates=H","DateFormat=P","Fill=—","Direction=H","UseDPDF=Y")</f>
        <v>1751</v>
      </c>
      <c r="X48" s="16" cm="1">
        <f t="array" ref="X48">_xll.BDH("DE US Equity","EARN_FOR_COMMON","FQ2 2024","FQ2 2024","Currency=USD","Period=FQ","BEST_FPERIOD_OVERRIDE=FQ","FILING_STATUS=MR","SCALING_FORMAT=MLN","FA_ADJUSTED=Adjusted","Sort=A","Dates=H","DateFormat=P","Fill=—","Direction=H","UseDPDF=Y")</f>
        <v>2370</v>
      </c>
      <c r="Y48" s="16" cm="1">
        <f t="array" ref="Y48">_xll.BDH("DE US Equity","EARN_FOR_COMMON","FQ3 2024","FQ3 2024","Currency=USD","Period=FQ","BEST_FPERIOD_OVERRIDE=FQ","FILING_STATUS=MR","SCALING_FORMAT=MLN","FA_ADJUSTED=Adjusted","Sort=A","Dates=H","DateFormat=P","Fill=—","Direction=H","UseDPDF=Y")</f>
        <v>1734</v>
      </c>
      <c r="Z48" s="16" cm="1">
        <f t="array" ref="Z48">_xll.BDH("DE US Equity","EARN_FOR_COMMON","FQ4 2024","FQ4 2024","Currency=USD","Period=FQ","BEST_FPERIOD_OVERRIDE=FQ","FILING_STATUS=MR","SCALING_FORMAT=MLN","FA_ADJUSTED=Adjusted","Sort=A","Dates=H","DateFormat=P","Fill=—","Direction=H","UseDPDF=Y")</f>
        <v>1298.07</v>
      </c>
      <c r="AA48" s="16" cm="1">
        <f t="array" ref="AA48">_xll.BDH("DE US Equity","EARN_FOR_COMMON","FQ1 2025","FQ1 2025","Currency=USD","Period=FQ","BEST_FPERIOD_OVERRIDE=FQ","FILING_STATUS=MR","SCALING_FORMAT=MLN","FA_ADJUSTED=Adjusted","Sort=A","Dates=H","DateFormat=P","Fill=—","Direction=H","UseDPDF=Y")</f>
        <v>843.72</v>
      </c>
      <c r="AB48" s="16" cm="1">
        <f t="array" ref="AB48">_xll.BDH("DE US Equity","EARN_FOR_COMMON","FQ2 2025","FQ2 2025","Currency=USD","Period=FQ","BEST_FPERIOD_OVERRIDE=FQ","FILING_STATUS=MR","SCALING_FORMAT=MLN","FA_ADJUSTED=Adjusted","Sort=A","Dates=H","DateFormat=P","Fill=—","Direction=H","UseDPDF=Y")</f>
        <v>1804</v>
      </c>
      <c r="AC48" s="16" cm="1">
        <f t="array" ref="AC48">_xll.BDH("DE US Equity","EARN_FOR_COMMON","FQ3 2025","FQ3 2025","Currency=USD","Period=FQ","BEST_FPERIOD_OVERRIDE=FQ","FILING_STATUS=MR","SCALING_FORMAT=MLN","FA_ADJUSTED=Adjusted","Sort=A","Dates=H","DateFormat=P","Fill=—","Direction=H","UseDPDF=Y")</f>
        <v>1338</v>
      </c>
      <c r="AD48" s="16" cm="1">
        <f t="array" ref="AD48">_xll.BDH("DE US Equity","EARN_FOR_COMMON","FQ4 2025","FQ4 2025","Currency=USD","Period=FQ","BEST_FPERIOD_OVERRIDE=FQ","FILING_STATUS=MR","SCALING_FORMAT=MLN","FA_ADJUSTED=Adjusted","Sort=A","Dates=H","DateFormat=P","Fill=—","Direction=H","UseDPDF=Y")</f>
        <v>1140</v>
      </c>
      <c r="AE48" s="16">
        <v>554</v>
      </c>
      <c r="AF48" s="16">
        <v>1467.2629999999999</v>
      </c>
    </row>
    <row r="49" spans="1:32" x14ac:dyDescent="0.25">
      <c r="A49" s="10" t="s">
        <v>147</v>
      </c>
      <c r="B49" s="10" t="s">
        <v>148</v>
      </c>
      <c r="C49" s="13" cm="1">
        <f t="array" ref="C49">_xll.BDH("DE US Equity","IS_NET_ABNORMAL_ITEMS","FQ1 2019","FQ1 2019","Currency=USD","Period=FQ","BEST_FPERIOD_OVERRIDE=FQ","FILING_STATUS=MR","SCALING_FORMAT=MLN","Sort=A","Dates=H","DateFormat=P","Fill=—","Direction=H","UseDPDF=Y")</f>
        <v>0</v>
      </c>
      <c r="D49" s="13" cm="1">
        <f t="array" ref="D49">_xll.BDH("DE US Equity","IS_NET_ABNORMAL_ITEMS","FQ2 2019","FQ2 2019","Currency=USD","Period=FQ","BEST_FPERIOD_OVERRIDE=FQ","FILING_STATUS=MR","SCALING_FORMAT=MLN","Sort=A","Dates=H","DateFormat=P","Fill=—","Direction=H","UseDPDF=Y")</f>
        <v>0</v>
      </c>
      <c r="E49" s="13" cm="1">
        <f t="array" ref="E49">_xll.BDH("DE US Equity","IS_NET_ABNORMAL_ITEMS","FQ3 2019","FQ3 2019","Currency=USD","Period=FQ","BEST_FPERIOD_OVERRIDE=FQ","FILING_STATUS=MR","SCALING_FORMAT=MLN","Sort=A","Dates=H","DateFormat=P","Fill=—","Direction=H","UseDPDF=Y")</f>
        <v>-32</v>
      </c>
      <c r="F49" s="13" cm="1">
        <f t="array" ref="F49">_xll.BDH("DE US Equity","IS_NET_ABNORMAL_ITEMS","FQ4 2019","FQ4 2019","Currency=USD","Period=FQ","BEST_FPERIOD_OVERRIDE=FQ","FILING_STATUS=MR","SCALING_FORMAT=MLN","Sort=A","Dates=H","DateFormat=P","Fill=—","Direction=H","UseDPDF=Y")</f>
        <v>23.78</v>
      </c>
      <c r="G49" s="13" cm="1">
        <f t="array" ref="G49">_xll.BDH("DE US Equity","IS_NET_ABNORMAL_ITEMS","FQ1 2020","FQ1 2020","Currency=USD","Period=FQ","BEST_FPERIOD_OVERRIDE=FQ","FILING_STATUS=MR","SCALING_FORMAT=MLN","Sort=A","Dates=H","DateFormat=P","Fill=—","Direction=H","UseDPDF=Y")</f>
        <v>100.33</v>
      </c>
      <c r="H49" s="13" cm="1">
        <f t="array" ref="H49">_xll.BDH("DE US Equity","IS_NET_ABNORMAL_ITEMS","FQ2 2020","FQ2 2020","Currency=USD","Period=FQ","BEST_FPERIOD_OVERRIDE=FQ","FILING_STATUS=MR","SCALING_FORMAT=MLN","Sort=A","Dates=H","DateFormat=P","Fill=—","Direction=H","UseDPDF=Y")</f>
        <v>190.7</v>
      </c>
      <c r="I49" s="13" cm="1">
        <f t="array" ref="I49">_xll.BDH("DE US Equity","IS_NET_ABNORMAL_ITEMS","FQ3 2020","FQ3 2020","Currency=USD","Period=FQ","BEST_FPERIOD_OVERRIDE=FQ","FILING_STATUS=MR","SCALING_FORMAT=MLN","Sort=A","Dates=H","DateFormat=P","Fill=—","Direction=H","UseDPDF=Y")</f>
        <v>10.27</v>
      </c>
      <c r="J49" s="13" cm="1">
        <f t="array" ref="J49">_xll.BDH("DE US Equity","IS_NET_ABNORMAL_ITEMS","FQ4 2020","FQ4 2020","Currency=USD","Period=FQ","BEST_FPERIOD_OVERRIDE=FQ","FILING_STATUS=MR","SCALING_FORMAT=MLN","Sort=A","Dates=H","DateFormat=P","Fill=—","Direction=H","UseDPDF=Y")</f>
        <v>267.88</v>
      </c>
      <c r="K49" s="13" cm="1">
        <f t="array" ref="K49">_xll.BDH("DE US Equity","IS_NET_ABNORMAL_ITEMS","FQ1 2021","FQ1 2021","Currency=USD","Period=FQ","BEST_FPERIOD_OVERRIDE=FQ","FILING_STATUS=MR","SCALING_FORMAT=MLN","Sort=A","Dates=H","DateFormat=P","Fill=—","Direction=H","UseDPDF=Y")</f>
        <v>1.66</v>
      </c>
      <c r="L49" s="13" cm="1">
        <f t="array" ref="L49">_xll.BDH("DE US Equity","IS_NET_ABNORMAL_ITEMS","FQ2 2021","FQ2 2021","Currency=USD","Period=FQ","BEST_FPERIOD_OVERRIDE=FQ","FILING_STATUS=MR","SCALING_FORMAT=MLN","Sort=A","Dates=H","DateFormat=P","Fill=—","Direction=H","UseDPDF=Y")</f>
        <v>0</v>
      </c>
      <c r="M49" s="13" cm="1">
        <f t="array" ref="M49">_xll.BDH("DE US Equity","IS_NET_ABNORMAL_ITEMS","FQ3 2021","FQ3 2021","Currency=USD","Period=FQ","BEST_FPERIOD_OVERRIDE=FQ","FILING_STATUS=MR","SCALING_FORMAT=MLN","Sort=A","Dates=H","DateFormat=P","Fill=—","Direction=H","UseDPDF=Y")</f>
        <v>-21.33</v>
      </c>
      <c r="N49" s="13" cm="1">
        <f t="array" ref="N49">_xll.BDH("DE US Equity","IS_NET_ABNORMAL_ITEMS","FQ4 2021","FQ4 2021","Currency=USD","Period=FQ","BEST_FPERIOD_OVERRIDE=FQ","FILING_STATUS=MR","SCALING_FORMAT=MLN","Sort=A","Dates=H","DateFormat=P","Fill=—","Direction=H","UseDPDF=Y")</f>
        <v>0</v>
      </c>
      <c r="O49" s="13" cm="1">
        <f t="array" ref="O49">_xll.BDH("DE US Equity","IS_NET_ABNORMAL_ITEMS","FQ1 2022","FQ1 2022","Currency=USD","Period=FQ","BEST_FPERIOD_OVERRIDE=FQ","FILING_STATUS=MR","SCALING_FORMAT=MLN","Sort=A","Dates=H","DateFormat=P","Fill=—","Direction=H","UseDPDF=Y")</f>
        <v>71.099999999999994</v>
      </c>
      <c r="P49" s="13" cm="1">
        <f t="array" ref="P49">_xll.BDH("DE US Equity","IS_NET_ABNORMAL_ITEMS","FQ2 2022","FQ2 2022","Currency=USD","Period=FQ","BEST_FPERIOD_OVERRIDE=FQ","FILING_STATUS=MR","SCALING_FORMAT=MLN","Sort=A","Dates=H","DateFormat=P","Fill=—","Direction=H","UseDPDF=Y")</f>
        <v>54.51</v>
      </c>
      <c r="Q49" s="13" cm="1">
        <f t="array" ref="Q49">_xll.BDH("DE US Equity","IS_NET_ABNORMAL_ITEMS","FQ3 2022","FQ3 2022","Currency=USD","Period=FQ","BEST_FPERIOD_OVERRIDE=FQ","FILING_STATUS=MR","SCALING_FORMAT=MLN","Sort=A","Dates=H","DateFormat=P","Fill=—","Direction=H","UseDPDF=Y")</f>
        <v>31.6</v>
      </c>
      <c r="R49" s="13" cm="1">
        <f t="array" ref="R49">_xll.BDH("DE US Equity","IS_NET_ABNORMAL_ITEMS","FQ4 2022","FQ4 2022","Currency=USD","Period=FQ","BEST_FPERIOD_OVERRIDE=FQ","FILING_STATUS=MR","SCALING_FORMAT=MLN","Sort=A","Dates=H","DateFormat=P","Fill=—","Direction=H","UseDPDF=Y")</f>
        <v>-184.86</v>
      </c>
      <c r="S49" s="13" cm="1">
        <f t="array" ref="S49">_xll.BDH("DE US Equity","IS_NET_ABNORMAL_ITEMS","FQ1 2023","FQ1 2023","Currency=USD","Period=FQ","BEST_FPERIOD_OVERRIDE=FQ","FILING_STATUS=MR","SCALING_FORMAT=MLN","Sort=A","Dates=H","DateFormat=P","Fill=—","Direction=H","UseDPDF=Y")</f>
        <v>0</v>
      </c>
      <c r="T49" s="13" cm="1">
        <f t="array" ref="T49">_xll.BDH("DE US Equity","IS_NET_ABNORMAL_ITEMS","FQ2 2023","FQ2 2023","Currency=USD","Period=FQ","BEST_FPERIOD_OVERRIDE=FQ","FILING_STATUS=MR","SCALING_FORMAT=MLN","Sort=A","Dates=H","DateFormat=P","Fill=—","Direction=H","UseDPDF=Y")</f>
        <v>136.66999999999999</v>
      </c>
      <c r="U49" s="13" cm="1">
        <f t="array" ref="U49">_xll.BDH("DE US Equity","IS_NET_ABNORMAL_ITEMS","FQ3 2023","FQ3 2023","Currency=USD","Period=FQ","BEST_FPERIOD_OVERRIDE=FQ","FILING_STATUS=MR","SCALING_FORMAT=MLN","Sort=A","Dates=H","DateFormat=P","Fill=—","Direction=H","UseDPDF=Y")</f>
        <v>-243</v>
      </c>
      <c r="V49" s="13" cm="1">
        <f t="array" ref="V49">_xll.BDH("DE US Equity","IS_NET_ABNORMAL_ITEMS","FQ4 2023","FQ4 2023","Currency=USD","Period=FQ","BEST_FPERIOD_OVERRIDE=FQ","FILING_STATUS=MR","SCALING_FORMAT=MLN","Sort=A","Dates=H","DateFormat=P","Fill=—","Direction=H","UseDPDF=Y")</f>
        <v>14.22</v>
      </c>
      <c r="W49" s="13" cm="1">
        <f t="array" ref="W49">_xll.BDH("DE US Equity","IS_NET_ABNORMAL_ITEMS","FQ1 2024","FQ1 2024","Currency=USD","Period=FQ","BEST_FPERIOD_OVERRIDE=FQ","FILING_STATUS=MR","SCALING_FORMAT=MLN","Sort=A","Dates=H","DateFormat=P","Fill=—","Direction=H","UseDPDF=Y")</f>
        <v>0</v>
      </c>
      <c r="X49" s="13" cm="1">
        <f t="array" ref="X49">_xll.BDH("DE US Equity","IS_NET_ABNORMAL_ITEMS","FQ2 2024","FQ2 2024","Currency=USD","Period=FQ","BEST_FPERIOD_OVERRIDE=FQ","FILING_STATUS=MR","SCALING_FORMAT=MLN","Sort=A","Dates=H","DateFormat=P","Fill=—","Direction=H","UseDPDF=Y")</f>
        <v>0</v>
      </c>
      <c r="Y49" s="13" cm="1">
        <f t="array" ref="Y49">_xll.BDH("DE US Equity","IS_NET_ABNORMAL_ITEMS","FQ3 2024","FQ3 2024","Currency=USD","Period=FQ","BEST_FPERIOD_OVERRIDE=FQ","FILING_STATUS=MR","SCALING_FORMAT=MLN","Sort=A","Dates=H","DateFormat=P","Fill=—","Direction=H","UseDPDF=Y")</f>
        <v>0</v>
      </c>
      <c r="Z49" s="13" cm="1">
        <f t="array" ref="Z49">_xll.BDH("DE US Equity","IS_NET_ABNORMAL_ITEMS","FQ4 2024","FQ4 2024","Currency=USD","Period=FQ","BEST_FPERIOD_OVERRIDE=FQ","FILING_STATUS=MR","SCALING_FORMAT=MLN","Sort=A","Dates=H","DateFormat=P","Fill=—","Direction=H","UseDPDF=Y")</f>
        <v>53.07</v>
      </c>
      <c r="AA49" s="13" cm="1">
        <f t="array" ref="AA49">_xll.BDH("DE US Equity","IS_NET_ABNORMAL_ITEMS","FQ1 2025","FQ1 2025","Currency=USD","Period=FQ","BEST_FPERIOD_OVERRIDE=FQ","FILING_STATUS=MR","SCALING_FORMAT=MLN","Sort=A","Dates=H","DateFormat=P","Fill=—","Direction=H","UseDPDF=Y")</f>
        <v>-25.28</v>
      </c>
      <c r="AB49" s="13" cm="1">
        <f t="array" ref="AB49">_xll.BDH("DE US Equity","IS_NET_ABNORMAL_ITEMS","FQ2 2025","FQ2 2025","Currency=USD","Period=FQ","BEST_FPERIOD_OVERRIDE=FQ","FILING_STATUS=MR","SCALING_FORMAT=MLN","Sort=A","Dates=H","DateFormat=P","Fill=—","Direction=H","UseDPDF=Y")</f>
        <v>0</v>
      </c>
      <c r="AC49" s="13" cm="1">
        <f t="array" ref="AC49">_xll.BDH("DE US Equity","IS_NET_ABNORMAL_ITEMS","FQ3 2025","FQ3 2025","Currency=USD","Period=FQ","BEST_FPERIOD_OVERRIDE=FQ","FILING_STATUS=MR","SCALING_FORMAT=MLN","Sort=A","Dates=H","DateFormat=P","Fill=—","Direction=H","UseDPDF=Y")</f>
        <v>49</v>
      </c>
      <c r="AD49" s="13" cm="1">
        <f t="array" ref="AD49">_xll.BDH("DE US Equity","IS_NET_ABNORMAL_ITEMS","FQ4 2025","FQ4 2025","Currency=USD","Period=FQ","BEST_FPERIOD_OVERRIDE=FQ","FILING_STATUS=MR","SCALING_FORMAT=MLN","Sort=A","Dates=H","DateFormat=P","Fill=—","Direction=H","UseDPDF=Y")</f>
        <v>75</v>
      </c>
      <c r="AE49" s="13"/>
      <c r="AF49" s="13"/>
    </row>
    <row r="50" spans="1:32" x14ac:dyDescent="0.25">
      <c r="A50" s="10" t="s">
        <v>149</v>
      </c>
      <c r="B50" s="10" t="s">
        <v>129</v>
      </c>
      <c r="C50" s="13" cm="1">
        <f t="array" ref="C50">_xll.BDH("DE US Equity","XO_GL_NET_OF_TAX","FQ1 2019","FQ1 2019","Currency=USD","Period=FQ","BEST_FPERIOD_OVERRIDE=FQ","FILING_STATUS=MR","SCALING_FORMAT=MLN","Sort=A","Dates=H","DateFormat=P","Fill=—","Direction=H","UseDPDF=Y")</f>
        <v>0</v>
      </c>
      <c r="D50" s="13" cm="1">
        <f t="array" ref="D50">_xll.BDH("DE US Equity","XO_GL_NET_OF_TAX","FQ2 2019","FQ2 2019","Currency=USD","Period=FQ","BEST_FPERIOD_OVERRIDE=FQ","FILING_STATUS=MR","SCALING_FORMAT=MLN","Sort=A","Dates=H","DateFormat=P","Fill=—","Direction=H","UseDPDF=Y")</f>
        <v>0</v>
      </c>
      <c r="E50" s="13" cm="1">
        <f t="array" ref="E50">_xll.BDH("DE US Equity","XO_GL_NET_OF_TAX","FQ3 2019","FQ3 2019","Currency=USD","Period=FQ","BEST_FPERIOD_OVERRIDE=FQ","FILING_STATUS=MR","SCALING_FORMAT=MLN","Sort=A","Dates=H","DateFormat=P","Fill=—","Direction=H","UseDPDF=Y")</f>
        <v>0</v>
      </c>
      <c r="F50" s="13" cm="1">
        <f t="array" ref="F50">_xll.BDH("DE US Equity","XO_GL_NET_OF_TAX","FQ4 2019","FQ4 2019","Currency=USD","Period=FQ","BEST_FPERIOD_OVERRIDE=FQ","FILING_STATUS=MR","SCALING_FORMAT=MLN","Sort=A","Dates=H","DateFormat=P","Fill=—","Direction=H","UseDPDF=Y")</f>
        <v>0</v>
      </c>
      <c r="G50" s="13" cm="1">
        <f t="array" ref="G50">_xll.BDH("DE US Equity","XO_GL_NET_OF_TAX","FQ1 2020","FQ1 2020","Currency=USD","Period=FQ","BEST_FPERIOD_OVERRIDE=FQ","FILING_STATUS=MR","SCALING_FORMAT=MLN","Sort=A","Dates=H","DateFormat=P","Fill=—","Direction=H","UseDPDF=Y")</f>
        <v>0</v>
      </c>
      <c r="H50" s="13" cm="1">
        <f t="array" ref="H50">_xll.BDH("DE US Equity","XO_GL_NET_OF_TAX","FQ2 2020","FQ2 2020","Currency=USD","Period=FQ","BEST_FPERIOD_OVERRIDE=FQ","FILING_STATUS=MR","SCALING_FORMAT=MLN","Sort=A","Dates=H","DateFormat=P","Fill=—","Direction=H","UseDPDF=Y")</f>
        <v>0</v>
      </c>
      <c r="I50" s="13" cm="1">
        <f t="array" ref="I50">_xll.BDH("DE US Equity","XO_GL_NET_OF_TAX","FQ3 2020","FQ3 2020","Currency=USD","Period=FQ","BEST_FPERIOD_OVERRIDE=FQ","FILING_STATUS=MR","SCALING_FORMAT=MLN","Sort=A","Dates=H","DateFormat=P","Fill=—","Direction=H","UseDPDF=Y")</f>
        <v>0</v>
      </c>
      <c r="J50" s="13" cm="1">
        <f t="array" ref="J50">_xll.BDH("DE US Equity","XO_GL_NET_OF_TAX","FQ4 2020","FQ4 2020","Currency=USD","Period=FQ","BEST_FPERIOD_OVERRIDE=FQ","FILING_STATUS=MR","SCALING_FORMAT=MLN","Sort=A","Dates=H","DateFormat=P","Fill=—","Direction=H","UseDPDF=Y")</f>
        <v>0</v>
      </c>
      <c r="K50" s="13" cm="1">
        <f t="array" ref="K50">_xll.BDH("DE US Equity","XO_GL_NET_OF_TAX","FQ1 2021","FQ1 2021","Currency=USD","Period=FQ","BEST_FPERIOD_OVERRIDE=FQ","FILING_STATUS=MR","SCALING_FORMAT=MLN","Sort=A","Dates=H","DateFormat=P","Fill=—","Direction=H","UseDPDF=Y")</f>
        <v>0</v>
      </c>
      <c r="L50" s="13" cm="1">
        <f t="array" ref="L50">_xll.BDH("DE US Equity","XO_GL_NET_OF_TAX","FQ2 2021","FQ2 2021","Currency=USD","Period=FQ","BEST_FPERIOD_OVERRIDE=FQ","FILING_STATUS=MR","SCALING_FORMAT=MLN","Sort=A","Dates=H","DateFormat=P","Fill=—","Direction=H","UseDPDF=Y")</f>
        <v>0</v>
      </c>
      <c r="M50" s="13" cm="1">
        <f t="array" ref="M50">_xll.BDH("DE US Equity","XO_GL_NET_OF_TAX","FQ3 2021","FQ3 2021","Currency=USD","Period=FQ","BEST_FPERIOD_OVERRIDE=FQ","FILING_STATUS=MR","SCALING_FORMAT=MLN","Sort=A","Dates=H","DateFormat=P","Fill=—","Direction=H","UseDPDF=Y")</f>
        <v>0</v>
      </c>
      <c r="N50" s="13" cm="1">
        <f t="array" ref="N50">_xll.BDH("DE US Equity","XO_GL_NET_OF_TAX","FQ4 2021","FQ4 2021","Currency=USD","Period=FQ","BEST_FPERIOD_OVERRIDE=FQ","FILING_STATUS=MR","SCALING_FORMAT=MLN","Sort=A","Dates=H","DateFormat=P","Fill=—","Direction=H","UseDPDF=Y")</f>
        <v>0</v>
      </c>
      <c r="O50" s="13" cm="1">
        <f t="array" ref="O50">_xll.BDH("DE US Equity","XO_GL_NET_OF_TAX","FQ1 2022","FQ1 2022","Currency=USD","Period=FQ","BEST_FPERIOD_OVERRIDE=FQ","FILING_STATUS=MR","SCALING_FORMAT=MLN","Sort=A","Dates=H","DateFormat=P","Fill=—","Direction=H","UseDPDF=Y")</f>
        <v>0</v>
      </c>
      <c r="P50" s="13" cm="1">
        <f t="array" ref="P50">_xll.BDH("DE US Equity","XO_GL_NET_OF_TAX","FQ2 2022","FQ2 2022","Currency=USD","Period=FQ","BEST_FPERIOD_OVERRIDE=FQ","FILING_STATUS=MR","SCALING_FORMAT=MLN","Sort=A","Dates=H","DateFormat=P","Fill=—","Direction=H","UseDPDF=Y")</f>
        <v>0</v>
      </c>
      <c r="Q50" s="13" cm="1">
        <f t="array" ref="Q50">_xll.BDH("DE US Equity","XO_GL_NET_OF_TAX","FQ3 2022","FQ3 2022","Currency=USD","Period=FQ","BEST_FPERIOD_OVERRIDE=FQ","FILING_STATUS=MR","SCALING_FORMAT=MLN","Sort=A","Dates=H","DateFormat=P","Fill=—","Direction=H","UseDPDF=Y")</f>
        <v>0</v>
      </c>
      <c r="R50" s="13" cm="1">
        <f t="array" ref="R50">_xll.BDH("DE US Equity","XO_GL_NET_OF_TAX","FQ4 2022","FQ4 2022","Currency=USD","Period=FQ","BEST_FPERIOD_OVERRIDE=FQ","FILING_STATUS=MR","SCALING_FORMAT=MLN","Sort=A","Dates=H","DateFormat=P","Fill=—","Direction=H","UseDPDF=Y")</f>
        <v>0</v>
      </c>
      <c r="S50" s="13" cm="1">
        <f t="array" ref="S50">_xll.BDH("DE US Equity","XO_GL_NET_OF_TAX","FQ1 2023","FQ1 2023","Currency=USD","Period=FQ","BEST_FPERIOD_OVERRIDE=FQ","FILING_STATUS=MR","SCALING_FORMAT=MLN","Sort=A","Dates=H","DateFormat=P","Fill=—","Direction=H","UseDPDF=Y")</f>
        <v>0</v>
      </c>
      <c r="T50" s="13" cm="1">
        <f t="array" ref="T50">_xll.BDH("DE US Equity","XO_GL_NET_OF_TAX","FQ2 2023","FQ2 2023","Currency=USD","Period=FQ","BEST_FPERIOD_OVERRIDE=FQ","FILING_STATUS=MR","SCALING_FORMAT=MLN","Sort=A","Dates=H","DateFormat=P","Fill=—","Direction=H","UseDPDF=Y")</f>
        <v>0</v>
      </c>
      <c r="U50" s="13" cm="1">
        <f t="array" ref="U50">_xll.BDH("DE US Equity","XO_GL_NET_OF_TAX","FQ3 2023","FQ3 2023","Currency=USD","Period=FQ","BEST_FPERIOD_OVERRIDE=FQ","FILING_STATUS=MR","SCALING_FORMAT=MLN","Sort=A","Dates=H","DateFormat=P","Fill=—","Direction=H","UseDPDF=Y")</f>
        <v>0</v>
      </c>
      <c r="V50" s="13" cm="1">
        <f t="array" ref="V50">_xll.BDH("DE US Equity","XO_GL_NET_OF_TAX","FQ4 2023","FQ4 2023","Currency=USD","Period=FQ","BEST_FPERIOD_OVERRIDE=FQ","FILING_STATUS=MR","SCALING_FORMAT=MLN","Sort=A","Dates=H","DateFormat=P","Fill=—","Direction=H","UseDPDF=Y")</f>
        <v>0</v>
      </c>
      <c r="W50" s="13" cm="1">
        <f t="array" ref="W50">_xll.BDH("DE US Equity","XO_GL_NET_OF_TAX","FQ1 2024","FQ1 2024","Currency=USD","Period=FQ","BEST_FPERIOD_OVERRIDE=FQ","FILING_STATUS=MR","SCALING_FORMAT=MLN","Sort=A","Dates=H","DateFormat=P","Fill=—","Direction=H","UseDPDF=Y")</f>
        <v>0</v>
      </c>
      <c r="X50" s="13" cm="1">
        <f t="array" ref="X50">_xll.BDH("DE US Equity","XO_GL_NET_OF_TAX","FQ2 2024","FQ2 2024","Currency=USD","Period=FQ","BEST_FPERIOD_OVERRIDE=FQ","FILING_STATUS=MR","SCALING_FORMAT=MLN","Sort=A","Dates=H","DateFormat=P","Fill=—","Direction=H","UseDPDF=Y")</f>
        <v>0</v>
      </c>
      <c r="Y50" s="13" cm="1">
        <f t="array" ref="Y50">_xll.BDH("DE US Equity","XO_GL_NET_OF_TAX","FQ3 2024","FQ3 2024","Currency=USD","Period=FQ","BEST_FPERIOD_OVERRIDE=FQ","FILING_STATUS=MR","SCALING_FORMAT=MLN","Sort=A","Dates=H","DateFormat=P","Fill=—","Direction=H","UseDPDF=Y")</f>
        <v>0</v>
      </c>
      <c r="Z50" s="13" cm="1">
        <f t="array" ref="Z50">_xll.BDH("DE US Equity","XO_GL_NET_OF_TAX","FQ4 2024","FQ4 2024","Currency=USD","Period=FQ","BEST_FPERIOD_OVERRIDE=FQ","FILING_STATUS=MR","SCALING_FORMAT=MLN","Sort=A","Dates=H","DateFormat=P","Fill=—","Direction=H","UseDPDF=Y")</f>
        <v>0</v>
      </c>
      <c r="AA50" s="13" cm="1">
        <f t="array" ref="AA50">_xll.BDH("DE US Equity","XO_GL_NET_OF_TAX","FQ1 2025","FQ1 2025","Currency=USD","Period=FQ","BEST_FPERIOD_OVERRIDE=FQ","FILING_STATUS=MR","SCALING_FORMAT=MLN","Sort=A","Dates=H","DateFormat=P","Fill=—","Direction=H","UseDPDF=Y")</f>
        <v>0</v>
      </c>
      <c r="AB50" s="13" cm="1">
        <f t="array" ref="AB50">_xll.BDH("DE US Equity","XO_GL_NET_OF_TAX","FQ2 2025","FQ2 2025","Currency=USD","Period=FQ","BEST_FPERIOD_OVERRIDE=FQ","FILING_STATUS=MR","SCALING_FORMAT=MLN","Sort=A","Dates=H","DateFormat=P","Fill=—","Direction=H","UseDPDF=Y")</f>
        <v>0</v>
      </c>
      <c r="AC50" s="13" cm="1">
        <f t="array" ref="AC50">_xll.BDH("DE US Equity","XO_GL_NET_OF_TAX","FQ3 2025","FQ3 2025","Currency=USD","Period=FQ","BEST_FPERIOD_OVERRIDE=FQ","FILING_STATUS=MR","SCALING_FORMAT=MLN","Sort=A","Dates=H","DateFormat=P","Fill=—","Direction=H","UseDPDF=Y")</f>
        <v>0</v>
      </c>
      <c r="AD50" s="13" cm="1">
        <f t="array" ref="AD50">_xll.BDH("DE US Equity","XO_GL_NET_OF_TAX","FQ4 2025","FQ4 2025","Currency=USD","Period=FQ","BEST_FPERIOD_OVERRIDE=FQ","FILING_STATUS=MR","SCALING_FORMAT=MLN","Sort=A","Dates=H","DateFormat=P","Fill=—","Direction=H","UseDPDF=Y")</f>
        <v>0</v>
      </c>
      <c r="AE50" s="13"/>
      <c r="AF50" s="13"/>
    </row>
    <row r="51" spans="1:32" x14ac:dyDescent="0.25">
      <c r="A51" s="6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1:32" x14ac:dyDescent="0.25">
      <c r="A52" s="10" t="s">
        <v>150</v>
      </c>
      <c r="B52" s="10" t="s">
        <v>151</v>
      </c>
      <c r="C52" s="13" cm="1">
        <f t="array" ref="C52">_xll.BDH("DE US Equity","IS_AVG_NUM_SH_FOR_EPS","FQ1 2019","FQ1 2019","Currency=USD","Period=FQ","BEST_FPERIOD_OVERRIDE=FQ","FILING_STATUS=MR","Sort=A","Dates=H","DateFormat=P","Fill=—","Direction=H","UseDPDF=Y")</f>
        <v>318.5</v>
      </c>
      <c r="D52" s="13" cm="1">
        <f t="array" ref="D52">_xll.BDH("DE US Equity","IS_AVG_NUM_SH_FOR_EPS","FQ2 2019","FQ2 2019","Currency=USD","Period=FQ","BEST_FPERIOD_OVERRIDE=FQ","FILING_STATUS=MR","Sort=A","Dates=H","DateFormat=P","Fill=—","Direction=H","UseDPDF=Y")</f>
        <v>317.89999999999998</v>
      </c>
      <c r="E52" s="13" cm="1">
        <f t="array" ref="E52">_xll.BDH("DE US Equity","IS_AVG_NUM_SH_FOR_EPS","FQ3 2019","FQ3 2019","Currency=USD","Period=FQ","BEST_FPERIOD_OVERRIDE=FQ","FILING_STATUS=MR","Sort=A","Dates=H","DateFormat=P","Fill=—","Direction=H","UseDPDF=Y")</f>
        <v>315.89999999999998</v>
      </c>
      <c r="F52" s="13" cm="1">
        <f t="array" ref="F52">_xll.BDH("DE US Equity","IS_AVG_NUM_SH_FOR_EPS","FQ4 2019","FQ4 2019","Currency=USD","Period=FQ","BEST_FPERIOD_OVERRIDE=FQ","FILING_STATUS=MR","Sort=A","Dates=H","DateFormat=P","Fill=—","Direction=H","UseDPDF=Y")</f>
        <v>313.89999999999998</v>
      </c>
      <c r="G52" s="13" cm="1">
        <f t="array" ref="G52">_xll.BDH("DE US Equity","IS_AVG_NUM_SH_FOR_EPS","FQ1 2020","FQ1 2020","Currency=USD","Period=FQ","BEST_FPERIOD_OVERRIDE=FQ","FILING_STATUS=MR","Sort=A","Dates=H","DateFormat=P","Fill=—","Direction=H","UseDPDF=Y")</f>
        <v>313.5</v>
      </c>
      <c r="H52" s="13" cm="1">
        <f t="array" ref="H52">_xll.BDH("DE US Equity","IS_AVG_NUM_SH_FOR_EPS","FQ2 2020","FQ2 2020","Currency=USD","Period=FQ","BEST_FPERIOD_OVERRIDE=FQ","FILING_STATUS=MR","Sort=A","Dates=H","DateFormat=P","Fill=—","Direction=H","UseDPDF=Y")</f>
        <v>313.2</v>
      </c>
      <c r="I52" s="13" cm="1">
        <f t="array" ref="I52">_xll.BDH("DE US Equity","IS_AVG_NUM_SH_FOR_EPS","FQ3 2020","FQ3 2020","Currency=USD","Period=FQ","BEST_FPERIOD_OVERRIDE=FQ","FILING_STATUS=MR","Sort=A","Dates=H","DateFormat=P","Fill=—","Direction=H","UseDPDF=Y")</f>
        <v>313</v>
      </c>
      <c r="J52" s="13" cm="1">
        <f t="array" ref="J52">_xll.BDH("DE US Equity","IS_AVG_NUM_SH_FOR_EPS","FQ4 2020","FQ4 2020","Currency=USD","Period=FQ","BEST_FPERIOD_OVERRIDE=FQ","FILING_STATUS=MR","Sort=A","Dates=H","DateFormat=P","Fill=—","Direction=H","UseDPDF=Y")</f>
        <v>314.10000000000002</v>
      </c>
      <c r="K52" s="13" cm="1">
        <f t="array" ref="K52">_xll.BDH("DE US Equity","IS_AVG_NUM_SH_FOR_EPS","FQ1 2021","FQ1 2021","Currency=USD","Period=FQ","BEST_FPERIOD_OVERRIDE=FQ","FILING_STATUS=MR","Sort=A","Dates=H","DateFormat=P","Fill=—","Direction=H","UseDPDF=Y")</f>
        <v>313.5</v>
      </c>
      <c r="L52" s="13" cm="1">
        <f t="array" ref="L52">_xll.BDH("DE US Equity","IS_AVG_NUM_SH_FOR_EPS","FQ2 2021","FQ2 2021","Currency=USD","Period=FQ","BEST_FPERIOD_OVERRIDE=FQ","FILING_STATUS=MR","Sort=A","Dates=H","DateFormat=P","Fill=—","Direction=H","UseDPDF=Y")</f>
        <v>312.8</v>
      </c>
      <c r="M52" s="13" cm="1">
        <f t="array" ref="M52">_xll.BDH("DE US Equity","IS_AVG_NUM_SH_FOR_EPS","FQ3 2021","FQ3 2021","Currency=USD","Period=FQ","BEST_FPERIOD_OVERRIDE=FQ","FILING_STATUS=MR","Sort=A","Dates=H","DateFormat=P","Fill=—","Direction=H","UseDPDF=Y")</f>
        <v>311</v>
      </c>
      <c r="N52" s="13" cm="1">
        <f t="array" ref="N52">_xll.BDH("DE US Equity","IS_AVG_NUM_SH_FOR_EPS","FQ4 2021","FQ4 2021","Currency=USD","Period=FQ","BEST_FPERIOD_OVERRIDE=FQ","FILING_STATUS=MR","Sort=A","Dates=H","DateFormat=P","Fill=—","Direction=H","UseDPDF=Y")</f>
        <v>309.2</v>
      </c>
      <c r="O52" s="13" cm="1">
        <f t="array" ref="O52">_xll.BDH("DE US Equity","IS_AVG_NUM_SH_FOR_EPS","FQ1 2022","FQ1 2022","Currency=USD","Period=FQ","BEST_FPERIOD_OVERRIDE=FQ","FILING_STATUS=MR","Sort=A","Dates=H","DateFormat=P","Fill=—","Direction=H","UseDPDF=Y")</f>
        <v>307.39999999999998</v>
      </c>
      <c r="P52" s="13" cm="1">
        <f t="array" ref="P52">_xll.BDH("DE US Equity","IS_AVG_NUM_SH_FOR_EPS","FQ2 2022","FQ2 2022","Currency=USD","Period=FQ","BEST_FPERIOD_OVERRIDE=FQ","FILING_STATUS=MR","Sort=A","Dates=H","DateFormat=P","Fill=—","Direction=H","UseDPDF=Y")</f>
        <v>306.2</v>
      </c>
      <c r="Q52" s="13" cm="1">
        <f t="array" ref="Q52">_xll.BDH("DE US Equity","IS_AVG_NUM_SH_FOR_EPS","FQ3 2022","FQ3 2022","Currency=USD","Period=FQ","BEST_FPERIOD_OVERRIDE=FQ","FILING_STATUS=MR","Sort=A","Dates=H","DateFormat=P","Fill=—","Direction=H","UseDPDF=Y")</f>
        <v>304.10000000000002</v>
      </c>
      <c r="R52" s="13" cm="1">
        <f t="array" ref="R52">_xll.BDH("DE US Equity","IS_AVG_NUM_SH_FOR_EPS","FQ4 2022","FQ4 2022","Currency=USD","Period=FQ","BEST_FPERIOD_OVERRIDE=FQ","FILING_STATUS=MR","Sort=A","Dates=H","DateFormat=P","Fill=—","Direction=H","UseDPDF=Y")</f>
        <v>300.60000000000002</v>
      </c>
      <c r="S52" s="13" cm="1">
        <f t="array" ref="S52">_xll.BDH("DE US Equity","IS_AVG_NUM_SH_FOR_EPS","FQ1 2023","FQ1 2023","Currency=USD","Period=FQ","BEST_FPERIOD_OVERRIDE=FQ","FILING_STATUS=MR","Sort=A","Dates=H","DateFormat=P","Fill=—","Direction=H","UseDPDF=Y")</f>
        <v>297.60000000000002</v>
      </c>
      <c r="T52" s="13" cm="1">
        <f t="array" ref="T52">_xll.BDH("DE US Equity","IS_AVG_NUM_SH_FOR_EPS","FQ2 2023","FQ2 2023","Currency=USD","Period=FQ","BEST_FPERIOD_OVERRIDE=FQ","FILING_STATUS=MR","Sort=A","Dates=H","DateFormat=P","Fill=—","Direction=H","UseDPDF=Y")</f>
        <v>295.10000000000002</v>
      </c>
      <c r="U52" s="13" cm="1">
        <f t="array" ref="U52">_xll.BDH("DE US Equity","IS_AVG_NUM_SH_FOR_EPS","FQ3 2023","FQ3 2023","Currency=USD","Period=FQ","BEST_FPERIOD_OVERRIDE=FQ","FILING_STATUS=MR","Sort=A","Dates=H","DateFormat=P","Fill=—","Direction=H","UseDPDF=Y")</f>
        <v>290.8</v>
      </c>
      <c r="V52" s="13" cm="1">
        <f t="array" ref="V52">_xll.BDH("DE US Equity","IS_AVG_NUM_SH_FOR_EPS","FQ4 2023","FQ4 2023","Currency=USD","Period=FQ","BEST_FPERIOD_OVERRIDE=FQ","FILING_STATUS=MR","Sort=A","Dates=H","DateFormat=P","Fill=—","Direction=H","UseDPDF=Y")</f>
        <v>285.5</v>
      </c>
      <c r="W52" s="13" cm="1">
        <f t="array" ref="W52">_xll.BDH("DE US Equity","IS_AVG_NUM_SH_FOR_EPS","FQ1 2024","FQ1 2024","Currency=USD","Period=FQ","BEST_FPERIOD_OVERRIDE=FQ","FILING_STATUS=MR","Sort=A","Dates=H","DateFormat=P","Fill=—","Direction=H","UseDPDF=Y")</f>
        <v>279.89999999999998</v>
      </c>
      <c r="X52" s="13" cm="1">
        <f t="array" ref="X52">_xll.BDH("DE US Equity","IS_AVG_NUM_SH_FOR_EPS","FQ2 2024","FQ2 2024","Currency=USD","Period=FQ","BEST_FPERIOD_OVERRIDE=FQ","FILING_STATUS=MR","Sort=A","Dates=H","DateFormat=P","Fill=—","Direction=H","UseDPDF=Y")</f>
        <v>276.8</v>
      </c>
      <c r="Y52" s="13" cm="1">
        <f t="array" ref="Y52">_xll.BDH("DE US Equity","IS_AVG_NUM_SH_FOR_EPS","FQ3 2024","FQ3 2024","Currency=USD","Period=FQ","BEST_FPERIOD_OVERRIDE=FQ","FILING_STATUS=MR","Sort=A","Dates=H","DateFormat=P","Fill=—","Direction=H","UseDPDF=Y")</f>
        <v>274.5</v>
      </c>
      <c r="Z52" s="13" cm="1">
        <f t="array" ref="Z52">_xll.BDH("DE US Equity","IS_AVG_NUM_SH_FOR_EPS","FQ4 2024","FQ4 2024","Currency=USD","Period=FQ","BEST_FPERIOD_OVERRIDE=FQ","FILING_STATUS=MR","Sort=A","Dates=H","DateFormat=P","Fill=—","Direction=H","UseDPDF=Y")</f>
        <v>272.60000000000002</v>
      </c>
      <c r="AA52" s="13" cm="1">
        <f t="array" ref="AA52">_xll.BDH("DE US Equity","IS_AVG_NUM_SH_FOR_EPS","FQ1 2025","FQ1 2025","Currency=USD","Period=FQ","BEST_FPERIOD_OVERRIDE=FQ","FILING_STATUS=MR","Sort=A","Dates=H","DateFormat=P","Fill=—","Direction=H","UseDPDF=Y")</f>
        <v>271.60000000000002</v>
      </c>
      <c r="AB52" s="13" cm="1">
        <f t="array" ref="AB52">_xll.BDH("DE US Equity","IS_AVG_NUM_SH_FOR_EPS","FQ2 2025","FQ2 2025","Currency=USD","Period=FQ","BEST_FPERIOD_OVERRIDE=FQ","FILING_STATUS=MR","Sort=A","Dates=H","DateFormat=P","Fill=—","Direction=H","UseDPDF=Y")</f>
        <v>271.10000000000002</v>
      </c>
      <c r="AC52" s="13" cm="1">
        <f t="array" ref="AC52">_xll.BDH("DE US Equity","IS_AVG_NUM_SH_FOR_EPS","FQ3 2025","FQ3 2025","Currency=USD","Period=FQ","BEST_FPERIOD_OVERRIDE=FQ","FILING_STATUS=MR","Sort=A","Dates=H","DateFormat=P","Fill=—","Direction=H","UseDPDF=Y")</f>
        <v>270.7</v>
      </c>
      <c r="AD52" s="13" cm="1">
        <f t="array" ref="AD52">_xll.BDH("DE US Equity","IS_AVG_NUM_SH_FOR_EPS","FQ4 2025","FQ4 2025","Currency=USD","Period=FQ","BEST_FPERIOD_OVERRIDE=FQ","FILING_STATUS=MR","Sort=A","Dates=H","DateFormat=P","Fill=—","Direction=H","UseDPDF=Y")</f>
        <v>270.3</v>
      </c>
      <c r="AE52" s="13"/>
      <c r="AF52" s="13"/>
    </row>
    <row r="53" spans="1:32" x14ac:dyDescent="0.25">
      <c r="A53" s="6" t="s">
        <v>152</v>
      </c>
      <c r="B53" s="6" t="s">
        <v>153</v>
      </c>
      <c r="C53" s="17" cm="1">
        <f t="array" ref="C53">_xll.BDH("DE US Equity","IS_EPS","FQ1 2019","FQ1 2019","Currency=USD","Period=FQ","BEST_FPERIOD_OVERRIDE=FQ","FILING_STATUS=MR","FA_ADJUSTED=GAAP","Sort=A","Dates=H","DateFormat=P","Fill=—","Direction=H","UseDPDF=Y")</f>
        <v>1.56</v>
      </c>
      <c r="D53" s="17" cm="1">
        <f t="array" ref="D53">_xll.BDH("DE US Equity","IS_EPS","FQ2 2019","FQ2 2019","Currency=USD","Period=FQ","BEST_FPERIOD_OVERRIDE=FQ","FILING_STATUS=MR","FA_ADJUSTED=GAAP","Sort=A","Dates=H","DateFormat=P","Fill=—","Direction=H","UseDPDF=Y")</f>
        <v>3.57</v>
      </c>
      <c r="E53" s="17" cm="1">
        <f t="array" ref="E53">_xll.BDH("DE US Equity","IS_EPS","FQ3 2019","FQ3 2019","Currency=USD","Period=FQ","BEST_FPERIOD_OVERRIDE=FQ","FILING_STATUS=MR","FA_ADJUSTED=GAAP","Sort=A","Dates=H","DateFormat=P","Fill=—","Direction=H","UseDPDF=Y")</f>
        <v>2.84</v>
      </c>
      <c r="F53" s="17" cm="1">
        <f t="array" ref="F53">_xll.BDH("DE US Equity","IS_EPS","FQ4 2019","FQ4 2019","Currency=USD","Period=FQ","BEST_FPERIOD_OVERRIDE=FQ","FILING_STATUS=MR","FA_ADJUSTED=GAAP","Sort=A","Dates=H","DateFormat=P","Fill=—","Direction=H","UseDPDF=Y")</f>
        <v>2.2999999999999998</v>
      </c>
      <c r="G53" s="17" cm="1">
        <f t="array" ref="G53">_xll.BDH("DE US Equity","IS_EPS","FQ1 2020","FQ1 2020","Currency=USD","Period=FQ","BEST_FPERIOD_OVERRIDE=FQ","FILING_STATUS=MR","FA_ADJUSTED=GAAP","Sort=A","Dates=H","DateFormat=P","Fill=—","Direction=H","UseDPDF=Y")</f>
        <v>1.65</v>
      </c>
      <c r="H53" s="17" cm="1">
        <f t="array" ref="H53">_xll.BDH("DE US Equity","IS_EPS","FQ2 2020","FQ2 2020","Currency=USD","Period=FQ","BEST_FPERIOD_OVERRIDE=FQ","FILING_STATUS=MR","FA_ADJUSTED=GAAP","Sort=A","Dates=H","DateFormat=P","Fill=—","Direction=H","UseDPDF=Y")</f>
        <v>2.13</v>
      </c>
      <c r="I53" s="17" cm="1">
        <f t="array" ref="I53">_xll.BDH("DE US Equity","IS_EPS","FQ3 2020","FQ3 2020","Currency=USD","Period=FQ","BEST_FPERIOD_OVERRIDE=FQ","FILING_STATUS=MR","FA_ADJUSTED=GAAP","Sort=A","Dates=H","DateFormat=P","Fill=—","Direction=H","UseDPDF=Y")</f>
        <v>2.59</v>
      </c>
      <c r="J53" s="17" cm="1">
        <f t="array" ref="J53">_xll.BDH("DE US Equity","IS_EPS","FQ4 2020","FQ4 2020","Currency=USD","Period=FQ","BEST_FPERIOD_OVERRIDE=FQ","FILING_STATUS=MR","FA_ADJUSTED=GAAP","Sort=A","Dates=H","DateFormat=P","Fill=—","Direction=H","UseDPDF=Y")</f>
        <v>2.41</v>
      </c>
      <c r="K53" s="17" cm="1">
        <f t="array" ref="K53">_xll.BDH("DE US Equity","IS_EPS","FQ1 2021","FQ1 2021","Currency=USD","Period=FQ","BEST_FPERIOD_OVERRIDE=FQ","FILING_STATUS=MR","FA_ADJUSTED=GAAP","Sort=A","Dates=H","DateFormat=P","Fill=—","Direction=H","UseDPDF=Y")</f>
        <v>3.9</v>
      </c>
      <c r="L53" s="17" cm="1">
        <f t="array" ref="L53">_xll.BDH("DE US Equity","IS_EPS","FQ2 2021","FQ2 2021","Currency=USD","Period=FQ","BEST_FPERIOD_OVERRIDE=FQ","FILING_STATUS=MR","FA_ADJUSTED=GAAP","Sort=A","Dates=H","DateFormat=P","Fill=—","Direction=H","UseDPDF=Y")</f>
        <v>5.72</v>
      </c>
      <c r="M53" s="17" cm="1">
        <f t="array" ref="M53">_xll.BDH("DE US Equity","IS_EPS","FQ3 2021","FQ3 2021","Currency=USD","Period=FQ","BEST_FPERIOD_OVERRIDE=FQ","FILING_STATUS=MR","FA_ADJUSTED=GAAP","Sort=A","Dates=H","DateFormat=P","Fill=—","Direction=H","UseDPDF=Y")</f>
        <v>5.36</v>
      </c>
      <c r="N53" s="17" cm="1">
        <f t="array" ref="N53">_xll.BDH("DE US Equity","IS_EPS","FQ4 2021","FQ4 2021","Currency=USD","Period=FQ","BEST_FPERIOD_OVERRIDE=FQ","FILING_STATUS=MR","FA_ADJUSTED=GAAP","Sort=A","Dates=H","DateFormat=P","Fill=—","Direction=H","UseDPDF=Y")</f>
        <v>4.1494</v>
      </c>
      <c r="O53" s="17" cm="1">
        <f t="array" ref="O53">_xll.BDH("DE US Equity","IS_EPS","FQ1 2022","FQ1 2022","Currency=USD","Period=FQ","BEST_FPERIOD_OVERRIDE=FQ","FILING_STATUS=MR","FA_ADJUSTED=GAAP","Sort=A","Dates=H","DateFormat=P","Fill=—","Direction=H","UseDPDF=Y")</f>
        <v>2.94</v>
      </c>
      <c r="P53" s="17" cm="1">
        <f t="array" ref="P53">_xll.BDH("DE US Equity","IS_EPS","FQ2 2022","FQ2 2022","Currency=USD","Period=FQ","BEST_FPERIOD_OVERRIDE=FQ","FILING_STATUS=MR","FA_ADJUSTED=GAAP","Sort=A","Dates=H","DateFormat=P","Fill=—","Direction=H","UseDPDF=Y")</f>
        <v>6.85</v>
      </c>
      <c r="Q53" s="17" cm="1">
        <f t="array" ref="Q53">_xll.BDH("DE US Equity","IS_EPS","FQ3 2022","FQ3 2022","Currency=USD","Period=FQ","BEST_FPERIOD_OVERRIDE=FQ","FILING_STATUS=MR","FA_ADJUSTED=GAAP","Sort=A","Dates=H","DateFormat=P","Fill=—","Direction=H","UseDPDF=Y")</f>
        <v>6.2</v>
      </c>
      <c r="R53" s="17" cm="1">
        <f t="array" ref="R53">_xll.BDH("DE US Equity","IS_EPS","FQ4 2022","FQ4 2022","Currency=USD","Period=FQ","BEST_FPERIOD_OVERRIDE=FQ","FILING_STATUS=MR","FA_ADJUSTED=GAAP","Sort=A","Dates=H","DateFormat=P","Fill=—","Direction=H","UseDPDF=Y")</f>
        <v>7.4717000000000002</v>
      </c>
      <c r="S53" s="17" cm="1">
        <f t="array" ref="S53">_xll.BDH("DE US Equity","IS_EPS","FQ1 2023","FQ1 2023","Currency=USD","Period=FQ","BEST_FPERIOD_OVERRIDE=FQ","FILING_STATUS=MR","FA_ADJUSTED=GAAP","Sort=A","Dates=H","DateFormat=P","Fill=—","Direction=H","UseDPDF=Y")</f>
        <v>6.58</v>
      </c>
      <c r="T53" s="17" cm="1">
        <f t="array" ref="T53">_xll.BDH("DE US Equity","IS_EPS","FQ2 2023","FQ2 2023","Currency=USD","Period=FQ","BEST_FPERIOD_OVERRIDE=FQ","FILING_STATUS=MR","FA_ADJUSTED=GAAP","Sort=A","Dates=H","DateFormat=P","Fill=—","Direction=H","UseDPDF=Y")</f>
        <v>9.69</v>
      </c>
      <c r="U53" s="17" cm="1">
        <f t="array" ref="U53">_xll.BDH("DE US Equity","IS_EPS","FQ3 2023","FQ3 2023","Currency=USD","Period=FQ","BEST_FPERIOD_OVERRIDE=FQ","FILING_STATUS=MR","FA_ADJUSTED=GAAP","Sort=A","Dates=H","DateFormat=P","Fill=—","Direction=H","UseDPDF=Y")</f>
        <v>10.24</v>
      </c>
      <c r="V53" s="17" cm="1">
        <f t="array" ref="V53">_xll.BDH("DE US Equity","IS_EPS","FQ4 2023","FQ4 2023","Currency=USD","Period=FQ","BEST_FPERIOD_OVERRIDE=FQ","FILING_STATUS=MR","FA_ADJUSTED=GAAP","Sort=A","Dates=H","DateFormat=P","Fill=—","Direction=H","UseDPDF=Y")</f>
        <v>8.3000000000000007</v>
      </c>
      <c r="W53" s="17" cm="1">
        <f t="array" ref="W53">_xll.BDH("DE US Equity","IS_EPS","FQ1 2024","FQ1 2024","Currency=USD","Period=FQ","BEST_FPERIOD_OVERRIDE=FQ","FILING_STATUS=MR","FA_ADJUSTED=GAAP","Sort=A","Dates=H","DateFormat=P","Fill=—","Direction=H","UseDPDF=Y")</f>
        <v>6.25</v>
      </c>
      <c r="X53" s="17" cm="1">
        <f t="array" ref="X53">_xll.BDH("DE US Equity","IS_EPS","FQ2 2024","FQ2 2024","Currency=USD","Period=FQ","BEST_FPERIOD_OVERRIDE=FQ","FILING_STATUS=MR","FA_ADJUSTED=GAAP","Sort=A","Dates=H","DateFormat=P","Fill=—","Direction=H","UseDPDF=Y")</f>
        <v>8.56</v>
      </c>
      <c r="Y53" s="17" cm="1">
        <f t="array" ref="Y53">_xll.BDH("DE US Equity","IS_EPS","FQ3 2024","FQ3 2024","Currency=USD","Period=FQ","BEST_FPERIOD_OVERRIDE=FQ","FILING_STATUS=MR","FA_ADJUSTED=GAAP","Sort=A","Dates=H","DateFormat=P","Fill=—","Direction=H","UseDPDF=Y")</f>
        <v>6.32</v>
      </c>
      <c r="Z53" s="17" cm="1">
        <f t="array" ref="Z53">_xll.BDH("DE US Equity","IS_EPS","FQ4 2024","FQ4 2024","Currency=USD","Period=FQ","BEST_FPERIOD_OVERRIDE=FQ","FILING_STATUS=MR","FA_ADJUSTED=GAAP","Sort=A","Dates=H","DateFormat=P","Fill=—","Direction=H","UseDPDF=Y")</f>
        <v>4.57</v>
      </c>
      <c r="AA53" s="17" cm="1">
        <f t="array" ref="AA53">_xll.BDH("DE US Equity","IS_EPS","FQ1 2025","FQ1 2025","Currency=USD","Period=FQ","BEST_FPERIOD_OVERRIDE=FQ","FILING_STATUS=MR","FA_ADJUSTED=GAAP","Sort=A","Dates=H","DateFormat=P","Fill=—","Direction=H","UseDPDF=Y")</f>
        <v>3.2</v>
      </c>
      <c r="AB53" s="17" cm="1">
        <f t="array" ref="AB53">_xll.BDH("DE US Equity","IS_EPS","FQ2 2025","FQ2 2025","Currency=USD","Period=FQ","BEST_FPERIOD_OVERRIDE=FQ","FILING_STATUS=MR","FA_ADJUSTED=GAAP","Sort=A","Dates=H","DateFormat=P","Fill=—","Direction=H","UseDPDF=Y")</f>
        <v>6.65</v>
      </c>
      <c r="AC53" s="17" cm="1">
        <f t="array" ref="AC53">_xll.BDH("DE US Equity","IS_EPS","FQ3 2025","FQ3 2025","Currency=USD","Period=FQ","BEST_FPERIOD_OVERRIDE=FQ","FILING_STATUS=MR","FA_ADJUSTED=GAAP","Sort=A","Dates=H","DateFormat=P","Fill=—","Direction=H","UseDPDF=Y")</f>
        <v>4.76</v>
      </c>
      <c r="AD53" s="17" cm="1">
        <f t="array" ref="AD53">_xll.BDH("DE US Equity","IS_EPS","FQ4 2025","FQ4 2025","Currency=USD","Period=FQ","BEST_FPERIOD_OVERRIDE=FQ","FILING_STATUS=MR","FA_ADJUSTED=GAAP","Sort=A","Dates=H","DateFormat=P","Fill=—","Direction=H","UseDPDF=Y")</f>
        <v>3.94</v>
      </c>
      <c r="AE53" s="17">
        <v>2.0640000000000001</v>
      </c>
      <c r="AF53" s="17">
        <v>5.5579999999999998</v>
      </c>
    </row>
    <row r="54" spans="1:32" x14ac:dyDescent="0.25">
      <c r="A54" s="6" t="s">
        <v>154</v>
      </c>
      <c r="B54" s="6" t="s">
        <v>155</v>
      </c>
      <c r="C54" s="17" cm="1">
        <f t="array" ref="C54">_xll.BDH("DE US Equity","IS_EARN_BEF_XO_ITEMS_PER_SH","FQ1 2019","FQ1 2019","Currency=USD","Period=FQ","BEST_FPERIOD_OVERRIDE=FQ","FILING_STATUS=MR","Sort=A","Dates=H","DateFormat=P","Fill=—","Direction=H","UseDPDF=Y")</f>
        <v>1.56</v>
      </c>
      <c r="D54" s="17" cm="1">
        <f t="array" ref="D54">_xll.BDH("DE US Equity","IS_EARN_BEF_XO_ITEMS_PER_SH","FQ2 2019","FQ2 2019","Currency=USD","Period=FQ","BEST_FPERIOD_OVERRIDE=FQ","FILING_STATUS=MR","Sort=A","Dates=H","DateFormat=P","Fill=—","Direction=H","UseDPDF=Y")</f>
        <v>3.57</v>
      </c>
      <c r="E54" s="17" cm="1">
        <f t="array" ref="E54">_xll.BDH("DE US Equity","IS_EARN_BEF_XO_ITEMS_PER_SH","FQ3 2019","FQ3 2019","Currency=USD","Period=FQ","BEST_FPERIOD_OVERRIDE=FQ","FILING_STATUS=MR","Sort=A","Dates=H","DateFormat=P","Fill=—","Direction=H","UseDPDF=Y")</f>
        <v>2.84</v>
      </c>
      <c r="F54" s="17" cm="1">
        <f t="array" ref="F54">_xll.BDH("DE US Equity","IS_EARN_BEF_XO_ITEMS_PER_SH","FQ4 2019","FQ4 2019","Currency=USD","Period=FQ","BEST_FPERIOD_OVERRIDE=FQ","FILING_STATUS=MR","Sort=A","Dates=H","DateFormat=P","Fill=—","Direction=H","UseDPDF=Y")</f>
        <v>2.2999999999999998</v>
      </c>
      <c r="G54" s="17" cm="1">
        <f t="array" ref="G54">_xll.BDH("DE US Equity","IS_EARN_BEF_XO_ITEMS_PER_SH","FQ1 2020","FQ1 2020","Currency=USD","Period=FQ","BEST_FPERIOD_OVERRIDE=FQ","FILING_STATUS=MR","Sort=A","Dates=H","DateFormat=P","Fill=—","Direction=H","UseDPDF=Y")</f>
        <v>1.65</v>
      </c>
      <c r="H54" s="17" cm="1">
        <f t="array" ref="H54">_xll.BDH("DE US Equity","IS_EARN_BEF_XO_ITEMS_PER_SH","FQ2 2020","FQ2 2020","Currency=USD","Period=FQ","BEST_FPERIOD_OVERRIDE=FQ","FILING_STATUS=MR","Sort=A","Dates=H","DateFormat=P","Fill=—","Direction=H","UseDPDF=Y")</f>
        <v>2.13</v>
      </c>
      <c r="I54" s="17" cm="1">
        <f t="array" ref="I54">_xll.BDH("DE US Equity","IS_EARN_BEF_XO_ITEMS_PER_SH","FQ3 2020","FQ3 2020","Currency=USD","Period=FQ","BEST_FPERIOD_OVERRIDE=FQ","FILING_STATUS=MR","Sort=A","Dates=H","DateFormat=P","Fill=—","Direction=H","UseDPDF=Y")</f>
        <v>2.59</v>
      </c>
      <c r="J54" s="17" cm="1">
        <f t="array" ref="J54">_xll.BDH("DE US Equity","IS_EARN_BEF_XO_ITEMS_PER_SH","FQ4 2020","FQ4 2020","Currency=USD","Period=FQ","BEST_FPERIOD_OVERRIDE=FQ","FILING_STATUS=MR","Sort=A","Dates=H","DateFormat=P","Fill=—","Direction=H","UseDPDF=Y")</f>
        <v>2.41</v>
      </c>
      <c r="K54" s="17" cm="1">
        <f t="array" ref="K54">_xll.BDH("DE US Equity","IS_EARN_BEF_XO_ITEMS_PER_SH","FQ1 2021","FQ1 2021","Currency=USD","Period=FQ","BEST_FPERIOD_OVERRIDE=FQ","FILING_STATUS=MR","Sort=A","Dates=H","DateFormat=P","Fill=—","Direction=H","UseDPDF=Y")</f>
        <v>3.9</v>
      </c>
      <c r="L54" s="17" cm="1">
        <f t="array" ref="L54">_xll.BDH("DE US Equity","IS_EARN_BEF_XO_ITEMS_PER_SH","FQ2 2021","FQ2 2021","Currency=USD","Period=FQ","BEST_FPERIOD_OVERRIDE=FQ","FILING_STATUS=MR","Sort=A","Dates=H","DateFormat=P","Fill=—","Direction=H","UseDPDF=Y")</f>
        <v>5.72</v>
      </c>
      <c r="M54" s="17" cm="1">
        <f t="array" ref="M54">_xll.BDH("DE US Equity","IS_EARN_BEF_XO_ITEMS_PER_SH","FQ3 2021","FQ3 2021","Currency=USD","Period=FQ","BEST_FPERIOD_OVERRIDE=FQ","FILING_STATUS=MR","Sort=A","Dates=H","DateFormat=P","Fill=—","Direction=H","UseDPDF=Y")</f>
        <v>5.36</v>
      </c>
      <c r="N54" s="17" cm="1">
        <f t="array" ref="N54">_xll.BDH("DE US Equity","IS_EARN_BEF_XO_ITEMS_PER_SH","FQ4 2021","FQ4 2021","Currency=USD","Period=FQ","BEST_FPERIOD_OVERRIDE=FQ","FILING_STATUS=MR","Sort=A","Dates=H","DateFormat=P","Fill=—","Direction=H","UseDPDF=Y")</f>
        <v>4.1494</v>
      </c>
      <c r="O54" s="17" cm="1">
        <f t="array" ref="O54">_xll.BDH("DE US Equity","IS_EARN_BEF_XO_ITEMS_PER_SH","FQ1 2022","FQ1 2022","Currency=USD","Period=FQ","BEST_FPERIOD_OVERRIDE=FQ","FILING_STATUS=MR","Sort=A","Dates=H","DateFormat=P","Fill=—","Direction=H","UseDPDF=Y")</f>
        <v>2.94</v>
      </c>
      <c r="P54" s="17" cm="1">
        <f t="array" ref="P54">_xll.BDH("DE US Equity","IS_EARN_BEF_XO_ITEMS_PER_SH","FQ2 2022","FQ2 2022","Currency=USD","Period=FQ","BEST_FPERIOD_OVERRIDE=FQ","FILING_STATUS=MR","Sort=A","Dates=H","DateFormat=P","Fill=—","Direction=H","UseDPDF=Y")</f>
        <v>6.85</v>
      </c>
      <c r="Q54" s="17" cm="1">
        <f t="array" ref="Q54">_xll.BDH("DE US Equity","IS_EARN_BEF_XO_ITEMS_PER_SH","FQ3 2022","FQ3 2022","Currency=USD","Period=FQ","BEST_FPERIOD_OVERRIDE=FQ","FILING_STATUS=MR","Sort=A","Dates=H","DateFormat=P","Fill=—","Direction=H","UseDPDF=Y")</f>
        <v>6.2</v>
      </c>
      <c r="R54" s="17" cm="1">
        <f t="array" ref="R54">_xll.BDH("DE US Equity","IS_EARN_BEF_XO_ITEMS_PER_SH","FQ4 2022","FQ4 2022","Currency=USD","Period=FQ","BEST_FPERIOD_OVERRIDE=FQ","FILING_STATUS=MR","Sort=A","Dates=H","DateFormat=P","Fill=—","Direction=H","UseDPDF=Y")</f>
        <v>7.4717000000000002</v>
      </c>
      <c r="S54" s="17" cm="1">
        <f t="array" ref="S54">_xll.BDH("DE US Equity","IS_EARN_BEF_XO_ITEMS_PER_SH","FQ1 2023","FQ1 2023","Currency=USD","Period=FQ","BEST_FPERIOD_OVERRIDE=FQ","FILING_STATUS=MR","Sort=A","Dates=H","DateFormat=P","Fill=—","Direction=H","UseDPDF=Y")</f>
        <v>6.58</v>
      </c>
      <c r="T54" s="17" cm="1">
        <f t="array" ref="T54">_xll.BDH("DE US Equity","IS_EARN_BEF_XO_ITEMS_PER_SH","FQ2 2023","FQ2 2023","Currency=USD","Period=FQ","BEST_FPERIOD_OVERRIDE=FQ","FILING_STATUS=MR","Sort=A","Dates=H","DateFormat=P","Fill=—","Direction=H","UseDPDF=Y")</f>
        <v>9.69</v>
      </c>
      <c r="U54" s="17" cm="1">
        <f t="array" ref="U54">_xll.BDH("DE US Equity","IS_EARN_BEF_XO_ITEMS_PER_SH","FQ3 2023","FQ3 2023","Currency=USD","Period=FQ","BEST_FPERIOD_OVERRIDE=FQ","FILING_STATUS=MR","Sort=A","Dates=H","DateFormat=P","Fill=—","Direction=H","UseDPDF=Y")</f>
        <v>10.24</v>
      </c>
      <c r="V54" s="17" cm="1">
        <f t="array" ref="V54">_xll.BDH("DE US Equity","IS_EARN_BEF_XO_ITEMS_PER_SH","FQ4 2023","FQ4 2023","Currency=USD","Period=FQ","BEST_FPERIOD_OVERRIDE=FQ","FILING_STATUS=MR","Sort=A","Dates=H","DateFormat=P","Fill=—","Direction=H","UseDPDF=Y")</f>
        <v>8.3000000000000007</v>
      </c>
      <c r="W54" s="17" cm="1">
        <f t="array" ref="W54">_xll.BDH("DE US Equity","IS_EARN_BEF_XO_ITEMS_PER_SH","FQ1 2024","FQ1 2024","Currency=USD","Period=FQ","BEST_FPERIOD_OVERRIDE=FQ","FILING_STATUS=MR","Sort=A","Dates=H","DateFormat=P","Fill=—","Direction=H","UseDPDF=Y")</f>
        <v>6.25</v>
      </c>
      <c r="X54" s="17" cm="1">
        <f t="array" ref="X54">_xll.BDH("DE US Equity","IS_EARN_BEF_XO_ITEMS_PER_SH","FQ2 2024","FQ2 2024","Currency=USD","Period=FQ","BEST_FPERIOD_OVERRIDE=FQ","FILING_STATUS=MR","Sort=A","Dates=H","DateFormat=P","Fill=—","Direction=H","UseDPDF=Y")</f>
        <v>8.56</v>
      </c>
      <c r="Y54" s="17" cm="1">
        <f t="array" ref="Y54">_xll.BDH("DE US Equity","IS_EARN_BEF_XO_ITEMS_PER_SH","FQ3 2024","FQ3 2024","Currency=USD","Period=FQ","BEST_FPERIOD_OVERRIDE=FQ","FILING_STATUS=MR","Sort=A","Dates=H","DateFormat=P","Fill=—","Direction=H","UseDPDF=Y")</f>
        <v>6.32</v>
      </c>
      <c r="Z54" s="17" cm="1">
        <f t="array" ref="Z54">_xll.BDH("DE US Equity","IS_EARN_BEF_XO_ITEMS_PER_SH","FQ4 2024","FQ4 2024","Currency=USD","Period=FQ","BEST_FPERIOD_OVERRIDE=FQ","FILING_STATUS=MR","Sort=A","Dates=H","DateFormat=P","Fill=—","Direction=H","UseDPDF=Y")</f>
        <v>4.57</v>
      </c>
      <c r="AA54" s="17" cm="1">
        <f t="array" ref="AA54">_xll.BDH("DE US Equity","IS_EARN_BEF_XO_ITEMS_PER_SH","FQ1 2025","FQ1 2025","Currency=USD","Period=FQ","BEST_FPERIOD_OVERRIDE=FQ","FILING_STATUS=MR","Sort=A","Dates=H","DateFormat=P","Fill=—","Direction=H","UseDPDF=Y")</f>
        <v>3.2</v>
      </c>
      <c r="AB54" s="17" cm="1">
        <f t="array" ref="AB54">_xll.BDH("DE US Equity","IS_EARN_BEF_XO_ITEMS_PER_SH","FQ2 2025","FQ2 2025","Currency=USD","Period=FQ","BEST_FPERIOD_OVERRIDE=FQ","FILING_STATUS=MR","Sort=A","Dates=H","DateFormat=P","Fill=—","Direction=H","UseDPDF=Y")</f>
        <v>6.65</v>
      </c>
      <c r="AC54" s="17" cm="1">
        <f t="array" ref="AC54">_xll.BDH("DE US Equity","IS_EARN_BEF_XO_ITEMS_PER_SH","FQ3 2025","FQ3 2025","Currency=USD","Period=FQ","BEST_FPERIOD_OVERRIDE=FQ","FILING_STATUS=MR","Sort=A","Dates=H","DateFormat=P","Fill=—","Direction=H","UseDPDF=Y")</f>
        <v>4.76</v>
      </c>
      <c r="AD54" s="17" cm="1">
        <f t="array" ref="AD54">_xll.BDH("DE US Equity","IS_EARN_BEF_XO_ITEMS_PER_SH","FQ4 2025","FQ4 2025","Currency=USD","Period=FQ","BEST_FPERIOD_OVERRIDE=FQ","FILING_STATUS=MR","Sort=A","Dates=H","DateFormat=P","Fill=—","Direction=H","UseDPDF=Y")</f>
        <v>3.94</v>
      </c>
      <c r="AE54" s="17">
        <v>2.0640000000000001</v>
      </c>
      <c r="AF54" s="17">
        <v>5.5579999999999998</v>
      </c>
    </row>
    <row r="55" spans="1:32" x14ac:dyDescent="0.25">
      <c r="A55" s="6" t="s">
        <v>156</v>
      </c>
      <c r="B55" s="6" t="s">
        <v>157</v>
      </c>
      <c r="C55" s="17" cm="1">
        <f t="array" ref="C55">_xll.BDH("DE US Equity","IS_BASIC_EPS_CONT_OPS","FQ1 2019","FQ1 2019","Currency=USD","Period=FQ","BEST_FPERIOD_OVERRIDE=FQ","FILING_STATUS=MR","Sort=A","Dates=H","DateFormat=P","Fill=—","Direction=H","UseDPDF=Y")</f>
        <v>1.56</v>
      </c>
      <c r="D55" s="17" cm="1">
        <f t="array" ref="D55">_xll.BDH("DE US Equity","IS_BASIC_EPS_CONT_OPS","FQ2 2019","FQ2 2019","Currency=USD","Period=FQ","BEST_FPERIOD_OVERRIDE=FQ","FILING_STATUS=MR","Sort=A","Dates=H","DateFormat=P","Fill=—","Direction=H","UseDPDF=Y")</f>
        <v>3.57</v>
      </c>
      <c r="E55" s="17" cm="1">
        <f t="array" ref="E55">_xll.BDH("DE US Equity","IS_BASIC_EPS_CONT_OPS","FQ3 2019","FQ3 2019","Currency=USD","Period=FQ","BEST_FPERIOD_OVERRIDE=FQ","FILING_STATUS=MR","Sort=A","Dates=H","DateFormat=P","Fill=—","Direction=H","UseDPDF=Y")</f>
        <v>2.7444999999999999</v>
      </c>
      <c r="F55" s="17" cm="1">
        <f t="array" ref="F55">_xll.BDH("DE US Equity","IS_BASIC_EPS_CONT_OPS","FQ4 2019","FQ4 2019","Currency=USD","Period=FQ","BEST_FPERIOD_OVERRIDE=FQ","FILING_STATUS=MR","Sort=A","Dates=H","DateFormat=P","Fill=—","Direction=H","UseDPDF=Y")</f>
        <v>2.3759000000000001</v>
      </c>
      <c r="G55" s="17" cm="1">
        <f t="array" ref="G55">_xll.BDH("DE US Equity","IS_BASIC_EPS_CONT_OPS","FQ1 2020","FQ1 2020","Currency=USD","Period=FQ","BEST_FPERIOD_OVERRIDE=FQ","FILING_STATUS=MR","Sort=A","Dates=H","DateFormat=P","Fill=—","Direction=H","UseDPDF=Y")</f>
        <v>1.9692000000000001</v>
      </c>
      <c r="H55" s="17" cm="1">
        <f t="array" ref="H55">_xll.BDH("DE US Equity","IS_BASIC_EPS_CONT_OPS","FQ2 2020","FQ2 2020","Currency=USD","Period=FQ","BEST_FPERIOD_OVERRIDE=FQ","FILING_STATUS=MR","Sort=A","Dates=H","DateFormat=P","Fill=—","Direction=H","UseDPDF=Y")</f>
        <v>2.7353000000000001</v>
      </c>
      <c r="I55" s="17" cm="1">
        <f t="array" ref="I55">_xll.BDH("DE US Equity","IS_BASIC_EPS_CONT_OPS","FQ3 2020","FQ3 2020","Currency=USD","Period=FQ","BEST_FPERIOD_OVERRIDE=FQ","FILING_STATUS=MR","Sort=A","Dates=H","DateFormat=P","Fill=—","Direction=H","UseDPDF=Y")</f>
        <v>2.6238999999999999</v>
      </c>
      <c r="J55" s="17" cm="1">
        <f t="array" ref="J55">_xll.BDH("DE US Equity","IS_BASIC_EPS_CONT_OPS","FQ4 2020","FQ4 2020","Currency=USD","Period=FQ","BEST_FPERIOD_OVERRIDE=FQ","FILING_STATUS=MR","Sort=A","Dates=H","DateFormat=P","Fill=—","Direction=H","UseDPDF=Y")</f>
        <v>3.2629000000000001</v>
      </c>
      <c r="K55" s="17" cm="1">
        <f t="array" ref="K55">_xll.BDH("DE US Equity","IS_BASIC_EPS_CONT_OPS","FQ1 2021","FQ1 2021","Currency=USD","Period=FQ","BEST_FPERIOD_OVERRIDE=FQ","FILING_STATUS=MR","Sort=A","Dates=H","DateFormat=P","Fill=—","Direction=H","UseDPDF=Y")</f>
        <v>3.9096000000000002</v>
      </c>
      <c r="L55" s="17" cm="1">
        <f t="array" ref="L55">_xll.BDH("DE US Equity","IS_BASIC_EPS_CONT_OPS","FQ2 2021","FQ2 2021","Currency=USD","Period=FQ","BEST_FPERIOD_OVERRIDE=FQ","FILING_STATUS=MR","Sort=A","Dates=H","DateFormat=P","Fill=—","Direction=H","UseDPDF=Y")</f>
        <v>5.72</v>
      </c>
      <c r="M55" s="17" cm="1">
        <f t="array" ref="M55">_xll.BDH("DE US Equity","IS_BASIC_EPS_CONT_OPS","FQ3 2021","FQ3 2021","Currency=USD","Period=FQ","BEST_FPERIOD_OVERRIDE=FQ","FILING_STATUS=MR","Sort=A","Dates=H","DateFormat=P","Fill=—","Direction=H","UseDPDF=Y")</f>
        <v>5.2915000000000001</v>
      </c>
      <c r="N55" s="17" cm="1">
        <f t="array" ref="N55">_xll.BDH("DE US Equity","IS_BASIC_EPS_CONT_OPS","FQ4 2021","FQ4 2021","Currency=USD","Period=FQ","BEST_FPERIOD_OVERRIDE=FQ","FILING_STATUS=MR","Sort=A","Dates=H","DateFormat=P","Fill=—","Direction=H","UseDPDF=Y")</f>
        <v>4.1494</v>
      </c>
      <c r="O55" s="17" cm="1">
        <f t="array" ref="O55">_xll.BDH("DE US Equity","IS_BASIC_EPS_CONT_OPS","FQ1 2022","FQ1 2022","Currency=USD","Period=FQ","BEST_FPERIOD_OVERRIDE=FQ","FILING_STATUS=MR","Sort=A","Dates=H","DateFormat=P","Fill=—","Direction=H","UseDPDF=Y")</f>
        <v>3.1688000000000001</v>
      </c>
      <c r="P55" s="17" cm="1">
        <f t="array" ref="P55">_xll.BDH("DE US Equity","IS_BASIC_EPS_CONT_OPS","FQ2 2022","FQ2 2022","Currency=USD","Period=FQ","BEST_FPERIOD_OVERRIDE=FQ","FILING_STATUS=MR","Sort=A","Dates=H","DateFormat=P","Fill=—","Direction=H","UseDPDF=Y")</f>
        <v>7.0297999999999998</v>
      </c>
      <c r="Q55" s="17" cm="1">
        <f t="array" ref="Q55">_xll.BDH("DE US Equity","IS_BASIC_EPS_CONT_OPS","FQ3 2022","FQ3 2022","Currency=USD","Period=FQ","BEST_FPERIOD_OVERRIDE=FQ","FILING_STATUS=MR","Sort=A","Dates=H","DateFormat=P","Fill=—","Direction=H","UseDPDF=Y")</f>
        <v>6.2991999999999999</v>
      </c>
      <c r="R55" s="17" cm="1">
        <f t="array" ref="R55">_xll.BDH("DE US Equity","IS_BASIC_EPS_CONT_OPS","FQ4 2022","FQ4 2022","Currency=USD","Period=FQ","BEST_FPERIOD_OVERRIDE=FQ","FILING_STATUS=MR","Sort=A","Dates=H","DateFormat=P","Fill=—","Direction=H","UseDPDF=Y")</f>
        <v>6.8567999999999998</v>
      </c>
      <c r="S55" s="17" cm="1">
        <f t="array" ref="S55">_xll.BDH("DE US Equity","IS_BASIC_EPS_CONT_OPS","FQ1 2023","FQ1 2023","Currency=USD","Period=FQ","BEST_FPERIOD_OVERRIDE=FQ","FILING_STATUS=MR","Sort=A","Dates=H","DateFormat=P","Fill=—","Direction=H","UseDPDF=Y")</f>
        <v>6.58</v>
      </c>
      <c r="T55" s="17" cm="1">
        <f t="array" ref="T55">_xll.BDH("DE US Equity","IS_BASIC_EPS_CONT_OPS","FQ2 2023","FQ2 2023","Currency=USD","Period=FQ","BEST_FPERIOD_OVERRIDE=FQ","FILING_STATUS=MR","Sort=A","Dates=H","DateFormat=P","Fill=—","Direction=H","UseDPDF=Y")</f>
        <v>10.1548</v>
      </c>
      <c r="U55" s="17" cm="1">
        <f t="array" ref="U55">_xll.BDH("DE US Equity","IS_BASIC_EPS_CONT_OPS","FQ3 2023","FQ3 2023","Currency=USD","Period=FQ","BEST_FPERIOD_OVERRIDE=FQ","FILING_STATUS=MR","Sort=A","Dates=H","DateFormat=P","Fill=—","Direction=H","UseDPDF=Y")</f>
        <v>9.4050999999999991</v>
      </c>
      <c r="V55" s="17" cm="1">
        <f t="array" ref="V55">_xll.BDH("DE US Equity","IS_BASIC_EPS_CONT_OPS","FQ4 2023","FQ4 2023","Currency=USD","Period=FQ","BEST_FPERIOD_OVERRIDE=FQ","FILING_STATUS=MR","Sort=A","Dates=H","DateFormat=P","Fill=—","Direction=H","UseDPDF=Y")</f>
        <v>8.3475000000000001</v>
      </c>
      <c r="W55" s="17" cm="1">
        <f t="array" ref="W55">_xll.BDH("DE US Equity","IS_BASIC_EPS_CONT_OPS","FQ1 2024","FQ1 2024","Currency=USD","Period=FQ","BEST_FPERIOD_OVERRIDE=FQ","FILING_STATUS=MR","Sort=A","Dates=H","DateFormat=P","Fill=—","Direction=H","UseDPDF=Y")</f>
        <v>6.25</v>
      </c>
      <c r="X55" s="17" cm="1">
        <f t="array" ref="X55">_xll.BDH("DE US Equity","IS_BASIC_EPS_CONT_OPS","FQ2 2024","FQ2 2024","Currency=USD","Period=FQ","BEST_FPERIOD_OVERRIDE=FQ","FILING_STATUS=MR","Sort=A","Dates=H","DateFormat=P","Fill=—","Direction=H","UseDPDF=Y")</f>
        <v>8.56</v>
      </c>
      <c r="Y55" s="17" cm="1">
        <f t="array" ref="Y55">_xll.BDH("DE US Equity","IS_BASIC_EPS_CONT_OPS","FQ3 2024","FQ3 2024","Currency=USD","Period=FQ","BEST_FPERIOD_OVERRIDE=FQ","FILING_STATUS=MR","Sort=A","Dates=H","DateFormat=P","Fill=—","Direction=H","UseDPDF=Y")</f>
        <v>6.32</v>
      </c>
      <c r="Z55" s="17" cm="1">
        <f t="array" ref="Z55">_xll.BDH("DE US Equity","IS_BASIC_EPS_CONT_OPS","FQ4 2024","FQ4 2024","Currency=USD","Period=FQ","BEST_FPERIOD_OVERRIDE=FQ","FILING_STATUS=MR","Sort=A","Dates=H","DateFormat=P","Fill=—","Direction=H","UseDPDF=Y")</f>
        <v>4.7618</v>
      </c>
      <c r="AA55" s="17" cm="1">
        <f t="array" ref="AA55">_xll.BDH("DE US Equity","IS_BASIC_EPS_CONT_OPS","FQ1 2025","FQ1 2025","Currency=USD","Period=FQ","BEST_FPERIOD_OVERRIDE=FQ","FILING_STATUS=MR","Sort=A","Dates=H","DateFormat=P","Fill=—","Direction=H","UseDPDF=Y")</f>
        <v>3.1065</v>
      </c>
      <c r="AB55" s="17" cm="1">
        <f t="array" ref="AB55">_xll.BDH("DE US Equity","IS_BASIC_EPS_CONT_OPS","FQ2 2025","FQ2 2025","Currency=USD","Period=FQ","BEST_FPERIOD_OVERRIDE=FQ","FILING_STATUS=MR","Sort=A","Dates=H","DateFormat=P","Fill=—","Direction=H","UseDPDF=Y")</f>
        <v>6.65</v>
      </c>
      <c r="AC55" s="17" cm="1">
        <f t="array" ref="AC55">_xll.BDH("DE US Equity","IS_BASIC_EPS_CONT_OPS","FQ3 2025","FQ3 2025","Currency=USD","Period=FQ","BEST_FPERIOD_OVERRIDE=FQ","FILING_STATUS=MR","Sort=A","Dates=H","DateFormat=P","Fill=—","Direction=H","UseDPDF=Y")</f>
        <v>4.9427000000000003</v>
      </c>
      <c r="AD55" s="17" cm="1">
        <f t="array" ref="AD55">_xll.BDH("DE US Equity","IS_BASIC_EPS_CONT_OPS","FQ4 2025","FQ4 2025","Currency=USD","Period=FQ","BEST_FPERIOD_OVERRIDE=FQ","FILING_STATUS=MR","Sort=A","Dates=H","DateFormat=P","Fill=—","Direction=H","UseDPDF=Y")</f>
        <v>4.2175000000000002</v>
      </c>
      <c r="AE55" s="17">
        <v>2.0489999999999999</v>
      </c>
      <c r="AF55" s="17">
        <v>5.4550000000000001</v>
      </c>
    </row>
    <row r="56" spans="1:32" x14ac:dyDescent="0.25">
      <c r="A56" s="6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x14ac:dyDescent="0.25">
      <c r="A57" s="10" t="s">
        <v>158</v>
      </c>
      <c r="B57" s="10" t="s">
        <v>159</v>
      </c>
      <c r="C57" s="13" cm="1">
        <f t="array" ref="C57">_xll.BDH("DE US Equity","IS_SH_FOR_DILUTED_EPS","FQ1 2019","FQ1 2019","Currency=USD","Period=FQ","BEST_FPERIOD_OVERRIDE=FQ","FILING_STATUS=MR","Sort=A","Dates=H","DateFormat=P","Fill=—","Direction=H","UseDPDF=Y")</f>
        <v>322.7</v>
      </c>
      <c r="D57" s="13" cm="1">
        <f t="array" ref="D57">_xll.BDH("DE US Equity","IS_SH_FOR_DILUTED_EPS","FQ2 2019","FQ2 2019","Currency=USD","Period=FQ","BEST_FPERIOD_OVERRIDE=FQ","FILING_STATUS=MR","Sort=A","Dates=H","DateFormat=P","Fill=—","Direction=H","UseDPDF=Y")</f>
        <v>322.2</v>
      </c>
      <c r="E57" s="13" cm="1">
        <f t="array" ref="E57">_xll.BDH("DE US Equity","IS_SH_FOR_DILUTED_EPS","FQ3 2019","FQ3 2019","Currency=USD","Period=FQ","BEST_FPERIOD_OVERRIDE=FQ","FILING_STATUS=MR","Sort=A","Dates=H","DateFormat=P","Fill=—","Direction=H","UseDPDF=Y")</f>
        <v>319.8</v>
      </c>
      <c r="F57" s="13" cm="1">
        <f t="array" ref="F57">_xll.BDH("DE US Equity","IS_SH_FOR_DILUTED_EPS","FQ4 2019","FQ4 2019","Currency=USD","Period=FQ","BEST_FPERIOD_OVERRIDE=FQ","FILING_STATUS=MR","Sort=A","Dates=H","DateFormat=P","Fill=—","Direction=H","UseDPDF=Y")</f>
        <v>317.89999999999998</v>
      </c>
      <c r="G57" s="13" cm="1">
        <f t="array" ref="G57">_xll.BDH("DE US Equity","IS_SH_FOR_DILUTED_EPS","FQ1 2020","FQ1 2020","Currency=USD","Period=FQ","BEST_FPERIOD_OVERRIDE=FQ","FILING_STATUS=MR","Sort=A","Dates=H","DateFormat=P","Fill=—","Direction=H","UseDPDF=Y")</f>
        <v>317.2</v>
      </c>
      <c r="H57" s="13" cm="1">
        <f t="array" ref="H57">_xll.BDH("DE US Equity","IS_SH_FOR_DILUTED_EPS","FQ2 2020","FQ2 2020","Currency=USD","Period=FQ","BEST_FPERIOD_OVERRIDE=FQ","FILING_STATUS=MR","Sort=A","Dates=H","DateFormat=P","Fill=—","Direction=H","UseDPDF=Y")</f>
        <v>316.2</v>
      </c>
      <c r="I57" s="13" cm="1">
        <f t="array" ref="I57">_xll.BDH("DE US Equity","IS_SH_FOR_DILUTED_EPS","FQ3 2020","FQ3 2020","Currency=USD","Period=FQ","BEST_FPERIOD_OVERRIDE=FQ","FILING_STATUS=MR","Sort=A","Dates=H","DateFormat=P","Fill=—","Direction=H","UseDPDF=Y")</f>
        <v>315.8</v>
      </c>
      <c r="J57" s="13" cm="1">
        <f t="array" ref="J57">_xll.BDH("DE US Equity","IS_SH_FOR_DILUTED_EPS","FQ4 2020","FQ4 2020","Currency=USD","Period=FQ","BEST_FPERIOD_OVERRIDE=FQ","FILING_STATUS=MR","Sort=A","Dates=H","DateFormat=P","Fill=—","Direction=H","UseDPDF=Y")</f>
        <v>317.10000000000002</v>
      </c>
      <c r="K57" s="13" cm="1">
        <f t="array" ref="K57">_xll.BDH("DE US Equity","IS_SH_FOR_DILUTED_EPS","FQ1 2021","FQ1 2021","Currency=USD","Period=FQ","BEST_FPERIOD_OVERRIDE=FQ","FILING_STATUS=MR","Sort=A","Dates=H","DateFormat=P","Fill=—","Direction=H","UseDPDF=Y")</f>
        <v>316.10000000000002</v>
      </c>
      <c r="L57" s="13" cm="1">
        <f t="array" ref="L57">_xll.BDH("DE US Equity","IS_SH_FOR_DILUTED_EPS","FQ2 2021","FQ2 2021","Currency=USD","Period=FQ","BEST_FPERIOD_OVERRIDE=FQ","FILING_STATUS=MR","Sort=A","Dates=H","DateFormat=P","Fill=—","Direction=H","UseDPDF=Y")</f>
        <v>315.2</v>
      </c>
      <c r="M57" s="13" cm="1">
        <f t="array" ref="M57">_xll.BDH("DE US Equity","IS_SH_FOR_DILUTED_EPS","FQ3 2021","FQ3 2021","Currency=USD","Period=FQ","BEST_FPERIOD_OVERRIDE=FQ","FILING_STATUS=MR","Sort=A","Dates=H","DateFormat=P","Fill=—","Direction=H","UseDPDF=Y")</f>
        <v>313.39999999999998</v>
      </c>
      <c r="N57" s="13" cm="1">
        <f t="array" ref="N57">_xll.BDH("DE US Equity","IS_SH_FOR_DILUTED_EPS","FQ4 2021","FQ4 2021","Currency=USD","Period=FQ","BEST_FPERIOD_OVERRIDE=FQ","FILING_STATUS=MR","Sort=A","Dates=H","DateFormat=P","Fill=—","Direction=H","UseDPDF=Y")</f>
        <v>311.3</v>
      </c>
      <c r="O57" s="13" cm="1">
        <f t="array" ref="O57">_xll.BDH("DE US Equity","IS_SH_FOR_DILUTED_EPS","FQ1 2022","FQ1 2022","Currency=USD","Period=FQ","BEST_FPERIOD_OVERRIDE=FQ","FILING_STATUS=MR","Sort=A","Dates=H","DateFormat=P","Fill=—","Direction=H","UseDPDF=Y")</f>
        <v>309.39999999999998</v>
      </c>
      <c r="P57" s="13" cm="1">
        <f t="array" ref="P57">_xll.BDH("DE US Equity","IS_SH_FOR_DILUTED_EPS","FQ2 2022","FQ2 2022","Currency=USD","Period=FQ","BEST_FPERIOD_OVERRIDE=FQ","FILING_STATUS=MR","Sort=A","Dates=H","DateFormat=P","Fill=—","Direction=H","UseDPDF=Y")</f>
        <v>308.10000000000002</v>
      </c>
      <c r="Q57" s="13" cm="1">
        <f t="array" ref="Q57">_xll.BDH("DE US Equity","IS_SH_FOR_DILUTED_EPS","FQ3 2022","FQ3 2022","Currency=USD","Period=FQ","BEST_FPERIOD_OVERRIDE=FQ","FILING_STATUS=MR","Sort=A","Dates=H","DateFormat=P","Fill=—","Direction=H","UseDPDF=Y")</f>
        <v>305.7</v>
      </c>
      <c r="R57" s="13" cm="1">
        <f t="array" ref="R57">_xll.BDH("DE US Equity","IS_SH_FOR_DILUTED_EPS","FQ4 2022","FQ4 2022","Currency=USD","Period=FQ","BEST_FPERIOD_OVERRIDE=FQ","FILING_STATUS=MR","Sort=A","Dates=H","DateFormat=P","Fill=—","Direction=H","UseDPDF=Y")</f>
        <v>302.10000000000002</v>
      </c>
      <c r="S57" s="13" cm="1">
        <f t="array" ref="S57">_xll.BDH("DE US Equity","IS_SH_FOR_DILUTED_EPS","FQ1 2023","FQ1 2023","Currency=USD","Period=FQ","BEST_FPERIOD_OVERRIDE=FQ","FILING_STATUS=MR","Sort=A","Dates=H","DateFormat=P","Fill=—","Direction=H","UseDPDF=Y")</f>
        <v>299.10000000000002</v>
      </c>
      <c r="T57" s="13" cm="1">
        <f t="array" ref="T57">_xll.BDH("DE US Equity","IS_SH_FOR_DILUTED_EPS","FQ2 2023","FQ2 2023","Currency=USD","Period=FQ","BEST_FPERIOD_OVERRIDE=FQ","FILING_STATUS=MR","Sort=A","Dates=H","DateFormat=P","Fill=—","Direction=H","UseDPDF=Y")</f>
        <v>296.5</v>
      </c>
      <c r="U57" s="13" cm="1">
        <f t="array" ref="U57">_xll.BDH("DE US Equity","IS_SH_FOR_DILUTED_EPS","FQ3 2023","FQ3 2023","Currency=USD","Period=FQ","BEST_FPERIOD_OVERRIDE=FQ","FILING_STATUS=MR","Sort=A","Dates=H","DateFormat=P","Fill=—","Direction=H","UseDPDF=Y")</f>
        <v>292.10000000000002</v>
      </c>
      <c r="V57" s="13" cm="1">
        <f t="array" ref="V57">_xll.BDH("DE US Equity","IS_SH_FOR_DILUTED_EPS","FQ4 2023","FQ4 2023","Currency=USD","Period=FQ","BEST_FPERIOD_OVERRIDE=FQ","FILING_STATUS=MR","Sort=A","Dates=H","DateFormat=P","Fill=—","Direction=H","UseDPDF=Y")</f>
        <v>286.89999999999998</v>
      </c>
      <c r="W57" s="13" cm="1">
        <f t="array" ref="W57">_xll.BDH("DE US Equity","IS_SH_FOR_DILUTED_EPS","FQ1 2024","FQ1 2024","Currency=USD","Period=FQ","BEST_FPERIOD_OVERRIDE=FQ","FILING_STATUS=MR","Sort=A","Dates=H","DateFormat=P","Fill=—","Direction=H","UseDPDF=Y")</f>
        <v>281.10000000000002</v>
      </c>
      <c r="X57" s="13" cm="1">
        <f t="array" ref="X57">_xll.BDH("DE US Equity","IS_SH_FOR_DILUTED_EPS","FQ2 2024","FQ2 2024","Currency=USD","Period=FQ","BEST_FPERIOD_OVERRIDE=FQ","FILING_STATUS=MR","Sort=A","Dates=H","DateFormat=P","Fill=—","Direction=H","UseDPDF=Y")</f>
        <v>277.89999999999998</v>
      </c>
      <c r="Y57" s="13" cm="1">
        <f t="array" ref="Y57">_xll.BDH("DE US Equity","IS_SH_FOR_DILUTED_EPS","FQ3 2024","FQ3 2024","Currency=USD","Period=FQ","BEST_FPERIOD_OVERRIDE=FQ","FILING_STATUS=MR","Sort=A","Dates=H","DateFormat=P","Fill=—","Direction=H","UseDPDF=Y")</f>
        <v>275.60000000000002</v>
      </c>
      <c r="Z57" s="13" cm="1">
        <f t="array" ref="Z57">_xll.BDH("DE US Equity","IS_SH_FOR_DILUTED_EPS","FQ4 2024","FQ4 2024","Currency=USD","Period=FQ","BEST_FPERIOD_OVERRIDE=FQ","FILING_STATUS=MR","Sort=A","Dates=H","DateFormat=P","Fill=—","Direction=H","UseDPDF=Y")</f>
        <v>273.60000000000002</v>
      </c>
      <c r="AA57" s="13" cm="1">
        <f t="array" ref="AA57">_xll.BDH("DE US Equity","IS_SH_FOR_DILUTED_EPS","FQ1 2025","FQ1 2025","Currency=USD","Period=FQ","BEST_FPERIOD_OVERRIDE=FQ","FILING_STATUS=MR","Sort=A","Dates=H","DateFormat=P","Fill=—","Direction=H","UseDPDF=Y")</f>
        <v>272.3</v>
      </c>
      <c r="AB57" s="13" cm="1">
        <f t="array" ref="AB57">_xll.BDH("DE US Equity","IS_SH_FOR_DILUTED_EPS","FQ2 2025","FQ2 2025","Currency=USD","Period=FQ","BEST_FPERIOD_OVERRIDE=FQ","FILING_STATUS=MR","Sort=A","Dates=H","DateFormat=P","Fill=—","Direction=H","UseDPDF=Y")</f>
        <v>271.8</v>
      </c>
      <c r="AC57" s="13" cm="1">
        <f t="array" ref="AC57">_xll.BDH("DE US Equity","IS_SH_FOR_DILUTED_EPS","FQ3 2025","FQ3 2025","Currency=USD","Period=FQ","BEST_FPERIOD_OVERRIDE=FQ","FILING_STATUS=MR","Sort=A","Dates=H","DateFormat=P","Fill=—","Direction=H","UseDPDF=Y")</f>
        <v>271.39999999999998</v>
      </c>
      <c r="AD57" s="13" cm="1">
        <f t="array" ref="AD57">_xll.BDH("DE US Equity","IS_SH_FOR_DILUTED_EPS","FQ4 2025","FQ4 2025","Currency=USD","Period=FQ","BEST_FPERIOD_OVERRIDE=FQ","FILING_STATUS=MR","Sort=A","Dates=H","DateFormat=P","Fill=—","Direction=H","UseDPDF=Y")</f>
        <v>271.10000000000002</v>
      </c>
      <c r="AE57" s="13"/>
      <c r="AF57" s="13"/>
    </row>
    <row r="58" spans="1:32" x14ac:dyDescent="0.25">
      <c r="A58" s="6" t="s">
        <v>160</v>
      </c>
      <c r="B58" s="6" t="s">
        <v>161</v>
      </c>
      <c r="C58" s="17" cm="1">
        <f t="array" ref="C58">_xll.BDH("DE US Equity","IS_DILUTED_EPS","FQ1 2019","FQ1 2019","Currency=USD","Period=FQ","BEST_FPERIOD_OVERRIDE=FQ","FILING_STATUS=MR","FA_ADJUSTED=GAAP","Sort=A","Dates=H","DateFormat=P","Fill=—","Direction=H","UseDPDF=Y")</f>
        <v>1.54</v>
      </c>
      <c r="D58" s="17" cm="1">
        <f t="array" ref="D58">_xll.BDH("DE US Equity","IS_DILUTED_EPS","FQ2 2019","FQ2 2019","Currency=USD","Period=FQ","BEST_FPERIOD_OVERRIDE=FQ","FILING_STATUS=MR","FA_ADJUSTED=GAAP","Sort=A","Dates=H","DateFormat=P","Fill=—","Direction=H","UseDPDF=Y")</f>
        <v>3.52</v>
      </c>
      <c r="E58" s="17" cm="1">
        <f t="array" ref="E58">_xll.BDH("DE US Equity","IS_DILUTED_EPS","FQ3 2019","FQ3 2019","Currency=USD","Period=FQ","BEST_FPERIOD_OVERRIDE=FQ","FILING_STATUS=MR","FA_ADJUSTED=GAAP","Sort=A","Dates=H","DateFormat=P","Fill=—","Direction=H","UseDPDF=Y")</f>
        <v>2.81</v>
      </c>
      <c r="F58" s="17" cm="1">
        <f t="array" ref="F58">_xll.BDH("DE US Equity","IS_DILUTED_EPS","FQ4 2019","FQ4 2019","Currency=USD","Period=FQ","BEST_FPERIOD_OVERRIDE=FQ","FILING_STATUS=MR","FA_ADJUSTED=GAAP","Sort=A","Dates=H","DateFormat=P","Fill=—","Direction=H","UseDPDF=Y")</f>
        <v>2.27</v>
      </c>
      <c r="G58" s="17" cm="1">
        <f t="array" ref="G58">_xll.BDH("DE US Equity","IS_DILUTED_EPS","FQ1 2020","FQ1 2020","Currency=USD","Period=FQ","BEST_FPERIOD_OVERRIDE=FQ","FILING_STATUS=MR","FA_ADJUSTED=GAAP","Sort=A","Dates=H","DateFormat=P","Fill=—","Direction=H","UseDPDF=Y")</f>
        <v>1.63</v>
      </c>
      <c r="H58" s="17" cm="1">
        <f t="array" ref="H58">_xll.BDH("DE US Equity","IS_DILUTED_EPS","FQ2 2020","FQ2 2020","Currency=USD","Period=FQ","BEST_FPERIOD_OVERRIDE=FQ","FILING_STATUS=MR","FA_ADJUSTED=GAAP","Sort=A","Dates=H","DateFormat=P","Fill=—","Direction=H","UseDPDF=Y")</f>
        <v>2.11</v>
      </c>
      <c r="I58" s="17" cm="1">
        <f t="array" ref="I58">_xll.BDH("DE US Equity","IS_DILUTED_EPS","FQ3 2020","FQ3 2020","Currency=USD","Period=FQ","BEST_FPERIOD_OVERRIDE=FQ","FILING_STATUS=MR","FA_ADJUSTED=GAAP","Sort=A","Dates=H","DateFormat=P","Fill=—","Direction=H","UseDPDF=Y")</f>
        <v>2.57</v>
      </c>
      <c r="J58" s="17" cm="1">
        <f t="array" ref="J58">_xll.BDH("DE US Equity","IS_DILUTED_EPS","FQ4 2020","FQ4 2020","Currency=USD","Period=FQ","BEST_FPERIOD_OVERRIDE=FQ","FILING_STATUS=MR","FA_ADJUSTED=GAAP","Sort=A","Dates=H","DateFormat=P","Fill=—","Direction=H","UseDPDF=Y")</f>
        <v>2.39</v>
      </c>
      <c r="K58" s="17" cm="1">
        <f t="array" ref="K58">_xll.BDH("DE US Equity","IS_DILUTED_EPS","FQ1 2021","FQ1 2021","Currency=USD","Period=FQ","BEST_FPERIOD_OVERRIDE=FQ","FILING_STATUS=MR","FA_ADJUSTED=GAAP","Sort=A","Dates=H","DateFormat=P","Fill=—","Direction=H","UseDPDF=Y")</f>
        <v>3.87</v>
      </c>
      <c r="L58" s="17" cm="1">
        <f t="array" ref="L58">_xll.BDH("DE US Equity","IS_DILUTED_EPS","FQ2 2021","FQ2 2021","Currency=USD","Period=FQ","BEST_FPERIOD_OVERRIDE=FQ","FILING_STATUS=MR","FA_ADJUSTED=GAAP","Sort=A","Dates=H","DateFormat=P","Fill=—","Direction=H","UseDPDF=Y")</f>
        <v>5.68</v>
      </c>
      <c r="M58" s="17" cm="1">
        <f t="array" ref="M58">_xll.BDH("DE US Equity","IS_DILUTED_EPS","FQ3 2021","FQ3 2021","Currency=USD","Period=FQ","BEST_FPERIOD_OVERRIDE=FQ","FILING_STATUS=MR","FA_ADJUSTED=GAAP","Sort=A","Dates=H","DateFormat=P","Fill=—","Direction=H","UseDPDF=Y")</f>
        <v>5.32</v>
      </c>
      <c r="N58" s="17" cm="1">
        <f t="array" ref="N58">_xll.BDH("DE US Equity","IS_DILUTED_EPS","FQ4 2021","FQ4 2021","Currency=USD","Period=FQ","BEST_FPERIOD_OVERRIDE=FQ","FILING_STATUS=MR","FA_ADJUSTED=GAAP","Sort=A","Dates=H","DateFormat=P","Fill=—","Direction=H","UseDPDF=Y")</f>
        <v>4.1214000000000004</v>
      </c>
      <c r="O58" s="17" cm="1">
        <f t="array" ref="O58">_xll.BDH("DE US Equity","IS_DILUTED_EPS","FQ1 2022","FQ1 2022","Currency=USD","Period=FQ","BEST_FPERIOD_OVERRIDE=FQ","FILING_STATUS=MR","FA_ADJUSTED=GAAP","Sort=A","Dates=H","DateFormat=P","Fill=—","Direction=H","UseDPDF=Y")</f>
        <v>2.92</v>
      </c>
      <c r="P58" s="17" cm="1">
        <f t="array" ref="P58">_xll.BDH("DE US Equity","IS_DILUTED_EPS","FQ2 2022","FQ2 2022","Currency=USD","Period=FQ","BEST_FPERIOD_OVERRIDE=FQ","FILING_STATUS=MR","FA_ADJUSTED=GAAP","Sort=A","Dates=H","DateFormat=P","Fill=—","Direction=H","UseDPDF=Y")</f>
        <v>6.81</v>
      </c>
      <c r="Q58" s="17" cm="1">
        <f t="array" ref="Q58">_xll.BDH("DE US Equity","IS_DILUTED_EPS","FQ3 2022","FQ3 2022","Currency=USD","Period=FQ","BEST_FPERIOD_OVERRIDE=FQ","FILING_STATUS=MR","FA_ADJUSTED=GAAP","Sort=A","Dates=H","DateFormat=P","Fill=—","Direction=H","UseDPDF=Y")</f>
        <v>6.16</v>
      </c>
      <c r="R58" s="17" cm="1">
        <f t="array" ref="R58">_xll.BDH("DE US Equity","IS_DILUTED_EPS","FQ4 2022","FQ4 2022","Currency=USD","Period=FQ","BEST_FPERIOD_OVERRIDE=FQ","FILING_STATUS=MR","FA_ADJUSTED=GAAP","Sort=A","Dates=H","DateFormat=P","Fill=—","Direction=H","UseDPDF=Y")</f>
        <v>7.4345999999999997</v>
      </c>
      <c r="S58" s="17" cm="1">
        <f t="array" ref="S58">_xll.BDH("DE US Equity","IS_DILUTED_EPS","FQ1 2023","FQ1 2023","Currency=USD","Period=FQ","BEST_FPERIOD_OVERRIDE=FQ","FILING_STATUS=MR","FA_ADJUSTED=GAAP","Sort=A","Dates=H","DateFormat=P","Fill=—","Direction=H","UseDPDF=Y")</f>
        <v>6.55</v>
      </c>
      <c r="T58" s="17" cm="1">
        <f t="array" ref="T58">_xll.BDH("DE US Equity","IS_DILUTED_EPS","FQ2 2023","FQ2 2023","Currency=USD","Period=FQ","BEST_FPERIOD_OVERRIDE=FQ","FILING_STATUS=MR","FA_ADJUSTED=GAAP","Sort=A","Dates=H","DateFormat=P","Fill=—","Direction=H","UseDPDF=Y")</f>
        <v>9.65</v>
      </c>
      <c r="U58" s="17" cm="1">
        <f t="array" ref="U58">_xll.BDH("DE US Equity","IS_DILUTED_EPS","FQ3 2023","FQ3 2023","Currency=USD","Period=FQ","BEST_FPERIOD_OVERRIDE=FQ","FILING_STATUS=MR","FA_ADJUSTED=GAAP","Sort=A","Dates=H","DateFormat=P","Fill=—","Direction=H","UseDPDF=Y")</f>
        <v>10.199999999999999</v>
      </c>
      <c r="V58" s="17" cm="1">
        <f t="array" ref="V58">_xll.BDH("DE US Equity","IS_DILUTED_EPS","FQ4 2023","FQ4 2023","Currency=USD","Period=FQ","BEST_FPERIOD_OVERRIDE=FQ","FILING_STATUS=MR","FA_ADJUSTED=GAAP","Sort=A","Dates=H","DateFormat=P","Fill=—","Direction=H","UseDPDF=Y")</f>
        <v>8.26</v>
      </c>
      <c r="W58" s="17" cm="1">
        <f t="array" ref="W58">_xll.BDH("DE US Equity","IS_DILUTED_EPS","FQ1 2024","FQ1 2024","Currency=USD","Period=FQ","BEST_FPERIOD_OVERRIDE=FQ","FILING_STATUS=MR","FA_ADJUSTED=GAAP","Sort=A","Dates=H","DateFormat=P","Fill=—","Direction=H","UseDPDF=Y")</f>
        <v>6.23</v>
      </c>
      <c r="X58" s="17" cm="1">
        <f t="array" ref="X58">_xll.BDH("DE US Equity","IS_DILUTED_EPS","FQ2 2024","FQ2 2024","Currency=USD","Period=FQ","BEST_FPERIOD_OVERRIDE=FQ","FILING_STATUS=MR","FA_ADJUSTED=GAAP","Sort=A","Dates=H","DateFormat=P","Fill=—","Direction=H","UseDPDF=Y")</f>
        <v>8.5299999999999994</v>
      </c>
      <c r="Y58" s="17" cm="1">
        <f t="array" ref="Y58">_xll.BDH("DE US Equity","IS_DILUTED_EPS","FQ3 2024","FQ3 2024","Currency=USD","Period=FQ","BEST_FPERIOD_OVERRIDE=FQ","FILING_STATUS=MR","FA_ADJUSTED=GAAP","Sort=A","Dates=H","DateFormat=P","Fill=—","Direction=H","UseDPDF=Y")</f>
        <v>6.29</v>
      </c>
      <c r="Z58" s="17" cm="1">
        <f t="array" ref="Z58">_xll.BDH("DE US Equity","IS_DILUTED_EPS","FQ4 2024","FQ4 2024","Currency=USD","Period=FQ","BEST_FPERIOD_OVERRIDE=FQ","FILING_STATUS=MR","FA_ADJUSTED=GAAP","Sort=A","Dates=H","DateFormat=P","Fill=—","Direction=H","UseDPDF=Y")</f>
        <v>4.55</v>
      </c>
      <c r="AA58" s="17" cm="1">
        <f t="array" ref="AA58">_xll.BDH("DE US Equity","IS_DILUTED_EPS","FQ1 2025","FQ1 2025","Currency=USD","Period=FQ","BEST_FPERIOD_OVERRIDE=FQ","FILING_STATUS=MR","FA_ADJUSTED=GAAP","Sort=A","Dates=H","DateFormat=P","Fill=—","Direction=H","UseDPDF=Y")</f>
        <v>3.19</v>
      </c>
      <c r="AB58" s="17" cm="1">
        <f t="array" ref="AB58">_xll.BDH("DE US Equity","IS_DILUTED_EPS","FQ2 2025","FQ2 2025","Currency=USD","Period=FQ","BEST_FPERIOD_OVERRIDE=FQ","FILING_STATUS=MR","FA_ADJUSTED=GAAP","Sort=A","Dates=H","DateFormat=P","Fill=—","Direction=H","UseDPDF=Y")</f>
        <v>6.64</v>
      </c>
      <c r="AC58" s="17" cm="1">
        <f t="array" ref="AC58">_xll.BDH("DE US Equity","IS_DILUTED_EPS","FQ3 2025","FQ3 2025","Currency=USD","Period=FQ","BEST_FPERIOD_OVERRIDE=FQ","FILING_STATUS=MR","FA_ADJUSTED=GAAP","Sort=A","Dates=H","DateFormat=P","Fill=—","Direction=H","UseDPDF=Y")</f>
        <v>4.75</v>
      </c>
      <c r="AD58" s="17" cm="1">
        <f t="array" ref="AD58">_xll.BDH("DE US Equity","IS_DILUTED_EPS","FQ4 2025","FQ4 2025","Currency=USD","Period=FQ","BEST_FPERIOD_OVERRIDE=FQ","FILING_STATUS=MR","FA_ADJUSTED=GAAP","Sort=A","Dates=H","DateFormat=P","Fill=—","Direction=H","UseDPDF=Y")</f>
        <v>3.93</v>
      </c>
      <c r="AE58" s="17">
        <v>2.0640000000000001</v>
      </c>
      <c r="AF58" s="17">
        <v>5.5579999999999998</v>
      </c>
    </row>
    <row r="59" spans="1:32" x14ac:dyDescent="0.25">
      <c r="A59" s="6" t="s">
        <v>162</v>
      </c>
      <c r="B59" s="6" t="s">
        <v>163</v>
      </c>
      <c r="C59" s="17" cm="1">
        <f t="array" ref="C59">_xll.BDH("DE US Equity","IS_DIL_EPS_BEF_XO","FQ1 2019","FQ1 2019","Currency=USD","Period=FQ","BEST_FPERIOD_OVERRIDE=FQ","FILING_STATUS=MR","Sort=A","Dates=H","DateFormat=P","Fill=—","Direction=H","UseDPDF=Y")</f>
        <v>1.54</v>
      </c>
      <c r="D59" s="17" cm="1">
        <f t="array" ref="D59">_xll.BDH("DE US Equity","IS_DIL_EPS_BEF_XO","FQ2 2019","FQ2 2019","Currency=USD","Period=FQ","BEST_FPERIOD_OVERRIDE=FQ","FILING_STATUS=MR","Sort=A","Dates=H","DateFormat=P","Fill=—","Direction=H","UseDPDF=Y")</f>
        <v>3.52</v>
      </c>
      <c r="E59" s="17" cm="1">
        <f t="array" ref="E59">_xll.BDH("DE US Equity","IS_DIL_EPS_BEF_XO","FQ3 2019","FQ3 2019","Currency=USD","Period=FQ","BEST_FPERIOD_OVERRIDE=FQ","FILING_STATUS=MR","Sort=A","Dates=H","DateFormat=P","Fill=—","Direction=H","UseDPDF=Y")</f>
        <v>2.81</v>
      </c>
      <c r="F59" s="17" cm="1">
        <f t="array" ref="F59">_xll.BDH("DE US Equity","IS_DIL_EPS_BEF_XO","FQ4 2019","FQ4 2019","Currency=USD","Period=FQ","BEST_FPERIOD_OVERRIDE=FQ","FILING_STATUS=MR","Sort=A","Dates=H","DateFormat=P","Fill=—","Direction=H","UseDPDF=Y")</f>
        <v>2.27</v>
      </c>
      <c r="G59" s="17" cm="1">
        <f t="array" ref="G59">_xll.BDH("DE US Equity","IS_DIL_EPS_BEF_XO","FQ1 2020","FQ1 2020","Currency=USD","Period=FQ","BEST_FPERIOD_OVERRIDE=FQ","FILING_STATUS=MR","Sort=A","Dates=H","DateFormat=P","Fill=—","Direction=H","UseDPDF=Y")</f>
        <v>1.63</v>
      </c>
      <c r="H59" s="17" cm="1">
        <f t="array" ref="H59">_xll.BDH("DE US Equity","IS_DIL_EPS_BEF_XO","FQ2 2020","FQ2 2020","Currency=USD","Period=FQ","BEST_FPERIOD_OVERRIDE=FQ","FILING_STATUS=MR","Sort=A","Dates=H","DateFormat=P","Fill=—","Direction=H","UseDPDF=Y")</f>
        <v>2.11</v>
      </c>
      <c r="I59" s="17" cm="1">
        <f t="array" ref="I59">_xll.BDH("DE US Equity","IS_DIL_EPS_BEF_XO","FQ3 2020","FQ3 2020","Currency=USD","Period=FQ","BEST_FPERIOD_OVERRIDE=FQ","FILING_STATUS=MR","Sort=A","Dates=H","DateFormat=P","Fill=—","Direction=H","UseDPDF=Y")</f>
        <v>2.57</v>
      </c>
      <c r="J59" s="17" cm="1">
        <f t="array" ref="J59">_xll.BDH("DE US Equity","IS_DIL_EPS_BEF_XO","FQ4 2020","FQ4 2020","Currency=USD","Period=FQ","BEST_FPERIOD_OVERRIDE=FQ","FILING_STATUS=MR","Sort=A","Dates=H","DateFormat=P","Fill=—","Direction=H","UseDPDF=Y")</f>
        <v>2.39</v>
      </c>
      <c r="K59" s="17" cm="1">
        <f t="array" ref="K59">_xll.BDH("DE US Equity","IS_DIL_EPS_BEF_XO","FQ1 2021","FQ1 2021","Currency=USD","Period=FQ","BEST_FPERIOD_OVERRIDE=FQ","FILING_STATUS=MR","Sort=A","Dates=H","DateFormat=P","Fill=—","Direction=H","UseDPDF=Y")</f>
        <v>3.87</v>
      </c>
      <c r="L59" s="17" cm="1">
        <f t="array" ref="L59">_xll.BDH("DE US Equity","IS_DIL_EPS_BEF_XO","FQ2 2021","FQ2 2021","Currency=USD","Period=FQ","BEST_FPERIOD_OVERRIDE=FQ","FILING_STATUS=MR","Sort=A","Dates=H","DateFormat=P","Fill=—","Direction=H","UseDPDF=Y")</f>
        <v>5.68</v>
      </c>
      <c r="M59" s="17" cm="1">
        <f t="array" ref="M59">_xll.BDH("DE US Equity","IS_DIL_EPS_BEF_XO","FQ3 2021","FQ3 2021","Currency=USD","Period=FQ","BEST_FPERIOD_OVERRIDE=FQ","FILING_STATUS=MR","Sort=A","Dates=H","DateFormat=P","Fill=—","Direction=H","UseDPDF=Y")</f>
        <v>5.32</v>
      </c>
      <c r="N59" s="17" cm="1">
        <f t="array" ref="N59">_xll.BDH("DE US Equity","IS_DIL_EPS_BEF_XO","FQ4 2021","FQ4 2021","Currency=USD","Period=FQ","BEST_FPERIOD_OVERRIDE=FQ","FILING_STATUS=MR","Sort=A","Dates=H","DateFormat=P","Fill=—","Direction=H","UseDPDF=Y")</f>
        <v>4.1214000000000004</v>
      </c>
      <c r="O59" s="17" cm="1">
        <f t="array" ref="O59">_xll.BDH("DE US Equity","IS_DIL_EPS_BEF_XO","FQ1 2022","FQ1 2022","Currency=USD","Period=FQ","BEST_FPERIOD_OVERRIDE=FQ","FILING_STATUS=MR","Sort=A","Dates=H","DateFormat=P","Fill=—","Direction=H","UseDPDF=Y")</f>
        <v>2.92</v>
      </c>
      <c r="P59" s="17" cm="1">
        <f t="array" ref="P59">_xll.BDH("DE US Equity","IS_DIL_EPS_BEF_XO","FQ2 2022","FQ2 2022","Currency=USD","Period=FQ","BEST_FPERIOD_OVERRIDE=FQ","FILING_STATUS=MR","Sort=A","Dates=H","DateFormat=P","Fill=—","Direction=H","UseDPDF=Y")</f>
        <v>6.81</v>
      </c>
      <c r="Q59" s="17" cm="1">
        <f t="array" ref="Q59">_xll.BDH("DE US Equity","IS_DIL_EPS_BEF_XO","FQ3 2022","FQ3 2022","Currency=USD","Period=FQ","BEST_FPERIOD_OVERRIDE=FQ","FILING_STATUS=MR","Sort=A","Dates=H","DateFormat=P","Fill=—","Direction=H","UseDPDF=Y")</f>
        <v>6.16</v>
      </c>
      <c r="R59" s="17" cm="1">
        <f t="array" ref="R59">_xll.BDH("DE US Equity","IS_DIL_EPS_BEF_XO","FQ4 2022","FQ4 2022","Currency=USD","Period=FQ","BEST_FPERIOD_OVERRIDE=FQ","FILING_STATUS=MR","Sort=A","Dates=H","DateFormat=P","Fill=—","Direction=H","UseDPDF=Y")</f>
        <v>7.4345999999999997</v>
      </c>
      <c r="S59" s="17" cm="1">
        <f t="array" ref="S59">_xll.BDH("DE US Equity","IS_DIL_EPS_BEF_XO","FQ1 2023","FQ1 2023","Currency=USD","Period=FQ","BEST_FPERIOD_OVERRIDE=FQ","FILING_STATUS=MR","Sort=A","Dates=H","DateFormat=P","Fill=—","Direction=H","UseDPDF=Y")</f>
        <v>6.55</v>
      </c>
      <c r="T59" s="17" cm="1">
        <f t="array" ref="T59">_xll.BDH("DE US Equity","IS_DIL_EPS_BEF_XO","FQ2 2023","FQ2 2023","Currency=USD","Period=FQ","BEST_FPERIOD_OVERRIDE=FQ","FILING_STATUS=MR","Sort=A","Dates=H","DateFormat=P","Fill=—","Direction=H","UseDPDF=Y")</f>
        <v>9.65</v>
      </c>
      <c r="U59" s="17" cm="1">
        <f t="array" ref="U59">_xll.BDH("DE US Equity","IS_DIL_EPS_BEF_XO","FQ3 2023","FQ3 2023","Currency=USD","Period=FQ","BEST_FPERIOD_OVERRIDE=FQ","FILING_STATUS=MR","Sort=A","Dates=H","DateFormat=P","Fill=—","Direction=H","UseDPDF=Y")</f>
        <v>10.199999999999999</v>
      </c>
      <c r="V59" s="17" cm="1">
        <f t="array" ref="V59">_xll.BDH("DE US Equity","IS_DIL_EPS_BEF_XO","FQ4 2023","FQ4 2023","Currency=USD","Period=FQ","BEST_FPERIOD_OVERRIDE=FQ","FILING_STATUS=MR","Sort=A","Dates=H","DateFormat=P","Fill=—","Direction=H","UseDPDF=Y")</f>
        <v>8.26</v>
      </c>
      <c r="W59" s="17" cm="1">
        <f t="array" ref="W59">_xll.BDH("DE US Equity","IS_DIL_EPS_BEF_XO","FQ1 2024","FQ1 2024","Currency=USD","Period=FQ","BEST_FPERIOD_OVERRIDE=FQ","FILING_STATUS=MR","Sort=A","Dates=H","DateFormat=P","Fill=—","Direction=H","UseDPDF=Y")</f>
        <v>6.23</v>
      </c>
      <c r="X59" s="17" cm="1">
        <f t="array" ref="X59">_xll.BDH("DE US Equity","IS_DIL_EPS_BEF_XO","FQ2 2024","FQ2 2024","Currency=USD","Period=FQ","BEST_FPERIOD_OVERRIDE=FQ","FILING_STATUS=MR","Sort=A","Dates=H","DateFormat=P","Fill=—","Direction=H","UseDPDF=Y")</f>
        <v>8.5299999999999994</v>
      </c>
      <c r="Y59" s="17" cm="1">
        <f t="array" ref="Y59">_xll.BDH("DE US Equity","IS_DIL_EPS_BEF_XO","FQ3 2024","FQ3 2024","Currency=USD","Period=FQ","BEST_FPERIOD_OVERRIDE=FQ","FILING_STATUS=MR","Sort=A","Dates=H","DateFormat=P","Fill=—","Direction=H","UseDPDF=Y")</f>
        <v>6.29</v>
      </c>
      <c r="Z59" s="17" cm="1">
        <f t="array" ref="Z59">_xll.BDH("DE US Equity","IS_DIL_EPS_BEF_XO","FQ4 2024","FQ4 2024","Currency=USD","Period=FQ","BEST_FPERIOD_OVERRIDE=FQ","FILING_STATUS=MR","Sort=A","Dates=H","DateFormat=P","Fill=—","Direction=H","UseDPDF=Y")</f>
        <v>4.55</v>
      </c>
      <c r="AA59" s="17" cm="1">
        <f t="array" ref="AA59">_xll.BDH("DE US Equity","IS_DIL_EPS_BEF_XO","FQ1 2025","FQ1 2025","Currency=USD","Period=FQ","BEST_FPERIOD_OVERRIDE=FQ","FILING_STATUS=MR","Sort=A","Dates=H","DateFormat=P","Fill=—","Direction=H","UseDPDF=Y")</f>
        <v>3.19</v>
      </c>
      <c r="AB59" s="17" cm="1">
        <f t="array" ref="AB59">_xll.BDH("DE US Equity","IS_DIL_EPS_BEF_XO","FQ2 2025","FQ2 2025","Currency=USD","Period=FQ","BEST_FPERIOD_OVERRIDE=FQ","FILING_STATUS=MR","Sort=A","Dates=H","DateFormat=P","Fill=—","Direction=H","UseDPDF=Y")</f>
        <v>6.64</v>
      </c>
      <c r="AC59" s="17" cm="1">
        <f t="array" ref="AC59">_xll.BDH("DE US Equity","IS_DIL_EPS_BEF_XO","FQ3 2025","FQ3 2025","Currency=USD","Period=FQ","BEST_FPERIOD_OVERRIDE=FQ","FILING_STATUS=MR","Sort=A","Dates=H","DateFormat=P","Fill=—","Direction=H","UseDPDF=Y")</f>
        <v>4.75</v>
      </c>
      <c r="AD59" s="17" cm="1">
        <f t="array" ref="AD59">_xll.BDH("DE US Equity","IS_DIL_EPS_BEF_XO","FQ4 2025","FQ4 2025","Currency=USD","Period=FQ","BEST_FPERIOD_OVERRIDE=FQ","FILING_STATUS=MR","Sort=A","Dates=H","DateFormat=P","Fill=—","Direction=H","UseDPDF=Y")</f>
        <v>3.93</v>
      </c>
      <c r="AE59" s="17">
        <v>2.0640000000000001</v>
      </c>
      <c r="AF59" s="17">
        <v>5.5579999999999998</v>
      </c>
    </row>
    <row r="60" spans="1:32" x14ac:dyDescent="0.25">
      <c r="A60" s="6" t="s">
        <v>164</v>
      </c>
      <c r="B60" s="6" t="s">
        <v>165</v>
      </c>
      <c r="C60" s="17" cm="1">
        <f t="array" ref="C60">_xll.BDH("DE US Equity","IS_DIL_EPS_CONT_OPS","FQ1 2019","FQ1 2019","Currency=USD","Period=FQ","BEST_FPERIOD_OVERRIDE=FQ","FILING_STATUS=MR","Sort=A","Dates=H","DateFormat=P","Fill=—","Direction=H","UseDPDF=Y")</f>
        <v>1.54</v>
      </c>
      <c r="D60" s="17" cm="1">
        <f t="array" ref="D60">_xll.BDH("DE US Equity","IS_DIL_EPS_CONT_OPS","FQ2 2019","FQ2 2019","Currency=USD","Period=FQ","BEST_FPERIOD_OVERRIDE=FQ","FILING_STATUS=MR","Sort=A","Dates=H","DateFormat=P","Fill=—","Direction=H","UseDPDF=Y")</f>
        <v>3.52</v>
      </c>
      <c r="E60" s="17" cm="1">
        <f t="array" ref="E60">_xll.BDH("DE US Equity","IS_DIL_EPS_CONT_OPS","FQ3 2019","FQ3 2019","Currency=USD","Period=FQ","BEST_FPERIOD_OVERRIDE=FQ","FILING_STATUS=MR","Sort=A","Dates=H","DateFormat=P","Fill=—","Direction=H","UseDPDF=Y")</f>
        <v>2.7099000000000002</v>
      </c>
      <c r="F60" s="17" cm="1">
        <f t="array" ref="F60">_xll.BDH("DE US Equity","IS_DIL_EPS_CONT_OPS","FQ4 2019","FQ4 2019","Currency=USD","Period=FQ","BEST_FPERIOD_OVERRIDE=FQ","FILING_STATUS=MR","Sort=A","Dates=H","DateFormat=P","Fill=—","Direction=H","UseDPDF=Y")</f>
        <v>2.3448000000000002</v>
      </c>
      <c r="G60" s="17" cm="1">
        <f t="array" ref="G60">_xll.BDH("DE US Equity","IS_DIL_EPS_CONT_OPS","FQ1 2020","FQ1 2020","Currency=USD","Period=FQ","BEST_FPERIOD_OVERRIDE=FQ","FILING_STATUS=MR","Sort=A","Dates=H","DateFormat=P","Fill=—","Direction=H","UseDPDF=Y")</f>
        <v>1.9462999999999999</v>
      </c>
      <c r="H60" s="17" cm="1">
        <f t="array" ref="H60">_xll.BDH("DE US Equity","IS_DIL_EPS_CONT_OPS","FQ2 2020","FQ2 2020","Currency=USD","Period=FQ","BEST_FPERIOD_OVERRIDE=FQ","FILING_STATUS=MR","Sort=A","Dates=H","DateFormat=P","Fill=—","Direction=H","UseDPDF=Y")</f>
        <v>2.7130999999999998</v>
      </c>
      <c r="I60" s="17" cm="1">
        <f t="array" ref="I60">_xll.BDH("DE US Equity","IS_DIL_EPS_CONT_OPS","FQ3 2020","FQ3 2020","Currency=USD","Period=FQ","BEST_FPERIOD_OVERRIDE=FQ","FILING_STATUS=MR","Sort=A","Dates=H","DateFormat=P","Fill=—","Direction=H","UseDPDF=Y")</f>
        <v>2.6025</v>
      </c>
      <c r="J60" s="17" cm="1">
        <f t="array" ref="J60">_xll.BDH("DE US Equity","IS_DIL_EPS_CONT_OPS","FQ4 2020","FQ4 2020","Currency=USD","Period=FQ","BEST_FPERIOD_OVERRIDE=FQ","FILING_STATUS=MR","Sort=A","Dates=H","DateFormat=P","Fill=—","Direction=H","UseDPDF=Y")</f>
        <v>3.2347999999999999</v>
      </c>
      <c r="K60" s="17" cm="1">
        <f t="array" ref="K60">_xll.BDH("DE US Equity","IS_DIL_EPS_CONT_OPS","FQ1 2021","FQ1 2021","Currency=USD","Period=FQ","BEST_FPERIOD_OVERRIDE=FQ","FILING_STATUS=MR","Sort=A","Dates=H","DateFormat=P","Fill=—","Direction=H","UseDPDF=Y")</f>
        <v>3.8753000000000002</v>
      </c>
      <c r="L60" s="17" cm="1">
        <f t="array" ref="L60">_xll.BDH("DE US Equity","IS_DIL_EPS_CONT_OPS","FQ2 2021","FQ2 2021","Currency=USD","Period=FQ","BEST_FPERIOD_OVERRIDE=FQ","FILING_STATUS=MR","Sort=A","Dates=H","DateFormat=P","Fill=—","Direction=H","UseDPDF=Y")</f>
        <v>5.68</v>
      </c>
      <c r="M60" s="17" cm="1">
        <f t="array" ref="M60">_xll.BDH("DE US Equity","IS_DIL_EPS_CONT_OPS","FQ3 2021","FQ3 2021","Currency=USD","Period=FQ","BEST_FPERIOD_OVERRIDE=FQ","FILING_STATUS=MR","Sort=A","Dates=H","DateFormat=P","Fill=—","Direction=H","UseDPDF=Y")</f>
        <v>5.2519</v>
      </c>
      <c r="N60" s="17" cm="1">
        <f t="array" ref="N60">_xll.BDH("DE US Equity","IS_DIL_EPS_CONT_OPS","FQ4 2021","FQ4 2021","Currency=USD","Period=FQ","BEST_FPERIOD_OVERRIDE=FQ","FILING_STATUS=MR","Sort=A","Dates=H","DateFormat=P","Fill=—","Direction=H","UseDPDF=Y")</f>
        <v>4.1214000000000004</v>
      </c>
      <c r="O60" s="17" cm="1">
        <f t="array" ref="O60">_xll.BDH("DE US Equity","IS_DIL_EPS_CONT_OPS","FQ1 2022","FQ1 2022","Currency=USD","Period=FQ","BEST_FPERIOD_OVERRIDE=FQ","FILING_STATUS=MR","Sort=A","Dates=H","DateFormat=P","Fill=—","Direction=H","UseDPDF=Y")</f>
        <v>3.1497999999999999</v>
      </c>
      <c r="P60" s="17" cm="1">
        <f t="array" ref="P60">_xll.BDH("DE US Equity","IS_DIL_EPS_CONT_OPS","FQ2 2022","FQ2 2022","Currency=USD","Period=FQ","BEST_FPERIOD_OVERRIDE=FQ","FILING_STATUS=MR","Sort=A","Dates=H","DateFormat=P","Fill=—","Direction=H","UseDPDF=Y")</f>
        <v>6.9869000000000003</v>
      </c>
      <c r="Q60" s="17" cm="1">
        <f t="array" ref="Q60">_xll.BDH("DE US Equity","IS_DIL_EPS_CONT_OPS","FQ3 2022","FQ3 2022","Currency=USD","Period=FQ","BEST_FPERIOD_OVERRIDE=FQ","FILING_STATUS=MR","Sort=A","Dates=H","DateFormat=P","Fill=—","Direction=H","UseDPDF=Y")</f>
        <v>6.2633999999999999</v>
      </c>
      <c r="R60" s="17" cm="1">
        <f t="array" ref="R60">_xll.BDH("DE US Equity","IS_DIL_EPS_CONT_OPS","FQ4 2022","FQ4 2022","Currency=USD","Period=FQ","BEST_FPERIOD_OVERRIDE=FQ","FILING_STATUS=MR","Sort=A","Dates=H","DateFormat=P","Fill=—","Direction=H","UseDPDF=Y")</f>
        <v>6.8227000000000002</v>
      </c>
      <c r="S60" s="17" cm="1">
        <f t="array" ref="S60">_xll.BDH("DE US Equity","IS_DIL_EPS_CONT_OPS","FQ1 2023","FQ1 2023","Currency=USD","Period=FQ","BEST_FPERIOD_OVERRIDE=FQ","FILING_STATUS=MR","Sort=A","Dates=H","DateFormat=P","Fill=—","Direction=H","UseDPDF=Y")</f>
        <v>6.55</v>
      </c>
      <c r="T60" s="17" cm="1">
        <f t="array" ref="T60">_xll.BDH("DE US Equity","IS_DIL_EPS_CONT_OPS","FQ2 2023","FQ2 2023","Currency=USD","Period=FQ","BEST_FPERIOD_OVERRIDE=FQ","FILING_STATUS=MR","Sort=A","Dates=H","DateFormat=P","Fill=—","Direction=H","UseDPDF=Y")</f>
        <v>10.110900000000001</v>
      </c>
      <c r="U60" s="17" cm="1">
        <f t="array" ref="U60">_xll.BDH("DE US Equity","IS_DIL_EPS_CONT_OPS","FQ3 2023","FQ3 2023","Currency=USD","Period=FQ","BEST_FPERIOD_OVERRIDE=FQ","FILING_STATUS=MR","Sort=A","Dates=H","DateFormat=P","Fill=—","Direction=H","UseDPDF=Y")</f>
        <v>9.3681000000000001</v>
      </c>
      <c r="V60" s="17" cm="1">
        <f t="array" ref="V60">_xll.BDH("DE US Equity","IS_DIL_EPS_CONT_OPS","FQ4 2023","FQ4 2023","Currency=USD","Period=FQ","BEST_FPERIOD_OVERRIDE=FQ","FILING_STATUS=MR","Sort=A","Dates=H","DateFormat=P","Fill=—","Direction=H","UseDPDF=Y")</f>
        <v>8.3095999999999997</v>
      </c>
      <c r="W60" s="17" cm="1">
        <f t="array" ref="W60">_xll.BDH("DE US Equity","IS_DIL_EPS_CONT_OPS","FQ1 2024","FQ1 2024","Currency=USD","Period=FQ","BEST_FPERIOD_OVERRIDE=FQ","FILING_STATUS=MR","Sort=A","Dates=H","DateFormat=P","Fill=—","Direction=H","UseDPDF=Y")</f>
        <v>6.23</v>
      </c>
      <c r="X60" s="17" cm="1">
        <f t="array" ref="X60">_xll.BDH("DE US Equity","IS_DIL_EPS_CONT_OPS","FQ2 2024","FQ2 2024","Currency=USD","Period=FQ","BEST_FPERIOD_OVERRIDE=FQ","FILING_STATUS=MR","Sort=A","Dates=H","DateFormat=P","Fill=—","Direction=H","UseDPDF=Y")</f>
        <v>8.5299999999999994</v>
      </c>
      <c r="Y60" s="17" cm="1">
        <f t="array" ref="Y60">_xll.BDH("DE US Equity","IS_DIL_EPS_CONT_OPS","FQ3 2024","FQ3 2024","Currency=USD","Period=FQ","BEST_FPERIOD_OVERRIDE=FQ","FILING_STATUS=MR","Sort=A","Dates=H","DateFormat=P","Fill=—","Direction=H","UseDPDF=Y")</f>
        <v>6.29</v>
      </c>
      <c r="Z60" s="17" cm="1">
        <f t="array" ref="Z60">_xll.BDH("DE US Equity","IS_DIL_EPS_CONT_OPS","FQ4 2024","FQ4 2024","Currency=USD","Period=FQ","BEST_FPERIOD_OVERRIDE=FQ","FILING_STATUS=MR","Sort=A","Dates=H","DateFormat=P","Fill=—","Direction=H","UseDPDF=Y")</f>
        <v>4.7439999999999998</v>
      </c>
      <c r="AA60" s="17" cm="1">
        <f t="array" ref="AA60">_xll.BDH("DE US Equity","IS_DIL_EPS_CONT_OPS","FQ1 2025","FQ1 2025","Currency=USD","Period=FQ","BEST_FPERIOD_OVERRIDE=FQ","FILING_STATUS=MR","Sort=A","Dates=H","DateFormat=P","Fill=—","Direction=H","UseDPDF=Y")</f>
        <v>3.0972</v>
      </c>
      <c r="AB60" s="17" cm="1">
        <f t="array" ref="AB60">_xll.BDH("DE US Equity","IS_DIL_EPS_CONT_OPS","FQ2 2025","FQ2 2025","Currency=USD","Period=FQ","BEST_FPERIOD_OVERRIDE=FQ","FILING_STATUS=MR","Sort=A","Dates=H","DateFormat=P","Fill=—","Direction=H","UseDPDF=Y")</f>
        <v>6.64</v>
      </c>
      <c r="AC60" s="17" cm="1">
        <f t="array" ref="AC60">_xll.BDH("DE US Equity","IS_DIL_EPS_CONT_OPS","FQ3 2025","FQ3 2025","Currency=USD","Period=FQ","BEST_FPERIOD_OVERRIDE=FQ","FILING_STATUS=MR","Sort=A","Dates=H","DateFormat=P","Fill=—","Direction=H","UseDPDF=Y")</f>
        <v>4.9305000000000003</v>
      </c>
      <c r="AD60" s="17" cm="1">
        <f t="array" ref="AD60">_xll.BDH("DE US Equity","IS_DIL_EPS_CONT_OPS","FQ4 2025","FQ4 2025","Currency=USD","Period=FQ","BEST_FPERIOD_OVERRIDE=FQ","FILING_STATUS=MR","Sort=A","Dates=H","DateFormat=P","Fill=—","Direction=H","UseDPDF=Y")</f>
        <v>4.2066999999999997</v>
      </c>
      <c r="AE60" s="17">
        <v>2.0489999999999999</v>
      </c>
      <c r="AF60" s="17">
        <v>5.4550000000000001</v>
      </c>
    </row>
    <row r="61" spans="1:32" x14ac:dyDescent="0.25">
      <c r="A61" s="6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 spans="1:32" x14ac:dyDescent="0.25">
      <c r="A62" s="6" t="s">
        <v>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</row>
    <row r="63" spans="1:32" x14ac:dyDescent="0.25">
      <c r="A63" s="10" t="s">
        <v>166</v>
      </c>
      <c r="B63" s="10" t="s">
        <v>167</v>
      </c>
      <c r="C63" s="12" t="s">
        <v>168</v>
      </c>
      <c r="D63" s="12" t="s">
        <v>168</v>
      </c>
      <c r="E63" s="12" t="s">
        <v>168</v>
      </c>
      <c r="F63" s="12" t="s">
        <v>168</v>
      </c>
      <c r="G63" s="12" t="s">
        <v>168</v>
      </c>
      <c r="H63" s="12" t="s">
        <v>168</v>
      </c>
      <c r="I63" s="12" t="s">
        <v>168</v>
      </c>
      <c r="J63" s="12" t="s">
        <v>168</v>
      </c>
      <c r="K63" s="12" t="s">
        <v>168</v>
      </c>
      <c r="L63" s="12" t="s">
        <v>168</v>
      </c>
      <c r="M63" s="12" t="s">
        <v>168</v>
      </c>
      <c r="N63" s="12" t="s">
        <v>168</v>
      </c>
      <c r="O63" s="12" t="s">
        <v>168</v>
      </c>
      <c r="P63" s="12" t="s">
        <v>168</v>
      </c>
      <c r="Q63" s="12" t="s">
        <v>168</v>
      </c>
      <c r="R63" s="12" t="s">
        <v>168</v>
      </c>
      <c r="S63" s="12" t="s">
        <v>168</v>
      </c>
      <c r="T63" s="12" t="s">
        <v>168</v>
      </c>
      <c r="U63" s="12" t="s">
        <v>168</v>
      </c>
      <c r="V63" s="12" t="s">
        <v>168</v>
      </c>
      <c r="W63" s="12" t="s">
        <v>168</v>
      </c>
      <c r="X63" s="12" t="s">
        <v>168</v>
      </c>
      <c r="Y63" s="12" t="s">
        <v>168</v>
      </c>
      <c r="Z63" s="12" t="s">
        <v>168</v>
      </c>
      <c r="AA63" s="12" t="s">
        <v>168</v>
      </c>
      <c r="AB63" s="12" t="s">
        <v>168</v>
      </c>
      <c r="AC63" s="12" t="s">
        <v>168</v>
      </c>
      <c r="AD63" s="12" t="s">
        <v>168</v>
      </c>
      <c r="AE63" s="12"/>
      <c r="AF63" s="12"/>
    </row>
    <row r="64" spans="1:32" x14ac:dyDescent="0.25">
      <c r="A64" s="10" t="s">
        <v>169</v>
      </c>
      <c r="B64" s="10" t="s">
        <v>169</v>
      </c>
      <c r="C64" s="13" cm="1">
        <f t="array" ref="C64">_xll.BDH("DE US Equity","EBITDA","FQ1 2019","FQ1 2019","Currency=USD","Period=FQ","BEST_FPERIOD_OVERRIDE=FQ","FILING_STATUS=MR","SCALING_FORMAT=MLN","FA_ADJUSTED=Adjusted","Sort=A","Dates=H","DateFormat=P","Fill=—","Direction=H","UseDPDF=Y")</f>
        <v>1533</v>
      </c>
      <c r="D64" s="13" cm="1">
        <f t="array" ref="D64">_xll.BDH("DE US Equity","EBITDA","FQ2 2019","FQ2 2019","Currency=USD","Period=FQ","BEST_FPERIOD_OVERRIDE=FQ","FILING_STATUS=MR","SCALING_FORMAT=MLN","FA_ADJUSTED=Adjusted","Sort=A","Dates=H","DateFormat=P","Fill=—","Direction=H","UseDPDF=Y")</f>
        <v>2336.6999999999998</v>
      </c>
      <c r="E64" s="13" cm="1">
        <f t="array" ref="E64">_xll.BDH("DE US Equity","EBITDA","FQ3 2019","FQ3 2019","Currency=USD","Period=FQ","BEST_FPERIOD_OVERRIDE=FQ","FILING_STATUS=MR","SCALING_FORMAT=MLN","FA_ADJUSTED=Adjusted","Sort=A","Dates=H","DateFormat=P","Fill=—","Direction=H","UseDPDF=Y")</f>
        <v>1993</v>
      </c>
      <c r="F64" s="13" cm="1">
        <f t="array" ref="F64">_xll.BDH("DE US Equity","EBITDA","FQ4 2019","FQ4 2019","Currency=USD","Period=FQ","BEST_FPERIOD_OVERRIDE=FQ","FILING_STATUS=MR","SCALING_FORMAT=MLN","FA_ADJUSTED=Adjusted","Sort=A","Dates=H","DateFormat=P","Fill=—","Direction=H","UseDPDF=Y")</f>
        <v>1792</v>
      </c>
      <c r="G64" s="13" cm="1">
        <f t="array" ref="G64">_xll.BDH("DE US Equity","EBITDA","FQ1 2020","FQ1 2020","Currency=USD","Period=FQ","BEST_FPERIOD_OVERRIDE=FQ","FILING_STATUS=MR","SCALING_FORMAT=MLN","FA_ADJUSTED=Adjusted","Sort=A","Dates=H","DateFormat=P","Fill=—","Direction=H","UseDPDF=Y")</f>
        <v>1602</v>
      </c>
      <c r="H64" s="13" cm="1">
        <f t="array" ref="H64">_xll.BDH("DE US Equity","EBITDA","FQ2 2020","FQ2 2020","Currency=USD","Period=FQ","BEST_FPERIOD_OVERRIDE=FQ","FILING_STATUS=MR","SCALING_FORMAT=MLN","FA_ADJUSTED=Adjusted","Sort=A","Dates=H","DateFormat=P","Fill=—","Direction=H","UseDPDF=Y")</f>
        <v>2036</v>
      </c>
      <c r="I64" s="13" cm="1">
        <f t="array" ref="I64">_xll.BDH("DE US Equity","EBITDA","FQ3 2020","FQ3 2020","Currency=USD","Period=FQ","BEST_FPERIOD_OVERRIDE=FQ","FILING_STATUS=MR","SCALING_FORMAT=MLN","FA_ADJUSTED=Adjusted","Sort=A","Dates=H","DateFormat=P","Fill=—","Direction=H","UseDPDF=Y")</f>
        <v>2149</v>
      </c>
      <c r="J64" s="13" cm="1">
        <f t="array" ref="J64">_xll.BDH("DE US Equity","EBITDA","FQ4 2020","FQ4 2020","Currency=USD","Period=FQ","BEST_FPERIOD_OVERRIDE=FQ","FILING_STATUS=MR","SCALING_FORMAT=MLN","FA_ADJUSTED=Adjusted","Sort=A","Dates=H","DateFormat=P","Fill=—","Direction=H","UseDPDF=Y")</f>
        <v>2278.4810000000002</v>
      </c>
      <c r="K64" s="13" cm="1">
        <f t="array" ref="K64">_xll.BDH("DE US Equity","EBITDA","FQ1 2021","FQ1 2021","Currency=USD","Period=FQ","BEST_FPERIOD_OVERRIDE=FQ","FILING_STATUS=MR","SCALING_FORMAT=MLN","FA_ADJUSTED=Adjusted","Sort=A","Dates=H","DateFormat=P","Fill=—","Direction=H","UseDPDF=Y")</f>
        <v>2329</v>
      </c>
      <c r="L64" s="13" cm="1">
        <f t="array" ref="L64">_xll.BDH("DE US Equity","EBITDA","FQ2 2021","FQ2 2021","Currency=USD","Period=FQ","BEST_FPERIOD_OVERRIDE=FQ","FILING_STATUS=MR","SCALING_FORMAT=MLN","FA_ADJUSTED=Adjusted","Sort=A","Dates=H","DateFormat=P","Fill=—","Direction=H","UseDPDF=Y")</f>
        <v>3096</v>
      </c>
      <c r="M64" s="13" cm="1">
        <f t="array" ref="M64">_xll.BDH("DE US Equity","EBITDA","FQ3 2021","FQ3 2021","Currency=USD","Period=FQ","BEST_FPERIOD_OVERRIDE=FQ","FILING_STATUS=MR","SCALING_FORMAT=MLN","FA_ADJUSTED=Adjusted","Sort=A","Dates=H","DateFormat=P","Fill=—","Direction=H","UseDPDF=Y")</f>
        <v>2882</v>
      </c>
      <c r="N64" s="13" cm="1">
        <f t="array" ref="N64">_xll.BDH("DE US Equity","EBITDA","FQ4 2021","FQ4 2021","Currency=USD","Period=FQ","BEST_FPERIOD_OVERRIDE=FQ","FILING_STATUS=MR","SCALING_FORMAT=MLN","FA_ADJUSTED=Adjusted","Sort=A","Dates=H","DateFormat=P","Fill=—","Direction=H","UseDPDF=Y")</f>
        <v>2304</v>
      </c>
      <c r="O64" s="13" cm="1">
        <f t="array" ref="O64">_xll.BDH("DE US Equity","EBITDA","FQ1 2022","FQ1 2022","Currency=USD","Period=FQ","BEST_FPERIOD_OVERRIDE=FQ","FILING_STATUS=MR","SCALING_FORMAT=MLN","FA_ADJUSTED=Adjusted","Sort=A","Dates=H","DateFormat=P","Fill=—","Direction=H","UseDPDF=Y")</f>
        <v>1956</v>
      </c>
      <c r="P64" s="13" cm="1">
        <f t="array" ref="P64">_xll.BDH("DE US Equity","EBITDA","FQ2 2022","FQ2 2022","Currency=USD","Period=FQ","BEST_FPERIOD_OVERRIDE=FQ","FILING_STATUS=MR","SCALING_FORMAT=MLN","FA_ADJUSTED=Adjusted","Sort=A","Dates=H","DateFormat=P","Fill=—","Direction=H","UseDPDF=Y")</f>
        <v>3255</v>
      </c>
      <c r="Q64" s="13" cm="1">
        <f t="array" ref="Q64">_xll.BDH("DE US Equity","EBITDA","FQ3 2022","FQ3 2022","Currency=USD","Period=FQ","BEST_FPERIOD_OVERRIDE=FQ","FILING_STATUS=MR","SCALING_FORMAT=MLN","FA_ADJUSTED=Adjusted","Sort=A","Dates=H","DateFormat=P","Fill=—","Direction=H","UseDPDF=Y")</f>
        <v>3385</v>
      </c>
      <c r="R64" s="13" cm="1">
        <f t="array" ref="R64">_xll.BDH("DE US Equity","EBITDA","FQ4 2022","FQ4 2022","Currency=USD","Period=FQ","BEST_FPERIOD_OVERRIDE=FQ","FILING_STATUS=MR","SCALING_FORMAT=MLN","FA_ADJUSTED=Adjusted","Sort=A","Dates=H","DateFormat=P","Fill=—","Direction=H","UseDPDF=Y")</f>
        <v>3452</v>
      </c>
      <c r="S64" s="13" cm="1">
        <f t="array" ref="S64">_xll.BDH("DE US Equity","EBITDA","FQ1 2023","FQ1 2023","Currency=USD","Period=FQ","BEST_FPERIOD_OVERRIDE=FQ","FILING_STATUS=MR","SCALING_FORMAT=MLN","FA_ADJUSTED=Adjusted","Sort=A","Dates=H","DateFormat=P","Fill=—","Direction=H","UseDPDF=Y")</f>
        <v>3466</v>
      </c>
      <c r="T64" s="13" cm="1">
        <f t="array" ref="T64">_xll.BDH("DE US Equity","EBITDA","FQ2 2023","FQ2 2023","Currency=USD","Period=FQ","BEST_FPERIOD_OVERRIDE=FQ","FILING_STATUS=MR","SCALING_FORMAT=MLN","FA_ADJUSTED=Adjusted","Sort=A","Dates=H","DateFormat=P","Fill=—","Direction=H","UseDPDF=Y")</f>
        <v>5091</v>
      </c>
      <c r="U64" s="13" cm="1">
        <f t="array" ref="U64">_xll.BDH("DE US Equity","EBITDA","FQ3 2023","FQ3 2023","Currency=USD","Period=FQ","BEST_FPERIOD_OVERRIDE=FQ","FILING_STATUS=MR","SCALING_FORMAT=MLN","FA_ADJUSTED=Adjusted","Sort=A","Dates=H","DateFormat=P","Fill=—","Direction=H","UseDPDF=Y")</f>
        <v>4761</v>
      </c>
      <c r="V64" s="13" cm="1">
        <f t="array" ref="V64">_xll.BDH("DE US Equity","EBITDA","FQ4 2023","FQ4 2023","Currency=USD","Period=FQ","BEST_FPERIOD_OVERRIDE=FQ","FILING_STATUS=MR","SCALING_FORMAT=MLN","FA_ADJUSTED=Adjusted","Sort=A","Dates=H","DateFormat=P","Fill=—","Direction=H","UseDPDF=Y")</f>
        <v>4349</v>
      </c>
      <c r="W64" s="13" cm="1">
        <f t="array" ref="W64">_xll.BDH("DE US Equity","EBITDA","FQ1 2024","FQ1 2024","Currency=USD","Period=FQ","BEST_FPERIOD_OVERRIDE=FQ","FILING_STATUS=MR","SCALING_FORMAT=MLN","FA_ADJUSTED=Adjusted","Sort=A","Dates=H","DateFormat=P","Fill=—","Direction=H","UseDPDF=Y")</f>
        <v>3537</v>
      </c>
      <c r="X64" s="13" cm="1">
        <f t="array" ref="X64">_xll.BDH("DE US Equity","EBITDA","FQ2 2024","FQ2 2024","Currency=USD","Period=FQ","BEST_FPERIOD_OVERRIDE=FQ","FILING_STATUS=MR","SCALING_FORMAT=MLN","FA_ADJUSTED=Adjusted","Sort=A","Dates=H","DateFormat=P","Fill=—","Direction=H","UseDPDF=Y")</f>
        <v>4478</v>
      </c>
      <c r="Y64" s="13" cm="1">
        <f t="array" ref="Y64">_xll.BDH("DE US Equity","EBITDA","FQ3 2024","FQ3 2024","Currency=USD","Period=FQ","BEST_FPERIOD_OVERRIDE=FQ","FILING_STATUS=MR","SCALING_FORMAT=MLN","FA_ADJUSTED=Adjusted","Sort=A","Dates=H","DateFormat=P","Fill=—","Direction=H","UseDPDF=Y")</f>
        <v>3748</v>
      </c>
      <c r="Z64" s="13" cm="1">
        <f t="array" ref="Z64">_xll.BDH("DE US Equity","EBITDA","FQ4 2024","FQ4 2024","Currency=USD","Period=FQ","BEST_FPERIOD_OVERRIDE=FQ","FILING_STATUS=MR","SCALING_FORMAT=MLN","FA_ADJUSTED=Adjusted","Sort=A","Dates=H","DateFormat=P","Fill=—","Direction=H","UseDPDF=Y")</f>
        <v>2955</v>
      </c>
      <c r="AA64" s="13" cm="1">
        <f t="array" ref="AA64">_xll.BDH("DE US Equity","EBITDA","FQ1 2025","FQ1 2025","Currency=USD","Period=FQ","BEST_FPERIOD_OVERRIDE=FQ","FILING_STATUS=MR","SCALING_FORMAT=MLN","FA_ADJUSTED=Adjusted","Sort=A","Dates=H","DateFormat=P","Fill=—","Direction=H","UseDPDF=Y")</f>
        <v>2241</v>
      </c>
      <c r="AB64" s="13" cm="1">
        <f t="array" ref="AB64">_xll.BDH("DE US Equity","EBITDA","FQ2 2025","FQ2 2025","Currency=USD","Period=FQ","BEST_FPERIOD_OVERRIDE=FQ","FILING_STATUS=MR","SCALING_FORMAT=MLN","FA_ADJUSTED=Adjusted","Sort=A","Dates=H","DateFormat=P","Fill=—","Direction=H","UseDPDF=Y")</f>
        <v>3676</v>
      </c>
      <c r="AC64" s="13" cm="1">
        <f t="array" ref="AC64">_xll.BDH("DE US Equity","EBITDA","FQ3 2025","FQ3 2025","Currency=USD","Period=FQ","BEST_FPERIOD_OVERRIDE=FQ","FILING_STATUS=MR","SCALING_FORMAT=MLN","FA_ADJUSTED=Adjusted","Sort=A","Dates=H","DateFormat=P","Fill=—","Direction=H","UseDPDF=Y")</f>
        <v>3019</v>
      </c>
      <c r="AD64" s="13" cm="1">
        <f t="array" ref="AD64">_xll.BDH("DE US Equity","EBITDA","FQ4 2025","FQ4 2025","Currency=USD","Period=FQ","BEST_FPERIOD_OVERRIDE=FQ","FILING_STATUS=MR","SCALING_FORMAT=MLN","FA_ADJUSTED=Adjusted","Sort=A","Dates=H","DateFormat=P","Fill=—","Direction=H","UseDPDF=Y")</f>
        <v>2842</v>
      </c>
      <c r="AE64" s="13">
        <v>949.5</v>
      </c>
      <c r="AF64" s="13">
        <v>2115.3846153846198</v>
      </c>
    </row>
    <row r="65" spans="1:32" x14ac:dyDescent="0.25">
      <c r="A65" s="10" t="s">
        <v>170</v>
      </c>
      <c r="B65" s="10" t="s">
        <v>171</v>
      </c>
      <c r="C65" s="14" cm="1">
        <f t="array" ref="C65">_xll.BDH("DE US Equity","EBITDA_MARGIN","FQ1 2019","FQ1 2019","Currency=USD","Period=FQ","BEST_FPERIOD_OVERRIDE=FQ","FILING_STATUS=MR","FA_ADJUSTED=Adjusted","Sort=A","Dates=H","DateFormat=P","Fill=—","Direction=H","UseDPDF=Y")</f>
        <v>19.364000000000001</v>
      </c>
      <c r="D65" s="14" cm="1">
        <f t="array" ref="D65">_xll.BDH("DE US Equity","EBITDA_MARGIN","FQ2 2019","FQ2 2019","Currency=USD","Period=FQ","BEST_FPERIOD_OVERRIDE=FQ","FILING_STATUS=MR","FA_ADJUSTED=Adjusted","Sort=A","Dates=H","DateFormat=P","Fill=—","Direction=H","UseDPDF=Y")</f>
        <v>19.4697</v>
      </c>
      <c r="E65" s="14" cm="1">
        <f t="array" ref="E65">_xll.BDH("DE US Equity","EBITDA_MARGIN","FQ3 2019","FQ3 2019","Currency=USD","Period=FQ","BEST_FPERIOD_OVERRIDE=FQ","FILING_STATUS=MR","FA_ADJUSTED=Adjusted","Sort=A","Dates=H","DateFormat=P","Fill=—","Direction=H","UseDPDF=Y")</f>
        <v>19.652100000000001</v>
      </c>
      <c r="F65" s="14" cm="1">
        <f t="array" ref="F65">_xll.BDH("DE US Equity","EBITDA_MARGIN","FQ4 2019","FQ4 2019","Currency=USD","Period=FQ","BEST_FPERIOD_OVERRIDE=FQ","FILING_STATUS=MR","FA_ADJUSTED=Adjusted","Sort=A","Dates=H","DateFormat=P","Fill=—","Direction=H","UseDPDF=Y")</f>
        <v>19.4984</v>
      </c>
      <c r="G65" s="14" cm="1">
        <f t="array" ref="G65">_xll.BDH("DE US Equity","EBITDA_MARGIN","FQ1 2020","FQ1 2020","Currency=USD","Period=FQ","BEST_FPERIOD_OVERRIDE=FQ","FILING_STATUS=MR","FA_ADJUSTED=Adjusted","Sort=A","Dates=H","DateFormat=P","Fill=—","Direction=H","UseDPDF=Y")</f>
        <v>19.852699999999999</v>
      </c>
      <c r="H65" s="14" cm="1">
        <f t="array" ref="H65">_xll.BDH("DE US Equity","EBITDA_MARGIN","FQ2 2020","FQ2 2020","Currency=USD","Period=FQ","BEST_FPERIOD_OVERRIDE=FQ","FILING_STATUS=MR","FA_ADJUSTED=Adjusted","Sort=A","Dates=H","DateFormat=P","Fill=—","Direction=H","UseDPDF=Y")</f>
        <v>20.162400000000002</v>
      </c>
      <c r="I65" s="14" cm="1">
        <f t="array" ref="I65">_xll.BDH("DE US Equity","EBITDA_MARGIN","FQ3 2020","FQ3 2020","Currency=USD","Period=FQ","BEST_FPERIOD_OVERRIDE=FQ","FILING_STATUS=MR","FA_ADJUSTED=Adjusted","Sort=A","Dates=H","DateFormat=P","Fill=—","Direction=H","UseDPDF=Y")</f>
        <v>21.226700000000001</v>
      </c>
      <c r="J65" s="14" cm="1">
        <f t="array" ref="J65">_xll.BDH("DE US Equity","EBITDA_MARGIN","FQ4 2020","FQ4 2020","Currency=USD","Period=FQ","BEST_FPERIOD_OVERRIDE=FQ","FILING_STATUS=MR","FA_ADJUSTED=Adjusted","Sort=A","Dates=H","DateFormat=P","Fill=—","Direction=H","UseDPDF=Y")</f>
        <v>22.694099999999999</v>
      </c>
      <c r="K65" s="14" cm="1">
        <f t="array" ref="K65">_xll.BDH("DE US Equity","EBITDA_MARGIN","FQ1 2021","FQ1 2021","Currency=USD","Period=FQ","BEST_FPERIOD_OVERRIDE=FQ","FILING_STATUS=MR","FA_ADJUSTED=Adjusted","Sort=A","Dates=H","DateFormat=P","Fill=—","Direction=H","UseDPDF=Y")</f>
        <v>23.75</v>
      </c>
      <c r="L65" s="14" cm="1">
        <f t="array" ref="L65">_xll.BDH("DE US Equity","EBITDA_MARGIN","FQ2 2021","FQ2 2021","Currency=USD","Period=FQ","BEST_FPERIOD_OVERRIDE=FQ","FILING_STATUS=MR","FA_ADJUSTED=Adjusted","Sort=A","Dates=H","DateFormat=P","Fill=—","Direction=H","UseDPDF=Y")</f>
        <v>24.738800000000001</v>
      </c>
      <c r="M65" s="14" cm="1">
        <f t="array" ref="M65">_xll.BDH("DE US Equity","EBITDA_MARGIN","FQ3 2021","FQ3 2021","Currency=USD","Period=FQ","BEST_FPERIOD_OVERRIDE=FQ","FILING_STATUS=MR","FA_ADJUSTED=Adjusted","Sort=A","Dates=H","DateFormat=P","Fill=—","Direction=H","UseDPDF=Y")</f>
        <v>24.949300000000001</v>
      </c>
      <c r="N65" s="14" cm="1">
        <f t="array" ref="N65">_xll.BDH("DE US Equity","EBITDA_MARGIN","FQ4 2021","FQ4 2021","Currency=USD","Period=FQ","BEST_FPERIOD_OVERRIDE=FQ","FILING_STATUS=MR","FA_ADJUSTED=Adjusted","Sort=A","Dates=H","DateFormat=P","Fill=—","Direction=H","UseDPDF=Y")</f>
        <v>24.102799999999998</v>
      </c>
      <c r="O65" s="14" cm="1">
        <f t="array" ref="O65">_xll.BDH("DE US Equity","EBITDA_MARGIN","FQ1 2022","FQ1 2022","Currency=USD","Period=FQ","BEST_FPERIOD_OVERRIDE=FQ","FILING_STATUS=MR","FA_ADJUSTED=Adjusted","Sort=A","Dates=H","DateFormat=P","Fill=—","Direction=H","UseDPDF=Y")</f>
        <v>23.0166</v>
      </c>
      <c r="P65" s="14" cm="1">
        <f t="array" ref="P65">_xll.BDH("DE US Equity","EBITDA_MARGIN","FQ2 2022","FQ2 2022","Currency=USD","Period=FQ","BEST_FPERIOD_OVERRIDE=FQ","FILING_STATUS=MR","FA_ADJUSTED=Adjusted","Sort=A","Dates=H","DateFormat=P","Fill=—","Direction=H","UseDPDF=Y")</f>
        <v>22.7043</v>
      </c>
      <c r="Q65" s="14" cm="1">
        <f t="array" ref="Q65">_xll.BDH("DE US Equity","EBITDA_MARGIN","FQ3 2022","FQ3 2022","Currency=USD","Period=FQ","BEST_FPERIOD_OVERRIDE=FQ","FILING_STATUS=MR","FA_ADJUSTED=Adjusted","Sort=A","Dates=H","DateFormat=P","Fill=—","Direction=H","UseDPDF=Y")</f>
        <v>22.535599999999999</v>
      </c>
      <c r="R65" s="14" cm="1">
        <f t="array" ref="R65">_xll.BDH("DE US Equity","EBITDA_MARGIN","FQ4 2022","FQ4 2022","Currency=USD","Period=FQ","BEST_FPERIOD_OVERRIDE=FQ","FILING_STATUS=MR","FA_ADJUSTED=Adjusted","Sort=A","Dates=H","DateFormat=P","Fill=—","Direction=H","UseDPDF=Y")</f>
        <v>22.914999999999999</v>
      </c>
      <c r="S65" s="14" cm="1">
        <f t="array" ref="S65">_xll.BDH("DE US Equity","EBITDA_MARGIN","FQ1 2023","FQ1 2023","Currency=USD","Period=FQ","BEST_FPERIOD_OVERRIDE=FQ","FILING_STATUS=MR","FA_ADJUSTED=Adjusted","Sort=A","Dates=H","DateFormat=P","Fill=—","Direction=H","UseDPDF=Y")</f>
        <v>24.358599999999999</v>
      </c>
      <c r="T65" s="14" cm="1">
        <f t="array" ref="T65">_xll.BDH("DE US Equity","EBITDA_MARGIN","FQ2 2023","FQ2 2023","Currency=USD","Period=FQ","BEST_FPERIOD_OVERRIDE=FQ","FILING_STATUS=MR","FA_ADJUSTED=Adjusted","Sort=A","Dates=H","DateFormat=P","Fill=—","Direction=H","UseDPDF=Y")</f>
        <v>25.795500000000001</v>
      </c>
      <c r="U65" s="14" cm="1">
        <f t="array" ref="U65">_xll.BDH("DE US Equity","EBITDA_MARGIN","FQ3 2023","FQ3 2023","Currency=USD","Period=FQ","BEST_FPERIOD_OVERRIDE=FQ","FILING_STATUS=MR","FA_ADJUSTED=Adjusted","Sort=A","Dates=H","DateFormat=P","Fill=—","Direction=H","UseDPDF=Y")</f>
        <v>27.323399999999999</v>
      </c>
      <c r="V65" s="14" cm="1">
        <f t="array" ref="V65">_xll.BDH("DE US Equity","EBITDA_MARGIN","FQ4 2023","FQ4 2023","Currency=USD","Period=FQ","BEST_FPERIOD_OVERRIDE=FQ","FILING_STATUS=MR","FA_ADJUSTED=Adjusted","Sort=A","Dates=H","DateFormat=P","Fill=—","Direction=H","UseDPDF=Y")</f>
        <v>28.8431</v>
      </c>
      <c r="W65" s="14" cm="1">
        <f t="array" ref="W65">_xll.BDH("DE US Equity","EBITDA_MARGIN","FQ1 2024","FQ1 2024","Currency=USD","Period=FQ","BEST_FPERIOD_OVERRIDE=FQ","FILING_STATUS=MR","FA_ADJUSTED=Adjusted","Sort=A","Dates=H","DateFormat=P","Fill=—","Direction=H","UseDPDF=Y")</f>
        <v>29.1815</v>
      </c>
      <c r="X65" s="14" cm="1">
        <f t="array" ref="X65">_xll.BDH("DE US Equity","EBITDA_MARGIN","FQ2 2024","FQ2 2024","Currency=USD","Period=FQ","BEST_FPERIOD_OVERRIDE=FQ","FILING_STATUS=MR","FA_ADJUSTED=Adjusted","Sort=A","Dates=H","DateFormat=P","Fill=—","Direction=H","UseDPDF=Y")</f>
        <v>29.207100000000001</v>
      </c>
      <c r="Y65" s="14" cm="1">
        <f t="array" ref="Y65">_xll.BDH("DE US Equity","EBITDA_MARGIN","FQ3 2024","FQ3 2024","Currency=USD","Period=FQ","BEST_FPERIOD_OVERRIDE=FQ","FILING_STATUS=MR","FA_ADJUSTED=Adjusted","Sort=A","Dates=H","DateFormat=P","Fill=—","Direction=H","UseDPDF=Y")</f>
        <v>28.779699999999998</v>
      </c>
      <c r="Z65" s="14" cm="1">
        <f t="array" ref="Z65">_xll.BDH("DE US Equity","EBITDA_MARGIN","FQ4 2024","FQ4 2024","Currency=USD","Period=FQ","BEST_FPERIOD_OVERRIDE=FQ","FILING_STATUS=MR","FA_ADJUSTED=Adjusted","Sort=A","Dates=H","DateFormat=P","Fill=—","Direction=H","UseDPDF=Y")</f>
        <v>28.459800000000001</v>
      </c>
      <c r="AA65" s="14" cm="1">
        <f t="array" ref="AA65">_xll.BDH("DE US Equity","EBITDA_MARGIN","FQ1 2025","FQ1 2025","Currency=USD","Period=FQ","BEST_FPERIOD_OVERRIDE=FQ","FILING_STATUS=MR","FA_ADJUSTED=Adjusted","Sort=A","Dates=H","DateFormat=P","Fill=—","Direction=H","UseDPDF=Y")</f>
        <v>27.9404</v>
      </c>
      <c r="AB65" s="14" cm="1">
        <f t="array" ref="AB65">_xll.BDH("DE US Equity","EBITDA_MARGIN","FQ2 2025","FQ2 2025","Currency=USD","Period=FQ","BEST_FPERIOD_OVERRIDE=FQ","FILING_STATUS=MR","FA_ADJUSTED=Adjusted","Sort=A","Dates=H","DateFormat=P","Fill=—","Direction=H","UseDPDF=Y")</f>
        <v>27.696100000000001</v>
      </c>
      <c r="AC65" s="14" cm="1">
        <f t="array" ref="AC65">_xll.BDH("DE US Equity","EBITDA_MARGIN","FQ3 2025","FQ3 2025","Currency=USD","Period=FQ","BEST_FPERIOD_OVERRIDE=FQ","FILING_STATUS=MR","FA_ADJUSTED=Adjusted","Sort=A","Dates=H","DateFormat=P","Fill=—","Direction=H","UseDPDF=Y")</f>
        <v>26.7622</v>
      </c>
      <c r="AD65" s="14" cm="1">
        <f t="array" ref="AD65">_xll.BDH("DE US Equity","EBITDA_MARGIN","FQ4 2025","FQ4 2025","Currency=USD","Period=FQ","BEST_FPERIOD_OVERRIDE=FQ","FILING_STATUS=MR","FA_ADJUSTED=Adjusted","Sort=A","Dates=H","DateFormat=P","Fill=—","Direction=H","UseDPDF=Y")</f>
        <v>25.782</v>
      </c>
      <c r="AE65" s="14">
        <v>16.269895450677701</v>
      </c>
      <c r="AF65" s="14">
        <v>16.346852233599801</v>
      </c>
    </row>
    <row r="66" spans="1:32" x14ac:dyDescent="0.25">
      <c r="A66" s="10" t="s">
        <v>172</v>
      </c>
      <c r="B66" s="10" t="s">
        <v>172</v>
      </c>
      <c r="C66" s="13" cm="1">
        <f t="array" ref="C66">_xll.BDH("DE US Equity","EBITA","FQ1 2019","FQ1 2019","Currency=USD","Period=FQ","BEST_FPERIOD_OVERRIDE=FQ","FILING_STATUS=MR","SCALING_FORMAT=MLN","FA_ADJUSTED=Adjusted","Sort=A","Dates=H","DateFormat=P","Fill=—","Direction=H","UseDPDF=Y")</f>
        <v>1057</v>
      </c>
      <c r="D66" s="13" cm="1">
        <f t="array" ref="D66">_xll.BDH("DE US Equity","EBITA","FQ2 2019","FQ2 2019","Currency=USD","Period=FQ","BEST_FPERIOD_OVERRIDE=FQ","FILING_STATUS=MR","SCALING_FORMAT=MLN","FA_ADJUSTED=Adjusted","Sort=A","Dates=H","DateFormat=P","Fill=—","Direction=H","UseDPDF=Y")</f>
        <v>1853</v>
      </c>
      <c r="E66" s="13" cm="1">
        <f t="array" ref="E66">_xll.BDH("DE US Equity","EBITA","FQ3 2019","FQ3 2019","Currency=USD","Period=FQ","BEST_FPERIOD_OVERRIDE=FQ","FILING_STATUS=MR","SCALING_FORMAT=MLN","FA_ADJUSTED=Adjusted","Sort=A","Dates=H","DateFormat=P","Fill=—","Direction=H","UseDPDF=Y")</f>
        <v>1542.5</v>
      </c>
      <c r="F66" s="13" cm="1">
        <f t="array" ref="F66">_xll.BDH("DE US Equity","EBITA","FQ4 2019","FQ4 2019","Currency=USD","Period=FQ","BEST_FPERIOD_OVERRIDE=FQ","FILING_STATUS=MR","SCALING_FORMAT=MLN","FA_ADJUSTED=Adjusted","Sort=A","Dates=H","DateFormat=P","Fill=—","Direction=H","UseDPDF=Y")</f>
        <v>1322</v>
      </c>
      <c r="G66" s="13" cm="1">
        <f t="array" ref="G66">_xll.BDH("DE US Equity","EBITA","FQ1 2020","FQ1 2020","Currency=USD","Period=FQ","BEST_FPERIOD_OVERRIDE=FQ","FILING_STATUS=MR","SCALING_FORMAT=MLN","FA_ADJUSTED=Adjusted","Sort=A","Dates=H","DateFormat=P","Fill=—","Direction=H","UseDPDF=Y")</f>
        <v>1057</v>
      </c>
      <c r="H66" s="13" cm="1">
        <f t="array" ref="H66">_xll.BDH("DE US Equity","EBITA","FQ2 2020","FQ2 2020","Currency=USD","Period=FQ","BEST_FPERIOD_OVERRIDE=FQ","FILING_STATUS=MR","SCALING_FORMAT=MLN","FA_ADJUSTED=Adjusted","Sort=A","Dates=H","DateFormat=P","Fill=—","Direction=H","UseDPDF=Y")</f>
        <v>1502</v>
      </c>
      <c r="I66" s="13" cm="1">
        <f t="array" ref="I66">_xll.BDH("DE US Equity","EBITA","FQ3 2020","FQ3 2020","Currency=USD","Period=FQ","BEST_FPERIOD_OVERRIDE=FQ","FILING_STATUS=MR","SCALING_FORMAT=MLN","FA_ADJUSTED=Adjusted","Sort=A","Dates=H","DateFormat=P","Fill=—","Direction=H","UseDPDF=Y")</f>
        <v>1652</v>
      </c>
      <c r="J66" s="13" cm="1">
        <f t="array" ref="J66">_xll.BDH("DE US Equity","EBITA","FQ4 2020","FQ4 2020","Currency=USD","Period=FQ","BEST_FPERIOD_OVERRIDE=FQ","FILING_STATUS=MR","SCALING_FORMAT=MLN","FA_ADJUSTED=Adjusted","Sort=A","Dates=H","DateFormat=P","Fill=—","Direction=H","UseDPDF=Y")</f>
        <v>2035.481</v>
      </c>
      <c r="K66" s="13" cm="1">
        <f t="array" ref="K66">_xll.BDH("DE US Equity","EBITA","FQ1 2021","FQ1 2021","Currency=USD","Period=FQ","BEST_FPERIOD_OVERRIDE=FQ","FILING_STATUS=MR","SCALING_FORMAT=MLN","FA_ADJUSTED=Adjusted","Sort=A","Dates=H","DateFormat=P","Fill=—","Direction=H","UseDPDF=Y")</f>
        <v>1825</v>
      </c>
      <c r="L66" s="13" cm="1">
        <f t="array" ref="L66">_xll.BDH("DE US Equity","EBITA","FQ2 2021","FQ2 2021","Currency=USD","Period=FQ","BEST_FPERIOD_OVERRIDE=FQ","FILING_STATUS=MR","SCALING_FORMAT=MLN","FA_ADJUSTED=Adjusted","Sort=A","Dates=H","DateFormat=P","Fill=—","Direction=H","UseDPDF=Y")</f>
        <v>2607</v>
      </c>
      <c r="M66" s="13" cm="1">
        <f t="array" ref="M66">_xll.BDH("DE US Equity","EBITA","FQ3 2021","FQ3 2021","Currency=USD","Period=FQ","BEST_FPERIOD_OVERRIDE=FQ","FILING_STATUS=MR","SCALING_FORMAT=MLN","FA_ADJUSTED=Adjusted","Sort=A","Dates=H","DateFormat=P","Fill=—","Direction=H","UseDPDF=Y")</f>
        <v>2394</v>
      </c>
      <c r="N66" s="13" cm="1">
        <f t="array" ref="N66">_xll.BDH("DE US Equity","EBITA","FQ4 2021","FQ4 2021","Currency=USD","Period=FQ","BEST_FPERIOD_OVERRIDE=FQ","FILING_STATUS=MR","SCALING_FORMAT=MLN","FA_ADJUSTED=Adjusted","Sort=A","Dates=H","DateFormat=P","Fill=—","Direction=H","UseDPDF=Y")</f>
        <v>1971</v>
      </c>
      <c r="O66" s="13" cm="1">
        <f t="array" ref="O66">_xll.BDH("DE US Equity","EBITA","FQ1 2022","FQ1 2022","Currency=USD","Period=FQ","BEST_FPERIOD_OVERRIDE=FQ","FILING_STATUS=MR","SCALING_FORMAT=MLN","FA_ADJUSTED=Adjusted","Sort=A","Dates=H","DateFormat=P","Fill=—","Direction=H","UseDPDF=Y")</f>
        <v>1498</v>
      </c>
      <c r="P66" s="13" cm="1">
        <f t="array" ref="P66">_xll.BDH("DE US Equity","EBITA","FQ2 2022","FQ2 2022","Currency=USD","Period=FQ","BEST_FPERIOD_OVERRIDE=FQ","FILING_STATUS=MR","SCALING_FORMAT=MLN","FA_ADJUSTED=Adjusted","Sort=A","Dates=H","DateFormat=P","Fill=—","Direction=H","UseDPDF=Y")</f>
        <v>2842</v>
      </c>
      <c r="Q66" s="13" cm="1">
        <f t="array" ref="Q66">_xll.BDH("DE US Equity","EBITA","FQ3 2022","FQ3 2022","Currency=USD","Period=FQ","BEST_FPERIOD_OVERRIDE=FQ","FILING_STATUS=MR","SCALING_FORMAT=MLN","FA_ADJUSTED=Adjusted","Sort=A","Dates=H","DateFormat=P","Fill=—","Direction=H","UseDPDF=Y")</f>
        <v>2917</v>
      </c>
      <c r="R66" s="13" cm="1">
        <f t="array" ref="R66">_xll.BDH("DE US Equity","EBITA","FQ4 2022","FQ4 2022","Currency=USD","Period=FQ","BEST_FPERIOD_OVERRIDE=FQ","FILING_STATUS=MR","SCALING_FORMAT=MLN","FA_ADJUSTED=Adjusted","Sort=A","Dates=H","DateFormat=P","Fill=—","Direction=H","UseDPDF=Y")</f>
        <v>3158</v>
      </c>
      <c r="S66" s="13" cm="1">
        <f t="array" ref="S66">_xll.BDH("DE US Equity","EBITA","FQ1 2023","FQ1 2023","Currency=USD","Period=FQ","BEST_FPERIOD_OVERRIDE=FQ","FILING_STATUS=MR","SCALING_FORMAT=MLN","FA_ADJUSTED=Adjusted","Sort=A","Dates=H","DateFormat=P","Fill=—","Direction=H","UseDPDF=Y")</f>
        <v>3011</v>
      </c>
      <c r="T66" s="13" cm="1">
        <f t="array" ref="T66">_xll.BDH("DE US Equity","EBITA","FQ2 2023","FQ2 2023","Currency=USD","Period=FQ","BEST_FPERIOD_OVERRIDE=FQ","FILING_STATUS=MR","SCALING_FORMAT=MLN","FA_ADJUSTED=Adjusted","Sort=A","Dates=H","DateFormat=P","Fill=—","Direction=H","UseDPDF=Y")</f>
        <v>4635</v>
      </c>
      <c r="U66" s="13" cm="1">
        <f t="array" ref="U66">_xll.BDH("DE US Equity","EBITA","FQ3 2023","FQ3 2023","Currency=USD","Period=FQ","BEST_FPERIOD_OVERRIDE=FQ","FILING_STATUS=MR","SCALING_FORMAT=MLN","FA_ADJUSTED=Adjusted","Sort=A","Dates=H","DateFormat=P","Fill=—","Direction=H","UseDPDF=Y")</f>
        <v>4271</v>
      </c>
      <c r="V66" s="13" cm="1">
        <f t="array" ref="V66">_xll.BDH("DE US Equity","EBITA","FQ4 2023","FQ4 2023","Currency=USD","Period=FQ","BEST_FPERIOD_OVERRIDE=FQ","FILING_STATUS=MR","SCALING_FORMAT=MLN","FA_ADJUSTED=Adjusted","Sort=A","Dates=H","DateFormat=P","Fill=—","Direction=H","UseDPDF=Y")</f>
        <v>4059</v>
      </c>
      <c r="W66" s="13" cm="1">
        <f t="array" ref="W66">_xll.BDH("DE US Equity","EBITA","FQ1 2024","FQ1 2024","Currency=USD","Period=FQ","BEST_FPERIOD_OVERRIDE=FQ","FILING_STATUS=MR","SCALING_FORMAT=MLN","FA_ADJUSTED=Adjusted","Sort=A","Dates=H","DateFormat=P","Fill=—","Direction=H","UseDPDF=Y")</f>
        <v>3059</v>
      </c>
      <c r="X66" s="13" cm="1">
        <f t="array" ref="X66">_xll.BDH("DE US Equity","EBITA","FQ2 2024","FQ2 2024","Currency=USD","Period=FQ","BEST_FPERIOD_OVERRIDE=FQ","FILING_STATUS=MR","SCALING_FORMAT=MLN","FA_ADJUSTED=Adjusted","Sort=A","Dates=H","DateFormat=P","Fill=—","Direction=H","UseDPDF=Y")</f>
        <v>3994</v>
      </c>
      <c r="Y66" s="13" cm="1">
        <f t="array" ref="Y66">_xll.BDH("DE US Equity","EBITA","FQ3 2024","FQ3 2024","Currency=USD","Period=FQ","BEST_FPERIOD_OVERRIDE=FQ","FILING_STATUS=MR","SCALING_FORMAT=MLN","FA_ADJUSTED=Adjusted","Sort=A","Dates=H","DateFormat=P","Fill=—","Direction=H","UseDPDF=Y")</f>
        <v>3237</v>
      </c>
      <c r="Z66" s="13" cm="1">
        <f t="array" ref="Z66">_xll.BDH("DE US Equity","EBITA","FQ4 2024","FQ4 2024","Currency=USD","Period=FQ","BEST_FPERIOD_OVERRIDE=FQ","FILING_STATUS=MR","SCALING_FORMAT=MLN","FA_ADJUSTED=Adjusted","Sort=A","Dates=H","DateFormat=P","Fill=—","Direction=H","UseDPDF=Y")</f>
        <v>2559</v>
      </c>
      <c r="AA66" s="13" cm="1">
        <f t="array" ref="AA66">_xll.BDH("DE US Equity","EBITA","FQ1 2025","FQ1 2025","Currency=USD","Period=FQ","BEST_FPERIOD_OVERRIDE=FQ","FILING_STATUS=MR","SCALING_FORMAT=MLN","FA_ADJUSTED=Adjusted","Sort=A","Dates=H","DateFormat=P","Fill=—","Direction=H","UseDPDF=Y")</f>
        <v>1733</v>
      </c>
      <c r="AB66" s="13" cm="1">
        <f t="array" ref="AB66">_xll.BDH("DE US Equity","EBITA","FQ2 2025","FQ2 2025","Currency=USD","Period=FQ","BEST_FPERIOD_OVERRIDE=FQ","FILING_STATUS=MR","SCALING_FORMAT=MLN","FA_ADJUSTED=Adjusted","Sort=A","Dates=H","DateFormat=P","Fill=—","Direction=H","UseDPDF=Y")</f>
        <v>3158</v>
      </c>
      <c r="AC66" s="13" cm="1">
        <f t="array" ref="AC66">_xll.BDH("DE US Equity","EBITA","FQ3 2025","FQ3 2025","Currency=USD","Period=FQ","BEST_FPERIOD_OVERRIDE=FQ","FILING_STATUS=MR","SCALING_FORMAT=MLN","FA_ADJUSTED=Adjusted","Sort=A","Dates=H","DateFormat=P","Fill=—","Direction=H","UseDPDF=Y")</f>
        <v>2486</v>
      </c>
      <c r="AD66" s="13" cm="1">
        <f t="array" ref="AD66">_xll.BDH("DE US Equity","EBITA","FQ4 2025","FQ4 2025","Currency=USD","Period=FQ","BEST_FPERIOD_OVERRIDE=FQ","FILING_STATUS=MR","SCALING_FORMAT=MLN","FA_ADJUSTED=Adjusted","Sort=A","Dates=H","DateFormat=P","Fill=—","Direction=H","UseDPDF=Y")</f>
        <v>2391</v>
      </c>
      <c r="AE66" s="13"/>
      <c r="AF66" s="13"/>
    </row>
    <row r="67" spans="1:32" x14ac:dyDescent="0.25">
      <c r="A67" s="10" t="s">
        <v>173</v>
      </c>
      <c r="B67" s="10" t="s">
        <v>173</v>
      </c>
      <c r="C67" s="13" cm="1">
        <f t="array" ref="C67">_xll.BDH("DE US Equity","EBIT","FQ1 2019","FQ1 2019","Currency=USD","Period=FQ","BEST_FPERIOD_OVERRIDE=FQ","FILING_STATUS=MR","SCALING_FORMAT=MLN","FA_ADJUSTED=Adjusted","Sort=A","Dates=H","DateFormat=P","Fill=—","Direction=H","UseDPDF=Y")</f>
        <v>1030</v>
      </c>
      <c r="D67" s="13" cm="1">
        <f t="array" ref="D67">_xll.BDH("DE US Equity","EBIT","FQ2 2019","FQ2 2019","Currency=USD","Period=FQ","BEST_FPERIOD_OVERRIDE=FQ","FILING_STATUS=MR","SCALING_FORMAT=MLN","FA_ADJUSTED=Adjusted","Sort=A","Dates=H","DateFormat=P","Fill=—","Direction=H","UseDPDF=Y")</f>
        <v>1824</v>
      </c>
      <c r="E67" s="13" cm="1">
        <f t="array" ref="E67">_xll.BDH("DE US Equity","EBIT","FQ3 2019","FQ3 2019","Currency=USD","Period=FQ","BEST_FPERIOD_OVERRIDE=FQ","FILING_STATUS=MR","SCALING_FORMAT=MLN","FA_ADJUSTED=Adjusted","Sort=A","Dates=H","DateFormat=P","Fill=—","Direction=H","UseDPDF=Y")</f>
        <v>1487</v>
      </c>
      <c r="F67" s="13" cm="1">
        <f t="array" ref="F67">_xll.BDH("DE US Equity","EBIT","FQ4 2019","FQ4 2019","Currency=USD","Period=FQ","BEST_FPERIOD_OVERRIDE=FQ","FILING_STATUS=MR","SCALING_FORMAT=MLN","FA_ADJUSTED=Adjusted","Sort=A","Dates=H","DateFormat=P","Fill=—","Direction=H","UseDPDF=Y")</f>
        <v>1295</v>
      </c>
      <c r="G67" s="13" cm="1">
        <f t="array" ref="G67">_xll.BDH("DE US Equity","EBIT","FQ1 2020","FQ1 2020","Currency=USD","Period=FQ","BEST_FPERIOD_OVERRIDE=FQ","FILING_STATUS=MR","SCALING_FORMAT=MLN","FA_ADJUSTED=Adjusted","Sort=A","Dates=H","DateFormat=P","Fill=—","Direction=H","UseDPDF=Y")</f>
        <v>1032</v>
      </c>
      <c r="H67" s="13" cm="1">
        <f t="array" ref="H67">_xll.BDH("DE US Equity","EBIT","FQ2 2020","FQ2 2020","Currency=USD","Period=FQ","BEST_FPERIOD_OVERRIDE=FQ","FILING_STATUS=MR","SCALING_FORMAT=MLN","FA_ADJUSTED=Adjusted","Sort=A","Dates=H","DateFormat=P","Fill=—","Direction=H","UseDPDF=Y")</f>
        <v>1476</v>
      </c>
      <c r="I67" s="13" cm="1">
        <f t="array" ref="I67">_xll.BDH("DE US Equity","EBIT","FQ3 2020","FQ3 2020","Currency=USD","Period=FQ","BEST_FPERIOD_OVERRIDE=FQ","FILING_STATUS=MR","SCALING_FORMAT=MLN","FA_ADJUSTED=Adjusted","Sort=A","Dates=H","DateFormat=P","Fill=—","Direction=H","UseDPDF=Y")</f>
        <v>1573</v>
      </c>
      <c r="J67" s="13" cm="1">
        <f t="array" ref="J67">_xll.BDH("DE US Equity","EBIT","FQ4 2020","FQ4 2020","Currency=USD","Period=FQ","BEST_FPERIOD_OVERRIDE=FQ","FILING_STATUS=MR","SCALING_FORMAT=MLN","FA_ADJUSTED=Adjusted","Sort=A","Dates=H","DateFormat=P","Fill=—","Direction=H","UseDPDF=Y")</f>
        <v>1740.481</v>
      </c>
      <c r="K67" s="13" cm="1">
        <f t="array" ref="K67">_xll.BDH("DE US Equity","EBIT","FQ1 2021","FQ1 2021","Currency=USD","Period=FQ","BEST_FPERIOD_OVERRIDE=FQ","FILING_STATUS=MR","SCALING_FORMAT=MLN","FA_ADJUSTED=Adjusted","Sort=A","Dates=H","DateFormat=P","Fill=—","Direction=H","UseDPDF=Y")</f>
        <v>1791</v>
      </c>
      <c r="L67" s="13" cm="1">
        <f t="array" ref="L67">_xll.BDH("DE US Equity","EBIT","FQ2 2021","FQ2 2021","Currency=USD","Period=FQ","BEST_FPERIOD_OVERRIDE=FQ","FILING_STATUS=MR","SCALING_FORMAT=MLN","FA_ADJUSTED=Adjusted","Sort=A","Dates=H","DateFormat=P","Fill=—","Direction=H","UseDPDF=Y")</f>
        <v>2580</v>
      </c>
      <c r="M67" s="13" cm="1">
        <f t="array" ref="M67">_xll.BDH("DE US Equity","EBIT","FQ3 2021","FQ3 2021","Currency=USD","Period=FQ","BEST_FPERIOD_OVERRIDE=FQ","FILING_STATUS=MR","SCALING_FORMAT=MLN","FA_ADJUSTED=Adjusted","Sort=A","Dates=H","DateFormat=P","Fill=—","Direction=H","UseDPDF=Y")</f>
        <v>2367</v>
      </c>
      <c r="N67" s="13" cm="1">
        <f t="array" ref="N67">_xll.BDH("DE US Equity","EBIT","FQ4 2021","FQ4 2021","Currency=USD","Period=FQ","BEST_FPERIOD_OVERRIDE=FQ","FILING_STATUS=MR","SCALING_FORMAT=MLN","FA_ADJUSTED=Adjusted","Sort=A","Dates=H","DateFormat=P","Fill=—","Direction=H","UseDPDF=Y")</f>
        <v>1823</v>
      </c>
      <c r="O67" s="13" cm="1">
        <f t="array" ref="O67">_xll.BDH("DE US Equity","EBIT","FQ1 2022","FQ1 2022","Currency=USD","Period=FQ","BEST_FPERIOD_OVERRIDE=FQ","FILING_STATUS=MR","SCALING_FORMAT=MLN","FA_ADJUSTED=Adjusted","Sort=A","Dates=H","DateFormat=P","Fill=—","Direction=H","UseDPDF=Y")</f>
        <v>1470</v>
      </c>
      <c r="P67" s="13" cm="1">
        <f t="array" ref="P67">_xll.BDH("DE US Equity","EBIT","FQ2 2022","FQ2 2022","Currency=USD","Period=FQ","BEST_FPERIOD_OVERRIDE=FQ","FILING_STATUS=MR","SCALING_FORMAT=MLN","FA_ADJUSTED=Adjusted","Sort=A","Dates=H","DateFormat=P","Fill=—","Direction=H","UseDPDF=Y")</f>
        <v>2808</v>
      </c>
      <c r="Q67" s="13" cm="1">
        <f t="array" ref="Q67">_xll.BDH("DE US Equity","EBIT","FQ3 2022","FQ3 2022","Currency=USD","Period=FQ","BEST_FPERIOD_OVERRIDE=FQ","FILING_STATUS=MR","SCALING_FORMAT=MLN","FA_ADJUSTED=Adjusted","Sort=A","Dates=H","DateFormat=P","Fill=—","Direction=H","UseDPDF=Y")</f>
        <v>2875</v>
      </c>
      <c r="R67" s="13" cm="1">
        <f t="array" ref="R67">_xll.BDH("DE US Equity","EBIT","FQ4 2022","FQ4 2022","Currency=USD","Period=FQ","BEST_FPERIOD_OVERRIDE=FQ","FILING_STATUS=MR","SCALING_FORMAT=MLN","FA_ADJUSTED=Adjusted","Sort=A","Dates=H","DateFormat=P","Fill=—","Direction=H","UseDPDF=Y")</f>
        <v>3000</v>
      </c>
      <c r="S67" s="13" cm="1">
        <f t="array" ref="S67">_xll.BDH("DE US Equity","EBIT","FQ1 2023","FQ1 2023","Currency=USD","Period=FQ","BEST_FPERIOD_OVERRIDE=FQ","FILING_STATUS=MR","SCALING_FORMAT=MLN","FA_ADJUSTED=Adjusted","Sort=A","Dates=H","DateFormat=P","Fill=—","Direction=H","UseDPDF=Y")</f>
        <v>2972</v>
      </c>
      <c r="T67" s="13" cm="1">
        <f t="array" ref="T67">_xll.BDH("DE US Equity","EBIT","FQ2 2023","FQ2 2023","Currency=USD","Period=FQ","BEST_FPERIOD_OVERRIDE=FQ","FILING_STATUS=MR","SCALING_FORMAT=MLN","FA_ADJUSTED=Adjusted","Sort=A","Dates=H","DateFormat=P","Fill=—","Direction=H","UseDPDF=Y")</f>
        <v>4590</v>
      </c>
      <c r="U67" s="13" cm="1">
        <f t="array" ref="U67">_xll.BDH("DE US Equity","EBIT","FQ3 2023","FQ3 2023","Currency=USD","Period=FQ","BEST_FPERIOD_OVERRIDE=FQ","FILING_STATUS=MR","SCALING_FORMAT=MLN","FA_ADJUSTED=Adjusted","Sort=A","Dates=H","DateFormat=P","Fill=—","Direction=H","UseDPDF=Y")</f>
        <v>4229</v>
      </c>
      <c r="V67" s="13" cm="1">
        <f t="array" ref="V67">_xll.BDH("DE US Equity","EBIT","FQ4 2023","FQ4 2023","Currency=USD","Period=FQ","BEST_FPERIOD_OVERRIDE=FQ","FILING_STATUS=MR","SCALING_FORMAT=MLN","FA_ADJUSTED=Adjusted","Sort=A","Dates=H","DateFormat=P","Fill=—","Direction=H","UseDPDF=Y")</f>
        <v>3872</v>
      </c>
      <c r="W67" s="13" cm="1">
        <f t="array" ref="W67">_xll.BDH("DE US Equity","EBIT","FQ1 2024","FQ1 2024","Currency=USD","Period=FQ","BEST_FPERIOD_OVERRIDE=FQ","FILING_STATUS=MR","SCALING_FORMAT=MLN","FA_ADJUSTED=Adjusted","Sort=A","Dates=H","DateFormat=P","Fill=—","Direction=H","UseDPDF=Y")</f>
        <v>3017</v>
      </c>
      <c r="X67" s="13" cm="1">
        <f t="array" ref="X67">_xll.BDH("DE US Equity","EBIT","FQ2 2024","FQ2 2024","Currency=USD","Period=FQ","BEST_FPERIOD_OVERRIDE=FQ","FILING_STATUS=MR","SCALING_FORMAT=MLN","FA_ADJUSTED=Adjusted","Sort=A","Dates=H","DateFormat=P","Fill=—","Direction=H","UseDPDF=Y")</f>
        <v>3953</v>
      </c>
      <c r="Y67" s="13" cm="1">
        <f t="array" ref="Y67">_xll.BDH("DE US Equity","EBIT","FQ3 2024","FQ3 2024","Currency=USD","Period=FQ","BEST_FPERIOD_OVERRIDE=FQ","FILING_STATUS=MR","SCALING_FORMAT=MLN","FA_ADJUSTED=Adjusted","Sort=A","Dates=H","DateFormat=P","Fill=—","Direction=H","UseDPDF=Y")</f>
        <v>3195</v>
      </c>
      <c r="Z67" s="13" cm="1">
        <f t="array" ref="Z67">_xll.BDH("DE US Equity","EBIT","FQ4 2024","FQ4 2024","Currency=USD","Period=FQ","BEST_FPERIOD_OVERRIDE=FQ","FILING_STATUS=MR","SCALING_FORMAT=MLN","FA_ADJUSTED=Adjusted","Sort=A","Dates=H","DateFormat=P","Fill=—","Direction=H","UseDPDF=Y")</f>
        <v>2435</v>
      </c>
      <c r="AA67" s="13" cm="1">
        <f t="array" ref="AA67">_xll.BDH("DE US Equity","EBIT","FQ1 2025","FQ1 2025","Currency=USD","Period=FQ","BEST_FPERIOD_OVERRIDE=FQ","FILING_STATUS=MR","SCALING_FORMAT=MLN","FA_ADJUSTED=Adjusted","Sort=A","Dates=H","DateFormat=P","Fill=—","Direction=H","UseDPDF=Y")</f>
        <v>1692</v>
      </c>
      <c r="AB67" s="13" cm="1">
        <f t="array" ref="AB67">_xll.BDH("DE US Equity","EBIT","FQ2 2025","FQ2 2025","Currency=USD","Period=FQ","BEST_FPERIOD_OVERRIDE=FQ","FILING_STATUS=MR","SCALING_FORMAT=MLN","FA_ADJUSTED=Adjusted","Sort=A","Dates=H","DateFormat=P","Fill=—","Direction=H","UseDPDF=Y")</f>
        <v>3121</v>
      </c>
      <c r="AC67" s="13" cm="1">
        <f t="array" ref="AC67">_xll.BDH("DE US Equity","EBIT","FQ3 2025","FQ3 2025","Currency=USD","Period=FQ","BEST_FPERIOD_OVERRIDE=FQ","FILING_STATUS=MR","SCALING_FORMAT=MLN","FA_ADJUSTED=Adjusted","Sort=A","Dates=H","DateFormat=P","Fill=—","Direction=H","UseDPDF=Y")</f>
        <v>2455</v>
      </c>
      <c r="AD67" s="13" cm="1">
        <f t="array" ref="AD67">_xll.BDH("DE US Equity","EBIT","FQ4 2025","FQ4 2025","Currency=USD","Period=FQ","BEST_FPERIOD_OVERRIDE=FQ","FILING_STATUS=MR","SCALING_FORMAT=MLN","FA_ADJUSTED=Adjusted","Sort=A","Dates=H","DateFormat=P","Fill=—","Direction=H","UseDPDF=Y")</f>
        <v>2281</v>
      </c>
      <c r="AE67" s="13">
        <v>495.58333333333297</v>
      </c>
      <c r="AF67" s="13">
        <v>1743.75</v>
      </c>
    </row>
    <row r="68" spans="1:32" x14ac:dyDescent="0.25">
      <c r="A68" s="10" t="s">
        <v>174</v>
      </c>
      <c r="B68" s="10" t="s">
        <v>175</v>
      </c>
      <c r="C68" s="14" cm="1">
        <f t="array" ref="C68">_xll.BDH("DE US Equity","GROSS_MARGIN","FQ1 2019","FQ1 2019","Currency=USD","Period=FQ","BEST_FPERIOD_OVERRIDE=FQ","FILING_STATUS=MR","FA_ADJUSTED=Adjusted","Sort=A","Dates=H","DateFormat=P","Fill=—","Direction=H","UseDPDF=Y")</f>
        <v>31.963899999999999</v>
      </c>
      <c r="D68" s="14" cm="1">
        <f t="array" ref="D68">_xll.BDH("DE US Equity","GROSS_MARGIN","FQ2 2019","FQ2 2019","Currency=USD","Period=FQ","BEST_FPERIOD_OVERRIDE=FQ","FILING_STATUS=MR","FA_ADJUSTED=Adjusted","Sort=A","Dates=H","DateFormat=P","Fill=—","Direction=H","UseDPDF=Y")</f>
        <v>31.625800000000002</v>
      </c>
      <c r="E68" s="14" cm="1">
        <f t="array" ref="E68">_xll.BDH("DE US Equity","GROSS_MARGIN","FQ3 2019","FQ3 2019","Currency=USD","Period=FQ","BEST_FPERIOD_OVERRIDE=FQ","FILING_STATUS=MR","FA_ADJUSTED=Adjusted","Sort=A","Dates=H","DateFormat=P","Fill=—","Direction=H","UseDPDF=Y")</f>
        <v>31.546399999999998</v>
      </c>
      <c r="F68" s="14" cm="1">
        <f t="array" ref="F68">_xll.BDH("DE US Equity","GROSS_MARGIN","FQ4 2019","FQ4 2019","Currency=USD","Period=FQ","BEST_FPERIOD_OVERRIDE=FQ","FILING_STATUS=MR","FA_ADJUSTED=Adjusted","Sort=A","Dates=H","DateFormat=P","Fill=—","Direction=H","UseDPDF=Y")</f>
        <v>31.9422</v>
      </c>
      <c r="G68" s="14" cm="1">
        <f t="array" ref="G68">_xll.BDH("DE US Equity","GROSS_MARGIN","FQ1 2020","FQ1 2020","Currency=USD","Period=FQ","BEST_FPERIOD_OVERRIDE=FQ","FILING_STATUS=MR","FA_ADJUSTED=Adjusted","Sort=A","Dates=H","DateFormat=P","Fill=—","Direction=H","UseDPDF=Y")</f>
        <v>33.979799999999997</v>
      </c>
      <c r="H68" s="14" cm="1">
        <f t="array" ref="H68">_xll.BDH("DE US Equity","GROSS_MARGIN","FQ2 2020","FQ2 2020","Currency=USD","Period=FQ","BEST_FPERIOD_OVERRIDE=FQ","FILING_STATUS=MR","FA_ADJUSTED=Adjusted","Sort=A","Dates=H","DateFormat=P","Fill=—","Direction=H","UseDPDF=Y")</f>
        <v>31.9788</v>
      </c>
      <c r="I68" s="14" cm="1">
        <f t="array" ref="I68">_xll.BDH("DE US Equity","GROSS_MARGIN","FQ3 2020","FQ3 2020","Currency=USD","Period=FQ","BEST_FPERIOD_OVERRIDE=FQ","FILING_STATUS=MR","FA_ADJUSTED=Adjusted","Sort=A","Dates=H","DateFormat=P","Fill=—","Direction=H","UseDPDF=Y")</f>
        <v>34.666699999999999</v>
      </c>
      <c r="J68" s="14" cm="1">
        <f t="array" ref="J68">_xll.BDH("DE US Equity","GROSS_MARGIN","FQ4 2020","FQ4 2020","Currency=USD","Period=FQ","BEST_FPERIOD_OVERRIDE=FQ","FILING_STATUS=MR","FA_ADJUSTED=Adjusted","Sort=A","Dates=H","DateFormat=P","Fill=—","Direction=H","UseDPDF=Y")</f>
        <v>33.902000000000001</v>
      </c>
      <c r="K68" s="14" cm="1">
        <f t="array" ref="K68">_xll.BDH("DE US Equity","GROSS_MARGIN","FQ1 2021","FQ1 2021","Currency=USD","Period=FQ","BEST_FPERIOD_OVERRIDE=FQ","FILING_STATUS=MR","FA_ADJUSTED=Adjusted","Sort=A","Dates=H","DateFormat=P","Fill=—","Direction=H","UseDPDF=Y")</f>
        <v>36.204999999999998</v>
      </c>
      <c r="L68" s="14" cm="1">
        <f t="array" ref="L68">_xll.BDH("DE US Equity","GROSS_MARGIN","FQ2 2021","FQ2 2021","Currency=USD","Period=FQ","BEST_FPERIOD_OVERRIDE=FQ","FILING_STATUS=MR","FA_ADJUSTED=Adjusted","Sort=A","Dates=H","DateFormat=P","Fill=—","Direction=H","UseDPDF=Y")</f>
        <v>34.251100000000001</v>
      </c>
      <c r="M68" s="14" cm="1">
        <f t="array" ref="M68">_xll.BDH("DE US Equity","GROSS_MARGIN","FQ3 2021","FQ3 2021","Currency=USD","Period=FQ","BEST_FPERIOD_OVERRIDE=FQ","FILING_STATUS=MR","FA_ADJUSTED=Adjusted","Sort=A","Dates=H","DateFormat=P","Fill=—","Direction=H","UseDPDF=Y")</f>
        <v>34.293399999999998</v>
      </c>
      <c r="N68" s="14" cm="1">
        <f t="array" ref="N68">_xll.BDH("DE US Equity","GROSS_MARGIN","FQ4 2021","FQ4 2021","Currency=USD","Period=FQ","BEST_FPERIOD_OVERRIDE=FQ","FILING_STATUS=MR","FA_ADJUSTED=Adjusted","Sort=A","Dates=H","DateFormat=P","Fill=—","Direction=H","UseDPDF=Y")</f>
        <v>31.129200000000001</v>
      </c>
      <c r="O68" s="14" cm="1">
        <f t="array" ref="O68">_xll.BDH("DE US Equity","GROSS_MARGIN","FQ1 2022","FQ1 2022","Currency=USD","Period=FQ","BEST_FPERIOD_OVERRIDE=FQ","FILING_STATUS=MR","FA_ADJUSTED=Adjusted","Sort=A","Dates=H","DateFormat=P","Fill=—","Direction=H","UseDPDF=Y")</f>
        <v>30.034500000000001</v>
      </c>
      <c r="P68" s="14" cm="1">
        <f t="array" ref="P68">_xll.BDH("DE US Equity","GROSS_MARGIN","FQ2 2022","FQ2 2022","Currency=USD","Period=FQ","BEST_FPERIOD_OVERRIDE=FQ","FILING_STATUS=MR","FA_ADJUSTED=Adjusted","Sort=A","Dates=H","DateFormat=P","Fill=—","Direction=H","UseDPDF=Y")</f>
        <v>33.298400000000001</v>
      </c>
      <c r="Q68" s="14" cm="1">
        <f t="array" ref="Q68">_xll.BDH("DE US Equity","GROSS_MARGIN","FQ3 2022","FQ3 2022","Currency=USD","Period=FQ","BEST_FPERIOD_OVERRIDE=FQ","FILING_STATUS=MR","FA_ADJUSTED=Adjusted","Sort=A","Dates=H","DateFormat=P","Fill=—","Direction=H","UseDPDF=Y")</f>
        <v>32.555700000000002</v>
      </c>
      <c r="R68" s="14" cm="1">
        <f t="array" ref="R68">_xll.BDH("DE US Equity","GROSS_MARGIN","FQ4 2022","FQ4 2022","Currency=USD","Period=FQ","BEST_FPERIOD_OVERRIDE=FQ","FILING_STATUS=MR","FA_ADJUSTED=Adjusted","Sort=A","Dates=H","DateFormat=P","Fill=—","Direction=H","UseDPDF=Y")</f>
        <v>34.255899999999997</v>
      </c>
      <c r="S68" s="14" cm="1">
        <f t="array" ref="S68">_xll.BDH("DE US Equity","GROSS_MARGIN","FQ1 2023","FQ1 2023","Currency=USD","Period=FQ","BEST_FPERIOD_OVERRIDE=FQ","FILING_STATUS=MR","FA_ADJUSTED=Adjusted","Sort=A","Dates=H","DateFormat=P","Fill=—","Direction=H","UseDPDF=Y")</f>
        <v>37.290500000000002</v>
      </c>
      <c r="T68" s="14" cm="1">
        <f t="array" ref="T68">_xll.BDH("DE US Equity","GROSS_MARGIN","FQ2 2023","FQ2 2023","Currency=USD","Period=FQ","BEST_FPERIOD_OVERRIDE=FQ","FILING_STATUS=MR","FA_ADJUSTED=Adjusted","Sort=A","Dates=H","DateFormat=P","Fill=—","Direction=H","UseDPDF=Y")</f>
        <v>38.287199999999999</v>
      </c>
      <c r="U68" s="14" cm="1">
        <f t="array" ref="U68">_xll.BDH("DE US Equity","GROSS_MARGIN","FQ3 2023","FQ3 2023","Currency=USD","Period=FQ","BEST_FPERIOD_OVERRIDE=FQ","FILING_STATUS=MR","FA_ADJUSTED=Adjusted","Sort=A","Dates=H","DateFormat=P","Fill=—","Direction=H","UseDPDF=Y")</f>
        <v>39.092500000000001</v>
      </c>
      <c r="V68" s="14" cm="1">
        <f t="array" ref="V68">_xll.BDH("DE US Equity","GROSS_MARGIN","FQ4 2023","FQ4 2023","Currency=USD","Period=FQ","BEST_FPERIOD_OVERRIDE=FQ","FILING_STATUS=MR","FA_ADJUSTED=Adjusted","Sort=A","Dates=H","DateFormat=P","Fill=—","Direction=H","UseDPDF=Y")</f>
        <v>38.833399999999997</v>
      </c>
      <c r="W68" s="14" cm="1">
        <f t="array" ref="W68">_xll.BDH("DE US Equity","GROSS_MARGIN","FQ1 2024","FQ1 2024","Currency=USD","Period=FQ","BEST_FPERIOD_OVERRIDE=FQ","FILING_STATUS=MR","FA_ADJUSTED=Adjusted","Sort=A","Dates=H","DateFormat=P","Fill=—","Direction=H","UseDPDF=Y")</f>
        <v>40.911000000000001</v>
      </c>
      <c r="X68" s="14" cm="1">
        <f t="array" ref="X68">_xll.BDH("DE US Equity","GROSS_MARGIN","FQ2 2024","FQ2 2024","Currency=USD","Period=FQ","BEST_FPERIOD_OVERRIDE=FQ","FILING_STATUS=MR","FA_ADJUSTED=Adjusted","Sort=A","Dates=H","DateFormat=P","Fill=—","Direction=H","UseDPDF=Y")</f>
        <v>39.895000000000003</v>
      </c>
      <c r="Y68" s="14" cm="1">
        <f t="array" ref="Y68">_xll.BDH("DE US Equity","GROSS_MARGIN","FQ3 2024","FQ3 2024","Currency=USD","Period=FQ","BEST_FPERIOD_OVERRIDE=FQ","FILING_STATUS=MR","FA_ADJUSTED=Adjusted","Sort=A","Dates=H","DateFormat=P","Fill=—","Direction=H","UseDPDF=Y")</f>
        <v>40.328499999999998</v>
      </c>
      <c r="Z68" s="14" cm="1">
        <f t="array" ref="Z68">_xll.BDH("DE US Equity","GROSS_MARGIN","FQ4 2024","FQ4 2024","Currency=USD","Period=FQ","BEST_FPERIOD_OVERRIDE=FQ","FILING_STATUS=MR","FA_ADJUSTED=Adjusted","Sort=A","Dates=H","DateFormat=P","Fill=—","Direction=H","UseDPDF=Y")</f>
        <v>41.030200000000001</v>
      </c>
      <c r="AA68" s="14" cm="1">
        <f t="array" ref="AA68">_xll.BDH("DE US Equity","GROSS_MARGIN","FQ1 2025","FQ1 2025","Currency=USD","Period=FQ","BEST_FPERIOD_OVERRIDE=FQ","FILING_STATUS=MR","FA_ADJUSTED=Adjusted","Sort=A","Dates=H","DateFormat=P","Fill=—","Direction=H","UseDPDF=Y")</f>
        <v>40.796900000000001</v>
      </c>
      <c r="AB68" s="14" cm="1">
        <f t="array" ref="AB68">_xll.BDH("DE US Equity","GROSS_MARGIN","FQ2 2025","FQ2 2025","Currency=USD","Period=FQ","BEST_FPERIOD_OVERRIDE=FQ","FILING_STATUS=MR","FA_ADJUSTED=Adjusted","Sort=A","Dates=H","DateFormat=P","Fill=—","Direction=H","UseDPDF=Y")</f>
        <v>40.382399999999997</v>
      </c>
      <c r="AC68" s="14" cm="1">
        <f t="array" ref="AC68">_xll.BDH("DE US Equity","GROSS_MARGIN","FQ3 2025","FQ3 2025","Currency=USD","Period=FQ","BEST_FPERIOD_OVERRIDE=FQ","FILING_STATUS=MR","FA_ADJUSTED=Adjusted","Sort=A","Dates=H","DateFormat=P","Fill=—","Direction=H","UseDPDF=Y")</f>
        <v>37.011099999999999</v>
      </c>
      <c r="AD68" s="14" cm="1">
        <f t="array" ref="AD68">_xll.BDH("DE US Equity","GROSS_MARGIN","FQ4 2025","FQ4 2025","Currency=USD","Period=FQ","BEST_FPERIOD_OVERRIDE=FQ","FILING_STATUS=MR","FA_ADJUSTED=Adjusted","Sort=A","Dates=H","DateFormat=P","Fill=—","Direction=H","UseDPDF=Y")</f>
        <v>35.904499999999999</v>
      </c>
      <c r="AE68" s="14">
        <v>23.399000000000001</v>
      </c>
      <c r="AF68" s="14">
        <v>28.37</v>
      </c>
    </row>
    <row r="69" spans="1:32" x14ac:dyDescent="0.25">
      <c r="A69" s="10" t="s">
        <v>176</v>
      </c>
      <c r="B69" s="10" t="s">
        <v>177</v>
      </c>
      <c r="C69" s="14" cm="1">
        <f t="array" ref="C69">_xll.BDH("DE US Equity","OPER_MARGIN","FQ1 2019","FQ1 2019","Currency=USD","Period=FQ","BEST_FPERIOD_OVERRIDE=FQ","FILING_STATUS=MR","FA_ADJUSTED=Adjusted","Sort=A","Dates=H","DateFormat=P","Fill=—","Direction=H","UseDPDF=Y")</f>
        <v>12.9008</v>
      </c>
      <c r="D69" s="14" cm="1">
        <f t="array" ref="D69">_xll.BDH("DE US Equity","OPER_MARGIN","FQ2 2019","FQ2 2019","Currency=USD","Period=FQ","BEST_FPERIOD_OVERRIDE=FQ","FILING_STATUS=MR","FA_ADJUSTED=Adjusted","Sort=A","Dates=H","DateFormat=P","Fill=—","Direction=H","UseDPDF=Y")</f>
        <v>16.081800000000001</v>
      </c>
      <c r="E69" s="14" cm="1">
        <f t="array" ref="E69">_xll.BDH("DE US Equity","OPER_MARGIN","FQ3 2019","FQ3 2019","Currency=USD","Period=FQ","BEST_FPERIOD_OVERRIDE=FQ","FILING_STATUS=MR","FA_ADJUSTED=Adjusted","Sort=A","Dates=H","DateFormat=P","Fill=—","Direction=H","UseDPDF=Y")</f>
        <v>14.816700000000001</v>
      </c>
      <c r="F69" s="14" cm="1">
        <f t="array" ref="F69">_xll.BDH("DE US Equity","OPER_MARGIN","FQ4 2019","FQ4 2019","Currency=USD","Period=FQ","BEST_FPERIOD_OVERRIDE=FQ","FILING_STATUS=MR","FA_ADJUSTED=Adjusted","Sort=A","Dates=H","DateFormat=P","Fill=—","Direction=H","UseDPDF=Y")</f>
        <v>13.0861</v>
      </c>
      <c r="G69" s="14" cm="1">
        <f t="array" ref="G69">_xll.BDH("DE US Equity","OPER_MARGIN","FQ1 2020","FQ1 2020","Currency=USD","Period=FQ","BEST_FPERIOD_OVERRIDE=FQ","FILING_STATUS=MR","FA_ADJUSTED=Adjusted","Sort=A","Dates=H","DateFormat=P","Fill=—","Direction=H","UseDPDF=Y")</f>
        <v>13.5238</v>
      </c>
      <c r="H69" s="14" cm="1">
        <f t="array" ref="H69">_xll.BDH("DE US Equity","OPER_MARGIN","FQ2 2020","FQ2 2020","Currency=USD","Period=FQ","BEST_FPERIOD_OVERRIDE=FQ","FILING_STATUS=MR","FA_ADJUSTED=Adjusted","Sort=A","Dates=H","DateFormat=P","Fill=—","Direction=H","UseDPDF=Y")</f>
        <v>15.951599999999999</v>
      </c>
      <c r="I69" s="14" cm="1">
        <f t="array" ref="I69">_xll.BDH("DE US Equity","OPER_MARGIN","FQ3 2020","FQ3 2020","Currency=USD","Period=FQ","BEST_FPERIOD_OVERRIDE=FQ","FILING_STATUS=MR","FA_ADJUSTED=Adjusted","Sort=A","Dates=H","DateFormat=P","Fill=—","Direction=H","UseDPDF=Y")</f>
        <v>17.624600000000001</v>
      </c>
      <c r="J69" s="14" cm="1">
        <f t="array" ref="J69">_xll.BDH("DE US Equity","OPER_MARGIN","FQ4 2020","FQ4 2020","Currency=USD","Period=FQ","BEST_FPERIOD_OVERRIDE=FQ","FILING_STATUS=MR","FA_ADJUSTED=Adjusted","Sort=A","Dates=H","DateFormat=P","Fill=—","Direction=H","UseDPDF=Y")</f>
        <v>17.885899999999999</v>
      </c>
      <c r="K69" s="14" cm="1">
        <f t="array" ref="K69">_xll.BDH("DE US Equity","OPER_MARGIN","FQ1 2021","FQ1 2021","Currency=USD","Period=FQ","BEST_FPERIOD_OVERRIDE=FQ","FILING_STATUS=MR","FA_ADJUSTED=Adjusted","Sort=A","Dates=H","DateFormat=P","Fill=—","Direction=H","UseDPDF=Y")</f>
        <v>19.6554</v>
      </c>
      <c r="L69" s="14" cm="1">
        <f t="array" ref="L69">_xll.BDH("DE US Equity","OPER_MARGIN","FQ2 2021","FQ2 2021","Currency=USD","Period=FQ","BEST_FPERIOD_OVERRIDE=FQ","FILING_STATUS=MR","FA_ADJUSTED=Adjusted","Sort=A","Dates=H","DateFormat=P","Fill=—","Direction=H","UseDPDF=Y")</f>
        <v>21.396599999999999</v>
      </c>
      <c r="M69" s="14" cm="1">
        <f t="array" ref="M69">_xll.BDH("DE US Equity","OPER_MARGIN","FQ3 2021","FQ3 2021","Currency=USD","Period=FQ","BEST_FPERIOD_OVERRIDE=FQ","FILING_STATUS=MR","FA_ADJUSTED=Adjusted","Sort=A","Dates=H","DateFormat=P","Fill=—","Direction=H","UseDPDF=Y")</f>
        <v>20.534400000000002</v>
      </c>
      <c r="N69" s="14" cm="1">
        <f t="array" ref="N69">_xll.BDH("DE US Equity","OPER_MARGIN","FQ4 2021","FQ4 2021","Currency=USD","Period=FQ","BEST_FPERIOD_OVERRIDE=FQ","FILING_STATUS=MR","FA_ADJUSTED=Adjusted","Sort=A","Dates=H","DateFormat=P","Fill=—","Direction=H","UseDPDF=Y")</f>
        <v>16.0943</v>
      </c>
      <c r="O69" s="14" cm="1">
        <f t="array" ref="O69">_xll.BDH("DE US Equity","OPER_MARGIN","FQ1 2022","FQ1 2022","Currency=USD","Period=FQ","BEST_FPERIOD_OVERRIDE=FQ","FILING_STATUS=MR","FA_ADJUSTED=Adjusted","Sort=A","Dates=H","DateFormat=P","Fill=—","Direction=H","UseDPDF=Y")</f>
        <v>15.3621</v>
      </c>
      <c r="P69" s="14" cm="1">
        <f t="array" ref="P69">_xll.BDH("DE US Equity","OPER_MARGIN","FQ2 2022","FQ2 2022","Currency=USD","Period=FQ","BEST_FPERIOD_OVERRIDE=FQ","FILING_STATUS=MR","FA_ADJUSTED=Adjusted","Sort=A","Dates=H","DateFormat=P","Fill=—","Direction=H","UseDPDF=Y")</f>
        <v>21.002199999999998</v>
      </c>
      <c r="Q69" s="14" cm="1">
        <f t="array" ref="Q69">_xll.BDH("DE US Equity","OPER_MARGIN","FQ3 2022","FQ3 2022","Currency=USD","Period=FQ","BEST_FPERIOD_OVERRIDE=FQ","FILING_STATUS=MR","FA_ADJUSTED=Adjusted","Sort=A","Dates=H","DateFormat=P","Fill=—","Direction=H","UseDPDF=Y")</f>
        <v>20.3872</v>
      </c>
      <c r="R69" s="14" cm="1">
        <f t="array" ref="R69">_xll.BDH("DE US Equity","OPER_MARGIN","FQ4 2022","FQ4 2022","Currency=USD","Period=FQ","BEST_FPERIOD_OVERRIDE=FQ","FILING_STATUS=MR","FA_ADJUSTED=Adjusted","Sort=A","Dates=H","DateFormat=P","Fill=—","Direction=H","UseDPDF=Y")</f>
        <v>19.309999999999999</v>
      </c>
      <c r="S69" s="14" cm="1">
        <f t="array" ref="S69">_xll.BDH("DE US Equity","OPER_MARGIN","FQ1 2023","FQ1 2023","Currency=USD","Period=FQ","BEST_FPERIOD_OVERRIDE=FQ","FILING_STATUS=MR","FA_ADJUSTED=Adjusted","Sort=A","Dates=H","DateFormat=P","Fill=—","Direction=H","UseDPDF=Y")</f>
        <v>23.490400000000001</v>
      </c>
      <c r="T69" s="14" cm="1">
        <f t="array" ref="T69">_xll.BDH("DE US Equity","OPER_MARGIN","FQ2 2023","FQ2 2023","Currency=USD","Period=FQ","BEST_FPERIOD_OVERRIDE=FQ","FILING_STATUS=MR","FA_ADJUSTED=Adjusted","Sort=A","Dates=H","DateFormat=P","Fill=—","Direction=H","UseDPDF=Y")</f>
        <v>26.399000000000001</v>
      </c>
      <c r="U69" s="14" cm="1">
        <f t="array" ref="U69">_xll.BDH("DE US Equity","OPER_MARGIN","FQ3 2023","FQ3 2023","Currency=USD","Period=FQ","BEST_FPERIOD_OVERRIDE=FQ","FILING_STATUS=MR","FA_ADJUSTED=Adjusted","Sort=A","Dates=H","DateFormat=P","Fill=—","Direction=H","UseDPDF=Y")</f>
        <v>26.764099999999999</v>
      </c>
      <c r="V69" s="14" cm="1">
        <f t="array" ref="V69">_xll.BDH("DE US Equity","OPER_MARGIN","FQ4 2023","FQ4 2023","Currency=USD","Period=FQ","BEST_FPERIOD_OVERRIDE=FQ","FILING_STATUS=MR","FA_ADJUSTED=Adjusted","Sort=A","Dates=H","DateFormat=P","Fill=—","Direction=H","UseDPDF=Y")</f>
        <v>25.1233</v>
      </c>
      <c r="W69" s="14" cm="1">
        <f t="array" ref="W69">_xll.BDH("DE US Equity","OPER_MARGIN","FQ1 2024","FQ1 2024","Currency=USD","Period=FQ","BEST_FPERIOD_OVERRIDE=FQ","FILING_STATUS=MR","FA_ADJUSTED=Adjusted","Sort=A","Dates=H","DateFormat=P","Fill=—","Direction=H","UseDPDF=Y")</f>
        <v>24.76</v>
      </c>
      <c r="X69" s="14" cm="1">
        <f t="array" ref="X69">_xll.BDH("DE US Equity","OPER_MARGIN","FQ2 2024","FQ2 2024","Currency=USD","Period=FQ","BEST_FPERIOD_OVERRIDE=FQ","FILING_STATUS=MR","FA_ADJUSTED=Adjusted","Sort=A","Dates=H","DateFormat=P","Fill=—","Direction=H","UseDPDF=Y")</f>
        <v>25.9468</v>
      </c>
      <c r="Y69" s="14" cm="1">
        <f t="array" ref="Y69">_xll.BDH("DE US Equity","OPER_MARGIN","FQ3 2024","FQ3 2024","Currency=USD","Period=FQ","BEST_FPERIOD_OVERRIDE=FQ","FILING_STATUS=MR","FA_ADJUSTED=Adjusted","Sort=A","Dates=H","DateFormat=P","Fill=—","Direction=H","UseDPDF=Y")</f>
        <v>24.292899999999999</v>
      </c>
      <c r="Z69" s="14" cm="1">
        <f t="array" ref="Z69">_xll.BDH("DE US Equity","OPER_MARGIN","FQ4 2024","FQ4 2024","Currency=USD","Period=FQ","BEST_FPERIOD_OVERRIDE=FQ","FILING_STATUS=MR","FA_ADJUSTED=Adjusted","Sort=A","Dates=H","DateFormat=P","Fill=—","Direction=H","UseDPDF=Y")</f>
        <v>21.8523</v>
      </c>
      <c r="AA69" s="14" cm="1">
        <f t="array" ref="AA69">_xll.BDH("DE US Equity","OPER_MARGIN","FQ1 2025","FQ1 2025","Currency=USD","Period=FQ","BEST_FPERIOD_OVERRIDE=FQ","FILING_STATUS=MR","FA_ADJUSTED=Adjusted","Sort=A","Dates=H","DateFormat=P","Fill=—","Direction=H","UseDPDF=Y")</f>
        <v>19.8872</v>
      </c>
      <c r="AB69" s="14" cm="1">
        <f t="array" ref="AB69">_xll.BDH("DE US Equity","OPER_MARGIN","FQ2 2025","FQ2 2025","Currency=USD","Period=FQ","BEST_FPERIOD_OVERRIDE=FQ","FILING_STATUS=MR","FA_ADJUSTED=Adjusted","Sort=A","Dates=H","DateFormat=P","Fill=—","Direction=H","UseDPDF=Y")</f>
        <v>24.453499999999998</v>
      </c>
      <c r="AC69" s="14" cm="1">
        <f t="array" ref="AC69">_xll.BDH("DE US Equity","OPER_MARGIN","FQ3 2025","FQ3 2025","Currency=USD","Period=FQ","BEST_FPERIOD_OVERRIDE=FQ","FILING_STATUS=MR","FA_ADJUSTED=Adjusted","Sort=A","Dates=H","DateFormat=P","Fill=—","Direction=H","UseDPDF=Y")</f>
        <v>20.427700000000002</v>
      </c>
      <c r="AD69" s="14" cm="1">
        <f t="array" ref="AD69">_xll.BDH("DE US Equity","OPER_MARGIN","FQ4 2025","FQ4 2025","Currency=USD","Period=FQ","BEST_FPERIOD_OVERRIDE=FQ","FILING_STATUS=MR","FA_ADJUSTED=Adjusted","Sort=A","Dates=H","DateFormat=P","Fill=—","Direction=H","UseDPDF=Y")</f>
        <v>18.4041</v>
      </c>
      <c r="AE69" s="14">
        <v>6.5270012576366598</v>
      </c>
      <c r="AF69" s="14">
        <v>15.301169127782</v>
      </c>
    </row>
    <row r="70" spans="1:32" x14ac:dyDescent="0.25">
      <c r="A70" s="10" t="s">
        <v>178</v>
      </c>
      <c r="B70" s="10" t="s">
        <v>179</v>
      </c>
      <c r="C70" s="14" cm="1">
        <f t="array" ref="C70">_xll.BDH("DE US Equity","PROF_MARGIN","FQ1 2019","FQ1 2019","Currency=USD","Period=FQ","BEST_FPERIOD_OVERRIDE=FQ","FILING_STATUS=MR","FA_ADJUSTED=Adjusted","Sort=A","Dates=H","DateFormat=P","Fill=—","Direction=H","UseDPDF=Y")</f>
        <v>6.2374999999999998</v>
      </c>
      <c r="D70" s="14" cm="1">
        <f t="array" ref="D70">_xll.BDH("DE US Equity","PROF_MARGIN","FQ2 2019","FQ2 2019","Currency=USD","Period=FQ","BEST_FPERIOD_OVERRIDE=FQ","FILING_STATUS=MR","FA_ADJUSTED=Adjusted","Sort=A","Dates=H","DateFormat=P","Fill=—","Direction=H","UseDPDF=Y")</f>
        <v>10.007099999999999</v>
      </c>
      <c r="E70" s="14" cm="1">
        <f t="array" ref="E70">_xll.BDH("DE US Equity","PROF_MARGIN","FQ3 2019","FQ3 2019","Currency=USD","Period=FQ","BEST_FPERIOD_OVERRIDE=FQ","FILING_STATUS=MR","FA_ADJUSTED=Adjusted","Sort=A","Dates=H","DateFormat=P","Fill=—","Direction=H","UseDPDF=Y")</f>
        <v>8.6388999999999996</v>
      </c>
      <c r="F70" s="14" cm="1">
        <f t="array" ref="F70">_xll.BDH("DE US Equity","PROF_MARGIN","FQ4 2019","FQ4 2019","Currency=USD","Period=FQ","BEST_FPERIOD_OVERRIDE=FQ","FILING_STATUS=MR","FA_ADJUSTED=Adjusted","Sort=A","Dates=H","DateFormat=P","Fill=—","Direction=H","UseDPDF=Y")</f>
        <v>7.5362</v>
      </c>
      <c r="G70" s="14" cm="1">
        <f t="array" ref="G70">_xll.BDH("DE US Equity","PROF_MARGIN","FQ1 2020","FQ1 2020","Currency=USD","Period=FQ","BEST_FPERIOD_OVERRIDE=FQ","FILING_STATUS=MR","FA_ADJUSTED=Adjusted","Sort=A","Dates=H","DateFormat=P","Fill=—","Direction=H","UseDPDF=Y")</f>
        <v>8.0898000000000003</v>
      </c>
      <c r="H70" s="14" cm="1">
        <f t="array" ref="H70">_xll.BDH("DE US Equity","PROF_MARGIN","FQ2 2020","FQ2 2020","Currency=USD","Period=FQ","BEST_FPERIOD_OVERRIDE=FQ","FILING_STATUS=MR","FA_ADJUSTED=Adjusted","Sort=A","Dates=H","DateFormat=P","Fill=—","Direction=H","UseDPDF=Y")</f>
        <v>9.2585999999999995</v>
      </c>
      <c r="I70" s="14" cm="1">
        <f t="array" ref="I70">_xll.BDH("DE US Equity","PROF_MARGIN","FQ3 2020","FQ3 2020","Currency=USD","Period=FQ","BEST_FPERIOD_OVERRIDE=FQ","FILING_STATUS=MR","FA_ADJUSTED=Adjusted","Sort=A","Dates=H","DateFormat=P","Fill=—","Direction=H","UseDPDF=Y")</f>
        <v>9.2019000000000002</v>
      </c>
      <c r="J70" s="14" cm="1">
        <f t="array" ref="J70">_xll.BDH("DE US Equity","PROF_MARGIN","FQ4 2020","FQ4 2020","Currency=USD","Period=FQ","BEST_FPERIOD_OVERRIDE=FQ","FILING_STATUS=MR","FA_ADJUSTED=Adjusted","Sort=A","Dates=H","DateFormat=P","Fill=—","Direction=H","UseDPDF=Y")</f>
        <v>10.5321</v>
      </c>
      <c r="K70" s="14" cm="1">
        <f t="array" ref="K70">_xll.BDH("DE US Equity","PROF_MARGIN","FQ1 2021","FQ1 2021","Currency=USD","Period=FQ","BEST_FPERIOD_OVERRIDE=FQ","FILING_STATUS=MR","FA_ADJUSTED=Adjusted","Sort=A","Dates=H","DateFormat=P","Fill=—","Direction=H","UseDPDF=Y")</f>
        <v>13.4511</v>
      </c>
      <c r="L70" s="14" cm="1">
        <f t="array" ref="L70">_xll.BDH("DE US Equity","PROF_MARGIN","FQ2 2021","FQ2 2021","Currency=USD","Period=FQ","BEST_FPERIOD_OVERRIDE=FQ","FILING_STATUS=MR","FA_ADJUSTED=Adjusted","Sort=A","Dates=H","DateFormat=P","Fill=—","Direction=H","UseDPDF=Y")</f>
        <v>14.844900000000001</v>
      </c>
      <c r="M70" s="14" cm="1">
        <f t="array" ref="M70">_xll.BDH("DE US Equity","PROF_MARGIN","FQ3 2021","FQ3 2021","Currency=USD","Period=FQ","BEST_FPERIOD_OVERRIDE=FQ","FILING_STATUS=MR","FA_ADJUSTED=Adjusted","Sort=A","Dates=H","DateFormat=P","Fill=—","Direction=H","UseDPDF=Y")</f>
        <v>14.2767</v>
      </c>
      <c r="N70" s="14" cm="1">
        <f t="array" ref="N70">_xll.BDH("DE US Equity","PROF_MARGIN","FQ4 2021","FQ4 2021","Currency=USD","Period=FQ","BEST_FPERIOD_OVERRIDE=FQ","FILING_STATUS=MR","FA_ADJUSTED=Adjusted","Sort=A","Dates=H","DateFormat=P","Fill=—","Direction=H","UseDPDF=Y")</f>
        <v>11.3269</v>
      </c>
      <c r="O70" s="14" cm="1">
        <f t="array" ref="O70">_xll.BDH("DE US Equity","PROF_MARGIN","FQ1 2022","FQ1 2022","Currency=USD","Period=FQ","BEST_FPERIOD_OVERRIDE=FQ","FILING_STATUS=MR","FA_ADJUSTED=Adjusted","Sort=A","Dates=H","DateFormat=P","Fill=—","Direction=H","UseDPDF=Y")</f>
        <v>10.1797</v>
      </c>
      <c r="P70" s="14" cm="1">
        <f t="array" ref="P70">_xll.BDH("DE US Equity","PROF_MARGIN","FQ2 2022","FQ2 2022","Currency=USD","Period=FQ","BEST_FPERIOD_OVERRIDE=FQ","FILING_STATUS=MR","FA_ADJUSTED=Adjusted","Sort=A","Dates=H","DateFormat=P","Fill=—","Direction=H","UseDPDF=Y")</f>
        <v>16.099599999999999</v>
      </c>
      <c r="Q70" s="14" cm="1">
        <f t="array" ref="Q70">_xll.BDH("DE US Equity","PROF_MARGIN","FQ3 2022","FQ3 2022","Currency=USD","Period=FQ","BEST_FPERIOD_OVERRIDE=FQ","FILING_STATUS=MR","FA_ADJUSTED=Adjusted","Sort=A","Dates=H","DateFormat=P","Fill=—","Direction=H","UseDPDF=Y")</f>
        <v>13.5839</v>
      </c>
      <c r="R70" s="14" cm="1">
        <f t="array" ref="R70">_xll.BDH("DE US Equity","PROF_MARGIN","FQ4 2022","FQ4 2022","Currency=USD","Period=FQ","BEST_FPERIOD_OVERRIDE=FQ","FILING_STATUS=MR","FA_ADJUSTED=Adjusted","Sort=A","Dates=H","DateFormat=P","Fill=—","Direction=H","UseDPDF=Y")</f>
        <v>13.2669</v>
      </c>
      <c r="S70" s="14" cm="1">
        <f t="array" ref="S70">_xll.BDH("DE US Equity","PROF_MARGIN","FQ1 2023","FQ1 2023","Currency=USD","Period=FQ","BEST_FPERIOD_OVERRIDE=FQ","FILING_STATUS=MR","FA_ADJUSTED=Adjusted","Sort=A","Dates=H","DateFormat=P","Fill=—","Direction=H","UseDPDF=Y")</f>
        <v>15.483700000000001</v>
      </c>
      <c r="T70" s="14" cm="1">
        <f t="array" ref="T70">_xll.BDH("DE US Equity","PROF_MARGIN","FQ2 2023","FQ2 2023","Currency=USD","Period=FQ","BEST_FPERIOD_OVERRIDE=FQ","FILING_STATUS=MR","FA_ADJUSTED=Adjusted","Sort=A","Dates=H","DateFormat=P","Fill=—","Direction=H","UseDPDF=Y")</f>
        <v>17.235099999999999</v>
      </c>
      <c r="U70" s="14" cm="1">
        <f t="array" ref="U70">_xll.BDH("DE US Equity","PROF_MARGIN","FQ3 2023","FQ3 2023","Currency=USD","Period=FQ","BEST_FPERIOD_OVERRIDE=FQ","FILING_STATUS=MR","FA_ADJUSTED=Adjusted","Sort=A","Dates=H","DateFormat=P","Fill=—","Direction=H","UseDPDF=Y")</f>
        <v>17.309000000000001</v>
      </c>
      <c r="V70" s="14" cm="1">
        <f t="array" ref="V70">_xll.BDH("DE US Equity","PROF_MARGIN","FQ4 2023","FQ4 2023","Currency=USD","Period=FQ","BEST_FPERIOD_OVERRIDE=FQ","FILING_STATUS=MR","FA_ADJUSTED=Adjusted","Sort=A","Dates=H","DateFormat=P","Fill=—","Direction=H","UseDPDF=Y")</f>
        <v>15.4634</v>
      </c>
      <c r="W70" s="14" cm="1">
        <f t="array" ref="W70">_xll.BDH("DE US Equity","PROF_MARGIN","FQ1 2024","FQ1 2024","Currency=USD","Period=FQ","BEST_FPERIOD_OVERRIDE=FQ","FILING_STATUS=MR","FA_ADJUSTED=Adjusted","Sort=A","Dates=H","DateFormat=P","Fill=—","Direction=H","UseDPDF=Y")</f>
        <v>14.370100000000001</v>
      </c>
      <c r="X70" s="14" cm="1">
        <f t="array" ref="X70">_xll.BDH("DE US Equity","PROF_MARGIN","FQ2 2024","FQ2 2024","Currency=USD","Period=FQ","BEST_FPERIOD_OVERRIDE=FQ","FILING_STATUS=MR","FA_ADJUSTED=Adjusted","Sort=A","Dates=H","DateFormat=P","Fill=—","Direction=H","UseDPDF=Y")</f>
        <v>15.5563</v>
      </c>
      <c r="Y70" s="14" cm="1">
        <f t="array" ref="Y70">_xll.BDH("DE US Equity","PROF_MARGIN","FQ3 2024","FQ3 2024","Currency=USD","Period=FQ","BEST_FPERIOD_OVERRIDE=FQ","FILING_STATUS=MR","FA_ADJUSTED=Adjusted","Sort=A","Dates=H","DateFormat=P","Fill=—","Direction=H","UseDPDF=Y")</f>
        <v>13.1843</v>
      </c>
      <c r="Z70" s="14" cm="1">
        <f t="array" ref="Z70">_xll.BDH("DE US Equity","PROF_MARGIN","FQ4 2024","FQ4 2024","Currency=USD","Period=FQ","BEST_FPERIOD_OVERRIDE=FQ","FILING_STATUS=MR","FA_ADJUSTED=Adjusted","Sort=A","Dates=H","DateFormat=P","Fill=—","Direction=H","UseDPDF=Y")</f>
        <v>11.6492</v>
      </c>
      <c r="AA70" s="14" cm="1">
        <f t="array" ref="AA70">_xll.BDH("DE US Equity","PROF_MARGIN","FQ1 2025","FQ1 2025","Currency=USD","Period=FQ","BEST_FPERIOD_OVERRIDE=FQ","FILING_STATUS=MR","FA_ADJUSTED=Adjusted","Sort=A","Dates=H","DateFormat=P","Fill=—","Direction=H","UseDPDF=Y")</f>
        <v>9.9168000000000003</v>
      </c>
      <c r="AB70" s="14" cm="1">
        <f t="array" ref="AB70">_xll.BDH("DE US Equity","PROF_MARGIN","FQ2 2025","FQ2 2025","Currency=USD","Period=FQ","BEST_FPERIOD_OVERRIDE=FQ","FILING_STATUS=MR","FA_ADJUSTED=Adjusted","Sort=A","Dates=H","DateFormat=P","Fill=—","Direction=H","UseDPDF=Y")</f>
        <v>14.134600000000001</v>
      </c>
      <c r="AC70" s="14" cm="1">
        <f t="array" ref="AC70">_xll.BDH("DE US Equity","PROF_MARGIN","FQ3 2025","FQ3 2025","Currency=USD","Period=FQ","BEST_FPERIOD_OVERRIDE=FQ","FILING_STATUS=MR","FA_ADJUSTED=Adjusted","Sort=A","Dates=H","DateFormat=P","Fill=—","Direction=H","UseDPDF=Y")</f>
        <v>11.1333</v>
      </c>
      <c r="AD70" s="14" cm="1">
        <f t="array" ref="AD70">_xll.BDH("DE US Equity","PROF_MARGIN","FQ4 2025","FQ4 2025","Currency=USD","Period=FQ","BEST_FPERIOD_OVERRIDE=FQ","FILING_STATUS=MR","FA_ADJUSTED=Adjusted","Sort=A","Dates=H","DateFormat=P","Fill=—","Direction=H","UseDPDF=Y")</f>
        <v>9.1980000000000004</v>
      </c>
      <c r="AE70" s="14">
        <v>7.2963735574681001</v>
      </c>
      <c r="AF70" s="14">
        <v>12.8750333006089</v>
      </c>
    </row>
    <row r="71" spans="1:32" x14ac:dyDescent="0.25">
      <c r="A71" s="10" t="s">
        <v>180</v>
      </c>
      <c r="B71" s="10" t="s">
        <v>181</v>
      </c>
      <c r="C71" s="14" t="str" cm="1">
        <f t="array" ref="C71">_xll.BDH("DE US Equity","ACTUAL_SALES_PER_EMPL","FQ1 2019","FQ1 2019","Currency=USD","Period=FQ","BEST_FPERIOD_OVERRIDE=FQ","FILING_STATUS=MR","FA_ADJUSTED=Adjusted","Sort=A","Dates=H","DateFormat=P","Fill=—","Direction=H","UseDPDF=Y")</f>
        <v>—</v>
      </c>
      <c r="D71" s="14" t="str" cm="1">
        <f t="array" ref="D71">_xll.BDH("DE US Equity","ACTUAL_SALES_PER_EMPL","FQ2 2019","FQ2 2019","Currency=USD","Period=FQ","BEST_FPERIOD_OVERRIDE=FQ","FILING_STATUS=MR","FA_ADJUSTED=Adjusted","Sort=A","Dates=H","DateFormat=P","Fill=—","Direction=H","UseDPDF=Y")</f>
        <v>—</v>
      </c>
      <c r="E71" s="14" t="str" cm="1">
        <f t="array" ref="E71">_xll.BDH("DE US Equity","ACTUAL_SALES_PER_EMPL","FQ3 2019","FQ3 2019","Currency=USD","Period=FQ","BEST_FPERIOD_OVERRIDE=FQ","FILING_STATUS=MR","FA_ADJUSTED=Adjusted","Sort=A","Dates=H","DateFormat=P","Fill=—","Direction=H","UseDPDF=Y")</f>
        <v>—</v>
      </c>
      <c r="F71" s="14" cm="1">
        <f t="array" ref="F71">_xll.BDH("DE US Equity","ACTUAL_SALES_PER_EMPL","FQ4 2019","FQ4 2019","Currency=USD","Period=FQ","BEST_FPERIOD_OVERRIDE=FQ","FILING_STATUS=MR","FA_ADJUSTED=Adjusted","Sort=A","Dates=H","DateFormat=P","Fill=—","Direction=H","UseDPDF=Y")</f>
        <v>134659.60889999999</v>
      </c>
      <c r="G71" s="14" t="str" cm="1">
        <f t="array" ref="G71">_xll.BDH("DE US Equity","ACTUAL_SALES_PER_EMPL","FQ1 2020","FQ1 2020","Currency=USD","Period=FQ","BEST_FPERIOD_OVERRIDE=FQ","FILING_STATUS=MR","FA_ADJUSTED=Adjusted","Sort=A","Dates=H","DateFormat=P","Fill=—","Direction=H","UseDPDF=Y")</f>
        <v>—</v>
      </c>
      <c r="H71" s="14" t="str" cm="1">
        <f t="array" ref="H71">_xll.BDH("DE US Equity","ACTUAL_SALES_PER_EMPL","FQ2 2020","FQ2 2020","Currency=USD","Period=FQ","BEST_FPERIOD_OVERRIDE=FQ","FILING_STATUS=MR","FA_ADJUSTED=Adjusted","Sort=A","Dates=H","DateFormat=P","Fill=—","Direction=H","UseDPDF=Y")</f>
        <v>—</v>
      </c>
      <c r="I71" s="14" t="str" cm="1">
        <f t="array" ref="I71">_xll.BDH("DE US Equity","ACTUAL_SALES_PER_EMPL","FQ3 2020","FQ3 2020","Currency=USD","Period=FQ","BEST_FPERIOD_OVERRIDE=FQ","FILING_STATUS=MR","FA_ADJUSTED=Adjusted","Sort=A","Dates=H","DateFormat=P","Fill=—","Direction=H","UseDPDF=Y")</f>
        <v>—</v>
      </c>
      <c r="J71" s="14" cm="1">
        <f t="array" ref="J71">_xll.BDH("DE US Equity","ACTUAL_SALES_PER_EMPL","FQ4 2020","FQ4 2020","Currency=USD","Period=FQ","BEST_FPERIOD_OVERRIDE=FQ","FILING_STATUS=MR","FA_ADJUSTED=Adjusted","Sort=A","Dates=H","DateFormat=P","Fill=—","Direction=H","UseDPDF=Y")</f>
        <v>139744.9522</v>
      </c>
      <c r="K71" s="14" t="str" cm="1">
        <f t="array" ref="K71">_xll.BDH("DE US Equity","ACTUAL_SALES_PER_EMPL","FQ1 2021","FQ1 2021","Currency=USD","Period=FQ","BEST_FPERIOD_OVERRIDE=FQ","FILING_STATUS=MR","FA_ADJUSTED=Adjusted","Sort=A","Dates=H","DateFormat=P","Fill=—","Direction=H","UseDPDF=Y")</f>
        <v>—</v>
      </c>
      <c r="L71" s="14" t="str" cm="1">
        <f t="array" ref="L71">_xll.BDH("DE US Equity","ACTUAL_SALES_PER_EMPL","FQ2 2021","FQ2 2021","Currency=USD","Period=FQ","BEST_FPERIOD_OVERRIDE=FQ","FILING_STATUS=MR","FA_ADJUSTED=Adjusted","Sort=A","Dates=H","DateFormat=P","Fill=—","Direction=H","UseDPDF=Y")</f>
        <v>—</v>
      </c>
      <c r="M71" s="14" t="str" cm="1">
        <f t="array" ref="M71">_xll.BDH("DE US Equity","ACTUAL_SALES_PER_EMPL","FQ3 2021","FQ3 2021","Currency=USD","Period=FQ","BEST_FPERIOD_OVERRIDE=FQ","FILING_STATUS=MR","FA_ADJUSTED=Adjusted","Sort=A","Dates=H","DateFormat=P","Fill=—","Direction=H","UseDPDF=Y")</f>
        <v>—</v>
      </c>
      <c r="N71" s="14" cm="1">
        <f t="array" ref="N71">_xll.BDH("DE US Equity","ACTUAL_SALES_PER_EMPL","FQ4 2021","FQ4 2021","Currency=USD","Period=FQ","BEST_FPERIOD_OVERRIDE=FQ","FILING_STATUS=MR","FA_ADJUSTED=Adjusted","Sort=A","Dates=H","DateFormat=P","Fill=—","Direction=H","UseDPDF=Y")</f>
        <v>149927.20050000001</v>
      </c>
      <c r="O71" s="14" t="str" cm="1">
        <f t="array" ref="O71">_xll.BDH("DE US Equity","ACTUAL_SALES_PER_EMPL","FQ1 2022","FQ1 2022","Currency=USD","Period=FQ","BEST_FPERIOD_OVERRIDE=FQ","FILING_STATUS=MR","FA_ADJUSTED=Adjusted","Sort=A","Dates=H","DateFormat=P","Fill=—","Direction=H","UseDPDF=Y")</f>
        <v>—</v>
      </c>
      <c r="P71" s="14" t="str" cm="1">
        <f t="array" ref="P71">_xll.BDH("DE US Equity","ACTUAL_SALES_PER_EMPL","FQ2 2022","FQ2 2022","Currency=USD","Period=FQ","BEST_FPERIOD_OVERRIDE=FQ","FILING_STATUS=MR","FA_ADJUSTED=Adjusted","Sort=A","Dates=H","DateFormat=P","Fill=—","Direction=H","UseDPDF=Y")</f>
        <v>—</v>
      </c>
      <c r="Q71" s="14" t="str" cm="1">
        <f t="array" ref="Q71">_xll.BDH("DE US Equity","ACTUAL_SALES_PER_EMPL","FQ3 2022","FQ3 2022","Currency=USD","Period=FQ","BEST_FPERIOD_OVERRIDE=FQ","FILING_STATUS=MR","FA_ADJUSTED=Adjusted","Sort=A","Dates=H","DateFormat=P","Fill=—","Direction=H","UseDPDF=Y")</f>
        <v>—</v>
      </c>
      <c r="R71" s="14" cm="1">
        <f t="array" ref="R71">_xll.BDH("DE US Equity","ACTUAL_SALES_PER_EMPL","FQ4 2022","FQ4 2022","Currency=USD","Period=FQ","BEST_FPERIOD_OVERRIDE=FQ","FILING_STATUS=MR","FA_ADJUSTED=Adjusted","Sort=A","Dates=H","DateFormat=P","Fill=—","Direction=H","UseDPDF=Y")</f>
        <v>188912.80290000001</v>
      </c>
      <c r="S71" s="14" t="str" cm="1">
        <f t="array" ref="S71">_xll.BDH("DE US Equity","ACTUAL_SALES_PER_EMPL","FQ1 2023","FQ1 2023","Currency=USD","Period=FQ","BEST_FPERIOD_OVERRIDE=FQ","FILING_STATUS=MR","FA_ADJUSTED=Adjusted","Sort=A","Dates=H","DateFormat=P","Fill=—","Direction=H","UseDPDF=Y")</f>
        <v>—</v>
      </c>
      <c r="T71" s="14" t="str" cm="1">
        <f t="array" ref="T71">_xll.BDH("DE US Equity","ACTUAL_SALES_PER_EMPL","FQ2 2023","FQ2 2023","Currency=USD","Period=FQ","BEST_FPERIOD_OVERRIDE=FQ","FILING_STATUS=MR","FA_ADJUSTED=Adjusted","Sort=A","Dates=H","DateFormat=P","Fill=—","Direction=H","UseDPDF=Y")</f>
        <v>—</v>
      </c>
      <c r="U71" s="14" t="str" cm="1">
        <f t="array" ref="U71">_xll.BDH("DE US Equity","ACTUAL_SALES_PER_EMPL","FQ3 2023","FQ3 2023","Currency=USD","Period=FQ","BEST_FPERIOD_OVERRIDE=FQ","FILING_STATUS=MR","FA_ADJUSTED=Adjusted","Sort=A","Dates=H","DateFormat=P","Fill=—","Direction=H","UseDPDF=Y")</f>
        <v>—</v>
      </c>
      <c r="V71" s="14" cm="1">
        <f t="array" ref="V71">_xll.BDH("DE US Equity","ACTUAL_SALES_PER_EMPL","FQ4 2023","FQ4 2023","Currency=USD","Period=FQ","BEST_FPERIOD_OVERRIDE=FQ","FILING_STATUS=MR","FA_ADJUSTED=Adjusted","Sort=A","Dates=H","DateFormat=P","Fill=—","Direction=H","UseDPDF=Y")</f>
        <v>185785.23550000001</v>
      </c>
      <c r="W71" s="14" t="str" cm="1">
        <f t="array" ref="W71">_xll.BDH("DE US Equity","ACTUAL_SALES_PER_EMPL","FQ1 2024","FQ1 2024","Currency=USD","Period=FQ","BEST_FPERIOD_OVERRIDE=FQ","FILING_STATUS=MR","FA_ADJUSTED=Adjusted","Sort=A","Dates=H","DateFormat=P","Fill=—","Direction=H","UseDPDF=Y")</f>
        <v>—</v>
      </c>
      <c r="X71" s="14" t="str" cm="1">
        <f t="array" ref="X71">_xll.BDH("DE US Equity","ACTUAL_SALES_PER_EMPL","FQ2 2024","FQ2 2024","Currency=USD","Period=FQ","BEST_FPERIOD_OVERRIDE=FQ","FILING_STATUS=MR","FA_ADJUSTED=Adjusted","Sort=A","Dates=H","DateFormat=P","Fill=—","Direction=H","UseDPDF=Y")</f>
        <v>—</v>
      </c>
      <c r="Y71" s="14" t="str" cm="1">
        <f t="array" ref="Y71">_xll.BDH("DE US Equity","ACTUAL_SALES_PER_EMPL","FQ3 2024","FQ3 2024","Currency=USD","Period=FQ","BEST_FPERIOD_OVERRIDE=FQ","FILING_STATUS=MR","FA_ADJUSTED=Adjusted","Sort=A","Dates=H","DateFormat=P","Fill=—","Direction=H","UseDPDF=Y")</f>
        <v>—</v>
      </c>
      <c r="Z71" s="14" t="str" cm="1">
        <f t="array" ref="Z71">_xll.BDH("DE US Equity","ACTUAL_SALES_PER_EMPL","FQ4 2024","FQ4 2024","Currency=USD","Period=FQ","BEST_FPERIOD_OVERRIDE=FQ","FILING_STATUS=MR","FA_ADJUSTED=Adjusted","Sort=A","Dates=H","DateFormat=P","Fill=—","Direction=H","UseDPDF=Y")</f>
        <v>—</v>
      </c>
      <c r="AA71" s="14" t="str" cm="1">
        <f t="array" ref="AA71">_xll.BDH("DE US Equity","ACTUAL_SALES_PER_EMPL","FQ1 2025","FQ1 2025","Currency=USD","Period=FQ","BEST_FPERIOD_OVERRIDE=FQ","FILING_STATUS=MR","FA_ADJUSTED=Adjusted","Sort=A","Dates=H","DateFormat=P","Fill=—","Direction=H","UseDPDF=Y")</f>
        <v>—</v>
      </c>
      <c r="AB71" s="14" t="str" cm="1">
        <f t="array" ref="AB71">_xll.BDH("DE US Equity","ACTUAL_SALES_PER_EMPL","FQ2 2025","FQ2 2025","Currency=USD","Period=FQ","BEST_FPERIOD_OVERRIDE=FQ","FILING_STATUS=MR","FA_ADJUSTED=Adjusted","Sort=A","Dates=H","DateFormat=P","Fill=—","Direction=H","UseDPDF=Y")</f>
        <v>—</v>
      </c>
      <c r="AC71" s="14" t="str" cm="1">
        <f t="array" ref="AC71">_xll.BDH("DE US Equity","ACTUAL_SALES_PER_EMPL","FQ3 2025","FQ3 2025","Currency=USD","Period=FQ","BEST_FPERIOD_OVERRIDE=FQ","FILING_STATUS=MR","FA_ADJUSTED=Adjusted","Sort=A","Dates=H","DateFormat=P","Fill=—","Direction=H","UseDPDF=Y")</f>
        <v>—</v>
      </c>
      <c r="AD71" s="14" t="str" cm="1">
        <f t="array" ref="AD71">_xll.BDH("DE US Equity","ACTUAL_SALES_PER_EMPL","FQ4 2025","FQ4 2025","Currency=USD","Period=FQ","BEST_FPERIOD_OVERRIDE=FQ","FILING_STATUS=MR","FA_ADJUSTED=Adjusted","Sort=A","Dates=H","DateFormat=P","Fill=—","Direction=H","UseDPDF=Y")</f>
        <v>—</v>
      </c>
      <c r="AE71" s="14"/>
      <c r="AF71" s="14"/>
    </row>
    <row r="72" spans="1:32" x14ac:dyDescent="0.25">
      <c r="A72" s="10" t="s">
        <v>182</v>
      </c>
      <c r="B72" s="10" t="s">
        <v>183</v>
      </c>
      <c r="C72" s="14" cm="1">
        <f t="array" ref="C72">_xll.BDH("DE US Equity","EQY_DPS","FQ1 2019","FQ1 2019","Currency=USD","Period=FQ","BEST_FPERIOD_OVERRIDE=FQ","FILING_STATUS=MR","Sort=A","Dates=H","DateFormat=P","Fill=—","Direction=H","UseDPDF=Y")</f>
        <v>0.76</v>
      </c>
      <c r="D72" s="14" cm="1">
        <f t="array" ref="D72">_xll.BDH("DE US Equity","EQY_DPS","FQ2 2019","FQ2 2019","Currency=USD","Period=FQ","BEST_FPERIOD_OVERRIDE=FQ","FILING_STATUS=MR","Sort=A","Dates=H","DateFormat=P","Fill=—","Direction=H","UseDPDF=Y")</f>
        <v>0.76</v>
      </c>
      <c r="E72" s="14" cm="1">
        <f t="array" ref="E72">_xll.BDH("DE US Equity","EQY_DPS","FQ3 2019","FQ3 2019","Currency=USD","Period=FQ","BEST_FPERIOD_OVERRIDE=FQ","FILING_STATUS=MR","Sort=A","Dates=H","DateFormat=P","Fill=—","Direction=H","UseDPDF=Y")</f>
        <v>0.76</v>
      </c>
      <c r="F72" s="14" cm="1">
        <f t="array" ref="F72">_xll.BDH("DE US Equity","EQY_DPS","FQ4 2019","FQ4 2019","Currency=USD","Period=FQ","BEST_FPERIOD_OVERRIDE=FQ","FILING_STATUS=MR","Sort=A","Dates=H","DateFormat=P","Fill=—","Direction=H","UseDPDF=Y")</f>
        <v>0.76</v>
      </c>
      <c r="G72" s="14" cm="1">
        <f t="array" ref="G72">_xll.BDH("DE US Equity","EQY_DPS","FQ1 2020","FQ1 2020","Currency=USD","Period=FQ","BEST_FPERIOD_OVERRIDE=FQ","FILING_STATUS=MR","Sort=A","Dates=H","DateFormat=P","Fill=—","Direction=H","UseDPDF=Y")</f>
        <v>0.76</v>
      </c>
      <c r="H72" s="14" cm="1">
        <f t="array" ref="H72">_xll.BDH("DE US Equity","EQY_DPS","FQ2 2020","FQ2 2020","Currency=USD","Period=FQ","BEST_FPERIOD_OVERRIDE=FQ","FILING_STATUS=MR","Sort=A","Dates=H","DateFormat=P","Fill=—","Direction=H","UseDPDF=Y")</f>
        <v>0.76</v>
      </c>
      <c r="I72" s="14" cm="1">
        <f t="array" ref="I72">_xll.BDH("DE US Equity","EQY_DPS","FQ3 2020","FQ3 2020","Currency=USD","Period=FQ","BEST_FPERIOD_OVERRIDE=FQ","FILING_STATUS=MR","Sort=A","Dates=H","DateFormat=P","Fill=—","Direction=H","UseDPDF=Y")</f>
        <v>0.76</v>
      </c>
      <c r="J72" s="14" cm="1">
        <f t="array" ref="J72">_xll.BDH("DE US Equity","EQY_DPS","FQ4 2020","FQ4 2020","Currency=USD","Period=FQ","BEST_FPERIOD_OVERRIDE=FQ","FILING_STATUS=MR","Sort=A","Dates=H","DateFormat=P","Fill=—","Direction=H","UseDPDF=Y")</f>
        <v>0.76</v>
      </c>
      <c r="K72" s="14" cm="1">
        <f t="array" ref="K72">_xll.BDH("DE US Equity","EQY_DPS","FQ1 2021","FQ1 2021","Currency=USD","Period=FQ","BEST_FPERIOD_OVERRIDE=FQ","FILING_STATUS=MR","Sort=A","Dates=H","DateFormat=P","Fill=—","Direction=H","UseDPDF=Y")</f>
        <v>0.76</v>
      </c>
      <c r="L72" s="14" cm="1">
        <f t="array" ref="L72">_xll.BDH("DE US Equity","EQY_DPS","FQ2 2021","FQ2 2021","Currency=USD","Period=FQ","BEST_FPERIOD_OVERRIDE=FQ","FILING_STATUS=MR","Sort=A","Dates=H","DateFormat=P","Fill=—","Direction=H","UseDPDF=Y")</f>
        <v>0.9</v>
      </c>
      <c r="M72" s="14" cm="1">
        <f t="array" ref="M72">_xll.BDH("DE US Equity","EQY_DPS","FQ3 2021","FQ3 2021","Currency=USD","Period=FQ","BEST_FPERIOD_OVERRIDE=FQ","FILING_STATUS=MR","Sort=A","Dates=H","DateFormat=P","Fill=—","Direction=H","UseDPDF=Y")</f>
        <v>0.9</v>
      </c>
      <c r="N72" s="14" cm="1">
        <f t="array" ref="N72">_xll.BDH("DE US Equity","EQY_DPS","FQ4 2021","FQ4 2021","Currency=USD","Period=FQ","BEST_FPERIOD_OVERRIDE=FQ","FILING_STATUS=MR","Sort=A","Dates=H","DateFormat=P","Fill=—","Direction=H","UseDPDF=Y")</f>
        <v>1.05</v>
      </c>
      <c r="O72" s="14" cm="1">
        <f t="array" ref="O72">_xll.BDH("DE US Equity","EQY_DPS","FQ1 2022","FQ1 2022","Currency=USD","Period=FQ","BEST_FPERIOD_OVERRIDE=FQ","FILING_STATUS=MR","Sort=A","Dates=H","DateFormat=P","Fill=—","Direction=H","UseDPDF=Y")</f>
        <v>1.05</v>
      </c>
      <c r="P72" s="14" cm="1">
        <f t="array" ref="P72">_xll.BDH("DE US Equity","EQY_DPS","FQ2 2022","FQ2 2022","Currency=USD","Period=FQ","BEST_FPERIOD_OVERRIDE=FQ","FILING_STATUS=MR","Sort=A","Dates=H","DateFormat=P","Fill=—","Direction=H","UseDPDF=Y")</f>
        <v>1.05</v>
      </c>
      <c r="Q72" s="14" cm="1">
        <f t="array" ref="Q72">_xll.BDH("DE US Equity","EQY_DPS","FQ3 2022","FQ3 2022","Currency=USD","Period=FQ","BEST_FPERIOD_OVERRIDE=FQ","FILING_STATUS=MR","Sort=A","Dates=H","DateFormat=P","Fill=—","Direction=H","UseDPDF=Y")</f>
        <v>1.1299999999999999</v>
      </c>
      <c r="R72" s="14" cm="1">
        <f t="array" ref="R72">_xll.BDH("DE US Equity","EQY_DPS","FQ4 2022","FQ4 2022","Currency=USD","Period=FQ","BEST_FPERIOD_OVERRIDE=FQ","FILING_STATUS=MR","Sort=A","Dates=H","DateFormat=P","Fill=—","Direction=H","UseDPDF=Y")</f>
        <v>1.21</v>
      </c>
      <c r="S72" s="14" cm="1">
        <f t="array" ref="S72">_xll.BDH("DE US Equity","EQY_DPS","FQ1 2023","FQ1 2023","Currency=USD","Period=FQ","BEST_FPERIOD_OVERRIDE=FQ","FILING_STATUS=MR","Sort=A","Dates=H","DateFormat=P","Fill=—","Direction=H","UseDPDF=Y")</f>
        <v>1.2</v>
      </c>
      <c r="T72" s="14" cm="1">
        <f t="array" ref="T72">_xll.BDH("DE US Equity","EQY_DPS","FQ2 2023","FQ2 2023","Currency=USD","Period=FQ","BEST_FPERIOD_OVERRIDE=FQ","FILING_STATUS=MR","Sort=A","Dates=H","DateFormat=P","Fill=—","Direction=H","UseDPDF=Y")</f>
        <v>1.25</v>
      </c>
      <c r="U72" s="14" cm="1">
        <f t="array" ref="U72">_xll.BDH("DE US Equity","EQY_DPS","FQ3 2023","FQ3 2023","Currency=USD","Period=FQ","BEST_FPERIOD_OVERRIDE=FQ","FILING_STATUS=MR","Sort=A","Dates=H","DateFormat=P","Fill=—","Direction=H","UseDPDF=Y")</f>
        <v>1.25</v>
      </c>
      <c r="V72" s="14" cm="1">
        <f t="array" ref="V72">_xll.BDH("DE US Equity","EQY_DPS","FQ4 2023","FQ4 2023","Currency=USD","Period=FQ","BEST_FPERIOD_OVERRIDE=FQ","FILING_STATUS=MR","Sort=A","Dates=H","DateFormat=P","Fill=—","Direction=H","UseDPDF=Y")</f>
        <v>1.35</v>
      </c>
      <c r="W72" s="14" cm="1">
        <f t="array" ref="W72">_xll.BDH("DE US Equity","EQY_DPS","FQ1 2024","FQ1 2024","Currency=USD","Period=FQ","BEST_FPERIOD_OVERRIDE=FQ","FILING_STATUS=MR","Sort=A","Dates=H","DateFormat=P","Fill=—","Direction=H","UseDPDF=Y")</f>
        <v>1.47</v>
      </c>
      <c r="X72" s="14" cm="1">
        <f t="array" ref="X72">_xll.BDH("DE US Equity","EQY_DPS","FQ2 2024","FQ2 2024","Currency=USD","Period=FQ","BEST_FPERIOD_OVERRIDE=FQ","FILING_STATUS=MR","Sort=A","Dates=H","DateFormat=P","Fill=—","Direction=H","UseDPDF=Y")</f>
        <v>1.47</v>
      </c>
      <c r="Y72" s="14" cm="1">
        <f t="array" ref="Y72">_xll.BDH("DE US Equity","EQY_DPS","FQ3 2024","FQ3 2024","Currency=USD","Period=FQ","BEST_FPERIOD_OVERRIDE=FQ","FILING_STATUS=MR","Sort=A","Dates=H","DateFormat=P","Fill=—","Direction=H","UseDPDF=Y")</f>
        <v>1.47</v>
      </c>
      <c r="Z72" s="14" cm="1">
        <f t="array" ref="Z72">_xll.BDH("DE US Equity","EQY_DPS","FQ4 2024","FQ4 2024","Currency=USD","Period=FQ","BEST_FPERIOD_OVERRIDE=FQ","FILING_STATUS=MR","Sort=A","Dates=H","DateFormat=P","Fill=—","Direction=H","UseDPDF=Y")</f>
        <v>1.47</v>
      </c>
      <c r="AA72" s="14" cm="1">
        <f t="array" ref="AA72">_xll.BDH("DE US Equity","EQY_DPS","FQ1 2025","FQ1 2025","Currency=USD","Period=FQ","BEST_FPERIOD_OVERRIDE=FQ","FILING_STATUS=MR","Sort=A","Dates=H","DateFormat=P","Fill=—","Direction=H","UseDPDF=Y")</f>
        <v>1.62</v>
      </c>
      <c r="AB72" s="14" cm="1">
        <f t="array" ref="AB72">_xll.BDH("DE US Equity","EQY_DPS","FQ2 2025","FQ2 2025","Currency=USD","Period=FQ","BEST_FPERIOD_OVERRIDE=FQ","FILING_STATUS=MR","Sort=A","Dates=H","DateFormat=P","Fill=—","Direction=H","UseDPDF=Y")</f>
        <v>1.62</v>
      </c>
      <c r="AC72" s="14" cm="1">
        <f t="array" ref="AC72">_xll.BDH("DE US Equity","EQY_DPS","FQ3 2025","FQ3 2025","Currency=USD","Period=FQ","BEST_FPERIOD_OVERRIDE=FQ","FILING_STATUS=MR","Sort=A","Dates=H","DateFormat=P","Fill=—","Direction=H","UseDPDF=Y")</f>
        <v>1.62</v>
      </c>
      <c r="AD72" s="14" cm="1">
        <f t="array" ref="AD72">_xll.BDH("DE US Equity","EQY_DPS","FQ4 2025","FQ4 2025","Currency=USD","Period=FQ","BEST_FPERIOD_OVERRIDE=FQ","FILING_STATUS=MR","Sort=A","Dates=H","DateFormat=P","Fill=—","Direction=H","UseDPDF=Y")</f>
        <v>1.62</v>
      </c>
      <c r="AE72" s="14">
        <v>1.611</v>
      </c>
      <c r="AF72" s="14">
        <v>1.6719999999999999</v>
      </c>
    </row>
    <row r="73" spans="1:32" x14ac:dyDescent="0.25">
      <c r="A73" s="10" t="s">
        <v>184</v>
      </c>
      <c r="B73" s="10" t="s">
        <v>185</v>
      </c>
      <c r="C73" s="13" cm="1">
        <f t="array" ref="C73">_xll.BDH("DE US Equity","IS_TOT_CASH_COM_DVD","FQ1 2019","FQ1 2019","Currency=USD","Period=FQ","BEST_FPERIOD_OVERRIDE=FQ","FILING_STATUS=MR","SCALING_FORMAT=MLN","Sort=A","Dates=H","DateFormat=P","Fill=—","Direction=H","UseDPDF=Y")</f>
        <v>243</v>
      </c>
      <c r="D73" s="13" cm="1">
        <f t="array" ref="D73">_xll.BDH("DE US Equity","IS_TOT_CASH_COM_DVD","FQ2 2019","FQ2 2019","Currency=USD","Period=FQ","BEST_FPERIOD_OVERRIDE=FQ","FILING_STATUS=MR","SCALING_FORMAT=MLN","Sort=A","Dates=H","DateFormat=P","Fill=—","Direction=H","UseDPDF=Y")</f>
        <v>243.4</v>
      </c>
      <c r="E73" s="13" cm="1">
        <f t="array" ref="E73">_xll.BDH("DE US Equity","IS_TOT_CASH_COM_DVD","FQ3 2019","FQ3 2019","Currency=USD","Period=FQ","BEST_FPERIOD_OVERRIDE=FQ","FILING_STATUS=MR","SCALING_FORMAT=MLN","Sort=A","Dates=H","DateFormat=P","Fill=—","Direction=H","UseDPDF=Y")</f>
        <v>241</v>
      </c>
      <c r="F73" s="13" cm="1">
        <f t="array" ref="F73">_xll.BDH("DE US Equity","IS_TOT_CASH_COM_DVD","FQ4 2019","FQ4 2019","Currency=USD","Period=FQ","BEST_FPERIOD_OVERRIDE=FQ","FILING_STATUS=MR","SCALING_FORMAT=MLN","Sort=A","Dates=H","DateFormat=P","Fill=—","Direction=H","UseDPDF=Y")</f>
        <v>238.56399999999999</v>
      </c>
      <c r="G73" s="13" cm="1">
        <f t="array" ref="G73">_xll.BDH("DE US Equity","IS_TOT_CASH_COM_DVD","FQ1 2020","FQ1 2020","Currency=USD","Period=FQ","BEST_FPERIOD_OVERRIDE=FQ","FILING_STATUS=MR","SCALING_FORMAT=MLN","Sort=A","Dates=H","DateFormat=P","Fill=—","Direction=H","UseDPDF=Y")</f>
        <v>239</v>
      </c>
      <c r="H73" s="13" cm="1">
        <f t="array" ref="H73">_xll.BDH("DE US Equity","IS_TOT_CASH_COM_DVD","FQ2 2020","FQ2 2020","Currency=USD","Period=FQ","BEST_FPERIOD_OVERRIDE=FQ","FILING_STATUS=MR","SCALING_FORMAT=MLN","Sort=A","Dates=H","DateFormat=P","Fill=—","Direction=H","UseDPDF=Y")</f>
        <v>238</v>
      </c>
      <c r="I73" s="13" cm="1">
        <f t="array" ref="I73">_xll.BDH("DE US Equity","IS_TOT_CASH_COM_DVD","FQ3 2020","FQ3 2020","Currency=USD","Period=FQ","BEST_FPERIOD_OVERRIDE=FQ","FILING_STATUS=MR","SCALING_FORMAT=MLN","Sort=A","Dates=H","DateFormat=P","Fill=—","Direction=H","UseDPDF=Y")</f>
        <v>239</v>
      </c>
      <c r="J73" s="13" cm="1">
        <f t="array" ref="J73">_xll.BDH("DE US Equity","IS_TOT_CASH_COM_DVD","FQ4 2020","FQ4 2020","Currency=USD","Period=FQ","BEST_FPERIOD_OVERRIDE=FQ","FILING_STATUS=MR","SCALING_FORMAT=MLN","Sort=A","Dates=H","DateFormat=P","Fill=—","Direction=H","UseDPDF=Y")</f>
        <v>238.71600000000001</v>
      </c>
      <c r="K73" s="13" cm="1">
        <f t="array" ref="K73">_xll.BDH("DE US Equity","IS_TOT_CASH_COM_DVD","FQ1 2021","FQ1 2021","Currency=USD","Period=FQ","BEST_FPERIOD_OVERRIDE=FQ","FILING_STATUS=MR","SCALING_FORMAT=MLN","Sort=A","Dates=H","DateFormat=P","Fill=—","Direction=H","UseDPDF=Y")</f>
        <v>239</v>
      </c>
      <c r="L73" s="13" cm="1">
        <f t="array" ref="L73">_xll.BDH("DE US Equity","IS_TOT_CASH_COM_DVD","FQ2 2021","FQ2 2021","Currency=USD","Period=FQ","BEST_FPERIOD_OVERRIDE=FQ","FILING_STATUS=MR","SCALING_FORMAT=MLN","Sort=A","Dates=H","DateFormat=P","Fill=—","Direction=H","UseDPDF=Y")</f>
        <v>281.52</v>
      </c>
      <c r="M73" s="13" cm="1">
        <f t="array" ref="M73">_xll.BDH("DE US Equity","IS_TOT_CASH_COM_DVD","FQ3 2021","FQ3 2021","Currency=USD","Period=FQ","BEST_FPERIOD_OVERRIDE=FQ","FILING_STATUS=MR","SCALING_FORMAT=MLN","Sort=A","Dates=H","DateFormat=P","Fill=—","Direction=H","UseDPDF=Y")</f>
        <v>280</v>
      </c>
      <c r="N73" s="13" cm="1">
        <f t="array" ref="N73">_xll.BDH("DE US Equity","IS_TOT_CASH_COM_DVD","FQ4 2021","FQ4 2021","Currency=USD","Period=FQ","BEST_FPERIOD_OVERRIDE=FQ","FILING_STATUS=MR","SCALING_FORMAT=MLN","Sort=A","Dates=H","DateFormat=P","Fill=—","Direction=H","UseDPDF=Y")</f>
        <v>324.87599999999998</v>
      </c>
      <c r="O73" s="13" cm="1">
        <f t="array" ref="O73">_xll.BDH("DE US Equity","IS_TOT_CASH_COM_DVD","FQ1 2022","FQ1 2022","Currency=USD","Period=FQ","BEST_FPERIOD_OVERRIDE=FQ","FILING_STATUS=MR","SCALING_FORMAT=MLN","Sort=A","Dates=H","DateFormat=P","Fill=—","Direction=H","UseDPDF=Y")</f>
        <v>323</v>
      </c>
      <c r="P73" s="13" cm="1">
        <f t="array" ref="P73">_xll.BDH("DE US Equity","IS_TOT_CASH_COM_DVD","FQ2 2022","FQ2 2022","Currency=USD","Period=FQ","BEST_FPERIOD_OVERRIDE=FQ","FILING_STATUS=MR","SCALING_FORMAT=MLN","Sort=A","Dates=H","DateFormat=P","Fill=—","Direction=H","UseDPDF=Y")</f>
        <v>321.51</v>
      </c>
      <c r="Q73" s="13" cm="1">
        <f t="array" ref="Q73">_xll.BDH("DE US Equity","IS_TOT_CASH_COM_DVD","FQ3 2022","FQ3 2022","Currency=USD","Period=FQ","BEST_FPERIOD_OVERRIDE=FQ","FILING_STATUS=MR","SCALING_FORMAT=MLN","Sort=A","Dates=H","DateFormat=P","Fill=—","Direction=H","UseDPDF=Y")</f>
        <v>343.63299999999998</v>
      </c>
      <c r="R73" s="13" cm="1">
        <f t="array" ref="R73">_xll.BDH("DE US Equity","IS_TOT_CASH_COM_DVD","FQ4 2022","FQ4 2022","Currency=USD","Period=FQ","BEST_FPERIOD_OVERRIDE=FQ","FILING_STATUS=MR","SCALING_FORMAT=MLN","Sort=A","Dates=H","DateFormat=P","Fill=—","Direction=H","UseDPDF=Y")</f>
        <v>364.35</v>
      </c>
      <c r="S73" s="13" cm="1">
        <f t="array" ref="S73">_xll.BDH("DE US Equity","IS_TOT_CASH_COM_DVD","FQ1 2023","FQ1 2023","Currency=USD","Period=FQ","BEST_FPERIOD_OVERRIDE=FQ","FILING_STATUS=MR","SCALING_FORMAT=MLN","Sort=A","Dates=H","DateFormat=P","Fill=—","Direction=H","UseDPDF=Y")</f>
        <v>356</v>
      </c>
      <c r="T73" s="13" cm="1">
        <f t="array" ref="T73">_xll.BDH("DE US Equity","IS_TOT_CASH_COM_DVD","FQ2 2023","FQ2 2023","Currency=USD","Period=FQ","BEST_FPERIOD_OVERRIDE=FQ","FILING_STATUS=MR","SCALING_FORMAT=MLN","Sort=A","Dates=H","DateFormat=P","Fill=—","Direction=H","UseDPDF=Y")</f>
        <v>368.875</v>
      </c>
      <c r="U73" s="13" cm="1">
        <f t="array" ref="U73">_xll.BDH("DE US Equity","IS_TOT_CASH_COM_DVD","FQ3 2023","FQ3 2023","Currency=USD","Period=FQ","BEST_FPERIOD_OVERRIDE=FQ","FILING_STATUS=MR","SCALING_FORMAT=MLN","Sort=A","Dates=H","DateFormat=P","Fill=—","Direction=H","UseDPDF=Y")</f>
        <v>363.5</v>
      </c>
      <c r="V73" s="13" cm="1">
        <f t="array" ref="V73">_xll.BDH("DE US Equity","IS_TOT_CASH_COM_DVD","FQ4 2023","FQ4 2023","Currency=USD","Period=FQ","BEST_FPERIOD_OVERRIDE=FQ","FILING_STATUS=MR","SCALING_FORMAT=MLN","Sort=A","Dates=H","DateFormat=P","Fill=—","Direction=H","UseDPDF=Y")</f>
        <v>385.42500000000001</v>
      </c>
      <c r="W73" s="13" cm="1">
        <f t="array" ref="W73">_xll.BDH("DE US Equity","IS_TOT_CASH_COM_DVD","FQ1 2024","FQ1 2024","Currency=USD","Period=FQ","BEST_FPERIOD_OVERRIDE=FQ","FILING_STATUS=MR","SCALING_FORMAT=MLN","Sort=A","Dates=H","DateFormat=P","Fill=—","Direction=H","UseDPDF=Y")</f>
        <v>411</v>
      </c>
      <c r="X73" s="13" cm="1">
        <f t="array" ref="X73">_xll.BDH("DE US Equity","IS_TOT_CASH_COM_DVD","FQ2 2024","FQ2 2024","Currency=USD","Period=FQ","BEST_FPERIOD_OVERRIDE=FQ","FILING_STATUS=MR","SCALING_FORMAT=MLN","Sort=A","Dates=H","DateFormat=P","Fill=—","Direction=H","UseDPDF=Y")</f>
        <v>406.89600000000002</v>
      </c>
      <c r="Y73" s="13" cm="1">
        <f t="array" ref="Y73">_xll.BDH("DE US Equity","IS_TOT_CASH_COM_DVD","FQ3 2024","FQ3 2024","Currency=USD","Period=FQ","BEST_FPERIOD_OVERRIDE=FQ","FILING_STATUS=MR","SCALING_FORMAT=MLN","Sort=A","Dates=H","DateFormat=P","Fill=—","Direction=H","UseDPDF=Y")</f>
        <v>403.51499999999999</v>
      </c>
      <c r="Z73" s="13" cm="1">
        <f t="array" ref="Z73">_xll.BDH("DE US Equity","IS_TOT_CASH_COM_DVD","FQ4 2024","FQ4 2024","Currency=USD","Period=FQ","BEST_FPERIOD_OVERRIDE=FQ","FILING_STATUS=MR","SCALING_FORMAT=MLN","Sort=A","Dates=H","DateFormat=P","Fill=—","Direction=H","UseDPDF=Y")</f>
        <v>400.72199999999998</v>
      </c>
      <c r="AA73" s="13" cm="1">
        <f t="array" ref="AA73">_xll.BDH("DE US Equity","IS_TOT_CASH_COM_DVD","FQ1 2025","FQ1 2025","Currency=USD","Period=FQ","BEST_FPERIOD_OVERRIDE=FQ","FILING_STATUS=MR","SCALING_FORMAT=MLN","Sort=A","Dates=H","DateFormat=P","Fill=—","Direction=H","UseDPDF=Y")</f>
        <v>441</v>
      </c>
      <c r="AB73" s="13" cm="1">
        <f t="array" ref="AB73">_xll.BDH("DE US Equity","IS_TOT_CASH_COM_DVD","FQ2 2025","FQ2 2025","Currency=USD","Period=FQ","BEST_FPERIOD_OVERRIDE=FQ","FILING_STATUS=MR","SCALING_FORMAT=MLN","Sort=A","Dates=H","DateFormat=P","Fill=—","Direction=H","UseDPDF=Y")</f>
        <v>439.18200000000002</v>
      </c>
      <c r="AC73" s="13" cm="1">
        <f t="array" ref="AC73">_xll.BDH("DE US Equity","IS_TOT_CASH_COM_DVD","FQ3 2025","FQ3 2025","Currency=USD","Period=FQ","BEST_FPERIOD_OVERRIDE=FQ","FILING_STATUS=MR","SCALING_FORMAT=MLN","Sort=A","Dates=H","DateFormat=P","Fill=—","Direction=H","UseDPDF=Y")</f>
        <v>438.53399999999999</v>
      </c>
      <c r="AD73" s="13" cm="1">
        <f t="array" ref="AD73">_xll.BDH("DE US Equity","IS_TOT_CASH_COM_DVD","FQ4 2025","FQ4 2025","Currency=USD","Period=FQ","BEST_FPERIOD_OVERRIDE=FQ","FILING_STATUS=MR","SCALING_FORMAT=MLN","Sort=A","Dates=H","DateFormat=P","Fill=—","Direction=H","UseDPDF=Y")</f>
        <v>437.88600000000002</v>
      </c>
      <c r="AE73" s="13"/>
      <c r="AF73" s="13"/>
    </row>
    <row r="74" spans="1:32" x14ac:dyDescent="0.25">
      <c r="A74" s="10" t="s">
        <v>186</v>
      </c>
      <c r="B74" s="10" t="s">
        <v>187</v>
      </c>
      <c r="C74" s="13" t="str" cm="1">
        <f t="array" ref="C74">_xll.BDH("DE US Equity","IS_DEPR_EXP","FQ1 2019","FQ1 2019","Currency=USD","Period=FQ","BEST_FPERIOD_OVERRIDE=FQ","FILING_STATUS=MR","SCALING_FORMAT=MLN","Sort=A","Dates=H","DateFormat=P","Fill=—","Direction=H","UseDPDF=Y")</f>
        <v>—</v>
      </c>
      <c r="D74" s="13" t="str" cm="1">
        <f t="array" ref="D74">_xll.BDH("DE US Equity","IS_DEPR_EXP","FQ2 2019","FQ2 2019","Currency=USD","Period=FQ","BEST_FPERIOD_OVERRIDE=FQ","FILING_STATUS=MR","SCALING_FORMAT=MLN","Sort=A","Dates=H","DateFormat=P","Fill=—","Direction=H","UseDPDF=Y")</f>
        <v>—</v>
      </c>
      <c r="E74" s="13" cm="1">
        <f t="array" ref="E74">_xll.BDH("DE US Equity","IS_DEPR_EXP","FQ3 2019","FQ3 2019","Currency=USD","Period=FQ","BEST_FPERIOD_OVERRIDE=FQ","FILING_STATUS=MR","SCALING_FORMAT=MLN","Sort=A","Dates=H","DateFormat=P","Fill=—","Direction=H","UseDPDF=Y")</f>
        <v>450.5</v>
      </c>
      <c r="F74" s="13" cm="1">
        <f t="array" ref="F74">_xll.BDH("DE US Equity","IS_DEPR_EXP","FQ4 2019","FQ4 2019","Currency=USD","Period=FQ","BEST_FPERIOD_OVERRIDE=FQ","FILING_STATUS=MR","SCALING_FORMAT=MLN","Sort=A","Dates=H","DateFormat=P","Fill=—","Direction=H","UseDPDF=Y")</f>
        <v>470</v>
      </c>
      <c r="G74" s="13" t="str" cm="1">
        <f t="array" ref="G74">_xll.BDH("DE US Equity","IS_DEPR_EXP","FQ1 2020","FQ1 2020","Currency=USD","Period=FQ","BEST_FPERIOD_OVERRIDE=FQ","FILING_STATUS=MR","SCALING_FORMAT=MLN","Sort=A","Dates=H","DateFormat=P","Fill=—","Direction=H","UseDPDF=Y")</f>
        <v>—</v>
      </c>
      <c r="H74" s="13" t="str" cm="1">
        <f t="array" ref="H74">_xll.BDH("DE US Equity","IS_DEPR_EXP","FQ2 2020","FQ2 2020","Currency=USD","Period=FQ","BEST_FPERIOD_OVERRIDE=FQ","FILING_STATUS=MR","SCALING_FORMAT=MLN","Sort=A","Dates=H","DateFormat=P","Fill=—","Direction=H","UseDPDF=Y")</f>
        <v>—</v>
      </c>
      <c r="I74" s="13" cm="1">
        <f t="array" ref="I74">_xll.BDH("DE US Equity","IS_DEPR_EXP","FQ3 2020","FQ3 2020","Currency=USD","Period=FQ","BEST_FPERIOD_OVERRIDE=FQ","FILING_STATUS=MR","SCALING_FORMAT=MLN","Sort=A","Dates=H","DateFormat=P","Fill=—","Direction=H","UseDPDF=Y")</f>
        <v>497</v>
      </c>
      <c r="J74" s="13" cm="1">
        <f t="array" ref="J74">_xll.BDH("DE US Equity","IS_DEPR_EXP","FQ4 2020","FQ4 2020","Currency=USD","Period=FQ","BEST_FPERIOD_OVERRIDE=FQ","FILING_STATUS=MR","SCALING_FORMAT=MLN","Sort=A","Dates=H","DateFormat=P","Fill=—","Direction=H","UseDPDF=Y")</f>
        <v>243</v>
      </c>
      <c r="K74" s="13" t="str" cm="1">
        <f t="array" ref="K74">_xll.BDH("DE US Equity","IS_DEPR_EXP","FQ1 2021","FQ1 2021","Currency=USD","Period=FQ","BEST_FPERIOD_OVERRIDE=FQ","FILING_STATUS=MR","SCALING_FORMAT=MLN","Sort=A","Dates=H","DateFormat=P","Fill=—","Direction=H","UseDPDF=Y")</f>
        <v>—</v>
      </c>
      <c r="L74" s="13" t="str" cm="1">
        <f t="array" ref="L74">_xll.BDH("DE US Equity","IS_DEPR_EXP","FQ2 2021","FQ2 2021","Currency=USD","Period=FQ","BEST_FPERIOD_OVERRIDE=FQ","FILING_STATUS=MR","SCALING_FORMAT=MLN","Sort=A","Dates=H","DateFormat=P","Fill=—","Direction=H","UseDPDF=Y")</f>
        <v>—</v>
      </c>
      <c r="M74" s="13" cm="1">
        <f t="array" ref="M74">_xll.BDH("DE US Equity","IS_DEPR_EXP","FQ3 2021","FQ3 2021","Currency=USD","Period=FQ","BEST_FPERIOD_OVERRIDE=FQ","FILING_STATUS=MR","SCALING_FORMAT=MLN","Sort=A","Dates=H","DateFormat=P","Fill=—","Direction=H","UseDPDF=Y")</f>
        <v>488</v>
      </c>
      <c r="N74" s="13" cm="1">
        <f t="array" ref="N74">_xll.BDH("DE US Equity","IS_DEPR_EXP","FQ4 2021","FQ4 2021","Currency=USD","Period=FQ","BEST_FPERIOD_OVERRIDE=FQ","FILING_STATUS=MR","SCALING_FORMAT=MLN","Sort=A","Dates=H","DateFormat=P","Fill=—","Direction=H","UseDPDF=Y")</f>
        <v>333</v>
      </c>
      <c r="O74" s="13" cm="1">
        <f t="array" ref="O74">_xll.BDH("DE US Equity","IS_DEPR_EXP","FQ1 2022","FQ1 2022","Currency=USD","Period=FQ","BEST_FPERIOD_OVERRIDE=FQ","FILING_STATUS=MR","SCALING_FORMAT=MLN","Sort=A","Dates=H","DateFormat=P","Fill=—","Direction=H","UseDPDF=Y")</f>
        <v>458</v>
      </c>
      <c r="P74" s="13" t="str" cm="1">
        <f t="array" ref="P74">_xll.BDH("DE US Equity","IS_DEPR_EXP","FQ2 2022","FQ2 2022","Currency=USD","Period=FQ","BEST_FPERIOD_OVERRIDE=FQ","FILING_STATUS=MR","SCALING_FORMAT=MLN","Sort=A","Dates=H","DateFormat=P","Fill=—","Direction=H","UseDPDF=Y")</f>
        <v>—</v>
      </c>
      <c r="Q74" s="13" cm="1">
        <f t="array" ref="Q74">_xll.BDH("DE US Equity","IS_DEPR_EXP","FQ3 2022","FQ3 2022","Currency=USD","Period=FQ","BEST_FPERIOD_OVERRIDE=FQ","FILING_STATUS=MR","SCALING_FORMAT=MLN","Sort=A","Dates=H","DateFormat=P","Fill=—","Direction=H","UseDPDF=Y")</f>
        <v>468</v>
      </c>
      <c r="R74" s="13" cm="1">
        <f t="array" ref="R74">_xll.BDH("DE US Equity","IS_DEPR_EXP","FQ4 2022","FQ4 2022","Currency=USD","Period=FQ","BEST_FPERIOD_OVERRIDE=FQ","FILING_STATUS=MR","SCALING_FORMAT=MLN","Sort=A","Dates=H","DateFormat=P","Fill=—","Direction=H","UseDPDF=Y")</f>
        <v>294</v>
      </c>
      <c r="S74" s="13" cm="1">
        <f t="array" ref="S74">_xll.BDH("DE US Equity","IS_DEPR_EXP","FQ1 2023","FQ1 2023","Currency=USD","Period=FQ","BEST_FPERIOD_OVERRIDE=FQ","FILING_STATUS=MR","SCALING_FORMAT=MLN","Sort=A","Dates=H","DateFormat=P","Fill=—","Direction=H","UseDPDF=Y")</f>
        <v>455</v>
      </c>
      <c r="T74" s="13" cm="1">
        <f t="array" ref="T74">_xll.BDH("DE US Equity","IS_DEPR_EXP","FQ2 2023","FQ2 2023","Currency=USD","Period=FQ","BEST_FPERIOD_OVERRIDE=FQ","FILING_STATUS=MR","SCALING_FORMAT=MLN","Sort=A","Dates=H","DateFormat=P","Fill=—","Direction=H","UseDPDF=Y")</f>
        <v>456</v>
      </c>
      <c r="U74" s="13" cm="1">
        <f t="array" ref="U74">_xll.BDH("DE US Equity","IS_DEPR_EXP","FQ3 2023","FQ3 2023","Currency=USD","Period=FQ","BEST_FPERIOD_OVERRIDE=FQ","FILING_STATUS=MR","SCALING_FORMAT=MLN","Sort=A","Dates=H","DateFormat=P","Fill=—","Direction=H","UseDPDF=Y")</f>
        <v>490</v>
      </c>
      <c r="V74" s="13" cm="1">
        <f t="array" ref="V74">_xll.BDH("DE US Equity","IS_DEPR_EXP","FQ4 2023","FQ4 2023","Currency=USD","Period=FQ","BEST_FPERIOD_OVERRIDE=FQ","FILING_STATUS=MR","SCALING_FORMAT=MLN","Sort=A","Dates=H","DateFormat=P","Fill=—","Direction=H","UseDPDF=Y")</f>
        <v>290</v>
      </c>
      <c r="W74" s="13" cm="1">
        <f t="array" ref="W74">_xll.BDH("DE US Equity","IS_DEPR_EXP","FQ1 2024","FQ1 2024","Currency=USD","Period=FQ","BEST_FPERIOD_OVERRIDE=FQ","FILING_STATUS=MR","SCALING_FORMAT=MLN","Sort=A","Dates=H","DateFormat=P","Fill=—","Direction=H","UseDPDF=Y")</f>
        <v>478</v>
      </c>
      <c r="X74" s="13" cm="1">
        <f t="array" ref="X74">_xll.BDH("DE US Equity","IS_DEPR_EXP","FQ2 2024","FQ2 2024","Currency=USD","Period=FQ","BEST_FPERIOD_OVERRIDE=FQ","FILING_STATUS=MR","SCALING_FORMAT=MLN","Sort=A","Dates=H","DateFormat=P","Fill=—","Direction=H","UseDPDF=Y")</f>
        <v>484</v>
      </c>
      <c r="Y74" s="13" cm="1">
        <f t="array" ref="Y74">_xll.BDH("DE US Equity","IS_DEPR_EXP","FQ3 2024","FQ3 2024","Currency=USD","Period=FQ","BEST_FPERIOD_OVERRIDE=FQ","FILING_STATUS=MR","SCALING_FORMAT=MLN","Sort=A","Dates=H","DateFormat=P","Fill=—","Direction=H","UseDPDF=Y")</f>
        <v>511</v>
      </c>
      <c r="Z74" s="13" cm="1">
        <f t="array" ref="Z74">_xll.BDH("DE US Equity","IS_DEPR_EXP","FQ4 2024","FQ4 2024","Currency=USD","Period=FQ","BEST_FPERIOD_OVERRIDE=FQ","FILING_STATUS=MR","SCALING_FORMAT=MLN","Sort=A","Dates=H","DateFormat=P","Fill=—","Direction=H","UseDPDF=Y")</f>
        <v>396</v>
      </c>
      <c r="AA74" s="13" cm="1">
        <f t="array" ref="AA74">_xll.BDH("DE US Equity","IS_DEPR_EXP","FQ1 2025","FQ1 2025","Currency=USD","Period=FQ","BEST_FPERIOD_OVERRIDE=FQ","FILING_STATUS=MR","SCALING_FORMAT=MLN","Sort=A","Dates=H","DateFormat=P","Fill=—","Direction=H","UseDPDF=Y")</f>
        <v>508</v>
      </c>
      <c r="AB74" s="13" cm="1">
        <f t="array" ref="AB74">_xll.BDH("DE US Equity","IS_DEPR_EXP","FQ2 2025","FQ2 2025","Currency=USD","Period=FQ","BEST_FPERIOD_OVERRIDE=FQ","FILING_STATUS=MR","SCALING_FORMAT=MLN","Sort=A","Dates=H","DateFormat=P","Fill=—","Direction=H","UseDPDF=Y")</f>
        <v>518</v>
      </c>
      <c r="AC74" s="13" cm="1">
        <f t="array" ref="AC74">_xll.BDH("DE US Equity","IS_DEPR_EXP","FQ3 2025","FQ3 2025","Currency=USD","Period=FQ","BEST_FPERIOD_OVERRIDE=FQ","FILING_STATUS=MR","SCALING_FORMAT=MLN","Sort=A","Dates=H","DateFormat=P","Fill=—","Direction=H","UseDPDF=Y")</f>
        <v>533</v>
      </c>
      <c r="AD74" s="13" cm="1">
        <f t="array" ref="AD74">_xll.BDH("DE US Equity","IS_DEPR_EXP","FQ4 2025","FQ4 2025","Currency=USD","Period=FQ","BEST_FPERIOD_OVERRIDE=FQ","FILING_STATUS=MR","SCALING_FORMAT=MLN","Sort=A","Dates=H","DateFormat=P","Fill=—","Direction=H","UseDPDF=Y")</f>
        <v>451</v>
      </c>
      <c r="AE74" s="13"/>
      <c r="AF74" s="13"/>
    </row>
    <row r="75" spans="1:32" x14ac:dyDescent="0.25">
      <c r="A75" s="10" t="s">
        <v>188</v>
      </c>
      <c r="B75" s="10" t="s">
        <v>189</v>
      </c>
      <c r="C75" s="13" t="str" cm="1">
        <f t="array" ref="C75">_xll.BDH("DE US Equity","BS_CURR_RENTAL_EXPENSE","FQ1 2019","FQ1 2019","Currency=USD","Period=FQ","BEST_FPERIOD_OVERRIDE=FQ","FILING_STATUS=MR","SCALING_FORMAT=MLN","Sort=A","Dates=H","DateFormat=P","Fill=—","Direction=H","UseDPDF=Y")</f>
        <v>—</v>
      </c>
      <c r="D75" s="13" t="str" cm="1">
        <f t="array" ref="D75">_xll.BDH("DE US Equity","BS_CURR_RENTAL_EXPENSE","FQ2 2019","FQ2 2019","Currency=USD","Period=FQ","BEST_FPERIOD_OVERRIDE=FQ","FILING_STATUS=MR","SCALING_FORMAT=MLN","Sort=A","Dates=H","DateFormat=P","Fill=—","Direction=H","UseDPDF=Y")</f>
        <v>—</v>
      </c>
      <c r="E75" s="13" t="str" cm="1">
        <f t="array" ref="E75">_xll.BDH("DE US Equity","BS_CURR_RENTAL_EXPENSE","FQ3 2019","FQ3 2019","Currency=USD","Period=FQ","BEST_FPERIOD_OVERRIDE=FQ","FILING_STATUS=MR","SCALING_FORMAT=MLN","Sort=A","Dates=H","DateFormat=P","Fill=—","Direction=H","UseDPDF=Y")</f>
        <v>—</v>
      </c>
      <c r="F75" s="13" t="str" cm="1">
        <f t="array" ref="F75">_xll.BDH("DE US Equity","BS_CURR_RENTAL_EXPENSE","FQ4 2019","FQ4 2019","Currency=USD","Period=FQ","BEST_FPERIOD_OVERRIDE=FQ","FILING_STATUS=MR","SCALING_FORMAT=MLN","Sort=A","Dates=H","DateFormat=P","Fill=—","Direction=H","UseDPDF=Y")</f>
        <v>—</v>
      </c>
      <c r="G75" s="13" cm="1">
        <f t="array" ref="G75">_xll.BDH("DE US Equity","BS_CURR_RENTAL_EXPENSE","FQ1 2020","FQ1 2020","Currency=USD","Period=FQ","BEST_FPERIOD_OVERRIDE=FQ","FILING_STATUS=MR","SCALING_FORMAT=MLN","Sort=A","Dates=H","DateFormat=P","Fill=—","Direction=H","UseDPDF=Y")</f>
        <v>46</v>
      </c>
      <c r="H75" s="13" cm="1">
        <f t="array" ref="H75">_xll.BDH("DE US Equity","BS_CURR_RENTAL_EXPENSE","FQ2 2020","FQ2 2020","Currency=USD","Period=FQ","BEST_FPERIOD_OVERRIDE=FQ","FILING_STATUS=MR","SCALING_FORMAT=MLN","Sort=A","Dates=H","DateFormat=P","Fill=—","Direction=H","UseDPDF=Y")</f>
        <v>47</v>
      </c>
      <c r="I75" s="13" cm="1">
        <f t="array" ref="I75">_xll.BDH("DE US Equity","BS_CURR_RENTAL_EXPENSE","FQ3 2020","FQ3 2020","Currency=USD","Period=FQ","BEST_FPERIOD_OVERRIDE=FQ","FILING_STATUS=MR","SCALING_FORMAT=MLN","Sort=A","Dates=H","DateFormat=P","Fill=—","Direction=H","UseDPDF=Y")</f>
        <v>45</v>
      </c>
      <c r="J75" s="13" cm="1">
        <f t="array" ref="J75">_xll.BDH("DE US Equity","BS_CURR_RENTAL_EXPENSE","FQ4 2020","FQ4 2020","Currency=USD","Period=FQ","BEST_FPERIOD_OVERRIDE=FQ","FILING_STATUS=MR","SCALING_FORMAT=MLN","Sort=A","Dates=H","DateFormat=P","Fill=—","Direction=H","UseDPDF=Y")</f>
        <v>52</v>
      </c>
      <c r="K75" s="13" t="str" cm="1">
        <f t="array" ref="K75">_xll.BDH("DE US Equity","BS_CURR_RENTAL_EXPENSE","FQ1 2021","FQ1 2021","Currency=USD","Period=FQ","BEST_FPERIOD_OVERRIDE=FQ","FILING_STATUS=MR","SCALING_FORMAT=MLN","Sort=A","Dates=H","DateFormat=P","Fill=—","Direction=H","UseDPDF=Y")</f>
        <v>—</v>
      </c>
      <c r="L75" s="13" t="str" cm="1">
        <f t="array" ref="L75">_xll.BDH("DE US Equity","BS_CURR_RENTAL_EXPENSE","FQ2 2021","FQ2 2021","Currency=USD","Period=FQ","BEST_FPERIOD_OVERRIDE=FQ","FILING_STATUS=MR","SCALING_FORMAT=MLN","Sort=A","Dates=H","DateFormat=P","Fill=—","Direction=H","UseDPDF=Y")</f>
        <v>—</v>
      </c>
      <c r="M75" s="13" t="str" cm="1">
        <f t="array" ref="M75">_xll.BDH("DE US Equity","BS_CURR_RENTAL_EXPENSE","FQ3 2021","FQ3 2021","Currency=USD","Period=FQ","BEST_FPERIOD_OVERRIDE=FQ","FILING_STATUS=MR","SCALING_FORMAT=MLN","Sort=A","Dates=H","DateFormat=P","Fill=—","Direction=H","UseDPDF=Y")</f>
        <v>—</v>
      </c>
      <c r="N75" s="13" t="str" cm="1">
        <f t="array" ref="N75">_xll.BDH("DE US Equity","BS_CURR_RENTAL_EXPENSE","FQ4 2021","FQ4 2021","Currency=USD","Period=FQ","BEST_FPERIOD_OVERRIDE=FQ","FILING_STATUS=MR","SCALING_FORMAT=MLN","Sort=A","Dates=H","DateFormat=P","Fill=—","Direction=H","UseDPDF=Y")</f>
        <v>—</v>
      </c>
      <c r="O75" s="13" t="str" cm="1">
        <f t="array" ref="O75">_xll.BDH("DE US Equity","BS_CURR_RENTAL_EXPENSE","FQ1 2022","FQ1 2022","Currency=USD","Period=FQ","BEST_FPERIOD_OVERRIDE=FQ","FILING_STATUS=MR","SCALING_FORMAT=MLN","Sort=A","Dates=H","DateFormat=P","Fill=—","Direction=H","UseDPDF=Y")</f>
        <v>—</v>
      </c>
      <c r="P75" s="13" t="str" cm="1">
        <f t="array" ref="P75">_xll.BDH("DE US Equity","BS_CURR_RENTAL_EXPENSE","FQ2 2022","FQ2 2022","Currency=USD","Period=FQ","BEST_FPERIOD_OVERRIDE=FQ","FILING_STATUS=MR","SCALING_FORMAT=MLN","Sort=A","Dates=H","DateFormat=P","Fill=—","Direction=H","UseDPDF=Y")</f>
        <v>—</v>
      </c>
      <c r="Q75" s="13" t="str" cm="1">
        <f t="array" ref="Q75">_xll.BDH("DE US Equity","BS_CURR_RENTAL_EXPENSE","FQ3 2022","FQ3 2022","Currency=USD","Period=FQ","BEST_FPERIOD_OVERRIDE=FQ","FILING_STATUS=MR","SCALING_FORMAT=MLN","Sort=A","Dates=H","DateFormat=P","Fill=—","Direction=H","UseDPDF=Y")</f>
        <v>—</v>
      </c>
      <c r="R75" s="13" t="str" cm="1">
        <f t="array" ref="R75">_xll.BDH("DE US Equity","BS_CURR_RENTAL_EXPENSE","FQ4 2022","FQ4 2022","Currency=USD","Period=FQ","BEST_FPERIOD_OVERRIDE=FQ","FILING_STATUS=MR","SCALING_FORMAT=MLN","Sort=A","Dates=H","DateFormat=P","Fill=—","Direction=H","UseDPDF=Y")</f>
        <v>—</v>
      </c>
      <c r="S75" s="13" t="str" cm="1">
        <f t="array" ref="S75">_xll.BDH("DE US Equity","BS_CURR_RENTAL_EXPENSE","FQ1 2023","FQ1 2023","Currency=USD","Period=FQ","BEST_FPERIOD_OVERRIDE=FQ","FILING_STATUS=MR","SCALING_FORMAT=MLN","Sort=A","Dates=H","DateFormat=P","Fill=—","Direction=H","UseDPDF=Y")</f>
        <v>—</v>
      </c>
      <c r="T75" s="13" t="str" cm="1">
        <f t="array" ref="T75">_xll.BDH("DE US Equity","BS_CURR_RENTAL_EXPENSE","FQ2 2023","FQ2 2023","Currency=USD","Period=FQ","BEST_FPERIOD_OVERRIDE=FQ","FILING_STATUS=MR","SCALING_FORMAT=MLN","Sort=A","Dates=H","DateFormat=P","Fill=—","Direction=H","UseDPDF=Y")</f>
        <v>—</v>
      </c>
      <c r="U75" s="13" t="str" cm="1">
        <f t="array" ref="U75">_xll.BDH("DE US Equity","BS_CURR_RENTAL_EXPENSE","FQ3 2023","FQ3 2023","Currency=USD","Period=FQ","BEST_FPERIOD_OVERRIDE=FQ","FILING_STATUS=MR","SCALING_FORMAT=MLN","Sort=A","Dates=H","DateFormat=P","Fill=—","Direction=H","UseDPDF=Y")</f>
        <v>—</v>
      </c>
      <c r="V75" s="13" t="str" cm="1">
        <f t="array" ref="V75">_xll.BDH("DE US Equity","BS_CURR_RENTAL_EXPENSE","FQ4 2023","FQ4 2023","Currency=USD","Period=FQ","BEST_FPERIOD_OVERRIDE=FQ","FILING_STATUS=MR","SCALING_FORMAT=MLN","Sort=A","Dates=H","DateFormat=P","Fill=—","Direction=H","UseDPDF=Y")</f>
        <v>—</v>
      </c>
      <c r="W75" s="13" t="str" cm="1">
        <f t="array" ref="W75">_xll.BDH("DE US Equity","BS_CURR_RENTAL_EXPENSE","FQ1 2024","FQ1 2024","Currency=USD","Period=FQ","BEST_FPERIOD_OVERRIDE=FQ","FILING_STATUS=MR","SCALING_FORMAT=MLN","Sort=A","Dates=H","DateFormat=P","Fill=—","Direction=H","UseDPDF=Y")</f>
        <v>—</v>
      </c>
      <c r="X75" s="13" t="str" cm="1">
        <f t="array" ref="X75">_xll.BDH("DE US Equity","BS_CURR_RENTAL_EXPENSE","FQ2 2024","FQ2 2024","Currency=USD","Period=FQ","BEST_FPERIOD_OVERRIDE=FQ","FILING_STATUS=MR","SCALING_FORMAT=MLN","Sort=A","Dates=H","DateFormat=P","Fill=—","Direction=H","UseDPDF=Y")</f>
        <v>—</v>
      </c>
      <c r="Y75" s="13" t="str" cm="1">
        <f t="array" ref="Y75">_xll.BDH("DE US Equity","BS_CURR_RENTAL_EXPENSE","FQ3 2024","FQ3 2024","Currency=USD","Period=FQ","BEST_FPERIOD_OVERRIDE=FQ","FILING_STATUS=MR","SCALING_FORMAT=MLN","Sort=A","Dates=H","DateFormat=P","Fill=—","Direction=H","UseDPDF=Y")</f>
        <v>—</v>
      </c>
      <c r="Z75" s="13" t="str" cm="1">
        <f t="array" ref="Z75">_xll.BDH("DE US Equity","BS_CURR_RENTAL_EXPENSE","FQ4 2024","FQ4 2024","Currency=USD","Period=FQ","BEST_FPERIOD_OVERRIDE=FQ","FILING_STATUS=MR","SCALING_FORMAT=MLN","Sort=A","Dates=H","DateFormat=P","Fill=—","Direction=H","UseDPDF=Y")</f>
        <v>—</v>
      </c>
      <c r="AA75" s="13" t="str" cm="1">
        <f t="array" ref="AA75">_xll.BDH("DE US Equity","BS_CURR_RENTAL_EXPENSE","FQ1 2025","FQ1 2025","Currency=USD","Period=FQ","BEST_FPERIOD_OVERRIDE=FQ","FILING_STATUS=MR","SCALING_FORMAT=MLN","Sort=A","Dates=H","DateFormat=P","Fill=—","Direction=H","UseDPDF=Y")</f>
        <v>—</v>
      </c>
      <c r="AB75" s="13" t="str" cm="1">
        <f t="array" ref="AB75">_xll.BDH("DE US Equity","BS_CURR_RENTAL_EXPENSE","FQ2 2025","FQ2 2025","Currency=USD","Period=FQ","BEST_FPERIOD_OVERRIDE=FQ","FILING_STATUS=MR","SCALING_FORMAT=MLN","Sort=A","Dates=H","DateFormat=P","Fill=—","Direction=H","UseDPDF=Y")</f>
        <v>—</v>
      </c>
      <c r="AC75" s="13" t="str" cm="1">
        <f t="array" ref="AC75">_xll.BDH("DE US Equity","BS_CURR_RENTAL_EXPENSE","FQ3 2025","FQ3 2025","Currency=USD","Period=FQ","BEST_FPERIOD_OVERRIDE=FQ","FILING_STATUS=MR","SCALING_FORMAT=MLN","Sort=A","Dates=H","DateFormat=P","Fill=—","Direction=H","UseDPDF=Y")</f>
        <v>—</v>
      </c>
      <c r="AD75" s="13" t="str" cm="1">
        <f t="array" ref="AD75">_xll.BDH("DE US Equity","BS_CURR_RENTAL_EXPENSE","FQ4 2025","FQ4 2025","Currency=USD","Period=FQ","BEST_FPERIOD_OVERRIDE=FQ","FILING_STATUS=MR","SCALING_FORMAT=MLN","Sort=A","Dates=H","DateFormat=P","Fill=—","Direction=H","UseDPDF=Y")</f>
        <v>—</v>
      </c>
      <c r="AE75" s="13"/>
      <c r="AF75" s="13"/>
    </row>
    <row r="76" spans="1:32" x14ac:dyDescent="0.25">
      <c r="A76" s="7" t="s">
        <v>190</v>
      </c>
      <c r="B76" s="7"/>
      <c r="C76" s="7" t="s">
        <v>3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 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2026-02-19T01:53:37Z</dcterms:modified>
</cp:coreProperties>
</file>