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8E45DC9D-CBA8-435B-A5A5-B61CFF42C5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 a="1"/>
  <c r="E9" i="2" a="1"/>
  <c r="R11" i="2" a="1"/>
  <c r="K20" i="2" a="1"/>
  <c r="AC19" i="2" a="1"/>
  <c r="AD7" i="2" a="1"/>
  <c r="Q13" i="2" a="1"/>
  <c r="W8" i="2" a="1"/>
  <c r="W10" i="2" a="1"/>
  <c r="G17" i="2" a="1"/>
  <c r="M20" i="2" a="1"/>
  <c r="AE13" i="2" a="1"/>
  <c r="X16" i="2" a="1"/>
  <c r="F11" i="2" a="1"/>
  <c r="S19" i="2" a="1"/>
  <c r="S17" i="2" a="1"/>
  <c r="L20" i="2" a="1"/>
  <c r="AA68" i="2" a="1"/>
  <c r="AF15" i="2" a="1"/>
  <c r="N22" i="2" a="1"/>
  <c r="E19" i="2" a="1"/>
  <c r="R15" i="2" a="1"/>
  <c r="R9" i="2" a="1"/>
  <c r="K8" i="2" a="1"/>
  <c r="AC17" i="2" a="1"/>
  <c r="Q17" i="2" a="1"/>
  <c r="W18" i="2" a="1"/>
  <c r="M16" i="2" a="1"/>
  <c r="M14" i="2" a="1"/>
  <c r="G7" i="2" a="1"/>
  <c r="AE21" i="2" a="1"/>
  <c r="E15" i="2" a="1"/>
  <c r="R23" i="2" a="1"/>
  <c r="K30" i="2" a="1"/>
  <c r="K10" i="2" a="1"/>
  <c r="AC15" i="2" a="1"/>
  <c r="E11" i="2" a="1"/>
  <c r="R13" i="2" a="1"/>
  <c r="K16" i="2" a="1"/>
  <c r="AC9" i="2" a="1"/>
  <c r="AC11" i="2" a="1"/>
  <c r="AD17" i="2" a="1"/>
  <c r="Q7" i="2" a="1"/>
  <c r="W14" i="2" a="1"/>
  <c r="M10" i="2" a="1"/>
  <c r="G19" i="2" a="1"/>
  <c r="AE15" i="2" a="1"/>
  <c r="AE9" i="2" a="1"/>
  <c r="X20" i="2" a="1"/>
  <c r="F13" i="2" a="1"/>
  <c r="S11" i="2" a="1"/>
  <c r="L14" i="2" a="1"/>
  <c r="Y20" i="2" a="1"/>
  <c r="AA44" i="2" a="1"/>
  <c r="AA60" i="2" a="1"/>
  <c r="AF66" i="2" a="1"/>
  <c r="S18" i="2" a="1"/>
  <c r="E13" i="2" a="1"/>
  <c r="R19" i="2" a="1"/>
  <c r="K18" i="2" a="1"/>
  <c r="AC7" i="2" a="1"/>
  <c r="AD13" i="2" a="1"/>
  <c r="AD9" i="2" a="1"/>
  <c r="Q9" i="2" a="1"/>
  <c r="W12" i="2" a="1"/>
  <c r="M12" i="2" a="1"/>
  <c r="M8" i="2" a="1"/>
  <c r="AE7" i="2" a="1"/>
  <c r="X14" i="2" a="1"/>
  <c r="X8" i="2" a="1"/>
  <c r="F9" i="2" a="1"/>
  <c r="S7" i="2" a="1"/>
  <c r="L18" i="2" a="1"/>
  <c r="Y12" i="2" a="1"/>
  <c r="AA52" i="2" a="1"/>
  <c r="AF9" i="2" a="1"/>
  <c r="AF42" i="2" a="1"/>
  <c r="N73" i="2" a="1"/>
  <c r="Z63" i="2" a="1"/>
  <c r="H19" i="2" a="1"/>
  <c r="V39" i="2" a="1"/>
  <c r="T68" i="2" a="1"/>
  <c r="T7" i="2" a="1"/>
  <c r="J65" i="2" a="1"/>
  <c r="W39" i="2" a="1"/>
  <c r="W19" i="2" a="1"/>
  <c r="W21" i="2" a="1"/>
  <c r="W24" i="2" a="1"/>
  <c r="W15" i="2" a="1"/>
  <c r="P62" i="2" a="1"/>
  <c r="Y26" i="2" a="1"/>
  <c r="Y27" i="2" a="1"/>
  <c r="Y40" i="2" a="1"/>
  <c r="Y9" i="2" a="1"/>
  <c r="N51" i="2" a="1"/>
  <c r="N61" i="2" a="1"/>
  <c r="N38" i="2" a="1"/>
  <c r="K14" i="2" a="1"/>
  <c r="K23" i="2" a="1"/>
  <c r="K33" i="2" a="1"/>
  <c r="K39" i="2" a="1"/>
  <c r="I9" i="2" a="1"/>
  <c r="O8" i="2" a="1"/>
  <c r="U65" i="2" a="1"/>
  <c r="F19" i="2" a="1"/>
  <c r="F20" i="2" a="1"/>
  <c r="F27" i="2" a="1"/>
  <c r="F29" i="2" a="1"/>
  <c r="L17" i="2" a="1"/>
  <c r="L25" i="2" a="1"/>
  <c r="L31" i="2" a="1"/>
  <c r="L23" i="2" a="1"/>
  <c r="AB39" i="2" a="1"/>
  <c r="C8" i="2" a="1"/>
  <c r="AD24" i="2" a="1"/>
  <c r="AD34" i="2" a="1"/>
  <c r="AD23" i="2" a="1"/>
  <c r="AD16" i="2" a="1"/>
  <c r="R21" i="2" a="1"/>
  <c r="R27" i="2" a="1"/>
  <c r="R31" i="2" a="1"/>
  <c r="X33" i="2" a="1"/>
  <c r="X19" i="2" a="1"/>
  <c r="X15" i="2" a="1"/>
  <c r="X32" i="2" a="1"/>
  <c r="S20" i="2" a="1"/>
  <c r="S12" i="2" a="1"/>
  <c r="S28" i="2" a="1"/>
  <c r="G31" i="2" a="1"/>
  <c r="G30" i="2" a="1"/>
  <c r="G33" i="2" a="1"/>
  <c r="G23" i="2" a="1"/>
  <c r="M15" i="2" a="1"/>
  <c r="M33" i="2" a="1"/>
  <c r="M32" i="2" a="1"/>
  <c r="M30" i="2" a="1"/>
  <c r="AE34" i="2" a="1"/>
  <c r="E7" i="2" a="1"/>
  <c r="Y18" i="2" a="1"/>
  <c r="N18" i="2" a="1"/>
  <c r="Z47" i="2" a="1"/>
  <c r="R17" i="2" a="1"/>
  <c r="G13" i="2" a="1"/>
  <c r="F15" i="2" a="1"/>
  <c r="Y10" i="2" a="1"/>
  <c r="C91" i="2" a="1"/>
  <c r="N8" i="2" a="1"/>
  <c r="I43" i="2" a="1"/>
  <c r="F21" i="2" a="1"/>
  <c r="C10" i="2" a="1"/>
  <c r="R18" i="2" a="1"/>
  <c r="S21" i="2" a="1"/>
  <c r="S27" i="2" a="1"/>
  <c r="Q23" i="2" a="1"/>
  <c r="AE17" i="2" a="1"/>
  <c r="S13" i="2" a="1"/>
  <c r="Y22" i="2" a="1"/>
  <c r="N41" i="2" a="1"/>
  <c r="H54" i="2" a="1"/>
  <c r="V63" i="2" a="1"/>
  <c r="J59" i="2" a="1"/>
  <c r="W33" i="2" a="1"/>
  <c r="D54" i="2" a="1"/>
  <c r="P68" i="2" a="1"/>
  <c r="Y24" i="2" a="1"/>
  <c r="Y7" i="2" a="1"/>
  <c r="N16" i="2" a="1"/>
  <c r="K28" i="2" a="1"/>
  <c r="K25" i="2" a="1"/>
  <c r="I67" i="2" a="1"/>
  <c r="U57" i="2" a="1"/>
  <c r="L26" i="2" a="1"/>
  <c r="L35" i="2" a="1"/>
  <c r="AB66" i="2" a="1"/>
  <c r="C64" i="2" a="1"/>
  <c r="AD33" i="2" a="1"/>
  <c r="R25" i="2" a="1"/>
  <c r="X24" i="2" a="1"/>
  <c r="X27" i="2" a="1"/>
  <c r="S16" i="2" a="1"/>
  <c r="S23" i="2" a="1"/>
  <c r="AA91" i="2" a="1"/>
  <c r="M28" i="2" a="1"/>
  <c r="M24" i="2" a="1"/>
  <c r="AE25" i="2" a="1"/>
  <c r="AE24" i="2" a="1"/>
  <c r="Y23" i="2" a="1"/>
  <c r="N69" i="2" a="1"/>
  <c r="K26" i="2" a="1"/>
  <c r="U73" i="2" a="1"/>
  <c r="F22" i="2" a="1"/>
  <c r="L24" i="2" a="1"/>
  <c r="L38" i="2" a="1"/>
  <c r="AD29" i="2" a="1"/>
  <c r="R10" i="2" a="1"/>
  <c r="R28" i="2" a="1"/>
  <c r="X28" i="2" a="1"/>
  <c r="S35" i="2" a="1"/>
  <c r="U41" i="2" a="1"/>
  <c r="X26" i="2" a="1"/>
  <c r="M26" i="2" a="1"/>
  <c r="X29" i="2" a="1"/>
  <c r="AE10" i="2" a="1"/>
  <c r="K12" i="2" a="1"/>
  <c r="H46" i="2" a="1"/>
  <c r="V71" i="2" a="1"/>
  <c r="J73" i="2" a="1"/>
  <c r="W9" i="2" a="1"/>
  <c r="D46" i="2" a="1"/>
  <c r="P46" i="2" a="1"/>
  <c r="Y25" i="2" a="1"/>
  <c r="N32" i="2" a="1"/>
  <c r="F16" i="2" a="1"/>
  <c r="AD21" i="2" a="1"/>
  <c r="G16" i="2" a="1"/>
  <c r="AD12" i="2" a="1"/>
  <c r="W16" i="2" a="1"/>
  <c r="AE11" i="2" a="1"/>
  <c r="S15" i="2" a="1"/>
  <c r="Y8" i="2" a="1"/>
  <c r="N65" i="2" a="1"/>
  <c r="H62" i="2" a="1"/>
  <c r="T44" i="2" a="1"/>
  <c r="J51" i="2" a="1"/>
  <c r="W20" i="2" a="1"/>
  <c r="W35" i="2" a="1"/>
  <c r="P54" i="2" a="1"/>
  <c r="Y21" i="2" a="1"/>
  <c r="N45" i="2" a="1"/>
  <c r="K15" i="2" a="1"/>
  <c r="K34" i="2" a="1"/>
  <c r="AB85" i="2" a="1"/>
  <c r="AE31" i="2" a="1"/>
  <c r="AC13" i="2" a="1"/>
  <c r="W38" i="2" a="1"/>
  <c r="X12" i="2" a="1"/>
  <c r="S9" i="2" a="1"/>
  <c r="AA83" i="2" a="1"/>
  <c r="N49" i="2" a="1"/>
  <c r="H13" i="2" a="1"/>
  <c r="T11" i="2" a="1"/>
  <c r="W25" i="2" a="1"/>
  <c r="D48" i="2" a="1"/>
  <c r="D62" i="2" a="1"/>
  <c r="P40" i="2" a="1"/>
  <c r="Y17" i="2" a="1"/>
  <c r="N20" i="2" a="1"/>
  <c r="N67" i="2" a="1"/>
  <c r="N34" i="2" a="1"/>
  <c r="K24" i="2" a="1"/>
  <c r="K19" i="2" a="1"/>
  <c r="F33" i="2" a="1"/>
  <c r="F28" i="2" a="1"/>
  <c r="L27" i="2" a="1"/>
  <c r="L28" i="2" a="1"/>
  <c r="AB58" i="2" a="1"/>
  <c r="R14" i="2" a="1"/>
  <c r="R35" i="2" a="1"/>
  <c r="R26" i="2" a="1"/>
  <c r="X38" i="2" a="1"/>
  <c r="X30" i="2" a="1"/>
  <c r="G10" i="2" a="1"/>
  <c r="G27" i="2" a="1"/>
  <c r="AE26" i="2" a="1"/>
  <c r="W34" i="2" a="1"/>
  <c r="Y31" i="2" a="1"/>
  <c r="Y11" i="2" a="1"/>
  <c r="N28" i="2" a="1"/>
  <c r="K27" i="2" a="1"/>
  <c r="O46" i="2" a="1"/>
  <c r="F23" i="2" a="1"/>
  <c r="F30" i="2" a="1"/>
  <c r="AB52" i="2" a="1"/>
  <c r="AD10" i="2" a="1"/>
  <c r="AD22" i="2" a="1"/>
  <c r="R30" i="2" a="1"/>
  <c r="X17" i="2" a="1"/>
  <c r="S25" i="2" a="1"/>
  <c r="S32" i="2" a="1"/>
  <c r="G26" i="2" a="1"/>
  <c r="G20" i="2" a="1"/>
  <c r="M35" i="2" a="1"/>
  <c r="M34" i="2" a="1"/>
  <c r="AE27" i="2" a="1"/>
  <c r="R38" i="2" a="1"/>
  <c r="X22" i="2" a="1"/>
  <c r="S8" i="2" a="1"/>
  <c r="X18" i="2" a="1"/>
  <c r="L10" i="2" a="1"/>
  <c r="AA46" i="2" a="1"/>
  <c r="N57" i="2" a="1"/>
  <c r="H70" i="2" a="1"/>
  <c r="T52" i="2" a="1"/>
  <c r="W30" i="2" a="1"/>
  <c r="W7" i="2" a="1"/>
  <c r="N43" i="2" a="1"/>
  <c r="U7" i="2" a="1"/>
  <c r="R34" i="2" a="1"/>
  <c r="M27" i="2" a="1"/>
  <c r="M23" i="2" a="1"/>
  <c r="AD11" i="2" a="1"/>
  <c r="M22" i="2" a="1"/>
  <c r="Z71" i="2" a="1"/>
  <c r="N39" i="2" a="1"/>
  <c r="K7" i="2" a="1"/>
  <c r="K13" i="2" a="1"/>
  <c r="I51" i="2" a="1"/>
  <c r="O83" i="2" a="1"/>
  <c r="F18" i="2" a="1"/>
  <c r="L30" i="2" a="1"/>
  <c r="L9" i="2" a="1"/>
  <c r="C48" i="2" a="1"/>
  <c r="AD38" i="2" a="1"/>
  <c r="R24" i="2" a="1"/>
  <c r="AD19" i="2" a="1"/>
  <c r="G11" i="2" a="1"/>
  <c r="X10" i="2" a="1"/>
  <c r="L12" i="2" a="1"/>
  <c r="AA85" i="2" a="1"/>
  <c r="H15" i="2" a="1"/>
  <c r="T21" i="2" a="1"/>
  <c r="W11" i="2" a="1"/>
  <c r="W29" i="2" a="1"/>
  <c r="W23" i="2" a="1"/>
  <c r="Y16" i="2" a="1"/>
  <c r="Y19" i="2" a="1"/>
  <c r="N10" i="2" a="1"/>
  <c r="N53" i="2" a="1"/>
  <c r="K21" i="2" a="1"/>
  <c r="O40" i="2" a="1"/>
  <c r="U49" i="2" a="1"/>
  <c r="F25" i="2" a="1"/>
  <c r="F10" i="2" a="1"/>
  <c r="L15" i="2" a="1"/>
  <c r="AD14" i="2" a="1"/>
  <c r="AD28" i="2" a="1"/>
  <c r="R7" i="2" a="1"/>
  <c r="R33" i="2" a="1"/>
  <c r="X34" i="2" a="1"/>
  <c r="S14" i="2" a="1"/>
  <c r="S33" i="2" a="1"/>
  <c r="G21" i="2" a="1"/>
  <c r="G25" i="2" a="1"/>
  <c r="M13" i="2" a="1"/>
  <c r="M19" i="2" a="1"/>
  <c r="M21" i="2" a="1"/>
  <c r="AE18" i="2" a="1"/>
  <c r="F24" i="2" a="1"/>
  <c r="AD25" i="2" a="1"/>
  <c r="S31" i="2" a="1"/>
  <c r="M9" i="2" a="1"/>
  <c r="Y15" i="2" a="1"/>
  <c r="AE12" i="2" a="1"/>
  <c r="F39" i="2" a="1"/>
  <c r="M29" i="2" a="1"/>
  <c r="F31" i="2" a="1"/>
  <c r="L16" i="2" a="1"/>
  <c r="AF58" i="2" a="1"/>
  <c r="Z12" i="2" a="1"/>
  <c r="V75" i="2" a="1"/>
  <c r="T60" i="2" a="1"/>
  <c r="W13" i="2" a="1"/>
  <c r="D56" i="2" a="1"/>
  <c r="D70" i="2" a="1"/>
  <c r="Y33" i="2" a="1"/>
  <c r="Y34" i="2" a="1"/>
  <c r="K29" i="2" a="1"/>
  <c r="K17" i="2" a="1"/>
  <c r="I59" i="2" a="1"/>
  <c r="O62" i="2" a="1"/>
  <c r="L29" i="2" a="1"/>
  <c r="L33" i="2" a="1"/>
  <c r="C72" i="2" a="1"/>
  <c r="AD30" i="2" a="1"/>
  <c r="X13" i="2" a="1"/>
  <c r="X25" i="2" a="1"/>
  <c r="S26" i="2" a="1"/>
  <c r="S10" i="2" a="1"/>
  <c r="AE32" i="2" a="1"/>
  <c r="AE33" i="2" a="1"/>
  <c r="AE20" i="2" a="1"/>
  <c r="N26" i="2" a="1"/>
  <c r="K38" i="2" a="1"/>
  <c r="F32" i="2" a="1"/>
  <c r="C76" i="2" a="1"/>
  <c r="R16" i="2" a="1"/>
  <c r="S22" i="2" a="1"/>
  <c r="G34" i="2" a="1"/>
  <c r="AE30" i="2" a="1"/>
  <c r="G22" i="2" a="1"/>
  <c r="G29" i="2" a="1"/>
  <c r="AE29" i="2" a="1"/>
  <c r="X9" i="2" a="1"/>
  <c r="G39" i="2" a="1"/>
  <c r="AE28" i="2" a="1"/>
  <c r="AE35" i="2" a="1"/>
  <c r="AD15" i="2" a="1"/>
  <c r="G9" i="2" a="1"/>
  <c r="F7" i="2" a="1"/>
  <c r="L8" i="2" a="1"/>
  <c r="AF19" i="2" a="1"/>
  <c r="Z39" i="2" a="1"/>
  <c r="V49" i="2" a="1"/>
  <c r="J43" i="2" a="1"/>
  <c r="W27" i="2" a="1"/>
  <c r="W17" i="2" a="1"/>
  <c r="D91" i="2" a="1"/>
  <c r="Y13" i="2" a="1"/>
  <c r="Y32" i="2" a="1"/>
  <c r="N12" i="2" a="1"/>
  <c r="N14" i="2" a="1"/>
  <c r="K9" i="2" a="1"/>
  <c r="K35" i="2" a="1"/>
  <c r="F8" i="2" a="1"/>
  <c r="F35" i="2" a="1"/>
  <c r="L22" i="2" a="1"/>
  <c r="L32" i="2" a="1"/>
  <c r="L19" i="2" a="1"/>
  <c r="AD18" i="2" a="1"/>
  <c r="R22" i="2" a="1"/>
  <c r="R20" i="2" a="1"/>
  <c r="X11" i="2" a="1"/>
  <c r="X23" i="2" a="1"/>
  <c r="O91" i="2" a="1"/>
  <c r="G28" i="2" a="1"/>
  <c r="G18" i="2" a="1"/>
  <c r="M18" i="2" a="1"/>
  <c r="AE14" i="2" a="1"/>
  <c r="Y38" i="2" a="1"/>
  <c r="O54" i="2" a="1"/>
  <c r="F26" i="2" a="1"/>
  <c r="AB60" i="2" a="1"/>
  <c r="AD26" i="2" a="1"/>
  <c r="X31" i="2" a="1"/>
  <c r="S24" i="2" a="1"/>
  <c r="G35" i="2" a="1"/>
  <c r="S30" i="2" a="1"/>
  <c r="AE22" i="2" a="1"/>
  <c r="P91" i="2" a="1"/>
  <c r="M31" i="2" a="1"/>
  <c r="L34" i="2" a="1"/>
  <c r="AD32" i="2" a="1"/>
  <c r="S29" i="2" a="1"/>
  <c r="M11" i="2" a="1"/>
  <c r="AE8" i="2" a="1"/>
  <c r="G12" i="2" a="1"/>
  <c r="Q11" i="2" a="1"/>
  <c r="G15" i="2" a="1"/>
  <c r="Z10" i="2" a="1"/>
  <c r="V41" i="2" a="1"/>
  <c r="J41" i="2" a="1"/>
  <c r="W22" i="2" a="1"/>
  <c r="D72" i="2" a="1"/>
  <c r="P83" i="2" a="1"/>
  <c r="I7" i="2" a="1"/>
  <c r="AD31" i="2" a="1"/>
  <c r="M25" i="2" a="1"/>
  <c r="AD27" i="2" a="1"/>
  <c r="F17" i="2" a="1"/>
  <c r="Y14" i="2" a="1"/>
  <c r="AF50" i="2" a="1"/>
  <c r="Z55" i="2" a="1"/>
  <c r="V55" i="2" a="1"/>
  <c r="J57" i="2" a="1"/>
  <c r="W28" i="2" a="1"/>
  <c r="W31" i="2" a="1"/>
  <c r="P60" i="2" a="1"/>
  <c r="Y28" i="2" a="1"/>
  <c r="Y30" i="2" a="1"/>
  <c r="N24" i="2" a="1"/>
  <c r="N59" i="2" a="1"/>
  <c r="K31" i="2" a="1"/>
  <c r="K11" i="2" a="1"/>
  <c r="I13" i="2" a="1"/>
  <c r="F12" i="2" a="1"/>
  <c r="L21" i="2" a="1"/>
  <c r="L13" i="2" a="1"/>
  <c r="AB44" i="2" a="1"/>
  <c r="C56" i="2" a="1"/>
  <c r="R12" i="2" a="1"/>
  <c r="R29" i="2" a="1"/>
  <c r="X35" i="2" a="1"/>
  <c r="X21" i="2" a="1"/>
  <c r="S38" i="2" a="1"/>
  <c r="G32" i="2" a="1"/>
  <c r="G14" i="2" a="1"/>
  <c r="M38" i="2" a="1"/>
  <c r="M17" i="2" a="1"/>
  <c r="AE19" i="2" a="1"/>
  <c r="AE16" i="2" a="1"/>
  <c r="AE23" i="2" a="1"/>
  <c r="Q19" i="2" a="1"/>
  <c r="N30" i="2" a="1"/>
  <c r="U75" i="2" a="1"/>
  <c r="F14" i="2" a="1"/>
  <c r="L11" i="2" a="1"/>
  <c r="AD35" i="2" a="1"/>
  <c r="AD20" i="2" a="1"/>
  <c r="R32" i="2" a="1"/>
  <c r="G24" i="2" a="1"/>
  <c r="O70" i="2" a="1"/>
  <c r="AA56" i="2" a="1"/>
  <c r="AA10" i="2" a="1"/>
  <c r="AA14" i="2" a="1"/>
  <c r="AA32" i="2" a="1"/>
  <c r="C66" i="2" a="1"/>
  <c r="C87" i="2" a="1"/>
  <c r="C14" i="2" a="1"/>
  <c r="C20" i="2" a="1"/>
  <c r="O22" i="2" a="1"/>
  <c r="O26" i="2" a="1"/>
  <c r="O42" i="2" a="1"/>
  <c r="O74" i="2" a="1"/>
  <c r="E39" i="2" a="1"/>
  <c r="E18" i="2" a="1"/>
  <c r="E34" i="2" a="1"/>
  <c r="U35" i="2" a="1"/>
  <c r="U61" i="2" a="1"/>
  <c r="U33" i="2" a="1"/>
  <c r="U31" i="2" a="1"/>
  <c r="Z7" i="2" a="1"/>
  <c r="Z14" i="2" a="1"/>
  <c r="Z18" i="2" a="1"/>
  <c r="Z28" i="2" a="1"/>
  <c r="I63" i="2" a="1"/>
  <c r="I47" i="2" a="1"/>
  <c r="I21" i="2" a="1"/>
  <c r="AC83" i="2" a="1"/>
  <c r="AC72" i="2" a="1"/>
  <c r="AC31" i="2" a="1"/>
  <c r="AC62" i="2" a="1"/>
  <c r="T17" i="2" a="1"/>
  <c r="T9" i="2" a="1"/>
  <c r="T33" i="2" a="1"/>
  <c r="T25" i="2" a="1"/>
  <c r="AF17" i="2" a="1"/>
  <c r="AF68" i="2" a="1"/>
  <c r="AF8" i="2" a="1"/>
  <c r="P39" i="2" a="1"/>
  <c r="P56" i="2" a="1"/>
  <c r="P50" i="2" a="1"/>
  <c r="P20" i="2" a="1"/>
  <c r="Q12" i="2" a="1"/>
  <c r="Q38" i="2" a="1"/>
  <c r="Q32" i="2" a="1"/>
  <c r="Q8" i="2" a="1"/>
  <c r="H64" i="2" a="1"/>
  <c r="H27" i="2" a="1"/>
  <c r="H31" i="2" a="1"/>
  <c r="AB83" i="2" a="1"/>
  <c r="AB68" i="2" a="1"/>
  <c r="AB10" i="2" a="1"/>
  <c r="AB70" i="2" a="1"/>
  <c r="D30" i="2" a="1"/>
  <c r="D32" i="2" a="1"/>
  <c r="AA48" i="2" a="1"/>
  <c r="AA16" i="2" a="1"/>
  <c r="AA20" i="2" a="1"/>
  <c r="AA34" i="2" a="1"/>
  <c r="C16" i="2" a="1"/>
  <c r="C28" i="2" a="1"/>
  <c r="C12" i="2" a="1"/>
  <c r="C38" i="2" a="1"/>
  <c r="O72" i="2" a="1"/>
  <c r="O32" i="2" a="1"/>
  <c r="O38" i="2" a="1"/>
  <c r="E32" i="2" a="1"/>
  <c r="E16" i="2" a="1"/>
  <c r="E40" i="2" a="1"/>
  <c r="E24" i="2" a="1"/>
  <c r="U15" i="2" a="1"/>
  <c r="U53" i="2" a="1"/>
  <c r="U84" i="2" a="1"/>
  <c r="U59" i="2" a="1"/>
  <c r="Z20" i="2" a="1"/>
  <c r="Z57" i="2" a="1"/>
  <c r="Z67" i="2" a="1"/>
  <c r="I27" i="2" a="1"/>
  <c r="I11" i="2" a="1"/>
  <c r="I39" i="2" a="1"/>
  <c r="I25" i="2" a="1"/>
  <c r="AC42" i="2" a="1"/>
  <c r="AC68" i="2" a="1"/>
  <c r="AC40" i="2" a="1"/>
  <c r="AC52" i="2" a="1"/>
  <c r="T23" i="2" a="1"/>
  <c r="T70" i="2" a="1"/>
  <c r="T64" i="2" a="1"/>
  <c r="AF29" i="2" a="1"/>
  <c r="AF21" i="2" a="1"/>
  <c r="AF54" i="2" a="1"/>
  <c r="AF25" i="2" a="1"/>
  <c r="P64" i="2" a="1"/>
  <c r="P42" i="2" a="1"/>
  <c r="P48" i="2" a="1"/>
  <c r="P76" i="2" a="1"/>
  <c r="Q22" i="2" a="1"/>
  <c r="Q20" i="2" a="1"/>
  <c r="Q14" i="2" a="1"/>
  <c r="H56" i="2" a="1"/>
  <c r="H29" i="2" a="1"/>
  <c r="H23" i="2" a="1"/>
  <c r="H42" i="2" a="1"/>
  <c r="AB16" i="2" a="1"/>
  <c r="AB46" i="2" a="1"/>
  <c r="AA22" i="2" a="1"/>
  <c r="AA30" i="2" a="1"/>
  <c r="AA54" i="2" a="1"/>
  <c r="AA12" i="2" a="1"/>
  <c r="C50" i="2" a="1"/>
  <c r="C60" i="2" a="1"/>
  <c r="C30" i="2" a="1"/>
  <c r="AB91" i="2" a="1"/>
  <c r="O14" i="2" a="1"/>
  <c r="O50" i="2" a="1"/>
  <c r="O24" i="2" a="1"/>
  <c r="E22" i="2" a="1"/>
  <c r="E21" i="2" a="1"/>
  <c r="E27" i="2" a="1"/>
  <c r="E29" i="2" a="1"/>
  <c r="U21" i="2" a="1"/>
  <c r="U23" i="2" a="1"/>
  <c r="U45" i="2" a="1"/>
  <c r="U19" i="2" a="1"/>
  <c r="Z8" i="2" a="1"/>
  <c r="Z24" i="2" a="1"/>
  <c r="Z38" i="2" a="1"/>
  <c r="I71" i="2" a="1"/>
  <c r="I55" i="2" a="1"/>
  <c r="I69" i="2" a="1"/>
  <c r="I15" i="2" a="1"/>
  <c r="AC54" i="2" a="1"/>
  <c r="AC66" i="2" a="1"/>
  <c r="AC60" i="2" a="1"/>
  <c r="AC74" i="2" a="1"/>
  <c r="T48" i="2" a="1"/>
  <c r="T27" i="2" a="1"/>
  <c r="T8" i="2" a="1"/>
  <c r="AF31" i="2" a="1"/>
  <c r="AF70" i="2" a="1"/>
  <c r="AF23" i="2" a="1"/>
  <c r="AF52" i="2" a="1"/>
  <c r="P8" i="2" a="1"/>
  <c r="P38" i="2" a="1"/>
  <c r="P70" i="2" a="1"/>
  <c r="P28" i="2" a="1"/>
  <c r="AA70" i="2" a="1"/>
  <c r="AA62" i="2" a="1"/>
  <c r="AA40" i="2" a="1"/>
  <c r="AA38" i="2" a="1"/>
  <c r="C74" i="2" a="1"/>
  <c r="C32" i="2" a="1"/>
  <c r="C52" i="2" a="1"/>
  <c r="O30" i="2" a="1"/>
  <c r="O18" i="2" a="1"/>
  <c r="O34" i="2" a="1"/>
  <c r="O20" i="2" a="1"/>
  <c r="E10" i="2" a="1"/>
  <c r="E20" i="2" a="1"/>
  <c r="E8" i="2" a="1"/>
  <c r="E26" i="2" a="1"/>
  <c r="U9" i="2" a="1"/>
  <c r="U13" i="2" a="1"/>
  <c r="U27" i="2" a="1"/>
  <c r="Z59" i="2" a="1"/>
  <c r="Z41" i="2" a="1"/>
  <c r="Z30" i="2" a="1"/>
  <c r="Z49" i="2" a="1"/>
  <c r="I29" i="2" a="1"/>
  <c r="I35" i="2" a="1"/>
  <c r="I17" i="2" a="1"/>
  <c r="I61" i="2" a="1"/>
  <c r="AC56" i="2" a="1"/>
  <c r="AC70" i="2" a="1"/>
  <c r="AC64" i="2" a="1"/>
  <c r="T15" i="2" a="1"/>
  <c r="T29" i="2" a="1"/>
  <c r="T31" i="2" a="1"/>
  <c r="T56" i="2" a="1"/>
  <c r="AF46" i="2" a="1"/>
  <c r="AF33" i="2" a="1"/>
  <c r="AF44" i="2" a="1"/>
  <c r="AF60" i="2" a="1"/>
  <c r="P24" i="2" a="1"/>
  <c r="P72" i="2" a="1"/>
  <c r="P32" i="2" a="1"/>
  <c r="Q33" i="2" a="1"/>
  <c r="Q39" i="2" a="1"/>
  <c r="Q27" i="2" a="1"/>
  <c r="Q16" i="2" a="1"/>
  <c r="H35" i="2" a="1"/>
  <c r="H33" i="2" a="1"/>
  <c r="H25" i="2" a="1"/>
  <c r="H48" i="2" a="1"/>
  <c r="AB38" i="2" a="1"/>
  <c r="AB26" i="2" a="1"/>
  <c r="AB42" i="2" a="1"/>
  <c r="D44" i="2" a="1"/>
  <c r="D24" i="2" a="1"/>
  <c r="D28" i="2" a="1"/>
  <c r="D52" i="2" a="1"/>
  <c r="AA26" i="2" a="1"/>
  <c r="AA28" i="2" a="1"/>
  <c r="AA76" i="2" a="1"/>
  <c r="C34" i="2" a="1"/>
  <c r="C22" i="2" a="1"/>
  <c r="C26" i="2" a="1"/>
  <c r="C18" i="2" a="1"/>
  <c r="O28" i="2" a="1"/>
  <c r="O64" i="2" a="1"/>
  <c r="O76" i="2" a="1"/>
  <c r="O56" i="2" a="1"/>
  <c r="E30" i="2" a="1"/>
  <c r="E28" i="2" a="1"/>
  <c r="E33" i="2" a="1"/>
  <c r="E14" i="2" a="1"/>
  <c r="U67" i="2" a="1"/>
  <c r="U25" i="2" a="1"/>
  <c r="U51" i="2" a="1"/>
  <c r="Z16" i="2" a="1"/>
  <c r="Z34" i="2" a="1"/>
  <c r="Z43" i="2" a="1"/>
  <c r="Z65" i="2" a="1"/>
  <c r="I23" i="2" a="1"/>
  <c r="I53" i="2" a="1"/>
  <c r="I33" i="2" a="1"/>
  <c r="I31" i="2" a="1"/>
  <c r="AC48" i="2" a="1"/>
  <c r="AC58" i="2" a="1"/>
  <c r="AC46" i="2" a="1"/>
  <c r="T35" i="2" a="1"/>
  <c r="T72" i="2" a="1"/>
  <c r="T46" i="2" a="1"/>
  <c r="T62" i="2" a="1"/>
  <c r="AF35" i="2" a="1"/>
  <c r="AF27" i="2" a="1"/>
  <c r="AF11" i="2" a="1"/>
  <c r="AF7" i="2" a="1"/>
  <c r="P22" i="2" a="1"/>
  <c r="P30" i="2" a="1"/>
  <c r="P74" i="2" a="1"/>
  <c r="Q29" i="2" a="1"/>
  <c r="Q10" i="2" a="1"/>
  <c r="AA8" i="2" a="1"/>
  <c r="AA24" i="2" a="1"/>
  <c r="AA18" i="2" a="1"/>
  <c r="C40" i="2" a="1"/>
  <c r="C58" i="2" a="1"/>
  <c r="C42" i="2" a="1"/>
  <c r="C24" i="2" a="1"/>
  <c r="Z22" i="2" a="1"/>
  <c r="T54" i="2" a="1"/>
  <c r="Q35" i="2" a="1"/>
  <c r="H39" i="2" a="1"/>
  <c r="AB76" i="2" a="1"/>
  <c r="AB30" i="2" a="1"/>
  <c r="D68" i="2" a="1"/>
  <c r="V33" i="2" a="1"/>
  <c r="V11" i="2" a="1"/>
  <c r="D38" i="2" a="1"/>
  <c r="D21" i="2" a="1"/>
  <c r="J33" i="2" a="1"/>
  <c r="J27" i="2" a="1"/>
  <c r="R87" i="2" a="1"/>
  <c r="R64" i="2" a="1"/>
  <c r="U10" i="2" a="1"/>
  <c r="U28" i="2" a="1"/>
  <c r="P11" i="2" a="1"/>
  <c r="P26" i="2" a="1"/>
  <c r="P19" i="2" a="1"/>
  <c r="V16" i="2" a="1"/>
  <c r="V22" i="2" a="1"/>
  <c r="AC8" i="2" a="1"/>
  <c r="AA72" i="2" a="1"/>
  <c r="I14" i="2" a="1"/>
  <c r="Q74" i="2" a="1"/>
  <c r="Q50" i="2" a="1"/>
  <c r="W32" i="2" a="1"/>
  <c r="W40" i="2" a="1"/>
  <c r="F74" i="2" a="1"/>
  <c r="F38" i="2" a="1"/>
  <c r="G42" i="2" a="1"/>
  <c r="G70" i="2" a="1"/>
  <c r="X77" i="2" a="1"/>
  <c r="X43" i="2" a="1"/>
  <c r="X39" i="2" a="1"/>
  <c r="AD76" i="2" a="1"/>
  <c r="AD56" i="2" a="1"/>
  <c r="D18" i="2" a="1"/>
  <c r="O23" i="2" a="1"/>
  <c r="V30" i="2" a="1"/>
  <c r="O48" i="2" a="1"/>
  <c r="Z32" i="2" a="1"/>
  <c r="T13" i="2" a="1"/>
  <c r="P12" i="2" a="1"/>
  <c r="Q30" i="2" a="1"/>
  <c r="H66" i="2" a="1"/>
  <c r="AB40" i="2" a="1"/>
  <c r="D22" i="2" a="1"/>
  <c r="V17" i="2" a="1"/>
  <c r="D25" i="2" a="1"/>
  <c r="D11" i="2" a="1"/>
  <c r="D19" i="2" a="1"/>
  <c r="J49" i="2" a="1"/>
  <c r="J84" i="2" a="1"/>
  <c r="R40" i="2" a="1"/>
  <c r="U39" i="2" a="1"/>
  <c r="U30" i="2" a="1"/>
  <c r="O9" i="2" a="1"/>
  <c r="P25" i="2" a="1"/>
  <c r="P33" i="2" a="1"/>
  <c r="P31" i="2" a="1"/>
  <c r="V38" i="2" a="1"/>
  <c r="AC39" i="2" a="1"/>
  <c r="AC22" i="2" a="1"/>
  <c r="AC38" i="2" a="1"/>
  <c r="AC34" i="2" a="1"/>
  <c r="E58" i="2" a="1"/>
  <c r="E48" i="2" a="1"/>
  <c r="E25" i="2" a="1"/>
  <c r="J16" i="2" a="1"/>
  <c r="J13" i="2" a="1"/>
  <c r="J23" i="2" a="1"/>
  <c r="J8" i="2" a="1"/>
  <c r="K71" i="2" a="1"/>
  <c r="K63" i="2" a="1"/>
  <c r="K22" i="2" a="1"/>
  <c r="K49" i="2" a="1"/>
  <c r="K73" i="2" a="1"/>
  <c r="AB74" i="2" a="1"/>
  <c r="AB28" i="2" a="1"/>
  <c r="C13" i="2" a="1"/>
  <c r="C39" i="2" a="1"/>
  <c r="C15" i="2" a="1"/>
  <c r="C29" i="2" a="1"/>
  <c r="AA9" i="2" a="1"/>
  <c r="AA27" i="2" a="1"/>
  <c r="AA13" i="2" a="1"/>
  <c r="I57" i="2" a="1"/>
  <c r="I49" i="2" a="1"/>
  <c r="Q72" i="2" a="1"/>
  <c r="Q62" i="2" a="1"/>
  <c r="W26" i="2" a="1"/>
  <c r="W45" i="2" a="1"/>
  <c r="F40" i="2" a="1"/>
  <c r="G66" i="2" a="1"/>
  <c r="G46" i="2" a="1"/>
  <c r="X71" i="2" a="1"/>
  <c r="AD44" i="2" a="1"/>
  <c r="AD40" i="2" a="1"/>
  <c r="V57" i="2" a="1"/>
  <c r="O44" i="2" a="1"/>
  <c r="P87" i="2" a="1"/>
  <c r="O10" i="2" a="1"/>
  <c r="Z26" i="2" a="1"/>
  <c r="Q31" i="2" a="1"/>
  <c r="H21" i="2" a="1"/>
  <c r="AB22" i="2" a="1"/>
  <c r="AB50" i="2" a="1"/>
  <c r="D58" i="2" a="1"/>
  <c r="V31" i="2" a="1"/>
  <c r="V67" i="2" a="1"/>
  <c r="D60" i="2" a="1"/>
  <c r="D85" i="2" a="1"/>
  <c r="J17" i="2" a="1"/>
  <c r="J9" i="2" a="1"/>
  <c r="R50" i="2" a="1"/>
  <c r="R42" i="2" a="1"/>
  <c r="U69" i="2" a="1"/>
  <c r="U47" i="2" a="1"/>
  <c r="O52" i="2" a="1"/>
  <c r="O29" i="2" a="1"/>
  <c r="P15" i="2" a="1"/>
  <c r="V20" i="2" a="1"/>
  <c r="V24" i="2" a="1"/>
  <c r="AC10" i="2" a="1"/>
  <c r="O16" i="2" a="1"/>
  <c r="Z51" i="2" a="1"/>
  <c r="T40" i="2" a="1"/>
  <c r="P58" i="2" a="1"/>
  <c r="D76" i="2" a="1"/>
  <c r="D26" i="2" a="1"/>
  <c r="V40" i="2" a="1"/>
  <c r="J63" i="2" a="1"/>
  <c r="J47" i="2" a="1"/>
  <c r="R46" i="2" a="1"/>
  <c r="R70" i="2" a="1"/>
  <c r="R60" i="2" a="1"/>
  <c r="U32" i="2" a="1"/>
  <c r="P14" i="2" a="1"/>
  <c r="O12" i="2" a="1"/>
  <c r="I19" i="2" a="1"/>
  <c r="Q28" i="2" a="1"/>
  <c r="H12" i="2" a="1"/>
  <c r="AB14" i="2" a="1"/>
  <c r="D14" i="2" a="1"/>
  <c r="D66" i="2" a="1"/>
  <c r="V21" i="2" a="1"/>
  <c r="V35" i="2" a="1"/>
  <c r="D13" i="2" a="1"/>
  <c r="D15" i="2" a="1"/>
  <c r="J53" i="2" a="1"/>
  <c r="J25" i="2" a="1"/>
  <c r="R72" i="2" a="1"/>
  <c r="R68" i="2" a="1"/>
  <c r="U18" i="2" a="1"/>
  <c r="U77" i="2" a="1"/>
  <c r="O33" i="2" a="1"/>
  <c r="O31" i="2" a="1"/>
  <c r="P16" i="2" a="1"/>
  <c r="V53" i="2" a="1"/>
  <c r="V15" i="2" a="1"/>
  <c r="AB20" i="2" a="1"/>
  <c r="C27" i="2" a="1"/>
  <c r="AA17" i="2" a="1"/>
  <c r="AA64" i="2" a="1"/>
  <c r="I12" i="2" a="1"/>
  <c r="I18" i="2" a="1"/>
  <c r="I16" i="2" a="1"/>
  <c r="Q21" i="2" a="1"/>
  <c r="Q68" i="2" a="1"/>
  <c r="W73" i="2" a="1"/>
  <c r="F54" i="2" a="1"/>
  <c r="F66" i="2" a="1"/>
  <c r="F52" i="2" a="1"/>
  <c r="G40" i="2" a="1"/>
  <c r="G48" i="2" a="1"/>
  <c r="X55" i="2" a="1"/>
  <c r="X59" i="2" a="1"/>
  <c r="X65" i="2" a="1"/>
  <c r="AD72" i="2" a="1"/>
  <c r="AD64" i="2" a="1"/>
  <c r="AB18" i="2" a="1"/>
  <c r="E12" i="2" a="1"/>
  <c r="I45" i="2" a="1"/>
  <c r="AF13" i="2" a="1"/>
  <c r="P44" i="2" a="1"/>
  <c r="Q26" i="2" a="1"/>
  <c r="H58" i="2" a="1"/>
  <c r="AB54" i="2" a="1"/>
  <c r="D74" i="2" a="1"/>
  <c r="V43" i="2" a="1"/>
  <c r="V29" i="2" a="1"/>
  <c r="D7" i="2" a="1"/>
  <c r="J21" i="2" a="1"/>
  <c r="J15" i="2" a="1"/>
  <c r="R62" i="2" a="1"/>
  <c r="R54" i="2" a="1"/>
  <c r="U55" i="2" a="1"/>
  <c r="U16" i="2" a="1"/>
  <c r="O66" i="2" a="1"/>
  <c r="P34" i="2" a="1"/>
  <c r="P21" i="2" a="1"/>
  <c r="P52" i="2" a="1"/>
  <c r="V8" i="2" a="1"/>
  <c r="V69" i="2" a="1"/>
  <c r="AC25" i="2" a="1"/>
  <c r="AC23" i="2" a="1"/>
  <c r="AC32" i="2" a="1"/>
  <c r="E50" i="2" a="1"/>
  <c r="E66" i="2" a="1"/>
  <c r="E70" i="2" a="1"/>
  <c r="E52" i="2" a="1"/>
  <c r="J28" i="2" a="1"/>
  <c r="J32" i="2" a="1"/>
  <c r="J30" i="2" a="1"/>
  <c r="J20" i="2" a="1"/>
  <c r="K75" i="2" a="1"/>
  <c r="K32" i="2" a="1"/>
  <c r="K43" i="2" a="1"/>
  <c r="K61" i="2" a="1"/>
  <c r="K47" i="2" a="1"/>
  <c r="AB15" i="2" a="1"/>
  <c r="C17" i="2" a="1"/>
  <c r="C19" i="2" a="1"/>
  <c r="C54" i="2" a="1"/>
  <c r="AA58" i="2" a="1"/>
  <c r="I26" i="2" a="1"/>
  <c r="Q40" i="2" a="1"/>
  <c r="Q52" i="2" a="1"/>
  <c r="W53" i="2" a="1"/>
  <c r="W47" i="2" a="1"/>
  <c r="F64" i="2" a="1"/>
  <c r="G58" i="2" a="1"/>
  <c r="G52" i="2" a="1"/>
  <c r="X61" i="2" a="1"/>
  <c r="AD50" i="2" a="1"/>
  <c r="E38" i="2" a="1"/>
  <c r="I84" i="2" a="1"/>
  <c r="Q18" i="2" a="1"/>
  <c r="H11" i="2" a="1"/>
  <c r="AB8" i="2" a="1"/>
  <c r="D34" i="2" a="1"/>
  <c r="V19" i="2" a="1"/>
  <c r="D10" i="2" a="1"/>
  <c r="D17" i="2" a="1"/>
  <c r="J35" i="2" a="1"/>
  <c r="J19" i="2" a="1"/>
  <c r="R76" i="2" a="1"/>
  <c r="U8" i="2" a="1"/>
  <c r="U14" i="2" a="1"/>
  <c r="U12" i="2" a="1"/>
  <c r="O7" i="2" a="1"/>
  <c r="P18" i="2" a="1"/>
  <c r="P27" i="2" a="1"/>
  <c r="V25" i="2" a="1"/>
  <c r="V32" i="2" a="1"/>
  <c r="AA29" i="2" a="1"/>
  <c r="I34" i="2" a="1"/>
  <c r="I73" i="2" a="1"/>
  <c r="Q42" i="2" a="1"/>
  <c r="Q48" i="2" a="1"/>
  <c r="W63" i="2" a="1"/>
  <c r="F42" i="2" a="1"/>
  <c r="F44" i="2" a="1"/>
  <c r="G8" i="2" a="1"/>
  <c r="G62" i="2" a="1"/>
  <c r="G76" i="2" a="1"/>
  <c r="X73" i="2" a="1"/>
  <c r="AD66" i="2" a="1"/>
  <c r="AD85" i="2" a="1"/>
  <c r="AD60" i="2" a="1"/>
  <c r="AB24" i="2" a="1"/>
  <c r="V61" i="2" a="1"/>
  <c r="E31" i="2" a="1"/>
  <c r="AC44" i="2" a="1"/>
  <c r="AF10" i="2" a="1"/>
  <c r="Q24" i="2" a="1"/>
  <c r="AB12" i="2" a="1"/>
  <c r="D40" i="2" a="1"/>
  <c r="D50" i="2" a="1"/>
  <c r="V7" i="2" a="1"/>
  <c r="V59" i="2" a="1"/>
  <c r="D35" i="2" a="1"/>
  <c r="D27" i="2" a="1"/>
  <c r="J71" i="2" a="1"/>
  <c r="R66" i="2" a="1"/>
  <c r="R83" i="2" a="1"/>
  <c r="U38" i="2" a="1"/>
  <c r="U34" i="2" a="1"/>
  <c r="O11" i="2" a="1"/>
  <c r="O58" i="2" a="1"/>
  <c r="P9" i="2" a="1"/>
  <c r="P17" i="2" a="1"/>
  <c r="V34" i="2" a="1"/>
  <c r="V45" i="2" a="1"/>
  <c r="AC24" i="2" a="1"/>
  <c r="AC33" i="2" a="1"/>
  <c r="AC14" i="2" a="1"/>
  <c r="E76" i="2" a="1"/>
  <c r="E74" i="2" a="1"/>
  <c r="E54" i="2" a="1"/>
  <c r="E35" i="2" a="1"/>
  <c r="J26" i="2" a="1"/>
  <c r="J38" i="2" a="1"/>
  <c r="J22" i="2" a="1"/>
  <c r="J40" i="2" a="1"/>
  <c r="K59" i="2" a="1"/>
  <c r="K65" i="2" a="1"/>
  <c r="AB23" i="2" a="1"/>
  <c r="AB72" i="2" a="1"/>
  <c r="AB21" i="2" a="1"/>
  <c r="AB11" i="2" a="1"/>
  <c r="AB27" i="2" a="1"/>
  <c r="C21" i="2" a="1"/>
  <c r="C68" i="2" a="1"/>
  <c r="C85" i="2" a="1"/>
  <c r="C7" i="2" a="1"/>
  <c r="AA31" i="2" a="1"/>
  <c r="AA11" i="2" a="1"/>
  <c r="I8" i="2" a="1"/>
  <c r="I20" i="2" a="1"/>
  <c r="Q76" i="2" a="1"/>
  <c r="Q64" i="2" a="1"/>
  <c r="W49" i="2" a="1"/>
  <c r="W75" i="2" a="1"/>
  <c r="F62" i="2" a="1"/>
  <c r="F70" i="2" a="1"/>
  <c r="G74" i="2" a="1"/>
  <c r="X53" i="2" a="1"/>
  <c r="X7" i="2" a="1"/>
  <c r="AD62" i="2" a="1"/>
  <c r="AD68" i="2" a="1"/>
  <c r="U29" i="2" a="1"/>
  <c r="V65" i="2" a="1"/>
  <c r="U11" i="2" a="1"/>
  <c r="AC50" i="2" a="1"/>
  <c r="H7" i="2" a="1"/>
  <c r="H18" i="2" a="1"/>
  <c r="D20" i="2" a="1"/>
  <c r="D16" i="2" a="1"/>
  <c r="V13" i="2" a="1"/>
  <c r="D31" i="2" a="1"/>
  <c r="D23" i="2" a="1"/>
  <c r="J55" i="2" a="1"/>
  <c r="J61" i="2" a="1"/>
  <c r="R44" i="2" a="1"/>
  <c r="R52" i="2" a="1"/>
  <c r="U20" i="2" a="1"/>
  <c r="O27" i="2" a="1"/>
  <c r="O87" i="2" a="1"/>
  <c r="O85" i="2" a="1"/>
  <c r="P13" i="2" a="1"/>
  <c r="P7" i="2" a="1"/>
  <c r="V14" i="2" a="1"/>
  <c r="AA25" i="2" a="1"/>
  <c r="I38" i="2" a="1"/>
  <c r="I28" i="2" a="1"/>
  <c r="Q44" i="2" a="1"/>
  <c r="W59" i="2" a="1"/>
  <c r="W77" i="2" a="1"/>
  <c r="F58" i="2" a="1"/>
  <c r="F60" i="2" a="1"/>
  <c r="G64" i="2" a="1"/>
  <c r="E91" i="2" a="1"/>
  <c r="X51" i="2" a="1"/>
  <c r="AD8" i="2" a="1"/>
  <c r="AD48" i="2" a="1"/>
  <c r="Q34" i="2" a="1"/>
  <c r="U43" i="2" a="1"/>
  <c r="AC27" i="2" a="1"/>
  <c r="AF62" i="2" a="1"/>
  <c r="Q15" i="2" a="1"/>
  <c r="H50" i="2" a="1"/>
  <c r="H72" i="2" a="1"/>
  <c r="AB62" i="2" a="1"/>
  <c r="D87" i="2" a="1"/>
  <c r="D42" i="2" a="1"/>
  <c r="V84" i="2" a="1"/>
  <c r="V27" i="2" a="1"/>
  <c r="D33" i="2" a="1"/>
  <c r="D9" i="2" a="1"/>
  <c r="J39" i="2" a="1"/>
  <c r="R48" i="2" a="1"/>
  <c r="R74" i="2" a="1"/>
  <c r="U26" i="2" a="1"/>
  <c r="U22" i="2" a="1"/>
  <c r="O17" i="2" a="1"/>
  <c r="O19" i="2" a="1"/>
  <c r="O35" i="2" a="1"/>
  <c r="P29" i="2" a="1"/>
  <c r="V26" i="2" a="1"/>
  <c r="V18" i="2" a="1"/>
  <c r="AC16" i="2" a="1"/>
  <c r="AC20" i="2" a="1"/>
  <c r="AC35" i="2" a="1"/>
  <c r="E46" i="2" a="1"/>
  <c r="E60" i="2" a="1"/>
  <c r="E64" i="2" a="1"/>
  <c r="E42" i="2" a="1"/>
  <c r="J24" i="2" a="1"/>
  <c r="J7" i="2" a="1"/>
  <c r="J12" i="2" a="1"/>
  <c r="K57" i="2" a="1"/>
  <c r="K55" i="2" a="1"/>
  <c r="AB32" i="2" a="1"/>
  <c r="K67" i="2" a="1"/>
  <c r="AB48" i="2" a="1"/>
  <c r="K40" i="2" a="1"/>
  <c r="AB29" i="2" a="1"/>
  <c r="AB9" i="2" a="1"/>
  <c r="C25" i="2" a="1"/>
  <c r="C46" i="2" a="1"/>
  <c r="C11" i="2" a="1"/>
  <c r="AA15" i="2" a="1"/>
  <c r="AA7" i="2" a="1"/>
  <c r="AA21" i="2" a="1"/>
  <c r="I41" i="2" a="1"/>
  <c r="I30" i="2" a="1"/>
  <c r="Q66" i="2" a="1"/>
  <c r="Q56" i="2" a="1"/>
  <c r="W43" i="2" a="1"/>
  <c r="W65" i="2" a="1"/>
  <c r="F68" i="2" a="1"/>
  <c r="F56" i="2" a="1"/>
  <c r="G68" i="2" a="1"/>
  <c r="G38" i="2" a="1"/>
  <c r="X63" i="2" a="1"/>
  <c r="X75" i="2" a="1"/>
  <c r="AD54" i="2" a="1"/>
  <c r="AC76" i="2" a="1"/>
  <c r="D64" i="2" a="1"/>
  <c r="V51" i="2" a="1"/>
  <c r="U17" i="2" a="1"/>
  <c r="T19" i="2" a="1"/>
  <c r="P66" i="2" a="1"/>
  <c r="AB34" i="2" a="1"/>
  <c r="V9" i="2" a="1"/>
  <c r="V73" i="2" a="1"/>
  <c r="D8" i="2" a="1"/>
  <c r="D29" i="2" a="1"/>
  <c r="J67" i="2" a="1"/>
  <c r="J69" i="2" a="1"/>
  <c r="R56" i="2" a="1"/>
  <c r="U24" i="2" a="1"/>
  <c r="U63" i="2" a="1"/>
  <c r="O25" i="2" a="1"/>
  <c r="O13" i="2" a="1"/>
  <c r="O60" i="2" a="1"/>
  <c r="V10" i="2" a="1"/>
  <c r="V47" i="2" a="1"/>
  <c r="V23" i="2" a="1"/>
  <c r="AC29" i="2" a="1"/>
  <c r="AC28" i="2" a="1"/>
  <c r="AC21" i="2" a="1"/>
  <c r="E62" i="2" a="1"/>
  <c r="E44" i="2" a="1"/>
  <c r="E72" i="2" a="1"/>
  <c r="E83" i="2" a="1"/>
  <c r="J31" i="2" a="1"/>
  <c r="J34" i="2" a="1"/>
  <c r="J14" i="2" a="1"/>
  <c r="K77" i="2" a="1"/>
  <c r="K53" i="2" a="1"/>
  <c r="AB19" i="2" a="1"/>
  <c r="K69" i="2" a="1"/>
  <c r="K51" i="2" a="1"/>
  <c r="AB31" i="2" a="1"/>
  <c r="AB33" i="2" a="1"/>
  <c r="AB25" i="2" a="1"/>
  <c r="C44" i="2" a="1"/>
  <c r="C35" i="2" a="1"/>
  <c r="C83" i="2" a="1"/>
  <c r="AA35" i="2" a="1"/>
  <c r="AA33" i="2" a="1"/>
  <c r="AA23" i="2" a="1"/>
  <c r="AA87" i="2" a="1"/>
  <c r="I32" i="2" a="1"/>
  <c r="I75" i="2" a="1"/>
  <c r="I24" i="2" a="1"/>
  <c r="I22" i="2" a="1"/>
  <c r="Q83" i="2" a="1"/>
  <c r="Q70" i="2" a="1"/>
  <c r="Q58" i="2" a="1"/>
  <c r="W71" i="2" a="1"/>
  <c r="W51" i="2" a="1"/>
  <c r="W55" i="2" a="1"/>
  <c r="W67" i="2" a="1"/>
  <c r="F34" i="2" a="1"/>
  <c r="F46" i="2" a="1"/>
  <c r="F48" i="2" a="1"/>
  <c r="F76" i="2" a="1"/>
  <c r="G44" i="2" a="1"/>
  <c r="G54" i="2" a="1"/>
  <c r="G41" i="2" a="1"/>
  <c r="X41" i="2" a="1"/>
  <c r="H17" i="2" a="1"/>
  <c r="P10" i="2" a="1"/>
  <c r="X69" i="2" a="1"/>
  <c r="AD52" i="2" a="1"/>
  <c r="G72" i="2" a="1"/>
  <c r="K45" i="2" a="1"/>
  <c r="Q46" i="2" a="1"/>
  <c r="X57" i="2" a="1"/>
  <c r="G60" i="2" a="1"/>
  <c r="G50" i="2" a="1"/>
  <c r="X84" i="2" a="1"/>
  <c r="V12" i="2" a="1"/>
  <c r="E23" i="2" a="1"/>
  <c r="J77" i="2" a="1"/>
  <c r="AB17" i="2" a="1"/>
  <c r="AA50" i="2" a="1"/>
  <c r="I77" i="2" a="1"/>
  <c r="W57" i="2" a="1"/>
  <c r="AB56" i="2" a="1"/>
  <c r="G56" i="2" a="1"/>
  <c r="Q25" i="2" a="1"/>
  <c r="AD70" i="2" a="1"/>
  <c r="AD74" i="2" a="1"/>
  <c r="D12" i="2" a="1"/>
  <c r="V28" i="2" a="1"/>
  <c r="X49" i="2" a="1"/>
  <c r="AD58" i="2" a="1"/>
  <c r="J11" i="2" a="1"/>
  <c r="E68" i="2" a="1"/>
  <c r="AA19" i="2" a="1"/>
  <c r="W69" i="2" a="1"/>
  <c r="AD42" i="2" a="1"/>
  <c r="X67" i="2" a="1"/>
  <c r="F83" i="2" a="1"/>
  <c r="F72" i="2" a="1"/>
  <c r="J45" i="2" a="1"/>
  <c r="AA42" i="2" a="1"/>
  <c r="AD83" i="2" a="1"/>
  <c r="C9" i="2" a="1"/>
  <c r="R8" i="2" a="1"/>
  <c r="AC12" i="2" a="1"/>
  <c r="E56" i="2" a="1"/>
  <c r="K41" i="2" a="1"/>
  <c r="C33" i="2" a="1"/>
  <c r="W61" i="2" a="1"/>
  <c r="O15" i="2" a="1"/>
  <c r="R58" i="2" a="1"/>
  <c r="X45" i="2" a="1"/>
  <c r="AC91" i="2" a="1"/>
  <c r="AB7" i="2" a="1"/>
  <c r="AA74" i="2" a="1"/>
  <c r="F50" i="2" a="1"/>
  <c r="W41" i="2" a="1"/>
  <c r="U71" i="2" a="1"/>
  <c r="AC26" i="2" a="1"/>
  <c r="J18" i="2" a="1"/>
  <c r="C31" i="2" a="1"/>
  <c r="Q60" i="2" a="1"/>
  <c r="AB64" i="2" a="1"/>
  <c r="AD46" i="2" a="1"/>
  <c r="C23" i="2" a="1"/>
  <c r="Q54" i="2" a="1"/>
  <c r="O21" i="2" a="1"/>
  <c r="AC18" i="2" a="1"/>
  <c r="J29" i="2" a="1"/>
  <c r="AB13" i="2" a="1"/>
  <c r="I10" i="2" a="1"/>
  <c r="X47" i="2" a="1"/>
  <c r="I65" i="2" a="1"/>
  <c r="P23" i="2" a="1"/>
  <c r="AC30" i="2" a="1"/>
  <c r="J10" i="2" a="1"/>
  <c r="L59" i="2" a="1"/>
  <c r="L51" i="2" a="1"/>
  <c r="L49" i="2" a="1"/>
  <c r="L71" i="2" a="1"/>
  <c r="AE70" i="2" a="1"/>
  <c r="AE56" i="2" a="1"/>
  <c r="AE64" i="2" a="1"/>
  <c r="AE60" i="2" a="1"/>
  <c r="Y75" i="2" a="1"/>
  <c r="Y55" i="2" a="1"/>
  <c r="Y77" i="2" a="1"/>
  <c r="Y29" i="2" a="1"/>
  <c r="M69" i="2" a="1"/>
  <c r="M73" i="2" a="1"/>
  <c r="M51" i="2" a="1"/>
  <c r="Z19" i="2" a="1"/>
  <c r="Z29" i="2" a="1"/>
  <c r="Z17" i="2" a="1"/>
  <c r="Z77" i="2" a="1"/>
  <c r="S34" i="2" a="1"/>
  <c r="S70" i="2" a="1"/>
  <c r="S83" i="2" a="1"/>
  <c r="S52" i="2" a="1"/>
  <c r="AA77" i="2" a="1"/>
  <c r="AA55" i="2" a="1"/>
  <c r="AA66" i="2" a="1"/>
  <c r="S91" i="2" a="1"/>
  <c r="I54" i="2" a="1"/>
  <c r="I85" i="2" a="1"/>
  <c r="I87" i="2" a="1"/>
  <c r="N27" i="2" a="1"/>
  <c r="N11" i="2" a="1"/>
  <c r="N23" i="2" a="1"/>
  <c r="N7" i="2" a="1"/>
  <c r="T76" i="2" a="1"/>
  <c r="T12" i="2" a="1"/>
  <c r="T50" i="2" a="1"/>
  <c r="T32" i="2" a="1"/>
  <c r="H68" i="2" a="1"/>
  <c r="H22" i="2" a="1"/>
  <c r="H28" i="2" a="1"/>
  <c r="R91" i="2" a="1"/>
  <c r="AF34" i="2" a="1"/>
  <c r="AF76" i="2" a="1"/>
  <c r="AF83" i="2" a="1"/>
  <c r="O51" i="2" a="1"/>
  <c r="O43" i="2" a="1"/>
  <c r="O39" i="2" a="1"/>
  <c r="O61" i="2" a="1"/>
  <c r="C47" i="2" a="1"/>
  <c r="C67" i="2" a="1"/>
  <c r="C63" i="2" a="1"/>
  <c r="C57" i="2" a="1"/>
  <c r="U54" i="2" a="1"/>
  <c r="U42" i="2" a="1"/>
  <c r="U46" i="2" a="1"/>
  <c r="AE91" i="2" a="1"/>
  <c r="I90" i="2" a="1"/>
  <c r="S60" i="2" a="1"/>
  <c r="I72" i="2" a="1"/>
  <c r="L7" i="2" a="1"/>
  <c r="L63" i="2" a="1"/>
  <c r="L65" i="2" a="1"/>
  <c r="L75" i="2" a="1"/>
  <c r="AE52" i="2" a="1"/>
  <c r="AE87" i="2" a="1"/>
  <c r="AE76" i="2" a="1"/>
  <c r="AE39" i="2" a="1"/>
  <c r="Y63" i="2" a="1"/>
  <c r="Y45" i="2" a="1"/>
  <c r="Y57" i="2" a="1"/>
  <c r="M55" i="2" a="1"/>
  <c r="M7" i="2" a="1"/>
  <c r="M40" i="2" a="1"/>
  <c r="M47" i="2" a="1"/>
  <c r="Z13" i="2" a="1"/>
  <c r="Z35" i="2" a="1"/>
  <c r="Z15" i="2" a="1"/>
  <c r="Z11" i="2" a="1"/>
  <c r="S54" i="2" a="1"/>
  <c r="S56" i="2" a="1"/>
  <c r="S42" i="2" a="1"/>
  <c r="AA67" i="2" a="1"/>
  <c r="AA47" i="2" a="1"/>
  <c r="AA63" i="2" a="1"/>
  <c r="I83" i="2" a="1"/>
  <c r="Y49" i="2" a="1"/>
  <c r="Z53" i="2" a="1"/>
  <c r="Z73" i="2" a="1"/>
  <c r="S72" i="2" a="1"/>
  <c r="AA51" i="2" a="1"/>
  <c r="AA41" i="2" a="1"/>
  <c r="AA39" i="2" a="1"/>
  <c r="I70" i="2" a="1"/>
  <c r="I52" i="2" a="1"/>
  <c r="L43" i="2" a="1"/>
  <c r="L57" i="2" a="1"/>
  <c r="L41" i="2" a="1"/>
  <c r="L67" i="2" a="1"/>
  <c r="AE42" i="2" a="1"/>
  <c r="AE74" i="2" a="1"/>
  <c r="AE44" i="2" a="1"/>
  <c r="AE38" i="2" a="1"/>
  <c r="Y73" i="2" a="1"/>
  <c r="Y35" i="2" a="1"/>
  <c r="M77" i="2" a="1"/>
  <c r="M75" i="2" a="1"/>
  <c r="M63" i="2" a="1"/>
  <c r="M39" i="2" a="1"/>
  <c r="Z61" i="2" a="1"/>
  <c r="Z23" i="2" a="1"/>
  <c r="S46" i="2" a="1"/>
  <c r="S50" i="2" a="1"/>
  <c r="AA84" i="2" a="1"/>
  <c r="I42" i="2" a="1"/>
  <c r="I46" i="2" a="1"/>
  <c r="M53" i="2" a="1"/>
  <c r="S40" i="2" a="1"/>
  <c r="S68" i="2" a="1"/>
  <c r="AA43" i="2" a="1"/>
  <c r="AA73" i="2" a="1"/>
  <c r="I66" i="2" a="1"/>
  <c r="I50" i="2" a="1"/>
  <c r="N29" i="2" a="1"/>
  <c r="L39" i="2" a="1"/>
  <c r="L45" i="2" a="1"/>
  <c r="L55" i="2" a="1"/>
  <c r="L84" i="2" a="1"/>
  <c r="AE46" i="2" a="1"/>
  <c r="AE58" i="2" a="1"/>
  <c r="AE54" i="2" a="1"/>
  <c r="Y71" i="2" a="1"/>
  <c r="Y61" i="2" a="1"/>
  <c r="Y59" i="2" a="1"/>
  <c r="Y51" i="2" a="1"/>
  <c r="M71" i="2" a="1"/>
  <c r="M61" i="2" a="1"/>
  <c r="M45" i="2" a="1"/>
  <c r="Z9" i="2" a="1"/>
  <c r="Z33" i="2" a="1"/>
  <c r="Z75" i="2" a="1"/>
  <c r="Z27" i="2" a="1"/>
  <c r="S74" i="2" a="1"/>
  <c r="AA53" i="2" a="1"/>
  <c r="AA49" i="2" a="1"/>
  <c r="I58" i="2" a="1"/>
  <c r="I76" i="2" a="1"/>
  <c r="AF48" i="2" a="1"/>
  <c r="C49" i="2" a="1"/>
  <c r="U72" i="2" a="1"/>
  <c r="U48" i="2" a="1"/>
  <c r="I82" i="2" a="1"/>
  <c r="C90" i="2" a="1"/>
  <c r="L69" i="2" a="1"/>
  <c r="L47" i="2" a="1"/>
  <c r="L61" i="2" a="1"/>
  <c r="Q91" i="2" a="1"/>
  <c r="AE48" i="2" a="1"/>
  <c r="AE72" i="2" a="1"/>
  <c r="AE68" i="2" a="1"/>
  <c r="Y39" i="2" a="1"/>
  <c r="Y67" i="2" a="1"/>
  <c r="Y65" i="2" a="1"/>
  <c r="Y43" i="2" a="1"/>
  <c r="M43" i="2" a="1"/>
  <c r="M67" i="2" a="1"/>
  <c r="M49" i="2" a="1"/>
  <c r="M65" i="2" a="1"/>
  <c r="Z69" i="2" a="1"/>
  <c r="Z84" i="2" a="1"/>
  <c r="Z21" i="2" a="1"/>
  <c r="S62" i="2" a="1"/>
  <c r="S48" i="2" a="1"/>
  <c r="S44" i="2" a="1"/>
  <c r="S58" i="2" a="1"/>
  <c r="AA59" i="2" a="1"/>
  <c r="AA45" i="2" a="1"/>
  <c r="AA65" i="2" a="1"/>
  <c r="AA57" i="2" a="1"/>
  <c r="I64" i="2" a="1"/>
  <c r="I56" i="2" a="1"/>
  <c r="I40" i="2" a="1"/>
  <c r="I62" i="2" a="1"/>
  <c r="N13" i="2" a="1"/>
  <c r="N71" i="2" a="1"/>
  <c r="N9" i="2" a="1"/>
  <c r="T20" i="2" a="1"/>
  <c r="T24" i="2" a="1"/>
  <c r="T83" i="2" a="1"/>
  <c r="T34" i="2" a="1"/>
  <c r="H60" i="2" a="1"/>
  <c r="H20" i="2" a="1"/>
  <c r="H8" i="2" a="1"/>
  <c r="H40" i="2" a="1"/>
  <c r="AF56" i="2" a="1"/>
  <c r="AF22" i="2" a="1"/>
  <c r="AF26" i="2" a="1"/>
  <c r="O59" i="2" a="1"/>
  <c r="O71" i="2" a="1"/>
  <c r="O63" i="2" a="1"/>
  <c r="C53" i="2" a="1"/>
  <c r="C84" i="2" a="1"/>
  <c r="C65" i="2" a="1"/>
  <c r="U85" i="2" a="1"/>
  <c r="U40" i="2" a="1"/>
  <c r="I89" i="2" a="1"/>
  <c r="U82" i="2" a="1"/>
  <c r="AB63" i="2" a="1"/>
  <c r="U66" i="2" a="1"/>
  <c r="I92" i="2" a="1"/>
  <c r="U89" i="2" a="1"/>
  <c r="AB49" i="2" a="1"/>
  <c r="AB55" i="2" a="1"/>
  <c r="P67" i="2" a="1"/>
  <c r="P84" i="2" a="1"/>
  <c r="F73" i="2" a="1"/>
  <c r="J48" i="2" a="1"/>
  <c r="L73" i="2" a="1"/>
  <c r="L53" i="2" a="1"/>
  <c r="L77" i="2" a="1"/>
  <c r="AE66" i="2" a="1"/>
  <c r="AE50" i="2" a="1"/>
  <c r="AE40" i="2" a="1"/>
  <c r="AE62" i="2" a="1"/>
  <c r="Y47" i="2" a="1"/>
  <c r="Y53" i="2" a="1"/>
  <c r="Y69" i="2" a="1"/>
  <c r="Y41" i="2" a="1"/>
  <c r="M57" i="2" a="1"/>
  <c r="M41" i="2" a="1"/>
  <c r="M59" i="2" a="1"/>
  <c r="AD91" i="2" a="1"/>
  <c r="Z25" i="2" a="1"/>
  <c r="Z31" i="2" a="1"/>
  <c r="Z45" i="2" a="1"/>
  <c r="S64" i="2" a="1"/>
  <c r="S76" i="2" a="1"/>
  <c r="S66" i="2" a="1"/>
  <c r="S39" i="2" a="1"/>
  <c r="AA71" i="2" a="1"/>
  <c r="AA69" i="2" a="1"/>
  <c r="AA61" i="2" a="1"/>
  <c r="AA75" i="2" a="1"/>
  <c r="I48" i="2" a="1"/>
  <c r="I74" i="2" a="1"/>
  <c r="I68" i="2" a="1"/>
  <c r="N25" i="2" a="1"/>
  <c r="N63" i="2" a="1"/>
  <c r="N75" i="2" a="1"/>
  <c r="N15" i="2" a="1"/>
  <c r="T38" i="2" a="1"/>
  <c r="T66" i="2" a="1"/>
  <c r="T42" i="2" a="1"/>
  <c r="T16" i="2" a="1"/>
  <c r="H83" i="2" a="1"/>
  <c r="H14" i="2" a="1"/>
  <c r="H34" i="2" a="1"/>
  <c r="H44" i="2" a="1"/>
  <c r="AF74" i="2" a="1"/>
  <c r="AF28" i="2" a="1"/>
  <c r="AF30" i="2" a="1"/>
  <c r="O57" i="2" a="1"/>
  <c r="O67" i="2" a="1"/>
  <c r="O77" i="2" a="1"/>
  <c r="O41" i="2" a="1"/>
  <c r="C77" i="2" a="1"/>
  <c r="C71" i="2" a="1"/>
  <c r="C62" i="2" a="1"/>
  <c r="C59" i="2" a="1"/>
  <c r="U70" i="2" a="1"/>
  <c r="U50" i="2" a="1"/>
  <c r="G91" i="2" a="1"/>
  <c r="U86" i="2" a="1"/>
  <c r="C82" i="2" a="1"/>
  <c r="AB51" i="2" a="1"/>
  <c r="I91" i="2" a="1"/>
  <c r="P71" i="2" a="1"/>
  <c r="F53" i="2" a="1"/>
  <c r="F67" i="2" a="1"/>
  <c r="F49" i="2" a="1"/>
  <c r="N35" i="2" a="1"/>
  <c r="T14" i="2" a="1"/>
  <c r="H16" i="2" a="1"/>
  <c r="AF85" i="2" a="1"/>
  <c r="AF72" i="2" a="1"/>
  <c r="O65" i="2" a="1"/>
  <c r="C69" i="2" a="1"/>
  <c r="U64" i="2" a="1"/>
  <c r="H91" i="2" a="1"/>
  <c r="AB69" i="2" a="1"/>
  <c r="AB45" i="2" a="1"/>
  <c r="P77" i="2" a="1"/>
  <c r="P41" i="2" a="1"/>
  <c r="F41" i="2" a="1"/>
  <c r="F57" i="2" a="1"/>
  <c r="J60" i="2" a="1"/>
  <c r="J85" i="2" a="1"/>
  <c r="D45" i="2" a="1"/>
  <c r="D69" i="2" a="1"/>
  <c r="I60" i="2" a="1"/>
  <c r="N31" i="2" a="1"/>
  <c r="T74" i="2" a="1"/>
  <c r="H74" i="2" a="1"/>
  <c r="AF64" i="2" a="1"/>
  <c r="AF14" i="2" a="1"/>
  <c r="O53" i="2" a="1"/>
  <c r="C61" i="2" a="1"/>
  <c r="U56" i="2" a="1"/>
  <c r="AF91" i="2" a="1"/>
  <c r="C88" i="2" a="1"/>
  <c r="AB59" i="2" a="1"/>
  <c r="AB53" i="2" a="1"/>
  <c r="P35" i="2" a="1"/>
  <c r="P69" i="2" a="1"/>
  <c r="F85" i="2" a="1"/>
  <c r="J72" i="2" a="1"/>
  <c r="J64" i="2" a="1"/>
  <c r="D49" i="2" a="1"/>
  <c r="D53" i="2" a="1"/>
  <c r="N21" i="2" a="1"/>
  <c r="T85" i="2" a="1"/>
  <c r="H9" i="2" a="1"/>
  <c r="AF38" i="2" a="1"/>
  <c r="AF40" i="2" a="1"/>
  <c r="O75" i="2" a="1"/>
  <c r="C70" i="2" a="1"/>
  <c r="U87" i="2" a="1"/>
  <c r="T91" i="2" a="1"/>
  <c r="C86" i="2" a="1"/>
  <c r="AB43" i="2" a="1"/>
  <c r="AB47" i="2" a="1"/>
  <c r="P75" i="2" a="1"/>
  <c r="P59" i="2" a="1"/>
  <c r="F59" i="2" a="1"/>
  <c r="J50" i="2" a="1"/>
  <c r="J74" i="2" a="1"/>
  <c r="D67" i="2" a="1"/>
  <c r="D83" i="2" a="1"/>
  <c r="D73" i="2" a="1"/>
  <c r="AB73" i="2" a="1"/>
  <c r="F43" i="2" a="1"/>
  <c r="N55" i="2" a="1"/>
  <c r="T10" i="2" a="1"/>
  <c r="H52" i="2" a="1"/>
  <c r="AF12" i="2" a="1"/>
  <c r="O49" i="2" a="1"/>
  <c r="O45" i="2" a="1"/>
  <c r="C41" i="2" a="1"/>
  <c r="U44" i="2" a="1"/>
  <c r="I86" i="2" a="1"/>
  <c r="C81" i="2" a="1"/>
  <c r="J70" i="2" a="1"/>
  <c r="D59" i="2" a="1"/>
  <c r="D63" i="2" a="1"/>
  <c r="F61" i="2" a="1"/>
  <c r="J66" i="2" a="1"/>
  <c r="D51" i="2" a="1"/>
  <c r="P53" i="2" a="1"/>
  <c r="F87" i="2" a="1"/>
  <c r="J68" i="2" a="1"/>
  <c r="F91" i="2" a="1"/>
  <c r="AF20" i="2" a="1"/>
  <c r="U58" i="2" a="1"/>
  <c r="AB61" i="2" a="1"/>
  <c r="F75" i="2" a="1"/>
  <c r="J44" i="2" a="1"/>
  <c r="H30" i="2" a="1"/>
  <c r="O84" i="2" a="1"/>
  <c r="C55" i="2" a="1"/>
  <c r="U81" i="2" a="1"/>
  <c r="AB71" i="2" a="1"/>
  <c r="F71" i="2" a="1"/>
  <c r="J46" i="2" a="1"/>
  <c r="N77" i="2" a="1"/>
  <c r="H32" i="2" a="1"/>
  <c r="U52" i="2" a="1"/>
  <c r="J54" i="2" a="1"/>
  <c r="AB35" i="2" a="1"/>
  <c r="F69" i="2" a="1"/>
  <c r="J83" i="2" a="1"/>
  <c r="I44" i="2" a="1"/>
  <c r="P43" i="2" a="1"/>
  <c r="D43" i="2" a="1"/>
  <c r="N33" i="2" a="1"/>
  <c r="N19" i="2" a="1"/>
  <c r="T30" i="2" a="1"/>
  <c r="H24" i="2" a="1"/>
  <c r="AF24" i="2" a="1"/>
  <c r="O68" i="2" a="1"/>
  <c r="O73" i="2" a="1"/>
  <c r="C75" i="2" a="1"/>
  <c r="U83" i="2" a="1"/>
  <c r="I81" i="2" a="1"/>
  <c r="AB87" i="2" a="1"/>
  <c r="P55" i="2" a="1"/>
  <c r="P65" i="2" a="1"/>
  <c r="F65" i="2" a="1"/>
  <c r="J52" i="2" a="1"/>
  <c r="D65" i="2" a="1"/>
  <c r="AB84" i="2" a="1"/>
  <c r="J56" i="2" a="1"/>
  <c r="D61" i="2" a="1"/>
  <c r="N17" i="2" a="1"/>
  <c r="C43" i="2" a="1"/>
  <c r="U90" i="2" a="1"/>
  <c r="P49" i="2" a="1"/>
  <c r="F63" i="2" a="1"/>
  <c r="D39" i="2" a="1"/>
  <c r="T28" i="2" a="1"/>
  <c r="AF32" i="2" a="1"/>
  <c r="U60" i="2" a="1"/>
  <c r="P45" i="2" a="1"/>
  <c r="F55" i="2" a="1"/>
  <c r="D77" i="2" a="1"/>
  <c r="H76" i="2" a="1"/>
  <c r="C51" i="2" a="1"/>
  <c r="J42" i="2" a="1"/>
  <c r="AB41" i="2" a="1"/>
  <c r="P85" i="2" a="1"/>
  <c r="D57" i="2" a="1"/>
  <c r="C92" i="2" a="1"/>
  <c r="J75" i="2" a="1"/>
  <c r="N47" i="2" a="1"/>
  <c r="T58" i="2" a="1"/>
  <c r="T18" i="2" a="1"/>
  <c r="H10" i="2" a="1"/>
  <c r="AF18" i="2" a="1"/>
  <c r="O55" i="2" a="1"/>
  <c r="C45" i="2" a="1"/>
  <c r="C73" i="2" a="1"/>
  <c r="U68" i="2" a="1"/>
  <c r="I88" i="2" a="1"/>
  <c r="C89" i="2" a="1"/>
  <c r="AB75" i="2" a="1"/>
  <c r="P73" i="2" a="1"/>
  <c r="P57" i="2" a="1"/>
  <c r="F77" i="2" a="1"/>
  <c r="F45" i="2" a="1"/>
  <c r="J62" i="2" a="1"/>
  <c r="D41" i="2" a="1"/>
  <c r="D75" i="2" a="1"/>
  <c r="AB67" i="2" a="1"/>
  <c r="P63" i="2" a="1"/>
  <c r="F51" i="2" a="1"/>
  <c r="D55" i="2" a="1"/>
  <c r="T22" i="2" a="1"/>
  <c r="H26" i="2" a="1"/>
  <c r="O47" i="2" a="1"/>
  <c r="U62" i="2" a="1"/>
  <c r="AB57" i="2" a="1"/>
  <c r="P51" i="2" a="1"/>
  <c r="J87" i="2" a="1"/>
  <c r="N84" i="2" a="1"/>
  <c r="H38" i="2" a="1"/>
  <c r="U76" i="2" a="1"/>
  <c r="AB65" i="2" a="1"/>
  <c r="P61" i="2" a="1"/>
  <c r="J76" i="2" a="1"/>
  <c r="D71" i="2" a="1"/>
  <c r="T26" i="2" a="1"/>
  <c r="AF16" i="2" a="1"/>
  <c r="O69" i="2" a="1"/>
  <c r="U74" i="2" a="1"/>
  <c r="U88" i="2" a="1"/>
  <c r="D47" i="2" a="1"/>
  <c r="U92" i="2" a="1"/>
  <c r="P47" i="2" a="1"/>
  <c r="F84" i="2" a="1"/>
  <c r="D84" i="2" a="1"/>
  <c r="AB77" i="2" a="1"/>
  <c r="F47" i="2" a="1"/>
  <c r="J58" i="2" a="1"/>
  <c r="W84" i="2" a="1"/>
  <c r="W74" i="2" a="1"/>
  <c r="W46" i="2" a="1"/>
  <c r="W56" i="2" a="1"/>
  <c r="V83" i="2" a="1"/>
  <c r="V68" i="2" a="1"/>
  <c r="V85" i="2" a="1"/>
  <c r="V58" i="2" a="1"/>
  <c r="AC65" i="2" a="1"/>
  <c r="AC51" i="2" a="1"/>
  <c r="AC87" i="2" a="1"/>
  <c r="AC47" i="2" a="1"/>
  <c r="Q49" i="2" a="1"/>
  <c r="Q77" i="2" a="1"/>
  <c r="Q55" i="2" a="1"/>
  <c r="O88" i="2" a="1"/>
  <c r="K42" i="2" a="1"/>
  <c r="K66" i="2" a="1"/>
  <c r="K62" i="2" a="1"/>
  <c r="AD73" i="2" a="1"/>
  <c r="AD69" i="2" a="1"/>
  <c r="AD63" i="2" a="1"/>
  <c r="AD53" i="2" a="1"/>
  <c r="E77" i="2" a="1"/>
  <c r="V88" i="2" a="1"/>
  <c r="J89" i="2" a="1"/>
  <c r="AA86" i="2" a="1"/>
  <c r="J91" i="2" a="1"/>
  <c r="Q89" i="2" a="1"/>
  <c r="K92" i="2" a="1"/>
  <c r="R51" i="2" a="1"/>
  <c r="L68" i="2" a="1"/>
  <c r="L70" i="2" a="1"/>
  <c r="L58" i="2" a="1"/>
  <c r="AF53" i="2" a="1"/>
  <c r="AF67" i="2" a="1"/>
  <c r="H85" i="2" a="1"/>
  <c r="H61" i="2" a="1"/>
  <c r="E49" i="2" a="1"/>
  <c r="AB90" i="2" a="1"/>
  <c r="E89" i="2" a="1"/>
  <c r="K88" i="2" a="1"/>
  <c r="R53" i="2" a="1"/>
  <c r="L83" i="2" a="1"/>
  <c r="AF69" i="2" a="1"/>
  <c r="H55" i="2" a="1"/>
  <c r="Q65" i="2" a="1"/>
  <c r="AD84" i="2" a="1"/>
  <c r="V81" i="2" a="1"/>
  <c r="AA92" i="2" a="1"/>
  <c r="AC90" i="2" a="1"/>
  <c r="R59" i="2" a="1"/>
  <c r="R73" i="2" a="1"/>
  <c r="L40" i="2" a="1"/>
  <c r="AF47" i="2" a="1"/>
  <c r="W60" i="2" a="1"/>
  <c r="W50" i="2" a="1"/>
  <c r="W48" i="2" a="1"/>
  <c r="V48" i="2" a="1"/>
  <c r="V44" i="2" a="1"/>
  <c r="V62" i="2" a="1"/>
  <c r="V54" i="2" a="1"/>
  <c r="AC55" i="2" a="1"/>
  <c r="AC53" i="2" a="1"/>
  <c r="AC45" i="2" a="1"/>
  <c r="Q69" i="2" a="1"/>
  <c r="Q87" i="2" a="1"/>
  <c r="Q57" i="2" a="1"/>
  <c r="O89" i="2" a="1"/>
  <c r="K83" i="2" a="1"/>
  <c r="K85" i="2" a="1"/>
  <c r="K58" i="2" a="1"/>
  <c r="AD61" i="2" a="1"/>
  <c r="AD65" i="2" a="1"/>
  <c r="E84" i="2" a="1"/>
  <c r="E59" i="2" a="1"/>
  <c r="J86" i="2" a="1"/>
  <c r="J90" i="2" a="1"/>
  <c r="AC82" i="2" a="1"/>
  <c r="Q81" i="2" a="1"/>
  <c r="R71" i="2" a="1"/>
  <c r="L85" i="2" a="1"/>
  <c r="L56" i="2" a="1"/>
  <c r="AF49" i="2" a="1"/>
  <c r="AF87" i="2" a="1"/>
  <c r="H69" i="2" a="1"/>
  <c r="K48" i="2" a="1"/>
  <c r="K76" i="2" a="1"/>
  <c r="AD41" i="2" a="1"/>
  <c r="E47" i="2" a="1"/>
  <c r="D88" i="2" a="1"/>
  <c r="AB88" i="2" a="1"/>
  <c r="E92" i="2" a="1"/>
  <c r="R69" i="2" a="1"/>
  <c r="L87" i="2" a="1"/>
  <c r="W92" i="2" a="1"/>
  <c r="H87" i="2" a="1"/>
  <c r="W64" i="2" a="1"/>
  <c r="Q51" i="2" a="1"/>
  <c r="K56" i="2" a="1"/>
  <c r="AD77" i="2" a="1"/>
  <c r="D92" i="2" a="1"/>
  <c r="R85" i="2" a="1"/>
  <c r="H71" i="2" a="1"/>
  <c r="AD45" i="2" a="1"/>
  <c r="K89" i="2" a="1"/>
  <c r="W82" i="2" a="1"/>
  <c r="AC43" i="2" a="1"/>
  <c r="E73" i="2" a="1"/>
  <c r="Q86" i="2" a="1"/>
  <c r="AF65" i="2" a="1"/>
  <c r="W76" i="2" a="1"/>
  <c r="W72" i="2" a="1"/>
  <c r="W66" i="2" a="1"/>
  <c r="W54" i="2" a="1"/>
  <c r="V87" i="2" a="1"/>
  <c r="V74" i="2" a="1"/>
  <c r="V50" i="2" a="1"/>
  <c r="U91" i="2" a="1"/>
  <c r="AC71" i="2" a="1"/>
  <c r="AC84" i="2" a="1"/>
  <c r="Q67" i="2" a="1"/>
  <c r="Q73" i="2" a="1"/>
  <c r="O90" i="2" a="1"/>
  <c r="K44" i="2" a="1"/>
  <c r="E67" i="2" a="1"/>
  <c r="P89" i="2" a="1"/>
  <c r="AF57" i="2" a="1"/>
  <c r="K50" i="2" a="1"/>
  <c r="E55" i="2" a="1"/>
  <c r="E61" i="2" a="1"/>
  <c r="J81" i="2" a="1"/>
  <c r="D82" i="2" a="1"/>
  <c r="AB92" i="2" a="1"/>
  <c r="E88" i="2" a="1"/>
  <c r="Q88" i="2" a="1"/>
  <c r="K90" i="2" a="1"/>
  <c r="R57" i="2" a="1"/>
  <c r="R49" i="2" a="1"/>
  <c r="L72" i="2" a="1"/>
  <c r="L64" i="2" a="1"/>
  <c r="K91" i="2" a="1"/>
  <c r="AF71" i="2" a="1"/>
  <c r="H53" i="2" a="1"/>
  <c r="H57" i="2" a="1"/>
  <c r="E65" i="2" a="1"/>
  <c r="J82" i="2" a="1"/>
  <c r="AB81" i="2" a="1"/>
  <c r="Q92" i="2" a="1"/>
  <c r="K82" i="2" a="1"/>
  <c r="R65" i="2" a="1"/>
  <c r="L62" i="2" a="1"/>
  <c r="W91" i="2" a="1"/>
  <c r="AF43" i="2" a="1"/>
  <c r="H45" i="2" a="1"/>
  <c r="Q59" i="2" a="1"/>
  <c r="K60" i="2" a="1"/>
  <c r="E51" i="2" a="1"/>
  <c r="J92" i="2" a="1"/>
  <c r="AA89" i="2" a="1"/>
  <c r="E90" i="2" a="1"/>
  <c r="R39" i="2" a="1"/>
  <c r="L50" i="2" a="1"/>
  <c r="AF63" i="2" a="1"/>
  <c r="H67" i="2" a="1"/>
  <c r="W83" i="2" a="1"/>
  <c r="W85" i="2" a="1"/>
  <c r="W68" i="2" a="1"/>
  <c r="W87" i="2" a="1"/>
  <c r="V46" i="2" a="1"/>
  <c r="V64" i="2" a="1"/>
  <c r="V72" i="2" a="1"/>
  <c r="AC41" i="2" a="1"/>
  <c r="AC61" i="2" a="1"/>
  <c r="AC75" i="2" a="1"/>
  <c r="AC57" i="2" a="1"/>
  <c r="Q75" i="2" a="1"/>
  <c r="Q47" i="2" a="1"/>
  <c r="Q43" i="2" a="1"/>
  <c r="Q41" i="2" a="1"/>
  <c r="O82" i="2" a="1"/>
  <c r="K46" i="2" a="1"/>
  <c r="K54" i="2" a="1"/>
  <c r="K74" i="2" a="1"/>
  <c r="AD57" i="2" a="1"/>
  <c r="AD43" i="2" a="1"/>
  <c r="AD51" i="2" a="1"/>
  <c r="E87" i="2" a="1"/>
  <c r="E85" i="2" a="1"/>
  <c r="V82" i="2" a="1"/>
  <c r="D90" i="2" a="1"/>
  <c r="AA81" i="2" a="1"/>
  <c r="AC89" i="2" a="1"/>
  <c r="Q90" i="2" a="1"/>
  <c r="P90" i="2" a="1"/>
  <c r="R45" i="2" a="1"/>
  <c r="R47" i="2" a="1"/>
  <c r="L46" i="2" a="1"/>
  <c r="W86" i="2" a="1"/>
  <c r="AF77" i="2" a="1"/>
  <c r="AF41" i="2" a="1"/>
  <c r="H49" i="2" a="1"/>
  <c r="H77" i="2" a="1"/>
  <c r="E53" i="2" a="1"/>
  <c r="AC86" i="2" a="1"/>
  <c r="P82" i="2" a="1"/>
  <c r="R75" i="2" a="1"/>
  <c r="L54" i="2" a="1"/>
  <c r="W81" i="2" a="1"/>
  <c r="AF55" i="2" a="1"/>
  <c r="H43" i="2" a="1"/>
  <c r="O92" i="2" a="1"/>
  <c r="AD71" i="2" a="1"/>
  <c r="E71" i="2" a="1"/>
  <c r="V89" i="2" a="1"/>
  <c r="AB86" i="2" a="1"/>
  <c r="Q82" i="2" a="1"/>
  <c r="R43" i="2" a="1"/>
  <c r="L42" i="2" a="1"/>
  <c r="W88" i="2" a="1"/>
  <c r="H63" i="2" a="1"/>
  <c r="H41" i="2" a="1"/>
  <c r="W58" i="2" a="1"/>
  <c r="W44" i="2" a="1"/>
  <c r="W70" i="2" a="1"/>
  <c r="V77" i="2" a="1"/>
  <c r="V66" i="2" a="1"/>
  <c r="V56" i="2" a="1"/>
  <c r="AC67" i="2" a="1"/>
  <c r="AC77" i="2" a="1"/>
  <c r="AC59" i="2" a="1"/>
  <c r="AC49" i="2" a="1"/>
  <c r="Q61" i="2" a="1"/>
  <c r="Q45" i="2" a="1"/>
  <c r="Q71" i="2" a="1"/>
  <c r="O86" i="2" a="1"/>
  <c r="K52" i="2" a="1"/>
  <c r="K87" i="2" a="1"/>
  <c r="K72" i="2" a="1"/>
  <c r="AD75" i="2" a="1"/>
  <c r="AD67" i="2" a="1"/>
  <c r="AD55" i="2" a="1"/>
  <c r="E45" i="2" a="1"/>
  <c r="V90" i="2" a="1"/>
  <c r="D89" i="2" a="1"/>
  <c r="AA82" i="2" a="1"/>
  <c r="E81" i="2" a="1"/>
  <c r="P86" i="2" a="1"/>
  <c r="R67" i="2" a="1"/>
  <c r="L60" i="2" a="1"/>
  <c r="AF39" i="2" a="1"/>
  <c r="H59" i="2" a="1"/>
  <c r="O81" i="2" a="1"/>
  <c r="K84" i="2" a="1"/>
  <c r="AD39" i="2" a="1"/>
  <c r="E57" i="2" a="1"/>
  <c r="D86" i="2" a="1"/>
  <c r="AC92" i="2" a="1"/>
  <c r="K86" i="2" a="1"/>
  <c r="R41" i="2" a="1"/>
  <c r="L44" i="2" a="1"/>
  <c r="AF84" i="2" a="1"/>
  <c r="H84" i="2" a="1"/>
  <c r="V76" i="2" a="1"/>
  <c r="Q53" i="2" a="1"/>
  <c r="AD87" i="2" a="1"/>
  <c r="E63" i="2" a="1"/>
  <c r="AB89" i="2" a="1"/>
  <c r="L66" i="2" a="1"/>
  <c r="H47" i="2" a="1"/>
  <c r="AD59" i="2" a="1"/>
  <c r="P88" i="2" a="1"/>
  <c r="AF73" i="2" a="1"/>
  <c r="AC63" i="2" a="1"/>
  <c r="E41" i="2" a="1"/>
  <c r="K81" i="2" a="1"/>
  <c r="AF75" i="2" a="1"/>
  <c r="W52" i="2" a="1"/>
  <c r="W62" i="2" a="1"/>
  <c r="W42" i="2" a="1"/>
  <c r="V52" i="2" a="1"/>
  <c r="V60" i="2" a="1"/>
  <c r="V70" i="2" a="1"/>
  <c r="V42" i="2" a="1"/>
  <c r="AC85" i="2" a="1"/>
  <c r="AC73" i="2" a="1"/>
  <c r="AC69" i="2" a="1"/>
  <c r="Q85" i="2" a="1"/>
  <c r="Q63" i="2" a="1"/>
  <c r="K70" i="2" a="1"/>
  <c r="AD47" i="2" a="1"/>
  <c r="AC88" i="2" a="1"/>
  <c r="L48" i="2" a="1"/>
  <c r="K68" i="2" a="1"/>
  <c r="E69" i="2" a="1"/>
  <c r="E43" i="2" a="1"/>
  <c r="J88" i="2" a="1"/>
  <c r="D81" i="2" a="1"/>
  <c r="AB82" i="2" a="1"/>
  <c r="AC81" i="2" a="1"/>
  <c r="E82" i="2" a="1"/>
  <c r="P92" i="2" a="1"/>
  <c r="R77" i="2" a="1"/>
  <c r="R63" i="2" a="1"/>
  <c r="R61" i="2" a="1"/>
  <c r="L52" i="2" a="1"/>
  <c r="W90" i="2" a="1"/>
  <c r="AF61" i="2" a="1"/>
  <c r="AF59" i="2" a="1"/>
  <c r="H51" i="2" a="1"/>
  <c r="H65" i="2" a="1"/>
  <c r="AD49" i="2" a="1"/>
  <c r="V92" i="2" a="1"/>
  <c r="AA88" i="2" a="1"/>
  <c r="V91" i="2" a="1"/>
  <c r="P81" i="2" a="1"/>
  <c r="R55" i="2" a="1"/>
  <c r="L74" i="2" a="1"/>
  <c r="W89" i="2" a="1"/>
  <c r="AF51" i="2" a="1"/>
  <c r="Q84" i="2" a="1"/>
  <c r="K64" i="2" a="1"/>
  <c r="E75" i="2" a="1"/>
  <c r="V86" i="2" a="1"/>
  <c r="AA90" i="2" a="1"/>
  <c r="E86" i="2" a="1"/>
  <c r="R84" i="2" a="1"/>
  <c r="L76" i="2" a="1"/>
  <c r="AF45" i="2" a="1"/>
  <c r="H75" i="2" a="1"/>
  <c r="H73" i="2" a="1"/>
  <c r="T61" i="2" a="1"/>
  <c r="T59" i="2" a="1"/>
  <c r="T51" i="2" a="1"/>
  <c r="T41" i="2" a="1"/>
  <c r="S85" i="2" a="1"/>
  <c r="S45" i="2" a="1"/>
  <c r="S65" i="2" a="1"/>
  <c r="S71" i="2" a="1"/>
  <c r="AE41" i="2" a="1"/>
  <c r="AE51" i="2" a="1"/>
  <c r="AE85" i="2" a="1"/>
  <c r="N66" i="2" a="1"/>
  <c r="N70" i="2" a="1"/>
  <c r="N58" i="2" a="1"/>
  <c r="N48" i="2" a="1"/>
  <c r="M70" i="2" a="1"/>
  <c r="M50" i="2" a="1"/>
  <c r="M74" i="2" a="1"/>
  <c r="M56" i="2" a="1"/>
  <c r="Y76" i="2" a="1"/>
  <c r="Y85" i="2" a="1"/>
  <c r="H89" i="2" a="1"/>
  <c r="G77" i="2" a="1"/>
  <c r="X44" i="2" a="1"/>
  <c r="X82" i="2" a="1"/>
  <c r="F88" i="2" a="1"/>
  <c r="S75" i="2" a="1"/>
  <c r="N64" i="2" a="1"/>
  <c r="M58" i="2" a="1"/>
  <c r="Z66" i="2" a="1"/>
  <c r="G49" i="2" a="1"/>
  <c r="AE77" i="2" a="1"/>
  <c r="Y70" i="2" a="1"/>
  <c r="G57" i="2" a="1"/>
  <c r="T71" i="2" a="1"/>
  <c r="T63" i="2" a="1"/>
  <c r="T65" i="2" a="1"/>
  <c r="S43" i="2" a="1"/>
  <c r="S77" i="2" a="1"/>
  <c r="N68" i="2" a="1"/>
  <c r="M66" i="2" a="1"/>
  <c r="Y44" i="2" a="1"/>
  <c r="Z46" i="2" a="1"/>
  <c r="T57" i="2" a="1"/>
  <c r="T39" i="2" a="1"/>
  <c r="T69" i="2" a="1"/>
  <c r="T55" i="2" a="1"/>
  <c r="S53" i="2" a="1"/>
  <c r="S55" i="2" a="1"/>
  <c r="S57" i="2" a="1"/>
  <c r="AE63" i="2" a="1"/>
  <c r="AE71" i="2" a="1"/>
  <c r="AE84" i="2" a="1"/>
  <c r="AE53" i="2" a="1"/>
  <c r="N42" i="2" a="1"/>
  <c r="N54" i="2" a="1"/>
  <c r="N40" i="2" a="1"/>
  <c r="M76" i="2" a="1"/>
  <c r="X56" i="2" a="1"/>
  <c r="X81" i="2" a="1"/>
  <c r="T88" i="2" a="1"/>
  <c r="AE67" i="2" a="1"/>
  <c r="M52" i="2" a="1"/>
  <c r="T75" i="2" a="1"/>
  <c r="T53" i="2" a="1"/>
  <c r="T77" i="2" a="1"/>
  <c r="T49" i="2" a="1"/>
  <c r="S73" i="2" a="1"/>
  <c r="S59" i="2" a="1"/>
  <c r="S49" i="2" a="1"/>
  <c r="AE43" i="2" a="1"/>
  <c r="AE73" i="2" a="1"/>
  <c r="AE47" i="2" a="1"/>
  <c r="AE55" i="2" a="1"/>
  <c r="N85" i="2" a="1"/>
  <c r="N52" i="2" a="1"/>
  <c r="N83" i="2" a="1"/>
  <c r="N87" i="2" a="1"/>
  <c r="M84" i="2" a="1"/>
  <c r="M54" i="2" a="1"/>
  <c r="M64" i="2" a="1"/>
  <c r="Y52" i="2" a="1"/>
  <c r="Y58" i="2" a="1"/>
  <c r="Y54" i="2" a="1"/>
  <c r="Y74" i="2" a="1"/>
  <c r="H88" i="2" a="1"/>
  <c r="Z70" i="2" a="1"/>
  <c r="Z64" i="2" a="1"/>
  <c r="Z50" i="2" a="1"/>
  <c r="Z44" i="2" a="1"/>
  <c r="G51" i="2" a="1"/>
  <c r="G45" i="2" a="1"/>
  <c r="G47" i="2" a="1"/>
  <c r="X48" i="2" a="1"/>
  <c r="X40" i="2" a="1"/>
  <c r="X83" i="2" a="1"/>
  <c r="X74" i="2" a="1"/>
  <c r="R81" i="2" a="1"/>
  <c r="S90" i="2" a="1"/>
  <c r="S89" i="2" a="1"/>
  <c r="X89" i="2" a="1"/>
  <c r="Y82" i="2" a="1"/>
  <c r="F81" i="2" a="1"/>
  <c r="G81" i="2" a="1"/>
  <c r="AD88" i="2" a="1"/>
  <c r="T82" i="2" a="1"/>
  <c r="T90" i="2" a="1"/>
  <c r="T67" i="2" a="1"/>
  <c r="S63" i="2" a="1"/>
  <c r="AE49" i="2" a="1"/>
  <c r="AE75" i="2" a="1"/>
  <c r="AE59" i="2" a="1"/>
  <c r="N72" i="2" a="1"/>
  <c r="N62" i="2" a="1"/>
  <c r="M60" i="2" a="1"/>
  <c r="M46" i="2" a="1"/>
  <c r="Y64" i="2" a="1"/>
  <c r="Y72" i="2" a="1"/>
  <c r="Y66" i="2" a="1"/>
  <c r="Y62" i="2" a="1"/>
  <c r="Z56" i="2" a="1"/>
  <c r="Z74" i="2" a="1"/>
  <c r="G55" i="2" a="1"/>
  <c r="G65" i="2" a="1"/>
  <c r="X42" i="2" a="1"/>
  <c r="X66" i="2" a="1"/>
  <c r="X86" i="2" a="1"/>
  <c r="Y92" i="2" a="1"/>
  <c r="F86" i="2" a="1"/>
  <c r="AE83" i="2" a="1"/>
  <c r="N46" i="2" a="1"/>
  <c r="M68" i="2" a="1"/>
  <c r="M44" i="2" a="1"/>
  <c r="T45" i="2" a="1"/>
  <c r="T84" i="2" a="1"/>
  <c r="S69" i="2" a="1"/>
  <c r="S41" i="2" a="1"/>
  <c r="AE45" i="2" a="1"/>
  <c r="N44" i="2" a="1"/>
  <c r="M48" i="2" a="1"/>
  <c r="H81" i="2" a="1"/>
  <c r="Z85" i="2" a="1"/>
  <c r="G59" i="2" a="1"/>
  <c r="R90" i="2" a="1"/>
  <c r="G86" i="2" a="1"/>
  <c r="S51" i="2" a="1"/>
  <c r="M85" i="2" a="1"/>
  <c r="Z54" i="2" a="1"/>
  <c r="X87" i="2" a="1"/>
  <c r="S81" i="2" a="1"/>
  <c r="AD86" i="2" a="1"/>
  <c r="AE57" i="2" a="1"/>
  <c r="S84" i="2" a="1"/>
  <c r="N60" i="2" a="1"/>
  <c r="T43" i="2" a="1"/>
  <c r="T73" i="2" a="1"/>
  <c r="T47" i="2" a="1"/>
  <c r="S61" i="2" a="1"/>
  <c r="S87" i="2" a="1"/>
  <c r="S67" i="2" a="1"/>
  <c r="AE65" i="2" a="1"/>
  <c r="Y60" i="2" a="1"/>
  <c r="H82" i="2" a="1"/>
  <c r="Z72" i="2" a="1"/>
  <c r="Z48" i="2" a="1"/>
  <c r="Z42" i="2" a="1"/>
  <c r="G87" i="2" a="1"/>
  <c r="G61" i="2" a="1"/>
  <c r="G67" i="2" a="1"/>
  <c r="X62" i="2" a="1"/>
  <c r="X60" i="2" a="1"/>
  <c r="X50" i="2" a="1"/>
  <c r="R89" i="2" a="1"/>
  <c r="S86" i="2" a="1"/>
  <c r="Y81" i="2" a="1"/>
  <c r="F89" i="2" a="1"/>
  <c r="G89" i="2" a="1"/>
  <c r="AD81" i="2" a="1"/>
  <c r="T89" i="2" a="1"/>
  <c r="T87" i="2" a="1"/>
  <c r="S47" i="2" a="1"/>
  <c r="AE69" i="2" a="1"/>
  <c r="AE61" i="2" a="1"/>
  <c r="N56" i="2" a="1"/>
  <c r="N50" i="2" a="1"/>
  <c r="M62" i="2" a="1"/>
  <c r="M87" i="2" a="1"/>
  <c r="Y84" i="2" a="1"/>
  <c r="H86" i="2" a="1"/>
  <c r="Z62" i="2" a="1"/>
  <c r="Z68" i="2" a="1"/>
  <c r="G85" i="2" a="1"/>
  <c r="X46" i="2" a="1"/>
  <c r="H92" i="2" a="1"/>
  <c r="M83" i="2" a="1"/>
  <c r="M42" i="2" a="1"/>
  <c r="Z58" i="2" a="1"/>
  <c r="G73" i="2" a="1"/>
  <c r="X85" i="2" a="1"/>
  <c r="X92" i="2" a="1"/>
  <c r="AD92" i="2" a="1"/>
  <c r="G82" i="2" a="1"/>
  <c r="M72" i="2" a="1"/>
  <c r="Z40" i="2" a="1"/>
  <c r="G71" i="2" a="1"/>
  <c r="X52" i="2" a="1"/>
  <c r="Y90" i="2" a="1"/>
  <c r="AD90" i="2" a="1"/>
  <c r="Y88" i="2" a="1"/>
  <c r="S92" i="2" a="1"/>
  <c r="Y68" i="2" a="1"/>
  <c r="Z52" i="2" a="1"/>
  <c r="G84" i="2" a="1"/>
  <c r="X91" i="2" a="1"/>
  <c r="AD89" i="2" a="1"/>
  <c r="G69" i="2" a="1"/>
  <c r="Y48" i="2" a="1"/>
  <c r="Z83" i="2" a="1"/>
  <c r="G53" i="2" a="1"/>
  <c r="R86" i="2" a="1"/>
  <c r="Y86" i="2" a="1"/>
  <c r="AD82" i="2" a="1"/>
  <c r="Y56" i="2" a="1"/>
  <c r="G43" i="2" a="1"/>
  <c r="F90" i="2" a="1"/>
  <c r="X88" i="2" a="1"/>
  <c r="Y42" i="2" a="1"/>
  <c r="Z87" i="2" a="1"/>
  <c r="X58" i="2" a="1"/>
  <c r="R82" i="2" a="1"/>
  <c r="Y89" i="2" a="1"/>
  <c r="T81" i="2" a="1"/>
  <c r="Y83" i="2" a="1"/>
  <c r="Z60" i="2" a="1"/>
  <c r="X72" i="2" a="1"/>
  <c r="R88" i="2" a="1"/>
  <c r="F92" i="2" a="1"/>
  <c r="T86" i="2" a="1"/>
  <c r="Y46" i="2" a="1"/>
  <c r="Z76" i="2" a="1"/>
  <c r="R92" i="2" a="1"/>
  <c r="T92" i="2" a="1"/>
  <c r="X68" i="2" a="1"/>
  <c r="F82" i="2" a="1"/>
  <c r="X70" i="2" a="1"/>
  <c r="H90" i="2" a="1"/>
  <c r="Y87" i="2" a="1"/>
  <c r="G75" i="2" a="1"/>
  <c r="X76" i="2" a="1"/>
  <c r="S88" i="2" a="1"/>
  <c r="G88" i="2" a="1"/>
  <c r="N76" i="2" a="1"/>
  <c r="Y50" i="2" a="1"/>
  <c r="G63" i="2" a="1"/>
  <c r="X54" i="2" a="1"/>
  <c r="S82" i="2" a="1"/>
  <c r="G90" i="2" a="1"/>
  <c r="N74" i="2" a="1"/>
  <c r="G83" i="2" a="1"/>
  <c r="X90" i="2" a="1"/>
  <c r="G92" i="2" a="1"/>
  <c r="X64" i="2" a="1"/>
  <c r="L82" i="2" a="1"/>
  <c r="L88" i="2" a="1"/>
  <c r="AF82" i="2" a="1"/>
  <c r="N86" i="2" a="1"/>
  <c r="Z92" i="2" a="1"/>
  <c r="Z82" i="2" a="1"/>
  <c r="AE89" i="2" a="1"/>
  <c r="M82" i="2" a="1"/>
  <c r="M91" i="2" a="1"/>
  <c r="AF89" i="2" a="1"/>
  <c r="N92" i="2" a="1"/>
  <c r="Z89" i="2" a="1"/>
  <c r="AE82" i="2" a="1"/>
  <c r="AE81" i="2" a="1"/>
  <c r="M88" i="2" a="1"/>
  <c r="N91" i="2" a="1"/>
  <c r="L92" i="2" a="1"/>
  <c r="AF92" i="2" a="1"/>
  <c r="N81" i="2" a="1"/>
  <c r="Z81" i="2" a="1"/>
  <c r="AE86" i="2" a="1"/>
  <c r="L91" i="2" a="1"/>
  <c r="M90" i="2" a="1"/>
  <c r="L86" i="2" a="1"/>
  <c r="L81" i="2" a="1"/>
  <c r="L89" i="2" a="1"/>
  <c r="AF81" i="2" a="1"/>
  <c r="N89" i="2" a="1"/>
  <c r="Z86" i="2" a="1"/>
  <c r="AE90" i="2" a="1"/>
  <c r="M86" i="2" a="1"/>
  <c r="M89" i="2" a="1"/>
  <c r="AF88" i="2" a="1"/>
  <c r="AF90" i="2" a="1"/>
  <c r="N90" i="2" a="1"/>
  <c r="Z88" i="2" a="1"/>
  <c r="AE88" i="2" a="1"/>
  <c r="M81" i="2" a="1"/>
  <c r="Z91" i="2" a="1"/>
  <c r="L90" i="2" a="1"/>
  <c r="AF86" i="2" a="1"/>
  <c r="N88" i="2" a="1"/>
  <c r="N82" i="2" a="1"/>
  <c r="Z90" i="2" a="1"/>
  <c r="AE92" i="2" a="1"/>
  <c r="M92" i="2" a="1"/>
  <c r="Y91" i="2" a="1"/>
  <c r="O70" i="2" l="1"/>
  <c r="G24" i="2"/>
  <c r="R32" i="2"/>
  <c r="AD20" i="2"/>
  <c r="AD35" i="2"/>
  <c r="L11" i="2"/>
  <c r="F14" i="2"/>
  <c r="U75" i="2"/>
  <c r="N30" i="2"/>
  <c r="Q19" i="2"/>
  <c r="AE23" i="2"/>
  <c r="AE16" i="2"/>
  <c r="AE19" i="2"/>
  <c r="M17" i="2"/>
  <c r="M38" i="2"/>
  <c r="G14" i="2"/>
  <c r="G32" i="2"/>
  <c r="S38" i="2"/>
  <c r="X21" i="2"/>
  <c r="X35" i="2"/>
  <c r="R29" i="2"/>
  <c r="R12" i="2"/>
  <c r="C56" i="2"/>
  <c r="AB44" i="2"/>
  <c r="L13" i="2"/>
  <c r="L21" i="2"/>
  <c r="F12" i="2"/>
  <c r="I13" i="2"/>
  <c r="K11" i="2"/>
  <c r="K31" i="2"/>
  <c r="N59" i="2"/>
  <c r="N24" i="2"/>
  <c r="Y30" i="2"/>
  <c r="Y28" i="2"/>
  <c r="P60" i="2"/>
  <c r="W31" i="2"/>
  <c r="W28" i="2"/>
  <c r="J57" i="2"/>
  <c r="V55" i="2"/>
  <c r="Z55" i="2"/>
  <c r="AF50" i="2"/>
  <c r="Y14" i="2"/>
  <c r="F17" i="2"/>
  <c r="AD27" i="2"/>
  <c r="M25" i="2"/>
  <c r="AD31" i="2"/>
  <c r="I7" i="2"/>
  <c r="P83" i="2"/>
  <c r="D72" i="2"/>
  <c r="W22" i="2"/>
  <c r="J41" i="2"/>
  <c r="V41" i="2"/>
  <c r="Z10" i="2"/>
  <c r="G15" i="2"/>
  <c r="Q11" i="2"/>
  <c r="G12" i="2"/>
  <c r="AE8" i="2"/>
  <c r="M11" i="2"/>
  <c r="S29" i="2"/>
  <c r="AD32" i="2"/>
  <c r="L34" i="2"/>
  <c r="M31" i="2"/>
  <c r="P91" i="2"/>
  <c r="AE22" i="2"/>
  <c r="S30" i="2"/>
  <c r="G35" i="2"/>
  <c r="S24" i="2"/>
  <c r="X31" i="2"/>
  <c r="AD26" i="2"/>
  <c r="AB60" i="2"/>
  <c r="F26" i="2"/>
  <c r="O54" i="2"/>
  <c r="Y38" i="2"/>
  <c r="AE14" i="2"/>
  <c r="M18" i="2"/>
  <c r="G18" i="2"/>
  <c r="G28" i="2"/>
  <c r="O91" i="2"/>
  <c r="X23" i="2"/>
  <c r="X11" i="2"/>
  <c r="R20" i="2"/>
  <c r="R22" i="2"/>
  <c r="AD18" i="2"/>
  <c r="L19" i="2"/>
  <c r="L32" i="2"/>
  <c r="L22" i="2"/>
  <c r="F35" i="2"/>
  <c r="F8" i="2"/>
  <c r="K35" i="2"/>
  <c r="K9" i="2"/>
  <c r="N14" i="2"/>
  <c r="N12" i="2"/>
  <c r="Y32" i="2"/>
  <c r="Y13" i="2"/>
  <c r="D91" i="2"/>
  <c r="W17" i="2"/>
  <c r="W27" i="2"/>
  <c r="J43" i="2"/>
  <c r="V49" i="2"/>
  <c r="Z39" i="2"/>
  <c r="AF19" i="2"/>
  <c r="L8" i="2"/>
  <c r="F7" i="2"/>
  <c r="G9" i="2"/>
  <c r="AD15" i="2"/>
  <c r="AE35" i="2"/>
  <c r="AE28" i="2"/>
  <c r="G39" i="2"/>
  <c r="X9" i="2"/>
  <c r="AE29" i="2"/>
  <c r="G29" i="2"/>
  <c r="G22" i="2"/>
  <c r="AE30" i="2"/>
  <c r="G34" i="2"/>
  <c r="S22" i="2"/>
  <c r="R16" i="2"/>
  <c r="C76" i="2"/>
  <c r="F32" i="2"/>
  <c r="K38" i="2"/>
  <c r="N26" i="2"/>
  <c r="AE20" i="2"/>
  <c r="AE33" i="2"/>
  <c r="AE32" i="2"/>
  <c r="S10" i="2"/>
  <c r="S26" i="2"/>
  <c r="X25" i="2"/>
  <c r="X13" i="2"/>
  <c r="AD30" i="2"/>
  <c r="C72" i="2"/>
  <c r="L33" i="2"/>
  <c r="L29" i="2"/>
  <c r="O62" i="2"/>
  <c r="I59" i="2"/>
  <c r="K17" i="2"/>
  <c r="K29" i="2"/>
  <c r="Y34" i="2"/>
  <c r="Y33" i="2"/>
  <c r="D70" i="2"/>
  <c r="D56" i="2"/>
  <c r="W13" i="2"/>
  <c r="T60" i="2"/>
  <c r="V75" i="2"/>
  <c r="Z12" i="2"/>
  <c r="AF58" i="2"/>
  <c r="L16" i="2"/>
  <c r="F31" i="2"/>
  <c r="M29" i="2"/>
  <c r="F39" i="2"/>
  <c r="AE12" i="2"/>
  <c r="Y15" i="2"/>
  <c r="M9" i="2"/>
  <c r="S31" i="2"/>
  <c r="AD25" i="2"/>
  <c r="F24" i="2"/>
  <c r="AE18" i="2"/>
  <c r="M21" i="2"/>
  <c r="M19" i="2"/>
  <c r="M13" i="2"/>
  <c r="G25" i="2"/>
  <c r="G21" i="2"/>
  <c r="S33" i="2"/>
  <c r="S14" i="2"/>
  <c r="X34" i="2"/>
  <c r="R33" i="2"/>
  <c r="R7" i="2"/>
  <c r="AD28" i="2"/>
  <c r="AD14" i="2"/>
  <c r="L15" i="2"/>
  <c r="F10" i="2"/>
  <c r="F25" i="2"/>
  <c r="U49" i="2"/>
  <c r="O40" i="2"/>
  <c r="K21" i="2"/>
  <c r="N53" i="2"/>
  <c r="N10" i="2"/>
  <c r="Y19" i="2"/>
  <c r="Y16" i="2"/>
  <c r="W23" i="2"/>
  <c r="W29" i="2"/>
  <c r="W11" i="2"/>
  <c r="T21" i="2"/>
  <c r="H15" i="2"/>
  <c r="AA85" i="2"/>
  <c r="L12" i="2"/>
  <c r="X10" i="2"/>
  <c r="G11" i="2"/>
  <c r="AD19" i="2"/>
  <c r="R24" i="2"/>
  <c r="AD38" i="2"/>
  <c r="C48" i="2"/>
  <c r="L9" i="2"/>
  <c r="L30" i="2"/>
  <c r="F18" i="2"/>
  <c r="O83" i="2"/>
  <c r="I51" i="2"/>
  <c r="K13" i="2"/>
  <c r="K7" i="2"/>
  <c r="N39" i="2"/>
  <c r="Z71" i="2"/>
  <c r="M22" i="2"/>
  <c r="AD11" i="2"/>
  <c r="M23" i="2"/>
  <c r="M27" i="2"/>
  <c r="R34" i="2"/>
  <c r="U7" i="2"/>
  <c r="N43" i="2"/>
  <c r="W7" i="2"/>
  <c r="W30" i="2"/>
  <c r="T52" i="2"/>
  <c r="H70" i="2"/>
  <c r="N57" i="2"/>
  <c r="AA46" i="2"/>
  <c r="L10" i="2"/>
  <c r="X18" i="2"/>
  <c r="S8" i="2"/>
  <c r="X22" i="2"/>
  <c r="R38" i="2"/>
  <c r="AE27" i="2"/>
  <c r="M34" i="2"/>
  <c r="M35" i="2"/>
  <c r="G20" i="2"/>
  <c r="G26" i="2"/>
  <c r="S32" i="2"/>
  <c r="S25" i="2"/>
  <c r="X17" i="2"/>
  <c r="R30" i="2"/>
  <c r="AD22" i="2"/>
  <c r="AD10" i="2"/>
  <c r="AB52" i="2"/>
  <c r="F30" i="2"/>
  <c r="F23" i="2"/>
  <c r="O46" i="2"/>
  <c r="K27" i="2"/>
  <c r="N28" i="2"/>
  <c r="Y11" i="2"/>
  <c r="Y31" i="2"/>
  <c r="W34" i="2"/>
  <c r="AE26" i="2"/>
  <c r="G27" i="2"/>
  <c r="G10" i="2"/>
  <c r="X30" i="2"/>
  <c r="X38" i="2"/>
  <c r="R26" i="2"/>
  <c r="R35" i="2"/>
  <c r="R14" i="2"/>
  <c r="AB58" i="2"/>
  <c r="L28" i="2"/>
  <c r="L27" i="2"/>
  <c r="F28" i="2"/>
  <c r="F33" i="2"/>
  <c r="K19" i="2"/>
  <c r="K24" i="2"/>
  <c r="N34" i="2"/>
  <c r="N67" i="2"/>
  <c r="N20" i="2"/>
  <c r="Y17" i="2"/>
  <c r="P40" i="2"/>
  <c r="D62" i="2"/>
  <c r="D48" i="2"/>
  <c r="W25" i="2"/>
  <c r="T11" i="2"/>
  <c r="H13" i="2"/>
  <c r="N49" i="2"/>
  <c r="AA83" i="2"/>
  <c r="S9" i="2"/>
  <c r="X12" i="2"/>
  <c r="W38" i="2"/>
  <c r="AC13" i="2"/>
  <c r="AE31" i="2"/>
  <c r="AB85" i="2"/>
  <c r="K34" i="2"/>
  <c r="K15" i="2"/>
  <c r="N45" i="2"/>
  <c r="Y21" i="2"/>
  <c r="P54" i="2"/>
  <c r="W35" i="2"/>
  <c r="W20" i="2"/>
  <c r="J51" i="2"/>
  <c r="T44" i="2"/>
  <c r="H62" i="2"/>
  <c r="N65" i="2"/>
  <c r="Y8" i="2"/>
  <c r="S15" i="2"/>
  <c r="AE11" i="2"/>
  <c r="W16" i="2"/>
  <c r="AD12" i="2"/>
  <c r="G16" i="2"/>
  <c r="AD21" i="2"/>
  <c r="F16" i="2"/>
  <c r="N32" i="2"/>
  <c r="Y25" i="2"/>
  <c r="P46" i="2"/>
  <c r="D46" i="2"/>
  <c r="W9" i="2"/>
  <c r="J73" i="2"/>
  <c r="V71" i="2"/>
  <c r="H46" i="2"/>
  <c r="K12" i="2"/>
  <c r="AE10" i="2"/>
  <c r="X29" i="2"/>
  <c r="M26" i="2"/>
  <c r="X26" i="2"/>
  <c r="U41" i="2"/>
  <c r="S35" i="2"/>
  <c r="X28" i="2"/>
  <c r="R28" i="2"/>
  <c r="R10" i="2"/>
  <c r="AD29" i="2"/>
  <c r="L38" i="2"/>
  <c r="L24" i="2"/>
  <c r="F22" i="2"/>
  <c r="U73" i="2"/>
  <c r="K26" i="2"/>
  <c r="N69" i="2"/>
  <c r="Y23" i="2"/>
  <c r="AE24" i="2"/>
  <c r="AE25" i="2"/>
  <c r="M24" i="2"/>
  <c r="M28" i="2"/>
  <c r="AA91" i="2"/>
  <c r="S23" i="2"/>
  <c r="S16" i="2"/>
  <c r="X27" i="2"/>
  <c r="X24" i="2"/>
  <c r="R25" i="2"/>
  <c r="AD33" i="2"/>
  <c r="C64" i="2"/>
  <c r="AB66" i="2"/>
  <c r="L35" i="2"/>
  <c r="L26" i="2"/>
  <c r="U57" i="2"/>
  <c r="I67" i="2"/>
  <c r="K25" i="2"/>
  <c r="K28" i="2"/>
  <c r="N16" i="2"/>
  <c r="Y7" i="2"/>
  <c r="Y24" i="2"/>
  <c r="P68" i="2"/>
  <c r="D54" i="2"/>
  <c r="W33" i="2"/>
  <c r="J59" i="2"/>
  <c r="V63" i="2"/>
  <c r="H54" i="2"/>
  <c r="N41" i="2"/>
  <c r="Y22" i="2"/>
  <c r="S13" i="2"/>
  <c r="AE17" i="2"/>
  <c r="Q23" i="2"/>
  <c r="S27" i="2"/>
  <c r="S21" i="2"/>
  <c r="R18" i="2"/>
  <c r="C10" i="2"/>
  <c r="F21" i="2"/>
  <c r="I43" i="2"/>
  <c r="N8" i="2"/>
  <c r="C91" i="2"/>
  <c r="Y10" i="2"/>
  <c r="F15" i="2"/>
  <c r="G13" i="2"/>
  <c r="R17" i="2"/>
  <c r="Z47" i="2"/>
  <c r="N18" i="2"/>
  <c r="Y18" i="2"/>
  <c r="E7" i="2"/>
  <c r="AE34" i="2"/>
  <c r="M30" i="2"/>
  <c r="M32" i="2"/>
  <c r="M33" i="2"/>
  <c r="M15" i="2"/>
  <c r="G23" i="2"/>
  <c r="G33" i="2"/>
  <c r="G30" i="2"/>
  <c r="G31" i="2"/>
  <c r="S28" i="2"/>
  <c r="S12" i="2"/>
  <c r="S20" i="2"/>
  <c r="X32" i="2"/>
  <c r="X15" i="2"/>
  <c r="X19" i="2"/>
  <c r="X33" i="2"/>
  <c r="R31" i="2"/>
  <c r="R27" i="2"/>
  <c r="R21" i="2"/>
  <c r="AD16" i="2"/>
  <c r="AD23" i="2"/>
  <c r="AD34" i="2"/>
  <c r="AD24" i="2"/>
  <c r="C8" i="2"/>
  <c r="AB39" i="2"/>
  <c r="L23" i="2"/>
  <c r="L31" i="2"/>
  <c r="L25" i="2"/>
  <c r="L17" i="2"/>
  <c r="F29" i="2"/>
  <c r="F27" i="2"/>
  <c r="F20" i="2"/>
  <c r="F19" i="2"/>
  <c r="U65" i="2"/>
  <c r="O8" i="2"/>
  <c r="I9" i="2"/>
  <c r="K39" i="2"/>
  <c r="K33" i="2"/>
  <c r="K23" i="2"/>
  <c r="K14" i="2"/>
  <c r="N38" i="2"/>
  <c r="N61" i="2"/>
  <c r="N51" i="2"/>
  <c r="Y9" i="2"/>
  <c r="Y40" i="2"/>
  <c r="Y27" i="2"/>
  <c r="Y26" i="2"/>
  <c r="P62" i="2"/>
  <c r="W15" i="2"/>
  <c r="W24" i="2"/>
  <c r="W21" i="2"/>
  <c r="W19" i="2"/>
  <c r="W39" i="2"/>
  <c r="J65" i="2"/>
  <c r="T7" i="2"/>
  <c r="T68" i="2"/>
  <c r="V39" i="2"/>
  <c r="H19" i="2"/>
  <c r="Z63" i="2"/>
  <c r="N73" i="2"/>
  <c r="AF42" i="2"/>
  <c r="AF9" i="2"/>
  <c r="AA52" i="2"/>
  <c r="Y12" i="2"/>
  <c r="L18" i="2"/>
  <c r="S7" i="2"/>
  <c r="F9" i="2"/>
  <c r="X8" i="2"/>
  <c r="X14" i="2"/>
  <c r="AE7" i="2"/>
  <c r="M8" i="2"/>
  <c r="M12" i="2"/>
  <c r="W12" i="2"/>
  <c r="Q9" i="2"/>
  <c r="AD9" i="2"/>
  <c r="AD13" i="2"/>
  <c r="AC7" i="2"/>
  <c r="K18" i="2"/>
  <c r="R19" i="2"/>
  <c r="E13" i="2"/>
  <c r="S18" i="2"/>
  <c r="AF66" i="2"/>
  <c r="AA60" i="2"/>
  <c r="AA44" i="2"/>
  <c r="Y20" i="2"/>
  <c r="L14" i="2"/>
  <c r="S11" i="2"/>
  <c r="F13" i="2"/>
  <c r="X20" i="2"/>
  <c r="AE9" i="2"/>
  <c r="AE15" i="2"/>
  <c r="G19" i="2"/>
  <c r="M10" i="2"/>
  <c r="W14" i="2"/>
  <c r="Q7" i="2"/>
  <c r="AD17" i="2"/>
  <c r="AC11" i="2"/>
  <c r="AC9" i="2"/>
  <c r="K16" i="2"/>
  <c r="R13" i="2"/>
  <c r="E11" i="2"/>
  <c r="AC15" i="2"/>
  <c r="K10" i="2"/>
  <c r="K30" i="2"/>
  <c r="R23" i="2"/>
  <c r="E15" i="2"/>
  <c r="AE21" i="2"/>
  <c r="G7" i="2"/>
  <c r="M14" i="2"/>
  <c r="M16" i="2"/>
  <c r="W18" i="2"/>
  <c r="Q17" i="2"/>
  <c r="AC17" i="2"/>
  <c r="K8" i="2"/>
  <c r="R9" i="2"/>
  <c r="R15" i="2"/>
  <c r="E19" i="2"/>
  <c r="N22" i="2"/>
  <c r="AF15" i="2"/>
  <c r="AA68" i="2"/>
  <c r="L20" i="2"/>
  <c r="S17" i="2"/>
  <c r="S19" i="2"/>
  <c r="F11" i="2"/>
  <c r="X16" i="2"/>
  <c r="AE13" i="2"/>
  <c r="M20" i="2"/>
  <c r="G17" i="2"/>
  <c r="W10" i="2"/>
  <c r="W8" i="2"/>
  <c r="Q13" i="2"/>
  <c r="AD7" i="2"/>
  <c r="AC19" i="2"/>
  <c r="K20" i="2"/>
  <c r="R11" i="2"/>
  <c r="E9" i="2"/>
  <c r="E17" i="2"/>
  <c r="J10" i="2"/>
  <c r="AC30" i="2"/>
  <c r="P23" i="2"/>
  <c r="I65" i="2"/>
  <c r="X47" i="2"/>
  <c r="I10" i="2"/>
  <c r="AB13" i="2"/>
  <c r="J29" i="2"/>
  <c r="AC18" i="2"/>
  <c r="O21" i="2"/>
  <c r="Q54" i="2"/>
  <c r="C23" i="2"/>
  <c r="AD46" i="2"/>
  <c r="AB64" i="2"/>
  <c r="Q60" i="2"/>
  <c r="C31" i="2"/>
  <c r="J18" i="2"/>
  <c r="AC26" i="2"/>
  <c r="U71" i="2"/>
  <c r="W41" i="2"/>
  <c r="F50" i="2"/>
  <c r="AA74" i="2"/>
  <c r="AB7" i="2"/>
  <c r="AC91" i="2"/>
  <c r="X45" i="2"/>
  <c r="R58" i="2"/>
  <c r="O15" i="2"/>
  <c r="W61" i="2"/>
  <c r="C33" i="2"/>
  <c r="K41" i="2"/>
  <c r="E56" i="2"/>
  <c r="AC12" i="2"/>
  <c r="R8" i="2"/>
  <c r="C9" i="2"/>
  <c r="AD83" i="2"/>
  <c r="AA42" i="2"/>
  <c r="J45" i="2"/>
  <c r="F72" i="2"/>
  <c r="F83" i="2"/>
  <c r="X67" i="2"/>
  <c r="AD42" i="2"/>
  <c r="W69" i="2"/>
  <c r="AA19" i="2"/>
  <c r="E68" i="2"/>
  <c r="J11" i="2"/>
  <c r="AD58" i="2"/>
  <c r="X49" i="2"/>
  <c r="V28" i="2"/>
  <c r="D12" i="2"/>
  <c r="AD74" i="2"/>
  <c r="AD70" i="2"/>
  <c r="Q25" i="2"/>
  <c r="G56" i="2"/>
  <c r="AB56" i="2"/>
  <c r="W57" i="2"/>
  <c r="I77" i="2"/>
  <c r="AA50" i="2"/>
  <c r="AB17" i="2"/>
  <c r="J77" i="2"/>
  <c r="E23" i="2"/>
  <c r="V12" i="2"/>
  <c r="X84" i="2"/>
  <c r="G50" i="2"/>
  <c r="G60" i="2"/>
  <c r="X57" i="2"/>
  <c r="Q46" i="2"/>
  <c r="K45" i="2"/>
  <c r="G72" i="2"/>
  <c r="AD52" i="2"/>
  <c r="X69" i="2"/>
  <c r="P10" i="2"/>
  <c r="H17" i="2"/>
  <c r="X41" i="2"/>
  <c r="G41" i="2"/>
  <c r="G54" i="2"/>
  <c r="G44" i="2"/>
  <c r="F76" i="2"/>
  <c r="F48" i="2"/>
  <c r="F46" i="2"/>
  <c r="F34" i="2"/>
  <c r="W67" i="2"/>
  <c r="W55" i="2"/>
  <c r="W51" i="2"/>
  <c r="W71" i="2"/>
  <c r="Q58" i="2"/>
  <c r="Q70" i="2"/>
  <c r="Q83" i="2"/>
  <c r="I22" i="2"/>
  <c r="I24" i="2"/>
  <c r="I75" i="2"/>
  <c r="I32" i="2"/>
  <c r="AA87" i="2"/>
  <c r="AA23" i="2"/>
  <c r="AA33" i="2"/>
  <c r="AA35" i="2"/>
  <c r="C83" i="2"/>
  <c r="C35" i="2"/>
  <c r="C44" i="2"/>
  <c r="AB25" i="2"/>
  <c r="AB33" i="2"/>
  <c r="AB31" i="2"/>
  <c r="K51" i="2"/>
  <c r="K69" i="2"/>
  <c r="AB19" i="2"/>
  <c r="K53" i="2"/>
  <c r="K77" i="2"/>
  <c r="J14" i="2"/>
  <c r="J34" i="2"/>
  <c r="J31" i="2"/>
  <c r="E83" i="2"/>
  <c r="E72" i="2"/>
  <c r="E44" i="2"/>
  <c r="E62" i="2"/>
  <c r="AC21" i="2"/>
  <c r="AC28" i="2"/>
  <c r="AC29" i="2"/>
  <c r="V23" i="2"/>
  <c r="V47" i="2"/>
  <c r="V10" i="2"/>
  <c r="O60" i="2"/>
  <c r="O13" i="2"/>
  <c r="O25" i="2"/>
  <c r="U63" i="2"/>
  <c r="U24" i="2"/>
  <c r="R56" i="2"/>
  <c r="J69" i="2"/>
  <c r="J67" i="2"/>
  <c r="D29" i="2"/>
  <c r="D8" i="2"/>
  <c r="V73" i="2"/>
  <c r="V9" i="2"/>
  <c r="AB34" i="2"/>
  <c r="P66" i="2"/>
  <c r="T19" i="2"/>
  <c r="U17" i="2"/>
  <c r="V51" i="2"/>
  <c r="D64" i="2"/>
  <c r="AC76" i="2"/>
  <c r="AD54" i="2"/>
  <c r="X75" i="2"/>
  <c r="X63" i="2"/>
  <c r="G38" i="2"/>
  <c r="G68" i="2"/>
  <c r="F56" i="2"/>
  <c r="F68" i="2"/>
  <c r="W65" i="2"/>
  <c r="W43" i="2"/>
  <c r="Q56" i="2"/>
  <c r="Q66" i="2"/>
  <c r="I30" i="2"/>
  <c r="I41" i="2"/>
  <c r="AA21" i="2"/>
  <c r="AA7" i="2"/>
  <c r="AA15" i="2"/>
  <c r="C11" i="2"/>
  <c r="C46" i="2"/>
  <c r="C25" i="2"/>
  <c r="AB9" i="2"/>
  <c r="AB29" i="2"/>
  <c r="K40" i="2"/>
  <c r="AB48" i="2"/>
  <c r="K67" i="2"/>
  <c r="AB32" i="2"/>
  <c r="K55" i="2"/>
  <c r="K57" i="2"/>
  <c r="J12" i="2"/>
  <c r="J7" i="2"/>
  <c r="J24" i="2"/>
  <c r="E42" i="2"/>
  <c r="E64" i="2"/>
  <c r="E60" i="2"/>
  <c r="E46" i="2"/>
  <c r="AC35" i="2"/>
  <c r="AC20" i="2"/>
  <c r="AC16" i="2"/>
  <c r="V18" i="2"/>
  <c r="V26" i="2"/>
  <c r="P29" i="2"/>
  <c r="O35" i="2"/>
  <c r="O19" i="2"/>
  <c r="O17" i="2"/>
  <c r="U22" i="2"/>
  <c r="U26" i="2"/>
  <c r="R74" i="2"/>
  <c r="R48" i="2"/>
  <c r="J39" i="2"/>
  <c r="D9" i="2"/>
  <c r="D33" i="2"/>
  <c r="V27" i="2"/>
  <c r="V84" i="2"/>
  <c r="D42" i="2"/>
  <c r="D87" i="2"/>
  <c r="AB62" i="2"/>
  <c r="H72" i="2"/>
  <c r="H50" i="2"/>
  <c r="Q15" i="2"/>
  <c r="AF62" i="2"/>
  <c r="AC27" i="2"/>
  <c r="U43" i="2"/>
  <c r="Q34" i="2"/>
  <c r="AD48" i="2"/>
  <c r="AD8" i="2"/>
  <c r="X51" i="2"/>
  <c r="E91" i="2"/>
  <c r="G64" i="2"/>
  <c r="F60" i="2"/>
  <c r="F58" i="2"/>
  <c r="W77" i="2"/>
  <c r="W59" i="2"/>
  <c r="Q44" i="2"/>
  <c r="I28" i="2"/>
  <c r="I38" i="2"/>
  <c r="AA25" i="2"/>
  <c r="V14" i="2"/>
  <c r="P7" i="2"/>
  <c r="P13" i="2"/>
  <c r="O85" i="2"/>
  <c r="O87" i="2"/>
  <c r="O27" i="2"/>
  <c r="U20" i="2"/>
  <c r="R52" i="2"/>
  <c r="R44" i="2"/>
  <c r="J61" i="2"/>
  <c r="J55" i="2"/>
  <c r="D23" i="2"/>
  <c r="D31" i="2"/>
  <c r="V13" i="2"/>
  <c r="D16" i="2"/>
  <c r="D20" i="2"/>
  <c r="H18" i="2"/>
  <c r="H7" i="2"/>
  <c r="AC50" i="2"/>
  <c r="U11" i="2"/>
  <c r="V65" i="2"/>
  <c r="U29" i="2"/>
  <c r="AD68" i="2"/>
  <c r="AD62" i="2"/>
  <c r="X7" i="2"/>
  <c r="X53" i="2"/>
  <c r="G74" i="2"/>
  <c r="F70" i="2"/>
  <c r="F62" i="2"/>
  <c r="W75" i="2"/>
  <c r="W49" i="2"/>
  <c r="Q64" i="2"/>
  <c r="Q76" i="2"/>
  <c r="I20" i="2"/>
  <c r="I8" i="2"/>
  <c r="AA11" i="2"/>
  <c r="AA31" i="2"/>
  <c r="C7" i="2"/>
  <c r="C85" i="2"/>
  <c r="C68" i="2"/>
  <c r="C21" i="2"/>
  <c r="AB27" i="2"/>
  <c r="AB11" i="2"/>
  <c r="AB21" i="2"/>
  <c r="AB72" i="2"/>
  <c r="AB23" i="2"/>
  <c r="K65" i="2"/>
  <c r="K59" i="2"/>
  <c r="J40" i="2"/>
  <c r="J22" i="2"/>
  <c r="J38" i="2"/>
  <c r="J26" i="2"/>
  <c r="E35" i="2"/>
  <c r="E54" i="2"/>
  <c r="E74" i="2"/>
  <c r="E76" i="2"/>
  <c r="AC14" i="2"/>
  <c r="AC33" i="2"/>
  <c r="AC24" i="2"/>
  <c r="V45" i="2"/>
  <c r="V34" i="2"/>
  <c r="P17" i="2"/>
  <c r="P9" i="2"/>
  <c r="O58" i="2"/>
  <c r="O11" i="2"/>
  <c r="U34" i="2"/>
  <c r="U38" i="2"/>
  <c r="R83" i="2"/>
  <c r="R66" i="2"/>
  <c r="J71" i="2"/>
  <c r="D27" i="2"/>
  <c r="D35" i="2"/>
  <c r="V59" i="2"/>
  <c r="V7" i="2"/>
  <c r="D50" i="2"/>
  <c r="D40" i="2"/>
  <c r="AB12" i="2"/>
  <c r="Q24" i="2"/>
  <c r="AF10" i="2"/>
  <c r="AC44" i="2"/>
  <c r="E31" i="2"/>
  <c r="V61" i="2"/>
  <c r="AB24" i="2"/>
  <c r="AD60" i="2"/>
  <c r="AD85" i="2"/>
  <c r="AD66" i="2"/>
  <c r="X73" i="2"/>
  <c r="G76" i="2"/>
  <c r="G62" i="2"/>
  <c r="G8" i="2"/>
  <c r="F44" i="2"/>
  <c r="F42" i="2"/>
  <c r="W63" i="2"/>
  <c r="Q48" i="2"/>
  <c r="Q42" i="2"/>
  <c r="I73" i="2"/>
  <c r="I34" i="2"/>
  <c r="AA29" i="2"/>
  <c r="V32" i="2"/>
  <c r="V25" i="2"/>
  <c r="P27" i="2"/>
  <c r="P18" i="2"/>
  <c r="O7" i="2"/>
  <c r="U12" i="2"/>
  <c r="U14" i="2"/>
  <c r="U8" i="2"/>
  <c r="R76" i="2"/>
  <c r="J19" i="2"/>
  <c r="J35" i="2"/>
  <c r="D17" i="2"/>
  <c r="D10" i="2"/>
  <c r="V19" i="2"/>
  <c r="D34" i="2"/>
  <c r="AB8" i="2"/>
  <c r="H11" i="2"/>
  <c r="Q18" i="2"/>
  <c r="I84" i="2"/>
  <c r="E38" i="2"/>
  <c r="AD50" i="2"/>
  <c r="X61" i="2"/>
  <c r="G52" i="2"/>
  <c r="G58" i="2"/>
  <c r="F64" i="2"/>
  <c r="W47" i="2"/>
  <c r="W53" i="2"/>
  <c r="Q52" i="2"/>
  <c r="Q40" i="2"/>
  <c r="I26" i="2"/>
  <c r="AA58" i="2"/>
  <c r="C54" i="2"/>
  <c r="C19" i="2"/>
  <c r="C17" i="2"/>
  <c r="AB15" i="2"/>
  <c r="K47" i="2"/>
  <c r="K61" i="2"/>
  <c r="K43" i="2"/>
  <c r="K32" i="2"/>
  <c r="K75" i="2"/>
  <c r="J20" i="2"/>
  <c r="J30" i="2"/>
  <c r="J32" i="2"/>
  <c r="J28" i="2"/>
  <c r="E52" i="2"/>
  <c r="E70" i="2"/>
  <c r="E66" i="2"/>
  <c r="E50" i="2"/>
  <c r="AC32" i="2"/>
  <c r="AC23" i="2"/>
  <c r="AC25" i="2"/>
  <c r="V69" i="2"/>
  <c r="V8" i="2"/>
  <c r="P52" i="2"/>
  <c r="P21" i="2"/>
  <c r="P34" i="2"/>
  <c r="O66" i="2"/>
  <c r="U16" i="2"/>
  <c r="U55" i="2"/>
  <c r="R54" i="2"/>
  <c r="R62" i="2"/>
  <c r="J15" i="2"/>
  <c r="J21" i="2"/>
  <c r="D7" i="2"/>
  <c r="V29" i="2"/>
  <c r="V43" i="2"/>
  <c r="D74" i="2"/>
  <c r="AB54" i="2"/>
  <c r="H58" i="2"/>
  <c r="Q26" i="2"/>
  <c r="P44" i="2"/>
  <c r="AF13" i="2"/>
  <c r="I45" i="2"/>
  <c r="E12" i="2"/>
  <c r="AB18" i="2"/>
  <c r="AD64" i="2"/>
  <c r="AD72" i="2"/>
  <c r="X65" i="2"/>
  <c r="X59" i="2"/>
  <c r="X55" i="2"/>
  <c r="G48" i="2"/>
  <c r="G40" i="2"/>
  <c r="F52" i="2"/>
  <c r="F66" i="2"/>
  <c r="F54" i="2"/>
  <c r="W73" i="2"/>
  <c r="Q68" i="2"/>
  <c r="Q21" i="2"/>
  <c r="I16" i="2"/>
  <c r="I18" i="2"/>
  <c r="I12" i="2"/>
  <c r="AA64" i="2"/>
  <c r="AA17" i="2"/>
  <c r="C27" i="2"/>
  <c r="AB20" i="2"/>
  <c r="V15" i="2"/>
  <c r="V53" i="2"/>
  <c r="P16" i="2"/>
  <c r="O31" i="2"/>
  <c r="O33" i="2"/>
  <c r="U77" i="2"/>
  <c r="U18" i="2"/>
  <c r="R68" i="2"/>
  <c r="R72" i="2"/>
  <c r="J25" i="2"/>
  <c r="J53" i="2"/>
  <c r="D15" i="2"/>
  <c r="D13" i="2"/>
  <c r="V35" i="2"/>
  <c r="V21" i="2"/>
  <c r="D66" i="2"/>
  <c r="D14" i="2"/>
  <c r="AB14" i="2"/>
  <c r="H12" i="2"/>
  <c r="Q28" i="2"/>
  <c r="I19" i="2"/>
  <c r="O12" i="2"/>
  <c r="P14" i="2"/>
  <c r="U32" i="2"/>
  <c r="R60" i="2"/>
  <c r="R70" i="2"/>
  <c r="R46" i="2"/>
  <c r="J47" i="2"/>
  <c r="J63" i="2"/>
  <c r="V40" i="2"/>
  <c r="D26" i="2"/>
  <c r="D76" i="2"/>
  <c r="P58" i="2"/>
  <c r="T40" i="2"/>
  <c r="Z51" i="2"/>
  <c r="O16" i="2"/>
  <c r="AC10" i="2"/>
  <c r="V24" i="2"/>
  <c r="V20" i="2"/>
  <c r="P15" i="2"/>
  <c r="O29" i="2"/>
  <c r="O52" i="2"/>
  <c r="U47" i="2"/>
  <c r="U69" i="2"/>
  <c r="R42" i="2"/>
  <c r="R50" i="2"/>
  <c r="J9" i="2"/>
  <c r="J17" i="2"/>
  <c r="D85" i="2"/>
  <c r="D60" i="2"/>
  <c r="V67" i="2"/>
  <c r="V31" i="2"/>
  <c r="D58" i="2"/>
  <c r="AB50" i="2"/>
  <c r="AB22" i="2"/>
  <c r="H21" i="2"/>
  <c r="Q31" i="2"/>
  <c r="Z26" i="2"/>
  <c r="O10" i="2"/>
  <c r="P87" i="2"/>
  <c r="O44" i="2"/>
  <c r="V57" i="2"/>
  <c r="AD40" i="2"/>
  <c r="AD44" i="2"/>
  <c r="X71" i="2"/>
  <c r="G46" i="2"/>
  <c r="G66" i="2"/>
  <c r="F40" i="2"/>
  <c r="W45" i="2"/>
  <c r="W26" i="2"/>
  <c r="Q62" i="2"/>
  <c r="Q72" i="2"/>
  <c r="I49" i="2"/>
  <c r="I57" i="2"/>
  <c r="AA13" i="2"/>
  <c r="AA27" i="2"/>
  <c r="AA9" i="2"/>
  <c r="C29" i="2"/>
  <c r="C15" i="2"/>
  <c r="C39" i="2"/>
  <c r="C13" i="2"/>
  <c r="AB28" i="2"/>
  <c r="AB74" i="2"/>
  <c r="K73" i="2"/>
  <c r="K49" i="2"/>
  <c r="K22" i="2"/>
  <c r="K63" i="2"/>
  <c r="K71" i="2"/>
  <c r="J8" i="2"/>
  <c r="J23" i="2"/>
  <c r="J13" i="2"/>
  <c r="J16" i="2"/>
  <c r="E25" i="2"/>
  <c r="E48" i="2"/>
  <c r="E58" i="2"/>
  <c r="AC34" i="2"/>
  <c r="AC38" i="2"/>
  <c r="AC22" i="2"/>
  <c r="AC39" i="2"/>
  <c r="V38" i="2"/>
  <c r="P31" i="2"/>
  <c r="P33" i="2"/>
  <c r="P25" i="2"/>
  <c r="O9" i="2"/>
  <c r="U30" i="2"/>
  <c r="U39" i="2"/>
  <c r="R40" i="2"/>
  <c r="J84" i="2"/>
  <c r="J49" i="2"/>
  <c r="D19" i="2"/>
  <c r="D11" i="2"/>
  <c r="D25" i="2"/>
  <c r="V17" i="2"/>
  <c r="D22" i="2"/>
  <c r="AB40" i="2"/>
  <c r="H66" i="2"/>
  <c r="Q30" i="2"/>
  <c r="P12" i="2"/>
  <c r="T13" i="2"/>
  <c r="Z32" i="2"/>
  <c r="O48" i="2"/>
  <c r="V30" i="2"/>
  <c r="O23" i="2"/>
  <c r="D18" i="2"/>
  <c r="AD56" i="2"/>
  <c r="AD76" i="2"/>
  <c r="X39" i="2"/>
  <c r="X43" i="2"/>
  <c r="X77" i="2"/>
  <c r="G70" i="2"/>
  <c r="G42" i="2"/>
  <c r="F38" i="2"/>
  <c r="F74" i="2"/>
  <c r="W40" i="2"/>
  <c r="W32" i="2"/>
  <c r="Q50" i="2"/>
  <c r="Q74" i="2"/>
  <c r="I14" i="2"/>
  <c r="AA72" i="2"/>
  <c r="AC8" i="2"/>
  <c r="V22" i="2"/>
  <c r="V16" i="2"/>
  <c r="P19" i="2"/>
  <c r="P26" i="2"/>
  <c r="P11" i="2"/>
  <c r="U28" i="2"/>
  <c r="U10" i="2"/>
  <c r="R64" i="2"/>
  <c r="R87" i="2"/>
  <c r="J27" i="2"/>
  <c r="J33" i="2"/>
  <c r="D21" i="2"/>
  <c r="D38" i="2"/>
  <c r="V11" i="2"/>
  <c r="V33" i="2"/>
  <c r="D68" i="2"/>
  <c r="AB30" i="2"/>
  <c r="AB76" i="2"/>
  <c r="H39" i="2"/>
  <c r="Q35" i="2"/>
  <c r="T54" i="2"/>
  <c r="Z22" i="2"/>
  <c r="C24" i="2"/>
  <c r="C42" i="2"/>
  <c r="C58" i="2"/>
  <c r="C40" i="2"/>
  <c r="AA18" i="2"/>
  <c r="AA24" i="2"/>
  <c r="AA8" i="2"/>
  <c r="Q10" i="2"/>
  <c r="Q29" i="2"/>
  <c r="P74" i="2"/>
  <c r="P30" i="2"/>
  <c r="P22" i="2"/>
  <c r="AF7" i="2"/>
  <c r="AF11" i="2"/>
  <c r="AF27" i="2"/>
  <c r="AF35" i="2"/>
  <c r="T62" i="2"/>
  <c r="T46" i="2"/>
  <c r="T72" i="2"/>
  <c r="T35" i="2"/>
  <c r="AC46" i="2"/>
  <c r="AC58" i="2"/>
  <c r="AC48" i="2"/>
  <c r="I31" i="2"/>
  <c r="I33" i="2"/>
  <c r="I53" i="2"/>
  <c r="I23" i="2"/>
  <c r="Z65" i="2"/>
  <c r="Z43" i="2"/>
  <c r="Z34" i="2"/>
  <c r="Z16" i="2"/>
  <c r="U51" i="2"/>
  <c r="U25" i="2"/>
  <c r="U67" i="2"/>
  <c r="E14" i="2"/>
  <c r="E33" i="2"/>
  <c r="E28" i="2"/>
  <c r="E30" i="2"/>
  <c r="O56" i="2"/>
  <c r="O76" i="2"/>
  <c r="O64" i="2"/>
  <c r="O28" i="2"/>
  <c r="C18" i="2"/>
  <c r="C26" i="2"/>
  <c r="C22" i="2"/>
  <c r="C34" i="2"/>
  <c r="AA76" i="2"/>
  <c r="AA28" i="2"/>
  <c r="AA26" i="2"/>
  <c r="D52" i="2"/>
  <c r="D28" i="2"/>
  <c r="D24" i="2"/>
  <c r="D44" i="2"/>
  <c r="AB42" i="2"/>
  <c r="AB26" i="2"/>
  <c r="AB38" i="2"/>
  <c r="H48" i="2"/>
  <c r="H25" i="2"/>
  <c r="H33" i="2"/>
  <c r="H35" i="2"/>
  <c r="Q16" i="2"/>
  <c r="Q27" i="2"/>
  <c r="Q39" i="2"/>
  <c r="Q33" i="2"/>
  <c r="P32" i="2"/>
  <c r="P72" i="2"/>
  <c r="P24" i="2"/>
  <c r="AF60" i="2"/>
  <c r="AF44" i="2"/>
  <c r="AF33" i="2"/>
  <c r="AF46" i="2"/>
  <c r="T56" i="2"/>
  <c r="T31" i="2"/>
  <c r="T29" i="2"/>
  <c r="T15" i="2"/>
  <c r="AC64" i="2"/>
  <c r="AC70" i="2"/>
  <c r="AC56" i="2"/>
  <c r="I61" i="2"/>
  <c r="I17" i="2"/>
  <c r="I35" i="2"/>
  <c r="I29" i="2"/>
  <c r="Z49" i="2"/>
  <c r="Z30" i="2"/>
  <c r="Z41" i="2"/>
  <c r="Z59" i="2"/>
  <c r="U27" i="2"/>
  <c r="U13" i="2"/>
  <c r="U9" i="2"/>
  <c r="E26" i="2"/>
  <c r="E8" i="2"/>
  <c r="E20" i="2"/>
  <c r="E10" i="2"/>
  <c r="O20" i="2"/>
  <c r="O34" i="2"/>
  <c r="O18" i="2"/>
  <c r="O30" i="2"/>
  <c r="C52" i="2"/>
  <c r="C32" i="2"/>
  <c r="C74" i="2"/>
  <c r="AA38" i="2"/>
  <c r="AA40" i="2"/>
  <c r="AA62" i="2"/>
  <c r="AA70" i="2"/>
  <c r="P28" i="2"/>
  <c r="P70" i="2"/>
  <c r="P38" i="2"/>
  <c r="P8" i="2"/>
  <c r="AF52" i="2"/>
  <c r="AF23" i="2"/>
  <c r="AF70" i="2"/>
  <c r="AF31" i="2"/>
  <c r="T8" i="2"/>
  <c r="T27" i="2"/>
  <c r="T48" i="2"/>
  <c r="AC74" i="2"/>
  <c r="AC60" i="2"/>
  <c r="AC66" i="2"/>
  <c r="AC54" i="2"/>
  <c r="I15" i="2"/>
  <c r="I69" i="2"/>
  <c r="I55" i="2"/>
  <c r="I71" i="2"/>
  <c r="Z38" i="2"/>
  <c r="Z24" i="2"/>
  <c r="Z8" i="2"/>
  <c r="U19" i="2"/>
  <c r="U45" i="2"/>
  <c r="U23" i="2"/>
  <c r="U21" i="2"/>
  <c r="E29" i="2"/>
  <c r="E27" i="2"/>
  <c r="E21" i="2"/>
  <c r="E22" i="2"/>
  <c r="O24" i="2"/>
  <c r="O50" i="2"/>
  <c r="O14" i="2"/>
  <c r="AB91" i="2"/>
  <c r="C30" i="2"/>
  <c r="C60" i="2"/>
  <c r="C50" i="2"/>
  <c r="AA12" i="2"/>
  <c r="AA54" i="2"/>
  <c r="AA30" i="2"/>
  <c r="AA22" i="2"/>
  <c r="AB46" i="2"/>
  <c r="AB16" i="2"/>
  <c r="H42" i="2"/>
  <c r="H23" i="2"/>
  <c r="H29" i="2"/>
  <c r="H56" i="2"/>
  <c r="Q14" i="2"/>
  <c r="Q20" i="2"/>
  <c r="Q22" i="2"/>
  <c r="P76" i="2"/>
  <c r="P48" i="2"/>
  <c r="P42" i="2"/>
  <c r="P64" i="2"/>
  <c r="AF25" i="2"/>
  <c r="AF54" i="2"/>
  <c r="AF21" i="2"/>
  <c r="AF29" i="2"/>
  <c r="T64" i="2"/>
  <c r="T70" i="2"/>
  <c r="T23" i="2"/>
  <c r="AC52" i="2"/>
  <c r="AC40" i="2"/>
  <c r="AC68" i="2"/>
  <c r="AC42" i="2"/>
  <c r="I25" i="2"/>
  <c r="I39" i="2"/>
  <c r="I11" i="2"/>
  <c r="I27" i="2"/>
  <c r="Z67" i="2"/>
  <c r="Z57" i="2"/>
  <c r="Z20" i="2"/>
  <c r="U59" i="2"/>
  <c r="U84" i="2"/>
  <c r="U53" i="2"/>
  <c r="U15" i="2"/>
  <c r="E24" i="2"/>
  <c r="E40" i="2"/>
  <c r="E16" i="2"/>
  <c r="E32" i="2"/>
  <c r="O38" i="2"/>
  <c r="O32" i="2"/>
  <c r="O72" i="2"/>
  <c r="C38" i="2"/>
  <c r="C12" i="2"/>
  <c r="C28" i="2"/>
  <c r="C16" i="2"/>
  <c r="AA34" i="2"/>
  <c r="AA20" i="2"/>
  <c r="AA16" i="2"/>
  <c r="AA48" i="2"/>
  <c r="D32" i="2"/>
  <c r="D30" i="2"/>
  <c r="AB70" i="2"/>
  <c r="AB10" i="2"/>
  <c r="AB68" i="2"/>
  <c r="AB83" i="2"/>
  <c r="H31" i="2"/>
  <c r="H27" i="2"/>
  <c r="H64" i="2"/>
  <c r="Q8" i="2"/>
  <c r="Q32" i="2"/>
  <c r="Q38" i="2"/>
  <c r="Q12" i="2"/>
  <c r="P20" i="2"/>
  <c r="P50" i="2"/>
  <c r="P56" i="2"/>
  <c r="P39" i="2"/>
  <c r="AF8" i="2"/>
  <c r="AF68" i="2"/>
  <c r="AF17" i="2"/>
  <c r="T25" i="2"/>
  <c r="T33" i="2"/>
  <c r="T9" i="2"/>
  <c r="T17" i="2"/>
  <c r="AC62" i="2"/>
  <c r="AC31" i="2"/>
  <c r="AC72" i="2"/>
  <c r="AC83" i="2"/>
  <c r="I21" i="2"/>
  <c r="I47" i="2"/>
  <c r="I63" i="2"/>
  <c r="Z28" i="2"/>
  <c r="Z18" i="2"/>
  <c r="Z14" i="2"/>
  <c r="Z7" i="2"/>
  <c r="U31" i="2"/>
  <c r="U33" i="2"/>
  <c r="U61" i="2"/>
  <c r="U35" i="2"/>
  <c r="E34" i="2"/>
  <c r="E18" i="2"/>
  <c r="E39" i="2"/>
  <c r="O74" i="2"/>
  <c r="O42" i="2"/>
  <c r="O26" i="2"/>
  <c r="O22" i="2"/>
  <c r="C20" i="2"/>
  <c r="C14" i="2"/>
  <c r="C87" i="2"/>
  <c r="C66" i="2"/>
  <c r="AA32" i="2"/>
  <c r="AA14" i="2"/>
  <c r="AA10" i="2"/>
  <c r="AA56" i="2"/>
  <c r="J58" i="2"/>
  <c r="F47" i="2"/>
  <c r="AB77" i="2"/>
  <c r="D84" i="2"/>
  <c r="F84" i="2"/>
  <c r="P47" i="2"/>
  <c r="U92" i="2"/>
  <c r="D47" i="2"/>
  <c r="U88" i="2"/>
  <c r="U74" i="2"/>
  <c r="O69" i="2"/>
  <c r="AF16" i="2"/>
  <c r="T26" i="2"/>
  <c r="D71" i="2"/>
  <c r="J76" i="2"/>
  <c r="P61" i="2"/>
  <c r="AB65" i="2"/>
  <c r="U76" i="2"/>
  <c r="H38" i="2"/>
  <c r="N84" i="2"/>
  <c r="J87" i="2"/>
  <c r="P51" i="2"/>
  <c r="AB57" i="2"/>
  <c r="U62" i="2"/>
  <c r="O47" i="2"/>
  <c r="H26" i="2"/>
  <c r="T22" i="2"/>
  <c r="D55" i="2"/>
  <c r="F51" i="2"/>
  <c r="P63" i="2"/>
  <c r="AB67" i="2"/>
  <c r="D75" i="2"/>
  <c r="D41" i="2"/>
  <c r="J62" i="2"/>
  <c r="F45" i="2"/>
  <c r="F77" i="2"/>
  <c r="P57" i="2"/>
  <c r="P73" i="2"/>
  <c r="AB75" i="2"/>
  <c r="C89" i="2"/>
  <c r="I88" i="2"/>
  <c r="U68" i="2"/>
  <c r="C73" i="2"/>
  <c r="C45" i="2"/>
  <c r="O55" i="2"/>
  <c r="AF18" i="2"/>
  <c r="H10" i="2"/>
  <c r="T18" i="2"/>
  <c r="T58" i="2"/>
  <c r="N47" i="2"/>
  <c r="J75" i="2"/>
  <c r="C92" i="2"/>
  <c r="D57" i="2"/>
  <c r="P85" i="2"/>
  <c r="AB41" i="2"/>
  <c r="J42" i="2"/>
  <c r="C51" i="2"/>
  <c r="H76" i="2"/>
  <c r="D77" i="2"/>
  <c r="F55" i="2"/>
  <c r="P45" i="2"/>
  <c r="U60" i="2"/>
  <c r="AF32" i="2"/>
  <c r="T28" i="2"/>
  <c r="D39" i="2"/>
  <c r="F63" i="2"/>
  <c r="P49" i="2"/>
  <c r="U90" i="2"/>
  <c r="C43" i="2"/>
  <c r="N17" i="2"/>
  <c r="D61" i="2"/>
  <c r="J56" i="2"/>
  <c r="AB84" i="2"/>
  <c r="D65" i="2"/>
  <c r="J52" i="2"/>
  <c r="F65" i="2"/>
  <c r="P65" i="2"/>
  <c r="P55" i="2"/>
  <c r="AB87" i="2"/>
  <c r="I81" i="2"/>
  <c r="U83" i="2"/>
  <c r="C75" i="2"/>
  <c r="O73" i="2"/>
  <c r="O68" i="2"/>
  <c r="AF24" i="2"/>
  <c r="H24" i="2"/>
  <c r="T30" i="2"/>
  <c r="N19" i="2"/>
  <c r="N33" i="2"/>
  <c r="D43" i="2"/>
  <c r="P43" i="2"/>
  <c r="I44" i="2"/>
  <c r="J83" i="2"/>
  <c r="F69" i="2"/>
  <c r="AB35" i="2"/>
  <c r="J54" i="2"/>
  <c r="U52" i="2"/>
  <c r="H32" i="2"/>
  <c r="N77" i="2"/>
  <c r="J46" i="2"/>
  <c r="F71" i="2"/>
  <c r="AB71" i="2"/>
  <c r="U81" i="2"/>
  <c r="C55" i="2"/>
  <c r="O84" i="2"/>
  <c r="H30" i="2"/>
  <c r="J44" i="2"/>
  <c r="F75" i="2"/>
  <c r="AB61" i="2"/>
  <c r="U58" i="2"/>
  <c r="AF20" i="2"/>
  <c r="F91" i="2"/>
  <c r="J68" i="2"/>
  <c r="F87" i="2"/>
  <c r="P53" i="2"/>
  <c r="D51" i="2"/>
  <c r="J66" i="2"/>
  <c r="F61" i="2"/>
  <c r="D63" i="2"/>
  <c r="D59" i="2"/>
  <c r="J70" i="2"/>
  <c r="C81" i="2"/>
  <c r="I86" i="2"/>
  <c r="U44" i="2"/>
  <c r="C41" i="2"/>
  <c r="O45" i="2"/>
  <c r="O49" i="2"/>
  <c r="AF12" i="2"/>
  <c r="H52" i="2"/>
  <c r="T10" i="2"/>
  <c r="N55" i="2"/>
  <c r="F43" i="2"/>
  <c r="AB73" i="2"/>
  <c r="D73" i="2"/>
  <c r="D83" i="2"/>
  <c r="D67" i="2"/>
  <c r="J74" i="2"/>
  <c r="J50" i="2"/>
  <c r="F59" i="2"/>
  <c r="P59" i="2"/>
  <c r="P75" i="2"/>
  <c r="AB47" i="2"/>
  <c r="AB43" i="2"/>
  <c r="C86" i="2"/>
  <c r="T91" i="2"/>
  <c r="U87" i="2"/>
  <c r="C70" i="2"/>
  <c r="O75" i="2"/>
  <c r="AF40" i="2"/>
  <c r="AF38" i="2"/>
  <c r="H9" i="2"/>
  <c r="T85" i="2"/>
  <c r="N21" i="2"/>
  <c r="D53" i="2"/>
  <c r="D49" i="2"/>
  <c r="J64" i="2"/>
  <c r="J72" i="2"/>
  <c r="F85" i="2"/>
  <c r="P69" i="2"/>
  <c r="P35" i="2"/>
  <c r="AB53" i="2"/>
  <c r="AB59" i="2"/>
  <c r="C88" i="2"/>
  <c r="AF91" i="2"/>
  <c r="U56" i="2"/>
  <c r="C61" i="2"/>
  <c r="O53" i="2"/>
  <c r="AF14" i="2"/>
  <c r="AF64" i="2"/>
  <c r="H74" i="2"/>
  <c r="T74" i="2"/>
  <c r="N31" i="2"/>
  <c r="I60" i="2"/>
  <c r="D69" i="2"/>
  <c r="D45" i="2"/>
  <c r="J85" i="2"/>
  <c r="J60" i="2"/>
  <c r="F57" i="2"/>
  <c r="F41" i="2"/>
  <c r="P41" i="2"/>
  <c r="P77" i="2"/>
  <c r="AB45" i="2"/>
  <c r="AB69" i="2"/>
  <c r="H91" i="2"/>
  <c r="U64" i="2"/>
  <c r="C69" i="2"/>
  <c r="O65" i="2"/>
  <c r="AF72" i="2"/>
  <c r="AF85" i="2"/>
  <c r="H16" i="2"/>
  <c r="T14" i="2"/>
  <c r="N35" i="2"/>
  <c r="F49" i="2"/>
  <c r="F67" i="2"/>
  <c r="F53" i="2"/>
  <c r="P71" i="2"/>
  <c r="I91" i="2"/>
  <c r="AB51" i="2"/>
  <c r="C82" i="2"/>
  <c r="U86" i="2"/>
  <c r="G91" i="2"/>
  <c r="U50" i="2"/>
  <c r="U70" i="2"/>
  <c r="C59" i="2"/>
  <c r="C62" i="2"/>
  <c r="C71" i="2"/>
  <c r="C77" i="2"/>
  <c r="O41" i="2"/>
  <c r="O77" i="2"/>
  <c r="O67" i="2"/>
  <c r="O57" i="2"/>
  <c r="AF30" i="2"/>
  <c r="AF28" i="2"/>
  <c r="AF74" i="2"/>
  <c r="H44" i="2"/>
  <c r="H34" i="2"/>
  <c r="H14" i="2"/>
  <c r="H83" i="2"/>
  <c r="T16" i="2"/>
  <c r="T42" i="2"/>
  <c r="T66" i="2"/>
  <c r="T38" i="2"/>
  <c r="N15" i="2"/>
  <c r="N75" i="2"/>
  <c r="N63" i="2"/>
  <c r="N25" i="2"/>
  <c r="I68" i="2"/>
  <c r="I74" i="2"/>
  <c r="I48" i="2"/>
  <c r="AA75" i="2"/>
  <c r="AA61" i="2"/>
  <c r="AA69" i="2"/>
  <c r="AA71" i="2"/>
  <c r="S39" i="2"/>
  <c r="S66" i="2"/>
  <c r="S76" i="2"/>
  <c r="S64" i="2"/>
  <c r="Z45" i="2"/>
  <c r="Z31" i="2"/>
  <c r="Z25" i="2"/>
  <c r="AD91" i="2"/>
  <c r="M59" i="2"/>
  <c r="M41" i="2"/>
  <c r="M57" i="2"/>
  <c r="Y41" i="2"/>
  <c r="Y69" i="2"/>
  <c r="Y53" i="2"/>
  <c r="Y47" i="2"/>
  <c r="AE62" i="2"/>
  <c r="AE40" i="2"/>
  <c r="AE50" i="2"/>
  <c r="AE66" i="2"/>
  <c r="L77" i="2"/>
  <c r="L53" i="2"/>
  <c r="L73" i="2"/>
  <c r="J48" i="2"/>
  <c r="F73" i="2"/>
  <c r="P84" i="2"/>
  <c r="P67" i="2"/>
  <c r="AB55" i="2"/>
  <c r="AB49" i="2"/>
  <c r="U89" i="2"/>
  <c r="I92" i="2"/>
  <c r="U66" i="2"/>
  <c r="AB63" i="2"/>
  <c r="U82" i="2"/>
  <c r="I89" i="2"/>
  <c r="U40" i="2"/>
  <c r="U85" i="2"/>
  <c r="C65" i="2"/>
  <c r="C84" i="2"/>
  <c r="C53" i="2"/>
  <c r="O63" i="2"/>
  <c r="O71" i="2"/>
  <c r="O59" i="2"/>
  <c r="AF26" i="2"/>
  <c r="AF22" i="2"/>
  <c r="AF56" i="2"/>
  <c r="H40" i="2"/>
  <c r="H8" i="2"/>
  <c r="H20" i="2"/>
  <c r="H60" i="2"/>
  <c r="T34" i="2"/>
  <c r="T83" i="2"/>
  <c r="T24" i="2"/>
  <c r="T20" i="2"/>
  <c r="N9" i="2"/>
  <c r="N71" i="2"/>
  <c r="N13" i="2"/>
  <c r="I62" i="2"/>
  <c r="I40" i="2"/>
  <c r="I56" i="2"/>
  <c r="I64" i="2"/>
  <c r="AA57" i="2"/>
  <c r="AA65" i="2"/>
  <c r="AA45" i="2"/>
  <c r="AA59" i="2"/>
  <c r="S58" i="2"/>
  <c r="S44" i="2"/>
  <c r="S48" i="2"/>
  <c r="S62" i="2"/>
  <c r="Z21" i="2"/>
  <c r="Z84" i="2"/>
  <c r="Z69" i="2"/>
  <c r="M65" i="2"/>
  <c r="M49" i="2"/>
  <c r="M67" i="2"/>
  <c r="M43" i="2"/>
  <c r="Y43" i="2"/>
  <c r="Y65" i="2"/>
  <c r="Y67" i="2"/>
  <c r="Y39" i="2"/>
  <c r="AE68" i="2"/>
  <c r="AE72" i="2"/>
  <c r="AE48" i="2"/>
  <c r="Q91" i="2"/>
  <c r="L61" i="2"/>
  <c r="L47" i="2"/>
  <c r="L69" i="2"/>
  <c r="C90" i="2"/>
  <c r="I82" i="2"/>
  <c r="U48" i="2"/>
  <c r="U72" i="2"/>
  <c r="C49" i="2"/>
  <c r="AF48" i="2"/>
  <c r="I76" i="2"/>
  <c r="I58" i="2"/>
  <c r="AA49" i="2"/>
  <c r="AA53" i="2"/>
  <c r="S74" i="2"/>
  <c r="Z27" i="2"/>
  <c r="Z75" i="2"/>
  <c r="Z33" i="2"/>
  <c r="Z9" i="2"/>
  <c r="M45" i="2"/>
  <c r="M61" i="2"/>
  <c r="M71" i="2"/>
  <c r="Y51" i="2"/>
  <c r="Y59" i="2"/>
  <c r="Y61" i="2"/>
  <c r="Y71" i="2"/>
  <c r="AE54" i="2"/>
  <c r="AE58" i="2"/>
  <c r="AE46" i="2"/>
  <c r="L84" i="2"/>
  <c r="L55" i="2"/>
  <c r="L45" i="2"/>
  <c r="L39" i="2"/>
  <c r="N29" i="2"/>
  <c r="I50" i="2"/>
  <c r="I66" i="2"/>
  <c r="AA73" i="2"/>
  <c r="AA43" i="2"/>
  <c r="S68" i="2"/>
  <c r="S40" i="2"/>
  <c r="M53" i="2"/>
  <c r="I46" i="2"/>
  <c r="I42" i="2"/>
  <c r="AA84" i="2"/>
  <c r="S50" i="2"/>
  <c r="S46" i="2"/>
  <c r="Z23" i="2"/>
  <c r="Z61" i="2"/>
  <c r="M39" i="2"/>
  <c r="M63" i="2"/>
  <c r="M75" i="2"/>
  <c r="M77" i="2"/>
  <c r="Y35" i="2"/>
  <c r="Y73" i="2"/>
  <c r="AE38" i="2"/>
  <c r="AE44" i="2"/>
  <c r="AE74" i="2"/>
  <c r="AE42" i="2"/>
  <c r="L67" i="2"/>
  <c r="L41" i="2"/>
  <c r="L57" i="2"/>
  <c r="L43" i="2"/>
  <c r="I52" i="2"/>
  <c r="I70" i="2"/>
  <c r="AA39" i="2"/>
  <c r="AA41" i="2"/>
  <c r="AA51" i="2"/>
  <c r="S72" i="2"/>
  <c r="Z73" i="2"/>
  <c r="Z53" i="2"/>
  <c r="Y49" i="2"/>
  <c r="I83" i="2"/>
  <c r="AA63" i="2"/>
  <c r="AA47" i="2"/>
  <c r="AA67" i="2"/>
  <c r="S42" i="2"/>
  <c r="S56" i="2"/>
  <c r="S54" i="2"/>
  <c r="Z11" i="2"/>
  <c r="Z15" i="2"/>
  <c r="Z35" i="2"/>
  <c r="Z13" i="2"/>
  <c r="M47" i="2"/>
  <c r="M40" i="2"/>
  <c r="M7" i="2"/>
  <c r="M55" i="2"/>
  <c r="Y57" i="2"/>
  <c r="Y45" i="2"/>
  <c r="Y63" i="2"/>
  <c r="AE39" i="2"/>
  <c r="AE76" i="2"/>
  <c r="AE87" i="2"/>
  <c r="AE52" i="2"/>
  <c r="L75" i="2"/>
  <c r="L65" i="2"/>
  <c r="L63" i="2"/>
  <c r="L7" i="2"/>
  <c r="I72" i="2"/>
  <c r="S60" i="2"/>
  <c r="I90" i="2"/>
  <c r="AE91" i="2"/>
  <c r="U46" i="2"/>
  <c r="U42" i="2"/>
  <c r="U54" i="2"/>
  <c r="C57" i="2"/>
  <c r="C63" i="2"/>
  <c r="C67" i="2"/>
  <c r="C47" i="2"/>
  <c r="O61" i="2"/>
  <c r="O39" i="2"/>
  <c r="O43" i="2"/>
  <c r="O51" i="2"/>
  <c r="AF83" i="2"/>
  <c r="AF76" i="2"/>
  <c r="AF34" i="2"/>
  <c r="R91" i="2"/>
  <c r="H28" i="2"/>
  <c r="H22" i="2"/>
  <c r="H68" i="2"/>
  <c r="T32" i="2"/>
  <c r="T50" i="2"/>
  <c r="T12" i="2"/>
  <c r="T76" i="2"/>
  <c r="N7" i="2"/>
  <c r="N23" i="2"/>
  <c r="N11" i="2"/>
  <c r="N27" i="2"/>
  <c r="I87" i="2"/>
  <c r="I85" i="2"/>
  <c r="I54" i="2"/>
  <c r="S91" i="2"/>
  <c r="AA66" i="2"/>
  <c r="AA55" i="2"/>
  <c r="AA77" i="2"/>
  <c r="S52" i="2"/>
  <c r="S83" i="2"/>
  <c r="S70" i="2"/>
  <c r="S34" i="2"/>
  <c r="Z77" i="2"/>
  <c r="Z17" i="2"/>
  <c r="Z29" i="2"/>
  <c r="Z19" i="2"/>
  <c r="M51" i="2"/>
  <c r="M73" i="2"/>
  <c r="M69" i="2"/>
  <c r="Y29" i="2"/>
  <c r="Y77" i="2"/>
  <c r="Y55" i="2"/>
  <c r="Y75" i="2"/>
  <c r="AE60" i="2"/>
  <c r="AE64" i="2"/>
  <c r="AE56" i="2"/>
  <c r="AE70" i="2"/>
  <c r="L71" i="2"/>
  <c r="L49" i="2"/>
  <c r="L51" i="2"/>
  <c r="L59" i="2"/>
  <c r="H73" i="2"/>
  <c r="H75" i="2"/>
  <c r="AF45" i="2"/>
  <c r="L76" i="2"/>
  <c r="R84" i="2"/>
  <c r="E86" i="2"/>
  <c r="AA90" i="2"/>
  <c r="V86" i="2"/>
  <c r="E75" i="2"/>
  <c r="K64" i="2"/>
  <c r="Q84" i="2"/>
  <c r="AF51" i="2"/>
  <c r="W89" i="2"/>
  <c r="L74" i="2"/>
  <c r="R55" i="2"/>
  <c r="P81" i="2"/>
  <c r="V91" i="2"/>
  <c r="AA88" i="2"/>
  <c r="V92" i="2"/>
  <c r="AD49" i="2"/>
  <c r="H65" i="2"/>
  <c r="H51" i="2"/>
  <c r="AF59" i="2"/>
  <c r="AF61" i="2"/>
  <c r="W90" i="2"/>
  <c r="L52" i="2"/>
  <c r="R61" i="2"/>
  <c r="R63" i="2"/>
  <c r="R77" i="2"/>
  <c r="P92" i="2"/>
  <c r="E82" i="2"/>
  <c r="AC81" i="2"/>
  <c r="AB82" i="2"/>
  <c r="D81" i="2"/>
  <c r="J88" i="2"/>
  <c r="E43" i="2"/>
  <c r="E69" i="2"/>
  <c r="K68" i="2"/>
  <c r="L48" i="2"/>
  <c r="AC88" i="2"/>
  <c r="AD47" i="2"/>
  <c r="K70" i="2"/>
  <c r="Q63" i="2"/>
  <c r="Q85" i="2"/>
  <c r="AC69" i="2"/>
  <c r="AC73" i="2"/>
  <c r="AC85" i="2"/>
  <c r="V42" i="2"/>
  <c r="V70" i="2"/>
  <c r="V60" i="2"/>
  <c r="V52" i="2"/>
  <c r="W42" i="2"/>
  <c r="W62" i="2"/>
  <c r="W52" i="2"/>
  <c r="AF75" i="2"/>
  <c r="K81" i="2"/>
  <c r="E41" i="2"/>
  <c r="AC63" i="2"/>
  <c r="AF73" i="2"/>
  <c r="P88" i="2"/>
  <c r="AD59" i="2"/>
  <c r="H47" i="2"/>
  <c r="L66" i="2"/>
  <c r="AB89" i="2"/>
  <c r="E63" i="2"/>
  <c r="AD87" i="2"/>
  <c r="Q53" i="2"/>
  <c r="V76" i="2"/>
  <c r="H84" i="2"/>
  <c r="AF84" i="2"/>
  <c r="L44" i="2"/>
  <c r="R41" i="2"/>
  <c r="K86" i="2"/>
  <c r="AC92" i="2"/>
  <c r="D86" i="2"/>
  <c r="E57" i="2"/>
  <c r="AD39" i="2"/>
  <c r="K84" i="2"/>
  <c r="O81" i="2"/>
  <c r="H59" i="2"/>
  <c r="AF39" i="2"/>
  <c r="L60" i="2"/>
  <c r="R67" i="2"/>
  <c r="P86" i="2"/>
  <c r="E81" i="2"/>
  <c r="AA82" i="2"/>
  <c r="D89" i="2"/>
  <c r="V90" i="2"/>
  <c r="E45" i="2"/>
  <c r="AD55" i="2"/>
  <c r="AD67" i="2"/>
  <c r="AD75" i="2"/>
  <c r="K72" i="2"/>
  <c r="K87" i="2"/>
  <c r="K52" i="2"/>
  <c r="O86" i="2"/>
  <c r="Q71" i="2"/>
  <c r="Q45" i="2"/>
  <c r="Q61" i="2"/>
  <c r="AC49" i="2"/>
  <c r="AC59" i="2"/>
  <c r="AC77" i="2"/>
  <c r="AC67" i="2"/>
  <c r="V56" i="2"/>
  <c r="V66" i="2"/>
  <c r="V77" i="2"/>
  <c r="W70" i="2"/>
  <c r="W44" i="2"/>
  <c r="W58" i="2"/>
  <c r="H41" i="2"/>
  <c r="H63" i="2"/>
  <c r="W88" i="2"/>
  <c r="L42" i="2"/>
  <c r="R43" i="2"/>
  <c r="Q82" i="2"/>
  <c r="AB86" i="2"/>
  <c r="V89" i="2"/>
  <c r="E71" i="2"/>
  <c r="AD71" i="2"/>
  <c r="O92" i="2"/>
  <c r="H43" i="2"/>
  <c r="AF55" i="2"/>
  <c r="W81" i="2"/>
  <c r="L54" i="2"/>
  <c r="R75" i="2"/>
  <c r="P82" i="2"/>
  <c r="AC86" i="2"/>
  <c r="E53" i="2"/>
  <c r="H77" i="2"/>
  <c r="H49" i="2"/>
  <c r="AF41" i="2"/>
  <c r="AF77" i="2"/>
  <c r="W86" i="2"/>
  <c r="L46" i="2"/>
  <c r="R47" i="2"/>
  <c r="R45" i="2"/>
  <c r="P90" i="2"/>
  <c r="Q90" i="2"/>
  <c r="AC89" i="2"/>
  <c r="AA81" i="2"/>
  <c r="D90" i="2"/>
  <c r="V82" i="2"/>
  <c r="E85" i="2"/>
  <c r="E87" i="2"/>
  <c r="AD51" i="2"/>
  <c r="AD43" i="2"/>
  <c r="AD57" i="2"/>
  <c r="K74" i="2"/>
  <c r="K54" i="2"/>
  <c r="K46" i="2"/>
  <c r="O82" i="2"/>
  <c r="Q41" i="2"/>
  <c r="Q43" i="2"/>
  <c r="Q47" i="2"/>
  <c r="Q75" i="2"/>
  <c r="AC57" i="2"/>
  <c r="AC75" i="2"/>
  <c r="AC61" i="2"/>
  <c r="AC41" i="2"/>
  <c r="V72" i="2"/>
  <c r="V64" i="2"/>
  <c r="V46" i="2"/>
  <c r="W87" i="2"/>
  <c r="W68" i="2"/>
  <c r="W85" i="2"/>
  <c r="W83" i="2"/>
  <c r="H67" i="2"/>
  <c r="AF63" i="2"/>
  <c r="L50" i="2"/>
  <c r="R39" i="2"/>
  <c r="E90" i="2"/>
  <c r="AA89" i="2"/>
  <c r="J92" i="2"/>
  <c r="E51" i="2"/>
  <c r="K60" i="2"/>
  <c r="Q59" i="2"/>
  <c r="H45" i="2"/>
  <c r="AF43" i="2"/>
  <c r="W91" i="2"/>
  <c r="L62" i="2"/>
  <c r="R65" i="2"/>
  <c r="K82" i="2"/>
  <c r="Q92" i="2"/>
  <c r="AB81" i="2"/>
  <c r="J82" i="2"/>
  <c r="E65" i="2"/>
  <c r="H57" i="2"/>
  <c r="H53" i="2"/>
  <c r="AF71" i="2"/>
  <c r="K91" i="2"/>
  <c r="L64" i="2"/>
  <c r="L72" i="2"/>
  <c r="R49" i="2"/>
  <c r="R57" i="2"/>
  <c r="K90" i="2"/>
  <c r="Q88" i="2"/>
  <c r="E88" i="2"/>
  <c r="AB92" i="2"/>
  <c r="D82" i="2"/>
  <c r="J81" i="2"/>
  <c r="E61" i="2"/>
  <c r="E55" i="2"/>
  <c r="K50" i="2"/>
  <c r="AF57" i="2"/>
  <c r="P89" i="2"/>
  <c r="E67" i="2"/>
  <c r="K44" i="2"/>
  <c r="O90" i="2"/>
  <c r="Q73" i="2"/>
  <c r="Q67" i="2"/>
  <c r="AC84" i="2"/>
  <c r="AC71" i="2"/>
  <c r="U91" i="2"/>
  <c r="V50" i="2"/>
  <c r="V74" i="2"/>
  <c r="V87" i="2"/>
  <c r="W54" i="2"/>
  <c r="W66" i="2"/>
  <c r="W72" i="2"/>
  <c r="W76" i="2"/>
  <c r="AF65" i="2"/>
  <c r="Q86" i="2"/>
  <c r="E73" i="2"/>
  <c r="AC43" i="2"/>
  <c r="W82" i="2"/>
  <c r="K89" i="2"/>
  <c r="AD45" i="2"/>
  <c r="H71" i="2"/>
  <c r="R85" i="2"/>
  <c r="D92" i="2"/>
  <c r="AD77" i="2"/>
  <c r="K56" i="2"/>
  <c r="Q51" i="2"/>
  <c r="W64" i="2"/>
  <c r="H87" i="2"/>
  <c r="W92" i="2"/>
  <c r="L87" i="2"/>
  <c r="R69" i="2"/>
  <c r="E92" i="2"/>
  <c r="AB88" i="2"/>
  <c r="D88" i="2"/>
  <c r="E47" i="2"/>
  <c r="AD41" i="2"/>
  <c r="K76" i="2"/>
  <c r="K48" i="2"/>
  <c r="H69" i="2"/>
  <c r="AF87" i="2"/>
  <c r="AF49" i="2"/>
  <c r="L56" i="2"/>
  <c r="L85" i="2"/>
  <c r="R71" i="2"/>
  <c r="Q81" i="2"/>
  <c r="AC82" i="2"/>
  <c r="J90" i="2"/>
  <c r="J86" i="2"/>
  <c r="E59" i="2"/>
  <c r="E84" i="2"/>
  <c r="AD65" i="2"/>
  <c r="AD61" i="2"/>
  <c r="K58" i="2"/>
  <c r="K85" i="2"/>
  <c r="K83" i="2"/>
  <c r="O89" i="2"/>
  <c r="Q57" i="2"/>
  <c r="Q87" i="2"/>
  <c r="Q69" i="2"/>
  <c r="AC45" i="2"/>
  <c r="AC53" i="2"/>
  <c r="AC55" i="2"/>
  <c r="V54" i="2"/>
  <c r="V62" i="2"/>
  <c r="V44" i="2"/>
  <c r="V48" i="2"/>
  <c r="W48" i="2"/>
  <c r="W50" i="2"/>
  <c r="W60" i="2"/>
  <c r="AF47" i="2"/>
  <c r="L40" i="2"/>
  <c r="R73" i="2"/>
  <c r="R59" i="2"/>
  <c r="AC90" i="2"/>
  <c r="AA92" i="2"/>
  <c r="V81" i="2"/>
  <c r="AD84" i="2"/>
  <c r="Q65" i="2"/>
  <c r="H55" i="2"/>
  <c r="AF69" i="2"/>
  <c r="L83" i="2"/>
  <c r="R53" i="2"/>
  <c r="K88" i="2"/>
  <c r="E89" i="2"/>
  <c r="AB90" i="2"/>
  <c r="E49" i="2"/>
  <c r="H61" i="2"/>
  <c r="H85" i="2"/>
  <c r="AF67" i="2"/>
  <c r="AF53" i="2"/>
  <c r="L58" i="2"/>
  <c r="L70" i="2"/>
  <c r="L68" i="2"/>
  <c r="R51" i="2"/>
  <c r="K92" i="2"/>
  <c r="Q89" i="2"/>
  <c r="J91" i="2"/>
  <c r="AA86" i="2"/>
  <c r="J89" i="2"/>
  <c r="V88" i="2"/>
  <c r="E77" i="2"/>
  <c r="AD53" i="2"/>
  <c r="AD63" i="2"/>
  <c r="AD69" i="2"/>
  <c r="AD73" i="2"/>
  <c r="K62" i="2"/>
  <c r="K66" i="2"/>
  <c r="K42" i="2"/>
  <c r="O88" i="2"/>
  <c r="Q55" i="2"/>
  <c r="Q77" i="2"/>
  <c r="Q49" i="2"/>
  <c r="AC47" i="2"/>
  <c r="AC87" i="2"/>
  <c r="AC51" i="2"/>
  <c r="AC65" i="2"/>
  <c r="V58" i="2"/>
  <c r="V85" i="2"/>
  <c r="V68" i="2"/>
  <c r="V83" i="2"/>
  <c r="W56" i="2"/>
  <c r="W46" i="2"/>
  <c r="W74" i="2"/>
  <c r="W84" i="2"/>
  <c r="X64" i="2"/>
  <c r="G92" i="2"/>
  <c r="X90" i="2"/>
  <c r="G83" i="2"/>
  <c r="N74" i="2"/>
  <c r="G90" i="2"/>
  <c r="S82" i="2"/>
  <c r="X54" i="2"/>
  <c r="G63" i="2"/>
  <c r="Y50" i="2"/>
  <c r="N76" i="2"/>
  <c r="G88" i="2"/>
  <c r="S88" i="2"/>
  <c r="X76" i="2"/>
  <c r="G75" i="2"/>
  <c r="Y87" i="2"/>
  <c r="H90" i="2"/>
  <c r="X70" i="2"/>
  <c r="F82" i="2"/>
  <c r="X68" i="2"/>
  <c r="T92" i="2"/>
  <c r="R92" i="2"/>
  <c r="Z76" i="2"/>
  <c r="Y46" i="2"/>
  <c r="T86" i="2"/>
  <c r="F92" i="2"/>
  <c r="R88" i="2"/>
  <c r="X72" i="2"/>
  <c r="Z60" i="2"/>
  <c r="Y83" i="2"/>
  <c r="T81" i="2"/>
  <c r="Y89" i="2"/>
  <c r="R82" i="2"/>
  <c r="X58" i="2"/>
  <c r="Z87" i="2"/>
  <c r="Y42" i="2"/>
  <c r="X88" i="2"/>
  <c r="F90" i="2"/>
  <c r="G43" i="2"/>
  <c r="Y56" i="2"/>
  <c r="AD82" i="2"/>
  <c r="Y86" i="2"/>
  <c r="R86" i="2"/>
  <c r="G53" i="2"/>
  <c r="Z83" i="2"/>
  <c r="Y48" i="2"/>
  <c r="G69" i="2"/>
  <c r="AD89" i="2"/>
  <c r="X91" i="2"/>
  <c r="G84" i="2"/>
  <c r="Z52" i="2"/>
  <c r="Y68" i="2"/>
  <c r="S92" i="2"/>
  <c r="Y88" i="2"/>
  <c r="AD90" i="2"/>
  <c r="Y90" i="2"/>
  <c r="X52" i="2"/>
  <c r="G71" i="2"/>
  <c r="Z40" i="2"/>
  <c r="M72" i="2"/>
  <c r="G82" i="2"/>
  <c r="AD92" i="2"/>
  <c r="X92" i="2"/>
  <c r="X85" i="2"/>
  <c r="G73" i="2"/>
  <c r="Z58" i="2"/>
  <c r="M42" i="2"/>
  <c r="M83" i="2"/>
  <c r="H92" i="2"/>
  <c r="X46" i="2"/>
  <c r="G85" i="2"/>
  <c r="Z68" i="2"/>
  <c r="Z62" i="2"/>
  <c r="H86" i="2"/>
  <c r="Y84" i="2"/>
  <c r="M87" i="2"/>
  <c r="M62" i="2"/>
  <c r="N50" i="2"/>
  <c r="N56" i="2"/>
  <c r="AE61" i="2"/>
  <c r="AE69" i="2"/>
  <c r="S47" i="2"/>
  <c r="T87" i="2"/>
  <c r="T89" i="2"/>
  <c r="AD81" i="2"/>
  <c r="G89" i="2"/>
  <c r="F89" i="2"/>
  <c r="Y81" i="2"/>
  <c r="S86" i="2"/>
  <c r="R89" i="2"/>
  <c r="X50" i="2"/>
  <c r="X60" i="2"/>
  <c r="X62" i="2"/>
  <c r="G67" i="2"/>
  <c r="G61" i="2"/>
  <c r="G87" i="2"/>
  <c r="Z42" i="2"/>
  <c r="Z48" i="2"/>
  <c r="Z72" i="2"/>
  <c r="H82" i="2"/>
  <c r="Y60" i="2"/>
  <c r="AE65" i="2"/>
  <c r="S67" i="2"/>
  <c r="S87" i="2"/>
  <c r="S61" i="2"/>
  <c r="T47" i="2"/>
  <c r="T73" i="2"/>
  <c r="T43" i="2"/>
  <c r="N60" i="2"/>
  <c r="S84" i="2"/>
  <c r="AE57" i="2"/>
  <c r="AD86" i="2"/>
  <c r="S81" i="2"/>
  <c r="X87" i="2"/>
  <c r="Z54" i="2"/>
  <c r="M85" i="2"/>
  <c r="S51" i="2"/>
  <c r="G86" i="2"/>
  <c r="R90" i="2"/>
  <c r="G59" i="2"/>
  <c r="Z85" i="2"/>
  <c r="H81" i="2"/>
  <c r="M48" i="2"/>
  <c r="N44" i="2"/>
  <c r="AE45" i="2"/>
  <c r="S41" i="2"/>
  <c r="S69" i="2"/>
  <c r="T84" i="2"/>
  <c r="T45" i="2"/>
  <c r="M44" i="2"/>
  <c r="M68" i="2"/>
  <c r="N46" i="2"/>
  <c r="AE83" i="2"/>
  <c r="F86" i="2"/>
  <c r="Y92" i="2"/>
  <c r="X86" i="2"/>
  <c r="X66" i="2"/>
  <c r="X42" i="2"/>
  <c r="G65" i="2"/>
  <c r="G55" i="2"/>
  <c r="Z74" i="2"/>
  <c r="Z56" i="2"/>
  <c r="Y62" i="2"/>
  <c r="Y66" i="2"/>
  <c r="Y72" i="2"/>
  <c r="Y64" i="2"/>
  <c r="M46" i="2"/>
  <c r="M60" i="2"/>
  <c r="N62" i="2"/>
  <c r="N72" i="2"/>
  <c r="AE59" i="2"/>
  <c r="AE75" i="2"/>
  <c r="AE49" i="2"/>
  <c r="S63" i="2"/>
  <c r="T67" i="2"/>
  <c r="T90" i="2"/>
  <c r="T82" i="2"/>
  <c r="AD88" i="2"/>
  <c r="G81" i="2"/>
  <c r="F81" i="2"/>
  <c r="Y82" i="2"/>
  <c r="X89" i="2"/>
  <c r="S89" i="2"/>
  <c r="S90" i="2"/>
  <c r="R81" i="2"/>
  <c r="X74" i="2"/>
  <c r="X83" i="2"/>
  <c r="X40" i="2"/>
  <c r="X48" i="2"/>
  <c r="G47" i="2"/>
  <c r="G45" i="2"/>
  <c r="G51" i="2"/>
  <c r="Z44" i="2"/>
  <c r="Z50" i="2"/>
  <c r="Z64" i="2"/>
  <c r="Z70" i="2"/>
  <c r="H88" i="2"/>
  <c r="Y74" i="2"/>
  <c r="Y54" i="2"/>
  <c r="Y58" i="2"/>
  <c r="Y52" i="2"/>
  <c r="M64" i="2"/>
  <c r="M54" i="2"/>
  <c r="M84" i="2"/>
  <c r="N87" i="2"/>
  <c r="N83" i="2"/>
  <c r="N52" i="2"/>
  <c r="N85" i="2"/>
  <c r="AE55" i="2"/>
  <c r="AE47" i="2"/>
  <c r="AE73" i="2"/>
  <c r="AE43" i="2"/>
  <c r="S49" i="2"/>
  <c r="S59" i="2"/>
  <c r="S73" i="2"/>
  <c r="T49" i="2"/>
  <c r="T77" i="2"/>
  <c r="T53" i="2"/>
  <c r="T75" i="2"/>
  <c r="M52" i="2"/>
  <c r="AE67" i="2"/>
  <c r="T88" i="2"/>
  <c r="X81" i="2"/>
  <c r="X56" i="2"/>
  <c r="M76" i="2"/>
  <c r="N40" i="2"/>
  <c r="N54" i="2"/>
  <c r="N42" i="2"/>
  <c r="AE53" i="2"/>
  <c r="AE84" i="2"/>
  <c r="AE71" i="2"/>
  <c r="AE63" i="2"/>
  <c r="S57" i="2"/>
  <c r="S55" i="2"/>
  <c r="S53" i="2"/>
  <c r="T55" i="2"/>
  <c r="T69" i="2"/>
  <c r="T39" i="2"/>
  <c r="T57" i="2"/>
  <c r="Z46" i="2"/>
  <c r="Y44" i="2"/>
  <c r="M66" i="2"/>
  <c r="N68" i="2"/>
  <c r="S77" i="2"/>
  <c r="S43" i="2"/>
  <c r="T65" i="2"/>
  <c r="T63" i="2"/>
  <c r="T71" i="2"/>
  <c r="G57" i="2"/>
  <c r="Y70" i="2"/>
  <c r="AE77" i="2"/>
  <c r="G49" i="2"/>
  <c r="Z66" i="2"/>
  <c r="M58" i="2"/>
  <c r="N64" i="2"/>
  <c r="S75" i="2"/>
  <c r="F88" i="2"/>
  <c r="X82" i="2"/>
  <c r="X44" i="2"/>
  <c r="G77" i="2"/>
  <c r="H89" i="2"/>
  <c r="Y85" i="2"/>
  <c r="Y76" i="2"/>
  <c r="M56" i="2"/>
  <c r="M74" i="2"/>
  <c r="M50" i="2"/>
  <c r="M70" i="2"/>
  <c r="N48" i="2"/>
  <c r="N58" i="2"/>
  <c r="N70" i="2"/>
  <c r="N66" i="2"/>
  <c r="AE85" i="2"/>
  <c r="AE51" i="2"/>
  <c r="AE41" i="2"/>
  <c r="S71" i="2"/>
  <c r="S65" i="2"/>
  <c r="S45" i="2"/>
  <c r="S85" i="2"/>
  <c r="T41" i="2"/>
  <c r="T51" i="2"/>
  <c r="T59" i="2"/>
  <c r="T61" i="2"/>
  <c r="Y91" i="2"/>
  <c r="M92" i="2"/>
  <c r="AE92" i="2"/>
  <c r="Z90" i="2"/>
  <c r="N82" i="2"/>
  <c r="N88" i="2"/>
  <c r="AF86" i="2"/>
  <c r="L90" i="2"/>
  <c r="Z91" i="2"/>
  <c r="M81" i="2"/>
  <c r="AE88" i="2"/>
  <c r="Z88" i="2"/>
  <c r="N90" i="2"/>
  <c r="AF90" i="2"/>
  <c r="AF88" i="2"/>
  <c r="M89" i="2"/>
  <c r="M86" i="2"/>
  <c r="AE90" i="2"/>
  <c r="Z86" i="2"/>
  <c r="N89" i="2"/>
  <c r="AF81" i="2"/>
  <c r="L89" i="2"/>
  <c r="L81" i="2"/>
  <c r="L86" i="2"/>
  <c r="M90" i="2"/>
  <c r="L91" i="2"/>
  <c r="AE86" i="2"/>
  <c r="Z81" i="2"/>
  <c r="N81" i="2"/>
  <c r="AF92" i="2"/>
  <c r="L92" i="2"/>
  <c r="N91" i="2"/>
  <c r="M88" i="2"/>
  <c r="AE81" i="2"/>
  <c r="AE82" i="2"/>
  <c r="Z89" i="2"/>
  <c r="N92" i="2"/>
  <c r="AF89" i="2"/>
  <c r="M91" i="2"/>
  <c r="M82" i="2"/>
  <c r="AE89" i="2"/>
  <c r="Z82" i="2"/>
  <c r="Z92" i="2"/>
  <c r="N86" i="2"/>
  <c r="AF82" i="2"/>
  <c r="L88" i="2"/>
  <c r="L8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<sst xmlns="http://schemas.openxmlformats.org/spreadsheetml/2006/main" count="262" uniqueCount="228">
  <si>
    <t>Reference Items</t>
  </si>
  <si>
    <t>Right click to show data transparency (not supported for all values)</t>
  </si>
  <si>
    <t>PACCAR Inc (PCAR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</si>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</sst>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BDH|16334983024883805463</stp>
        <tr r="W86" s="2"/>
      </tp>
      <tp t="s">
        <v>#N/A N/A</v>
        <stp/>
        <stp>BDH|12731190433893941956</stp>
        <tr r="Z71" s="2"/>
      </tp>
      <tp t="s">
        <v>#N/A N/A</v>
        <stp/>
        <stp>BDH|17735244582815860280</stp>
        <tr r="Q92" s="2"/>
      </tp>
      <tp t="s">
        <v>#N/A N/A</v>
        <stp/>
        <stp>BDH|14863987852394768647</stp>
        <tr r="F16" s="2"/>
      </tp>
      <tp t="s">
        <v>#N/A N/A</v>
        <stp/>
        <stp>BDH|11345790110318854535</stp>
        <tr r="AA68" s="2"/>
      </tp>
      <tp t="s">
        <v>#N/A N/A</v>
        <stp/>
        <stp>BDH|13550373283676611479</stp>
        <tr r="AA26" s="2"/>
      </tp>
      <tp t="s">
        <v>#N/A N/A</v>
        <stp/>
        <stp>BDH|12859920609321070031</stp>
        <tr r="H27" s="2"/>
      </tp>
      <tp t="s">
        <v>#N/A N/A</v>
        <stp/>
        <stp>BDH|11154465074380714879</stp>
        <tr r="F17" s="2"/>
      </tp>
      <tp t="s">
        <v>#N/A N/A</v>
        <stp/>
        <stp>BDH|13847922208813484358</stp>
        <tr r="AA70" s="2"/>
      </tp>
      <tp t="s">
        <v>#N/A N/A</v>
        <stp/>
        <stp>BDH|17438377195311506616</stp>
        <tr r="D59" s="2"/>
      </tp>
      <tp t="s">
        <v>#N/A N/A</v>
        <stp/>
        <stp>BDH|11012262872488142676</stp>
        <tr r="K84" s="2"/>
      </tp>
      <tp t="s">
        <v>#N/A N/A</v>
        <stp/>
        <stp>BDH|15754834973435124534</stp>
        <tr r="C53" s="2"/>
      </tp>
      <tp t="s">
        <v>#N/A N/A</v>
        <stp/>
        <stp>BDH|12782854953036187352</stp>
        <tr r="AA10" s="2"/>
      </tp>
      <tp t="s">
        <v>#N/A N/A</v>
        <stp/>
        <stp>BDH|15664972475631512059</stp>
        <tr r="AF34" s="2"/>
      </tp>
      <tp t="s">
        <v>#N/A N/A</v>
        <stp/>
        <stp>BDH|17452939973331055206</stp>
        <tr r="F24" s="2"/>
      </tp>
      <tp t="s">
        <v>#N/A N/A</v>
        <stp/>
        <stp>BDH|16917592432428083255</stp>
        <tr r="AD27" s="2"/>
      </tp>
      <tp t="s">
        <v>#N/A N/A</v>
        <stp/>
        <stp>BDH|10769919622420651151</stp>
        <tr r="AE67" s="2"/>
      </tp>
      <tp t="s">
        <v>#N/A N/A</v>
        <stp/>
        <stp>BDH|12081833673784379353</stp>
        <tr r="T45" s="2"/>
      </tp>
      <tp t="s">
        <v>#N/A N/A</v>
        <stp/>
        <stp>BDH|18438325710682317232</stp>
        <tr r="X41" s="2"/>
      </tp>
      <tp t="s">
        <v>#N/A N/A</v>
        <stp/>
        <stp>BDH|12367827400663328341</stp>
        <tr r="U10" s="2"/>
      </tp>
      <tp t="s">
        <v>#N/A N/A</v>
        <stp/>
        <stp>BDH|14845163358219416340</stp>
        <tr r="K85" s="2"/>
      </tp>
      <tp t="s">
        <v>#N/A N/A</v>
        <stp/>
        <stp>BDH|18154209876102852566</stp>
        <tr r="S69" s="2"/>
      </tp>
      <tp t="s">
        <v>#N/A N/A</v>
        <stp/>
        <stp>BDH|16651976348628475946</stp>
        <tr r="AC85" s="2"/>
      </tp>
      <tp t="s">
        <v>#N/A N/A</v>
        <stp/>
        <stp>BDH|12355156593609571996</stp>
        <tr r="AB48" s="2"/>
      </tp>
      <tp t="s">
        <v>#N/A N/A</v>
        <stp/>
        <stp>BDH|18046537574030959069</stp>
        <tr r="K7" s="2"/>
      </tp>
      <tp t="s">
        <v>#N/A N/A</v>
        <stp/>
        <stp>BDH|12347632890506893107</stp>
        <tr r="M9" s="2"/>
      </tp>
      <tp t="s">
        <v>#N/A N/A</v>
        <stp/>
        <stp>BDH|15946605014838135048</stp>
        <tr r="X62" s="2"/>
      </tp>
      <tp t="s">
        <v>#N/A N/A</v>
        <stp/>
        <stp>BDH|10302940351283808567</stp>
        <tr r="D11" s="2"/>
      </tp>
      <tp t="s">
        <v>#N/A N/A</v>
        <stp/>
        <stp>BDH|13390690990711408754</stp>
        <tr r="AF69" s="2"/>
      </tp>
      <tp t="s">
        <v>#N/A N/A</v>
        <stp/>
        <stp>BDH|18337816156577959873</stp>
        <tr r="D67" s="2"/>
      </tp>
      <tp t="s">
        <v>#N/A N/A</v>
        <stp/>
        <stp>BDH|10648545488930287724</stp>
        <tr r="K26" s="2"/>
      </tp>
      <tp t="s">
        <v>#N/A N/A</v>
        <stp/>
        <stp>BDH|14683535999194640674</stp>
        <tr r="AA17" s="2"/>
      </tp>
      <tp t="s">
        <v>#N/A N/A</v>
        <stp/>
        <stp>BDH|11470383784439580909</stp>
        <tr r="I86" s="2"/>
      </tp>
      <tp t="s">
        <v>#N/A N/A</v>
        <stp/>
        <stp>BDH|17598382136614352958</stp>
        <tr r="C17" s="2"/>
      </tp>
      <tp t="s">
        <v>#N/A N/A</v>
        <stp/>
        <stp>BDH|12398108897204054493</stp>
        <tr r="AB89" s="2"/>
      </tp>
      <tp t="s">
        <v>#N/A N/A</v>
        <stp/>
        <stp>BDH|12100038368979024777</stp>
        <tr r="AC89" s="2"/>
      </tp>
      <tp t="s">
        <v>#N/A N/A</v>
        <stp/>
        <stp>BDH|17673252548082347946</stp>
        <tr r="O51" s="2"/>
      </tp>
      <tp t="s">
        <v>#N/A N/A</v>
        <stp/>
        <stp>BDH|13959470293592901687</stp>
        <tr r="F20" s="2"/>
      </tp>
      <tp t="s">
        <v>#N/A N/A</v>
        <stp/>
        <stp>BDH|12074784992142623406</stp>
        <tr r="I92" s="2"/>
      </tp>
      <tp t="s">
        <v>#N/A N/A</v>
        <stp/>
        <stp>BDH|16757981492599262533</stp>
        <tr r="V10" s="2"/>
      </tp>
      <tp t="s">
        <v>#N/A N/A</v>
        <stp/>
        <stp>BDH|14796870176679152882</stp>
        <tr r="U26" s="2"/>
      </tp>
      <tp t="s">
        <v>#N/A N/A</v>
        <stp/>
        <stp>BDH|18043667249553065307</stp>
        <tr r="I12" s="2"/>
      </tp>
      <tp t="s">
        <v>#N/A N/A</v>
        <stp/>
        <stp>BDH|10855723452020280844</stp>
        <tr r="AE87" s="2"/>
      </tp>
      <tp t="s">
        <v>#N/A N/A</v>
        <stp/>
        <stp>BDH|11697462330114708894</stp>
        <tr r="N47" s="2"/>
      </tp>
      <tp t="s">
        <v>#N/A N/A</v>
        <stp/>
        <stp>BDH|10858376790390082019</stp>
        <tr r="O33" s="2"/>
      </tp>
      <tp t="s">
        <v>#N/A N/A</v>
        <stp/>
        <stp>BDH|11044402722798935552</stp>
        <tr r="R15" s="2"/>
      </tp>
      <tp t="s">
        <v>#N/A N/A</v>
        <stp/>
        <stp>BDH|14999345771528565383</stp>
        <tr r="K66" s="2"/>
      </tp>
      <tp t="s">
        <v>#N/A N/A</v>
        <stp/>
        <stp>BDH|12790710352009239278</stp>
        <tr r="AA84" s="2"/>
      </tp>
      <tp t="s">
        <v>#N/A N/A</v>
        <stp/>
        <stp>BDH|13018949327503422068</stp>
        <tr r="G83" s="2"/>
      </tp>
      <tp t="s">
        <v>#N/A N/A</v>
        <stp/>
        <stp>BDH|18091461944483012039</stp>
        <tr r="T81" s="2"/>
      </tp>
      <tp t="s">
        <v>#N/A N/A</v>
        <stp/>
        <stp>BDH|11202862400195532719</stp>
        <tr r="R87" s="2"/>
      </tp>
      <tp t="s">
        <v>#N/A N/A</v>
        <stp/>
        <stp>BDH|10984144999582641124</stp>
        <tr r="K55" s="2"/>
      </tp>
      <tp t="s">
        <v>#N/A N/A</v>
        <stp/>
        <stp>BDH|14609775050804979986</stp>
        <tr r="AF84" s="2"/>
      </tp>
      <tp t="s">
        <v>#N/A N/A</v>
        <stp/>
        <stp>BDH|16995914968145054708</stp>
        <tr r="E65" s="2"/>
      </tp>
      <tp t="s">
        <v>#N/A N/A</v>
        <stp/>
        <stp>BDH|17583636229670980860</stp>
        <tr r="R71" s="2"/>
      </tp>
      <tp t="s">
        <v>#N/A N/A</v>
        <stp/>
        <stp>BDH|16468984655374910507</stp>
        <tr r="P53" s="2"/>
      </tp>
      <tp t="s">
        <v>#N/A N/A</v>
        <stp/>
        <stp>BDH|10937122748599255717</stp>
        <tr r="E49" s="2"/>
      </tp>
      <tp t="s">
        <v>#N/A N/A</v>
        <stp/>
        <stp>BDH|12509468381455265031</stp>
        <tr r="P91" s="2"/>
      </tp>
      <tp t="s">
        <v>#N/A N/A</v>
        <stp/>
        <stp>BDH|12894603373390148896</stp>
        <tr r="K87" s="2"/>
      </tp>
      <tp t="s">
        <v>#N/A N/A</v>
        <stp/>
        <stp>BDH|11447878914777459404</stp>
        <tr r="W33" s="2"/>
      </tp>
      <tp t="s">
        <v>#N/A N/A</v>
        <stp/>
        <stp>BDH|17658128031028244649</stp>
        <tr r="V12" s="2"/>
      </tp>
      <tp t="s">
        <v>#N/A N/A</v>
        <stp/>
        <stp>BDH|16086021500718696570</stp>
        <tr r="Z74" s="2"/>
      </tp>
      <tp t="s">
        <v>#N/A N/A</v>
        <stp/>
        <stp>BDH|12686535015944418973</stp>
        <tr r="AA30" s="2"/>
      </tp>
      <tp t="s">
        <v>#N/A N/A</v>
        <stp/>
        <stp>BDH|13631573266692003955</stp>
        <tr r="L51" s="2"/>
      </tp>
      <tp t="s">
        <v>#N/A N/A</v>
        <stp/>
        <stp>BDH|17683214069898512097</stp>
        <tr r="K77" s="2"/>
      </tp>
      <tp t="s">
        <v>#N/A N/A</v>
        <stp/>
        <stp>BDH|13608607078518854146</stp>
        <tr r="N42" s="2"/>
      </tp>
      <tp t="s">
        <v>#N/A N/A</v>
        <stp/>
        <stp>BDH|10148197992263837004</stp>
        <tr r="P82" s="2"/>
      </tp>
      <tp t="s">
        <v>#N/A N/A</v>
        <stp/>
        <stp>BDH|17061974957395488513</stp>
        <tr r="AD57" s="2"/>
      </tp>
      <tp t="s">
        <v>#N/A N/A</v>
        <stp/>
        <stp>BDH|16771448100978412128</stp>
        <tr r="AA71" s="2"/>
      </tp>
      <tp t="s">
        <v>#N/A N/A</v>
        <stp/>
        <stp>BDH|17779404085643136368</stp>
        <tr r="K30" s="2"/>
      </tp>
      <tp t="s">
        <v>#N/A N/A</v>
        <stp/>
        <stp>BDH|10480864987559447240</stp>
        <tr r="F69" s="2"/>
      </tp>
      <tp t="s">
        <v>#N/A N/A</v>
        <stp/>
        <stp>BDH|17712535403659127030</stp>
        <tr r="AF73" s="2"/>
      </tp>
      <tp t="s">
        <v>#N/A N/A</v>
        <stp/>
        <stp>BDH|12717863379486464095</stp>
        <tr r="Z84" s="2"/>
      </tp>
      <tp t="s">
        <v>#N/A N/A</v>
        <stp/>
        <stp>BDH|11368472337214793900</stp>
        <tr r="J29" s="2"/>
      </tp>
      <tp t="s">
        <v>#N/A N/A</v>
        <stp/>
        <stp>BDH|14337968133716076324</stp>
        <tr r="AD47" s="2"/>
      </tp>
      <tp t="s">
        <v>#N/A N/A</v>
        <stp/>
        <stp>BDH|10031576365959205143</stp>
        <tr r="AC66" s="2"/>
      </tp>
      <tp t="s">
        <v>#N/A N/A</v>
        <stp/>
        <stp>BDH|17065136729176728990</stp>
        <tr r="AA25" s="2"/>
      </tp>
      <tp t="s">
        <v>#N/A N/A</v>
        <stp/>
        <stp>BDH|11355525295904888285</stp>
        <tr r="D91" s="2"/>
      </tp>
      <tp t="s">
        <v>#N/A N/A</v>
        <stp/>
        <stp>BDH|16663867796155090912</stp>
        <tr r="H83" s="2"/>
      </tp>
      <tp t="s">
        <v>#N/A N/A</v>
        <stp/>
        <stp>BDH|10421646332838407611</stp>
        <tr r="AB8" s="2"/>
      </tp>
      <tp t="s">
        <v>#N/A N/A</v>
        <stp/>
        <stp>BDH|10588442470861629907</stp>
        <tr r="O26" s="2"/>
      </tp>
      <tp t="s">
        <v>#N/A N/A</v>
        <stp/>
        <stp>BDH|16598066155960203826</stp>
        <tr r="L10" s="2"/>
      </tp>
      <tp t="s">
        <v>#N/A N/A</v>
        <stp/>
        <stp>BDH|11124857317184414715</stp>
        <tr r="O44" s="2"/>
      </tp>
      <tp t="s">
        <v>#N/A N/A</v>
        <stp/>
        <stp>BDH|15814625759059259476</stp>
        <tr r="X53" s="2"/>
      </tp>
      <tp t="s">
        <v>#N/A N/A</v>
        <stp/>
        <stp>BDH|10542611899665101158</stp>
        <tr r="AE56" s="2"/>
      </tp>
      <tp t="s">
        <v>#N/A N/A</v>
        <stp/>
        <stp>BDH|10395260818090565800</stp>
        <tr r="X9" s="2"/>
      </tp>
      <tp t="s">
        <v>#N/A N/A</v>
        <stp/>
        <stp>BDH|13266263368619641526</stp>
        <tr r="O17" s="2"/>
      </tp>
      <tp t="s">
        <v>#N/A N/A</v>
        <stp/>
        <stp>BDH|16397751453248974772</stp>
        <tr r="AD45" s="2"/>
      </tp>
      <tp t="s">
        <v>#N/A N/A</v>
        <stp/>
        <stp>BDH|14372855951457468583</stp>
        <tr r="F13" s="2"/>
      </tp>
      <tp t="s">
        <v>#N/A N/A</v>
        <stp/>
        <stp>BDH|14274676153425528991</stp>
        <tr r="G61" s="2"/>
      </tp>
      <tp t="s">
        <v>#N/A N/A</v>
        <stp/>
        <stp>BDH|16382925250540466186</stp>
        <tr r="D56" s="2"/>
      </tp>
      <tp t="s">
        <v>#N/A N/A</v>
        <stp/>
        <stp>BDH|15127136791581925774</stp>
        <tr r="E66" s="2"/>
      </tp>
      <tp t="s">
        <v>#N/A N/A</v>
        <stp/>
        <stp>BDH|12281291630191197976</stp>
        <tr r="AE10" s="2"/>
      </tp>
      <tp t="s">
        <v>#N/A N/A</v>
        <stp/>
        <stp>BDH|17285593675438319609</stp>
        <tr r="G87" s="2"/>
      </tp>
      <tp t="s">
        <v>#N/A N/A</v>
        <stp/>
        <stp>BDH|17443172491543896767</stp>
        <tr r="L21" s="2"/>
      </tp>
      <tp t="s">
        <v>#N/A N/A</v>
        <stp/>
        <stp>BDH|17825717218729967348</stp>
        <tr r="D48" s="2"/>
      </tp>
      <tp t="s">
        <v>#N/A N/A</v>
        <stp/>
        <stp>BDH|15259899709650657688</stp>
        <tr r="S27" s="2"/>
      </tp>
      <tp t="s">
        <v>#N/A N/A</v>
        <stp/>
        <stp>BDH|17944798789025102648</stp>
        <tr r="U58" s="2"/>
      </tp>
      <tp t="s">
        <v>#N/A N/A</v>
        <stp/>
        <stp>BDH|14474996827695247174</stp>
        <tr r="O55" s="2"/>
      </tp>
      <tp t="s">
        <v>#N/A N/A</v>
        <stp/>
        <stp>BDH|14865479990316650473</stp>
        <tr r="N26" s="2"/>
      </tp>
      <tp t="s">
        <v>#N/A N/A</v>
        <stp/>
        <stp>BDH|13293219739141691822</stp>
        <tr r="U56" s="2"/>
      </tp>
      <tp t="s">
        <v>#N/A N/A</v>
        <stp/>
        <stp>BDH|10269355971488895707</stp>
        <tr r="K90" s="2"/>
      </tp>
      <tp t="s">
        <v>#N/A N/A</v>
        <stp/>
        <stp>BDH|15440488030311020822</stp>
        <tr r="Z69" s="2"/>
      </tp>
      <tp t="s">
        <v>#N/A N/A</v>
        <stp/>
        <stp>BDH|13846846408004873428</stp>
        <tr r="V61" s="2"/>
      </tp>
      <tp t="s">
        <v>#N/A N/A</v>
        <stp/>
        <stp>BDH|14348057307448657462</stp>
        <tr r="K45" s="2"/>
      </tp>
      <tp t="s">
        <v>#N/A N/A</v>
        <stp/>
        <stp>BDH|16094594118992357831</stp>
        <tr r="L12" s="2"/>
      </tp>
      <tp t="s">
        <v>#N/A N/A</v>
        <stp/>
        <stp>BDH|18017103280018842191</stp>
        <tr r="D90" s="2"/>
      </tp>
      <tp t="s">
        <v>#N/A N/A</v>
        <stp/>
        <stp>BDH|10691167000799670068</stp>
        <tr r="C51" s="2"/>
      </tp>
      <tp t="s">
        <v>#N/A N/A</v>
        <stp/>
        <stp>BDH|11802782535738792528</stp>
        <tr r="L73" s="2"/>
      </tp>
      <tp t="s">
        <v>#N/A N/A</v>
        <stp/>
        <stp>BDH|12587953791023613943</stp>
        <tr r="R51" s="2"/>
      </tp>
      <tp t="s">
        <v>#N/A N/A</v>
        <stp/>
        <stp>BDH|13562736977672192937</stp>
        <tr r="I64" s="2"/>
      </tp>
      <tp t="s">
        <v>#N/A N/A</v>
        <stp/>
        <stp>BDH|12775334754389180525</stp>
        <tr r="U72" s="2"/>
      </tp>
      <tp t="s">
        <v>#N/A N/A</v>
        <stp/>
        <stp>BDH|10021205764739600513</stp>
        <tr r="N28" s="2"/>
      </tp>
      <tp t="s">
        <v>#N/A N/A</v>
        <stp/>
        <stp>BDH|14912947192145901956</stp>
        <tr r="V30" s="2"/>
      </tp>
      <tp t="s">
        <v>#N/A N/A</v>
        <stp/>
        <stp>BDH|15207305251808780370</stp>
        <tr r="AE17" s="2"/>
      </tp>
      <tp t="s">
        <v>#N/A N/A</v>
        <stp/>
        <stp>BDH|10149818428490903238</stp>
        <tr r="AD62" s="2"/>
      </tp>
      <tp t="s">
        <v>#N/A N/A</v>
        <stp/>
        <stp>BDH|18178230190969296221</stp>
        <tr r="H30" s="2"/>
      </tp>
      <tp t="s">
        <v>#N/A N/A</v>
        <stp/>
        <stp>BDH|14717829075594200708</stp>
        <tr r="N18" s="2"/>
      </tp>
      <tp t="s">
        <v>#N/A N/A</v>
        <stp/>
        <stp>BDH|16688757120132326955</stp>
        <tr r="I59" s="2"/>
      </tp>
      <tp t="s">
        <v>#N/A N/A</v>
        <stp/>
        <stp>BDH|17591861024344516173</stp>
        <tr r="Z16" s="2"/>
      </tp>
      <tp t="s">
        <v>#N/A N/A</v>
        <stp/>
        <stp>BDH|17515131279159269087</stp>
        <tr r="Y52" s="2"/>
      </tp>
      <tp t="s">
        <v>#N/A N/A</v>
        <stp/>
        <stp>BDH|18251149169334915339</stp>
        <tr r="AB67" s="2"/>
      </tp>
      <tp t="s">
        <v>#N/A N/A</v>
        <stp/>
        <stp>BDH|12756916413201564353</stp>
        <tr r="Z32" s="2"/>
      </tp>
      <tp t="s">
        <v>#N/A N/A</v>
        <stp/>
        <stp>BDH|16821997227276783354</stp>
        <tr r="E92" s="2"/>
      </tp>
      <tp t="s">
        <v>#N/A N/A</v>
        <stp/>
        <stp>BDH|14820956058724046419</stp>
        <tr r="F87" s="2"/>
      </tp>
      <tp t="s">
        <v>#N/A N/A</v>
        <stp/>
        <stp>BDH|14370159077833486913</stp>
        <tr r="O59" s="2"/>
      </tp>
      <tp t="s">
        <v>#N/A N/A</v>
        <stp/>
        <stp>BDH|11353528032196198964</stp>
        <tr r="W16" s="2"/>
      </tp>
      <tp t="s">
        <v>#N/A N/A</v>
        <stp/>
        <stp>BDH|11987391006979530377</stp>
        <tr r="G44" s="2"/>
      </tp>
      <tp t="s">
        <v>#N/A N/A</v>
        <stp/>
        <stp>BDH|16116607785626706648</stp>
        <tr r="W39" s="2"/>
      </tp>
      <tp t="s">
        <v>#N/A N/A</v>
        <stp/>
        <stp>BDH|12361386042208832569</stp>
        <tr r="S40" s="2"/>
      </tp>
      <tp t="s">
        <v>#N/A N/A</v>
        <stp/>
        <stp>BDH|14199949856640181045</stp>
        <tr r="H39" s="2"/>
      </tp>
      <tp t="s">
        <v>#N/A N/A</v>
        <stp/>
        <stp>BDH|12465977061486632328</stp>
        <tr r="S14" s="2"/>
      </tp>
      <tp t="s">
        <v>#N/A N/A</v>
        <stp/>
        <stp>BDH|18278279462606306226</stp>
        <tr r="E50" s="2"/>
      </tp>
      <tp t="s">
        <v>#N/A N/A</v>
        <stp/>
        <stp>BDH|12323916097179757341</stp>
        <tr r="AF24" s="2"/>
      </tp>
      <tp t="s">
        <v>#N/A N/A</v>
        <stp/>
        <stp>BDH|17604940445922364029</stp>
        <tr r="D25" s="2"/>
      </tp>
      <tp t="s">
        <v>#N/A N/A</v>
        <stp/>
        <stp>BDH|13770928109001360363</stp>
        <tr r="H60" s="2"/>
      </tp>
      <tp t="s">
        <v>#N/A N/A</v>
        <stp/>
        <stp>BDH|14593286485664154214</stp>
        <tr r="N41" s="2"/>
      </tp>
      <tp t="s">
        <v>#N/A N/A</v>
        <stp/>
        <stp>BDH|15162601289491755279</stp>
        <tr r="Z92" s="2"/>
      </tp>
      <tp t="s">
        <v>#N/A N/A</v>
        <stp/>
        <stp>BDH|18147467853050972169</stp>
        <tr r="Z58" s="2"/>
      </tp>
      <tp t="s">
        <v>#N/A N/A</v>
        <stp/>
        <stp>BDH|17889646624458028335</stp>
        <tr r="F19" s="2"/>
      </tp>
      <tp t="s">
        <v>#N/A N/A</v>
        <stp/>
        <stp>BDH|14407209195814268381</stp>
        <tr r="W43" s="2"/>
      </tp>
      <tp t="s">
        <v>#N/A N/A</v>
        <stp/>
        <stp>BDH|12719775459178666058</stp>
        <tr r="AF71" s="2"/>
      </tp>
      <tp t="s">
        <v>#N/A N/A</v>
        <stp/>
        <stp>BDH|11886344586492805086</stp>
        <tr r="D33" s="2"/>
      </tp>
      <tp t="s">
        <v>#N/A N/A</v>
        <stp/>
        <stp>BDH|12877551492651088758</stp>
        <tr r="AD38" s="2"/>
      </tp>
      <tp t="s">
        <v>#N/A N/A</v>
        <stp/>
        <stp>BDH|11361842743283695688</stp>
        <tr r="E60" s="2"/>
      </tp>
      <tp t="s">
        <v>#N/A N/A</v>
        <stp/>
        <stp>BDH|16332593615599388315</stp>
        <tr r="N25" s="2"/>
      </tp>
      <tp t="s">
        <v>#N/A N/A</v>
        <stp/>
        <stp>BDH|17857740193901735050</stp>
        <tr r="V17" s="2"/>
      </tp>
      <tp t="s">
        <v>#N/A N/A</v>
        <stp/>
        <stp>BDH|17055549400718819218</stp>
        <tr r="AC10" s="2"/>
      </tp>
      <tp t="s">
        <v>#N/A N/A</v>
        <stp/>
        <stp>BDH|16603515660148361592</stp>
        <tr r="U85" s="2"/>
      </tp>
      <tp t="s">
        <v>#N/A N/A</v>
        <stp/>
        <stp>BDH|12060708103299793493</stp>
        <tr r="S48" s="2"/>
      </tp>
      <tp t="s">
        <v>#N/A N/A</v>
        <stp/>
        <stp>BDH|16292895300412296447</stp>
        <tr r="O89" s="2"/>
      </tp>
      <tp t="s">
        <v>#N/A N/A</v>
        <stp/>
        <stp>BDH|13955990587179325390</stp>
        <tr r="P56" s="2"/>
      </tp>
      <tp t="s">
        <v>#N/A N/A</v>
        <stp/>
        <stp>BDH|16412974629717627215</stp>
        <tr r="J63" s="2"/>
      </tp>
      <tp t="s">
        <v>#N/A N/A</v>
        <stp/>
        <stp>BDH|14383213128659711514</stp>
        <tr r="D24" s="2"/>
      </tp>
      <tp t="s">
        <v>#N/A N/A</v>
        <stp/>
        <stp>BDH|14535295917477392872</stp>
        <tr r="AD13" s="2"/>
      </tp>
      <tp t="s">
        <v>#N/A N/A</v>
        <stp/>
        <stp>BDH|11373868220210243381</stp>
        <tr r="J56" s="2"/>
      </tp>
      <tp t="s">
        <v>#N/A N/A</v>
        <stp/>
        <stp>BDH|13436397203349702165</stp>
        <tr r="AF86" s="2"/>
      </tp>
      <tp t="s">
        <v>#N/A N/A</v>
        <stp/>
        <stp>BDH|14146213288402334440</stp>
        <tr r="AC61" s="2"/>
      </tp>
      <tp t="s">
        <v>#N/A N/A</v>
        <stp/>
        <stp>BDH|15657678607152925909</stp>
        <tr r="U21" s="2"/>
      </tp>
      <tp t="s">
        <v>#N/A N/A</v>
        <stp/>
        <stp>BDH|17271817727083133748</stp>
        <tr r="AA51" s="2"/>
      </tp>
      <tp t="s">
        <v>#N/A N/A</v>
        <stp/>
        <stp>BDH|17036827177780123150</stp>
        <tr r="O57" s="2"/>
      </tp>
      <tp t="s">
        <v>#N/A N/A</v>
        <stp/>
        <stp>BDH|18225639144877212465</stp>
        <tr r="Y68" s="2"/>
      </tp>
      <tp t="s">
        <v>#N/A N/A</v>
        <stp/>
        <stp>BDH|15322854012121105441</stp>
        <tr r="AE52" s="2"/>
      </tp>
      <tp t="s">
        <v>#N/A N/A</v>
        <stp/>
        <stp>BDH|15375851913352094749</stp>
        <tr r="Q75" s="2"/>
      </tp>
      <tp t="s">
        <v>#N/A N/A</v>
        <stp/>
        <stp>BDH|10398739226189056571</stp>
        <tr r="E68" s="2"/>
      </tp>
      <tp t="s">
        <v>#N/A N/A</v>
        <stp/>
        <stp>BDH|16307727025253395973</stp>
        <tr r="W32" s="2"/>
      </tp>
      <tp t="s">
        <v>#N/A N/A</v>
        <stp/>
        <stp>BDH|15606626259476839952</stp>
        <tr r="O81" s="2"/>
      </tp>
      <tp t="s">
        <v>#N/A N/A</v>
        <stp/>
        <stp>BDH|13382361450728355468</stp>
        <tr r="X13" s="2"/>
      </tp>
      <tp t="s">
        <v>#N/A N/A</v>
        <stp/>
        <stp>BDH|18212606310423367512</stp>
        <tr r="J72" s="2"/>
      </tp>
      <tp t="s">
        <v>#N/A N/A</v>
        <stp/>
        <stp>BDH|17920207598906436359</stp>
        <tr r="J50" s="2"/>
      </tp>
      <tp t="s">
        <v>#N/A N/A</v>
        <stp/>
        <stp>BDH|17682401620100572800</stp>
        <tr r="C13" s="2"/>
      </tp>
      <tp t="s">
        <v>#N/A N/A</v>
        <stp/>
        <stp>BDH|11247894972196254188</stp>
        <tr r="C58" s="2"/>
      </tp>
      <tp t="s">
        <v>#N/A N/A</v>
        <stp/>
        <stp>BDH|16062617582985387434</stp>
        <tr r="P49" s="2"/>
      </tp>
      <tp t="s">
        <v>#N/A N/A</v>
        <stp/>
        <stp>BDH|16324042616718097634</stp>
        <tr r="AD87" s="2"/>
      </tp>
      <tp t="s">
        <v>#N/A N/A</v>
        <stp/>
        <stp>BDH|18099025756846313254</stp>
        <tr r="D38" s="2"/>
      </tp>
      <tp t="s">
        <v>#N/A N/A</v>
        <stp/>
        <stp>BDH|10504657366129178056</stp>
        <tr r="P71" s="2"/>
      </tp>
      <tp t="s">
        <v>#N/A N/A</v>
        <stp/>
        <stp>BDH|13009656371249670204</stp>
        <tr r="AF17" s="2"/>
      </tp>
      <tp t="s">
        <v>#N/A N/A</v>
        <stp/>
        <stp>BDH|12274932830375171424</stp>
        <tr r="L82" s="2"/>
      </tp>
      <tp t="s">
        <v>#N/A N/A</v>
        <stp/>
        <stp>BDH|11794954334235451771</stp>
        <tr r="Q74" s="2"/>
      </tp>
      <tp t="s">
        <v>#N/A N/A</v>
        <stp/>
        <stp>BDH|11942805848861138554</stp>
        <tr r="E13" s="2"/>
      </tp>
      <tp t="s">
        <v>#N/A N/A</v>
        <stp/>
        <stp>BDH|13047131884541606247</stp>
        <tr r="P42" s="2"/>
      </tp>
      <tp t="s">
        <v>#N/A N/A</v>
        <stp/>
        <stp>BDH|13760250290115217450</stp>
        <tr r="AC56" s="2"/>
      </tp>
      <tp t="s">
        <v>#N/A N/A</v>
        <stp/>
        <stp>BDH|17324843250400439362</stp>
        <tr r="V76" s="2"/>
      </tp>
      <tp t="s">
        <v>#N/A N/A</v>
        <stp/>
        <stp>BDH|14594361061469606118</stp>
        <tr r="R22" s="2"/>
      </tp>
      <tp t="s">
        <v>#N/A N/A</v>
        <stp/>
        <stp>BDH|17691668064176015806</stp>
        <tr r="Z22" s="2"/>
      </tp>
      <tp t="s">
        <v>#N/A N/A</v>
        <stp/>
        <stp>BDH|17210674495076300773</stp>
        <tr r="AE7" s="2"/>
      </tp>
      <tp t="s">
        <v>#N/A N/A</v>
        <stp/>
        <stp>BDH|10597658151522588809</stp>
        <tr r="I66" s="2"/>
      </tp>
      <tp t="s">
        <v>#N/A N/A</v>
        <stp/>
        <stp>BDH|18311385348514716205</stp>
        <tr r="V88" s="2"/>
      </tp>
      <tp t="s">
        <v>#N/A N/A</v>
        <stp/>
        <stp>BDH|14217558920852123827</stp>
        <tr r="G40" s="2"/>
      </tp>
      <tp t="s">
        <v>#N/A N/A</v>
        <stp/>
        <stp>BDH|10376323661349250566</stp>
        <tr r="G45" s="2"/>
      </tp>
      <tp t="s">
        <v>#N/A N/A</v>
        <stp/>
        <stp>BDH|16143754135553543805</stp>
        <tr r="V16" s="2"/>
      </tp>
      <tp t="s">
        <v>#N/A N/A</v>
        <stp/>
        <stp>BDH|15377432291039300861</stp>
        <tr r="R81" s="2"/>
      </tp>
      <tp t="s">
        <v>#N/A N/A</v>
        <stp/>
        <stp>BDH|17222900521347539219</stp>
        <tr r="W60" s="2"/>
      </tp>
      <tp t="s">
        <v>#N/A N/A</v>
        <stp/>
        <stp>BDH|10916238525949010080</stp>
        <tr r="F83" s="2"/>
      </tp>
      <tp t="s">
        <v>#N/A N/A</v>
        <stp/>
        <stp>BDH|12484068188165993649</stp>
        <tr r="O52" s="2"/>
      </tp>
      <tp t="s">
        <v>#N/A N/A</v>
        <stp/>
        <stp>BDH|18072457946237518612</stp>
        <tr r="F54" s="2"/>
      </tp>
      <tp t="s">
        <v>#N/A N/A</v>
        <stp/>
        <stp>BDH|11813347138279728146</stp>
        <tr r="E74" s="2"/>
      </tp>
      <tp t="s">
        <v>#N/A N/A</v>
        <stp/>
        <stp>BDH|18300169561690296613</stp>
        <tr r="AC9" s="2"/>
      </tp>
      <tp t="s">
        <v>#N/A N/A</v>
        <stp/>
        <stp>BDH|10575712636889375470</stp>
        <tr r="C19" s="2"/>
      </tp>
      <tp t="s">
        <v>#N/A N/A</v>
        <stp/>
        <stp>BDH|12031023484840018300</stp>
        <tr r="AC48" s="2"/>
      </tp>
      <tp t="s">
        <v>#N/A N/A</v>
        <stp/>
        <stp>BDH|17291501607108077336</stp>
        <tr r="N20" s="2"/>
      </tp>
      <tp t="s">
        <v>#N/A N/A</v>
        <stp/>
        <stp>BDH|11324423189807906383</stp>
        <tr r="H62" s="2"/>
      </tp>
      <tp t="s">
        <v>#N/A N/A</v>
        <stp/>
        <stp>BDH|17182803108483309535</stp>
        <tr r="M70" s="2"/>
      </tp>
      <tp t="s">
        <v>#N/A N/A</v>
        <stp/>
        <stp>BDH|16392991057981699224</stp>
        <tr r="U15" s="2"/>
      </tp>
      <tp t="s">
        <v>#N/A N/A</v>
        <stp/>
        <stp>BDH|16185887723345180024</stp>
        <tr r="V21" s="2"/>
      </tp>
      <tp t="s">
        <v>#N/A N/A</v>
        <stp/>
        <stp>BDH|14779289286333117418</stp>
        <tr r="I23" s="2"/>
      </tp>
      <tp t="s">
        <v>#N/A N/A</v>
        <stp/>
        <stp>BDH|11613074899541446048</stp>
        <tr r="W72" s="2"/>
      </tp>
      <tp t="s">
        <v>#N/A N/A</v>
        <stp/>
        <stp>BDH|11272159284328333982</stp>
        <tr r="K18" s="2"/>
      </tp>
      <tp t="s">
        <v>#N/A N/A</v>
        <stp/>
        <stp>BDH|14886272298697995165</stp>
        <tr r="AB60" s="2"/>
      </tp>
      <tp t="s">
        <v>#N/A N/A</v>
        <stp/>
        <stp>BDH|12775881465392980787</stp>
        <tr r="AD44" s="2"/>
      </tp>
      <tp t="s">
        <v>#N/A N/A</v>
        <stp/>
        <stp>BDH|17181693387680355060</stp>
        <tr r="S61" s="2"/>
      </tp>
      <tp t="s">
        <v>#N/A N/A</v>
        <stp/>
        <stp>BDH|17750808266137350785</stp>
        <tr r="AA56" s="2"/>
      </tp>
      <tp t="s">
        <v>#N/A N/A</v>
        <stp/>
        <stp>BDH|14863990939494524375</stp>
        <tr r="W52" s="2"/>
      </tp>
      <tp t="s">
        <v>#N/A N/A</v>
        <stp/>
        <stp>BDH|11219318695256881438</stp>
        <tr r="W85" s="2"/>
      </tp>
      <tp t="s">
        <v>#N/A N/A</v>
        <stp/>
        <stp>BDH|12973188935300933908</stp>
        <tr r="I63" s="2"/>
      </tp>
      <tp t="s">
        <v>#N/A N/A</v>
        <stp/>
        <stp>BDH|10427776297051903600</stp>
        <tr r="J38" s="2"/>
      </tp>
      <tp t="s">
        <v>#N/A N/A</v>
        <stp/>
        <stp>BDH|15802286588126266059</stp>
        <tr r="S30" s="2"/>
      </tp>
      <tp t="s">
        <v>#N/A N/A</v>
        <stp/>
        <stp>BDH|16297622633812524896</stp>
        <tr r="Y47" s="2"/>
      </tp>
      <tp t="s">
        <v>#N/A N/A</v>
        <stp/>
        <stp>BDH|12294999454680780766</stp>
        <tr r="AC81" s="2"/>
      </tp>
      <tp t="s">
        <v>#N/A N/A</v>
        <stp/>
        <stp>BDH|10892073610679312123</stp>
        <tr r="U73" s="2"/>
      </tp>
      <tp t="s">
        <v>#N/A N/A</v>
        <stp/>
        <stp>BDH|12206805027296217791</stp>
        <tr r="V68" s="2"/>
      </tp>
      <tp t="s">
        <v>#N/A N/A</v>
        <stp/>
        <stp>BDH|14385696005878916381</stp>
        <tr r="Q29" s="2"/>
      </tp>
      <tp t="s">
        <v>#N/A N/A</v>
        <stp/>
        <stp>BDH|16904687931189299430</stp>
        <tr r="Y31" s="2"/>
      </tp>
      <tp t="s">
        <v>#N/A N/A</v>
        <stp/>
        <stp>BDH|10599371623326503958</stp>
        <tr r="AF89" s="2"/>
      </tp>
      <tp t="s">
        <v>#N/A N/A</v>
        <stp/>
        <stp>BDH|11460967222195956181</stp>
        <tr r="N76" s="2"/>
      </tp>
      <tp t="s">
        <v>#N/A N/A</v>
        <stp/>
        <stp>BDH|17551277593550966289</stp>
        <tr r="AF38" s="2"/>
      </tp>
      <tp t="s">
        <v>#N/A N/A</v>
        <stp/>
        <stp>BDH|11133436914882619802</stp>
        <tr r="K23" s="2"/>
      </tp>
      <tp t="s">
        <v>#N/A N/A</v>
        <stp/>
        <stp>BDH|15414305867308318603</stp>
        <tr r="Z12" s="2"/>
      </tp>
      <tp t="s">
        <v>#N/A N/A</v>
        <stp/>
        <stp>BDH|16209834917560560104</stp>
        <tr r="C86" s="2"/>
      </tp>
      <tp t="s">
        <v>#N/A N/A</v>
        <stp/>
        <stp>BDH|11200126382216946082</stp>
        <tr r="J13" s="2"/>
      </tp>
      <tp t="s">
        <v>#N/A N/A</v>
        <stp/>
        <stp>BDH|12499389288370546722</stp>
        <tr r="J82" s="2"/>
      </tp>
      <tp t="s">
        <v>#N/A N/A</v>
        <stp/>
        <stp>BDH|14930217608198089026</stp>
        <tr r="P68" s="2"/>
      </tp>
      <tp t="s">
        <v>#N/A N/A</v>
        <stp/>
        <stp>BDH|12907025550958818117</stp>
        <tr r="J33" s="2"/>
      </tp>
      <tp t="s">
        <v>#N/A N/A</v>
        <stp/>
        <stp>BDH|17522730594296493141</stp>
        <tr r="D76" s="2"/>
      </tp>
      <tp t="s">
        <v>#N/A N/A</v>
        <stp/>
        <stp>BDH|11934117599022411574</stp>
        <tr r="K86" s="2"/>
      </tp>
      <tp t="s">
        <v>#N/A N/A</v>
        <stp/>
        <stp>BDH|16546628657693340865</stp>
        <tr r="T57" s="2"/>
      </tp>
      <tp t="s">
        <v>#N/A N/A</v>
        <stp/>
        <stp>BDH|14441059438760813941</stp>
        <tr r="C66" s="2"/>
      </tp>
      <tp t="s">
        <v>#N/A N/A</v>
        <stp/>
        <stp>BDH|14294379481840743173</stp>
        <tr r="V87" s="2"/>
      </tp>
      <tp t="s">
        <v>#N/A N/A</v>
        <stp/>
        <stp>BDH|16063576072342613873</stp>
        <tr r="E75" s="2"/>
      </tp>
      <tp t="s">
        <v>#N/A N/A</v>
        <stp/>
        <stp>BDH|12268146225958629721</stp>
        <tr r="AF50" s="2"/>
      </tp>
      <tp t="s">
        <v>#N/A N/A</v>
        <stp/>
        <stp>BDH|10415944151886517432</stp>
        <tr r="L30" s="2"/>
      </tp>
      <tp t="s">
        <v>#N/A N/A</v>
        <stp/>
        <stp>BDH|17987280139779716180</stp>
        <tr r="Z70" s="2"/>
      </tp>
      <tp t="s">
        <v>#N/A N/A</v>
        <stp/>
        <stp>BDH|13466069374458153200</stp>
        <tr r="F92" s="2"/>
      </tp>
      <tp t="s">
        <v>#N/A N/A</v>
        <stp/>
        <stp>BDH|10843072996701687684</stp>
        <tr r="K53" s="2"/>
      </tp>
      <tp t="s">
        <v>#N/A N/A</v>
        <stp/>
        <stp>BDH|14644961330395632517</stp>
        <tr r="H19" s="2"/>
      </tp>
      <tp t="s">
        <v>#N/A N/A</v>
        <stp/>
        <stp>BDH|17870751147322984852</stp>
        <tr r="T35" s="2"/>
      </tp>
      <tp t="s">
        <v>#N/A N/A</v>
        <stp/>
        <stp>BDH|11297804733592767600</stp>
        <tr r="X28" s="2"/>
      </tp>
      <tp t="s">
        <v>#N/A N/A</v>
        <stp/>
        <stp>BDH|16074166181466526749</stp>
        <tr r="F14" s="2"/>
      </tp>
      <tp t="s">
        <v>#N/A N/A</v>
        <stp/>
        <stp>BDH|10527120088377199085</stp>
        <tr r="P46" s="2"/>
      </tp>
      <tp t="s">
        <v>#N/A N/A</v>
        <stp/>
        <stp>BDH|17787811885160299980</stp>
        <tr r="I72" s="2"/>
      </tp>
      <tp t="s">
        <v>#N/A N/A</v>
        <stp/>
        <stp>BDH|10331586118153916935</stp>
        <tr r="S21" s="2"/>
      </tp>
      <tp t="s">
        <v>#N/A N/A</v>
        <stp/>
        <stp>BDH|17587191409838532092</stp>
        <tr r="H32" s="2"/>
      </tp>
      <tp t="s">
        <v>#N/A N/A</v>
        <stp/>
        <stp>BDH|11160084590320160612</stp>
        <tr r="Z24" s="2"/>
      </tp>
      <tp t="s">
        <v>#N/A N/A</v>
        <stp/>
        <stp>BDH|15614354917129908052</stp>
        <tr r="AB44" s="2"/>
      </tp>
      <tp t="s">
        <v>#N/A N/A</v>
        <stp/>
        <stp>BDH|13737108811564952941</stp>
        <tr r="H66" s="2"/>
      </tp>
      <tp t="s">
        <v>#N/A N/A</v>
        <stp/>
        <stp>BDH|12941961130940233663</stp>
        <tr r="N57" s="2"/>
      </tp>
      <tp t="s">
        <v>#N/A N/A</v>
        <stp/>
        <stp>BDH|11549269659318749071</stp>
        <tr r="Z57" s="2"/>
      </tp>
      <tp t="s">
        <v>#N/A N/A</v>
        <stp/>
        <stp>BDH|13340914231327151080</stp>
        <tr r="K59" s="2"/>
      </tp>
      <tp t="s">
        <v>#N/A N/A</v>
        <stp/>
        <stp>BDH|14904096169424481805</stp>
        <tr r="F77" s="2"/>
      </tp>
      <tp t="s">
        <v>#N/A N/A</v>
        <stp/>
        <stp>BDH|17448008791691955112</stp>
        <tr r="S60" s="2"/>
      </tp>
      <tp t="s">
        <v>#N/A N/A</v>
        <stp/>
        <stp>BDH|15836828037759303930</stp>
        <tr r="C44" s="2"/>
      </tp>
      <tp t="s">
        <v>#N/A N/A</v>
        <stp/>
        <stp>BDH|18337687470145660203</stp>
        <tr r="AF85" s="2"/>
      </tp>
      <tp t="s">
        <v>#N/A N/A</v>
        <stp/>
        <stp>BDH|18082059422150259481</stp>
        <tr r="AF46" s="2"/>
      </tp>
      <tp t="s">
        <v>#N/A N/A</v>
        <stp/>
        <stp>BDH|14082973310096363483</stp>
        <tr r="H33" s="2"/>
      </tp>
      <tp t="s">
        <v>#N/A N/A</v>
        <stp/>
        <stp>BDH|13968785120441902943</stp>
        <tr r="I19" s="2"/>
      </tp>
      <tp t="s">
        <v>#N/A N/A</v>
        <stp/>
        <stp>BDH|10432713415820843872</stp>
        <tr r="H58" s="2"/>
      </tp>
      <tp t="s">
        <v>#N/A N/A</v>
        <stp/>
        <stp>BDH|13267707396296266597</stp>
        <tr r="J11" s="2"/>
      </tp>
      <tp t="s">
        <v>#N/A N/A</v>
        <stp/>
        <stp>BDH|11330732795702816327</stp>
        <tr r="I41" s="2"/>
      </tp>
      <tp t="s">
        <v>#N/A N/A</v>
        <stp/>
        <stp>BDH|18435355519115251149</stp>
        <tr r="J17" s="2"/>
      </tp>
      <tp t="s">
        <v>#N/A N/A</v>
        <stp/>
        <stp>BDH|16344050318191687865</stp>
        <tr r="W81" s="2"/>
      </tp>
      <tp t="s">
        <v>#N/A N/A</v>
        <stp/>
        <stp>BDH|11058232087067266284</stp>
        <tr r="S43" s="2"/>
      </tp>
      <tp t="s">
        <v>#N/A N/A</v>
        <stp/>
        <stp>BDH|12103453985266028708</stp>
        <tr r="AA15" s="2"/>
      </tp>
      <tp t="s">
        <v>#N/A N/A</v>
        <stp/>
        <stp>BDH|18210660000924655536</stp>
        <tr r="Z66" s="2"/>
      </tp>
      <tp t="s">
        <v>#N/A N/A</v>
        <stp/>
        <stp>BDH|10904254845841872806</stp>
        <tr r="C43" s="2"/>
      </tp>
      <tp t="s">
        <v>#N/A N/A</v>
        <stp/>
        <stp>BDH|15289462151068744332</stp>
        <tr r="AF45" s="2"/>
      </tp>
      <tp t="s">
        <v>#N/A N/A</v>
        <stp/>
        <stp>BDH|16822422598492152622</stp>
        <tr r="U75" s="2"/>
      </tp>
      <tp t="s">
        <v>#N/A N/A</v>
        <stp/>
        <stp>BDH|17468135086796472740</stp>
        <tr r="F89" s="2"/>
      </tp>
      <tp t="s">
        <v>#N/A N/A</v>
        <stp/>
        <stp>BDH|16157874603627771630</stp>
        <tr r="K21" s="2"/>
      </tp>
      <tp t="s">
        <v>#N/A N/A</v>
        <stp/>
        <stp>BDH|18298519706382336077</stp>
        <tr r="AF29" s="2"/>
      </tp>
      <tp t="s">
        <v>#N/A N/A</v>
        <stp/>
        <stp>BDH|12735647136690704834</stp>
        <tr r="J31" s="2"/>
      </tp>
      <tp t="s">
        <v>#N/A N/A</v>
        <stp/>
        <stp>BDH|12190414320242835987</stp>
        <tr r="J25" s="2"/>
      </tp>
      <tp t="s">
        <v>#N/A N/A</v>
        <stp/>
        <stp>BDH|14122630181587755248</stp>
        <tr r="AE88" s="2"/>
      </tp>
      <tp t="s">
        <v>#N/A N/A</v>
        <stp/>
        <stp>BDH|15754661430807303826</stp>
        <tr r="P11" s="2"/>
      </tp>
      <tp t="s">
        <v>#N/A N/A</v>
        <stp/>
        <stp>BDH|16142257672279738510</stp>
        <tr r="I27" s="2"/>
      </tp>
      <tp t="s">
        <v>#N/A N/A</v>
        <stp/>
        <stp>BDH|17684058661087728950</stp>
        <tr r="V31" s="2"/>
      </tp>
      <tp t="s">
        <v>#N/A N/A</v>
        <stp/>
        <stp>BDH|12233809361491497271</stp>
        <tr r="T54" s="2"/>
      </tp>
      <tp t="s">
        <v>#N/A N/A</v>
        <stp/>
        <stp>BDH|13526327885840201708</stp>
        <tr r="H88" s="2"/>
      </tp>
      <tp t="s">
        <v>#N/A N/A</v>
        <stp/>
        <stp>BDH|10683788322432939853</stp>
        <tr r="AD91" s="2"/>
      </tp>
      <tp t="s">
        <v>#N/A N/A</v>
        <stp/>
        <stp>BDH|17069709138589096587</stp>
        <tr r="AB19" s="2"/>
      </tp>
      <tp t="s">
        <v>#N/A N/A</v>
        <stp/>
        <stp>BDH|14849727077509969278</stp>
        <tr r="E55" s="2"/>
      </tp>
      <tp t="s">
        <v>#N/A N/A</v>
        <stp/>
        <stp>BDH|11620760599376905637</stp>
        <tr r="AC22" s="2"/>
      </tp>
      <tp t="s">
        <v>#N/A N/A</v>
        <stp/>
        <stp>BDH|10122620584664742535</stp>
        <tr r="AF15" s="2"/>
      </tp>
      <tp t="s">
        <v>#N/A N/A</v>
        <stp/>
        <stp>BDH|14593430524774868983</stp>
        <tr r="H29" s="2"/>
      </tp>
      <tp t="s">
        <v>#N/A N/A</v>
        <stp/>
        <stp>BDH|13777639687544533642</stp>
        <tr r="Y48" s="2"/>
      </tp>
      <tp t="s">
        <v>#N/A N/A</v>
        <stp/>
        <stp>BDH|12016959121826394053</stp>
        <tr r="H45" s="2"/>
      </tp>
      <tp t="s">
        <v>#N/A N/A</v>
        <stp/>
        <stp>BDH|12584364785293578513</stp>
        <tr r="M10" s="2"/>
      </tp>
      <tp t="s">
        <v>#N/A N/A</v>
        <stp/>
        <stp>BDH|13938727898517480556</stp>
        <tr r="AE49" s="2"/>
      </tp>
      <tp t="s">
        <v>#N/A N/A</v>
        <stp/>
        <stp>BDH|13790312992316216047</stp>
        <tr r="O46" s="2"/>
      </tp>
      <tp t="s">
        <v>#N/A N/A</v>
        <stp/>
        <stp>BDH|15620510638819979540</stp>
        <tr r="U8" s="2"/>
      </tp>
      <tp t="s">
        <v>#N/A N/A</v>
        <stp/>
        <stp>BDH|12341333287433271578</stp>
        <tr r="T72" s="2"/>
      </tp>
      <tp t="s">
        <v>#N/A N/A</v>
        <stp/>
        <stp>BDH|17222529480617480263</stp>
        <tr r="J41" s="2"/>
      </tp>
      <tp t="s">
        <v>#N/A N/A</v>
        <stp/>
        <stp>BDH|15282123339028491089</stp>
        <tr r="W58" s="2"/>
      </tp>
      <tp t="s">
        <v>#N/A N/A</v>
        <stp/>
        <stp>BDH|18199243302711234406</stp>
        <tr r="AF31" s="2"/>
      </tp>
      <tp t="s">
        <v>#N/A N/A</v>
        <stp/>
        <stp>BDH|13893233096556874107</stp>
        <tr r="G9" s="2"/>
      </tp>
      <tp t="s">
        <v>#N/A N/A</v>
        <stp/>
        <stp>BDH|18077640014019215978</stp>
        <tr r="M55" s="2"/>
      </tp>
      <tp t="s">
        <v>#N/A N/A</v>
        <stp/>
        <stp>BDH|11932768684921717097</stp>
        <tr r="I54" s="2"/>
      </tp>
      <tp t="s">
        <v>#N/A N/A</v>
        <stp/>
        <stp>BDH|15641084580472969031</stp>
        <tr r="G22" s="2"/>
      </tp>
      <tp t="s">
        <v>#N/A N/A</v>
        <stp/>
        <stp>BDH|14745425511759873782</stp>
        <tr r="N29" s="2"/>
      </tp>
      <tp t="s">
        <v>#N/A N/A</v>
        <stp/>
        <stp>BDH|17720463351110749936</stp>
        <tr r="G43" s="2"/>
      </tp>
      <tp t="s">
        <v>#N/A N/A</v>
        <stp/>
        <stp>BDH|16240153326648555206</stp>
        <tr r="H85" s="2"/>
      </tp>
      <tp t="s">
        <v>#N/A N/A</v>
        <stp/>
        <stp>BDH|10322465690990205205</stp>
        <tr r="G39" s="2"/>
      </tp>
      <tp t="s">
        <v>#N/A N/A</v>
        <stp/>
        <stp>BDH|10403186059178487363</stp>
        <tr r="I11" s="2"/>
      </tp>
      <tp t="s">
        <v>#N/A N/A</v>
        <stp/>
        <stp>BDH|17041448643690561843</stp>
        <tr r="N43" s="2"/>
      </tp>
      <tp t="s">
        <v>#N/A N/A</v>
        <stp/>
        <stp>BDH|17228975447802007740</stp>
        <tr r="F53" s="2"/>
      </tp>
      <tp t="s">
        <v>#N/A N/A</v>
        <stp/>
        <stp>BDH|10298116116097126820</stp>
        <tr r="T70" s="2"/>
      </tp>
      <tp t="s">
        <v>#N/A N/A</v>
        <stp/>
        <stp>BDH|13181260122884314802</stp>
        <tr r="F91" s="2"/>
      </tp>
      <tp t="s">
        <v>#N/A N/A</v>
        <stp/>
        <stp>BDH|10579657550718697408</stp>
        <tr r="F23" s="2"/>
      </tp>
      <tp t="s">
        <v>#N/A N/A</v>
        <stp/>
        <stp>BDH|18167102147236231423</stp>
        <tr r="W59" s="2"/>
      </tp>
      <tp t="s">
        <v>#N/A N/A</v>
        <stp/>
        <stp>BDH|12683952078585431664</stp>
        <tr r="D31" s="2"/>
      </tp>
      <tp t="s">
        <v>#N/A N/A</v>
        <stp/>
        <stp>BDH|11310926529867184208</stp>
        <tr r="D49" s="2"/>
      </tp>
      <tp t="s">
        <v>#N/A N/A</v>
        <stp/>
        <stp>BDH|17529923718789080961</stp>
        <tr r="J48" s="2"/>
      </tp>
      <tp t="s">
        <v>#N/A N/A</v>
        <stp/>
        <stp>BDH|11931209225329751722</stp>
        <tr r="AA82" s="2"/>
      </tp>
      <tp t="s">
        <v>#N/A N/A</v>
        <stp/>
        <stp>BDH|11406328807148114594</stp>
        <tr r="V49" s="2"/>
      </tp>
      <tp t="s">
        <v>#N/A N/A</v>
        <stp/>
        <stp>BDH|14806470491687724103</stp>
        <tr r="U86" s="2"/>
      </tp>
      <tp t="s">
        <v>#N/A N/A</v>
        <stp/>
        <stp>BDH|11147148058862607823</stp>
        <tr r="D89" s="2"/>
      </tp>
      <tp t="s">
        <v>#N/A N/A</v>
        <stp/>
        <stp>BDH|11478610098766703735</stp>
        <tr r="X12" s="2"/>
      </tp>
      <tp t="s">
        <v>#N/A N/A</v>
        <stp/>
        <stp>BDH|14362895124697724602</stp>
        <tr r="H75" s="2"/>
      </tp>
      <tp t="s">
        <v>#N/A N/A</v>
        <stp/>
        <stp>BDH|12229901654273731299</stp>
        <tr r="R55" s="2"/>
      </tp>
      <tp t="s">
        <v>#N/A N/A</v>
        <stp/>
        <stp>BDH|16912104942229548568</stp>
        <tr r="W11" s="2"/>
      </tp>
      <tp t="s">
        <v>#N/A N/A</v>
        <stp/>
        <stp>BDH|15721211168086581838</stp>
        <tr r="I57" s="2"/>
      </tp>
      <tp t="s">
        <v>#N/A N/A</v>
        <stp/>
        <stp>BDH|12176669616883929937</stp>
        <tr r="P18" s="2"/>
      </tp>
      <tp t="s">
        <v>#N/A N/A</v>
        <stp/>
        <stp>BDH|15933167586397417467</stp>
        <tr r="AC12" s="2"/>
      </tp>
      <tp t="s">
        <v>#N/A N/A</v>
        <stp/>
        <stp>BDH|14553991377252199703</stp>
        <tr r="P12" s="2"/>
      </tp>
      <tp t="s">
        <v>#N/A N/A</v>
        <stp/>
        <stp>BDH|10607801519370791627</stp>
        <tr r="Z87" s="2"/>
      </tp>
      <tp t="s">
        <v>#N/A N/A</v>
        <stp/>
        <stp>BDH|10231946371990451199</stp>
        <tr r="H25" s="2"/>
      </tp>
      <tp t="s">
        <v>#N/A N/A</v>
        <stp/>
        <stp>BDH|13141162629547202816</stp>
        <tr r="AB72" s="2"/>
      </tp>
      <tp t="s">
        <v>#N/A N/A</v>
        <stp/>
        <stp>BDH|15667895965366353256</stp>
        <tr r="S16" s="2"/>
      </tp>
      <tp t="s">
        <v>#N/A N/A</v>
        <stp/>
        <stp>BDH|10950455312459309314</stp>
        <tr r="K63" s="2"/>
      </tp>
      <tp t="s">
        <v>#N/A N/A</v>
        <stp/>
        <stp>BDH|14607737343350864816</stp>
        <tr r="AD46" s="2"/>
      </tp>
      <tp t="s">
        <v>#N/A N/A</v>
        <stp/>
        <stp>BDH|10644112409008899685</stp>
        <tr r="AA28" s="2"/>
      </tp>
      <tp t="s">
        <v>#N/A N/A</v>
        <stp/>
        <stp>BDH|13770487719928259255</stp>
        <tr r="K54" s="2"/>
      </tp>
      <tp t="s">
        <v>#N/A N/A</v>
        <stp/>
        <stp>BDH|15429245444339307668</stp>
        <tr r="C40" s="2"/>
      </tp>
      <tp t="s">
        <v>#N/A N/A</v>
        <stp/>
        <stp>BDH|14556753350213875997</stp>
        <tr r="Z35" s="2"/>
      </tp>
      <tp t="s">
        <v>#N/A N/A</v>
        <stp/>
        <stp>BDH|10516260841752050828</stp>
        <tr r="AC72" s="2"/>
      </tp>
      <tp t="s">
        <v>#N/A N/A</v>
        <stp/>
        <stp>BDH|14544428829386976872</stp>
        <tr r="T23" s="2"/>
      </tp>
      <tp t="s">
        <v>#N/A N/A</v>
        <stp/>
        <stp>BDH|11779467086491030074</stp>
        <tr r="I83" s="2"/>
      </tp>
      <tp t="s">
        <v>#N/A N/A</v>
        <stp/>
        <stp>BDH|11251873173204332652</stp>
        <tr r="K28" s="2"/>
      </tp>
      <tp t="s">
        <v>#N/A N/A</v>
        <stp/>
        <stp>BDH|10598308282494067348</stp>
        <tr r="S55" s="2"/>
      </tp>
      <tp t="s">
        <v>#N/A N/A</v>
        <stp/>
        <stp>BDH|18398629155645052279</stp>
        <tr r="E32" s="2"/>
      </tp>
      <tp t="s">
        <v>#N/A N/A</v>
        <stp/>
        <stp>BDH|11212914011610385527</stp>
        <tr r="H81" s="2"/>
      </tp>
      <tp t="s">
        <v>#N/A N/A</v>
        <stp/>
        <stp>BDH|10215919370394618668</stp>
        <tr r="AF76" s="2"/>
      </tp>
      <tp t="s">
        <v>#N/A N/A</v>
        <stp/>
        <stp>BDH|17757496108067100841</stp>
        <tr r="S90" s="2"/>
      </tp>
      <tp t="s">
        <v>#N/A N/A</v>
        <stp/>
        <stp>BDH|14064340371045301953</stp>
        <tr r="S11" s="2"/>
      </tp>
      <tp t="s">
        <v>#N/A N/A</v>
        <stp/>
        <stp>BDH|13372194749902562847</stp>
        <tr r="J39" s="2"/>
      </tp>
      <tp t="s">
        <v>#N/A N/A</v>
        <stp/>
        <stp>BDH|13117663565437184814</stp>
        <tr r="Q13" s="2"/>
      </tp>
      <tp t="s">
        <v>#N/A N/A</v>
        <stp/>
        <stp>BDH|10520712407019723261</stp>
        <tr r="Q73" s="2"/>
      </tp>
      <tp t="s">
        <v>#N/A N/A</v>
        <stp/>
        <stp>BDH|13786050285061246678</stp>
        <tr r="AA92" s="2"/>
      </tp>
      <tp t="s">
        <v>#N/A N/A</v>
        <stp/>
        <stp>BDH|10432692329410763817</stp>
        <tr r="L72" s="2"/>
      </tp>
      <tp t="s">
        <v>#N/A N/A</v>
        <stp/>
        <stp>BDH|17589040004788494349</stp>
        <tr r="AB32" s="2"/>
      </tp>
      <tp t="s">
        <v>#N/A N/A</v>
        <stp/>
        <stp>BDH|14064455784577189353</stp>
        <tr r="T61" s="2"/>
      </tp>
      <tp t="s">
        <v>#N/A N/A</v>
        <stp/>
        <stp>BDH|15362311953079586613</stp>
        <tr r="AE25" s="2"/>
      </tp>
      <tp t="s">
        <v>#N/A N/A</v>
        <stp/>
        <stp>BDH|17330006086587300435</stp>
        <tr r="V39" s="2"/>
      </tp>
      <tp t="s">
        <v>#N/A N/A</v>
        <stp/>
        <stp>BDH|18225299118754308347</stp>
        <tr r="V86" s="2"/>
      </tp>
      <tp t="s">
        <v>#N/A N/A</v>
        <stp/>
        <stp>BDH|14132177823228874398</stp>
        <tr r="Y20" s="2"/>
      </tp>
      <tp t="s">
        <v>#N/A N/A</v>
        <stp/>
        <stp>BDH|12145655741089783561</stp>
        <tr r="T89" s="2"/>
      </tp>
      <tp t="s">
        <v>#N/A N/A</v>
        <stp/>
        <stp>BDH|14408275311192432929</stp>
        <tr r="H64" s="2"/>
      </tp>
      <tp t="s">
        <v>#N/A N/A</v>
        <stp/>
        <stp>BDH|17156528200237334940</stp>
        <tr r="O30" s="2"/>
      </tp>
      <tp t="s">
        <v>#N/A N/A</v>
        <stp/>
        <stp>BDH|16988902052275994366</stp>
        <tr r="AF53" s="2"/>
      </tp>
      <tp t="s">
        <v>#N/A N/A</v>
        <stp/>
        <stp>BDH|12908252588395332135</stp>
        <tr r="D32" s="2"/>
      </tp>
      <tp t="s">
        <v>#N/A N/A</v>
        <stp/>
        <stp>BDH|11302423394425507543</stp>
        <tr r="E51" s="2"/>
      </tp>
      <tp t="s">
        <v>#N/A N/A</v>
        <stp/>
        <stp>BDH|10575571412898416034</stp>
        <tr r="AE74" s="2"/>
      </tp>
      <tp t="s">
        <v>#N/A N/A</v>
        <stp/>
        <stp>BDH|16509328288022122397</stp>
        <tr r="D13" s="2"/>
      </tp>
      <tp t="s">
        <v>#N/A N/A</v>
        <stp/>
        <stp>BDH|11402376175911181803</stp>
        <tr r="AD69" s="2"/>
      </tp>
      <tp t="s">
        <v>#N/A N/A</v>
        <stp/>
        <stp>BDH|14270213316548385300</stp>
        <tr r="AB22" s="2"/>
      </tp>
      <tp t="s">
        <v>#N/A N/A</v>
        <stp/>
        <stp>BDH|13242010520645657838</stp>
        <tr r="F39" s="2"/>
      </tp>
      <tp t="s">
        <v>#N/A N/A</v>
        <stp/>
        <stp>BDH|11983773891021910204</stp>
        <tr r="D57" s="2"/>
      </tp>
      <tp t="s">
        <v>#N/A N/A</v>
        <stp/>
        <stp>BDH|13320337056121710875</stp>
        <tr r="M12" s="2"/>
      </tp>
      <tp t="s">
        <v>#N/A N/A</v>
        <stp/>
        <stp>BDH|12953319007969010492</stp>
        <tr r="P67" s="2"/>
      </tp>
      <tp t="s">
        <v>#N/A N/A</v>
        <stp/>
        <stp>BDH|12542572108443555892</stp>
        <tr r="X42" s="2"/>
      </tp>
      <tp t="s">
        <v>#N/A N/A</v>
        <stp/>
        <stp>BDH|12653481484515681757</stp>
        <tr r="M53" s="2"/>
      </tp>
      <tp t="s">
        <v>#N/A N/A</v>
        <stp/>
        <stp>BDH|18290266104364044295</stp>
        <tr r="Z59" s="2"/>
      </tp>
      <tp t="s">
        <v>#N/A N/A</v>
        <stp/>
        <stp>BDH|14770872542410828429</stp>
        <tr r="V75" s="2"/>
      </tp>
      <tp t="s">
        <v>#N/A N/A</v>
        <stp/>
        <stp>BDH|12729908854777352582</stp>
        <tr r="P47" s="2"/>
      </tp>
      <tp t="s">
        <v>#N/A N/A</v>
        <stp/>
        <stp>BDH|17840659258678492098</stp>
        <tr r="J75" s="2"/>
      </tp>
      <tp t="s">
        <v>#N/A N/A</v>
        <stp/>
        <stp>BDH|12051919323482337792</stp>
        <tr r="S76" s="2"/>
      </tp>
      <tp t="s">
        <v>#N/A N/A</v>
        <stp/>
        <stp>BDH|15596922384529947127</stp>
        <tr r="AF9" s="2"/>
      </tp>
      <tp t="s">
        <v>#N/A N/A</v>
        <stp/>
        <stp>BDH|12552734939003556928</stp>
        <tr r="AF21" s="2"/>
      </tp>
      <tp t="s">
        <v>#N/A N/A</v>
        <stp/>
        <stp>BDH|17249934500016126486</stp>
        <tr r="J21" s="2"/>
      </tp>
      <tp t="s">
        <v>#N/A N/A</v>
        <stp/>
        <stp>BDH|18398393344457762424</stp>
        <tr r="U11" s="2"/>
      </tp>
      <tp t="s">
        <v>#N/A N/A</v>
        <stp/>
        <stp>BDH|15464285103698436301</stp>
        <tr r="P8" s="2"/>
      </tp>
      <tp t="s">
        <v>#N/A N/A</v>
        <stp/>
        <stp>BDH|13165752478107707803</stp>
        <tr r="AC73" s="2"/>
      </tp>
      <tp t="s">
        <v>#N/A N/A</v>
        <stp/>
        <stp>BDH|15692204911899921352</stp>
        <tr r="C39" s="2"/>
      </tp>
      <tp t="s">
        <v>#N/A N/A</v>
        <stp/>
        <stp>BDH|18158591842831865481</stp>
        <tr r="E22" s="2"/>
      </tp>
      <tp t="s">
        <v>#N/A N/A</v>
        <stp/>
        <stp>BDH|16481792957258586052</stp>
        <tr r="T88" s="2"/>
      </tp>
      <tp t="s">
        <v>#N/A N/A</v>
        <stp/>
        <stp>BDH|11395900348093494350</stp>
        <tr r="AB26" s="2"/>
      </tp>
      <tp t="s">
        <v>#N/A N/A</v>
        <stp/>
        <stp>BDH|17445116171414839962</stp>
        <tr r="AC67" s="2"/>
      </tp>
      <tp t="s">
        <v>#N/A N/A</v>
        <stp/>
        <stp>BDH|11471813479191775315</stp>
        <tr r="H92" s="2"/>
      </tp>
      <tp t="s">
        <v>#N/A N/A</v>
        <stp/>
        <stp>BDH|14508671983387836148</stp>
        <tr r="J62" s="2"/>
      </tp>
      <tp t="s">
        <v>#N/A N/A</v>
        <stp/>
        <stp>BDH|17061867265283626689</stp>
        <tr r="K83" s="2"/>
      </tp>
      <tp t="s">
        <v>#N/A N/A</v>
        <stp/>
        <stp>BDH|11734873043683822269</stp>
        <tr r="N61" s="2"/>
      </tp>
      <tp t="s">
        <v>#N/A N/A</v>
        <stp/>
        <stp>BDH|10177077008045246914</stp>
        <tr r="I55" s="2"/>
      </tp>
      <tp t="s">
        <v>#N/A N/A</v>
        <stp/>
        <stp>BDH|11565718253817307891</stp>
        <tr r="C31" s="2"/>
      </tp>
      <tp t="s">
        <v>#N/A N/A</v>
        <stp/>
        <stp>BDH|10893315074130490842</stp>
        <tr r="T68" s="2"/>
      </tp>
      <tp t="s">
        <v>#N/A N/A</v>
        <stp/>
        <stp>BDH|13294662599475616568</stp>
        <tr r="AC16" s="2"/>
      </tp>
      <tp t="s">
        <v>#N/A N/A</v>
        <stp/>
        <stp>BDH|11129805976406334495</stp>
        <tr r="C87" s="2"/>
      </tp>
      <tp t="s">
        <v>#N/A N/A</v>
        <stp/>
        <stp>BDH|10047935899204059866</stp>
        <tr r="E82" s="2"/>
      </tp>
      <tp t="s">
        <v>#N/A N/A</v>
        <stp/>
        <stp>BDH|14340259323788298088</stp>
        <tr r="X11" s="2"/>
      </tp>
      <tp t="s">
        <v>#N/A N/A</v>
        <stp/>
        <stp>BDH|11372076170582882830</stp>
        <tr r="M14" s="2"/>
      </tp>
      <tp t="s">
        <v>#N/A N/A</v>
        <stp/>
        <stp>BDH|10816899366207188591</stp>
        <tr r="G66" s="2"/>
      </tp>
      <tp t="s">
        <v>#N/A N/A</v>
        <stp/>
        <stp>BDH|13874296612934471888</stp>
        <tr r="U67" s="2"/>
      </tp>
      <tp t="s">
        <v>#N/A N/A</v>
        <stp/>
        <stp>BDH|17028231985317952602</stp>
        <tr r="S22" s="2"/>
      </tp>
      <tp t="s">
        <v>#N/A N/A</v>
        <stp/>
        <stp>BDH|18249211242150655287</stp>
        <tr r="S31" s="2"/>
      </tp>
      <tp t="s">
        <v>#N/A N/A</v>
        <stp/>
        <stp>BDH|16305636464809921333</stp>
        <tr r="F7" s="2"/>
      </tp>
      <tp t="s">
        <v>#N/A N/A</v>
        <stp/>
        <stp>BDH|18358192448113846240</stp>
        <tr r="T15" s="2"/>
      </tp>
      <tp t="s">
        <v>#N/A N/A</v>
        <stp/>
        <stp>BDH|17019268399112485257</stp>
        <tr r="L17" s="2"/>
      </tp>
      <tp t="s">
        <v>#N/A N/A</v>
        <stp/>
        <stp>BDH|16643442851799787350</stp>
        <tr r="E41" s="2"/>
      </tp>
      <tp t="s">
        <v>#N/A N/A</v>
        <stp/>
        <stp>BDH|11620765510858945286</stp>
        <tr r="AF27" s="2"/>
      </tp>
      <tp t="s">
        <v>#N/A N/A</v>
        <stp/>
        <stp>BDH|13278154087322915581</stp>
        <tr r="Y38" s="2"/>
      </tp>
      <tp t="s">
        <v>#N/A N/A</v>
        <stp/>
        <stp>BDH|16551270770578050626</stp>
        <tr r="AE92" s="2"/>
      </tp>
      <tp t="s">
        <v>#N/A N/A</v>
        <stp/>
        <stp>BDH|12582097228948104552</stp>
        <tr r="AB46" s="2"/>
      </tp>
      <tp t="s">
        <v>#N/A N/A</v>
        <stp/>
        <stp>BDH|16222761493070491501</stp>
        <tr r="F62" s="2"/>
      </tp>
      <tp t="s">
        <v>#N/A N/A</v>
        <stp/>
        <stp>BDH|15851186170247413978</stp>
        <tr r="AC65" s="2"/>
      </tp>
      <tp t="s">
        <v>#N/A N/A</v>
        <stp/>
        <stp>BDH|16516989125303921325</stp>
        <tr r="Y14" s="2"/>
      </tp>
      <tp t="s">
        <v>#N/A N/A</v>
        <stp/>
        <stp>BDH|18336373207097079104</stp>
        <tr r="H86" s="2"/>
      </tp>
      <tp t="s">
        <v>#N/A N/A</v>
        <stp/>
        <stp>BDH|12610988675965140497</stp>
        <tr r="L87" s="2"/>
      </tp>
      <tp t="s">
        <v>#N/A N/A</v>
        <stp/>
        <stp>BDH|13106327811519454557</stp>
        <tr r="F73" s="2"/>
      </tp>
      <tp t="s">
        <v>#N/A N/A</v>
        <stp/>
        <stp>BDH|17692272914010491925</stp>
        <tr r="R77" s="2"/>
      </tp>
      <tp t="s">
        <v>#N/A N/A</v>
        <stp/>
        <stp>BDH|16216541228019838540</stp>
        <tr r="Z9" s="2"/>
      </tp>
      <tp t="s">
        <v>#N/A N/A</v>
        <stp/>
        <stp>BDH|14984790860069171138</stp>
        <tr r="L81" s="2"/>
      </tp>
      <tp t="s">
        <v>#N/A N/A</v>
        <stp/>
        <stp>BDH|17759875435638380932</stp>
        <tr r="AD71" s="2"/>
      </tp>
      <tp t="s">
        <v>#N/A N/A</v>
        <stp/>
        <stp>BDH|13648524302188099323</stp>
        <tr r="U61" s="2"/>
      </tp>
      <tp t="s">
        <v>#N/A N/A</v>
        <stp/>
        <stp>BDH|17319882442181847759</stp>
        <tr r="X14" s="2"/>
      </tp>
      <tp t="s">
        <v>#N/A N/A</v>
        <stp/>
        <stp>BDH|15339782082213899457</stp>
        <tr r="AE28" s="2"/>
      </tp>
      <tp t="s">
        <v>#N/A N/A</v>
        <stp/>
        <stp>BDH|12278564040078871684</stp>
        <tr r="Z83" s="2"/>
      </tp>
      <tp t="s">
        <v>#N/A N/A</v>
        <stp/>
        <stp>BDH|17356353090033538370</stp>
        <tr r="D30" s="2"/>
      </tp>
      <tp t="s">
        <v>#N/A N/A</v>
        <stp/>
        <stp>BDH|18217077149668388982</stp>
        <tr r="P39" s="2"/>
      </tp>
      <tp t="s">
        <v>#N/A N/A</v>
        <stp/>
        <stp>BDH|14436354203029147341</stp>
        <tr r="U9" s="2"/>
      </tp>
      <tp t="s">
        <v>#N/A N/A</v>
        <stp/>
        <stp>BDH|10699083091954945010</stp>
        <tr r="AD84" s="2"/>
      </tp>
      <tp t="s">
        <v>#N/A N/A</v>
        <stp/>
        <stp>BDH|17828822928655506500</stp>
        <tr r="Q82" s="2"/>
      </tp>
      <tp t="s">
        <v>#N/A N/A</v>
        <stp/>
        <stp>BDH|14819079347279802462</stp>
        <tr r="T58" s="2"/>
      </tp>
      <tp t="s">
        <v>#N/A N/A</v>
        <stp/>
        <stp>BDH|14409646792771943722</stp>
        <tr r="E16" s="2"/>
      </tp>
      <tp t="s">
        <v>#N/A N/A</v>
        <stp/>
        <stp>BDH|10114839457173816351</stp>
        <tr r="AC53" s="2"/>
      </tp>
      <tp t="s">
        <v>#N/A N/A</v>
        <stp/>
        <stp>BDH|12783429090376599484</stp>
        <tr r="J49" s="2"/>
      </tp>
      <tp t="s">
        <v>#N/A N/A</v>
        <stp/>
        <stp>BDH|17254342092330429085</stp>
        <tr r="AA48" s="2"/>
      </tp>
      <tp t="s">
        <v>#N/A N/A</v>
        <stp/>
        <stp>BDH|14537681966329126020</stp>
        <tr r="AF39" s="2"/>
      </tp>
      <tp t="s">
        <v>#N/A N/A</v>
        <stp/>
        <stp>BDH|12326925900503149584</stp>
        <tr r="V60" s="2"/>
      </tp>
      <tp t="s">
        <v>#N/A N/A</v>
        <stp/>
        <stp>BDH|12520862203601069687</stp>
        <tr r="AA45" s="2"/>
      </tp>
      <tp t="s">
        <v>#N/A N/A</v>
        <stp/>
        <stp>BDH|16679256709129063022</stp>
        <tr r="AC88" s="2"/>
      </tp>
      <tp t="s">
        <v>#N/A N/A</v>
        <stp/>
        <stp>BDH|16023847300742717188</stp>
        <tr r="Q46" s="2"/>
      </tp>
      <tp t="s">
        <v>#N/A N/A</v>
        <stp/>
        <stp>BDH|12039972879396680733</stp>
        <tr r="C88" s="2"/>
      </tp>
      <tp t="s">
        <v>#N/A N/A</v>
        <stp/>
        <stp>BDH|13900107873801823990</stp>
        <tr r="E88" s="2"/>
      </tp>
      <tp t="s">
        <v>#N/A N/A</v>
        <stp/>
        <stp>BDH|17238119051289938707</stp>
        <tr r="Q33" s="2"/>
      </tp>
      <tp t="s">
        <v>#N/A N/A</v>
        <stp/>
        <stp>BDH|15217428436047577897</stp>
        <tr r="AB13" s="2"/>
      </tp>
      <tp t="s">
        <v>#N/A N/A</v>
        <stp/>
        <stp>BDH|13541717897465003599</stp>
        <tr r="V46" s="2"/>
      </tp>
      <tp t="s">
        <v>#N/A N/A</v>
        <stp/>
        <stp>BDH|15764056201031102982</stp>
        <tr r="C48" s="2"/>
      </tp>
      <tp t="s">
        <v>#N/A N/A</v>
        <stp/>
        <stp>BDH|11464994751936331627</stp>
        <tr r="C22" s="2"/>
      </tp>
      <tp t="s">
        <v>#N/A N/A</v>
        <stp/>
        <stp>BDH|17773538184637410095</stp>
        <tr r="P55" s="2"/>
      </tp>
      <tp t="s">
        <v>#N/A N/A</v>
        <stp/>
        <stp>BDH|16011790224718143617</stp>
        <tr r="D10" s="2"/>
      </tp>
      <tp t="s">
        <v>#N/A N/A</v>
        <stp/>
        <stp>BDH|15937413227879329702</stp>
        <tr r="F40" s="2"/>
      </tp>
      <tp t="s">
        <v>#N/A N/A</v>
        <stp/>
        <stp>BDH|15986895050796843341</stp>
        <tr r="Q40" s="2"/>
      </tp>
      <tp t="s">
        <v>#N/A N/A</v>
        <stp/>
        <stp>BDH|10939952256639026869</stp>
        <tr r="U23" s="2"/>
      </tp>
      <tp t="s">
        <v>#N/A N/A</v>
        <stp/>
        <stp>BDH|14367704449722735813</stp>
        <tr r="AF12" s="2"/>
      </tp>
      <tp t="s">
        <v>#N/A N/A</v>
        <stp/>
        <stp>BDH|15734603849098665278</stp>
        <tr r="H46" s="2"/>
      </tp>
      <tp t="s">
        <v>#N/A N/A</v>
        <stp/>
        <stp>BDH|16896350817188196146</stp>
        <tr r="H59" s="2"/>
      </tp>
      <tp t="s">
        <v>#N/A N/A</v>
        <stp/>
        <stp>BDH|13316554383132870125</stp>
        <tr r="P22" s="2"/>
      </tp>
      <tp t="s">
        <v>#N/A N/A</v>
        <stp/>
        <stp>BDH|11277421245429851539</stp>
        <tr r="H67" s="2"/>
      </tp>
      <tp t="s">
        <v>#N/A N/A</v>
        <stp/>
        <stp>BDH|13317246184351818558</stp>
        <tr r="E23" s="2"/>
      </tp>
      <tp t="s">
        <v>#N/A N/A</v>
        <stp/>
        <stp>BDH|14764261935048909035</stp>
        <tr r="V43" s="2"/>
      </tp>
      <tp t="s">
        <v>#N/A N/A</v>
        <stp/>
        <stp>BDH|11949212353643523802</stp>
        <tr r="W74" s="2"/>
      </tp>
      <tp t="s">
        <v>#N/A N/A</v>
        <stp/>
        <stp>BDH|10401157527259279851</stp>
        <tr r="AC68" s="2"/>
      </tp>
      <tp t="s">
        <v>#N/A N/A</v>
        <stp/>
        <stp>BDH|17336451733602058043</stp>
        <tr r="AE63" s="2"/>
      </tp>
      <tp t="s">
        <v>#N/A N/A</v>
        <stp/>
        <stp>BDH|17702936449538837042</stp>
        <tr r="W13" s="2"/>
      </tp>
      <tp t="s">
        <v>#N/A N/A</v>
        <stp/>
        <stp>BDH|12525825390896318758</stp>
        <tr r="U87" s="2"/>
      </tp>
      <tp t="s">
        <v>#N/A N/A</v>
        <stp/>
        <stp>BDH|13756179938385904609</stp>
        <tr r="J55" s="2"/>
      </tp>
      <tp t="s">
        <v>#N/A N/A</v>
        <stp/>
        <stp>BDH|16334457817702833385</stp>
        <tr r="H63" s="2"/>
      </tp>
      <tp t="s">
        <v>#N/A N/A</v>
        <stp/>
        <stp>BDH|14201865078168932142</stp>
        <tr r="Z53" s="2"/>
      </tp>
      <tp t="s">
        <v>#N/A N/A</v>
        <stp/>
        <stp>BDH|11851038038763121325</stp>
        <tr r="E21" s="2"/>
      </tp>
      <tp t="s">
        <v>#N/A N/A</v>
        <stp/>
        <stp>BDH|16153465651801180473</stp>
        <tr r="G17" s="2"/>
      </tp>
      <tp t="s">
        <v>#N/A N/A</v>
        <stp/>
        <stp>BDH|16284852517815617864</stp>
        <tr r="I32" s="2"/>
      </tp>
      <tp t="s">
        <v>#N/A N/A</v>
        <stp/>
        <stp>BDH|18315025293232272107</stp>
        <tr r="X55" s="2"/>
      </tp>
      <tp t="s">
        <v>#N/A N/A</v>
        <stp/>
        <stp>BDH|14634838652719191261</stp>
        <tr r="L11" s="2"/>
      </tp>
      <tp t="s">
        <v>#N/A N/A</v>
        <stp/>
        <stp>BDH|16560559205515133470</stp>
        <tr r="S19" s="2"/>
      </tp>
      <tp t="s">
        <v>#N/A N/A</v>
        <stp/>
        <stp>BDH|11271856872689102570</stp>
        <tr r="AD50" s="2"/>
      </tp>
      <tp t="s">
        <v>#N/A N/A</v>
        <stp/>
        <stp>BDH|12431178154632587613</stp>
        <tr r="AF82" s="2"/>
      </tp>
      <tp t="s">
        <v>#N/A N/A</v>
        <stp/>
        <stp>BDH|13696939256565266839</stp>
        <tr r="AD8" s="2"/>
      </tp>
      <tp t="s">
        <v>#N/A N/A</v>
        <stp/>
        <stp>BDH|10980922423360851926</stp>
        <tr r="D8" s="2"/>
      </tp>
      <tp t="s">
        <v>#N/A N/A</v>
        <stp/>
        <stp>BDH|16237625983472295833</stp>
        <tr r="AC83" s="2"/>
      </tp>
      <tp t="s">
        <v>#N/A N/A</v>
        <stp/>
        <stp>BDH|15252730564260395641</stp>
        <tr r="E39" s="2"/>
      </tp>
      <tp t="s">
        <v>#N/A N/A</v>
        <stp/>
        <stp>BDH|12869750646695198688</stp>
        <tr r="Y67" s="2"/>
      </tp>
      <tp t="s">
        <v>#N/A N/A</v>
        <stp/>
        <stp>BDH|17597211153771118348</stp>
        <tr r="L39" s="2"/>
      </tp>
      <tp t="s">
        <v>#N/A N/A</v>
        <stp/>
        <stp>BDH|15217476720562356341</stp>
        <tr r="L69" s="2"/>
      </tp>
      <tp t="s">
        <v>#N/A N/A</v>
        <stp/>
        <stp>BDH|15759447350591147779</stp>
        <tr r="O25" s="2"/>
      </tp>
      <tp t="s">
        <v>#N/A N/A</v>
        <stp/>
        <stp>BDH|17222570747921764503</stp>
        <tr r="AA53" s="2"/>
      </tp>
      <tp t="s">
        <v>#N/A N/A</v>
        <stp/>
        <stp>BDH|17715236977920458028</stp>
        <tr r="Y16" s="2"/>
      </tp>
      <tp t="s">
        <v>#N/A N/A</v>
        <stp/>
        <stp>BDH|16942878706988423496</stp>
        <tr r="N86" s="2"/>
      </tp>
      <tp t="s">
        <v>#N/A N/A</v>
        <stp/>
        <stp>BDH|18417431095215636215</stp>
        <tr r="K42" s="2"/>
      </tp>
      <tp t="s">
        <v>#N/A N/A</v>
        <stp/>
        <stp>BDH|11602842683241553211</stp>
        <tr r="Q49" s="2"/>
      </tp>
      <tp t="s">
        <v>#N/A N/A</v>
        <stp/>
        <stp>BDH|13985544603994895026</stp>
        <tr r="N65" s="2"/>
      </tp>
      <tp t="s">
        <v>#N/A N/A</v>
        <stp/>
        <stp>BDH|12596137156507623321</stp>
        <tr r="Y12" s="2"/>
      </tp>
      <tp t="s">
        <v>#N/A N/A</v>
        <stp/>
        <stp>BDH|18223473080603486551</stp>
        <tr r="E73" s="2"/>
      </tp>
      <tp t="s">
        <v>#N/A N/A</v>
        <stp/>
        <stp>BDH|15974491765904130100</stp>
        <tr r="G55" s="2"/>
      </tp>
      <tp t="s">
        <v>#N/A N/A</v>
        <stp/>
        <stp>BDH|11916675850797360795</stp>
        <tr r="C74" s="2"/>
      </tp>
      <tp t="s">
        <v>#N/A N/A</v>
        <stp/>
        <stp>BDH|14503670333616500503</stp>
        <tr r="AE43" s="2"/>
      </tp>
      <tp t="s">
        <v>#N/A N/A</v>
        <stp/>
        <stp>BDH|15882091983908397760</stp>
        <tr r="E12" s="2"/>
      </tp>
      <tp t="s">
        <v>#N/A N/A</v>
        <stp/>
        <stp>BDH|12395130237234765678</stp>
        <tr r="AE27" s="2"/>
      </tp>
      <tp t="s">
        <v>#N/A N/A</v>
        <stp/>
        <stp>BDH|18002844045590382643</stp>
        <tr r="M11" s="2"/>
      </tp>
      <tp t="s">
        <v>#N/A N/A</v>
        <stp/>
        <stp>BDH|15496983824395659985</stp>
        <tr r="K57" s="2"/>
      </tp>
      <tp t="s">
        <v>#N/A N/A</v>
        <stp/>
        <stp>BDH|16548793261263290694</stp>
        <tr r="AE19" s="2"/>
      </tp>
      <tp t="s">
        <v>#N/A N/A</v>
        <stp/>
        <stp>BDH|11212642957791432139</stp>
        <tr r="M41" s="2"/>
      </tp>
      <tp t="s">
        <v>#N/A N/A</v>
        <stp/>
        <stp>BDH|11241367875373644416</stp>
        <tr r="Q87" s="2"/>
      </tp>
      <tp t="s">
        <v>#N/A N/A</v>
        <stp/>
        <stp>BDH|16731676086652821873</stp>
        <tr r="AF49" s="2"/>
      </tp>
      <tp t="s">
        <v>#N/A N/A</v>
        <stp/>
        <stp>BDH|15035496634245662527</stp>
        <tr r="G72" s="2"/>
      </tp>
      <tp t="s">
        <v>#N/A N/A</v>
        <stp/>
        <stp>BDH|17235663728616513701</stp>
        <tr r="C21" s="2"/>
      </tp>
      <tp t="s">
        <v>#N/A N/A</v>
        <stp/>
        <stp>BDH|11682366229415867793</stp>
        <tr r="T63" s="2"/>
      </tp>
      <tp t="s">
        <v>#N/A N/A</v>
        <stp/>
        <stp>BDH|16919512442024053128</stp>
        <tr r="Z8" s="2"/>
      </tp>
      <tp t="s">
        <v>#N/A N/A</v>
        <stp/>
        <stp>BDH|11767269341284934110</stp>
        <tr r="D45" s="2"/>
      </tp>
      <tp t="s">
        <v>#N/A N/A</v>
        <stp/>
        <stp>BDH|10857136337468438806</stp>
        <tr r="J32" s="2"/>
      </tp>
      <tp t="s">
        <v>#N/A N/A</v>
        <stp/>
        <stp>BDH|15922429161844097128</stp>
        <tr r="K48" s="2"/>
      </tp>
      <tp t="s">
        <v>#N/A N/A</v>
        <stp/>
        <stp>BDH|12502282922199505924</stp>
        <tr r="Y86" s="2"/>
      </tp>
      <tp t="s">
        <v>#N/A N/A</v>
        <stp/>
        <stp>BDH|15982057384708429773</stp>
        <tr r="R75" s="2"/>
      </tp>
      <tp t="s">
        <v>#N/A N/A</v>
        <stp/>
        <stp>BDH|17665690835257509745</stp>
        <tr r="AD73" s="2"/>
      </tp>
      <tp t="s">
        <v>#N/A N/A</v>
        <stp/>
        <stp>BDH|17907909920008097625</stp>
        <tr r="H56" s="2"/>
      </tp>
      <tp t="s">
        <v>#N/A N/A</v>
        <stp/>
        <stp>BDH|14651775217115528586</stp>
        <tr r="L68" s="2"/>
      </tp>
      <tp t="s">
        <v>#N/A N/A</v>
        <stp/>
        <stp>BDH|12576994703608709131</stp>
        <tr r="E45" s="2"/>
      </tp>
      <tp t="s">
        <v>#N/A N/A</v>
        <stp/>
        <stp>BDH|12328973467119897612</stp>
        <tr r="O18" s="2"/>
      </tp>
      <tp t="s">
        <v>#N/A N/A</v>
        <stp/>
        <stp>BDH|17989526360477232130</stp>
        <tr r="V33" s="2"/>
      </tp>
      <tp t="s">
        <v>#N/A N/A</v>
        <stp/>
        <stp>BDH|18383585095585663327</stp>
        <tr r="X47" s="2"/>
      </tp>
      <tp t="s">
        <v>#N/A N/A</v>
        <stp/>
        <stp>BDH|13752691735931117501</stp>
        <tr r="N67" s="2"/>
      </tp>
      <tp t="s">
        <v>#N/A N/A</v>
        <stp/>
        <stp>BDH|10784978290331931332</stp>
        <tr r="J15" s="2"/>
      </tp>
      <tp t="s">
        <v>#N/A N/A</v>
        <stp/>
        <stp>BDH|12289081756065781011</stp>
        <tr r="V25" s="2"/>
      </tp>
      <tp t="s">
        <v>#N/A N/A</v>
        <stp/>
        <stp>BDH|16362018969740759269</stp>
        <tr r="M22" s="2"/>
      </tp>
      <tp t="s">
        <v>#N/A N/A</v>
        <stp/>
        <stp>BDH|17548902674879873242</stp>
        <tr r="F68" s="2"/>
      </tp>
      <tp t="s">
        <v>#N/A N/A</v>
        <stp/>
        <stp>BDH|16894750350226313033</stp>
        <tr r="X90" s="2"/>
      </tp>
      <tp t="s">
        <v>#N/A N/A</v>
        <stp/>
        <stp>BDH|11583237577085922353</stp>
        <tr r="D64" s="2"/>
      </tp>
      <tp t="s">
        <v>#N/A N/A</v>
        <stp/>
        <stp>BDH|18233185565399002427</stp>
        <tr r="AE82" s="2"/>
      </tp>
      <tp t="s">
        <v>#N/A N/A</v>
        <stp/>
        <stp>BDH|16985408675450393728</stp>
        <tr r="AB83" s="2"/>
      </tp>
      <tp t="s">
        <v>#N/A N/A</v>
        <stp/>
        <stp>BDH|15672470233949840961</stp>
        <tr r="F65" s="2"/>
      </tp>
      <tp t="s">
        <v>#N/A N/A</v>
        <stp/>
        <stp>BDH|11889323508919720999</stp>
        <tr r="U65" s="2"/>
      </tp>
      <tp t="s">
        <v>#N/A N/A</v>
        <stp/>
        <stp>BDH|16131459745011802557</stp>
        <tr r="AA77" s="2"/>
      </tp>
      <tp t="s">
        <v>#N/A N/A</v>
        <stp/>
        <stp>BDH|13114267590832957828</stp>
        <tr r="W26" s="2"/>
      </tp>
      <tp t="s">
        <v>#N/A N/A</v>
        <stp/>
        <stp>BDH|16278585991590452835</stp>
        <tr r="AB76" s="2"/>
      </tp>
      <tp t="s">
        <v>#N/A N/A</v>
        <stp/>
        <stp>BDH|15837951255772739930</stp>
        <tr r="G63" s="2"/>
      </tp>
      <tp t="s">
        <v>#N/A N/A</v>
        <stp/>
        <stp>BDH|16675622544265463387</stp>
        <tr r="L26" s="2"/>
      </tp>
      <tp t="s">
        <v>#N/A N/A</v>
        <stp/>
        <stp>BDH|13456702357761713284</stp>
        <tr r="O21" s="2"/>
      </tp>
      <tp t="s">
        <v>#N/A N/A</v>
        <stp/>
        <stp>BDH|10821464613345569247</stp>
        <tr r="V84" s="2"/>
      </tp>
      <tp t="s">
        <v>#N/A N/A</v>
        <stp/>
        <stp>BDH|18151318189019740813</stp>
        <tr r="T44" s="2"/>
      </tp>
      <tp t="s">
        <v>#N/A N/A</v>
        <stp/>
        <stp>BDH|10496836298106384539</stp>
        <tr r="P65" s="2"/>
      </tp>
      <tp t="s">
        <v>#N/A N/A</v>
        <stp/>
        <stp>BDH|15044668747543600688</stp>
        <tr r="R76" s="2"/>
      </tp>
      <tp t="s">
        <v>#N/A N/A</v>
        <stp/>
        <stp>BDH|15018724459895492004</stp>
        <tr r="Z25" s="2"/>
      </tp>
      <tp t="s">
        <v>#N/A N/A</v>
        <stp/>
        <stp>BDH|17461133571436951502</stp>
        <tr r="AE86" s="2"/>
      </tp>
      <tp t="s">
        <v>#N/A N/A</v>
        <stp/>
        <stp>BDH|14320168900962206598</stp>
        <tr r="AC71" s="2"/>
      </tp>
      <tp t="s">
        <v>#N/A N/A</v>
        <stp/>
        <stp>BDH|12264708950334841646</stp>
        <tr r="AD25" s="2"/>
      </tp>
      <tp t="s">
        <v>#N/A N/A</v>
        <stp/>
        <stp>BDH|18099107998211683308</stp>
        <tr r="Q90" s="2"/>
      </tp>
      <tp t="s">
        <v>#N/A N/A</v>
        <stp/>
        <stp>BDH|18359645785625544194</stp>
        <tr r="Z19" s="2"/>
      </tp>
      <tp t="s">
        <v>#N/A N/A</v>
        <stp/>
        <stp>BDH|10620006969653604688</stp>
        <tr r="P75" s="2"/>
      </tp>
      <tp t="s">
        <v>#N/A N/A</v>
        <stp/>
        <stp>BDH|10485333546197277324</stp>
        <tr r="K41" s="2"/>
      </tp>
      <tp t="s">
        <v>#N/A N/A</v>
        <stp/>
        <stp>BDH|10722568056594611706</stp>
        <tr r="V9" s="2"/>
      </tp>
      <tp t="s">
        <v>#N/A N/A</v>
        <stp/>
        <stp>BDH|13326349747020715762</stp>
        <tr r="AE70" s="2"/>
      </tp>
      <tp t="s">
        <v>#N/A N/A</v>
        <stp/>
        <stp>BDH|12502415191209129558</stp>
        <tr r="W22" s="2"/>
      </tp>
      <tp t="s">
        <v>#N/A N/A</v>
        <stp/>
        <stp>BDH|15638909943899110250</stp>
        <tr r="AC39" s="2"/>
      </tp>
      <tp t="s">
        <v>#N/A N/A</v>
        <stp/>
        <stp>BDH|15909719045926486388</stp>
        <tr r="Y63" s="2"/>
      </tp>
      <tp t="s">
        <v>#N/A N/A</v>
        <stp/>
        <stp>BDH|15887582246670504728</stp>
        <tr r="X92" s="2"/>
      </tp>
      <tp t="s">
        <v>#N/A N/A</v>
        <stp/>
        <stp>BDH|13314277896543795850</stp>
        <tr r="M75" s="2"/>
      </tp>
      <tp t="s">
        <v>#N/A N/A</v>
        <stp/>
        <stp>BDH|16656073961064987794</stp>
        <tr r="S46" s="2"/>
      </tp>
      <tp t="s">
        <v>#N/A N/A</v>
        <stp/>
        <stp>BDH|17602657511587496462</stp>
        <tr r="X33" s="2"/>
      </tp>
      <tp t="s">
        <v>#N/A N/A</v>
        <stp/>
        <stp>BDH|10661540662511626169</stp>
        <tr r="AE18" s="2"/>
      </tp>
      <tp t="s">
        <v>#N/A N/A</v>
        <stp/>
        <stp>BDH|12383494573130051295</stp>
        <tr r="R12" s="2"/>
      </tp>
      <tp t="s">
        <v>#N/A N/A</v>
        <stp/>
        <stp>BDH|13203294508282149022</stp>
        <tr r="V77" s="2"/>
      </tp>
      <tp t="s">
        <v>#N/A N/A</v>
        <stp/>
        <stp>BDH|13351080609128152834</stp>
        <tr r="K75" s="2"/>
      </tp>
      <tp t="s">
        <v>#N/A N/A</v>
        <stp/>
        <stp>BDH|16299415605225730427</stp>
        <tr r="Z52" s="2"/>
      </tp>
      <tp t="s">
        <v>#N/A N/A</v>
        <stp/>
        <stp>BDH|11700449768405975515</stp>
        <tr r="Q22" s="2"/>
      </tp>
      <tp t="s">
        <v>#N/A N/A</v>
        <stp/>
        <stp>BDH|10693051685879645238</stp>
        <tr r="V55" s="2"/>
      </tp>
      <tp t="s">
        <v>#N/A N/A</v>
        <stp/>
        <stp>BDH|17987210909526210016</stp>
        <tr r="E76" s="2"/>
      </tp>
      <tp t="s">
        <v>#N/A N/A</v>
        <stp/>
        <stp>BDH|11193030868616163297</stp>
        <tr r="V28" s="2"/>
      </tp>
      <tp t="s">
        <v>#N/A N/A</v>
        <stp/>
        <stp>BDH|10754674875611079372</stp>
        <tr r="N39" s="2"/>
      </tp>
      <tp t="s">
        <v>#N/A N/A</v>
        <stp/>
        <stp>BDH|17634372140205378602</stp>
        <tr r="E46" s="2"/>
      </tp>
      <tp t="s">
        <v>#N/A N/A</v>
        <stp/>
        <stp>BDH|13185242804665129755</stp>
        <tr r="R21" s="2"/>
      </tp>
      <tp t="s">
        <v>#N/A N/A</v>
        <stp/>
        <stp>BDH|17886080051982699326</stp>
        <tr r="Y39" s="2"/>
      </tp>
      <tp t="s">
        <v>#N/A N/A</v>
        <stp/>
        <stp>BDH|17891725261510778593</stp>
        <tr r="D14" s="2"/>
      </tp>
      <tp t="s">
        <v>#N/A N/A</v>
        <stp/>
        <stp>BDH|17779236528476823215</stp>
        <tr r="AF88" s="2"/>
      </tp>
      <tp t="s">
        <v>#N/A N/A</v>
        <stp/>
        <stp>BDH|15230200377540724376</stp>
        <tr r="J59" s="2"/>
      </tp>
      <tp t="s">
        <v>#N/A N/A</v>
        <stp/>
        <stp>BDH|17459118280868328530</stp>
        <tr r="H89" s="2"/>
      </tp>
      <tp t="s">
        <v>#N/A N/A</v>
        <stp/>
        <stp>BDH|11717203302807842789</stp>
        <tr r="G19" s="2"/>
      </tp>
      <tp t="s">
        <v>#N/A N/A</v>
        <stp/>
        <stp>BDH|15540486425168406896</stp>
        <tr r="H17" s="2"/>
      </tp>
      <tp t="s">
        <v>#N/A N/A</v>
        <stp/>
        <stp>BDH|15085283858701215067</stp>
        <tr r="T17" s="2"/>
      </tp>
      <tp t="s">
        <v>#N/A N/A</v>
        <stp/>
        <stp>BDH|18072820133791684131</stp>
        <tr r="P64" s="2"/>
      </tp>
      <tp t="s">
        <v>#N/A N/A</v>
        <stp/>
        <stp>BDH|12708649227597117210</stp>
        <tr r="D47" s="2"/>
      </tp>
      <tp t="s">
        <v>#N/A N/A</v>
        <stp/>
        <stp>BDH|12201061591499263132</stp>
        <tr r="X68" s="2"/>
      </tp>
      <tp t="s">
        <v>#N/A N/A</v>
        <stp/>
        <stp>BDH|15533964082092556507</stp>
        <tr r="K52" s="2"/>
      </tp>
      <tp t="s">
        <v>#N/A N/A</v>
        <stp/>
        <stp>BDH|15474797981451922812</stp>
        <tr r="X82" s="2"/>
      </tp>
      <tp t="s">
        <v>#N/A N/A</v>
        <stp/>
        <stp>BDH|15643611993088749144</stp>
        <tr r="AB23" s="2"/>
      </tp>
      <tp t="s">
        <v>#N/A N/A</v>
        <stp/>
        <stp>BDH|11632153406311335215</stp>
        <tr r="AD86" s="2"/>
      </tp>
      <tp t="s">
        <v>#N/A N/A</v>
        <stp/>
        <stp>BDH|16514005006776267361</stp>
        <tr r="G51" s="2"/>
      </tp>
      <tp t="s">
        <v>#N/A N/A</v>
        <stp/>
        <stp>BDH|15001908377960909888</stp>
        <tr r="R7" s="2"/>
      </tp>
      <tp t="s">
        <v>#N/A N/A</v>
        <stp/>
        <stp>BDH|15497499020512271293</stp>
        <tr r="M43" s="2"/>
      </tp>
      <tp t="s">
        <v>#N/A N/A</v>
        <stp/>
        <stp>BDH|12471997785782702292</stp>
        <tr r="K9" s="2"/>
      </tp>
      <tp t="s">
        <v>#N/A N/A</v>
        <stp/>
        <stp>BDH|16097285446591284258</stp>
        <tr r="H35" s="2"/>
      </tp>
      <tp t="s">
        <v>#N/A N/A</v>
        <stp/>
        <stp>BDH|11648116123837837656</stp>
        <tr r="Z33" s="2"/>
      </tp>
      <tp t="s">
        <v>#N/A N/A</v>
        <stp/>
        <stp>BDH|14042137610967916035</stp>
        <tr r="AC25" s="2"/>
      </tp>
      <tp t="s">
        <v>#N/A N/A</v>
        <stp/>
        <stp>BDH|10886510025383238774</stp>
        <tr r="E48" s="2"/>
      </tp>
      <tp t="s">
        <v>#N/A N/A</v>
        <stp/>
        <stp>BDH|17156924093237158387</stp>
        <tr r="G88" s="2"/>
      </tp>
      <tp t="s">
        <v>#N/A N/A</v>
        <stp/>
        <stp>BDH|14677207601235821078</stp>
        <tr r="Z41" s="2"/>
      </tp>
      <tp t="s">
        <v>#N/A N/A</v>
        <stp/>
        <stp>BDH|11796786003064796138</stp>
        <tr r="C47" s="2"/>
      </tp>
      <tp t="s">
        <v>#N/A N/A</v>
        <stp/>
        <stp>BDH|12167458918942327675</stp>
        <tr r="N72" s="2"/>
      </tp>
      <tp t="s">
        <v>#N/A N/A</v>
        <stp/>
        <stp>BDH|11742142352290851617</stp>
        <tr r="V26" s="2"/>
      </tp>
      <tp t="s">
        <v>#N/A N/A</v>
        <stp/>
        <stp>BDH|16831271837415034100</stp>
        <tr r="W76" s="2"/>
      </tp>
      <tp t="s">
        <v>#N/A N/A</v>
        <stp/>
        <stp>BDH|15825317955798536814</stp>
        <tr r="W53" s="2"/>
      </tp>
      <tp t="s">
        <v>#N/A N/A</v>
        <stp/>
        <stp>BDH|14775267788569786454</stp>
        <tr r="N24" s="2"/>
      </tp>
      <tp t="s">
        <v>#N/A N/A</v>
        <stp/>
        <stp>BDH|11866070783138383241</stp>
        <tr r="X24" s="2"/>
      </tp>
      <tp t="s">
        <v>#N/A N/A</v>
        <stp/>
        <stp>BDH|17635427007266802605</stp>
        <tr r="M16" s="2"/>
      </tp>
      <tp t="s">
        <v>#N/A N/A</v>
        <stp/>
        <stp>BDH|12685953802710902824</stp>
        <tr r="M52" s="2"/>
      </tp>
      <tp t="s">
        <v>#N/A N/A</v>
        <stp/>
        <stp>BDH|14512853555833825976</stp>
        <tr r="J24" s="2"/>
      </tp>
      <tp t="s">
        <v>#N/A N/A</v>
        <stp/>
        <stp>BDH|14305701877752768592</stp>
        <tr r="L85" s="2"/>
      </tp>
      <tp t="s">
        <v>#N/A N/A</v>
        <stp/>
        <stp>BDH|10814932896813454044</stp>
        <tr r="AB90" s="2"/>
      </tp>
      <tp t="s">
        <v>#N/A N/A</v>
        <stp/>
        <stp>BDH|15930630912849398868</stp>
        <tr r="S38" s="2"/>
      </tp>
      <tp t="s">
        <v>#N/A N/A</v>
        <stp/>
        <stp>BDH|11045938750128625686</stp>
        <tr r="AF67" s="2"/>
      </tp>
      <tp t="s">
        <v>#N/A N/A</v>
        <stp/>
        <stp>BDH|11782655760162669095</stp>
        <tr r="AE71" s="2"/>
      </tp>
      <tp t="s">
        <v>#N/A N/A</v>
        <stp/>
        <stp>BDH|12332059251943271787</stp>
        <tr r="Z89" s="2"/>
      </tp>
      <tp t="s">
        <v>#N/A N/A</v>
        <stp/>
        <stp>BDH|15546634630166307593</stp>
        <tr r="AD66" s="2"/>
      </tp>
      <tp t="s">
        <v>#N/A N/A</v>
        <stp/>
        <stp>BDH|17913199858948356871</stp>
        <tr r="Z56" s="2"/>
      </tp>
      <tp t="s">
        <v>#N/A N/A</v>
        <stp/>
        <stp>BDH|12971253166444568104</stp>
        <tr r="T29" s="2"/>
      </tp>
      <tp t="s">
        <v>#N/A N/A</v>
        <stp/>
        <stp>BDH|14965706100756708617</stp>
        <tr r="X63" s="2"/>
      </tp>
      <tp t="s">
        <v>#N/A N/A</v>
        <stp/>
        <stp>BDH|17054747853716054080</stp>
        <tr r="L54" s="2"/>
      </tp>
      <tp t="s">
        <v>#N/A N/A</v>
        <stp/>
        <stp>BDH|16557265461360428195</stp>
        <tr r="N10" s="2"/>
      </tp>
      <tp t="s">
        <v>#N/A N/A</v>
        <stp/>
        <stp>BDH|16718008770272066092</stp>
        <tr r="K91" s="2"/>
      </tp>
      <tp t="s">
        <v>#N/A N/A</v>
        <stp/>
        <stp>BDH|11158191375780759445</stp>
        <tr r="U70" s="2"/>
      </tp>
      <tp t="s">
        <v>#N/A N/A</v>
        <stp/>
        <stp>BDH|11179645678864081736</stp>
        <tr r="M54" s="2"/>
      </tp>
      <tp t="s">
        <v>#N/A N/A</v>
        <stp/>
        <stp>BDH|13292245076770376627</stp>
        <tr r="AB41" s="2"/>
      </tp>
      <tp t="s">
        <v>#N/A N/A</v>
        <stp/>
        <stp>BDH|16922499566877620318</stp>
        <tr r="F50" s="2"/>
      </tp>
      <tp t="s">
        <v>#N/A N/A</v>
        <stp/>
        <stp>BDH|13901736353731860009</stp>
        <tr r="N66" s="2"/>
      </tp>
      <tp t="s">
        <v>#N/A N/A</v>
        <stp/>
        <stp>BDH|16477026750793480033</stp>
        <tr r="R57" s="2"/>
      </tp>
      <tp t="s">
        <v>#N/A N/A</v>
        <stp/>
        <stp>BDH|15416422465991793650</stp>
        <tr r="V92" s="2"/>
      </tp>
      <tp t="s">
        <v>#N/A N/A</v>
        <stp/>
        <stp>BDH|14082059666087453563</stp>
        <tr r="D55" s="2"/>
      </tp>
      <tp t="s">
        <v>#N/A N/A</v>
        <stp/>
        <stp>BDH|17958465739200543023</stp>
        <tr r="E62" s="2"/>
      </tp>
      <tp t="s">
        <v>#N/A N/A</v>
        <stp/>
        <stp>BDH|10525872902200362821</stp>
        <tr r="AD43" s="2"/>
      </tp>
      <tp t="s">
        <v>#N/A N/A</v>
        <stp/>
        <stp>BDH|13438774472851731279</stp>
        <tr r="H91" s="2"/>
      </tp>
      <tp t="s">
        <v>#N/A N/A</v>
        <stp/>
        <stp>BDH|17523850805476558917</stp>
        <tr r="S64" s="2"/>
      </tp>
      <tp t="s">
        <v>#N/A N/A</v>
        <stp/>
        <stp>BDH|16211149473029369967</stp>
        <tr r="P83" s="2"/>
      </tp>
      <tp t="s">
        <v>#N/A N/A</v>
        <stp/>
        <stp>BDH|12531699148378575817</stp>
        <tr r="M50" s="2"/>
      </tp>
      <tp t="s">
        <v>#N/A N/A</v>
        <stp/>
        <stp>BDH|17448246774436681426</stp>
        <tr r="E87" s="2"/>
      </tp>
      <tp t="s">
        <v>#N/A N/A</v>
        <stp/>
        <stp>BDH|10753931093369291956</stp>
        <tr r="AC50" s="2"/>
      </tp>
      <tp t="s">
        <v>#N/A N/A</v>
        <stp/>
        <stp>BDH|17398998759639602258</stp>
        <tr r="R23" s="2"/>
      </tp>
      <tp t="s">
        <v>#N/A N/A</v>
        <stp/>
        <stp>BDH|16115848475849386039</stp>
        <tr r="C25" s="2"/>
      </tp>
      <tp t="s">
        <v>#N/A N/A</v>
        <stp/>
        <stp>BDH|13021137648304817231</stp>
        <tr r="Q24" s="2"/>
      </tp>
      <tp t="s">
        <v>#N/A N/A</v>
        <stp/>
        <stp>BDH|18029351372244096842</stp>
        <tr r="F42" s="2"/>
      </tp>
      <tp t="s">
        <v>#N/A N/A</v>
        <stp/>
        <stp>BDH|18014729937779596539</stp>
        <tr r="Q72" s="2"/>
      </tp>
      <tp t="s">
        <v>#N/A N/A</v>
        <stp/>
        <stp>BDH|11883377044622916417</stp>
        <tr r="T9" s="2"/>
      </tp>
      <tp t="s">
        <v>#N/A N/A</v>
        <stp/>
        <stp>BDH|10878363629087326679</stp>
        <tr r="AA19" s="2"/>
      </tp>
      <tp t="s">
        <v>#N/A N/A</v>
        <stp/>
        <stp>BDH|16466378177013138163</stp>
        <tr r="Z64" s="2"/>
      </tp>
      <tp t="s">
        <v>#N/A N/A</v>
        <stp/>
        <stp>BDH|16452294869075268757</stp>
        <tr r="AC44" s="2"/>
      </tp>
      <tp t="s">
        <v>#N/A N/A</v>
        <stp/>
        <stp>BDH|10310702625426248374</stp>
        <tr r="AB85" s="2"/>
      </tp>
      <tp t="s">
        <v>#N/A N/A</v>
        <stp/>
        <stp>BDH|10092291558803768453</stp>
        <tr r="M82" s="2"/>
      </tp>
      <tp t="s">
        <v>#N/A N/A</v>
        <stp/>
        <stp>BDH|10680732304835651242</stp>
        <tr r="D21" s="2"/>
      </tp>
      <tp t="s">
        <v>#N/A N/A</v>
        <stp/>
        <stp>BDH|12325975656678027617</stp>
        <tr r="AF33" s="2"/>
      </tp>
      <tp t="s">
        <v>#N/A N/A</v>
        <stp/>
        <stp>BDH|13798651544444542512</stp>
        <tr r="L24" s="2"/>
      </tp>
      <tp t="s">
        <v>#N/A N/A</v>
        <stp/>
        <stp>BDH|12023028970253508657</stp>
        <tr r="H12" s="2"/>
      </tp>
      <tp t="s">
        <v>#N/A N/A</v>
        <stp/>
        <stp>BDH|15487516111939532838</stp>
        <tr r="AA22" s="2"/>
      </tp>
      <tp t="s">
        <v>#N/A N/A</v>
        <stp/>
        <stp>BDH|10447453340747553764</stp>
        <tr r="K62" s="2"/>
      </tp>
      <tp t="s">
        <v>#N/A N/A</v>
        <stp/>
        <stp>BDH|17346659989479879023</stp>
        <tr r="Y90" s="2"/>
      </tp>
      <tp t="s">
        <v>#N/A N/A</v>
        <stp/>
        <stp>BDH|15330300284546703857</stp>
        <tr r="D41" s="2"/>
      </tp>
      <tp t="s">
        <v>#N/A N/A</v>
        <stp/>
        <stp>BDH|13224744076886008559</stp>
        <tr r="V8" s="2"/>
      </tp>
      <tp t="s">
        <v>#N/A N/A</v>
        <stp/>
        <stp>BDH|11084344535094111558</stp>
        <tr r="W28" s="2"/>
      </tp>
      <tp t="s">
        <v>#N/A N/A</v>
        <stp/>
        <stp>BDH|12314029421091765131</stp>
        <tr r="O14" s="2"/>
      </tp>
      <tp t="s">
        <v>#N/A N/A</v>
        <stp/>
        <stp>BDH|10370026265935502357</stp>
        <tr r="Q66" s="2"/>
      </tp>
      <tp t="s">
        <v>#N/A N/A</v>
        <stp/>
        <stp>BDH|12345444253166473548</stp>
        <tr r="AE41" s="2"/>
      </tp>
      <tp t="s">
        <v>#N/A N/A</v>
        <stp/>
        <stp>BDH|16323456847795692337</stp>
        <tr r="E69" s="2"/>
      </tp>
      <tp t="s">
        <v>#N/A N/A</v>
        <stp/>
        <stp>BDH|15871791235453623265</stp>
        <tr r="M71" s="2"/>
      </tp>
      <tp t="s">
        <v>#N/A N/A</v>
        <stp/>
        <stp>BDH|12681005832169705844</stp>
        <tr r="O9" s="2"/>
      </tp>
      <tp t="s">
        <v>#N/A N/A</v>
        <stp/>
        <stp>BDH|11591721742040051225</stp>
        <tr r="O64" s="2"/>
      </tp>
      <tp t="s">
        <v>#N/A N/A</v>
        <stp/>
        <stp>BDH|12572139905562728137</stp>
        <tr r="S63" s="2"/>
      </tp>
      <tp t="s">
        <v>#N/A N/A</v>
        <stp/>
        <stp>BDH|13226849285351349271</stp>
        <tr r="X40" s="2"/>
      </tp>
      <tp t="s">
        <v>#N/A N/A</v>
        <stp/>
        <stp>BDH|16904399760933422032</stp>
        <tr r="K16" s="2"/>
      </tp>
      <tp t="s">
        <v>#N/A N/A</v>
        <stp/>
        <stp>BDH|17768096326721615489</stp>
        <tr r="W84" s="2"/>
      </tp>
      <tp t="s">
        <v>#N/A N/A</v>
        <stp/>
        <stp>BDH|18090553812955224933</stp>
        <tr r="W34" s="2"/>
      </tp>
      <tp t="s">
        <v>#N/A N/A</v>
        <stp/>
        <stp>BDH|13308620235191561775</stp>
        <tr r="X70" s="2"/>
      </tp>
      <tp t="s">
        <v>#N/A N/A</v>
        <stp/>
        <stp>BDH|12666741613942171669</stp>
        <tr r="F33" s="2"/>
      </tp>
      <tp t="s">
        <v>#N/A N/A</v>
        <stp/>
        <stp>BDH|12641083569433060715</stp>
        <tr r="R48" s="2"/>
      </tp>
      <tp t="s">
        <v>#N/A N/A</v>
        <stp/>
        <stp>BDH|15389465907249328882</stp>
        <tr r="L42" s="2"/>
      </tp>
      <tp t="s">
        <v>#N/A N/A</v>
        <stp/>
        <stp>BDH|13962041182523104872</stp>
        <tr r="Z34" s="2"/>
      </tp>
      <tp t="s">
        <v>#N/A N/A</v>
        <stp/>
        <stp>BDH|10859330578406214286</stp>
        <tr r="C55" s="2"/>
      </tp>
      <tp t="s">
        <v>#N/A N/A</v>
        <stp/>
        <stp>BDH|15941411953791273501</stp>
        <tr r="T19" s="2"/>
      </tp>
      <tp t="s">
        <v>#N/A N/A</v>
        <stp/>
        <stp>BDH|15788502265361201789</stp>
        <tr r="AC55" s="2"/>
      </tp>
      <tp t="s">
        <v>#N/A N/A</v>
        <stp/>
        <stp>BDH|13004526101426073088</stp>
        <tr r="M85" s="2"/>
      </tp>
      <tp t="s">
        <v>#N/A N/A</v>
        <stp/>
        <stp>BDH|12537394239237920571</stp>
        <tr r="R8" s="2"/>
      </tp>
      <tp t="s">
        <v>#N/A N/A</v>
        <stp/>
        <stp>BDH|17125820557288868270</stp>
        <tr r="K71" s="2"/>
      </tp>
      <tp t="s">
        <v>#N/A N/A</v>
        <stp/>
        <stp>BDH|15264603618866515457</stp>
        <tr r="E58" s="2"/>
      </tp>
      <tp t="s">
        <v>#N/A N/A</v>
        <stp/>
        <stp>BDH|18290687308386109893</stp>
        <tr r="AE15" s="2"/>
      </tp>
      <tp t="s">
        <v>#N/A N/A</v>
        <stp/>
        <stp>BDH|15953216417423069552</stp>
        <tr r="S20" s="2"/>
      </tp>
      <tp t="s">
        <v>#N/A N/A</v>
        <stp/>
        <stp>BDH|12453352836953886154</stp>
        <tr r="X89" s="2"/>
      </tp>
      <tp t="s">
        <v>#N/A N/A</v>
        <stp/>
        <stp>BDH|12603743107341666494</stp>
        <tr r="C50" s="2"/>
      </tp>
      <tp t="s">
        <v>#N/A N/A</v>
        <stp/>
        <stp>BDH|18215099600620451859</stp>
        <tr r="U35" s="2"/>
      </tp>
      <tp t="s">
        <v>#N/A N/A</v>
        <stp/>
        <stp>BDH|14202455369203608526</stp>
        <tr r="C72" s="2"/>
      </tp>
      <tp t="s">
        <v>#N/A N/A</v>
        <stp/>
        <stp>BDH|17150056188179412624</stp>
        <tr r="J88" s="2"/>
      </tp>
      <tp t="s">
        <v>#N/A N/A</v>
        <stp/>
        <stp>BDH|18002460601825865925</stp>
        <tr r="AB18" s="2"/>
      </tp>
      <tp t="s">
        <v>#N/A N/A</v>
        <stp/>
        <stp>BDH|15947794344217159181</stp>
        <tr r="AA9" s="2"/>
      </tp>
      <tp t="s">
        <v>#N/A N/A</v>
        <stp/>
        <stp>BDH|15036720105550237280</stp>
        <tr r="AF77" s="2"/>
      </tp>
      <tp t="s">
        <v>#N/A N/A</v>
        <stp/>
        <stp>BDH|12650588462835276436</stp>
        <tr r="G68" s="2"/>
      </tp>
      <tp t="s">
        <v>#N/A N/A</v>
        <stp/>
        <stp>BDH|16476125748932548176</stp>
        <tr r="X87" s="2"/>
      </tp>
      <tp t="s">
        <v>#N/A N/A</v>
        <stp/>
        <stp>BDH|16380323747237935632</stp>
        <tr r="O22" s="2"/>
      </tp>
      <tp t="s">
        <v>#N/A N/A</v>
        <stp/>
        <stp>BDH|15035094664452271139</stp>
        <tr r="I58" s="2"/>
      </tp>
      <tp t="s">
        <v>#N/A N/A</v>
        <stp/>
        <stp>BDH|12563573987489819611</stp>
        <tr r="Q12" s="2"/>
      </tp>
      <tp t="s">
        <v>#N/A N/A</v>
        <stp/>
        <stp>BDH|13863800234440079803</stp>
        <tr r="AE90" s="2"/>
      </tp>
      <tp t="s">
        <v>#N/A N/A</v>
        <stp/>
        <stp>BDH|12686673000992904646</stp>
        <tr r="N85" s="2"/>
      </tp>
      <tp t="s">
        <v>#N/A N/A</v>
        <stp/>
        <stp>BDH|10857108016885390520</stp>
        <tr r="AC51" s="2"/>
      </tp>
      <tp t="s">
        <v>#N/A N/A</v>
        <stp/>
        <stp>BDH|17690786975143557402</stp>
        <tr r="O27" s="2"/>
      </tp>
      <tp t="s">
        <v>#N/A N/A</v>
        <stp/>
        <stp>BDH|17910209205700656543</stp>
        <tr r="AD75" s="2"/>
      </tp>
      <tp t="s">
        <v>#N/A N/A</v>
        <stp/>
        <stp>BDH|15364918679322322960</stp>
        <tr r="S75" s="2"/>
      </tp>
      <tp t="s">
        <v>#N/A N/A</v>
        <stp/>
        <stp>BDH|17543668862011819670</stp>
        <tr r="AD92" s="2"/>
      </tp>
      <tp t="s">
        <v>#N/A N/A</v>
        <stp/>
        <stp>BDH|16542398031862275410</stp>
        <tr r="Z13" s="2"/>
      </tp>
      <tp t="s">
        <v>#N/A N/A</v>
        <stp/>
        <stp>BDH|11782947157299902439</stp>
        <tr r="AF22" s="2"/>
      </tp>
      <tp t="s">
        <v>#N/A N/A</v>
        <stp/>
        <stp>BDH|12048434800773765458</stp>
        <tr r="H23" s="2"/>
      </tp>
      <tp t="s">
        <v>#N/A N/A</v>
        <stp/>
        <stp>BDH|11010598520693850407</stp>
        <tr r="Z46" s="2"/>
      </tp>
      <tp t="s">
        <v>#N/A N/A</v>
        <stp/>
        <stp>BDH|15645743206403105040</stp>
        <tr r="V20" s="2"/>
      </tp>
      <tp t="s">
        <v>#N/A N/A</v>
        <stp/>
        <stp>BDH|17807081933596432361</stp>
        <tr r="Z40" s="2"/>
      </tp>
      <tp t="s">
        <v>#N/A N/A</v>
        <stp/>
        <stp>BDH|17101850912876209942</stp>
        <tr r="G57" s="2"/>
      </tp>
      <tp t="s">
        <v>#N/A N/A</v>
        <stp/>
        <stp>BDH|14084406555567302362</stp>
        <tr r="O48" s="2"/>
      </tp>
      <tp t="s">
        <v>#N/A N/A</v>
        <stp/>
        <stp>BDH|15099003773330754344</stp>
        <tr r="I10" s="2"/>
      </tp>
      <tp t="s">
        <v>#N/A N/A</v>
        <stp/>
        <stp>BDH|11005217782999543367</stp>
        <tr r="M38" s="2"/>
      </tp>
      <tp t="s">
        <v>#N/A N/A</v>
        <stp/>
        <stp>BDH|16474060331182571660</stp>
        <tr r="Y81" s="2"/>
      </tp>
      <tp t="s">
        <v>#N/A N/A</v>
        <stp/>
        <stp>BDH|16043445215896884491</stp>
        <tr r="W83" s="2"/>
      </tp>
      <tp t="s">
        <v>#N/A N/A</v>
        <stp/>
        <stp>BDH|11357562007504235104</stp>
        <tr r="AA27" s="2"/>
      </tp>
      <tp t="s">
        <v>#N/A N/A</v>
        <stp/>
        <stp>BDH|10394922513310469956</stp>
        <tr r="Q15" s="2"/>
      </tp>
      <tp t="s">
        <v>#N/A N/A</v>
        <stp/>
        <stp>BDH|14097612541830247718</stp>
        <tr r="M66" s="2"/>
      </tp>
      <tp t="s">
        <v>#N/A N/A</v>
        <stp/>
        <stp>BDH|15305061603435733128</stp>
        <tr r="I29" s="2"/>
      </tp>
      <tp t="s">
        <v>#N/A N/A</v>
        <stp/>
        <stp>BDH|11411782464830237194</stp>
        <tr r="X59" s="2"/>
      </tp>
      <tp t="s">
        <v>#N/A N/A</v>
        <stp/>
        <stp>BDH|15833764228669471816</stp>
        <tr r="L14" s="2"/>
      </tp>
      <tp t="s">
        <v>#N/A N/A</v>
        <stp/>
        <stp>BDH|13333680699249337427</stp>
        <tr r="AC7" s="2"/>
      </tp>
      <tp t="s">
        <v>#N/A N/A</v>
        <stp/>
        <stp>BDH|17671514935356762662</stp>
        <tr r="X48" s="2"/>
      </tp>
      <tp t="s">
        <v>#N/A N/A</v>
        <stp/>
        <stp>BDH|10615725816592153500</stp>
        <tr r="R86" s="2"/>
      </tp>
      <tp t="s">
        <v>#N/A N/A</v>
        <stp/>
        <stp>BDH|17334171043160411306</stp>
        <tr r="P73" s="2"/>
      </tp>
      <tp t="s">
        <v>#N/A N/A</v>
        <stp/>
        <stp>BDH|15468676210913807093</stp>
        <tr r="U38" s="2"/>
      </tp>
      <tp t="s">
        <v>#N/A N/A</v>
        <stp/>
        <stp>BDH|16802575142632783482</stp>
        <tr r="D60" s="2"/>
      </tp>
      <tp t="s">
        <v>#N/A N/A</v>
        <stp/>
        <stp>BDH|13437898869759413525</stp>
        <tr r="U71" s="2"/>
      </tp>
      <tp t="s">
        <v>#N/A N/A</v>
        <stp/>
        <stp>BDH|12452080857873136581</stp>
        <tr r="AB14" s="2"/>
      </tp>
      <tp t="s">
        <v>#N/A N/A</v>
        <stp/>
        <stp>BDH|10081447465132235112</stp>
        <tr r="AF32" s="2"/>
      </tp>
      <tp t="s">
        <v>#N/A N/A</v>
        <stp/>
        <stp>BDH|16062301320075086323</stp>
        <tr r="AC42" s="2"/>
      </tp>
      <tp t="s">
        <v>#N/A N/A</v>
        <stp/>
        <stp>BDH|13455414025855091122</stp>
        <tr r="D35" s="2"/>
      </tp>
      <tp t="s">
        <v>#N/A N/A</v>
        <stp/>
        <stp>BDH|13585726470114186647</stp>
        <tr r="X71" s="2"/>
      </tp>
      <tp t="s">
        <v>#N/A N/A</v>
        <stp/>
        <stp>BDH|16028339346319592925</stp>
        <tr r="S13" s="2"/>
      </tp>
      <tp t="s">
        <v>#N/A N/A</v>
        <stp/>
        <stp>BDH|17836009811611854640</stp>
        <tr r="Q69" s="2"/>
      </tp>
      <tp t="s">
        <v>#N/A N/A</v>
        <stp/>
        <stp>BDH|15676162821515148258</stp>
        <tr r="I71" s="2"/>
      </tp>
      <tp t="s">
        <v>#N/A N/A</v>
        <stp/>
        <stp>BDH|10589431720534199327</stp>
        <tr r="P43" s="2"/>
      </tp>
      <tp t="s">
        <v>#N/A N/A</v>
        <stp/>
        <stp>BDH|13173708656870137032</stp>
        <tr r="W51" s="2"/>
      </tp>
      <tp t="s">
        <v>#N/A N/A</v>
        <stp/>
        <stp>BDH|15660213187836144853</stp>
        <tr r="N92" s="2"/>
      </tp>
      <tp t="s">
        <v>#N/A N/A</v>
        <stp/>
        <stp>BDH|11946489745249937996</stp>
        <tr r="AE46" s="2"/>
      </tp>
      <tp t="s">
        <v>#N/A N/A</v>
        <stp/>
        <stp>BDH|11285645335462613716</stp>
        <tr r="C76" s="2"/>
      </tp>
      <tp t="s">
        <v>#N/A N/A</v>
        <stp/>
        <stp>BDH|14688556502393782328</stp>
        <tr r="J26" s="2"/>
      </tp>
      <tp t="s">
        <v>#N/A N/A</v>
        <stp/>
        <stp>BDH|10065148754561446402</stp>
        <tr r="M28" s="2"/>
      </tp>
      <tp t="s">
        <v>#N/A N/A</v>
        <stp/>
        <stp>BDH|11686718790707568963</stp>
        <tr r="Y28" s="2"/>
      </tp>
      <tp t="s">
        <v>#N/A N/A</v>
        <stp/>
        <stp>BDH|12954842822569211097</stp>
        <tr r="H21" s="2"/>
      </tp>
      <tp t="s">
        <v>#N/A N/A</v>
        <stp/>
        <stp>BDH|13515460933380344541</stp>
        <tr r="U53" s="2"/>
      </tp>
      <tp t="s">
        <v>#N/A N/A</v>
        <stp/>
        <stp>BDH|13390705361445459606</stp>
        <tr r="AE34" s="2"/>
      </tp>
      <tp t="s">
        <v>#N/A N/A</v>
        <stp/>
        <stp>BDH|16188055772631700173</stp>
        <tr r="AB38" s="2"/>
      </tp>
      <tp t="s">
        <v>#N/A N/A</v>
        <stp/>
        <stp>BDH|17440955082575055253</stp>
        <tr r="N88" s="2"/>
      </tp>
      <tp t="s">
        <v>#N/A N/A</v>
        <stp/>
        <stp>BDH|11618210890083102807</stp>
        <tr r="E20" s="2"/>
      </tp>
      <tp t="s">
        <v>#N/A N/A</v>
        <stp/>
        <stp>BDH|17425348250734873410</stp>
        <tr r="Z61" s="2"/>
      </tp>
      <tp t="s">
        <v>#N/A N/A</v>
        <stp/>
        <stp>BDH|14149297019477998114</stp>
        <tr r="G85" s="2"/>
      </tp>
      <tp t="s">
        <v>#N/A N/A</v>
        <stp/>
        <stp>BDH|17979825825009636518</stp>
        <tr r="D44" s="2"/>
      </tp>
      <tp t="s">
        <v>#N/A N/A</v>
        <stp/>
        <stp>BDH|14899178872796298567</stp>
        <tr r="V52" s="2"/>
      </tp>
      <tp t="s">
        <v>#N/A N/A</v>
        <stp/>
        <stp>BDH|11250895661126251817</stp>
        <tr r="D68" s="2"/>
      </tp>
      <tp t="s">
        <v>#N/A N/A</v>
        <stp/>
        <stp>BDH|10656721121496500292</stp>
        <tr r="S45" s="2"/>
      </tp>
      <tp t="s">
        <v>#N/A N/A</v>
        <stp/>
        <stp>BDH|10052356654464130396</stp>
        <tr r="R18" s="2"/>
      </tp>
      <tp t="s">
        <v>#N/A N/A</v>
        <stp/>
        <stp>BDH|16269587265442170675</stp>
        <tr r="AB61" s="2"/>
      </tp>
      <tp t="s">
        <v>#N/A N/A</v>
        <stp/>
        <stp>BDH|10274178023842998077</stp>
        <tr r="F41" s="2"/>
      </tp>
      <tp t="s">
        <v>#N/A N/A</v>
        <stp/>
        <stp>BDH|11395386374520366442</stp>
        <tr r="AE48" s="2"/>
      </tp>
      <tp t="s">
        <v>#N/A N/A</v>
        <stp/>
        <stp>BDH|17860749463407417039</stp>
        <tr r="X86" s="2"/>
      </tp>
      <tp t="s">
        <v>#N/A N/A</v>
        <stp/>
        <stp>BDH|13960442831896740339</stp>
        <tr r="AC24" s="2"/>
      </tp>
      <tp t="s">
        <v>#N/A N/A</v>
        <stp/>
        <stp>BDH|18315773398643242466</stp>
        <tr r="AF64" s="2"/>
      </tp>
      <tp t="s">
        <v>#N/A N/A</v>
        <stp/>
        <stp>BDH|12386230178020020637</stp>
        <tr r="R16" s="2"/>
      </tp>
      <tp t="s">
        <v>#N/A N/A</v>
        <stp/>
        <stp>BDH|10418425613431945578</stp>
        <tr r="Y61" s="2"/>
      </tp>
      <tp t="s">
        <v>#N/A N/A</v>
        <stp/>
        <stp>BDH|15687255570641049094</stp>
        <tr r="K46" s="2"/>
      </tp>
      <tp t="s">
        <v>#N/A N/A</v>
        <stp/>
        <stp>BDH|17235349721691903647</stp>
        <tr r="D74" s="2"/>
      </tp>
      <tp t="s">
        <v>#N/A N/A</v>
        <stp/>
        <stp>BDH|15820831789860032487</stp>
        <tr r="Y75" s="2"/>
      </tp>
      <tp t="s">
        <v>#N/A N/A</v>
        <stp/>
        <stp>BDH|16831984535595882877</stp>
        <tr r="R59" s="2"/>
      </tp>
      <tp t="s">
        <v>#N/A N/A</v>
        <stp/>
        <stp>BDH|13398571009392580523</stp>
        <tr r="E11" s="2"/>
      </tp>
      <tp t="s">
        <v>#N/A N/A</v>
        <stp/>
        <stp>BDH|17294451146580924657</stp>
        <tr r="N45" s="2"/>
      </tp>
      <tp t="s">
        <v>#N/A N/A</v>
        <stp/>
        <stp>BDH|16122075069758474969</stp>
        <tr r="W41" s="2"/>
      </tp>
      <tp t="s">
        <v>#N/A N/A</v>
        <stp/>
        <stp>BDH|12797412945142756192</stp>
        <tr r="L27" s="2"/>
      </tp>
      <tp t="s">
        <v>#N/A N/A</v>
        <stp/>
        <stp>BDH|11015897063128762603</stp>
        <tr r="P72" s="2"/>
      </tp>
      <tp t="s">
        <v>#N/A N/A</v>
        <stp/>
        <stp>BDH|14131502647700966427</stp>
        <tr r="G8" s="2"/>
      </tp>
      <tp t="s">
        <v>#N/A N/A</v>
        <stp/>
        <stp>BDH|18286359453006033996</stp>
        <tr r="D88" s="2"/>
      </tp>
      <tp t="s">
        <v>#N/A N/A</v>
        <stp/>
        <stp>BDH|10348628729032540710</stp>
        <tr r="S59" s="2"/>
      </tp>
      <tp t="s">
        <v>#N/A N/A</v>
        <stp/>
        <stp>BDH|12021351029017096505</stp>
        <tr r="AE73" s="2"/>
      </tp>
      <tp t="s">
        <v>#N/A N/A</v>
        <stp/>
        <stp>BDH|10882902034613807882</stp>
        <tr r="N13" s="2"/>
      </tp>
      <tp t="s">
        <v>#N/A N/A</v>
        <stp/>
        <stp>BDH|15514884191804057108</stp>
        <tr r="S15" s="2"/>
      </tp>
      <tp t="s">
        <v>#N/A N/A</v>
        <stp/>
        <stp>BDH|11543591761057702463</stp>
        <tr r="K31" s="2"/>
      </tp>
      <tp t="s">
        <v>#N/A N/A</v>
        <stp/>
        <stp>BDH|11778649008773784533</stp>
        <tr r="AB69" s="2"/>
      </tp>
      <tp t="s">
        <v>#N/A N/A</v>
        <stp/>
        <stp>BDH|11075218239717134669</stp>
        <tr r="O88" s="2"/>
      </tp>
      <tp t="s">
        <v>#N/A N/A</v>
        <stp/>
        <stp>BDH|13867944082964039719</stp>
        <tr r="M76" s="2"/>
      </tp>
      <tp t="s">
        <v>#N/A N/A</v>
        <stp/>
        <stp>BDH|14305163302434066098</stp>
        <tr r="AC91" s="2"/>
      </tp>
      <tp t="s">
        <v>#N/A N/A</v>
        <stp/>
        <stp>BDH|15616127272761171398</stp>
        <tr r="I42" s="2"/>
      </tp>
      <tp t="s">
        <v>#N/A N/A</v>
        <stp/>
        <stp>BDH|13711139071853376783</stp>
        <tr r="AA29" s="2"/>
      </tp>
      <tp t="s">
        <v>#N/A N/A</v>
        <stp/>
        <stp>BDH|12608613913993703022</stp>
        <tr r="F58" s="2"/>
      </tp>
      <tp t="s">
        <v>#N/A N/A</v>
        <stp/>
        <stp>BDH|12441056456351468027</stp>
        <tr r="AD83" s="2"/>
      </tp>
      <tp t="s">
        <v>#N/A N/A</v>
        <stp/>
        <stp>BDH|11339048050885352752</stp>
        <tr r="Y24" s="2"/>
      </tp>
      <tp t="s">
        <v>#N/A N/A</v>
        <stp/>
        <stp>BDH|11861614388708821197</stp>
        <tr r="O10" s="2"/>
      </tp>
      <tp t="s">
        <v>#N/A N/A</v>
        <stp/>
        <stp>BDH|12338260773506453724</stp>
        <tr r="AE42" s="2"/>
      </tp>
      <tp t="s">
        <v>#N/A N/A</v>
        <stp/>
        <stp>BDH|11321454158786415099</stp>
        <tr r="P77" s="2"/>
      </tp>
      <tp t="s">
        <v>#N/A N/A</v>
        <stp/>
        <stp>BDH|14205878762084340870</stp>
        <tr r="G16" s="2"/>
      </tp>
      <tp t="s">
        <v>#N/A N/A</v>
        <stp/>
        <stp>BDH|12538405593939391067</stp>
        <tr r="V90" s="2"/>
      </tp>
      <tp t="s">
        <v>#N/A N/A</v>
        <stp/>
        <stp>BDH|16950290901567552572</stp>
        <tr r="V83" s="2"/>
      </tp>
      <tp t="s">
        <v>#N/A N/A</v>
        <stp/>
        <stp>BDH|13009863694996706270</stp>
        <tr r="J67" s="2"/>
      </tp>
      <tp t="s">
        <v>#N/A N/A</v>
        <stp/>
        <stp>BDH|13130910683055129108</stp>
        <tr r="T11" s="2"/>
      </tp>
      <tp t="s">
        <v>#N/A N/A</v>
        <stp/>
        <stp>BDH|13333051036946640040</stp>
        <tr r="AF58" s="2"/>
      </tp>
      <tp t="s">
        <v>#N/A N/A</v>
        <stp/>
        <stp>BDH|13492761147480539622</stp>
        <tr r="K12" s="2"/>
      </tp>
      <tp t="s">
        <v>#N/A N/A</v>
        <stp/>
        <stp>BDH|10961679276481277680</stp>
        <tr r="AA46" s="2"/>
      </tp>
      <tp t="s">
        <v>#N/A N/A</v>
        <stp/>
        <stp>BDH|14207344324317856485</stp>
        <tr r="O67" s="2"/>
      </tp>
      <tp t="s">
        <v>#N/A N/A</v>
        <stp/>
        <stp>BDH|14566160911173359137</stp>
        <tr r="M69" s="2"/>
      </tp>
      <tp t="s">
        <v>#N/A N/A</v>
        <stp/>
        <stp>BDH|17565913220413025966</stp>
        <tr r="Z72" s="2"/>
      </tp>
      <tp t="s">
        <v>#N/A N/A</v>
        <stp/>
        <stp>BDH|17727089067072537582</stp>
        <tr r="K14" s="2"/>
      </tp>
      <tp t="s">
        <v>#N/A N/A</v>
        <stp/>
        <stp>BDH|11223964096461305648</stp>
        <tr r="AA33" s="2"/>
      </tp>
      <tp t="s">
        <v>#N/A N/A</v>
        <stp/>
        <stp>BDH|14669664600146538209</stp>
        <tr r="F32" s="2"/>
      </tp>
      <tp t="s">
        <v>#N/A N/A</v>
        <stp/>
        <stp>BDH|16048871343579831590</stp>
        <tr r="AB7" s="2"/>
      </tp>
      <tp t="s">
        <v>#N/A N/A</v>
        <stp/>
        <stp>BDH|12136812741859301178</stp>
        <tr r="P38" s="2"/>
      </tp>
      <tp t="s">
        <v>#N/A N/A</v>
        <stp/>
        <stp>BDH|10190095754923062093</stp>
        <tr r="E67" s="2"/>
      </tp>
      <tp t="s">
        <v>#N/A N/A</v>
        <stp/>
        <stp>BDH|12442425074073337444</stp>
        <tr r="I26" s="2"/>
      </tp>
      <tp t="s">
        <v>#N/A N/A</v>
        <stp/>
        <stp>BDH|11285087923071430489</stp>
        <tr r="E44" s="2"/>
      </tp>
      <tp t="s">
        <v>#N/A N/A</v>
        <stp/>
        <stp>BDH|15325920732890591937</stp>
        <tr r="H71" s="2"/>
      </tp>
      <tp t="s">
        <v>#N/A N/A</v>
        <stp/>
        <stp>BDH|17580329628787856735</stp>
        <tr r="H54" s="2"/>
      </tp>
      <tp t="s">
        <v>#N/A N/A</v>
        <stp/>
        <stp>BDH|17123537731530031776</stp>
        <tr r="Z7" s="2"/>
      </tp>
      <tp t="s">
        <v>#N/A N/A</v>
        <stp/>
        <stp>BDH|13981053658929462979</stp>
        <tr r="AB63" s="2"/>
      </tp>
      <tp t="s">
        <v>#N/A N/A</v>
        <stp/>
        <stp>BDH|12050520311100416009</stp>
        <tr r="W57" s="2"/>
      </tp>
      <tp t="s">
        <v>#N/A N/A</v>
        <stp/>
        <stp>BDH|10707117721491416441</stp>
        <tr r="I34" s="2"/>
      </tp>
      <tp t="s">
        <v>#N/A N/A</v>
        <stp/>
        <stp>BDH|15279760574670348342</stp>
        <tr r="U66" s="2"/>
      </tp>
      <tp t="s">
        <v>#N/A N/A</v>
        <stp/>
        <stp>BDH|17127435928692403595</stp>
        <tr r="O28" s="2"/>
      </tp>
      <tp t="s">
        <v>#N/A N/A</v>
        <stp/>
        <stp>BDH|11603011489897831801</stp>
        <tr r="W73" s="2"/>
      </tp>
      <tp t="s">
        <v>#N/A N/A</v>
        <stp/>
        <stp>BDH|17444831146959028475</stp>
        <tr r="U55" s="2"/>
      </tp>
      <tp t="s">
        <v>#N/A N/A</v>
        <stp/>
        <stp>BDH|12363503620575294673</stp>
        <tr r="J47" s="2"/>
      </tp>
      <tp t="s">
        <v>#N/A N/A</v>
        <stp/>
        <stp>BDH|12529931833047493973</stp>
        <tr r="AA43" s="2"/>
      </tp>
      <tp t="s">
        <v>#N/A N/A</v>
        <stp/>
        <stp>BDH|13046153194209200458</stp>
        <tr r="H49" s="2"/>
      </tp>
      <tp t="s">
        <v>#N/A N/A</v>
        <stp/>
        <stp>BDH|13015420490051555917</stp>
        <tr r="I89" s="2"/>
      </tp>
      <tp t="s">
        <v>#N/A N/A</v>
        <stp/>
        <stp>BDH|12523215937293229675</stp>
        <tr r="U24" s="2"/>
      </tp>
      <tp t="s">
        <v>#N/A N/A</v>
        <stp/>
        <stp>BDH|11114361416571274455</stp>
        <tr r="W91" s="2"/>
      </tp>
      <tp t="s">
        <v>#N/A N/A</v>
        <stp/>
        <stp>BDH|17452674829365540093</stp>
        <tr r="I38" s="2"/>
      </tp>
      <tp t="s">
        <v>#N/A N/A</v>
        <stp/>
        <stp>BDH|14223892081337926554</stp>
        <tr r="I9" s="2"/>
      </tp>
      <tp t="s">
        <v>#N/A N/A</v>
        <stp/>
        <stp>BDH|13460326138917656214</stp>
        <tr r="P45" s="2"/>
      </tp>
      <tp t="s">
        <v>#N/A N/A</v>
        <stp/>
        <stp>BDH|16810507408866163386</stp>
        <tr r="F31" s="2"/>
      </tp>
      <tp t="s">
        <v>#N/A N/A</v>
        <stp/>
        <stp>BDH|15768289761603693410</stp>
        <tr r="AD88" s="2"/>
      </tp>
      <tp t="s">
        <v>#N/A N/A</v>
        <stp/>
        <stp>BDH|11837411735432302266</stp>
        <tr r="AF18" s="2"/>
      </tp>
      <tp t="s">
        <v>#N/A N/A</v>
        <stp/>
        <stp>BDH|10216778289521391863</stp>
        <tr r="AE51" s="2"/>
      </tp>
      <tp t="s">
        <v>#N/A N/A</v>
        <stp/>
        <stp>BDH|12873401768297178194</stp>
        <tr r="AA8" s="2"/>
      </tp>
      <tp t="s">
        <v>#N/A N/A</v>
        <stp/>
        <stp>BDH|13683489574263161530</stp>
        <tr r="AE13" s="2"/>
      </tp>
      <tp t="s">
        <v>#N/A N/A</v>
        <stp/>
        <stp>BDH|15827802794477559529</stp>
        <tr r="N51" s="2"/>
      </tp>
      <tp t="s">
        <v>#N/A N/A</v>
        <stp/>
        <stp>BDH|12138245141472857075</stp>
        <tr r="AE69" s="2"/>
      </tp>
      <tp t="s">
        <v>#N/A N/A</v>
        <stp/>
        <stp>BDH|10922541647376140101</stp>
        <tr r="AF63" s="2"/>
      </tp>
      <tp t="s">
        <v>#N/A N/A</v>
        <stp/>
        <stp>BDH|13116602555222986472</stp>
        <tr r="F46" s="2"/>
      </tp>
      <tp t="s">
        <v>#N/A N/A</v>
        <stp/>
        <stp>BDH|15626372699838226100</stp>
        <tr r="P25" s="2"/>
      </tp>
      <tp t="s">
        <v>#N/A N/A</v>
        <stp/>
        <stp>BDH|15309629692148921402</stp>
        <tr r="S85" s="2"/>
      </tp>
      <tp t="s">
        <v>#N/A N/A</v>
        <stp/>
        <stp>BDH|14785648898464582943</stp>
        <tr r="AB40" s="2"/>
      </tp>
      <tp t="s">
        <v>#N/A N/A</v>
        <stp/>
        <stp>BDH|10142765952515762181</stp>
        <tr r="Y42" s="2"/>
      </tp>
      <tp t="s">
        <v>#N/A N/A</v>
        <stp/>
        <stp>BDH|13335792984143751930</stp>
        <tr r="S8" s="2"/>
      </tp>
      <tp t="s">
        <v>#N/A N/A</v>
        <stp/>
        <stp>BDH|16213167379016486045</stp>
        <tr r="N27" s="2"/>
      </tp>
      <tp t="s">
        <v>#N/A N/A</v>
        <stp/>
        <stp>BDH|16422795520635457048</stp>
        <tr r="X34" s="2"/>
      </tp>
      <tp t="s">
        <v>#N/A N/A</v>
        <stp/>
        <stp>BDH|15933944223631280915</stp>
        <tr r="AC54" s="2"/>
      </tp>
      <tp t="s">
        <v>#N/A N/A</v>
        <stp/>
        <stp>BDH|16800207655374164314</stp>
        <tr r="U91" s="2"/>
      </tp>
      <tp t="s">
        <v>#N/A N/A</v>
        <stp/>
        <stp>BDH|17069034704224240580</stp>
        <tr r="L43" s="2"/>
      </tp>
      <tp t="s">
        <v>#N/A N/A</v>
        <stp/>
        <stp>BDH|13684885525296771906</stp>
        <tr r="U43" s="2"/>
      </tp>
      <tp t="s">
        <v>#N/A N/A</v>
        <stp/>
        <stp>BDH|16693711470029837937</stp>
        <tr r="J18" s="2"/>
      </tp>
      <tp t="s">
        <v>#N/A N/A</v>
        <stp/>
        <stp>BDH|15796878581482406192</stp>
        <tr r="M13" s="2"/>
      </tp>
      <tp t="s">
        <v>#N/A N/A</v>
        <stp/>
        <stp>BDH|14868027310874454717</stp>
        <tr r="AD24" s="2"/>
      </tp>
      <tp t="s">
        <v>#N/A N/A</v>
        <stp/>
        <stp>BDH|15187394629543753195</stp>
        <tr r="L16" s="2"/>
      </tp>
      <tp t="s">
        <v>#N/A N/A</v>
        <stp/>
        <stp>BDH|11815244947978036942</stp>
        <tr r="V34" s="2"/>
      </tp>
      <tp t="s">
        <v>#N/A N/A</v>
        <stp/>
        <stp>BDH|10416539428133159203</stp>
        <tr r="W63" s="2"/>
      </tp>
      <tp t="s">
        <v>#N/A N/A</v>
        <stp/>
        <stp>BDH|16874119040687238256</stp>
        <tr r="AF13" s="2"/>
      </tp>
      <tp t="s">
        <v>#N/A N/A</v>
        <stp/>
        <stp>BDH|17358746166205846574</stp>
        <tr r="F34" s="2"/>
      </tp>
      <tp t="s">
        <v>#N/A N/A</v>
        <stp/>
        <stp>BDH|16378245011830842309</stp>
        <tr r="AF56" s="2"/>
      </tp>
      <tp t="s">
        <v>#N/A N/A</v>
        <stp/>
        <stp>BDH|10837111676144373421</stp>
        <tr r="C60" s="2"/>
      </tp>
      <tp t="s">
        <v>#N/A N/A</v>
        <stp/>
        <stp>BDH|17800808928112530843</stp>
        <tr r="AE33" s="2"/>
      </tp>
      <tp t="s">
        <v>#N/A N/A</v>
        <stp/>
        <stp>BDH|18394010703196062901</stp>
        <tr r="P66" s="2"/>
      </tp>
      <tp t="s">
        <v>#N/A N/A</v>
        <stp/>
        <stp>BDH|12326543518235808460</stp>
        <tr r="Z39" s="2"/>
      </tp>
      <tp t="s">
        <v>#N/A N/A</v>
        <stp/>
        <stp>BDH|16713237152960557628</stp>
        <tr r="M35" s="2"/>
      </tp>
      <tp t="s">
        <v>#N/A N/A</v>
        <stp/>
        <stp>BDH|17521717437691573574</stp>
        <tr r="F11" s="2"/>
      </tp>
      <tp t="s">
        <v>#N/A N/A</v>
        <stp/>
        <stp>BDH|17510260134368023967</stp>
        <tr r="R46" s="2"/>
      </tp>
      <tp t="s">
        <v>#N/A N/A</v>
        <stp/>
        <stp>BDH|16551778148136931434</stp>
        <tr r="Y26" s="2"/>
      </tp>
      <tp t="s">
        <v>#N/A N/A</v>
        <stp/>
        <stp>BDH|11638620307096653659</stp>
        <tr r="Y10" s="2"/>
      </tp>
      <tp t="s">
        <v>#N/A N/A</v>
        <stp/>
        <stp>BDH|11488029027275505144</stp>
        <tr r="M83" s="2"/>
      </tp>
      <tp t="s">
        <v>#N/A N/A</v>
        <stp/>
        <stp>BDH|17448203492378601303</stp>
        <tr r="R30" s="2"/>
      </tp>
      <tp t="s">
        <v>#N/A N/A</v>
        <stp/>
        <stp>BDH|17599629042853473126</stp>
        <tr r="J53" s="2"/>
      </tp>
      <tp t="s">
        <v>#N/A N/A</v>
        <stp/>
        <stp>BDH|15297357245582906784</stp>
        <tr r="AD10" s="2"/>
      </tp>
      <tp t="s">
        <v>#N/A N/A</v>
        <stp/>
        <stp>BDH|17389312210611697376</stp>
        <tr r="H7" s="2"/>
      </tp>
      <tp t="s">
        <v>#N/A N/A</v>
        <stp/>
        <stp>BDH|10972791483878592048</stp>
        <tr r="AF28" s="2"/>
      </tp>
      <tp t="s">
        <v>#N/A N/A</v>
        <stp/>
        <stp>BDH|17120001635900147379</stp>
        <tr r="Z20" s="2"/>
      </tp>
      <tp t="s">
        <v>#N/A N/A</v>
        <stp/>
        <stp>BDH|17676276242483172504</stp>
        <tr r="V40" s="2"/>
      </tp>
      <tp t="s">
        <v>#N/A N/A</v>
        <stp/>
        <stp>BDH|15175671121642033456</stp>
        <tr r="N12" s="2"/>
      </tp>
      <tp t="s">
        <v>#N/A N/A</v>
        <stp/>
        <stp>BDH|15428227048225567195</stp>
        <tr r="D20" s="2"/>
      </tp>
      <tp t="s">
        <v>#N/A N/A</v>
        <stp/>
        <stp>BDH|15790713117037554310</stp>
        <tr r="G34" s="2"/>
      </tp>
      <tp t="s">
        <v>#N/A N/A</v>
        <stp/>
        <stp>BDH|10300409737111860192</stp>
        <tr r="X38" s="2"/>
      </tp>
      <tp t="s">
        <v>#N/A N/A</v>
        <stp/>
        <stp>BDH|11789327606995425027</stp>
        <tr r="R10" s="2"/>
      </tp>
      <tp t="s">
        <v>#N/A N/A</v>
        <stp/>
        <stp>BDH|14809957359527192809</stp>
        <tr r="Q61" s="2"/>
      </tp>
      <tp t="s">
        <v>#N/A N/A</v>
        <stp/>
        <stp>BDH|14438173767883912793</stp>
        <tr r="V48" s="2"/>
      </tp>
      <tp t="s">
        <v>#N/A N/A</v>
        <stp/>
        <stp>BDH|14315521002522430431</stp>
        <tr r="N30" s="2"/>
      </tp>
      <tp t="s">
        <v>#N/A N/A</v>
        <stp/>
        <stp>BDH|14547429374362723236</stp>
        <tr r="O68" s="2"/>
      </tp>
      <tp t="s">
        <v>#N/A N/A</v>
        <stp/>
        <stp>BDH|13773529941042112721</stp>
        <tr r="M15" s="2"/>
      </tp>
      <tp t="s">
        <v>#N/A N/A</v>
        <stp/>
        <stp>BDH|15813986109899798295</stp>
        <tr r="E84" s="2"/>
      </tp>
      <tp t="s">
        <v>#N/A N/A</v>
        <stp/>
        <stp>BDH|18334806007736708140</stp>
        <tr r="AD11" s="2"/>
      </tp>
      <tp t="s">
        <v>#N/A N/A</v>
        <stp/>
        <stp>BDH|12867557729226270413</stp>
        <tr r="Z14" s="2"/>
      </tp>
      <tp t="s">
        <v>#N/A N/A</v>
        <stp/>
        <stp>BDH|17525181715733629390</stp>
        <tr r="W18" s="2"/>
      </tp>
      <tp t="s">
        <v>#N/A N/A</v>
        <stp/>
        <stp>BDH|15982391047093194615</stp>
        <tr r="AA35" s="2"/>
      </tp>
      <tp t="s">
        <v>#N/A N/A</v>
        <stp/>
        <stp>BDH|13757049070274252770</stp>
        <tr r="M84" s="2"/>
      </tp>
      <tp t="s">
        <v>#N/A N/A</v>
        <stp/>
        <stp>BDH|11418291042975011591</stp>
        <tr r="R40" s="2"/>
      </tp>
      <tp t="s">
        <v>#N/A N/A</v>
        <stp/>
        <stp>BDH|17183145277816359079</stp>
        <tr r="U52" s="2"/>
      </tp>
      <tp t="s">
        <v>#N/A N/A</v>
        <stp/>
        <stp>BDH|18134485032218512088</stp>
        <tr r="C33" s="2"/>
      </tp>
      <tp t="s">
        <v>#N/A N/A</v>
        <stp/>
        <stp>BDH|17770738313906052010</stp>
        <tr r="U76" s="2"/>
      </tp>
      <tp t="s">
        <v>#N/A N/A</v>
        <stp/>
        <stp>BDH|13992319507105177286</stp>
        <tr r="S53" s="2"/>
      </tp>
      <tp t="s">
        <v>#N/A N/A</v>
        <stp/>
        <stp>BDH|16376205961121626426</stp>
        <tr r="AE30" s="2"/>
      </tp>
      <tp t="s">
        <v>#N/A N/A</v>
        <stp/>
        <stp>BDH|13572613532806212728</stp>
        <tr r="S12" s="2"/>
      </tp>
      <tp t="s">
        <v>#N/A N/A</v>
        <stp/>
        <stp>BDH|17998718664585788425</stp>
        <tr r="M60" s="2"/>
      </tp>
      <tp t="s">
        <v>#N/A N/A</v>
        <stp/>
        <stp>BDH|14716057568701694450</stp>
        <tr r="AB66" s="2"/>
      </tp>
      <tp t="s">
        <v>#N/A N/A</v>
        <stp/>
        <stp>BDH|11481234315133351687</stp>
        <tr r="X19" s="2"/>
      </tp>
      <tp t="s">
        <v>#N/A N/A</v>
        <stp/>
        <stp>BDH|14449495930353708733</stp>
        <tr r="R90" s="2"/>
      </tp>
      <tp t="s">
        <v>#N/A N/A</v>
        <stp/>
        <stp>BDH|18016881945267731434</stp>
        <tr r="X77" s="2"/>
      </tp>
      <tp t="s">
        <v>#N/A N/A</v>
        <stp/>
        <stp>BDH|15958886468879904585</stp>
        <tr r="AF74" s="2"/>
      </tp>
      <tp t="s">
        <v>#N/A N/A</v>
        <stp/>
        <stp>BDH|16262992784367464732</stp>
        <tr r="J28" s="2"/>
      </tp>
      <tp t="s">
        <v>#N/A N/A</v>
        <stp/>
        <stp>BDH|11096134833980973416</stp>
        <tr r="K88" s="2"/>
      </tp>
      <tp t="s">
        <v>#N/A N/A</v>
        <stp/>
        <stp>BDH|14689120158047040074</stp>
        <tr r="U54" s="2"/>
      </tp>
      <tp t="s">
        <v>#N/A N/A</v>
        <stp/>
        <stp>BDH|16020016488878315110</stp>
        <tr r="D7" s="2"/>
      </tp>
      <tp t="s">
        <v>#N/A N/A</v>
        <stp/>
        <stp>BDH|13154325405066859156</stp>
        <tr r="M7" s="2"/>
      </tp>
      <tp t="s">
        <v>#N/A N/A</v>
        <stp/>
        <stp>BDH|10066689362325759269</stp>
        <tr r="Q47" s="2"/>
      </tp>
      <tp t="s">
        <v>#N/A N/A</v>
        <stp/>
        <stp>BDH|12596139749096006640</stp>
        <tr r="W49" s="2"/>
      </tp>
      <tp t="s">
        <v>#N/A N/A</v>
        <stp/>
        <stp>BDH|13001690842250903688</stp>
        <tr r="R44" s="2"/>
      </tp>
      <tp t="s">
        <v>#N/A N/A</v>
        <stp/>
        <stp>BDH|14156846175178302498</stp>
        <tr r="D71" s="2"/>
      </tp>
      <tp t="s">
        <v>#N/A N/A</v>
        <stp/>
        <stp>BDH|14892169933867799608</stp>
        <tr r="R43" s="2"/>
      </tp>
      <tp t="s">
        <v>#N/A N/A</v>
        <stp/>
        <stp>BDH|15020138607822721198</stp>
        <tr r="P24" s="2"/>
      </tp>
      <tp t="s">
        <v>#N/A N/A</v>
        <stp/>
        <stp>BDH|15673432943292443083</stp>
        <tr r="K92" s="2"/>
      </tp>
      <tp t="s">
        <v>#N/A N/A</v>
        <stp/>
        <stp>BDH|13313182924660067756</stp>
        <tr r="S73" s="2"/>
      </tp>
      <tp t="s">
        <v>#N/A N/A</v>
        <stp/>
        <stp>BDH|14351093165196345319</stp>
        <tr r="N68" s="2"/>
      </tp>
      <tp t="s">
        <v>#N/A N/A</v>
        <stp/>
        <stp>BDH|10847647045290652529</stp>
        <tr r="U57" s="2"/>
      </tp>
      <tp t="s">
        <v>#N/A N/A</v>
        <stp/>
        <stp>BDH|11850105445805134616</stp>
        <tr r="S9" s="2"/>
      </tp>
      <tp t="s">
        <v>#N/A N/A</v>
        <stp/>
        <stp>BDH|18174223481480940565</stp>
        <tr r="W25" s="2"/>
      </tp>
      <tp t="s">
        <v>#N/A N/A</v>
        <stp/>
        <stp>BDH|11146171876218478895</stp>
        <tr r="H16" s="2"/>
      </tp>
      <tp t="s">
        <v>#N/A N/A</v>
        <stp/>
        <stp>BDH|15110089215811719272</stp>
        <tr r="AA67" s="2"/>
      </tp>
      <tp t="s">
        <v>#N/A N/A</v>
        <stp/>
        <stp>BDH|16495172144133226798</stp>
        <tr r="Q67" s="2"/>
      </tp>
      <tp t="s">
        <v>#N/A N/A</v>
        <stp/>
        <stp>BDH|15556841506953803938</stp>
        <tr r="N33" s="2"/>
      </tp>
      <tp t="s">
        <v>#N/A N/A</v>
        <stp/>
        <stp>BDH|14446354531221787280</stp>
        <tr r="V7" s="2"/>
      </tp>
      <tp t="s">
        <v>#N/A N/A</v>
        <stp/>
        <stp>BDH|14335745123456387084</stp>
        <tr r="V13" s="2"/>
      </tp>
      <tp t="s">
        <v>#N/A N/A</v>
        <stp/>
        <stp>BDH|11803428154986267127</stp>
        <tr r="W50" s="2"/>
      </tp>
      <tp t="s">
        <v>#N/A N/A</v>
        <stp/>
        <stp>BDH|14219560560424780726</stp>
        <tr r="C16" s="2"/>
      </tp>
      <tp t="s">
        <v>#N/A N/A</v>
        <stp/>
        <stp>BDH|12665459177482274777</stp>
        <tr r="T82" s="2"/>
      </tp>
      <tp t="s">
        <v>#N/A N/A</v>
        <stp/>
        <stp>BDH|12665058426641551516</stp>
        <tr r="AA83" s="2"/>
      </tp>
      <tp t="s">
        <v>#N/A N/A</v>
        <stp/>
        <stp>BDH|16787040271313128620</stp>
        <tr r="T71" s="2"/>
      </tp>
      <tp t="s">
        <v>#N/A N/A</v>
        <stp/>
        <stp>BDH|12993821210356818922</stp>
        <tr r="AF65" s="2"/>
      </tp>
      <tp t="s">
        <v>#N/A N/A</v>
        <stp/>
        <stp>BDH|10092251644984027603</stp>
        <tr r="S51" s="2"/>
      </tp>
      <tp t="s">
        <v>#N/A N/A</v>
        <stp/>
        <stp>BDH|17267441576384202431</stp>
        <tr r="E10" s="2"/>
      </tp>
      <tp t="s">
        <v>#N/A N/A</v>
        <stp/>
        <stp>BDH|13197013737682753602</stp>
        <tr r="AB68" s="2"/>
      </tp>
      <tp t="s">
        <v>#N/A N/A</v>
        <stp/>
        <stp>BDH|12958638737246405595</stp>
        <tr r="N81" s="2"/>
      </tp>
      <tp t="s">
        <v>#N/A N/A</v>
        <stp/>
        <stp>BDH|16075557676359990994</stp>
        <tr r="AE66" s="2"/>
      </tp>
      <tp t="s">
        <v>#N/A N/A</v>
        <stp/>
        <stp>BDH|17467328900605147553</stp>
        <tr r="F74" s="2"/>
      </tp>
      <tp t="s">
        <v>#N/A N/A</v>
        <stp/>
        <stp>BDH|16498924195182843097</stp>
        <tr r="Y64" s="2"/>
      </tp>
      <tp t="s">
        <v>#N/A N/A</v>
        <stp/>
        <stp>BDH|12612666503629444959</stp>
        <tr r="I48" s="2"/>
      </tp>
      <tp t="s">
        <v>#N/A N/A</v>
        <stp/>
        <stp>BDH|17721178273092315728</stp>
        <tr r="AC41" s="2"/>
      </tp>
      <tp t="s">
        <v>#N/A N/A</v>
        <stp/>
        <stp>BDH|16850126979577477351</stp>
        <tr r="AA59" s="2"/>
      </tp>
      <tp t="s">
        <v>#N/A N/A</v>
        <stp/>
        <stp>BDH|11529513750425646001</stp>
        <tr r="S87" s="2"/>
      </tp>
      <tp t="s">
        <v>#N/A N/A</v>
        <stp/>
        <stp>BDH|16509803381566250445</stp>
        <tr r="C34" s="2"/>
      </tp>
      <tp t="s">
        <v>#N/A N/A</v>
        <stp/>
        <stp>BDH|16882433565626509698</stp>
        <tr r="O49" s="2"/>
      </tp>
      <tp t="s">
        <v>#N/A N/A</v>
        <stp/>
        <stp>BDH|14399247513484585737</stp>
        <tr r="K44" s="2"/>
      </tp>
      <tp t="s">
        <v>#N/A N/A</v>
        <stp/>
        <stp>BDH|15671379214477383446</stp>
        <tr r="S81" s="2"/>
      </tp>
      <tp t="s">
        <v>#N/A N/A</v>
        <stp/>
        <stp>BDH|12317836114509376651</stp>
        <tr r="O82" s="2"/>
      </tp>
      <tp t="s">
        <v>#N/A N/A</v>
        <stp/>
        <stp>BDH|14471468562231249372</stp>
        <tr r="S25" s="2"/>
      </tp>
      <tp t="s">
        <v>#N/A N/A</v>
        <stp/>
        <stp>BDH|13083031716197816187</stp>
        <tr r="T75" s="2"/>
      </tp>
      <tp t="s">
        <v>#N/A N/A</v>
        <stp/>
        <stp>BDH|18208829373310150372</stp>
        <tr r="V65" s="2"/>
      </tp>
      <tp t="s">
        <v>#N/A N/A</v>
        <stp/>
        <stp>BDH|12423490715005881645</stp>
        <tr r="AF70" s="2"/>
      </tp>
      <tp t="s">
        <v>#N/A N/A</v>
        <stp/>
        <stp>BDH|12563678117069322820</stp>
        <tr r="Q83" s="2"/>
      </tp>
      <tp t="s">
        <v>#N/A N/A</v>
        <stp/>
        <stp>BDH|17643639281879471444</stp>
        <tr r="AB16" s="2"/>
      </tp>
      <tp t="s">
        <v>#N/A N/A</v>
        <stp/>
        <stp>BDH|18371973322001544676</stp>
        <tr r="L59" s="2"/>
      </tp>
      <tp t="s">
        <v>#N/A N/A</v>
        <stp/>
        <stp>BDH|14224772031211805584</stp>
        <tr r="AD65" s="2"/>
      </tp>
      <tp t="s">
        <v>#N/A N/A</v>
        <stp/>
        <stp>BDH|16541602849337104790</stp>
        <tr r="AD61" s="2"/>
      </tp>
      <tp t="s">
        <v>#N/A N/A</v>
        <stp/>
        <stp>BDH|17409741545481159138</stp>
        <tr r="D65" s="2"/>
      </tp>
      <tp t="s">
        <v>#N/A N/A</v>
        <stp/>
        <stp>BDH|12075066371189588856</stp>
        <tr r="G31" s="2"/>
      </tp>
      <tp t="s">
        <v>#N/A N/A</v>
        <stp/>
        <stp>BDH|16781517969039032880</stp>
        <tr r="G75" s="2"/>
      </tp>
      <tp t="s">
        <v>#N/A N/A</v>
        <stp/>
        <stp>BDH|10393298718271135641</stp>
        <tr r="R50" s="2"/>
      </tp>
      <tp t="s">
        <v>#N/A N/A</v>
        <stp/>
        <stp>BDH|15758462366813390036</stp>
        <tr r="M68" s="2"/>
      </tp>
      <tp t="s">
        <v>#N/A N/A</v>
        <stp/>
        <stp>BDH|14151714474791719142</stp>
        <tr r="J35" s="2"/>
      </tp>
      <tp t="s">
        <v>#N/A N/A</v>
        <stp/>
        <stp>BDH|12262473232662526355</stp>
        <tr r="AB92" s="2"/>
      </tp>
      <tp t="s">
        <v>#N/A N/A</v>
        <stp/>
        <stp>BDH|11313514142045692103</stp>
        <tr r="J52" s="2"/>
      </tp>
      <tp t="s">
        <v>#N/A N/A</v>
        <stp/>
        <stp>BDH|14699611597527148876</stp>
        <tr r="X88" s="2"/>
      </tp>
      <tp t="s">
        <v>#N/A N/A</v>
        <stp/>
        <stp>BDH|16400551868384937562</stp>
        <tr r="X58" s="2"/>
      </tp>
      <tp t="s">
        <v>#N/A N/A</v>
        <stp/>
        <stp>BDH|12983728580899598085</stp>
        <tr r="AE83" s="2"/>
      </tp>
      <tp t="s">
        <v>#N/A N/A</v>
        <stp/>
        <stp>BDH|16027550229441455419</stp>
        <tr r="K29" s="2"/>
      </tp>
      <tp t="s">
        <v>#N/A N/A</v>
        <stp/>
        <stp>BDH|13538010526663806630</stp>
        <tr r="S92" s="2"/>
      </tp>
      <tp t="s">
        <v>#N/A N/A</v>
        <stp/>
        <stp>BDH|17394897919272804833</stp>
        <tr r="Z62" s="2"/>
      </tp>
      <tp t="s">
        <v>#N/A N/A</v>
        <stp/>
        <stp>BDH|17066712168972307023</stp>
        <tr r="J16" s="2"/>
      </tp>
      <tp t="s">
        <v>#N/A N/A</v>
        <stp/>
        <stp>BDH|11305629639918915893</stp>
        <tr r="AE50" s="2"/>
      </tp>
      <tp t="s">
        <v>#N/A N/A</v>
        <stp/>
        <stp>BDH|14201929892356980632</stp>
        <tr r="Y73" s="2"/>
      </tp>
      <tp t="s">
        <v>#N/A N/A</v>
        <stp/>
        <stp>BDH|15695319075845891025</stp>
        <tr r="D40" s="2"/>
      </tp>
      <tp t="s">
        <v>#N/A N/A</v>
        <stp/>
        <stp>BDH|13844102229691997535</stp>
        <tr r="Y33" s="2"/>
      </tp>
      <tp t="s">
        <v>#N/A N/A</v>
        <stp/>
        <stp>BDH|13974579449127989152</stp>
        <tr r="Q91" s="2"/>
      </tp>
      <tp t="s">
        <v>#N/A N/A</v>
        <stp/>
        <stp>BDH|14991457710867425230</stp>
        <tr r="G11" s="2"/>
      </tp>
      <tp t="s">
        <v>#N/A N/A</v>
        <stp/>
        <stp>BDH|10929202631733594675</stp>
        <tr r="Y60" s="2"/>
      </tp>
      <tp t="s">
        <v>#N/A N/A</v>
        <stp/>
        <stp>BDH|11832927472093138838</stp>
        <tr r="M62" s="2"/>
      </tp>
      <tp t="s">
        <v>#N/A N/A</v>
        <stp/>
        <stp>BDH|10034476519379362873</stp>
        <tr r="O43" s="2"/>
      </tp>
      <tp t="s">
        <v>#N/A N/A</v>
        <stp/>
        <stp>BDH|11045547765713234596</stp>
        <tr r="AA69" s="2"/>
      </tp>
      <tp t="s">
        <v>#N/A N/A</v>
        <stp/>
        <stp>BDH|17587166516986834573</stp>
        <tr r="G42" s="2"/>
      </tp>
      <tp t="s">
        <v>#N/A N/A</v>
        <stp/>
        <stp>BDH|10932337245975740652</stp>
        <tr r="AE75" s="2"/>
      </tp>
      <tp t="s">
        <v>#N/A N/A</v>
        <stp/>
        <stp>BDH|13065166188118191625</stp>
        <tr r="R66" s="2"/>
      </tp>
      <tp t="s">
        <v>#N/A N/A</v>
        <stp/>
        <stp>BDH|17770479449032346178</stp>
        <tr r="AC8" s="2"/>
      </tp>
      <tp t="s">
        <v>#N/A N/A</v>
        <stp/>
        <stp>BDH|17876540955303432006</stp>
        <tr r="O11" s="2"/>
      </tp>
      <tp t="s">
        <v>#N/A N/A</v>
        <stp/>
        <stp>BDH|15610299182989525257</stp>
        <tr r="V82" s="2"/>
      </tp>
      <tp t="s">
        <v>#N/A N/A</v>
        <stp/>
        <stp>BDH|13790553559003206450</stp>
        <tr r="X84" s="2"/>
      </tp>
      <tp t="s">
        <v>#N/A N/A</v>
        <stp/>
        <stp>BDH|12269871057889817263</stp>
        <tr r="Q85" s="2"/>
      </tp>
      <tp t="s">
        <v>#N/A N/A</v>
        <stp/>
        <stp>BDH|11857945617485219859</stp>
        <tr r="AC29" s="2"/>
      </tp>
      <tp t="s">
        <v>#N/A N/A</v>
        <stp/>
        <stp>BDH|14885504344280195116</stp>
        <tr r="I51" s="2"/>
      </tp>
      <tp t="s">
        <v>#N/A N/A</v>
        <stp/>
        <stp>BDH|17364925279525138851</stp>
        <tr r="C45" s="2"/>
      </tp>
      <tp t="s">
        <v>#N/A N/A</v>
        <stp/>
        <stp>BDH|14131772708404788360</stp>
        <tr r="D87" s="2"/>
      </tp>
      <tp t="s">
        <v>#N/A N/A</v>
        <stp/>
        <stp>BDH|13751184013973185421</stp>
        <tr r="M57" s="2"/>
      </tp>
      <tp t="s">
        <v>#N/A N/A</v>
        <stp/>
        <stp>BDH|13038603553333809743</stp>
        <tr r="J57" s="2"/>
      </tp>
      <tp t="s">
        <v>#N/A N/A</v>
        <stp/>
        <stp>BDH|13819778618958931904</stp>
        <tr r="U64" s="2"/>
      </tp>
      <tp t="s">
        <v>#N/A N/A</v>
        <stp/>
        <stp>BDH|10297638229565135571</stp>
        <tr r="M46" s="2"/>
      </tp>
      <tp t="s">
        <v>#N/A N/A</v>
        <stp/>
        <stp>BDH|12477348110190302526</stp>
        <tr r="AD7" s="2"/>
      </tp>
      <tp t="s">
        <v>#N/A N/A</v>
        <stp/>
        <stp>BDH|12702614605008364911</stp>
        <tr r="J86" s="2"/>
      </tp>
      <tp t="s">
        <v>#N/A N/A</v>
        <stp/>
        <stp>BDH|13749746900236132723</stp>
        <tr r="AF61" s="2"/>
      </tp>
      <tp t="s">
        <v>#N/A N/A</v>
        <stp/>
        <stp>BDH|10012711142984823283</stp>
        <tr r="F9" s="2"/>
      </tp>
      <tp t="s">
        <v>#N/A N/A</v>
        <stp/>
        <stp>BDH|13166373024732392525</stp>
        <tr r="AC77" s="2"/>
      </tp>
      <tp t="s">
        <v>#N/A N/A</v>
        <stp/>
        <stp>BDH|13809070038911572412</stp>
        <tr r="X72" s="2"/>
      </tp>
      <tp t="s">
        <v>#N/A N/A</v>
        <stp/>
        <stp>BDH|16910877660104568983</stp>
        <tr r="R62" s="2"/>
      </tp>
      <tp t="s">
        <v>#N/A N/A</v>
        <stp/>
        <stp>BDH|13829078406246233096</stp>
        <tr r="N69" s="2"/>
      </tp>
      <tp t="s">
        <v>#N/A N/A</v>
        <stp/>
        <stp>BDH|14106656928031944473</stp>
        <tr r="AB65" s="2"/>
      </tp>
      <tp t="s">
        <v>#N/A N/A</v>
        <stp/>
        <stp>BDH|12061642304227165637</stp>
        <tr r="M25" s="2"/>
      </tp>
      <tp t="s">
        <v>#N/A N/A</v>
        <stp/>
        <stp>BDH|14815701548462457064</stp>
        <tr r="AC82" s="2"/>
      </tp>
      <tp t="s">
        <v>#N/A N/A</v>
        <stp/>
        <stp>BDH|13824172664915630486</stp>
        <tr r="F75" s="2"/>
      </tp>
      <tp t="s">
        <v>#N/A N/A</v>
        <stp/>
        <stp>BDH|13168341926041421624</stp>
        <tr r="X35" s="2"/>
      </tp>
      <tp t="s">
        <v>#N/A N/A</v>
        <stp/>
        <stp>BDH|10740421663963663443</stp>
        <tr r="S24" s="2"/>
      </tp>
      <tp t="s">
        <v>#N/A N/A</v>
        <stp/>
        <stp>BDH|11179898578583528815</stp>
        <tr r="W82" s="2"/>
      </tp>
      <tp t="s">
        <v>#N/A N/A</v>
        <stp/>
        <stp>BDH|16494176282159659339</stp>
        <tr r="E30" s="2"/>
      </tp>
      <tp t="s">
        <v>#N/A N/A</v>
        <stp/>
        <stp>BDH|15988564621626946139</stp>
        <tr r="M77" s="2"/>
      </tp>
      <tp t="s">
        <v>#N/A N/A</v>
        <stp/>
        <stp>BDH|11130583798209504138</stp>
        <tr r="AA62" s="2"/>
      </tp>
      <tp t="s">
        <v>#N/A N/A</v>
        <stp/>
        <stp>BDH|16374512331991179453</stp>
        <tr r="AA44" s="2"/>
      </tp>
      <tp t="s">
        <v>#N/A N/A</v>
        <stp/>
        <stp>BDH|16652133905062015074</stp>
        <tr r="Q89" s="2"/>
      </tp>
      <tp t="s">
        <v>#N/A N/A</v>
        <stp/>
        <stp>BDH|16103632454389529940</stp>
        <tr r="H50" s="2"/>
      </tp>
      <tp t="s">
        <v>#N/A N/A</v>
        <stp/>
        <stp>BDH|10596528167457254156</stp>
        <tr r="U39" s="2"/>
      </tp>
      <tp t="s">
        <v>#N/A N/A</v>
        <stp/>
        <stp>BDH|12096804521784468929</stp>
        <tr r="AB49" s="2"/>
      </tp>
      <tp t="s">
        <v>#N/A N/A</v>
        <stp/>
        <stp>BDH|14780221978480276490</stp>
        <tr r="Z29" s="2"/>
      </tp>
      <tp t="s">
        <v>#N/A N/A</v>
        <stp/>
        <stp>BDH|10542715262530783473</stp>
        <tr r="Z48" s="2"/>
      </tp>
      <tp t="s">
        <v>#N/A N/A</v>
        <stp/>
        <stp>BDH|13485863477260575969</stp>
        <tr r="T48" s="2"/>
      </tp>
      <tp t="s">
        <v>#N/A N/A</v>
        <stp/>
        <stp>BDH|12339529252202275579</stp>
        <tr r="AF43" s="2"/>
      </tp>
      <tp t="s">
        <v>#N/A N/A</v>
        <stp/>
        <stp>BDH|15478525587808166568</stp>
        <tr r="K70" s="2"/>
      </tp>
      <tp t="s">
        <v>#N/A N/A</v>
        <stp/>
        <stp>BDH|11364437987881632982</stp>
        <tr r="W8" s="2"/>
      </tp>
      <tp t="s">
        <v>#N/A N/A</v>
        <stp/>
        <stp>BDH|12167894621975650863</stp>
        <tr r="H74" s="2"/>
      </tp>
      <tp t="s">
        <v>#N/A N/A</v>
        <stp/>
        <stp>BDH|11091360508825111262</stp>
        <tr r="E28" s="2"/>
      </tp>
      <tp t="s">
        <v>#N/A N/A</v>
        <stp/>
        <stp>BDH|14444116263796635090</stp>
        <tr r="AA50" s="2"/>
      </tp>
      <tp t="s">
        <v>#N/A N/A</v>
        <stp/>
        <stp>BDH|10163653960721558481</stp>
        <tr r="X60" s="2"/>
      </tp>
      <tp t="s">
        <v>#N/A N/A</v>
        <stp/>
        <stp>BDH|18005340719697151857</stp>
        <tr r="L22" s="2"/>
      </tp>
      <tp t="s">
        <v>#N/A N/A</v>
        <stp/>
        <stp>BDH|16928564029930903474</stp>
        <tr r="F8" s="2"/>
      </tp>
      <tp t="s">
        <v>#N/A N/A</v>
        <stp/>
        <stp>BDH|18245312080964255297</stp>
        <tr r="L7" s="2"/>
      </tp>
      <tp t="s">
        <v>#N/A N/A</v>
        <stp/>
        <stp>BDH|17446997200699712227</stp>
        <tr r="AA52" s="2"/>
      </tp>
      <tp t="s">
        <v>#N/A N/A</v>
        <stp/>
        <stp>BDH|18198271538908115471</stp>
        <tr r="D43" s="2"/>
      </tp>
      <tp t="s">
        <v>#N/A N/A</v>
        <stp/>
        <stp>BDH|16916034257383647536</stp>
        <tr r="F66" s="2"/>
      </tp>
      <tp t="s">
        <v>#N/A N/A</v>
        <stp/>
        <stp>BDH|14907258295843589975</stp>
        <tr r="O72" s="2"/>
      </tp>
      <tp t="s">
        <v>#N/A N/A</v>
        <stp/>
        <stp>BDH|18276947105242975618</stp>
        <tr r="Y71" s="2"/>
      </tp>
      <tp t="s">
        <v>#N/A N/A</v>
        <stp/>
        <stp>BDH|12794587786893474964</stp>
        <tr r="AA16" s="2"/>
      </tp>
      <tp t="s">
        <v>#N/A N/A</v>
        <stp/>
        <stp>BDH|13784771411686915624</stp>
        <tr r="Y13" s="2"/>
      </tp>
      <tp t="s">
        <v>#N/A N/A</v>
        <stp/>
        <stp>BDH|18336170097523144688</stp>
        <tr r="R14" s="2"/>
      </tp>
      <tp t="s">
        <v>#N/A N/A</v>
        <stp/>
        <stp>BDH|14541939986740938030</stp>
        <tr r="C77" s="2"/>
      </tp>
      <tp t="s">
        <v>#N/A N/A</v>
        <stp/>
        <stp>BDH|18384555694771146099</stp>
        <tr r="F47" s="2"/>
      </tp>
      <tp t="s">
        <v>#N/A N/A</v>
        <stp/>
        <stp>BDH|17990528200715119203</stp>
        <tr r="S62" s="2"/>
      </tp>
      <tp t="s">
        <v>#N/A N/A</v>
        <stp/>
        <stp>BDH|11184110234615013390</stp>
        <tr r="Q39" s="2"/>
      </tp>
      <tp t="s">
        <v>#N/A N/A</v>
        <stp/>
        <stp>BDH|14698687873209509959</stp>
        <tr r="O70" s="2"/>
      </tp>
      <tp t="s">
        <v>#N/A N/A</v>
        <stp/>
        <stp>BDH|15224146274082926463</stp>
        <tr r="P34" s="2"/>
      </tp>
      <tp t="s">
        <v>#N/A N/A</v>
        <stp/>
        <stp>BDH|11667798064063416635</stp>
        <tr r="T59" s="2"/>
      </tp>
      <tp t="s">
        <v>#N/A N/A</v>
        <stp/>
        <stp>BDH|17455243094241176891</stp>
        <tr r="S34" s="2"/>
      </tp>
      <tp t="s">
        <v>#N/A N/A</v>
        <stp/>
        <stp>BDH|17681685340603528378</stp>
        <tr r="I8" s="2"/>
      </tp>
      <tp t="s">
        <v>#N/A N/A</v>
        <stp/>
        <stp>BDH|11262386078290902049</stp>
        <tr r="P35" s="2"/>
      </tp>
      <tp t="s">
        <v>#N/A N/A</v>
        <stp/>
        <stp>BDH|13489589223316593750</stp>
        <tr r="F71" s="2"/>
      </tp>
      <tp t="s">
        <v>#N/A N/A</v>
        <stp/>
        <stp>BDH|12794493441115521251</stp>
        <tr r="W27" s="2"/>
      </tp>
      <tp t="s">
        <v>#N/A N/A</v>
        <stp/>
        <stp>BDH|12180672440484952106</stp>
        <tr r="H68" s="2"/>
      </tp>
      <tp t="s">
        <v>#N/A N/A</v>
        <stp/>
        <stp>BDH|14245478965906916565</stp>
        <tr r="V53" s="2"/>
      </tp>
      <tp t="s">
        <v>#N/A N/A</v>
        <stp/>
        <stp>BDH|15451374439661134144</stp>
        <tr r="AF35" s="2"/>
      </tp>
      <tp t="s">
        <v>#N/A N/A</v>
        <stp/>
        <stp>BDH|14284032979462289451</stp>
        <tr r="Q76" s="2"/>
      </tp>
      <tp t="s">
        <v>#N/A N/A</v>
        <stp/>
        <stp>BDH|17914612107221177513</stp>
        <tr r="W71" s="2"/>
      </tp>
      <tp t="s">
        <v>#N/A N/A</v>
        <stp/>
        <stp>BDH|14822905556695594852</stp>
        <tr r="J43" s="2"/>
      </tp>
      <tp t="s">
        <v>#N/A N/A</v>
        <stp/>
        <stp>BDH|17314189276064065032</stp>
        <tr r="H53" s="2"/>
      </tp>
      <tp t="s">
        <v>#N/A N/A</v>
        <stp/>
        <stp>BDH|10070354339705554073</stp>
        <tr r="AD74" s="2"/>
      </tp>
    </main>
    <main first="bofaddin.rtdserver">
      <tp t="s">
        <v>#N/A N/A</v>
        <stp/>
        <stp>BDH|5297148224789548</stp>
        <tr r="X50" s="2"/>
      </tp>
      <tp t="s">
        <v>#N/A N/A</v>
        <stp/>
        <stp>BDH|7339971202840353</stp>
        <tr r="G89" s="2"/>
      </tp>
      <tp t="s">
        <v>#N/A N/A</v>
        <stp/>
        <stp>BDH|3222911132694902124</stp>
        <tr r="N44" s="2"/>
      </tp>
      <tp t="s">
        <v>#N/A N/A</v>
        <stp/>
        <stp>BDH|3077533319622863980</stp>
        <tr r="R88" s="2"/>
      </tp>
      <tp t="s">
        <v>#N/A N/A</v>
        <stp/>
        <stp>BDH|7927844020702744301</stp>
        <tr r="R67" s="2"/>
      </tp>
      <tp t="s">
        <v>#N/A N/A</v>
        <stp/>
        <stp>BDH|6437400654463805821</stp>
        <tr r="O71" s="2"/>
      </tp>
      <tp t="s">
        <v>#N/A N/A</v>
        <stp/>
        <stp>BDH|4490187697323557340</stp>
        <tr r="E89" s="2"/>
      </tp>
      <tp t="s">
        <v>#N/A N/A</v>
        <stp/>
        <stp>BDH|8848799110364971624</stp>
        <tr r="K24" s="2"/>
      </tp>
      <tp t="s">
        <v>#N/A N/A</v>
        <stp/>
        <stp>BDH|4283756887210364794</stp>
        <tr r="U22" s="2"/>
      </tp>
      <tp t="s">
        <v>#N/A N/A</v>
        <stp/>
        <stp>BDH|3987409166209534410</stp>
        <tr r="W66" s="2"/>
      </tp>
      <tp t="s">
        <v>#N/A N/A</v>
        <stp/>
        <stp>BDH|7098310291840294198</stp>
        <tr r="AA49" s="2"/>
      </tp>
      <tp t="s">
        <v>#N/A N/A</v>
        <stp/>
        <stp>BDH|2076385181892406766</stp>
        <tr r="P69" s="2"/>
      </tp>
      <tp t="s">
        <v>#N/A N/A</v>
        <stp/>
        <stp>BDH|7716758301415044986</stp>
        <tr r="Z18" s="2"/>
      </tp>
      <tp t="s">
        <v>#N/A N/A</v>
        <stp/>
        <stp>BDH|4410218794467135488</stp>
        <tr r="P90" s="2"/>
      </tp>
      <tp t="s">
        <v>#N/A N/A</v>
        <stp/>
        <stp>BDH|7662464678310173810</stp>
        <tr r="V62" s="2"/>
      </tp>
      <tp t="s">
        <v>#N/A N/A</v>
        <stp/>
        <stp>BDH|3227999978222287397</stp>
        <tr r="AB88" s="2"/>
      </tp>
      <tp t="s">
        <v>#N/A N/A</v>
        <stp/>
        <stp>BDH|9360055542826930750</stp>
        <tr r="G58" s="2"/>
      </tp>
      <tp t="s">
        <v>#N/A N/A</v>
        <stp/>
        <stp>BDH|8834243240860305275</stp>
        <tr r="N49" s="2"/>
      </tp>
      <tp t="s">
        <v>#N/A N/A</v>
        <stp/>
        <stp>BDH|9291345517302012591</stp>
        <tr r="O66" s="2"/>
      </tp>
      <tp t="s">
        <v>#N/A N/A</v>
        <stp/>
        <stp>BDH|2063755489409423814</stp>
        <tr r="AB15" s="2"/>
      </tp>
      <tp t="s">
        <v>#N/A N/A</v>
        <stp/>
        <stp>BDH|9110490537636152472</stp>
        <tr r="C84" s="2"/>
      </tp>
      <tp t="s">
        <v>#N/A N/A</v>
        <stp/>
        <stp>BDH|4411788252242717802</stp>
        <tr r="L38" s="2"/>
      </tp>
      <tp t="s">
        <v>#N/A N/A</v>
        <stp/>
        <stp>BDH|8881097174507863441</stp>
        <tr r="J7" s="2"/>
      </tp>
      <tp t="s">
        <v>#N/A N/A</v>
        <stp/>
        <stp>BDH|3823799748509467538</stp>
        <tr r="Q54" s="2"/>
      </tp>
      <tp t="s">
        <v>#N/A N/A</v>
        <stp/>
        <stp>BDH|5725158915890169987</stp>
        <tr r="Z60" s="2"/>
      </tp>
      <tp t="s">
        <v>#N/A N/A</v>
        <stp/>
        <stp>BDH|2565094520388053427</stp>
        <tr r="X18" s="2"/>
      </tp>
      <tp t="s">
        <v>#N/A N/A</v>
        <stp/>
        <stp>BDH|2461999347931516215</stp>
        <tr r="S18" s="2"/>
      </tp>
      <tp t="s">
        <v>#N/A N/A</v>
        <stp/>
        <stp>BDH|8871014033945757233</stp>
        <tr r="K65" s="2"/>
      </tp>
      <tp t="s">
        <v>#N/A N/A</v>
        <stp/>
        <stp>BDH|6922531750313089947</stp>
        <tr r="AD33" s="2"/>
      </tp>
      <tp t="s">
        <v>#N/A N/A</v>
        <stp/>
        <stp>BDH|8908724090133469909</stp>
        <tr r="I49" s="2"/>
      </tp>
      <tp t="s">
        <v>#N/A N/A</v>
        <stp/>
        <stp>BDH|7092845624728952958</stp>
        <tr r="T73" s="2"/>
      </tp>
      <tp t="s">
        <v>#N/A N/A</v>
        <stp/>
        <stp>BDH|2672123934274855849</stp>
        <tr r="F10" s="2"/>
      </tp>
      <tp t="s">
        <v>#N/A N/A</v>
        <stp/>
        <stp>BDH|7880968623830673073</stp>
        <tr r="W48" s="2"/>
      </tp>
      <tp t="s">
        <v>#N/A N/A</v>
        <stp/>
        <stp>BDH|7147248819351337930</stp>
        <tr r="J64" s="2"/>
      </tp>
      <tp t="s">
        <v>#N/A N/A</v>
        <stp/>
        <stp>BDH|2879609054634935981</stp>
        <tr r="G47" s="2"/>
      </tp>
      <tp t="s">
        <v>#N/A N/A</v>
        <stp/>
        <stp>BDH|5277900376320489723</stp>
        <tr r="F55" s="2"/>
      </tp>
      <tp t="s">
        <v>#N/A N/A</v>
        <stp/>
        <stp>BDH|2612344274072360860</stp>
        <tr r="M29" s="2"/>
      </tp>
      <tp t="s">
        <v>#N/A N/A</v>
        <stp/>
        <stp>BDH|3460237599871460597</stp>
        <tr r="W61" s="2"/>
      </tp>
      <tp t="s">
        <v>#N/A N/A</v>
        <stp/>
        <stp>BDH|6572076957929012662</stp>
        <tr r="P50" s="2"/>
      </tp>
      <tp t="s">
        <v>#N/A N/A</v>
        <stp/>
        <stp>BDH|4184958215598075828</stp>
        <tr r="F18" s="2"/>
      </tp>
      <tp t="s">
        <v>#N/A N/A</v>
        <stp/>
        <stp>BDH|7346989876843828656</stp>
        <tr r="P14" s="2"/>
      </tp>
      <tp t="s">
        <v>#N/A N/A</v>
        <stp/>
        <stp>BDH|4835291374349710425</stp>
        <tr r="AA39" s="2"/>
      </tp>
      <tp t="s">
        <v>#N/A N/A</v>
        <stp/>
        <stp>BDH|3303675831208458214</stp>
        <tr r="Q16" s="2"/>
      </tp>
      <tp t="s">
        <v>#N/A N/A</v>
        <stp/>
        <stp>BDH|5612480718924291853</stp>
        <tr r="G48" s="2"/>
      </tp>
      <tp t="s">
        <v>#N/A N/A</v>
        <stp/>
        <stp>BDH|8419937565713170822</stp>
        <tr r="AB10" s="2"/>
      </tp>
      <tp t="s">
        <v>#N/A N/A</v>
        <stp/>
        <stp>BDH|4221725891764311236</stp>
        <tr r="C15" s="2"/>
      </tp>
      <tp t="s">
        <v>#N/A N/A</v>
        <stp/>
        <stp>BDH|5606441665112121901</stp>
        <tr r="Y46" s="2"/>
      </tp>
      <tp t="s">
        <v>#N/A N/A</v>
        <stp/>
        <stp>BDH|4685919250983262736</stp>
        <tr r="N32" s="2"/>
      </tp>
      <tp t="s">
        <v>#N/A N/A</v>
        <stp/>
        <stp>BDH|2110942664353585239</stp>
        <tr r="H26" s="2"/>
      </tp>
      <tp t="s">
        <v>#N/A N/A</v>
        <stp/>
        <stp>BDH|3766395789644600066</stp>
        <tr r="S29" s="2"/>
      </tp>
      <tp t="s">
        <v>#N/A N/A</v>
        <stp/>
        <stp>BDH|5737941954514658161</stp>
        <tr r="X46" s="2"/>
      </tp>
      <tp t="s">
        <v>#N/A N/A</v>
        <stp/>
        <stp>BDH|4017635757009317201</stp>
        <tr r="Q56" s="2"/>
      </tp>
      <tp t="s">
        <v>#N/A N/A</v>
        <stp/>
        <stp>BDH|8071738171013717726</stp>
        <tr r="G69" s="2"/>
      </tp>
      <tp t="s">
        <v>#N/A N/A</v>
        <stp/>
        <stp>BDH|3132359282070046414</stp>
        <tr r="V71" s="2"/>
      </tp>
      <tp t="s">
        <v>#N/A N/A</v>
        <stp/>
        <stp>BDH|9913467028910869383</stp>
        <tr r="V22" s="2"/>
      </tp>
      <tp t="s">
        <v>#N/A N/A</v>
        <stp/>
        <stp>BDH|5424929133437585478</stp>
        <tr r="R65" s="2"/>
      </tp>
      <tp t="s">
        <v>#N/A N/A</v>
        <stp/>
        <stp>BDH|8997398851942167046</stp>
        <tr r="W20" s="2"/>
      </tp>
      <tp t="s">
        <v>#N/A N/A</v>
        <stp/>
        <stp>BDH|5978798091963041441</stp>
        <tr r="I17" s="2"/>
      </tp>
      <tp t="s">
        <v>#N/A N/A</v>
        <stp/>
        <stp>BDH|4065680930119969446</stp>
        <tr r="X64" s="2"/>
      </tp>
      <tp t="s">
        <v>#N/A N/A</v>
        <stp/>
        <stp>BDH|7536846900350785335</stp>
        <tr r="AD54" s="2"/>
      </tp>
      <tp t="s">
        <v>#N/A N/A</v>
        <stp/>
        <stp>BDH|80224510190954215</stp>
        <tr r="AC47" s="2"/>
      </tp>
      <tp t="s">
        <v>#N/A N/A</v>
        <stp/>
        <stp>BDH|4860938755423625628</stp>
        <tr r="W21" s="2"/>
      </tp>
      <tp t="s">
        <v>#N/A N/A</v>
        <stp/>
        <stp>BDH|8704784316213628054</stp>
        <tr r="AE47" s="2"/>
      </tp>
      <tp t="s">
        <v>#N/A N/A</v>
        <stp/>
        <stp>BDH|1752851268104474640</stp>
        <tr r="M88" s="2"/>
      </tp>
      <tp t="s">
        <v>#N/A N/A</v>
        <stp/>
        <stp>BDH|8513041834207688190</stp>
        <tr r="S72" s="2"/>
      </tp>
      <tp t="s">
        <v>#N/A N/A</v>
        <stp/>
        <stp>BDH|2142749408691771901</stp>
        <tr r="L23" s="2"/>
      </tp>
      <tp t="s">
        <v>#N/A N/A</v>
        <stp/>
        <stp>BDH|4948354503009301373</stp>
        <tr r="D62" s="2"/>
      </tp>
      <tp t="s">
        <v>#N/A N/A</v>
        <stp/>
        <stp>BDH|1540796832301176945</stp>
        <tr r="C59" s="2"/>
      </tp>
      <tp t="s">
        <v>#N/A N/A</v>
        <stp/>
        <stp>BDH|4671986927422539072</stp>
        <tr r="AA18" s="2"/>
      </tp>
      <tp t="s">
        <v>#N/A N/A</v>
        <stp/>
        <stp>BDH|1321446792506698783</stp>
        <tr r="AE68" s="2"/>
      </tp>
      <tp t="s">
        <v>#N/A N/A</v>
        <stp/>
        <stp>BDH|1101994146977750625</stp>
        <tr r="AE62" s="2"/>
      </tp>
      <tp t="s">
        <v>#N/A N/A</v>
        <stp/>
        <stp>BDH|4353842903152808346</stp>
        <tr r="P62" s="2"/>
      </tp>
      <tp t="s">
        <v>#N/A N/A</v>
        <stp/>
        <stp>BDH|1587050681950127480</stp>
        <tr r="Z73" s="2"/>
      </tp>
      <tp t="s">
        <v>#N/A N/A</v>
        <stp/>
        <stp>BDH|2788130315028057790</stp>
        <tr r="AB77" s="2"/>
      </tp>
      <tp t="s">
        <v>#N/A N/A</v>
        <stp/>
        <stp>BDH|6079165178234684904</stp>
        <tr r="Z23" s="2"/>
      </tp>
      <tp t="s">
        <v>#N/A N/A</v>
        <stp/>
        <stp>BDH|9016492851146785376</stp>
        <tr r="F26" s="2"/>
      </tp>
      <tp t="s">
        <v>#N/A N/A</v>
        <stp/>
        <stp>BDH|3290822477950874166</stp>
        <tr r="Y85" s="2"/>
      </tp>
      <tp t="s">
        <v>#N/A N/A</v>
        <stp/>
        <stp>BDH|3026161401638803767</stp>
        <tr r="AC21" s="2"/>
      </tp>
      <tp t="s">
        <v>#N/A N/A</v>
        <stp/>
        <stp>BDH|7170577391664665288</stp>
        <tr r="AC58" s="2"/>
      </tp>
      <tp t="s">
        <v>#N/A N/A</v>
        <stp/>
        <stp>BDH|7890915451085249333</stp>
        <tr r="H52" s="2"/>
      </tp>
      <tp t="s">
        <v>#N/A N/A</v>
        <stp/>
        <stp>BDH|9138701496958911270</stp>
        <tr r="AE16" s="2"/>
      </tp>
      <tp t="s">
        <v>#N/A N/A</v>
        <stp/>
        <stp>BDH|3817988434507496398</stp>
        <tr r="V23" s="2"/>
      </tp>
      <tp t="s">
        <v>#N/A N/A</v>
        <stp/>
        <stp>BDH|8461421866416963109</stp>
        <tr r="AE72" s="2"/>
      </tp>
      <tp t="s">
        <v>#N/A N/A</v>
        <stp/>
        <stp>BDH|3368503725571869807</stp>
        <tr r="C83" s="2"/>
      </tp>
      <tp t="s">
        <v>#N/A N/A</v>
        <stp/>
        <stp>BDH|8080007275980820231</stp>
        <tr r="P33" s="2"/>
      </tp>
      <tp t="s">
        <v>#N/A N/A</v>
        <stp/>
        <stp>BDH|6514082507713072844</stp>
        <tr r="Q31" s="2"/>
      </tp>
      <tp t="s">
        <v>#N/A N/A</v>
        <stp/>
        <stp>BDH|8009208715847966121</stp>
        <tr r="C81" s="2"/>
      </tp>
      <tp t="s">
        <v>#N/A N/A</v>
        <stp/>
        <stp>BDH|4379831773740812658</stp>
        <tr r="J8" s="2"/>
      </tp>
      <tp t="s">
        <v>#N/A N/A</v>
        <stp/>
        <stp>BDH|8914711920018542838</stp>
        <tr r="X25" s="2"/>
      </tp>
      <tp t="s">
        <v>#N/A N/A</v>
        <stp/>
        <stp>BDH|7831976665283413614</stp>
        <tr r="D81" s="2"/>
      </tp>
      <tp t="s">
        <v>#N/A N/A</v>
        <stp/>
        <stp>BDH|7569672598290340568</stp>
        <tr r="E19" s="2"/>
      </tp>
      <tp t="s">
        <v>#N/A N/A</v>
        <stp/>
        <stp>BDH|8171434626681856208</stp>
        <tr r="C61" s="2"/>
      </tp>
      <tp t="s">
        <v>#N/A N/A</v>
        <stp/>
        <stp>BDH|6928630577252138808</stp>
        <tr r="N38" s="2"/>
      </tp>
      <tp t="s">
        <v>#N/A N/A</v>
        <stp/>
        <stp>BDH|8945371614470482724</stp>
        <tr r="V64" s="2"/>
      </tp>
      <tp t="s">
        <v>#N/A N/A</v>
        <stp/>
        <stp>BDH|7996321196392372221</stp>
        <tr r="Y21" s="2"/>
      </tp>
      <tp t="s">
        <v>#N/A N/A</v>
        <stp/>
        <stp>BDH|6852826416864605667</stp>
        <tr r="F28" s="2"/>
      </tp>
      <tp t="s">
        <v>#N/A N/A</v>
        <stp/>
        <stp>BDH|9398055766477430587</stp>
        <tr r="AF54" s="2"/>
      </tp>
      <tp t="s">
        <v>#N/A N/A</v>
        <stp/>
        <stp>BDH|3999436184435026739</stp>
        <tr r="I40" s="2"/>
      </tp>
      <tp t="s">
        <v>#N/A N/A</v>
        <stp/>
        <stp>BDH|5862945654431327566</stp>
        <tr r="P48" s="2"/>
      </tp>
      <tp t="s">
        <v>#N/A N/A</v>
        <stp/>
        <stp>BDH|9977871105039522530</stp>
        <tr r="E77" s="2"/>
      </tp>
      <tp t="s">
        <v>#N/A N/A</v>
        <stp/>
        <stp>BDH|2976209585854472156</stp>
        <tr r="AB33" s="2"/>
      </tp>
      <tp t="s">
        <v>#N/A N/A</v>
        <stp/>
        <stp>BDH|3087573446549906659</stp>
        <tr r="L28" s="2"/>
      </tp>
      <tp t="s">
        <v>#N/A N/A</v>
        <stp/>
        <stp>BDH|6837135736451360832</stp>
        <tr r="AA7" s="2"/>
      </tp>
      <tp t="s">
        <v>#N/A N/A</v>
        <stp/>
        <stp>BDH|2347728499019253871</stp>
        <tr r="M31" s="2"/>
      </tp>
      <tp t="s">
        <v>#N/A N/A</v>
        <stp/>
        <stp>BDH|7570877530361783086</stp>
        <tr r="H42" s="2"/>
      </tp>
      <tp t="s">
        <v>#N/A N/A</v>
        <stp/>
        <stp>BDH|2095985166050523062</stp>
        <tr r="S50" s="2"/>
      </tp>
      <tp t="s">
        <v>#N/A N/A</v>
        <stp/>
        <stp>BDH|4346658671251384967</stp>
        <tr r="T64" s="2"/>
      </tp>
      <tp t="s">
        <v>#N/A N/A</v>
        <stp/>
        <stp>BDH|6653218224503954887</stp>
        <tr r="R83" s="2"/>
      </tp>
      <tp t="s">
        <v>#N/A N/A</v>
        <stp/>
        <stp>BDH|6230779458469635090</stp>
        <tr r="AC60" s="2"/>
      </tp>
      <tp t="s">
        <v>#N/A N/A</v>
        <stp/>
        <stp>BDH|6914115159449381605</stp>
        <tr r="D66" s="2"/>
      </tp>
      <tp t="s">
        <v>#N/A N/A</v>
        <stp/>
        <stp>BDH|4012954207351354126</stp>
        <tr r="O20" s="2"/>
      </tp>
      <tp t="s">
        <v>#N/A N/A</v>
        <stp/>
        <stp>BDH|5506887700380867066</stp>
        <tr r="I24" s="2"/>
      </tp>
      <tp t="s">
        <v>#N/A N/A</v>
        <stp/>
        <stp>BDH|9481260162197758745</stp>
        <tr r="X22" s="2"/>
      </tp>
      <tp t="s">
        <v>#N/A N/A</v>
        <stp/>
        <stp>BDH|4287373744086379817</stp>
        <tr r="AF91" s="2"/>
      </tp>
      <tp t="s">
        <v>#N/A N/A</v>
        <stp/>
        <stp>BDH|1829918459408769878</stp>
        <tr r="T34" s="2"/>
      </tp>
      <tp t="s">
        <v>#N/A N/A</v>
        <stp/>
        <stp>BDH|2315965120402478617</stp>
        <tr r="I30" s="2"/>
      </tp>
      <tp t="s">
        <v>#N/A N/A</v>
        <stp/>
        <stp>BDH|5865396833740041826</stp>
        <tr r="L49" s="2"/>
      </tp>
      <tp t="s">
        <v>#N/A N/A</v>
        <stp/>
        <stp>BDH|5491934532970454215</stp>
        <tr r="P13" s="2"/>
      </tp>
      <tp t="s">
        <v>#N/A N/A</v>
        <stp/>
        <stp>BDH|1173801370263118003</stp>
        <tr r="AA60" s="2"/>
      </tp>
      <tp t="s">
        <v>#N/A N/A</v>
        <stp/>
        <stp>BDH|2279398963212966817</stp>
        <tr r="C89" s="2"/>
      </tp>
      <tp t="s">
        <v>#N/A N/A</v>
        <stp/>
        <stp>BDH|2575084454643982901</stp>
        <tr r="AD18" s="2"/>
      </tp>
      <tp t="s">
        <v>#N/A N/A</v>
        <stp/>
        <stp>BDH|4445218134169395128</stp>
        <tr r="X27" s="2"/>
      </tp>
      <tp t="s">
        <v>#N/A N/A</v>
        <stp/>
        <stp>BDH|3673265453760497972</stp>
        <tr r="N9" s="2"/>
      </tp>
      <tp t="s">
        <v>#N/A N/A</v>
        <stp/>
        <stp>BDH|3067619531628711376</stp>
        <tr r="P44" s="2"/>
      </tp>
      <tp t="s">
        <v>#N/A N/A</v>
        <stp/>
        <stp>BDH|5573343846917355859</stp>
        <tr r="AA54" s="2"/>
      </tp>
      <tp t="s">
        <v>#N/A N/A</v>
        <stp/>
        <stp>BDH|7168353386250317107</stp>
        <tr r="T46" s="2"/>
      </tp>
      <tp t="s">
        <v>#N/A N/A</v>
        <stp/>
        <stp>BDH|5420814423162238055</stp>
        <tr r="S88" s="2"/>
      </tp>
      <tp t="s">
        <v>#N/A N/A</v>
        <stp/>
        <stp>BDH|2753482828219611005</stp>
        <tr r="H47" s="2"/>
      </tp>
      <tp t="s">
        <v>#N/A N/A</v>
        <stp/>
        <stp>BDH|8930154507756225281</stp>
        <tr r="R45" s="2"/>
      </tp>
      <tp t="s">
        <v>#N/A N/A</v>
        <stp/>
        <stp>BDH|7266486688180536660</stp>
        <tr r="H10" s="2"/>
      </tp>
      <tp t="s">
        <v>#N/A N/A</v>
        <stp/>
        <stp>BDH|8258427435070234264</stp>
        <tr r="L52" s="2"/>
      </tp>
      <tp t="s">
        <v>#N/A N/A</v>
        <stp/>
        <stp>BDH|1804841156786804733</stp>
        <tr r="P87" s="2"/>
      </tp>
      <tp t="s">
        <v>#N/A N/A</v>
        <stp/>
        <stp>BDH|6267784671472860927</stp>
        <tr r="O16" s="2"/>
      </tp>
      <tp t="s">
        <v>#N/A N/A</v>
        <stp/>
        <stp>BDH|8277648273597449305</stp>
        <tr r="K82" s="2"/>
      </tp>
      <tp t="s">
        <v>#N/A N/A</v>
        <stp/>
        <stp>BDH|6574178991420499368</stp>
        <tr r="R34" s="2"/>
      </tp>
      <tp t="s">
        <v>#N/A N/A</v>
        <stp/>
        <stp>BDH|7253808584728502259</stp>
        <tr r="E17" s="2"/>
      </tp>
      <tp t="s">
        <v>#N/A N/A</v>
        <stp/>
        <stp>BDH|8036716504356005434</stp>
        <tr r="D27" s="2"/>
      </tp>
      <tp t="s">
        <v>#N/A N/A</v>
        <stp/>
        <stp>BDH|4029349075174101965</stp>
        <tr r="L40" s="2"/>
      </tp>
      <tp t="s">
        <v>#N/A N/A</v>
        <stp/>
        <stp>BDH|6948914586543192992</stp>
        <tr r="L35" s="2"/>
      </tp>
      <tp t="s">
        <v>#N/A N/A</v>
        <stp/>
        <stp>BDH|4009817707314955588</stp>
        <tr r="Z47" s="2"/>
      </tp>
      <tp t="s">
        <v>#N/A N/A</v>
        <stp/>
        <stp>BDH|7581326128613079887</stp>
        <tr r="AB52" s="2"/>
      </tp>
      <tp t="s">
        <v>#N/A N/A</v>
        <stp/>
        <stp>BDH|9556295817311635691</stp>
        <tr r="O84" s="2"/>
      </tp>
      <tp t="s">
        <v>#N/A N/A</v>
        <stp/>
        <stp>BDH|4492824021426726549</stp>
        <tr r="AA32" s="2"/>
      </tp>
      <tp t="s">
        <v>#N/A N/A</v>
        <stp/>
        <stp>BDH|2910849035372965659</stp>
        <tr r="L55" s="2"/>
      </tp>
      <tp t="s">
        <v>#N/A N/A</v>
        <stp/>
        <stp>BDH|3070558982555499674</stp>
        <tr r="U41" s="2"/>
      </tp>
      <tp t="s">
        <v>#N/A N/A</v>
        <stp/>
        <stp>BDH|9032371924995006070</stp>
        <tr r="AC23" s="2"/>
      </tp>
      <tp t="s">
        <v>#N/A N/A</v>
        <stp/>
        <stp>BDH|3947143725254506998</stp>
        <tr r="AF41" s="2"/>
      </tp>
      <tp t="s">
        <v>#N/A N/A</v>
        <stp/>
        <stp>BDH|7936704668462253964</stp>
        <tr r="D51" s="2"/>
      </tp>
      <tp t="s">
        <v>#N/A N/A</v>
        <stp/>
        <stp>BDH|2528625371036717842</stp>
        <tr r="AB81" s="2"/>
      </tp>
      <tp t="s">
        <v>#N/A N/A</v>
        <stp/>
        <stp>BDH|5901245968529820584</stp>
        <tr r="H43" s="2"/>
      </tp>
      <tp t="s">
        <v>#N/A N/A</v>
        <stp/>
        <stp>BDH|8490193398285148814</stp>
        <tr r="C91" s="2"/>
      </tp>
      <tp t="s">
        <v>#N/A N/A</v>
        <stp/>
        <stp>BDH|1754271722604583827</stp>
        <tr r="J40" s="2"/>
      </tp>
      <tp t="s">
        <v>#N/A N/A</v>
        <stp/>
        <stp>BDH|9612028147204615406</stp>
        <tr r="W90" s="2"/>
      </tp>
      <tp t="s">
        <v>#N/A N/A</v>
        <stp/>
        <stp>BDH|3294174718589074783</stp>
        <tr r="AE8" s="2"/>
      </tp>
      <tp t="s">
        <v>#N/A N/A</v>
        <stp/>
        <stp>BDH|3293312762638154357</stp>
        <tr r="Y70" s="2"/>
      </tp>
      <tp t="s">
        <v>#N/A N/A</v>
        <stp/>
        <stp>BDH|79322044945029240</stp>
        <tr r="J69" s="2"/>
      </tp>
      <tp t="s">
        <v>#N/A N/A</v>
        <stp/>
        <stp>BDH|8993488434238961967</stp>
        <tr r="T52" s="2"/>
      </tp>
      <tp t="s">
        <v>#N/A N/A</v>
        <stp/>
        <stp>BDH|3984138881063211738</stp>
        <tr r="F51" s="2"/>
      </tp>
      <tp t="s">
        <v>#N/A N/A</v>
        <stp/>
        <stp>BDH|7974762975498369139</stp>
        <tr r="Y72" s="2"/>
      </tp>
      <tp t="s">
        <v>#N/A N/A</v>
        <stp/>
        <stp>BDH|2660998218132584697</stp>
        <tr r="AC15" s="2"/>
      </tp>
      <tp t="s">
        <v>#N/A N/A</v>
        <stp/>
        <stp>BDH|1078502042087126982</stp>
        <tr r="D19" s="2"/>
      </tp>
      <tp t="s">
        <v>#N/A N/A</v>
        <stp/>
        <stp>BDH|9039734030697840430</stp>
        <tr r="AE61" s="2"/>
      </tp>
      <tp t="s">
        <v>#N/A N/A</v>
        <stp/>
        <stp>BDH|2057029728189532775</stp>
        <tr r="Q59" s="2"/>
      </tp>
      <tp t="s">
        <v>#N/A N/A</v>
        <stp/>
        <stp>BDH|9162039889517105826</stp>
        <tr r="R54" s="2"/>
      </tp>
      <tp t="s">
        <v>#N/A N/A</v>
        <stp/>
        <stp>BDH|8998545623148322950</stp>
        <tr r="AB54" s="2"/>
      </tp>
      <tp t="s">
        <v>#N/A N/A</v>
        <stp/>
        <stp>BDH|4909322741024466975</stp>
        <tr r="C42" s="2"/>
      </tp>
      <tp t="s">
        <v>#N/A N/A</v>
        <stp/>
        <stp>BDH|6236786593494899281</stp>
        <tr r="Y18" s="2"/>
      </tp>
      <tp t="s">
        <v>#N/A N/A</v>
        <stp/>
        <stp>BDH|6134140681399374892</stp>
        <tr r="P9" s="2"/>
      </tp>
      <tp t="s">
        <v>#N/A N/A</v>
        <stp/>
        <stp>BDH|4540595085632509522</stp>
        <tr r="E54" s="2"/>
      </tp>
      <tp t="s">
        <v>#N/A N/A</v>
        <stp/>
        <stp>BDH|8215599484852903986</stp>
        <tr r="AB43" s="2"/>
      </tp>
      <tp t="s">
        <v>#N/A N/A</v>
        <stp/>
        <stp>BDH|5822237975878909695</stp>
        <tr r="T83" s="2"/>
      </tp>
      <tp t="s">
        <v>#N/A N/A</v>
        <stp/>
        <stp>BDH|7659884961945455250</stp>
        <tr r="S23" s="2"/>
      </tp>
      <tp t="s">
        <v>#N/A N/A</v>
        <stp/>
        <stp>BDH|6246796072848473031</stp>
        <tr r="AD51" s="2"/>
      </tp>
      <tp t="s">
        <v>#N/A N/A</v>
        <stp/>
        <stp>BDH|2270394972590638819</stp>
        <tr r="G59" s="2"/>
      </tp>
      <tp t="s">
        <v>#N/A N/A</v>
        <stp/>
        <stp>BDH|5023213845165969838</stp>
        <tr r="AB42" s="2"/>
      </tp>
      <tp t="s">
        <v>#N/A N/A</v>
        <stp/>
        <stp>BDH|4331833323070823042</stp>
        <tr r="I77" s="2"/>
      </tp>
      <tp t="s">
        <v>#N/A N/A</v>
        <stp/>
        <stp>BDH|4203885408032922044</stp>
        <tr r="AA63" s="2"/>
      </tp>
      <tp t="s">
        <v>#N/A N/A</v>
        <stp/>
        <stp>BDH|2249771985626733585</stp>
        <tr r="R17" s="2"/>
      </tp>
      <tp t="s">
        <v>#N/A N/A</v>
        <stp/>
        <stp>BDH|4976668926438264644</stp>
        <tr r="T42" s="2"/>
      </tp>
      <tp t="s">
        <v>#N/A N/A</v>
        <stp/>
        <stp>BDH|6606893802135279535</stp>
        <tr r="P21" s="2"/>
      </tp>
      <tp t="s">
        <v>#N/A N/A</v>
        <stp/>
        <stp>BDH|4851430289161854763</stp>
        <tr r="K38" s="2"/>
      </tp>
      <tp t="s">
        <v>#N/A N/A</v>
        <stp/>
        <stp>BDH|4792268793958607985</stp>
        <tr r="P89" s="2"/>
      </tp>
      <tp t="s">
        <v>#N/A N/A</v>
        <stp/>
        <stp>BDH|8351886282161288777</stp>
        <tr r="P51" s="2"/>
      </tp>
      <tp t="s">
        <v>#N/A N/A</v>
        <stp/>
        <stp>BDH|6616001812469993012</stp>
        <tr r="F45" s="2"/>
      </tp>
      <tp t="s">
        <v>#N/A N/A</v>
        <stp/>
        <stp>BDH|7711669088881866633</stp>
        <tr r="G81" s="2"/>
      </tp>
      <tp t="s">
        <v>#N/A N/A</v>
        <stp/>
        <stp>BDH|8384275719437952261</stp>
        <tr r="O69" s="2"/>
      </tp>
      <tp t="s">
        <v>#N/A N/A</v>
        <stp/>
        <stp>BDH|1621004424175190812</stp>
        <tr r="S10" s="2"/>
      </tp>
      <tp t="s">
        <v>#N/A N/A</v>
        <stp/>
        <stp>BDH|4047583848718549364</stp>
        <tr r="Y66" s="2"/>
      </tp>
      <tp t="s">
        <v>#N/A N/A</v>
        <stp/>
        <stp>BDH|3956986892178466543</stp>
        <tr r="O31" s="2"/>
      </tp>
      <tp t="s">
        <v>#N/A N/A</v>
        <stp/>
        <stp>BDH|8588708500743419214</stp>
        <tr r="I13" s="2"/>
      </tp>
      <tp t="s">
        <v>#N/A N/A</v>
        <stp/>
        <stp>BDH|1133816466454231540</stp>
        <tr r="D82" s="2"/>
      </tp>
      <tp t="s">
        <v>#N/A N/A</v>
        <stp/>
        <stp>BDH|2907782796350017276</stp>
        <tr r="AB56" s="2"/>
      </tp>
      <tp t="s">
        <v>#N/A N/A</v>
        <stp/>
        <stp>BDH|3916185836039741606</stp>
        <tr r="N21" s="2"/>
      </tp>
      <tp t="s">
        <v>#N/A N/A</v>
        <stp/>
        <stp>BDH|4073476130284536926</stp>
        <tr r="I67" s="2"/>
      </tp>
      <tp t="s">
        <v>#N/A N/A</v>
        <stp/>
        <stp>BDH|9862065411266710096</stp>
        <tr r="T43" s="2"/>
      </tp>
      <tp t="s">
        <v>#N/A N/A</v>
        <stp/>
        <stp>BDH|8318359521161779618</stp>
        <tr r="Y45" s="2"/>
      </tp>
      <tp t="s">
        <v>#N/A N/A</v>
        <stp/>
        <stp>BDH|9421781196780273999</stp>
        <tr r="AB59" s="2"/>
      </tp>
      <tp t="s">
        <v>#N/A N/A</v>
        <stp/>
        <stp>BDH|5457070381673781045</stp>
        <tr r="AC27" s="2"/>
      </tp>
      <tp t="s">
        <v>#N/A N/A</v>
        <stp/>
        <stp>BDH|4781815353830576760</stp>
        <tr r="F30" s="2"/>
      </tp>
      <tp t="s">
        <v>#N/A N/A</v>
        <stp/>
        <stp>BDH|3919954771146375584</stp>
        <tr r="K81" s="2"/>
      </tp>
      <tp t="s">
        <v>#N/A N/A</v>
        <stp/>
        <stp>BDH|4353562193174071207</stp>
        <tr r="J89" s="2"/>
      </tp>
      <tp t="s">
        <v>#N/A N/A</v>
        <stp/>
        <stp>BDH|1651978225885203103</stp>
        <tr r="Z27" s="2"/>
      </tp>
      <tp t="s">
        <v>#N/A N/A</v>
        <stp/>
        <stp>BDH|9582254866745856686</stp>
        <tr r="E38" s="2"/>
      </tp>
      <tp t="s">
        <v>#N/A N/A</v>
        <stp/>
        <stp>BDH|9064199278862424338</stp>
        <tr r="N17" s="2"/>
      </tp>
      <tp t="s">
        <v>#N/A N/A</v>
        <stp/>
        <stp>BDH|5027751167819271363</stp>
        <tr r="E27" s="2"/>
      </tp>
      <tp t="s">
        <v>#N/A N/A</v>
        <stp/>
        <stp>BDH|8126713042532652731</stp>
        <tr r="N56" s="2"/>
      </tp>
      <tp t="s">
        <v>#N/A N/A</v>
        <stp/>
        <stp>BDH|6139101655118108426</stp>
        <tr r="AC64" s="2"/>
      </tp>
      <tp t="s">
        <v>#N/A N/A</v>
        <stp/>
        <stp>BDH|4519166304898460341</stp>
        <tr r="Y88" s="2"/>
      </tp>
      <tp t="s">
        <v>#N/A N/A</v>
        <stp/>
        <stp>BDH|2526314027688196553</stp>
        <tr r="X17" s="2"/>
      </tp>
      <tp t="s">
        <v>#N/A N/A</v>
        <stp/>
        <stp>BDH|7040507995732285700</stp>
        <tr r="K76" s="2"/>
      </tp>
      <tp t="s">
        <v>#N/A N/A</v>
        <stp/>
        <stp>BDH|6105809474464432360</stp>
        <tr r="I69" s="2"/>
      </tp>
      <tp t="s">
        <v>#N/A N/A</v>
        <stp/>
        <stp>BDH|4192266462628342613</stp>
        <tr r="AC84" s="2"/>
      </tp>
      <tp t="s">
        <v>#N/A N/A</v>
        <stp/>
        <stp>BDH|2419617855669650624</stp>
        <tr r="G46" s="2"/>
      </tp>
      <tp t="s">
        <v>#N/A N/A</v>
        <stp/>
        <stp>BDH|3574879011501145564</stp>
        <tr r="W31" s="2"/>
      </tp>
      <tp t="s">
        <v>#N/A N/A</v>
        <stp/>
        <stp>BDH|9243342642959236923</stp>
        <tr r="V35" s="2"/>
      </tp>
      <tp t="s">
        <v>#N/A N/A</v>
        <stp/>
        <stp>BDH|9601974696852181531</stp>
        <tr r="L63" s="2"/>
      </tp>
      <tp t="s">
        <v>#N/A N/A</v>
        <stp/>
        <stp>BDH|4356184905632209999</stp>
        <tr r="AD9" s="2"/>
      </tp>
      <tp t="s">
        <v>#N/A N/A</v>
        <stp/>
        <stp>BDH|55433107223288431</stp>
        <tr r="AE91" s="2"/>
      </tp>
      <tp t="s">
        <v>#N/A N/A</v>
        <stp/>
        <stp>BDH|7132954929081014275</stp>
        <tr r="M86" s="2"/>
      </tp>
      <tp t="s">
        <v>#N/A N/A</v>
        <stp/>
        <stp>BDH|4447289096963059308</stp>
        <tr r="T21" s="2"/>
      </tp>
      <tp t="s">
        <v>#N/A N/A</v>
        <stp/>
        <stp>BDH|5786986639265459583</stp>
        <tr r="K33" s="2"/>
      </tp>
      <tp t="s">
        <v>#N/A N/A</v>
        <stp/>
        <stp>BDH|2610932777867022485</stp>
        <tr r="V81" s="2"/>
      </tp>
      <tp t="s">
        <v>#N/A N/A</v>
        <stp/>
        <stp>BDH|9919127904854291378</stp>
        <tr r="Z17" s="2"/>
      </tp>
      <tp t="s">
        <v>#N/A N/A</v>
        <stp/>
        <stp>BDH|1787084054113791875</stp>
        <tr r="AD20" s="2"/>
      </tp>
      <tp t="s">
        <v>#N/A N/A</v>
        <stp/>
        <stp>BDH|8737392823435667306</stp>
        <tr r="Q45" s="2"/>
      </tp>
      <tp t="s">
        <v>#N/A N/A</v>
        <stp/>
        <stp>BDH|9160121131501157583</stp>
        <tr r="K32" s="2"/>
      </tp>
      <tp t="s">
        <v>#N/A N/A</v>
        <stp/>
        <stp>BDH|3317830651292387394</stp>
        <tr r="U45" s="2"/>
      </tp>
      <tp t="s">
        <v>#N/A N/A</v>
        <stp/>
        <stp>BDH|7885211520749068111</stp>
        <tr r="Z26" s="2"/>
      </tp>
      <tp t="s">
        <v>#N/A N/A</v>
        <stp/>
        <stp>BDH|3972895919395644067</stp>
        <tr r="E56" s="2"/>
      </tp>
      <tp t="s">
        <v>#N/A N/A</v>
        <stp/>
        <stp>BDH|5849280855535529891</stp>
        <tr r="H65" s="2"/>
      </tp>
      <tp t="s">
        <v>#N/A N/A</v>
        <stp/>
        <stp>BDH|1560283030766311976</stp>
        <tr r="R47" s="2"/>
      </tp>
      <tp t="s">
        <v>#N/A N/A</v>
        <stp/>
        <stp>BDH|6809570923878588606</stp>
        <tr r="O34" s="2"/>
      </tp>
      <tp t="s">
        <v>#N/A N/A</v>
        <stp/>
        <stp>BDH|9200559484213995838</stp>
        <tr r="Z50" s="2"/>
      </tp>
      <tp t="s">
        <v>#N/A N/A</v>
        <stp/>
        <stp>BDH|2816752907039216318</stp>
        <tr r="T90" s="2"/>
      </tp>
      <tp t="s">
        <v>#N/A N/A</v>
        <stp/>
        <stp>BDH|6739650238185167954</stp>
        <tr r="V15" s="2"/>
      </tp>
      <tp t="s">
        <v>#N/A N/A</v>
        <stp/>
        <stp>BDH|9921656779461814633</stp>
        <tr r="U69" s="2"/>
      </tp>
      <tp t="s">
        <v>#N/A N/A</v>
        <stp/>
        <stp>BDH|1856233533419117671</stp>
        <tr r="V73" s="2"/>
      </tp>
      <tp t="s">
        <v>#N/A N/A</v>
        <stp/>
        <stp>BDH|1469451021329805160</stp>
        <tr r="C24" s="2"/>
      </tp>
      <tp t="s">
        <v>#N/A N/A</v>
        <stp/>
        <stp>BDH|1293198416797256917</stp>
        <tr r="P16" s="2"/>
      </tp>
      <tp t="s">
        <v>#N/A N/A</v>
        <stp/>
        <stp>BDH|2273323794622339596</stp>
        <tr r="AD53" s="2"/>
      </tp>
      <tp t="s">
        <v>#N/A N/A</v>
        <stp/>
        <stp>BDH|6915913862317218166</stp>
        <tr r="AB75" s="2"/>
      </tp>
      <tp t="s">
        <v>#N/A N/A</v>
        <stp/>
        <stp>BDH|3891157135369223740</stp>
        <tr r="J68" s="2"/>
      </tp>
      <tp t="s">
        <v>#N/A N/A</v>
        <stp/>
        <stp>BDH|6956125564147364928</stp>
        <tr r="AF30" s="2"/>
      </tp>
      <tp t="s">
        <v>#N/A N/A</v>
        <stp/>
        <stp>BDH|9150633584021845917</stp>
        <tr r="AE58" s="2"/>
      </tp>
      <tp t="s">
        <v>#N/A N/A</v>
        <stp/>
        <stp>BDH|3760982660201162214</stp>
        <tr r="E25" s="2"/>
      </tp>
      <tp t="s">
        <v>#N/A N/A</v>
        <stp/>
        <stp>BDH|1093378776303602989</stp>
        <tr r="E26" s="2"/>
      </tp>
      <tp t="s">
        <v>#N/A N/A</v>
        <stp/>
        <stp>BDH|8491177467013828336</stp>
        <tr r="AD31" s="2"/>
      </tp>
      <tp t="s">
        <v>#N/A N/A</v>
        <stp/>
        <stp>BDH|1646376193377971349</stp>
        <tr r="O29" s="2"/>
      </tp>
      <tp t="s">
        <v>#N/A N/A</v>
        <stp/>
        <stp>BDH|1969243406814517812</stp>
        <tr r="M34" s="2"/>
      </tp>
      <tp t="s">
        <v>#N/A N/A</v>
        <stp/>
        <stp>BDH|5300274589712907283</stp>
        <tr r="AF72" s="2"/>
      </tp>
      <tp t="s">
        <v>#N/A N/A</v>
        <stp/>
        <stp>BDH|2507683132921140929</stp>
        <tr r="AE76" s="2"/>
      </tp>
      <tp t="s">
        <v>#N/A N/A</v>
        <stp/>
        <stp>BDH|9484683820600627266</stp>
        <tr r="AF51" s="2"/>
      </tp>
      <tp t="s">
        <v>#N/A N/A</v>
        <stp/>
        <stp>BDH|2504297771370537848</stp>
        <tr r="F70" s="2"/>
      </tp>
      <tp t="s">
        <v>#N/A N/A</v>
        <stp/>
        <stp>BDH|4487923571627258296</stp>
        <tr r="T33" s="2"/>
      </tp>
      <tp t="s">
        <v>#N/A N/A</v>
        <stp/>
        <stp>BDH|4078746301235839908</stp>
        <tr r="AC18" s="2"/>
      </tp>
      <tp t="s">
        <v>#N/A N/A</v>
        <stp/>
        <stp>BDH|7719391394617358548</stp>
        <tr r="N54" s="2"/>
      </tp>
      <tp t="s">
        <v>#N/A N/A</v>
        <stp/>
        <stp>BDH|1230247068593084933</stp>
        <tr r="M45" s="2"/>
      </tp>
      <tp t="s">
        <v>#N/A N/A</v>
        <stp/>
        <stp>BDH|7051094766008858656</stp>
        <tr r="E40" s="2"/>
      </tp>
      <tp t="s">
        <v>#N/A N/A</v>
        <stp/>
        <stp>BDH|8636950562621036931</stp>
        <tr r="Q42" s="2"/>
      </tp>
      <tp t="s">
        <v>#N/A N/A</v>
        <stp/>
        <stp>BDH|5956400658962719944</stp>
        <tr r="N46" s="2"/>
      </tp>
      <tp t="s">
        <v>#N/A N/A</v>
        <stp/>
        <stp>BDH|3515532584810498152</stp>
        <tr r="D77" s="2"/>
      </tp>
      <tp t="s">
        <v>#N/A N/A</v>
        <stp/>
        <stp>BDH|8513800711636718805</stp>
        <tr r="AA20" s="2"/>
      </tp>
      <tp t="s">
        <v>#N/A N/A</v>
        <stp/>
        <stp>BDH|8429735325014016612</stp>
        <tr r="AA47" s="2"/>
      </tp>
      <tp t="s">
        <v>#N/A N/A</v>
        <stp/>
        <stp>BDH|2020090439588464675</stp>
        <tr r="N48" s="2"/>
      </tp>
      <tp t="s">
        <v>#N/A N/A</v>
        <stp/>
        <stp>BDH|2768959711614367132</stp>
        <tr r="P41" s="2"/>
      </tp>
      <tp t="s">
        <v>#N/A N/A</v>
        <stp/>
        <stp>BDH|3039460346094454879</stp>
        <tr r="M39" s="2"/>
      </tp>
      <tp t="s">
        <v>#N/A N/A</v>
        <stp/>
        <stp>BDH|1513341021076455946</stp>
        <tr r="T47" s="2"/>
      </tp>
      <tp t="s">
        <v>#N/A N/A</v>
        <stp/>
        <stp>BDH|6695354685237195573</stp>
        <tr r="R33" s="2"/>
      </tp>
      <tp t="s">
        <v>#N/A N/A</v>
        <stp/>
        <stp>BDH|9295828354348713336</stp>
        <tr r="I56" s="2"/>
      </tp>
      <tp t="s">
        <v>#N/A N/A</v>
        <stp/>
        <stp>BDH|6286600990107789155</stp>
        <tr r="V45" s="2"/>
      </tp>
      <tp t="s">
        <v>#N/A N/A</v>
        <stp/>
        <stp>BDH|7762109725989403262</stp>
        <tr r="S84" s="2"/>
      </tp>
      <tp t="s">
        <v>#N/A N/A</v>
        <stp/>
        <stp>BDH|1387875314431879689</stp>
        <tr r="AA72" s="2"/>
      </tp>
      <tp t="s">
        <v>#N/A N/A</v>
        <stp/>
        <stp>BDH|5392901770082219617</stp>
        <tr r="J44" s="2"/>
      </tp>
      <tp t="s">
        <v>#N/A N/A</v>
        <stp/>
        <stp>BDH|2780138329526517897</stp>
        <tr r="Q18" s="2"/>
      </tp>
      <tp t="s">
        <v>#N/A N/A</v>
        <stp/>
        <stp>BDH|1946045108649219762</stp>
        <tr r="I25" s="2"/>
      </tp>
      <tp t="s">
        <v>#N/A N/A</v>
        <stp/>
        <stp>BDH|2588275965450451924</stp>
        <tr r="L71" s="2"/>
      </tp>
      <tp t="s">
        <v>#N/A N/A</v>
        <stp/>
        <stp>BDH|3725232875731299820</stp>
        <tr r="M24" s="2"/>
      </tp>
      <tp t="s">
        <v>#N/A N/A</v>
        <stp/>
        <stp>BDH|1297379052669647177</stp>
        <tr r="V91" s="2"/>
      </tp>
      <tp t="s">
        <v>#N/A N/A</v>
        <stp/>
        <stp>BDH|1097845575369531821</stp>
        <tr r="S77" s="2"/>
      </tp>
      <tp t="s">
        <v>#N/A N/A</v>
        <stp/>
        <stp>BDH|8997261722023859433</stp>
        <tr r="I75" s="2"/>
      </tp>
      <tp t="s">
        <v>#N/A N/A</v>
        <stp/>
        <stp>BDH|6531072056569549561</stp>
        <tr r="U14" s="2"/>
      </tp>
      <tp t="s">
        <v>#N/A N/A</v>
        <stp/>
        <stp>BDH|8130782602513929354</stp>
        <tr r="Q70" s="2"/>
      </tp>
      <tp t="s">
        <v>#N/A N/A</v>
        <stp/>
        <stp>BDH|1353657993450489162</stp>
        <tr r="M20" s="2"/>
      </tp>
      <tp t="s">
        <v>#N/A N/A</v>
        <stp/>
        <stp>BDH|3135953007532462735</stp>
        <tr r="X67" s="2"/>
      </tp>
      <tp t="s">
        <v>#N/A N/A</v>
        <stp/>
        <stp>BDH|3772335648948065384</stp>
        <tr r="AB35" s="2"/>
      </tp>
      <tp t="s">
        <v>#N/A N/A</v>
        <stp/>
        <stp>BDH|6934910267351884730</stp>
        <tr r="AC31" s="2"/>
      </tp>
      <tp t="s">
        <v>#N/A N/A</v>
        <stp/>
        <stp>BDH|8494018209852989519</stp>
        <tr r="AF16" s="2"/>
      </tp>
      <tp t="s">
        <v>#N/A N/A</v>
        <stp/>
        <stp>BDH|8623469217273626150</stp>
        <tr r="AA41" s="2"/>
      </tp>
      <tp t="s">
        <v>#N/A N/A</v>
        <stp/>
        <stp>BDH|2899323431658835574</stp>
        <tr r="V42" s="2"/>
      </tp>
      <tp t="s">
        <v>#N/A N/A</v>
        <stp/>
        <stp>BDH|3895265465651974962</stp>
        <tr r="AD77" s="2"/>
      </tp>
      <tp t="s">
        <v>#N/A N/A</v>
        <stp/>
        <stp>BDH|5676106572809185501</stp>
        <tr r="M42" s="2"/>
      </tp>
      <tp t="s">
        <v>#N/A N/A</v>
        <stp/>
        <stp>BDH|9548151784768632771</stp>
        <tr r="W62" s="2"/>
      </tp>
      <tp t="s">
        <v>#N/A N/A</v>
        <stp/>
        <stp>BDH|1245928585148419749</stp>
        <tr r="G52" s="2"/>
      </tp>
      <tp t="s">
        <v>#N/A N/A</v>
        <stp/>
        <stp>BDH|1150734527583486849</stp>
        <tr r="L92" s="2"/>
      </tp>
      <tp t="s">
        <v>#N/A N/A</v>
        <stp/>
        <stp>BDH|5763316284636286757</stp>
        <tr r="Q14" s="2"/>
      </tp>
      <tp t="s">
        <v>#N/A N/A</v>
        <stp/>
        <stp>BDH|1233224078492491997</stp>
        <tr r="R56" s="2"/>
      </tp>
      <tp t="s">
        <v>#N/A N/A</v>
        <stp/>
        <stp>BDH|2081622901072402925</stp>
        <tr r="AA87" s="2"/>
      </tp>
      <tp t="s">
        <v>#N/A N/A</v>
        <stp/>
        <stp>BDH|8206392379301072586</stp>
        <tr r="H22" s="2"/>
      </tp>
      <tp t="s">
        <v>#N/A N/A</v>
        <stp/>
        <stp>BDH|5544628358957756924</stp>
        <tr r="Q58" s="2"/>
      </tp>
      <tp t="s">
        <v>#N/A N/A</v>
        <stp/>
        <stp>BDH|5928364422494613817</stp>
        <tr r="C64" s="2"/>
      </tp>
      <tp t="s">
        <v>#N/A N/A</v>
        <stp/>
        <stp>BDH|7245634089183056220</stp>
        <tr r="G64" s="2"/>
      </tp>
      <tp t="s">
        <v>#N/A N/A</v>
        <stp/>
        <stp>BDH|4598897132167715032</stp>
        <tr r="Z86" s="2"/>
      </tp>
      <tp t="s">
        <v>#N/A N/A</v>
        <stp/>
        <stp>BDH|6559213788934248045</stp>
        <tr r="Q81" s="2"/>
      </tp>
      <tp t="s">
        <v>#N/A N/A</v>
        <stp/>
        <stp>BDH|1045441976409958300</stp>
        <tr r="M30" s="2"/>
      </tp>
      <tp t="s">
        <v>#N/A N/A</v>
        <stp/>
        <stp>BDH|1121969022641926374</stp>
        <tr r="O40" s="2"/>
      </tp>
      <tp t="s">
        <v>#N/A N/A</v>
        <stp/>
        <stp>BDH|6136446863975921942</stp>
        <tr r="AA23" s="2"/>
      </tp>
      <tp t="s">
        <v>#N/A N/A</v>
        <stp/>
        <stp>BDH|9214090766305518200</stp>
        <tr r="Z30" s="2"/>
      </tp>
      <tp t="s">
        <v>#N/A N/A</v>
        <stp/>
        <stp>BDH|2339975004133116093</stp>
        <tr r="AD23" s="2"/>
      </tp>
      <tp t="s">
        <v>#N/A N/A</v>
        <stp/>
        <stp>BDH|7961378234797468866</stp>
        <tr r="U90" s="2"/>
      </tp>
      <tp t="s">
        <v>#N/A N/A</v>
        <stp/>
        <stp>BDH|4550967661175389694</stp>
        <tr r="R41" s="2"/>
      </tp>
      <tp t="s">
        <v>#N/A N/A</v>
        <stp/>
        <stp>BDH|5396979549877340774</stp>
        <tr r="G24" s="2"/>
      </tp>
      <tp t="s">
        <v>#N/A N/A</v>
        <stp/>
        <stp>BDH|7017180466890288826</stp>
        <tr r="R72" s="2"/>
      </tp>
      <tp t="s">
        <v>#N/A N/A</v>
        <stp/>
        <stp>BDH|3073026097184264691</stp>
        <tr r="V58" s="2"/>
      </tp>
      <tp t="s">
        <v>#N/A N/A</v>
        <stp/>
        <stp>BDH|4877010241890609809</stp>
        <tr r="X26" s="2"/>
      </tp>
      <tp t="s">
        <v>#N/A N/A</v>
        <stp/>
        <stp>BDH|4607347841379502282</stp>
        <tr r="E59" s="2"/>
      </tp>
      <tp t="s">
        <v>#N/A N/A</v>
        <stp/>
        <stp>BDH|8891866682883090325</stp>
        <tr r="L25" s="2"/>
      </tp>
      <tp t="s">
        <v>#N/A N/A</v>
        <stp/>
        <stp>BDH|2922227870409210663</stp>
        <tr r="O92" s="2"/>
      </tp>
      <tp t="s">
        <v>#N/A N/A</v>
        <stp/>
        <stp>BDH|9973198530751874279</stp>
        <tr r="F81" s="2"/>
      </tp>
      <tp t="s">
        <v>#N/A N/A</v>
        <stp/>
        <stp>BDH|9864592359367751604</stp>
        <tr r="L20" s="2"/>
      </tp>
      <tp t="s">
        <v>#N/A N/A</v>
        <stp/>
        <stp>BDH|7112762159674691974</stp>
        <tr r="F22" s="2"/>
      </tp>
      <tp t="s">
        <v>#N/A N/A</v>
        <stp/>
        <stp>BDH|3915860760563693658</stp>
        <tr r="D26" s="2"/>
      </tp>
      <tp t="s">
        <v>#N/A N/A</v>
        <stp/>
        <stp>BDH|8806291918826146549</stp>
        <tr r="N77" s="2"/>
      </tp>
      <tp t="s">
        <v>#N/A N/A</v>
        <stp/>
        <stp>BDH|3129027532591867951</stp>
        <tr r="L34" s="2"/>
      </tp>
      <tp t="s">
        <v>#N/A N/A</v>
        <stp/>
        <stp>BDH|1020278721668811125</stp>
        <tr r="U77" s="2"/>
      </tp>
      <tp t="s">
        <v>#N/A N/A</v>
        <stp/>
        <stp>BDH|1922791785960038695</stp>
        <tr r="Y74" s="2"/>
      </tp>
      <tp t="s">
        <v>#N/A N/A</v>
        <stp/>
        <stp>BDH|6165853779996556747</stp>
        <tr r="P85" s="2"/>
      </tp>
      <tp t="s">
        <v>#N/A N/A</v>
        <stp/>
        <stp>BDH|1783398101758110237</stp>
        <tr r="AF90" s="2"/>
      </tp>
      <tp t="s">
        <v>#N/A N/A</v>
        <stp/>
        <stp>BDH|7944211150031511904</stp>
        <tr r="X69" s="2"/>
      </tp>
      <tp t="s">
        <v>#N/A N/A</v>
        <stp/>
        <stp>BDH|7057586256148044733</stp>
        <tr r="Y44" s="2"/>
      </tp>
      <tp t="s">
        <v>#N/A N/A</v>
        <stp/>
        <stp>BDH|3737767538967407808</stp>
        <tr r="O65" s="2"/>
      </tp>
      <tp t="s">
        <v>#N/A N/A</v>
        <stp/>
        <stp>BDH|4315947516177450386</stp>
        <tr r="V69" s="2"/>
      </tp>
      <tp t="s">
        <v>#N/A N/A</v>
        <stp/>
        <stp>BDH|1260796577840234936</stp>
        <tr r="F86" s="2"/>
      </tp>
      <tp t="s">
        <v>#N/A N/A</v>
        <stp/>
        <stp>BDH|9348013668952940519</stp>
        <tr r="V67" s="2"/>
      </tp>
      <tp t="s">
        <v>#N/A N/A</v>
        <stp/>
        <stp>BDH|8073242222677561717</stp>
        <tr r="L53" s="2"/>
      </tp>
      <tp t="s">
        <v>#N/A N/A</v>
        <stp/>
        <stp>BDH|1835494056409672131</stp>
        <tr r="D53" s="2"/>
      </tp>
      <tp t="s">
        <v>#N/A N/A</v>
        <stp/>
        <stp>BDH|6841578998926342465</stp>
        <tr r="AF8" s="2"/>
      </tp>
      <tp t="s">
        <v>#N/A N/A</v>
        <stp/>
        <stp>BDH|1296878078512642497</stp>
        <tr r="Y29" s="2"/>
      </tp>
      <tp t="s">
        <v>#N/A N/A</v>
        <stp/>
        <stp>BDH|6897724289205470453</stp>
        <tr r="V38" s="2"/>
      </tp>
      <tp t="s">
        <v>#N/A N/A</v>
        <stp/>
        <stp>BDH|9053767065527486755</stp>
        <tr r="W19" s="2"/>
      </tp>
      <tp t="s">
        <v>#N/A N/A</v>
        <stp/>
        <stp>BDH|5447902381665099973</stp>
        <tr r="AA61" s="2"/>
      </tp>
      <tp t="s">
        <v>#N/A N/A</v>
        <stp/>
        <stp>BDH|6750100525368126519</stp>
        <tr r="C35" s="2"/>
      </tp>
      <tp t="s">
        <v>#N/A N/A</v>
        <stp/>
        <stp>BDH|7235174022965539900</stp>
        <tr r="H55" s="2"/>
      </tp>
      <tp t="s">
        <v>#N/A N/A</v>
        <stp/>
        <stp>BDH|2887622757671874877</stp>
        <tr r="W70" s="2"/>
      </tp>
      <tp t="s">
        <v>#N/A N/A</v>
        <stp/>
        <stp>BDH|3408264144434369966</stp>
        <tr r="L56" s="2"/>
      </tp>
      <tp t="s">
        <v>#N/A N/A</v>
        <stp/>
        <stp>BDH|2008065364699179507</stp>
        <tr r="AD26" s="2"/>
      </tp>
      <tp t="s">
        <v>#N/A N/A</v>
        <stp/>
        <stp>BDH|4236172650799655105</stp>
        <tr r="L50" s="2"/>
      </tp>
      <tp t="s">
        <v>#N/A N/A</v>
        <stp/>
        <stp>BDH|1763090102070788983</stp>
        <tr r="V56" s="2"/>
      </tp>
      <tp t="s">
        <v>#N/A N/A</v>
        <stp/>
        <stp>BDH|4193124002064684949</stp>
        <tr r="F72" s="2"/>
      </tp>
      <tp t="s">
        <v>#N/A N/A</v>
        <stp/>
        <stp>BDH|1145655134225739973</stp>
        <tr r="F90" s="2"/>
      </tp>
      <tp t="s">
        <v>#N/A N/A</v>
        <stp/>
        <stp>BDH|8343901382450559140</stp>
        <tr r="U42" s="2"/>
      </tp>
      <tp t="s">
        <v>#N/A N/A</v>
        <stp/>
        <stp>BDH|5546897877546212490</stp>
        <tr r="Z38" s="2"/>
      </tp>
      <tp t="s">
        <v>#N/A N/A</v>
        <stp/>
        <stp>BDH|1064625706836409904</stp>
        <tr r="S52" s="2"/>
      </tp>
      <tp t="s">
        <v>#N/A N/A</v>
        <stp/>
        <stp>BDH|5467396991714432393</stp>
        <tr r="AA90" s="2"/>
      </tp>
      <tp t="s">
        <v>#N/A N/A</v>
        <stp/>
        <stp>BDH|3370958102166010459</stp>
        <tr r="S83" s="2"/>
      </tp>
      <tp t="s">
        <v>#N/A N/A</v>
        <stp/>
        <stp>BDH|2340237841954978895</stp>
        <tr r="AF92" s="2"/>
      </tp>
      <tp t="s">
        <v>#N/A N/A</v>
        <stp/>
        <stp>BDH|2883833945423822575</stp>
        <tr r="U89" s="2"/>
      </tp>
      <tp t="s">
        <v>#N/A N/A</v>
        <stp/>
        <stp>BDH|8567609928535555195</stp>
        <tr r="M67" s="2"/>
      </tp>
      <tp t="s">
        <v>#N/A N/A</v>
        <stp/>
        <stp>BDH|4089450046068100434</stp>
        <tr r="X32" s="2"/>
      </tp>
      <tp t="s">
        <v>#N/A N/A</v>
        <stp/>
        <stp>BDH|2575958939439907969</stp>
        <tr r="Q84" s="2"/>
      </tp>
      <tp t="s">
        <v>#N/A N/A</v>
        <stp/>
        <stp>BDH|3601410031904764872</stp>
        <tr r="Y56" s="2"/>
      </tp>
      <tp t="s">
        <v>#N/A N/A</v>
        <stp/>
        <stp>BDH|8144622263084722418</stp>
        <tr r="M61" s="2"/>
      </tp>
      <tp t="s">
        <v>#N/A N/A</v>
        <stp/>
        <stp>BDH|8513413641082256218</stp>
        <tr r="L44" s="2"/>
      </tp>
      <tp t="s">
        <v>#N/A N/A</v>
        <stp/>
        <stp>BDH|3260864321205160436</stp>
        <tr r="E52" s="2"/>
      </tp>
      <tp t="s">
        <v>#N/A N/A</v>
        <stp/>
        <stp>BDH|5265031730528441624</stp>
        <tr r="AA64" s="2"/>
      </tp>
      <tp t="s">
        <v>#N/A N/A</v>
        <stp/>
        <stp>BDH|9269685127504911133</stp>
        <tr r="M73" s="2"/>
      </tp>
      <tp t="s">
        <v>#N/A N/A</v>
        <stp/>
        <stp>BDH|1589456524606615950</stp>
        <tr r="N90" s="2"/>
      </tp>
      <tp t="s">
        <v>#N/A N/A</v>
        <stp/>
        <stp>BDH|5325629506029659263</stp>
        <tr r="P32" s="2"/>
      </tp>
      <tp t="s">
        <v>#N/A N/A</v>
        <stp/>
        <stp>BDH|3969804515790802239</stp>
        <tr r="T7" s="2"/>
      </tp>
      <tp t="s">
        <v>#N/A N/A</v>
        <stp/>
        <stp>BDH|6197681482889968958</stp>
        <tr r="Q52" s="2"/>
      </tp>
      <tp t="s">
        <v>#N/A N/A</v>
        <stp/>
        <stp>BDH|5812294918638963644</stp>
        <tr r="C23" s="2"/>
      </tp>
      <tp t="s">
        <v>#N/A N/A</v>
        <stp/>
        <stp>BDH|3475839751197525179</stp>
        <tr r="T10" s="2"/>
      </tp>
      <tp t="s">
        <v>#N/A N/A</v>
        <stp/>
        <stp>BDH|3929343258589529441</stp>
        <tr r="R25" s="2"/>
      </tp>
      <tp t="s">
        <v>#N/A N/A</v>
        <stp/>
        <stp>BDH|1856861863460194785</stp>
        <tr r="AA42" s="2"/>
      </tp>
      <tp t="s">
        <v>#N/A N/A</v>
        <stp/>
        <stp>BDH|7642727228608034297</stp>
        <tr r="N52" s="2"/>
      </tp>
      <tp t="s">
        <v>#N/A N/A</v>
        <stp/>
        <stp>BDH|7153556862675044935</stp>
        <tr r="J22" s="2"/>
      </tp>
      <tp t="s">
        <v>#N/A N/A</v>
        <stp/>
        <stp>BDH|4163409980536286665</stp>
        <tr r="AC86" s="2"/>
      </tp>
      <tp t="s">
        <v>#N/A N/A</v>
        <stp/>
        <stp>BDH|5782275584841376624</stp>
        <tr r="G70" s="2"/>
      </tp>
      <tp t="s">
        <v>#N/A N/A</v>
        <stp/>
        <stp>BDH|89228535711400562</stp>
        <tr r="T55" s="2"/>
      </tp>
      <tp t="s">
        <v>#N/A N/A</v>
        <stp/>
        <stp>BDH|22377077158638961</stp>
        <tr r="P59" s="2"/>
      </tp>
      <tp t="s">
        <v>#N/A N/A</v>
        <stp/>
        <stp>BDH|9160497503604069010</stp>
        <tr r="T39" s="2"/>
      </tp>
      <tp t="s">
        <v>#N/A N/A</v>
        <stp/>
        <stp>BDH|4613967630392900536</stp>
        <tr r="AD85" s="2"/>
      </tp>
      <tp t="s">
        <v>#N/A N/A</v>
        <stp/>
        <stp>BDH|3104989264856578321</stp>
        <tr r="O54" s="2"/>
      </tp>
      <tp t="s">
        <v>#N/A N/A</v>
        <stp/>
        <stp>BDH|6861932133671172426</stp>
        <tr r="AC59" s="2"/>
      </tp>
      <tp t="s">
        <v>#N/A N/A</v>
        <stp/>
        <stp>BDH|7855940611407701123</stp>
        <tr r="V63" s="2"/>
      </tp>
      <tp t="s">
        <v>#N/A N/A</v>
        <stp/>
        <stp>BDH|9369494225873250555</stp>
        <tr r="O32" s="2"/>
      </tp>
      <tp t="s">
        <v>#N/A N/A</v>
        <stp/>
        <stp>BDH|8891907395692164343</stp>
        <tr r="Q34" s="2"/>
      </tp>
      <tp t="s">
        <v>#N/A N/A</v>
        <stp/>
        <stp>BDH|5185739299873094125</stp>
        <tr r="R31" s="2"/>
      </tp>
      <tp t="s">
        <v>#N/A N/A</v>
        <stp/>
        <stp>BDH|3674987160840744505</stp>
        <tr r="Q71" s="2"/>
      </tp>
      <tp t="s">
        <v>#N/A N/A</v>
        <stp/>
        <stp>BDH|1612419687715171180</stp>
        <tr r="G18" s="2"/>
      </tp>
      <tp t="s">
        <v>#N/A N/A</v>
        <stp/>
        <stp>BDH|9573768333340836417</stp>
        <tr r="M26" s="2"/>
      </tp>
      <tp t="s">
        <v>#N/A N/A</v>
        <stp/>
        <stp>BDH|2364185629738520093</stp>
        <tr r="AF59" s="2"/>
      </tp>
      <tp t="s">
        <v>#N/A N/A</v>
        <stp/>
        <stp>BDH|1767559008379604428</stp>
        <tr r="I82" s="2"/>
      </tp>
      <tp t="s">
        <v>#N/A N/A</v>
        <stp/>
        <stp>BDH|7460991318400326686</stp>
        <tr r="Y91" s="2"/>
      </tp>
      <tp t="s">
        <v>#N/A N/A</v>
        <stp/>
        <stp>BDH|4943474824592648926</stp>
        <tr r="N22" s="2"/>
      </tp>
      <tp t="s">
        <v>#N/A N/A</v>
        <stp/>
        <stp>BDH|8172208697452897808</stp>
        <tr r="F27" s="2"/>
      </tp>
      <tp t="s">
        <v>#N/A N/A</v>
        <stp/>
        <stp>BDH|6460834918942259430</stp>
        <tr r="F56" s="2"/>
      </tp>
      <tp t="s">
        <v>#N/A N/A</v>
        <stp/>
        <stp>BDH|3115949967831455494</stp>
        <tr r="J46" s="2"/>
      </tp>
      <tp t="s">
        <v>#N/A N/A</v>
        <stp/>
        <stp>BDH|9926747608936996135</stp>
        <tr r="D85" s="2"/>
      </tp>
      <tp t="s">
        <v>#N/A N/A</v>
        <stp/>
        <stp>BDH|7733390898017951302</stp>
        <tr r="AE22" s="2"/>
      </tp>
      <tp t="s">
        <v>#N/A N/A</v>
        <stp/>
        <stp>BDH|7599291676509291272</stp>
        <tr r="I45" s="2"/>
      </tp>
      <tp t="s">
        <v>#N/A N/A</v>
        <stp/>
        <stp>BDH|4178008380517606283</stp>
        <tr r="AB55" s="2"/>
      </tp>
      <tp t="s">
        <v>#N/A N/A</v>
        <stp/>
        <stp>BDH|2152396286725588542</stp>
        <tr r="C52" s="2"/>
      </tp>
      <tp t="s">
        <v>#N/A N/A</v>
        <stp/>
        <stp>BDH|3572156360839982451</stp>
        <tr r="AA73" s="2"/>
      </tp>
      <tp t="s">
        <v>#N/A N/A</v>
        <stp/>
        <stp>BDH|1314942802034013590</stp>
        <tr r="G91" s="2"/>
      </tp>
      <tp t="s">
        <v>#N/A N/A</v>
        <stp/>
        <stp>BDH|8874063429895803639</stp>
        <tr r="U16" s="2"/>
      </tp>
      <tp t="s">
        <v>#N/A N/A</v>
        <stp/>
        <stp>BDH|1596466839456250944</stp>
        <tr r="R28" s="2"/>
      </tp>
      <tp t="s">
        <v>#N/A N/A</v>
        <stp/>
        <stp>BDH|5310942209442463775</stp>
        <tr r="C90" s="2"/>
      </tp>
      <tp t="s">
        <v>#N/A N/A</v>
        <stp/>
        <stp>BDH|4999601680203703031</stp>
        <tr r="D28" s="2"/>
      </tp>
      <tp t="s">
        <v>#N/A N/A</v>
        <stp/>
        <stp>BDH|1423084446848002473</stp>
        <tr r="AB9" s="2"/>
      </tp>
      <tp t="s">
        <v>#N/A N/A</v>
        <stp/>
        <stp>BDH|7534005384503008531</stp>
        <tr r="Y76" s="2"/>
      </tp>
      <tp t="s">
        <v>#N/A N/A</v>
        <stp/>
        <stp>BDH|3776383144279104481</stp>
        <tr r="K49" s="2"/>
      </tp>
      <tp t="s">
        <v>#N/A N/A</v>
        <stp/>
        <stp>BDH|2475011595226222401</stp>
        <tr r="K34" s="2"/>
      </tp>
      <tp t="s">
        <v>#N/A N/A</v>
        <stp/>
        <stp>BDH|9559801684838369801</stp>
        <tr r="G77" s="2"/>
      </tp>
      <tp t="s">
        <v>#N/A N/A</v>
        <stp/>
        <stp>BDH|8259001352830172430</stp>
        <tr r="Z15" s="2"/>
      </tp>
      <tp t="s">
        <v>#N/A N/A</v>
        <stp/>
        <stp>BDH|8186611134211086569</stp>
        <tr r="R19" s="2"/>
      </tp>
      <tp t="s">
        <v>#N/A N/A</v>
        <stp/>
        <stp>BDH|8991736779524649570</stp>
        <tr r="L90" s="2"/>
      </tp>
      <tp t="s">
        <v>#N/A N/A</v>
        <stp/>
        <stp>BDH|9901687055695366659</stp>
        <tr r="F25" s="2"/>
      </tp>
      <tp t="s">
        <v>#N/A N/A</v>
        <stp/>
        <stp>BDH|9270898182814964431</stp>
        <tr r="I74" s="2"/>
      </tp>
      <tp t="s">
        <v>#N/A N/A</v>
        <stp/>
        <stp>BDH|5652992708842250768</stp>
        <tr r="J70" s="2"/>
      </tp>
      <tp t="s">
        <v>#N/A N/A</v>
        <stp/>
        <stp>BDH|3595930850847675133</stp>
        <tr r="O12" s="2"/>
      </tp>
      <tp t="s">
        <v>#N/A N/A</v>
        <stp/>
        <stp>BDH|8691966524922108861</stp>
        <tr r="V66" s="2"/>
      </tp>
      <tp t="s">
        <v>#N/A N/A</v>
        <stp/>
        <stp>BDH|9593190378505607315</stp>
        <tr r="K56" s="2"/>
      </tp>
      <tp t="s">
        <v>#N/A N/A</v>
        <stp/>
        <stp>BDH|2159272852568381442</stp>
        <tr r="M56" s="2"/>
      </tp>
      <tp t="s">
        <v>#N/A N/A</v>
        <stp/>
        <stp>BDH|8277530172476210529</stp>
        <tr r="AE59" s="2"/>
      </tp>
      <tp t="s">
        <v>#N/A N/A</v>
        <stp/>
        <stp>BDH|9084220731546864780</stp>
        <tr r="C28" s="2"/>
      </tp>
      <tp t="s">
        <v>#N/A N/A</v>
        <stp/>
        <stp>BDH|4116263590502335478</stp>
        <tr r="AD30" s="2"/>
      </tp>
      <tp t="s">
        <v>#N/A N/A</v>
        <stp/>
        <stp>BDH|2700503793396339172</stp>
        <tr r="I73" s="2"/>
      </tp>
      <tp t="s">
        <v>#N/A N/A</v>
        <stp/>
        <stp>BDH|4757894388275119876</stp>
        <tr r="AD12" s="2"/>
      </tp>
      <tp t="s">
        <v>#N/A N/A</v>
        <stp/>
        <stp>BDH|7471521196667176511</stp>
        <tr r="T66" s="2"/>
      </tp>
      <tp t="s">
        <v>#N/A N/A</v>
        <stp/>
        <stp>BDH|6640149042298159216</stp>
        <tr r="F82" s="2"/>
      </tp>
      <tp t="s">
        <v>#N/A N/A</v>
        <stp/>
        <stp>BDH|2894876455891305798</stp>
        <tr r="U60" s="2"/>
      </tp>
      <tp t="s">
        <v>#N/A N/A</v>
        <stp/>
        <stp>BDH|5541788619233799939</stp>
        <tr r="K35" s="2"/>
      </tp>
      <tp t="s">
        <v>#N/A N/A</v>
        <stp/>
        <stp>BDH|4019094482194206181</stp>
        <tr r="C14" s="2"/>
      </tp>
      <tp t="s">
        <v>#N/A N/A</v>
        <stp/>
        <stp>BDH|9453222227824318439</stp>
        <tr r="Q21" s="2"/>
      </tp>
      <tp t="s">
        <v>#N/A N/A</v>
        <stp/>
        <stp>BDH|4307646390414438627</stp>
        <tr r="AF47" s="2"/>
      </tp>
      <tp t="s">
        <v>#N/A N/A</v>
        <stp/>
        <stp>BDH|2668563103477690941</stp>
        <tr r="M32" s="2"/>
      </tp>
      <tp t="s">
        <v>#N/A N/A</v>
        <stp/>
        <stp>BDH|3203914031420493073</stp>
        <tr r="Z91" s="2"/>
      </tp>
      <tp t="s">
        <v>#N/A N/A</v>
        <stp/>
        <stp>BDH|8858078200679624886</stp>
        <tr r="J76" s="2"/>
      </tp>
      <tp t="s">
        <v>#N/A N/A</v>
        <stp/>
        <stp>BDH|9484145604903682232</stp>
        <tr r="V44" s="2"/>
      </tp>
      <tp t="s">
        <v>#N/A N/A</v>
        <stp/>
        <stp>BDH|7589731490951537152</stp>
        <tr r="AC75" s="2"/>
      </tp>
      <tp t="s">
        <v>#N/A N/A</v>
        <stp/>
        <stp>BDH|3767842146443160526</stp>
        <tr r="AB45" s="2"/>
      </tp>
      <tp t="s">
        <v>#N/A N/A</v>
        <stp/>
        <stp>BDH|3699318930462650872</stp>
        <tr r="L64" s="2"/>
      </tp>
      <tp t="s">
        <v>#N/A N/A</v>
        <stp/>
        <stp>BDH|7886476711178922314</stp>
        <tr r="Q19" s="2"/>
      </tp>
      <tp t="s">
        <v>#N/A N/A</v>
        <stp/>
        <stp>BDH|1957124759575481907</stp>
        <tr r="AB70" s="2"/>
      </tp>
      <tp t="s">
        <v>#N/A N/A</v>
        <stp/>
        <stp>BDH|2298587757078399394</stp>
        <tr r="AE54" s="2"/>
      </tp>
      <tp t="s">
        <v>#N/A N/A</v>
        <stp/>
        <stp>BDH|8890543287709591597</stp>
        <tr r="Q38" s="2"/>
      </tp>
      <tp t="s">
        <v>#N/A N/A</v>
        <stp/>
        <stp>BDH|6229206678848563288</stp>
        <tr r="T13" s="2"/>
      </tp>
      <tp t="s">
        <v>#N/A N/A</v>
        <stp/>
        <stp>BDH|9533603662235454543</stp>
        <tr r="G56" s="2"/>
      </tp>
      <tp t="s">
        <v>#N/A N/A</v>
        <stp/>
        <stp>BDH|8278757996917168878</stp>
        <tr r="O19" s="2"/>
      </tp>
      <tp t="s">
        <v>#N/A N/A</v>
        <stp/>
        <stp>BDH|1702879631496512507</stp>
        <tr r="T84" s="2"/>
      </tp>
      <tp t="s">
        <v>#N/A N/A</v>
        <stp/>
        <stp>BDH|8181321721417312751</stp>
        <tr r="T31" s="2"/>
      </tp>
      <tp t="s">
        <v>#N/A N/A</v>
        <stp/>
        <stp>BDH|9608287391028825339</stp>
        <tr r="AF20" s="2"/>
      </tp>
      <tp t="s">
        <v>#N/A N/A</v>
        <stp/>
        <stp>BDH|8766701625374716000</stp>
        <tr r="AD67" s="2"/>
      </tp>
      <tp t="s">
        <v>#N/A N/A</v>
        <stp/>
        <stp>BDH|9564157094861197907</stp>
        <tr r="O47" s="2"/>
      </tp>
      <tp t="s">
        <v>#N/A N/A</v>
        <stp/>
        <stp>BDH|8374600155277459578</stp>
        <tr r="C67" s="2"/>
      </tp>
      <tp t="s">
        <v>#N/A N/A</v>
        <stp/>
        <stp>BDH|6325489240289921670</stp>
        <tr r="D61" s="2"/>
      </tp>
      <tp t="s">
        <v>#N/A N/A</v>
        <stp/>
        <stp>BDH|7970122717164552933</stp>
        <tr r="Y83" s="2"/>
      </tp>
      <tp t="s">
        <v>#N/A N/A</v>
        <stp/>
        <stp>BDH|2837067744648715476</stp>
        <tr r="AB47" s="2"/>
      </tp>
      <tp t="s">
        <v>#N/A N/A</v>
        <stp/>
        <stp>BDH|9443416322632926757</stp>
        <tr r="AC26" s="2"/>
      </tp>
      <tp t="s">
        <v>#N/A N/A</v>
        <stp/>
        <stp>BDH|8427766067442634183</stp>
        <tr r="S47" s="2"/>
      </tp>
      <tp t="s">
        <v>#N/A N/A</v>
        <stp/>
        <stp>BDH|2703760788660203705</stp>
        <tr r="G92" s="2"/>
      </tp>
      <tp t="s">
        <v>#N/A N/A</v>
        <stp/>
        <stp>BDH|8350013645672539496</stp>
        <tr r="P92" s="2"/>
      </tp>
      <tp t="s">
        <v>#N/A N/A</v>
        <stp/>
        <stp>BDH|6277956766250258382</stp>
        <tr r="Q17" s="2"/>
      </tp>
      <tp t="s">
        <v>#N/A N/A</v>
        <stp/>
        <stp>BDH|4273224362172151880</stp>
        <tr r="U63" s="2"/>
      </tp>
      <tp t="s">
        <v>#N/A N/A</v>
        <stp/>
        <stp>BDH|3876820731222583053</stp>
        <tr r="H48" s="2"/>
      </tp>
      <tp t="s">
        <v>#N/A N/A</v>
        <stp/>
        <stp>BDH|9461712085818840409</stp>
        <tr r="AA14" s="2"/>
      </tp>
      <tp t="s">
        <v>#N/A N/A</v>
        <stp/>
        <stp>BDH|2563197080646603727</stp>
        <tr r="J27" s="2"/>
      </tp>
      <tp t="s">
        <v>#N/A N/A</v>
        <stp/>
        <stp>BDH|8102647655419809800</stp>
        <tr r="R35" s="2"/>
      </tp>
      <tp t="s">
        <v>#N/A N/A</v>
        <stp/>
        <stp>BDH|6735589480528090970</stp>
        <tr r="I90" s="2"/>
      </tp>
      <tp t="s">
        <v>#N/A N/A</v>
        <stp/>
        <stp>BDH|3034178182360445092</stp>
        <tr r="C75" s="2"/>
      </tp>
      <tp t="s">
        <v>#N/A N/A</v>
        <stp/>
        <stp>BDH|9681100771490806567</stp>
        <tr r="H9" s="2"/>
      </tp>
      <tp t="s">
        <v>#N/A N/A</v>
        <stp/>
        <stp>BDH|8550205229423162148</stp>
        <tr r="N53" s="2"/>
      </tp>
      <tp t="s">
        <v>#N/A N/A</v>
        <stp/>
        <stp>BDH|7685678130251118999</stp>
        <tr r="G21" s="2"/>
      </tp>
      <tp t="s">
        <v>#N/A N/A</v>
        <stp/>
        <stp>BDH|8494919327829585090</stp>
        <tr r="Z43" s="2"/>
      </tp>
      <tp t="s">
        <v>#N/A N/A</v>
        <stp/>
        <stp>BDH|7993112022939403702</stp>
        <tr r="U83" s="2"/>
      </tp>
      <tp t="s">
        <v>#N/A N/A</v>
        <stp/>
        <stp>BDH|7184935788229156553</stp>
        <tr r="G28" s="2"/>
      </tp>
      <tp t="s">
        <v>#N/A N/A</v>
        <stp/>
        <stp>BDH|3293012601660976952</stp>
        <tr r="J77" s="2"/>
      </tp>
      <tp t="s">
        <v>#N/A N/A</v>
        <stp/>
        <stp>BDH|5711585788947143581</stp>
        <tr r="H31" s="2"/>
      </tp>
      <tp t="s">
        <v>#N/A N/A</v>
        <stp/>
        <stp>BDH|7768868272040518282</stp>
        <tr r="N71" s="2"/>
      </tp>
      <tp t="s">
        <v>#N/A N/A</v>
        <stp/>
        <stp>BDH|6466672913972890969</stp>
        <tr r="N89" s="2"/>
      </tp>
      <tp t="s">
        <v>#N/A N/A</v>
        <stp/>
        <stp>BDH|2013639994134174380</stp>
        <tr r="G71" s="2"/>
      </tp>
      <tp t="s">
        <v>#N/A N/A</v>
        <stp/>
        <stp>BDH|8678474071830637198</stp>
        <tr r="P57" s="2"/>
      </tp>
      <tp t="s">
        <v>#N/A N/A</v>
        <stp/>
        <stp>BDH|3850813717769567943</stp>
        <tr r="AC46" s="2"/>
      </tp>
      <tp t="s">
        <v>#N/A N/A</v>
        <stp/>
        <stp>BDH|5614979260251661187</stp>
        <tr r="Z68" s="2"/>
      </tp>
      <tp t="s">
        <v>#N/A N/A</v>
        <stp/>
        <stp>BDH|2828650042413511967</stp>
        <tr r="AC30" s="2"/>
      </tp>
      <tp t="s">
        <v>#N/A N/A</v>
        <stp/>
        <stp>BDH|2091809119898285976</stp>
        <tr r="X66" s="2"/>
      </tp>
      <tp t="s">
        <v>#N/A N/A</v>
        <stp/>
        <stp>BDH|5290825680669411686</stp>
        <tr r="Y17" s="2"/>
      </tp>
      <tp t="s">
        <v>#N/A N/A</v>
        <stp/>
        <stp>BDH|5880135779950961968</stp>
        <tr r="R74" s="2"/>
      </tp>
      <tp t="s">
        <v>#N/A N/A</v>
        <stp/>
        <stp>BDH|5660957462074986456</stp>
        <tr r="D34" s="2"/>
      </tp>
      <tp t="s">
        <v>#N/A N/A</v>
        <stp/>
        <stp>BDH|8556140062147761263</stp>
        <tr r="C68" s="2"/>
      </tp>
      <tp t="s">
        <v>#N/A N/A</v>
        <stp/>
        <stp>BDH|4441228084615831189</stp>
        <tr r="M48" s="2"/>
      </tp>
      <tp t="s">
        <v>#N/A N/A</v>
        <stp/>
        <stp>BDH|4861672060639521787</stp>
        <tr r="Q77" s="2"/>
      </tp>
      <tp t="s">
        <v>#N/A N/A</v>
        <stp/>
        <stp>BDH|7531831049254990544</stp>
        <tr r="M91" s="2"/>
      </tp>
      <tp t="s">
        <v>#N/A N/A</v>
        <stp/>
        <stp>BDH|2337502554390640838</stp>
        <tr r="N34" s="2"/>
      </tp>
      <tp t="s">
        <v>#N/A N/A</v>
        <stp/>
        <stp>BDH|7130504984628328853</stp>
        <tr r="Y59" s="2"/>
      </tp>
      <tp t="s">
        <v>#N/A N/A</v>
        <stp/>
        <stp>BDH|5207693058248952492</stp>
        <tr r="AF14" s="2"/>
      </tp>
      <tp t="s">
        <v>#N/A N/A</v>
        <stp/>
        <stp>BDH|5762480770408488480</stp>
        <tr r="L18" s="2"/>
      </tp>
      <tp t="s">
        <v>#N/A N/A</v>
        <stp/>
        <stp>BDH|8569371566514240364</stp>
        <tr r="T22" s="2"/>
      </tp>
      <tp t="s">
        <v>#N/A N/A</v>
        <stp/>
        <stp>BDH|1872408098526537048</stp>
        <tr r="AD68" s="2"/>
      </tp>
      <tp t="s">
        <v>#N/A N/A</v>
        <stp/>
        <stp>BDH|5722401231591159962</stp>
        <tr r="D58" s="2"/>
      </tp>
      <tp t="s">
        <v>#N/A N/A</v>
        <stp/>
        <stp>BDH|6952713474368555480</stp>
        <tr r="D22" s="2"/>
      </tp>
      <tp t="s">
        <v>#N/A N/A</v>
        <stp/>
        <stp>BDH|9109178631535537437</stp>
        <tr r="AF48" s="2"/>
      </tp>
      <tp t="s">
        <v>#N/A N/A</v>
        <stp/>
        <stp>BDH|9687287319330110070</stp>
        <tr r="G10" s="2"/>
      </tp>
      <tp t="s">
        <v>#N/A N/A</v>
        <stp/>
        <stp>BDH|1164458594292911482</stp>
        <tr r="AA57" s="2"/>
      </tp>
      <tp t="s">
        <v>#N/A N/A</v>
        <stp/>
        <stp>BDH|4264933427532167711</stp>
        <tr r="I76" s="2"/>
      </tp>
      <tp t="s">
        <v>#N/A N/A</v>
        <stp/>
        <stp>BDH|7537648236991839998</stp>
        <tr r="O15" s="2"/>
      </tp>
      <tp t="s">
        <v>#N/A N/A</v>
        <stp/>
        <stp>BDH|3694213485774434703</stp>
        <tr r="W29" s="2"/>
      </tp>
      <tp t="s">
        <v>#N/A N/A</v>
        <stp/>
        <stp>BDH|5316749791618782978</stp>
        <tr r="E43" s="2"/>
      </tp>
      <tp t="s">
        <v>#N/A N/A</v>
        <stp/>
        <stp>BDH|4703856544791503343</stp>
        <tr r="U34" s="2"/>
      </tp>
      <tp t="s">
        <v>#N/A N/A</v>
        <stp/>
        <stp>BDH|5785382832897357893</stp>
        <tr r="G35" s="2"/>
      </tp>
      <tp t="s">
        <v>#N/A N/A</v>
        <stp/>
        <stp>BDH|6648402736529619214</stp>
        <tr r="AC40" s="2"/>
      </tp>
      <tp t="s">
        <v>#N/A N/A</v>
        <stp/>
        <stp>BDH|6770998348373810290</stp>
        <tr r="Y65" s="2"/>
      </tp>
      <tp t="s">
        <v>#N/A N/A</v>
        <stp/>
        <stp>BDH|7851256629559362433</stp>
        <tr r="AC90" s="2"/>
      </tp>
      <tp t="s">
        <v>#N/A N/A</v>
        <stp/>
        <stp>BDH|7892899752262545221</stp>
        <tr r="AA40" s="2"/>
      </tp>
      <tp t="s">
        <v>#N/A N/A</v>
        <stp/>
        <stp>BDH|1938853079647147305</stp>
        <tr r="L48" s="2"/>
      </tp>
      <tp t="s">
        <v>#N/A N/A</v>
        <stp/>
        <stp>BDH|8975392665267076000</stp>
        <tr r="D46" s="2"/>
      </tp>
      <tp t="s">
        <v>#N/A N/A</v>
        <stp/>
        <stp>BDH|5163701823338221255</stp>
        <tr r="AE55" s="2"/>
      </tp>
      <tp t="s">
        <v>#N/A N/A</v>
        <stp/>
        <stp>BDH|5247759381603212318</stp>
        <tr r="O77" s="2"/>
      </tp>
      <tp t="s">
        <v>#N/A N/A</v>
        <stp/>
        <stp>BDH|17270536590039670</stp>
        <tr r="Q53" s="2"/>
      </tp>
      <tp t="s">
        <v>#N/A N/A</v>
        <stp/>
        <stp>BDH|56047077768947869</stp>
        <tr r="P29" s="2"/>
      </tp>
      <tp t="s">
        <v>#N/A N/A</v>
        <stp/>
        <stp>BDH|90088310595352339</stp>
        <tr r="L89" s="2"/>
      </tp>
      <tp t="s">
        <v>#N/A N/A</v>
        <stp/>
        <stp>BDH|9738873320659201187</stp>
        <tr r="E91" s="2"/>
      </tp>
      <tp t="s">
        <v>#N/A N/A</v>
        <stp/>
        <stp>BDH|2536982333913535019</stp>
        <tr r="Z10" s="2"/>
      </tp>
      <tp t="s">
        <v>#N/A N/A</v>
        <stp/>
        <stp>BDH|2940924242697629351</stp>
        <tr r="L9" s="2"/>
      </tp>
      <tp t="s">
        <v>#N/A N/A</v>
        <stp/>
        <stp>BDH|6215864839123408526</stp>
        <tr r="V24" s="2"/>
      </tp>
      <tp t="s">
        <v>#N/A N/A</v>
        <stp/>
        <stp>BDH|3296434681554395084</stp>
        <tr r="M81" s="2"/>
      </tp>
      <tp t="s">
        <v>#N/A N/A</v>
        <stp/>
        <stp>BDH|9934528900870606766</stp>
        <tr r="W77" s="2"/>
      </tp>
      <tp t="s">
        <v>#N/A N/A</v>
        <stp/>
        <stp>BDH|8868263358036561287</stp>
        <tr r="C71" s="2"/>
      </tp>
      <tp t="s">
        <v>#N/A N/A</v>
        <stp/>
        <stp>BDH|6696019130349868743</stp>
        <tr r="Y77" s="2"/>
      </tp>
      <tp t="s">
        <v>#N/A N/A</v>
        <stp/>
        <stp>BDH|3025540076803967905</stp>
        <tr r="U62" s="2"/>
      </tp>
      <tp t="s">
        <v>#N/A N/A</v>
        <stp/>
        <stp>BDH|9108529169160340125</stp>
        <tr r="L45" s="2"/>
      </tp>
      <tp t="s">
        <v>#N/A N/A</v>
        <stp/>
        <stp>BDH|4993930472994058508</stp>
        <tr r="E64" s="2"/>
      </tp>
      <tp t="s">
        <v>#N/A N/A</v>
        <stp/>
        <stp>BDH|5683284140728031064</stp>
        <tr r="L31" s="2"/>
      </tp>
      <tp t="s">
        <v>#N/A N/A</v>
        <stp/>
        <stp>BDH|9945320313294254430</stp>
        <tr r="AA58" s="2"/>
      </tp>
      <tp t="s">
        <v>#N/A N/A</v>
        <stp/>
        <stp>BDH|1923315811959273120</stp>
        <tr r="C29" s="2"/>
      </tp>
      <tp t="s">
        <v>#N/A N/A</v>
        <stp/>
        <stp>BDH|3584893547740072421</stp>
        <tr r="S67" s="2"/>
      </tp>
      <tp t="s">
        <v>#N/A N/A</v>
        <stp/>
        <stp>BDH|8664346234271097287</stp>
        <tr r="Y27" s="2"/>
      </tp>
      <tp t="s">
        <v>#N/A N/A</v>
        <stp/>
        <stp>BDH|4982620665457749860</stp>
        <tr r="N64" s="2"/>
      </tp>
      <tp t="s">
        <v>#N/A N/A</v>
        <stp/>
        <stp>BDH|2153050496997605782</stp>
        <tr r="S56" s="2"/>
      </tp>
      <tp t="s">
        <v>#N/A N/A</v>
        <stp/>
        <stp>BDH|4834770986136040641</stp>
        <tr r="H13" s="2"/>
      </tp>
      <tp t="s">
        <v>#N/A N/A</v>
        <stp/>
        <stp>BDH|9672288807237027749</stp>
        <tr r="J54" s="2"/>
      </tp>
      <tp t="s">
        <v>#N/A N/A</v>
        <stp/>
        <stp>BDH|3902628486016647065</stp>
        <tr r="AA34" s="2"/>
      </tp>
      <tp t="s">
        <v>#N/A N/A</v>
        <stp/>
        <stp>BDH|2217854306785523463</stp>
        <tr r="AF40" s="2"/>
      </tp>
      <tp t="s">
        <v>#N/A N/A</v>
        <stp/>
        <stp>BDH|2358074536478875281</stp>
        <tr r="E61" s="2"/>
      </tp>
      <tp t="s">
        <v>#N/A N/A</v>
        <stp/>
        <stp>BDH|7274618384725507703</stp>
        <tr r="R24" s="2"/>
      </tp>
      <tp t="s">
        <v>#N/A N/A</v>
        <stp/>
        <stp>BDH|8006119120519493979</stp>
        <tr r="K89" s="2"/>
      </tp>
      <tp t="s">
        <v>#N/A N/A</v>
        <stp/>
        <stp>BDH|5853829650680900314</stp>
        <tr r="O13" s="2"/>
      </tp>
      <tp t="s">
        <v>#N/A N/A</v>
        <stp/>
        <stp>BDH|3647601715787383824</stp>
        <tr r="P40" s="2"/>
      </tp>
      <tp t="s">
        <v>#N/A N/A</v>
        <stp/>
        <stp>BDH|7277734604248527334</stp>
        <tr r="Q11" s="2"/>
      </tp>
      <tp t="s">
        <v>#N/A N/A</v>
        <stp/>
        <stp>BDH|3675937866472540556</stp>
        <tr r="AA88" s="2"/>
      </tp>
      <tp t="s">
        <v>#N/A N/A</v>
        <stp/>
        <stp>BDH|1594610176598550378</stp>
        <tr r="X61" s="2"/>
      </tp>
      <tp t="s">
        <v>#N/A N/A</v>
        <stp/>
        <stp>BDH|5168766883985479406</stp>
        <tr r="E85" s="2"/>
      </tp>
      <tp t="s">
        <v>#N/A N/A</v>
        <stp/>
        <stp>BDH|9823483626957692309</stp>
        <tr r="U13" s="2"/>
      </tp>
      <tp t="s">
        <v>#N/A N/A</v>
        <stp/>
        <stp>BDH|5235525194574518619</stp>
        <tr r="X23" s="2"/>
      </tp>
      <tp t="s">
        <v>#N/A N/A</v>
        <stp/>
        <stp>BDH|5463362117429669538</stp>
        <tr r="G60" s="2"/>
      </tp>
      <tp t="s">
        <v>#N/A N/A</v>
        <stp/>
        <stp>BDH|5895735581871201091</stp>
        <tr r="R85" s="2"/>
      </tp>
      <tp t="s">
        <v>#N/A N/A</v>
        <stp/>
        <stp>BDH|8640964712748475374</stp>
        <tr r="X15" s="2"/>
      </tp>
      <tp t="s">
        <v>#N/A N/A</v>
        <stp/>
        <stp>BDH|5501696308508542001</stp>
        <tr r="Y49" s="2"/>
      </tp>
      <tp t="s">
        <v>#N/A N/A</v>
        <stp/>
        <stp>BDH|5855939264185950473</stp>
        <tr r="M18" s="2"/>
      </tp>
      <tp t="s">
        <v>#N/A N/A</v>
        <stp/>
        <stp>BDH|5305840371695362434</stp>
        <tr r="U88" s="2"/>
      </tp>
      <tp t="s">
        <v>#N/A N/A</v>
        <stp/>
        <stp>BDH|1566890670645872029</stp>
        <tr r="G67" s="2"/>
      </tp>
      <tp t="s">
        <v>#N/A N/A</v>
        <stp/>
        <stp>BDH|3505027507370540823</stp>
        <tr r="G12" s="2"/>
      </tp>
      <tp t="s">
        <v>#N/A N/A</v>
        <stp/>
        <stp>BDH|1572957432939395963</stp>
        <tr r="C54" s="2"/>
      </tp>
      <tp t="s">
        <v>#N/A N/A</v>
        <stp/>
        <stp>BDH|3263769860448095131</stp>
        <tr r="J65" s="2"/>
      </tp>
      <tp t="s">
        <v>#N/A N/A</v>
        <stp/>
        <stp>BDH|9848782243121687024</stp>
        <tr r="Z31" s="2"/>
      </tp>
      <tp t="s">
        <v>#N/A N/A</v>
        <stp/>
        <stp>BDH|2646956128551953358</stp>
        <tr r="O58" s="2"/>
      </tp>
      <tp t="s">
        <v>#N/A N/A</v>
        <stp/>
        <stp>BDH|9081890281503958165</stp>
        <tr r="Y25" s="2"/>
      </tp>
      <tp t="s">
        <v>#N/A N/A</v>
        <stp/>
        <stp>BDH|4600422611148263235</stp>
        <tr r="M8" s="2"/>
      </tp>
      <tp t="s">
        <v>#N/A N/A</v>
        <stp/>
        <stp>BDH|8861046234175810549</stp>
        <tr r="F59" s="2"/>
      </tp>
      <tp t="s">
        <v>#N/A N/A</v>
        <stp/>
        <stp>BDH|9038725094658486461</stp>
        <tr r="T53" s="2"/>
      </tp>
      <tp t="s">
        <v>#N/A N/A</v>
        <stp/>
        <stp>BDH|8961094128329578887</stp>
        <tr r="F64" s="2"/>
      </tp>
      <tp t="s">
        <v>#N/A N/A</v>
        <stp/>
        <stp>BDH|6786867912151057569</stp>
        <tr r="F43" s="2"/>
      </tp>
      <tp t="s">
        <v>#N/A N/A</v>
        <stp/>
        <stp>BDH|7602691974794929970</stp>
        <tr r="P61" s="2"/>
      </tp>
      <tp t="s">
        <v>#N/A N/A</v>
        <stp/>
        <stp>BDH|2111936837865922690</stp>
        <tr r="V27" s="2"/>
      </tp>
      <tp t="s">
        <v>#N/A N/A</v>
        <stp/>
        <stp>BDH|61263904242015628</stp>
        <tr r="L83" s="2"/>
      </tp>
      <tp t="s">
        <v>#N/A N/A</v>
        <stp/>
        <stp>BDH|37969290813920515</stp>
        <tr r="X65" s="2"/>
      </tp>
      <tp t="s">
        <v>#N/A N/A</v>
        <stp/>
        <stp>BDH|71963737238901432</stp>
        <tr r="AD41" s="2"/>
      </tp>
      <tp t="s">
        <v>#N/A N/A</v>
        <stp/>
        <stp>BDH|4193672555812913102</stp>
        <tr r="AD55" s="2"/>
      </tp>
      <tp t="s">
        <v>#N/A N/A</v>
        <stp/>
        <stp>BDH|3952374855467570641</stp>
        <tr r="U47" s="2"/>
      </tp>
      <tp t="s">
        <v>#N/A N/A</v>
        <stp/>
        <stp>BDH|3417861612119973731</stp>
        <tr r="D54" s="2"/>
      </tp>
      <tp t="s">
        <v>#N/A N/A</v>
        <stp/>
        <stp>BDH|6440848349388456669</stp>
        <tr r="U40" s="2"/>
      </tp>
      <tp t="s">
        <v>#N/A N/A</v>
        <stp/>
        <stp>BDH|6219156705535841611</stp>
        <tr r="AE85" s="2"/>
      </tp>
      <tp t="s">
        <v>#N/A N/A</v>
        <stp/>
        <stp>BDH|3426136357246263596</stp>
        <tr r="K19" s="2"/>
      </tp>
      <tp t="s">
        <v>#N/A N/A</v>
        <stp/>
        <stp>BDH|8951585792773154399</stp>
        <tr r="J92" s="2"/>
      </tp>
      <tp t="s">
        <v>#N/A N/A</v>
        <stp/>
        <stp>BDH|2936414991212683942</stp>
        <tr r="AB28" s="2"/>
      </tp>
      <tp t="s">
        <v>#N/A N/A</v>
        <stp/>
        <stp>BDH|3255923357549848273</stp>
        <tr r="O85" s="2"/>
      </tp>
      <tp t="s">
        <v>#N/A N/A</v>
        <stp/>
        <stp>BDH|1488204140857514492</stp>
        <tr r="O38" s="2"/>
      </tp>
      <tp t="s">
        <v>#N/A N/A</v>
        <stp/>
        <stp>BDH|4488064708092431260</stp>
        <tr r="AD22" s="2"/>
      </tp>
      <tp t="s">
        <v>#N/A N/A</v>
        <stp/>
        <stp>BDH|7062692933561476772</stp>
        <tr r="AB87" s="2"/>
      </tp>
      <tp t="s">
        <v>#N/A N/A</v>
        <stp/>
        <stp>BDH|1669659423419199884</stp>
        <tr r="J83" s="2"/>
      </tp>
      <tp t="s">
        <v>#N/A N/A</v>
        <stp/>
        <stp>BDH|9570394636689430479</stp>
        <tr r="L57" s="2"/>
      </tp>
      <tp t="s">
        <v>#N/A N/A</v>
        <stp/>
        <stp>BDH|5979616565720770143</stp>
        <tr r="AE53" s="2"/>
      </tp>
      <tp t="s">
        <v>#N/A N/A</v>
        <stp/>
        <stp>BDH|5006563921692975407</stp>
        <tr r="I88" s="2"/>
      </tp>
      <tp t="s">
        <v>#N/A N/A</v>
        <stp/>
        <stp>BDH|5713552559711285075</stp>
        <tr r="K72" s="2"/>
      </tp>
      <tp t="s">
        <v>#N/A N/A</v>
        <stp/>
        <stp>BDH|2261529423640908141</stp>
        <tr r="L61" s="2"/>
      </tp>
      <tp t="s">
        <v>#N/A N/A</v>
        <stp/>
        <stp>BDH|4008270859124165306</stp>
        <tr r="F38" s="2"/>
      </tp>
      <tp t="s">
        <v>#N/A N/A</v>
        <stp/>
        <stp>BDH|4012501846631059096</stp>
        <tr r="K69" s="2"/>
      </tp>
      <tp t="s">
        <v>#N/A N/A</v>
        <stp/>
        <stp>BDH|7566159742332569483</stp>
        <tr r="R27" s="2"/>
      </tp>
      <tp t="s">
        <v>#N/A N/A</v>
        <stp/>
        <stp>BDH|7440650209850581529</stp>
        <tr r="E63" s="2"/>
      </tp>
      <tp t="s">
        <v>#N/A N/A</v>
        <stp/>
        <stp>BDH|5570564623332415487</stp>
        <tr r="Y19" s="2"/>
      </tp>
      <tp t="s">
        <v>#N/A N/A</v>
        <stp/>
        <stp>BDH|5070918898648346966</stp>
        <tr r="K11" s="2"/>
      </tp>
      <tp t="s">
        <v>#N/A N/A</v>
        <stp/>
        <stp>BDH|3708001835726824271</stp>
        <tr r="AC32" s="2"/>
      </tp>
      <tp t="s">
        <v>#N/A N/A</v>
        <stp/>
        <stp>BDH|3056776902081137197</stp>
        <tr r="T62" s="2"/>
      </tp>
      <tp t="s">
        <v>#N/A N/A</v>
        <stp/>
        <stp>BDH|7385549139601372409</stp>
        <tr r="N23" s="2"/>
      </tp>
      <tp t="s">
        <v>#N/A N/A</v>
        <stp/>
        <stp>BDH|1978530332355650638</stp>
        <tr r="T69" s="2"/>
      </tp>
      <tp t="s">
        <v>#N/A N/A</v>
        <stp/>
        <stp>BDH|7388698753496189654</stp>
        <tr r="X51" s="2"/>
      </tp>
      <tp t="s">
        <v>#N/A N/A</v>
        <stp/>
        <stp>BDH|8876003200329428518</stp>
        <tr r="I65" s="2"/>
      </tp>
      <tp t="s">
        <v>#N/A N/A</v>
        <stp/>
        <stp>BDH|8254902113973413783</stp>
        <tr r="V41" s="2"/>
      </tp>
      <tp t="s">
        <v>#N/A N/A</v>
        <stp/>
        <stp>BDH|4629584301980051526</stp>
        <tr r="H73" s="2"/>
      </tp>
      <tp t="s">
        <v>#N/A N/A</v>
        <stp/>
        <stp>BDH|6920214629516238410</stp>
        <tr r="Y35" s="2"/>
      </tp>
      <tp t="s">
        <v>#N/A N/A</v>
        <stp/>
        <stp>BDH|2046146561944079579</stp>
        <tr r="Z90" s="2"/>
      </tp>
      <tp t="s">
        <v>#N/A N/A</v>
        <stp/>
        <stp>BDH|6504755678583937137</stp>
        <tr r="J84" s="2"/>
      </tp>
      <tp t="s">
        <v>#N/A N/A</v>
        <stp/>
        <stp>BDH|6917901198402277015</stp>
        <tr r="L46" s="2"/>
      </tp>
      <tp t="s">
        <v>#N/A N/A</v>
        <stp/>
        <stp>BDH|7380989499735896684</stp>
        <tr r="D17" s="2"/>
      </tp>
      <tp t="s">
        <v>#N/A N/A</v>
        <stp/>
        <stp>BDH|3512358006517779337</stp>
        <tr r="W24" s="2"/>
      </tp>
      <tp t="s">
        <v>#N/A N/A</v>
        <stp/>
        <stp>BDH|7991161741744822242</stp>
        <tr r="R69" s="2"/>
      </tp>
      <tp t="s">
        <v>#N/A N/A</v>
        <stp/>
        <stp>BDH|4019870994326309733</stp>
        <tr r="AD59" s="2"/>
      </tp>
      <tp t="s">
        <v>#N/A N/A</v>
        <stp/>
        <stp>BDH|5633896962778793798</stp>
        <tr r="L65" s="2"/>
      </tp>
      <tp t="s">
        <v>#N/A N/A</v>
        <stp/>
        <stp>BDH|6544935482217062470</stp>
        <tr r="L13" s="2"/>
      </tp>
      <tp t="s">
        <v>#N/A N/A</v>
        <stp/>
        <stp>BDH|2588076307042200447</stp>
        <tr r="V59" s="2"/>
      </tp>
      <tp t="s">
        <v>#N/A N/A</v>
        <stp/>
        <stp>BDH|1752638122007398669</stp>
        <tr r="P86" s="2"/>
      </tp>
      <tp t="s">
        <v>#N/A N/A</v>
        <stp/>
        <stp>BDH|2174079433564218146</stp>
        <tr r="AD82" s="2"/>
      </tp>
      <tp t="s">
        <v>#N/A N/A</v>
        <stp/>
        <stp>BDH|3931120966900484092</stp>
        <tr r="S32" s="2"/>
      </tp>
      <tp t="s">
        <v>#N/A N/A</v>
        <stp/>
        <stp>BDH|3865957298207720022</stp>
        <tr r="AA38" s="2"/>
      </tp>
      <tp t="s">
        <v>#N/A N/A</v>
        <stp/>
        <stp>BDH|1876890887074000164</stp>
        <tr r="AB27" s="2"/>
      </tp>
      <tp t="s">
        <v>#N/A N/A</v>
        <stp/>
        <stp>BDH|8289914044284165563</stp>
        <tr r="Q44" s="2"/>
      </tp>
      <tp t="s">
        <v>#N/A N/A</v>
        <stp/>
        <stp>BDH|7906321323387086587</stp>
        <tr r="E18" s="2"/>
      </tp>
      <tp t="s">
        <v>#N/A N/A</v>
        <stp/>
        <stp>BDH|4933468962113885141</stp>
        <tr r="AE45" s="2"/>
      </tp>
      <tp t="s">
        <v>#N/A N/A</v>
        <stp/>
        <stp>BDH|6332841044226422864</stp>
        <tr r="I39" s="2"/>
      </tp>
      <tp t="s">
        <v>#N/A N/A</v>
        <stp/>
        <stp>BDH|8766178059911908911</stp>
        <tr r="S54" s="2"/>
      </tp>
      <tp t="s">
        <v>#N/A N/A</v>
        <stp/>
        <stp>BDH|8526652970225591842</stp>
        <tr r="M63" s="2"/>
      </tp>
      <tp t="s">
        <v>#N/A N/A</v>
        <stp/>
        <stp>BDH|8446320922175637846</stp>
        <tr r="Z81" s="2"/>
      </tp>
      <tp t="s">
        <v>#N/A N/A</v>
        <stp/>
        <stp>BDH|6154674042199341917</stp>
        <tr r="E71" s="2"/>
      </tp>
      <tp t="s">
        <v>#N/A N/A</v>
        <stp/>
        <stp>BDH|3694842002457728819</stp>
        <tr r="AD81" s="2"/>
      </tp>
      <tp t="s">
        <v>#N/A N/A</v>
        <stp/>
        <stp>BDH|8898697790505705602</stp>
        <tr r="N73" s="2"/>
      </tp>
      <tp t="s">
        <v>#N/A N/A</v>
        <stp/>
        <stp>BDH|6820666642305891521</stp>
        <tr r="L60" s="2"/>
      </tp>
      <tp t="s">
        <v>#N/A N/A</v>
        <stp/>
        <stp>BDH|1501965498747537290</stp>
        <tr r="E29" s="2"/>
      </tp>
      <tp t="s">
        <v>#N/A N/A</v>
        <stp/>
        <stp>BDH|7702236978407879131</stp>
        <tr r="D92" s="2"/>
      </tp>
      <tp t="s">
        <v>#N/A N/A</v>
        <stp/>
        <stp>BDH|1096865247869785015</stp>
        <tr r="D42" s="2"/>
      </tp>
      <tp t="s">
        <v>#N/A N/A</v>
        <stp/>
        <stp>BDH|9986898406712824798</stp>
        <tr r="J87" s="2"/>
      </tp>
      <tp t="s">
        <v>#N/A N/A</v>
        <stp/>
        <stp>BDH|8196863684275715936</stp>
        <tr r="AE14" s="2"/>
      </tp>
      <tp t="s">
        <v>#N/A N/A</v>
        <stp/>
        <stp>BDH|8817481135269629272</stp>
        <tr r="T28" s="2"/>
      </tp>
      <tp t="s">
        <v>#N/A N/A</v>
        <stp/>
        <stp>BDH|1801492425673148018</stp>
        <tr r="I22" s="2"/>
      </tp>
      <tp t="s">
        <v>#N/A N/A</v>
        <stp/>
        <stp>BDH|7348004273933326776</stp>
        <tr r="Q62" s="2"/>
      </tp>
      <tp t="s">
        <v>#N/A N/A</v>
        <stp/>
        <stp>BDH|8653873613333704606</stp>
        <tr r="AF62" s="2"/>
      </tp>
      <tp t="s">
        <v>#N/A N/A</v>
        <stp/>
        <stp>BDH|7537950580203665132</stp>
        <tr r="P81" s="2"/>
      </tp>
      <tp t="s">
        <v>#N/A N/A</v>
        <stp/>
        <stp>BDH|3660660882691703808</stp>
        <tr r="AF52" s="2"/>
      </tp>
      <tp t="s">
        <v>#N/A N/A</v>
        <stp/>
        <stp>BDH|5190061213937973672</stp>
        <tr r="X44" s="2"/>
      </tp>
      <tp t="s">
        <v>#N/A N/A</v>
        <stp/>
        <stp>BDH|4085437193269849520</stp>
        <tr r="T30" s="2"/>
      </tp>
      <tp t="s">
        <v>#N/A N/A</v>
        <stp/>
        <stp>BDH|3459384674606606456</stp>
        <tr r="K10" s="2"/>
      </tp>
      <tp t="s">
        <v>#N/A N/A</v>
        <stp/>
        <stp>BDH|3937870630365400812</stp>
        <tr r="AA76" s="2"/>
      </tp>
      <tp t="s">
        <v>#N/A N/A</v>
        <stp/>
        <stp>BDH|3699384260120689331</stp>
        <tr r="AF66" s="2"/>
      </tp>
      <tp t="s">
        <v>#N/A N/A</v>
        <stp/>
        <stp>BDH|9572696900872425835</stp>
        <tr r="N11" s="2"/>
      </tp>
      <tp t="s">
        <v>#N/A N/A</v>
        <stp/>
        <stp>BDH|2013257486099333485</stp>
        <tr r="E53" s="2"/>
      </tp>
      <tp t="s">
        <v>#N/A N/A</v>
        <stp/>
        <stp>BDH|1062495197651250844</stp>
        <tr r="C18" s="2"/>
      </tp>
      <tp t="s">
        <v>#N/A N/A</v>
        <stp/>
        <stp>BDH|4739957905220756885</stp>
        <tr r="R84" s="2"/>
      </tp>
      <tp t="s">
        <v>#N/A N/A</v>
        <stp/>
        <stp>BDH|1356397271663323300</stp>
        <tr r="C57" s="2"/>
      </tp>
      <tp t="s">
        <v>#N/A N/A</v>
        <stp/>
        <stp>BDH|2256817359013184930</stp>
        <tr r="Z77" s="2"/>
      </tp>
      <tp t="s">
        <v>#N/A N/A</v>
        <stp/>
        <stp>BDH|1630037971197832449</stp>
        <tr r="G25" s="2"/>
      </tp>
      <tp t="s">
        <v>#N/A N/A</v>
        <stp/>
        <stp>BDH|1020595806541707017</stp>
        <tr r="X8" s="2"/>
      </tp>
      <tp t="s">
        <v>#N/A N/A</v>
        <stp/>
        <stp>BDH|9441057497771850475</stp>
        <tr r="U25" s="2"/>
      </tp>
      <tp t="s">
        <v>#N/A N/A</v>
        <stp/>
        <stp>BDH|9108886065240050258</stp>
        <tr r="L91" s="2"/>
      </tp>
      <tp t="s">
        <v>#N/A N/A</v>
        <stp/>
        <stp>BDH|4890901460787721962</stp>
        <tr r="N40" s="2"/>
      </tp>
      <tp t="s">
        <v>#N/A N/A</v>
        <stp/>
        <stp>BDH|2718511432629218884</stp>
        <tr r="S68" s="2"/>
      </tp>
      <tp t="s">
        <v>#N/A N/A</v>
        <stp/>
        <stp>BDH|6203643960792197194</stp>
        <tr r="S49" s="2"/>
      </tp>
      <tp t="s">
        <v>#N/A N/A</v>
        <stp/>
        <stp>BDH|9129976355062589284</stp>
        <tr r="Y22" s="2"/>
      </tp>
      <tp t="s">
        <v>#N/A N/A</v>
        <stp/>
        <stp>BDH|5235288626314199439</stp>
        <tr r="H69" s="2"/>
      </tp>
      <tp t="s">
        <v>#N/A N/A</v>
        <stp/>
        <stp>BDH|5679549527216907122</stp>
        <tr r="U92" s="2"/>
      </tp>
      <tp t="s">
        <v>#N/A N/A</v>
        <stp/>
        <stp>BDH|2453236228594612366</stp>
        <tr r="N55" s="2"/>
      </tp>
      <tp t="s">
        <v>#N/A N/A</v>
        <stp/>
        <stp>BDH|6200198254133931498</stp>
        <tr r="M92" s="2"/>
      </tp>
      <tp t="s">
        <v>#N/A N/A</v>
        <stp/>
        <stp>BDH|6848191364486913237</stp>
        <tr r="C56" s="2"/>
      </tp>
      <tp t="s">
        <v>#N/A N/A</v>
        <stp/>
        <stp>BDH|8915082244731210888</stp>
        <tr r="D83" s="2"/>
      </tp>
      <tp t="s">
        <v>#N/A N/A</v>
        <stp/>
        <stp>BDH|5789300321878851926</stp>
        <tr r="N58" s="2"/>
      </tp>
      <tp t="s">
        <v>#N/A N/A</v>
        <stp/>
        <stp>BDH|3835557933464750456</stp>
        <tr r="AE20" s="2"/>
      </tp>
      <tp t="s">
        <v>#N/A N/A</v>
        <stp/>
        <stp>BDH|9893902013984743004</stp>
        <tr r="AA86" s="2"/>
      </tp>
      <tp t="s">
        <v>#N/A N/A</v>
        <stp/>
        <stp>BDH|1582135559884045433</stp>
        <tr r="AD28" s="2"/>
      </tp>
      <tp t="s">
        <v>#N/A N/A</v>
        <stp/>
        <stp>BDH|1194996607245185821</stp>
        <tr r="Q48" s="2"/>
      </tp>
      <tp t="s">
        <v>#N/A N/A</v>
        <stp/>
        <stp>BDH|5065702852327784598</stp>
        <tr r="D39" s="2"/>
      </tp>
      <tp t="s">
        <v>#N/A N/A</v>
        <stp/>
        <stp>BDH|4470197936624272757</stp>
        <tr r="M74" s="2"/>
      </tp>
      <tp t="s">
        <v>#N/A N/A</v>
        <stp/>
        <stp>BDH|6329229505650954112</stp>
        <tr r="N31" s="2"/>
      </tp>
      <tp t="s">
        <v>#N/A N/A</v>
        <stp/>
        <stp>BDH|8630762448088076657</stp>
        <tr r="Q20" s="2"/>
      </tp>
      <tp t="s">
        <v>#N/A N/A</v>
        <stp/>
        <stp>BDH|3262270074802457183</stp>
        <tr r="D16" s="2"/>
      </tp>
      <tp t="s">
        <v>#N/A N/A</v>
        <stp/>
        <stp>BDH|6379255550040286497</stp>
        <tr r="C63" s="2"/>
      </tp>
      <tp t="s">
        <v>#N/A N/A</v>
        <stp/>
        <stp>BDH|1980463253283618674</stp>
        <tr r="V51" s="2"/>
      </tp>
      <tp t="s">
        <v>#N/A N/A</v>
        <stp/>
        <stp>BDH|3606838865140801856</stp>
        <tr r="I68" s="2"/>
      </tp>
      <tp t="s">
        <v>#N/A N/A</v>
        <stp/>
        <stp>BDH|2973440544066967121</stp>
        <tr r="Y8" s="2"/>
      </tp>
      <tp t="s">
        <v>#N/A N/A</v>
        <stp/>
        <stp>BDH|1123316270098125836</stp>
        <tr r="F49" s="2"/>
      </tp>
      <tp t="s">
        <v>#N/A N/A</v>
        <stp/>
        <stp>BDH|6122802062695523841</stp>
        <tr r="AE81" s="2"/>
      </tp>
      <tp t="s">
        <v>#N/A N/A</v>
        <stp/>
        <stp>BDH|1570485288691530922</stp>
        <tr r="J9" s="2"/>
      </tp>
      <tp t="s">
        <v>#N/A N/A</v>
        <stp/>
        <stp>BDH|8280298687755929272</stp>
        <tr r="Z63" s="2"/>
      </tp>
      <tp t="s">
        <v>#N/A N/A</v>
        <stp/>
        <stp>BDH|4856430945287423683</stp>
        <tr r="AB86" s="2"/>
      </tp>
      <tp t="s">
        <v>#N/A N/A</v>
        <stp/>
        <stp>BDH|1870474664040173682</stp>
        <tr r="O63" s="2"/>
      </tp>
      <tp t="s">
        <v>#N/A N/A</v>
        <stp/>
        <stp>BDH|1956292177517681633</stp>
        <tr r="Y30" s="2"/>
      </tp>
      <tp t="s">
        <v>#N/A N/A</v>
        <stp/>
        <stp>BDH|2116359505761045528</stp>
        <tr r="H28" s="2"/>
      </tp>
      <tp t="s">
        <v>#N/A N/A</v>
        <stp/>
        <stp>BDH|5133284615131769283</stp>
        <tr r="F48" s="2"/>
      </tp>
      <tp t="s">
        <v>#N/A N/A</v>
        <stp/>
        <stp>BDH|8196497853789986523</stp>
        <tr r="O50" s="2"/>
      </tp>
      <tp t="s">
        <v>#N/A N/A</v>
        <stp/>
        <stp>BDH|6689059326200449115</stp>
        <tr r="C32" s="2"/>
      </tp>
      <tp t="s">
        <v>#N/A N/A</v>
        <stp/>
        <stp>BDH|2360420616556015478</stp>
        <tr r="R53" s="2"/>
      </tp>
      <tp t="s">
        <v>#N/A N/A</v>
        <stp/>
        <stp>BDH|6346588690088232792</stp>
        <tr r="C26" s="2"/>
      </tp>
      <tp t="s">
        <v>#N/A N/A</v>
        <stp/>
        <stp>BDH|2780527367107336312</stp>
        <tr r="I87" s="2"/>
      </tp>
      <tp t="s">
        <v>#N/A N/A</v>
        <stp/>
        <stp>BDH|4785173427332485022</stp>
        <tr r="AB71" s="2"/>
      </tp>
      <tp t="s">
        <v>#N/A N/A</v>
        <stp/>
        <stp>BDH|9133041588835870148</stp>
        <tr r="AF23" s="2"/>
      </tp>
      <tp t="s">
        <v>#N/A N/A</v>
        <stp/>
        <stp>BDH|3312854216538168700</stp>
        <tr r="Z49" s="2"/>
      </tp>
      <tp t="s">
        <v>#N/A N/A</v>
        <stp/>
        <stp>BDH|4268858893489036954</stp>
        <tr r="O76" s="2"/>
      </tp>
      <tp t="s">
        <v>#N/A N/A</v>
        <stp/>
        <stp>BDH|8868254982607803068</stp>
        <tr r="V11" s="2"/>
      </tp>
      <tp t="s">
        <v>#N/A N/A</v>
        <stp/>
        <stp>BDH|7482293047883298795</stp>
        <tr r="T67" s="2"/>
      </tp>
      <tp t="s">
        <v>#N/A N/A</v>
        <stp/>
        <stp>BDH|5470150193781646925</stp>
        <tr r="Q28" s="2"/>
      </tp>
      <tp t="s">
        <v>#N/A N/A</v>
        <stp/>
        <stp>BDH|3685000102902164432</stp>
        <tr r="AC92" s="2"/>
      </tp>
      <tp t="s">
        <v>#N/A N/A</v>
        <stp/>
        <stp>BDH|7356358462903024421</stp>
        <tr r="T12" s="2"/>
      </tp>
      <tp t="s">
        <v>#N/A N/A</v>
        <stp/>
        <stp>BDH|7395366325821228248</stp>
        <tr r="C46" s="2"/>
      </tp>
      <tp t="s">
        <v>#N/A N/A</v>
        <stp/>
        <stp>BDH|5154194560824711397</stp>
        <tr r="Y32" s="2"/>
      </tp>
      <tp t="s">
        <v>#N/A N/A</v>
        <stp/>
        <stp>BDH|9921294659929995277</stp>
        <tr r="Y58" s="2"/>
      </tp>
      <tp t="s">
        <v>#N/A N/A</v>
        <stp/>
        <stp>BDH|9862875978741147210</stp>
        <tr r="T20" s="2"/>
      </tp>
      <tp t="s">
        <v>#N/A N/A</v>
        <stp/>
        <stp>BDH|1375078546577114743</stp>
        <tr r="E9" s="2"/>
      </tp>
      <tp t="s">
        <v>#N/A N/A</v>
        <stp/>
        <stp>BDH|5018223150904041354</stp>
        <tr r="U82" s="2"/>
      </tp>
      <tp t="s">
        <v>#N/A N/A</v>
        <stp/>
        <stp>BDH|6657018404201643226</stp>
        <tr r="J74" s="2"/>
      </tp>
      <tp t="s">
        <v>#N/A N/A</v>
        <stp/>
        <stp>BDH|1907677467294824068</stp>
        <tr r="AD42" s="2"/>
      </tp>
      <tp t="s">
        <v>#N/A N/A</v>
        <stp/>
        <stp>BDH|6532714470651620266</stp>
        <tr r="Q64" s="2"/>
      </tp>
      <tp t="s">
        <v>#N/A N/A</v>
        <stp/>
        <stp>BDH|8948117886571375598</stp>
        <tr r="I91" s="2"/>
      </tp>
      <tp t="s">
        <v>#N/A N/A</v>
        <stp/>
        <stp>BDH|7990527138080163461</stp>
        <tr r="W47" s="2"/>
      </tp>
      <tp t="s">
        <v>#N/A N/A</v>
        <stp/>
        <stp>BDH|7463427153281486251</stp>
        <tr r="L29" s="2"/>
      </tp>
      <tp t="s">
        <v>#N/A N/A</v>
        <stp/>
        <stp>BDH|2215133537875567072</stp>
        <tr r="L77" s="2"/>
      </tp>
      <tp t="s">
        <v>#N/A N/A</v>
        <stp/>
        <stp>BDH|7802441248141939380</stp>
        <tr r="K74" s="2"/>
      </tp>
      <tp t="s">
        <v>#N/A N/A</v>
        <stp/>
        <stp>BDH|5245210105026092438</stp>
        <tr r="Y40" s="2"/>
      </tp>
      <tp t="s">
        <v>#N/A N/A</v>
        <stp/>
        <stp>BDH|6158675232611182709</stp>
        <tr r="K20" s="2"/>
      </tp>
      <tp t="s">
        <v>#N/A N/A</v>
        <stp/>
        <stp>BDH|5123048644267632320</stp>
        <tr r="AE32" s="2"/>
      </tp>
      <tp t="s">
        <v>#N/A N/A</v>
        <stp/>
        <stp>BDH|6707358266916537048</stp>
        <tr r="AD90" s="2"/>
      </tp>
      <tp t="s">
        <v>#N/A N/A</v>
        <stp/>
        <stp>BDH|5991183302082360353</stp>
        <tr r="I20" s="2"/>
      </tp>
      <tp t="s">
        <v>#N/A N/A</v>
        <stp/>
        <stp>BDH|34837715281333097</stp>
        <tr r="AF7" s="2"/>
      </tp>
      <tp t="s">
        <v>#N/A N/A</v>
        <stp/>
        <stp>BDH|6478785568851966079</stp>
        <tr r="C10" s="2"/>
      </tp>
      <tp t="s">
        <v>#N/A N/A</v>
        <stp/>
        <stp>BDH|8743449082674399684</stp>
        <tr r="E81" s="2"/>
      </tp>
      <tp t="s">
        <v>#N/A N/A</v>
        <stp/>
        <stp>BDH|3935224412637617159</stp>
        <tr r="S7" s="2"/>
      </tp>
      <tp t="s">
        <v>#N/A N/A</v>
        <stp/>
        <stp>BDH|7285602441155196689</stp>
        <tr r="X49" s="2"/>
      </tp>
      <tp t="s">
        <v>#N/A N/A</v>
        <stp/>
        <stp>BDH|7782330976915093087</stp>
        <tr r="E70" s="2"/>
      </tp>
      <tp t="s">
        <v>#N/A N/A</v>
        <stp/>
        <stp>BDH|5450221371493539594</stp>
        <tr r="P70" s="2"/>
      </tp>
      <tp t="s">
        <v>#N/A N/A</v>
        <stp/>
        <stp>BDH|5334766101533729784</stp>
        <tr r="P54" s="2"/>
      </tp>
      <tp t="s">
        <v>#N/A N/A</v>
        <stp/>
        <stp>BDH|9704113015507140899</stp>
        <tr r="AA55" s="2"/>
      </tp>
      <tp t="s">
        <v>#N/A N/A</v>
        <stp/>
        <stp>BDH|9338684157485119969</stp>
        <tr r="H11" s="2"/>
      </tp>
      <tp t="s">
        <v>#N/A N/A</v>
        <stp/>
        <stp>BDH|8820056467848494059</stp>
        <tr r="N84" s="2"/>
      </tp>
      <tp t="s">
        <v>#N/A N/A</v>
        <stp/>
        <stp>BDH|9976838031715705176</stp>
        <tr r="M87" s="2"/>
      </tp>
      <tp t="s">
        <v>#N/A N/A</v>
        <stp/>
        <stp>BDH|5750409234000131491</stp>
        <tr r="AB29" s="2"/>
      </tp>
      <tp t="s">
        <v>#N/A N/A</v>
        <stp/>
        <stp>BDH|3728746710233855037</stp>
        <tr r="N60" s="2"/>
      </tp>
      <tp t="s">
        <v>#N/A N/A</v>
        <stp/>
        <stp>BDH|2229484927230095257</stp>
        <tr r="I46" s="2"/>
      </tp>
      <tp t="s">
        <v>#N/A N/A</v>
        <stp/>
        <stp>BDH|1477284402774698102</stp>
        <tr r="W54" s="2"/>
      </tp>
      <tp t="s">
        <v>#N/A N/A</v>
        <stp/>
        <stp>BDH|2647063915540542589</stp>
        <tr r="AD89" s="2"/>
      </tp>
      <tp t="s">
        <v>#N/A N/A</v>
        <stp/>
        <stp>BDH|3116796476344605115</stp>
        <tr r="K61" s="2"/>
      </tp>
      <tp t="s">
        <v>#N/A N/A</v>
        <stp/>
        <stp>BDH|2073796233874200419</stp>
        <tr r="S71" s="2"/>
      </tp>
      <tp t="s">
        <v>#N/A N/A</v>
        <stp/>
        <stp>BDH|6126310146617976061</stp>
        <tr r="X21" s="2"/>
      </tp>
      <tp t="s">
        <v>#N/A N/A</v>
        <stp/>
        <stp>BDH|3496423937381878308</stp>
        <tr r="D84" s="2"/>
      </tp>
      <tp t="s">
        <v>#N/A N/A</v>
        <stp/>
        <stp>BDH|9939516490253026061</stp>
        <tr r="F85" s="2"/>
      </tp>
      <tp t="s">
        <v>#N/A N/A</v>
        <stp/>
        <stp>BDH|7942962611701961891</stp>
        <tr r="V57" s="2"/>
      </tp>
      <tp t="s">
        <v>#N/A N/A</v>
        <stp/>
        <stp>BDH|6640143423151879278</stp>
        <tr r="T74" s="2"/>
      </tp>
      <tp t="s">
        <v>#N/A N/A</v>
        <stp/>
        <stp>BDH|8782287466712276857</stp>
        <tr r="AF44" s="2"/>
      </tp>
      <tp t="s">
        <v>#N/A N/A</v>
        <stp/>
        <stp>BDH|2874967682893376614</stp>
        <tr r="E33" s="2"/>
      </tp>
      <tp t="s">
        <v>#N/A N/A</v>
        <stp/>
        <stp>BDH|8620943378237476708</stp>
        <tr r="P26" s="2"/>
      </tp>
      <tp t="s">
        <v>#N/A N/A</v>
        <stp/>
        <stp>BDH|2334767784848870377</stp>
        <tr r="N50" s="2"/>
      </tp>
      <tp t="s">
        <v>#N/A N/A</v>
        <stp/>
        <stp>BDH|6229999085769940897</stp>
        <tr r="I28" s="2"/>
      </tp>
      <tp t="s">
        <v>#N/A N/A</v>
        <stp/>
        <stp>BDH|1220137677329355893</stp>
        <tr r="O62" s="2"/>
      </tp>
      <tp t="s">
        <v>#N/A N/A</v>
        <stp/>
        <stp>BDH|7334183023301113351</stp>
        <tr r="F21" s="2"/>
      </tp>
      <tp t="s">
        <v>#N/A N/A</v>
        <stp/>
        <stp>BDH|7395631994099892702</stp>
        <tr r="Q32" s="2"/>
      </tp>
      <tp t="s">
        <v>#N/A N/A</v>
        <stp/>
        <stp>BDH|4038011072722660791</stp>
        <tr r="I84" s="2"/>
      </tp>
      <tp t="s">
        <v>#N/A N/A</v>
        <stp/>
        <stp>BDH|7778105850110831537</stp>
        <tr r="O83" s="2"/>
      </tp>
      <tp t="s">
        <v>#N/A N/A</v>
        <stp/>
        <stp>BDH|1045057417344901278</stp>
        <tr r="AD32" s="2"/>
      </tp>
      <tp t="s">
        <v>#N/A N/A</v>
        <stp/>
        <stp>BDH|6379165809798706979</stp>
        <tr r="AB74" s="2"/>
      </tp>
      <tp t="s">
        <v>#N/A N/A</v>
        <stp/>
        <stp>BDH|3028033845753969221</stp>
        <tr r="AC35" s="2"/>
      </tp>
      <tp t="s">
        <v>#N/A N/A</v>
        <stp/>
        <stp>BDH|5374237217194871421</stp>
        <tr r="W67" s="2"/>
      </tp>
      <tp t="s">
        <v>#N/A N/A</v>
        <stp/>
        <stp>BDH|2670467048414375068</stp>
        <tr r="H34" s="2"/>
      </tp>
      <tp t="s">
        <v>#N/A N/A</v>
        <stp/>
        <stp>BDH|5844011164027315239</stp>
        <tr r="K43" s="2"/>
      </tp>
      <tp t="s">
        <v>#N/A N/A</v>
        <stp/>
        <stp>BDH|4197051393912339962</stp>
        <tr r="L70" s="2"/>
      </tp>
      <tp t="s">
        <v>#N/A N/A</v>
        <stp/>
        <stp>BDH|7311871270416407827</stp>
        <tr r="J10" s="2"/>
      </tp>
      <tp t="s">
        <v>#N/A N/A</v>
        <stp/>
        <stp>BDH|6113226293158770358</stp>
        <tr r="R20" s="2"/>
      </tp>
      <tp t="s">
        <v>#N/A N/A</v>
        <stp/>
        <stp>BDH|5539435373570393041</stp>
        <tr r="H84" s="2"/>
      </tp>
      <tp t="s">
        <v>#N/A N/A</v>
        <stp/>
        <stp>BDH|3142453385189532068</stp>
        <tr r="G20" s="2"/>
      </tp>
      <tp t="s">
        <v>#N/A N/A</v>
        <stp/>
        <stp>BDH|6199060074304010309</stp>
        <tr r="F29" s="2"/>
      </tp>
      <tp t="s">
        <v>#N/A N/A</v>
        <stp/>
        <stp>BDH|2303627676486176350</stp>
        <tr r="C11" s="2"/>
      </tp>
      <tp t="s">
        <v>#N/A N/A</v>
        <stp/>
        <stp>BDH|6156386549425514261</stp>
        <tr r="M44" s="2"/>
      </tp>
      <tp t="s">
        <v>#N/A N/A</v>
        <stp/>
        <stp>BDH|6137042805876007636</stp>
        <tr r="AE26" s="2"/>
      </tp>
      <tp t="s">
        <v>#N/A N/A</v>
        <stp/>
        <stp>BDH|3715192343567513784</stp>
        <tr r="AB53" s="2"/>
      </tp>
      <tp t="s">
        <v>#N/A N/A</v>
        <stp/>
        <stp>BDH|4517887541286470886</stp>
        <tr r="S35" s="2"/>
      </tp>
      <tp t="s">
        <v>#N/A N/A</v>
        <stp/>
        <stp>BDH|3919450305623800213</stp>
        <tr r="V18" s="2"/>
      </tp>
      <tp t="s">
        <v>#N/A N/A</v>
        <stp/>
        <stp>BDH|1244496119643465165</stp>
        <tr r="P76" s="2"/>
      </tp>
      <tp t="s">
        <v>#N/A N/A</v>
        <stp/>
        <stp>BDH|8147242832256746907</stp>
        <tr r="AC13" s="2"/>
      </tp>
      <tp t="s">
        <v>#N/A N/A</v>
        <stp/>
        <stp>BDH|7395563772263561028</stp>
        <tr r="L74" s="2"/>
      </tp>
      <tp t="s">
        <v>#N/A N/A</v>
        <stp/>
        <stp>BDH|5453439050920693214</stp>
        <tr r="I33" s="2"/>
      </tp>
      <tp t="s">
        <v>#N/A N/A</v>
        <stp/>
        <stp>BDH|3444024656490286021</stp>
        <tr r="O56" s="2"/>
      </tp>
      <tp t="s">
        <v>#N/A N/A</v>
        <stp/>
        <stp>BDH|1455731988599785186</stp>
        <tr r="Q7" s="2"/>
      </tp>
      <tp t="s">
        <v>#N/A N/A</v>
        <stp/>
        <stp>BDH|9258528791490286322</stp>
        <tr r="N70" s="2"/>
      </tp>
      <tp t="s">
        <v>#N/A N/A</v>
        <stp/>
        <stp>BDH|8308334475249776335</stp>
        <tr r="Q35" s="2"/>
      </tp>
      <tp t="s">
        <v>#N/A N/A</v>
        <stp/>
        <stp>BDH|2628505036351046314</stp>
        <tr r="D69" s="2"/>
      </tp>
      <tp t="s">
        <v>#N/A N/A</v>
        <stp/>
        <stp>BDH|7645002812732437218</stp>
        <tr r="AD35" s="2"/>
      </tp>
      <tp t="s">
        <v>#N/A N/A</v>
        <stp/>
        <stp>BDH|5002367713454780536</stp>
        <tr r="AF25" s="2"/>
      </tp>
      <tp t="s">
        <v>#N/A N/A</v>
        <stp/>
        <stp>BDH|8528147157812339841</stp>
        <tr r="I35" s="2"/>
      </tp>
      <tp t="s">
        <v>#N/A N/A</v>
        <stp/>
        <stp>BDH|3355878281660673523</stp>
        <tr r="AA21" s="2"/>
      </tp>
      <tp t="s">
        <v>#N/A N/A</v>
        <stp/>
        <stp>BDH|2352844837147377857</stp>
        <tr r="O24" s="2"/>
      </tp>
      <tp t="s">
        <v>#N/A N/A</v>
        <stp/>
        <stp>BDH|1628423442242157513</stp>
        <tr r="AE89" s="2"/>
      </tp>
      <tp t="s">
        <v>#N/A N/A</v>
        <stp/>
        <stp>BDH|6513426192329613452</stp>
        <tr r="M17" s="2"/>
      </tp>
      <tp t="s">
        <v>#N/A N/A</v>
        <stp/>
        <stp>BDH|7103277236645280541</stp>
        <tr r="G54" s="2"/>
      </tp>
      <tp t="s">
        <v>#N/A N/A</v>
        <stp/>
        <stp>BDH|5216176025594057476</stp>
        <tr r="G7" s="2"/>
      </tp>
      <tp t="s">
        <v>#N/A N/A</v>
        <stp/>
        <stp>BDH|9813431467708926522</stp>
        <tr r="S70" s="2"/>
      </tp>
      <tp t="s">
        <v>#N/A N/A</v>
        <stp/>
        <stp>BDH|3417607435988628805</stp>
        <tr r="J14" s="2"/>
      </tp>
      <tp t="s">
        <v>#N/A N/A</v>
        <stp/>
        <stp>BDH|5284750038477081089</stp>
        <tr r="Y34" s="2"/>
      </tp>
      <tp t="s">
        <v>#N/A N/A</v>
        <stp/>
        <stp>BDH|1956528263852452680</stp>
        <tr r="S33" s="2"/>
      </tp>
      <tp t="s">
        <v>#N/A N/A</v>
        <stp/>
        <stp>BDH|2037142064722654121</stp>
        <tr r="C65" s="2"/>
      </tp>
      <tp t="s">
        <v>#N/A N/A</v>
        <stp/>
        <stp>BDH|7208079136002188063</stp>
        <tr r="AD76" s="2"/>
      </tp>
      <tp t="s">
        <v>#N/A N/A</v>
        <stp/>
        <stp>BDH|3123668737454158459</stp>
        <tr r="AC14" s="2"/>
      </tp>
      <tp t="s">
        <v>#N/A N/A</v>
        <stp/>
        <stp>BDH|2653415308237955722</stp>
        <tr r="I44" s="2"/>
      </tp>
      <tp t="s">
        <v>#N/A N/A</v>
        <stp/>
        <stp>BDH|6456359704266021519</stp>
        <tr r="E72" s="2"/>
      </tp>
      <tp t="s">
        <v>#N/A N/A</v>
        <stp/>
        <stp>BDH|5417823712422930893</stp>
        <tr r="H18" s="2"/>
      </tp>
      <tp t="s">
        <v>#N/A N/A</v>
        <stp/>
        <stp>BDH|3051509508255562592</stp>
        <tr r="Y62" s="2"/>
      </tp>
      <tp t="s">
        <v>#N/A N/A</v>
        <stp/>
        <stp>BDH|6258420142312190275</stp>
        <tr r="N62" s="2"/>
      </tp>
      <tp t="s">
        <v>#N/A N/A</v>
        <stp/>
        <stp>BDH|6609180407774477581</stp>
        <tr r="AD52" s="2"/>
      </tp>
      <tp t="s">
        <v>#N/A N/A</v>
        <stp/>
        <stp>BDH|1491412224266128753</stp>
        <tr r="M72" s="2"/>
      </tp>
      <tp t="s">
        <v>#N/A N/A</v>
        <stp/>
        <stp>BDH|6386017615663541272</stp>
        <tr r="C92" s="2"/>
      </tp>
      <tp t="s">
        <v>#N/A N/A</v>
        <stp/>
        <stp>BDH|8836193999240888655</stp>
        <tr r="AB73" s="2"/>
      </tp>
      <tp t="s">
        <v>#N/A N/A</v>
        <stp/>
        <stp>BDH|39851523996587728</stp>
        <tr r="Q41" s="2"/>
      </tp>
      <tp t="s">
        <v>#N/A N/A</v>
        <stp/>
        <stp>BDH|1773174079470004036</stp>
        <tr r="W56" s="2"/>
      </tp>
      <tp t="s">
        <v>#N/A N/A</v>
        <stp/>
        <stp>BDH|9567543018632441875</stp>
        <tr r="G15" s="2"/>
      </tp>
      <tp t="s">
        <v>#N/A N/A</v>
        <stp/>
        <stp>BDH|5642151458126152005</stp>
        <tr r="U50" s="2"/>
      </tp>
      <tp t="s">
        <v>#N/A N/A</v>
        <stp/>
        <stp>BDH|1616582207597695458</stp>
        <tr r="W7" s="2"/>
      </tp>
      <tp t="s">
        <v>#N/A N/A</v>
        <stp/>
        <stp>BDH|3230689543422612456</stp>
        <tr r="W35" s="2"/>
      </tp>
      <tp t="s">
        <v>#N/A N/A</v>
        <stp/>
        <stp>BDH|9850825369458058898</stp>
        <tr r="W40" s="2"/>
      </tp>
      <tp t="s">
        <v>#N/A N/A</v>
        <stp/>
        <stp>BDH|9293645207898980024</stp>
        <tr r="R13" s="2"/>
      </tp>
      <tp t="s">
        <v>#N/A N/A</v>
        <stp/>
        <stp>BDH|2478317184607266981</stp>
        <tr r="U51" s="2"/>
      </tp>
      <tp t="s">
        <v>#N/A N/A</v>
        <stp/>
        <stp>BDH|8503477871115030984</stp>
        <tr r="D15" s="2"/>
      </tp>
      <tp t="s">
        <v>#N/A N/A</v>
        <stp/>
        <stp>BDH|9708844859406485555</stp>
        <tr r="AB64" s="2"/>
      </tp>
      <tp t="s">
        <v>#N/A N/A</v>
        <stp/>
        <stp>BDH|2579186226375202311</stp>
        <tr r="AF75" s="2"/>
      </tp>
      <tp t="s">
        <v>#N/A N/A</v>
        <stp/>
        <stp>BDH|2503445323563908035</stp>
        <tr r="J20" s="2"/>
      </tp>
      <tp t="s">
        <v>#N/A N/A</v>
        <stp/>
        <stp>BDH|2460710822057781786</stp>
        <tr r="U30" s="2"/>
      </tp>
      <tp t="s">
        <v>#N/A N/A</v>
        <stp/>
        <stp>BDH|5630569828580426541</stp>
        <tr r="F61" s="2"/>
      </tp>
      <tp t="s">
        <v>#N/A N/A</v>
        <stp/>
        <stp>BDH|2061954506689943533</stp>
        <tr r="Q88" s="2"/>
      </tp>
      <tp t="s">
        <v>#N/A N/A</v>
        <stp/>
        <stp>BDH|3586285756103273003</stp>
        <tr r="Y43" s="2"/>
      </tp>
      <tp t="s">
        <v>#N/A N/A</v>
        <stp/>
        <stp>BDH|9887684578268137706</stp>
        <tr r="AA24" s="2"/>
      </tp>
      <tp t="s">
        <v>#N/A N/A</v>
        <stp/>
        <stp>BDH|2272137967783792184</stp>
        <tr r="E7" s="2"/>
      </tp>
      <tp t="s">
        <v>#N/A N/A</v>
        <stp/>
        <stp>BDH|5159284125926077455</stp>
        <tr r="I14" s="2"/>
      </tp>
      <tp t="s">
        <v>#N/A N/A</v>
        <stp/>
        <stp>BDH|5222863410292955949</stp>
        <tr r="S41" s="2"/>
      </tp>
      <tp t="s">
        <v>#N/A N/A</v>
        <stp/>
        <stp>BDH|7739172242255896034</stp>
        <tr r="W68" s="2"/>
      </tp>
      <tp t="s">
        <v>#N/A N/A</v>
        <stp/>
        <stp>BDH|8843555172939724463</stp>
        <tr r="T76" s="2"/>
      </tp>
      <tp t="s">
        <v>#N/A N/A</v>
        <stp/>
        <stp>BDH|9799122027415401886</stp>
        <tr r="AF10" s="2"/>
      </tp>
      <tp t="s">
        <v>#N/A N/A</v>
        <stp/>
        <stp>BDH|1338082580838678636</stp>
        <tr r="Z76" s="2"/>
      </tp>
      <tp t="s">
        <v>#N/A N/A</v>
        <stp/>
        <stp>BDH|8393425654349966724</stp>
        <tr r="S86" s="2"/>
      </tp>
      <tp t="s">
        <v>#N/A N/A</v>
        <stp/>
        <stp>BDH|1570229706384823073</stp>
        <tr r="M59" s="2"/>
      </tp>
      <tp t="s">
        <v>#N/A N/A</v>
        <stp/>
        <stp>BDH|4047648285568844573</stp>
        <tr r="R52" s="2"/>
      </tp>
      <tp t="s">
        <v>#N/A N/A</v>
        <stp/>
        <stp>BDH|2313398140423373168</stp>
        <tr r="X74" s="2"/>
      </tp>
      <tp t="s">
        <v>#N/A N/A</v>
        <stp/>
        <stp>BDH|1052963660040948909</stp>
        <tr r="I15" s="2"/>
      </tp>
      <tp t="s">
        <v>#N/A N/A</v>
        <stp/>
        <stp>BDH|6405170337176965515</stp>
        <tr r="V32" s="2"/>
      </tp>
      <tp t="s">
        <v>#N/A N/A</v>
        <stp/>
        <stp>BDH|5371094124337432766</stp>
        <tr r="AC33" s="2"/>
      </tp>
      <tp t="s">
        <v>#N/A N/A</v>
        <stp/>
        <stp>BDH|8114460689781727245</stp>
        <tr r="Q27" s="2"/>
      </tp>
      <tp t="s">
        <v>#N/A N/A</v>
        <stp/>
        <stp>BDH|2794298843053040005</stp>
        <tr r="AC76" s="2"/>
      </tp>
      <tp t="s">
        <v>#N/A N/A</v>
        <stp/>
        <stp>BDH|3769930181422116790</stp>
        <tr r="H77" s="2"/>
      </tp>
      <tp t="s">
        <v>#N/A N/A</v>
        <stp/>
        <stp>BDH|2920348443472040038</stp>
        <tr r="Q26" s="2"/>
      </tp>
      <tp t="s">
        <v>#N/A N/A</v>
        <stp/>
        <stp>BDH|6079086201214533514</stp>
        <tr r="Y57" s="2"/>
      </tp>
      <tp t="s">
        <v>#N/A N/A</v>
        <stp/>
        <stp>BDH|4942296104996155788</stp>
        <tr r="M64" s="2"/>
      </tp>
      <tp t="s">
        <v>#N/A N/A</v>
        <stp/>
        <stp>BDH|6299901878367670816</stp>
        <tr r="AD17" s="2"/>
      </tp>
      <tp t="s">
        <v>#N/A N/A</v>
        <stp/>
        <stp>BDH|2810355311910583748</stp>
        <tr r="R64" s="2"/>
      </tp>
      <tp t="s">
        <v>#N/A N/A</v>
        <stp/>
        <stp>BDH|2337345357965961644</stp>
        <tr r="D73" s="2"/>
      </tp>
      <tp t="s">
        <v>#N/A N/A</v>
        <stp/>
        <stp>BDH|6686817123333865814</stp>
        <tr r="Z67" s="2"/>
      </tp>
      <tp t="s">
        <v>#N/A N/A</v>
        <stp/>
        <stp>BDH|4814793516075509001</stp>
        <tr r="G62" s="2"/>
      </tp>
      <tp t="s">
        <v>#N/A N/A</v>
        <stp/>
        <stp>BDH|6164872229379576287</stp>
        <tr r="P60" s="2"/>
      </tp>
      <tp t="s">
        <v>#N/A N/A</v>
        <stp/>
        <stp>BDH|8514499735389347186</stp>
        <tr r="P30" s="2"/>
      </tp>
      <tp t="s">
        <v>#N/A N/A</v>
        <stp/>
        <stp>BDH|1108171580288721739</stp>
        <tr r="X10" s="2"/>
      </tp>
      <tp t="s">
        <v>#N/A N/A</v>
        <stp/>
        <stp>BDH|3955084903922023600</stp>
        <tr r="P74" s="2"/>
      </tp>
      <tp t="s">
        <v>#N/A N/A</v>
        <stp/>
        <stp>BDH|3196106134105375345</stp>
        <tr r="AF55" s="2"/>
      </tp>
      <tp t="s">
        <v>#N/A N/A</v>
        <stp/>
        <stp>BDH|1830469928031663123</stp>
        <tr r="L33" s="2"/>
      </tp>
      <tp t="s">
        <v>#N/A N/A</v>
        <stp/>
        <stp>BDH|8244291884734522191</stp>
        <tr r="AF81" s="2"/>
      </tp>
      <tp t="s">
        <v>#N/A N/A</v>
        <stp/>
        <stp>BDH|6396799902206941025</stp>
        <tr r="E8" s="2"/>
      </tp>
      <tp t="s">
        <v>#N/A N/A</v>
        <stp/>
        <stp>BDH|6558055160005039231</stp>
        <tr r="J58" s="2"/>
      </tp>
      <tp t="s">
        <v>#N/A N/A</v>
        <stp/>
        <stp>BDH|8035910240767382518</stp>
        <tr r="J91" s="2"/>
      </tp>
      <tp t="s">
        <v>#N/A N/A</v>
        <stp/>
        <stp>BDH|7114855546159122501</stp>
        <tr r="M49" s="2"/>
      </tp>
      <tp t="s">
        <v>#N/A N/A</v>
        <stp/>
        <stp>BDH|2725722470667185277</stp>
        <tr r="S44" s="2"/>
      </tp>
      <tp t="s">
        <v>#N/A N/A</v>
        <stp/>
        <stp>BDH|9655765262717086817</stp>
        <tr r="AB82" s="2"/>
      </tp>
      <tp t="s">
        <v>#N/A N/A</v>
        <stp/>
        <stp>BDH|5810883599870239383</stp>
        <tr r="O90" s="2"/>
      </tp>
      <tp t="s">
        <v>#N/A N/A</v>
        <stp/>
        <stp>BDH|2089769131912233366</stp>
        <tr r="D50" s="2"/>
      </tp>
      <tp t="s">
        <v>#N/A N/A</v>
        <stp/>
        <stp>BDH|6616230347334185304</stp>
        <tr r="N59" s="2"/>
      </tp>
      <tp t="s">
        <v>#N/A N/A</v>
        <stp/>
        <stp>BDH|9387911422596799374</stp>
        <tr r="T38" s="2"/>
      </tp>
      <tp t="s">
        <v>#N/A N/A</v>
        <stp/>
        <stp>BDH|9187329203574325935</stp>
        <tr r="H51" s="2"/>
      </tp>
      <tp t="s">
        <v>#N/A N/A</v>
        <stp/>
        <stp>BDH|7858885906821772918</stp>
        <tr r="N14" s="2"/>
      </tp>
      <tp t="s">
        <v>#N/A N/A</v>
        <stp/>
        <stp>BDH|8589822364459293811</stp>
        <tr r="Y53" s="2"/>
      </tp>
      <tp t="s">
        <v>#N/A N/A</v>
        <stp/>
        <stp>BDH|7976153289871448812</stp>
        <tr r="M19" s="2"/>
      </tp>
      <tp t="s">
        <v>#N/A N/A</v>
        <stp/>
        <stp>BDH|1691072165226377672</stp>
        <tr r="AA91" s="2"/>
      </tp>
      <tp t="s">
        <v>#N/A N/A</v>
        <stp/>
        <stp>BDH|5249236975924279360</stp>
        <tr r="O86" s="2"/>
      </tp>
      <tp t="s">
        <v>#N/A N/A</v>
        <stp/>
        <stp>BDH|8721306581920221452</stp>
        <tr r="AE84" s="2"/>
      </tp>
      <tp t="s">
        <v>#N/A N/A</v>
        <stp/>
        <stp>BDH|8382876719174846247</stp>
        <tr r="Y55" s="2"/>
      </tp>
      <tp t="s">
        <v>#N/A N/A</v>
        <stp/>
        <stp>BDH|3490376412374952296</stp>
        <tr r="L86" s="2"/>
      </tp>
      <tp t="s">
        <v>#N/A N/A</v>
        <stp/>
        <stp>BDH|6129720636444742142</stp>
        <tr r="D23" s="2"/>
      </tp>
      <tp t="s">
        <v>#N/A N/A</v>
        <stp/>
        <stp>BDH|2880839983246663387</stp>
        <tr r="P15" s="2"/>
      </tp>
      <tp t="s">
        <v>#N/A N/A</v>
        <stp/>
        <stp>BDH|7863553708363476679</stp>
        <tr r="R11" s="2"/>
      </tp>
      <tp t="s">
        <v>#N/A N/A</v>
        <stp/>
        <stp>BDH|5190236107004098425</stp>
        <tr r="AD29" s="2"/>
      </tp>
      <tp t="s">
        <v>#N/A N/A</v>
        <stp/>
        <stp>BDH|9662522181896479560</stp>
        <tr r="Q25" s="2"/>
      </tp>
      <tp t="s">
        <v>#N/A N/A</v>
        <stp/>
        <stp>BDH|7442154956290590451</stp>
        <tr r="D75" s="2"/>
      </tp>
      <tp t="s">
        <v>#N/A N/A</v>
        <stp/>
        <stp>BDH|3076988637187392984</stp>
        <tr r="V29" s="2"/>
      </tp>
      <tp t="s">
        <v>#N/A N/A</v>
        <stp/>
        <stp>BDH|5711139577035351148</stp>
        <tr r="U33" s="2"/>
      </tp>
      <tp t="s">
        <v>#N/A N/A</v>
        <stp/>
        <stp>BDH|9999981970925470513</stp>
        <tr r="Y84" s="2"/>
      </tp>
      <tp t="s">
        <v>#N/A N/A</v>
        <stp/>
        <stp>BDH|7430994299764186412</stp>
        <tr r="S57" s="2"/>
      </tp>
      <tp t="s">
        <v>#N/A N/A</v>
        <stp/>
        <stp>BDH|4523016571347931389</stp>
        <tr r="Z65" s="2"/>
      </tp>
      <tp t="s">
        <v>#N/A N/A</v>
        <stp/>
        <stp>BDH|5355641525380548620</stp>
        <tr r="AE35" s="2"/>
      </tp>
      <tp t="s">
        <v>#N/A N/A</v>
        <stp/>
        <stp>BDH|7866929474849931728</stp>
        <tr r="L76" s="2"/>
      </tp>
      <tp t="s">
        <v>#N/A N/A</v>
        <stp/>
        <stp>BDH|2747568440776705234</stp>
        <tr r="N91" s="2"/>
      </tp>
      <tp t="s">
        <v>#N/A N/A</v>
        <stp/>
        <stp>BDH|3168726213804755623</stp>
        <tr r="O53" s="2"/>
      </tp>
      <tp t="s">
        <v>#N/A N/A</v>
        <stp/>
        <stp>BDH|12241724822591866</stp>
        <tr r="AC52" s="2"/>
      </tp>
      <tp t="s">
        <v>#N/A N/A</v>
        <stp/>
        <stp>BDH|3577798264934416666</stp>
        <tr r="K60" s="2"/>
      </tp>
      <tp t="s">
        <v>#N/A N/A</v>
        <stp/>
        <stp>BDH|5979344206045761365</stp>
        <tr r="W65" s="2"/>
      </tp>
      <tp t="s">
        <v>#N/A N/A</v>
        <stp/>
        <stp>BDH|1825304369644975025</stp>
        <tr r="T77" s="2"/>
      </tp>
      <tp t="s">
        <v>#N/A N/A</v>
        <stp/>
        <stp>BDH|8712812050357917259</stp>
        <tr r="D86" s="2"/>
      </tp>
      <tp t="s">
        <v>#N/A N/A</v>
        <stp/>
        <stp>BDH|1228883287845379444</stp>
        <tr r="T60" s="2"/>
      </tp>
      <tp t="s">
        <v>#N/A N/A</v>
        <stp/>
        <stp>BDH|4910239057150167363</stp>
        <tr r="R29" s="2"/>
      </tp>
      <tp t="s">
        <v>#N/A N/A</v>
        <stp/>
        <stp>BDH|2340362825527264496</stp>
        <tr r="Z88" s="2"/>
      </tp>
      <tp t="s">
        <v>#N/A N/A</v>
        <stp/>
        <stp>BDH|5911266870568020845</stp>
        <tr r="Z75" s="2"/>
      </tp>
      <tp t="s">
        <v>#N/A N/A</v>
        <stp/>
        <stp>BDH|3142957355886226980</stp>
        <tr r="T65" s="2"/>
      </tp>
      <tp t="s">
        <v>#N/A N/A</v>
        <stp/>
        <stp>BDH|4374509903135241492</stp>
        <tr r="H82" s="2"/>
      </tp>
      <tp t="s">
        <v>#N/A N/A</v>
        <stp/>
        <stp>BDH|8162569075292956805</stp>
        <tr r="M33" s="2"/>
      </tp>
      <tp t="s">
        <v>#N/A N/A</v>
        <stp/>
        <stp>BDH|4962617017197271468</stp>
        <tr r="V72" s="2"/>
      </tp>
      <tp t="s">
        <v>#N/A N/A</v>
        <stp/>
        <stp>BDH|5483427002647587690</stp>
        <tr r="Z28" s="2"/>
      </tp>
      <tp t="s">
        <v>#N/A N/A</v>
        <stp/>
        <stp>BDH|8160580533196160831</stp>
        <tr r="J60" s="2"/>
      </tp>
      <tp t="s">
        <v>#N/A N/A</v>
        <stp/>
        <stp>BDH|6877375357505959590</stp>
        <tr r="AC38" s="2"/>
      </tp>
      <tp t="s">
        <v>#N/A N/A</v>
        <stp/>
        <stp>BDH|4727516088230171974</stp>
        <tr r="G41" s="2"/>
      </tp>
      <tp t="s">
        <v>#N/A N/A</v>
        <stp/>
        <stp>BDH|8402218384084891616</stp>
        <tr r="X83" s="2"/>
      </tp>
      <tp t="s">
        <v>#N/A N/A</v>
        <stp/>
        <stp>BDH|8486988704526112712</stp>
        <tr r="W46" s="2"/>
      </tp>
      <tp t="s">
        <v>#N/A N/A</v>
        <stp/>
        <stp>BDH|5801720820452219208</stp>
        <tr r="W30" s="2"/>
      </tp>
      <tp t="s">
        <v>#N/A N/A</v>
        <stp/>
        <stp>BDH|5378490631436345408</stp>
        <tr r="AB62" s="2"/>
      </tp>
      <tp t="s">
        <v>#N/A N/A</v>
        <stp/>
        <stp>BDH|9838733011207197835</stp>
        <tr r="F35" s="2"/>
      </tp>
      <tp t="s">
        <v>#N/A N/A</v>
        <stp/>
        <stp>BDH|1919431440847219618</stp>
        <tr r="AF26" s="2"/>
      </tp>
      <tp t="s">
        <v>#N/A N/A</v>
        <stp/>
        <stp>BDH|7513182164361049105</stp>
        <tr r="G30" s="2"/>
      </tp>
      <tp t="s">
        <v>#N/A N/A</v>
        <stp/>
        <stp>BDH|6027796537990406234</stp>
        <tr r="K17" s="2"/>
      </tp>
      <tp t="s">
        <v>#N/A N/A</v>
        <stp/>
        <stp>BDH|6384408059403451479</stp>
        <tr r="J73" s="2"/>
      </tp>
      <tp t="s">
        <v>#N/A N/A</v>
        <stp/>
        <stp>BDH|5268722942861255795</stp>
        <tr r="G38" s="2"/>
      </tp>
      <tp t="s">
        <v>#N/A N/A</v>
        <stp/>
        <stp>BDH|9025756438905058838</stp>
        <tr r="AE21" s="2"/>
      </tp>
      <tp t="s">
        <v>#N/A N/A</v>
        <stp/>
        <stp>BDH|6748051532460834560</stp>
        <tr r="C27" s="2"/>
      </tp>
      <tp t="s">
        <v>#N/A N/A</v>
        <stp/>
        <stp>BDH|7927038738984909042</stp>
        <tr r="T86" s="2"/>
      </tp>
      <tp t="s">
        <v>#N/A N/A</v>
        <stp/>
        <stp>BDH|5330936379783007861</stp>
        <tr r="AC28" s="2"/>
      </tp>
      <tp t="s">
        <v>#N/A N/A</v>
        <stp/>
        <stp>BDH|9050326517073917836</stp>
        <tr r="P23" s="2"/>
      </tp>
      <tp t="s">
        <v>#N/A N/A</v>
        <stp/>
        <stp>BDH|4349228776422963317</stp>
        <tr r="T8" s="2"/>
      </tp>
      <tp t="s">
        <v>#N/A N/A</v>
        <stp/>
        <stp>BDH|9611439820839287680</stp>
        <tr r="H90" s="2"/>
      </tp>
      <tp t="s">
        <v>#N/A N/A</v>
        <stp/>
        <stp>BDH|7415165838296391365</stp>
        <tr r="R63" s="2"/>
      </tp>
      <tp t="s">
        <v>#N/A N/A</v>
        <stp/>
        <stp>BDH|5371847909479307429</stp>
        <tr r="AC87" s="2"/>
      </tp>
      <tp t="s">
        <v>#N/A N/A</v>
        <stp/>
        <stp>BDH|7094323028104746221</stp>
        <tr r="AD63" s="2"/>
      </tp>
      <tp t="s">
        <v>#N/A N/A</v>
        <stp/>
        <stp>BDH|4895500595330894895</stp>
        <tr r="G86" s="2"/>
      </tp>
      <tp t="s">
        <v>#N/A N/A</v>
        <stp/>
        <stp>BDH|8140617647333317989</stp>
        <tr r="AC43" s="2"/>
      </tp>
      <tp t="s">
        <v>#N/A N/A</v>
        <stp/>
        <stp>BDH|3837606248947471680</stp>
        <tr r="S17" s="2"/>
      </tp>
      <tp t="s">
        <v>#N/A N/A</v>
        <stp/>
        <stp>BDH|1634321652442280583</stp>
        <tr r="AA12" s="2"/>
      </tp>
      <tp t="s">
        <v>#N/A N/A</v>
        <stp/>
        <stp>BDH|8080590106384362901</stp>
        <tr r="Q63" s="2"/>
      </tp>
      <tp t="s">
        <v>#N/A N/A</v>
        <stp/>
        <stp>BDH|8778358083544432796</stp>
        <tr r="H20" s="2"/>
      </tp>
      <tp t="s">
        <v>#N/A N/A</v>
        <stp/>
        <stp>BDH|1413425165893664089</stp>
        <tr r="M21" s="2"/>
      </tp>
      <tp t="s">
        <v>#N/A N/A</v>
        <stp/>
        <stp>BDH|5223714331225652493</stp>
        <tr r="Z45" s="2"/>
      </tp>
      <tp t="s">
        <v>#N/A N/A</v>
        <stp/>
        <stp>BDH|4325808329499040778</stp>
        <tr r="O42" s="2"/>
      </tp>
      <tp t="s">
        <v>#N/A N/A</v>
        <stp/>
        <stp>BDH|6851197639102030659</stp>
        <tr r="P58" s="2"/>
      </tp>
      <tp t="s">
        <v>#N/A N/A</v>
        <stp/>
        <stp>BDH|3845693554824965411</stp>
        <tr r="J23" s="2"/>
      </tp>
      <tp t="s">
        <v>#N/A N/A</v>
        <stp/>
        <stp>BDH|5829978241131684958</stp>
        <tr r="U81" s="2"/>
      </tp>
      <tp t="s">
        <v>#N/A N/A</v>
        <stp/>
        <stp>BDH|4891126761991028269</stp>
        <tr r="C62" s="2"/>
      </tp>
      <tp t="s">
        <v>#N/A N/A</v>
        <stp/>
        <stp>BDH|7302943124758847497</stp>
        <tr r="AC20" s="2"/>
      </tp>
      <tp t="s">
        <v>#N/A N/A</v>
        <stp/>
        <stp>BDH|4613583925147943416</stp>
        <tr r="K67" s="2"/>
      </tp>
      <tp t="s">
        <v>#N/A N/A</v>
        <stp/>
        <stp>BDH|8966995755265579137</stp>
        <tr r="E15" s="2"/>
      </tp>
      <tp t="s">
        <v>#N/A N/A</v>
        <stp/>
        <stp>BDH|5776538524846472473</stp>
        <tr r="O39" s="2"/>
      </tp>
      <tp t="s">
        <v>#N/A N/A</v>
        <stp/>
        <stp>BDH|1746559470074196707</stp>
        <tr r="AC62" s="2"/>
      </tp>
      <tp t="s">
        <v>#N/A N/A</v>
        <stp/>
        <stp>BDH|8038284034259601097</stp>
        <tr r="C70" s="2"/>
      </tp>
      <tp t="s">
        <v>#N/A N/A</v>
        <stp/>
        <stp>BDH|9994868505274909501</stp>
        <tr r="AA89" s="2"/>
      </tp>
      <tp t="s">
        <v>#N/A N/A</v>
        <stp/>
        <stp>BDH|2161586757423425191</stp>
        <tr r="Y41" s="2"/>
      </tp>
      <tp t="s">
        <v>#N/A N/A</v>
        <stp/>
        <stp>BDH|4377467899781890870</stp>
        <tr r="O23" s="2"/>
      </tp>
      <tp t="s">
        <v>#N/A N/A</v>
        <stp/>
        <stp>BDH|1737541120997006105</stp>
        <tr r="AB91" s="2"/>
      </tp>
      <tp t="s">
        <v>#N/A N/A</v>
        <stp/>
        <stp>BDH|2660218665923150537</stp>
        <tr r="AE65" s="2"/>
      </tp>
      <tp t="s">
        <v>#N/A N/A</v>
        <stp/>
        <stp>BDH|6385482341832239487</stp>
        <tr r="J12" s="2"/>
      </tp>
      <tp t="s">
        <v>#N/A N/A</v>
        <stp/>
        <stp>BDH|1793008760081594623</stp>
        <tr r="K51" s="2"/>
      </tp>
      <tp t="s">
        <v>#N/A N/A</v>
        <stp/>
        <stp>BDH|8497034088330981076</stp>
        <tr r="AB31" s="2"/>
      </tp>
      <tp t="s">
        <v>#N/A N/A</v>
        <stp/>
        <stp>BDH|9430107946794793848</stp>
        <tr r="O8" s="2"/>
      </tp>
      <tp t="s">
        <v>#N/A N/A</v>
        <stp/>
        <stp>BDH|6635501796289952381</stp>
        <tr r="Y54" s="2"/>
      </tp>
      <tp t="s">
        <v>#N/A N/A</v>
        <stp/>
        <stp>BDH|6952598024751579004</stp>
        <tr r="J61" s="2"/>
      </tp>
      <tp t="s">
        <v>#N/A N/A</v>
        <stp/>
        <stp>BDH|3518626106066033309</stp>
        <tr r="R61" s="2"/>
      </tp>
      <tp t="s">
        <v>#N/A N/A</v>
        <stp/>
        <stp>BDH|7318821013139461701</stp>
        <tr r="N35" s="2"/>
      </tp>
      <tp t="s">
        <v>#N/A N/A</v>
        <stp/>
        <stp>BDH|5442304157821665234</stp>
        <tr r="I52" s="2"/>
      </tp>
      <tp t="s">
        <v>#N/A N/A</v>
        <stp/>
        <stp>BDH|2150102905112395112</stp>
        <tr r="G50" s="2"/>
      </tp>
      <tp t="s">
        <v>#N/A N/A</v>
        <stp/>
        <stp>BDH|7828689111198418837</stp>
        <tr r="G74" s="2"/>
      </tp>
      <tp t="s">
        <v>#N/A N/A</v>
        <stp/>
        <stp>BDH|8795410447218611015</stp>
        <tr r="S65" s="2"/>
      </tp>
      <tp t="s">
        <v>#N/A N/A</v>
        <stp/>
        <stp>BDH|2869058471850300598</stp>
        <tr r="H8" s="2"/>
      </tp>
      <tp t="s">
        <v>#N/A N/A</v>
        <stp/>
        <stp>BDH|6980884387093390520</stp>
        <tr r="C49" s="2"/>
      </tp>
      <tp t="s">
        <v>#N/A N/A</v>
        <stp/>
        <stp>BDH|8442414910978772554</stp>
        <tr r="V70" s="2"/>
      </tp>
      <tp t="s">
        <v>#N/A N/A</v>
        <stp/>
        <stp>BDH|6485028322242195627</stp>
        <tr r="Q86" s="2"/>
      </tp>
      <tp t="s">
        <v>#N/A N/A</v>
        <stp/>
        <stp>BDH|5543641613506378454</stp>
        <tr r="T92" s="2"/>
      </tp>
      <tp t="s">
        <v>#N/A N/A</v>
        <stp/>
        <stp>BDH|8386906371926630001</stp>
        <tr r="T26" s="2"/>
      </tp>
      <tp t="s">
        <v>#N/A N/A</v>
        <stp/>
        <stp>BDH|8488159521663696829</stp>
        <tr r="K13" s="2"/>
      </tp>
      <tp t="s">
        <v>#N/A N/A</v>
        <stp/>
        <stp>BDH|2732106023780328136</stp>
        <tr r="L8" s="2"/>
      </tp>
      <tp t="s">
        <v>#N/A N/A</v>
        <stp/>
        <stp>BDH|9418242030311697922</stp>
        <tr r="AB39" s="2"/>
      </tp>
      <tp t="s">
        <v>#N/A N/A</v>
        <stp/>
        <stp>BDH|6549190452906343495</stp>
        <tr r="Y82" s="2"/>
      </tp>
      <tp t="s">
        <v>#N/A N/A</v>
        <stp/>
        <stp>BDH|9389988876837950002</stp>
        <tr r="J19" s="2"/>
      </tp>
      <tp t="s">
        <v>#N/A N/A</v>
        <stp/>
        <stp>BDH|5118368419910880738</stp>
        <tr r="AE40" s="2"/>
      </tp>
      <tp t="s">
        <v>#N/A N/A</v>
        <stp/>
        <stp>BDH|4473202135636304370</stp>
        <tr r="J45" s="2"/>
      </tp>
      <tp t="s">
        <v>#N/A N/A</v>
        <stp/>
        <stp>BDH|2093670480884117832</stp>
        <tr r="O74" s="2"/>
      </tp>
      <tp t="s">
        <v>#N/A N/A</v>
        <stp/>
        <stp>BDH|8548302107482254950</stp>
        <tr r="L15" s="2"/>
      </tp>
      <tp t="s">
        <v>#N/A N/A</v>
        <stp/>
        <stp>BDH|9494007780027004616</stp>
        <tr r="X91" s="2"/>
      </tp>
      <tp t="s">
        <v>#N/A N/A</v>
        <stp/>
        <stp>BDH|1451074035332481075</stp>
        <tr r="T25" s="2"/>
      </tp>
      <tp t="s">
        <v>#N/A N/A</v>
        <stp/>
        <stp>BDH|32782891642051123</stp>
        <tr r="T49" s="2"/>
      </tp>
      <tp t="s">
        <v>#N/A N/A</v>
        <stp/>
        <stp>BDH|7011462537190974124</stp>
        <tr r="C8" s="2"/>
      </tp>
      <tp t="s">
        <v>#N/A N/A</v>
        <stp/>
        <stp>BDH|7213989181952680579</stp>
        <tr r="N75" s="2"/>
      </tp>
      <tp t="s">
        <v>#N/A N/A</v>
        <stp/>
        <stp>BDH|2490277421106041589</stp>
        <tr r="Y92" s="2"/>
      </tp>
      <tp t="s">
        <v>#N/A N/A</v>
        <stp/>
        <stp>BDH|1154230798372839982</stp>
        <tr r="H38" s="2"/>
      </tp>
      <tp t="s">
        <v>#N/A N/A</v>
        <stp/>
        <stp>BDH|9076964302728733991</stp>
        <tr r="G26" s="2"/>
      </tp>
      <tp t="s">
        <v>#N/A N/A</v>
        <stp/>
        <stp>BDH|3490409572934498589</stp>
        <tr r="C85" s="2"/>
      </tp>
      <tp t="s">
        <v>#N/A N/A</v>
        <stp/>
        <stp>BDH|1458229803474645697</stp>
        <tr r="R60" s="2"/>
      </tp>
      <tp t="s">
        <v>#N/A N/A</v>
        <stp/>
        <stp>BDH|3228435875646762798</stp>
        <tr r="M51" s="2"/>
      </tp>
      <tp t="s">
        <v>#N/A N/A</v>
        <stp/>
        <stp>BDH|3271307047382767794</stp>
        <tr r="T51" s="2"/>
      </tp>
      <tp t="s">
        <v>#N/A N/A</v>
        <stp/>
        <stp>BDH|1614195847544560162</stp>
        <tr r="E24" s="2"/>
      </tp>
      <tp t="s">
        <v>#N/A N/A</v>
        <stp/>
        <stp>BDH|6892271336282119431</stp>
        <tr r="W75" s="2"/>
      </tp>
      <tp t="s">
        <v>#N/A N/A</v>
        <stp/>
        <stp>BDH|7267081481517714943</stp>
        <tr r="AE77" s="2"/>
      </tp>
      <tp t="s">
        <v>#N/A N/A</v>
        <stp/>
        <stp>BDH|7686605816234186595</stp>
        <tr r="J71" s="2"/>
      </tp>
      <tp t="s">
        <v>#N/A N/A</v>
        <stp/>
        <stp>BDH|7872616206989137965</stp>
        <tr r="X73" s="2"/>
      </tp>
      <tp t="s">
        <v>#N/A N/A</v>
        <stp/>
        <stp>BDH|1956944196316043626</stp>
        <tr r="C9" s="2"/>
      </tp>
      <tp t="s">
        <v>#N/A N/A</v>
        <stp/>
        <stp>BDH|8981956548744907049</stp>
        <tr r="AB21" s="2"/>
      </tp>
      <tp t="s">
        <v>#N/A N/A</v>
        <stp/>
        <stp>BDH|8986392708108289236</stp>
        <tr r="S26" s="2"/>
      </tp>
      <tp t="s">
        <v>#N/A N/A</v>
        <stp/>
        <stp>BDH|1799718379929505930</stp>
        <tr r="U17" s="2"/>
      </tp>
      <tp t="s">
        <v>#N/A N/A</v>
        <stp/>
        <stp>BDH|2729954461039299582</stp>
        <tr r="R42" s="2"/>
      </tp>
      <tp t="s">
        <v>#N/A N/A</v>
        <stp/>
        <stp>BDH|3362964359027481965</stp>
        <tr r="K68" s="2"/>
      </tp>
      <tp t="s">
        <v>#N/A N/A</v>
        <stp/>
        <stp>BDH|6689745350826489383</stp>
        <tr r="T14" s="2"/>
      </tp>
      <tp t="s">
        <v>#N/A N/A</v>
        <stp/>
        <stp>BDH|2851991666455031981</stp>
        <tr r="W42" s="2"/>
      </tp>
      <tp t="s">
        <v>#N/A N/A</v>
        <stp/>
        <stp>BDH|8828298669489538429</stp>
        <tr r="E90" s="2"/>
      </tp>
      <tp t="s">
        <v>#N/A N/A</v>
        <stp/>
        <stp>BDH|8881933249105586185</stp>
        <tr r="W69" s="2"/>
      </tp>
      <tp t="s">
        <v>#N/A N/A</v>
        <stp/>
        <stp>BDH|1916320885238527349</stp>
        <tr r="O60" s="2"/>
      </tp>
      <tp t="s">
        <v>#N/A N/A</v>
        <stp/>
        <stp>BDH|5964553712576881694</stp>
        <tr r="AC63" s="2"/>
      </tp>
      <tp t="s">
        <v>#N/A N/A</v>
        <stp/>
        <stp>BDH|2619490333734674065</stp>
        <tr r="I21" s="2"/>
      </tp>
      <tp t="s">
        <v>#N/A N/A</v>
        <stp/>
        <stp>BDH|6936800772880557825</stp>
        <tr r="X43" s="2"/>
      </tp>
      <tp t="s">
        <v>#N/A N/A</v>
        <stp/>
        <stp>BDH|1952733325946788348</stp>
        <tr r="E34" s="2"/>
      </tp>
      <tp t="s">
        <v>#N/A N/A</v>
        <stp/>
        <stp>BDH|7570518472044856039</stp>
        <tr r="V47" s="2"/>
      </tp>
      <tp t="s">
        <v>#N/A N/A</v>
        <stp/>
        <stp>BDH|3589589750665200724</stp>
        <tr r="X85" s="2"/>
      </tp>
      <tp t="s">
        <v>#N/A N/A</v>
        <stp/>
        <stp>BDH|9561893401157400740</stp>
        <tr r="R70" s="2"/>
      </tp>
      <tp t="s">
        <v>#N/A N/A</v>
        <stp/>
        <stp>BDH|5528583884029224068</stp>
        <tr r="U28" s="2"/>
      </tp>
      <tp t="s">
        <v>#N/A N/A</v>
        <stp/>
        <stp>BDH|4922330749650270232</stp>
        <tr r="D29" s="2"/>
      </tp>
      <tp t="s">
        <v>#N/A N/A</v>
        <stp/>
        <stp>BDH|2852420838881581555</stp>
        <tr r="W12" s="2"/>
      </tp>
      <tp t="s">
        <v>#N/A N/A</v>
        <stp/>
        <stp>BDH|6544426631788101855</stp>
        <tr r="S66" s="2"/>
      </tp>
      <tp t="s">
        <v>#N/A N/A</v>
        <stp/>
        <stp>BDH|5573636493142752900</stp>
        <tr r="Z54" s="2"/>
      </tp>
      <tp t="s">
        <v>#N/A N/A</v>
        <stp/>
        <stp>BDH|8481018887293927297</stp>
        <tr r="D63" s="2"/>
      </tp>
      <tp t="s">
        <v>#N/A N/A</v>
        <stp/>
        <stp>BDH|9557986737684084686</stp>
        <tr r="Q10" s="2"/>
      </tp>
      <tp t="s">
        <v>#N/A N/A</v>
        <stp/>
        <stp>BDH|7016244362155164758</stp>
        <tr r="Z42" s="2"/>
      </tp>
      <tp t="s">
        <v>#N/A N/A</v>
        <stp/>
        <stp>BDH|3976376910888560895</stp>
        <tr r="G73" s="2"/>
      </tp>
      <tp t="s">
        <v>#N/A N/A</v>
        <stp/>
        <stp>BDH|6314652445544305137</stp>
        <tr r="R89" s="2"/>
      </tp>
      <tp t="s">
        <v>#N/A N/A</v>
        <stp/>
        <stp>BDH|5304863027187669971</stp>
        <tr r="G33" s="2"/>
      </tp>
      <tp t="s">
        <v>#N/A N/A</v>
        <stp/>
        <stp>BDH|2336333742264046012</stp>
        <tr r="D52" s="2"/>
      </tp>
      <tp t="s">
        <v>#N/A N/A</v>
        <stp/>
        <stp>BDH|1060008233310097303</stp>
        <tr r="N74" s="2"/>
      </tp>
      <tp t="s">
        <v>#N/A N/A</v>
        <stp/>
        <stp>BDH|5413229205741015704</stp>
        <tr r="J66" s="2"/>
      </tp>
      <tp t="s">
        <v>#N/A N/A</v>
        <stp/>
        <stp>BDH|1375280682268977238</stp>
        <tr r="AD21" s="2"/>
      </tp>
      <tp t="s">
        <v>#N/A N/A</v>
        <stp/>
        <stp>BDH|6261014806616200149</stp>
        <tr r="AB24" s="2"/>
      </tp>
      <tp t="s">
        <v>#N/A N/A</v>
        <stp/>
        <stp>BDH|5703579540046189312</stp>
        <tr r="AD19" s="2"/>
      </tp>
      <tp t="s">
        <v>#N/A N/A</v>
        <stp/>
        <stp>BDH|2661723717036016331</stp>
        <tr r="X75" s="2"/>
      </tp>
      <tp t="s">
        <v>#N/A N/A</v>
        <stp/>
        <stp>BDH|3543439439666887377</stp>
        <tr r="AE64" s="2"/>
      </tp>
      <tp t="s">
        <v>#N/A N/A</v>
        <stp/>
        <stp>BDH|5348251011021585624</stp>
        <tr r="Q51" s="2"/>
      </tp>
      <tp t="s">
        <v>#N/A N/A</v>
        <stp/>
        <stp>BDH|5539209704821369729</stp>
        <tr r="N8" s="2"/>
      </tp>
      <tp t="s">
        <v>#N/A N/A</v>
        <stp/>
        <stp>BDH|2290287030973296183</stp>
        <tr r="F84" s="2"/>
      </tp>
      <tp t="s">
        <v>#N/A N/A</v>
        <stp/>
        <stp>BDH|3088035558417861032</stp>
        <tr r="R58" s="2"/>
      </tp>
      <tp t="s">
        <v>#N/A N/A</v>
        <stp/>
        <stp>BDH|5779761142877510062</stp>
        <tr r="I81" s="2"/>
      </tp>
      <tp t="s">
        <v>#N/A N/A</v>
        <stp/>
        <stp>BDH|5553335894298647649</stp>
        <tr r="AA13" s="2"/>
      </tp>
      <tp t="s">
        <v>#N/A N/A</v>
        <stp/>
        <stp>BDH|3404719676514442676</stp>
        <tr r="P19" s="2"/>
      </tp>
      <tp t="s">
        <v>#N/A N/A</v>
        <stp/>
        <stp>BDH|1183290198758485349</stp>
        <tr r="C7" s="2"/>
      </tp>
      <tp t="s">
        <v>#N/A N/A</v>
        <stp/>
        <stp>BDH|6404569059223836423</stp>
        <tr r="D18" s="2"/>
      </tp>
      <tp t="s">
        <v>#N/A N/A</v>
        <stp/>
        <stp>BDH|7432235976910689314</stp>
        <tr r="T27" s="2"/>
      </tp>
      <tp t="s">
        <v>#N/A N/A</v>
        <stp/>
        <stp>BDH|3643182642831396692</stp>
        <tr r="S89" s="2"/>
      </tp>
      <tp t="s">
        <v>#N/A N/A</v>
        <stp/>
        <stp>BDH|2789056924888133910</stp>
        <tr r="E35" s="2"/>
      </tp>
      <tp t="s">
        <v>#N/A N/A</v>
        <stp/>
        <stp>BDH|9882174495555490584</stp>
        <tr r="AA85" s="2"/>
      </tp>
      <tp t="s">
        <v>#N/A N/A</v>
        <stp/>
        <stp>BDH|5245156859852080286</stp>
        <tr r="F63" s="2"/>
      </tp>
      <tp t="s">
        <v>#N/A N/A</v>
        <stp/>
        <stp>BDH|5296787640554998355</stp>
        <tr r="Z21" s="2"/>
      </tp>
      <tp t="s">
        <v>#N/A N/A</v>
        <stp/>
        <stp>BDH|2987241127721900258</stp>
        <tr r="X16" s="2"/>
      </tp>
      <tp t="s">
        <v>#N/A N/A</v>
        <stp/>
        <stp>BDH|2123301478977847078</stp>
        <tr r="C73" s="2"/>
      </tp>
      <tp t="s">
        <v>#N/A N/A</v>
        <stp/>
        <stp>BDH|8299175761068668642</stp>
        <tr r="C69" s="2"/>
      </tp>
      <tp t="s">
        <v>#N/A N/A</v>
        <stp/>
        <stp>BDH|3333021471973732610</stp>
        <tr r="AE12" s="2"/>
      </tp>
      <tp t="s">
        <v>#N/A N/A</v>
        <stp/>
        <stp>BDH|3370862851406397910</stp>
        <tr r="K58" s="2"/>
      </tp>
      <tp t="s">
        <v>#N/A N/A</v>
        <stp/>
        <stp>BDH|9403339064735217875</stp>
        <tr r="V74" s="2"/>
      </tp>
      <tp t="s">
        <v>#N/A N/A</v>
        <stp/>
        <stp>BDH|1909488160022357041</stp>
        <tr r="Y7" s="2"/>
      </tp>
      <tp t="s">
        <v>#N/A N/A</v>
        <stp/>
        <stp>BDH|8318443906104648919</stp>
        <tr r="AF83" s="2"/>
      </tp>
      <tp t="s">
        <v>#N/A N/A</v>
        <stp/>
        <stp>BDH|3318537707092258524</stp>
        <tr r="AA11" s="2"/>
      </tp>
      <tp t="s">
        <v>#N/A N/A</v>
        <stp/>
        <stp>BDH|6009176900523091502</stp>
        <tr r="W9" s="2"/>
      </tp>
      <tp t="s">
        <v>#N/A N/A</v>
        <stp/>
        <stp>BDH|5640868566533839995</stp>
        <tr r="AD72" s="2"/>
      </tp>
      <tp t="s">
        <v>#N/A N/A</v>
        <stp/>
        <stp>BDH|8325261001773346831</stp>
        <tr r="AE11" s="2"/>
      </tp>
      <tp t="s">
        <v>#N/A N/A</v>
        <stp/>
        <stp>BDH|9928955529743765065</stp>
        <tr r="W44" s="2"/>
      </tp>
      <tp t="s">
        <v>#N/A N/A</v>
        <stp/>
        <stp>BDH|1718260084332434852</stp>
        <tr r="F60" s="2"/>
      </tp>
      <tp t="s">
        <v>#N/A N/A</v>
        <stp/>
        <stp>BDH|8554547325387821981</stp>
        <tr r="O87" s="2"/>
      </tp>
      <tp t="s">
        <v>#N/A N/A</v>
        <stp/>
        <stp>BDH|1001040475530542708</stp>
        <tr r="R26" s="2"/>
      </tp>
      <tp t="s">
        <v>#N/A N/A</v>
        <stp/>
        <stp>BDH|6886406813196767480</stp>
        <tr r="I47" s="2"/>
      </tp>
      <tp t="s">
        <v>#N/A N/A</v>
        <stp/>
        <stp>BDH|9087238962525285974</stp>
        <tr r="H14" s="2"/>
      </tp>
      <tp t="s">
        <v>#N/A N/A</v>
        <stp/>
        <stp>BDH|4680515212507081618</stp>
        <tr r="I16" s="2"/>
      </tp>
      <tp t="s">
        <v>#N/A N/A</v>
        <stp/>
        <stp>BDH|7747274688785559999</stp>
        <tr r="I85" s="2"/>
      </tp>
      <tp t="s">
        <v>#N/A N/A</v>
        <stp/>
        <stp>BDH|9847435918659504434</stp>
        <tr r="N63" s="2"/>
      </tp>
      <tp t="s">
        <v>#N/A N/A</v>
        <stp/>
        <stp>BDH|5186493861227525198</stp>
        <tr r="D12" s="2"/>
      </tp>
      <tp t="s">
        <v>#N/A N/A</v>
        <stp/>
        <stp>BDH|9730078144749300528</stp>
        <tr r="AD14" s="2"/>
      </tp>
      <tp t="s">
        <v>#N/A N/A</v>
        <stp/>
        <stp>BDH|6517645155963582748</stp>
        <tr r="Y11" s="2"/>
      </tp>
      <tp t="s">
        <v>#N/A N/A</v>
        <stp/>
        <stp>BDH|2423080689032343939</stp>
        <tr r="V14" s="2"/>
      </tp>
      <tp t="s">
        <v>#N/A N/A</v>
        <stp/>
        <stp>BDH|7352387721634031006</stp>
        <tr r="AE57" s="2"/>
      </tp>
      <tp t="s">
        <v>#N/A N/A</v>
        <stp/>
        <stp>BDH|3202416103357278281</stp>
        <tr r="X7" s="2"/>
      </tp>
      <tp t="s">
        <v>#N/A N/A</v>
        <stp/>
        <stp>BDH|3566257178622482668</stp>
        <tr r="U27" s="2"/>
      </tp>
      <tp t="s">
        <v>#N/A N/A</v>
        <stp/>
        <stp>BDH|7228090007766556339</stp>
        <tr r="K22" s="2"/>
      </tp>
      <tp t="s">
        <v>#N/A N/A</v>
        <stp/>
        <stp>BDH|1745767669411398317</stp>
        <tr r="U31" s="2"/>
      </tp>
      <tp t="s">
        <v>#N/A N/A</v>
        <stp/>
        <stp>BDH|3254182390780432948</stp>
        <tr r="Y87" s="2"/>
      </tp>
      <tp t="s">
        <v>#N/A N/A</v>
        <stp/>
        <stp>BDH|3406881305890579961</stp>
        <tr r="AE23" s="2"/>
      </tp>
      <tp t="s">
        <v>#N/A N/A</v>
        <stp/>
        <stp>BDH|5502334441718516891</stp>
        <tr r="N16" s="2"/>
      </tp>
      <tp t="s">
        <v>#N/A N/A</v>
        <stp/>
        <stp>BDH|8665356990876186694</stp>
        <tr r="AF11" s="2"/>
      </tp>
      <tp t="s">
        <v>#N/A N/A</v>
        <stp/>
        <stp>BDH|4923264872205356657</stp>
        <tr r="X56" s="2"/>
      </tp>
      <tp t="s">
        <v>#N/A N/A</v>
        <stp/>
        <stp>BDH|7415534000193507392</stp>
        <tr r="H24" s="2"/>
      </tp>
      <tp t="s">
        <v>#N/A N/A</v>
        <stp/>
        <stp>BDH|8112609822329970715</stp>
        <tr r="M27" s="2"/>
      </tp>
      <tp t="s">
        <v>#N/A N/A</v>
        <stp/>
        <stp>BDH|6953078766477272514</stp>
        <tr r="I43" s="2"/>
      </tp>
      <tp t="s">
        <v>#N/A N/A</v>
        <stp/>
        <stp>BDH|6304385554865144753</stp>
        <tr r="AB84" s="2"/>
      </tp>
      <tp t="s">
        <v>#N/A N/A</v>
        <stp/>
        <stp>BDH|7371018195685919954</stp>
        <tr r="P84" s="2"/>
      </tp>
      <tp t="s">
        <v>#N/A N/A</v>
        <stp/>
        <stp>BDH|7224258628806449332</stp>
        <tr r="AA31" s="2"/>
      </tp>
      <tp t="s">
        <v>#N/A N/A</v>
        <stp/>
        <stp>BDH|2765354318114369613</stp>
        <tr r="O75" s="2"/>
      </tp>
      <tp t="s">
        <v>#N/A N/A</v>
        <stp/>
        <stp>BDH|7796433873807917168</stp>
        <tr r="J81" s="2"/>
      </tp>
      <tp t="s">
        <v>#N/A N/A</v>
        <stp/>
        <stp>BDH|3080055170085944343</stp>
        <tr r="C12" s="2"/>
      </tp>
      <tp t="s">
        <v>#N/A N/A</v>
        <stp/>
        <stp>BDH|1466071776826510283</stp>
        <tr r="T41" s="2"/>
      </tp>
      <tp t="s">
        <v>#N/A N/A</v>
        <stp/>
        <stp>BDH|1247340419503126275</stp>
        <tr r="K25" s="2"/>
      </tp>
      <tp t="s">
        <v>#N/A N/A</v>
        <stp/>
        <stp>BDH|8585128919233317932</stp>
        <tr r="X54" s="2"/>
      </tp>
      <tp t="s">
        <v>#N/A N/A</v>
        <stp/>
        <stp>BDH|1488111789092693842</stp>
        <tr r="U48" s="2"/>
      </tp>
      <tp t="s">
        <v>#N/A N/A</v>
        <stp/>
        <stp>BDH|3991841530868717245</stp>
        <tr r="AD58" s="2"/>
      </tp>
      <tp t="s">
        <v>#N/A N/A</v>
        <stp/>
        <stp>BDH|3002523736001916634</stp>
        <tr r="F67" s="2"/>
      </tp>
      <tp t="s">
        <v>#N/A N/A</v>
        <stp/>
        <stp>BDH|5941311082219453504</stp>
        <tr r="S74" s="2"/>
      </tp>
      <tp t="s">
        <v>#N/A N/A</v>
        <stp/>
        <stp>BDH|5734648263055627281</stp>
        <tr r="X57" s="2"/>
      </tp>
      <tp t="s">
        <v>#N/A N/A</v>
        <stp/>
        <stp>BDH|1906039631899581902</stp>
        <tr r="H70" s="2"/>
      </tp>
      <tp t="s">
        <v>#N/A N/A</v>
        <stp/>
        <stp>BDH|6992572773182514466</stp>
        <tr r="I60" s="2"/>
      </tp>
      <tp t="s">
        <v>#N/A N/A</v>
        <stp/>
        <stp>BDH|8498554616597946900</stp>
        <tr r="P63" s="2"/>
      </tp>
      <tp t="s">
        <v>#N/A N/A</v>
        <stp/>
        <stp>BDH|1117393306100176000</stp>
        <tr r="Z44" s="2"/>
      </tp>
      <tp t="s">
        <v>#N/A N/A</v>
        <stp/>
        <stp>BDH|8380123415363944924</stp>
        <tr r="AB12" s="2"/>
      </tp>
      <tp t="s">
        <v>#N/A N/A</v>
        <stp/>
        <stp>BDH|1791436227504801140</stp>
        <tr r="Q50" s="2"/>
      </tp>
      <tp t="s">
        <v>#N/A N/A</v>
        <stp/>
        <stp>BDH|3862248893083719975</stp>
        <tr r="U74" s="2"/>
      </tp>
      <tp t="s">
        <v>#N/A N/A</v>
        <stp/>
        <stp>BDH|3356323034946952734</stp>
        <tr r="K50" s="2"/>
      </tp>
      <tp t="s">
        <v>#N/A N/A</v>
        <stp/>
        <stp>BDH|8119934579243760705</stp>
        <tr r="F44" s="2"/>
      </tp>
      <tp t="s">
        <v>#N/A N/A</v>
        <stp/>
        <stp>BDH|9528660553998814042</stp>
        <tr r="I53" s="2"/>
      </tp>
      <tp t="s">
        <v>#N/A N/A</v>
        <stp/>
        <stp>BDH|1744281237054197649</stp>
        <tr r="G13" s="2"/>
      </tp>
      <tp t="s">
        <v>#N/A N/A</v>
        <stp/>
        <stp>BDH|7957798020061427196</stp>
        <tr r="Q30" s="2"/>
      </tp>
      <tp t="s">
        <v>#N/A N/A</v>
        <stp/>
        <stp>BDH|6946277263169890982</stp>
        <tr r="J30" s="2"/>
      </tp>
      <tp t="s">
        <v>#N/A N/A</v>
        <stp/>
        <stp>BDH|2907772561040699140</stp>
        <tr r="V19" s="2"/>
      </tp>
      <tp t="s">
        <v>#N/A N/A</v>
        <stp/>
        <stp>BDH|9475247571597404988</stp>
        <tr r="X76" s="2"/>
      </tp>
      <tp t="s">
        <v>#N/A N/A</v>
        <stp/>
        <stp>BDH|4073601256781892436</stp>
        <tr r="F52" s="2"/>
      </tp>
      <tp t="s">
        <v>#N/A N/A</v>
        <stp/>
        <stp>BDH|1170700826993687537</stp>
        <tr r="R9" s="2"/>
      </tp>
      <tp t="s">
        <v>#N/A N/A</v>
        <stp/>
        <stp>BDH|3365276656685542352</stp>
        <tr r="P31" s="2"/>
      </tp>
      <tp t="s">
        <v>#N/A N/A</v>
        <stp/>
        <stp>BDH|8203773034339554768</stp>
        <tr r="U44" s="2"/>
      </tp>
      <tp t="s">
        <v>#N/A N/A</v>
        <stp/>
        <stp>BDH|2380728776692228267</stp>
        <tr r="G29" s="2"/>
      </tp>
      <tp t="s">
        <v>#N/A N/A</v>
        <stp/>
        <stp>BDH|1342806787282791103</stp>
        <tr r="X30" s="2"/>
      </tp>
      <tp t="s">
        <v>#N/A N/A</v>
        <stp/>
        <stp>BDH|9939849151153914565</stp>
        <tr r="G90" s="2"/>
      </tp>
      <tp t="s">
        <v>#N/A N/A</v>
        <stp/>
        <stp>BDH|1347102767600385471</stp>
        <tr r="S58" s="2"/>
      </tp>
      <tp t="s">
        <v>#N/A N/A</v>
        <stp/>
        <stp>BDH|1802288511453408355</stp>
        <tr r="W23" s="2"/>
      </tp>
      <tp t="s">
        <v>#N/A N/A</v>
        <stp/>
        <stp>BDH|2517323444671488674</stp>
        <tr r="N15" s="2"/>
      </tp>
      <tp t="s">
        <v>#N/A N/A</v>
        <stp/>
        <stp>BDH|7963515003920379082</stp>
        <tr r="AC70" s="2"/>
      </tp>
      <tp t="s">
        <v>#N/A N/A</v>
        <stp/>
        <stp>BDH|1202693838064518271</stp>
        <tr r="W38" s="2"/>
      </tp>
      <tp t="s">
        <v>#N/A N/A</v>
        <stp/>
        <stp>BDH|6002085348046829692</stp>
        <tr r="AB20" s="2"/>
      </tp>
      <tp t="s">
        <v>#N/A N/A</v>
        <stp/>
        <stp>BDH|3966327339303478273</stp>
        <tr r="G27" s="2"/>
      </tp>
      <tp t="s">
        <v>#N/A N/A</v>
        <stp/>
        <stp>BDH|5332532983802226803</stp>
        <tr r="M23" s="2"/>
      </tp>
      <tp t="s">
        <v>#N/A N/A</v>
        <stp/>
        <stp>BDH|7111958998192858755</stp>
        <tr r="AD39" s="2"/>
      </tp>
      <tp t="s">
        <v>#N/A N/A</v>
        <stp/>
        <stp>BDH|8291544926204911982</stp>
        <tr r="L88" s="2"/>
      </tp>
      <tp t="s">
        <v>#N/A N/A</v>
        <stp/>
        <stp>BDH|5521822764049489067</stp>
        <tr r="R49" s="2"/>
      </tp>
      <tp t="s">
        <v>#N/A N/A</v>
        <stp/>
        <stp>BDH|5264381058752038340</stp>
        <tr r="P10" s="2"/>
      </tp>
      <tp t="s">
        <v>#N/A N/A</v>
        <stp/>
        <stp>BDH|7099069384708239560</stp>
        <tr r="AE29" s="2"/>
      </tp>
      <tp t="s">
        <v>#N/A N/A</v>
        <stp/>
        <stp>BDH|3982157260637968138</stp>
        <tr r="AF42" s="2"/>
      </tp>
      <tp t="s">
        <v>#N/A N/A</v>
        <stp/>
        <stp>BDH|3173525252256690711</stp>
        <tr r="K39" s="2"/>
      </tp>
      <tp t="s">
        <v>#N/A N/A</v>
        <stp/>
        <stp>BDH|1596468247112423169</stp>
        <tr r="P20" s="2"/>
      </tp>
      <tp t="s">
        <v>#N/A N/A</v>
        <stp/>
        <stp>BDH|4797049339741945443</stp>
        <tr r="AF19" s="2"/>
      </tp>
      <tp t="s">
        <v>#N/A N/A</v>
        <stp/>
        <stp>BDH|3833782290066225953</stp>
        <tr r="G32" s="2"/>
      </tp>
      <tp t="s">
        <v>#N/A N/A</v>
        <stp/>
        <stp>BDH|6370437357054851186</stp>
        <tr r="Y69" s="2"/>
      </tp>
      <tp t="s">
        <v>#N/A N/A</v>
        <stp/>
        <stp>BDH|6355142873877355503</stp>
        <tr r="U68" s="2"/>
      </tp>
      <tp t="s">
        <v>#N/A N/A</v>
        <stp/>
        <stp>BDH|6634754377363870783</stp>
        <tr r="X31" s="2"/>
      </tp>
      <tp t="s">
        <v>#N/A N/A</v>
        <stp/>
        <stp>BDH|4200042354707368457</stp>
        <tr r="AC19" s="2"/>
      </tp>
      <tp t="s">
        <v>#N/A N/A</v>
        <stp/>
        <stp>BDH|2243762243095344605</stp>
        <tr r="T50" s="2"/>
      </tp>
      <tp t="s">
        <v>#N/A N/A</v>
        <stp/>
        <stp>BDH|9475290518780945882</stp>
        <tr r="AF68" s="2"/>
      </tp>
      <tp t="s">
        <v>#N/A N/A</v>
        <stp/>
        <stp>BDH|4835861650883925831</stp>
        <tr r="AA66" s="2"/>
      </tp>
      <tp t="s">
        <v>#N/A N/A</v>
        <stp/>
        <stp>BDH|1746774911722527714</stp>
        <tr r="R73" s="2"/>
      </tp>
      <tp t="s">
        <v>#N/A N/A</v>
        <stp/>
        <stp>BDH|3072756555691754223</stp>
        <tr r="N83" s="2"/>
      </tp>
      <tp t="s">
        <v>#N/A N/A</v>
        <stp/>
        <stp>BDH|5151913149139825345</stp>
        <tr r="U84" s="2"/>
      </tp>
      <tp t="s">
        <v>#N/A N/A</v>
        <stp/>
        <stp>BDH|1802195909205567785</stp>
        <tr r="R32" s="2"/>
      </tp>
      <tp t="s">
        <v>#N/A N/A</v>
        <stp/>
        <stp>BDH|7608058607935777062</stp>
        <tr r="AD15" s="2"/>
      </tp>
      <tp t="s">
        <v>#N/A N/A</v>
        <stp/>
        <stp>BDH|2813701923985625086</stp>
        <tr r="E31" s="2"/>
      </tp>
      <tp t="s">
        <v>#N/A N/A</v>
        <stp/>
        <stp>BDH|4297717964022468564</stp>
        <tr r="Y51" s="2"/>
      </tp>
      <tp t="s">
        <v>#N/A N/A</v>
        <stp/>
        <stp>BDH|2334611373227770639</stp>
        <tr r="C30" s="2"/>
      </tp>
      <tp t="s">
        <v>#N/A N/A</v>
        <stp/>
        <stp>BDH|90737811879586020</stp>
        <tr r="U12" s="2"/>
      </tp>
      <tp t="s">
        <v>#N/A N/A</v>
        <stp/>
        <stp>BDH|7623173672011025397</stp>
        <tr r="V85" s="2"/>
      </tp>
      <tp t="s">
        <v>#N/A N/A</v>
        <stp/>
        <stp>BDH|3042096489848381095</stp>
        <tr r="P27" s="2"/>
      </tp>
      <tp t="s">
        <v>#N/A N/A</v>
        <stp/>
        <stp>BDH|7211888763929389304</stp>
        <tr r="H87" s="2"/>
      </tp>
      <tp t="s">
        <v>#N/A N/A</v>
        <stp/>
        <stp>BDH|7851613316330662321</stp>
        <tr r="AB58" s="2"/>
      </tp>
      <tp t="s">
        <v>#N/A N/A</v>
        <stp/>
        <stp>BDH|3847092313612225386</stp>
        <tr r="Q43" s="2"/>
      </tp>
      <tp t="s">
        <v>#N/A N/A</v>
        <stp/>
        <stp>BDH|1241946850977607983</stp>
        <tr r="V50" s="2"/>
      </tp>
      <tp t="s">
        <v>#N/A N/A</v>
        <stp/>
        <stp>BDH|9086485115369465614</stp>
        <tr r="L47" s="2"/>
      </tp>
      <tp t="s">
        <v>#N/A N/A</v>
        <stp/>
        <stp>BDH|9901725784257150272</stp>
        <tr r="W88" s="2"/>
      </tp>
      <tp t="s">
        <v>#N/A N/A</v>
        <stp/>
        <stp>BDH|9366372999868597818</stp>
        <tr r="U18" s="2"/>
      </tp>
      <tp t="s">
        <v>#N/A N/A</v>
        <stp/>
        <stp>BDH|9481890972315936089</stp>
        <tr r="D72" s="2"/>
      </tp>
      <tp t="s">
        <v>#N/A N/A</v>
        <stp/>
        <stp>BDH|9318293297364533560</stp>
        <tr r="I70" s="2"/>
      </tp>
      <tp t="s">
        <v>#N/A N/A</v>
        <stp/>
        <stp>BDH|3932607241460740201</stp>
        <tr r="S82" s="2"/>
      </tp>
      <tp t="s">
        <v>#N/A N/A</v>
        <stp/>
        <stp>BDH|4529678311691418189</stp>
        <tr r="S28" s="2"/>
      </tp>
      <tp t="s">
        <v>#N/A N/A</v>
        <stp/>
        <stp>BDH|8891442106517633834</stp>
        <tr r="W89" s="2"/>
      </tp>
      <tp t="s">
        <v>#N/A N/A</v>
        <stp/>
        <stp>BDH|5931735236624292614</stp>
        <tr r="T85" s="2"/>
      </tp>
      <tp t="s">
        <v>#N/A N/A</v>
        <stp/>
        <stp>BDH|3818929266148600754</stp>
        <tr r="AB34" s="2"/>
      </tp>
      <tp t="s">
        <v>#N/A N/A</v>
        <stp/>
        <stp>BDH|1363557936164546090</stp>
        <tr r="AA74" s="2"/>
      </tp>
      <tp t="s">
        <v>#N/A N/A</v>
        <stp/>
        <stp>BDH|4549719216325695480</stp>
        <tr r="E47" s="2"/>
      </tp>
      <tp t="s">
        <v>#N/A N/A</v>
        <stp/>
        <stp>BDH|7397218104560862624</stp>
        <tr r="AD34" s="2"/>
      </tp>
      <tp t="s">
        <v>#N/A N/A</v>
        <stp/>
        <stp>BDH|2457731010193293494</stp>
        <tr r="AC17" s="2"/>
      </tp>
      <tp t="s">
        <v>#N/A N/A</v>
        <stp/>
        <stp>BDH|2838660046280612331</stp>
        <tr r="AD64" s="2"/>
      </tp>
      <tp t="s">
        <v>#N/A N/A</v>
        <stp/>
        <stp>BDH|6636783380738646253</stp>
        <tr r="I18" s="2"/>
      </tp>
      <tp t="s">
        <v>#N/A N/A</v>
        <stp/>
        <stp>BDH|5068411394129169292</stp>
        <tr r="AB57" s="2"/>
      </tp>
      <tp t="s">
        <v>#N/A N/A</v>
        <stp/>
        <stp>BDH|1994220350664013167</stp>
        <tr r="T18" s="2"/>
      </tp>
      <tp t="s">
        <v>#N/A N/A</v>
        <stp/>
        <stp>BDH|7374976399367985390</stp>
        <tr r="M40" s="2"/>
      </tp>
      <tp t="s">
        <v>#N/A N/A</v>
        <stp/>
        <stp>BDH|1521964110973947977</stp>
        <tr r="AE24" s="2"/>
      </tp>
      <tp t="s">
        <v>#N/A N/A</v>
        <stp/>
        <stp>BDH|1000902420570898952</stp>
        <tr r="W64" s="2"/>
      </tp>
      <tp t="s">
        <v>#N/A N/A</v>
        <stp/>
        <stp>BDH|4001891183497486033</stp>
        <tr r="Y15" s="2"/>
      </tp>
      <tp t="s">
        <v>#N/A N/A</v>
        <stp/>
        <stp>BDH|3832676121097731348</stp>
        <tr r="T56" s="2"/>
      </tp>
      <tp t="s">
        <v>#N/A N/A</v>
        <stp/>
        <stp>BDH|9540421028199282502</stp>
        <tr r="K15" s="2"/>
      </tp>
      <tp t="s">
        <v>#N/A N/A</v>
        <stp/>
        <stp>BDH|6330674836740464046</stp>
        <tr r="AB17" s="2"/>
      </tp>
      <tp t="s">
        <v>#N/A N/A</v>
        <stp/>
        <stp>BDH|7775346376269279951</stp>
        <tr r="G49" s="2"/>
      </tp>
      <tp t="s">
        <v>#N/A N/A</v>
        <stp/>
        <stp>BDH|6954064070227410595</stp>
        <tr r="R82" s="2"/>
      </tp>
      <tp t="s">
        <v>#N/A N/A</v>
        <stp/>
        <stp>BDH|1532631791305711826</stp>
        <tr r="AF87" s="2"/>
      </tp>
      <tp t="s">
        <v>#N/A N/A</v>
        <stp/>
        <stp>BDH|4436440762225487040</stp>
        <tr r="W17" s="2"/>
      </tp>
      <tp t="s">
        <v>#N/A N/A</v>
        <stp/>
        <stp>BDH|9673997599433685927</stp>
        <tr r="G65" s="2"/>
      </tp>
      <tp t="s">
        <v>#N/A N/A</v>
        <stp/>
        <stp>BDH|3395077577682227531</stp>
        <tr r="C41" s="2"/>
      </tp>
      <tp t="s">
        <v>#N/A N/A</v>
        <stp/>
        <stp>BDH|8420051394760671202</stp>
        <tr r="P88" s="2"/>
      </tp>
      <tp t="s">
        <v>#N/A N/A</v>
        <stp/>
        <stp>BDH|7412911519264406883</stp>
        <tr r="AE31" s="2"/>
      </tp>
      <tp t="s">
        <v>#N/A N/A</v>
        <stp/>
        <stp>BDH|5248754590288738008</stp>
        <tr r="K8" s="2"/>
      </tp>
      <tp t="s">
        <v>#N/A N/A</v>
        <stp/>
        <stp>BDH|5800602298141036808</stp>
        <tr r="U20" s="2"/>
      </tp>
      <tp t="s">
        <v>#N/A N/A</v>
        <stp/>
        <stp>BDH|1419044660974966090</stp>
        <tr r="AB30" s="2"/>
      </tp>
      <tp t="s">
        <v>#N/A N/A</v>
        <stp/>
        <stp>BDH|7919230645832612092</stp>
        <tr r="AB51" s="2"/>
      </tp>
      <tp t="s">
        <v>#N/A N/A</v>
        <stp/>
        <stp>BDH|8535865803475004608</stp>
        <tr r="I7" s="2"/>
      </tp>
      <tp t="s">
        <v>#N/A N/A</v>
        <stp/>
        <stp>BDH|4444289825717130086</stp>
        <tr r="AD60" s="2"/>
      </tp>
      <tp t="s">
        <v>#N/A N/A</v>
        <stp/>
        <stp>BDH|2190417011503853790</stp>
        <tr r="T40" s="2"/>
      </tp>
      <tp t="s">
        <v>#N/A N/A</v>
        <stp/>
        <stp>BDH|8216008775945094969</stp>
        <tr r="AA65" s="2"/>
      </tp>
      <tp t="s">
        <v>#N/A N/A</v>
        <stp/>
        <stp>BDH|2433046874341460710</stp>
        <tr r="AE44" s="2"/>
      </tp>
      <tp t="s">
        <v>#N/A N/A</v>
        <stp/>
        <stp>BDH|5063621253604212122</stp>
        <tr r="C82" s="2"/>
      </tp>
      <tp t="s">
        <v>#N/A N/A</v>
        <stp/>
        <stp>BDH|7342559086110261937</stp>
        <tr r="J34" s="2"/>
      </tp>
      <tp t="s">
        <v>#N/A N/A</v>
        <stp/>
        <stp>BDH|1003277334682196148</stp>
        <tr r="L75" s="2"/>
      </tp>
      <tp t="s">
        <v>#N/A N/A</v>
        <stp/>
        <stp>BDH|3866352527357917654</stp>
        <tr r="L62" s="2"/>
      </tp>
      <tp t="s">
        <v>#N/A N/A</v>
        <stp/>
        <stp>BDH|9721881003635925733</stp>
        <tr r="L66" s="2"/>
      </tp>
      <tp t="s">
        <v>#N/A N/A</v>
        <stp/>
        <stp>BDH|6653706551303435455</stp>
        <tr r="Q60" s="2"/>
      </tp>
      <tp t="s">
        <v>#N/A N/A</v>
        <stp/>
        <stp>BDH|8243017295860944296</stp>
        <tr r="F12" s="2"/>
      </tp>
      <tp t="s">
        <v>#N/A N/A</v>
        <stp/>
        <stp>BDH|4322250625636157149</stp>
        <tr r="AB11" s="2"/>
      </tp>
      <tp t="s">
        <v>#N/A N/A</v>
        <stp/>
        <stp>BDH|7402703202455587651</stp>
        <tr r="L32" s="2"/>
      </tp>
      <tp t="s">
        <v>#N/A N/A</v>
        <stp/>
        <stp>BDH|5009130263215100466</stp>
        <tr r="AC45" s="2"/>
      </tp>
      <tp t="s">
        <v>#N/A N/A</v>
        <stp/>
        <stp>BDH|7314658570590338528</stp>
        <tr r="V89" s="2"/>
      </tp>
      <tp t="s">
        <v>#N/A N/A</v>
        <stp/>
        <stp>BDH|6749589148604985094</stp>
        <tr r="H57" s="2"/>
      </tp>
      <tp t="s">
        <v>#N/A N/A</v>
        <stp/>
        <stp>BDH|9092209896245280435</stp>
        <tr r="O7" s="2"/>
      </tp>
      <tp t="s">
        <v>#N/A N/A</v>
        <stp/>
        <stp>BDH|7588161641733298279</stp>
        <tr r="T24" s="2"/>
      </tp>
      <tp t="s">
        <v>#N/A N/A</v>
        <stp/>
        <stp>BDH|2976511250505921452</stp>
        <tr r="W14" s="2"/>
      </tp>
      <tp t="s">
        <v>#N/A N/A</v>
        <stp/>
        <stp>BDH|7749838161038318226</stp>
        <tr r="R39" s="2"/>
      </tp>
      <tp t="s">
        <v>#N/A N/A</v>
        <stp/>
        <stp>BDH|7031427388890741893</stp>
        <tr r="U29" s="2"/>
      </tp>
      <tp t="s">
        <v>#N/A N/A</v>
        <stp/>
        <stp>BDH|3095449652900164135</stp>
        <tr r="U46" s="2"/>
      </tp>
      <tp t="s">
        <v>#N/A N/A</v>
        <stp/>
        <stp>BDH|1271761236040635609</stp>
        <tr r="S91" s="2"/>
      </tp>
      <tp t="s">
        <v>#N/A N/A</v>
        <stp/>
        <stp>BDH|6736209403034725377</stp>
        <tr r="D9" s="2"/>
      </tp>
      <tp t="s">
        <v>#N/A N/A</v>
        <stp/>
        <stp>BDH|2897783157626437568</stp>
        <tr r="AD40" s="2"/>
      </tp>
      <tp t="s">
        <v>#N/A N/A</v>
        <stp/>
        <stp>BDH|6627446673187026141</stp>
        <tr r="AD49" s="2"/>
      </tp>
      <tp t="s">
        <v>#N/A N/A</v>
        <stp/>
        <stp>BDH|9876533697337977108</stp>
        <tr r="W55" s="2"/>
      </tp>
      <tp t="s">
        <v>#N/A N/A</v>
        <stp/>
        <stp>BDH|1145213155167640269</stp>
        <tr r="K73" s="2"/>
      </tp>
      <tp t="s">
        <v>#N/A N/A</v>
        <stp/>
        <stp>BDH|3853131922255586695</stp>
        <tr r="L41" s="2"/>
      </tp>
      <tp t="s">
        <v>#N/A N/A</v>
        <stp/>
        <stp>BDH|441790906790501231</stp>
        <tr r="AE39" s="2"/>
      </tp>
      <tp t="s">
        <v>#N/A N/A</v>
        <stp/>
        <stp>BDH|913021384118004524</stp>
        <tr r="H41" s="2"/>
      </tp>
      <tp t="s">
        <v>#N/A N/A</v>
        <stp/>
        <stp>BDH|626196671377745476</stp>
        <tr r="U59" s="2"/>
      </tp>
      <tp t="s">
        <v>#N/A N/A</v>
        <stp/>
        <stp>BDH|125199950769047804</stp>
        <tr r="X20" s="2"/>
      </tp>
      <tp t="s">
        <v>#N/A N/A</v>
        <stp/>
        <stp>BDH|731196916302625746</stp>
        <tr r="G14" s="2"/>
      </tp>
      <tp t="s">
        <v>#N/A N/A</v>
        <stp/>
        <stp>BDH|771697465154632171</stp>
        <tr r="Q55" s="2"/>
      </tp>
      <tp t="s">
        <v>#N/A N/A</v>
        <stp/>
        <stp>BDH|744253067683659285</stp>
        <tr r="H40" s="2"/>
      </tp>
      <tp t="s">
        <v>#N/A N/A</v>
        <stp/>
        <stp>BDH|567438724334251753</stp>
        <tr r="Q57" s="2"/>
      </tp>
      <tp t="s">
        <v>#N/A N/A</v>
        <stp/>
        <stp>BDH|246811516258267447</stp>
        <tr r="M89" s="2"/>
      </tp>
      <tp t="s">
        <v>#N/A N/A</v>
        <stp/>
        <stp>BDH|948010171240535327</stp>
        <tr r="F76" s="2"/>
      </tp>
      <tp t="s">
        <v>#N/A N/A</v>
        <stp/>
        <stp>BDH|317975498594802017</stp>
        <tr r="I31" s="2"/>
      </tp>
      <tp t="s">
        <v>#N/A N/A</v>
        <stp/>
        <stp>BDH|255633205791305316</stp>
        <tr r="S39" s="2"/>
      </tp>
      <tp t="s">
        <v>#N/A N/A</v>
        <stp/>
        <stp>BDH|905183186614953984</stp>
        <tr r="G53" s="2"/>
      </tp>
      <tp t="s">
        <v>#N/A N/A</v>
        <stp/>
        <stp>BDH|115483801306723697</stp>
        <tr r="Q68" s="2"/>
      </tp>
      <tp t="s">
        <v>#N/A N/A</v>
        <stp/>
        <stp>BDH|699224369061888143</stp>
        <tr r="Y9" s="2"/>
      </tp>
      <tp t="s">
        <v>#N/A N/A</v>
        <stp/>
        <stp>BDH|784631682658859113</stp>
        <tr r="T16" s="2"/>
      </tp>
      <tp t="s">
        <v>#N/A N/A</v>
        <stp/>
        <stp>BDH|531708102013482388</stp>
        <tr r="J42" s="2"/>
      </tp>
      <tp t="s">
        <v>#N/A N/A</v>
        <stp/>
        <stp>BDH|448963079468251122</stp>
        <tr r="L84" s="2"/>
      </tp>
      <tp t="s">
        <v>#N/A N/A</v>
        <stp/>
        <stp>BDH|417679134473063138</stp>
        <tr r="G84" s="2"/>
      </tp>
      <tp t="s">
        <v>#N/A N/A</v>
        <stp/>
        <stp>BDH|335246406557601223</stp>
        <tr r="AE9" s="2"/>
      </tp>
      <tp t="s">
        <v>#N/A N/A</v>
        <stp/>
        <stp>BDH|100594792609391288</stp>
        <tr r="Z85" s="2"/>
      </tp>
      <tp t="s">
        <v>#N/A N/A</v>
        <stp/>
        <stp>BDH|545269543638445975</stp>
        <tr r="D70" s="2"/>
      </tp>
      <tp t="s">
        <v>#N/A N/A</v>
        <stp/>
        <stp>BDH|178356956909280832</stp>
        <tr r="K64" s="2"/>
      </tp>
      <tp t="s">
        <v>#N/A N/A</v>
        <stp/>
        <stp>BDH|947620334134259774</stp>
        <tr r="T87" s="2"/>
      </tp>
      <tp t="s">
        <v>#N/A N/A</v>
        <stp/>
        <stp>BDH|232118710640174663</stp>
        <tr r="Z82" s="2"/>
      </tp>
      <tp t="s">
        <v>#N/A N/A</v>
        <stp/>
        <stp>BDH|886778232591439390</stp>
        <tr r="R92" s="2"/>
      </tp>
      <tp t="s">
        <v>#N/A N/A</v>
        <stp/>
        <stp>BDH|157157751237004547</stp>
        <tr r="T32" s="2"/>
      </tp>
      <tp t="s">
        <v>#N/A N/A</v>
        <stp/>
        <stp>BDH|255595261231538313</stp>
        <tr r="M47" s="2"/>
      </tp>
      <tp t="s">
        <v>#N/A N/A</v>
        <stp/>
        <stp>BDH|997056161536173147</stp>
        <tr r="U7" s="2"/>
      </tp>
      <tp t="s">
        <v>#N/A N/A</v>
        <stp/>
        <stp>BDH|842080539353026132</stp>
        <tr r="F88" s="2"/>
      </tp>
      <tp t="s">
        <v>#N/A N/A</v>
        <stp/>
        <stp>BDH|777182235476879592</stp>
        <tr r="V54" s="2"/>
      </tp>
      <tp t="s">
        <v>#N/A N/A</v>
        <stp/>
        <stp>BDH|495005243547966287</stp>
        <tr r="I62" s="2"/>
      </tp>
      <tp t="s">
        <v>#N/A N/A</v>
        <stp/>
        <stp>BDH|843425692935893934</stp>
        <tr r="O41" s="2"/>
      </tp>
      <tp t="s">
        <v>#N/A N/A</v>
        <stp/>
        <stp>BDH|705205424431690192</stp>
        <tr r="U49" s="2"/>
      </tp>
      <tp t="s">
        <v>#N/A N/A</v>
        <stp/>
        <stp>BDH|916044434955231661</stp>
        <tr r="C20" s="2"/>
      </tp>
      <tp t="s">
        <v>#N/A N/A</v>
        <stp/>
        <stp>BDH|751666274051933010</stp>
        <tr r="I61" s="2"/>
      </tp>
      <tp t="s">
        <v>#N/A N/A</v>
        <stp/>
        <stp>BDH|424533058014076410</stp>
        <tr r="AE38" s="2"/>
      </tp>
      <tp t="s">
        <v>#N/A N/A</v>
        <stp/>
        <stp>BDH|657434347145886524</stp>
        <tr r="K27" s="2"/>
      </tp>
      <tp t="s">
        <v>#N/A N/A</v>
        <stp/>
        <stp>BDH|870906804701215842</stp>
        <tr r="H76" s="2"/>
      </tp>
      <tp t="s">
        <v>#N/A N/A</v>
        <stp/>
        <stp>BDH|417633557236792526</stp>
        <tr r="F15" s="2"/>
      </tp>
      <tp t="s">
        <v>#N/A N/A</v>
        <stp/>
        <stp>BDH|531601310293290424</stp>
        <tr r="C38" s="2"/>
      </tp>
      <tp t="s">
        <v>#N/A N/A</v>
        <stp/>
        <stp>BDH|297621803406321059</stp>
        <tr r="M58" s="2"/>
      </tp>
      <tp t="s">
        <v>#N/A N/A</v>
        <stp/>
        <stp>BDH|488779068334518588</stp>
        <tr r="H15" s="2"/>
      </tp>
      <tp t="s">
        <v>#N/A N/A</v>
        <stp/>
        <stp>BDH|154334943374793317</stp>
        <tr r="AB25" s="2"/>
      </tp>
      <tp t="s">
        <v>#N/A N/A</v>
        <stp/>
        <stp>BDH|754791175993983301</stp>
        <tr r="N82" s="2"/>
      </tp>
      <tp t="s">
        <v>#N/A N/A</v>
        <stp/>
        <stp>BDH|909338068020876596</stp>
        <tr r="AC49" s="2"/>
      </tp>
      <tp t="s">
        <v>#N/A N/A</v>
        <stp/>
        <stp>BDH|808301444240283415</stp>
        <tr r="AC74" s="2"/>
      </tp>
      <tp t="s">
        <v>#N/A N/A</v>
        <stp/>
        <stp>BDH|802789948639396919</stp>
        <tr r="O91" s="2"/>
      </tp>
      <tp t="s">
        <v>#N/A N/A</v>
        <stp/>
        <stp>BDH|754849111393679940</stp>
        <tr r="G82" s="2"/>
      </tp>
      <tp t="s">
        <v>#N/A N/A</v>
        <stp/>
        <stp>BDH|296188421350856006</stp>
        <tr r="T91" s="2"/>
      </tp>
      <tp t="s">
        <v>#N/A N/A</v>
        <stp/>
        <stp>BDH|641104871454983024</stp>
        <tr r="R91" s="2"/>
      </tp>
      <tp t="s">
        <v>#N/A N/A</v>
        <stp/>
        <stp>BDH|894008015222578155</stp>
        <tr r="AD48" s="2"/>
      </tp>
      <tp t="s">
        <v>#N/A N/A</v>
        <stp/>
        <stp>BDH|794741260272686185</stp>
        <tr r="AF57" s="2"/>
      </tp>
      <tp t="s">
        <v>#N/A N/A</v>
        <stp/>
        <stp>BDH|792011157761860601</stp>
        <tr r="I50" s="2"/>
      </tp>
      <tp t="s">
        <v>#N/A N/A</v>
        <stp/>
        <stp>BDH|543992055398745672</stp>
        <tr r="AD70" s="2"/>
      </tp>
      <tp t="s">
        <v>#N/A N/A</v>
        <stp/>
        <stp>BDH|664387191920149854</stp>
        <tr r="O61" s="2"/>
      </tp>
      <tp t="s">
        <v>#N/A N/A</v>
        <stp/>
        <stp>BDH|402131105302766110</stp>
        <tr r="X52" s="2"/>
      </tp>
      <tp t="s">
        <v>#N/A N/A</v>
        <stp/>
        <stp>BDH|997433600325915340</stp>
        <tr r="AC11" s="2"/>
      </tp>
      <tp t="s">
        <v>#N/A N/A</v>
        <stp/>
        <stp>BDH|119804147449086710</stp>
        <tr r="O73" s="2"/>
      </tp>
      <tp t="s">
        <v>#N/A N/A</v>
        <stp/>
        <stp>BDH|742329842852132778</stp>
        <tr r="L58" s="2"/>
      </tp>
      <tp t="s">
        <v>#N/A N/A</v>
        <stp/>
        <stp>BDH|468992731950961862</stp>
        <tr r="U19" s="2"/>
      </tp>
      <tp t="s">
        <v>#N/A N/A</v>
        <stp/>
        <stp>BDH|705976099530235284</stp>
        <tr r="S42" s="2"/>
      </tp>
      <tp t="s">
        <v>#N/A N/A</v>
        <stp/>
        <stp>BDH|977379440653777908</stp>
        <tr r="M90" s="2"/>
      </tp>
      <tp t="s">
        <v>#N/A N/A</v>
        <stp/>
        <stp>BDH|170169823278751695</stp>
        <tr r="E86" s="2"/>
      </tp>
      <tp t="s">
        <v>#N/A N/A</v>
        <stp/>
        <stp>BDH|665122441411220926</stp>
        <tr r="X45" s="2"/>
      </tp>
      <tp t="s">
        <v>#N/A N/A</v>
        <stp/>
        <stp>BDH|490084039098428674</stp>
        <tr r="J90" s="2"/>
      </tp>
      <tp t="s">
        <v>#N/A N/A</v>
        <stp/>
        <stp>BDH|519412441194389903</stp>
        <tr r="AA81" s="2"/>
      </tp>
      <tp t="s">
        <v>#N/A N/A</v>
        <stp/>
        <stp>BDH|433472387099420871</stp>
        <tr r="P52" s="2"/>
      </tp>
      <tp t="s">
        <v>#N/A N/A</v>
        <stp/>
        <stp>BDH|371454353458162452</stp>
        <tr r="P7" s="2"/>
      </tp>
      <tp t="s">
        <v>#N/A N/A</v>
        <stp/>
        <stp>BDH|654409158968458568</stp>
        <tr r="Z51" s="2"/>
      </tp>
      <tp t="s">
        <v>#N/A N/A</v>
        <stp/>
        <stp>BDH|394597557338258408</stp>
        <tr r="Q9" s="2"/>
      </tp>
      <tp t="s">
        <v>#N/A N/A</v>
        <stp/>
        <stp>BDH|207429466377967946</stp>
        <tr r="J85" s="2"/>
      </tp>
      <tp t="s">
        <v>#N/A N/A</v>
        <stp/>
        <stp>BDH|205856562715722766</stp>
        <tr r="G23" s="2"/>
      </tp>
      <tp t="s">
        <v>#N/A N/A</v>
        <stp/>
        <stp>BDH|664193998471635548</stp>
        <tr r="AC57" s="2"/>
      </tp>
      <tp t="s">
        <v>#N/A N/A</v>
        <stp/>
        <stp>BDH|335452360959595728</stp>
        <tr r="U32" s="2"/>
      </tp>
      <tp t="s">
        <v>#N/A N/A</v>
        <stp/>
        <stp>BDH|628872574656362576</stp>
        <tr r="E14" s="2"/>
      </tp>
      <tp t="s">
        <v>#N/A N/A</v>
        <stp/>
        <stp>BDH|445833112474970209</stp>
        <tr r="W92" s="2"/>
      </tp>
      <tp t="s">
        <v>#N/A N/A</v>
        <stp/>
        <stp>BDH|520650114000193898</stp>
        <tr r="H72" s="2"/>
      </tp>
      <tp t="s">
        <v>#N/A N/A</v>
        <stp/>
        <stp>BDH|842764456415224866</stp>
        <tr r="X39" s="2"/>
      </tp>
      <tp t="s">
        <v>#N/A N/A</v>
        <stp/>
        <stp>BDH|331556135731889840</stp>
        <tr r="Q23" s="2"/>
      </tp>
      <tp t="s">
        <v>#N/A N/A</v>
        <stp/>
        <stp>BDH|950507208922307889</stp>
        <tr r="Y23" s="2"/>
      </tp>
      <tp t="s">
        <v>#N/A N/A</v>
        <stp/>
        <stp>BDH|998614944225683812</stp>
        <tr r="W15" s="2"/>
      </tp>
      <tp t="s">
        <v>#N/A N/A</v>
        <stp/>
        <stp>BDH|722157147002465858</stp>
        <tr r="Y89" s="2"/>
      </tp>
      <tp t="s">
        <v>#N/A N/A</v>
        <stp/>
        <stp>BDH|417087288612120512</stp>
        <tr r="AD56" s="2"/>
      </tp>
      <tp t="s">
        <v>#N/A N/A</v>
        <stp/>
        <stp>BDH|568233257541191955</stp>
        <tr r="R38" s="2"/>
      </tp>
      <tp t="s">
        <v>#N/A N/A</v>
        <stp/>
        <stp>BDH|185119456468151319</stp>
        <tr r="M65" s="2"/>
      </tp>
      <tp t="s">
        <v>#N/A N/A</v>
        <stp/>
        <stp>BDH|644775435023714821</stp>
        <tr r="Q8" s="2"/>
      </tp>
      <tp t="s">
        <v>#N/A N/A</v>
        <stp/>
        <stp>BDH|864406171738951425</stp>
        <tr r="E83" s="2"/>
      </tp>
      <tp t="s">
        <v>#N/A N/A</v>
        <stp/>
        <stp>BDH|678306712144976811</stp>
        <tr r="AB50" s="2"/>
      </tp>
      <tp t="s">
        <v>#N/A N/A</v>
        <stp/>
        <stp>BDH|104839071270213185</stp>
        <tr r="W87" s="2"/>
      </tp>
      <tp t="s">
        <v>#N/A N/A</v>
        <stp/>
        <stp>BDH|250556361349581486</stp>
        <tr r="N19" s="2"/>
      </tp>
      <tp t="s">
        <v>#N/A N/A</v>
        <stp/>
        <stp>BDH|568760648859302489</stp>
        <tr r="W10" s="2"/>
      </tp>
      <tp t="s">
        <v>#N/A N/A</v>
        <stp/>
        <stp>BDH|544947155290557234</stp>
        <tr r="Q65" s="2"/>
      </tp>
      <tp t="s">
        <v>#N/A N/A</v>
        <stp/>
        <stp>BDH|823029559938558355</stp>
        <tr r="L19" s="2"/>
      </tp>
      <tp t="s">
        <v>#N/A N/A</v>
        <stp/>
        <stp>BDH|873637500850881800</stp>
        <tr r="Z11" s="2"/>
      </tp>
      <tp t="s">
        <v>#N/A N/A</v>
        <stp/>
        <stp>BDH|609737490765669500</stp>
        <tr r="H61" s="2"/>
      </tp>
      <tp t="s">
        <v>#N/A N/A</v>
        <stp/>
        <stp>BDH|127351627666166914</stp>
        <tr r="H44" s="2"/>
      </tp>
      <tp t="s">
        <v>#N/A N/A</v>
        <stp/>
        <stp>BDH|522919329776233434</stp>
        <tr r="O45" s="2"/>
      </tp>
      <tp t="s">
        <v>#N/A N/A</v>
        <stp/>
        <stp>BDH|165090491888558821</stp>
        <tr r="K40" s="2"/>
      </tp>
      <tp t="s">
        <v>#N/A N/A</v>
        <stp/>
        <stp>BDH|916780187957635123</stp>
        <tr r="AA75" s="2"/>
      </tp>
      <tp t="s">
        <v>#N/A N/A</v>
        <stp/>
        <stp>BDH|174321185690238380</stp>
        <tr r="G76" s="2"/>
      </tp>
      <tp t="s">
        <v>#N/A N/A</v>
        <stp/>
        <stp>BDH|768692954599102263</stp>
        <tr r="R68" s="2"/>
      </tp>
      <tp t="s">
        <v>#N/A N/A</v>
        <stp/>
        <stp>BDH|941230626640497809</stp>
        <tr r="X81" s="2"/>
      </tp>
      <tp t="s">
        <v>#N/A N/A</v>
        <stp/>
        <stp>BDH|540673592397419018</stp>
        <tr r="N7" s="2"/>
      </tp>
      <tp t="s">
        <v>#N/A N/A</v>
        <stp/>
        <stp>BDH|989476558618664128</stp>
        <tr r="E57" s="2"/>
      </tp>
      <tp t="s">
        <v>#N/A N/A</v>
        <stp/>
        <stp>BDH|639045789230779381</stp>
        <tr r="K47" s="2"/>
      </tp>
      <tp t="s">
        <v>#N/A N/A</v>
        <stp/>
        <stp>BDH|118919071710039577</stp>
        <tr r="AC69" s="2"/>
      </tp>
      <tp t="s">
        <v>#N/A N/A</v>
        <stp/>
        <stp>BDH|878892924802737350</stp>
        <tr r="AD16" s="2"/>
      </tp>
      <tp t="s">
        <v>#N/A N/A</v>
        <stp/>
        <stp>BDH|595410393751285743</stp>
        <tr r="AE60" s="2"/>
      </tp>
      <tp t="s">
        <v>#N/A N/A</v>
        <stp/>
        <stp>BDH|307253726533894974</stp>
        <tr r="L67" s="2"/>
      </tp>
      <tp t="s">
        <v>#N/A N/A</v>
        <stp/>
        <stp>BDH|888865895433011844</stp>
        <tr r="N87" s="2"/>
      </tp>
      <tp t="s">
        <v>#N/A N/A</v>
        <stp/>
        <stp>BDH|832905321598375952</stp>
        <tr r="O35" s="2"/>
      </tp>
      <tp t="s">
        <v>#N/A N/A</v>
        <stp/>
        <stp>BDH|794886236787192676</stp>
        <tr r="W45" s="2"/>
      </tp>
      <tp t="s">
        <v>#N/A N/A</v>
        <stp/>
        <stp>BDH|821098979775290826</stp>
        <tr r="P17" s="2"/>
      </tp>
      <tp t="s">
        <v>#N/A N/A</v>
        <stp/>
        <stp>BDH|137647810915861841</stp>
        <tr r="Z55" s="2"/>
      </tp>
      <tp t="s">
        <v>#N/A N/A</v>
        <stp/>
        <stp>BDH|424090851858656737</stp>
        <tr r="J51" s="2"/>
      </tp>
      <tp t="s">
        <v>#N/A N/A</v>
        <stp/>
        <stp>BDH|905839578440819535</stp>
        <tr r="E42" s="2"/>
      </tp>
      <tp t="s">
        <v>#N/A N/A</v>
        <stp/>
        <stp>BDH|495489946029234314</stp>
        <tr r="AC34" s="2"/>
      </tp>
      <tp t="s">
        <v>#N/A N/A</v>
        <stp/>
        <stp>BDH|385074880893227125</stp>
        <tr r="X29" s="2"/>
      </tp>
      <tp t="s">
        <v>#N/A N/A</v>
        <stp/>
        <stp>BDH|654539184706797139</stp>
        <tr r="Y50" s="2"/>
      </tp>
      <tp t="s">
        <v>#N/A N/A</v>
        <stp/>
        <stp>BDH|596704035597978990</stp>
        <tr r="AF60" s="2"/>
      </tp>
      <tp t="s">
        <v>#N/A N/A</v>
        <stp/>
        <stp>BDH|544244371397120836</stp>
        <tr r="P28" s="2"/>
      </tp>
      <tp t="s">
        <v>#N/A N/A</v>
        <stp/>
        <stp>BDH|630300367489588670</stp>
        <tr r="F5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_xll.BDH("PCAR US Equity","CASH_CASH_EQTY_STI_DETAILED","FQ3 2018","FQ3 2018","Currency=USD","Period=FQ","BEST_FPERIOD_OVERRIDE=FQ","FILING_STATUS=MR","SCALING_FORMAT=MLN","Sort=A","Dates=H","DateFormat=P","Fill=—","Direction=H","UseDPDF=Y")</f>
        <v>3914.3</v>
      </c>
      <c r="D7" s="13" cm="1">
        <f t="array" ref="D7">_xll.BDH("PCAR US Equity","CASH_CASH_EQTY_STI_DETAILED","FQ4 2018","FQ4 2018","Currency=USD","Period=FQ","BEST_FPERIOD_OVERRIDE=FQ","FILING_STATUS=MR","SCALING_FORMAT=MLN","Sort=A","Dates=H","DateFormat=P","Fill=—","Direction=H","UseDPDF=Y")</f>
        <v>4456.3</v>
      </c>
      <c r="E7" s="13" cm="1">
        <f t="array" ref="E7">_xll.BDH("PCAR US Equity","CASH_CASH_EQTY_STI_DETAILED","FQ1 2019","FQ1 2019","Currency=USD","Period=FQ","BEST_FPERIOD_OVERRIDE=FQ","FILING_STATUS=MR","SCALING_FORMAT=MLN","Sort=A","Dates=H","DateFormat=P","Fill=—","Direction=H","UseDPDF=Y")</f>
        <v>3924.2</v>
      </c>
      <c r="F7" s="13" cm="1">
        <f t="array" ref="F7">_xll.BDH("PCAR US Equity","CASH_CASH_EQTY_STI_DETAILED","FQ2 2019","FQ2 2019","Currency=USD","Period=FQ","BEST_FPERIOD_OVERRIDE=FQ","FILING_STATUS=MR","SCALING_FORMAT=MLN","Sort=A","Dates=H","DateFormat=P","Fill=—","Direction=H","UseDPDF=Y")</f>
        <v>4336.7</v>
      </c>
      <c r="G7" s="13" cm="1">
        <f t="array" ref="G7">_xll.BDH("PCAR US Equity","CASH_CASH_EQTY_STI_DETAILED","FQ3 2019","FQ3 2019","Currency=USD","Period=FQ","BEST_FPERIOD_OVERRIDE=FQ","FILING_STATUS=MR","SCALING_FORMAT=MLN","Sort=A","Dates=H","DateFormat=P","Fill=—","Direction=H","UseDPDF=Y")</f>
        <v>4777.3</v>
      </c>
      <c r="H7" s="13" cm="1">
        <f t="array" ref="H7">_xll.BDH("PCAR US Equity","CASH_CASH_EQTY_STI_DETAILED","FQ4 2019","FQ4 2019","Currency=USD","Period=FQ","BEST_FPERIOD_OVERRIDE=FQ","FILING_STATUS=MR","SCALING_FORMAT=MLN","Sort=A","Dates=H","DateFormat=P","Fill=—","Direction=H","UseDPDF=Y")</f>
        <v>5337.2</v>
      </c>
      <c r="I7" s="13" cm="1">
        <f t="array" ref="I7">_xll.BDH("PCAR US Equity","CASH_CASH_EQTY_STI_DETAILED","FQ1 2020","FQ1 2020","Currency=USD","Period=FQ","BEST_FPERIOD_OVERRIDE=FQ","FILING_STATUS=MR","SCALING_FORMAT=MLN","Sort=A","Dates=H","DateFormat=P","Fill=—","Direction=H","UseDPDF=Y")</f>
        <v>4420.1000000000004</v>
      </c>
      <c r="J7" s="13" cm="1">
        <f t="array" ref="J7">_xll.BDH("PCAR US Equity","CASH_CASH_EQTY_STI_DETAILED","FQ2 2020","FQ2 2020","Currency=USD","Period=FQ","BEST_FPERIOD_OVERRIDE=FQ","FILING_STATUS=MR","SCALING_FORMAT=MLN","Sort=A","Dates=H","DateFormat=P","Fill=—","Direction=H","UseDPDF=Y")</f>
        <v>4275.2</v>
      </c>
      <c r="K7" s="13" cm="1">
        <f t="array" ref="K7">_xll.BDH("PCAR US Equity","CASH_CASH_EQTY_STI_DETAILED","FQ3 2020","FQ3 2020","Currency=USD","Period=FQ","BEST_FPERIOD_OVERRIDE=FQ","FILING_STATUS=MR","SCALING_FORMAT=MLN","Sort=A","Dates=H","DateFormat=P","Fill=—","Direction=H","UseDPDF=Y")</f>
        <v>4538.6000000000004</v>
      </c>
      <c r="L7" s="13" cm="1">
        <f t="array" ref="L7">_xll.BDH("PCAR US Equity","CASH_CASH_EQTY_STI_DETAILED","FQ4 2020","FQ4 2020","Currency=USD","Period=FQ","BEST_FPERIOD_OVERRIDE=FQ","FILING_STATUS=MR","SCALING_FORMAT=MLN","Sort=A","Dates=H","DateFormat=P","Fill=—","Direction=H","UseDPDF=Y")</f>
        <v>4968.6000000000004</v>
      </c>
      <c r="M7" s="13" cm="1">
        <f t="array" ref="M7">_xll.BDH("PCAR US Equity","CASH_CASH_EQTY_STI_DETAILED","FQ1 2021","FQ1 2021","Currency=USD","Period=FQ","BEST_FPERIOD_OVERRIDE=FQ","FILING_STATUS=MR","SCALING_FORMAT=MLN","Sort=A","Dates=H","DateFormat=P","Fill=—","Direction=H","UseDPDF=Y")</f>
        <v>4741.1000000000004</v>
      </c>
      <c r="N7" s="13" cm="1">
        <f t="array" ref="N7">_xll.BDH("PCAR US Equity","CASH_CASH_EQTY_STI_DETAILED","FQ2 2021","FQ2 2021","Currency=USD","Period=FQ","BEST_FPERIOD_OVERRIDE=FQ","FILING_STATUS=MR","SCALING_FORMAT=MLN","Sort=A","Dates=H","DateFormat=P","Fill=—","Direction=H","UseDPDF=Y")</f>
        <v>4504.3999999999996</v>
      </c>
      <c r="O7" s="13" cm="1">
        <f t="array" ref="O7">_xll.BDH("PCAR US Equity","CASH_CASH_EQTY_STI_DETAILED","FQ3 2021","FQ3 2021","Currency=USD","Period=FQ","BEST_FPERIOD_OVERRIDE=FQ","FILING_STATUS=MR","SCALING_FORMAT=MLN","Sort=A","Dates=H","DateFormat=P","Fill=—","Direction=H","UseDPDF=Y")</f>
        <v>3777.2</v>
      </c>
      <c r="P7" s="13" cm="1">
        <f t="array" ref="P7">_xll.BDH("PCAR US Equity","CASH_CASH_EQTY_STI_DETAILED","FQ4 2021","FQ4 2021","Currency=USD","Period=FQ","BEST_FPERIOD_OVERRIDE=FQ","FILING_STATUS=MR","SCALING_FORMAT=MLN","Sort=A","Dates=H","DateFormat=P","Fill=—","Direction=H","UseDPDF=Y")</f>
        <v>4987.7</v>
      </c>
      <c r="Q7" s="13" cm="1">
        <f t="array" ref="Q7">_xll.BDH("PCAR US Equity","CASH_CASH_EQTY_STI_DETAILED","FQ1 2022","FQ1 2022","Currency=USD","Period=FQ","BEST_FPERIOD_OVERRIDE=FQ","FILING_STATUS=MR","SCALING_FORMAT=MLN","Sort=A","Dates=H","DateFormat=P","Fill=—","Direction=H","UseDPDF=Y")</f>
        <v>4830.1000000000004</v>
      </c>
      <c r="R7" s="13" cm="1">
        <f t="array" ref="R7">_xll.BDH("PCAR US Equity","CASH_CASH_EQTY_STI_DETAILED","FQ2 2022","FQ2 2022","Currency=USD","Period=FQ","BEST_FPERIOD_OVERRIDE=FQ","FILING_STATUS=MR","SCALING_FORMAT=MLN","Sort=A","Dates=H","DateFormat=P","Fill=—","Direction=H","UseDPDF=Y")</f>
        <v>4790.5</v>
      </c>
      <c r="S7" s="13" cm="1">
        <f t="array" ref="S7">_xll.BDH("PCAR US Equity","CASH_CASH_EQTY_STI_DETAILED","FQ3 2022","FQ3 2022","Currency=USD","Period=FQ","BEST_FPERIOD_OVERRIDE=FQ","FILING_STATUS=MR","SCALING_FORMAT=MLN","Sort=A","Dates=H","DateFormat=P","Fill=—","Direction=H","UseDPDF=Y")</f>
        <v>4867.7</v>
      </c>
      <c r="T7" s="13" cm="1">
        <f t="array" ref="T7">_xll.BDH("PCAR US Equity","CASH_CASH_EQTY_STI_DETAILED","FQ4 2022","FQ4 2022","Currency=USD","Period=FQ","BEST_FPERIOD_OVERRIDE=FQ","FILING_STATUS=MR","SCALING_FORMAT=MLN","Sort=A","Dates=H","DateFormat=P","Fill=—","Direction=H","UseDPDF=Y")</f>
        <v>6305.1</v>
      </c>
      <c r="U7" s="13" cm="1">
        <f t="array" ref="U7">_xll.BDH("PCAR US Equity","CASH_CASH_EQTY_STI_DETAILED","FQ1 2023","FQ1 2023","Currency=USD","Period=FQ","BEST_FPERIOD_OVERRIDE=FQ","FILING_STATUS=MR","SCALING_FORMAT=MLN","Sort=A","Dates=H","DateFormat=P","Fill=—","Direction=H","UseDPDF=Y")</f>
        <v>6049</v>
      </c>
      <c r="V7" s="13" cm="1">
        <f t="array" ref="V7">_xll.BDH("PCAR US Equity","CASH_CASH_EQTY_STI_DETAILED","FQ2 2023","FQ2 2023","Currency=USD","Period=FQ","BEST_FPERIOD_OVERRIDE=FQ","FILING_STATUS=MR","SCALING_FORMAT=MLN","Sort=A","Dates=H","DateFormat=P","Fill=—","Direction=H","UseDPDF=Y")</f>
        <v>6836.4</v>
      </c>
      <c r="W7" s="13" cm="1">
        <f t="array" ref="W7">_xll.BDH("PCAR US Equity","CASH_CASH_EQTY_STI_DETAILED","FQ3 2023","FQ3 2023","Currency=USD","Period=FQ","BEST_FPERIOD_OVERRIDE=FQ","FILING_STATUS=MR","SCALING_FORMAT=MLN","Sort=A","Dates=H","DateFormat=P","Fill=—","Direction=H","UseDPDF=Y")</f>
        <v>7649.4</v>
      </c>
      <c r="X7" s="13" cm="1">
        <f t="array" ref="X7">_xll.BDH("PCAR US Equity","CASH_CASH_EQTY_STI_DETAILED","FQ4 2023","FQ4 2023","Currency=USD","Period=FQ","BEST_FPERIOD_OVERRIDE=FQ","FILING_STATUS=MR","SCALING_FORMAT=MLN","Sort=A","Dates=H","DateFormat=P","Fill=—","Direction=H","UseDPDF=Y")</f>
        <v>9004.2999999999993</v>
      </c>
      <c r="Y7" s="13" cm="1">
        <f t="array" ref="Y7">_xll.BDH("PCAR US Equity","CASH_CASH_EQTY_STI_DETAILED","FQ1 2024","FQ1 2024","Currency=USD","Period=FQ","BEST_FPERIOD_OVERRIDE=FQ","FILING_STATUS=MR","SCALING_FORMAT=MLN","Sort=A","Dates=H","DateFormat=P","Fill=—","Direction=H","UseDPDF=Y")</f>
        <v>8025.9</v>
      </c>
      <c r="Z7" s="13" cm="1">
        <f t="array" ref="Z7">_xll.BDH("PCAR US Equity","CASH_CASH_EQTY_STI_DETAILED","FQ2 2024","FQ2 2024","Currency=USD","Period=FQ","BEST_FPERIOD_OVERRIDE=FQ","FILING_STATUS=MR","SCALING_FORMAT=MLN","Sort=A","Dates=H","DateFormat=P","Fill=—","Direction=H","UseDPDF=Y")</f>
        <v>8017</v>
      </c>
      <c r="AA7" s="13" cm="1">
        <f t="array" ref="AA7">_xll.BDH("PCAR US Equity","CASH_CASH_EQTY_STI_DETAILED","FQ3 2024","FQ3 2024","Currency=USD","Period=FQ","BEST_FPERIOD_OVERRIDE=FQ","FILING_STATUS=MR","SCALING_FORMAT=MLN","Sort=A","Dates=H","DateFormat=P","Fill=—","Direction=H","UseDPDF=Y")</f>
        <v>9359.9</v>
      </c>
      <c r="AB7" s="13" cm="1">
        <f t="array" ref="AB7">_xll.BDH("PCAR US Equity","CASH_CASH_EQTY_STI_DETAILED","FQ4 2024","FQ4 2024","Currency=USD","Period=FQ","BEST_FPERIOD_OVERRIDE=FQ","FILING_STATUS=MR","SCALING_FORMAT=MLN","Sort=A","Dates=H","DateFormat=P","Fill=—","Direction=H","UseDPDF=Y")</f>
        <v>9839.6</v>
      </c>
      <c r="AC7" s="13" cm="1">
        <f t="array" ref="AC7">_xll.BDH("PCAR US Equity","CASH_CASH_EQTY_STI_DETAILED","FQ1 2025","FQ1 2025","Currency=USD","Period=FQ","BEST_FPERIOD_OVERRIDE=FQ","FILING_STATUS=MR","SCALING_FORMAT=MLN","Sort=A","Dates=H","DateFormat=P","Fill=—","Direction=H","UseDPDF=Y")</f>
        <v>8344.2000000000007</v>
      </c>
      <c r="AD7" s="13" cm="1">
        <f t="array" ref="AD7">_xll.BDH("PCAR US Equity","CASH_CASH_EQTY_STI_DETAILED","FQ2 2025","FQ2 2025","Currency=USD","Period=FQ","BEST_FPERIOD_OVERRIDE=FQ","FILING_STATUS=MR","SCALING_FORMAT=MLN","Sort=A","Dates=H","DateFormat=P","Fill=—","Direction=H","UseDPDF=Y")</f>
        <v>8463.6</v>
      </c>
      <c r="AE7" s="13" cm="1">
        <f t="array" ref="AE7">_xll.BDH("PCAR US Equity","CASH_CASH_EQTY_STI_DETAILED","FQ3 2025","FQ3 2025","Currency=USD","Period=FQ","BEST_FPERIOD_OVERRIDE=FQ","FILING_STATUS=MR","SCALING_FORMAT=MLN","Sort=A","Dates=H","DateFormat=P","Fill=—","Direction=H","UseDPDF=Y")</f>
        <v>9250.4</v>
      </c>
      <c r="AF7" s="13" cm="1">
        <f t="array" ref="AF7">_xll.BDH("PCAR US Equity","CASH_CASH_EQTY_STI_DETAILED","FQ4 2025","FQ4 2025","Currency=USD","Period=FQ","BEST_FPERIOD_OVERRIDE=FQ","FILING_STATUS=MR","SCALING_FORMAT=MLN","Sort=A","Dates=H","DateFormat=P","Fill=—","Direction=H","UseDPDF=Y")</f>
        <v>9253.7000000000007</v>
      </c>
    </row>
    <row r="8" spans="1:32" x14ac:dyDescent="0.25">
      <c r="A8" s="10" t="s">
        <v>68</v>
      </c>
      <c r="B8" s="10" t="s">
        <v>69</v>
      </c>
      <c r="C8" s="13" cm="1">
        <f t="array" ref="C8">_xll.BDH("PCAR US Equity","BS_CASH_NEAR_CASH_ITEM","FQ3 2018","FQ3 2018","Currency=USD","Period=FQ","BEST_FPERIOD_OVERRIDE=FQ","FILING_STATUS=MR","SCALING_FORMAT=MLN","Sort=A","Dates=H","DateFormat=P","Fill=—","Direction=H","UseDPDF=Y")</f>
        <v>2914</v>
      </c>
      <c r="D8" s="13" cm="1">
        <f t="array" ref="D8">_xll.BDH("PCAR US Equity","BS_CASH_NEAR_CASH_ITEM","FQ4 2018","FQ4 2018","Currency=USD","Period=FQ","BEST_FPERIOD_OVERRIDE=FQ","FILING_STATUS=MR","SCALING_FORMAT=MLN","Sort=A","Dates=H","DateFormat=P","Fill=—","Direction=H","UseDPDF=Y")</f>
        <v>3435.9</v>
      </c>
      <c r="E8" s="13" cm="1">
        <f t="array" ref="E8">_xll.BDH("PCAR US Equity","BS_CASH_NEAR_CASH_ITEM","FQ1 2019","FQ1 2019","Currency=USD","Period=FQ","BEST_FPERIOD_OVERRIDE=FQ","FILING_STATUS=MR","SCALING_FORMAT=MLN","Sort=A","Dates=H","DateFormat=P","Fill=—","Direction=H","UseDPDF=Y")</f>
        <v>2842.6</v>
      </c>
      <c r="F8" s="13" cm="1">
        <f t="array" ref="F8">_xll.BDH("PCAR US Equity","BS_CASH_NEAR_CASH_ITEM","FQ2 2019","FQ2 2019","Currency=USD","Period=FQ","BEST_FPERIOD_OVERRIDE=FQ","FILING_STATUS=MR","SCALING_FORMAT=MLN","Sort=A","Dates=H","DateFormat=P","Fill=—","Direction=H","UseDPDF=Y")</f>
        <v>3219.4</v>
      </c>
      <c r="G8" s="13" cm="1">
        <f t="array" ref="G8">_xll.BDH("PCAR US Equity","BS_CASH_NEAR_CASH_ITEM","FQ3 2019","FQ3 2019","Currency=USD","Period=FQ","BEST_FPERIOD_OVERRIDE=FQ","FILING_STATUS=MR","SCALING_FORMAT=MLN","Sort=A","Dates=H","DateFormat=P","Fill=—","Direction=H","UseDPDF=Y")</f>
        <v>3669.5</v>
      </c>
      <c r="H8" s="13" cm="1">
        <f t="array" ref="H8">_xll.BDH("PCAR US Equity","BS_CASH_NEAR_CASH_ITEM","FQ4 2019","FQ4 2019","Currency=USD","Period=FQ","BEST_FPERIOD_OVERRIDE=FQ","FILING_STATUS=MR","SCALING_FORMAT=MLN","Sort=A","Dates=H","DateFormat=P","Fill=—","Direction=H","UseDPDF=Y")</f>
        <v>4175.1000000000004</v>
      </c>
      <c r="I8" s="13" cm="1">
        <f t="array" ref="I8">_xll.BDH("PCAR US Equity","BS_CASH_NEAR_CASH_ITEM","FQ1 2020","FQ1 2020","Currency=USD","Period=FQ","BEST_FPERIOD_OVERRIDE=FQ","FILING_STATUS=MR","SCALING_FORMAT=MLN","Sort=A","Dates=H","DateFormat=P","Fill=—","Direction=H","UseDPDF=Y")</f>
        <v>3323.1</v>
      </c>
      <c r="J8" s="13" cm="1">
        <f t="array" ref="J8">_xll.BDH("PCAR US Equity","BS_CASH_NEAR_CASH_ITEM","FQ2 2020","FQ2 2020","Currency=USD","Period=FQ","BEST_FPERIOD_OVERRIDE=FQ","FILING_STATUS=MR","SCALING_FORMAT=MLN","Sort=A","Dates=H","DateFormat=P","Fill=—","Direction=H","UseDPDF=Y")</f>
        <v>3128</v>
      </c>
      <c r="K8" s="13" cm="1">
        <f t="array" ref="K8">_xll.BDH("PCAR US Equity","BS_CASH_NEAR_CASH_ITEM","FQ3 2020","FQ3 2020","Currency=USD","Period=FQ","BEST_FPERIOD_OVERRIDE=FQ","FILING_STATUS=MR","SCALING_FORMAT=MLN","Sort=A","Dates=H","DateFormat=P","Fill=—","Direction=H","UseDPDF=Y")</f>
        <v>3344.3</v>
      </c>
      <c r="L8" s="13" cm="1">
        <f t="array" ref="L8">_xll.BDH("PCAR US Equity","BS_CASH_NEAR_CASH_ITEM","FQ4 2020","FQ4 2020","Currency=USD","Period=FQ","BEST_FPERIOD_OVERRIDE=FQ","FILING_STATUS=MR","SCALING_FORMAT=MLN","Sort=A","Dates=H","DateFormat=P","Fill=—","Direction=H","UseDPDF=Y")</f>
        <v>3539.6</v>
      </c>
      <c r="M8" s="13" cm="1">
        <f t="array" ref="M8">_xll.BDH("PCAR US Equity","BS_CASH_NEAR_CASH_ITEM","FQ1 2021","FQ1 2021","Currency=USD","Period=FQ","BEST_FPERIOD_OVERRIDE=FQ","FILING_STATUS=MR","SCALING_FORMAT=MLN","Sort=A","Dates=H","DateFormat=P","Fill=—","Direction=H","UseDPDF=Y")</f>
        <v>3320</v>
      </c>
      <c r="N8" s="13" cm="1">
        <f t="array" ref="N8">_xll.BDH("PCAR US Equity","BS_CASH_NEAR_CASH_ITEM","FQ2 2021","FQ2 2021","Currency=USD","Period=FQ","BEST_FPERIOD_OVERRIDE=FQ","FILING_STATUS=MR","SCALING_FORMAT=MLN","Sort=A","Dates=H","DateFormat=P","Fill=—","Direction=H","UseDPDF=Y")</f>
        <v>3069.8</v>
      </c>
      <c r="O8" s="13" cm="1">
        <f t="array" ref="O8">_xll.BDH("PCAR US Equity","BS_CASH_NEAR_CASH_ITEM","FQ3 2021","FQ3 2021","Currency=USD","Period=FQ","BEST_FPERIOD_OVERRIDE=FQ","FILING_STATUS=MR","SCALING_FORMAT=MLN","Sort=A","Dates=H","DateFormat=P","Fill=—","Direction=H","UseDPDF=Y")</f>
        <v>2227.8000000000002</v>
      </c>
      <c r="P8" s="13" cm="1">
        <f t="array" ref="P8">_xll.BDH("PCAR US Equity","BS_CASH_NEAR_CASH_ITEM","FQ4 2021","FQ4 2021","Currency=USD","Period=FQ","BEST_FPERIOD_OVERRIDE=FQ","FILING_STATUS=MR","SCALING_FORMAT=MLN","Sort=A","Dates=H","DateFormat=P","Fill=—","Direction=H","UseDPDF=Y")</f>
        <v>3428.3</v>
      </c>
      <c r="Q8" s="13" cm="1">
        <f t="array" ref="Q8">_xll.BDH("PCAR US Equity","BS_CASH_NEAR_CASH_ITEM","FQ1 2022","FQ1 2022","Currency=USD","Period=FQ","BEST_FPERIOD_OVERRIDE=FQ","FILING_STATUS=MR","SCALING_FORMAT=MLN","Sort=A","Dates=H","DateFormat=P","Fill=—","Direction=H","UseDPDF=Y")</f>
        <v>3314.9</v>
      </c>
      <c r="R8" s="13" cm="1">
        <f t="array" ref="R8">_xll.BDH("PCAR US Equity","BS_CASH_NEAR_CASH_ITEM","FQ2 2022","FQ2 2022","Currency=USD","Period=FQ","BEST_FPERIOD_OVERRIDE=FQ","FILING_STATUS=MR","SCALING_FORMAT=MLN","Sort=A","Dates=H","DateFormat=P","Fill=—","Direction=H","UseDPDF=Y")</f>
        <v>3231.3</v>
      </c>
      <c r="S8" s="13" cm="1">
        <f t="array" ref="S8">_xll.BDH("PCAR US Equity","BS_CASH_NEAR_CASH_ITEM","FQ3 2022","FQ3 2022","Currency=USD","Period=FQ","BEST_FPERIOD_OVERRIDE=FQ","FILING_STATUS=MR","SCALING_FORMAT=MLN","Sort=A","Dates=H","DateFormat=P","Fill=—","Direction=H","UseDPDF=Y")</f>
        <v>3323.5</v>
      </c>
      <c r="T8" s="13" cm="1">
        <f t="array" ref="T8">_xll.BDH("PCAR US Equity","BS_CASH_NEAR_CASH_ITEM","FQ4 2022","FQ4 2022","Currency=USD","Period=FQ","BEST_FPERIOD_OVERRIDE=FQ","FILING_STATUS=MR","SCALING_FORMAT=MLN","Sort=A","Dates=H","DateFormat=P","Fill=—","Direction=H","UseDPDF=Y")</f>
        <v>4690.8999999999996</v>
      </c>
      <c r="U8" s="13" cm="1">
        <f t="array" ref="U8">_xll.BDH("PCAR US Equity","BS_CASH_NEAR_CASH_ITEM","FQ1 2023","FQ1 2023","Currency=USD","Period=FQ","BEST_FPERIOD_OVERRIDE=FQ","FILING_STATUS=MR","SCALING_FORMAT=MLN","Sort=A","Dates=H","DateFormat=P","Fill=—","Direction=H","UseDPDF=Y")</f>
        <v>4410.1000000000004</v>
      </c>
      <c r="V8" s="13" cm="1">
        <f t="array" ref="V8">_xll.BDH("PCAR US Equity","BS_CASH_NEAR_CASH_ITEM","FQ2 2023","FQ2 2023","Currency=USD","Period=FQ","BEST_FPERIOD_OVERRIDE=FQ","FILING_STATUS=MR","SCALING_FORMAT=MLN","Sort=A","Dates=H","DateFormat=P","Fill=—","Direction=H","UseDPDF=Y")</f>
        <v>5145.8999999999996</v>
      </c>
      <c r="W8" s="13" cm="1">
        <f t="array" ref="W8">_xll.BDH("PCAR US Equity","BS_CASH_NEAR_CASH_ITEM","FQ3 2023","FQ3 2023","Currency=USD","Period=FQ","BEST_FPERIOD_OVERRIDE=FQ","FILING_STATUS=MR","SCALING_FORMAT=MLN","Sort=A","Dates=H","DateFormat=P","Fill=—","Direction=H","UseDPDF=Y")</f>
        <v>5906.3</v>
      </c>
      <c r="X8" s="13" cm="1">
        <f t="array" ref="X8">_xll.BDH("PCAR US Equity","BS_CASH_NEAR_CASH_ITEM","FQ4 2023","FQ4 2023","Currency=USD","Period=FQ","BEST_FPERIOD_OVERRIDE=FQ","FILING_STATUS=MR","SCALING_FORMAT=MLN","Sort=A","Dates=H","DateFormat=P","Fill=—","Direction=H","UseDPDF=Y")</f>
        <v>7181.7</v>
      </c>
      <c r="Y8" s="13" cm="1">
        <f t="array" ref="Y8">_xll.BDH("PCAR US Equity","BS_CASH_NEAR_CASH_ITEM","FQ1 2024","FQ1 2024","Currency=USD","Period=FQ","BEST_FPERIOD_OVERRIDE=FQ","FILING_STATUS=MR","SCALING_FORMAT=MLN","Sort=A","Dates=H","DateFormat=P","Fill=—","Direction=H","UseDPDF=Y")</f>
        <v>6194.5</v>
      </c>
      <c r="Z8" s="13" cm="1">
        <f t="array" ref="Z8">_xll.BDH("PCAR US Equity","BS_CASH_NEAR_CASH_ITEM","FQ2 2024","FQ2 2024","Currency=USD","Period=FQ","BEST_FPERIOD_OVERRIDE=FQ","FILING_STATUS=MR","SCALING_FORMAT=MLN","Sort=A","Dates=H","DateFormat=P","Fill=—","Direction=H","UseDPDF=Y")</f>
        <v>5871.5</v>
      </c>
      <c r="AA8" s="13" cm="1">
        <f t="array" ref="AA8">_xll.BDH("PCAR US Equity","BS_CASH_NEAR_CASH_ITEM","FQ3 2024","FQ3 2024","Currency=USD","Period=FQ","BEST_FPERIOD_OVERRIDE=FQ","FILING_STATUS=MR","SCALING_FORMAT=MLN","Sort=A","Dates=H","DateFormat=P","Fill=—","Direction=H","UseDPDF=Y")</f>
        <v>6849.2</v>
      </c>
      <c r="AB8" s="13" cm="1">
        <f t="array" ref="AB8">_xll.BDH("PCAR US Equity","BS_CASH_NEAR_CASH_ITEM","FQ4 2024","FQ4 2024","Currency=USD","Period=FQ","BEST_FPERIOD_OVERRIDE=FQ","FILING_STATUS=MR","SCALING_FORMAT=MLN","Sort=A","Dates=H","DateFormat=P","Fill=—","Direction=H","UseDPDF=Y")</f>
        <v>7060.8</v>
      </c>
      <c r="AC8" s="13" cm="1">
        <f t="array" ref="AC8">_xll.BDH("PCAR US Equity","BS_CASH_NEAR_CASH_ITEM","FQ1 2025","FQ1 2025","Currency=USD","Period=FQ","BEST_FPERIOD_OVERRIDE=FQ","FILING_STATUS=MR","SCALING_FORMAT=MLN","Sort=A","Dates=H","DateFormat=P","Fill=—","Direction=H","UseDPDF=Y")</f>
        <v>5517.7</v>
      </c>
      <c r="AD8" s="13" cm="1">
        <f t="array" ref="AD8">_xll.BDH("PCAR US Equity","BS_CASH_NEAR_CASH_ITEM","FQ2 2025","FQ2 2025","Currency=USD","Period=FQ","BEST_FPERIOD_OVERRIDE=FQ","FILING_STATUS=MR","SCALING_FORMAT=MLN","Sort=A","Dates=H","DateFormat=P","Fill=—","Direction=H","UseDPDF=Y")</f>
        <v>5549.9</v>
      </c>
      <c r="AE8" s="13" cm="1">
        <f t="array" ref="AE8">_xll.BDH("PCAR US Equity","BS_CASH_NEAR_CASH_ITEM","FQ3 2025","FQ3 2025","Currency=USD","Period=FQ","BEST_FPERIOD_OVERRIDE=FQ","FILING_STATUS=MR","SCALING_FORMAT=MLN","Sort=A","Dates=H","DateFormat=P","Fill=—","Direction=H","UseDPDF=Y")</f>
        <v>6303.9</v>
      </c>
      <c r="AF8" s="13" cm="1">
        <f t="array" ref="AF8">_xll.BDH("PCAR US Equity","BS_CASH_NEAR_CASH_ITEM","FQ4 2025","FQ4 2025","Currency=USD","Period=FQ","BEST_FPERIOD_OVERRIDE=FQ","FILING_STATUS=MR","SCALING_FORMAT=MLN","Sort=A","Dates=H","DateFormat=P","Fill=—","Direction=H","UseDPDF=Y")</f>
        <v>9253.7000000000007</v>
      </c>
    </row>
    <row r="9" spans="1:32" x14ac:dyDescent="0.25">
      <c r="A9" s="10" t="s">
        <v>70</v>
      </c>
      <c r="B9" s="10" t="s">
        <v>71</v>
      </c>
      <c r="C9" s="13" cm="1">
        <f t="array" ref="C9">_xll.BDH("PCAR US Equity","BS_MKT_SEC_OTHER_ST_INVEST","FQ3 2018","FQ3 2018","Currency=USD","Period=FQ","BEST_FPERIOD_OVERRIDE=FQ","FILING_STATUS=MR","SCALING_FORMAT=MLN","Sort=A","Dates=H","DateFormat=P","Fill=—","Direction=H","UseDPDF=Y")</f>
        <v>1000.3</v>
      </c>
      <c r="D9" s="13" cm="1">
        <f t="array" ref="D9">_xll.BDH("PCAR US Equity","BS_MKT_SEC_OTHER_ST_INVEST","FQ4 2018","FQ4 2018","Currency=USD","Period=FQ","BEST_FPERIOD_OVERRIDE=FQ","FILING_STATUS=MR","SCALING_FORMAT=MLN","Sort=A","Dates=H","DateFormat=P","Fill=—","Direction=H","UseDPDF=Y")</f>
        <v>1020.4</v>
      </c>
      <c r="E9" s="13" cm="1">
        <f t="array" ref="E9">_xll.BDH("PCAR US Equity","BS_MKT_SEC_OTHER_ST_INVEST","FQ1 2019","FQ1 2019","Currency=USD","Period=FQ","BEST_FPERIOD_OVERRIDE=FQ","FILING_STATUS=MR","SCALING_FORMAT=MLN","Sort=A","Dates=H","DateFormat=P","Fill=—","Direction=H","UseDPDF=Y")</f>
        <v>1081.5999999999999</v>
      </c>
      <c r="F9" s="13" cm="1">
        <f t="array" ref="F9">_xll.BDH("PCAR US Equity","BS_MKT_SEC_OTHER_ST_INVEST","FQ2 2019","FQ2 2019","Currency=USD","Period=FQ","BEST_FPERIOD_OVERRIDE=FQ","FILING_STATUS=MR","SCALING_FORMAT=MLN","Sort=A","Dates=H","DateFormat=P","Fill=—","Direction=H","UseDPDF=Y")</f>
        <v>1117.3</v>
      </c>
      <c r="G9" s="13" cm="1">
        <f t="array" ref="G9">_xll.BDH("PCAR US Equity","BS_MKT_SEC_OTHER_ST_INVEST","FQ3 2019","FQ3 2019","Currency=USD","Period=FQ","BEST_FPERIOD_OVERRIDE=FQ","FILING_STATUS=MR","SCALING_FORMAT=MLN","Sort=A","Dates=H","DateFormat=P","Fill=—","Direction=H","UseDPDF=Y")</f>
        <v>1107.8</v>
      </c>
      <c r="H9" s="13" cm="1">
        <f t="array" ref="H9">_xll.BDH("PCAR US Equity","BS_MKT_SEC_OTHER_ST_INVEST","FQ4 2019","FQ4 2019","Currency=USD","Period=FQ","BEST_FPERIOD_OVERRIDE=FQ","FILING_STATUS=MR","SCALING_FORMAT=MLN","Sort=A","Dates=H","DateFormat=P","Fill=—","Direction=H","UseDPDF=Y")</f>
        <v>1162.0999999999999</v>
      </c>
      <c r="I9" s="13" cm="1">
        <f t="array" ref="I9">_xll.BDH("PCAR US Equity","BS_MKT_SEC_OTHER_ST_INVEST","FQ1 2020","FQ1 2020","Currency=USD","Period=FQ","BEST_FPERIOD_OVERRIDE=FQ","FILING_STATUS=MR","SCALING_FORMAT=MLN","Sort=A","Dates=H","DateFormat=P","Fill=—","Direction=H","UseDPDF=Y")</f>
        <v>1097</v>
      </c>
      <c r="J9" s="13" cm="1">
        <f t="array" ref="J9">_xll.BDH("PCAR US Equity","BS_MKT_SEC_OTHER_ST_INVEST","FQ2 2020","FQ2 2020","Currency=USD","Period=FQ","BEST_FPERIOD_OVERRIDE=FQ","FILING_STATUS=MR","SCALING_FORMAT=MLN","Sort=A","Dates=H","DateFormat=P","Fill=—","Direction=H","UseDPDF=Y")</f>
        <v>1147.2</v>
      </c>
      <c r="K9" s="13" cm="1">
        <f t="array" ref="K9">_xll.BDH("PCAR US Equity","BS_MKT_SEC_OTHER_ST_INVEST","FQ3 2020","FQ3 2020","Currency=USD","Period=FQ","BEST_FPERIOD_OVERRIDE=FQ","FILING_STATUS=MR","SCALING_FORMAT=MLN","Sort=A","Dates=H","DateFormat=P","Fill=—","Direction=H","UseDPDF=Y")</f>
        <v>1194.3</v>
      </c>
      <c r="L9" s="13" cm="1">
        <f t="array" ref="L9">_xll.BDH("PCAR US Equity","BS_MKT_SEC_OTHER_ST_INVEST","FQ4 2020","FQ4 2020","Currency=USD","Period=FQ","BEST_FPERIOD_OVERRIDE=FQ","FILING_STATUS=MR","SCALING_FORMAT=MLN","Sort=A","Dates=H","DateFormat=P","Fill=—","Direction=H","UseDPDF=Y")</f>
        <v>1429</v>
      </c>
      <c r="M9" s="13" cm="1">
        <f t="array" ref="M9">_xll.BDH("PCAR US Equity","BS_MKT_SEC_OTHER_ST_INVEST","FQ1 2021","FQ1 2021","Currency=USD","Period=FQ","BEST_FPERIOD_OVERRIDE=FQ","FILING_STATUS=MR","SCALING_FORMAT=MLN","Sort=A","Dates=H","DateFormat=P","Fill=—","Direction=H","UseDPDF=Y")</f>
        <v>1421.1</v>
      </c>
      <c r="N9" s="13" cm="1">
        <f t="array" ref="N9">_xll.BDH("PCAR US Equity","BS_MKT_SEC_OTHER_ST_INVEST","FQ2 2021","FQ2 2021","Currency=USD","Period=FQ","BEST_FPERIOD_OVERRIDE=FQ","FILING_STATUS=MR","SCALING_FORMAT=MLN","Sort=A","Dates=H","DateFormat=P","Fill=—","Direction=H","UseDPDF=Y")</f>
        <v>1434.6</v>
      </c>
      <c r="O9" s="13" cm="1">
        <f t="array" ref="O9">_xll.BDH("PCAR US Equity","BS_MKT_SEC_OTHER_ST_INVEST","FQ3 2021","FQ3 2021","Currency=USD","Period=FQ","BEST_FPERIOD_OVERRIDE=FQ","FILING_STATUS=MR","SCALING_FORMAT=MLN","Sort=A","Dates=H","DateFormat=P","Fill=—","Direction=H","UseDPDF=Y")</f>
        <v>1549.4</v>
      </c>
      <c r="P9" s="13" cm="1">
        <f t="array" ref="P9">_xll.BDH("PCAR US Equity","BS_MKT_SEC_OTHER_ST_INVEST","FQ4 2021","FQ4 2021","Currency=USD","Period=FQ","BEST_FPERIOD_OVERRIDE=FQ","FILING_STATUS=MR","SCALING_FORMAT=MLN","Sort=A","Dates=H","DateFormat=P","Fill=—","Direction=H","UseDPDF=Y")</f>
        <v>1559.4</v>
      </c>
      <c r="Q9" s="13" cm="1">
        <f t="array" ref="Q9">_xll.BDH("PCAR US Equity","BS_MKT_SEC_OTHER_ST_INVEST","FQ1 2022","FQ1 2022","Currency=USD","Period=FQ","BEST_FPERIOD_OVERRIDE=FQ","FILING_STATUS=MR","SCALING_FORMAT=MLN","Sort=A","Dates=H","DateFormat=P","Fill=—","Direction=H","UseDPDF=Y")</f>
        <v>1515.2</v>
      </c>
      <c r="R9" s="13" cm="1">
        <f t="array" ref="R9">_xll.BDH("PCAR US Equity","BS_MKT_SEC_OTHER_ST_INVEST","FQ2 2022","FQ2 2022","Currency=USD","Period=FQ","BEST_FPERIOD_OVERRIDE=FQ","FILING_STATUS=MR","SCALING_FORMAT=MLN","Sort=A","Dates=H","DateFormat=P","Fill=—","Direction=H","UseDPDF=Y")</f>
        <v>1559.2</v>
      </c>
      <c r="S9" s="13" cm="1">
        <f t="array" ref="S9">_xll.BDH("PCAR US Equity","BS_MKT_SEC_OTHER_ST_INVEST","FQ3 2022","FQ3 2022","Currency=USD","Period=FQ","BEST_FPERIOD_OVERRIDE=FQ","FILING_STATUS=MR","SCALING_FORMAT=MLN","Sort=A","Dates=H","DateFormat=P","Fill=—","Direction=H","UseDPDF=Y")</f>
        <v>1544.2</v>
      </c>
      <c r="T9" s="13" cm="1">
        <f t="array" ref="T9">_xll.BDH("PCAR US Equity","BS_MKT_SEC_OTHER_ST_INVEST","FQ4 2022","FQ4 2022","Currency=USD","Period=FQ","BEST_FPERIOD_OVERRIDE=FQ","FILING_STATUS=MR","SCALING_FORMAT=MLN","Sort=A","Dates=H","DateFormat=P","Fill=—","Direction=H","UseDPDF=Y")</f>
        <v>1614.2</v>
      </c>
      <c r="U9" s="13" cm="1">
        <f t="array" ref="U9">_xll.BDH("PCAR US Equity","BS_MKT_SEC_OTHER_ST_INVEST","FQ1 2023","FQ1 2023","Currency=USD","Period=FQ","BEST_FPERIOD_OVERRIDE=FQ","FILING_STATUS=MR","SCALING_FORMAT=MLN","Sort=A","Dates=H","DateFormat=P","Fill=—","Direction=H","UseDPDF=Y")</f>
        <v>1638.9</v>
      </c>
      <c r="V9" s="13" cm="1">
        <f t="array" ref="V9">_xll.BDH("PCAR US Equity","BS_MKT_SEC_OTHER_ST_INVEST","FQ2 2023","FQ2 2023","Currency=USD","Period=FQ","BEST_FPERIOD_OVERRIDE=FQ","FILING_STATUS=MR","SCALING_FORMAT=MLN","Sort=A","Dates=H","DateFormat=P","Fill=—","Direction=H","UseDPDF=Y")</f>
        <v>1690.5</v>
      </c>
      <c r="W9" s="13" cm="1">
        <f t="array" ref="W9">_xll.BDH("PCAR US Equity","BS_MKT_SEC_OTHER_ST_INVEST","FQ3 2023","FQ3 2023","Currency=USD","Period=FQ","BEST_FPERIOD_OVERRIDE=FQ","FILING_STATUS=MR","SCALING_FORMAT=MLN","Sort=A","Dates=H","DateFormat=P","Fill=—","Direction=H","UseDPDF=Y")</f>
        <v>1743.1</v>
      </c>
      <c r="X9" s="13" cm="1">
        <f t="array" ref="X9">_xll.BDH("PCAR US Equity","BS_MKT_SEC_OTHER_ST_INVEST","FQ4 2023","FQ4 2023","Currency=USD","Period=FQ","BEST_FPERIOD_OVERRIDE=FQ","FILING_STATUS=MR","SCALING_FORMAT=MLN","Sort=A","Dates=H","DateFormat=P","Fill=—","Direction=H","UseDPDF=Y")</f>
        <v>1822.6</v>
      </c>
      <c r="Y9" s="13" cm="1">
        <f t="array" ref="Y9">_xll.BDH("PCAR US Equity","BS_MKT_SEC_OTHER_ST_INVEST","FQ1 2024","FQ1 2024","Currency=USD","Period=FQ","BEST_FPERIOD_OVERRIDE=FQ","FILING_STATUS=MR","SCALING_FORMAT=MLN","Sort=A","Dates=H","DateFormat=P","Fill=—","Direction=H","UseDPDF=Y")</f>
        <v>1831.4</v>
      </c>
      <c r="Z9" s="13" cm="1">
        <f t="array" ref="Z9">_xll.BDH("PCAR US Equity","BS_MKT_SEC_OTHER_ST_INVEST","FQ2 2024","FQ2 2024","Currency=USD","Period=FQ","BEST_FPERIOD_OVERRIDE=FQ","FILING_STATUS=MR","SCALING_FORMAT=MLN","Sort=A","Dates=H","DateFormat=P","Fill=—","Direction=H","UseDPDF=Y")</f>
        <v>2145.5</v>
      </c>
      <c r="AA9" s="13" cm="1">
        <f t="array" ref="AA9">_xll.BDH("PCAR US Equity","BS_MKT_SEC_OTHER_ST_INVEST","FQ3 2024","FQ3 2024","Currency=USD","Period=FQ","BEST_FPERIOD_OVERRIDE=FQ","FILING_STATUS=MR","SCALING_FORMAT=MLN","Sort=A","Dates=H","DateFormat=P","Fill=—","Direction=H","UseDPDF=Y")</f>
        <v>2510.6999999999998</v>
      </c>
      <c r="AB9" s="13" cm="1">
        <f t="array" ref="AB9">_xll.BDH("PCAR US Equity","BS_MKT_SEC_OTHER_ST_INVEST","FQ4 2024","FQ4 2024","Currency=USD","Period=FQ","BEST_FPERIOD_OVERRIDE=FQ","FILING_STATUS=MR","SCALING_FORMAT=MLN","Sort=A","Dates=H","DateFormat=P","Fill=—","Direction=H","UseDPDF=Y")</f>
        <v>2778.8</v>
      </c>
      <c r="AC9" s="13" cm="1">
        <f t="array" ref="AC9">_xll.BDH("PCAR US Equity","BS_MKT_SEC_OTHER_ST_INVEST","FQ1 2025","FQ1 2025","Currency=USD","Period=FQ","BEST_FPERIOD_OVERRIDE=FQ","FILING_STATUS=MR","SCALING_FORMAT=MLN","Sort=A","Dates=H","DateFormat=P","Fill=—","Direction=H","UseDPDF=Y")</f>
        <v>2826.5</v>
      </c>
      <c r="AD9" s="13" cm="1">
        <f t="array" ref="AD9">_xll.BDH("PCAR US Equity","BS_MKT_SEC_OTHER_ST_INVEST","FQ2 2025","FQ2 2025","Currency=USD","Period=FQ","BEST_FPERIOD_OVERRIDE=FQ","FILING_STATUS=MR","SCALING_FORMAT=MLN","Sort=A","Dates=H","DateFormat=P","Fill=—","Direction=H","UseDPDF=Y")</f>
        <v>2913.7</v>
      </c>
      <c r="AE9" s="13" cm="1">
        <f t="array" ref="AE9">_xll.BDH("PCAR US Equity","BS_MKT_SEC_OTHER_ST_INVEST","FQ3 2025","FQ3 2025","Currency=USD","Period=FQ","BEST_FPERIOD_OVERRIDE=FQ","FILING_STATUS=MR","SCALING_FORMAT=MLN","Sort=A","Dates=H","DateFormat=P","Fill=—","Direction=H","UseDPDF=Y")</f>
        <v>2946.5</v>
      </c>
      <c r="AF9" s="13" t="str" cm="1">
        <f t="array" ref="AF9">_xll.BDH("PCAR US Equity","BS_MKT_SEC_OTHER_ST_INVEST","FQ4 2025","FQ4 2025","Currency=USD","Period=FQ","BEST_FPERIOD_OVERRIDE=FQ","FILING_STATUS=MR","SCALING_FORMAT=MLN","Sort=A","Dates=H","DateFormat=P","Fill=—","Direction=H","UseDPDF=Y")</f>
        <v>—</v>
      </c>
    </row>
    <row r="10" spans="1:32" x14ac:dyDescent="0.25">
      <c r="A10" s="10" t="s">
        <v>72</v>
      </c>
      <c r="B10" s="10" t="s">
        <v>73</v>
      </c>
      <c r="C10" s="13" cm="1">
        <f t="array" ref="C10">_xll.BDH("PCAR US Equity","BS_ACCT_NOTE_RCV","FQ3 2018","FQ3 2018","Currency=USD","Period=FQ","BEST_FPERIOD_OVERRIDE=FQ","FILING_STATUS=MR","SCALING_FORMAT=MLN","Sort=A","Dates=H","DateFormat=P","Fill=—","Direction=H","UseDPDF=Y")</f>
        <v>1608.6</v>
      </c>
      <c r="D10" s="13" cm="1">
        <f t="array" ref="D10">_xll.BDH("PCAR US Equity","BS_ACCT_NOTE_RCV","FQ4 2018","FQ4 2018","Currency=USD","Period=FQ","BEST_FPERIOD_OVERRIDE=FQ","FILING_STATUS=MR","SCALING_FORMAT=MLN","Sort=A","Dates=H","DateFormat=P","Fill=—","Direction=H","UseDPDF=Y")</f>
        <v>1314.4</v>
      </c>
      <c r="E10" s="13" cm="1">
        <f t="array" ref="E10">_xll.BDH("PCAR US Equity","BS_ACCT_NOTE_RCV","FQ1 2019","FQ1 2019","Currency=USD","Period=FQ","BEST_FPERIOD_OVERRIDE=FQ","FILING_STATUS=MR","SCALING_FORMAT=MLN","Sort=A","Dates=H","DateFormat=P","Fill=—","Direction=H","UseDPDF=Y")</f>
        <v>1736.2</v>
      </c>
      <c r="F10" s="13" cm="1">
        <f t="array" ref="F10">_xll.BDH("PCAR US Equity","BS_ACCT_NOTE_RCV","FQ2 2019","FQ2 2019","Currency=USD","Period=FQ","BEST_FPERIOD_OVERRIDE=FQ","FILING_STATUS=MR","SCALING_FORMAT=MLN","Sort=A","Dates=H","DateFormat=P","Fill=—","Direction=H","UseDPDF=Y")</f>
        <v>1711.2</v>
      </c>
      <c r="G10" s="13" cm="1">
        <f t="array" ref="G10">_xll.BDH("PCAR US Equity","BS_ACCT_NOTE_RCV","FQ3 2019","FQ3 2019","Currency=USD","Period=FQ","BEST_FPERIOD_OVERRIDE=FQ","FILING_STATUS=MR","SCALING_FORMAT=MLN","Sort=A","Dates=H","DateFormat=P","Fill=—","Direction=H","UseDPDF=Y")</f>
        <v>1729</v>
      </c>
      <c r="H10" s="13" cm="1">
        <f t="array" ref="H10">_xll.BDH("PCAR US Equity","BS_ACCT_NOTE_RCV","FQ4 2019","FQ4 2019","Currency=USD","Period=FQ","BEST_FPERIOD_OVERRIDE=FQ","FILING_STATUS=MR","SCALING_FORMAT=MLN","Sort=A","Dates=H","DateFormat=P","Fill=—","Direction=H","UseDPDF=Y")</f>
        <v>1306.0999999999999</v>
      </c>
      <c r="I10" s="13" cm="1">
        <f t="array" ref="I10">_xll.BDH("PCAR US Equity","BS_ACCT_NOTE_RCV","FQ1 2020","FQ1 2020","Currency=USD","Period=FQ","BEST_FPERIOD_OVERRIDE=FQ","FILING_STATUS=MR","SCALING_FORMAT=MLN","Sort=A","Dates=H","DateFormat=P","Fill=—","Direction=H","UseDPDF=Y")</f>
        <v>1277</v>
      </c>
      <c r="J10" s="13" cm="1">
        <f t="array" ref="J10">_xll.BDH("PCAR US Equity","BS_ACCT_NOTE_RCV","FQ2 2020","FQ2 2020","Currency=USD","Period=FQ","BEST_FPERIOD_OVERRIDE=FQ","FILING_STATUS=MR","SCALING_FORMAT=MLN","Sort=A","Dates=H","DateFormat=P","Fill=—","Direction=H","UseDPDF=Y")</f>
        <v>1248.3</v>
      </c>
      <c r="K10" s="13" cm="1">
        <f t="array" ref="K10">_xll.BDH("PCAR US Equity","BS_ACCT_NOTE_RCV","FQ3 2020","FQ3 2020","Currency=USD","Period=FQ","BEST_FPERIOD_OVERRIDE=FQ","FILING_STATUS=MR","SCALING_FORMAT=MLN","Sort=A","Dates=H","DateFormat=P","Fill=—","Direction=H","UseDPDF=Y")</f>
        <v>1364.7</v>
      </c>
      <c r="L10" s="13" cm="1">
        <f t="array" ref="L10">_xll.BDH("PCAR US Equity","BS_ACCT_NOTE_RCV","FQ4 2020","FQ4 2020","Currency=USD","Period=FQ","BEST_FPERIOD_OVERRIDE=FQ","FILING_STATUS=MR","SCALING_FORMAT=MLN","Sort=A","Dates=H","DateFormat=P","Fill=—","Direction=H","UseDPDF=Y")</f>
        <v>1197.5</v>
      </c>
      <c r="M10" s="13" cm="1">
        <f t="array" ref="M10">_xll.BDH("PCAR US Equity","BS_ACCT_NOTE_RCV","FQ1 2021","FQ1 2021","Currency=USD","Period=FQ","BEST_FPERIOD_OVERRIDE=FQ","FILING_STATUS=MR","SCALING_FORMAT=MLN","Sort=A","Dates=H","DateFormat=P","Fill=—","Direction=H","UseDPDF=Y")</f>
        <v>1649.9</v>
      </c>
      <c r="N10" s="13" cm="1">
        <f t="array" ref="N10">_xll.BDH("PCAR US Equity","BS_ACCT_NOTE_RCV","FQ2 2021","FQ2 2021","Currency=USD","Period=FQ","BEST_FPERIOD_OVERRIDE=FQ","FILING_STATUS=MR","SCALING_FORMAT=MLN","Sort=A","Dates=H","DateFormat=P","Fill=—","Direction=H","UseDPDF=Y")</f>
        <v>1525.7</v>
      </c>
      <c r="O10" s="13" cm="1">
        <f t="array" ref="O10">_xll.BDH("PCAR US Equity","BS_ACCT_NOTE_RCV","FQ3 2021","FQ3 2021","Currency=USD","Period=FQ","BEST_FPERIOD_OVERRIDE=FQ","FILING_STATUS=MR","SCALING_FORMAT=MLN","Sort=A","Dates=H","DateFormat=P","Fill=—","Direction=H","UseDPDF=Y")</f>
        <v>1475.8</v>
      </c>
      <c r="P10" s="13" cm="1">
        <f t="array" ref="P10">_xll.BDH("PCAR US Equity","BS_ACCT_NOTE_RCV","FQ4 2021","FQ4 2021","Currency=USD","Period=FQ","BEST_FPERIOD_OVERRIDE=FQ","FILING_STATUS=MR","SCALING_FORMAT=MLN","Sort=A","Dates=H","DateFormat=P","Fill=—","Direction=H","UseDPDF=Y")</f>
        <v>1575.1</v>
      </c>
      <c r="Q10" s="13" cm="1">
        <f t="array" ref="Q10">_xll.BDH("PCAR US Equity","BS_ACCT_NOTE_RCV","FQ1 2022","FQ1 2022","Currency=USD","Period=FQ","BEST_FPERIOD_OVERRIDE=FQ","FILING_STATUS=MR","SCALING_FORMAT=MLN","Sort=A","Dates=H","DateFormat=P","Fill=—","Direction=H","UseDPDF=Y")</f>
        <v>1927.8</v>
      </c>
      <c r="R10" s="13" cm="1">
        <f t="array" ref="R10">_xll.BDH("PCAR US Equity","BS_ACCT_NOTE_RCV","FQ2 2022","FQ2 2022","Currency=USD","Period=FQ","BEST_FPERIOD_OVERRIDE=FQ","FILING_STATUS=MR","SCALING_FORMAT=MLN","Sort=A","Dates=H","DateFormat=P","Fill=—","Direction=H","UseDPDF=Y")</f>
        <v>1959.7</v>
      </c>
      <c r="S10" s="13" cm="1">
        <f t="array" ref="S10">_xll.BDH("PCAR US Equity","BS_ACCT_NOTE_RCV","FQ3 2022","FQ3 2022","Currency=USD","Period=FQ","BEST_FPERIOD_OVERRIDE=FQ","FILING_STATUS=MR","SCALING_FORMAT=MLN","Sort=A","Dates=H","DateFormat=P","Fill=—","Direction=H","UseDPDF=Y")</f>
        <v>2018.5</v>
      </c>
      <c r="T10" s="13" cm="1">
        <f t="array" ref="T10">_xll.BDH("PCAR US Equity","BS_ACCT_NOTE_RCV","FQ4 2022","FQ4 2022","Currency=USD","Period=FQ","BEST_FPERIOD_OVERRIDE=FQ","FILING_STATUS=MR","SCALING_FORMAT=MLN","Sort=A","Dates=H","DateFormat=P","Fill=—","Direction=H","UseDPDF=Y")</f>
        <v>1919.8</v>
      </c>
      <c r="U10" s="13" cm="1">
        <f t="array" ref="U10">_xll.BDH("PCAR US Equity","BS_ACCT_NOTE_RCV","FQ1 2023","FQ1 2023","Currency=USD","Period=FQ","BEST_FPERIOD_OVERRIDE=FQ","FILING_STATUS=MR","SCALING_FORMAT=MLN","Sort=A","Dates=H","DateFormat=P","Fill=—","Direction=H","UseDPDF=Y")</f>
        <v>2347</v>
      </c>
      <c r="V10" s="13" cm="1">
        <f t="array" ref="V10">_xll.BDH("PCAR US Equity","BS_ACCT_NOTE_RCV","FQ2 2023","FQ2 2023","Currency=USD","Period=FQ","BEST_FPERIOD_OVERRIDE=FQ","FILING_STATUS=MR","SCALING_FORMAT=MLN","Sort=A","Dates=H","DateFormat=P","Fill=—","Direction=H","UseDPDF=Y")</f>
        <v>2350.9</v>
      </c>
      <c r="W10" s="13" cm="1">
        <f t="array" ref="W10">_xll.BDH("PCAR US Equity","BS_ACCT_NOTE_RCV","FQ3 2023","FQ3 2023","Currency=USD","Period=FQ","BEST_FPERIOD_OVERRIDE=FQ","FILING_STATUS=MR","SCALING_FORMAT=MLN","Sort=A","Dates=H","DateFormat=P","Fill=—","Direction=H","UseDPDF=Y")</f>
        <v>2303.6</v>
      </c>
      <c r="X10" s="13" cm="1">
        <f t="array" ref="X10">_xll.BDH("PCAR US Equity","BS_ACCT_NOTE_RCV","FQ4 2023","FQ4 2023","Currency=USD","Period=FQ","BEST_FPERIOD_OVERRIDE=FQ","FILING_STATUS=MR","SCALING_FORMAT=MLN","Sort=A","Dates=H","DateFormat=P","Fill=—","Direction=H","UseDPDF=Y")</f>
        <v>2198.1</v>
      </c>
      <c r="Y10" s="13" cm="1">
        <f t="array" ref="Y10">_xll.BDH("PCAR US Equity","BS_ACCT_NOTE_RCV","FQ1 2024","FQ1 2024","Currency=USD","Period=FQ","BEST_FPERIOD_OVERRIDE=FQ","FILING_STATUS=MR","SCALING_FORMAT=MLN","Sort=A","Dates=H","DateFormat=P","Fill=—","Direction=H","UseDPDF=Y")</f>
        <v>2410.9</v>
      </c>
      <c r="Z10" s="13" cm="1">
        <f t="array" ref="Z10">_xll.BDH("PCAR US Equity","BS_ACCT_NOTE_RCV","FQ2 2024","FQ2 2024","Currency=USD","Period=FQ","BEST_FPERIOD_OVERRIDE=FQ","FILING_STATUS=MR","SCALING_FORMAT=MLN","Sort=A","Dates=H","DateFormat=P","Fill=—","Direction=H","UseDPDF=Y")</f>
        <v>2731.3</v>
      </c>
      <c r="AA10" s="13" cm="1">
        <f t="array" ref="AA10">_xll.BDH("PCAR US Equity","BS_ACCT_NOTE_RCV","FQ3 2024","FQ3 2024","Currency=USD","Period=FQ","BEST_FPERIOD_OVERRIDE=FQ","FILING_STATUS=MR","SCALING_FORMAT=MLN","Sort=A","Dates=H","DateFormat=P","Fill=—","Direction=H","UseDPDF=Y")</f>
        <v>2199.1999999999998</v>
      </c>
      <c r="AB10" s="13" cm="1">
        <f t="array" ref="AB10">_xll.BDH("PCAR US Equity","BS_ACCT_NOTE_RCV","FQ4 2024","FQ4 2024","Currency=USD","Period=FQ","BEST_FPERIOD_OVERRIDE=FQ","FILING_STATUS=MR","SCALING_FORMAT=MLN","Sort=A","Dates=H","DateFormat=P","Fill=—","Direction=H","UseDPDF=Y")</f>
        <v>1933.8</v>
      </c>
      <c r="AC10" s="13" cm="1">
        <f t="array" ref="AC10">_xll.BDH("PCAR US Equity","BS_ACCT_NOTE_RCV","FQ1 2025","FQ1 2025","Currency=USD","Period=FQ","BEST_FPERIOD_OVERRIDE=FQ","FILING_STATUS=MR","SCALING_FORMAT=MLN","Sort=A","Dates=H","DateFormat=P","Fill=—","Direction=H","UseDPDF=Y")</f>
        <v>2212.4</v>
      </c>
      <c r="AD10" s="13" cm="1">
        <f t="array" ref="AD10">_xll.BDH("PCAR US Equity","BS_ACCT_NOTE_RCV","FQ2 2025","FQ2 2025","Currency=USD","Period=FQ","BEST_FPERIOD_OVERRIDE=FQ","FILING_STATUS=MR","SCALING_FORMAT=MLN","Sort=A","Dates=H","DateFormat=P","Fill=—","Direction=H","UseDPDF=Y")</f>
        <v>2210.3000000000002</v>
      </c>
      <c r="AE10" s="13" cm="1">
        <f t="array" ref="AE10">_xll.BDH("PCAR US Equity","BS_ACCT_NOTE_RCV","FQ3 2025","FQ3 2025","Currency=USD","Period=FQ","BEST_FPERIOD_OVERRIDE=FQ","FILING_STATUS=MR","SCALING_FORMAT=MLN","Sort=A","Dates=H","DateFormat=P","Fill=—","Direction=H","UseDPDF=Y")</f>
        <v>2090</v>
      </c>
      <c r="AF10" s="13" cm="1">
        <f t="array" ref="AF10">_xll.BDH("PCAR US Equity","BS_ACCT_NOTE_RCV","FQ4 2025","FQ4 2025","Currency=USD","Period=FQ","BEST_FPERIOD_OVERRIDE=FQ","FILING_STATUS=MR","SCALING_FORMAT=MLN","Sort=A","Dates=H","DateFormat=P","Fill=—","Direction=H","UseDPDF=Y")</f>
        <v>1981.1</v>
      </c>
    </row>
    <row r="11" spans="1:32" x14ac:dyDescent="0.25">
      <c r="A11" s="10" t="s">
        <v>74</v>
      </c>
      <c r="B11" s="10" t="s">
        <v>75</v>
      </c>
      <c r="C11" s="13" cm="1">
        <f t="array" ref="C11">_xll.BDH("PCAR US Equity","BS_ACCTS_REC_EXCL_NOTES_REC","FQ3 2018","FQ3 2018","Currency=USD","Period=FQ","BEST_FPERIOD_OVERRIDE=FQ","FILING_STATUS=MR","SCALING_FORMAT=MLN","Sort=A","Dates=H","DateFormat=P","Fill=—","Direction=H","UseDPDF=Y")</f>
        <v>1608.6</v>
      </c>
      <c r="D11" s="13" cm="1">
        <f t="array" ref="D11">_xll.BDH("PCAR US Equity","BS_ACCTS_REC_EXCL_NOTES_REC","FQ4 2018","FQ4 2018","Currency=USD","Period=FQ","BEST_FPERIOD_OVERRIDE=FQ","FILING_STATUS=MR","SCALING_FORMAT=MLN","Sort=A","Dates=H","DateFormat=P","Fill=—","Direction=H","UseDPDF=Y")</f>
        <v>1314.4</v>
      </c>
      <c r="E11" s="13" cm="1">
        <f t="array" ref="E11">_xll.BDH("PCAR US Equity","BS_ACCTS_REC_EXCL_NOTES_REC","FQ1 2019","FQ1 2019","Currency=USD","Period=FQ","BEST_FPERIOD_OVERRIDE=FQ","FILING_STATUS=MR","SCALING_FORMAT=MLN","Sort=A","Dates=H","DateFormat=P","Fill=—","Direction=H","UseDPDF=Y")</f>
        <v>1736.2</v>
      </c>
      <c r="F11" s="13" cm="1">
        <f t="array" ref="F11">_xll.BDH("PCAR US Equity","BS_ACCTS_REC_EXCL_NOTES_REC","FQ2 2019","FQ2 2019","Currency=USD","Period=FQ","BEST_FPERIOD_OVERRIDE=FQ","FILING_STATUS=MR","SCALING_FORMAT=MLN","Sort=A","Dates=H","DateFormat=P","Fill=—","Direction=H","UseDPDF=Y")</f>
        <v>1711.2</v>
      </c>
      <c r="G11" s="13" cm="1">
        <f t="array" ref="G11">_xll.BDH("PCAR US Equity","BS_ACCTS_REC_EXCL_NOTES_REC","FQ3 2019","FQ3 2019","Currency=USD","Period=FQ","BEST_FPERIOD_OVERRIDE=FQ","FILING_STATUS=MR","SCALING_FORMAT=MLN","Sort=A","Dates=H","DateFormat=P","Fill=—","Direction=H","UseDPDF=Y")</f>
        <v>1729</v>
      </c>
      <c r="H11" s="13" cm="1">
        <f t="array" ref="H11">_xll.BDH("PCAR US Equity","BS_ACCTS_REC_EXCL_NOTES_REC","FQ4 2019","FQ4 2019","Currency=USD","Period=FQ","BEST_FPERIOD_OVERRIDE=FQ","FILING_STATUS=MR","SCALING_FORMAT=MLN","Sort=A","Dates=H","DateFormat=P","Fill=—","Direction=H","UseDPDF=Y")</f>
        <v>1306.0999999999999</v>
      </c>
      <c r="I11" s="13" cm="1">
        <f t="array" ref="I11">_xll.BDH("PCAR US Equity","BS_ACCTS_REC_EXCL_NOTES_REC","FQ1 2020","FQ1 2020","Currency=USD","Period=FQ","BEST_FPERIOD_OVERRIDE=FQ","FILING_STATUS=MR","SCALING_FORMAT=MLN","Sort=A","Dates=H","DateFormat=P","Fill=—","Direction=H","UseDPDF=Y")</f>
        <v>1277</v>
      </c>
      <c r="J11" s="13" cm="1">
        <f t="array" ref="J11">_xll.BDH("PCAR US Equity","BS_ACCTS_REC_EXCL_NOTES_REC","FQ2 2020","FQ2 2020","Currency=USD","Period=FQ","BEST_FPERIOD_OVERRIDE=FQ","FILING_STATUS=MR","SCALING_FORMAT=MLN","Sort=A","Dates=H","DateFormat=P","Fill=—","Direction=H","UseDPDF=Y")</f>
        <v>1248.3</v>
      </c>
      <c r="K11" s="13" cm="1">
        <f t="array" ref="K11">_xll.BDH("PCAR US Equity","BS_ACCTS_REC_EXCL_NOTES_REC","FQ3 2020","FQ3 2020","Currency=USD","Period=FQ","BEST_FPERIOD_OVERRIDE=FQ","FILING_STATUS=MR","SCALING_FORMAT=MLN","Sort=A","Dates=H","DateFormat=P","Fill=—","Direction=H","UseDPDF=Y")</f>
        <v>1364.7</v>
      </c>
      <c r="L11" s="13" cm="1">
        <f t="array" ref="L11">_xll.BDH("PCAR US Equity","BS_ACCTS_REC_EXCL_NOTES_REC","FQ4 2020","FQ4 2020","Currency=USD","Period=FQ","BEST_FPERIOD_OVERRIDE=FQ","FILING_STATUS=MR","SCALING_FORMAT=MLN","Sort=A","Dates=H","DateFormat=P","Fill=—","Direction=H","UseDPDF=Y")</f>
        <v>1197.5</v>
      </c>
      <c r="M11" s="13" cm="1">
        <f t="array" ref="M11">_xll.BDH("PCAR US Equity","BS_ACCTS_REC_EXCL_NOTES_REC","FQ1 2021","FQ1 2021","Currency=USD","Period=FQ","BEST_FPERIOD_OVERRIDE=FQ","FILING_STATUS=MR","SCALING_FORMAT=MLN","Sort=A","Dates=H","DateFormat=P","Fill=—","Direction=H","UseDPDF=Y")</f>
        <v>1649.9</v>
      </c>
      <c r="N11" s="13" cm="1">
        <f t="array" ref="N11">_xll.BDH("PCAR US Equity","BS_ACCTS_REC_EXCL_NOTES_REC","FQ2 2021","FQ2 2021","Currency=USD","Period=FQ","BEST_FPERIOD_OVERRIDE=FQ","FILING_STATUS=MR","SCALING_FORMAT=MLN","Sort=A","Dates=H","DateFormat=P","Fill=—","Direction=H","UseDPDF=Y")</f>
        <v>1525.7</v>
      </c>
      <c r="O11" s="13" cm="1">
        <f t="array" ref="O11">_xll.BDH("PCAR US Equity","BS_ACCTS_REC_EXCL_NOTES_REC","FQ3 2021","FQ3 2021","Currency=USD","Period=FQ","BEST_FPERIOD_OVERRIDE=FQ","FILING_STATUS=MR","SCALING_FORMAT=MLN","Sort=A","Dates=H","DateFormat=P","Fill=—","Direction=H","UseDPDF=Y")</f>
        <v>1475.8</v>
      </c>
      <c r="P11" s="13" cm="1">
        <f t="array" ref="P11">_xll.BDH("PCAR US Equity","BS_ACCTS_REC_EXCL_NOTES_REC","FQ4 2021","FQ4 2021","Currency=USD","Period=FQ","BEST_FPERIOD_OVERRIDE=FQ","FILING_STATUS=MR","SCALING_FORMAT=MLN","Sort=A","Dates=H","DateFormat=P","Fill=—","Direction=H","UseDPDF=Y")</f>
        <v>1575.1</v>
      </c>
      <c r="Q11" s="13" cm="1">
        <f t="array" ref="Q11">_xll.BDH("PCAR US Equity","BS_ACCTS_REC_EXCL_NOTES_REC","FQ1 2022","FQ1 2022","Currency=USD","Period=FQ","BEST_FPERIOD_OVERRIDE=FQ","FILING_STATUS=MR","SCALING_FORMAT=MLN","Sort=A","Dates=H","DateFormat=P","Fill=—","Direction=H","UseDPDF=Y")</f>
        <v>1927.8</v>
      </c>
      <c r="R11" s="13" cm="1">
        <f t="array" ref="R11">_xll.BDH("PCAR US Equity","BS_ACCTS_REC_EXCL_NOTES_REC","FQ2 2022","FQ2 2022","Currency=USD","Period=FQ","BEST_FPERIOD_OVERRIDE=FQ","FILING_STATUS=MR","SCALING_FORMAT=MLN","Sort=A","Dates=H","DateFormat=P","Fill=—","Direction=H","UseDPDF=Y")</f>
        <v>1959.7</v>
      </c>
      <c r="S11" s="13" cm="1">
        <f t="array" ref="S11">_xll.BDH("PCAR US Equity","BS_ACCTS_REC_EXCL_NOTES_REC","FQ3 2022","FQ3 2022","Currency=USD","Period=FQ","BEST_FPERIOD_OVERRIDE=FQ","FILING_STATUS=MR","SCALING_FORMAT=MLN","Sort=A","Dates=H","DateFormat=P","Fill=—","Direction=H","UseDPDF=Y")</f>
        <v>2018.5</v>
      </c>
      <c r="T11" s="13" cm="1">
        <f t="array" ref="T11">_xll.BDH("PCAR US Equity","BS_ACCTS_REC_EXCL_NOTES_REC","FQ4 2022","FQ4 2022","Currency=USD","Period=FQ","BEST_FPERIOD_OVERRIDE=FQ","FILING_STATUS=MR","SCALING_FORMAT=MLN","Sort=A","Dates=H","DateFormat=P","Fill=—","Direction=H","UseDPDF=Y")</f>
        <v>1919.8</v>
      </c>
      <c r="U11" s="13" cm="1">
        <f t="array" ref="U11">_xll.BDH("PCAR US Equity","BS_ACCTS_REC_EXCL_NOTES_REC","FQ1 2023","FQ1 2023","Currency=USD","Period=FQ","BEST_FPERIOD_OVERRIDE=FQ","FILING_STATUS=MR","SCALING_FORMAT=MLN","Sort=A","Dates=H","DateFormat=P","Fill=—","Direction=H","UseDPDF=Y")</f>
        <v>2347</v>
      </c>
      <c r="V11" s="13" cm="1">
        <f t="array" ref="V11">_xll.BDH("PCAR US Equity","BS_ACCTS_REC_EXCL_NOTES_REC","FQ2 2023","FQ2 2023","Currency=USD","Period=FQ","BEST_FPERIOD_OVERRIDE=FQ","FILING_STATUS=MR","SCALING_FORMAT=MLN","Sort=A","Dates=H","DateFormat=P","Fill=—","Direction=H","UseDPDF=Y")</f>
        <v>2350.9</v>
      </c>
      <c r="W11" s="13" cm="1">
        <f t="array" ref="W11">_xll.BDH("PCAR US Equity","BS_ACCTS_REC_EXCL_NOTES_REC","FQ3 2023","FQ3 2023","Currency=USD","Period=FQ","BEST_FPERIOD_OVERRIDE=FQ","FILING_STATUS=MR","SCALING_FORMAT=MLN","Sort=A","Dates=H","DateFormat=P","Fill=—","Direction=H","UseDPDF=Y")</f>
        <v>2303.6</v>
      </c>
      <c r="X11" s="13" cm="1">
        <f t="array" ref="X11">_xll.BDH("PCAR US Equity","BS_ACCTS_REC_EXCL_NOTES_REC","FQ4 2023","FQ4 2023","Currency=USD","Period=FQ","BEST_FPERIOD_OVERRIDE=FQ","FILING_STATUS=MR","SCALING_FORMAT=MLN","Sort=A","Dates=H","DateFormat=P","Fill=—","Direction=H","UseDPDF=Y")</f>
        <v>2198.1</v>
      </c>
      <c r="Y11" s="13" cm="1">
        <f t="array" ref="Y11">_xll.BDH("PCAR US Equity","BS_ACCTS_REC_EXCL_NOTES_REC","FQ1 2024","FQ1 2024","Currency=USD","Period=FQ","BEST_FPERIOD_OVERRIDE=FQ","FILING_STATUS=MR","SCALING_FORMAT=MLN","Sort=A","Dates=H","DateFormat=P","Fill=—","Direction=H","UseDPDF=Y")</f>
        <v>2410.9</v>
      </c>
      <c r="Z11" s="13" cm="1">
        <f t="array" ref="Z11">_xll.BDH("PCAR US Equity","BS_ACCTS_REC_EXCL_NOTES_REC","FQ2 2024","FQ2 2024","Currency=USD","Period=FQ","BEST_FPERIOD_OVERRIDE=FQ","FILING_STATUS=MR","SCALING_FORMAT=MLN","Sort=A","Dates=H","DateFormat=P","Fill=—","Direction=H","UseDPDF=Y")</f>
        <v>2731.3</v>
      </c>
      <c r="AA11" s="13" cm="1">
        <f t="array" ref="AA11">_xll.BDH("PCAR US Equity","BS_ACCTS_REC_EXCL_NOTES_REC","FQ3 2024","FQ3 2024","Currency=USD","Period=FQ","BEST_FPERIOD_OVERRIDE=FQ","FILING_STATUS=MR","SCALING_FORMAT=MLN","Sort=A","Dates=H","DateFormat=P","Fill=—","Direction=H","UseDPDF=Y")</f>
        <v>2199.1999999999998</v>
      </c>
      <c r="AB11" s="13" cm="1">
        <f t="array" ref="AB11">_xll.BDH("PCAR US Equity","BS_ACCTS_REC_EXCL_NOTES_REC","FQ4 2024","FQ4 2024","Currency=USD","Period=FQ","BEST_FPERIOD_OVERRIDE=FQ","FILING_STATUS=MR","SCALING_FORMAT=MLN","Sort=A","Dates=H","DateFormat=P","Fill=—","Direction=H","UseDPDF=Y")</f>
        <v>1933.8</v>
      </c>
      <c r="AC11" s="13" cm="1">
        <f t="array" ref="AC11">_xll.BDH("PCAR US Equity","BS_ACCTS_REC_EXCL_NOTES_REC","FQ1 2025","FQ1 2025","Currency=USD","Period=FQ","BEST_FPERIOD_OVERRIDE=FQ","FILING_STATUS=MR","SCALING_FORMAT=MLN","Sort=A","Dates=H","DateFormat=P","Fill=—","Direction=H","UseDPDF=Y")</f>
        <v>2212.4</v>
      </c>
      <c r="AD11" s="13" cm="1">
        <f t="array" ref="AD11">_xll.BDH("PCAR US Equity","BS_ACCTS_REC_EXCL_NOTES_REC","FQ2 2025","FQ2 2025","Currency=USD","Period=FQ","BEST_FPERIOD_OVERRIDE=FQ","FILING_STATUS=MR","SCALING_FORMAT=MLN","Sort=A","Dates=H","DateFormat=P","Fill=—","Direction=H","UseDPDF=Y")</f>
        <v>2210.3000000000002</v>
      </c>
      <c r="AE11" s="13" cm="1">
        <f t="array" ref="AE11">_xll.BDH("PCAR US Equity","BS_ACCTS_REC_EXCL_NOTES_REC","FQ3 2025","FQ3 2025","Currency=USD","Period=FQ","BEST_FPERIOD_OVERRIDE=FQ","FILING_STATUS=MR","SCALING_FORMAT=MLN","Sort=A","Dates=H","DateFormat=P","Fill=—","Direction=H","UseDPDF=Y")</f>
        <v>2090</v>
      </c>
      <c r="AF11" s="13" cm="1">
        <f t="array" ref="AF11">_xll.BDH("PCAR US Equity","BS_ACCTS_REC_EXCL_NOTES_REC","FQ4 2025","FQ4 2025","Currency=USD","Period=FQ","BEST_FPERIOD_OVERRIDE=FQ","FILING_STATUS=MR","SCALING_FORMAT=MLN","Sort=A","Dates=H","DateFormat=P","Fill=—","Direction=H","UseDPDF=Y")</f>
        <v>1981.1</v>
      </c>
    </row>
    <row r="12" spans="1:32" x14ac:dyDescent="0.25">
      <c r="A12" s="10" t="s">
        <v>76</v>
      </c>
      <c r="B12" s="10" t="s">
        <v>77</v>
      </c>
      <c r="C12" s="13" cm="1">
        <f t="array" ref="C12">_xll.BDH("PCAR US Equity","NOTES_RECEIVABLE","FQ3 2018","FQ3 2018","Currency=USD","Period=FQ","BEST_FPERIOD_OVERRIDE=FQ","FILING_STATUS=MR","SCALING_FORMAT=MLN","Sort=A","Dates=H","DateFormat=P","Fill=—","Direction=H","UseDPDF=Y")</f>
        <v>0</v>
      </c>
      <c r="D12" s="13" cm="1">
        <f t="array" ref="D12">_xll.BDH("PCAR US Equity","NOTES_RECEIVABLE","FQ4 2018","FQ4 2018","Currency=USD","Period=FQ","BEST_FPERIOD_OVERRIDE=FQ","FILING_STATUS=MR","SCALING_FORMAT=MLN","Sort=A","Dates=H","DateFormat=P","Fill=—","Direction=H","UseDPDF=Y")</f>
        <v>0</v>
      </c>
      <c r="E12" s="13" cm="1">
        <f t="array" ref="E12">_xll.BDH("PCAR US Equity","NOTES_RECEIVABLE","FQ1 2019","FQ1 2019","Currency=USD","Period=FQ","BEST_FPERIOD_OVERRIDE=FQ","FILING_STATUS=MR","SCALING_FORMAT=MLN","Sort=A","Dates=H","DateFormat=P","Fill=—","Direction=H","UseDPDF=Y")</f>
        <v>0</v>
      </c>
      <c r="F12" s="13" cm="1">
        <f t="array" ref="F12">_xll.BDH("PCAR US Equity","NOTES_RECEIVABLE","FQ2 2019","FQ2 2019","Currency=USD","Period=FQ","BEST_FPERIOD_OVERRIDE=FQ","FILING_STATUS=MR","SCALING_FORMAT=MLN","Sort=A","Dates=H","DateFormat=P","Fill=—","Direction=H","UseDPDF=Y")</f>
        <v>0</v>
      </c>
      <c r="G12" s="13" cm="1">
        <f t="array" ref="G12">_xll.BDH("PCAR US Equity","NOTES_RECEIVABLE","FQ3 2019","FQ3 2019","Currency=USD","Period=FQ","BEST_FPERIOD_OVERRIDE=FQ","FILING_STATUS=MR","SCALING_FORMAT=MLN","Sort=A","Dates=H","DateFormat=P","Fill=—","Direction=H","UseDPDF=Y")</f>
        <v>0</v>
      </c>
      <c r="H12" s="13" cm="1">
        <f t="array" ref="H12">_xll.BDH("PCAR US Equity","NOTES_RECEIVABLE","FQ4 2019","FQ4 2019","Currency=USD","Period=FQ","BEST_FPERIOD_OVERRIDE=FQ","FILING_STATUS=MR","SCALING_FORMAT=MLN","Sort=A","Dates=H","DateFormat=P","Fill=—","Direction=H","UseDPDF=Y")</f>
        <v>0</v>
      </c>
      <c r="I12" s="13" cm="1">
        <f t="array" ref="I12">_xll.BDH("PCAR US Equity","NOTES_RECEIVABLE","FQ1 2020","FQ1 2020","Currency=USD","Period=FQ","BEST_FPERIOD_OVERRIDE=FQ","FILING_STATUS=MR","SCALING_FORMAT=MLN","Sort=A","Dates=H","DateFormat=P","Fill=—","Direction=H","UseDPDF=Y")</f>
        <v>0</v>
      </c>
      <c r="J12" s="13" cm="1">
        <f t="array" ref="J12">_xll.BDH("PCAR US Equity","NOTES_RECEIVABLE","FQ2 2020","FQ2 2020","Currency=USD","Period=FQ","BEST_FPERIOD_OVERRIDE=FQ","FILING_STATUS=MR","SCALING_FORMAT=MLN","Sort=A","Dates=H","DateFormat=P","Fill=—","Direction=H","UseDPDF=Y")</f>
        <v>0</v>
      </c>
      <c r="K12" s="13" cm="1">
        <f t="array" ref="K12">_xll.BDH("PCAR US Equity","NOTES_RECEIVABLE","FQ3 2020","FQ3 2020","Currency=USD","Period=FQ","BEST_FPERIOD_OVERRIDE=FQ","FILING_STATUS=MR","SCALING_FORMAT=MLN","Sort=A","Dates=H","DateFormat=P","Fill=—","Direction=H","UseDPDF=Y")</f>
        <v>0</v>
      </c>
      <c r="L12" s="13" cm="1">
        <f t="array" ref="L12">_xll.BDH("PCAR US Equity","NOTES_RECEIVABLE","FQ4 2020","FQ4 2020","Currency=USD","Period=FQ","BEST_FPERIOD_OVERRIDE=FQ","FILING_STATUS=MR","SCALING_FORMAT=MLN","Sort=A","Dates=H","DateFormat=P","Fill=—","Direction=H","UseDPDF=Y")</f>
        <v>0</v>
      </c>
      <c r="M12" s="13" cm="1">
        <f t="array" ref="M12">_xll.BDH("PCAR US Equity","NOTES_RECEIVABLE","FQ1 2021","FQ1 2021","Currency=USD","Period=FQ","BEST_FPERIOD_OVERRIDE=FQ","FILING_STATUS=MR","SCALING_FORMAT=MLN","Sort=A","Dates=H","DateFormat=P","Fill=—","Direction=H","UseDPDF=Y")</f>
        <v>0</v>
      </c>
      <c r="N12" s="13" cm="1">
        <f t="array" ref="N12">_xll.BDH("PCAR US Equity","NOTES_RECEIVABLE","FQ2 2021","FQ2 2021","Currency=USD","Period=FQ","BEST_FPERIOD_OVERRIDE=FQ","FILING_STATUS=MR","SCALING_FORMAT=MLN","Sort=A","Dates=H","DateFormat=P","Fill=—","Direction=H","UseDPDF=Y")</f>
        <v>0</v>
      </c>
      <c r="O12" s="13" cm="1">
        <f t="array" ref="O12">_xll.BDH("PCAR US Equity","NOTES_RECEIVABLE","FQ3 2021","FQ3 2021","Currency=USD","Period=FQ","BEST_FPERIOD_OVERRIDE=FQ","FILING_STATUS=MR","SCALING_FORMAT=MLN","Sort=A","Dates=H","DateFormat=P","Fill=—","Direction=H","UseDPDF=Y")</f>
        <v>0</v>
      </c>
      <c r="P12" s="13" cm="1">
        <f t="array" ref="P12">_xll.BDH("PCAR US Equity","NOTES_RECEIVABLE","FQ4 2021","FQ4 2021","Currency=USD","Period=FQ","BEST_FPERIOD_OVERRIDE=FQ","FILING_STATUS=MR","SCALING_FORMAT=MLN","Sort=A","Dates=H","DateFormat=P","Fill=—","Direction=H","UseDPDF=Y")</f>
        <v>0</v>
      </c>
      <c r="Q12" s="13" cm="1">
        <f t="array" ref="Q12">_xll.BDH("PCAR US Equity","NOTES_RECEIVABLE","FQ1 2022","FQ1 2022","Currency=USD","Period=FQ","BEST_FPERIOD_OVERRIDE=FQ","FILING_STATUS=MR","SCALING_FORMAT=MLN","Sort=A","Dates=H","DateFormat=P","Fill=—","Direction=H","UseDPDF=Y")</f>
        <v>0</v>
      </c>
      <c r="R12" s="13" cm="1">
        <f t="array" ref="R12">_xll.BDH("PCAR US Equity","NOTES_RECEIVABLE","FQ2 2022","FQ2 2022","Currency=USD","Period=FQ","BEST_FPERIOD_OVERRIDE=FQ","FILING_STATUS=MR","SCALING_FORMAT=MLN","Sort=A","Dates=H","DateFormat=P","Fill=—","Direction=H","UseDPDF=Y")</f>
        <v>0</v>
      </c>
      <c r="S12" s="13" cm="1">
        <f t="array" ref="S12">_xll.BDH("PCAR US Equity","NOTES_RECEIVABLE","FQ3 2022","FQ3 2022","Currency=USD","Period=FQ","BEST_FPERIOD_OVERRIDE=FQ","FILING_STATUS=MR","SCALING_FORMAT=MLN","Sort=A","Dates=H","DateFormat=P","Fill=—","Direction=H","UseDPDF=Y")</f>
        <v>0</v>
      </c>
      <c r="T12" s="13" cm="1">
        <f t="array" ref="T12">_xll.BDH("PCAR US Equity","NOTES_RECEIVABLE","FQ4 2022","FQ4 2022","Currency=USD","Period=FQ","BEST_FPERIOD_OVERRIDE=FQ","FILING_STATUS=MR","SCALING_FORMAT=MLN","Sort=A","Dates=H","DateFormat=P","Fill=—","Direction=H","UseDPDF=Y")</f>
        <v>0</v>
      </c>
      <c r="U12" s="13" cm="1">
        <f t="array" ref="U12">_xll.BDH("PCAR US Equity","NOTES_RECEIVABLE","FQ1 2023","FQ1 2023","Currency=USD","Period=FQ","BEST_FPERIOD_OVERRIDE=FQ","FILING_STATUS=MR","SCALING_FORMAT=MLN","Sort=A","Dates=H","DateFormat=P","Fill=—","Direction=H","UseDPDF=Y")</f>
        <v>0</v>
      </c>
      <c r="V12" s="13" cm="1">
        <f t="array" ref="V12">_xll.BDH("PCAR US Equity","NOTES_RECEIVABLE","FQ2 2023","FQ2 2023","Currency=USD","Period=FQ","BEST_FPERIOD_OVERRIDE=FQ","FILING_STATUS=MR","SCALING_FORMAT=MLN","Sort=A","Dates=H","DateFormat=P","Fill=—","Direction=H","UseDPDF=Y")</f>
        <v>0</v>
      </c>
      <c r="W12" s="13" cm="1">
        <f t="array" ref="W12">_xll.BDH("PCAR US Equity","NOTES_RECEIVABLE","FQ3 2023","FQ3 2023","Currency=USD","Period=FQ","BEST_FPERIOD_OVERRIDE=FQ","FILING_STATUS=MR","SCALING_FORMAT=MLN","Sort=A","Dates=H","DateFormat=P","Fill=—","Direction=H","UseDPDF=Y")</f>
        <v>0</v>
      </c>
      <c r="X12" s="13" cm="1">
        <f t="array" ref="X12">_xll.BDH("PCAR US Equity","NOTES_RECEIVABLE","FQ4 2023","FQ4 2023","Currency=USD","Period=FQ","BEST_FPERIOD_OVERRIDE=FQ","FILING_STATUS=MR","SCALING_FORMAT=MLN","Sort=A","Dates=H","DateFormat=P","Fill=—","Direction=H","UseDPDF=Y")</f>
        <v>0</v>
      </c>
      <c r="Y12" s="13" cm="1">
        <f t="array" ref="Y12">_xll.BDH("PCAR US Equity","NOTES_RECEIVABLE","FQ1 2024","FQ1 2024","Currency=USD","Period=FQ","BEST_FPERIOD_OVERRIDE=FQ","FILING_STATUS=MR","SCALING_FORMAT=MLN","Sort=A","Dates=H","DateFormat=P","Fill=—","Direction=H","UseDPDF=Y")</f>
        <v>0</v>
      </c>
      <c r="Z12" s="13" cm="1">
        <f t="array" ref="Z12">_xll.BDH("PCAR US Equity","NOTES_RECEIVABLE","FQ2 2024","FQ2 2024","Currency=USD","Period=FQ","BEST_FPERIOD_OVERRIDE=FQ","FILING_STATUS=MR","SCALING_FORMAT=MLN","Sort=A","Dates=H","DateFormat=P","Fill=—","Direction=H","UseDPDF=Y")</f>
        <v>0</v>
      </c>
      <c r="AA12" s="13" cm="1">
        <f t="array" ref="AA12">_xll.BDH("PCAR US Equity","NOTES_RECEIVABLE","FQ3 2024","FQ3 2024","Currency=USD","Period=FQ","BEST_FPERIOD_OVERRIDE=FQ","FILING_STATUS=MR","SCALING_FORMAT=MLN","Sort=A","Dates=H","DateFormat=P","Fill=—","Direction=H","UseDPDF=Y")</f>
        <v>0</v>
      </c>
      <c r="AB12" s="13" cm="1">
        <f t="array" ref="AB12">_xll.BDH("PCAR US Equity","NOTES_RECEIVABLE","FQ4 2024","FQ4 2024","Currency=USD","Period=FQ","BEST_FPERIOD_OVERRIDE=FQ","FILING_STATUS=MR","SCALING_FORMAT=MLN","Sort=A","Dates=H","DateFormat=P","Fill=—","Direction=H","UseDPDF=Y")</f>
        <v>0</v>
      </c>
      <c r="AC12" s="13" cm="1">
        <f t="array" ref="AC12">_xll.BDH("PCAR US Equity","NOTES_RECEIVABLE","FQ1 2025","FQ1 2025","Currency=USD","Period=FQ","BEST_FPERIOD_OVERRIDE=FQ","FILING_STATUS=MR","SCALING_FORMAT=MLN","Sort=A","Dates=H","DateFormat=P","Fill=—","Direction=H","UseDPDF=Y")</f>
        <v>0</v>
      </c>
      <c r="AD12" s="13" cm="1">
        <f t="array" ref="AD12">_xll.BDH("PCAR US Equity","NOTES_RECEIVABLE","FQ2 2025","FQ2 2025","Currency=USD","Period=FQ","BEST_FPERIOD_OVERRIDE=FQ","FILING_STATUS=MR","SCALING_FORMAT=MLN","Sort=A","Dates=H","DateFormat=P","Fill=—","Direction=H","UseDPDF=Y")</f>
        <v>0</v>
      </c>
      <c r="AE12" s="13" cm="1">
        <f t="array" ref="AE12">_xll.BDH("PCAR US Equity","NOTES_RECEIVABLE","FQ3 2025","FQ3 2025","Currency=USD","Period=FQ","BEST_FPERIOD_OVERRIDE=FQ","FILING_STATUS=MR","SCALING_FORMAT=MLN","Sort=A","Dates=H","DateFormat=P","Fill=—","Direction=H","UseDPDF=Y")</f>
        <v>0</v>
      </c>
      <c r="AF12" s="13" cm="1">
        <f t="array" ref="AF12">_xll.BDH("PCAR US Equity","NOTES_RECEIVABLE","FQ4 2025","FQ4 2025","Currency=USD","Period=FQ","BEST_FPERIOD_OVERRIDE=FQ","FILING_STATUS=MR","SCALING_FORMAT=MLN","Sort=A","Dates=H","DateFormat=P","Fill=—","Direction=H","UseDPDF=Y")</f>
        <v>0</v>
      </c>
    </row>
    <row r="13" spans="1:32" x14ac:dyDescent="0.25">
      <c r="A13" s="10" t="s">
        <v>78</v>
      </c>
      <c r="B13" s="10" t="s">
        <v>79</v>
      </c>
      <c r="C13" s="13" cm="1">
        <f t="array" ref="C13">_xll.BDH("PCAR US Equity","BS_INVENTORIES","FQ3 2018","FQ3 2018","Currency=USD","Period=FQ","BEST_FPERIOD_OVERRIDE=FQ","FILING_STATUS=MR","SCALING_FORMAT=MLN","Sort=A","Dates=H","DateFormat=P","Fill=—","Direction=H","UseDPDF=Y")</f>
        <v>1292</v>
      </c>
      <c r="D13" s="13" cm="1">
        <f t="array" ref="D13">_xll.BDH("PCAR US Equity","BS_INVENTORIES","FQ4 2018","FQ4 2018","Currency=USD","Period=FQ","BEST_FPERIOD_OVERRIDE=FQ","FILING_STATUS=MR","SCALING_FORMAT=MLN","Sort=A","Dates=H","DateFormat=P","Fill=—","Direction=H","UseDPDF=Y")</f>
        <v>1184.7</v>
      </c>
      <c r="E13" s="13" cm="1">
        <f t="array" ref="E13">_xll.BDH("PCAR US Equity","BS_INVENTORIES","FQ1 2019","FQ1 2019","Currency=USD","Period=FQ","BEST_FPERIOD_OVERRIDE=FQ","FILING_STATUS=MR","SCALING_FORMAT=MLN","Sort=A","Dates=H","DateFormat=P","Fill=—","Direction=H","UseDPDF=Y")</f>
        <v>1272.5999999999999</v>
      </c>
      <c r="F13" s="13" cm="1">
        <f t="array" ref="F13">_xll.BDH("PCAR US Equity","BS_INVENTORIES","FQ2 2019","FQ2 2019","Currency=USD","Period=FQ","BEST_FPERIOD_OVERRIDE=FQ","FILING_STATUS=MR","SCALING_FORMAT=MLN","Sort=A","Dates=H","DateFormat=P","Fill=—","Direction=H","UseDPDF=Y")</f>
        <v>1336.6</v>
      </c>
      <c r="G13" s="13" cm="1">
        <f t="array" ref="G13">_xll.BDH("PCAR US Equity","BS_INVENTORIES","FQ3 2019","FQ3 2019","Currency=USD","Period=FQ","BEST_FPERIOD_OVERRIDE=FQ","FILING_STATUS=MR","SCALING_FORMAT=MLN","Sort=A","Dates=H","DateFormat=P","Fill=—","Direction=H","UseDPDF=Y")</f>
        <v>1292.5999999999999</v>
      </c>
      <c r="H13" s="13" cm="1">
        <f t="array" ref="H13">_xll.BDH("PCAR US Equity","BS_INVENTORIES","FQ4 2019","FQ4 2019","Currency=USD","Period=FQ","BEST_FPERIOD_OVERRIDE=FQ","FILING_STATUS=MR","SCALING_FORMAT=MLN","Sort=A","Dates=H","DateFormat=P","Fill=—","Direction=H","UseDPDF=Y")</f>
        <v>1153.2</v>
      </c>
      <c r="I13" s="13" cm="1">
        <f t="array" ref="I13">_xll.BDH("PCAR US Equity","BS_INVENTORIES","FQ1 2020","FQ1 2020","Currency=USD","Period=FQ","BEST_FPERIOD_OVERRIDE=FQ","FILING_STATUS=MR","SCALING_FORMAT=MLN","Sort=A","Dates=H","DateFormat=P","Fill=—","Direction=H","UseDPDF=Y")</f>
        <v>1270.0999999999999</v>
      </c>
      <c r="J13" s="13" cm="1">
        <f t="array" ref="J13">_xll.BDH("PCAR US Equity","BS_INVENTORIES","FQ2 2020","FQ2 2020","Currency=USD","Period=FQ","BEST_FPERIOD_OVERRIDE=FQ","FILING_STATUS=MR","SCALING_FORMAT=MLN","Sort=A","Dates=H","DateFormat=P","Fill=—","Direction=H","UseDPDF=Y")</f>
        <v>1136.4000000000001</v>
      </c>
      <c r="K13" s="13" cm="1">
        <f t="array" ref="K13">_xll.BDH("PCAR US Equity","BS_INVENTORIES","FQ3 2020","FQ3 2020","Currency=USD","Period=FQ","BEST_FPERIOD_OVERRIDE=FQ","FILING_STATUS=MR","SCALING_FORMAT=MLN","Sort=A","Dates=H","DateFormat=P","Fill=—","Direction=H","UseDPDF=Y")</f>
        <v>1124.5</v>
      </c>
      <c r="L13" s="13" cm="1">
        <f t="array" ref="L13">_xll.BDH("PCAR US Equity","BS_INVENTORIES","FQ4 2020","FQ4 2020","Currency=USD","Period=FQ","BEST_FPERIOD_OVERRIDE=FQ","FILING_STATUS=MR","SCALING_FORMAT=MLN","Sort=A","Dates=H","DateFormat=P","Fill=—","Direction=H","UseDPDF=Y")</f>
        <v>1221.9000000000001</v>
      </c>
      <c r="M13" s="13" cm="1">
        <f t="array" ref="M13">_xll.BDH("PCAR US Equity","BS_INVENTORIES","FQ1 2021","FQ1 2021","Currency=USD","Period=FQ","BEST_FPERIOD_OVERRIDE=FQ","FILING_STATUS=MR","SCALING_FORMAT=MLN","Sort=A","Dates=H","DateFormat=P","Fill=—","Direction=H","UseDPDF=Y")</f>
        <v>1465.4</v>
      </c>
      <c r="N13" s="13" cm="1">
        <f t="array" ref="N13">_xll.BDH("PCAR US Equity","BS_INVENTORIES","FQ2 2021","FQ2 2021","Currency=USD","Period=FQ","BEST_FPERIOD_OVERRIDE=FQ","FILING_STATUS=MR","SCALING_FORMAT=MLN","Sort=A","Dates=H","DateFormat=P","Fill=—","Direction=H","UseDPDF=Y")</f>
        <v>2054.6</v>
      </c>
      <c r="O13" s="13" cm="1">
        <f t="array" ref="O13">_xll.BDH("PCAR US Equity","BS_INVENTORIES","FQ3 2021","FQ3 2021","Currency=USD","Period=FQ","BEST_FPERIOD_OVERRIDE=FQ","FILING_STATUS=MR","SCALING_FORMAT=MLN","Sort=A","Dates=H","DateFormat=P","Fill=—","Direction=H","UseDPDF=Y")</f>
        <v>2516.6999999999998</v>
      </c>
      <c r="P13" s="13" cm="1">
        <f t="array" ref="P13">_xll.BDH("PCAR US Equity","BS_INVENTORIES","FQ4 2021","FQ4 2021","Currency=USD","Period=FQ","BEST_FPERIOD_OVERRIDE=FQ","FILING_STATUS=MR","SCALING_FORMAT=MLN","Sort=A","Dates=H","DateFormat=P","Fill=—","Direction=H","UseDPDF=Y")</f>
        <v>1976</v>
      </c>
      <c r="Q13" s="13" cm="1">
        <f t="array" ref="Q13">_xll.BDH("PCAR US Equity","BS_INVENTORIES","FQ1 2022","FQ1 2022","Currency=USD","Period=FQ","BEST_FPERIOD_OVERRIDE=FQ","FILING_STATUS=MR","SCALING_FORMAT=MLN","Sort=A","Dates=H","DateFormat=P","Fill=—","Direction=H","UseDPDF=Y")</f>
        <v>2222.1</v>
      </c>
      <c r="R13" s="13" cm="1">
        <f t="array" ref="R13">_xll.BDH("PCAR US Equity","BS_INVENTORIES","FQ2 2022","FQ2 2022","Currency=USD","Period=FQ","BEST_FPERIOD_OVERRIDE=FQ","FILING_STATUS=MR","SCALING_FORMAT=MLN","Sort=A","Dates=H","DateFormat=P","Fill=—","Direction=H","UseDPDF=Y")</f>
        <v>2232.1999999999998</v>
      </c>
      <c r="S13" s="13" cm="1">
        <f t="array" ref="S13">_xll.BDH("PCAR US Equity","BS_INVENTORIES","FQ3 2022","FQ3 2022","Currency=USD","Period=FQ","BEST_FPERIOD_OVERRIDE=FQ","FILING_STATUS=MR","SCALING_FORMAT=MLN","Sort=A","Dates=H","DateFormat=P","Fill=—","Direction=H","UseDPDF=Y")</f>
        <v>2382.1</v>
      </c>
      <c r="T13" s="13" cm="1">
        <f t="array" ref="T13">_xll.BDH("PCAR US Equity","BS_INVENTORIES","FQ4 2022","FQ4 2022","Currency=USD","Period=FQ","BEST_FPERIOD_OVERRIDE=FQ","FILING_STATUS=MR","SCALING_FORMAT=MLN","Sort=A","Dates=H","DateFormat=P","Fill=—","Direction=H","UseDPDF=Y")</f>
        <v>2198.8000000000002</v>
      </c>
      <c r="U13" s="13" cm="1">
        <f t="array" ref="U13">_xll.BDH("PCAR US Equity","BS_INVENTORIES","FQ1 2023","FQ1 2023","Currency=USD","Period=FQ","BEST_FPERIOD_OVERRIDE=FQ","FILING_STATUS=MR","SCALING_FORMAT=MLN","Sort=A","Dates=H","DateFormat=P","Fill=—","Direction=H","UseDPDF=Y")</f>
        <v>2609.1999999999998</v>
      </c>
      <c r="V13" s="13" cm="1">
        <f t="array" ref="V13">_xll.BDH("PCAR US Equity","BS_INVENTORIES","FQ2 2023","FQ2 2023","Currency=USD","Period=FQ","BEST_FPERIOD_OVERRIDE=FQ","FILING_STATUS=MR","SCALING_FORMAT=MLN","Sort=A","Dates=H","DateFormat=P","Fill=—","Direction=H","UseDPDF=Y")</f>
        <v>2712.9</v>
      </c>
      <c r="W13" s="13" cm="1">
        <f t="array" ref="W13">_xll.BDH("PCAR US Equity","BS_INVENTORIES","FQ3 2023","FQ3 2023","Currency=USD","Period=FQ","BEST_FPERIOD_OVERRIDE=FQ","FILING_STATUS=MR","SCALING_FORMAT=MLN","Sort=A","Dates=H","DateFormat=P","Fill=—","Direction=H","UseDPDF=Y")</f>
        <v>2622.4</v>
      </c>
      <c r="X13" s="13" cm="1">
        <f t="array" ref="X13">_xll.BDH("PCAR US Equity","BS_INVENTORIES","FQ4 2023","FQ4 2023","Currency=USD","Period=FQ","BEST_FPERIOD_OVERRIDE=FQ","FILING_STATUS=MR","SCALING_FORMAT=MLN","Sort=A","Dates=H","DateFormat=P","Fill=—","Direction=H","UseDPDF=Y")</f>
        <v>2576.6999999999998</v>
      </c>
      <c r="Y13" s="13" cm="1">
        <f t="array" ref="Y13">_xll.BDH("PCAR US Equity","BS_INVENTORIES","FQ1 2024","FQ1 2024","Currency=USD","Period=FQ","BEST_FPERIOD_OVERRIDE=FQ","FILING_STATUS=MR","SCALING_FORMAT=MLN","Sort=A","Dates=H","DateFormat=P","Fill=—","Direction=H","UseDPDF=Y")</f>
        <v>2742.6</v>
      </c>
      <c r="Z13" s="13" cm="1">
        <f t="array" ref="Z13">_xll.BDH("PCAR US Equity","BS_INVENTORIES","FQ2 2024","FQ2 2024","Currency=USD","Period=FQ","BEST_FPERIOD_OVERRIDE=FQ","FILING_STATUS=MR","SCALING_FORMAT=MLN","Sort=A","Dates=H","DateFormat=P","Fill=—","Direction=H","UseDPDF=Y")</f>
        <v>2783</v>
      </c>
      <c r="AA13" s="13" cm="1">
        <f t="array" ref="AA13">_xll.BDH("PCAR US Equity","BS_INVENTORIES","FQ3 2024","FQ3 2024","Currency=USD","Period=FQ","BEST_FPERIOD_OVERRIDE=FQ","FILING_STATUS=MR","SCALING_FORMAT=MLN","Sort=A","Dates=H","DateFormat=P","Fill=—","Direction=H","UseDPDF=Y")</f>
        <v>2644.8</v>
      </c>
      <c r="AB13" s="13" cm="1">
        <f t="array" ref="AB13">_xll.BDH("PCAR US Equity","BS_INVENTORIES","FQ4 2024","FQ4 2024","Currency=USD","Period=FQ","BEST_FPERIOD_OVERRIDE=FQ","FILING_STATUS=MR","SCALING_FORMAT=MLN","Sort=A","Dates=H","DateFormat=P","Fill=—","Direction=H","UseDPDF=Y")</f>
        <v>2367.1</v>
      </c>
      <c r="AC13" s="13" cm="1">
        <f t="array" ref="AC13">_xll.BDH("PCAR US Equity","BS_INVENTORIES","FQ1 2025","FQ1 2025","Currency=USD","Period=FQ","BEST_FPERIOD_OVERRIDE=FQ","FILING_STATUS=MR","SCALING_FORMAT=MLN","Sort=A","Dates=H","DateFormat=P","Fill=—","Direction=H","UseDPDF=Y")</f>
        <v>2375.6</v>
      </c>
      <c r="AD13" s="13" cm="1">
        <f t="array" ref="AD13">_xll.BDH("PCAR US Equity","BS_INVENTORIES","FQ2 2025","FQ2 2025","Currency=USD","Period=FQ","BEST_FPERIOD_OVERRIDE=FQ","FILING_STATUS=MR","SCALING_FORMAT=MLN","Sort=A","Dates=H","DateFormat=P","Fill=—","Direction=H","UseDPDF=Y")</f>
        <v>2456.6999999999998</v>
      </c>
      <c r="AE13" s="13" cm="1">
        <f t="array" ref="AE13">_xll.BDH("PCAR US Equity","BS_INVENTORIES","FQ3 2025","FQ3 2025","Currency=USD","Period=FQ","BEST_FPERIOD_OVERRIDE=FQ","FILING_STATUS=MR","SCALING_FORMAT=MLN","Sort=A","Dates=H","DateFormat=P","Fill=—","Direction=H","UseDPDF=Y")</f>
        <v>2296.9</v>
      </c>
      <c r="AF13" s="13" cm="1">
        <f t="array" ref="AF13">_xll.BDH("PCAR US Equity","BS_INVENTORIES","FQ4 2025","FQ4 2025","Currency=USD","Period=FQ","BEST_FPERIOD_OVERRIDE=FQ","FILING_STATUS=MR","SCALING_FORMAT=MLN","Sort=A","Dates=H","DateFormat=P","Fill=—","Direction=H","UseDPDF=Y")</f>
        <v>2187.5</v>
      </c>
    </row>
    <row r="14" spans="1:32" x14ac:dyDescent="0.25">
      <c r="A14" s="10" t="s">
        <v>80</v>
      </c>
      <c r="B14" s="10" t="s">
        <v>81</v>
      </c>
      <c r="C14" s="13" cm="1">
        <f t="array" ref="C14">_xll.BDH("PCAR US Equity","INVTRY_RAW_MATERIALS","FQ3 2018","FQ3 2018","Currency=USD","Period=FQ","BEST_FPERIOD_OVERRIDE=FQ","FILING_STATUS=MR","SCALING_FORMAT=MLN","Sort=A","Dates=H","DateFormat=P","Fill=—","Direction=H","UseDPDF=Y")</f>
        <v>0</v>
      </c>
      <c r="D14" s="13" cm="1">
        <f t="array" ref="D14">_xll.BDH("PCAR US Equity","INVTRY_RAW_MATERIALS","FQ4 2018","FQ4 2018","Currency=USD","Period=FQ","BEST_FPERIOD_OVERRIDE=FQ","FILING_STATUS=MR","SCALING_FORMAT=MLN","Sort=A","Dates=H","DateFormat=P","Fill=—","Direction=H","UseDPDF=Y")</f>
        <v>0</v>
      </c>
      <c r="E14" s="13" cm="1">
        <f t="array" ref="E14">_xll.BDH("PCAR US Equity","INVTRY_RAW_MATERIALS","FQ1 2019","FQ1 2019","Currency=USD","Period=FQ","BEST_FPERIOD_OVERRIDE=FQ","FILING_STATUS=MR","SCALING_FORMAT=MLN","Sort=A","Dates=H","DateFormat=P","Fill=—","Direction=H","UseDPDF=Y")</f>
        <v>0</v>
      </c>
      <c r="F14" s="13" cm="1">
        <f t="array" ref="F14">_xll.BDH("PCAR US Equity","INVTRY_RAW_MATERIALS","FQ2 2019","FQ2 2019","Currency=USD","Period=FQ","BEST_FPERIOD_OVERRIDE=FQ","FILING_STATUS=MR","SCALING_FORMAT=MLN","Sort=A","Dates=H","DateFormat=P","Fill=—","Direction=H","UseDPDF=Y")</f>
        <v>0</v>
      </c>
      <c r="G14" s="13" cm="1">
        <f t="array" ref="G14">_xll.BDH("PCAR US Equity","INVTRY_RAW_MATERIALS","FQ3 2019","FQ3 2019","Currency=USD","Period=FQ","BEST_FPERIOD_OVERRIDE=FQ","FILING_STATUS=MR","SCALING_FORMAT=MLN","Sort=A","Dates=H","DateFormat=P","Fill=—","Direction=H","UseDPDF=Y")</f>
        <v>0</v>
      </c>
      <c r="H14" s="13" cm="1">
        <f t="array" ref="H14">_xll.BDH("PCAR US Equity","INVTRY_RAW_MATERIALS","FQ4 2019","FQ4 2019","Currency=USD","Period=FQ","BEST_FPERIOD_OVERRIDE=FQ","FILING_STATUS=MR","SCALING_FORMAT=MLN","Sort=A","Dates=H","DateFormat=P","Fill=—","Direction=H","UseDPDF=Y")</f>
        <v>0</v>
      </c>
      <c r="I14" s="13" cm="1">
        <f t="array" ref="I14">_xll.BDH("PCAR US Equity","INVTRY_RAW_MATERIALS","FQ1 2020","FQ1 2020","Currency=USD","Period=FQ","BEST_FPERIOD_OVERRIDE=FQ","FILING_STATUS=MR","SCALING_FORMAT=MLN","Sort=A","Dates=H","DateFormat=P","Fill=—","Direction=H","UseDPDF=Y")</f>
        <v>0</v>
      </c>
      <c r="J14" s="13" cm="1">
        <f t="array" ref="J14">_xll.BDH("PCAR US Equity","INVTRY_RAW_MATERIALS","FQ2 2020","FQ2 2020","Currency=USD","Period=FQ","BEST_FPERIOD_OVERRIDE=FQ","FILING_STATUS=MR","SCALING_FORMAT=MLN","Sort=A","Dates=H","DateFormat=P","Fill=—","Direction=H","UseDPDF=Y")</f>
        <v>0</v>
      </c>
      <c r="K14" s="13" cm="1">
        <f t="array" ref="K14">_xll.BDH("PCAR US Equity","INVTRY_RAW_MATERIALS","FQ3 2020","FQ3 2020","Currency=USD","Period=FQ","BEST_FPERIOD_OVERRIDE=FQ","FILING_STATUS=MR","SCALING_FORMAT=MLN","Sort=A","Dates=H","DateFormat=P","Fill=—","Direction=H","UseDPDF=Y")</f>
        <v>0</v>
      </c>
      <c r="L14" s="13" cm="1">
        <f t="array" ref="L14">_xll.BDH("PCAR US Equity","INVTRY_RAW_MATERIALS","FQ4 2020","FQ4 2020","Currency=USD","Period=FQ","BEST_FPERIOD_OVERRIDE=FQ","FILING_STATUS=MR","SCALING_FORMAT=MLN","Sort=A","Dates=H","DateFormat=P","Fill=—","Direction=H","UseDPDF=Y")</f>
        <v>0</v>
      </c>
      <c r="M14" s="13" cm="1">
        <f t="array" ref="M14">_xll.BDH("PCAR US Equity","INVTRY_RAW_MATERIALS","FQ1 2021","FQ1 2021","Currency=USD","Period=FQ","BEST_FPERIOD_OVERRIDE=FQ","FILING_STATUS=MR","SCALING_FORMAT=MLN","Sort=A","Dates=H","DateFormat=P","Fill=—","Direction=H","UseDPDF=Y")</f>
        <v>0</v>
      </c>
      <c r="N14" s="13" cm="1">
        <f t="array" ref="N14">_xll.BDH("PCAR US Equity","INVTRY_RAW_MATERIALS","FQ2 2021","FQ2 2021","Currency=USD","Period=FQ","BEST_FPERIOD_OVERRIDE=FQ","FILING_STATUS=MR","SCALING_FORMAT=MLN","Sort=A","Dates=H","DateFormat=P","Fill=—","Direction=H","UseDPDF=Y")</f>
        <v>0</v>
      </c>
      <c r="O14" s="13" cm="1">
        <f t="array" ref="O14">_xll.BDH("PCAR US Equity","INVTRY_RAW_MATERIALS","FQ3 2021","FQ3 2021","Currency=USD","Period=FQ","BEST_FPERIOD_OVERRIDE=FQ","FILING_STATUS=MR","SCALING_FORMAT=MLN","Sort=A","Dates=H","DateFormat=P","Fill=—","Direction=H","UseDPDF=Y")</f>
        <v>0</v>
      </c>
      <c r="P14" s="13" cm="1">
        <f t="array" ref="P14">_xll.BDH("PCAR US Equity","INVTRY_RAW_MATERIALS","FQ4 2021","FQ4 2021","Currency=USD","Period=FQ","BEST_FPERIOD_OVERRIDE=FQ","FILING_STATUS=MR","SCALING_FORMAT=MLN","Sort=A","Dates=H","DateFormat=P","Fill=—","Direction=H","UseDPDF=Y")</f>
        <v>0</v>
      </c>
      <c r="Q14" s="13" cm="1">
        <f t="array" ref="Q14">_xll.BDH("PCAR US Equity","INVTRY_RAW_MATERIALS","FQ1 2022","FQ1 2022","Currency=USD","Period=FQ","BEST_FPERIOD_OVERRIDE=FQ","FILING_STATUS=MR","SCALING_FORMAT=MLN","Sort=A","Dates=H","DateFormat=P","Fill=—","Direction=H","UseDPDF=Y")</f>
        <v>0</v>
      </c>
      <c r="R14" s="13" cm="1">
        <f t="array" ref="R14">_xll.BDH("PCAR US Equity","INVTRY_RAW_MATERIALS","FQ2 2022","FQ2 2022","Currency=USD","Period=FQ","BEST_FPERIOD_OVERRIDE=FQ","FILING_STATUS=MR","SCALING_FORMAT=MLN","Sort=A","Dates=H","DateFormat=P","Fill=—","Direction=H","UseDPDF=Y")</f>
        <v>0</v>
      </c>
      <c r="S14" s="13" cm="1">
        <f t="array" ref="S14">_xll.BDH("PCAR US Equity","INVTRY_RAW_MATERIALS","FQ3 2022","FQ3 2022","Currency=USD","Period=FQ","BEST_FPERIOD_OVERRIDE=FQ","FILING_STATUS=MR","SCALING_FORMAT=MLN","Sort=A","Dates=H","DateFormat=P","Fill=—","Direction=H","UseDPDF=Y")</f>
        <v>0</v>
      </c>
      <c r="T14" s="13" cm="1">
        <f t="array" ref="T14">_xll.BDH("PCAR US Equity","INVTRY_RAW_MATERIALS","FQ4 2022","FQ4 2022","Currency=USD","Period=FQ","BEST_FPERIOD_OVERRIDE=FQ","FILING_STATUS=MR","SCALING_FORMAT=MLN","Sort=A","Dates=H","DateFormat=P","Fill=—","Direction=H","UseDPDF=Y")</f>
        <v>0</v>
      </c>
      <c r="U14" s="13" cm="1">
        <f t="array" ref="U14">_xll.BDH("PCAR US Equity","INVTRY_RAW_MATERIALS","FQ1 2023","FQ1 2023","Currency=USD","Period=FQ","BEST_FPERIOD_OVERRIDE=FQ","FILING_STATUS=MR","SCALING_FORMAT=MLN","Sort=A","Dates=H","DateFormat=P","Fill=—","Direction=H","UseDPDF=Y")</f>
        <v>0</v>
      </c>
      <c r="V14" s="13" cm="1">
        <f t="array" ref="V14">_xll.BDH("PCAR US Equity","INVTRY_RAW_MATERIALS","FQ2 2023","FQ2 2023","Currency=USD","Period=FQ","BEST_FPERIOD_OVERRIDE=FQ","FILING_STATUS=MR","SCALING_FORMAT=MLN","Sort=A","Dates=H","DateFormat=P","Fill=—","Direction=H","UseDPDF=Y")</f>
        <v>0</v>
      </c>
      <c r="W14" s="13" cm="1">
        <f t="array" ref="W14">_xll.BDH("PCAR US Equity","INVTRY_RAW_MATERIALS","FQ3 2023","FQ3 2023","Currency=USD","Period=FQ","BEST_FPERIOD_OVERRIDE=FQ","FILING_STATUS=MR","SCALING_FORMAT=MLN","Sort=A","Dates=H","DateFormat=P","Fill=—","Direction=H","UseDPDF=Y")</f>
        <v>0</v>
      </c>
      <c r="X14" s="13" cm="1">
        <f t="array" ref="X14">_xll.BDH("PCAR US Equity","INVTRY_RAW_MATERIALS","FQ4 2023","FQ4 2023","Currency=USD","Period=FQ","BEST_FPERIOD_OVERRIDE=FQ","FILING_STATUS=MR","SCALING_FORMAT=MLN","Sort=A","Dates=H","DateFormat=P","Fill=—","Direction=H","UseDPDF=Y")</f>
        <v>0</v>
      </c>
      <c r="Y14" s="13" cm="1">
        <f t="array" ref="Y14">_xll.BDH("PCAR US Equity","INVTRY_RAW_MATERIALS","FQ1 2024","FQ1 2024","Currency=USD","Period=FQ","BEST_FPERIOD_OVERRIDE=FQ","FILING_STATUS=MR","SCALING_FORMAT=MLN","Sort=A","Dates=H","DateFormat=P","Fill=—","Direction=H","UseDPDF=Y")</f>
        <v>0</v>
      </c>
      <c r="Z14" s="13" cm="1">
        <f t="array" ref="Z14">_xll.BDH("PCAR US Equity","INVTRY_RAW_MATERIALS","FQ2 2024","FQ2 2024","Currency=USD","Period=FQ","BEST_FPERIOD_OVERRIDE=FQ","FILING_STATUS=MR","SCALING_FORMAT=MLN","Sort=A","Dates=H","DateFormat=P","Fill=—","Direction=H","UseDPDF=Y")</f>
        <v>0</v>
      </c>
      <c r="AA14" s="13" cm="1">
        <f t="array" ref="AA14">_xll.BDH("PCAR US Equity","INVTRY_RAW_MATERIALS","FQ3 2024","FQ3 2024","Currency=USD","Period=FQ","BEST_FPERIOD_OVERRIDE=FQ","FILING_STATUS=MR","SCALING_FORMAT=MLN","Sort=A","Dates=H","DateFormat=P","Fill=—","Direction=H","UseDPDF=Y")</f>
        <v>0</v>
      </c>
      <c r="AB14" s="13" cm="1">
        <f t="array" ref="AB14">_xll.BDH("PCAR US Equity","INVTRY_RAW_MATERIALS","FQ4 2024","FQ4 2024","Currency=USD","Period=FQ","BEST_FPERIOD_OVERRIDE=FQ","FILING_STATUS=MR","SCALING_FORMAT=MLN","Sort=A","Dates=H","DateFormat=P","Fill=—","Direction=H","UseDPDF=Y")</f>
        <v>0</v>
      </c>
      <c r="AC14" s="13" cm="1">
        <f t="array" ref="AC14">_xll.BDH("PCAR US Equity","INVTRY_RAW_MATERIALS","FQ1 2025","FQ1 2025","Currency=USD","Period=FQ","BEST_FPERIOD_OVERRIDE=FQ","FILING_STATUS=MR","SCALING_FORMAT=MLN","Sort=A","Dates=H","DateFormat=P","Fill=—","Direction=H","UseDPDF=Y")</f>
        <v>0</v>
      </c>
      <c r="AD14" s="13" cm="1">
        <f t="array" ref="AD14">_xll.BDH("PCAR US Equity","INVTRY_RAW_MATERIALS","FQ2 2025","FQ2 2025","Currency=USD","Period=FQ","BEST_FPERIOD_OVERRIDE=FQ","FILING_STATUS=MR","SCALING_FORMAT=MLN","Sort=A","Dates=H","DateFormat=P","Fill=—","Direction=H","UseDPDF=Y")</f>
        <v>0</v>
      </c>
      <c r="AE14" s="13" cm="1">
        <f t="array" ref="AE14">_xll.BDH("PCAR US Equity","INVTRY_RAW_MATERIALS","FQ3 2025","FQ3 2025","Currency=USD","Period=FQ","BEST_FPERIOD_OVERRIDE=FQ","FILING_STATUS=MR","SCALING_FORMAT=MLN","Sort=A","Dates=H","DateFormat=P","Fill=—","Direction=H","UseDPDF=Y")</f>
        <v>0</v>
      </c>
      <c r="AF14" s="13" t="str" cm="1">
        <f t="array" ref="AF14">_xll.BDH("PCAR US Equity","INVTRY_RAW_MATERIALS","FQ4 2025","FQ4 2025","Currency=USD","Period=FQ","BEST_FPERIOD_OVERRIDE=FQ","FILING_STATUS=MR","SCALING_FORMAT=MLN","Sort=A","Dates=H","DateFormat=P","Fill=—","Direction=H","UseDPDF=Y")</f>
        <v>—</v>
      </c>
    </row>
    <row r="15" spans="1:32" x14ac:dyDescent="0.25">
      <c r="A15" s="10" t="s">
        <v>82</v>
      </c>
      <c r="B15" s="10" t="s">
        <v>83</v>
      </c>
      <c r="C15" s="13" cm="1">
        <f t="array" ref="C15">_xll.BDH("PCAR US Equity","INVTRY_IN_PROGRESS","FQ3 2018","FQ3 2018","Currency=USD","Period=FQ","BEST_FPERIOD_OVERRIDE=FQ","FILING_STATUS=MR","SCALING_FORMAT=MLN","Sort=A","Dates=H","DateFormat=P","Fill=—","Direction=H","UseDPDF=Y")</f>
        <v>834.2</v>
      </c>
      <c r="D15" s="13" cm="1">
        <f t="array" ref="D15">_xll.BDH("PCAR US Equity","INVTRY_IN_PROGRESS","FQ4 2018","FQ4 2018","Currency=USD","Period=FQ","BEST_FPERIOD_OVERRIDE=FQ","FILING_STATUS=MR","SCALING_FORMAT=MLN","Sort=A","Dates=H","DateFormat=P","Fill=—","Direction=H","UseDPDF=Y")</f>
        <v>803.3</v>
      </c>
      <c r="E15" s="13" cm="1">
        <f t="array" ref="E15">_xll.BDH("PCAR US Equity","INVTRY_IN_PROGRESS","FQ1 2019","FQ1 2019","Currency=USD","Period=FQ","BEST_FPERIOD_OVERRIDE=FQ","FILING_STATUS=MR","SCALING_FORMAT=MLN","Sort=A","Dates=H","DateFormat=P","Fill=—","Direction=H","UseDPDF=Y")</f>
        <v>814.6</v>
      </c>
      <c r="F15" s="13" cm="1">
        <f t="array" ref="F15">_xll.BDH("PCAR US Equity","INVTRY_IN_PROGRESS","FQ2 2019","FQ2 2019","Currency=USD","Period=FQ","BEST_FPERIOD_OVERRIDE=FQ","FILING_STATUS=MR","SCALING_FORMAT=MLN","Sort=A","Dates=H","DateFormat=P","Fill=—","Direction=H","UseDPDF=Y")</f>
        <v>874.6</v>
      </c>
      <c r="G15" s="13" cm="1">
        <f t="array" ref="G15">_xll.BDH("PCAR US Equity","INVTRY_IN_PROGRESS","FQ3 2019","FQ3 2019","Currency=USD","Period=FQ","BEST_FPERIOD_OVERRIDE=FQ","FILING_STATUS=MR","SCALING_FORMAT=MLN","Sort=A","Dates=H","DateFormat=P","Fill=—","Direction=H","UseDPDF=Y")</f>
        <v>848.7</v>
      </c>
      <c r="H15" s="13" cm="1">
        <f t="array" ref="H15">_xll.BDH("PCAR US Equity","INVTRY_IN_PROGRESS","FQ4 2019","FQ4 2019","Currency=USD","Period=FQ","BEST_FPERIOD_OVERRIDE=FQ","FILING_STATUS=MR","SCALING_FORMAT=MLN","Sort=A","Dates=H","DateFormat=P","Fill=—","Direction=H","UseDPDF=Y")</f>
        <v>754.9</v>
      </c>
      <c r="I15" s="13" cm="1">
        <f t="array" ref="I15">_xll.BDH("PCAR US Equity","INVTRY_IN_PROGRESS","FQ1 2020","FQ1 2020","Currency=USD","Period=FQ","BEST_FPERIOD_OVERRIDE=FQ","FILING_STATUS=MR","SCALING_FORMAT=MLN","Sort=A","Dates=H","DateFormat=P","Fill=—","Direction=H","UseDPDF=Y")</f>
        <v>790.9</v>
      </c>
      <c r="J15" s="13" cm="1">
        <f t="array" ref="J15">_xll.BDH("PCAR US Equity","INVTRY_IN_PROGRESS","FQ2 2020","FQ2 2020","Currency=USD","Period=FQ","BEST_FPERIOD_OVERRIDE=FQ","FILING_STATUS=MR","SCALING_FORMAT=MLN","Sort=A","Dates=H","DateFormat=P","Fill=—","Direction=H","UseDPDF=Y")</f>
        <v>685</v>
      </c>
      <c r="K15" s="13" cm="1">
        <f t="array" ref="K15">_xll.BDH("PCAR US Equity","INVTRY_IN_PROGRESS","FQ3 2020","FQ3 2020","Currency=USD","Period=FQ","BEST_FPERIOD_OVERRIDE=FQ","FILING_STATUS=MR","SCALING_FORMAT=MLN","Sort=A","Dates=H","DateFormat=P","Fill=—","Direction=H","UseDPDF=Y")</f>
        <v>685.5</v>
      </c>
      <c r="L15" s="13" cm="1">
        <f t="array" ref="L15">_xll.BDH("PCAR US Equity","INVTRY_IN_PROGRESS","FQ4 2020","FQ4 2020","Currency=USD","Period=FQ","BEST_FPERIOD_OVERRIDE=FQ","FILING_STATUS=MR","SCALING_FORMAT=MLN","Sort=A","Dates=H","DateFormat=P","Fill=—","Direction=H","UseDPDF=Y")</f>
        <v>801.9</v>
      </c>
      <c r="M15" s="13" cm="1">
        <f t="array" ref="M15">_xll.BDH("PCAR US Equity","INVTRY_IN_PROGRESS","FQ1 2021","FQ1 2021","Currency=USD","Period=FQ","BEST_FPERIOD_OVERRIDE=FQ","FILING_STATUS=MR","SCALING_FORMAT=MLN","Sort=A","Dates=H","DateFormat=P","Fill=—","Direction=H","UseDPDF=Y")</f>
        <v>1033.2</v>
      </c>
      <c r="N15" s="13" cm="1">
        <f t="array" ref="N15">_xll.BDH("PCAR US Equity","INVTRY_IN_PROGRESS","FQ2 2021","FQ2 2021","Currency=USD","Period=FQ","BEST_FPERIOD_OVERRIDE=FQ","FILING_STATUS=MR","SCALING_FORMAT=MLN","Sort=A","Dates=H","DateFormat=P","Fill=—","Direction=H","UseDPDF=Y")</f>
        <v>1602.6</v>
      </c>
      <c r="O15" s="13" cm="1">
        <f t="array" ref="O15">_xll.BDH("PCAR US Equity","INVTRY_IN_PROGRESS","FQ3 2021","FQ3 2021","Currency=USD","Period=FQ","BEST_FPERIOD_OVERRIDE=FQ","FILING_STATUS=MR","SCALING_FORMAT=MLN","Sort=A","Dates=H","DateFormat=P","Fill=—","Direction=H","UseDPDF=Y")</f>
        <v>2027.4</v>
      </c>
      <c r="P15" s="13" cm="1">
        <f t="array" ref="P15">_xll.BDH("PCAR US Equity","INVTRY_IN_PROGRESS","FQ4 2021","FQ4 2021","Currency=USD","Period=FQ","BEST_FPERIOD_OVERRIDE=FQ","FILING_STATUS=MR","SCALING_FORMAT=MLN","Sort=A","Dates=H","DateFormat=P","Fill=—","Direction=H","UseDPDF=Y")</f>
        <v>1300</v>
      </c>
      <c r="Q15" s="13" cm="1">
        <f t="array" ref="Q15">_xll.BDH("PCAR US Equity","INVTRY_IN_PROGRESS","FQ1 2022","FQ1 2022","Currency=USD","Period=FQ","BEST_FPERIOD_OVERRIDE=FQ","FILING_STATUS=MR","SCALING_FORMAT=MLN","Sort=A","Dates=H","DateFormat=P","Fill=—","Direction=H","UseDPDF=Y")</f>
        <v>1472.2</v>
      </c>
      <c r="R15" s="13" cm="1">
        <f t="array" ref="R15">_xll.BDH("PCAR US Equity","INVTRY_IN_PROGRESS","FQ2 2022","FQ2 2022","Currency=USD","Period=FQ","BEST_FPERIOD_OVERRIDE=FQ","FILING_STATUS=MR","SCALING_FORMAT=MLN","Sort=A","Dates=H","DateFormat=P","Fill=—","Direction=H","UseDPDF=Y")</f>
        <v>1440.1</v>
      </c>
      <c r="S15" s="13" cm="1">
        <f t="array" ref="S15">_xll.BDH("PCAR US Equity","INVTRY_IN_PROGRESS","FQ3 2022","FQ3 2022","Currency=USD","Period=FQ","BEST_FPERIOD_OVERRIDE=FQ","FILING_STATUS=MR","SCALING_FORMAT=MLN","Sort=A","Dates=H","DateFormat=P","Fill=—","Direction=H","UseDPDF=Y")</f>
        <v>1555.6</v>
      </c>
      <c r="T15" s="13" cm="1">
        <f t="array" ref="T15">_xll.BDH("PCAR US Equity","INVTRY_IN_PROGRESS","FQ4 2022","FQ4 2022","Currency=USD","Period=FQ","BEST_FPERIOD_OVERRIDE=FQ","FILING_STATUS=MR","SCALING_FORMAT=MLN","Sort=A","Dates=H","DateFormat=P","Fill=—","Direction=H","UseDPDF=Y")</f>
        <v>1327</v>
      </c>
      <c r="U15" s="13" cm="1">
        <f t="array" ref="U15">_xll.BDH("PCAR US Equity","INVTRY_IN_PROGRESS","FQ1 2023","FQ1 2023","Currency=USD","Period=FQ","BEST_FPERIOD_OVERRIDE=FQ","FILING_STATUS=MR","SCALING_FORMAT=MLN","Sort=A","Dates=H","DateFormat=P","Fill=—","Direction=H","UseDPDF=Y")</f>
        <v>1586.7</v>
      </c>
      <c r="V15" s="13" cm="1">
        <f t="array" ref="V15">_xll.BDH("PCAR US Equity","INVTRY_IN_PROGRESS","FQ2 2023","FQ2 2023","Currency=USD","Period=FQ","BEST_FPERIOD_OVERRIDE=FQ","FILING_STATUS=MR","SCALING_FORMAT=MLN","Sort=A","Dates=H","DateFormat=P","Fill=—","Direction=H","UseDPDF=Y")</f>
        <v>1623.4</v>
      </c>
      <c r="W15" s="13" cm="1">
        <f t="array" ref="W15">_xll.BDH("PCAR US Equity","INVTRY_IN_PROGRESS","FQ3 2023","FQ3 2023","Currency=USD","Period=FQ","BEST_FPERIOD_OVERRIDE=FQ","FILING_STATUS=MR","SCALING_FORMAT=MLN","Sort=A","Dates=H","DateFormat=P","Fill=—","Direction=H","UseDPDF=Y")</f>
        <v>1520.2</v>
      </c>
      <c r="X15" s="13" cm="1">
        <f t="array" ref="X15">_xll.BDH("PCAR US Equity","INVTRY_IN_PROGRESS","FQ4 2023","FQ4 2023","Currency=USD","Period=FQ","BEST_FPERIOD_OVERRIDE=FQ","FILING_STATUS=MR","SCALING_FORMAT=MLN","Sort=A","Dates=H","DateFormat=P","Fill=—","Direction=H","UseDPDF=Y")</f>
        <v>1492.7</v>
      </c>
      <c r="Y15" s="13" cm="1">
        <f t="array" ref="Y15">_xll.BDH("PCAR US Equity","INVTRY_IN_PROGRESS","FQ1 2024","FQ1 2024","Currency=USD","Period=FQ","BEST_FPERIOD_OVERRIDE=FQ","FILING_STATUS=MR","SCALING_FORMAT=MLN","Sort=A","Dates=H","DateFormat=P","Fill=—","Direction=H","UseDPDF=Y")</f>
        <v>1575.3</v>
      </c>
      <c r="Z15" s="13" cm="1">
        <f t="array" ref="Z15">_xll.BDH("PCAR US Equity","INVTRY_IN_PROGRESS","FQ2 2024","FQ2 2024","Currency=USD","Period=FQ","BEST_FPERIOD_OVERRIDE=FQ","FILING_STATUS=MR","SCALING_FORMAT=MLN","Sort=A","Dates=H","DateFormat=P","Fill=—","Direction=H","UseDPDF=Y")</f>
        <v>1553</v>
      </c>
      <c r="AA15" s="13" cm="1">
        <f t="array" ref="AA15">_xll.BDH("PCAR US Equity","INVTRY_IN_PROGRESS","FQ3 2024","FQ3 2024","Currency=USD","Period=FQ","BEST_FPERIOD_OVERRIDE=FQ","FILING_STATUS=MR","SCALING_FORMAT=MLN","Sort=A","Dates=H","DateFormat=P","Fill=—","Direction=H","UseDPDF=Y")</f>
        <v>1391.1</v>
      </c>
      <c r="AB15" s="13" cm="1">
        <f t="array" ref="AB15">_xll.BDH("PCAR US Equity","INVTRY_IN_PROGRESS","FQ4 2024","FQ4 2024","Currency=USD","Period=FQ","BEST_FPERIOD_OVERRIDE=FQ","FILING_STATUS=MR","SCALING_FORMAT=MLN","Sort=A","Dates=H","DateFormat=P","Fill=—","Direction=H","UseDPDF=Y")</f>
        <v>1390</v>
      </c>
      <c r="AC15" s="13" cm="1">
        <f t="array" ref="AC15">_xll.BDH("PCAR US Equity","INVTRY_IN_PROGRESS","FQ1 2025","FQ1 2025","Currency=USD","Period=FQ","BEST_FPERIOD_OVERRIDE=FQ","FILING_STATUS=MR","SCALING_FORMAT=MLN","Sort=A","Dates=H","DateFormat=P","Fill=—","Direction=H","UseDPDF=Y")</f>
        <v>1343.7</v>
      </c>
      <c r="AD15" s="13" cm="1">
        <f t="array" ref="AD15">_xll.BDH("PCAR US Equity","INVTRY_IN_PROGRESS","FQ2 2025","FQ2 2025","Currency=USD","Period=FQ","BEST_FPERIOD_OVERRIDE=FQ","FILING_STATUS=MR","SCALING_FORMAT=MLN","Sort=A","Dates=H","DateFormat=P","Fill=—","Direction=H","UseDPDF=Y")</f>
        <v>1326.3</v>
      </c>
      <c r="AE15" s="13" cm="1">
        <f t="array" ref="AE15">_xll.BDH("PCAR US Equity","INVTRY_IN_PROGRESS","FQ3 2025","FQ3 2025","Currency=USD","Period=FQ","BEST_FPERIOD_OVERRIDE=FQ","FILING_STATUS=MR","SCALING_FORMAT=MLN","Sort=A","Dates=H","DateFormat=P","Fill=—","Direction=H","UseDPDF=Y")</f>
        <v>1160.8</v>
      </c>
      <c r="AF15" s="13" t="str" cm="1">
        <f t="array" ref="AF15">_xll.BDH("PCAR US Equity","INVTRY_IN_PROGRESS","FQ4 2025","FQ4 2025","Currency=USD","Period=FQ","BEST_FPERIOD_OVERRIDE=FQ","FILING_STATUS=MR","SCALING_FORMAT=MLN","Sort=A","Dates=H","DateFormat=P","Fill=—","Direction=H","UseDPDF=Y")</f>
        <v>—</v>
      </c>
    </row>
    <row r="16" spans="1:32" x14ac:dyDescent="0.25">
      <c r="A16" s="10" t="s">
        <v>84</v>
      </c>
      <c r="B16" s="10" t="s">
        <v>85</v>
      </c>
      <c r="C16" s="13" cm="1">
        <f t="array" ref="C16">_xll.BDH("PCAR US Equity","INVTRY_FINISHED_GOODS","FQ3 2018","FQ3 2018","Currency=USD","Period=FQ","BEST_FPERIOD_OVERRIDE=FQ","FILING_STATUS=MR","SCALING_FORMAT=MLN","Sort=A","Dates=H","DateFormat=P","Fill=—","Direction=H","UseDPDF=Y")</f>
        <v>637.6</v>
      </c>
      <c r="D16" s="13" cm="1">
        <f t="array" ref="D16">_xll.BDH("PCAR US Equity","INVTRY_FINISHED_GOODS","FQ4 2018","FQ4 2018","Currency=USD","Period=FQ","BEST_FPERIOD_OVERRIDE=FQ","FILING_STATUS=MR","SCALING_FORMAT=MLN","Sort=A","Dates=H","DateFormat=P","Fill=—","Direction=H","UseDPDF=Y")</f>
        <v>563.20000000000005</v>
      </c>
      <c r="E16" s="13" cm="1">
        <f t="array" ref="E16">_xll.BDH("PCAR US Equity","INVTRY_FINISHED_GOODS","FQ1 2019","FQ1 2019","Currency=USD","Period=FQ","BEST_FPERIOD_OVERRIDE=FQ","FILING_STATUS=MR","SCALING_FORMAT=MLN","Sort=A","Dates=H","DateFormat=P","Fill=—","Direction=H","UseDPDF=Y")</f>
        <v>641.79999999999995</v>
      </c>
      <c r="F16" s="13" cm="1">
        <f t="array" ref="F16">_xll.BDH("PCAR US Equity","INVTRY_FINISHED_GOODS","FQ2 2019","FQ2 2019","Currency=USD","Period=FQ","BEST_FPERIOD_OVERRIDE=FQ","FILING_STATUS=MR","SCALING_FORMAT=MLN","Sort=A","Dates=H","DateFormat=P","Fill=—","Direction=H","UseDPDF=Y")</f>
        <v>646.70000000000005</v>
      </c>
      <c r="G16" s="13" cm="1">
        <f t="array" ref="G16">_xll.BDH("PCAR US Equity","INVTRY_FINISHED_GOODS","FQ3 2019","FQ3 2019","Currency=USD","Period=FQ","BEST_FPERIOD_OVERRIDE=FQ","FILING_STATUS=MR","SCALING_FORMAT=MLN","Sort=A","Dates=H","DateFormat=P","Fill=—","Direction=H","UseDPDF=Y")</f>
        <v>629.70000000000005</v>
      </c>
      <c r="H16" s="13" cm="1">
        <f t="array" ref="H16">_xll.BDH("PCAR US Equity","INVTRY_FINISHED_GOODS","FQ4 2019","FQ4 2019","Currency=USD","Period=FQ","BEST_FPERIOD_OVERRIDE=FQ","FILING_STATUS=MR","SCALING_FORMAT=MLN","Sort=A","Dates=H","DateFormat=P","Fill=—","Direction=H","UseDPDF=Y")</f>
        <v>584.6</v>
      </c>
      <c r="I16" s="13" cm="1">
        <f t="array" ref="I16">_xll.BDH("PCAR US Equity","INVTRY_FINISHED_GOODS","FQ1 2020","FQ1 2020","Currency=USD","Period=FQ","BEST_FPERIOD_OVERRIDE=FQ","FILING_STATUS=MR","SCALING_FORMAT=MLN","Sort=A","Dates=H","DateFormat=P","Fill=—","Direction=H","UseDPDF=Y")</f>
        <v>665.9</v>
      </c>
      <c r="J16" s="13" cm="1">
        <f t="array" ref="J16">_xll.BDH("PCAR US Equity","INVTRY_FINISHED_GOODS","FQ2 2020","FQ2 2020","Currency=USD","Period=FQ","BEST_FPERIOD_OVERRIDE=FQ","FILING_STATUS=MR","SCALING_FORMAT=MLN","Sort=A","Dates=H","DateFormat=P","Fill=—","Direction=H","UseDPDF=Y")</f>
        <v>638.70000000000005</v>
      </c>
      <c r="K16" s="13" cm="1">
        <f t="array" ref="K16">_xll.BDH("PCAR US Equity","INVTRY_FINISHED_GOODS","FQ3 2020","FQ3 2020","Currency=USD","Period=FQ","BEST_FPERIOD_OVERRIDE=FQ","FILING_STATUS=MR","SCALING_FORMAT=MLN","Sort=A","Dates=H","DateFormat=P","Fill=—","Direction=H","UseDPDF=Y")</f>
        <v>627.6</v>
      </c>
      <c r="L16" s="13" cm="1">
        <f t="array" ref="L16">_xll.BDH("PCAR US Equity","INVTRY_FINISHED_GOODS","FQ4 2020","FQ4 2020","Currency=USD","Period=FQ","BEST_FPERIOD_OVERRIDE=FQ","FILING_STATUS=MR","SCALING_FORMAT=MLN","Sort=A","Dates=H","DateFormat=P","Fill=—","Direction=H","UseDPDF=Y")</f>
        <v>610</v>
      </c>
      <c r="M16" s="13" cm="1">
        <f t="array" ref="M16">_xll.BDH("PCAR US Equity","INVTRY_FINISHED_GOODS","FQ1 2021","FQ1 2021","Currency=USD","Period=FQ","BEST_FPERIOD_OVERRIDE=FQ","FILING_STATUS=MR","SCALING_FORMAT=MLN","Sort=A","Dates=H","DateFormat=P","Fill=—","Direction=H","UseDPDF=Y")</f>
        <v>623.20000000000005</v>
      </c>
      <c r="N16" s="13" cm="1">
        <f t="array" ref="N16">_xll.BDH("PCAR US Equity","INVTRY_FINISHED_GOODS","FQ2 2021","FQ2 2021","Currency=USD","Period=FQ","BEST_FPERIOD_OVERRIDE=FQ","FILING_STATUS=MR","SCALING_FORMAT=MLN","Sort=A","Dates=H","DateFormat=P","Fill=—","Direction=H","UseDPDF=Y")</f>
        <v>646.4</v>
      </c>
      <c r="O16" s="13" cm="1">
        <f t="array" ref="O16">_xll.BDH("PCAR US Equity","INVTRY_FINISHED_GOODS","FQ3 2021","FQ3 2021","Currency=USD","Period=FQ","BEST_FPERIOD_OVERRIDE=FQ","FILING_STATUS=MR","SCALING_FORMAT=MLN","Sort=A","Dates=H","DateFormat=P","Fill=—","Direction=H","UseDPDF=Y")</f>
        <v>687.5</v>
      </c>
      <c r="P16" s="13" cm="1">
        <f t="array" ref="P16">_xll.BDH("PCAR US Equity","INVTRY_FINISHED_GOODS","FQ4 2021","FQ4 2021","Currency=USD","Period=FQ","BEST_FPERIOD_OVERRIDE=FQ","FILING_STATUS=MR","SCALING_FORMAT=MLN","Sort=A","Dates=H","DateFormat=P","Fill=—","Direction=H","UseDPDF=Y")</f>
        <v>676</v>
      </c>
      <c r="Q16" s="13" cm="1">
        <f t="array" ref="Q16">_xll.BDH("PCAR US Equity","INVTRY_FINISHED_GOODS","FQ1 2022","FQ1 2022","Currency=USD","Period=FQ","BEST_FPERIOD_OVERRIDE=FQ","FILING_STATUS=MR","SCALING_FORMAT=MLN","Sort=A","Dates=H","DateFormat=P","Fill=—","Direction=H","UseDPDF=Y")</f>
        <v>749.9</v>
      </c>
      <c r="R16" s="13" cm="1">
        <f t="array" ref="R16">_xll.BDH("PCAR US Equity","INVTRY_FINISHED_GOODS","FQ2 2022","FQ2 2022","Currency=USD","Period=FQ","BEST_FPERIOD_OVERRIDE=FQ","FILING_STATUS=MR","SCALING_FORMAT=MLN","Sort=A","Dates=H","DateFormat=P","Fill=—","Direction=H","UseDPDF=Y")</f>
        <v>792.1</v>
      </c>
      <c r="S16" s="13" cm="1">
        <f t="array" ref="S16">_xll.BDH("PCAR US Equity","INVTRY_FINISHED_GOODS","FQ3 2022","FQ3 2022","Currency=USD","Period=FQ","BEST_FPERIOD_OVERRIDE=FQ","FILING_STATUS=MR","SCALING_FORMAT=MLN","Sort=A","Dates=H","DateFormat=P","Fill=—","Direction=H","UseDPDF=Y")</f>
        <v>826.5</v>
      </c>
      <c r="T16" s="13" cm="1">
        <f t="array" ref="T16">_xll.BDH("PCAR US Equity","INVTRY_FINISHED_GOODS","FQ4 2022","FQ4 2022","Currency=USD","Period=FQ","BEST_FPERIOD_OVERRIDE=FQ","FILING_STATUS=MR","SCALING_FORMAT=MLN","Sort=A","Dates=H","DateFormat=P","Fill=—","Direction=H","UseDPDF=Y")</f>
        <v>871.8</v>
      </c>
      <c r="U16" s="13" cm="1">
        <f t="array" ref="U16">_xll.BDH("PCAR US Equity","INVTRY_FINISHED_GOODS","FQ1 2023","FQ1 2023","Currency=USD","Period=FQ","BEST_FPERIOD_OVERRIDE=FQ","FILING_STATUS=MR","SCALING_FORMAT=MLN","Sort=A","Dates=H","DateFormat=P","Fill=—","Direction=H","UseDPDF=Y")</f>
        <v>1022.5</v>
      </c>
      <c r="V16" s="13" cm="1">
        <f t="array" ref="V16">_xll.BDH("PCAR US Equity","INVTRY_FINISHED_GOODS","FQ2 2023","FQ2 2023","Currency=USD","Period=FQ","BEST_FPERIOD_OVERRIDE=FQ","FILING_STATUS=MR","SCALING_FORMAT=MLN","Sort=A","Dates=H","DateFormat=P","Fill=—","Direction=H","UseDPDF=Y")</f>
        <v>1089.5</v>
      </c>
      <c r="W16" s="13" cm="1">
        <f t="array" ref="W16">_xll.BDH("PCAR US Equity","INVTRY_FINISHED_GOODS","FQ3 2023","FQ3 2023","Currency=USD","Period=FQ","BEST_FPERIOD_OVERRIDE=FQ","FILING_STATUS=MR","SCALING_FORMAT=MLN","Sort=A","Dates=H","DateFormat=P","Fill=—","Direction=H","UseDPDF=Y")</f>
        <v>1102.2</v>
      </c>
      <c r="X16" s="13" cm="1">
        <f t="array" ref="X16">_xll.BDH("PCAR US Equity","INVTRY_FINISHED_GOODS","FQ4 2023","FQ4 2023","Currency=USD","Period=FQ","BEST_FPERIOD_OVERRIDE=FQ","FILING_STATUS=MR","SCALING_FORMAT=MLN","Sort=A","Dates=H","DateFormat=P","Fill=—","Direction=H","UseDPDF=Y")</f>
        <v>1084</v>
      </c>
      <c r="Y16" s="13" cm="1">
        <f t="array" ref="Y16">_xll.BDH("PCAR US Equity","INVTRY_FINISHED_GOODS","FQ1 2024","FQ1 2024","Currency=USD","Period=FQ","BEST_FPERIOD_OVERRIDE=FQ","FILING_STATUS=MR","SCALING_FORMAT=MLN","Sort=A","Dates=H","DateFormat=P","Fill=—","Direction=H","UseDPDF=Y")</f>
        <v>1167.3</v>
      </c>
      <c r="Z16" s="13" cm="1">
        <f t="array" ref="Z16">_xll.BDH("PCAR US Equity","INVTRY_FINISHED_GOODS","FQ2 2024","FQ2 2024","Currency=USD","Period=FQ","BEST_FPERIOD_OVERRIDE=FQ","FILING_STATUS=MR","SCALING_FORMAT=MLN","Sort=A","Dates=H","DateFormat=P","Fill=—","Direction=H","UseDPDF=Y")</f>
        <v>1230</v>
      </c>
      <c r="AA16" s="13" cm="1">
        <f t="array" ref="AA16">_xll.BDH("PCAR US Equity","INVTRY_FINISHED_GOODS","FQ3 2024","FQ3 2024","Currency=USD","Period=FQ","BEST_FPERIOD_OVERRIDE=FQ","FILING_STATUS=MR","SCALING_FORMAT=MLN","Sort=A","Dates=H","DateFormat=P","Fill=—","Direction=H","UseDPDF=Y")</f>
        <v>1253.7</v>
      </c>
      <c r="AB16" s="13" cm="1">
        <f t="array" ref="AB16">_xll.BDH("PCAR US Equity","INVTRY_FINISHED_GOODS","FQ4 2024","FQ4 2024","Currency=USD","Period=FQ","BEST_FPERIOD_OVERRIDE=FQ","FILING_STATUS=MR","SCALING_FORMAT=MLN","Sort=A","Dates=H","DateFormat=P","Fill=—","Direction=H","UseDPDF=Y")</f>
        <v>977.1</v>
      </c>
      <c r="AC16" s="13" cm="1">
        <f t="array" ref="AC16">_xll.BDH("PCAR US Equity","INVTRY_FINISHED_GOODS","FQ1 2025","FQ1 2025","Currency=USD","Period=FQ","BEST_FPERIOD_OVERRIDE=FQ","FILING_STATUS=MR","SCALING_FORMAT=MLN","Sort=A","Dates=H","DateFormat=P","Fill=—","Direction=H","UseDPDF=Y")</f>
        <v>1031.9000000000001</v>
      </c>
      <c r="AD16" s="13" cm="1">
        <f t="array" ref="AD16">_xll.BDH("PCAR US Equity","INVTRY_FINISHED_GOODS","FQ2 2025","FQ2 2025","Currency=USD","Period=FQ","BEST_FPERIOD_OVERRIDE=FQ","FILING_STATUS=MR","SCALING_FORMAT=MLN","Sort=A","Dates=H","DateFormat=P","Fill=—","Direction=H","UseDPDF=Y")</f>
        <v>1130.4000000000001</v>
      </c>
      <c r="AE16" s="13" cm="1">
        <f t="array" ref="AE16">_xll.BDH("PCAR US Equity","INVTRY_FINISHED_GOODS","FQ3 2025","FQ3 2025","Currency=USD","Period=FQ","BEST_FPERIOD_OVERRIDE=FQ","FILING_STATUS=MR","SCALING_FORMAT=MLN","Sort=A","Dates=H","DateFormat=P","Fill=—","Direction=H","UseDPDF=Y")</f>
        <v>1136.0999999999999</v>
      </c>
      <c r="AF16" s="13" t="str" cm="1">
        <f t="array" ref="AF16">_xll.BDH("PCAR US Equity","INVTRY_FINISHED_GOODS","FQ4 2025","FQ4 2025","Currency=USD","Period=FQ","BEST_FPERIOD_OVERRIDE=FQ","FILING_STATUS=MR","SCALING_FORMAT=MLN","Sort=A","Dates=H","DateFormat=P","Fill=—","Direction=H","UseDPDF=Y")</f>
        <v>—</v>
      </c>
    </row>
    <row r="17" spans="1:32" x14ac:dyDescent="0.25">
      <c r="A17" s="10" t="s">
        <v>86</v>
      </c>
      <c r="B17" s="10" t="s">
        <v>87</v>
      </c>
      <c r="C17" s="13" cm="1">
        <f t="array" ref="C17">_xll.BDH("PCAR US Equity","BS_OTHER_INV","FQ3 2018","FQ3 2018","Currency=USD","Period=FQ","BEST_FPERIOD_OVERRIDE=FQ","FILING_STATUS=MR","SCALING_FORMAT=MLN","Sort=A","Dates=H","DateFormat=P","Fill=—","Direction=H","UseDPDF=Y")</f>
        <v>-179.8</v>
      </c>
      <c r="D17" s="13" cm="1">
        <f t="array" ref="D17">_xll.BDH("PCAR US Equity","BS_OTHER_INV","FQ4 2018","FQ4 2018","Currency=USD","Period=FQ","BEST_FPERIOD_OVERRIDE=FQ","FILING_STATUS=MR","SCALING_FORMAT=MLN","Sort=A","Dates=H","DateFormat=P","Fill=—","Direction=H","UseDPDF=Y")</f>
        <v>-181.8</v>
      </c>
      <c r="E17" s="13" cm="1">
        <f t="array" ref="E17">_xll.BDH("PCAR US Equity","BS_OTHER_INV","FQ1 2019","FQ1 2019","Currency=USD","Period=FQ","BEST_FPERIOD_OVERRIDE=FQ","FILING_STATUS=MR","SCALING_FORMAT=MLN","Sort=A","Dates=H","DateFormat=P","Fill=—","Direction=H","UseDPDF=Y")</f>
        <v>-183.8</v>
      </c>
      <c r="F17" s="13" cm="1">
        <f t="array" ref="F17">_xll.BDH("PCAR US Equity","BS_OTHER_INV","FQ2 2019","FQ2 2019","Currency=USD","Period=FQ","BEST_FPERIOD_OVERRIDE=FQ","FILING_STATUS=MR","SCALING_FORMAT=MLN","Sort=A","Dates=H","DateFormat=P","Fill=—","Direction=H","UseDPDF=Y")</f>
        <v>-184.7</v>
      </c>
      <c r="G17" s="13" cm="1">
        <f t="array" ref="G17">_xll.BDH("PCAR US Equity","BS_OTHER_INV","FQ3 2019","FQ3 2019","Currency=USD","Period=FQ","BEST_FPERIOD_OVERRIDE=FQ","FILING_STATUS=MR","SCALING_FORMAT=MLN","Sort=A","Dates=H","DateFormat=P","Fill=—","Direction=H","UseDPDF=Y")</f>
        <v>-185.8</v>
      </c>
      <c r="H17" s="13" cm="1">
        <f t="array" ref="H17">_xll.BDH("PCAR US Equity","BS_OTHER_INV","FQ4 2019","FQ4 2019","Currency=USD","Period=FQ","BEST_FPERIOD_OVERRIDE=FQ","FILING_STATUS=MR","SCALING_FORMAT=MLN","Sort=A","Dates=H","DateFormat=P","Fill=—","Direction=H","UseDPDF=Y")</f>
        <v>-186.3</v>
      </c>
      <c r="I17" s="13" cm="1">
        <f t="array" ref="I17">_xll.BDH("PCAR US Equity","BS_OTHER_INV","FQ1 2020","FQ1 2020","Currency=USD","Period=FQ","BEST_FPERIOD_OVERRIDE=FQ","FILING_STATUS=MR","SCALING_FORMAT=MLN","Sort=A","Dates=H","DateFormat=P","Fill=—","Direction=H","UseDPDF=Y")</f>
        <v>-186.7</v>
      </c>
      <c r="J17" s="13" cm="1">
        <f t="array" ref="J17">_xll.BDH("PCAR US Equity","BS_OTHER_INV","FQ2 2020","FQ2 2020","Currency=USD","Period=FQ","BEST_FPERIOD_OVERRIDE=FQ","FILING_STATUS=MR","SCALING_FORMAT=MLN","Sort=A","Dates=H","DateFormat=P","Fill=—","Direction=H","UseDPDF=Y")</f>
        <v>-187.3</v>
      </c>
      <c r="K17" s="13" cm="1">
        <f t="array" ref="K17">_xll.BDH("PCAR US Equity","BS_OTHER_INV","FQ3 2020","FQ3 2020","Currency=USD","Period=FQ","BEST_FPERIOD_OVERRIDE=FQ","FILING_STATUS=MR","SCALING_FORMAT=MLN","Sort=A","Dates=H","DateFormat=P","Fill=—","Direction=H","UseDPDF=Y")</f>
        <v>-188.6</v>
      </c>
      <c r="L17" s="13" cm="1">
        <f t="array" ref="L17">_xll.BDH("PCAR US Equity","BS_OTHER_INV","FQ4 2020","FQ4 2020","Currency=USD","Period=FQ","BEST_FPERIOD_OVERRIDE=FQ","FILING_STATUS=MR","SCALING_FORMAT=MLN","Sort=A","Dates=H","DateFormat=P","Fill=—","Direction=H","UseDPDF=Y")</f>
        <v>-190</v>
      </c>
      <c r="M17" s="13" cm="1">
        <f t="array" ref="M17">_xll.BDH("PCAR US Equity","BS_OTHER_INV","FQ1 2021","FQ1 2021","Currency=USD","Period=FQ","BEST_FPERIOD_OVERRIDE=FQ","FILING_STATUS=MR","SCALING_FORMAT=MLN","Sort=A","Dates=H","DateFormat=P","Fill=—","Direction=H","UseDPDF=Y")</f>
        <v>-191</v>
      </c>
      <c r="N17" s="13" cm="1">
        <f t="array" ref="N17">_xll.BDH("PCAR US Equity","BS_OTHER_INV","FQ2 2021","FQ2 2021","Currency=USD","Period=FQ","BEST_FPERIOD_OVERRIDE=FQ","FILING_STATUS=MR","SCALING_FORMAT=MLN","Sort=A","Dates=H","DateFormat=P","Fill=—","Direction=H","UseDPDF=Y")</f>
        <v>-194.4</v>
      </c>
      <c r="O17" s="13" cm="1">
        <f t="array" ref="O17">_xll.BDH("PCAR US Equity","BS_OTHER_INV","FQ3 2021","FQ3 2021","Currency=USD","Period=FQ","BEST_FPERIOD_OVERRIDE=FQ","FILING_STATUS=MR","SCALING_FORMAT=MLN","Sort=A","Dates=H","DateFormat=P","Fill=—","Direction=H","UseDPDF=Y")</f>
        <v>-198.2</v>
      </c>
      <c r="P17" s="13" cm="1">
        <f t="array" ref="P17">_xll.BDH("PCAR US Equity","BS_OTHER_INV","FQ4 2021","FQ4 2021","Currency=USD","Period=FQ","BEST_FPERIOD_OVERRIDE=FQ","FILING_STATUS=MR","SCALING_FORMAT=MLN","Sort=A","Dates=H","DateFormat=P","Fill=—","Direction=H","UseDPDF=Y")</f>
        <v>0</v>
      </c>
      <c r="Q17" s="13" cm="1">
        <f t="array" ref="Q17">_xll.BDH("PCAR US Equity","BS_OTHER_INV","FQ1 2022","FQ1 2022","Currency=USD","Period=FQ","BEST_FPERIOD_OVERRIDE=FQ","FILING_STATUS=MR","SCALING_FORMAT=MLN","Sort=A","Dates=H","DateFormat=P","Fill=—","Direction=H","UseDPDF=Y")</f>
        <v>0</v>
      </c>
      <c r="R17" s="13" cm="1">
        <f t="array" ref="R17">_xll.BDH("PCAR US Equity","BS_OTHER_INV","FQ2 2022","FQ2 2022","Currency=USD","Period=FQ","BEST_FPERIOD_OVERRIDE=FQ","FILING_STATUS=MR","SCALING_FORMAT=MLN","Sort=A","Dates=H","DateFormat=P","Fill=—","Direction=H","UseDPDF=Y")</f>
        <v>0</v>
      </c>
      <c r="S17" s="13" cm="1">
        <f t="array" ref="S17">_xll.BDH("PCAR US Equity","BS_OTHER_INV","FQ3 2022","FQ3 2022","Currency=USD","Period=FQ","BEST_FPERIOD_OVERRIDE=FQ","FILING_STATUS=MR","SCALING_FORMAT=MLN","Sort=A","Dates=H","DateFormat=P","Fill=—","Direction=H","UseDPDF=Y")</f>
        <v>0</v>
      </c>
      <c r="T17" s="13" cm="1">
        <f t="array" ref="T17">_xll.BDH("PCAR US Equity","BS_OTHER_INV","FQ4 2022","FQ4 2022","Currency=USD","Period=FQ","BEST_FPERIOD_OVERRIDE=FQ","FILING_STATUS=MR","SCALING_FORMAT=MLN","Sort=A","Dates=H","DateFormat=P","Fill=—","Direction=H","UseDPDF=Y")</f>
        <v>0</v>
      </c>
      <c r="U17" s="13" cm="1">
        <f t="array" ref="U17">_xll.BDH("PCAR US Equity","BS_OTHER_INV","FQ1 2023","FQ1 2023","Currency=USD","Period=FQ","BEST_FPERIOD_OVERRIDE=FQ","FILING_STATUS=MR","SCALING_FORMAT=MLN","Sort=A","Dates=H","DateFormat=P","Fill=—","Direction=H","UseDPDF=Y")</f>
        <v>0</v>
      </c>
      <c r="V17" s="13" cm="1">
        <f t="array" ref="V17">_xll.BDH("PCAR US Equity","BS_OTHER_INV","FQ2 2023","FQ2 2023","Currency=USD","Period=FQ","BEST_FPERIOD_OVERRIDE=FQ","FILING_STATUS=MR","SCALING_FORMAT=MLN","Sort=A","Dates=H","DateFormat=P","Fill=—","Direction=H","UseDPDF=Y")</f>
        <v>0</v>
      </c>
      <c r="W17" s="13" cm="1">
        <f t="array" ref="W17">_xll.BDH("PCAR US Equity","BS_OTHER_INV","FQ3 2023","FQ3 2023","Currency=USD","Period=FQ","BEST_FPERIOD_OVERRIDE=FQ","FILING_STATUS=MR","SCALING_FORMAT=MLN","Sort=A","Dates=H","DateFormat=P","Fill=—","Direction=H","UseDPDF=Y")</f>
        <v>0</v>
      </c>
      <c r="X17" s="13" cm="1">
        <f t="array" ref="X17">_xll.BDH("PCAR US Equity","BS_OTHER_INV","FQ4 2023","FQ4 2023","Currency=USD","Period=FQ","BEST_FPERIOD_OVERRIDE=FQ","FILING_STATUS=MR","SCALING_FORMAT=MLN","Sort=A","Dates=H","DateFormat=P","Fill=—","Direction=H","UseDPDF=Y")</f>
        <v>0</v>
      </c>
      <c r="Y17" s="13" cm="1">
        <f t="array" ref="Y17">_xll.BDH("PCAR US Equity","BS_OTHER_INV","FQ1 2024","FQ1 2024","Currency=USD","Period=FQ","BEST_FPERIOD_OVERRIDE=FQ","FILING_STATUS=MR","SCALING_FORMAT=MLN","Sort=A","Dates=H","DateFormat=P","Fill=—","Direction=H","UseDPDF=Y")</f>
        <v>0</v>
      </c>
      <c r="Z17" s="13" cm="1">
        <f t="array" ref="Z17">_xll.BDH("PCAR US Equity","BS_OTHER_INV","FQ2 2024","FQ2 2024","Currency=USD","Period=FQ","BEST_FPERIOD_OVERRIDE=FQ","FILING_STATUS=MR","SCALING_FORMAT=MLN","Sort=A","Dates=H","DateFormat=P","Fill=—","Direction=H","UseDPDF=Y")</f>
        <v>0</v>
      </c>
      <c r="AA17" s="13" cm="1">
        <f t="array" ref="AA17">_xll.BDH("PCAR US Equity","BS_OTHER_INV","FQ3 2024","FQ3 2024","Currency=USD","Period=FQ","BEST_FPERIOD_OVERRIDE=FQ","FILING_STATUS=MR","SCALING_FORMAT=MLN","Sort=A","Dates=H","DateFormat=P","Fill=—","Direction=H","UseDPDF=Y")</f>
        <v>0</v>
      </c>
      <c r="AB17" s="13" cm="1">
        <f t="array" ref="AB17">_xll.BDH("PCAR US Equity","BS_OTHER_INV","FQ4 2024","FQ4 2024","Currency=USD","Period=FQ","BEST_FPERIOD_OVERRIDE=FQ","FILING_STATUS=MR","SCALING_FORMAT=MLN","Sort=A","Dates=H","DateFormat=P","Fill=—","Direction=H","UseDPDF=Y")</f>
        <v>0</v>
      </c>
      <c r="AC17" s="13" cm="1">
        <f t="array" ref="AC17">_xll.BDH("PCAR US Equity","BS_OTHER_INV","FQ1 2025","FQ1 2025","Currency=USD","Period=FQ","BEST_FPERIOD_OVERRIDE=FQ","FILING_STATUS=MR","SCALING_FORMAT=MLN","Sort=A","Dates=H","DateFormat=P","Fill=—","Direction=H","UseDPDF=Y")</f>
        <v>0</v>
      </c>
      <c r="AD17" s="13" cm="1">
        <f t="array" ref="AD17">_xll.BDH("PCAR US Equity","BS_OTHER_INV","FQ2 2025","FQ2 2025","Currency=USD","Period=FQ","BEST_FPERIOD_OVERRIDE=FQ","FILING_STATUS=MR","SCALING_FORMAT=MLN","Sort=A","Dates=H","DateFormat=P","Fill=—","Direction=H","UseDPDF=Y")</f>
        <v>0</v>
      </c>
      <c r="AE17" s="13" cm="1">
        <f t="array" ref="AE17">_xll.BDH("PCAR US Equity","BS_OTHER_INV","FQ3 2025","FQ3 2025","Currency=USD","Period=FQ","BEST_FPERIOD_OVERRIDE=FQ","FILING_STATUS=MR","SCALING_FORMAT=MLN","Sort=A","Dates=H","DateFormat=P","Fill=—","Direction=H","UseDPDF=Y")</f>
        <v>0</v>
      </c>
      <c r="AF17" s="13" t="str" cm="1">
        <f t="array" ref="AF17">_xll.BDH("PCAR US Equity","BS_OTHER_INV","FQ4 2025","FQ4 2025","Currency=USD","Period=FQ","BEST_FPERIOD_OVERRIDE=FQ","FILING_STATUS=MR","SCALING_FORMAT=MLN","Sort=A","Dates=H","DateFormat=P","Fill=—","Direction=H","UseDPDF=Y")</f>
        <v>—</v>
      </c>
    </row>
    <row r="18" spans="1:32" x14ac:dyDescent="0.25">
      <c r="A18" s="10" t="s">
        <v>88</v>
      </c>
      <c r="B18" s="10" t="s">
        <v>89</v>
      </c>
      <c r="C18" s="13" cm="1">
        <f t="array" ref="C18">_xll.BDH("PCAR US Equity","OTHER_CURRENT_ASSETS_DETAILED","FQ3 2018","FQ3 2018","Currency=USD","Period=FQ","BEST_FPERIOD_OVERRIDE=FQ","FILING_STATUS=MR","SCALING_FORMAT=MLN","Sort=A","Dates=H","DateFormat=P","Fill=—","Direction=H","UseDPDF=Y")</f>
        <v>376.8</v>
      </c>
      <c r="D18" s="13" cm="1">
        <f t="array" ref="D18">_xll.BDH("PCAR US Equity","OTHER_CURRENT_ASSETS_DETAILED","FQ4 2018","FQ4 2018","Currency=USD","Period=FQ","BEST_FPERIOD_OVERRIDE=FQ","FILING_STATUS=MR","SCALING_FORMAT=MLN","Sort=A","Dates=H","DateFormat=P","Fill=—","Direction=H","UseDPDF=Y")</f>
        <v>364.7</v>
      </c>
      <c r="E18" s="13" cm="1">
        <f t="array" ref="E18">_xll.BDH("PCAR US Equity","OTHER_CURRENT_ASSETS_DETAILED","FQ1 2019","FQ1 2019","Currency=USD","Period=FQ","BEST_FPERIOD_OVERRIDE=FQ","FILING_STATUS=MR","SCALING_FORMAT=MLN","Sort=A","Dates=H","DateFormat=P","Fill=—","Direction=H","UseDPDF=Y")</f>
        <v>401.7</v>
      </c>
      <c r="F18" s="13" cm="1">
        <f t="array" ref="F18">_xll.BDH("PCAR US Equity","OTHER_CURRENT_ASSETS_DETAILED","FQ2 2019","FQ2 2019","Currency=USD","Period=FQ","BEST_FPERIOD_OVERRIDE=FQ","FILING_STATUS=MR","SCALING_FORMAT=MLN","Sort=A","Dates=H","DateFormat=P","Fill=—","Direction=H","UseDPDF=Y")</f>
        <v>403.7</v>
      </c>
      <c r="G18" s="13" cm="1">
        <f t="array" ref="G18">_xll.BDH("PCAR US Equity","OTHER_CURRENT_ASSETS_DETAILED","FQ3 2019","FQ3 2019","Currency=USD","Period=FQ","BEST_FPERIOD_OVERRIDE=FQ","FILING_STATUS=MR","SCALING_FORMAT=MLN","Sort=A","Dates=H","DateFormat=P","Fill=—","Direction=H","UseDPDF=Y")</f>
        <v>387.3</v>
      </c>
      <c r="H18" s="13" cm="1">
        <f t="array" ref="H18">_xll.BDH("PCAR US Equity","OTHER_CURRENT_ASSETS_DETAILED","FQ4 2019","FQ4 2019","Currency=USD","Period=FQ","BEST_FPERIOD_OVERRIDE=FQ","FILING_STATUS=MR","SCALING_FORMAT=MLN","Sort=A","Dates=H","DateFormat=P","Fill=—","Direction=H","UseDPDF=Y")</f>
        <v>388</v>
      </c>
      <c r="I18" s="13" cm="1">
        <f t="array" ref="I18">_xll.BDH("PCAR US Equity","OTHER_CURRENT_ASSETS_DETAILED","FQ1 2020","FQ1 2020","Currency=USD","Period=FQ","BEST_FPERIOD_OVERRIDE=FQ","FILING_STATUS=MR","SCALING_FORMAT=MLN","Sort=A","Dates=H","DateFormat=P","Fill=—","Direction=H","UseDPDF=Y")</f>
        <v>529.9</v>
      </c>
      <c r="J18" s="13" cm="1">
        <f t="array" ref="J18">_xll.BDH("PCAR US Equity","OTHER_CURRENT_ASSETS_DETAILED","FQ2 2020","FQ2 2020","Currency=USD","Period=FQ","BEST_FPERIOD_OVERRIDE=FQ","FILING_STATUS=MR","SCALING_FORMAT=MLN","Sort=A","Dates=H","DateFormat=P","Fill=—","Direction=H","UseDPDF=Y")</f>
        <v>492.1</v>
      </c>
      <c r="K18" s="13" cm="1">
        <f t="array" ref="K18">_xll.BDH("PCAR US Equity","OTHER_CURRENT_ASSETS_DETAILED","FQ3 2020","FQ3 2020","Currency=USD","Period=FQ","BEST_FPERIOD_OVERRIDE=FQ","FILING_STATUS=MR","SCALING_FORMAT=MLN","Sort=A","Dates=H","DateFormat=P","Fill=—","Direction=H","UseDPDF=Y")</f>
        <v>541.5</v>
      </c>
      <c r="L18" s="13" cm="1">
        <f t="array" ref="L18">_xll.BDH("PCAR US Equity","OTHER_CURRENT_ASSETS_DETAILED","FQ4 2020","FQ4 2020","Currency=USD","Period=FQ","BEST_FPERIOD_OVERRIDE=FQ","FILING_STATUS=MR","SCALING_FORMAT=MLN","Sort=A","Dates=H","DateFormat=P","Fill=—","Direction=H","UseDPDF=Y")</f>
        <v>515.6</v>
      </c>
      <c r="M18" s="13" cm="1">
        <f t="array" ref="M18">_xll.BDH("PCAR US Equity","OTHER_CURRENT_ASSETS_DETAILED","FQ1 2021","FQ1 2021","Currency=USD","Period=FQ","BEST_FPERIOD_OVERRIDE=FQ","FILING_STATUS=MR","SCALING_FORMAT=MLN","Sort=A","Dates=H","DateFormat=P","Fill=—","Direction=H","UseDPDF=Y")</f>
        <v>572.20000000000005</v>
      </c>
      <c r="N18" s="13" cm="1">
        <f t="array" ref="N18">_xll.BDH("PCAR US Equity","OTHER_CURRENT_ASSETS_DETAILED","FQ2 2021","FQ2 2021","Currency=USD","Period=FQ","BEST_FPERIOD_OVERRIDE=FQ","FILING_STATUS=MR","SCALING_FORMAT=MLN","Sort=A","Dates=H","DateFormat=P","Fill=—","Direction=H","UseDPDF=Y")</f>
        <v>796.9</v>
      </c>
      <c r="O18" s="13" cm="1">
        <f t="array" ref="O18">_xll.BDH("PCAR US Equity","OTHER_CURRENT_ASSETS_DETAILED","FQ3 2021","FQ3 2021","Currency=USD","Period=FQ","BEST_FPERIOD_OVERRIDE=FQ","FILING_STATUS=MR","SCALING_FORMAT=MLN","Sort=A","Dates=H","DateFormat=P","Fill=—","Direction=H","UseDPDF=Y")</f>
        <v>667.9</v>
      </c>
      <c r="P18" s="13" cm="1">
        <f t="array" ref="P18">_xll.BDH("PCAR US Equity","OTHER_CURRENT_ASSETS_DETAILED","FQ4 2021","FQ4 2021","Currency=USD","Period=FQ","BEST_FPERIOD_OVERRIDE=FQ","FILING_STATUS=MR","SCALING_FORMAT=MLN","Sort=A","Dates=H","DateFormat=P","Fill=—","Direction=H","UseDPDF=Y")</f>
        <v>732.9</v>
      </c>
      <c r="Q18" s="13" cm="1">
        <f t="array" ref="Q18">_xll.BDH("PCAR US Equity","OTHER_CURRENT_ASSETS_DETAILED","FQ1 2022","FQ1 2022","Currency=USD","Period=FQ","BEST_FPERIOD_OVERRIDE=FQ","FILING_STATUS=MR","SCALING_FORMAT=MLN","Sort=A","Dates=H","DateFormat=P","Fill=—","Direction=H","UseDPDF=Y")</f>
        <v>720.5</v>
      </c>
      <c r="R18" s="13" cm="1">
        <f t="array" ref="R18">_xll.BDH("PCAR US Equity","OTHER_CURRENT_ASSETS_DETAILED","FQ2 2022","FQ2 2022","Currency=USD","Period=FQ","BEST_FPERIOD_OVERRIDE=FQ","FILING_STATUS=MR","SCALING_FORMAT=MLN","Sort=A","Dates=H","DateFormat=P","Fill=—","Direction=H","UseDPDF=Y")</f>
        <v>692.1</v>
      </c>
      <c r="S18" s="13" cm="1">
        <f t="array" ref="S18">_xll.BDH("PCAR US Equity","OTHER_CURRENT_ASSETS_DETAILED","FQ3 2022","FQ3 2022","Currency=USD","Period=FQ","BEST_FPERIOD_OVERRIDE=FQ","FILING_STATUS=MR","SCALING_FORMAT=MLN","Sort=A","Dates=H","DateFormat=P","Fill=—","Direction=H","UseDPDF=Y")</f>
        <v>719.7</v>
      </c>
      <c r="T18" s="13" cm="1">
        <f t="array" ref="T18">_xll.BDH("PCAR US Equity","OTHER_CURRENT_ASSETS_DETAILED","FQ4 2022","FQ4 2022","Currency=USD","Period=FQ","BEST_FPERIOD_OVERRIDE=FQ","FILING_STATUS=MR","SCALING_FORMAT=MLN","Sort=A","Dates=H","DateFormat=P","Fill=—","Direction=H","UseDPDF=Y")</f>
        <v>682</v>
      </c>
      <c r="U18" s="13" cm="1">
        <f t="array" ref="U18">_xll.BDH("PCAR US Equity","OTHER_CURRENT_ASSETS_DETAILED","FQ1 2023","FQ1 2023","Currency=USD","Period=FQ","BEST_FPERIOD_OVERRIDE=FQ","FILING_STATUS=MR","SCALING_FORMAT=MLN","Sort=A","Dates=H","DateFormat=P","Fill=—","Direction=H","UseDPDF=Y")</f>
        <v>771.2</v>
      </c>
      <c r="V18" s="13" cm="1">
        <f t="array" ref="V18">_xll.BDH("PCAR US Equity","OTHER_CURRENT_ASSETS_DETAILED","FQ2 2023","FQ2 2023","Currency=USD","Period=FQ","BEST_FPERIOD_OVERRIDE=FQ","FILING_STATUS=MR","SCALING_FORMAT=MLN","Sort=A","Dates=H","DateFormat=P","Fill=—","Direction=H","UseDPDF=Y")</f>
        <v>709.3</v>
      </c>
      <c r="W18" s="13" cm="1">
        <f t="array" ref="W18">_xll.BDH("PCAR US Equity","OTHER_CURRENT_ASSETS_DETAILED","FQ3 2023","FQ3 2023","Currency=USD","Period=FQ","BEST_FPERIOD_OVERRIDE=FQ","FILING_STATUS=MR","SCALING_FORMAT=MLN","Sort=A","Dates=H","DateFormat=P","Fill=—","Direction=H","UseDPDF=Y")</f>
        <v>710.5</v>
      </c>
      <c r="X18" s="13" cm="1">
        <f t="array" ref="X18">_xll.BDH("PCAR US Equity","OTHER_CURRENT_ASSETS_DETAILED","FQ4 2023","FQ4 2023","Currency=USD","Period=FQ","BEST_FPERIOD_OVERRIDE=FQ","FILING_STATUS=MR","SCALING_FORMAT=MLN","Sort=A","Dates=H","DateFormat=P","Fill=—","Direction=H","UseDPDF=Y")</f>
        <v>680.6</v>
      </c>
      <c r="Y18" s="13" cm="1">
        <f t="array" ref="Y18">_xll.BDH("PCAR US Equity","OTHER_CURRENT_ASSETS_DETAILED","FQ1 2024","FQ1 2024","Currency=USD","Period=FQ","BEST_FPERIOD_OVERRIDE=FQ","FILING_STATUS=MR","SCALING_FORMAT=MLN","Sort=A","Dates=H","DateFormat=P","Fill=—","Direction=H","UseDPDF=Y")</f>
        <v>622.4</v>
      </c>
      <c r="Z18" s="13" cm="1">
        <f t="array" ref="Z18">_xll.BDH("PCAR US Equity","OTHER_CURRENT_ASSETS_DETAILED","FQ2 2024","FQ2 2024","Currency=USD","Period=FQ","BEST_FPERIOD_OVERRIDE=FQ","FILING_STATUS=MR","SCALING_FORMAT=MLN","Sort=A","Dates=H","DateFormat=P","Fill=—","Direction=H","UseDPDF=Y")</f>
        <v>681.5</v>
      </c>
      <c r="AA18" s="13" cm="1">
        <f t="array" ref="AA18">_xll.BDH("PCAR US Equity","OTHER_CURRENT_ASSETS_DETAILED","FQ3 2024","FQ3 2024","Currency=USD","Period=FQ","BEST_FPERIOD_OVERRIDE=FQ","FILING_STATUS=MR","SCALING_FORMAT=MLN","Sort=A","Dates=H","DateFormat=P","Fill=—","Direction=H","UseDPDF=Y")</f>
        <v>665.9</v>
      </c>
      <c r="AB18" s="13" cm="1">
        <f t="array" ref="AB18">_xll.BDH("PCAR US Equity","OTHER_CURRENT_ASSETS_DETAILED","FQ4 2024","FQ4 2024","Currency=USD","Period=FQ","BEST_FPERIOD_OVERRIDE=FQ","FILING_STATUS=MR","SCALING_FORMAT=MLN","Sort=A","Dates=H","DateFormat=P","Fill=—","Direction=H","UseDPDF=Y")</f>
        <v>751.2</v>
      </c>
      <c r="AC18" s="13" cm="1">
        <f t="array" ref="AC18">_xll.BDH("PCAR US Equity","OTHER_CURRENT_ASSETS_DETAILED","FQ1 2025","FQ1 2025","Currency=USD","Period=FQ","BEST_FPERIOD_OVERRIDE=FQ","FILING_STATUS=MR","SCALING_FORMAT=MLN","Sort=A","Dates=H","DateFormat=P","Fill=—","Direction=H","UseDPDF=Y")</f>
        <v>759.7</v>
      </c>
      <c r="AD18" s="13" cm="1">
        <f t="array" ref="AD18">_xll.BDH("PCAR US Equity","OTHER_CURRENT_ASSETS_DETAILED","FQ2 2025","FQ2 2025","Currency=USD","Period=FQ","BEST_FPERIOD_OVERRIDE=FQ","FILING_STATUS=MR","SCALING_FORMAT=MLN","Sort=A","Dates=H","DateFormat=P","Fill=—","Direction=H","UseDPDF=Y")</f>
        <v>905.5</v>
      </c>
      <c r="AE18" s="13" cm="1">
        <f t="array" ref="AE18">_xll.BDH("PCAR US Equity","OTHER_CURRENT_ASSETS_DETAILED","FQ3 2025","FQ3 2025","Currency=USD","Period=FQ","BEST_FPERIOD_OVERRIDE=FQ","FILING_STATUS=MR","SCALING_FORMAT=MLN","Sort=A","Dates=H","DateFormat=P","Fill=—","Direction=H","UseDPDF=Y")</f>
        <v>1089.4000000000001</v>
      </c>
      <c r="AF18" s="13" cm="1">
        <f t="array" ref="AF18">_xll.BDH("PCAR US Equity","OTHER_CURRENT_ASSETS_DETAILED","FQ4 2025","FQ4 2025","Currency=USD","Period=FQ","BEST_FPERIOD_OVERRIDE=FQ","FILING_STATUS=MR","SCALING_FORMAT=MLN","Sort=A","Dates=H","DateFormat=P","Fill=—","Direction=H","UseDPDF=Y")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10" t="s">
        <v>90</v>
      </c>
      <c r="B19" s="10" t="s">
        <v>91</v>
      </c>
      <c r="C19" s="13" cm="1">
        <f t="array" ref="C19">_xll.BDH("PCAR US Equity","BS_DERIV_HEDGING_ASST_ST","FQ3 2018","FQ3 2018","Currency=USD","Period=FQ","BEST_FPERIOD_OVERRIDE=FQ","FILING_STATUS=MR","SCALING_FORMAT=MLN","Sort=A","Dates=H","DateFormat=P","Fill=—","Direction=H","UseDPDF=Y")</f>
        <v>0.8</v>
      </c>
      <c r="D19" s="13" cm="1">
        <f t="array" ref="D19">_xll.BDH("PCAR US Equity","BS_DERIV_HEDGING_ASST_ST","FQ4 2018","FQ4 2018","Currency=USD","Period=FQ","BEST_FPERIOD_OVERRIDE=FQ","FILING_STATUS=MR","SCALING_FORMAT=MLN","Sort=A","Dates=H","DateFormat=P","Fill=—","Direction=H","UseDPDF=Y")</f>
        <v>9.3000000000000007</v>
      </c>
      <c r="E19" s="13" cm="1">
        <f t="array" ref="E19">_xll.BDH("PCAR US Equity","BS_DERIV_HEDGING_ASST_ST","FQ1 2019","FQ1 2019","Currency=USD","Period=FQ","BEST_FPERIOD_OVERRIDE=FQ","FILING_STATUS=MR","SCALING_FORMAT=MLN","Sort=A","Dates=H","DateFormat=P","Fill=—","Direction=H","UseDPDF=Y")</f>
        <v>61.7</v>
      </c>
      <c r="F19" s="13" cm="1">
        <f t="array" ref="F19">_xll.BDH("PCAR US Equity","BS_DERIV_HEDGING_ASST_ST","FQ2 2019","FQ2 2019","Currency=USD","Period=FQ","BEST_FPERIOD_OVERRIDE=FQ","FILING_STATUS=MR","SCALING_FORMAT=MLN","Sort=A","Dates=H","DateFormat=P","Fill=—","Direction=H","UseDPDF=Y")</f>
        <v>5.2</v>
      </c>
      <c r="G19" s="13" cm="1">
        <f t="array" ref="G19">_xll.BDH("PCAR US Equity","BS_DERIV_HEDGING_ASST_ST","FQ3 2019","FQ3 2019","Currency=USD","Period=FQ","BEST_FPERIOD_OVERRIDE=FQ","FILING_STATUS=MR","SCALING_FORMAT=MLN","Sort=A","Dates=H","DateFormat=P","Fill=—","Direction=H","UseDPDF=Y")</f>
        <v>18.7</v>
      </c>
      <c r="H19" s="13" cm="1">
        <f t="array" ref="H19">_xll.BDH("PCAR US Equity","BS_DERIV_HEDGING_ASST_ST","FQ4 2019","FQ4 2019","Currency=USD","Period=FQ","BEST_FPERIOD_OVERRIDE=FQ","FILING_STATUS=MR","SCALING_FORMAT=MLN","Sort=A","Dates=H","DateFormat=P","Fill=—","Direction=H","UseDPDF=Y")</f>
        <v>10.5</v>
      </c>
      <c r="I19" s="13" cm="1">
        <f t="array" ref="I19">_xll.BDH("PCAR US Equity","BS_DERIV_HEDGING_ASST_ST","FQ1 2020","FQ1 2020","Currency=USD","Period=FQ","BEST_FPERIOD_OVERRIDE=FQ","FILING_STATUS=MR","SCALING_FORMAT=MLN","Sort=A","Dates=H","DateFormat=P","Fill=—","Direction=H","UseDPDF=Y")</f>
        <v>95.7</v>
      </c>
      <c r="J19" s="13" cm="1">
        <f t="array" ref="J19">_xll.BDH("PCAR US Equity","BS_DERIV_HEDGING_ASST_ST","FQ2 2020","FQ2 2020","Currency=USD","Period=FQ","BEST_FPERIOD_OVERRIDE=FQ","FILING_STATUS=MR","SCALING_FORMAT=MLN","Sort=A","Dates=H","DateFormat=P","Fill=—","Direction=H","UseDPDF=Y")</f>
        <v>47.2</v>
      </c>
      <c r="K19" s="13" cm="1">
        <f t="array" ref="K19">_xll.BDH("PCAR US Equity","BS_DERIV_HEDGING_ASST_ST","FQ3 2020","FQ3 2020","Currency=USD","Period=FQ","BEST_FPERIOD_OVERRIDE=FQ","FILING_STATUS=MR","SCALING_FORMAT=MLN","Sort=A","Dates=H","DateFormat=P","Fill=—","Direction=H","UseDPDF=Y")</f>
        <v>49.4</v>
      </c>
      <c r="L19" s="13" cm="1">
        <f t="array" ref="L19">_xll.BDH("PCAR US Equity","BS_DERIV_HEDGING_ASST_ST","FQ4 2020","FQ4 2020","Currency=USD","Period=FQ","BEST_FPERIOD_OVERRIDE=FQ","FILING_STATUS=MR","SCALING_FORMAT=MLN","Sort=A","Dates=H","DateFormat=P","Fill=—","Direction=H","UseDPDF=Y")</f>
        <v>3.8</v>
      </c>
      <c r="M19" s="13" cm="1">
        <f t="array" ref="M19">_xll.BDH("PCAR US Equity","BS_DERIV_HEDGING_ASST_ST","FQ1 2021","FQ1 2021","Currency=USD","Period=FQ","BEST_FPERIOD_OVERRIDE=FQ","FILING_STATUS=MR","SCALING_FORMAT=MLN","Sort=A","Dates=H","DateFormat=P","Fill=—","Direction=H","UseDPDF=Y")</f>
        <v>19.7</v>
      </c>
      <c r="N19" s="13" cm="1">
        <f t="array" ref="N19">_xll.BDH("PCAR US Equity","BS_DERIV_HEDGING_ASST_ST","FQ2 2021","FQ2 2021","Currency=USD","Period=FQ","BEST_FPERIOD_OVERRIDE=FQ","FILING_STATUS=MR","SCALING_FORMAT=MLN","Sort=A","Dates=H","DateFormat=P","Fill=—","Direction=H","UseDPDF=Y")</f>
        <v>9.1999999999999993</v>
      </c>
      <c r="O19" s="13" cm="1">
        <f t="array" ref="O19">_xll.BDH("PCAR US Equity","BS_DERIV_HEDGING_ASST_ST","FQ3 2021","FQ3 2021","Currency=USD","Period=FQ","BEST_FPERIOD_OVERRIDE=FQ","FILING_STATUS=MR","SCALING_FORMAT=MLN","Sort=A","Dates=H","DateFormat=P","Fill=—","Direction=H","UseDPDF=Y")</f>
        <v>23.1</v>
      </c>
      <c r="P19" s="13" cm="1">
        <f t="array" ref="P19">_xll.BDH("PCAR US Equity","BS_DERIV_HEDGING_ASST_ST","FQ4 2021","FQ4 2021","Currency=USD","Period=FQ","BEST_FPERIOD_OVERRIDE=FQ","FILING_STATUS=MR","SCALING_FORMAT=MLN","Sort=A","Dates=H","DateFormat=P","Fill=—","Direction=H","UseDPDF=Y")</f>
        <v>26.3</v>
      </c>
      <c r="Q19" s="13" cm="1">
        <f t="array" ref="Q19">_xll.BDH("PCAR US Equity","BS_DERIV_HEDGING_ASST_ST","FQ1 2022","FQ1 2022","Currency=USD","Period=FQ","BEST_FPERIOD_OVERRIDE=FQ","FILING_STATUS=MR","SCALING_FORMAT=MLN","Sort=A","Dates=H","DateFormat=P","Fill=—","Direction=H","UseDPDF=Y")</f>
        <v>32.9</v>
      </c>
      <c r="R19" s="13" cm="1">
        <f t="array" ref="R19">_xll.BDH("PCAR US Equity","BS_DERIV_HEDGING_ASST_ST","FQ2 2022","FQ2 2022","Currency=USD","Period=FQ","BEST_FPERIOD_OVERRIDE=FQ","FILING_STATUS=MR","SCALING_FORMAT=MLN","Sort=A","Dates=H","DateFormat=P","Fill=—","Direction=H","UseDPDF=Y")</f>
        <v>51.2</v>
      </c>
      <c r="S19" s="13" cm="1">
        <f t="array" ref="S19">_xll.BDH("PCAR US Equity","BS_DERIV_HEDGING_ASST_ST","FQ3 2022","FQ3 2022","Currency=USD","Period=FQ","BEST_FPERIOD_OVERRIDE=FQ","FILING_STATUS=MR","SCALING_FORMAT=MLN","Sort=A","Dates=H","DateFormat=P","Fill=—","Direction=H","UseDPDF=Y")</f>
        <v>104.9</v>
      </c>
      <c r="T19" s="13" cm="1">
        <f t="array" ref="T19">_xll.BDH("PCAR US Equity","BS_DERIV_HEDGING_ASST_ST","FQ4 2022","FQ4 2022","Currency=USD","Period=FQ","BEST_FPERIOD_OVERRIDE=FQ","FILING_STATUS=MR","SCALING_FORMAT=MLN","Sort=A","Dates=H","DateFormat=P","Fill=—","Direction=H","UseDPDF=Y")</f>
        <v>58.3</v>
      </c>
      <c r="U19" s="13" cm="1">
        <f t="array" ref="U19">_xll.BDH("PCAR US Equity","BS_DERIV_HEDGING_ASST_ST","FQ1 2023","FQ1 2023","Currency=USD","Period=FQ","BEST_FPERIOD_OVERRIDE=FQ","FILING_STATUS=MR","SCALING_FORMAT=MLN","Sort=A","Dates=H","DateFormat=P","Fill=—","Direction=H","UseDPDF=Y")</f>
        <v>22.1</v>
      </c>
      <c r="V19" s="13" cm="1">
        <f t="array" ref="V19">_xll.BDH("PCAR US Equity","BS_DERIV_HEDGING_ASST_ST","FQ2 2023","FQ2 2023","Currency=USD","Period=FQ","BEST_FPERIOD_OVERRIDE=FQ","FILING_STATUS=MR","SCALING_FORMAT=MLN","Sort=A","Dates=H","DateFormat=P","Fill=—","Direction=H","UseDPDF=Y")</f>
        <v>9.8000000000000007</v>
      </c>
      <c r="W19" s="13" cm="1">
        <f t="array" ref="W19">_xll.BDH("PCAR US Equity","BS_DERIV_HEDGING_ASST_ST","FQ3 2023","FQ3 2023","Currency=USD","Period=FQ","BEST_FPERIOD_OVERRIDE=FQ","FILING_STATUS=MR","SCALING_FORMAT=MLN","Sort=A","Dates=H","DateFormat=P","Fill=—","Direction=H","UseDPDF=Y")</f>
        <v>41.7</v>
      </c>
      <c r="X19" s="13" cm="1">
        <f t="array" ref="X19">_xll.BDH("PCAR US Equity","BS_DERIV_HEDGING_ASST_ST","FQ4 2023","FQ4 2023","Currency=USD","Period=FQ","BEST_FPERIOD_OVERRIDE=FQ","FILING_STATUS=MR","SCALING_FORMAT=MLN","Sort=A","Dates=H","DateFormat=P","Fill=—","Direction=H","UseDPDF=Y")</f>
        <v>3.7</v>
      </c>
      <c r="Y19" s="13" cm="1">
        <f t="array" ref="Y19">_xll.BDH("PCAR US Equity","BS_DERIV_HEDGING_ASST_ST","FQ1 2024","FQ1 2024","Currency=USD","Period=FQ","BEST_FPERIOD_OVERRIDE=FQ","FILING_STATUS=MR","SCALING_FORMAT=MLN","Sort=A","Dates=H","DateFormat=P","Fill=—","Direction=H","UseDPDF=Y")</f>
        <v>18.899999999999999</v>
      </c>
      <c r="Z19" s="13" cm="1">
        <f t="array" ref="Z19">_xll.BDH("PCAR US Equity","BS_DERIV_HEDGING_ASST_ST","FQ2 2024","FQ2 2024","Currency=USD","Period=FQ","BEST_FPERIOD_OVERRIDE=FQ","FILING_STATUS=MR","SCALING_FORMAT=MLN","Sort=A","Dates=H","DateFormat=P","Fill=—","Direction=H","UseDPDF=Y")</f>
        <v>52.5</v>
      </c>
      <c r="AA19" s="13" cm="1">
        <f t="array" ref="AA19">_xll.BDH("PCAR US Equity","BS_DERIV_HEDGING_ASST_ST","FQ3 2024","FQ3 2024","Currency=USD","Period=FQ","BEST_FPERIOD_OVERRIDE=FQ","FILING_STATUS=MR","SCALING_FORMAT=MLN","Sort=A","Dates=H","DateFormat=P","Fill=—","Direction=H","UseDPDF=Y")</f>
        <v>17.399999999999999</v>
      </c>
      <c r="AB19" s="13" cm="1">
        <f t="array" ref="AB19">_xll.BDH("PCAR US Equity","BS_DERIV_HEDGING_ASST_ST","FQ4 2024","FQ4 2024","Currency=USD","Period=FQ","BEST_FPERIOD_OVERRIDE=FQ","FILING_STATUS=MR","SCALING_FORMAT=MLN","Sort=A","Dates=H","DateFormat=P","Fill=—","Direction=H","UseDPDF=Y")</f>
        <v>68.8</v>
      </c>
      <c r="AC19" s="13" cm="1">
        <f t="array" ref="AC19">_xll.BDH("PCAR US Equity","BS_DERIV_HEDGING_ASST_ST","FQ1 2025","FQ1 2025","Currency=USD","Period=FQ","BEST_FPERIOD_OVERRIDE=FQ","FILING_STATUS=MR","SCALING_FORMAT=MLN","Sort=A","Dates=H","DateFormat=P","Fill=—","Direction=H","UseDPDF=Y")</f>
        <v>9.9</v>
      </c>
      <c r="AD19" s="13" cm="1">
        <f t="array" ref="AD19">_xll.BDH("PCAR US Equity","BS_DERIV_HEDGING_ASST_ST","FQ2 2025","FQ2 2025","Currency=USD","Period=FQ","BEST_FPERIOD_OVERRIDE=FQ","FILING_STATUS=MR","SCALING_FORMAT=MLN","Sort=A","Dates=H","DateFormat=P","Fill=—","Direction=H","UseDPDF=Y")</f>
        <v>9.6999999999999993</v>
      </c>
      <c r="AE19" s="13" cm="1">
        <f t="array" ref="AE19">_xll.BDH("PCAR US Equity","BS_DERIV_HEDGING_ASST_ST","FQ3 2025","FQ3 2025","Currency=USD","Period=FQ","BEST_FPERIOD_OVERRIDE=FQ","FILING_STATUS=MR","SCALING_FORMAT=MLN","Sort=A","Dates=H","DateFormat=P","Fill=—","Direction=H","UseDPDF=Y")</f>
        <v>13.7</v>
      </c>
      <c r="AF19" s="13" t="str" cm="1">
        <f t="array" ref="AF19">_xll.BDH("PCAR US Equity","BS_DERIV_HEDGING_ASST_ST","FQ4 2025","FQ4 2025","Currency=USD","Period=FQ","BEST_FPERIOD_OVERRIDE=FQ","FILING_STATUS=MR","SCALING_FORMAT=MLN","Sort=A","Dates=H","DateFormat=P","Fill=—","Direction=H","UseDPDF=Y")</f>
        <v>—</v>
      </c>
    </row>
    <row r="20" spans="1:32" x14ac:dyDescent="0.25">
      <c r="A20" s="10" t="s">
        <v>92</v>
      </c>
      <c r="B20" s="10" t="s">
        <v>93</v>
      </c>
      <c r="C20" s="13" cm="1">
        <f t="array" ref="C20">_xll.BDH("PCAR US Equity","BS_OTHER_CUR_ASSET_LESS_PREPAY","FQ3 2018","FQ3 2018","Currency=USD","Period=FQ","BEST_FPERIOD_OVERRIDE=FQ","FILING_STATUS=MR","SCALING_FORMAT=MLN","Sort=A","Dates=H","DateFormat=P","Fill=—","Direction=H","UseDPDF=Y")</f>
        <v>376</v>
      </c>
      <c r="D20" s="13" cm="1">
        <f t="array" ref="D20">_xll.BDH("PCAR US Equity","BS_OTHER_CUR_ASSET_LESS_PREPAY","FQ4 2018","FQ4 2018","Currency=USD","Period=FQ","BEST_FPERIOD_OVERRIDE=FQ","FILING_STATUS=MR","SCALING_FORMAT=MLN","Sort=A","Dates=H","DateFormat=P","Fill=—","Direction=H","UseDPDF=Y")</f>
        <v>355.4</v>
      </c>
      <c r="E20" s="13" cm="1">
        <f t="array" ref="E20">_xll.BDH("PCAR US Equity","BS_OTHER_CUR_ASSET_LESS_PREPAY","FQ1 2019","FQ1 2019","Currency=USD","Period=FQ","BEST_FPERIOD_OVERRIDE=FQ","FILING_STATUS=MR","SCALING_FORMAT=MLN","Sort=A","Dates=H","DateFormat=P","Fill=—","Direction=H","UseDPDF=Y")</f>
        <v>340</v>
      </c>
      <c r="F20" s="13" cm="1">
        <f t="array" ref="F20">_xll.BDH("PCAR US Equity","BS_OTHER_CUR_ASSET_LESS_PREPAY","FQ2 2019","FQ2 2019","Currency=USD","Period=FQ","BEST_FPERIOD_OVERRIDE=FQ","FILING_STATUS=MR","SCALING_FORMAT=MLN","Sort=A","Dates=H","DateFormat=P","Fill=—","Direction=H","UseDPDF=Y")</f>
        <v>398.5</v>
      </c>
      <c r="G20" s="13" cm="1">
        <f t="array" ref="G20">_xll.BDH("PCAR US Equity","BS_OTHER_CUR_ASSET_LESS_PREPAY","FQ3 2019","FQ3 2019","Currency=USD","Period=FQ","BEST_FPERIOD_OVERRIDE=FQ","FILING_STATUS=MR","SCALING_FORMAT=MLN","Sort=A","Dates=H","DateFormat=P","Fill=—","Direction=H","UseDPDF=Y")</f>
        <v>368.6</v>
      </c>
      <c r="H20" s="13" cm="1">
        <f t="array" ref="H20">_xll.BDH("PCAR US Equity","BS_OTHER_CUR_ASSET_LESS_PREPAY","FQ4 2019","FQ4 2019","Currency=USD","Period=FQ","BEST_FPERIOD_OVERRIDE=FQ","FILING_STATUS=MR","SCALING_FORMAT=MLN","Sort=A","Dates=H","DateFormat=P","Fill=—","Direction=H","UseDPDF=Y")</f>
        <v>377.5</v>
      </c>
      <c r="I20" s="13" cm="1">
        <f t="array" ref="I20">_xll.BDH("PCAR US Equity","BS_OTHER_CUR_ASSET_LESS_PREPAY","FQ1 2020","FQ1 2020","Currency=USD","Period=FQ","BEST_FPERIOD_OVERRIDE=FQ","FILING_STATUS=MR","SCALING_FORMAT=MLN","Sort=A","Dates=H","DateFormat=P","Fill=—","Direction=H","UseDPDF=Y")</f>
        <v>434.2</v>
      </c>
      <c r="J20" s="13" cm="1">
        <f t="array" ref="J20">_xll.BDH("PCAR US Equity","BS_OTHER_CUR_ASSET_LESS_PREPAY","FQ2 2020","FQ2 2020","Currency=USD","Period=FQ","BEST_FPERIOD_OVERRIDE=FQ","FILING_STATUS=MR","SCALING_FORMAT=MLN","Sort=A","Dates=H","DateFormat=P","Fill=—","Direction=H","UseDPDF=Y")</f>
        <v>444.9</v>
      </c>
      <c r="K20" s="13" cm="1">
        <f t="array" ref="K20">_xll.BDH("PCAR US Equity","BS_OTHER_CUR_ASSET_LESS_PREPAY","FQ3 2020","FQ3 2020","Currency=USD","Period=FQ","BEST_FPERIOD_OVERRIDE=FQ","FILING_STATUS=MR","SCALING_FORMAT=MLN","Sort=A","Dates=H","DateFormat=P","Fill=—","Direction=H","UseDPDF=Y")</f>
        <v>492.1</v>
      </c>
      <c r="L20" s="13" cm="1">
        <f t="array" ref="L20">_xll.BDH("PCAR US Equity","BS_OTHER_CUR_ASSET_LESS_PREPAY","FQ4 2020","FQ4 2020","Currency=USD","Period=FQ","BEST_FPERIOD_OVERRIDE=FQ","FILING_STATUS=MR","SCALING_FORMAT=MLN","Sort=A","Dates=H","DateFormat=P","Fill=—","Direction=H","UseDPDF=Y")</f>
        <v>511.8</v>
      </c>
      <c r="M20" s="13" cm="1">
        <f t="array" ref="M20">_xll.BDH("PCAR US Equity","BS_OTHER_CUR_ASSET_LESS_PREPAY","FQ1 2021","FQ1 2021","Currency=USD","Period=FQ","BEST_FPERIOD_OVERRIDE=FQ","FILING_STATUS=MR","SCALING_FORMAT=MLN","Sort=A","Dates=H","DateFormat=P","Fill=—","Direction=H","UseDPDF=Y")</f>
        <v>552.5</v>
      </c>
      <c r="N20" s="13" cm="1">
        <f t="array" ref="N20">_xll.BDH("PCAR US Equity","BS_OTHER_CUR_ASSET_LESS_PREPAY","FQ2 2021","FQ2 2021","Currency=USD","Period=FQ","BEST_FPERIOD_OVERRIDE=FQ","FILING_STATUS=MR","SCALING_FORMAT=MLN","Sort=A","Dates=H","DateFormat=P","Fill=—","Direction=H","UseDPDF=Y")</f>
        <v>787.7</v>
      </c>
      <c r="O20" s="13" cm="1">
        <f t="array" ref="O20">_xll.BDH("PCAR US Equity","BS_OTHER_CUR_ASSET_LESS_PREPAY","FQ3 2021","FQ3 2021","Currency=USD","Period=FQ","BEST_FPERIOD_OVERRIDE=FQ","FILING_STATUS=MR","SCALING_FORMAT=MLN","Sort=A","Dates=H","DateFormat=P","Fill=—","Direction=H","UseDPDF=Y")</f>
        <v>644.79999999999995</v>
      </c>
      <c r="P20" s="13" cm="1">
        <f t="array" ref="P20">_xll.BDH("PCAR US Equity","BS_OTHER_CUR_ASSET_LESS_PREPAY","FQ4 2021","FQ4 2021","Currency=USD","Period=FQ","BEST_FPERIOD_OVERRIDE=FQ","FILING_STATUS=MR","SCALING_FORMAT=MLN","Sort=A","Dates=H","DateFormat=P","Fill=—","Direction=H","UseDPDF=Y")</f>
        <v>706.6</v>
      </c>
      <c r="Q20" s="13" cm="1">
        <f t="array" ref="Q20">_xll.BDH("PCAR US Equity","BS_OTHER_CUR_ASSET_LESS_PREPAY","FQ1 2022","FQ1 2022","Currency=USD","Period=FQ","BEST_FPERIOD_OVERRIDE=FQ","FILING_STATUS=MR","SCALING_FORMAT=MLN","Sort=A","Dates=H","DateFormat=P","Fill=—","Direction=H","UseDPDF=Y")</f>
        <v>687.6</v>
      </c>
      <c r="R20" s="13" cm="1">
        <f t="array" ref="R20">_xll.BDH("PCAR US Equity","BS_OTHER_CUR_ASSET_LESS_PREPAY","FQ2 2022","FQ2 2022","Currency=USD","Period=FQ","BEST_FPERIOD_OVERRIDE=FQ","FILING_STATUS=MR","SCALING_FORMAT=MLN","Sort=A","Dates=H","DateFormat=P","Fill=—","Direction=H","UseDPDF=Y")</f>
        <v>640.9</v>
      </c>
      <c r="S20" s="13" cm="1">
        <f t="array" ref="S20">_xll.BDH("PCAR US Equity","BS_OTHER_CUR_ASSET_LESS_PREPAY","FQ3 2022","FQ3 2022","Currency=USD","Period=FQ","BEST_FPERIOD_OVERRIDE=FQ","FILING_STATUS=MR","SCALING_FORMAT=MLN","Sort=A","Dates=H","DateFormat=P","Fill=—","Direction=H","UseDPDF=Y")</f>
        <v>614.79999999999995</v>
      </c>
      <c r="T20" s="13" cm="1">
        <f t="array" ref="T20">_xll.BDH("PCAR US Equity","BS_OTHER_CUR_ASSET_LESS_PREPAY","FQ4 2022","FQ4 2022","Currency=USD","Period=FQ","BEST_FPERIOD_OVERRIDE=FQ","FILING_STATUS=MR","SCALING_FORMAT=MLN","Sort=A","Dates=H","DateFormat=P","Fill=—","Direction=H","UseDPDF=Y")</f>
        <v>623.70000000000005</v>
      </c>
      <c r="U20" s="13" cm="1">
        <f t="array" ref="U20">_xll.BDH("PCAR US Equity","BS_OTHER_CUR_ASSET_LESS_PREPAY","FQ1 2023","FQ1 2023","Currency=USD","Period=FQ","BEST_FPERIOD_OVERRIDE=FQ","FILING_STATUS=MR","SCALING_FORMAT=MLN","Sort=A","Dates=H","DateFormat=P","Fill=—","Direction=H","UseDPDF=Y")</f>
        <v>749.1</v>
      </c>
      <c r="V20" s="13" cm="1">
        <f t="array" ref="V20">_xll.BDH("PCAR US Equity","BS_OTHER_CUR_ASSET_LESS_PREPAY","FQ2 2023","FQ2 2023","Currency=USD","Period=FQ","BEST_FPERIOD_OVERRIDE=FQ","FILING_STATUS=MR","SCALING_FORMAT=MLN","Sort=A","Dates=H","DateFormat=P","Fill=—","Direction=H","UseDPDF=Y")</f>
        <v>699.5</v>
      </c>
      <c r="W20" s="13" cm="1">
        <f t="array" ref="W20">_xll.BDH("PCAR US Equity","BS_OTHER_CUR_ASSET_LESS_PREPAY","FQ3 2023","FQ3 2023","Currency=USD","Period=FQ","BEST_FPERIOD_OVERRIDE=FQ","FILING_STATUS=MR","SCALING_FORMAT=MLN","Sort=A","Dates=H","DateFormat=P","Fill=—","Direction=H","UseDPDF=Y")</f>
        <v>668.8</v>
      </c>
      <c r="X20" s="13" cm="1">
        <f t="array" ref="X20">_xll.BDH("PCAR US Equity","BS_OTHER_CUR_ASSET_LESS_PREPAY","FQ4 2023","FQ4 2023","Currency=USD","Period=FQ","BEST_FPERIOD_OVERRIDE=FQ","FILING_STATUS=MR","SCALING_FORMAT=MLN","Sort=A","Dates=H","DateFormat=P","Fill=—","Direction=H","UseDPDF=Y")</f>
        <v>676.9</v>
      </c>
      <c r="Y20" s="13" cm="1">
        <f t="array" ref="Y20">_xll.BDH("PCAR US Equity","BS_OTHER_CUR_ASSET_LESS_PREPAY","FQ1 2024","FQ1 2024","Currency=USD","Period=FQ","BEST_FPERIOD_OVERRIDE=FQ","FILING_STATUS=MR","SCALING_FORMAT=MLN","Sort=A","Dates=H","DateFormat=P","Fill=—","Direction=H","UseDPDF=Y")</f>
        <v>603.5</v>
      </c>
      <c r="Z20" s="13" cm="1">
        <f t="array" ref="Z20">_xll.BDH("PCAR US Equity","BS_OTHER_CUR_ASSET_LESS_PREPAY","FQ2 2024","FQ2 2024","Currency=USD","Period=FQ","BEST_FPERIOD_OVERRIDE=FQ","FILING_STATUS=MR","SCALING_FORMAT=MLN","Sort=A","Dates=H","DateFormat=P","Fill=—","Direction=H","UseDPDF=Y")</f>
        <v>629</v>
      </c>
      <c r="AA20" s="13" cm="1">
        <f t="array" ref="AA20">_xll.BDH("PCAR US Equity","BS_OTHER_CUR_ASSET_LESS_PREPAY","FQ3 2024","FQ3 2024","Currency=USD","Period=FQ","BEST_FPERIOD_OVERRIDE=FQ","FILING_STATUS=MR","SCALING_FORMAT=MLN","Sort=A","Dates=H","DateFormat=P","Fill=—","Direction=H","UseDPDF=Y")</f>
        <v>648.5</v>
      </c>
      <c r="AB20" s="13" cm="1">
        <f t="array" ref="AB20">_xll.BDH("PCAR US Equity","BS_OTHER_CUR_ASSET_LESS_PREPAY","FQ4 2024","FQ4 2024","Currency=USD","Period=FQ","BEST_FPERIOD_OVERRIDE=FQ","FILING_STATUS=MR","SCALING_FORMAT=MLN","Sort=A","Dates=H","DateFormat=P","Fill=—","Direction=H","UseDPDF=Y")</f>
        <v>682.4</v>
      </c>
      <c r="AC20" s="13" cm="1">
        <f t="array" ref="AC20">_xll.BDH("PCAR US Equity","BS_OTHER_CUR_ASSET_LESS_PREPAY","FQ1 2025","FQ1 2025","Currency=USD","Period=FQ","BEST_FPERIOD_OVERRIDE=FQ","FILING_STATUS=MR","SCALING_FORMAT=MLN","Sort=A","Dates=H","DateFormat=P","Fill=—","Direction=H","UseDPDF=Y")</f>
        <v>749.8</v>
      </c>
      <c r="AD20" s="13" cm="1">
        <f t="array" ref="AD20">_xll.BDH("PCAR US Equity","BS_OTHER_CUR_ASSET_LESS_PREPAY","FQ2 2025","FQ2 2025","Currency=USD","Period=FQ","BEST_FPERIOD_OVERRIDE=FQ","FILING_STATUS=MR","SCALING_FORMAT=MLN","Sort=A","Dates=H","DateFormat=P","Fill=—","Direction=H","UseDPDF=Y")</f>
        <v>895.8</v>
      </c>
      <c r="AE20" s="13" cm="1">
        <f t="array" ref="AE20">_xll.BDH("PCAR US Equity","BS_OTHER_CUR_ASSET_LESS_PREPAY","FQ3 2025","FQ3 2025","Currency=USD","Period=FQ","BEST_FPERIOD_OVERRIDE=FQ","FILING_STATUS=MR","SCALING_FORMAT=MLN","Sort=A","Dates=H","DateFormat=P","Fill=—","Direction=H","UseDPDF=Y")</f>
        <v>1075.7</v>
      </c>
      <c r="AF20" s="13" cm="1">
        <f t="array" ref="AF20">_xll.BDH("PCAR US Equity","BS_OTHER_CUR_ASSET_LESS_PREPAY","FQ4 2025","FQ4 2025","Currency=USD","Period=FQ","BEST_FPERIOD_OVERRIDE=FQ","FILING_STATUS=MR","SCALING_FORMAT=MLN","Sort=A","Dates=H","DateFormat=P","Fill=—","Direction=H","UseDPDF=Y")</f>
        <v>0</v>
      </c>
    </row>
    <row r="21" spans="1:32" x14ac:dyDescent="0.25">
      <c r="A21" s="6" t="s">
        <v>94</v>
      </c>
      <c r="B21" s="6" t="s">
        <v>95</v>
      </c>
      <c r="C21" s="16" cm="1">
        <f t="array" ref="C21">_xll.BDH("PCAR US Equity","BS_CUR_ASSET_REPORT","FQ3 2018","FQ3 2018","Currency=USD","Period=FQ","BEST_FPERIOD_OVERRIDE=FQ","FILING_STATUS=MR","SCALING_FORMAT=MLN","Sort=A","Dates=H","DateFormat=P","Fill=—","Direction=H","UseDPDF=Y")</f>
        <v>7191.7</v>
      </c>
      <c r="D21" s="16" cm="1">
        <f t="array" ref="D21">_xll.BDH("PCAR US Equity","BS_CUR_ASSET_REPORT","FQ4 2018","FQ4 2018","Currency=USD","Period=FQ","BEST_FPERIOD_OVERRIDE=FQ","FILING_STATUS=MR","SCALING_FORMAT=MLN","Sort=A","Dates=H","DateFormat=P","Fill=—","Direction=H","UseDPDF=Y")</f>
        <v>7320.1</v>
      </c>
      <c r="E21" s="16" cm="1">
        <f t="array" ref="E21">_xll.BDH("PCAR US Equity","BS_CUR_ASSET_REPORT","FQ1 2019","FQ1 2019","Currency=USD","Period=FQ","BEST_FPERIOD_OVERRIDE=FQ","FILING_STATUS=MR","SCALING_FORMAT=MLN","Sort=A","Dates=H","DateFormat=P","Fill=—","Direction=H","UseDPDF=Y")</f>
        <v>7334.7</v>
      </c>
      <c r="F21" s="16" cm="1">
        <f t="array" ref="F21">_xll.BDH("PCAR US Equity","BS_CUR_ASSET_REPORT","FQ2 2019","FQ2 2019","Currency=USD","Period=FQ","BEST_FPERIOD_OVERRIDE=FQ","FILING_STATUS=MR","SCALING_FORMAT=MLN","Sort=A","Dates=H","DateFormat=P","Fill=—","Direction=H","UseDPDF=Y")</f>
        <v>7788.2</v>
      </c>
      <c r="G21" s="16" cm="1">
        <f t="array" ref="G21">_xll.BDH("PCAR US Equity","BS_CUR_ASSET_REPORT","FQ3 2019","FQ3 2019","Currency=USD","Period=FQ","BEST_FPERIOD_OVERRIDE=FQ","FILING_STATUS=MR","SCALING_FORMAT=MLN","Sort=A","Dates=H","DateFormat=P","Fill=—","Direction=H","UseDPDF=Y")</f>
        <v>8186.2</v>
      </c>
      <c r="H21" s="16" cm="1">
        <f t="array" ref="H21">_xll.BDH("PCAR US Equity","BS_CUR_ASSET_REPORT","FQ4 2019","FQ4 2019","Currency=USD","Period=FQ","BEST_FPERIOD_OVERRIDE=FQ","FILING_STATUS=MR","SCALING_FORMAT=MLN","Sort=A","Dates=H","DateFormat=P","Fill=—","Direction=H","UseDPDF=Y")</f>
        <v>8184.5</v>
      </c>
      <c r="I21" s="16" cm="1">
        <f t="array" ref="I21">_xll.BDH("PCAR US Equity","BS_CUR_ASSET_REPORT","FQ1 2020","FQ1 2020","Currency=USD","Period=FQ","BEST_FPERIOD_OVERRIDE=FQ","FILING_STATUS=MR","SCALING_FORMAT=MLN","Sort=A","Dates=H","DateFormat=P","Fill=—","Direction=H","UseDPDF=Y")</f>
        <v>7497.1</v>
      </c>
      <c r="J21" s="16" cm="1">
        <f t="array" ref="J21">_xll.BDH("PCAR US Equity","BS_CUR_ASSET_REPORT","FQ2 2020","FQ2 2020","Currency=USD","Period=FQ","BEST_FPERIOD_OVERRIDE=FQ","FILING_STATUS=MR","SCALING_FORMAT=MLN","Sort=A","Dates=H","DateFormat=P","Fill=—","Direction=H","UseDPDF=Y")</f>
        <v>7152</v>
      </c>
      <c r="K21" s="16" cm="1">
        <f t="array" ref="K21">_xll.BDH("PCAR US Equity","BS_CUR_ASSET_REPORT","FQ3 2020","FQ3 2020","Currency=USD","Period=FQ","BEST_FPERIOD_OVERRIDE=FQ","FILING_STATUS=MR","SCALING_FORMAT=MLN","Sort=A","Dates=H","DateFormat=P","Fill=—","Direction=H","UseDPDF=Y")</f>
        <v>7569.3</v>
      </c>
      <c r="L21" s="16" cm="1">
        <f t="array" ref="L21">_xll.BDH("PCAR US Equity","BS_CUR_ASSET_REPORT","FQ4 2020","FQ4 2020","Currency=USD","Period=FQ","BEST_FPERIOD_OVERRIDE=FQ","FILING_STATUS=MR","SCALING_FORMAT=MLN","Sort=A","Dates=H","DateFormat=P","Fill=—","Direction=H","UseDPDF=Y")</f>
        <v>7903.6</v>
      </c>
      <c r="M21" s="16" cm="1">
        <f t="array" ref="M21">_xll.BDH("PCAR US Equity","BS_CUR_ASSET_REPORT","FQ1 2021","FQ1 2021","Currency=USD","Period=FQ","BEST_FPERIOD_OVERRIDE=FQ","FILING_STATUS=MR","SCALING_FORMAT=MLN","Sort=A","Dates=H","DateFormat=P","Fill=—","Direction=H","UseDPDF=Y")</f>
        <v>8428.6</v>
      </c>
      <c r="N21" s="16" cm="1">
        <f t="array" ref="N21">_xll.BDH("PCAR US Equity","BS_CUR_ASSET_REPORT","FQ2 2021","FQ2 2021","Currency=USD","Period=FQ","BEST_FPERIOD_OVERRIDE=FQ","FILING_STATUS=MR","SCALING_FORMAT=MLN","Sort=A","Dates=H","DateFormat=P","Fill=—","Direction=H","UseDPDF=Y")</f>
        <v>8881.6</v>
      </c>
      <c r="O21" s="16" cm="1">
        <f t="array" ref="O21">_xll.BDH("PCAR US Equity","BS_CUR_ASSET_REPORT","FQ3 2021","FQ3 2021","Currency=USD","Period=FQ","BEST_FPERIOD_OVERRIDE=FQ","FILING_STATUS=MR","SCALING_FORMAT=MLN","Sort=A","Dates=H","DateFormat=P","Fill=—","Direction=H","UseDPDF=Y")</f>
        <v>8437.6</v>
      </c>
      <c r="P21" s="16" cm="1">
        <f t="array" ref="P21">_xll.BDH("PCAR US Equity","BS_CUR_ASSET_REPORT","FQ4 2021","FQ4 2021","Currency=USD","Period=FQ","BEST_FPERIOD_OVERRIDE=FQ","FILING_STATUS=MR","SCALING_FORMAT=MLN","Sort=A","Dates=H","DateFormat=P","Fill=—","Direction=H","UseDPDF=Y")</f>
        <v>9271.7000000000007</v>
      </c>
      <c r="Q21" s="16" cm="1">
        <f t="array" ref="Q21">_xll.BDH("PCAR US Equity","BS_CUR_ASSET_REPORT","FQ1 2022","FQ1 2022","Currency=USD","Period=FQ","BEST_FPERIOD_OVERRIDE=FQ","FILING_STATUS=MR","SCALING_FORMAT=MLN","Sort=A","Dates=H","DateFormat=P","Fill=—","Direction=H","UseDPDF=Y")</f>
        <v>9700.5</v>
      </c>
      <c r="R21" s="16" cm="1">
        <f t="array" ref="R21">_xll.BDH("PCAR US Equity","BS_CUR_ASSET_REPORT","FQ2 2022","FQ2 2022","Currency=USD","Period=FQ","BEST_FPERIOD_OVERRIDE=FQ","FILING_STATUS=MR","SCALING_FORMAT=MLN","Sort=A","Dates=H","DateFormat=P","Fill=—","Direction=H","UseDPDF=Y")</f>
        <v>9674.5</v>
      </c>
      <c r="S21" s="16" cm="1">
        <f t="array" ref="S21">_xll.BDH("PCAR US Equity","BS_CUR_ASSET_REPORT","FQ3 2022","FQ3 2022","Currency=USD","Period=FQ","BEST_FPERIOD_OVERRIDE=FQ","FILING_STATUS=MR","SCALING_FORMAT=MLN","Sort=A","Dates=H","DateFormat=P","Fill=—","Direction=H","UseDPDF=Y")</f>
        <v>9988</v>
      </c>
      <c r="T21" s="16" cm="1">
        <f t="array" ref="T21">_xll.BDH("PCAR US Equity","BS_CUR_ASSET_REPORT","FQ4 2022","FQ4 2022","Currency=USD","Period=FQ","BEST_FPERIOD_OVERRIDE=FQ","FILING_STATUS=MR","SCALING_FORMAT=MLN","Sort=A","Dates=H","DateFormat=P","Fill=—","Direction=H","UseDPDF=Y")</f>
        <v>11105.7</v>
      </c>
      <c r="U21" s="16" cm="1">
        <f t="array" ref="U21">_xll.BDH("PCAR US Equity","BS_CUR_ASSET_REPORT","FQ1 2023","FQ1 2023","Currency=USD","Period=FQ","BEST_FPERIOD_OVERRIDE=FQ","FILING_STATUS=MR","SCALING_FORMAT=MLN","Sort=A","Dates=H","DateFormat=P","Fill=—","Direction=H","UseDPDF=Y")</f>
        <v>11776.4</v>
      </c>
      <c r="V21" s="16" cm="1">
        <f t="array" ref="V21">_xll.BDH("PCAR US Equity","BS_CUR_ASSET_REPORT","FQ2 2023","FQ2 2023","Currency=USD","Period=FQ","BEST_FPERIOD_OVERRIDE=FQ","FILING_STATUS=MR","SCALING_FORMAT=MLN","Sort=A","Dates=H","DateFormat=P","Fill=—","Direction=H","UseDPDF=Y")</f>
        <v>12609.5</v>
      </c>
      <c r="W21" s="16" cm="1">
        <f t="array" ref="W21">_xll.BDH("PCAR US Equity","BS_CUR_ASSET_REPORT","FQ3 2023","FQ3 2023","Currency=USD","Period=FQ","BEST_FPERIOD_OVERRIDE=FQ","FILING_STATUS=MR","SCALING_FORMAT=MLN","Sort=A","Dates=H","DateFormat=P","Fill=—","Direction=H","UseDPDF=Y")</f>
        <v>13285.9</v>
      </c>
      <c r="X21" s="16" cm="1">
        <f t="array" ref="X21">_xll.BDH("PCAR US Equity","BS_CUR_ASSET_REPORT","FQ4 2023","FQ4 2023","Currency=USD","Period=FQ","BEST_FPERIOD_OVERRIDE=FQ","FILING_STATUS=MR","SCALING_FORMAT=MLN","Sort=A","Dates=H","DateFormat=P","Fill=—","Direction=H","UseDPDF=Y")</f>
        <v>14459.7</v>
      </c>
      <c r="Y21" s="16" cm="1">
        <f t="array" ref="Y21">_xll.BDH("PCAR US Equity","BS_CUR_ASSET_REPORT","FQ1 2024","FQ1 2024","Currency=USD","Period=FQ","BEST_FPERIOD_OVERRIDE=FQ","FILING_STATUS=MR","SCALING_FORMAT=MLN","Sort=A","Dates=H","DateFormat=P","Fill=—","Direction=H","UseDPDF=Y")</f>
        <v>13801.8</v>
      </c>
      <c r="Z21" s="16" cm="1">
        <f t="array" ref="Z21">_xll.BDH("PCAR US Equity","BS_CUR_ASSET_REPORT","FQ2 2024","FQ2 2024","Currency=USD","Period=FQ","BEST_FPERIOD_OVERRIDE=FQ","FILING_STATUS=MR","SCALING_FORMAT=MLN","Sort=A","Dates=H","DateFormat=P","Fill=—","Direction=H","UseDPDF=Y")</f>
        <v>14212.8</v>
      </c>
      <c r="AA21" s="16" cm="1">
        <f t="array" ref="AA21">_xll.BDH("PCAR US Equity","BS_CUR_ASSET_REPORT","FQ3 2024","FQ3 2024","Currency=USD","Period=FQ","BEST_FPERIOD_OVERRIDE=FQ","FILING_STATUS=MR","SCALING_FORMAT=MLN","Sort=A","Dates=H","DateFormat=P","Fill=—","Direction=H","UseDPDF=Y")</f>
        <v>14869.8</v>
      </c>
      <c r="AB21" s="16" cm="1">
        <f t="array" ref="AB21">_xll.BDH("PCAR US Equity","BS_CUR_ASSET_REPORT","FQ4 2024","FQ4 2024","Currency=USD","Period=FQ","BEST_FPERIOD_OVERRIDE=FQ","FILING_STATUS=MR","SCALING_FORMAT=MLN","Sort=A","Dates=H","DateFormat=P","Fill=—","Direction=H","UseDPDF=Y")</f>
        <v>14891.7</v>
      </c>
      <c r="AC21" s="16" cm="1">
        <f t="array" ref="AC21">_xll.BDH("PCAR US Equity","BS_CUR_ASSET_REPORT","FQ1 2025","FQ1 2025","Currency=USD","Period=FQ","BEST_FPERIOD_OVERRIDE=FQ","FILING_STATUS=MR","SCALING_FORMAT=MLN","Sort=A","Dates=H","DateFormat=P","Fill=—","Direction=H","UseDPDF=Y")</f>
        <v>13691.9</v>
      </c>
      <c r="AD21" s="16" cm="1">
        <f t="array" ref="AD21">_xll.BDH("PCAR US Equity","BS_CUR_ASSET_REPORT","FQ2 2025","FQ2 2025","Currency=USD","Period=FQ","BEST_FPERIOD_OVERRIDE=FQ","FILING_STATUS=MR","SCALING_FORMAT=MLN","Sort=A","Dates=H","DateFormat=P","Fill=—","Direction=H","UseDPDF=Y")</f>
        <v>14036.1</v>
      </c>
      <c r="AE21" s="16" cm="1">
        <f t="array" ref="AE21">_xll.BDH("PCAR US Equity","BS_CUR_ASSET_REPORT","FQ3 2025","FQ3 2025","Currency=USD","Period=FQ","BEST_FPERIOD_OVERRIDE=FQ","FILING_STATUS=MR","SCALING_FORMAT=MLN","Sort=A","Dates=H","DateFormat=P","Fill=—","Direction=H","UseDPDF=Y")</f>
        <v>14726.7</v>
      </c>
      <c r="AF21" s="16" cm="1">
        <f t="array" ref="AF21">_xll.BDH("PCAR US Equity","BS_CUR_ASSET_REPORT","FQ4 2025","FQ4 2025","Currency=USD","Period=FQ","BEST_FPERIOD_OVERRIDE=FQ","FILING_STATUS=MR","SCALING_FORMAT=MLN","Sort=A","Dates=H","DateFormat=P","Fill=—","Direction=H","UseDPDF=Y")</f>
        <v>13422.3</v>
      </c>
    </row>
    <row r="22" spans="1:32" x14ac:dyDescent="0.25">
      <c r="A22" s="10" t="s">
        <v>96</v>
      </c>
      <c r="B22" s="10" t="s">
        <v>97</v>
      </c>
      <c r="C22" s="13" cm="1">
        <f t="array" ref="C22">_xll.BDH("PCAR US Equity","BS_NET_FIX_ASSET","FQ3 2018","FQ3 2018","Currency=USD","Period=FQ","BEST_FPERIOD_OVERRIDE=FQ","FILING_STATUS=MR","SCALING_FORMAT=MLN","Sort=A","Dates=H","DateFormat=P","Fill=—","Direction=H","UseDPDF=Y")</f>
        <v>2443.6</v>
      </c>
      <c r="D22" s="13" cm="1">
        <f t="array" ref="D22">_xll.BDH("PCAR US Equity","BS_NET_FIX_ASSET","FQ4 2018","FQ4 2018","Currency=USD","Period=FQ","BEST_FPERIOD_OVERRIDE=FQ","FILING_STATUS=MR","SCALING_FORMAT=MLN","Sort=A","Dates=H","DateFormat=P","Fill=—","Direction=H","UseDPDF=Y")</f>
        <v>2480.9</v>
      </c>
      <c r="E22" s="13" cm="1">
        <f t="array" ref="E22">_xll.BDH("PCAR US Equity","BS_NET_FIX_ASSET","FQ1 2019","FQ1 2019","Currency=USD","Period=FQ","BEST_FPERIOD_OVERRIDE=FQ","FILING_STATUS=MR","SCALING_FORMAT=MLN","Sort=A","Dates=H","DateFormat=P","Fill=—","Direction=H","UseDPDF=Y")</f>
        <v>6103</v>
      </c>
      <c r="F22" s="13" cm="1">
        <f t="array" ref="F22">_xll.BDH("PCAR US Equity","BS_NET_FIX_ASSET","FQ2 2019","FQ2 2019","Currency=USD","Period=FQ","BEST_FPERIOD_OVERRIDE=FQ","FILING_STATUS=MR","SCALING_FORMAT=MLN","Sort=A","Dates=H","DateFormat=P","Fill=—","Direction=H","UseDPDF=Y")</f>
        <v>6254.2</v>
      </c>
      <c r="G22" s="13" cm="1">
        <f t="array" ref="G22">_xll.BDH("PCAR US Equity","BS_NET_FIX_ASSET","FQ3 2019","FQ3 2019","Currency=USD","Period=FQ","BEST_FPERIOD_OVERRIDE=FQ","FILING_STATUS=MR","SCALING_FORMAT=MLN","Sort=A","Dates=H","DateFormat=P","Fill=—","Direction=H","UseDPDF=Y")</f>
        <v>6231.8</v>
      </c>
      <c r="H22" s="13" cm="1">
        <f t="array" ref="H22">_xll.BDH("PCAR US Equity","BS_NET_FIX_ASSET","FQ4 2019","FQ4 2019","Currency=USD","Period=FQ","BEST_FPERIOD_OVERRIDE=FQ","FILING_STATUS=MR","SCALING_FORMAT=MLN","Sort=A","Dates=H","DateFormat=P","Fill=—","Direction=H","UseDPDF=Y")</f>
        <v>6531.9</v>
      </c>
      <c r="I22" s="13" cm="1">
        <f t="array" ref="I22">_xll.BDH("PCAR US Equity","BS_NET_FIX_ASSET","FQ1 2020","FQ1 2020","Currency=USD","Period=FQ","BEST_FPERIOD_OVERRIDE=FQ","FILING_STATUS=MR","SCALING_FORMAT=MLN","Sort=A","Dates=H","DateFormat=P","Fill=—","Direction=H","UseDPDF=Y")</f>
        <v>6433.1</v>
      </c>
      <c r="J22" s="13" cm="1">
        <f t="array" ref="J22">_xll.BDH("PCAR US Equity","BS_NET_FIX_ASSET","FQ2 2020","FQ2 2020","Currency=USD","Period=FQ","BEST_FPERIOD_OVERRIDE=FQ","FILING_STATUS=MR","SCALING_FORMAT=MLN","Sort=A","Dates=H","DateFormat=P","Fill=—","Direction=H","UseDPDF=Y")</f>
        <v>6448.5</v>
      </c>
      <c r="K22" s="13" cm="1">
        <f t="array" ref="K22">_xll.BDH("PCAR US Equity","BS_NET_FIX_ASSET","FQ3 2020","FQ3 2020","Currency=USD","Period=FQ","BEST_FPERIOD_OVERRIDE=FQ","FILING_STATUS=MR","SCALING_FORMAT=MLN","Sort=A","Dates=H","DateFormat=P","Fill=—","Direction=H","UseDPDF=Y")</f>
        <v>6572.8</v>
      </c>
      <c r="L22" s="13" cm="1">
        <f t="array" ref="L22">_xll.BDH("PCAR US Equity","BS_NET_FIX_ASSET","FQ4 2020","FQ4 2020","Currency=USD","Period=FQ","BEST_FPERIOD_OVERRIDE=FQ","FILING_STATUS=MR","SCALING_FORMAT=MLN","Sort=A","Dates=H","DateFormat=P","Fill=—","Direction=H","UseDPDF=Y")</f>
        <v>6855.1</v>
      </c>
      <c r="M22" s="13" cm="1">
        <f t="array" ref="M22">_xll.BDH("PCAR US Equity","BS_NET_FIX_ASSET","FQ1 2021","FQ1 2021","Currency=USD","Period=FQ","BEST_FPERIOD_OVERRIDE=FQ","FILING_STATUS=MR","SCALING_FORMAT=MLN","Sort=A","Dates=H","DateFormat=P","Fill=—","Direction=H","UseDPDF=Y")</f>
        <v>6674.6</v>
      </c>
      <c r="N22" s="13" cm="1">
        <f t="array" ref="N22">_xll.BDH("PCAR US Equity","BS_NET_FIX_ASSET","FQ2 2021","FQ2 2021","Currency=USD","Period=FQ","BEST_FPERIOD_OVERRIDE=FQ","FILING_STATUS=MR","SCALING_FORMAT=MLN","Sort=A","Dates=H","DateFormat=P","Fill=—","Direction=H","UseDPDF=Y")</f>
        <v>6737.6</v>
      </c>
      <c r="O22" s="13" cm="1">
        <f t="array" ref="O22">_xll.BDH("PCAR US Equity","BS_NET_FIX_ASSET","FQ3 2021","FQ3 2021","Currency=USD","Period=FQ","BEST_FPERIOD_OVERRIDE=FQ","FILING_STATUS=MR","SCALING_FORMAT=MLN","Sort=A","Dates=H","DateFormat=P","Fill=—","Direction=H","UseDPDF=Y")</f>
        <v>6591.1</v>
      </c>
      <c r="P22" s="13" cm="1">
        <f t="array" ref="P22">_xll.BDH("PCAR US Equity","BS_NET_FIX_ASSET","FQ4 2021","FQ4 2021","Currency=USD","Period=FQ","BEST_FPERIOD_OVERRIDE=FQ","FILING_STATUS=MR","SCALING_FORMAT=MLN","Sort=A","Dates=H","DateFormat=P","Fill=—","Direction=H","UseDPDF=Y")</f>
        <v>6587</v>
      </c>
      <c r="Q22" s="13" cm="1">
        <f t="array" ref="Q22">_xll.BDH("PCAR US Equity","BS_NET_FIX_ASSET","FQ1 2022","FQ1 2022","Currency=USD","Period=FQ","BEST_FPERIOD_OVERRIDE=FQ","FILING_STATUS=MR","SCALING_FORMAT=MLN","Sort=A","Dates=H","DateFormat=P","Fill=—","Direction=H","UseDPDF=Y")</f>
        <v>6516.8</v>
      </c>
      <c r="R22" s="13" cm="1">
        <f t="array" ref="R22">_xll.BDH("PCAR US Equity","BS_NET_FIX_ASSET","FQ2 2022","FQ2 2022","Currency=USD","Period=FQ","BEST_FPERIOD_OVERRIDE=FQ","FILING_STATUS=MR","SCALING_FORMAT=MLN","Sort=A","Dates=H","DateFormat=P","Fill=—","Direction=H","UseDPDF=Y")</f>
        <v>6323.2</v>
      </c>
      <c r="S22" s="13" cm="1">
        <f t="array" ref="S22">_xll.BDH("PCAR US Equity","BS_NET_FIX_ASSET","FQ3 2022","FQ3 2022","Currency=USD","Period=FQ","BEST_FPERIOD_OVERRIDE=FQ","FILING_STATUS=MR","SCALING_FORMAT=MLN","Sort=A","Dates=H","DateFormat=P","Fill=—","Direction=H","UseDPDF=Y")</f>
        <v>6053.9</v>
      </c>
      <c r="T22" s="13" cm="1">
        <f t="array" ref="T22">_xll.BDH("PCAR US Equity","BS_NET_FIX_ASSET","FQ4 2022","FQ4 2022","Currency=USD","Period=FQ","BEST_FPERIOD_OVERRIDE=FQ","FILING_STATUS=MR","SCALING_FORMAT=MLN","Sort=A","Dates=H","DateFormat=P","Fill=—","Direction=H","UseDPDF=Y")</f>
        <v>6271.7</v>
      </c>
      <c r="U22" s="13" cm="1">
        <f t="array" ref="U22">_xll.BDH("PCAR US Equity","BS_NET_FIX_ASSET","FQ1 2023","FQ1 2023","Currency=USD","Period=FQ","BEST_FPERIOD_OVERRIDE=FQ","FILING_STATUS=MR","SCALING_FORMAT=MLN","Sort=A","Dates=H","DateFormat=P","Fill=—","Direction=H","UseDPDF=Y")</f>
        <v>6214.8</v>
      </c>
      <c r="V22" s="13" cm="1">
        <f t="array" ref="V22">_xll.BDH("PCAR US Equity","BS_NET_FIX_ASSET","FQ2 2023","FQ2 2023","Currency=USD","Period=FQ","BEST_FPERIOD_OVERRIDE=FQ","FILING_STATUS=MR","SCALING_FORMAT=MLN","Sort=A","Dates=H","DateFormat=P","Fill=—","Direction=H","UseDPDF=Y")</f>
        <v>6116.2</v>
      </c>
      <c r="W22" s="13" cm="1">
        <f t="array" ref="W22">_xll.BDH("PCAR US Equity","BS_NET_FIX_ASSET","FQ3 2023","FQ3 2023","Currency=USD","Period=FQ","BEST_FPERIOD_OVERRIDE=FQ","FILING_STATUS=MR","SCALING_FORMAT=MLN","Sort=A","Dates=H","DateFormat=P","Fill=—","Direction=H","UseDPDF=Y")</f>
        <v>5949.8</v>
      </c>
      <c r="X22" s="13" cm="1">
        <f t="array" ref="X22">_xll.BDH("PCAR US Equity","BS_NET_FIX_ASSET","FQ4 2023","FQ4 2023","Currency=USD","Period=FQ","BEST_FPERIOD_OVERRIDE=FQ","FILING_STATUS=MR","SCALING_FORMAT=MLN","Sort=A","Dates=H","DateFormat=P","Fill=—","Direction=H","UseDPDF=Y")</f>
        <v>6083.1</v>
      </c>
      <c r="Y22" s="13" cm="1">
        <f t="array" ref="Y22">_xll.BDH("PCAR US Equity","BS_NET_FIX_ASSET","FQ1 2024","FQ1 2024","Currency=USD","Period=FQ","BEST_FPERIOD_OVERRIDE=FQ","FILING_STATUS=MR","SCALING_FORMAT=MLN","Sort=A","Dates=H","DateFormat=P","Fill=—","Direction=H","UseDPDF=Y")</f>
        <v>5952.3</v>
      </c>
      <c r="Z22" s="13" cm="1">
        <f t="array" ref="Z22">_xll.BDH("PCAR US Equity","BS_NET_FIX_ASSET","FQ2 2024","FQ2 2024","Currency=USD","Period=FQ","BEST_FPERIOD_OVERRIDE=FQ","FILING_STATUS=MR","SCALING_FORMAT=MLN","Sort=A","Dates=H","DateFormat=P","Fill=—","Direction=H","UseDPDF=Y")</f>
        <v>6010.5</v>
      </c>
      <c r="AA22" s="13" cm="1">
        <f t="array" ref="AA22">_xll.BDH("PCAR US Equity","BS_NET_FIX_ASSET","FQ3 2024","FQ3 2024","Currency=USD","Period=FQ","BEST_FPERIOD_OVERRIDE=FQ","FILING_STATUS=MR","SCALING_FORMAT=MLN","Sort=A","Dates=H","DateFormat=P","Fill=—","Direction=H","UseDPDF=Y")</f>
        <v>6111.9</v>
      </c>
      <c r="AB22" s="13" cm="1">
        <f t="array" ref="AB22">_xll.BDH("PCAR US Equity","BS_NET_FIX_ASSET","FQ4 2024","FQ4 2024","Currency=USD","Period=FQ","BEST_FPERIOD_OVERRIDE=FQ","FILING_STATUS=MR","SCALING_FORMAT=MLN","Sort=A","Dates=H","DateFormat=P","Fill=—","Direction=H","UseDPDF=Y")</f>
        <v>5946.2</v>
      </c>
      <c r="AC22" s="13" cm="1">
        <f t="array" ref="AC22">_xll.BDH("PCAR US Equity","BS_NET_FIX_ASSET","FQ1 2025","FQ1 2025","Currency=USD","Period=FQ","BEST_FPERIOD_OVERRIDE=FQ","FILING_STATUS=MR","SCALING_FORMAT=MLN","Sort=A","Dates=H","DateFormat=P","Fill=—","Direction=H","UseDPDF=Y")</f>
        <v>5996</v>
      </c>
      <c r="AD22" s="13" cm="1">
        <f t="array" ref="AD22">_xll.BDH("PCAR US Equity","BS_NET_FIX_ASSET","FQ2 2025","FQ2 2025","Currency=USD","Period=FQ","BEST_FPERIOD_OVERRIDE=FQ","FILING_STATUS=MR","SCALING_FORMAT=MLN","Sort=A","Dates=H","DateFormat=P","Fill=—","Direction=H","UseDPDF=Y")</f>
        <v>6325.3</v>
      </c>
      <c r="AE22" s="13" cm="1">
        <f t="array" ref="AE22">_xll.BDH("PCAR US Equity","BS_NET_FIX_ASSET","FQ3 2025","FQ3 2025","Currency=USD","Period=FQ","BEST_FPERIOD_OVERRIDE=FQ","FILING_STATUS=MR","SCALING_FORMAT=MLN","Sort=A","Dates=H","DateFormat=P","Fill=—","Direction=H","UseDPDF=Y")</f>
        <v>6314.1</v>
      </c>
      <c r="AF22" s="13" cm="1">
        <f t="array" ref="AF22">_xll.BDH("PCAR US Equity","BS_NET_FIX_ASSET","FQ4 2025","FQ4 2025","Currency=USD","Period=FQ","BEST_FPERIOD_OVERRIDE=FQ","FILING_STATUS=MR","SCALING_FORMAT=MLN","Sort=A","Dates=H","DateFormat=P","Fill=—","Direction=H","UseDPDF=Y")</f>
        <v>4505.3</v>
      </c>
    </row>
    <row r="23" spans="1:32" x14ac:dyDescent="0.25">
      <c r="A23" s="10" t="s">
        <v>98</v>
      </c>
      <c r="B23" s="10" t="s">
        <v>99</v>
      </c>
      <c r="C23" s="13" t="str" cm="1">
        <f t="array" ref="C23">_xll.BDH("PCAR US Equity","BS_GROSS_FIX_ASSET","FQ3 2018","FQ3 2018","Currency=USD","Period=FQ","BEST_FPERIOD_OVERRIDE=FQ","FILING_STATUS=MR","SCALING_FORMAT=MLN","Sort=A","Dates=H","DateFormat=P","Fill=—","Direction=H","UseDPDF=Y")</f>
        <v>—</v>
      </c>
      <c r="D23" s="13" cm="1">
        <f t="array" ref="D23">_xll.BDH("PCAR US Equity","BS_GROSS_FIX_ASSET","FQ4 2018","FQ4 2018","Currency=USD","Period=FQ","BEST_FPERIOD_OVERRIDE=FQ","FILING_STATUS=MR","SCALING_FORMAT=MLN","Sort=A","Dates=H","DateFormat=P","Fill=—","Direction=H","UseDPDF=Y")</f>
        <v>5787.7</v>
      </c>
      <c r="E23" s="13" t="str" cm="1">
        <f t="array" ref="E23">_xll.BDH("PCAR US Equity","BS_GROSS_FIX_ASSET","FQ1 2019","FQ1 2019","Currency=USD","Period=FQ","BEST_FPERIOD_OVERRIDE=FQ","FILING_STATUS=MR","SCALING_FORMAT=MLN","Sort=A","Dates=H","DateFormat=P","Fill=—","Direction=H","UseDPDF=Y")</f>
        <v>—</v>
      </c>
      <c r="F23" s="13" t="str" cm="1">
        <f t="array" ref="F23">_xll.BDH("PCAR US Equity","BS_GROSS_FIX_ASSET","FQ2 2019","FQ2 2019","Currency=USD","Period=FQ","BEST_FPERIOD_OVERRIDE=FQ","FILING_STATUS=MR","SCALING_FORMAT=MLN","Sort=A","Dates=H","DateFormat=P","Fill=—","Direction=H","UseDPDF=Y")</f>
        <v>—</v>
      </c>
      <c r="G23" s="13" t="str" cm="1">
        <f t="array" ref="G23">_xll.BDH("PCAR US Equity","BS_GROSS_FIX_ASSET","FQ3 2019","FQ3 2019","Currency=USD","Period=FQ","BEST_FPERIOD_OVERRIDE=FQ","FILING_STATUS=MR","SCALING_FORMAT=MLN","Sort=A","Dates=H","DateFormat=P","Fill=—","Direction=H","UseDPDF=Y")</f>
        <v>—</v>
      </c>
      <c r="H23" s="13" cm="1">
        <f t="array" ref="H23">_xll.BDH("PCAR US Equity","BS_GROSS_FIX_ASSET","FQ4 2019","FQ4 2019","Currency=USD","Period=FQ","BEST_FPERIOD_OVERRIDE=FQ","FILING_STATUS=MR","SCALING_FORMAT=MLN","Sort=A","Dates=H","DateFormat=P","Fill=—","Direction=H","UseDPDF=Y")</f>
        <v>10042</v>
      </c>
      <c r="I23" s="13" t="str" cm="1">
        <f t="array" ref="I23">_xll.BDH("PCAR US Equity","BS_GROSS_FIX_ASSET","FQ1 2020","FQ1 2020","Currency=USD","Period=FQ","BEST_FPERIOD_OVERRIDE=FQ","FILING_STATUS=MR","SCALING_FORMAT=MLN","Sort=A","Dates=H","DateFormat=P","Fill=—","Direction=H","UseDPDF=Y")</f>
        <v>—</v>
      </c>
      <c r="J23" s="13" t="str" cm="1">
        <f t="array" ref="J23">_xll.BDH("PCAR US Equity","BS_GROSS_FIX_ASSET","FQ2 2020","FQ2 2020","Currency=USD","Period=FQ","BEST_FPERIOD_OVERRIDE=FQ","FILING_STATUS=MR","SCALING_FORMAT=MLN","Sort=A","Dates=H","DateFormat=P","Fill=—","Direction=H","UseDPDF=Y")</f>
        <v>—</v>
      </c>
      <c r="K23" s="13" t="str" cm="1">
        <f t="array" ref="K23">_xll.BDH("PCAR US Equity","BS_GROSS_FIX_ASSET","FQ3 2020","FQ3 2020","Currency=USD","Period=FQ","BEST_FPERIOD_OVERRIDE=FQ","FILING_STATUS=MR","SCALING_FORMAT=MLN","Sort=A","Dates=H","DateFormat=P","Fill=—","Direction=H","UseDPDF=Y")</f>
        <v>—</v>
      </c>
      <c r="L23" s="13" cm="1">
        <f t="array" ref="L23">_xll.BDH("PCAR US Equity","BS_GROSS_FIX_ASSET","FQ4 2020","FQ4 2020","Currency=USD","Period=FQ","BEST_FPERIOD_OVERRIDE=FQ","FILING_STATUS=MR","SCALING_FORMAT=MLN","Sort=A","Dates=H","DateFormat=P","Fill=—","Direction=H","UseDPDF=Y")</f>
        <v>10662</v>
      </c>
      <c r="M23" s="13" t="str" cm="1">
        <f t="array" ref="M23">_xll.BDH("PCAR US Equity","BS_GROSS_FIX_ASSET","FQ1 2021","FQ1 2021","Currency=USD","Period=FQ","BEST_FPERIOD_OVERRIDE=FQ","FILING_STATUS=MR","SCALING_FORMAT=MLN","Sort=A","Dates=H","DateFormat=P","Fill=—","Direction=H","UseDPDF=Y")</f>
        <v>—</v>
      </c>
      <c r="N23" s="13" t="str" cm="1">
        <f t="array" ref="N23">_xll.BDH("PCAR US Equity","BS_GROSS_FIX_ASSET","FQ2 2021","FQ2 2021","Currency=USD","Period=FQ","BEST_FPERIOD_OVERRIDE=FQ","FILING_STATUS=MR","SCALING_FORMAT=MLN","Sort=A","Dates=H","DateFormat=P","Fill=—","Direction=H","UseDPDF=Y")</f>
        <v>—</v>
      </c>
      <c r="O23" s="13" t="str" cm="1">
        <f t="array" ref="O23">_xll.BDH("PCAR US Equity","BS_GROSS_FIX_ASSET","FQ3 2021","FQ3 2021","Currency=USD","Period=FQ","BEST_FPERIOD_OVERRIDE=FQ","FILING_STATUS=MR","SCALING_FORMAT=MLN","Sort=A","Dates=H","DateFormat=P","Fill=—","Direction=H","UseDPDF=Y")</f>
        <v>—</v>
      </c>
      <c r="P23" s="13" cm="1">
        <f t="array" ref="P23">_xll.BDH("PCAR US Equity","BS_GROSS_FIX_ASSET","FQ4 2021","FQ4 2021","Currency=USD","Period=FQ","BEST_FPERIOD_OVERRIDE=FQ","FILING_STATUS=MR","SCALING_FORMAT=MLN","Sort=A","Dates=H","DateFormat=P","Fill=—","Direction=H","UseDPDF=Y")</f>
        <v>10453.200000000001</v>
      </c>
      <c r="Q23" s="13" t="str" cm="1">
        <f t="array" ref="Q23">_xll.BDH("PCAR US Equity","BS_GROSS_FIX_ASSET","FQ1 2022","FQ1 2022","Currency=USD","Period=FQ","BEST_FPERIOD_OVERRIDE=FQ","FILING_STATUS=MR","SCALING_FORMAT=MLN","Sort=A","Dates=H","DateFormat=P","Fill=—","Direction=H","UseDPDF=Y")</f>
        <v>—</v>
      </c>
      <c r="R23" s="13" t="str" cm="1">
        <f t="array" ref="R23">_xll.BDH("PCAR US Equity","BS_GROSS_FIX_ASSET","FQ2 2022","FQ2 2022","Currency=USD","Period=FQ","BEST_FPERIOD_OVERRIDE=FQ","FILING_STATUS=MR","SCALING_FORMAT=MLN","Sort=A","Dates=H","DateFormat=P","Fill=—","Direction=H","UseDPDF=Y")</f>
        <v>—</v>
      </c>
      <c r="S23" s="13" t="str" cm="1">
        <f t="array" ref="S23">_xll.BDH("PCAR US Equity","BS_GROSS_FIX_ASSET","FQ3 2022","FQ3 2022","Currency=USD","Period=FQ","BEST_FPERIOD_OVERRIDE=FQ","FILING_STATUS=MR","SCALING_FORMAT=MLN","Sort=A","Dates=H","DateFormat=P","Fill=—","Direction=H","UseDPDF=Y")</f>
        <v>—</v>
      </c>
      <c r="T23" s="13" cm="1">
        <f t="array" ref="T23">_xll.BDH("PCAR US Equity","BS_GROSS_FIX_ASSET","FQ4 2022","FQ4 2022","Currency=USD","Period=FQ","BEST_FPERIOD_OVERRIDE=FQ","FILING_STATUS=MR","SCALING_FORMAT=MLN","Sort=A","Dates=H","DateFormat=P","Fill=—","Direction=H","UseDPDF=Y")</f>
        <v>10192.5</v>
      </c>
      <c r="U23" s="13" t="str" cm="1">
        <f t="array" ref="U23">_xll.BDH("PCAR US Equity","BS_GROSS_FIX_ASSET","FQ1 2023","FQ1 2023","Currency=USD","Period=FQ","BEST_FPERIOD_OVERRIDE=FQ","FILING_STATUS=MR","SCALING_FORMAT=MLN","Sort=A","Dates=H","DateFormat=P","Fill=—","Direction=H","UseDPDF=Y")</f>
        <v>—</v>
      </c>
      <c r="V23" s="13" t="str" cm="1">
        <f t="array" ref="V23">_xll.BDH("PCAR US Equity","BS_GROSS_FIX_ASSET","FQ2 2023","FQ2 2023","Currency=USD","Period=FQ","BEST_FPERIOD_OVERRIDE=FQ","FILING_STATUS=MR","SCALING_FORMAT=MLN","Sort=A","Dates=H","DateFormat=P","Fill=—","Direction=H","UseDPDF=Y")</f>
        <v>—</v>
      </c>
      <c r="W23" s="13" t="str" cm="1">
        <f t="array" ref="W23">_xll.BDH("PCAR US Equity","BS_GROSS_FIX_ASSET","FQ3 2023","FQ3 2023","Currency=USD","Period=FQ","BEST_FPERIOD_OVERRIDE=FQ","FILING_STATUS=MR","SCALING_FORMAT=MLN","Sort=A","Dates=H","DateFormat=P","Fill=—","Direction=H","UseDPDF=Y")</f>
        <v>—</v>
      </c>
      <c r="X23" s="13" cm="1">
        <f t="array" ref="X23">_xll.BDH("PCAR US Equity","BS_GROSS_FIX_ASSET","FQ4 2023","FQ4 2023","Currency=USD","Period=FQ","BEST_FPERIOD_OVERRIDE=FQ","FILING_STATUS=MR","SCALING_FORMAT=MLN","Sort=A","Dates=H","DateFormat=P","Fill=—","Direction=H","UseDPDF=Y")</f>
        <v>10346.5</v>
      </c>
      <c r="Y23" s="13" t="str" cm="1">
        <f t="array" ref="Y23">_xll.BDH("PCAR US Equity","BS_GROSS_FIX_ASSET","FQ1 2024","FQ1 2024","Currency=USD","Period=FQ","BEST_FPERIOD_OVERRIDE=FQ","FILING_STATUS=MR","SCALING_FORMAT=MLN","Sort=A","Dates=H","DateFormat=P","Fill=—","Direction=H","UseDPDF=Y")</f>
        <v>—</v>
      </c>
      <c r="Z23" s="13" t="str" cm="1">
        <f t="array" ref="Z23">_xll.BDH("PCAR US Equity","BS_GROSS_FIX_ASSET","FQ2 2024","FQ2 2024","Currency=USD","Period=FQ","BEST_FPERIOD_OVERRIDE=FQ","FILING_STATUS=MR","SCALING_FORMAT=MLN","Sort=A","Dates=H","DateFormat=P","Fill=—","Direction=H","UseDPDF=Y")</f>
        <v>—</v>
      </c>
      <c r="AA23" s="13" t="str" cm="1">
        <f t="array" ref="AA23">_xll.BDH("PCAR US Equity","BS_GROSS_FIX_ASSET","FQ3 2024","FQ3 2024","Currency=USD","Period=FQ","BEST_FPERIOD_OVERRIDE=FQ","FILING_STATUS=MR","SCALING_FORMAT=MLN","Sort=A","Dates=H","DateFormat=P","Fill=—","Direction=H","UseDPDF=Y")</f>
        <v>—</v>
      </c>
      <c r="AB23" s="13" cm="1">
        <f t="array" ref="AB23">_xll.BDH("PCAR US Equity","BS_GROSS_FIX_ASSET","FQ4 2024","FQ4 2024","Currency=USD","Period=FQ","BEST_FPERIOD_OVERRIDE=FQ","FILING_STATUS=MR","SCALING_FORMAT=MLN","Sort=A","Dates=H","DateFormat=P","Fill=—","Direction=H","UseDPDF=Y")</f>
        <v>10339</v>
      </c>
      <c r="AC23" s="13" t="str" cm="1">
        <f t="array" ref="AC23">_xll.BDH("PCAR US Equity","BS_GROSS_FIX_ASSET","FQ1 2025","FQ1 2025","Currency=USD","Period=FQ","BEST_FPERIOD_OVERRIDE=FQ","FILING_STATUS=MR","SCALING_FORMAT=MLN","Sort=A","Dates=H","DateFormat=P","Fill=—","Direction=H","UseDPDF=Y")</f>
        <v>—</v>
      </c>
      <c r="AD23" s="13" t="str" cm="1">
        <f t="array" ref="AD23">_xll.BDH("PCAR US Equity","BS_GROSS_FIX_ASSET","FQ2 2025","FQ2 2025","Currency=USD","Period=FQ","BEST_FPERIOD_OVERRIDE=FQ","FILING_STATUS=MR","SCALING_FORMAT=MLN","Sort=A","Dates=H","DateFormat=P","Fill=—","Direction=H","UseDPDF=Y")</f>
        <v>—</v>
      </c>
      <c r="AE23" s="13" t="str" cm="1">
        <f t="array" ref="AE23">_xll.BDH("PCAR US Equity","BS_GROSS_FIX_ASSET","FQ3 2025","FQ3 2025","Currency=USD","Period=FQ","BEST_FPERIOD_OVERRIDE=FQ","FILING_STATUS=MR","SCALING_FORMAT=MLN","Sort=A","Dates=H","DateFormat=P","Fill=—","Direction=H","UseDPDF=Y")</f>
        <v>—</v>
      </c>
      <c r="AF23" s="13" t="str" cm="1">
        <f t="array" ref="AF23">_xll.BDH("PCAR US Equity","BS_GROSS_FIX_ASSET","FQ4 2025","FQ4 2025","Currency=USD","Period=FQ","BEST_FPERIOD_OVERRIDE=FQ","FILING_STATUS=MR","SCALING_FORMAT=MLN","Sort=A","Dates=H","DateFormat=P","Fill=—","Direction=H","UseDPDF=Y")</f>
        <v>—</v>
      </c>
    </row>
    <row r="24" spans="1:32" x14ac:dyDescent="0.25">
      <c r="A24" s="10" t="s">
        <v>100</v>
      </c>
      <c r="B24" s="10" t="s">
        <v>101</v>
      </c>
      <c r="C24" s="13" t="str" cm="1">
        <f t="array" ref="C24">_xll.BDH("PCAR US Equity","BS_ACCUM_DEPR","FQ3 2018","FQ3 2018","Currency=USD","Period=FQ","BEST_FPERIOD_OVERRIDE=FQ","FILING_STATUS=MR","SCALING_FORMAT=MLN","Sort=A","Dates=H","DateFormat=P","Fill=—","Direction=H","UseDPDF=Y")</f>
        <v>—</v>
      </c>
      <c r="D24" s="13" cm="1">
        <f t="array" ref="D24">_xll.BDH("PCAR US Equity","BS_ACCUM_DEPR","FQ4 2018","FQ4 2018","Currency=USD","Period=FQ","BEST_FPERIOD_OVERRIDE=FQ","FILING_STATUS=MR","SCALING_FORMAT=MLN","Sort=A","Dates=H","DateFormat=P","Fill=—","Direction=H","UseDPDF=Y")</f>
        <v>3306.8</v>
      </c>
      <c r="E24" s="13" t="str" cm="1">
        <f t="array" ref="E24">_xll.BDH("PCAR US Equity","BS_ACCUM_DEPR","FQ1 2019","FQ1 2019","Currency=USD","Period=FQ","BEST_FPERIOD_OVERRIDE=FQ","FILING_STATUS=MR","SCALING_FORMAT=MLN","Sort=A","Dates=H","DateFormat=P","Fill=—","Direction=H","UseDPDF=Y")</f>
        <v>—</v>
      </c>
      <c r="F24" s="13" t="str" cm="1">
        <f t="array" ref="F24">_xll.BDH("PCAR US Equity","BS_ACCUM_DEPR","FQ2 2019","FQ2 2019","Currency=USD","Period=FQ","BEST_FPERIOD_OVERRIDE=FQ","FILING_STATUS=MR","SCALING_FORMAT=MLN","Sort=A","Dates=H","DateFormat=P","Fill=—","Direction=H","UseDPDF=Y")</f>
        <v>—</v>
      </c>
      <c r="G24" s="13" t="str" cm="1">
        <f t="array" ref="G24">_xll.BDH("PCAR US Equity","BS_ACCUM_DEPR","FQ3 2019","FQ3 2019","Currency=USD","Period=FQ","BEST_FPERIOD_OVERRIDE=FQ","FILING_STATUS=MR","SCALING_FORMAT=MLN","Sort=A","Dates=H","DateFormat=P","Fill=—","Direction=H","UseDPDF=Y")</f>
        <v>—</v>
      </c>
      <c r="H24" s="13" cm="1">
        <f t="array" ref="H24">_xll.BDH("PCAR US Equity","BS_ACCUM_DEPR","FQ4 2019","FQ4 2019","Currency=USD","Period=FQ","BEST_FPERIOD_OVERRIDE=FQ","FILING_STATUS=MR","SCALING_FORMAT=MLN","Sort=A","Dates=H","DateFormat=P","Fill=—","Direction=H","UseDPDF=Y")</f>
        <v>3510.1</v>
      </c>
      <c r="I24" s="13" t="str" cm="1">
        <f t="array" ref="I24">_xll.BDH("PCAR US Equity","BS_ACCUM_DEPR","FQ1 2020","FQ1 2020","Currency=USD","Period=FQ","BEST_FPERIOD_OVERRIDE=FQ","FILING_STATUS=MR","SCALING_FORMAT=MLN","Sort=A","Dates=H","DateFormat=P","Fill=—","Direction=H","UseDPDF=Y")</f>
        <v>—</v>
      </c>
      <c r="J24" s="13" t="str" cm="1">
        <f t="array" ref="J24">_xll.BDH("PCAR US Equity","BS_ACCUM_DEPR","FQ2 2020","FQ2 2020","Currency=USD","Period=FQ","BEST_FPERIOD_OVERRIDE=FQ","FILING_STATUS=MR","SCALING_FORMAT=MLN","Sort=A","Dates=H","DateFormat=P","Fill=—","Direction=H","UseDPDF=Y")</f>
        <v>—</v>
      </c>
      <c r="K24" s="13" t="str" cm="1">
        <f t="array" ref="K24">_xll.BDH("PCAR US Equity","BS_ACCUM_DEPR","FQ3 2020","FQ3 2020","Currency=USD","Period=FQ","BEST_FPERIOD_OVERRIDE=FQ","FILING_STATUS=MR","SCALING_FORMAT=MLN","Sort=A","Dates=H","DateFormat=P","Fill=—","Direction=H","UseDPDF=Y")</f>
        <v>—</v>
      </c>
      <c r="L24" s="13" cm="1">
        <f t="array" ref="L24">_xll.BDH("PCAR US Equity","BS_ACCUM_DEPR","FQ4 2020","FQ4 2020","Currency=USD","Period=FQ","BEST_FPERIOD_OVERRIDE=FQ","FILING_STATUS=MR","SCALING_FORMAT=MLN","Sort=A","Dates=H","DateFormat=P","Fill=—","Direction=H","UseDPDF=Y")</f>
        <v>3806.9</v>
      </c>
      <c r="M24" s="13" t="str" cm="1">
        <f t="array" ref="M24">_xll.BDH("PCAR US Equity","BS_ACCUM_DEPR","FQ1 2021","FQ1 2021","Currency=USD","Period=FQ","BEST_FPERIOD_OVERRIDE=FQ","FILING_STATUS=MR","SCALING_FORMAT=MLN","Sort=A","Dates=H","DateFormat=P","Fill=—","Direction=H","UseDPDF=Y")</f>
        <v>—</v>
      </c>
      <c r="N24" s="13" t="str" cm="1">
        <f t="array" ref="N24">_xll.BDH("PCAR US Equity","BS_ACCUM_DEPR","FQ2 2021","FQ2 2021","Currency=USD","Period=FQ","BEST_FPERIOD_OVERRIDE=FQ","FILING_STATUS=MR","SCALING_FORMAT=MLN","Sort=A","Dates=H","DateFormat=P","Fill=—","Direction=H","UseDPDF=Y")</f>
        <v>—</v>
      </c>
      <c r="O24" s="13" t="str" cm="1">
        <f t="array" ref="O24">_xll.BDH("PCAR US Equity","BS_ACCUM_DEPR","FQ3 2021","FQ3 2021","Currency=USD","Period=FQ","BEST_FPERIOD_OVERRIDE=FQ","FILING_STATUS=MR","SCALING_FORMAT=MLN","Sort=A","Dates=H","DateFormat=P","Fill=—","Direction=H","UseDPDF=Y")</f>
        <v>—</v>
      </c>
      <c r="P24" s="13" cm="1">
        <f t="array" ref="P24">_xll.BDH("PCAR US Equity","BS_ACCUM_DEPR","FQ4 2021","FQ4 2021","Currency=USD","Period=FQ","BEST_FPERIOD_OVERRIDE=FQ","FILING_STATUS=MR","SCALING_FORMAT=MLN","Sort=A","Dates=H","DateFormat=P","Fill=—","Direction=H","UseDPDF=Y")</f>
        <v>3866.2</v>
      </c>
      <c r="Q24" s="13" t="str" cm="1">
        <f t="array" ref="Q24">_xll.BDH("PCAR US Equity","BS_ACCUM_DEPR","FQ1 2022","FQ1 2022","Currency=USD","Period=FQ","BEST_FPERIOD_OVERRIDE=FQ","FILING_STATUS=MR","SCALING_FORMAT=MLN","Sort=A","Dates=H","DateFormat=P","Fill=—","Direction=H","UseDPDF=Y")</f>
        <v>—</v>
      </c>
      <c r="R24" s="13" t="str" cm="1">
        <f t="array" ref="R24">_xll.BDH("PCAR US Equity","BS_ACCUM_DEPR","FQ2 2022","FQ2 2022","Currency=USD","Period=FQ","BEST_FPERIOD_OVERRIDE=FQ","FILING_STATUS=MR","SCALING_FORMAT=MLN","Sort=A","Dates=H","DateFormat=P","Fill=—","Direction=H","UseDPDF=Y")</f>
        <v>—</v>
      </c>
      <c r="S24" s="13" t="str" cm="1">
        <f t="array" ref="S24">_xll.BDH("PCAR US Equity","BS_ACCUM_DEPR","FQ3 2022","FQ3 2022","Currency=USD","Period=FQ","BEST_FPERIOD_OVERRIDE=FQ","FILING_STATUS=MR","SCALING_FORMAT=MLN","Sort=A","Dates=H","DateFormat=P","Fill=—","Direction=H","UseDPDF=Y")</f>
        <v>—</v>
      </c>
      <c r="T24" s="13" cm="1">
        <f t="array" ref="T24">_xll.BDH("PCAR US Equity","BS_ACCUM_DEPR","FQ4 2022","FQ4 2022","Currency=USD","Period=FQ","BEST_FPERIOD_OVERRIDE=FQ","FILING_STATUS=MR","SCALING_FORMAT=MLN","Sort=A","Dates=H","DateFormat=P","Fill=—","Direction=H","UseDPDF=Y")</f>
        <v>3920.8</v>
      </c>
      <c r="U24" s="13" t="str" cm="1">
        <f t="array" ref="U24">_xll.BDH("PCAR US Equity","BS_ACCUM_DEPR","FQ1 2023","FQ1 2023","Currency=USD","Period=FQ","BEST_FPERIOD_OVERRIDE=FQ","FILING_STATUS=MR","SCALING_FORMAT=MLN","Sort=A","Dates=H","DateFormat=P","Fill=—","Direction=H","UseDPDF=Y")</f>
        <v>—</v>
      </c>
      <c r="V24" s="13" t="str" cm="1">
        <f t="array" ref="V24">_xll.BDH("PCAR US Equity","BS_ACCUM_DEPR","FQ2 2023","FQ2 2023","Currency=USD","Period=FQ","BEST_FPERIOD_OVERRIDE=FQ","FILING_STATUS=MR","SCALING_FORMAT=MLN","Sort=A","Dates=H","DateFormat=P","Fill=—","Direction=H","UseDPDF=Y")</f>
        <v>—</v>
      </c>
      <c r="W24" s="13" t="str" cm="1">
        <f t="array" ref="W24">_xll.BDH("PCAR US Equity","BS_ACCUM_DEPR","FQ3 2023","FQ3 2023","Currency=USD","Period=FQ","BEST_FPERIOD_OVERRIDE=FQ","FILING_STATUS=MR","SCALING_FORMAT=MLN","Sort=A","Dates=H","DateFormat=P","Fill=—","Direction=H","UseDPDF=Y")</f>
        <v>—</v>
      </c>
      <c r="X24" s="13" cm="1">
        <f t="array" ref="X24">_xll.BDH("PCAR US Equity","BS_ACCUM_DEPR","FQ4 2023","FQ4 2023","Currency=USD","Period=FQ","BEST_FPERIOD_OVERRIDE=FQ","FILING_STATUS=MR","SCALING_FORMAT=MLN","Sort=A","Dates=H","DateFormat=P","Fill=—","Direction=H","UseDPDF=Y")</f>
        <v>4263.3999999999996</v>
      </c>
      <c r="Y24" s="13" t="str" cm="1">
        <f t="array" ref="Y24">_xll.BDH("PCAR US Equity","BS_ACCUM_DEPR","FQ1 2024","FQ1 2024","Currency=USD","Period=FQ","BEST_FPERIOD_OVERRIDE=FQ","FILING_STATUS=MR","SCALING_FORMAT=MLN","Sort=A","Dates=H","DateFormat=P","Fill=—","Direction=H","UseDPDF=Y")</f>
        <v>—</v>
      </c>
      <c r="Z24" s="13" t="str" cm="1">
        <f t="array" ref="Z24">_xll.BDH("PCAR US Equity","BS_ACCUM_DEPR","FQ2 2024","FQ2 2024","Currency=USD","Period=FQ","BEST_FPERIOD_OVERRIDE=FQ","FILING_STATUS=MR","SCALING_FORMAT=MLN","Sort=A","Dates=H","DateFormat=P","Fill=—","Direction=H","UseDPDF=Y")</f>
        <v>—</v>
      </c>
      <c r="AA24" s="13" t="str" cm="1">
        <f t="array" ref="AA24">_xll.BDH("PCAR US Equity","BS_ACCUM_DEPR","FQ3 2024","FQ3 2024","Currency=USD","Period=FQ","BEST_FPERIOD_OVERRIDE=FQ","FILING_STATUS=MR","SCALING_FORMAT=MLN","Sort=A","Dates=H","DateFormat=P","Fill=—","Direction=H","UseDPDF=Y")</f>
        <v>—</v>
      </c>
      <c r="AB24" s="13" cm="1">
        <f t="array" ref="AB24">_xll.BDH("PCAR US Equity","BS_ACCUM_DEPR","FQ4 2024","FQ4 2024","Currency=USD","Period=FQ","BEST_FPERIOD_OVERRIDE=FQ","FILING_STATUS=MR","SCALING_FORMAT=MLN","Sort=A","Dates=H","DateFormat=P","Fill=—","Direction=H","UseDPDF=Y")</f>
        <v>4392.8</v>
      </c>
      <c r="AC24" s="13" t="str" cm="1">
        <f t="array" ref="AC24">_xll.BDH("PCAR US Equity","BS_ACCUM_DEPR","FQ1 2025","FQ1 2025","Currency=USD","Period=FQ","BEST_FPERIOD_OVERRIDE=FQ","FILING_STATUS=MR","SCALING_FORMAT=MLN","Sort=A","Dates=H","DateFormat=P","Fill=—","Direction=H","UseDPDF=Y")</f>
        <v>—</v>
      </c>
      <c r="AD24" s="13" t="str" cm="1">
        <f t="array" ref="AD24">_xll.BDH("PCAR US Equity","BS_ACCUM_DEPR","FQ2 2025","FQ2 2025","Currency=USD","Period=FQ","BEST_FPERIOD_OVERRIDE=FQ","FILING_STATUS=MR","SCALING_FORMAT=MLN","Sort=A","Dates=H","DateFormat=P","Fill=—","Direction=H","UseDPDF=Y")</f>
        <v>—</v>
      </c>
      <c r="AE24" s="13" t="str" cm="1">
        <f t="array" ref="AE24">_xll.BDH("PCAR US Equity","BS_ACCUM_DEPR","FQ3 2025","FQ3 2025","Currency=USD","Period=FQ","BEST_FPERIOD_OVERRIDE=FQ","FILING_STATUS=MR","SCALING_FORMAT=MLN","Sort=A","Dates=H","DateFormat=P","Fill=—","Direction=H","UseDPDF=Y")</f>
        <v>—</v>
      </c>
      <c r="AF24" s="13" t="str" cm="1">
        <f t="array" ref="AF24">_xll.BDH("PCAR US Equity","BS_ACCUM_DEPR","FQ4 2025","FQ4 2025","Currency=USD","Period=FQ","BEST_FPERIOD_OVERRIDE=FQ","FILING_STATUS=MR","SCALING_FORMAT=MLN","Sort=A","Dates=H","DateFormat=P","Fill=—","Direction=H","UseDPDF=Y")</f>
        <v>—</v>
      </c>
    </row>
    <row r="25" spans="1:32" x14ac:dyDescent="0.25">
      <c r="A25" s="10" t="s">
        <v>102</v>
      </c>
      <c r="B25" s="10" t="s">
        <v>103</v>
      </c>
      <c r="C25" s="13" cm="1">
        <f t="array" ref="C25">_xll.BDH("PCAR US Equity","BS_LT_INVEST","FQ3 2018","FQ3 2018","Currency=USD","Period=FQ","BEST_FPERIOD_OVERRIDE=FQ","FILING_STATUS=MR","SCALING_FORMAT=MLN","Sort=A","Dates=H","DateFormat=P","Fill=—","Direction=H","UseDPDF=Y")</f>
        <v>10579</v>
      </c>
      <c r="D25" s="13" cm="1">
        <f t="array" ref="D25">_xll.BDH("PCAR US Equity","BS_LT_INVEST","FQ4 2018","FQ4 2018","Currency=USD","Period=FQ","BEST_FPERIOD_OVERRIDE=FQ","FILING_STATUS=MR","SCALING_FORMAT=MLN","Sort=A","Dates=H","DateFormat=P","Fill=—","Direction=H","UseDPDF=Y")</f>
        <v>10840.8</v>
      </c>
      <c r="E25" s="13" cm="1">
        <f t="array" ref="E25">_xll.BDH("PCAR US Equity","BS_LT_INVEST","FQ1 2019","FQ1 2019","Currency=USD","Period=FQ","BEST_FPERIOD_OVERRIDE=FQ","FILING_STATUS=MR","SCALING_FORMAT=MLN","Sort=A","Dates=H","DateFormat=P","Fill=—","Direction=H","UseDPDF=Y")</f>
        <v>11355.7</v>
      </c>
      <c r="F25" s="13" cm="1">
        <f t="array" ref="F25">_xll.BDH("PCAR US Equity","BS_LT_INVEST","FQ2 2019","FQ2 2019","Currency=USD","Period=FQ","BEST_FPERIOD_OVERRIDE=FQ","FILING_STATUS=MR","SCALING_FORMAT=MLN","Sort=A","Dates=H","DateFormat=P","Fill=—","Direction=H","UseDPDF=Y")</f>
        <v>11604.5</v>
      </c>
      <c r="G25" s="13" cm="1">
        <f t="array" ref="G25">_xll.BDH("PCAR US Equity","BS_LT_INVEST","FQ3 2019","FQ3 2019","Currency=USD","Period=FQ","BEST_FPERIOD_OVERRIDE=FQ","FILING_STATUS=MR","SCALING_FORMAT=MLN","Sort=A","Dates=H","DateFormat=P","Fill=—","Direction=H","UseDPDF=Y")</f>
        <v>11671.7</v>
      </c>
      <c r="H25" s="13" cm="1">
        <f t="array" ref="H25">_xll.BDH("PCAR US Equity","BS_LT_INVEST","FQ4 2019","FQ4 2019","Currency=USD","Period=FQ","BEST_FPERIOD_OVERRIDE=FQ","FILING_STATUS=MR","SCALING_FORMAT=MLN","Sort=A","Dates=H","DateFormat=P","Fill=—","Direction=H","UseDPDF=Y")</f>
        <v>12086</v>
      </c>
      <c r="I25" s="13" cm="1">
        <f t="array" ref="I25">_xll.BDH("PCAR US Equity","BS_LT_INVEST","FQ1 2020","FQ1 2020","Currency=USD","Period=FQ","BEST_FPERIOD_OVERRIDE=FQ","FILING_STATUS=MR","SCALING_FORMAT=MLN","Sort=A","Dates=H","DateFormat=P","Fill=—","Direction=H","UseDPDF=Y")</f>
        <v>11699.8</v>
      </c>
      <c r="J25" s="13" cm="1">
        <f t="array" ref="J25">_xll.BDH("PCAR US Equity","BS_LT_INVEST","FQ2 2020","FQ2 2020","Currency=USD","Period=FQ","BEST_FPERIOD_OVERRIDE=FQ","FILING_STATUS=MR","SCALING_FORMAT=MLN","Sort=A","Dates=H","DateFormat=P","Fill=—","Direction=H","UseDPDF=Y")</f>
        <v>11133.1</v>
      </c>
      <c r="K25" s="13" cm="1">
        <f t="array" ref="K25">_xll.BDH("PCAR US Equity","BS_LT_INVEST","FQ3 2020","FQ3 2020","Currency=USD","Period=FQ","BEST_FPERIOD_OVERRIDE=FQ","FILING_STATUS=MR","SCALING_FORMAT=MLN","Sort=A","Dates=H","DateFormat=P","Fill=—","Direction=H","UseDPDF=Y")</f>
        <v>11324.5</v>
      </c>
      <c r="L25" s="13" cm="1">
        <f t="array" ref="L25">_xll.BDH("PCAR US Equity","BS_LT_INVEST","FQ4 2020","FQ4 2020","Currency=USD","Period=FQ","BEST_FPERIOD_OVERRIDE=FQ","FILING_STATUS=MR","SCALING_FORMAT=MLN","Sort=A","Dates=H","DateFormat=P","Fill=—","Direction=H","UseDPDF=Y")</f>
        <v>11820.7</v>
      </c>
      <c r="M25" s="13" cm="1">
        <f t="array" ref="M25">_xll.BDH("PCAR US Equity","BS_LT_INVEST","FQ1 2021","FQ1 2021","Currency=USD","Period=FQ","BEST_FPERIOD_OVERRIDE=FQ","FILING_STATUS=MR","SCALING_FORMAT=MLN","Sort=A","Dates=H","DateFormat=P","Fill=—","Direction=H","UseDPDF=Y")</f>
        <v>11739.6</v>
      </c>
      <c r="N25" s="13" cm="1">
        <f t="array" ref="N25">_xll.BDH("PCAR US Equity","BS_LT_INVEST","FQ2 2021","FQ2 2021","Currency=USD","Period=FQ","BEST_FPERIOD_OVERRIDE=FQ","FILING_STATUS=MR","SCALING_FORMAT=MLN","Sort=A","Dates=H","DateFormat=P","Fill=—","Direction=H","UseDPDF=Y")</f>
        <v>11899.3</v>
      </c>
      <c r="O25" s="13" cm="1">
        <f t="array" ref="O25">_xll.BDH("PCAR US Equity","BS_LT_INVEST","FQ3 2021","FQ3 2021","Currency=USD","Period=FQ","BEST_FPERIOD_OVERRIDE=FQ","FILING_STATUS=MR","SCALING_FORMAT=MLN","Sort=A","Dates=H","DateFormat=P","Fill=—","Direction=H","UseDPDF=Y")</f>
        <v>11402.4</v>
      </c>
      <c r="P25" s="13" cm="1">
        <f t="array" ref="P25">_xll.BDH("PCAR US Equity","BS_LT_INVEST","FQ4 2021","FQ4 2021","Currency=USD","Period=FQ","BEST_FPERIOD_OVERRIDE=FQ","FILING_STATUS=MR","SCALING_FORMAT=MLN","Sort=A","Dates=H","DateFormat=P","Fill=—","Direction=H","UseDPDF=Y")</f>
        <v>11920.8</v>
      </c>
      <c r="Q25" s="13" cm="1">
        <f t="array" ref="Q25">_xll.BDH("PCAR US Equity","BS_LT_INVEST","FQ1 2022","FQ1 2022","Currency=USD","Period=FQ","BEST_FPERIOD_OVERRIDE=FQ","FILING_STATUS=MR","SCALING_FORMAT=MLN","Sort=A","Dates=H","DateFormat=P","Fill=—","Direction=H","UseDPDF=Y")</f>
        <v>12563.9</v>
      </c>
      <c r="R25" s="13" cm="1">
        <f t="array" ref="R25">_xll.BDH("PCAR US Equity","BS_LT_INVEST","FQ2 2022","FQ2 2022","Currency=USD","Period=FQ","BEST_FPERIOD_OVERRIDE=FQ","FILING_STATUS=MR","SCALING_FORMAT=MLN","Sort=A","Dates=H","DateFormat=P","Fill=—","Direction=H","UseDPDF=Y")</f>
        <v>12649.2</v>
      </c>
      <c r="S25" s="13" cm="1">
        <f t="array" ref="S25">_xll.BDH("PCAR US Equity","BS_LT_INVEST","FQ3 2022","FQ3 2022","Currency=USD","Period=FQ","BEST_FPERIOD_OVERRIDE=FQ","FILING_STATUS=MR","SCALING_FORMAT=MLN","Sort=A","Dates=H","DateFormat=P","Fill=—","Direction=H","UseDPDF=Y")</f>
        <v>12549.2</v>
      </c>
      <c r="T25" s="13" cm="1">
        <f t="array" ref="T25">_xll.BDH("PCAR US Equity","BS_LT_INVEST","FQ4 2022","FQ4 2022","Currency=USD","Period=FQ","BEST_FPERIOD_OVERRIDE=FQ","FILING_STATUS=MR","SCALING_FORMAT=MLN","Sort=A","Dates=H","DateFormat=P","Fill=—","Direction=H","UseDPDF=Y")</f>
        <v>13791.9</v>
      </c>
      <c r="U25" s="13" cm="1">
        <f t="array" ref="U25">_xll.BDH("PCAR US Equity","BS_LT_INVEST","FQ1 2023","FQ1 2023","Currency=USD","Period=FQ","BEST_FPERIOD_OVERRIDE=FQ","FILING_STATUS=MR","SCALING_FORMAT=MLN","Sort=A","Dates=H","DateFormat=P","Fill=—","Direction=H","UseDPDF=Y")</f>
        <v>14541.7</v>
      </c>
      <c r="V25" s="13" cm="1">
        <f t="array" ref="V25">_xll.BDH("PCAR US Equity","BS_LT_INVEST","FQ2 2023","FQ2 2023","Currency=USD","Period=FQ","BEST_FPERIOD_OVERRIDE=FQ","FILING_STATUS=MR","SCALING_FORMAT=MLN","Sort=A","Dates=H","DateFormat=P","Fill=—","Direction=H","UseDPDF=Y")</f>
        <v>15664.3</v>
      </c>
      <c r="W25" s="13" cm="1">
        <f t="array" ref="W25">_xll.BDH("PCAR US Equity","BS_LT_INVEST","FQ3 2023","FQ3 2023","Currency=USD","Period=FQ","BEST_FPERIOD_OVERRIDE=FQ","FILING_STATUS=MR","SCALING_FORMAT=MLN","Sort=A","Dates=H","DateFormat=P","Fill=—","Direction=H","UseDPDF=Y")</f>
        <v>16260.4</v>
      </c>
      <c r="X25" s="13" cm="1">
        <f t="array" ref="X25">_xll.BDH("PCAR US Equity","BS_LT_INVEST","FQ4 2023","FQ4 2023","Currency=USD","Period=FQ","BEST_FPERIOD_OVERRIDE=FQ","FILING_STATUS=MR","SCALING_FORMAT=MLN","Sort=A","Dates=H","DateFormat=P","Fill=—","Direction=H","UseDPDF=Y")</f>
        <v>17571.7</v>
      </c>
      <c r="Y25" s="13" cm="1">
        <f t="array" ref="Y25">_xll.BDH("PCAR US Equity","BS_LT_INVEST","FQ1 2024","FQ1 2024","Currency=USD","Period=FQ","BEST_FPERIOD_OVERRIDE=FQ","FILING_STATUS=MR","SCALING_FORMAT=MLN","Sort=A","Dates=H","DateFormat=P","Fill=—","Direction=H","UseDPDF=Y")</f>
        <v>17873.099999999999</v>
      </c>
      <c r="Z25" s="13" cm="1">
        <f t="array" ref="Z25">_xll.BDH("PCAR US Equity","BS_LT_INVEST","FQ2 2024","FQ2 2024","Currency=USD","Period=FQ","BEST_FPERIOD_OVERRIDE=FQ","FILING_STATUS=MR","SCALING_FORMAT=MLN","Sort=A","Dates=H","DateFormat=P","Fill=—","Direction=H","UseDPDF=Y")</f>
        <v>18112.7</v>
      </c>
      <c r="AA25" s="13" cm="1">
        <f t="array" ref="AA25">_xll.BDH("PCAR US Equity","BS_LT_INVEST","FQ3 2024","FQ3 2024","Currency=USD","Period=FQ","BEST_FPERIOD_OVERRIDE=FQ","FILING_STATUS=MR","SCALING_FORMAT=MLN","Sort=A","Dates=H","DateFormat=P","Fill=—","Direction=H","UseDPDF=Y")</f>
        <v>19294.3</v>
      </c>
      <c r="AB25" s="13" cm="1">
        <f t="array" ref="AB25">_xll.BDH("PCAR US Equity","BS_LT_INVEST","FQ4 2024","FQ4 2024","Currency=USD","Period=FQ","BEST_FPERIOD_OVERRIDE=FQ","FILING_STATUS=MR","SCALING_FORMAT=MLN","Sort=A","Dates=H","DateFormat=P","Fill=—","Direction=H","UseDPDF=Y")</f>
        <v>19314.3</v>
      </c>
      <c r="AC25" s="13" cm="1">
        <f t="array" ref="AC25">_xll.BDH("PCAR US Equity","BS_LT_INVEST","FQ1 2025","FQ1 2025","Currency=USD","Period=FQ","BEST_FPERIOD_OVERRIDE=FQ","FILING_STATUS=MR","SCALING_FORMAT=MLN","Sort=A","Dates=H","DateFormat=P","Fill=—","Direction=H","UseDPDF=Y")</f>
        <v>19611.3</v>
      </c>
      <c r="AD25" s="13" cm="1">
        <f t="array" ref="AD25">_xll.BDH("PCAR US Equity","BS_LT_INVEST","FQ2 2025","FQ2 2025","Currency=USD","Period=FQ","BEST_FPERIOD_OVERRIDE=FQ","FILING_STATUS=MR","SCALING_FORMAT=MLN","Sort=A","Dates=H","DateFormat=P","Fill=—","Direction=H","UseDPDF=Y")</f>
        <v>20193</v>
      </c>
      <c r="AE25" s="13" cm="1">
        <f t="array" ref="AE25">_xll.BDH("PCAR US Equity","BS_LT_INVEST","FQ3 2025","FQ3 2025","Currency=USD","Period=FQ","BEST_FPERIOD_OVERRIDE=FQ","FILING_STATUS=MR","SCALING_FORMAT=MLN","Sort=A","Dates=H","DateFormat=P","Fill=—","Direction=H","UseDPDF=Y")</f>
        <v>20014.8</v>
      </c>
      <c r="AF25" s="13" cm="1">
        <f t="array" ref="AF25">_xll.BDH("PCAR US Equity","BS_LT_INVEST","FQ4 2025","FQ4 2025","Currency=USD","Period=FQ","BEST_FPERIOD_OVERRIDE=FQ","FILING_STATUS=MR","SCALING_FORMAT=MLN","Sort=A","Dates=H","DateFormat=P","Fill=—","Direction=H","UseDPDF=Y")</f>
        <v>22803.4</v>
      </c>
    </row>
    <row r="26" spans="1:32" x14ac:dyDescent="0.25">
      <c r="A26" s="10" t="s">
        <v>104</v>
      </c>
      <c r="B26" s="10" t="s">
        <v>105</v>
      </c>
      <c r="C26" s="13" cm="1">
        <f t="array" ref="C26">_xll.BDH("PCAR US Equity","BS_LT_RECEIVABLES","FQ3 2018","FQ3 2018","Currency=USD","Period=FQ","BEST_FPERIOD_OVERRIDE=FQ","FILING_STATUS=MR","SCALING_FORMAT=MLN","Sort=A","Dates=H","DateFormat=P","Fill=—","Direction=H","UseDPDF=Y")</f>
        <v>10579</v>
      </c>
      <c r="D26" s="13" cm="1">
        <f t="array" ref="D26">_xll.BDH("PCAR US Equity","BS_LT_RECEIVABLES","FQ4 2018","FQ4 2018","Currency=USD","Period=FQ","BEST_FPERIOD_OVERRIDE=FQ","FILING_STATUS=MR","SCALING_FORMAT=MLN","Sort=A","Dates=H","DateFormat=P","Fill=—","Direction=H","UseDPDF=Y")</f>
        <v>10840.8</v>
      </c>
      <c r="E26" s="13" cm="1">
        <f t="array" ref="E26">_xll.BDH("PCAR US Equity","BS_LT_RECEIVABLES","FQ1 2019","FQ1 2019","Currency=USD","Period=FQ","BEST_FPERIOD_OVERRIDE=FQ","FILING_STATUS=MR","SCALING_FORMAT=MLN","Sort=A","Dates=H","DateFormat=P","Fill=—","Direction=H","UseDPDF=Y")</f>
        <v>11355.7</v>
      </c>
      <c r="F26" s="13" cm="1">
        <f t="array" ref="F26">_xll.BDH("PCAR US Equity","BS_LT_RECEIVABLES","FQ2 2019","FQ2 2019","Currency=USD","Period=FQ","BEST_FPERIOD_OVERRIDE=FQ","FILING_STATUS=MR","SCALING_FORMAT=MLN","Sort=A","Dates=H","DateFormat=P","Fill=—","Direction=H","UseDPDF=Y")</f>
        <v>11604.5</v>
      </c>
      <c r="G26" s="13" cm="1">
        <f t="array" ref="G26">_xll.BDH("PCAR US Equity","BS_LT_RECEIVABLES","FQ3 2019","FQ3 2019","Currency=USD","Period=FQ","BEST_FPERIOD_OVERRIDE=FQ","FILING_STATUS=MR","SCALING_FORMAT=MLN","Sort=A","Dates=H","DateFormat=P","Fill=—","Direction=H","UseDPDF=Y")</f>
        <v>11671.7</v>
      </c>
      <c r="H26" s="13" cm="1">
        <f t="array" ref="H26">_xll.BDH("PCAR US Equity","BS_LT_RECEIVABLES","FQ4 2019","FQ4 2019","Currency=USD","Period=FQ","BEST_FPERIOD_OVERRIDE=FQ","FILING_STATUS=MR","SCALING_FORMAT=MLN","Sort=A","Dates=H","DateFormat=P","Fill=—","Direction=H","UseDPDF=Y")</f>
        <v>12086</v>
      </c>
      <c r="I26" s="13" cm="1">
        <f t="array" ref="I26">_xll.BDH("PCAR US Equity","BS_LT_RECEIVABLES","FQ1 2020","FQ1 2020","Currency=USD","Period=FQ","BEST_FPERIOD_OVERRIDE=FQ","FILING_STATUS=MR","SCALING_FORMAT=MLN","Sort=A","Dates=H","DateFormat=P","Fill=—","Direction=H","UseDPDF=Y")</f>
        <v>11699.8</v>
      </c>
      <c r="J26" s="13" cm="1">
        <f t="array" ref="J26">_xll.BDH("PCAR US Equity","BS_LT_RECEIVABLES","FQ2 2020","FQ2 2020","Currency=USD","Period=FQ","BEST_FPERIOD_OVERRIDE=FQ","FILING_STATUS=MR","SCALING_FORMAT=MLN","Sort=A","Dates=H","DateFormat=P","Fill=—","Direction=H","UseDPDF=Y")</f>
        <v>11133.1</v>
      </c>
      <c r="K26" s="13" cm="1">
        <f t="array" ref="K26">_xll.BDH("PCAR US Equity","BS_LT_RECEIVABLES","FQ3 2020","FQ3 2020","Currency=USD","Period=FQ","BEST_FPERIOD_OVERRIDE=FQ","FILING_STATUS=MR","SCALING_FORMAT=MLN","Sort=A","Dates=H","DateFormat=P","Fill=—","Direction=H","UseDPDF=Y")</f>
        <v>11324.5</v>
      </c>
      <c r="L26" s="13" cm="1">
        <f t="array" ref="L26">_xll.BDH("PCAR US Equity","BS_LT_RECEIVABLES","FQ4 2020","FQ4 2020","Currency=USD","Period=FQ","BEST_FPERIOD_OVERRIDE=FQ","FILING_STATUS=MR","SCALING_FORMAT=MLN","Sort=A","Dates=H","DateFormat=P","Fill=—","Direction=H","UseDPDF=Y")</f>
        <v>11820.7</v>
      </c>
      <c r="M26" s="13" cm="1">
        <f t="array" ref="M26">_xll.BDH("PCAR US Equity","BS_LT_RECEIVABLES","FQ1 2021","FQ1 2021","Currency=USD","Period=FQ","BEST_FPERIOD_OVERRIDE=FQ","FILING_STATUS=MR","SCALING_FORMAT=MLN","Sort=A","Dates=H","DateFormat=P","Fill=—","Direction=H","UseDPDF=Y")</f>
        <v>11739.6</v>
      </c>
      <c r="N26" s="13" cm="1">
        <f t="array" ref="N26">_xll.BDH("PCAR US Equity","BS_LT_RECEIVABLES","FQ2 2021","FQ2 2021","Currency=USD","Period=FQ","BEST_FPERIOD_OVERRIDE=FQ","FILING_STATUS=MR","SCALING_FORMAT=MLN","Sort=A","Dates=H","DateFormat=P","Fill=—","Direction=H","UseDPDF=Y")</f>
        <v>11899.3</v>
      </c>
      <c r="O26" s="13" cm="1">
        <f t="array" ref="O26">_xll.BDH("PCAR US Equity","BS_LT_RECEIVABLES","FQ3 2021","FQ3 2021","Currency=USD","Period=FQ","BEST_FPERIOD_OVERRIDE=FQ","FILING_STATUS=MR","SCALING_FORMAT=MLN","Sort=A","Dates=H","DateFormat=P","Fill=—","Direction=H","UseDPDF=Y")</f>
        <v>11402.4</v>
      </c>
      <c r="P26" s="13" cm="1">
        <f t="array" ref="P26">_xll.BDH("PCAR US Equity","BS_LT_RECEIVABLES","FQ4 2021","FQ4 2021","Currency=USD","Period=FQ","BEST_FPERIOD_OVERRIDE=FQ","FILING_STATUS=MR","SCALING_FORMAT=MLN","Sort=A","Dates=H","DateFormat=P","Fill=—","Direction=H","UseDPDF=Y")</f>
        <v>11920.8</v>
      </c>
      <c r="Q26" s="13" cm="1">
        <f t="array" ref="Q26">_xll.BDH("PCAR US Equity","BS_LT_RECEIVABLES","FQ1 2022","FQ1 2022","Currency=USD","Period=FQ","BEST_FPERIOD_OVERRIDE=FQ","FILING_STATUS=MR","SCALING_FORMAT=MLN","Sort=A","Dates=H","DateFormat=P","Fill=—","Direction=H","UseDPDF=Y")</f>
        <v>12563.9</v>
      </c>
      <c r="R26" s="13" cm="1">
        <f t="array" ref="R26">_xll.BDH("PCAR US Equity","BS_LT_RECEIVABLES","FQ2 2022","FQ2 2022","Currency=USD","Period=FQ","BEST_FPERIOD_OVERRIDE=FQ","FILING_STATUS=MR","SCALING_FORMAT=MLN","Sort=A","Dates=H","DateFormat=P","Fill=—","Direction=H","UseDPDF=Y")</f>
        <v>12649.2</v>
      </c>
      <c r="S26" s="13" cm="1">
        <f t="array" ref="S26">_xll.BDH("PCAR US Equity","BS_LT_RECEIVABLES","FQ3 2022","FQ3 2022","Currency=USD","Period=FQ","BEST_FPERIOD_OVERRIDE=FQ","FILING_STATUS=MR","SCALING_FORMAT=MLN","Sort=A","Dates=H","DateFormat=P","Fill=—","Direction=H","UseDPDF=Y")</f>
        <v>12549.2</v>
      </c>
      <c r="T26" s="13" cm="1">
        <f t="array" ref="T26">_xll.BDH("PCAR US Equity","BS_LT_RECEIVABLES","FQ4 2022","FQ4 2022","Currency=USD","Period=FQ","BEST_FPERIOD_OVERRIDE=FQ","FILING_STATUS=MR","SCALING_FORMAT=MLN","Sort=A","Dates=H","DateFormat=P","Fill=—","Direction=H","UseDPDF=Y")</f>
        <v>13791.9</v>
      </c>
      <c r="U26" s="13" cm="1">
        <f t="array" ref="U26">_xll.BDH("PCAR US Equity","BS_LT_RECEIVABLES","FQ1 2023","FQ1 2023","Currency=USD","Period=FQ","BEST_FPERIOD_OVERRIDE=FQ","FILING_STATUS=MR","SCALING_FORMAT=MLN","Sort=A","Dates=H","DateFormat=P","Fill=—","Direction=H","UseDPDF=Y")</f>
        <v>14541.7</v>
      </c>
      <c r="V26" s="13" cm="1">
        <f t="array" ref="V26">_xll.BDH("PCAR US Equity","BS_LT_RECEIVABLES","FQ2 2023","FQ2 2023","Currency=USD","Period=FQ","BEST_FPERIOD_OVERRIDE=FQ","FILING_STATUS=MR","SCALING_FORMAT=MLN","Sort=A","Dates=H","DateFormat=P","Fill=—","Direction=H","UseDPDF=Y")</f>
        <v>15664.3</v>
      </c>
      <c r="W26" s="13" cm="1">
        <f t="array" ref="W26">_xll.BDH("PCAR US Equity","BS_LT_RECEIVABLES","FQ3 2023","FQ3 2023","Currency=USD","Period=FQ","BEST_FPERIOD_OVERRIDE=FQ","FILING_STATUS=MR","SCALING_FORMAT=MLN","Sort=A","Dates=H","DateFormat=P","Fill=—","Direction=H","UseDPDF=Y")</f>
        <v>16260.4</v>
      </c>
      <c r="X26" s="13" cm="1">
        <f t="array" ref="X26">_xll.BDH("PCAR US Equity","BS_LT_RECEIVABLES","FQ4 2023","FQ4 2023","Currency=USD","Period=FQ","BEST_FPERIOD_OVERRIDE=FQ","FILING_STATUS=MR","SCALING_FORMAT=MLN","Sort=A","Dates=H","DateFormat=P","Fill=—","Direction=H","UseDPDF=Y")</f>
        <v>17571.7</v>
      </c>
      <c r="Y26" s="13" cm="1">
        <f t="array" ref="Y26">_xll.BDH("PCAR US Equity","BS_LT_RECEIVABLES","FQ1 2024","FQ1 2024","Currency=USD","Period=FQ","BEST_FPERIOD_OVERRIDE=FQ","FILING_STATUS=MR","SCALING_FORMAT=MLN","Sort=A","Dates=H","DateFormat=P","Fill=—","Direction=H","UseDPDF=Y")</f>
        <v>17873.099999999999</v>
      </c>
      <c r="Z26" s="13" cm="1">
        <f t="array" ref="Z26">_xll.BDH("PCAR US Equity","BS_LT_RECEIVABLES","FQ2 2024","FQ2 2024","Currency=USD","Period=FQ","BEST_FPERIOD_OVERRIDE=FQ","FILING_STATUS=MR","SCALING_FORMAT=MLN","Sort=A","Dates=H","DateFormat=P","Fill=—","Direction=H","UseDPDF=Y")</f>
        <v>18112.7</v>
      </c>
      <c r="AA26" s="13" cm="1">
        <f t="array" ref="AA26">_xll.BDH("PCAR US Equity","BS_LT_RECEIVABLES","FQ3 2024","FQ3 2024","Currency=USD","Period=FQ","BEST_FPERIOD_OVERRIDE=FQ","FILING_STATUS=MR","SCALING_FORMAT=MLN","Sort=A","Dates=H","DateFormat=P","Fill=—","Direction=H","UseDPDF=Y")</f>
        <v>19294.3</v>
      </c>
      <c r="AB26" s="13" cm="1">
        <f t="array" ref="AB26">_xll.BDH("PCAR US Equity","BS_LT_RECEIVABLES","FQ4 2024","FQ4 2024","Currency=USD","Period=FQ","BEST_FPERIOD_OVERRIDE=FQ","FILING_STATUS=MR","SCALING_FORMAT=MLN","Sort=A","Dates=H","DateFormat=P","Fill=—","Direction=H","UseDPDF=Y")</f>
        <v>19314.3</v>
      </c>
      <c r="AC26" s="13" cm="1">
        <f t="array" ref="AC26">_xll.BDH("PCAR US Equity","BS_LT_RECEIVABLES","FQ1 2025","FQ1 2025","Currency=USD","Period=FQ","BEST_FPERIOD_OVERRIDE=FQ","FILING_STATUS=MR","SCALING_FORMAT=MLN","Sort=A","Dates=H","DateFormat=P","Fill=—","Direction=H","UseDPDF=Y")</f>
        <v>19611.3</v>
      </c>
      <c r="AD26" s="13" cm="1">
        <f t="array" ref="AD26">_xll.BDH("PCAR US Equity","BS_LT_RECEIVABLES","FQ2 2025","FQ2 2025","Currency=USD","Period=FQ","BEST_FPERIOD_OVERRIDE=FQ","FILING_STATUS=MR","SCALING_FORMAT=MLN","Sort=A","Dates=H","DateFormat=P","Fill=—","Direction=H","UseDPDF=Y")</f>
        <v>20193</v>
      </c>
      <c r="AE26" s="13" cm="1">
        <f t="array" ref="AE26">_xll.BDH("PCAR US Equity","BS_LT_RECEIVABLES","FQ3 2025","FQ3 2025","Currency=USD","Period=FQ","BEST_FPERIOD_OVERRIDE=FQ","FILING_STATUS=MR","SCALING_FORMAT=MLN","Sort=A","Dates=H","DateFormat=P","Fill=—","Direction=H","UseDPDF=Y")</f>
        <v>20014.8</v>
      </c>
      <c r="AF26" s="13" cm="1">
        <f t="array" ref="AF26">_xll.BDH("PCAR US Equity","BS_LT_RECEIVABLES","FQ4 2025","FQ4 2025","Currency=USD","Period=FQ","BEST_FPERIOD_OVERRIDE=FQ","FILING_STATUS=MR","SCALING_FORMAT=MLN","Sort=A","Dates=H","DateFormat=P","Fill=—","Direction=H","UseDPDF=Y")</f>
        <v>22803.4</v>
      </c>
    </row>
    <row r="27" spans="1:32" x14ac:dyDescent="0.25">
      <c r="A27" s="10" t="s">
        <v>106</v>
      </c>
      <c r="B27" s="10" t="s">
        <v>107</v>
      </c>
      <c r="C27" s="13" cm="1">
        <f t="array" ref="C27">_xll.BDH("PCAR US Equity","BS_OTHER_ASSETS_DEF_CHRG_OTHER","FQ3 2018","FQ3 2018","Currency=USD","Period=FQ","BEST_FPERIOD_OVERRIDE=FQ","FILING_STATUS=MR","SCALING_FORMAT=MLN","Sort=A","Dates=H","DateFormat=P","Fill=—","Direction=H","UseDPDF=Y")</f>
        <v>4889.1000000000004</v>
      </c>
      <c r="D27" s="13" cm="1">
        <f t="array" ref="D27">_xll.BDH("PCAR US Equity","BS_OTHER_ASSETS_DEF_CHRG_OTHER","FQ4 2018","FQ4 2018","Currency=USD","Period=FQ","BEST_FPERIOD_OVERRIDE=FQ","FILING_STATUS=MR","SCALING_FORMAT=MLN","Sort=A","Dates=H","DateFormat=P","Fill=—","Direction=H","UseDPDF=Y")</f>
        <v>4840.6000000000004</v>
      </c>
      <c r="E27" s="13" cm="1">
        <f t="array" ref="E27">_xll.BDH("PCAR US Equity","BS_OTHER_ASSETS_DEF_CHRG_OTHER","FQ1 2019","FQ1 2019","Currency=USD","Period=FQ","BEST_FPERIOD_OVERRIDE=FQ","FILING_STATUS=MR","SCALING_FORMAT=MLN","Sort=A","Dates=H","DateFormat=P","Fill=—","Direction=H","UseDPDF=Y")</f>
        <v>1363.6</v>
      </c>
      <c r="F27" s="13" cm="1">
        <f t="array" ref="F27">_xll.BDH("PCAR US Equity","BS_OTHER_ASSETS_DEF_CHRG_OTHER","FQ2 2019","FQ2 2019","Currency=USD","Period=FQ","BEST_FPERIOD_OVERRIDE=FQ","FILING_STATUS=MR","SCALING_FORMAT=MLN","Sort=A","Dates=H","DateFormat=P","Fill=—","Direction=H","UseDPDF=Y")</f>
        <v>1521.3</v>
      </c>
      <c r="G27" s="13" cm="1">
        <f t="array" ref="G27">_xll.BDH("PCAR US Equity","BS_OTHER_ASSETS_DEF_CHRG_OTHER","FQ3 2019","FQ3 2019","Currency=USD","Period=FQ","BEST_FPERIOD_OVERRIDE=FQ","FILING_STATUS=MR","SCALING_FORMAT=MLN","Sort=A","Dates=H","DateFormat=P","Fill=—","Direction=H","UseDPDF=Y")</f>
        <v>1678</v>
      </c>
      <c r="H27" s="13" cm="1">
        <f t="array" ref="H27">_xll.BDH("PCAR US Equity","BS_OTHER_ASSETS_DEF_CHRG_OTHER","FQ4 2019","FQ4 2019","Currency=USD","Period=FQ","BEST_FPERIOD_OVERRIDE=FQ","FILING_STATUS=MR","SCALING_FORMAT=MLN","Sort=A","Dates=H","DateFormat=P","Fill=—","Direction=H","UseDPDF=Y")</f>
        <v>1558.7</v>
      </c>
      <c r="I27" s="13" cm="1">
        <f t="array" ref="I27">_xll.BDH("PCAR US Equity","BS_OTHER_ASSETS_DEF_CHRG_OTHER","FQ1 2020","FQ1 2020","Currency=USD","Period=FQ","BEST_FPERIOD_OVERRIDE=FQ","FILING_STATUS=MR","SCALING_FORMAT=MLN","Sort=A","Dates=H","DateFormat=P","Fill=—","Direction=H","UseDPDF=Y")</f>
        <v>1664.7</v>
      </c>
      <c r="J27" s="13" cm="1">
        <f t="array" ref="J27">_xll.BDH("PCAR US Equity","BS_OTHER_ASSETS_DEF_CHRG_OTHER","FQ2 2020","FQ2 2020","Currency=USD","Period=FQ","BEST_FPERIOD_OVERRIDE=FQ","FILING_STATUS=MR","SCALING_FORMAT=MLN","Sort=A","Dates=H","DateFormat=P","Fill=—","Direction=H","UseDPDF=Y")</f>
        <v>1672.8</v>
      </c>
      <c r="K27" s="13" cm="1">
        <f t="array" ref="K27">_xll.BDH("PCAR US Equity","BS_OTHER_ASSETS_DEF_CHRG_OTHER","FQ3 2020","FQ3 2020","Currency=USD","Period=FQ","BEST_FPERIOD_OVERRIDE=FQ","FILING_STATUS=MR","SCALING_FORMAT=MLN","Sort=A","Dates=H","DateFormat=P","Fill=—","Direction=H","UseDPDF=Y")</f>
        <v>1767.1</v>
      </c>
      <c r="L27" s="13" cm="1">
        <f t="array" ref="L27">_xll.BDH("PCAR US Equity","BS_OTHER_ASSETS_DEF_CHRG_OTHER","FQ4 2020","FQ4 2020","Currency=USD","Period=FQ","BEST_FPERIOD_OVERRIDE=FQ","FILING_STATUS=MR","SCALING_FORMAT=MLN","Sort=A","Dates=H","DateFormat=P","Fill=—","Direction=H","UseDPDF=Y")</f>
        <v>1680.6</v>
      </c>
      <c r="M27" s="13" cm="1">
        <f t="array" ref="M27">_xll.BDH("PCAR US Equity","BS_OTHER_ASSETS_DEF_CHRG_OTHER","FQ1 2021","FQ1 2021","Currency=USD","Period=FQ","BEST_FPERIOD_OVERRIDE=FQ","FILING_STATUS=MR","SCALING_FORMAT=MLN","Sort=A","Dates=H","DateFormat=P","Fill=—","Direction=H","UseDPDF=Y")</f>
        <v>1660.6</v>
      </c>
      <c r="N27" s="13" cm="1">
        <f t="array" ref="N27">_xll.BDH("PCAR US Equity","BS_OTHER_ASSETS_DEF_CHRG_OTHER","FQ2 2021","FQ2 2021","Currency=USD","Period=FQ","BEST_FPERIOD_OVERRIDE=FQ","FILING_STATUS=MR","SCALING_FORMAT=MLN","Sort=A","Dates=H","DateFormat=P","Fill=—","Direction=H","UseDPDF=Y")</f>
        <v>1493.7</v>
      </c>
      <c r="O27" s="13" cm="1">
        <f t="array" ref="O27">_xll.BDH("PCAR US Equity","BS_OTHER_ASSETS_DEF_CHRG_OTHER","FQ3 2021","FQ3 2021","Currency=USD","Period=FQ","BEST_FPERIOD_OVERRIDE=FQ","FILING_STATUS=MR","SCALING_FORMAT=MLN","Sort=A","Dates=H","DateFormat=P","Fill=—","Direction=H","UseDPDF=Y")</f>
        <v>1478.8</v>
      </c>
      <c r="P27" s="13" cm="1">
        <f t="array" ref="P27">_xll.BDH("PCAR US Equity","BS_OTHER_ASSETS_DEF_CHRG_OTHER","FQ4 2021","FQ4 2021","Currency=USD","Period=FQ","BEST_FPERIOD_OVERRIDE=FQ","FILING_STATUS=MR","SCALING_FORMAT=MLN","Sort=A","Dates=H","DateFormat=P","Fill=—","Direction=H","UseDPDF=Y")</f>
        <v>1729.9</v>
      </c>
      <c r="Q27" s="13" cm="1">
        <f t="array" ref="Q27">_xll.BDH("PCAR US Equity","BS_OTHER_ASSETS_DEF_CHRG_OTHER","FQ1 2022","FQ1 2022","Currency=USD","Period=FQ","BEST_FPERIOD_OVERRIDE=FQ","FILING_STATUS=MR","SCALING_FORMAT=MLN","Sort=A","Dates=H","DateFormat=P","Fill=—","Direction=H","UseDPDF=Y")</f>
        <v>1804.9</v>
      </c>
      <c r="R27" s="13" cm="1">
        <f t="array" ref="R27">_xll.BDH("PCAR US Equity","BS_OTHER_ASSETS_DEF_CHRG_OTHER","FQ2 2022","FQ2 2022","Currency=USD","Period=FQ","BEST_FPERIOD_OVERRIDE=FQ","FILING_STATUS=MR","SCALING_FORMAT=MLN","Sort=A","Dates=H","DateFormat=P","Fill=—","Direction=H","UseDPDF=Y")</f>
        <v>1941.8</v>
      </c>
      <c r="S27" s="13" cm="1">
        <f t="array" ref="S27">_xll.BDH("PCAR US Equity","BS_OTHER_ASSETS_DEF_CHRG_OTHER","FQ3 2022","FQ3 2022","Currency=USD","Period=FQ","BEST_FPERIOD_OVERRIDE=FQ","FILING_STATUS=MR","SCALING_FORMAT=MLN","Sort=A","Dates=H","DateFormat=P","Fill=—","Direction=H","UseDPDF=Y")</f>
        <v>2032.5</v>
      </c>
      <c r="T27" s="13" cm="1">
        <f t="array" ref="T27">_xll.BDH("PCAR US Equity","BS_OTHER_ASSETS_DEF_CHRG_OTHER","FQ4 2022","FQ4 2022","Currency=USD","Period=FQ","BEST_FPERIOD_OVERRIDE=FQ","FILING_STATUS=MR","SCALING_FORMAT=MLN","Sort=A","Dates=H","DateFormat=P","Fill=—","Direction=H","UseDPDF=Y")</f>
        <v>2106.1999999999998</v>
      </c>
      <c r="U27" s="13" cm="1">
        <f t="array" ref="U27">_xll.BDH("PCAR US Equity","BS_OTHER_ASSETS_DEF_CHRG_OTHER","FQ1 2023","FQ1 2023","Currency=USD","Period=FQ","BEST_FPERIOD_OVERRIDE=FQ","FILING_STATUS=MR","SCALING_FORMAT=MLN","Sort=A","Dates=H","DateFormat=P","Fill=—","Direction=H","UseDPDF=Y")</f>
        <v>2293.5</v>
      </c>
      <c r="V27" s="13" cm="1">
        <f t="array" ref="V27">_xll.BDH("PCAR US Equity","BS_OTHER_ASSETS_DEF_CHRG_OTHER","FQ2 2023","FQ2 2023","Currency=USD","Period=FQ","BEST_FPERIOD_OVERRIDE=FQ","FILING_STATUS=MR","SCALING_FORMAT=MLN","Sort=A","Dates=H","DateFormat=P","Fill=—","Direction=H","UseDPDF=Y")</f>
        <v>2477.6999999999998</v>
      </c>
      <c r="W27" s="13" cm="1">
        <f t="array" ref="W27">_xll.BDH("PCAR US Equity","BS_OTHER_ASSETS_DEF_CHRG_OTHER","FQ3 2023","FQ3 2023","Currency=USD","Period=FQ","BEST_FPERIOD_OVERRIDE=FQ","FILING_STATUS=MR","SCALING_FORMAT=MLN","Sort=A","Dates=H","DateFormat=P","Fill=—","Direction=H","UseDPDF=Y")</f>
        <v>2543.4</v>
      </c>
      <c r="X27" s="13" cm="1">
        <f t="array" ref="X27">_xll.BDH("PCAR US Equity","BS_OTHER_ASSETS_DEF_CHRG_OTHER","FQ4 2023","FQ4 2023","Currency=USD","Period=FQ","BEST_FPERIOD_OVERRIDE=FQ","FILING_STATUS=MR","SCALING_FORMAT=MLN","Sort=A","Dates=H","DateFormat=P","Fill=—","Direction=H","UseDPDF=Y")</f>
        <v>2708.9</v>
      </c>
      <c r="Y27" s="13" cm="1">
        <f t="array" ref="Y27">_xll.BDH("PCAR US Equity","BS_OTHER_ASSETS_DEF_CHRG_OTHER","FQ1 2024","FQ1 2024","Currency=USD","Period=FQ","BEST_FPERIOD_OVERRIDE=FQ","FILING_STATUS=MR","SCALING_FORMAT=MLN","Sort=A","Dates=H","DateFormat=P","Fill=—","Direction=H","UseDPDF=Y")</f>
        <v>2746.4</v>
      </c>
      <c r="Z27" s="13" cm="1">
        <f t="array" ref="Z27">_xll.BDH("PCAR US Equity","BS_OTHER_ASSETS_DEF_CHRG_OTHER","FQ2 2024","FQ2 2024","Currency=USD","Period=FQ","BEST_FPERIOD_OVERRIDE=FQ","FILING_STATUS=MR","SCALING_FORMAT=MLN","Sort=A","Dates=H","DateFormat=P","Fill=—","Direction=H","UseDPDF=Y")</f>
        <v>2840.6</v>
      </c>
      <c r="AA27" s="13" cm="1">
        <f t="array" ref="AA27">_xll.BDH("PCAR US Equity","BS_OTHER_ASSETS_DEF_CHRG_OTHER","FQ3 2024","FQ3 2024","Currency=USD","Period=FQ","BEST_FPERIOD_OVERRIDE=FQ","FILING_STATUS=MR","SCALING_FORMAT=MLN","Sort=A","Dates=H","DateFormat=P","Fill=—","Direction=H","UseDPDF=Y")</f>
        <v>3005.8</v>
      </c>
      <c r="AB27" s="13" cm="1">
        <f t="array" ref="AB27">_xll.BDH("PCAR US Equity","BS_OTHER_ASSETS_DEF_CHRG_OTHER","FQ4 2024","FQ4 2024","Currency=USD","Period=FQ","BEST_FPERIOD_OVERRIDE=FQ","FILING_STATUS=MR","SCALING_FORMAT=MLN","Sort=A","Dates=H","DateFormat=P","Fill=—","Direction=H","UseDPDF=Y")</f>
        <v>3266.7</v>
      </c>
      <c r="AC27" s="13" cm="1">
        <f t="array" ref="AC27">_xll.BDH("PCAR US Equity","BS_OTHER_ASSETS_DEF_CHRG_OTHER","FQ1 2025","FQ1 2025","Currency=USD","Period=FQ","BEST_FPERIOD_OVERRIDE=FQ","FILING_STATUS=MR","SCALING_FORMAT=MLN","Sort=A","Dates=H","DateFormat=P","Fill=—","Direction=H","UseDPDF=Y")</f>
        <v>3425.5</v>
      </c>
      <c r="AD27" s="13" cm="1">
        <f t="array" ref="AD27">_xll.BDH("PCAR US Equity","BS_OTHER_ASSETS_DEF_CHRG_OTHER","FQ2 2025","FQ2 2025","Currency=USD","Period=FQ","BEST_FPERIOD_OVERRIDE=FQ","FILING_STATUS=MR","SCALING_FORMAT=MLN","Sort=A","Dates=H","DateFormat=P","Fill=—","Direction=H","UseDPDF=Y")</f>
        <v>3540.4</v>
      </c>
      <c r="AE27" s="13" cm="1">
        <f t="array" ref="AE27">_xll.BDH("PCAR US Equity","BS_OTHER_ASSETS_DEF_CHRG_OTHER","FQ3 2025","FQ3 2025","Currency=USD","Period=FQ","BEST_FPERIOD_OVERRIDE=FQ","FILING_STATUS=MR","SCALING_FORMAT=MLN","Sort=A","Dates=H","DateFormat=P","Fill=—","Direction=H","UseDPDF=Y")</f>
        <v>3145.6</v>
      </c>
      <c r="AF27" s="13" cm="1">
        <f t="array" ref="AF27">_xll.BDH("PCAR US Equity","BS_OTHER_ASSETS_DEF_CHRG_OTHER","FQ4 2025","FQ4 2025","Currency=USD","Period=FQ","BEST_FPERIOD_OVERRIDE=FQ","FILING_STATUS=MR","SCALING_FORMAT=MLN","Sort=A","Dates=H","DateFormat=P","Fill=—","Direction=H","UseDPDF=Y")</f>
        <v>3605.2</v>
      </c>
    </row>
    <row r="28" spans="1:32" x14ac:dyDescent="0.25">
      <c r="A28" s="10" t="s">
        <v>108</v>
      </c>
      <c r="B28" s="10" t="s">
        <v>109</v>
      </c>
      <c r="C28" s="13" t="str" cm="1">
        <f t="array" ref="C28">_xll.BDH("PCAR US Equity","BS_DISCLOSED_INTANGIBLES","FQ3 2018","FQ3 2018","Currency=USD","Period=FQ","BEST_FPERIOD_OVERRIDE=FQ","FILING_STATUS=MR","SCALING_FORMAT=MLN","Sort=A","Dates=H","DateFormat=P","Fill=—","Direction=H","UseDPDF=Y")</f>
        <v>—</v>
      </c>
      <c r="D28" s="13" cm="1">
        <f t="array" ref="D28">_xll.BDH("PCAR US Equity","BS_DISCLOSED_INTANGIBLES","FQ4 2018","FQ4 2018","Currency=USD","Period=FQ","BEST_FPERIOD_OVERRIDE=FQ","FILING_STATUS=MR","SCALING_FORMAT=MLN","Sort=A","Dates=H","DateFormat=P","Fill=—","Direction=H","UseDPDF=Y")</f>
        <v>112</v>
      </c>
      <c r="E28" s="13" t="str" cm="1">
        <f t="array" ref="E28">_xll.BDH("PCAR US Equity","BS_DISCLOSED_INTANGIBLES","FQ1 2019","FQ1 2019","Currency=USD","Period=FQ","BEST_FPERIOD_OVERRIDE=FQ","FILING_STATUS=MR","SCALING_FORMAT=MLN","Sort=A","Dates=H","DateFormat=P","Fill=—","Direction=H","UseDPDF=Y")</f>
        <v>—</v>
      </c>
      <c r="F28" s="13" t="str" cm="1">
        <f t="array" ref="F28">_xll.BDH("PCAR US Equity","BS_DISCLOSED_INTANGIBLES","FQ2 2019","FQ2 2019","Currency=USD","Period=FQ","BEST_FPERIOD_OVERRIDE=FQ","FILING_STATUS=MR","SCALING_FORMAT=MLN","Sort=A","Dates=H","DateFormat=P","Fill=—","Direction=H","UseDPDF=Y")</f>
        <v>—</v>
      </c>
      <c r="G28" s="13" t="str" cm="1">
        <f t="array" ref="G28">_xll.BDH("PCAR US Equity","BS_DISCLOSED_INTANGIBLES","FQ3 2019","FQ3 2019","Currency=USD","Period=FQ","BEST_FPERIOD_OVERRIDE=FQ","FILING_STATUS=MR","SCALING_FORMAT=MLN","Sort=A","Dates=H","DateFormat=P","Fill=—","Direction=H","UseDPDF=Y")</f>
        <v>—</v>
      </c>
      <c r="H28" s="13" cm="1">
        <f t="array" ref="H28">_xll.BDH("PCAR US Equity","BS_DISCLOSED_INTANGIBLES","FQ4 2019","FQ4 2019","Currency=USD","Period=FQ","BEST_FPERIOD_OVERRIDE=FQ","FILING_STATUS=MR","SCALING_FORMAT=MLN","Sort=A","Dates=H","DateFormat=P","Fill=—","Direction=H","UseDPDF=Y")</f>
        <v>109.1</v>
      </c>
      <c r="I28" s="13" t="str" cm="1">
        <f t="array" ref="I28">_xll.BDH("PCAR US Equity","BS_DISCLOSED_INTANGIBLES","FQ1 2020","FQ1 2020","Currency=USD","Period=FQ","BEST_FPERIOD_OVERRIDE=FQ","FILING_STATUS=MR","SCALING_FORMAT=MLN","Sort=A","Dates=H","DateFormat=P","Fill=—","Direction=H","UseDPDF=Y")</f>
        <v>—</v>
      </c>
      <c r="J28" s="13" t="str" cm="1">
        <f t="array" ref="J28">_xll.BDH("PCAR US Equity","BS_DISCLOSED_INTANGIBLES","FQ2 2020","FQ2 2020","Currency=USD","Period=FQ","BEST_FPERIOD_OVERRIDE=FQ","FILING_STATUS=MR","SCALING_FORMAT=MLN","Sort=A","Dates=H","DateFormat=P","Fill=—","Direction=H","UseDPDF=Y")</f>
        <v>—</v>
      </c>
      <c r="K28" s="13" t="str" cm="1">
        <f t="array" ref="K28">_xll.BDH("PCAR US Equity","BS_DISCLOSED_INTANGIBLES","FQ3 2020","FQ3 2020","Currency=USD","Period=FQ","BEST_FPERIOD_OVERRIDE=FQ","FILING_STATUS=MR","SCALING_FORMAT=MLN","Sort=A","Dates=H","DateFormat=P","Fill=—","Direction=H","UseDPDF=Y")</f>
        <v>—</v>
      </c>
      <c r="L28" s="13" cm="1">
        <f t="array" ref="L28">_xll.BDH("PCAR US Equity","BS_DISCLOSED_INTANGIBLES","FQ4 2020","FQ4 2020","Currency=USD","Period=FQ","BEST_FPERIOD_OVERRIDE=FQ","FILING_STATUS=MR","SCALING_FORMAT=MLN","Sort=A","Dates=H","DateFormat=P","Fill=—","Direction=H","UseDPDF=Y")</f>
        <v>118.8</v>
      </c>
      <c r="M28" s="13" t="str" cm="1">
        <f t="array" ref="M28">_xll.BDH("PCAR US Equity","BS_DISCLOSED_INTANGIBLES","FQ1 2021","FQ1 2021","Currency=USD","Period=FQ","BEST_FPERIOD_OVERRIDE=FQ","FILING_STATUS=MR","SCALING_FORMAT=MLN","Sort=A","Dates=H","DateFormat=P","Fill=—","Direction=H","UseDPDF=Y")</f>
        <v>—</v>
      </c>
      <c r="N28" s="13" t="str" cm="1">
        <f t="array" ref="N28">_xll.BDH("PCAR US Equity","BS_DISCLOSED_INTANGIBLES","FQ2 2021","FQ2 2021","Currency=USD","Period=FQ","BEST_FPERIOD_OVERRIDE=FQ","FILING_STATUS=MR","SCALING_FORMAT=MLN","Sort=A","Dates=H","DateFormat=P","Fill=—","Direction=H","UseDPDF=Y")</f>
        <v>—</v>
      </c>
      <c r="O28" s="13" t="str" cm="1">
        <f t="array" ref="O28">_xll.BDH("PCAR US Equity","BS_DISCLOSED_INTANGIBLES","FQ3 2021","FQ3 2021","Currency=USD","Period=FQ","BEST_FPERIOD_OVERRIDE=FQ","FILING_STATUS=MR","SCALING_FORMAT=MLN","Sort=A","Dates=H","DateFormat=P","Fill=—","Direction=H","UseDPDF=Y")</f>
        <v>—</v>
      </c>
      <c r="P28" s="13" cm="1">
        <f t="array" ref="P28">_xll.BDH("PCAR US Equity","BS_DISCLOSED_INTANGIBLES","FQ4 2021","FQ4 2021","Currency=USD","Period=FQ","BEST_FPERIOD_OVERRIDE=FQ","FILING_STATUS=MR","SCALING_FORMAT=MLN","Sort=A","Dates=H","DateFormat=P","Fill=—","Direction=H","UseDPDF=Y")</f>
        <v>110.6</v>
      </c>
      <c r="Q28" s="13" t="str" cm="1">
        <f t="array" ref="Q28">_xll.BDH("PCAR US Equity","BS_DISCLOSED_INTANGIBLES","FQ1 2022","FQ1 2022","Currency=USD","Period=FQ","BEST_FPERIOD_OVERRIDE=FQ","FILING_STATUS=MR","SCALING_FORMAT=MLN","Sort=A","Dates=H","DateFormat=P","Fill=—","Direction=H","UseDPDF=Y")</f>
        <v>—</v>
      </c>
      <c r="R28" s="13" t="str" cm="1">
        <f t="array" ref="R28">_xll.BDH("PCAR US Equity","BS_DISCLOSED_INTANGIBLES","FQ2 2022","FQ2 2022","Currency=USD","Period=FQ","BEST_FPERIOD_OVERRIDE=FQ","FILING_STATUS=MR","SCALING_FORMAT=MLN","Sort=A","Dates=H","DateFormat=P","Fill=—","Direction=H","UseDPDF=Y")</f>
        <v>—</v>
      </c>
      <c r="S28" s="13" t="str" cm="1">
        <f t="array" ref="S28">_xll.BDH("PCAR US Equity","BS_DISCLOSED_INTANGIBLES","FQ3 2022","FQ3 2022","Currency=USD","Period=FQ","BEST_FPERIOD_OVERRIDE=FQ","FILING_STATUS=MR","SCALING_FORMAT=MLN","Sort=A","Dates=H","DateFormat=P","Fill=—","Direction=H","UseDPDF=Y")</f>
        <v>—</v>
      </c>
      <c r="T28" s="13" cm="1">
        <f t="array" ref="T28">_xll.BDH("PCAR US Equity","BS_DISCLOSED_INTANGIBLES","FQ4 2022","FQ4 2022","Currency=USD","Period=FQ","BEST_FPERIOD_OVERRIDE=FQ","FILING_STATUS=MR","SCALING_FORMAT=MLN","Sort=A","Dates=H","DateFormat=P","Fill=—","Direction=H","UseDPDF=Y")</f>
        <v>104.1</v>
      </c>
      <c r="U28" s="13" t="str" cm="1">
        <f t="array" ref="U28">_xll.BDH("PCAR US Equity","BS_DISCLOSED_INTANGIBLES","FQ1 2023","FQ1 2023","Currency=USD","Period=FQ","BEST_FPERIOD_OVERRIDE=FQ","FILING_STATUS=MR","SCALING_FORMAT=MLN","Sort=A","Dates=H","DateFormat=P","Fill=—","Direction=H","UseDPDF=Y")</f>
        <v>—</v>
      </c>
      <c r="V28" s="13" cm="1">
        <f t="array" ref="V28">_xll.BDH("PCAR US Equity","BS_DISCLOSED_INTANGIBLES","FQ2 2023","FQ2 2023","Currency=USD","Period=FQ","BEST_FPERIOD_OVERRIDE=FQ","FILING_STATUS=MR","SCALING_FORMAT=MLN","Sort=A","Dates=H","DateFormat=P","Fill=—","Direction=H","UseDPDF=Y")</f>
        <v>0</v>
      </c>
      <c r="W28" s="13" t="str" cm="1">
        <f t="array" ref="W28">_xll.BDH("PCAR US Equity","BS_DISCLOSED_INTANGIBLES","FQ3 2023","FQ3 2023","Currency=USD","Period=FQ","BEST_FPERIOD_OVERRIDE=FQ","FILING_STATUS=MR","SCALING_FORMAT=MLN","Sort=A","Dates=H","DateFormat=P","Fill=—","Direction=H","UseDPDF=Y")</f>
        <v>—</v>
      </c>
      <c r="X28" s="13" cm="1">
        <f t="array" ref="X28">_xll.BDH("PCAR US Equity","BS_DISCLOSED_INTANGIBLES","FQ4 2023","FQ4 2023","Currency=USD","Period=FQ","BEST_FPERIOD_OVERRIDE=FQ","FILING_STATUS=MR","SCALING_FORMAT=MLN","Sort=A","Dates=H","DateFormat=P","Fill=—","Direction=H","UseDPDF=Y")</f>
        <v>107.4</v>
      </c>
      <c r="Y28" s="13" t="str" cm="1">
        <f t="array" ref="Y28">_xll.BDH("PCAR US Equity","BS_DISCLOSED_INTANGIBLES","FQ1 2024","FQ1 2024","Currency=USD","Period=FQ","BEST_FPERIOD_OVERRIDE=FQ","FILING_STATUS=MR","SCALING_FORMAT=MLN","Sort=A","Dates=H","DateFormat=P","Fill=—","Direction=H","UseDPDF=Y")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_xll.BDH("PCAR US Equity","BS_DISCLOSED_INTANGIBLES","FQ2 2024","FQ2 2024","Currency=USD","Period=FQ","BEST_FPERIOD_OVERRIDE=FQ","FILING_STATUS=MR","SCALING_FORMAT=MLN","Sort=A","Dates=H","DateFormat=P","Fill=—","Direction=H","UseDPDF=Y")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_xll.BDH("PCAR US Equity","BS_DISCLOSED_INTANGIBLES","FQ3 2024","FQ3 2024","Currency=USD","Period=FQ","BEST_FPERIOD_OVERRIDE=FQ","FILING_STATUS=MR","SCALING_FORMAT=MLN","Sort=A","Dates=H","DateFormat=P","Fill=—","Direction=H","UseDPDF=Y")</f>
        <v>—</v>
      </c>
      <c r="AB28" s="13" cm="1">
        <f t="array" ref="AB28">_xll.BDH("PCAR US Equity","BS_DISCLOSED_INTANGIBLES","FQ4 2024","FQ4 2024","Currency=USD","Period=FQ","BEST_FPERIOD_OVERRIDE=FQ","FILING_STATUS=MR","SCALING_FORMAT=MLN","Sort=A","Dates=H","DateFormat=P","Fill=—","Direction=H","UseDPDF=Y")</f>
        <v>100.7</v>
      </c>
      <c r="AC28" s="13" t="str" cm="1">
        <f t="array" ref="AC28">_xll.BDH("PCAR US Equity","BS_DISCLOSED_INTANGIBLES","FQ1 2025","FQ1 2025","Currency=USD","Period=FQ","BEST_FPERIOD_OVERRIDE=FQ","FILING_STATUS=MR","SCALING_FORMAT=MLN","Sort=A","Dates=H","DateFormat=P","Fill=—","Direction=H","UseDPDF=Y")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_xll.BDH("PCAR US Equity","BS_DISCLOSED_INTANGIBLES","FQ2 2025","FQ2 2025","Currency=USD","Period=FQ","BEST_FPERIOD_OVERRIDE=FQ","FILING_STATUS=MR","SCALING_FORMAT=MLN","Sort=A","Dates=H","DateFormat=P","Fill=—","Direction=H","UseDPDF=Y")</f>
        <v>—</v>
      </c>
      <c r="AE28" s="13" t="str" cm="1">
        <f t="array" ref="AE28">_xll.BDH("PCAR US Equity","BS_DISCLOSED_INTANGIBLES","FQ3 2025","FQ3 2025","Currency=USD","Period=FQ","BEST_FPERIOD_OVERRIDE=FQ","FILING_STATUS=MR","SCALING_FORMAT=MLN","Sort=A","Dates=H","DateFormat=P","Fill=—","Direction=H","UseDPDF=Y")</f>
        <v>—</v>
      </c>
      <c r="AF28" s="13" t="str" cm="1">
        <f t="array" ref="AF28">_xll.BDH("PCAR US Equity","BS_DISCLOSED_INTANGIBLES","FQ4 2025","FQ4 2025","Currency=USD","Period=FQ","BEST_FPERIOD_OVERRIDE=FQ","FILING_STATUS=MR","SCALING_FORMAT=MLN","Sort=A","Dates=H","DateFormat=P","Fill=—","Direction=H","UseDPDF=Y")</f>
        <v>—</v>
      </c>
    </row>
    <row r="29" spans="1:32" x14ac:dyDescent="0.25">
      <c r="A29" s="11" t="s">
        <v>110</v>
      </c>
      <c r="B29" s="11" t="s">
        <v>111</v>
      </c>
      <c r="C29" s="17" t="str" cm="1">
        <f t="array" ref="C29">_xll.BDH("PCAR US Equity","BS_GOODWILL","FQ3 2018","FQ3 2018","Currency=USD","Period=FQ","BEST_FPERIOD_OVERRIDE=FQ","FILING_STATUS=MR","SCALING_FORMAT=MLN","Sort=A","Dates=H","DateFormat=P","Fill=—","Direction=H","UseDPDF=Y")</f>
        <v>—</v>
      </c>
      <c r="D29" s="17" cm="1">
        <f t="array" ref="D29">_xll.BDH("PCAR US Equity","BS_GOODWILL","FQ4 2018","FQ4 2018","Currency=USD","Period=FQ","BEST_FPERIOD_OVERRIDE=FQ","FILING_STATUS=MR","SCALING_FORMAT=MLN","Sort=A","Dates=H","DateFormat=P","Fill=—","Direction=H","UseDPDF=Y")</f>
        <v>112</v>
      </c>
      <c r="E29" s="17" t="str" cm="1">
        <f t="array" ref="E29">_xll.BDH("PCAR US Equity","BS_GOODWILL","FQ1 2019","FQ1 2019","Currency=USD","Period=FQ","BEST_FPERIOD_OVERRIDE=FQ","FILING_STATUS=MR","SCALING_FORMAT=MLN","Sort=A","Dates=H","DateFormat=P","Fill=—","Direction=H","UseDPDF=Y")</f>
        <v>—</v>
      </c>
      <c r="F29" s="17" t="str" cm="1">
        <f t="array" ref="F29">_xll.BDH("PCAR US Equity","BS_GOODWILL","FQ2 2019","FQ2 2019","Currency=USD","Period=FQ","BEST_FPERIOD_OVERRIDE=FQ","FILING_STATUS=MR","SCALING_FORMAT=MLN","Sort=A","Dates=H","DateFormat=P","Fill=—","Direction=H","UseDPDF=Y")</f>
        <v>—</v>
      </c>
      <c r="G29" s="17" t="str" cm="1">
        <f t="array" ref="G29">_xll.BDH("PCAR US Equity","BS_GOODWILL","FQ3 2019","FQ3 2019","Currency=USD","Period=FQ","BEST_FPERIOD_OVERRIDE=FQ","FILING_STATUS=MR","SCALING_FORMAT=MLN","Sort=A","Dates=H","DateFormat=P","Fill=—","Direction=H","UseDPDF=Y")</f>
        <v>—</v>
      </c>
      <c r="H29" s="17" cm="1">
        <f t="array" ref="H29">_xll.BDH("PCAR US Equity","BS_GOODWILL","FQ4 2019","FQ4 2019","Currency=USD","Period=FQ","BEST_FPERIOD_OVERRIDE=FQ","FILING_STATUS=MR","SCALING_FORMAT=MLN","Sort=A","Dates=H","DateFormat=P","Fill=—","Direction=H","UseDPDF=Y")</f>
        <v>109.1</v>
      </c>
      <c r="I29" s="17" t="str" cm="1">
        <f t="array" ref="I29">_xll.BDH("PCAR US Equity","BS_GOODWILL","FQ1 2020","FQ1 2020","Currency=USD","Period=FQ","BEST_FPERIOD_OVERRIDE=FQ","FILING_STATUS=MR","SCALING_FORMAT=MLN","Sort=A","Dates=H","DateFormat=P","Fill=—","Direction=H","UseDPDF=Y")</f>
        <v>—</v>
      </c>
      <c r="J29" s="17" t="str" cm="1">
        <f t="array" ref="J29">_xll.BDH("PCAR US Equity","BS_GOODWILL","FQ2 2020","FQ2 2020","Currency=USD","Period=FQ","BEST_FPERIOD_OVERRIDE=FQ","FILING_STATUS=MR","SCALING_FORMAT=MLN","Sort=A","Dates=H","DateFormat=P","Fill=—","Direction=H","UseDPDF=Y")</f>
        <v>—</v>
      </c>
      <c r="K29" s="17" t="str" cm="1">
        <f t="array" ref="K29">_xll.BDH("PCAR US Equity","BS_GOODWILL","FQ3 2020","FQ3 2020","Currency=USD","Period=FQ","BEST_FPERIOD_OVERRIDE=FQ","FILING_STATUS=MR","SCALING_FORMAT=MLN","Sort=A","Dates=H","DateFormat=P","Fill=—","Direction=H","UseDPDF=Y")</f>
        <v>—</v>
      </c>
      <c r="L29" s="17" cm="1">
        <f t="array" ref="L29">_xll.BDH("PCAR US Equity","BS_GOODWILL","FQ4 2020","FQ4 2020","Currency=USD","Period=FQ","BEST_FPERIOD_OVERRIDE=FQ","FILING_STATUS=MR","SCALING_FORMAT=MLN","Sort=A","Dates=H","DateFormat=P","Fill=—","Direction=H","UseDPDF=Y")</f>
        <v>118.8</v>
      </c>
      <c r="M29" s="17" t="str" cm="1">
        <f t="array" ref="M29">_xll.BDH("PCAR US Equity","BS_GOODWILL","FQ1 2021","FQ1 2021","Currency=USD","Period=FQ","BEST_FPERIOD_OVERRIDE=FQ","FILING_STATUS=MR","SCALING_FORMAT=MLN","Sort=A","Dates=H","DateFormat=P","Fill=—","Direction=H","UseDPDF=Y")</f>
        <v>—</v>
      </c>
      <c r="N29" s="17" t="str" cm="1">
        <f t="array" ref="N29">_xll.BDH("PCAR US Equity","BS_GOODWILL","FQ2 2021","FQ2 2021","Currency=USD","Period=FQ","BEST_FPERIOD_OVERRIDE=FQ","FILING_STATUS=MR","SCALING_FORMAT=MLN","Sort=A","Dates=H","DateFormat=P","Fill=—","Direction=H","UseDPDF=Y")</f>
        <v>—</v>
      </c>
      <c r="O29" s="17" t="str" cm="1">
        <f t="array" ref="O29">_xll.BDH("PCAR US Equity","BS_GOODWILL","FQ3 2021","FQ3 2021","Currency=USD","Period=FQ","BEST_FPERIOD_OVERRIDE=FQ","FILING_STATUS=MR","SCALING_FORMAT=MLN","Sort=A","Dates=H","DateFormat=P","Fill=—","Direction=H","UseDPDF=Y")</f>
        <v>—</v>
      </c>
      <c r="P29" s="17" cm="1">
        <f t="array" ref="P29">_xll.BDH("PCAR US Equity","BS_GOODWILL","FQ4 2021","FQ4 2021","Currency=USD","Period=FQ","BEST_FPERIOD_OVERRIDE=FQ","FILING_STATUS=MR","SCALING_FORMAT=MLN","Sort=A","Dates=H","DateFormat=P","Fill=—","Direction=H","UseDPDF=Y")</f>
        <v>110.6</v>
      </c>
      <c r="Q29" s="17" t="str" cm="1">
        <f t="array" ref="Q29">_xll.BDH("PCAR US Equity","BS_GOODWILL","FQ1 2022","FQ1 2022","Currency=USD","Period=FQ","BEST_FPERIOD_OVERRIDE=FQ","FILING_STATUS=MR","SCALING_FORMAT=MLN","Sort=A","Dates=H","DateFormat=P","Fill=—","Direction=H","UseDPDF=Y")</f>
        <v>—</v>
      </c>
      <c r="R29" s="17" t="str" cm="1">
        <f t="array" ref="R29">_xll.BDH("PCAR US Equity","BS_GOODWILL","FQ2 2022","FQ2 2022","Currency=USD","Period=FQ","BEST_FPERIOD_OVERRIDE=FQ","FILING_STATUS=MR","SCALING_FORMAT=MLN","Sort=A","Dates=H","DateFormat=P","Fill=—","Direction=H","UseDPDF=Y")</f>
        <v>—</v>
      </c>
      <c r="S29" s="17" t="str" cm="1">
        <f t="array" ref="S29">_xll.BDH("PCAR US Equity","BS_GOODWILL","FQ3 2022","FQ3 2022","Currency=USD","Period=FQ","BEST_FPERIOD_OVERRIDE=FQ","FILING_STATUS=MR","SCALING_FORMAT=MLN","Sort=A","Dates=H","DateFormat=P","Fill=—","Direction=H","UseDPDF=Y")</f>
        <v>—</v>
      </c>
      <c r="T29" s="17" cm="1">
        <f t="array" ref="T29">_xll.BDH("PCAR US Equity","BS_GOODWILL","FQ4 2022","FQ4 2022","Currency=USD","Period=FQ","BEST_FPERIOD_OVERRIDE=FQ","FILING_STATUS=MR","SCALING_FORMAT=MLN","Sort=A","Dates=H","DateFormat=P","Fill=—","Direction=H","UseDPDF=Y")</f>
        <v>104.1</v>
      </c>
      <c r="U29" s="17" t="str" cm="1">
        <f t="array" ref="U29">_xll.BDH("PCAR US Equity","BS_GOODWILL","FQ1 2023","FQ1 2023","Currency=USD","Period=FQ","BEST_FPERIOD_OVERRIDE=FQ","FILING_STATUS=MR","SCALING_FORMAT=MLN","Sort=A","Dates=H","DateFormat=P","Fill=—","Direction=H","UseDPDF=Y")</f>
        <v>—</v>
      </c>
      <c r="V29" s="17" t="str" cm="1">
        <f t="array" ref="V29">_xll.BDH("PCAR US Equity","BS_GOODWILL","FQ2 2023","FQ2 2023","Currency=USD","Period=FQ","BEST_FPERIOD_OVERRIDE=FQ","FILING_STATUS=MR","SCALING_FORMAT=MLN","Sort=A","Dates=H","DateFormat=P","Fill=—","Direction=H","UseDPDF=Y")</f>
        <v>—</v>
      </c>
      <c r="W29" s="17" t="str" cm="1">
        <f t="array" ref="W29">_xll.BDH("PCAR US Equity","BS_GOODWILL","FQ3 2023","FQ3 2023","Currency=USD","Period=FQ","BEST_FPERIOD_OVERRIDE=FQ","FILING_STATUS=MR","SCALING_FORMAT=MLN","Sort=A","Dates=H","DateFormat=P","Fill=—","Direction=H","UseDPDF=Y")</f>
        <v>—</v>
      </c>
      <c r="X29" s="17" cm="1">
        <f t="array" ref="X29">_xll.BDH("PCAR US Equity","BS_GOODWILL","FQ4 2023","FQ4 2023","Currency=USD","Period=FQ","BEST_FPERIOD_OVERRIDE=FQ","FILING_STATUS=MR","SCALING_FORMAT=MLN","Sort=A","Dates=H","DateFormat=P","Fill=—","Direction=H","UseDPDF=Y")</f>
        <v>107.4</v>
      </c>
      <c r="Y29" s="17" t="str" cm="1">
        <f t="array" ref="Y29">_xll.BDH("PCAR US Equity","BS_GOODWILL","FQ1 2024","FQ1 2024","Currency=USD","Period=FQ","BEST_FPERIOD_OVERRIDE=FQ","FILING_STATUS=MR","SCALING_FORMAT=MLN","Sort=A","Dates=H","DateFormat=P","Fill=—","Direction=H","UseDPDF=Y")</f>
        <v>—</v>
      </c>
      <c r="Z29" s="17" t="str" cm="1">
        <f t="array" ref="Z29">_xll.BDH("PCAR US Equity","BS_GOODWILL","FQ2 2024","FQ2 2024","Currency=USD","Period=FQ","BEST_FPERIOD_OVERRIDE=FQ","FILING_STATUS=MR","SCALING_FORMAT=MLN","Sort=A","Dates=H","DateFormat=P","Fill=—","Direction=H","UseDPDF=Y")</f>
        <v>—</v>
      </c>
      <c r="AA29" s="17" t="str" cm="1">
        <f t="array" ref="AA29">_xll.BDH("PCAR US Equity","BS_GOODWILL","FQ3 2024","FQ3 2024","Currency=USD","Period=FQ","BEST_FPERIOD_OVERRIDE=FQ","FILING_STATUS=MR","SCALING_FORMAT=MLN","Sort=A","Dates=H","DateFormat=P","Fill=—","Direction=H","UseDPDF=Y")</f>
        <v>—</v>
      </c>
      <c r="AB29" s="17" cm="1">
        <f t="array" ref="AB29">_xll.BDH("PCAR US Equity","BS_GOODWILL","FQ4 2024","FQ4 2024","Currency=USD","Period=FQ","BEST_FPERIOD_OVERRIDE=FQ","FILING_STATUS=MR","SCALING_FORMAT=MLN","Sort=A","Dates=H","DateFormat=P","Fill=—","Direction=H","UseDPDF=Y")</f>
        <v>100.7</v>
      </c>
      <c r="AC29" s="17" t="str" cm="1">
        <f t="array" ref="AC29">_xll.BDH("PCAR US Equity","BS_GOODWILL","FQ1 2025","FQ1 2025","Currency=USD","Period=FQ","BEST_FPERIOD_OVERRIDE=FQ","FILING_STATUS=MR","SCALING_FORMAT=MLN","Sort=A","Dates=H","DateFormat=P","Fill=—","Direction=H","UseDPDF=Y")</f>
        <v>—</v>
      </c>
      <c r="AD29" s="17" t="str" cm="1">
        <f t="array" ref="AD29">_xll.BDH("PCAR US Equity","BS_GOODWILL","FQ2 2025","FQ2 2025","Currency=USD","Period=FQ","BEST_FPERIOD_OVERRIDE=FQ","FILING_STATUS=MR","SCALING_FORMAT=MLN","Sort=A","Dates=H","DateFormat=P","Fill=—","Direction=H","UseDPDF=Y")</f>
        <v>—</v>
      </c>
      <c r="AE29" s="17" t="str" cm="1">
        <f t="array" ref="AE29">_xll.BDH("PCAR US Equity","BS_GOODWILL","FQ3 2025","FQ3 2025","Currency=USD","Period=FQ","BEST_FPERIOD_OVERRIDE=FQ","FILING_STATUS=MR","SCALING_FORMAT=MLN","Sort=A","Dates=H","DateFormat=P","Fill=—","Direction=H","UseDPDF=Y")</f>
        <v>—</v>
      </c>
      <c r="AF29" s="17" t="str" cm="1">
        <f t="array" ref="AF29">_xll.BDH("PCAR US Equity","BS_GOODWILL","FQ4 2025","FQ4 2025","Currency=USD","Period=FQ","BEST_FPERIOD_OVERRIDE=FQ","FILING_STATUS=MR","SCALING_FORMAT=MLN","Sort=A","Dates=H","DateFormat=P","Fill=—","Direction=H","UseDPDF=Y")</f>
        <v>—</v>
      </c>
    </row>
    <row r="30" spans="1:32" x14ac:dyDescent="0.25">
      <c r="A30" s="11" t="s">
        <v>112</v>
      </c>
      <c r="B30" s="11" t="s">
        <v>113</v>
      </c>
      <c r="C30" s="17" t="str" cm="1">
        <f t="array" ref="C30">_xll.BDH("PCAR US Equity","OTHER_INTANGIBLE_ASSETS_DETAILED","FQ3 2018","FQ3 2018","Currency=USD","Period=FQ","BEST_FPERIOD_OVERRIDE=FQ","FILING_STATUS=MR","SCALING_FORMAT=MLN","Sort=A","Dates=H","DateFormat=P","Fill=—","Direction=H","UseDPDF=Y")</f>
        <v>—</v>
      </c>
      <c r="D30" s="17" cm="1">
        <f t="array" ref="D30">_xll.BDH("PCAR US Equity","OTHER_INTANGIBLE_ASSETS_DETAILED","FQ4 2018","FQ4 2018","Currency=USD","Period=FQ","BEST_FPERIOD_OVERRIDE=FQ","FILING_STATUS=MR","SCALING_FORMAT=MLN","Sort=A","Dates=H","DateFormat=P","Fill=—","Direction=H","UseDPDF=Y")</f>
        <v>0</v>
      </c>
      <c r="E30" s="17" t="str" cm="1">
        <f t="array" ref="E30">_xll.BDH("PCAR US Equity","OTHER_INTANGIBLE_ASSETS_DETAILED","FQ1 2019","FQ1 2019","Currency=USD","Period=FQ","BEST_FPERIOD_OVERRIDE=FQ","FILING_STATUS=MR","SCALING_FORMAT=MLN","Sort=A","Dates=H","DateFormat=P","Fill=—","Direction=H","UseDPDF=Y")</f>
        <v>—</v>
      </c>
      <c r="F30" s="17" t="str" cm="1">
        <f t="array" ref="F30">_xll.BDH("PCAR US Equity","OTHER_INTANGIBLE_ASSETS_DETAILED","FQ2 2019","FQ2 2019","Currency=USD","Period=FQ","BEST_FPERIOD_OVERRIDE=FQ","FILING_STATUS=MR","SCALING_FORMAT=MLN","Sort=A","Dates=H","DateFormat=P","Fill=—","Direction=H","UseDPDF=Y")</f>
        <v>—</v>
      </c>
      <c r="G30" s="17" t="str" cm="1">
        <f t="array" ref="G30">_xll.BDH("PCAR US Equity","OTHER_INTANGIBLE_ASSETS_DETAILED","FQ3 2019","FQ3 2019","Currency=USD","Period=FQ","BEST_FPERIOD_OVERRIDE=FQ","FILING_STATUS=MR","SCALING_FORMAT=MLN","Sort=A","Dates=H","DateFormat=P","Fill=—","Direction=H","UseDPDF=Y")</f>
        <v>—</v>
      </c>
      <c r="H30" s="17" cm="1">
        <f t="array" ref="H30">_xll.BDH("PCAR US Equity","OTHER_INTANGIBLE_ASSETS_DETAILED","FQ4 2019","FQ4 2019","Currency=USD","Period=FQ","BEST_FPERIOD_OVERRIDE=FQ","FILING_STATUS=MR","SCALING_FORMAT=MLN","Sort=A","Dates=H","DateFormat=P","Fill=—","Direction=H","UseDPDF=Y")</f>
        <v>0</v>
      </c>
      <c r="I30" s="17" t="str" cm="1">
        <f t="array" ref="I30">_xll.BDH("PCAR US Equity","OTHER_INTANGIBLE_ASSETS_DETAILED","FQ1 2020","FQ1 2020","Currency=USD","Period=FQ","BEST_FPERIOD_OVERRIDE=FQ","FILING_STATUS=MR","SCALING_FORMAT=MLN","Sort=A","Dates=H","DateFormat=P","Fill=—","Direction=H","UseDPDF=Y")</f>
        <v>—</v>
      </c>
      <c r="J30" s="17" t="str" cm="1">
        <f t="array" ref="J30">_xll.BDH("PCAR US Equity","OTHER_INTANGIBLE_ASSETS_DETAILED","FQ2 2020","FQ2 2020","Currency=USD","Period=FQ","BEST_FPERIOD_OVERRIDE=FQ","FILING_STATUS=MR","SCALING_FORMAT=MLN","Sort=A","Dates=H","DateFormat=P","Fill=—","Direction=H","UseDPDF=Y")</f>
        <v>—</v>
      </c>
      <c r="K30" s="17" t="str" cm="1">
        <f t="array" ref="K30">_xll.BDH("PCAR US Equity","OTHER_INTANGIBLE_ASSETS_DETAILED","FQ3 2020","FQ3 2020","Currency=USD","Period=FQ","BEST_FPERIOD_OVERRIDE=FQ","FILING_STATUS=MR","SCALING_FORMAT=MLN","Sort=A","Dates=H","DateFormat=P","Fill=—","Direction=H","UseDPDF=Y")</f>
        <v>—</v>
      </c>
      <c r="L30" s="17" cm="1">
        <f t="array" ref="L30">_xll.BDH("PCAR US Equity","OTHER_INTANGIBLE_ASSETS_DETAILED","FQ4 2020","FQ4 2020","Currency=USD","Period=FQ","BEST_FPERIOD_OVERRIDE=FQ","FILING_STATUS=MR","SCALING_FORMAT=MLN","Sort=A","Dates=H","DateFormat=P","Fill=—","Direction=H","UseDPDF=Y")</f>
        <v>0</v>
      </c>
      <c r="M30" s="17" t="str" cm="1">
        <f t="array" ref="M30">_xll.BDH("PCAR US Equity","OTHER_INTANGIBLE_ASSETS_DETAILED","FQ1 2021","FQ1 2021","Currency=USD","Period=FQ","BEST_FPERIOD_OVERRIDE=FQ","FILING_STATUS=MR","SCALING_FORMAT=MLN","Sort=A","Dates=H","DateFormat=P","Fill=—","Direction=H","UseDPDF=Y")</f>
        <v>—</v>
      </c>
      <c r="N30" s="17" t="str" cm="1">
        <f t="array" ref="N30">_xll.BDH("PCAR US Equity","OTHER_INTANGIBLE_ASSETS_DETAILED","FQ2 2021","FQ2 2021","Currency=USD","Period=FQ","BEST_FPERIOD_OVERRIDE=FQ","FILING_STATUS=MR","SCALING_FORMAT=MLN","Sort=A","Dates=H","DateFormat=P","Fill=—","Direction=H","UseDPDF=Y")</f>
        <v>—</v>
      </c>
      <c r="O30" s="17" t="str" cm="1">
        <f t="array" ref="O30">_xll.BDH("PCAR US Equity","OTHER_INTANGIBLE_ASSETS_DETAILED","FQ3 2021","FQ3 2021","Currency=USD","Period=FQ","BEST_FPERIOD_OVERRIDE=FQ","FILING_STATUS=MR","SCALING_FORMAT=MLN","Sort=A","Dates=H","DateFormat=P","Fill=—","Direction=H","UseDPDF=Y")</f>
        <v>—</v>
      </c>
      <c r="P30" s="17" cm="1">
        <f t="array" ref="P30">_xll.BDH("PCAR US Equity","OTHER_INTANGIBLE_ASSETS_DETAILED","FQ4 2021","FQ4 2021","Currency=USD","Period=FQ","BEST_FPERIOD_OVERRIDE=FQ","FILING_STATUS=MR","SCALING_FORMAT=MLN","Sort=A","Dates=H","DateFormat=P","Fill=—","Direction=H","UseDPDF=Y")</f>
        <v>0</v>
      </c>
      <c r="Q30" s="17" t="str" cm="1">
        <f t="array" ref="Q30">_xll.BDH("PCAR US Equity","OTHER_INTANGIBLE_ASSETS_DETAILED","FQ1 2022","FQ1 2022","Currency=USD","Period=FQ","BEST_FPERIOD_OVERRIDE=FQ","FILING_STATUS=MR","SCALING_FORMAT=MLN","Sort=A","Dates=H","DateFormat=P","Fill=—","Direction=H","UseDPDF=Y")</f>
        <v>—</v>
      </c>
      <c r="R30" s="17" t="str" cm="1">
        <f t="array" ref="R30">_xll.BDH("PCAR US Equity","OTHER_INTANGIBLE_ASSETS_DETAILED","FQ2 2022","FQ2 2022","Currency=USD","Period=FQ","BEST_FPERIOD_OVERRIDE=FQ","FILING_STATUS=MR","SCALING_FORMAT=MLN","Sort=A","Dates=H","DateFormat=P","Fill=—","Direction=H","UseDPDF=Y")</f>
        <v>—</v>
      </c>
      <c r="S30" s="17" t="str" cm="1">
        <f t="array" ref="S30">_xll.BDH("PCAR US Equity","OTHER_INTANGIBLE_ASSETS_DETAILED","FQ3 2022","FQ3 2022","Currency=USD","Period=FQ","BEST_FPERIOD_OVERRIDE=FQ","FILING_STATUS=MR","SCALING_FORMAT=MLN","Sort=A","Dates=H","DateFormat=P","Fill=—","Direction=H","UseDPDF=Y")</f>
        <v>—</v>
      </c>
      <c r="T30" s="17" cm="1">
        <f t="array" ref="T30">_xll.BDH("PCAR US Equity","OTHER_INTANGIBLE_ASSETS_DETAILED","FQ4 2022","FQ4 2022","Currency=USD","Period=FQ","BEST_FPERIOD_OVERRIDE=FQ","FILING_STATUS=MR","SCALING_FORMAT=MLN","Sort=A","Dates=H","DateFormat=P","Fill=—","Direction=H","UseDPDF=Y")</f>
        <v>0</v>
      </c>
      <c r="U30" s="17" t="str" cm="1">
        <f t="array" ref="U30">_xll.BDH("PCAR US Equity","OTHER_INTANGIBLE_ASSETS_DETAILED","FQ1 2023","FQ1 2023","Currency=USD","Period=FQ","BEST_FPERIOD_OVERRIDE=FQ","FILING_STATUS=MR","SCALING_FORMAT=MLN","Sort=A","Dates=H","DateFormat=P","Fill=—","Direction=H","UseDPDF=Y")</f>
        <v>—</v>
      </c>
      <c r="V30" s="17" t="str" cm="1">
        <f t="array" ref="V30">_xll.BDH("PCAR US Equity","OTHER_INTANGIBLE_ASSETS_DETAILED","FQ2 2023","FQ2 2023","Currency=USD","Period=FQ","BEST_FPERIOD_OVERRIDE=FQ","FILING_STATUS=MR","SCALING_FORMAT=MLN","Sort=A","Dates=H","DateFormat=P","Fill=—","Direction=H","UseDPDF=Y")</f>
        <v>—</v>
      </c>
      <c r="W30" s="17" t="str" cm="1">
        <f t="array" ref="W30">_xll.BDH("PCAR US Equity","OTHER_INTANGIBLE_ASSETS_DETAILED","FQ3 2023","FQ3 2023","Currency=USD","Period=FQ","BEST_FPERIOD_OVERRIDE=FQ","FILING_STATUS=MR","SCALING_FORMAT=MLN","Sort=A","Dates=H","DateFormat=P","Fill=—","Direction=H","UseDPDF=Y")</f>
        <v>—</v>
      </c>
      <c r="X30" s="17" cm="1">
        <f t="array" ref="X30">_xll.BDH("PCAR US Equity","OTHER_INTANGIBLE_ASSETS_DETAILED","FQ4 2023","FQ4 2023","Currency=USD","Period=FQ","BEST_FPERIOD_OVERRIDE=FQ","FILING_STATUS=MR","SCALING_FORMAT=MLN","Sort=A","Dates=H","DateFormat=P","Fill=—","Direction=H","UseDPDF=Y")</f>
        <v>0</v>
      </c>
      <c r="Y30" s="17" t="str" cm="1">
        <f t="array" ref="Y30">_xll.BDH("PCAR US Equity","OTHER_INTANGIBLE_ASSETS_DETAILED","FQ1 2024","FQ1 2024","Currency=USD","Period=FQ","BEST_FPERIOD_OVERRIDE=FQ","FILING_STATUS=MR","SCALING_FORMAT=MLN","Sort=A","Dates=H","DateFormat=P","Fill=—","Direction=H","UseDPDF=Y")</f>
        <v>—</v>
      </c>
      <c r="Z30" s="17" t="str" cm="1">
        <f t="array" ref="Z30">_xll.BDH("PCAR US Equity","OTHER_INTANGIBLE_ASSETS_DETAILED","FQ2 2024","FQ2 2024","Currency=USD","Period=FQ","BEST_FPERIOD_OVERRIDE=FQ","FILING_STATUS=MR","SCALING_FORMAT=MLN","Sort=A","Dates=H","DateFormat=P","Fill=—","Direction=H","UseDPDF=Y")</f>
        <v>—</v>
      </c>
      <c r="AA30" s="17" t="str" cm="1">
        <f t="array" ref="AA30">_xll.BDH("PCAR US Equity","OTHER_INTANGIBLE_ASSETS_DETAILED","FQ3 2024","FQ3 2024","Currency=USD","Period=FQ","BEST_FPERIOD_OVERRIDE=FQ","FILING_STATUS=MR","SCALING_FORMAT=MLN","Sort=A","Dates=H","DateFormat=P","Fill=—","Direction=H","UseDPDF=Y")</f>
        <v>—</v>
      </c>
      <c r="AB30" s="17" cm="1">
        <f t="array" ref="AB30">_xll.BDH("PCAR US Equity","OTHER_INTANGIBLE_ASSETS_DETAILED","FQ4 2024","FQ4 2024","Currency=USD","Period=FQ","BEST_FPERIOD_OVERRIDE=FQ","FILING_STATUS=MR","SCALING_FORMAT=MLN","Sort=A","Dates=H","DateFormat=P","Fill=—","Direction=H","UseDPDF=Y")</f>
        <v>0</v>
      </c>
      <c r="AC30" s="17" t="str" cm="1">
        <f t="array" ref="AC30">_xll.BDH("PCAR US Equity","OTHER_INTANGIBLE_ASSETS_DETAILED","FQ1 2025","FQ1 2025","Currency=USD","Period=FQ","BEST_FPERIOD_OVERRIDE=FQ","FILING_STATUS=MR","SCALING_FORMAT=MLN","Sort=A","Dates=H","DateFormat=P","Fill=—","Direction=H","UseDPDF=Y")</f>
        <v>—</v>
      </c>
      <c r="AD30" s="17" t="str" cm="1">
        <f t="array" ref="AD30">_xll.BDH("PCAR US Equity","OTHER_INTANGIBLE_ASSETS_DETAILED","FQ2 2025","FQ2 2025","Currency=USD","Period=FQ","BEST_FPERIOD_OVERRIDE=FQ","FILING_STATUS=MR","SCALING_FORMAT=MLN","Sort=A","Dates=H","DateFormat=P","Fill=—","Direction=H","UseDPDF=Y")</f>
        <v>—</v>
      </c>
      <c r="AE30" s="17" t="str" cm="1">
        <f t="array" ref="AE30">_xll.BDH("PCAR US Equity","OTHER_INTANGIBLE_ASSETS_DETAILED","FQ3 2025","FQ3 2025","Currency=USD","Period=FQ","BEST_FPERIOD_OVERRIDE=FQ","FILING_STATUS=MR","SCALING_FORMAT=MLN","Sort=A","Dates=H","DateFormat=P","Fill=—","Direction=H","UseDPDF=Y")</f>
        <v>—</v>
      </c>
      <c r="AF30" s="17" t="str" cm="1">
        <f t="array" ref="AF30">_xll.BDH("PCAR US Equity","OTHER_INTANGIBLE_ASSETS_DETAILED","FQ4 2025","FQ4 2025","Currency=USD","Period=FQ","BEST_FPERIOD_OVERRIDE=FQ","FILING_STATUS=MR","SCALING_FORMAT=MLN","Sort=A","Dates=H","DateFormat=P","Fill=—","Direction=H","UseDPDF=Y")</f>
        <v>—</v>
      </c>
    </row>
    <row r="31" spans="1:32" x14ac:dyDescent="0.25">
      <c r="A31" s="10" t="s">
        <v>114</v>
      </c>
      <c r="B31" s="10" t="s">
        <v>115</v>
      </c>
      <c r="C31" s="13" t="str" cm="1">
        <f t="array" ref="C31">_xll.BDH("PCAR US Equity","BS_DEFERRED_TAX_ASSETS_LT","FQ3 2018","FQ3 2018","Currency=USD","Period=FQ","BEST_FPERIOD_OVERRIDE=FQ","FILING_STATUS=MR","SCALING_FORMAT=MLN","Sort=A","Dates=H","DateFormat=P","Fill=—","Direction=H","UseDPDF=Y")</f>
        <v>—</v>
      </c>
      <c r="D31" s="13" cm="1">
        <f t="array" ref="D31">_xll.BDH("PCAR US Equity","BS_DEFERRED_TAX_ASSETS_LT","FQ4 2018","FQ4 2018","Currency=USD","Period=FQ","BEST_FPERIOD_OVERRIDE=FQ","FILING_STATUS=MR","SCALING_FORMAT=MLN","Sort=A","Dates=H","DateFormat=P","Fill=—","Direction=H","UseDPDF=Y")</f>
        <v>134.80000000000001</v>
      </c>
      <c r="E31" s="13" t="str" cm="1">
        <f t="array" ref="E31">_xll.BDH("PCAR US Equity","BS_DEFERRED_TAX_ASSETS_LT","FQ1 2019","FQ1 2019","Currency=USD","Period=FQ","BEST_FPERIOD_OVERRIDE=FQ","FILING_STATUS=MR","SCALING_FORMAT=MLN","Sort=A","Dates=H","DateFormat=P","Fill=—","Direction=H","UseDPDF=Y")</f>
        <v>—</v>
      </c>
      <c r="F31" s="13" t="str" cm="1">
        <f t="array" ref="F31">_xll.BDH("PCAR US Equity","BS_DEFERRED_TAX_ASSETS_LT","FQ2 2019","FQ2 2019","Currency=USD","Period=FQ","BEST_FPERIOD_OVERRIDE=FQ","FILING_STATUS=MR","SCALING_FORMAT=MLN","Sort=A","Dates=H","DateFormat=P","Fill=—","Direction=H","UseDPDF=Y")</f>
        <v>—</v>
      </c>
      <c r="G31" s="13" t="str" cm="1">
        <f t="array" ref="G31">_xll.BDH("PCAR US Equity","BS_DEFERRED_TAX_ASSETS_LT","FQ3 2019","FQ3 2019","Currency=USD","Period=FQ","BEST_FPERIOD_OVERRIDE=FQ","FILING_STATUS=MR","SCALING_FORMAT=MLN","Sort=A","Dates=H","DateFormat=P","Fill=—","Direction=H","UseDPDF=Y")</f>
        <v>—</v>
      </c>
      <c r="H31" s="13" cm="1">
        <f t="array" ref="H31">_xll.BDH("PCAR US Equity","BS_DEFERRED_TAX_ASSETS_LT","FQ4 2019","FQ4 2019","Currency=USD","Period=FQ","BEST_FPERIOD_OVERRIDE=FQ","FILING_STATUS=MR","SCALING_FORMAT=MLN","Sort=A","Dates=H","DateFormat=P","Fill=—","Direction=H","UseDPDF=Y")</f>
        <v>152.19999999999999</v>
      </c>
      <c r="I31" s="13" t="str" cm="1">
        <f t="array" ref="I31">_xll.BDH("PCAR US Equity","BS_DEFERRED_TAX_ASSETS_LT","FQ1 2020","FQ1 2020","Currency=USD","Period=FQ","BEST_FPERIOD_OVERRIDE=FQ","FILING_STATUS=MR","SCALING_FORMAT=MLN","Sort=A","Dates=H","DateFormat=P","Fill=—","Direction=H","UseDPDF=Y")</f>
        <v>—</v>
      </c>
      <c r="J31" s="13" t="str" cm="1">
        <f t="array" ref="J31">_xll.BDH("PCAR US Equity","BS_DEFERRED_TAX_ASSETS_LT","FQ2 2020","FQ2 2020","Currency=USD","Period=FQ","BEST_FPERIOD_OVERRIDE=FQ","FILING_STATUS=MR","SCALING_FORMAT=MLN","Sort=A","Dates=H","DateFormat=P","Fill=—","Direction=H","UseDPDF=Y")</f>
        <v>—</v>
      </c>
      <c r="K31" s="13" t="str" cm="1">
        <f t="array" ref="K31">_xll.BDH("PCAR US Equity","BS_DEFERRED_TAX_ASSETS_LT","FQ3 2020","FQ3 2020","Currency=USD","Period=FQ","BEST_FPERIOD_OVERRIDE=FQ","FILING_STATUS=MR","SCALING_FORMAT=MLN","Sort=A","Dates=H","DateFormat=P","Fill=—","Direction=H","UseDPDF=Y")</f>
        <v>—</v>
      </c>
      <c r="L31" s="13" cm="1">
        <f t="array" ref="L31">_xll.BDH("PCAR US Equity","BS_DEFERRED_TAX_ASSETS_LT","FQ4 2020","FQ4 2020","Currency=USD","Period=FQ","BEST_FPERIOD_OVERRIDE=FQ","FILING_STATUS=MR","SCALING_FORMAT=MLN","Sort=A","Dates=H","DateFormat=P","Fill=—","Direction=H","UseDPDF=Y")</f>
        <v>137.19999999999999</v>
      </c>
      <c r="M31" s="13" t="str" cm="1">
        <f t="array" ref="M31">_xll.BDH("PCAR US Equity","BS_DEFERRED_TAX_ASSETS_LT","FQ1 2021","FQ1 2021","Currency=USD","Period=FQ","BEST_FPERIOD_OVERRIDE=FQ","FILING_STATUS=MR","SCALING_FORMAT=MLN","Sort=A","Dates=H","DateFormat=P","Fill=—","Direction=H","UseDPDF=Y")</f>
        <v>—</v>
      </c>
      <c r="N31" s="13" t="str" cm="1">
        <f t="array" ref="N31">_xll.BDH("PCAR US Equity","BS_DEFERRED_TAX_ASSETS_LT","FQ2 2021","FQ2 2021","Currency=USD","Period=FQ","BEST_FPERIOD_OVERRIDE=FQ","FILING_STATUS=MR","SCALING_FORMAT=MLN","Sort=A","Dates=H","DateFormat=P","Fill=—","Direction=H","UseDPDF=Y")</f>
        <v>—</v>
      </c>
      <c r="O31" s="13" t="str" cm="1">
        <f t="array" ref="O31">_xll.BDH("PCAR US Equity","BS_DEFERRED_TAX_ASSETS_LT","FQ3 2021","FQ3 2021","Currency=USD","Period=FQ","BEST_FPERIOD_OVERRIDE=FQ","FILING_STATUS=MR","SCALING_FORMAT=MLN","Sort=A","Dates=H","DateFormat=P","Fill=—","Direction=H","UseDPDF=Y")</f>
        <v>—</v>
      </c>
      <c r="P31" s="13" cm="1">
        <f t="array" ref="P31">_xll.BDH("PCAR US Equity","BS_DEFERRED_TAX_ASSETS_LT","FQ4 2021","FQ4 2021","Currency=USD","Period=FQ","BEST_FPERIOD_OVERRIDE=FQ","FILING_STATUS=MR","SCALING_FORMAT=MLN","Sort=A","Dates=H","DateFormat=P","Fill=—","Direction=H","UseDPDF=Y")</f>
        <v>99.9</v>
      </c>
      <c r="Q31" s="13" t="str" cm="1">
        <f t="array" ref="Q31">_xll.BDH("PCAR US Equity","BS_DEFERRED_TAX_ASSETS_LT","FQ1 2022","FQ1 2022","Currency=USD","Period=FQ","BEST_FPERIOD_OVERRIDE=FQ","FILING_STATUS=MR","SCALING_FORMAT=MLN","Sort=A","Dates=H","DateFormat=P","Fill=—","Direction=H","UseDPDF=Y")</f>
        <v>—</v>
      </c>
      <c r="R31" s="13" t="str" cm="1">
        <f t="array" ref="R31">_xll.BDH("PCAR US Equity","BS_DEFERRED_TAX_ASSETS_LT","FQ2 2022","FQ2 2022","Currency=USD","Period=FQ","BEST_FPERIOD_OVERRIDE=FQ","FILING_STATUS=MR","SCALING_FORMAT=MLN","Sort=A","Dates=H","DateFormat=P","Fill=—","Direction=H","UseDPDF=Y")</f>
        <v>—</v>
      </c>
      <c r="S31" s="13" t="str" cm="1">
        <f t="array" ref="S31">_xll.BDH("PCAR US Equity","BS_DEFERRED_TAX_ASSETS_LT","FQ3 2022","FQ3 2022","Currency=USD","Period=FQ","BEST_FPERIOD_OVERRIDE=FQ","FILING_STATUS=MR","SCALING_FORMAT=MLN","Sort=A","Dates=H","DateFormat=P","Fill=—","Direction=H","UseDPDF=Y")</f>
        <v>—</v>
      </c>
      <c r="T31" s="13" cm="1">
        <f t="array" ref="T31">_xll.BDH("PCAR US Equity","BS_DEFERRED_TAX_ASSETS_LT","FQ4 2022","FQ4 2022","Currency=USD","Period=FQ","BEST_FPERIOD_OVERRIDE=FQ","FILING_STATUS=MR","SCALING_FORMAT=MLN","Sort=A","Dates=H","DateFormat=P","Fill=—","Direction=H","UseDPDF=Y")</f>
        <v>250</v>
      </c>
      <c r="U31" s="13" t="str" cm="1">
        <f t="array" ref="U31">_xll.BDH("PCAR US Equity","BS_DEFERRED_TAX_ASSETS_LT","FQ1 2023","FQ1 2023","Currency=USD","Period=FQ","BEST_FPERIOD_OVERRIDE=FQ","FILING_STATUS=MR","SCALING_FORMAT=MLN","Sort=A","Dates=H","DateFormat=P","Fill=—","Direction=H","UseDPDF=Y")</f>
        <v>—</v>
      </c>
      <c r="V31" s="13" t="str" cm="1">
        <f t="array" ref="V31">_xll.BDH("PCAR US Equity","BS_DEFERRED_TAX_ASSETS_LT","FQ2 2023","FQ2 2023","Currency=USD","Period=FQ","BEST_FPERIOD_OVERRIDE=FQ","FILING_STATUS=MR","SCALING_FORMAT=MLN","Sort=A","Dates=H","DateFormat=P","Fill=—","Direction=H","UseDPDF=Y")</f>
        <v>—</v>
      </c>
      <c r="W31" s="13" t="str" cm="1">
        <f t="array" ref="W31">_xll.BDH("PCAR US Equity","BS_DEFERRED_TAX_ASSETS_LT","FQ3 2023","FQ3 2023","Currency=USD","Period=FQ","BEST_FPERIOD_OVERRIDE=FQ","FILING_STATUS=MR","SCALING_FORMAT=MLN","Sort=A","Dates=H","DateFormat=P","Fill=—","Direction=H","UseDPDF=Y")</f>
        <v>—</v>
      </c>
      <c r="X31" s="13" cm="1">
        <f t="array" ref="X31">_xll.BDH("PCAR US Equity","BS_DEFERRED_TAX_ASSETS_LT","FQ4 2023","FQ4 2023","Currency=USD","Period=FQ","BEST_FPERIOD_OVERRIDE=FQ","FILING_STATUS=MR","SCALING_FORMAT=MLN","Sort=A","Dates=H","DateFormat=P","Fill=—","Direction=H","UseDPDF=Y")</f>
        <v>590.9</v>
      </c>
      <c r="Y31" s="13" t="str" cm="1">
        <f t="array" ref="Y31">_xll.BDH("PCAR US Equity","BS_DEFERRED_TAX_ASSETS_LT","FQ1 2024","FQ1 2024","Currency=USD","Period=FQ","BEST_FPERIOD_OVERRIDE=FQ","FILING_STATUS=MR","SCALING_FORMAT=MLN","Sort=A","Dates=H","DateFormat=P","Fill=—","Direction=H","UseDPDF=Y")</f>
        <v>—</v>
      </c>
      <c r="Z31" s="13" t="str" cm="1">
        <f t="array" ref="Z31">_xll.BDH("PCAR US Equity","BS_DEFERRED_TAX_ASSETS_LT","FQ2 2024","FQ2 2024","Currency=USD","Period=FQ","BEST_FPERIOD_OVERRIDE=FQ","FILING_STATUS=MR","SCALING_FORMAT=MLN","Sort=A","Dates=H","DateFormat=P","Fill=—","Direction=H","UseDPDF=Y")</f>
        <v>—</v>
      </c>
      <c r="AA31" s="13" t="str" cm="1">
        <f t="array" ref="AA31">_xll.BDH("PCAR US Equity","BS_DEFERRED_TAX_ASSETS_LT","FQ3 2024","FQ3 2024","Currency=USD","Period=FQ","BEST_FPERIOD_OVERRIDE=FQ","FILING_STATUS=MR","SCALING_FORMAT=MLN","Sort=A","Dates=H","DateFormat=P","Fill=—","Direction=H","UseDPDF=Y")</f>
        <v>—</v>
      </c>
      <c r="AB31" s="13" cm="1">
        <f t="array" ref="AB31">_xll.BDH("PCAR US Equity","BS_DEFERRED_TAX_ASSETS_LT","FQ4 2024","FQ4 2024","Currency=USD","Period=FQ","BEST_FPERIOD_OVERRIDE=FQ","FILING_STATUS=MR","SCALING_FORMAT=MLN","Sort=A","Dates=H","DateFormat=P","Fill=—","Direction=H","UseDPDF=Y")</f>
        <v>545.29999999999995</v>
      </c>
      <c r="AC31" s="13" t="str" cm="1">
        <f t="array" ref="AC31">_xll.BDH("PCAR US Equity","BS_DEFERRED_TAX_ASSETS_LT","FQ1 2025","FQ1 2025","Currency=USD","Period=FQ","BEST_FPERIOD_OVERRIDE=FQ","FILING_STATUS=MR","SCALING_FORMAT=MLN","Sort=A","Dates=H","DateFormat=P","Fill=—","Direction=H","UseDPDF=Y")</f>
        <v>—</v>
      </c>
      <c r="AD31" s="13" t="str" cm="1">
        <f t="array" ref="AD31">_xll.BDH("PCAR US Equity","BS_DEFERRED_TAX_ASSETS_LT","FQ2 2025","FQ2 2025","Currency=USD","Period=FQ","BEST_FPERIOD_OVERRIDE=FQ","FILING_STATUS=MR","SCALING_FORMAT=MLN","Sort=A","Dates=H","DateFormat=P","Fill=—","Direction=H","UseDPDF=Y")</f>
        <v>—</v>
      </c>
      <c r="AE31" s="13" t="str" cm="1">
        <f t="array" ref="AE31">_xll.BDH("PCAR US Equity","BS_DEFERRED_TAX_ASSETS_LT","FQ3 2025","FQ3 2025","Currency=USD","Period=FQ","BEST_FPERIOD_OVERRIDE=FQ","FILING_STATUS=MR","SCALING_FORMAT=MLN","Sort=A","Dates=H","DateFormat=P","Fill=—","Direction=H","UseDPDF=Y")</f>
        <v>—</v>
      </c>
      <c r="AF31" s="13" t="str" cm="1">
        <f t="array" ref="AF31">_xll.BDH("PCAR US Equity","BS_DEFERRED_TAX_ASSETS_LT","FQ4 2025","FQ4 2025","Currency=USD","Period=FQ","BEST_FPERIOD_OVERRIDE=FQ","FILING_STATUS=MR","SCALING_FORMAT=MLN","Sort=A","Dates=H","DateFormat=P","Fill=—","Direction=H","UseDPDF=Y")</f>
        <v>—</v>
      </c>
    </row>
    <row r="32" spans="1:32" x14ac:dyDescent="0.25">
      <c r="A32" s="10" t="s">
        <v>90</v>
      </c>
      <c r="B32" s="10" t="s">
        <v>116</v>
      </c>
      <c r="C32" s="13" cm="1">
        <f t="array" ref="C32">_xll.BDH("PCAR US Equity","BS_DERIV_HEDGING_ASST_LT","FQ3 2018","FQ3 2018","Currency=USD","Period=FQ","BEST_FPERIOD_OVERRIDE=FQ","FILING_STATUS=MR","SCALING_FORMAT=MLN","Sort=A","Dates=H","DateFormat=P","Fill=—","Direction=H","UseDPDF=Y")</f>
        <v>61</v>
      </c>
      <c r="D32" s="13" cm="1">
        <f t="array" ref="D32">_xll.BDH("PCAR US Equity","BS_DERIV_HEDGING_ASST_LT","FQ4 2018","FQ4 2018","Currency=USD","Period=FQ","BEST_FPERIOD_OVERRIDE=FQ","FILING_STATUS=MR","SCALING_FORMAT=MLN","Sort=A","Dates=H","DateFormat=P","Fill=—","Direction=H","UseDPDF=Y")</f>
        <v>84.5</v>
      </c>
      <c r="E32" s="13" cm="1">
        <f t="array" ref="E32">_xll.BDH("PCAR US Equity","BS_DERIV_HEDGING_ASST_LT","FQ1 2019","FQ1 2019","Currency=USD","Period=FQ","BEST_FPERIOD_OVERRIDE=FQ","FILING_STATUS=MR","SCALING_FORMAT=MLN","Sort=A","Dates=H","DateFormat=P","Fill=—","Direction=H","UseDPDF=Y")</f>
        <v>4.5</v>
      </c>
      <c r="F32" s="13" cm="1">
        <f t="array" ref="F32">_xll.BDH("PCAR US Equity","BS_DERIV_HEDGING_ASST_LT","FQ2 2019","FQ2 2019","Currency=USD","Period=FQ","BEST_FPERIOD_OVERRIDE=FQ","FILING_STATUS=MR","SCALING_FORMAT=MLN","Sort=A","Dates=H","DateFormat=P","Fill=—","Direction=H","UseDPDF=Y")</f>
        <v>64.3</v>
      </c>
      <c r="G32" s="13" cm="1">
        <f t="array" ref="G32">_xll.BDH("PCAR US Equity","BS_DERIV_HEDGING_ASST_LT","FQ3 2019","FQ3 2019","Currency=USD","Period=FQ","BEST_FPERIOD_OVERRIDE=FQ","FILING_STATUS=MR","SCALING_FORMAT=MLN","Sort=A","Dates=H","DateFormat=P","Fill=—","Direction=H","UseDPDF=Y")</f>
        <v>85.1</v>
      </c>
      <c r="H32" s="13" cm="1">
        <f t="array" ref="H32">_xll.BDH("PCAR US Equity","BS_DERIV_HEDGING_ASST_LT","FQ4 2019","FQ4 2019","Currency=USD","Period=FQ","BEST_FPERIOD_OVERRIDE=FQ","FILING_STATUS=MR","SCALING_FORMAT=MLN","Sort=A","Dates=H","DateFormat=P","Fill=—","Direction=H","UseDPDF=Y")</f>
        <v>45.8</v>
      </c>
      <c r="I32" s="13" cm="1">
        <f t="array" ref="I32">_xll.BDH("PCAR US Equity","BS_DERIV_HEDGING_ASST_LT","FQ1 2020","FQ1 2020","Currency=USD","Period=FQ","BEST_FPERIOD_OVERRIDE=FQ","FILING_STATUS=MR","SCALING_FORMAT=MLN","Sort=A","Dates=H","DateFormat=P","Fill=—","Direction=H","UseDPDF=Y")</f>
        <v>118.2</v>
      </c>
      <c r="J32" s="13" cm="1">
        <f t="array" ref="J32">_xll.BDH("PCAR US Equity","BS_DERIV_HEDGING_ASST_LT","FQ2 2020","FQ2 2020","Currency=USD","Period=FQ","BEST_FPERIOD_OVERRIDE=FQ","FILING_STATUS=MR","SCALING_FORMAT=MLN","Sort=A","Dates=H","DateFormat=P","Fill=—","Direction=H","UseDPDF=Y")</f>
        <v>89.8</v>
      </c>
      <c r="K32" s="13" cm="1">
        <f t="array" ref="K32">_xll.BDH("PCAR US Equity","BS_DERIV_HEDGING_ASST_LT","FQ3 2020","FQ3 2020","Currency=USD","Period=FQ","BEST_FPERIOD_OVERRIDE=FQ","FILING_STATUS=MR","SCALING_FORMAT=MLN","Sort=A","Dates=H","DateFormat=P","Fill=—","Direction=H","UseDPDF=Y")</f>
        <v>21.1</v>
      </c>
      <c r="L32" s="13" cm="1">
        <f t="array" ref="L32">_xll.BDH("PCAR US Equity","BS_DERIV_HEDGING_ASST_LT","FQ4 2020","FQ4 2020","Currency=USD","Period=FQ","BEST_FPERIOD_OVERRIDE=FQ","FILING_STATUS=MR","SCALING_FORMAT=MLN","Sort=A","Dates=H","DateFormat=P","Fill=—","Direction=H","UseDPDF=Y")</f>
        <v>16.7</v>
      </c>
      <c r="M32" s="13" cm="1">
        <f t="array" ref="M32">_xll.BDH("PCAR US Equity","BS_DERIV_HEDGING_ASST_LT","FQ1 2021","FQ1 2021","Currency=USD","Period=FQ","BEST_FPERIOD_OVERRIDE=FQ","FILING_STATUS=MR","SCALING_FORMAT=MLN","Sort=A","Dates=H","DateFormat=P","Fill=—","Direction=H","UseDPDF=Y")</f>
        <v>15.6</v>
      </c>
      <c r="N32" s="13" cm="1">
        <f t="array" ref="N32">_xll.BDH("PCAR US Equity","BS_DERIV_HEDGING_ASST_LT","FQ2 2021","FQ2 2021","Currency=USD","Period=FQ","BEST_FPERIOD_OVERRIDE=FQ","FILING_STATUS=MR","SCALING_FORMAT=MLN","Sort=A","Dates=H","DateFormat=P","Fill=—","Direction=H","UseDPDF=Y")</f>
        <v>10.5</v>
      </c>
      <c r="O32" s="13" cm="1">
        <f t="array" ref="O32">_xll.BDH("PCAR US Equity","BS_DERIV_HEDGING_ASST_LT","FQ3 2021","FQ3 2021","Currency=USD","Period=FQ","BEST_FPERIOD_OVERRIDE=FQ","FILING_STATUS=MR","SCALING_FORMAT=MLN","Sort=A","Dates=H","DateFormat=P","Fill=—","Direction=H","UseDPDF=Y")</f>
        <v>18.899999999999999</v>
      </c>
      <c r="P32" s="13" cm="1">
        <f t="array" ref="P32">_xll.BDH("PCAR US Equity","BS_DERIV_HEDGING_ASST_LT","FQ4 2021","FQ4 2021","Currency=USD","Period=FQ","BEST_FPERIOD_OVERRIDE=FQ","FILING_STATUS=MR","SCALING_FORMAT=MLN","Sort=A","Dates=H","DateFormat=P","Fill=—","Direction=H","UseDPDF=Y")</f>
        <v>30.8</v>
      </c>
      <c r="Q32" s="13" cm="1">
        <f t="array" ref="Q32">_xll.BDH("PCAR US Equity","BS_DERIV_HEDGING_ASST_LT","FQ1 2022","FQ1 2022","Currency=USD","Period=FQ","BEST_FPERIOD_OVERRIDE=FQ","FILING_STATUS=MR","SCALING_FORMAT=MLN","Sort=A","Dates=H","DateFormat=P","Fill=—","Direction=H","UseDPDF=Y")</f>
        <v>32.9</v>
      </c>
      <c r="R32" s="13" cm="1">
        <f t="array" ref="R32">_xll.BDH("PCAR US Equity","BS_DERIV_HEDGING_ASST_LT","FQ2 2022","FQ2 2022","Currency=USD","Period=FQ","BEST_FPERIOD_OVERRIDE=FQ","FILING_STATUS=MR","SCALING_FORMAT=MLN","Sort=A","Dates=H","DateFormat=P","Fill=—","Direction=H","UseDPDF=Y")</f>
        <v>70.400000000000006</v>
      </c>
      <c r="S32" s="13" cm="1">
        <f t="array" ref="S32">_xll.BDH("PCAR US Equity","BS_DERIV_HEDGING_ASST_LT","FQ3 2022","FQ3 2022","Currency=USD","Period=FQ","BEST_FPERIOD_OVERRIDE=FQ","FILING_STATUS=MR","SCALING_FORMAT=MLN","Sort=A","Dates=H","DateFormat=P","Fill=—","Direction=H","UseDPDF=Y")</f>
        <v>131.30000000000001</v>
      </c>
      <c r="T32" s="13" cm="1">
        <f t="array" ref="T32">_xll.BDH("PCAR US Equity","BS_DERIV_HEDGING_ASST_LT","FQ4 2022","FQ4 2022","Currency=USD","Period=FQ","BEST_FPERIOD_OVERRIDE=FQ","FILING_STATUS=MR","SCALING_FORMAT=MLN","Sort=A","Dates=H","DateFormat=P","Fill=—","Direction=H","UseDPDF=Y")</f>
        <v>58</v>
      </c>
      <c r="U32" s="13" cm="1">
        <f t="array" ref="U32">_xll.BDH("PCAR US Equity","BS_DERIV_HEDGING_ASST_LT","FQ1 2023","FQ1 2023","Currency=USD","Period=FQ","BEST_FPERIOD_OVERRIDE=FQ","FILING_STATUS=MR","SCALING_FORMAT=MLN","Sort=A","Dates=H","DateFormat=P","Fill=—","Direction=H","UseDPDF=Y")</f>
        <v>40.9</v>
      </c>
      <c r="V32" s="13" cm="1">
        <f t="array" ref="V32">_xll.BDH("PCAR US Equity","BS_DERIV_HEDGING_ASST_LT","FQ2 2023","FQ2 2023","Currency=USD","Period=FQ","BEST_FPERIOD_OVERRIDE=FQ","FILING_STATUS=MR","SCALING_FORMAT=MLN","Sort=A","Dates=H","DateFormat=P","Fill=—","Direction=H","UseDPDF=Y")</f>
        <v>38.1</v>
      </c>
      <c r="W32" s="13" cm="1">
        <f t="array" ref="W32">_xll.BDH("PCAR US Equity","BS_DERIV_HEDGING_ASST_LT","FQ3 2023","FQ3 2023","Currency=USD","Period=FQ","BEST_FPERIOD_OVERRIDE=FQ","FILING_STATUS=MR","SCALING_FORMAT=MLN","Sort=A","Dates=H","DateFormat=P","Fill=—","Direction=H","UseDPDF=Y")</f>
        <v>43.5</v>
      </c>
      <c r="X32" s="13" cm="1">
        <f t="array" ref="X32">_xll.BDH("PCAR US Equity","BS_DERIV_HEDGING_ASST_LT","FQ4 2023","FQ4 2023","Currency=USD","Period=FQ","BEST_FPERIOD_OVERRIDE=FQ","FILING_STATUS=MR","SCALING_FORMAT=MLN","Sort=A","Dates=H","DateFormat=P","Fill=—","Direction=H","UseDPDF=Y")</f>
        <v>17.3</v>
      </c>
      <c r="Y32" s="13" cm="1">
        <f t="array" ref="Y32">_xll.BDH("PCAR US Equity","BS_DERIV_HEDGING_ASST_LT","FQ1 2024","FQ1 2024","Currency=USD","Period=FQ","BEST_FPERIOD_OVERRIDE=FQ","FILING_STATUS=MR","SCALING_FORMAT=MLN","Sort=A","Dates=H","DateFormat=P","Fill=—","Direction=H","UseDPDF=Y")</f>
        <v>28.1</v>
      </c>
      <c r="Z32" s="13" cm="1">
        <f t="array" ref="Z32">_xll.BDH("PCAR US Equity","BS_DERIV_HEDGING_ASST_LT","FQ2 2024","FQ2 2024","Currency=USD","Period=FQ","BEST_FPERIOD_OVERRIDE=FQ","FILING_STATUS=MR","SCALING_FORMAT=MLN","Sort=A","Dates=H","DateFormat=P","Fill=—","Direction=H","UseDPDF=Y")</f>
        <v>50.3</v>
      </c>
      <c r="AA32" s="13" cm="1">
        <f t="array" ref="AA32">_xll.BDH("PCAR US Equity","BS_DERIV_HEDGING_ASST_LT","FQ3 2024","FQ3 2024","Currency=USD","Period=FQ","BEST_FPERIOD_OVERRIDE=FQ","FILING_STATUS=MR","SCALING_FORMAT=MLN","Sort=A","Dates=H","DateFormat=P","Fill=—","Direction=H","UseDPDF=Y")</f>
        <v>46.2</v>
      </c>
      <c r="AB32" s="13" cm="1">
        <f t="array" ref="AB32">_xll.BDH("PCAR US Equity","BS_DERIV_HEDGING_ASST_LT","FQ4 2024","FQ4 2024","Currency=USD","Period=FQ","BEST_FPERIOD_OVERRIDE=FQ","FILING_STATUS=MR","SCALING_FORMAT=MLN","Sort=A","Dates=H","DateFormat=P","Fill=—","Direction=H","UseDPDF=Y")</f>
        <v>138.19999999999999</v>
      </c>
      <c r="AC32" s="13" cm="1">
        <f t="array" ref="AC32">_xll.BDH("PCAR US Equity","BS_DERIV_HEDGING_ASST_LT","FQ1 2025","FQ1 2025","Currency=USD","Period=FQ","BEST_FPERIOD_OVERRIDE=FQ","FILING_STATUS=MR","SCALING_FORMAT=MLN","Sort=A","Dates=H","DateFormat=P","Fill=—","Direction=H","UseDPDF=Y")</f>
        <v>84.8</v>
      </c>
      <c r="AD32" s="13" cm="1">
        <f t="array" ref="AD32">_xll.BDH("PCAR US Equity","BS_DERIV_HEDGING_ASST_LT","FQ2 2025","FQ2 2025","Currency=USD","Period=FQ","BEST_FPERIOD_OVERRIDE=FQ","FILING_STATUS=MR","SCALING_FORMAT=MLN","Sort=A","Dates=H","DateFormat=P","Fill=—","Direction=H","UseDPDF=Y")</f>
        <v>46.7</v>
      </c>
      <c r="AE32" s="13" cm="1">
        <f t="array" ref="AE32">_xll.BDH("PCAR US Equity","BS_DERIV_HEDGING_ASST_LT","FQ3 2025","FQ3 2025","Currency=USD","Period=FQ","BEST_FPERIOD_OVERRIDE=FQ","FILING_STATUS=MR","SCALING_FORMAT=MLN","Sort=A","Dates=H","DateFormat=P","Fill=—","Direction=H","UseDPDF=Y")</f>
        <v>45</v>
      </c>
      <c r="AF32" s="13" t="str" cm="1">
        <f t="array" ref="AF32">_xll.BDH("PCAR US Equity","BS_DERIV_HEDGING_ASST_LT","FQ4 2025","FQ4 2025","Currency=USD","Period=FQ","BEST_FPERIOD_OVERRIDE=FQ","FILING_STATUS=MR","SCALING_FORMAT=MLN","Sort=A","Dates=H","DateFormat=P","Fill=—","Direction=H","UseDPDF=Y")</f>
        <v>—</v>
      </c>
    </row>
    <row r="33" spans="1:32" x14ac:dyDescent="0.25">
      <c r="A33" s="10" t="s">
        <v>117</v>
      </c>
      <c r="B33" s="10" t="s">
        <v>118</v>
      </c>
      <c r="C33" s="13" cm="1">
        <f t="array" ref="C33">_xll.BDH("PCAR US Equity","OTHER_NONCURRENT_ASSETS_DETAILED","FQ3 2018","FQ3 2018","Currency=USD","Period=FQ","BEST_FPERIOD_OVERRIDE=FQ","FILING_STATUS=MR","SCALING_FORMAT=MLN","Sort=A","Dates=H","DateFormat=P","Fill=—","Direction=H","UseDPDF=Y")</f>
        <v>4828.1000000000004</v>
      </c>
      <c r="D33" s="13" cm="1">
        <f t="array" ref="D33">_xll.BDH("PCAR US Equity","OTHER_NONCURRENT_ASSETS_DETAILED","FQ4 2018","FQ4 2018","Currency=USD","Period=FQ","BEST_FPERIOD_OVERRIDE=FQ","FILING_STATUS=MR","SCALING_FORMAT=MLN","Sort=A","Dates=H","DateFormat=P","Fill=—","Direction=H","UseDPDF=Y")</f>
        <v>4509.3</v>
      </c>
      <c r="E33" s="13" cm="1">
        <f t="array" ref="E33">_xll.BDH("PCAR US Equity","OTHER_NONCURRENT_ASSETS_DETAILED","FQ1 2019","FQ1 2019","Currency=USD","Period=FQ","BEST_FPERIOD_OVERRIDE=FQ","FILING_STATUS=MR","SCALING_FORMAT=MLN","Sort=A","Dates=H","DateFormat=P","Fill=—","Direction=H","UseDPDF=Y")</f>
        <v>1359.1</v>
      </c>
      <c r="F33" s="13" cm="1">
        <f t="array" ref="F33">_xll.BDH("PCAR US Equity","OTHER_NONCURRENT_ASSETS_DETAILED","FQ2 2019","FQ2 2019","Currency=USD","Period=FQ","BEST_FPERIOD_OVERRIDE=FQ","FILING_STATUS=MR","SCALING_FORMAT=MLN","Sort=A","Dates=H","DateFormat=P","Fill=—","Direction=H","UseDPDF=Y")</f>
        <v>1457</v>
      </c>
      <c r="G33" s="13" cm="1">
        <f t="array" ref="G33">_xll.BDH("PCAR US Equity","OTHER_NONCURRENT_ASSETS_DETAILED","FQ3 2019","FQ3 2019","Currency=USD","Period=FQ","BEST_FPERIOD_OVERRIDE=FQ","FILING_STATUS=MR","SCALING_FORMAT=MLN","Sort=A","Dates=H","DateFormat=P","Fill=—","Direction=H","UseDPDF=Y")</f>
        <v>1592.9</v>
      </c>
      <c r="H33" s="13" cm="1">
        <f t="array" ref="H33">_xll.BDH("PCAR US Equity","OTHER_NONCURRENT_ASSETS_DETAILED","FQ4 2019","FQ4 2019","Currency=USD","Period=FQ","BEST_FPERIOD_OVERRIDE=FQ","FILING_STATUS=MR","SCALING_FORMAT=MLN","Sort=A","Dates=H","DateFormat=P","Fill=—","Direction=H","UseDPDF=Y")</f>
        <v>1251.5999999999999</v>
      </c>
      <c r="I33" s="13" cm="1">
        <f t="array" ref="I33">_xll.BDH("PCAR US Equity","OTHER_NONCURRENT_ASSETS_DETAILED","FQ1 2020","FQ1 2020","Currency=USD","Period=FQ","BEST_FPERIOD_OVERRIDE=FQ","FILING_STATUS=MR","SCALING_FORMAT=MLN","Sort=A","Dates=H","DateFormat=P","Fill=—","Direction=H","UseDPDF=Y")</f>
        <v>1546.5</v>
      </c>
      <c r="J33" s="13" cm="1">
        <f t="array" ref="J33">_xll.BDH("PCAR US Equity","OTHER_NONCURRENT_ASSETS_DETAILED","FQ2 2020","FQ2 2020","Currency=USD","Period=FQ","BEST_FPERIOD_OVERRIDE=FQ","FILING_STATUS=MR","SCALING_FORMAT=MLN","Sort=A","Dates=H","DateFormat=P","Fill=—","Direction=H","UseDPDF=Y")</f>
        <v>1583</v>
      </c>
      <c r="K33" s="13" cm="1">
        <f t="array" ref="K33">_xll.BDH("PCAR US Equity","OTHER_NONCURRENT_ASSETS_DETAILED","FQ3 2020","FQ3 2020","Currency=USD","Period=FQ","BEST_FPERIOD_OVERRIDE=FQ","FILING_STATUS=MR","SCALING_FORMAT=MLN","Sort=A","Dates=H","DateFormat=P","Fill=—","Direction=H","UseDPDF=Y")</f>
        <v>1746</v>
      </c>
      <c r="L33" s="13" cm="1">
        <f t="array" ref="L33">_xll.BDH("PCAR US Equity","OTHER_NONCURRENT_ASSETS_DETAILED","FQ4 2020","FQ4 2020","Currency=USD","Period=FQ","BEST_FPERIOD_OVERRIDE=FQ","FILING_STATUS=MR","SCALING_FORMAT=MLN","Sort=A","Dates=H","DateFormat=P","Fill=—","Direction=H","UseDPDF=Y")</f>
        <v>1407.9</v>
      </c>
      <c r="M33" s="13" cm="1">
        <f t="array" ref="M33">_xll.BDH("PCAR US Equity","OTHER_NONCURRENT_ASSETS_DETAILED","FQ1 2021","FQ1 2021","Currency=USD","Period=FQ","BEST_FPERIOD_OVERRIDE=FQ","FILING_STATUS=MR","SCALING_FORMAT=MLN","Sort=A","Dates=H","DateFormat=P","Fill=—","Direction=H","UseDPDF=Y")</f>
        <v>1645</v>
      </c>
      <c r="N33" s="13" cm="1">
        <f t="array" ref="N33">_xll.BDH("PCAR US Equity","OTHER_NONCURRENT_ASSETS_DETAILED","FQ2 2021","FQ2 2021","Currency=USD","Period=FQ","BEST_FPERIOD_OVERRIDE=FQ","FILING_STATUS=MR","SCALING_FORMAT=MLN","Sort=A","Dates=H","DateFormat=P","Fill=—","Direction=H","UseDPDF=Y")</f>
        <v>1483.2</v>
      </c>
      <c r="O33" s="13" cm="1">
        <f t="array" ref="O33">_xll.BDH("PCAR US Equity","OTHER_NONCURRENT_ASSETS_DETAILED","FQ3 2021","FQ3 2021","Currency=USD","Period=FQ","BEST_FPERIOD_OVERRIDE=FQ","FILING_STATUS=MR","SCALING_FORMAT=MLN","Sort=A","Dates=H","DateFormat=P","Fill=—","Direction=H","UseDPDF=Y")</f>
        <v>1459.9</v>
      </c>
      <c r="P33" s="13" cm="1">
        <f t="array" ref="P33">_xll.BDH("PCAR US Equity","OTHER_NONCURRENT_ASSETS_DETAILED","FQ4 2021","FQ4 2021","Currency=USD","Period=FQ","BEST_FPERIOD_OVERRIDE=FQ","FILING_STATUS=MR","SCALING_FORMAT=MLN","Sort=A","Dates=H","DateFormat=P","Fill=—","Direction=H","UseDPDF=Y")</f>
        <v>1488.6</v>
      </c>
      <c r="Q33" s="13" cm="1">
        <f t="array" ref="Q33">_xll.BDH("PCAR US Equity","OTHER_NONCURRENT_ASSETS_DETAILED","FQ1 2022","FQ1 2022","Currency=USD","Period=FQ","BEST_FPERIOD_OVERRIDE=FQ","FILING_STATUS=MR","SCALING_FORMAT=MLN","Sort=A","Dates=H","DateFormat=P","Fill=—","Direction=H","UseDPDF=Y")</f>
        <v>1772</v>
      </c>
      <c r="R33" s="13" cm="1">
        <f t="array" ref="R33">_xll.BDH("PCAR US Equity","OTHER_NONCURRENT_ASSETS_DETAILED","FQ2 2022","FQ2 2022","Currency=USD","Period=FQ","BEST_FPERIOD_OVERRIDE=FQ","FILING_STATUS=MR","SCALING_FORMAT=MLN","Sort=A","Dates=H","DateFormat=P","Fill=—","Direction=H","UseDPDF=Y")</f>
        <v>1871.4</v>
      </c>
      <c r="S33" s="13" cm="1">
        <f t="array" ref="S33">_xll.BDH("PCAR US Equity","OTHER_NONCURRENT_ASSETS_DETAILED","FQ3 2022","FQ3 2022","Currency=USD","Period=FQ","BEST_FPERIOD_OVERRIDE=FQ","FILING_STATUS=MR","SCALING_FORMAT=MLN","Sort=A","Dates=H","DateFormat=P","Fill=—","Direction=H","UseDPDF=Y")</f>
        <v>1901.2</v>
      </c>
      <c r="T33" s="13" cm="1">
        <f t="array" ref="T33">_xll.BDH("PCAR US Equity","OTHER_NONCURRENT_ASSETS_DETAILED","FQ4 2022","FQ4 2022","Currency=USD","Period=FQ","BEST_FPERIOD_OVERRIDE=FQ","FILING_STATUS=MR","SCALING_FORMAT=MLN","Sort=A","Dates=H","DateFormat=P","Fill=—","Direction=H","UseDPDF=Y")</f>
        <v>1694.1</v>
      </c>
      <c r="U33" s="13" cm="1">
        <f t="array" ref="U33">_xll.BDH("PCAR US Equity","OTHER_NONCURRENT_ASSETS_DETAILED","FQ1 2023","FQ1 2023","Currency=USD","Period=FQ","BEST_FPERIOD_OVERRIDE=FQ","FILING_STATUS=MR","SCALING_FORMAT=MLN","Sort=A","Dates=H","DateFormat=P","Fill=—","Direction=H","UseDPDF=Y")</f>
        <v>2252.6</v>
      </c>
      <c r="V33" s="13" cm="1">
        <f t="array" ref="V33">_xll.BDH("PCAR US Equity","OTHER_NONCURRENT_ASSETS_DETAILED","FQ2 2023","FQ2 2023","Currency=USD","Period=FQ","BEST_FPERIOD_OVERRIDE=FQ","FILING_STATUS=MR","SCALING_FORMAT=MLN","Sort=A","Dates=H","DateFormat=P","Fill=—","Direction=H","UseDPDF=Y")</f>
        <v>2439.6</v>
      </c>
      <c r="W33" s="13" cm="1">
        <f t="array" ref="W33">_xll.BDH("PCAR US Equity","OTHER_NONCURRENT_ASSETS_DETAILED","FQ3 2023","FQ3 2023","Currency=USD","Period=FQ","BEST_FPERIOD_OVERRIDE=FQ","FILING_STATUS=MR","SCALING_FORMAT=MLN","Sort=A","Dates=H","DateFormat=P","Fill=—","Direction=H","UseDPDF=Y")</f>
        <v>2499.9</v>
      </c>
      <c r="X33" s="13" cm="1">
        <f t="array" ref="X33">_xll.BDH("PCAR US Equity","OTHER_NONCURRENT_ASSETS_DETAILED","FQ4 2023","FQ4 2023","Currency=USD","Period=FQ","BEST_FPERIOD_OVERRIDE=FQ","FILING_STATUS=MR","SCALING_FORMAT=MLN","Sort=A","Dates=H","DateFormat=P","Fill=—","Direction=H","UseDPDF=Y")</f>
        <v>1993.3</v>
      </c>
      <c r="Y33" s="13" cm="1">
        <f t="array" ref="Y33">_xll.BDH("PCAR US Equity","OTHER_NONCURRENT_ASSETS_DETAILED","FQ1 2024","FQ1 2024","Currency=USD","Period=FQ","BEST_FPERIOD_OVERRIDE=FQ","FILING_STATUS=MR","SCALING_FORMAT=MLN","Sort=A","Dates=H","DateFormat=P","Fill=—","Direction=H","UseDPDF=Y")</f>
        <v>2718.3</v>
      </c>
      <c r="Z33" s="13" cm="1">
        <f t="array" ref="Z33">_xll.BDH("PCAR US Equity","OTHER_NONCURRENT_ASSETS_DETAILED","FQ2 2024","FQ2 2024","Currency=USD","Period=FQ","BEST_FPERIOD_OVERRIDE=FQ","FILING_STATUS=MR","SCALING_FORMAT=MLN","Sort=A","Dates=H","DateFormat=P","Fill=—","Direction=H","UseDPDF=Y")</f>
        <v>2790.3</v>
      </c>
      <c r="AA33" s="13" cm="1">
        <f t="array" ref="AA33">_xll.BDH("PCAR US Equity","OTHER_NONCURRENT_ASSETS_DETAILED","FQ3 2024","FQ3 2024","Currency=USD","Period=FQ","BEST_FPERIOD_OVERRIDE=FQ","FILING_STATUS=MR","SCALING_FORMAT=MLN","Sort=A","Dates=H","DateFormat=P","Fill=—","Direction=H","UseDPDF=Y")</f>
        <v>2959.6</v>
      </c>
      <c r="AB33" s="13" cm="1">
        <f t="array" ref="AB33">_xll.BDH("PCAR US Equity","OTHER_NONCURRENT_ASSETS_DETAILED","FQ4 2024","FQ4 2024","Currency=USD","Period=FQ","BEST_FPERIOD_OVERRIDE=FQ","FILING_STATUS=MR","SCALING_FORMAT=MLN","Sort=A","Dates=H","DateFormat=P","Fill=—","Direction=H","UseDPDF=Y")</f>
        <v>2482.5</v>
      </c>
      <c r="AC33" s="13" cm="1">
        <f t="array" ref="AC33">_xll.BDH("PCAR US Equity","OTHER_NONCURRENT_ASSETS_DETAILED","FQ1 2025","FQ1 2025","Currency=USD","Period=FQ","BEST_FPERIOD_OVERRIDE=FQ","FILING_STATUS=MR","SCALING_FORMAT=MLN","Sort=A","Dates=H","DateFormat=P","Fill=—","Direction=H","UseDPDF=Y")</f>
        <v>3340.7</v>
      </c>
      <c r="AD33" s="13" cm="1">
        <f t="array" ref="AD33">_xll.BDH("PCAR US Equity","OTHER_NONCURRENT_ASSETS_DETAILED","FQ2 2025","FQ2 2025","Currency=USD","Period=FQ","BEST_FPERIOD_OVERRIDE=FQ","FILING_STATUS=MR","SCALING_FORMAT=MLN","Sort=A","Dates=H","DateFormat=P","Fill=—","Direction=H","UseDPDF=Y")</f>
        <v>3493.7</v>
      </c>
      <c r="AE33" s="13" cm="1">
        <f t="array" ref="AE33">_xll.BDH("PCAR US Equity","OTHER_NONCURRENT_ASSETS_DETAILED","FQ3 2025","FQ3 2025","Currency=USD","Period=FQ","BEST_FPERIOD_OVERRIDE=FQ","FILING_STATUS=MR","SCALING_FORMAT=MLN","Sort=A","Dates=H","DateFormat=P","Fill=—","Direction=H","UseDPDF=Y")</f>
        <v>3100.6</v>
      </c>
      <c r="AF33" s="13" cm="1">
        <f t="array" ref="AF33">_xll.BDH("PCAR US Equity","OTHER_NONCURRENT_ASSETS_DETAILED","FQ4 2025","FQ4 2025","Currency=USD","Period=FQ","BEST_FPERIOD_OVERRIDE=FQ","FILING_STATUS=MR","SCALING_FORMAT=MLN","Sort=A","Dates=H","DateFormat=P","Fill=—","Direction=H","UseDPDF=Y")</f>
        <v>3605.2</v>
      </c>
    </row>
    <row r="34" spans="1:32" x14ac:dyDescent="0.25">
      <c r="A34" s="6" t="s">
        <v>119</v>
      </c>
      <c r="B34" s="6" t="s">
        <v>120</v>
      </c>
      <c r="C34" s="16" cm="1">
        <f t="array" ref="C34">_xll.BDH("PCAR US Equity","BS_TOT_NON_CUR_ASSET","FQ3 2018","FQ3 2018","Currency=USD","Period=FQ","BEST_FPERIOD_OVERRIDE=FQ","FILING_STATUS=MR","SCALING_FORMAT=MLN","Sort=A","Dates=H","DateFormat=P","Fill=—","Direction=H","UseDPDF=Y")</f>
        <v>17911.7</v>
      </c>
      <c r="D34" s="16" cm="1">
        <f t="array" ref="D34">_xll.BDH("PCAR US Equity","BS_TOT_NON_CUR_ASSET","FQ4 2018","FQ4 2018","Currency=USD","Period=FQ","BEST_FPERIOD_OVERRIDE=FQ","FILING_STATUS=MR","SCALING_FORMAT=MLN","Sort=A","Dates=H","DateFormat=P","Fill=—","Direction=H","UseDPDF=Y")</f>
        <v>18162.3</v>
      </c>
      <c r="E34" s="16" cm="1">
        <f t="array" ref="E34">_xll.BDH("PCAR US Equity","BS_TOT_NON_CUR_ASSET","FQ1 2019","FQ1 2019","Currency=USD","Period=FQ","BEST_FPERIOD_OVERRIDE=FQ","FILING_STATUS=MR","SCALING_FORMAT=MLN","Sort=A","Dates=H","DateFormat=P","Fill=—","Direction=H","UseDPDF=Y")</f>
        <v>18822.3</v>
      </c>
      <c r="F34" s="16" cm="1">
        <f t="array" ref="F34">_xll.BDH("PCAR US Equity","BS_TOT_NON_CUR_ASSET","FQ2 2019","FQ2 2019","Currency=USD","Period=FQ","BEST_FPERIOD_OVERRIDE=FQ","FILING_STATUS=MR","SCALING_FORMAT=MLN","Sort=A","Dates=H","DateFormat=P","Fill=—","Direction=H","UseDPDF=Y")</f>
        <v>19380</v>
      </c>
      <c r="G34" s="16" cm="1">
        <f t="array" ref="G34">_xll.BDH("PCAR US Equity","BS_TOT_NON_CUR_ASSET","FQ3 2019","FQ3 2019","Currency=USD","Period=FQ","BEST_FPERIOD_OVERRIDE=FQ","FILING_STATUS=MR","SCALING_FORMAT=MLN","Sort=A","Dates=H","DateFormat=P","Fill=—","Direction=H","UseDPDF=Y")</f>
        <v>19581.5</v>
      </c>
      <c r="H34" s="16" cm="1">
        <f t="array" ref="H34">_xll.BDH("PCAR US Equity","BS_TOT_NON_CUR_ASSET","FQ4 2019","FQ4 2019","Currency=USD","Period=FQ","BEST_FPERIOD_OVERRIDE=FQ","FILING_STATUS=MR","SCALING_FORMAT=MLN","Sort=A","Dates=H","DateFormat=P","Fill=—","Direction=H","UseDPDF=Y")</f>
        <v>20176.599999999999</v>
      </c>
      <c r="I34" s="16" cm="1">
        <f t="array" ref="I34">_xll.BDH("PCAR US Equity","BS_TOT_NON_CUR_ASSET","FQ1 2020","FQ1 2020","Currency=USD","Period=FQ","BEST_FPERIOD_OVERRIDE=FQ","FILING_STATUS=MR","SCALING_FORMAT=MLN","Sort=A","Dates=H","DateFormat=P","Fill=—","Direction=H","UseDPDF=Y")</f>
        <v>19797.599999999999</v>
      </c>
      <c r="J34" s="16" cm="1">
        <f t="array" ref="J34">_xll.BDH("PCAR US Equity","BS_TOT_NON_CUR_ASSET","FQ2 2020","FQ2 2020","Currency=USD","Period=FQ","BEST_FPERIOD_OVERRIDE=FQ","FILING_STATUS=MR","SCALING_FORMAT=MLN","Sort=A","Dates=H","DateFormat=P","Fill=—","Direction=H","UseDPDF=Y")</f>
        <v>19254.400000000001</v>
      </c>
      <c r="K34" s="16" cm="1">
        <f t="array" ref="K34">_xll.BDH("PCAR US Equity","BS_TOT_NON_CUR_ASSET","FQ3 2020","FQ3 2020","Currency=USD","Period=FQ","BEST_FPERIOD_OVERRIDE=FQ","FILING_STATUS=MR","SCALING_FORMAT=MLN","Sort=A","Dates=H","DateFormat=P","Fill=—","Direction=H","UseDPDF=Y")</f>
        <v>19664.400000000001</v>
      </c>
      <c r="L34" s="16" cm="1">
        <f t="array" ref="L34">_xll.BDH("PCAR US Equity","BS_TOT_NON_CUR_ASSET","FQ4 2020","FQ4 2020","Currency=USD","Period=FQ","BEST_FPERIOD_OVERRIDE=FQ","FILING_STATUS=MR","SCALING_FORMAT=MLN","Sort=A","Dates=H","DateFormat=P","Fill=—","Direction=H","UseDPDF=Y")</f>
        <v>20356.400000000001</v>
      </c>
      <c r="M34" s="16" cm="1">
        <f t="array" ref="M34">_xll.BDH("PCAR US Equity","BS_TOT_NON_CUR_ASSET","FQ1 2021","FQ1 2021","Currency=USD","Period=FQ","BEST_FPERIOD_OVERRIDE=FQ","FILING_STATUS=MR","SCALING_FORMAT=MLN","Sort=A","Dates=H","DateFormat=P","Fill=—","Direction=H","UseDPDF=Y")</f>
        <v>20074.8</v>
      </c>
      <c r="N34" s="16" cm="1">
        <f t="array" ref="N34">_xll.BDH("PCAR US Equity","BS_TOT_NON_CUR_ASSET","FQ2 2021","FQ2 2021","Currency=USD","Period=FQ","BEST_FPERIOD_OVERRIDE=FQ","FILING_STATUS=MR","SCALING_FORMAT=MLN","Sort=A","Dates=H","DateFormat=P","Fill=—","Direction=H","UseDPDF=Y")</f>
        <v>20130.599999999999</v>
      </c>
      <c r="O34" s="16" cm="1">
        <f t="array" ref="O34">_xll.BDH("PCAR US Equity","BS_TOT_NON_CUR_ASSET","FQ3 2021","FQ3 2021","Currency=USD","Period=FQ","BEST_FPERIOD_OVERRIDE=FQ","FILING_STATUS=MR","SCALING_FORMAT=MLN","Sort=A","Dates=H","DateFormat=P","Fill=—","Direction=H","UseDPDF=Y")</f>
        <v>19472.3</v>
      </c>
      <c r="P34" s="16" cm="1">
        <f t="array" ref="P34">_xll.BDH("PCAR US Equity","BS_TOT_NON_CUR_ASSET","FQ4 2021","FQ4 2021","Currency=USD","Period=FQ","BEST_FPERIOD_OVERRIDE=FQ","FILING_STATUS=MR","SCALING_FORMAT=MLN","Sort=A","Dates=H","DateFormat=P","Fill=—","Direction=H","UseDPDF=Y")</f>
        <v>20237.7</v>
      </c>
      <c r="Q34" s="16" cm="1">
        <f t="array" ref="Q34">_xll.BDH("PCAR US Equity","BS_TOT_NON_CUR_ASSET","FQ1 2022","FQ1 2022","Currency=USD","Period=FQ","BEST_FPERIOD_OVERRIDE=FQ","FILING_STATUS=MR","SCALING_FORMAT=MLN","Sort=A","Dates=H","DateFormat=P","Fill=—","Direction=H","UseDPDF=Y")</f>
        <v>20885.599999999999</v>
      </c>
      <c r="R34" s="16" cm="1">
        <f t="array" ref="R34">_xll.BDH("PCAR US Equity","BS_TOT_NON_CUR_ASSET","FQ2 2022","FQ2 2022","Currency=USD","Period=FQ","BEST_FPERIOD_OVERRIDE=FQ","FILING_STATUS=MR","SCALING_FORMAT=MLN","Sort=A","Dates=H","DateFormat=P","Fill=—","Direction=H","UseDPDF=Y")</f>
        <v>20914.2</v>
      </c>
      <c r="S34" s="16" cm="1">
        <f t="array" ref="S34">_xll.BDH("PCAR US Equity","BS_TOT_NON_CUR_ASSET","FQ3 2022","FQ3 2022","Currency=USD","Period=FQ","BEST_FPERIOD_OVERRIDE=FQ","FILING_STATUS=MR","SCALING_FORMAT=MLN","Sort=A","Dates=H","DateFormat=P","Fill=—","Direction=H","UseDPDF=Y")</f>
        <v>20635.599999999999</v>
      </c>
      <c r="T34" s="16" cm="1">
        <f t="array" ref="T34">_xll.BDH("PCAR US Equity","BS_TOT_NON_CUR_ASSET","FQ4 2022","FQ4 2022","Currency=USD","Period=FQ","BEST_FPERIOD_OVERRIDE=FQ","FILING_STATUS=MR","SCALING_FORMAT=MLN","Sort=A","Dates=H","DateFormat=P","Fill=—","Direction=H","UseDPDF=Y")</f>
        <v>22169.8</v>
      </c>
      <c r="U34" s="16" cm="1">
        <f t="array" ref="U34">_xll.BDH("PCAR US Equity","BS_TOT_NON_CUR_ASSET","FQ1 2023","FQ1 2023","Currency=USD","Period=FQ","BEST_FPERIOD_OVERRIDE=FQ","FILING_STATUS=MR","SCALING_FORMAT=MLN","Sort=A","Dates=H","DateFormat=P","Fill=—","Direction=H","UseDPDF=Y")</f>
        <v>23050</v>
      </c>
      <c r="V34" s="16" cm="1">
        <f t="array" ref="V34">_xll.BDH("PCAR US Equity","BS_TOT_NON_CUR_ASSET","FQ2 2023","FQ2 2023","Currency=USD","Period=FQ","BEST_FPERIOD_OVERRIDE=FQ","FILING_STATUS=MR","SCALING_FORMAT=MLN","Sort=A","Dates=H","DateFormat=P","Fill=—","Direction=H","UseDPDF=Y")</f>
        <v>24258.2</v>
      </c>
      <c r="W34" s="16" cm="1">
        <f t="array" ref="W34">_xll.BDH("PCAR US Equity","BS_TOT_NON_CUR_ASSET","FQ3 2023","FQ3 2023","Currency=USD","Period=FQ","BEST_FPERIOD_OVERRIDE=FQ","FILING_STATUS=MR","SCALING_FORMAT=MLN","Sort=A","Dates=H","DateFormat=P","Fill=—","Direction=H","UseDPDF=Y")</f>
        <v>24753.599999999999</v>
      </c>
      <c r="X34" s="16" cm="1">
        <f t="array" ref="X34">_xll.BDH("PCAR US Equity","BS_TOT_NON_CUR_ASSET","FQ4 2023","FQ4 2023","Currency=USD","Period=FQ","BEST_FPERIOD_OVERRIDE=FQ","FILING_STATUS=MR","SCALING_FORMAT=MLN","Sort=A","Dates=H","DateFormat=P","Fill=—","Direction=H","UseDPDF=Y")</f>
        <v>26363.7</v>
      </c>
      <c r="Y34" s="16" cm="1">
        <f t="array" ref="Y34">_xll.BDH("PCAR US Equity","BS_TOT_NON_CUR_ASSET","FQ1 2024","FQ1 2024","Currency=USD","Period=FQ","BEST_FPERIOD_OVERRIDE=FQ","FILING_STATUS=MR","SCALING_FORMAT=MLN","Sort=A","Dates=H","DateFormat=P","Fill=—","Direction=H","UseDPDF=Y")</f>
        <v>26571.8</v>
      </c>
      <c r="Z34" s="16" cm="1">
        <f t="array" ref="Z34">_xll.BDH("PCAR US Equity","BS_TOT_NON_CUR_ASSET","FQ2 2024","FQ2 2024","Currency=USD","Period=FQ","BEST_FPERIOD_OVERRIDE=FQ","FILING_STATUS=MR","SCALING_FORMAT=MLN","Sort=A","Dates=H","DateFormat=P","Fill=—","Direction=H","UseDPDF=Y")</f>
        <v>26963.8</v>
      </c>
      <c r="AA34" s="16" cm="1">
        <f t="array" ref="AA34">_xll.BDH("PCAR US Equity","BS_TOT_NON_CUR_ASSET","FQ3 2024","FQ3 2024","Currency=USD","Period=FQ","BEST_FPERIOD_OVERRIDE=FQ","FILING_STATUS=MR","SCALING_FORMAT=MLN","Sort=A","Dates=H","DateFormat=P","Fill=—","Direction=H","UseDPDF=Y")</f>
        <v>28412</v>
      </c>
      <c r="AB34" s="16" cm="1">
        <f t="array" ref="AB34">_xll.BDH("PCAR US Equity","BS_TOT_NON_CUR_ASSET","FQ4 2024","FQ4 2024","Currency=USD","Period=FQ","BEST_FPERIOD_OVERRIDE=FQ","FILING_STATUS=MR","SCALING_FORMAT=MLN","Sort=A","Dates=H","DateFormat=P","Fill=—","Direction=H","UseDPDF=Y")</f>
        <v>28527.200000000001</v>
      </c>
      <c r="AC34" s="16" cm="1">
        <f t="array" ref="AC34">_xll.BDH("PCAR US Equity","BS_TOT_NON_CUR_ASSET","FQ1 2025","FQ1 2025","Currency=USD","Period=FQ","BEST_FPERIOD_OVERRIDE=FQ","FILING_STATUS=MR","SCALING_FORMAT=MLN","Sort=A","Dates=H","DateFormat=P","Fill=—","Direction=H","UseDPDF=Y")</f>
        <v>29032.799999999999</v>
      </c>
      <c r="AD34" s="16" cm="1">
        <f t="array" ref="AD34">_xll.BDH("PCAR US Equity","BS_TOT_NON_CUR_ASSET","FQ2 2025","FQ2 2025","Currency=USD","Period=FQ","BEST_FPERIOD_OVERRIDE=FQ","FILING_STATUS=MR","SCALING_FORMAT=MLN","Sort=A","Dates=H","DateFormat=P","Fill=—","Direction=H","UseDPDF=Y")</f>
        <v>30058.7</v>
      </c>
      <c r="AE34" s="16" cm="1">
        <f t="array" ref="AE34">_xll.BDH("PCAR US Equity","BS_TOT_NON_CUR_ASSET","FQ3 2025","FQ3 2025","Currency=USD","Period=FQ","BEST_FPERIOD_OVERRIDE=FQ","FILING_STATUS=MR","SCALING_FORMAT=MLN","Sort=A","Dates=H","DateFormat=P","Fill=—","Direction=H","UseDPDF=Y")</f>
        <v>29474.5</v>
      </c>
      <c r="AF34" s="16" cm="1">
        <f t="array" ref="AF34">_xll.BDH("PCAR US Equity","BS_TOT_NON_CUR_ASSET","FQ4 2025","FQ4 2025","Currency=USD","Period=FQ","BEST_FPERIOD_OVERRIDE=FQ","FILING_STATUS=MR","SCALING_FORMAT=MLN","Sort=A","Dates=H","DateFormat=P","Fill=—","Direction=H","UseDPDF=Y")</f>
        <v>30913.9</v>
      </c>
    </row>
    <row r="35" spans="1:32" x14ac:dyDescent="0.25">
      <c r="A35" s="6" t="s">
        <v>65</v>
      </c>
      <c r="B35" s="6" t="s">
        <v>121</v>
      </c>
      <c r="C35" s="16" cm="1">
        <f t="array" ref="C35">_xll.BDH("PCAR US Equity","BS_TOT_ASSET","FQ3 2018","FQ3 2018","Currency=USD","Period=FQ","BEST_FPERIOD_OVERRIDE=FQ","FILING_STATUS=MR","SCALING_FORMAT=MLN","Sort=A","Dates=H","DateFormat=P","Fill=—","Direction=H","UseDPDF=Y")</f>
        <v>25103.4</v>
      </c>
      <c r="D35" s="16" cm="1">
        <f t="array" ref="D35">_xll.BDH("PCAR US Equity","BS_TOT_ASSET","FQ4 2018","FQ4 2018","Currency=USD","Period=FQ","BEST_FPERIOD_OVERRIDE=FQ","FILING_STATUS=MR","SCALING_FORMAT=MLN","Sort=A","Dates=H","DateFormat=P","Fill=—","Direction=H","UseDPDF=Y")</f>
        <v>25482.400000000001</v>
      </c>
      <c r="E35" s="16" cm="1">
        <f t="array" ref="E35">_xll.BDH("PCAR US Equity","BS_TOT_ASSET","FQ1 2019","FQ1 2019","Currency=USD","Period=FQ","BEST_FPERIOD_OVERRIDE=FQ","FILING_STATUS=MR","SCALING_FORMAT=MLN","Sort=A","Dates=H","DateFormat=P","Fill=—","Direction=H","UseDPDF=Y")</f>
        <v>26157</v>
      </c>
      <c r="F35" s="16" cm="1">
        <f t="array" ref="F35">_xll.BDH("PCAR US Equity","BS_TOT_ASSET","FQ2 2019","FQ2 2019","Currency=USD","Period=FQ","BEST_FPERIOD_OVERRIDE=FQ","FILING_STATUS=MR","SCALING_FORMAT=MLN","Sort=A","Dates=H","DateFormat=P","Fill=—","Direction=H","UseDPDF=Y")</f>
        <v>27168.2</v>
      </c>
      <c r="G35" s="16" cm="1">
        <f t="array" ref="G35">_xll.BDH("PCAR US Equity","BS_TOT_ASSET","FQ3 2019","FQ3 2019","Currency=USD","Period=FQ","BEST_FPERIOD_OVERRIDE=FQ","FILING_STATUS=MR","SCALING_FORMAT=MLN","Sort=A","Dates=H","DateFormat=P","Fill=—","Direction=H","UseDPDF=Y")</f>
        <v>27767.7</v>
      </c>
      <c r="H35" s="16" cm="1">
        <f t="array" ref="H35">_xll.BDH("PCAR US Equity","BS_TOT_ASSET","FQ4 2019","FQ4 2019","Currency=USD","Period=FQ","BEST_FPERIOD_OVERRIDE=FQ","FILING_STATUS=MR","SCALING_FORMAT=MLN","Sort=A","Dates=H","DateFormat=P","Fill=—","Direction=H","UseDPDF=Y")</f>
        <v>28361.1</v>
      </c>
      <c r="I35" s="16" cm="1">
        <f t="array" ref="I35">_xll.BDH("PCAR US Equity","BS_TOT_ASSET","FQ1 2020","FQ1 2020","Currency=USD","Period=FQ","BEST_FPERIOD_OVERRIDE=FQ","FILING_STATUS=MR","SCALING_FORMAT=MLN","Sort=A","Dates=H","DateFormat=P","Fill=—","Direction=H","UseDPDF=Y")</f>
        <v>27294.7</v>
      </c>
      <c r="J35" s="16" cm="1">
        <f t="array" ref="J35">_xll.BDH("PCAR US Equity","BS_TOT_ASSET","FQ2 2020","FQ2 2020","Currency=USD","Period=FQ","BEST_FPERIOD_OVERRIDE=FQ","FILING_STATUS=MR","SCALING_FORMAT=MLN","Sort=A","Dates=H","DateFormat=P","Fill=—","Direction=H","UseDPDF=Y")</f>
        <v>26406.400000000001</v>
      </c>
      <c r="K35" s="16" cm="1">
        <f t="array" ref="K35">_xll.BDH("PCAR US Equity","BS_TOT_ASSET","FQ3 2020","FQ3 2020","Currency=USD","Period=FQ","BEST_FPERIOD_OVERRIDE=FQ","FILING_STATUS=MR","SCALING_FORMAT=MLN","Sort=A","Dates=H","DateFormat=P","Fill=—","Direction=H","UseDPDF=Y")</f>
        <v>27233.7</v>
      </c>
      <c r="L35" s="16" cm="1">
        <f t="array" ref="L35">_xll.BDH("PCAR US Equity","BS_TOT_ASSET","FQ4 2020","FQ4 2020","Currency=USD","Period=FQ","BEST_FPERIOD_OVERRIDE=FQ","FILING_STATUS=MR","SCALING_FORMAT=MLN","Sort=A","Dates=H","DateFormat=P","Fill=—","Direction=H","UseDPDF=Y")</f>
        <v>28260</v>
      </c>
      <c r="M35" s="16" cm="1">
        <f t="array" ref="M35">_xll.BDH("PCAR US Equity","BS_TOT_ASSET","FQ1 2021","FQ1 2021","Currency=USD","Period=FQ","BEST_FPERIOD_OVERRIDE=FQ","FILING_STATUS=MR","SCALING_FORMAT=MLN","Sort=A","Dates=H","DateFormat=P","Fill=—","Direction=H","UseDPDF=Y")</f>
        <v>28503.4</v>
      </c>
      <c r="N35" s="16" cm="1">
        <f t="array" ref="N35">_xll.BDH("PCAR US Equity","BS_TOT_ASSET","FQ2 2021","FQ2 2021","Currency=USD","Period=FQ","BEST_FPERIOD_OVERRIDE=FQ","FILING_STATUS=MR","SCALING_FORMAT=MLN","Sort=A","Dates=H","DateFormat=P","Fill=—","Direction=H","UseDPDF=Y")</f>
        <v>29012.2</v>
      </c>
      <c r="O35" s="16" cm="1">
        <f t="array" ref="O35">_xll.BDH("PCAR US Equity","BS_TOT_ASSET","FQ3 2021","FQ3 2021","Currency=USD","Period=FQ","BEST_FPERIOD_OVERRIDE=FQ","FILING_STATUS=MR","SCALING_FORMAT=MLN","Sort=A","Dates=H","DateFormat=P","Fill=—","Direction=H","UseDPDF=Y")</f>
        <v>27909.9</v>
      </c>
      <c r="P35" s="16" cm="1">
        <f t="array" ref="P35">_xll.BDH("PCAR US Equity","BS_TOT_ASSET","FQ4 2021","FQ4 2021","Currency=USD","Period=FQ","BEST_FPERIOD_OVERRIDE=FQ","FILING_STATUS=MR","SCALING_FORMAT=MLN","Sort=A","Dates=H","DateFormat=P","Fill=—","Direction=H","UseDPDF=Y")</f>
        <v>29509.4</v>
      </c>
      <c r="Q35" s="16" cm="1">
        <f t="array" ref="Q35">_xll.BDH("PCAR US Equity","BS_TOT_ASSET","FQ1 2022","FQ1 2022","Currency=USD","Period=FQ","BEST_FPERIOD_OVERRIDE=FQ","FILING_STATUS=MR","SCALING_FORMAT=MLN","Sort=A","Dates=H","DateFormat=P","Fill=—","Direction=H","UseDPDF=Y")</f>
        <v>30586.1</v>
      </c>
      <c r="R35" s="16" cm="1">
        <f t="array" ref="R35">_xll.BDH("PCAR US Equity","BS_TOT_ASSET","FQ2 2022","FQ2 2022","Currency=USD","Period=FQ","BEST_FPERIOD_OVERRIDE=FQ","FILING_STATUS=MR","SCALING_FORMAT=MLN","Sort=A","Dates=H","DateFormat=P","Fill=—","Direction=H","UseDPDF=Y")</f>
        <v>30588.7</v>
      </c>
      <c r="S35" s="16" cm="1">
        <f t="array" ref="S35">_xll.BDH("PCAR US Equity","BS_TOT_ASSET","FQ3 2022","FQ3 2022","Currency=USD","Period=FQ","BEST_FPERIOD_OVERRIDE=FQ","FILING_STATUS=MR","SCALING_FORMAT=MLN","Sort=A","Dates=H","DateFormat=P","Fill=—","Direction=H","UseDPDF=Y")</f>
        <v>30623.599999999999</v>
      </c>
      <c r="T35" s="16" cm="1">
        <f t="array" ref="T35">_xll.BDH("PCAR US Equity","BS_TOT_ASSET","FQ4 2022","FQ4 2022","Currency=USD","Period=FQ","BEST_FPERIOD_OVERRIDE=FQ","FILING_STATUS=MR","SCALING_FORMAT=MLN","Sort=A","Dates=H","DateFormat=P","Fill=—","Direction=H","UseDPDF=Y")</f>
        <v>33275.5</v>
      </c>
      <c r="U35" s="16" cm="1">
        <f t="array" ref="U35">_xll.BDH("PCAR US Equity","BS_TOT_ASSET","FQ1 2023","FQ1 2023","Currency=USD","Period=FQ","BEST_FPERIOD_OVERRIDE=FQ","FILING_STATUS=MR","SCALING_FORMAT=MLN","Sort=A","Dates=H","DateFormat=P","Fill=—","Direction=H","UseDPDF=Y")</f>
        <v>34826.400000000001</v>
      </c>
      <c r="V35" s="16" cm="1">
        <f t="array" ref="V35">_xll.BDH("PCAR US Equity","BS_TOT_ASSET","FQ2 2023","FQ2 2023","Currency=USD","Period=FQ","BEST_FPERIOD_OVERRIDE=FQ","FILING_STATUS=MR","SCALING_FORMAT=MLN","Sort=A","Dates=H","DateFormat=P","Fill=—","Direction=H","UseDPDF=Y")</f>
        <v>36867.699999999997</v>
      </c>
      <c r="W35" s="16" cm="1">
        <f t="array" ref="W35">_xll.BDH("PCAR US Equity","BS_TOT_ASSET","FQ3 2023","FQ3 2023","Currency=USD","Period=FQ","BEST_FPERIOD_OVERRIDE=FQ","FILING_STATUS=MR","SCALING_FORMAT=MLN","Sort=A","Dates=H","DateFormat=P","Fill=—","Direction=H","UseDPDF=Y")</f>
        <v>38039.5</v>
      </c>
      <c r="X35" s="16" cm="1">
        <f t="array" ref="X35">_xll.BDH("PCAR US Equity","BS_TOT_ASSET","FQ4 2023","FQ4 2023","Currency=USD","Period=FQ","BEST_FPERIOD_OVERRIDE=FQ","FILING_STATUS=MR","SCALING_FORMAT=MLN","Sort=A","Dates=H","DateFormat=P","Fill=—","Direction=H","UseDPDF=Y")</f>
        <v>40823.4</v>
      </c>
      <c r="Y35" s="16" cm="1">
        <f t="array" ref="Y35">_xll.BDH("PCAR US Equity","BS_TOT_ASSET","FQ1 2024","FQ1 2024","Currency=USD","Period=FQ","BEST_FPERIOD_OVERRIDE=FQ","FILING_STATUS=MR","SCALING_FORMAT=MLN","Sort=A","Dates=H","DateFormat=P","Fill=—","Direction=H","UseDPDF=Y")</f>
        <v>40373.599999999999</v>
      </c>
      <c r="Z35" s="16" cm="1">
        <f t="array" ref="Z35">_xll.BDH("PCAR US Equity","BS_TOT_ASSET","FQ2 2024","FQ2 2024","Currency=USD","Period=FQ","BEST_FPERIOD_OVERRIDE=FQ","FILING_STATUS=MR","SCALING_FORMAT=MLN","Sort=A","Dates=H","DateFormat=P","Fill=—","Direction=H","UseDPDF=Y")</f>
        <v>41176.6</v>
      </c>
      <c r="AA35" s="16" cm="1">
        <f t="array" ref="AA35">_xll.BDH("PCAR US Equity","BS_TOT_ASSET","FQ3 2024","FQ3 2024","Currency=USD","Period=FQ","BEST_FPERIOD_OVERRIDE=FQ","FILING_STATUS=MR","SCALING_FORMAT=MLN","Sort=A","Dates=H","DateFormat=P","Fill=—","Direction=H","UseDPDF=Y")</f>
        <v>43281.8</v>
      </c>
      <c r="AB35" s="16" cm="1">
        <f t="array" ref="AB35">_xll.BDH("PCAR US Equity","BS_TOT_ASSET","FQ4 2024","FQ4 2024","Currency=USD","Period=FQ","BEST_FPERIOD_OVERRIDE=FQ","FILING_STATUS=MR","SCALING_FORMAT=MLN","Sort=A","Dates=H","DateFormat=P","Fill=—","Direction=H","UseDPDF=Y")</f>
        <v>43418.9</v>
      </c>
      <c r="AC35" s="16" cm="1">
        <f t="array" ref="AC35">_xll.BDH("PCAR US Equity","BS_TOT_ASSET","FQ1 2025","FQ1 2025","Currency=USD","Period=FQ","BEST_FPERIOD_OVERRIDE=FQ","FILING_STATUS=MR","SCALING_FORMAT=MLN","Sort=A","Dates=H","DateFormat=P","Fill=—","Direction=H","UseDPDF=Y")</f>
        <v>42724.7</v>
      </c>
      <c r="AD35" s="16" cm="1">
        <f t="array" ref="AD35">_xll.BDH("PCAR US Equity","BS_TOT_ASSET","FQ2 2025","FQ2 2025","Currency=USD","Period=FQ","BEST_FPERIOD_OVERRIDE=FQ","FILING_STATUS=MR","SCALING_FORMAT=MLN","Sort=A","Dates=H","DateFormat=P","Fill=—","Direction=H","UseDPDF=Y")</f>
        <v>44094.8</v>
      </c>
      <c r="AE35" s="16" cm="1">
        <f t="array" ref="AE35">_xll.BDH("PCAR US Equity","BS_TOT_ASSET","FQ3 2025","FQ3 2025","Currency=USD","Period=FQ","BEST_FPERIOD_OVERRIDE=FQ","FILING_STATUS=MR","SCALING_FORMAT=MLN","Sort=A","Dates=H","DateFormat=P","Fill=—","Direction=H","UseDPDF=Y")</f>
        <v>44201.2</v>
      </c>
      <c r="AF35" s="16" cm="1">
        <f t="array" ref="AF35">_xll.BDH("PCAR US Equity","BS_TOT_ASSET","FQ4 2025","FQ4 2025","Currency=USD","Period=FQ","BEST_FPERIOD_OVERRIDE=FQ","FILING_STATUS=MR","SCALING_FORMAT=MLN","Sort=A","Dates=H","DateFormat=P","Fill=—","Direction=H","UseDPDF=Y")</f>
        <v>44336.2</v>
      </c>
    </row>
    <row r="36" spans="1:32" x14ac:dyDescent="0.25">
      <c r="A36" s="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6" t="s">
        <v>122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0" t="s">
        <v>123</v>
      </c>
      <c r="B38" s="10" t="s">
        <v>124</v>
      </c>
      <c r="C38" s="13" cm="1">
        <f t="array" ref="C38">_xll.BDH("PCAR US Equity","ACCT_PAYABLE_ACCRUALS_DETAILED","FQ3 2018","FQ3 2018","Currency=USD","Period=FQ","BEST_FPERIOD_OVERRIDE=FQ","FILING_STATUS=MR","SCALING_FORMAT=MLN","Sort=A","Dates=H","DateFormat=P","Fill=—","Direction=H","UseDPDF=Y")</f>
        <v>3759.5</v>
      </c>
      <c r="D38" s="13" cm="1">
        <f t="array" ref="D38">_xll.BDH("PCAR US Equity","ACCT_PAYABLE_ACCRUALS_DETAILED","FQ4 2018","FQ4 2018","Currency=USD","Period=FQ","BEST_FPERIOD_OVERRIDE=FQ","FILING_STATUS=MR","SCALING_FORMAT=MLN","Sort=A","Dates=H","DateFormat=P","Fill=—","Direction=H","UseDPDF=Y")</f>
        <v>3550.9</v>
      </c>
      <c r="E38" s="13" cm="1">
        <f t="array" ref="E38">_xll.BDH("PCAR US Equity","ACCT_PAYABLE_ACCRUALS_DETAILED","FQ1 2019","FQ1 2019","Currency=USD","Period=FQ","BEST_FPERIOD_OVERRIDE=FQ","FILING_STATUS=MR","SCALING_FORMAT=MLN","Sort=A","Dates=H","DateFormat=P","Fill=—","Direction=H","UseDPDF=Y")</f>
        <v>4053.7</v>
      </c>
      <c r="F38" s="13" cm="1">
        <f t="array" ref="F38">_xll.BDH("PCAR US Equity","ACCT_PAYABLE_ACCRUALS_DETAILED","FQ2 2019","FQ2 2019","Currency=USD","Period=FQ","BEST_FPERIOD_OVERRIDE=FQ","FILING_STATUS=MR","SCALING_FORMAT=MLN","Sort=A","Dates=H","DateFormat=P","Fill=—","Direction=H","UseDPDF=Y")</f>
        <v>4052.8</v>
      </c>
      <c r="G38" s="13" cm="1">
        <f t="array" ref="G38">_xll.BDH("PCAR US Equity","ACCT_PAYABLE_ACCRUALS_DETAILED","FQ3 2019","FQ3 2019","Currency=USD","Period=FQ","BEST_FPERIOD_OVERRIDE=FQ","FILING_STATUS=MR","SCALING_FORMAT=MLN","Sort=A","Dates=H","DateFormat=P","Fill=—","Direction=H","UseDPDF=Y")</f>
        <v>4157.2</v>
      </c>
      <c r="H38" s="13" cm="1">
        <f t="array" ref="H38">_xll.BDH("PCAR US Equity","ACCT_PAYABLE_ACCRUALS_DETAILED","FQ4 2019","FQ4 2019","Currency=USD","Period=FQ","BEST_FPERIOD_OVERRIDE=FQ","FILING_STATUS=MR","SCALING_FORMAT=MLN","Sort=A","Dates=H","DateFormat=P","Fill=—","Direction=H","UseDPDF=Y")</f>
        <v>3808</v>
      </c>
      <c r="I38" s="13" cm="1">
        <f t="array" ref="I38">_xll.BDH("PCAR US Equity","ACCT_PAYABLE_ACCRUALS_DETAILED","FQ1 2020","FQ1 2020","Currency=USD","Period=FQ","BEST_FPERIOD_OVERRIDE=FQ","FILING_STATUS=MR","SCALING_FORMAT=MLN","Sort=A","Dates=H","DateFormat=P","Fill=—","Direction=H","UseDPDF=Y")</f>
        <v>3788.7</v>
      </c>
      <c r="J38" s="13" cm="1">
        <f t="array" ref="J38">_xll.BDH("PCAR US Equity","ACCT_PAYABLE_ACCRUALS_DETAILED","FQ2 2020","FQ2 2020","Currency=USD","Period=FQ","BEST_FPERIOD_OVERRIDE=FQ","FILING_STATUS=MR","SCALING_FORMAT=MLN","Sort=A","Dates=H","DateFormat=P","Fill=—","Direction=H","UseDPDF=Y")</f>
        <v>3620.7</v>
      </c>
      <c r="K38" s="13" cm="1">
        <f t="array" ref="K38">_xll.BDH("PCAR US Equity","ACCT_PAYABLE_ACCRUALS_DETAILED","FQ3 2020","FQ3 2020","Currency=USD","Period=FQ","BEST_FPERIOD_OVERRIDE=FQ","FILING_STATUS=MR","SCALING_FORMAT=MLN","Sort=A","Dates=H","DateFormat=P","Fill=—","Direction=H","UseDPDF=Y")</f>
        <v>3981.7</v>
      </c>
      <c r="L38" s="13" cm="1">
        <f t="array" ref="L38">_xll.BDH("PCAR US Equity","ACCT_PAYABLE_ACCRUALS_DETAILED","FQ4 2020","FQ4 2020","Currency=USD","Period=FQ","BEST_FPERIOD_OVERRIDE=FQ","FILING_STATUS=MR","SCALING_FORMAT=MLN","Sort=A","Dates=H","DateFormat=P","Fill=—","Direction=H","UseDPDF=Y")</f>
        <v>3961</v>
      </c>
      <c r="M38" s="13" cm="1">
        <f t="array" ref="M38">_xll.BDH("PCAR US Equity","ACCT_PAYABLE_ACCRUALS_DETAILED","FQ1 2021","FQ1 2021","Currency=USD","Period=FQ","BEST_FPERIOD_OVERRIDE=FQ","FILING_STATUS=MR","SCALING_FORMAT=MLN","Sort=A","Dates=H","DateFormat=P","Fill=—","Direction=H","UseDPDF=Y")</f>
        <v>4572.3999999999996</v>
      </c>
      <c r="N38" s="13" cm="1">
        <f t="array" ref="N38">_xll.BDH("PCAR US Equity","ACCT_PAYABLE_ACCRUALS_DETAILED","FQ2 2021","FQ2 2021","Currency=USD","Period=FQ","BEST_FPERIOD_OVERRIDE=FQ","FILING_STATUS=MR","SCALING_FORMAT=MLN","Sort=A","Dates=H","DateFormat=P","Fill=—","Direction=H","UseDPDF=Y")</f>
        <v>4656.6000000000004</v>
      </c>
      <c r="O38" s="13" cm="1">
        <f t="array" ref="O38">_xll.BDH("PCAR US Equity","ACCT_PAYABLE_ACCRUALS_DETAILED","FQ3 2021","FQ3 2021","Currency=USD","Period=FQ","BEST_FPERIOD_OVERRIDE=FQ","FILING_STATUS=MR","SCALING_FORMAT=MLN","Sort=A","Dates=H","DateFormat=P","Fill=—","Direction=H","UseDPDF=Y")</f>
        <v>4427.8999999999996</v>
      </c>
      <c r="P38" s="13" cm="1">
        <f t="array" ref="P38">_xll.BDH("PCAR US Equity","ACCT_PAYABLE_ACCRUALS_DETAILED","FQ4 2021","FQ4 2021","Currency=USD","Period=FQ","BEST_FPERIOD_OVERRIDE=FQ","FILING_STATUS=MR","SCALING_FORMAT=MLN","Sort=A","Dates=H","DateFormat=P","Fill=—","Direction=H","UseDPDF=Y")</f>
        <v>4540.8</v>
      </c>
      <c r="Q38" s="13" cm="1">
        <f t="array" ref="Q38">_xll.BDH("PCAR US Equity","ACCT_PAYABLE_ACCRUALS_DETAILED","FQ1 2022","FQ1 2022","Currency=USD","Period=FQ","BEST_FPERIOD_OVERRIDE=FQ","FILING_STATUS=MR","SCALING_FORMAT=MLN","Sort=A","Dates=H","DateFormat=P","Fill=—","Direction=H","UseDPDF=Y")</f>
        <v>5244.5</v>
      </c>
      <c r="R38" s="13" cm="1">
        <f t="array" ref="R38">_xll.BDH("PCAR US Equity","ACCT_PAYABLE_ACCRUALS_DETAILED","FQ2 2022","FQ2 2022","Currency=USD","Period=FQ","BEST_FPERIOD_OVERRIDE=FQ","FILING_STATUS=MR","SCALING_FORMAT=MLN","Sort=A","Dates=H","DateFormat=P","Fill=—","Direction=H","UseDPDF=Y")</f>
        <v>5211.3999999999996</v>
      </c>
      <c r="S38" s="13" cm="1">
        <f t="array" ref="S38">_xll.BDH("PCAR US Equity","ACCT_PAYABLE_ACCRUALS_DETAILED","FQ3 2022","FQ3 2022","Currency=USD","Period=FQ","BEST_FPERIOD_OVERRIDE=FQ","FILING_STATUS=MR","SCALING_FORMAT=MLN","Sort=A","Dates=H","DateFormat=P","Fill=—","Direction=H","UseDPDF=Y")</f>
        <v>5174.5</v>
      </c>
      <c r="T38" s="13" cm="1">
        <f t="array" ref="T38">_xll.BDH("PCAR US Equity","ACCT_PAYABLE_ACCRUALS_DETAILED","FQ4 2022","FQ4 2022","Currency=USD","Period=FQ","BEST_FPERIOD_OVERRIDE=FQ","FILING_STATUS=MR","SCALING_FORMAT=MLN","Sort=A","Dates=H","DateFormat=P","Fill=—","Direction=H","UseDPDF=Y")</f>
        <v>5325</v>
      </c>
      <c r="U38" s="13" cm="1">
        <f t="array" ref="U38">_xll.BDH("PCAR US Equity","ACCT_PAYABLE_ACCRUALS_DETAILED","FQ1 2023","FQ1 2023","Currency=USD","Period=FQ","BEST_FPERIOD_OVERRIDE=FQ","FILING_STATUS=MR","SCALING_FORMAT=MLN","Sort=A","Dates=H","DateFormat=P","Fill=—","Direction=H","UseDPDF=Y")</f>
        <v>6307.4</v>
      </c>
      <c r="V38" s="13" cm="1">
        <f t="array" ref="V38">_xll.BDH("PCAR US Equity","ACCT_PAYABLE_ACCRUALS_DETAILED","FQ2 2023","FQ2 2023","Currency=USD","Period=FQ","BEST_FPERIOD_OVERRIDE=FQ","FILING_STATUS=MR","SCALING_FORMAT=MLN","Sort=A","Dates=H","DateFormat=P","Fill=—","Direction=H","UseDPDF=Y")</f>
        <v>6361.5</v>
      </c>
      <c r="W38" s="13" cm="1">
        <f t="array" ref="W38">_xll.BDH("PCAR US Equity","ACCT_PAYABLE_ACCRUALS_DETAILED","FQ3 2023","FQ3 2023","Currency=USD","Period=FQ","BEST_FPERIOD_OVERRIDE=FQ","FILING_STATUS=MR","SCALING_FORMAT=MLN","Sort=A","Dates=H","DateFormat=P","Fill=—","Direction=H","UseDPDF=Y")</f>
        <v>6294.6</v>
      </c>
      <c r="X38" s="13" cm="1">
        <f t="array" ref="X38">_xll.BDH("PCAR US Equity","ACCT_PAYABLE_ACCRUALS_DETAILED","FQ4 2023","FQ4 2023","Currency=USD","Period=FQ","BEST_FPERIOD_OVERRIDE=FQ","FILING_STATUS=MR","SCALING_FORMAT=MLN","Sort=A","Dates=H","DateFormat=P","Fill=—","Direction=H","UseDPDF=Y")</f>
        <v>6051.8</v>
      </c>
      <c r="Y38" s="13" cm="1">
        <f t="array" ref="Y38">_xll.BDH("PCAR US Equity","ACCT_PAYABLE_ACCRUALS_DETAILED","FQ1 2024","FQ1 2024","Currency=USD","Period=FQ","BEST_FPERIOD_OVERRIDE=FQ","FILING_STATUS=MR","SCALING_FORMAT=MLN","Sort=A","Dates=H","DateFormat=P","Fill=—","Direction=H","UseDPDF=Y")</f>
        <v>6704.9</v>
      </c>
      <c r="Z38" s="13" cm="1">
        <f t="array" ref="Z38">_xll.BDH("PCAR US Equity","ACCT_PAYABLE_ACCRUALS_DETAILED","FQ2 2024","FQ2 2024","Currency=USD","Period=FQ","BEST_FPERIOD_OVERRIDE=FQ","FILING_STATUS=MR","SCALING_FORMAT=MLN","Sort=A","Dates=H","DateFormat=P","Fill=—","Direction=H","UseDPDF=Y")</f>
        <v>6380.1</v>
      </c>
      <c r="AA38" s="13" cm="1">
        <f t="array" ref="AA38">_xll.BDH("PCAR US Equity","ACCT_PAYABLE_ACCRUALS_DETAILED","FQ3 2024","FQ3 2024","Currency=USD","Period=FQ","BEST_FPERIOD_OVERRIDE=FQ","FILING_STATUS=MR","SCALING_FORMAT=MLN","Sort=A","Dates=H","DateFormat=P","Fill=—","Direction=H","UseDPDF=Y")</f>
        <v>6396.4</v>
      </c>
      <c r="AB38" s="13" cm="1">
        <f t="array" ref="AB38">_xll.BDH("PCAR US Equity","ACCT_PAYABLE_ACCRUALS_DETAILED","FQ4 2024","FQ4 2024","Currency=USD","Period=FQ","BEST_FPERIOD_OVERRIDE=FQ","FILING_STATUS=MR","SCALING_FORMAT=MLN","Sort=A","Dates=H","DateFormat=P","Fill=—","Direction=H","UseDPDF=Y")</f>
        <v>5892.8</v>
      </c>
      <c r="AC38" s="13" cm="1">
        <f t="array" ref="AC38">_xll.BDH("PCAR US Equity","ACCT_PAYABLE_ACCRUALS_DETAILED","FQ1 2025","FQ1 2025","Currency=USD","Period=FQ","BEST_FPERIOD_OVERRIDE=FQ","FILING_STATUS=MR","SCALING_FORMAT=MLN","Sort=A","Dates=H","DateFormat=P","Fill=—","Direction=H","UseDPDF=Y")</f>
        <v>6229.2</v>
      </c>
      <c r="AD38" s="13" cm="1">
        <f t="array" ref="AD38">_xll.BDH("PCAR US Equity","ACCT_PAYABLE_ACCRUALS_DETAILED","FQ2 2025","FQ2 2025","Currency=USD","Period=FQ","BEST_FPERIOD_OVERRIDE=FQ","FILING_STATUS=MR","SCALING_FORMAT=MLN","Sort=A","Dates=H","DateFormat=P","Fill=—","Direction=H","UseDPDF=Y")</f>
        <v>6248.5</v>
      </c>
      <c r="AE38" s="13" cm="1">
        <f t="array" ref="AE38">_xll.BDH("PCAR US Equity","ACCT_PAYABLE_ACCRUALS_DETAILED","FQ3 2025","FQ3 2025","Currency=USD","Period=FQ","BEST_FPERIOD_OVERRIDE=FQ","FILING_STATUS=MR","SCALING_FORMAT=MLN","Sort=A","Dates=H","DateFormat=P","Fill=—","Direction=H","UseDPDF=Y")</f>
        <v>6071.5</v>
      </c>
      <c r="AF38" s="13" cm="1">
        <f t="array" ref="AF38">_xll.BDH("PCAR US Equity","ACCT_PAYABLE_ACCRUALS_DETAILED","FQ4 2025","FQ4 2025","Currency=USD","Period=FQ","BEST_FPERIOD_OVERRIDE=FQ","FILING_STATUS=MR","SCALING_FORMAT=MLN","Sort=A","Dates=H","DateFormat=P","Fill=—","Direction=H","UseDPDF=Y")</f>
        <v>7890.9</v>
      </c>
    </row>
    <row r="39" spans="1:32" x14ac:dyDescent="0.25">
      <c r="A39" s="10" t="s">
        <v>125</v>
      </c>
      <c r="B39" s="10" t="s">
        <v>126</v>
      </c>
      <c r="C39" s="13" t="str" cm="1">
        <f t="array" ref="C39">_xll.BDH("PCAR US Equity","BS_ACCT_PAYABLE","FQ3 2018","FQ3 2018","Currency=USD","Period=FQ","BEST_FPERIOD_OVERRIDE=FQ","FILING_STATUS=MR","SCALING_FORMAT=MLN","Sort=A","Dates=H","DateFormat=P","Fill=—","Direction=H","UseDPDF=Y")</f>
        <v>—</v>
      </c>
      <c r="D39" s="13" cm="1">
        <f t="array" ref="D39">_xll.BDH("PCAR US Equity","BS_ACCT_PAYABLE","FQ4 2018","FQ4 2018","Currency=USD","Period=FQ","BEST_FPERIOD_OVERRIDE=FQ","FILING_STATUS=MR","SCALING_FORMAT=MLN","Sort=A","Dates=H","DateFormat=P","Fill=—","Direction=H","UseDPDF=Y")</f>
        <v>1304.9000000000001</v>
      </c>
      <c r="E39" s="13" t="str" cm="1">
        <f t="array" ref="E39">_xll.BDH("PCAR US Equity","BS_ACCT_PAYABLE","FQ1 2019","FQ1 2019","Currency=USD","Period=FQ","BEST_FPERIOD_OVERRIDE=FQ","FILING_STATUS=MR","SCALING_FORMAT=MLN","Sort=A","Dates=H","DateFormat=P","Fill=—","Direction=H","UseDPDF=Y")</f>
        <v>—</v>
      </c>
      <c r="F39" s="13" t="str" cm="1">
        <f t="array" ref="F39">_xll.BDH("PCAR US Equity","BS_ACCT_PAYABLE","FQ2 2019","FQ2 2019","Currency=USD","Period=FQ","BEST_FPERIOD_OVERRIDE=FQ","FILING_STATUS=MR","SCALING_FORMAT=MLN","Sort=A","Dates=H","DateFormat=P","Fill=—","Direction=H","UseDPDF=Y")</f>
        <v>—</v>
      </c>
      <c r="G39" s="13" t="str" cm="1">
        <f t="array" ref="G39">_xll.BDH("PCAR US Equity","BS_ACCT_PAYABLE","FQ3 2019","FQ3 2019","Currency=USD","Period=FQ","BEST_FPERIOD_OVERRIDE=FQ","FILING_STATUS=MR","SCALING_FORMAT=MLN","Sort=A","Dates=H","DateFormat=P","Fill=—","Direction=H","UseDPDF=Y")</f>
        <v>—</v>
      </c>
      <c r="H39" s="13" cm="1">
        <f t="array" ref="H39">_xll.BDH("PCAR US Equity","BS_ACCT_PAYABLE","FQ4 2019","FQ4 2019","Currency=USD","Period=FQ","BEST_FPERIOD_OVERRIDE=FQ","FILING_STATUS=MR","SCALING_FORMAT=MLN","Sort=A","Dates=H","DateFormat=P","Fill=—","Direction=H","UseDPDF=Y")</f>
        <v>1115.7</v>
      </c>
      <c r="I39" s="13" t="str" cm="1">
        <f t="array" ref="I39">_xll.BDH("PCAR US Equity","BS_ACCT_PAYABLE","FQ1 2020","FQ1 2020","Currency=USD","Period=FQ","BEST_FPERIOD_OVERRIDE=FQ","FILING_STATUS=MR","SCALING_FORMAT=MLN","Sort=A","Dates=H","DateFormat=P","Fill=—","Direction=H","UseDPDF=Y")</f>
        <v>—</v>
      </c>
      <c r="J39" s="13" t="str" cm="1">
        <f t="array" ref="J39">_xll.BDH("PCAR US Equity","BS_ACCT_PAYABLE","FQ2 2020","FQ2 2020","Currency=USD","Period=FQ","BEST_FPERIOD_OVERRIDE=FQ","FILING_STATUS=MR","SCALING_FORMAT=MLN","Sort=A","Dates=H","DateFormat=P","Fill=—","Direction=H","UseDPDF=Y")</f>
        <v>—</v>
      </c>
      <c r="K39" s="13" t="str" cm="1">
        <f t="array" ref="K39">_xll.BDH("PCAR US Equity","BS_ACCT_PAYABLE","FQ3 2020","FQ3 2020","Currency=USD","Period=FQ","BEST_FPERIOD_OVERRIDE=FQ","FILING_STATUS=MR","SCALING_FORMAT=MLN","Sort=A","Dates=H","DateFormat=P","Fill=—","Direction=H","UseDPDF=Y")</f>
        <v>—</v>
      </c>
      <c r="L39" s="13" cm="1">
        <f t="array" ref="L39">_xll.BDH("PCAR US Equity","BS_ACCT_PAYABLE","FQ4 2020","FQ4 2020","Currency=USD","Period=FQ","BEST_FPERIOD_OVERRIDE=FQ","FILING_STATUS=MR","SCALING_FORMAT=MLN","Sort=A","Dates=H","DateFormat=P","Fill=—","Direction=H","UseDPDF=Y")</f>
        <v>1176.2</v>
      </c>
      <c r="M39" s="13" t="str" cm="1">
        <f t="array" ref="M39">_xll.BDH("PCAR US Equity","BS_ACCT_PAYABLE","FQ1 2021","FQ1 2021","Currency=USD","Period=FQ","BEST_FPERIOD_OVERRIDE=FQ","FILING_STATUS=MR","SCALING_FORMAT=MLN","Sort=A","Dates=H","DateFormat=P","Fill=—","Direction=H","UseDPDF=Y")</f>
        <v>—</v>
      </c>
      <c r="N39" s="13" t="str" cm="1">
        <f t="array" ref="N39">_xll.BDH("PCAR US Equity","BS_ACCT_PAYABLE","FQ2 2021","FQ2 2021","Currency=USD","Period=FQ","BEST_FPERIOD_OVERRIDE=FQ","FILING_STATUS=MR","SCALING_FORMAT=MLN","Sort=A","Dates=H","DateFormat=P","Fill=—","Direction=H","UseDPDF=Y")</f>
        <v>—</v>
      </c>
      <c r="O39" s="13" t="str" cm="1">
        <f t="array" ref="O39">_xll.BDH("PCAR US Equity","BS_ACCT_PAYABLE","FQ3 2021","FQ3 2021","Currency=USD","Period=FQ","BEST_FPERIOD_OVERRIDE=FQ","FILING_STATUS=MR","SCALING_FORMAT=MLN","Sort=A","Dates=H","DateFormat=P","Fill=—","Direction=H","UseDPDF=Y")</f>
        <v>—</v>
      </c>
      <c r="P39" s="13" cm="1">
        <f t="array" ref="P39">_xll.BDH("PCAR US Equity","BS_ACCT_PAYABLE","FQ4 2021","FQ4 2021","Currency=USD","Period=FQ","BEST_FPERIOD_OVERRIDE=FQ","FILING_STATUS=MR","SCALING_FORMAT=MLN","Sort=A","Dates=H","DateFormat=P","Fill=—","Direction=H","UseDPDF=Y")</f>
        <v>1393.5</v>
      </c>
      <c r="Q39" s="13" t="str" cm="1">
        <f t="array" ref="Q39">_xll.BDH("PCAR US Equity","BS_ACCT_PAYABLE","FQ1 2022","FQ1 2022","Currency=USD","Period=FQ","BEST_FPERIOD_OVERRIDE=FQ","FILING_STATUS=MR","SCALING_FORMAT=MLN","Sort=A","Dates=H","DateFormat=P","Fill=—","Direction=H","UseDPDF=Y")</f>
        <v>—</v>
      </c>
      <c r="R39" s="13" t="str" cm="1">
        <f t="array" ref="R39">_xll.BDH("PCAR US Equity","BS_ACCT_PAYABLE","FQ2 2022","FQ2 2022","Currency=USD","Period=FQ","BEST_FPERIOD_OVERRIDE=FQ","FILING_STATUS=MR","SCALING_FORMAT=MLN","Sort=A","Dates=H","DateFormat=P","Fill=—","Direction=H","UseDPDF=Y")</f>
        <v>—</v>
      </c>
      <c r="S39" s="13" t="str" cm="1">
        <f t="array" ref="S39">_xll.BDH("PCAR US Equity","BS_ACCT_PAYABLE","FQ3 2022","FQ3 2022","Currency=USD","Period=FQ","BEST_FPERIOD_OVERRIDE=FQ","FILING_STATUS=MR","SCALING_FORMAT=MLN","Sort=A","Dates=H","DateFormat=P","Fill=—","Direction=H","UseDPDF=Y")</f>
        <v>—</v>
      </c>
      <c r="T39" s="13" cm="1">
        <f t="array" ref="T39">_xll.BDH("PCAR US Equity","BS_ACCT_PAYABLE","FQ4 2022","FQ4 2022","Currency=USD","Period=FQ","BEST_FPERIOD_OVERRIDE=FQ","FILING_STATUS=MR","SCALING_FORMAT=MLN","Sort=A","Dates=H","DateFormat=P","Fill=—","Direction=H","UseDPDF=Y")</f>
        <v>1665.1</v>
      </c>
      <c r="U39" s="13" t="str" cm="1">
        <f t="array" ref="U39">_xll.BDH("PCAR US Equity","BS_ACCT_PAYABLE","FQ1 2023","FQ1 2023","Currency=USD","Period=FQ","BEST_FPERIOD_OVERRIDE=FQ","FILING_STATUS=MR","SCALING_FORMAT=MLN","Sort=A","Dates=H","DateFormat=P","Fill=—","Direction=H","UseDPDF=Y")</f>
        <v>—</v>
      </c>
      <c r="V39" s="13" t="str" cm="1">
        <f t="array" ref="V39">_xll.BDH("PCAR US Equity","BS_ACCT_PAYABLE","FQ2 2023","FQ2 2023","Currency=USD","Period=FQ","BEST_FPERIOD_OVERRIDE=FQ","FILING_STATUS=MR","SCALING_FORMAT=MLN","Sort=A","Dates=H","DateFormat=P","Fill=—","Direction=H","UseDPDF=Y")</f>
        <v>—</v>
      </c>
      <c r="W39" s="13" t="str" cm="1">
        <f t="array" ref="W39">_xll.BDH("PCAR US Equity","BS_ACCT_PAYABLE","FQ3 2023","FQ3 2023","Currency=USD","Period=FQ","BEST_FPERIOD_OVERRIDE=FQ","FILING_STATUS=MR","SCALING_FORMAT=MLN","Sort=A","Dates=H","DateFormat=P","Fill=—","Direction=H","UseDPDF=Y")</f>
        <v>—</v>
      </c>
      <c r="X39" s="13" cm="1">
        <f t="array" ref="X39">_xll.BDH("PCAR US Equity","BS_ACCT_PAYABLE","FQ4 2023","FQ4 2023","Currency=USD","Period=FQ","BEST_FPERIOD_OVERRIDE=FQ","FILING_STATUS=MR","SCALING_FORMAT=MLN","Sort=A","Dates=H","DateFormat=P","Fill=—","Direction=H","UseDPDF=Y")</f>
        <v>1667.6</v>
      </c>
      <c r="Y39" s="13" t="str" cm="1">
        <f t="array" ref="Y39">_xll.BDH("PCAR US Equity","BS_ACCT_PAYABLE","FQ1 2024","FQ1 2024","Currency=USD","Period=FQ","BEST_FPERIOD_OVERRIDE=FQ","FILING_STATUS=MR","SCALING_FORMAT=MLN","Sort=A","Dates=H","DateFormat=P","Fill=—","Direction=H","UseDPDF=Y")</f>
        <v>—</v>
      </c>
      <c r="Z39" s="13" t="str" cm="1">
        <f t="array" ref="Z39">_xll.BDH("PCAR US Equity","BS_ACCT_PAYABLE","FQ2 2024","FQ2 2024","Currency=USD","Period=FQ","BEST_FPERIOD_OVERRIDE=FQ","FILING_STATUS=MR","SCALING_FORMAT=MLN","Sort=A","Dates=H","DateFormat=P","Fill=—","Direction=H","UseDPDF=Y")</f>
        <v>—</v>
      </c>
      <c r="AA39" s="13" t="str" cm="1">
        <f t="array" ref="AA39">_xll.BDH("PCAR US Equity","BS_ACCT_PAYABLE","FQ3 2024","FQ3 2024","Currency=USD","Period=FQ","BEST_FPERIOD_OVERRIDE=FQ","FILING_STATUS=MR","SCALING_FORMAT=MLN","Sort=A","Dates=H","DateFormat=P","Fill=—","Direction=H","UseDPDF=Y")</f>
        <v>—</v>
      </c>
      <c r="AB39" s="13" cm="1">
        <f t="array" ref="AB39">_xll.BDH("PCAR US Equity","BS_ACCT_PAYABLE","FQ4 2024","FQ4 2024","Currency=USD","Period=FQ","BEST_FPERIOD_OVERRIDE=FQ","FILING_STATUS=MR","SCALING_FORMAT=MLN","Sort=A","Dates=H","DateFormat=P","Fill=—","Direction=H","UseDPDF=Y")</f>
        <v>1598.7</v>
      </c>
      <c r="AC39" s="13" t="str" cm="1">
        <f t="array" ref="AC39">_xll.BDH("PCAR US Equity","BS_ACCT_PAYABLE","FQ1 2025","FQ1 2025","Currency=USD","Period=FQ","BEST_FPERIOD_OVERRIDE=FQ","FILING_STATUS=MR","SCALING_FORMAT=MLN","Sort=A","Dates=H","DateFormat=P","Fill=—","Direction=H","UseDPDF=Y")</f>
        <v>—</v>
      </c>
      <c r="AD39" s="13" t="str" cm="1">
        <f t="array" ref="AD39">_xll.BDH("PCAR US Equity","BS_ACCT_PAYABLE","FQ2 2025","FQ2 2025","Currency=USD","Period=FQ","BEST_FPERIOD_OVERRIDE=FQ","FILING_STATUS=MR","SCALING_FORMAT=MLN","Sort=A","Dates=H","DateFormat=P","Fill=—","Direction=H","UseDPDF=Y")</f>
        <v>—</v>
      </c>
      <c r="AE39" s="13" t="str" cm="1">
        <f t="array" ref="AE39">_xll.BDH("PCAR US Equity","BS_ACCT_PAYABLE","FQ3 2025","FQ3 2025","Currency=USD","Period=FQ","BEST_FPERIOD_OVERRIDE=FQ","FILING_STATUS=MR","SCALING_FORMAT=MLN","Sort=A","Dates=H","DateFormat=P","Fill=—","Direction=H","UseDPDF=Y")</f>
        <v>—</v>
      </c>
      <c r="AF39" s="13" t="str" cm="1">
        <f t="array" ref="AF39">_xll.BDH("PCAR US Equity","BS_ACCT_PAYABLE","FQ4 2025","FQ4 2025","Currency=USD","Period=FQ","BEST_FPERIOD_OVERRIDE=FQ","FILING_STATUS=MR","SCALING_FORMAT=MLN","Sort=A","Dates=H","DateFormat=P","Fill=—","Direction=H","UseDPDF=Y")</f>
        <v>—</v>
      </c>
    </row>
    <row r="40" spans="1:32" x14ac:dyDescent="0.25">
      <c r="A40" s="10" t="s">
        <v>127</v>
      </c>
      <c r="B40" s="10" t="s">
        <v>128</v>
      </c>
      <c r="C40" s="13" cm="1">
        <f t="array" ref="C40">_xll.BDH("PCAR US Equity","BS_ACCRUAL","FQ3 2018","FQ3 2018","Currency=USD","Period=FQ","BEST_FPERIOD_OVERRIDE=FQ","FILING_STATUS=MR","SCALING_FORMAT=MLN","Sort=A","Dates=H","DateFormat=P","Fill=—","Direction=H","UseDPDF=Y")</f>
        <v>3759.5</v>
      </c>
      <c r="D40" s="13" cm="1">
        <f t="array" ref="D40">_xll.BDH("PCAR US Equity","BS_ACCRUAL","FQ4 2018","FQ4 2018","Currency=USD","Period=FQ","BEST_FPERIOD_OVERRIDE=FQ","FILING_STATUS=MR","SCALING_FORMAT=MLN","Sort=A","Dates=H","DateFormat=P","Fill=—","Direction=H","UseDPDF=Y")</f>
        <v>2246</v>
      </c>
      <c r="E40" s="13" cm="1">
        <f t="array" ref="E40">_xll.BDH("PCAR US Equity","BS_ACCRUAL","FQ1 2019","FQ1 2019","Currency=USD","Period=FQ","BEST_FPERIOD_OVERRIDE=FQ","FILING_STATUS=MR","SCALING_FORMAT=MLN","Sort=A","Dates=H","DateFormat=P","Fill=—","Direction=H","UseDPDF=Y")</f>
        <v>4053.7</v>
      </c>
      <c r="F40" s="13" cm="1">
        <f t="array" ref="F40">_xll.BDH("PCAR US Equity","BS_ACCRUAL","FQ2 2019","FQ2 2019","Currency=USD","Period=FQ","BEST_FPERIOD_OVERRIDE=FQ","FILING_STATUS=MR","SCALING_FORMAT=MLN","Sort=A","Dates=H","DateFormat=P","Fill=—","Direction=H","UseDPDF=Y")</f>
        <v>4052.8</v>
      </c>
      <c r="G40" s="13" cm="1">
        <f t="array" ref="G40">_xll.BDH("PCAR US Equity","BS_ACCRUAL","FQ3 2019","FQ3 2019","Currency=USD","Period=FQ","BEST_FPERIOD_OVERRIDE=FQ","FILING_STATUS=MR","SCALING_FORMAT=MLN","Sort=A","Dates=H","DateFormat=P","Fill=—","Direction=H","UseDPDF=Y")</f>
        <v>4157.2</v>
      </c>
      <c r="H40" s="13" cm="1">
        <f t="array" ref="H40">_xll.BDH("PCAR US Equity","BS_ACCRUAL","FQ4 2019","FQ4 2019","Currency=USD","Period=FQ","BEST_FPERIOD_OVERRIDE=FQ","FILING_STATUS=MR","SCALING_FORMAT=MLN","Sort=A","Dates=H","DateFormat=P","Fill=—","Direction=H","UseDPDF=Y")</f>
        <v>2692.3</v>
      </c>
      <c r="I40" s="13" cm="1">
        <f t="array" ref="I40">_xll.BDH("PCAR US Equity","BS_ACCRUAL","FQ1 2020","FQ1 2020","Currency=USD","Period=FQ","BEST_FPERIOD_OVERRIDE=FQ","FILING_STATUS=MR","SCALING_FORMAT=MLN","Sort=A","Dates=H","DateFormat=P","Fill=—","Direction=H","UseDPDF=Y")</f>
        <v>3788.7</v>
      </c>
      <c r="J40" s="13" cm="1">
        <f t="array" ref="J40">_xll.BDH("PCAR US Equity","BS_ACCRUAL","FQ2 2020","FQ2 2020","Currency=USD","Period=FQ","BEST_FPERIOD_OVERRIDE=FQ","FILING_STATUS=MR","SCALING_FORMAT=MLN","Sort=A","Dates=H","DateFormat=P","Fill=—","Direction=H","UseDPDF=Y")</f>
        <v>3620.7</v>
      </c>
      <c r="K40" s="13" cm="1">
        <f t="array" ref="K40">_xll.BDH("PCAR US Equity","BS_ACCRUAL","FQ3 2020","FQ3 2020","Currency=USD","Period=FQ","BEST_FPERIOD_OVERRIDE=FQ","FILING_STATUS=MR","SCALING_FORMAT=MLN","Sort=A","Dates=H","DateFormat=P","Fill=—","Direction=H","UseDPDF=Y")</f>
        <v>3981.7</v>
      </c>
      <c r="L40" s="13" cm="1">
        <f t="array" ref="L40">_xll.BDH("PCAR US Equity","BS_ACCRUAL","FQ4 2020","FQ4 2020","Currency=USD","Period=FQ","BEST_FPERIOD_OVERRIDE=FQ","FILING_STATUS=MR","SCALING_FORMAT=MLN","Sort=A","Dates=H","DateFormat=P","Fill=—","Direction=H","UseDPDF=Y")</f>
        <v>2784.8</v>
      </c>
      <c r="M40" s="13" cm="1">
        <f t="array" ref="M40">_xll.BDH("PCAR US Equity","BS_ACCRUAL","FQ1 2021","FQ1 2021","Currency=USD","Period=FQ","BEST_FPERIOD_OVERRIDE=FQ","FILING_STATUS=MR","SCALING_FORMAT=MLN","Sort=A","Dates=H","DateFormat=P","Fill=—","Direction=H","UseDPDF=Y")</f>
        <v>4572.3999999999996</v>
      </c>
      <c r="N40" s="13" cm="1">
        <f t="array" ref="N40">_xll.BDH("PCAR US Equity","BS_ACCRUAL","FQ2 2021","FQ2 2021","Currency=USD","Period=FQ","BEST_FPERIOD_OVERRIDE=FQ","FILING_STATUS=MR","SCALING_FORMAT=MLN","Sort=A","Dates=H","DateFormat=P","Fill=—","Direction=H","UseDPDF=Y")</f>
        <v>4656.6000000000004</v>
      </c>
      <c r="O40" s="13" cm="1">
        <f t="array" ref="O40">_xll.BDH("PCAR US Equity","BS_ACCRUAL","FQ3 2021","FQ3 2021","Currency=USD","Period=FQ","BEST_FPERIOD_OVERRIDE=FQ","FILING_STATUS=MR","SCALING_FORMAT=MLN","Sort=A","Dates=H","DateFormat=P","Fill=—","Direction=H","UseDPDF=Y")</f>
        <v>4427.8999999999996</v>
      </c>
      <c r="P40" s="13" cm="1">
        <f t="array" ref="P40">_xll.BDH("PCAR US Equity","BS_ACCRUAL","FQ4 2021","FQ4 2021","Currency=USD","Period=FQ","BEST_FPERIOD_OVERRIDE=FQ","FILING_STATUS=MR","SCALING_FORMAT=MLN","Sort=A","Dates=H","DateFormat=P","Fill=—","Direction=H","UseDPDF=Y")</f>
        <v>3147.3</v>
      </c>
      <c r="Q40" s="13" cm="1">
        <f t="array" ref="Q40">_xll.BDH("PCAR US Equity","BS_ACCRUAL","FQ1 2022","FQ1 2022","Currency=USD","Period=FQ","BEST_FPERIOD_OVERRIDE=FQ","FILING_STATUS=MR","SCALING_FORMAT=MLN","Sort=A","Dates=H","DateFormat=P","Fill=—","Direction=H","UseDPDF=Y")</f>
        <v>5244.5</v>
      </c>
      <c r="R40" s="13" cm="1">
        <f t="array" ref="R40">_xll.BDH("PCAR US Equity","BS_ACCRUAL","FQ2 2022","FQ2 2022","Currency=USD","Period=FQ","BEST_FPERIOD_OVERRIDE=FQ","FILING_STATUS=MR","SCALING_FORMAT=MLN","Sort=A","Dates=H","DateFormat=P","Fill=—","Direction=H","UseDPDF=Y")</f>
        <v>5211.3999999999996</v>
      </c>
      <c r="S40" s="13" cm="1">
        <f t="array" ref="S40">_xll.BDH("PCAR US Equity","BS_ACCRUAL","FQ3 2022","FQ3 2022","Currency=USD","Period=FQ","BEST_FPERIOD_OVERRIDE=FQ","FILING_STATUS=MR","SCALING_FORMAT=MLN","Sort=A","Dates=H","DateFormat=P","Fill=—","Direction=H","UseDPDF=Y")</f>
        <v>5174.5</v>
      </c>
      <c r="T40" s="13" cm="1">
        <f t="array" ref="T40">_xll.BDH("PCAR US Equity","BS_ACCRUAL","FQ4 2022","FQ4 2022","Currency=USD","Period=FQ","BEST_FPERIOD_OVERRIDE=FQ","FILING_STATUS=MR","SCALING_FORMAT=MLN","Sort=A","Dates=H","DateFormat=P","Fill=—","Direction=H","UseDPDF=Y")</f>
        <v>3659.9</v>
      </c>
      <c r="U40" s="13" cm="1">
        <f t="array" ref="U40">_xll.BDH("PCAR US Equity","BS_ACCRUAL","FQ1 2023","FQ1 2023","Currency=USD","Period=FQ","BEST_FPERIOD_OVERRIDE=FQ","FILING_STATUS=MR","SCALING_FORMAT=MLN","Sort=A","Dates=H","DateFormat=P","Fill=—","Direction=H","UseDPDF=Y")</f>
        <v>6307.4</v>
      </c>
      <c r="V40" s="13" cm="1">
        <f t="array" ref="V40">_xll.BDH("PCAR US Equity","BS_ACCRUAL","FQ2 2023","FQ2 2023","Currency=USD","Period=FQ","BEST_FPERIOD_OVERRIDE=FQ","FILING_STATUS=MR","SCALING_FORMAT=MLN","Sort=A","Dates=H","DateFormat=P","Fill=—","Direction=H","UseDPDF=Y")</f>
        <v>6361.5</v>
      </c>
      <c r="W40" s="13" cm="1">
        <f t="array" ref="W40">_xll.BDH("PCAR US Equity","BS_ACCRUAL","FQ3 2023","FQ3 2023","Currency=USD","Period=FQ","BEST_FPERIOD_OVERRIDE=FQ","FILING_STATUS=MR","SCALING_FORMAT=MLN","Sort=A","Dates=H","DateFormat=P","Fill=—","Direction=H","UseDPDF=Y")</f>
        <v>6294.6</v>
      </c>
      <c r="X40" s="13" cm="1">
        <f t="array" ref="X40">_xll.BDH("PCAR US Equity","BS_ACCRUAL","FQ4 2023","FQ4 2023","Currency=USD","Period=FQ","BEST_FPERIOD_OVERRIDE=FQ","FILING_STATUS=MR","SCALING_FORMAT=MLN","Sort=A","Dates=H","DateFormat=P","Fill=—","Direction=H","UseDPDF=Y")</f>
        <v>4384.2</v>
      </c>
      <c r="Y40" s="13" cm="1">
        <f t="array" ref="Y40">_xll.BDH("PCAR US Equity","BS_ACCRUAL","FQ1 2024","FQ1 2024","Currency=USD","Period=FQ","BEST_FPERIOD_OVERRIDE=FQ","FILING_STATUS=MR","SCALING_FORMAT=MLN","Sort=A","Dates=H","DateFormat=P","Fill=—","Direction=H","UseDPDF=Y")</f>
        <v>6704.9</v>
      </c>
      <c r="Z40" s="13" cm="1">
        <f t="array" ref="Z40">_xll.BDH("PCAR US Equity","BS_ACCRUAL","FQ2 2024","FQ2 2024","Currency=USD","Period=FQ","BEST_FPERIOD_OVERRIDE=FQ","FILING_STATUS=MR","SCALING_FORMAT=MLN","Sort=A","Dates=H","DateFormat=P","Fill=—","Direction=H","UseDPDF=Y")</f>
        <v>6380.1</v>
      </c>
      <c r="AA40" s="13" cm="1">
        <f t="array" ref="AA40">_xll.BDH("PCAR US Equity","BS_ACCRUAL","FQ3 2024","FQ3 2024","Currency=USD","Period=FQ","BEST_FPERIOD_OVERRIDE=FQ","FILING_STATUS=MR","SCALING_FORMAT=MLN","Sort=A","Dates=H","DateFormat=P","Fill=—","Direction=H","UseDPDF=Y")</f>
        <v>6396.4</v>
      </c>
      <c r="AB40" s="13" cm="1">
        <f t="array" ref="AB40">_xll.BDH("PCAR US Equity","BS_ACCRUAL","FQ4 2024","FQ4 2024","Currency=USD","Period=FQ","BEST_FPERIOD_OVERRIDE=FQ","FILING_STATUS=MR","SCALING_FORMAT=MLN","Sort=A","Dates=H","DateFormat=P","Fill=—","Direction=H","UseDPDF=Y")</f>
        <v>4294.1000000000004</v>
      </c>
      <c r="AC40" s="13" cm="1">
        <f t="array" ref="AC40">_xll.BDH("PCAR US Equity","BS_ACCRUAL","FQ1 2025","FQ1 2025","Currency=USD","Period=FQ","BEST_FPERIOD_OVERRIDE=FQ","FILING_STATUS=MR","SCALING_FORMAT=MLN","Sort=A","Dates=H","DateFormat=P","Fill=—","Direction=H","UseDPDF=Y")</f>
        <v>6229.2</v>
      </c>
      <c r="AD40" s="13" cm="1">
        <f t="array" ref="AD40">_xll.BDH("PCAR US Equity","BS_ACCRUAL","FQ2 2025","FQ2 2025","Currency=USD","Period=FQ","BEST_FPERIOD_OVERRIDE=FQ","FILING_STATUS=MR","SCALING_FORMAT=MLN","Sort=A","Dates=H","DateFormat=P","Fill=—","Direction=H","UseDPDF=Y")</f>
        <v>6248.5</v>
      </c>
      <c r="AE40" s="13" cm="1">
        <f t="array" ref="AE40">_xll.BDH("PCAR US Equity","BS_ACCRUAL","FQ3 2025","FQ3 2025","Currency=USD","Period=FQ","BEST_FPERIOD_OVERRIDE=FQ","FILING_STATUS=MR","SCALING_FORMAT=MLN","Sort=A","Dates=H","DateFormat=P","Fill=—","Direction=H","UseDPDF=Y")</f>
        <v>6071.5</v>
      </c>
      <c r="AF40" s="13" cm="1">
        <f t="array" ref="AF40">_xll.BDH("PCAR US Equity","BS_ACCRUAL","FQ4 2025","FQ4 2025","Currency=USD","Period=FQ","BEST_FPERIOD_OVERRIDE=FQ","FILING_STATUS=MR","SCALING_FORMAT=MLN","Sort=A","Dates=H","DateFormat=P","Fill=—","Direction=H","UseDPDF=Y")</f>
        <v>7890.9</v>
      </c>
    </row>
    <row r="41" spans="1:32" x14ac:dyDescent="0.25">
      <c r="A41" s="10" t="s">
        <v>129</v>
      </c>
      <c r="B41" s="10" t="s">
        <v>130</v>
      </c>
      <c r="C41" s="13" cm="1">
        <f t="array" ref="C41">_xll.BDH("PCAR US Equity","BS_ST_BORROW","FQ3 2018","FQ3 2018","Currency=USD","Period=FQ","BEST_FPERIOD_OVERRIDE=FQ","FILING_STATUS=MR","SCALING_FORMAT=MLN","Sort=A","Dates=H","DateFormat=P","Fill=—","Direction=H","UseDPDF=Y")</f>
        <v>3002.2</v>
      </c>
      <c r="D41" s="13" cm="1">
        <f t="array" ref="D41">_xll.BDH("PCAR US Equity","BS_ST_BORROW","FQ4 2018","FQ4 2018","Currency=USD","Period=FQ","BEST_FPERIOD_OVERRIDE=FQ","FILING_STATUS=MR","SCALING_FORMAT=MLN","Sort=A","Dates=H","DateFormat=P","Fill=—","Direction=H","UseDPDF=Y")</f>
        <v>3540.8</v>
      </c>
      <c r="E41" s="13" cm="1">
        <f t="array" ref="E41">_xll.BDH("PCAR US Equity","BS_ST_BORROW","FQ1 2019","FQ1 2019","Currency=USD","Period=FQ","BEST_FPERIOD_OVERRIDE=FQ","FILING_STATUS=MR","SCALING_FORMAT=MLN","Sort=A","Dates=H","DateFormat=P","Fill=—","Direction=H","UseDPDF=Y")</f>
        <v>3439.9</v>
      </c>
      <c r="F41" s="13" cm="1">
        <f t="array" ref="F41">_xll.BDH("PCAR US Equity","BS_ST_BORROW","FQ2 2019","FQ2 2019","Currency=USD","Period=FQ","BEST_FPERIOD_OVERRIDE=FQ","FILING_STATUS=MR","SCALING_FORMAT=MLN","Sort=A","Dates=H","DateFormat=P","Fill=—","Direction=H","UseDPDF=Y")</f>
        <v>3915.5</v>
      </c>
      <c r="G41" s="13" cm="1">
        <f t="array" ref="G41">_xll.BDH("PCAR US Equity","BS_ST_BORROW","FQ3 2019","FQ3 2019","Currency=USD","Period=FQ","BEST_FPERIOD_OVERRIDE=FQ","FILING_STATUS=MR","SCALING_FORMAT=MLN","Sort=A","Dates=H","DateFormat=P","Fill=—","Direction=H","UseDPDF=Y")</f>
        <v>4155</v>
      </c>
      <c r="H41" s="13" cm="1">
        <f t="array" ref="H41">_xll.BDH("PCAR US Equity","BS_ST_BORROW","FQ4 2019","FQ4 2019","Currency=USD","Period=FQ","BEST_FPERIOD_OVERRIDE=FQ","FILING_STATUS=MR","SCALING_FORMAT=MLN","Sort=A","Dates=H","DateFormat=P","Fill=—","Direction=H","UseDPDF=Y")</f>
        <v>4125.3999999999996</v>
      </c>
      <c r="I41" s="13" cm="1">
        <f t="array" ref="I41">_xll.BDH("PCAR US Equity","BS_ST_BORROW","FQ1 2020","FQ1 2020","Currency=USD","Period=FQ","BEST_FPERIOD_OVERRIDE=FQ","FILING_STATUS=MR","SCALING_FORMAT=MLN","Sort=A","Dates=H","DateFormat=P","Fill=—","Direction=H","UseDPDF=Y")</f>
        <v>3912.5</v>
      </c>
      <c r="J41" s="13" cm="1">
        <f t="array" ref="J41">_xll.BDH("PCAR US Equity","BS_ST_BORROW","FQ2 2020","FQ2 2020","Currency=USD","Period=FQ","BEST_FPERIOD_OVERRIDE=FQ","FILING_STATUS=MR","SCALING_FORMAT=MLN","Sort=A","Dates=H","DateFormat=P","Fill=—","Direction=H","UseDPDF=Y")</f>
        <v>2979.8</v>
      </c>
      <c r="K41" s="13" cm="1">
        <f t="array" ref="K41">_xll.BDH("PCAR US Equity","BS_ST_BORROW","FQ3 2020","FQ3 2020","Currency=USD","Period=FQ","BEST_FPERIOD_OVERRIDE=FQ","FILING_STATUS=MR","SCALING_FORMAT=MLN","Sort=A","Dates=H","DateFormat=P","Fill=—","Direction=H","UseDPDF=Y")</f>
        <v>2615.9</v>
      </c>
      <c r="L41" s="13" cm="1">
        <f t="array" ref="L41">_xll.BDH("PCAR US Equity","BS_ST_BORROW","FQ4 2020","FQ4 2020","Currency=USD","Period=FQ","BEST_FPERIOD_OVERRIDE=FQ","FILING_STATUS=MR","SCALING_FORMAT=MLN","Sort=A","Dates=H","DateFormat=P","Fill=—","Direction=H","UseDPDF=Y")</f>
        <v>3358.3</v>
      </c>
      <c r="M41" s="13" cm="1">
        <f t="array" ref="M41">_xll.BDH("PCAR US Equity","BS_ST_BORROW","FQ1 2021","FQ1 2021","Currency=USD","Period=FQ","BEST_FPERIOD_OVERRIDE=FQ","FILING_STATUS=MR","SCALING_FORMAT=MLN","Sort=A","Dates=H","DateFormat=P","Fill=—","Direction=H","UseDPDF=Y")</f>
        <v>3042.9</v>
      </c>
      <c r="N41" s="13" cm="1">
        <f t="array" ref="N41">_xll.BDH("PCAR US Equity","BS_ST_BORROW","FQ2 2021","FQ2 2021","Currency=USD","Period=FQ","BEST_FPERIOD_OVERRIDE=FQ","FILING_STATUS=MR","SCALING_FORMAT=MLN","Sort=A","Dates=H","DateFormat=P","Fill=—","Direction=H","UseDPDF=Y")</f>
        <v>3409.9</v>
      </c>
      <c r="O41" s="13" cm="1">
        <f t="array" ref="O41">_xll.BDH("PCAR US Equity","BS_ST_BORROW","FQ3 2021","FQ3 2021","Currency=USD","Period=FQ","BEST_FPERIOD_OVERRIDE=FQ","FILING_STATUS=MR","SCALING_FORMAT=MLN","Sort=A","Dates=H","DateFormat=P","Fill=—","Direction=H","UseDPDF=Y")</f>
        <v>3005.6</v>
      </c>
      <c r="P41" s="13" cm="1">
        <f t="array" ref="P41">_xll.BDH("PCAR US Equity","BS_ST_BORROW","FQ4 2021","FQ4 2021","Currency=USD","Period=FQ","BEST_FPERIOD_OVERRIDE=FQ","FILING_STATUS=MR","SCALING_FORMAT=MLN","Sort=A","Dates=H","DateFormat=P","Fill=—","Direction=H","UseDPDF=Y")</f>
        <v>3317.6</v>
      </c>
      <c r="Q41" s="13" cm="1">
        <f t="array" ref="Q41">_xll.BDH("PCAR US Equity","BS_ST_BORROW","FQ1 2022","FQ1 2022","Currency=USD","Period=FQ","BEST_FPERIOD_OVERRIDE=FQ","FILING_STATUS=MR","SCALING_FORMAT=MLN","Sort=A","Dates=H","DateFormat=P","Fill=—","Direction=H","UseDPDF=Y")</f>
        <v>3762.6</v>
      </c>
      <c r="R41" s="13" cm="1">
        <f t="array" ref="R41">_xll.BDH("PCAR US Equity","BS_ST_BORROW","FQ2 2022","FQ2 2022","Currency=USD","Period=FQ","BEST_FPERIOD_OVERRIDE=FQ","FILING_STATUS=MR","SCALING_FORMAT=MLN","Sort=A","Dates=H","DateFormat=P","Fill=—","Direction=H","UseDPDF=Y")</f>
        <v>3270.5</v>
      </c>
      <c r="S41" s="13" cm="1">
        <f t="array" ref="S41">_xll.BDH("PCAR US Equity","BS_ST_BORROW","FQ3 2022","FQ3 2022","Currency=USD","Period=FQ","BEST_FPERIOD_OVERRIDE=FQ","FILING_STATUS=MR","SCALING_FORMAT=MLN","Sort=A","Dates=H","DateFormat=P","Fill=—","Direction=H","UseDPDF=Y")</f>
        <v>3295.6</v>
      </c>
      <c r="T41" s="13" cm="1">
        <f t="array" ref="T41">_xll.BDH("PCAR US Equity","BS_ST_BORROW","FQ4 2022","FQ4 2022","Currency=USD","Period=FQ","BEST_FPERIOD_OVERRIDE=FQ","FILING_STATUS=MR","SCALING_FORMAT=MLN","Sort=A","Dates=H","DateFormat=P","Fill=—","Direction=H","UseDPDF=Y")</f>
        <v>3618.4</v>
      </c>
      <c r="U41" s="13" cm="1">
        <f t="array" ref="U41">_xll.BDH("PCAR US Equity","BS_ST_BORROW","FQ1 2023","FQ1 2023","Currency=USD","Period=FQ","BEST_FPERIOD_OVERRIDE=FQ","FILING_STATUS=MR","SCALING_FORMAT=MLN","Sort=A","Dates=H","DateFormat=P","Fill=—","Direction=H","UseDPDF=Y")</f>
        <v>3858.8</v>
      </c>
      <c r="V41" s="13" cm="1">
        <f t="array" ref="V41">_xll.BDH("PCAR US Equity","BS_ST_BORROW","FQ2 2023","FQ2 2023","Currency=USD","Period=FQ","BEST_FPERIOD_OVERRIDE=FQ","FILING_STATUS=MR","SCALING_FORMAT=MLN","Sort=A","Dates=H","DateFormat=P","Fill=—","Direction=H","UseDPDF=Y")</f>
        <v>4637</v>
      </c>
      <c r="W41" s="13" cm="1">
        <f t="array" ref="W41">_xll.BDH("PCAR US Equity","BS_ST_BORROW","FQ3 2023","FQ3 2023","Currency=USD","Period=FQ","BEST_FPERIOD_OVERRIDE=FQ","FILING_STATUS=MR","SCALING_FORMAT=MLN","Sort=A","Dates=H","DateFormat=P","Fill=—","Direction=H","UseDPDF=Y")</f>
        <v>5019.2</v>
      </c>
      <c r="X41" s="13" cm="1">
        <f t="array" ref="X41">_xll.BDH("PCAR US Equity","BS_ST_BORROW","FQ4 2023","FQ4 2023","Currency=USD","Period=FQ","BEST_FPERIOD_OVERRIDE=FQ","FILING_STATUS=MR","SCALING_FORMAT=MLN","Sort=A","Dates=H","DateFormat=P","Fill=—","Direction=H","UseDPDF=Y")</f>
        <v>5626.7</v>
      </c>
      <c r="Y41" s="13" cm="1">
        <f t="array" ref="Y41">_xll.BDH("PCAR US Equity","BS_ST_BORROW","FQ1 2024","FQ1 2024","Currency=USD","Period=FQ","BEST_FPERIOD_OVERRIDE=FQ","FILING_STATUS=MR","SCALING_FORMAT=MLN","Sort=A","Dates=H","DateFormat=P","Fill=—","Direction=H","UseDPDF=Y")</f>
        <v>4914.8</v>
      </c>
      <c r="Z41" s="13" cm="1">
        <f t="array" ref="Z41">_xll.BDH("PCAR US Equity","BS_ST_BORROW","FQ2 2024","FQ2 2024","Currency=USD","Period=FQ","BEST_FPERIOD_OVERRIDE=FQ","FILING_STATUS=MR","SCALING_FORMAT=MLN","Sort=A","Dates=H","DateFormat=P","Fill=—","Direction=H","UseDPDF=Y")</f>
        <v>5251.8</v>
      </c>
      <c r="AA41" s="13" cm="1">
        <f t="array" ref="AA41">_xll.BDH("PCAR US Equity","BS_ST_BORROW","FQ3 2024","FQ3 2024","Currency=USD","Period=FQ","BEST_FPERIOD_OVERRIDE=FQ","FILING_STATUS=MR","SCALING_FORMAT=MLN","Sort=A","Dates=H","DateFormat=P","Fill=—","Direction=H","UseDPDF=Y")</f>
        <v>5496.6</v>
      </c>
      <c r="AB41" s="13" cm="1">
        <f t="array" ref="AB41">_xll.BDH("PCAR US Equity","BS_ST_BORROW","FQ4 2024","FQ4 2024","Currency=USD","Period=FQ","BEST_FPERIOD_OVERRIDE=FQ","FILING_STATUS=MR","SCALING_FORMAT=MLN","Sort=A","Dates=H","DateFormat=P","Fill=—","Direction=H","UseDPDF=Y")</f>
        <v>6022.5</v>
      </c>
      <c r="AC41" s="13" cm="1">
        <f t="array" ref="AC41">_xll.BDH("PCAR US Equity","BS_ST_BORROW","FQ1 2025","FQ1 2025","Currency=USD","Period=FQ","BEST_FPERIOD_OVERRIDE=FQ","FILING_STATUS=MR","SCALING_FORMAT=MLN","Sort=A","Dates=H","DateFormat=P","Fill=—","Direction=H","UseDPDF=Y")</f>
        <v>5687.4</v>
      </c>
      <c r="AD41" s="13" cm="1">
        <f t="array" ref="AD41">_xll.BDH("PCAR US Equity","BS_ST_BORROW","FQ2 2025","FQ2 2025","Currency=USD","Period=FQ","BEST_FPERIOD_OVERRIDE=FQ","FILING_STATUS=MR","SCALING_FORMAT=MLN","Sort=A","Dates=H","DateFormat=P","Fill=—","Direction=H","UseDPDF=Y")</f>
        <v>5100.8</v>
      </c>
      <c r="AE41" s="13" cm="1">
        <f t="array" ref="AE41">_xll.BDH("PCAR US Equity","BS_ST_BORROW","FQ3 2025","FQ3 2025","Currency=USD","Period=FQ","BEST_FPERIOD_OVERRIDE=FQ","FILING_STATUS=MR","SCALING_FORMAT=MLN","Sort=A","Dates=H","DateFormat=P","Fill=—","Direction=H","UseDPDF=Y")</f>
        <v>5078.3999999999996</v>
      </c>
      <c r="AF41" s="13" t="str" cm="1">
        <f t="array" ref="AF41">_xll.BDH("PCAR US Equity","BS_ST_BORROW","FQ4 2025","FQ4 2025","Currency=USD","Period=FQ","BEST_FPERIOD_OVERRIDE=FQ","FILING_STATUS=MR","SCALING_FORMAT=MLN","Sort=A","Dates=H","DateFormat=P","Fill=—","Direction=H","UseDPDF=Y")</f>
        <v>—</v>
      </c>
    </row>
    <row r="42" spans="1:32" x14ac:dyDescent="0.25">
      <c r="A42" s="10" t="s">
        <v>131</v>
      </c>
      <c r="B42" s="10" t="s">
        <v>132</v>
      </c>
      <c r="C42" s="13" cm="1">
        <f t="array" ref="C42">_xll.BDH("PCAR US Equity","SHORT_TERM_DEBT_DETAILED","FQ3 2018","FQ3 2018","Currency=USD","Period=FQ","BEST_FPERIOD_OVERRIDE=FQ","FILING_STATUS=MR","SCALING_FORMAT=MLN","Sort=A","Dates=H","DateFormat=P","Fill=—","Direction=H","UseDPDF=Y")</f>
        <v>3002.2</v>
      </c>
      <c r="D42" s="13" cm="1">
        <f t="array" ref="D42">_xll.BDH("PCAR US Equity","SHORT_TERM_DEBT_DETAILED","FQ4 2018","FQ4 2018","Currency=USD","Period=FQ","BEST_FPERIOD_OVERRIDE=FQ","FILING_STATUS=MR","SCALING_FORMAT=MLN","Sort=A","Dates=H","DateFormat=P","Fill=—","Direction=H","UseDPDF=Y")</f>
        <v>0</v>
      </c>
      <c r="E42" s="13" cm="1">
        <f t="array" ref="E42">_xll.BDH("PCAR US Equity","SHORT_TERM_DEBT_DETAILED","FQ1 2019","FQ1 2019","Currency=USD","Period=FQ","BEST_FPERIOD_OVERRIDE=FQ","FILING_STATUS=MR","SCALING_FORMAT=MLN","Sort=A","Dates=H","DateFormat=P","Fill=—","Direction=H","UseDPDF=Y")</f>
        <v>3424.8</v>
      </c>
      <c r="F42" s="13" cm="1">
        <f t="array" ref="F42">_xll.BDH("PCAR US Equity","SHORT_TERM_DEBT_DETAILED","FQ2 2019","FQ2 2019","Currency=USD","Period=FQ","BEST_FPERIOD_OVERRIDE=FQ","FILING_STATUS=MR","SCALING_FORMAT=MLN","Sort=A","Dates=H","DateFormat=P","Fill=—","Direction=H","UseDPDF=Y")</f>
        <v>3900</v>
      </c>
      <c r="G42" s="13" cm="1">
        <f t="array" ref="G42">_xll.BDH("PCAR US Equity","SHORT_TERM_DEBT_DETAILED","FQ3 2019","FQ3 2019","Currency=USD","Period=FQ","BEST_FPERIOD_OVERRIDE=FQ","FILING_STATUS=MR","SCALING_FORMAT=MLN","Sort=A","Dates=H","DateFormat=P","Fill=—","Direction=H","UseDPDF=Y")</f>
        <v>4140</v>
      </c>
      <c r="H42" s="13" cm="1">
        <f t="array" ref="H42">_xll.BDH("PCAR US Equity","SHORT_TERM_DEBT_DETAILED","FQ4 2019","FQ4 2019","Currency=USD","Period=FQ","BEST_FPERIOD_OVERRIDE=FQ","FILING_STATUS=MR","SCALING_FORMAT=MLN","Sort=A","Dates=H","DateFormat=P","Fill=—","Direction=H","UseDPDF=Y")</f>
        <v>0</v>
      </c>
      <c r="I42" s="13" cm="1">
        <f t="array" ref="I42">_xll.BDH("PCAR US Equity","SHORT_TERM_DEBT_DETAILED","FQ1 2020","FQ1 2020","Currency=USD","Period=FQ","BEST_FPERIOD_OVERRIDE=FQ","FILING_STATUS=MR","SCALING_FORMAT=MLN","Sort=A","Dates=H","DateFormat=P","Fill=—","Direction=H","UseDPDF=Y")</f>
        <v>3912.5</v>
      </c>
      <c r="J42" s="13" cm="1">
        <f t="array" ref="J42">_xll.BDH("PCAR US Equity","SHORT_TERM_DEBT_DETAILED","FQ2 2020","FQ2 2020","Currency=USD","Period=FQ","BEST_FPERIOD_OVERRIDE=FQ","FILING_STATUS=MR","SCALING_FORMAT=MLN","Sort=A","Dates=H","DateFormat=P","Fill=—","Direction=H","UseDPDF=Y")</f>
        <v>2979.8</v>
      </c>
      <c r="K42" s="13" cm="1">
        <f t="array" ref="K42">_xll.BDH("PCAR US Equity","SHORT_TERM_DEBT_DETAILED","FQ3 2020","FQ3 2020","Currency=USD","Period=FQ","BEST_FPERIOD_OVERRIDE=FQ","FILING_STATUS=MR","SCALING_FORMAT=MLN","Sort=A","Dates=H","DateFormat=P","Fill=—","Direction=H","UseDPDF=Y")</f>
        <v>2615.9</v>
      </c>
      <c r="L42" s="13" cm="1">
        <f t="array" ref="L42">_xll.BDH("PCAR US Equity","SHORT_TERM_DEBT_DETAILED","FQ4 2020","FQ4 2020","Currency=USD","Period=FQ","BEST_FPERIOD_OVERRIDE=FQ","FILING_STATUS=MR","SCALING_FORMAT=MLN","Sort=A","Dates=H","DateFormat=P","Fill=—","Direction=H","UseDPDF=Y")</f>
        <v>0</v>
      </c>
      <c r="M42" s="13" cm="1">
        <f t="array" ref="M42">_xll.BDH("PCAR US Equity","SHORT_TERM_DEBT_DETAILED","FQ1 2021","FQ1 2021","Currency=USD","Period=FQ","BEST_FPERIOD_OVERRIDE=FQ","FILING_STATUS=MR","SCALING_FORMAT=MLN","Sort=A","Dates=H","DateFormat=P","Fill=—","Direction=H","UseDPDF=Y")</f>
        <v>3042.9</v>
      </c>
      <c r="N42" s="13" cm="1">
        <f t="array" ref="N42">_xll.BDH("PCAR US Equity","SHORT_TERM_DEBT_DETAILED","FQ2 2021","FQ2 2021","Currency=USD","Period=FQ","BEST_FPERIOD_OVERRIDE=FQ","FILING_STATUS=MR","SCALING_FORMAT=MLN","Sort=A","Dates=H","DateFormat=P","Fill=—","Direction=H","UseDPDF=Y")</f>
        <v>3409.9</v>
      </c>
      <c r="O42" s="13" cm="1">
        <f t="array" ref="O42">_xll.BDH("PCAR US Equity","SHORT_TERM_DEBT_DETAILED","FQ3 2021","FQ3 2021","Currency=USD","Period=FQ","BEST_FPERIOD_OVERRIDE=FQ","FILING_STATUS=MR","SCALING_FORMAT=MLN","Sort=A","Dates=H","DateFormat=P","Fill=—","Direction=H","UseDPDF=Y")</f>
        <v>3005.6</v>
      </c>
      <c r="P42" s="13" cm="1">
        <f t="array" ref="P42">_xll.BDH("PCAR US Equity","SHORT_TERM_DEBT_DETAILED","FQ4 2021","FQ4 2021","Currency=USD","Period=FQ","BEST_FPERIOD_OVERRIDE=FQ","FILING_STATUS=MR","SCALING_FORMAT=MLN","Sort=A","Dates=H","DateFormat=P","Fill=—","Direction=H","UseDPDF=Y")</f>
        <v>0</v>
      </c>
      <c r="Q42" s="13" cm="1">
        <f t="array" ref="Q42">_xll.BDH("PCAR US Equity","SHORT_TERM_DEBT_DETAILED","FQ1 2022","FQ1 2022","Currency=USD","Period=FQ","BEST_FPERIOD_OVERRIDE=FQ","FILING_STATUS=MR","SCALING_FORMAT=MLN","Sort=A","Dates=H","DateFormat=P","Fill=—","Direction=H","UseDPDF=Y")</f>
        <v>3762.6</v>
      </c>
      <c r="R42" s="13" cm="1">
        <f t="array" ref="R42">_xll.BDH("PCAR US Equity","SHORT_TERM_DEBT_DETAILED","FQ2 2022","FQ2 2022","Currency=USD","Period=FQ","BEST_FPERIOD_OVERRIDE=FQ","FILING_STATUS=MR","SCALING_FORMAT=MLN","Sort=A","Dates=H","DateFormat=P","Fill=—","Direction=H","UseDPDF=Y")</f>
        <v>3270.5</v>
      </c>
      <c r="S42" s="13" cm="1">
        <f t="array" ref="S42">_xll.BDH("PCAR US Equity","SHORT_TERM_DEBT_DETAILED","FQ3 2022","FQ3 2022","Currency=USD","Period=FQ","BEST_FPERIOD_OVERRIDE=FQ","FILING_STATUS=MR","SCALING_FORMAT=MLN","Sort=A","Dates=H","DateFormat=P","Fill=—","Direction=H","UseDPDF=Y")</f>
        <v>3295.6</v>
      </c>
      <c r="T42" s="13" cm="1">
        <f t="array" ref="T42">_xll.BDH("PCAR US Equity","SHORT_TERM_DEBT_DETAILED","FQ4 2022","FQ4 2022","Currency=USD","Period=FQ","BEST_FPERIOD_OVERRIDE=FQ","FILING_STATUS=MR","SCALING_FORMAT=MLN","Sort=A","Dates=H","DateFormat=P","Fill=—","Direction=H","UseDPDF=Y")</f>
        <v>0</v>
      </c>
      <c r="U42" s="13" cm="1">
        <f t="array" ref="U42">_xll.BDH("PCAR US Equity","SHORT_TERM_DEBT_DETAILED","FQ1 2023","FQ1 2023","Currency=USD","Period=FQ","BEST_FPERIOD_OVERRIDE=FQ","FILING_STATUS=MR","SCALING_FORMAT=MLN","Sort=A","Dates=H","DateFormat=P","Fill=—","Direction=H","UseDPDF=Y")</f>
        <v>3858.8</v>
      </c>
      <c r="V42" s="13" cm="1">
        <f t="array" ref="V42">_xll.BDH("PCAR US Equity","SHORT_TERM_DEBT_DETAILED","FQ2 2023","FQ2 2023","Currency=USD","Period=FQ","BEST_FPERIOD_OVERRIDE=FQ","FILING_STATUS=MR","SCALING_FORMAT=MLN","Sort=A","Dates=H","DateFormat=P","Fill=—","Direction=H","UseDPDF=Y")</f>
        <v>4637</v>
      </c>
      <c r="W42" s="13" cm="1">
        <f t="array" ref="W42">_xll.BDH("PCAR US Equity","SHORT_TERM_DEBT_DETAILED","FQ3 2023","FQ3 2023","Currency=USD","Period=FQ","BEST_FPERIOD_OVERRIDE=FQ","FILING_STATUS=MR","SCALING_FORMAT=MLN","Sort=A","Dates=H","DateFormat=P","Fill=—","Direction=H","UseDPDF=Y")</f>
        <v>5019.2</v>
      </c>
      <c r="X42" s="13" cm="1">
        <f t="array" ref="X42">_xll.BDH("PCAR US Equity","SHORT_TERM_DEBT_DETAILED","FQ4 2023","FQ4 2023","Currency=USD","Period=FQ","BEST_FPERIOD_OVERRIDE=FQ","FILING_STATUS=MR","SCALING_FORMAT=MLN","Sort=A","Dates=H","DateFormat=P","Fill=—","Direction=H","UseDPDF=Y")</f>
        <v>0</v>
      </c>
      <c r="Y42" s="13" cm="1">
        <f t="array" ref="Y42">_xll.BDH("PCAR US Equity","SHORT_TERM_DEBT_DETAILED","FQ1 2024","FQ1 2024","Currency=USD","Period=FQ","BEST_FPERIOD_OVERRIDE=FQ","FILING_STATUS=MR","SCALING_FORMAT=MLN","Sort=A","Dates=H","DateFormat=P","Fill=—","Direction=H","UseDPDF=Y")</f>
        <v>4914.8</v>
      </c>
      <c r="Z42" s="13" cm="1">
        <f t="array" ref="Z42">_xll.BDH("PCAR US Equity","SHORT_TERM_DEBT_DETAILED","FQ2 2024","FQ2 2024","Currency=USD","Period=FQ","BEST_FPERIOD_OVERRIDE=FQ","FILING_STATUS=MR","SCALING_FORMAT=MLN","Sort=A","Dates=H","DateFormat=P","Fill=—","Direction=H","UseDPDF=Y")</f>
        <v>5251.8</v>
      </c>
      <c r="AA42" s="13" cm="1">
        <f t="array" ref="AA42">_xll.BDH("PCAR US Equity","SHORT_TERM_DEBT_DETAILED","FQ3 2024","FQ3 2024","Currency=USD","Period=FQ","BEST_FPERIOD_OVERRIDE=FQ","FILING_STATUS=MR","SCALING_FORMAT=MLN","Sort=A","Dates=H","DateFormat=P","Fill=—","Direction=H","UseDPDF=Y")</f>
        <v>5496.6</v>
      </c>
      <c r="AB42" s="13" cm="1">
        <f t="array" ref="AB42">_xll.BDH("PCAR US Equity","SHORT_TERM_DEBT_DETAILED","FQ4 2024","FQ4 2024","Currency=USD","Period=FQ","BEST_FPERIOD_OVERRIDE=FQ","FILING_STATUS=MR","SCALING_FORMAT=MLN","Sort=A","Dates=H","DateFormat=P","Fill=—","Direction=H","UseDPDF=Y")</f>
        <v>0</v>
      </c>
      <c r="AC42" s="13" cm="1">
        <f t="array" ref="AC42">_xll.BDH("PCAR US Equity","SHORT_TERM_DEBT_DETAILED","FQ1 2025","FQ1 2025","Currency=USD","Period=FQ","BEST_FPERIOD_OVERRIDE=FQ","FILING_STATUS=MR","SCALING_FORMAT=MLN","Sort=A","Dates=H","DateFormat=P","Fill=—","Direction=H","UseDPDF=Y")</f>
        <v>5687.4</v>
      </c>
      <c r="AD42" s="13" cm="1">
        <f t="array" ref="AD42">_xll.BDH("PCAR US Equity","SHORT_TERM_DEBT_DETAILED","FQ2 2025","FQ2 2025","Currency=USD","Period=FQ","BEST_FPERIOD_OVERRIDE=FQ","FILING_STATUS=MR","SCALING_FORMAT=MLN","Sort=A","Dates=H","DateFormat=P","Fill=—","Direction=H","UseDPDF=Y")</f>
        <v>5100.8</v>
      </c>
      <c r="AE42" s="13" cm="1">
        <f t="array" ref="AE42">_xll.BDH("PCAR US Equity","SHORT_TERM_DEBT_DETAILED","FQ3 2025","FQ3 2025","Currency=USD","Period=FQ","BEST_FPERIOD_OVERRIDE=FQ","FILING_STATUS=MR","SCALING_FORMAT=MLN","Sort=A","Dates=H","DateFormat=P","Fill=—","Direction=H","UseDPDF=Y")</f>
        <v>5078.3999999999996</v>
      </c>
      <c r="AF42" s="13" t="str" cm="1">
        <f t="array" ref="AF42">_xll.BDH("PCAR US Equity","SHORT_TERM_DEBT_DETAILED","FQ4 2025","FQ4 2025","Currency=USD","Period=FQ","BEST_FPERIOD_OVERRIDE=FQ","FILING_STATUS=MR","SCALING_FORMAT=MLN","Sort=A","Dates=H","DateFormat=P","Fill=—","Direction=H","UseDPDF=Y")</f>
        <v>—</v>
      </c>
    </row>
    <row r="43" spans="1:32" x14ac:dyDescent="0.25">
      <c r="A43" s="10" t="s">
        <v>133</v>
      </c>
      <c r="B43" s="10" t="s">
        <v>134</v>
      </c>
      <c r="C43" s="13" t="str" cm="1">
        <f t="array" ref="C43">_xll.BDH("PCAR US Equity","ST_CAPITALIZED_LEASE_LIABILITIES","FQ3 2018","FQ3 2018","Currency=USD","Period=FQ","BEST_FPERIOD_OVERRIDE=FQ","FILING_STATUS=MR","SCALING_FORMAT=MLN","Sort=A","Dates=H","DateFormat=P","Fill=—","Direction=H","UseDPDF=Y")</f>
        <v>—</v>
      </c>
      <c r="D43" s="13" cm="1">
        <f t="array" ref="D43">_xll.BDH("PCAR US Equity","ST_CAPITALIZED_LEASE_LIABILITIES","FQ4 2018","FQ4 2018","Currency=USD","Period=FQ","BEST_FPERIOD_OVERRIDE=FQ","FILING_STATUS=MR","SCALING_FORMAT=MLN","Sort=A","Dates=H","DateFormat=P","Fill=—","Direction=H","UseDPDF=Y")</f>
        <v>0</v>
      </c>
      <c r="E43" s="13" cm="1">
        <f t="array" ref="E43">_xll.BDH("PCAR US Equity","ST_CAPITALIZED_LEASE_LIABILITIES","FQ1 2019","FQ1 2019","Currency=USD","Period=FQ","BEST_FPERIOD_OVERRIDE=FQ","FILING_STATUS=MR","SCALING_FORMAT=MLN","Sort=A","Dates=H","DateFormat=P","Fill=—","Direction=H","UseDPDF=Y")</f>
        <v>15.1</v>
      </c>
      <c r="F43" s="13" cm="1">
        <f t="array" ref="F43">_xll.BDH("PCAR US Equity","ST_CAPITALIZED_LEASE_LIABILITIES","FQ2 2019","FQ2 2019","Currency=USD","Period=FQ","BEST_FPERIOD_OVERRIDE=FQ","FILING_STATUS=MR","SCALING_FORMAT=MLN","Sort=A","Dates=H","DateFormat=P","Fill=—","Direction=H","UseDPDF=Y")</f>
        <v>15.5</v>
      </c>
      <c r="G43" s="13" cm="1">
        <f t="array" ref="G43">_xll.BDH("PCAR US Equity","ST_CAPITALIZED_LEASE_LIABILITIES","FQ3 2019","FQ3 2019","Currency=USD","Period=FQ","BEST_FPERIOD_OVERRIDE=FQ","FILING_STATUS=MR","SCALING_FORMAT=MLN","Sort=A","Dates=H","DateFormat=P","Fill=—","Direction=H","UseDPDF=Y")</f>
        <v>15</v>
      </c>
      <c r="H43" s="13" cm="1">
        <f t="array" ref="H43">_xll.BDH("PCAR US Equity","ST_CAPITALIZED_LEASE_LIABILITIES","FQ4 2019","FQ4 2019","Currency=USD","Period=FQ","BEST_FPERIOD_OVERRIDE=FQ","FILING_STATUS=MR","SCALING_FORMAT=MLN","Sort=A","Dates=H","DateFormat=P","Fill=—","Direction=H","UseDPDF=Y")</f>
        <v>15.2</v>
      </c>
      <c r="I43" s="13" t="str" cm="1">
        <f t="array" ref="I43">_xll.BDH("PCAR US Equity","ST_CAPITALIZED_LEASE_LIABILITIES","FQ1 2020","FQ1 2020","Currency=USD","Period=FQ","BEST_FPERIOD_OVERRIDE=FQ","FILING_STATUS=MR","SCALING_FORMAT=MLN","Sort=A","Dates=H","DateFormat=P","Fill=—","Direction=H","UseDPDF=Y")</f>
        <v>—</v>
      </c>
      <c r="J43" s="13" t="str" cm="1">
        <f t="array" ref="J43">_xll.BDH("PCAR US Equity","ST_CAPITALIZED_LEASE_LIABILITIES","FQ2 2020","FQ2 2020","Currency=USD","Period=FQ","BEST_FPERIOD_OVERRIDE=FQ","FILING_STATUS=MR","SCALING_FORMAT=MLN","Sort=A","Dates=H","DateFormat=P","Fill=—","Direction=H","UseDPDF=Y")</f>
        <v>—</v>
      </c>
      <c r="K43" s="13" t="str" cm="1">
        <f t="array" ref="K43">_xll.BDH("PCAR US Equity","ST_CAPITALIZED_LEASE_LIABILITIES","FQ3 2020","FQ3 2020","Currency=USD","Period=FQ","BEST_FPERIOD_OVERRIDE=FQ","FILING_STATUS=MR","SCALING_FORMAT=MLN","Sort=A","Dates=H","DateFormat=P","Fill=—","Direction=H","UseDPDF=Y")</f>
        <v>—</v>
      </c>
      <c r="L43" s="13" cm="1">
        <f t="array" ref="L43">_xll.BDH("PCAR US Equity","ST_CAPITALIZED_LEASE_LIABILITIES","FQ4 2020","FQ4 2020","Currency=USD","Period=FQ","BEST_FPERIOD_OVERRIDE=FQ","FILING_STATUS=MR","SCALING_FORMAT=MLN","Sort=A","Dates=H","DateFormat=P","Fill=—","Direction=H","UseDPDF=Y")</f>
        <v>13.9</v>
      </c>
      <c r="M43" s="13" t="str" cm="1">
        <f t="array" ref="M43">_xll.BDH("PCAR US Equity","ST_CAPITALIZED_LEASE_LIABILITIES","FQ1 2021","FQ1 2021","Currency=USD","Period=FQ","BEST_FPERIOD_OVERRIDE=FQ","FILING_STATUS=MR","SCALING_FORMAT=MLN","Sort=A","Dates=H","DateFormat=P","Fill=—","Direction=H","UseDPDF=Y")</f>
        <v>—</v>
      </c>
      <c r="N43" s="13" t="str" cm="1">
        <f t="array" ref="N43">_xll.BDH("PCAR US Equity","ST_CAPITALIZED_LEASE_LIABILITIES","FQ2 2021","FQ2 2021","Currency=USD","Period=FQ","BEST_FPERIOD_OVERRIDE=FQ","FILING_STATUS=MR","SCALING_FORMAT=MLN","Sort=A","Dates=H","DateFormat=P","Fill=—","Direction=H","UseDPDF=Y")</f>
        <v>—</v>
      </c>
      <c r="O43" s="13" t="str" cm="1">
        <f t="array" ref="O43">_xll.BDH("PCAR US Equity","ST_CAPITALIZED_LEASE_LIABILITIES","FQ3 2021","FQ3 2021","Currency=USD","Period=FQ","BEST_FPERIOD_OVERRIDE=FQ","FILING_STATUS=MR","SCALING_FORMAT=MLN","Sort=A","Dates=H","DateFormat=P","Fill=—","Direction=H","UseDPDF=Y")</f>
        <v>—</v>
      </c>
      <c r="P43" s="13" cm="1">
        <f t="array" ref="P43">_xll.BDH("PCAR US Equity","ST_CAPITALIZED_LEASE_LIABILITIES","FQ4 2021","FQ4 2021","Currency=USD","Period=FQ","BEST_FPERIOD_OVERRIDE=FQ","FILING_STATUS=MR","SCALING_FORMAT=MLN","Sort=A","Dates=H","DateFormat=P","Fill=—","Direction=H","UseDPDF=Y")</f>
        <v>14.6</v>
      </c>
      <c r="Q43" s="13" t="str" cm="1">
        <f t="array" ref="Q43">_xll.BDH("PCAR US Equity","ST_CAPITALIZED_LEASE_LIABILITIES","FQ1 2022","FQ1 2022","Currency=USD","Period=FQ","BEST_FPERIOD_OVERRIDE=FQ","FILING_STATUS=MR","SCALING_FORMAT=MLN","Sort=A","Dates=H","DateFormat=P","Fill=—","Direction=H","UseDPDF=Y")</f>
        <v>—</v>
      </c>
      <c r="R43" s="13" t="str" cm="1">
        <f t="array" ref="R43">_xll.BDH("PCAR US Equity","ST_CAPITALIZED_LEASE_LIABILITIES","FQ2 2022","FQ2 2022","Currency=USD","Period=FQ","BEST_FPERIOD_OVERRIDE=FQ","FILING_STATUS=MR","SCALING_FORMAT=MLN","Sort=A","Dates=H","DateFormat=P","Fill=—","Direction=H","UseDPDF=Y")</f>
        <v>—</v>
      </c>
      <c r="S43" s="13" t="str" cm="1">
        <f t="array" ref="S43">_xll.BDH("PCAR US Equity","ST_CAPITALIZED_LEASE_LIABILITIES","FQ3 2022","FQ3 2022","Currency=USD","Period=FQ","BEST_FPERIOD_OVERRIDE=FQ","FILING_STATUS=MR","SCALING_FORMAT=MLN","Sort=A","Dates=H","DateFormat=P","Fill=—","Direction=H","UseDPDF=Y")</f>
        <v>—</v>
      </c>
      <c r="T43" s="13" cm="1">
        <f t="array" ref="T43">_xll.BDH("PCAR US Equity","ST_CAPITALIZED_LEASE_LIABILITIES","FQ4 2022","FQ4 2022","Currency=USD","Period=FQ","BEST_FPERIOD_OVERRIDE=FQ","FILING_STATUS=MR","SCALING_FORMAT=MLN","Sort=A","Dates=H","DateFormat=P","Fill=—","Direction=H","UseDPDF=Y")</f>
        <v>13.5</v>
      </c>
      <c r="U43" s="13" t="str" cm="1">
        <f t="array" ref="U43">_xll.BDH("PCAR US Equity","ST_CAPITALIZED_LEASE_LIABILITIES","FQ1 2023","FQ1 2023","Currency=USD","Period=FQ","BEST_FPERIOD_OVERRIDE=FQ","FILING_STATUS=MR","SCALING_FORMAT=MLN","Sort=A","Dates=H","DateFormat=P","Fill=—","Direction=H","UseDPDF=Y")</f>
        <v>—</v>
      </c>
      <c r="V43" s="13" t="str" cm="1">
        <f t="array" ref="V43">_xll.BDH("PCAR US Equity","ST_CAPITALIZED_LEASE_LIABILITIES","FQ2 2023","FQ2 2023","Currency=USD","Period=FQ","BEST_FPERIOD_OVERRIDE=FQ","FILING_STATUS=MR","SCALING_FORMAT=MLN","Sort=A","Dates=H","DateFormat=P","Fill=—","Direction=H","UseDPDF=Y")</f>
        <v>—</v>
      </c>
      <c r="W43" s="13" t="str" cm="1">
        <f t="array" ref="W43">_xll.BDH("PCAR US Equity","ST_CAPITALIZED_LEASE_LIABILITIES","FQ3 2023","FQ3 2023","Currency=USD","Period=FQ","BEST_FPERIOD_OVERRIDE=FQ","FILING_STATUS=MR","SCALING_FORMAT=MLN","Sort=A","Dates=H","DateFormat=P","Fill=—","Direction=H","UseDPDF=Y")</f>
        <v>—</v>
      </c>
      <c r="X43" s="13" cm="1">
        <f t="array" ref="X43">_xll.BDH("PCAR US Equity","ST_CAPITALIZED_LEASE_LIABILITIES","FQ4 2023","FQ4 2023","Currency=USD","Period=FQ","BEST_FPERIOD_OVERRIDE=FQ","FILING_STATUS=MR","SCALING_FORMAT=MLN","Sort=A","Dates=H","DateFormat=P","Fill=—","Direction=H","UseDPDF=Y")</f>
        <v>16.8</v>
      </c>
      <c r="Y43" s="13" t="str" cm="1">
        <f t="array" ref="Y43">_xll.BDH("PCAR US Equity","ST_CAPITALIZED_LEASE_LIABILITIES","FQ1 2024","FQ1 2024","Currency=USD","Period=FQ","BEST_FPERIOD_OVERRIDE=FQ","FILING_STATUS=MR","SCALING_FORMAT=MLN","Sort=A","Dates=H","DateFormat=P","Fill=—","Direction=H","UseDPDF=Y")</f>
        <v>—</v>
      </c>
      <c r="Z43" s="13" t="str" cm="1">
        <f t="array" ref="Z43">_xll.BDH("PCAR US Equity","ST_CAPITALIZED_LEASE_LIABILITIES","FQ2 2024","FQ2 2024","Currency=USD","Period=FQ","BEST_FPERIOD_OVERRIDE=FQ","FILING_STATUS=MR","SCALING_FORMAT=MLN","Sort=A","Dates=H","DateFormat=P","Fill=—","Direction=H","UseDPDF=Y")</f>
        <v>—</v>
      </c>
      <c r="AA43" s="13" t="str" cm="1">
        <f t="array" ref="AA43">_xll.BDH("PCAR US Equity","ST_CAPITALIZED_LEASE_LIABILITIES","FQ3 2024","FQ3 2024","Currency=USD","Period=FQ","BEST_FPERIOD_OVERRIDE=FQ","FILING_STATUS=MR","SCALING_FORMAT=MLN","Sort=A","Dates=H","DateFormat=P","Fill=—","Direction=H","UseDPDF=Y")</f>
        <v>—</v>
      </c>
      <c r="AB43" s="13" cm="1">
        <f t="array" ref="AB43">_xll.BDH("PCAR US Equity","ST_CAPITALIZED_LEASE_LIABILITIES","FQ4 2024","FQ4 2024","Currency=USD","Period=FQ","BEST_FPERIOD_OVERRIDE=FQ","FILING_STATUS=MR","SCALING_FORMAT=MLN","Sort=A","Dates=H","DateFormat=P","Fill=—","Direction=H","UseDPDF=Y")</f>
        <v>18.7</v>
      </c>
      <c r="AC43" s="13" t="str" cm="1">
        <f t="array" ref="AC43">_xll.BDH("PCAR US Equity","ST_CAPITALIZED_LEASE_LIABILITIES","FQ1 2025","FQ1 2025","Currency=USD","Period=FQ","BEST_FPERIOD_OVERRIDE=FQ","FILING_STATUS=MR","SCALING_FORMAT=MLN","Sort=A","Dates=H","DateFormat=P","Fill=—","Direction=H","UseDPDF=Y")</f>
        <v>—</v>
      </c>
      <c r="AD43" s="13" t="str" cm="1">
        <f t="array" ref="AD43">_xll.BDH("PCAR US Equity","ST_CAPITALIZED_LEASE_LIABILITIES","FQ2 2025","FQ2 2025","Currency=USD","Period=FQ","BEST_FPERIOD_OVERRIDE=FQ","FILING_STATUS=MR","SCALING_FORMAT=MLN","Sort=A","Dates=H","DateFormat=P","Fill=—","Direction=H","UseDPDF=Y")</f>
        <v>—</v>
      </c>
      <c r="AE43" s="13" t="str" cm="1">
        <f t="array" ref="AE43">_xll.BDH("PCAR US Equity","ST_CAPITALIZED_LEASE_LIABILITIES","FQ3 2025","FQ3 2025","Currency=USD","Period=FQ","BEST_FPERIOD_OVERRIDE=FQ","FILING_STATUS=MR","SCALING_FORMAT=MLN","Sort=A","Dates=H","DateFormat=P","Fill=—","Direction=H","UseDPDF=Y")</f>
        <v>—</v>
      </c>
      <c r="AF43" s="13" t="str" cm="1">
        <f t="array" ref="AF43">_xll.BDH("PCAR US Equity","ST_CAPITALIZED_LEASE_LIABILITIES","FQ4 2025","FQ4 2025","Currency=USD","Period=FQ","BEST_FPERIOD_OVERRIDE=FQ","FILING_STATUS=MR","SCALING_FORMAT=MLN","Sort=A","Dates=H","DateFormat=P","Fill=—","Direction=H","UseDPDF=Y")</f>
        <v>—</v>
      </c>
    </row>
    <row r="44" spans="1:32" x14ac:dyDescent="0.25">
      <c r="A44" s="11" t="s">
        <v>135</v>
      </c>
      <c r="B44" s="11" t="s">
        <v>136</v>
      </c>
      <c r="C44" s="17" t="str" cm="1">
        <f t="array" ref="C44">_xll.BDH("PCAR US Equity","ST_CAPITAL_LEASE_OBLIGATIONS","FQ3 2018","FQ3 2018","Currency=USD","Period=FQ","BEST_FPERIOD_OVERRIDE=FQ","FILING_STATUS=MR","SCALING_FORMAT=MLN","Sort=A","Dates=H","DateFormat=P","Fill=—","Direction=H","UseDPDF=Y")</f>
        <v>—</v>
      </c>
      <c r="D44" s="17" cm="1">
        <f t="array" ref="D44">_xll.BDH("PCAR US Equity","ST_CAPITAL_LEASE_OBLIGATIONS","FQ4 2018","FQ4 2018","Currency=USD","Period=FQ","BEST_FPERIOD_OVERRIDE=FQ","FILING_STATUS=MR","SCALING_FORMAT=MLN","Sort=A","Dates=H","DateFormat=P","Fill=—","Direction=H","UseDPDF=Y")</f>
        <v>0</v>
      </c>
      <c r="E44" s="17" cm="1">
        <f t="array" ref="E44">_xll.BDH("PCAR US Equity","ST_CAPITAL_LEASE_OBLIGATIONS","FQ1 2019","FQ1 2019","Currency=USD","Period=FQ","BEST_FPERIOD_OVERRIDE=FQ","FILING_STATUS=MR","SCALING_FORMAT=MLN","Sort=A","Dates=H","DateFormat=P","Fill=—","Direction=H","UseDPDF=Y")</f>
        <v>0.8</v>
      </c>
      <c r="F44" s="17" cm="1">
        <f t="array" ref="F44">_xll.BDH("PCAR US Equity","ST_CAPITAL_LEASE_OBLIGATIONS","FQ2 2019","FQ2 2019","Currency=USD","Period=FQ","BEST_FPERIOD_OVERRIDE=FQ","FILING_STATUS=MR","SCALING_FORMAT=MLN","Sort=A","Dates=H","DateFormat=P","Fill=—","Direction=H","UseDPDF=Y")</f>
        <v>0.9</v>
      </c>
      <c r="G44" s="17" cm="1">
        <f t="array" ref="G44">_xll.BDH("PCAR US Equity","ST_CAPITAL_LEASE_OBLIGATIONS","FQ3 2019","FQ3 2019","Currency=USD","Period=FQ","BEST_FPERIOD_OVERRIDE=FQ","FILING_STATUS=MR","SCALING_FORMAT=MLN","Sort=A","Dates=H","DateFormat=P","Fill=—","Direction=H","UseDPDF=Y")</f>
        <v>0.9</v>
      </c>
      <c r="H44" s="17" cm="1">
        <f t="array" ref="H44">_xll.BDH("PCAR US Equity","ST_CAPITAL_LEASE_OBLIGATIONS","FQ4 2019","FQ4 2019","Currency=USD","Period=FQ","BEST_FPERIOD_OVERRIDE=FQ","FILING_STATUS=MR","SCALING_FORMAT=MLN","Sort=A","Dates=H","DateFormat=P","Fill=—","Direction=H","UseDPDF=Y")</f>
        <v>0.7</v>
      </c>
      <c r="I44" s="17" t="str" cm="1">
        <f t="array" ref="I44">_xll.BDH("PCAR US Equity","ST_CAPITAL_LEASE_OBLIGATIONS","FQ1 2020","FQ1 2020","Currency=USD","Period=FQ","BEST_FPERIOD_OVERRIDE=FQ","FILING_STATUS=MR","SCALING_FORMAT=MLN","Sort=A","Dates=H","DateFormat=P","Fill=—","Direction=H","UseDPDF=Y")</f>
        <v>—</v>
      </c>
      <c r="J44" s="17" t="str" cm="1">
        <f t="array" ref="J44">_xll.BDH("PCAR US Equity","ST_CAPITAL_LEASE_OBLIGATIONS","FQ2 2020","FQ2 2020","Currency=USD","Period=FQ","BEST_FPERIOD_OVERRIDE=FQ","FILING_STATUS=MR","SCALING_FORMAT=MLN","Sort=A","Dates=H","DateFormat=P","Fill=—","Direction=H","UseDPDF=Y")</f>
        <v>—</v>
      </c>
      <c r="K44" s="17" t="str" cm="1">
        <f t="array" ref="K44">_xll.BDH("PCAR US Equity","ST_CAPITAL_LEASE_OBLIGATIONS","FQ3 2020","FQ3 2020","Currency=USD","Period=FQ","BEST_FPERIOD_OVERRIDE=FQ","FILING_STATUS=MR","SCALING_FORMAT=MLN","Sort=A","Dates=H","DateFormat=P","Fill=—","Direction=H","UseDPDF=Y")</f>
        <v>—</v>
      </c>
      <c r="L44" s="17" cm="1">
        <f t="array" ref="L44">_xll.BDH("PCAR US Equity","ST_CAPITAL_LEASE_OBLIGATIONS","FQ4 2020","FQ4 2020","Currency=USD","Period=FQ","BEST_FPERIOD_OVERRIDE=FQ","FILING_STATUS=MR","SCALING_FORMAT=MLN","Sort=A","Dates=H","DateFormat=P","Fill=—","Direction=H","UseDPDF=Y")</f>
        <v>0.5</v>
      </c>
      <c r="M44" s="17" t="str" cm="1">
        <f t="array" ref="M44">_xll.BDH("PCAR US Equity","ST_CAPITAL_LEASE_OBLIGATIONS","FQ1 2021","FQ1 2021","Currency=USD","Period=FQ","BEST_FPERIOD_OVERRIDE=FQ","FILING_STATUS=MR","SCALING_FORMAT=MLN","Sort=A","Dates=H","DateFormat=P","Fill=—","Direction=H","UseDPDF=Y")</f>
        <v>—</v>
      </c>
      <c r="N44" s="17" t="str" cm="1">
        <f t="array" ref="N44">_xll.BDH("PCAR US Equity","ST_CAPITAL_LEASE_OBLIGATIONS","FQ2 2021","FQ2 2021","Currency=USD","Period=FQ","BEST_FPERIOD_OVERRIDE=FQ","FILING_STATUS=MR","SCALING_FORMAT=MLN","Sort=A","Dates=H","DateFormat=P","Fill=—","Direction=H","UseDPDF=Y")</f>
        <v>—</v>
      </c>
      <c r="O44" s="17" t="str" cm="1">
        <f t="array" ref="O44">_xll.BDH("PCAR US Equity","ST_CAPITAL_LEASE_OBLIGATIONS","FQ3 2021","FQ3 2021","Currency=USD","Period=FQ","BEST_FPERIOD_OVERRIDE=FQ","FILING_STATUS=MR","SCALING_FORMAT=MLN","Sort=A","Dates=H","DateFormat=P","Fill=—","Direction=H","UseDPDF=Y")</f>
        <v>—</v>
      </c>
      <c r="P44" s="17" cm="1">
        <f t="array" ref="P44">_xll.BDH("PCAR US Equity","ST_CAPITAL_LEASE_OBLIGATIONS","FQ4 2021","FQ4 2021","Currency=USD","Period=FQ","BEST_FPERIOD_OVERRIDE=FQ","FILING_STATUS=MR","SCALING_FORMAT=MLN","Sort=A","Dates=H","DateFormat=P","Fill=—","Direction=H","UseDPDF=Y")</f>
        <v>0.3</v>
      </c>
      <c r="Q44" s="17" t="str" cm="1">
        <f t="array" ref="Q44">_xll.BDH("PCAR US Equity","ST_CAPITAL_LEASE_OBLIGATIONS","FQ1 2022","FQ1 2022","Currency=USD","Period=FQ","BEST_FPERIOD_OVERRIDE=FQ","FILING_STATUS=MR","SCALING_FORMAT=MLN","Sort=A","Dates=H","DateFormat=P","Fill=—","Direction=H","UseDPDF=Y")</f>
        <v>—</v>
      </c>
      <c r="R44" s="17" t="str" cm="1">
        <f t="array" ref="R44">_xll.BDH("PCAR US Equity","ST_CAPITAL_LEASE_OBLIGATIONS","FQ2 2022","FQ2 2022","Currency=USD","Period=FQ","BEST_FPERIOD_OVERRIDE=FQ","FILING_STATUS=MR","SCALING_FORMAT=MLN","Sort=A","Dates=H","DateFormat=P","Fill=—","Direction=H","UseDPDF=Y")</f>
        <v>—</v>
      </c>
      <c r="S44" s="17" t="str" cm="1">
        <f t="array" ref="S44">_xll.BDH("PCAR US Equity","ST_CAPITAL_LEASE_OBLIGATIONS","FQ3 2022","FQ3 2022","Currency=USD","Period=FQ","BEST_FPERIOD_OVERRIDE=FQ","FILING_STATUS=MR","SCALING_FORMAT=MLN","Sort=A","Dates=H","DateFormat=P","Fill=—","Direction=H","UseDPDF=Y")</f>
        <v>—</v>
      </c>
      <c r="T44" s="17" cm="1">
        <f t="array" ref="T44">_xll.BDH("PCAR US Equity","ST_CAPITAL_LEASE_OBLIGATIONS","FQ4 2022","FQ4 2022","Currency=USD","Period=FQ","BEST_FPERIOD_OVERRIDE=FQ","FILING_STATUS=MR","SCALING_FORMAT=MLN","Sort=A","Dates=H","DateFormat=P","Fill=—","Direction=H","UseDPDF=Y")</f>
        <v>0.8</v>
      </c>
      <c r="U44" s="17" t="str" cm="1">
        <f t="array" ref="U44">_xll.BDH("PCAR US Equity","ST_CAPITAL_LEASE_OBLIGATIONS","FQ1 2023","FQ1 2023","Currency=USD","Period=FQ","BEST_FPERIOD_OVERRIDE=FQ","FILING_STATUS=MR","SCALING_FORMAT=MLN","Sort=A","Dates=H","DateFormat=P","Fill=—","Direction=H","UseDPDF=Y")</f>
        <v>—</v>
      </c>
      <c r="V44" s="17" t="str" cm="1">
        <f t="array" ref="V44">_xll.BDH("PCAR US Equity","ST_CAPITAL_LEASE_OBLIGATIONS","FQ2 2023","FQ2 2023","Currency=USD","Period=FQ","BEST_FPERIOD_OVERRIDE=FQ","FILING_STATUS=MR","SCALING_FORMAT=MLN","Sort=A","Dates=H","DateFormat=P","Fill=—","Direction=H","UseDPDF=Y")</f>
        <v>—</v>
      </c>
      <c r="W44" s="17" t="str" cm="1">
        <f t="array" ref="W44">_xll.BDH("PCAR US Equity","ST_CAPITAL_LEASE_OBLIGATIONS","FQ3 2023","FQ3 2023","Currency=USD","Period=FQ","BEST_FPERIOD_OVERRIDE=FQ","FILING_STATUS=MR","SCALING_FORMAT=MLN","Sort=A","Dates=H","DateFormat=P","Fill=—","Direction=H","UseDPDF=Y")</f>
        <v>—</v>
      </c>
      <c r="X44" s="17" cm="1">
        <f t="array" ref="X44">_xll.BDH("PCAR US Equity","ST_CAPITAL_LEASE_OBLIGATIONS","FQ4 2023","FQ4 2023","Currency=USD","Period=FQ","BEST_FPERIOD_OVERRIDE=FQ","FILING_STATUS=MR","SCALING_FORMAT=MLN","Sort=A","Dates=H","DateFormat=P","Fill=—","Direction=H","UseDPDF=Y")</f>
        <v>0.8</v>
      </c>
      <c r="Y44" s="17" t="str" cm="1">
        <f t="array" ref="Y44">_xll.BDH("PCAR US Equity","ST_CAPITAL_LEASE_OBLIGATIONS","FQ1 2024","FQ1 2024","Currency=USD","Period=FQ","BEST_FPERIOD_OVERRIDE=FQ","FILING_STATUS=MR","SCALING_FORMAT=MLN","Sort=A","Dates=H","DateFormat=P","Fill=—","Direction=H","UseDPDF=Y")</f>
        <v>—</v>
      </c>
      <c r="Z44" s="17" t="str" cm="1">
        <f t="array" ref="Z44">_xll.BDH("PCAR US Equity","ST_CAPITAL_LEASE_OBLIGATIONS","FQ2 2024","FQ2 2024","Currency=USD","Period=FQ","BEST_FPERIOD_OVERRIDE=FQ","FILING_STATUS=MR","SCALING_FORMAT=MLN","Sort=A","Dates=H","DateFormat=P","Fill=—","Direction=H","UseDPDF=Y")</f>
        <v>—</v>
      </c>
      <c r="AA44" s="17" t="str" cm="1">
        <f t="array" ref="AA44">_xll.BDH("PCAR US Equity","ST_CAPITAL_LEASE_OBLIGATIONS","FQ3 2024","FQ3 2024","Currency=USD","Period=FQ","BEST_FPERIOD_OVERRIDE=FQ","FILING_STATUS=MR","SCALING_FORMAT=MLN","Sort=A","Dates=H","DateFormat=P","Fill=—","Direction=H","UseDPDF=Y")</f>
        <v>—</v>
      </c>
      <c r="AB44" s="17" cm="1">
        <f t="array" ref="AB44">_xll.BDH("PCAR US Equity","ST_CAPITAL_LEASE_OBLIGATIONS","FQ4 2024","FQ4 2024","Currency=USD","Period=FQ","BEST_FPERIOD_OVERRIDE=FQ","FILING_STATUS=MR","SCALING_FORMAT=MLN","Sort=A","Dates=H","DateFormat=P","Fill=—","Direction=H","UseDPDF=Y")</f>
        <v>0.7</v>
      </c>
      <c r="AC44" s="17" t="str" cm="1">
        <f t="array" ref="AC44">_xll.BDH("PCAR US Equity","ST_CAPITAL_LEASE_OBLIGATIONS","FQ1 2025","FQ1 2025","Currency=USD","Period=FQ","BEST_FPERIOD_OVERRIDE=FQ","FILING_STATUS=MR","SCALING_FORMAT=MLN","Sort=A","Dates=H","DateFormat=P","Fill=—","Direction=H","UseDPDF=Y")</f>
        <v>—</v>
      </c>
      <c r="AD44" s="17" t="str" cm="1">
        <f t="array" ref="AD44">_xll.BDH("PCAR US Equity","ST_CAPITAL_LEASE_OBLIGATIONS","FQ2 2025","FQ2 2025","Currency=USD","Period=FQ","BEST_FPERIOD_OVERRIDE=FQ","FILING_STATUS=MR","SCALING_FORMAT=MLN","Sort=A","Dates=H","DateFormat=P","Fill=—","Direction=H","UseDPDF=Y")</f>
        <v>—</v>
      </c>
      <c r="AE44" s="17" t="str" cm="1">
        <f t="array" ref="AE44">_xll.BDH("PCAR US Equity","ST_CAPITAL_LEASE_OBLIGATIONS","FQ3 2025","FQ3 2025","Currency=USD","Period=FQ","BEST_FPERIOD_OVERRIDE=FQ","FILING_STATUS=MR","SCALING_FORMAT=MLN","Sort=A","Dates=H","DateFormat=P","Fill=—","Direction=H","UseDPDF=Y")</f>
        <v>—</v>
      </c>
      <c r="AF44" s="17" t="str" cm="1">
        <f t="array" ref="AF44">_xll.BDH("PCAR US Equity","ST_CAPITAL_LEASE_OBLIGATIONS","FQ4 2025","FQ4 2025","Currency=USD","Period=FQ","BEST_FPERIOD_OVERRIDE=FQ","FILING_STATUS=MR","SCALING_FORMAT=MLN","Sort=A","Dates=H","DateFormat=P","Fill=—","Direction=H","UseDPDF=Y")</f>
        <v>—</v>
      </c>
    </row>
    <row r="45" spans="1:32" x14ac:dyDescent="0.25">
      <c r="A45" s="11" t="s">
        <v>137</v>
      </c>
      <c r="B45" s="11" t="s">
        <v>138</v>
      </c>
      <c r="C45" s="17" t="str" cm="1">
        <f t="array" ref="C45">_xll.BDH("PCAR US Equity","BS_ST_OPERATING_LEASE_LIABS","FQ3 2018","FQ3 2018","Currency=USD","Period=FQ","BEST_FPERIOD_OVERRIDE=FQ","FILING_STATUS=MR","SCALING_FORMAT=MLN","Sort=A","Dates=H","DateFormat=P","Fill=—","Direction=H","UseDPDF=Y")</f>
        <v>—</v>
      </c>
      <c r="D45" s="17" t="str" cm="1">
        <f t="array" ref="D45">_xll.BDH("PCAR US Equity","BS_ST_OPERATING_LEASE_LIABS","FQ4 2018","FQ4 2018","Currency=USD","Period=FQ","BEST_FPERIOD_OVERRIDE=FQ","FILING_STATUS=MR","SCALING_FORMAT=MLN","Sort=A","Dates=H","DateFormat=P","Fill=—","Direction=H","UseDPDF=Y")</f>
        <v>—</v>
      </c>
      <c r="E45" s="17" cm="1">
        <f t="array" ref="E45">_xll.BDH("PCAR US Equity","BS_ST_OPERATING_LEASE_LIABS","FQ1 2019","FQ1 2019","Currency=USD","Period=FQ","BEST_FPERIOD_OVERRIDE=FQ","FILING_STATUS=MR","SCALING_FORMAT=MLN","Sort=A","Dates=H","DateFormat=P","Fill=—","Direction=H","UseDPDF=Y")</f>
        <v>14.3</v>
      </c>
      <c r="F45" s="17" cm="1">
        <f t="array" ref="F45">_xll.BDH("PCAR US Equity","BS_ST_OPERATING_LEASE_LIABS","FQ2 2019","FQ2 2019","Currency=USD","Period=FQ","BEST_FPERIOD_OVERRIDE=FQ","FILING_STATUS=MR","SCALING_FORMAT=MLN","Sort=A","Dates=H","DateFormat=P","Fill=—","Direction=H","UseDPDF=Y")</f>
        <v>14.6</v>
      </c>
      <c r="G45" s="17" cm="1">
        <f t="array" ref="G45">_xll.BDH("PCAR US Equity","BS_ST_OPERATING_LEASE_LIABS","FQ3 2019","FQ3 2019","Currency=USD","Period=FQ","BEST_FPERIOD_OVERRIDE=FQ","FILING_STATUS=MR","SCALING_FORMAT=MLN","Sort=A","Dates=H","DateFormat=P","Fill=—","Direction=H","UseDPDF=Y")</f>
        <v>14.1</v>
      </c>
      <c r="H45" s="17" cm="1">
        <f t="array" ref="H45">_xll.BDH("PCAR US Equity","BS_ST_OPERATING_LEASE_LIABS","FQ4 2019","FQ4 2019","Currency=USD","Period=FQ","BEST_FPERIOD_OVERRIDE=FQ","FILING_STATUS=MR","SCALING_FORMAT=MLN","Sort=A","Dates=H","DateFormat=P","Fill=—","Direction=H","UseDPDF=Y")</f>
        <v>14.5</v>
      </c>
      <c r="I45" s="17" t="str" cm="1">
        <f t="array" ref="I45">_xll.BDH("PCAR US Equity","BS_ST_OPERATING_LEASE_LIABS","FQ1 2020","FQ1 2020","Currency=USD","Period=FQ","BEST_FPERIOD_OVERRIDE=FQ","FILING_STATUS=MR","SCALING_FORMAT=MLN","Sort=A","Dates=H","DateFormat=P","Fill=—","Direction=H","UseDPDF=Y")</f>
        <v>—</v>
      </c>
      <c r="J45" s="17" t="str" cm="1">
        <f t="array" ref="J45">_xll.BDH("PCAR US Equity","BS_ST_OPERATING_LEASE_LIABS","FQ2 2020","FQ2 2020","Currency=USD","Period=FQ","BEST_FPERIOD_OVERRIDE=FQ","FILING_STATUS=MR","SCALING_FORMAT=MLN","Sort=A","Dates=H","DateFormat=P","Fill=—","Direction=H","UseDPDF=Y")</f>
        <v>—</v>
      </c>
      <c r="K45" s="17" t="str" cm="1">
        <f t="array" ref="K45">_xll.BDH("PCAR US Equity","BS_ST_OPERATING_LEASE_LIABS","FQ3 2020","FQ3 2020","Currency=USD","Period=FQ","BEST_FPERIOD_OVERRIDE=FQ","FILING_STATUS=MR","SCALING_FORMAT=MLN","Sort=A","Dates=H","DateFormat=P","Fill=—","Direction=H","UseDPDF=Y")</f>
        <v>—</v>
      </c>
      <c r="L45" s="17" cm="1">
        <f t="array" ref="L45">_xll.BDH("PCAR US Equity","BS_ST_OPERATING_LEASE_LIABS","FQ4 2020","FQ4 2020","Currency=USD","Period=FQ","BEST_FPERIOD_OVERRIDE=FQ","FILING_STATUS=MR","SCALING_FORMAT=MLN","Sort=A","Dates=H","DateFormat=P","Fill=—","Direction=H","UseDPDF=Y")</f>
        <v>13.4</v>
      </c>
      <c r="M45" s="17" t="str" cm="1">
        <f t="array" ref="M45">_xll.BDH("PCAR US Equity","BS_ST_OPERATING_LEASE_LIABS","FQ1 2021","FQ1 2021","Currency=USD","Period=FQ","BEST_FPERIOD_OVERRIDE=FQ","FILING_STATUS=MR","SCALING_FORMAT=MLN","Sort=A","Dates=H","DateFormat=P","Fill=—","Direction=H","UseDPDF=Y")</f>
        <v>—</v>
      </c>
      <c r="N45" s="17" t="str" cm="1">
        <f t="array" ref="N45">_xll.BDH("PCAR US Equity","BS_ST_OPERATING_LEASE_LIABS","FQ2 2021","FQ2 2021","Currency=USD","Period=FQ","BEST_FPERIOD_OVERRIDE=FQ","FILING_STATUS=MR","SCALING_FORMAT=MLN","Sort=A","Dates=H","DateFormat=P","Fill=—","Direction=H","UseDPDF=Y")</f>
        <v>—</v>
      </c>
      <c r="O45" s="17" t="str" cm="1">
        <f t="array" ref="O45">_xll.BDH("PCAR US Equity","BS_ST_OPERATING_LEASE_LIABS","FQ3 2021","FQ3 2021","Currency=USD","Period=FQ","BEST_FPERIOD_OVERRIDE=FQ","FILING_STATUS=MR","SCALING_FORMAT=MLN","Sort=A","Dates=H","DateFormat=P","Fill=—","Direction=H","UseDPDF=Y")</f>
        <v>—</v>
      </c>
      <c r="P45" s="17" cm="1">
        <f t="array" ref="P45">_xll.BDH("PCAR US Equity","BS_ST_OPERATING_LEASE_LIABS","FQ4 2021","FQ4 2021","Currency=USD","Period=FQ","BEST_FPERIOD_OVERRIDE=FQ","FILING_STATUS=MR","SCALING_FORMAT=MLN","Sort=A","Dates=H","DateFormat=P","Fill=—","Direction=H","UseDPDF=Y")</f>
        <v>14.3</v>
      </c>
      <c r="Q45" s="17" t="str" cm="1">
        <f t="array" ref="Q45">_xll.BDH("PCAR US Equity","BS_ST_OPERATING_LEASE_LIABS","FQ1 2022","FQ1 2022","Currency=USD","Period=FQ","BEST_FPERIOD_OVERRIDE=FQ","FILING_STATUS=MR","SCALING_FORMAT=MLN","Sort=A","Dates=H","DateFormat=P","Fill=—","Direction=H","UseDPDF=Y")</f>
        <v>—</v>
      </c>
      <c r="R45" s="17" t="str" cm="1">
        <f t="array" ref="R45">_xll.BDH("PCAR US Equity","BS_ST_OPERATING_LEASE_LIABS","FQ2 2022","FQ2 2022","Currency=USD","Period=FQ","BEST_FPERIOD_OVERRIDE=FQ","FILING_STATUS=MR","SCALING_FORMAT=MLN","Sort=A","Dates=H","DateFormat=P","Fill=—","Direction=H","UseDPDF=Y")</f>
        <v>—</v>
      </c>
      <c r="S45" s="17" t="str" cm="1">
        <f t="array" ref="S45">_xll.BDH("PCAR US Equity","BS_ST_OPERATING_LEASE_LIABS","FQ3 2022","FQ3 2022","Currency=USD","Period=FQ","BEST_FPERIOD_OVERRIDE=FQ","FILING_STATUS=MR","SCALING_FORMAT=MLN","Sort=A","Dates=H","DateFormat=P","Fill=—","Direction=H","UseDPDF=Y")</f>
        <v>—</v>
      </c>
      <c r="T45" s="17" cm="1">
        <f t="array" ref="T45">_xll.BDH("PCAR US Equity","BS_ST_OPERATING_LEASE_LIABS","FQ4 2022","FQ4 2022","Currency=USD","Period=FQ","BEST_FPERIOD_OVERRIDE=FQ","FILING_STATUS=MR","SCALING_FORMAT=MLN","Sort=A","Dates=H","DateFormat=P","Fill=—","Direction=H","UseDPDF=Y")</f>
        <v>12.7</v>
      </c>
      <c r="U45" s="17" t="str" cm="1">
        <f t="array" ref="U45">_xll.BDH("PCAR US Equity","BS_ST_OPERATING_LEASE_LIABS","FQ1 2023","FQ1 2023","Currency=USD","Period=FQ","BEST_FPERIOD_OVERRIDE=FQ","FILING_STATUS=MR","SCALING_FORMAT=MLN","Sort=A","Dates=H","DateFormat=P","Fill=—","Direction=H","UseDPDF=Y")</f>
        <v>—</v>
      </c>
      <c r="V45" s="17" t="str" cm="1">
        <f t="array" ref="V45">_xll.BDH("PCAR US Equity","BS_ST_OPERATING_LEASE_LIABS","FQ2 2023","FQ2 2023","Currency=USD","Period=FQ","BEST_FPERIOD_OVERRIDE=FQ","FILING_STATUS=MR","SCALING_FORMAT=MLN","Sort=A","Dates=H","DateFormat=P","Fill=—","Direction=H","UseDPDF=Y")</f>
        <v>—</v>
      </c>
      <c r="W45" s="17" t="str" cm="1">
        <f t="array" ref="W45">_xll.BDH("PCAR US Equity","BS_ST_OPERATING_LEASE_LIABS","FQ3 2023","FQ3 2023","Currency=USD","Period=FQ","BEST_FPERIOD_OVERRIDE=FQ","FILING_STATUS=MR","SCALING_FORMAT=MLN","Sort=A","Dates=H","DateFormat=P","Fill=—","Direction=H","UseDPDF=Y")</f>
        <v>—</v>
      </c>
      <c r="X45" s="17" cm="1">
        <f t="array" ref="X45">_xll.BDH("PCAR US Equity","BS_ST_OPERATING_LEASE_LIABS","FQ4 2023","FQ4 2023","Currency=USD","Period=FQ","BEST_FPERIOD_OVERRIDE=FQ","FILING_STATUS=MR","SCALING_FORMAT=MLN","Sort=A","Dates=H","DateFormat=P","Fill=—","Direction=H","UseDPDF=Y")</f>
        <v>16</v>
      </c>
      <c r="Y45" s="17" t="str" cm="1">
        <f t="array" ref="Y45">_xll.BDH("PCAR US Equity","BS_ST_OPERATING_LEASE_LIABS","FQ1 2024","FQ1 2024","Currency=USD","Period=FQ","BEST_FPERIOD_OVERRIDE=FQ","FILING_STATUS=MR","SCALING_FORMAT=MLN","Sort=A","Dates=H","DateFormat=P","Fill=—","Direction=H","UseDPDF=Y")</f>
        <v>—</v>
      </c>
      <c r="Z45" s="17" t="str" cm="1">
        <f t="array" ref="Z45">_xll.BDH("PCAR US Equity","BS_ST_OPERATING_LEASE_LIABS","FQ2 2024","FQ2 2024","Currency=USD","Period=FQ","BEST_FPERIOD_OVERRIDE=FQ","FILING_STATUS=MR","SCALING_FORMAT=MLN","Sort=A","Dates=H","DateFormat=P","Fill=—","Direction=H","UseDPDF=Y")</f>
        <v>—</v>
      </c>
      <c r="AA45" s="17" t="str" cm="1">
        <f t="array" ref="AA45">_xll.BDH("PCAR US Equity","BS_ST_OPERATING_LEASE_LIABS","FQ3 2024","FQ3 2024","Currency=USD","Period=FQ","BEST_FPERIOD_OVERRIDE=FQ","FILING_STATUS=MR","SCALING_FORMAT=MLN","Sort=A","Dates=H","DateFormat=P","Fill=—","Direction=H","UseDPDF=Y")</f>
        <v>—</v>
      </c>
      <c r="AB45" s="17" cm="1">
        <f t="array" ref="AB45">_xll.BDH("PCAR US Equity","BS_ST_OPERATING_LEASE_LIABS","FQ4 2024","FQ4 2024","Currency=USD","Period=FQ","BEST_FPERIOD_OVERRIDE=FQ","FILING_STATUS=MR","SCALING_FORMAT=MLN","Sort=A","Dates=H","DateFormat=P","Fill=—","Direction=H","UseDPDF=Y")</f>
        <v>18</v>
      </c>
      <c r="AC45" s="17" t="str" cm="1">
        <f t="array" ref="AC45">_xll.BDH("PCAR US Equity","BS_ST_OPERATING_LEASE_LIABS","FQ1 2025","FQ1 2025","Currency=USD","Period=FQ","BEST_FPERIOD_OVERRIDE=FQ","FILING_STATUS=MR","SCALING_FORMAT=MLN","Sort=A","Dates=H","DateFormat=P","Fill=—","Direction=H","UseDPDF=Y")</f>
        <v>—</v>
      </c>
      <c r="AD45" s="17" t="str" cm="1">
        <f t="array" ref="AD45">_xll.BDH("PCAR US Equity","BS_ST_OPERATING_LEASE_LIABS","FQ2 2025","FQ2 2025","Currency=USD","Period=FQ","BEST_FPERIOD_OVERRIDE=FQ","FILING_STATUS=MR","SCALING_FORMAT=MLN","Sort=A","Dates=H","DateFormat=P","Fill=—","Direction=H","UseDPDF=Y")</f>
        <v>—</v>
      </c>
      <c r="AE45" s="17" t="str" cm="1">
        <f t="array" ref="AE45">_xll.BDH("PCAR US Equity","BS_ST_OPERATING_LEASE_LIABS","FQ3 2025","FQ3 2025","Currency=USD","Period=FQ","BEST_FPERIOD_OVERRIDE=FQ","FILING_STATUS=MR","SCALING_FORMAT=MLN","Sort=A","Dates=H","DateFormat=P","Fill=—","Direction=H","UseDPDF=Y")</f>
        <v>—</v>
      </c>
      <c r="AF45" s="17" t="str" cm="1">
        <f t="array" ref="AF45">_xll.BDH("PCAR US Equity","BS_ST_OPERATING_LEASE_LIABS","FQ4 2025","FQ4 2025","Currency=USD","Period=FQ","BEST_FPERIOD_OVERRIDE=FQ","FILING_STATUS=MR","SCALING_FORMAT=MLN","Sort=A","Dates=H","DateFormat=P","Fill=—","Direction=H","UseDPDF=Y")</f>
        <v>—</v>
      </c>
    </row>
    <row r="46" spans="1:32" x14ac:dyDescent="0.25">
      <c r="A46" s="10" t="s">
        <v>139</v>
      </c>
      <c r="B46" s="10" t="s">
        <v>140</v>
      </c>
      <c r="C46" s="13" t="str" cm="1">
        <f t="array" ref="C46">_xll.BDH("PCAR US Equity","BS_CURR_PORTION_LT_DEBT","FQ3 2018","FQ3 2018","Currency=USD","Period=FQ","BEST_FPERIOD_OVERRIDE=FQ","FILING_STATUS=MR","SCALING_FORMAT=MLN","Sort=A","Dates=H","DateFormat=P","Fill=—","Direction=H","UseDPDF=Y")</f>
        <v>—</v>
      </c>
      <c r="D46" s="13" cm="1">
        <f t="array" ref="D46">_xll.BDH("PCAR US Equity","BS_CURR_PORTION_LT_DEBT","FQ4 2018","FQ4 2018","Currency=USD","Period=FQ","BEST_FPERIOD_OVERRIDE=FQ","FILING_STATUS=MR","SCALING_FORMAT=MLN","Sort=A","Dates=H","DateFormat=P","Fill=—","Direction=H","UseDPDF=Y")</f>
        <v>3540.8</v>
      </c>
      <c r="E46" s="13" t="str" cm="1">
        <f t="array" ref="E46">_xll.BDH("PCAR US Equity","BS_CURR_PORTION_LT_DEBT","FQ1 2019","FQ1 2019","Currency=USD","Period=FQ","BEST_FPERIOD_OVERRIDE=FQ","FILING_STATUS=MR","SCALING_FORMAT=MLN","Sort=A","Dates=H","DateFormat=P","Fill=—","Direction=H","UseDPDF=Y")</f>
        <v>—</v>
      </c>
      <c r="F46" s="13" t="str" cm="1">
        <f t="array" ref="F46">_xll.BDH("PCAR US Equity","BS_CURR_PORTION_LT_DEBT","FQ2 2019","FQ2 2019","Currency=USD","Period=FQ","BEST_FPERIOD_OVERRIDE=FQ","FILING_STATUS=MR","SCALING_FORMAT=MLN","Sort=A","Dates=H","DateFormat=P","Fill=—","Direction=H","UseDPDF=Y")</f>
        <v>—</v>
      </c>
      <c r="G46" s="13" t="str" cm="1">
        <f t="array" ref="G46">_xll.BDH("PCAR US Equity","BS_CURR_PORTION_LT_DEBT","FQ3 2019","FQ3 2019","Currency=USD","Period=FQ","BEST_FPERIOD_OVERRIDE=FQ","FILING_STATUS=MR","SCALING_FORMAT=MLN","Sort=A","Dates=H","DateFormat=P","Fill=—","Direction=H","UseDPDF=Y")</f>
        <v>—</v>
      </c>
      <c r="H46" s="13" cm="1">
        <f t="array" ref="H46">_xll.BDH("PCAR US Equity","BS_CURR_PORTION_LT_DEBT","FQ4 2019","FQ4 2019","Currency=USD","Period=FQ","BEST_FPERIOD_OVERRIDE=FQ","FILING_STATUS=MR","SCALING_FORMAT=MLN","Sort=A","Dates=H","DateFormat=P","Fill=—","Direction=H","UseDPDF=Y")</f>
        <v>4110.2</v>
      </c>
      <c r="I46" s="13" t="str" cm="1">
        <f t="array" ref="I46">_xll.BDH("PCAR US Equity","BS_CURR_PORTION_LT_DEBT","FQ1 2020","FQ1 2020","Currency=USD","Period=FQ","BEST_FPERIOD_OVERRIDE=FQ","FILING_STATUS=MR","SCALING_FORMAT=MLN","Sort=A","Dates=H","DateFormat=P","Fill=—","Direction=H","UseDPDF=Y")</f>
        <v>—</v>
      </c>
      <c r="J46" s="13" t="str" cm="1">
        <f t="array" ref="J46">_xll.BDH("PCAR US Equity","BS_CURR_PORTION_LT_DEBT","FQ2 2020","FQ2 2020","Currency=USD","Period=FQ","BEST_FPERIOD_OVERRIDE=FQ","FILING_STATUS=MR","SCALING_FORMAT=MLN","Sort=A","Dates=H","DateFormat=P","Fill=—","Direction=H","UseDPDF=Y")</f>
        <v>—</v>
      </c>
      <c r="K46" s="13" t="str" cm="1">
        <f t="array" ref="K46">_xll.BDH("PCAR US Equity","BS_CURR_PORTION_LT_DEBT","FQ3 2020","FQ3 2020","Currency=USD","Period=FQ","BEST_FPERIOD_OVERRIDE=FQ","FILING_STATUS=MR","SCALING_FORMAT=MLN","Sort=A","Dates=H","DateFormat=P","Fill=—","Direction=H","UseDPDF=Y")</f>
        <v>—</v>
      </c>
      <c r="L46" s="13" cm="1">
        <f t="array" ref="L46">_xll.BDH("PCAR US Equity","BS_CURR_PORTION_LT_DEBT","FQ4 2020","FQ4 2020","Currency=USD","Period=FQ","BEST_FPERIOD_OVERRIDE=FQ","FILING_STATUS=MR","SCALING_FORMAT=MLN","Sort=A","Dates=H","DateFormat=P","Fill=—","Direction=H","UseDPDF=Y")</f>
        <v>3344.4</v>
      </c>
      <c r="M46" s="13" t="str" cm="1">
        <f t="array" ref="M46">_xll.BDH("PCAR US Equity","BS_CURR_PORTION_LT_DEBT","FQ1 2021","FQ1 2021","Currency=USD","Period=FQ","BEST_FPERIOD_OVERRIDE=FQ","FILING_STATUS=MR","SCALING_FORMAT=MLN","Sort=A","Dates=H","DateFormat=P","Fill=—","Direction=H","UseDPDF=Y")</f>
        <v>—</v>
      </c>
      <c r="N46" s="13" t="str" cm="1">
        <f t="array" ref="N46">_xll.BDH("PCAR US Equity","BS_CURR_PORTION_LT_DEBT","FQ2 2021","FQ2 2021","Currency=USD","Period=FQ","BEST_FPERIOD_OVERRIDE=FQ","FILING_STATUS=MR","SCALING_FORMAT=MLN","Sort=A","Dates=H","DateFormat=P","Fill=—","Direction=H","UseDPDF=Y")</f>
        <v>—</v>
      </c>
      <c r="O46" s="13" t="str" cm="1">
        <f t="array" ref="O46">_xll.BDH("PCAR US Equity","BS_CURR_PORTION_LT_DEBT","FQ3 2021","FQ3 2021","Currency=USD","Period=FQ","BEST_FPERIOD_OVERRIDE=FQ","FILING_STATUS=MR","SCALING_FORMAT=MLN","Sort=A","Dates=H","DateFormat=P","Fill=—","Direction=H","UseDPDF=Y")</f>
        <v>—</v>
      </c>
      <c r="P46" s="13" cm="1">
        <f t="array" ref="P46">_xll.BDH("PCAR US Equity","BS_CURR_PORTION_LT_DEBT","FQ4 2021","FQ4 2021","Currency=USD","Period=FQ","BEST_FPERIOD_OVERRIDE=FQ","FILING_STATUS=MR","SCALING_FORMAT=MLN","Sort=A","Dates=H","DateFormat=P","Fill=—","Direction=H","UseDPDF=Y")</f>
        <v>3303</v>
      </c>
      <c r="Q46" s="13" t="str" cm="1">
        <f t="array" ref="Q46">_xll.BDH("PCAR US Equity","BS_CURR_PORTION_LT_DEBT","FQ1 2022","FQ1 2022","Currency=USD","Period=FQ","BEST_FPERIOD_OVERRIDE=FQ","FILING_STATUS=MR","SCALING_FORMAT=MLN","Sort=A","Dates=H","DateFormat=P","Fill=—","Direction=H","UseDPDF=Y")</f>
        <v>—</v>
      </c>
      <c r="R46" s="13" t="str" cm="1">
        <f t="array" ref="R46">_xll.BDH("PCAR US Equity","BS_CURR_PORTION_LT_DEBT","FQ2 2022","FQ2 2022","Currency=USD","Period=FQ","BEST_FPERIOD_OVERRIDE=FQ","FILING_STATUS=MR","SCALING_FORMAT=MLN","Sort=A","Dates=H","DateFormat=P","Fill=—","Direction=H","UseDPDF=Y")</f>
        <v>—</v>
      </c>
      <c r="S46" s="13" t="str" cm="1">
        <f t="array" ref="S46">_xll.BDH("PCAR US Equity","BS_CURR_PORTION_LT_DEBT","FQ3 2022","FQ3 2022","Currency=USD","Period=FQ","BEST_FPERIOD_OVERRIDE=FQ","FILING_STATUS=MR","SCALING_FORMAT=MLN","Sort=A","Dates=H","DateFormat=P","Fill=—","Direction=H","UseDPDF=Y")</f>
        <v>—</v>
      </c>
      <c r="T46" s="13" cm="1">
        <f t="array" ref="T46">_xll.BDH("PCAR US Equity","BS_CURR_PORTION_LT_DEBT","FQ4 2022","FQ4 2022","Currency=USD","Period=FQ","BEST_FPERIOD_OVERRIDE=FQ","FILING_STATUS=MR","SCALING_FORMAT=MLN","Sort=A","Dates=H","DateFormat=P","Fill=—","Direction=H","UseDPDF=Y")</f>
        <v>3604.9</v>
      </c>
      <c r="U46" s="13" t="str" cm="1">
        <f t="array" ref="U46">_xll.BDH("PCAR US Equity","BS_CURR_PORTION_LT_DEBT","FQ1 2023","FQ1 2023","Currency=USD","Period=FQ","BEST_FPERIOD_OVERRIDE=FQ","FILING_STATUS=MR","SCALING_FORMAT=MLN","Sort=A","Dates=H","DateFormat=P","Fill=—","Direction=H","UseDPDF=Y")</f>
        <v>—</v>
      </c>
      <c r="V46" s="13" t="str" cm="1">
        <f t="array" ref="V46">_xll.BDH("PCAR US Equity","BS_CURR_PORTION_LT_DEBT","FQ2 2023","FQ2 2023","Currency=USD","Period=FQ","BEST_FPERIOD_OVERRIDE=FQ","FILING_STATUS=MR","SCALING_FORMAT=MLN","Sort=A","Dates=H","DateFormat=P","Fill=—","Direction=H","UseDPDF=Y")</f>
        <v>—</v>
      </c>
      <c r="W46" s="13" t="str" cm="1">
        <f t="array" ref="W46">_xll.BDH("PCAR US Equity","BS_CURR_PORTION_LT_DEBT","FQ3 2023","FQ3 2023","Currency=USD","Period=FQ","BEST_FPERIOD_OVERRIDE=FQ","FILING_STATUS=MR","SCALING_FORMAT=MLN","Sort=A","Dates=H","DateFormat=P","Fill=—","Direction=H","UseDPDF=Y")</f>
        <v>—</v>
      </c>
      <c r="X46" s="13" cm="1">
        <f t="array" ref="X46">_xll.BDH("PCAR US Equity","BS_CURR_PORTION_LT_DEBT","FQ4 2023","FQ4 2023","Currency=USD","Period=FQ","BEST_FPERIOD_OVERRIDE=FQ","FILING_STATUS=MR","SCALING_FORMAT=MLN","Sort=A","Dates=H","DateFormat=P","Fill=—","Direction=H","UseDPDF=Y")</f>
        <v>5609.9</v>
      </c>
      <c r="Y46" s="13" t="str" cm="1">
        <f t="array" ref="Y46">_xll.BDH("PCAR US Equity","BS_CURR_PORTION_LT_DEBT","FQ1 2024","FQ1 2024","Currency=USD","Period=FQ","BEST_FPERIOD_OVERRIDE=FQ","FILING_STATUS=MR","SCALING_FORMAT=MLN","Sort=A","Dates=H","DateFormat=P","Fill=—","Direction=H","UseDPDF=Y")</f>
        <v>—</v>
      </c>
      <c r="Z46" s="13" t="str" cm="1">
        <f t="array" ref="Z46">_xll.BDH("PCAR US Equity","BS_CURR_PORTION_LT_DEBT","FQ2 2024","FQ2 2024","Currency=USD","Period=FQ","BEST_FPERIOD_OVERRIDE=FQ","FILING_STATUS=MR","SCALING_FORMAT=MLN","Sort=A","Dates=H","DateFormat=P","Fill=—","Direction=H","UseDPDF=Y")</f>
        <v>—</v>
      </c>
      <c r="AA46" s="13" t="str" cm="1">
        <f t="array" ref="AA46">_xll.BDH("PCAR US Equity","BS_CURR_PORTION_LT_DEBT","FQ3 2024","FQ3 2024","Currency=USD","Period=FQ","BEST_FPERIOD_OVERRIDE=FQ","FILING_STATUS=MR","SCALING_FORMAT=MLN","Sort=A","Dates=H","DateFormat=P","Fill=—","Direction=H","UseDPDF=Y")</f>
        <v>—</v>
      </c>
      <c r="AB46" s="13" cm="1">
        <f t="array" ref="AB46">_xll.BDH("PCAR US Equity","BS_CURR_PORTION_LT_DEBT","FQ4 2024","FQ4 2024","Currency=USD","Period=FQ","BEST_FPERIOD_OVERRIDE=FQ","FILING_STATUS=MR","SCALING_FORMAT=MLN","Sort=A","Dates=H","DateFormat=P","Fill=—","Direction=H","UseDPDF=Y")</f>
        <v>6003.8</v>
      </c>
      <c r="AC46" s="13" t="str" cm="1">
        <f t="array" ref="AC46">_xll.BDH("PCAR US Equity","BS_CURR_PORTION_LT_DEBT","FQ1 2025","FQ1 2025","Currency=USD","Period=FQ","BEST_FPERIOD_OVERRIDE=FQ","FILING_STATUS=MR","SCALING_FORMAT=MLN","Sort=A","Dates=H","DateFormat=P","Fill=—","Direction=H","UseDPDF=Y")</f>
        <v>—</v>
      </c>
      <c r="AD46" s="13" t="str" cm="1">
        <f t="array" ref="AD46">_xll.BDH("PCAR US Equity","BS_CURR_PORTION_LT_DEBT","FQ2 2025","FQ2 2025","Currency=USD","Period=FQ","BEST_FPERIOD_OVERRIDE=FQ","FILING_STATUS=MR","SCALING_FORMAT=MLN","Sort=A","Dates=H","DateFormat=P","Fill=—","Direction=H","UseDPDF=Y")</f>
        <v>—</v>
      </c>
      <c r="AE46" s="13" t="str" cm="1">
        <f t="array" ref="AE46">_xll.BDH("PCAR US Equity","BS_CURR_PORTION_LT_DEBT","FQ3 2025","FQ3 2025","Currency=USD","Period=FQ","BEST_FPERIOD_OVERRIDE=FQ","FILING_STATUS=MR","SCALING_FORMAT=MLN","Sort=A","Dates=H","DateFormat=P","Fill=—","Direction=H","UseDPDF=Y")</f>
        <v>—</v>
      </c>
      <c r="AF46" s="13" t="str" cm="1">
        <f t="array" ref="AF46">_xll.BDH("PCAR US Equity","BS_CURR_PORTION_LT_DEBT","FQ4 2025","FQ4 2025","Currency=USD","Period=FQ","BEST_FPERIOD_OVERRIDE=FQ","FILING_STATUS=MR","SCALING_FORMAT=MLN","Sort=A","Dates=H","DateFormat=P","Fill=—","Direction=H","UseDPDF=Y")</f>
        <v>—</v>
      </c>
    </row>
    <row r="47" spans="1:32" x14ac:dyDescent="0.25">
      <c r="A47" s="10" t="s">
        <v>141</v>
      </c>
      <c r="B47" s="10" t="s">
        <v>142</v>
      </c>
      <c r="C47" s="13" cm="1">
        <f t="array" ref="C47">_xll.BDH("PCAR US Equity","OTHER_CURRENT_LIABS_SUB_DETAILED","FQ3 2018","FQ3 2018","Currency=USD","Period=FQ","BEST_FPERIOD_OVERRIDE=FQ","FILING_STATUS=MR","SCALING_FORMAT=MLN","Sort=A","Dates=H","DateFormat=P","Fill=—","Direction=H","UseDPDF=Y")</f>
        <v>4.7</v>
      </c>
      <c r="D47" s="13" cm="1">
        <f t="array" ref="D47">_xll.BDH("PCAR US Equity","OTHER_CURRENT_LIABS_SUB_DETAILED","FQ4 2018","FQ4 2018","Currency=USD","Period=FQ","BEST_FPERIOD_OVERRIDE=FQ","FILING_STATUS=MR","SCALING_FORMAT=MLN","Sort=A","Dates=H","DateFormat=P","Fill=—","Direction=H","UseDPDF=Y")</f>
        <v>695.1</v>
      </c>
      <c r="E47" s="13" cm="1">
        <f t="array" ref="E47">_xll.BDH("PCAR US Equity","OTHER_CURRENT_LIABS_SUB_DETAILED","FQ1 2019","FQ1 2019","Currency=USD","Period=FQ","BEST_FPERIOD_OVERRIDE=FQ","FILING_STATUS=MR","SCALING_FORMAT=MLN","Sort=A","Dates=H","DateFormat=P","Fill=—","Direction=H","UseDPDF=Y")</f>
        <v>8.9</v>
      </c>
      <c r="F47" s="13" cm="1">
        <f t="array" ref="F47">_xll.BDH("PCAR US Equity","OTHER_CURRENT_LIABS_SUB_DETAILED","FQ2 2019","FQ2 2019","Currency=USD","Period=FQ","BEST_FPERIOD_OVERRIDE=FQ","FILING_STATUS=MR","SCALING_FORMAT=MLN","Sort=A","Dates=H","DateFormat=P","Fill=—","Direction=H","UseDPDF=Y")</f>
        <v>5.5</v>
      </c>
      <c r="G47" s="13" cm="1">
        <f t="array" ref="G47">_xll.BDH("PCAR US Equity","OTHER_CURRENT_LIABS_SUB_DETAILED","FQ3 2019","FQ3 2019","Currency=USD","Period=FQ","BEST_FPERIOD_OVERRIDE=FQ","FILING_STATUS=MR","SCALING_FORMAT=MLN","Sort=A","Dates=H","DateFormat=P","Fill=—","Direction=H","UseDPDF=Y")</f>
        <v>2023.1</v>
      </c>
      <c r="H47" s="13" cm="1">
        <f t="array" ref="H47">_xll.BDH("PCAR US Equity","OTHER_CURRENT_LIABS_SUB_DETAILED","FQ4 2019","FQ4 2019","Currency=USD","Period=FQ","BEST_FPERIOD_OVERRIDE=FQ","FILING_STATUS=MR","SCALING_FORMAT=MLN","Sort=A","Dates=H","DateFormat=P","Fill=—","Direction=H","UseDPDF=Y")</f>
        <v>796.5</v>
      </c>
      <c r="I47" s="13" cm="1">
        <f t="array" ref="I47">_xll.BDH("PCAR US Equity","OTHER_CURRENT_LIABS_SUB_DETAILED","FQ1 2020","FQ1 2020","Currency=USD","Period=FQ","BEST_FPERIOD_OVERRIDE=FQ","FILING_STATUS=MR","SCALING_FORMAT=MLN","Sort=A","Dates=H","DateFormat=P","Fill=—","Direction=H","UseDPDF=Y")</f>
        <v>14.3</v>
      </c>
      <c r="J47" s="13" cm="1">
        <f t="array" ref="J47">_xll.BDH("PCAR US Equity","OTHER_CURRENT_LIABS_SUB_DETAILED","FQ2 2020","FQ2 2020","Currency=USD","Period=FQ","BEST_FPERIOD_OVERRIDE=FQ","FILING_STATUS=MR","SCALING_FORMAT=MLN","Sort=A","Dates=H","DateFormat=P","Fill=—","Direction=H","UseDPDF=Y")</f>
        <v>4.3</v>
      </c>
      <c r="K47" s="13" cm="1">
        <f t="array" ref="K47">_xll.BDH("PCAR US Equity","OTHER_CURRENT_LIABS_SUB_DETAILED","FQ3 2020","FQ3 2020","Currency=USD","Period=FQ","BEST_FPERIOD_OVERRIDE=FQ","FILING_STATUS=MR","SCALING_FORMAT=MLN","Sort=A","Dates=H","DateFormat=P","Fill=—","Direction=H","UseDPDF=Y")</f>
        <v>11.9</v>
      </c>
      <c r="L47" s="13" cm="1">
        <f t="array" ref="L47">_xll.BDH("PCAR US Equity","OTHER_CURRENT_LIABS_SUB_DETAILED","FQ4 2020","FQ4 2020","Currency=USD","Period=FQ","BEST_FPERIOD_OVERRIDE=FQ","FILING_STATUS=MR","SCALING_FORMAT=MLN","Sort=A","Dates=H","DateFormat=P","Fill=—","Direction=H","UseDPDF=Y")</f>
        <v>242.6</v>
      </c>
      <c r="M47" s="13" cm="1">
        <f t="array" ref="M47">_xll.BDH("PCAR US Equity","OTHER_CURRENT_LIABS_SUB_DETAILED","FQ1 2021","FQ1 2021","Currency=USD","Period=FQ","BEST_FPERIOD_OVERRIDE=FQ","FILING_STATUS=MR","SCALING_FORMAT=MLN","Sort=A","Dates=H","DateFormat=P","Fill=—","Direction=H","UseDPDF=Y")</f>
        <v>11.4</v>
      </c>
      <c r="N47" s="13" cm="1">
        <f t="array" ref="N47">_xll.BDH("PCAR US Equity","OTHER_CURRENT_LIABS_SUB_DETAILED","FQ2 2021","FQ2 2021","Currency=USD","Period=FQ","BEST_FPERIOD_OVERRIDE=FQ","FILING_STATUS=MR","SCALING_FORMAT=MLN","Sort=A","Dates=H","DateFormat=P","Fill=—","Direction=H","UseDPDF=Y")</f>
        <v>27.1</v>
      </c>
      <c r="O47" s="13" cm="1">
        <f t="array" ref="O47">_xll.BDH("PCAR US Equity","OTHER_CURRENT_LIABS_SUB_DETAILED","FQ3 2021","FQ3 2021","Currency=USD","Period=FQ","BEST_FPERIOD_OVERRIDE=FQ","FILING_STATUS=MR","SCALING_FORMAT=MLN","Sort=A","Dates=H","DateFormat=P","Fill=—","Direction=H","UseDPDF=Y")</f>
        <v>0</v>
      </c>
      <c r="P47" s="13" cm="1">
        <f t="array" ref="P47">_xll.BDH("PCAR US Equity","OTHER_CURRENT_LIABS_SUB_DETAILED","FQ4 2021","FQ4 2021","Currency=USD","Period=FQ","BEST_FPERIOD_OVERRIDE=FQ","FILING_STATUS=MR","SCALING_FORMAT=MLN","Sort=A","Dates=H","DateFormat=P","Fill=—","Direction=H","UseDPDF=Y")</f>
        <v>521.1</v>
      </c>
      <c r="Q47" s="13" cm="1">
        <f t="array" ref="Q47">_xll.BDH("PCAR US Equity","OTHER_CURRENT_LIABS_SUB_DETAILED","FQ1 2022","FQ1 2022","Currency=USD","Period=FQ","BEST_FPERIOD_OVERRIDE=FQ","FILING_STATUS=MR","SCALING_FORMAT=MLN","Sort=A","Dates=H","DateFormat=P","Fill=—","Direction=H","UseDPDF=Y")</f>
        <v>1.8</v>
      </c>
      <c r="R47" s="13" cm="1">
        <f t="array" ref="R47">_xll.BDH("PCAR US Equity","OTHER_CURRENT_LIABS_SUB_DETAILED","FQ2 2022","FQ2 2022","Currency=USD","Period=FQ","BEST_FPERIOD_OVERRIDE=FQ","FILING_STATUS=MR","SCALING_FORMAT=MLN","Sort=A","Dates=H","DateFormat=P","Fill=—","Direction=H","UseDPDF=Y")</f>
        <v>22.6</v>
      </c>
      <c r="S47" s="13" cm="1">
        <f t="array" ref="S47">_xll.BDH("PCAR US Equity","OTHER_CURRENT_LIABS_SUB_DETAILED","FQ3 2022","FQ3 2022","Currency=USD","Period=FQ","BEST_FPERIOD_OVERRIDE=FQ","FILING_STATUS=MR","SCALING_FORMAT=MLN","Sort=A","Dates=H","DateFormat=P","Fill=—","Direction=H","UseDPDF=Y")</f>
        <v>0</v>
      </c>
      <c r="T47" s="13" cm="1">
        <f t="array" ref="T47">_xll.BDH("PCAR US Equity","OTHER_CURRENT_LIABS_SUB_DETAILED","FQ4 2022","FQ4 2022","Currency=USD","Period=FQ","BEST_FPERIOD_OVERRIDE=FQ","FILING_STATUS=MR","SCALING_FORMAT=MLN","Sort=A","Dates=H","DateFormat=P","Fill=—","Direction=H","UseDPDF=Y")</f>
        <v>974.6</v>
      </c>
      <c r="U47" s="13" cm="1">
        <f t="array" ref="U47">_xll.BDH("PCAR US Equity","OTHER_CURRENT_LIABS_SUB_DETAILED","FQ1 2023","FQ1 2023","Currency=USD","Period=FQ","BEST_FPERIOD_OVERRIDE=FQ","FILING_STATUS=MR","SCALING_FORMAT=MLN","Sort=A","Dates=H","DateFormat=P","Fill=—","Direction=H","UseDPDF=Y")</f>
        <v>0</v>
      </c>
      <c r="V47" s="13" cm="1">
        <f t="array" ref="V47">_xll.BDH("PCAR US Equity","OTHER_CURRENT_LIABS_SUB_DETAILED","FQ2 2023","FQ2 2023","Currency=USD","Period=FQ","BEST_FPERIOD_OVERRIDE=FQ","FILING_STATUS=MR","SCALING_FORMAT=MLN","Sort=A","Dates=H","DateFormat=P","Fill=—","Direction=H","UseDPDF=Y")</f>
        <v>0</v>
      </c>
      <c r="W47" s="13" cm="1">
        <f t="array" ref="W47">_xll.BDH("PCAR US Equity","OTHER_CURRENT_LIABS_SUB_DETAILED","FQ3 2023","FQ3 2023","Currency=USD","Period=FQ","BEST_FPERIOD_OVERRIDE=FQ","FILING_STATUS=MR","SCALING_FORMAT=MLN","Sort=A","Dates=H","DateFormat=P","Fill=—","Direction=H","UseDPDF=Y")</f>
        <v>17.399999999999999</v>
      </c>
      <c r="X47" s="13" cm="1">
        <f t="array" ref="X47">_xll.BDH("PCAR US Equity","OTHER_CURRENT_LIABS_SUB_DETAILED","FQ4 2023","FQ4 2023","Currency=USD","Period=FQ","BEST_FPERIOD_OVERRIDE=FQ","FILING_STATUS=MR","SCALING_FORMAT=MLN","Sort=A","Dates=H","DateFormat=P","Fill=—","Direction=H","UseDPDF=Y")</f>
        <v>1675</v>
      </c>
      <c r="Y47" s="13" cm="1">
        <f t="array" ref="Y47">_xll.BDH("PCAR US Equity","OTHER_CURRENT_LIABS_SUB_DETAILED","FQ1 2024","FQ1 2024","Currency=USD","Period=FQ","BEST_FPERIOD_OVERRIDE=FQ","FILING_STATUS=MR","SCALING_FORMAT=MLN","Sort=A","Dates=H","DateFormat=P","Fill=—","Direction=H","UseDPDF=Y")</f>
        <v>0</v>
      </c>
      <c r="Z47" s="13" cm="1">
        <f t="array" ref="Z47">_xll.BDH("PCAR US Equity","OTHER_CURRENT_LIABS_SUB_DETAILED","FQ2 2024","FQ2 2024","Currency=USD","Period=FQ","BEST_FPERIOD_OVERRIDE=FQ","FILING_STATUS=MR","SCALING_FORMAT=MLN","Sort=A","Dates=H","DateFormat=P","Fill=—","Direction=H","UseDPDF=Y")</f>
        <v>0</v>
      </c>
      <c r="AA47" s="13" cm="1">
        <f t="array" ref="AA47">_xll.BDH("PCAR US Equity","OTHER_CURRENT_LIABS_SUB_DETAILED","FQ3 2024","FQ3 2024","Currency=USD","Period=FQ","BEST_FPERIOD_OVERRIDE=FQ","FILING_STATUS=MR","SCALING_FORMAT=MLN","Sort=A","Dates=H","DateFormat=P","Fill=—","Direction=H","UseDPDF=Y")</f>
        <v>1</v>
      </c>
      <c r="AB47" s="13" cm="1">
        <f t="array" ref="AB47">_xll.BDH("PCAR US Equity","OTHER_CURRENT_LIABS_SUB_DETAILED","FQ4 2024","FQ4 2024","Currency=USD","Period=FQ","BEST_FPERIOD_OVERRIDE=FQ","FILING_STATUS=MR","SCALING_FORMAT=MLN","Sort=A","Dates=H","DateFormat=P","Fill=—","Direction=H","UseDPDF=Y")</f>
        <v>1573.8</v>
      </c>
      <c r="AC47" s="13" cm="1">
        <f t="array" ref="AC47">_xll.BDH("PCAR US Equity","OTHER_CURRENT_LIABS_SUB_DETAILED","FQ1 2025","FQ1 2025","Currency=USD","Period=FQ","BEST_FPERIOD_OVERRIDE=FQ","FILING_STATUS=MR","SCALING_FORMAT=MLN","Sort=A","Dates=H","DateFormat=P","Fill=—","Direction=H","UseDPDF=Y")</f>
        <v>0</v>
      </c>
      <c r="AD47" s="13" cm="1">
        <f t="array" ref="AD47">_xll.BDH("PCAR US Equity","OTHER_CURRENT_LIABS_SUB_DETAILED","FQ2 2025","FQ2 2025","Currency=USD","Period=FQ","BEST_FPERIOD_OVERRIDE=FQ","FILING_STATUS=MR","SCALING_FORMAT=MLN","Sort=A","Dates=H","DateFormat=P","Fill=—","Direction=H","UseDPDF=Y")</f>
        <v>0</v>
      </c>
      <c r="AE47" s="13" cm="1">
        <f t="array" ref="AE47">_xll.BDH("PCAR US Equity","OTHER_CURRENT_LIABS_SUB_DETAILED","FQ3 2025","FQ3 2025","Currency=USD","Period=FQ","BEST_FPERIOD_OVERRIDE=FQ","FILING_STATUS=MR","SCALING_FORMAT=MLN","Sort=A","Dates=H","DateFormat=P","Fill=—","Direction=H","UseDPDF=Y")</f>
        <v>1.7</v>
      </c>
      <c r="AF47" s="13" cm="1">
        <f t="array" ref="AF47">_xll.BDH("PCAR US Equity","OTHER_CURRENT_LIABS_SUB_DETAILED","FQ4 2025","FQ4 2025","Currency=USD","Period=FQ","BEST_FPERIOD_OVERRIDE=FQ","FILING_STATUS=MR","SCALING_FORMAT=MLN","Sort=A","Dates=H","DateFormat=P","Fill=—","Direction=H","UseDPDF=Y")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10" t="s">
        <v>143</v>
      </c>
      <c r="B48" s="10" t="s">
        <v>144</v>
      </c>
      <c r="C48" s="13" t="str" cm="1">
        <f t="array" ref="C48">_xll.BDH("PCAR US Equity","ST_DEFERRED_REVENUE","FQ3 2018","FQ3 2018","Currency=USD","Period=FQ","BEST_FPERIOD_OVERRIDE=FQ","FILING_STATUS=MR","SCALING_FORMAT=MLN","Sort=A","Dates=H","DateFormat=P","Fill=—","Direction=H","UseDPDF=Y")</f>
        <v>—</v>
      </c>
      <c r="D48" s="13" cm="1">
        <f t="array" ref="D48">_xll.BDH("PCAR US Equity","ST_DEFERRED_REVENUE","FQ4 2018","FQ4 2018","Currency=USD","Period=FQ","BEST_FPERIOD_OVERRIDE=FQ","FILING_STATUS=MR","SCALING_FORMAT=MLN","Sort=A","Dates=H","DateFormat=P","Fill=—","Direction=H","UseDPDF=Y")</f>
        <v>0</v>
      </c>
      <c r="E48" s="13" t="str" cm="1">
        <f t="array" ref="E48">_xll.BDH("PCAR US Equity","ST_DEFERRED_REVENUE","FQ1 2019","FQ1 2019","Currency=USD","Period=FQ","BEST_FPERIOD_OVERRIDE=FQ","FILING_STATUS=MR","SCALING_FORMAT=MLN","Sort=A","Dates=H","DateFormat=P","Fill=—","Direction=H","UseDPDF=Y")</f>
        <v>—</v>
      </c>
      <c r="F48" s="13" t="str" cm="1">
        <f t="array" ref="F48">_xll.BDH("PCAR US Equity","ST_DEFERRED_REVENUE","FQ2 2019","FQ2 2019","Currency=USD","Period=FQ","BEST_FPERIOD_OVERRIDE=FQ","FILING_STATUS=MR","SCALING_FORMAT=MLN","Sort=A","Dates=H","DateFormat=P","Fill=—","Direction=H","UseDPDF=Y")</f>
        <v>—</v>
      </c>
      <c r="G48" s="13" t="str" cm="1">
        <f t="array" ref="G48">_xll.BDH("PCAR US Equity","ST_DEFERRED_REVENUE","FQ3 2019","FQ3 2019","Currency=USD","Period=FQ","BEST_FPERIOD_OVERRIDE=FQ","FILING_STATUS=MR","SCALING_FORMAT=MLN","Sort=A","Dates=H","DateFormat=P","Fill=—","Direction=H","UseDPDF=Y")</f>
        <v>—</v>
      </c>
      <c r="H48" s="13" cm="1">
        <f t="array" ref="H48">_xll.BDH("PCAR US Equity","ST_DEFERRED_REVENUE","FQ4 2019","FQ4 2019","Currency=USD","Period=FQ","BEST_FPERIOD_OVERRIDE=FQ","FILING_STATUS=MR","SCALING_FORMAT=MLN","Sort=A","Dates=H","DateFormat=P","Fill=—","Direction=H","UseDPDF=Y")</f>
        <v>0</v>
      </c>
      <c r="I48" s="13" t="str" cm="1">
        <f t="array" ref="I48">_xll.BDH("PCAR US Equity","ST_DEFERRED_REVENUE","FQ1 2020","FQ1 2020","Currency=USD","Period=FQ","BEST_FPERIOD_OVERRIDE=FQ","FILING_STATUS=MR","SCALING_FORMAT=MLN","Sort=A","Dates=H","DateFormat=P","Fill=—","Direction=H","UseDPDF=Y")</f>
        <v>—</v>
      </c>
      <c r="J48" s="13" t="str" cm="1">
        <f t="array" ref="J48">_xll.BDH("PCAR US Equity","ST_DEFERRED_REVENUE","FQ2 2020","FQ2 2020","Currency=USD","Period=FQ","BEST_FPERIOD_OVERRIDE=FQ","FILING_STATUS=MR","SCALING_FORMAT=MLN","Sort=A","Dates=H","DateFormat=P","Fill=—","Direction=H","UseDPDF=Y")</f>
        <v>—</v>
      </c>
      <c r="K48" s="13" t="str" cm="1">
        <f t="array" ref="K48">_xll.BDH("PCAR US Equity","ST_DEFERRED_REVENUE","FQ3 2020","FQ3 2020","Currency=USD","Period=FQ","BEST_FPERIOD_OVERRIDE=FQ","FILING_STATUS=MR","SCALING_FORMAT=MLN","Sort=A","Dates=H","DateFormat=P","Fill=—","Direction=H","UseDPDF=Y")</f>
        <v>—</v>
      </c>
      <c r="L48" s="13" cm="1">
        <f t="array" ref="L48">_xll.BDH("PCAR US Equity","ST_DEFERRED_REVENUE","FQ4 2020","FQ4 2020","Currency=USD","Period=FQ","BEST_FPERIOD_OVERRIDE=FQ","FILING_STATUS=MR","SCALING_FORMAT=MLN","Sort=A","Dates=H","DateFormat=P","Fill=—","Direction=H","UseDPDF=Y")</f>
        <v>0</v>
      </c>
      <c r="M48" s="13" t="str" cm="1">
        <f t="array" ref="M48">_xll.BDH("PCAR US Equity","ST_DEFERRED_REVENUE","FQ1 2021","FQ1 2021","Currency=USD","Period=FQ","BEST_FPERIOD_OVERRIDE=FQ","FILING_STATUS=MR","SCALING_FORMAT=MLN","Sort=A","Dates=H","DateFormat=P","Fill=—","Direction=H","UseDPDF=Y")</f>
        <v>—</v>
      </c>
      <c r="N48" s="13" t="str" cm="1">
        <f t="array" ref="N48">_xll.BDH("PCAR US Equity","ST_DEFERRED_REVENUE","FQ2 2021","FQ2 2021","Currency=USD","Period=FQ","BEST_FPERIOD_OVERRIDE=FQ","FILING_STATUS=MR","SCALING_FORMAT=MLN","Sort=A","Dates=H","DateFormat=P","Fill=—","Direction=H","UseDPDF=Y")</f>
        <v>—</v>
      </c>
      <c r="O48" s="13" t="str" cm="1">
        <f t="array" ref="O48">_xll.BDH("PCAR US Equity","ST_DEFERRED_REVENUE","FQ3 2021","FQ3 2021","Currency=USD","Period=FQ","BEST_FPERIOD_OVERRIDE=FQ","FILING_STATUS=MR","SCALING_FORMAT=MLN","Sort=A","Dates=H","DateFormat=P","Fill=—","Direction=H","UseDPDF=Y")</f>
        <v>—</v>
      </c>
      <c r="P48" s="13" cm="1">
        <f t="array" ref="P48">_xll.BDH("PCAR US Equity","ST_DEFERRED_REVENUE","FQ4 2021","FQ4 2021","Currency=USD","Period=FQ","BEST_FPERIOD_OVERRIDE=FQ","FILING_STATUS=MR","SCALING_FORMAT=MLN","Sort=A","Dates=H","DateFormat=P","Fill=—","Direction=H","UseDPDF=Y")</f>
        <v>0</v>
      </c>
      <c r="Q48" s="13" t="str" cm="1">
        <f t="array" ref="Q48">_xll.BDH("PCAR US Equity","ST_DEFERRED_REVENUE","FQ1 2022","FQ1 2022","Currency=USD","Period=FQ","BEST_FPERIOD_OVERRIDE=FQ","FILING_STATUS=MR","SCALING_FORMAT=MLN","Sort=A","Dates=H","DateFormat=P","Fill=—","Direction=H","UseDPDF=Y")</f>
        <v>—</v>
      </c>
      <c r="R48" s="13" t="str" cm="1">
        <f t="array" ref="R48">_xll.BDH("PCAR US Equity","ST_DEFERRED_REVENUE","FQ2 2022","FQ2 2022","Currency=USD","Period=FQ","BEST_FPERIOD_OVERRIDE=FQ","FILING_STATUS=MR","SCALING_FORMAT=MLN","Sort=A","Dates=H","DateFormat=P","Fill=—","Direction=H","UseDPDF=Y")</f>
        <v>—</v>
      </c>
      <c r="S48" s="13" t="str" cm="1">
        <f t="array" ref="S48">_xll.BDH("PCAR US Equity","ST_DEFERRED_REVENUE","FQ3 2022","FQ3 2022","Currency=USD","Period=FQ","BEST_FPERIOD_OVERRIDE=FQ","FILING_STATUS=MR","SCALING_FORMAT=MLN","Sort=A","Dates=H","DateFormat=P","Fill=—","Direction=H","UseDPDF=Y")</f>
        <v>—</v>
      </c>
      <c r="T48" s="13" t="str" cm="1">
        <f t="array" ref="T48">_xll.BDH("PCAR US Equity","ST_DEFERRED_REVENUE","FQ4 2022","FQ4 2022","Currency=USD","Period=FQ","BEST_FPERIOD_OVERRIDE=FQ","FILING_STATUS=MR","SCALING_FORMAT=MLN","Sort=A","Dates=H","DateFormat=P","Fill=—","Direction=H","UseDPDF=Y")</f>
        <v>—</v>
      </c>
      <c r="U48" s="13" t="str" cm="1">
        <f t="array" ref="U48">_xll.BDH("PCAR US Equity","ST_DEFERRED_REVENUE","FQ1 2023","FQ1 2023","Currency=USD","Period=FQ","BEST_FPERIOD_OVERRIDE=FQ","FILING_STATUS=MR","SCALING_FORMAT=MLN","Sort=A","Dates=H","DateFormat=P","Fill=—","Direction=H","UseDPDF=Y")</f>
        <v>—</v>
      </c>
      <c r="V48" s="13" t="str" cm="1">
        <f t="array" ref="V48">_xll.BDH("PCAR US Equity","ST_DEFERRED_REVENUE","FQ2 2023","FQ2 2023","Currency=USD","Period=FQ","BEST_FPERIOD_OVERRIDE=FQ","FILING_STATUS=MR","SCALING_FORMAT=MLN","Sort=A","Dates=H","DateFormat=P","Fill=—","Direction=H","UseDPDF=Y")</f>
        <v>—</v>
      </c>
      <c r="W48" s="13" t="str" cm="1">
        <f t="array" ref="W48">_xll.BDH("PCAR US Equity","ST_DEFERRED_REVENUE","FQ3 2023","FQ3 2023","Currency=USD","Period=FQ","BEST_FPERIOD_OVERRIDE=FQ","FILING_STATUS=MR","SCALING_FORMAT=MLN","Sort=A","Dates=H","DateFormat=P","Fill=—","Direction=H","UseDPDF=Y")</f>
        <v>—</v>
      </c>
      <c r="X48" s="13" cm="1">
        <f t="array" ref="X48">_xll.BDH("PCAR US Equity","ST_DEFERRED_REVENUE","FQ4 2023","FQ4 2023","Currency=USD","Period=FQ","BEST_FPERIOD_OVERRIDE=FQ","FILING_STATUS=MR","SCALING_FORMAT=MLN","Sort=A","Dates=H","DateFormat=P","Fill=—","Direction=H","UseDPDF=Y")</f>
        <v>0</v>
      </c>
      <c r="Y48" s="13" t="str" cm="1">
        <f t="array" ref="Y48">_xll.BDH("PCAR US Equity","ST_DEFERRED_REVENUE","FQ1 2024","FQ1 2024","Currency=USD","Period=FQ","BEST_FPERIOD_OVERRIDE=FQ","FILING_STATUS=MR","SCALING_FORMAT=MLN","Sort=A","Dates=H","DateFormat=P","Fill=—","Direction=H","UseDPDF=Y")</f>
        <v>—</v>
      </c>
      <c r="Z48" s="13" t="str" cm="1">
        <f t="array" ref="Z48">_xll.BDH("PCAR US Equity","ST_DEFERRED_REVENUE","FQ2 2024","FQ2 2024","Currency=USD","Period=FQ","BEST_FPERIOD_OVERRIDE=FQ","FILING_STATUS=MR","SCALING_FORMAT=MLN","Sort=A","Dates=H","DateFormat=P","Fill=—","Direction=H","UseDPDF=Y")</f>
        <v>—</v>
      </c>
      <c r="AA48" s="13" t="str" cm="1">
        <f t="array" ref="AA48">_xll.BDH("PCAR US Equity","ST_DEFERRED_REVENUE","FQ3 2024","FQ3 2024","Currency=USD","Period=FQ","BEST_FPERIOD_OVERRIDE=FQ","FILING_STATUS=MR","SCALING_FORMAT=MLN","Sort=A","Dates=H","DateFormat=P","Fill=—","Direction=H","UseDPDF=Y")</f>
        <v>—</v>
      </c>
      <c r="AB48" s="13" cm="1">
        <f t="array" ref="AB48">_xll.BDH("PCAR US Equity","ST_DEFERRED_REVENUE","FQ4 2024","FQ4 2024","Currency=USD","Period=FQ","BEST_FPERIOD_OVERRIDE=FQ","FILING_STATUS=MR","SCALING_FORMAT=MLN","Sort=A","Dates=H","DateFormat=P","Fill=—","Direction=H","UseDPDF=Y")</f>
        <v>0</v>
      </c>
      <c r="AC48" s="13" t="str" cm="1">
        <f t="array" ref="AC48">_xll.BDH("PCAR US Equity","ST_DEFERRED_REVENUE","FQ1 2025","FQ1 2025","Currency=USD","Period=FQ","BEST_FPERIOD_OVERRIDE=FQ","FILING_STATUS=MR","SCALING_FORMAT=MLN","Sort=A","Dates=H","DateFormat=P","Fill=—","Direction=H","UseDPDF=Y")</f>
        <v>—</v>
      </c>
      <c r="AD48" s="13" t="str" cm="1">
        <f t="array" ref="AD48">_xll.BDH("PCAR US Equity","ST_DEFERRED_REVENUE","FQ2 2025","FQ2 2025","Currency=USD","Period=FQ","BEST_FPERIOD_OVERRIDE=FQ","FILING_STATUS=MR","SCALING_FORMAT=MLN","Sort=A","Dates=H","DateFormat=P","Fill=—","Direction=H","UseDPDF=Y")</f>
        <v>—</v>
      </c>
      <c r="AE48" s="13" t="str" cm="1">
        <f t="array" ref="AE48">_xll.BDH("PCAR US Equity","ST_DEFERRED_REVENUE","FQ3 2025","FQ3 2025","Currency=USD","Period=FQ","BEST_FPERIOD_OVERRIDE=FQ","FILING_STATUS=MR","SCALING_FORMAT=MLN","Sort=A","Dates=H","DateFormat=P","Fill=—","Direction=H","UseDPDF=Y")</f>
        <v>—</v>
      </c>
      <c r="AF48" s="13" t="str" cm="1">
        <f t="array" ref="AF48">_xll.BDH("PCAR US Equity","ST_DEFERRED_REVENUE","FQ4 2025","FQ4 2025","Currency=USD","Period=FQ","BEST_FPERIOD_OVERRIDE=FQ","FILING_STATUS=MR","SCALING_FORMAT=MLN","Sort=A","Dates=H","DateFormat=P","Fill=—","Direction=H","UseDPDF=Y")</f>
        <v>—</v>
      </c>
    </row>
    <row r="49" spans="1:32" x14ac:dyDescent="0.25">
      <c r="A49" s="10" t="s">
        <v>145</v>
      </c>
      <c r="B49" s="10" t="s">
        <v>146</v>
      </c>
      <c r="C49" s="13" cm="1">
        <f t="array" ref="C49">_xll.BDH("PCAR US Equity","BS_DERIV_HEDGING_LIAB_ST","FQ3 2018","FQ3 2018","Currency=USD","Period=FQ","BEST_FPERIOD_OVERRIDE=FQ","FILING_STATUS=MR","SCALING_FORMAT=MLN","Sort=A","Dates=H","DateFormat=P","Fill=—","Direction=H","UseDPDF=Y")</f>
        <v>4.7</v>
      </c>
      <c r="D49" s="13" cm="1">
        <f t="array" ref="D49">_xll.BDH("PCAR US Equity","BS_DERIV_HEDGING_LIAB_ST","FQ4 2018","FQ4 2018","Currency=USD","Period=FQ","BEST_FPERIOD_OVERRIDE=FQ","FILING_STATUS=MR","SCALING_FORMAT=MLN","Sort=A","Dates=H","DateFormat=P","Fill=—","Direction=H","UseDPDF=Y")</f>
        <v>5.0999999999999996</v>
      </c>
      <c r="E49" s="13" cm="1">
        <f t="array" ref="E49">_xll.BDH("PCAR US Equity","BS_DERIV_HEDGING_LIAB_ST","FQ1 2019","FQ1 2019","Currency=USD","Period=FQ","BEST_FPERIOD_OVERRIDE=FQ","FILING_STATUS=MR","SCALING_FORMAT=MLN","Sort=A","Dates=H","DateFormat=P","Fill=—","Direction=H","UseDPDF=Y")</f>
        <v>8.9</v>
      </c>
      <c r="F49" s="13" cm="1">
        <f t="array" ref="F49">_xll.BDH("PCAR US Equity","BS_DERIV_HEDGING_LIAB_ST","FQ2 2019","FQ2 2019","Currency=USD","Period=FQ","BEST_FPERIOD_OVERRIDE=FQ","FILING_STATUS=MR","SCALING_FORMAT=MLN","Sort=A","Dates=H","DateFormat=P","Fill=—","Direction=H","UseDPDF=Y")</f>
        <v>5.5</v>
      </c>
      <c r="G49" s="13" cm="1">
        <f t="array" ref="G49">_xll.BDH("PCAR US Equity","BS_DERIV_HEDGING_LIAB_ST","FQ3 2019","FQ3 2019","Currency=USD","Period=FQ","BEST_FPERIOD_OVERRIDE=FQ","FILING_STATUS=MR","SCALING_FORMAT=MLN","Sort=A","Dates=H","DateFormat=P","Fill=—","Direction=H","UseDPDF=Y")</f>
        <v>5.0999999999999996</v>
      </c>
      <c r="H49" s="13" cm="1">
        <f t="array" ref="H49">_xll.BDH("PCAR US Equity","BS_DERIV_HEDGING_LIAB_ST","FQ4 2019","FQ4 2019","Currency=USD","Period=FQ","BEST_FPERIOD_OVERRIDE=FQ","FILING_STATUS=MR","SCALING_FORMAT=MLN","Sort=A","Dates=H","DateFormat=P","Fill=—","Direction=H","UseDPDF=Y")</f>
        <v>11</v>
      </c>
      <c r="I49" s="13" cm="1">
        <f t="array" ref="I49">_xll.BDH("PCAR US Equity","BS_DERIV_HEDGING_LIAB_ST","FQ1 2020","FQ1 2020","Currency=USD","Period=FQ","BEST_FPERIOD_OVERRIDE=FQ","FILING_STATUS=MR","SCALING_FORMAT=MLN","Sort=A","Dates=H","DateFormat=P","Fill=—","Direction=H","UseDPDF=Y")</f>
        <v>14.3</v>
      </c>
      <c r="J49" s="13" cm="1">
        <f t="array" ref="J49">_xll.BDH("PCAR US Equity","BS_DERIV_HEDGING_LIAB_ST","FQ2 2020","FQ2 2020","Currency=USD","Period=FQ","BEST_FPERIOD_OVERRIDE=FQ","FILING_STATUS=MR","SCALING_FORMAT=MLN","Sort=A","Dates=H","DateFormat=P","Fill=—","Direction=H","UseDPDF=Y")</f>
        <v>4.3</v>
      </c>
      <c r="K49" s="13" cm="1">
        <f t="array" ref="K49">_xll.BDH("PCAR US Equity","BS_DERIV_HEDGING_LIAB_ST","FQ3 2020","FQ3 2020","Currency=USD","Period=FQ","BEST_FPERIOD_OVERRIDE=FQ","FILING_STATUS=MR","SCALING_FORMAT=MLN","Sort=A","Dates=H","DateFormat=P","Fill=—","Direction=H","UseDPDF=Y")</f>
        <v>11.9</v>
      </c>
      <c r="L49" s="13" cm="1">
        <f t="array" ref="L49">_xll.BDH("PCAR US Equity","BS_DERIV_HEDGING_LIAB_ST","FQ4 2020","FQ4 2020","Currency=USD","Period=FQ","BEST_FPERIOD_OVERRIDE=FQ","FILING_STATUS=MR","SCALING_FORMAT=MLN","Sort=A","Dates=H","DateFormat=P","Fill=—","Direction=H","UseDPDF=Y")</f>
        <v>39.200000000000003</v>
      </c>
      <c r="M49" s="13" cm="1">
        <f t="array" ref="M49">_xll.BDH("PCAR US Equity","BS_DERIV_HEDGING_LIAB_ST","FQ1 2021","FQ1 2021","Currency=USD","Period=FQ","BEST_FPERIOD_OVERRIDE=FQ","FILING_STATUS=MR","SCALING_FORMAT=MLN","Sort=A","Dates=H","DateFormat=P","Fill=—","Direction=H","UseDPDF=Y")</f>
        <v>11.4</v>
      </c>
      <c r="N49" s="13" cm="1">
        <f t="array" ref="N49">_xll.BDH("PCAR US Equity","BS_DERIV_HEDGING_LIAB_ST","FQ2 2021","FQ2 2021","Currency=USD","Period=FQ","BEST_FPERIOD_OVERRIDE=FQ","FILING_STATUS=MR","SCALING_FORMAT=MLN","Sort=A","Dates=H","DateFormat=P","Fill=—","Direction=H","UseDPDF=Y")</f>
        <v>27.1</v>
      </c>
      <c r="O49" s="13" t="str" cm="1">
        <f t="array" ref="O49">_xll.BDH("PCAR US Equity","BS_DERIV_HEDGING_LIAB_ST","FQ3 2021","FQ3 2021","Currency=USD","Period=FQ","BEST_FPERIOD_OVERRIDE=FQ","FILING_STATUS=MR","SCALING_FORMAT=MLN","Sort=A","Dates=H","DateFormat=P","Fill=—","Direction=H","UseDPDF=Y")</f>
        <v>—</v>
      </c>
      <c r="P49" s="13" cm="1">
        <f t="array" ref="P49">_xll.BDH("PCAR US Equity","BS_DERIV_HEDGING_LIAB_ST","FQ4 2021","FQ4 2021","Currency=USD","Period=FQ","BEST_FPERIOD_OVERRIDE=FQ","FILING_STATUS=MR","SCALING_FORMAT=MLN","Sort=A","Dates=H","DateFormat=P","Fill=—","Direction=H","UseDPDF=Y")</f>
        <v>16.899999999999999</v>
      </c>
      <c r="Q49" s="13" cm="1">
        <f t="array" ref="Q49">_xll.BDH("PCAR US Equity","BS_DERIV_HEDGING_LIAB_ST","FQ1 2022","FQ1 2022","Currency=USD","Period=FQ","BEST_FPERIOD_OVERRIDE=FQ","FILING_STATUS=MR","SCALING_FORMAT=MLN","Sort=A","Dates=H","DateFormat=P","Fill=—","Direction=H","UseDPDF=Y")</f>
        <v>1.8</v>
      </c>
      <c r="R49" s="13" cm="1">
        <f t="array" ref="R49">_xll.BDH("PCAR US Equity","BS_DERIV_HEDGING_LIAB_ST","FQ2 2022","FQ2 2022","Currency=USD","Period=FQ","BEST_FPERIOD_OVERRIDE=FQ","FILING_STATUS=MR","SCALING_FORMAT=MLN","Sort=A","Dates=H","DateFormat=P","Fill=—","Direction=H","UseDPDF=Y")</f>
        <v>22.6</v>
      </c>
      <c r="S49" s="13" t="str" cm="1">
        <f t="array" ref="S49">_xll.BDH("PCAR US Equity","BS_DERIV_HEDGING_LIAB_ST","FQ3 2022","FQ3 2022","Currency=USD","Period=FQ","BEST_FPERIOD_OVERRIDE=FQ","FILING_STATUS=MR","SCALING_FORMAT=MLN","Sort=A","Dates=H","DateFormat=P","Fill=—","Direction=H","UseDPDF=Y")</f>
        <v>—</v>
      </c>
      <c r="T49" s="13" cm="1">
        <f t="array" ref="T49">_xll.BDH("PCAR US Equity","BS_DERIV_HEDGING_LIAB_ST","FQ4 2022","FQ4 2022","Currency=USD","Period=FQ","BEST_FPERIOD_OVERRIDE=FQ","FILING_STATUS=MR","SCALING_FORMAT=MLN","Sort=A","Dates=H","DateFormat=P","Fill=—","Direction=H","UseDPDF=Y")</f>
        <v>9.8000000000000007</v>
      </c>
      <c r="U49" s="13" t="str" cm="1">
        <f t="array" ref="U49">_xll.BDH("PCAR US Equity","BS_DERIV_HEDGING_LIAB_ST","FQ1 2023","FQ1 2023","Currency=USD","Period=FQ","BEST_FPERIOD_OVERRIDE=FQ","FILING_STATUS=MR","SCALING_FORMAT=MLN","Sort=A","Dates=H","DateFormat=P","Fill=—","Direction=H","UseDPDF=Y")</f>
        <v>—</v>
      </c>
      <c r="V49" s="13" t="str" cm="1">
        <f t="array" ref="V49">_xll.BDH("PCAR US Equity","BS_DERIV_HEDGING_LIAB_ST","FQ2 2023","FQ2 2023","Currency=USD","Period=FQ","BEST_FPERIOD_OVERRIDE=FQ","FILING_STATUS=MR","SCALING_FORMAT=MLN","Sort=A","Dates=H","DateFormat=P","Fill=—","Direction=H","UseDPDF=Y")</f>
        <v>—</v>
      </c>
      <c r="W49" s="13" cm="1">
        <f t="array" ref="W49">_xll.BDH("PCAR US Equity","BS_DERIV_HEDGING_LIAB_ST","FQ3 2023","FQ3 2023","Currency=USD","Period=FQ","BEST_FPERIOD_OVERRIDE=FQ","FILING_STATUS=MR","SCALING_FORMAT=MLN","Sort=A","Dates=H","DateFormat=P","Fill=—","Direction=H","UseDPDF=Y")</f>
        <v>17.399999999999999</v>
      </c>
      <c r="X49" s="13" cm="1">
        <f t="array" ref="X49">_xll.BDH("PCAR US Equity","BS_DERIV_HEDGING_LIAB_ST","FQ4 2023","FQ4 2023","Currency=USD","Period=FQ","BEST_FPERIOD_OVERRIDE=FQ","FILING_STATUS=MR","SCALING_FORMAT=MLN","Sort=A","Dates=H","DateFormat=P","Fill=—","Direction=H","UseDPDF=Y")</f>
        <v>25.3</v>
      </c>
      <c r="Y49" s="13" t="str" cm="1">
        <f t="array" ref="Y49">_xll.BDH("PCAR US Equity","BS_DERIV_HEDGING_LIAB_ST","FQ1 2024","FQ1 2024","Currency=USD","Period=FQ","BEST_FPERIOD_OVERRIDE=FQ","FILING_STATUS=MR","SCALING_FORMAT=MLN","Sort=A","Dates=H","DateFormat=P","Fill=—","Direction=H","UseDPDF=Y")</f>
        <v>—</v>
      </c>
      <c r="Z49" s="13" t="str" cm="1">
        <f t="array" ref="Z49">_xll.BDH("PCAR US Equity","BS_DERIV_HEDGING_LIAB_ST","FQ2 2024","FQ2 2024","Currency=USD","Period=FQ","BEST_FPERIOD_OVERRIDE=FQ","FILING_STATUS=MR","SCALING_FORMAT=MLN","Sort=A","Dates=H","DateFormat=P","Fill=—","Direction=H","UseDPDF=Y")</f>
        <v>—</v>
      </c>
      <c r="AA49" s="13" cm="1">
        <f t="array" ref="AA49">_xll.BDH("PCAR US Equity","BS_DERIV_HEDGING_LIAB_ST","FQ3 2024","FQ3 2024","Currency=USD","Period=FQ","BEST_FPERIOD_OVERRIDE=FQ","FILING_STATUS=MR","SCALING_FORMAT=MLN","Sort=A","Dates=H","DateFormat=P","Fill=—","Direction=H","UseDPDF=Y")</f>
        <v>1</v>
      </c>
      <c r="AB49" s="13" cm="1">
        <f t="array" ref="AB49">_xll.BDH("PCAR US Equity","BS_DERIV_HEDGING_LIAB_ST","FQ4 2024","FQ4 2024","Currency=USD","Period=FQ","BEST_FPERIOD_OVERRIDE=FQ","FILING_STATUS=MR","SCALING_FORMAT=MLN","Sort=A","Dates=H","DateFormat=P","Fill=—","Direction=H","UseDPDF=Y")</f>
        <v>5.4</v>
      </c>
      <c r="AC49" s="13" t="str" cm="1">
        <f t="array" ref="AC49">_xll.BDH("PCAR US Equity","BS_DERIV_HEDGING_LIAB_ST","FQ1 2025","FQ1 2025","Currency=USD","Period=FQ","BEST_FPERIOD_OVERRIDE=FQ","FILING_STATUS=MR","SCALING_FORMAT=MLN","Sort=A","Dates=H","DateFormat=P","Fill=—","Direction=H","UseDPDF=Y")</f>
        <v>—</v>
      </c>
      <c r="AD49" s="13" t="str" cm="1">
        <f t="array" ref="AD49">_xll.BDH("PCAR US Equity","BS_DERIV_HEDGING_LIAB_ST","FQ2 2025","FQ2 2025","Currency=USD","Period=FQ","BEST_FPERIOD_OVERRIDE=FQ","FILING_STATUS=MR","SCALING_FORMAT=MLN","Sort=A","Dates=H","DateFormat=P","Fill=—","Direction=H","UseDPDF=Y")</f>
        <v>—</v>
      </c>
      <c r="AE49" s="13" cm="1">
        <f t="array" ref="AE49">_xll.BDH("PCAR US Equity","BS_DERIV_HEDGING_LIAB_ST","FQ3 2025","FQ3 2025","Currency=USD","Period=FQ","BEST_FPERIOD_OVERRIDE=FQ","FILING_STATUS=MR","SCALING_FORMAT=MLN","Sort=A","Dates=H","DateFormat=P","Fill=—","Direction=H","UseDPDF=Y")</f>
        <v>1.7</v>
      </c>
      <c r="AF49" s="13" t="str" cm="1">
        <f t="array" ref="AF49">_xll.BDH("PCAR US Equity","BS_DERIV_HEDGING_LIAB_ST","FQ4 2025","FQ4 2025","Currency=USD","Period=FQ","BEST_FPERIOD_OVERRIDE=FQ","FILING_STATUS=MR","SCALING_FORMAT=MLN","Sort=A","Dates=H","DateFormat=P","Fill=—","Direction=H","UseDPDF=Y")</f>
        <v>—</v>
      </c>
    </row>
    <row r="50" spans="1:32" x14ac:dyDescent="0.25">
      <c r="A50" s="10" t="s">
        <v>147</v>
      </c>
      <c r="B50" s="10" t="s">
        <v>148</v>
      </c>
      <c r="C50" s="13" t="str" cm="1">
        <f t="array" ref="C50">_xll.BDH("PCAR US Equity","BS_DEFERRED_TAX_LIABS_ST","FQ3 2018","FQ3 2018","Currency=USD","Period=FQ","BEST_FPERIOD_OVERRIDE=FQ","FILING_STATUS=MR","SCALING_FORMAT=MLN","Sort=A","Dates=H","DateFormat=P","Fill=—","Direction=H","UseDPDF=Y")</f>
        <v>—</v>
      </c>
      <c r="D50" s="13" t="str" cm="1">
        <f t="array" ref="D50">_xll.BDH("PCAR US Equity","BS_DEFERRED_TAX_LIABS_ST","FQ4 2018","FQ4 2018","Currency=USD","Period=FQ","BEST_FPERIOD_OVERRIDE=FQ","FILING_STATUS=MR","SCALING_FORMAT=MLN","Sort=A","Dates=H","DateFormat=P","Fill=—","Direction=H","UseDPDF=Y")</f>
        <v>—</v>
      </c>
      <c r="E50" s="13" t="str" cm="1">
        <f t="array" ref="E50">_xll.BDH("PCAR US Equity","BS_DEFERRED_TAX_LIABS_ST","FQ1 2019","FQ1 2019","Currency=USD","Period=FQ","BEST_FPERIOD_OVERRIDE=FQ","FILING_STATUS=MR","SCALING_FORMAT=MLN","Sort=A","Dates=H","DateFormat=P","Fill=—","Direction=H","UseDPDF=Y")</f>
        <v>—</v>
      </c>
      <c r="F50" s="13" t="str" cm="1">
        <f t="array" ref="F50">_xll.BDH("PCAR US Equity","BS_DEFERRED_TAX_LIABS_ST","FQ2 2019","FQ2 2019","Currency=USD","Period=FQ","BEST_FPERIOD_OVERRIDE=FQ","FILING_STATUS=MR","SCALING_FORMAT=MLN","Sort=A","Dates=H","DateFormat=P","Fill=—","Direction=H","UseDPDF=Y")</f>
        <v>—</v>
      </c>
      <c r="G50" s="13" cm="1">
        <f t="array" ref="G50">_xll.BDH("PCAR US Equity","BS_DEFERRED_TAX_LIABS_ST","FQ3 2019","FQ3 2019","Currency=USD","Period=FQ","BEST_FPERIOD_OVERRIDE=FQ","FILING_STATUS=MR","SCALING_FORMAT=MLN","Sort=A","Dates=H","DateFormat=P","Fill=—","Direction=H","UseDPDF=Y")</f>
        <v>646</v>
      </c>
      <c r="H50" s="13" t="str" cm="1">
        <f t="array" ref="H50">_xll.BDH("PCAR US Equity","BS_DEFERRED_TAX_LIABS_ST","FQ4 2019","FQ4 2019","Currency=USD","Period=FQ","BEST_FPERIOD_OVERRIDE=FQ","FILING_STATUS=MR","SCALING_FORMAT=MLN","Sort=A","Dates=H","DateFormat=P","Fill=—","Direction=H","UseDPDF=Y")</f>
        <v>—</v>
      </c>
      <c r="I50" s="13" t="str" cm="1">
        <f t="array" ref="I50">_xll.BDH("PCAR US Equity","BS_DEFERRED_TAX_LIABS_ST","FQ1 2020","FQ1 2020","Currency=USD","Period=FQ","BEST_FPERIOD_OVERRIDE=FQ","FILING_STATUS=MR","SCALING_FORMAT=MLN","Sort=A","Dates=H","DateFormat=P","Fill=—","Direction=H","UseDPDF=Y")</f>
        <v>—</v>
      </c>
      <c r="J50" s="13" t="str" cm="1">
        <f t="array" ref="J50">_xll.BDH("PCAR US Equity","BS_DEFERRED_TAX_LIABS_ST","FQ2 2020","FQ2 2020","Currency=USD","Period=FQ","BEST_FPERIOD_OVERRIDE=FQ","FILING_STATUS=MR","SCALING_FORMAT=MLN","Sort=A","Dates=H","DateFormat=P","Fill=—","Direction=H","UseDPDF=Y")</f>
        <v>—</v>
      </c>
      <c r="K50" s="13" t="str" cm="1">
        <f t="array" ref="K50">_xll.BDH("PCAR US Equity","BS_DEFERRED_TAX_LIABS_ST","FQ3 2020","FQ3 2020","Currency=USD","Period=FQ","BEST_FPERIOD_OVERRIDE=FQ","FILING_STATUS=MR","SCALING_FORMAT=MLN","Sort=A","Dates=H","DateFormat=P","Fill=—","Direction=H","UseDPDF=Y")</f>
        <v>—</v>
      </c>
      <c r="L50" s="13" t="str" cm="1">
        <f t="array" ref="L50">_xll.BDH("PCAR US Equity","BS_DEFERRED_TAX_LIABS_ST","FQ4 2020","FQ4 2020","Currency=USD","Period=FQ","BEST_FPERIOD_OVERRIDE=FQ","FILING_STATUS=MR","SCALING_FORMAT=MLN","Sort=A","Dates=H","DateFormat=P","Fill=—","Direction=H","UseDPDF=Y")</f>
        <v>—</v>
      </c>
      <c r="M50" s="13" t="str" cm="1">
        <f t="array" ref="M50">_xll.BDH("PCAR US Equity","BS_DEFERRED_TAX_LIABS_ST","FQ1 2021","FQ1 2021","Currency=USD","Period=FQ","BEST_FPERIOD_OVERRIDE=FQ","FILING_STATUS=MR","SCALING_FORMAT=MLN","Sort=A","Dates=H","DateFormat=P","Fill=—","Direction=H","UseDPDF=Y")</f>
        <v>—</v>
      </c>
      <c r="N50" s="13" t="str" cm="1">
        <f t="array" ref="N50">_xll.BDH("PCAR US Equity","BS_DEFERRED_TAX_LIABS_ST","FQ2 2021","FQ2 2021","Currency=USD","Period=FQ","BEST_FPERIOD_OVERRIDE=FQ","FILING_STATUS=MR","SCALING_FORMAT=MLN","Sort=A","Dates=H","DateFormat=P","Fill=—","Direction=H","UseDPDF=Y")</f>
        <v>—</v>
      </c>
      <c r="O50" s="13" t="str" cm="1">
        <f t="array" ref="O50">_xll.BDH("PCAR US Equity","BS_DEFERRED_TAX_LIABS_ST","FQ3 2021","FQ3 2021","Currency=USD","Period=FQ","BEST_FPERIOD_OVERRIDE=FQ","FILING_STATUS=MR","SCALING_FORMAT=MLN","Sort=A","Dates=H","DateFormat=P","Fill=—","Direction=H","UseDPDF=Y")</f>
        <v>—</v>
      </c>
      <c r="P50" s="13" t="str" cm="1">
        <f t="array" ref="P50">_xll.BDH("PCAR US Equity","BS_DEFERRED_TAX_LIABS_ST","FQ4 2021","FQ4 2021","Currency=USD","Period=FQ","BEST_FPERIOD_OVERRIDE=FQ","FILING_STATUS=MR","SCALING_FORMAT=MLN","Sort=A","Dates=H","DateFormat=P","Fill=—","Direction=H","UseDPDF=Y")</f>
        <v>—</v>
      </c>
      <c r="Q50" s="13" t="str" cm="1">
        <f t="array" ref="Q50">_xll.BDH("PCAR US Equity","BS_DEFERRED_TAX_LIABS_ST","FQ1 2022","FQ1 2022","Currency=USD","Period=FQ","BEST_FPERIOD_OVERRIDE=FQ","FILING_STATUS=MR","SCALING_FORMAT=MLN","Sort=A","Dates=H","DateFormat=P","Fill=—","Direction=H","UseDPDF=Y")</f>
        <v>—</v>
      </c>
      <c r="R50" s="13" t="str" cm="1">
        <f t="array" ref="R50">_xll.BDH("PCAR US Equity","BS_DEFERRED_TAX_LIABS_ST","FQ2 2022","FQ2 2022","Currency=USD","Period=FQ","BEST_FPERIOD_OVERRIDE=FQ","FILING_STATUS=MR","SCALING_FORMAT=MLN","Sort=A","Dates=H","DateFormat=P","Fill=—","Direction=H","UseDPDF=Y")</f>
        <v>—</v>
      </c>
      <c r="S50" s="13" t="str" cm="1">
        <f t="array" ref="S50">_xll.BDH("PCAR US Equity","BS_DEFERRED_TAX_LIABS_ST","FQ3 2022","FQ3 2022","Currency=USD","Period=FQ","BEST_FPERIOD_OVERRIDE=FQ","FILING_STATUS=MR","SCALING_FORMAT=MLN","Sort=A","Dates=H","DateFormat=P","Fill=—","Direction=H","UseDPDF=Y")</f>
        <v>—</v>
      </c>
      <c r="T50" s="13" t="str" cm="1">
        <f t="array" ref="T50">_xll.BDH("PCAR US Equity","BS_DEFERRED_TAX_LIABS_ST","FQ4 2022","FQ4 2022","Currency=USD","Period=FQ","BEST_FPERIOD_OVERRIDE=FQ","FILING_STATUS=MR","SCALING_FORMAT=MLN","Sort=A","Dates=H","DateFormat=P","Fill=—","Direction=H","UseDPDF=Y")</f>
        <v>—</v>
      </c>
      <c r="U50" s="13" t="str" cm="1">
        <f t="array" ref="U50">_xll.BDH("PCAR US Equity","BS_DEFERRED_TAX_LIABS_ST","FQ1 2023","FQ1 2023","Currency=USD","Period=FQ","BEST_FPERIOD_OVERRIDE=FQ","FILING_STATUS=MR","SCALING_FORMAT=MLN","Sort=A","Dates=H","DateFormat=P","Fill=—","Direction=H","UseDPDF=Y")</f>
        <v>—</v>
      </c>
      <c r="V50" s="13" t="str" cm="1">
        <f t="array" ref="V50">_xll.BDH("PCAR US Equity","BS_DEFERRED_TAX_LIABS_ST","FQ2 2023","FQ2 2023","Currency=USD","Period=FQ","BEST_FPERIOD_OVERRIDE=FQ","FILING_STATUS=MR","SCALING_FORMAT=MLN","Sort=A","Dates=H","DateFormat=P","Fill=—","Direction=H","UseDPDF=Y")</f>
        <v>—</v>
      </c>
      <c r="W50" s="13" t="str" cm="1">
        <f t="array" ref="W50">_xll.BDH("PCAR US Equity","BS_DEFERRED_TAX_LIABS_ST","FQ3 2023","FQ3 2023","Currency=USD","Period=FQ","BEST_FPERIOD_OVERRIDE=FQ","FILING_STATUS=MR","SCALING_FORMAT=MLN","Sort=A","Dates=H","DateFormat=P","Fill=—","Direction=H","UseDPDF=Y")</f>
        <v>—</v>
      </c>
      <c r="X50" s="13" t="str" cm="1">
        <f t="array" ref="X50">_xll.BDH("PCAR US Equity","BS_DEFERRED_TAX_LIABS_ST","FQ4 2023","FQ4 2023","Currency=USD","Period=FQ","BEST_FPERIOD_OVERRIDE=FQ","FILING_STATUS=MR","SCALING_FORMAT=MLN","Sort=A","Dates=H","DateFormat=P","Fill=—","Direction=H","UseDPDF=Y")</f>
        <v>—</v>
      </c>
      <c r="Y50" s="13" t="str" cm="1">
        <f t="array" ref="Y50">_xll.BDH("PCAR US Equity","BS_DEFERRED_TAX_LIABS_ST","FQ1 2024","FQ1 2024","Currency=USD","Period=FQ","BEST_FPERIOD_OVERRIDE=FQ","FILING_STATUS=MR","SCALING_FORMAT=MLN","Sort=A","Dates=H","DateFormat=P","Fill=—","Direction=H","UseDPDF=Y")</f>
        <v>—</v>
      </c>
      <c r="Z50" s="13" t="str" cm="1">
        <f t="array" ref="Z50">_xll.BDH("PCAR US Equity","BS_DEFERRED_TAX_LIABS_ST","FQ2 2024","FQ2 2024","Currency=USD","Period=FQ","BEST_FPERIOD_OVERRIDE=FQ","FILING_STATUS=MR","SCALING_FORMAT=MLN","Sort=A","Dates=H","DateFormat=P","Fill=—","Direction=H","UseDPDF=Y")</f>
        <v>—</v>
      </c>
      <c r="AA50" s="13" t="str" cm="1">
        <f t="array" ref="AA50">_xll.BDH("PCAR US Equity","BS_DEFERRED_TAX_LIABS_ST","FQ3 2024","FQ3 2024","Currency=USD","Period=FQ","BEST_FPERIOD_OVERRIDE=FQ","FILING_STATUS=MR","SCALING_FORMAT=MLN","Sort=A","Dates=H","DateFormat=P","Fill=—","Direction=H","UseDPDF=Y")</f>
        <v>—</v>
      </c>
      <c r="AB50" s="13" t="str" cm="1">
        <f t="array" ref="AB50">_xll.BDH("PCAR US Equity","BS_DEFERRED_TAX_LIABS_ST","FQ4 2024","FQ4 2024","Currency=USD","Period=FQ","BEST_FPERIOD_OVERRIDE=FQ","FILING_STATUS=MR","SCALING_FORMAT=MLN","Sort=A","Dates=H","DateFormat=P","Fill=—","Direction=H","UseDPDF=Y")</f>
        <v>—</v>
      </c>
      <c r="AC50" s="13" t="str" cm="1">
        <f t="array" ref="AC50">_xll.BDH("PCAR US Equity","BS_DEFERRED_TAX_LIABS_ST","FQ1 2025","FQ1 2025","Currency=USD","Period=FQ","BEST_FPERIOD_OVERRIDE=FQ","FILING_STATUS=MR","SCALING_FORMAT=MLN","Sort=A","Dates=H","DateFormat=P","Fill=—","Direction=H","UseDPDF=Y")</f>
        <v>—</v>
      </c>
      <c r="AD50" s="13" t="str" cm="1">
        <f t="array" ref="AD50">_xll.BDH("PCAR US Equity","BS_DEFERRED_TAX_LIABS_ST","FQ2 2025","FQ2 2025","Currency=USD","Period=FQ","BEST_FPERIOD_OVERRIDE=FQ","FILING_STATUS=MR","SCALING_FORMAT=MLN","Sort=A","Dates=H","DateFormat=P","Fill=—","Direction=H","UseDPDF=Y")</f>
        <v>—</v>
      </c>
      <c r="AE50" s="13" t="str" cm="1">
        <f t="array" ref="AE50">_xll.BDH("PCAR US Equity","BS_DEFERRED_TAX_LIABS_ST","FQ3 2025","FQ3 2025","Currency=USD","Period=FQ","BEST_FPERIOD_OVERRIDE=FQ","FILING_STATUS=MR","SCALING_FORMAT=MLN","Sort=A","Dates=H","DateFormat=P","Fill=—","Direction=H","UseDPDF=Y")</f>
        <v>—</v>
      </c>
      <c r="AF50" s="13" t="str" cm="1">
        <f t="array" ref="AF50">_xll.BDH("PCAR US Equity","BS_DEFERRED_TAX_LIABS_ST","FQ4 2025","FQ4 2025","Currency=USD","Period=FQ","BEST_FPERIOD_OVERRIDE=FQ","FILING_STATUS=MR","SCALING_FORMAT=MLN","Sort=A","Dates=H","DateFormat=P","Fill=—","Direction=H","UseDPDF=Y")</f>
        <v>—</v>
      </c>
    </row>
    <row r="51" spans="1:32" x14ac:dyDescent="0.25">
      <c r="A51" s="10" t="s">
        <v>149</v>
      </c>
      <c r="B51" s="10" t="s">
        <v>150</v>
      </c>
      <c r="C51" s="13" cm="1">
        <f t="array" ref="C51">_xll.BDH("PCAR US Equity","OTHER_CURRENT_LIABS_DETAILED","FQ3 2018","FQ3 2018","Currency=USD","Period=FQ","BEST_FPERIOD_OVERRIDE=FQ","FILING_STATUS=MR","SCALING_FORMAT=MLN","Sort=A","Dates=H","DateFormat=P","Fill=—","Direction=H","UseDPDF=Y")</f>
        <v>0</v>
      </c>
      <c r="D51" s="13" cm="1">
        <f t="array" ref="D51">_xll.BDH("PCAR US Equity","OTHER_CURRENT_LIABS_DETAILED","FQ4 2018","FQ4 2018","Currency=USD","Period=FQ","BEST_FPERIOD_OVERRIDE=FQ","FILING_STATUS=MR","SCALING_FORMAT=MLN","Sort=A","Dates=H","DateFormat=P","Fill=—","Direction=H","UseDPDF=Y")</f>
        <v>690</v>
      </c>
      <c r="E51" s="13" cm="1">
        <f t="array" ref="E51">_xll.BDH("PCAR US Equity","OTHER_CURRENT_LIABS_DETAILED","FQ1 2019","FQ1 2019","Currency=USD","Period=FQ","BEST_FPERIOD_OVERRIDE=FQ","FILING_STATUS=MR","SCALING_FORMAT=MLN","Sort=A","Dates=H","DateFormat=P","Fill=—","Direction=H","UseDPDF=Y")</f>
        <v>0</v>
      </c>
      <c r="F51" s="13" cm="1">
        <f t="array" ref="F51">_xll.BDH("PCAR US Equity","OTHER_CURRENT_LIABS_DETAILED","FQ2 2019","FQ2 2019","Currency=USD","Period=FQ","BEST_FPERIOD_OVERRIDE=FQ","FILING_STATUS=MR","SCALING_FORMAT=MLN","Sort=A","Dates=H","DateFormat=P","Fill=—","Direction=H","UseDPDF=Y")</f>
        <v>0</v>
      </c>
      <c r="G51" s="13" cm="1">
        <f t="array" ref="G51">_xll.BDH("PCAR US Equity","OTHER_CURRENT_LIABS_DETAILED","FQ3 2019","FQ3 2019","Currency=USD","Period=FQ","BEST_FPERIOD_OVERRIDE=FQ","FILING_STATUS=MR","SCALING_FORMAT=MLN","Sort=A","Dates=H","DateFormat=P","Fill=—","Direction=H","UseDPDF=Y")</f>
        <v>1372</v>
      </c>
      <c r="H51" s="13" cm="1">
        <f t="array" ref="H51">_xll.BDH("PCAR US Equity","OTHER_CURRENT_LIABS_DETAILED","FQ4 2019","FQ4 2019","Currency=USD","Period=FQ","BEST_FPERIOD_OVERRIDE=FQ","FILING_STATUS=MR","SCALING_FORMAT=MLN","Sort=A","Dates=H","DateFormat=P","Fill=—","Direction=H","UseDPDF=Y")</f>
        <v>785.5</v>
      </c>
      <c r="I51" s="13" cm="1">
        <f t="array" ref="I51">_xll.BDH("PCAR US Equity","OTHER_CURRENT_LIABS_DETAILED","FQ1 2020","FQ1 2020","Currency=USD","Period=FQ","BEST_FPERIOD_OVERRIDE=FQ","FILING_STATUS=MR","SCALING_FORMAT=MLN","Sort=A","Dates=H","DateFormat=P","Fill=—","Direction=H","UseDPDF=Y")</f>
        <v>0</v>
      </c>
      <c r="J51" s="13" cm="1">
        <f t="array" ref="J51">_xll.BDH("PCAR US Equity","OTHER_CURRENT_LIABS_DETAILED","FQ2 2020","FQ2 2020","Currency=USD","Period=FQ","BEST_FPERIOD_OVERRIDE=FQ","FILING_STATUS=MR","SCALING_FORMAT=MLN","Sort=A","Dates=H","DateFormat=P","Fill=—","Direction=H","UseDPDF=Y")</f>
        <v>0</v>
      </c>
      <c r="K51" s="13" cm="1">
        <f t="array" ref="K51">_xll.BDH("PCAR US Equity","OTHER_CURRENT_LIABS_DETAILED","FQ3 2020","FQ3 2020","Currency=USD","Period=FQ","BEST_FPERIOD_OVERRIDE=FQ","FILING_STATUS=MR","SCALING_FORMAT=MLN","Sort=A","Dates=H","DateFormat=P","Fill=—","Direction=H","UseDPDF=Y")</f>
        <v>0</v>
      </c>
      <c r="L51" s="13" cm="1">
        <f t="array" ref="L51">_xll.BDH("PCAR US Equity","OTHER_CURRENT_LIABS_DETAILED","FQ4 2020","FQ4 2020","Currency=USD","Period=FQ","BEST_FPERIOD_OVERRIDE=FQ","FILING_STATUS=MR","SCALING_FORMAT=MLN","Sort=A","Dates=H","DateFormat=P","Fill=—","Direction=H","UseDPDF=Y")</f>
        <v>203.4</v>
      </c>
      <c r="M51" s="13" cm="1">
        <f t="array" ref="M51">_xll.BDH("PCAR US Equity","OTHER_CURRENT_LIABS_DETAILED","FQ1 2021","FQ1 2021","Currency=USD","Period=FQ","BEST_FPERIOD_OVERRIDE=FQ","FILING_STATUS=MR","SCALING_FORMAT=MLN","Sort=A","Dates=H","DateFormat=P","Fill=—","Direction=H","UseDPDF=Y")</f>
        <v>0</v>
      </c>
      <c r="N51" s="13" cm="1">
        <f t="array" ref="N51">_xll.BDH("PCAR US Equity","OTHER_CURRENT_LIABS_DETAILED","FQ2 2021","FQ2 2021","Currency=USD","Period=FQ","BEST_FPERIOD_OVERRIDE=FQ","FILING_STATUS=MR","SCALING_FORMAT=MLN","Sort=A","Dates=H","DateFormat=P","Fill=—","Direction=H","UseDPDF=Y")</f>
        <v>0</v>
      </c>
      <c r="O51" s="13" cm="1">
        <f t="array" ref="O51">_xll.BDH("PCAR US Equity","OTHER_CURRENT_LIABS_DETAILED","FQ3 2021","FQ3 2021","Currency=USD","Period=FQ","BEST_FPERIOD_OVERRIDE=FQ","FILING_STATUS=MR","SCALING_FORMAT=MLN","Sort=A","Dates=H","DateFormat=P","Fill=—","Direction=H","UseDPDF=Y")</f>
        <v>0</v>
      </c>
      <c r="P51" s="13" cm="1">
        <f t="array" ref="P51">_xll.BDH("PCAR US Equity","OTHER_CURRENT_LIABS_DETAILED","FQ4 2021","FQ4 2021","Currency=USD","Period=FQ","BEST_FPERIOD_OVERRIDE=FQ","FILING_STATUS=MR","SCALING_FORMAT=MLN","Sort=A","Dates=H","DateFormat=P","Fill=—","Direction=H","UseDPDF=Y")</f>
        <v>504.2</v>
      </c>
      <c r="Q51" s="13" cm="1">
        <f t="array" ref="Q51">_xll.BDH("PCAR US Equity","OTHER_CURRENT_LIABS_DETAILED","FQ1 2022","FQ1 2022","Currency=USD","Period=FQ","BEST_FPERIOD_OVERRIDE=FQ","FILING_STATUS=MR","SCALING_FORMAT=MLN","Sort=A","Dates=H","DateFormat=P","Fill=—","Direction=H","UseDPDF=Y")</f>
        <v>0</v>
      </c>
      <c r="R51" s="13" cm="1">
        <f t="array" ref="R51">_xll.BDH("PCAR US Equity","OTHER_CURRENT_LIABS_DETAILED","FQ2 2022","FQ2 2022","Currency=USD","Period=FQ","BEST_FPERIOD_OVERRIDE=FQ","FILING_STATUS=MR","SCALING_FORMAT=MLN","Sort=A","Dates=H","DateFormat=P","Fill=—","Direction=H","UseDPDF=Y")</f>
        <v>0</v>
      </c>
      <c r="S51" s="13" cm="1">
        <f t="array" ref="S51">_xll.BDH("PCAR US Equity","OTHER_CURRENT_LIABS_DETAILED","FQ3 2022","FQ3 2022","Currency=USD","Period=FQ","BEST_FPERIOD_OVERRIDE=FQ","FILING_STATUS=MR","SCALING_FORMAT=MLN","Sort=A","Dates=H","DateFormat=P","Fill=—","Direction=H","UseDPDF=Y")</f>
        <v>0</v>
      </c>
      <c r="T51" s="13" cm="1">
        <f t="array" ref="T51">_xll.BDH("PCAR US Equity","OTHER_CURRENT_LIABS_DETAILED","FQ4 2022","FQ4 2022","Currency=USD","Period=FQ","BEST_FPERIOD_OVERRIDE=FQ","FILING_STATUS=MR","SCALING_FORMAT=MLN","Sort=A","Dates=H","DateFormat=P","Fill=—","Direction=H","UseDPDF=Y")</f>
        <v>964.8</v>
      </c>
      <c r="U51" s="13" cm="1">
        <f t="array" ref="U51">_xll.BDH("PCAR US Equity","OTHER_CURRENT_LIABS_DETAILED","FQ1 2023","FQ1 2023","Currency=USD","Period=FQ","BEST_FPERIOD_OVERRIDE=FQ","FILING_STATUS=MR","SCALING_FORMAT=MLN","Sort=A","Dates=H","DateFormat=P","Fill=—","Direction=H","UseDPDF=Y")</f>
        <v>0</v>
      </c>
      <c r="V51" s="13" cm="1">
        <f t="array" ref="V51">_xll.BDH("PCAR US Equity","OTHER_CURRENT_LIABS_DETAILED","FQ2 2023","FQ2 2023","Currency=USD","Period=FQ","BEST_FPERIOD_OVERRIDE=FQ","FILING_STATUS=MR","SCALING_FORMAT=MLN","Sort=A","Dates=H","DateFormat=P","Fill=—","Direction=H","UseDPDF=Y")</f>
        <v>0</v>
      </c>
      <c r="W51" s="13" cm="1">
        <f t="array" ref="W51">_xll.BDH("PCAR US Equity","OTHER_CURRENT_LIABS_DETAILED","FQ3 2023","FQ3 2023","Currency=USD","Period=FQ","BEST_FPERIOD_OVERRIDE=FQ","FILING_STATUS=MR","SCALING_FORMAT=MLN","Sort=A","Dates=H","DateFormat=P","Fill=—","Direction=H","UseDPDF=Y")</f>
        <v>0</v>
      </c>
      <c r="X51" s="13" cm="1">
        <f t="array" ref="X51">_xll.BDH("PCAR US Equity","OTHER_CURRENT_LIABS_DETAILED","FQ4 2023","FQ4 2023","Currency=USD","Period=FQ","BEST_FPERIOD_OVERRIDE=FQ","FILING_STATUS=MR","SCALING_FORMAT=MLN","Sort=A","Dates=H","DateFormat=P","Fill=—","Direction=H","UseDPDF=Y")</f>
        <v>1649.7</v>
      </c>
      <c r="Y51" s="13" cm="1">
        <f t="array" ref="Y51">_xll.BDH("PCAR US Equity","OTHER_CURRENT_LIABS_DETAILED","FQ1 2024","FQ1 2024","Currency=USD","Period=FQ","BEST_FPERIOD_OVERRIDE=FQ","FILING_STATUS=MR","SCALING_FORMAT=MLN","Sort=A","Dates=H","DateFormat=P","Fill=—","Direction=H","UseDPDF=Y")</f>
        <v>0</v>
      </c>
      <c r="Z51" s="13" cm="1">
        <f t="array" ref="Z51">_xll.BDH("PCAR US Equity","OTHER_CURRENT_LIABS_DETAILED","FQ2 2024","FQ2 2024","Currency=USD","Period=FQ","BEST_FPERIOD_OVERRIDE=FQ","FILING_STATUS=MR","SCALING_FORMAT=MLN","Sort=A","Dates=H","DateFormat=P","Fill=—","Direction=H","UseDPDF=Y")</f>
        <v>0</v>
      </c>
      <c r="AA51" s="13" cm="1">
        <f t="array" ref="AA51">_xll.BDH("PCAR US Equity","OTHER_CURRENT_LIABS_DETAILED","FQ3 2024","FQ3 2024","Currency=USD","Period=FQ","BEST_FPERIOD_OVERRIDE=FQ","FILING_STATUS=MR","SCALING_FORMAT=MLN","Sort=A","Dates=H","DateFormat=P","Fill=—","Direction=H","UseDPDF=Y")</f>
        <v>0</v>
      </c>
      <c r="AB51" s="13" cm="1">
        <f t="array" ref="AB51">_xll.BDH("PCAR US Equity","OTHER_CURRENT_LIABS_DETAILED","FQ4 2024","FQ4 2024","Currency=USD","Period=FQ","BEST_FPERIOD_OVERRIDE=FQ","FILING_STATUS=MR","SCALING_FORMAT=MLN","Sort=A","Dates=H","DateFormat=P","Fill=—","Direction=H","UseDPDF=Y")</f>
        <v>1568.4</v>
      </c>
      <c r="AC51" s="13" cm="1">
        <f t="array" ref="AC51">_xll.BDH("PCAR US Equity","OTHER_CURRENT_LIABS_DETAILED","FQ1 2025","FQ1 2025","Currency=USD","Period=FQ","BEST_FPERIOD_OVERRIDE=FQ","FILING_STATUS=MR","SCALING_FORMAT=MLN","Sort=A","Dates=H","DateFormat=P","Fill=—","Direction=H","UseDPDF=Y")</f>
        <v>0</v>
      </c>
      <c r="AD51" s="13" cm="1">
        <f t="array" ref="AD51">_xll.BDH("PCAR US Equity","OTHER_CURRENT_LIABS_DETAILED","FQ2 2025","FQ2 2025","Currency=USD","Period=FQ","BEST_FPERIOD_OVERRIDE=FQ","FILING_STATUS=MR","SCALING_FORMAT=MLN","Sort=A","Dates=H","DateFormat=P","Fill=—","Direction=H","UseDPDF=Y")</f>
        <v>0</v>
      </c>
      <c r="AE51" s="13" cm="1">
        <f t="array" ref="AE51">_xll.BDH("PCAR US Equity","OTHER_CURRENT_LIABS_DETAILED","FQ3 2025","FQ3 2025","Currency=USD","Period=FQ","BEST_FPERIOD_OVERRIDE=FQ","FILING_STATUS=MR","SCALING_FORMAT=MLN","Sort=A","Dates=H","DateFormat=P","Fill=—","Direction=H","UseDPDF=Y")</f>
        <v>0</v>
      </c>
      <c r="AF51" s="13" cm="1">
        <f t="array" ref="AF51">_xll.BDH("PCAR US Equity","OTHER_CURRENT_LIABS_DETAILED","FQ4 2025","FQ4 2025","Currency=USD","Period=FQ","BEST_FPERIOD_OVERRIDE=FQ","FILING_STATUS=MR","SCALING_FORMAT=MLN","Sort=A","Dates=H","DateFormat=P","Fill=—","Direction=H","UseDPDF=Y")</f>
        <v>0</v>
      </c>
    </row>
    <row r="52" spans="1:32" x14ac:dyDescent="0.25">
      <c r="A52" s="6" t="s">
        <v>151</v>
      </c>
      <c r="B52" s="6" t="s">
        <v>152</v>
      </c>
      <c r="C52" s="16" cm="1">
        <f t="array" ref="C52">_xll.BDH("PCAR US Equity","BS_CUR_LIAB","FQ3 2018","FQ3 2018","Currency=USD","Period=FQ","BEST_FPERIOD_OVERRIDE=FQ","FILING_STATUS=MR","SCALING_FORMAT=MLN","Sort=A","Dates=H","DateFormat=P","Fill=—","Direction=H","UseDPDF=Y")</f>
        <v>6766.4</v>
      </c>
      <c r="D52" s="16" cm="1">
        <f t="array" ref="D52">_xll.BDH("PCAR US Equity","BS_CUR_LIAB","FQ4 2018","FQ4 2018","Currency=USD","Period=FQ","BEST_FPERIOD_OVERRIDE=FQ","FILING_STATUS=MR","SCALING_FORMAT=MLN","Sort=A","Dates=H","DateFormat=P","Fill=—","Direction=H","UseDPDF=Y")</f>
        <v>7786.8</v>
      </c>
      <c r="E52" s="16" cm="1">
        <f t="array" ref="E52">_xll.BDH("PCAR US Equity","BS_CUR_LIAB","FQ1 2019","FQ1 2019","Currency=USD","Period=FQ","BEST_FPERIOD_OVERRIDE=FQ","FILING_STATUS=MR","SCALING_FORMAT=MLN","Sort=A","Dates=H","DateFormat=P","Fill=—","Direction=H","UseDPDF=Y")</f>
        <v>7502.5</v>
      </c>
      <c r="F52" s="16" cm="1">
        <f t="array" ref="F52">_xll.BDH("PCAR US Equity","BS_CUR_LIAB","FQ2 2019","FQ2 2019","Currency=USD","Period=FQ","BEST_FPERIOD_OVERRIDE=FQ","FILING_STATUS=MR","SCALING_FORMAT=MLN","Sort=A","Dates=H","DateFormat=P","Fill=—","Direction=H","UseDPDF=Y")</f>
        <v>7973.8</v>
      </c>
      <c r="G52" s="16" cm="1">
        <f t="array" ref="G52">_xll.BDH("PCAR US Equity","BS_CUR_LIAB","FQ3 2019","FQ3 2019","Currency=USD","Period=FQ","BEST_FPERIOD_OVERRIDE=FQ","FILING_STATUS=MR","SCALING_FORMAT=MLN","Sort=A","Dates=H","DateFormat=P","Fill=—","Direction=H","UseDPDF=Y")</f>
        <v>10335.299999999999</v>
      </c>
      <c r="H52" s="16" cm="1">
        <f t="array" ref="H52">_xll.BDH("PCAR US Equity","BS_CUR_LIAB","FQ4 2019","FQ4 2019","Currency=USD","Period=FQ","BEST_FPERIOD_OVERRIDE=FQ","FILING_STATUS=MR","SCALING_FORMAT=MLN","Sort=A","Dates=H","DateFormat=P","Fill=—","Direction=H","UseDPDF=Y")</f>
        <v>8729.9</v>
      </c>
      <c r="I52" s="16" cm="1">
        <f t="array" ref="I52">_xll.BDH("PCAR US Equity","BS_CUR_LIAB","FQ1 2020","FQ1 2020","Currency=USD","Period=FQ","BEST_FPERIOD_OVERRIDE=FQ","FILING_STATUS=MR","SCALING_FORMAT=MLN","Sort=A","Dates=H","DateFormat=P","Fill=—","Direction=H","UseDPDF=Y")</f>
        <v>7715.5</v>
      </c>
      <c r="J52" s="16" cm="1">
        <f t="array" ref="J52">_xll.BDH("PCAR US Equity","BS_CUR_LIAB","FQ2 2020","FQ2 2020","Currency=USD","Period=FQ","BEST_FPERIOD_OVERRIDE=FQ","FILING_STATUS=MR","SCALING_FORMAT=MLN","Sort=A","Dates=H","DateFormat=P","Fill=—","Direction=H","UseDPDF=Y")</f>
        <v>6604.8</v>
      </c>
      <c r="K52" s="16" cm="1">
        <f t="array" ref="K52">_xll.BDH("PCAR US Equity","BS_CUR_LIAB","FQ3 2020","FQ3 2020","Currency=USD","Period=FQ","BEST_FPERIOD_OVERRIDE=FQ","FILING_STATUS=MR","SCALING_FORMAT=MLN","Sort=A","Dates=H","DateFormat=P","Fill=—","Direction=H","UseDPDF=Y")</f>
        <v>6609.5</v>
      </c>
      <c r="L52" s="16" cm="1">
        <f t="array" ref="L52">_xll.BDH("PCAR US Equity","BS_CUR_LIAB","FQ4 2020","FQ4 2020","Currency=USD","Period=FQ","BEST_FPERIOD_OVERRIDE=FQ","FILING_STATUS=MR","SCALING_FORMAT=MLN","Sort=A","Dates=H","DateFormat=P","Fill=—","Direction=H","UseDPDF=Y")</f>
        <v>7561.9</v>
      </c>
      <c r="M52" s="16" cm="1">
        <f t="array" ref="M52">_xll.BDH("PCAR US Equity","BS_CUR_LIAB","FQ1 2021","FQ1 2021","Currency=USD","Period=FQ","BEST_FPERIOD_OVERRIDE=FQ","FILING_STATUS=MR","SCALING_FORMAT=MLN","Sort=A","Dates=H","DateFormat=P","Fill=—","Direction=H","UseDPDF=Y")</f>
        <v>7626.7</v>
      </c>
      <c r="N52" s="16" cm="1">
        <f t="array" ref="N52">_xll.BDH("PCAR US Equity","BS_CUR_LIAB","FQ2 2021","FQ2 2021","Currency=USD","Period=FQ","BEST_FPERIOD_OVERRIDE=FQ","FILING_STATUS=MR","SCALING_FORMAT=MLN","Sort=A","Dates=H","DateFormat=P","Fill=—","Direction=H","UseDPDF=Y")</f>
        <v>8093.6</v>
      </c>
      <c r="O52" s="16" cm="1">
        <f t="array" ref="O52">_xll.BDH("PCAR US Equity","BS_CUR_LIAB","FQ3 2021","FQ3 2021","Currency=USD","Period=FQ","BEST_FPERIOD_OVERRIDE=FQ","FILING_STATUS=MR","SCALING_FORMAT=MLN","Sort=A","Dates=H","DateFormat=P","Fill=—","Direction=H","UseDPDF=Y")</f>
        <v>7433.5</v>
      </c>
      <c r="P52" s="16" cm="1">
        <f t="array" ref="P52">_xll.BDH("PCAR US Equity","BS_CUR_LIAB","FQ4 2021","FQ4 2021","Currency=USD","Period=FQ","BEST_FPERIOD_OVERRIDE=FQ","FILING_STATUS=MR","SCALING_FORMAT=MLN","Sort=A","Dates=H","DateFormat=P","Fill=—","Direction=H","UseDPDF=Y")</f>
        <v>8379.5</v>
      </c>
      <c r="Q52" s="16" cm="1">
        <f t="array" ref="Q52">_xll.BDH("PCAR US Equity","BS_CUR_LIAB","FQ1 2022","FQ1 2022","Currency=USD","Period=FQ","BEST_FPERIOD_OVERRIDE=FQ","FILING_STATUS=MR","SCALING_FORMAT=MLN","Sort=A","Dates=H","DateFormat=P","Fill=—","Direction=H","UseDPDF=Y")</f>
        <v>9008.9</v>
      </c>
      <c r="R52" s="16" cm="1">
        <f t="array" ref="R52">_xll.BDH("PCAR US Equity","BS_CUR_LIAB","FQ2 2022","FQ2 2022","Currency=USD","Period=FQ","BEST_FPERIOD_OVERRIDE=FQ","FILING_STATUS=MR","SCALING_FORMAT=MLN","Sort=A","Dates=H","DateFormat=P","Fill=—","Direction=H","UseDPDF=Y")</f>
        <v>8504.5</v>
      </c>
      <c r="S52" s="16" cm="1">
        <f t="array" ref="S52">_xll.BDH("PCAR US Equity","BS_CUR_LIAB","FQ3 2022","FQ3 2022","Currency=USD","Period=FQ","BEST_FPERIOD_OVERRIDE=FQ","FILING_STATUS=MR","SCALING_FORMAT=MLN","Sort=A","Dates=H","DateFormat=P","Fill=—","Direction=H","UseDPDF=Y")</f>
        <v>8470.1</v>
      </c>
      <c r="T52" s="16" cm="1">
        <f t="array" ref="T52">_xll.BDH("PCAR US Equity","BS_CUR_LIAB","FQ4 2022","FQ4 2022","Currency=USD","Period=FQ","BEST_FPERIOD_OVERRIDE=FQ","FILING_STATUS=MR","SCALING_FORMAT=MLN","Sort=A","Dates=H","DateFormat=P","Fill=—","Direction=H","UseDPDF=Y")</f>
        <v>9918</v>
      </c>
      <c r="U52" s="16" cm="1">
        <f t="array" ref="U52">_xll.BDH("PCAR US Equity","BS_CUR_LIAB","FQ1 2023","FQ1 2023","Currency=USD","Period=FQ","BEST_FPERIOD_OVERRIDE=FQ","FILING_STATUS=MR","SCALING_FORMAT=MLN","Sort=A","Dates=H","DateFormat=P","Fill=—","Direction=H","UseDPDF=Y")</f>
        <v>10166.200000000001</v>
      </c>
      <c r="V52" s="16" cm="1">
        <f t="array" ref="V52">_xll.BDH("PCAR US Equity","BS_CUR_LIAB","FQ2 2023","FQ2 2023","Currency=USD","Period=FQ","BEST_FPERIOD_OVERRIDE=FQ","FILING_STATUS=MR","SCALING_FORMAT=MLN","Sort=A","Dates=H","DateFormat=P","Fill=—","Direction=H","UseDPDF=Y")</f>
        <v>10998.5</v>
      </c>
      <c r="W52" s="16" cm="1">
        <f t="array" ref="W52">_xll.BDH("PCAR US Equity","BS_CUR_LIAB","FQ3 2023","FQ3 2023","Currency=USD","Period=FQ","BEST_FPERIOD_OVERRIDE=FQ","FILING_STATUS=MR","SCALING_FORMAT=MLN","Sort=A","Dates=H","DateFormat=P","Fill=—","Direction=H","UseDPDF=Y")</f>
        <v>11331.2</v>
      </c>
      <c r="X52" s="16" cm="1">
        <f t="array" ref="X52">_xll.BDH("PCAR US Equity","BS_CUR_LIAB","FQ4 2023","FQ4 2023","Currency=USD","Period=FQ","BEST_FPERIOD_OVERRIDE=FQ","FILING_STATUS=MR","SCALING_FORMAT=MLN","Sort=A","Dates=H","DateFormat=P","Fill=—","Direction=H","UseDPDF=Y")</f>
        <v>13353.5</v>
      </c>
      <c r="Y52" s="16" cm="1">
        <f t="array" ref="Y52">_xll.BDH("PCAR US Equity","BS_CUR_LIAB","FQ1 2024","FQ1 2024","Currency=USD","Period=FQ","BEST_FPERIOD_OVERRIDE=FQ","FILING_STATUS=MR","SCALING_FORMAT=MLN","Sort=A","Dates=H","DateFormat=P","Fill=—","Direction=H","UseDPDF=Y")</f>
        <v>11619.7</v>
      </c>
      <c r="Z52" s="16" cm="1">
        <f t="array" ref="Z52">_xll.BDH("PCAR US Equity","BS_CUR_LIAB","FQ2 2024","FQ2 2024","Currency=USD","Period=FQ","BEST_FPERIOD_OVERRIDE=FQ","FILING_STATUS=MR","SCALING_FORMAT=MLN","Sort=A","Dates=H","DateFormat=P","Fill=—","Direction=H","UseDPDF=Y")</f>
        <v>11631.9</v>
      </c>
      <c r="AA52" s="16" cm="1">
        <f t="array" ref="AA52">_xll.BDH("PCAR US Equity","BS_CUR_LIAB","FQ3 2024","FQ3 2024","Currency=USD","Period=FQ","BEST_FPERIOD_OVERRIDE=FQ","FILING_STATUS=MR","SCALING_FORMAT=MLN","Sort=A","Dates=H","DateFormat=P","Fill=—","Direction=H","UseDPDF=Y")</f>
        <v>11894</v>
      </c>
      <c r="AB52" s="16" cm="1">
        <f t="array" ref="AB52">_xll.BDH("PCAR US Equity","BS_CUR_LIAB","FQ4 2024","FQ4 2024","Currency=USD","Period=FQ","BEST_FPERIOD_OVERRIDE=FQ","FILING_STATUS=MR","SCALING_FORMAT=MLN","Sort=A","Dates=H","DateFormat=P","Fill=—","Direction=H","UseDPDF=Y")</f>
        <v>13489.1</v>
      </c>
      <c r="AC52" s="16" cm="1">
        <f t="array" ref="AC52">_xll.BDH("PCAR US Equity","BS_CUR_LIAB","FQ1 2025","FQ1 2025","Currency=USD","Period=FQ","BEST_FPERIOD_OVERRIDE=FQ","FILING_STATUS=MR","SCALING_FORMAT=MLN","Sort=A","Dates=H","DateFormat=P","Fill=—","Direction=H","UseDPDF=Y")</f>
        <v>11916.6</v>
      </c>
      <c r="AD52" s="16" cm="1">
        <f t="array" ref="AD52">_xll.BDH("PCAR US Equity","BS_CUR_LIAB","FQ2 2025","FQ2 2025","Currency=USD","Period=FQ","BEST_FPERIOD_OVERRIDE=FQ","FILING_STATUS=MR","SCALING_FORMAT=MLN","Sort=A","Dates=H","DateFormat=P","Fill=—","Direction=H","UseDPDF=Y")</f>
        <v>11349.3</v>
      </c>
      <c r="AE52" s="16" cm="1">
        <f t="array" ref="AE52">_xll.BDH("PCAR US Equity","BS_CUR_LIAB","FQ3 2025","FQ3 2025","Currency=USD","Period=FQ","BEST_FPERIOD_OVERRIDE=FQ","FILING_STATUS=MR","SCALING_FORMAT=MLN","Sort=A","Dates=H","DateFormat=P","Fill=—","Direction=H","UseDPDF=Y")</f>
        <v>11151.6</v>
      </c>
      <c r="AF52" s="16" cm="1">
        <f t="array" ref="AF52">_xll.BDH("PCAR US Equity","BS_CUR_LIAB","FQ4 2025","FQ4 2025","Currency=USD","Period=FQ","BEST_FPERIOD_OVERRIDE=FQ","FILING_STATUS=MR","SCALING_FORMAT=MLN","Sort=A","Dates=H","DateFormat=P","Fill=—","Direction=H","UseDPDF=Y")</f>
        <v>7890.9</v>
      </c>
    </row>
    <row r="53" spans="1:32" x14ac:dyDescent="0.25">
      <c r="A53" s="10" t="s">
        <v>153</v>
      </c>
      <c r="B53" s="10" t="s">
        <v>154</v>
      </c>
      <c r="C53" s="13" cm="1">
        <f t="array" ref="C53">_xll.BDH("PCAR US Equity","BS_LT_BORROW","FQ3 2018","FQ3 2018","Currency=USD","Period=FQ","BEST_FPERIOD_OVERRIDE=FQ","FILING_STATUS=MR","SCALING_FORMAT=MLN","Sort=A","Dates=H","DateFormat=P","Fill=—","Direction=H","UseDPDF=Y")</f>
        <v>6584.7</v>
      </c>
      <c r="D53" s="13" cm="1">
        <f t="array" ref="D53">_xll.BDH("PCAR US Equity","BS_LT_BORROW","FQ4 2018","FQ4 2018","Currency=USD","Period=FQ","BEST_FPERIOD_OVERRIDE=FQ","FILING_STATUS=MR","SCALING_FORMAT=MLN","Sort=A","Dates=H","DateFormat=P","Fill=—","Direction=H","UseDPDF=Y")</f>
        <v>6409.7</v>
      </c>
      <c r="E53" s="13" cm="1">
        <f t="array" ref="E53">_xll.BDH("PCAR US Equity","BS_LT_BORROW","FQ1 2019","FQ1 2019","Currency=USD","Period=FQ","BEST_FPERIOD_OVERRIDE=FQ","FILING_STATUS=MR","SCALING_FORMAT=MLN","Sort=A","Dates=H","DateFormat=P","Fill=—","Direction=H","UseDPDF=Y")</f>
        <v>6802</v>
      </c>
      <c r="F53" s="13" cm="1">
        <f t="array" ref="F53">_xll.BDH("PCAR US Equity","BS_LT_BORROW","FQ2 2019","FQ2 2019","Currency=USD","Period=FQ","BEST_FPERIOD_OVERRIDE=FQ","FILING_STATUS=MR","SCALING_FORMAT=MLN","Sort=A","Dates=H","DateFormat=P","Fill=—","Direction=H","UseDPDF=Y")</f>
        <v>6761.4</v>
      </c>
      <c r="G53" s="13" cm="1">
        <f t="array" ref="G53">_xll.BDH("PCAR US Equity","BS_LT_BORROW","FQ3 2019","FQ3 2019","Currency=USD","Period=FQ","BEST_FPERIOD_OVERRIDE=FQ","FILING_STATUS=MR","SCALING_FORMAT=MLN","Sort=A","Dates=H","DateFormat=P","Fill=—","Direction=H","UseDPDF=Y")</f>
        <v>6743.4</v>
      </c>
      <c r="H53" s="13" cm="1">
        <f t="array" ref="H53">_xll.BDH("PCAR US Equity","BS_LT_BORROW","FQ4 2019","FQ4 2019","Currency=USD","Period=FQ","BEST_FPERIOD_OVERRIDE=FQ","FILING_STATUS=MR","SCALING_FORMAT=MLN","Sort=A","Dates=H","DateFormat=P","Fill=—","Direction=H","UseDPDF=Y")</f>
        <v>7136.2</v>
      </c>
      <c r="I53" s="13" cm="1">
        <f t="array" ref="I53">_xll.BDH("PCAR US Equity","BS_LT_BORROW","FQ1 2020","FQ1 2020","Currency=USD","Period=FQ","BEST_FPERIOD_OVERRIDE=FQ","FILING_STATUS=MR","SCALING_FORMAT=MLN","Sort=A","Dates=H","DateFormat=P","Fill=—","Direction=H","UseDPDF=Y")</f>
        <v>7226</v>
      </c>
      <c r="J53" s="13" cm="1">
        <f t="array" ref="J53">_xll.BDH("PCAR US Equity","BS_LT_BORROW","FQ2 2020","FQ2 2020","Currency=USD","Period=FQ","BEST_FPERIOD_OVERRIDE=FQ","FILING_STATUS=MR","SCALING_FORMAT=MLN","Sort=A","Dates=H","DateFormat=P","Fill=—","Direction=H","UseDPDF=Y")</f>
        <v>7416.8</v>
      </c>
      <c r="K53" s="13" cm="1">
        <f t="array" ref="K53">_xll.BDH("PCAR US Equity","BS_LT_BORROW","FQ3 2020","FQ3 2020","Currency=USD","Period=FQ","BEST_FPERIOD_OVERRIDE=FQ","FILING_STATUS=MR","SCALING_FORMAT=MLN","Sort=A","Dates=H","DateFormat=P","Fill=—","Direction=H","UseDPDF=Y")</f>
        <v>7776.5</v>
      </c>
      <c r="L53" s="13" cm="1">
        <f t="array" ref="L53">_xll.BDH("PCAR US Equity","BS_LT_BORROW","FQ4 2020","FQ4 2020","Currency=USD","Period=FQ","BEST_FPERIOD_OVERRIDE=FQ","FILING_STATUS=MR","SCALING_FORMAT=MLN","Sort=A","Dates=H","DateFormat=P","Fill=—","Direction=H","UseDPDF=Y")</f>
        <v>7536.3</v>
      </c>
      <c r="M53" s="13" cm="1">
        <f t="array" ref="M53">_xll.BDH("PCAR US Equity","BS_LT_BORROW","FQ1 2021","FQ1 2021","Currency=USD","Period=FQ","BEST_FPERIOD_OVERRIDE=FQ","FILING_STATUS=MR","SCALING_FORMAT=MLN","Sort=A","Dates=H","DateFormat=P","Fill=—","Direction=H","UseDPDF=Y")</f>
        <v>7521.8</v>
      </c>
      <c r="N53" s="13" cm="1">
        <f t="array" ref="N53">_xll.BDH("PCAR US Equity","BS_LT_BORROW","FQ2 2021","FQ2 2021","Currency=USD","Period=FQ","BEST_FPERIOD_OVERRIDE=FQ","FILING_STATUS=MR","SCALING_FORMAT=MLN","Sort=A","Dates=H","DateFormat=P","Fill=—","Direction=H","UseDPDF=Y")</f>
        <v>7158.7</v>
      </c>
      <c r="O53" s="13" cm="1">
        <f t="array" ref="O53">_xll.BDH("PCAR US Equity","BS_LT_BORROW","FQ3 2021","FQ3 2021","Currency=USD","Period=FQ","BEST_FPERIOD_OVERRIDE=FQ","FILING_STATUS=MR","SCALING_FORMAT=MLN","Sort=A","Dates=H","DateFormat=P","Fill=—","Direction=H","UseDPDF=Y")</f>
        <v>6849.5</v>
      </c>
      <c r="P53" s="13" cm="1">
        <f t="array" ref="P53">_xll.BDH("PCAR US Equity","BS_LT_BORROW","FQ4 2021","FQ4 2021","Currency=USD","Period=FQ","BEST_FPERIOD_OVERRIDE=FQ","FILING_STATUS=MR","SCALING_FORMAT=MLN","Sort=A","Dates=H","DateFormat=P","Fill=—","Direction=H","UseDPDF=Y")</f>
        <v>7151.1</v>
      </c>
      <c r="Q53" s="13" cm="1">
        <f t="array" ref="Q53">_xll.BDH("PCAR US Equity","BS_LT_BORROW","FQ1 2022","FQ1 2022","Currency=USD","Period=FQ","BEST_FPERIOD_OVERRIDE=FQ","FILING_STATUS=MR","SCALING_FORMAT=MLN","Sort=A","Dates=H","DateFormat=P","Fill=—","Direction=H","UseDPDF=Y")</f>
        <v>7097.4</v>
      </c>
      <c r="R53" s="13" cm="1">
        <f t="array" ref="R53">_xll.BDH("PCAR US Equity","BS_LT_BORROW","FQ2 2022","FQ2 2022","Currency=USD","Period=FQ","BEST_FPERIOD_OVERRIDE=FQ","FILING_STATUS=MR","SCALING_FORMAT=MLN","Sort=A","Dates=H","DateFormat=P","Fill=—","Direction=H","UseDPDF=Y")</f>
        <v>7293.8</v>
      </c>
      <c r="S53" s="13" cm="1">
        <f t="array" ref="S53">_xll.BDH("PCAR US Equity","BS_LT_BORROW","FQ3 2022","FQ3 2022","Currency=USD","Period=FQ","BEST_FPERIOD_OVERRIDE=FQ","FILING_STATUS=MR","SCALING_FORMAT=MLN","Sort=A","Dates=H","DateFormat=P","Fill=—","Direction=H","UseDPDF=Y")</f>
        <v>7082.3</v>
      </c>
      <c r="T53" s="13" cm="1">
        <f t="array" ref="T53">_xll.BDH("PCAR US Equity","BS_LT_BORROW","FQ4 2022","FQ4 2022","Currency=USD","Period=FQ","BEST_FPERIOD_OVERRIDE=FQ","FILING_STATUS=MR","SCALING_FORMAT=MLN","Sort=A","Dates=H","DateFormat=P","Fill=—","Direction=H","UseDPDF=Y")</f>
        <v>7898.7</v>
      </c>
      <c r="U53" s="13" cm="1">
        <f t="array" ref="U53">_xll.BDH("PCAR US Equity","BS_LT_BORROW","FQ1 2023","FQ1 2023","Currency=USD","Period=FQ","BEST_FPERIOD_OVERRIDE=FQ","FILING_STATUS=MR","SCALING_FORMAT=MLN","Sort=A","Dates=H","DateFormat=P","Fill=—","Direction=H","UseDPDF=Y")</f>
        <v>8057</v>
      </c>
      <c r="V53" s="13" cm="1">
        <f t="array" ref="V53">_xll.BDH("PCAR US Equity","BS_LT_BORROW","FQ2 2023","FQ2 2023","Currency=USD","Period=FQ","BEST_FPERIOD_OVERRIDE=FQ","FILING_STATUS=MR","SCALING_FORMAT=MLN","Sort=A","Dates=H","DateFormat=P","Fill=—","Direction=H","UseDPDF=Y")</f>
        <v>7953.1</v>
      </c>
      <c r="W53" s="13" cm="1">
        <f t="array" ref="W53">_xll.BDH("PCAR US Equity","BS_LT_BORROW","FQ3 2023","FQ3 2023","Currency=USD","Period=FQ","BEST_FPERIOD_OVERRIDE=FQ","FILING_STATUS=MR","SCALING_FORMAT=MLN","Sort=A","Dates=H","DateFormat=P","Fill=—","Direction=H","UseDPDF=Y")</f>
        <v>7906.4</v>
      </c>
      <c r="X53" s="13" cm="1">
        <f t="array" ref="X53">_xll.BDH("PCAR US Equity","BS_LT_BORROW","FQ4 2023","FQ4 2023","Currency=USD","Period=FQ","BEST_FPERIOD_OVERRIDE=FQ","FILING_STATUS=MR","SCALING_FORMAT=MLN","Sort=A","Dates=H","DateFormat=P","Fill=—","Direction=H","UseDPDF=Y")</f>
        <v>8681.7000000000007</v>
      </c>
      <c r="Y53" s="13" cm="1">
        <f t="array" ref="Y53">_xll.BDH("PCAR US Equity","BS_LT_BORROW","FQ1 2024","FQ1 2024","Currency=USD","Period=FQ","BEST_FPERIOD_OVERRIDE=FQ","FILING_STATUS=MR","SCALING_FORMAT=MLN","Sort=A","Dates=H","DateFormat=P","Fill=—","Direction=H","UseDPDF=Y")</f>
        <v>9114.9</v>
      </c>
      <c r="Z53" s="13" cm="1">
        <f t="array" ref="Z53">_xll.BDH("PCAR US Equity","BS_LT_BORROW","FQ2 2024","FQ2 2024","Currency=USD","Period=FQ","BEST_FPERIOD_OVERRIDE=FQ","FILING_STATUS=MR","SCALING_FORMAT=MLN","Sort=A","Dates=H","DateFormat=P","Fill=—","Direction=H","UseDPDF=Y")</f>
        <v>9153.2000000000007</v>
      </c>
      <c r="AA53" s="13" cm="1">
        <f t="array" ref="AA53">_xll.BDH("PCAR US Equity","BS_LT_BORROW","FQ3 2024","FQ3 2024","Currency=USD","Period=FQ","BEST_FPERIOD_OVERRIDE=FQ","FILING_STATUS=MR","SCALING_FORMAT=MLN","Sort=A","Dates=H","DateFormat=P","Fill=—","Direction=H","UseDPDF=Y")</f>
        <v>10023.299999999999</v>
      </c>
      <c r="AB53" s="13" cm="1">
        <f t="array" ref="AB53">_xll.BDH("PCAR US Equity","BS_LT_BORROW","FQ4 2024","FQ4 2024","Currency=USD","Period=FQ","BEST_FPERIOD_OVERRIDE=FQ","FILING_STATUS=MR","SCALING_FORMAT=MLN","Sort=A","Dates=H","DateFormat=P","Fill=—","Direction=H","UseDPDF=Y")</f>
        <v>9945.6</v>
      </c>
      <c r="AC53" s="13" cm="1">
        <f t="array" ref="AC53">_xll.BDH("PCAR US Equity","BS_LT_BORROW","FQ1 2025","FQ1 2025","Currency=USD","Period=FQ","BEST_FPERIOD_OVERRIDE=FQ","FILING_STATUS=MR","SCALING_FORMAT=MLN","Sort=A","Dates=H","DateFormat=P","Fill=—","Direction=H","UseDPDF=Y")</f>
        <v>9967.6</v>
      </c>
      <c r="AD53" s="13" cm="1">
        <f t="array" ref="AD53">_xll.BDH("PCAR US Equity","BS_LT_BORROW","FQ2 2025","FQ2 2025","Currency=USD","Period=FQ","BEST_FPERIOD_OVERRIDE=FQ","FILING_STATUS=MR","SCALING_FORMAT=MLN","Sort=A","Dates=H","DateFormat=P","Fill=—","Direction=H","UseDPDF=Y")</f>
        <v>10837.8</v>
      </c>
      <c r="AE53" s="13" cm="1">
        <f t="array" ref="AE53">_xll.BDH("PCAR US Equity","BS_LT_BORROW","FQ3 2025","FQ3 2025","Currency=USD","Period=FQ","BEST_FPERIOD_OVERRIDE=FQ","FILING_STATUS=MR","SCALING_FORMAT=MLN","Sort=A","Dates=H","DateFormat=P","Fill=—","Direction=H","UseDPDF=Y")</f>
        <v>10773</v>
      </c>
      <c r="AF53" s="13" cm="1">
        <f t="array" ref="AF53">_xll.BDH("PCAR US Equity","BS_LT_BORROW","FQ4 2025","FQ4 2025","Currency=USD","Period=FQ","BEST_FPERIOD_OVERRIDE=FQ","FILING_STATUS=MR","SCALING_FORMAT=MLN","Sort=A","Dates=H","DateFormat=P","Fill=—","Direction=H","UseDPDF=Y")</f>
        <v>17181.3</v>
      </c>
    </row>
    <row r="54" spans="1:32" x14ac:dyDescent="0.25">
      <c r="A54" s="10" t="s">
        <v>155</v>
      </c>
      <c r="B54" s="10" t="s">
        <v>156</v>
      </c>
      <c r="C54" s="13" cm="1">
        <f t="array" ref="C54">_xll.BDH("PCAR US Equity","LONG_TERM_BORROWINGS_DETAILED","FQ3 2018","FQ3 2018","Currency=USD","Period=FQ","BEST_FPERIOD_OVERRIDE=FQ","FILING_STATUS=MR","SCALING_FORMAT=MLN","Sort=A","Dates=H","DateFormat=P","Fill=—","Direction=H","UseDPDF=Y")</f>
        <v>6584.7</v>
      </c>
      <c r="D54" s="13" cm="1">
        <f t="array" ref="D54">_xll.BDH("PCAR US Equity","LONG_TERM_BORROWINGS_DETAILED","FQ4 2018","FQ4 2018","Currency=USD","Period=FQ","BEST_FPERIOD_OVERRIDE=FQ","FILING_STATUS=MR","SCALING_FORMAT=MLN","Sort=A","Dates=H","DateFormat=P","Fill=—","Direction=H","UseDPDF=Y")</f>
        <v>6409.7</v>
      </c>
      <c r="E54" s="13" cm="1">
        <f t="array" ref="E54">_xll.BDH("PCAR US Equity","LONG_TERM_BORROWINGS_DETAILED","FQ1 2019","FQ1 2019","Currency=USD","Period=FQ","BEST_FPERIOD_OVERRIDE=FQ","FILING_STATUS=MR","SCALING_FORMAT=MLN","Sort=A","Dates=H","DateFormat=P","Fill=—","Direction=H","UseDPDF=Y")</f>
        <v>6771.6</v>
      </c>
      <c r="F54" s="13" cm="1">
        <f t="array" ref="F54">_xll.BDH("PCAR US Equity","LONG_TERM_BORROWINGS_DETAILED","FQ2 2019","FQ2 2019","Currency=USD","Period=FQ","BEST_FPERIOD_OVERRIDE=FQ","FILING_STATUS=MR","SCALING_FORMAT=MLN","Sort=A","Dates=H","DateFormat=P","Fill=—","Direction=H","UseDPDF=Y")</f>
        <v>6732.1</v>
      </c>
      <c r="G54" s="13" cm="1">
        <f t="array" ref="G54">_xll.BDH("PCAR US Equity","LONG_TERM_BORROWINGS_DETAILED","FQ3 2019","FQ3 2019","Currency=USD","Period=FQ","BEST_FPERIOD_OVERRIDE=FQ","FILING_STATUS=MR","SCALING_FORMAT=MLN","Sort=A","Dates=H","DateFormat=P","Fill=—","Direction=H","UseDPDF=Y")</f>
        <v>6716</v>
      </c>
      <c r="H54" s="13" cm="1">
        <f t="array" ref="H54">_xll.BDH("PCAR US Equity","LONG_TERM_BORROWINGS_DETAILED","FQ4 2019","FQ4 2019","Currency=USD","Period=FQ","BEST_FPERIOD_OVERRIDE=FQ","FILING_STATUS=MR","SCALING_FORMAT=MLN","Sort=A","Dates=H","DateFormat=P","Fill=—","Direction=H","UseDPDF=Y")</f>
        <v>7112.5</v>
      </c>
      <c r="I54" s="13" cm="1">
        <f t="array" ref="I54">_xll.BDH("PCAR US Equity","LONG_TERM_BORROWINGS_DETAILED","FQ1 2020","FQ1 2020","Currency=USD","Period=FQ","BEST_FPERIOD_OVERRIDE=FQ","FILING_STATUS=MR","SCALING_FORMAT=MLN","Sort=A","Dates=H","DateFormat=P","Fill=—","Direction=H","UseDPDF=Y")</f>
        <v>7226</v>
      </c>
      <c r="J54" s="13" cm="1">
        <f t="array" ref="J54">_xll.BDH("PCAR US Equity","LONG_TERM_BORROWINGS_DETAILED","FQ2 2020","FQ2 2020","Currency=USD","Period=FQ","BEST_FPERIOD_OVERRIDE=FQ","FILING_STATUS=MR","SCALING_FORMAT=MLN","Sort=A","Dates=H","DateFormat=P","Fill=—","Direction=H","UseDPDF=Y")</f>
        <v>7416.8</v>
      </c>
      <c r="K54" s="13" cm="1">
        <f t="array" ref="K54">_xll.BDH("PCAR US Equity","LONG_TERM_BORROWINGS_DETAILED","FQ3 2020","FQ3 2020","Currency=USD","Period=FQ","BEST_FPERIOD_OVERRIDE=FQ","FILING_STATUS=MR","SCALING_FORMAT=MLN","Sort=A","Dates=H","DateFormat=P","Fill=—","Direction=H","UseDPDF=Y")</f>
        <v>7776.5</v>
      </c>
      <c r="L54" s="13" cm="1">
        <f t="array" ref="L54">_xll.BDH("PCAR US Equity","LONG_TERM_BORROWINGS_DETAILED","FQ4 2020","FQ4 2020","Currency=USD","Period=FQ","BEST_FPERIOD_OVERRIDE=FQ","FILING_STATUS=MR","SCALING_FORMAT=MLN","Sort=A","Dates=H","DateFormat=P","Fill=—","Direction=H","UseDPDF=Y")</f>
        <v>7508.9</v>
      </c>
      <c r="M54" s="13" cm="1">
        <f t="array" ref="M54">_xll.BDH("PCAR US Equity","LONG_TERM_BORROWINGS_DETAILED","FQ1 2021","FQ1 2021","Currency=USD","Period=FQ","BEST_FPERIOD_OVERRIDE=FQ","FILING_STATUS=MR","SCALING_FORMAT=MLN","Sort=A","Dates=H","DateFormat=P","Fill=—","Direction=H","UseDPDF=Y")</f>
        <v>7521.8</v>
      </c>
      <c r="N54" s="13" cm="1">
        <f t="array" ref="N54">_xll.BDH("PCAR US Equity","LONG_TERM_BORROWINGS_DETAILED","FQ2 2021","FQ2 2021","Currency=USD","Period=FQ","BEST_FPERIOD_OVERRIDE=FQ","FILING_STATUS=MR","SCALING_FORMAT=MLN","Sort=A","Dates=H","DateFormat=P","Fill=—","Direction=H","UseDPDF=Y")</f>
        <v>7158.7</v>
      </c>
      <c r="O54" s="13" cm="1">
        <f t="array" ref="O54">_xll.BDH("PCAR US Equity","LONG_TERM_BORROWINGS_DETAILED","FQ3 2021","FQ3 2021","Currency=USD","Period=FQ","BEST_FPERIOD_OVERRIDE=FQ","FILING_STATUS=MR","SCALING_FORMAT=MLN","Sort=A","Dates=H","DateFormat=P","Fill=—","Direction=H","UseDPDF=Y")</f>
        <v>6849.5</v>
      </c>
      <c r="P54" s="13" cm="1">
        <f t="array" ref="P54">_xll.BDH("PCAR US Equity","LONG_TERM_BORROWINGS_DETAILED","FQ4 2021","FQ4 2021","Currency=USD","Period=FQ","BEST_FPERIOD_OVERRIDE=FQ","FILING_STATUS=MR","SCALING_FORMAT=MLN","Sort=A","Dates=H","DateFormat=P","Fill=—","Direction=H","UseDPDF=Y")</f>
        <v>7128.8</v>
      </c>
      <c r="Q54" s="13" cm="1">
        <f t="array" ref="Q54">_xll.BDH("PCAR US Equity","LONG_TERM_BORROWINGS_DETAILED","FQ1 2022","FQ1 2022","Currency=USD","Period=FQ","BEST_FPERIOD_OVERRIDE=FQ","FILING_STATUS=MR","SCALING_FORMAT=MLN","Sort=A","Dates=H","DateFormat=P","Fill=—","Direction=H","UseDPDF=Y")</f>
        <v>7097.4</v>
      </c>
      <c r="R54" s="13" cm="1">
        <f t="array" ref="R54">_xll.BDH("PCAR US Equity","LONG_TERM_BORROWINGS_DETAILED","FQ2 2022","FQ2 2022","Currency=USD","Period=FQ","BEST_FPERIOD_OVERRIDE=FQ","FILING_STATUS=MR","SCALING_FORMAT=MLN","Sort=A","Dates=H","DateFormat=P","Fill=—","Direction=H","UseDPDF=Y")</f>
        <v>7293.8</v>
      </c>
      <c r="S54" s="13" cm="1">
        <f t="array" ref="S54">_xll.BDH("PCAR US Equity","LONG_TERM_BORROWINGS_DETAILED","FQ3 2022","FQ3 2022","Currency=USD","Period=FQ","BEST_FPERIOD_OVERRIDE=FQ","FILING_STATUS=MR","SCALING_FORMAT=MLN","Sort=A","Dates=H","DateFormat=P","Fill=—","Direction=H","UseDPDF=Y")</f>
        <v>7082.3</v>
      </c>
      <c r="T54" s="13" cm="1">
        <f t="array" ref="T54">_xll.BDH("PCAR US Equity","LONG_TERM_BORROWINGS_DETAILED","FQ4 2022","FQ4 2022","Currency=USD","Period=FQ","BEST_FPERIOD_OVERRIDE=FQ","FILING_STATUS=MR","SCALING_FORMAT=MLN","Sort=A","Dates=H","DateFormat=P","Fill=—","Direction=H","UseDPDF=Y")</f>
        <v>7866.7</v>
      </c>
      <c r="U54" s="13" cm="1">
        <f t="array" ref="U54">_xll.BDH("PCAR US Equity","LONG_TERM_BORROWINGS_DETAILED","FQ1 2023","FQ1 2023","Currency=USD","Period=FQ","BEST_FPERIOD_OVERRIDE=FQ","FILING_STATUS=MR","SCALING_FORMAT=MLN","Sort=A","Dates=H","DateFormat=P","Fill=—","Direction=H","UseDPDF=Y")</f>
        <v>8057</v>
      </c>
      <c r="V54" s="13" cm="1">
        <f t="array" ref="V54">_xll.BDH("PCAR US Equity","LONG_TERM_BORROWINGS_DETAILED","FQ2 2023","FQ2 2023","Currency=USD","Period=FQ","BEST_FPERIOD_OVERRIDE=FQ","FILING_STATUS=MR","SCALING_FORMAT=MLN","Sort=A","Dates=H","DateFormat=P","Fill=—","Direction=H","UseDPDF=Y")</f>
        <v>7953.1</v>
      </c>
      <c r="W54" s="13" cm="1">
        <f t="array" ref="W54">_xll.BDH("PCAR US Equity","LONG_TERM_BORROWINGS_DETAILED","FQ3 2023","FQ3 2023","Currency=USD","Period=FQ","BEST_FPERIOD_OVERRIDE=FQ","FILING_STATUS=MR","SCALING_FORMAT=MLN","Sort=A","Dates=H","DateFormat=P","Fill=—","Direction=H","UseDPDF=Y")</f>
        <v>7906.4</v>
      </c>
      <c r="X54" s="13" cm="1">
        <f t="array" ref="X54">_xll.BDH("PCAR US Equity","LONG_TERM_BORROWINGS_DETAILED","FQ4 2023","FQ4 2023","Currency=USD","Period=FQ","BEST_FPERIOD_OVERRIDE=FQ","FILING_STATUS=MR","SCALING_FORMAT=MLN","Sort=A","Dates=H","DateFormat=P","Fill=—","Direction=H","UseDPDF=Y")</f>
        <v>8624.6</v>
      </c>
      <c r="Y54" s="13" cm="1">
        <f t="array" ref="Y54">_xll.BDH("PCAR US Equity","LONG_TERM_BORROWINGS_DETAILED","FQ1 2024","FQ1 2024","Currency=USD","Period=FQ","BEST_FPERIOD_OVERRIDE=FQ","FILING_STATUS=MR","SCALING_FORMAT=MLN","Sort=A","Dates=H","DateFormat=P","Fill=—","Direction=H","UseDPDF=Y")</f>
        <v>9114.9</v>
      </c>
      <c r="Z54" s="13" cm="1">
        <f t="array" ref="Z54">_xll.BDH("PCAR US Equity","LONG_TERM_BORROWINGS_DETAILED","FQ2 2024","FQ2 2024","Currency=USD","Period=FQ","BEST_FPERIOD_OVERRIDE=FQ","FILING_STATUS=MR","SCALING_FORMAT=MLN","Sort=A","Dates=H","DateFormat=P","Fill=—","Direction=H","UseDPDF=Y")</f>
        <v>9153.2000000000007</v>
      </c>
      <c r="AA54" s="13" cm="1">
        <f t="array" ref="AA54">_xll.BDH("PCAR US Equity","LONG_TERM_BORROWINGS_DETAILED","FQ3 2024","FQ3 2024","Currency=USD","Period=FQ","BEST_FPERIOD_OVERRIDE=FQ","FILING_STATUS=MR","SCALING_FORMAT=MLN","Sort=A","Dates=H","DateFormat=P","Fill=—","Direction=H","UseDPDF=Y")</f>
        <v>10023.299999999999</v>
      </c>
      <c r="AB54" s="13" cm="1">
        <f t="array" ref="AB54">_xll.BDH("PCAR US Equity","LONG_TERM_BORROWINGS_DETAILED","FQ4 2024","FQ4 2024","Currency=USD","Period=FQ","BEST_FPERIOD_OVERRIDE=FQ","FILING_STATUS=MR","SCALING_FORMAT=MLN","Sort=A","Dates=H","DateFormat=P","Fill=—","Direction=H","UseDPDF=Y")</f>
        <v>9891.2000000000007</v>
      </c>
      <c r="AC54" s="13" cm="1">
        <f t="array" ref="AC54">_xll.BDH("PCAR US Equity","LONG_TERM_BORROWINGS_DETAILED","FQ1 2025","FQ1 2025","Currency=USD","Period=FQ","BEST_FPERIOD_OVERRIDE=FQ","FILING_STATUS=MR","SCALING_FORMAT=MLN","Sort=A","Dates=H","DateFormat=P","Fill=—","Direction=H","UseDPDF=Y")</f>
        <v>9967.6</v>
      </c>
      <c r="AD54" s="13" cm="1">
        <f t="array" ref="AD54">_xll.BDH("PCAR US Equity","LONG_TERM_BORROWINGS_DETAILED","FQ2 2025","FQ2 2025","Currency=USD","Period=FQ","BEST_FPERIOD_OVERRIDE=FQ","FILING_STATUS=MR","SCALING_FORMAT=MLN","Sort=A","Dates=H","DateFormat=P","Fill=—","Direction=H","UseDPDF=Y")</f>
        <v>10837.8</v>
      </c>
      <c r="AE54" s="13" cm="1">
        <f t="array" ref="AE54">_xll.BDH("PCAR US Equity","LONG_TERM_BORROWINGS_DETAILED","FQ3 2025","FQ3 2025","Currency=USD","Period=FQ","BEST_FPERIOD_OVERRIDE=FQ","FILING_STATUS=MR","SCALING_FORMAT=MLN","Sort=A","Dates=H","DateFormat=P","Fill=—","Direction=H","UseDPDF=Y")</f>
        <v>10773</v>
      </c>
      <c r="AF54" s="13" cm="1">
        <f t="array" ref="AF54">_xll.BDH("PCAR US Equity","LONG_TERM_BORROWINGS_DETAILED","FQ4 2025","FQ4 2025","Currency=USD","Period=FQ","BEST_FPERIOD_OVERRIDE=FQ","FILING_STATUS=MR","SCALING_FORMAT=MLN","Sort=A","Dates=H","DateFormat=P","Fill=—","Direction=H","UseDPDF=Y")</f>
        <v>17181.3</v>
      </c>
    </row>
    <row r="55" spans="1:32" x14ac:dyDescent="0.25">
      <c r="A55" s="10" t="s">
        <v>157</v>
      </c>
      <c r="B55" s="10" t="s">
        <v>158</v>
      </c>
      <c r="C55" s="13" t="str" cm="1">
        <f t="array" ref="C55">_xll.BDH("PCAR US Equity","LT_CAPITALIZED_LEASE_LIABILITIES","FQ3 2018","FQ3 2018","Currency=USD","Period=FQ","BEST_FPERIOD_OVERRIDE=FQ","FILING_STATUS=MR","SCALING_FORMAT=MLN","Sort=A","Dates=H","DateFormat=P","Fill=—","Direction=H","UseDPDF=Y")</f>
        <v>—</v>
      </c>
      <c r="D55" s="13" cm="1">
        <f t="array" ref="D55">_xll.BDH("PCAR US Equity","LT_CAPITALIZED_LEASE_LIABILITIES","FQ4 2018","FQ4 2018","Currency=USD","Period=FQ","BEST_FPERIOD_OVERRIDE=FQ","FILING_STATUS=MR","SCALING_FORMAT=MLN","Sort=A","Dates=H","DateFormat=P","Fill=—","Direction=H","UseDPDF=Y")</f>
        <v>0</v>
      </c>
      <c r="E55" s="13" cm="1">
        <f t="array" ref="E55">_xll.BDH("PCAR US Equity","LT_CAPITALIZED_LEASE_LIABILITIES","FQ1 2019","FQ1 2019","Currency=USD","Period=FQ","BEST_FPERIOD_OVERRIDE=FQ","FILING_STATUS=MR","SCALING_FORMAT=MLN","Sort=A","Dates=H","DateFormat=P","Fill=—","Direction=H","UseDPDF=Y")</f>
        <v>30.4</v>
      </c>
      <c r="F55" s="13" cm="1">
        <f t="array" ref="F55">_xll.BDH("PCAR US Equity","LT_CAPITALIZED_LEASE_LIABILITIES","FQ2 2019","FQ2 2019","Currency=USD","Period=FQ","BEST_FPERIOD_OVERRIDE=FQ","FILING_STATUS=MR","SCALING_FORMAT=MLN","Sort=A","Dates=H","DateFormat=P","Fill=—","Direction=H","UseDPDF=Y")</f>
        <v>29.3</v>
      </c>
      <c r="G55" s="13" cm="1">
        <f t="array" ref="G55">_xll.BDH("PCAR US Equity","LT_CAPITALIZED_LEASE_LIABILITIES","FQ3 2019","FQ3 2019","Currency=USD","Period=FQ","BEST_FPERIOD_OVERRIDE=FQ","FILING_STATUS=MR","SCALING_FORMAT=MLN","Sort=A","Dates=H","DateFormat=P","Fill=—","Direction=H","UseDPDF=Y")</f>
        <v>27.4</v>
      </c>
      <c r="H55" s="13" cm="1">
        <f t="array" ref="H55">_xll.BDH("PCAR US Equity","LT_CAPITALIZED_LEASE_LIABILITIES","FQ4 2019","FQ4 2019","Currency=USD","Period=FQ","BEST_FPERIOD_OVERRIDE=FQ","FILING_STATUS=MR","SCALING_FORMAT=MLN","Sort=A","Dates=H","DateFormat=P","Fill=—","Direction=H","UseDPDF=Y")</f>
        <v>23.7</v>
      </c>
      <c r="I55" s="13" t="str" cm="1">
        <f t="array" ref="I55">_xll.BDH("PCAR US Equity","LT_CAPITALIZED_LEASE_LIABILITIES","FQ1 2020","FQ1 2020","Currency=USD","Period=FQ","BEST_FPERIOD_OVERRIDE=FQ","FILING_STATUS=MR","SCALING_FORMAT=MLN","Sort=A","Dates=H","DateFormat=P","Fill=—","Direction=H","UseDPDF=Y")</f>
        <v>—</v>
      </c>
      <c r="J55" s="13" t="str" cm="1">
        <f t="array" ref="J55">_xll.BDH("PCAR US Equity","LT_CAPITALIZED_LEASE_LIABILITIES","FQ2 2020","FQ2 2020","Currency=USD","Period=FQ","BEST_FPERIOD_OVERRIDE=FQ","FILING_STATUS=MR","SCALING_FORMAT=MLN","Sort=A","Dates=H","DateFormat=P","Fill=—","Direction=H","UseDPDF=Y")</f>
        <v>—</v>
      </c>
      <c r="K55" s="13" t="str" cm="1">
        <f t="array" ref="K55">_xll.BDH("PCAR US Equity","LT_CAPITALIZED_LEASE_LIABILITIES","FQ3 2020","FQ3 2020","Currency=USD","Period=FQ","BEST_FPERIOD_OVERRIDE=FQ","FILING_STATUS=MR","SCALING_FORMAT=MLN","Sort=A","Dates=H","DateFormat=P","Fill=—","Direction=H","UseDPDF=Y")</f>
        <v>—</v>
      </c>
      <c r="L55" s="13" cm="1">
        <f t="array" ref="L55">_xll.BDH("PCAR US Equity","LT_CAPITALIZED_LEASE_LIABILITIES","FQ4 2020","FQ4 2020","Currency=USD","Period=FQ","BEST_FPERIOD_OVERRIDE=FQ","FILING_STATUS=MR","SCALING_FORMAT=MLN","Sort=A","Dates=H","DateFormat=P","Fill=—","Direction=H","UseDPDF=Y")</f>
        <v>27.4</v>
      </c>
      <c r="M55" s="13" t="str" cm="1">
        <f t="array" ref="M55">_xll.BDH("PCAR US Equity","LT_CAPITALIZED_LEASE_LIABILITIES","FQ1 2021","FQ1 2021","Currency=USD","Period=FQ","BEST_FPERIOD_OVERRIDE=FQ","FILING_STATUS=MR","SCALING_FORMAT=MLN","Sort=A","Dates=H","DateFormat=P","Fill=—","Direction=H","UseDPDF=Y")</f>
        <v>—</v>
      </c>
      <c r="N55" s="13" t="str" cm="1">
        <f t="array" ref="N55">_xll.BDH("PCAR US Equity","LT_CAPITALIZED_LEASE_LIABILITIES","FQ2 2021","FQ2 2021","Currency=USD","Period=FQ","BEST_FPERIOD_OVERRIDE=FQ","FILING_STATUS=MR","SCALING_FORMAT=MLN","Sort=A","Dates=H","DateFormat=P","Fill=—","Direction=H","UseDPDF=Y")</f>
        <v>—</v>
      </c>
      <c r="O55" s="13" t="str" cm="1">
        <f t="array" ref="O55">_xll.BDH("PCAR US Equity","LT_CAPITALIZED_LEASE_LIABILITIES","FQ3 2021","FQ3 2021","Currency=USD","Period=FQ","BEST_FPERIOD_OVERRIDE=FQ","FILING_STATUS=MR","SCALING_FORMAT=MLN","Sort=A","Dates=H","DateFormat=P","Fill=—","Direction=H","UseDPDF=Y")</f>
        <v>—</v>
      </c>
      <c r="P55" s="13" cm="1">
        <f t="array" ref="P55">_xll.BDH("PCAR US Equity","LT_CAPITALIZED_LEASE_LIABILITIES","FQ4 2021","FQ4 2021","Currency=USD","Period=FQ","BEST_FPERIOD_OVERRIDE=FQ","FILING_STATUS=MR","SCALING_FORMAT=MLN","Sort=A","Dates=H","DateFormat=P","Fill=—","Direction=H","UseDPDF=Y")</f>
        <v>22.3</v>
      </c>
      <c r="Q55" s="13" t="str" cm="1">
        <f t="array" ref="Q55">_xll.BDH("PCAR US Equity","LT_CAPITALIZED_LEASE_LIABILITIES","FQ1 2022","FQ1 2022","Currency=USD","Period=FQ","BEST_FPERIOD_OVERRIDE=FQ","FILING_STATUS=MR","SCALING_FORMAT=MLN","Sort=A","Dates=H","DateFormat=P","Fill=—","Direction=H","UseDPDF=Y")</f>
        <v>—</v>
      </c>
      <c r="R55" s="13" t="str" cm="1">
        <f t="array" ref="R55">_xll.BDH("PCAR US Equity","LT_CAPITALIZED_LEASE_LIABILITIES","FQ2 2022","FQ2 2022","Currency=USD","Period=FQ","BEST_FPERIOD_OVERRIDE=FQ","FILING_STATUS=MR","SCALING_FORMAT=MLN","Sort=A","Dates=H","DateFormat=P","Fill=—","Direction=H","UseDPDF=Y")</f>
        <v>—</v>
      </c>
      <c r="S55" s="13" t="str" cm="1">
        <f t="array" ref="S55">_xll.BDH("PCAR US Equity","LT_CAPITALIZED_LEASE_LIABILITIES","FQ3 2022","FQ3 2022","Currency=USD","Period=FQ","BEST_FPERIOD_OVERRIDE=FQ","FILING_STATUS=MR","SCALING_FORMAT=MLN","Sort=A","Dates=H","DateFormat=P","Fill=—","Direction=H","UseDPDF=Y")</f>
        <v>—</v>
      </c>
      <c r="T55" s="13" cm="1">
        <f t="array" ref="T55">_xll.BDH("PCAR US Equity","LT_CAPITALIZED_LEASE_LIABILITIES","FQ4 2022","FQ4 2022","Currency=USD","Period=FQ","BEST_FPERIOD_OVERRIDE=FQ","FILING_STATUS=MR","SCALING_FORMAT=MLN","Sort=A","Dates=H","DateFormat=P","Fill=—","Direction=H","UseDPDF=Y")</f>
        <v>32</v>
      </c>
      <c r="U55" s="13" t="str" cm="1">
        <f t="array" ref="U55">_xll.BDH("PCAR US Equity","LT_CAPITALIZED_LEASE_LIABILITIES","FQ1 2023","FQ1 2023","Currency=USD","Period=FQ","BEST_FPERIOD_OVERRIDE=FQ","FILING_STATUS=MR","SCALING_FORMAT=MLN","Sort=A","Dates=H","DateFormat=P","Fill=—","Direction=H","UseDPDF=Y")</f>
        <v>—</v>
      </c>
      <c r="V55" s="13" t="str" cm="1">
        <f t="array" ref="V55">_xll.BDH("PCAR US Equity","LT_CAPITALIZED_LEASE_LIABILITIES","FQ2 2023","FQ2 2023","Currency=USD","Period=FQ","BEST_FPERIOD_OVERRIDE=FQ","FILING_STATUS=MR","SCALING_FORMAT=MLN","Sort=A","Dates=H","DateFormat=P","Fill=—","Direction=H","UseDPDF=Y")</f>
        <v>—</v>
      </c>
      <c r="W55" s="13" t="str" cm="1">
        <f t="array" ref="W55">_xll.BDH("PCAR US Equity","LT_CAPITALIZED_LEASE_LIABILITIES","FQ3 2023","FQ3 2023","Currency=USD","Period=FQ","BEST_FPERIOD_OVERRIDE=FQ","FILING_STATUS=MR","SCALING_FORMAT=MLN","Sort=A","Dates=H","DateFormat=P","Fill=—","Direction=H","UseDPDF=Y")</f>
        <v>—</v>
      </c>
      <c r="X55" s="13" cm="1">
        <f t="array" ref="X55">_xll.BDH("PCAR US Equity","LT_CAPITALIZED_LEASE_LIABILITIES","FQ4 2023","FQ4 2023","Currency=USD","Period=FQ","BEST_FPERIOD_OVERRIDE=FQ","FILING_STATUS=MR","SCALING_FORMAT=MLN","Sort=A","Dates=H","DateFormat=P","Fill=—","Direction=H","UseDPDF=Y")</f>
        <v>57.1</v>
      </c>
      <c r="Y55" s="13" t="str" cm="1">
        <f t="array" ref="Y55">_xll.BDH("PCAR US Equity","LT_CAPITALIZED_LEASE_LIABILITIES","FQ1 2024","FQ1 2024","Currency=USD","Period=FQ","BEST_FPERIOD_OVERRIDE=FQ","FILING_STATUS=MR","SCALING_FORMAT=MLN","Sort=A","Dates=H","DateFormat=P","Fill=—","Direction=H","UseDPDF=Y")</f>
        <v>—</v>
      </c>
      <c r="Z55" s="13" t="str" cm="1">
        <f t="array" ref="Z55">_xll.BDH("PCAR US Equity","LT_CAPITALIZED_LEASE_LIABILITIES","FQ2 2024","FQ2 2024","Currency=USD","Period=FQ","BEST_FPERIOD_OVERRIDE=FQ","FILING_STATUS=MR","SCALING_FORMAT=MLN","Sort=A","Dates=H","DateFormat=P","Fill=—","Direction=H","UseDPDF=Y")</f>
        <v>—</v>
      </c>
      <c r="AA55" s="13" t="str" cm="1">
        <f t="array" ref="AA55">_xll.BDH("PCAR US Equity","LT_CAPITALIZED_LEASE_LIABILITIES","FQ3 2024","FQ3 2024","Currency=USD","Period=FQ","BEST_FPERIOD_OVERRIDE=FQ","FILING_STATUS=MR","SCALING_FORMAT=MLN","Sort=A","Dates=H","DateFormat=P","Fill=—","Direction=H","UseDPDF=Y")</f>
        <v>—</v>
      </c>
      <c r="AB55" s="13" cm="1">
        <f t="array" ref="AB55">_xll.BDH("PCAR US Equity","LT_CAPITALIZED_LEASE_LIABILITIES","FQ4 2024","FQ4 2024","Currency=USD","Period=FQ","BEST_FPERIOD_OVERRIDE=FQ","FILING_STATUS=MR","SCALING_FORMAT=MLN","Sort=A","Dates=H","DateFormat=P","Fill=—","Direction=H","UseDPDF=Y")</f>
        <v>54.4</v>
      </c>
      <c r="AC55" s="13" t="str" cm="1">
        <f t="array" ref="AC55">_xll.BDH("PCAR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D55" s="13" t="str" cm="1">
        <f t="array" ref="AD55">_xll.BDH("PCAR US Equity","LT_CAPITALIZED_LEASE_LIABILITIES","FQ2 2025","FQ2 2025","Currency=USD","Period=FQ","BEST_FPERIOD_OVERRIDE=FQ","FILING_STATUS=MR","SCALING_FORMAT=MLN","Sort=A","Dates=H","DateFormat=P","Fill=—","Direction=H","UseDPDF=Y")</f>
        <v>—</v>
      </c>
      <c r="AE55" s="13" t="str" cm="1">
        <f t="array" ref="AE55">_xll.BDH("PCAR US Equity","LT_CAPITALIZED_LEASE_LIABILITIES","FQ3 2025","FQ3 2025","Currency=USD","Period=FQ","BEST_FPERIOD_OVERRIDE=FQ","FILING_STATUS=MR","SCALING_FORMAT=MLN","Sort=A","Dates=H","DateFormat=P","Fill=—","Direction=H","UseDPDF=Y")</f>
        <v>—</v>
      </c>
      <c r="AF55" s="13" t="str" cm="1">
        <f t="array" ref="AF55">_xll.BDH("PCAR US Equity","LT_CAPITALIZED_LEASE_LIABILITIES","FQ4 2025","FQ4 2025","Currency=USD","Period=FQ","BEST_FPERIOD_OVERRIDE=FQ","FILING_STATUS=MR","SCALING_FORMAT=MLN","Sort=A","Dates=H","DateFormat=P","Fill=—","Direction=H","UseDPDF=Y")</f>
        <v>—</v>
      </c>
    </row>
    <row r="56" spans="1:32" x14ac:dyDescent="0.25">
      <c r="A56" s="11" t="s">
        <v>159</v>
      </c>
      <c r="B56" s="11" t="s">
        <v>160</v>
      </c>
      <c r="C56" s="17" t="str" cm="1">
        <f t="array" ref="C56">_xll.BDH("PCAR US Equity","LT_CAPITAL_LEASE_OBLIGATIONS","FQ3 2018","FQ3 2018","Currency=USD","Period=FQ","BEST_FPERIOD_OVERRIDE=FQ","FILING_STATUS=MR","SCALING_FORMAT=MLN","Sort=A","Dates=H","DateFormat=P","Fill=—","Direction=H","UseDPDF=Y")</f>
        <v>—</v>
      </c>
      <c r="D56" s="17" cm="1">
        <f t="array" ref="D56">_xll.BDH("PCAR US Equity","LT_CAPITAL_LEASE_OBLIGATIONS","FQ4 2018","FQ4 2018","Currency=USD","Period=FQ","BEST_FPERIOD_OVERRIDE=FQ","FILING_STATUS=MR","SCALING_FORMAT=MLN","Sort=A","Dates=H","DateFormat=P","Fill=—","Direction=H","UseDPDF=Y")</f>
        <v>0</v>
      </c>
      <c r="E56" s="17" cm="1">
        <f t="array" ref="E56">_xll.BDH("PCAR US Equity","LT_CAPITAL_LEASE_OBLIGATIONS","FQ1 2019","FQ1 2019","Currency=USD","Period=FQ","BEST_FPERIOD_OVERRIDE=FQ","FILING_STATUS=MR","SCALING_FORMAT=MLN","Sort=A","Dates=H","DateFormat=P","Fill=—","Direction=H","UseDPDF=Y")</f>
        <v>0.9</v>
      </c>
      <c r="F56" s="17" cm="1">
        <f t="array" ref="F56">_xll.BDH("PCAR US Equity","LT_CAPITAL_LEASE_OBLIGATIONS","FQ2 2019","FQ2 2019","Currency=USD","Period=FQ","BEST_FPERIOD_OVERRIDE=FQ","FILING_STATUS=MR","SCALING_FORMAT=MLN","Sort=A","Dates=H","DateFormat=P","Fill=—","Direction=H","UseDPDF=Y")</f>
        <v>0.7</v>
      </c>
      <c r="G56" s="17" cm="1">
        <f t="array" ref="G56">_xll.BDH("PCAR US Equity","LT_CAPITAL_LEASE_OBLIGATIONS","FQ3 2019","FQ3 2019","Currency=USD","Period=FQ","BEST_FPERIOD_OVERRIDE=FQ","FILING_STATUS=MR","SCALING_FORMAT=MLN","Sort=A","Dates=H","DateFormat=P","Fill=—","Direction=H","UseDPDF=Y")</f>
        <v>0.7</v>
      </c>
      <c r="H56" s="17" cm="1">
        <f t="array" ref="H56">_xll.BDH("PCAR US Equity","LT_CAPITAL_LEASE_OBLIGATIONS","FQ4 2019","FQ4 2019","Currency=USD","Period=FQ","BEST_FPERIOD_OVERRIDE=FQ","FILING_STATUS=MR","SCALING_FORMAT=MLN","Sort=A","Dates=H","DateFormat=P","Fill=—","Direction=H","UseDPDF=Y")</f>
        <v>0.5</v>
      </c>
      <c r="I56" s="17" t="str" cm="1">
        <f t="array" ref="I56">_xll.BDH("PCAR US Equity","LT_CAPITAL_LEASE_OBLIGATIONS","FQ1 2020","FQ1 2020","Currency=USD","Period=FQ","BEST_FPERIOD_OVERRIDE=FQ","FILING_STATUS=MR","SCALING_FORMAT=MLN","Sort=A","Dates=H","DateFormat=P","Fill=—","Direction=H","UseDPDF=Y")</f>
        <v>—</v>
      </c>
      <c r="J56" s="17" t="str" cm="1">
        <f t="array" ref="J56">_xll.BDH("PCAR US Equity","LT_CAPITAL_LEASE_OBLIGATIONS","FQ2 2020","FQ2 2020","Currency=USD","Period=FQ","BEST_FPERIOD_OVERRIDE=FQ","FILING_STATUS=MR","SCALING_FORMAT=MLN","Sort=A","Dates=H","DateFormat=P","Fill=—","Direction=H","UseDPDF=Y")</f>
        <v>—</v>
      </c>
      <c r="K56" s="17" t="str" cm="1">
        <f t="array" ref="K56">_xll.BDH("PCAR US Equity","LT_CAPITAL_LEASE_OBLIGATIONS","FQ3 2020","FQ3 2020","Currency=USD","Period=FQ","BEST_FPERIOD_OVERRIDE=FQ","FILING_STATUS=MR","SCALING_FORMAT=MLN","Sort=A","Dates=H","DateFormat=P","Fill=—","Direction=H","UseDPDF=Y")</f>
        <v>—</v>
      </c>
      <c r="L56" s="17" cm="1">
        <f t="array" ref="L56">_xll.BDH("PCAR US Equity","LT_CAPITAL_LEASE_OBLIGATIONS","FQ4 2020","FQ4 2020","Currency=USD","Period=FQ","BEST_FPERIOD_OVERRIDE=FQ","FILING_STATUS=MR","SCALING_FORMAT=MLN","Sort=A","Dates=H","DateFormat=P","Fill=—","Direction=H","UseDPDF=Y")</f>
        <v>0.5</v>
      </c>
      <c r="M56" s="17" t="str" cm="1">
        <f t="array" ref="M56">_xll.BDH("PCAR US Equity","LT_CAPITAL_LEASE_OBLIGATIONS","FQ1 2021","FQ1 2021","Currency=USD","Period=FQ","BEST_FPERIOD_OVERRIDE=FQ","FILING_STATUS=MR","SCALING_FORMAT=MLN","Sort=A","Dates=H","DateFormat=P","Fill=—","Direction=H","UseDPDF=Y")</f>
        <v>—</v>
      </c>
      <c r="N56" s="17" t="str" cm="1">
        <f t="array" ref="N56">_xll.BDH("PCAR US Equity","LT_CAPITAL_LEASE_OBLIGATIONS","FQ2 2021","FQ2 2021","Currency=USD","Period=FQ","BEST_FPERIOD_OVERRIDE=FQ","FILING_STATUS=MR","SCALING_FORMAT=MLN","Sort=A","Dates=H","DateFormat=P","Fill=—","Direction=H","UseDPDF=Y")</f>
        <v>—</v>
      </c>
      <c r="O56" s="17" t="str" cm="1">
        <f t="array" ref="O56">_xll.BDH("PCAR US Equity","LT_CAPITAL_LEASE_OBLIGATIONS","FQ3 2021","FQ3 2021","Currency=USD","Period=FQ","BEST_FPERIOD_OVERRIDE=FQ","FILING_STATUS=MR","SCALING_FORMAT=MLN","Sort=A","Dates=H","DateFormat=P","Fill=—","Direction=H","UseDPDF=Y")</f>
        <v>—</v>
      </c>
      <c r="P56" s="17" cm="1">
        <f t="array" ref="P56">_xll.BDH("PCAR US Equity","LT_CAPITAL_LEASE_OBLIGATIONS","FQ4 2021","FQ4 2021","Currency=USD","Period=FQ","BEST_FPERIOD_OVERRIDE=FQ","FILING_STATUS=MR","SCALING_FORMAT=MLN","Sort=A","Dates=H","DateFormat=P","Fill=—","Direction=H","UseDPDF=Y")</f>
        <v>0.5</v>
      </c>
      <c r="Q56" s="17" t="str" cm="1">
        <f t="array" ref="Q56">_xll.BDH("PCAR US Equity","LT_CAPITAL_LEASE_OBLIGATIONS","FQ1 2022","FQ1 2022","Currency=USD","Period=FQ","BEST_FPERIOD_OVERRIDE=FQ","FILING_STATUS=MR","SCALING_FORMAT=MLN","Sort=A","Dates=H","DateFormat=P","Fill=—","Direction=H","UseDPDF=Y")</f>
        <v>—</v>
      </c>
      <c r="R56" s="17" t="str" cm="1">
        <f t="array" ref="R56">_xll.BDH("PCAR US Equity","LT_CAPITAL_LEASE_OBLIGATIONS","FQ2 2022","FQ2 2022","Currency=USD","Period=FQ","BEST_FPERIOD_OVERRIDE=FQ","FILING_STATUS=MR","SCALING_FORMAT=MLN","Sort=A","Dates=H","DateFormat=P","Fill=—","Direction=H","UseDPDF=Y")</f>
        <v>—</v>
      </c>
      <c r="S56" s="17" t="str" cm="1">
        <f t="array" ref="S56">_xll.BDH("PCAR US Equity","LT_CAPITAL_LEASE_OBLIGATIONS","FQ3 2022","FQ3 2022","Currency=USD","Period=FQ","BEST_FPERIOD_OVERRIDE=FQ","FILING_STATUS=MR","SCALING_FORMAT=MLN","Sort=A","Dates=H","DateFormat=P","Fill=—","Direction=H","UseDPDF=Y")</f>
        <v>—</v>
      </c>
      <c r="T56" s="17" cm="1">
        <f t="array" ref="T56">_xll.BDH("PCAR US Equity","LT_CAPITAL_LEASE_OBLIGATIONS","FQ4 2022","FQ4 2022","Currency=USD","Period=FQ","BEST_FPERIOD_OVERRIDE=FQ","FILING_STATUS=MR","SCALING_FORMAT=MLN","Sort=A","Dates=H","DateFormat=P","Fill=—","Direction=H","UseDPDF=Y")</f>
        <v>1.8</v>
      </c>
      <c r="U56" s="17" t="str" cm="1">
        <f t="array" ref="U56">_xll.BDH("PCAR US Equity","LT_CAPITAL_LEASE_OBLIGATIONS","FQ1 2023","FQ1 2023","Currency=USD","Period=FQ","BEST_FPERIOD_OVERRIDE=FQ","FILING_STATUS=MR","SCALING_FORMAT=MLN","Sort=A","Dates=H","DateFormat=P","Fill=—","Direction=H","UseDPDF=Y")</f>
        <v>—</v>
      </c>
      <c r="V56" s="17" t="str" cm="1">
        <f t="array" ref="V56">_xll.BDH("PCAR US Equity","LT_CAPITAL_LEASE_OBLIGATIONS","FQ2 2023","FQ2 2023","Currency=USD","Period=FQ","BEST_FPERIOD_OVERRIDE=FQ","FILING_STATUS=MR","SCALING_FORMAT=MLN","Sort=A","Dates=H","DateFormat=P","Fill=—","Direction=H","UseDPDF=Y")</f>
        <v>—</v>
      </c>
      <c r="W56" s="17" t="str" cm="1">
        <f t="array" ref="W56">_xll.BDH("PCAR US Equity","LT_CAPITAL_LEASE_OBLIGATIONS","FQ3 2023","FQ3 2023","Currency=USD","Period=FQ","BEST_FPERIOD_OVERRIDE=FQ","FILING_STATUS=MR","SCALING_FORMAT=MLN","Sort=A","Dates=H","DateFormat=P","Fill=—","Direction=H","UseDPDF=Y")</f>
        <v>—</v>
      </c>
      <c r="X56" s="17" cm="1">
        <f t="array" ref="X56">_xll.BDH("PCAR US Equity","LT_CAPITAL_LEASE_OBLIGATIONS","FQ4 2023","FQ4 2023","Currency=USD","Period=FQ","BEST_FPERIOD_OVERRIDE=FQ","FILING_STATUS=MR","SCALING_FORMAT=MLN","Sort=A","Dates=H","DateFormat=P","Fill=—","Direction=H","UseDPDF=Y")</f>
        <v>1.6</v>
      </c>
      <c r="Y56" s="17" t="str" cm="1">
        <f t="array" ref="Y56">_xll.BDH("PCAR US Equity","LT_CAPITAL_LEASE_OBLIGATIONS","FQ1 2024","FQ1 2024","Currency=USD","Period=FQ","BEST_FPERIOD_OVERRIDE=FQ","FILING_STATUS=MR","SCALING_FORMAT=MLN","Sort=A","Dates=H","DateFormat=P","Fill=—","Direction=H","UseDPDF=Y")</f>
        <v>—</v>
      </c>
      <c r="Z56" s="17" t="str" cm="1">
        <f t="array" ref="Z56">_xll.BDH("PCAR US Equity","LT_CAPITAL_LEASE_OBLIGATIONS","FQ2 2024","FQ2 2024","Currency=USD","Period=FQ","BEST_FPERIOD_OVERRIDE=FQ","FILING_STATUS=MR","SCALING_FORMAT=MLN","Sort=A","Dates=H","DateFormat=P","Fill=—","Direction=H","UseDPDF=Y")</f>
        <v>—</v>
      </c>
      <c r="AA56" s="17" t="str" cm="1">
        <f t="array" ref="AA56">_xll.BDH("PCAR US Equity","LT_CAPITAL_LEASE_OBLIGATIONS","FQ3 2024","FQ3 2024","Currency=USD","Period=FQ","BEST_FPERIOD_OVERRIDE=FQ","FILING_STATUS=MR","SCALING_FORMAT=MLN","Sort=A","Dates=H","DateFormat=P","Fill=—","Direction=H","UseDPDF=Y")</f>
        <v>—</v>
      </c>
      <c r="AB56" s="17" cm="1">
        <f t="array" ref="AB56">_xll.BDH("PCAR US Equity","LT_CAPITAL_LEASE_OBLIGATIONS","FQ4 2024","FQ4 2024","Currency=USD","Period=FQ","BEST_FPERIOD_OVERRIDE=FQ","FILING_STATUS=MR","SCALING_FORMAT=MLN","Sort=A","Dates=H","DateFormat=P","Fill=—","Direction=H","UseDPDF=Y")</f>
        <v>0.9</v>
      </c>
      <c r="AC56" s="17" t="str" cm="1">
        <f t="array" ref="AC56">_xll.BDH("PCAR US Equity","LT_CAPITAL_LEASE_OBLIGATIONS","FQ1 2025","FQ1 2025","Currency=USD","Period=FQ","BEST_FPERIOD_OVERRIDE=FQ","FILING_STATUS=MR","SCALING_FORMAT=MLN","Sort=A","Dates=H","DateFormat=P","Fill=—","Direction=H","UseDPDF=Y")</f>
        <v>—</v>
      </c>
      <c r="AD56" s="17" t="str" cm="1">
        <f t="array" ref="AD56">_xll.BDH("PCAR US Equity","LT_CAPITAL_LEASE_OBLIGATIONS","FQ2 2025","FQ2 2025","Currency=USD","Period=FQ","BEST_FPERIOD_OVERRIDE=FQ","FILING_STATUS=MR","SCALING_FORMAT=MLN","Sort=A","Dates=H","DateFormat=P","Fill=—","Direction=H","UseDPDF=Y")</f>
        <v>—</v>
      </c>
      <c r="AE56" s="17" t="str" cm="1">
        <f t="array" ref="AE56">_xll.BDH("PCAR US Equity","LT_CAPITAL_LEASE_OBLIGATIONS","FQ3 2025","FQ3 2025","Currency=USD","Period=FQ","BEST_FPERIOD_OVERRIDE=FQ","FILING_STATUS=MR","SCALING_FORMAT=MLN","Sort=A","Dates=H","DateFormat=P","Fill=—","Direction=H","UseDPDF=Y")</f>
        <v>—</v>
      </c>
      <c r="AF56" s="17" t="str" cm="1">
        <f t="array" ref="AF56">_xll.BDH("PCAR US Equity","LT_CAPITAL_LEASE_OBLIGATIONS","FQ4 2025","FQ4 2025","Currency=USD","Period=FQ","BEST_FPERIOD_OVERRIDE=FQ","FILING_STATUS=MR","SCALING_FORMAT=MLN","Sort=A","Dates=H","DateFormat=P","Fill=—","Direction=H","UseDPDF=Y")</f>
        <v>—</v>
      </c>
    </row>
    <row r="57" spans="1:32" x14ac:dyDescent="0.25">
      <c r="A57" s="11" t="s">
        <v>161</v>
      </c>
      <c r="B57" s="11" t="s">
        <v>162</v>
      </c>
      <c r="C57" s="17" t="str" cm="1">
        <f t="array" ref="C57">_xll.BDH("PCAR US Equity","BS_LT_OPERATING_LEASE_LIABS","FQ3 2018","FQ3 2018","Currency=USD","Period=FQ","BEST_FPERIOD_OVERRIDE=FQ","FILING_STATUS=MR","SCALING_FORMAT=MLN","Sort=A","Dates=H","DateFormat=P","Fill=—","Direction=H","UseDPDF=Y")</f>
        <v>—</v>
      </c>
      <c r="D57" s="17" t="str" cm="1">
        <f t="array" ref="D57">_xll.BDH("PCAR US Equity","BS_LT_OPERATING_LEASE_LIABS","FQ4 2018","FQ4 2018","Currency=USD","Period=FQ","BEST_FPERIOD_OVERRIDE=FQ","FILING_STATUS=MR","SCALING_FORMAT=MLN","Sort=A","Dates=H","DateFormat=P","Fill=—","Direction=H","UseDPDF=Y")</f>
        <v>—</v>
      </c>
      <c r="E57" s="17" cm="1">
        <f t="array" ref="E57">_xll.BDH("PCAR US Equity","BS_LT_OPERATING_LEASE_LIABS","FQ1 2019","FQ1 2019","Currency=USD","Period=FQ","BEST_FPERIOD_OVERRIDE=FQ","FILING_STATUS=MR","SCALING_FORMAT=MLN","Sort=A","Dates=H","DateFormat=P","Fill=—","Direction=H","UseDPDF=Y")</f>
        <v>29.5</v>
      </c>
      <c r="F57" s="17" cm="1">
        <f t="array" ref="F57">_xll.BDH("PCAR US Equity","BS_LT_OPERATING_LEASE_LIABS","FQ2 2019","FQ2 2019","Currency=USD","Period=FQ","BEST_FPERIOD_OVERRIDE=FQ","FILING_STATUS=MR","SCALING_FORMAT=MLN","Sort=A","Dates=H","DateFormat=P","Fill=—","Direction=H","UseDPDF=Y")</f>
        <v>28.6</v>
      </c>
      <c r="G57" s="17" cm="1">
        <f t="array" ref="G57">_xll.BDH("PCAR US Equity","BS_LT_OPERATING_LEASE_LIABS","FQ3 2019","FQ3 2019","Currency=USD","Period=FQ","BEST_FPERIOD_OVERRIDE=FQ","FILING_STATUS=MR","SCALING_FORMAT=MLN","Sort=A","Dates=H","DateFormat=P","Fill=—","Direction=H","UseDPDF=Y")</f>
        <v>26.7</v>
      </c>
      <c r="H57" s="17" cm="1">
        <f t="array" ref="H57">_xll.BDH("PCAR US Equity","BS_LT_OPERATING_LEASE_LIABS","FQ4 2019","FQ4 2019","Currency=USD","Period=FQ","BEST_FPERIOD_OVERRIDE=FQ","FILING_STATUS=MR","SCALING_FORMAT=MLN","Sort=A","Dates=H","DateFormat=P","Fill=—","Direction=H","UseDPDF=Y")</f>
        <v>23.2</v>
      </c>
      <c r="I57" s="17" t="str" cm="1">
        <f t="array" ref="I57">_xll.BDH("PCAR US Equity","BS_LT_OPERATING_LEASE_LIABS","FQ1 2020","FQ1 2020","Currency=USD","Period=FQ","BEST_FPERIOD_OVERRIDE=FQ","FILING_STATUS=MR","SCALING_FORMAT=MLN","Sort=A","Dates=H","DateFormat=P","Fill=—","Direction=H","UseDPDF=Y")</f>
        <v>—</v>
      </c>
      <c r="J57" s="17" t="str" cm="1">
        <f t="array" ref="J57">_xll.BDH("PCAR US Equity","BS_LT_OPERATING_LEASE_LIABS","FQ2 2020","FQ2 2020","Currency=USD","Period=FQ","BEST_FPERIOD_OVERRIDE=FQ","FILING_STATUS=MR","SCALING_FORMAT=MLN","Sort=A","Dates=H","DateFormat=P","Fill=—","Direction=H","UseDPDF=Y")</f>
        <v>—</v>
      </c>
      <c r="K57" s="17" t="str" cm="1">
        <f t="array" ref="K57">_xll.BDH("PCAR US Equity","BS_LT_OPERATING_LEASE_LIABS","FQ3 2020","FQ3 2020","Currency=USD","Period=FQ","BEST_FPERIOD_OVERRIDE=FQ","FILING_STATUS=MR","SCALING_FORMAT=MLN","Sort=A","Dates=H","DateFormat=P","Fill=—","Direction=H","UseDPDF=Y")</f>
        <v>—</v>
      </c>
      <c r="L57" s="17" cm="1">
        <f t="array" ref="L57">_xll.BDH("PCAR US Equity","BS_LT_OPERATING_LEASE_LIABS","FQ4 2020","FQ4 2020","Currency=USD","Period=FQ","BEST_FPERIOD_OVERRIDE=FQ","FILING_STATUS=MR","SCALING_FORMAT=MLN","Sort=A","Dates=H","DateFormat=P","Fill=—","Direction=H","UseDPDF=Y")</f>
        <v>26.9</v>
      </c>
      <c r="M57" s="17" t="str" cm="1">
        <f t="array" ref="M57">_xll.BDH("PCAR US Equity","BS_LT_OPERATING_LEASE_LIABS","FQ1 2021","FQ1 2021","Currency=USD","Period=FQ","BEST_FPERIOD_OVERRIDE=FQ","FILING_STATUS=MR","SCALING_FORMAT=MLN","Sort=A","Dates=H","DateFormat=P","Fill=—","Direction=H","UseDPDF=Y")</f>
        <v>—</v>
      </c>
      <c r="N57" s="17" t="str" cm="1">
        <f t="array" ref="N57">_xll.BDH("PCAR US Equity","BS_LT_OPERATING_LEASE_LIABS","FQ2 2021","FQ2 2021","Currency=USD","Period=FQ","BEST_FPERIOD_OVERRIDE=FQ","FILING_STATUS=MR","SCALING_FORMAT=MLN","Sort=A","Dates=H","DateFormat=P","Fill=—","Direction=H","UseDPDF=Y")</f>
        <v>—</v>
      </c>
      <c r="O57" s="17" t="str" cm="1">
        <f t="array" ref="O57">_xll.BDH("PCAR US Equity","BS_LT_OPERATING_LEASE_LIABS","FQ3 2021","FQ3 2021","Currency=USD","Period=FQ","BEST_FPERIOD_OVERRIDE=FQ","FILING_STATUS=MR","SCALING_FORMAT=MLN","Sort=A","Dates=H","DateFormat=P","Fill=—","Direction=H","UseDPDF=Y")</f>
        <v>—</v>
      </c>
      <c r="P57" s="17" cm="1">
        <f t="array" ref="P57">_xll.BDH("PCAR US Equity","BS_LT_OPERATING_LEASE_LIABS","FQ4 2021","FQ4 2021","Currency=USD","Period=FQ","BEST_FPERIOD_OVERRIDE=FQ","FILING_STATUS=MR","SCALING_FORMAT=MLN","Sort=A","Dates=H","DateFormat=P","Fill=—","Direction=H","UseDPDF=Y")</f>
        <v>21.8</v>
      </c>
      <c r="Q57" s="17" t="str" cm="1">
        <f t="array" ref="Q57">_xll.BDH("PCAR US Equity","BS_LT_OPERATING_LEASE_LIABS","FQ1 2022","FQ1 2022","Currency=USD","Period=FQ","BEST_FPERIOD_OVERRIDE=FQ","FILING_STATUS=MR","SCALING_FORMAT=MLN","Sort=A","Dates=H","DateFormat=P","Fill=—","Direction=H","UseDPDF=Y")</f>
        <v>—</v>
      </c>
      <c r="R57" s="17" t="str" cm="1">
        <f t="array" ref="R57">_xll.BDH("PCAR US Equity","BS_LT_OPERATING_LEASE_LIABS","FQ2 2022","FQ2 2022","Currency=USD","Period=FQ","BEST_FPERIOD_OVERRIDE=FQ","FILING_STATUS=MR","SCALING_FORMAT=MLN","Sort=A","Dates=H","DateFormat=P","Fill=—","Direction=H","UseDPDF=Y")</f>
        <v>—</v>
      </c>
      <c r="S57" s="17" t="str" cm="1">
        <f t="array" ref="S57">_xll.BDH("PCAR US Equity","BS_LT_OPERATING_LEASE_LIABS","FQ3 2022","FQ3 2022","Currency=USD","Period=FQ","BEST_FPERIOD_OVERRIDE=FQ","FILING_STATUS=MR","SCALING_FORMAT=MLN","Sort=A","Dates=H","DateFormat=P","Fill=—","Direction=H","UseDPDF=Y")</f>
        <v>—</v>
      </c>
      <c r="T57" s="17" cm="1">
        <f t="array" ref="T57">_xll.BDH("PCAR US Equity","BS_LT_OPERATING_LEASE_LIABS","FQ4 2022","FQ4 2022","Currency=USD","Period=FQ","BEST_FPERIOD_OVERRIDE=FQ","FILING_STATUS=MR","SCALING_FORMAT=MLN","Sort=A","Dates=H","DateFormat=P","Fill=—","Direction=H","UseDPDF=Y")</f>
        <v>30.2</v>
      </c>
      <c r="U57" s="17" t="str" cm="1">
        <f t="array" ref="U57">_xll.BDH("PCAR US Equity","BS_LT_OPERATING_LEASE_LIABS","FQ1 2023","FQ1 2023","Currency=USD","Period=FQ","BEST_FPERIOD_OVERRIDE=FQ","FILING_STATUS=MR","SCALING_FORMAT=MLN","Sort=A","Dates=H","DateFormat=P","Fill=—","Direction=H","UseDPDF=Y")</f>
        <v>—</v>
      </c>
      <c r="V57" s="17" t="str" cm="1">
        <f t="array" ref="V57">_xll.BDH("PCAR US Equity","BS_LT_OPERATING_LEASE_LIABS","FQ2 2023","FQ2 2023","Currency=USD","Period=FQ","BEST_FPERIOD_OVERRIDE=FQ","FILING_STATUS=MR","SCALING_FORMAT=MLN","Sort=A","Dates=H","DateFormat=P","Fill=—","Direction=H","UseDPDF=Y")</f>
        <v>—</v>
      </c>
      <c r="W57" s="17" t="str" cm="1">
        <f t="array" ref="W57">_xll.BDH("PCAR US Equity","BS_LT_OPERATING_LEASE_LIABS","FQ3 2023","FQ3 2023","Currency=USD","Period=FQ","BEST_FPERIOD_OVERRIDE=FQ","FILING_STATUS=MR","SCALING_FORMAT=MLN","Sort=A","Dates=H","DateFormat=P","Fill=—","Direction=H","UseDPDF=Y")</f>
        <v>—</v>
      </c>
      <c r="X57" s="17" cm="1">
        <f t="array" ref="X57">_xll.BDH("PCAR US Equity","BS_LT_OPERATING_LEASE_LIABS","FQ4 2023","FQ4 2023","Currency=USD","Period=FQ","BEST_FPERIOD_OVERRIDE=FQ","FILING_STATUS=MR","SCALING_FORMAT=MLN","Sort=A","Dates=H","DateFormat=P","Fill=—","Direction=H","UseDPDF=Y")</f>
        <v>55.5</v>
      </c>
      <c r="Y57" s="17" t="str" cm="1">
        <f t="array" ref="Y57">_xll.BDH("PCAR US Equity","BS_LT_OPERATING_LEASE_LIABS","FQ1 2024","FQ1 2024","Currency=USD","Period=FQ","BEST_FPERIOD_OVERRIDE=FQ","FILING_STATUS=MR","SCALING_FORMAT=MLN","Sort=A","Dates=H","DateFormat=P","Fill=—","Direction=H","UseDPDF=Y")</f>
        <v>—</v>
      </c>
      <c r="Z57" s="17" t="str" cm="1">
        <f t="array" ref="Z57">_xll.BDH("PCAR US Equity","BS_LT_OPERATING_LEASE_LIABS","FQ2 2024","FQ2 2024","Currency=USD","Period=FQ","BEST_FPERIOD_OVERRIDE=FQ","FILING_STATUS=MR","SCALING_FORMAT=MLN","Sort=A","Dates=H","DateFormat=P","Fill=—","Direction=H","UseDPDF=Y")</f>
        <v>—</v>
      </c>
      <c r="AA57" s="17" t="str" cm="1">
        <f t="array" ref="AA57">_xll.BDH("PCAR US Equity","BS_LT_OPERATING_LEASE_LIABS","FQ3 2024","FQ3 2024","Currency=USD","Period=FQ","BEST_FPERIOD_OVERRIDE=FQ","FILING_STATUS=MR","SCALING_FORMAT=MLN","Sort=A","Dates=H","DateFormat=P","Fill=—","Direction=H","UseDPDF=Y")</f>
        <v>—</v>
      </c>
      <c r="AB57" s="17" cm="1">
        <f t="array" ref="AB57">_xll.BDH("PCAR US Equity","BS_LT_OPERATING_LEASE_LIABS","FQ4 2024","FQ4 2024","Currency=USD","Period=FQ","BEST_FPERIOD_OVERRIDE=FQ","FILING_STATUS=MR","SCALING_FORMAT=MLN","Sort=A","Dates=H","DateFormat=P","Fill=—","Direction=H","UseDPDF=Y")</f>
        <v>53.5</v>
      </c>
      <c r="AC57" s="17" t="str" cm="1">
        <f t="array" ref="AC57">_xll.BDH("PCAR US Equity","BS_LT_OPERATING_LEASE_LIABS","FQ1 2025","FQ1 2025","Currency=USD","Period=FQ","BEST_FPERIOD_OVERRIDE=FQ","FILING_STATUS=MR","SCALING_FORMAT=MLN","Sort=A","Dates=H","DateFormat=P","Fill=—","Direction=H","UseDPDF=Y")</f>
        <v>—</v>
      </c>
      <c r="AD57" s="17" t="str" cm="1">
        <f t="array" ref="AD57">_xll.BDH("PCAR US Equity","BS_LT_OPERATING_LEASE_LIABS","FQ2 2025","FQ2 2025","Currency=USD","Period=FQ","BEST_FPERIOD_OVERRIDE=FQ","FILING_STATUS=MR","SCALING_FORMAT=MLN","Sort=A","Dates=H","DateFormat=P","Fill=—","Direction=H","UseDPDF=Y")</f>
        <v>—</v>
      </c>
      <c r="AE57" s="17" t="str" cm="1">
        <f t="array" ref="AE57">_xll.BDH("PCAR US Equity","BS_LT_OPERATING_LEASE_LIABS","FQ3 2025","FQ3 2025","Currency=USD","Period=FQ","BEST_FPERIOD_OVERRIDE=FQ","FILING_STATUS=MR","SCALING_FORMAT=MLN","Sort=A","Dates=H","DateFormat=P","Fill=—","Direction=H","UseDPDF=Y")</f>
        <v>—</v>
      </c>
      <c r="AF57" s="17" t="str" cm="1">
        <f t="array" ref="AF57">_xll.BDH("PCAR US Equity","BS_LT_OPERATING_LEASE_LIABS","FQ4 2025","FQ4 2025","Currency=USD","Period=FQ","BEST_FPERIOD_OVERRIDE=FQ","FILING_STATUS=MR","SCALING_FORMAT=MLN","Sort=A","Dates=H","DateFormat=P","Fill=—","Direction=H","UseDPDF=Y")</f>
        <v>—</v>
      </c>
    </row>
    <row r="58" spans="1:32" x14ac:dyDescent="0.25">
      <c r="A58" s="10" t="s">
        <v>163</v>
      </c>
      <c r="B58" s="10" t="s">
        <v>164</v>
      </c>
      <c r="C58" s="13" cm="1">
        <f t="array" ref="C58">_xll.BDH("PCAR US Equity","OTHER_NONCUR_LIABS_SUB_DETAILED","FQ3 2018","FQ3 2018","Currency=USD","Period=FQ","BEST_FPERIOD_OVERRIDE=FQ","FILING_STATUS=MR","SCALING_FORMAT=MLN","Sort=A","Dates=H","DateFormat=P","Fill=—","Direction=H","UseDPDF=Y")</f>
        <v>2581.3000000000002</v>
      </c>
      <c r="D58" s="13" cm="1">
        <f t="array" ref="D58">_xll.BDH("PCAR US Equity","OTHER_NONCUR_LIABS_SUB_DETAILED","FQ4 2018","FQ4 2018","Currency=USD","Period=FQ","BEST_FPERIOD_OVERRIDE=FQ","FILING_STATUS=MR","SCALING_FORMAT=MLN","Sort=A","Dates=H","DateFormat=P","Fill=—","Direction=H","UseDPDF=Y")</f>
        <v>2693</v>
      </c>
      <c r="E58" s="13" cm="1">
        <f t="array" ref="E58">_xll.BDH("PCAR US Equity","OTHER_NONCUR_LIABS_SUB_DETAILED","FQ1 2019","FQ1 2019","Currency=USD","Period=FQ","BEST_FPERIOD_OVERRIDE=FQ","FILING_STATUS=MR","SCALING_FORMAT=MLN","Sort=A","Dates=H","DateFormat=P","Fill=—","Direction=H","UseDPDF=Y")</f>
        <v>2747</v>
      </c>
      <c r="F58" s="13" cm="1">
        <f t="array" ref="F58">_xll.BDH("PCAR US Equity","OTHER_NONCUR_LIABS_SUB_DETAILED","FQ2 2019","FQ2 2019","Currency=USD","Period=FQ","BEST_FPERIOD_OVERRIDE=FQ","FILING_STATUS=MR","SCALING_FORMAT=MLN","Sort=A","Dates=H","DateFormat=P","Fill=—","Direction=H","UseDPDF=Y")</f>
        <v>2797.6</v>
      </c>
      <c r="G58" s="13" cm="1">
        <f t="array" ref="G58">_xll.BDH("PCAR US Equity","OTHER_NONCUR_LIABS_SUB_DETAILED","FQ3 2019","FQ3 2019","Currency=USD","Period=FQ","BEST_FPERIOD_OVERRIDE=FQ","FILING_STATUS=MR","SCALING_FORMAT=MLN","Sort=A","Dates=H","DateFormat=P","Fill=—","Direction=H","UseDPDF=Y")</f>
        <v>726.3</v>
      </c>
      <c r="H58" s="13" cm="1">
        <f t="array" ref="H58">_xll.BDH("PCAR US Equity","OTHER_NONCUR_LIABS_SUB_DETAILED","FQ4 2019","FQ4 2019","Currency=USD","Period=FQ","BEST_FPERIOD_OVERRIDE=FQ","FILING_STATUS=MR","SCALING_FORMAT=MLN","Sort=A","Dates=H","DateFormat=P","Fill=—","Direction=H","UseDPDF=Y")</f>
        <v>2788.9</v>
      </c>
      <c r="I58" s="13" cm="1">
        <f t="array" ref="I58">_xll.BDH("PCAR US Equity","OTHER_NONCUR_LIABS_SUB_DETAILED","FQ1 2020","FQ1 2020","Currency=USD","Period=FQ","BEST_FPERIOD_OVERRIDE=FQ","FILING_STATUS=MR","SCALING_FORMAT=MLN","Sort=A","Dates=H","DateFormat=P","Fill=—","Direction=H","UseDPDF=Y")</f>
        <v>2715.8</v>
      </c>
      <c r="J58" s="13" cm="1">
        <f t="array" ref="J58">_xll.BDH("PCAR US Equity","OTHER_NONCUR_LIABS_SUB_DETAILED","FQ2 2020","FQ2 2020","Currency=USD","Period=FQ","BEST_FPERIOD_OVERRIDE=FQ","FILING_STATUS=MR","SCALING_FORMAT=MLN","Sort=A","Dates=H","DateFormat=P","Fill=—","Direction=H","UseDPDF=Y")</f>
        <v>2608</v>
      </c>
      <c r="K58" s="13" cm="1">
        <f t="array" ref="K58">_xll.BDH("PCAR US Equity","OTHER_NONCUR_LIABS_SUB_DETAILED","FQ3 2020","FQ3 2020","Currency=USD","Period=FQ","BEST_FPERIOD_OVERRIDE=FQ","FILING_STATUS=MR","SCALING_FORMAT=MLN","Sort=A","Dates=H","DateFormat=P","Fill=—","Direction=H","UseDPDF=Y")</f>
        <v>2663.3</v>
      </c>
      <c r="L58" s="13" cm="1">
        <f t="array" ref="L58">_xll.BDH("PCAR US Equity","OTHER_NONCUR_LIABS_SUB_DETAILED","FQ4 2020","FQ4 2020","Currency=USD","Period=FQ","BEST_FPERIOD_OVERRIDE=FQ","FILING_STATUS=MR","SCALING_FORMAT=MLN","Sort=A","Dates=H","DateFormat=P","Fill=—","Direction=H","UseDPDF=Y")</f>
        <v>2771.8</v>
      </c>
      <c r="M58" s="13" cm="1">
        <f t="array" ref="M58">_xll.BDH("PCAR US Equity","OTHER_NONCUR_LIABS_SUB_DETAILED","FQ1 2021","FQ1 2021","Currency=USD","Period=FQ","BEST_FPERIOD_OVERRIDE=FQ","FILING_STATUS=MR","SCALING_FORMAT=MLN","Sort=A","Dates=H","DateFormat=P","Fill=—","Direction=H","UseDPDF=Y")</f>
        <v>2637.2</v>
      </c>
      <c r="N58" s="13" cm="1">
        <f t="array" ref="N58">_xll.BDH("PCAR US Equity","OTHER_NONCUR_LIABS_SUB_DETAILED","FQ2 2021","FQ2 2021","Currency=USD","Period=FQ","BEST_FPERIOD_OVERRIDE=FQ","FILING_STATUS=MR","SCALING_FORMAT=MLN","Sort=A","Dates=H","DateFormat=P","Fill=—","Direction=H","UseDPDF=Y")</f>
        <v>2576.1</v>
      </c>
      <c r="O58" s="13" cm="1">
        <f t="array" ref="O58">_xll.BDH("PCAR US Equity","OTHER_NONCUR_LIABS_SUB_DETAILED","FQ3 2021","FQ3 2021","Currency=USD","Period=FQ","BEST_FPERIOD_OVERRIDE=FQ","FILING_STATUS=MR","SCALING_FORMAT=MLN","Sort=A","Dates=H","DateFormat=P","Fill=—","Direction=H","UseDPDF=Y")</f>
        <v>2296.5</v>
      </c>
      <c r="P58" s="13" cm="1">
        <f t="array" ref="P58">_xll.BDH("PCAR US Equity","OTHER_NONCUR_LIABS_SUB_DETAILED","FQ4 2021","FQ4 2021","Currency=USD","Period=FQ","BEST_FPERIOD_OVERRIDE=FQ","FILING_STATUS=MR","SCALING_FORMAT=MLN","Sort=A","Dates=H","DateFormat=P","Fill=—","Direction=H","UseDPDF=Y")</f>
        <v>2384.8000000000002</v>
      </c>
      <c r="Q58" s="13" cm="1">
        <f t="array" ref="Q58">_xll.BDH("PCAR US Equity","OTHER_NONCUR_LIABS_SUB_DETAILED","FQ1 2022","FQ1 2022","Currency=USD","Period=FQ","BEST_FPERIOD_OVERRIDE=FQ","FILING_STATUS=MR","SCALING_FORMAT=MLN","Sort=A","Dates=H","DateFormat=P","Fill=—","Direction=H","UseDPDF=Y")</f>
        <v>2336.5</v>
      </c>
      <c r="R58" s="13" cm="1">
        <f t="array" ref="R58">_xll.BDH("PCAR US Equity","OTHER_NONCUR_LIABS_SUB_DETAILED","FQ2 2022","FQ2 2022","Currency=USD","Period=FQ","BEST_FPERIOD_OVERRIDE=FQ","FILING_STATUS=MR","SCALING_FORMAT=MLN","Sort=A","Dates=H","DateFormat=P","Fill=—","Direction=H","UseDPDF=Y")</f>
        <v>2272.4</v>
      </c>
      <c r="S58" s="13" cm="1">
        <f t="array" ref="S58">_xll.BDH("PCAR US Equity","OTHER_NONCUR_LIABS_SUB_DETAILED","FQ3 2022","FQ3 2022","Currency=USD","Period=FQ","BEST_FPERIOD_OVERRIDE=FQ","FILING_STATUS=MR","SCALING_FORMAT=MLN","Sort=A","Dates=H","DateFormat=P","Fill=—","Direction=H","UseDPDF=Y")</f>
        <v>2177.6999999999998</v>
      </c>
      <c r="T58" s="13" cm="1">
        <f t="array" ref="T58">_xll.BDH("PCAR US Equity","OTHER_NONCUR_LIABS_SUB_DETAILED","FQ4 2022","FQ4 2022","Currency=USD","Period=FQ","BEST_FPERIOD_OVERRIDE=FQ","FILING_STATUS=MR","SCALING_FORMAT=MLN","Sort=A","Dates=H","DateFormat=P","Fill=—","Direction=H","UseDPDF=Y")</f>
        <v>2291.6999999999998</v>
      </c>
      <c r="U58" s="13" cm="1">
        <f t="array" ref="U58">_xll.BDH("PCAR US Equity","OTHER_NONCUR_LIABS_SUB_DETAILED","FQ1 2023","FQ1 2023","Currency=USD","Period=FQ","BEST_FPERIOD_OVERRIDE=FQ","FILING_STATUS=MR","SCALING_FORMAT=MLN","Sort=A","Dates=H","DateFormat=P","Fill=—","Direction=H","UseDPDF=Y")</f>
        <v>2721.2</v>
      </c>
      <c r="V58" s="13" cm="1">
        <f t="array" ref="V58">_xll.BDH("PCAR US Equity","OTHER_NONCUR_LIABS_SUB_DETAILED","FQ2 2023","FQ2 2023","Currency=USD","Period=FQ","BEST_FPERIOD_OVERRIDE=FQ","FILING_STATUS=MR","SCALING_FORMAT=MLN","Sort=A","Dates=H","DateFormat=P","Fill=—","Direction=H","UseDPDF=Y")</f>
        <v>2836.8</v>
      </c>
      <c r="W58" s="13" cm="1">
        <f t="array" ref="W58">_xll.BDH("PCAR US Equity","OTHER_NONCUR_LIABS_SUB_DETAILED","FQ3 2023","FQ3 2023","Currency=USD","Period=FQ","BEST_FPERIOD_OVERRIDE=FQ","FILING_STATUS=MR","SCALING_FORMAT=MLN","Sort=A","Dates=H","DateFormat=P","Fill=—","Direction=H","UseDPDF=Y")</f>
        <v>2778.8</v>
      </c>
      <c r="X58" s="13" cm="1">
        <f t="array" ref="X58">_xll.BDH("PCAR US Equity","OTHER_NONCUR_LIABS_SUB_DETAILED","FQ4 2023","FQ4 2023","Currency=USD","Period=FQ","BEST_FPERIOD_OVERRIDE=FQ","FILING_STATUS=MR","SCALING_FORMAT=MLN","Sort=A","Dates=H","DateFormat=P","Fill=—","Direction=H","UseDPDF=Y")</f>
        <v>2909.4</v>
      </c>
      <c r="Y58" s="13" cm="1">
        <f t="array" ref="Y58">_xll.BDH("PCAR US Equity","OTHER_NONCUR_LIABS_SUB_DETAILED","FQ1 2024","FQ1 2024","Currency=USD","Period=FQ","BEST_FPERIOD_OVERRIDE=FQ","FILING_STATUS=MR","SCALING_FORMAT=MLN","Sort=A","Dates=H","DateFormat=P","Fill=—","Direction=H","UseDPDF=Y")</f>
        <v>2767.1</v>
      </c>
      <c r="Z58" s="13" cm="1">
        <f t="array" ref="Z58">_xll.BDH("PCAR US Equity","OTHER_NONCUR_LIABS_SUB_DETAILED","FQ2 2024","FQ2 2024","Currency=USD","Period=FQ","BEST_FPERIOD_OVERRIDE=FQ","FILING_STATUS=MR","SCALING_FORMAT=MLN","Sort=A","Dates=H","DateFormat=P","Fill=—","Direction=H","UseDPDF=Y")</f>
        <v>2688.6</v>
      </c>
      <c r="AA58" s="13" cm="1">
        <f t="array" ref="AA58">_xll.BDH("PCAR US Equity","OTHER_NONCUR_LIABS_SUB_DETAILED","FQ3 2024","FQ3 2024","Currency=USD","Period=FQ","BEST_FPERIOD_OVERRIDE=FQ","FILING_STATUS=MR","SCALING_FORMAT=MLN","Sort=A","Dates=H","DateFormat=P","Fill=—","Direction=H","UseDPDF=Y")</f>
        <v>2700.9</v>
      </c>
      <c r="AB58" s="13" cm="1">
        <f t="array" ref="AB58">_xll.BDH("PCAR US Equity","OTHER_NONCUR_LIABS_SUB_DETAILED","FQ4 2024","FQ4 2024","Currency=USD","Period=FQ","BEST_FPERIOD_OVERRIDE=FQ","FILING_STATUS=MR","SCALING_FORMAT=MLN","Sort=A","Dates=H","DateFormat=P","Fill=—","Direction=H","UseDPDF=Y")</f>
        <v>2477.3000000000002</v>
      </c>
      <c r="AC58" s="13" cm="1">
        <f t="array" ref="AC58">_xll.BDH("PCAR US Equity","OTHER_NONCUR_LIABS_SUB_DETAILED","FQ1 2025","FQ1 2025","Currency=USD","Period=FQ","BEST_FPERIOD_OVERRIDE=FQ","FILING_STATUS=MR","SCALING_FORMAT=MLN","Sort=A","Dates=H","DateFormat=P","Fill=—","Direction=H","UseDPDF=Y")</f>
        <v>2818.4</v>
      </c>
      <c r="AD58" s="13" cm="1">
        <f t="array" ref="AD58">_xll.BDH("PCAR US Equity","OTHER_NONCUR_LIABS_SUB_DETAILED","FQ2 2025","FQ2 2025","Currency=USD","Period=FQ","BEST_FPERIOD_OVERRIDE=FQ","FILING_STATUS=MR","SCALING_FORMAT=MLN","Sort=A","Dates=H","DateFormat=P","Fill=—","Direction=H","UseDPDF=Y")</f>
        <v>2965.1</v>
      </c>
      <c r="AE58" s="13" cm="1">
        <f t="array" ref="AE58">_xll.BDH("PCAR US Equity","OTHER_NONCUR_LIABS_SUB_DETAILED","FQ3 2025","FQ3 2025","Currency=USD","Period=FQ","BEST_FPERIOD_OVERRIDE=FQ","FILING_STATUS=MR","SCALING_FORMAT=MLN","Sort=A","Dates=H","DateFormat=P","Fill=—","Direction=H","UseDPDF=Y")</f>
        <v>2908</v>
      </c>
      <c r="AF58" s="13" cm="1">
        <f t="array" ref="AF58">_xll.BDH("PCAR US Equity","OTHER_NONCUR_LIABS_SUB_DETAILED","FQ4 2025","FQ4 2025","Currency=USD","Period=FQ","BEST_FPERIOD_OVERRIDE=FQ","FILING_STATUS=MR","SCALING_FORMAT=MLN","Sort=A","Dates=H","DateFormat=P","Fill=—","Direction=H","UseDPDF=Y")</f>
        <v>0</v>
      </c>
    </row>
    <row r="59" spans="1:32" x14ac:dyDescent="0.25">
      <c r="A59" s="10" t="s">
        <v>165</v>
      </c>
      <c r="B59" s="10" t="s">
        <v>166</v>
      </c>
      <c r="C59" s="13" t="str" cm="1">
        <f t="array" ref="C59">_xll.BDH("PCAR US Equity","BS_ACCRUED_LIABILITIES","FQ3 2018","FQ3 2018","Currency=USD","Period=FQ","BEST_FPERIOD_OVERRIDE=FQ","FILING_STATUS=MR","SCALING_FORMAT=MLN","Sort=A","Dates=H","DateFormat=P","Fill=—","Direction=H","UseDPDF=Y")</f>
        <v>—</v>
      </c>
      <c r="D59" s="13" cm="1">
        <f t="array" ref="D59">_xll.BDH("PCAR US Equity","BS_ACCRUED_LIABILITIES","FQ4 2018","FQ4 2018","Currency=USD","Period=FQ","BEST_FPERIOD_OVERRIDE=FQ","FILING_STATUS=MR","SCALING_FORMAT=MLN","Sort=A","Dates=H","DateFormat=P","Fill=—","Direction=H","UseDPDF=Y")</f>
        <v>0</v>
      </c>
      <c r="E59" s="13" t="str" cm="1">
        <f t="array" ref="E59">_xll.BDH("PCAR US Equity","BS_ACCRUED_LIABILITIES","FQ1 2019","FQ1 2019","Currency=USD","Period=FQ","BEST_FPERIOD_OVERRIDE=FQ","FILING_STATUS=MR","SCALING_FORMAT=MLN","Sort=A","Dates=H","DateFormat=P","Fill=—","Direction=H","UseDPDF=Y")</f>
        <v>—</v>
      </c>
      <c r="F59" s="13" t="str" cm="1">
        <f t="array" ref="F59">_xll.BDH("PCAR US Equity","BS_ACCRUED_LIABILITIES","FQ2 2019","FQ2 2019","Currency=USD","Period=FQ","BEST_FPERIOD_OVERRIDE=FQ","FILING_STATUS=MR","SCALING_FORMAT=MLN","Sort=A","Dates=H","DateFormat=P","Fill=—","Direction=H","UseDPDF=Y")</f>
        <v>—</v>
      </c>
      <c r="G59" s="13" t="str" cm="1">
        <f t="array" ref="G59">_xll.BDH("PCAR US Equity","BS_ACCRUED_LIABILITIES","FQ3 2019","FQ3 2019","Currency=USD","Period=FQ","BEST_FPERIOD_OVERRIDE=FQ","FILING_STATUS=MR","SCALING_FORMAT=MLN","Sort=A","Dates=H","DateFormat=P","Fill=—","Direction=H","UseDPDF=Y")</f>
        <v>—</v>
      </c>
      <c r="H59" s="13" cm="1">
        <f t="array" ref="H59">_xll.BDH("PCAR US Equity","BS_ACCRUED_LIABILITIES","FQ4 2019","FQ4 2019","Currency=USD","Period=FQ","BEST_FPERIOD_OVERRIDE=FQ","FILING_STATUS=MR","SCALING_FORMAT=MLN","Sort=A","Dates=H","DateFormat=P","Fill=—","Direction=H","UseDPDF=Y")</f>
        <v>0</v>
      </c>
      <c r="I59" s="13" t="str" cm="1">
        <f t="array" ref="I59">_xll.BDH("PCAR US Equity","BS_ACCRUED_LIABILITIES","FQ1 2020","FQ1 2020","Currency=USD","Period=FQ","BEST_FPERIOD_OVERRIDE=FQ","FILING_STATUS=MR","SCALING_FORMAT=MLN","Sort=A","Dates=H","DateFormat=P","Fill=—","Direction=H","UseDPDF=Y")</f>
        <v>—</v>
      </c>
      <c r="J59" s="13" t="str" cm="1">
        <f t="array" ref="J59">_xll.BDH("PCAR US Equity","BS_ACCRUED_LIABILITIES","FQ2 2020","FQ2 2020","Currency=USD","Period=FQ","BEST_FPERIOD_OVERRIDE=FQ","FILING_STATUS=MR","SCALING_FORMAT=MLN","Sort=A","Dates=H","DateFormat=P","Fill=—","Direction=H","UseDPDF=Y")</f>
        <v>—</v>
      </c>
      <c r="K59" s="13" t="str" cm="1">
        <f t="array" ref="K59">_xll.BDH("PCAR US Equity","BS_ACCRUED_LIABILITIES","FQ3 2020","FQ3 2020","Currency=USD","Period=FQ","BEST_FPERIOD_OVERRIDE=FQ","FILING_STATUS=MR","SCALING_FORMAT=MLN","Sort=A","Dates=H","DateFormat=P","Fill=—","Direction=H","UseDPDF=Y")</f>
        <v>—</v>
      </c>
      <c r="L59" s="13" cm="1">
        <f t="array" ref="L59">_xll.BDH("PCAR US Equity","BS_ACCRUED_LIABILITIES","FQ4 2020","FQ4 2020","Currency=USD","Period=FQ","BEST_FPERIOD_OVERRIDE=FQ","FILING_STATUS=MR","SCALING_FORMAT=MLN","Sort=A","Dates=H","DateFormat=P","Fill=—","Direction=H","UseDPDF=Y")</f>
        <v>0</v>
      </c>
      <c r="M59" s="13" t="str" cm="1">
        <f t="array" ref="M59">_xll.BDH("PCAR US Equity","BS_ACCRUED_LIABILITIES","FQ1 2021","FQ1 2021","Currency=USD","Period=FQ","BEST_FPERIOD_OVERRIDE=FQ","FILING_STATUS=MR","SCALING_FORMAT=MLN","Sort=A","Dates=H","DateFormat=P","Fill=—","Direction=H","UseDPDF=Y")</f>
        <v>—</v>
      </c>
      <c r="N59" s="13" t="str" cm="1">
        <f t="array" ref="N59">_xll.BDH("PCAR US Equity","BS_ACCRUED_LIABILITIES","FQ2 2021","FQ2 2021","Currency=USD","Period=FQ","BEST_FPERIOD_OVERRIDE=FQ","FILING_STATUS=MR","SCALING_FORMAT=MLN","Sort=A","Dates=H","DateFormat=P","Fill=—","Direction=H","UseDPDF=Y")</f>
        <v>—</v>
      </c>
      <c r="O59" s="13" t="str" cm="1">
        <f t="array" ref="O59">_xll.BDH("PCAR US Equity","BS_ACCRUED_LIABILITIES","FQ3 2021","FQ3 2021","Currency=USD","Period=FQ","BEST_FPERIOD_OVERRIDE=FQ","FILING_STATUS=MR","SCALING_FORMAT=MLN","Sort=A","Dates=H","DateFormat=P","Fill=—","Direction=H","UseDPDF=Y")</f>
        <v>—</v>
      </c>
      <c r="P59" s="13" cm="1">
        <f t="array" ref="P59">_xll.BDH("PCAR US Equity","BS_ACCRUED_LIABILITIES","FQ4 2021","FQ4 2021","Currency=USD","Period=FQ","BEST_FPERIOD_OVERRIDE=FQ","FILING_STATUS=MR","SCALING_FORMAT=MLN","Sort=A","Dates=H","DateFormat=P","Fill=—","Direction=H","UseDPDF=Y")</f>
        <v>0</v>
      </c>
      <c r="Q59" s="13" t="str" cm="1">
        <f t="array" ref="Q59">_xll.BDH("PCAR US Equity","BS_ACCRUED_LIABILITIES","FQ1 2022","FQ1 2022","Currency=USD","Period=FQ","BEST_FPERIOD_OVERRIDE=FQ","FILING_STATUS=MR","SCALING_FORMAT=MLN","Sort=A","Dates=H","DateFormat=P","Fill=—","Direction=H","UseDPDF=Y")</f>
        <v>—</v>
      </c>
      <c r="R59" s="13" t="str" cm="1">
        <f t="array" ref="R59">_xll.BDH("PCAR US Equity","BS_ACCRUED_LIABILITIES","FQ2 2022","FQ2 2022","Currency=USD","Period=FQ","BEST_FPERIOD_OVERRIDE=FQ","FILING_STATUS=MR","SCALING_FORMAT=MLN","Sort=A","Dates=H","DateFormat=P","Fill=—","Direction=H","UseDPDF=Y")</f>
        <v>—</v>
      </c>
      <c r="S59" s="13" t="str" cm="1">
        <f t="array" ref="S59">_xll.BDH("PCAR US Equity","BS_ACCRUED_LIABILITIES","FQ3 2022","FQ3 2022","Currency=USD","Period=FQ","BEST_FPERIOD_OVERRIDE=FQ","FILING_STATUS=MR","SCALING_FORMAT=MLN","Sort=A","Dates=H","DateFormat=P","Fill=—","Direction=H","UseDPDF=Y")</f>
        <v>—</v>
      </c>
      <c r="T59" s="13" t="str" cm="1">
        <f t="array" ref="T59">_xll.BDH("PCAR US Equity","BS_ACCRUED_LIABILITIES","FQ4 2022","FQ4 2022","Currency=USD","Period=FQ","BEST_FPERIOD_OVERRIDE=FQ","FILING_STATUS=MR","SCALING_FORMAT=MLN","Sort=A","Dates=H","DateFormat=P","Fill=—","Direction=H","UseDPDF=Y")</f>
        <v>—</v>
      </c>
      <c r="U59" s="13" t="str" cm="1">
        <f t="array" ref="U59">_xll.BDH("PCAR US Equity","BS_ACCRUED_LIABILITIES","FQ1 2023","FQ1 2023","Currency=USD","Period=FQ","BEST_FPERIOD_OVERRIDE=FQ","FILING_STATUS=MR","SCALING_FORMAT=MLN","Sort=A","Dates=H","DateFormat=P","Fill=—","Direction=H","UseDPDF=Y")</f>
        <v>—</v>
      </c>
      <c r="V59" s="13" t="str" cm="1">
        <f t="array" ref="V59">_xll.BDH("PCAR US Equity","BS_ACCRUED_LIABILITIES","FQ2 2023","FQ2 2023","Currency=USD","Period=FQ","BEST_FPERIOD_OVERRIDE=FQ","FILING_STATUS=MR","SCALING_FORMAT=MLN","Sort=A","Dates=H","DateFormat=P","Fill=—","Direction=H","UseDPDF=Y")</f>
        <v>—</v>
      </c>
      <c r="W59" s="13" t="str" cm="1">
        <f t="array" ref="W59">_xll.BDH("PCAR US Equity","BS_ACCRUED_LIABILITIES","FQ3 2023","FQ3 2023","Currency=USD","Period=FQ","BEST_FPERIOD_OVERRIDE=FQ","FILING_STATUS=MR","SCALING_FORMAT=MLN","Sort=A","Dates=H","DateFormat=P","Fill=—","Direction=H","UseDPDF=Y")</f>
        <v>—</v>
      </c>
      <c r="X59" s="13" cm="1">
        <f t="array" ref="X59">_xll.BDH("PCAR US Equity","BS_ACCRUED_LIABILITIES","FQ4 2023","FQ4 2023","Currency=USD","Period=FQ","BEST_FPERIOD_OVERRIDE=FQ","FILING_STATUS=MR","SCALING_FORMAT=MLN","Sort=A","Dates=H","DateFormat=P","Fill=—","Direction=H","UseDPDF=Y")</f>
        <v>0</v>
      </c>
      <c r="Y59" s="13" t="str" cm="1">
        <f t="array" ref="Y59">_xll.BDH("PCAR US Equity","BS_ACCRUED_LIABILITIES","FQ1 2024","FQ1 2024","Currency=USD","Period=FQ","BEST_FPERIOD_OVERRIDE=FQ","FILING_STATUS=MR","SCALING_FORMAT=MLN","Sort=A","Dates=H","DateFormat=P","Fill=—","Direction=H","UseDPDF=Y")</f>
        <v>—</v>
      </c>
      <c r="Z59" s="13" t="str" cm="1">
        <f t="array" ref="Z59">_xll.BDH("PCAR US Equity","BS_ACCRUED_LIABILITIES","FQ2 2024","FQ2 2024","Currency=USD","Period=FQ","BEST_FPERIOD_OVERRIDE=FQ","FILING_STATUS=MR","SCALING_FORMAT=MLN","Sort=A","Dates=H","DateFormat=P","Fill=—","Direction=H","UseDPDF=Y")</f>
        <v>—</v>
      </c>
      <c r="AA59" s="13" t="str" cm="1">
        <f t="array" ref="AA59">_xll.BDH("PCAR US Equity","BS_ACCRUED_LIABILITIES","FQ3 2024","FQ3 2024","Currency=USD","Period=FQ","BEST_FPERIOD_OVERRIDE=FQ","FILING_STATUS=MR","SCALING_FORMAT=MLN","Sort=A","Dates=H","DateFormat=P","Fill=—","Direction=H","UseDPDF=Y")</f>
        <v>—</v>
      </c>
      <c r="AB59" s="13" cm="1">
        <f t="array" ref="AB59">_xll.BDH("PCAR US Equity","BS_ACCRUED_LIABILITIES","FQ4 2024","FQ4 2024","Currency=USD","Period=FQ","BEST_FPERIOD_OVERRIDE=FQ","FILING_STATUS=MR","SCALING_FORMAT=MLN","Sort=A","Dates=H","DateFormat=P","Fill=—","Direction=H","UseDPDF=Y")</f>
        <v>0</v>
      </c>
      <c r="AC59" s="13" t="str" cm="1">
        <f t="array" ref="AC59">_xll.BDH("PCAR US Equity","BS_ACCRUED_LIABILITIES","FQ1 2025","FQ1 2025","Currency=USD","Period=FQ","BEST_FPERIOD_OVERRIDE=FQ","FILING_STATUS=MR","SCALING_FORMAT=MLN","Sort=A","Dates=H","DateFormat=P","Fill=—","Direction=H","UseDPDF=Y")</f>
        <v>—</v>
      </c>
      <c r="AD59" s="13" t="str" cm="1">
        <f t="array" ref="AD59">_xll.BDH("PCAR US Equity","BS_ACCRUED_LIABILITIES","FQ2 2025","FQ2 2025","Currency=USD","Period=FQ","BEST_FPERIOD_OVERRIDE=FQ","FILING_STATUS=MR","SCALING_FORMAT=MLN","Sort=A","Dates=H","DateFormat=P","Fill=—","Direction=H","UseDPDF=Y")</f>
        <v>—</v>
      </c>
      <c r="AE59" s="13" t="str" cm="1">
        <f t="array" ref="AE59">_xll.BDH("PCAR US Equity","BS_ACCRUED_LIABILITIES","FQ3 2025","FQ3 2025","Currency=USD","Period=FQ","BEST_FPERIOD_OVERRIDE=FQ","FILING_STATUS=MR","SCALING_FORMAT=MLN","Sort=A","Dates=H","DateFormat=P","Fill=—","Direction=H","UseDPDF=Y")</f>
        <v>—</v>
      </c>
      <c r="AF59" s="13" t="str" cm="1">
        <f t="array" ref="AF59">_xll.BDH("PCAR US Equity","BS_ACCRUED_LIABILITIES","FQ4 2025","FQ4 2025","Currency=USD","Period=FQ","BEST_FPERIOD_OVERRIDE=FQ","FILING_STATUS=MR","SCALING_FORMAT=MLN","Sort=A","Dates=H","DateFormat=P","Fill=—","Direction=H","UseDPDF=Y")</f>
        <v>—</v>
      </c>
    </row>
    <row r="60" spans="1:32" x14ac:dyDescent="0.25">
      <c r="A60" s="10" t="s">
        <v>167</v>
      </c>
      <c r="B60" s="10" t="s">
        <v>168</v>
      </c>
      <c r="C60" s="13" t="str" cm="1">
        <f t="array" ref="C60">_xll.BDH("PCAR US Equity","PENSION_LIABILITIES","FQ3 2018","FQ3 2018","Currency=USD","Period=FQ","BEST_FPERIOD_OVERRIDE=FQ","FILING_STATUS=MR","SCALING_FORMAT=MLN","Sort=A","Dates=H","DateFormat=P","Fill=—","Direction=H","UseDPDF=Y")</f>
        <v>—</v>
      </c>
      <c r="D60" s="13" cm="1">
        <f t="array" ref="D60">_xll.BDH("PCAR US Equity","PENSION_LIABILITIES","FQ4 2018","FQ4 2018","Currency=USD","Period=FQ","BEST_FPERIOD_OVERRIDE=FQ","FILING_STATUS=MR","SCALING_FORMAT=MLN","Sort=A","Dates=H","DateFormat=P","Fill=—","Direction=H","UseDPDF=Y")</f>
        <v>126</v>
      </c>
      <c r="E60" s="13" t="str" cm="1">
        <f t="array" ref="E60">_xll.BDH("PCAR US Equity","PENSION_LIABILITIES","FQ1 2019","FQ1 2019","Currency=USD","Period=FQ","BEST_FPERIOD_OVERRIDE=FQ","FILING_STATUS=MR","SCALING_FORMAT=MLN","Sort=A","Dates=H","DateFormat=P","Fill=—","Direction=H","UseDPDF=Y")</f>
        <v>—</v>
      </c>
      <c r="F60" s="13" t="str" cm="1">
        <f t="array" ref="F60">_xll.BDH("PCAR US Equity","PENSION_LIABILITIES","FQ2 2019","FQ2 2019","Currency=USD","Period=FQ","BEST_FPERIOD_OVERRIDE=FQ","FILING_STATUS=MR","SCALING_FORMAT=MLN","Sort=A","Dates=H","DateFormat=P","Fill=—","Direction=H","UseDPDF=Y")</f>
        <v>—</v>
      </c>
      <c r="G60" s="13" t="str" cm="1">
        <f t="array" ref="G60">_xll.BDH("PCAR US Equity","PENSION_LIABILITIES","FQ3 2019","FQ3 2019","Currency=USD","Period=FQ","BEST_FPERIOD_OVERRIDE=FQ","FILING_STATUS=MR","SCALING_FORMAT=MLN","Sort=A","Dates=H","DateFormat=P","Fill=—","Direction=H","UseDPDF=Y")</f>
        <v>—</v>
      </c>
      <c r="H60" s="13" cm="1">
        <f t="array" ref="H60">_xll.BDH("PCAR US Equity","PENSION_LIABILITIES","FQ4 2019","FQ4 2019","Currency=USD","Period=FQ","BEST_FPERIOD_OVERRIDE=FQ","FILING_STATUS=MR","SCALING_FORMAT=MLN","Sort=A","Dates=H","DateFormat=P","Fill=—","Direction=H","UseDPDF=Y")</f>
        <v>114.6</v>
      </c>
      <c r="I60" s="13" t="str" cm="1">
        <f t="array" ref="I60">_xll.BDH("PCAR US Equity","PENSION_LIABILITIES","FQ1 2020","FQ1 2020","Currency=USD","Period=FQ","BEST_FPERIOD_OVERRIDE=FQ","FILING_STATUS=MR","SCALING_FORMAT=MLN","Sort=A","Dates=H","DateFormat=P","Fill=—","Direction=H","UseDPDF=Y")</f>
        <v>—</v>
      </c>
      <c r="J60" s="13" t="str" cm="1">
        <f t="array" ref="J60">_xll.BDH("PCAR US Equity","PENSION_LIABILITIES","FQ2 2020","FQ2 2020","Currency=USD","Period=FQ","BEST_FPERIOD_OVERRIDE=FQ","FILING_STATUS=MR","SCALING_FORMAT=MLN","Sort=A","Dates=H","DateFormat=P","Fill=—","Direction=H","UseDPDF=Y")</f>
        <v>—</v>
      </c>
      <c r="K60" s="13" t="str" cm="1">
        <f t="array" ref="K60">_xll.BDH("PCAR US Equity","PENSION_LIABILITIES","FQ3 2020","FQ3 2020","Currency=USD","Period=FQ","BEST_FPERIOD_OVERRIDE=FQ","FILING_STATUS=MR","SCALING_FORMAT=MLN","Sort=A","Dates=H","DateFormat=P","Fill=—","Direction=H","UseDPDF=Y")</f>
        <v>—</v>
      </c>
      <c r="L60" s="13" cm="1">
        <f t="array" ref="L60">_xll.BDH("PCAR US Equity","PENSION_LIABILITIES","FQ4 2020","FQ4 2020","Currency=USD","Period=FQ","BEST_FPERIOD_OVERRIDE=FQ","FILING_STATUS=MR","SCALING_FORMAT=MLN","Sort=A","Dates=H","DateFormat=P","Fill=—","Direction=H","UseDPDF=Y")</f>
        <v>165.1</v>
      </c>
      <c r="M60" s="13" t="str" cm="1">
        <f t="array" ref="M60">_xll.BDH("PCAR US Equity","PENSION_LIABILITIES","FQ1 2021","FQ1 2021","Currency=USD","Period=FQ","BEST_FPERIOD_OVERRIDE=FQ","FILING_STATUS=MR","SCALING_FORMAT=MLN","Sort=A","Dates=H","DateFormat=P","Fill=—","Direction=H","UseDPDF=Y")</f>
        <v>—</v>
      </c>
      <c r="N60" s="13" t="str" cm="1">
        <f t="array" ref="N60">_xll.BDH("PCAR US Equity","PENSION_LIABILITIES","FQ2 2021","FQ2 2021","Currency=USD","Period=FQ","BEST_FPERIOD_OVERRIDE=FQ","FILING_STATUS=MR","SCALING_FORMAT=MLN","Sort=A","Dates=H","DateFormat=P","Fill=—","Direction=H","UseDPDF=Y")</f>
        <v>—</v>
      </c>
      <c r="O60" s="13" t="str" cm="1">
        <f t="array" ref="O60">_xll.BDH("PCAR US Equity","PENSION_LIABILITIES","FQ3 2021","FQ3 2021","Currency=USD","Period=FQ","BEST_FPERIOD_OVERRIDE=FQ","FILING_STATUS=MR","SCALING_FORMAT=MLN","Sort=A","Dates=H","DateFormat=P","Fill=—","Direction=H","UseDPDF=Y")</f>
        <v>—</v>
      </c>
      <c r="P60" s="13" cm="1">
        <f t="array" ref="P60">_xll.BDH("PCAR US Equity","PENSION_LIABILITIES","FQ4 2021","FQ4 2021","Currency=USD","Period=FQ","BEST_FPERIOD_OVERRIDE=FQ","FILING_STATUS=MR","SCALING_FORMAT=MLN","Sort=A","Dates=H","DateFormat=P","Fill=—","Direction=H","UseDPDF=Y")</f>
        <v>148.69999999999999</v>
      </c>
      <c r="Q60" s="13" t="str" cm="1">
        <f t="array" ref="Q60">_xll.BDH("PCAR US Equity","PENSION_LIABILITIES","FQ1 2022","FQ1 2022","Currency=USD","Period=FQ","BEST_FPERIOD_OVERRIDE=FQ","FILING_STATUS=MR","SCALING_FORMAT=MLN","Sort=A","Dates=H","DateFormat=P","Fill=—","Direction=H","UseDPDF=Y")</f>
        <v>—</v>
      </c>
      <c r="R60" s="13" t="str" cm="1">
        <f t="array" ref="R60">_xll.BDH("PCAR US Equity","PENSION_LIABILITIES","FQ2 2022","FQ2 2022","Currency=USD","Period=FQ","BEST_FPERIOD_OVERRIDE=FQ","FILING_STATUS=MR","SCALING_FORMAT=MLN","Sort=A","Dates=H","DateFormat=P","Fill=—","Direction=H","UseDPDF=Y")</f>
        <v>—</v>
      </c>
      <c r="S60" s="13" t="str" cm="1">
        <f t="array" ref="S60">_xll.BDH("PCAR US Equity","PENSION_LIABILITIES","FQ3 2022","FQ3 2022","Currency=USD","Period=FQ","BEST_FPERIOD_OVERRIDE=FQ","FILING_STATUS=MR","SCALING_FORMAT=MLN","Sort=A","Dates=H","DateFormat=P","Fill=—","Direction=H","UseDPDF=Y")</f>
        <v>—</v>
      </c>
      <c r="T60" s="13" cm="1">
        <f t="array" ref="T60">_xll.BDH("PCAR US Equity","PENSION_LIABILITIES","FQ4 2022","FQ4 2022","Currency=USD","Period=FQ","BEST_FPERIOD_OVERRIDE=FQ","FILING_STATUS=MR","SCALING_FORMAT=MLN","Sort=A","Dates=H","DateFormat=P","Fill=—","Direction=H","UseDPDF=Y")</f>
        <v>105</v>
      </c>
      <c r="U60" s="13" t="str" cm="1">
        <f t="array" ref="U60">_xll.BDH("PCAR US Equity","PENSION_LIABILITIES","FQ1 2023","FQ1 2023","Currency=USD","Period=FQ","BEST_FPERIOD_OVERRIDE=FQ","FILING_STATUS=MR","SCALING_FORMAT=MLN","Sort=A","Dates=H","DateFormat=P","Fill=—","Direction=H","UseDPDF=Y")</f>
        <v>—</v>
      </c>
      <c r="V60" s="13" t="str" cm="1">
        <f t="array" ref="V60">_xll.BDH("PCAR US Equity","PENSION_LIABILITIES","FQ2 2023","FQ2 2023","Currency=USD","Period=FQ","BEST_FPERIOD_OVERRIDE=FQ","FILING_STATUS=MR","SCALING_FORMAT=MLN","Sort=A","Dates=H","DateFormat=P","Fill=—","Direction=H","UseDPDF=Y")</f>
        <v>—</v>
      </c>
      <c r="W60" s="13" t="str" cm="1">
        <f t="array" ref="W60">_xll.BDH("PCAR US Equity","PENSION_LIABILITIES","FQ3 2023","FQ3 2023","Currency=USD","Period=FQ","BEST_FPERIOD_OVERRIDE=FQ","FILING_STATUS=MR","SCALING_FORMAT=MLN","Sort=A","Dates=H","DateFormat=P","Fill=—","Direction=H","UseDPDF=Y")</f>
        <v>—</v>
      </c>
      <c r="X60" s="13" cm="1">
        <f t="array" ref="X60">_xll.BDH("PCAR US Equity","PENSION_LIABILITIES","FQ4 2023","FQ4 2023","Currency=USD","Period=FQ","BEST_FPERIOD_OVERRIDE=FQ","FILING_STATUS=MR","SCALING_FORMAT=MLN","Sort=A","Dates=H","DateFormat=P","Fill=—","Direction=H","UseDPDF=Y")</f>
        <v>120.2</v>
      </c>
      <c r="Y60" s="13" t="str" cm="1">
        <f t="array" ref="Y60">_xll.BDH("PCAR US Equity","PENSION_LIABILITIES","FQ1 2024","FQ1 2024","Currency=USD","Period=FQ","BEST_FPERIOD_OVERRIDE=FQ","FILING_STATUS=MR","SCALING_FORMAT=MLN","Sort=A","Dates=H","DateFormat=P","Fill=—","Direction=H","UseDPDF=Y")</f>
        <v>—</v>
      </c>
      <c r="Z60" s="13" t="str" cm="1">
        <f t="array" ref="Z60">_xll.BDH("PCAR US Equity","PENSION_LIABILITIES","FQ2 2024","FQ2 2024","Currency=USD","Period=FQ","BEST_FPERIOD_OVERRIDE=FQ","FILING_STATUS=MR","SCALING_FORMAT=MLN","Sort=A","Dates=H","DateFormat=P","Fill=—","Direction=H","UseDPDF=Y")</f>
        <v>—</v>
      </c>
      <c r="AA60" s="13" t="str" cm="1">
        <f t="array" ref="AA60">_xll.BDH("PCAR US Equity","PENSION_LIABILITIES","FQ3 2024","FQ3 2024","Currency=USD","Period=FQ","BEST_FPERIOD_OVERRIDE=FQ","FILING_STATUS=MR","SCALING_FORMAT=MLN","Sort=A","Dates=H","DateFormat=P","Fill=—","Direction=H","UseDPDF=Y")</f>
        <v>—</v>
      </c>
      <c r="AB60" s="13" cm="1">
        <f t="array" ref="AB60">_xll.BDH("PCAR US Equity","PENSION_LIABILITIES","FQ4 2024","FQ4 2024","Currency=USD","Period=FQ","BEST_FPERIOD_OVERRIDE=FQ","FILING_STATUS=MR","SCALING_FORMAT=MLN","Sort=A","Dates=H","DateFormat=P","Fill=—","Direction=H","UseDPDF=Y")</f>
        <v>114</v>
      </c>
      <c r="AC60" s="13" t="str" cm="1">
        <f t="array" ref="AC60">_xll.BDH("PCAR US Equity","PENSION_LIABILITIES","FQ1 2025","FQ1 2025","Currency=USD","Period=FQ","BEST_FPERIOD_OVERRIDE=FQ","FILING_STATUS=MR","SCALING_FORMAT=MLN","Sort=A","Dates=H","DateFormat=P","Fill=—","Direction=H","UseDPDF=Y")</f>
        <v>—</v>
      </c>
      <c r="AD60" s="13" t="str" cm="1">
        <f t="array" ref="AD60">_xll.BDH("PCAR US Equity","PENSION_LIABILITIES","FQ2 2025","FQ2 2025","Currency=USD","Period=FQ","BEST_FPERIOD_OVERRIDE=FQ","FILING_STATUS=MR","SCALING_FORMAT=MLN","Sort=A","Dates=H","DateFormat=P","Fill=—","Direction=H","UseDPDF=Y")</f>
        <v>—</v>
      </c>
      <c r="AE60" s="13" t="str" cm="1">
        <f t="array" ref="AE60">_xll.BDH("PCAR US Equity","PENSION_LIABILITIES","FQ3 2025","FQ3 2025","Currency=USD","Period=FQ","BEST_FPERIOD_OVERRIDE=FQ","FILING_STATUS=MR","SCALING_FORMAT=MLN","Sort=A","Dates=H","DateFormat=P","Fill=—","Direction=H","UseDPDF=Y")</f>
        <v>—</v>
      </c>
      <c r="AF60" s="13" t="str" cm="1">
        <f t="array" ref="AF60">_xll.BDH("PCAR US Equity","PENSION_LIABILITIES","FQ4 2025","FQ4 2025","Currency=USD","Period=FQ","BEST_FPERIOD_OVERRIDE=FQ","FILING_STATUS=MR","SCALING_FORMAT=MLN","Sort=A","Dates=H","DateFormat=P","Fill=—","Direction=H","UseDPDF=Y")</f>
        <v>—</v>
      </c>
    </row>
    <row r="61" spans="1:32" x14ac:dyDescent="0.25">
      <c r="A61" s="10" t="s">
        <v>143</v>
      </c>
      <c r="B61" s="10" t="s">
        <v>169</v>
      </c>
      <c r="C61" s="13" cm="1">
        <f t="array" ref="C61">_xll.BDH("PCAR US Equity","LT_DEFERRED_REVENUE","FQ3 2018","FQ3 2018","Currency=USD","Period=FQ","BEST_FPERIOD_OVERRIDE=FQ","FILING_STATUS=MR","SCALING_FORMAT=MLN","Sort=A","Dates=H","DateFormat=P","Fill=—","Direction=H","UseDPDF=Y")</f>
        <v>832.4</v>
      </c>
      <c r="D61" s="13" cm="1">
        <f t="array" ref="D61">_xll.BDH("PCAR US Equity","LT_DEFERRED_REVENUE","FQ4 2018","FQ4 2018","Currency=USD","Period=FQ","BEST_FPERIOD_OVERRIDE=FQ","FILING_STATUS=MR","SCALING_FORMAT=MLN","Sort=A","Dates=H","DateFormat=P","Fill=—","Direction=H","UseDPDF=Y")</f>
        <v>842.4</v>
      </c>
      <c r="E61" s="13" cm="1">
        <f t="array" ref="E61">_xll.BDH("PCAR US Equity","LT_DEFERRED_REVENUE","FQ1 2019","FQ1 2019","Currency=USD","Period=FQ","BEST_FPERIOD_OVERRIDE=FQ","FILING_STATUS=MR","SCALING_FORMAT=MLN","Sort=A","Dates=H","DateFormat=P","Fill=—","Direction=H","UseDPDF=Y")</f>
        <v>813.2</v>
      </c>
      <c r="F61" s="13" cm="1">
        <f t="array" ref="F61">_xll.BDH("PCAR US Equity","LT_DEFERRED_REVENUE","FQ2 2019","FQ2 2019","Currency=USD","Period=FQ","BEST_FPERIOD_OVERRIDE=FQ","FILING_STATUS=MR","SCALING_FORMAT=MLN","Sort=A","Dates=H","DateFormat=P","Fill=—","Direction=H","UseDPDF=Y")</f>
        <v>753</v>
      </c>
      <c r="G61" s="13" t="str" cm="1">
        <f t="array" ref="G61">_xll.BDH("PCAR US Equity","LT_DEFERRED_REVENUE","FQ3 2019","FQ3 2019","Currency=USD","Period=FQ","BEST_FPERIOD_OVERRIDE=FQ","FILING_STATUS=MR","SCALING_FORMAT=MLN","Sort=A","Dates=H","DateFormat=P","Fill=—","Direction=H","UseDPDF=Y")</f>
        <v>—</v>
      </c>
      <c r="H61" s="13" cm="1">
        <f t="array" ref="H61">_xll.BDH("PCAR US Equity","LT_DEFERRED_REVENUE","FQ4 2019","FQ4 2019","Currency=USD","Period=FQ","BEST_FPERIOD_OVERRIDE=FQ","FILING_STATUS=MR","SCALING_FORMAT=MLN","Sort=A","Dates=H","DateFormat=P","Fill=—","Direction=H","UseDPDF=Y")</f>
        <v>587.29999999999995</v>
      </c>
      <c r="I61" s="13" cm="1">
        <f t="array" ref="I61">_xll.BDH("PCAR US Equity","LT_DEFERRED_REVENUE","FQ1 2020","FQ1 2020","Currency=USD","Period=FQ","BEST_FPERIOD_OVERRIDE=FQ","FILING_STATUS=MR","SCALING_FORMAT=MLN","Sort=A","Dates=H","DateFormat=P","Fill=—","Direction=H","UseDPDF=Y")</f>
        <v>542.9</v>
      </c>
      <c r="J61" s="13" cm="1">
        <f t="array" ref="J61">_xll.BDH("PCAR US Equity","LT_DEFERRED_REVENUE","FQ2 2020","FQ2 2020","Currency=USD","Period=FQ","BEST_FPERIOD_OVERRIDE=FQ","FILING_STATUS=MR","SCALING_FORMAT=MLN","Sort=A","Dates=H","DateFormat=P","Fill=—","Direction=H","UseDPDF=Y")</f>
        <v>506</v>
      </c>
      <c r="K61" s="13" cm="1">
        <f t="array" ref="K61">_xll.BDH("PCAR US Equity","LT_DEFERRED_REVENUE","FQ3 2020","FQ3 2020","Currency=USD","Period=FQ","BEST_FPERIOD_OVERRIDE=FQ","FILING_STATUS=MR","SCALING_FORMAT=MLN","Sort=A","Dates=H","DateFormat=P","Fill=—","Direction=H","UseDPDF=Y")</f>
        <v>487.9</v>
      </c>
      <c r="L61" s="13" cm="1">
        <f t="array" ref="L61">_xll.BDH("PCAR US Equity","LT_DEFERRED_REVENUE","FQ4 2020","FQ4 2020","Currency=USD","Period=FQ","BEST_FPERIOD_OVERRIDE=FQ","FILING_STATUS=MR","SCALING_FORMAT=MLN","Sort=A","Dates=H","DateFormat=P","Fill=—","Direction=H","UseDPDF=Y")</f>
        <v>457.4</v>
      </c>
      <c r="M61" s="13" cm="1">
        <f t="array" ref="M61">_xll.BDH("PCAR US Equity","LT_DEFERRED_REVENUE","FQ1 2021","FQ1 2021","Currency=USD","Period=FQ","BEST_FPERIOD_OVERRIDE=FQ","FILING_STATUS=MR","SCALING_FORMAT=MLN","Sort=A","Dates=H","DateFormat=P","Fill=—","Direction=H","UseDPDF=Y")</f>
        <v>402.9</v>
      </c>
      <c r="N61" s="13" cm="1">
        <f t="array" ref="N61">_xll.BDH("PCAR US Equity","LT_DEFERRED_REVENUE","FQ2 2021","FQ2 2021","Currency=USD","Period=FQ","BEST_FPERIOD_OVERRIDE=FQ","FILING_STATUS=MR","SCALING_FORMAT=MLN","Sort=A","Dates=H","DateFormat=P","Fill=—","Direction=H","UseDPDF=Y")</f>
        <v>384.2</v>
      </c>
      <c r="O61" s="13" cm="1">
        <f t="array" ref="O61">_xll.BDH("PCAR US Equity","LT_DEFERRED_REVENUE","FQ3 2021","FQ3 2021","Currency=USD","Period=FQ","BEST_FPERIOD_OVERRIDE=FQ","FILING_STATUS=MR","SCALING_FORMAT=MLN","Sort=A","Dates=H","DateFormat=P","Fill=—","Direction=H","UseDPDF=Y")</f>
        <v>348.4</v>
      </c>
      <c r="P61" s="13" cm="1">
        <f t="array" ref="P61">_xll.BDH("PCAR US Equity","LT_DEFERRED_REVENUE","FQ4 2021","FQ4 2021","Currency=USD","Period=FQ","BEST_FPERIOD_OVERRIDE=FQ","FILING_STATUS=MR","SCALING_FORMAT=MLN","Sort=A","Dates=H","DateFormat=P","Fill=—","Direction=H","UseDPDF=Y")</f>
        <v>329.1</v>
      </c>
      <c r="Q61" s="13" cm="1">
        <f t="array" ref="Q61">_xll.BDH("PCAR US Equity","LT_DEFERRED_REVENUE","FQ1 2022","FQ1 2022","Currency=USD","Period=FQ","BEST_FPERIOD_OVERRIDE=FQ","FILING_STATUS=MR","SCALING_FORMAT=MLN","Sort=A","Dates=H","DateFormat=P","Fill=—","Direction=H","UseDPDF=Y")</f>
        <v>309.3</v>
      </c>
      <c r="R61" s="13" cm="1">
        <f t="array" ref="R61">_xll.BDH("PCAR US Equity","LT_DEFERRED_REVENUE","FQ2 2022","FQ2 2022","Currency=USD","Period=FQ","BEST_FPERIOD_OVERRIDE=FQ","FILING_STATUS=MR","SCALING_FORMAT=MLN","Sort=A","Dates=H","DateFormat=P","Fill=—","Direction=H","UseDPDF=Y")</f>
        <v>271.7</v>
      </c>
      <c r="S61" s="13" cm="1">
        <f t="array" ref="S61">_xll.BDH("PCAR US Equity","LT_DEFERRED_REVENUE","FQ3 2022","FQ3 2022","Currency=USD","Period=FQ","BEST_FPERIOD_OVERRIDE=FQ","FILING_STATUS=MR","SCALING_FORMAT=MLN","Sort=A","Dates=H","DateFormat=P","Fill=—","Direction=H","UseDPDF=Y")</f>
        <v>227</v>
      </c>
      <c r="T61" s="13" cm="1">
        <f t="array" ref="T61">_xll.BDH("PCAR US Equity","LT_DEFERRED_REVENUE","FQ4 2022","FQ4 2022","Currency=USD","Period=FQ","BEST_FPERIOD_OVERRIDE=FQ","FILING_STATUS=MR","SCALING_FORMAT=MLN","Sort=A","Dates=H","DateFormat=P","Fill=—","Direction=H","UseDPDF=Y")</f>
        <v>209.2</v>
      </c>
      <c r="U61" s="13" cm="1">
        <f t="array" ref="U61">_xll.BDH("PCAR US Equity","LT_DEFERRED_REVENUE","FQ1 2023","FQ1 2023","Currency=USD","Period=FQ","BEST_FPERIOD_OVERRIDE=FQ","FILING_STATUS=MR","SCALING_FORMAT=MLN","Sort=A","Dates=H","DateFormat=P","Fill=—","Direction=H","UseDPDF=Y")</f>
        <v>193.5</v>
      </c>
      <c r="V61" s="13" cm="1">
        <f t="array" ref="V61">_xll.BDH("PCAR US Equity","LT_DEFERRED_REVENUE","FQ2 2023","FQ2 2023","Currency=USD","Period=FQ","BEST_FPERIOD_OVERRIDE=FQ","FILING_STATUS=MR","SCALING_FORMAT=MLN","Sort=A","Dates=H","DateFormat=P","Fill=—","Direction=H","UseDPDF=Y")</f>
        <v>179.9</v>
      </c>
      <c r="W61" s="13" cm="1">
        <f t="array" ref="W61">_xll.BDH("PCAR US Equity","LT_DEFERRED_REVENUE","FQ3 2023","FQ3 2023","Currency=USD","Period=FQ","BEST_FPERIOD_OVERRIDE=FQ","FILING_STATUS=MR","SCALING_FORMAT=MLN","Sort=A","Dates=H","DateFormat=P","Fill=—","Direction=H","UseDPDF=Y")</f>
        <v>162.4</v>
      </c>
      <c r="X61" s="13" cm="1">
        <f t="array" ref="X61">_xll.BDH("PCAR US Equity","LT_DEFERRED_REVENUE","FQ4 2023","FQ4 2023","Currency=USD","Period=FQ","BEST_FPERIOD_OVERRIDE=FQ","FILING_STATUS=MR","SCALING_FORMAT=MLN","Sort=A","Dates=H","DateFormat=P","Fill=—","Direction=H","UseDPDF=Y")</f>
        <v>142.6</v>
      </c>
      <c r="Y61" s="13" cm="1">
        <f t="array" ref="Y61">_xll.BDH("PCAR US Equity","LT_DEFERRED_REVENUE","FQ1 2024","FQ1 2024","Currency=USD","Period=FQ","BEST_FPERIOD_OVERRIDE=FQ","FILING_STATUS=MR","SCALING_FORMAT=MLN","Sort=A","Dates=H","DateFormat=P","Fill=—","Direction=H","UseDPDF=Y")</f>
        <v>127.2</v>
      </c>
      <c r="Z61" s="13" cm="1">
        <f t="array" ref="Z61">_xll.BDH("PCAR US Equity","LT_DEFERRED_REVENUE","FQ2 2024","FQ2 2024","Currency=USD","Period=FQ","BEST_FPERIOD_OVERRIDE=FQ","FILING_STATUS=MR","SCALING_FORMAT=MLN","Sort=A","Dates=H","DateFormat=P","Fill=—","Direction=H","UseDPDF=Y")</f>
        <v>115.6</v>
      </c>
      <c r="AA61" s="13" cm="1">
        <f t="array" ref="AA61">_xll.BDH("PCAR US Equity","LT_DEFERRED_REVENUE","FQ3 2024","FQ3 2024","Currency=USD","Period=FQ","BEST_FPERIOD_OVERRIDE=FQ","FILING_STATUS=MR","SCALING_FORMAT=MLN","Sort=A","Dates=H","DateFormat=P","Fill=—","Direction=H","UseDPDF=Y")</f>
        <v>95.7</v>
      </c>
      <c r="AB61" s="13" cm="1">
        <f t="array" ref="AB61">_xll.BDH("PCAR US Equity","LT_DEFERRED_REVENUE","FQ4 2024","FQ4 2024","Currency=USD","Period=FQ","BEST_FPERIOD_OVERRIDE=FQ","FILING_STATUS=MR","SCALING_FORMAT=MLN","Sort=A","Dates=H","DateFormat=P","Fill=—","Direction=H","UseDPDF=Y")</f>
        <v>80.3</v>
      </c>
      <c r="AC61" s="13" t="str" cm="1">
        <f t="array" ref="AC61">_xll.BDH("PCAR US Equity","LT_DEFERRED_REVENUE","FQ1 2025","FQ1 2025","Currency=USD","Period=FQ","BEST_FPERIOD_OVERRIDE=FQ","FILING_STATUS=MR","SCALING_FORMAT=MLN","Sort=A","Dates=H","DateFormat=P","Fill=—","Direction=H","UseDPDF=Y")</f>
        <v>—</v>
      </c>
      <c r="AD61" s="13" t="str" cm="1">
        <f t="array" ref="AD61">_xll.BDH("PCAR US Equity","LT_DEFERRED_REVENUE","FQ2 2025","FQ2 2025","Currency=USD","Period=FQ","BEST_FPERIOD_OVERRIDE=FQ","FILING_STATUS=MR","SCALING_FORMAT=MLN","Sort=A","Dates=H","DateFormat=P","Fill=—","Direction=H","UseDPDF=Y")</f>
        <v>—</v>
      </c>
      <c r="AE61" s="13" t="str" cm="1">
        <f t="array" ref="AE61">_xll.BDH("PCAR US Equity","LT_DEFERRED_REVENUE","FQ3 2025","FQ3 2025","Currency=USD","Period=FQ","BEST_FPERIOD_OVERRIDE=FQ","FILING_STATUS=MR","SCALING_FORMAT=MLN","Sort=A","Dates=H","DateFormat=P","Fill=—","Direction=H","UseDPDF=Y")</f>
        <v>—</v>
      </c>
      <c r="AF61" s="13" t="str" cm="1">
        <f t="array" ref="AF61">_xll.BDH("PCAR US Equity","LT_DEFERRED_REVENUE","FQ4 2025","FQ4 2025","Currency=USD","Period=FQ","BEST_FPERIOD_OVERRIDE=FQ","FILING_STATUS=MR","SCALING_FORMAT=MLN","Sort=A","Dates=H","DateFormat=P","Fill=—","Direction=H","UseDPDF=Y")</f>
        <v>—</v>
      </c>
    </row>
    <row r="62" spans="1:32" x14ac:dyDescent="0.25">
      <c r="A62" s="10" t="s">
        <v>147</v>
      </c>
      <c r="B62" s="10" t="s">
        <v>170</v>
      </c>
      <c r="C62" s="13" cm="1">
        <f t="array" ref="C62">_xll.BDH("PCAR US Equity","BS_DEFERRED_TAX_LIABILITIES_LT","FQ3 2018","FQ3 2018","Currency=USD","Period=FQ","BEST_FPERIOD_OVERRIDE=FQ","FILING_STATUS=MR","SCALING_FORMAT=MLN","Sort=A","Dates=H","DateFormat=P","Fill=—","Direction=H","UseDPDF=Y")</f>
        <v>695.6</v>
      </c>
      <c r="D62" s="13" cm="1">
        <f t="array" ref="D62">_xll.BDH("PCAR US Equity","BS_DEFERRED_TAX_LIABILITIES_LT","FQ4 2018","FQ4 2018","Currency=USD","Period=FQ","BEST_FPERIOD_OVERRIDE=FQ","FILING_STATUS=MR","SCALING_FORMAT=MLN","Sort=A","Dates=H","DateFormat=P","Fill=—","Direction=H","UseDPDF=Y")</f>
        <v>704.9</v>
      </c>
      <c r="E62" s="13" cm="1">
        <f t="array" ref="E62">_xll.BDH("PCAR US Equity","BS_DEFERRED_TAX_LIABILITIES_LT","FQ1 2019","FQ1 2019","Currency=USD","Period=FQ","BEST_FPERIOD_OVERRIDE=FQ","FILING_STATUS=MR","SCALING_FORMAT=MLN","Sort=A","Dates=H","DateFormat=P","Fill=—","Direction=H","UseDPDF=Y")</f>
        <v>692</v>
      </c>
      <c r="F62" s="13" cm="1">
        <f t="array" ref="F62">_xll.BDH("PCAR US Equity","BS_DEFERRED_TAX_LIABILITIES_LT","FQ2 2019","FQ2 2019","Currency=USD","Period=FQ","BEST_FPERIOD_OVERRIDE=FQ","FILING_STATUS=MR","SCALING_FORMAT=MLN","Sort=A","Dates=H","DateFormat=P","Fill=—","Direction=H","UseDPDF=Y")</f>
        <v>737.6</v>
      </c>
      <c r="G62" s="13" t="str" cm="1">
        <f t="array" ref="G62">_xll.BDH("PCAR US Equity","BS_DEFERRED_TAX_LIABILITIES_LT","FQ3 2019","FQ3 2019","Currency=USD","Period=FQ","BEST_FPERIOD_OVERRIDE=FQ","FILING_STATUS=MR","SCALING_FORMAT=MLN","Sort=A","Dates=H","DateFormat=P","Fill=—","Direction=H","UseDPDF=Y")</f>
        <v>—</v>
      </c>
      <c r="H62" s="13" cm="1">
        <f t="array" ref="H62">_xll.BDH("PCAR US Equity","BS_DEFERRED_TAX_LIABILITIES_LT","FQ4 2019","FQ4 2019","Currency=USD","Period=FQ","BEST_FPERIOD_OVERRIDE=FQ","FILING_STATUS=MR","SCALING_FORMAT=MLN","Sort=A","Dates=H","DateFormat=P","Fill=—","Direction=H","UseDPDF=Y")</f>
        <v>790.2</v>
      </c>
      <c r="I62" s="13" cm="1">
        <f t="array" ref="I62">_xll.BDH("PCAR US Equity","BS_DEFERRED_TAX_LIABILITIES_LT","FQ1 2020","FQ1 2020","Currency=USD","Period=FQ","BEST_FPERIOD_OVERRIDE=FQ","FILING_STATUS=MR","SCALING_FORMAT=MLN","Sort=A","Dates=H","DateFormat=P","Fill=—","Direction=H","UseDPDF=Y")</f>
        <v>780.1</v>
      </c>
      <c r="J62" s="13" cm="1">
        <f t="array" ref="J62">_xll.BDH("PCAR US Equity","BS_DEFERRED_TAX_LIABILITIES_LT","FQ2 2020","FQ2 2020","Currency=USD","Period=FQ","BEST_FPERIOD_OVERRIDE=FQ","FILING_STATUS=MR","SCALING_FORMAT=MLN","Sort=A","Dates=H","DateFormat=P","Fill=—","Direction=H","UseDPDF=Y")</f>
        <v>774.9</v>
      </c>
      <c r="K62" s="13" cm="1">
        <f t="array" ref="K62">_xll.BDH("PCAR US Equity","BS_DEFERRED_TAX_LIABILITIES_LT","FQ3 2020","FQ3 2020","Currency=USD","Period=FQ","BEST_FPERIOD_OVERRIDE=FQ","FILING_STATUS=MR","SCALING_FORMAT=MLN","Sort=A","Dates=H","DateFormat=P","Fill=—","Direction=H","UseDPDF=Y")</f>
        <v>791.3</v>
      </c>
      <c r="L62" s="13" cm="1">
        <f t="array" ref="L62">_xll.BDH("PCAR US Equity","BS_DEFERRED_TAX_LIABILITIES_LT","FQ4 2020","FQ4 2020","Currency=USD","Period=FQ","BEST_FPERIOD_OVERRIDE=FQ","FILING_STATUS=MR","SCALING_FORMAT=MLN","Sort=A","Dates=H","DateFormat=P","Fill=—","Direction=H","UseDPDF=Y")</f>
        <v>854.6</v>
      </c>
      <c r="M62" s="13" cm="1">
        <f t="array" ref="M62">_xll.BDH("PCAR US Equity","BS_DEFERRED_TAX_LIABILITIES_LT","FQ1 2021","FQ1 2021","Currency=USD","Period=FQ","BEST_FPERIOD_OVERRIDE=FQ","FILING_STATUS=MR","SCALING_FORMAT=MLN","Sort=A","Dates=H","DateFormat=P","Fill=—","Direction=H","UseDPDF=Y")</f>
        <v>775.7</v>
      </c>
      <c r="N62" s="13" cm="1">
        <f t="array" ref="N62">_xll.BDH("PCAR US Equity","BS_DEFERRED_TAX_LIABILITIES_LT","FQ2 2021","FQ2 2021","Currency=USD","Period=FQ","BEST_FPERIOD_OVERRIDE=FQ","FILING_STATUS=MR","SCALING_FORMAT=MLN","Sort=A","Dates=H","DateFormat=P","Fill=—","Direction=H","UseDPDF=Y")</f>
        <v>754.6</v>
      </c>
      <c r="O62" s="13" cm="1">
        <f t="array" ref="O62">_xll.BDH("PCAR US Equity","BS_DEFERRED_TAX_LIABILITIES_LT","FQ3 2021","FQ3 2021","Currency=USD","Period=FQ","BEST_FPERIOD_OVERRIDE=FQ","FILING_STATUS=MR","SCALING_FORMAT=MLN","Sort=A","Dates=H","DateFormat=P","Fill=—","Direction=H","UseDPDF=Y")</f>
        <v>549.5</v>
      </c>
      <c r="P62" s="13" cm="1">
        <f t="array" ref="P62">_xll.BDH("PCAR US Equity","BS_DEFERRED_TAX_LIABILITIES_LT","FQ4 2021","FQ4 2021","Currency=USD","Period=FQ","BEST_FPERIOD_OVERRIDE=FQ","FILING_STATUS=MR","SCALING_FORMAT=MLN","Sort=A","Dates=H","DateFormat=P","Fill=—","Direction=H","UseDPDF=Y")</f>
        <v>590.4</v>
      </c>
      <c r="Q62" s="13" cm="1">
        <f t="array" ref="Q62">_xll.BDH("PCAR US Equity","BS_DEFERRED_TAX_LIABILITIES_LT","FQ1 2022","FQ1 2022","Currency=USD","Period=FQ","BEST_FPERIOD_OVERRIDE=FQ","FILING_STATUS=MR","SCALING_FORMAT=MLN","Sort=A","Dates=H","DateFormat=P","Fill=—","Direction=H","UseDPDF=Y")</f>
        <v>620.20000000000005</v>
      </c>
      <c r="R62" s="13" cm="1">
        <f t="array" ref="R62">_xll.BDH("PCAR US Equity","BS_DEFERRED_TAX_LIABILITIES_LT","FQ2 2022","FQ2 2022","Currency=USD","Period=FQ","BEST_FPERIOD_OVERRIDE=FQ","FILING_STATUS=MR","SCALING_FORMAT=MLN","Sort=A","Dates=H","DateFormat=P","Fill=—","Direction=H","UseDPDF=Y")</f>
        <v>581.5</v>
      </c>
      <c r="S62" s="13" cm="1">
        <f t="array" ref="S62">_xll.BDH("PCAR US Equity","BS_DEFERRED_TAX_LIABILITIES_LT","FQ3 2022","FQ3 2022","Currency=USD","Period=FQ","BEST_FPERIOD_OVERRIDE=FQ","FILING_STATUS=MR","SCALING_FORMAT=MLN","Sort=A","Dates=H","DateFormat=P","Fill=—","Direction=H","UseDPDF=Y")</f>
        <v>587.70000000000005</v>
      </c>
      <c r="T62" s="13" cm="1">
        <f t="array" ref="T62">_xll.BDH("PCAR US Equity","BS_DEFERRED_TAX_LIABILITIES_LT","FQ4 2022","FQ4 2022","Currency=USD","Period=FQ","BEST_FPERIOD_OVERRIDE=FQ","FILING_STATUS=MR","SCALING_FORMAT=MLN","Sort=A","Dates=H","DateFormat=P","Fill=—","Direction=H","UseDPDF=Y")</f>
        <v>624.4</v>
      </c>
      <c r="U62" s="13" cm="1">
        <f t="array" ref="U62">_xll.BDH("PCAR US Equity","BS_DEFERRED_TAX_LIABILITIES_LT","FQ1 2023","FQ1 2023","Currency=USD","Period=FQ","BEST_FPERIOD_OVERRIDE=FQ","FILING_STATUS=MR","SCALING_FORMAT=MLN","Sort=A","Dates=H","DateFormat=P","Fill=—","Direction=H","UseDPDF=Y")</f>
        <v>645.5</v>
      </c>
      <c r="V62" s="13" cm="1">
        <f t="array" ref="V62">_xll.BDH("PCAR US Equity","BS_DEFERRED_TAX_LIABILITIES_LT","FQ2 2023","FQ2 2023","Currency=USD","Period=FQ","BEST_FPERIOD_OVERRIDE=FQ","FILING_STATUS=MR","SCALING_FORMAT=MLN","Sort=A","Dates=H","DateFormat=P","Fill=—","Direction=H","UseDPDF=Y")</f>
        <v>686.1</v>
      </c>
      <c r="W62" s="13" cm="1">
        <f t="array" ref="W62">_xll.BDH("PCAR US Equity","BS_DEFERRED_TAX_LIABILITIES_LT","FQ3 2023","FQ3 2023","Currency=USD","Period=FQ","BEST_FPERIOD_OVERRIDE=FQ","FILING_STATUS=MR","SCALING_FORMAT=MLN","Sort=A","Dates=H","DateFormat=P","Fill=—","Direction=H","UseDPDF=Y")</f>
        <v>645.4</v>
      </c>
      <c r="X62" s="13" cm="1">
        <f t="array" ref="X62">_xll.BDH("PCAR US Equity","BS_DEFERRED_TAX_LIABILITIES_LT","FQ4 2023","FQ4 2023","Currency=USD","Period=FQ","BEST_FPERIOD_OVERRIDE=FQ","FILING_STATUS=MR","SCALING_FORMAT=MLN","Sort=A","Dates=H","DateFormat=P","Fill=—","Direction=H","UseDPDF=Y")</f>
        <v>702</v>
      </c>
      <c r="Y62" s="13" cm="1">
        <f t="array" ref="Y62">_xll.BDH("PCAR US Equity","BS_DEFERRED_TAX_LIABILITIES_LT","FQ1 2024","FQ1 2024","Currency=USD","Period=FQ","BEST_FPERIOD_OVERRIDE=FQ","FILING_STATUS=MR","SCALING_FORMAT=MLN","Sort=A","Dates=H","DateFormat=P","Fill=—","Direction=H","UseDPDF=Y")</f>
        <v>646.9</v>
      </c>
      <c r="Z62" s="13" cm="1">
        <f t="array" ref="Z62">_xll.BDH("PCAR US Equity","BS_DEFERRED_TAX_LIABILITIES_LT","FQ2 2024","FQ2 2024","Currency=USD","Period=FQ","BEST_FPERIOD_OVERRIDE=FQ","FILING_STATUS=MR","SCALING_FORMAT=MLN","Sort=A","Dates=H","DateFormat=P","Fill=—","Direction=H","UseDPDF=Y")</f>
        <v>611</v>
      </c>
      <c r="AA62" s="13" cm="1">
        <f t="array" ref="AA62">_xll.BDH("PCAR US Equity","BS_DEFERRED_TAX_LIABILITIES_LT","FQ3 2024","FQ3 2024","Currency=USD","Period=FQ","BEST_FPERIOD_OVERRIDE=FQ","FILING_STATUS=MR","SCALING_FORMAT=MLN","Sort=A","Dates=H","DateFormat=P","Fill=—","Direction=H","UseDPDF=Y")</f>
        <v>627.1</v>
      </c>
      <c r="AB62" s="13" cm="1">
        <f t="array" ref="AB62">_xll.BDH("PCAR US Equity","BS_DEFERRED_TAX_LIABILITIES_LT","FQ4 2024","FQ4 2024","Currency=USD","Period=FQ","BEST_FPERIOD_OVERRIDE=FQ","FILING_STATUS=MR","SCALING_FORMAT=MLN","Sort=A","Dates=H","DateFormat=P","Fill=—","Direction=H","UseDPDF=Y")</f>
        <v>577.4</v>
      </c>
      <c r="AC62" s="13" cm="1">
        <f t="array" ref="AC62">_xll.BDH("PCAR US Equity","BS_DEFERRED_TAX_LIABILITIES_LT","FQ1 2025","FQ1 2025","Currency=USD","Period=FQ","BEST_FPERIOD_OVERRIDE=FQ","FILING_STATUS=MR","SCALING_FORMAT=MLN","Sort=A","Dates=H","DateFormat=P","Fill=—","Direction=H","UseDPDF=Y")</f>
        <v>583.20000000000005</v>
      </c>
      <c r="AD62" s="13" cm="1">
        <f t="array" ref="AD62">_xll.BDH("PCAR US Equity","BS_DEFERRED_TAX_LIABILITIES_LT","FQ2 2025","FQ2 2025","Currency=USD","Period=FQ","BEST_FPERIOD_OVERRIDE=FQ","FILING_STATUS=MR","SCALING_FORMAT=MLN","Sort=A","Dates=H","DateFormat=P","Fill=—","Direction=H","UseDPDF=Y")</f>
        <v>654.29999999999995</v>
      </c>
      <c r="AE62" s="13" cm="1">
        <f t="array" ref="AE62">_xll.BDH("PCAR US Equity","BS_DEFERRED_TAX_LIABILITIES_LT","FQ3 2025","FQ3 2025","Currency=USD","Period=FQ","BEST_FPERIOD_OVERRIDE=FQ","FILING_STATUS=MR","SCALING_FORMAT=MLN","Sort=A","Dates=H","DateFormat=P","Fill=—","Direction=H","UseDPDF=Y")</f>
        <v>663.9</v>
      </c>
      <c r="AF62" s="13" t="str" cm="1">
        <f t="array" ref="AF62">_xll.BDH("PCAR US Equity","BS_DEFERRED_TAX_LIABILITIES_LT","FQ4 2025","FQ4 2025","Currency=USD","Period=FQ","BEST_FPERIOD_OVERRIDE=FQ","FILING_STATUS=MR","SCALING_FORMAT=MLN","Sort=A","Dates=H","DateFormat=P","Fill=—","Direction=H","UseDPDF=Y")</f>
        <v>—</v>
      </c>
    </row>
    <row r="63" spans="1:32" x14ac:dyDescent="0.25">
      <c r="A63" s="10" t="s">
        <v>145</v>
      </c>
      <c r="B63" s="10" t="s">
        <v>171</v>
      </c>
      <c r="C63" s="13" cm="1">
        <f t="array" ref="C63">_xll.BDH("PCAR US Equity","BS_DERIV_HEDGING_LIAB_LT","FQ3 2018","FQ3 2018","Currency=USD","Period=FQ","BEST_FPERIOD_OVERRIDE=FQ","FILING_STATUS=MR","SCALING_FORMAT=MLN","Sort=A","Dates=H","DateFormat=P","Fill=—","Direction=H","UseDPDF=Y")</f>
        <v>29.8</v>
      </c>
      <c r="D63" s="13" cm="1">
        <f t="array" ref="D63">_xll.BDH("PCAR US Equity","BS_DERIV_HEDGING_LIAB_LT","FQ4 2018","FQ4 2018","Currency=USD","Period=FQ","BEST_FPERIOD_OVERRIDE=FQ","FILING_STATUS=MR","SCALING_FORMAT=MLN","Sort=A","Dates=H","DateFormat=P","Fill=—","Direction=H","UseDPDF=Y")</f>
        <v>19.5</v>
      </c>
      <c r="E63" s="13" cm="1">
        <f t="array" ref="E63">_xll.BDH("PCAR US Equity","BS_DERIV_HEDGING_LIAB_LT","FQ1 2019","FQ1 2019","Currency=USD","Period=FQ","BEST_FPERIOD_OVERRIDE=FQ","FILING_STATUS=MR","SCALING_FORMAT=MLN","Sort=A","Dates=H","DateFormat=P","Fill=—","Direction=H","UseDPDF=Y")</f>
        <v>17.600000000000001</v>
      </c>
      <c r="F63" s="13" cm="1">
        <f t="array" ref="F63">_xll.BDH("PCAR US Equity","BS_DERIV_HEDGING_LIAB_LT","FQ2 2019","FQ2 2019","Currency=USD","Period=FQ","BEST_FPERIOD_OVERRIDE=FQ","FILING_STATUS=MR","SCALING_FORMAT=MLN","Sort=A","Dates=H","DateFormat=P","Fill=—","Direction=H","UseDPDF=Y")</f>
        <v>28.6</v>
      </c>
      <c r="G63" s="13" cm="1">
        <f t="array" ref="G63">_xll.BDH("PCAR US Equity","BS_DERIV_HEDGING_LIAB_LT","FQ3 2019","FQ3 2019","Currency=USD","Period=FQ","BEST_FPERIOD_OVERRIDE=FQ","FILING_STATUS=MR","SCALING_FORMAT=MLN","Sort=A","Dates=H","DateFormat=P","Fill=—","Direction=H","UseDPDF=Y")</f>
        <v>26.9</v>
      </c>
      <c r="H63" s="13" cm="1">
        <f t="array" ref="H63">_xll.BDH("PCAR US Equity","BS_DERIV_HEDGING_LIAB_LT","FQ4 2019","FQ4 2019","Currency=USD","Period=FQ","BEST_FPERIOD_OVERRIDE=FQ","FILING_STATUS=MR","SCALING_FORMAT=MLN","Sort=A","Dates=H","DateFormat=P","Fill=—","Direction=H","UseDPDF=Y")</f>
        <v>33.299999999999997</v>
      </c>
      <c r="I63" s="13" cm="1">
        <f t="array" ref="I63">_xll.BDH("PCAR US Equity","BS_DERIV_HEDGING_LIAB_LT","FQ1 2020","FQ1 2020","Currency=USD","Period=FQ","BEST_FPERIOD_OVERRIDE=FQ","FILING_STATUS=MR","SCALING_FORMAT=MLN","Sort=A","Dates=H","DateFormat=P","Fill=—","Direction=H","UseDPDF=Y")</f>
        <v>53.4</v>
      </c>
      <c r="J63" s="13" cm="1">
        <f t="array" ref="J63">_xll.BDH("PCAR US Equity","BS_DERIV_HEDGING_LIAB_LT","FQ2 2020","FQ2 2020","Currency=USD","Period=FQ","BEST_FPERIOD_OVERRIDE=FQ","FILING_STATUS=MR","SCALING_FORMAT=MLN","Sort=A","Dates=H","DateFormat=P","Fill=—","Direction=H","UseDPDF=Y")</f>
        <v>50.9</v>
      </c>
      <c r="K63" s="13" cm="1">
        <f t="array" ref="K63">_xll.BDH("PCAR US Equity","BS_DERIV_HEDGING_LIAB_LT","FQ3 2020","FQ3 2020","Currency=USD","Period=FQ","BEST_FPERIOD_OVERRIDE=FQ","FILING_STATUS=MR","SCALING_FORMAT=MLN","Sort=A","Dates=H","DateFormat=P","Fill=—","Direction=H","UseDPDF=Y")</f>
        <v>62.2</v>
      </c>
      <c r="L63" s="13" cm="1">
        <f t="array" ref="L63">_xll.BDH("PCAR US Equity","BS_DERIV_HEDGING_LIAB_LT","FQ4 2020","FQ4 2020","Currency=USD","Period=FQ","BEST_FPERIOD_OVERRIDE=FQ","FILING_STATUS=MR","SCALING_FORMAT=MLN","Sort=A","Dates=H","DateFormat=P","Fill=—","Direction=H","UseDPDF=Y")</f>
        <v>120.7</v>
      </c>
      <c r="M63" s="13" cm="1">
        <f t="array" ref="M63">_xll.BDH("PCAR US Equity","BS_DERIV_HEDGING_LIAB_LT","FQ1 2021","FQ1 2021","Currency=USD","Period=FQ","BEST_FPERIOD_OVERRIDE=FQ","FILING_STATUS=MR","SCALING_FORMAT=MLN","Sort=A","Dates=H","DateFormat=P","Fill=—","Direction=H","UseDPDF=Y")</f>
        <v>85.1</v>
      </c>
      <c r="N63" s="13" cm="1">
        <f t="array" ref="N63">_xll.BDH("PCAR US Equity","BS_DERIV_HEDGING_LIAB_LT","FQ2 2021","FQ2 2021","Currency=USD","Period=FQ","BEST_FPERIOD_OVERRIDE=FQ","FILING_STATUS=MR","SCALING_FORMAT=MLN","Sort=A","Dates=H","DateFormat=P","Fill=—","Direction=H","UseDPDF=Y")</f>
        <v>90.8</v>
      </c>
      <c r="O63" s="13" cm="1">
        <f t="array" ref="O63">_xll.BDH("PCAR US Equity","BS_DERIV_HEDGING_LIAB_LT","FQ3 2021","FQ3 2021","Currency=USD","Period=FQ","BEST_FPERIOD_OVERRIDE=FQ","FILING_STATUS=MR","SCALING_FORMAT=MLN","Sort=A","Dates=H","DateFormat=P","Fill=—","Direction=H","UseDPDF=Y")</f>
        <v>64.7</v>
      </c>
      <c r="P63" s="13" cm="1">
        <f t="array" ref="P63">_xll.BDH("PCAR US Equity","BS_DERIV_HEDGING_LIAB_LT","FQ4 2021","FQ4 2021","Currency=USD","Period=FQ","BEST_FPERIOD_OVERRIDE=FQ","FILING_STATUS=MR","SCALING_FORMAT=MLN","Sort=A","Dates=H","DateFormat=P","Fill=—","Direction=H","UseDPDF=Y")</f>
        <v>54.7</v>
      </c>
      <c r="Q63" s="13" cm="1">
        <f t="array" ref="Q63">_xll.BDH("PCAR US Equity","BS_DERIV_HEDGING_LIAB_LT","FQ1 2022","FQ1 2022","Currency=USD","Period=FQ","BEST_FPERIOD_OVERRIDE=FQ","FILING_STATUS=MR","SCALING_FORMAT=MLN","Sort=A","Dates=H","DateFormat=P","Fill=—","Direction=H","UseDPDF=Y")</f>
        <v>144.5</v>
      </c>
      <c r="R63" s="13" cm="1">
        <f t="array" ref="R63">_xll.BDH("PCAR US Equity","BS_DERIV_HEDGING_LIAB_LT","FQ2 2022","FQ2 2022","Currency=USD","Period=FQ","BEST_FPERIOD_OVERRIDE=FQ","FILING_STATUS=MR","SCALING_FORMAT=MLN","Sort=A","Dates=H","DateFormat=P","Fill=—","Direction=H","UseDPDF=Y")</f>
        <v>46.8</v>
      </c>
      <c r="S63" s="13" cm="1">
        <f t="array" ref="S63">_xll.BDH("PCAR US Equity","BS_DERIV_HEDGING_LIAB_LT","FQ3 2022","FQ3 2022","Currency=USD","Period=FQ","BEST_FPERIOD_OVERRIDE=FQ","FILING_STATUS=MR","SCALING_FORMAT=MLN","Sort=A","Dates=H","DateFormat=P","Fill=—","Direction=H","UseDPDF=Y")</f>
        <v>77.900000000000006</v>
      </c>
      <c r="T63" s="13" cm="1">
        <f t="array" ref="T63">_xll.BDH("PCAR US Equity","BS_DERIV_HEDGING_LIAB_LT","FQ4 2022","FQ4 2022","Currency=USD","Period=FQ","BEST_FPERIOD_OVERRIDE=FQ","FILING_STATUS=MR","SCALING_FORMAT=MLN","Sort=A","Dates=H","DateFormat=P","Fill=—","Direction=H","UseDPDF=Y")</f>
        <v>87.8</v>
      </c>
      <c r="U63" s="13" cm="1">
        <f t="array" ref="U63">_xll.BDH("PCAR US Equity","BS_DERIV_HEDGING_LIAB_LT","FQ1 2023","FQ1 2023","Currency=USD","Period=FQ","BEST_FPERIOD_OVERRIDE=FQ","FILING_STATUS=MR","SCALING_FORMAT=MLN","Sort=A","Dates=H","DateFormat=P","Fill=—","Direction=H","UseDPDF=Y")</f>
        <v>131.4</v>
      </c>
      <c r="V63" s="13" cm="1">
        <f t="array" ref="V63">_xll.BDH("PCAR US Equity","BS_DERIV_HEDGING_LIAB_LT","FQ2 2023","FQ2 2023","Currency=USD","Period=FQ","BEST_FPERIOD_OVERRIDE=FQ","FILING_STATUS=MR","SCALING_FORMAT=MLN","Sort=A","Dates=H","DateFormat=P","Fill=—","Direction=H","UseDPDF=Y")</f>
        <v>370.2</v>
      </c>
      <c r="W63" s="13" cm="1">
        <f t="array" ref="W63">_xll.BDH("PCAR US Equity","BS_DERIV_HEDGING_LIAB_LT","FQ3 2023","FQ3 2023","Currency=USD","Period=FQ","BEST_FPERIOD_OVERRIDE=FQ","FILING_STATUS=MR","SCALING_FORMAT=MLN","Sort=A","Dates=H","DateFormat=P","Fill=—","Direction=H","UseDPDF=Y")</f>
        <v>81.7</v>
      </c>
      <c r="X63" s="13" cm="1">
        <f t="array" ref="X63">_xll.BDH("PCAR US Equity","BS_DERIV_HEDGING_LIAB_LT","FQ4 2023","FQ4 2023","Currency=USD","Period=FQ","BEST_FPERIOD_OVERRIDE=FQ","FILING_STATUS=MR","SCALING_FORMAT=MLN","Sort=A","Dates=H","DateFormat=P","Fill=—","Direction=H","UseDPDF=Y")</f>
        <v>134.80000000000001</v>
      </c>
      <c r="Y63" s="13" cm="1">
        <f t="array" ref="Y63">_xll.BDH("PCAR US Equity","BS_DERIV_HEDGING_LIAB_LT","FQ1 2024","FQ1 2024","Currency=USD","Period=FQ","BEST_FPERIOD_OVERRIDE=FQ","FILING_STATUS=MR","SCALING_FORMAT=MLN","Sort=A","Dates=H","DateFormat=P","Fill=—","Direction=H","UseDPDF=Y")</f>
        <v>92</v>
      </c>
      <c r="Z63" s="13" cm="1">
        <f t="array" ref="Z63">_xll.BDH("PCAR US Equity","BS_DERIV_HEDGING_LIAB_LT","FQ2 2024","FQ2 2024","Currency=USD","Period=FQ","BEST_FPERIOD_OVERRIDE=FQ","FILING_STATUS=MR","SCALING_FORMAT=MLN","Sort=A","Dates=H","DateFormat=P","Fill=—","Direction=H","UseDPDF=Y")</f>
        <v>63.1</v>
      </c>
      <c r="AA63" s="13" cm="1">
        <f t="array" ref="AA63">_xll.BDH("PCAR US Equity","BS_DERIV_HEDGING_LIAB_LT","FQ3 2024","FQ3 2024","Currency=USD","Period=FQ","BEST_FPERIOD_OVERRIDE=FQ","FILING_STATUS=MR","SCALING_FORMAT=MLN","Sort=A","Dates=H","DateFormat=P","Fill=—","Direction=H","UseDPDF=Y")</f>
        <v>116.3</v>
      </c>
      <c r="AB63" s="13" cm="1">
        <f t="array" ref="AB63">_xll.BDH("PCAR US Equity","BS_DERIV_HEDGING_LIAB_LT","FQ4 2024","FQ4 2024","Currency=USD","Period=FQ","BEST_FPERIOD_OVERRIDE=FQ","FILING_STATUS=MR","SCALING_FORMAT=MLN","Sort=A","Dates=H","DateFormat=P","Fill=—","Direction=H","UseDPDF=Y")</f>
        <v>41.3</v>
      </c>
      <c r="AC63" s="13" cm="1">
        <f t="array" ref="AC63">_xll.BDH("PCAR US Equity","BS_DERIV_HEDGING_LIAB_LT","FQ1 2025","FQ1 2025","Currency=USD","Period=FQ","BEST_FPERIOD_OVERRIDE=FQ","FILING_STATUS=MR","SCALING_FORMAT=MLN","Sort=A","Dates=H","DateFormat=P","Fill=—","Direction=H","UseDPDF=Y")</f>
        <v>53.1</v>
      </c>
      <c r="AD63" s="13" cm="1">
        <f t="array" ref="AD63">_xll.BDH("PCAR US Equity","BS_DERIV_HEDGING_LIAB_LT","FQ2 2025","FQ2 2025","Currency=USD","Period=FQ","BEST_FPERIOD_OVERRIDE=FQ","FILING_STATUS=MR","SCALING_FORMAT=MLN","Sort=A","Dates=H","DateFormat=P","Fill=—","Direction=H","UseDPDF=Y")</f>
        <v>132.30000000000001</v>
      </c>
      <c r="AE63" s="13" cm="1">
        <f t="array" ref="AE63">_xll.BDH("PCAR US Equity","BS_DERIV_HEDGING_LIAB_LT","FQ3 2025","FQ3 2025","Currency=USD","Period=FQ","BEST_FPERIOD_OVERRIDE=FQ","FILING_STATUS=MR","SCALING_FORMAT=MLN","Sort=A","Dates=H","DateFormat=P","Fill=—","Direction=H","UseDPDF=Y")</f>
        <v>213.1</v>
      </c>
      <c r="AF63" s="13" t="str" cm="1">
        <f t="array" ref="AF63">_xll.BDH("PCAR US Equity","BS_DERIV_HEDGING_LIAB_LT","FQ4 2025","FQ4 2025","Currency=USD","Period=FQ","BEST_FPERIOD_OVERRIDE=FQ","FILING_STATUS=MR","SCALING_FORMAT=MLN","Sort=A","Dates=H","DateFormat=P","Fill=—","Direction=H","UseDPDF=Y")</f>
        <v>—</v>
      </c>
    </row>
    <row r="64" spans="1:32" x14ac:dyDescent="0.25">
      <c r="A64" s="10" t="s">
        <v>172</v>
      </c>
      <c r="B64" s="10" t="s">
        <v>173</v>
      </c>
      <c r="C64" s="13" cm="1">
        <f t="array" ref="C64">_xll.BDH("PCAR US Equity","OTHER_NONCURRENT_LIABS_DETAILED","FQ3 2018","FQ3 2018","Currency=USD","Period=FQ","BEST_FPERIOD_OVERRIDE=FQ","FILING_STATUS=MR","SCALING_FORMAT=MLN","Sort=A","Dates=H","DateFormat=P","Fill=—","Direction=H","UseDPDF=Y")</f>
        <v>1023.5</v>
      </c>
      <c r="D64" s="13" cm="1">
        <f t="array" ref="D64">_xll.BDH("PCAR US Equity","OTHER_NONCURRENT_LIABS_DETAILED","FQ4 2018","FQ4 2018","Currency=USD","Period=FQ","BEST_FPERIOD_OVERRIDE=FQ","FILING_STATUS=MR","SCALING_FORMAT=MLN","Sort=A","Dates=H","DateFormat=P","Fill=—","Direction=H","UseDPDF=Y")</f>
        <v>1000.2</v>
      </c>
      <c r="E64" s="13" cm="1">
        <f t="array" ref="E64">_xll.BDH("PCAR US Equity","OTHER_NONCURRENT_LIABS_DETAILED","FQ1 2019","FQ1 2019","Currency=USD","Period=FQ","BEST_FPERIOD_OVERRIDE=FQ","FILING_STATUS=MR","SCALING_FORMAT=MLN","Sort=A","Dates=H","DateFormat=P","Fill=—","Direction=H","UseDPDF=Y")</f>
        <v>1224.2</v>
      </c>
      <c r="F64" s="13" cm="1">
        <f t="array" ref="F64">_xll.BDH("PCAR US Equity","OTHER_NONCURRENT_LIABS_DETAILED","FQ2 2019","FQ2 2019","Currency=USD","Period=FQ","BEST_FPERIOD_OVERRIDE=FQ","FILING_STATUS=MR","SCALING_FORMAT=MLN","Sort=A","Dates=H","DateFormat=P","Fill=—","Direction=H","UseDPDF=Y")</f>
        <v>1278.4000000000001</v>
      </c>
      <c r="G64" s="13" cm="1">
        <f t="array" ref="G64">_xll.BDH("PCAR US Equity","OTHER_NONCURRENT_LIABS_DETAILED","FQ3 2019","FQ3 2019","Currency=USD","Period=FQ","BEST_FPERIOD_OVERRIDE=FQ","FILING_STATUS=MR","SCALING_FORMAT=MLN","Sort=A","Dates=H","DateFormat=P","Fill=—","Direction=H","UseDPDF=Y")</f>
        <v>699.4</v>
      </c>
      <c r="H64" s="13" cm="1">
        <f t="array" ref="H64">_xll.BDH("PCAR US Equity","OTHER_NONCURRENT_LIABS_DETAILED","FQ4 2019","FQ4 2019","Currency=USD","Period=FQ","BEST_FPERIOD_OVERRIDE=FQ","FILING_STATUS=MR","SCALING_FORMAT=MLN","Sort=A","Dates=H","DateFormat=P","Fill=—","Direction=H","UseDPDF=Y")</f>
        <v>1263.5</v>
      </c>
      <c r="I64" s="13" cm="1">
        <f t="array" ref="I64">_xll.BDH("PCAR US Equity","OTHER_NONCURRENT_LIABS_DETAILED","FQ1 2020","FQ1 2020","Currency=USD","Period=FQ","BEST_FPERIOD_OVERRIDE=FQ","FILING_STATUS=MR","SCALING_FORMAT=MLN","Sort=A","Dates=H","DateFormat=P","Fill=—","Direction=H","UseDPDF=Y")</f>
        <v>1339.4</v>
      </c>
      <c r="J64" s="13" cm="1">
        <f t="array" ref="J64">_xll.BDH("PCAR US Equity","OTHER_NONCURRENT_LIABS_DETAILED","FQ2 2020","FQ2 2020","Currency=USD","Period=FQ","BEST_FPERIOD_OVERRIDE=FQ","FILING_STATUS=MR","SCALING_FORMAT=MLN","Sort=A","Dates=H","DateFormat=P","Fill=—","Direction=H","UseDPDF=Y")</f>
        <v>1276.2</v>
      </c>
      <c r="K64" s="13" cm="1">
        <f t="array" ref="K64">_xll.BDH("PCAR US Equity","OTHER_NONCURRENT_LIABS_DETAILED","FQ3 2020","FQ3 2020","Currency=USD","Period=FQ","BEST_FPERIOD_OVERRIDE=FQ","FILING_STATUS=MR","SCALING_FORMAT=MLN","Sort=A","Dates=H","DateFormat=P","Fill=—","Direction=H","UseDPDF=Y")</f>
        <v>1321.9</v>
      </c>
      <c r="L64" s="13" cm="1">
        <f t="array" ref="L64">_xll.BDH("PCAR US Equity","OTHER_NONCURRENT_LIABS_DETAILED","FQ4 2020","FQ4 2020","Currency=USD","Period=FQ","BEST_FPERIOD_OVERRIDE=FQ","FILING_STATUS=MR","SCALING_FORMAT=MLN","Sort=A","Dates=H","DateFormat=P","Fill=—","Direction=H","UseDPDF=Y")</f>
        <v>1174</v>
      </c>
      <c r="M64" s="13" cm="1">
        <f t="array" ref="M64">_xll.BDH("PCAR US Equity","OTHER_NONCURRENT_LIABS_DETAILED","FQ1 2021","FQ1 2021","Currency=USD","Period=FQ","BEST_FPERIOD_OVERRIDE=FQ","FILING_STATUS=MR","SCALING_FORMAT=MLN","Sort=A","Dates=H","DateFormat=P","Fill=—","Direction=H","UseDPDF=Y")</f>
        <v>1373.5</v>
      </c>
      <c r="N64" s="13" cm="1">
        <f t="array" ref="N64">_xll.BDH("PCAR US Equity","OTHER_NONCURRENT_LIABS_DETAILED","FQ2 2021","FQ2 2021","Currency=USD","Period=FQ","BEST_FPERIOD_OVERRIDE=FQ","FILING_STATUS=MR","SCALING_FORMAT=MLN","Sort=A","Dates=H","DateFormat=P","Fill=—","Direction=H","UseDPDF=Y")</f>
        <v>1346.5</v>
      </c>
      <c r="O64" s="13" cm="1">
        <f t="array" ref="O64">_xll.BDH("PCAR US Equity","OTHER_NONCURRENT_LIABS_DETAILED","FQ3 2021","FQ3 2021","Currency=USD","Period=FQ","BEST_FPERIOD_OVERRIDE=FQ","FILING_STATUS=MR","SCALING_FORMAT=MLN","Sort=A","Dates=H","DateFormat=P","Fill=—","Direction=H","UseDPDF=Y")</f>
        <v>1333.9</v>
      </c>
      <c r="P64" s="13" cm="1">
        <f t="array" ref="P64">_xll.BDH("PCAR US Equity","OTHER_NONCURRENT_LIABS_DETAILED","FQ4 2021","FQ4 2021","Currency=USD","Period=FQ","BEST_FPERIOD_OVERRIDE=FQ","FILING_STATUS=MR","SCALING_FORMAT=MLN","Sort=A","Dates=H","DateFormat=P","Fill=—","Direction=H","UseDPDF=Y")</f>
        <v>1261.9000000000001</v>
      </c>
      <c r="Q64" s="13" cm="1">
        <f t="array" ref="Q64">_xll.BDH("PCAR US Equity","OTHER_NONCURRENT_LIABS_DETAILED","FQ1 2022","FQ1 2022","Currency=USD","Period=FQ","BEST_FPERIOD_OVERRIDE=FQ","FILING_STATUS=MR","SCALING_FORMAT=MLN","Sort=A","Dates=H","DateFormat=P","Fill=—","Direction=H","UseDPDF=Y")</f>
        <v>1262.5</v>
      </c>
      <c r="R64" s="13" cm="1">
        <f t="array" ref="R64">_xll.BDH("PCAR US Equity","OTHER_NONCURRENT_LIABS_DETAILED","FQ2 2022","FQ2 2022","Currency=USD","Period=FQ","BEST_FPERIOD_OVERRIDE=FQ","FILING_STATUS=MR","SCALING_FORMAT=MLN","Sort=A","Dates=H","DateFormat=P","Fill=—","Direction=H","UseDPDF=Y")</f>
        <v>1372.4</v>
      </c>
      <c r="S64" s="13" cm="1">
        <f t="array" ref="S64">_xll.BDH("PCAR US Equity","OTHER_NONCURRENT_LIABS_DETAILED","FQ3 2022","FQ3 2022","Currency=USD","Period=FQ","BEST_FPERIOD_OVERRIDE=FQ","FILING_STATUS=MR","SCALING_FORMAT=MLN","Sort=A","Dates=H","DateFormat=P","Fill=—","Direction=H","UseDPDF=Y")</f>
        <v>1285.0999999999999</v>
      </c>
      <c r="T64" s="13" cm="1">
        <f t="array" ref="T64">_xll.BDH("PCAR US Equity","OTHER_NONCURRENT_LIABS_DETAILED","FQ4 2022","FQ4 2022","Currency=USD","Period=FQ","BEST_FPERIOD_OVERRIDE=FQ","FILING_STATUS=MR","SCALING_FORMAT=MLN","Sort=A","Dates=H","DateFormat=P","Fill=—","Direction=H","UseDPDF=Y")</f>
        <v>1265.3</v>
      </c>
      <c r="U64" s="13" cm="1">
        <f t="array" ref="U64">_xll.BDH("PCAR US Equity","OTHER_NONCURRENT_LIABS_DETAILED","FQ1 2023","FQ1 2023","Currency=USD","Period=FQ","BEST_FPERIOD_OVERRIDE=FQ","FILING_STATUS=MR","SCALING_FORMAT=MLN","Sort=A","Dates=H","DateFormat=P","Fill=—","Direction=H","UseDPDF=Y")</f>
        <v>1750.8</v>
      </c>
      <c r="V64" s="13" cm="1">
        <f t="array" ref="V64">_xll.BDH("PCAR US Equity","OTHER_NONCURRENT_LIABS_DETAILED","FQ2 2023","FQ2 2023","Currency=USD","Period=FQ","BEST_FPERIOD_OVERRIDE=FQ","FILING_STATUS=MR","SCALING_FORMAT=MLN","Sort=A","Dates=H","DateFormat=P","Fill=—","Direction=H","UseDPDF=Y")</f>
        <v>1600.6</v>
      </c>
      <c r="W64" s="13" cm="1">
        <f t="array" ref="W64">_xll.BDH("PCAR US Equity","OTHER_NONCURRENT_LIABS_DETAILED","FQ3 2023","FQ3 2023","Currency=USD","Period=FQ","BEST_FPERIOD_OVERRIDE=FQ","FILING_STATUS=MR","SCALING_FORMAT=MLN","Sort=A","Dates=H","DateFormat=P","Fill=—","Direction=H","UseDPDF=Y")</f>
        <v>1889.3</v>
      </c>
      <c r="X64" s="13" cm="1">
        <f t="array" ref="X64">_xll.BDH("PCAR US Equity","OTHER_NONCURRENT_LIABS_DETAILED","FQ4 2023","FQ4 2023","Currency=USD","Period=FQ","BEST_FPERIOD_OVERRIDE=FQ","FILING_STATUS=MR","SCALING_FORMAT=MLN","Sort=A","Dates=H","DateFormat=P","Fill=—","Direction=H","UseDPDF=Y")</f>
        <v>1809.8</v>
      </c>
      <c r="Y64" s="13" cm="1">
        <f t="array" ref="Y64">_xll.BDH("PCAR US Equity","OTHER_NONCURRENT_LIABS_DETAILED","FQ1 2024","FQ1 2024","Currency=USD","Period=FQ","BEST_FPERIOD_OVERRIDE=FQ","FILING_STATUS=MR","SCALING_FORMAT=MLN","Sort=A","Dates=H","DateFormat=P","Fill=—","Direction=H","UseDPDF=Y")</f>
        <v>1901</v>
      </c>
      <c r="Z64" s="13" cm="1">
        <f t="array" ref="Z64">_xll.BDH("PCAR US Equity","OTHER_NONCURRENT_LIABS_DETAILED","FQ2 2024","FQ2 2024","Currency=USD","Period=FQ","BEST_FPERIOD_OVERRIDE=FQ","FILING_STATUS=MR","SCALING_FORMAT=MLN","Sort=A","Dates=H","DateFormat=P","Fill=—","Direction=H","UseDPDF=Y")</f>
        <v>1898.9</v>
      </c>
      <c r="AA64" s="13" cm="1">
        <f t="array" ref="AA64">_xll.BDH("PCAR US Equity","OTHER_NONCURRENT_LIABS_DETAILED","FQ3 2024","FQ3 2024","Currency=USD","Period=FQ","BEST_FPERIOD_OVERRIDE=FQ","FILING_STATUS=MR","SCALING_FORMAT=MLN","Sort=A","Dates=H","DateFormat=P","Fill=—","Direction=H","UseDPDF=Y")</f>
        <v>1861.8</v>
      </c>
      <c r="AB64" s="13" cm="1">
        <f t="array" ref="AB64">_xll.BDH("PCAR US Equity","OTHER_NONCURRENT_LIABS_DETAILED","FQ4 2024","FQ4 2024","Currency=USD","Period=FQ","BEST_FPERIOD_OVERRIDE=FQ","FILING_STATUS=MR","SCALING_FORMAT=MLN","Sort=A","Dates=H","DateFormat=P","Fill=—","Direction=H","UseDPDF=Y")</f>
        <v>1664.3</v>
      </c>
      <c r="AC64" s="13" cm="1">
        <f t="array" ref="AC64">_xll.BDH("PCAR US Equity","OTHER_NONCURRENT_LIABS_DETAILED","FQ1 2025","FQ1 2025","Currency=USD","Period=FQ","BEST_FPERIOD_OVERRIDE=FQ","FILING_STATUS=MR","SCALING_FORMAT=MLN","Sort=A","Dates=H","DateFormat=P","Fill=—","Direction=H","UseDPDF=Y")</f>
        <v>2182.1</v>
      </c>
      <c r="AD64" s="13" cm="1">
        <f t="array" ref="AD64">_xll.BDH("PCAR US Equity","OTHER_NONCURRENT_LIABS_DETAILED","FQ2 2025","FQ2 2025","Currency=USD","Period=FQ","BEST_FPERIOD_OVERRIDE=FQ","FILING_STATUS=MR","SCALING_FORMAT=MLN","Sort=A","Dates=H","DateFormat=P","Fill=—","Direction=H","UseDPDF=Y")</f>
        <v>2178.5</v>
      </c>
      <c r="AE64" s="13" cm="1">
        <f t="array" ref="AE64">_xll.BDH("PCAR US Equity","OTHER_NONCURRENT_LIABS_DETAILED","FQ3 2025","FQ3 2025","Currency=USD","Period=FQ","BEST_FPERIOD_OVERRIDE=FQ","FILING_STATUS=MR","SCALING_FORMAT=MLN","Sort=A","Dates=H","DateFormat=P","Fill=—","Direction=H","UseDPDF=Y")</f>
        <v>2031</v>
      </c>
      <c r="AF64" s="13" cm="1">
        <f t="array" ref="AF64">_xll.BDH("PCAR US Equity","OTHER_NONCURRENT_LIABS_DETAILED","FQ4 2025","FQ4 2025","Currency=USD","Period=FQ","BEST_FPERIOD_OVERRIDE=FQ","FILING_STATUS=MR","SCALING_FORMAT=MLN","Sort=A","Dates=H","DateFormat=P","Fill=—","Direction=H","UseDPDF=Y")</f>
        <v>0</v>
      </c>
    </row>
    <row r="65" spans="1:32" x14ac:dyDescent="0.25">
      <c r="A65" s="6" t="s">
        <v>174</v>
      </c>
      <c r="B65" s="6" t="s">
        <v>175</v>
      </c>
      <c r="C65" s="16" cm="1">
        <f t="array" ref="C65">_xll.BDH("PCAR US Equity","NON_CUR_LIAB","FQ3 2018","FQ3 2018","Currency=USD","Period=FQ","BEST_FPERIOD_OVERRIDE=FQ","FILING_STATUS=MR","SCALING_FORMAT=MLN","Sort=A","Dates=H","DateFormat=P","Fill=—","Direction=H","UseDPDF=Y")</f>
        <v>9166</v>
      </c>
      <c r="D65" s="16" cm="1">
        <f t="array" ref="D65">_xll.BDH("PCAR US Equity","NON_CUR_LIAB","FQ4 2018","FQ4 2018","Currency=USD","Period=FQ","BEST_FPERIOD_OVERRIDE=FQ","FILING_STATUS=MR","SCALING_FORMAT=MLN","Sort=A","Dates=H","DateFormat=P","Fill=—","Direction=H","UseDPDF=Y")</f>
        <v>9102.7000000000007</v>
      </c>
      <c r="E65" s="16" cm="1">
        <f t="array" ref="E65">_xll.BDH("PCAR US Equity","NON_CUR_LIAB","FQ1 2019","FQ1 2019","Currency=USD","Period=FQ","BEST_FPERIOD_OVERRIDE=FQ","FILING_STATUS=MR","SCALING_FORMAT=MLN","Sort=A","Dates=H","DateFormat=P","Fill=—","Direction=H","UseDPDF=Y")</f>
        <v>9549</v>
      </c>
      <c r="F65" s="16" cm="1">
        <f t="array" ref="F65">_xll.BDH("PCAR US Equity","NON_CUR_LIAB","FQ2 2019","FQ2 2019","Currency=USD","Period=FQ","BEST_FPERIOD_OVERRIDE=FQ","FILING_STATUS=MR","SCALING_FORMAT=MLN","Sort=A","Dates=H","DateFormat=P","Fill=—","Direction=H","UseDPDF=Y")</f>
        <v>9559</v>
      </c>
      <c r="G65" s="16" cm="1">
        <f t="array" ref="G65">_xll.BDH("PCAR US Equity","NON_CUR_LIAB","FQ3 2019","FQ3 2019","Currency=USD","Period=FQ","BEST_FPERIOD_OVERRIDE=FQ","FILING_STATUS=MR","SCALING_FORMAT=MLN","Sort=A","Dates=H","DateFormat=P","Fill=—","Direction=H","UseDPDF=Y")</f>
        <v>7469.7</v>
      </c>
      <c r="H65" s="16" cm="1">
        <f t="array" ref="H65">_xll.BDH("PCAR US Equity","NON_CUR_LIAB","FQ4 2019","FQ4 2019","Currency=USD","Period=FQ","BEST_FPERIOD_OVERRIDE=FQ","FILING_STATUS=MR","SCALING_FORMAT=MLN","Sort=A","Dates=H","DateFormat=P","Fill=—","Direction=H","UseDPDF=Y")</f>
        <v>9925.1</v>
      </c>
      <c r="I65" s="16" cm="1">
        <f t="array" ref="I65">_xll.BDH("PCAR US Equity","NON_CUR_LIAB","FQ1 2020","FQ1 2020","Currency=USD","Period=FQ","BEST_FPERIOD_OVERRIDE=FQ","FILING_STATUS=MR","SCALING_FORMAT=MLN","Sort=A","Dates=H","DateFormat=P","Fill=—","Direction=H","UseDPDF=Y")</f>
        <v>9941.7999999999993</v>
      </c>
      <c r="J65" s="16" cm="1">
        <f t="array" ref="J65">_xll.BDH("PCAR US Equity","NON_CUR_LIAB","FQ2 2020","FQ2 2020","Currency=USD","Period=FQ","BEST_FPERIOD_OVERRIDE=FQ","FILING_STATUS=MR","SCALING_FORMAT=MLN","Sort=A","Dates=H","DateFormat=P","Fill=—","Direction=H","UseDPDF=Y")</f>
        <v>10024.799999999999</v>
      </c>
      <c r="K65" s="16" cm="1">
        <f t="array" ref="K65">_xll.BDH("PCAR US Equity","NON_CUR_LIAB","FQ3 2020","FQ3 2020","Currency=USD","Period=FQ","BEST_FPERIOD_OVERRIDE=FQ","FILING_STATUS=MR","SCALING_FORMAT=MLN","Sort=A","Dates=H","DateFormat=P","Fill=—","Direction=H","UseDPDF=Y")</f>
        <v>10439.799999999999</v>
      </c>
      <c r="L65" s="16" cm="1">
        <f t="array" ref="L65">_xll.BDH("PCAR US Equity","NON_CUR_LIAB","FQ4 2020","FQ4 2020","Currency=USD","Period=FQ","BEST_FPERIOD_OVERRIDE=FQ","FILING_STATUS=MR","SCALING_FORMAT=MLN","Sort=A","Dates=H","DateFormat=P","Fill=—","Direction=H","UseDPDF=Y")</f>
        <v>10308.1</v>
      </c>
      <c r="M65" s="16" cm="1">
        <f t="array" ref="M65">_xll.BDH("PCAR US Equity","NON_CUR_LIAB","FQ1 2021","FQ1 2021","Currency=USD","Period=FQ","BEST_FPERIOD_OVERRIDE=FQ","FILING_STATUS=MR","SCALING_FORMAT=MLN","Sort=A","Dates=H","DateFormat=P","Fill=—","Direction=H","UseDPDF=Y")</f>
        <v>10159</v>
      </c>
      <c r="N65" s="16" cm="1">
        <f t="array" ref="N65">_xll.BDH("PCAR US Equity","NON_CUR_LIAB","FQ2 2021","FQ2 2021","Currency=USD","Period=FQ","BEST_FPERIOD_OVERRIDE=FQ","FILING_STATUS=MR","SCALING_FORMAT=MLN","Sort=A","Dates=H","DateFormat=P","Fill=—","Direction=H","UseDPDF=Y")</f>
        <v>9734.7999999999993</v>
      </c>
      <c r="O65" s="16" cm="1">
        <f t="array" ref="O65">_xll.BDH("PCAR US Equity","NON_CUR_LIAB","FQ3 2021","FQ3 2021","Currency=USD","Period=FQ","BEST_FPERIOD_OVERRIDE=FQ","FILING_STATUS=MR","SCALING_FORMAT=MLN","Sort=A","Dates=H","DateFormat=P","Fill=—","Direction=H","UseDPDF=Y")</f>
        <v>9146</v>
      </c>
      <c r="P65" s="16" cm="1">
        <f t="array" ref="P65">_xll.BDH("PCAR US Equity","NON_CUR_LIAB","FQ4 2021","FQ4 2021","Currency=USD","Period=FQ","BEST_FPERIOD_OVERRIDE=FQ","FILING_STATUS=MR","SCALING_FORMAT=MLN","Sort=A","Dates=H","DateFormat=P","Fill=—","Direction=H","UseDPDF=Y")</f>
        <v>9535.9</v>
      </c>
      <c r="Q65" s="16" cm="1">
        <f t="array" ref="Q65">_xll.BDH("PCAR US Equity","NON_CUR_LIAB","FQ1 2022","FQ1 2022","Currency=USD","Period=FQ","BEST_FPERIOD_OVERRIDE=FQ","FILING_STATUS=MR","SCALING_FORMAT=MLN","Sort=A","Dates=H","DateFormat=P","Fill=—","Direction=H","UseDPDF=Y")</f>
        <v>9433.9</v>
      </c>
      <c r="R65" s="16" cm="1">
        <f t="array" ref="R65">_xll.BDH("PCAR US Equity","NON_CUR_LIAB","FQ2 2022","FQ2 2022","Currency=USD","Period=FQ","BEST_FPERIOD_OVERRIDE=FQ","FILING_STATUS=MR","SCALING_FORMAT=MLN","Sort=A","Dates=H","DateFormat=P","Fill=—","Direction=H","UseDPDF=Y")</f>
        <v>9566.2000000000007</v>
      </c>
      <c r="S65" s="16" cm="1">
        <f t="array" ref="S65">_xll.BDH("PCAR US Equity","NON_CUR_LIAB","FQ3 2022","FQ3 2022","Currency=USD","Period=FQ","BEST_FPERIOD_OVERRIDE=FQ","FILING_STATUS=MR","SCALING_FORMAT=MLN","Sort=A","Dates=H","DateFormat=P","Fill=—","Direction=H","UseDPDF=Y")</f>
        <v>9260</v>
      </c>
      <c r="T65" s="16" cm="1">
        <f t="array" ref="T65">_xll.BDH("PCAR US Equity","NON_CUR_LIAB","FQ4 2022","FQ4 2022","Currency=USD","Period=FQ","BEST_FPERIOD_OVERRIDE=FQ","FILING_STATUS=MR","SCALING_FORMAT=MLN","Sort=A","Dates=H","DateFormat=P","Fill=—","Direction=H","UseDPDF=Y")</f>
        <v>10190.4</v>
      </c>
      <c r="U65" s="16" cm="1">
        <f t="array" ref="U65">_xll.BDH("PCAR US Equity","NON_CUR_LIAB","FQ1 2023","FQ1 2023","Currency=USD","Period=FQ","BEST_FPERIOD_OVERRIDE=FQ","FILING_STATUS=MR","SCALING_FORMAT=MLN","Sort=A","Dates=H","DateFormat=P","Fill=—","Direction=H","UseDPDF=Y")</f>
        <v>10778.2</v>
      </c>
      <c r="V65" s="16" cm="1">
        <f t="array" ref="V65">_xll.BDH("PCAR US Equity","NON_CUR_LIAB","FQ2 2023","FQ2 2023","Currency=USD","Period=FQ","BEST_FPERIOD_OVERRIDE=FQ","FILING_STATUS=MR","SCALING_FORMAT=MLN","Sort=A","Dates=H","DateFormat=P","Fill=—","Direction=H","UseDPDF=Y")</f>
        <v>10789.9</v>
      </c>
      <c r="W65" s="16" cm="1">
        <f t="array" ref="W65">_xll.BDH("PCAR US Equity","NON_CUR_LIAB","FQ3 2023","FQ3 2023","Currency=USD","Period=FQ","BEST_FPERIOD_OVERRIDE=FQ","FILING_STATUS=MR","SCALING_FORMAT=MLN","Sort=A","Dates=H","DateFormat=P","Fill=—","Direction=H","UseDPDF=Y")</f>
        <v>10685.2</v>
      </c>
      <c r="X65" s="16" cm="1">
        <f t="array" ref="X65">_xll.BDH("PCAR US Equity","NON_CUR_LIAB","FQ4 2023","FQ4 2023","Currency=USD","Period=FQ","BEST_FPERIOD_OVERRIDE=FQ","FILING_STATUS=MR","SCALING_FORMAT=MLN","Sort=A","Dates=H","DateFormat=P","Fill=—","Direction=H","UseDPDF=Y")</f>
        <v>11591.1</v>
      </c>
      <c r="Y65" s="16" cm="1">
        <f t="array" ref="Y65">_xll.BDH("PCAR US Equity","NON_CUR_LIAB","FQ1 2024","FQ1 2024","Currency=USD","Period=FQ","BEST_FPERIOD_OVERRIDE=FQ","FILING_STATUS=MR","SCALING_FORMAT=MLN","Sort=A","Dates=H","DateFormat=P","Fill=—","Direction=H","UseDPDF=Y")</f>
        <v>11882</v>
      </c>
      <c r="Z65" s="16" cm="1">
        <f t="array" ref="Z65">_xll.BDH("PCAR US Equity","NON_CUR_LIAB","FQ2 2024","FQ2 2024","Currency=USD","Period=FQ","BEST_FPERIOD_OVERRIDE=FQ","FILING_STATUS=MR","SCALING_FORMAT=MLN","Sort=A","Dates=H","DateFormat=P","Fill=—","Direction=H","UseDPDF=Y")</f>
        <v>11841.8</v>
      </c>
      <c r="AA65" s="16" cm="1">
        <f t="array" ref="AA65">_xll.BDH("PCAR US Equity","NON_CUR_LIAB","FQ3 2024","FQ3 2024","Currency=USD","Period=FQ","BEST_FPERIOD_OVERRIDE=FQ","FILING_STATUS=MR","SCALING_FORMAT=MLN","Sort=A","Dates=H","DateFormat=P","Fill=—","Direction=H","UseDPDF=Y")</f>
        <v>12724.2</v>
      </c>
      <c r="AB65" s="16" cm="1">
        <f t="array" ref="AB65">_xll.BDH("PCAR US Equity","NON_CUR_LIAB","FQ4 2024","FQ4 2024","Currency=USD","Period=FQ","BEST_FPERIOD_OVERRIDE=FQ","FILING_STATUS=MR","SCALING_FORMAT=MLN","Sort=A","Dates=H","DateFormat=P","Fill=—","Direction=H","UseDPDF=Y")</f>
        <v>12422.9</v>
      </c>
      <c r="AC65" s="16" cm="1">
        <f t="array" ref="AC65">_xll.BDH("PCAR US Equity","NON_CUR_LIAB","FQ1 2025","FQ1 2025","Currency=USD","Period=FQ","BEST_FPERIOD_OVERRIDE=FQ","FILING_STATUS=MR","SCALING_FORMAT=MLN","Sort=A","Dates=H","DateFormat=P","Fill=—","Direction=H","UseDPDF=Y")</f>
        <v>12786</v>
      </c>
      <c r="AD65" s="16" cm="1">
        <f t="array" ref="AD65">_xll.BDH("PCAR US Equity","NON_CUR_LIAB","FQ2 2025","FQ2 2025","Currency=USD","Period=FQ","BEST_FPERIOD_OVERRIDE=FQ","FILING_STATUS=MR","SCALING_FORMAT=MLN","Sort=A","Dates=H","DateFormat=P","Fill=—","Direction=H","UseDPDF=Y")</f>
        <v>13802.9</v>
      </c>
      <c r="AE65" s="16" cm="1">
        <f t="array" ref="AE65">_xll.BDH("PCAR US Equity","NON_CUR_LIAB","FQ3 2025","FQ3 2025","Currency=USD","Period=FQ","BEST_FPERIOD_OVERRIDE=FQ","FILING_STATUS=MR","SCALING_FORMAT=MLN","Sort=A","Dates=H","DateFormat=P","Fill=—","Direction=H","UseDPDF=Y")</f>
        <v>13681</v>
      </c>
      <c r="AF65" s="16" cm="1">
        <f t="array" ref="AF65">_xll.BDH("PCAR US Equity","NON_CUR_LIAB","FQ4 2025","FQ4 2025","Currency=USD","Period=FQ","BEST_FPERIOD_OVERRIDE=FQ","FILING_STATUS=MR","SCALING_FORMAT=MLN","Sort=A","Dates=H","DateFormat=P","Fill=—","Direction=H","UseDPDF=Y")</f>
        <v>17181.3</v>
      </c>
    </row>
    <row r="66" spans="1:32" x14ac:dyDescent="0.25">
      <c r="A66" s="6" t="s">
        <v>176</v>
      </c>
      <c r="B66" s="6" t="s">
        <v>177</v>
      </c>
      <c r="C66" s="16" cm="1">
        <f t="array" ref="C66">_xll.BDH("PCAR US Equity","BS_TOT_LIAB2","FQ3 2018","FQ3 2018","Currency=USD","Period=FQ","BEST_FPERIOD_OVERRIDE=FQ","FILING_STATUS=MR","SCALING_FORMAT=MLN","Sort=A","Dates=H","DateFormat=P","Fill=—","Direction=H","UseDPDF=Y")</f>
        <v>15932.4</v>
      </c>
      <c r="D66" s="16" cm="1">
        <f t="array" ref="D66">_xll.BDH("PCAR US Equity","BS_TOT_LIAB2","FQ4 2018","FQ4 2018","Currency=USD","Period=FQ","BEST_FPERIOD_OVERRIDE=FQ","FILING_STATUS=MR","SCALING_FORMAT=MLN","Sort=A","Dates=H","DateFormat=P","Fill=—","Direction=H","UseDPDF=Y")</f>
        <v>16889.5</v>
      </c>
      <c r="E66" s="16" cm="1">
        <f t="array" ref="E66">_xll.BDH("PCAR US Equity","BS_TOT_LIAB2","FQ1 2019","FQ1 2019","Currency=USD","Period=FQ","BEST_FPERIOD_OVERRIDE=FQ","FILING_STATUS=MR","SCALING_FORMAT=MLN","Sort=A","Dates=H","DateFormat=P","Fill=—","Direction=H","UseDPDF=Y")</f>
        <v>17051.5</v>
      </c>
      <c r="F66" s="16" cm="1">
        <f t="array" ref="F66">_xll.BDH("PCAR US Equity","BS_TOT_LIAB2","FQ2 2019","FQ2 2019","Currency=USD","Period=FQ","BEST_FPERIOD_OVERRIDE=FQ","FILING_STATUS=MR","SCALING_FORMAT=MLN","Sort=A","Dates=H","DateFormat=P","Fill=—","Direction=H","UseDPDF=Y")</f>
        <v>17532.8</v>
      </c>
      <c r="G66" s="16" cm="1">
        <f t="array" ref="G66">_xll.BDH("PCAR US Equity","BS_TOT_LIAB2","FQ3 2019","FQ3 2019","Currency=USD","Period=FQ","BEST_FPERIOD_OVERRIDE=FQ","FILING_STATUS=MR","SCALING_FORMAT=MLN","Sort=A","Dates=H","DateFormat=P","Fill=—","Direction=H","UseDPDF=Y")</f>
        <v>17805</v>
      </c>
      <c r="H66" s="16" cm="1">
        <f t="array" ref="H66">_xll.BDH("PCAR US Equity","BS_TOT_LIAB2","FQ4 2019","FQ4 2019","Currency=USD","Period=FQ","BEST_FPERIOD_OVERRIDE=FQ","FILING_STATUS=MR","SCALING_FORMAT=MLN","Sort=A","Dates=H","DateFormat=P","Fill=—","Direction=H","UseDPDF=Y")</f>
        <v>18655</v>
      </c>
      <c r="I66" s="16" cm="1">
        <f t="array" ref="I66">_xll.BDH("PCAR US Equity","BS_TOT_LIAB2","FQ1 2020","FQ1 2020","Currency=USD","Period=FQ","BEST_FPERIOD_OVERRIDE=FQ","FILING_STATUS=MR","SCALING_FORMAT=MLN","Sort=A","Dates=H","DateFormat=P","Fill=—","Direction=H","UseDPDF=Y")</f>
        <v>17657.3</v>
      </c>
      <c r="J66" s="16" cm="1">
        <f t="array" ref="J66">_xll.BDH("PCAR US Equity","BS_TOT_LIAB2","FQ2 2020","FQ2 2020","Currency=USD","Period=FQ","BEST_FPERIOD_OVERRIDE=FQ","FILING_STATUS=MR","SCALING_FORMAT=MLN","Sort=A","Dates=H","DateFormat=P","Fill=—","Direction=H","UseDPDF=Y")</f>
        <v>16629.599999999999</v>
      </c>
      <c r="K66" s="16" cm="1">
        <f t="array" ref="K66">_xll.BDH("PCAR US Equity","BS_TOT_LIAB2","FQ3 2020","FQ3 2020","Currency=USD","Period=FQ","BEST_FPERIOD_OVERRIDE=FQ","FILING_STATUS=MR","SCALING_FORMAT=MLN","Sort=A","Dates=H","DateFormat=P","Fill=—","Direction=H","UseDPDF=Y")</f>
        <v>17049.3</v>
      </c>
      <c r="L66" s="16" cm="1">
        <f t="array" ref="L66">_xll.BDH("PCAR US Equity","BS_TOT_LIAB2","FQ4 2020","FQ4 2020","Currency=USD","Period=FQ","BEST_FPERIOD_OVERRIDE=FQ","FILING_STATUS=MR","SCALING_FORMAT=MLN","Sort=A","Dates=H","DateFormat=P","Fill=—","Direction=H","UseDPDF=Y")</f>
        <v>17870</v>
      </c>
      <c r="M66" s="16" cm="1">
        <f t="array" ref="M66">_xll.BDH("PCAR US Equity","BS_TOT_LIAB2","FQ1 2021","FQ1 2021","Currency=USD","Period=FQ","BEST_FPERIOD_OVERRIDE=FQ","FILING_STATUS=MR","SCALING_FORMAT=MLN","Sort=A","Dates=H","DateFormat=P","Fill=—","Direction=H","UseDPDF=Y")</f>
        <v>17785.7</v>
      </c>
      <c r="N66" s="16" cm="1">
        <f t="array" ref="N66">_xll.BDH("PCAR US Equity","BS_TOT_LIAB2","FQ2 2021","FQ2 2021","Currency=USD","Period=FQ","BEST_FPERIOD_OVERRIDE=FQ","FILING_STATUS=MR","SCALING_FORMAT=MLN","Sort=A","Dates=H","DateFormat=P","Fill=—","Direction=H","UseDPDF=Y")</f>
        <v>17828.400000000001</v>
      </c>
      <c r="O66" s="16" cm="1">
        <f t="array" ref="O66">_xll.BDH("PCAR US Equity","BS_TOT_LIAB2","FQ3 2021","FQ3 2021","Currency=USD","Period=FQ","BEST_FPERIOD_OVERRIDE=FQ","FILING_STATUS=MR","SCALING_FORMAT=MLN","Sort=A","Dates=H","DateFormat=P","Fill=—","Direction=H","UseDPDF=Y")</f>
        <v>16579.5</v>
      </c>
      <c r="P66" s="16" cm="1">
        <f t="array" ref="P66">_xll.BDH("PCAR US Equity","BS_TOT_LIAB2","FQ4 2021","FQ4 2021","Currency=USD","Period=FQ","BEST_FPERIOD_OVERRIDE=FQ","FILING_STATUS=MR","SCALING_FORMAT=MLN","Sort=A","Dates=H","DateFormat=P","Fill=—","Direction=H","UseDPDF=Y")</f>
        <v>17915.400000000001</v>
      </c>
      <c r="Q66" s="16" cm="1">
        <f t="array" ref="Q66">_xll.BDH("PCAR US Equity","BS_TOT_LIAB2","FQ1 2022","FQ1 2022","Currency=USD","Period=FQ","BEST_FPERIOD_OVERRIDE=FQ","FILING_STATUS=MR","SCALING_FORMAT=MLN","Sort=A","Dates=H","DateFormat=P","Fill=—","Direction=H","UseDPDF=Y")</f>
        <v>18442.8</v>
      </c>
      <c r="R66" s="16" cm="1">
        <f t="array" ref="R66">_xll.BDH("PCAR US Equity","BS_TOT_LIAB2","FQ2 2022","FQ2 2022","Currency=USD","Period=FQ","BEST_FPERIOD_OVERRIDE=FQ","FILING_STATUS=MR","SCALING_FORMAT=MLN","Sort=A","Dates=H","DateFormat=P","Fill=—","Direction=H","UseDPDF=Y")</f>
        <v>18070.7</v>
      </c>
      <c r="S66" s="16" cm="1">
        <f t="array" ref="S66">_xll.BDH("PCAR US Equity","BS_TOT_LIAB2","FQ3 2022","FQ3 2022","Currency=USD","Period=FQ","BEST_FPERIOD_OVERRIDE=FQ","FILING_STATUS=MR","SCALING_FORMAT=MLN","Sort=A","Dates=H","DateFormat=P","Fill=—","Direction=H","UseDPDF=Y")</f>
        <v>17730.099999999999</v>
      </c>
      <c r="T66" s="16" cm="1">
        <f t="array" ref="T66">_xll.BDH("PCAR US Equity","BS_TOT_LIAB2","FQ4 2022","FQ4 2022","Currency=USD","Period=FQ","BEST_FPERIOD_OVERRIDE=FQ","FILING_STATUS=MR","SCALING_FORMAT=MLN","Sort=A","Dates=H","DateFormat=P","Fill=—","Direction=H","UseDPDF=Y")</f>
        <v>20108.400000000001</v>
      </c>
      <c r="U66" s="16" cm="1">
        <f t="array" ref="U66">_xll.BDH("PCAR US Equity","BS_TOT_LIAB2","FQ1 2023","FQ1 2023","Currency=USD","Period=FQ","BEST_FPERIOD_OVERRIDE=FQ","FILING_STATUS=MR","SCALING_FORMAT=MLN","Sort=A","Dates=H","DateFormat=P","Fill=—","Direction=H","UseDPDF=Y")</f>
        <v>20944.400000000001</v>
      </c>
      <c r="V66" s="16" cm="1">
        <f t="array" ref="V66">_xll.BDH("PCAR US Equity","BS_TOT_LIAB2","FQ2 2023","FQ2 2023","Currency=USD","Period=FQ","BEST_FPERIOD_OVERRIDE=FQ","FILING_STATUS=MR","SCALING_FORMAT=MLN","Sort=A","Dates=H","DateFormat=P","Fill=—","Direction=H","UseDPDF=Y")</f>
        <v>21788.400000000001</v>
      </c>
      <c r="W66" s="16" cm="1">
        <f t="array" ref="W66">_xll.BDH("PCAR US Equity","BS_TOT_LIAB2","FQ3 2023","FQ3 2023","Currency=USD","Period=FQ","BEST_FPERIOD_OVERRIDE=FQ","FILING_STATUS=MR","SCALING_FORMAT=MLN","Sort=A","Dates=H","DateFormat=P","Fill=—","Direction=H","UseDPDF=Y")</f>
        <v>22016.400000000001</v>
      </c>
      <c r="X66" s="16" cm="1">
        <f t="array" ref="X66">_xll.BDH("PCAR US Equity","BS_TOT_LIAB2","FQ4 2023","FQ4 2023","Currency=USD","Period=FQ","BEST_FPERIOD_OVERRIDE=FQ","FILING_STATUS=MR","SCALING_FORMAT=MLN","Sort=A","Dates=H","DateFormat=P","Fill=—","Direction=H","UseDPDF=Y")</f>
        <v>24944.6</v>
      </c>
      <c r="Y66" s="16" cm="1">
        <f t="array" ref="Y66">_xll.BDH("PCAR US Equity","BS_TOT_LIAB2","FQ1 2024","FQ1 2024","Currency=USD","Period=FQ","BEST_FPERIOD_OVERRIDE=FQ","FILING_STATUS=MR","SCALING_FORMAT=MLN","Sort=A","Dates=H","DateFormat=P","Fill=—","Direction=H","UseDPDF=Y")</f>
        <v>23501.7</v>
      </c>
      <c r="Z66" s="16" cm="1">
        <f t="array" ref="Z66">_xll.BDH("PCAR US Equity","BS_TOT_LIAB2","FQ2 2024","FQ2 2024","Currency=USD","Period=FQ","BEST_FPERIOD_OVERRIDE=FQ","FILING_STATUS=MR","SCALING_FORMAT=MLN","Sort=A","Dates=H","DateFormat=P","Fill=—","Direction=H","UseDPDF=Y")</f>
        <v>23473.7</v>
      </c>
      <c r="AA66" s="16" cm="1">
        <f t="array" ref="AA66">_xll.BDH("PCAR US Equity","BS_TOT_LIAB2","FQ3 2024","FQ3 2024","Currency=USD","Period=FQ","BEST_FPERIOD_OVERRIDE=FQ","FILING_STATUS=MR","SCALING_FORMAT=MLN","Sort=A","Dates=H","DateFormat=P","Fill=—","Direction=H","UseDPDF=Y")</f>
        <v>24618.2</v>
      </c>
      <c r="AB66" s="16" cm="1">
        <f t="array" ref="AB66">_xll.BDH("PCAR US Equity","BS_TOT_LIAB2","FQ4 2024","FQ4 2024","Currency=USD","Period=FQ","BEST_FPERIOD_OVERRIDE=FQ","FILING_STATUS=MR","SCALING_FORMAT=MLN","Sort=A","Dates=H","DateFormat=P","Fill=—","Direction=H","UseDPDF=Y")</f>
        <v>25912</v>
      </c>
      <c r="AC66" s="16" cm="1">
        <f t="array" ref="AC66">_xll.BDH("PCAR US Equity","BS_TOT_LIAB2","FQ1 2025","FQ1 2025","Currency=USD","Period=FQ","BEST_FPERIOD_OVERRIDE=FQ","FILING_STATUS=MR","SCALING_FORMAT=MLN","Sort=A","Dates=H","DateFormat=P","Fill=—","Direction=H","UseDPDF=Y")</f>
        <v>24702.6</v>
      </c>
      <c r="AD66" s="16" cm="1">
        <f t="array" ref="AD66">_xll.BDH("PCAR US Equity","BS_TOT_LIAB2","FQ2 2025","FQ2 2025","Currency=USD","Period=FQ","BEST_FPERIOD_OVERRIDE=FQ","FILING_STATUS=MR","SCALING_FORMAT=MLN","Sort=A","Dates=H","DateFormat=P","Fill=—","Direction=H","UseDPDF=Y")</f>
        <v>25152.2</v>
      </c>
      <c r="AE66" s="16" cm="1">
        <f t="array" ref="AE66">_xll.BDH("PCAR US Equity","BS_TOT_LIAB2","FQ3 2025","FQ3 2025","Currency=USD","Period=FQ","BEST_FPERIOD_OVERRIDE=FQ","FILING_STATUS=MR","SCALING_FORMAT=MLN","Sort=A","Dates=H","DateFormat=P","Fill=—","Direction=H","UseDPDF=Y")</f>
        <v>24832.6</v>
      </c>
      <c r="AF66" s="16" cm="1">
        <f t="array" ref="AF66">_xll.BDH("PCAR US Equity","BS_TOT_LIAB2","FQ4 2025","FQ4 2025","Currency=USD","Period=FQ","BEST_FPERIOD_OVERRIDE=FQ","FILING_STATUS=MR","SCALING_FORMAT=MLN","Sort=A","Dates=H","DateFormat=P","Fill=—","Direction=H","UseDPDF=Y")</f>
        <v>25072.2</v>
      </c>
    </row>
    <row r="67" spans="1:32" x14ac:dyDescent="0.25">
      <c r="A67" s="10" t="s">
        <v>178</v>
      </c>
      <c r="B67" s="10" t="s">
        <v>179</v>
      </c>
      <c r="C67" s="13" cm="1">
        <f t="array" ref="C67">_xll.BDH("PCAR US Equity","PFD_EQTY_HYBRID_CAPITAL","FQ3 2018","FQ3 2018","Currency=USD","Period=FQ","BEST_FPERIOD_OVERRIDE=FQ","FILING_STATUS=MR","SCALING_FORMAT=MLN","Sort=A","Dates=H","DateFormat=P","Fill=—","Direction=H","UseDPDF=Y")</f>
        <v>0</v>
      </c>
      <c r="D67" s="13" cm="1">
        <f t="array" ref="D67">_xll.BDH("PCAR US Equity","PFD_EQTY_HYBRID_CAPITAL","FQ4 2018","FQ4 2018","Currency=USD","Period=FQ","BEST_FPERIOD_OVERRIDE=FQ","FILING_STATUS=MR","SCALING_FORMAT=MLN","Sort=A","Dates=H","DateFormat=P","Fill=—","Direction=H","UseDPDF=Y")</f>
        <v>0</v>
      </c>
      <c r="E67" s="13" cm="1">
        <f t="array" ref="E67">_xll.BDH("PCAR US Equity","PFD_EQTY_HYBRID_CAPITAL","FQ1 2019","FQ1 2019","Currency=USD","Period=FQ","BEST_FPERIOD_OVERRIDE=FQ","FILING_STATUS=MR","SCALING_FORMAT=MLN","Sort=A","Dates=H","DateFormat=P","Fill=—","Direction=H","UseDPDF=Y")</f>
        <v>0</v>
      </c>
      <c r="F67" s="13" cm="1">
        <f t="array" ref="F67">_xll.BDH("PCAR US Equity","PFD_EQTY_HYBRID_CAPITAL","FQ2 2019","FQ2 2019","Currency=USD","Period=FQ","BEST_FPERIOD_OVERRIDE=FQ","FILING_STATUS=MR","SCALING_FORMAT=MLN","Sort=A","Dates=H","DateFormat=P","Fill=—","Direction=H","UseDPDF=Y")</f>
        <v>0</v>
      </c>
      <c r="G67" s="13" cm="1">
        <f t="array" ref="G67">_xll.BDH("PCAR US Equity","PFD_EQTY_HYBRID_CAPITAL","FQ3 2019","FQ3 2019","Currency=USD","Period=FQ","BEST_FPERIOD_OVERRIDE=FQ","FILING_STATUS=MR","SCALING_FORMAT=MLN","Sort=A","Dates=H","DateFormat=P","Fill=—","Direction=H","UseDPDF=Y")</f>
        <v>0</v>
      </c>
      <c r="H67" s="13" cm="1">
        <f t="array" ref="H67">_xll.BDH("PCAR US Equity","PFD_EQTY_HYBRID_CAPITAL","FQ4 2019","FQ4 2019","Currency=USD","Period=FQ","BEST_FPERIOD_OVERRIDE=FQ","FILING_STATUS=MR","SCALING_FORMAT=MLN","Sort=A","Dates=H","DateFormat=P","Fill=—","Direction=H","UseDPDF=Y")</f>
        <v>0</v>
      </c>
      <c r="I67" s="13" cm="1">
        <f t="array" ref="I67">_xll.BDH("PCAR US Equity","PFD_EQTY_HYBRID_CAPITAL","FQ1 2020","FQ1 2020","Currency=USD","Period=FQ","BEST_FPERIOD_OVERRIDE=FQ","FILING_STATUS=MR","SCALING_FORMAT=MLN","Sort=A","Dates=H","DateFormat=P","Fill=—","Direction=H","UseDPDF=Y")</f>
        <v>0</v>
      </c>
      <c r="J67" s="13" cm="1">
        <f t="array" ref="J67">_xll.BDH("PCAR US Equity","PFD_EQTY_HYBRID_CAPITAL","FQ2 2020","FQ2 2020","Currency=USD","Period=FQ","BEST_FPERIOD_OVERRIDE=FQ","FILING_STATUS=MR","SCALING_FORMAT=MLN","Sort=A","Dates=H","DateFormat=P","Fill=—","Direction=H","UseDPDF=Y")</f>
        <v>0</v>
      </c>
      <c r="K67" s="13" cm="1">
        <f t="array" ref="K67">_xll.BDH("PCAR US Equity","PFD_EQTY_HYBRID_CAPITAL","FQ3 2020","FQ3 2020","Currency=USD","Period=FQ","BEST_FPERIOD_OVERRIDE=FQ","FILING_STATUS=MR","SCALING_FORMAT=MLN","Sort=A","Dates=H","DateFormat=P","Fill=—","Direction=H","UseDPDF=Y")</f>
        <v>0</v>
      </c>
      <c r="L67" s="13" cm="1">
        <f t="array" ref="L67">_xll.BDH("PCAR US Equity","PFD_EQTY_HYBRID_CAPITAL","FQ4 2020","FQ4 2020","Currency=USD","Period=FQ","BEST_FPERIOD_OVERRIDE=FQ","FILING_STATUS=MR","SCALING_FORMAT=MLN","Sort=A","Dates=H","DateFormat=P","Fill=—","Direction=H","UseDPDF=Y")</f>
        <v>0</v>
      </c>
      <c r="M67" s="13" cm="1">
        <f t="array" ref="M67">_xll.BDH("PCAR US Equity","PFD_EQTY_HYBRID_CAPITAL","FQ1 2021","FQ1 2021","Currency=USD","Period=FQ","BEST_FPERIOD_OVERRIDE=FQ","FILING_STATUS=MR","SCALING_FORMAT=MLN","Sort=A","Dates=H","DateFormat=P","Fill=—","Direction=H","UseDPDF=Y")</f>
        <v>0</v>
      </c>
      <c r="N67" s="13" cm="1">
        <f t="array" ref="N67">_xll.BDH("PCAR US Equity","PFD_EQTY_HYBRID_CAPITAL","FQ2 2021","FQ2 2021","Currency=USD","Period=FQ","BEST_FPERIOD_OVERRIDE=FQ","FILING_STATUS=MR","SCALING_FORMAT=MLN","Sort=A","Dates=H","DateFormat=P","Fill=—","Direction=H","UseDPDF=Y")</f>
        <v>0</v>
      </c>
      <c r="O67" s="13" cm="1">
        <f t="array" ref="O67">_xll.BDH("PCAR US Equity","PFD_EQTY_HYBRID_CAPITAL","FQ3 2021","FQ3 2021","Currency=USD","Period=FQ","BEST_FPERIOD_OVERRIDE=FQ","FILING_STATUS=MR","SCALING_FORMAT=MLN","Sort=A","Dates=H","DateFormat=P","Fill=—","Direction=H","UseDPDF=Y")</f>
        <v>0</v>
      </c>
      <c r="P67" s="13" cm="1">
        <f t="array" ref="P67">_xll.BDH("PCAR US Equity","PFD_EQTY_HYBRID_CAPITAL","FQ4 2021","FQ4 2021","Currency=USD","Period=FQ","BEST_FPERIOD_OVERRIDE=FQ","FILING_STATUS=MR","SCALING_FORMAT=MLN","Sort=A","Dates=H","DateFormat=P","Fill=—","Direction=H","UseDPDF=Y")</f>
        <v>0</v>
      </c>
      <c r="Q67" s="13" cm="1">
        <f t="array" ref="Q67">_xll.BDH("PCAR US Equity","PFD_EQTY_HYBRID_CAPITAL","FQ1 2022","FQ1 2022","Currency=USD","Period=FQ","BEST_FPERIOD_OVERRIDE=FQ","FILING_STATUS=MR","SCALING_FORMAT=MLN","Sort=A","Dates=H","DateFormat=P","Fill=—","Direction=H","UseDPDF=Y")</f>
        <v>0</v>
      </c>
      <c r="R67" s="13" cm="1">
        <f t="array" ref="R67">_xll.BDH("PCAR US Equity","PFD_EQTY_HYBRID_CAPITAL","FQ2 2022","FQ2 2022","Currency=USD","Period=FQ","BEST_FPERIOD_OVERRIDE=FQ","FILING_STATUS=MR","SCALING_FORMAT=MLN","Sort=A","Dates=H","DateFormat=P","Fill=—","Direction=H","UseDPDF=Y")</f>
        <v>0</v>
      </c>
      <c r="S67" s="13" cm="1">
        <f t="array" ref="S67">_xll.BDH("PCAR US Equity","PFD_EQTY_HYBRID_CAPITAL","FQ3 2022","FQ3 2022","Currency=USD","Period=FQ","BEST_FPERIOD_OVERRIDE=FQ","FILING_STATUS=MR","SCALING_FORMAT=MLN","Sort=A","Dates=H","DateFormat=P","Fill=—","Direction=H","UseDPDF=Y")</f>
        <v>0</v>
      </c>
      <c r="T67" s="13" cm="1">
        <f t="array" ref="T67">_xll.BDH("PCAR US Equity","PFD_EQTY_HYBRID_CAPITAL","FQ4 2022","FQ4 2022","Currency=USD","Period=FQ","BEST_FPERIOD_OVERRIDE=FQ","FILING_STATUS=MR","SCALING_FORMAT=MLN","Sort=A","Dates=H","DateFormat=P","Fill=—","Direction=H","UseDPDF=Y")</f>
        <v>0</v>
      </c>
      <c r="U67" s="13" cm="1">
        <f t="array" ref="U67">_xll.BDH("PCAR US Equity","PFD_EQTY_HYBRID_CAPITAL","FQ1 2023","FQ1 2023","Currency=USD","Period=FQ","BEST_FPERIOD_OVERRIDE=FQ","FILING_STATUS=MR","SCALING_FORMAT=MLN","Sort=A","Dates=H","DateFormat=P","Fill=—","Direction=H","UseDPDF=Y")</f>
        <v>0</v>
      </c>
      <c r="V67" s="13" cm="1">
        <f t="array" ref="V67">_xll.BDH("PCAR US Equity","PFD_EQTY_HYBRID_CAPITAL","FQ2 2023","FQ2 2023","Currency=USD","Period=FQ","BEST_FPERIOD_OVERRIDE=FQ","FILING_STATUS=MR","SCALING_FORMAT=MLN","Sort=A","Dates=H","DateFormat=P","Fill=—","Direction=H","UseDPDF=Y")</f>
        <v>0</v>
      </c>
      <c r="W67" s="13" cm="1">
        <f t="array" ref="W67">_xll.BDH("PCAR US Equity","PFD_EQTY_HYBRID_CAPITAL","FQ3 2023","FQ3 2023","Currency=USD","Period=FQ","BEST_FPERIOD_OVERRIDE=FQ","FILING_STATUS=MR","SCALING_FORMAT=MLN","Sort=A","Dates=H","DateFormat=P","Fill=—","Direction=H","UseDPDF=Y")</f>
        <v>0</v>
      </c>
      <c r="X67" s="13" cm="1">
        <f t="array" ref="X67">_xll.BDH("PCAR US Equity","PFD_EQTY_HYBRID_CAPITAL","FQ4 2023","FQ4 2023","Currency=USD","Period=FQ","BEST_FPERIOD_OVERRIDE=FQ","FILING_STATUS=MR","SCALING_FORMAT=MLN","Sort=A","Dates=H","DateFormat=P","Fill=—","Direction=H","UseDPDF=Y")</f>
        <v>0</v>
      </c>
      <c r="Y67" s="13" cm="1">
        <f t="array" ref="Y67">_xll.BDH("PCAR US Equity","PFD_EQTY_HYBRID_CAPITAL","FQ1 2024","FQ1 2024","Currency=USD","Period=FQ","BEST_FPERIOD_OVERRIDE=FQ","FILING_STATUS=MR","SCALING_FORMAT=MLN","Sort=A","Dates=H","DateFormat=P","Fill=—","Direction=H","UseDPDF=Y")</f>
        <v>0</v>
      </c>
      <c r="Z67" s="13" cm="1">
        <f t="array" ref="Z67">_xll.BDH("PCAR US Equity","PFD_EQTY_HYBRID_CAPITAL","FQ2 2024","FQ2 2024","Currency=USD","Period=FQ","BEST_FPERIOD_OVERRIDE=FQ","FILING_STATUS=MR","SCALING_FORMAT=MLN","Sort=A","Dates=H","DateFormat=P","Fill=—","Direction=H","UseDPDF=Y")</f>
        <v>0</v>
      </c>
      <c r="AA67" s="13" cm="1">
        <f t="array" ref="AA67">_xll.BDH("PCAR US Equity","PFD_EQTY_HYBRID_CAPITAL","FQ3 2024","FQ3 2024","Currency=USD","Period=FQ","BEST_FPERIOD_OVERRIDE=FQ","FILING_STATUS=MR","SCALING_FORMAT=MLN","Sort=A","Dates=H","DateFormat=P","Fill=—","Direction=H","UseDPDF=Y")</f>
        <v>0</v>
      </c>
      <c r="AB67" s="13" cm="1">
        <f t="array" ref="AB67">_xll.BDH("PCAR US Equity","PFD_EQTY_HYBRID_CAPITAL","FQ4 2024","FQ4 2024","Currency=USD","Period=FQ","BEST_FPERIOD_OVERRIDE=FQ","FILING_STATUS=MR","SCALING_FORMAT=MLN","Sort=A","Dates=H","DateFormat=P","Fill=—","Direction=H","UseDPDF=Y")</f>
        <v>0</v>
      </c>
      <c r="AC67" s="13" cm="1">
        <f t="array" ref="AC67">_xll.BDH("PCAR US Equity","PFD_EQTY_HYBRID_CAPITAL","FQ1 2025","FQ1 2025","Currency=USD","Period=FQ","BEST_FPERIOD_OVERRIDE=FQ","FILING_STATUS=MR","SCALING_FORMAT=MLN","Sort=A","Dates=H","DateFormat=P","Fill=—","Direction=H","UseDPDF=Y")</f>
        <v>0</v>
      </c>
      <c r="AD67" s="13" cm="1">
        <f t="array" ref="AD67">_xll.BDH("PCAR US Equity","PFD_EQTY_HYBRID_CAPITAL","FQ2 2025","FQ2 2025","Currency=USD","Period=FQ","BEST_FPERIOD_OVERRIDE=FQ","FILING_STATUS=MR","SCALING_FORMAT=MLN","Sort=A","Dates=H","DateFormat=P","Fill=—","Direction=H","UseDPDF=Y")</f>
        <v>0</v>
      </c>
      <c r="AE67" s="13" cm="1">
        <f t="array" ref="AE67">_xll.BDH("PCAR US Equity","PFD_EQTY_HYBRID_CAPITAL","FQ3 2025","FQ3 2025","Currency=USD","Period=FQ","BEST_FPERIOD_OVERRIDE=FQ","FILING_STATUS=MR","SCALING_FORMAT=MLN","Sort=A","Dates=H","DateFormat=P","Fill=—","Direction=H","UseDPDF=Y")</f>
        <v>0</v>
      </c>
      <c r="AF67" s="13" cm="1">
        <f t="array" ref="AF67">_xll.BDH("PCAR US Equity","PFD_EQTY_HYBRID_CAPITAL","FQ4 2025","FQ4 2025","Currency=USD","Period=FQ","BEST_FPERIOD_OVERRIDE=FQ","FILING_STATUS=MR","SCALING_FORMAT=MLN","Sort=A","Dates=H","DateFormat=P","Fill=—","Direction=H","UseDPDF=Y")</f>
        <v>0</v>
      </c>
    </row>
    <row r="68" spans="1:32" x14ac:dyDescent="0.25">
      <c r="A68" s="10" t="s">
        <v>180</v>
      </c>
      <c r="B68" s="10" t="s">
        <v>181</v>
      </c>
      <c r="C68" s="13" cm="1">
        <f t="array" ref="C68">_xll.BDH("PCAR US Equity","BS_SH_CAP_AND_APIC","FQ3 2018","FQ3 2018","Currency=USD","Period=FQ","BEST_FPERIOD_OVERRIDE=FQ","FILING_STATUS=MR","SCALING_FORMAT=MLN","Sort=A","Dates=H","DateFormat=P","Fill=—","Direction=H","UseDPDF=Y")</f>
        <v>500.8</v>
      </c>
      <c r="D68" s="13" cm="1">
        <f t="array" ref="D68">_xll.BDH("PCAR US Equity","BS_SH_CAP_AND_APIC","FQ4 2018","FQ4 2018","Currency=USD","Period=FQ","BEST_FPERIOD_OVERRIDE=FQ","FILING_STATUS=MR","SCALING_FORMAT=MLN","Sort=A","Dates=H","DateFormat=P","Fill=—","Direction=H","UseDPDF=Y")</f>
        <v>416</v>
      </c>
      <c r="E68" s="13" cm="1">
        <f t="array" ref="E68">_xll.BDH("PCAR US Equity","BS_SH_CAP_AND_APIC","FQ1 2019","FQ1 2019","Currency=USD","Period=FQ","BEST_FPERIOD_OVERRIDE=FQ","FILING_STATUS=MR","SCALING_FORMAT=MLN","Sort=A","Dates=H","DateFormat=P","Fill=—","Direction=H","UseDPDF=Y")</f>
        <v>441.3</v>
      </c>
      <c r="F68" s="13" cm="1">
        <f t="array" ref="F68">_xll.BDH("PCAR US Equity","BS_SH_CAP_AND_APIC","FQ2 2019","FQ2 2019","Currency=USD","Period=FQ","BEST_FPERIOD_OVERRIDE=FQ","FILING_STATUS=MR","SCALING_FORMAT=MLN","Sort=A","Dates=H","DateFormat=P","Fill=—","Direction=H","UseDPDF=Y")</f>
        <v>452.3</v>
      </c>
      <c r="G68" s="13" cm="1">
        <f t="array" ref="G68">_xll.BDH("PCAR US Equity","BS_SH_CAP_AND_APIC","FQ3 2019","FQ3 2019","Currency=USD","Period=FQ","BEST_FPERIOD_OVERRIDE=FQ","FILING_STATUS=MR","SCALING_FORMAT=MLN","Sort=A","Dates=H","DateFormat=P","Fill=—","Direction=H","UseDPDF=Y")</f>
        <v>464.2</v>
      </c>
      <c r="H68" s="13" cm="1">
        <f t="array" ref="H68">_xll.BDH("PCAR US Equity","BS_SH_CAP_AND_APIC","FQ4 2019","FQ4 2019","Currency=USD","Period=FQ","BEST_FPERIOD_OVERRIDE=FQ","FILING_STATUS=MR","SCALING_FORMAT=MLN","Sort=A","Dates=H","DateFormat=P","Fill=—","Direction=H","UseDPDF=Y")</f>
        <v>407.7</v>
      </c>
      <c r="I68" s="13" cm="1">
        <f t="array" ref="I68">_xll.BDH("PCAR US Equity","BS_SH_CAP_AND_APIC","FQ1 2020","FQ1 2020","Currency=USD","Period=FQ","BEST_FPERIOD_OVERRIDE=FQ","FILING_STATUS=MR","SCALING_FORMAT=MLN","Sort=A","Dates=H","DateFormat=P","Fill=—","Direction=H","UseDPDF=Y")</f>
        <v>420.6</v>
      </c>
      <c r="J68" s="13" cm="1">
        <f t="array" ref="J68">_xll.BDH("PCAR US Equity","BS_SH_CAP_AND_APIC","FQ2 2020","FQ2 2020","Currency=USD","Period=FQ","BEST_FPERIOD_OVERRIDE=FQ","FILING_STATUS=MR","SCALING_FORMAT=MLN","Sort=A","Dates=H","DateFormat=P","Fill=—","Direction=H","UseDPDF=Y")</f>
        <v>429.2</v>
      </c>
      <c r="K68" s="13" cm="1">
        <f t="array" ref="K68">_xll.BDH("PCAR US Equity","BS_SH_CAP_AND_APIC","FQ3 2020","FQ3 2020","Currency=USD","Period=FQ","BEST_FPERIOD_OVERRIDE=FQ","FILING_STATUS=MR","SCALING_FORMAT=MLN","Sort=A","Dates=H","DateFormat=P","Fill=—","Direction=H","UseDPDF=Y")</f>
        <v>461.4</v>
      </c>
      <c r="L68" s="13" cm="1">
        <f t="array" ref="L68">_xll.BDH("PCAR US Equity","BS_SH_CAP_AND_APIC","FQ4 2020","FQ4 2020","Currency=USD","Period=FQ","BEST_FPERIOD_OVERRIDE=FQ","FILING_STATUS=MR","SCALING_FORMAT=MLN","Sort=A","Dates=H","DateFormat=P","Fill=—","Direction=H","UseDPDF=Y")</f>
        <v>435.1</v>
      </c>
      <c r="M68" s="13" cm="1">
        <f t="array" ref="M68">_xll.BDH("PCAR US Equity","BS_SH_CAP_AND_APIC","FQ1 2021","FQ1 2021","Currency=USD","Period=FQ","BEST_FPERIOD_OVERRIDE=FQ","FILING_STATUS=MR","SCALING_FORMAT=MLN","Sort=A","Dates=H","DateFormat=P","Fill=—","Direction=H","UseDPDF=Y")</f>
        <v>471.5</v>
      </c>
      <c r="N68" s="13" cm="1">
        <f t="array" ref="N68">_xll.BDH("PCAR US Equity","BS_SH_CAP_AND_APIC","FQ2 2021","FQ2 2021","Currency=USD","Period=FQ","BEST_FPERIOD_OVERRIDE=FQ","FILING_STATUS=MR","SCALING_FORMAT=MLN","Sort=A","Dates=H","DateFormat=P","Fill=—","Direction=H","UseDPDF=Y")</f>
        <v>476.1</v>
      </c>
      <c r="O68" s="13" cm="1">
        <f t="array" ref="O68">_xll.BDH("PCAR US Equity","BS_SH_CAP_AND_APIC","FQ3 2021","FQ3 2021","Currency=USD","Period=FQ","BEST_FPERIOD_OVERRIDE=FQ","FILING_STATUS=MR","SCALING_FORMAT=MLN","Sort=A","Dates=H","DateFormat=P","Fill=—","Direction=H","UseDPDF=Y")</f>
        <v>479</v>
      </c>
      <c r="P68" s="13" cm="1">
        <f t="array" ref="P68">_xll.BDH("PCAR US Equity","BS_SH_CAP_AND_APIC","FQ4 2021","FQ4 2021","Currency=USD","Period=FQ","BEST_FPERIOD_OVERRIDE=FQ","FILING_STATUS=MR","SCALING_FORMAT=MLN","Sort=A","Dates=H","DateFormat=P","Fill=—","Direction=H","UseDPDF=Y")</f>
        <v>489.3</v>
      </c>
      <c r="Q68" s="13" cm="1">
        <f t="array" ref="Q68">_xll.BDH("PCAR US Equity","BS_SH_CAP_AND_APIC","FQ1 2022","FQ1 2022","Currency=USD","Period=FQ","BEST_FPERIOD_OVERRIDE=FQ","FILING_STATUS=MR","SCALING_FORMAT=MLN","Sort=A","Dates=H","DateFormat=P","Fill=—","Direction=H","UseDPDF=Y")</f>
        <v>515</v>
      </c>
      <c r="R68" s="13" cm="1">
        <f t="array" ref="R68">_xll.BDH("PCAR US Equity","BS_SH_CAP_AND_APIC","FQ2 2022","FQ2 2022","Currency=USD","Period=FQ","BEST_FPERIOD_OVERRIDE=FQ","FILING_STATUS=MR","SCALING_FORMAT=MLN","Sort=A","Dates=H","DateFormat=P","Fill=—","Direction=H","UseDPDF=Y")</f>
        <v>521.70000000000005</v>
      </c>
      <c r="S68" s="13" cm="1">
        <f t="array" ref="S68">_xll.BDH("PCAR US Equity","BS_SH_CAP_AND_APIC","FQ3 2022","FQ3 2022","Currency=USD","Period=FQ","BEST_FPERIOD_OVERRIDE=FQ","FILING_STATUS=MR","SCALING_FORMAT=MLN","Sort=A","Dates=H","DateFormat=P","Fill=—","Direction=H","UseDPDF=Y")</f>
        <v>527.79999999999995</v>
      </c>
      <c r="T68" s="13" cm="1">
        <f t="array" ref="T68">_xll.BDH("PCAR US Equity","BS_SH_CAP_AND_APIC","FQ4 2022","FQ4 2022","Currency=USD","Period=FQ","BEST_FPERIOD_OVERRIDE=FQ","FILING_STATUS=MR","SCALING_FORMAT=MLN","Sort=A","Dates=H","DateFormat=P","Fill=—","Direction=H","UseDPDF=Y")</f>
        <v>718.1</v>
      </c>
      <c r="U68" s="13" cm="1">
        <f t="array" ref="U68">_xll.BDH("PCAR US Equity","BS_SH_CAP_AND_APIC","FQ1 2023","FQ1 2023","Currency=USD","Period=FQ","BEST_FPERIOD_OVERRIDE=FQ","FILING_STATUS=MR","SCALING_FORMAT=MLN","Sort=A","Dates=H","DateFormat=P","Fill=—","Direction=H","UseDPDF=Y")</f>
        <v>752.9</v>
      </c>
      <c r="V68" s="13" cm="1">
        <f t="array" ref="V68">_xll.BDH("PCAR US Equity","BS_SH_CAP_AND_APIC","FQ2 2023","FQ2 2023","Currency=USD","Period=FQ","BEST_FPERIOD_OVERRIDE=FQ","FILING_STATUS=MR","SCALING_FORMAT=MLN","Sort=A","Dates=H","DateFormat=P","Fill=—","Direction=H","UseDPDF=Y")</f>
        <v>764.6</v>
      </c>
      <c r="W68" s="13" cm="1">
        <f t="array" ref="W68">_xll.BDH("PCAR US Equity","BS_SH_CAP_AND_APIC","FQ3 2023","FQ3 2023","Currency=USD","Period=FQ","BEST_FPERIOD_OVERRIDE=FQ","FILING_STATUS=MR","SCALING_FORMAT=MLN","Sort=A","Dates=H","DateFormat=P","Fill=—","Direction=H","UseDPDF=Y")</f>
        <v>781.4</v>
      </c>
      <c r="X68" s="13" cm="1">
        <f t="array" ref="X68">_xll.BDH("PCAR US Equity","BS_SH_CAP_AND_APIC","FQ4 2023","FQ4 2023","Currency=USD","Period=FQ","BEST_FPERIOD_OVERRIDE=FQ","FILING_STATUS=MR","SCALING_FORMAT=MLN","Sort=A","Dates=H","DateFormat=P","Fill=—","Direction=H","UseDPDF=Y")</f>
        <v>792.4</v>
      </c>
      <c r="Y68" s="13" cm="1">
        <f t="array" ref="Y68">_xll.BDH("PCAR US Equity","BS_SH_CAP_AND_APIC","FQ1 2024","FQ1 2024","Currency=USD","Period=FQ","BEST_FPERIOD_OVERRIDE=FQ","FILING_STATUS=MR","SCALING_FORMAT=MLN","Sort=A","Dates=H","DateFormat=P","Fill=—","Direction=H","UseDPDF=Y")</f>
        <v>842.4</v>
      </c>
      <c r="Z68" s="13" cm="1">
        <f t="array" ref="Z68">_xll.BDH("PCAR US Equity","BS_SH_CAP_AND_APIC","FQ2 2024","FQ2 2024","Currency=USD","Period=FQ","BEST_FPERIOD_OVERRIDE=FQ","FILING_STATUS=MR","SCALING_FORMAT=MLN","Sort=A","Dates=H","DateFormat=P","Fill=—","Direction=H","UseDPDF=Y")</f>
        <v>853.5</v>
      </c>
      <c r="AA68" s="13" cm="1">
        <f t="array" ref="AA68">_xll.BDH("PCAR US Equity","BS_SH_CAP_AND_APIC","FQ3 2024","FQ3 2024","Currency=USD","Period=FQ","BEST_FPERIOD_OVERRIDE=FQ","FILING_STATUS=MR","SCALING_FORMAT=MLN","Sort=A","Dates=H","DateFormat=P","Fill=—","Direction=H","UseDPDF=Y")</f>
        <v>860.3</v>
      </c>
      <c r="AB68" s="13" cm="1">
        <f t="array" ref="AB68">_xll.BDH("PCAR US Equity","BS_SH_CAP_AND_APIC","FQ4 2024","FQ4 2024","Currency=USD","Period=FQ","BEST_FPERIOD_OVERRIDE=FQ","FILING_STATUS=MR","SCALING_FORMAT=MLN","Sort=A","Dates=H","DateFormat=P","Fill=—","Direction=H","UseDPDF=Y")</f>
        <v>869.2</v>
      </c>
      <c r="AC68" s="13" cm="1">
        <f t="array" ref="AC68">_xll.BDH("PCAR US Equity","BS_SH_CAP_AND_APIC","FQ1 2025","FQ1 2025","Currency=USD","Period=FQ","BEST_FPERIOD_OVERRIDE=FQ","FILING_STATUS=MR","SCALING_FORMAT=MLN","Sort=A","Dates=H","DateFormat=P","Fill=—","Direction=H","UseDPDF=Y")</f>
        <v>907</v>
      </c>
      <c r="AD68" s="13" cm="1">
        <f t="array" ref="AD68">_xll.BDH("PCAR US Equity","BS_SH_CAP_AND_APIC","FQ2 2025","FQ2 2025","Currency=USD","Period=FQ","BEST_FPERIOD_OVERRIDE=FQ","FILING_STATUS=MR","SCALING_FORMAT=MLN","Sort=A","Dates=H","DateFormat=P","Fill=—","Direction=H","UseDPDF=Y")</f>
        <v>914.5</v>
      </c>
      <c r="AE68" s="13" cm="1">
        <f t="array" ref="AE68">_xll.BDH("PCAR US Equity","BS_SH_CAP_AND_APIC","FQ3 2025","FQ3 2025","Currency=USD","Period=FQ","BEST_FPERIOD_OVERRIDE=FQ","FILING_STATUS=MR","SCALING_FORMAT=MLN","Sort=A","Dates=H","DateFormat=P","Fill=—","Direction=H","UseDPDF=Y")</f>
        <v>923.8</v>
      </c>
      <c r="AF68" s="13" t="str" cm="1">
        <f t="array" ref="AF68">_xll.BDH("PCAR US Equity","BS_SH_CAP_AND_APIC","FQ4 2025","FQ4 2025","Currency=USD","Period=FQ","BEST_FPERIOD_OVERRIDE=FQ","FILING_STATUS=MR","SCALING_FORMAT=MLN","Sort=A","Dates=H","DateFormat=P","Fill=—","Direction=H","UseDPDF=Y")</f>
        <v>—</v>
      </c>
    </row>
    <row r="69" spans="1:32" x14ac:dyDescent="0.25">
      <c r="A69" s="10" t="s">
        <v>182</v>
      </c>
      <c r="B69" s="10" t="s">
        <v>183</v>
      </c>
      <c r="C69" s="13" cm="1">
        <f t="array" ref="C69">_xll.BDH("PCAR US Equity","BS_COMMON_STOCK","FQ3 2018","FQ3 2018","Currency=USD","Period=FQ","BEST_FPERIOD_OVERRIDE=FQ","FILING_STATUS=MR","SCALING_FORMAT=MLN","Sort=A","Dates=H","DateFormat=P","Fill=—","Direction=H","UseDPDF=Y")</f>
        <v>352.2</v>
      </c>
      <c r="D69" s="13" cm="1">
        <f t="array" ref="D69">_xll.BDH("PCAR US Equity","BS_COMMON_STOCK","FQ4 2018","FQ4 2018","Currency=USD","Period=FQ","BEST_FPERIOD_OVERRIDE=FQ","FILING_STATUS=MR","SCALING_FORMAT=MLN","Sort=A","Dates=H","DateFormat=P","Fill=—","Direction=H","UseDPDF=Y")</f>
        <v>346.6</v>
      </c>
      <c r="E69" s="13" cm="1">
        <f t="array" ref="E69">_xll.BDH("PCAR US Equity","BS_COMMON_STOCK","FQ1 2019","FQ1 2019","Currency=USD","Period=FQ","BEST_FPERIOD_OVERRIDE=FQ","FILING_STATUS=MR","SCALING_FORMAT=MLN","Sort=A","Dates=H","DateFormat=P","Fill=—","Direction=H","UseDPDF=Y")</f>
        <v>347</v>
      </c>
      <c r="F69" s="13" cm="1">
        <f t="array" ref="F69">_xll.BDH("PCAR US Equity","BS_COMMON_STOCK","FQ2 2019","FQ2 2019","Currency=USD","Period=FQ","BEST_FPERIOD_OVERRIDE=FQ","FILING_STATUS=MR","SCALING_FORMAT=MLN","Sort=A","Dates=H","DateFormat=P","Fill=—","Direction=H","UseDPDF=Y")</f>
        <v>347.2</v>
      </c>
      <c r="G69" s="13" cm="1">
        <f t="array" ref="G69">_xll.BDH("PCAR US Equity","BS_COMMON_STOCK","FQ3 2019","FQ3 2019","Currency=USD","Period=FQ","BEST_FPERIOD_OVERRIDE=FQ","FILING_STATUS=MR","SCALING_FORMAT=MLN","Sort=A","Dates=H","DateFormat=P","Fill=—","Direction=H","UseDPDF=Y")</f>
        <v>347.4</v>
      </c>
      <c r="H69" s="13" cm="1">
        <f t="array" ref="H69">_xll.BDH("PCAR US Equity","BS_COMMON_STOCK","FQ4 2019","FQ4 2019","Currency=USD","Period=FQ","BEST_FPERIOD_OVERRIDE=FQ","FILING_STATUS=MR","SCALING_FORMAT=MLN","Sort=A","Dates=H","DateFormat=P","Fill=—","Direction=H","UseDPDF=Y")</f>
        <v>346.3</v>
      </c>
      <c r="I69" s="13" cm="1">
        <f t="array" ref="I69">_xll.BDH("PCAR US Equity","BS_COMMON_STOCK","FQ1 2020","FQ1 2020","Currency=USD","Period=FQ","BEST_FPERIOD_OVERRIDE=FQ","FILING_STATUS=MR","SCALING_FORMAT=MLN","Sort=A","Dates=H","DateFormat=P","Fill=—","Direction=H","UseDPDF=Y")</f>
        <v>346.4</v>
      </c>
      <c r="J69" s="13" cm="1">
        <f t="array" ref="J69">_xll.BDH("PCAR US Equity","BS_COMMON_STOCK","FQ2 2020","FQ2 2020","Currency=USD","Period=FQ","BEST_FPERIOD_OVERRIDE=FQ","FILING_STATUS=MR","SCALING_FORMAT=MLN","Sort=A","Dates=H","DateFormat=P","Fill=—","Direction=H","UseDPDF=Y")</f>
        <v>346.5</v>
      </c>
      <c r="K69" s="13" cm="1">
        <f t="array" ref="K69">_xll.BDH("PCAR US Equity","BS_COMMON_STOCK","FQ3 2020","FQ3 2020","Currency=USD","Period=FQ","BEST_FPERIOD_OVERRIDE=FQ","FILING_STATUS=MR","SCALING_FORMAT=MLN","Sort=A","Dates=H","DateFormat=P","Fill=—","Direction=H","UseDPDF=Y")</f>
        <v>347</v>
      </c>
      <c r="L69" s="13" cm="1">
        <f t="array" ref="L69">_xll.BDH("PCAR US Equity","BS_COMMON_STOCK","FQ4 2020","FQ4 2020","Currency=USD","Period=FQ","BEST_FPERIOD_OVERRIDE=FQ","FILING_STATUS=MR","SCALING_FORMAT=MLN","Sort=A","Dates=H","DateFormat=P","Fill=—","Direction=H","UseDPDF=Y")</f>
        <v>346.6</v>
      </c>
      <c r="M69" s="13" cm="1">
        <f t="array" ref="M69">_xll.BDH("PCAR US Equity","BS_COMMON_STOCK","FQ1 2021","FQ1 2021","Currency=USD","Period=FQ","BEST_FPERIOD_OVERRIDE=FQ","FILING_STATUS=MR","SCALING_FORMAT=MLN","Sort=A","Dates=H","DateFormat=P","Fill=—","Direction=H","UseDPDF=Y")</f>
        <v>347.2</v>
      </c>
      <c r="N69" s="13" cm="1">
        <f t="array" ref="N69">_xll.BDH("PCAR US Equity","BS_COMMON_STOCK","FQ2 2021","FQ2 2021","Currency=USD","Period=FQ","BEST_FPERIOD_OVERRIDE=FQ","FILING_STATUS=MR","SCALING_FORMAT=MLN","Sort=A","Dates=H","DateFormat=P","Fill=—","Direction=H","UseDPDF=Y")</f>
        <v>347.2</v>
      </c>
      <c r="O69" s="13" cm="1">
        <f t="array" ref="O69">_xll.BDH("PCAR US Equity","BS_COMMON_STOCK","FQ3 2021","FQ3 2021","Currency=USD","Period=FQ","BEST_FPERIOD_OVERRIDE=FQ","FILING_STATUS=MR","SCALING_FORMAT=MLN","Sort=A","Dates=H","DateFormat=P","Fill=—","Direction=H","UseDPDF=Y")</f>
        <v>347.2</v>
      </c>
      <c r="P69" s="13" cm="1">
        <f t="array" ref="P69">_xll.BDH("PCAR US Equity","BS_COMMON_STOCK","FQ4 2021","FQ4 2021","Currency=USD","Period=FQ","BEST_FPERIOD_OVERRIDE=FQ","FILING_STATUS=MR","SCALING_FORMAT=MLN","Sort=A","Dates=H","DateFormat=P","Fill=—","Direction=H","UseDPDF=Y")</f>
        <v>347.3</v>
      </c>
      <c r="Q69" s="13" cm="1">
        <f t="array" ref="Q69">_xll.BDH("PCAR US Equity","BS_COMMON_STOCK","FQ1 2022","FQ1 2022","Currency=USD","Period=FQ","BEST_FPERIOD_OVERRIDE=FQ","FILING_STATUS=MR","SCALING_FORMAT=MLN","Sort=A","Dates=H","DateFormat=P","Fill=—","Direction=H","UseDPDF=Y")</f>
        <v>347.7</v>
      </c>
      <c r="R69" s="13" cm="1">
        <f t="array" ref="R69">_xll.BDH("PCAR US Equity","BS_COMMON_STOCK","FQ2 2022","FQ2 2022","Currency=USD","Period=FQ","BEST_FPERIOD_OVERRIDE=FQ","FILING_STATUS=MR","SCALING_FORMAT=MLN","Sort=A","Dates=H","DateFormat=P","Fill=—","Direction=H","UseDPDF=Y")</f>
        <v>347.7</v>
      </c>
      <c r="S69" s="13" cm="1">
        <f t="array" ref="S69">_xll.BDH("PCAR US Equity","BS_COMMON_STOCK","FQ3 2022","FQ3 2022","Currency=USD","Period=FQ","BEST_FPERIOD_OVERRIDE=FQ","FILING_STATUS=MR","SCALING_FORMAT=MLN","Sort=A","Dates=H","DateFormat=P","Fill=—","Direction=H","UseDPDF=Y")</f>
        <v>347.8</v>
      </c>
      <c r="T69" s="13" cm="1">
        <f t="array" ref="T69">_xll.BDH("PCAR US Equity","BS_COMMON_STOCK","FQ4 2022","FQ4 2022","Currency=USD","Period=FQ","BEST_FPERIOD_OVERRIDE=FQ","FILING_STATUS=MR","SCALING_FORMAT=MLN","Sort=A","Dates=H","DateFormat=P","Fill=—","Direction=H","UseDPDF=Y")</f>
        <v>522</v>
      </c>
      <c r="U69" s="13" cm="1">
        <f t="array" ref="U69">_xll.BDH("PCAR US Equity","BS_COMMON_STOCK","FQ1 2023","FQ1 2023","Currency=USD","Period=FQ","BEST_FPERIOD_OVERRIDE=FQ","FILING_STATUS=MR","SCALING_FORMAT=MLN","Sort=A","Dates=H","DateFormat=P","Fill=—","Direction=H","UseDPDF=Y")</f>
        <v>522.6</v>
      </c>
      <c r="V69" s="13" cm="1">
        <f t="array" ref="V69">_xll.BDH("PCAR US Equity","BS_COMMON_STOCK","FQ2 2023","FQ2 2023","Currency=USD","Period=FQ","BEST_FPERIOD_OVERRIDE=FQ","FILING_STATUS=MR","SCALING_FORMAT=MLN","Sort=A","Dates=H","DateFormat=P","Fill=—","Direction=H","UseDPDF=Y")</f>
        <v>522.79999999999995</v>
      </c>
      <c r="W69" s="13" cm="1">
        <f t="array" ref="W69">_xll.BDH("PCAR US Equity","BS_COMMON_STOCK","FQ3 2023","FQ3 2023","Currency=USD","Period=FQ","BEST_FPERIOD_OVERRIDE=FQ","FILING_STATUS=MR","SCALING_FORMAT=MLN","Sort=A","Dates=H","DateFormat=P","Fill=—","Direction=H","UseDPDF=Y")</f>
        <v>523.1</v>
      </c>
      <c r="X69" s="13" cm="1">
        <f t="array" ref="X69">_xll.BDH("PCAR US Equity","BS_COMMON_STOCK","FQ4 2023","FQ4 2023","Currency=USD","Period=FQ","BEST_FPERIOD_OVERRIDE=FQ","FILING_STATUS=MR","SCALING_FORMAT=MLN","Sort=A","Dates=H","DateFormat=P","Fill=—","Direction=H","UseDPDF=Y")</f>
        <v>523.29999999999995</v>
      </c>
      <c r="Y69" s="13" cm="1">
        <f t="array" ref="Y69">_xll.BDH("PCAR US Equity","BS_COMMON_STOCK","FQ1 2024","FQ1 2024","Currency=USD","Period=FQ","BEST_FPERIOD_OVERRIDE=FQ","FILING_STATUS=MR","SCALING_FORMAT=MLN","Sort=A","Dates=H","DateFormat=P","Fill=—","Direction=H","UseDPDF=Y")</f>
        <v>524.1</v>
      </c>
      <c r="Z69" s="13" cm="1">
        <f t="array" ref="Z69">_xll.BDH("PCAR US Equity","BS_COMMON_STOCK","FQ2 2024","FQ2 2024","Currency=USD","Period=FQ","BEST_FPERIOD_OVERRIDE=FQ","FILING_STATUS=MR","SCALING_FORMAT=MLN","Sort=A","Dates=H","DateFormat=P","Fill=—","Direction=H","UseDPDF=Y")</f>
        <v>524.29999999999995</v>
      </c>
      <c r="AA69" s="13" cm="1">
        <f t="array" ref="AA69">_xll.BDH("PCAR US Equity","BS_COMMON_STOCK","FQ3 2024","FQ3 2024","Currency=USD","Period=FQ","BEST_FPERIOD_OVERRIDE=FQ","FILING_STATUS=MR","SCALING_FORMAT=MLN","Sort=A","Dates=H","DateFormat=P","Fill=—","Direction=H","UseDPDF=Y")</f>
        <v>524.29999999999995</v>
      </c>
      <c r="AB69" s="13" cm="1">
        <f t="array" ref="AB69">_xll.BDH("PCAR US Equity","BS_COMMON_STOCK","FQ4 2024","FQ4 2024","Currency=USD","Period=FQ","BEST_FPERIOD_OVERRIDE=FQ","FILING_STATUS=MR","SCALING_FORMAT=MLN","Sort=A","Dates=H","DateFormat=P","Fill=—","Direction=H","UseDPDF=Y")</f>
        <v>524.4</v>
      </c>
      <c r="AC69" s="13" cm="1">
        <f t="array" ref="AC69">_xll.BDH("PCAR US Equity","BS_COMMON_STOCK","FQ1 2025","FQ1 2025","Currency=USD","Period=FQ","BEST_FPERIOD_OVERRIDE=FQ","FILING_STATUS=MR","SCALING_FORMAT=MLN","Sort=A","Dates=H","DateFormat=P","Fill=—","Direction=H","UseDPDF=Y")</f>
        <v>525</v>
      </c>
      <c r="AD69" s="13" cm="1">
        <f t="array" ref="AD69">_xll.BDH("PCAR US Equity","BS_COMMON_STOCK","FQ2 2025","FQ2 2025","Currency=USD","Period=FQ","BEST_FPERIOD_OVERRIDE=FQ","FILING_STATUS=MR","SCALING_FORMAT=MLN","Sort=A","Dates=H","DateFormat=P","Fill=—","Direction=H","UseDPDF=Y")</f>
        <v>525.5</v>
      </c>
      <c r="AE69" s="13" cm="1">
        <f t="array" ref="AE69">_xll.BDH("PCAR US Equity","BS_COMMON_STOCK","FQ3 2025","FQ3 2025","Currency=USD","Period=FQ","BEST_FPERIOD_OVERRIDE=FQ","FILING_STATUS=MR","SCALING_FORMAT=MLN","Sort=A","Dates=H","DateFormat=P","Fill=—","Direction=H","UseDPDF=Y")</f>
        <v>525.6</v>
      </c>
      <c r="AF69" s="13" t="str" cm="1">
        <f t="array" ref="AF69">_xll.BDH("PCAR US Equity","BS_COMMON_STOCK","FQ4 2025","FQ4 2025","Currency=USD","Period=FQ","BEST_FPERIOD_OVERRIDE=FQ","FILING_STATUS=MR","SCALING_FORMAT=MLN","Sort=A","Dates=H","DateFormat=P","Fill=—","Direction=H","UseDPDF=Y")</f>
        <v>—</v>
      </c>
    </row>
    <row r="70" spans="1:32" x14ac:dyDescent="0.25">
      <c r="A70" s="10" t="s">
        <v>184</v>
      </c>
      <c r="B70" s="10" t="s">
        <v>185</v>
      </c>
      <c r="C70" s="13" cm="1">
        <f t="array" ref="C70">_xll.BDH("PCAR US Equity","BS_ADD_PAID_IN_CAP","FQ3 2018","FQ3 2018","Currency=USD","Period=FQ","BEST_FPERIOD_OVERRIDE=FQ","FILING_STATUS=MR","SCALING_FORMAT=MLN","Sort=A","Dates=H","DateFormat=P","Fill=—","Direction=H","UseDPDF=Y")</f>
        <v>148.6</v>
      </c>
      <c r="D70" s="13" cm="1">
        <f t="array" ref="D70">_xll.BDH("PCAR US Equity","BS_ADD_PAID_IN_CAP","FQ4 2018","FQ4 2018","Currency=USD","Period=FQ","BEST_FPERIOD_OVERRIDE=FQ","FILING_STATUS=MR","SCALING_FORMAT=MLN","Sort=A","Dates=H","DateFormat=P","Fill=—","Direction=H","UseDPDF=Y")</f>
        <v>69.400000000000006</v>
      </c>
      <c r="E70" s="13" cm="1">
        <f t="array" ref="E70">_xll.BDH("PCAR US Equity","BS_ADD_PAID_IN_CAP","FQ1 2019","FQ1 2019","Currency=USD","Period=FQ","BEST_FPERIOD_OVERRIDE=FQ","FILING_STATUS=MR","SCALING_FORMAT=MLN","Sort=A","Dates=H","DateFormat=P","Fill=—","Direction=H","UseDPDF=Y")</f>
        <v>94.3</v>
      </c>
      <c r="F70" s="13" cm="1">
        <f t="array" ref="F70">_xll.BDH("PCAR US Equity","BS_ADD_PAID_IN_CAP","FQ2 2019","FQ2 2019","Currency=USD","Period=FQ","BEST_FPERIOD_OVERRIDE=FQ","FILING_STATUS=MR","SCALING_FORMAT=MLN","Sort=A","Dates=H","DateFormat=P","Fill=—","Direction=H","UseDPDF=Y")</f>
        <v>105.1</v>
      </c>
      <c r="G70" s="13" cm="1">
        <f t="array" ref="G70">_xll.BDH("PCAR US Equity","BS_ADD_PAID_IN_CAP","FQ3 2019","FQ3 2019","Currency=USD","Period=FQ","BEST_FPERIOD_OVERRIDE=FQ","FILING_STATUS=MR","SCALING_FORMAT=MLN","Sort=A","Dates=H","DateFormat=P","Fill=—","Direction=H","UseDPDF=Y")</f>
        <v>116.8</v>
      </c>
      <c r="H70" s="13" cm="1">
        <f t="array" ref="H70">_xll.BDH("PCAR US Equity","BS_ADD_PAID_IN_CAP","FQ4 2019","FQ4 2019","Currency=USD","Period=FQ","BEST_FPERIOD_OVERRIDE=FQ","FILING_STATUS=MR","SCALING_FORMAT=MLN","Sort=A","Dates=H","DateFormat=P","Fill=—","Direction=H","UseDPDF=Y")</f>
        <v>61.4</v>
      </c>
      <c r="I70" s="13" cm="1">
        <f t="array" ref="I70">_xll.BDH("PCAR US Equity","BS_ADD_PAID_IN_CAP","FQ1 2020","FQ1 2020","Currency=USD","Period=FQ","BEST_FPERIOD_OVERRIDE=FQ","FILING_STATUS=MR","SCALING_FORMAT=MLN","Sort=A","Dates=H","DateFormat=P","Fill=—","Direction=H","UseDPDF=Y")</f>
        <v>74.2</v>
      </c>
      <c r="J70" s="13" cm="1">
        <f t="array" ref="J70">_xll.BDH("PCAR US Equity","BS_ADD_PAID_IN_CAP","FQ2 2020","FQ2 2020","Currency=USD","Period=FQ","BEST_FPERIOD_OVERRIDE=FQ","FILING_STATUS=MR","SCALING_FORMAT=MLN","Sort=A","Dates=H","DateFormat=P","Fill=—","Direction=H","UseDPDF=Y")</f>
        <v>82.7</v>
      </c>
      <c r="K70" s="13" cm="1">
        <f t="array" ref="K70">_xll.BDH("PCAR US Equity","BS_ADD_PAID_IN_CAP","FQ3 2020","FQ3 2020","Currency=USD","Period=FQ","BEST_FPERIOD_OVERRIDE=FQ","FILING_STATUS=MR","SCALING_FORMAT=MLN","Sort=A","Dates=H","DateFormat=P","Fill=—","Direction=H","UseDPDF=Y")</f>
        <v>114.4</v>
      </c>
      <c r="L70" s="13" cm="1">
        <f t="array" ref="L70">_xll.BDH("PCAR US Equity","BS_ADD_PAID_IN_CAP","FQ4 2020","FQ4 2020","Currency=USD","Period=FQ","BEST_FPERIOD_OVERRIDE=FQ","FILING_STATUS=MR","SCALING_FORMAT=MLN","Sort=A","Dates=H","DateFormat=P","Fill=—","Direction=H","UseDPDF=Y")</f>
        <v>88.5</v>
      </c>
      <c r="M70" s="13" cm="1">
        <f t="array" ref="M70">_xll.BDH("PCAR US Equity","BS_ADD_PAID_IN_CAP","FQ1 2021","FQ1 2021","Currency=USD","Period=FQ","BEST_FPERIOD_OVERRIDE=FQ","FILING_STATUS=MR","SCALING_FORMAT=MLN","Sort=A","Dates=H","DateFormat=P","Fill=—","Direction=H","UseDPDF=Y")</f>
        <v>124.3</v>
      </c>
      <c r="N70" s="13" cm="1">
        <f t="array" ref="N70">_xll.BDH("PCAR US Equity","BS_ADD_PAID_IN_CAP","FQ2 2021","FQ2 2021","Currency=USD","Period=FQ","BEST_FPERIOD_OVERRIDE=FQ","FILING_STATUS=MR","SCALING_FORMAT=MLN","Sort=A","Dates=H","DateFormat=P","Fill=—","Direction=H","UseDPDF=Y")</f>
        <v>128.9</v>
      </c>
      <c r="O70" s="13" cm="1">
        <f t="array" ref="O70">_xll.BDH("PCAR US Equity","BS_ADD_PAID_IN_CAP","FQ3 2021","FQ3 2021","Currency=USD","Period=FQ","BEST_FPERIOD_OVERRIDE=FQ","FILING_STATUS=MR","SCALING_FORMAT=MLN","Sort=A","Dates=H","DateFormat=P","Fill=—","Direction=H","UseDPDF=Y")</f>
        <v>131.80000000000001</v>
      </c>
      <c r="P70" s="13" cm="1">
        <f t="array" ref="P70">_xll.BDH("PCAR US Equity","BS_ADD_PAID_IN_CAP","FQ4 2021","FQ4 2021","Currency=USD","Period=FQ","BEST_FPERIOD_OVERRIDE=FQ","FILING_STATUS=MR","SCALING_FORMAT=MLN","Sort=A","Dates=H","DateFormat=P","Fill=—","Direction=H","UseDPDF=Y")</f>
        <v>142</v>
      </c>
      <c r="Q70" s="13" cm="1">
        <f t="array" ref="Q70">_xll.BDH("PCAR US Equity","BS_ADD_PAID_IN_CAP","FQ1 2022","FQ1 2022","Currency=USD","Period=FQ","BEST_FPERIOD_OVERRIDE=FQ","FILING_STATUS=MR","SCALING_FORMAT=MLN","Sort=A","Dates=H","DateFormat=P","Fill=—","Direction=H","UseDPDF=Y")</f>
        <v>167.3</v>
      </c>
      <c r="R70" s="13" cm="1">
        <f t="array" ref="R70">_xll.BDH("PCAR US Equity","BS_ADD_PAID_IN_CAP","FQ2 2022","FQ2 2022","Currency=USD","Period=FQ","BEST_FPERIOD_OVERRIDE=FQ","FILING_STATUS=MR","SCALING_FORMAT=MLN","Sort=A","Dates=H","DateFormat=P","Fill=—","Direction=H","UseDPDF=Y")</f>
        <v>174</v>
      </c>
      <c r="S70" s="13" cm="1">
        <f t="array" ref="S70">_xll.BDH("PCAR US Equity","BS_ADD_PAID_IN_CAP","FQ3 2022","FQ3 2022","Currency=USD","Period=FQ","BEST_FPERIOD_OVERRIDE=FQ","FILING_STATUS=MR","SCALING_FORMAT=MLN","Sort=A","Dates=H","DateFormat=P","Fill=—","Direction=H","UseDPDF=Y")</f>
        <v>180</v>
      </c>
      <c r="T70" s="13" cm="1">
        <f t="array" ref="T70">_xll.BDH("PCAR US Equity","BS_ADD_PAID_IN_CAP","FQ4 2022","FQ4 2022","Currency=USD","Period=FQ","BEST_FPERIOD_OVERRIDE=FQ","FILING_STATUS=MR","SCALING_FORMAT=MLN","Sort=A","Dates=H","DateFormat=P","Fill=—","Direction=H","UseDPDF=Y")</f>
        <v>196.1</v>
      </c>
      <c r="U70" s="13" cm="1">
        <f t="array" ref="U70">_xll.BDH("PCAR US Equity","BS_ADD_PAID_IN_CAP","FQ1 2023","FQ1 2023","Currency=USD","Period=FQ","BEST_FPERIOD_OVERRIDE=FQ","FILING_STATUS=MR","SCALING_FORMAT=MLN","Sort=A","Dates=H","DateFormat=P","Fill=—","Direction=H","UseDPDF=Y")</f>
        <v>230.3</v>
      </c>
      <c r="V70" s="13" cm="1">
        <f t="array" ref="V70">_xll.BDH("PCAR US Equity","BS_ADD_PAID_IN_CAP","FQ2 2023","FQ2 2023","Currency=USD","Period=FQ","BEST_FPERIOD_OVERRIDE=FQ","FILING_STATUS=MR","SCALING_FORMAT=MLN","Sort=A","Dates=H","DateFormat=P","Fill=—","Direction=H","UseDPDF=Y")</f>
        <v>241.8</v>
      </c>
      <c r="W70" s="13" cm="1">
        <f t="array" ref="W70">_xll.BDH("PCAR US Equity","BS_ADD_PAID_IN_CAP","FQ3 2023","FQ3 2023","Currency=USD","Period=FQ","BEST_FPERIOD_OVERRIDE=FQ","FILING_STATUS=MR","SCALING_FORMAT=MLN","Sort=A","Dates=H","DateFormat=P","Fill=—","Direction=H","UseDPDF=Y")</f>
        <v>258.3</v>
      </c>
      <c r="X70" s="13" cm="1">
        <f t="array" ref="X70">_xll.BDH("PCAR US Equity","BS_ADD_PAID_IN_CAP","FQ4 2023","FQ4 2023","Currency=USD","Period=FQ","BEST_FPERIOD_OVERRIDE=FQ","FILING_STATUS=MR","SCALING_FORMAT=MLN","Sort=A","Dates=H","DateFormat=P","Fill=—","Direction=H","UseDPDF=Y")</f>
        <v>269.10000000000002</v>
      </c>
      <c r="Y70" s="13" cm="1">
        <f t="array" ref="Y70">_xll.BDH("PCAR US Equity","BS_ADD_PAID_IN_CAP","FQ1 2024","FQ1 2024","Currency=USD","Period=FQ","BEST_FPERIOD_OVERRIDE=FQ","FILING_STATUS=MR","SCALING_FORMAT=MLN","Sort=A","Dates=H","DateFormat=P","Fill=—","Direction=H","UseDPDF=Y")</f>
        <v>318.3</v>
      </c>
      <c r="Z70" s="13" cm="1">
        <f t="array" ref="Z70">_xll.BDH("PCAR US Equity","BS_ADD_PAID_IN_CAP","FQ2 2024","FQ2 2024","Currency=USD","Period=FQ","BEST_FPERIOD_OVERRIDE=FQ","FILING_STATUS=MR","SCALING_FORMAT=MLN","Sort=A","Dates=H","DateFormat=P","Fill=—","Direction=H","UseDPDF=Y")</f>
        <v>329.2</v>
      </c>
      <c r="AA70" s="13" cm="1">
        <f t="array" ref="AA70">_xll.BDH("PCAR US Equity","BS_ADD_PAID_IN_CAP","FQ3 2024","FQ3 2024","Currency=USD","Period=FQ","BEST_FPERIOD_OVERRIDE=FQ","FILING_STATUS=MR","SCALING_FORMAT=MLN","Sort=A","Dates=H","DateFormat=P","Fill=—","Direction=H","UseDPDF=Y")</f>
        <v>336</v>
      </c>
      <c r="AB70" s="13" cm="1">
        <f t="array" ref="AB70">_xll.BDH("PCAR US Equity","BS_ADD_PAID_IN_CAP","FQ4 2024","FQ4 2024","Currency=USD","Period=FQ","BEST_FPERIOD_OVERRIDE=FQ","FILING_STATUS=MR","SCALING_FORMAT=MLN","Sort=A","Dates=H","DateFormat=P","Fill=—","Direction=H","UseDPDF=Y")</f>
        <v>344.8</v>
      </c>
      <c r="AC70" s="13" cm="1">
        <f t="array" ref="AC70">_xll.BDH("PCAR US Equity","BS_ADD_PAID_IN_CAP","FQ1 2025","FQ1 2025","Currency=USD","Period=FQ","BEST_FPERIOD_OVERRIDE=FQ","FILING_STATUS=MR","SCALING_FORMAT=MLN","Sort=A","Dates=H","DateFormat=P","Fill=—","Direction=H","UseDPDF=Y")</f>
        <v>382</v>
      </c>
      <c r="AD70" s="13" cm="1">
        <f t="array" ref="AD70">_xll.BDH("PCAR US Equity","BS_ADD_PAID_IN_CAP","FQ2 2025","FQ2 2025","Currency=USD","Period=FQ","BEST_FPERIOD_OVERRIDE=FQ","FILING_STATUS=MR","SCALING_FORMAT=MLN","Sort=A","Dates=H","DateFormat=P","Fill=—","Direction=H","UseDPDF=Y")</f>
        <v>389</v>
      </c>
      <c r="AE70" s="13" cm="1">
        <f t="array" ref="AE70">_xll.BDH("PCAR US Equity","BS_ADD_PAID_IN_CAP","FQ3 2025","FQ3 2025","Currency=USD","Period=FQ","BEST_FPERIOD_OVERRIDE=FQ","FILING_STATUS=MR","SCALING_FORMAT=MLN","Sort=A","Dates=H","DateFormat=P","Fill=—","Direction=H","UseDPDF=Y")</f>
        <v>398.2</v>
      </c>
      <c r="AF70" s="13" t="str" cm="1">
        <f t="array" ref="AF70">_xll.BDH("PCAR US Equity","BS_ADD_PAID_IN_CAP","FQ4 2025","FQ4 2025","Currency=USD","Period=FQ","BEST_FPERIOD_OVERRIDE=FQ","FILING_STATUS=MR","SCALING_FORMAT=MLN","Sort=A","Dates=H","DateFormat=P","Fill=—","Direction=H","UseDPDF=Y")</f>
        <v>—</v>
      </c>
    </row>
    <row r="71" spans="1:32" x14ac:dyDescent="0.25">
      <c r="A71" s="10" t="s">
        <v>186</v>
      </c>
      <c r="B71" s="10" t="s">
        <v>187</v>
      </c>
      <c r="C71" s="13" cm="1">
        <f t="array" ref="C71">_xll.BDH("PCAR US Equity","BS_AMT_OF_TSY_STOCK","FQ3 2018","FQ3 2018","Currency=USD","Period=FQ","BEST_FPERIOD_OVERRIDE=FQ","FILING_STATUS=MR","SCALING_FORMAT=MLN","Sort=A","Dates=H","DateFormat=P","Fill=—","Direction=H","UseDPDF=Y")</f>
        <v>153.19999999999999</v>
      </c>
      <c r="D71" s="13" cm="1">
        <f t="array" ref="D71">_xll.BDH("PCAR US Equity","BS_AMT_OF_TSY_STOCK","FQ4 2018","FQ4 2018","Currency=USD","Period=FQ","BEST_FPERIOD_OVERRIDE=FQ","FILING_STATUS=MR","SCALING_FORMAT=MLN","Sort=A","Dates=H","DateFormat=P","Fill=—","Direction=H","UseDPDF=Y")</f>
        <v>0</v>
      </c>
      <c r="E71" s="13" cm="1">
        <f t="array" ref="E71">_xll.BDH("PCAR US Equity","BS_AMT_OF_TSY_STOCK","FQ1 2019","FQ1 2019","Currency=USD","Period=FQ","BEST_FPERIOD_OVERRIDE=FQ","FILING_STATUS=MR","SCALING_FORMAT=MLN","Sort=A","Dates=H","DateFormat=P","Fill=—","Direction=H","UseDPDF=Y")</f>
        <v>33.4</v>
      </c>
      <c r="F71" s="13" cm="1">
        <f t="array" ref="F71">_xll.BDH("PCAR US Equity","BS_AMT_OF_TSY_STOCK","FQ2 2019","FQ2 2019","Currency=USD","Period=FQ","BEST_FPERIOD_OVERRIDE=FQ","FILING_STATUS=MR","SCALING_FORMAT=MLN","Sort=A","Dates=H","DateFormat=P","Fill=—","Direction=H","UseDPDF=Y")</f>
        <v>56.5</v>
      </c>
      <c r="G71" s="13" cm="1">
        <f t="array" ref="G71">_xll.BDH("PCAR US Equity","BS_AMT_OF_TSY_STOCK","FQ3 2019","FQ3 2019","Currency=USD","Period=FQ","BEST_FPERIOD_OVERRIDE=FQ","FILING_STATUS=MR","SCALING_FORMAT=MLN","Sort=A","Dates=H","DateFormat=P","Fill=—","Direction=H","UseDPDF=Y")</f>
        <v>110.2</v>
      </c>
      <c r="H71" s="13" cm="1">
        <f t="array" ref="H71">_xll.BDH("PCAR US Equity","BS_AMT_OF_TSY_STOCK","FQ4 2019","FQ4 2019","Currency=USD","Period=FQ","BEST_FPERIOD_OVERRIDE=FQ","FILING_STATUS=MR","SCALING_FORMAT=MLN","Sort=A","Dates=H","DateFormat=P","Fill=—","Direction=H","UseDPDF=Y")</f>
        <v>0</v>
      </c>
      <c r="I71" s="13" cm="1">
        <f t="array" ref="I71">_xll.BDH("PCAR US Equity","BS_AMT_OF_TSY_STOCK","FQ1 2020","FQ1 2020","Currency=USD","Period=FQ","BEST_FPERIOD_OVERRIDE=FQ","FILING_STATUS=MR","SCALING_FORMAT=MLN","Sort=A","Dates=H","DateFormat=P","Fill=—","Direction=H","UseDPDF=Y")</f>
        <v>41.5</v>
      </c>
      <c r="J71" s="13" cm="1">
        <f t="array" ref="J71">_xll.BDH("PCAR US Equity","BS_AMT_OF_TSY_STOCK","FQ2 2020","FQ2 2020","Currency=USD","Period=FQ","BEST_FPERIOD_OVERRIDE=FQ","FILING_STATUS=MR","SCALING_FORMAT=MLN","Sort=A","Dates=H","DateFormat=P","Fill=—","Direction=H","UseDPDF=Y")</f>
        <v>41.6</v>
      </c>
      <c r="K71" s="13" cm="1">
        <f t="array" ref="K71">_xll.BDH("PCAR US Equity","BS_AMT_OF_TSY_STOCK","FQ3 2020","FQ3 2020","Currency=USD","Period=FQ","BEST_FPERIOD_OVERRIDE=FQ","FILING_STATUS=MR","SCALING_FORMAT=MLN","Sort=A","Dates=H","DateFormat=P","Fill=—","Direction=H","UseDPDF=Y")</f>
        <v>41.6</v>
      </c>
      <c r="L71" s="13" cm="1">
        <f t="array" ref="L71">_xll.BDH("PCAR US Equity","BS_AMT_OF_TSY_STOCK","FQ4 2020","FQ4 2020","Currency=USD","Period=FQ","BEST_FPERIOD_OVERRIDE=FQ","FILING_STATUS=MR","SCALING_FORMAT=MLN","Sort=A","Dates=H","DateFormat=P","Fill=—","Direction=H","UseDPDF=Y")</f>
        <v>0</v>
      </c>
      <c r="M71" s="13" cm="1">
        <f t="array" ref="M71">_xll.BDH("PCAR US Equity","BS_AMT_OF_TSY_STOCK","FQ1 2021","FQ1 2021","Currency=USD","Period=FQ","BEST_FPERIOD_OVERRIDE=FQ","FILING_STATUS=MR","SCALING_FORMAT=MLN","Sort=A","Dates=H","DateFormat=P","Fill=—","Direction=H","UseDPDF=Y")</f>
        <v>1.4</v>
      </c>
      <c r="N71" s="13" cm="1">
        <f t="array" ref="N71">_xll.BDH("PCAR US Equity","BS_AMT_OF_TSY_STOCK","FQ2 2021","FQ2 2021","Currency=USD","Period=FQ","BEST_FPERIOD_OVERRIDE=FQ","FILING_STATUS=MR","SCALING_FORMAT=MLN","Sort=A","Dates=H","DateFormat=P","Fill=—","Direction=H","UseDPDF=Y")</f>
        <v>1.4</v>
      </c>
      <c r="O71" s="13" cm="1">
        <f t="array" ref="O71">_xll.BDH("PCAR US Equity","BS_AMT_OF_TSY_STOCK","FQ3 2021","FQ3 2021","Currency=USD","Period=FQ","BEST_FPERIOD_OVERRIDE=FQ","FILING_STATUS=MR","SCALING_FORMAT=MLN","Sort=A","Dates=H","DateFormat=P","Fill=—","Direction=H","UseDPDF=Y")</f>
        <v>1.5</v>
      </c>
      <c r="P71" s="13" cm="1">
        <f t="array" ref="P71">_xll.BDH("PCAR US Equity","BS_AMT_OF_TSY_STOCK","FQ4 2021","FQ4 2021","Currency=USD","Period=FQ","BEST_FPERIOD_OVERRIDE=FQ","FILING_STATUS=MR","SCALING_FORMAT=MLN","Sort=A","Dates=H","DateFormat=P","Fill=—","Direction=H","UseDPDF=Y")</f>
        <v>0</v>
      </c>
      <c r="Q71" s="13" cm="1">
        <f t="array" ref="Q71">_xll.BDH("PCAR US Equity","BS_AMT_OF_TSY_STOCK","FQ1 2022","FQ1 2022","Currency=USD","Period=FQ","BEST_FPERIOD_OVERRIDE=FQ","FILING_STATUS=MR","SCALING_FORMAT=MLN","Sort=A","Dates=H","DateFormat=P","Fill=—","Direction=H","UseDPDF=Y")</f>
        <v>1.9</v>
      </c>
      <c r="R71" s="13" cm="1">
        <f t="array" ref="R71">_xll.BDH("PCAR US Equity","BS_AMT_OF_TSY_STOCK","FQ2 2022","FQ2 2022","Currency=USD","Period=FQ","BEST_FPERIOD_OVERRIDE=FQ","FILING_STATUS=MR","SCALING_FORMAT=MLN","Sort=A","Dates=H","DateFormat=P","Fill=—","Direction=H","UseDPDF=Y")</f>
        <v>1.9</v>
      </c>
      <c r="S71" s="13" cm="1">
        <f t="array" ref="S71">_xll.BDH("PCAR US Equity","BS_AMT_OF_TSY_STOCK","FQ3 2022","FQ3 2022","Currency=USD","Period=FQ","BEST_FPERIOD_OVERRIDE=FQ","FILING_STATUS=MR","SCALING_FORMAT=MLN","Sort=A","Dates=H","DateFormat=P","Fill=—","Direction=H","UseDPDF=Y")</f>
        <v>2</v>
      </c>
      <c r="T71" s="13" cm="1">
        <f t="array" ref="T71">_xll.BDH("PCAR US Equity","BS_AMT_OF_TSY_STOCK","FQ4 2022","FQ4 2022","Currency=USD","Period=FQ","BEST_FPERIOD_OVERRIDE=FQ","FILING_STATUS=MR","SCALING_FORMAT=MLN","Sort=A","Dates=H","DateFormat=P","Fill=—","Direction=H","UseDPDF=Y")</f>
        <v>0</v>
      </c>
      <c r="U71" s="13" cm="1">
        <f t="array" ref="U71">_xll.BDH("PCAR US Equity","BS_AMT_OF_TSY_STOCK","FQ1 2023","FQ1 2023","Currency=USD","Period=FQ","BEST_FPERIOD_OVERRIDE=FQ","FILING_STATUS=MR","SCALING_FORMAT=MLN","Sort=A","Dates=H","DateFormat=P","Fill=—","Direction=H","UseDPDF=Y")</f>
        <v>3</v>
      </c>
      <c r="V71" s="13" cm="1">
        <f t="array" ref="V71">_xll.BDH("PCAR US Equity","BS_AMT_OF_TSY_STOCK","FQ2 2023","FQ2 2023","Currency=USD","Period=FQ","BEST_FPERIOD_OVERRIDE=FQ","FILING_STATUS=MR","SCALING_FORMAT=MLN","Sort=A","Dates=H","DateFormat=P","Fill=—","Direction=H","UseDPDF=Y")</f>
        <v>3</v>
      </c>
      <c r="W71" s="13" cm="1">
        <f t="array" ref="W71">_xll.BDH("PCAR US Equity","BS_AMT_OF_TSY_STOCK","FQ3 2023","FQ3 2023","Currency=USD","Period=FQ","BEST_FPERIOD_OVERRIDE=FQ","FILING_STATUS=MR","SCALING_FORMAT=MLN","Sort=A","Dates=H","DateFormat=P","Fill=—","Direction=H","UseDPDF=Y")</f>
        <v>3.1</v>
      </c>
      <c r="X71" s="13" cm="1">
        <f t="array" ref="X71">_xll.BDH("PCAR US Equity","BS_AMT_OF_TSY_STOCK","FQ4 2023","FQ4 2023","Currency=USD","Period=FQ","BEST_FPERIOD_OVERRIDE=FQ","FILING_STATUS=MR","SCALING_FORMAT=MLN","Sort=A","Dates=H","DateFormat=P","Fill=—","Direction=H","UseDPDF=Y")</f>
        <v>0</v>
      </c>
      <c r="Y71" s="13" cm="1">
        <f t="array" ref="Y71">_xll.BDH("PCAR US Equity","BS_AMT_OF_TSY_STOCK","FQ1 2024","FQ1 2024","Currency=USD","Period=FQ","BEST_FPERIOD_OVERRIDE=FQ","FILING_STATUS=MR","SCALING_FORMAT=MLN","Sort=A","Dates=H","DateFormat=P","Fill=—","Direction=H","UseDPDF=Y")</f>
        <v>4</v>
      </c>
      <c r="Z71" s="13" cm="1">
        <f t="array" ref="Z71">_xll.BDH("PCAR US Equity","BS_AMT_OF_TSY_STOCK","FQ2 2024","FQ2 2024","Currency=USD","Period=FQ","BEST_FPERIOD_OVERRIDE=FQ","FILING_STATUS=MR","SCALING_FORMAT=MLN","Sort=A","Dates=H","DateFormat=P","Fill=—","Direction=H","UseDPDF=Y")</f>
        <v>4</v>
      </c>
      <c r="AA71" s="13" cm="1">
        <f t="array" ref="AA71">_xll.BDH("PCAR US Equity","BS_AMT_OF_TSY_STOCK","FQ3 2024","FQ3 2024","Currency=USD","Period=FQ","BEST_FPERIOD_OVERRIDE=FQ","FILING_STATUS=MR","SCALING_FORMAT=MLN","Sort=A","Dates=H","DateFormat=P","Fill=—","Direction=H","UseDPDF=Y")</f>
        <v>4.5</v>
      </c>
      <c r="AB71" s="13" cm="1">
        <f t="array" ref="AB71">_xll.BDH("PCAR US Equity","BS_AMT_OF_TSY_STOCK","FQ4 2024","FQ4 2024","Currency=USD","Period=FQ","BEST_FPERIOD_OVERRIDE=FQ","FILING_STATUS=MR","SCALING_FORMAT=MLN","Sort=A","Dates=H","DateFormat=P","Fill=—","Direction=H","UseDPDF=Y")</f>
        <v>0</v>
      </c>
      <c r="AC71" s="13" cm="1">
        <f t="array" ref="AC71">_xll.BDH("PCAR US Equity","BS_AMT_OF_TSY_STOCK","FQ1 2025","FQ1 2025","Currency=USD","Period=FQ","BEST_FPERIOD_OVERRIDE=FQ","FILING_STATUS=MR","SCALING_FORMAT=MLN","Sort=A","Dates=H","DateFormat=P","Fill=—","Direction=H","UseDPDF=Y")</f>
        <v>4.3</v>
      </c>
      <c r="AD71" s="13" cm="1">
        <f t="array" ref="AD71">_xll.BDH("PCAR US Equity","BS_AMT_OF_TSY_STOCK","FQ2 2025","FQ2 2025","Currency=USD","Period=FQ","BEST_FPERIOD_OVERRIDE=FQ","FILING_STATUS=MR","SCALING_FORMAT=MLN","Sort=A","Dates=H","DateFormat=P","Fill=—","Direction=H","UseDPDF=Y")</f>
        <v>35</v>
      </c>
      <c r="AE71" s="13" cm="1">
        <f t="array" ref="AE71">_xll.BDH("PCAR US Equity","BS_AMT_OF_TSY_STOCK","FQ3 2025","FQ3 2025","Currency=USD","Period=FQ","BEST_FPERIOD_OVERRIDE=FQ","FILING_STATUS=MR","SCALING_FORMAT=MLN","Sort=A","Dates=H","DateFormat=P","Fill=—","Direction=H","UseDPDF=Y")</f>
        <v>35.200000000000003</v>
      </c>
      <c r="AF71" s="13" t="str" cm="1">
        <f t="array" ref="AF71">_xll.BDH("PCAR US Equity","BS_AMT_OF_TSY_STOCK","FQ4 2025","FQ4 2025","Currency=USD","Period=FQ","BEST_FPERIOD_OVERRIDE=FQ","FILING_STATUS=MR","SCALING_FORMAT=MLN","Sort=A","Dates=H","DateFormat=P","Fill=—","Direction=H","UseDPDF=Y")</f>
        <v>—</v>
      </c>
    </row>
    <row r="72" spans="1:32" x14ac:dyDescent="0.25">
      <c r="A72" s="10" t="s">
        <v>188</v>
      </c>
      <c r="B72" s="10" t="s">
        <v>189</v>
      </c>
      <c r="C72" s="13" cm="1">
        <f t="array" ref="C72">_xll.BDH("PCAR US Equity","BS_PURE_RETAINED_EARNINGS","FQ3 2018","FQ3 2018","Currency=USD","Period=FQ","BEST_FPERIOD_OVERRIDE=FQ","FILING_STATUS=MR","SCALING_FORMAT=MLN","Sort=A","Dates=H","DateFormat=P","Fill=—","Direction=H","UseDPDF=Y")</f>
        <v>9718.4</v>
      </c>
      <c r="D72" s="13" cm="1">
        <f t="array" ref="D72">_xll.BDH("PCAR US Equity","BS_PURE_RETAINED_EARNINGS","FQ4 2018","FQ4 2018","Currency=USD","Period=FQ","BEST_FPERIOD_OVERRIDE=FQ","FILING_STATUS=MR","SCALING_FORMAT=MLN","Sort=A","Dates=H","DateFormat=P","Fill=—","Direction=H","UseDPDF=Y")</f>
        <v>9275.4</v>
      </c>
      <c r="E72" s="13" cm="1">
        <f t="array" ref="E72">_xll.BDH("PCAR US Equity","BS_PURE_RETAINED_EARNINGS","FQ1 2019","FQ1 2019","Currency=USD","Period=FQ","BEST_FPERIOD_OVERRIDE=FQ","FILING_STATUS=MR","SCALING_FORMAT=MLN","Sort=A","Dates=H","DateFormat=P","Fill=—","Direction=H","UseDPDF=Y")</f>
        <v>9793.1</v>
      </c>
      <c r="F72" s="13" cm="1">
        <f t="array" ref="F72">_xll.BDH("PCAR US Equity","BS_PURE_RETAINED_EARNINGS","FQ2 2019","FQ2 2019","Currency=USD","Period=FQ","BEST_FPERIOD_OVERRIDE=FQ","FILING_STATUS=MR","SCALING_FORMAT=MLN","Sort=A","Dates=H","DateFormat=P","Fill=—","Direction=H","UseDPDF=Y")</f>
        <v>10301.799999999999</v>
      </c>
      <c r="G72" s="13" cm="1">
        <f t="array" ref="G72">_xll.BDH("PCAR US Equity","BS_PURE_RETAINED_EARNINGS","FQ3 2019","FQ3 2019","Currency=USD","Period=FQ","BEST_FPERIOD_OVERRIDE=FQ","FILING_STATUS=MR","SCALING_FORMAT=MLN","Sort=A","Dates=H","DateFormat=P","Fill=—","Direction=H","UseDPDF=Y")</f>
        <v>10798.7</v>
      </c>
      <c r="H72" s="13" cm="1">
        <f t="array" ref="H72">_xll.BDH("PCAR US Equity","BS_PURE_RETAINED_EARNINGS","FQ4 2019","FQ4 2019","Currency=USD","Period=FQ","BEST_FPERIOD_OVERRIDE=FQ","FILING_STATUS=MR","SCALING_FORMAT=MLN","Sort=A","Dates=H","DateFormat=P","Fill=—","Direction=H","UseDPDF=Y")</f>
        <v>10398.5</v>
      </c>
      <c r="I72" s="13" cm="1">
        <f t="array" ref="I72">_xll.BDH("PCAR US Equity","BS_PURE_RETAINED_EARNINGS","FQ1 2020","FQ1 2020","Currency=USD","Period=FQ","BEST_FPERIOD_OVERRIDE=FQ","FILING_STATUS=MR","SCALING_FORMAT=MLN","Sort=A","Dates=H","DateFormat=P","Fill=—","Direction=H","UseDPDF=Y")</f>
        <v>10642.2</v>
      </c>
      <c r="J72" s="13" cm="1">
        <f t="array" ref="J72">_xll.BDH("PCAR US Equity","BS_PURE_RETAINED_EARNINGS","FQ2 2020","FQ2 2020","Currency=USD","Period=FQ","BEST_FPERIOD_OVERRIDE=FQ","FILING_STATUS=MR","SCALING_FORMAT=MLN","Sort=A","Dates=H","DateFormat=P","Fill=—","Direction=H","UseDPDF=Y")</f>
        <v>10679.1</v>
      </c>
      <c r="K72" s="13" cm="1">
        <f t="array" ref="K72">_xll.BDH("PCAR US Equity","BS_PURE_RETAINED_EARNINGS","FQ3 2020","FQ3 2020","Currency=USD","Period=FQ","BEST_FPERIOD_OVERRIDE=FQ","FILING_STATUS=MR","SCALING_FORMAT=MLN","Sort=A","Dates=H","DateFormat=P","Fill=—","Direction=H","UseDPDF=Y")</f>
        <v>10953.6</v>
      </c>
      <c r="L72" s="13" cm="1">
        <f t="array" ref="L72">_xll.BDH("PCAR US Equity","BS_PURE_RETAINED_EARNINGS","FQ4 2020","FQ4 2020","Currency=USD","Period=FQ","BEST_FPERIOD_OVERRIDE=FQ","FILING_STATUS=MR","SCALING_FORMAT=MLN","Sort=A","Dates=H","DateFormat=P","Fill=—","Direction=H","UseDPDF=Y")</f>
        <v>11005.2</v>
      </c>
      <c r="M72" s="13" cm="1">
        <f t="array" ref="M72">_xll.BDH("PCAR US Equity","BS_PURE_RETAINED_EARNINGS","FQ1 2021","FQ1 2021","Currency=USD","Period=FQ","BEST_FPERIOD_OVERRIDE=FQ","FILING_STATUS=MR","SCALING_FORMAT=MLN","Sort=A","Dates=H","DateFormat=P","Fill=—","Direction=H","UseDPDF=Y")</f>
        <v>11364</v>
      </c>
      <c r="N72" s="13" cm="1">
        <f t="array" ref="N72">_xll.BDH("PCAR US Equity","BS_PURE_RETAINED_EARNINGS","FQ2 2021","FQ2 2021","Currency=USD","Period=FQ","BEST_FPERIOD_OVERRIDE=FQ","FILING_STATUS=MR","SCALING_FORMAT=MLN","Sort=A","Dates=H","DateFormat=P","Fill=—","Direction=H","UseDPDF=Y")</f>
        <v>11738.7</v>
      </c>
      <c r="O72" s="13" cm="1">
        <f t="array" ref="O72">_xll.BDH("PCAR US Equity","BS_PURE_RETAINED_EARNINGS","FQ3 2021","FQ3 2021","Currency=USD","Period=FQ","BEST_FPERIOD_OVERRIDE=FQ","FILING_STATUS=MR","SCALING_FORMAT=MLN","Sort=A","Dates=H","DateFormat=P","Fill=—","Direction=H","UseDPDF=Y")</f>
        <v>11998.1</v>
      </c>
      <c r="P72" s="13" cm="1">
        <f t="array" ref="P72">_xll.BDH("PCAR US Equity","BS_PURE_RETAINED_EARNINGS","FQ4 2021","FQ4 2021","Currency=USD","Period=FQ","BEST_FPERIOD_OVERRIDE=FQ","FILING_STATUS=MR","SCALING_FORMAT=MLN","Sort=A","Dates=H","DateFormat=P","Fill=—","Direction=H","UseDPDF=Y")</f>
        <v>12025.8</v>
      </c>
      <c r="Q72" s="13" cm="1">
        <f t="array" ref="Q72">_xll.BDH("PCAR US Equity","BS_PURE_RETAINED_EARNINGS","FQ1 2022","FQ1 2022","Currency=USD","Period=FQ","BEST_FPERIOD_OVERRIDE=FQ","FILING_STATUS=MR","SCALING_FORMAT=MLN","Sort=A","Dates=H","DateFormat=P","Fill=—","Direction=H","UseDPDF=Y")</f>
        <v>12507.9</v>
      </c>
      <c r="R72" s="13" cm="1">
        <f t="array" ref="R72">_xll.BDH("PCAR US Equity","BS_PURE_RETAINED_EARNINGS","FQ2 2022","FQ2 2022","Currency=USD","Period=FQ","BEST_FPERIOD_OVERRIDE=FQ","FILING_STATUS=MR","SCALING_FORMAT=MLN","Sort=A","Dates=H","DateFormat=P","Fill=—","Direction=H","UseDPDF=Y")</f>
        <v>13109.9</v>
      </c>
      <c r="S72" s="13" cm="1">
        <f t="array" ref="S72">_xll.BDH("PCAR US Equity","BS_PURE_RETAINED_EARNINGS","FQ3 2022","FQ3 2022","Currency=USD","Period=FQ","BEST_FPERIOD_OVERRIDE=FQ","FILING_STATUS=MR","SCALING_FORMAT=MLN","Sort=A","Dates=H","DateFormat=P","Fill=—","Direction=H","UseDPDF=Y")</f>
        <v>13760.8</v>
      </c>
      <c r="T72" s="13" cm="1">
        <f t="array" ref="T72">_xll.BDH("PCAR US Equity","BS_PURE_RETAINED_EARNINGS","FQ4 2022","FQ4 2022","Currency=USD","Period=FQ","BEST_FPERIOD_OVERRIDE=FQ","FILING_STATUS=MR","SCALING_FORMAT=MLN","Sort=A","Dates=H","DateFormat=P","Fill=—","Direction=H","UseDPDF=Y")</f>
        <v>13402.4</v>
      </c>
      <c r="U72" s="13" cm="1">
        <f t="array" ref="U72">_xll.BDH("PCAR US Equity","BS_PURE_RETAINED_EARNINGS","FQ1 2023","FQ1 2023","Currency=USD","Period=FQ","BEST_FPERIOD_OVERRIDE=FQ","FILING_STATUS=MR","SCALING_FORMAT=MLN","Sort=A","Dates=H","DateFormat=P","Fill=—","Direction=H","UseDPDF=Y")</f>
        <v>14005.3</v>
      </c>
      <c r="V72" s="13" cm="1">
        <f t="array" ref="V72">_xll.BDH("PCAR US Equity","BS_PURE_RETAINED_EARNINGS","FQ2 2023","FQ2 2023","Currency=USD","Period=FQ","BEST_FPERIOD_OVERRIDE=FQ","FILING_STATUS=MR","SCALING_FORMAT=MLN","Sort=A","Dates=H","DateFormat=P","Fill=—","Direction=H","UseDPDF=Y")</f>
        <v>15095.5</v>
      </c>
      <c r="W72" s="13" cm="1">
        <f t="array" ref="W72">_xll.BDH("PCAR US Equity","BS_PURE_RETAINED_EARNINGS","FQ3 2023","FQ3 2023","Currency=USD","Period=FQ","BEST_FPERIOD_OVERRIDE=FQ","FILING_STATUS=MR","SCALING_FORMAT=MLN","Sort=A","Dates=H","DateFormat=P","Fill=—","Direction=H","UseDPDF=Y")</f>
        <v>16182.4</v>
      </c>
      <c r="X72" s="13" cm="1">
        <f t="array" ref="X72">_xll.BDH("PCAR US Equity","BS_PURE_RETAINED_EARNINGS","FQ4 2023","FQ4 2023","Currency=USD","Period=FQ","BEST_FPERIOD_OVERRIDE=FQ","FILING_STATUS=MR","SCALING_FORMAT=MLN","Sort=A","Dates=H","DateFormat=P","Fill=—","Direction=H","UseDPDF=Y")</f>
        <v>15780.3</v>
      </c>
      <c r="Y72" s="13" cm="1">
        <f t="array" ref="Y72">_xll.BDH("PCAR US Equity","BS_PURE_RETAINED_EARNINGS","FQ1 2024","FQ1 2024","Currency=USD","Period=FQ","BEST_FPERIOD_OVERRIDE=FQ","FILING_STATUS=MR","SCALING_FORMAT=MLN","Sort=A","Dates=H","DateFormat=P","Fill=—","Direction=H","UseDPDF=Y")</f>
        <v>16833.7</v>
      </c>
      <c r="Z72" s="13" cm="1">
        <f t="array" ref="Z72">_xll.BDH("PCAR US Equity","BS_PURE_RETAINED_EARNINGS","FQ2 2024","FQ2 2024","Currency=USD","Period=FQ","BEST_FPERIOD_OVERRIDE=FQ","FILING_STATUS=MR","SCALING_FORMAT=MLN","Sort=A","Dates=H","DateFormat=P","Fill=—","Direction=H","UseDPDF=Y")</f>
        <v>17798.599999999999</v>
      </c>
      <c r="AA72" s="13" cm="1">
        <f t="array" ref="AA72">_xll.BDH("PCAR US Equity","BS_PURE_RETAINED_EARNINGS","FQ3 2024","FQ3 2024","Currency=USD","Period=FQ","BEST_FPERIOD_OVERRIDE=FQ","FILING_STATUS=MR","SCALING_FORMAT=MLN","Sort=A","Dates=H","DateFormat=P","Fill=—","Direction=H","UseDPDF=Y")</f>
        <v>18613.2</v>
      </c>
      <c r="AB72" s="13" cm="1">
        <f t="array" ref="AB72">_xll.BDH("PCAR US Equity","BS_PURE_RETAINED_EARNINGS","FQ4 2024","FQ4 2024","Currency=USD","Period=FQ","BEST_FPERIOD_OVERRIDE=FQ","FILING_STATUS=MR","SCALING_FORMAT=MLN","Sort=A","Dates=H","DateFormat=P","Fill=—","Direction=H","UseDPDF=Y")</f>
        <v>17751</v>
      </c>
      <c r="AC72" s="13" cm="1">
        <f t="array" ref="AC72">_xll.BDH("PCAR US Equity","BS_PURE_RETAINED_EARNINGS","FQ1 2025","FQ1 2025","Currency=USD","Period=FQ","BEST_FPERIOD_OVERRIDE=FQ","FILING_STATUS=MR","SCALING_FORMAT=MLN","Sort=A","Dates=H","DateFormat=P","Fill=—","Direction=H","UseDPDF=Y")</f>
        <v>18082.5</v>
      </c>
      <c r="AD72" s="13" cm="1">
        <f t="array" ref="AD72">_xll.BDH("PCAR US Equity","BS_PURE_RETAINED_EARNINGS","FQ2 2025","FQ2 2025","Currency=USD","Period=FQ","BEST_FPERIOD_OVERRIDE=FQ","FILING_STATUS=MR","SCALING_FORMAT=MLN","Sort=A","Dates=H","DateFormat=P","Fill=—","Direction=H","UseDPDF=Y")</f>
        <v>18632.8</v>
      </c>
      <c r="AE72" s="13" cm="1">
        <f t="array" ref="AE72">_xll.BDH("PCAR US Equity","BS_PURE_RETAINED_EARNINGS","FQ3 2025","FQ3 2025","Currency=USD","Period=FQ","BEST_FPERIOD_OVERRIDE=FQ","FILING_STATUS=MR","SCALING_FORMAT=MLN","Sort=A","Dates=H","DateFormat=P","Fill=—","Direction=H","UseDPDF=Y")</f>
        <v>19049.3</v>
      </c>
      <c r="AF72" s="13" t="str" cm="1">
        <f t="array" ref="AF72">_xll.BDH("PCAR US Equity","BS_PURE_RETAINED_EARNINGS","FQ4 2025","FQ4 2025","Currency=USD","Period=FQ","BEST_FPERIOD_OVERRIDE=FQ","FILING_STATUS=MR","SCALING_FORMAT=MLN","Sort=A","Dates=H","DateFormat=P","Fill=—","Direction=H","UseDPDF=Y")</f>
        <v>—</v>
      </c>
    </row>
    <row r="73" spans="1:32" x14ac:dyDescent="0.25">
      <c r="A73" s="10" t="s">
        <v>190</v>
      </c>
      <c r="B73" s="10" t="s">
        <v>191</v>
      </c>
      <c r="C73" s="13" cm="1">
        <f t="array" ref="C73">_xll.BDH("PCAR US Equity","OTHER_EQUITY_RATIO","FQ3 2018","FQ3 2018","Currency=USD","Period=FQ","BEST_FPERIOD_OVERRIDE=FQ","FILING_STATUS=MR","SCALING_FORMAT=MLN","Sort=A","Dates=H","DateFormat=P","Fill=—","Direction=H","UseDPDF=Y")</f>
        <v>-895</v>
      </c>
      <c r="D73" s="13" cm="1">
        <f t="array" ref="D73">_xll.BDH("PCAR US Equity","OTHER_EQUITY_RATIO","FQ4 2018","FQ4 2018","Currency=USD","Period=FQ","BEST_FPERIOD_OVERRIDE=FQ","FILING_STATUS=MR","SCALING_FORMAT=MLN","Sort=A","Dates=H","DateFormat=P","Fill=—","Direction=H","UseDPDF=Y")</f>
        <v>-1098.5</v>
      </c>
      <c r="E73" s="13" cm="1">
        <f t="array" ref="E73">_xll.BDH("PCAR US Equity","OTHER_EQUITY_RATIO","FQ1 2019","FQ1 2019","Currency=USD","Period=FQ","BEST_FPERIOD_OVERRIDE=FQ","FILING_STATUS=MR","SCALING_FORMAT=MLN","Sort=A","Dates=H","DateFormat=P","Fill=—","Direction=H","UseDPDF=Y")</f>
        <v>-1095.5</v>
      </c>
      <c r="F73" s="13" cm="1">
        <f t="array" ref="F73">_xll.BDH("PCAR US Equity","OTHER_EQUITY_RATIO","FQ2 2019","FQ2 2019","Currency=USD","Period=FQ","BEST_FPERIOD_OVERRIDE=FQ","FILING_STATUS=MR","SCALING_FORMAT=MLN","Sort=A","Dates=H","DateFormat=P","Fill=—","Direction=H","UseDPDF=Y")</f>
        <v>-1062.2</v>
      </c>
      <c r="G73" s="13" cm="1">
        <f t="array" ref="G73">_xll.BDH("PCAR US Equity","OTHER_EQUITY_RATIO","FQ3 2019","FQ3 2019","Currency=USD","Period=FQ","BEST_FPERIOD_OVERRIDE=FQ","FILING_STATUS=MR","SCALING_FORMAT=MLN","Sort=A","Dates=H","DateFormat=P","Fill=—","Direction=H","UseDPDF=Y")</f>
        <v>-1190</v>
      </c>
      <c r="H73" s="13" cm="1">
        <f t="array" ref="H73">_xll.BDH("PCAR US Equity","OTHER_EQUITY_RATIO","FQ4 2019","FQ4 2019","Currency=USD","Period=FQ","BEST_FPERIOD_OVERRIDE=FQ","FILING_STATUS=MR","SCALING_FORMAT=MLN","Sort=A","Dates=H","DateFormat=P","Fill=—","Direction=H","UseDPDF=Y")</f>
        <v>-1100.0999999999999</v>
      </c>
      <c r="I73" s="13" cm="1">
        <f t="array" ref="I73">_xll.BDH("PCAR US Equity","OTHER_EQUITY_RATIO","FQ1 2020","FQ1 2020","Currency=USD","Period=FQ","BEST_FPERIOD_OVERRIDE=FQ","FILING_STATUS=MR","SCALING_FORMAT=MLN","Sort=A","Dates=H","DateFormat=P","Fill=—","Direction=H","UseDPDF=Y")</f>
        <v>-1383.9</v>
      </c>
      <c r="J73" s="13" cm="1">
        <f t="array" ref="J73">_xll.BDH("PCAR US Equity","OTHER_EQUITY_RATIO","FQ2 2020","FQ2 2020","Currency=USD","Period=FQ","BEST_FPERIOD_OVERRIDE=FQ","FILING_STATUS=MR","SCALING_FORMAT=MLN","Sort=A","Dates=H","DateFormat=P","Fill=—","Direction=H","UseDPDF=Y")</f>
        <v>-1289.9000000000001</v>
      </c>
      <c r="K73" s="13" cm="1">
        <f t="array" ref="K73">_xll.BDH("PCAR US Equity","OTHER_EQUITY_RATIO","FQ3 2020","FQ3 2020","Currency=USD","Period=FQ","BEST_FPERIOD_OVERRIDE=FQ","FILING_STATUS=MR","SCALING_FORMAT=MLN","Sort=A","Dates=H","DateFormat=P","Fill=—","Direction=H","UseDPDF=Y")</f>
        <v>-1189</v>
      </c>
      <c r="L73" s="13" cm="1">
        <f t="array" ref="L73">_xll.BDH("PCAR US Equity","OTHER_EQUITY_RATIO","FQ4 2020","FQ4 2020","Currency=USD","Period=FQ","BEST_FPERIOD_OVERRIDE=FQ","FILING_STATUS=MR","SCALING_FORMAT=MLN","Sort=A","Dates=H","DateFormat=P","Fill=—","Direction=H","UseDPDF=Y")</f>
        <v>-1050.3</v>
      </c>
      <c r="M73" s="13" cm="1">
        <f t="array" ref="M73">_xll.BDH("PCAR US Equity","OTHER_EQUITY_RATIO","FQ1 2021","FQ1 2021","Currency=USD","Period=FQ","BEST_FPERIOD_OVERRIDE=FQ","FILING_STATUS=MR","SCALING_FORMAT=MLN","Sort=A","Dates=H","DateFormat=P","Fill=—","Direction=H","UseDPDF=Y")</f>
        <v>-1116.4000000000001</v>
      </c>
      <c r="N73" s="13" cm="1">
        <f t="array" ref="N73">_xll.BDH("PCAR US Equity","OTHER_EQUITY_RATIO","FQ2 2021","FQ2 2021","Currency=USD","Period=FQ","BEST_FPERIOD_OVERRIDE=FQ","FILING_STATUS=MR","SCALING_FORMAT=MLN","Sort=A","Dates=H","DateFormat=P","Fill=—","Direction=H","UseDPDF=Y")</f>
        <v>-1029.5999999999999</v>
      </c>
      <c r="O73" s="13" cm="1">
        <f t="array" ref="O73">_xll.BDH("PCAR US Equity","OTHER_EQUITY_RATIO","FQ3 2021","FQ3 2021","Currency=USD","Period=FQ","BEST_FPERIOD_OVERRIDE=FQ","FILING_STATUS=MR","SCALING_FORMAT=MLN","Sort=A","Dates=H","DateFormat=P","Fill=—","Direction=H","UseDPDF=Y")</f>
        <v>-1145.2</v>
      </c>
      <c r="P73" s="13" cm="1">
        <f t="array" ref="P73">_xll.BDH("PCAR US Equity","OTHER_EQUITY_RATIO","FQ4 2021","FQ4 2021","Currency=USD","Period=FQ","BEST_FPERIOD_OVERRIDE=FQ","FILING_STATUS=MR","SCALING_FORMAT=MLN","Sort=A","Dates=H","DateFormat=P","Fill=—","Direction=H","UseDPDF=Y")</f>
        <v>-921.1</v>
      </c>
      <c r="Q73" s="13" cm="1">
        <f t="array" ref="Q73">_xll.BDH("PCAR US Equity","OTHER_EQUITY_RATIO","FQ1 2022","FQ1 2022","Currency=USD","Period=FQ","BEST_FPERIOD_OVERRIDE=FQ","FILING_STATUS=MR","SCALING_FORMAT=MLN","Sort=A","Dates=H","DateFormat=P","Fill=—","Direction=H","UseDPDF=Y")</f>
        <v>-877.7</v>
      </c>
      <c r="R73" s="13" cm="1">
        <f t="array" ref="R73">_xll.BDH("PCAR US Equity","OTHER_EQUITY_RATIO","FQ2 2022","FQ2 2022","Currency=USD","Period=FQ","BEST_FPERIOD_OVERRIDE=FQ","FILING_STATUS=MR","SCALING_FORMAT=MLN","Sort=A","Dates=H","DateFormat=P","Fill=—","Direction=H","UseDPDF=Y")</f>
        <v>-1111.7</v>
      </c>
      <c r="S73" s="13" cm="1">
        <f t="array" ref="S73">_xll.BDH("PCAR US Equity","OTHER_EQUITY_RATIO","FQ3 2022","FQ3 2022","Currency=USD","Period=FQ","BEST_FPERIOD_OVERRIDE=FQ","FILING_STATUS=MR","SCALING_FORMAT=MLN","Sort=A","Dates=H","DateFormat=P","Fill=—","Direction=H","UseDPDF=Y")</f>
        <v>-1393.1</v>
      </c>
      <c r="T73" s="13" cm="1">
        <f t="array" ref="T73">_xll.BDH("PCAR US Equity","OTHER_EQUITY_RATIO","FQ4 2022","FQ4 2022","Currency=USD","Period=FQ","BEST_FPERIOD_OVERRIDE=FQ","FILING_STATUS=MR","SCALING_FORMAT=MLN","Sort=A","Dates=H","DateFormat=P","Fill=—","Direction=H","UseDPDF=Y")</f>
        <v>-953.4</v>
      </c>
      <c r="U73" s="13" cm="1">
        <f t="array" ref="U73">_xll.BDH("PCAR US Equity","OTHER_EQUITY_RATIO","FQ1 2023","FQ1 2023","Currency=USD","Period=FQ","BEST_FPERIOD_OVERRIDE=FQ","FILING_STATUS=MR","SCALING_FORMAT=MLN","Sort=A","Dates=H","DateFormat=P","Fill=—","Direction=H","UseDPDF=Y")</f>
        <v>-873.2</v>
      </c>
      <c r="V73" s="13" cm="1">
        <f t="array" ref="V73">_xll.BDH("PCAR US Equity","OTHER_EQUITY_RATIO","FQ2 2023","FQ2 2023","Currency=USD","Period=FQ","BEST_FPERIOD_OVERRIDE=FQ","FILING_STATUS=MR","SCALING_FORMAT=MLN","Sort=A","Dates=H","DateFormat=P","Fill=—","Direction=H","UseDPDF=Y")</f>
        <v>-777.8</v>
      </c>
      <c r="W73" s="13" cm="1">
        <f t="array" ref="W73">_xll.BDH("PCAR US Equity","OTHER_EQUITY_RATIO","FQ3 2023","FQ3 2023","Currency=USD","Period=FQ","BEST_FPERIOD_OVERRIDE=FQ","FILING_STATUS=MR","SCALING_FORMAT=MLN","Sort=A","Dates=H","DateFormat=P","Fill=—","Direction=H","UseDPDF=Y")</f>
        <v>-937.6</v>
      </c>
      <c r="X73" s="13" cm="1">
        <f t="array" ref="X73">_xll.BDH("PCAR US Equity","OTHER_EQUITY_RATIO","FQ4 2023","FQ4 2023","Currency=USD","Period=FQ","BEST_FPERIOD_OVERRIDE=FQ","FILING_STATUS=MR","SCALING_FORMAT=MLN","Sort=A","Dates=H","DateFormat=P","Fill=—","Direction=H","UseDPDF=Y")</f>
        <v>-693.9</v>
      </c>
      <c r="Y73" s="13" cm="1">
        <f t="array" ref="Y73">_xll.BDH("PCAR US Equity","OTHER_EQUITY_RATIO","FQ1 2024","FQ1 2024","Currency=USD","Period=FQ","BEST_FPERIOD_OVERRIDE=FQ","FILING_STATUS=MR","SCALING_FORMAT=MLN","Sort=A","Dates=H","DateFormat=P","Fill=—","Direction=H","UseDPDF=Y")</f>
        <v>-800.2</v>
      </c>
      <c r="Z73" s="13" cm="1">
        <f t="array" ref="Z73">_xll.BDH("PCAR US Equity","OTHER_EQUITY_RATIO","FQ2 2024","FQ2 2024","Currency=USD","Period=FQ","BEST_FPERIOD_OVERRIDE=FQ","FILING_STATUS=MR","SCALING_FORMAT=MLN","Sort=A","Dates=H","DateFormat=P","Fill=—","Direction=H","UseDPDF=Y")</f>
        <v>-945.2</v>
      </c>
      <c r="AA73" s="13" cm="1">
        <f t="array" ref="AA73">_xll.BDH("PCAR US Equity","OTHER_EQUITY_RATIO","FQ3 2024","FQ3 2024","Currency=USD","Period=FQ","BEST_FPERIOD_OVERRIDE=FQ","FILING_STATUS=MR","SCALING_FORMAT=MLN","Sort=A","Dates=H","DateFormat=P","Fill=—","Direction=H","UseDPDF=Y")</f>
        <v>-805.4</v>
      </c>
      <c r="AB73" s="13" cm="1">
        <f t="array" ref="AB73">_xll.BDH("PCAR US Equity","OTHER_EQUITY_RATIO","FQ4 2024","FQ4 2024","Currency=USD","Period=FQ","BEST_FPERIOD_OVERRIDE=FQ","FILING_STATUS=MR","SCALING_FORMAT=MLN","Sort=A","Dates=H","DateFormat=P","Fill=—","Direction=H","UseDPDF=Y")</f>
        <v>-1113.3</v>
      </c>
      <c r="AC73" s="13" cm="1">
        <f t="array" ref="AC73">_xll.BDH("PCAR US Equity","OTHER_EQUITY_RATIO","FQ1 2025","FQ1 2025","Currency=USD","Period=FQ","BEST_FPERIOD_OVERRIDE=FQ","FILING_STATUS=MR","SCALING_FORMAT=MLN","Sort=A","Dates=H","DateFormat=P","Fill=—","Direction=H","UseDPDF=Y")</f>
        <v>-963.1</v>
      </c>
      <c r="AD73" s="13" cm="1">
        <f t="array" ref="AD73">_xll.BDH("PCAR US Equity","OTHER_EQUITY_RATIO","FQ2 2025","FQ2 2025","Currency=USD","Period=FQ","BEST_FPERIOD_OVERRIDE=FQ","FILING_STATUS=MR","SCALING_FORMAT=MLN","Sort=A","Dates=H","DateFormat=P","Fill=—","Direction=H","UseDPDF=Y")</f>
        <v>-569.70000000000005</v>
      </c>
      <c r="AE73" s="13" cm="1">
        <f t="array" ref="AE73">_xll.BDH("PCAR US Equity","OTHER_EQUITY_RATIO","FQ3 2025","FQ3 2025","Currency=USD","Period=FQ","BEST_FPERIOD_OVERRIDE=FQ","FILING_STATUS=MR","SCALING_FORMAT=MLN","Sort=A","Dates=H","DateFormat=P","Fill=—","Direction=H","UseDPDF=Y")</f>
        <v>-569.29999999999995</v>
      </c>
      <c r="AF73" s="13" cm="1">
        <f t="array" ref="AF73">_xll.BDH("PCAR US Equity","OTHER_EQUITY_RATIO","FQ4 2025","FQ4 2025","Currency=USD","Period=FQ","BEST_FPERIOD_OVERRIDE=FQ","FILING_STATUS=MR","SCALING_FORMAT=MLN","Sort=A","Dates=H","DateFormat=P","Fill=—","Direction=H","UseDPDF=Y")</f>
        <v>19264</v>
      </c>
    </row>
    <row r="74" spans="1:32" x14ac:dyDescent="0.25">
      <c r="A74" s="6" t="s">
        <v>192</v>
      </c>
      <c r="B74" s="6" t="s">
        <v>193</v>
      </c>
      <c r="C74" s="16" cm="1">
        <f t="array" ref="C74">_xll.BDH("PCAR US Equity","EQTY_BEF_MINORITY_INT_DETAILED","FQ3 2018","FQ3 2018","Currency=USD","Period=FQ","BEST_FPERIOD_OVERRIDE=FQ","FILING_STATUS=MR","SCALING_FORMAT=MLN","Sort=A","Dates=H","DateFormat=P","Fill=—","Direction=H","UseDPDF=Y")</f>
        <v>9171</v>
      </c>
      <c r="D74" s="16" cm="1">
        <f t="array" ref="D74">_xll.BDH("PCAR US Equity","EQTY_BEF_MINORITY_INT_DETAILED","FQ4 2018","FQ4 2018","Currency=USD","Period=FQ","BEST_FPERIOD_OVERRIDE=FQ","FILING_STATUS=MR","SCALING_FORMAT=MLN","Sort=A","Dates=H","DateFormat=P","Fill=—","Direction=H","UseDPDF=Y")</f>
        <v>8592.9</v>
      </c>
      <c r="E74" s="16" cm="1">
        <f t="array" ref="E74">_xll.BDH("PCAR US Equity","EQTY_BEF_MINORITY_INT_DETAILED","FQ1 2019","FQ1 2019","Currency=USD","Period=FQ","BEST_FPERIOD_OVERRIDE=FQ","FILING_STATUS=MR","SCALING_FORMAT=MLN","Sort=A","Dates=H","DateFormat=P","Fill=—","Direction=H","UseDPDF=Y")</f>
        <v>9105.5</v>
      </c>
      <c r="F74" s="16" cm="1">
        <f t="array" ref="F74">_xll.BDH("PCAR US Equity","EQTY_BEF_MINORITY_INT_DETAILED","FQ2 2019","FQ2 2019","Currency=USD","Period=FQ","BEST_FPERIOD_OVERRIDE=FQ","FILING_STATUS=MR","SCALING_FORMAT=MLN","Sort=A","Dates=H","DateFormat=P","Fill=—","Direction=H","UseDPDF=Y")</f>
        <v>9635.4</v>
      </c>
      <c r="G74" s="16" cm="1">
        <f t="array" ref="G74">_xll.BDH("PCAR US Equity","EQTY_BEF_MINORITY_INT_DETAILED","FQ3 2019","FQ3 2019","Currency=USD","Period=FQ","BEST_FPERIOD_OVERRIDE=FQ","FILING_STATUS=MR","SCALING_FORMAT=MLN","Sort=A","Dates=H","DateFormat=P","Fill=—","Direction=H","UseDPDF=Y")</f>
        <v>9962.7000000000007</v>
      </c>
      <c r="H74" s="16" cm="1">
        <f t="array" ref="H74">_xll.BDH("PCAR US Equity","EQTY_BEF_MINORITY_INT_DETAILED","FQ4 2019","FQ4 2019","Currency=USD","Period=FQ","BEST_FPERIOD_OVERRIDE=FQ","FILING_STATUS=MR","SCALING_FORMAT=MLN","Sort=A","Dates=H","DateFormat=P","Fill=—","Direction=H","UseDPDF=Y")</f>
        <v>9706.1</v>
      </c>
      <c r="I74" s="16" cm="1">
        <f t="array" ref="I74">_xll.BDH("PCAR US Equity","EQTY_BEF_MINORITY_INT_DETAILED","FQ1 2020","FQ1 2020","Currency=USD","Period=FQ","BEST_FPERIOD_OVERRIDE=FQ","FILING_STATUS=MR","SCALING_FORMAT=MLN","Sort=A","Dates=H","DateFormat=P","Fill=—","Direction=H","UseDPDF=Y")</f>
        <v>9637.4</v>
      </c>
      <c r="J74" s="16" cm="1">
        <f t="array" ref="J74">_xll.BDH("PCAR US Equity","EQTY_BEF_MINORITY_INT_DETAILED","FQ2 2020","FQ2 2020","Currency=USD","Period=FQ","BEST_FPERIOD_OVERRIDE=FQ","FILING_STATUS=MR","SCALING_FORMAT=MLN","Sort=A","Dates=H","DateFormat=P","Fill=—","Direction=H","UseDPDF=Y")</f>
        <v>9776.7999999999993</v>
      </c>
      <c r="K74" s="16" cm="1">
        <f t="array" ref="K74">_xll.BDH("PCAR US Equity","EQTY_BEF_MINORITY_INT_DETAILED","FQ3 2020","FQ3 2020","Currency=USD","Period=FQ","BEST_FPERIOD_OVERRIDE=FQ","FILING_STATUS=MR","SCALING_FORMAT=MLN","Sort=A","Dates=H","DateFormat=P","Fill=—","Direction=H","UseDPDF=Y")</f>
        <v>10184.4</v>
      </c>
      <c r="L74" s="16" cm="1">
        <f t="array" ref="L74">_xll.BDH("PCAR US Equity","EQTY_BEF_MINORITY_INT_DETAILED","FQ4 2020","FQ4 2020","Currency=USD","Period=FQ","BEST_FPERIOD_OVERRIDE=FQ","FILING_STATUS=MR","SCALING_FORMAT=MLN","Sort=A","Dates=H","DateFormat=P","Fill=—","Direction=H","UseDPDF=Y")</f>
        <v>10390</v>
      </c>
      <c r="M74" s="16" cm="1">
        <f t="array" ref="M74">_xll.BDH("PCAR US Equity","EQTY_BEF_MINORITY_INT_DETAILED","FQ1 2021","FQ1 2021","Currency=USD","Period=FQ","BEST_FPERIOD_OVERRIDE=FQ","FILING_STATUS=MR","SCALING_FORMAT=MLN","Sort=A","Dates=H","DateFormat=P","Fill=—","Direction=H","UseDPDF=Y")</f>
        <v>10717.7</v>
      </c>
      <c r="N74" s="16" cm="1">
        <f t="array" ref="N74">_xll.BDH("PCAR US Equity","EQTY_BEF_MINORITY_INT_DETAILED","FQ2 2021","FQ2 2021","Currency=USD","Period=FQ","BEST_FPERIOD_OVERRIDE=FQ","FILING_STATUS=MR","SCALING_FORMAT=MLN","Sort=A","Dates=H","DateFormat=P","Fill=—","Direction=H","UseDPDF=Y")</f>
        <v>11183.8</v>
      </c>
      <c r="O74" s="16" cm="1">
        <f t="array" ref="O74">_xll.BDH("PCAR US Equity","EQTY_BEF_MINORITY_INT_DETAILED","FQ3 2021","FQ3 2021","Currency=USD","Period=FQ","BEST_FPERIOD_OVERRIDE=FQ","FILING_STATUS=MR","SCALING_FORMAT=MLN","Sort=A","Dates=H","DateFormat=P","Fill=—","Direction=H","UseDPDF=Y")</f>
        <v>11330.4</v>
      </c>
      <c r="P74" s="16" cm="1">
        <f t="array" ref="P74">_xll.BDH("PCAR US Equity","EQTY_BEF_MINORITY_INT_DETAILED","FQ4 2021","FQ4 2021","Currency=USD","Period=FQ","BEST_FPERIOD_OVERRIDE=FQ","FILING_STATUS=MR","SCALING_FORMAT=MLN","Sort=A","Dates=H","DateFormat=P","Fill=—","Direction=H","UseDPDF=Y")</f>
        <v>11594</v>
      </c>
      <c r="Q74" s="16" cm="1">
        <f t="array" ref="Q74">_xll.BDH("PCAR US Equity","EQTY_BEF_MINORITY_INT_DETAILED","FQ1 2022","FQ1 2022","Currency=USD","Period=FQ","BEST_FPERIOD_OVERRIDE=FQ","FILING_STATUS=MR","SCALING_FORMAT=MLN","Sort=A","Dates=H","DateFormat=P","Fill=—","Direction=H","UseDPDF=Y")</f>
        <v>12143.3</v>
      </c>
      <c r="R74" s="16" cm="1">
        <f t="array" ref="R74">_xll.BDH("PCAR US Equity","EQTY_BEF_MINORITY_INT_DETAILED","FQ2 2022","FQ2 2022","Currency=USD","Period=FQ","BEST_FPERIOD_OVERRIDE=FQ","FILING_STATUS=MR","SCALING_FORMAT=MLN","Sort=A","Dates=H","DateFormat=P","Fill=—","Direction=H","UseDPDF=Y")</f>
        <v>12518</v>
      </c>
      <c r="S74" s="16" cm="1">
        <f t="array" ref="S74">_xll.BDH("PCAR US Equity","EQTY_BEF_MINORITY_INT_DETAILED","FQ3 2022","FQ3 2022","Currency=USD","Period=FQ","BEST_FPERIOD_OVERRIDE=FQ","FILING_STATUS=MR","SCALING_FORMAT=MLN","Sort=A","Dates=H","DateFormat=P","Fill=—","Direction=H","UseDPDF=Y")</f>
        <v>12893.5</v>
      </c>
      <c r="T74" s="16" cm="1">
        <f t="array" ref="T74">_xll.BDH("PCAR US Equity","EQTY_BEF_MINORITY_INT_DETAILED","FQ4 2022","FQ4 2022","Currency=USD","Period=FQ","BEST_FPERIOD_OVERRIDE=FQ","FILING_STATUS=MR","SCALING_FORMAT=MLN","Sort=A","Dates=H","DateFormat=P","Fill=—","Direction=H","UseDPDF=Y")</f>
        <v>13167.1</v>
      </c>
      <c r="U74" s="16" cm="1">
        <f t="array" ref="U74">_xll.BDH("PCAR US Equity","EQTY_BEF_MINORITY_INT_DETAILED","FQ1 2023","FQ1 2023","Currency=USD","Period=FQ","BEST_FPERIOD_OVERRIDE=FQ","FILING_STATUS=MR","SCALING_FORMAT=MLN","Sort=A","Dates=H","DateFormat=P","Fill=—","Direction=H","UseDPDF=Y")</f>
        <v>13882</v>
      </c>
      <c r="V74" s="16" cm="1">
        <f t="array" ref="V74">_xll.BDH("PCAR US Equity","EQTY_BEF_MINORITY_INT_DETAILED","FQ2 2023","FQ2 2023","Currency=USD","Period=FQ","BEST_FPERIOD_OVERRIDE=FQ","FILING_STATUS=MR","SCALING_FORMAT=MLN","Sort=A","Dates=H","DateFormat=P","Fill=—","Direction=H","UseDPDF=Y")</f>
        <v>15079.3</v>
      </c>
      <c r="W74" s="16" cm="1">
        <f t="array" ref="W74">_xll.BDH("PCAR US Equity","EQTY_BEF_MINORITY_INT_DETAILED","FQ3 2023","FQ3 2023","Currency=USD","Period=FQ","BEST_FPERIOD_OVERRIDE=FQ","FILING_STATUS=MR","SCALING_FORMAT=MLN","Sort=A","Dates=H","DateFormat=P","Fill=—","Direction=H","UseDPDF=Y")</f>
        <v>16023.1</v>
      </c>
      <c r="X74" s="16" cm="1">
        <f t="array" ref="X74">_xll.BDH("PCAR US Equity","EQTY_BEF_MINORITY_INT_DETAILED","FQ4 2023","FQ4 2023","Currency=USD","Period=FQ","BEST_FPERIOD_OVERRIDE=FQ","FILING_STATUS=MR","SCALING_FORMAT=MLN","Sort=A","Dates=H","DateFormat=P","Fill=—","Direction=H","UseDPDF=Y")</f>
        <v>15878.8</v>
      </c>
      <c r="Y74" s="16" cm="1">
        <f t="array" ref="Y74">_xll.BDH("PCAR US Equity","EQTY_BEF_MINORITY_INT_DETAILED","FQ1 2024","FQ1 2024","Currency=USD","Period=FQ","BEST_FPERIOD_OVERRIDE=FQ","FILING_STATUS=MR","SCALING_FORMAT=MLN","Sort=A","Dates=H","DateFormat=P","Fill=—","Direction=H","UseDPDF=Y")</f>
        <v>16871.900000000001</v>
      </c>
      <c r="Z74" s="16" cm="1">
        <f t="array" ref="Z74">_xll.BDH("PCAR US Equity","EQTY_BEF_MINORITY_INT_DETAILED","FQ2 2024","FQ2 2024","Currency=USD","Period=FQ","BEST_FPERIOD_OVERRIDE=FQ","FILING_STATUS=MR","SCALING_FORMAT=MLN","Sort=A","Dates=H","DateFormat=P","Fill=—","Direction=H","UseDPDF=Y")</f>
        <v>17702.900000000001</v>
      </c>
      <c r="AA74" s="16" cm="1">
        <f t="array" ref="AA74">_xll.BDH("PCAR US Equity","EQTY_BEF_MINORITY_INT_DETAILED","FQ3 2024","FQ3 2024","Currency=USD","Period=FQ","BEST_FPERIOD_OVERRIDE=FQ","FILING_STATUS=MR","SCALING_FORMAT=MLN","Sort=A","Dates=H","DateFormat=P","Fill=—","Direction=H","UseDPDF=Y")</f>
        <v>18663.599999999999</v>
      </c>
      <c r="AB74" s="16" cm="1">
        <f t="array" ref="AB74">_xll.BDH("PCAR US Equity","EQTY_BEF_MINORITY_INT_DETAILED","FQ4 2024","FQ4 2024","Currency=USD","Period=FQ","BEST_FPERIOD_OVERRIDE=FQ","FILING_STATUS=MR","SCALING_FORMAT=MLN","Sort=A","Dates=H","DateFormat=P","Fill=—","Direction=H","UseDPDF=Y")</f>
        <v>17506.900000000001</v>
      </c>
      <c r="AC74" s="16" cm="1">
        <f t="array" ref="AC74">_xll.BDH("PCAR US Equity","EQTY_BEF_MINORITY_INT_DETAILED","FQ1 2025","FQ1 2025","Currency=USD","Period=FQ","BEST_FPERIOD_OVERRIDE=FQ","FILING_STATUS=MR","SCALING_FORMAT=MLN","Sort=A","Dates=H","DateFormat=P","Fill=—","Direction=H","UseDPDF=Y")</f>
        <v>18022.099999999999</v>
      </c>
      <c r="AD74" s="16" cm="1">
        <f t="array" ref="AD74">_xll.BDH("PCAR US Equity","EQTY_BEF_MINORITY_INT_DETAILED","FQ2 2025","FQ2 2025","Currency=USD","Period=FQ","BEST_FPERIOD_OVERRIDE=FQ","FILING_STATUS=MR","SCALING_FORMAT=MLN","Sort=A","Dates=H","DateFormat=P","Fill=—","Direction=H","UseDPDF=Y")</f>
        <v>18942.599999999999</v>
      </c>
      <c r="AE74" s="16" cm="1">
        <f t="array" ref="AE74">_xll.BDH("PCAR US Equity","EQTY_BEF_MINORITY_INT_DETAILED","FQ3 2025","FQ3 2025","Currency=USD","Period=FQ","BEST_FPERIOD_OVERRIDE=FQ","FILING_STATUS=MR","SCALING_FORMAT=MLN","Sort=A","Dates=H","DateFormat=P","Fill=—","Direction=H","UseDPDF=Y")</f>
        <v>19368.599999999999</v>
      </c>
      <c r="AF74" s="16" cm="1">
        <f t="array" ref="AF74">_xll.BDH("PCAR US Equity","EQTY_BEF_MINORITY_INT_DETAILED","FQ4 2025","FQ4 2025","Currency=USD","Period=FQ","BEST_FPERIOD_OVERRIDE=FQ","FILING_STATUS=MR","SCALING_FORMAT=MLN","Sort=A","Dates=H","DateFormat=P","Fill=—","Direction=H","UseDPDF=Y")</f>
        <v>19264</v>
      </c>
    </row>
    <row r="75" spans="1:32" x14ac:dyDescent="0.25">
      <c r="A75" s="10" t="s">
        <v>194</v>
      </c>
      <c r="B75" s="10" t="s">
        <v>195</v>
      </c>
      <c r="C75" s="13" cm="1">
        <f t="array" ref="C75">_xll.BDH("PCAR US Equity","MINORITY_NONCONTROLLING_INTEREST","FQ3 2018","FQ3 2018","Currency=USD","Period=FQ","BEST_FPERIOD_OVERRIDE=FQ","FILING_STATUS=MR","SCALING_FORMAT=MLN","Sort=A","Dates=H","DateFormat=P","Fill=—","Direction=H","UseDPDF=Y")</f>
        <v>0</v>
      </c>
      <c r="D75" s="13" cm="1">
        <f t="array" ref="D75">_xll.BDH("PCAR US Equity","MINORITY_NONCONTROLLING_INTEREST","FQ4 2018","FQ4 2018","Currency=USD","Period=FQ","BEST_FPERIOD_OVERRIDE=FQ","FILING_STATUS=MR","SCALING_FORMAT=MLN","Sort=A","Dates=H","DateFormat=P","Fill=—","Direction=H","UseDPDF=Y")</f>
        <v>0</v>
      </c>
      <c r="E75" s="13" cm="1">
        <f t="array" ref="E75">_xll.BDH("PCAR US Equity","MINORITY_NONCONTROLLING_INTEREST","FQ1 2019","FQ1 2019","Currency=USD","Period=FQ","BEST_FPERIOD_OVERRIDE=FQ","FILING_STATUS=MR","SCALING_FORMAT=MLN","Sort=A","Dates=H","DateFormat=P","Fill=—","Direction=H","UseDPDF=Y")</f>
        <v>0</v>
      </c>
      <c r="F75" s="13" cm="1">
        <f t="array" ref="F75">_xll.BDH("PCAR US Equity","MINORITY_NONCONTROLLING_INTEREST","FQ2 2019","FQ2 2019","Currency=USD","Period=FQ","BEST_FPERIOD_OVERRIDE=FQ","FILING_STATUS=MR","SCALING_FORMAT=MLN","Sort=A","Dates=H","DateFormat=P","Fill=—","Direction=H","UseDPDF=Y")</f>
        <v>0</v>
      </c>
      <c r="G75" s="13" cm="1">
        <f t="array" ref="G75">_xll.BDH("PCAR US Equity","MINORITY_NONCONTROLLING_INTEREST","FQ3 2019","FQ3 2019","Currency=USD","Period=FQ","BEST_FPERIOD_OVERRIDE=FQ","FILING_STATUS=MR","SCALING_FORMAT=MLN","Sort=A","Dates=H","DateFormat=P","Fill=—","Direction=H","UseDPDF=Y")</f>
        <v>0</v>
      </c>
      <c r="H75" s="13" cm="1">
        <f t="array" ref="H75">_xll.BDH("PCAR US Equity","MINORITY_NONCONTROLLING_INTEREST","FQ4 2019","FQ4 2019","Currency=USD","Period=FQ","BEST_FPERIOD_OVERRIDE=FQ","FILING_STATUS=MR","SCALING_FORMAT=MLN","Sort=A","Dates=H","DateFormat=P","Fill=—","Direction=H","UseDPDF=Y")</f>
        <v>0</v>
      </c>
      <c r="I75" s="13" cm="1">
        <f t="array" ref="I75">_xll.BDH("PCAR US Equity","MINORITY_NONCONTROLLING_INTEREST","FQ1 2020","FQ1 2020","Currency=USD","Period=FQ","BEST_FPERIOD_OVERRIDE=FQ","FILING_STATUS=MR","SCALING_FORMAT=MLN","Sort=A","Dates=H","DateFormat=P","Fill=—","Direction=H","UseDPDF=Y")</f>
        <v>0</v>
      </c>
      <c r="J75" s="13" cm="1">
        <f t="array" ref="J75">_xll.BDH("PCAR US Equity","MINORITY_NONCONTROLLING_INTEREST","FQ2 2020","FQ2 2020","Currency=USD","Period=FQ","BEST_FPERIOD_OVERRIDE=FQ","FILING_STATUS=MR","SCALING_FORMAT=MLN","Sort=A","Dates=H","DateFormat=P","Fill=—","Direction=H","UseDPDF=Y")</f>
        <v>0</v>
      </c>
      <c r="K75" s="13" cm="1">
        <f t="array" ref="K75">_xll.BDH("PCAR US Equity","MINORITY_NONCONTROLLING_INTEREST","FQ3 2020","FQ3 2020","Currency=USD","Period=FQ","BEST_FPERIOD_OVERRIDE=FQ","FILING_STATUS=MR","SCALING_FORMAT=MLN","Sort=A","Dates=H","DateFormat=P","Fill=—","Direction=H","UseDPDF=Y")</f>
        <v>0</v>
      </c>
      <c r="L75" s="13" cm="1">
        <f t="array" ref="L75">_xll.BDH("PCAR US Equity","MINORITY_NONCONTROLLING_INTEREST","FQ4 2020","FQ4 2020","Currency=USD","Period=FQ","BEST_FPERIOD_OVERRIDE=FQ","FILING_STATUS=MR","SCALING_FORMAT=MLN","Sort=A","Dates=H","DateFormat=P","Fill=—","Direction=H","UseDPDF=Y")</f>
        <v>0</v>
      </c>
      <c r="M75" s="13" cm="1">
        <f t="array" ref="M75">_xll.BDH("PCAR US Equity","MINORITY_NONCONTROLLING_INTEREST","FQ1 2021","FQ1 2021","Currency=USD","Period=FQ","BEST_FPERIOD_OVERRIDE=FQ","FILING_STATUS=MR","SCALING_FORMAT=MLN","Sort=A","Dates=H","DateFormat=P","Fill=—","Direction=H","UseDPDF=Y")</f>
        <v>0</v>
      </c>
      <c r="N75" s="13" cm="1">
        <f t="array" ref="N75">_xll.BDH("PCAR US Equity","MINORITY_NONCONTROLLING_INTEREST","FQ2 2021","FQ2 2021","Currency=USD","Period=FQ","BEST_FPERIOD_OVERRIDE=FQ","FILING_STATUS=MR","SCALING_FORMAT=MLN","Sort=A","Dates=H","DateFormat=P","Fill=—","Direction=H","UseDPDF=Y")</f>
        <v>0</v>
      </c>
      <c r="O75" s="13" cm="1">
        <f t="array" ref="O75">_xll.BDH("PCAR US Equity","MINORITY_NONCONTROLLING_INTEREST","FQ3 2021","FQ3 2021","Currency=USD","Period=FQ","BEST_FPERIOD_OVERRIDE=FQ","FILING_STATUS=MR","SCALING_FORMAT=MLN","Sort=A","Dates=H","DateFormat=P","Fill=—","Direction=H","UseDPDF=Y")</f>
        <v>0</v>
      </c>
      <c r="P75" s="13" cm="1">
        <f t="array" ref="P75">_xll.BDH("PCAR US Equity","MINORITY_NONCONTROLLING_INTEREST","FQ4 2021","FQ4 2021","Currency=USD","Period=FQ","BEST_FPERIOD_OVERRIDE=FQ","FILING_STATUS=MR","SCALING_FORMAT=MLN","Sort=A","Dates=H","DateFormat=P","Fill=—","Direction=H","UseDPDF=Y")</f>
        <v>0</v>
      </c>
      <c r="Q75" s="13" cm="1">
        <f t="array" ref="Q75">_xll.BDH("PCAR US Equity","MINORITY_NONCONTROLLING_INTEREST","FQ1 2022","FQ1 2022","Currency=USD","Period=FQ","BEST_FPERIOD_OVERRIDE=FQ","FILING_STATUS=MR","SCALING_FORMAT=MLN","Sort=A","Dates=H","DateFormat=P","Fill=—","Direction=H","UseDPDF=Y")</f>
        <v>0</v>
      </c>
      <c r="R75" s="13" cm="1">
        <f t="array" ref="R75">_xll.BDH("PCAR US Equity","MINORITY_NONCONTROLLING_INTEREST","FQ2 2022","FQ2 2022","Currency=USD","Period=FQ","BEST_FPERIOD_OVERRIDE=FQ","FILING_STATUS=MR","SCALING_FORMAT=MLN","Sort=A","Dates=H","DateFormat=P","Fill=—","Direction=H","UseDPDF=Y")</f>
        <v>0</v>
      </c>
      <c r="S75" s="13" cm="1">
        <f t="array" ref="S75">_xll.BDH("PCAR US Equity","MINORITY_NONCONTROLLING_INTEREST","FQ3 2022","FQ3 2022","Currency=USD","Period=FQ","BEST_FPERIOD_OVERRIDE=FQ","FILING_STATUS=MR","SCALING_FORMAT=MLN","Sort=A","Dates=H","DateFormat=P","Fill=—","Direction=H","UseDPDF=Y")</f>
        <v>0</v>
      </c>
      <c r="T75" s="13" cm="1">
        <f t="array" ref="T75">_xll.BDH("PCAR US Equity","MINORITY_NONCONTROLLING_INTEREST","FQ4 2022","FQ4 2022","Currency=USD","Period=FQ","BEST_FPERIOD_OVERRIDE=FQ","FILING_STATUS=MR","SCALING_FORMAT=MLN","Sort=A","Dates=H","DateFormat=P","Fill=—","Direction=H","UseDPDF=Y")</f>
        <v>0</v>
      </c>
      <c r="U75" s="13" cm="1">
        <f t="array" ref="U75">_xll.BDH("PCAR US Equity","MINORITY_NONCONTROLLING_INTEREST","FQ1 2023","FQ1 2023","Currency=USD","Period=FQ","BEST_FPERIOD_OVERRIDE=FQ","FILING_STATUS=MR","SCALING_FORMAT=MLN","Sort=A","Dates=H","DateFormat=P","Fill=—","Direction=H","UseDPDF=Y")</f>
        <v>0</v>
      </c>
      <c r="V75" s="13" cm="1">
        <f t="array" ref="V75">_xll.BDH("PCAR US Equity","MINORITY_NONCONTROLLING_INTEREST","FQ2 2023","FQ2 2023","Currency=USD","Period=FQ","BEST_FPERIOD_OVERRIDE=FQ","FILING_STATUS=MR","SCALING_FORMAT=MLN","Sort=A","Dates=H","DateFormat=P","Fill=—","Direction=H","UseDPDF=Y")</f>
        <v>0</v>
      </c>
      <c r="W75" s="13" cm="1">
        <f t="array" ref="W75">_xll.BDH("PCAR US Equity","MINORITY_NONCONTROLLING_INTEREST","FQ3 2023","FQ3 2023","Currency=USD","Period=FQ","BEST_FPERIOD_OVERRIDE=FQ","FILING_STATUS=MR","SCALING_FORMAT=MLN","Sort=A","Dates=H","DateFormat=P","Fill=—","Direction=H","UseDPDF=Y")</f>
        <v>0</v>
      </c>
      <c r="X75" s="13" cm="1">
        <f t="array" ref="X75">_xll.BDH("PCAR US Equity","MINORITY_NONCONTROLLING_INTEREST","FQ4 2023","FQ4 2023","Currency=USD","Period=FQ","BEST_FPERIOD_OVERRIDE=FQ","FILING_STATUS=MR","SCALING_FORMAT=MLN","Sort=A","Dates=H","DateFormat=P","Fill=—","Direction=H","UseDPDF=Y")</f>
        <v>0</v>
      </c>
      <c r="Y75" s="13" cm="1">
        <f t="array" ref="Y75">_xll.BDH("PCAR US Equity","MINORITY_NONCONTROLLING_INTEREST","FQ1 2024","FQ1 2024","Currency=USD","Period=FQ","BEST_FPERIOD_OVERRIDE=FQ","FILING_STATUS=MR","SCALING_FORMAT=MLN","Sort=A","Dates=H","DateFormat=P","Fill=—","Direction=H","UseDPDF=Y")</f>
        <v>0</v>
      </c>
      <c r="Z75" s="13" cm="1">
        <f t="array" ref="Z75">_xll.BDH("PCAR US Equity","MINORITY_NONCONTROLLING_INTEREST","FQ2 2024","FQ2 2024","Currency=USD","Period=FQ","BEST_FPERIOD_OVERRIDE=FQ","FILING_STATUS=MR","SCALING_FORMAT=MLN","Sort=A","Dates=H","DateFormat=P","Fill=—","Direction=H","UseDPDF=Y")</f>
        <v>0</v>
      </c>
      <c r="AA75" s="13" cm="1">
        <f t="array" ref="AA75">_xll.BDH("PCAR US Equity","MINORITY_NONCONTROLLING_INTEREST","FQ3 2024","FQ3 2024","Currency=USD","Period=FQ","BEST_FPERIOD_OVERRIDE=FQ","FILING_STATUS=MR","SCALING_FORMAT=MLN","Sort=A","Dates=H","DateFormat=P","Fill=—","Direction=H","UseDPDF=Y")</f>
        <v>0</v>
      </c>
      <c r="AB75" s="13" cm="1">
        <f t="array" ref="AB75">_xll.BDH("PCAR US Equity","MINORITY_NONCONTROLLING_INTEREST","FQ4 2024","FQ4 2024","Currency=USD","Period=FQ","BEST_FPERIOD_OVERRIDE=FQ","FILING_STATUS=MR","SCALING_FORMAT=MLN","Sort=A","Dates=H","DateFormat=P","Fill=—","Direction=H","UseDPDF=Y")</f>
        <v>0</v>
      </c>
      <c r="AC75" s="13" cm="1">
        <f t="array" ref="AC75">_xll.BDH("PCAR US Equity","MINORITY_NONCONTROLLING_INTEREST","FQ1 2025","FQ1 2025","Currency=USD","Period=FQ","BEST_FPERIOD_OVERRIDE=FQ","FILING_STATUS=MR","SCALING_FORMAT=MLN","Sort=A","Dates=H","DateFormat=P","Fill=—","Direction=H","UseDPDF=Y")</f>
        <v>0</v>
      </c>
      <c r="AD75" s="13" cm="1">
        <f t="array" ref="AD75">_xll.BDH("PCAR US Equity","MINORITY_NONCONTROLLING_INTEREST","FQ2 2025","FQ2 2025","Currency=USD","Period=FQ","BEST_FPERIOD_OVERRIDE=FQ","FILING_STATUS=MR","SCALING_FORMAT=MLN","Sort=A","Dates=H","DateFormat=P","Fill=—","Direction=H","UseDPDF=Y")</f>
        <v>0</v>
      </c>
      <c r="AE75" s="13" cm="1">
        <f t="array" ref="AE75">_xll.BDH("PCAR US Equity","MINORITY_NONCONTROLLING_INTEREST","FQ3 2025","FQ3 2025","Currency=USD","Period=FQ","BEST_FPERIOD_OVERRIDE=FQ","FILING_STATUS=MR","SCALING_FORMAT=MLN","Sort=A","Dates=H","DateFormat=P","Fill=—","Direction=H","UseDPDF=Y")</f>
        <v>0</v>
      </c>
      <c r="AF75" s="13" cm="1">
        <f t="array" ref="AF75">_xll.BDH("PCAR US Equity","MINORITY_NONCONTROLLING_INTEREST","FQ4 2025","FQ4 2025","Currency=USD","Period=FQ","BEST_FPERIOD_OVERRIDE=FQ","FILING_STATUS=MR","SCALING_FORMAT=MLN","Sort=A","Dates=H","DateFormat=P","Fill=—","Direction=H","UseDPDF=Y")</f>
        <v>0</v>
      </c>
    </row>
    <row r="76" spans="1:32" x14ac:dyDescent="0.25">
      <c r="A76" s="6" t="s">
        <v>196</v>
      </c>
      <c r="B76" s="6" t="s">
        <v>197</v>
      </c>
      <c r="C76" s="16" cm="1">
        <f t="array" ref="C76">_xll.BDH("PCAR US Equity","TOTAL_EQUITY","FQ3 2018","FQ3 2018","Currency=USD","Period=FQ","BEST_FPERIOD_OVERRIDE=FQ","FILING_STATUS=MR","SCALING_FORMAT=MLN","Sort=A","Dates=H","DateFormat=P","Fill=—","Direction=H","UseDPDF=Y")</f>
        <v>9171</v>
      </c>
      <c r="D76" s="16" cm="1">
        <f t="array" ref="D76">_xll.BDH("PCAR US Equity","TOTAL_EQUITY","FQ4 2018","FQ4 2018","Currency=USD","Period=FQ","BEST_FPERIOD_OVERRIDE=FQ","FILING_STATUS=MR","SCALING_FORMAT=MLN","Sort=A","Dates=H","DateFormat=P","Fill=—","Direction=H","UseDPDF=Y")</f>
        <v>8592.9</v>
      </c>
      <c r="E76" s="16" cm="1">
        <f t="array" ref="E76">_xll.BDH("PCAR US Equity","TOTAL_EQUITY","FQ1 2019","FQ1 2019","Currency=USD","Period=FQ","BEST_FPERIOD_OVERRIDE=FQ","FILING_STATUS=MR","SCALING_FORMAT=MLN","Sort=A","Dates=H","DateFormat=P","Fill=—","Direction=H","UseDPDF=Y")</f>
        <v>9105.5</v>
      </c>
      <c r="F76" s="16" cm="1">
        <f t="array" ref="F76">_xll.BDH("PCAR US Equity","TOTAL_EQUITY","FQ2 2019","FQ2 2019","Currency=USD","Period=FQ","BEST_FPERIOD_OVERRIDE=FQ","FILING_STATUS=MR","SCALING_FORMAT=MLN","Sort=A","Dates=H","DateFormat=P","Fill=—","Direction=H","UseDPDF=Y")</f>
        <v>9635.4</v>
      </c>
      <c r="G76" s="16" cm="1">
        <f t="array" ref="G76">_xll.BDH("PCAR US Equity","TOTAL_EQUITY","FQ3 2019","FQ3 2019","Currency=USD","Period=FQ","BEST_FPERIOD_OVERRIDE=FQ","FILING_STATUS=MR","SCALING_FORMAT=MLN","Sort=A","Dates=H","DateFormat=P","Fill=—","Direction=H","UseDPDF=Y")</f>
        <v>9962.7000000000007</v>
      </c>
      <c r="H76" s="16" cm="1">
        <f t="array" ref="H76">_xll.BDH("PCAR US Equity","TOTAL_EQUITY","FQ4 2019","FQ4 2019","Currency=USD","Period=FQ","BEST_FPERIOD_OVERRIDE=FQ","FILING_STATUS=MR","SCALING_FORMAT=MLN","Sort=A","Dates=H","DateFormat=P","Fill=—","Direction=H","UseDPDF=Y")</f>
        <v>9706.1</v>
      </c>
      <c r="I76" s="16" cm="1">
        <f t="array" ref="I76">_xll.BDH("PCAR US Equity","TOTAL_EQUITY","FQ1 2020","FQ1 2020","Currency=USD","Period=FQ","BEST_FPERIOD_OVERRIDE=FQ","FILING_STATUS=MR","SCALING_FORMAT=MLN","Sort=A","Dates=H","DateFormat=P","Fill=—","Direction=H","UseDPDF=Y")</f>
        <v>9637.4</v>
      </c>
      <c r="J76" s="16" cm="1">
        <f t="array" ref="J76">_xll.BDH("PCAR US Equity","TOTAL_EQUITY","FQ2 2020","FQ2 2020","Currency=USD","Period=FQ","BEST_FPERIOD_OVERRIDE=FQ","FILING_STATUS=MR","SCALING_FORMAT=MLN","Sort=A","Dates=H","DateFormat=P","Fill=—","Direction=H","UseDPDF=Y")</f>
        <v>9776.7999999999993</v>
      </c>
      <c r="K76" s="16" cm="1">
        <f t="array" ref="K76">_xll.BDH("PCAR US Equity","TOTAL_EQUITY","FQ3 2020","FQ3 2020","Currency=USD","Period=FQ","BEST_FPERIOD_OVERRIDE=FQ","FILING_STATUS=MR","SCALING_FORMAT=MLN","Sort=A","Dates=H","DateFormat=P","Fill=—","Direction=H","UseDPDF=Y")</f>
        <v>10184.4</v>
      </c>
      <c r="L76" s="16" cm="1">
        <f t="array" ref="L76">_xll.BDH("PCAR US Equity","TOTAL_EQUITY","FQ4 2020","FQ4 2020","Currency=USD","Period=FQ","BEST_FPERIOD_OVERRIDE=FQ","FILING_STATUS=MR","SCALING_FORMAT=MLN","Sort=A","Dates=H","DateFormat=P","Fill=—","Direction=H","UseDPDF=Y")</f>
        <v>10390</v>
      </c>
      <c r="M76" s="16" cm="1">
        <f t="array" ref="M76">_xll.BDH("PCAR US Equity","TOTAL_EQUITY","FQ1 2021","FQ1 2021","Currency=USD","Period=FQ","BEST_FPERIOD_OVERRIDE=FQ","FILING_STATUS=MR","SCALING_FORMAT=MLN","Sort=A","Dates=H","DateFormat=P","Fill=—","Direction=H","UseDPDF=Y")</f>
        <v>10717.7</v>
      </c>
      <c r="N76" s="16" cm="1">
        <f t="array" ref="N76">_xll.BDH("PCAR US Equity","TOTAL_EQUITY","FQ2 2021","FQ2 2021","Currency=USD","Period=FQ","BEST_FPERIOD_OVERRIDE=FQ","FILING_STATUS=MR","SCALING_FORMAT=MLN","Sort=A","Dates=H","DateFormat=P","Fill=—","Direction=H","UseDPDF=Y")</f>
        <v>11183.8</v>
      </c>
      <c r="O76" s="16" cm="1">
        <f t="array" ref="O76">_xll.BDH("PCAR US Equity","TOTAL_EQUITY","FQ3 2021","FQ3 2021","Currency=USD","Period=FQ","BEST_FPERIOD_OVERRIDE=FQ","FILING_STATUS=MR","SCALING_FORMAT=MLN","Sort=A","Dates=H","DateFormat=P","Fill=—","Direction=H","UseDPDF=Y")</f>
        <v>11330.4</v>
      </c>
      <c r="P76" s="16" cm="1">
        <f t="array" ref="P76">_xll.BDH("PCAR US Equity","TOTAL_EQUITY","FQ4 2021","FQ4 2021","Currency=USD","Period=FQ","BEST_FPERIOD_OVERRIDE=FQ","FILING_STATUS=MR","SCALING_FORMAT=MLN","Sort=A","Dates=H","DateFormat=P","Fill=—","Direction=H","UseDPDF=Y")</f>
        <v>11594</v>
      </c>
      <c r="Q76" s="16" cm="1">
        <f t="array" ref="Q76">_xll.BDH("PCAR US Equity","TOTAL_EQUITY","FQ1 2022","FQ1 2022","Currency=USD","Period=FQ","BEST_FPERIOD_OVERRIDE=FQ","FILING_STATUS=MR","SCALING_FORMAT=MLN","Sort=A","Dates=H","DateFormat=P","Fill=—","Direction=H","UseDPDF=Y")</f>
        <v>12143.3</v>
      </c>
      <c r="R76" s="16" cm="1">
        <f t="array" ref="R76">_xll.BDH("PCAR US Equity","TOTAL_EQUITY","FQ2 2022","FQ2 2022","Currency=USD","Period=FQ","BEST_FPERIOD_OVERRIDE=FQ","FILING_STATUS=MR","SCALING_FORMAT=MLN","Sort=A","Dates=H","DateFormat=P","Fill=—","Direction=H","UseDPDF=Y")</f>
        <v>12518</v>
      </c>
      <c r="S76" s="16" cm="1">
        <f t="array" ref="S76">_xll.BDH("PCAR US Equity","TOTAL_EQUITY","FQ3 2022","FQ3 2022","Currency=USD","Period=FQ","BEST_FPERIOD_OVERRIDE=FQ","FILING_STATUS=MR","SCALING_FORMAT=MLN","Sort=A","Dates=H","DateFormat=P","Fill=—","Direction=H","UseDPDF=Y")</f>
        <v>12893.5</v>
      </c>
      <c r="T76" s="16" cm="1">
        <f t="array" ref="T76">_xll.BDH("PCAR US Equity","TOTAL_EQUITY","FQ4 2022","FQ4 2022","Currency=USD","Period=FQ","BEST_FPERIOD_OVERRIDE=FQ","FILING_STATUS=MR","SCALING_FORMAT=MLN","Sort=A","Dates=H","DateFormat=P","Fill=—","Direction=H","UseDPDF=Y")</f>
        <v>13167.1</v>
      </c>
      <c r="U76" s="16" cm="1">
        <f t="array" ref="U76">_xll.BDH("PCAR US Equity","TOTAL_EQUITY","FQ1 2023","FQ1 2023","Currency=USD","Period=FQ","BEST_FPERIOD_OVERRIDE=FQ","FILING_STATUS=MR","SCALING_FORMAT=MLN","Sort=A","Dates=H","DateFormat=P","Fill=—","Direction=H","UseDPDF=Y")</f>
        <v>13882</v>
      </c>
      <c r="V76" s="16" cm="1">
        <f t="array" ref="V76">_xll.BDH("PCAR US Equity","TOTAL_EQUITY","FQ2 2023","FQ2 2023","Currency=USD","Period=FQ","BEST_FPERIOD_OVERRIDE=FQ","FILING_STATUS=MR","SCALING_FORMAT=MLN","Sort=A","Dates=H","DateFormat=P","Fill=—","Direction=H","UseDPDF=Y")</f>
        <v>15079.3</v>
      </c>
      <c r="W76" s="16" cm="1">
        <f t="array" ref="W76">_xll.BDH("PCAR US Equity","TOTAL_EQUITY","FQ3 2023","FQ3 2023","Currency=USD","Period=FQ","BEST_FPERIOD_OVERRIDE=FQ","FILING_STATUS=MR","SCALING_FORMAT=MLN","Sort=A","Dates=H","DateFormat=P","Fill=—","Direction=H","UseDPDF=Y")</f>
        <v>16023.1</v>
      </c>
      <c r="X76" s="16" cm="1">
        <f t="array" ref="X76">_xll.BDH("PCAR US Equity","TOTAL_EQUITY","FQ4 2023","FQ4 2023","Currency=USD","Period=FQ","BEST_FPERIOD_OVERRIDE=FQ","FILING_STATUS=MR","SCALING_FORMAT=MLN","Sort=A","Dates=H","DateFormat=P","Fill=—","Direction=H","UseDPDF=Y")</f>
        <v>15878.8</v>
      </c>
      <c r="Y76" s="16" cm="1">
        <f t="array" ref="Y76">_xll.BDH("PCAR US Equity","TOTAL_EQUITY","FQ1 2024","FQ1 2024","Currency=USD","Period=FQ","BEST_FPERIOD_OVERRIDE=FQ","FILING_STATUS=MR","SCALING_FORMAT=MLN","Sort=A","Dates=H","DateFormat=P","Fill=—","Direction=H","UseDPDF=Y")</f>
        <v>16871.900000000001</v>
      </c>
      <c r="Z76" s="16" cm="1">
        <f t="array" ref="Z76">_xll.BDH("PCAR US Equity","TOTAL_EQUITY","FQ2 2024","FQ2 2024","Currency=USD","Period=FQ","BEST_FPERIOD_OVERRIDE=FQ","FILING_STATUS=MR","SCALING_FORMAT=MLN","Sort=A","Dates=H","DateFormat=P","Fill=—","Direction=H","UseDPDF=Y")</f>
        <v>17702.900000000001</v>
      </c>
      <c r="AA76" s="16" cm="1">
        <f t="array" ref="AA76">_xll.BDH("PCAR US Equity","TOTAL_EQUITY","FQ3 2024","FQ3 2024","Currency=USD","Period=FQ","BEST_FPERIOD_OVERRIDE=FQ","FILING_STATUS=MR","SCALING_FORMAT=MLN","Sort=A","Dates=H","DateFormat=P","Fill=—","Direction=H","UseDPDF=Y")</f>
        <v>18663.599999999999</v>
      </c>
      <c r="AB76" s="16" cm="1">
        <f t="array" ref="AB76">_xll.BDH("PCAR US Equity","TOTAL_EQUITY","FQ4 2024","FQ4 2024","Currency=USD","Period=FQ","BEST_FPERIOD_OVERRIDE=FQ","FILING_STATUS=MR","SCALING_FORMAT=MLN","Sort=A","Dates=H","DateFormat=P","Fill=—","Direction=H","UseDPDF=Y")</f>
        <v>17506.900000000001</v>
      </c>
      <c r="AC76" s="16" cm="1">
        <f t="array" ref="AC76">_xll.BDH("PCAR US Equity","TOTAL_EQUITY","FQ1 2025","FQ1 2025","Currency=USD","Period=FQ","BEST_FPERIOD_OVERRIDE=FQ","FILING_STATUS=MR","SCALING_FORMAT=MLN","Sort=A","Dates=H","DateFormat=P","Fill=—","Direction=H","UseDPDF=Y")</f>
        <v>18022.099999999999</v>
      </c>
      <c r="AD76" s="16" cm="1">
        <f t="array" ref="AD76">_xll.BDH("PCAR US Equity","TOTAL_EQUITY","FQ2 2025","FQ2 2025","Currency=USD","Period=FQ","BEST_FPERIOD_OVERRIDE=FQ","FILING_STATUS=MR","SCALING_FORMAT=MLN","Sort=A","Dates=H","DateFormat=P","Fill=—","Direction=H","UseDPDF=Y")</f>
        <v>18942.599999999999</v>
      </c>
      <c r="AE76" s="16" cm="1">
        <f t="array" ref="AE76">_xll.BDH("PCAR US Equity","TOTAL_EQUITY","FQ3 2025","FQ3 2025","Currency=USD","Period=FQ","BEST_FPERIOD_OVERRIDE=FQ","FILING_STATUS=MR","SCALING_FORMAT=MLN","Sort=A","Dates=H","DateFormat=P","Fill=—","Direction=H","UseDPDF=Y")</f>
        <v>19368.599999999999</v>
      </c>
      <c r="AF76" s="16" cm="1">
        <f t="array" ref="AF76">_xll.BDH("PCAR US Equity","TOTAL_EQUITY","FQ4 2025","FQ4 2025","Currency=USD","Period=FQ","BEST_FPERIOD_OVERRIDE=FQ","FILING_STATUS=MR","SCALING_FORMAT=MLN","Sort=A","Dates=H","DateFormat=P","Fill=—","Direction=H","UseDPDF=Y")</f>
        <v>19264</v>
      </c>
    </row>
    <row r="77" spans="1:32" x14ac:dyDescent="0.25">
      <c r="A77" s="6" t="s">
        <v>198</v>
      </c>
      <c r="B77" s="6" t="s">
        <v>199</v>
      </c>
      <c r="C77" s="16" cm="1">
        <f t="array" ref="C77">_xll.BDH("PCAR US Equity","TOT_LIAB_AND_EQY","FQ3 2018","FQ3 2018","Currency=USD","Period=FQ","BEST_FPERIOD_OVERRIDE=FQ","FILING_STATUS=MR","SCALING_FORMAT=MLN","Sort=A","Dates=H","DateFormat=P","Fill=—","Direction=H","UseDPDF=Y")</f>
        <v>25103.4</v>
      </c>
      <c r="D77" s="16" cm="1">
        <f t="array" ref="D77">_xll.BDH("PCAR US Equity","TOT_LIAB_AND_EQY","FQ4 2018","FQ4 2018","Currency=USD","Period=FQ","BEST_FPERIOD_OVERRIDE=FQ","FILING_STATUS=MR","SCALING_FORMAT=MLN","Sort=A","Dates=H","DateFormat=P","Fill=—","Direction=H","UseDPDF=Y")</f>
        <v>25482.400000000001</v>
      </c>
      <c r="E77" s="16" cm="1">
        <f t="array" ref="E77">_xll.BDH("PCAR US Equity","TOT_LIAB_AND_EQY","FQ1 2019","FQ1 2019","Currency=USD","Period=FQ","BEST_FPERIOD_OVERRIDE=FQ","FILING_STATUS=MR","SCALING_FORMAT=MLN","Sort=A","Dates=H","DateFormat=P","Fill=—","Direction=H","UseDPDF=Y")</f>
        <v>26157</v>
      </c>
      <c r="F77" s="16" cm="1">
        <f t="array" ref="F77">_xll.BDH("PCAR US Equity","TOT_LIAB_AND_EQY","FQ2 2019","FQ2 2019","Currency=USD","Period=FQ","BEST_FPERIOD_OVERRIDE=FQ","FILING_STATUS=MR","SCALING_FORMAT=MLN","Sort=A","Dates=H","DateFormat=P","Fill=—","Direction=H","UseDPDF=Y")</f>
        <v>27168.2</v>
      </c>
      <c r="G77" s="16" cm="1">
        <f t="array" ref="G77">_xll.BDH("PCAR US Equity","TOT_LIAB_AND_EQY","FQ3 2019","FQ3 2019","Currency=USD","Period=FQ","BEST_FPERIOD_OVERRIDE=FQ","FILING_STATUS=MR","SCALING_FORMAT=MLN","Sort=A","Dates=H","DateFormat=P","Fill=—","Direction=H","UseDPDF=Y")</f>
        <v>27767.7</v>
      </c>
      <c r="H77" s="16" cm="1">
        <f t="array" ref="H77">_xll.BDH("PCAR US Equity","TOT_LIAB_AND_EQY","FQ4 2019","FQ4 2019","Currency=USD","Period=FQ","BEST_FPERIOD_OVERRIDE=FQ","FILING_STATUS=MR","SCALING_FORMAT=MLN","Sort=A","Dates=H","DateFormat=P","Fill=—","Direction=H","UseDPDF=Y")</f>
        <v>28361.1</v>
      </c>
      <c r="I77" s="16" cm="1">
        <f t="array" ref="I77">_xll.BDH("PCAR US Equity","TOT_LIAB_AND_EQY","FQ1 2020","FQ1 2020","Currency=USD","Period=FQ","BEST_FPERIOD_OVERRIDE=FQ","FILING_STATUS=MR","SCALING_FORMAT=MLN","Sort=A","Dates=H","DateFormat=P","Fill=—","Direction=H","UseDPDF=Y")</f>
        <v>27294.7</v>
      </c>
      <c r="J77" s="16" cm="1">
        <f t="array" ref="J77">_xll.BDH("PCAR US Equity","TOT_LIAB_AND_EQY","FQ2 2020","FQ2 2020","Currency=USD","Period=FQ","BEST_FPERIOD_OVERRIDE=FQ","FILING_STATUS=MR","SCALING_FORMAT=MLN","Sort=A","Dates=H","DateFormat=P","Fill=—","Direction=H","UseDPDF=Y")</f>
        <v>26406.400000000001</v>
      </c>
      <c r="K77" s="16" cm="1">
        <f t="array" ref="K77">_xll.BDH("PCAR US Equity","TOT_LIAB_AND_EQY","FQ3 2020","FQ3 2020","Currency=USD","Period=FQ","BEST_FPERIOD_OVERRIDE=FQ","FILING_STATUS=MR","SCALING_FORMAT=MLN","Sort=A","Dates=H","DateFormat=P","Fill=—","Direction=H","UseDPDF=Y")</f>
        <v>27233.7</v>
      </c>
      <c r="L77" s="16" cm="1">
        <f t="array" ref="L77">_xll.BDH("PCAR US Equity","TOT_LIAB_AND_EQY","FQ4 2020","FQ4 2020","Currency=USD","Period=FQ","BEST_FPERIOD_OVERRIDE=FQ","FILING_STATUS=MR","SCALING_FORMAT=MLN","Sort=A","Dates=H","DateFormat=P","Fill=—","Direction=H","UseDPDF=Y")</f>
        <v>28260</v>
      </c>
      <c r="M77" s="16" cm="1">
        <f t="array" ref="M77">_xll.BDH("PCAR US Equity","TOT_LIAB_AND_EQY","FQ1 2021","FQ1 2021","Currency=USD","Period=FQ","BEST_FPERIOD_OVERRIDE=FQ","FILING_STATUS=MR","SCALING_FORMAT=MLN","Sort=A","Dates=H","DateFormat=P","Fill=—","Direction=H","UseDPDF=Y")</f>
        <v>28503.4</v>
      </c>
      <c r="N77" s="16" cm="1">
        <f t="array" ref="N77">_xll.BDH("PCAR US Equity","TOT_LIAB_AND_EQY","FQ2 2021","FQ2 2021","Currency=USD","Period=FQ","BEST_FPERIOD_OVERRIDE=FQ","FILING_STATUS=MR","SCALING_FORMAT=MLN","Sort=A","Dates=H","DateFormat=P","Fill=—","Direction=H","UseDPDF=Y")</f>
        <v>29012.2</v>
      </c>
      <c r="O77" s="16" cm="1">
        <f t="array" ref="O77">_xll.BDH("PCAR US Equity","TOT_LIAB_AND_EQY","FQ3 2021","FQ3 2021","Currency=USD","Period=FQ","BEST_FPERIOD_OVERRIDE=FQ","FILING_STATUS=MR","SCALING_FORMAT=MLN","Sort=A","Dates=H","DateFormat=P","Fill=—","Direction=H","UseDPDF=Y")</f>
        <v>27909.9</v>
      </c>
      <c r="P77" s="16" cm="1">
        <f t="array" ref="P77">_xll.BDH("PCAR US Equity","TOT_LIAB_AND_EQY","FQ4 2021","FQ4 2021","Currency=USD","Period=FQ","BEST_FPERIOD_OVERRIDE=FQ","FILING_STATUS=MR","SCALING_FORMAT=MLN","Sort=A","Dates=H","DateFormat=P","Fill=—","Direction=H","UseDPDF=Y")</f>
        <v>29509.4</v>
      </c>
      <c r="Q77" s="16" cm="1">
        <f t="array" ref="Q77">_xll.BDH("PCAR US Equity","TOT_LIAB_AND_EQY","FQ1 2022","FQ1 2022","Currency=USD","Period=FQ","BEST_FPERIOD_OVERRIDE=FQ","FILING_STATUS=MR","SCALING_FORMAT=MLN","Sort=A","Dates=H","DateFormat=P","Fill=—","Direction=H","UseDPDF=Y")</f>
        <v>30586.1</v>
      </c>
      <c r="R77" s="16" cm="1">
        <f t="array" ref="R77">_xll.BDH("PCAR US Equity","TOT_LIAB_AND_EQY","FQ2 2022","FQ2 2022","Currency=USD","Period=FQ","BEST_FPERIOD_OVERRIDE=FQ","FILING_STATUS=MR","SCALING_FORMAT=MLN","Sort=A","Dates=H","DateFormat=P","Fill=—","Direction=H","UseDPDF=Y")</f>
        <v>30588.7</v>
      </c>
      <c r="S77" s="16" cm="1">
        <f t="array" ref="S77">_xll.BDH("PCAR US Equity","TOT_LIAB_AND_EQY","FQ3 2022","FQ3 2022","Currency=USD","Period=FQ","BEST_FPERIOD_OVERRIDE=FQ","FILING_STATUS=MR","SCALING_FORMAT=MLN","Sort=A","Dates=H","DateFormat=P","Fill=—","Direction=H","UseDPDF=Y")</f>
        <v>30623.599999999999</v>
      </c>
      <c r="T77" s="16" cm="1">
        <f t="array" ref="T77">_xll.BDH("PCAR US Equity","TOT_LIAB_AND_EQY","FQ4 2022","FQ4 2022","Currency=USD","Period=FQ","BEST_FPERIOD_OVERRIDE=FQ","FILING_STATUS=MR","SCALING_FORMAT=MLN","Sort=A","Dates=H","DateFormat=P","Fill=—","Direction=H","UseDPDF=Y")</f>
        <v>33275.5</v>
      </c>
      <c r="U77" s="16" cm="1">
        <f t="array" ref="U77">_xll.BDH("PCAR US Equity","TOT_LIAB_AND_EQY","FQ1 2023","FQ1 2023","Currency=USD","Period=FQ","BEST_FPERIOD_OVERRIDE=FQ","FILING_STATUS=MR","SCALING_FORMAT=MLN","Sort=A","Dates=H","DateFormat=P","Fill=—","Direction=H","UseDPDF=Y")</f>
        <v>34826.400000000001</v>
      </c>
      <c r="V77" s="16" cm="1">
        <f t="array" ref="V77">_xll.BDH("PCAR US Equity","TOT_LIAB_AND_EQY","FQ2 2023","FQ2 2023","Currency=USD","Period=FQ","BEST_FPERIOD_OVERRIDE=FQ","FILING_STATUS=MR","SCALING_FORMAT=MLN","Sort=A","Dates=H","DateFormat=P","Fill=—","Direction=H","UseDPDF=Y")</f>
        <v>36867.699999999997</v>
      </c>
      <c r="W77" s="16" cm="1">
        <f t="array" ref="W77">_xll.BDH("PCAR US Equity","TOT_LIAB_AND_EQY","FQ3 2023","FQ3 2023","Currency=USD","Period=FQ","BEST_FPERIOD_OVERRIDE=FQ","FILING_STATUS=MR","SCALING_FORMAT=MLN","Sort=A","Dates=H","DateFormat=P","Fill=—","Direction=H","UseDPDF=Y")</f>
        <v>38039.5</v>
      </c>
      <c r="X77" s="16" cm="1">
        <f t="array" ref="X77">_xll.BDH("PCAR US Equity","TOT_LIAB_AND_EQY","FQ4 2023","FQ4 2023","Currency=USD","Period=FQ","BEST_FPERIOD_OVERRIDE=FQ","FILING_STATUS=MR","SCALING_FORMAT=MLN","Sort=A","Dates=H","DateFormat=P","Fill=—","Direction=H","UseDPDF=Y")</f>
        <v>40823.4</v>
      </c>
      <c r="Y77" s="16" cm="1">
        <f t="array" ref="Y77">_xll.BDH("PCAR US Equity","TOT_LIAB_AND_EQY","FQ1 2024","FQ1 2024","Currency=USD","Period=FQ","BEST_FPERIOD_OVERRIDE=FQ","FILING_STATUS=MR","SCALING_FORMAT=MLN","Sort=A","Dates=H","DateFormat=P","Fill=—","Direction=H","UseDPDF=Y")</f>
        <v>40373.599999999999</v>
      </c>
      <c r="Z77" s="16" cm="1">
        <f t="array" ref="Z77">_xll.BDH("PCAR US Equity","TOT_LIAB_AND_EQY","FQ2 2024","FQ2 2024","Currency=USD","Period=FQ","BEST_FPERIOD_OVERRIDE=FQ","FILING_STATUS=MR","SCALING_FORMAT=MLN","Sort=A","Dates=H","DateFormat=P","Fill=—","Direction=H","UseDPDF=Y")</f>
        <v>41176.6</v>
      </c>
      <c r="AA77" s="16" cm="1">
        <f t="array" ref="AA77">_xll.BDH("PCAR US Equity","TOT_LIAB_AND_EQY","FQ3 2024","FQ3 2024","Currency=USD","Period=FQ","BEST_FPERIOD_OVERRIDE=FQ","FILING_STATUS=MR","SCALING_FORMAT=MLN","Sort=A","Dates=H","DateFormat=P","Fill=—","Direction=H","UseDPDF=Y")</f>
        <v>43281.8</v>
      </c>
      <c r="AB77" s="16" cm="1">
        <f t="array" ref="AB77">_xll.BDH("PCAR US Equity","TOT_LIAB_AND_EQY","FQ4 2024","FQ4 2024","Currency=USD","Period=FQ","BEST_FPERIOD_OVERRIDE=FQ","FILING_STATUS=MR","SCALING_FORMAT=MLN","Sort=A","Dates=H","DateFormat=P","Fill=—","Direction=H","UseDPDF=Y")</f>
        <v>43418.9</v>
      </c>
      <c r="AC77" s="16" cm="1">
        <f t="array" ref="AC77">_xll.BDH("PCAR US Equity","TOT_LIAB_AND_EQY","FQ1 2025","FQ1 2025","Currency=USD","Period=FQ","BEST_FPERIOD_OVERRIDE=FQ","FILING_STATUS=MR","SCALING_FORMAT=MLN","Sort=A","Dates=H","DateFormat=P","Fill=—","Direction=H","UseDPDF=Y")</f>
        <v>42724.7</v>
      </c>
      <c r="AD77" s="16" cm="1">
        <f t="array" ref="AD77">_xll.BDH("PCAR US Equity","TOT_LIAB_AND_EQY","FQ2 2025","FQ2 2025","Currency=USD","Period=FQ","BEST_FPERIOD_OVERRIDE=FQ","FILING_STATUS=MR","SCALING_FORMAT=MLN","Sort=A","Dates=H","DateFormat=P","Fill=—","Direction=H","UseDPDF=Y")</f>
        <v>44094.8</v>
      </c>
      <c r="AE77" s="16" cm="1">
        <f t="array" ref="AE77">_xll.BDH("PCAR US Equity","TOT_LIAB_AND_EQY","FQ3 2025","FQ3 2025","Currency=USD","Period=FQ","BEST_FPERIOD_OVERRIDE=FQ","FILING_STATUS=MR","SCALING_FORMAT=MLN","Sort=A","Dates=H","DateFormat=P","Fill=—","Direction=H","UseDPDF=Y")</f>
        <v>44201.2</v>
      </c>
      <c r="AF77" s="16" cm="1">
        <f t="array" ref="AF77">_xll.BDH("PCAR US Equity","TOT_LIAB_AND_EQY","FQ4 2025","FQ4 2025","Currency=USD","Period=FQ","BEST_FPERIOD_OVERRIDE=FQ","FILING_STATUS=MR","SCALING_FORMAT=MLN","Sort=A","Dates=H","DateFormat=P","Fill=—","Direction=H","UseDPDF=Y")</f>
        <v>44336.2</v>
      </c>
    </row>
    <row r="78" spans="1:32" x14ac:dyDescent="0.25">
      <c r="A78" s="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x14ac:dyDescent="0.25">
      <c r="A79" s="6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x14ac:dyDescent="0.25">
      <c r="A80" s="10" t="s">
        <v>200</v>
      </c>
      <c r="B80" s="10" t="s">
        <v>201</v>
      </c>
      <c r="C80" s="12" t="s">
        <v>202</v>
      </c>
      <c r="D80" s="12" t="s">
        <v>202</v>
      </c>
      <c r="E80" s="12" t="s">
        <v>202</v>
      </c>
      <c r="F80" s="12" t="s">
        <v>202</v>
      </c>
      <c r="G80" s="12" t="s">
        <v>202</v>
      </c>
      <c r="H80" s="12" t="s">
        <v>202</v>
      </c>
      <c r="I80" s="12" t="s">
        <v>202</v>
      </c>
      <c r="J80" s="12" t="s">
        <v>202</v>
      </c>
      <c r="K80" s="12" t="s">
        <v>202</v>
      </c>
      <c r="L80" s="12" t="s">
        <v>202</v>
      </c>
      <c r="M80" s="12" t="s">
        <v>202</v>
      </c>
      <c r="N80" s="12" t="s">
        <v>202</v>
      </c>
      <c r="O80" s="12" t="s">
        <v>202</v>
      </c>
      <c r="P80" s="12" t="s">
        <v>202</v>
      </c>
      <c r="Q80" s="12" t="s">
        <v>202</v>
      </c>
      <c r="R80" s="12" t="s">
        <v>202</v>
      </c>
      <c r="S80" s="12" t="s">
        <v>202</v>
      </c>
      <c r="T80" s="12" t="s">
        <v>202</v>
      </c>
      <c r="U80" s="12" t="s">
        <v>202</v>
      </c>
      <c r="V80" s="12" t="s">
        <v>202</v>
      </c>
      <c r="W80" s="12" t="s">
        <v>202</v>
      </c>
      <c r="X80" s="12" t="s">
        <v>202</v>
      </c>
      <c r="Y80" s="12" t="s">
        <v>202</v>
      </c>
      <c r="Z80" s="12" t="s">
        <v>202</v>
      </c>
      <c r="AA80" s="12" t="s">
        <v>202</v>
      </c>
      <c r="AB80" s="12" t="s">
        <v>202</v>
      </c>
      <c r="AC80" s="12" t="s">
        <v>202</v>
      </c>
      <c r="AD80" s="12" t="s">
        <v>202</v>
      </c>
      <c r="AE80" s="12" t="s">
        <v>202</v>
      </c>
      <c r="AF80" s="12" t="s">
        <v>202</v>
      </c>
    </row>
    <row r="81" spans="1:32" x14ac:dyDescent="0.25">
      <c r="A81" s="10" t="s">
        <v>203</v>
      </c>
      <c r="B81" s="10" t="s">
        <v>204</v>
      </c>
      <c r="C81" s="13" cm="1">
        <f t="array" ref="C81">_xll.BDH("PCAR US Equity","BS_SH_OUT","FQ3 2018","FQ3 2018","Currency=USD","Period=FQ","BEST_FPERIOD_OVERRIDE=FQ","FILING_STATUS=MR","Sort=A","Dates=H","DateFormat=P","Fill=—","Direction=H","UseDPDF=Y")</f>
        <v>524.70000000000005</v>
      </c>
      <c r="D81" s="13" cm="1">
        <f t="array" ref="D81">_xll.BDH("PCAR US Equity","BS_SH_OUT","FQ4 2018","FQ4 2018","Currency=USD","Period=FQ","BEST_FPERIOD_OVERRIDE=FQ","FILING_STATUS=MR","Sort=A","Dates=H","DateFormat=P","Fill=—","Direction=H","UseDPDF=Y")</f>
        <v>519.9</v>
      </c>
      <c r="E81" s="13" cm="1">
        <f t="array" ref="E81">_xll.BDH("PCAR US Equity","BS_SH_OUT","FQ1 2019","FQ1 2019","Currency=USD","Period=FQ","BEST_FPERIOD_OVERRIDE=FQ","FILING_STATUS=MR","Sort=A","Dates=H","DateFormat=P","Fill=—","Direction=H","UseDPDF=Y")</f>
        <v>519.75</v>
      </c>
      <c r="F81" s="13" cm="1">
        <f t="array" ref="F81">_xll.BDH("PCAR US Equity","BS_SH_OUT","FQ2 2019","FQ2 2019","Currency=USD","Period=FQ","BEST_FPERIOD_OVERRIDE=FQ","FILING_STATUS=MR","Sort=A","Dates=H","DateFormat=P","Fill=—","Direction=H","UseDPDF=Y")</f>
        <v>519.6</v>
      </c>
      <c r="G81" s="13" cm="1">
        <f t="array" ref="G81">_xll.BDH("PCAR US Equity","BS_SH_OUT","FQ3 2019","FQ3 2019","Currency=USD","Period=FQ","BEST_FPERIOD_OVERRIDE=FQ","FILING_STATUS=MR","Sort=A","Dates=H","DateFormat=P","Fill=—","Direction=H","UseDPDF=Y")</f>
        <v>518.54999999999995</v>
      </c>
      <c r="H81" s="13" cm="1">
        <f t="array" ref="H81">_xll.BDH("PCAR US Equity","BS_SH_OUT","FQ4 2019","FQ4 2019","Currency=USD","Period=FQ","BEST_FPERIOD_OVERRIDE=FQ","FILING_STATUS=MR","Sort=A","Dates=H","DateFormat=P","Fill=—","Direction=H","UseDPDF=Y")</f>
        <v>519.45000000000005</v>
      </c>
      <c r="I81" s="13" cm="1">
        <f t="array" ref="I81">_xll.BDH("PCAR US Equity","BS_SH_OUT","FQ1 2020","FQ1 2020","Currency=USD","Period=FQ","BEST_FPERIOD_OVERRIDE=FQ","FILING_STATUS=MR","Sort=A","Dates=H","DateFormat=P","Fill=—","Direction=H","UseDPDF=Y")</f>
        <v>518.54999999999995</v>
      </c>
      <c r="J81" s="13" cm="1">
        <f t="array" ref="J81">_xll.BDH("PCAR US Equity","BS_SH_OUT","FQ2 2020","FQ2 2020","Currency=USD","Period=FQ","BEST_FPERIOD_OVERRIDE=FQ","FILING_STATUS=MR","Sort=A","Dates=H","DateFormat=P","Fill=—","Direction=H","UseDPDF=Y")</f>
        <v>518.70000000000005</v>
      </c>
      <c r="K81" s="13" cm="1">
        <f t="array" ref="K81">_xll.BDH("PCAR US Equity","BS_SH_OUT","FQ3 2020","FQ3 2020","Currency=USD","Period=FQ","BEST_FPERIOD_OVERRIDE=FQ","FILING_STATUS=MR","Sort=A","Dates=H","DateFormat=P","Fill=—","Direction=H","UseDPDF=Y")</f>
        <v>519.45000000000005</v>
      </c>
      <c r="L81" s="13" cm="1">
        <f t="array" ref="L81">_xll.BDH("PCAR US Equity","BS_SH_OUT","FQ4 2020","FQ4 2020","Currency=USD","Period=FQ","BEST_FPERIOD_OVERRIDE=FQ","FILING_STATUS=MR","Sort=A","Dates=H","DateFormat=P","Fill=—","Direction=H","UseDPDF=Y")</f>
        <v>519.9</v>
      </c>
      <c r="M81" s="13" cm="1">
        <f t="array" ref="M81">_xll.BDH("PCAR US Equity","BS_SH_OUT","FQ1 2021","FQ1 2021","Currency=USD","Period=FQ","BEST_FPERIOD_OVERRIDE=FQ","FILING_STATUS=MR","Sort=A","Dates=H","DateFormat=P","Fill=—","Direction=H","UseDPDF=Y")</f>
        <v>520.5</v>
      </c>
      <c r="N81" s="13" cm="1">
        <f t="array" ref="N81">_xll.BDH("PCAR US Equity","BS_SH_OUT","FQ2 2021","FQ2 2021","Currency=USD","Period=FQ","BEST_FPERIOD_OVERRIDE=FQ","FILING_STATUS=MR","Sort=A","Dates=H","DateFormat=P","Fill=—","Direction=H","UseDPDF=Y")</f>
        <v>520.77</v>
      </c>
      <c r="O81" s="13" cm="1">
        <f t="array" ref="O81">_xll.BDH("PCAR US Equity","BS_SH_OUT","FQ3 2021","FQ3 2021","Currency=USD","Period=FQ","BEST_FPERIOD_OVERRIDE=FQ","FILING_STATUS=MR","Sort=A","Dates=H","DateFormat=P","Fill=—","Direction=H","UseDPDF=Y")</f>
        <v>520.77</v>
      </c>
      <c r="P81" s="13" cm="1">
        <f t="array" ref="P81">_xll.BDH("PCAR US Equity","BS_SH_OUT","FQ4 2021","FQ4 2021","Currency=USD","Period=FQ","BEST_FPERIOD_OVERRIDE=FQ","FILING_STATUS=MR","Sort=A","Dates=H","DateFormat=P","Fill=—","Direction=H","UseDPDF=Y")</f>
        <v>520.95000000000005</v>
      </c>
      <c r="Q81" s="13" cm="1">
        <f t="array" ref="Q81">_xll.BDH("PCAR US Equity","BS_SH_OUT","FQ1 2022","FQ1 2022","Currency=USD","Period=FQ","BEST_FPERIOD_OVERRIDE=FQ","FILING_STATUS=MR","Sort=A","Dates=H","DateFormat=P","Fill=—","Direction=H","UseDPDF=Y")</f>
        <v>521.25</v>
      </c>
      <c r="R81" s="13" cm="1">
        <f t="array" ref="R81">_xll.BDH("PCAR US Equity","BS_SH_OUT","FQ2 2022","FQ2 2022","Currency=USD","Period=FQ","BEST_FPERIOD_OVERRIDE=FQ","FILING_STATUS=MR","Sort=A","Dates=H","DateFormat=P","Fill=—","Direction=H","UseDPDF=Y")</f>
        <v>521.52</v>
      </c>
      <c r="S81" s="13" cm="1">
        <f t="array" ref="S81">_xll.BDH("PCAR US Equity","BS_SH_OUT","FQ3 2022","FQ3 2022","Currency=USD","Period=FQ","BEST_FPERIOD_OVERRIDE=FQ","FILING_STATUS=MR","Sort=A","Dates=H","DateFormat=P","Fill=—","Direction=H","UseDPDF=Y")</f>
        <v>521.66999999999996</v>
      </c>
      <c r="T81" s="13" cm="1">
        <f t="array" ref="T81">_xll.BDH("PCAR US Equity","BS_SH_OUT","FQ4 2022","FQ4 2022","Currency=USD","Period=FQ","BEST_FPERIOD_OVERRIDE=FQ","FILING_STATUS=MR","Sort=A","Dates=H","DateFormat=P","Fill=—","Direction=H","UseDPDF=Y")</f>
        <v>522.51379999999995</v>
      </c>
      <c r="U81" s="13" cm="1">
        <f t="array" ref="U81">_xll.BDH("PCAR US Equity","BS_SH_OUT","FQ1 2023","FQ1 2023","Currency=USD","Period=FQ","BEST_FPERIOD_OVERRIDE=FQ","FILING_STATUS=MR","Sort=A","Dates=H","DateFormat=P","Fill=—","Direction=H","UseDPDF=Y")</f>
        <v>522.20000000000005</v>
      </c>
      <c r="V81" s="13" cm="1">
        <f t="array" ref="V81">_xll.BDH("PCAR US Equity","BS_SH_OUT","FQ2 2023","FQ2 2023","Currency=USD","Period=FQ","BEST_FPERIOD_OVERRIDE=FQ","FILING_STATUS=MR","Sort=A","Dates=H","DateFormat=P","Fill=—","Direction=H","UseDPDF=Y")</f>
        <v>522.76</v>
      </c>
      <c r="W81" s="13" cm="1">
        <f t="array" ref="W81">_xll.BDH("PCAR US Equity","BS_SH_OUT","FQ3 2023","FQ3 2023","Currency=USD","Period=FQ","BEST_FPERIOD_OVERRIDE=FQ","FILING_STATUS=MR","Sort=A","Dates=H","DateFormat=P","Fill=—","Direction=H","UseDPDF=Y")</f>
        <v>523.05999999999995</v>
      </c>
      <c r="X81" s="13" cm="1">
        <f t="array" ref="X81">_xll.BDH("PCAR US Equity","BS_SH_OUT","FQ4 2023","FQ4 2023","Currency=USD","Period=FQ","BEST_FPERIOD_OVERRIDE=FQ","FILING_STATUS=MR","Sort=A","Dates=H","DateFormat=P","Fill=—","Direction=H","UseDPDF=Y")</f>
        <v>523.29999999999995</v>
      </c>
      <c r="Y81" s="13" cm="1">
        <f t="array" ref="Y81">_xll.BDH("PCAR US Equity","BS_SH_OUT","FQ1 2024","FQ1 2024","Currency=USD","Period=FQ","BEST_FPERIOD_OVERRIDE=FQ","FILING_STATUS=MR","Sort=A","Dates=H","DateFormat=P","Fill=—","Direction=H","UseDPDF=Y")</f>
        <v>523.70000000000005</v>
      </c>
      <c r="Z81" s="13" cm="1">
        <f t="array" ref="Z81">_xll.BDH("PCAR US Equity","BS_SH_OUT","FQ2 2024","FQ2 2024","Currency=USD","Period=FQ","BEST_FPERIOD_OVERRIDE=FQ","FILING_STATUS=MR","Sort=A","Dates=H","DateFormat=P","Fill=—","Direction=H","UseDPDF=Y")</f>
        <v>524.26</v>
      </c>
      <c r="AA81" s="13" cm="1">
        <f t="array" ref="AA81">_xll.BDH("PCAR US Equity","BS_SH_OUT","FQ3 2024","FQ3 2024","Currency=USD","Period=FQ","BEST_FPERIOD_OVERRIDE=FQ","FILING_STATUS=MR","Sort=A","Dates=H","DateFormat=P","Fill=—","Direction=H","UseDPDF=Y")</f>
        <v>519.79999999999995</v>
      </c>
      <c r="AB81" s="13" cm="1">
        <f t="array" ref="AB81">_xll.BDH("PCAR US Equity","BS_SH_OUT","FQ4 2024","FQ4 2024","Currency=USD","Period=FQ","BEST_FPERIOD_OVERRIDE=FQ","FILING_STATUS=MR","Sort=A","Dates=H","DateFormat=P","Fill=—","Direction=H","UseDPDF=Y")</f>
        <v>524.4</v>
      </c>
      <c r="AC81" s="13" cm="1">
        <f t="array" ref="AC81">_xll.BDH("PCAR US Equity","BS_SH_OUT","FQ1 2025","FQ1 2025","Currency=USD","Period=FQ","BEST_FPERIOD_OVERRIDE=FQ","FILING_STATUS=MR","Sort=A","Dates=H","DateFormat=P","Fill=—","Direction=H","UseDPDF=Y")</f>
        <v>524.96</v>
      </c>
      <c r="AD81" s="13" cm="1">
        <f t="array" ref="AD81">_xll.BDH("PCAR US Equity","BS_SH_OUT","FQ2 2025","FQ2 2025","Currency=USD","Period=FQ","BEST_FPERIOD_OVERRIDE=FQ","FILING_STATUS=MR","Sort=A","Dates=H","DateFormat=P","Fill=—","Direction=H","UseDPDF=Y")</f>
        <v>525.5</v>
      </c>
      <c r="AE81" s="13" cm="1">
        <f t="array" ref="AE81">_xll.BDH("PCAR US Equity","BS_SH_OUT","FQ3 2025","FQ3 2025","Currency=USD","Period=FQ","BEST_FPERIOD_OVERRIDE=FQ","FILING_STATUS=MR","Sort=A","Dates=H","DateFormat=P","Fill=—","Direction=H","UseDPDF=Y")</f>
        <v>525.20000000000005</v>
      </c>
      <c r="AF81" s="13" cm="1">
        <f t="array" ref="AF81">_xll.BDH("PCAR US Equity","BS_SH_OUT","FQ4 2025","FQ4 2025","Currency=USD","Period=FQ","BEST_FPERIOD_OVERRIDE=FQ","FILING_STATUS=MR","Sort=A","Dates=H","DateFormat=P","Fill=—","Direction=H","UseDPDF=Y")</f>
        <v>525.4</v>
      </c>
    </row>
    <row r="82" spans="1:32" x14ac:dyDescent="0.25">
      <c r="A82" s="10" t="s">
        <v>205</v>
      </c>
      <c r="B82" s="10" t="s">
        <v>206</v>
      </c>
      <c r="C82" s="13" cm="1">
        <f t="array" ref="C82">_xll.BDH("PCAR US Equity","BS_NUM_OF_TSY_SH","FQ3 2018","FQ3 2018","Currency=USD","Period=FQ","BEST_FPERIOD_OVERRIDE=FQ","FILING_STATUS=MR","Sort=A","Dates=H","DateFormat=P","Fill=—","Direction=H","UseDPDF=Y")</f>
        <v>3.6</v>
      </c>
      <c r="D82" s="13" t="str" cm="1">
        <f t="array" ref="D82">_xll.BDH("PCAR US Equity","BS_NUM_OF_TSY_SH","FQ4 2018","FQ4 2018","Currency=USD","Period=FQ","BEST_FPERIOD_OVERRIDE=FQ","FILING_STATUS=MR","Sort=A","Dates=H","DateFormat=P","Fill=—","Direction=H","UseDPDF=Y")</f>
        <v>—</v>
      </c>
      <c r="E82" s="13" cm="1">
        <f t="array" ref="E82">_xll.BDH("PCAR US Equity","BS_NUM_OF_TSY_SH","FQ1 2019","FQ1 2019","Currency=USD","Period=FQ","BEST_FPERIOD_OVERRIDE=FQ","FILING_STATUS=MR","Sort=A","Dates=H","DateFormat=P","Fill=—","Direction=H","UseDPDF=Y")</f>
        <v>0.75</v>
      </c>
      <c r="F82" s="13" cm="1">
        <f t="array" ref="F82">_xll.BDH("PCAR US Equity","BS_NUM_OF_TSY_SH","FQ2 2019","FQ2 2019","Currency=USD","Period=FQ","BEST_FPERIOD_OVERRIDE=FQ","FILING_STATUS=MR","Sort=A","Dates=H","DateFormat=P","Fill=—","Direction=H","UseDPDF=Y")</f>
        <v>1.2</v>
      </c>
      <c r="G82" s="13" cm="1">
        <f t="array" ref="G82">_xll.BDH("PCAR US Equity","BS_NUM_OF_TSY_SH","FQ3 2019","FQ3 2019","Currency=USD","Period=FQ","BEST_FPERIOD_OVERRIDE=FQ","FILING_STATUS=MR","Sort=A","Dates=H","DateFormat=P","Fill=—","Direction=H","UseDPDF=Y")</f>
        <v>2.5499999999999998</v>
      </c>
      <c r="H82" s="13" t="str" cm="1">
        <f t="array" ref="H82">_xll.BDH("PCAR US Equity","BS_NUM_OF_TSY_SH","FQ4 2019","FQ4 2019","Currency=USD","Period=FQ","BEST_FPERIOD_OVERRIDE=FQ","FILING_STATUS=MR","Sort=A","Dates=H","DateFormat=P","Fill=—","Direction=H","UseDPDF=Y")</f>
        <v>—</v>
      </c>
      <c r="I82" s="13" cm="1">
        <f t="array" ref="I82">_xll.BDH("PCAR US Equity","BS_NUM_OF_TSY_SH","FQ1 2020","FQ1 2020","Currency=USD","Period=FQ","BEST_FPERIOD_OVERRIDE=FQ","FILING_STATUS=MR","Sort=A","Dates=H","DateFormat=P","Fill=—","Direction=H","UseDPDF=Y")</f>
        <v>1.05</v>
      </c>
      <c r="J82" s="13" cm="1">
        <f t="array" ref="J82">_xll.BDH("PCAR US Equity","BS_NUM_OF_TSY_SH","FQ2 2020","FQ2 2020","Currency=USD","Period=FQ","BEST_FPERIOD_OVERRIDE=FQ","FILING_STATUS=MR","Sort=A","Dates=H","DateFormat=P","Fill=—","Direction=H","UseDPDF=Y")</f>
        <v>1.05</v>
      </c>
      <c r="K82" s="13" cm="1">
        <f t="array" ref="K82">_xll.BDH("PCAR US Equity","BS_NUM_OF_TSY_SH","FQ3 2020","FQ3 2020","Currency=USD","Period=FQ","BEST_FPERIOD_OVERRIDE=FQ","FILING_STATUS=MR","Sort=A","Dates=H","DateFormat=P","Fill=—","Direction=H","UseDPDF=Y")</f>
        <v>1.05</v>
      </c>
      <c r="L82" s="13" t="str" cm="1">
        <f t="array" ref="L82">_xll.BDH("PCAR US Equity","BS_NUM_OF_TSY_SH","FQ4 2020","FQ4 2020","Currency=USD","Period=FQ","BEST_FPERIOD_OVERRIDE=FQ","FILING_STATUS=MR","Sort=A","Dates=H","DateFormat=P","Fill=—","Direction=H","UseDPDF=Y")</f>
        <v>—</v>
      </c>
      <c r="M82" s="13" cm="1">
        <f t="array" ref="M82">_xll.BDH("PCAR US Equity","BS_NUM_OF_TSY_SH","FQ1 2021","FQ1 2021","Currency=USD","Period=FQ","BEST_FPERIOD_OVERRIDE=FQ","FILING_STATUS=MR","Sort=A","Dates=H","DateFormat=P","Fill=—","Direction=H","UseDPDF=Y")</f>
        <v>0.3</v>
      </c>
      <c r="N82" s="13" cm="1">
        <f t="array" ref="N82">_xll.BDH("PCAR US Equity","BS_NUM_OF_TSY_SH","FQ2 2021","FQ2 2021","Currency=USD","Period=FQ","BEST_FPERIOD_OVERRIDE=FQ","FILING_STATUS=MR","Sort=A","Dates=H","DateFormat=P","Fill=—","Direction=H","UseDPDF=Y")</f>
        <v>0.03</v>
      </c>
      <c r="O82" s="13" cm="1">
        <f t="array" ref="O82">_xll.BDH("PCAR US Equity","BS_NUM_OF_TSY_SH","FQ3 2021","FQ3 2021","Currency=USD","Period=FQ","BEST_FPERIOD_OVERRIDE=FQ","FILING_STATUS=MR","Sort=A","Dates=H","DateFormat=P","Fill=—","Direction=H","UseDPDF=Y")</f>
        <v>0.03</v>
      </c>
      <c r="P82" s="13" cm="1">
        <f t="array" ref="P82">_xll.BDH("PCAR US Equity","BS_NUM_OF_TSY_SH","FQ4 2021","FQ4 2021","Currency=USD","Period=FQ","BEST_FPERIOD_OVERRIDE=FQ","FILING_STATUS=MR","Sort=A","Dates=H","DateFormat=P","Fill=—","Direction=H","UseDPDF=Y")</f>
        <v>0</v>
      </c>
      <c r="Q82" s="13" cm="1">
        <f t="array" ref="Q82">_xll.BDH("PCAR US Equity","BS_NUM_OF_TSY_SH","FQ1 2022","FQ1 2022","Currency=USD","Period=FQ","BEST_FPERIOD_OVERRIDE=FQ","FILING_STATUS=MR","Sort=A","Dates=H","DateFormat=P","Fill=—","Direction=H","UseDPDF=Y")</f>
        <v>0.3</v>
      </c>
      <c r="R82" s="13" cm="1">
        <f t="array" ref="R82">_xll.BDH("PCAR US Equity","BS_NUM_OF_TSY_SH","FQ2 2022","FQ2 2022","Currency=USD","Period=FQ","BEST_FPERIOD_OVERRIDE=FQ","FILING_STATUS=MR","Sort=A","Dates=H","DateFormat=P","Fill=—","Direction=H","UseDPDF=Y")</f>
        <v>0.03</v>
      </c>
      <c r="S82" s="13" cm="1">
        <f t="array" ref="S82">_xll.BDH("PCAR US Equity","BS_NUM_OF_TSY_SH","FQ3 2022","FQ3 2022","Currency=USD","Period=FQ","BEST_FPERIOD_OVERRIDE=FQ","FILING_STATUS=MR","Sort=A","Dates=H","DateFormat=P","Fill=—","Direction=H","UseDPDF=Y")</f>
        <v>0.03</v>
      </c>
      <c r="T82" s="13" cm="1">
        <f t="array" ref="T82">_xll.BDH("PCAR US Equity","BS_NUM_OF_TSY_SH","FQ4 2022","FQ4 2022","Currency=USD","Period=FQ","BEST_FPERIOD_OVERRIDE=FQ","FILING_STATUS=MR","Sort=A","Dates=H","DateFormat=P","Fill=—","Direction=H","UseDPDF=Y")</f>
        <v>0</v>
      </c>
      <c r="U82" s="13" cm="1">
        <f t="array" ref="U82">_xll.BDH("PCAR US Equity","BS_NUM_OF_TSY_SH","FQ1 2023","FQ1 2023","Currency=USD","Period=FQ","BEST_FPERIOD_OVERRIDE=FQ","FILING_STATUS=MR","Sort=A","Dates=H","DateFormat=P","Fill=—","Direction=H","UseDPDF=Y")</f>
        <v>0.4</v>
      </c>
      <c r="V82" s="13" cm="1">
        <f t="array" ref="V82">_xll.BDH("PCAR US Equity","BS_NUM_OF_TSY_SH","FQ2 2023","FQ2 2023","Currency=USD","Period=FQ","BEST_FPERIOD_OVERRIDE=FQ","FILING_STATUS=MR","Sort=A","Dates=H","DateFormat=P","Fill=—","Direction=H","UseDPDF=Y")</f>
        <v>0.04</v>
      </c>
      <c r="W82" s="13" cm="1">
        <f t="array" ref="W82">_xll.BDH("PCAR US Equity","BS_NUM_OF_TSY_SH","FQ3 2023","FQ3 2023","Currency=USD","Period=FQ","BEST_FPERIOD_OVERRIDE=FQ","FILING_STATUS=MR","Sort=A","Dates=H","DateFormat=P","Fill=—","Direction=H","UseDPDF=Y")</f>
        <v>0.04</v>
      </c>
      <c r="X82" s="13" cm="1">
        <f t="array" ref="X82">_xll.BDH("PCAR US Equity","BS_NUM_OF_TSY_SH","FQ4 2023","FQ4 2023","Currency=USD","Period=FQ","BEST_FPERIOD_OVERRIDE=FQ","FILING_STATUS=MR","Sort=A","Dates=H","DateFormat=P","Fill=—","Direction=H","UseDPDF=Y")</f>
        <v>0</v>
      </c>
      <c r="Y82" s="13" cm="1">
        <f t="array" ref="Y82">_xll.BDH("PCAR US Equity","BS_NUM_OF_TSY_SH","FQ1 2024","FQ1 2024","Currency=USD","Period=FQ","BEST_FPERIOD_OVERRIDE=FQ","FILING_STATUS=MR","Sort=A","Dates=H","DateFormat=P","Fill=—","Direction=H","UseDPDF=Y")</f>
        <v>0.4</v>
      </c>
      <c r="Z82" s="13" cm="1">
        <f t="array" ref="Z82">_xll.BDH("PCAR US Equity","BS_NUM_OF_TSY_SH","FQ2 2024","FQ2 2024","Currency=USD","Period=FQ","BEST_FPERIOD_OVERRIDE=FQ","FILING_STATUS=MR","Sort=A","Dates=H","DateFormat=P","Fill=—","Direction=H","UseDPDF=Y")</f>
        <v>0.04</v>
      </c>
      <c r="AA82" s="13" cm="1">
        <f t="array" ref="AA82">_xll.BDH("PCAR US Equity","BS_NUM_OF_TSY_SH","FQ3 2024","FQ3 2024","Currency=USD","Period=FQ","BEST_FPERIOD_OVERRIDE=FQ","FILING_STATUS=MR","Sort=A","Dates=H","DateFormat=P","Fill=—","Direction=H","UseDPDF=Y")</f>
        <v>4.5</v>
      </c>
      <c r="AB82" s="13" cm="1">
        <f t="array" ref="AB82">_xll.BDH("PCAR US Equity","BS_NUM_OF_TSY_SH","FQ4 2024","FQ4 2024","Currency=USD","Period=FQ","BEST_FPERIOD_OVERRIDE=FQ","FILING_STATUS=MR","Sort=A","Dates=H","DateFormat=P","Fill=—","Direction=H","UseDPDF=Y")</f>
        <v>0</v>
      </c>
      <c r="AC82" s="13" cm="1">
        <f t="array" ref="AC82">_xll.BDH("PCAR US Equity","BS_NUM_OF_TSY_SH","FQ1 2025","FQ1 2025","Currency=USD","Period=FQ","BEST_FPERIOD_OVERRIDE=FQ","FILING_STATUS=MR","Sort=A","Dates=H","DateFormat=P","Fill=—","Direction=H","UseDPDF=Y")</f>
        <v>0.04</v>
      </c>
      <c r="AD82" s="13" cm="1">
        <f t="array" ref="AD82">_xll.BDH("PCAR US Equity","BS_NUM_OF_TSY_SH","FQ2 2025","FQ2 2025","Currency=USD","Period=FQ","BEST_FPERIOD_OVERRIDE=FQ","FILING_STATUS=MR","Sort=A","Dates=H","DateFormat=P","Fill=—","Direction=H","UseDPDF=Y")</f>
        <v>0.38</v>
      </c>
      <c r="AE82" s="13" cm="1">
        <f t="array" ref="AE82">_xll.BDH("PCAR US Equity","BS_NUM_OF_TSY_SH","FQ3 2025","FQ3 2025","Currency=USD","Period=FQ","BEST_FPERIOD_OVERRIDE=FQ","FILING_STATUS=MR","Sort=A","Dates=H","DateFormat=P","Fill=—","Direction=H","UseDPDF=Y")</f>
        <v>0.4</v>
      </c>
      <c r="AF82" s="13" t="str" cm="1">
        <f t="array" ref="AF82">_xll.BDH("PCAR US Equity","BS_NUM_OF_TSY_SH","FQ4 2025","FQ4 2025","Currency=USD","Period=FQ","BEST_FPERIOD_OVERRIDE=FQ","FILING_STATUS=MR","Sort=A","Dates=H","DateFormat=P","Fill=—","Direction=H","UseDPDF=Y")</f>
        <v>—</v>
      </c>
    </row>
    <row r="83" spans="1:32" x14ac:dyDescent="0.25">
      <c r="A83" s="10" t="s">
        <v>207</v>
      </c>
      <c r="B83" s="10" t="s">
        <v>208</v>
      </c>
      <c r="C83" s="13" t="str" cm="1">
        <f t="array" ref="C83">_xll.BDH("PCAR US Equity","BS_PENSION_RSRV","FQ3 2018","FQ3 2018","Currency=USD","Period=FQ","BEST_FPERIOD_OVERRIDE=FQ","FILING_STATUS=MR","SCALING_FORMAT=MLN","Sort=A","Dates=H","DateFormat=P","Fill=—","Direction=H","UseDPDF=Y")</f>
        <v>—</v>
      </c>
      <c r="D83" s="13" cm="1">
        <f t="array" ref="D83">_xll.BDH("PCAR US Equity","BS_PENSION_RSRV","FQ4 2018","FQ4 2018","Currency=USD","Period=FQ","BEST_FPERIOD_OVERRIDE=FQ","FILING_STATUS=MR","SCALING_FORMAT=MLN","Sort=A","Dates=H","DateFormat=P","Fill=—","Direction=H","UseDPDF=Y")</f>
        <v>126</v>
      </c>
      <c r="E83" s="13" t="str" cm="1">
        <f t="array" ref="E83">_xll.BDH("PCAR US Equity","BS_PENSION_RSRV","FQ1 2019","FQ1 2019","Currency=USD","Period=FQ","BEST_FPERIOD_OVERRIDE=FQ","FILING_STATUS=MR","SCALING_FORMAT=MLN","Sort=A","Dates=H","DateFormat=P","Fill=—","Direction=H","UseDPDF=Y")</f>
        <v>—</v>
      </c>
      <c r="F83" s="13" t="str" cm="1">
        <f t="array" ref="F83">_xll.BDH("PCAR US Equity","BS_PENSION_RSRV","FQ2 2019","FQ2 2019","Currency=USD","Period=FQ","BEST_FPERIOD_OVERRIDE=FQ","FILING_STATUS=MR","SCALING_FORMAT=MLN","Sort=A","Dates=H","DateFormat=P","Fill=—","Direction=H","UseDPDF=Y")</f>
        <v>—</v>
      </c>
      <c r="G83" s="13" t="str" cm="1">
        <f t="array" ref="G83">_xll.BDH("PCAR US Equity","BS_PENSION_RSRV","FQ3 2019","FQ3 2019","Currency=USD","Period=FQ","BEST_FPERIOD_OVERRIDE=FQ","FILING_STATUS=MR","SCALING_FORMAT=MLN","Sort=A","Dates=H","DateFormat=P","Fill=—","Direction=H","UseDPDF=Y")</f>
        <v>—</v>
      </c>
      <c r="H83" s="13" cm="1">
        <f t="array" ref="H83">_xll.BDH("PCAR US Equity","BS_PENSION_RSRV","FQ4 2019","FQ4 2019","Currency=USD","Period=FQ","BEST_FPERIOD_OVERRIDE=FQ","FILING_STATUS=MR","SCALING_FORMAT=MLN","Sort=A","Dates=H","DateFormat=P","Fill=—","Direction=H","UseDPDF=Y")</f>
        <v>114.6</v>
      </c>
      <c r="I83" s="13" t="str" cm="1">
        <f t="array" ref="I83">_xll.BDH("PCAR US Equity","BS_PENSION_RSRV","FQ1 2020","FQ1 2020","Currency=USD","Period=FQ","BEST_FPERIOD_OVERRIDE=FQ","FILING_STATUS=MR","SCALING_FORMAT=MLN","Sort=A","Dates=H","DateFormat=P","Fill=—","Direction=H","UseDPDF=Y")</f>
        <v>—</v>
      </c>
      <c r="J83" s="13" t="str" cm="1">
        <f t="array" ref="J83">_xll.BDH("PCAR US Equity","BS_PENSION_RSRV","FQ2 2020","FQ2 2020","Currency=USD","Period=FQ","BEST_FPERIOD_OVERRIDE=FQ","FILING_STATUS=MR","SCALING_FORMAT=MLN","Sort=A","Dates=H","DateFormat=P","Fill=—","Direction=H","UseDPDF=Y")</f>
        <v>—</v>
      </c>
      <c r="K83" s="13" t="str" cm="1">
        <f t="array" ref="K83">_xll.BDH("PCAR US Equity","BS_PENSION_RSRV","FQ3 2020","FQ3 2020","Currency=USD","Period=FQ","BEST_FPERIOD_OVERRIDE=FQ","FILING_STATUS=MR","SCALING_FORMAT=MLN","Sort=A","Dates=H","DateFormat=P","Fill=—","Direction=H","UseDPDF=Y")</f>
        <v>—</v>
      </c>
      <c r="L83" s="13" cm="1">
        <f t="array" ref="L83">_xll.BDH("PCAR US Equity","BS_PENSION_RSRV","FQ4 2020","FQ4 2020","Currency=USD","Period=FQ","BEST_FPERIOD_OVERRIDE=FQ","FILING_STATUS=MR","SCALING_FORMAT=MLN","Sort=A","Dates=H","DateFormat=P","Fill=—","Direction=H","UseDPDF=Y")</f>
        <v>165.1</v>
      </c>
      <c r="M83" s="13" t="str" cm="1">
        <f t="array" ref="M83">_xll.BDH("PCAR US Equity","BS_PENSION_RSRV","FQ1 2021","FQ1 2021","Currency=USD","Period=FQ","BEST_FPERIOD_OVERRIDE=FQ","FILING_STATUS=MR","SCALING_FORMAT=MLN","Sort=A","Dates=H","DateFormat=P","Fill=—","Direction=H","UseDPDF=Y")</f>
        <v>—</v>
      </c>
      <c r="N83" s="13" t="str" cm="1">
        <f t="array" ref="N83">_xll.BDH("PCAR US Equity","BS_PENSION_RSRV","FQ2 2021","FQ2 2021","Currency=USD","Period=FQ","BEST_FPERIOD_OVERRIDE=FQ","FILING_STATUS=MR","SCALING_FORMAT=MLN","Sort=A","Dates=H","DateFormat=P","Fill=—","Direction=H","UseDPDF=Y")</f>
        <v>—</v>
      </c>
      <c r="O83" s="13" t="str" cm="1">
        <f t="array" ref="O83">_xll.BDH("PCAR US Equity","BS_PENSION_RSRV","FQ3 2021","FQ3 2021","Currency=USD","Period=FQ","BEST_FPERIOD_OVERRIDE=FQ","FILING_STATUS=MR","SCALING_FORMAT=MLN","Sort=A","Dates=H","DateFormat=P","Fill=—","Direction=H","UseDPDF=Y")</f>
        <v>—</v>
      </c>
      <c r="P83" s="13" cm="1">
        <f t="array" ref="P83">_xll.BDH("PCAR US Equity","BS_PENSION_RSRV","FQ4 2021","FQ4 2021","Currency=USD","Period=FQ","BEST_FPERIOD_OVERRIDE=FQ","FILING_STATUS=MR","SCALING_FORMAT=MLN","Sort=A","Dates=H","DateFormat=P","Fill=—","Direction=H","UseDPDF=Y")</f>
        <v>148.69999999999999</v>
      </c>
      <c r="Q83" s="13" t="str" cm="1">
        <f t="array" ref="Q83">_xll.BDH("PCAR US Equity","BS_PENSION_RSRV","FQ1 2022","FQ1 2022","Currency=USD","Period=FQ","BEST_FPERIOD_OVERRIDE=FQ","FILING_STATUS=MR","SCALING_FORMAT=MLN","Sort=A","Dates=H","DateFormat=P","Fill=—","Direction=H","UseDPDF=Y")</f>
        <v>—</v>
      </c>
      <c r="R83" s="13" t="str" cm="1">
        <f t="array" ref="R83">_xll.BDH("PCAR US Equity","BS_PENSION_RSRV","FQ2 2022","FQ2 2022","Currency=USD","Period=FQ","BEST_FPERIOD_OVERRIDE=FQ","FILING_STATUS=MR","SCALING_FORMAT=MLN","Sort=A","Dates=H","DateFormat=P","Fill=—","Direction=H","UseDPDF=Y")</f>
        <v>—</v>
      </c>
      <c r="S83" s="13" t="str" cm="1">
        <f t="array" ref="S83">_xll.BDH("PCAR US Equity","BS_PENSION_RSRV","FQ3 2022","FQ3 2022","Currency=USD","Period=FQ","BEST_FPERIOD_OVERRIDE=FQ","FILING_STATUS=MR","SCALING_FORMAT=MLN","Sort=A","Dates=H","DateFormat=P","Fill=—","Direction=H","UseDPDF=Y")</f>
        <v>—</v>
      </c>
      <c r="T83" s="13" cm="1">
        <f t="array" ref="T83">_xll.BDH("PCAR US Equity","BS_PENSION_RSRV","FQ4 2022","FQ4 2022","Currency=USD","Period=FQ","BEST_FPERIOD_OVERRIDE=FQ","FILING_STATUS=MR","SCALING_FORMAT=MLN","Sort=A","Dates=H","DateFormat=P","Fill=—","Direction=H","UseDPDF=Y")</f>
        <v>105</v>
      </c>
      <c r="U83" s="13" t="str" cm="1">
        <f t="array" ref="U83">_xll.BDH("PCAR US Equity","BS_PENSION_RSRV","FQ1 2023","FQ1 2023","Currency=USD","Period=FQ","BEST_FPERIOD_OVERRIDE=FQ","FILING_STATUS=MR","SCALING_FORMAT=MLN","Sort=A","Dates=H","DateFormat=P","Fill=—","Direction=H","UseDPDF=Y")</f>
        <v>—</v>
      </c>
      <c r="V83" s="13" t="str" cm="1">
        <f t="array" ref="V83">_xll.BDH("PCAR US Equity","BS_PENSION_RSRV","FQ2 2023","FQ2 2023","Currency=USD","Period=FQ","BEST_FPERIOD_OVERRIDE=FQ","FILING_STATUS=MR","SCALING_FORMAT=MLN","Sort=A","Dates=H","DateFormat=P","Fill=—","Direction=H","UseDPDF=Y")</f>
        <v>—</v>
      </c>
      <c r="W83" s="13" t="str" cm="1">
        <f t="array" ref="W83">_xll.BDH("PCAR US Equity","BS_PENSION_RSRV","FQ3 2023","FQ3 2023","Currency=USD","Period=FQ","BEST_FPERIOD_OVERRIDE=FQ","FILING_STATUS=MR","SCALING_FORMAT=MLN","Sort=A","Dates=H","DateFormat=P","Fill=—","Direction=H","UseDPDF=Y")</f>
        <v>—</v>
      </c>
      <c r="X83" s="13" cm="1">
        <f t="array" ref="X83">_xll.BDH("PCAR US Equity","BS_PENSION_RSRV","FQ4 2023","FQ4 2023","Currency=USD","Period=FQ","BEST_FPERIOD_OVERRIDE=FQ","FILING_STATUS=MR","SCALING_FORMAT=MLN","Sort=A","Dates=H","DateFormat=P","Fill=—","Direction=H","UseDPDF=Y")</f>
        <v>120.2</v>
      </c>
      <c r="Y83" s="13" t="str" cm="1">
        <f t="array" ref="Y83">_xll.BDH("PCAR US Equity","BS_PENSION_RSRV","FQ1 2024","FQ1 2024","Currency=USD","Period=FQ","BEST_FPERIOD_OVERRIDE=FQ","FILING_STATUS=MR","SCALING_FORMAT=MLN","Sort=A","Dates=H","DateFormat=P","Fill=—","Direction=H","UseDPDF=Y")</f>
        <v>—</v>
      </c>
      <c r="Z83" s="13" t="str" cm="1">
        <f t="array" ref="Z83">_xll.BDH("PCAR US Equity","BS_PENSION_RSRV","FQ2 2024","FQ2 2024","Currency=USD","Period=FQ","BEST_FPERIOD_OVERRIDE=FQ","FILING_STATUS=MR","SCALING_FORMAT=MLN","Sort=A","Dates=H","DateFormat=P","Fill=—","Direction=H","UseDPDF=Y")</f>
        <v>—</v>
      </c>
      <c r="AA83" s="13" t="str" cm="1">
        <f t="array" ref="AA83">_xll.BDH("PCAR US Equity","BS_PENSION_RSRV","FQ3 2024","FQ3 2024","Currency=USD","Period=FQ","BEST_FPERIOD_OVERRIDE=FQ","FILING_STATUS=MR","SCALING_FORMAT=MLN","Sort=A","Dates=H","DateFormat=P","Fill=—","Direction=H","UseDPDF=Y")</f>
        <v>—</v>
      </c>
      <c r="AB83" s="13" cm="1">
        <f t="array" ref="AB83">_xll.BDH("PCAR US Equity","BS_PENSION_RSRV","FQ4 2024","FQ4 2024","Currency=USD","Period=FQ","BEST_FPERIOD_OVERRIDE=FQ","FILING_STATUS=MR","SCALING_FORMAT=MLN","Sort=A","Dates=H","DateFormat=P","Fill=—","Direction=H","UseDPDF=Y")</f>
        <v>114</v>
      </c>
      <c r="AC83" s="13" t="str" cm="1">
        <f t="array" ref="AC83">_xll.BDH("PCAR US Equity","BS_PENSION_RSRV","FQ1 2025","FQ1 2025","Currency=USD","Period=FQ","BEST_FPERIOD_OVERRIDE=FQ","FILING_STATUS=MR","SCALING_FORMAT=MLN","Sort=A","Dates=H","DateFormat=P","Fill=—","Direction=H","UseDPDF=Y")</f>
        <v>—</v>
      </c>
      <c r="AD83" s="13" t="str" cm="1">
        <f t="array" ref="AD83">_xll.BDH("PCAR US Equity","BS_PENSION_RSRV","FQ2 2025","FQ2 2025","Currency=USD","Period=FQ","BEST_FPERIOD_OVERRIDE=FQ","FILING_STATUS=MR","SCALING_FORMAT=MLN","Sort=A","Dates=H","DateFormat=P","Fill=—","Direction=H","UseDPDF=Y")</f>
        <v>—</v>
      </c>
      <c r="AE83" s="13" t="str" cm="1">
        <f t="array" ref="AE83">_xll.BDH("PCAR US Equity","BS_PENSION_RSRV","FQ3 2025","FQ3 2025","Currency=USD","Period=FQ","BEST_FPERIOD_OVERRIDE=FQ","FILING_STATUS=MR","SCALING_FORMAT=MLN","Sort=A","Dates=H","DateFormat=P","Fill=—","Direction=H","UseDPDF=Y")</f>
        <v>—</v>
      </c>
      <c r="AF83" s="13" t="str" cm="1">
        <f t="array" ref="AF83">_xll.BDH("PCAR US Equity","BS_PENSION_RSRV","FQ4 2025","FQ4 2025","Currency=USD","Period=FQ","BEST_FPERIOD_OVERRIDE=FQ","FILING_STATUS=MR","SCALING_FORMAT=MLN","Sort=A","Dates=H","DateFormat=P","Fill=—","Direction=H","UseDPDF=Y")</f>
        <v>—</v>
      </c>
    </row>
    <row r="84" spans="1:32" x14ac:dyDescent="0.25">
      <c r="A84" s="10" t="s">
        <v>209</v>
      </c>
      <c r="B84" s="10" t="s">
        <v>210</v>
      </c>
      <c r="C84" s="13" t="str" cm="1">
        <f t="array" ref="C84">_xll.BDH("PCAR US Equity","BS_FUTURE_MIN_OPER_LEASE_OBLIG","FQ3 2018","FQ3 2018","Currency=USD","Period=FQ","BEST_FPERIOD_OVERRIDE=FQ","FILING_STATUS=MR","SCALING_FORMAT=MLN","Sort=A","Dates=H","DateFormat=P","Fill=—","Direction=H","UseDPDF=Y")</f>
        <v>—</v>
      </c>
      <c r="D84" s="13" cm="1">
        <f t="array" ref="D84">_xll.BDH("PCAR US Equity","BS_FUTURE_MIN_OPER_LEASE_OBLIG","FQ4 2018","FQ4 2018","Currency=USD","Period=FQ","BEST_FPERIOD_OVERRIDE=FQ","FILING_STATUS=MR","SCALING_FORMAT=MLN","Sort=A","Dates=H","DateFormat=P","Fill=—","Direction=H","UseDPDF=Y")</f>
        <v>50.5</v>
      </c>
      <c r="E84" s="13" cm="1">
        <f t="array" ref="E84">_xll.BDH("PCAR US Equity","BS_FUTURE_MIN_OPER_LEASE_OBLIG","FQ1 2019","FQ1 2019","Currency=USD","Period=FQ","BEST_FPERIOD_OVERRIDE=FQ","FILING_STATUS=MR","SCALING_FORMAT=MLN","Sort=A","Dates=H","DateFormat=P","Fill=—","Direction=H","UseDPDF=Y")</f>
        <v>46</v>
      </c>
      <c r="F84" s="13" cm="1">
        <f t="array" ref="F84">_xll.BDH("PCAR US Equity","BS_FUTURE_MIN_OPER_LEASE_OBLIG","FQ2 2019","FQ2 2019","Currency=USD","Period=FQ","BEST_FPERIOD_OVERRIDE=FQ","FILING_STATUS=MR","SCALING_FORMAT=MLN","Sort=A","Dates=H","DateFormat=P","Fill=—","Direction=H","UseDPDF=Y")</f>
        <v>46.4</v>
      </c>
      <c r="G84" s="13" cm="1">
        <f t="array" ref="G84">_xll.BDH("PCAR US Equity","BS_FUTURE_MIN_OPER_LEASE_OBLIG","FQ3 2019","FQ3 2019","Currency=USD","Period=FQ","BEST_FPERIOD_OVERRIDE=FQ","FILING_STATUS=MR","SCALING_FORMAT=MLN","Sort=A","Dates=H","DateFormat=P","Fill=—","Direction=H","UseDPDF=Y")</f>
        <v>42.5</v>
      </c>
      <c r="H84" s="13" cm="1">
        <f t="array" ref="H84">_xll.BDH("PCAR US Equity","BS_FUTURE_MIN_OPER_LEASE_OBLIG","FQ4 2019","FQ4 2019","Currency=USD","Period=FQ","BEST_FPERIOD_OVERRIDE=FQ","FILING_STATUS=MR","SCALING_FORMAT=MLN","Sort=A","Dates=H","DateFormat=P","Fill=—","Direction=H","UseDPDF=Y")</f>
        <v>39</v>
      </c>
      <c r="I84" s="13" t="str" cm="1">
        <f t="array" ref="I84">_xll.BDH("PCAR US Equity","BS_FUTURE_MIN_OPER_LEASE_OBLIG","FQ1 2020","FQ1 2020","Currency=USD","Period=FQ","BEST_FPERIOD_OVERRIDE=FQ","FILING_STATUS=MR","SCALING_FORMAT=MLN","Sort=A","Dates=H","DateFormat=P","Fill=—","Direction=H","UseDPDF=Y")</f>
        <v>—</v>
      </c>
      <c r="J84" s="13" t="str" cm="1">
        <f t="array" ref="J84">_xll.BDH("PCAR US Equity","BS_FUTURE_MIN_OPER_LEASE_OBLIG","FQ2 2020","FQ2 2020","Currency=USD","Period=FQ","BEST_FPERIOD_OVERRIDE=FQ","FILING_STATUS=MR","SCALING_FORMAT=MLN","Sort=A","Dates=H","DateFormat=P","Fill=—","Direction=H","UseDPDF=Y")</f>
        <v>—</v>
      </c>
      <c r="K84" s="13" t="str" cm="1">
        <f t="array" ref="K84">_xll.BDH("PCAR US Equity","BS_FUTURE_MIN_OPER_LEASE_OBLIG","FQ3 2020","FQ3 2020","Currency=USD","Period=FQ","BEST_FPERIOD_OVERRIDE=FQ","FILING_STATUS=MR","SCALING_FORMAT=MLN","Sort=A","Dates=H","DateFormat=P","Fill=—","Direction=H","UseDPDF=Y")</f>
        <v>—</v>
      </c>
      <c r="L84" s="13" cm="1">
        <f t="array" ref="L84">_xll.BDH("PCAR US Equity","BS_FUTURE_MIN_OPER_LEASE_OBLIG","FQ4 2020","FQ4 2020","Currency=USD","Period=FQ","BEST_FPERIOD_OVERRIDE=FQ","FILING_STATUS=MR","SCALING_FORMAT=MLN","Sort=A","Dates=H","DateFormat=P","Fill=—","Direction=H","UseDPDF=Y")</f>
        <v>41.7</v>
      </c>
      <c r="M84" s="13" t="str" cm="1">
        <f t="array" ref="M84">_xll.BDH("PCAR US Equity","BS_FUTURE_MIN_OPER_LEASE_OBLIG","FQ1 2021","FQ1 2021","Currency=USD","Period=FQ","BEST_FPERIOD_OVERRIDE=FQ","FILING_STATUS=MR","SCALING_FORMAT=MLN","Sort=A","Dates=H","DateFormat=P","Fill=—","Direction=H","UseDPDF=Y")</f>
        <v>—</v>
      </c>
      <c r="N84" s="13" t="str" cm="1">
        <f t="array" ref="N84">_xll.BDH("PCAR US Equity","BS_FUTURE_MIN_OPER_LEASE_OBLIG","FQ2 2021","FQ2 2021","Currency=USD","Period=FQ","BEST_FPERIOD_OVERRIDE=FQ","FILING_STATUS=MR","SCALING_FORMAT=MLN","Sort=A","Dates=H","DateFormat=P","Fill=—","Direction=H","UseDPDF=Y")</f>
        <v>—</v>
      </c>
      <c r="O84" s="13" t="str" cm="1">
        <f t="array" ref="O84">_xll.BDH("PCAR US Equity","BS_FUTURE_MIN_OPER_LEASE_OBLIG","FQ3 2021","FQ3 2021","Currency=USD","Period=FQ","BEST_FPERIOD_OVERRIDE=FQ","FILING_STATUS=MR","SCALING_FORMAT=MLN","Sort=A","Dates=H","DateFormat=P","Fill=—","Direction=H","UseDPDF=Y")</f>
        <v>—</v>
      </c>
      <c r="P84" s="13" cm="1">
        <f t="array" ref="P84">_xll.BDH("PCAR US Equity","BS_FUTURE_MIN_OPER_LEASE_OBLIG","FQ4 2021","FQ4 2021","Currency=USD","Period=FQ","BEST_FPERIOD_OVERRIDE=FQ","FILING_STATUS=MR","SCALING_FORMAT=MLN","Sort=A","Dates=H","DateFormat=P","Fill=—","Direction=H","UseDPDF=Y")</f>
        <v>36.700000000000003</v>
      </c>
      <c r="Q84" s="13" t="str" cm="1">
        <f t="array" ref="Q84">_xll.BDH("PCAR US Equity","BS_FUTURE_MIN_OPER_LEASE_OBLIG","FQ1 2022","FQ1 2022","Currency=USD","Period=FQ","BEST_FPERIOD_OVERRIDE=FQ","FILING_STATUS=MR","SCALING_FORMAT=MLN","Sort=A","Dates=H","DateFormat=P","Fill=—","Direction=H","UseDPDF=Y")</f>
        <v>—</v>
      </c>
      <c r="R84" s="13" t="str" cm="1">
        <f t="array" ref="R84">_xll.BDH("PCAR US Equity","BS_FUTURE_MIN_OPER_LEASE_OBLIG","FQ2 2022","FQ2 2022","Currency=USD","Period=FQ","BEST_FPERIOD_OVERRIDE=FQ","FILING_STATUS=MR","SCALING_FORMAT=MLN","Sort=A","Dates=H","DateFormat=P","Fill=—","Direction=H","UseDPDF=Y")</f>
        <v>—</v>
      </c>
      <c r="S84" s="13" t="str" cm="1">
        <f t="array" ref="S84">_xll.BDH("PCAR US Equity","BS_FUTURE_MIN_OPER_LEASE_OBLIG","FQ3 2022","FQ3 2022","Currency=USD","Period=FQ","BEST_FPERIOD_OVERRIDE=FQ","FILING_STATUS=MR","SCALING_FORMAT=MLN","Sort=A","Dates=H","DateFormat=P","Fill=—","Direction=H","UseDPDF=Y")</f>
        <v>—</v>
      </c>
      <c r="T84" s="13" cm="1">
        <f t="array" ref="T84">_xll.BDH("PCAR US Equity","BS_FUTURE_MIN_OPER_LEASE_OBLIG","FQ4 2022","FQ4 2022","Currency=USD","Period=FQ","BEST_FPERIOD_OVERRIDE=FQ","FILING_STATUS=MR","SCALING_FORMAT=MLN","Sort=A","Dates=H","DateFormat=P","Fill=—","Direction=H","UseDPDF=Y")</f>
        <v>44.2</v>
      </c>
      <c r="U84" s="13" t="str" cm="1">
        <f t="array" ref="U84">_xll.BDH("PCAR US Equity","BS_FUTURE_MIN_OPER_LEASE_OBLIG","FQ1 2023","FQ1 2023","Currency=USD","Period=FQ","BEST_FPERIOD_OVERRIDE=FQ","FILING_STATUS=MR","SCALING_FORMAT=MLN","Sort=A","Dates=H","DateFormat=P","Fill=—","Direction=H","UseDPDF=Y")</f>
        <v>—</v>
      </c>
      <c r="V84" s="13" t="str" cm="1">
        <f t="array" ref="V84">_xll.BDH("PCAR US Equity","BS_FUTURE_MIN_OPER_LEASE_OBLIG","FQ2 2023","FQ2 2023","Currency=USD","Period=FQ","BEST_FPERIOD_OVERRIDE=FQ","FILING_STATUS=MR","SCALING_FORMAT=MLN","Sort=A","Dates=H","DateFormat=P","Fill=—","Direction=H","UseDPDF=Y")</f>
        <v>—</v>
      </c>
      <c r="W84" s="13" t="str" cm="1">
        <f t="array" ref="W84">_xll.BDH("PCAR US Equity","BS_FUTURE_MIN_OPER_LEASE_OBLIG","FQ3 2023","FQ3 2023","Currency=USD","Period=FQ","BEST_FPERIOD_OVERRIDE=FQ","FILING_STATUS=MR","SCALING_FORMAT=MLN","Sort=A","Dates=H","DateFormat=P","Fill=—","Direction=H","UseDPDF=Y")</f>
        <v>—</v>
      </c>
      <c r="X84" s="13" cm="1">
        <f t="array" ref="X84">_xll.BDH("PCAR US Equity","BS_FUTURE_MIN_OPER_LEASE_OBLIG","FQ4 2023","FQ4 2023","Currency=USD","Period=FQ","BEST_FPERIOD_OVERRIDE=FQ","FILING_STATUS=MR","SCALING_FORMAT=MLN","Sort=A","Dates=H","DateFormat=P","Fill=—","Direction=H","UseDPDF=Y")</f>
        <v>80.400000000000006</v>
      </c>
      <c r="Y84" s="13" t="str" cm="1">
        <f t="array" ref="Y84">_xll.BDH("PCAR US Equity","BS_FUTURE_MIN_OPER_LEASE_OBLIG","FQ1 2024","FQ1 2024","Currency=USD","Period=FQ","BEST_FPERIOD_OVERRIDE=FQ","FILING_STATUS=MR","SCALING_FORMAT=MLN","Sort=A","Dates=H","DateFormat=P","Fill=—","Direction=H","UseDPDF=Y")</f>
        <v>—</v>
      </c>
      <c r="Z84" s="13" t="str" cm="1">
        <f t="array" ref="Z84">_xll.BDH("PCAR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A84" s="13" t="str" cm="1">
        <f t="array" ref="AA84">_xll.BDH("PCAR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B84" s="13" cm="1">
        <f t="array" ref="AB84">_xll.BDH("PCAR US Equity","BS_FUTURE_MIN_OPER_LEASE_OBLIG","FQ4 2024","FQ4 2024","Currency=USD","Period=FQ","BEST_FPERIOD_OVERRIDE=FQ","FILING_STATUS=MR","SCALING_FORMAT=MLN","Sort=A","Dates=H","DateFormat=P","Fill=—","Direction=H","UseDPDF=Y")</f>
        <v>79.900000000000006</v>
      </c>
      <c r="AC84" s="13" t="str" cm="1">
        <f t="array" ref="AC84">_xll.BDH("PCAR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D84" s="13" t="str" cm="1">
        <f t="array" ref="AD84">_xll.BDH("PCAR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E84" s="13" t="str" cm="1">
        <f t="array" ref="AE84">_xll.BDH("PCAR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F84" s="13" t="str" cm="1">
        <f t="array" ref="AF84">_xll.BDH("PCAR US Equity","BS_FUTURE_MIN_OPER_LEASE_OBLIG","FQ4 2025","FQ4 2025","Currency=USD","Period=FQ","BEST_FPERIOD_OVERRIDE=FQ","FILING_STATUS=MR","SCALING_FORMAT=MLN","Sort=A","Dates=H","DateFormat=P","Fill=—","Direction=H","UseDPDF=Y")</f>
        <v>—</v>
      </c>
    </row>
    <row r="85" spans="1:32" x14ac:dyDescent="0.25">
      <c r="A85" s="10" t="s">
        <v>211</v>
      </c>
      <c r="B85" s="10" t="s">
        <v>212</v>
      </c>
      <c r="C85" s="13" t="str" cm="1">
        <f t="array" ref="C85">_xll.BDH("PCAR US Equity","BS_TOTAL_CAPITAL_LEASES","FQ3 2018","FQ3 2018","Currency=USD","Period=FQ","BEST_FPERIOD_OVERRIDE=FQ","FILING_STATUS=MR","SCALING_FORMAT=MLN","Sort=A","Dates=H","DateFormat=P","Fill=—","Direction=H","UseDPDF=Y")</f>
        <v>—</v>
      </c>
      <c r="D85" s="13" cm="1">
        <f t="array" ref="D85">_xll.BDH("PCAR US Equity","BS_TOTAL_CAPITAL_LEASES","FQ4 2018","FQ4 2018","Currency=USD","Period=FQ","BEST_FPERIOD_OVERRIDE=FQ","FILING_STATUS=MR","SCALING_FORMAT=MLN","Sort=A","Dates=H","DateFormat=P","Fill=—","Direction=H","UseDPDF=Y")</f>
        <v>0</v>
      </c>
      <c r="E85" s="13" cm="1">
        <f t="array" ref="E85">_xll.BDH("PCAR US Equity","BS_TOTAL_CAPITAL_LEASES","FQ1 2019","FQ1 2019","Currency=USD","Period=FQ","BEST_FPERIOD_OVERRIDE=FQ","FILING_STATUS=MR","SCALING_FORMAT=MLN","Sort=A","Dates=H","DateFormat=P","Fill=—","Direction=H","UseDPDF=Y")</f>
        <v>1.7</v>
      </c>
      <c r="F85" s="13" cm="1">
        <f t="array" ref="F85">_xll.BDH("PCAR US Equity","BS_TOTAL_CAPITAL_LEASES","FQ2 2019","FQ2 2019","Currency=USD","Period=FQ","BEST_FPERIOD_OVERRIDE=FQ","FILING_STATUS=MR","SCALING_FORMAT=MLN","Sort=A","Dates=H","DateFormat=P","Fill=—","Direction=H","UseDPDF=Y")</f>
        <v>1.6</v>
      </c>
      <c r="G85" s="13" cm="1">
        <f t="array" ref="G85">_xll.BDH("PCAR US Equity","BS_TOTAL_CAPITAL_LEASES","FQ3 2019","FQ3 2019","Currency=USD","Period=FQ","BEST_FPERIOD_OVERRIDE=FQ","FILING_STATUS=MR","SCALING_FORMAT=MLN","Sort=A","Dates=H","DateFormat=P","Fill=—","Direction=H","UseDPDF=Y")</f>
        <v>1.6</v>
      </c>
      <c r="H85" s="13" cm="1">
        <f t="array" ref="H85">_xll.BDH("PCAR US Equity","BS_TOTAL_CAPITAL_LEASES","FQ4 2019","FQ4 2019","Currency=USD","Period=FQ","BEST_FPERIOD_OVERRIDE=FQ","FILING_STATUS=MR","SCALING_FORMAT=MLN","Sort=A","Dates=H","DateFormat=P","Fill=—","Direction=H","UseDPDF=Y")</f>
        <v>1.2</v>
      </c>
      <c r="I85" s="13" t="str" cm="1">
        <f t="array" ref="I85">_xll.BDH("PCAR US Equity","BS_TOTAL_CAPITAL_LEASES","FQ1 2020","FQ1 2020","Currency=USD","Period=FQ","BEST_FPERIOD_OVERRIDE=FQ","FILING_STATUS=MR","SCALING_FORMAT=MLN","Sort=A","Dates=H","DateFormat=P","Fill=—","Direction=H","UseDPDF=Y")</f>
        <v>—</v>
      </c>
      <c r="J85" s="13" t="str" cm="1">
        <f t="array" ref="J85">_xll.BDH("PCAR US Equity","BS_TOTAL_CAPITAL_LEASES","FQ2 2020","FQ2 2020","Currency=USD","Period=FQ","BEST_FPERIOD_OVERRIDE=FQ","FILING_STATUS=MR","SCALING_FORMAT=MLN","Sort=A","Dates=H","DateFormat=P","Fill=—","Direction=H","UseDPDF=Y")</f>
        <v>—</v>
      </c>
      <c r="K85" s="13" t="str" cm="1">
        <f t="array" ref="K85">_xll.BDH("PCAR US Equity","BS_TOTAL_CAPITAL_LEASES","FQ3 2020","FQ3 2020","Currency=USD","Period=FQ","BEST_FPERIOD_OVERRIDE=FQ","FILING_STATUS=MR","SCALING_FORMAT=MLN","Sort=A","Dates=H","DateFormat=P","Fill=—","Direction=H","UseDPDF=Y")</f>
        <v>—</v>
      </c>
      <c r="L85" s="13" cm="1">
        <f t="array" ref="L85">_xll.BDH("PCAR US Equity","BS_TOTAL_CAPITAL_LEASES","FQ4 2020","FQ4 2020","Currency=USD","Period=FQ","BEST_FPERIOD_OVERRIDE=FQ","FILING_STATUS=MR","SCALING_FORMAT=MLN","Sort=A","Dates=H","DateFormat=P","Fill=—","Direction=H","UseDPDF=Y")</f>
        <v>1</v>
      </c>
      <c r="M85" s="13" t="str" cm="1">
        <f t="array" ref="M85">_xll.BDH("PCAR US Equity","BS_TOTAL_CAPITAL_LEASES","FQ1 2021","FQ1 2021","Currency=USD","Period=FQ","BEST_FPERIOD_OVERRIDE=FQ","FILING_STATUS=MR","SCALING_FORMAT=MLN","Sort=A","Dates=H","DateFormat=P","Fill=—","Direction=H","UseDPDF=Y")</f>
        <v>—</v>
      </c>
      <c r="N85" s="13" t="str" cm="1">
        <f t="array" ref="N85">_xll.BDH("PCAR US Equity","BS_TOTAL_CAPITAL_LEASES","FQ2 2021","FQ2 2021","Currency=USD","Period=FQ","BEST_FPERIOD_OVERRIDE=FQ","FILING_STATUS=MR","SCALING_FORMAT=MLN","Sort=A","Dates=H","DateFormat=P","Fill=—","Direction=H","UseDPDF=Y")</f>
        <v>—</v>
      </c>
      <c r="O85" s="13" t="str" cm="1">
        <f t="array" ref="O85">_xll.BDH("PCAR US Equity","BS_TOTAL_CAPITAL_LEASES","FQ3 2021","FQ3 2021","Currency=USD","Period=FQ","BEST_FPERIOD_OVERRIDE=FQ","FILING_STATUS=MR","SCALING_FORMAT=MLN","Sort=A","Dates=H","DateFormat=P","Fill=—","Direction=H","UseDPDF=Y")</f>
        <v>—</v>
      </c>
      <c r="P85" s="13" cm="1">
        <f t="array" ref="P85">_xll.BDH("PCAR US Equity","BS_TOTAL_CAPITAL_LEASES","FQ4 2021","FQ4 2021","Currency=USD","Period=FQ","BEST_FPERIOD_OVERRIDE=FQ","FILING_STATUS=MR","SCALING_FORMAT=MLN","Sort=A","Dates=H","DateFormat=P","Fill=—","Direction=H","UseDPDF=Y")</f>
        <v>0.8</v>
      </c>
      <c r="Q85" s="13" t="str" cm="1">
        <f t="array" ref="Q85">_xll.BDH("PCAR US Equity","BS_TOTAL_CAPITAL_LEASES","FQ1 2022","FQ1 2022","Currency=USD","Period=FQ","BEST_FPERIOD_OVERRIDE=FQ","FILING_STATUS=MR","SCALING_FORMAT=MLN","Sort=A","Dates=H","DateFormat=P","Fill=—","Direction=H","UseDPDF=Y")</f>
        <v>—</v>
      </c>
      <c r="R85" s="13" t="str" cm="1">
        <f t="array" ref="R85">_xll.BDH("PCAR US Equity","BS_TOTAL_CAPITAL_LEASES","FQ2 2022","FQ2 2022","Currency=USD","Period=FQ","BEST_FPERIOD_OVERRIDE=FQ","FILING_STATUS=MR","SCALING_FORMAT=MLN","Sort=A","Dates=H","DateFormat=P","Fill=—","Direction=H","UseDPDF=Y")</f>
        <v>—</v>
      </c>
      <c r="S85" s="13" t="str" cm="1">
        <f t="array" ref="S85">_xll.BDH("PCAR US Equity","BS_TOTAL_CAPITAL_LEASES","FQ3 2022","FQ3 2022","Currency=USD","Period=FQ","BEST_FPERIOD_OVERRIDE=FQ","FILING_STATUS=MR","SCALING_FORMAT=MLN","Sort=A","Dates=H","DateFormat=P","Fill=—","Direction=H","UseDPDF=Y")</f>
        <v>—</v>
      </c>
      <c r="T85" s="13" cm="1">
        <f t="array" ref="T85">_xll.BDH("PCAR US Equity","BS_TOTAL_CAPITAL_LEASES","FQ4 2022","FQ4 2022","Currency=USD","Period=FQ","BEST_FPERIOD_OVERRIDE=FQ","FILING_STATUS=MR","SCALING_FORMAT=MLN","Sort=A","Dates=H","DateFormat=P","Fill=—","Direction=H","UseDPDF=Y")</f>
        <v>2.6</v>
      </c>
      <c r="U85" s="13" t="str" cm="1">
        <f t="array" ref="U85">_xll.BDH("PCAR US Equity","BS_TOTAL_CAPITAL_LEASES","FQ1 2023","FQ1 2023","Currency=USD","Period=FQ","BEST_FPERIOD_OVERRIDE=FQ","FILING_STATUS=MR","SCALING_FORMAT=MLN","Sort=A","Dates=H","DateFormat=P","Fill=—","Direction=H","UseDPDF=Y")</f>
        <v>—</v>
      </c>
      <c r="V85" s="13" t="str" cm="1">
        <f t="array" ref="V85">_xll.BDH("PCAR US Equity","BS_TOTAL_CAPITAL_LEASES","FQ2 2023","FQ2 2023","Currency=USD","Period=FQ","BEST_FPERIOD_OVERRIDE=FQ","FILING_STATUS=MR","SCALING_FORMAT=MLN","Sort=A","Dates=H","DateFormat=P","Fill=—","Direction=H","UseDPDF=Y")</f>
        <v>—</v>
      </c>
      <c r="W85" s="13" t="str" cm="1">
        <f t="array" ref="W85">_xll.BDH("PCAR US Equity","BS_TOTAL_CAPITAL_LEASES","FQ3 2023","FQ3 2023","Currency=USD","Period=FQ","BEST_FPERIOD_OVERRIDE=FQ","FILING_STATUS=MR","SCALING_FORMAT=MLN","Sort=A","Dates=H","DateFormat=P","Fill=—","Direction=H","UseDPDF=Y")</f>
        <v>—</v>
      </c>
      <c r="X85" s="13" cm="1">
        <f t="array" ref="X85">_xll.BDH("PCAR US Equity","BS_TOTAL_CAPITAL_LEASES","FQ4 2023","FQ4 2023","Currency=USD","Period=FQ","BEST_FPERIOD_OVERRIDE=FQ","FILING_STATUS=MR","SCALING_FORMAT=MLN","Sort=A","Dates=H","DateFormat=P","Fill=—","Direction=H","UseDPDF=Y")</f>
        <v>2.4</v>
      </c>
      <c r="Y85" s="13" t="str" cm="1">
        <f t="array" ref="Y85">_xll.BDH("PCAR US Equity","BS_TOTAL_CAPITAL_LEASES","FQ1 2024","FQ1 2024","Currency=USD","Period=FQ","BEST_FPERIOD_OVERRIDE=FQ","FILING_STATUS=MR","SCALING_FORMAT=MLN","Sort=A","Dates=H","DateFormat=P","Fill=—","Direction=H","UseDPDF=Y")</f>
        <v>—</v>
      </c>
      <c r="Z85" s="13" t="str" cm="1">
        <f t="array" ref="Z85">_xll.BDH("PCAR US Equity","BS_TOTAL_CAPITAL_LEASES","FQ2 2024","FQ2 2024","Currency=USD","Period=FQ","BEST_FPERIOD_OVERRIDE=FQ","FILING_STATUS=MR","SCALING_FORMAT=MLN","Sort=A","Dates=H","DateFormat=P","Fill=—","Direction=H","UseDPDF=Y")</f>
        <v>—</v>
      </c>
      <c r="AA85" s="13" t="str" cm="1">
        <f t="array" ref="AA85">_xll.BDH("PCAR US Equity","BS_TOTAL_CAPITAL_LEASES","FQ3 2024","FQ3 2024","Currency=USD","Period=FQ","BEST_FPERIOD_OVERRIDE=FQ","FILING_STATUS=MR","SCALING_FORMAT=MLN","Sort=A","Dates=H","DateFormat=P","Fill=—","Direction=H","UseDPDF=Y")</f>
        <v>—</v>
      </c>
      <c r="AB85" s="13" cm="1">
        <f t="array" ref="AB85">_xll.BDH("PCAR US Equity","BS_TOTAL_CAPITAL_LEASES","FQ4 2024","FQ4 2024","Currency=USD","Period=FQ","BEST_FPERIOD_OVERRIDE=FQ","FILING_STATUS=MR","SCALING_FORMAT=MLN","Sort=A","Dates=H","DateFormat=P","Fill=—","Direction=H","UseDPDF=Y")</f>
        <v>1.6</v>
      </c>
      <c r="AC85" s="13" t="str" cm="1">
        <f t="array" ref="AC85">_xll.BDH("PCAR US Equity","BS_TOTAL_CAPITAL_LEASES","FQ1 2025","FQ1 2025","Currency=USD","Period=FQ","BEST_FPERIOD_OVERRIDE=FQ","FILING_STATUS=MR","SCALING_FORMAT=MLN","Sort=A","Dates=H","DateFormat=P","Fill=—","Direction=H","UseDPDF=Y")</f>
        <v>—</v>
      </c>
      <c r="AD85" s="13" t="str" cm="1">
        <f t="array" ref="AD85">_xll.BDH("PCAR US Equity","BS_TOTAL_CAPITAL_LEASES","FQ2 2025","FQ2 2025","Currency=USD","Period=FQ","BEST_FPERIOD_OVERRIDE=FQ","FILING_STATUS=MR","SCALING_FORMAT=MLN","Sort=A","Dates=H","DateFormat=P","Fill=—","Direction=H","UseDPDF=Y")</f>
        <v>—</v>
      </c>
      <c r="AE85" s="13" t="str" cm="1">
        <f t="array" ref="AE85">_xll.BDH("PCAR US Equity","BS_TOTAL_CAPITAL_LEASES","FQ3 2025","FQ3 2025","Currency=USD","Period=FQ","BEST_FPERIOD_OVERRIDE=FQ","FILING_STATUS=MR","SCALING_FORMAT=MLN","Sort=A","Dates=H","DateFormat=P","Fill=—","Direction=H","UseDPDF=Y")</f>
        <v>—</v>
      </c>
      <c r="AF85" s="13" t="str" cm="1">
        <f t="array" ref="AF85">_xll.BDH("PCAR US Equity","BS_TOTAL_CAPITAL_LEASES","FQ4 2025","FQ4 2025","Currency=USD","Period=FQ","BEST_FPERIOD_OVERRIDE=FQ","FILING_STATUS=MR","SCALING_FORMAT=MLN","Sort=A","Dates=H","DateFormat=P","Fill=—","Direction=H","UseDPDF=Y")</f>
        <v>—</v>
      </c>
    </row>
    <row r="86" spans="1:32" x14ac:dyDescent="0.25">
      <c r="A86" s="10" t="s">
        <v>213</v>
      </c>
      <c r="B86" s="10" t="s">
        <v>214</v>
      </c>
      <c r="C86" s="13" t="str" cm="1">
        <f t="array" ref="C86">_xll.BDH("PCAR US Equity","BS_OPTIONS_OUTSTANDING","FQ3 2018","FQ3 2018","Currency=USD","Period=FQ","BEST_FPERIOD_OVERRIDE=FQ","FILING_STATUS=MR","Sort=A","Dates=H","DateFormat=P","Fill=—","Direction=H","UseDPDF=Y")</f>
        <v>—</v>
      </c>
      <c r="D86" s="13" cm="1">
        <f t="array" ref="D86">_xll.BDH("PCAR US Equity","BS_OPTIONS_OUTSTANDING","FQ4 2018","FQ4 2018","Currency=USD","Period=FQ","BEST_FPERIOD_OVERRIDE=FQ","FILING_STATUS=MR","Sort=A","Dates=H","DateFormat=P","Fill=—","Direction=H","UseDPDF=Y")</f>
        <v>6.1364000000000001</v>
      </c>
      <c r="E86" s="13" t="str" cm="1">
        <f t="array" ref="E86">_xll.BDH("PCAR US Equity","BS_OPTIONS_OUTSTANDING","FQ1 2019","FQ1 2019","Currency=USD","Period=FQ","BEST_FPERIOD_OVERRIDE=FQ","FILING_STATUS=MR","Sort=A","Dates=H","DateFormat=P","Fill=—","Direction=H","UseDPDF=Y")</f>
        <v>—</v>
      </c>
      <c r="F86" s="13" t="str" cm="1">
        <f t="array" ref="F86">_xll.BDH("PCAR US Equity","BS_OPTIONS_OUTSTANDING","FQ2 2019","FQ2 2019","Currency=USD","Period=FQ","BEST_FPERIOD_OVERRIDE=FQ","FILING_STATUS=MR","Sort=A","Dates=H","DateFormat=P","Fill=—","Direction=H","UseDPDF=Y")</f>
        <v>—</v>
      </c>
      <c r="G86" s="13" t="str" cm="1">
        <f t="array" ref="G86">_xll.BDH("PCAR US Equity","BS_OPTIONS_OUTSTANDING","FQ3 2019","FQ3 2019","Currency=USD","Period=FQ","BEST_FPERIOD_OVERRIDE=FQ","FILING_STATUS=MR","Sort=A","Dates=H","DateFormat=P","Fill=—","Direction=H","UseDPDF=Y")</f>
        <v>—</v>
      </c>
      <c r="H86" s="13" cm="1">
        <f t="array" ref="H86">_xll.BDH("PCAR US Equity","BS_OPTIONS_OUTSTANDING","FQ4 2019","FQ4 2019","Currency=USD","Period=FQ","BEST_FPERIOD_OVERRIDE=FQ","FILING_STATUS=MR","Sort=A","Dates=H","DateFormat=P","Fill=—","Direction=H","UseDPDF=Y")</f>
        <v>5.2324999999999999</v>
      </c>
      <c r="I86" s="13" t="str" cm="1">
        <f t="array" ref="I86">_xll.BDH("PCAR US Equity","BS_OPTIONS_OUTSTANDING","FQ1 2020","FQ1 2020","Currency=USD","Period=FQ","BEST_FPERIOD_OVERRIDE=FQ","FILING_STATUS=MR","Sort=A","Dates=H","DateFormat=P","Fill=—","Direction=H","UseDPDF=Y")</f>
        <v>—</v>
      </c>
      <c r="J86" s="13" t="str" cm="1">
        <f t="array" ref="J86">_xll.BDH("PCAR US Equity","BS_OPTIONS_OUTSTANDING","FQ2 2020","FQ2 2020","Currency=USD","Period=FQ","BEST_FPERIOD_OVERRIDE=FQ","FILING_STATUS=MR","Sort=A","Dates=H","DateFormat=P","Fill=—","Direction=H","UseDPDF=Y")</f>
        <v>—</v>
      </c>
      <c r="K86" s="13" t="str" cm="1">
        <f t="array" ref="K86">_xll.BDH("PCAR US Equity","BS_OPTIONS_OUTSTANDING","FQ3 2020","FQ3 2020","Currency=USD","Period=FQ","BEST_FPERIOD_OVERRIDE=FQ","FILING_STATUS=MR","Sort=A","Dates=H","DateFormat=P","Fill=—","Direction=H","UseDPDF=Y")</f>
        <v>—</v>
      </c>
      <c r="L86" s="13" cm="1">
        <f t="array" ref="L86">_xll.BDH("PCAR US Equity","BS_OPTIONS_OUTSTANDING","FQ4 2020","FQ4 2020","Currency=USD","Period=FQ","BEST_FPERIOD_OVERRIDE=FQ","FILING_STATUS=MR","Sort=A","Dates=H","DateFormat=P","Fill=—","Direction=H","UseDPDF=Y")</f>
        <v>4.6746999999999996</v>
      </c>
      <c r="M86" s="13" t="str" cm="1">
        <f t="array" ref="M86">_xll.BDH("PCAR US Equity","BS_OPTIONS_OUTSTANDING","FQ1 2021","FQ1 2021","Currency=USD","Period=FQ","BEST_FPERIOD_OVERRIDE=FQ","FILING_STATUS=MR","Sort=A","Dates=H","DateFormat=P","Fill=—","Direction=H","UseDPDF=Y")</f>
        <v>—</v>
      </c>
      <c r="N86" s="13" t="str" cm="1">
        <f t="array" ref="N86">_xll.BDH("PCAR US Equity","BS_OPTIONS_OUTSTANDING","FQ2 2021","FQ2 2021","Currency=USD","Period=FQ","BEST_FPERIOD_OVERRIDE=FQ","FILING_STATUS=MR","Sort=A","Dates=H","DateFormat=P","Fill=—","Direction=H","UseDPDF=Y")</f>
        <v>—</v>
      </c>
      <c r="O86" s="13" t="str" cm="1">
        <f t="array" ref="O86">_xll.BDH("PCAR US Equity","BS_OPTIONS_OUTSTANDING","FQ3 2021","FQ3 2021","Currency=USD","Period=FQ","BEST_FPERIOD_OVERRIDE=FQ","FILING_STATUS=MR","Sort=A","Dates=H","DateFormat=P","Fill=—","Direction=H","UseDPDF=Y")</f>
        <v>—</v>
      </c>
      <c r="P86" s="13" cm="1">
        <f t="array" ref="P86">_xll.BDH("PCAR US Equity","BS_OPTIONS_OUTSTANDING","FQ4 2021","FQ4 2021","Currency=USD","Period=FQ","BEST_FPERIOD_OVERRIDE=FQ","FILING_STATUS=MR","Sort=A","Dates=H","DateFormat=P","Fill=—","Direction=H","UseDPDF=Y")</f>
        <v>4.3167999999999997</v>
      </c>
      <c r="Q86" s="13" t="str" cm="1">
        <f t="array" ref="Q86">_xll.BDH("PCAR US Equity","BS_OPTIONS_OUTSTANDING","FQ1 2022","FQ1 2022","Currency=USD","Period=FQ","BEST_FPERIOD_OVERRIDE=FQ","FILING_STATUS=MR","Sort=A","Dates=H","DateFormat=P","Fill=—","Direction=H","UseDPDF=Y")</f>
        <v>—</v>
      </c>
      <c r="R86" s="13" t="str" cm="1">
        <f t="array" ref="R86">_xll.BDH("PCAR US Equity","BS_OPTIONS_OUTSTANDING","FQ2 2022","FQ2 2022","Currency=USD","Period=FQ","BEST_FPERIOD_OVERRIDE=FQ","FILING_STATUS=MR","Sort=A","Dates=H","DateFormat=P","Fill=—","Direction=H","UseDPDF=Y")</f>
        <v>—</v>
      </c>
      <c r="S86" s="13" t="str" cm="1">
        <f t="array" ref="S86">_xll.BDH("PCAR US Equity","BS_OPTIONS_OUTSTANDING","FQ3 2022","FQ3 2022","Currency=USD","Period=FQ","BEST_FPERIOD_OVERRIDE=FQ","FILING_STATUS=MR","Sort=A","Dates=H","DateFormat=P","Fill=—","Direction=H","UseDPDF=Y")</f>
        <v>—</v>
      </c>
      <c r="T86" s="13" cm="1">
        <f t="array" ref="T86">_xll.BDH("PCAR US Equity","BS_OPTIONS_OUTSTANDING","FQ4 2022","FQ4 2022","Currency=USD","Period=FQ","BEST_FPERIOD_OVERRIDE=FQ","FILING_STATUS=MR","Sort=A","Dates=H","DateFormat=P","Fill=—","Direction=H","UseDPDF=Y")</f>
        <v>6.3078000000000003</v>
      </c>
      <c r="U86" s="13" t="str" cm="1">
        <f t="array" ref="U86">_xll.BDH("PCAR US Equity","BS_OPTIONS_OUTSTANDING","FQ1 2023","FQ1 2023","Currency=USD","Period=FQ","BEST_FPERIOD_OVERRIDE=FQ","FILING_STATUS=MR","Sort=A","Dates=H","DateFormat=P","Fill=—","Direction=H","UseDPDF=Y")</f>
        <v>—</v>
      </c>
      <c r="V86" s="13" t="str" cm="1">
        <f t="array" ref="V86">_xll.BDH("PCAR US Equity","BS_OPTIONS_OUTSTANDING","FQ2 2023","FQ2 2023","Currency=USD","Period=FQ","BEST_FPERIOD_OVERRIDE=FQ","FILING_STATUS=MR","Sort=A","Dates=H","DateFormat=P","Fill=—","Direction=H","UseDPDF=Y")</f>
        <v>—</v>
      </c>
      <c r="W86" s="13" t="str" cm="1">
        <f t="array" ref="W86">_xll.BDH("PCAR US Equity","BS_OPTIONS_OUTSTANDING","FQ3 2023","FQ3 2023","Currency=USD","Period=FQ","BEST_FPERIOD_OVERRIDE=FQ","FILING_STATUS=MR","Sort=A","Dates=H","DateFormat=P","Fill=—","Direction=H","UseDPDF=Y")</f>
        <v>—</v>
      </c>
      <c r="X86" s="13" cm="1">
        <f t="array" ref="X86">_xll.BDH("PCAR US Equity","BS_OPTIONS_OUTSTANDING","FQ4 2023","FQ4 2023","Currency=USD","Period=FQ","BEST_FPERIOD_OVERRIDE=FQ","FILING_STATUS=MR","Sort=A","Dates=H","DateFormat=P","Fill=—","Direction=H","UseDPDF=Y")</f>
        <v>3.8233000000000001</v>
      </c>
      <c r="Y86" s="13" t="str" cm="1">
        <f t="array" ref="Y86">_xll.BDH("PCAR US Equity","BS_OPTIONS_OUTSTANDING","FQ1 2024","FQ1 2024","Currency=USD","Period=FQ","BEST_FPERIOD_OVERRIDE=FQ","FILING_STATUS=MR","Sort=A","Dates=H","DateFormat=P","Fill=—","Direction=H","UseDPDF=Y")</f>
        <v>—</v>
      </c>
      <c r="Z86" s="13" t="str" cm="1">
        <f t="array" ref="Z86">_xll.BDH("PCAR US Equity","BS_OPTIONS_OUTSTANDING","FQ2 2024","FQ2 2024","Currency=USD","Period=FQ","BEST_FPERIOD_OVERRIDE=FQ","FILING_STATUS=MR","Sort=A","Dates=H","DateFormat=P","Fill=—","Direction=H","UseDPDF=Y")</f>
        <v>—</v>
      </c>
      <c r="AA86" s="13" t="str" cm="1">
        <f t="array" ref="AA86">_xll.BDH("PCAR US Equity","BS_OPTIONS_OUTSTANDING","FQ3 2024","FQ3 2024","Currency=USD","Period=FQ","BEST_FPERIOD_OVERRIDE=FQ","FILING_STATUS=MR","Sort=A","Dates=H","DateFormat=P","Fill=—","Direction=H","UseDPDF=Y")</f>
        <v>—</v>
      </c>
      <c r="AB86" s="13" cm="1">
        <f t="array" ref="AB86">_xll.BDH("PCAR US Equity","BS_OPTIONS_OUTSTANDING","FQ4 2024","FQ4 2024","Currency=USD","Period=FQ","BEST_FPERIOD_OVERRIDE=FQ","FILING_STATUS=MR","Sort=A","Dates=H","DateFormat=P","Fill=—","Direction=H","UseDPDF=Y")</f>
        <v>3.4358</v>
      </c>
      <c r="AC86" s="13" t="str" cm="1">
        <f t="array" ref="AC86">_xll.BDH("PCAR US Equity","BS_OPTIONS_OUTSTANDING","FQ1 2025","FQ1 2025","Currency=USD","Period=FQ","BEST_FPERIOD_OVERRIDE=FQ","FILING_STATUS=MR","Sort=A","Dates=H","DateFormat=P","Fill=—","Direction=H","UseDPDF=Y")</f>
        <v>—</v>
      </c>
      <c r="AD86" s="13" t="str" cm="1">
        <f t="array" ref="AD86">_xll.BDH("PCAR US Equity","BS_OPTIONS_OUTSTANDING","FQ2 2025","FQ2 2025","Currency=USD","Period=FQ","BEST_FPERIOD_OVERRIDE=FQ","FILING_STATUS=MR","Sort=A","Dates=H","DateFormat=P","Fill=—","Direction=H","UseDPDF=Y")</f>
        <v>—</v>
      </c>
      <c r="AE86" s="13" t="str" cm="1">
        <f t="array" ref="AE86">_xll.BDH("PCAR US Equity","BS_OPTIONS_OUTSTANDING","FQ3 2025","FQ3 2025","Currency=USD","Period=FQ","BEST_FPERIOD_OVERRIDE=FQ","FILING_STATUS=MR","Sort=A","Dates=H","DateFormat=P","Fill=—","Direction=H","UseDPDF=Y")</f>
        <v>—</v>
      </c>
      <c r="AF86" s="13" t="str" cm="1">
        <f t="array" ref="AF86">_xll.BDH("PCAR US Equity","BS_OPTIONS_OUTSTANDING","FQ4 2025","FQ4 2025","Currency=USD","Period=FQ","BEST_FPERIOD_OVERRIDE=FQ","FILING_STATUS=MR","Sort=A","Dates=H","DateFormat=P","Fill=—","Direction=H","UseDPDF=Y")</f>
        <v>—</v>
      </c>
    </row>
    <row r="87" spans="1:32" x14ac:dyDescent="0.25">
      <c r="A87" s="10" t="s">
        <v>215</v>
      </c>
      <c r="B87" s="10" t="s">
        <v>216</v>
      </c>
      <c r="C87" s="13" cm="1">
        <f t="array" ref="C87">_xll.BDH("PCAR US Equity","NET_DEBT","FQ3 2018","FQ3 2018","Currency=USD","Period=FQ","BEST_FPERIOD_OVERRIDE=FQ","FILING_STATUS=MR","SCALING_FORMAT=MLN","Sort=A","Dates=H","DateFormat=P","Fill=—","Direction=H","UseDPDF=Y")</f>
        <v>-3792.3</v>
      </c>
      <c r="D87" s="13" cm="1">
        <f t="array" ref="D87">_xll.BDH("PCAR US Equity","NET_DEBT","FQ4 2018","FQ4 2018","Currency=USD","Period=FQ","BEST_FPERIOD_OVERRIDE=FQ","FILING_STATUS=MR","SCALING_FORMAT=MLN","Sort=A","Dates=H","DateFormat=P","Fill=—","Direction=H","UseDPDF=Y")</f>
        <v>-4299.6000000000004</v>
      </c>
      <c r="E87" s="13" cm="1">
        <f t="array" ref="E87">_xll.BDH("PCAR US Equity","NET_DEBT","FQ1 2019","FQ1 2019","Currency=USD","Period=FQ","BEST_FPERIOD_OVERRIDE=FQ","FILING_STATUS=MR","SCALING_FORMAT=MLN","Sort=A","Dates=H","DateFormat=P","Fill=—","Direction=H","UseDPDF=Y")</f>
        <v>-3814.7</v>
      </c>
      <c r="F87" s="13" cm="1">
        <f t="array" ref="F87">_xll.BDH("PCAR US Equity","NET_DEBT","FQ2 2019","FQ2 2019","Currency=USD","Period=FQ","BEST_FPERIOD_OVERRIDE=FQ","FILING_STATUS=MR","SCALING_FORMAT=MLN","Sort=A","Dates=H","DateFormat=P","Fill=—","Direction=H","UseDPDF=Y")</f>
        <v>-4181.2</v>
      </c>
      <c r="G87" s="13" cm="1">
        <f t="array" ref="G87">_xll.BDH("PCAR US Equity","NET_DEBT","FQ3 2019","FQ3 2019","Currency=USD","Period=FQ","BEST_FPERIOD_OVERRIDE=FQ","FILING_STATUS=MR","SCALING_FORMAT=MLN","Sort=A","Dates=H","DateFormat=P","Fill=—","Direction=H","UseDPDF=Y")</f>
        <v>-4643</v>
      </c>
      <c r="H87" s="13" cm="1">
        <f t="array" ref="H87">_xll.BDH("PCAR US Equity","NET_DEBT","FQ4 2019","FQ4 2019","Currency=USD","Period=FQ","BEST_FPERIOD_OVERRIDE=FQ","FILING_STATUS=MR","SCALING_FORMAT=MLN","Sort=A","Dates=H","DateFormat=P","Fill=—","Direction=H","UseDPDF=Y")</f>
        <v>-5169.3999999999996</v>
      </c>
      <c r="I87" s="13" cm="1">
        <f t="array" ref="I87">_xll.BDH("PCAR US Equity","NET_DEBT","FQ1 2020","FQ1 2020","Currency=USD","Period=FQ","BEST_FPERIOD_OVERRIDE=FQ","FILING_STATUS=MR","SCALING_FORMAT=MLN","Sort=A","Dates=H","DateFormat=P","Fill=—","Direction=H","UseDPDF=Y")</f>
        <v>-4328.1000000000004</v>
      </c>
      <c r="J87" s="13" cm="1">
        <f t="array" ref="J87">_xll.BDH("PCAR US Equity","NET_DEBT","FQ2 2020","FQ2 2020","Currency=USD","Period=FQ","BEST_FPERIOD_OVERRIDE=FQ","FILING_STATUS=MR","SCALING_FORMAT=MLN","Sort=A","Dates=H","DateFormat=P","Fill=—","Direction=H","UseDPDF=Y")</f>
        <v>-4275.2</v>
      </c>
      <c r="K87" s="13" cm="1">
        <f t="array" ref="K87">_xll.BDH("PCAR US Equity","NET_DEBT","FQ3 2020","FQ3 2020","Currency=USD","Period=FQ","BEST_FPERIOD_OVERRIDE=FQ","FILING_STATUS=MR","SCALING_FORMAT=MLN","Sort=A","Dates=H","DateFormat=P","Fill=—","Direction=H","UseDPDF=Y")</f>
        <v>-4538.6000000000004</v>
      </c>
      <c r="L87" s="13" cm="1">
        <f t="array" ref="L87">_xll.BDH("PCAR US Equity","NET_DEBT","FQ4 2020","FQ4 2020","Currency=USD","Period=FQ","BEST_FPERIOD_OVERRIDE=FQ","FILING_STATUS=MR","SCALING_FORMAT=MLN","Sort=A","Dates=H","DateFormat=P","Fill=—","Direction=H","UseDPDF=Y")</f>
        <v>-4834</v>
      </c>
      <c r="M87" s="13" cm="1">
        <f t="array" ref="M87">_xll.BDH("PCAR US Equity","NET_DEBT","FQ1 2021","FQ1 2021","Currency=USD","Period=FQ","BEST_FPERIOD_OVERRIDE=FQ","FILING_STATUS=MR","SCALING_FORMAT=MLN","Sort=A","Dates=H","DateFormat=P","Fill=—","Direction=H","UseDPDF=Y")</f>
        <v>-4651.1000000000004</v>
      </c>
      <c r="N87" s="13" cm="1">
        <f t="array" ref="N87">_xll.BDH("PCAR US Equity","NET_DEBT","FQ2 2021","FQ2 2021","Currency=USD","Period=FQ","BEST_FPERIOD_OVERRIDE=FQ","FILING_STATUS=MR","SCALING_FORMAT=MLN","Sort=A","Dates=H","DateFormat=P","Fill=—","Direction=H","UseDPDF=Y")</f>
        <v>-4403.3</v>
      </c>
      <c r="O87" s="13" cm="1">
        <f t="array" ref="O87">_xll.BDH("PCAR US Equity","NET_DEBT","FQ3 2021","FQ3 2021","Currency=USD","Period=FQ","BEST_FPERIOD_OVERRIDE=FQ","FILING_STATUS=MR","SCALING_FORMAT=MLN","Sort=A","Dates=H","DateFormat=P","Fill=—","Direction=H","UseDPDF=Y")</f>
        <v>-3647.8</v>
      </c>
      <c r="P87" s="13" cm="1">
        <f t="array" ref="P87">_xll.BDH("PCAR US Equity","NET_DEBT","FQ4 2021","FQ4 2021","Currency=USD","Period=FQ","BEST_FPERIOD_OVERRIDE=FQ","FILING_STATUS=MR","SCALING_FORMAT=MLN","Sort=A","Dates=H","DateFormat=P","Fill=—","Direction=H","UseDPDF=Y")</f>
        <v>-4813</v>
      </c>
      <c r="Q87" s="13" cm="1">
        <f t="array" ref="Q87">_xll.BDH("PCAR US Equity","NET_DEBT","FQ1 2022","FQ1 2022","Currency=USD","Period=FQ","BEST_FPERIOD_OVERRIDE=FQ","FILING_STATUS=MR","SCALING_FORMAT=MLN","Sort=A","Dates=H","DateFormat=P","Fill=—","Direction=H","UseDPDF=Y")</f>
        <v>-4672.3999999999996</v>
      </c>
      <c r="R87" s="13" cm="1">
        <f t="array" ref="R87">_xll.BDH("PCAR US Equity","NET_DEBT","FQ2 2022","FQ2 2022","Currency=USD","Period=FQ","BEST_FPERIOD_OVERRIDE=FQ","FILING_STATUS=MR","SCALING_FORMAT=MLN","Sort=A","Dates=H","DateFormat=P","Fill=—","Direction=H","UseDPDF=Y")</f>
        <v>-4694.3</v>
      </c>
      <c r="S87" s="13" cm="1">
        <f t="array" ref="S87">_xll.BDH("PCAR US Equity","NET_DEBT","FQ3 2022","FQ3 2022","Currency=USD","Period=FQ","BEST_FPERIOD_OVERRIDE=FQ","FILING_STATUS=MR","SCALING_FORMAT=MLN","Sort=A","Dates=H","DateFormat=P","Fill=—","Direction=H","UseDPDF=Y")</f>
        <v>-4762.8999999999996</v>
      </c>
      <c r="T87" s="13" cm="1">
        <f t="array" ref="T87">_xll.BDH("PCAR US Equity","NET_DEBT","FQ4 2022","FQ4 2022","Currency=USD","Period=FQ","BEST_FPERIOD_OVERRIDE=FQ","FILING_STATUS=MR","SCALING_FORMAT=MLN","Sort=A","Dates=H","DateFormat=P","Fill=—","Direction=H","UseDPDF=Y")</f>
        <v>-6158.9</v>
      </c>
      <c r="U87" s="13" cm="1">
        <f t="array" ref="U87">_xll.BDH("PCAR US Equity","NET_DEBT","FQ1 2023","FQ1 2023","Currency=USD","Period=FQ","BEST_FPERIOD_OVERRIDE=FQ","FILING_STATUS=MR","SCALING_FORMAT=MLN","Sort=A","Dates=H","DateFormat=P","Fill=—","Direction=H","UseDPDF=Y")</f>
        <v>-5922.2</v>
      </c>
      <c r="V87" s="13" cm="1">
        <f t="array" ref="V87">_xll.BDH("PCAR US Equity","NET_DEBT","FQ2 2023","FQ2 2023","Currency=USD","Period=FQ","BEST_FPERIOD_OVERRIDE=FQ","FILING_STATUS=MR","SCALING_FORMAT=MLN","Sort=A","Dates=H","DateFormat=P","Fill=—","Direction=H","UseDPDF=Y")</f>
        <v>-6618.4</v>
      </c>
      <c r="W87" s="13" cm="1">
        <f t="array" ref="W87">_xll.BDH("PCAR US Equity","NET_DEBT","FQ3 2023","FQ3 2023","Currency=USD","Period=FQ","BEST_FPERIOD_OVERRIDE=FQ","FILING_STATUS=MR","SCALING_FORMAT=MLN","Sort=A","Dates=H","DateFormat=P","Fill=—","Direction=H","UseDPDF=Y")</f>
        <v>-7440</v>
      </c>
      <c r="X87" s="13" cm="1">
        <f t="array" ref="X87">_xll.BDH("PCAR US Equity","NET_DEBT","FQ4 2023","FQ4 2023","Currency=USD","Period=FQ","BEST_FPERIOD_OVERRIDE=FQ","FILING_STATUS=MR","SCALING_FORMAT=MLN","Sort=A","Dates=H","DateFormat=P","Fill=—","Direction=H","UseDPDF=Y")</f>
        <v>-9004.2999999999993</v>
      </c>
      <c r="Y87" s="13" cm="1">
        <f t="array" ref="Y87">_xll.BDH("PCAR US Equity","NET_DEBT","FQ1 2024","FQ1 2024","Currency=USD","Period=FQ","BEST_FPERIOD_OVERRIDE=FQ","FILING_STATUS=MR","SCALING_FORMAT=MLN","Sort=A","Dates=H","DateFormat=P","Fill=—","Direction=H","UseDPDF=Y")</f>
        <v>-7727.2</v>
      </c>
      <c r="Z87" s="13" cm="1">
        <f t="array" ref="Z87">_xll.BDH("PCAR US Equity","NET_DEBT","FQ2 2024","FQ2 2024","Currency=USD","Period=FQ","BEST_FPERIOD_OVERRIDE=FQ","FILING_STATUS=MR","SCALING_FORMAT=MLN","Sort=A","Dates=H","DateFormat=P","Fill=—","Direction=H","UseDPDF=Y")</f>
        <v>-7803.8</v>
      </c>
      <c r="AA87" s="13" cm="1">
        <f t="array" ref="AA87">_xll.BDH("PCAR US Equity","NET_DEBT","FQ3 2024","FQ3 2024","Currency=USD","Period=FQ","BEST_FPERIOD_OVERRIDE=FQ","FILING_STATUS=MR","SCALING_FORMAT=MLN","Sort=A","Dates=H","DateFormat=P","Fill=—","Direction=H","UseDPDF=Y")</f>
        <v>-9152.7999999999993</v>
      </c>
      <c r="AB87" s="13" cm="1">
        <f t="array" ref="AB87">_xll.BDH("PCAR US Equity","NET_DEBT","FQ4 2024","FQ4 2024","Currency=USD","Period=FQ","BEST_FPERIOD_OVERRIDE=FQ","FILING_STATUS=MR","SCALING_FORMAT=MLN","Sort=A","Dates=H","DateFormat=P","Fill=—","Direction=H","UseDPDF=Y")</f>
        <v>-9839.6</v>
      </c>
      <c r="AC87" s="13" cm="1">
        <f t="array" ref="AC87">_xll.BDH("PCAR US Equity","NET_DEBT","FQ1 2025","FQ1 2025","Currency=USD","Period=FQ","BEST_FPERIOD_OVERRIDE=FQ","FILING_STATUS=MR","SCALING_FORMAT=MLN","Sort=A","Dates=H","DateFormat=P","Fill=—","Direction=H","UseDPDF=Y")</f>
        <v>-8100</v>
      </c>
      <c r="AD87" s="13" cm="1">
        <f t="array" ref="AD87">_xll.BDH("PCAR US Equity","NET_DEBT","FQ2 2025","FQ2 2025","Currency=USD","Period=FQ","BEST_FPERIOD_OVERRIDE=FQ","FILING_STATUS=MR","SCALING_FORMAT=MLN","Sort=A","Dates=H","DateFormat=P","Fill=—","Direction=H","UseDPDF=Y")</f>
        <v>-8279.7000000000007</v>
      </c>
      <c r="AE87" s="13" cm="1">
        <f t="array" ref="AE87">_xll.BDH("PCAR US Equity","NET_DEBT","FQ3 2025","FQ3 2025","Currency=USD","Period=FQ","BEST_FPERIOD_OVERRIDE=FQ","FILING_STATUS=MR","SCALING_FORMAT=MLN","Sort=A","Dates=H","DateFormat=P","Fill=—","Direction=H","UseDPDF=Y")</f>
        <v>-9068.6</v>
      </c>
      <c r="AF87" s="13" cm="1">
        <f t="array" ref="AF87">_xll.BDH("PCAR US Equity","NET_DEBT","FQ4 2025","FQ4 2025","Currency=USD","Period=FQ","BEST_FPERIOD_OVERRIDE=FQ","FILING_STATUS=MR","SCALING_FORMAT=MLN","Sort=A","Dates=H","DateFormat=P","Fill=—","Direction=H","UseDPDF=Y")</f>
        <v>-9253.7000000000007</v>
      </c>
    </row>
    <row r="88" spans="1:32" x14ac:dyDescent="0.25">
      <c r="A88" s="10" t="s">
        <v>217</v>
      </c>
      <c r="B88" s="10" t="s">
        <v>218</v>
      </c>
      <c r="C88" s="14" cm="1">
        <f t="array" ref="C88">_xll.BDH("PCAR US Equity","NET_DEBT_TO_SHRHLDR_EQTY","FQ3 2018","FQ3 2018","Currency=USD","Period=FQ","BEST_FPERIOD_OVERRIDE=FQ","FILING_STATUS=MR","Sort=A","Dates=H","DateFormat=P","Fill=—","Direction=H","UseDPDF=Y")</f>
        <v>-41.350999999999999</v>
      </c>
      <c r="D88" s="14" cm="1">
        <f t="array" ref="D88">_xll.BDH("PCAR US Equity","NET_DEBT_TO_SHRHLDR_EQTY","FQ4 2018","FQ4 2018","Currency=USD","Period=FQ","BEST_FPERIOD_OVERRIDE=FQ","FILING_STATUS=MR","Sort=A","Dates=H","DateFormat=P","Fill=—","Direction=H","UseDPDF=Y")</f>
        <v>-50.036700000000003</v>
      </c>
      <c r="E88" s="14" cm="1">
        <f t="array" ref="E88">_xll.BDH("PCAR US Equity","NET_DEBT_TO_SHRHLDR_EQTY","FQ1 2019","FQ1 2019","Currency=USD","Period=FQ","BEST_FPERIOD_OVERRIDE=FQ","FILING_STATUS=MR","Sort=A","Dates=H","DateFormat=P","Fill=—","Direction=H","UseDPDF=Y")</f>
        <v>-41.894500000000001</v>
      </c>
      <c r="F88" s="14" cm="1">
        <f t="array" ref="F88">_xll.BDH("PCAR US Equity","NET_DEBT_TO_SHRHLDR_EQTY","FQ2 2019","FQ2 2019","Currency=USD","Period=FQ","BEST_FPERIOD_OVERRIDE=FQ","FILING_STATUS=MR","Sort=A","Dates=H","DateFormat=P","Fill=—","Direction=H","UseDPDF=Y")</f>
        <v>-43.394199999999998</v>
      </c>
      <c r="G88" s="14" cm="1">
        <f t="array" ref="G88">_xll.BDH("PCAR US Equity","NET_DEBT_TO_SHRHLDR_EQTY","FQ3 2019","FQ3 2019","Currency=USD","Period=FQ","BEST_FPERIOD_OVERRIDE=FQ","FILING_STATUS=MR","Sort=A","Dates=H","DateFormat=P","Fill=—","Direction=H","UseDPDF=Y")</f>
        <v>-46.6038</v>
      </c>
      <c r="H88" s="14" cm="1">
        <f t="array" ref="H88">_xll.BDH("PCAR US Equity","NET_DEBT_TO_SHRHLDR_EQTY","FQ4 2019","FQ4 2019","Currency=USD","Period=FQ","BEST_FPERIOD_OVERRIDE=FQ","FILING_STATUS=MR","Sort=A","Dates=H","DateFormat=P","Fill=—","Direction=H","UseDPDF=Y")</f>
        <v>-53.259300000000003</v>
      </c>
      <c r="I88" s="14" cm="1">
        <f t="array" ref="I88">_xll.BDH("PCAR US Equity","NET_DEBT_TO_SHRHLDR_EQTY","FQ1 2020","FQ1 2020","Currency=USD","Period=FQ","BEST_FPERIOD_OVERRIDE=FQ","FILING_STATUS=MR","Sort=A","Dates=H","DateFormat=P","Fill=—","Direction=H","UseDPDF=Y")</f>
        <v>-44.909399999999998</v>
      </c>
      <c r="J88" s="14" cm="1">
        <f t="array" ref="J88">_xll.BDH("PCAR US Equity","NET_DEBT_TO_SHRHLDR_EQTY","FQ2 2020","FQ2 2020","Currency=USD","Period=FQ","BEST_FPERIOD_OVERRIDE=FQ","FILING_STATUS=MR","Sort=A","Dates=H","DateFormat=P","Fill=—","Direction=H","UseDPDF=Y")</f>
        <v>-43.728000000000002</v>
      </c>
      <c r="K88" s="14" cm="1">
        <f t="array" ref="K88">_xll.BDH("PCAR US Equity","NET_DEBT_TO_SHRHLDR_EQTY","FQ3 2020","FQ3 2020","Currency=USD","Period=FQ","BEST_FPERIOD_OVERRIDE=FQ","FILING_STATUS=MR","Sort=A","Dates=H","DateFormat=P","Fill=—","Direction=H","UseDPDF=Y")</f>
        <v>-44.5642</v>
      </c>
      <c r="L88" s="14" cm="1">
        <f t="array" ref="L88">_xll.BDH("PCAR US Equity","NET_DEBT_TO_SHRHLDR_EQTY","FQ4 2020","FQ4 2020","Currency=USD","Period=FQ","BEST_FPERIOD_OVERRIDE=FQ","FILING_STATUS=MR","Sort=A","Dates=H","DateFormat=P","Fill=—","Direction=H","UseDPDF=Y")</f>
        <v>-46.525500000000001</v>
      </c>
      <c r="M88" s="14" cm="1">
        <f t="array" ref="M88">_xll.BDH("PCAR US Equity","NET_DEBT_TO_SHRHLDR_EQTY","FQ1 2021","FQ1 2021","Currency=USD","Period=FQ","BEST_FPERIOD_OVERRIDE=FQ","FILING_STATUS=MR","Sort=A","Dates=H","DateFormat=P","Fill=—","Direction=H","UseDPDF=Y")</f>
        <v>-43.3964</v>
      </c>
      <c r="N88" s="14" cm="1">
        <f t="array" ref="N88">_xll.BDH("PCAR US Equity","NET_DEBT_TO_SHRHLDR_EQTY","FQ2 2021","FQ2 2021","Currency=USD","Period=FQ","BEST_FPERIOD_OVERRIDE=FQ","FILING_STATUS=MR","Sort=A","Dates=H","DateFormat=P","Fill=—","Direction=H","UseDPDF=Y")</f>
        <v>-39.372100000000003</v>
      </c>
      <c r="O88" s="14" cm="1">
        <f t="array" ref="O88">_xll.BDH("PCAR US Equity","NET_DEBT_TO_SHRHLDR_EQTY","FQ3 2021","FQ3 2021","Currency=USD","Period=FQ","BEST_FPERIOD_OVERRIDE=FQ","FILING_STATUS=MR","Sort=A","Dates=H","DateFormat=P","Fill=—","Direction=H","UseDPDF=Y")</f>
        <v>-32.194800000000001</v>
      </c>
      <c r="P88" s="14" cm="1">
        <f t="array" ref="P88">_xll.BDH("PCAR US Equity","NET_DEBT_TO_SHRHLDR_EQTY","FQ4 2021","FQ4 2021","Currency=USD","Period=FQ","BEST_FPERIOD_OVERRIDE=FQ","FILING_STATUS=MR","Sort=A","Dates=H","DateFormat=P","Fill=—","Direction=H","UseDPDF=Y")</f>
        <v>-41.512900000000002</v>
      </c>
      <c r="Q88" s="14" cm="1">
        <f t="array" ref="Q88">_xll.BDH("PCAR US Equity","NET_DEBT_TO_SHRHLDR_EQTY","FQ1 2022","FQ1 2022","Currency=USD","Period=FQ","BEST_FPERIOD_OVERRIDE=FQ","FILING_STATUS=MR","Sort=A","Dates=H","DateFormat=P","Fill=—","Direction=H","UseDPDF=Y")</f>
        <v>-38.477200000000003</v>
      </c>
      <c r="R88" s="14" cm="1">
        <f t="array" ref="R88">_xll.BDH("PCAR US Equity","NET_DEBT_TO_SHRHLDR_EQTY","FQ2 2022","FQ2 2022","Currency=USD","Period=FQ","BEST_FPERIOD_OVERRIDE=FQ","FILING_STATUS=MR","Sort=A","Dates=H","DateFormat=P","Fill=—","Direction=H","UseDPDF=Y")</f>
        <v>-37.500399999999999</v>
      </c>
      <c r="S88" s="14" cm="1">
        <f t="array" ref="S88">_xll.BDH("PCAR US Equity","NET_DEBT_TO_SHRHLDR_EQTY","FQ3 2022","FQ3 2022","Currency=USD","Period=FQ","BEST_FPERIOD_OVERRIDE=FQ","FILING_STATUS=MR","Sort=A","Dates=H","DateFormat=P","Fill=—","Direction=H","UseDPDF=Y")</f>
        <v>-36.940300000000001</v>
      </c>
      <c r="T88" s="14" cm="1">
        <f t="array" ref="T88">_xll.BDH("PCAR US Equity","NET_DEBT_TO_SHRHLDR_EQTY","FQ4 2022","FQ4 2022","Currency=USD","Period=FQ","BEST_FPERIOD_OVERRIDE=FQ","FILING_STATUS=MR","Sort=A","Dates=H","DateFormat=P","Fill=—","Direction=H","UseDPDF=Y")</f>
        <v>-46.774900000000002</v>
      </c>
      <c r="U88" s="14" cm="1">
        <f t="array" ref="U88">_xll.BDH("PCAR US Equity","NET_DEBT_TO_SHRHLDR_EQTY","FQ1 2023","FQ1 2023","Currency=USD","Period=FQ","BEST_FPERIOD_OVERRIDE=FQ","FILING_STATUS=MR","Sort=A","Dates=H","DateFormat=P","Fill=—","Direction=H","UseDPDF=Y")</f>
        <v>-42.661000000000001</v>
      </c>
      <c r="V88" s="14" cm="1">
        <f t="array" ref="V88">_xll.BDH("PCAR US Equity","NET_DEBT_TO_SHRHLDR_EQTY","FQ2 2023","FQ2 2023","Currency=USD","Period=FQ","BEST_FPERIOD_OVERRIDE=FQ","FILING_STATUS=MR","Sort=A","Dates=H","DateFormat=P","Fill=—","Direction=H","UseDPDF=Y")</f>
        <v>-43.890599999999999</v>
      </c>
      <c r="W88" s="14" cm="1">
        <f t="array" ref="W88">_xll.BDH("PCAR US Equity","NET_DEBT_TO_SHRHLDR_EQTY","FQ3 2023","FQ3 2023","Currency=USD","Period=FQ","BEST_FPERIOD_OVERRIDE=FQ","FILING_STATUS=MR","Sort=A","Dates=H","DateFormat=P","Fill=—","Direction=H","UseDPDF=Y")</f>
        <v>-46.433</v>
      </c>
      <c r="X88" s="14" cm="1">
        <f t="array" ref="X88">_xll.BDH("PCAR US Equity","NET_DEBT_TO_SHRHLDR_EQTY","FQ4 2023","FQ4 2023","Currency=USD","Period=FQ","BEST_FPERIOD_OVERRIDE=FQ","FILING_STATUS=MR","Sort=A","Dates=H","DateFormat=P","Fill=—","Direction=H","UseDPDF=Y")</f>
        <v>-56.706400000000002</v>
      </c>
      <c r="Y88" s="14" cm="1">
        <f t="array" ref="Y88">_xll.BDH("PCAR US Equity","NET_DEBT_TO_SHRHLDR_EQTY","FQ1 2024","FQ1 2024","Currency=USD","Period=FQ","BEST_FPERIOD_OVERRIDE=FQ","FILING_STATUS=MR","Sort=A","Dates=H","DateFormat=P","Fill=—","Direction=H","UseDPDF=Y")</f>
        <v>-45.799199999999999</v>
      </c>
      <c r="Z88" s="14" cm="1">
        <f t="array" ref="Z88">_xll.BDH("PCAR US Equity","NET_DEBT_TO_SHRHLDR_EQTY","FQ2 2024","FQ2 2024","Currency=USD","Period=FQ","BEST_FPERIOD_OVERRIDE=FQ","FILING_STATUS=MR","Sort=A","Dates=H","DateFormat=P","Fill=—","Direction=H","UseDPDF=Y")</f>
        <v>-44.082000000000001</v>
      </c>
      <c r="AA88" s="14" cm="1">
        <f t="array" ref="AA88">_xll.BDH("PCAR US Equity","NET_DEBT_TO_SHRHLDR_EQTY","FQ3 2024","FQ3 2024","Currency=USD","Period=FQ","BEST_FPERIOD_OVERRIDE=FQ","FILING_STATUS=MR","Sort=A","Dates=H","DateFormat=P","Fill=—","Direction=H","UseDPDF=Y")</f>
        <v>-49.040900000000001</v>
      </c>
      <c r="AB88" s="14" cm="1">
        <f t="array" ref="AB88">_xll.BDH("PCAR US Equity","NET_DEBT_TO_SHRHLDR_EQTY","FQ4 2024","FQ4 2024","Currency=USD","Period=FQ","BEST_FPERIOD_OVERRIDE=FQ","FILING_STATUS=MR","Sort=A","Dates=H","DateFormat=P","Fill=—","Direction=H","UseDPDF=Y")</f>
        <v>-56.204099999999997</v>
      </c>
      <c r="AC88" s="14" cm="1">
        <f t="array" ref="AC88">_xll.BDH("PCAR US Equity","NET_DEBT_TO_SHRHLDR_EQTY","FQ1 2025","FQ1 2025","Currency=USD","Period=FQ","BEST_FPERIOD_OVERRIDE=FQ","FILING_STATUS=MR","Sort=A","Dates=H","DateFormat=P","Fill=—","Direction=H","UseDPDF=Y")</f>
        <v>-44.944800000000001</v>
      </c>
      <c r="AD88" s="14" cm="1">
        <f t="array" ref="AD88">_xll.BDH("PCAR US Equity","NET_DEBT_TO_SHRHLDR_EQTY","FQ2 2025","FQ2 2025","Currency=USD","Period=FQ","BEST_FPERIOD_OVERRIDE=FQ","FILING_STATUS=MR","Sort=A","Dates=H","DateFormat=P","Fill=—","Direction=H","UseDPDF=Y")</f>
        <v>-43.709400000000002</v>
      </c>
      <c r="AE88" s="14" cm="1">
        <f t="array" ref="AE88">_xll.BDH("PCAR US Equity","NET_DEBT_TO_SHRHLDR_EQTY","FQ3 2025","FQ3 2025","Currency=USD","Period=FQ","BEST_FPERIOD_OVERRIDE=FQ","FILING_STATUS=MR","Sort=A","Dates=H","DateFormat=P","Fill=—","Direction=H","UseDPDF=Y")</f>
        <v>-46.821100000000001</v>
      </c>
      <c r="AF88" s="14" cm="1">
        <f t="array" ref="AF88">_xll.BDH("PCAR US Equity","NET_DEBT_TO_SHRHLDR_EQTY","FQ4 2025","FQ4 2025","Currency=USD","Period=FQ","BEST_FPERIOD_OVERRIDE=FQ","FILING_STATUS=MR","Sort=A","Dates=H","DateFormat=P","Fill=—","Direction=H","UseDPDF=Y")</f>
        <v>-48.036200000000001</v>
      </c>
    </row>
    <row r="89" spans="1:32" x14ac:dyDescent="0.25">
      <c r="A89" s="10" t="s">
        <v>219</v>
      </c>
      <c r="B89" s="10" t="s">
        <v>220</v>
      </c>
      <c r="C89" s="14" t="str" cm="1">
        <f t="array" ref="C89">_xll.BDH("PCAR US Equity","TCE_RATIO","FQ3 2018","FQ3 2018","Currency=USD","Period=FQ","BEST_FPERIOD_OVERRIDE=FQ","FILING_STATUS=MR","Sort=A","Dates=H","DateFormat=P","Fill=—","Direction=H","UseDPDF=Y")</f>
        <v>—</v>
      </c>
      <c r="D89" s="14" cm="1">
        <f t="array" ref="D89">_xll.BDH("PCAR US Equity","TCE_RATIO","FQ4 2018","FQ4 2018","Currency=USD","Period=FQ","BEST_FPERIOD_OVERRIDE=FQ","FILING_STATUS=MR","Sort=A","Dates=H","DateFormat=P","Fill=—","Direction=H","UseDPDF=Y")</f>
        <v>33.4283</v>
      </c>
      <c r="E89" s="14" t="str" cm="1">
        <f t="array" ref="E89">_xll.BDH("PCAR US Equity","TCE_RATIO","FQ1 2019","FQ1 2019","Currency=USD","Period=FQ","BEST_FPERIOD_OVERRIDE=FQ","FILING_STATUS=MR","Sort=A","Dates=H","DateFormat=P","Fill=—","Direction=H","UseDPDF=Y")</f>
        <v>—</v>
      </c>
      <c r="F89" s="14" t="str" cm="1">
        <f t="array" ref="F89">_xll.BDH("PCAR US Equity","TCE_RATIO","FQ2 2019","FQ2 2019","Currency=USD","Period=FQ","BEST_FPERIOD_OVERRIDE=FQ","FILING_STATUS=MR","Sort=A","Dates=H","DateFormat=P","Fill=—","Direction=H","UseDPDF=Y")</f>
        <v>—</v>
      </c>
      <c r="G89" s="14" t="str" cm="1">
        <f t="array" ref="G89">_xll.BDH("PCAR US Equity","TCE_RATIO","FQ3 2019","FQ3 2019","Currency=USD","Period=FQ","BEST_FPERIOD_OVERRIDE=FQ","FILING_STATUS=MR","Sort=A","Dates=H","DateFormat=P","Fill=—","Direction=H","UseDPDF=Y")</f>
        <v>—</v>
      </c>
      <c r="H89" s="14" cm="1">
        <f t="array" ref="H89">_xll.BDH("PCAR US Equity","TCE_RATIO","FQ4 2019","FQ4 2019","Currency=USD","Period=FQ","BEST_FPERIOD_OVERRIDE=FQ","FILING_STATUS=MR","Sort=A","Dates=H","DateFormat=P","Fill=—","Direction=H","UseDPDF=Y")</f>
        <v>33.969299999999997</v>
      </c>
      <c r="I89" s="14" t="str" cm="1">
        <f t="array" ref="I89">_xll.BDH("PCAR US Equity","TCE_RATIO","FQ1 2020","FQ1 2020","Currency=USD","Period=FQ","BEST_FPERIOD_OVERRIDE=FQ","FILING_STATUS=MR","Sort=A","Dates=H","DateFormat=P","Fill=—","Direction=H","UseDPDF=Y")</f>
        <v>—</v>
      </c>
      <c r="J89" s="14" t="str" cm="1">
        <f t="array" ref="J89">_xll.BDH("PCAR US Equity","TCE_RATIO","FQ2 2020","FQ2 2020","Currency=USD","Period=FQ","BEST_FPERIOD_OVERRIDE=FQ","FILING_STATUS=MR","Sort=A","Dates=H","DateFormat=P","Fill=—","Direction=H","UseDPDF=Y")</f>
        <v>—</v>
      </c>
      <c r="K89" s="14" t="str" cm="1">
        <f t="array" ref="K89">_xll.BDH("PCAR US Equity","TCE_RATIO","FQ3 2020","FQ3 2020","Currency=USD","Period=FQ","BEST_FPERIOD_OVERRIDE=FQ","FILING_STATUS=MR","Sort=A","Dates=H","DateFormat=P","Fill=—","Direction=H","UseDPDF=Y")</f>
        <v>—</v>
      </c>
      <c r="L89" s="14" cm="1">
        <f t="array" ref="L89">_xll.BDH("PCAR US Equity","TCE_RATIO","FQ4 2020","FQ4 2020","Currency=USD","Period=FQ","BEST_FPERIOD_OVERRIDE=FQ","FILING_STATUS=MR","Sort=A","Dates=H","DateFormat=P","Fill=—","Direction=H","UseDPDF=Y")</f>
        <v>36.498800000000003</v>
      </c>
      <c r="M89" s="14" t="str" cm="1">
        <f t="array" ref="M89">_xll.BDH("PCAR US Equity","TCE_RATIO","FQ1 2021","FQ1 2021","Currency=USD","Period=FQ","BEST_FPERIOD_OVERRIDE=FQ","FILING_STATUS=MR","Sort=A","Dates=H","DateFormat=P","Fill=—","Direction=H","UseDPDF=Y")</f>
        <v>—</v>
      </c>
      <c r="N89" s="14" t="str" cm="1">
        <f t="array" ref="N89">_xll.BDH("PCAR US Equity","TCE_RATIO","FQ2 2021","FQ2 2021","Currency=USD","Period=FQ","BEST_FPERIOD_OVERRIDE=FQ","FILING_STATUS=MR","Sort=A","Dates=H","DateFormat=P","Fill=—","Direction=H","UseDPDF=Y")</f>
        <v>—</v>
      </c>
      <c r="O89" s="14" t="str" cm="1">
        <f t="array" ref="O89">_xll.BDH("PCAR US Equity","TCE_RATIO","FQ3 2021","FQ3 2021","Currency=USD","Period=FQ","BEST_FPERIOD_OVERRIDE=FQ","FILING_STATUS=MR","Sort=A","Dates=H","DateFormat=P","Fill=—","Direction=H","UseDPDF=Y")</f>
        <v>—</v>
      </c>
      <c r="P89" s="14" cm="1">
        <f t="array" ref="P89">_xll.BDH("PCAR US Equity","TCE_RATIO","FQ4 2021","FQ4 2021","Currency=USD","Period=FQ","BEST_FPERIOD_OVERRIDE=FQ","FILING_STATUS=MR","Sort=A","Dates=H","DateFormat=P","Fill=—","Direction=H","UseDPDF=Y")</f>
        <v>39.0608</v>
      </c>
      <c r="Q89" s="14" t="str" cm="1">
        <f t="array" ref="Q89">_xll.BDH("PCAR US Equity","TCE_RATIO","FQ1 2022","FQ1 2022","Currency=USD","Period=FQ","BEST_FPERIOD_OVERRIDE=FQ","FILING_STATUS=MR","Sort=A","Dates=H","DateFormat=P","Fill=—","Direction=H","UseDPDF=Y")</f>
        <v>—</v>
      </c>
      <c r="R89" s="14" t="str" cm="1">
        <f t="array" ref="R89">_xll.BDH("PCAR US Equity","TCE_RATIO","FQ2 2022","FQ2 2022","Currency=USD","Period=FQ","BEST_FPERIOD_OVERRIDE=FQ","FILING_STATUS=MR","Sort=A","Dates=H","DateFormat=P","Fill=—","Direction=H","UseDPDF=Y")</f>
        <v>—</v>
      </c>
      <c r="S89" s="14" t="str" cm="1">
        <f t="array" ref="S89">_xll.BDH("PCAR US Equity","TCE_RATIO","FQ3 2022","FQ3 2022","Currency=USD","Period=FQ","BEST_FPERIOD_OVERRIDE=FQ","FILING_STATUS=MR","Sort=A","Dates=H","DateFormat=P","Fill=—","Direction=H","UseDPDF=Y")</f>
        <v>—</v>
      </c>
      <c r="T89" s="14" cm="1">
        <f t="array" ref="T89">_xll.BDH("PCAR US Equity","TCE_RATIO","FQ4 2022","FQ4 2022","Currency=USD","Period=FQ","BEST_FPERIOD_OVERRIDE=FQ","FILING_STATUS=MR","Sort=A","Dates=H","DateFormat=P","Fill=—","Direction=H","UseDPDF=Y")</f>
        <v>39.380299999999998</v>
      </c>
      <c r="U89" s="14" t="str" cm="1">
        <f t="array" ref="U89">_xll.BDH("PCAR US Equity","TCE_RATIO","FQ1 2023","FQ1 2023","Currency=USD","Period=FQ","BEST_FPERIOD_OVERRIDE=FQ","FILING_STATUS=MR","Sort=A","Dates=H","DateFormat=P","Fill=—","Direction=H","UseDPDF=Y")</f>
        <v>—</v>
      </c>
      <c r="V89" s="14" cm="1">
        <f t="array" ref="V89">_xll.BDH("PCAR US Equity","TCE_RATIO","FQ2 2023","FQ2 2023","Currency=USD","Period=FQ","BEST_FPERIOD_OVERRIDE=FQ","FILING_STATUS=MR","Sort=A","Dates=H","DateFormat=P","Fill=—","Direction=H","UseDPDF=Y")</f>
        <v>40.9011</v>
      </c>
      <c r="W89" s="14" t="str" cm="1">
        <f t="array" ref="W89">_xll.BDH("PCAR US Equity","TCE_RATIO","FQ3 2023","FQ3 2023","Currency=USD","Period=FQ","BEST_FPERIOD_OVERRIDE=FQ","FILING_STATUS=MR","Sort=A","Dates=H","DateFormat=P","Fill=—","Direction=H","UseDPDF=Y")</f>
        <v>—</v>
      </c>
      <c r="X89" s="14" cm="1">
        <f t="array" ref="X89">_xll.BDH("PCAR US Equity","TCE_RATIO","FQ4 2023","FQ4 2023","Currency=USD","Period=FQ","BEST_FPERIOD_OVERRIDE=FQ","FILING_STATUS=MR","Sort=A","Dates=H","DateFormat=P","Fill=—","Direction=H","UseDPDF=Y")</f>
        <v>38.735100000000003</v>
      </c>
      <c r="Y89" s="14" t="str" cm="1">
        <f t="array" ref="Y89">_xll.BDH("PCAR US Equity","TCE_RATIO","FQ1 2024","FQ1 2024","Currency=USD","Period=FQ","BEST_FPERIOD_OVERRIDE=FQ","FILING_STATUS=MR","Sort=A","Dates=H","DateFormat=P","Fill=—","Direction=H","UseDPDF=Y")</f>
        <v>—</v>
      </c>
      <c r="Z89" s="14" t="str" cm="1">
        <f t="array" ref="Z89">_xll.BDH("PCAR US Equity","TCE_RATIO","FQ2 2024","FQ2 2024","Currency=USD","Period=FQ","BEST_FPERIOD_OVERRIDE=FQ","FILING_STATUS=MR","Sort=A","Dates=H","DateFormat=P","Fill=—","Direction=H","UseDPDF=Y")</f>
        <v>—</v>
      </c>
      <c r="AA89" s="14" t="str" cm="1">
        <f t="array" ref="AA89">_xll.BDH("PCAR US Equity","TCE_RATIO","FQ3 2024","FQ3 2024","Currency=USD","Period=FQ","BEST_FPERIOD_OVERRIDE=FQ","FILING_STATUS=MR","Sort=A","Dates=H","DateFormat=P","Fill=—","Direction=H","UseDPDF=Y")</f>
        <v>—</v>
      </c>
      <c r="AB89" s="14" cm="1">
        <f t="array" ref="AB89">_xll.BDH("PCAR US Equity","TCE_RATIO","FQ4 2024","FQ4 2024","Currency=USD","Period=FQ","BEST_FPERIOD_OVERRIDE=FQ","FILING_STATUS=MR","Sort=A","Dates=H","DateFormat=P","Fill=—","Direction=H","UseDPDF=Y")</f>
        <v>40.182200000000002</v>
      </c>
      <c r="AC89" s="14" t="str" cm="1">
        <f t="array" ref="AC89">_xll.BDH("PCAR US Equity","TCE_RATIO","FQ1 2025","FQ1 2025","Currency=USD","Period=FQ","BEST_FPERIOD_OVERRIDE=FQ","FILING_STATUS=MR","Sort=A","Dates=H","DateFormat=P","Fill=—","Direction=H","UseDPDF=Y")</f>
        <v>—</v>
      </c>
      <c r="AD89" s="14" t="str" cm="1">
        <f t="array" ref="AD89">_xll.BDH("PCAR US Equity","TCE_RATIO","FQ2 2025","FQ2 2025","Currency=USD","Period=FQ","BEST_FPERIOD_OVERRIDE=FQ","FILING_STATUS=MR","Sort=A","Dates=H","DateFormat=P","Fill=—","Direction=H","UseDPDF=Y")</f>
        <v>—</v>
      </c>
      <c r="AE89" s="14" t="str" cm="1">
        <f t="array" ref="AE89">_xll.BDH("PCAR US Equity","TCE_RATIO","FQ3 2025","FQ3 2025","Currency=USD","Period=FQ","BEST_FPERIOD_OVERRIDE=FQ","FILING_STATUS=MR","Sort=A","Dates=H","DateFormat=P","Fill=—","Direction=H","UseDPDF=Y")</f>
        <v>—</v>
      </c>
      <c r="AF89" s="14" t="str" cm="1">
        <f t="array" ref="AF89">_xll.BDH("PCAR US Equity","TCE_RATIO","FQ4 2025","FQ4 2025","Currency=USD","Period=FQ","BEST_FPERIOD_OVERRIDE=FQ","FILING_STATUS=MR","Sort=A","Dates=H","DateFormat=P","Fill=—","Direction=H","UseDPDF=Y")</f>
        <v>—</v>
      </c>
    </row>
    <row r="90" spans="1:32" x14ac:dyDescent="0.25">
      <c r="A90" s="10" t="s">
        <v>221</v>
      </c>
      <c r="B90" s="10" t="s">
        <v>222</v>
      </c>
      <c r="C90" s="14" cm="1">
        <f t="array" ref="C90">_xll.BDH("PCAR US Equity","CUR_RATIO","FQ3 2018","FQ3 2018","Currency=USD","Period=FQ","BEST_FPERIOD_OVERRIDE=FQ","FILING_STATUS=MR","Sort=A","Dates=H","DateFormat=P","Fill=—","Direction=H","UseDPDF=Y")</f>
        <v>1.0629</v>
      </c>
      <c r="D90" s="14" cm="1">
        <f t="array" ref="D90">_xll.BDH("PCAR US Equity","CUR_RATIO","FQ4 2018","FQ4 2018","Currency=USD","Period=FQ","BEST_FPERIOD_OVERRIDE=FQ","FILING_STATUS=MR","Sort=A","Dates=H","DateFormat=P","Fill=—","Direction=H","UseDPDF=Y")</f>
        <v>0.94010000000000005</v>
      </c>
      <c r="E90" s="14" cm="1">
        <f t="array" ref="E90">_xll.BDH("PCAR US Equity","CUR_RATIO","FQ1 2019","FQ1 2019","Currency=USD","Period=FQ","BEST_FPERIOD_OVERRIDE=FQ","FILING_STATUS=MR","Sort=A","Dates=H","DateFormat=P","Fill=—","Direction=H","UseDPDF=Y")</f>
        <v>0.97760000000000002</v>
      </c>
      <c r="F90" s="14" cm="1">
        <f t="array" ref="F90">_xll.BDH("PCAR US Equity","CUR_RATIO","FQ2 2019","FQ2 2019","Currency=USD","Period=FQ","BEST_FPERIOD_OVERRIDE=FQ","FILING_STATUS=MR","Sort=A","Dates=H","DateFormat=P","Fill=—","Direction=H","UseDPDF=Y")</f>
        <v>0.97670000000000001</v>
      </c>
      <c r="G90" s="14" cm="1">
        <f t="array" ref="G90">_xll.BDH("PCAR US Equity","CUR_RATIO","FQ3 2019","FQ3 2019","Currency=USD","Period=FQ","BEST_FPERIOD_OVERRIDE=FQ","FILING_STATUS=MR","Sort=A","Dates=H","DateFormat=P","Fill=—","Direction=H","UseDPDF=Y")</f>
        <v>0.79210000000000003</v>
      </c>
      <c r="H90" s="14" cm="1">
        <f t="array" ref="H90">_xll.BDH("PCAR US Equity","CUR_RATIO","FQ4 2019","FQ4 2019","Currency=USD","Period=FQ","BEST_FPERIOD_OVERRIDE=FQ","FILING_STATUS=MR","Sort=A","Dates=H","DateFormat=P","Fill=—","Direction=H","UseDPDF=Y")</f>
        <v>0.9375</v>
      </c>
      <c r="I90" s="14" cm="1">
        <f t="array" ref="I90">_xll.BDH("PCAR US Equity","CUR_RATIO","FQ1 2020","FQ1 2020","Currency=USD","Period=FQ","BEST_FPERIOD_OVERRIDE=FQ","FILING_STATUS=MR","Sort=A","Dates=H","DateFormat=P","Fill=—","Direction=H","UseDPDF=Y")</f>
        <v>0.97170000000000001</v>
      </c>
      <c r="J90" s="14" cm="1">
        <f t="array" ref="J90">_xll.BDH("PCAR US Equity","CUR_RATIO","FQ2 2020","FQ2 2020","Currency=USD","Period=FQ","BEST_FPERIOD_OVERRIDE=FQ","FILING_STATUS=MR","Sort=A","Dates=H","DateFormat=P","Fill=—","Direction=H","UseDPDF=Y")</f>
        <v>1.0828</v>
      </c>
      <c r="K90" s="14" cm="1">
        <f t="array" ref="K90">_xll.BDH("PCAR US Equity","CUR_RATIO","FQ3 2020","FQ3 2020","Currency=USD","Period=FQ","BEST_FPERIOD_OVERRIDE=FQ","FILING_STATUS=MR","Sort=A","Dates=H","DateFormat=P","Fill=—","Direction=H","UseDPDF=Y")</f>
        <v>1.1452</v>
      </c>
      <c r="L90" s="14" cm="1">
        <f t="array" ref="L90">_xll.BDH("PCAR US Equity","CUR_RATIO","FQ4 2020","FQ4 2020","Currency=USD","Period=FQ","BEST_FPERIOD_OVERRIDE=FQ","FILING_STATUS=MR","Sort=A","Dates=H","DateFormat=P","Fill=—","Direction=H","UseDPDF=Y")</f>
        <v>1.0451999999999999</v>
      </c>
      <c r="M90" s="14" cm="1">
        <f t="array" ref="M90">_xll.BDH("PCAR US Equity","CUR_RATIO","FQ1 2021","FQ1 2021","Currency=USD","Period=FQ","BEST_FPERIOD_OVERRIDE=FQ","FILING_STATUS=MR","Sort=A","Dates=H","DateFormat=P","Fill=—","Direction=H","UseDPDF=Y")</f>
        <v>1.1051</v>
      </c>
      <c r="N90" s="14" cm="1">
        <f t="array" ref="N90">_xll.BDH("PCAR US Equity","CUR_RATIO","FQ2 2021","FQ2 2021","Currency=USD","Period=FQ","BEST_FPERIOD_OVERRIDE=FQ","FILING_STATUS=MR","Sort=A","Dates=H","DateFormat=P","Fill=—","Direction=H","UseDPDF=Y")</f>
        <v>1.0973999999999999</v>
      </c>
      <c r="O90" s="14" cm="1">
        <f t="array" ref="O90">_xll.BDH("PCAR US Equity","CUR_RATIO","FQ3 2021","FQ3 2021","Currency=USD","Period=FQ","BEST_FPERIOD_OVERRIDE=FQ","FILING_STATUS=MR","Sort=A","Dates=H","DateFormat=P","Fill=—","Direction=H","UseDPDF=Y")</f>
        <v>1.1351</v>
      </c>
      <c r="P90" s="14" cm="1">
        <f t="array" ref="P90">_xll.BDH("PCAR US Equity","CUR_RATIO","FQ4 2021","FQ4 2021","Currency=USD","Period=FQ","BEST_FPERIOD_OVERRIDE=FQ","FILING_STATUS=MR","Sort=A","Dates=H","DateFormat=P","Fill=—","Direction=H","UseDPDF=Y")</f>
        <v>1.1065</v>
      </c>
      <c r="Q90" s="14" cm="1">
        <f t="array" ref="Q90">_xll.BDH("PCAR US Equity","CUR_RATIO","FQ1 2022","FQ1 2022","Currency=USD","Period=FQ","BEST_FPERIOD_OVERRIDE=FQ","FILING_STATUS=MR","Sort=A","Dates=H","DateFormat=P","Fill=—","Direction=H","UseDPDF=Y")</f>
        <v>1.0768</v>
      </c>
      <c r="R90" s="14" cm="1">
        <f t="array" ref="R90">_xll.BDH("PCAR US Equity","CUR_RATIO","FQ2 2022","FQ2 2022","Currency=USD","Period=FQ","BEST_FPERIOD_OVERRIDE=FQ","FILING_STATUS=MR","Sort=A","Dates=H","DateFormat=P","Fill=—","Direction=H","UseDPDF=Y")</f>
        <v>1.1375999999999999</v>
      </c>
      <c r="S90" s="14" cm="1">
        <f t="array" ref="S90">_xll.BDH("PCAR US Equity","CUR_RATIO","FQ3 2022","FQ3 2022","Currency=USD","Period=FQ","BEST_FPERIOD_OVERRIDE=FQ","FILING_STATUS=MR","Sort=A","Dates=H","DateFormat=P","Fill=—","Direction=H","UseDPDF=Y")</f>
        <v>1.1792</v>
      </c>
      <c r="T90" s="14" cm="1">
        <f t="array" ref="T90">_xll.BDH("PCAR US Equity","CUR_RATIO","FQ4 2022","FQ4 2022","Currency=USD","Period=FQ","BEST_FPERIOD_OVERRIDE=FQ","FILING_STATUS=MR","Sort=A","Dates=H","DateFormat=P","Fill=—","Direction=H","UseDPDF=Y")</f>
        <v>1.1197999999999999</v>
      </c>
      <c r="U90" s="14" cm="1">
        <f t="array" ref="U90">_xll.BDH("PCAR US Equity","CUR_RATIO","FQ1 2023","FQ1 2023","Currency=USD","Period=FQ","BEST_FPERIOD_OVERRIDE=FQ","FILING_STATUS=MR","Sort=A","Dates=H","DateFormat=P","Fill=—","Direction=H","UseDPDF=Y")</f>
        <v>1.1584000000000001</v>
      </c>
      <c r="V90" s="14" cm="1">
        <f t="array" ref="V90">_xll.BDH("PCAR US Equity","CUR_RATIO","FQ2 2023","FQ2 2023","Currency=USD","Period=FQ","BEST_FPERIOD_OVERRIDE=FQ","FILING_STATUS=MR","Sort=A","Dates=H","DateFormat=P","Fill=—","Direction=H","UseDPDF=Y")</f>
        <v>1.1465000000000001</v>
      </c>
      <c r="W90" s="14" cm="1">
        <f t="array" ref="W90">_xll.BDH("PCAR US Equity","CUR_RATIO","FQ3 2023","FQ3 2023","Currency=USD","Period=FQ","BEST_FPERIOD_OVERRIDE=FQ","FILING_STATUS=MR","Sort=A","Dates=H","DateFormat=P","Fill=—","Direction=H","UseDPDF=Y")</f>
        <v>1.1725000000000001</v>
      </c>
      <c r="X90" s="14" cm="1">
        <f t="array" ref="X90">_xll.BDH("PCAR US Equity","CUR_RATIO","FQ4 2023","FQ4 2023","Currency=USD","Period=FQ","BEST_FPERIOD_OVERRIDE=FQ","FILING_STATUS=MR","Sort=A","Dates=H","DateFormat=P","Fill=—","Direction=H","UseDPDF=Y")</f>
        <v>1.0828</v>
      </c>
      <c r="Y90" s="14" cm="1">
        <f t="array" ref="Y90">_xll.BDH("PCAR US Equity","CUR_RATIO","FQ1 2024","FQ1 2024","Currency=USD","Period=FQ","BEST_FPERIOD_OVERRIDE=FQ","FILING_STATUS=MR","Sort=A","Dates=H","DateFormat=P","Fill=—","Direction=H","UseDPDF=Y")</f>
        <v>1.1878</v>
      </c>
      <c r="Z90" s="14" cm="1">
        <f t="array" ref="Z90">_xll.BDH("PCAR US Equity","CUR_RATIO","FQ2 2024","FQ2 2024","Currency=USD","Period=FQ","BEST_FPERIOD_OVERRIDE=FQ","FILING_STATUS=MR","Sort=A","Dates=H","DateFormat=P","Fill=—","Direction=H","UseDPDF=Y")</f>
        <v>1.2219</v>
      </c>
      <c r="AA90" s="14" cm="1">
        <f t="array" ref="AA90">_xll.BDH("PCAR US Equity","CUR_RATIO","FQ3 2024","FQ3 2024","Currency=USD","Period=FQ","BEST_FPERIOD_OVERRIDE=FQ","FILING_STATUS=MR","Sort=A","Dates=H","DateFormat=P","Fill=—","Direction=H","UseDPDF=Y")</f>
        <v>1.2502</v>
      </c>
      <c r="AB90" s="14" cm="1">
        <f t="array" ref="AB90">_xll.BDH("PCAR US Equity","CUR_RATIO","FQ4 2024","FQ4 2024","Currency=USD","Period=FQ","BEST_FPERIOD_OVERRIDE=FQ","FILING_STATUS=MR","Sort=A","Dates=H","DateFormat=P","Fill=—","Direction=H","UseDPDF=Y")</f>
        <v>1.1040000000000001</v>
      </c>
      <c r="AC90" s="14" cm="1">
        <f t="array" ref="AC90">_xll.BDH("PCAR US Equity","CUR_RATIO","FQ1 2025","FQ1 2025","Currency=USD","Period=FQ","BEST_FPERIOD_OVERRIDE=FQ","FILING_STATUS=MR","Sort=A","Dates=H","DateFormat=P","Fill=—","Direction=H","UseDPDF=Y")</f>
        <v>1.149</v>
      </c>
      <c r="AD90" s="14" cm="1">
        <f t="array" ref="AD90">_xll.BDH("PCAR US Equity","CUR_RATIO","FQ2 2025","FQ2 2025","Currency=USD","Period=FQ","BEST_FPERIOD_OVERRIDE=FQ","FILING_STATUS=MR","Sort=A","Dates=H","DateFormat=P","Fill=—","Direction=H","UseDPDF=Y")</f>
        <v>1.2366999999999999</v>
      </c>
      <c r="AE90" s="14" cm="1">
        <f t="array" ref="AE90">_xll.BDH("PCAR US Equity","CUR_RATIO","FQ3 2025","FQ3 2025","Currency=USD","Period=FQ","BEST_FPERIOD_OVERRIDE=FQ","FILING_STATUS=MR","Sort=A","Dates=H","DateFormat=P","Fill=—","Direction=H","UseDPDF=Y")</f>
        <v>1.3206</v>
      </c>
      <c r="AF90" s="14" cm="1">
        <f t="array" ref="AF90">_xll.BDH("PCAR US Equity","CUR_RATIO","FQ4 2025","FQ4 2025","Currency=USD","Period=FQ","BEST_FPERIOD_OVERRIDE=FQ","FILING_STATUS=MR","Sort=A","Dates=H","DateFormat=P","Fill=—","Direction=H","UseDPDF=Y")</f>
        <v>1.7010000000000001</v>
      </c>
    </row>
    <row r="91" spans="1:32" x14ac:dyDescent="0.25">
      <c r="A91" s="10" t="s">
        <v>223</v>
      </c>
      <c r="B91" s="10" t="s">
        <v>224</v>
      </c>
      <c r="C91" s="14" t="str" cm="1">
        <f t="array" ref="C91">_xll.BDH("PCAR US Equity","CASH_CONVERSION_CYCLE","FQ3 2018","FQ3 2018","Currency=USD","Period=FQ","BEST_FPERIOD_OVERRIDE=FQ","FILING_STATUS=MR","FA_ADJUSTED=GAAP","Sort=A","Dates=H","DateFormat=P","Fill=—","Direction=H","UseDPDF=Y")</f>
        <v>—</v>
      </c>
      <c r="D91" s="14" cm="1">
        <f t="array" ref="D91">_xll.BDH("PCAR US Equity","CASH_CONVERSION_CYCLE","FQ4 2018","FQ4 2018","Currency=USD","Period=FQ","BEST_FPERIOD_OVERRIDE=FQ","FILING_STATUS=MR","FA_ADJUSTED=GAAP","Sort=A","Dates=H","DateFormat=P","Fill=—","Direction=H","UseDPDF=Y")</f>
        <v>15.972300000000001</v>
      </c>
      <c r="E91" s="14" t="str" cm="1">
        <f t="array" ref="E91">_xll.BDH("PCAR US Equity","CASH_CONVERSION_CYCLE","FQ1 2019","FQ1 2019","Currency=USD","Period=FQ","BEST_FPERIOD_OVERRIDE=FQ","FILING_STATUS=MR","FA_ADJUSTED=GAAP","Sort=A","Dates=H","DateFormat=P","Fill=—","Direction=H","UseDPDF=Y")</f>
        <v>—</v>
      </c>
      <c r="F91" s="14" t="str" cm="1">
        <f t="array" ref="F91">_xll.BDH("PCAR US Equity","CASH_CONVERSION_CYCLE","FQ2 2019","FQ2 2019","Currency=USD","Period=FQ","BEST_FPERIOD_OVERRIDE=FQ","FILING_STATUS=MR","FA_ADJUSTED=GAAP","Sort=A","Dates=H","DateFormat=P","Fill=—","Direction=H","UseDPDF=Y")</f>
        <v>—</v>
      </c>
      <c r="G91" s="14" t="str" cm="1">
        <f t="array" ref="G91">_xll.BDH("PCAR US Equity","CASH_CONVERSION_CYCLE","FQ3 2019","FQ3 2019","Currency=USD","Period=FQ","BEST_FPERIOD_OVERRIDE=FQ","FILING_STATUS=MR","FA_ADJUSTED=GAAP","Sort=A","Dates=H","DateFormat=P","Fill=—","Direction=H","UseDPDF=Y")</f>
        <v>—</v>
      </c>
      <c r="H91" s="14" cm="1">
        <f t="array" ref="H91">_xll.BDH("PCAR US Equity","CASH_CONVERSION_CYCLE","FQ4 2019","FQ4 2019","Currency=USD","Period=FQ","BEST_FPERIOD_OVERRIDE=FQ","FILING_STATUS=MR","FA_ADJUSTED=GAAP","Sort=A","Dates=H","DateFormat=P","Fill=—","Direction=H","UseDPDF=Y")</f>
        <v>17.923200000000001</v>
      </c>
      <c r="I91" s="14" t="str" cm="1">
        <f t="array" ref="I91">_xll.BDH("PCAR US Equity","CASH_CONVERSION_CYCLE","FQ1 2020","FQ1 2020","Currency=USD","Period=FQ","BEST_FPERIOD_OVERRIDE=FQ","FILING_STATUS=MR","FA_ADJUSTED=GAAP","Sort=A","Dates=H","DateFormat=P","Fill=—","Direction=H","UseDPDF=Y")</f>
        <v>—</v>
      </c>
      <c r="J91" s="14" t="str" cm="1">
        <f t="array" ref="J91">_xll.BDH("PCAR US Equity","CASH_CONVERSION_CYCLE","FQ2 2020","FQ2 2020","Currency=USD","Period=FQ","BEST_FPERIOD_OVERRIDE=FQ","FILING_STATUS=MR","FA_ADJUSTED=GAAP","Sort=A","Dates=H","DateFormat=P","Fill=—","Direction=H","UseDPDF=Y")</f>
        <v>—</v>
      </c>
      <c r="K91" s="14" t="str" cm="1">
        <f t="array" ref="K91">_xll.BDH("PCAR US Equity","CASH_CONVERSION_CYCLE","FQ3 2020","FQ3 2020","Currency=USD","Period=FQ","BEST_FPERIOD_OVERRIDE=FQ","FILING_STATUS=MR","FA_ADJUSTED=GAAP","Sort=A","Dates=H","DateFormat=P","Fill=—","Direction=H","UseDPDF=Y")</f>
        <v>—</v>
      </c>
      <c r="L91" s="14" cm="1">
        <f t="array" ref="L91">_xll.BDH("PCAR US Equity","CASH_CONVERSION_CYCLE","FQ4 2020","FQ4 2020","Currency=USD","Period=FQ","BEST_FPERIOD_OVERRIDE=FQ","FILING_STATUS=MR","FA_ADJUSTED=GAAP","Sort=A","Dates=H","DateFormat=P","Fill=—","Direction=H","UseDPDF=Y")</f>
        <v>25.583400000000001</v>
      </c>
      <c r="M91" s="14" t="str" cm="1">
        <f t="array" ref="M91">_xll.BDH("PCAR US Equity","CASH_CONVERSION_CYCLE","FQ1 2021","FQ1 2021","Currency=USD","Period=FQ","BEST_FPERIOD_OVERRIDE=FQ","FILING_STATUS=MR","FA_ADJUSTED=GAAP","Sort=A","Dates=H","DateFormat=P","Fill=—","Direction=H","UseDPDF=Y")</f>
        <v>—</v>
      </c>
      <c r="N91" s="14" t="str" cm="1">
        <f t="array" ref="N91">_xll.BDH("PCAR US Equity","CASH_CONVERSION_CYCLE","FQ2 2021","FQ2 2021","Currency=USD","Period=FQ","BEST_FPERIOD_OVERRIDE=FQ","FILING_STATUS=MR","FA_ADJUSTED=GAAP","Sort=A","Dates=H","DateFormat=P","Fill=—","Direction=H","UseDPDF=Y")</f>
        <v>—</v>
      </c>
      <c r="O91" s="14" t="str" cm="1">
        <f t="array" ref="O91">_xll.BDH("PCAR US Equity","CASH_CONVERSION_CYCLE","FQ3 2021","FQ3 2021","Currency=USD","Period=FQ","BEST_FPERIOD_OVERRIDE=FQ","FILING_STATUS=MR","FA_ADJUSTED=GAAP","Sort=A","Dates=H","DateFormat=P","Fill=—","Direction=H","UseDPDF=Y")</f>
        <v>—</v>
      </c>
      <c r="P91" s="14" cm="1">
        <f t="array" ref="P91">_xll.BDH("PCAR US Equity","CASH_CONVERSION_CYCLE","FQ4 2021","FQ4 2021","Currency=USD","Period=FQ","BEST_FPERIOD_OVERRIDE=FQ","FILING_STATUS=MR","FA_ADJUSTED=GAAP","Sort=A","Dates=H","DateFormat=P","Fill=—","Direction=H","UseDPDF=Y")</f>
        <v>28.3123</v>
      </c>
      <c r="Q91" s="14" t="str" cm="1">
        <f t="array" ref="Q91">_xll.BDH("PCAR US Equity","CASH_CONVERSION_CYCLE","FQ1 2022","FQ1 2022","Currency=USD","Period=FQ","BEST_FPERIOD_OVERRIDE=FQ","FILING_STATUS=MR","FA_ADJUSTED=GAAP","Sort=A","Dates=H","DateFormat=P","Fill=—","Direction=H","UseDPDF=Y")</f>
        <v>—</v>
      </c>
      <c r="R91" s="14" t="str" cm="1">
        <f t="array" ref="R91">_xll.BDH("PCAR US Equity","CASH_CONVERSION_CYCLE","FQ2 2022","FQ2 2022","Currency=USD","Period=FQ","BEST_FPERIOD_OVERRIDE=FQ","FILING_STATUS=MR","FA_ADJUSTED=GAAP","Sort=A","Dates=H","DateFormat=P","Fill=—","Direction=H","UseDPDF=Y")</f>
        <v>—</v>
      </c>
      <c r="S91" s="14" t="str" cm="1">
        <f t="array" ref="S91">_xll.BDH("PCAR US Equity","CASH_CONVERSION_CYCLE","FQ3 2022","FQ3 2022","Currency=USD","Period=FQ","BEST_FPERIOD_OVERRIDE=FQ","FILING_STATUS=MR","FA_ADJUSTED=GAAP","Sort=A","Dates=H","DateFormat=P","Fill=—","Direction=H","UseDPDF=Y")</f>
        <v>—</v>
      </c>
      <c r="T91" s="14" cm="1">
        <f t="array" ref="T91">_xll.BDH("PCAR US Equity","CASH_CONVERSION_CYCLE","FQ4 2022","FQ4 2022","Currency=USD","Period=FQ","BEST_FPERIOD_OVERRIDE=FQ","FILING_STATUS=MR","FA_ADJUSTED=GAAP","Sort=A","Dates=H","DateFormat=P","Fill=—","Direction=H","UseDPDF=Y")</f>
        <v>30.9682</v>
      </c>
      <c r="U91" s="14" t="str" cm="1">
        <f t="array" ref="U91">_xll.BDH("PCAR US Equity","CASH_CONVERSION_CYCLE","FQ1 2023","FQ1 2023","Currency=USD","Period=FQ","BEST_FPERIOD_OVERRIDE=FQ","FILING_STATUS=MR","FA_ADJUSTED=GAAP","Sort=A","Dates=H","DateFormat=P","Fill=—","Direction=H","UseDPDF=Y")</f>
        <v>—</v>
      </c>
      <c r="V91" s="14" t="str" cm="1">
        <f t="array" ref="V91">_xll.BDH("PCAR US Equity","CASH_CONVERSION_CYCLE","FQ2 2023","FQ2 2023","Currency=USD","Period=FQ","BEST_FPERIOD_OVERRIDE=FQ","FILING_STATUS=MR","FA_ADJUSTED=GAAP","Sort=A","Dates=H","DateFormat=P","Fill=—","Direction=H","UseDPDF=Y")</f>
        <v>—</v>
      </c>
      <c r="W91" s="14" t="str" cm="1">
        <f t="array" ref="W91">_xll.BDH("PCAR US Equity","CASH_CONVERSION_CYCLE","FQ3 2023","FQ3 2023","Currency=USD","Period=FQ","BEST_FPERIOD_OVERRIDE=FQ","FILING_STATUS=MR","FA_ADJUSTED=GAAP","Sort=A","Dates=H","DateFormat=P","Fill=—","Direction=H","UseDPDF=Y")</f>
        <v>—</v>
      </c>
      <c r="X91" s="14" cm="1">
        <f t="array" ref="X91">_xll.BDH("PCAR US Equity","CASH_CONVERSION_CYCLE","FQ4 2023","FQ4 2023","Currency=USD","Period=FQ","BEST_FPERIOD_OVERRIDE=FQ","FILING_STATUS=MR","FA_ADJUSTED=GAAP","Sort=A","Dates=H","DateFormat=P","Fill=—","Direction=H","UseDPDF=Y")</f>
        <v>31.247199999999999</v>
      </c>
      <c r="Y91" s="14" t="str" cm="1">
        <f t="array" ref="Y91">_xll.BDH("PCAR US Equity","CASH_CONVERSION_CYCLE","FQ1 2024","FQ1 2024","Currency=USD","Period=FQ","BEST_FPERIOD_OVERRIDE=FQ","FILING_STATUS=MR","FA_ADJUSTED=GAAP","Sort=A","Dates=H","DateFormat=P","Fill=—","Direction=H","UseDPDF=Y")</f>
        <v>—</v>
      </c>
      <c r="Z91" s="14" t="str" cm="1">
        <f t="array" ref="Z91">_xll.BDH("PCAR US Equity","CASH_CONVERSION_CYCLE","FQ2 2024","FQ2 2024","Currency=USD","Period=FQ","BEST_FPERIOD_OVERRIDE=FQ","FILING_STATUS=MR","FA_ADJUSTED=GAAP","Sort=A","Dates=H","DateFormat=P","Fill=—","Direction=H","UseDPDF=Y")</f>
        <v>—</v>
      </c>
      <c r="AA91" s="14" t="str" cm="1">
        <f t="array" ref="AA91">_xll.BDH("PCAR US Equity","CASH_CONVERSION_CYCLE","FQ3 2024","FQ3 2024","Currency=USD","Period=FQ","BEST_FPERIOD_OVERRIDE=FQ","FILING_STATUS=MR","FA_ADJUSTED=GAAP","Sort=A","Dates=H","DateFormat=P","Fill=—","Direction=H","UseDPDF=Y")</f>
        <v>—</v>
      </c>
      <c r="AB91" s="14" cm="1">
        <f t="array" ref="AB91">_xll.BDH("PCAR US Equity","CASH_CONVERSION_CYCLE","FQ4 2024","FQ4 2024","Currency=USD","Period=FQ","BEST_FPERIOD_OVERRIDE=FQ","FILING_STATUS=MR","FA_ADJUSTED=GAAP","Sort=A","Dates=H","DateFormat=P","Fill=—","Direction=H","UseDPDF=Y")</f>
        <v>33.670900000000003</v>
      </c>
      <c r="AC91" s="14" t="str" cm="1">
        <f t="array" ref="AC91">_xll.BDH("PCAR US Equity","CASH_CONVERSION_CYCLE","FQ1 2025","FQ1 2025","Currency=USD","Period=FQ","BEST_FPERIOD_OVERRIDE=FQ","FILING_STATUS=MR","FA_ADJUSTED=GAAP","Sort=A","Dates=H","DateFormat=P","Fill=—","Direction=H","UseDPDF=Y")</f>
        <v>—</v>
      </c>
      <c r="AD91" s="14" t="str" cm="1">
        <f t="array" ref="AD91">_xll.BDH("PCAR US Equity","CASH_CONVERSION_CYCLE","FQ2 2025","FQ2 2025","Currency=USD","Period=FQ","BEST_FPERIOD_OVERRIDE=FQ","FILING_STATUS=MR","FA_ADJUSTED=GAAP","Sort=A","Dates=H","DateFormat=P","Fill=—","Direction=H","UseDPDF=Y")</f>
        <v>—</v>
      </c>
      <c r="AE91" s="14" t="str" cm="1">
        <f t="array" ref="AE91">_xll.BDH("PCAR US Equity","CASH_CONVERSION_CYCLE","FQ3 2025","FQ3 2025","Currency=USD","Period=FQ","BEST_FPERIOD_OVERRIDE=FQ","FILING_STATUS=MR","FA_ADJUSTED=GAAP","Sort=A","Dates=H","DateFormat=P","Fill=—","Direction=H","UseDPDF=Y")</f>
        <v>—</v>
      </c>
      <c r="AF91" s="14" t="str" cm="1">
        <f t="array" ref="AF91">_xll.BDH("PCAR US Equity","CASH_CONVERSION_CYCLE","FQ4 2025","FQ4 2025","Currency=USD","Period=FQ","BEST_FPERIOD_OVERRIDE=FQ","FILING_STATUS=MR","FA_ADJUSTED=GAAP","Sort=A","Dates=H","DateFormat=P","Fill=—","Direction=H","UseDPDF=Y")</f>
        <v>—</v>
      </c>
    </row>
    <row r="92" spans="1:32" x14ac:dyDescent="0.25">
      <c r="A92" s="10" t="s">
        <v>225</v>
      </c>
      <c r="B92" s="10" t="s">
        <v>226</v>
      </c>
      <c r="C92" s="14" cm="1">
        <f t="array" ref="C92">_xll.BDH("PCAR US Equity","NUM_OF_EMPLOYEES","FQ3 2018","FQ3 2018","Currency=USD","Period=FQ","BEST_FPERIOD_OVERRIDE=FQ","FILING_STATUS=MR","Sort=A","Dates=H","DateFormat=P","Fill=—","Direction=H","UseDPDF=Y")</f>
        <v>28000</v>
      </c>
      <c r="D92" s="14" cm="1">
        <f t="array" ref="D92">_xll.BDH("PCAR US Equity","NUM_OF_EMPLOYEES","FQ4 2018","FQ4 2018","Currency=USD","Period=FQ","BEST_FPERIOD_OVERRIDE=FQ","FILING_STATUS=MR","Sort=A","Dates=H","DateFormat=P","Fill=—","Direction=H","UseDPDF=Y")</f>
        <v>28000</v>
      </c>
      <c r="E92" s="14" t="str" cm="1">
        <f t="array" ref="E92">_xll.BDH("PCAR US Equity","NUM_OF_EMPLOYEES","FQ1 2019","FQ1 2019","Currency=USD","Period=FQ","BEST_FPERIOD_OVERRIDE=FQ","FILING_STATUS=MR","Sort=A","Dates=H","DateFormat=P","Fill=—","Direction=H","UseDPDF=Y")</f>
        <v>—</v>
      </c>
      <c r="F92" s="14" t="str" cm="1">
        <f t="array" ref="F92">_xll.BDH("PCAR US Equity","NUM_OF_EMPLOYEES","FQ2 2019","FQ2 2019","Currency=USD","Period=FQ","BEST_FPERIOD_OVERRIDE=FQ","FILING_STATUS=MR","Sort=A","Dates=H","DateFormat=P","Fill=—","Direction=H","UseDPDF=Y")</f>
        <v>—</v>
      </c>
      <c r="G92" s="14" t="str" cm="1">
        <f t="array" ref="G92">_xll.BDH("PCAR US Equity","NUM_OF_EMPLOYEES","FQ3 2019","FQ3 2019","Currency=USD","Period=FQ","BEST_FPERIOD_OVERRIDE=FQ","FILING_STATUS=MR","Sort=A","Dates=H","DateFormat=P","Fill=—","Direction=H","UseDPDF=Y")</f>
        <v>—</v>
      </c>
      <c r="H92" s="14" cm="1">
        <f t="array" ref="H92">_xll.BDH("PCAR US Equity","NUM_OF_EMPLOYEES","FQ4 2019","FQ4 2019","Currency=USD","Period=FQ","BEST_FPERIOD_OVERRIDE=FQ","FILING_STATUS=MR","Sort=A","Dates=H","DateFormat=P","Fill=—","Direction=H","UseDPDF=Y")</f>
        <v>27000</v>
      </c>
      <c r="I92" s="14" t="str" cm="1">
        <f t="array" ref="I92">_xll.BDH("PCAR US Equity","NUM_OF_EMPLOYEES","FQ1 2020","FQ1 2020","Currency=USD","Period=FQ","BEST_FPERIOD_OVERRIDE=FQ","FILING_STATUS=MR","Sort=A","Dates=H","DateFormat=P","Fill=—","Direction=H","UseDPDF=Y")</f>
        <v>—</v>
      </c>
      <c r="J92" s="14" t="str" cm="1">
        <f t="array" ref="J92">_xll.BDH("PCAR US Equity","NUM_OF_EMPLOYEES","FQ2 2020","FQ2 2020","Currency=USD","Period=FQ","BEST_FPERIOD_OVERRIDE=FQ","FILING_STATUS=MR","Sort=A","Dates=H","DateFormat=P","Fill=—","Direction=H","UseDPDF=Y")</f>
        <v>—</v>
      </c>
      <c r="K92" s="14" t="str" cm="1">
        <f t="array" ref="K92">_xll.BDH("PCAR US Equity","NUM_OF_EMPLOYEES","FQ3 2020","FQ3 2020","Currency=USD","Period=FQ","BEST_FPERIOD_OVERRIDE=FQ","FILING_STATUS=MR","Sort=A","Dates=H","DateFormat=P","Fill=—","Direction=H","UseDPDF=Y")</f>
        <v>—</v>
      </c>
      <c r="L92" s="14" cm="1">
        <f t="array" ref="L92">_xll.BDH("PCAR US Equity","NUM_OF_EMPLOYEES","FQ4 2020","FQ4 2020","Currency=USD","Period=FQ","BEST_FPERIOD_OVERRIDE=FQ","FILING_STATUS=MR","Sort=A","Dates=H","DateFormat=P","Fill=—","Direction=H","UseDPDF=Y")</f>
        <v>26000</v>
      </c>
      <c r="M92" s="14" t="str" cm="1">
        <f t="array" ref="M92">_xll.BDH("PCAR US Equity","NUM_OF_EMPLOYEES","FQ1 2021","FQ1 2021","Currency=USD","Period=FQ","BEST_FPERIOD_OVERRIDE=FQ","FILING_STATUS=MR","Sort=A","Dates=H","DateFormat=P","Fill=—","Direction=H","UseDPDF=Y")</f>
        <v>—</v>
      </c>
      <c r="N92" s="14" t="str" cm="1">
        <f t="array" ref="N92">_xll.BDH("PCAR US Equity","NUM_OF_EMPLOYEES","FQ2 2021","FQ2 2021","Currency=USD","Period=FQ","BEST_FPERIOD_OVERRIDE=FQ","FILING_STATUS=MR","Sort=A","Dates=H","DateFormat=P","Fill=—","Direction=H","UseDPDF=Y")</f>
        <v>—</v>
      </c>
      <c r="O92" s="14" t="str" cm="1">
        <f t="array" ref="O92">_xll.BDH("PCAR US Equity","NUM_OF_EMPLOYEES","FQ3 2021","FQ3 2021","Currency=USD","Period=FQ","BEST_FPERIOD_OVERRIDE=FQ","FILING_STATUS=MR","Sort=A","Dates=H","DateFormat=P","Fill=—","Direction=H","UseDPDF=Y")</f>
        <v>—</v>
      </c>
      <c r="P92" s="14" cm="1">
        <f t="array" ref="P92">_xll.BDH("PCAR US Equity","NUM_OF_EMPLOYEES","FQ4 2021","FQ4 2021","Currency=USD","Period=FQ","BEST_FPERIOD_OVERRIDE=FQ","FILING_STATUS=MR","Sort=A","Dates=H","DateFormat=P","Fill=—","Direction=H","UseDPDF=Y")</f>
        <v>28500</v>
      </c>
      <c r="Q92" s="14" t="str" cm="1">
        <f t="array" ref="Q92">_xll.BDH("PCAR US Equity","NUM_OF_EMPLOYEES","FQ1 2022","FQ1 2022","Currency=USD","Period=FQ","BEST_FPERIOD_OVERRIDE=FQ","FILING_STATUS=MR","Sort=A","Dates=H","DateFormat=P","Fill=—","Direction=H","UseDPDF=Y")</f>
        <v>—</v>
      </c>
      <c r="R92" s="14" t="str" cm="1">
        <f t="array" ref="R92">_xll.BDH("PCAR US Equity","NUM_OF_EMPLOYEES","FQ2 2022","FQ2 2022","Currency=USD","Period=FQ","BEST_FPERIOD_OVERRIDE=FQ","FILING_STATUS=MR","Sort=A","Dates=H","DateFormat=P","Fill=—","Direction=H","UseDPDF=Y")</f>
        <v>—</v>
      </c>
      <c r="S92" s="14" t="str" cm="1">
        <f t="array" ref="S92">_xll.BDH("PCAR US Equity","NUM_OF_EMPLOYEES","FQ3 2022","FQ3 2022","Currency=USD","Period=FQ","BEST_FPERIOD_OVERRIDE=FQ","FILING_STATUS=MR","Sort=A","Dates=H","DateFormat=P","Fill=—","Direction=H","UseDPDF=Y")</f>
        <v>—</v>
      </c>
      <c r="T92" s="14" cm="1">
        <f t="array" ref="T92">_xll.BDH("PCAR US Equity","NUM_OF_EMPLOYEES","FQ4 2022","FQ4 2022","Currency=USD","Period=FQ","BEST_FPERIOD_OVERRIDE=FQ","FILING_STATUS=MR","Sort=A","Dates=H","DateFormat=P","Fill=—","Direction=H","UseDPDF=Y")</f>
        <v>31100</v>
      </c>
      <c r="U92" s="14" t="str" cm="1">
        <f t="array" ref="U92">_xll.BDH("PCAR US Equity","NUM_OF_EMPLOYEES","FQ1 2023","FQ1 2023","Currency=USD","Period=FQ","BEST_FPERIOD_OVERRIDE=FQ","FILING_STATUS=MR","Sort=A","Dates=H","DateFormat=P","Fill=—","Direction=H","UseDPDF=Y")</f>
        <v>—</v>
      </c>
      <c r="V92" s="14" t="str" cm="1">
        <f t="array" ref="V92">_xll.BDH("PCAR US Equity","NUM_OF_EMPLOYEES","FQ2 2023","FQ2 2023","Currency=USD","Period=FQ","BEST_FPERIOD_OVERRIDE=FQ","FILING_STATUS=MR","Sort=A","Dates=H","DateFormat=P","Fill=—","Direction=H","UseDPDF=Y")</f>
        <v>—</v>
      </c>
      <c r="W92" s="14" t="str" cm="1">
        <f t="array" ref="W92">_xll.BDH("PCAR US Equity","NUM_OF_EMPLOYEES","FQ3 2023","FQ3 2023","Currency=USD","Period=FQ","BEST_FPERIOD_OVERRIDE=FQ","FILING_STATUS=MR","Sort=A","Dates=H","DateFormat=P","Fill=—","Direction=H","UseDPDF=Y")</f>
        <v>—</v>
      </c>
      <c r="X92" s="14" cm="1">
        <f t="array" ref="X92">_xll.BDH("PCAR US Equity","NUM_OF_EMPLOYEES","FQ4 2023","FQ4 2023","Currency=USD","Period=FQ","BEST_FPERIOD_OVERRIDE=FQ","FILING_STATUS=MR","Sort=A","Dates=H","DateFormat=P","Fill=—","Direction=H","UseDPDF=Y")</f>
        <v>32400</v>
      </c>
      <c r="Y92" s="14" t="str" cm="1">
        <f t="array" ref="Y92">_xll.BDH("PCAR US Equity","NUM_OF_EMPLOYEES","FQ1 2024","FQ1 2024","Currency=USD","Period=FQ","BEST_FPERIOD_OVERRIDE=FQ","FILING_STATUS=MR","Sort=A","Dates=H","DateFormat=P","Fill=—","Direction=H","UseDPDF=Y")</f>
        <v>—</v>
      </c>
      <c r="Z92" s="14" t="str" cm="1">
        <f t="array" ref="Z92">_xll.BDH("PCAR US Equity","NUM_OF_EMPLOYEES","FQ2 2024","FQ2 2024","Currency=USD","Period=FQ","BEST_FPERIOD_OVERRIDE=FQ","FILING_STATUS=MR","Sort=A","Dates=H","DateFormat=P","Fill=—","Direction=H","UseDPDF=Y")</f>
        <v>—</v>
      </c>
      <c r="AA92" s="14" t="str" cm="1">
        <f t="array" ref="AA92">_xll.BDH("PCAR US Equity","NUM_OF_EMPLOYEES","FQ3 2024","FQ3 2024","Currency=USD","Period=FQ","BEST_FPERIOD_OVERRIDE=FQ","FILING_STATUS=MR","Sort=A","Dates=H","DateFormat=P","Fill=—","Direction=H","UseDPDF=Y")</f>
        <v>—</v>
      </c>
      <c r="AB92" s="14" cm="1">
        <f t="array" ref="AB92">_xll.BDH("PCAR US Equity","NUM_OF_EMPLOYEES","FQ4 2024","FQ4 2024","Currency=USD","Period=FQ","BEST_FPERIOD_OVERRIDE=FQ","FILING_STATUS=MR","Sort=A","Dates=H","DateFormat=P","Fill=—","Direction=H","UseDPDF=Y")</f>
        <v>30100</v>
      </c>
      <c r="AC92" s="14" t="str" cm="1">
        <f t="array" ref="AC92">_xll.BDH("PCAR US Equity","NUM_OF_EMPLOYEES","FQ1 2025","FQ1 2025","Currency=USD","Period=FQ","BEST_FPERIOD_OVERRIDE=FQ","FILING_STATUS=MR","Sort=A","Dates=H","DateFormat=P","Fill=—","Direction=H","UseDPDF=Y")</f>
        <v>—</v>
      </c>
      <c r="AD92" s="14" t="str" cm="1">
        <f t="array" ref="AD92">_xll.BDH("PCAR US Equity","NUM_OF_EMPLOYEES","FQ2 2025","FQ2 2025","Currency=USD","Period=FQ","BEST_FPERIOD_OVERRIDE=FQ","FILING_STATUS=MR","Sort=A","Dates=H","DateFormat=P","Fill=—","Direction=H","UseDPDF=Y")</f>
        <v>—</v>
      </c>
      <c r="AE92" s="14" t="str" cm="1">
        <f t="array" ref="AE92">_xll.BDH("PCAR US Equity","NUM_OF_EMPLOYEES","FQ3 2025","FQ3 2025","Currency=USD","Period=FQ","BEST_FPERIOD_OVERRIDE=FQ","FILING_STATUS=MR","Sort=A","Dates=H","DateFormat=P","Fill=—","Direction=H","UseDPDF=Y")</f>
        <v>—</v>
      </c>
      <c r="AF92" s="14" t="str" cm="1">
        <f t="array" ref="AF92">_xll.BDH("PCAR US Equity","NUM_OF_EMPLOYEES","FQ4 2025","FQ4 2025","Currency=USD","Period=FQ","BEST_FPERIOD_OVERRIDE=FQ","FILING_STATUS=MR","Sort=A","Dates=H","DateFormat=P","Fill=—","Direction=H","UseDPDF=Y")</f>
        <v>—</v>
      </c>
    </row>
    <row r="93" spans="1:32" x14ac:dyDescent="0.25">
      <c r="A93" s="7" t="s">
        <v>227</v>
      </c>
      <c r="B93" s="7"/>
      <c r="C93" s="7" t="s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2026-02-19T01:59:18Z</dcterms:modified>
</cp:coreProperties>
</file>