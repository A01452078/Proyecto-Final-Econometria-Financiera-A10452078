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03518131\Desktop\Bloomberg\Mariann\FA Excel\"/>
    </mc:Choice>
  </mc:AlternateContent>
  <xr:revisionPtr revIDLastSave="0" documentId="8_{12A3D860-3E47-4D4A-9430-648FF6C64E7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ash Flow - Standardized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C26" i="2" l="1" a="1"/>
  <c r="AC38" i="2" a="1"/>
  <c r="AC24" i="2" a="1"/>
  <c r="AC46" i="2" a="1"/>
  <c r="K19" i="2" a="1"/>
  <c r="W49" i="2" a="1"/>
  <c r="AC30" i="2" a="1"/>
  <c r="Q42" i="2" a="1"/>
  <c r="Y9" i="2" a="1"/>
  <c r="O7" i="2" a="1"/>
  <c r="Q12" i="2" a="1"/>
  <c r="Q46" i="2" a="1"/>
  <c r="Q61" i="2" a="1"/>
  <c r="I7" i="2" a="1"/>
  <c r="I11" i="2" a="1"/>
  <c r="I45" i="2" a="1"/>
  <c r="I43" i="2" a="1"/>
  <c r="D9" i="2" a="1"/>
  <c r="E10" i="2" a="1"/>
  <c r="E34" i="2" a="1"/>
  <c r="E36" i="2" a="1"/>
  <c r="E32" i="2" a="1"/>
  <c r="O48" i="2" a="1"/>
  <c r="O30" i="2" a="1"/>
  <c r="O8" i="2" a="1"/>
  <c r="O42" i="2" a="1"/>
  <c r="AA8" i="2" a="1"/>
  <c r="Q34" i="2" a="1"/>
  <c r="Q8" i="2" a="1"/>
  <c r="Q36" i="2" a="1"/>
  <c r="Q18" i="2" a="1"/>
  <c r="I8" i="2" a="1"/>
  <c r="E22" i="2" a="1"/>
  <c r="E28" i="2" a="1"/>
  <c r="O16" i="2" a="1"/>
  <c r="AC53" i="2" a="1"/>
  <c r="Q38" i="2" a="1"/>
  <c r="I27" i="2" a="1"/>
  <c r="E48" i="2" a="1"/>
  <c r="G53" i="2" a="1"/>
  <c r="Q48" i="2" a="1"/>
  <c r="O34" i="2" a="1"/>
  <c r="AE16" i="2" a="1"/>
  <c r="I31" i="2" a="1"/>
  <c r="S42" i="2" a="1"/>
  <c r="E46" i="2" a="1"/>
  <c r="AC22" i="2" a="1"/>
  <c r="AC34" i="2" a="1"/>
  <c r="AC65" i="2" a="1"/>
  <c r="AC28" i="2" a="1"/>
  <c r="AC32" i="2" a="1"/>
  <c r="E38" i="2" a="1"/>
  <c r="G38" i="2" a="1"/>
  <c r="S14" i="2" a="1"/>
  <c r="I9" i="2" a="1"/>
  <c r="E63" i="2" a="1"/>
  <c r="AA11" i="2" a="1"/>
  <c r="D8" i="2" a="1"/>
  <c r="E26" i="2" a="1"/>
  <c r="O32" i="2" a="1"/>
  <c r="I41" i="2" a="1"/>
  <c r="Q24" i="2" a="1"/>
  <c r="I15" i="2" a="1"/>
  <c r="E18" i="2" a="1"/>
  <c r="AC18" i="2" a="1"/>
  <c r="G26" i="2" a="1"/>
  <c r="I35" i="2" a="1"/>
  <c r="O10" i="2" a="1"/>
  <c r="S28" i="2" a="1"/>
  <c r="Q26" i="2" a="1"/>
  <c r="E14" i="2" a="1"/>
  <c r="AC10" i="2" a="1"/>
  <c r="E53" i="2" a="1"/>
  <c r="O53" i="2" a="1"/>
  <c r="AC12" i="2" a="1"/>
  <c r="I13" i="2" a="1"/>
  <c r="O14" i="2" a="1"/>
  <c r="AC36" i="2" a="1"/>
  <c r="AC14" i="2" a="1"/>
  <c r="AC7" i="2" a="1"/>
  <c r="K33" i="2" a="1"/>
  <c r="W23" i="2" a="1"/>
  <c r="AC44" i="2" a="1"/>
  <c r="Q28" i="2" a="1"/>
  <c r="Y23" i="2" a="1"/>
  <c r="O11" i="2" a="1"/>
  <c r="Q32" i="2" a="1"/>
  <c r="Q63" i="2" a="1"/>
  <c r="Q7" i="2" a="1"/>
  <c r="Q53" i="2" a="1"/>
  <c r="I51" i="2" a="1"/>
  <c r="I12" i="2" a="1"/>
  <c r="I33" i="2" a="1"/>
  <c r="I29" i="2" a="1"/>
  <c r="M33" i="2" a="1"/>
  <c r="E24" i="2" a="1"/>
  <c r="E50" i="2" a="1"/>
  <c r="E44" i="2" a="1"/>
  <c r="O50" i="2" a="1"/>
  <c r="O26" i="2" a="1"/>
  <c r="O44" i="2" a="1"/>
  <c r="O24" i="2" a="1"/>
  <c r="D7" i="2" a="1"/>
  <c r="O36" i="2" a="1"/>
  <c r="O18" i="2" a="1"/>
  <c r="AC63" i="2" a="1"/>
  <c r="Q50" i="2" a="1"/>
  <c r="Q22" i="2" a="1"/>
  <c r="E9" i="2" a="1"/>
  <c r="AA7" i="2" a="1"/>
  <c r="Q16" i="2" a="1"/>
  <c r="M19" i="2" a="1"/>
  <c r="AE12" i="2" a="1"/>
  <c r="O46" i="2" a="1"/>
  <c r="AE30" i="2" a="1"/>
  <c r="I37" i="2" a="1"/>
  <c r="E7" i="2" a="1"/>
  <c r="AC42" i="2" a="1"/>
  <c r="AC48" i="2" a="1"/>
  <c r="AC8" i="2" a="1"/>
  <c r="K11" i="2" a="1"/>
  <c r="W35" i="2" a="1"/>
  <c r="AC61" i="2" a="1"/>
  <c r="Q14" i="2" a="1"/>
  <c r="Y35" i="2" a="1"/>
  <c r="O13" i="2" a="1"/>
  <c r="Q44" i="2" a="1"/>
  <c r="Q30" i="2" a="1"/>
  <c r="Q10" i="2" a="1"/>
  <c r="I10" i="2" a="1"/>
  <c r="I17" i="2" a="1"/>
  <c r="I14" i="2" a="1"/>
  <c r="I47" i="2" a="1"/>
  <c r="I25" i="2" a="1"/>
  <c r="M11" i="2" a="1"/>
  <c r="E16" i="2" a="1"/>
  <c r="E12" i="2" a="1"/>
  <c r="E8" i="2" a="1"/>
  <c r="O28" i="2" a="1"/>
  <c r="O38" i="2" a="1"/>
  <c r="O12" i="2" a="1"/>
  <c r="O22" i="2" a="1"/>
  <c r="I23" i="2" a="1"/>
  <c r="E65" i="2" a="1"/>
  <c r="O9" i="2" a="1"/>
  <c r="AC16" i="2" a="1"/>
  <c r="Q65" i="2" a="1"/>
  <c r="I49" i="2" a="1"/>
  <c r="E30" i="2" a="1"/>
  <c r="AC50" i="2" a="1"/>
  <c r="I19" i="2" a="1"/>
  <c r="E42" i="2" a="1"/>
  <c r="AE50" i="2" a="1"/>
  <c r="AE14" i="2" a="1"/>
  <c r="AE10" i="2" a="1"/>
  <c r="AE53" i="2" a="1"/>
  <c r="J8" i="2" a="1"/>
  <c r="G36" i="2" a="1"/>
  <c r="G12" i="2" a="1"/>
  <c r="G24" i="2" a="1"/>
  <c r="W60" i="2" a="1"/>
  <c r="AA26" i="2" a="1"/>
  <c r="AA16" i="2" a="1"/>
  <c r="AA36" i="2" a="1"/>
  <c r="AA22" i="2" a="1"/>
  <c r="F9" i="2" a="1"/>
  <c r="S26" i="2" a="1"/>
  <c r="S63" i="2" a="1"/>
  <c r="S53" i="2" a="1"/>
  <c r="S22" i="2" a="1"/>
  <c r="C30" i="2" a="1"/>
  <c r="C14" i="2" a="1"/>
  <c r="C34" i="2" a="1"/>
  <c r="P26" i="2" a="1"/>
  <c r="P16" i="2" a="1"/>
  <c r="P36" i="2" a="1"/>
  <c r="P46" i="2" a="1"/>
  <c r="U8" i="2" a="1"/>
  <c r="U31" i="2" a="1"/>
  <c r="U41" i="2" a="1"/>
  <c r="U43" i="2" a="1"/>
  <c r="U35" i="2" a="1"/>
  <c r="AB44" i="2" a="1"/>
  <c r="AB34" i="2" a="1"/>
  <c r="AB63" i="2" a="1"/>
  <c r="AB65" i="2" a="1"/>
  <c r="AD8" i="2" a="1"/>
  <c r="D46" i="2" a="1"/>
  <c r="D48" i="2" a="1"/>
  <c r="D18" i="2" a="1"/>
  <c r="D28" i="2" a="1"/>
  <c r="I68" i="2" a="1"/>
  <c r="R28" i="2" a="1"/>
  <c r="R61" i="2" a="1"/>
  <c r="R46" i="2" a="1"/>
  <c r="U60" i="2" a="1"/>
  <c r="AD22" i="2" a="1"/>
  <c r="AD36" i="2" a="1"/>
  <c r="AD32" i="2" a="1"/>
  <c r="P10" i="2" a="1"/>
  <c r="V60" i="2" a="1"/>
  <c r="F30" i="2" a="1"/>
  <c r="F38" i="2" a="1"/>
  <c r="F34" i="2" a="1"/>
  <c r="F36" i="2" a="1"/>
  <c r="X9" i="2" a="1"/>
  <c r="H18" i="2" a="1"/>
  <c r="H50" i="2" a="1"/>
  <c r="N9" i="2" a="1"/>
  <c r="AB24" i="2" a="1"/>
  <c r="D12" i="2" a="1"/>
  <c r="AD30" i="2" a="1"/>
  <c r="P7" i="2" a="1"/>
  <c r="F44" i="2" a="1"/>
  <c r="H22" i="2" a="1"/>
  <c r="N8" i="2" a="1"/>
  <c r="G10" i="2" a="1"/>
  <c r="AA24" i="2" a="1"/>
  <c r="S32" i="2" a="1"/>
  <c r="C26" i="2" a="1"/>
  <c r="P65" i="2" a="1"/>
  <c r="U11" i="2" a="1"/>
  <c r="D30" i="2" a="1"/>
  <c r="R34" i="2" a="1"/>
  <c r="R16" i="2" a="1"/>
  <c r="AB32" i="2" a="1"/>
  <c r="D10" i="2" a="1"/>
  <c r="R50" i="2" a="1"/>
  <c r="AD14" i="2" a="1"/>
  <c r="J68" i="2" a="1"/>
  <c r="F53" i="2" a="1"/>
  <c r="H14" i="2" a="1"/>
  <c r="G61" i="2" a="1"/>
  <c r="AA48" i="2" a="1"/>
  <c r="S10" i="2" a="1"/>
  <c r="P42" i="2" a="1"/>
  <c r="U17" i="2" a="1"/>
  <c r="AB18" i="2" a="1"/>
  <c r="V9" i="2" a="1"/>
  <c r="AD16" i="2" a="1"/>
  <c r="AE36" i="2" a="1"/>
  <c r="AE34" i="2" a="1"/>
  <c r="AE38" i="2" a="1"/>
  <c r="AE61" i="2" a="1"/>
  <c r="G9" i="2" a="1"/>
  <c r="G46" i="2" a="1"/>
  <c r="G34" i="2" a="1"/>
  <c r="G28" i="2" a="1"/>
  <c r="M60" i="2" a="1"/>
  <c r="AA32" i="2" a="1"/>
  <c r="AA46" i="2" a="1"/>
  <c r="AA12" i="2" a="1"/>
  <c r="AA13" i="2" a="1"/>
  <c r="K68" i="2" a="1"/>
  <c r="S16" i="2" a="1"/>
  <c r="S65" i="2" a="1"/>
  <c r="S50" i="2" a="1"/>
  <c r="C42" i="2" a="1"/>
  <c r="C16" i="2" a="1"/>
  <c r="C22" i="2" a="1"/>
  <c r="C24" i="2" a="1"/>
  <c r="P34" i="2" a="1"/>
  <c r="P44" i="2" a="1"/>
  <c r="P63" i="2" a="1"/>
  <c r="P61" i="2" a="1"/>
  <c r="U7" i="2" a="1"/>
  <c r="U45" i="2" a="1"/>
  <c r="U15" i="2" a="1"/>
  <c r="U19" i="2" a="1"/>
  <c r="U37" i="2" a="1"/>
  <c r="AB30" i="2" a="1"/>
  <c r="AB53" i="2" a="1"/>
  <c r="D53" i="2" a="1"/>
  <c r="D14" i="2" a="1"/>
  <c r="R48" i="2" a="1"/>
  <c r="AD24" i="2" a="1"/>
  <c r="F26" i="2" a="1"/>
  <c r="H26" i="2" a="1"/>
  <c r="G30" i="2" a="1"/>
  <c r="K60" i="2" a="1"/>
  <c r="C10" i="2" a="1"/>
  <c r="P28" i="2" a="1"/>
  <c r="U51" i="2" a="1"/>
  <c r="AB10" i="2" a="1"/>
  <c r="D50" i="2" a="1"/>
  <c r="AD44" i="2" a="1"/>
  <c r="U12" i="2" a="1"/>
  <c r="AE42" i="2" a="1"/>
  <c r="AE65" i="2" a="1"/>
  <c r="AE28" i="2" a="1"/>
  <c r="AE44" i="2" a="1"/>
  <c r="M68" i="2" a="1"/>
  <c r="AA44" i="2" a="1"/>
  <c r="S30" i="2" a="1"/>
  <c r="P12" i="2" a="1"/>
  <c r="AB28" i="2" a="1"/>
  <c r="D16" i="2" a="1"/>
  <c r="AD28" i="2" a="1"/>
  <c r="AA10" i="2" a="1"/>
  <c r="C12" i="2" a="1"/>
  <c r="C18" i="2" a="1"/>
  <c r="P38" i="2" a="1"/>
  <c r="H8" i="2" a="1"/>
  <c r="U9" i="2" a="1"/>
  <c r="U23" i="2" a="1"/>
  <c r="AB12" i="2" a="1"/>
  <c r="AB26" i="2" a="1"/>
  <c r="AB38" i="2" a="1"/>
  <c r="D44" i="2" a="1"/>
  <c r="D32" i="2" a="1"/>
  <c r="R36" i="2" a="1"/>
  <c r="R18" i="2" a="1"/>
  <c r="AD18" i="2" a="1"/>
  <c r="AD48" i="2" a="1"/>
  <c r="L8" i="2" a="1"/>
  <c r="F46" i="2" a="1"/>
  <c r="F22" i="2" a="1"/>
  <c r="H24" i="2" a="1"/>
  <c r="H28" i="2" a="1"/>
  <c r="AE32" i="2" a="1"/>
  <c r="AE7" i="2" a="1"/>
  <c r="AE22" i="2" a="1"/>
  <c r="AE18" i="2" a="1"/>
  <c r="G16" i="2" a="1"/>
  <c r="G63" i="2" a="1"/>
  <c r="G44" i="2" a="1"/>
  <c r="G8" i="2" a="1"/>
  <c r="C13" i="2" a="1"/>
  <c r="AA42" i="2" a="1"/>
  <c r="AA28" i="2" a="1"/>
  <c r="AA38" i="2" a="1"/>
  <c r="S61" i="2" a="1"/>
  <c r="S7" i="2" a="1"/>
  <c r="S34" i="2" a="1"/>
  <c r="S36" i="2" a="1"/>
  <c r="C32" i="2" a="1"/>
  <c r="C50" i="2" a="1"/>
  <c r="P24" i="2" a="1"/>
  <c r="P50" i="2" a="1"/>
  <c r="Y68" i="2" a="1"/>
  <c r="U33" i="2" a="1"/>
  <c r="R8" i="2" a="1"/>
  <c r="AB42" i="2" a="1"/>
  <c r="AB14" i="2" a="1"/>
  <c r="D61" i="2" a="1"/>
  <c r="V8" i="2" a="1"/>
  <c r="R30" i="2" a="1"/>
  <c r="R24" i="2" a="1"/>
  <c r="AD38" i="2" a="1"/>
  <c r="AD61" i="2" a="1"/>
  <c r="Z7" i="2" a="1"/>
  <c r="F28" i="2" a="1"/>
  <c r="F42" i="2" a="1"/>
  <c r="H53" i="2" a="1"/>
  <c r="H10" i="2" a="1"/>
  <c r="AE26" i="2" a="1"/>
  <c r="AE24" i="2" a="1"/>
  <c r="AE46" i="2" a="1"/>
  <c r="J9" i="2" a="1"/>
  <c r="G7" i="2" a="1"/>
  <c r="G18" i="2" a="1"/>
  <c r="G65" i="2" a="1"/>
  <c r="G14" i="2" a="1"/>
  <c r="C9" i="2" a="1"/>
  <c r="AA18" i="2" a="1"/>
  <c r="AA14" i="2" a="1"/>
  <c r="AA30" i="2" a="1"/>
  <c r="AA34" i="2" a="1"/>
  <c r="S46" i="2" a="1"/>
  <c r="C11" i="2" a="1"/>
  <c r="P18" i="2" a="1"/>
  <c r="P53" i="2" a="1"/>
  <c r="H7" i="2" a="1"/>
  <c r="U55" i="2" a="1"/>
  <c r="U49" i="2" a="1"/>
  <c r="R7" i="2" a="1"/>
  <c r="AB48" i="2" a="1"/>
  <c r="AD7" i="2" a="1"/>
  <c r="D34" i="2" a="1"/>
  <c r="D63" i="2" a="1"/>
  <c r="R14" i="2" a="1"/>
  <c r="R44" i="2" a="1"/>
  <c r="AD10" i="2" a="1"/>
  <c r="AE63" i="2" a="1"/>
  <c r="AE8" i="2" a="1"/>
  <c r="AE48" i="2" a="1"/>
  <c r="J7" i="2" a="1"/>
  <c r="G22" i="2" a="1"/>
  <c r="G32" i="2" a="1"/>
  <c r="G48" i="2" a="1"/>
  <c r="W68" i="2" a="1"/>
  <c r="C8" i="2" a="1"/>
  <c r="AA53" i="2" a="1"/>
  <c r="AA50" i="2" a="1"/>
  <c r="F7" i="2" a="1"/>
  <c r="S8" i="2" a="1"/>
  <c r="S12" i="2" a="1"/>
  <c r="S18" i="2" a="1"/>
  <c r="C36" i="2" a="1"/>
  <c r="C63" i="2" a="1"/>
  <c r="P22" i="2" a="1"/>
  <c r="P14" i="2" a="1"/>
  <c r="U47" i="2" a="1"/>
  <c r="U25" i="2" a="1"/>
  <c r="AB22" i="2" a="1"/>
  <c r="AB36" i="2" a="1"/>
  <c r="D26" i="2" a="1"/>
  <c r="D38" i="2" a="1"/>
  <c r="I60" i="2" a="1"/>
  <c r="R53" i="2" a="1"/>
  <c r="U68" i="2" a="1"/>
  <c r="H61" i="2" a="1"/>
  <c r="AB8" i="2" a="1"/>
  <c r="R10" i="2" a="1"/>
  <c r="R26" i="2" a="1"/>
  <c r="AD26" i="2" a="1"/>
  <c r="F48" i="2" a="1"/>
  <c r="H16" i="2" a="1"/>
  <c r="G50" i="2" a="1"/>
  <c r="AA9" i="2" a="1"/>
  <c r="C7" i="2" a="1"/>
  <c r="C48" i="2" a="1"/>
  <c r="U10" i="2" a="1"/>
  <c r="AB61" i="2" a="1"/>
  <c r="AB7" i="2" a="1"/>
  <c r="R32" i="2" a="1"/>
  <c r="R38" i="2" a="1"/>
  <c r="F8" i="2" a="1"/>
  <c r="H9" i="2" a="1"/>
  <c r="D42" i="2" a="1"/>
  <c r="AD53" i="2" a="1"/>
  <c r="F18" i="2" a="1"/>
  <c r="H30" i="2" a="1"/>
  <c r="S44" i="2" a="1"/>
  <c r="Y60" i="2" a="1"/>
  <c r="D36" i="2" a="1"/>
  <c r="AD63" i="2" a="1"/>
  <c r="F50" i="2" a="1"/>
  <c r="H44" i="2" a="1"/>
  <c r="S48" i="2" a="1"/>
  <c r="R12" i="2" a="1"/>
  <c r="H32" i="2" a="1"/>
  <c r="F24" i="2" a="1"/>
  <c r="C28" i="2" a="1"/>
  <c r="R9" i="2" a="1"/>
  <c r="R63" i="2" a="1"/>
  <c r="V68" i="2" a="1"/>
  <c r="F14" i="2" a="1"/>
  <c r="H46" i="2" a="1"/>
  <c r="H63" i="2" a="1"/>
  <c r="C46" i="2" a="1"/>
  <c r="Z8" i="2" a="1"/>
  <c r="C38" i="2" a="1"/>
  <c r="AD50" i="2" a="1"/>
  <c r="N7" i="2" a="1"/>
  <c r="AD12" i="2" a="1"/>
  <c r="F61" i="2" a="1"/>
  <c r="P48" i="2" a="1"/>
  <c r="AD65" i="2" a="1"/>
  <c r="H34" i="2" a="1"/>
  <c r="F16" i="2" a="1"/>
  <c r="S24" i="2" a="1"/>
  <c r="F10" i="2" a="1"/>
  <c r="U13" i="2" a="1"/>
  <c r="C44" i="2" a="1"/>
  <c r="AB50" i="2" a="1"/>
  <c r="R42" i="2" a="1"/>
  <c r="J60" i="2" a="1"/>
  <c r="F12" i="2" a="1"/>
  <c r="AB16" i="2" a="1"/>
  <c r="AD34" i="2" a="1"/>
  <c r="X8" i="2" a="1"/>
  <c r="H42" i="2" a="1"/>
  <c r="AB46" i="2" a="1"/>
  <c r="Z11" i="2" a="1"/>
  <c r="X7" i="2" a="1"/>
  <c r="P30" i="2" a="1"/>
  <c r="AD46" i="2" a="1"/>
  <c r="H48" i="2" a="1"/>
  <c r="D24" i="2" a="1"/>
  <c r="F32" i="2" a="1"/>
  <c r="V7" i="2" a="1"/>
  <c r="P8" i="2" a="1"/>
  <c r="U29" i="2" a="1"/>
  <c r="L11" i="2" a="1"/>
  <c r="R22" i="2" a="1"/>
  <c r="L7" i="2" a="1"/>
  <c r="P32" i="2" a="1"/>
  <c r="D22" i="2" a="1"/>
  <c r="AD42" i="2" a="1"/>
  <c r="F63" i="2" a="1"/>
  <c r="H12" i="2" a="1"/>
  <c r="U27" i="2" a="1"/>
  <c r="H38" i="2" a="1"/>
  <c r="S38" i="2" a="1"/>
  <c r="H36" i="2" a="1"/>
  <c r="L60" i="2" a="1"/>
  <c r="AA15" i="2" a="1"/>
  <c r="AA63" i="2" a="1"/>
  <c r="AA25" i="2" a="1"/>
  <c r="O35" i="2" a="1"/>
  <c r="O41" i="2" a="1"/>
  <c r="O45" i="2" a="1"/>
  <c r="O17" i="2" a="1"/>
  <c r="AF50" i="2" a="1"/>
  <c r="AF44" i="2" a="1"/>
  <c r="AF53" i="2" a="1"/>
  <c r="AF30" i="2" a="1"/>
  <c r="T26" i="2" a="1"/>
  <c r="T22" i="2" a="1"/>
  <c r="T24" i="2" a="1"/>
  <c r="T36" i="2" a="1"/>
  <c r="C35" i="2" a="1"/>
  <c r="C65" i="2" a="1"/>
  <c r="C55" i="2" a="1"/>
  <c r="C61" i="2" a="1"/>
  <c r="N60" i="2" a="1"/>
  <c r="U16" i="2" a="1"/>
  <c r="U18" i="2" a="1"/>
  <c r="U28" i="2" a="1"/>
  <c r="J55" i="2" a="1"/>
  <c r="J62" i="2" a="1"/>
  <c r="J43" i="2" a="1"/>
  <c r="J33" i="2" a="1"/>
  <c r="Z68" i="2" a="1"/>
  <c r="V35" i="2" a="1"/>
  <c r="V25" i="2" a="1"/>
  <c r="V15" i="2" a="1"/>
  <c r="V23" i="2" a="1"/>
  <c r="I44" i="2" a="1"/>
  <c r="I65" i="2" a="1"/>
  <c r="I61" i="2" a="1"/>
  <c r="I48" i="2" a="1"/>
  <c r="O66" i="2" a="1"/>
  <c r="AA68" i="2" a="1"/>
  <c r="U66" i="2" a="1"/>
  <c r="D23" i="2" a="1"/>
  <c r="D11" i="2" a="1"/>
  <c r="D43" i="2" a="1"/>
  <c r="V30" i="2" a="1"/>
  <c r="V16" i="2" a="1"/>
  <c r="V46" i="2" a="1"/>
  <c r="V38" i="2" a="1"/>
  <c r="P51" i="2" a="1"/>
  <c r="P29" i="2" a="1"/>
  <c r="AB15" i="2" a="1"/>
  <c r="P33" i="2" a="1"/>
  <c r="P41" i="2" a="1"/>
  <c r="AB19" i="2" a="1"/>
  <c r="AB9" i="2" a="1"/>
  <c r="O51" i="2" a="1"/>
  <c r="AF26" i="2" a="1"/>
  <c r="AF22" i="2" a="1"/>
  <c r="T34" i="2" a="1"/>
  <c r="T32" i="2" a="1"/>
  <c r="C41" i="2" a="1"/>
  <c r="C43" i="2" a="1"/>
  <c r="N68" i="2" a="1"/>
  <c r="U53" i="2" a="1"/>
  <c r="U62" i="2" a="1"/>
  <c r="J15" i="2" a="1"/>
  <c r="J11" i="2" a="1"/>
  <c r="V55" i="2" a="1"/>
  <c r="V33" i="2" a="1"/>
  <c r="I55" i="2" a="1"/>
  <c r="L68" i="2" a="1"/>
  <c r="AA65" i="2" a="1"/>
  <c r="AA31" i="2" a="1"/>
  <c r="AA23" i="2" a="1"/>
  <c r="O15" i="2" a="1"/>
  <c r="O43" i="2" a="1"/>
  <c r="O19" i="2" a="1"/>
  <c r="AF24" i="2" a="1"/>
  <c r="AF42" i="2" a="1"/>
  <c r="T38" i="2" a="1"/>
  <c r="T48" i="2" a="1"/>
  <c r="C15" i="2" a="1"/>
  <c r="T7" i="2" a="1"/>
  <c r="U32" i="2" a="1"/>
  <c r="J41" i="2" a="1"/>
  <c r="J37" i="2" a="1"/>
  <c r="Z60" i="2" a="1"/>
  <c r="V47" i="2" a="1"/>
  <c r="V13" i="2" a="1"/>
  <c r="AF7" i="2" a="1"/>
  <c r="C29" i="2" a="1"/>
  <c r="C45" i="2" a="1"/>
  <c r="U36" i="2" a="1"/>
  <c r="U48" i="2" a="1"/>
  <c r="U50" i="2" a="1"/>
  <c r="J35" i="2" a="1"/>
  <c r="J29" i="2" a="1"/>
  <c r="AA19" i="2" a="1"/>
  <c r="AA33" i="2" a="1"/>
  <c r="AA49" i="2" a="1"/>
  <c r="AA17" i="2" a="1"/>
  <c r="O33" i="2" a="1"/>
  <c r="O61" i="2" a="1"/>
  <c r="O65" i="2" a="1"/>
  <c r="O62" i="2" a="1"/>
  <c r="AF38" i="2" a="1"/>
  <c r="AF10" i="2" a="1"/>
  <c r="AF61" i="2" a="1"/>
  <c r="T61" i="2" a="1"/>
  <c r="T18" i="2" a="1"/>
  <c r="T63" i="2" a="1"/>
  <c r="T30" i="2" a="1"/>
  <c r="C62" i="2" a="1"/>
  <c r="T10" i="2" a="1"/>
  <c r="U61" i="2" a="1"/>
  <c r="J27" i="2" a="1"/>
  <c r="J12" i="2" a="1"/>
  <c r="AF32" i="2" a="1"/>
  <c r="T14" i="2" a="1"/>
  <c r="C49" i="2" a="1"/>
  <c r="C37" i="2" a="1"/>
  <c r="T8" i="2" a="1"/>
  <c r="U22" i="2" a="1"/>
  <c r="U14" i="2" a="1"/>
  <c r="U42" i="2" a="1"/>
  <c r="AA37" i="2" a="1"/>
  <c r="AA27" i="2" a="1"/>
  <c r="AA35" i="2" a="1"/>
  <c r="AA62" i="2" a="1"/>
  <c r="O25" i="2" a="1"/>
  <c r="O31" i="2" a="1"/>
  <c r="O47" i="2" a="1"/>
  <c r="O29" i="2" a="1"/>
  <c r="AF34" i="2" a="1"/>
  <c r="AF63" i="2" a="1"/>
  <c r="AF8" i="2" a="1"/>
  <c r="T46" i="2" a="1"/>
  <c r="T44" i="2" a="1"/>
  <c r="C25" i="2" a="1"/>
  <c r="C19" i="2" a="1"/>
  <c r="U63" i="2" a="1"/>
  <c r="AA45" i="2" a="1"/>
  <c r="AA47" i="2" a="1"/>
  <c r="AA43" i="2" a="1"/>
  <c r="O37" i="2" a="1"/>
  <c r="O23" i="2" a="1"/>
  <c r="AF14" i="2" a="1"/>
  <c r="AF36" i="2" a="1"/>
  <c r="AA55" i="2" a="1"/>
  <c r="O49" i="2" a="1"/>
  <c r="AF18" i="2" a="1"/>
  <c r="AA41" i="2" a="1"/>
  <c r="AA51" i="2" a="1"/>
  <c r="AA29" i="2" a="1"/>
  <c r="AA61" i="2" a="1"/>
  <c r="O63" i="2" a="1"/>
  <c r="O55" i="2" a="1"/>
  <c r="O27" i="2" a="1"/>
  <c r="AF48" i="2" a="1"/>
  <c r="AF28" i="2" a="1"/>
  <c r="AF65" i="2" a="1"/>
  <c r="AF46" i="2" a="1"/>
  <c r="T12" i="2" a="1"/>
  <c r="T16" i="2" a="1"/>
  <c r="T53" i="2" a="1"/>
  <c r="T50" i="2" a="1"/>
  <c r="C27" i="2" a="1"/>
  <c r="C33" i="2" a="1"/>
  <c r="C47" i="2" a="1"/>
  <c r="C51" i="2" a="1"/>
  <c r="X60" i="2" a="1"/>
  <c r="U26" i="2" a="1"/>
  <c r="U34" i="2" a="1"/>
  <c r="U65" i="2" a="1"/>
  <c r="U24" i="2" a="1"/>
  <c r="J47" i="2" a="1"/>
  <c r="J31" i="2" a="1"/>
  <c r="J13" i="2" a="1"/>
  <c r="I64" i="2" a="1"/>
  <c r="U59" i="2" a="1"/>
  <c r="V51" i="2" a="1"/>
  <c r="V37" i="2" a="1"/>
  <c r="V19" i="2" a="1"/>
  <c r="I28" i="2" a="1"/>
  <c r="I26" i="2" a="1"/>
  <c r="I16" i="2" a="1"/>
  <c r="I50" i="2" a="1"/>
  <c r="O68" i="2" a="1"/>
  <c r="C68" i="2" a="1"/>
  <c r="C67" i="2" a="1"/>
  <c r="D17" i="2" a="1"/>
  <c r="D15" i="2" a="1"/>
  <c r="D55" i="2" a="1"/>
  <c r="D33" i="2" a="1"/>
  <c r="V53" i="2" a="1"/>
  <c r="V44" i="2" a="1"/>
  <c r="V22" i="2" a="1"/>
  <c r="I66" i="2" a="1"/>
  <c r="P45" i="2" a="1"/>
  <c r="AB31" i="2" a="1"/>
  <c r="P62" i="2" a="1"/>
  <c r="AB27" i="2" a="1"/>
  <c r="AB45" i="2" a="1"/>
  <c r="P9" i="2" a="1"/>
  <c r="AB25" i="2" a="1"/>
  <c r="AB23" i="2" a="1"/>
  <c r="J49" i="2" a="1"/>
  <c r="D47" i="2" a="1"/>
  <c r="J45" i="2" a="1"/>
  <c r="I24" i="2" a="1"/>
  <c r="U64" i="2" a="1"/>
  <c r="D37" i="2" a="1"/>
  <c r="P23" i="2" a="1"/>
  <c r="AA59" i="2" a="1"/>
  <c r="AB41" i="2" a="1"/>
  <c r="U67" i="2" a="1"/>
  <c r="P35" i="2" a="1"/>
  <c r="D27" i="2" a="1"/>
  <c r="J17" i="2" a="1"/>
  <c r="AB47" i="2" a="1"/>
  <c r="T28" i="2" a="1"/>
  <c r="I32" i="2" a="1"/>
  <c r="V42" i="2" a="1"/>
  <c r="AB11" i="2" a="1"/>
  <c r="T42" i="2" a="1"/>
  <c r="V61" i="2" a="1"/>
  <c r="C31" i="2" a="1"/>
  <c r="O60" i="2" a="1"/>
  <c r="V28" i="2" a="1"/>
  <c r="V62" i="2" a="1"/>
  <c r="V18" i="2" a="1"/>
  <c r="O67" i="2" a="1"/>
  <c r="P25" i="2" a="1"/>
  <c r="T65" i="2" a="1"/>
  <c r="AA67" i="2" a="1"/>
  <c r="C66" i="2" a="1"/>
  <c r="D65" i="2" a="1"/>
  <c r="V26" i="2" a="1"/>
  <c r="P27" i="2" a="1"/>
  <c r="P49" i="2" a="1"/>
  <c r="V45" i="2" a="1"/>
  <c r="AA66" i="2" a="1"/>
  <c r="P15" i="2" a="1"/>
  <c r="AA64" i="2" a="1"/>
  <c r="D19" i="2" a="1"/>
  <c r="I42" i="2" a="1"/>
  <c r="C23" i="2" a="1"/>
  <c r="AB29" i="2" a="1"/>
  <c r="C17" i="2" a="1"/>
  <c r="J51" i="2" a="1"/>
  <c r="V49" i="2" a="1"/>
  <c r="V31" i="2" a="1"/>
  <c r="O59" i="2" a="1"/>
  <c r="D35" i="2" a="1"/>
  <c r="D49" i="2" a="1"/>
  <c r="V10" i="2" a="1"/>
  <c r="AB13" i="2" a="1"/>
  <c r="AB49" i="2" a="1"/>
  <c r="AB37" i="2" a="1"/>
  <c r="D45" i="2" a="1"/>
  <c r="V24" i="2" a="1"/>
  <c r="X68" i="2" a="1"/>
  <c r="V41" i="2" a="1"/>
  <c r="V27" i="2" a="1"/>
  <c r="I30" i="2" a="1"/>
  <c r="O64" i="2" a="1"/>
  <c r="D51" i="2" a="1"/>
  <c r="V34" i="2" a="1"/>
  <c r="P19" i="2" a="1"/>
  <c r="AB62" i="2" a="1"/>
  <c r="AB55" i="2" a="1"/>
  <c r="P43" i="2" a="1"/>
  <c r="V14" i="2" a="1"/>
  <c r="I67" i="2" a="1"/>
  <c r="U46" i="2" a="1"/>
  <c r="J25" i="2" a="1"/>
  <c r="V17" i="2" a="1"/>
  <c r="I53" i="2" a="1"/>
  <c r="I63" i="2" a="1"/>
  <c r="C60" i="2" a="1"/>
  <c r="D41" i="2" a="1"/>
  <c r="D13" i="2" a="1"/>
  <c r="P47" i="2" a="1"/>
  <c r="P17" i="2" a="1"/>
  <c r="AB17" i="2" a="1"/>
  <c r="AB43" i="2" a="1"/>
  <c r="U30" i="2" a="1"/>
  <c r="J19" i="2" a="1"/>
  <c r="I62" i="2" a="1"/>
  <c r="D62" i="2" a="1"/>
  <c r="D31" i="2" a="1"/>
  <c r="V32" i="2" a="1"/>
  <c r="P13" i="2" a="1"/>
  <c r="AF12" i="2" a="1"/>
  <c r="U38" i="2" a="1"/>
  <c r="V11" i="2" a="1"/>
  <c r="I38" i="2" a="1"/>
  <c r="I34" i="2" a="1"/>
  <c r="AA60" i="2" a="1"/>
  <c r="D29" i="2" a="1"/>
  <c r="V48" i="2" a="1"/>
  <c r="P37" i="2" a="1"/>
  <c r="AF16" i="2" a="1"/>
  <c r="J23" i="2" a="1"/>
  <c r="V29" i="2" a="1"/>
  <c r="I22" i="2" a="1"/>
  <c r="C59" i="2" a="1"/>
  <c r="D25" i="2" a="1"/>
  <c r="V50" i="2" a="1"/>
  <c r="V63" i="2" a="1"/>
  <c r="AB33" i="2" a="1"/>
  <c r="P31" i="2" a="1"/>
  <c r="AB51" i="2" a="1"/>
  <c r="U44" i="2" a="1"/>
  <c r="I59" i="2" a="1"/>
  <c r="V43" i="2" a="1"/>
  <c r="I36" i="2" a="1"/>
  <c r="C64" i="2" a="1"/>
  <c r="V36" i="2" a="1"/>
  <c r="P11" i="2" a="1"/>
  <c r="AB35" i="2" a="1"/>
  <c r="I46" i="2" a="1"/>
  <c r="V65" i="2" a="1"/>
  <c r="P55" i="2" a="1"/>
  <c r="V12" i="2" a="1"/>
  <c r="C53" i="2" a="1"/>
  <c r="I18" i="2" a="1"/>
  <c r="V59" i="2" a="1"/>
  <c r="K23" i="2" a="1"/>
  <c r="K31" i="2" a="1"/>
  <c r="K10" i="2" a="1"/>
  <c r="K47" i="2" a="1"/>
  <c r="J63" i="2" a="1"/>
  <c r="J24" i="2" a="1"/>
  <c r="J61" i="2" a="1"/>
  <c r="J14" i="2" a="1"/>
  <c r="AC31" i="2" a="1"/>
  <c r="AC17" i="2" a="1"/>
  <c r="AC37" i="2" a="1"/>
  <c r="AC33" i="2" a="1"/>
  <c r="P59" i="2" a="1"/>
  <c r="Q43" i="2" a="1"/>
  <c r="AB59" i="2" a="1"/>
  <c r="Q37" i="2" a="1"/>
  <c r="Q9" i="2" a="1"/>
  <c r="W43" i="2" a="1"/>
  <c r="W7" i="2" a="1"/>
  <c r="W62" i="2" a="1"/>
  <c r="L45" i="2" a="1"/>
  <c r="L31" i="2" a="1"/>
  <c r="L19" i="2" a="1"/>
  <c r="L43" i="2" a="1"/>
  <c r="E61" i="2" a="1"/>
  <c r="E49" i="2" a="1"/>
  <c r="E31" i="2" a="1"/>
  <c r="E33" i="2" a="1"/>
  <c r="AB67" i="2" a="1"/>
  <c r="Q64" i="2" a="1"/>
  <c r="W14" i="2" a="1"/>
  <c r="W36" i="2" a="1"/>
  <c r="W30" i="2" a="1"/>
  <c r="K50" i="2" a="1"/>
  <c r="K38" i="2" a="1"/>
  <c r="K42" i="2" a="1"/>
  <c r="K63" i="2" a="1"/>
  <c r="W59" i="2" a="1"/>
  <c r="L61" i="2" a="1"/>
  <c r="K28" i="2" a="1"/>
  <c r="K36" i="2" a="1"/>
  <c r="E59" i="2" a="1"/>
  <c r="L22" i="2" a="1"/>
  <c r="W19" i="2" a="1"/>
  <c r="E11" i="2" a="1"/>
  <c r="W53" i="2" a="1"/>
  <c r="AC59" i="2" a="1"/>
  <c r="L65" i="2" a="1"/>
  <c r="L46" i="2" a="1"/>
  <c r="V64" i="2" a="1"/>
  <c r="K9" i="2" a="1"/>
  <c r="K27" i="2" a="1"/>
  <c r="K43" i="2" a="1"/>
  <c r="K13" i="2" a="1"/>
  <c r="J30" i="2" a="1"/>
  <c r="J53" i="2" a="1"/>
  <c r="J38" i="2" a="1"/>
  <c r="J26" i="2" a="1"/>
  <c r="AC62" i="2" a="1"/>
  <c r="AC25" i="2" a="1"/>
  <c r="AC15" i="2" a="1"/>
  <c r="AC9" i="2" a="1"/>
  <c r="D59" i="2" a="1"/>
  <c r="Q29" i="2" a="1"/>
  <c r="Q27" i="2" a="1"/>
  <c r="Q62" i="2" a="1"/>
  <c r="Q19" i="2" a="1"/>
  <c r="W41" i="2" a="1"/>
  <c r="W8" i="2" a="1"/>
  <c r="W9" i="2" a="1"/>
  <c r="L51" i="2" a="1"/>
  <c r="L49" i="2" a="1"/>
  <c r="L23" i="2" a="1"/>
  <c r="L35" i="2" a="1"/>
  <c r="E19" i="2" a="1"/>
  <c r="E37" i="2" a="1"/>
  <c r="E27" i="2" a="1"/>
  <c r="E17" i="2" a="1"/>
  <c r="AB66" i="2" a="1"/>
  <c r="Q59" i="2" a="1"/>
  <c r="W42" i="2" a="1"/>
  <c r="W50" i="2" a="1"/>
  <c r="W48" i="2" a="1"/>
  <c r="K16" i="2" a="1"/>
  <c r="K32" i="2" a="1"/>
  <c r="W64" i="2" a="1"/>
  <c r="L42" i="2" a="1"/>
  <c r="L32" i="2" a="1"/>
  <c r="L30" i="2" a="1"/>
  <c r="L33" i="2" a="1"/>
  <c r="P68" i="2" a="1"/>
  <c r="W63" i="2" a="1"/>
  <c r="K65" i="2" a="1"/>
  <c r="L24" i="2" a="1"/>
  <c r="W67" i="2" a="1"/>
  <c r="D60" i="2" a="1"/>
  <c r="Q55" i="2" a="1"/>
  <c r="Q41" i="2" a="1"/>
  <c r="W55" i="2" a="1"/>
  <c r="W17" i="2" a="1"/>
  <c r="L47" i="2" a="1"/>
  <c r="E41" i="2" a="1"/>
  <c r="AB68" i="2" a="1"/>
  <c r="W34" i="2" a="1"/>
  <c r="K61" i="2" a="1"/>
  <c r="W66" i="2" a="1"/>
  <c r="L34" i="2" a="1"/>
  <c r="L18" i="2" a="1"/>
  <c r="L36" i="2" a="1"/>
  <c r="J59" i="2" a="1"/>
  <c r="K51" i="2" a="1"/>
  <c r="K7" i="2" a="1"/>
  <c r="K29" i="2" a="1"/>
  <c r="K37" i="2" a="1"/>
  <c r="J28" i="2" a="1"/>
  <c r="J65" i="2" a="1"/>
  <c r="J48" i="2" a="1"/>
  <c r="AC51" i="2" a="1"/>
  <c r="AC19" i="2" a="1"/>
  <c r="AC13" i="2" a="1"/>
  <c r="J66" i="2" a="1"/>
  <c r="Q51" i="2" a="1"/>
  <c r="Q31" i="2" a="1"/>
  <c r="W15" i="2" a="1"/>
  <c r="L13" i="2" a="1"/>
  <c r="L17" i="2" a="1"/>
  <c r="E45" i="2" a="1"/>
  <c r="W44" i="2" a="1"/>
  <c r="K18" i="2" a="1"/>
  <c r="K44" i="2" a="1"/>
  <c r="L44" i="2" a="1"/>
  <c r="L12" i="2" a="1"/>
  <c r="Q60" i="2" a="1"/>
  <c r="AC35" i="2" a="1"/>
  <c r="Q17" i="2" a="1"/>
  <c r="Q35" i="2" a="1"/>
  <c r="W45" i="2" a="1"/>
  <c r="W31" i="2" a="1"/>
  <c r="L55" i="2" a="1"/>
  <c r="L15" i="2" a="1"/>
  <c r="L10" i="2" a="1"/>
  <c r="E55" i="2" a="1"/>
  <c r="E29" i="2" a="1"/>
  <c r="AB60" i="2" a="1"/>
  <c r="W28" i="2" a="1"/>
  <c r="K34" i="2" a="1"/>
  <c r="K12" i="2" a="1"/>
  <c r="AC64" i="2" a="1"/>
  <c r="J64" i="2" a="1"/>
  <c r="K62" i="2" a="1"/>
  <c r="K41" i="2" a="1"/>
  <c r="K8" i="2" a="1"/>
  <c r="K35" i="2" a="1"/>
  <c r="J36" i="2" a="1"/>
  <c r="J46" i="2" a="1"/>
  <c r="J42" i="2" a="1"/>
  <c r="D68" i="2" a="1"/>
  <c r="AC47" i="2" a="1"/>
  <c r="AC43" i="2" a="1"/>
  <c r="J67" i="2" a="1"/>
  <c r="Q47" i="2" a="1"/>
  <c r="Q13" i="2" a="1"/>
  <c r="W51" i="2" a="1"/>
  <c r="W11" i="2" a="1"/>
  <c r="L62" i="2" a="1"/>
  <c r="E13" i="2" a="1"/>
  <c r="P60" i="2" a="1"/>
  <c r="W61" i="2" a="1"/>
  <c r="W16" i="2" a="1"/>
  <c r="W24" i="2" a="1"/>
  <c r="K53" i="2" a="1"/>
  <c r="K48" i="2" a="1"/>
  <c r="L38" i="2" a="1"/>
  <c r="L16" i="2" a="1"/>
  <c r="AC23" i="2" a="1"/>
  <c r="Q15" i="2" a="1"/>
  <c r="Q45" i="2" a="1"/>
  <c r="W37" i="2" a="1"/>
  <c r="W27" i="2" a="1"/>
  <c r="L41" i="2" a="1"/>
  <c r="L37" i="2" a="1"/>
  <c r="E15" i="2" a="1"/>
  <c r="E25" i="2" a="1"/>
  <c r="P67" i="2" a="1"/>
  <c r="W12" i="2" a="1"/>
  <c r="K24" i="2" a="1"/>
  <c r="K22" i="2" a="1"/>
  <c r="E66" i="2" a="1"/>
  <c r="L63" i="2" a="1"/>
  <c r="D67" i="2" a="1"/>
  <c r="K17" i="2" a="1"/>
  <c r="K25" i="2" a="1"/>
  <c r="K49" i="2" a="1"/>
  <c r="J34" i="2" a="1"/>
  <c r="J22" i="2" a="1"/>
  <c r="J44" i="2" a="1"/>
  <c r="J18" i="2" a="1"/>
  <c r="AC11" i="2" a="1"/>
  <c r="AC41" i="2" a="1"/>
  <c r="AC29" i="2" a="1"/>
  <c r="D64" i="2" a="1"/>
  <c r="Q25" i="2" a="1"/>
  <c r="Q11" i="2" a="1"/>
  <c r="W13" i="2" a="1"/>
  <c r="W25" i="2" a="1"/>
  <c r="L29" i="2" a="1"/>
  <c r="E43" i="2" a="1"/>
  <c r="E51" i="2" a="1"/>
  <c r="V67" i="2" a="1"/>
  <c r="W46" i="2" a="1"/>
  <c r="W38" i="2" a="1"/>
  <c r="W65" i="2" a="1"/>
  <c r="K26" i="2" a="1"/>
  <c r="K59" i="2" a="1"/>
  <c r="K66" i="2" a="1"/>
  <c r="L48" i="2" a="1"/>
  <c r="D66" i="2" a="1"/>
  <c r="K45" i="2" a="1"/>
  <c r="K15" i="2" a="1"/>
  <c r="K55" i="2" a="1"/>
  <c r="J50" i="2" a="1"/>
  <c r="J10" i="2" a="1"/>
  <c r="J16" i="2" a="1"/>
  <c r="J32" i="2" a="1"/>
  <c r="AC49" i="2" a="1"/>
  <c r="AC55" i="2" a="1"/>
  <c r="AC45" i="2" a="1"/>
  <c r="AC27" i="2" a="1"/>
  <c r="P64" i="2" a="1"/>
  <c r="Q23" i="2" a="1"/>
  <c r="AB64" i="2" a="1"/>
  <c r="Q49" i="2" a="1"/>
  <c r="Q33" i="2" a="1"/>
  <c r="W10" i="2" a="1"/>
  <c r="W33" i="2" a="1"/>
  <c r="W47" i="2" a="1"/>
  <c r="W29" i="2" a="1"/>
  <c r="L27" i="2" a="1"/>
  <c r="L9" i="2" a="1"/>
  <c r="L25" i="2" a="1"/>
  <c r="E23" i="2" a="1"/>
  <c r="E35" i="2" a="1"/>
  <c r="E47" i="2" a="1"/>
  <c r="E62" i="2" a="1"/>
  <c r="V66" i="2" a="1"/>
  <c r="P66" i="2" a="1"/>
  <c r="W32" i="2" a="1"/>
  <c r="W18" i="2" a="1"/>
  <c r="W26" i="2" a="1"/>
  <c r="W22" i="2" a="1"/>
  <c r="K46" i="2" a="1"/>
  <c r="K30" i="2" a="1"/>
  <c r="K14" i="2" a="1"/>
  <c r="K64" i="2" a="1"/>
  <c r="K67" i="2" a="1"/>
  <c r="E67" i="2" a="1"/>
  <c r="L26" i="2" a="1"/>
  <c r="L28" i="2" a="1"/>
  <c r="L50" i="2" a="1"/>
  <c r="Q68" i="2" a="1"/>
  <c r="E64" i="2" a="1"/>
  <c r="L14" i="2" a="1"/>
  <c r="L53" i="2" a="1"/>
  <c r="AD33" i="2" a="1"/>
  <c r="AD27" i="2" a="1"/>
  <c r="AD31" i="2" a="1"/>
  <c r="AD13" i="2" a="1"/>
  <c r="X28" i="2" a="1"/>
  <c r="X63" i="2" a="1"/>
  <c r="X36" i="2" a="1"/>
  <c r="X24" i="2" a="1"/>
  <c r="R25" i="2" a="1"/>
  <c r="R35" i="2" a="1"/>
  <c r="R23" i="2" a="1"/>
  <c r="R51" i="2" a="1"/>
  <c r="S33" i="2" a="1"/>
  <c r="S43" i="2" a="1"/>
  <c r="S9" i="2" a="1"/>
  <c r="S29" i="2" a="1"/>
  <c r="X37" i="2" a="1"/>
  <c r="X13" i="2" a="1"/>
  <c r="X41" i="2" a="1"/>
  <c r="X27" i="2" a="1"/>
  <c r="F29" i="2" a="1"/>
  <c r="F13" i="2" a="1"/>
  <c r="F19" i="2" a="1"/>
  <c r="F15" i="2" a="1"/>
  <c r="E68" i="2" a="1"/>
  <c r="F66" i="2" a="1"/>
  <c r="Y15" i="2" a="1"/>
  <c r="Y41" i="2" a="1"/>
  <c r="Y29" i="2" a="1"/>
  <c r="L66" i="2" a="1"/>
  <c r="M29" i="2" a="1"/>
  <c r="M45" i="2" a="1"/>
  <c r="M15" i="2" a="1"/>
  <c r="M37" i="2" a="1"/>
  <c r="G42" i="2" a="1"/>
  <c r="G27" i="2" a="1"/>
  <c r="G49" i="2" a="1"/>
  <c r="G62" i="2" a="1"/>
  <c r="N14" i="2" a="1"/>
  <c r="N19" i="2" a="1"/>
  <c r="N55" i="2" a="1"/>
  <c r="X62" i="2" a="1"/>
  <c r="F17" i="2" a="1"/>
  <c r="Y17" i="2" a="1"/>
  <c r="M25" i="2" a="1"/>
  <c r="G29" i="2" a="1"/>
  <c r="N15" i="2" a="1"/>
  <c r="G25" i="2" a="1"/>
  <c r="AD43" i="2" a="1"/>
  <c r="AD19" i="2" a="1"/>
  <c r="AD62" i="2" a="1"/>
  <c r="X16" i="2" a="1"/>
  <c r="X42" i="2" a="1"/>
  <c r="X48" i="2" a="1"/>
  <c r="R37" i="2" a="1"/>
  <c r="R55" i="2" a="1"/>
  <c r="R62" i="2" a="1"/>
  <c r="S31" i="2" a="1"/>
  <c r="S55" i="2" a="1"/>
  <c r="S17" i="2" a="1"/>
  <c r="X10" i="2" a="1"/>
  <c r="F47" i="2" a="1"/>
  <c r="Y51" i="2" a="1"/>
  <c r="M27" i="2" a="1"/>
  <c r="G55" i="2" a="1"/>
  <c r="N41" i="2" a="1"/>
  <c r="R68" i="2" a="1"/>
  <c r="AD45" i="2" a="1"/>
  <c r="X65" i="2" a="1"/>
  <c r="R47" i="2" a="1"/>
  <c r="S62" i="2" a="1"/>
  <c r="X23" i="2" a="1"/>
  <c r="F55" i="2" a="1"/>
  <c r="R59" i="2" a="1"/>
  <c r="M17" i="2" a="1"/>
  <c r="N35" i="2" a="1"/>
  <c r="G47" i="2" a="1"/>
  <c r="AD51" i="2" a="1"/>
  <c r="AD41" i="2" a="1"/>
  <c r="AD9" i="2" a="1"/>
  <c r="X50" i="2" a="1"/>
  <c r="X12" i="2" a="1"/>
  <c r="X30" i="2" a="1"/>
  <c r="R43" i="2" a="1"/>
  <c r="R17" i="2" a="1"/>
  <c r="S37" i="2" a="1"/>
  <c r="S35" i="2" a="1"/>
  <c r="S13" i="2" a="1"/>
  <c r="X45" i="2" a="1"/>
  <c r="X15" i="2" a="1"/>
  <c r="L59" i="2" a="1"/>
  <c r="F65" i="2" a="1"/>
  <c r="F23" i="2" a="1"/>
  <c r="E60" i="2" a="1"/>
  <c r="Y43" i="2" a="1"/>
  <c r="Y31" i="2" a="1"/>
  <c r="AD59" i="2" a="1"/>
  <c r="M51" i="2" a="1"/>
  <c r="F68" i="2" a="1"/>
  <c r="AD17" i="2" a="1"/>
  <c r="X46" i="2" a="1"/>
  <c r="R29" i="2" a="1"/>
  <c r="R11" i="2" a="1"/>
  <c r="S23" i="2" a="1"/>
  <c r="X55" i="2" a="1"/>
  <c r="F49" i="2" a="1"/>
  <c r="F41" i="2" a="1"/>
  <c r="Y7" i="2" a="1"/>
  <c r="Y25" i="2" a="1"/>
  <c r="M47" i="2" a="1"/>
  <c r="M43" i="2" a="1"/>
  <c r="N23" i="2" a="1"/>
  <c r="Y19" i="2" a="1"/>
  <c r="M23" i="2" a="1"/>
  <c r="G37" i="2" a="1"/>
  <c r="G17" i="2" a="1"/>
  <c r="N45" i="2" a="1"/>
  <c r="N11" i="2" a="1"/>
  <c r="F60" i="2" a="1"/>
  <c r="S41" i="2" a="1"/>
  <c r="AD66" i="2" a="1"/>
  <c r="F51" i="2" a="1"/>
  <c r="Y27" i="2" a="1"/>
  <c r="Y49" i="2" a="1"/>
  <c r="M13" i="2" a="1"/>
  <c r="G33" i="2" a="1"/>
  <c r="N37" i="2" a="1"/>
  <c r="N25" i="2" a="1"/>
  <c r="AD29" i="2" a="1"/>
  <c r="AD37" i="2" a="1"/>
  <c r="AD47" i="2" a="1"/>
  <c r="AD15" i="2" a="1"/>
  <c r="X14" i="2" a="1"/>
  <c r="X38" i="2" a="1"/>
  <c r="X32" i="2" a="1"/>
  <c r="X22" i="2" a="1"/>
  <c r="R19" i="2" a="1"/>
  <c r="R33" i="2" a="1"/>
  <c r="R41" i="2" a="1"/>
  <c r="R15" i="2" a="1"/>
  <c r="S11" i="2" a="1"/>
  <c r="S25" i="2" a="1"/>
  <c r="S47" i="2" a="1"/>
  <c r="S27" i="2" a="1"/>
  <c r="X47" i="2" a="1"/>
  <c r="X29" i="2" a="1"/>
  <c r="X31" i="2" a="1"/>
  <c r="L64" i="2" a="1"/>
  <c r="F35" i="2" a="1"/>
  <c r="F45" i="2" a="1"/>
  <c r="F43" i="2" a="1"/>
  <c r="F27" i="2" a="1"/>
  <c r="R64" i="2" a="1"/>
  <c r="Y45" i="2" a="1"/>
  <c r="Y47" i="2" a="1"/>
  <c r="Y33" i="2" a="1"/>
  <c r="AD64" i="2" a="1"/>
  <c r="M55" i="2" a="1"/>
  <c r="M35" i="2" a="1"/>
  <c r="R60" i="2" a="1"/>
  <c r="G31" i="2" a="1"/>
  <c r="G35" i="2" a="1"/>
  <c r="N62" i="2" a="1"/>
  <c r="M59" i="2" a="1"/>
  <c r="X51" i="2" a="1"/>
  <c r="X64" i="2" a="1"/>
  <c r="M62" i="2" a="1"/>
  <c r="G11" i="2" a="1"/>
  <c r="N13" i="2" a="1"/>
  <c r="Y64" i="2" a="1"/>
  <c r="AD23" i="2" a="1"/>
  <c r="AD25" i="2" a="1"/>
  <c r="AC68" i="2" a="1"/>
  <c r="X18" i="2" a="1"/>
  <c r="X26" i="2" a="1"/>
  <c r="Q67" i="2" a="1"/>
  <c r="R13" i="2" a="1"/>
  <c r="R45" i="2" a="1"/>
  <c r="S49" i="2" a="1"/>
  <c r="S19" i="2" a="1"/>
  <c r="X35" i="2" a="1"/>
  <c r="F25" i="2" a="1"/>
  <c r="F64" i="2" a="1"/>
  <c r="Y55" i="2" a="1"/>
  <c r="M31" i="2" a="1"/>
  <c r="R66" i="2" a="1"/>
  <c r="G51" i="2" a="1"/>
  <c r="N33" i="2" a="1"/>
  <c r="N17" i="2" a="1"/>
  <c r="AD11" i="2" a="1"/>
  <c r="X61" i="2" a="1"/>
  <c r="R49" i="2" a="1"/>
  <c r="AC67" i="2" a="1"/>
  <c r="X33" i="2" a="1"/>
  <c r="X25" i="2" a="1"/>
  <c r="F37" i="2" a="1"/>
  <c r="Y8" i="2" a="1"/>
  <c r="M8" i="2" a="1"/>
  <c r="N43" i="2" a="1"/>
  <c r="X67" i="2" a="1"/>
  <c r="F33" i="2" a="1"/>
  <c r="L67" i="2" a="1"/>
  <c r="G41" i="2" a="1"/>
  <c r="N51" i="2" a="1"/>
  <c r="G43" i="2" a="1"/>
  <c r="AD35" i="2" a="1"/>
  <c r="AD49" i="2" a="1"/>
  <c r="AD55" i="2" a="1"/>
  <c r="AC60" i="2" a="1"/>
  <c r="X44" i="2" a="1"/>
  <c r="X53" i="2" a="1"/>
  <c r="X34" i="2" a="1"/>
  <c r="Q66" i="2" a="1"/>
  <c r="R31" i="2" a="1"/>
  <c r="R27" i="2" a="1"/>
  <c r="R65" i="2" a="1"/>
  <c r="AC66" i="2" a="1"/>
  <c r="S45" i="2" a="1"/>
  <c r="S51" i="2" a="1"/>
  <c r="S15" i="2" a="1"/>
  <c r="X19" i="2" a="1"/>
  <c r="X43" i="2" a="1"/>
  <c r="X49" i="2" a="1"/>
  <c r="X11" i="2" a="1"/>
  <c r="AD67" i="2" a="1"/>
  <c r="F11" i="2" a="1"/>
  <c r="F62" i="2" a="1"/>
  <c r="F31" i="2" a="1"/>
  <c r="F59" i="2" a="1"/>
  <c r="X59" i="2" a="1"/>
  <c r="Y13" i="2" a="1"/>
  <c r="Y10" i="2" a="1"/>
  <c r="Y11" i="2" a="1"/>
  <c r="Y37" i="2" a="1"/>
  <c r="M7" i="2" a="1"/>
  <c r="M49" i="2" a="1"/>
  <c r="M9" i="2" a="1"/>
  <c r="M41" i="2" a="1"/>
  <c r="R67" i="2" a="1"/>
  <c r="G45" i="2" a="1"/>
  <c r="G15" i="2" a="1"/>
  <c r="G19" i="2" a="1"/>
  <c r="N47" i="2" a="1"/>
  <c r="N27" i="2" a="1"/>
  <c r="N31" i="2" a="1"/>
  <c r="N29" i="2" a="1"/>
  <c r="X66" i="2" a="1"/>
  <c r="Y59" i="2" a="1"/>
  <c r="N49" i="2" a="1"/>
  <c r="AD60" i="2" a="1"/>
  <c r="X17" i="2" a="1"/>
  <c r="F67" i="2" a="1"/>
  <c r="Y62" i="2" a="1"/>
  <c r="M10" i="2" a="1"/>
  <c r="G23" i="2" a="1"/>
  <c r="AD68" i="2" a="1"/>
  <c r="G13" i="2" a="1"/>
  <c r="M64" i="2" a="1"/>
  <c r="G59" i="2" a="1"/>
  <c r="M14" i="2" a="1"/>
  <c r="M16" i="2" a="1"/>
  <c r="M50" i="2" a="1"/>
  <c r="AE55" i="2" a="1"/>
  <c r="AE35" i="2" a="1"/>
  <c r="M48" i="2" a="1"/>
  <c r="AE49" i="2" a="1"/>
  <c r="N48" i="2" a="1"/>
  <c r="N42" i="2" a="1"/>
  <c r="N53" i="2" a="1"/>
  <c r="N34" i="2" a="1"/>
  <c r="T17" i="2" a="1"/>
  <c r="T27" i="2" a="1"/>
  <c r="T51" i="2" a="1"/>
  <c r="AF31" i="2" a="1"/>
  <c r="AF13" i="2" a="1"/>
  <c r="AF37" i="2" a="1"/>
  <c r="AF9" i="2" a="1"/>
  <c r="H29" i="2" a="1"/>
  <c r="H17" i="2" a="1"/>
  <c r="H15" i="2" a="1"/>
  <c r="H47" i="2" a="1"/>
  <c r="Z26" i="2" a="1"/>
  <c r="Z14" i="2" a="1"/>
  <c r="Z65" i="2" a="1"/>
  <c r="Z22" i="2" a="1"/>
  <c r="G64" i="2" a="1"/>
  <c r="AE19" i="2" a="1"/>
  <c r="M61" i="2" a="1"/>
  <c r="M63" i="2" a="1"/>
  <c r="AE47" i="2" a="1"/>
  <c r="N46" i="2" a="1"/>
  <c r="N65" i="2" a="1"/>
  <c r="N26" i="2" a="1"/>
  <c r="T62" i="2" a="1"/>
  <c r="AF62" i="2" a="1"/>
  <c r="AF29" i="2" a="1"/>
  <c r="H37" i="2" a="1"/>
  <c r="H55" i="2" a="1"/>
  <c r="Z18" i="2" a="1"/>
  <c r="Z48" i="2" a="1"/>
  <c r="AE27" i="2" a="1"/>
  <c r="M36" i="2" a="1"/>
  <c r="N24" i="2" a="1"/>
  <c r="T31" i="2" a="1"/>
  <c r="T25" i="2" a="1"/>
  <c r="AF43" i="2" a="1"/>
  <c r="H27" i="2" a="1"/>
  <c r="Z38" i="2" a="1"/>
  <c r="AE37" i="2" a="1"/>
  <c r="AE51" i="2" a="1"/>
  <c r="T15" i="2" a="1"/>
  <c r="AF47" i="2" a="1"/>
  <c r="H31" i="2" a="1"/>
  <c r="Z50" i="2" a="1"/>
  <c r="M32" i="2" a="1"/>
  <c r="N12" i="2" a="1"/>
  <c r="M66" i="2" a="1"/>
  <c r="Z63" i="2" a="1"/>
  <c r="N61" i="2" a="1"/>
  <c r="H62" i="2" a="1"/>
  <c r="H43" i="2" a="1"/>
  <c r="AE33" i="2" a="1"/>
  <c r="AF23" i="2" a="1"/>
  <c r="T29" i="2" a="1"/>
  <c r="M67" i="2" a="1"/>
  <c r="AF19" i="2" a="1"/>
  <c r="M34" i="2" a="1"/>
  <c r="AF33" i="2" a="1"/>
  <c r="T41" i="2" a="1"/>
  <c r="AF51" i="2" a="1"/>
  <c r="AF41" i="2" a="1"/>
  <c r="Z42" i="2" a="1"/>
  <c r="AE29" i="2" a="1"/>
  <c r="N28" i="2" a="1"/>
  <c r="T43" i="2" a="1"/>
  <c r="H49" i="2" a="1"/>
  <c r="AE43" i="2" a="1"/>
  <c r="T23" i="2" a="1"/>
  <c r="H65" i="2" a="1"/>
  <c r="Z61" i="2" a="1"/>
  <c r="T9" i="2" a="1"/>
  <c r="Z32" i="2" a="1"/>
  <c r="M38" i="2" a="1"/>
  <c r="M12" i="2" a="1"/>
  <c r="AE17" i="2" a="1"/>
  <c r="AE9" i="2" a="1"/>
  <c r="T55" i="2" a="1"/>
  <c r="H11" i="2" a="1"/>
  <c r="Z16" i="2" a="1"/>
  <c r="AE31" i="2" a="1"/>
  <c r="N63" i="2" a="1"/>
  <c r="T13" i="2" a="1"/>
  <c r="AF55" i="2" a="1"/>
  <c r="H25" i="2" a="1"/>
  <c r="AE11" i="2" a="1"/>
  <c r="N18" i="2" a="1"/>
  <c r="AF17" i="2" a="1"/>
  <c r="Z28" i="2" a="1"/>
  <c r="T11" i="2" a="1"/>
  <c r="Z46" i="2" a="1"/>
  <c r="AE13" i="2" a="1"/>
  <c r="M44" i="2" a="1"/>
  <c r="Z53" i="2" a="1"/>
  <c r="T19" i="2" a="1"/>
  <c r="H13" i="2" a="1"/>
  <c r="AF49" i="2" a="1"/>
  <c r="Z44" i="2" a="1"/>
  <c r="AF25" i="2" a="1"/>
  <c r="M26" i="2" a="1"/>
  <c r="M28" i="2" a="1"/>
  <c r="N10" i="2" a="1"/>
  <c r="H33" i="2" a="1"/>
  <c r="T45" i="2" a="1"/>
  <c r="Z34" i="2" a="1"/>
  <c r="M53" i="2" a="1"/>
  <c r="T49" i="2" a="1"/>
  <c r="Z30" i="2" a="1"/>
  <c r="M18" i="2" a="1"/>
  <c r="AE45" i="2" a="1"/>
  <c r="M42" i="2" a="1"/>
  <c r="AE25" i="2" a="1"/>
  <c r="M65" i="2" a="1"/>
  <c r="M22" i="2" a="1"/>
  <c r="N44" i="2" a="1"/>
  <c r="N22" i="2" a="1"/>
  <c r="AF15" i="2" a="1"/>
  <c r="M24" i="2" a="1"/>
  <c r="M30" i="2" a="1"/>
  <c r="AE41" i="2" a="1"/>
  <c r="N38" i="2" a="1"/>
  <c r="T35" i="2" a="1"/>
  <c r="T47" i="2" a="1"/>
  <c r="AF35" i="2" a="1"/>
  <c r="AF27" i="2" a="1"/>
  <c r="H23" i="2" a="1"/>
  <c r="H41" i="2" a="1"/>
  <c r="Z36" i="2" a="1"/>
  <c r="Z12" i="2" a="1"/>
  <c r="AE23" i="2" a="1"/>
  <c r="AE15" i="2" a="1"/>
  <c r="N32" i="2" a="1"/>
  <c r="N30" i="2" a="1"/>
  <c r="T37" i="2" a="1"/>
  <c r="AF11" i="2" a="1"/>
  <c r="H35" i="2" a="1"/>
  <c r="AE62" i="2" a="1"/>
  <c r="N16" i="2" a="1"/>
  <c r="T33" i="2" a="1"/>
  <c r="H51" i="2" a="1"/>
  <c r="Z24" i="2" a="1"/>
  <c r="M46" i="2" a="1"/>
  <c r="N50" i="2" a="1"/>
  <c r="AF45" i="2" a="1"/>
  <c r="H19" i="2" a="1"/>
  <c r="N36" i="2" a="1"/>
  <c r="H45" i="2" a="1"/>
  <c r="Y30" i="2" a="1"/>
  <c r="Y22" i="2" a="1"/>
  <c r="Y36" i="2" a="1"/>
  <c r="Y42" i="2" a="1"/>
  <c r="Z41" i="2" a="1"/>
  <c r="Z19" i="2" a="1"/>
  <c r="Z31" i="2" a="1"/>
  <c r="Z55" i="2" a="1"/>
  <c r="N66" i="2" a="1"/>
  <c r="AE64" i="2" a="1"/>
  <c r="S60" i="2" a="1"/>
  <c r="T66" i="2" a="1"/>
  <c r="Z59" i="2" a="1"/>
  <c r="T59" i="2" a="1"/>
  <c r="Y28" i="2" a="1"/>
  <c r="Y18" i="2" a="1"/>
  <c r="Z10" i="2" a="1"/>
  <c r="Z33" i="2" a="1"/>
  <c r="Z37" i="2" a="1"/>
  <c r="S68" i="2" a="1"/>
  <c r="Z64" i="2" a="1"/>
  <c r="Y14" i="2" a="1"/>
  <c r="Y46" i="2" a="1"/>
  <c r="Z51" i="2" a="1"/>
  <c r="H59" i="2" a="1"/>
  <c r="T68" i="2" a="1"/>
  <c r="G67" i="2" a="1"/>
  <c r="AE67" i="2" a="1"/>
  <c r="Y26" i="2" a="1"/>
  <c r="Y48" i="2" a="1"/>
  <c r="Z25" i="2" a="1"/>
  <c r="Z49" i="2" a="1"/>
  <c r="T60" i="2" a="1"/>
  <c r="G66" i="2" a="1"/>
  <c r="AE66" i="2" a="1"/>
  <c r="Y44" i="2" a="1"/>
  <c r="Y65" i="2" a="1"/>
  <c r="Z17" i="2" a="1"/>
  <c r="Z43" i="2" a="1"/>
  <c r="N64" i="2" a="1"/>
  <c r="AF67" i="2" a="1"/>
  <c r="Y66" i="2" a="1"/>
  <c r="Y63" i="2" a="1"/>
  <c r="Y38" i="2" a="1"/>
  <c r="Z23" i="2" a="1"/>
  <c r="S59" i="2" a="1"/>
  <c r="N59" i="2" a="1"/>
  <c r="AF66" i="2" a="1"/>
  <c r="Y67" i="2" a="1"/>
  <c r="Y34" i="2" a="1"/>
  <c r="Y24" i="2" a="1"/>
  <c r="Z13" i="2" a="1"/>
  <c r="N67" i="2" a="1"/>
  <c r="AE59" i="2" a="1"/>
  <c r="T67" i="2" a="1"/>
  <c r="T64" i="2" a="1"/>
  <c r="Y53" i="2" a="1"/>
  <c r="Y16" i="2" a="1"/>
  <c r="Z47" i="2" a="1"/>
  <c r="Z9" i="2" a="1"/>
  <c r="S67" i="2" a="1"/>
  <c r="AE68" i="2" a="1"/>
  <c r="AF59" i="2" a="1"/>
  <c r="Y50" i="2" a="1"/>
  <c r="Y32" i="2" a="1"/>
  <c r="Z62" i="2" a="1"/>
  <c r="S66" i="2" a="1"/>
  <c r="H64" i="2" a="1"/>
  <c r="AE60" i="2" a="1"/>
  <c r="AF64" i="2" a="1"/>
  <c r="Y12" i="2" a="1"/>
  <c r="Z27" i="2" a="1"/>
  <c r="Z29" i="2" a="1"/>
  <c r="S64" i="2" a="1"/>
  <c r="AF68" i="2" a="1"/>
  <c r="Z67" i="2" a="1"/>
  <c r="Y61" i="2" a="1"/>
  <c r="Z15" i="2" a="1"/>
  <c r="Z45" i="2" a="1"/>
  <c r="Z35" i="2" a="1"/>
  <c r="AF60" i="2" a="1"/>
  <c r="Z66" i="2" a="1"/>
  <c r="H66" i="2" a="1"/>
  <c r="H60" i="2" a="1"/>
  <c r="H67" i="2" a="1"/>
  <c r="H68" i="2" a="1"/>
  <c r="G68" i="2" a="1"/>
  <c r="G60" i="2" a="1"/>
  <c r="E42" i="2" l="1"/>
  <c r="I19" i="2"/>
  <c r="AC50" i="2"/>
  <c r="E30" i="2"/>
  <c r="I49" i="2"/>
  <c r="Q65" i="2"/>
  <c r="AC16" i="2"/>
  <c r="O9" i="2"/>
  <c r="E65" i="2"/>
  <c r="I23" i="2"/>
  <c r="O22" i="2"/>
  <c r="O12" i="2"/>
  <c r="O38" i="2"/>
  <c r="O28" i="2"/>
  <c r="E8" i="2"/>
  <c r="E12" i="2"/>
  <c r="E16" i="2"/>
  <c r="M11" i="2"/>
  <c r="I25" i="2"/>
  <c r="I47" i="2"/>
  <c r="I14" i="2"/>
  <c r="I17" i="2"/>
  <c r="I10" i="2"/>
  <c r="Q10" i="2"/>
  <c r="Q30" i="2"/>
  <c r="Q44" i="2"/>
  <c r="O13" i="2"/>
  <c r="Y35" i="2"/>
  <c r="Q14" i="2"/>
  <c r="AC61" i="2"/>
  <c r="W35" i="2"/>
  <c r="K11" i="2"/>
  <c r="AC8" i="2"/>
  <c r="AC48" i="2"/>
  <c r="AC42" i="2"/>
  <c r="E7" i="2"/>
  <c r="I37" i="2"/>
  <c r="AE30" i="2"/>
  <c r="O46" i="2"/>
  <c r="AE12" i="2"/>
  <c r="M19" i="2"/>
  <c r="Q16" i="2"/>
  <c r="AA7" i="2"/>
  <c r="E9" i="2"/>
  <c r="Q22" i="2"/>
  <c r="Q50" i="2"/>
  <c r="AC63" i="2"/>
  <c r="O18" i="2"/>
  <c r="O36" i="2"/>
  <c r="D7" i="2"/>
  <c r="O24" i="2"/>
  <c r="O44" i="2"/>
  <c r="O26" i="2"/>
  <c r="O50" i="2"/>
  <c r="E44" i="2"/>
  <c r="E50" i="2"/>
  <c r="E24" i="2"/>
  <c r="M33" i="2"/>
  <c r="I29" i="2"/>
  <c r="I33" i="2"/>
  <c r="I12" i="2"/>
  <c r="I51" i="2"/>
  <c r="Q53" i="2"/>
  <c r="Q7" i="2"/>
  <c r="Q63" i="2"/>
  <c r="Q32" i="2"/>
  <c r="O11" i="2"/>
  <c r="Y23" i="2"/>
  <c r="Q28" i="2"/>
  <c r="AC44" i="2"/>
  <c r="W23" i="2"/>
  <c r="K33" i="2"/>
  <c r="AC7" i="2"/>
  <c r="AC14" i="2"/>
  <c r="AC36" i="2"/>
  <c r="O14" i="2"/>
  <c r="I13" i="2"/>
  <c r="AC12" i="2"/>
  <c r="O53" i="2"/>
  <c r="E53" i="2"/>
  <c r="AC10" i="2"/>
  <c r="E14" i="2"/>
  <c r="Q26" i="2"/>
  <c r="S28" i="2"/>
  <c r="O10" i="2"/>
  <c r="I35" i="2"/>
  <c r="G26" i="2"/>
  <c r="AC18" i="2"/>
  <c r="E18" i="2"/>
  <c r="I15" i="2"/>
  <c r="Q24" i="2"/>
  <c r="I41" i="2"/>
  <c r="O32" i="2"/>
  <c r="E26" i="2"/>
  <c r="D8" i="2"/>
  <c r="AA11" i="2"/>
  <c r="E63" i="2"/>
  <c r="I9" i="2"/>
  <c r="S14" i="2"/>
  <c r="G38" i="2"/>
  <c r="E38" i="2"/>
  <c r="AC32" i="2"/>
  <c r="AC28" i="2"/>
  <c r="AC65" i="2"/>
  <c r="AC34" i="2"/>
  <c r="AC22" i="2"/>
  <c r="E46" i="2"/>
  <c r="S42" i="2"/>
  <c r="I31" i="2"/>
  <c r="AE16" i="2"/>
  <c r="O34" i="2"/>
  <c r="Q48" i="2"/>
  <c r="G53" i="2"/>
  <c r="E48" i="2"/>
  <c r="I27" i="2"/>
  <c r="Q38" i="2"/>
  <c r="AC53" i="2"/>
  <c r="O16" i="2"/>
  <c r="E28" i="2"/>
  <c r="E22" i="2"/>
  <c r="I8" i="2"/>
  <c r="Q18" i="2"/>
  <c r="Q36" i="2"/>
  <c r="Q8" i="2"/>
  <c r="Q34" i="2"/>
  <c r="AA8" i="2"/>
  <c r="O42" i="2"/>
  <c r="O8" i="2"/>
  <c r="O30" i="2"/>
  <c r="O48" i="2"/>
  <c r="E32" i="2"/>
  <c r="E36" i="2"/>
  <c r="E34" i="2"/>
  <c r="E10" i="2"/>
  <c r="D9" i="2"/>
  <c r="I43" i="2"/>
  <c r="I45" i="2"/>
  <c r="I11" i="2"/>
  <c r="I7" i="2"/>
  <c r="Q61" i="2"/>
  <c r="Q46" i="2"/>
  <c r="Q12" i="2"/>
  <c r="O7" i="2"/>
  <c r="Y9" i="2"/>
  <c r="Q42" i="2"/>
  <c r="AC30" i="2"/>
  <c r="W49" i="2"/>
  <c r="K19" i="2"/>
  <c r="AC46" i="2"/>
  <c r="AC24" i="2"/>
  <c r="AC38" i="2"/>
  <c r="AC26" i="2"/>
  <c r="H36" i="2"/>
  <c r="S38" i="2"/>
  <c r="H38" i="2"/>
  <c r="U27" i="2"/>
  <c r="H12" i="2"/>
  <c r="F63" i="2"/>
  <c r="AD42" i="2"/>
  <c r="D22" i="2"/>
  <c r="P32" i="2"/>
  <c r="L7" i="2"/>
  <c r="R22" i="2"/>
  <c r="L11" i="2"/>
  <c r="U29" i="2"/>
  <c r="P8" i="2"/>
  <c r="V7" i="2"/>
  <c r="F32" i="2"/>
  <c r="D24" i="2"/>
  <c r="H48" i="2"/>
  <c r="AD46" i="2"/>
  <c r="P30" i="2"/>
  <c r="X7" i="2"/>
  <c r="Z11" i="2"/>
  <c r="AB46" i="2"/>
  <c r="H42" i="2"/>
  <c r="X8" i="2"/>
  <c r="AD34" i="2"/>
  <c r="AB16" i="2"/>
  <c r="F12" i="2"/>
  <c r="J60" i="2"/>
  <c r="R42" i="2"/>
  <c r="AB50" i="2"/>
  <c r="C44" i="2"/>
  <c r="U13" i="2"/>
  <c r="F10" i="2"/>
  <c r="S24" i="2"/>
  <c r="F16" i="2"/>
  <c r="H34" i="2"/>
  <c r="AD65" i="2"/>
  <c r="P48" i="2"/>
  <c r="F61" i="2"/>
  <c r="AD12" i="2"/>
  <c r="N7" i="2"/>
  <c r="AD50" i="2"/>
  <c r="C38" i="2"/>
  <c r="Z8" i="2"/>
  <c r="C46" i="2"/>
  <c r="H63" i="2"/>
  <c r="H46" i="2"/>
  <c r="F14" i="2"/>
  <c r="V68" i="2"/>
  <c r="R63" i="2"/>
  <c r="R9" i="2"/>
  <c r="C28" i="2"/>
  <c r="F24" i="2"/>
  <c r="H32" i="2"/>
  <c r="R12" i="2"/>
  <c r="S48" i="2"/>
  <c r="H44" i="2"/>
  <c r="F50" i="2"/>
  <c r="AD63" i="2"/>
  <c r="D36" i="2"/>
  <c r="Y60" i="2"/>
  <c r="S44" i="2"/>
  <c r="H30" i="2"/>
  <c r="F18" i="2"/>
  <c r="AD53" i="2"/>
  <c r="D42" i="2"/>
  <c r="H9" i="2"/>
  <c r="F8" i="2"/>
  <c r="R38" i="2"/>
  <c r="R32" i="2"/>
  <c r="AB7" i="2"/>
  <c r="AB61" i="2"/>
  <c r="U10" i="2"/>
  <c r="C48" i="2"/>
  <c r="C7" i="2"/>
  <c r="AA9" i="2"/>
  <c r="G50" i="2"/>
  <c r="H16" i="2"/>
  <c r="F48" i="2"/>
  <c r="AD26" i="2"/>
  <c r="R26" i="2"/>
  <c r="R10" i="2"/>
  <c r="AB8" i="2"/>
  <c r="H61" i="2"/>
  <c r="U68" i="2"/>
  <c r="R53" i="2"/>
  <c r="I60" i="2"/>
  <c r="D38" i="2"/>
  <c r="D26" i="2"/>
  <c r="AB36" i="2"/>
  <c r="AB22" i="2"/>
  <c r="U25" i="2"/>
  <c r="U47" i="2"/>
  <c r="P14" i="2"/>
  <c r="P22" i="2"/>
  <c r="C63" i="2"/>
  <c r="C36" i="2"/>
  <c r="S18" i="2"/>
  <c r="S12" i="2"/>
  <c r="S8" i="2"/>
  <c r="F7" i="2"/>
  <c r="AA50" i="2"/>
  <c r="AA53" i="2"/>
  <c r="C8" i="2"/>
  <c r="W68" i="2"/>
  <c r="G48" i="2"/>
  <c r="G32" i="2"/>
  <c r="G22" i="2"/>
  <c r="J7" i="2"/>
  <c r="AE48" i="2"/>
  <c r="AE8" i="2"/>
  <c r="AE63" i="2"/>
  <c r="AD10" i="2"/>
  <c r="R44" i="2"/>
  <c r="R14" i="2"/>
  <c r="D63" i="2"/>
  <c r="D34" i="2"/>
  <c r="AD7" i="2"/>
  <c r="AB48" i="2"/>
  <c r="R7" i="2"/>
  <c r="U49" i="2"/>
  <c r="U55" i="2"/>
  <c r="H7" i="2"/>
  <c r="P53" i="2"/>
  <c r="P18" i="2"/>
  <c r="C11" i="2"/>
  <c r="S46" i="2"/>
  <c r="AA34" i="2"/>
  <c r="AA30" i="2"/>
  <c r="AA14" i="2"/>
  <c r="AA18" i="2"/>
  <c r="C9" i="2"/>
  <c r="G14" i="2"/>
  <c r="G65" i="2"/>
  <c r="G18" i="2"/>
  <c r="G7" i="2"/>
  <c r="J9" i="2"/>
  <c r="AE46" i="2"/>
  <c r="AE24" i="2"/>
  <c r="AE26" i="2"/>
  <c r="H10" i="2"/>
  <c r="H53" i="2"/>
  <c r="F42" i="2"/>
  <c r="F28" i="2"/>
  <c r="Z7" i="2"/>
  <c r="AD61" i="2"/>
  <c r="AD38" i="2"/>
  <c r="R24" i="2"/>
  <c r="R30" i="2"/>
  <c r="V8" i="2"/>
  <c r="D61" i="2"/>
  <c r="AB14" i="2"/>
  <c r="AB42" i="2"/>
  <c r="R8" i="2"/>
  <c r="U33" i="2"/>
  <c r="Y68" i="2"/>
  <c r="P50" i="2"/>
  <c r="P24" i="2"/>
  <c r="C50" i="2"/>
  <c r="C32" i="2"/>
  <c r="S36" i="2"/>
  <c r="S34" i="2"/>
  <c r="S7" i="2"/>
  <c r="S61" i="2"/>
  <c r="AA38" i="2"/>
  <c r="AA28" i="2"/>
  <c r="AA42" i="2"/>
  <c r="C13" i="2"/>
  <c r="G8" i="2"/>
  <c r="G44" i="2"/>
  <c r="G63" i="2"/>
  <c r="G16" i="2"/>
  <c r="AE18" i="2"/>
  <c r="AE22" i="2"/>
  <c r="AE7" i="2"/>
  <c r="AE32" i="2"/>
  <c r="H28" i="2"/>
  <c r="H24" i="2"/>
  <c r="F22" i="2"/>
  <c r="F46" i="2"/>
  <c r="L8" i="2"/>
  <c r="AD48" i="2"/>
  <c r="AD18" i="2"/>
  <c r="R18" i="2"/>
  <c r="R36" i="2"/>
  <c r="D32" i="2"/>
  <c r="D44" i="2"/>
  <c r="AB38" i="2"/>
  <c r="AB26" i="2"/>
  <c r="AB12" i="2"/>
  <c r="U23" i="2"/>
  <c r="U9" i="2"/>
  <c r="H8" i="2"/>
  <c r="P38" i="2"/>
  <c r="C18" i="2"/>
  <c r="C12" i="2"/>
  <c r="AA10" i="2"/>
  <c r="AD28" i="2"/>
  <c r="D16" i="2"/>
  <c r="AB28" i="2"/>
  <c r="P12" i="2"/>
  <c r="S30" i="2"/>
  <c r="AA44" i="2"/>
  <c r="M68" i="2"/>
  <c r="AE44" i="2"/>
  <c r="AE28" i="2"/>
  <c r="AE65" i="2"/>
  <c r="AE42" i="2"/>
  <c r="U12" i="2"/>
  <c r="AD44" i="2"/>
  <c r="D50" i="2"/>
  <c r="AB10" i="2"/>
  <c r="U51" i="2"/>
  <c r="P28" i="2"/>
  <c r="C10" i="2"/>
  <c r="K60" i="2"/>
  <c r="G30" i="2"/>
  <c r="H26" i="2"/>
  <c r="F26" i="2"/>
  <c r="AD24" i="2"/>
  <c r="R48" i="2"/>
  <c r="D14" i="2"/>
  <c r="D53" i="2"/>
  <c r="AB53" i="2"/>
  <c r="AB30" i="2"/>
  <c r="U37" i="2"/>
  <c r="U19" i="2"/>
  <c r="U15" i="2"/>
  <c r="U45" i="2"/>
  <c r="U7" i="2"/>
  <c r="P61" i="2"/>
  <c r="P63" i="2"/>
  <c r="P44" i="2"/>
  <c r="P34" i="2"/>
  <c r="C24" i="2"/>
  <c r="C22" i="2"/>
  <c r="C16" i="2"/>
  <c r="C42" i="2"/>
  <c r="S50" i="2"/>
  <c r="S65" i="2"/>
  <c r="S16" i="2"/>
  <c r="K68" i="2"/>
  <c r="AA13" i="2"/>
  <c r="AA12" i="2"/>
  <c r="AA46" i="2"/>
  <c r="AA32" i="2"/>
  <c r="M60" i="2"/>
  <c r="G28" i="2"/>
  <c r="G34" i="2"/>
  <c r="G46" i="2"/>
  <c r="G9" i="2"/>
  <c r="AE61" i="2"/>
  <c r="AE38" i="2"/>
  <c r="AE34" i="2"/>
  <c r="AE36" i="2"/>
  <c r="AD16" i="2"/>
  <c r="V9" i="2"/>
  <c r="AB18" i="2"/>
  <c r="U17" i="2"/>
  <c r="P42" i="2"/>
  <c r="S10" i="2"/>
  <c r="AA48" i="2"/>
  <c r="G61" i="2"/>
  <c r="H14" i="2"/>
  <c r="F53" i="2"/>
  <c r="J68" i="2"/>
  <c r="AD14" i="2"/>
  <c r="R50" i="2"/>
  <c r="D10" i="2"/>
  <c r="AB32" i="2"/>
  <c r="R16" i="2"/>
  <c r="R34" i="2"/>
  <c r="D30" i="2"/>
  <c r="U11" i="2"/>
  <c r="P65" i="2"/>
  <c r="C26" i="2"/>
  <c r="S32" i="2"/>
  <c r="AA24" i="2"/>
  <c r="G10" i="2"/>
  <c r="N8" i="2"/>
  <c r="H22" i="2"/>
  <c r="F44" i="2"/>
  <c r="P7" i="2"/>
  <c r="AD30" i="2"/>
  <c r="D12" i="2"/>
  <c r="AB24" i="2"/>
  <c r="N9" i="2"/>
  <c r="H50" i="2"/>
  <c r="H18" i="2"/>
  <c r="X9" i="2"/>
  <c r="F36" i="2"/>
  <c r="F34" i="2"/>
  <c r="F38" i="2"/>
  <c r="F30" i="2"/>
  <c r="V60" i="2"/>
  <c r="P10" i="2"/>
  <c r="AD32" i="2"/>
  <c r="AD36" i="2"/>
  <c r="AD22" i="2"/>
  <c r="U60" i="2"/>
  <c r="R46" i="2"/>
  <c r="R61" i="2"/>
  <c r="R28" i="2"/>
  <c r="I68" i="2"/>
  <c r="D28" i="2"/>
  <c r="D18" i="2"/>
  <c r="D48" i="2"/>
  <c r="D46" i="2"/>
  <c r="AD8" i="2"/>
  <c r="AB65" i="2"/>
  <c r="AB63" i="2"/>
  <c r="AB34" i="2"/>
  <c r="AB44" i="2"/>
  <c r="U35" i="2"/>
  <c r="U43" i="2"/>
  <c r="U41" i="2"/>
  <c r="U31" i="2"/>
  <c r="U8" i="2"/>
  <c r="P46" i="2"/>
  <c r="P36" i="2"/>
  <c r="P16" i="2"/>
  <c r="P26" i="2"/>
  <c r="C34" i="2"/>
  <c r="C14" i="2"/>
  <c r="C30" i="2"/>
  <c r="S22" i="2"/>
  <c r="S53" i="2"/>
  <c r="S63" i="2"/>
  <c r="S26" i="2"/>
  <c r="F9" i="2"/>
  <c r="AA22" i="2"/>
  <c r="AA36" i="2"/>
  <c r="AA16" i="2"/>
  <c r="AA26" i="2"/>
  <c r="W60" i="2"/>
  <c r="G24" i="2"/>
  <c r="G12" i="2"/>
  <c r="G36" i="2"/>
  <c r="J8" i="2"/>
  <c r="AE53" i="2"/>
  <c r="AE10" i="2"/>
  <c r="AE14" i="2"/>
  <c r="AE50" i="2"/>
  <c r="I18" i="2"/>
  <c r="C53" i="2"/>
  <c r="V12" i="2"/>
  <c r="P55" i="2"/>
  <c r="V65" i="2"/>
  <c r="I46" i="2"/>
  <c r="AB35" i="2"/>
  <c r="P11" i="2"/>
  <c r="V36" i="2"/>
  <c r="C64" i="2"/>
  <c r="I36" i="2"/>
  <c r="V43" i="2"/>
  <c r="I59" i="2"/>
  <c r="U44" i="2"/>
  <c r="AB51" i="2"/>
  <c r="P31" i="2"/>
  <c r="AB33" i="2"/>
  <c r="V63" i="2"/>
  <c r="V50" i="2"/>
  <c r="D25" i="2"/>
  <c r="C59" i="2"/>
  <c r="I22" i="2"/>
  <c r="V29" i="2"/>
  <c r="J23" i="2"/>
  <c r="AF16" i="2"/>
  <c r="P37" i="2"/>
  <c r="V48" i="2"/>
  <c r="D29" i="2"/>
  <c r="AA60" i="2"/>
  <c r="I34" i="2"/>
  <c r="I38" i="2"/>
  <c r="V11" i="2"/>
  <c r="U38" i="2"/>
  <c r="AF12" i="2"/>
  <c r="P13" i="2"/>
  <c r="V32" i="2"/>
  <c r="D31" i="2"/>
  <c r="D62" i="2"/>
  <c r="I62" i="2"/>
  <c r="J19" i="2"/>
  <c r="U30" i="2"/>
  <c r="AB43" i="2"/>
  <c r="AB17" i="2"/>
  <c r="P17" i="2"/>
  <c r="P47" i="2"/>
  <c r="D13" i="2"/>
  <c r="D41" i="2"/>
  <c r="C60" i="2"/>
  <c r="I63" i="2"/>
  <c r="I53" i="2"/>
  <c r="V17" i="2"/>
  <c r="J25" i="2"/>
  <c r="U46" i="2"/>
  <c r="I67" i="2"/>
  <c r="V14" i="2"/>
  <c r="P43" i="2"/>
  <c r="AB55" i="2"/>
  <c r="AB62" i="2"/>
  <c r="P19" i="2"/>
  <c r="V34" i="2"/>
  <c r="D51" i="2"/>
  <c r="O64" i="2"/>
  <c r="I30" i="2"/>
  <c r="V27" i="2"/>
  <c r="V41" i="2"/>
  <c r="X68" i="2"/>
  <c r="V24" i="2"/>
  <c r="D45" i="2"/>
  <c r="AB37" i="2"/>
  <c r="AB49" i="2"/>
  <c r="AB13" i="2"/>
  <c r="V10" i="2"/>
  <c r="D49" i="2"/>
  <c r="D35" i="2"/>
  <c r="O59" i="2"/>
  <c r="V31" i="2"/>
  <c r="V49" i="2"/>
  <c r="J51" i="2"/>
  <c r="C17" i="2"/>
  <c r="AB29" i="2"/>
  <c r="C23" i="2"/>
  <c r="I42" i="2"/>
  <c r="D19" i="2"/>
  <c r="AA64" i="2"/>
  <c r="P15" i="2"/>
  <c r="AA66" i="2"/>
  <c r="V45" i="2"/>
  <c r="P49" i="2"/>
  <c r="P27" i="2"/>
  <c r="V26" i="2"/>
  <c r="D65" i="2"/>
  <c r="C66" i="2"/>
  <c r="AA67" i="2"/>
  <c r="T65" i="2"/>
  <c r="P25" i="2"/>
  <c r="O67" i="2"/>
  <c r="V18" i="2"/>
  <c r="V62" i="2"/>
  <c r="V28" i="2"/>
  <c r="O60" i="2"/>
  <c r="C31" i="2"/>
  <c r="V61" i="2"/>
  <c r="T42" i="2"/>
  <c r="AB11" i="2"/>
  <c r="V42" i="2"/>
  <c r="I32" i="2"/>
  <c r="T28" i="2"/>
  <c r="AB47" i="2"/>
  <c r="J17" i="2"/>
  <c r="D27" i="2"/>
  <c r="P35" i="2"/>
  <c r="U67" i="2"/>
  <c r="AB41" i="2"/>
  <c r="AA59" i="2"/>
  <c r="P23" i="2"/>
  <c r="D37" i="2"/>
  <c r="U64" i="2"/>
  <c r="I24" i="2"/>
  <c r="J45" i="2"/>
  <c r="D47" i="2"/>
  <c r="J49" i="2"/>
  <c r="AB23" i="2"/>
  <c r="AB25" i="2"/>
  <c r="P9" i="2"/>
  <c r="AB45" i="2"/>
  <c r="AB27" i="2"/>
  <c r="P62" i="2"/>
  <c r="AB31" i="2"/>
  <c r="P45" i="2"/>
  <c r="I66" i="2"/>
  <c r="V22" i="2"/>
  <c r="V44" i="2"/>
  <c r="V53" i="2"/>
  <c r="D33" i="2"/>
  <c r="D55" i="2"/>
  <c r="D15" i="2"/>
  <c r="D17" i="2"/>
  <c r="C67" i="2"/>
  <c r="C68" i="2"/>
  <c r="O68" i="2"/>
  <c r="I50" i="2"/>
  <c r="I16" i="2"/>
  <c r="I26" i="2"/>
  <c r="I28" i="2"/>
  <c r="V19" i="2"/>
  <c r="V37" i="2"/>
  <c r="V51" i="2"/>
  <c r="U59" i="2"/>
  <c r="I64" i="2"/>
  <c r="J13" i="2"/>
  <c r="J31" i="2"/>
  <c r="J47" i="2"/>
  <c r="U24" i="2"/>
  <c r="U65" i="2"/>
  <c r="U34" i="2"/>
  <c r="U26" i="2"/>
  <c r="X60" i="2"/>
  <c r="C51" i="2"/>
  <c r="C47" i="2"/>
  <c r="C33" i="2"/>
  <c r="C27" i="2"/>
  <c r="T50" i="2"/>
  <c r="T53" i="2"/>
  <c r="T16" i="2"/>
  <c r="T12" i="2"/>
  <c r="AF46" i="2"/>
  <c r="AF65" i="2"/>
  <c r="AF28" i="2"/>
  <c r="AF48" i="2"/>
  <c r="O27" i="2"/>
  <c r="O55" i="2"/>
  <c r="O63" i="2"/>
  <c r="AA61" i="2"/>
  <c r="AA29" i="2"/>
  <c r="AA51" i="2"/>
  <c r="AA41" i="2"/>
  <c r="AF18" i="2"/>
  <c r="O49" i="2"/>
  <c r="AA55" i="2"/>
  <c r="AF36" i="2"/>
  <c r="AF14" i="2"/>
  <c r="O23" i="2"/>
  <c r="O37" i="2"/>
  <c r="AA43" i="2"/>
  <c r="AA47" i="2"/>
  <c r="AA45" i="2"/>
  <c r="U63" i="2"/>
  <c r="C19" i="2"/>
  <c r="C25" i="2"/>
  <c r="T44" i="2"/>
  <c r="T46" i="2"/>
  <c r="AF8" i="2"/>
  <c r="AF63" i="2"/>
  <c r="AF34" i="2"/>
  <c r="O29" i="2"/>
  <c r="O47" i="2"/>
  <c r="O31" i="2"/>
  <c r="O25" i="2"/>
  <c r="AA62" i="2"/>
  <c r="AA35" i="2"/>
  <c r="AA27" i="2"/>
  <c r="AA37" i="2"/>
  <c r="U42" i="2"/>
  <c r="U14" i="2"/>
  <c r="U22" i="2"/>
  <c r="T8" i="2"/>
  <c r="C37" i="2"/>
  <c r="C49" i="2"/>
  <c r="T14" i="2"/>
  <c r="AF32" i="2"/>
  <c r="J12" i="2"/>
  <c r="J27" i="2"/>
  <c r="U61" i="2"/>
  <c r="T10" i="2"/>
  <c r="C62" i="2"/>
  <c r="T30" i="2"/>
  <c r="T63" i="2"/>
  <c r="T18" i="2"/>
  <c r="T61" i="2"/>
  <c r="AF61" i="2"/>
  <c r="AF10" i="2"/>
  <c r="AF38" i="2"/>
  <c r="O62" i="2"/>
  <c r="O65" i="2"/>
  <c r="O61" i="2"/>
  <c r="O33" i="2"/>
  <c r="AA17" i="2"/>
  <c r="AA49" i="2"/>
  <c r="AA33" i="2"/>
  <c r="AA19" i="2"/>
  <c r="J29" i="2"/>
  <c r="J35" i="2"/>
  <c r="U50" i="2"/>
  <c r="U48" i="2"/>
  <c r="U36" i="2"/>
  <c r="C45" i="2"/>
  <c r="C29" i="2"/>
  <c r="AF7" i="2"/>
  <c r="V13" i="2"/>
  <c r="V47" i="2"/>
  <c r="Z60" i="2"/>
  <c r="J37" i="2"/>
  <c r="J41" i="2"/>
  <c r="U32" i="2"/>
  <c r="T7" i="2"/>
  <c r="C15" i="2"/>
  <c r="T48" i="2"/>
  <c r="T38" i="2"/>
  <c r="AF42" i="2"/>
  <c r="AF24" i="2"/>
  <c r="O19" i="2"/>
  <c r="O43" i="2"/>
  <c r="O15" i="2"/>
  <c r="AA23" i="2"/>
  <c r="AA31" i="2"/>
  <c r="AA65" i="2"/>
  <c r="L68" i="2"/>
  <c r="I55" i="2"/>
  <c r="V33" i="2"/>
  <c r="V55" i="2"/>
  <c r="J11" i="2"/>
  <c r="J15" i="2"/>
  <c r="U62" i="2"/>
  <c r="U53" i="2"/>
  <c r="N68" i="2"/>
  <c r="C43" i="2"/>
  <c r="C41" i="2"/>
  <c r="T32" i="2"/>
  <c r="T34" i="2"/>
  <c r="AF22" i="2"/>
  <c r="AF26" i="2"/>
  <c r="O51" i="2"/>
  <c r="AB9" i="2"/>
  <c r="AB19" i="2"/>
  <c r="P41" i="2"/>
  <c r="P33" i="2"/>
  <c r="AB15" i="2"/>
  <c r="P29" i="2"/>
  <c r="P51" i="2"/>
  <c r="V38" i="2"/>
  <c r="V46" i="2"/>
  <c r="V16" i="2"/>
  <c r="V30" i="2"/>
  <c r="D43" i="2"/>
  <c r="D11" i="2"/>
  <c r="D23" i="2"/>
  <c r="U66" i="2"/>
  <c r="AA68" i="2"/>
  <c r="O66" i="2"/>
  <c r="I48" i="2"/>
  <c r="I61" i="2"/>
  <c r="I65" i="2"/>
  <c r="I44" i="2"/>
  <c r="V23" i="2"/>
  <c r="V15" i="2"/>
  <c r="V25" i="2"/>
  <c r="V35" i="2"/>
  <c r="Z68" i="2"/>
  <c r="J33" i="2"/>
  <c r="J43" i="2"/>
  <c r="J62" i="2"/>
  <c r="J55" i="2"/>
  <c r="U28" i="2"/>
  <c r="U18" i="2"/>
  <c r="U16" i="2"/>
  <c r="N60" i="2"/>
  <c r="C61" i="2"/>
  <c r="C55" i="2"/>
  <c r="C65" i="2"/>
  <c r="C35" i="2"/>
  <c r="T36" i="2"/>
  <c r="T24" i="2"/>
  <c r="T22" i="2"/>
  <c r="T26" i="2"/>
  <c r="AF30" i="2"/>
  <c r="AF53" i="2"/>
  <c r="AF44" i="2"/>
  <c r="AF50" i="2"/>
  <c r="O17" i="2"/>
  <c r="O45" i="2"/>
  <c r="O41" i="2"/>
  <c r="O35" i="2"/>
  <c r="AA25" i="2"/>
  <c r="AA63" i="2"/>
  <c r="AA15" i="2"/>
  <c r="L60" i="2"/>
  <c r="L53" i="2"/>
  <c r="L14" i="2"/>
  <c r="E64" i="2"/>
  <c r="Q68" i="2"/>
  <c r="L50" i="2"/>
  <c r="L28" i="2"/>
  <c r="L26" i="2"/>
  <c r="E67" i="2"/>
  <c r="K67" i="2"/>
  <c r="K64" i="2"/>
  <c r="K14" i="2"/>
  <c r="K30" i="2"/>
  <c r="K46" i="2"/>
  <c r="W22" i="2"/>
  <c r="W26" i="2"/>
  <c r="W18" i="2"/>
  <c r="W32" i="2"/>
  <c r="P66" i="2"/>
  <c r="V66" i="2"/>
  <c r="E62" i="2"/>
  <c r="E47" i="2"/>
  <c r="E35" i="2"/>
  <c r="E23" i="2"/>
  <c r="L25" i="2"/>
  <c r="L9" i="2"/>
  <c r="L27" i="2"/>
  <c r="W29" i="2"/>
  <c r="W47" i="2"/>
  <c r="W33" i="2"/>
  <c r="W10" i="2"/>
  <c r="Q33" i="2"/>
  <c r="Q49" i="2"/>
  <c r="AB64" i="2"/>
  <c r="Q23" i="2"/>
  <c r="P64" i="2"/>
  <c r="AC27" i="2"/>
  <c r="AC45" i="2"/>
  <c r="AC55" i="2"/>
  <c r="AC49" i="2"/>
  <c r="J32" i="2"/>
  <c r="J16" i="2"/>
  <c r="J10" i="2"/>
  <c r="J50" i="2"/>
  <c r="K55" i="2"/>
  <c r="K15" i="2"/>
  <c r="K45" i="2"/>
  <c r="D66" i="2"/>
  <c r="L48" i="2"/>
  <c r="K66" i="2"/>
  <c r="K59" i="2"/>
  <c r="K26" i="2"/>
  <c r="W65" i="2"/>
  <c r="W38" i="2"/>
  <c r="W46" i="2"/>
  <c r="V67" i="2"/>
  <c r="E51" i="2"/>
  <c r="E43" i="2"/>
  <c r="L29" i="2"/>
  <c r="W25" i="2"/>
  <c r="W13" i="2"/>
  <c r="Q11" i="2"/>
  <c r="Q25" i="2"/>
  <c r="D64" i="2"/>
  <c r="AC29" i="2"/>
  <c r="AC41" i="2"/>
  <c r="AC11" i="2"/>
  <c r="J18" i="2"/>
  <c r="J44" i="2"/>
  <c r="J22" i="2"/>
  <c r="J34" i="2"/>
  <c r="K49" i="2"/>
  <c r="K25" i="2"/>
  <c r="K17" i="2"/>
  <c r="D67" i="2"/>
  <c r="L63" i="2"/>
  <c r="E66" i="2"/>
  <c r="K22" i="2"/>
  <c r="K24" i="2"/>
  <c r="W12" i="2"/>
  <c r="P67" i="2"/>
  <c r="E25" i="2"/>
  <c r="E15" i="2"/>
  <c r="L37" i="2"/>
  <c r="L41" i="2"/>
  <c r="W27" i="2"/>
  <c r="W37" i="2"/>
  <c r="Q45" i="2"/>
  <c r="Q15" i="2"/>
  <c r="AC23" i="2"/>
  <c r="L16" i="2"/>
  <c r="L38" i="2"/>
  <c r="K48" i="2"/>
  <c r="K53" i="2"/>
  <c r="W24" i="2"/>
  <c r="W16" i="2"/>
  <c r="W61" i="2"/>
  <c r="P60" i="2"/>
  <c r="E13" i="2"/>
  <c r="L62" i="2"/>
  <c r="W11" i="2"/>
  <c r="W51" i="2"/>
  <c r="Q13" i="2"/>
  <c r="Q47" i="2"/>
  <c r="J67" i="2"/>
  <c r="AC43" i="2"/>
  <c r="AC47" i="2"/>
  <c r="D68" i="2"/>
  <c r="J42" i="2"/>
  <c r="J46" i="2"/>
  <c r="J36" i="2"/>
  <c r="K35" i="2"/>
  <c r="K8" i="2"/>
  <c r="K41" i="2"/>
  <c r="K62" i="2"/>
  <c r="J64" i="2"/>
  <c r="AC64" i="2"/>
  <c r="K12" i="2"/>
  <c r="K34" i="2"/>
  <c r="W28" i="2"/>
  <c r="AB60" i="2"/>
  <c r="E29" i="2"/>
  <c r="E55" i="2"/>
  <c r="L10" i="2"/>
  <c r="L15" i="2"/>
  <c r="L55" i="2"/>
  <c r="W31" i="2"/>
  <c r="W45" i="2"/>
  <c r="Q35" i="2"/>
  <c r="Q17" i="2"/>
  <c r="AC35" i="2"/>
  <c r="Q60" i="2"/>
  <c r="L12" i="2"/>
  <c r="L44" i="2"/>
  <c r="K44" i="2"/>
  <c r="K18" i="2"/>
  <c r="W44" i="2"/>
  <c r="E45" i="2"/>
  <c r="L17" i="2"/>
  <c r="L13" i="2"/>
  <c r="W15" i="2"/>
  <c r="Q31" i="2"/>
  <c r="Q51" i="2"/>
  <c r="J66" i="2"/>
  <c r="AC13" i="2"/>
  <c r="AC19" i="2"/>
  <c r="AC51" i="2"/>
  <c r="J48" i="2"/>
  <c r="J65" i="2"/>
  <c r="J28" i="2"/>
  <c r="K37" i="2"/>
  <c r="K29" i="2"/>
  <c r="K7" i="2"/>
  <c r="K51" i="2"/>
  <c r="J59" i="2"/>
  <c r="L36" i="2"/>
  <c r="L18" i="2"/>
  <c r="L34" i="2"/>
  <c r="W66" i="2"/>
  <c r="K61" i="2"/>
  <c r="W34" i="2"/>
  <c r="AB68" i="2"/>
  <c r="E41" i="2"/>
  <c r="L47" i="2"/>
  <c r="W17" i="2"/>
  <c r="W55" i="2"/>
  <c r="Q41" i="2"/>
  <c r="Q55" i="2"/>
  <c r="D60" i="2"/>
  <c r="W67" i="2"/>
  <c r="L24" i="2"/>
  <c r="K65" i="2"/>
  <c r="W63" i="2"/>
  <c r="P68" i="2"/>
  <c r="L33" i="2"/>
  <c r="L30" i="2"/>
  <c r="L32" i="2"/>
  <c r="L42" i="2"/>
  <c r="W64" i="2"/>
  <c r="K32" i="2"/>
  <c r="K16" i="2"/>
  <c r="W48" i="2"/>
  <c r="W50" i="2"/>
  <c r="W42" i="2"/>
  <c r="Q59" i="2"/>
  <c r="AB66" i="2"/>
  <c r="E17" i="2"/>
  <c r="E27" i="2"/>
  <c r="E37" i="2"/>
  <c r="E19" i="2"/>
  <c r="L35" i="2"/>
  <c r="L23" i="2"/>
  <c r="L49" i="2"/>
  <c r="L51" i="2"/>
  <c r="W9" i="2"/>
  <c r="W8" i="2"/>
  <c r="W41" i="2"/>
  <c r="Q19" i="2"/>
  <c r="Q62" i="2"/>
  <c r="Q27" i="2"/>
  <c r="Q29" i="2"/>
  <c r="D59" i="2"/>
  <c r="AC9" i="2"/>
  <c r="AC15" i="2"/>
  <c r="AC25" i="2"/>
  <c r="AC62" i="2"/>
  <c r="J26" i="2"/>
  <c r="J38" i="2"/>
  <c r="J53" i="2"/>
  <c r="J30" i="2"/>
  <c r="K13" i="2"/>
  <c r="K43" i="2"/>
  <c r="K27" i="2"/>
  <c r="K9" i="2"/>
  <c r="V64" i="2"/>
  <c r="L46" i="2"/>
  <c r="L65" i="2"/>
  <c r="AC59" i="2"/>
  <c r="W53" i="2"/>
  <c r="E11" i="2"/>
  <c r="W19" i="2"/>
  <c r="L22" i="2"/>
  <c r="E59" i="2"/>
  <c r="K36" i="2"/>
  <c r="K28" i="2"/>
  <c r="L61" i="2"/>
  <c r="W59" i="2"/>
  <c r="K63" i="2"/>
  <c r="K42" i="2"/>
  <c r="K38" i="2"/>
  <c r="K50" i="2"/>
  <c r="W30" i="2"/>
  <c r="W36" i="2"/>
  <c r="W14" i="2"/>
  <c r="Q64" i="2"/>
  <c r="AB67" i="2"/>
  <c r="E33" i="2"/>
  <c r="E31" i="2"/>
  <c r="E49" i="2"/>
  <c r="E61" i="2"/>
  <c r="L43" i="2"/>
  <c r="L19" i="2"/>
  <c r="L31" i="2"/>
  <c r="L45" i="2"/>
  <c r="W62" i="2"/>
  <c r="W7" i="2"/>
  <c r="W43" i="2"/>
  <c r="Q9" i="2"/>
  <c r="Q37" i="2"/>
  <c r="AB59" i="2"/>
  <c r="Q43" i="2"/>
  <c r="P59" i="2"/>
  <c r="AC33" i="2"/>
  <c r="AC37" i="2"/>
  <c r="AC17" i="2"/>
  <c r="AC31" i="2"/>
  <c r="J14" i="2"/>
  <c r="J61" i="2"/>
  <c r="J24" i="2"/>
  <c r="J63" i="2"/>
  <c r="K47" i="2"/>
  <c r="K10" i="2"/>
  <c r="K31" i="2"/>
  <c r="K23" i="2"/>
  <c r="V59" i="2"/>
  <c r="M64" i="2"/>
  <c r="G13" i="2"/>
  <c r="AD68" i="2"/>
  <c r="G23" i="2"/>
  <c r="M10" i="2"/>
  <c r="Y62" i="2"/>
  <c r="F67" i="2"/>
  <c r="X17" i="2"/>
  <c r="AD60" i="2"/>
  <c r="N49" i="2"/>
  <c r="Y59" i="2"/>
  <c r="X66" i="2"/>
  <c r="N29" i="2"/>
  <c r="N31" i="2"/>
  <c r="N27" i="2"/>
  <c r="N47" i="2"/>
  <c r="G19" i="2"/>
  <c r="G15" i="2"/>
  <c r="G45" i="2"/>
  <c r="R67" i="2"/>
  <c r="M41" i="2"/>
  <c r="M9" i="2"/>
  <c r="M49" i="2"/>
  <c r="M7" i="2"/>
  <c r="Y37" i="2"/>
  <c r="Y11" i="2"/>
  <c r="Y10" i="2"/>
  <c r="Y13" i="2"/>
  <c r="X59" i="2"/>
  <c r="F59" i="2"/>
  <c r="F31" i="2"/>
  <c r="F62" i="2"/>
  <c r="F11" i="2"/>
  <c r="AD67" i="2"/>
  <c r="X11" i="2"/>
  <c r="X49" i="2"/>
  <c r="X43" i="2"/>
  <c r="X19" i="2"/>
  <c r="S15" i="2"/>
  <c r="S51" i="2"/>
  <c r="S45" i="2"/>
  <c r="AC66" i="2"/>
  <c r="R65" i="2"/>
  <c r="R27" i="2"/>
  <c r="R31" i="2"/>
  <c r="Q66" i="2"/>
  <c r="X34" i="2"/>
  <c r="X53" i="2"/>
  <c r="X44" i="2"/>
  <c r="AC60" i="2"/>
  <c r="AD55" i="2"/>
  <c r="AD49" i="2"/>
  <c r="AD35" i="2"/>
  <c r="G43" i="2"/>
  <c r="N51" i="2"/>
  <c r="G41" i="2"/>
  <c r="L67" i="2"/>
  <c r="F33" i="2"/>
  <c r="X67" i="2"/>
  <c r="N43" i="2"/>
  <c r="M8" i="2"/>
  <c r="Y8" i="2"/>
  <c r="F37" i="2"/>
  <c r="X25" i="2"/>
  <c r="X33" i="2"/>
  <c r="AC67" i="2"/>
  <c r="R49" i="2"/>
  <c r="X61" i="2"/>
  <c r="AD11" i="2"/>
  <c r="N17" i="2"/>
  <c r="N33" i="2"/>
  <c r="G51" i="2"/>
  <c r="R66" i="2"/>
  <c r="M31" i="2"/>
  <c r="Y55" i="2"/>
  <c r="F64" i="2"/>
  <c r="F25" i="2"/>
  <c r="X35" i="2"/>
  <c r="S19" i="2"/>
  <c r="S49" i="2"/>
  <c r="R45" i="2"/>
  <c r="R13" i="2"/>
  <c r="Q67" i="2"/>
  <c r="X26" i="2"/>
  <c r="X18" i="2"/>
  <c r="AC68" i="2"/>
  <c r="AD25" i="2"/>
  <c r="AD23" i="2"/>
  <c r="Y64" i="2"/>
  <c r="N13" i="2"/>
  <c r="G11" i="2"/>
  <c r="M62" i="2"/>
  <c r="X64" i="2"/>
  <c r="X51" i="2"/>
  <c r="M59" i="2"/>
  <c r="N62" i="2"/>
  <c r="G35" i="2"/>
  <c r="G31" i="2"/>
  <c r="R60" i="2"/>
  <c r="M35" i="2"/>
  <c r="M55" i="2"/>
  <c r="AD64" i="2"/>
  <c r="Y33" i="2"/>
  <c r="Y47" i="2"/>
  <c r="Y45" i="2"/>
  <c r="R64" i="2"/>
  <c r="F27" i="2"/>
  <c r="F43" i="2"/>
  <c r="F45" i="2"/>
  <c r="F35" i="2"/>
  <c r="L64" i="2"/>
  <c r="X31" i="2"/>
  <c r="X29" i="2"/>
  <c r="X47" i="2"/>
  <c r="S27" i="2"/>
  <c r="S47" i="2"/>
  <c r="S25" i="2"/>
  <c r="S11" i="2"/>
  <c r="R15" i="2"/>
  <c r="R41" i="2"/>
  <c r="R33" i="2"/>
  <c r="R19" i="2"/>
  <c r="X22" i="2"/>
  <c r="X32" i="2"/>
  <c r="X38" i="2"/>
  <c r="X14" i="2"/>
  <c r="AD15" i="2"/>
  <c r="AD47" i="2"/>
  <c r="AD37" i="2"/>
  <c r="AD29" i="2"/>
  <c r="N25" i="2"/>
  <c r="N37" i="2"/>
  <c r="G33" i="2"/>
  <c r="M13" i="2"/>
  <c r="Y49" i="2"/>
  <c r="Y27" i="2"/>
  <c r="F51" i="2"/>
  <c r="AD66" i="2"/>
  <c r="S41" i="2"/>
  <c r="F60" i="2"/>
  <c r="N11" i="2"/>
  <c r="N45" i="2"/>
  <c r="G17" i="2"/>
  <c r="G37" i="2"/>
  <c r="M23" i="2"/>
  <c r="Y19" i="2"/>
  <c r="N23" i="2"/>
  <c r="M43" i="2"/>
  <c r="M47" i="2"/>
  <c r="Y25" i="2"/>
  <c r="Y7" i="2"/>
  <c r="F41" i="2"/>
  <c r="F49" i="2"/>
  <c r="X55" i="2"/>
  <c r="S23" i="2"/>
  <c r="R11" i="2"/>
  <c r="R29" i="2"/>
  <c r="X46" i="2"/>
  <c r="AD17" i="2"/>
  <c r="F68" i="2"/>
  <c r="M51" i="2"/>
  <c r="AD59" i="2"/>
  <c r="Y31" i="2"/>
  <c r="Y43" i="2"/>
  <c r="E60" i="2"/>
  <c r="F23" i="2"/>
  <c r="F65" i="2"/>
  <c r="L59" i="2"/>
  <c r="X15" i="2"/>
  <c r="X45" i="2"/>
  <c r="S13" i="2"/>
  <c r="S35" i="2"/>
  <c r="S37" i="2"/>
  <c r="R17" i="2"/>
  <c r="R43" i="2"/>
  <c r="X30" i="2"/>
  <c r="X12" i="2"/>
  <c r="X50" i="2"/>
  <c r="AD9" i="2"/>
  <c r="AD41" i="2"/>
  <c r="AD51" i="2"/>
  <c r="G47" i="2"/>
  <c r="N35" i="2"/>
  <c r="M17" i="2"/>
  <c r="R59" i="2"/>
  <c r="F55" i="2"/>
  <c r="X23" i="2"/>
  <c r="S62" i="2"/>
  <c r="R47" i="2"/>
  <c r="X65" i="2"/>
  <c r="AD45" i="2"/>
  <c r="R68" i="2"/>
  <c r="N41" i="2"/>
  <c r="G55" i="2"/>
  <c r="M27" i="2"/>
  <c r="Y51" i="2"/>
  <c r="F47" i="2"/>
  <c r="X10" i="2"/>
  <c r="S17" i="2"/>
  <c r="S55" i="2"/>
  <c r="S31" i="2"/>
  <c r="R62" i="2"/>
  <c r="R55" i="2"/>
  <c r="R37" i="2"/>
  <c r="X48" i="2"/>
  <c r="X42" i="2"/>
  <c r="X16" i="2"/>
  <c r="AD62" i="2"/>
  <c r="AD19" i="2"/>
  <c r="AD43" i="2"/>
  <c r="G25" i="2"/>
  <c r="N15" i="2"/>
  <c r="G29" i="2"/>
  <c r="M25" i="2"/>
  <c r="Y17" i="2"/>
  <c r="F17" i="2"/>
  <c r="X62" i="2"/>
  <c r="N55" i="2"/>
  <c r="N19" i="2"/>
  <c r="N14" i="2"/>
  <c r="G62" i="2"/>
  <c r="G49" i="2"/>
  <c r="G27" i="2"/>
  <c r="G42" i="2"/>
  <c r="M37" i="2"/>
  <c r="M15" i="2"/>
  <c r="M45" i="2"/>
  <c r="M29" i="2"/>
  <c r="L66" i="2"/>
  <c r="Y29" i="2"/>
  <c r="Y41" i="2"/>
  <c r="Y15" i="2"/>
  <c r="F66" i="2"/>
  <c r="E68" i="2"/>
  <c r="F15" i="2"/>
  <c r="F19" i="2"/>
  <c r="F13" i="2"/>
  <c r="F29" i="2"/>
  <c r="X27" i="2"/>
  <c r="X41" i="2"/>
  <c r="X13" i="2"/>
  <c r="X37" i="2"/>
  <c r="S29" i="2"/>
  <c r="S9" i="2"/>
  <c r="S43" i="2"/>
  <c r="S33" i="2"/>
  <c r="R51" i="2"/>
  <c r="R23" i="2"/>
  <c r="R35" i="2"/>
  <c r="R25" i="2"/>
  <c r="X24" i="2"/>
  <c r="X36" i="2"/>
  <c r="X63" i="2"/>
  <c r="X28" i="2"/>
  <c r="AD13" i="2"/>
  <c r="AD31" i="2"/>
  <c r="AD27" i="2"/>
  <c r="AD33" i="2"/>
  <c r="H45" i="2"/>
  <c r="N36" i="2"/>
  <c r="H19" i="2"/>
  <c r="AF45" i="2"/>
  <c r="N50" i="2"/>
  <c r="M46" i="2"/>
  <c r="Z24" i="2"/>
  <c r="H51" i="2"/>
  <c r="T33" i="2"/>
  <c r="N16" i="2"/>
  <c r="AE62" i="2"/>
  <c r="H35" i="2"/>
  <c r="AF11" i="2"/>
  <c r="T37" i="2"/>
  <c r="N30" i="2"/>
  <c r="N32" i="2"/>
  <c r="AE15" i="2"/>
  <c r="AE23" i="2"/>
  <c r="Z12" i="2"/>
  <c r="Z36" i="2"/>
  <c r="H41" i="2"/>
  <c r="H23" i="2"/>
  <c r="AF27" i="2"/>
  <c r="AF35" i="2"/>
  <c r="T47" i="2"/>
  <c r="T35" i="2"/>
  <c r="N38" i="2"/>
  <c r="AE41" i="2"/>
  <c r="M30" i="2"/>
  <c r="M24" i="2"/>
  <c r="AF15" i="2"/>
  <c r="N22" i="2"/>
  <c r="N44" i="2"/>
  <c r="M22" i="2"/>
  <c r="M65" i="2"/>
  <c r="AE25" i="2"/>
  <c r="M42" i="2"/>
  <c r="AE45" i="2"/>
  <c r="M18" i="2"/>
  <c r="Z30" i="2"/>
  <c r="T49" i="2"/>
  <c r="M53" i="2"/>
  <c r="Z34" i="2"/>
  <c r="T45" i="2"/>
  <c r="H33" i="2"/>
  <c r="N10" i="2"/>
  <c r="M28" i="2"/>
  <c r="M26" i="2"/>
  <c r="AF25" i="2"/>
  <c r="Z44" i="2"/>
  <c r="AF49" i="2"/>
  <c r="H13" i="2"/>
  <c r="T19" i="2"/>
  <c r="Z53" i="2"/>
  <c r="M44" i="2"/>
  <c r="AE13" i="2"/>
  <c r="Z46" i="2"/>
  <c r="T11" i="2"/>
  <c r="Z28" i="2"/>
  <c r="AF17" i="2"/>
  <c r="N18" i="2"/>
  <c r="AE11" i="2"/>
  <c r="H25" i="2"/>
  <c r="AF55" i="2"/>
  <c r="T13" i="2"/>
  <c r="N63" i="2"/>
  <c r="AE31" i="2"/>
  <c r="Z16" i="2"/>
  <c r="H11" i="2"/>
  <c r="T55" i="2"/>
  <c r="AE9" i="2"/>
  <c r="AE17" i="2"/>
  <c r="M12" i="2"/>
  <c r="M38" i="2"/>
  <c r="Z32" i="2"/>
  <c r="T9" i="2"/>
  <c r="Z61" i="2"/>
  <c r="H65" i="2"/>
  <c r="T23" i="2"/>
  <c r="AE43" i="2"/>
  <c r="H49" i="2"/>
  <c r="T43" i="2"/>
  <c r="N28" i="2"/>
  <c r="AE29" i="2"/>
  <c r="Z42" i="2"/>
  <c r="AF41" i="2"/>
  <c r="AF51" i="2"/>
  <c r="T41" i="2"/>
  <c r="AF33" i="2"/>
  <c r="M34" i="2"/>
  <c r="AF19" i="2"/>
  <c r="M67" i="2"/>
  <c r="T29" i="2"/>
  <c r="AF23" i="2"/>
  <c r="AE33" i="2"/>
  <c r="H43" i="2"/>
  <c r="H62" i="2"/>
  <c r="N61" i="2"/>
  <c r="Z63" i="2"/>
  <c r="M66" i="2"/>
  <c r="N12" i="2"/>
  <c r="M32" i="2"/>
  <c r="Z50" i="2"/>
  <c r="H31" i="2"/>
  <c r="AF47" i="2"/>
  <c r="T15" i="2"/>
  <c r="AE51" i="2"/>
  <c r="AE37" i="2"/>
  <c r="Z38" i="2"/>
  <c r="H27" i="2"/>
  <c r="AF43" i="2"/>
  <c r="T25" i="2"/>
  <c r="T31" i="2"/>
  <c r="N24" i="2"/>
  <c r="M36" i="2"/>
  <c r="AE27" i="2"/>
  <c r="Z48" i="2"/>
  <c r="Z18" i="2"/>
  <c r="H55" i="2"/>
  <c r="H37" i="2"/>
  <c r="AF29" i="2"/>
  <c r="AF62" i="2"/>
  <c r="T62" i="2"/>
  <c r="N26" i="2"/>
  <c r="N65" i="2"/>
  <c r="N46" i="2"/>
  <c r="AE47" i="2"/>
  <c r="M63" i="2"/>
  <c r="M61" i="2"/>
  <c r="AE19" i="2"/>
  <c r="G64" i="2"/>
  <c r="Z22" i="2"/>
  <c r="Z65" i="2"/>
  <c r="Z14" i="2"/>
  <c r="Z26" i="2"/>
  <c r="H47" i="2"/>
  <c r="H15" i="2"/>
  <c r="H17" i="2"/>
  <c r="H29" i="2"/>
  <c r="AF9" i="2"/>
  <c r="AF37" i="2"/>
  <c r="AF13" i="2"/>
  <c r="AF31" i="2"/>
  <c r="T51" i="2"/>
  <c r="T27" i="2"/>
  <c r="T17" i="2"/>
  <c r="N34" i="2"/>
  <c r="N53" i="2"/>
  <c r="N42" i="2"/>
  <c r="N48" i="2"/>
  <c r="AE49" i="2"/>
  <c r="M48" i="2"/>
  <c r="AE35" i="2"/>
  <c r="AE55" i="2"/>
  <c r="M50" i="2"/>
  <c r="M16" i="2"/>
  <c r="M14" i="2"/>
  <c r="G59" i="2"/>
  <c r="Z66" i="2"/>
  <c r="AF60" i="2"/>
  <c r="Z35" i="2"/>
  <c r="Z45" i="2"/>
  <c r="Z15" i="2"/>
  <c r="Y61" i="2"/>
  <c r="Z67" i="2"/>
  <c r="AF68" i="2"/>
  <c r="S64" i="2"/>
  <c r="Z29" i="2"/>
  <c r="Z27" i="2"/>
  <c r="Y12" i="2"/>
  <c r="AF64" i="2"/>
  <c r="AE60" i="2"/>
  <c r="H64" i="2"/>
  <c r="S66" i="2"/>
  <c r="Z62" i="2"/>
  <c r="Y32" i="2"/>
  <c r="Y50" i="2"/>
  <c r="AF59" i="2"/>
  <c r="AE68" i="2"/>
  <c r="S67" i="2"/>
  <c r="Z9" i="2"/>
  <c r="Z47" i="2"/>
  <c r="Y16" i="2"/>
  <c r="Y53" i="2"/>
  <c r="T64" i="2"/>
  <c r="T67" i="2"/>
  <c r="AE59" i="2"/>
  <c r="N67" i="2"/>
  <c r="Z13" i="2"/>
  <c r="Y24" i="2"/>
  <c r="Y34" i="2"/>
  <c r="Y67" i="2"/>
  <c r="AF66" i="2"/>
  <c r="N59" i="2"/>
  <c r="S59" i="2"/>
  <c r="Z23" i="2"/>
  <c r="Y38" i="2"/>
  <c r="Y63" i="2"/>
  <c r="Y66" i="2"/>
  <c r="AF67" i="2"/>
  <c r="N64" i="2"/>
  <c r="Z43" i="2"/>
  <c r="Z17" i="2"/>
  <c r="Y65" i="2"/>
  <c r="Y44" i="2"/>
  <c r="AE66" i="2"/>
  <c r="G66" i="2"/>
  <c r="T60" i="2"/>
  <c r="Z49" i="2"/>
  <c r="Z25" i="2"/>
  <c r="Y48" i="2"/>
  <c r="Y26" i="2"/>
  <c r="AE67" i="2"/>
  <c r="G67" i="2"/>
  <c r="T68" i="2"/>
  <c r="H59" i="2"/>
  <c r="Z51" i="2"/>
  <c r="Y46" i="2"/>
  <c r="Y14" i="2"/>
  <c r="Z64" i="2"/>
  <c r="S68" i="2"/>
  <c r="Z37" i="2"/>
  <c r="Z33" i="2"/>
  <c r="Z10" i="2"/>
  <c r="Y18" i="2"/>
  <c r="Y28" i="2"/>
  <c r="T59" i="2"/>
  <c r="Z59" i="2"/>
  <c r="T66" i="2"/>
  <c r="S60" i="2"/>
  <c r="AE64" i="2"/>
  <c r="N66" i="2"/>
  <c r="Z55" i="2"/>
  <c r="Z31" i="2"/>
  <c r="Z19" i="2"/>
  <c r="Z41" i="2"/>
  <c r="Y42" i="2"/>
  <c r="Y36" i="2"/>
  <c r="Y22" i="2"/>
  <c r="Y30" i="2"/>
  <c r="G60" i="2"/>
  <c r="G68" i="2"/>
  <c r="H68" i="2"/>
  <c r="H67" i="2"/>
  <c r="H60" i="2"/>
  <c r="H66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<sst xmlns="http://schemas.openxmlformats.org/spreadsheetml/2006/main" count="175" uniqueCount="169">
  <si>
    <t>Reference Items</t>
  </si>
  <si>
    <t>Right click to show data transparency (not supported for all values)</t>
  </si>
  <si>
    <t>Nucor Corp (NUE US) - Standardized</t>
  </si>
  <si>
    <t>In Millions of USD except Per Share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</si>
  <si>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</si>
  <si>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</si>
  <si>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</si>
  <si>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</si>
  <si>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</si>
  <si>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</si>
  <si>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</si>
  <si>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</si>
  <si>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</si>
  <si>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</si>
  <si>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</si>
  <si>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</si>
  <si>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</si>
  <si>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</si>
  <si>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</si>
  <si>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</si>
  <si>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</si>
  <si>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</si>
  <si>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</si>
  <si>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</si>
  <si>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</si>
  <si>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</si>
  <si>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</si>
  <si>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</si>
  <si>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</si>
  <si>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</si>
  <si>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</si>
  <si>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</si>
  <si>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</si>
  <si>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Q4 2025</t>
  </si>
  <si>
    <t>3 Months Ending</t>
  </si>
  <si>
    <t>09/29/2018</t>
  </si>
  <si>
    <t>12/31/2018</t>
  </si>
  <si>
    <t>03/30/2019</t>
  </si>
  <si>
    <t>06/29/2019</t>
  </si>
  <si>
    <t>09/28/2019</t>
  </si>
  <si>
    <t>12/31/2019</t>
  </si>
  <si>
    <t>04/04/2020</t>
  </si>
  <si>
    <t>07/04/2020</t>
  </si>
  <si>
    <t>10/03/2020</t>
  </si>
  <si>
    <t>12/31/2020</t>
  </si>
  <si>
    <t>04/03/2021</t>
  </si>
  <si>
    <t>07/03/2021</t>
  </si>
  <si>
    <t>10/02/2021</t>
  </si>
  <si>
    <t>12/31/2021</t>
  </si>
  <si>
    <t>04/02/2022</t>
  </si>
  <si>
    <t>06/29/2022</t>
  </si>
  <si>
    <t>10/01/2022</t>
  </si>
  <si>
    <t>12/31/2022</t>
  </si>
  <si>
    <t>04/01/2023</t>
  </si>
  <si>
    <t>07/01/2023</t>
  </si>
  <si>
    <t>09/30/2023</t>
  </si>
  <si>
    <t>12/31/2023</t>
  </si>
  <si>
    <t>03/30/2024</t>
  </si>
  <si>
    <t>06/29/2024</t>
  </si>
  <si>
    <t>09/28/2024</t>
  </si>
  <si>
    <t>12/31/2024</t>
  </si>
  <si>
    <t>04/05/2025</t>
  </si>
  <si>
    <t>07/05/2025</t>
  </si>
  <si>
    <t>10/04/2025</t>
  </si>
  <si>
    <t>12/31/2025</t>
  </si>
  <si>
    <t>Cash from Operating Activities</t>
  </si>
  <si>
    <t xml:space="preserve">  + Net Income</t>
  </si>
  <si>
    <t>CF_NET_INC</t>
  </si>
  <si>
    <t xml:space="preserve">  + Depreciation &amp; Amortization</t>
  </si>
  <si>
    <t>CF_DEPR_AMORT</t>
  </si>
  <si>
    <t xml:space="preserve">  + Non-Cash Items</t>
  </si>
  <si>
    <t>NON_CASH_ITEMS_DETAILED</t>
  </si>
  <si>
    <t xml:space="preserve">    + Stock-Based Compensation</t>
  </si>
  <si>
    <t>CF_STOCK_BASED_COMPENSATION</t>
  </si>
  <si>
    <t xml:space="preserve">    + Deferred Income Taxes</t>
  </si>
  <si>
    <t>CF_DEF_INC_TAX</t>
  </si>
  <si>
    <t xml:space="preserve">    + Other Non-Cash Adj</t>
  </si>
  <si>
    <t>OTHER_NON_CASH_ADJ_LESS_DETAILED</t>
  </si>
  <si>
    <t xml:space="preserve">  + Chg in Non-Cash Work Cap</t>
  </si>
  <si>
    <t>CF_CHNG_NON_CASH_WORK_CAP</t>
  </si>
  <si>
    <t xml:space="preserve">    + (Inc) Dec in Accts Receiv</t>
  </si>
  <si>
    <t>CF_ACCT_RCV_UNBILLED_REV</t>
  </si>
  <si>
    <t xml:space="preserve">    + (Inc) Dec in Inventories</t>
  </si>
  <si>
    <t>CF_CHANGE_IN_INVENTORIES</t>
  </si>
  <si>
    <t xml:space="preserve">    + Inc (Dec) in Accts Payable</t>
  </si>
  <si>
    <t>CF_CHANGE_IN_ACCOUNTS_PAYABLE</t>
  </si>
  <si>
    <t xml:space="preserve">    + Inc (Dec) in Other</t>
  </si>
  <si>
    <t>INC_DEC_IN_OT_OP_AST_LIAB_DETAIL</t>
  </si>
  <si>
    <t xml:space="preserve">  + Net Cash From Disc Ops</t>
  </si>
  <si>
    <t>CF_NET_CASH_DISCONT_OPS_OPER</t>
  </si>
  <si>
    <t>CF_CASH_FROM_OPER</t>
  </si>
  <si>
    <t>Cash from Investing Activities</t>
  </si>
  <si>
    <t xml:space="preserve">  + Change in Fixed &amp; Intang</t>
  </si>
  <si>
    <t>FIXED_INTANG_ASST_CHANGE</t>
  </si>
  <si>
    <t xml:space="preserve">    + Disp in Fixed &amp; Intang</t>
  </si>
  <si>
    <t>DISPOSAL_OF_FIXED_INTANG</t>
  </si>
  <si>
    <t xml:space="preserve">    + Disp of Fixed Prod Assets</t>
  </si>
  <si>
    <t>CF_DISPOSAL_OF_FIXED_PROD_ASSETS</t>
  </si>
  <si>
    <t xml:space="preserve">    + Disp of Intangible Assets</t>
  </si>
  <si>
    <t>CF_DISPOSAL_OF_INTANGIBLE_ASSETS</t>
  </si>
  <si>
    <t xml:space="preserve">    + Acq of Fixed &amp; Intang</t>
  </si>
  <si>
    <t>ACQUIS_OF_FIXED_INTANG</t>
  </si>
  <si>
    <t xml:space="preserve">    + Acq of Fixed Prod Assets</t>
  </si>
  <si>
    <t>CF_PURCHASE_OF_FIXED_PROD_ASSETS</t>
  </si>
  <si>
    <t xml:space="preserve">    + Acq of Intangible Assets</t>
  </si>
  <si>
    <t>CF_ACQUISITION_OF_INTANG_ASSETS</t>
  </si>
  <si>
    <t xml:space="preserve">  + Net Change in LT Investment</t>
  </si>
  <si>
    <t>NET_CHG_IN_LT_INVEST_DETAILED</t>
  </si>
  <si>
    <t xml:space="preserve">    + Dec in LT Investment</t>
  </si>
  <si>
    <t>CF_DECR_INVEST</t>
  </si>
  <si>
    <t xml:space="preserve">    + Inc in LT Investment</t>
  </si>
  <si>
    <t>CF_INCR_INVEST</t>
  </si>
  <si>
    <t xml:space="preserve">  + Net Cash From Acq &amp; Div</t>
  </si>
  <si>
    <t>CF_NT_CSH_RCVD_PD_FOR_ACQUIS_DIV</t>
  </si>
  <si>
    <t xml:space="preserve">    + Cash from Divestitures</t>
  </si>
  <si>
    <t>CF_CASH_FOR_DIVESTITURES</t>
  </si>
  <si>
    <t xml:space="preserve">    + Cash for Acq of Subs</t>
  </si>
  <si>
    <t>CF_CASH_FOR_ACQUIS_SUBSIDIARIES</t>
  </si>
  <si>
    <t xml:space="preserve">    + Cash for JVs</t>
  </si>
  <si>
    <t>CF_CASH_FOR_JOINT_VENTURES_ASSOC</t>
  </si>
  <si>
    <t xml:space="preserve">  + Other Investing Activities</t>
  </si>
  <si>
    <t>OTHER_INVESTING_ACT_DETAILED</t>
  </si>
  <si>
    <t>CF_NET_CASH_DISCONTINUED_OPS_INV</t>
  </si>
  <si>
    <t>CF_CASH_FROM_INV_ACT</t>
  </si>
  <si>
    <t>Cash from Financing Activities</t>
  </si>
  <si>
    <t xml:space="preserve">  + Dividends Paid</t>
  </si>
  <si>
    <t>CF_DVD_PAID</t>
  </si>
  <si>
    <t xml:space="preserve">  + Cash From (Repayment) Debt</t>
  </si>
  <si>
    <t>PROC_FR_REPAYMNTS_BOR_DETAILED</t>
  </si>
  <si>
    <t xml:space="preserve">    + Cash From (Repay) ST Debt</t>
  </si>
  <si>
    <t>CF_NET_CHG_ST_DEBT_CPTL_LEAS</t>
  </si>
  <si>
    <t xml:space="preserve">    + Cash From LT Debt</t>
  </si>
  <si>
    <t>CF_LT_DEBT_CAP_LEAS_PROCEEDS</t>
  </si>
  <si>
    <t xml:space="preserve">    + Repayments of LT Debt</t>
  </si>
  <si>
    <t>CF_LT_DEBT_CAP_LEAS_PAYMENT</t>
  </si>
  <si>
    <t xml:space="preserve">  + Cash (Repurchase) of Equity</t>
  </si>
  <si>
    <t>PROC_FR_REPURCH_EQTY_DETAILED</t>
  </si>
  <si>
    <t xml:space="preserve">    + Increase in Capital Stock</t>
  </si>
  <si>
    <t>CF_INCR_CAP_STOCK</t>
  </si>
  <si>
    <t xml:space="preserve">    + Decrease in Capital Stock</t>
  </si>
  <si>
    <t>CF_DECR_CAP_STOCK</t>
  </si>
  <si>
    <t xml:space="preserve">  + Other Financing Activities</t>
  </si>
  <si>
    <t>OTHER_FIN_AND_DEC_CAP</t>
  </si>
  <si>
    <t>CF_NET_CASH_DISCONTINUED_OPS_FIN</t>
  </si>
  <si>
    <t>CFF_ACTIVITIES_DETAILED</t>
  </si>
  <si>
    <t xml:space="preserve">  Effect of Foreign Exchange Rates</t>
  </si>
  <si>
    <t>CF_EFFECT_FOREIGN_EXCHANGES</t>
  </si>
  <si>
    <t>Net Changes in Cash</t>
  </si>
  <si>
    <t>CF_NET_CHNG_CASH</t>
  </si>
  <si>
    <t>EBITDA</t>
  </si>
  <si>
    <t>Trailing 12M EBITDA Margin</t>
  </si>
  <si>
    <t>EBITDA_MARGIN</t>
  </si>
  <si>
    <t>Net Cash Paid for Acquisitions</t>
  </si>
  <si>
    <t>CF_NET_CASH_PAID_FOR_AQUIS</t>
  </si>
  <si>
    <t>Tax Benefit from Stock Options</t>
  </si>
  <si>
    <t>CF_TAX_BENEFIT_FRM_STOCK_OPTIONS</t>
  </si>
  <si>
    <t>Free Cash Flow</t>
  </si>
  <si>
    <t>CF_FREE_CASH_FLOW</t>
  </si>
  <si>
    <t>Free Cash Flow to Firm</t>
  </si>
  <si>
    <t>CF_FREE_CASH_FLOW_FIRM</t>
  </si>
  <si>
    <t>Free Cash Flow to Equity</t>
  </si>
  <si>
    <t>FREE_CASH_FLOW_EQUITY</t>
  </si>
  <si>
    <t>Free Cash Flow per Basic Share</t>
  </si>
  <si>
    <t>FREE_CASH_FLOW_PER_SH</t>
  </si>
  <si>
    <t>Price to Free Cash Flow</t>
  </si>
  <si>
    <t>PX_TO_FREE_CASH_FLOW</t>
  </si>
  <si>
    <t>Cash Flow to Net Income</t>
  </si>
  <si>
    <t>CASH_FLOW_TO_NET_INC</t>
  </si>
  <si>
    <t>Source: Bloomberg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</si>
</sst>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#,##0.0"/>
  </numFmts>
  <fonts count="29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1"/>
      <color indexed="9"/>
      <name val="Calibri"/>
      <family val="2"/>
    </font>
    <font>
      <sz val="10"/>
      <color indexed="63"/>
      <name val="Arial"/>
      <family val="2"/>
    </font>
    <font>
      <i/>
      <sz val="10"/>
      <color indexed="63"/>
      <name val="Arial"/>
      <family val="2"/>
    </font>
    <font>
      <b/>
      <sz val="16"/>
      <color indexed="9"/>
      <name val="Arial"/>
      <family val="2"/>
    </font>
    <font>
      <sz val="10"/>
      <name val="Calibri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  <font>
      <sz val="10"/>
      <color indexed="63"/>
      <name val="Arial"/>
      <family val="2"/>
    </font>
    <font>
      <i/>
      <sz val="10"/>
      <color indexed="63"/>
      <name val="Arial"/>
      <family val="2"/>
    </font>
    <font>
      <i/>
      <sz val="10"/>
      <color indexed="8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58">
    <xf numFmtId="0" fontId="0" fillId="0" borderId="0"/>
    <xf numFmtId="0" fontId="12" fillId="10" borderId="0" applyNumberFormat="0" applyBorder="0" applyAlignment="0" applyProtection="0"/>
    <xf numFmtId="0" fontId="12" fillId="14" borderId="0" applyNumberFormat="0" applyBorder="0" applyAlignment="0" applyProtection="0"/>
    <xf numFmtId="0" fontId="12" fillId="18" borderId="0" applyNumberFormat="0" applyBorder="0" applyAlignment="0" applyProtection="0"/>
    <xf numFmtId="0" fontId="12" fillId="22" borderId="0" applyNumberFormat="0" applyBorder="0" applyAlignment="0" applyProtection="0"/>
    <xf numFmtId="0" fontId="12" fillId="26" borderId="0" applyNumberFormat="0" applyBorder="0" applyAlignment="0" applyProtection="0"/>
    <xf numFmtId="0" fontId="12" fillId="30" borderId="0" applyNumberFormat="0" applyBorder="0" applyAlignment="0" applyProtection="0"/>
    <xf numFmtId="0" fontId="12" fillId="11" borderId="0" applyNumberFormat="0" applyBorder="0" applyAlignment="0" applyProtection="0"/>
    <xf numFmtId="0" fontId="12" fillId="15" borderId="0" applyNumberFormat="0" applyBorder="0" applyAlignment="0" applyProtection="0"/>
    <xf numFmtId="0" fontId="12" fillId="19" borderId="0" applyNumberFormat="0" applyBorder="0" applyAlignment="0" applyProtection="0"/>
    <xf numFmtId="0" fontId="12" fillId="23" borderId="0" applyNumberFormat="0" applyBorder="0" applyAlignment="0" applyProtection="0"/>
    <xf numFmtId="0" fontId="12" fillId="27" borderId="0" applyNumberFormat="0" applyBorder="0" applyAlignment="0" applyProtection="0"/>
    <xf numFmtId="0" fontId="12" fillId="31" borderId="0" applyNumberFormat="0" applyBorder="0" applyAlignment="0" applyProtection="0"/>
    <xf numFmtId="0" fontId="28" fillId="12" borderId="0" applyNumberFormat="0" applyBorder="0" applyAlignment="0" applyProtection="0"/>
    <xf numFmtId="0" fontId="28" fillId="16" borderId="0" applyNumberFormat="0" applyBorder="0" applyAlignment="0" applyProtection="0"/>
    <xf numFmtId="0" fontId="28" fillId="20" borderId="0" applyNumberFormat="0" applyBorder="0" applyAlignment="0" applyProtection="0"/>
    <xf numFmtId="0" fontId="28" fillId="24" borderId="0" applyNumberFormat="0" applyBorder="0" applyAlignment="0" applyProtection="0"/>
    <xf numFmtId="0" fontId="28" fillId="28" borderId="0" applyNumberFormat="0" applyBorder="0" applyAlignment="0" applyProtection="0"/>
    <xf numFmtId="0" fontId="28" fillId="32" borderId="0" applyNumberFormat="0" applyBorder="0" applyAlignment="0" applyProtection="0"/>
    <xf numFmtId="0" fontId="28" fillId="9" borderId="0" applyNumberFormat="0" applyBorder="0" applyAlignment="0" applyProtection="0"/>
    <xf numFmtId="0" fontId="28" fillId="13" borderId="0" applyNumberFormat="0" applyBorder="0" applyAlignment="0" applyProtection="0"/>
    <xf numFmtId="0" fontId="28" fillId="17" borderId="0" applyNumberFormat="0" applyBorder="0" applyAlignment="0" applyProtection="0"/>
    <xf numFmtId="0" fontId="28" fillId="21" borderId="0" applyNumberFormat="0" applyBorder="0" applyAlignment="0" applyProtection="0"/>
    <xf numFmtId="0" fontId="28" fillId="25" borderId="0" applyNumberFormat="0" applyBorder="0" applyAlignment="0" applyProtection="0"/>
    <xf numFmtId="0" fontId="28" fillId="29" borderId="0" applyNumberFormat="0" applyBorder="0" applyAlignment="0" applyProtection="0"/>
    <xf numFmtId="0" fontId="18" fillId="3" borderId="0" applyNumberFormat="0" applyBorder="0" applyAlignment="0" applyProtection="0"/>
    <xf numFmtId="0" fontId="2" fillId="33" borderId="0"/>
    <xf numFmtId="0" fontId="22" fillId="6" borderId="9" applyNumberFormat="0" applyAlignment="0" applyProtection="0"/>
    <xf numFmtId="0" fontId="24" fillId="7" borderId="12" applyNumberFormat="0" applyAlignment="0" applyProtection="0"/>
    <xf numFmtId="0" fontId="26" fillId="0" borderId="0" applyNumberFormat="0" applyFill="0" applyBorder="0" applyAlignment="0" applyProtection="0"/>
    <xf numFmtId="0" fontId="7" fillId="33" borderId="1">
      <alignment horizontal="right"/>
    </xf>
    <xf numFmtId="0" fontId="6" fillId="34" borderId="0" applyNumberFormat="0" applyBorder="0" applyProtection="0">
      <alignment horizontal="center"/>
    </xf>
    <xf numFmtId="0" fontId="7" fillId="33" borderId="3">
      <alignment horizontal="right"/>
    </xf>
    <xf numFmtId="0" fontId="7" fillId="33" borderId="3">
      <alignment horizontal="left"/>
    </xf>
    <xf numFmtId="0" fontId="11" fillId="35" borderId="4" applyNumberFormat="0" applyAlignment="0" applyProtection="0"/>
    <xf numFmtId="0" fontId="8" fillId="34" borderId="5"/>
    <xf numFmtId="0" fontId="10" fillId="34" borderId="5"/>
    <xf numFmtId="0" fontId="9" fillId="34" borderId="5"/>
    <xf numFmtId="0" fontId="17" fillId="2" borderId="0" applyNumberFormat="0" applyBorder="0" applyAlignment="0" applyProtection="0"/>
    <xf numFmtId="0" fontId="14" fillId="0" borderId="6" applyNumberFormat="0" applyFill="0" applyAlignment="0" applyProtection="0"/>
    <xf numFmtId="0" fontId="15" fillId="0" borderId="7" applyNumberFormat="0" applyFill="0" applyAlignment="0" applyProtection="0"/>
    <xf numFmtId="0" fontId="16" fillId="0" borderId="8" applyNumberFormat="0" applyFill="0" applyAlignment="0" applyProtection="0"/>
    <xf numFmtId="0" fontId="16" fillId="0" borderId="0" applyNumberFormat="0" applyFill="0" applyBorder="0" applyAlignment="0" applyProtection="0"/>
    <xf numFmtId="0" fontId="20" fillId="5" borderId="9" applyNumberFormat="0" applyAlignment="0" applyProtection="0"/>
    <xf numFmtId="0" fontId="23" fillId="0" borderId="11" applyNumberFormat="0" applyFill="0" applyAlignment="0" applyProtection="0"/>
    <xf numFmtId="0" fontId="19" fillId="4" borderId="0" applyNumberFormat="0" applyBorder="0" applyAlignment="0" applyProtection="0"/>
    <xf numFmtId="0" fontId="12" fillId="8" borderId="13" applyNumberFormat="0" applyFont="0" applyAlignment="0" applyProtection="0"/>
    <xf numFmtId="0" fontId="21" fillId="6" borderId="10" applyNumberFormat="0" applyAlignment="0" applyProtection="0"/>
    <xf numFmtId="0" fontId="13" fillId="0" borderId="0" applyNumberFormat="0" applyFill="0" applyBorder="0" applyAlignment="0" applyProtection="0"/>
    <xf numFmtId="0" fontId="27" fillId="0" borderId="14" applyNumberFormat="0" applyFill="0" applyAlignment="0" applyProtection="0"/>
    <xf numFmtId="0" fontId="25" fillId="0" borderId="0" applyNumberFormat="0" applyFill="0" applyBorder="0" applyAlignment="0" applyProtection="0"/>
    <xf numFmtId="0" fontId="5" fillId="33" borderId="15" applyNumberFormat="0" applyProtection="0">
      <alignment horizontal="left" vertical="center" readingOrder="1"/>
    </xf>
    <xf numFmtId="0" fontId="7" fillId="33" borderId="1">
      <alignment horizontal="left"/>
    </xf>
    <xf numFmtId="171" fontId="1" fillId="34" borderId="2">
      <alignment horizontal="right"/>
    </xf>
    <xf numFmtId="4" fontId="1" fillId="34" borderId="2">
      <alignment horizontal="right"/>
    </xf>
    <xf numFmtId="3" fontId="8" fillId="34" borderId="2">
      <alignment horizontal="right"/>
    </xf>
    <xf numFmtId="171" fontId="8" fillId="34" borderId="2">
      <alignment horizontal="right"/>
    </xf>
    <xf numFmtId="171" fontId="11" fillId="34" borderId="2">
      <alignment horizontal="right"/>
    </xf>
  </cellStyleXfs>
  <cellXfs count="17">
    <xf numFmtId="0" fontId="0" fillId="0" borderId="0" xfId="0"/>
    <xf numFmtId="0" fontId="2" fillId="33" borderId="0" xfId="26" applyNumberFormat="1" applyFont="1" applyFill="1" applyBorder="1" applyAlignment="1" applyProtection="1"/>
    <xf numFmtId="0" fontId="6" fillId="34" borderId="0" xfId="31" applyFont="1" applyFill="1" applyAlignment="1">
      <alignment horizontal="center"/>
    </xf>
    <xf numFmtId="0" fontId="7" fillId="33" borderId="3" xfId="33" applyNumberFormat="1" applyFont="1" applyFill="1" applyBorder="1" applyAlignment="1" applyProtection="1">
      <alignment horizontal="left"/>
    </xf>
    <xf numFmtId="0" fontId="7" fillId="33" borderId="3" xfId="32" applyNumberFormat="1" applyFont="1" applyFill="1" applyBorder="1" applyAlignment="1" applyProtection="1">
      <alignment horizontal="right"/>
    </xf>
    <xf numFmtId="0" fontId="7" fillId="33" borderId="1" xfId="30" applyNumberFormat="1" applyFont="1" applyFill="1" applyBorder="1" applyAlignment="1" applyProtection="1">
      <alignment horizontal="right"/>
    </xf>
    <xf numFmtId="0" fontId="8" fillId="34" borderId="5" xfId="35" applyNumberFormat="1" applyFont="1" applyFill="1" applyBorder="1" applyAlignment="1" applyProtection="1"/>
    <xf numFmtId="0" fontId="11" fillId="35" borderId="4" xfId="34" applyFont="1" applyFill="1" applyBorder="1"/>
    <xf numFmtId="0" fontId="5" fillId="33" borderId="15" xfId="51" applyFont="1" applyFill="1" applyBorder="1" applyAlignment="1">
      <alignment horizontal="left" vertical="center" readingOrder="1"/>
    </xf>
    <xf numFmtId="0" fontId="7" fillId="33" borderId="1" xfId="52">
      <alignment horizontal="left"/>
    </xf>
    <xf numFmtId="0" fontId="3" fillId="34" borderId="5" xfId="37" applyNumberFormat="1" applyFont="1" applyFill="1" applyBorder="1" applyAlignment="1" applyProtection="1"/>
    <xf numFmtId="0" fontId="4" fillId="34" borderId="5" xfId="36" applyNumberFormat="1" applyFont="1" applyFill="1" applyBorder="1" applyAlignment="1" applyProtection="1"/>
    <xf numFmtId="171" fontId="1" fillId="34" borderId="2" xfId="53" applyNumberFormat="1" applyFont="1" applyFill="1" applyBorder="1" applyAlignment="1" applyProtection="1">
      <alignment horizontal="right"/>
    </xf>
    <xf numFmtId="4" fontId="1" fillId="34" borderId="2" xfId="54" applyNumberFormat="1" applyFont="1" applyFill="1" applyBorder="1" applyAlignment="1" applyProtection="1">
      <alignment horizontal="right"/>
    </xf>
    <xf numFmtId="3" fontId="8" fillId="34" borderId="2" xfId="55" applyNumberFormat="1" applyFont="1" applyFill="1" applyBorder="1" applyAlignment="1" applyProtection="1">
      <alignment horizontal="right"/>
    </xf>
    <xf numFmtId="171" fontId="8" fillId="34" borderId="2" xfId="56" applyNumberFormat="1" applyFont="1" applyFill="1" applyBorder="1" applyAlignment="1" applyProtection="1">
      <alignment horizontal="right"/>
    </xf>
    <xf numFmtId="171" fontId="11" fillId="34" borderId="2" xfId="57" applyNumberFormat="1" applyFont="1" applyFill="1" applyBorder="1" applyAlignment="1" applyProtection="1">
      <alignment horizontal="right"/>
    </xf>
  </cellXfs>
  <cellStyles count="58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blp_title_header_row_left" xfId="51" xr:uid="{00000000-0005-0000-0000-00001A000000}"/>
    <cellStyle name="Calculation" xfId="27" builtinId="22" customBuiltin="1"/>
    <cellStyle name="Check Cell" xfId="28" builtinId="23" customBuiltin="1"/>
    <cellStyle name="Explanatory Text" xfId="29" builtinId="53" customBuiltin="1"/>
    <cellStyle name="fa_column_header_bottom" xfId="30" xr:uid="{00000000-0005-0000-0000-00001E000000}"/>
    <cellStyle name="fa_column_header_bottom_left" xfId="52" xr:uid="{00000000-0005-0000-0000-00001F000000}"/>
    <cellStyle name="fa_column_header_empty" xfId="31" xr:uid="{00000000-0005-0000-0000-000020000000}"/>
    <cellStyle name="fa_column_header_top" xfId="32" xr:uid="{00000000-0005-0000-0000-000021000000}"/>
    <cellStyle name="fa_column_header_top_left" xfId="33" xr:uid="{00000000-0005-0000-0000-000022000000}"/>
    <cellStyle name="fa_data_bold_0_grouped" xfId="55" xr:uid="{00000000-0005-0000-0000-000023000000}"/>
    <cellStyle name="fa_data_bold_1_grouped" xfId="56" xr:uid="{00000000-0005-0000-0000-000024000000}"/>
    <cellStyle name="fa_data_italic_1_grouped" xfId="57" xr:uid="{00000000-0005-0000-0000-000025000000}"/>
    <cellStyle name="fa_data_standard_1_grouped" xfId="53" xr:uid="{00000000-0005-0000-0000-000026000000}"/>
    <cellStyle name="fa_data_standard_2_grouped" xfId="54" xr:uid="{00000000-0005-0000-0000-000027000000}"/>
    <cellStyle name="fa_footer_italic" xfId="34" xr:uid="{00000000-0005-0000-0000-000028000000}"/>
    <cellStyle name="fa_row_header_bold" xfId="35" xr:uid="{00000000-0005-0000-0000-000029000000}"/>
    <cellStyle name="fa_row_header_italic" xfId="36" xr:uid="{00000000-0005-0000-0000-00002A000000}"/>
    <cellStyle name="fa_row_header_standard" xfId="37" xr:uid="{00000000-0005-0000-0000-00002B000000}"/>
    <cellStyle name="Good" xfId="38" builtinId="26" customBuiltin="1"/>
    <cellStyle name="Heading 1" xfId="39" builtinId="16" customBuiltin="1"/>
    <cellStyle name="Heading 2" xfId="40" builtinId="17" customBuiltin="1"/>
    <cellStyle name="Heading 3" xfId="41" builtinId="18" customBuiltin="1"/>
    <cellStyle name="Heading 4" xfId="42" builtinId="19" customBuiltin="1"/>
    <cellStyle name="Input" xfId="43" builtinId="20" customBuiltin="1"/>
    <cellStyle name="Linked Cell" xfId="44" builtinId="24" customBuiltin="1"/>
    <cellStyle name="Neutral" xfId="45" builtinId="28" customBuiltin="1"/>
    <cellStyle name="Normal" xfId="0" builtinId="0"/>
    <cellStyle name="Note" xfId="46" builtinId="10" customBuiltin="1"/>
    <cellStyle name="Output" xfId="47" builtinId="21" customBuiltin="1"/>
    <cellStyle name="Title" xfId="48" builtinId="15" customBuiltin="1"/>
    <cellStyle name="Total" xfId="49" builtinId="25" customBuiltin="1"/>
    <cellStyle name="Warning Text" xfId="50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BDH|15618339862418292246</stp>
        <tr r="R30" s="2"/>
      </tp>
      <tp t="s">
        <v>#N/A N/A</v>
        <stp/>
        <stp>BDH|12543764748043938828</stp>
        <tr r="J10" s="2"/>
      </tp>
      <tp t="s">
        <v>#N/A N/A</v>
        <stp/>
        <stp>BDH|15359400273608071437</stp>
        <tr r="N35" s="2"/>
      </tp>
      <tp t="s">
        <v>#N/A N/A</v>
        <stp/>
        <stp>BDH|10102139505143404808</stp>
        <tr r="U18" s="2"/>
      </tp>
      <tp t="s">
        <v>#N/A N/A</v>
        <stp/>
        <stp>BDH|18009149774590607446</stp>
        <tr r="X33" s="2"/>
      </tp>
      <tp t="s">
        <v>#N/A N/A</v>
        <stp/>
        <stp>BDH|16806423998478048901</stp>
        <tr r="L11" s="2"/>
      </tp>
      <tp t="s">
        <v>#N/A N/A</v>
        <stp/>
        <stp>BDH|11553919128552907278</stp>
        <tr r="M60" s="2"/>
      </tp>
      <tp t="s">
        <v>#N/A N/A</v>
        <stp/>
        <stp>BDH|13505597605245317983</stp>
        <tr r="Q29" s="2"/>
      </tp>
      <tp t="s">
        <v>#N/A N/A</v>
        <stp/>
        <stp>BDH|11283913943360753659</stp>
        <tr r="AD38" s="2"/>
      </tp>
      <tp t="s">
        <v>#N/A N/A</v>
        <stp/>
        <stp>BDH|15413700005329014149</stp>
        <tr r="D68" s="2"/>
      </tp>
      <tp t="s">
        <v>#N/A N/A</v>
        <stp/>
        <stp>BDH|10741753392317639339</stp>
        <tr r="AD50" s="2"/>
      </tp>
      <tp t="s">
        <v>#N/A N/A</v>
        <stp/>
        <stp>BDH|10280894407661019386</stp>
        <tr r="G15" s="2"/>
      </tp>
      <tp t="s">
        <v>#N/A N/A</v>
        <stp/>
        <stp>BDH|15217201932287744935</stp>
        <tr r="P24" s="2"/>
      </tp>
      <tp t="s">
        <v>#N/A N/A</v>
        <stp/>
        <stp>BDH|12046337192804221678</stp>
        <tr r="I60" s="2"/>
      </tp>
      <tp t="s">
        <v>#N/A N/A</v>
        <stp/>
        <stp>BDH|11285977113264145703</stp>
        <tr r="E35" s="2"/>
      </tp>
      <tp t="s">
        <v>#N/A N/A</v>
        <stp/>
        <stp>BDH|13484724608958938608</stp>
        <tr r="H43" s="2"/>
      </tp>
      <tp t="s">
        <v>#N/A N/A</v>
        <stp/>
        <stp>BDH|17946956013064897108</stp>
        <tr r="AA19" s="2"/>
      </tp>
      <tp t="s">
        <v>#N/A N/A</v>
        <stp/>
        <stp>BDH|10231749061998429343</stp>
        <tr r="R66" s="2"/>
      </tp>
      <tp t="s">
        <v>#N/A N/A</v>
        <stp/>
        <stp>BDH|16771455496703234211</stp>
        <tr r="K9" s="2"/>
      </tp>
      <tp t="s">
        <v>#N/A N/A</v>
        <stp/>
        <stp>BDH|17352176983455024103</stp>
        <tr r="E10" s="2"/>
      </tp>
      <tp t="s">
        <v>#N/A N/A</v>
        <stp/>
        <stp>BDH|17727056883253455632</stp>
        <tr r="Z18" s="2"/>
      </tp>
      <tp t="s">
        <v>#N/A N/A</v>
        <stp/>
        <stp>BDH|17027521470476068941</stp>
        <tr r="Q60" s="2"/>
      </tp>
      <tp t="s">
        <v>#N/A N/A</v>
        <stp/>
        <stp>BDH|18323866085061339351</stp>
        <tr r="F55" s="2"/>
      </tp>
      <tp t="s">
        <v>#N/A N/A</v>
        <stp/>
        <stp>BDH|16839107082063581646</stp>
        <tr r="O36" s="2"/>
      </tp>
      <tp t="s">
        <v>#N/A N/A</v>
        <stp/>
        <stp>BDH|17810044261773045868</stp>
        <tr r="J55" s="2"/>
      </tp>
      <tp t="s">
        <v>#N/A N/A</v>
        <stp/>
        <stp>BDH|17377694854919557702</stp>
        <tr r="O10" s="2"/>
      </tp>
      <tp t="s">
        <v>#N/A N/A</v>
        <stp/>
        <stp>BDH|14208691388431913118</stp>
        <tr r="C60" s="2"/>
      </tp>
      <tp t="s">
        <v>#N/A N/A</v>
        <stp/>
        <stp>BDH|10059234768189455745</stp>
        <tr r="AC16" s="2"/>
      </tp>
      <tp t="s">
        <v>#N/A N/A</v>
        <stp/>
        <stp>BDH|17825711640648482677</stp>
        <tr r="L24" s="2"/>
      </tp>
      <tp t="s">
        <v>#N/A N/A</v>
        <stp/>
        <stp>BDH|16920130847289427033</stp>
        <tr r="AB30" s="2"/>
      </tp>
      <tp t="s">
        <v>#N/A N/A</v>
        <stp/>
        <stp>BDH|16476708389055708677</stp>
        <tr r="AA32" s="2"/>
      </tp>
      <tp t="s">
        <v>#N/A N/A</v>
        <stp/>
        <stp>BDH|12804878315607436639</stp>
        <tr r="H23" s="2"/>
      </tp>
      <tp t="s">
        <v>#N/A N/A</v>
        <stp/>
        <stp>BDH|13808807772464289246</stp>
        <tr r="V16" s="2"/>
      </tp>
      <tp t="s">
        <v>#N/A N/A</v>
        <stp/>
        <stp>BDH|12129837251370630592</stp>
        <tr r="S55" s="2"/>
      </tp>
      <tp t="s">
        <v>#N/A N/A</v>
        <stp/>
        <stp>BDH|16472291162521658953</stp>
        <tr r="V17" s="2"/>
      </tp>
      <tp t="s">
        <v>#N/A N/A</v>
        <stp/>
        <stp>BDH|16803947889265964806</stp>
        <tr r="R50" s="2"/>
      </tp>
      <tp t="s">
        <v>#N/A N/A</v>
        <stp/>
        <stp>BDH|14341976323802179792</stp>
        <tr r="D41" s="2"/>
      </tp>
      <tp t="s">
        <v>#N/A N/A</v>
        <stp/>
        <stp>BDH|15068574016983690882</stp>
        <tr r="AB33" s="2"/>
      </tp>
      <tp t="s">
        <v>#N/A N/A</v>
        <stp/>
        <stp>BDH|17658688199461118381</stp>
        <tr r="S44" s="2"/>
      </tp>
      <tp t="s">
        <v>#N/A N/A</v>
        <stp/>
        <stp>BDH|13934376131451229833</stp>
        <tr r="X47" s="2"/>
      </tp>
      <tp t="s">
        <v>#N/A N/A</v>
        <stp/>
        <stp>BDH|16498126293040124551</stp>
        <tr r="I17" s="2"/>
      </tp>
      <tp t="s">
        <v>#N/A N/A</v>
        <stp/>
        <stp>BDH|11366967645674290339</stp>
        <tr r="AF23" s="2"/>
      </tp>
      <tp t="s">
        <v>#N/A N/A</v>
        <stp/>
        <stp>BDH|16595839327283706461</stp>
        <tr r="Z26" s="2"/>
      </tp>
      <tp t="s">
        <v>#N/A N/A</v>
        <stp/>
        <stp>BDH|12764006617811063937</stp>
        <tr r="X63" s="2"/>
      </tp>
      <tp t="s">
        <v>#N/A N/A</v>
        <stp/>
        <stp>BDH|10669714402879070560</stp>
        <tr r="F33" s="2"/>
      </tp>
      <tp t="s">
        <v>#N/A N/A</v>
        <stp/>
        <stp>BDH|17595033736406432971</stp>
        <tr r="S26" s="2"/>
      </tp>
      <tp t="s">
        <v>#N/A N/A</v>
        <stp/>
        <stp>BDH|11570278894061053059</stp>
        <tr r="I67" s="2"/>
      </tp>
      <tp t="s">
        <v>#N/A N/A</v>
        <stp/>
        <stp>BDH|10152054992251433312</stp>
        <tr r="G47" s="2"/>
      </tp>
      <tp t="s">
        <v>#N/A N/A</v>
        <stp/>
        <stp>BDH|17930670517052238980</stp>
        <tr r="Y30" s="2"/>
      </tp>
      <tp t="s">
        <v>#N/A N/A</v>
        <stp/>
        <stp>BDH|16411445792129736966</stp>
        <tr r="AD12" s="2"/>
      </tp>
      <tp t="s">
        <v>#N/A N/A</v>
        <stp/>
        <stp>BDH|11655321524763475865</stp>
        <tr r="AB27" s="2"/>
      </tp>
      <tp t="s">
        <v>#N/A N/A</v>
        <stp/>
        <stp>BDH|13023245386543676165</stp>
        <tr r="H30" s="2"/>
      </tp>
      <tp t="s">
        <v>#N/A N/A</v>
        <stp/>
        <stp>BDH|14878406935580029888</stp>
        <tr r="F32" s="2"/>
      </tp>
      <tp t="s">
        <v>#N/A N/A</v>
        <stp/>
        <stp>BDH|16508913283928240402</stp>
        <tr r="X50" s="2"/>
      </tp>
      <tp t="s">
        <v>#N/A N/A</v>
        <stp/>
        <stp>BDH|15537166832955067949</stp>
        <tr r="T35" s="2"/>
      </tp>
      <tp t="s">
        <v>#N/A N/A</v>
        <stp/>
        <stp>BDH|17844388851542588810</stp>
        <tr r="AD43" s="2"/>
      </tp>
      <tp t="s">
        <v>#N/A N/A</v>
        <stp/>
        <stp>BDH|15217151303647137801</stp>
        <tr r="F35" s="2"/>
      </tp>
      <tp t="s">
        <v>#N/A N/A</v>
        <stp/>
        <stp>BDH|11668854126896715650</stp>
        <tr r="N13" s="2"/>
      </tp>
      <tp t="s">
        <v>#N/A N/A</v>
        <stp/>
        <stp>BDH|17521173497903157730</stp>
        <tr r="D37" s="2"/>
      </tp>
      <tp t="s">
        <v>#N/A N/A</v>
        <stp/>
        <stp>BDH|12132837141060510519</stp>
        <tr r="X43" s="2"/>
      </tp>
      <tp t="s">
        <v>#N/A N/A</v>
        <stp/>
        <stp>BDH|15555924366648528936</stp>
        <tr r="AB62" s="2"/>
      </tp>
      <tp t="s">
        <v>#N/A N/A</v>
        <stp/>
        <stp>BDH|13984290594882750141</stp>
        <tr r="C15" s="2"/>
      </tp>
      <tp t="s">
        <v>#N/A N/A</v>
        <stp/>
        <stp>BDH|14231565901412309809</stp>
        <tr r="G22" s="2"/>
      </tp>
      <tp t="s">
        <v>#N/A N/A</v>
        <stp/>
        <stp>BDH|15186025397632258506</stp>
        <tr r="AB61" s="2"/>
      </tp>
      <tp t="s">
        <v>#N/A N/A</v>
        <stp/>
        <stp>BDH|15403091495993625471</stp>
        <tr r="T38" s="2"/>
      </tp>
      <tp t="s">
        <v>#N/A N/A</v>
        <stp/>
        <stp>BDH|16186282582824116339</stp>
        <tr r="AB47" s="2"/>
      </tp>
      <tp t="s">
        <v>#N/A N/A</v>
        <stp/>
        <stp>BDH|10512591135389031401</stp>
        <tr r="V34" s="2"/>
      </tp>
      <tp t="s">
        <v>#N/A N/A</v>
        <stp/>
        <stp>BDH|17682381486885443246</stp>
        <tr r="W55" s="2"/>
      </tp>
      <tp t="s">
        <v>#N/A N/A</v>
        <stp/>
        <stp>BDH|11140629002535213987</stp>
        <tr r="W42" s="2"/>
      </tp>
      <tp t="s">
        <v>#N/A N/A</v>
        <stp/>
        <stp>BDH|11489968648776891182</stp>
        <tr r="M24" s="2"/>
      </tp>
      <tp t="s">
        <v>#N/A N/A</v>
        <stp/>
        <stp>BDH|17743741434689510185</stp>
        <tr r="U47" s="2"/>
      </tp>
      <tp t="s">
        <v>#N/A N/A</v>
        <stp/>
        <stp>BDH|11779945236048805877</stp>
        <tr r="Z24" s="2"/>
      </tp>
      <tp t="s">
        <v>#N/A N/A</v>
        <stp/>
        <stp>BDH|14612343264633390987</stp>
        <tr r="U9" s="2"/>
      </tp>
      <tp t="s">
        <v>#N/A N/A</v>
        <stp/>
        <stp>BDH|10436283681735736479</stp>
        <tr r="W27" s="2"/>
      </tp>
      <tp t="s">
        <v>#N/A N/A</v>
        <stp/>
        <stp>BDH|14268497297187376524</stp>
        <tr r="AF13" s="2"/>
      </tp>
      <tp t="s">
        <v>#N/A N/A</v>
        <stp/>
        <stp>BDH|15796034395837447083</stp>
        <tr r="K62" s="2"/>
      </tp>
      <tp t="s">
        <v>#N/A N/A</v>
        <stp/>
        <stp>BDH|13857797418219076746</stp>
        <tr r="Q16" s="2"/>
      </tp>
      <tp t="s">
        <v>#N/A N/A</v>
        <stp/>
        <stp>BDH|13859074949625397989</stp>
        <tr r="AC36" s="2"/>
      </tp>
      <tp t="s">
        <v>#N/A N/A</v>
        <stp/>
        <stp>BDH|11263241041338934433</stp>
        <tr r="O38" s="2"/>
      </tp>
      <tp t="s">
        <v>#N/A N/A</v>
        <stp/>
        <stp>BDH|12404843501160553193</stp>
        <tr r="T15" s="2"/>
      </tp>
      <tp t="s">
        <v>#N/A N/A</v>
        <stp/>
        <stp>BDH|14101898921494097141</stp>
        <tr r="I12" s="2"/>
      </tp>
      <tp t="s">
        <v>#N/A N/A</v>
        <stp/>
        <stp>BDH|15591697480113358336</stp>
        <tr r="N46" s="2"/>
      </tp>
      <tp t="s">
        <v>#N/A N/A</v>
        <stp/>
        <stp>BDH|10935245121618323332</stp>
        <tr r="C65" s="2"/>
      </tp>
      <tp t="s">
        <v>#N/A N/A</v>
        <stp/>
        <stp>BDH|12449682636668117477</stp>
        <tr r="S41" s="2"/>
      </tp>
      <tp t="s">
        <v>#N/A N/A</v>
        <stp/>
        <stp>BDH|11940981799382250866</stp>
        <tr r="D53" s="2"/>
      </tp>
      <tp t="s">
        <v>#N/A N/A</v>
        <stp/>
        <stp>BDH|10044970170595025089</stp>
        <tr r="P44" s="2"/>
      </tp>
      <tp t="s">
        <v>#N/A N/A</v>
        <stp/>
        <stp>BDH|10362862867914896155</stp>
        <tr r="AB45" s="2"/>
      </tp>
      <tp t="s">
        <v>#N/A N/A</v>
        <stp/>
        <stp>BDH|11289870913060796009</stp>
        <tr r="C26" s="2"/>
      </tp>
      <tp t="s">
        <v>#N/A N/A</v>
        <stp/>
        <stp>BDH|13296330835889187248</stp>
        <tr r="AE25" s="2"/>
      </tp>
      <tp t="s">
        <v>#N/A N/A</v>
        <stp/>
        <stp>BDH|17666668313271304905</stp>
        <tr r="S31" s="2"/>
      </tp>
      <tp t="s">
        <v>#N/A N/A</v>
        <stp/>
        <stp>BDH|14568925787284503959</stp>
        <tr r="AA15" s="2"/>
      </tp>
      <tp t="s">
        <v>#N/A N/A</v>
        <stp/>
        <stp>BDH|13954464046689131286</stp>
        <tr r="Q55" s="2"/>
      </tp>
      <tp t="s">
        <v>#N/A N/A</v>
        <stp/>
        <stp>BDH|12538829363672778603</stp>
        <tr r="C13" s="2"/>
      </tp>
      <tp t="s">
        <v>#N/A N/A</v>
        <stp/>
        <stp>BDH|11038105882485872598</stp>
        <tr r="H8" s="2"/>
      </tp>
      <tp t="s">
        <v>#N/A N/A</v>
        <stp/>
        <stp>BDH|15605211686680060727</stp>
        <tr r="X7" s="2"/>
      </tp>
      <tp t="s">
        <v>#N/A N/A</v>
        <stp/>
        <stp>BDH|14610111383135293042</stp>
        <tr r="P13" s="2"/>
      </tp>
      <tp t="s">
        <v>#N/A N/A</v>
        <stp/>
        <stp>BDH|10517965311582291220</stp>
        <tr r="I36" s="2"/>
      </tp>
      <tp t="s">
        <v>#N/A N/A</v>
        <stp/>
        <stp>BDH|16841491617659131250</stp>
        <tr r="K23" s="2"/>
      </tp>
      <tp t="s">
        <v>#N/A N/A</v>
        <stp/>
        <stp>BDH|10375057110579130051</stp>
        <tr r="AC65" s="2"/>
      </tp>
      <tp t="s">
        <v>#N/A N/A</v>
        <stp/>
        <stp>BDH|15684042697014490034</stp>
        <tr r="Z68" s="2"/>
      </tp>
      <tp t="s">
        <v>#N/A N/A</v>
        <stp/>
        <stp>BDH|14140091328057545975</stp>
        <tr r="E22" s="2"/>
      </tp>
      <tp t="s">
        <v>#N/A N/A</v>
        <stp/>
        <stp>BDH|16690653253249074451</stp>
        <tr r="U8" s="2"/>
      </tp>
      <tp t="s">
        <v>#N/A N/A</v>
        <stp/>
        <stp>BDH|11691193718551085821</stp>
        <tr r="AB32" s="2"/>
      </tp>
      <tp t="s">
        <v>#N/A N/A</v>
        <stp/>
        <stp>BDH|10362558975099501325</stp>
        <tr r="AE7" s="2"/>
      </tp>
      <tp t="s">
        <v>#N/A N/A</v>
        <stp/>
        <stp>BDH|10158869871882116536</stp>
        <tr r="F45" s="2"/>
      </tp>
      <tp t="s">
        <v>#N/A N/A</v>
        <stp/>
        <stp>BDH|16968385871282654823</stp>
        <tr r="AF34" s="2"/>
      </tp>
      <tp t="s">
        <v>#N/A N/A</v>
        <stp/>
        <stp>BDH|18113472377463054055</stp>
        <tr r="I10" s="2"/>
      </tp>
      <tp t="s">
        <v>#N/A N/A</v>
        <stp/>
        <stp>BDH|13949986636915391407</stp>
        <tr r="M33" s="2"/>
      </tp>
      <tp t="s">
        <v>#N/A N/A</v>
        <stp/>
        <stp>BDH|10003911520111660232</stp>
        <tr r="AA63" s="2"/>
      </tp>
      <tp t="s">
        <v>#N/A N/A</v>
        <stp/>
        <stp>BDH|13259222554868170427</stp>
        <tr r="AA53" s="2"/>
      </tp>
      <tp t="s">
        <v>#N/A N/A</v>
        <stp/>
        <stp>BDH|14171640814103560832</stp>
        <tr r="H45" s="2"/>
      </tp>
      <tp t="s">
        <v>#N/A N/A</v>
        <stp/>
        <stp>BDH|15152513648738809470</stp>
        <tr r="AD10" s="2"/>
      </tp>
      <tp t="s">
        <v>#N/A N/A</v>
        <stp/>
        <stp>BDH|11520315893144030705</stp>
        <tr r="T11" s="2"/>
      </tp>
      <tp t="s">
        <v>#N/A N/A</v>
        <stp/>
        <stp>BDH|10114046534269375254</stp>
        <tr r="U34" s="2"/>
      </tp>
      <tp t="s">
        <v>#N/A N/A</v>
        <stp/>
        <stp>BDH|13675831198963303981</stp>
        <tr r="Y68" s="2"/>
      </tp>
      <tp t="s">
        <v>#N/A N/A</v>
        <stp/>
        <stp>BDH|16447229862878715255</stp>
        <tr r="Q12" s="2"/>
      </tp>
      <tp t="s">
        <v>#N/A N/A</v>
        <stp/>
        <stp>BDH|13501323962459176727</stp>
        <tr r="W51" s="2"/>
      </tp>
      <tp t="s">
        <v>#N/A N/A</v>
        <stp/>
        <stp>BDH|18009813183524244464</stp>
        <tr r="X66" s="2"/>
      </tp>
      <tp t="s">
        <v>#N/A N/A</v>
        <stp/>
        <stp>BDH|17904872428923361638</stp>
        <tr r="O51" s="2"/>
      </tp>
      <tp t="s">
        <v>#N/A N/A</v>
        <stp/>
        <stp>BDH|11669239967405260891</stp>
        <tr r="F64" s="2"/>
      </tp>
      <tp t="s">
        <v>#N/A N/A</v>
        <stp/>
        <stp>BDH|14395840319901146468</stp>
        <tr r="AD22" s="2"/>
      </tp>
      <tp t="s">
        <v>#N/A N/A</v>
        <stp/>
        <stp>BDH|15344758072915821850</stp>
        <tr r="U45" s="2"/>
      </tp>
      <tp t="s">
        <v>#N/A N/A</v>
        <stp/>
        <stp>BDH|13211986008022306083</stp>
        <tr r="Z28" s="2"/>
      </tp>
      <tp t="s">
        <v>#N/A N/A</v>
        <stp/>
        <stp>BDH|15751612320540992977</stp>
        <tr r="X45" s="2"/>
      </tp>
      <tp t="s">
        <v>#N/A N/A</v>
        <stp/>
        <stp>BDH|12697185528941918872</stp>
        <tr r="AA24" s="2"/>
      </tp>
      <tp t="s">
        <v>#N/A N/A</v>
        <stp/>
        <stp>BDH|10590574356198651094</stp>
        <tr r="H11" s="2"/>
      </tp>
      <tp t="s">
        <v>#N/A N/A</v>
        <stp/>
        <stp>BDH|14571344808728009724</stp>
        <tr r="AD29" s="2"/>
      </tp>
      <tp t="s">
        <v>#N/A N/A</v>
        <stp/>
        <stp>BDH|16798439500713678995</stp>
        <tr r="AB15" s="2"/>
      </tp>
      <tp t="s">
        <v>#N/A N/A</v>
        <stp/>
        <stp>BDH|11834822404149769837</stp>
        <tr r="AF43" s="2"/>
      </tp>
      <tp t="s">
        <v>#N/A N/A</v>
        <stp/>
        <stp>BDH|15565070188745423044</stp>
        <tr r="O59" s="2"/>
      </tp>
      <tp t="s">
        <v>#N/A N/A</v>
        <stp/>
        <stp>BDH|16772695940734194827</stp>
        <tr r="C28" s="2"/>
      </tp>
      <tp t="s">
        <v>#N/A N/A</v>
        <stp/>
        <stp>BDH|10308781432434680821</stp>
        <tr r="R23" s="2"/>
      </tp>
      <tp t="s">
        <v>#N/A N/A</v>
        <stp/>
        <stp>BDH|15118192224828587644</stp>
        <tr r="X23" s="2"/>
      </tp>
      <tp t="s">
        <v>#N/A N/A</v>
        <stp/>
        <stp>BDH|14592861410580743582</stp>
        <tr r="P29" s="2"/>
      </tp>
      <tp t="s">
        <v>#N/A N/A</v>
        <stp/>
        <stp>BDH|17714557439151256855</stp>
        <tr r="P26" s="2"/>
      </tp>
      <tp t="s">
        <v>#N/A N/A</v>
        <stp/>
        <stp>BDH|10109867609876388611</stp>
        <tr r="X59" s="2"/>
      </tp>
      <tp t="s">
        <v>#N/A N/A</v>
        <stp/>
        <stp>BDH|17936765993445184424</stp>
        <tr r="I9" s="2"/>
      </tp>
      <tp t="s">
        <v>#N/A N/A</v>
        <stp/>
        <stp>BDH|13402314570837394893</stp>
        <tr r="H16" s="2"/>
      </tp>
      <tp t="s">
        <v>#N/A N/A</v>
        <stp/>
        <stp>BDH|12513536858538411241</stp>
        <tr r="S25" s="2"/>
      </tp>
      <tp t="s">
        <v>#N/A N/A</v>
        <stp/>
        <stp>BDH|18278622055941255298</stp>
        <tr r="O50" s="2"/>
      </tp>
      <tp t="s">
        <v>#N/A N/A</v>
        <stp/>
        <stp>BDH|13890692660382331834</stp>
        <tr r="Z19" s="2"/>
      </tp>
      <tp t="s">
        <v>#N/A N/A</v>
        <stp/>
        <stp>BDH|14532030181722438725</stp>
        <tr r="AE63" s="2"/>
      </tp>
      <tp t="s">
        <v>#N/A N/A</v>
        <stp/>
        <stp>BDH|14336126207898249443</stp>
        <tr r="AA8" s="2"/>
      </tp>
      <tp t="s">
        <v>#N/A N/A</v>
        <stp/>
        <stp>BDH|14114130085974525024</stp>
        <tr r="M67" s="2"/>
      </tp>
      <tp t="s">
        <v>#N/A N/A</v>
        <stp/>
        <stp>BDH|14219967837484367309</stp>
        <tr r="U66" s="2"/>
      </tp>
      <tp t="s">
        <v>#N/A N/A</v>
        <stp/>
        <stp>BDH|16013090095686400085</stp>
        <tr r="E66" s="2"/>
      </tp>
      <tp t="s">
        <v>#N/A N/A</v>
        <stp/>
        <stp>BDH|11992643469679170159</stp>
        <tr r="K31" s="2"/>
      </tp>
      <tp t="s">
        <v>#N/A N/A</v>
        <stp/>
        <stp>BDH|12166366358009413484</stp>
        <tr r="L49" s="2"/>
      </tp>
      <tp t="s">
        <v>#N/A N/A</v>
        <stp/>
        <stp>BDH|10670058803171738854</stp>
        <tr r="F44" s="2"/>
      </tp>
      <tp t="s">
        <v>#N/A N/A</v>
        <stp/>
        <stp>BDH|15097866450054362579</stp>
        <tr r="L22" s="2"/>
      </tp>
      <tp t="s">
        <v>#N/A N/A</v>
        <stp/>
        <stp>BDH|12341013217508773201</stp>
        <tr r="AE68" s="2"/>
      </tp>
      <tp t="s">
        <v>#N/A N/A</v>
        <stp/>
        <stp>BDH|16120878672623967382</stp>
        <tr r="AD34" s="2"/>
      </tp>
      <tp t="s">
        <v>#N/A N/A</v>
        <stp/>
        <stp>BDH|11383313077739638570</stp>
        <tr r="T19" s="2"/>
      </tp>
      <tp t="s">
        <v>#N/A N/A</v>
        <stp/>
        <stp>BDH|11641874176642683552</stp>
        <tr r="E50" s="2"/>
      </tp>
      <tp t="s">
        <v>#N/A N/A</v>
        <stp/>
        <stp>BDH|17879349581740899513</stp>
        <tr r="Y45" s="2"/>
      </tp>
      <tp t="s">
        <v>#N/A N/A</v>
        <stp/>
        <stp>BDH|13822887102045627704</stp>
        <tr r="V65" s="2"/>
      </tp>
      <tp t="s">
        <v>#N/A N/A</v>
        <stp/>
        <stp>BDH|15098839813731279462</stp>
        <tr r="C31" s="2"/>
      </tp>
      <tp t="s">
        <v>#N/A N/A</v>
        <stp/>
        <stp>BDH|15865760698554778650</stp>
        <tr r="AB7" s="2"/>
      </tp>
      <tp t="s">
        <v>#N/A N/A</v>
        <stp/>
        <stp>BDH|14512866864460404344</stp>
        <tr r="I23" s="2"/>
      </tp>
      <tp t="s">
        <v>#N/A N/A</v>
        <stp/>
        <stp>BDH|12426393394641734091</stp>
        <tr r="Y43" s="2"/>
      </tp>
      <tp t="s">
        <v>#N/A N/A</v>
        <stp/>
        <stp>BDH|11324853756793175665</stp>
        <tr r="J24" s="2"/>
      </tp>
      <tp t="s">
        <v>#N/A N/A</v>
        <stp/>
        <stp>BDH|18119001609344812569</stp>
        <tr r="R59" s="2"/>
      </tp>
      <tp t="s">
        <v>#N/A N/A</v>
        <stp/>
        <stp>BDH|14929817868705458625</stp>
        <tr r="T61" s="2"/>
      </tp>
      <tp t="s">
        <v>#N/A N/A</v>
        <stp/>
        <stp>BDH|18361586208091739523</stp>
        <tr r="Q34" s="2"/>
      </tp>
      <tp t="s">
        <v>#N/A N/A</v>
        <stp/>
        <stp>BDH|13367791470173452986</stp>
        <tr r="W14" s="2"/>
      </tp>
      <tp t="s">
        <v>#N/A N/A</v>
        <stp/>
        <stp>BDH|18392683941111133227</stp>
        <tr r="AF31" s="2"/>
      </tp>
      <tp t="s">
        <v>#N/A N/A</v>
        <stp/>
        <stp>BDH|15288114888306220319</stp>
        <tr r="Z41" s="2"/>
      </tp>
      <tp t="s">
        <v>#N/A N/A</v>
        <stp/>
        <stp>BDH|14975858227982692563</stp>
        <tr r="D23" s="2"/>
      </tp>
      <tp t="s">
        <v>#N/A N/A</v>
        <stp/>
        <stp>BDH|13729134570629789584</stp>
        <tr r="P23" s="2"/>
      </tp>
      <tp t="s">
        <v>#N/A N/A</v>
        <stp/>
        <stp>BDH|12383117327839608186</stp>
        <tr r="S51" s="2"/>
      </tp>
      <tp t="s">
        <v>#N/A N/A</v>
        <stp/>
        <stp>BDH|18192823979748804683</stp>
        <tr r="R37" s="2"/>
      </tp>
      <tp t="s">
        <v>#N/A N/A</v>
        <stp/>
        <stp>BDH|10889857071975074366</stp>
        <tr r="X46" s="2"/>
      </tp>
      <tp t="s">
        <v>#N/A N/A</v>
        <stp/>
        <stp>BDH|18351656218886288066</stp>
        <tr r="AE50" s="2"/>
      </tp>
      <tp t="s">
        <v>#N/A N/A</v>
        <stp/>
        <stp>BDH|16234632492919611981</stp>
        <tr r="W10" s="2"/>
      </tp>
      <tp t="s">
        <v>#N/A N/A</v>
        <stp/>
        <stp>BDH|15676616985931820374</stp>
        <tr r="T26" s="2"/>
      </tp>
      <tp t="s">
        <v>#N/A N/A</v>
        <stp/>
        <stp>BDH|16279079536909803560</stp>
        <tr r="L66" s="2"/>
      </tp>
      <tp t="s">
        <v>#N/A N/A</v>
        <stp/>
        <stp>BDH|11604647682657527184</stp>
        <tr r="Q47" s="2"/>
      </tp>
      <tp t="s">
        <v>#N/A N/A</v>
        <stp/>
        <stp>BDH|18045555239022795575</stp>
        <tr r="C49" s="2"/>
      </tp>
      <tp t="s">
        <v>#N/A N/A</v>
        <stp/>
        <stp>BDH|11830309271115554934</stp>
        <tr r="AA55" s="2"/>
      </tp>
      <tp t="s">
        <v>#N/A N/A</v>
        <stp/>
        <stp>BDH|11256238415399983221</stp>
        <tr r="O30" s="2"/>
      </tp>
      <tp t="s">
        <v>#N/A N/A</v>
        <stp/>
        <stp>BDH|13131813860570896479</stp>
        <tr r="N66" s="2"/>
      </tp>
      <tp t="s">
        <v>#N/A N/A</v>
        <stp/>
        <stp>BDH|14724997220517470144</stp>
        <tr r="C35" s="2"/>
      </tp>
      <tp t="s">
        <v>#N/A N/A</v>
        <stp/>
        <stp>BDH|18009765773686296061</stp>
        <tr r="AC11" s="2"/>
      </tp>
      <tp t="s">
        <v>#N/A N/A</v>
        <stp/>
        <stp>BDH|10536833153602395171</stp>
        <tr r="N23" s="2"/>
      </tp>
      <tp t="s">
        <v>#N/A N/A</v>
        <stp/>
        <stp>BDH|10373915491569145737</stp>
        <tr r="Y47" s="2"/>
      </tp>
      <tp t="s">
        <v>#N/A N/A</v>
        <stp/>
        <stp>BDH|12338579183934719508</stp>
        <tr r="AA33" s="2"/>
      </tp>
      <tp t="s">
        <v>#N/A N/A</v>
        <stp/>
        <stp>BDH|12703986070531750389</stp>
        <tr r="S62" s="2"/>
      </tp>
      <tp t="s">
        <v>#N/A N/A</v>
        <stp/>
        <stp>BDH|12058852981988528412</stp>
        <tr r="C44" s="2"/>
      </tp>
      <tp t="s">
        <v>#N/A N/A</v>
        <stp/>
        <stp>BDH|10781398661272978968</stp>
        <tr r="AB64" s="2"/>
      </tp>
      <tp t="s">
        <v>#N/A N/A</v>
        <stp/>
        <stp>BDH|12572323586676080125</stp>
        <tr r="AC38" s="2"/>
      </tp>
      <tp t="s">
        <v>#N/A N/A</v>
        <stp/>
        <stp>BDH|17915932968965630361</stp>
        <tr r="R68" s="2"/>
      </tp>
      <tp t="s">
        <v>#N/A N/A</v>
        <stp/>
        <stp>BDH|15363340213029101004</stp>
        <tr r="F8" s="2"/>
      </tp>
      <tp t="s">
        <v>#N/A N/A</v>
        <stp/>
        <stp>BDH|15120724080136230240</stp>
        <tr r="J45" s="2"/>
      </tp>
      <tp t="s">
        <v>#N/A N/A</v>
        <stp/>
        <stp>BDH|12597656643708076670</stp>
        <tr r="X42" s="2"/>
      </tp>
      <tp t="s">
        <v>#N/A N/A</v>
        <stp/>
        <stp>BDH|11308851821300762548</stp>
        <tr r="N49" s="2"/>
      </tp>
      <tp t="s">
        <v>#N/A N/A</v>
        <stp/>
        <stp>BDH|16883018358468419517</stp>
        <tr r="Q32" s="2"/>
      </tp>
      <tp t="s">
        <v>#N/A N/A</v>
        <stp/>
        <stp>BDH|17057304711328626332</stp>
        <tr r="AE37" s="2"/>
      </tp>
      <tp t="s">
        <v>#N/A N/A</v>
        <stp/>
        <stp>BDH|18051670273051690669</stp>
        <tr r="AF59" s="2"/>
      </tp>
      <tp t="s">
        <v>#N/A N/A</v>
        <stp/>
        <stp>BDH|13295452995278103844</stp>
        <tr r="AC51" s="2"/>
      </tp>
      <tp t="s">
        <v>#N/A N/A</v>
        <stp/>
        <stp>BDH|11341225686274623162</stp>
        <tr r="U33" s="2"/>
      </tp>
      <tp t="s">
        <v>#N/A N/A</v>
        <stp/>
        <stp>BDH|17704150380115176547</stp>
        <tr r="Z27" s="2"/>
      </tp>
      <tp t="s">
        <v>#N/A N/A</v>
        <stp/>
        <stp>BDH|17126364550736154911</stp>
        <tr r="AD44" s="2"/>
      </tp>
      <tp t="s">
        <v>#N/A N/A</v>
        <stp/>
        <stp>BDH|13301326487333768579</stp>
        <tr r="I37" s="2"/>
      </tp>
      <tp t="s">
        <v>#N/A N/A</v>
        <stp/>
        <stp>BDH|16872894852064407110</stp>
        <tr r="AA37" s="2"/>
      </tp>
      <tp t="s">
        <v>#N/A N/A</v>
        <stp/>
        <stp>BDH|17387046095506219668</stp>
        <tr r="Z15" s="2"/>
      </tp>
      <tp t="s">
        <v>#N/A N/A</v>
        <stp/>
        <stp>BDH|13265912935690917793</stp>
        <tr r="Q63" s="2"/>
      </tp>
      <tp t="s">
        <v>#N/A N/A</v>
        <stp/>
        <stp>BDH|16442844049474533051</stp>
        <tr r="AC49" s="2"/>
      </tp>
      <tp t="s">
        <v>#N/A N/A</v>
        <stp/>
        <stp>BDH|11034871475506261694</stp>
        <tr r="J35" s="2"/>
      </tp>
      <tp t="s">
        <v>#N/A N/A</v>
        <stp/>
        <stp>BDH|14126346277869971732</stp>
        <tr r="AD14" s="2"/>
      </tp>
      <tp t="s">
        <v>#N/A N/A</v>
        <stp/>
        <stp>BDH|13161598726159238340</stp>
        <tr r="Z66" s="2"/>
      </tp>
      <tp t="s">
        <v>#N/A N/A</v>
        <stp/>
        <stp>BDH|16549836746166985222</stp>
        <tr r="Q8" s="2"/>
      </tp>
      <tp t="s">
        <v>#N/A N/A</v>
        <stp/>
        <stp>BDH|18393199307476512138</stp>
        <tr r="D45" s="2"/>
      </tp>
      <tp t="s">
        <v>#N/A N/A</v>
        <stp/>
        <stp>BDH|13011786804558028270</stp>
        <tr r="K17" s="2"/>
      </tp>
      <tp t="s">
        <v>#N/A N/A</v>
        <stp/>
        <stp>BDH|16320164759484309851</stp>
        <tr r="H48" s="2"/>
      </tp>
      <tp t="s">
        <v>#N/A N/A</v>
        <stp/>
        <stp>BDH|12416497856508786511</stp>
        <tr r="C32" s="2"/>
      </tp>
      <tp t="s">
        <v>#N/A N/A</v>
        <stp/>
        <stp>BDH|10479980572171036137</stp>
        <tr r="F18" s="2"/>
      </tp>
      <tp t="s">
        <v>#N/A N/A</v>
        <stp/>
        <stp>BDH|12625647699700281348</stp>
        <tr r="U55" s="2"/>
      </tp>
      <tp t="s">
        <v>#N/A N/A</v>
        <stp/>
        <stp>BDH|16797485897822677735</stp>
        <tr r="P34" s="2"/>
      </tp>
      <tp t="s">
        <v>#N/A N/A</v>
        <stp/>
        <stp>BDH|13825283747659871225</stp>
        <tr r="T28" s="2"/>
      </tp>
      <tp t="s">
        <v>#N/A N/A</v>
        <stp/>
        <stp>BDH|11781676977686344887</stp>
        <tr r="G31" s="2"/>
      </tp>
      <tp t="s">
        <v>#N/A N/A</v>
        <stp/>
        <stp>BDH|10535710286155786493</stp>
        <tr r="U30" s="2"/>
      </tp>
      <tp t="s">
        <v>#N/A N/A</v>
        <stp/>
        <stp>BDH|17631844348403560639</stp>
        <tr r="H66" s="2"/>
      </tp>
      <tp t="s">
        <v>#N/A N/A</v>
        <stp/>
        <stp>BDH|13960823897335129913</stp>
        <tr r="L61" s="2"/>
      </tp>
      <tp t="s">
        <v>#N/A N/A</v>
        <stp/>
        <stp>BDH|17282399636338412155</stp>
        <tr r="K59" s="2"/>
      </tp>
      <tp t="s">
        <v>#N/A N/A</v>
        <stp/>
        <stp>BDH|11539310350661853805</stp>
        <tr r="P22" s="2"/>
      </tp>
      <tp t="s">
        <v>#N/A N/A</v>
        <stp/>
        <stp>BDH|15207238447818886502</stp>
        <tr r="M18" s="2"/>
      </tp>
      <tp t="s">
        <v>#N/A N/A</v>
        <stp/>
        <stp>BDH|14280200705391845916</stp>
        <tr r="T10" s="2"/>
      </tp>
      <tp t="s">
        <v>#N/A N/A</v>
        <stp/>
        <stp>BDH|14387469347953591997</stp>
        <tr r="AC10" s="2"/>
      </tp>
      <tp t="s">
        <v>#N/A N/A</v>
        <stp/>
        <stp>BDH|11672018089073908567</stp>
        <tr r="Y28" s="2"/>
      </tp>
      <tp t="s">
        <v>#N/A N/A</v>
        <stp/>
        <stp>BDH|11134968540326557532</stp>
        <tr r="Q30" s="2"/>
      </tp>
      <tp t="s">
        <v>#N/A N/A</v>
        <stp/>
        <stp>BDH|11311827577828670918</stp>
        <tr r="Q42" s="2"/>
      </tp>
      <tp t="s">
        <v>#N/A N/A</v>
        <stp/>
        <stp>BDH|10089013189372985519</stp>
        <tr r="H32" s="2"/>
      </tp>
      <tp t="s">
        <v>#N/A N/A</v>
        <stp/>
        <stp>BDH|18282704013736918782</stp>
        <tr r="R25" s="2"/>
      </tp>
      <tp t="s">
        <v>#N/A N/A</v>
        <stp/>
        <stp>BDH|13442720240487232847</stp>
        <tr r="S60" s="2"/>
      </tp>
      <tp t="s">
        <v>#N/A N/A</v>
        <stp/>
        <stp>BDH|18337773601909307951</stp>
        <tr r="V55" s="2"/>
      </tp>
      <tp t="s">
        <v>#N/A N/A</v>
        <stp/>
        <stp>BDH|17026813791440610959</stp>
        <tr r="V49" s="2"/>
      </tp>
      <tp t="s">
        <v>#N/A N/A</v>
        <stp/>
        <stp>BDH|10194579394406332534</stp>
        <tr r="K64" s="2"/>
      </tp>
      <tp t="s">
        <v>#N/A N/A</v>
        <stp/>
        <stp>BDH|10820240734678807624</stp>
        <tr r="AC25" s="2"/>
      </tp>
      <tp t="s">
        <v>#N/A N/A</v>
        <stp/>
        <stp>BDH|13515326084853130408</stp>
        <tr r="Q43" s="2"/>
      </tp>
      <tp t="s">
        <v>#N/A N/A</v>
        <stp/>
        <stp>BDH|17784612765101752914</stp>
        <tr r="R36" s="2"/>
      </tp>
      <tp t="s">
        <v>#N/A N/A</v>
        <stp/>
        <stp>BDH|12764576081915567517</stp>
        <tr r="X51" s="2"/>
      </tp>
      <tp t="s">
        <v>#N/A N/A</v>
        <stp/>
        <stp>BDH|10705056607516061909</stp>
        <tr r="Z46" s="2"/>
      </tp>
      <tp t="s">
        <v>#N/A N/A</v>
        <stp/>
        <stp>BDH|17014717420054714935</stp>
        <tr r="R14" s="2"/>
      </tp>
      <tp t="s">
        <v>#N/A N/A</v>
        <stp/>
        <stp>BDH|10911487052107699910</stp>
        <tr r="T34" s="2"/>
      </tp>
      <tp t="s">
        <v>#N/A N/A</v>
        <stp/>
        <stp>BDH|14958641178939001313</stp>
        <tr r="I11" s="2"/>
      </tp>
      <tp t="s">
        <v>#N/A N/A</v>
        <stp/>
        <stp>BDH|14521265385356257701</stp>
        <tr r="S30" s="2"/>
      </tp>
      <tp t="s">
        <v>#N/A N/A</v>
        <stp/>
        <stp>BDH|16981998829741841355</stp>
        <tr r="G9" s="2"/>
      </tp>
      <tp t="s">
        <v>#N/A N/A</v>
        <stp/>
        <stp>BDH|17947718668068369143</stp>
        <tr r="L59" s="2"/>
      </tp>
      <tp t="s">
        <v>#N/A N/A</v>
        <stp/>
        <stp>BDH|12488633495386567407</stp>
        <tr r="AD7" s="2"/>
      </tp>
      <tp t="s">
        <v>#N/A N/A</v>
        <stp/>
        <stp>BDH|11350493089134456603</stp>
        <tr r="AF17" s="2"/>
      </tp>
      <tp t="s">
        <v>#N/A N/A</v>
        <stp/>
        <stp>BDH|14105244486034152551</stp>
        <tr r="AD23" s="2"/>
      </tp>
      <tp t="s">
        <v>#N/A N/A</v>
        <stp/>
        <stp>BDH|17764864511415874410</stp>
        <tr r="O35" s="2"/>
      </tp>
      <tp t="s">
        <v>#N/A N/A</v>
        <stp/>
        <stp>BDH|12787317834825916839</stp>
        <tr r="AF68" s="2"/>
      </tp>
      <tp t="s">
        <v>#N/A N/A</v>
        <stp/>
        <stp>BDH|13214651158708111767</stp>
        <tr r="AF35" s="2"/>
      </tp>
      <tp t="s">
        <v>#N/A N/A</v>
        <stp/>
        <stp>BDH|17271146509961384840</stp>
        <tr r="S37" s="2"/>
      </tp>
      <tp t="s">
        <v>#N/A N/A</v>
        <stp/>
        <stp>BDH|15605831341594650298</stp>
        <tr r="L55" s="2"/>
      </tp>
      <tp t="s">
        <v>#N/A N/A</v>
        <stp/>
        <stp>BDH|13484194419885657999</stp>
        <tr r="S45" s="2"/>
      </tp>
      <tp t="s">
        <v>#N/A N/A</v>
        <stp/>
        <stp>BDH|14046324789315362536</stp>
        <tr r="O33" s="2"/>
      </tp>
      <tp t="s">
        <v>#N/A N/A</v>
        <stp/>
        <stp>BDH|11252978625915230092</stp>
        <tr r="N18" s="2"/>
      </tp>
      <tp t="s">
        <v>#N/A N/A</v>
        <stp/>
        <stp>BDH|15741458309139195765</stp>
        <tr r="AB13" s="2"/>
      </tp>
      <tp t="s">
        <v>#N/A N/A</v>
        <stp/>
        <stp>BDH|13894865794085352861</stp>
        <tr r="G46" s="2"/>
      </tp>
      <tp t="s">
        <v>#N/A N/A</v>
        <stp/>
        <stp>BDH|17525586154229249142</stp>
        <tr r="R12" s="2"/>
      </tp>
      <tp t="s">
        <v>#N/A N/A</v>
        <stp/>
        <stp>BDH|16602690926665472825</stp>
        <tr r="J50" s="2"/>
      </tp>
      <tp t="s">
        <v>#N/A N/A</v>
        <stp/>
        <stp>BDH|11179480087685594753</stp>
        <tr r="S67" s="2"/>
      </tp>
      <tp t="s">
        <v>#N/A N/A</v>
        <stp/>
        <stp>BDH|12542998352762915390</stp>
        <tr r="O61" s="2"/>
      </tp>
      <tp t="s">
        <v>#N/A N/A</v>
        <stp/>
        <stp>BDH|15544833176583513549</stp>
        <tr r="H51" s="2"/>
      </tp>
      <tp t="s">
        <v>#N/A N/A</v>
        <stp/>
        <stp>BDH|17794834104056869591</stp>
        <tr r="Z32" s="2"/>
      </tp>
      <tp t="s">
        <v>#N/A N/A</v>
        <stp/>
        <stp>BDH|14224500693030391435</stp>
        <tr r="G67" s="2"/>
      </tp>
      <tp t="s">
        <v>#N/A N/A</v>
        <stp/>
        <stp>BDH|15937811064497910044</stp>
        <tr r="S49" s="2"/>
      </tp>
      <tp t="s">
        <v>#N/A N/A</v>
        <stp/>
        <stp>BDH|12824902133443910735</stp>
        <tr r="M55" s="2"/>
      </tp>
      <tp t="s">
        <v>#N/A N/A</v>
        <stp/>
        <stp>BDH|11974929099184426960</stp>
        <tr r="W59" s="2"/>
      </tp>
      <tp t="s">
        <v>#N/A N/A</v>
        <stp/>
        <stp>BDH|17693991941122952478</stp>
        <tr r="L38" s="2"/>
      </tp>
      <tp t="s">
        <v>#N/A N/A</v>
        <stp/>
        <stp>BDH|13973788484979071969</stp>
        <tr r="W43" s="2"/>
      </tp>
      <tp t="s">
        <v>#N/A N/A</v>
        <stp/>
        <stp>BDH|13435411014898626247</stp>
        <tr r="G45" s="2"/>
      </tp>
      <tp t="s">
        <v>#N/A N/A</v>
        <stp/>
        <stp>BDH|11856573030969464285</stp>
        <tr r="R33" s="2"/>
      </tp>
      <tp t="s">
        <v>#N/A N/A</v>
        <stp/>
        <stp>BDH|15822684152848921280</stp>
        <tr r="J49" s="2"/>
      </tp>
      <tp t="s">
        <v>#N/A N/A</v>
        <stp/>
        <stp>BDH|14889693932179883480</stp>
        <tr r="K60" s="2"/>
      </tp>
      <tp t="s">
        <v>#N/A N/A</v>
        <stp/>
        <stp>BDH|14036517191854060021</stp>
        <tr r="O37" s="2"/>
      </tp>
      <tp t="s">
        <v>#N/A N/A</v>
        <stp/>
        <stp>BDH|12746970841400542365</stp>
        <tr r="F61" s="2"/>
      </tp>
      <tp t="s">
        <v>#N/A N/A</v>
        <stp/>
        <stp>BDH|13924577265464930805</stp>
        <tr r="M27" s="2"/>
      </tp>
      <tp t="s">
        <v>#N/A N/A</v>
        <stp/>
        <stp>BDH|12522002441503126971</stp>
        <tr r="F63" s="2"/>
      </tp>
      <tp t="s">
        <v>#N/A N/A</v>
        <stp/>
        <stp>BDH|14491798150332927818</stp>
        <tr r="E41" s="2"/>
      </tp>
      <tp t="s">
        <v>#N/A N/A</v>
        <stp/>
        <stp>BDH|10399021576582249913</stp>
        <tr r="N38" s="2"/>
      </tp>
      <tp t="s">
        <v>#N/A N/A</v>
        <stp/>
        <stp>BDH|14214248485220370276</stp>
        <tr r="H12" s="2"/>
      </tp>
      <tp t="s">
        <v>#N/A N/A</v>
        <stp/>
        <stp>BDH|14982931800018945943</stp>
        <tr r="V51" s="2"/>
      </tp>
      <tp t="s">
        <v>#N/A N/A</v>
        <stp/>
        <stp>BDH|17477398097868868952</stp>
        <tr r="U31" s="2"/>
      </tp>
      <tp t="s">
        <v>#N/A N/A</v>
        <stp/>
        <stp>BDH|12079736795454880486</stp>
        <tr r="I14" s="2"/>
      </tp>
      <tp t="s">
        <v>#N/A N/A</v>
        <stp/>
        <stp>BDH|10111243954142008975</stp>
        <tr r="AB42" s="2"/>
      </tp>
      <tp t="s">
        <v>#N/A N/A</v>
        <stp/>
        <stp>BDH|13720585674105333810</stp>
        <tr r="W41" s="2"/>
      </tp>
      <tp t="s">
        <v>#N/A N/A</v>
        <stp/>
        <stp>BDH|12549805221421412588</stp>
        <tr r="O15" s="2"/>
      </tp>
      <tp t="s">
        <v>#N/A N/A</v>
        <stp/>
        <stp>BDH|11922966225712058424</stp>
        <tr r="G29" s="2"/>
      </tp>
      <tp t="s">
        <v>#N/A N/A</v>
        <stp/>
        <stp>BDH|15546889703621238071</stp>
        <tr r="V59" s="2"/>
      </tp>
      <tp t="s">
        <v>#N/A N/A</v>
        <stp/>
        <stp>BDH|16359804769404548048</stp>
        <tr r="T7" s="2"/>
      </tp>
      <tp t="s">
        <v>#N/A N/A</v>
        <stp/>
        <stp>BDH|10223811079065618673</stp>
        <tr r="Q27" s="2"/>
      </tp>
      <tp t="s">
        <v>#N/A N/A</v>
        <stp/>
        <stp>BDH|16312114959056283832</stp>
        <tr r="G16" s="2"/>
      </tp>
      <tp t="s">
        <v>#N/A N/A</v>
        <stp/>
        <stp>BDH|11703361088793173522</stp>
        <tr r="D47" s="2"/>
      </tp>
      <tp t="s">
        <v>#N/A N/A</v>
        <stp/>
        <stp>BDH|12343835460630595081</stp>
        <tr r="D11" s="2"/>
      </tp>
      <tp t="s">
        <v>#N/A N/A</v>
        <stp/>
        <stp>BDH|15925129787852453258</stp>
        <tr r="X14" s="2"/>
      </tp>
      <tp t="s">
        <v>#N/A N/A</v>
        <stp/>
        <stp>BDH|14984417697776131338</stp>
        <tr r="D35" s="2"/>
      </tp>
      <tp t="s">
        <v>#N/A N/A</v>
        <stp/>
        <stp>BDH|11127145429988468672</stp>
        <tr r="N61" s="2"/>
      </tp>
      <tp t="s">
        <v>#N/A N/A</v>
        <stp/>
        <stp>BDH|13775090771121485940</stp>
        <tr r="K46" s="2"/>
      </tp>
      <tp t="s">
        <v>#N/A N/A</v>
        <stp/>
        <stp>BDH|17888317923682199840</stp>
        <tr r="AF11" s="2"/>
      </tp>
      <tp t="s">
        <v>#N/A N/A</v>
        <stp/>
        <stp>BDH|12032364549629867080</stp>
        <tr r="C25" s="2"/>
      </tp>
      <tp t="s">
        <v>#N/A N/A</v>
        <stp/>
        <stp>BDH|11065400095771810124</stp>
        <tr r="P16" s="2"/>
      </tp>
      <tp t="s">
        <v>#N/A N/A</v>
        <stp/>
        <stp>BDH|13520202210679099445</stp>
        <tr r="E13" s="2"/>
      </tp>
      <tp t="s">
        <v>#N/A N/A</v>
        <stp/>
        <stp>BDH|15801417210288163596</stp>
        <tr r="T12" s="2"/>
      </tp>
      <tp t="s">
        <v>#N/A N/A</v>
        <stp/>
        <stp>BDH|14260725396957152076</stp>
        <tr r="U46" s="2"/>
      </tp>
      <tp t="s">
        <v>#N/A N/A</v>
        <stp/>
        <stp>BDH|12787999690499881662</stp>
        <tr r="S43" s="2"/>
      </tp>
      <tp t="s">
        <v>#N/A N/A</v>
        <stp/>
        <stp>BDH|11480116631338187658</stp>
        <tr r="Y53" s="2"/>
      </tp>
      <tp t="s">
        <v>#N/A N/A</v>
        <stp/>
        <stp>BDH|15797802192368495116</stp>
        <tr r="AC34" s="2"/>
      </tp>
      <tp t="s">
        <v>#N/A N/A</v>
        <stp/>
        <stp>BDH|15194392684867574492</stp>
        <tr r="R9" s="2"/>
      </tp>
      <tp t="s">
        <v>#N/A N/A</v>
        <stp/>
        <stp>BDH|16084970314206516551</stp>
        <tr r="Z16" s="2"/>
      </tp>
      <tp t="s">
        <v>#N/A N/A</v>
        <stp/>
        <stp>BDH|17748462270550609947</stp>
        <tr r="M29" s="2"/>
      </tp>
      <tp t="s">
        <v>#N/A N/A</v>
        <stp/>
        <stp>BDH|14791009999235956558</stp>
        <tr r="AC18" s="2"/>
      </tp>
      <tp t="s">
        <v>#N/A N/A</v>
        <stp/>
        <stp>BDH|16045372313510701910</stp>
        <tr r="AF49" s="2"/>
      </tp>
      <tp t="s">
        <v>#N/A N/A</v>
        <stp/>
        <stp>BDH|11135092507578948441</stp>
        <tr r="V47" s="2"/>
      </tp>
      <tp t="s">
        <v>#N/A N/A</v>
        <stp/>
        <stp>BDH|14176599544660996875</stp>
        <tr r="W45" s="2"/>
      </tp>
      <tp t="s">
        <v>#N/A N/A</v>
        <stp/>
        <stp>BDH|17042857072812379714</stp>
        <tr r="Q24" s="2"/>
      </tp>
      <tp t="s">
        <v>#N/A N/A</v>
        <stp/>
        <stp>BDH|16521869043473001450</stp>
        <tr r="AD33" s="2"/>
      </tp>
      <tp t="s">
        <v>#N/A N/A</v>
        <stp/>
        <stp>BDH|12855359315929988453</stp>
        <tr r="AC55" s="2"/>
      </tp>
      <tp t="s">
        <v>#N/A N/A</v>
        <stp/>
        <stp>BDH|17723529713269389710</stp>
        <tr r="T13" s="2"/>
      </tp>
      <tp t="s">
        <v>#N/A N/A</v>
        <stp/>
        <stp>BDH|13281490567144987816</stp>
        <tr r="W13" s="2"/>
      </tp>
      <tp t="s">
        <v>#N/A N/A</v>
        <stp/>
        <stp>BDH|15070530346928482161</stp>
        <tr r="AC35" s="2"/>
      </tp>
      <tp t="s">
        <v>#N/A N/A</v>
        <stp/>
        <stp>BDH|12229114021514074842</stp>
        <tr r="T66" s="2"/>
      </tp>
      <tp t="s">
        <v>#N/A N/A</v>
        <stp/>
        <stp>BDH|13555112755159827303</stp>
        <tr r="W15" s="2"/>
      </tp>
      <tp t="s">
        <v>#N/A N/A</v>
        <stp/>
        <stp>BDH|13976525185995562601</stp>
        <tr r="L33" s="2"/>
      </tp>
      <tp t="s">
        <v>#N/A N/A</v>
        <stp/>
        <stp>BDH|15477648641172895826</stp>
        <tr r="F49" s="2"/>
      </tp>
      <tp t="s">
        <v>#N/A N/A</v>
        <stp/>
        <stp>BDH|10395392397863110476</stp>
        <tr r="G33" s="2"/>
      </tp>
      <tp t="s">
        <v>#N/A N/A</v>
        <stp/>
        <stp>BDH|16806019881636280504</stp>
        <tr r="X37" s="2"/>
      </tp>
      <tp t="s">
        <v>#N/A N/A</v>
        <stp/>
        <stp>BDH|14918353574614509972</stp>
        <tr r="Z17" s="2"/>
      </tp>
      <tp t="s">
        <v>#N/A N/A</v>
        <stp/>
        <stp>BDH|10027841478644281649</stp>
        <tr r="O23" s="2"/>
      </tp>
      <tp t="s">
        <v>#N/A N/A</v>
        <stp/>
        <stp>BDH|13376929414181942714</stp>
        <tr r="H17" s="2"/>
      </tp>
      <tp t="s">
        <v>#N/A N/A</v>
        <stp/>
        <stp>BDH|11073681533118709117</stp>
        <tr r="K27" s="2"/>
      </tp>
      <tp t="s">
        <v>#N/A N/A</v>
        <stp/>
        <stp>BDH|12886759185393447300</stp>
        <tr r="Z33" s="2"/>
      </tp>
      <tp t="s">
        <v>#N/A N/A</v>
        <stp/>
        <stp>BDH|16358877248244507361</stp>
        <tr r="F46" s="2"/>
      </tp>
      <tp t="s">
        <v>#N/A N/A</v>
        <stp/>
        <stp>BDH|11355250989040740670</stp>
        <tr r="W31" s="2"/>
      </tp>
      <tp t="s">
        <v>#N/A N/A</v>
        <stp/>
        <stp>BDH|17684943246067321088</stp>
        <tr r="X28" s="2"/>
      </tp>
      <tp t="s">
        <v>#N/A N/A</v>
        <stp/>
        <stp>BDH|13629726432983100991</stp>
        <tr r="V67" s="2"/>
      </tp>
      <tp t="s">
        <v>#N/A N/A</v>
        <stp/>
        <stp>BDH|12713830406480550862</stp>
        <tr r="D25" s="2"/>
      </tp>
      <tp t="s">
        <v>#N/A N/A</v>
        <stp/>
        <stp>BDH|13019605069466938713</stp>
        <tr r="AE26" s="2"/>
      </tp>
      <tp t="s">
        <v>#N/A N/A</v>
        <stp/>
        <stp>BDH|12094773727693495653</stp>
        <tr r="AF38" s="2"/>
      </tp>
      <tp t="s">
        <v>#N/A N/A</v>
        <stp/>
        <stp>BDH|14931041018226478102</stp>
        <tr r="V53" s="2"/>
      </tp>
      <tp t="s">
        <v>#N/A N/A</v>
        <stp/>
        <stp>BDH|15769774563620291615</stp>
        <tr r="Z10" s="2"/>
      </tp>
      <tp t="s">
        <v>#N/A N/A</v>
        <stp/>
        <stp>BDH|15156856607008360709</stp>
        <tr r="X64" s="2"/>
      </tp>
      <tp t="s">
        <v>#N/A N/A</v>
        <stp/>
        <stp>BDH|17332113341182326200</stp>
        <tr r="G55" s="2"/>
      </tp>
      <tp t="s">
        <v>#N/A N/A</v>
        <stp/>
        <stp>BDH|16693425457095381004</stp>
        <tr r="N14" s="2"/>
      </tp>
      <tp t="s">
        <v>#N/A N/A</v>
        <stp/>
        <stp>BDH|11790013898129823353</stp>
        <tr r="AA28" s="2"/>
      </tp>
      <tp t="s">
        <v>#N/A N/A</v>
        <stp/>
        <stp>BDH|11587896892043566187</stp>
        <tr r="J53" s="2"/>
      </tp>
      <tp t="s">
        <v>#N/A N/A</v>
        <stp/>
        <stp>BDH|17570484846401894403</stp>
        <tr r="G42" s="2"/>
      </tp>
      <tp t="s">
        <v>#N/A N/A</v>
        <stp/>
        <stp>BDH|12122097404599846975</stp>
        <tr r="J22" s="2"/>
      </tp>
      <tp t="s">
        <v>#N/A N/A</v>
        <stp/>
        <stp>BDH|16248056055639428856</stp>
        <tr r="AC31" s="2"/>
      </tp>
      <tp t="s">
        <v>#N/A N/A</v>
        <stp/>
        <stp>BDH|14892578669281436409</stp>
        <tr r="Z45" s="2"/>
      </tp>
      <tp t="s">
        <v>#N/A N/A</v>
        <stp/>
        <stp>BDH|14856710412145184583</stp>
        <tr r="AE32" s="2"/>
      </tp>
      <tp t="s">
        <v>#N/A N/A</v>
        <stp/>
        <stp>BDH|17332549011666749734</stp>
        <tr r="AF7" s="2"/>
      </tp>
      <tp t="s">
        <v>#N/A N/A</v>
        <stp/>
        <stp>BDH|15635123483667203977</stp>
        <tr r="D24" s="2"/>
      </tp>
      <tp t="s">
        <v>#N/A N/A</v>
        <stp/>
        <stp>BDH|10477441726473735734</stp>
        <tr r="F65" s="2"/>
      </tp>
      <tp t="s">
        <v>#N/A N/A</v>
        <stp/>
        <stp>BDH|10684194349875207217</stp>
        <tr r="R61" s="2"/>
      </tp>
      <tp t="s">
        <v>#N/A N/A</v>
        <stp/>
        <stp>BDH|11611145648312734483</stp>
        <tr r="O26" s="2"/>
      </tp>
      <tp t="s">
        <v>#N/A N/A</v>
        <stp/>
        <stp>BDH|16024361617054337275</stp>
        <tr r="O68" s="2"/>
      </tp>
      <tp t="s">
        <v>#N/A N/A</v>
        <stp/>
        <stp>BDH|15675772438673583084</stp>
        <tr r="R29" s="2"/>
      </tp>
      <tp t="s">
        <v>#N/A N/A</v>
        <stp/>
        <stp>BDH|16626507028557215482</stp>
        <tr r="R34" s="2"/>
      </tp>
      <tp t="s">
        <v>#N/A N/A</v>
        <stp/>
        <stp>BDH|15123600412925060544</stp>
        <tr r="Z25" s="2"/>
      </tp>
      <tp t="s">
        <v>#N/A N/A</v>
        <stp/>
        <stp>BDH|10759128927574366561</stp>
        <tr r="M45" s="2"/>
      </tp>
      <tp t="s">
        <v>#N/A N/A</v>
        <stp/>
        <stp>BDH|16607757731598195851</stp>
        <tr r="I51" s="2"/>
      </tp>
      <tp t="s">
        <v>#N/A N/A</v>
        <stp/>
        <stp>BDH|18195965220666071714</stp>
        <tr r="L45" s="2"/>
      </tp>
      <tp t="s">
        <v>#N/A N/A</v>
        <stp/>
        <stp>BDH|16978281921254638006</stp>
        <tr r="X8" s="2"/>
      </tp>
      <tp t="s">
        <v>#N/A N/A</v>
        <stp/>
        <stp>BDH|12329466383235940967</stp>
        <tr r="W23" s="2"/>
      </tp>
      <tp t="s">
        <v>#N/A N/A</v>
        <stp/>
        <stp>BDH|14891215392098507562</stp>
        <tr r="N17" s="2"/>
      </tp>
      <tp t="s">
        <v>#N/A N/A</v>
        <stp/>
        <stp>BDH|17955802853508378019</stp>
        <tr r="U36" s="2"/>
      </tp>
      <tp t="s">
        <v>#N/A N/A</v>
        <stp/>
        <stp>BDH|16629745498048858299</stp>
        <tr r="G50" s="2"/>
      </tp>
      <tp t="s">
        <v>#N/A N/A</v>
        <stp/>
        <stp>BDH|10408067822139888931</stp>
        <tr r="D30" s="2"/>
      </tp>
      <tp t="s">
        <v>#N/A N/A</v>
        <stp/>
        <stp>BDH|13289182644504542007</stp>
        <tr r="AC61" s="2"/>
      </tp>
      <tp t="s">
        <v>#N/A N/A</v>
        <stp/>
        <stp>BDH|13354094677865322357</stp>
        <tr r="R53" s="2"/>
      </tp>
      <tp t="s">
        <v>#N/A N/A</v>
        <stp/>
        <stp>BDH|17269313258525560655</stp>
        <tr r="W61" s="2"/>
      </tp>
      <tp t="s">
        <v>#N/A N/A</v>
        <stp/>
        <stp>BDH|10401193604804645754</stp>
        <tr r="M11" s="2"/>
      </tp>
      <tp t="s">
        <v>#N/A N/A</v>
        <stp/>
        <stp>BDH|12633191261533790430</stp>
        <tr r="Y17" s="2"/>
      </tp>
      <tp t="s">
        <v>#N/A N/A</v>
        <stp/>
        <stp>BDH|12698347474647886347</stp>
        <tr r="D15" s="2"/>
      </tp>
      <tp t="s">
        <v>#N/A N/A</v>
        <stp/>
        <stp>BDH|15885402997893130945</stp>
        <tr r="E61" s="2"/>
      </tp>
      <tp t="s">
        <v>#N/A N/A</v>
        <stp/>
        <stp>BDH|12710297606025690734</stp>
        <tr r="AD28" s="2"/>
      </tp>
      <tp t="s">
        <v>#N/A N/A</v>
        <stp/>
        <stp>BDH|14404093420724359034</stp>
        <tr r="X18" s="2"/>
      </tp>
      <tp t="s">
        <v>#N/A N/A</v>
        <stp/>
        <stp>BDH|17101215739127792338</stp>
        <tr r="S8" s="2"/>
      </tp>
      <tp t="s">
        <v>#N/A N/A</v>
        <stp/>
        <stp>BDH|15185334564673885129</stp>
        <tr r="D26" s="2"/>
      </tp>
      <tp t="s">
        <v>#N/A N/A</v>
        <stp/>
        <stp>BDH|10563246628387150544</stp>
        <tr r="AA7" s="2"/>
      </tp>
      <tp t="s">
        <v>#N/A N/A</v>
        <stp/>
        <stp>BDH|17895728936088303936</stp>
        <tr r="Z63" s="2"/>
      </tp>
      <tp t="s">
        <v>#N/A N/A</v>
        <stp/>
        <stp>BDH|10913497770703852243</stp>
        <tr r="AC17" s="2"/>
      </tp>
      <tp t="s">
        <v>#N/A N/A</v>
        <stp/>
        <stp>BDH|13626578458715175470</stp>
        <tr r="R31" s="2"/>
      </tp>
      <tp t="s">
        <v>#N/A N/A</v>
        <stp/>
        <stp>BDH|14995601052556652322</stp>
        <tr r="R19" s="2"/>
      </tp>
      <tp t="s">
        <v>#N/A N/A</v>
        <stp/>
        <stp>BDH|11582000928682656347</stp>
        <tr r="AA51" s="2"/>
      </tp>
      <tp t="s">
        <v>#N/A N/A</v>
        <stp/>
        <stp>BDH|17439376399679683638</stp>
        <tr r="AF62" s="2"/>
      </tp>
      <tp t="s">
        <v>#N/A N/A</v>
        <stp/>
        <stp>BDH|11830849468324249984</stp>
        <tr r="AD35" s="2"/>
      </tp>
      <tp t="s">
        <v>#N/A N/A</v>
        <stp/>
        <stp>BDH|18373373709949385004</stp>
        <tr r="S33" s="2"/>
      </tp>
      <tp t="s">
        <v>#N/A N/A</v>
        <stp/>
        <stp>BDH|14928143550932886142</stp>
        <tr r="J47" s="2"/>
      </tp>
      <tp t="s">
        <v>#N/A N/A</v>
        <stp/>
        <stp>BDH|14251302666167522505</stp>
        <tr r="W32" s="2"/>
      </tp>
      <tp t="s">
        <v>#N/A N/A</v>
        <stp/>
        <stp>BDH|14175024162133946292</stp>
        <tr r="J36" s="2"/>
      </tp>
      <tp t="s">
        <v>#N/A N/A</v>
        <stp/>
        <stp>BDH|14456575922821436151</stp>
        <tr r="AF66" s="2"/>
      </tp>
      <tp t="s">
        <v>#N/A N/A</v>
        <stp/>
        <stp>BDH|13344228325290293058</stp>
        <tr r="U61" s="2"/>
      </tp>
      <tp t="s">
        <v>#N/A N/A</v>
        <stp/>
        <stp>BDH|11924483503287765168</stp>
        <tr r="AD60" s="2"/>
      </tp>
      <tp t="s">
        <v>#N/A N/A</v>
        <stp/>
        <stp>BDH|16480208947795094609</stp>
        <tr r="Q17" s="2"/>
      </tp>
      <tp t="s">
        <v>#N/A N/A</v>
        <stp/>
        <stp>BDH|14966153563356958655</stp>
        <tr r="Q23" s="2"/>
      </tp>
      <tp t="s">
        <v>#N/A N/A</v>
        <stp/>
        <stp>BDH|10414354301769469972</stp>
        <tr r="X62" s="2"/>
      </tp>
      <tp t="s">
        <v>#N/A N/A</v>
        <stp/>
        <stp>BDH|18296956324350323024</stp>
        <tr r="AF14" s="2"/>
      </tp>
      <tp t="s">
        <v>#N/A N/A</v>
        <stp/>
        <stp>BDH|17531362666357491632</stp>
        <tr r="Z67" s="2"/>
      </tp>
      <tp t="s">
        <v>#N/A N/A</v>
        <stp/>
        <stp>BDH|12613900684736275622</stp>
        <tr r="M31" s="2"/>
      </tp>
      <tp t="s">
        <v>#N/A N/A</v>
        <stp/>
        <stp>BDH|17668556701333373235</stp>
        <tr r="V8" s="2"/>
      </tp>
      <tp t="s">
        <v>#N/A N/A</v>
        <stp/>
        <stp>BDH|17098623637290578129</stp>
        <tr r="Y27" s="2"/>
      </tp>
      <tp t="s">
        <v>#N/A N/A</v>
        <stp/>
        <stp>BDH|16068665218265869738</stp>
        <tr r="E23" s="2"/>
      </tp>
      <tp t="s">
        <v>#N/A N/A</v>
        <stp/>
        <stp>BDH|11133505017462243417</stp>
        <tr r="W49" s="2"/>
      </tp>
      <tp t="s">
        <v>#N/A N/A</v>
        <stp/>
        <stp>BDH|17581678164526452270</stp>
        <tr r="Y34" s="2"/>
      </tp>
      <tp t="s">
        <v>#N/A N/A</v>
        <stp/>
        <stp>BDH|12818691889467802842</stp>
        <tr r="Y15" s="2"/>
      </tp>
      <tp t="s">
        <v>#N/A N/A</v>
        <stp/>
        <stp>BDH|10577739503835734150</stp>
        <tr r="U7" s="2"/>
      </tp>
      <tp t="s">
        <v>#N/A N/A</v>
        <stp/>
        <stp>BDH|12588848628282998961</stp>
        <tr r="H24" s="2"/>
      </tp>
      <tp t="s">
        <v>#N/A N/A</v>
        <stp/>
        <stp>BDH|16181330278383515293</stp>
        <tr r="AF55" s="2"/>
      </tp>
      <tp t="s">
        <v>#N/A N/A</v>
        <stp/>
        <stp>BDH|12607378230420592125</stp>
        <tr r="S35" s="2"/>
      </tp>
      <tp t="s">
        <v>#N/A N/A</v>
        <stp/>
        <stp>BDH|16205371001613766551</stp>
        <tr r="Y26" s="2"/>
      </tp>
      <tp t="s">
        <v>#N/A N/A</v>
        <stp/>
        <stp>BDH|18386995354886110169</stp>
        <tr r="R32" s="2"/>
      </tp>
      <tp t="s">
        <v>#N/A N/A</v>
        <stp/>
        <stp>BDH|16856134211245582067</stp>
        <tr r="Q44" s="2"/>
      </tp>
      <tp t="s">
        <v>#N/A N/A</v>
        <stp/>
        <stp>BDH|15608516679017522321</stp>
        <tr r="E19" s="2"/>
      </tp>
      <tp t="s">
        <v>#N/A N/A</v>
        <stp/>
        <stp>BDH|11060037267121954554</stp>
        <tr r="G13" s="2"/>
      </tp>
      <tp t="s">
        <v>#N/A N/A</v>
        <stp/>
        <stp>BDH|18430821329020479135</stp>
        <tr r="H29" s="2"/>
      </tp>
      <tp t="s">
        <v>#N/A N/A</v>
        <stp/>
        <stp>BDH|17288308344343653080</stp>
        <tr r="AD30" s="2"/>
      </tp>
      <tp t="s">
        <v>#N/A N/A</v>
        <stp/>
        <stp>BDH|16747850094416705294</stp>
        <tr r="L26" s="2"/>
      </tp>
      <tp t="s">
        <v>#N/A N/A</v>
        <stp/>
        <stp>BDH|16158824749571643879</stp>
        <tr r="AF8" s="2"/>
      </tp>
      <tp t="s">
        <v>#N/A N/A</v>
        <stp/>
        <stp>BDH|14161884076449468103</stp>
        <tr r="E34" s="2"/>
      </tp>
      <tp t="s">
        <v>#N/A N/A</v>
        <stp/>
        <stp>BDH|12579348830494911539</stp>
        <tr r="M14" s="2"/>
      </tp>
      <tp t="s">
        <v>#N/A N/A</v>
        <stp/>
        <stp>BDH|14907206594498575425</stp>
        <tr r="L27" s="2"/>
      </tp>
      <tp t="s">
        <v>#N/A N/A</v>
        <stp/>
        <stp>BDH|14224661365320495783</stp>
        <tr r="AB12" s="2"/>
      </tp>
      <tp t="s">
        <v>#N/A N/A</v>
        <stp/>
        <stp>BDH|16521227647814514794</stp>
        <tr r="G43" s="2"/>
      </tp>
      <tp t="s">
        <v>#N/A N/A</v>
        <stp/>
        <stp>BDH|13284210520106504693</stp>
        <tr r="Q64" s="2"/>
      </tp>
      <tp t="s">
        <v>#N/A N/A</v>
        <stp/>
        <stp>BDH|12421187219982983333</stp>
        <tr r="Q51" s="2"/>
      </tp>
      <tp t="s">
        <v>#N/A N/A</v>
        <stp/>
        <stp>BDH|16469017832811970719</stp>
        <tr r="AA67" s="2"/>
      </tp>
      <tp t="s">
        <v>#N/A N/A</v>
        <stp/>
        <stp>BDH|13188139385998800111</stp>
        <tr r="H68" s="2"/>
      </tp>
      <tp t="s">
        <v>#N/A N/A</v>
        <stp/>
        <stp>BDH|14595957984477247180</stp>
        <tr r="J68" s="2"/>
      </tp>
      <tp t="s">
        <v>#N/A N/A</v>
        <stp/>
        <stp>BDH|16999862520226117905</stp>
        <tr r="C7" s="2"/>
      </tp>
      <tp t="s">
        <v>#N/A N/A</v>
        <stp/>
        <stp>BDH|15357195434964741385</stp>
        <tr r="I44" s="2"/>
      </tp>
      <tp t="s">
        <v>#N/A N/A</v>
        <stp/>
        <stp>BDH|10872819136123862868</stp>
        <tr r="R43" s="2"/>
      </tp>
      <tp t="s">
        <v>#N/A N/A</v>
        <stp/>
        <stp>BDH|16948997338824867805</stp>
        <tr r="C42" s="2"/>
      </tp>
      <tp t="s">
        <v>#N/A N/A</v>
        <stp/>
        <stp>BDH|12628442251406537569</stp>
        <tr r="AA27" s="2"/>
      </tp>
      <tp t="s">
        <v>#N/A N/A</v>
        <stp/>
        <stp>BDH|17880334115605941070</stp>
        <tr r="N44" s="2"/>
      </tp>
      <tp t="s">
        <v>#N/A N/A</v>
        <stp/>
        <stp>BDH|10750244942407896191</stp>
        <tr r="O53" s="2"/>
      </tp>
      <tp t="s">
        <v>#N/A N/A</v>
        <stp/>
        <stp>BDH|17903749394290863911</stp>
        <tr r="L42" s="2"/>
      </tp>
      <tp t="s">
        <v>#N/A N/A</v>
        <stp/>
        <stp>BDH|14139034744115792518</stp>
        <tr r="J28" s="2"/>
      </tp>
      <tp t="s">
        <v>#N/A N/A</v>
        <stp/>
        <stp>BDH|11029886063768094780</stp>
        <tr r="M12" s="2"/>
      </tp>
      <tp t="s">
        <v>#N/A N/A</v>
        <stp/>
        <stp>BDH|11302137526720081257</stp>
        <tr r="Q67" s="2"/>
      </tp>
      <tp t="s">
        <v>#N/A N/A</v>
        <stp/>
        <stp>BDH|12039944267094585951</stp>
        <tr r="G27" s="2"/>
      </tp>
      <tp t="s">
        <v>#N/A N/A</v>
        <stp/>
        <stp>BDH|13276118763920732448</stp>
        <tr r="AB41" s="2"/>
      </tp>
      <tp t="s">
        <v>#N/A N/A</v>
        <stp/>
        <stp>BDH|17058338128180188697</stp>
        <tr r="I19" s="2"/>
      </tp>
      <tp t="s">
        <v>#N/A N/A</v>
        <stp/>
        <stp>BDH|12170314462421249636</stp>
        <tr r="Z9" s="2"/>
      </tp>
      <tp t="s">
        <v>#N/A N/A</v>
        <stp/>
        <stp>BDH|15485894470333627990</stp>
        <tr r="Y44" s="2"/>
      </tp>
      <tp t="s">
        <v>#N/A N/A</v>
        <stp/>
        <stp>BDH|14302715003080277311</stp>
        <tr r="AE14" s="2"/>
      </tp>
      <tp t="s">
        <v>#N/A N/A</v>
        <stp/>
        <stp>BDH|16321565511437061566</stp>
        <tr r="V50" s="2"/>
      </tp>
      <tp t="s">
        <v>#N/A N/A</v>
        <stp/>
        <stp>BDH|16073659653764222112</stp>
        <tr r="AE45" s="2"/>
      </tp>
      <tp t="s">
        <v>#N/A N/A</v>
        <stp/>
        <stp>BDH|17262781208412091273</stp>
        <tr r="X16" s="2"/>
      </tp>
      <tp t="s">
        <v>#N/A N/A</v>
        <stp/>
        <stp>BDH|16201716552795226178</stp>
        <tr r="O14" s="2"/>
      </tp>
      <tp t="s">
        <v>#N/A N/A</v>
        <stp/>
        <stp>BDH|12469223139512841136</stp>
        <tr r="U63" s="2"/>
      </tp>
      <tp t="s">
        <v>#N/A N/A</v>
        <stp/>
        <stp>BDH|14136203170778606935</stp>
        <tr r="L31" s="2"/>
      </tp>
      <tp t="s">
        <v>#N/A N/A</v>
        <stp/>
        <stp>BDH|10559535274673510118</stp>
        <tr r="F66" s="2"/>
      </tp>
      <tp t="s">
        <v>#N/A N/A</v>
        <stp/>
        <stp>BDH|13264254211317036704</stp>
        <tr r="AB50" s="2"/>
      </tp>
      <tp t="s">
        <v>#N/A N/A</v>
        <stp/>
        <stp>BDH|13285776129206042057</stp>
        <tr r="D29" s="2"/>
      </tp>
      <tp t="s">
        <v>#N/A N/A</v>
        <stp/>
        <stp>BDH|12019027959802197535</stp>
        <tr r="H59" s="2"/>
      </tp>
      <tp t="s">
        <v>#N/A N/A</v>
        <stp/>
        <stp>BDH|15054047929292301577</stp>
        <tr r="S14" s="2"/>
      </tp>
      <tp t="s">
        <v>#N/A N/A</v>
        <stp/>
        <stp>BDH|12136378787860834918</stp>
        <tr r="S9" s="2"/>
      </tp>
      <tp t="s">
        <v>#N/A N/A</v>
        <stp/>
        <stp>BDH|17369733419881167003</stp>
        <tr r="P19" s="2"/>
      </tp>
      <tp t="s">
        <v>#N/A N/A</v>
        <stp/>
        <stp>BDH|15359093869893137097</stp>
        <tr r="J63" s="2"/>
      </tp>
      <tp t="s">
        <v>#N/A N/A</v>
        <stp/>
        <stp>BDH|13829396120474875623</stp>
        <tr r="AE29" s="2"/>
      </tp>
      <tp t="s">
        <v>#N/A N/A</v>
        <stp/>
        <stp>BDH|17539254941033984225</stp>
        <tr r="AF48" s="2"/>
      </tp>
      <tp t="s">
        <v>#N/A N/A</v>
        <stp/>
        <stp>BDH|12430084197858070316</stp>
        <tr r="N42" s="2"/>
      </tp>
      <tp t="s">
        <v>#N/A N/A</v>
        <stp/>
        <stp>BDH|14836860087627659351</stp>
        <tr r="H33" s="2"/>
      </tp>
      <tp t="s">
        <v>#N/A N/A</v>
        <stp/>
        <stp>BDH|12603093404785690704</stp>
        <tr r="K45" s="2"/>
      </tp>
      <tp t="s">
        <v>#N/A N/A</v>
        <stp/>
        <stp>BDH|12394571428053395625</stp>
        <tr r="H38" s="2"/>
      </tp>
      <tp t="s">
        <v>#N/A N/A</v>
        <stp/>
        <stp>BDH|16596089041334969696</stp>
        <tr r="T9" s="2"/>
      </tp>
      <tp t="s">
        <v>#N/A N/A</v>
        <stp/>
        <stp>BDH|17786367479990256363</stp>
        <tr r="J34" s="2"/>
      </tp>
      <tp t="s">
        <v>#N/A N/A</v>
        <stp/>
        <stp>BDH|17893053013444508242</stp>
        <tr r="X19" s="2"/>
      </tp>
      <tp t="s">
        <v>#N/A N/A</v>
        <stp/>
        <stp>BDH|15758988082611470571</stp>
        <tr r="K18" s="2"/>
      </tp>
      <tp t="s">
        <v>#N/A N/A</v>
        <stp/>
        <stp>BDH|15582708117651544297</stp>
        <tr r="L13" s="2"/>
      </tp>
      <tp t="s">
        <v>#N/A N/A</v>
        <stp/>
        <stp>BDH|13691088229058001879</stp>
        <tr r="N50" s="2"/>
      </tp>
      <tp t="s">
        <v>#N/A N/A</v>
        <stp/>
        <stp>BDH|15023666119345774688</stp>
        <tr r="L41" s="2"/>
      </tp>
      <tp t="s">
        <v>#N/A N/A</v>
        <stp/>
        <stp>BDH|17037501628763098280</stp>
        <tr r="W68" s="2"/>
      </tp>
      <tp t="s">
        <v>#N/A N/A</v>
        <stp/>
        <stp>BDH|16149537978153291687</stp>
        <tr r="AD18" s="2"/>
      </tp>
      <tp t="s">
        <v>#N/A N/A</v>
        <stp/>
        <stp>BDH|16206072132052276659</stp>
        <tr r="AA44" s="2"/>
      </tp>
      <tp t="s">
        <v>#N/A N/A</v>
        <stp/>
        <stp>BDH|15773647853534005306</stp>
        <tr r="Y59" s="2"/>
      </tp>
      <tp t="s">
        <v>#N/A N/A</v>
        <stp/>
        <stp>BDH|15247287668221996181</stp>
        <tr r="C12" s="2"/>
      </tp>
      <tp t="s">
        <v>#N/A N/A</v>
        <stp/>
        <stp>BDH|14855038769322176104</stp>
        <tr r="G7" s="2"/>
      </tp>
      <tp t="s">
        <v>#N/A N/A</v>
        <stp/>
        <stp>BDH|15103122531445015315</stp>
        <tr r="U12" s="2"/>
      </tp>
      <tp t="s">
        <v>#N/A N/A</v>
        <stp/>
        <stp>BDH|15726169525960244756</stp>
        <tr r="O66" s="2"/>
      </tp>
      <tp t="s">
        <v>#N/A N/A</v>
        <stp/>
        <stp>BDH|15033755614627143533</stp>
        <tr r="D17" s="2"/>
      </tp>
      <tp t="s">
        <v>#N/A N/A</v>
        <stp/>
        <stp>BDH|15337336521554124134</stp>
        <tr r="E16" s="2"/>
      </tp>
      <tp t="s">
        <v>#N/A N/A</v>
        <stp/>
        <stp>BDH|15313127915357317354</stp>
        <tr r="H34" s="2"/>
      </tp>
      <tp t="s">
        <v>#N/A N/A</v>
        <stp/>
        <stp>BDH|10075350536599021814</stp>
        <tr r="AF44" s="2"/>
      </tp>
      <tp t="s">
        <v>#N/A N/A</v>
        <stp/>
        <stp>BDH|10806953692350821123</stp>
        <tr r="R49" s="2"/>
      </tp>
      <tp t="s">
        <v>#N/A N/A</v>
        <stp/>
        <stp>BDH|12616536957136370541</stp>
        <tr r="AB22" s="2"/>
      </tp>
      <tp t="s">
        <v>#N/A N/A</v>
        <stp/>
        <stp>BDH|10719512545224626403</stp>
        <tr r="AD67" s="2"/>
      </tp>
      <tp t="s">
        <v>#N/A N/A</v>
        <stp/>
        <stp>BDH|17909948582397378087</stp>
        <tr r="O28" s="2"/>
      </tp>
      <tp t="s">
        <v>#N/A N/A</v>
        <stp/>
        <stp>BDH|12225451424747298261</stp>
        <tr r="F25" s="2"/>
      </tp>
      <tp t="s">
        <v>#N/A N/A</v>
        <stp/>
        <stp>BDH|12547486232405132193</stp>
        <tr r="S12" s="2"/>
      </tp>
      <tp t="s">
        <v>#N/A N/A</v>
        <stp/>
        <stp>BDH|13637121256703741538</stp>
        <tr r="P7" s="2"/>
      </tp>
      <tp t="s">
        <v>#N/A N/A</v>
        <stp/>
        <stp>BDH|10482053239081653386</stp>
        <tr r="X26" s="2"/>
      </tp>
      <tp t="s">
        <v>#N/A N/A</v>
        <stp/>
        <stp>BDH|18279898597500257887</stp>
        <tr r="AB44" s="2"/>
      </tp>
      <tp t="s">
        <v>#N/A N/A</v>
        <stp/>
        <stp>BDH|13198658003241429559</stp>
        <tr r="AF36" s="2"/>
      </tp>
      <tp t="s">
        <v>#N/A N/A</v>
        <stp/>
        <stp>BDH|14456928630646914996</stp>
        <tr r="U27" s="2"/>
      </tp>
      <tp t="s">
        <v>#N/A N/A</v>
        <stp/>
        <stp>BDH|17670403990999752280</stp>
        <tr r="AC26" s="2"/>
      </tp>
      <tp t="s">
        <v>#N/A N/A</v>
        <stp/>
        <stp>BDH|10867730176002611324</stp>
        <tr r="W16" s="2"/>
      </tp>
      <tp t="s">
        <v>#N/A N/A</v>
        <stp/>
        <stp>BDH|13981794832890333682</stp>
        <tr r="C16" s="2"/>
      </tp>
      <tp t="s">
        <v>#N/A N/A</v>
        <stp/>
        <stp>BDH|11956434247636777628</stp>
        <tr r="P45" s="2"/>
      </tp>
      <tp t="s">
        <v>#N/A N/A</v>
        <stp/>
        <stp>BDH|17717181114745292310</stp>
        <tr r="H37" s="2"/>
      </tp>
      <tp t="s">
        <v>#N/A N/A</v>
        <stp/>
        <stp>BDH|17377744386889154082</stp>
        <tr r="J41" s="2"/>
      </tp>
      <tp t="s">
        <v>#N/A N/A</v>
        <stp/>
        <stp>BDH|13200594950314746679</stp>
        <tr r="J15" s="2"/>
      </tp>
      <tp t="s">
        <v>#N/A N/A</v>
        <stp/>
        <stp>BDH|14048655649597791000</stp>
        <tr r="S7" s="2"/>
      </tp>
      <tp t="s">
        <v>#N/A N/A</v>
        <stp/>
        <stp>BDH|14647573956234960151</stp>
        <tr r="N45" s="2"/>
      </tp>
      <tp t="s">
        <v>#N/A N/A</v>
        <stp/>
        <stp>BDH|16994007114821221742</stp>
        <tr r="K33" s="2"/>
      </tp>
      <tp t="s">
        <v>#N/A N/A</v>
        <stp/>
        <stp>BDH|11182174540375911048</stp>
        <tr r="F68" s="2"/>
      </tp>
      <tp t="s">
        <v>#N/A N/A</v>
        <stp/>
        <stp>BDH|15253527518674373411</stp>
        <tr r="Q65" s="2"/>
      </tp>
      <tp t="s">
        <v>#N/A N/A</v>
        <stp/>
        <stp>BDH|12427527231052867753</stp>
        <tr r="AA16" s="2"/>
      </tp>
      <tp t="s">
        <v>#N/A N/A</v>
        <stp/>
        <stp>BDH|15824443150736319351</stp>
        <tr r="AC62" s="2"/>
      </tp>
      <tp t="s">
        <v>#N/A N/A</v>
        <stp/>
        <stp>BDH|15311021934807825023</stp>
        <tr r="S16" s="2"/>
      </tp>
      <tp t="s">
        <v>#N/A N/A</v>
        <stp/>
        <stp>BDH|14339279635257840362</stp>
        <tr r="E15" s="2"/>
      </tp>
      <tp t="s">
        <v>#N/A N/A</v>
        <stp/>
        <stp>BDH|14770301469749507943</stp>
        <tr r="AE62" s="2"/>
      </tp>
      <tp t="s">
        <v>#N/A N/A</v>
        <stp/>
        <stp>BDH|15891315201876198168</stp>
        <tr r="T17" s="2"/>
      </tp>
      <tp t="s">
        <v>#N/A N/A</v>
        <stp/>
        <stp>BDH|18108732285620935609</stp>
        <tr r="L51" s="2"/>
      </tp>
      <tp t="s">
        <v>#N/A N/A</v>
        <stp/>
        <stp>BDH|16658624568502227507</stp>
        <tr r="AA68" s="2"/>
      </tp>
      <tp t="s">
        <v>#N/A N/A</v>
        <stp/>
        <stp>BDH|11515144644484269196</stp>
        <tr r="Z14" s="2"/>
      </tp>
      <tp t="s">
        <v>#N/A N/A</v>
        <stp/>
        <stp>BDH|15514743456471916707</stp>
        <tr r="P47" s="2"/>
      </tp>
      <tp t="s">
        <v>#N/A N/A</v>
        <stp/>
        <stp>BDH|12084139071551830440</stp>
        <tr r="R35" s="2"/>
      </tp>
      <tp t="s">
        <v>#N/A N/A</v>
        <stp/>
        <stp>BDH|18428833479688932966</stp>
        <tr r="N10" s="2"/>
      </tp>
      <tp t="s">
        <v>#N/A N/A</v>
        <stp/>
        <stp>BDH|11811280827175297248</stp>
        <tr r="AD66" s="2"/>
      </tp>
      <tp t="s">
        <v>#N/A N/A</v>
        <stp/>
        <stp>BDH|15025674819462925666</stp>
        <tr r="I22" s="2"/>
      </tp>
      <tp t="s">
        <v>#N/A N/A</v>
        <stp/>
        <stp>BDH|11025485104670491383</stp>
        <tr r="M49" s="2"/>
      </tp>
      <tp t="s">
        <v>#N/A N/A</v>
        <stp/>
        <stp>BDH|17292808420719087223</stp>
        <tr r="E43" s="2"/>
      </tp>
      <tp t="s">
        <v>#N/A N/A</v>
        <stp/>
        <stp>BDH|17899579499308237542</stp>
        <tr r="T31" s="2"/>
      </tp>
      <tp t="s">
        <v>#N/A N/A</v>
        <stp/>
        <stp>BDH|17914150779711373666</stp>
        <tr r="S61" s="2"/>
      </tp>
      <tp t="s">
        <v>#N/A N/A</v>
        <stp/>
        <stp>BDH|12203860231138059751</stp>
        <tr r="N65" s="2"/>
      </tp>
      <tp t="s">
        <v>#N/A N/A</v>
        <stp/>
        <stp>BDH|16501499271773853060</stp>
        <tr r="U68" s="2"/>
      </tp>
      <tp t="s">
        <v>#N/A N/A</v>
        <stp/>
        <stp>BDH|17369504425865273370</stp>
        <tr r="F30" s="2"/>
      </tp>
      <tp t="s">
        <v>#N/A N/A</v>
        <stp/>
        <stp>BDH|10634174172149286922</stp>
        <tr r="V24" s="2"/>
      </tp>
      <tp t="s">
        <v>#N/A N/A</v>
        <stp/>
        <stp>BDH|17521726546292153032</stp>
        <tr r="M26" s="2"/>
      </tp>
      <tp t="s">
        <v>#N/A N/A</v>
        <stp/>
        <stp>BDH|14090118049937873025</stp>
        <tr r="G36" s="2"/>
      </tp>
      <tp t="s">
        <v>#N/A N/A</v>
        <stp/>
        <stp>BDH|14330759567917682457</stp>
        <tr r="N32" s="2"/>
      </tp>
      <tp t="s">
        <v>#N/A N/A</v>
        <stp/>
        <stp>BDH|12520818213408618538</stp>
        <tr r="C10" s="2"/>
      </tp>
      <tp t="s">
        <v>#N/A N/A</v>
        <stp/>
        <stp>BDH|11885190456083371010</stp>
        <tr r="Y22" s="2"/>
      </tp>
      <tp t="s">
        <v>#N/A N/A</v>
        <stp/>
        <stp>BDH|14996592315332865482</stp>
        <tr r="N60" s="2"/>
      </tp>
      <tp t="s">
        <v>#N/A N/A</v>
        <stp/>
        <stp>BDH|14884567068788733949</stp>
        <tr r="J30" s="2"/>
      </tp>
      <tp t="s">
        <v>#N/A N/A</v>
        <stp/>
        <stp>BDH|11353751129252900031</stp>
        <tr r="U17" s="2"/>
      </tp>
      <tp t="s">
        <v>#N/A N/A</v>
        <stp/>
        <stp>BDH|13864171062385839702</stp>
        <tr r="V66" s="2"/>
      </tp>
      <tp t="s">
        <v>#N/A N/A</v>
        <stp/>
        <stp>BDH|11480201642511296006</stp>
        <tr r="AA11" s="2"/>
      </tp>
      <tp t="s">
        <v>#N/A N/A</v>
        <stp/>
        <stp>BDH|14501972296945025708</stp>
        <tr r="AA65" s="2"/>
      </tp>
      <tp t="s">
        <v>#N/A N/A</v>
        <stp/>
        <stp>BDH|18305217264892857891</stp>
        <tr r="AB31" s="2"/>
      </tp>
      <tp t="s">
        <v>#N/A N/A</v>
        <stp/>
        <stp>BDH|17992093329277860466</stp>
        <tr r="L14" s="2"/>
      </tp>
      <tp t="s">
        <v>#N/A N/A</v>
        <stp/>
        <stp>BDH|10183530022256469732</stp>
        <tr r="D19" s="2"/>
      </tp>
      <tp t="s">
        <v>#N/A N/A</v>
        <stp/>
        <stp>BDH|16107931613060290846</stp>
        <tr r="Y13" s="2"/>
      </tp>
      <tp t="s">
        <v>#N/A N/A</v>
        <stp/>
        <stp>BDH|18096493623708457095</stp>
        <tr r="V30" s="2"/>
      </tp>
      <tp t="s">
        <v>#N/A N/A</v>
        <stp/>
        <stp>BDH|11524704547374124044</stp>
        <tr r="N24" s="2"/>
      </tp>
      <tp t="s">
        <v>#N/A N/A</v>
        <stp/>
        <stp>BDH|10443574432057522730</stp>
        <tr r="M38" s="2"/>
      </tp>
      <tp t="s">
        <v>#N/A N/A</v>
        <stp/>
        <stp>BDH|14667605054977490617</stp>
        <tr r="T59" s="2"/>
      </tp>
      <tp t="s">
        <v>#N/A N/A</v>
        <stp/>
        <stp>BDH|10696043255767070412</stp>
        <tr r="N41" s="2"/>
      </tp>
      <tp t="s">
        <v>#N/A N/A</v>
        <stp/>
        <stp>BDH|11805154735934338125</stp>
        <tr r="F13" s="2"/>
      </tp>
      <tp t="s">
        <v>#N/A N/A</v>
        <stp/>
        <stp>BDH|12020580012364695450</stp>
        <tr r="V41" s="2"/>
      </tp>
      <tp t="s">
        <v>#N/A N/A</v>
        <stp/>
        <stp>BDH|14173480147293239152</stp>
        <tr r="H18" s="2"/>
      </tp>
      <tp t="s">
        <v>#N/A N/A</v>
        <stp/>
        <stp>BDH|10844043486378367614</stp>
        <tr r="U29" s="2"/>
      </tp>
      <tp t="s">
        <v>#N/A N/A</v>
        <stp/>
        <stp>BDH|10687334122657990065</stp>
        <tr r="AD27" s="2"/>
      </tp>
      <tp t="s">
        <v>#N/A N/A</v>
        <stp/>
        <stp>BDH|14843504762291288031</stp>
        <tr r="R13" s="2"/>
      </tp>
      <tp t="s">
        <v>#N/A N/A</v>
        <stp/>
        <stp>BDH|14917213444190554424</stp>
        <tr r="U22" s="2"/>
      </tp>
      <tp t="s">
        <v>#N/A N/A</v>
        <stp/>
        <stp>BDH|17677322679330318556</stp>
        <tr r="AF24" s="2"/>
      </tp>
      <tp t="s">
        <v>#N/A N/A</v>
        <stp/>
        <stp>BDH|11643056958103903195</stp>
        <tr r="S32" s="2"/>
      </tp>
      <tp t="s">
        <v>#N/A N/A</v>
        <stp/>
        <stp>BDH|11773019389899070645</stp>
        <tr r="AC67" s="2"/>
      </tp>
      <tp t="s">
        <v>#N/A N/A</v>
        <stp/>
        <stp>BDH|16447019414476239791</stp>
        <tr r="E65" s="2"/>
      </tp>
      <tp t="s">
        <v>#N/A N/A</v>
        <stp/>
        <stp>BDH|18084806929874530062</stp>
        <tr r="P18" s="2"/>
      </tp>
      <tp t="s">
        <v>#N/A N/A</v>
        <stp/>
        <stp>BDH|13926427722255350607</stp>
        <tr r="U26" s="2"/>
      </tp>
      <tp t="s">
        <v>#N/A N/A</v>
        <stp/>
        <stp>BDH|11330437152745787380</stp>
        <tr r="AF15" s="2"/>
      </tp>
      <tp t="s">
        <v>#N/A N/A</v>
        <stp/>
        <stp>BDH|15130600953950876077</stp>
        <tr r="I55" s="2"/>
      </tp>
      <tp t="s">
        <v>#N/A N/A</v>
        <stp/>
        <stp>BDH|13284509983610913854</stp>
        <tr r="AC42" s="2"/>
      </tp>
      <tp t="s">
        <v>#N/A N/A</v>
        <stp/>
        <stp>BDH|15807302421054315673</stp>
        <tr r="G37" s="2"/>
      </tp>
      <tp t="s">
        <v>#N/A N/A</v>
        <stp/>
        <stp>BDH|11341438241892947548</stp>
        <tr r="N28" s="2"/>
      </tp>
      <tp t="s">
        <v>#N/A N/A</v>
        <stp/>
        <stp>BDH|12265014988179688518</stp>
        <tr r="E42" s="2"/>
      </tp>
      <tp t="s">
        <v>#N/A N/A</v>
        <stp/>
        <stp>BDH|16197323979542055668</stp>
        <tr r="E14" s="2"/>
      </tp>
      <tp t="s">
        <v>#N/A N/A</v>
        <stp/>
        <stp>BDH|15432316652464829131</stp>
        <tr r="AF25" s="2"/>
      </tp>
      <tp t="s">
        <v>#N/A N/A</v>
        <stp/>
        <stp>BDH|11281647559142752649</stp>
        <tr r="C53" s="2"/>
      </tp>
      <tp t="s">
        <v>#N/A N/A</v>
        <stp/>
        <stp>BDH|13782429996621876970</stp>
        <tr r="S48" s="2"/>
      </tp>
      <tp t="s">
        <v>#N/A N/A</v>
        <stp/>
        <stp>BDH|10136106938566259275</stp>
        <tr r="AD46" s="2"/>
      </tp>
      <tp t="s">
        <v>#N/A N/A</v>
        <stp/>
        <stp>BDH|17225594367454311637</stp>
        <tr r="K68" s="2"/>
      </tp>
      <tp t="s">
        <v>#N/A N/A</v>
        <stp/>
        <stp>BDH|15491525361680859004</stp>
        <tr r="W46" s="2"/>
      </tp>
      <tp t="s">
        <v>#N/A N/A</v>
        <stp/>
        <stp>BDH|11840454260580292504</stp>
        <tr r="Y55" s="2"/>
      </tp>
      <tp t="s">
        <v>#N/A N/A</v>
        <stp/>
        <stp>BDH|12720558109977746639</stp>
        <tr r="T68" s="2"/>
      </tp>
      <tp t="s">
        <v>#N/A N/A</v>
        <stp/>
        <stp>BDH|17840716526007869389</stp>
        <tr r="M44" s="2"/>
      </tp>
      <tp t="s">
        <v>#N/A N/A</v>
        <stp/>
        <stp>BDH|10806968528184025981</stp>
        <tr r="W18" s="2"/>
      </tp>
      <tp t="s">
        <v>#N/A N/A</v>
        <stp/>
        <stp>BDH|13972701717100084306</stp>
        <tr r="O41" s="2"/>
      </tp>
      <tp t="s">
        <v>#N/A N/A</v>
        <stp/>
        <stp>BDH|10605491453037429067</stp>
        <tr r="AB28" s="2"/>
      </tp>
      <tp t="s">
        <v>#N/A N/A</v>
        <stp/>
        <stp>BDH|14110592814976574185</stp>
        <tr r="N63" s="2"/>
      </tp>
      <tp t="s">
        <v>#N/A N/A</v>
        <stp/>
        <stp>BDH|16501089712592781299</stp>
        <tr r="D9" s="2"/>
      </tp>
      <tp t="s">
        <v>#N/A N/A</v>
        <stp/>
        <stp>BDH|12080258169716404794</stp>
        <tr r="V60" s="2"/>
      </tp>
      <tp t="s">
        <v>#N/A N/A</v>
        <stp/>
        <stp>BDH|17569677759456360591</stp>
        <tr r="N47" s="2"/>
      </tp>
      <tp t="s">
        <v>#N/A N/A</v>
        <stp/>
        <stp>BDH|10211832100087139811</stp>
        <tr r="Q41" s="2"/>
      </tp>
      <tp t="s">
        <v>#N/A N/A</v>
        <stp/>
        <stp>BDH|16696532953988278955</stp>
        <tr r="AA45" s="2"/>
      </tp>
      <tp t="s">
        <v>#N/A N/A</v>
        <stp/>
        <stp>BDH|15037632907092664629</stp>
        <tr r="AE19" s="2"/>
      </tp>
      <tp t="s">
        <v>#N/A N/A</v>
        <stp/>
        <stp>BDH|10197636973120555648</stp>
        <tr r="G41" s="2"/>
      </tp>
      <tp t="s">
        <v>#N/A N/A</v>
        <stp/>
        <stp>BDH|10783060592166093833</stp>
        <tr r="I38" s="2"/>
      </tp>
      <tp t="s">
        <v>#N/A N/A</v>
        <stp/>
        <stp>BDH|13200299738013002638</stp>
        <tr r="M47" s="2"/>
      </tp>
      <tp t="s">
        <v>#N/A N/A</v>
        <stp/>
        <stp>BDH|18132051937895017906</stp>
        <tr r="Y7" s="2"/>
      </tp>
      <tp t="s">
        <v>#N/A N/A</v>
        <stp/>
        <stp>BDH|10102538334826773725</stp>
        <tr r="AC59" s="2"/>
      </tp>
      <tp t="s">
        <v>#N/A N/A</v>
        <stp/>
        <stp>BDH|18290251482714319159</stp>
        <tr r="N43" s="2"/>
      </tp>
      <tp t="s">
        <v>#N/A N/A</v>
        <stp/>
        <stp>BDH|17691110798320986855</stp>
        <tr r="W44" s="2"/>
      </tp>
      <tp t="s">
        <v>#N/A N/A</v>
        <stp/>
        <stp>BDH|13391323764449000868</stp>
        <tr r="N9" s="2"/>
      </tp>
      <tp t="s">
        <v>#N/A N/A</v>
        <stp/>
        <stp>BDH|13869393210611567770</stp>
        <tr r="AB23" s="2"/>
      </tp>
      <tp t="s">
        <v>#N/A N/A</v>
        <stp/>
        <stp>BDH|15407708348856858770</stp>
        <tr r="AA42" s="2"/>
      </tp>
      <tp t="s">
        <v>#N/A N/A</v>
        <stp/>
        <stp>BDH|16265575337413047408</stp>
        <tr r="S64" s="2"/>
      </tp>
      <tp t="s">
        <v>#N/A N/A</v>
        <stp/>
        <stp>BDH|17590664164457303766</stp>
        <tr r="O48" s="2"/>
      </tp>
      <tp t="s">
        <v>#N/A N/A</v>
        <stp/>
        <stp>BDH|16735882775308909615</stp>
        <tr r="AE42" s="2"/>
      </tp>
      <tp t="s">
        <v>#N/A N/A</v>
        <stp/>
        <stp>BDH|13114742181859509248</stp>
        <tr r="N22" s="2"/>
      </tp>
      <tp t="s">
        <v>#N/A N/A</v>
        <stp/>
        <stp>BDH|12326238924504961194</stp>
        <tr r="AB34" s="2"/>
      </tp>
      <tp t="s">
        <v>#N/A N/A</v>
        <stp/>
        <stp>BDH|10457523358112282582</stp>
        <tr r="V44" s="2"/>
      </tp>
      <tp t="s">
        <v>#N/A N/A</v>
        <stp/>
        <stp>BDH|10230696247744030184</stp>
        <tr r="I45" s="2"/>
      </tp>
      <tp t="s">
        <v>#N/A N/A</v>
        <stp/>
        <stp>BDH|10807640071846257080</stp>
        <tr r="X38" s="2"/>
      </tp>
      <tp t="s">
        <v>#N/A N/A</v>
        <stp/>
        <stp>BDH|13083132376537348517</stp>
        <tr r="AE34" s="2"/>
      </tp>
      <tp t="s">
        <v>#N/A N/A</v>
        <stp/>
        <stp>BDH|14690447199036961846</stp>
        <tr r="Z7" s="2"/>
      </tp>
      <tp t="s">
        <v>#N/A N/A</v>
        <stp/>
        <stp>BDH|15174261121701771375</stp>
        <tr r="V26" s="2"/>
      </tp>
      <tp t="s">
        <v>#N/A N/A</v>
        <stp/>
        <stp>BDH|11589534210890800285</stp>
        <tr r="V11" s="2"/>
      </tp>
      <tp t="s">
        <v>#N/A N/A</v>
        <stp/>
        <stp>BDH|17690782316330568640</stp>
        <tr r="T23" s="2"/>
      </tp>
      <tp t="s">
        <v>#N/A N/A</v>
        <stp/>
        <stp>BDH|12349545343287869358</stp>
        <tr r="T64" s="2"/>
      </tp>
      <tp t="s">
        <v>#N/A N/A</v>
        <stp/>
        <stp>BDH|12082499264570030747</stp>
        <tr r="R55" s="2"/>
      </tp>
      <tp t="s">
        <v>#N/A N/A</v>
        <stp/>
        <stp>BDH|11829220412123278631</stp>
        <tr r="D60" s="2"/>
      </tp>
      <tp t="s">
        <v>#N/A N/A</v>
        <stp/>
        <stp>BDH|12125442027180275388</stp>
        <tr r="Y63" s="2"/>
      </tp>
      <tp t="s">
        <v>#N/A N/A</v>
        <stp/>
        <stp>BDH|17985939432453117929</stp>
        <tr r="Q15" s="2"/>
      </tp>
      <tp t="s">
        <v>#N/A N/A</v>
        <stp/>
        <stp>BDH|17419812279208371746</stp>
        <tr r="W37" s="2"/>
      </tp>
      <tp t="s">
        <v>#N/A N/A</v>
        <stp/>
        <stp>BDH|16546253104372836170</stp>
        <tr r="AA26" s="2"/>
      </tp>
      <tp t="s">
        <v>#N/A N/A</v>
        <stp/>
        <stp>BDH|17510191102131091042</stp>
        <tr r="P51" s="2"/>
      </tp>
      <tp t="s">
        <v>#N/A N/A</v>
        <stp/>
        <stp>BDH|12393683713743327111</stp>
        <tr r="K38" s="2"/>
      </tp>
      <tp t="s">
        <v>#N/A N/A</v>
        <stp/>
        <stp>BDH|14849494562511018095</stp>
        <tr r="G38" s="2"/>
      </tp>
      <tp t="s">
        <v>#N/A N/A</v>
        <stp/>
        <stp>BDH|13993377825711101473</stp>
        <tr r="D62" s="2"/>
      </tp>
      <tp t="s">
        <v>#N/A N/A</v>
        <stp/>
        <stp>BDH|14404035120090869120</stp>
        <tr r="X44" s="2"/>
      </tp>
      <tp t="s">
        <v>#N/A N/A</v>
        <stp/>
        <stp>BDH|12416676688218613305</stp>
        <tr r="W7" s="2"/>
      </tp>
      <tp t="s">
        <v>#N/A N/A</v>
        <stp/>
        <stp>BDH|10535133670498226996</stp>
        <tr r="T27" s="2"/>
      </tp>
      <tp t="s">
        <v>#N/A N/A</v>
        <stp/>
        <stp>BDH|11211195438147700392</stp>
        <tr r="F38" s="2"/>
      </tp>
      <tp t="s">
        <v>#N/A N/A</v>
        <stp/>
        <stp>BDH|11442709575220884642</stp>
        <tr r="P15" s="2"/>
      </tp>
      <tp t="s">
        <v>#N/A N/A</v>
        <stp/>
        <stp>BDH|12887804272613009968</stp>
        <tr r="AC23" s="2"/>
      </tp>
      <tp t="s">
        <v>#N/A N/A</v>
        <stp/>
        <stp>BDH|11039680154166387301</stp>
        <tr r="AB55" s="2"/>
      </tp>
      <tp t="s">
        <v>#N/A N/A</v>
        <stp/>
        <stp>BDH|18082069851672905813</stp>
        <tr r="M62" s="2"/>
      </tp>
      <tp t="s">
        <v>#N/A N/A</v>
        <stp/>
        <stp>BDH|11167368962254222792</stp>
        <tr r="O9" s="2"/>
      </tp>
      <tp t="s">
        <v>#N/A N/A</v>
        <stp/>
        <stp>BDH|12132354758284564770</stp>
        <tr r="F11" s="2"/>
      </tp>
      <tp t="s">
        <v>#N/A N/A</v>
        <stp/>
        <stp>BDH|15237987291425224773</stp>
        <tr r="P37" s="2"/>
      </tp>
      <tp t="s">
        <v>#N/A N/A</v>
        <stp/>
        <stp>BDH|16949364162241660551</stp>
        <tr r="R28" s="2"/>
      </tp>
      <tp t="s">
        <v>#N/A N/A</v>
        <stp/>
        <stp>BDH|12938437850167363376</stp>
        <tr r="T37" s="2"/>
      </tp>
      <tp t="s">
        <v>#N/A N/A</v>
        <stp/>
        <stp>BDH|10816639838408329911</stp>
        <tr r="T14" s="2"/>
      </tp>
      <tp t="s">
        <v>#N/A N/A</v>
        <stp/>
        <stp>BDH|16081116912293178122</stp>
        <tr r="H53" s="2"/>
      </tp>
      <tp t="s">
        <v>#N/A N/A</v>
        <stp/>
        <stp>BDH|14705909110938727005</stp>
        <tr r="T46" s="2"/>
      </tp>
      <tp t="s">
        <v>#N/A N/A</v>
        <stp/>
        <stp>BDH|14792415951555289454</stp>
        <tr r="C36" s="2"/>
      </tp>
      <tp t="s">
        <v>#N/A N/A</v>
        <stp/>
        <stp>BDH|12282137684927090866</stp>
        <tr r="S63" s="2"/>
      </tp>
      <tp t="s">
        <v>#N/A N/A</v>
        <stp/>
        <stp>BDH|13089348763923208161</stp>
        <tr r="L8" s="2"/>
      </tp>
      <tp t="s">
        <v>#N/A N/A</v>
        <stp/>
        <stp>BDH|12976888906266499808</stp>
        <tr r="G10" s="2"/>
      </tp>
      <tp t="s">
        <v>#N/A N/A</v>
        <stp/>
        <stp>BDH|11391431902244137509</stp>
        <tr r="W19" s="2"/>
      </tp>
      <tp t="s">
        <v>#N/A N/A</v>
        <stp/>
        <stp>BDH|12271867664181099938</stp>
        <tr r="S65" s="2"/>
      </tp>
      <tp t="s">
        <v>#N/A N/A</v>
        <stp/>
        <stp>BDH|14713627540315365755</stp>
        <tr r="AE27" s="2"/>
      </tp>
      <tp t="s">
        <v>#N/A N/A</v>
        <stp/>
        <stp>BDH|14908599511851799545</stp>
        <tr r="R22" s="2"/>
      </tp>
      <tp t="s">
        <v>#N/A N/A</v>
        <stp/>
        <stp>BDH|11799961993913458642</stp>
        <tr r="AE55" s="2"/>
      </tp>
      <tp t="s">
        <v>#N/A N/A</v>
        <stp/>
        <stp>BDH|11464530749824869032</stp>
        <tr r="AB49" s="2"/>
      </tp>
      <tp t="s">
        <v>#N/A N/A</v>
        <stp/>
        <stp>BDH|15521659722405005076</stp>
        <tr r="Q28" s="2"/>
      </tp>
      <tp t="s">
        <v>#N/A N/A</v>
        <stp/>
        <stp>BDH|13533365367167869594</stp>
        <tr r="J62" s="2"/>
      </tp>
      <tp t="s">
        <v>#N/A N/A</v>
        <stp/>
        <stp>BDH|13543723502456229624</stp>
        <tr r="AA18" s="2"/>
      </tp>
      <tp t="s">
        <v>#N/A N/A</v>
        <stp/>
        <stp>BDH|11096729158414787397</stp>
        <tr r="N27" s="2"/>
      </tp>
      <tp t="s">
        <v>#N/A N/A</v>
        <stp/>
        <stp>BDH|11672416147574239165</stp>
        <tr r="W8" s="2"/>
      </tp>
      <tp t="s">
        <v>#N/A N/A</v>
        <stp/>
        <stp>BDH|16814102339245773523</stp>
        <tr r="E46" s="2"/>
      </tp>
      <tp t="s">
        <v>#N/A N/A</v>
        <stp/>
        <stp>BDH|11852842777358838248</stp>
        <tr r="T18" s="2"/>
      </tp>
      <tp t="s">
        <v>#N/A N/A</v>
        <stp/>
        <stp>BDH|12629056049652977048</stp>
        <tr r="V18" s="2"/>
      </tp>
      <tp t="s">
        <v>#N/A N/A</v>
        <stp/>
        <stp>BDH|12387324666307950481</stp>
        <tr r="P27" s="2"/>
      </tp>
      <tp t="s">
        <v>#N/A N/A</v>
        <stp/>
        <stp>BDH|15510446700883417636</stp>
        <tr r="E59" s="2"/>
      </tp>
      <tp t="s">
        <v>#N/A N/A</v>
        <stp/>
        <stp>BDH|11648003184055530816</stp>
        <tr r="U15" s="2"/>
      </tp>
      <tp t="s">
        <v>#N/A N/A</v>
        <stp/>
        <stp>BDH|12481336067901259244</stp>
        <tr r="C29" s="2"/>
      </tp>
      <tp t="s">
        <v>#N/A N/A</v>
        <stp/>
        <stp>BDH|16421708659476544611</stp>
        <tr r="AD51" s="2"/>
      </tp>
      <tp t="s">
        <v>#N/A N/A</v>
        <stp/>
        <stp>BDH|15535311076842318781</stp>
        <tr r="J27" s="2"/>
      </tp>
      <tp t="s">
        <v>#N/A N/A</v>
        <stp/>
        <stp>BDH|12938457861456592217</stp>
        <tr r="E48" s="2"/>
      </tp>
      <tp t="s">
        <v>#N/A N/A</v>
        <stp/>
        <stp>BDH|12765310561007789492</stp>
        <tr r="AB29" s="2"/>
      </tp>
      <tp t="s">
        <v>#N/A N/A</v>
        <stp/>
        <stp>BDH|17538339124100335299</stp>
        <tr r="V35" s="2"/>
      </tp>
      <tp t="s">
        <v>#N/A N/A</v>
        <stp/>
        <stp>BDH|12020594061622379737</stp>
        <tr r="O31" s="2"/>
      </tp>
      <tp t="s">
        <v>#N/A N/A</v>
        <stp/>
        <stp>BDH|14027727752507066581</stp>
        <tr r="V68" s="2"/>
      </tp>
      <tp t="s">
        <v>#N/A N/A</v>
        <stp/>
        <stp>BDH|18052594241765927893</stp>
        <tr r="I53" s="2"/>
      </tp>
      <tp t="s">
        <v>#N/A N/A</v>
        <stp/>
        <stp>BDH|15264685533215262132</stp>
        <tr r="G11" s="2"/>
      </tp>
      <tp t="s">
        <v>#N/A N/A</v>
        <stp/>
        <stp>BDH|12597731703487750692</stp>
        <tr r="W33" s="2"/>
      </tp>
      <tp t="s">
        <v>#N/A N/A</v>
        <stp/>
        <stp>BDH|12931304085525120862</stp>
        <tr r="AA46" s="2"/>
      </tp>
      <tp t="s">
        <v>#N/A N/A</v>
        <stp/>
        <stp>BDH|12548493241411326754</stp>
        <tr r="H44" s="2"/>
      </tp>
      <tp t="s">
        <v>#N/A N/A</v>
        <stp/>
        <stp>BDH|17155728785654549892</stp>
        <tr r="M7" s="2"/>
      </tp>
      <tp t="s">
        <v>#N/A N/A</v>
        <stp/>
        <stp>BDH|14473279049697011108</stp>
        <tr r="T16" s="2"/>
      </tp>
      <tp t="s">
        <v>#N/A N/A</v>
        <stp/>
        <stp>BDH|18106750287381033297</stp>
        <tr r="V9" s="2"/>
      </tp>
      <tp t="s">
        <v>#N/A N/A</v>
        <stp/>
        <stp>BDH|11207285065040793128</stp>
        <tr r="D66" s="2"/>
      </tp>
      <tp t="s">
        <v>#N/A N/A</v>
        <stp/>
        <stp>BDH|11559414079980501655</stp>
        <tr r="M66" s="2"/>
      </tp>
      <tp t="s">
        <v>#N/A N/A</v>
        <stp/>
        <stp>BDH|15827318273175341043</stp>
        <tr r="V36" s="2"/>
      </tp>
      <tp t="s">
        <v>#N/A N/A</v>
        <stp/>
        <stp>BDH|10451849897982932734</stp>
        <tr r="T65" s="2"/>
      </tp>
      <tp t="s">
        <v>#N/A N/A</v>
        <stp/>
        <stp>BDH|17662226770094149285</stp>
        <tr r="Q50" s="2"/>
      </tp>
      <tp t="s">
        <v>#N/A N/A</v>
        <stp/>
        <stp>BDH|16175371457825985150</stp>
        <tr r="L63" s="2"/>
      </tp>
      <tp t="s">
        <v>#N/A N/A</v>
        <stp/>
        <stp>BDH|16378554807893592497</stp>
        <tr r="C27" s="2"/>
      </tp>
      <tp t="s">
        <v>#N/A N/A</v>
        <stp/>
        <stp>BDH|14075927388654015573</stp>
        <tr r="U16" s="2"/>
      </tp>
      <tp t="s">
        <v>#N/A N/A</v>
        <stp/>
        <stp>BDH|18158041898917069238</stp>
        <tr r="Y35" s="2"/>
      </tp>
      <tp t="s">
        <v>#N/A N/A</v>
        <stp/>
        <stp>BDH|10256552388281944881</stp>
        <tr r="Z36" s="2"/>
      </tp>
      <tp t="s">
        <v>#N/A N/A</v>
        <stp/>
        <stp>BDH|12863589413917816557</stp>
        <tr r="W63" s="2"/>
      </tp>
      <tp t="s">
        <v>#N/A N/A</v>
        <stp/>
        <stp>BDH|18202394483630352750</stp>
        <tr r="R10" s="2"/>
      </tp>
      <tp t="s">
        <v>#N/A N/A</v>
        <stp/>
        <stp>BDH|14644214032782747239</stp>
        <tr r="P30" s="2"/>
      </tp>
      <tp t="s">
        <v>#N/A N/A</v>
        <stp/>
        <stp>BDH|14595254902492367106</stp>
        <tr r="V25" s="2"/>
      </tp>
      <tp t="s">
        <v>#N/A N/A</v>
        <stp/>
        <stp>BDH|10345150367986826487</stp>
        <tr r="W47" s="2"/>
      </tp>
      <tp t="s">
        <v>#N/A N/A</v>
        <stp/>
        <stp>BDH|15358266570260301570</stp>
        <tr r="J67" s="2"/>
      </tp>
      <tp t="s">
        <v>#N/A N/A</v>
        <stp/>
        <stp>BDH|10873554461846877059</stp>
        <tr r="V10" s="2"/>
      </tp>
      <tp t="s">
        <v>#N/A N/A</v>
        <stp/>
        <stp>BDH|10737626515385234721</stp>
        <tr r="J17" s="2"/>
      </tp>
      <tp t="s">
        <v>#N/A N/A</v>
        <stp/>
        <stp>BDH|15027058387119304124</stp>
        <tr r="AF50" s="2"/>
      </tp>
      <tp t="s">
        <v>#N/A N/A</v>
        <stp/>
        <stp>BDH|17270178190188168278</stp>
        <tr r="H26" s="2"/>
      </tp>
      <tp t="s">
        <v>#N/A N/A</v>
        <stp/>
        <stp>BDH|16715510777185542471</stp>
        <tr r="P12" s="2"/>
      </tp>
      <tp t="s">
        <v>#N/A N/A</v>
        <stp/>
        <stp>BDH|11211417256933780608</stp>
        <tr r="C33" s="2"/>
      </tp>
      <tp t="s">
        <v>#N/A N/A</v>
        <stp/>
        <stp>BDH|17542176810186563456</stp>
        <tr r="L60" s="2"/>
      </tp>
      <tp t="s">
        <v>#N/A N/A</v>
        <stp/>
        <stp>BDH|14862353258486355145</stp>
        <tr r="D46" s="2"/>
      </tp>
      <tp t="s">
        <v>#N/A N/A</v>
        <stp/>
        <stp>BDH|11442143254957193771</stp>
        <tr r="Q25" s="2"/>
      </tp>
      <tp t="s">
        <v>#N/A N/A</v>
        <stp/>
        <stp>BDH|10019598274623836405</stp>
        <tr r="K7" s="2"/>
      </tp>
      <tp t="s">
        <v>#N/A N/A</v>
        <stp/>
        <stp>BDH|18036873357277116741</stp>
        <tr r="I28" s="2"/>
      </tp>
      <tp t="s">
        <v>#N/A N/A</v>
        <stp/>
        <stp>BDH|16712015835972444231</stp>
        <tr r="S11" s="2"/>
      </tp>
      <tp t="s">
        <v>#N/A N/A</v>
        <stp/>
        <stp>BDH|10400843756101364915</stp>
        <tr r="AF28" s="2"/>
      </tp>
      <tp t="s">
        <v>#N/A N/A</v>
        <stp/>
        <stp>BDH|15899085803609027978</stp>
        <tr r="AA41" s="2"/>
      </tp>
      <tp t="s">
        <v>#N/A N/A</v>
        <stp/>
        <stp>BDH|13860732621446588586</stp>
        <tr r="O63" s="2"/>
      </tp>
      <tp t="s">
        <v>#N/A N/A</v>
        <stp/>
        <stp>BDH|14693273447505892295</stp>
        <tr r="C30" s="2"/>
      </tp>
      <tp t="s">
        <v>#N/A N/A</v>
        <stp/>
        <stp>BDH|10377788358730421709</stp>
        <tr r="M28" s="2"/>
      </tp>
      <tp t="s">
        <v>#N/A N/A</v>
        <stp/>
        <stp>BDH|12483395388978453467</stp>
        <tr r="AE65" s="2"/>
      </tp>
      <tp t="s">
        <v>#N/A N/A</v>
        <stp/>
        <stp>BDH|15608671344814615651</stp>
        <tr r="E24" s="2"/>
      </tp>
      <tp t="s">
        <v>#N/A N/A</v>
        <stp/>
        <stp>BDH|13785303240268420957</stp>
        <tr r="U53" s="2"/>
      </tp>
      <tp t="s">
        <v>#N/A N/A</v>
        <stp/>
        <stp>BDH|11696751617695485767</stp>
        <tr r="C11" s="2"/>
      </tp>
      <tp t="s">
        <v>#N/A N/A</v>
        <stp/>
        <stp>BDH|16246032828754729585</stp>
        <tr r="Y14" s="2"/>
      </tp>
      <tp t="s">
        <v>#N/A N/A</v>
        <stp/>
        <stp>BDH|16804808320009107007</stp>
        <tr r="Z47" s="2"/>
      </tp>
      <tp t="s">
        <v>#N/A N/A</v>
        <stp/>
        <stp>BDH|10928432384678379147</stp>
        <tr r="V29" s="2"/>
      </tp>
      <tp t="s">
        <v>#N/A N/A</v>
        <stp/>
        <stp>BDH|17905300656091696512</stp>
        <tr r="I35" s="2"/>
      </tp>
      <tp t="s">
        <v>#N/A N/A</v>
        <stp/>
        <stp>BDH|15492215607600369296</stp>
        <tr r="P8" s="2"/>
      </tp>
      <tp t="s">
        <v>#N/A N/A</v>
        <stp/>
        <stp>BDH|14283931986283839375</stp>
        <tr r="F9" s="2"/>
      </tp>
      <tp t="s">
        <v>#N/A N/A</v>
        <stp/>
        <stp>BDH|13785387215151499567</stp>
        <tr r="K34" s="2"/>
      </tp>
      <tp t="s">
        <v>#N/A N/A</v>
        <stp/>
        <stp>BDH|11564707319766402402</stp>
        <tr r="K50" s="2"/>
      </tp>
      <tp t="s">
        <v>#N/A N/A</v>
        <stp/>
        <stp>BDH|17385935907629889249</stp>
        <tr r="AE36" s="2"/>
      </tp>
      <tp t="s">
        <v>#N/A N/A</v>
        <stp/>
        <stp>BDH|15896735846443072061</stp>
        <tr r="N48" s="2"/>
      </tp>
      <tp t="s">
        <v>#N/A N/A</v>
        <stp/>
        <stp>BDH|15544980892154732433</stp>
        <tr r="AB8" s="2"/>
      </tp>
      <tp t="s">
        <v>#N/A N/A</v>
        <stp/>
        <stp>BDH|12309449629167737634</stp>
        <tr r="T22" s="2"/>
      </tp>
      <tp t="s">
        <v>#N/A N/A</v>
        <stp/>
        <stp>BDH|11626232611170943772</stp>
        <tr r="U41" s="2"/>
      </tp>
      <tp t="s">
        <v>#N/A N/A</v>
        <stp/>
        <stp>BDH|14628400048964285567</stp>
        <tr r="AE23" s="2"/>
      </tp>
      <tp t="s">
        <v>#N/A N/A</v>
        <stp/>
        <stp>BDH|14384985693153424210</stp>
        <tr r="I49" s="2"/>
      </tp>
      <tp t="s">
        <v>#N/A N/A</v>
        <stp/>
        <stp>BDH|17760271979994640327</stp>
        <tr r="O25" s="2"/>
      </tp>
      <tp t="s">
        <v>#N/A N/A</v>
        <stp/>
        <stp>BDH|13860429175542629748</stp>
        <tr r="G66" s="2"/>
      </tp>
      <tp t="s">
        <v>#N/A N/A</v>
        <stp/>
        <stp>BDH|16319366846173789781</stp>
        <tr r="K51" s="2"/>
      </tp>
      <tp t="s">
        <v>#N/A N/A</v>
        <stp/>
        <stp>BDH|11922621867695381130</stp>
        <tr r="X13" s="2"/>
      </tp>
      <tp t="s">
        <v>#N/A N/A</v>
        <stp/>
        <stp>BDH|10480606862761237489</stp>
        <tr r="I26" s="2"/>
      </tp>
      <tp t="s">
        <v>#N/A N/A</v>
        <stp/>
        <stp>BDH|12531271638037219178</stp>
        <tr r="K24" s="2"/>
      </tp>
      <tp t="s">
        <v>#N/A N/A</v>
        <stp/>
        <stp>BDH|14551417670810954226</stp>
        <tr r="Z60" s="2"/>
      </tp>
      <tp t="s">
        <v>#N/A N/A</v>
        <stp/>
        <stp>BDH|10857723506484556662</stp>
        <tr r="Y23" s="2"/>
      </tp>
      <tp t="s">
        <v>#N/A N/A</v>
        <stp/>
        <stp>BDH|16872771194484441919</stp>
        <tr r="K28" s="2"/>
      </tp>
      <tp t="s">
        <v>#N/A N/A</v>
        <stp/>
        <stp>BDH|17273388217026558664</stp>
        <tr r="F26" s="2"/>
      </tp>
      <tp t="s">
        <v>#N/A N/A</v>
        <stp/>
        <stp>BDH|13835020555705458652</stp>
        <tr r="M19" s="2"/>
      </tp>
      <tp t="s">
        <v>#N/A N/A</v>
        <stp/>
        <stp>BDH|10895228853106379445</stp>
        <tr r="C9" s="2"/>
      </tp>
    </main>
    <main first="bofaddin.rtdserver">
      <tp t="s">
        <v>#N/A N/A</v>
        <stp/>
        <stp>BDH|8852842472345578</stp>
        <tr r="H25" s="2"/>
      </tp>
      <tp t="s">
        <v>#N/A N/A</v>
        <stp/>
        <stp>BDH|5104178045688888</stp>
        <tr r="AA10" s="2"/>
      </tp>
      <tp t="s">
        <v>#N/A N/A</v>
        <stp/>
        <stp>BDH|8250992830821599</stp>
        <tr r="AC12" s="2"/>
      </tp>
      <tp t="s">
        <v>#N/A N/A</v>
        <stp/>
        <stp>BDH|1017204692254178</stp>
        <tr r="U11" s="2"/>
      </tp>
      <tp t="s">
        <v>#N/A N/A</v>
        <stp/>
        <stp>BDH|4303087558888984507</stp>
        <tr r="I8" s="2"/>
      </tp>
      <tp t="s">
        <v>#N/A N/A</v>
        <stp/>
        <stp>BDH|1265100400535051982</stp>
        <tr r="I29" s="2"/>
      </tp>
      <tp t="s">
        <v>#N/A N/A</v>
        <stp/>
        <stp>BDH|8450976211348122495</stp>
        <tr r="L53" s="2"/>
      </tp>
      <tp t="s">
        <v>#N/A N/A</v>
        <stp/>
        <stp>BDH|7863810712043463156</stp>
        <tr r="X67" s="2"/>
      </tp>
      <tp t="s">
        <v>#N/A N/A</v>
        <stp/>
        <stp>BDH|1136962302903768782</stp>
        <tr r="Q48" s="2"/>
      </tp>
      <tp t="s">
        <v>#N/A N/A</v>
        <stp/>
        <stp>BDH|5697936077291948608</stp>
        <tr r="Z48" s="2"/>
      </tp>
      <tp t="s">
        <v>#N/A N/A</v>
        <stp/>
        <stp>BDH|2142971329063459601</stp>
        <tr r="P25" s="2"/>
      </tp>
      <tp t="s">
        <v>#N/A N/A</v>
        <stp/>
        <stp>BDH|5624262160104991928</stp>
        <tr r="T49" s="2"/>
      </tp>
      <tp t="s">
        <v>#N/A N/A</v>
        <stp/>
        <stp>BDH|8764514610211922144</stp>
        <tr r="N53" s="2"/>
      </tp>
      <tp t="s">
        <v>#N/A N/A</v>
        <stp/>
        <stp>BDH|1469579942785273986</stp>
        <tr r="AE66" s="2"/>
      </tp>
      <tp t="s">
        <v>#N/A N/A</v>
        <stp/>
        <stp>BDH|8876856465842138825</stp>
        <tr r="Y36" s="2"/>
      </tp>
      <tp t="s">
        <v>#N/A N/A</v>
        <stp/>
        <stp>BDH|9183118053447249690</stp>
        <tr r="M43" s="2"/>
      </tp>
      <tp t="s">
        <v>#N/A N/A</v>
        <stp/>
        <stp>BDH|3991778656398153512</stp>
        <tr r="AE28" s="2"/>
      </tp>
      <tp t="s">
        <v>#N/A N/A</v>
        <stp/>
        <stp>BDH|7243397725163561933</stp>
        <tr r="N7" s="2"/>
      </tp>
      <tp t="s">
        <v>#N/A N/A</v>
        <stp/>
        <stp>BDH|5914355384776238427</stp>
        <tr r="D16" s="2"/>
      </tp>
      <tp t="s">
        <v>#N/A N/A</v>
        <stp/>
        <stp>BDH|3586681013548023078</stp>
        <tr r="E67" s="2"/>
      </tp>
      <tp t="s">
        <v>#N/A N/A</v>
        <stp/>
        <stp>BDH|4791048520748579282</stp>
        <tr r="AE11" s="2"/>
      </tp>
      <tp t="s">
        <v>#N/A N/A</v>
        <stp/>
        <stp>BDH|7961671031256060814</stp>
        <tr r="E18" s="2"/>
      </tp>
      <tp t="s">
        <v>#N/A N/A</v>
        <stp/>
        <stp>BDH|8922865584881437515</stp>
        <tr r="H49" s="2"/>
      </tp>
      <tp t="s">
        <v>#N/A N/A</v>
        <stp/>
        <stp>BDH|7894124425270986899</stp>
        <tr r="Q14" s="2"/>
      </tp>
      <tp t="s">
        <v>#N/A N/A</v>
        <stp/>
        <stp>BDH|8116477528713361110</stp>
        <tr r="AB14" s="2"/>
      </tp>
      <tp t="s">
        <v>#N/A N/A</v>
        <stp/>
        <stp>BDH|5965329291694371759</stp>
        <tr r="G30" s="2"/>
      </tp>
      <tp t="s">
        <v>#N/A N/A</v>
        <stp/>
        <stp>BDH|5733940109565785516</stp>
        <tr r="AD31" s="2"/>
      </tp>
      <tp t="s">
        <v>#N/A N/A</v>
        <stp/>
        <stp>BDH|2220781014798022035</stp>
        <tr r="W64" s="2"/>
      </tp>
      <tp t="s">
        <v>#N/A N/A</v>
        <stp/>
        <stp>BDH|2921821817706219131</stp>
        <tr r="C17" s="2"/>
      </tp>
      <tp t="s">
        <v>#N/A N/A</v>
        <stp/>
        <stp>BDH|5078603731734961859</stp>
        <tr r="AB53" s="2"/>
      </tp>
      <tp t="s">
        <v>#N/A N/A</v>
        <stp/>
        <stp>BDH|4812577689077014246</stp>
        <tr r="Z50" s="2"/>
      </tp>
      <tp t="s">
        <v>#N/A N/A</v>
        <stp/>
        <stp>BDH|4739951023000463377</stp>
        <tr r="L36" s="2"/>
      </tp>
      <tp t="s">
        <v>#N/A N/A</v>
        <stp/>
        <stp>BDH|1543660164675660832</stp>
        <tr r="S13" s="2"/>
      </tp>
      <tp t="s">
        <v>#N/A N/A</v>
        <stp/>
        <stp>BDH|6340228124408518223</stp>
        <tr r="I47" s="2"/>
      </tp>
      <tp t="s">
        <v>#N/A N/A</v>
        <stp/>
        <stp>BDH|4008160581547180669</stp>
        <tr r="U19" s="2"/>
      </tp>
      <tp t="s">
        <v>#N/A N/A</v>
        <stp/>
        <stp>BDH|4701679134704026945</stp>
        <tr r="F43" s="2"/>
      </tp>
      <tp t="s">
        <v>#N/A N/A</v>
        <stp/>
        <stp>BDH|2749152596850479601</stp>
        <tr r="L17" s="2"/>
      </tp>
      <tp t="s">
        <v>#N/A N/A</v>
        <stp/>
        <stp>BDH|2982893010162549554</stp>
        <tr r="I13" s="2"/>
      </tp>
      <tp t="s">
        <v>#N/A N/A</v>
        <stp/>
        <stp>BDH|7404368512200786966</stp>
        <tr r="E55" s="2"/>
      </tp>
      <tp t="s">
        <v>#N/A N/A</v>
        <stp/>
        <stp>BDH|9286245482007235877</stp>
        <tr r="AA48" s="2"/>
      </tp>
      <tp t="s">
        <v>#N/A N/A</v>
        <stp/>
        <stp>BDH|7049068806709325223</stp>
        <tr r="Z31" s="2"/>
      </tp>
      <tp t="s">
        <v>#N/A N/A</v>
        <stp/>
        <stp>BDH|3171621385789549857</stp>
        <tr r="E60" s="2"/>
      </tp>
      <tp t="s">
        <v>#N/A N/A</v>
        <stp/>
        <stp>BDH|7460272575218465645</stp>
        <tr r="D7" s="2"/>
      </tp>
      <tp t="s">
        <v>#N/A N/A</v>
        <stp/>
        <stp>BDH|6719872853757531001</stp>
        <tr r="R65" s="2"/>
      </tp>
      <tp t="s">
        <v>#N/A N/A</v>
        <stp/>
        <stp>BDH|5695730697304646327</stp>
        <tr r="H62" s="2"/>
      </tp>
      <tp t="s">
        <v>#N/A N/A</v>
        <stp/>
        <stp>BDH|2420501834910052862</stp>
        <tr r="Z12" s="2"/>
      </tp>
      <tp t="s">
        <v>#N/A N/A</v>
        <stp/>
        <stp>BDH|6553098739150480967</stp>
        <tr r="AA66" s="2"/>
      </tp>
      <tp t="s">
        <v>#N/A N/A</v>
        <stp/>
        <stp>BDH|1563657440878045777</stp>
        <tr r="K19" s="2"/>
      </tp>
      <tp t="s">
        <v>#N/A N/A</v>
        <stp/>
        <stp>BDH|1145566078618878737</stp>
        <tr r="Q22" s="2"/>
      </tp>
      <tp t="s">
        <v>#N/A N/A</v>
        <stp/>
        <stp>BDH|7203637282834408139</stp>
        <tr r="J66" s="2"/>
      </tp>
      <tp t="s">
        <v>#N/A N/A</v>
        <stp/>
        <stp>BDH|4992199895621582141</stp>
        <tr r="C34" s="2"/>
      </tp>
      <tp t="s">
        <v>#N/A N/A</v>
        <stp/>
        <stp>BDH|6019457124269772533</stp>
        <tr r="F19" s="2"/>
      </tp>
      <tp t="s">
        <v>#N/A N/A</v>
        <stp/>
        <stp>BDH|8639846899902818766</stp>
        <tr r="P17" s="2"/>
      </tp>
      <tp t="s">
        <v>#N/A N/A</v>
        <stp/>
        <stp>BDH|3551936859192201077</stp>
        <tr r="G62" s="2"/>
      </tp>
      <tp t="s">
        <v>#N/A N/A</v>
        <stp/>
        <stp>BDH|5927728920824628974</stp>
        <tr r="K66" s="2"/>
      </tp>
      <tp t="s">
        <v>#N/A N/A</v>
        <stp/>
        <stp>BDH|7829152381772079177</stp>
        <tr r="Y66" s="2"/>
      </tp>
      <tp t="s">
        <v>#N/A N/A</v>
        <stp/>
        <stp>BDH|9929114240338048937</stp>
        <tr r="AC68" s="2"/>
      </tp>
      <tp t="s">
        <v>#N/A N/A</v>
        <stp/>
        <stp>BDH|3678331579028191263</stp>
        <tr r="AE47" s="2"/>
      </tp>
      <tp t="s">
        <v>#N/A N/A</v>
        <stp/>
        <stp>BDH|5047305672828830414</stp>
        <tr r="W17" s="2"/>
      </tp>
      <tp t="s">
        <v>#N/A N/A</v>
        <stp/>
        <stp>BDH|8631756559981092637</stp>
        <tr r="H13" s="2"/>
      </tp>
      <tp t="s">
        <v>#N/A N/A</v>
        <stp/>
        <stp>BDH|3136251886244961023</stp>
        <tr r="L43" s="2"/>
      </tp>
      <tp t="s">
        <v>#N/A N/A</v>
        <stp/>
        <stp>BDH|8172650111580431285</stp>
        <tr r="K25" s="2"/>
      </tp>
      <tp t="s">
        <v>#N/A N/A</v>
        <stp/>
        <stp>BDH|8582665799183246910</stp>
        <tr r="AD24" s="2"/>
      </tp>
      <tp t="s">
        <v>#N/A N/A</v>
        <stp/>
        <stp>BDH|7186395633722346869</stp>
        <tr r="E51" s="2"/>
      </tp>
      <tp t="s">
        <v>#N/A N/A</v>
        <stp/>
        <stp>BDH|4253965137316573583</stp>
        <tr r="K44" s="2"/>
      </tp>
      <tp t="s">
        <v>#N/A N/A</v>
        <stp/>
        <stp>BDH|4629021578918559677</stp>
        <tr r="AD41" s="2"/>
      </tp>
      <tp t="s">
        <v>#N/A N/A</v>
        <stp/>
        <stp>BDH|3845826018502844549</stp>
        <tr r="U51" s="2"/>
      </tp>
      <tp t="s">
        <v>#N/A N/A</v>
        <stp/>
        <stp>BDH|2253219128277476816</stp>
        <tr r="AE30" s="2"/>
      </tp>
      <tp t="s">
        <v>#N/A N/A</v>
        <stp/>
        <stp>BDH|4752015647924818964</stp>
        <tr r="AF53" s="2"/>
      </tp>
      <tp t="s">
        <v>#N/A N/A</v>
        <stp/>
        <stp>BDH|1660919426912453592</stp>
        <tr r="S18" s="2"/>
      </tp>
      <tp t="s">
        <v>#N/A N/A</v>
        <stp/>
        <stp>BDH|9474398932146188221</stp>
        <tr r="AD17" s="2"/>
      </tp>
      <tp t="s">
        <v>#N/A N/A</v>
        <stp/>
        <stp>BDH|8830164148503387397</stp>
        <tr r="E45" s="2"/>
      </tp>
      <tp t="s">
        <v>#N/A N/A</v>
        <stp/>
        <stp>BDH|9073269174583895275</stp>
        <tr r="AA38" s="2"/>
      </tp>
      <tp t="s">
        <v>#N/A N/A</v>
        <stp/>
        <stp>BDH|1398326990847317106</stp>
        <tr r="L50" s="2"/>
      </tp>
      <tp t="s">
        <v>#N/A N/A</v>
        <stp/>
        <stp>BDH|9792563890959109124</stp>
        <tr r="O55" s="2"/>
      </tp>
      <tp t="s">
        <v>#N/A N/A</v>
        <stp/>
        <stp>BDH|9424311666292718372</stp>
        <tr r="Z62" s="2"/>
      </tp>
      <tp t="s">
        <v>#N/A N/A</v>
        <stp/>
        <stp>BDH|8418304906282423450</stp>
        <tr r="N16" s="2"/>
      </tp>
      <tp t="s">
        <v>#N/A N/A</v>
        <stp/>
        <stp>BDH|7847036688521699368</stp>
        <tr r="V32" s="2"/>
      </tp>
      <tp t="s">
        <v>#N/A N/A</v>
        <stp/>
        <stp>BDH|7976720298071345506</stp>
        <tr r="M23" s="2"/>
      </tp>
      <tp t="s">
        <v>#N/A N/A</v>
        <stp/>
        <stp>BDH|8374767705393129109</stp>
        <tr r="AC41" s="2"/>
      </tp>
      <tp t="s">
        <v>#N/A N/A</v>
        <stp/>
        <stp>BDH|8439773706331320301</stp>
        <tr r="AD65" s="2"/>
      </tp>
      <tp t="s">
        <v>#N/A N/A</v>
        <stp/>
        <stp>BDH|8269001455194148407</stp>
        <tr r="P68" s="2"/>
      </tp>
      <tp t="s">
        <v>#N/A N/A</v>
        <stp/>
        <stp>BDH|5188768241609159215</stp>
        <tr r="R38" s="2"/>
      </tp>
      <tp t="s">
        <v>#N/A N/A</v>
        <stp/>
        <stp>BDH|7493339847644557935</stp>
        <tr r="S47" s="2"/>
      </tp>
      <tp t="s">
        <v>#N/A N/A</v>
        <stp/>
        <stp>BDH|2030810769831714097</stp>
        <tr r="X27" s="2"/>
      </tp>
      <tp t="s">
        <v>#N/A N/A</v>
        <stp/>
        <stp>BDH|9371970753199484149</stp>
        <tr r="V63" s="2"/>
      </tp>
      <tp t="s">
        <v>#N/A N/A</v>
        <stp/>
        <stp>BDH|9709862030226636905</stp>
        <tr r="O67" s="2"/>
      </tp>
      <tp t="s">
        <v>#N/A N/A</v>
        <stp/>
        <stp>BDH|5308545873959522364</stp>
        <tr r="K65" s="2"/>
      </tp>
      <tp t="s">
        <v>#N/A N/A</v>
        <stp/>
        <stp>BDH|9810013278806256542</stp>
        <tr r="AB59" s="2"/>
      </tp>
      <tp t="s">
        <v>#N/A N/A</v>
        <stp/>
        <stp>BDH|9756019853750249103</stp>
        <tr r="Y12" s="2"/>
      </tp>
      <tp t="s">
        <v>#N/A N/A</v>
        <stp/>
        <stp>BDH|5283387539808119066</stp>
        <tr r="AD68" s="2"/>
      </tp>
      <tp t="s">
        <v>#N/A N/A</v>
        <stp/>
        <stp>BDH|3467901544627752438</stp>
        <tr r="Y9" s="2"/>
      </tp>
      <tp t="s">
        <v>#N/A N/A</v>
        <stp/>
        <stp>BDH|4465837093638268034</stp>
        <tr r="L25" s="2"/>
      </tp>
      <tp t="s">
        <v>#N/A N/A</v>
        <stp/>
        <stp>BDH|4326258292204252632</stp>
        <tr r="Y42" s="2"/>
      </tp>
      <tp t="s">
        <v>#N/A N/A</v>
        <stp/>
        <stp>BDH|8651547814915231417</stp>
        <tr r="Z65" s="2"/>
      </tp>
      <tp t="s">
        <v>#N/A N/A</v>
        <stp/>
        <stp>BDH|7838314250679433677</stp>
        <tr r="I27" s="2"/>
      </tp>
      <tp t="s">
        <v>#N/A N/A</v>
        <stp/>
        <stp>BDH|6784995175630511642</stp>
        <tr r="P33" s="2"/>
      </tp>
      <tp t="s">
        <v>#N/A N/A</v>
        <stp/>
        <stp>BDH|7375176668638793611</stp>
        <tr r="X17" s="2"/>
      </tp>
      <tp t="s">
        <v>#N/A N/A</v>
        <stp/>
        <stp>BDH|1369191007568632609</stp>
        <tr r="R42" s="2"/>
      </tp>
      <tp t="s">
        <v>#N/A N/A</v>
        <stp/>
        <stp>BDH|5356697615549667510</stp>
        <tr r="AE17" s="2"/>
      </tp>
      <tp t="s">
        <v>#N/A N/A</v>
        <stp/>
        <stp>BDH|6157082577697573837</stp>
        <tr r="P41" s="2"/>
      </tp>
      <tp t="s">
        <v>#N/A N/A</v>
        <stp/>
        <stp>BDH|9868905191933630479</stp>
        <tr r="P42" s="2"/>
      </tp>
      <tp t="s">
        <v>#N/A N/A</v>
        <stp/>
        <stp>BDH|9954340314197126203</stp>
        <tr r="U49" s="2"/>
      </tp>
      <tp t="s">
        <v>#N/A N/A</v>
        <stp/>
        <stp>BDH|5066707775788913342</stp>
        <tr r="Y65" s="2"/>
      </tp>
      <tp t="s">
        <v>#N/A N/A</v>
        <stp/>
        <stp>BDH|9331641256003971708</stp>
        <tr r="S34" s="2"/>
      </tp>
      <tp t="s">
        <v>#N/A N/A</v>
        <stp/>
        <stp>BDH|2471726388086369548</stp>
        <tr r="D32" s="2"/>
      </tp>
      <tp t="s">
        <v>#N/A N/A</v>
        <stp/>
        <stp>BDH|5210488746848724357</stp>
        <tr r="K10" s="2"/>
      </tp>
      <tp t="s">
        <v>#N/A N/A</v>
        <stp/>
        <stp>BDH|8890610967787730177</stp>
        <tr r="W60" s="2"/>
      </tp>
      <tp t="s">
        <v>#N/A N/A</v>
        <stp/>
        <stp>BDH|2924624681270591212</stp>
        <tr r="K13" s="2"/>
      </tp>
      <tp t="s">
        <v>#N/A N/A</v>
        <stp/>
        <stp>BDH|5087286392735458511</stp>
        <tr r="P32" s="2"/>
      </tp>
      <tp t="s">
        <v>#N/A N/A</v>
        <stp/>
        <stp>BDH|3918497411720577887</stp>
        <tr r="S24" s="2"/>
      </tp>
      <tp t="s">
        <v>#N/A N/A</v>
        <stp/>
        <stp>BDH|1186060505839649680</stp>
        <tr r="N55" s="2"/>
      </tp>
      <tp t="s">
        <v>#N/A N/A</v>
        <stp/>
        <stp>BDH|8465494337194774510</stp>
        <tr r="R47" s="2"/>
      </tp>
      <tp t="s">
        <v>#N/A N/A</v>
        <stp/>
        <stp>BDH|2694968930372897442</stp>
        <tr r="AD16" s="2"/>
      </tp>
      <tp t="s">
        <v>#N/A N/A</v>
        <stp/>
        <stp>BDH|6192859920824078684</stp>
        <tr r="AB46" s="2"/>
      </tp>
      <tp t="s">
        <v>#N/A N/A</v>
        <stp/>
        <stp>BDH|1680192222025645970</stp>
        <tr r="AB11" s="2"/>
      </tp>
      <tp t="s">
        <v>#N/A N/A</v>
        <stp/>
        <stp>BDH|2985526021773802809</stp>
        <tr r="X61" s="2"/>
      </tp>
      <tp t="s">
        <v>#N/A N/A</v>
        <stp/>
        <stp>BDH|4782201185284460445</stp>
        <tr r="H19" s="2"/>
      </tp>
      <tp t="s">
        <v>#N/A N/A</v>
        <stp/>
        <stp>BDH|9697783406591394187</stp>
        <tr r="I65" s="2"/>
      </tp>
      <tp t="s">
        <v>#N/A N/A</v>
        <stp/>
        <stp>BDH|7232366206182633874</stp>
        <tr r="C18" s="2"/>
      </tp>
      <tp t="s">
        <v>#N/A N/A</v>
        <stp/>
        <stp>BDH|7244790262320942837</stp>
        <tr r="J46" s="2"/>
      </tp>
      <tp t="s">
        <v>#N/A N/A</v>
        <stp/>
        <stp>BDH|8618360157042423238</stp>
        <tr r="E63" s="2"/>
      </tp>
      <tp t="s">
        <v>#N/A N/A</v>
        <stp/>
        <stp>BDH|1373751396874325536</stp>
        <tr r="F27" s="2"/>
      </tp>
      <tp t="s">
        <v>#N/A N/A</v>
        <stp/>
        <stp>BDH|8718341525262409531</stp>
        <tr r="D22" s="2"/>
      </tp>
      <tp t="s">
        <v>#N/A N/A</v>
        <stp/>
        <stp>BDH|9867549283169899361</stp>
        <tr r="O34" s="2"/>
      </tp>
      <tp t="s">
        <v>#N/A N/A</v>
        <stp/>
        <stp>BDH|1667476911883685978</stp>
        <tr r="AC64" s="2"/>
      </tp>
      <tp t="s">
        <v>#N/A N/A</v>
        <stp/>
        <stp>BDH|2364995019854270001</stp>
        <tr r="Q59" s="2"/>
      </tp>
      <tp t="s">
        <v>#N/A N/A</v>
        <stp/>
        <stp>BDH|4783030007848296207</stp>
        <tr r="AC13" s="2"/>
      </tp>
      <tp t="s">
        <v>#N/A N/A</v>
        <stp/>
        <stp>BDH|9085766142313611749</stp>
        <tr r="G18" s="2"/>
      </tp>
      <tp t="s">
        <v>#N/A N/A</v>
        <stp/>
        <stp>BDH|6357907234620745266</stp>
        <tr r="L19" s="2"/>
      </tp>
      <tp t="s">
        <v>#N/A N/A</v>
        <stp/>
        <stp>BDH|4351996158426750038</stp>
        <tr r="W67" s="2"/>
      </tp>
      <tp t="s">
        <v>#N/A N/A</v>
        <stp/>
        <stp>BDH|8943321291295492981</stp>
        <tr r="AD59" s="2"/>
      </tp>
      <tp t="s">
        <v>#N/A N/A</v>
        <stp/>
        <stp>BDH|1123563385532603006</stp>
        <tr r="V31" s="2"/>
      </tp>
      <tp t="s">
        <v>#N/A N/A</v>
        <stp/>
        <stp>BDH|2022432462559644739</stp>
        <tr r="K37" s="2"/>
      </tp>
      <tp t="s">
        <v>#N/A N/A</v>
        <stp/>
        <stp>BDH|3193590585146036691</stp>
        <tr r="P9" s="2"/>
      </tp>
      <tp t="s">
        <v>#N/A N/A</v>
        <stp/>
        <stp>BDH|1191255085254109143</stp>
        <tr r="U42" s="2"/>
      </tp>
      <tp t="s">
        <v>#N/A N/A</v>
        <stp/>
        <stp>BDH|5391422529454823942</stp>
        <tr r="T67" s="2"/>
      </tp>
      <tp t="s">
        <v>#N/A N/A</v>
        <stp/>
        <stp>BDH|9106208715431269525</stp>
        <tr r="W36" s="2"/>
      </tp>
      <tp t="s">
        <v>#N/A N/A</v>
        <stp/>
        <stp>BDH|2586650870895472817</stp>
        <tr r="Y32" s="2"/>
      </tp>
      <tp t="s">
        <v>#N/A N/A</v>
        <stp/>
        <stp>BDH|3491289549148477346</stp>
        <tr r="AF42" s="2"/>
      </tp>
      <tp t="s">
        <v>#N/A N/A</v>
        <stp/>
        <stp>BDH|7858756089813114508</stp>
        <tr r="N37" s="2"/>
      </tp>
      <tp t="s">
        <v>#N/A N/A</v>
        <stp/>
        <stp>BDH|6692908209973007359</stp>
        <tr r="S59" s="2"/>
      </tp>
      <tp t="s">
        <v>#N/A N/A</v>
        <stp/>
        <stp>BDH|5913943611216469425</stp>
        <tr r="AD49" s="2"/>
      </tp>
      <tp t="s">
        <v>#N/A N/A</v>
        <stp/>
        <stp>BDH|6299954098159677032</stp>
        <tr r="O46" s="2"/>
      </tp>
      <tp t="s">
        <v>#N/A N/A</v>
        <stp/>
        <stp>BDH|9689907342922818973</stp>
        <tr r="V43" s="2"/>
      </tp>
      <tp t="s">
        <v>#N/A N/A</v>
        <stp/>
        <stp>BDH|4476368849199117518</stp>
        <tr r="O27" s="2"/>
      </tp>
      <tp t="s">
        <v>#N/A N/A</v>
        <stp/>
        <stp>BDH|4017269946879064483</stp>
        <tr r="F37" s="2"/>
      </tp>
      <tp t="s">
        <v>#N/A N/A</v>
        <stp/>
        <stp>BDH|9770388627352555557</stp>
        <tr r="W66" s="2"/>
      </tp>
      <tp t="s">
        <v>#N/A N/A</v>
        <stp/>
        <stp>BDH|2725145072713964811</stp>
        <tr r="Y62" s="2"/>
      </tp>
      <tp t="s">
        <v>#N/A N/A</v>
        <stp/>
        <stp>BDH|9703885140732782816</stp>
        <tr r="J51" s="2"/>
      </tp>
      <tp t="s">
        <v>#N/A N/A</v>
        <stp/>
        <stp>BDH|5135306798971418130</stp>
        <tr r="C24" s="2"/>
      </tp>
      <tp t="s">
        <v>#N/A N/A</v>
        <stp/>
        <stp>BDH|8268038169165631419</stp>
        <tr r="AE60" s="2"/>
      </tp>
      <tp t="s">
        <v>#N/A N/A</v>
        <stp/>
        <stp>BDH|9152500387323027890</stp>
        <tr r="AD45" s="2"/>
      </tp>
      <tp t="s">
        <v>#N/A N/A</v>
        <stp/>
        <stp>BDH|9063613409344580426</stp>
        <tr r="Z53" s="2"/>
      </tp>
      <tp t="s">
        <v>#N/A N/A</v>
        <stp/>
        <stp>BDH|6541628502886971938</stp>
        <tr r="AF10" s="2"/>
      </tp>
      <tp t="s">
        <v>#N/A N/A</v>
        <stp/>
        <stp>BDH|4430531567158435085</stp>
        <tr r="W35" s="2"/>
      </tp>
      <tp t="s">
        <v>#N/A N/A</v>
        <stp/>
        <stp>BDH|1231667783188917821</stp>
        <tr r="Y46" s="2"/>
      </tp>
      <tp t="s">
        <v>#N/A N/A</v>
        <stp/>
        <stp>BDH|2989400871517346971</stp>
        <tr r="F31" s="2"/>
      </tp>
      <tp t="s">
        <v>#N/A N/A</v>
        <stp/>
        <stp>BDH|5992068664894710803</stp>
        <tr r="R64" s="2"/>
      </tp>
      <tp t="s">
        <v>#N/A N/A</v>
        <stp/>
        <stp>BDH|7731164043345928865</stp>
        <tr r="I16" s="2"/>
      </tp>
      <tp t="s">
        <v>#N/A N/A</v>
        <stp/>
        <stp>BDH|6921742842562636843</stp>
        <tr r="AB35" s="2"/>
      </tp>
      <tp t="s">
        <v>#N/A N/A</v>
        <stp/>
        <stp>BDH|4359896426441347024</stp>
        <tr r="K8" s="2"/>
      </tp>
      <tp t="s">
        <v>#N/A N/A</v>
        <stp/>
        <stp>BDH|1575159460969724050</stp>
        <tr r="F23" s="2"/>
      </tp>
      <tp t="s">
        <v>#N/A N/A</v>
        <stp/>
        <stp>BDH|1791075513898291734</stp>
        <tr r="O62" s="2"/>
      </tp>
      <tp t="s">
        <v>#N/A N/A</v>
        <stp/>
        <stp>BDH|5157268285577475747</stp>
        <tr r="S53" s="2"/>
      </tp>
      <tp t="s">
        <v>#N/A N/A</v>
        <stp/>
        <stp>BDH|6245206372918647445</stp>
        <tr r="M9" s="2"/>
      </tp>
      <tp t="s">
        <v>#N/A N/A</v>
        <stp/>
        <stp>BDH|6545458053460018816</stp>
        <tr r="AC45" s="2"/>
      </tp>
      <tp t="s">
        <v>#N/A N/A</v>
        <stp/>
        <stp>BDH|6048001326693366867</stp>
        <tr r="F62" s="2"/>
      </tp>
      <tp t="s">
        <v>#N/A N/A</v>
        <stp/>
        <stp>BDH|9709503273214643017</stp>
        <tr r="AE67" s="2"/>
      </tp>
      <tp t="s">
        <v>#N/A N/A</v>
        <stp/>
        <stp>BDH|2581116404789006536</stp>
        <tr r="Y49" s="2"/>
      </tp>
      <tp t="s">
        <v>#N/A N/A</v>
        <stp/>
        <stp>BDH|9272027316014640302</stp>
        <tr r="G63" s="2"/>
      </tp>
      <tp t="s">
        <v>#N/A N/A</v>
        <stp/>
        <stp>BDH|7418022880558085861</stp>
        <tr r="AD48" s="2"/>
      </tp>
      <tp t="s">
        <v>#N/A N/A</v>
        <stp/>
        <stp>BDH|8919688534882180047</stp>
        <tr r="Y61" s="2"/>
      </tp>
      <tp t="s">
        <v>#N/A N/A</v>
        <stp/>
        <stp>BDH|1271725171808754604</stp>
        <tr r="U10" s="2"/>
      </tp>
      <tp t="s">
        <v>#N/A N/A</v>
        <stp/>
        <stp>BDH|5666097898296989580</stp>
        <tr r="K12" s="2"/>
      </tp>
      <tp t="s">
        <v>#N/A N/A</v>
        <stp/>
        <stp>BDH|5401677205934166817</stp>
        <tr r="AF65" s="2"/>
      </tp>
      <tp t="s">
        <v>#N/A N/A</v>
        <stp/>
        <stp>BDH|8215557045761369779</stp>
        <tr r="I31" s="2"/>
      </tp>
      <tp t="s">
        <v>#N/A N/A</v>
        <stp/>
        <stp>BDH|4725119021088339031</stp>
        <tr r="AB43" s="2"/>
      </tp>
      <tp t="s">
        <v>#N/A N/A</v>
        <stp/>
        <stp>BDH|7842578952298901032</stp>
        <tr r="X12" s="2"/>
      </tp>
      <tp t="s">
        <v>#N/A N/A</v>
        <stp/>
        <stp>BDH|3270048491771569450</stp>
        <tr r="N11" s="2"/>
      </tp>
      <tp t="s">
        <v>#N/A N/A</v>
        <stp/>
        <stp>BDH|8185753228286197490</stp>
        <tr r="H22" s="2"/>
      </tp>
      <tp t="s">
        <v>#N/A N/A</v>
        <stp/>
        <stp>BDH|9430097880678915600</stp>
        <tr r="AA36" s="2"/>
      </tp>
      <tp t="s">
        <v>#N/A N/A</v>
        <stp/>
        <stp>BDH|1450422173255587849</stp>
        <tr r="I68" s="2"/>
      </tp>
      <tp t="s">
        <v>#N/A N/A</v>
        <stp/>
        <stp>BDH|9901364139104467269</stp>
        <tr r="E38" s="2"/>
      </tp>
      <tp t="s">
        <v>#N/A N/A</v>
        <stp/>
        <stp>BDH|9245522840536346160</stp>
        <tr r="E36" s="2"/>
      </tp>
      <tp t="s">
        <v>#N/A N/A</v>
        <stp/>
        <stp>BDH|2728957957134783297</stp>
        <tr r="S38" s="2"/>
      </tp>
      <tp t="s">
        <v>#N/A N/A</v>
        <stp/>
        <stp>BDH|7025667800241957876</stp>
        <tr r="Y67" s="2"/>
      </tp>
      <tp t="s">
        <v>#N/A N/A</v>
        <stp/>
        <stp>BDH|1661699986331810690</stp>
        <tr r="I32" s="2"/>
      </tp>
      <tp t="s">
        <v>#N/A N/A</v>
        <stp/>
        <stp>BDH|5813978257618257926</stp>
        <tr r="K32" s="2"/>
      </tp>
      <tp t="s">
        <v>#N/A N/A</v>
        <stp/>
        <stp>BDH|1791192767586567847</stp>
        <tr r="S10" s="2"/>
      </tp>
      <tp t="s">
        <v>#N/A N/A</v>
        <stp/>
        <stp>BDH|5877644470265272968</stp>
        <tr r="F60" s="2"/>
      </tp>
      <tp t="s">
        <v>#N/A N/A</v>
        <stp/>
        <stp>BDH|7904959282338503628</stp>
        <tr r="V15" s="2"/>
      </tp>
      <tp t="s">
        <v>#N/A N/A</v>
        <stp/>
        <stp>BDH|4624872963423895134</stp>
        <tr r="AE33" s="2"/>
      </tp>
      <tp t="s">
        <v>#N/A N/A</v>
        <stp/>
        <stp>BDH|5917969211682536725</stp>
        <tr r="Z51" s="2"/>
      </tp>
      <tp t="s">
        <v>#N/A N/A</v>
        <stp/>
        <stp>BDH|1370972519144514566</stp>
        <tr r="S22" s="2"/>
      </tp>
      <tp t="s">
        <v>#N/A N/A</v>
        <stp/>
        <stp>BDH|9759813281526073797</stp>
        <tr r="C46" s="2"/>
      </tp>
      <tp t="s">
        <v>#N/A N/A</v>
        <stp/>
        <stp>BDH|6704432718812192934</stp>
        <tr r="R18" s="2"/>
      </tp>
      <tp t="s">
        <v>#N/A N/A</v>
        <stp/>
        <stp>BDH|5661808818634352029</stp>
        <tr r="Q62" s="2"/>
      </tp>
      <tp t="s">
        <v>#N/A N/A</v>
        <stp/>
        <stp>BDH|1741453961669926259</stp>
        <tr r="Q66" s="2"/>
      </tp>
      <tp t="s">
        <v>#N/A N/A</v>
        <stp/>
        <stp>BDH|3421915237901569082</stp>
        <tr r="G59" s="2"/>
      </tp>
      <tp t="s">
        <v>#N/A N/A</v>
        <stp/>
        <stp>BDH|1467189368587232995</stp>
        <tr r="P43" s="2"/>
      </tp>
      <tp t="s">
        <v>#N/A N/A</v>
        <stp/>
        <stp>BDH|5186704258147700812</stp>
        <tr r="X24" s="2"/>
      </tp>
      <tp t="s">
        <v>#N/A N/A</v>
        <stp/>
        <stp>BDH|7080021187753334493</stp>
        <tr r="AA59" s="2"/>
      </tp>
      <tp t="s">
        <v>#N/A N/A</v>
        <stp/>
        <stp>BDH|1055783993472676517</stp>
        <tr r="AE44" s="2"/>
      </tp>
      <tp t="s">
        <v>#N/A N/A</v>
        <stp/>
        <stp>BDH|1816713584784909295</stp>
        <tr r="AD8" s="2"/>
      </tp>
      <tp t="s">
        <v>#N/A N/A</v>
        <stp/>
        <stp>BDH|9805665845100372350</stp>
        <tr r="AE43" s="2"/>
      </tp>
      <tp t="s">
        <v>#N/A N/A</v>
        <stp/>
        <stp>BDH|2165899569891979555</stp>
        <tr r="K36" s="2"/>
      </tp>
      <tp t="s">
        <v>#N/A N/A</v>
        <stp/>
        <stp>BDH|6905343006639707410</stp>
        <tr r="C43" s="2"/>
      </tp>
      <tp t="s">
        <v>#N/A N/A</v>
        <stp/>
        <stp>BDH|5948902225602552442</stp>
        <tr r="M61" s="2"/>
      </tp>
      <tp t="s">
        <v>#N/A N/A</v>
        <stp/>
        <stp>BDH|3245882626965754464</stp>
        <tr r="T50" s="2"/>
      </tp>
      <tp t="s">
        <v>#N/A N/A</v>
        <stp/>
        <stp>BDH|1019233101092577952</stp>
        <tr r="C38" s="2"/>
      </tp>
      <tp t="s">
        <v>#N/A N/A</v>
        <stp/>
        <stp>BDH|1644341435058752127</stp>
        <tr r="G48" s="2"/>
      </tp>
      <tp t="s">
        <v>#N/A N/A</v>
        <stp/>
        <stp>BDH|8244675434771695458</stp>
        <tr r="P60" s="2"/>
      </tp>
      <tp t="s">
        <v>#N/A N/A</v>
        <stp/>
        <stp>BDH|9090663173264238452</stp>
        <tr r="AF29" s="2"/>
      </tp>
      <tp t="s">
        <v>#N/A N/A</v>
        <stp/>
        <stp>BDH|9042119202468249836</stp>
        <tr r="P48" s="2"/>
      </tp>
      <tp t="s">
        <v>#N/A N/A</v>
        <stp/>
        <stp>BDH|1927152389258016879</stp>
        <tr r="Y37" s="2"/>
      </tp>
      <tp t="s">
        <v>#N/A N/A</v>
        <stp/>
        <stp>BDH|9877666582127985877</stp>
        <tr r="D44" s="2"/>
      </tp>
      <tp t="s">
        <v>#N/A N/A</v>
        <stp/>
        <stp>BDH|1762225734860116830</stp>
        <tr r="AD15" s="2"/>
      </tp>
      <tp t="s">
        <v>#N/A N/A</v>
        <stp/>
        <stp>BDH|7801759956308845538</stp>
        <tr r="AE10" s="2"/>
      </tp>
      <tp t="s">
        <v>#N/A N/A</v>
        <stp/>
        <stp>BDH|8441096513353712280</stp>
        <tr r="U60" s="2"/>
      </tp>
      <tp t="s">
        <v>#N/A N/A</v>
        <stp/>
        <stp>BDH|3124072387183095001</stp>
        <tr r="S17" s="2"/>
      </tp>
      <tp t="s">
        <v>#N/A N/A</v>
        <stp/>
        <stp>BDH|8427657622974107033</stp>
        <tr r="T42" s="2"/>
      </tp>
      <tp t="s">
        <v>#N/A N/A</v>
        <stp/>
        <stp>BDH|5123997518657343251</stp>
        <tr r="R63" s="2"/>
      </tp>
      <tp t="s">
        <v>#N/A N/A</v>
        <stp/>
        <stp>BDH|3380296177556824832</stp>
        <tr r="Z44" s="2"/>
      </tp>
      <tp t="s">
        <v>#N/A N/A</v>
        <stp/>
        <stp>BDH|8231447481945640973</stp>
        <tr r="H15" s="2"/>
      </tp>
      <tp t="s">
        <v>#N/A N/A</v>
        <stp/>
        <stp>BDH|5957891923213654439</stp>
        <tr r="AD11" s="2"/>
      </tp>
      <tp t="s">
        <v>#N/A N/A</v>
        <stp/>
        <stp>BDH|9019215921309399848</stp>
        <tr r="X29" s="2"/>
      </tp>
      <tp t="s">
        <v>#N/A N/A</v>
        <stp/>
        <stp>BDH|8234301847435195239</stp>
        <tr r="S23" s="2"/>
      </tp>
      <tp t="s">
        <v>#N/A N/A</v>
        <stp/>
        <stp>BDH|8089563224101612632</stp>
        <tr r="E68" s="2"/>
      </tp>
      <tp t="s">
        <v>#N/A N/A</v>
        <stp/>
        <stp>BDH|8617774677613239309</stp>
        <tr r="U43" s="2"/>
      </tp>
      <tp t="s">
        <v>#N/A N/A</v>
        <stp/>
        <stp>BDH|2226919673173656727</stp>
        <tr r="L16" s="2"/>
      </tp>
      <tp t="s">
        <v>#N/A N/A</v>
        <stp/>
        <stp>BDH|9907509508004356067</stp>
        <tr r="AA14" s="2"/>
      </tp>
      <tp t="s">
        <v>#N/A N/A</v>
        <stp/>
        <stp>BDH|9482556441395140548</stp>
        <tr r="AA50" s="2"/>
      </tp>
      <tp t="s">
        <v>#N/A N/A</v>
        <stp/>
        <stp>BDH|2139410854569332226</stp>
        <tr r="N33" s="2"/>
      </tp>
      <tp t="s">
        <v>#N/A N/A</v>
        <stp/>
        <stp>BDH|8461666309444745299</stp>
        <tr r="H9" s="2"/>
      </tp>
      <tp t="s">
        <v>#N/A N/A</v>
        <stp/>
        <stp>BDH|9412448394758632476</stp>
        <tr r="E49" s="2"/>
      </tp>
      <tp t="s">
        <v>#N/A N/A</v>
        <stp/>
        <stp>BDH|78284532844155084</stp>
        <tr r="V14" s="2"/>
      </tp>
      <tp t="s">
        <v>#N/A N/A</v>
        <stp/>
        <stp>BDH|2712433489386456133</stp>
        <tr r="AE64" s="2"/>
      </tp>
      <tp t="s">
        <v>#N/A N/A</v>
        <stp/>
        <stp>BDH|1066590194182699618</stp>
        <tr r="M10" s="2"/>
      </tp>
      <tp t="s">
        <v>#N/A N/A</v>
        <stp/>
        <stp>BDH|8825598300334913039</stp>
        <tr r="T48" s="2"/>
      </tp>
      <tp t="s">
        <v>#N/A N/A</v>
        <stp/>
        <stp>BDH|9261472238427621002</stp>
        <tr r="Q35" s="2"/>
      </tp>
      <tp t="s">
        <v>#N/A N/A</v>
        <stp/>
        <stp>BDH|9113520044085449482</stp>
        <tr r="J59" s="2"/>
      </tp>
      <tp t="s">
        <v>#N/A N/A</v>
        <stp/>
        <stp>BDH|8688380229720904059</stp>
        <tr r="AE31" s="2"/>
      </tp>
      <tp t="s">
        <v>#N/A N/A</v>
        <stp/>
        <stp>BDH|4556898744534066533</stp>
        <tr r="E28" s="2"/>
      </tp>
      <tp t="s">
        <v>#N/A N/A</v>
        <stp/>
        <stp>BDH|6482275388050553554</stp>
        <tr r="K42" s="2"/>
      </tp>
      <tp t="s">
        <v>#N/A N/A</v>
        <stp/>
        <stp>BDH|4581240200789297688</stp>
        <tr r="Q11" s="2"/>
      </tp>
      <tp t="s">
        <v>#N/A N/A</v>
        <stp/>
        <stp>BDH|8113466597575046986</stp>
        <tr r="H36" s="2"/>
      </tp>
      <tp t="s">
        <v>#N/A N/A</v>
        <stp/>
        <stp>BDH|9943275014711712250</stp>
        <tr r="R8" s="2"/>
      </tp>
      <tp t="s">
        <v>#N/A N/A</v>
        <stp/>
        <stp>BDH|9592513713723194786</stp>
        <tr r="G68" s="2"/>
      </tp>
      <tp t="s">
        <v>#N/A N/A</v>
        <stp/>
        <stp>BDH|1782736799414139220</stp>
        <tr r="AB51" s="2"/>
      </tp>
      <tp t="s">
        <v>#N/A N/A</v>
        <stp/>
        <stp>BDH|1922855467237740113</stp>
        <tr r="N34" s="2"/>
      </tp>
      <tp t="s">
        <v>#N/A N/A</v>
        <stp/>
        <stp>BDH|3442081800319682373</stp>
        <tr r="X60" s="2"/>
      </tp>
      <tp t="s">
        <v>#N/A N/A</v>
        <stp/>
        <stp>BDH|9198179792760504837</stp>
        <tr r="P38" s="2"/>
      </tp>
      <tp t="s">
        <v>#N/A N/A</v>
        <stp/>
        <stp>BDH|3184907488633891832</stp>
        <tr r="K29" s="2"/>
      </tp>
      <tp t="s">
        <v>#N/A N/A</v>
        <stp/>
        <stp>BDH|2651817238268542880</stp>
        <tr r="L7" s="2"/>
      </tp>
      <tp t="s">
        <v>#N/A N/A</v>
        <stp/>
        <stp>BDH|7172967906643337409</stp>
        <tr r="AA47" s="2"/>
      </tp>
      <tp t="s">
        <v>#N/A N/A</v>
        <stp/>
        <stp>BDH|6420083655302808823</stp>
        <tr r="V33" s="2"/>
      </tp>
      <tp t="s">
        <v>#N/A N/A</v>
        <stp/>
        <stp>BDH|1315332976255782929</stp>
        <tr r="W65" s="2"/>
      </tp>
      <tp t="s">
        <v>#N/A N/A</v>
        <stp/>
        <stp>BDH|1574519086186881395</stp>
        <tr r="Z55" s="2"/>
      </tp>
      <tp t="s">
        <v>#N/A N/A</v>
        <stp/>
        <stp>BDH|2584033425480481943</stp>
        <tr r="C19" s="2"/>
      </tp>
      <tp t="s">
        <v>#N/A N/A</v>
        <stp/>
        <stp>BDH|2351706164889645328</stp>
        <tr r="C48" s="2"/>
      </tp>
      <tp t="s">
        <v>#N/A N/A</v>
        <stp/>
        <stp>BDH|8197714566387209776</stp>
        <tr r="S28" s="2"/>
      </tp>
      <tp t="s">
        <v>#N/A N/A</v>
        <stp/>
        <stp>BDH|7508670888869916904</stp>
        <tr r="G51" s="2"/>
      </tp>
      <tp t="s">
        <v>#N/A N/A</v>
        <stp/>
        <stp>BDH|4828820328582738552</stp>
        <tr r="D42" s="2"/>
      </tp>
      <tp t="s">
        <v>#N/A N/A</v>
        <stp/>
        <stp>BDH|5318928613773134737</stp>
        <tr r="X9" s="2"/>
      </tp>
      <tp t="s">
        <v>#N/A N/A</v>
        <stp/>
        <stp>BDH|2430859609776070586</stp>
        <tr r="U37" s="2"/>
      </tp>
      <tp t="s">
        <v>#N/A N/A</v>
        <stp/>
        <stp>BDH|4506605886377451465</stp>
        <tr r="R46" s="2"/>
      </tp>
      <tp t="s">
        <v>#N/A N/A</v>
        <stp/>
        <stp>BDH|9021517530407582157</stp>
        <tr r="X53" s="2"/>
      </tp>
      <tp t="s">
        <v>#N/A N/A</v>
        <stp/>
        <stp>BDH|2503112841677507974</stp>
        <tr r="D14" s="2"/>
      </tp>
      <tp t="s">
        <v>#N/A N/A</v>
        <stp/>
        <stp>BDH|6373968034445417029</stp>
        <tr r="P49" s="2"/>
      </tp>
      <tp t="s">
        <v>#N/A N/A</v>
        <stp/>
        <stp>BDH|7263658392812795352</stp>
        <tr r="K26" s="2"/>
      </tp>
      <tp t="s">
        <v>#N/A N/A</v>
        <stp/>
        <stp>BDH|8677657757605070701</stp>
        <tr r="Q46" s="2"/>
      </tp>
      <tp t="s">
        <v>#N/A N/A</v>
        <stp/>
        <stp>BDH|5743111909125268891</stp>
        <tr r="U14" s="2"/>
      </tp>
      <tp t="s">
        <v>#N/A N/A</v>
        <stp/>
        <stp>BDH|1574020683806082602</stp>
        <tr r="H60" s="2"/>
      </tp>
      <tp t="s">
        <v>#N/A N/A</v>
        <stp/>
        <stp>BDH|4835326889293150566</stp>
        <tr r="V45" s="2"/>
      </tp>
      <tp t="s">
        <v>#N/A N/A</v>
        <stp/>
        <stp>BDH|3954315090472572298</stp>
        <tr r="AD42" s="2"/>
      </tp>
      <tp t="s">
        <v>#N/A N/A</v>
        <stp/>
        <stp>BDH|2998080371254591802</stp>
        <tr r="Z59" s="2"/>
      </tp>
      <tp t="s">
        <v>#N/A N/A</v>
        <stp/>
        <stp>BDH|2021254995842777222</stp>
        <tr r="N29" s="2"/>
      </tp>
      <tp t="s">
        <v>#N/A N/A</v>
        <stp/>
        <stp>BDH|4694383348059712345</stp>
        <tr r="Y60" s="2"/>
      </tp>
      <tp t="s">
        <v>#N/A N/A</v>
        <stp/>
        <stp>BDH|8833496640086922426</stp>
        <tr r="AC60" s="2"/>
      </tp>
      <tp t="s">
        <v>#N/A N/A</v>
        <stp/>
        <stp>BDH|4763194199170869650</stp>
        <tr r="F14" s="2"/>
      </tp>
      <tp t="s">
        <v>#N/A N/A</v>
        <stp/>
        <stp>BDH|5270284661083993881</stp>
        <tr r="H63" s="2"/>
      </tp>
      <tp t="s">
        <v>#N/A N/A</v>
        <stp/>
        <stp>BDH|4009984433596320236</stp>
        <tr r="N68" s="2"/>
      </tp>
      <tp t="s">
        <v>#N/A N/A</v>
        <stp/>
        <stp>BDH|1572657482735945004</stp>
        <tr r="H41" s="2"/>
      </tp>
      <tp t="s">
        <v>#N/A N/A</v>
        <stp/>
        <stp>BDH|2109911302902867319</stp>
        <tr r="V22" s="2"/>
      </tp>
      <tp t="s">
        <v>#N/A N/A</v>
        <stp/>
        <stp>BDH|7934502881808174812</stp>
        <tr r="H27" s="2"/>
      </tp>
      <tp t="s">
        <v>#N/A N/A</v>
        <stp/>
        <stp>BDH|2127017842628976427</stp>
        <tr r="AD61" s="2"/>
      </tp>
      <tp t="s">
        <v>#N/A N/A</v>
        <stp/>
        <stp>BDH|1667371923362816830</stp>
        <tr r="AE41" s="2"/>
      </tp>
      <tp t="s">
        <v>#N/A N/A</v>
        <stp/>
        <stp>BDH|3642532647868941023</stp>
        <tr r="X11" s="2"/>
      </tp>
      <tp t="s">
        <v>#N/A N/A</v>
        <stp/>
        <stp>BDH|5531263238158055651</stp>
        <tr r="O22" s="2"/>
      </tp>
      <tp t="s">
        <v>#N/A N/A</v>
        <stp/>
        <stp>BDH|2422382695661394347</stp>
        <tr r="AD13" s="2"/>
      </tp>
      <tp t="s">
        <v>#N/A N/A</v>
        <stp/>
        <stp>BDH|8886866911863395824</stp>
        <tr r="X36" s="2"/>
      </tp>
      <tp t="s">
        <v>#N/A N/A</v>
        <stp/>
        <stp>BDH|3253370897860427385</stp>
        <tr r="Z35" s="2"/>
      </tp>
      <tp t="s">
        <v>#N/A N/A</v>
        <stp/>
        <stp>BDH|9394567644054887667</stp>
        <tr r="AB19" s="2"/>
      </tp>
      <tp t="s">
        <v>#N/A N/A</v>
        <stp/>
        <stp>BDH|4261171038954204802</stp>
        <tr r="T47" s="2"/>
      </tp>
      <tp t="s">
        <v>#N/A N/A</v>
        <stp/>
        <stp>BDH|5006042688365265223</stp>
        <tr r="O17" s="2"/>
      </tp>
      <tp t="s">
        <v>#N/A N/A</v>
        <stp/>
        <stp>BDH|2934296349057156955</stp>
        <tr r="E30" s="2"/>
      </tp>
      <tp t="s">
        <v>#N/A N/A</v>
        <stp/>
        <stp>BDH|5067523163078844444</stp>
        <tr r="E27" s="2"/>
      </tp>
      <tp t="s">
        <v>#N/A N/A</v>
        <stp/>
        <stp>BDH|9857202704990372125</stp>
        <tr r="C37" s="2"/>
      </tp>
      <tp t="s">
        <v>#N/A N/A</v>
        <stp/>
        <stp>BDH|1946922112441684224</stp>
        <tr r="AC63" s="2"/>
      </tp>
      <tp t="s">
        <v>#N/A N/A</v>
        <stp/>
        <stp>BDH|9332670297955366928</stp>
        <tr r="AF64" s="2"/>
      </tp>
      <tp t="s">
        <v>#N/A N/A</v>
        <stp/>
        <stp>BDH|3792170498132928331</stp>
        <tr r="J32" s="2"/>
      </tp>
      <tp t="s">
        <v>#N/A N/A</v>
        <stp/>
        <stp>BDH|4707853637775634019</stp>
        <tr r="R51" s="2"/>
      </tp>
      <tp t="s">
        <v>#N/A N/A</v>
        <stp/>
        <stp>BDH|5250724222792593851</stp>
        <tr r="E8" s="2"/>
      </tp>
      <tp t="s">
        <v>#N/A N/A</v>
        <stp/>
        <stp>BDH|8644448663268734859</stp>
        <tr r="H65" s="2"/>
      </tp>
      <tp t="s">
        <v>#N/A N/A</v>
        <stp/>
        <stp>BDH|9294215801967969685</stp>
        <tr r="AC48" s="2"/>
      </tp>
      <tp t="s">
        <v>#N/A N/A</v>
        <stp/>
        <stp>BDH|6567970910605793165</stp>
        <tr r="M68" s="2"/>
      </tp>
      <tp t="s">
        <v>#N/A N/A</v>
        <stp/>
        <stp>BDH|4559531595194018634</stp>
        <tr r="V12" s="2"/>
      </tp>
      <tp t="s">
        <v>#N/A N/A</v>
        <stp/>
        <stp>BDH|9207176562692271657</stp>
        <tr r="R27" s="2"/>
      </tp>
      <tp t="s">
        <v>#N/A N/A</v>
        <stp/>
        <stp>BDH|1693682154279867128</stp>
        <tr r="C50" s="2"/>
      </tp>
      <tp t="s">
        <v>#N/A N/A</v>
        <stp/>
        <stp>BDH|2091141595494189409</stp>
        <tr r="W48" s="2"/>
      </tp>
      <tp t="s">
        <v>#N/A N/A</v>
        <stp/>
        <stp>BDH|5722904083937779929</stp>
        <tr r="AA64" s="2"/>
      </tp>
      <tp t="s">
        <v>#N/A N/A</v>
        <stp/>
        <stp>BDH|8044958751998480618</stp>
        <tr r="F16" s="2"/>
      </tp>
      <tp t="s">
        <v>#N/A N/A</v>
        <stp/>
        <stp>BDH|8818759173426903460</stp>
        <tr r="U59" s="2"/>
      </tp>
      <tp t="s">
        <v>#N/A N/A</v>
        <stp/>
        <stp>BDH|2351043813941314862</stp>
        <tr r="T51" s="2"/>
      </tp>
      <tp t="s">
        <v>#N/A N/A</v>
        <stp/>
        <stp>BDH|9441516485499450721</stp>
        <tr r="L44" s="2"/>
      </tp>
      <tp t="s">
        <v>#N/A N/A</v>
        <stp/>
        <stp>BDH|2733017873499248611</stp>
        <tr r="U23" s="2"/>
      </tp>
      <tp t="s">
        <v>#N/A N/A</v>
        <stp/>
        <stp>BDH|8777449086419429772</stp>
        <tr r="AE8" s="2"/>
      </tp>
      <tp t="s">
        <v>#N/A N/A</v>
        <stp/>
        <stp>BDH|2447743997947995197</stp>
        <tr r="L65" s="2"/>
      </tp>
      <tp t="s">
        <v>#N/A N/A</v>
        <stp/>
        <stp>BDH|3127075683253037225</stp>
        <tr r="O32" s="2"/>
      </tp>
      <tp t="s">
        <v>#N/A N/A</v>
        <stp/>
        <stp>BDH|3277864651546630240</stp>
        <tr r="R24" s="2"/>
      </tp>
      <tp t="s">
        <v>#N/A N/A</v>
        <stp/>
        <stp>BDH|2941295639711862846</stp>
        <tr r="F24" s="2"/>
      </tp>
      <tp t="s">
        <v>#N/A N/A</v>
        <stp/>
        <stp>BDH|4779931817524299245</stp>
        <tr r="AA25" s="2"/>
      </tp>
      <tp t="s">
        <v>#N/A N/A</v>
        <stp/>
        <stp>BDH|64173773642552347</stp>
        <tr r="T30" s="2"/>
      </tp>
      <tp t="s">
        <v>#N/A N/A</v>
        <stp/>
        <stp>BDH|1370600472829246299</stp>
        <tr r="W53" s="2"/>
      </tp>
      <tp t="s">
        <v>#N/A N/A</v>
        <stp/>
        <stp>BDH|6314433762689054685</stp>
        <tr r="C8" s="2"/>
      </tp>
      <tp t="s">
        <v>#N/A N/A</v>
        <stp/>
        <stp>BDH|5550993981859662611</stp>
        <tr r="L47" s="2"/>
      </tp>
      <tp t="s">
        <v>#N/A N/A</v>
        <stp/>
        <stp>BDH|2962817711540713056</stp>
        <tr r="AD19" s="2"/>
      </tp>
      <tp t="s">
        <v>#N/A N/A</v>
        <stp/>
        <stp>BDH|1360466569711579914</stp>
        <tr r="M59" s="2"/>
      </tp>
      <tp t="s">
        <v>#N/A N/A</v>
        <stp/>
        <stp>BDH|9469531138275654114</stp>
        <tr r="M25" s="2"/>
      </tp>
      <tp t="s">
        <v>#N/A N/A</v>
        <stp/>
        <stp>BDH|1248939058696540048</stp>
        <tr r="Q13" s="2"/>
      </tp>
      <tp t="s">
        <v>#N/A N/A</v>
        <stp/>
        <stp>BDH|9511592460887039622</stp>
        <tr r="P67" s="2"/>
      </tp>
      <tp t="s">
        <v>#N/A N/A</v>
        <stp/>
        <stp>BDH|4179145489581234708</stp>
        <tr r="AA17" s="2"/>
      </tp>
      <tp t="s">
        <v>#N/A N/A</v>
        <stp/>
        <stp>BDH|9067018040482853471</stp>
        <tr r="AA35" s="2"/>
      </tp>
      <tp t="s">
        <v>#N/A N/A</v>
        <stp/>
        <stp>BDH|4113263576109937370</stp>
        <tr r="M46" s="2"/>
      </tp>
      <tp t="s">
        <v>#N/A N/A</v>
        <stp/>
        <stp>BDH|3349968904713907278</stp>
        <tr r="D43" s="2"/>
      </tp>
      <tp t="s">
        <v>#N/A N/A</v>
        <stp/>
        <stp>BDH|3832470427477038972</stp>
        <tr r="J48" s="2"/>
      </tp>
      <tp t="s">
        <v>#N/A N/A</v>
        <stp/>
        <stp>BDH|6685401816558731083</stp>
        <tr r="AB63" s="2"/>
      </tp>
      <tp t="s">
        <v>#N/A N/A</v>
        <stp/>
        <stp>BDH|7757829452972321386</stp>
        <tr r="L9" s="2"/>
      </tp>
      <tp t="s">
        <v>#N/A N/A</v>
        <stp/>
        <stp>BDH|4171483362068549523</stp>
        <tr r="I50" s="2"/>
      </tp>
      <tp t="s">
        <v>#N/A N/A</v>
        <stp/>
        <stp>BDH|2906521894163330609</stp>
        <tr r="U28" s="2"/>
      </tp>
      <tp t="s">
        <v>#N/A N/A</v>
        <stp/>
        <stp>BDH|1377230432463917861</stp>
        <tr r="J11" s="2"/>
      </tp>
      <tp t="s">
        <v>#N/A N/A</v>
        <stp/>
        <stp>BDH|7246402355759883420</stp>
        <tr r="D65" s="2"/>
      </tp>
      <tp t="s">
        <v>#N/A N/A</v>
        <stp/>
        <stp>BDH|5265133462541127807</stp>
        <tr r="D27" s="2"/>
      </tp>
      <tp t="s">
        <v>#N/A N/A</v>
        <stp/>
        <stp>BDH|5503090380870875669</stp>
        <tr r="H14" s="2"/>
      </tp>
      <tp t="s">
        <v>#N/A N/A</v>
        <stp/>
        <stp>BDH|2705673437399399560</stp>
        <tr r="Y33" s="2"/>
      </tp>
      <tp t="s">
        <v>#N/A N/A</v>
        <stp/>
        <stp>BDH|8114353308835919573</stp>
        <tr r="C66" s="2"/>
      </tp>
      <tp t="s">
        <v>#N/A N/A</v>
        <stp/>
        <stp>BDH|1879817824002626282</stp>
        <tr r="AF12" s="2"/>
      </tp>
      <tp t="s">
        <v>#N/A N/A</v>
        <stp/>
        <stp>BDH|2393490519814340832</stp>
        <tr r="L67" s="2"/>
      </tp>
      <tp t="s">
        <v>#N/A N/A</v>
        <stp/>
        <stp>BDH|7065923327646166178</stp>
        <tr r="AB68" s="2"/>
      </tp>
      <tp t="s">
        <v>#N/A N/A</v>
        <stp/>
        <stp>BDH|4006938061339102907</stp>
        <tr r="U65" s="2"/>
      </tp>
      <tp t="s">
        <v>#N/A N/A</v>
        <stp/>
        <stp>BDH|9774018779461934468</stp>
        <tr r="F29" s="2"/>
      </tp>
      <tp t="s">
        <v>#N/A N/A</v>
        <stp/>
        <stp>BDH|4925210388700894588</stp>
        <tr r="W12" s="2"/>
      </tp>
      <tp t="s">
        <v>#N/A N/A</v>
        <stp/>
        <stp>BDH|2250361105058044216</stp>
        <tr r="M53" s="2"/>
      </tp>
      <tp t="s">
        <v>#N/A N/A</v>
        <stp/>
        <stp>BDH|3640832254145894098</stp>
        <tr r="AC7" s="2"/>
      </tp>
      <tp t="s">
        <v>#N/A N/A</v>
        <stp/>
        <stp>BDH|7760940161622048122</stp>
        <tr r="L29" s="2"/>
      </tp>
      <tp t="s">
        <v>#N/A N/A</v>
        <stp/>
        <stp>BDH|1601252344924777805</stp>
        <tr r="F53" s="2"/>
      </tp>
      <tp t="s">
        <v>#N/A N/A</v>
        <stp/>
        <stp>BDH|8892133232197850617</stp>
        <tr r="AC24" s="2"/>
      </tp>
      <tp t="s">
        <v>#N/A N/A</v>
        <stp/>
        <stp>BDH|2889990674675066252</stp>
        <tr r="U50" s="2"/>
      </tp>
      <tp t="s">
        <v>#N/A N/A</v>
        <stp/>
        <stp>BDH|8489583484478058699</stp>
        <tr r="H50" s="2"/>
      </tp>
      <tp t="s">
        <v>#N/A N/A</v>
        <stp/>
        <stp>BDH|5903342820708446785</stp>
        <tr r="Y19" s="2"/>
      </tp>
      <tp t="s">
        <v>#N/A N/A</v>
        <stp/>
        <stp>BDH|7070778359207818978</stp>
        <tr r="I15" s="2"/>
      </tp>
      <tp t="s">
        <v>#N/A N/A</v>
        <stp/>
        <stp>BDH|8273643333262231462</stp>
        <tr r="AE35" s="2"/>
      </tp>
      <tp t="s">
        <v>#N/A N/A</v>
        <stp/>
        <stp>BDH|5046560413973337979</stp>
        <tr r="K63" s="2"/>
      </tp>
      <tp t="s">
        <v>#N/A N/A</v>
        <stp/>
        <stp>BDH|6995836846614516580</stp>
        <tr r="D48" s="2"/>
      </tp>
      <tp t="s">
        <v>#N/A N/A</v>
        <stp/>
        <stp>BDH|1853356734058753285</stp>
        <tr r="N26" s="2"/>
      </tp>
      <tp t="s">
        <v>#N/A N/A</v>
        <stp/>
        <stp>BDH|9685627532881870689</stp>
        <tr r="Y10" s="2"/>
      </tp>
      <tp t="s">
        <v>#N/A N/A</v>
        <stp/>
        <stp>BDH|5185309717978765475</stp>
        <tr r="AF16" s="2"/>
      </tp>
      <tp t="s">
        <v>#N/A N/A</v>
        <stp/>
        <stp>BDH|4374222475772040837</stp>
        <tr r="Z13" s="2"/>
      </tp>
      <tp t="s">
        <v>#N/A N/A</v>
        <stp/>
        <stp>BDH|1029800827474701475</stp>
        <tr r="C64" s="2"/>
      </tp>
      <tp t="s">
        <v>#N/A N/A</v>
        <stp/>
        <stp>BDH|4006221471978399272</stp>
        <tr r="AF51" s="2"/>
      </tp>
      <tp t="s">
        <v>#N/A N/A</v>
        <stp/>
        <stp>BDH|6794457428362466997</stp>
        <tr r="I33" s="2"/>
      </tp>
      <tp t="s">
        <v>#N/A N/A</v>
        <stp/>
        <stp>BDH|9319749925536432110</stp>
        <tr r="P35" s="2"/>
      </tp>
      <tp t="s">
        <v>#N/A N/A</v>
        <stp/>
        <stp>BDH|8438031014287197568</stp>
        <tr r="AA29" s="2"/>
      </tp>
      <tp t="s">
        <v>#N/A N/A</v>
        <stp/>
        <stp>BDH|8730035844525416206</stp>
        <tr r="Z29" s="2"/>
      </tp>
      <tp t="s">
        <v>#N/A N/A</v>
        <stp/>
        <stp>BDH|3407659262758270050</stp>
        <tr r="I62" s="2"/>
      </tp>
      <tp t="s">
        <v>#N/A N/A</v>
        <stp/>
        <stp>BDH|6861524726688811211</stp>
        <tr r="AD53" s="2"/>
      </tp>
      <tp t="s">
        <v>#N/A N/A</v>
        <stp/>
        <stp>BDH|9836173944220930776</stp>
        <tr r="W38" s="2"/>
      </tp>
      <tp t="s">
        <v>#N/A N/A</v>
        <stp/>
        <stp>BDH|8377852226241400811</stp>
        <tr r="I66" s="2"/>
      </tp>
      <tp t="s">
        <v>#N/A N/A</v>
        <stp/>
        <stp>BDH|9872351245313986647</stp>
        <tr r="C41" s="2"/>
      </tp>
      <tp t="s">
        <v>#N/A N/A</v>
        <stp/>
        <stp>BDH|5073549346719249652</stp>
        <tr r="D55" s="2"/>
      </tp>
      <tp t="s">
        <v>#N/A N/A</v>
        <stp/>
        <stp>BDH|7646453541750194394</stp>
        <tr r="AC37" s="2"/>
      </tp>
      <tp t="s">
        <v>#N/A N/A</v>
        <stp/>
        <stp>BDH|2680891458932977953</stp>
        <tr r="Q26" s="2"/>
      </tp>
      <tp t="s">
        <v>#N/A N/A</v>
        <stp/>
        <stp>BDH|4615767789758500740</stp>
        <tr r="E29" s="2"/>
      </tp>
      <tp t="s">
        <v>#N/A N/A</v>
        <stp/>
        <stp>BDH|8837328518296362895</stp>
        <tr r="R67" s="2"/>
      </tp>
      <tp t="s">
        <v>#N/A N/A</v>
        <stp/>
        <stp>BDH|6450218337063889033</stp>
        <tr r="T53" s="2"/>
      </tp>
      <tp t="s">
        <v>#N/A N/A</v>
        <stp/>
        <stp>BDH|6479189634881989184</stp>
        <tr r="M17" s="2"/>
      </tp>
      <tp t="s">
        <v>#N/A N/A</v>
        <stp/>
        <stp>BDH|9136483895506255604</stp>
        <tr r="T43" s="2"/>
      </tp>
      <tp t="s">
        <v>#N/A N/A</v>
        <stp/>
        <stp>BDH|5872531411976236366</stp>
        <tr r="F22" s="2"/>
      </tp>
      <tp t="s">
        <v>#N/A N/A</v>
        <stp/>
        <stp>BDH|8613681072568317505</stp>
        <tr r="X41" s="2"/>
      </tp>
      <tp t="s">
        <v>#N/A N/A</v>
        <stp/>
        <stp>BDH|7407284973042108423</stp>
        <tr r="P62" s="2"/>
      </tp>
      <tp t="s">
        <v>#N/A N/A</v>
        <stp/>
        <stp>BDH|9279574576078765783</stp>
        <tr r="L18" s="2"/>
      </tp>
      <tp t="s">
        <v>#N/A N/A</v>
        <stp/>
        <stp>BDH|1135126846809020992</stp>
        <tr r="L34" s="2"/>
      </tp>
      <tp t="s">
        <v>#N/A N/A</v>
        <stp/>
        <stp>BDH|2794098294279463631</stp>
        <tr r="P64" s="2"/>
      </tp>
      <tp t="s">
        <v>#N/A N/A</v>
        <stp/>
        <stp>BDH|8958032435397859850</stp>
        <tr r="O44" s="2"/>
      </tp>
      <tp t="s">
        <v>#N/A N/A</v>
        <stp/>
        <stp>BDH|8891480995925476438</stp>
        <tr r="I59" s="2"/>
      </tp>
      <tp t="s">
        <v>#N/A N/A</v>
        <stp/>
        <stp>BDH|6593072920738965888</stp>
        <tr r="J19" s="2"/>
      </tp>
      <tp t="s">
        <v>#N/A N/A</v>
        <stp/>
        <stp>BDH|6459377947527768232</stp>
        <tr r="J16" s="2"/>
      </tp>
      <tp t="s">
        <v>#N/A N/A</v>
        <stp/>
        <stp>BDH|7282021345761785621</stp>
        <tr r="O43" s="2"/>
      </tp>
      <tp t="s">
        <v>#N/A N/A</v>
        <stp/>
        <stp>BDH|8434036307689908598</stp>
        <tr r="X65" s="2"/>
      </tp>
      <tp t="s">
        <v>#N/A N/A</v>
        <stp/>
        <stp>BDH|6048601540452325239</stp>
        <tr r="N67" s="2"/>
      </tp>
      <tp t="s">
        <v>#N/A N/A</v>
        <stp/>
        <stp>BDH|9621630779758927445</stp>
        <tr r="T24" s="2"/>
      </tp>
      <tp t="s">
        <v>#N/A N/A</v>
        <stp/>
        <stp>BDH|4914937909791546877</stp>
        <tr r="Q10" s="2"/>
      </tp>
      <tp t="s">
        <v>#N/A N/A</v>
        <stp/>
        <stp>BDH|1853948659928097148</stp>
        <tr r="R62" s="2"/>
      </tp>
      <tp t="s">
        <v>#N/A N/A</v>
        <stp/>
        <stp>BDH|9328423425309700225</stp>
        <tr r="Y41" s="2"/>
      </tp>
      <tp t="s">
        <v>#N/A N/A</v>
        <stp/>
        <stp>BDH|6607512200475346222</stp>
        <tr r="G34" s="2"/>
      </tp>
      <tp t="s">
        <v>#N/A N/A</v>
        <stp/>
        <stp>BDH|8141631144987090900</stp>
        <tr r="F28" s="2"/>
      </tp>
      <tp t="s">
        <v>#N/A N/A</v>
        <stp/>
        <stp>BDH|6005820933019600014</stp>
        <tr r="O47" s="2"/>
      </tp>
      <tp t="s">
        <v>#N/A N/A</v>
        <stp/>
        <stp>BDH|4967340515493618184</stp>
        <tr r="M35" s="2"/>
      </tp>
      <tp t="s">
        <v>#N/A N/A</v>
        <stp/>
        <stp>BDH|8328952105155057042</stp>
        <tr r="D34" s="2"/>
      </tp>
      <tp t="s">
        <v>#N/A N/A</v>
        <stp/>
        <stp>BDH|2385353745290546115</stp>
        <tr r="AC8" s="2"/>
      </tp>
      <tp t="s">
        <v>#N/A N/A</v>
        <stp/>
        <stp>BDH|7868563959202725179</stp>
        <tr r="AC28" s="2"/>
      </tp>
      <tp t="s">
        <v>#N/A N/A</v>
        <stp/>
        <stp>BDH|6715075017075222628</stp>
        <tr r="M50" s="2"/>
      </tp>
      <tp t="s">
        <v>#N/A N/A</v>
        <stp/>
        <stp>BDH|4297528463490240350</stp>
        <tr r="D38" s="2"/>
      </tp>
      <tp t="s">
        <v>#N/A N/A</v>
        <stp/>
        <stp>BDH|6544003826541759104</stp>
        <tr r="P28" s="2"/>
      </tp>
      <tp t="s">
        <v>#N/A N/A</v>
        <stp/>
        <stp>BDH|7759130706463385156</stp>
        <tr r="C55" s="2"/>
      </tp>
      <tp t="s">
        <v>#N/A N/A</v>
        <stp/>
        <stp>BDH|2361970146683571839</stp>
        <tr r="D50" s="2"/>
      </tp>
      <tp t="s">
        <v>#N/A N/A</v>
        <stp/>
        <stp>BDH|2032735374412640446</stp>
        <tr r="AF46" s="2"/>
      </tp>
      <tp t="s">
        <v>#N/A N/A</v>
        <stp/>
        <stp>BDH|8645077931848724727</stp>
        <tr r="H10" s="2"/>
      </tp>
      <tp t="s">
        <v>#N/A N/A</v>
        <stp/>
        <stp>BDH|88576930787975890</stp>
        <tr r="V27" s="2"/>
      </tp>
      <tp t="s">
        <v>#N/A N/A</v>
        <stp/>
        <stp>BDH|5995671264797691762</stp>
        <tr r="R7" s="2"/>
      </tp>
      <tp t="s">
        <v>#N/A N/A</v>
        <stp/>
        <stp>BDH|1225714609230014313</stp>
        <tr r="AF61" s="2"/>
      </tp>
      <tp t="s">
        <v>#N/A N/A</v>
        <stp/>
        <stp>BDH|6940248252772037643</stp>
        <tr r="Y31" s="2"/>
      </tp>
      <tp t="s">
        <v>#N/A N/A</v>
        <stp/>
        <stp>BDH|2922772763522223449</stp>
        <tr r="AD55" s="2"/>
      </tp>
      <tp t="s">
        <v>#N/A N/A</v>
        <stp/>
        <stp>BDH|3796880336818294539</stp>
        <tr r="V23" s="2"/>
      </tp>
      <tp t="s">
        <v>#N/A N/A</v>
        <stp/>
        <stp>BDH|5988623786887756929</stp>
        <tr r="Y38" s="2"/>
      </tp>
      <tp t="s">
        <v>#N/A N/A</v>
        <stp/>
        <stp>BDH|3100641616647971631</stp>
        <tr r="T8" s="2"/>
      </tp>
      <tp t="s">
        <v>#N/A N/A</v>
        <stp/>
        <stp>BDH|8970063628429607683</stp>
        <tr r="P66" s="2"/>
      </tp>
      <tp t="s">
        <v>#N/A N/A</v>
        <stp/>
        <stp>BDH|6879365552075529007</stp>
        <tr r="Q37" s="2"/>
      </tp>
      <tp t="s">
        <v>#N/A N/A</v>
        <stp/>
        <stp>BDH|3252147034421813531</stp>
        <tr r="F7" s="2"/>
      </tp>
      <tp t="s">
        <v>#N/A N/A</v>
        <stp/>
        <stp>BDH|5429503600856937342</stp>
        <tr r="J25" s="2"/>
      </tp>
      <tp t="s">
        <v>#N/A N/A</v>
        <stp/>
        <stp>BDH|2735388030347570033</stp>
        <tr r="G23" s="2"/>
      </tp>
      <tp t="s">
        <v>#N/A N/A</v>
        <stp/>
        <stp>BDH|4597490440114496562</stp>
        <tr r="E11" s="2"/>
      </tp>
      <tp t="s">
        <v>#N/A N/A</v>
        <stp/>
        <stp>BDH|5363998183674398542</stp>
        <tr r="P14" s="2"/>
      </tp>
      <tp t="s">
        <v>#N/A N/A</v>
        <stp/>
        <stp>BDH|3828032243882463028</stp>
        <tr r="H35" s="2"/>
      </tp>
      <tp t="s">
        <v>#N/A N/A</v>
        <stp/>
        <stp>BDH|6902320346412030626</stp>
        <tr r="P59" s="2"/>
      </tp>
      <tp t="s">
        <v>#N/A N/A</v>
        <stp/>
        <stp>BDH|4491611234095924178</stp>
        <tr r="AF47" s="2"/>
      </tp>
      <tp t="s">
        <v>#N/A N/A</v>
        <stp/>
        <stp>BDH|6318152327894683488</stp>
        <tr r="I30" s="2"/>
      </tp>
      <tp t="s">
        <v>#N/A N/A</v>
        <stp/>
        <stp>BDH|3958234245214600468</stp>
        <tr r="J42" s="2"/>
      </tp>
      <tp t="s">
        <v>#N/A N/A</v>
        <stp/>
        <stp>BDH|4478214169990279517</stp>
        <tr r="E62" s="2"/>
      </tp>
      <tp t="s">
        <v>#N/A N/A</v>
        <stp/>
        <stp>BDH|7967227744696611256</stp>
        <tr r="K43" s="2"/>
      </tp>
      <tp t="s">
        <v>#N/A N/A</v>
        <stp/>
        <stp>BDH|9211987650605617502</stp>
        <tr r="N62" s="2"/>
      </tp>
      <tp t="s">
        <v>#N/A N/A</v>
        <stp/>
        <stp>BDH|3342260618981907489</stp>
        <tr r="F36" s="2"/>
      </tp>
      <tp t="s">
        <v>#N/A N/A</v>
        <stp/>
        <stp>BDH|4543894146954299947</stp>
        <tr r="H47" s="2"/>
      </tp>
      <tp t="s">
        <v>#N/A N/A</v>
        <stp/>
        <stp>BDH|7451392258087981309</stp>
        <tr r="N19" s="2"/>
      </tp>
      <tp t="s">
        <v>#N/A N/A</v>
        <stp/>
        <stp>BDH|1449800437166914984</stp>
        <tr r="V61" s="2"/>
      </tp>
      <tp t="s">
        <v>#N/A N/A</v>
        <stp/>
        <stp>BDH|7692562616210323678</stp>
        <tr r="Y16" s="2"/>
      </tp>
      <tp t="s">
        <v>#N/A N/A</v>
        <stp/>
        <stp>BDH|4347865667608548758</stp>
        <tr r="AE13" s="2"/>
      </tp>
      <tp t="s">
        <v>#N/A N/A</v>
        <stp/>
        <stp>BDH|4605195467515214392</stp>
        <tr r="Q38" s="2"/>
      </tp>
      <tp t="s">
        <v>#N/A N/A</v>
        <stp/>
        <stp>BDH|5526416515140851591</stp>
        <tr r="Z43" s="2"/>
      </tp>
      <tp t="s">
        <v>#N/A N/A</v>
        <stp/>
        <stp>BDH|3117815141409177306</stp>
        <tr r="O42" s="2"/>
      </tp>
      <tp t="s">
        <v>#N/A N/A</v>
        <stp/>
        <stp>BDH|5443773597886558807</stp>
        <tr r="C45" s="2"/>
      </tp>
      <tp t="s">
        <v>#N/A N/A</v>
        <stp/>
        <stp>BDH|1290500121247177431</stp>
        <tr r="S68" s="2"/>
      </tp>
      <tp t="s">
        <v>#N/A N/A</v>
        <stp/>
        <stp>BDH|6175887382622502183</stp>
        <tr r="U48" s="2"/>
      </tp>
      <tp t="s">
        <v>#N/A N/A</v>
        <stp/>
        <stp>BDH|4099018457100699478</stp>
        <tr r="X31" s="2"/>
      </tp>
      <tp t="s">
        <v>#N/A N/A</v>
        <stp/>
        <stp>BDH|2561251610096206256</stp>
        <tr r="O24" s="2"/>
      </tp>
      <tp t="s">
        <v>#N/A N/A</v>
        <stp/>
        <stp>BDH|5481270327059486970</stp>
        <tr r="V48" s="2"/>
      </tp>
      <tp t="s">
        <v>#N/A N/A</v>
        <stp/>
        <stp>BDH|6398695659455257566</stp>
        <tr r="L12" s="2"/>
      </tp>
      <tp t="s">
        <v>#N/A N/A</v>
        <stp/>
        <stp>BDH|9985463588650239022</stp>
        <tr r="AE24" s="2"/>
      </tp>
      <tp t="s">
        <v>#N/A N/A</v>
        <stp/>
        <stp>BDH|7148141063963741667</stp>
        <tr r="C14" s="2"/>
      </tp>
      <tp t="s">
        <v>#N/A N/A</v>
        <stp/>
        <stp>BDH|7900591277137088739</stp>
        <tr r="AC47" s="2"/>
      </tp>
      <tp t="s">
        <v>#N/A N/A</v>
        <stp/>
        <stp>BDH|4331311168407633385</stp>
        <tr r="T62" s="2"/>
      </tp>
      <tp t="s">
        <v>#N/A N/A</v>
        <stp/>
        <stp>BDH|5340411048457719790</stp>
        <tr r="R60" s="2"/>
      </tp>
      <tp t="s">
        <v>#N/A N/A</v>
        <stp/>
        <stp>BDH|2997075711326933029</stp>
        <tr r="J64" s="2"/>
      </tp>
      <tp t="s">
        <v>#N/A N/A</v>
        <stp/>
        <stp>BDH|4191409664517817492</stp>
        <tr r="K11" s="2"/>
      </tp>
      <tp t="s">
        <v>#N/A N/A</v>
        <stp/>
        <stp>BDH|7015759245035639438</stp>
        <tr r="AB48" s="2"/>
      </tp>
      <tp t="s">
        <v>#N/A N/A</v>
        <stp/>
        <stp>BDH|4476586748131836196</stp>
        <tr r="AC30" s="2"/>
      </tp>
      <tp t="s">
        <v>#N/A N/A</v>
        <stp/>
        <stp>BDH|9235922766085060631</stp>
        <tr r="W9" s="2"/>
      </tp>
      <tp t="s">
        <v>#N/A N/A</v>
        <stp/>
        <stp>BDH|1101831980950651416</stp>
        <tr r="AB24" s="2"/>
      </tp>
      <tp t="s">
        <v>#N/A N/A</v>
        <stp/>
        <stp>BDH|2583567137511503047</stp>
        <tr r="AE53" s="2"/>
      </tp>
      <tp t="s">
        <v>#N/A N/A</v>
        <stp/>
        <stp>BDH|3357175140894123705</stp>
        <tr r="J14" s="2"/>
      </tp>
      <tp t="s">
        <v>#N/A N/A</v>
        <stp/>
        <stp>BDH|1983557727703105309</stp>
        <tr r="F15" s="2"/>
      </tp>
      <tp t="s">
        <v>#N/A N/A</v>
        <stp/>
        <stp>BDH|4760887184876592444</stp>
        <tr r="AC66" s="2"/>
      </tp>
      <tp t="s">
        <v>#N/A N/A</v>
        <stp/>
        <stp>BDH|2100038464281998347</stp>
        <tr r="K67" s="2"/>
      </tp>
      <tp t="s">
        <v>#N/A N/A</v>
        <stp/>
        <stp>BDH|2934618679344390195</stp>
        <tr r="AF27" s="2"/>
      </tp>
      <tp t="s">
        <v>#N/A N/A</v>
        <stp/>
        <stp>BDH|3339882869473032890</stp>
        <tr r="W30" s="2"/>
      </tp>
      <tp t="s">
        <v>#N/A N/A</v>
        <stp/>
        <stp>BDH|5928079061507556228</stp>
        <tr r="P31" s="2"/>
      </tp>
      <tp t="s">
        <v>#N/A N/A</v>
        <stp/>
        <stp>BDH|9551242153070276885</stp>
        <tr r="AC14" s="2"/>
      </tp>
      <tp t="s">
        <v>#N/A N/A</v>
        <stp/>
        <stp>BDH|6447115257014218084</stp>
        <tr r="C67" s="2"/>
      </tp>
      <tp t="s">
        <v>#N/A N/A</v>
        <stp/>
        <stp>BDH|3387150680535970970</stp>
        <tr r="R26" s="2"/>
      </tp>
      <tp t="s">
        <v>#N/A N/A</v>
        <stp/>
        <stp>BDH|5474246354672834652</stp>
        <tr r="H28" s="2"/>
      </tp>
      <tp t="s">
        <v>#N/A N/A</v>
        <stp/>
        <stp>BDH|6952793975325827538</stp>
        <tr r="S46" s="2"/>
      </tp>
      <tp t="s">
        <v>#N/A N/A</v>
        <stp/>
        <stp>BDH|9492353977342824905</stp>
        <tr r="AB67" s="2"/>
      </tp>
      <tp t="s">
        <v>#N/A N/A</v>
        <stp/>
        <stp>BDH|4439845809438660202</stp>
        <tr r="W28" s="2"/>
      </tp>
      <tp t="s">
        <v>#N/A N/A</v>
        <stp/>
        <stp>BDH|2762672266331990506</stp>
        <tr r="J9" s="2"/>
      </tp>
      <tp t="s">
        <v>#N/A N/A</v>
        <stp/>
        <stp>BDH|8314558052197188995</stp>
        <tr r="Q45" s="2"/>
      </tp>
      <tp t="s">
        <v>#N/A N/A</v>
        <stp/>
        <stp>BDH|9100291466073709855</stp>
        <tr r="AA60" s="2"/>
      </tp>
      <tp t="s">
        <v>#N/A N/A</v>
        <stp/>
        <stp>BDH|7631618228011610453</stp>
        <tr r="N12" s="2"/>
      </tp>
      <tp t="s">
        <v>#N/A N/A</v>
        <stp/>
        <stp>BDH|7252835558415514908</stp>
        <tr r="X35" s="2"/>
      </tp>
      <tp t="s">
        <v>#N/A N/A</v>
        <stp/>
        <stp>BDH|5140368235370634383</stp>
        <tr r="E32" s="2"/>
      </tp>
      <tp t="s">
        <v>#N/A N/A</v>
        <stp/>
        <stp>BDH|2543677864127946329</stp>
        <tr r="AC9" s="2"/>
      </tp>
      <tp t="s">
        <v>#N/A N/A</v>
        <stp/>
        <stp>BDH|5427921388953536167</stp>
        <tr r="J38" s="2"/>
      </tp>
      <tp t="s">
        <v>#N/A N/A</v>
        <stp/>
        <stp>BDH|9993958640992540042</stp>
        <tr r="O11" s="2"/>
      </tp>
      <tp t="s">
        <v>#N/A N/A</v>
        <stp/>
        <stp>BDH|1171074141333771024</stp>
        <tr r="M36" s="2"/>
      </tp>
      <tp t="s">
        <v>#N/A N/A</v>
        <stp/>
        <stp>BDH|1582282400801632498</stp>
        <tr r="R11" s="2"/>
      </tp>
      <tp t="s">
        <v>#N/A N/A</v>
        <stp/>
        <stp>BDH|7820604613847844115</stp>
        <tr r="AB66" s="2"/>
      </tp>
      <tp t="s">
        <v>#N/A N/A</v>
        <stp/>
        <stp>BDH|6892865217330950925</stp>
        <tr r="AD36" s="2"/>
      </tp>
      <tp t="s">
        <v>#N/A N/A</v>
        <stp/>
        <stp>BDH|3814273415413007588</stp>
        <tr r="S36" s="2"/>
      </tp>
      <tp t="s">
        <v>#N/A N/A</v>
        <stp/>
        <stp>BDH|9296097568839838080</stp>
        <tr r="E12" s="2"/>
      </tp>
      <tp t="s">
        <v>#N/A N/A</v>
        <stp/>
        <stp>BDH|1346167874750312112</stp>
        <tr r="U67" s="2"/>
      </tp>
      <tp t="s">
        <v>#N/A N/A</v>
        <stp/>
        <stp>BDH|6170604201317583164</stp>
        <tr r="W50" s="2"/>
      </tp>
      <tp t="s">
        <v>#N/A N/A</v>
        <stp/>
        <stp>BDH|3724184963590502290</stp>
        <tr r="AD64" s="2"/>
      </tp>
      <tp t="s">
        <v>#N/A N/A</v>
        <stp/>
        <stp>BDH|2014122257072709224</stp>
        <tr r="F59" s="2"/>
      </tp>
      <tp t="s">
        <v>#N/A N/A</v>
        <stp/>
        <stp>BDH|3326448808023623289</stp>
        <tr r="L32" s="2"/>
      </tp>
      <tp t="s">
        <v>#N/A N/A</v>
        <stp/>
        <stp>BDH|6400034461071145764</stp>
        <tr r="N59" s="2"/>
      </tp>
      <tp t="s">
        <v>#N/A N/A</v>
        <stp/>
        <stp>BDH|6098345937436579677</stp>
        <tr r="J44" s="2"/>
      </tp>
      <tp t="s">
        <v>#N/A N/A</v>
        <stp/>
        <stp>BDH|7190278211530131279</stp>
        <tr r="G32" s="2"/>
      </tp>
      <tp t="s">
        <v>#N/A N/A</v>
        <stp/>
        <stp>BDH|4407714420576326104</stp>
        <tr r="K14" s="2"/>
      </tp>
      <tp t="s">
        <v>#N/A N/A</v>
        <stp/>
        <stp>BDH|7081230318505951741</stp>
        <tr r="T55" s="2"/>
      </tp>
      <tp t="s">
        <v>#N/A N/A</v>
        <stp/>
        <stp>BDH|1251524393509598202</stp>
        <tr r="AB10" s="2"/>
      </tp>
      <tp t="s">
        <v>#N/A N/A</v>
        <stp/>
        <stp>BDH|1222187163628718893</stp>
        <tr r="U62" s="2"/>
      </tp>
      <tp t="s">
        <v>#N/A N/A</v>
        <stp/>
        <stp>BDH|4770098633761899021</stp>
        <tr r="S19" s="2"/>
      </tp>
      <tp t="s">
        <v>#N/A N/A</v>
        <stp/>
        <stp>BDH|4908510253143517194</stp>
        <tr r="Y24" s="2"/>
      </tp>
      <tp t="s">
        <v>#N/A N/A</v>
        <stp/>
        <stp>BDH|2162261175994374567</stp>
        <tr r="AD9" s="2"/>
      </tp>
      <tp t="s">
        <v>#N/A N/A</v>
        <stp/>
        <stp>BDH|5916939489401079345</stp>
        <tr r="P11" s="2"/>
      </tp>
      <tp t="s">
        <v>#N/A N/A</v>
        <stp/>
        <stp>BDH|2792751642843116452</stp>
        <tr r="AE12" s="2"/>
      </tp>
      <tp t="s">
        <v>#N/A N/A</v>
        <stp/>
        <stp>BDH|4511579106180993781</stp>
        <tr r="AD25" s="2"/>
      </tp>
      <tp t="s">
        <v>#N/A N/A</v>
        <stp/>
        <stp>BDH|5214299939003748106</stp>
        <tr r="L37" s="2"/>
      </tp>
      <tp t="s">
        <v>#N/A N/A</v>
        <stp/>
        <stp>BDH|2913881807429210519</stp>
        <tr r="S50" s="2"/>
      </tp>
      <tp t="s">
        <v>#N/A N/A</v>
        <stp/>
        <stp>BDH|5458978235748914051</stp>
        <tr r="AD32" s="2"/>
      </tp>
      <tp t="s">
        <v>#N/A N/A</v>
        <stp/>
        <stp>BDH|8506162868778942090</stp>
        <tr r="AD37" s="2"/>
      </tp>
      <tp t="s">
        <v>#N/A N/A</v>
        <stp/>
        <stp>BDH|6345756875110886108</stp>
        <tr r="O16" s="2"/>
      </tp>
      <tp t="s">
        <v>#N/A N/A</v>
        <stp/>
        <stp>BDH|4686430865021395083</stp>
        <tr r="R41" s="2"/>
      </tp>
      <tp t="s">
        <v>#N/A N/A</v>
        <stp/>
        <stp>BDH|1226779489280083974</stp>
        <tr r="D67" s="2"/>
      </tp>
      <tp t="s">
        <v>#N/A N/A</v>
        <stp/>
        <stp>BDH|3774798337717093725</stp>
        <tr r="P50" s="2"/>
      </tp>
      <tp t="s">
        <v>#N/A N/A</v>
        <stp/>
        <stp>BDH|9242190490970700671</stp>
        <tr r="U64" s="2"/>
      </tp>
      <tp t="s">
        <v>#N/A N/A</v>
        <stp/>
        <stp>BDH|6951247709825918665</stp>
        <tr r="I42" s="2"/>
      </tp>
      <tp t="s">
        <v>#N/A N/A</v>
        <stp/>
        <stp>BDH|5758543015950910671</stp>
        <tr r="H55" s="2"/>
      </tp>
      <tp t="s">
        <v>#N/A N/A</v>
        <stp/>
        <stp>BDH|9710492131109403025</stp>
        <tr r="K16" s="2"/>
      </tp>
      <tp t="s">
        <v>#N/A N/A</v>
        <stp/>
        <stp>BDH|6438726300506910068</stp>
        <tr r="Q49" s="2"/>
      </tp>
      <tp t="s">
        <v>#N/A N/A</v>
        <stp/>
        <stp>BDH|1258531130093753381</stp>
        <tr r="O18" s="2"/>
      </tp>
      <tp t="s">
        <v>#N/A N/A</v>
        <stp/>
        <stp>BDH|6570905288008260816</stp>
        <tr r="N64" s="2"/>
      </tp>
      <tp t="s">
        <v>#N/A N/A</v>
        <stp/>
        <stp>BDH|5427017878826258310</stp>
        <tr r="AB36" s="2"/>
      </tp>
      <tp t="s">
        <v>#N/A N/A</v>
        <stp/>
        <stp>BDH|3395178047444480591</stp>
        <tr r="W26" s="2"/>
      </tp>
      <tp t="s">
        <v>#N/A N/A</v>
        <stp/>
        <stp>BDH|8517077250142469891</stp>
        <tr r="U32" s="2"/>
      </tp>
      <tp t="s">
        <v>#N/A N/A</v>
        <stp/>
        <stp>BDH|5650025230241250094</stp>
        <tr r="Y29" s="2"/>
      </tp>
      <tp t="s">
        <v>#N/A N/A</v>
        <stp/>
        <stp>BDH|1731081014147531019</stp>
        <tr r="Q18" s="2"/>
      </tp>
      <tp t="s">
        <v>#N/A N/A</v>
        <stp/>
        <stp>BDH|7459490289954946820</stp>
        <tr r="AE38" s="2"/>
      </tp>
      <tp t="s">
        <v>#N/A N/A</v>
        <stp/>
        <stp>BDH|3259953585631584480</stp>
        <tr r="M65" s="2"/>
      </tp>
      <tp t="s">
        <v>#N/A N/A</v>
        <stp/>
        <stp>BDH|8234209415114909810</stp>
        <tr r="V37" s="2"/>
      </tp>
      <tp t="s">
        <v>#N/A N/A</v>
        <stp/>
        <stp>BDH|6343347879930283516</stp>
        <tr r="AC53" s="2"/>
      </tp>
      <tp t="s">
        <v>#N/A N/A</v>
        <stp/>
        <stp>BDH|2838003902921693416</stp>
        <tr r="M34" s="2"/>
      </tp>
      <tp t="s">
        <v>#N/A N/A</v>
        <stp/>
        <stp>BDH|8223950038983520671</stp>
        <tr r="Z23" s="2"/>
      </tp>
      <tp t="s">
        <v>#N/A N/A</v>
        <stp/>
        <stp>BDH|4317204221576028503</stp>
        <tr r="E25" s="2"/>
      </tp>
      <tp t="s">
        <v>#N/A N/A</v>
        <stp/>
        <stp>BDH|8447652592447620773</stp>
        <tr r="AF26" s="2"/>
      </tp>
      <tp t="s">
        <v>#N/A N/A</v>
        <stp/>
        <stp>BDH|1337875507399468754</stp>
        <tr r="O13" s="2"/>
      </tp>
      <tp t="s">
        <v>#N/A N/A</v>
        <stp/>
        <stp>BDH|4888613545948939978</stp>
        <tr r="Z42" s="2"/>
      </tp>
      <tp t="s">
        <v>#N/A N/A</v>
        <stp/>
        <stp>BDH|2326224700614381303</stp>
        <tr r="K55" s="2"/>
      </tp>
      <tp t="s">
        <v>#N/A N/A</v>
        <stp/>
        <stp>BDH|2375285745304471788</stp>
        <tr r="I48" s="2"/>
      </tp>
      <tp t="s">
        <v>#N/A N/A</v>
        <stp/>
        <stp>BDH|1220302517200379455</stp>
        <tr r="G61" s="2"/>
      </tp>
      <tp t="s">
        <v>#N/A N/A</v>
        <stp/>
        <stp>BDH|9232884649007011503</stp>
        <tr r="O45" s="2"/>
      </tp>
      <tp t="s">
        <v>#N/A N/A</v>
        <stp/>
        <stp>BDH|2725709125072646270</stp>
        <tr r="P55" s="2"/>
      </tp>
      <tp t="s">
        <v>#N/A N/A</v>
        <stp/>
        <stp>BDH|6671890066078822714</stp>
        <tr r="AB18" s="2"/>
      </tp>
      <tp t="s">
        <v>#N/A N/A</v>
        <stp/>
        <stp>BDH|5053985493496927426</stp>
        <tr r="AB37" s="2"/>
      </tp>
      <tp t="s">
        <v>#N/A N/A</v>
        <stp/>
        <stp>BDH|2177051768437808445</stp>
        <tr r="Y64" s="2"/>
      </tp>
      <tp t="s">
        <v>#N/A N/A</v>
        <stp/>
        <stp>BDH|1148343875995772768</stp>
        <tr r="D51" s="2"/>
      </tp>
      <tp t="s">
        <v>#N/A N/A</v>
        <stp/>
        <stp>BDH|6085451655597685774</stp>
        <tr r="C63" s="2"/>
      </tp>
      <tp t="s">
        <v>#N/A N/A</v>
        <stp/>
        <stp>BDH|9753513964465324800</stp>
        <tr r="O12" s="2"/>
      </tp>
      <tp t="s">
        <v>#N/A N/A</v>
        <stp/>
        <stp>BDH|8476412815173554945</stp>
        <tr r="O8" s="2"/>
      </tp>
      <tp t="s">
        <v>#N/A N/A</v>
        <stp/>
        <stp>BDH|3157622242627240154</stp>
        <tr r="M63" s="2"/>
      </tp>
      <tp t="s">
        <v>#N/A N/A</v>
        <stp/>
        <stp>BDH|9859484011102126963</stp>
        <tr r="AA31" s="2"/>
      </tp>
      <tp t="s">
        <v>#N/A N/A</v>
        <stp/>
        <stp>BDH|6124678568817962616</stp>
        <tr r="G53" s="2"/>
      </tp>
      <tp t="s">
        <v>#N/A N/A</v>
        <stp/>
        <stp>BDH|4160707126154808284</stp>
        <tr r="AB26" s="2"/>
      </tp>
      <tp t="s">
        <v>#N/A N/A</v>
        <stp/>
        <stp>BDH|5326238061746421026</stp>
        <tr r="J60" s="2"/>
      </tp>
      <tp t="s">
        <v>#N/A N/A</v>
        <stp/>
        <stp>BDH|1295019144767733579</stp>
        <tr r="M48" s="2"/>
      </tp>
      <tp t="s">
        <v>#N/A N/A</v>
        <stp/>
        <stp>BDH|1900662385090577888</stp>
        <tr r="AA23" s="2"/>
      </tp>
      <tp t="s">
        <v>#N/A N/A</v>
        <stp/>
        <stp>BDH|2948410197408256096</stp>
        <tr r="Q61" s="2"/>
      </tp>
      <tp t="s">
        <v>#N/A N/A</v>
        <stp/>
        <stp>BDH|6075082920476957551</stp>
        <tr r="F10" s="2"/>
      </tp>
      <tp t="s">
        <v>#N/A N/A</v>
        <stp/>
        <stp>BDH|8822100785724033292</stp>
        <tr r="J7" s="2"/>
      </tp>
      <tp t="s">
        <v>#N/A N/A</v>
        <stp/>
        <stp>BDH|5425443162676285646</stp>
        <tr r="X68" s="2"/>
      </tp>
      <tp t="s">
        <v>#N/A N/A</v>
        <stp/>
        <stp>BDH|1239752843870401540</stp>
        <tr r="O60" s="2"/>
      </tp>
      <tp t="s">
        <v>#N/A N/A</v>
        <stp/>
        <stp>BDH|6144801491631291163</stp>
        <tr r="AA22" s="2"/>
      </tp>
      <tp t="s">
        <v>#N/A N/A</v>
        <stp/>
        <stp>BDH|8875980564219267928</stp>
        <tr r="K61" s="2"/>
      </tp>
      <tp t="s">
        <v>#N/A N/A</v>
        <stp/>
        <stp>BDH|1914132312170472695</stp>
        <tr r="F47" s="2"/>
      </tp>
      <tp t="s">
        <v>#N/A N/A</v>
        <stp/>
        <stp>BDH|4901557125937845343</stp>
        <tr r="V42" s="2"/>
      </tp>
      <tp t="s">
        <v>#N/A N/A</v>
        <stp/>
        <stp>BDH|1933897252858234353</stp>
        <tr r="AB65" s="2"/>
      </tp>
      <tp t="s">
        <v>#N/A N/A</v>
        <stp/>
        <stp>BDH|7011167131030971540</stp>
        <tr r="P10" s="2"/>
      </tp>
      <tp t="s">
        <v>#N/A N/A</v>
        <stp/>
        <stp>BDH|9779699814179038719</stp>
        <tr r="M16" s="2"/>
      </tp>
      <tp t="s">
        <v>#N/A N/A</v>
        <stp/>
        <stp>BDH|4096701385328623385</stp>
        <tr r="C68" s="2"/>
      </tp>
      <tp t="s">
        <v>#N/A N/A</v>
        <stp/>
        <stp>BDH|5379055062603944058</stp>
        <tr r="L62" s="2"/>
      </tp>
      <tp t="s">
        <v>#N/A N/A</v>
        <stp/>
        <stp>BDH|6382190255146049468</stp>
        <tr r="E31" s="2"/>
      </tp>
      <tp t="s">
        <v>#N/A N/A</v>
        <stp/>
        <stp>BDH|3024272708194062561</stp>
        <tr r="R16" s="2"/>
      </tp>
      <tp t="s">
        <v>#N/A N/A</v>
        <stp/>
        <stp>BDH|6566297967833320112</stp>
        <tr r="F48" s="2"/>
      </tp>
      <tp t="s">
        <v>#N/A N/A</v>
        <stp/>
        <stp>BDH|8067448298814558173</stp>
        <tr r="M64" s="2"/>
      </tp>
      <tp t="s">
        <v>#N/A N/A</v>
        <stp/>
        <stp>BDH|1852884642398830542</stp>
        <tr r="AA62" s="2"/>
      </tp>
      <tp t="s">
        <v>#N/A N/A</v>
        <stp/>
        <stp>BDH|5419680201286175521</stp>
        <tr r="O49" s="2"/>
      </tp>
      <tp t="s">
        <v>#N/A N/A</v>
        <stp/>
        <stp>BDH|7901845383894131316</stp>
        <tr r="I24" s="2"/>
      </tp>
      <tp t="s">
        <v>#N/A N/A</v>
        <stp/>
        <stp>BDH|5824465856651135578</stp>
        <tr r="L68" s="2"/>
      </tp>
      <tp t="s">
        <v>#N/A N/A</v>
        <stp/>
        <stp>BDH|4320327309102307559</stp>
        <tr r="M37" s="2"/>
      </tp>
      <tp t="s">
        <v>#N/A N/A</v>
        <stp/>
        <stp>BDH|9743738873610962900</stp>
        <tr r="AC19" s="2"/>
      </tp>
      <tp t="s">
        <v>#N/A N/A</v>
        <stp/>
        <stp>BDH|2128417474941345096</stp>
        <tr r="AE9" s="2"/>
      </tp>
      <tp t="s">
        <v>#N/A N/A</v>
        <stp/>
        <stp>BDH|6785051948583059150</stp>
        <tr r="S66" s="2"/>
      </tp>
      <tp t="s">
        <v>#N/A N/A</v>
        <stp/>
        <stp>BDH|6864275014145240068</stp>
        <tr r="AF37" s="2"/>
      </tp>
      <tp t="s">
        <v>#N/A N/A</v>
        <stp/>
        <stp>BDH|1567007340474125180</stp>
        <tr r="AF30" s="2"/>
      </tp>
      <tp t="s">
        <v>#N/A N/A</v>
        <stp/>
        <stp>BDH|2456380074321115750</stp>
        <tr r="AE51" s="2"/>
      </tp>
      <tp t="s">
        <v>#N/A N/A</v>
        <stp/>
        <stp>BDH|5533909285801472583</stp>
        <tr r="AB60" s="2"/>
      </tp>
      <tp t="s">
        <v>#N/A N/A</v>
        <stp/>
        <stp>BDH|1391434649409762823</stp>
        <tr r="P61" s="2"/>
      </tp>
      <tp t="s">
        <v>#N/A N/A</v>
        <stp/>
        <stp>BDH|2132605749176172640</stp>
        <tr r="U35" s="2"/>
      </tp>
      <tp t="s">
        <v>#N/A N/A</v>
        <stp/>
        <stp>BDH|9997966946162782633</stp>
        <tr r="Z38" s="2"/>
      </tp>
      <tp t="s">
        <v>#N/A N/A</v>
        <stp/>
        <stp>BDH|1558570027475786309</stp>
        <tr r="K35" s="2"/>
      </tp>
      <tp t="s">
        <v>#N/A N/A</v>
        <stp/>
        <stp>BDH|9457484699817523323</stp>
        <tr r="X55" s="2"/>
      </tp>
      <tp t="s">
        <v>#N/A N/A</v>
        <stp/>
        <stp>BDH|7427709430304746700</stp>
        <tr r="Y11" s="2"/>
      </tp>
      <tp t="s">
        <v>#N/A N/A</v>
        <stp/>
        <stp>BDH|8259319474854139859</stp>
        <tr r="G49" s="2"/>
      </tp>
      <tp t="s">
        <v>#N/A N/A</v>
        <stp/>
        <stp>BDH|3816927879855386805</stp>
        <tr r="Y8" s="2"/>
      </tp>
      <tp t="s">
        <v>#N/A N/A</v>
        <stp/>
        <stp>BDH|5080453260667536002</stp>
        <tr r="AB9" s="2"/>
      </tp>
      <tp t="s">
        <v>#N/A N/A</v>
        <stp/>
        <stp>BDH|2564190845392943516</stp>
        <tr r="AE61" s="2"/>
      </tp>
      <tp t="s">
        <v>#N/A N/A</v>
        <stp/>
        <stp>BDH|2818339252331044589</stp>
        <tr r="AE49" s="2"/>
      </tp>
      <tp t="s">
        <v>#N/A N/A</v>
        <stp/>
        <stp>BDH|1527254510240435224</stp>
        <tr r="Z37" s="2"/>
      </tp>
      <tp t="s">
        <v>#N/A N/A</v>
        <stp/>
        <stp>BDH|7168718542734796032</stp>
        <tr r="P53" s="2"/>
      </tp>
      <tp t="s">
        <v>#N/A N/A</v>
        <stp/>
        <stp>BDH|8733136382922809389</stp>
        <tr r="C62" s="2"/>
      </tp>
      <tp t="s">
        <v>#N/A N/A</v>
        <stp/>
        <stp>BDH|5639747315306217532</stp>
        <tr r="F17" s="2"/>
      </tp>
      <tp t="s">
        <v>#N/A N/A</v>
        <stp/>
        <stp>BDH|5888651376130930440</stp>
        <tr r="E44" s="2"/>
      </tp>
      <tp t="s">
        <v>#N/A N/A</v>
        <stp/>
        <stp>BDH|3606508273977335616</stp>
        <tr r="R44" s="2"/>
      </tp>
      <tp t="s">
        <v>#N/A N/A</v>
        <stp/>
        <stp>BDH|9512163763688708602</stp>
        <tr r="J65" s="2"/>
      </tp>
      <tp t="s">
        <v>#N/A N/A</v>
        <stp/>
        <stp>BDH|6961379489949983493</stp>
        <tr r="I18" s="2"/>
      </tp>
      <tp t="s">
        <v>#N/A N/A</v>
        <stp/>
        <stp>BDH|8612660565689594173</stp>
        <tr r="K53" s="2"/>
      </tp>
      <tp t="s">
        <v>#N/A N/A</v>
        <stp/>
        <stp>BDH|6662993278411123924</stp>
        <tr r="AE22" s="2"/>
      </tp>
      <tp t="s">
        <v>#N/A N/A</v>
        <stp/>
        <stp>BDH|7162431113845521705</stp>
        <tr r="C23" s="2"/>
      </tp>
      <tp t="s">
        <v>#N/A N/A</v>
        <stp/>
        <stp>BDH|6086286271425448695</stp>
        <tr r="W34" s="2"/>
      </tp>
      <tp t="s">
        <v>#N/A N/A</v>
        <stp/>
        <stp>BDH|7901329621074843267</stp>
        <tr r="J43" s="2"/>
      </tp>
      <tp t="s">
        <v>#N/A N/A</v>
        <stp/>
        <stp>BDH|9667949729152759086</stp>
        <tr r="AA49" s="2"/>
      </tp>
      <tp t="s">
        <v>#N/A N/A</v>
        <stp/>
        <stp>BDH|3930196791968523314</stp>
        <tr r="J8" s="2"/>
      </tp>
      <tp t="s">
        <v>#N/A N/A</v>
        <stp/>
        <stp>BDH|3896262979442129430</stp>
        <tr r="L28" s="2"/>
      </tp>
      <tp t="s">
        <v>#N/A N/A</v>
        <stp/>
        <stp>BDH|2303392716188521934</stp>
        <tr r="AD62" s="2"/>
      </tp>
      <tp t="s">
        <v>#N/A N/A</v>
        <stp/>
        <stp>BDH|2381362088818203054</stp>
        <tr r="M41" s="2"/>
      </tp>
      <tp t="s">
        <v>#N/A N/A</v>
        <stp/>
        <stp>BDH|8432864544945806043</stp>
        <tr r="J31" s="2"/>
      </tp>
      <tp t="s">
        <v>#N/A N/A</v>
        <stp/>
        <stp>BDH|6956089252592110090</stp>
        <tr r="F34" s="2"/>
      </tp>
      <tp t="s">
        <v>#N/A N/A</v>
        <stp/>
        <stp>BDH|3017770138486292063</stp>
        <tr r="AC27" s="2"/>
      </tp>
      <tp t="s">
        <v>#N/A N/A</v>
        <stp/>
        <stp>BDH|9738685741029330357</stp>
        <tr r="F51" s="2"/>
      </tp>
      <tp t="s">
        <v>#N/A N/A</v>
        <stp/>
        <stp>BDH|2567518826953308791</stp>
        <tr r="AB25" s="2"/>
      </tp>
      <tp t="s">
        <v>#N/A N/A</v>
        <stp/>
        <stp>BDH|3739145723571935019</stp>
        <tr r="Y25" s="2"/>
      </tp>
      <tp t="s">
        <v>#N/A N/A</v>
        <stp/>
        <stp>BDH|2474390041456681223</stp>
        <tr r="AD47" s="2"/>
      </tp>
      <tp t="s">
        <v>#N/A N/A</v>
        <stp/>
        <stp>BDH|1142613438580903598</stp>
        <tr r="Q33" s="2"/>
      </tp>
      <tp t="s">
        <v>#N/A N/A</v>
        <stp/>
        <stp>BDH|4434655609732574146</stp>
        <tr r="AA34" s="2"/>
      </tp>
      <tp t="s">
        <v>#N/A N/A</v>
        <stp/>
        <stp>BDH|8015431585084647192</stp>
        <tr r="G17" s="2"/>
      </tp>
      <tp t="s">
        <v>#N/A N/A</v>
        <stp/>
        <stp>BDH|3772198002583098058</stp>
        <tr r="S29" s="2"/>
      </tp>
      <tp t="s">
        <v>#N/A N/A</v>
        <stp/>
        <stp>BDH|6009273211702125697</stp>
        <tr r="AE46" s="2"/>
      </tp>
      <tp t="s">
        <v>#N/A N/A</v>
        <stp/>
        <stp>BDH|8341313501739864356</stp>
        <tr r="AA30" s="2"/>
      </tp>
      <tp t="s">
        <v>#N/A N/A</v>
        <stp/>
        <stp>BDH|6891534112422219151</stp>
        <tr r="V64" s="2"/>
      </tp>
      <tp t="s">
        <v>#N/A N/A</v>
        <stp/>
        <stp>BDH|7212679471066200185</stp>
        <tr r="H46" s="2"/>
      </tp>
      <tp t="s">
        <v>#N/A N/A</v>
        <stp/>
        <stp>BDH|4648280077409661903</stp>
        <tr r="J13" s="2"/>
      </tp>
      <tp t="s">
        <v>#N/A N/A</v>
        <stp/>
        <stp>BDH|3209967127161807840</stp>
        <tr r="Z34" s="2"/>
      </tp>
      <tp t="s">
        <v>#N/A N/A</v>
        <stp/>
        <stp>BDH|7604528539048618841</stp>
        <tr r="AE59" s="2"/>
      </tp>
      <tp t="s">
        <v>#N/A N/A</v>
        <stp/>
        <stp>BDH|2282567059397730466</stp>
        <tr r="V7" s="2"/>
      </tp>
      <tp t="s">
        <v>#N/A N/A</v>
        <stp/>
        <stp>BDH|7809946882643434468</stp>
        <tr r="L15" s="2"/>
      </tp>
      <tp t="s">
        <v>#N/A N/A</v>
        <stp/>
        <stp>BDH|9326476730307899801</stp>
        <tr r="L48" s="2"/>
      </tp>
      <tp t="s">
        <v>#N/A N/A</v>
        <stp/>
        <stp>BDH|7958220616421217422</stp>
        <tr r="N31" s="2"/>
      </tp>
      <tp t="s">
        <v>#N/A N/A</v>
        <stp/>
        <stp>BDH|7872150538687070383</stp>
        <tr r="J12" s="2"/>
      </tp>
      <tp t="s">
        <v>#N/A N/A</v>
        <stp/>
        <stp>BDH|5728158331421908776</stp>
        <tr r="I43" s="2"/>
      </tp>
      <tp t="s">
        <v>#N/A N/A</v>
        <stp/>
        <stp>BDH|3957192815977040584</stp>
        <tr r="I41" s="2"/>
      </tp>
      <tp t="s">
        <v>#N/A N/A</v>
        <stp/>
        <stp>BDH|7599711118517841769</stp>
        <tr r="Z64" s="2"/>
      </tp>
      <tp t="s">
        <v>#N/A N/A</v>
        <stp/>
        <stp>BDH|2337350298920401989</stp>
        <tr r="AC50" s="2"/>
      </tp>
      <tp t="s">
        <v>#N/A N/A</v>
        <stp/>
        <stp>BDH|9132238537949249052</stp>
        <tr r="E9" s="2"/>
      </tp>
      <tp t="s">
        <v>#N/A N/A</v>
        <stp/>
        <stp>BDH|6942325273077916438</stp>
        <tr r="Z49" s="2"/>
      </tp>
      <tp t="s">
        <v>#N/A N/A</v>
        <stp/>
        <stp>BDH|3937374999261093951</stp>
        <tr r="AC43" s="2"/>
      </tp>
      <tp t="s">
        <v>#N/A N/A</v>
        <stp/>
        <stp>BDH|7901022206896777092</stp>
        <tr r="E53" s="2"/>
      </tp>
      <tp t="s">
        <v>#N/A N/A</v>
        <stp/>
        <stp>BDH|7707675451114666170</stp>
        <tr r="AB17" s="2"/>
      </tp>
      <tp t="s">
        <v>#N/A N/A</v>
        <stp/>
        <stp>BDH|8177081018210349824</stp>
        <tr r="X32" s="2"/>
      </tp>
      <tp t="s">
        <v>#N/A N/A</v>
        <stp/>
        <stp>BDH|4232090472792988004</stp>
        <tr r="I34" s="2"/>
      </tp>
      <tp t="s">
        <v>#N/A N/A</v>
        <stp/>
        <stp>BDH|7033018115822092552</stp>
        <tr r="T41" s="2"/>
      </tp>
      <tp t="s">
        <v>#N/A N/A</v>
        <stp/>
        <stp>BDH|3060207650257661205</stp>
        <tr r="N25" s="2"/>
      </tp>
      <tp t="s">
        <v>#N/A N/A</v>
        <stp/>
        <stp>BDH|1885865880833840301</stp>
        <tr r="T44" s="2"/>
      </tp>
      <tp t="s">
        <v>#N/A N/A</v>
        <stp/>
        <stp>BDH|1174520897015629942</stp>
        <tr r="AD63" s="2"/>
      </tp>
      <tp t="s">
        <v>#N/A N/A</v>
        <stp/>
        <stp>BDH|6231872483716342135</stp>
        <tr r="Y48" s="2"/>
      </tp>
      <tp t="s">
        <v>#N/A N/A</v>
        <stp/>
        <stp>BDH|2184306817260868181</stp>
        <tr r="K47" s="2"/>
      </tp>
      <tp t="s">
        <v>#N/A N/A</v>
        <stp/>
        <stp>BDH|3540826974318589512</stp>
        <tr r="F67" s="2"/>
      </tp>
      <tp t="s">
        <v>#N/A N/A</v>
        <stp/>
        <stp>BDH|9358148791650567041</stp>
        <tr r="AA12" s="2"/>
      </tp>
      <tp t="s">
        <v>#N/A N/A</v>
        <stp/>
        <stp>BDH|3924192245482789552</stp>
        <tr r="G19" s="2"/>
      </tp>
      <tp t="s">
        <v>#N/A N/A</v>
        <stp/>
        <stp>BDH|7166426382419235373</stp>
        <tr r="K30" s="2"/>
      </tp>
      <tp t="s">
        <v>#N/A N/A</v>
        <stp/>
        <stp>BDH|4137770321456432670</stp>
        <tr r="K49" s="2"/>
      </tp>
      <tp t="s">
        <v>#N/A N/A</v>
        <stp/>
        <stp>BDH|4838934936099036692</stp>
        <tr r="D61" s="2"/>
      </tp>
      <tp t="s">
        <v>#N/A N/A</v>
        <stp/>
        <stp>BDH|9296938282880172967</stp>
        <tr r="Y50" s="2"/>
      </tp>
      <tp t="s">
        <v>#N/A N/A</v>
        <stp/>
        <stp>BDH|6620766446945369113</stp>
        <tr r="J37" s="2"/>
      </tp>
      <tp t="s">
        <v>#N/A N/A</v>
        <stp/>
        <stp>BDH|9376273235629065058</stp>
        <tr r="V46" s="2"/>
      </tp>
      <tp t="s">
        <v>#N/A N/A</v>
        <stp/>
        <stp>BDH|4121224816924561246</stp>
        <tr r="V19" s="2"/>
      </tp>
      <tp t="s">
        <v>#N/A N/A</v>
        <stp/>
        <stp>BDH|5929423548434438024</stp>
        <tr r="H64" s="2"/>
      </tp>
      <tp t="s">
        <v>#N/A N/A</v>
        <stp/>
        <stp>BDH|9153444033147389801</stp>
        <tr r="S42" s="2"/>
      </tp>
      <tp t="s">
        <v>#N/A N/A</v>
        <stp/>
        <stp>BDH|3347554212823818591</stp>
        <tr r="R45" s="2"/>
      </tp>
      <tp t="s">
        <v>#N/A N/A</v>
        <stp/>
        <stp>BDH|3727482744374987676</stp>
        <tr r="O7" s="2"/>
      </tp>
      <tp t="s">
        <v>#N/A N/A</v>
        <stp/>
        <stp>BDH|4202518840400977703</stp>
        <tr r="M8" s="2"/>
      </tp>
      <tp t="s">
        <v>#N/A N/A</v>
        <stp/>
        <stp>BDH|3734786376972629344</stp>
        <tr r="N36" s="2"/>
      </tp>
      <tp t="s">
        <v>#N/A N/A</v>
        <stp/>
        <stp>BDH|5649210212840947477</stp>
        <tr r="I61" s="2"/>
      </tp>
      <tp t="s">
        <v>#N/A N/A</v>
        <stp/>
        <stp>BDH|8091880525788411816</stp>
        <tr r="Q7" s="2"/>
      </tp>
      <tp t="s">
        <v>#N/A N/A</v>
        <stp/>
        <stp>BDH|5938268566197764479</stp>
        <tr r="AF41" s="2"/>
      </tp>
      <tp t="s">
        <v>#N/A N/A</v>
        <stp/>
        <stp>BDH|8333809508296550478</stp>
        <tr r="I46" s="2"/>
      </tp>
      <tp t="s">
        <v>#N/A N/A</v>
        <stp/>
        <stp>BDH|6657874127058960661</stp>
        <tr r="AC44" s="2"/>
      </tp>
      <tp t="s">
        <v>#N/A N/A</v>
        <stp/>
        <stp>BDH|1140392546600874486</stp>
        <tr r="T33" s="2"/>
      </tp>
      <tp t="s">
        <v>#N/A N/A</v>
        <stp/>
        <stp>BDH|3122107029632411024</stp>
        <tr r="T60" s="2"/>
      </tp>
      <tp t="s">
        <v>#N/A N/A</v>
        <stp/>
        <stp>BDH|9386662819339697548</stp>
        <tr r="N30" s="2"/>
      </tp>
      <tp t="s">
        <v>#N/A N/A</v>
        <stp/>
        <stp>BDH|8599851267114917007</stp>
        <tr r="Y18" s="2"/>
      </tp>
      <tp t="s">
        <v>#N/A N/A</v>
        <stp/>
        <stp>BDH|9558462328589763434</stp>
        <tr r="AF67" s="2"/>
      </tp>
      <tp t="s">
        <v>#N/A N/A</v>
        <stp/>
        <stp>BDH|7957052147300516110</stp>
        <tr r="AE16" s="2"/>
      </tp>
      <tp t="s">
        <v>#N/A N/A</v>
        <stp/>
        <stp>BDH|1329501293748896779</stp>
        <tr r="G28" s="2"/>
      </tp>
      <tp t="s">
        <v>#N/A N/A</v>
        <stp/>
        <stp>BDH|4467867098724629332</stp>
        <tr r="X25" s="2"/>
      </tp>
      <tp t="s">
        <v>#N/A N/A</v>
        <stp/>
        <stp>BDH|6268199553193277353</stp>
        <tr r="L23" s="2"/>
      </tp>
      <tp t="s">
        <v>#N/A N/A</v>
        <stp/>
        <stp>BDH|2199169889771893893</stp>
        <tr r="U25" s="2"/>
      </tp>
      <tp t="s">
        <v>#N/A N/A</v>
        <stp/>
        <stp>BDH|6785281116102139576</stp>
        <tr r="X15" s="2"/>
      </tp>
      <tp t="s">
        <v>#N/A N/A</v>
        <stp/>
        <stp>BDH|2979879713681801885</stp>
        <tr r="U38" s="2"/>
      </tp>
      <tp t="s">
        <v>#N/A N/A</v>
        <stp/>
        <stp>BDH|5533326242361822108</stp>
        <tr r="N8" s="2"/>
      </tp>
      <tp t="s">
        <v>#N/A N/A</v>
        <stp/>
        <stp>BDH|7422640168075150048</stp>
        <tr r="AE15" s="2"/>
      </tp>
      <tp t="s">
        <v>#N/A N/A</v>
        <stp/>
        <stp>BDH|3496114470276296157</stp>
        <tr r="V38" s="2"/>
      </tp>
      <tp t="s">
        <v>#N/A N/A</v>
        <stp/>
        <stp>BDH|5545493459924050272</stp>
        <tr r="AC15" s="2"/>
      </tp>
      <tp t="s">
        <v>#N/A N/A</v>
        <stp/>
        <stp>BDH|5533609332041202371</stp>
        <tr r="AE48" s="2"/>
      </tp>
      <tp t="s">
        <v>#N/A N/A</v>
        <stp/>
        <stp>BDH|7293327367542403217</stp>
        <tr r="P36" s="2"/>
      </tp>
      <tp t="s">
        <v>#N/A N/A</v>
        <stp/>
        <stp>BDH|6457002648965849566</stp>
        <tr r="C22" s="2"/>
      </tp>
      <tp t="s">
        <v>#N/A N/A</v>
        <stp/>
        <stp>BDH|7438477894860008840</stp>
        <tr r="E64" s="2"/>
      </tp>
      <tp t="s">
        <v>#N/A N/A</v>
        <stp/>
        <stp>BDH|3580061952111623578</stp>
        <tr r="M30" s="2"/>
      </tp>
      <tp t="s">
        <v>#N/A N/A</v>
        <stp/>
        <stp>BDH|2824412329212444440</stp>
        <tr r="V13" s="2"/>
      </tp>
      <tp t="s">
        <v>#N/A N/A</v>
        <stp/>
        <stp>BDH|6690856552710654974</stp>
        <tr r="D10" s="2"/>
      </tp>
      <tp t="s">
        <v>#N/A N/A</v>
        <stp/>
        <stp>BDH|8885517732464900825</stp>
        <tr r="E37" s="2"/>
      </tp>
      <tp t="s">
        <v>#N/A N/A</v>
        <stp/>
        <stp>BDH|2352005419814969530</stp>
        <tr r="N15" s="2"/>
      </tp>
      <tp t="s">
        <v>#N/A N/A</v>
        <stp/>
        <stp>BDH|1627528334817272237</stp>
        <tr r="F12" s="2"/>
      </tp>
      <tp t="s">
        <v>#N/A N/A</v>
        <stp/>
        <stp>BDH|4204975993672477436</stp>
        <tr r="E7" s="2"/>
      </tp>
      <tp t="s">
        <v>#N/A N/A</v>
        <stp/>
        <stp>BDH|8070426367920251868</stp>
        <tr r="F50" s="2"/>
      </tp>
      <tp t="s">
        <v>#N/A N/A</v>
        <stp/>
        <stp>BDH|1721123734319965890</stp>
        <tr r="S15" s="2"/>
      </tp>
      <tp t="s">
        <v>#N/A N/A</v>
        <stp/>
        <stp>BDH|2741124270743778537</stp>
        <tr r="D18" s="2"/>
      </tp>
      <tp t="s">
        <v>#N/A N/A</v>
        <stp/>
        <stp>BDH|6916692960877138300</stp>
        <tr r="H31" s="2"/>
      </tp>
      <tp t="s">
        <v>#N/A N/A</v>
        <stp/>
        <stp>BDH|7924792131641782076</stp>
        <tr r="R48" s="2"/>
      </tp>
      <tp t="s">
        <v>#N/A N/A</v>
        <stp/>
        <stp>BDH|1032158186802060850</stp>
        <tr r="Z22" s="2"/>
      </tp>
      <tp t="s">
        <v>#N/A N/A</v>
        <stp/>
        <stp>BDH|3462353980039244356</stp>
        <tr r="AC29" s="2"/>
      </tp>
      <tp t="s">
        <v>#N/A N/A</v>
        <stp/>
        <stp>BDH|3911684729907954272</stp>
        <tr r="E33" s="2"/>
      </tp>
      <tp t="s">
        <v>#N/A N/A</v>
        <stp/>
        <stp>BDH|6142449164664020274</stp>
        <tr r="AF18" s="2"/>
      </tp>
      <tp t="s">
        <v>#N/A N/A</v>
        <stp/>
        <stp>BDH|8164138019228989249</stp>
        <tr r="C47" s="2"/>
      </tp>
      <tp t="s">
        <v>#N/A N/A</v>
        <stp/>
        <stp>BDH|6629161774251207312</stp>
        <tr r="X49" s="2"/>
      </tp>
      <tp t="s">
        <v>#N/A N/A</v>
        <stp/>
        <stp>BDH|4129433464190019419</stp>
        <tr r="D8" s="2"/>
      </tp>
      <tp t="s">
        <v>#N/A N/A</v>
        <stp/>
        <stp>BDH|9065027849819410687</stp>
        <tr r="AB16" s="2"/>
      </tp>
      <tp t="s">
        <v>#N/A N/A</v>
        <stp/>
        <stp>BDH|5496082635791843567</stp>
        <tr r="K22" s="2"/>
      </tp>
      <tp t="s">
        <v>#N/A N/A</v>
        <stp/>
        <stp>BDH|5507668169833968474</stp>
        <tr r="J61" s="2"/>
      </tp>
      <tp t="s">
        <v>#N/A N/A</v>
        <stp/>
        <stp>BDH|6745601522895910588</stp>
        <tr r="G12" s="2"/>
      </tp>
      <tp t="s">
        <v>#N/A N/A</v>
        <stp/>
        <stp>BDH|5130135177781139004</stp>
        <tr r="F41" s="2"/>
      </tp>
      <tp t="s">
        <v>#N/A N/A</v>
        <stp/>
        <stp>BDH|2276339443643743417</stp>
        <tr r="AC32" s="2"/>
      </tp>
      <tp t="s">
        <v>#N/A N/A</v>
        <stp/>
        <stp>BDH|6821421035895202696</stp>
        <tr r="M13" s="2"/>
      </tp>
      <tp t="s">
        <v>#N/A N/A</v>
        <stp/>
        <stp>BDH|4224343282359344424</stp>
        <tr r="E26" s="2"/>
      </tp>
      <tp t="s">
        <v>#N/A N/A</v>
        <stp/>
        <stp>BDH|9669127063704661845</stp>
        <tr r="AC22" s="2"/>
      </tp>
      <tp t="s">
        <v>#N/A N/A</v>
        <stp/>
        <stp>BDH|3897025619097935602</stp>
        <tr r="L64" s="2"/>
      </tp>
      <tp t="s">
        <v>#N/A N/A</v>
        <stp/>
        <stp>BDH|9769736288256651309</stp>
        <tr r="Z61" s="2"/>
      </tp>
      <tp t="s">
        <v>#N/A N/A</v>
        <stp/>
        <stp>BDH|4334339358012073334</stp>
        <tr r="X34" s="2"/>
      </tp>
      <tp t="s">
        <v>#N/A N/A</v>
        <stp/>
        <stp>BDH|6183105698114756952</stp>
        <tr r="I63" s="2"/>
      </tp>
      <tp t="s">
        <v>#N/A N/A</v>
        <stp/>
        <stp>BDH|8453276600398238190</stp>
        <tr r="T63" s="2"/>
      </tp>
      <tp t="s">
        <v>#N/A N/A</v>
        <stp/>
        <stp>BDH|5696623713774974564</stp>
        <tr r="G65" s="2"/>
      </tp>
      <tp t="s">
        <v>#N/A N/A</v>
        <stp/>
        <stp>BDH|5218905002237918805</stp>
        <tr r="M51" s="2"/>
      </tp>
      <tp t="s">
        <v>#N/A N/A</v>
        <stp/>
        <stp>BDH|1974490765230897049</stp>
        <tr r="AF45" s="2"/>
      </tp>
      <tp t="s">
        <v>#N/A N/A</v>
        <stp/>
        <stp>BDH|2484323130819949861</stp>
        <tr r="J33" s="2"/>
      </tp>
      <tp t="s">
        <v>#N/A N/A</v>
        <stp/>
        <stp>BDH|2702040654806824261</stp>
        <tr r="P46" s="2"/>
      </tp>
      <tp t="s">
        <v>#N/A N/A</v>
        <stp/>
        <stp>BDH|8716016740437906813</stp>
        <tr r="W62" s="2"/>
      </tp>
      <tp t="s">
        <v>#N/A N/A</v>
        <stp/>
        <stp>BDH|9001353198843447376</stp>
        <tr r="M42" s="2"/>
      </tp>
      <tp t="s">
        <v>#N/A N/A</v>
        <stp/>
        <stp>BDH|8103512444808229287</stp>
        <tr r="K15" s="2"/>
      </tp>
      <tp t="s">
        <v>#N/A N/A</v>
        <stp/>
        <stp>BDH|7022028338680325770</stp>
        <tr r="R17" s="2"/>
      </tp>
      <tp t="s">
        <v>#N/A N/A</v>
        <stp/>
        <stp>BDH|9331470949472569876</stp>
        <tr r="Q36" s="2"/>
      </tp>
      <tp t="s">
        <v>#N/A N/A</v>
        <stp/>
        <stp>BDH|2629621759817366517</stp>
        <tr r="U13" s="2"/>
      </tp>
      <tp t="s">
        <v>#N/A N/A</v>
        <stp/>
        <stp>BDH|6801050784965744822</stp>
        <tr r="M15" s="2"/>
      </tp>
      <tp t="s">
        <v>#N/A N/A</v>
        <stp/>
        <stp>BDH|8474838909934326701</stp>
        <tr r="Y51" s="2"/>
      </tp>
      <tp t="s">
        <v>#N/A N/A</v>
        <stp/>
        <stp>BDH|6509552043600600481</stp>
        <tr r="AF32" s="2"/>
      </tp>
      <tp t="s">
        <v>#N/A N/A</v>
        <stp/>
        <stp>BDH|1152940588970765371</stp>
        <tr r="G60" s="2"/>
      </tp>
      <tp t="s">
        <v>#N/A N/A</v>
        <stp/>
        <stp>BDH|6336269566379580845</stp>
        <tr r="C59" s="2"/>
      </tp>
      <tp t="s">
        <v>#N/A N/A</v>
        <stp/>
        <stp>BDH|1217495067789913979</stp>
        <tr r="X10" s="2"/>
      </tp>
      <tp t="s">
        <v>#N/A N/A</v>
        <stp/>
        <stp>BDH|5899792314484493425</stp>
        <tr r="O65" s="2"/>
      </tp>
      <tp t="s">
        <v>#N/A N/A</v>
        <stp/>
        <stp>BDH|5942753569265005260</stp>
        <tr r="G44" s="2"/>
      </tp>
      <tp t="s">
        <v>#N/A N/A</v>
        <stp/>
        <stp>BDH|1029618343364789468</stp>
        <tr r="T36" s="2"/>
      </tp>
      <tp t="s">
        <v>#N/A N/A</v>
        <stp/>
        <stp>BDH|1629282700335756593</stp>
        <tr r="T29" s="2"/>
      </tp>
      <tp t="s">
        <v>#N/A N/A</v>
        <stp/>
        <stp>BDH|8187151391234040755</stp>
        <tr r="K41" s="2"/>
      </tp>
      <tp t="s">
        <v>#N/A N/A</v>
        <stp/>
        <stp>BDH|9470087811648556389</stp>
        <tr r="M32" s="2"/>
      </tp>
      <tp t="s">
        <v>#N/A N/A</v>
        <stp/>
        <stp>BDH|9365823302575704751</stp>
        <tr r="Z30" s="2"/>
      </tp>
      <tp t="s">
        <v>#N/A N/A</v>
        <stp/>
        <stp>BDH|4854858159943057951</stp>
        <tr r="Q31" s="2"/>
      </tp>
      <tp t="s">
        <v>#N/A N/A</v>
        <stp/>
        <stp>BDH|3137279357011400647</stp>
        <tr r="AF63" s="2"/>
      </tp>
      <tp t="s">
        <v>#N/A N/A</v>
        <stp/>
        <stp>BDH|5754634710411204009</stp>
        <tr r="H67" s="2"/>
      </tp>
      <tp t="s">
        <v>#N/A N/A</v>
        <stp/>
        <stp>BDH|8757643854731491956</stp>
        <tr r="P63" s="2"/>
      </tp>
      <tp t="s">
        <v>#N/A N/A</v>
        <stp/>
        <stp>BDH|4651813536444218848</stp>
        <tr r="W11" s="2"/>
      </tp>
      <tp t="s">
        <v>#N/A N/A</v>
        <stp/>
        <stp>BDH|7635631219970315380</stp>
        <tr r="H61" s="2"/>
      </tp>
      <tp t="s">
        <v>#N/A N/A</v>
        <stp/>
        <stp>BDH|3691811197181646010</stp>
        <tr r="V62" s="2"/>
      </tp>
      <tp t="s">
        <v>#N/A N/A</v>
        <stp/>
        <stp>BDH|6949919989477254379</stp>
        <tr r="E47" s="2"/>
      </tp>
      <tp t="s">
        <v>#N/A N/A</v>
        <stp/>
        <stp>BDH|2877532449161567136</stp>
        <tr r="G24" s="2"/>
      </tp>
      <tp t="s">
        <v>#N/A N/A</v>
        <stp/>
        <stp>BDH|4377751836665431604</stp>
        <tr r="I64" s="2"/>
      </tp>
      <tp t="s">
        <v>#N/A N/A</v>
        <stp/>
        <stp>BDH|3387428474944577748</stp>
        <tr r="AF9" s="2"/>
      </tp>
      <tp t="s">
        <v>#N/A N/A</v>
        <stp/>
        <stp>BDH|3247378676084004076</stp>
        <tr r="AD26" s="2"/>
      </tp>
      <tp t="s">
        <v>#N/A N/A</v>
        <stp/>
        <stp>BDH|90656574209447654</stp>
        <tr r="G64" s="2"/>
      </tp>
      <tp t="s">
        <v>#N/A N/A</v>
        <stp/>
        <stp>BDH|912000140829622809</stp>
        <tr r="T32" s="2"/>
      </tp>
      <tp t="s">
        <v>#N/A N/A</v>
        <stp/>
        <stp>BDH|532319426423943736</stp>
        <tr r="J26" s="2"/>
      </tp>
      <tp t="s">
        <v>#N/A N/A</v>
        <stp/>
        <stp>BDH|825417122713355013</stp>
        <tr r="J18" s="2"/>
      </tp>
      <tp t="s">
        <v>#N/A N/A</v>
        <stp/>
        <stp>BDH|872054156172961299</stp>
        <tr r="I7" s="2"/>
      </tp>
      <tp t="s">
        <v>#N/A N/A</v>
        <stp/>
        <stp>BDH|995596816740510151</stp>
        <tr r="AE18" s="2"/>
      </tp>
      <tp t="s">
        <v>#N/A N/A</v>
        <stp/>
        <stp>BDH|702462815815300489</stp>
        <tr r="AC33" s="2"/>
      </tp>
      <tp t="s">
        <v>#N/A N/A</v>
        <stp/>
        <stp>BDH|812600653455235266</stp>
        <tr r="T25" s="2"/>
      </tp>
      <tp t="s">
        <v>#N/A N/A</v>
        <stp/>
        <stp>BDH|997528396900713837</stp>
        <tr r="L35" s="2"/>
      </tp>
      <tp t="s">
        <v>#N/A N/A</v>
        <stp/>
        <stp>BDH|473370892186507818</stp>
        <tr r="AC46" s="2"/>
      </tp>
      <tp t="s">
        <v>#N/A N/A</v>
        <stp/>
        <stp>BDH|615898308625697968</stp>
        <tr r="Q19" s="2"/>
      </tp>
      <tp t="s">
        <v>#N/A N/A</v>
        <stp/>
        <stp>BDH|273649052512112698</stp>
        <tr r="R15" s="2"/>
      </tp>
      <tp t="s">
        <v>#N/A N/A</v>
        <stp/>
        <stp>BDH|724236214214204047</stp>
        <tr r="F42" s="2"/>
      </tp>
      <tp t="s">
        <v>#N/A N/A</v>
        <stp/>
        <stp>BDH|708957756328733334</stp>
        <tr r="S27" s="2"/>
      </tp>
      <tp t="s">
        <v>#N/A N/A</v>
        <stp/>
        <stp>BDH|135711023666502461</stp>
        <tr r="G26" s="2"/>
      </tp>
      <tp t="s">
        <v>#N/A N/A</v>
        <stp/>
        <stp>BDH|443869220408704540</stp>
        <tr r="AF60" s="2"/>
      </tp>
      <tp t="s">
        <v>#N/A N/A</v>
        <stp/>
        <stp>BDH|399580335777441749</stp>
        <tr r="E17" s="2"/>
      </tp>
      <tp t="s">
        <v>#N/A N/A</v>
        <stp/>
        <stp>BDH|254381909815091095</stp>
        <tr r="L46" s="2"/>
      </tp>
      <tp t="s">
        <v>#N/A N/A</v>
        <stp/>
        <stp>BDH|533428546857207131</stp>
        <tr r="O64" s="2"/>
      </tp>
      <tp t="s">
        <v>#N/A N/A</v>
        <stp/>
        <stp>BDH|459223810917465234</stp>
        <tr r="AA61" s="2"/>
      </tp>
      <tp t="s">
        <v>#N/A N/A</v>
        <stp/>
        <stp>BDH|812378601835928050</stp>
        <tr r="O19" s="2"/>
      </tp>
      <tp t="s">
        <v>#N/A N/A</v>
        <stp/>
        <stp>BDH|563366614166822538</stp>
        <tr r="D36" s="2"/>
      </tp>
      <tp t="s">
        <v>#N/A N/A</v>
        <stp/>
        <stp>BDH|586612033225106153</stp>
        <tr r="C51" s="2"/>
      </tp>
      <tp t="s">
        <v>#N/A N/A</v>
        <stp/>
        <stp>BDH|657584935007567176</stp>
        <tr r="K48" s="2"/>
      </tp>
      <tp t="s">
        <v>#N/A N/A</v>
        <stp/>
        <stp>BDH|344907388485544458</stp>
        <tr r="G35" s="2"/>
      </tp>
      <tp t="s">
        <v>#N/A N/A</v>
        <stp/>
        <stp>BDH|561073587878483058</stp>
        <tr r="I25" s="2"/>
      </tp>
      <tp t="s">
        <v>#N/A N/A</v>
        <stp/>
        <stp>BDH|360325145504009326</stp>
        <tr r="X30" s="2"/>
      </tp>
      <tp t="s">
        <v>#N/A N/A</v>
        <stp/>
        <stp>BDH|693013567427266124</stp>
        <tr r="G25" s="2"/>
      </tp>
      <tp t="s">
        <v>#N/A N/A</v>
        <stp/>
        <stp>BDH|475787547700766011</stp>
        <tr r="D31" s="2"/>
      </tp>
      <tp t="s">
        <v>#N/A N/A</v>
        <stp/>
        <stp>BDH|395329704843391392</stp>
        <tr r="U24" s="2"/>
      </tp>
      <tp t="s">
        <v>#N/A N/A</v>
        <stp/>
        <stp>BDH|937126802791975394</stp>
        <tr r="W25" s="2"/>
      </tp>
      <tp t="s">
        <v>#N/A N/A</v>
        <stp/>
        <stp>BDH|154738604387233332</stp>
        <tr r="J23" s="2"/>
      </tp>
      <tp t="s">
        <v>#N/A N/A</v>
        <stp/>
        <stp>BDH|555635732610123673</stp>
        <tr r="V28" s="2"/>
      </tp>
      <tp t="s">
        <v>#N/A N/A</v>
        <stp/>
        <stp>BDH|615625846474354482</stp>
        <tr r="AA13" s="2"/>
      </tp>
      <tp t="s">
        <v>#N/A N/A</v>
        <stp/>
        <stp>BDH|483742418266145224</stp>
        <tr r="AF22" s="2"/>
      </tp>
      <tp t="s">
        <v>#N/A N/A</v>
        <stp/>
        <stp>BDH|565446343764435634</stp>
        <tr r="L10" s="2"/>
      </tp>
      <tp t="s">
        <v>#N/A N/A</v>
        <stp/>
        <stp>BDH|676458761116751663</stp>
        <tr r="N51" s="2"/>
      </tp>
      <tp t="s">
        <v>#N/A N/A</v>
        <stp/>
        <stp>BDH|523290141549670235</stp>
        <tr r="D63" s="2"/>
      </tp>
      <tp t="s">
        <v>#N/A N/A</v>
        <stp/>
        <stp>BDH|624311796641763635</stp>
        <tr r="T45" s="2"/>
      </tp>
      <tp t="s">
        <v>#N/A N/A</v>
        <stp/>
        <stp>BDH|371943947157705711</stp>
        <tr r="J29" s="2"/>
      </tp>
      <tp t="s">
        <v>#N/A N/A</v>
        <stp/>
        <stp>BDH|888417626649341364</stp>
        <tr r="O29" s="2"/>
      </tp>
      <tp t="s">
        <v>#N/A N/A</v>
        <stp/>
        <stp>BDH|245487244364469802</stp>
        <tr r="C61" s="2"/>
      </tp>
      <tp t="s">
        <v>#N/A N/A</v>
        <stp/>
        <stp>BDH|193992052243106306</stp>
        <tr r="AA9" s="2"/>
      </tp>
      <tp t="s">
        <v>#N/A N/A</v>
        <stp/>
        <stp>BDH|264170188733083690</stp>
        <tr r="D33" s="2"/>
      </tp>
      <tp t="s">
        <v>#N/A N/A</v>
        <stp/>
        <stp>BDH|300867316581216419</stp>
        <tr r="X22" s="2"/>
      </tp>
      <tp t="s">
        <v>#N/A N/A</v>
        <stp/>
        <stp>BDH|716411381995727525</stp>
        <tr r="D59" s="2"/>
      </tp>
      <tp t="s">
        <v>#N/A N/A</v>
        <stp/>
        <stp>BDH|774628220732031997</stp>
        <tr r="AB38" s="2"/>
      </tp>
      <tp t="s">
        <v>#N/A N/A</v>
        <stp/>
        <stp>BDH|583063238428735417</stp>
        <tr r="AF19" s="2"/>
      </tp>
      <tp t="s">
        <v>#N/A N/A</v>
        <stp/>
        <stp>BDH|869702531563204827</stp>
        <tr r="P65" s="2"/>
      </tp>
      <tp t="s">
        <v>#N/A N/A</v>
        <stp/>
        <stp>BDH|475765493029231878</stp>
        <tr r="AA43" s="2"/>
      </tp>
      <tp t="s">
        <v>#N/A N/A</v>
        <stp/>
        <stp>BDH|460367188610850465</stp>
        <tr r="Q53" s="2"/>
      </tp>
      <tp t="s">
        <v>#N/A N/A</v>
        <stp/>
        <stp>BDH|207277083714095113</stp>
        <tr r="W29" s="2"/>
      </tp>
      <tp t="s">
        <v>#N/A N/A</v>
        <stp/>
        <stp>BDH|289403742498199653</stp>
        <tr r="H42" s="2"/>
      </tp>
      <tp t="s">
        <v>#N/A N/A</v>
        <stp/>
        <stp>BDH|370162997350070606</stp>
        <tr r="G14" s="2"/>
      </tp>
      <tp t="s">
        <v>#N/A N/A</v>
        <stp/>
        <stp>BDH|100929770172212229</stp>
        <tr r="W22" s="2"/>
      </tp>
      <tp t="s">
        <v>#N/A N/A</v>
        <stp/>
        <stp>BDH|995580278349053259</stp>
        <tr r="D49" s="2"/>
      </tp>
      <tp t="s">
        <v>#N/A N/A</v>
        <stp/>
        <stp>BDH|881654320598059529</stp>
        <tr r="Z8" s="2"/>
      </tp>
      <tp t="s">
        <v>#N/A N/A</v>
        <stp/>
        <stp>BDH|391145191696587783</stp>
        <tr r="X48" s="2"/>
      </tp>
      <tp t="s">
        <v>#N/A N/A</v>
        <stp/>
        <stp>BDH|518970103155601521</stp>
        <tr r="Z11" s="2"/>
      </tp>
      <tp t="s">
        <v>#N/A N/A</v>
        <stp/>
        <stp>BDH|438536010795770829</stp>
        <tr r="D28" s="2"/>
      </tp>
      <tp t="s">
        <v>#N/A N/A</v>
        <stp/>
        <stp>BDH|919427659110414852</stp>
        <tr r="G8" s="2"/>
      </tp>
      <tp t="s">
        <v>#N/A N/A</v>
        <stp/>
        <stp>BDH|500851982599942135</stp>
        <tr r="D12" s="2"/>
      </tp>
      <tp t="s">
        <v>#N/A N/A</v>
        <stp/>
        <stp>BDH|372761210058168613</stp>
        <tr r="AF33" s="2"/>
      </tp>
      <tp t="s">
        <v>#N/A N/A</v>
        <stp/>
        <stp>BDH|978518192903994712</stp>
        <tr r="D13" s="2"/>
      </tp>
      <tp t="s">
        <v>#N/A N/A</v>
        <stp/>
        <stp>BDH|375512572860439983</stp>
        <tr r="H7" s="2"/>
      </tp>
      <tp t="s">
        <v>#N/A N/A</v>
        <stp/>
        <stp>BDH|287345238449332238</stp>
        <tr r="Q68" s="2"/>
      </tp>
      <tp t="s">
        <v>#N/A N/A</v>
        <stp/>
        <stp>BDH|861321111108073073</stp>
        <tr r="W24" s="2"/>
      </tp>
      <tp t="s">
        <v>#N/A N/A</v>
        <stp/>
        <stp>BDH|745383743629839419</stp>
        <tr r="Q9" s="2"/>
      </tp>
      <tp t="s">
        <v>#N/A N/A</v>
        <stp/>
        <stp>BDH|848654368972375806</stp>
        <tr r="U44" s="2"/>
      </tp>
      <tp t="s">
        <v>#N/A N/A</v>
        <stp/>
        <stp>BDH|355205198413315288</stp>
        <tr r="L30" s="2"/>
      </tp>
      <tp t="s">
        <v>#N/A N/A</v>
        <stp/>
        <stp>BDH|445606861973611917</stp>
        <tr r="D64" s="2"/>
      </tp>
      <tp t="s">
        <v>#N/A N/A</v>
        <stp/>
        <stp>BDH|564120071568409411</stp>
        <tr r="M22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69"/>
  <sheetViews>
    <sheetView tabSelected="1" workbookViewId="0"/>
  </sheetViews>
  <sheetFormatPr defaultRowHeight="15" x14ac:dyDescent="0.25"/>
  <cols>
    <col min="1" max="1" width="35.140625" customWidth="1"/>
    <col min="2" max="2" width="0" hidden="1" customWidth="1"/>
    <col min="3" max="32" width="11.85546875" customWidth="1"/>
  </cols>
  <sheetData>
    <row r="1" spans="1:3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ht="20.25" x14ac:dyDescent="0.25">
      <c r="A2" s="8" t="s">
        <v>2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</row>
    <row r="3" spans="1:32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spans="1:32" x14ac:dyDescent="0.25">
      <c r="A4" s="3" t="s">
        <v>3</v>
      </c>
      <c r="B4" s="3"/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4" t="s">
        <v>26</v>
      </c>
      <c r="Z4" s="4" t="s">
        <v>27</v>
      </c>
      <c r="AA4" s="4" t="s">
        <v>28</v>
      </c>
      <c r="AB4" s="4" t="s">
        <v>29</v>
      </c>
      <c r="AC4" s="4" t="s">
        <v>30</v>
      </c>
      <c r="AD4" s="4" t="s">
        <v>31</v>
      </c>
      <c r="AE4" s="4" t="s">
        <v>32</v>
      </c>
      <c r="AF4" s="4" t="s">
        <v>33</v>
      </c>
    </row>
    <row r="5" spans="1:32" x14ac:dyDescent="0.25">
      <c r="A5" s="9" t="s">
        <v>34</v>
      </c>
      <c r="B5" s="9"/>
      <c r="C5" s="5" t="s">
        <v>35</v>
      </c>
      <c r="D5" s="5" t="s">
        <v>36</v>
      </c>
      <c r="E5" s="5" t="s">
        <v>37</v>
      </c>
      <c r="F5" s="5" t="s">
        <v>38</v>
      </c>
      <c r="G5" s="5" t="s">
        <v>39</v>
      </c>
      <c r="H5" s="5" t="s">
        <v>40</v>
      </c>
      <c r="I5" s="5" t="s">
        <v>41</v>
      </c>
      <c r="J5" s="5" t="s">
        <v>42</v>
      </c>
      <c r="K5" s="5" t="s">
        <v>43</v>
      </c>
      <c r="L5" s="5" t="s">
        <v>44</v>
      </c>
      <c r="M5" s="5" t="s">
        <v>45</v>
      </c>
      <c r="N5" s="5" t="s">
        <v>46</v>
      </c>
      <c r="O5" s="5" t="s">
        <v>47</v>
      </c>
      <c r="P5" s="5" t="s">
        <v>48</v>
      </c>
      <c r="Q5" s="5" t="s">
        <v>49</v>
      </c>
      <c r="R5" s="5" t="s">
        <v>50</v>
      </c>
      <c r="S5" s="5" t="s">
        <v>51</v>
      </c>
      <c r="T5" s="5" t="s">
        <v>52</v>
      </c>
      <c r="U5" s="5" t="s">
        <v>53</v>
      </c>
      <c r="V5" s="5" t="s">
        <v>54</v>
      </c>
      <c r="W5" s="5" t="s">
        <v>55</v>
      </c>
      <c r="X5" s="5" t="s">
        <v>56</v>
      </c>
      <c r="Y5" s="5" t="s">
        <v>57</v>
      </c>
      <c r="Z5" s="5" t="s">
        <v>58</v>
      </c>
      <c r="AA5" s="5" t="s">
        <v>59</v>
      </c>
      <c r="AB5" s="5" t="s">
        <v>60</v>
      </c>
      <c r="AC5" s="5" t="s">
        <v>61</v>
      </c>
      <c r="AD5" s="5" t="s">
        <v>62</v>
      </c>
      <c r="AE5" s="5" t="s">
        <v>63</v>
      </c>
      <c r="AF5" s="5" t="s">
        <v>64</v>
      </c>
    </row>
    <row r="6" spans="1:32" x14ac:dyDescent="0.25">
      <c r="A6" s="6" t="s">
        <v>65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</row>
    <row r="7" spans="1:32" x14ac:dyDescent="0.25">
      <c r="A7" s="10" t="s">
        <v>66</v>
      </c>
      <c r="B7" s="10" t="s">
        <v>67</v>
      </c>
      <c r="C7" s="12" cm="1">
        <f t="array" ref="C7">_xll.BDH("NUE US Equity","CF_NET_INC","FQ3 2018","FQ3 2018","Currency=USD","Period=FQ","BEST_FPERIOD_OVERRIDE=FQ","FILING_STATUS=MR","SCALING_FORMAT=MLN","Sort=A","Dates=H","DateFormat=P","Fill=—","Direction=H","UseDPDF=Y")</f>
        <v>676.65599999999995</v>
      </c>
      <c r="D7" s="12" cm="1">
        <f t="array" ref="D7">_xll.BDH("NUE US Equity","CF_NET_INC","FQ4 2018","FQ4 2018","Currency=USD","Period=FQ","BEST_FPERIOD_OVERRIDE=FQ","FILING_STATUS=MR","SCALING_FORMAT=MLN","Sort=A","Dates=H","DateFormat=P","Fill=—","Direction=H","UseDPDF=Y")</f>
        <v>646.779</v>
      </c>
      <c r="E7" s="12" cm="1">
        <f t="array" ref="E7">_xll.BDH("NUE US Equity","CF_NET_INC","FQ1 2019","FQ1 2019","Currency=USD","Period=FQ","BEST_FPERIOD_OVERRIDE=FQ","FILING_STATUS=MR","SCALING_FORMAT=MLN","Sort=A","Dates=H","DateFormat=P","Fill=—","Direction=H","UseDPDF=Y")</f>
        <v>501.80599999999998</v>
      </c>
      <c r="F7" s="12" cm="1">
        <f t="array" ref="F7">_xll.BDH("NUE US Equity","CF_NET_INC","FQ2 2019","FQ2 2019","Currency=USD","Period=FQ","BEST_FPERIOD_OVERRIDE=FQ","FILING_STATUS=MR","SCALING_FORMAT=MLN","Sort=A","Dates=H","DateFormat=P","Fill=—","Direction=H","UseDPDF=Y")</f>
        <v>386.483</v>
      </c>
      <c r="G7" s="12" cm="1">
        <f t="array" ref="G7">_xll.BDH("NUE US Equity","CF_NET_INC","FQ3 2019","FQ3 2019","Currency=USD","Period=FQ","BEST_FPERIOD_OVERRIDE=FQ","FILING_STATUS=MR","SCALING_FORMAT=MLN","Sort=A","Dates=H","DateFormat=P","Fill=—","Direction=H","UseDPDF=Y")</f>
        <v>275.03100000000001</v>
      </c>
      <c r="H7" s="12" cm="1">
        <f t="array" ref="H7">_xll.BDH("NUE US Equity","CF_NET_INC","FQ4 2019","FQ4 2019","Currency=USD","Period=FQ","BEST_FPERIOD_OVERRIDE=FQ","FILING_STATUS=MR","SCALING_FORMAT=MLN","Sort=A","Dates=H","DateFormat=P","Fill=—","Direction=H","UseDPDF=Y")</f>
        <v>107.82299999999999</v>
      </c>
      <c r="I7" s="12" cm="1">
        <f t="array" ref="I7">_xll.BDH("NUE US Equity","CF_NET_INC","FQ1 2020","FQ1 2020","Currency=USD","Period=FQ","BEST_FPERIOD_OVERRIDE=FQ","FILING_STATUS=MR","SCALING_FORMAT=MLN","Sort=A","Dates=H","DateFormat=P","Fill=—","Direction=H","UseDPDF=Y")</f>
        <v>20.331</v>
      </c>
      <c r="J7" s="12" cm="1">
        <f t="array" ref="J7">_xll.BDH("NUE US Equity","CF_NET_INC","FQ2 2020","FQ2 2020","Currency=USD","Period=FQ","BEST_FPERIOD_OVERRIDE=FQ","FILING_STATUS=MR","SCALING_FORMAT=MLN","Sort=A","Dates=H","DateFormat=P","Fill=—","Direction=H","UseDPDF=Y")</f>
        <v>108.881</v>
      </c>
      <c r="K7" s="12" cm="1">
        <f t="array" ref="K7">_xll.BDH("NUE US Equity","CF_NET_INC","FQ3 2020","FQ3 2020","Currency=USD","Period=FQ","BEST_FPERIOD_OVERRIDE=FQ","FILING_STATUS=MR","SCALING_FORMAT=MLN","Sort=A","Dates=H","DateFormat=P","Fill=—","Direction=H","UseDPDF=Y")</f>
        <v>193.41499999999999</v>
      </c>
      <c r="L7" s="12" cm="1">
        <f t="array" ref="L7">_xll.BDH("NUE US Equity","CF_NET_INC","FQ4 2020","FQ4 2020","Currency=USD","Period=FQ","BEST_FPERIOD_OVERRIDE=FQ","FILING_STATUS=MR","SCALING_FORMAT=MLN","Sort=A","Dates=H","DateFormat=P","Fill=—","Direction=H","UseDPDF=Y")</f>
        <v>398.84300000000002</v>
      </c>
      <c r="M7" s="12" cm="1">
        <f t="array" ref="M7">_xll.BDH("NUE US Equity","CF_NET_INC","FQ1 2021","FQ1 2021","Currency=USD","Period=FQ","BEST_FPERIOD_OVERRIDE=FQ","FILING_STATUS=MR","SCALING_FORMAT=MLN","Sort=A","Dates=H","DateFormat=P","Fill=—","Direction=H","UseDPDF=Y")</f>
        <v>942.43200000000002</v>
      </c>
      <c r="N7" s="12" cm="1">
        <f t="array" ref="N7">_xll.BDH("NUE US Equity","CF_NET_INC","FQ2 2021","FQ2 2021","Currency=USD","Period=FQ","BEST_FPERIOD_OVERRIDE=FQ","FILING_STATUS=MR","SCALING_FORMAT=MLN","Sort=A","Dates=H","DateFormat=P","Fill=—","Direction=H","UseDPDF=Y")</f>
        <v>1506.8679999999999</v>
      </c>
      <c r="O7" s="12" cm="1">
        <f t="array" ref="O7">_xll.BDH("NUE US Equity","CF_NET_INC","FQ3 2021","FQ3 2021","Currency=USD","Period=FQ","BEST_FPERIOD_OVERRIDE=FQ","FILING_STATUS=MR","SCALING_FORMAT=MLN","Sort=A","Dates=H","DateFormat=P","Fill=—","Direction=H","UseDPDF=Y")</f>
        <v>2127.7429999999999</v>
      </c>
      <c r="P7" s="12" cm="1">
        <f t="array" ref="P7">_xll.BDH("NUE US Equity","CF_NET_INC","FQ4 2021","FQ4 2021","Currency=USD","Period=FQ","BEST_FPERIOD_OVERRIDE=FQ","FILING_STATUS=MR","SCALING_FORMAT=MLN","Sort=A","Dates=H","DateFormat=P","Fill=—","Direction=H","UseDPDF=Y")</f>
        <v>2250.4180000000001</v>
      </c>
      <c r="Q7" s="12" cm="1">
        <f t="array" ref="Q7">_xll.BDH("NUE US Equity","CF_NET_INC","FQ1 2022","FQ1 2022","Currency=USD","Period=FQ","BEST_FPERIOD_OVERRIDE=FQ","FILING_STATUS=MR","SCALING_FORMAT=MLN","Sort=A","Dates=H","DateFormat=P","Fill=—","Direction=H","UseDPDF=Y")</f>
        <v>2095.623</v>
      </c>
      <c r="R7" s="12" cm="1">
        <f t="array" ref="R7">_xll.BDH("NUE US Equity","CF_NET_INC","FQ2 2022","FQ2 2022","Currency=USD","Period=FQ","BEST_FPERIOD_OVERRIDE=FQ","FILING_STATUS=MR","SCALING_FORMAT=MLN","Sort=A","Dates=H","DateFormat=P","Fill=—","Direction=H","UseDPDF=Y")</f>
        <v>2561.2330000000002</v>
      </c>
      <c r="S7" s="12" cm="1">
        <f t="array" ref="S7">_xll.BDH("NUE US Equity","CF_NET_INC","FQ3 2022","FQ3 2022","Currency=USD","Period=FQ","BEST_FPERIOD_OVERRIDE=FQ","FILING_STATUS=MR","SCALING_FORMAT=MLN","Sort=A","Dates=H","DateFormat=P","Fill=—","Direction=H","UseDPDF=Y")</f>
        <v>1694.748</v>
      </c>
      <c r="T7" s="12" cm="1">
        <f t="array" ref="T7">_xll.BDH("NUE US Equity","CF_NET_INC","FQ4 2022","FQ4 2022","Currency=USD","Period=FQ","BEST_FPERIOD_OVERRIDE=FQ","FILING_STATUS=MR","SCALING_FORMAT=MLN","Sort=A","Dates=H","DateFormat=P","Fill=—","Direction=H","UseDPDF=Y")</f>
        <v>1255.7329999999999</v>
      </c>
      <c r="U7" s="12" cm="1">
        <f t="array" ref="U7">_xll.BDH("NUE US Equity","CF_NET_INC","FQ1 2023","FQ1 2023","Currency=USD","Period=FQ","BEST_FPERIOD_OVERRIDE=FQ","FILING_STATUS=MR","SCALING_FORMAT=MLN","Sort=A","Dates=H","DateFormat=P","Fill=—","Direction=H","UseDPDF=Y")</f>
        <v>1136.5419999999999</v>
      </c>
      <c r="V7" s="12" cm="1">
        <f t="array" ref="V7">_xll.BDH("NUE US Equity","CF_NET_INC","FQ2 2023","FQ2 2023","Currency=USD","Period=FQ","BEST_FPERIOD_OVERRIDE=FQ","FILING_STATUS=MR","SCALING_FORMAT=MLN","Sort=A","Dates=H","DateFormat=P","Fill=—","Direction=H","UseDPDF=Y")</f>
        <v>1461.354</v>
      </c>
      <c r="W7" s="12" cm="1">
        <f t="array" ref="W7">_xll.BDH("NUE US Equity","CF_NET_INC","FQ3 2023","FQ3 2023","Currency=USD","Period=FQ","BEST_FPERIOD_OVERRIDE=FQ","FILING_STATUS=MR","SCALING_FORMAT=MLN","Sort=A","Dates=H","DateFormat=P","Fill=—","Direction=H","UseDPDF=Y")</f>
        <v>1141.5060000000001</v>
      </c>
      <c r="X7" s="12" cm="1">
        <f t="array" ref="X7">_xll.BDH("NUE US Equity","CF_NET_INC","FQ4 2023","FQ4 2023","Currency=USD","Period=FQ","BEST_FPERIOD_OVERRIDE=FQ","FILING_STATUS=MR","SCALING_FORMAT=MLN","Sort=A","Dates=H","DateFormat=P","Fill=—","Direction=H","UseDPDF=Y")</f>
        <v>785.399</v>
      </c>
      <c r="Y7" s="12" cm="1">
        <f t="array" ref="Y7">_xll.BDH("NUE US Equity","CF_NET_INC","FQ1 2024","FQ1 2024","Currency=USD","Period=FQ","BEST_FPERIOD_OVERRIDE=FQ","FILING_STATUS=MR","SCALING_FORMAT=MLN","Sort=A","Dates=H","DateFormat=P","Fill=—","Direction=H","UseDPDF=Y")</f>
        <v>844.84100000000001</v>
      </c>
      <c r="Z7" s="12" cm="1">
        <f t="array" ref="Z7">_xll.BDH("NUE US Equity","CF_NET_INC","FQ2 2024","FQ2 2024","Currency=USD","Period=FQ","BEST_FPERIOD_OVERRIDE=FQ","FILING_STATUS=MR","SCALING_FORMAT=MLN","Sort=A","Dates=H","DateFormat=P","Fill=—","Direction=H","UseDPDF=Y")</f>
        <v>645.21699999999998</v>
      </c>
      <c r="AA7" s="12" cm="1">
        <f t="array" ref="AA7">_xll.BDH("NUE US Equity","CF_NET_INC","FQ3 2024","FQ3 2024","Currency=USD","Period=FQ","BEST_FPERIOD_OVERRIDE=FQ","FILING_STATUS=MR","SCALING_FORMAT=MLN","Sort=A","Dates=H","DateFormat=P","Fill=—","Direction=H","UseDPDF=Y")</f>
        <v>249.91</v>
      </c>
      <c r="AB7" s="12" cm="1">
        <f t="array" ref="AB7">_xll.BDH("NUE US Equity","CF_NET_INC","FQ4 2024","FQ4 2024","Currency=USD","Period=FQ","BEST_FPERIOD_OVERRIDE=FQ","FILING_STATUS=MR","SCALING_FORMAT=MLN","Sort=A","Dates=H","DateFormat=P","Fill=—","Direction=H","UseDPDF=Y")</f>
        <v>287.03199999999998</v>
      </c>
      <c r="AC7" s="12" cm="1">
        <f t="array" ref="AC7">_xll.BDH("NUE US Equity","CF_NET_INC","FQ1 2025","FQ1 2025","Currency=USD","Period=FQ","BEST_FPERIOD_OVERRIDE=FQ","FILING_STATUS=MR","SCALING_FORMAT=MLN","Sort=A","Dates=H","DateFormat=P","Fill=—","Direction=H","UseDPDF=Y")</f>
        <v>156</v>
      </c>
      <c r="AD7" s="12" cm="1">
        <f t="array" ref="AD7">_xll.BDH("NUE US Equity","CF_NET_INC","FQ2 2025","FQ2 2025","Currency=USD","Period=FQ","BEST_FPERIOD_OVERRIDE=FQ","FILING_STATUS=MR","SCALING_FORMAT=MLN","Sort=A","Dates=H","DateFormat=P","Fill=—","Direction=H","UseDPDF=Y")</f>
        <v>603</v>
      </c>
      <c r="AE7" s="12" cm="1">
        <f t="array" ref="AE7">_xll.BDH("NUE US Equity","CF_NET_INC","FQ3 2025","FQ3 2025","Currency=USD","Period=FQ","BEST_FPERIOD_OVERRIDE=FQ","FILING_STATUS=MR","SCALING_FORMAT=MLN","Sort=A","Dates=H","DateFormat=P","Fill=—","Direction=H","UseDPDF=Y")</f>
        <v>607</v>
      </c>
      <c r="AF7" s="12" cm="1">
        <f t="array" ref="AF7">_xll.BDH("NUE US Equity","CF_NET_INC","FQ4 2025","FQ4 2025","Currency=USD","Period=FQ","BEST_FPERIOD_OVERRIDE=FQ","FILING_STATUS=MR","SCALING_FORMAT=MLN","Sort=A","Dates=H","DateFormat=P","Fill=—","Direction=H","UseDPDF=Y")</f>
        <v>378</v>
      </c>
    </row>
    <row r="8" spans="1:32" x14ac:dyDescent="0.25">
      <c r="A8" s="10" t="s">
        <v>68</v>
      </c>
      <c r="B8" s="10" t="s">
        <v>69</v>
      </c>
      <c r="C8" s="12" cm="1">
        <f t="array" ref="C8">_xll.BDH("NUE US Equity","CF_DEPR_AMORT","FQ3 2018","FQ3 2018","Currency=USD","Period=FQ","BEST_FPERIOD_OVERRIDE=FQ","FILING_STATUS=MR","SCALING_FORMAT=MLN","Sort=A","Dates=H","DateFormat=P","Fill=—","Direction=H","UseDPDF=Y")</f>
        <v>180.03899999999999</v>
      </c>
      <c r="D8" s="12" cm="1">
        <f t="array" ref="D8">_xll.BDH("NUE US Equity","CF_DEPR_AMORT","FQ4 2018","FQ4 2018","Currency=USD","Period=FQ","BEST_FPERIOD_OVERRIDE=FQ","FILING_STATUS=MR","SCALING_FORMAT=MLN","Sort=A","Dates=H","DateFormat=P","Fill=—","Direction=H","UseDPDF=Y")</f>
        <v>178.62299999999999</v>
      </c>
      <c r="E8" s="12" cm="1">
        <f t="array" ref="E8">_xll.BDH("NUE US Equity","CF_DEPR_AMORT","FQ1 2019","FQ1 2019","Currency=USD","Period=FQ","BEST_FPERIOD_OVERRIDE=FQ","FILING_STATUS=MR","SCALING_FORMAT=MLN","Sort=A","Dates=H","DateFormat=P","Fill=—","Direction=H","UseDPDF=Y")</f>
        <v>179.67099999999999</v>
      </c>
      <c r="F8" s="12" cm="1">
        <f t="array" ref="F8">_xll.BDH("NUE US Equity","CF_DEPR_AMORT","FQ2 2019","FQ2 2019","Currency=USD","Period=FQ","BEST_FPERIOD_OVERRIDE=FQ","FILING_STATUS=MR","SCALING_FORMAT=MLN","Sort=A","Dates=H","DateFormat=P","Fill=—","Direction=H","UseDPDF=Y")</f>
        <v>185.05600000000001</v>
      </c>
      <c r="G8" s="12" cm="1">
        <f t="array" ref="G8">_xll.BDH("NUE US Equity","CF_DEPR_AMORT","FQ3 2019","FQ3 2019","Currency=USD","Period=FQ","BEST_FPERIOD_OVERRIDE=FQ","FILING_STATUS=MR","SCALING_FORMAT=MLN","Sort=A","Dates=H","DateFormat=P","Fill=—","Direction=H","UseDPDF=Y")</f>
        <v>177.88499999999999</v>
      </c>
      <c r="H8" s="12" cm="1">
        <f t="array" ref="H8">_xll.BDH("NUE US Equity","CF_DEPR_AMORT","FQ4 2019","FQ4 2019","Currency=USD","Period=FQ","BEST_FPERIOD_OVERRIDE=FQ","FILING_STATUS=MR","SCALING_FORMAT=MLN","Sort=A","Dates=H","DateFormat=P","Fill=—","Direction=H","UseDPDF=Y")</f>
        <v>192.041</v>
      </c>
      <c r="I8" s="12" cm="1">
        <f t="array" ref="I8">_xll.BDH("NUE US Equity","CF_DEPR_AMORT","FQ1 2020","FQ1 2020","Currency=USD","Period=FQ","BEST_FPERIOD_OVERRIDE=FQ","FILING_STATUS=MR","SCALING_FORMAT=MLN","Sort=A","Dates=H","DateFormat=P","Fill=—","Direction=H","UseDPDF=Y")</f>
        <v>197.27500000000001</v>
      </c>
      <c r="J8" s="12" cm="1">
        <f t="array" ref="J8">_xll.BDH("NUE US Equity","CF_DEPR_AMORT","FQ2 2020","FQ2 2020","Currency=USD","Period=FQ","BEST_FPERIOD_OVERRIDE=FQ","FILING_STATUS=MR","SCALING_FORMAT=MLN","Sort=A","Dates=H","DateFormat=P","Fill=—","Direction=H","UseDPDF=Y")</f>
        <v>194.58099999999999</v>
      </c>
      <c r="K8" s="12" cm="1">
        <f t="array" ref="K8">_xll.BDH("NUE US Equity","CF_DEPR_AMORT","FQ3 2020","FQ3 2020","Currency=USD","Period=FQ","BEST_FPERIOD_OVERRIDE=FQ","FILING_STATUS=MR","SCALING_FORMAT=MLN","Sort=A","Dates=H","DateFormat=P","Fill=—","Direction=H","UseDPDF=Y")</f>
        <v>196.709</v>
      </c>
      <c r="L8" s="12" cm="1">
        <f t="array" ref="L8">_xll.BDH("NUE US Equity","CF_DEPR_AMORT","FQ4 2020","FQ4 2020","Currency=USD","Period=FQ","BEST_FPERIOD_OVERRIDE=FQ","FILING_STATUS=MR","SCALING_FORMAT=MLN","Sort=A","Dates=H","DateFormat=P","Fill=—","Direction=H","UseDPDF=Y")</f>
        <v>196.90100000000001</v>
      </c>
      <c r="M8" s="12" cm="1">
        <f t="array" ref="M8">_xll.BDH("NUE US Equity","CF_DEPR_AMORT","FQ1 2021","FQ1 2021","Currency=USD","Period=FQ","BEST_FPERIOD_OVERRIDE=FQ","FILING_STATUS=MR","SCALING_FORMAT=MLN","Sort=A","Dates=H","DateFormat=P","Fill=—","Direction=H","UseDPDF=Y")</f>
        <v>200.95</v>
      </c>
      <c r="N8" s="12" cm="1">
        <f t="array" ref="N8">_xll.BDH("NUE US Equity","CF_DEPR_AMORT","FQ2 2021","FQ2 2021","Currency=USD","Period=FQ","BEST_FPERIOD_OVERRIDE=FQ","FILING_STATUS=MR","SCALING_FORMAT=MLN","Sort=A","Dates=H","DateFormat=P","Fill=—","Direction=H","UseDPDF=Y")</f>
        <v>203.4</v>
      </c>
      <c r="O8" s="12" cm="1">
        <f t="array" ref="O8">_xll.BDH("NUE US Equity","CF_DEPR_AMORT","FQ3 2021","FQ3 2021","Currency=USD","Period=FQ","BEST_FPERIOD_OVERRIDE=FQ","FILING_STATUS=MR","SCALING_FORMAT=MLN","Sort=A","Dates=H","DateFormat=P","Fill=—","Direction=H","UseDPDF=Y")</f>
        <v>218.92500000000001</v>
      </c>
      <c r="P8" s="12" cm="1">
        <f t="array" ref="P8">_xll.BDH("NUE US Equity","CF_DEPR_AMORT","FQ4 2021","FQ4 2021","Currency=USD","Period=FQ","BEST_FPERIOD_OVERRIDE=FQ","FILING_STATUS=MR","SCALING_FORMAT=MLN","Sort=A","Dates=H","DateFormat=P","Fill=—","Direction=H","UseDPDF=Y")</f>
        <v>241.28800000000001</v>
      </c>
      <c r="Q8" s="12" cm="1">
        <f t="array" ref="Q8">_xll.BDH("NUE US Equity","CF_DEPR_AMORT","FQ1 2022","FQ1 2022","Currency=USD","Period=FQ","BEST_FPERIOD_OVERRIDE=FQ","FILING_STATUS=MR","SCALING_FORMAT=MLN","Sort=A","Dates=H","DateFormat=P","Fill=—","Direction=H","UseDPDF=Y")</f>
        <v>236.88900000000001</v>
      </c>
      <c r="R8" s="12" cm="1">
        <f t="array" ref="R8">_xll.BDH("NUE US Equity","CF_DEPR_AMORT","FQ2 2022","FQ2 2022","Currency=USD","Period=FQ","BEST_FPERIOD_OVERRIDE=FQ","FILING_STATUS=MR","SCALING_FORMAT=MLN","Sort=A","Dates=H","DateFormat=P","Fill=—","Direction=H","UseDPDF=Y")</f>
        <v>247.648</v>
      </c>
      <c r="S8" s="12" cm="1">
        <f t="array" ref="S8">_xll.BDH("NUE US Equity","CF_DEPR_AMORT","FQ3 2022","FQ3 2022","Currency=USD","Period=FQ","BEST_FPERIOD_OVERRIDE=FQ","FILING_STATUS=MR","SCALING_FORMAT=MLN","Sort=A","Dates=H","DateFormat=P","Fill=—","Direction=H","UseDPDF=Y")</f>
        <v>289.87599999999998</v>
      </c>
      <c r="T8" s="12" cm="1">
        <f t="array" ref="T8">_xll.BDH("NUE US Equity","CF_DEPR_AMORT","FQ4 2022","FQ4 2022","Currency=USD","Period=FQ","BEST_FPERIOD_OVERRIDE=FQ","FILING_STATUS=MR","SCALING_FORMAT=MLN","Sort=A","Dates=H","DateFormat=P","Fill=—","Direction=H","UseDPDF=Y")</f>
        <v>287.221</v>
      </c>
      <c r="U8" s="12" cm="1">
        <f t="array" ref="U8">_xll.BDH("NUE US Equity","CF_DEPR_AMORT","FQ1 2023","FQ1 2023","Currency=USD","Period=FQ","BEST_FPERIOD_OVERRIDE=FQ","FILING_STATUS=MR","SCALING_FORMAT=MLN","Sort=A","Dates=H","DateFormat=P","Fill=—","Direction=H","UseDPDF=Y")</f>
        <v>279.858</v>
      </c>
      <c r="V8" s="12" cm="1">
        <f t="array" ref="V8">_xll.BDH("NUE US Equity","CF_DEPR_AMORT","FQ2 2023","FQ2 2023","Currency=USD","Period=FQ","BEST_FPERIOD_OVERRIDE=FQ","FILING_STATUS=MR","SCALING_FORMAT=MLN","Sort=A","Dates=H","DateFormat=P","Fill=—","Direction=H","UseDPDF=Y")</f>
        <v>286.209</v>
      </c>
      <c r="W8" s="12" cm="1">
        <f t="array" ref="W8">_xll.BDH("NUE US Equity","CF_DEPR_AMORT","FQ3 2023","FQ3 2023","Currency=USD","Period=FQ","BEST_FPERIOD_OVERRIDE=FQ","FILING_STATUS=MR","SCALING_FORMAT=MLN","Sort=A","Dates=H","DateFormat=P","Fill=—","Direction=H","UseDPDF=Y")</f>
        <v>290.78699999999998</v>
      </c>
      <c r="X8" s="12" cm="1">
        <f t="array" ref="X8">_xll.BDH("NUE US Equity","CF_DEPR_AMORT","FQ4 2023","FQ4 2023","Currency=USD","Period=FQ","BEST_FPERIOD_OVERRIDE=FQ","FILING_STATUS=MR","SCALING_FORMAT=MLN","Sort=A","Dates=H","DateFormat=P","Fill=—","Direction=H","UseDPDF=Y")</f>
        <v>311.46100000000001</v>
      </c>
      <c r="Y8" s="12" cm="1">
        <f t="array" ref="Y8">_xll.BDH("NUE US Equity","CF_DEPR_AMORT","FQ1 2024","FQ1 2024","Currency=USD","Period=FQ","BEST_FPERIOD_OVERRIDE=FQ","FILING_STATUS=MR","SCALING_FORMAT=MLN","Sort=A","Dates=H","DateFormat=P","Fill=—","Direction=H","UseDPDF=Y")</f>
        <v>315.62099999999998</v>
      </c>
      <c r="Z8" s="12" cm="1">
        <f t="array" ref="Z8">_xll.BDH("NUE US Equity","CF_DEPR_AMORT","FQ2 2024","FQ2 2024","Currency=USD","Period=FQ","BEST_FPERIOD_OVERRIDE=FQ","FILING_STATUS=MR","SCALING_FORMAT=MLN","Sort=A","Dates=H","DateFormat=P","Fill=—","Direction=H","UseDPDF=Y")</f>
        <v>331.85500000000002</v>
      </c>
      <c r="AA8" s="12" cm="1">
        <f t="array" ref="AA8">_xll.BDH("NUE US Equity","CF_DEPR_AMORT","FQ3 2024","FQ3 2024","Currency=USD","Period=FQ","BEST_FPERIOD_OVERRIDE=FQ","FILING_STATUS=MR","SCALING_FORMAT=MLN","Sort=A","Dates=H","DateFormat=P","Fill=—","Direction=H","UseDPDF=Y")</f>
        <v>350.46100000000001</v>
      </c>
      <c r="AB8" s="12" cm="1">
        <f t="array" ref="AB8">_xll.BDH("NUE US Equity","CF_DEPR_AMORT","FQ4 2024","FQ4 2024","Currency=USD","Period=FQ","BEST_FPERIOD_OVERRIDE=FQ","FILING_STATUS=MR","SCALING_FORMAT=MLN","Sort=A","Dates=H","DateFormat=P","Fill=—","Direction=H","UseDPDF=Y")</f>
        <v>358.06299999999999</v>
      </c>
      <c r="AC8" s="12" cm="1">
        <f t="array" ref="AC8">_xll.BDH("NUE US Equity","CF_DEPR_AMORT","FQ1 2025","FQ1 2025","Currency=USD","Period=FQ","BEST_FPERIOD_OVERRIDE=FQ","FILING_STATUS=MR","SCALING_FORMAT=MLN","Sort=A","Dates=H","DateFormat=P","Fill=—","Direction=H","UseDPDF=Y")</f>
        <v>368</v>
      </c>
      <c r="AD8" s="12" cm="1">
        <f t="array" ref="AD8">_xll.BDH("NUE US Equity","CF_DEPR_AMORT","FQ2 2025","FQ2 2025","Currency=USD","Period=FQ","BEST_FPERIOD_OVERRIDE=FQ","FILING_STATUS=MR","SCALING_FORMAT=MLN","Sort=A","Dates=H","DateFormat=P","Fill=—","Direction=H","UseDPDF=Y")</f>
        <v>366</v>
      </c>
      <c r="AE8" s="12" cm="1">
        <f t="array" ref="AE8">_xll.BDH("NUE US Equity","CF_DEPR_AMORT","FQ3 2025","FQ3 2025","Currency=USD","Period=FQ","BEST_FPERIOD_OVERRIDE=FQ","FILING_STATUS=MR","SCALING_FORMAT=MLN","Sort=A","Dates=H","DateFormat=P","Fill=—","Direction=H","UseDPDF=Y")</f>
        <v>367</v>
      </c>
      <c r="AF8" s="12" cm="1">
        <f t="array" ref="AF8">_xll.BDH("NUE US Equity","CF_DEPR_AMORT","FQ4 2025","FQ4 2025","Currency=USD","Period=FQ","BEST_FPERIOD_OVERRIDE=FQ","FILING_STATUS=MR","SCALING_FORMAT=MLN","Sort=A","Dates=H","DateFormat=P","Fill=—","Direction=H","UseDPDF=Y")</f>
        <v>379</v>
      </c>
    </row>
    <row r="9" spans="1:32" x14ac:dyDescent="0.25">
      <c r="A9" s="10" t="s">
        <v>70</v>
      </c>
      <c r="B9" s="10" t="s">
        <v>71</v>
      </c>
      <c r="C9" s="12" cm="1">
        <f t="array" ref="C9">_xll.BDH("NUE US Equity","NON_CASH_ITEMS_DETAILED","FQ3 2018","FQ3 2018","Currency=USD","Period=FQ","BEST_FPERIOD_OVERRIDE=FQ","FILING_STATUS=MR","SCALING_FORMAT=MLN","Sort=A","Dates=H","DateFormat=P","Fill=—","Direction=H","UseDPDF=Y")</f>
        <v>162.12899999999999</v>
      </c>
      <c r="D9" s="12" cm="1">
        <f t="array" ref="D9">_xll.BDH("NUE US Equity","NON_CASH_ITEMS_DETAILED","FQ4 2018","FQ4 2018","Currency=USD","Period=FQ","BEST_FPERIOD_OVERRIDE=FQ","FILING_STATUS=MR","SCALING_FORMAT=MLN","Sort=A","Dates=H","DateFormat=P","Fill=—","Direction=H","UseDPDF=Y")</f>
        <v>-47.545999999999999</v>
      </c>
      <c r="E9" s="12" cm="1">
        <f t="array" ref="E9">_xll.BDH("NUE US Equity","NON_CASH_ITEMS_DETAILED","FQ1 2019","FQ1 2019","Currency=USD","Period=FQ","BEST_FPERIOD_OVERRIDE=FQ","FILING_STATUS=MR","SCALING_FORMAT=MLN","Sort=A","Dates=H","DateFormat=P","Fill=—","Direction=H","UseDPDF=Y")</f>
        <v>71.055999999999997</v>
      </c>
      <c r="F9" s="12" cm="1">
        <f t="array" ref="F9">_xll.BDH("NUE US Equity","NON_CASH_ITEMS_DETAILED","FQ2 2019","FQ2 2019","Currency=USD","Period=FQ","BEST_FPERIOD_OVERRIDE=FQ","FILING_STATUS=MR","SCALING_FORMAT=MLN","Sort=A","Dates=H","DateFormat=P","Fill=—","Direction=H","UseDPDF=Y")</f>
        <v>62.624000000000002</v>
      </c>
      <c r="G9" s="12" cm="1">
        <f t="array" ref="G9">_xll.BDH("NUE US Equity","NON_CASH_ITEMS_DETAILED","FQ3 2019","FQ3 2019","Currency=USD","Period=FQ","BEST_FPERIOD_OVERRIDE=FQ","FILING_STATUS=MR","SCALING_FORMAT=MLN","Sort=A","Dates=H","DateFormat=P","Fill=—","Direction=H","UseDPDF=Y")</f>
        <v>121.17700000000001</v>
      </c>
      <c r="H9" s="12" cm="1">
        <f t="array" ref="H9">_xll.BDH("NUE US Equity","NON_CASH_ITEMS_DETAILED","FQ4 2019","FQ4 2019","Currency=USD","Period=FQ","BEST_FPERIOD_OVERRIDE=FQ","FILING_STATUS=MR","SCALING_FORMAT=MLN","Sort=A","Dates=H","DateFormat=P","Fill=—","Direction=H","UseDPDF=Y")</f>
        <v>95.311999999999998</v>
      </c>
      <c r="I9" s="12" cm="1">
        <f t="array" ref="I9">_xll.BDH("NUE US Equity","NON_CASH_ITEMS_DETAILED","FQ1 2020","FQ1 2020","Currency=USD","Period=FQ","BEST_FPERIOD_OVERRIDE=FQ","FILING_STATUS=MR","SCALING_FORMAT=MLN","Sort=A","Dates=H","DateFormat=P","Fill=—","Direction=H","UseDPDF=Y")</f>
        <v>338.411</v>
      </c>
      <c r="J9" s="12" cm="1">
        <f t="array" ref="J9">_xll.BDH("NUE US Equity","NON_CASH_ITEMS_DETAILED","FQ2 2020","FQ2 2020","Currency=USD","Period=FQ","BEST_FPERIOD_OVERRIDE=FQ","FILING_STATUS=MR","SCALING_FORMAT=MLN","Sort=A","Dates=H","DateFormat=P","Fill=—","Direction=H","UseDPDF=Y")</f>
        <v>151.214</v>
      </c>
      <c r="K9" s="12" cm="1">
        <f t="array" ref="K9">_xll.BDH("NUE US Equity","NON_CASH_ITEMS_DETAILED","FQ3 2020","FQ3 2020","Currency=USD","Period=FQ","BEST_FPERIOD_OVERRIDE=FQ","FILING_STATUS=MR","SCALING_FORMAT=MLN","Sort=A","Dates=H","DateFormat=P","Fill=—","Direction=H","UseDPDF=Y")</f>
        <v>211.81399999999999</v>
      </c>
      <c r="L9" s="12" cm="1">
        <f t="array" ref="L9">_xll.BDH("NUE US Equity","NON_CASH_ITEMS_DETAILED","FQ4 2020","FQ4 2020","Currency=USD","Period=FQ","BEST_FPERIOD_OVERRIDE=FQ","FILING_STATUS=MR","SCALING_FORMAT=MLN","Sort=A","Dates=H","DateFormat=P","Fill=—","Direction=H","UseDPDF=Y")</f>
        <v>321.59399999999999</v>
      </c>
      <c r="M9" s="12" cm="1">
        <f t="array" ref="M9">_xll.BDH("NUE US Equity","NON_CASH_ITEMS_DETAILED","FQ1 2021","FQ1 2021","Currency=USD","Period=FQ","BEST_FPERIOD_OVERRIDE=FQ","FILING_STATUS=MR","SCALING_FORMAT=MLN","Sort=A","Dates=H","DateFormat=P","Fill=—","Direction=H","UseDPDF=Y")</f>
        <v>211.53800000000001</v>
      </c>
      <c r="N9" s="12" cm="1">
        <f t="array" ref="N9">_xll.BDH("NUE US Equity","NON_CASH_ITEMS_DETAILED","FQ2 2021","FQ2 2021","Currency=USD","Period=FQ","BEST_FPERIOD_OVERRIDE=FQ","FILING_STATUS=MR","SCALING_FORMAT=MLN","Sort=A","Dates=H","DateFormat=P","Fill=—","Direction=H","UseDPDF=Y")</f>
        <v>182.78</v>
      </c>
      <c r="O9" s="12" cm="1">
        <f t="array" ref="O9">_xll.BDH("NUE US Equity","NON_CASH_ITEMS_DETAILED","FQ3 2021","FQ3 2021","Currency=USD","Period=FQ","BEST_FPERIOD_OVERRIDE=FQ","FILING_STATUS=MR","SCALING_FORMAT=MLN","Sort=A","Dates=H","DateFormat=P","Fill=—","Direction=H","UseDPDF=Y")</f>
        <v>184.54300000000001</v>
      </c>
      <c r="P9" s="12" cm="1">
        <f t="array" ref="P9">_xll.BDH("NUE US Equity","NON_CASH_ITEMS_DETAILED","FQ4 2021","FQ4 2021","Currency=USD","Period=FQ","BEST_FPERIOD_OVERRIDE=FQ","FILING_STATUS=MR","SCALING_FORMAT=MLN","Sort=A","Dates=H","DateFormat=P","Fill=—","Direction=H","UseDPDF=Y")</f>
        <v>-34.83</v>
      </c>
      <c r="Q9" s="12" cm="1">
        <f t="array" ref="Q9">_xll.BDH("NUE US Equity","NON_CASH_ITEMS_DETAILED","FQ1 2022","FQ1 2022","Currency=USD","Period=FQ","BEST_FPERIOD_OVERRIDE=FQ","FILING_STATUS=MR","SCALING_FORMAT=MLN","Sort=A","Dates=H","DateFormat=P","Fill=—","Direction=H","UseDPDF=Y")</f>
        <v>259.45</v>
      </c>
      <c r="R9" s="12" cm="1">
        <f t="array" ref="R9">_xll.BDH("NUE US Equity","NON_CASH_ITEMS_DETAILED","FQ2 2022","FQ2 2022","Currency=USD","Period=FQ","BEST_FPERIOD_OVERRIDE=FQ","FILING_STATUS=MR","SCALING_FORMAT=MLN","Sort=A","Dates=H","DateFormat=P","Fill=—","Direction=H","UseDPDF=Y")</f>
        <v>160.69800000000001</v>
      </c>
      <c r="S9" s="12" cm="1">
        <f t="array" ref="S9">_xll.BDH("NUE US Equity","NON_CASH_ITEMS_DETAILED","FQ3 2022","FQ3 2022","Currency=USD","Period=FQ","BEST_FPERIOD_OVERRIDE=FQ","FILING_STATUS=MR","SCALING_FORMAT=MLN","Sort=A","Dates=H","DateFormat=P","Fill=—","Direction=H","UseDPDF=Y")</f>
        <v>206.89099999999999</v>
      </c>
      <c r="T9" s="12" cm="1">
        <f t="array" ref="T9">_xll.BDH("NUE US Equity","NON_CASH_ITEMS_DETAILED","FQ4 2022","FQ4 2022","Currency=USD","Period=FQ","BEST_FPERIOD_OVERRIDE=FQ","FILING_STATUS=MR","SCALING_FORMAT=MLN","Sort=A","Dates=H","DateFormat=P","Fill=—","Direction=H","UseDPDF=Y")</f>
        <v>-9.0169999999999995</v>
      </c>
      <c r="U9" s="12" cm="1">
        <f t="array" ref="U9">_xll.BDH("NUE US Equity","NON_CASH_ITEMS_DETAILED","FQ1 2023","FQ1 2023","Currency=USD","Period=FQ","BEST_FPERIOD_OVERRIDE=FQ","FILING_STATUS=MR","SCALING_FORMAT=MLN","Sort=A","Dates=H","DateFormat=P","Fill=—","Direction=H","UseDPDF=Y")</f>
        <v>130.51400000000001</v>
      </c>
      <c r="V9" s="12" cm="1">
        <f t="array" ref="V9">_xll.BDH("NUE US Equity","NON_CASH_ITEMS_DETAILED","FQ2 2023","FQ2 2023","Currency=USD","Period=FQ","BEST_FPERIOD_OVERRIDE=FQ","FILING_STATUS=MR","SCALING_FORMAT=MLN","Sort=A","Dates=H","DateFormat=P","Fill=—","Direction=H","UseDPDF=Y")</f>
        <v>213.452</v>
      </c>
      <c r="W9" s="12" cm="1">
        <f t="array" ref="W9">_xll.BDH("NUE US Equity","NON_CASH_ITEMS_DETAILED","FQ3 2023","FQ3 2023","Currency=USD","Period=FQ","BEST_FPERIOD_OVERRIDE=FQ","FILING_STATUS=MR","SCALING_FORMAT=MLN","Sort=A","Dates=H","DateFormat=P","Fill=—","Direction=H","UseDPDF=Y")</f>
        <v>212.59</v>
      </c>
      <c r="X9" s="12" cm="1">
        <f t="array" ref="X9">_xll.BDH("NUE US Equity","NON_CASH_ITEMS_DETAILED","FQ4 2023","FQ4 2023","Currency=USD","Period=FQ","BEST_FPERIOD_OVERRIDE=FQ","FILING_STATUS=MR","SCALING_FORMAT=MLN","Sort=A","Dates=H","DateFormat=P","Fill=—","Direction=H","UseDPDF=Y")</f>
        <v>14.845000000000001</v>
      </c>
      <c r="Y9" s="12" cm="1">
        <f t="array" ref="Y9">_xll.BDH("NUE US Equity","NON_CASH_ITEMS_DETAILED","FQ1 2024","FQ1 2024","Currency=USD","Period=FQ","BEST_FPERIOD_OVERRIDE=FQ","FILING_STATUS=MR","SCALING_FORMAT=MLN","Sort=A","Dates=H","DateFormat=P","Fill=—","Direction=H","UseDPDF=Y")</f>
        <v>261.334</v>
      </c>
      <c r="Z9" s="12" cm="1">
        <f t="array" ref="Z9">_xll.BDH("NUE US Equity","NON_CASH_ITEMS_DETAILED","FQ2 2024","FQ2 2024","Currency=USD","Period=FQ","BEST_FPERIOD_OVERRIDE=FQ","FILING_STATUS=MR","SCALING_FORMAT=MLN","Sort=A","Dates=H","DateFormat=P","Fill=—","Direction=H","UseDPDF=Y")</f>
        <v>-25.4</v>
      </c>
      <c r="AA9" s="12" cm="1">
        <f t="array" ref="AA9">_xll.BDH("NUE US Equity","NON_CASH_ITEMS_DETAILED","FQ3 2024","FQ3 2024","Currency=USD","Period=FQ","BEST_FPERIOD_OVERRIDE=FQ","FILING_STATUS=MR","SCALING_FORMAT=MLN","Sort=A","Dates=H","DateFormat=P","Fill=—","Direction=H","UseDPDF=Y")</f>
        <v>232.887</v>
      </c>
      <c r="AB9" s="12" cm="1">
        <f t="array" ref="AB9">_xll.BDH("NUE US Equity","NON_CASH_ITEMS_DETAILED","FQ4 2024","FQ4 2024","Currency=USD","Period=FQ","BEST_FPERIOD_OVERRIDE=FQ","FILING_STATUS=MR","SCALING_FORMAT=MLN","Sort=A","Dates=H","DateFormat=P","Fill=—","Direction=H","UseDPDF=Y")</f>
        <v>-100.821</v>
      </c>
      <c r="AC9" s="12" cm="1">
        <f t="array" ref="AC9">_xll.BDH("NUE US Equity","NON_CASH_ITEMS_DETAILED","FQ1 2025","FQ1 2025","Currency=USD","Period=FQ","BEST_FPERIOD_OVERRIDE=FQ","FILING_STATUS=MR","SCALING_FORMAT=MLN","Sort=A","Dates=H","DateFormat=P","Fill=—","Direction=H","UseDPDF=Y")</f>
        <v>139</v>
      </c>
      <c r="AD9" s="12" cm="1">
        <f t="array" ref="AD9">_xll.BDH("NUE US Equity","NON_CASH_ITEMS_DETAILED","FQ2 2025","FQ2 2025","Currency=USD","Period=FQ","BEST_FPERIOD_OVERRIDE=FQ","FILING_STATUS=MR","SCALING_FORMAT=MLN","Sort=A","Dates=H","DateFormat=P","Fill=—","Direction=H","UseDPDF=Y")</f>
        <v>147</v>
      </c>
      <c r="AE9" s="12" cm="1">
        <f t="array" ref="AE9">_xll.BDH("NUE US Equity","NON_CASH_ITEMS_DETAILED","FQ3 2025","FQ3 2025","Currency=USD","Period=FQ","BEST_FPERIOD_OVERRIDE=FQ","FILING_STATUS=MR","SCALING_FORMAT=MLN","Sort=A","Dates=H","DateFormat=P","Fill=—","Direction=H","UseDPDF=Y")</f>
        <v>98</v>
      </c>
      <c r="AF9" s="12" cm="1">
        <f t="array" ref="AF9">_xll.BDH("NUE US Equity","NON_CASH_ITEMS_DETAILED","FQ4 2025","FQ4 2025","Currency=USD","Period=FQ","BEST_FPERIOD_OVERRIDE=FQ","FILING_STATUS=MR","SCALING_FORMAT=MLN","Sort=A","Dates=H","DateFormat=P","Fill=—","Direction=H","UseDPDF=Y")</f>
        <v>214</v>
      </c>
    </row>
    <row r="10" spans="1:32" x14ac:dyDescent="0.25">
      <c r="A10" s="10" t="s">
        <v>72</v>
      </c>
      <c r="B10" s="10" t="s">
        <v>73</v>
      </c>
      <c r="C10" s="12" cm="1">
        <f t="array" ref="C10">_xll.BDH("NUE US Equity","CF_STOCK_BASED_COMPENSATION","FQ3 2018","FQ3 2018","Currency=USD","Period=FQ","BEST_FPERIOD_OVERRIDE=FQ","FILING_STATUS=MR","SCALING_FORMAT=MLN","Sort=A","Dates=H","DateFormat=P","Fill=—","Direction=H","UseDPDF=Y")</f>
        <v>13.692</v>
      </c>
      <c r="D10" s="12" cm="1">
        <f t="array" ref="D10">_xll.BDH("NUE US Equity","CF_STOCK_BASED_COMPENSATION","FQ4 2018","FQ4 2018","Currency=USD","Period=FQ","BEST_FPERIOD_OVERRIDE=FQ","FILING_STATUS=MR","SCALING_FORMAT=MLN","Sort=A","Dates=H","DateFormat=P","Fill=—","Direction=H","UseDPDF=Y")</f>
        <v>7.8250000000000002</v>
      </c>
      <c r="E10" s="12" cm="1">
        <f t="array" ref="E10">_xll.BDH("NUE US Equity","CF_STOCK_BASED_COMPENSATION","FQ1 2019","FQ1 2019","Currency=USD","Period=FQ","BEST_FPERIOD_OVERRIDE=FQ","FILING_STATUS=MR","SCALING_FORMAT=MLN","Sort=A","Dates=H","DateFormat=P","Fill=—","Direction=H","UseDPDF=Y")</f>
        <v>12.492000000000001</v>
      </c>
      <c r="F10" s="12" cm="1">
        <f t="array" ref="F10">_xll.BDH("NUE US Equity","CF_STOCK_BASED_COMPENSATION","FQ2 2019","FQ2 2019","Currency=USD","Period=FQ","BEST_FPERIOD_OVERRIDE=FQ","FILING_STATUS=MR","SCALING_FORMAT=MLN","Sort=A","Dates=H","DateFormat=P","Fill=—","Direction=H","UseDPDF=Y")</f>
        <v>48.768000000000001</v>
      </c>
      <c r="G10" s="12" cm="1">
        <f t="array" ref="G10">_xll.BDH("NUE US Equity","CF_STOCK_BASED_COMPENSATION","FQ3 2019","FQ3 2019","Currency=USD","Period=FQ","BEST_FPERIOD_OVERRIDE=FQ","FILING_STATUS=MR","SCALING_FORMAT=MLN","Sort=A","Dates=H","DateFormat=P","Fill=—","Direction=H","UseDPDF=Y")</f>
        <v>13.051</v>
      </c>
      <c r="H10" s="12" cm="1">
        <f t="array" ref="H10">_xll.BDH("NUE US Equity","CF_STOCK_BASED_COMPENSATION","FQ4 2019","FQ4 2019","Currency=USD","Period=FQ","BEST_FPERIOD_OVERRIDE=FQ","FILING_STATUS=MR","SCALING_FORMAT=MLN","Sort=A","Dates=H","DateFormat=P","Fill=—","Direction=H","UseDPDF=Y")</f>
        <v>16.047999999999998</v>
      </c>
      <c r="I10" s="12" cm="1">
        <f t="array" ref="I10">_xll.BDH("NUE US Equity","CF_STOCK_BASED_COMPENSATION","FQ1 2020","FQ1 2020","Currency=USD","Period=FQ","BEST_FPERIOD_OVERRIDE=FQ","FILING_STATUS=MR","SCALING_FORMAT=MLN","Sort=A","Dates=H","DateFormat=P","Fill=—","Direction=H","UseDPDF=Y")</f>
        <v>10.016999999999999</v>
      </c>
      <c r="J10" s="12" cm="1">
        <f t="array" ref="J10">_xll.BDH("NUE US Equity","CF_STOCK_BASED_COMPENSATION","FQ2 2020","FQ2 2020","Currency=USD","Period=FQ","BEST_FPERIOD_OVERRIDE=FQ","FILING_STATUS=MR","SCALING_FORMAT=MLN","Sort=A","Dates=H","DateFormat=P","Fill=—","Direction=H","UseDPDF=Y")</f>
        <v>29.084</v>
      </c>
      <c r="K10" s="12" cm="1">
        <f t="array" ref="K10">_xll.BDH("NUE US Equity","CF_STOCK_BASED_COMPENSATION","FQ3 2020","FQ3 2020","Currency=USD","Period=FQ","BEST_FPERIOD_OVERRIDE=FQ","FILING_STATUS=MR","SCALING_FORMAT=MLN","Sort=A","Dates=H","DateFormat=P","Fill=—","Direction=H","UseDPDF=Y")</f>
        <v>17.021000000000001</v>
      </c>
      <c r="L10" s="12" cm="1">
        <f t="array" ref="L10">_xll.BDH("NUE US Equity","CF_STOCK_BASED_COMPENSATION","FQ4 2020","FQ4 2020","Currency=USD","Period=FQ","BEST_FPERIOD_OVERRIDE=FQ","FILING_STATUS=MR","SCALING_FORMAT=MLN","Sort=A","Dates=H","DateFormat=P","Fill=—","Direction=H","UseDPDF=Y")</f>
        <v>17.731000000000002</v>
      </c>
      <c r="M10" s="12" cm="1">
        <f t="array" ref="M10">_xll.BDH("NUE US Equity","CF_STOCK_BASED_COMPENSATION","FQ1 2021","FQ1 2021","Currency=USD","Period=FQ","BEST_FPERIOD_OVERRIDE=FQ","FILING_STATUS=MR","SCALING_FORMAT=MLN","Sort=A","Dates=H","DateFormat=P","Fill=—","Direction=H","UseDPDF=Y")</f>
        <v>19.859000000000002</v>
      </c>
      <c r="N10" s="12" cm="1">
        <f t="array" ref="N10">_xll.BDH("NUE US Equity","CF_STOCK_BASED_COMPENSATION","FQ2 2021","FQ2 2021","Currency=USD","Period=FQ","BEST_FPERIOD_OVERRIDE=FQ","FILING_STATUS=MR","SCALING_FORMAT=MLN","Sort=A","Dates=H","DateFormat=P","Fill=—","Direction=H","UseDPDF=Y")</f>
        <v>46.87</v>
      </c>
      <c r="O10" s="12" cm="1">
        <f t="array" ref="O10">_xll.BDH("NUE US Equity","CF_STOCK_BASED_COMPENSATION","FQ3 2021","FQ3 2021","Currency=USD","Period=FQ","BEST_FPERIOD_OVERRIDE=FQ","FILING_STATUS=MR","SCALING_FORMAT=MLN","Sort=A","Dates=H","DateFormat=P","Fill=—","Direction=H","UseDPDF=Y")</f>
        <v>30.922999999999998</v>
      </c>
      <c r="P10" s="12" cm="1">
        <f t="array" ref="P10">_xll.BDH("NUE US Equity","CF_STOCK_BASED_COMPENSATION","FQ4 2021","FQ4 2021","Currency=USD","Period=FQ","BEST_FPERIOD_OVERRIDE=FQ","FILING_STATUS=MR","SCALING_FORMAT=MLN","Sort=A","Dates=H","DateFormat=P","Fill=—","Direction=H","UseDPDF=Y")</f>
        <v>38.122999999999998</v>
      </c>
      <c r="Q10" s="12" cm="1">
        <f t="array" ref="Q10">_xll.BDH("NUE US Equity","CF_STOCK_BASED_COMPENSATION","FQ1 2022","FQ1 2022","Currency=USD","Period=FQ","BEST_FPERIOD_OVERRIDE=FQ","FILING_STATUS=MR","SCALING_FORMAT=MLN","Sort=A","Dates=H","DateFormat=P","Fill=—","Direction=H","UseDPDF=Y")</f>
        <v>26.422000000000001</v>
      </c>
      <c r="R10" s="12" cm="1">
        <f t="array" ref="R10">_xll.BDH("NUE US Equity","CF_STOCK_BASED_COMPENSATION","FQ2 2022","FQ2 2022","Currency=USD","Period=FQ","BEST_FPERIOD_OVERRIDE=FQ","FILING_STATUS=MR","SCALING_FORMAT=MLN","Sort=A","Dates=H","DateFormat=P","Fill=—","Direction=H","UseDPDF=Y")</f>
        <v>47.796999999999997</v>
      </c>
      <c r="S10" s="12" cm="1">
        <f t="array" ref="S10">_xll.BDH("NUE US Equity","CF_STOCK_BASED_COMPENSATION","FQ3 2022","FQ3 2022","Currency=USD","Period=FQ","BEST_FPERIOD_OVERRIDE=FQ","FILING_STATUS=MR","SCALING_FORMAT=MLN","Sort=A","Dates=H","DateFormat=P","Fill=—","Direction=H","UseDPDF=Y")</f>
        <v>25.619</v>
      </c>
      <c r="T10" s="12" cm="1">
        <f t="array" ref="T10">_xll.BDH("NUE US Equity","CF_STOCK_BASED_COMPENSATION","FQ4 2022","FQ4 2022","Currency=USD","Period=FQ","BEST_FPERIOD_OVERRIDE=FQ","FILING_STATUS=MR","SCALING_FORMAT=MLN","Sort=A","Dates=H","DateFormat=P","Fill=—","Direction=H","UseDPDF=Y")</f>
        <v>36.996000000000002</v>
      </c>
      <c r="U10" s="12" cm="1">
        <f t="array" ref="U10">_xll.BDH("NUE US Equity","CF_STOCK_BASED_COMPENSATION","FQ1 2023","FQ1 2023","Currency=USD","Period=FQ","BEST_FPERIOD_OVERRIDE=FQ","FILING_STATUS=MR","SCALING_FORMAT=MLN","Sort=A","Dates=H","DateFormat=P","Fill=—","Direction=H","UseDPDF=Y")</f>
        <v>20.401</v>
      </c>
      <c r="V10" s="12" cm="1">
        <f t="array" ref="V10">_xll.BDH("NUE US Equity","CF_STOCK_BASED_COMPENSATION","FQ2 2023","FQ2 2023","Currency=USD","Period=FQ","BEST_FPERIOD_OVERRIDE=FQ","FILING_STATUS=MR","SCALING_FORMAT=MLN","Sort=A","Dates=H","DateFormat=P","Fill=—","Direction=H","UseDPDF=Y")</f>
        <v>63.186</v>
      </c>
      <c r="W10" s="12" cm="1">
        <f t="array" ref="W10">_xll.BDH("NUE US Equity","CF_STOCK_BASED_COMPENSATION","FQ3 2023","FQ3 2023","Currency=USD","Period=FQ","BEST_FPERIOD_OVERRIDE=FQ","FILING_STATUS=MR","SCALING_FORMAT=MLN","Sort=A","Dates=H","DateFormat=P","Fill=—","Direction=H","UseDPDF=Y")</f>
        <v>17.52</v>
      </c>
      <c r="X10" s="12" cm="1">
        <f t="array" ref="X10">_xll.BDH("NUE US Equity","CF_STOCK_BASED_COMPENSATION","FQ4 2023","FQ4 2023","Currency=USD","Period=FQ","BEST_FPERIOD_OVERRIDE=FQ","FILING_STATUS=MR","SCALING_FORMAT=MLN","Sort=A","Dates=H","DateFormat=P","Fill=—","Direction=H","UseDPDF=Y")</f>
        <v>29.055</v>
      </c>
      <c r="Y10" s="12" cm="1">
        <f t="array" ref="Y10">_xll.BDH("NUE US Equity","CF_STOCK_BASED_COMPENSATION","FQ1 2024","FQ1 2024","Currency=USD","Period=FQ","BEST_FPERIOD_OVERRIDE=FQ","FILING_STATUS=MR","SCALING_FORMAT=MLN","Sort=A","Dates=H","DateFormat=P","Fill=—","Direction=H","UseDPDF=Y")</f>
        <v>21.341000000000001</v>
      </c>
      <c r="Z10" s="12" cm="1">
        <f t="array" ref="Z10">_xll.BDH("NUE US Equity","CF_STOCK_BASED_COMPENSATION","FQ2 2024","FQ2 2024","Currency=USD","Period=FQ","BEST_FPERIOD_OVERRIDE=FQ","FILING_STATUS=MR","SCALING_FORMAT=MLN","Sort=A","Dates=H","DateFormat=P","Fill=—","Direction=H","UseDPDF=Y")</f>
        <v>61.384</v>
      </c>
      <c r="AA10" s="12" cm="1">
        <f t="array" ref="AA10">_xll.BDH("NUE US Equity","CF_STOCK_BASED_COMPENSATION","FQ3 2024","FQ3 2024","Currency=USD","Period=FQ","BEST_FPERIOD_OVERRIDE=FQ","FILING_STATUS=MR","SCALING_FORMAT=MLN","Sort=A","Dates=H","DateFormat=P","Fill=—","Direction=H","UseDPDF=Y")</f>
        <v>31.555</v>
      </c>
      <c r="AB10" s="12" cm="1">
        <f t="array" ref="AB10">_xll.BDH("NUE US Equity","CF_STOCK_BASED_COMPENSATION","FQ4 2024","FQ4 2024","Currency=USD","Period=FQ","BEST_FPERIOD_OVERRIDE=FQ","FILING_STATUS=MR","SCALING_FORMAT=MLN","Sort=A","Dates=H","DateFormat=P","Fill=—","Direction=H","UseDPDF=Y")</f>
        <v>17.72</v>
      </c>
      <c r="AC10" s="12" cm="1">
        <f t="array" ref="AC10">_xll.BDH("NUE US Equity","CF_STOCK_BASED_COMPENSATION","FQ1 2025","FQ1 2025","Currency=USD","Period=FQ","BEST_FPERIOD_OVERRIDE=FQ","FILING_STATUS=MR","SCALING_FORMAT=MLN","Sort=A","Dates=H","DateFormat=P","Fill=—","Direction=H","UseDPDF=Y")</f>
        <v>26</v>
      </c>
      <c r="AD10" s="12" cm="1">
        <f t="array" ref="AD10">_xll.BDH("NUE US Equity","CF_STOCK_BASED_COMPENSATION","FQ2 2025","FQ2 2025","Currency=USD","Period=FQ","BEST_FPERIOD_OVERRIDE=FQ","FILING_STATUS=MR","SCALING_FORMAT=MLN","Sort=A","Dates=H","DateFormat=P","Fill=—","Direction=H","UseDPDF=Y")</f>
        <v>52</v>
      </c>
      <c r="AE10" s="12" cm="1">
        <f t="array" ref="AE10">_xll.BDH("NUE US Equity","CF_STOCK_BASED_COMPENSATION","FQ3 2025","FQ3 2025","Currency=USD","Period=FQ","BEST_FPERIOD_OVERRIDE=FQ","FILING_STATUS=MR","SCALING_FORMAT=MLN","Sort=A","Dates=H","DateFormat=P","Fill=—","Direction=H","UseDPDF=Y")</f>
        <v>24</v>
      </c>
      <c r="AF10" s="12" cm="1">
        <f t="array" ref="AF10">_xll.BDH("NUE US Equity","CF_STOCK_BASED_COMPENSATION","FQ4 2025","FQ4 2025","Currency=USD","Period=FQ","BEST_FPERIOD_OVERRIDE=FQ","FILING_STATUS=MR","SCALING_FORMAT=MLN","Sort=A","Dates=H","DateFormat=P","Fill=—","Direction=H","UseDPDF=Y")</f>
        <v>31</v>
      </c>
    </row>
    <row r="11" spans="1:32" x14ac:dyDescent="0.25">
      <c r="A11" s="10" t="s">
        <v>74</v>
      </c>
      <c r="B11" s="10" t="s">
        <v>75</v>
      </c>
      <c r="C11" s="12" cm="1">
        <f t="array" ref="C11">_xll.BDH("NUE US Equity","CF_DEF_INC_TAX","FQ3 2018","FQ3 2018","Currency=USD","Period=FQ","BEST_FPERIOD_OVERRIDE=FQ","FILING_STATUS=MR","SCALING_FORMAT=MLN","Sort=A","Dates=H","DateFormat=P","Fill=—","Direction=H","UseDPDF=Y")</f>
        <v>5.9809999999999999</v>
      </c>
      <c r="D11" s="12" cm="1">
        <f t="array" ref="D11">_xll.BDH("NUE US Equity","CF_DEF_INC_TAX","FQ4 2018","FQ4 2018","Currency=USD","Period=FQ","BEST_FPERIOD_OVERRIDE=FQ","FILING_STATUS=MR","SCALING_FORMAT=MLN","Sort=A","Dates=H","DateFormat=P","Fill=—","Direction=H","UseDPDF=Y")</f>
        <v>-51.145000000000003</v>
      </c>
      <c r="E11" s="12" cm="1">
        <f t="array" ref="E11">_xll.BDH("NUE US Equity","CF_DEF_INC_TAX","FQ1 2019","FQ1 2019","Currency=USD","Period=FQ","BEST_FPERIOD_OVERRIDE=FQ","FILING_STATUS=MR","SCALING_FORMAT=MLN","Sort=A","Dates=H","DateFormat=P","Fill=—","Direction=H","UseDPDF=Y")</f>
        <v>19.948</v>
      </c>
      <c r="F11" s="12" cm="1">
        <f t="array" ref="F11">_xll.BDH("NUE US Equity","CF_DEF_INC_TAX","FQ2 2019","FQ2 2019","Currency=USD","Period=FQ","BEST_FPERIOD_OVERRIDE=FQ","FILING_STATUS=MR","SCALING_FORMAT=MLN","Sort=A","Dates=H","DateFormat=P","Fill=—","Direction=H","UseDPDF=Y")</f>
        <v>37.103999999999999</v>
      </c>
      <c r="G11" s="12" cm="1">
        <f t="array" ref="G11">_xll.BDH("NUE US Equity","CF_DEF_INC_TAX","FQ3 2019","FQ3 2019","Currency=USD","Period=FQ","BEST_FPERIOD_OVERRIDE=FQ","FILING_STATUS=MR","SCALING_FORMAT=MLN","Sort=A","Dates=H","DateFormat=P","Fill=—","Direction=H","UseDPDF=Y")</f>
        <v>19.684999999999999</v>
      </c>
      <c r="H11" s="12" cm="1">
        <f t="array" ref="H11">_xll.BDH("NUE US Equity","CF_DEF_INC_TAX","FQ4 2019","FQ4 2019","Currency=USD","Period=FQ","BEST_FPERIOD_OVERRIDE=FQ","FILING_STATUS=MR","SCALING_FORMAT=MLN","Sort=A","Dates=H","DateFormat=P","Fill=—","Direction=H","UseDPDF=Y")</f>
        <v>22.42</v>
      </c>
      <c r="I11" s="12" cm="1">
        <f t="array" ref="I11">_xll.BDH("NUE US Equity","CF_DEF_INC_TAX","FQ1 2020","FQ1 2020","Currency=USD","Period=FQ","BEST_FPERIOD_OVERRIDE=FQ","FILING_STATUS=MR","SCALING_FORMAT=MLN","Sort=A","Dates=H","DateFormat=P","Fill=—","Direction=H","UseDPDF=Y")</f>
        <v>15.557</v>
      </c>
      <c r="J11" s="12" cm="1">
        <f t="array" ref="J11">_xll.BDH("NUE US Equity","CF_DEF_INC_TAX","FQ2 2020","FQ2 2020","Currency=USD","Period=FQ","BEST_FPERIOD_OVERRIDE=FQ","FILING_STATUS=MR","SCALING_FORMAT=MLN","Sort=A","Dates=H","DateFormat=P","Fill=—","Direction=H","UseDPDF=Y")</f>
        <v>74.957999999999998</v>
      </c>
      <c r="K11" s="12" cm="1">
        <f t="array" ref="K11">_xll.BDH("NUE US Equity","CF_DEF_INC_TAX","FQ3 2020","FQ3 2020","Currency=USD","Period=FQ","BEST_FPERIOD_OVERRIDE=FQ","FILING_STATUS=MR","SCALING_FORMAT=MLN","Sort=A","Dates=H","DateFormat=P","Fill=—","Direction=H","UseDPDF=Y")</f>
        <v>50.091000000000001</v>
      </c>
      <c r="L11" s="12" cm="1">
        <f t="array" ref="L11">_xll.BDH("NUE US Equity","CF_DEF_INC_TAX","FQ4 2020","FQ4 2020","Currency=USD","Period=FQ","BEST_FPERIOD_OVERRIDE=FQ","FILING_STATUS=MR","SCALING_FORMAT=MLN","Sort=A","Dates=H","DateFormat=P","Fill=—","Direction=H","UseDPDF=Y")</f>
        <v>22.23</v>
      </c>
      <c r="M11" s="12" cm="1">
        <f t="array" ref="M11">_xll.BDH("NUE US Equity","CF_DEF_INC_TAX","FQ1 2021","FQ1 2021","Currency=USD","Period=FQ","BEST_FPERIOD_OVERRIDE=FQ","FILING_STATUS=MR","SCALING_FORMAT=MLN","Sort=A","Dates=H","DateFormat=P","Fill=—","Direction=H","UseDPDF=Y")</f>
        <v>62.704999999999998</v>
      </c>
      <c r="N11" s="12" cm="1">
        <f t="array" ref="N11">_xll.BDH("NUE US Equity","CF_DEF_INC_TAX","FQ2 2021","FQ2 2021","Currency=USD","Period=FQ","BEST_FPERIOD_OVERRIDE=FQ","FILING_STATUS=MR","SCALING_FORMAT=MLN","Sort=A","Dates=H","DateFormat=P","Fill=—","Direction=H","UseDPDF=Y")</f>
        <v>39.661999999999999</v>
      </c>
      <c r="O11" s="12" cm="1">
        <f t="array" ref="O11">_xll.BDH("NUE US Equity","CF_DEF_INC_TAX","FQ3 2021","FQ3 2021","Currency=USD","Period=FQ","BEST_FPERIOD_OVERRIDE=FQ","FILING_STATUS=MR","SCALING_FORMAT=MLN","Sort=A","Dates=H","DateFormat=P","Fill=—","Direction=H","UseDPDF=Y")</f>
        <v>64.381</v>
      </c>
      <c r="P11" s="12" cm="1">
        <f t="array" ref="P11">_xll.BDH("NUE US Equity","CF_DEF_INC_TAX","FQ4 2021","FQ4 2021","Currency=USD","Period=FQ","BEST_FPERIOD_OVERRIDE=FQ","FILING_STATUS=MR","SCALING_FORMAT=MLN","Sort=A","Dates=H","DateFormat=P","Fill=—","Direction=H","UseDPDF=Y")</f>
        <v>-155.083</v>
      </c>
      <c r="Q11" s="12" cm="1">
        <f t="array" ref="Q11">_xll.BDH("NUE US Equity","CF_DEF_INC_TAX","FQ1 2022","FQ1 2022","Currency=USD","Period=FQ","BEST_FPERIOD_OVERRIDE=FQ","FILING_STATUS=MR","SCALING_FORMAT=MLN","Sort=A","Dates=H","DateFormat=P","Fill=—","Direction=H","UseDPDF=Y")</f>
        <v>-18.763999999999999</v>
      </c>
      <c r="R11" s="12" cm="1">
        <f t="array" ref="R11">_xll.BDH("NUE US Equity","CF_DEF_INC_TAX","FQ2 2022","FQ2 2022","Currency=USD","Period=FQ","BEST_FPERIOD_OVERRIDE=FQ","FILING_STATUS=MR","SCALING_FORMAT=MLN","Sort=A","Dates=H","DateFormat=P","Fill=—","Direction=H","UseDPDF=Y")</f>
        <v>-17.456</v>
      </c>
      <c r="S11" s="12" cm="1">
        <f t="array" ref="S11">_xll.BDH("NUE US Equity","CF_DEF_INC_TAX","FQ3 2022","FQ3 2022","Currency=USD","Period=FQ","BEST_FPERIOD_OVERRIDE=FQ","FILING_STATUS=MR","SCALING_FORMAT=MLN","Sort=A","Dates=H","DateFormat=P","Fill=—","Direction=H","UseDPDF=Y")</f>
        <v>3.1040000000000001</v>
      </c>
      <c r="T11" s="12" cm="1">
        <f t="array" ref="T11">_xll.BDH("NUE US Equity","CF_DEF_INC_TAX","FQ4 2022","FQ4 2022","Currency=USD","Period=FQ","BEST_FPERIOD_OVERRIDE=FQ","FILING_STATUS=MR","SCALING_FORMAT=MLN","Sort=A","Dates=H","DateFormat=P","Fill=—","Direction=H","UseDPDF=Y")</f>
        <v>-13.733000000000001</v>
      </c>
      <c r="U11" s="12" cm="1">
        <f t="array" ref="U11">_xll.BDH("NUE US Equity","CF_DEF_INC_TAX","FQ1 2023","FQ1 2023","Currency=USD","Period=FQ","BEST_FPERIOD_OVERRIDE=FQ","FILING_STATUS=MR","SCALING_FORMAT=MLN","Sort=A","Dates=H","DateFormat=P","Fill=—","Direction=H","UseDPDF=Y")</f>
        <v>-28.193000000000001</v>
      </c>
      <c r="V11" s="12" cm="1">
        <f t="array" ref="V11">_xll.BDH("NUE US Equity","CF_DEF_INC_TAX","FQ2 2023","FQ2 2023","Currency=USD","Period=FQ","BEST_FPERIOD_OVERRIDE=FQ","FILING_STATUS=MR","SCALING_FORMAT=MLN","Sort=A","Dates=H","DateFormat=P","Fill=—","Direction=H","UseDPDF=Y")</f>
        <v>-16.416</v>
      </c>
      <c r="W11" s="12" cm="1">
        <f t="array" ref="W11">_xll.BDH("NUE US Equity","CF_DEF_INC_TAX","FQ3 2023","FQ3 2023","Currency=USD","Period=FQ","BEST_FPERIOD_OVERRIDE=FQ","FILING_STATUS=MR","SCALING_FORMAT=MLN","Sort=A","Dates=H","DateFormat=P","Fill=—","Direction=H","UseDPDF=Y")</f>
        <v>18.859000000000002</v>
      </c>
      <c r="X11" s="12" cm="1">
        <f t="array" ref="X11">_xll.BDH("NUE US Equity","CF_DEF_INC_TAX","FQ4 2023","FQ4 2023","Currency=USD","Period=FQ","BEST_FPERIOD_OVERRIDE=FQ","FILING_STATUS=MR","SCALING_FORMAT=MLN","Sort=A","Dates=H","DateFormat=P","Fill=—","Direction=H","UseDPDF=Y")</f>
        <v>47.168999999999997</v>
      </c>
      <c r="Y11" s="12" cm="1">
        <f t="array" ref="Y11">_xll.BDH("NUE US Equity","CF_DEF_INC_TAX","FQ1 2024","FQ1 2024","Currency=USD","Period=FQ","BEST_FPERIOD_OVERRIDE=FQ","FILING_STATUS=MR","SCALING_FORMAT=MLN","Sort=A","Dates=H","DateFormat=P","Fill=—","Direction=H","UseDPDF=Y")</f>
        <v>-39.627000000000002</v>
      </c>
      <c r="Z11" s="12" cm="1">
        <f t="array" ref="Z11">_xll.BDH("NUE US Equity","CF_DEF_INC_TAX","FQ2 2024","FQ2 2024","Currency=USD","Period=FQ","BEST_FPERIOD_OVERRIDE=FQ","FILING_STATUS=MR","SCALING_FORMAT=MLN","Sort=A","Dates=H","DateFormat=P","Fill=—","Direction=H","UseDPDF=Y")</f>
        <v>-37.984000000000002</v>
      </c>
      <c r="AA11" s="12" cm="1">
        <f t="array" ref="AA11">_xll.BDH("NUE US Equity","CF_DEF_INC_TAX","FQ3 2024","FQ3 2024","Currency=USD","Period=FQ","BEST_FPERIOD_OVERRIDE=FQ","FILING_STATUS=MR","SCALING_FORMAT=MLN","Sort=A","Dates=H","DateFormat=P","Fill=—","Direction=H","UseDPDF=Y")</f>
        <v>-14.856999999999999</v>
      </c>
      <c r="AB11" s="12" cm="1">
        <f t="array" ref="AB11">_xll.BDH("NUE US Equity","CF_DEF_INC_TAX","FQ4 2024","FQ4 2024","Currency=USD","Period=FQ","BEST_FPERIOD_OVERRIDE=FQ","FILING_STATUS=MR","SCALING_FORMAT=MLN","Sort=A","Dates=H","DateFormat=P","Fill=—","Direction=H","UseDPDF=Y")</f>
        <v>-23.532</v>
      </c>
      <c r="AC11" s="12" cm="1">
        <f t="array" ref="AC11">_xll.BDH("NUE US Equity","CF_DEF_INC_TAX","FQ1 2025","FQ1 2025","Currency=USD","Period=FQ","BEST_FPERIOD_OVERRIDE=FQ","FILING_STATUS=MR","SCALING_FORMAT=MLN","Sort=A","Dates=H","DateFormat=P","Fill=—","Direction=H","UseDPDF=Y")</f>
        <v>-31</v>
      </c>
      <c r="AD11" s="12" cm="1">
        <f t="array" ref="AD11">_xll.BDH("NUE US Equity","CF_DEF_INC_TAX","FQ2 2025","FQ2 2025","Currency=USD","Period=FQ","BEST_FPERIOD_OVERRIDE=FQ","FILING_STATUS=MR","SCALING_FORMAT=MLN","Sort=A","Dates=H","DateFormat=P","Fill=—","Direction=H","UseDPDF=Y")</f>
        <v>14</v>
      </c>
      <c r="AE11" s="12" cm="1">
        <f t="array" ref="AE11">_xll.BDH("NUE US Equity","CF_DEF_INC_TAX","FQ3 2025","FQ3 2025","Currency=USD","Period=FQ","BEST_FPERIOD_OVERRIDE=FQ","FILING_STATUS=MR","SCALING_FORMAT=MLN","Sort=A","Dates=H","DateFormat=P","Fill=—","Direction=H","UseDPDF=Y")</f>
        <v>19</v>
      </c>
      <c r="AF11" s="12" cm="1">
        <f t="array" ref="AF11">_xll.BDH("NUE US Equity","CF_DEF_INC_TAX","FQ4 2025","FQ4 2025","Currency=USD","Period=FQ","BEST_FPERIOD_OVERRIDE=FQ","FILING_STATUS=MR","SCALING_FORMAT=MLN","Sort=A","Dates=H","DateFormat=P","Fill=—","Direction=H","UseDPDF=Y")</f>
        <v>159</v>
      </c>
    </row>
    <row r="12" spans="1:32" x14ac:dyDescent="0.25">
      <c r="A12" s="10" t="s">
        <v>76</v>
      </c>
      <c r="B12" s="10" t="s">
        <v>77</v>
      </c>
      <c r="C12" s="12" cm="1">
        <f t="array" ref="C12">_xll.BDH("NUE US Equity","OTHER_NON_CASH_ADJ_LESS_DETAILED","FQ3 2018","FQ3 2018","Currency=USD","Period=FQ","BEST_FPERIOD_OVERRIDE=FQ","FILING_STATUS=MR","SCALING_FORMAT=MLN","Sort=A","Dates=H","DateFormat=P","Fill=—","Direction=H","UseDPDF=Y")</f>
        <v>142.45599999999999</v>
      </c>
      <c r="D12" s="12" cm="1">
        <f t="array" ref="D12">_xll.BDH("NUE US Equity","OTHER_NON_CASH_ADJ_LESS_DETAILED","FQ4 2018","FQ4 2018","Currency=USD","Period=FQ","BEST_FPERIOD_OVERRIDE=FQ","FILING_STATUS=MR","SCALING_FORMAT=MLN","Sort=A","Dates=H","DateFormat=P","Fill=—","Direction=H","UseDPDF=Y")</f>
        <v>-4.226</v>
      </c>
      <c r="E12" s="12" cm="1">
        <f t="array" ref="E12">_xll.BDH("NUE US Equity","OTHER_NON_CASH_ADJ_LESS_DETAILED","FQ1 2019","FQ1 2019","Currency=USD","Period=FQ","BEST_FPERIOD_OVERRIDE=FQ","FILING_STATUS=MR","SCALING_FORMAT=MLN","Sort=A","Dates=H","DateFormat=P","Fill=—","Direction=H","UseDPDF=Y")</f>
        <v>38.616</v>
      </c>
      <c r="F12" s="12" cm="1">
        <f t="array" ref="F12">_xll.BDH("NUE US Equity","OTHER_NON_CASH_ADJ_LESS_DETAILED","FQ2 2019","FQ2 2019","Currency=USD","Period=FQ","BEST_FPERIOD_OVERRIDE=FQ","FILING_STATUS=MR","SCALING_FORMAT=MLN","Sort=A","Dates=H","DateFormat=P","Fill=—","Direction=H","UseDPDF=Y")</f>
        <v>-23.248000000000001</v>
      </c>
      <c r="G12" s="12" cm="1">
        <f t="array" ref="G12">_xll.BDH("NUE US Equity","OTHER_NON_CASH_ADJ_LESS_DETAILED","FQ3 2019","FQ3 2019","Currency=USD","Period=FQ","BEST_FPERIOD_OVERRIDE=FQ","FILING_STATUS=MR","SCALING_FORMAT=MLN","Sort=A","Dates=H","DateFormat=P","Fill=—","Direction=H","UseDPDF=Y")</f>
        <v>88.441000000000003</v>
      </c>
      <c r="H12" s="12" cm="1">
        <f t="array" ref="H12">_xll.BDH("NUE US Equity","OTHER_NON_CASH_ADJ_LESS_DETAILED","FQ4 2019","FQ4 2019","Currency=USD","Period=FQ","BEST_FPERIOD_OVERRIDE=FQ","FILING_STATUS=MR","SCALING_FORMAT=MLN","Sort=A","Dates=H","DateFormat=P","Fill=—","Direction=H","UseDPDF=Y")</f>
        <v>56.844000000000001</v>
      </c>
      <c r="I12" s="12" cm="1">
        <f t="array" ref="I12">_xll.BDH("NUE US Equity","OTHER_NON_CASH_ADJ_LESS_DETAILED","FQ1 2020","FQ1 2020","Currency=USD","Period=FQ","BEST_FPERIOD_OVERRIDE=FQ","FILING_STATUS=MR","SCALING_FORMAT=MLN","Sort=A","Dates=H","DateFormat=P","Fill=—","Direction=H","UseDPDF=Y")</f>
        <v>312.83699999999999</v>
      </c>
      <c r="J12" s="12" cm="1">
        <f t="array" ref="J12">_xll.BDH("NUE US Equity","OTHER_NON_CASH_ADJ_LESS_DETAILED","FQ2 2020","FQ2 2020","Currency=USD","Period=FQ","BEST_FPERIOD_OVERRIDE=FQ","FILING_STATUS=MR","SCALING_FORMAT=MLN","Sort=A","Dates=H","DateFormat=P","Fill=—","Direction=H","UseDPDF=Y")</f>
        <v>47.171999999999997</v>
      </c>
      <c r="K12" s="12" cm="1">
        <f t="array" ref="K12">_xll.BDH("NUE US Equity","OTHER_NON_CASH_ADJ_LESS_DETAILED","FQ3 2020","FQ3 2020","Currency=USD","Period=FQ","BEST_FPERIOD_OVERRIDE=FQ","FILING_STATUS=MR","SCALING_FORMAT=MLN","Sort=A","Dates=H","DateFormat=P","Fill=—","Direction=H","UseDPDF=Y")</f>
        <v>144.702</v>
      </c>
      <c r="L12" s="12" cm="1">
        <f t="array" ref="L12">_xll.BDH("NUE US Equity","OTHER_NON_CASH_ADJ_LESS_DETAILED","FQ4 2020","FQ4 2020","Currency=USD","Period=FQ","BEST_FPERIOD_OVERRIDE=FQ","FILING_STATUS=MR","SCALING_FORMAT=MLN","Sort=A","Dates=H","DateFormat=P","Fill=—","Direction=H","UseDPDF=Y")</f>
        <v>281.63299999999998</v>
      </c>
      <c r="M12" s="12" cm="1">
        <f t="array" ref="M12">_xll.BDH("NUE US Equity","OTHER_NON_CASH_ADJ_LESS_DETAILED","FQ1 2021","FQ1 2021","Currency=USD","Period=FQ","BEST_FPERIOD_OVERRIDE=FQ","FILING_STATUS=MR","SCALING_FORMAT=MLN","Sort=A","Dates=H","DateFormat=P","Fill=—","Direction=H","UseDPDF=Y")</f>
        <v>128.97399999999999</v>
      </c>
      <c r="N12" s="12" cm="1">
        <f t="array" ref="N12">_xll.BDH("NUE US Equity","OTHER_NON_CASH_ADJ_LESS_DETAILED","FQ2 2021","FQ2 2021","Currency=USD","Period=FQ","BEST_FPERIOD_OVERRIDE=FQ","FILING_STATUS=MR","SCALING_FORMAT=MLN","Sort=A","Dates=H","DateFormat=P","Fill=—","Direction=H","UseDPDF=Y")</f>
        <v>96.248000000000005</v>
      </c>
      <c r="O12" s="12" cm="1">
        <f t="array" ref="O12">_xll.BDH("NUE US Equity","OTHER_NON_CASH_ADJ_LESS_DETAILED","FQ3 2021","FQ3 2021","Currency=USD","Period=FQ","BEST_FPERIOD_OVERRIDE=FQ","FILING_STATUS=MR","SCALING_FORMAT=MLN","Sort=A","Dates=H","DateFormat=P","Fill=—","Direction=H","UseDPDF=Y")</f>
        <v>89.239000000000004</v>
      </c>
      <c r="P12" s="12" cm="1">
        <f t="array" ref="P12">_xll.BDH("NUE US Equity","OTHER_NON_CASH_ADJ_LESS_DETAILED","FQ4 2021","FQ4 2021","Currency=USD","Period=FQ","BEST_FPERIOD_OVERRIDE=FQ","FILING_STATUS=MR","SCALING_FORMAT=MLN","Sort=A","Dates=H","DateFormat=P","Fill=—","Direction=H","UseDPDF=Y")</f>
        <v>82.13</v>
      </c>
      <c r="Q12" s="12" cm="1">
        <f t="array" ref="Q12">_xll.BDH("NUE US Equity","OTHER_NON_CASH_ADJ_LESS_DETAILED","FQ1 2022","FQ1 2022","Currency=USD","Period=FQ","BEST_FPERIOD_OVERRIDE=FQ","FILING_STATUS=MR","SCALING_FORMAT=MLN","Sort=A","Dates=H","DateFormat=P","Fill=—","Direction=H","UseDPDF=Y")</f>
        <v>251.792</v>
      </c>
      <c r="R12" s="12" cm="1">
        <f t="array" ref="R12">_xll.BDH("NUE US Equity","OTHER_NON_CASH_ADJ_LESS_DETAILED","FQ2 2022","FQ2 2022","Currency=USD","Period=FQ","BEST_FPERIOD_OVERRIDE=FQ","FILING_STATUS=MR","SCALING_FORMAT=MLN","Sort=A","Dates=H","DateFormat=P","Fill=—","Direction=H","UseDPDF=Y")</f>
        <v>130.357</v>
      </c>
      <c r="S12" s="12" cm="1">
        <f t="array" ref="S12">_xll.BDH("NUE US Equity","OTHER_NON_CASH_ADJ_LESS_DETAILED","FQ3 2022","FQ3 2022","Currency=USD","Period=FQ","BEST_FPERIOD_OVERRIDE=FQ","FILING_STATUS=MR","SCALING_FORMAT=MLN","Sort=A","Dates=H","DateFormat=P","Fill=—","Direction=H","UseDPDF=Y")</f>
        <v>178.16800000000001</v>
      </c>
      <c r="T12" s="12" cm="1">
        <f t="array" ref="T12">_xll.BDH("NUE US Equity","OTHER_NON_CASH_ADJ_LESS_DETAILED","FQ4 2022","FQ4 2022","Currency=USD","Period=FQ","BEST_FPERIOD_OVERRIDE=FQ","FILING_STATUS=MR","SCALING_FORMAT=MLN","Sort=A","Dates=H","DateFormat=P","Fill=—","Direction=H","UseDPDF=Y")</f>
        <v>-32.28</v>
      </c>
      <c r="U12" s="12" cm="1">
        <f t="array" ref="U12">_xll.BDH("NUE US Equity","OTHER_NON_CASH_ADJ_LESS_DETAILED","FQ1 2023","FQ1 2023","Currency=USD","Period=FQ","BEST_FPERIOD_OVERRIDE=FQ","FILING_STATUS=MR","SCALING_FORMAT=MLN","Sort=A","Dates=H","DateFormat=P","Fill=—","Direction=H","UseDPDF=Y")</f>
        <v>138.30600000000001</v>
      </c>
      <c r="V12" s="12" cm="1">
        <f t="array" ref="V12">_xll.BDH("NUE US Equity","OTHER_NON_CASH_ADJ_LESS_DETAILED","FQ2 2023","FQ2 2023","Currency=USD","Period=FQ","BEST_FPERIOD_OVERRIDE=FQ","FILING_STATUS=MR","SCALING_FORMAT=MLN","Sort=A","Dates=H","DateFormat=P","Fill=—","Direction=H","UseDPDF=Y")</f>
        <v>166.68199999999999</v>
      </c>
      <c r="W12" s="12" cm="1">
        <f t="array" ref="W12">_xll.BDH("NUE US Equity","OTHER_NON_CASH_ADJ_LESS_DETAILED","FQ3 2023","FQ3 2023","Currency=USD","Period=FQ","BEST_FPERIOD_OVERRIDE=FQ","FILING_STATUS=MR","SCALING_FORMAT=MLN","Sort=A","Dates=H","DateFormat=P","Fill=—","Direction=H","UseDPDF=Y")</f>
        <v>176.21100000000001</v>
      </c>
      <c r="X12" s="12" cm="1">
        <f t="array" ref="X12">_xll.BDH("NUE US Equity","OTHER_NON_CASH_ADJ_LESS_DETAILED","FQ4 2023","FQ4 2023","Currency=USD","Period=FQ","BEST_FPERIOD_OVERRIDE=FQ","FILING_STATUS=MR","SCALING_FORMAT=MLN","Sort=A","Dates=H","DateFormat=P","Fill=—","Direction=H","UseDPDF=Y")</f>
        <v>-61.378999999999998</v>
      </c>
      <c r="Y12" s="12" cm="1">
        <f t="array" ref="Y12">_xll.BDH("NUE US Equity","OTHER_NON_CASH_ADJ_LESS_DETAILED","FQ1 2024","FQ1 2024","Currency=USD","Period=FQ","BEST_FPERIOD_OVERRIDE=FQ","FILING_STATUS=MR","SCALING_FORMAT=MLN","Sort=A","Dates=H","DateFormat=P","Fill=—","Direction=H","UseDPDF=Y")</f>
        <v>279.62</v>
      </c>
      <c r="Z12" s="12" cm="1">
        <f t="array" ref="Z12">_xll.BDH("NUE US Equity","OTHER_NON_CASH_ADJ_LESS_DETAILED","FQ2 2024","FQ2 2024","Currency=USD","Period=FQ","BEST_FPERIOD_OVERRIDE=FQ","FILING_STATUS=MR","SCALING_FORMAT=MLN","Sort=A","Dates=H","DateFormat=P","Fill=—","Direction=H","UseDPDF=Y")</f>
        <v>-48.8</v>
      </c>
      <c r="AA12" s="12" cm="1">
        <f t="array" ref="AA12">_xll.BDH("NUE US Equity","OTHER_NON_CASH_ADJ_LESS_DETAILED","FQ3 2024","FQ3 2024","Currency=USD","Period=FQ","BEST_FPERIOD_OVERRIDE=FQ","FILING_STATUS=MR","SCALING_FORMAT=MLN","Sort=A","Dates=H","DateFormat=P","Fill=—","Direction=H","UseDPDF=Y")</f>
        <v>216.18899999999999</v>
      </c>
      <c r="AB12" s="12" cm="1">
        <f t="array" ref="AB12">_xll.BDH("NUE US Equity","OTHER_NON_CASH_ADJ_LESS_DETAILED","FQ4 2024","FQ4 2024","Currency=USD","Period=FQ","BEST_FPERIOD_OVERRIDE=FQ","FILING_STATUS=MR","SCALING_FORMAT=MLN","Sort=A","Dates=H","DateFormat=P","Fill=—","Direction=H","UseDPDF=Y")</f>
        <v>-95.009</v>
      </c>
      <c r="AC12" s="12" cm="1">
        <f t="array" ref="AC12">_xll.BDH("NUE US Equity","OTHER_NON_CASH_ADJ_LESS_DETAILED","FQ1 2025","FQ1 2025","Currency=USD","Period=FQ","BEST_FPERIOD_OVERRIDE=FQ","FILING_STATUS=MR","SCALING_FORMAT=MLN","Sort=A","Dates=H","DateFormat=P","Fill=—","Direction=H","UseDPDF=Y")</f>
        <v>144</v>
      </c>
      <c r="AD12" s="12" cm="1">
        <f t="array" ref="AD12">_xll.BDH("NUE US Equity","OTHER_NON_CASH_ADJ_LESS_DETAILED","FQ2 2025","FQ2 2025","Currency=USD","Period=FQ","BEST_FPERIOD_OVERRIDE=FQ","FILING_STATUS=MR","SCALING_FORMAT=MLN","Sort=A","Dates=H","DateFormat=P","Fill=—","Direction=H","UseDPDF=Y")</f>
        <v>81</v>
      </c>
      <c r="AE12" s="12" cm="1">
        <f t="array" ref="AE12">_xll.BDH("NUE US Equity","OTHER_NON_CASH_ADJ_LESS_DETAILED","FQ3 2025","FQ3 2025","Currency=USD","Period=FQ","BEST_FPERIOD_OVERRIDE=FQ","FILING_STATUS=MR","SCALING_FORMAT=MLN","Sort=A","Dates=H","DateFormat=P","Fill=—","Direction=H","UseDPDF=Y")</f>
        <v>55</v>
      </c>
      <c r="AF12" s="12" cm="1">
        <f t="array" ref="AF12">_xll.BDH("NUE US Equity","OTHER_NON_CASH_ADJ_LESS_DETAILED","FQ4 2025","FQ4 2025","Currency=USD","Period=FQ","BEST_FPERIOD_OVERRIDE=FQ","FILING_STATUS=MR","SCALING_FORMAT=MLN","Sort=A","Dates=H","DateFormat=P","Fill=—","Direction=H","UseDPDF=Y")</f>
        <v>24</v>
      </c>
    </row>
    <row r="13" spans="1:32" x14ac:dyDescent="0.25">
      <c r="A13" s="10" t="s">
        <v>78</v>
      </c>
      <c r="B13" s="10" t="s">
        <v>79</v>
      </c>
      <c r="C13" s="12" cm="1">
        <f t="array" ref="C13">_xll.BDH("NUE US Equity","CF_CHNG_NON_CASH_WORK_CAP","FQ3 2018","FQ3 2018","Currency=USD","Period=FQ","BEST_FPERIOD_OVERRIDE=FQ","FILING_STATUS=MR","SCALING_FORMAT=MLN","Sort=A","Dates=H","DateFormat=P","Fill=—","Direction=H","UseDPDF=Y")</f>
        <v>12.042999999999999</v>
      </c>
      <c r="D13" s="12" cm="1">
        <f t="array" ref="D13">_xll.BDH("NUE US Equity","CF_CHNG_NON_CASH_WORK_CAP","FQ4 2018","FQ4 2018","Currency=USD","Period=FQ","BEST_FPERIOD_OVERRIDE=FQ","FILING_STATUS=MR","SCALING_FORMAT=MLN","Sort=A","Dates=H","DateFormat=P","Fill=—","Direction=H","UseDPDF=Y")</f>
        <v>-285.363</v>
      </c>
      <c r="E13" s="12" cm="1">
        <f t="array" ref="E13">_xll.BDH("NUE US Equity","CF_CHNG_NON_CASH_WORK_CAP","FQ1 2019","FQ1 2019","Currency=USD","Period=FQ","BEST_FPERIOD_OVERRIDE=FQ","FILING_STATUS=MR","SCALING_FORMAT=MLN","Sort=A","Dates=H","DateFormat=P","Fill=—","Direction=H","UseDPDF=Y")</f>
        <v>-101.825</v>
      </c>
      <c r="F13" s="12" cm="1">
        <f t="array" ref="F13">_xll.BDH("NUE US Equity","CF_CHNG_NON_CASH_WORK_CAP","FQ2 2019","FQ2 2019","Currency=USD","Period=FQ","BEST_FPERIOD_OVERRIDE=FQ","FILING_STATUS=MR","SCALING_FORMAT=MLN","Sort=A","Dates=H","DateFormat=P","Fill=—","Direction=H","UseDPDF=Y")</f>
        <v>-97.016000000000005</v>
      </c>
      <c r="G13" s="12" cm="1">
        <f t="array" ref="G13">_xll.BDH("NUE US Equity","CF_CHNG_NON_CASH_WORK_CAP","FQ3 2019","FQ3 2019","Currency=USD","Period=FQ","BEST_FPERIOD_OVERRIDE=FQ","FILING_STATUS=MR","SCALING_FORMAT=MLN","Sort=A","Dates=H","DateFormat=P","Fill=—","Direction=H","UseDPDF=Y")</f>
        <v>358.26600000000002</v>
      </c>
      <c r="H13" s="12" cm="1">
        <f t="array" ref="H13">_xll.BDH("NUE US Equity","CF_CHNG_NON_CASH_WORK_CAP","FQ4 2019","FQ4 2019","Currency=USD","Period=FQ","BEST_FPERIOD_OVERRIDE=FQ","FILING_STATUS=MR","SCALING_FORMAT=MLN","Sort=A","Dates=H","DateFormat=P","Fill=—","Direction=H","UseDPDF=Y")</f>
        <v>294.02300000000002</v>
      </c>
      <c r="I13" s="12" cm="1">
        <f t="array" ref="I13">_xll.BDH("NUE US Equity","CF_CHNG_NON_CASH_WORK_CAP","FQ1 2020","FQ1 2020","Currency=USD","Period=FQ","BEST_FPERIOD_OVERRIDE=FQ","FILING_STATUS=MR","SCALING_FORMAT=MLN","Sort=A","Dates=H","DateFormat=P","Fill=—","Direction=H","UseDPDF=Y")</f>
        <v>-354.81099999999998</v>
      </c>
      <c r="J13" s="12" cm="1">
        <f t="array" ref="J13">_xll.BDH("NUE US Equity","CF_CHNG_NON_CASH_WORK_CAP","FQ2 2020","FQ2 2020","Currency=USD","Period=FQ","BEST_FPERIOD_OVERRIDE=FQ","FILING_STATUS=MR","SCALING_FORMAT=MLN","Sort=A","Dates=H","DateFormat=P","Fill=—","Direction=H","UseDPDF=Y")</f>
        <v>694.08600000000001</v>
      </c>
      <c r="K13" s="12" cm="1">
        <f t="array" ref="K13">_xll.BDH("NUE US Equity","CF_CHNG_NON_CASH_WORK_CAP","FQ3 2020","FQ3 2020","Currency=USD","Period=FQ","BEST_FPERIOD_OVERRIDE=FQ","FILING_STATUS=MR","SCALING_FORMAT=MLN","Sort=A","Dates=H","DateFormat=P","Fill=—","Direction=H","UseDPDF=Y")</f>
        <v>253.685</v>
      </c>
      <c r="L13" s="12" cm="1">
        <f t="array" ref="L13">_xll.BDH("NUE US Equity","CF_CHNG_NON_CASH_WORK_CAP","FQ4 2020","FQ4 2020","Currency=USD","Period=FQ","BEST_FPERIOD_OVERRIDE=FQ","FILING_STATUS=MR","SCALING_FORMAT=MLN","Sort=A","Dates=H","DateFormat=P","Fill=—","Direction=H","UseDPDF=Y")</f>
        <v>-426.05200000000002</v>
      </c>
      <c r="M13" s="12" cm="1">
        <f t="array" ref="M13">_xll.BDH("NUE US Equity","CF_CHNG_NON_CASH_WORK_CAP","FQ1 2021","FQ1 2021","Currency=USD","Period=FQ","BEST_FPERIOD_OVERRIDE=FQ","FILING_STATUS=MR","SCALING_FORMAT=MLN","Sort=A","Dates=H","DateFormat=P","Fill=—","Direction=H","UseDPDF=Y")</f>
        <v>-824.50900000000001</v>
      </c>
      <c r="N13" s="12" cm="1">
        <f t="array" ref="N13">_xll.BDH("NUE US Equity","CF_CHNG_NON_CASH_WORK_CAP","FQ2 2021","FQ2 2021","Currency=USD","Period=FQ","BEST_FPERIOD_OVERRIDE=FQ","FILING_STATUS=MR","SCALING_FORMAT=MLN","Sort=A","Dates=H","DateFormat=P","Fill=—","Direction=H","UseDPDF=Y")</f>
        <v>-540.27300000000002</v>
      </c>
      <c r="O13" s="12" cm="1">
        <f t="array" ref="O13">_xll.BDH("NUE US Equity","CF_CHNG_NON_CASH_WORK_CAP","FQ3 2021","FQ3 2021","Currency=USD","Period=FQ","BEST_FPERIOD_OVERRIDE=FQ","FILING_STATUS=MR","SCALING_FORMAT=MLN","Sort=A","Dates=H","DateFormat=P","Fill=—","Direction=H","UseDPDF=Y")</f>
        <v>-794.03399999999999</v>
      </c>
      <c r="P13" s="12" cm="1">
        <f t="array" ref="P13">_xll.BDH("NUE US Equity","CF_CHNG_NON_CASH_WORK_CAP","FQ4 2021","FQ4 2021","Currency=USD","Period=FQ","BEST_FPERIOD_OVERRIDE=FQ","FILING_STATUS=MR","SCALING_FORMAT=MLN","Sort=A","Dates=H","DateFormat=P","Fill=—","Direction=H","UseDPDF=Y")</f>
        <v>153.53700000000001</v>
      </c>
      <c r="Q13" s="12" cm="1">
        <f t="array" ref="Q13">_xll.BDH("NUE US Equity","CF_CHNG_NON_CASH_WORK_CAP","FQ1 2022","FQ1 2022","Currency=USD","Period=FQ","BEST_FPERIOD_OVERRIDE=FQ","FILING_STATUS=MR","SCALING_FORMAT=MLN","Sort=A","Dates=H","DateFormat=P","Fill=—","Direction=H","UseDPDF=Y")</f>
        <v>-119.794</v>
      </c>
      <c r="R13" s="12" cm="1">
        <f t="array" ref="R13">_xll.BDH("NUE US Equity","CF_CHNG_NON_CASH_WORK_CAP","FQ2 2022","FQ2 2022","Currency=USD","Period=FQ","BEST_FPERIOD_OVERRIDE=FQ","FILING_STATUS=MR","SCALING_FORMAT=MLN","Sort=A","Dates=H","DateFormat=P","Fill=—","Direction=H","UseDPDF=Y")</f>
        <v>-708.00599999999997</v>
      </c>
      <c r="S13" s="12" cm="1">
        <f t="array" ref="S13">_xll.BDH("NUE US Equity","CF_CHNG_NON_CASH_WORK_CAP","FQ3 2022","FQ3 2022","Currency=USD","Period=FQ","BEST_FPERIOD_OVERRIDE=FQ","FILING_STATUS=MR","SCALING_FORMAT=MLN","Sort=A","Dates=H","DateFormat=P","Fill=—","Direction=H","UseDPDF=Y")</f>
        <v>613.26499999999999</v>
      </c>
      <c r="T13" s="12" cm="1">
        <f t="array" ref="T13">_xll.BDH("NUE US Equity","CF_CHNG_NON_CASH_WORK_CAP","FQ4 2022","FQ4 2022","Currency=USD","Period=FQ","BEST_FPERIOD_OVERRIDE=FQ","FILING_STATUS=MR","SCALING_FORMAT=MLN","Sort=A","Dates=H","DateFormat=P","Fill=—","Direction=H","UseDPDF=Y")</f>
        <v>999.596</v>
      </c>
      <c r="U13" s="12" cm="1">
        <f t="array" ref="U13">_xll.BDH("NUE US Equity","CF_CHNG_NON_CASH_WORK_CAP","FQ1 2023","FQ1 2023","Currency=USD","Period=FQ","BEST_FPERIOD_OVERRIDE=FQ","FILING_STATUS=MR","SCALING_FORMAT=MLN","Sort=A","Dates=H","DateFormat=P","Fill=—","Direction=H","UseDPDF=Y")</f>
        <v>-339.74099999999999</v>
      </c>
      <c r="V13" s="12" cm="1">
        <f t="array" ref="V13">_xll.BDH("NUE US Equity","CF_CHNG_NON_CASH_WORK_CAP","FQ2 2023","FQ2 2023","Currency=USD","Period=FQ","BEST_FPERIOD_OVERRIDE=FQ","FILING_STATUS=MR","SCALING_FORMAT=MLN","Sort=A","Dates=H","DateFormat=P","Fill=—","Direction=H","UseDPDF=Y")</f>
        <v>-40.591000000000001</v>
      </c>
      <c r="W13" s="12" cm="1">
        <f t="array" ref="W13">_xll.BDH("NUE US Equity","CF_CHNG_NON_CASH_WORK_CAP","FQ3 2023","FQ3 2023","Currency=USD","Period=FQ","BEST_FPERIOD_OVERRIDE=FQ","FILING_STATUS=MR","SCALING_FORMAT=MLN","Sort=A","Dates=H","DateFormat=P","Fill=—","Direction=H","UseDPDF=Y")</f>
        <v>819.12900000000002</v>
      </c>
      <c r="X13" s="12" cm="1">
        <f t="array" ref="X13">_xll.BDH("NUE US Equity","CF_CHNG_NON_CASH_WORK_CAP","FQ4 2023","FQ4 2023","Currency=USD","Period=FQ","BEST_FPERIOD_OVERRIDE=FQ","FILING_STATUS=MR","SCALING_FORMAT=MLN","Sort=A","Dates=H","DateFormat=P","Fill=—","Direction=H","UseDPDF=Y")</f>
        <v>408.61700000000002</v>
      </c>
      <c r="Y13" s="12" cm="1">
        <f t="array" ref="Y13">_xll.BDH("NUE US Equity","CF_CHNG_NON_CASH_WORK_CAP","FQ1 2024","FQ1 2024","Currency=USD","Period=FQ","BEST_FPERIOD_OVERRIDE=FQ","FILING_STATUS=MR","SCALING_FORMAT=MLN","Sort=A","Dates=H","DateFormat=P","Fill=—","Direction=H","UseDPDF=Y")</f>
        <v>-962.14300000000003</v>
      </c>
      <c r="Z13" s="12" cm="1">
        <f t="array" ref="Z13">_xll.BDH("NUE US Equity","CF_CHNG_NON_CASH_WORK_CAP","FQ2 2024","FQ2 2024","Currency=USD","Period=FQ","BEST_FPERIOD_OVERRIDE=FQ","FILING_STATUS=MR","SCALING_FORMAT=MLN","Sort=A","Dates=H","DateFormat=P","Fill=—","Direction=H","UseDPDF=Y")</f>
        <v>533.60599999999999</v>
      </c>
      <c r="AA13" s="12" cm="1">
        <f t="array" ref="AA13">_xll.BDH("NUE US Equity","CF_CHNG_NON_CASH_WORK_CAP","FQ3 2024","FQ3 2024","Currency=USD","Period=FQ","BEST_FPERIOD_OVERRIDE=FQ","FILING_STATUS=MR","SCALING_FORMAT=MLN","Sort=A","Dates=H","DateFormat=P","Fill=—","Direction=H","UseDPDF=Y")</f>
        <v>467.44299999999998</v>
      </c>
      <c r="AB13" s="12" cm="1">
        <f t="array" ref="AB13">_xll.BDH("NUE US Equity","CF_CHNG_NON_CASH_WORK_CAP","FQ4 2024","FQ4 2024","Currency=USD","Period=FQ","BEST_FPERIOD_OVERRIDE=FQ","FILING_STATUS=MR","SCALING_FORMAT=MLN","Sort=A","Dates=H","DateFormat=P","Fill=—","Direction=H","UseDPDF=Y")</f>
        <v>189.09399999999999</v>
      </c>
      <c r="AC13" s="12" cm="1">
        <f t="array" ref="AC13">_xll.BDH("NUE US Equity","CF_CHNG_NON_CASH_WORK_CAP","FQ1 2025","FQ1 2025","Currency=USD","Period=FQ","BEST_FPERIOD_OVERRIDE=FQ","FILING_STATUS=MR","SCALING_FORMAT=MLN","Sort=A","Dates=H","DateFormat=P","Fill=—","Direction=H","UseDPDF=Y")</f>
        <v>-299</v>
      </c>
      <c r="AD13" s="12" cm="1">
        <f t="array" ref="AD13">_xll.BDH("NUE US Equity","CF_CHNG_NON_CASH_WORK_CAP","FQ2 2025","FQ2 2025","Currency=USD","Period=FQ","BEST_FPERIOD_OVERRIDE=FQ","FILING_STATUS=MR","SCALING_FORMAT=MLN","Sort=A","Dates=H","DateFormat=P","Fill=—","Direction=H","UseDPDF=Y")</f>
        <v>-384</v>
      </c>
      <c r="AE13" s="12" cm="1">
        <f t="array" ref="AE13">_xll.BDH("NUE US Equity","CF_CHNG_NON_CASH_WORK_CAP","FQ3 2025","FQ3 2025","Currency=USD","Period=FQ","BEST_FPERIOD_OVERRIDE=FQ","FILING_STATUS=MR","SCALING_FORMAT=MLN","Sort=A","Dates=H","DateFormat=P","Fill=—","Direction=H","UseDPDF=Y")</f>
        <v>267</v>
      </c>
      <c r="AF13" s="12" cm="1">
        <f t="array" ref="AF13">_xll.BDH("NUE US Equity","CF_CHNG_NON_CASH_WORK_CAP","FQ4 2025","FQ4 2025","Currency=USD","Period=FQ","BEST_FPERIOD_OVERRIDE=FQ","FILING_STATUS=MR","SCALING_FORMAT=MLN","Sort=A","Dates=H","DateFormat=P","Fill=—","Direction=H","UseDPDF=Y")</f>
        <v>-172</v>
      </c>
    </row>
    <row r="14" spans="1:32" x14ac:dyDescent="0.25">
      <c r="A14" s="10" t="s">
        <v>80</v>
      </c>
      <c r="B14" s="10" t="s">
        <v>81</v>
      </c>
      <c r="C14" s="12" cm="1">
        <f t="array" ref="C14">_xll.BDH("NUE US Equity","CF_ACCT_RCV_UNBILLED_REV","FQ3 2018","FQ3 2018","Currency=USD","Period=FQ","BEST_FPERIOD_OVERRIDE=FQ","FILING_STATUS=MR","SCALING_FORMAT=MLN","Sort=A","Dates=H","DateFormat=P","Fill=—","Direction=H","UseDPDF=Y")</f>
        <v>-12.704000000000001</v>
      </c>
      <c r="D14" s="12" cm="1">
        <f t="array" ref="D14">_xll.BDH("NUE US Equity","CF_ACCT_RCV_UNBILLED_REV","FQ4 2018","FQ4 2018","Currency=USD","Period=FQ","BEST_FPERIOD_OVERRIDE=FQ","FILING_STATUS=MR","SCALING_FORMAT=MLN","Sort=A","Dates=H","DateFormat=P","Fill=—","Direction=H","UseDPDF=Y")</f>
        <v>129.685</v>
      </c>
      <c r="E14" s="12" cm="1">
        <f t="array" ref="E14">_xll.BDH("NUE US Equity","CF_ACCT_RCV_UNBILLED_REV","FQ1 2019","FQ1 2019","Currency=USD","Period=FQ","BEST_FPERIOD_OVERRIDE=FQ","FILING_STATUS=MR","SCALING_FORMAT=MLN","Sort=A","Dates=H","DateFormat=P","Fill=—","Direction=H","UseDPDF=Y")</f>
        <v>21.957999999999998</v>
      </c>
      <c r="F14" s="12" cm="1">
        <f t="array" ref="F14">_xll.BDH("NUE US Equity","CF_ACCT_RCV_UNBILLED_REV","FQ2 2019","FQ2 2019","Currency=USD","Period=FQ","BEST_FPERIOD_OVERRIDE=FQ","FILING_STATUS=MR","SCALING_FORMAT=MLN","Sort=A","Dates=H","DateFormat=P","Fill=—","Direction=H","UseDPDF=Y")</f>
        <v>90.057000000000002</v>
      </c>
      <c r="G14" s="12" cm="1">
        <f t="array" ref="G14">_xll.BDH("NUE US Equity","CF_ACCT_RCV_UNBILLED_REV","FQ3 2019","FQ3 2019","Currency=USD","Period=FQ","BEST_FPERIOD_OVERRIDE=FQ","FILING_STATUS=MR","SCALING_FORMAT=MLN","Sort=A","Dates=H","DateFormat=P","Fill=—","Direction=H","UseDPDF=Y")</f>
        <v>85.768000000000001</v>
      </c>
      <c r="H14" s="12" cm="1">
        <f t="array" ref="H14">_xll.BDH("NUE US Equity","CF_ACCT_RCV_UNBILLED_REV","FQ4 2019","FQ4 2019","Currency=USD","Period=FQ","BEST_FPERIOD_OVERRIDE=FQ","FILING_STATUS=MR","SCALING_FORMAT=MLN","Sort=A","Dates=H","DateFormat=P","Fill=—","Direction=H","UseDPDF=Y")</f>
        <v>163.55699999999999</v>
      </c>
      <c r="I14" s="12" cm="1">
        <f t="array" ref="I14">_xll.BDH("NUE US Equity","CF_ACCT_RCV_UNBILLED_REV","FQ1 2020","FQ1 2020","Currency=USD","Period=FQ","BEST_FPERIOD_OVERRIDE=FQ","FILING_STATUS=MR","SCALING_FORMAT=MLN","Sort=A","Dates=H","DateFormat=P","Fill=—","Direction=H","UseDPDF=Y")</f>
        <v>-124.036</v>
      </c>
      <c r="J14" s="12" cm="1">
        <f t="array" ref="J14">_xll.BDH("NUE US Equity","CF_ACCT_RCV_UNBILLED_REV","FQ2 2020","FQ2 2020","Currency=USD","Period=FQ","BEST_FPERIOD_OVERRIDE=FQ","FILING_STATUS=MR","SCALING_FORMAT=MLN","Sort=A","Dates=H","DateFormat=P","Fill=—","Direction=H","UseDPDF=Y")</f>
        <v>388.46</v>
      </c>
      <c r="K14" s="12" cm="1">
        <f t="array" ref="K14">_xll.BDH("NUE US Equity","CF_ACCT_RCV_UNBILLED_REV","FQ3 2020","FQ3 2020","Currency=USD","Period=FQ","BEST_FPERIOD_OVERRIDE=FQ","FILING_STATUS=MR","SCALING_FORMAT=MLN","Sort=A","Dates=H","DateFormat=P","Fill=—","Direction=H","UseDPDF=Y")</f>
        <v>-226.87700000000001</v>
      </c>
      <c r="L14" s="12" cm="1">
        <f t="array" ref="L14">_xll.BDH("NUE US Equity","CF_ACCT_RCV_UNBILLED_REV","FQ4 2020","FQ4 2020","Currency=USD","Period=FQ","BEST_FPERIOD_OVERRIDE=FQ","FILING_STATUS=MR","SCALING_FORMAT=MLN","Sort=A","Dates=H","DateFormat=P","Fill=—","Direction=H","UseDPDF=Y")</f>
        <v>-166.83699999999999</v>
      </c>
      <c r="M14" s="12" cm="1">
        <f t="array" ref="M14">_xll.BDH("NUE US Equity","CF_ACCT_RCV_UNBILLED_REV","FQ1 2021","FQ1 2021","Currency=USD","Period=FQ","BEST_FPERIOD_OVERRIDE=FQ","FILING_STATUS=MR","SCALING_FORMAT=MLN","Sort=A","Dates=H","DateFormat=P","Fill=—","Direction=H","UseDPDF=Y")</f>
        <v>-524.57000000000005</v>
      </c>
      <c r="N14" s="12" cm="1">
        <f t="array" ref="N14">_xll.BDH("NUE US Equity","CF_ACCT_RCV_UNBILLED_REV","FQ2 2021","FQ2 2021","Currency=USD","Period=FQ","BEST_FPERIOD_OVERRIDE=FQ","FILING_STATUS=MR","SCALING_FORMAT=MLN","Sort=A","Dates=H","DateFormat=P","Fill=—","Direction=H","UseDPDF=Y")</f>
        <v>-568.45100000000002</v>
      </c>
      <c r="O14" s="12" cm="1">
        <f t="array" ref="O14">_xll.BDH("NUE US Equity","CF_ACCT_RCV_UNBILLED_REV","FQ3 2021","FQ3 2021","Currency=USD","Period=FQ","BEST_FPERIOD_OVERRIDE=FQ","FILING_STATUS=MR","SCALING_FORMAT=MLN","Sort=A","Dates=H","DateFormat=P","Fill=—","Direction=H","UseDPDF=Y")</f>
        <v>-529.64700000000005</v>
      </c>
      <c r="P14" s="12" cm="1">
        <f t="array" ref="P14">_xll.BDH("NUE US Equity","CF_ACCT_RCV_UNBILLED_REV","FQ4 2021","FQ4 2021","Currency=USD","Period=FQ","BEST_FPERIOD_OVERRIDE=FQ","FILING_STATUS=MR","SCALING_FORMAT=MLN","Sort=A","Dates=H","DateFormat=P","Fill=—","Direction=H","UseDPDF=Y")</f>
        <v>230.584</v>
      </c>
      <c r="Q14" s="12" cm="1">
        <f t="array" ref="Q14">_xll.BDH("NUE US Equity","CF_ACCT_RCV_UNBILLED_REV","FQ1 2022","FQ1 2022","Currency=USD","Period=FQ","BEST_FPERIOD_OVERRIDE=FQ","FILING_STATUS=MR","SCALING_FORMAT=MLN","Sort=A","Dates=H","DateFormat=P","Fill=—","Direction=H","UseDPDF=Y")</f>
        <v>-92.394000000000005</v>
      </c>
      <c r="R14" s="12" cm="1">
        <f t="array" ref="R14">_xll.BDH("NUE US Equity","CF_ACCT_RCV_UNBILLED_REV","FQ2 2022","FQ2 2022","Currency=USD","Period=FQ","BEST_FPERIOD_OVERRIDE=FQ","FILING_STATUS=MR","SCALING_FORMAT=MLN","Sort=A","Dates=H","DateFormat=P","Fill=—","Direction=H","UseDPDF=Y")</f>
        <v>-556.17499999999995</v>
      </c>
      <c r="S14" s="12" cm="1">
        <f t="array" ref="S14">_xll.BDH("NUE US Equity","CF_ACCT_RCV_UNBILLED_REV","FQ3 2022","FQ3 2022","Currency=USD","Period=FQ","BEST_FPERIOD_OVERRIDE=FQ","FILING_STATUS=MR","SCALING_FORMAT=MLN","Sort=A","Dates=H","DateFormat=P","Fill=—","Direction=H","UseDPDF=Y")</f>
        <v>543.81799999999998</v>
      </c>
      <c r="T14" s="12" cm="1">
        <f t="array" ref="T14">_xll.BDH("NUE US Equity","CF_ACCT_RCV_UNBILLED_REV","FQ4 2022","FQ4 2022","Currency=USD","Period=FQ","BEST_FPERIOD_OVERRIDE=FQ","FILING_STATUS=MR","SCALING_FORMAT=MLN","Sort=A","Dates=H","DateFormat=P","Fill=—","Direction=H","UseDPDF=Y")</f>
        <v>605.976</v>
      </c>
      <c r="U14" s="12" cm="1">
        <f t="array" ref="U14">_xll.BDH("NUE US Equity","CF_ACCT_RCV_UNBILLED_REV","FQ1 2023","FQ1 2023","Currency=USD","Period=FQ","BEST_FPERIOD_OVERRIDE=FQ","FILING_STATUS=MR","SCALING_FORMAT=MLN","Sort=A","Dates=H","DateFormat=P","Fill=—","Direction=H","UseDPDF=Y")</f>
        <v>-67.504999999999995</v>
      </c>
      <c r="V14" s="12" cm="1">
        <f t="array" ref="V14">_xll.BDH("NUE US Equity","CF_ACCT_RCV_UNBILLED_REV","FQ2 2023","FQ2 2023","Currency=USD","Period=FQ","BEST_FPERIOD_OVERRIDE=FQ","FILING_STATUS=MR","SCALING_FORMAT=MLN","Sort=A","Dates=H","DateFormat=P","Fill=—","Direction=H","UseDPDF=Y")</f>
        <v>-202.809</v>
      </c>
      <c r="W14" s="12" cm="1">
        <f t="array" ref="W14">_xll.BDH("NUE US Equity","CF_ACCT_RCV_UNBILLED_REV","FQ3 2023","FQ3 2023","Currency=USD","Period=FQ","BEST_FPERIOD_OVERRIDE=FQ","FILING_STATUS=MR","SCALING_FORMAT=MLN","Sort=A","Dates=H","DateFormat=P","Fill=—","Direction=H","UseDPDF=Y")</f>
        <v>441.935</v>
      </c>
      <c r="X14" s="12" cm="1">
        <f t="array" ref="X14">_xll.BDH("NUE US Equity","CF_ACCT_RCV_UNBILLED_REV","FQ4 2023","FQ4 2023","Currency=USD","Period=FQ","BEST_FPERIOD_OVERRIDE=FQ","FILING_STATUS=MR","SCALING_FORMAT=MLN","Sort=A","Dates=H","DateFormat=P","Fill=—","Direction=H","UseDPDF=Y")</f>
        <v>492.20400000000001</v>
      </c>
      <c r="Y14" s="12" cm="1">
        <f t="array" ref="Y14">_xll.BDH("NUE US Equity","CF_ACCT_RCV_UNBILLED_REV","FQ1 2024","FQ1 2024","Currency=USD","Period=FQ","BEST_FPERIOD_OVERRIDE=FQ","FILING_STATUS=MR","SCALING_FORMAT=MLN","Sort=A","Dates=H","DateFormat=P","Fill=—","Direction=H","UseDPDF=Y")</f>
        <v>-207.68199999999999</v>
      </c>
      <c r="Z14" s="12" cm="1">
        <f t="array" ref="Z14">_xll.BDH("NUE US Equity","CF_ACCT_RCV_UNBILLED_REV","FQ2 2024","FQ2 2024","Currency=USD","Period=FQ","BEST_FPERIOD_OVERRIDE=FQ","FILING_STATUS=MR","SCALING_FORMAT=MLN","Sort=A","Dates=H","DateFormat=P","Fill=—","Direction=H","UseDPDF=Y")</f>
        <v>53.826000000000001</v>
      </c>
      <c r="AA14" s="12" cm="1">
        <f t="array" ref="AA14">_xll.BDH("NUE US Equity","CF_ACCT_RCV_UNBILLED_REV","FQ3 2024","FQ3 2024","Currency=USD","Period=FQ","BEST_FPERIOD_OVERRIDE=FQ","FILING_STATUS=MR","SCALING_FORMAT=MLN","Sort=A","Dates=H","DateFormat=P","Fill=—","Direction=H","UseDPDF=Y")</f>
        <v>200.679</v>
      </c>
      <c r="AB14" s="12" cm="1">
        <f t="array" ref="AB14">_xll.BDH("NUE US Equity","CF_ACCT_RCV_UNBILLED_REV","FQ4 2024","FQ4 2024","Currency=USD","Period=FQ","BEST_FPERIOD_OVERRIDE=FQ","FILING_STATUS=MR","SCALING_FORMAT=MLN","Sort=A","Dates=H","DateFormat=P","Fill=—","Direction=H","UseDPDF=Y")</f>
        <v>272.17700000000002</v>
      </c>
      <c r="AC14" s="12" cm="1">
        <f t="array" ref="AC14">_xll.BDH("NUE US Equity","CF_ACCT_RCV_UNBILLED_REV","FQ1 2025","FQ1 2025","Currency=USD","Period=FQ","BEST_FPERIOD_OVERRIDE=FQ","FILING_STATUS=MR","SCALING_FORMAT=MLN","Sort=A","Dates=H","DateFormat=P","Fill=—","Direction=H","UseDPDF=Y")</f>
        <v>-291</v>
      </c>
      <c r="AD14" s="12" cm="1">
        <f t="array" ref="AD14">_xll.BDH("NUE US Equity","CF_ACCT_RCV_UNBILLED_REV","FQ2 2025","FQ2 2025","Currency=USD","Period=FQ","BEST_FPERIOD_OVERRIDE=FQ","FILING_STATUS=MR","SCALING_FORMAT=MLN","Sort=A","Dates=H","DateFormat=P","Fill=—","Direction=H","UseDPDF=Y")</f>
        <v>-415</v>
      </c>
      <c r="AE14" s="12" cm="1">
        <f t="array" ref="AE14">_xll.BDH("NUE US Equity","CF_ACCT_RCV_UNBILLED_REV","FQ3 2025","FQ3 2025","Currency=USD","Period=FQ","BEST_FPERIOD_OVERRIDE=FQ","FILING_STATUS=MR","SCALING_FORMAT=MLN","Sort=A","Dates=H","DateFormat=P","Fill=—","Direction=H","UseDPDF=Y")</f>
        <v>92</v>
      </c>
      <c r="AF14" s="12" cm="1">
        <f t="array" ref="AF14">_xll.BDH("NUE US Equity","CF_ACCT_RCV_UNBILLED_REV","FQ4 2025","FQ4 2025","Currency=USD","Period=FQ","BEST_FPERIOD_OVERRIDE=FQ","FILING_STATUS=MR","SCALING_FORMAT=MLN","Sort=A","Dates=H","DateFormat=P","Fill=—","Direction=H","UseDPDF=Y")</f>
        <v>186</v>
      </c>
    </row>
    <row r="15" spans="1:32" x14ac:dyDescent="0.25">
      <c r="A15" s="10" t="s">
        <v>82</v>
      </c>
      <c r="B15" s="10" t="s">
        <v>83</v>
      </c>
      <c r="C15" s="12" cm="1">
        <f t="array" ref="C15">_xll.BDH("NUE US Equity","CF_CHANGE_IN_INVENTORIES","FQ3 2018","FQ3 2018","Currency=USD","Period=FQ","BEST_FPERIOD_OVERRIDE=FQ","FILING_STATUS=MR","SCALING_FORMAT=MLN","Sort=A","Dates=H","DateFormat=P","Fill=—","Direction=H","UseDPDF=Y")</f>
        <v>31.401</v>
      </c>
      <c r="D15" s="12" cm="1">
        <f t="array" ref="D15">_xll.BDH("NUE US Equity","CF_CHANGE_IN_INVENTORIES","FQ4 2018","FQ4 2018","Currency=USD","Period=FQ","BEST_FPERIOD_OVERRIDE=FQ","FILING_STATUS=MR","SCALING_FORMAT=MLN","Sort=A","Dates=H","DateFormat=P","Fill=—","Direction=H","UseDPDF=Y")</f>
        <v>-447.23599999999999</v>
      </c>
      <c r="E15" s="12" cm="1">
        <f t="array" ref="E15">_xll.BDH("NUE US Equity","CF_CHANGE_IN_INVENTORIES","FQ1 2019","FQ1 2019","Currency=USD","Period=FQ","BEST_FPERIOD_OVERRIDE=FQ","FILING_STATUS=MR","SCALING_FORMAT=MLN","Sort=A","Dates=H","DateFormat=P","Fill=—","Direction=H","UseDPDF=Y")</f>
        <v>107.907</v>
      </c>
      <c r="F15" s="12" cm="1">
        <f t="array" ref="F15">_xll.BDH("NUE US Equity","CF_CHANGE_IN_INVENTORIES","FQ2 2019","FQ2 2019","Currency=USD","Period=FQ","BEST_FPERIOD_OVERRIDE=FQ","FILING_STATUS=MR","SCALING_FORMAT=MLN","Sort=A","Dates=H","DateFormat=P","Fill=—","Direction=H","UseDPDF=Y")</f>
        <v>173.21199999999999</v>
      </c>
      <c r="G15" s="12" cm="1">
        <f t="array" ref="G15">_xll.BDH("NUE US Equity","CF_CHANGE_IN_INVENTORIES","FQ3 2019","FQ3 2019","Currency=USD","Period=FQ","BEST_FPERIOD_OVERRIDE=FQ","FILING_STATUS=MR","SCALING_FORMAT=MLN","Sort=A","Dates=H","DateFormat=P","Fill=—","Direction=H","UseDPDF=Y")</f>
        <v>195.642</v>
      </c>
      <c r="H15" s="12" cm="1">
        <f t="array" ref="H15">_xll.BDH("NUE US Equity","CF_CHANGE_IN_INVENTORIES","FQ4 2019","FQ4 2019","Currency=USD","Period=FQ","BEST_FPERIOD_OVERRIDE=FQ","FILING_STATUS=MR","SCALING_FORMAT=MLN","Sort=A","Dates=H","DateFormat=P","Fill=—","Direction=H","UseDPDF=Y")</f>
        <v>235.88399999999999</v>
      </c>
      <c r="I15" s="12" cm="1">
        <f t="array" ref="I15">_xll.BDH("NUE US Equity","CF_CHANGE_IN_INVENTORIES","FQ1 2020","FQ1 2020","Currency=USD","Period=FQ","BEST_FPERIOD_OVERRIDE=FQ","FILING_STATUS=MR","SCALING_FORMAT=MLN","Sort=A","Dates=H","DateFormat=P","Fill=—","Direction=H","UseDPDF=Y")</f>
        <v>-41.993000000000002</v>
      </c>
      <c r="J15" s="12" cm="1">
        <f t="array" ref="J15">_xll.BDH("NUE US Equity","CF_CHANGE_IN_INVENTORIES","FQ2 2020","FQ2 2020","Currency=USD","Period=FQ","BEST_FPERIOD_OVERRIDE=FQ","FILING_STATUS=MR","SCALING_FORMAT=MLN","Sort=A","Dates=H","DateFormat=P","Fill=—","Direction=H","UseDPDF=Y")</f>
        <v>505.99700000000001</v>
      </c>
      <c r="K15" s="12" cm="1">
        <f t="array" ref="K15">_xll.BDH("NUE US Equity","CF_CHANGE_IN_INVENTORIES","FQ3 2020","FQ3 2020","Currency=USD","Period=FQ","BEST_FPERIOD_OVERRIDE=FQ","FILING_STATUS=MR","SCALING_FORMAT=MLN","Sort=A","Dates=H","DateFormat=P","Fill=—","Direction=H","UseDPDF=Y")</f>
        <v>126.43</v>
      </c>
      <c r="L15" s="12" cm="1">
        <f t="array" ref="L15">_xll.BDH("NUE US Equity","CF_CHANGE_IN_INVENTORIES","FQ4 2020","FQ4 2020","Currency=USD","Period=FQ","BEST_FPERIOD_OVERRIDE=FQ","FILING_STATUS=MR","SCALING_FORMAT=MLN","Sort=A","Dates=H","DateFormat=P","Fill=—","Direction=H","UseDPDF=Y")</f>
        <v>-306.35300000000001</v>
      </c>
      <c r="M15" s="12" cm="1">
        <f t="array" ref="M15">_xll.BDH("NUE US Equity","CF_CHANGE_IN_INVENTORIES","FQ1 2021","FQ1 2021","Currency=USD","Period=FQ","BEST_FPERIOD_OVERRIDE=FQ","FILING_STATUS=MR","SCALING_FORMAT=MLN","Sort=A","Dates=H","DateFormat=P","Fill=—","Direction=H","UseDPDF=Y")</f>
        <v>-795.94</v>
      </c>
      <c r="N15" s="12" cm="1">
        <f t="array" ref="N15">_xll.BDH("NUE US Equity","CF_CHANGE_IN_INVENTORIES","FQ2 2021","FQ2 2021","Currency=USD","Period=FQ","BEST_FPERIOD_OVERRIDE=FQ","FILING_STATUS=MR","SCALING_FORMAT=MLN","Sort=A","Dates=H","DateFormat=P","Fill=—","Direction=H","UseDPDF=Y")</f>
        <v>-878.02200000000005</v>
      </c>
      <c r="O15" s="12" cm="1">
        <f t="array" ref="O15">_xll.BDH("NUE US Equity","CF_CHANGE_IN_INVENTORIES","FQ3 2021","FQ3 2021","Currency=USD","Period=FQ","BEST_FPERIOD_OVERRIDE=FQ","FILING_STATUS=MR","SCALING_FORMAT=MLN","Sort=A","Dates=H","DateFormat=P","Fill=—","Direction=H","UseDPDF=Y")</f>
        <v>-302.77600000000001</v>
      </c>
      <c r="P15" s="12" cm="1">
        <f t="array" ref="P15">_xll.BDH("NUE US Equity","CF_CHANGE_IN_INVENTORIES","FQ4 2021","FQ4 2021","Currency=USD","Period=FQ","BEST_FPERIOD_OVERRIDE=FQ","FILING_STATUS=MR","SCALING_FORMAT=MLN","Sort=A","Dates=H","DateFormat=P","Fill=—","Direction=H","UseDPDF=Y")</f>
        <v>-330.59800000000001</v>
      </c>
      <c r="Q15" s="12" cm="1">
        <f t="array" ref="Q15">_xll.BDH("NUE US Equity","CF_CHANGE_IN_INVENTORIES","FQ1 2022","FQ1 2022","Currency=USD","Period=FQ","BEST_FPERIOD_OVERRIDE=FQ","FILING_STATUS=MR","SCALING_FORMAT=MLN","Sort=A","Dates=H","DateFormat=P","Fill=—","Direction=H","UseDPDF=Y")</f>
        <v>124.20099999999999</v>
      </c>
      <c r="R15" s="12" cm="1">
        <f t="array" ref="R15">_xll.BDH("NUE US Equity","CF_CHANGE_IN_INVENTORIES","FQ2 2022","FQ2 2022","Currency=USD","Period=FQ","BEST_FPERIOD_OVERRIDE=FQ","FILING_STATUS=MR","SCALING_FORMAT=MLN","Sort=A","Dates=H","DateFormat=P","Fill=—","Direction=H","UseDPDF=Y")</f>
        <v>-282.17700000000002</v>
      </c>
      <c r="S15" s="12" cm="1">
        <f t="array" ref="S15">_xll.BDH("NUE US Equity","CF_CHANGE_IN_INVENTORIES","FQ3 2022","FQ3 2022","Currency=USD","Period=FQ","BEST_FPERIOD_OVERRIDE=FQ","FILING_STATUS=MR","SCALING_FORMAT=MLN","Sort=A","Dates=H","DateFormat=P","Fill=—","Direction=H","UseDPDF=Y")</f>
        <v>529.04399999999998</v>
      </c>
      <c r="T15" s="12" cm="1">
        <f t="array" ref="T15">_xll.BDH("NUE US Equity","CF_CHANGE_IN_INVENTORIES","FQ4 2022","FQ4 2022","Currency=USD","Period=FQ","BEST_FPERIOD_OVERRIDE=FQ","FILING_STATUS=MR","SCALING_FORMAT=MLN","Sort=A","Dates=H","DateFormat=P","Fill=—","Direction=H","UseDPDF=Y")</f>
        <v>591.35599999999999</v>
      </c>
      <c r="U15" s="12" cm="1">
        <f t="array" ref="U15">_xll.BDH("NUE US Equity","CF_CHANGE_IN_INVENTORIES","FQ1 2023","FQ1 2023","Currency=USD","Period=FQ","BEST_FPERIOD_OVERRIDE=FQ","FILING_STATUS=MR","SCALING_FORMAT=MLN","Sort=A","Dates=H","DateFormat=P","Fill=—","Direction=H","UseDPDF=Y")</f>
        <v>-138.69399999999999</v>
      </c>
      <c r="V15" s="12" cm="1">
        <f t="array" ref="V15">_xll.BDH("NUE US Equity","CF_CHANGE_IN_INVENTORIES","FQ2 2023","FQ2 2023","Currency=USD","Period=FQ","BEST_FPERIOD_OVERRIDE=FQ","FILING_STATUS=MR","SCALING_FORMAT=MLN","Sort=A","Dates=H","DateFormat=P","Fill=—","Direction=H","UseDPDF=Y")</f>
        <v>-35.743000000000002</v>
      </c>
      <c r="W15" s="12" cm="1">
        <f t="array" ref="W15">_xll.BDH("NUE US Equity","CF_CHANGE_IN_INVENTORIES","FQ3 2023","FQ3 2023","Currency=USD","Period=FQ","BEST_FPERIOD_OVERRIDE=FQ","FILING_STATUS=MR","SCALING_FORMAT=MLN","Sort=A","Dates=H","DateFormat=P","Fill=—","Direction=H","UseDPDF=Y")</f>
        <v>383.49299999999999</v>
      </c>
      <c r="X15" s="12" cm="1">
        <f t="array" ref="X15">_xll.BDH("NUE US Equity","CF_CHANGE_IN_INVENTORIES","FQ4 2023","FQ4 2023","Currency=USD","Period=FQ","BEST_FPERIOD_OVERRIDE=FQ","FILING_STATUS=MR","SCALING_FORMAT=MLN","Sort=A","Dates=H","DateFormat=P","Fill=—","Direction=H","UseDPDF=Y")</f>
        <v>-284.09800000000001</v>
      </c>
      <c r="Y15" s="12" cm="1">
        <f t="array" ref="Y15">_xll.BDH("NUE US Equity","CF_CHANGE_IN_INVENTORIES","FQ1 2024","FQ1 2024","Currency=USD","Period=FQ","BEST_FPERIOD_OVERRIDE=FQ","FILING_STATUS=MR","SCALING_FORMAT=MLN","Sort=A","Dates=H","DateFormat=P","Fill=—","Direction=H","UseDPDF=Y")</f>
        <v>-13.98</v>
      </c>
      <c r="Z15" s="12" cm="1">
        <f t="array" ref="Z15">_xll.BDH("NUE US Equity","CF_CHANGE_IN_INVENTORIES","FQ2 2024","FQ2 2024","Currency=USD","Period=FQ","BEST_FPERIOD_OVERRIDE=FQ","FILING_STATUS=MR","SCALING_FORMAT=MLN","Sort=A","Dates=H","DateFormat=P","Fill=—","Direction=H","UseDPDF=Y")</f>
        <v>347.22699999999998</v>
      </c>
      <c r="AA15" s="12" cm="1">
        <f t="array" ref="AA15">_xll.BDH("NUE US Equity","CF_CHANGE_IN_INVENTORIES","FQ3 2024","FQ3 2024","Currency=USD","Period=FQ","BEST_FPERIOD_OVERRIDE=FQ","FILING_STATUS=MR","SCALING_FORMAT=MLN","Sort=A","Dates=H","DateFormat=P","Fill=—","Direction=H","UseDPDF=Y")</f>
        <v>162.80099999999999</v>
      </c>
      <c r="AB15" s="12" cm="1">
        <f t="array" ref="AB15">_xll.BDH("NUE US Equity","CF_CHANGE_IN_INVENTORIES","FQ4 2024","FQ4 2024","Currency=USD","Period=FQ","BEST_FPERIOD_OVERRIDE=FQ","FILING_STATUS=MR","SCALING_FORMAT=MLN","Sort=A","Dates=H","DateFormat=P","Fill=—","Direction=H","UseDPDF=Y")</f>
        <v>21.952000000000002</v>
      </c>
      <c r="AC15" s="12" cm="1">
        <f t="array" ref="AC15">_xll.BDH("NUE US Equity","CF_CHANGE_IN_INVENTORIES","FQ1 2025","FQ1 2025","Currency=USD","Period=FQ","BEST_FPERIOD_OVERRIDE=FQ","FILING_STATUS=MR","SCALING_FORMAT=MLN","Sort=A","Dates=H","DateFormat=P","Fill=—","Direction=H","UseDPDF=Y")</f>
        <v>-150</v>
      </c>
      <c r="AD15" s="12" cm="1">
        <f t="array" ref="AD15">_xll.BDH("NUE US Equity","CF_CHANGE_IN_INVENTORIES","FQ2 2025","FQ2 2025","Currency=USD","Period=FQ","BEST_FPERIOD_OVERRIDE=FQ","FILING_STATUS=MR","SCALING_FORMAT=MLN","Sort=A","Dates=H","DateFormat=P","Fill=—","Direction=H","UseDPDF=Y")</f>
        <v>-202</v>
      </c>
      <c r="AE15" s="12" cm="1">
        <f t="array" ref="AE15">_xll.BDH("NUE US Equity","CF_CHANGE_IN_INVENTORIES","FQ3 2025","FQ3 2025","Currency=USD","Period=FQ","BEST_FPERIOD_OVERRIDE=FQ","FILING_STATUS=MR","SCALING_FORMAT=MLN","Sort=A","Dates=H","DateFormat=P","Fill=—","Direction=H","UseDPDF=Y")</f>
        <v>57</v>
      </c>
      <c r="AF15" s="12" cm="1">
        <f t="array" ref="AF15">_xll.BDH("NUE US Equity","CF_CHANGE_IN_INVENTORIES","FQ4 2025","FQ4 2025","Currency=USD","Period=FQ","BEST_FPERIOD_OVERRIDE=FQ","FILING_STATUS=MR","SCALING_FORMAT=MLN","Sort=A","Dates=H","DateFormat=P","Fill=—","Direction=H","UseDPDF=Y")</f>
        <v>-71</v>
      </c>
    </row>
    <row r="16" spans="1:32" x14ac:dyDescent="0.25">
      <c r="A16" s="10" t="s">
        <v>84</v>
      </c>
      <c r="B16" s="10" t="s">
        <v>85</v>
      </c>
      <c r="C16" s="12" cm="1">
        <f t="array" ref="C16">_xll.BDH("NUE US Equity","CF_CHANGE_IN_ACCOUNTS_PAYABLE","FQ3 2018","FQ3 2018","Currency=USD","Period=FQ","BEST_FPERIOD_OVERRIDE=FQ","FILING_STATUS=MR","SCALING_FORMAT=MLN","Sort=A","Dates=H","DateFormat=P","Fill=—","Direction=H","UseDPDF=Y")</f>
        <v>-138.398</v>
      </c>
      <c r="D16" s="12" cm="1">
        <f t="array" ref="D16">_xll.BDH("NUE US Equity","CF_CHANGE_IN_ACCOUNTS_PAYABLE","FQ4 2018","FQ4 2018","Currency=USD","Period=FQ","BEST_FPERIOD_OVERRIDE=FQ","FILING_STATUS=MR","SCALING_FORMAT=MLN","Sort=A","Dates=H","DateFormat=P","Fill=—","Direction=H","UseDPDF=Y")</f>
        <v>6.02</v>
      </c>
      <c r="E16" s="12" cm="1">
        <f t="array" ref="E16">_xll.BDH("NUE US Equity","CF_CHANGE_IN_ACCOUNTS_PAYABLE","FQ1 2019","FQ1 2019","Currency=USD","Period=FQ","BEST_FPERIOD_OVERRIDE=FQ","FILING_STATUS=MR","SCALING_FORMAT=MLN","Sort=A","Dates=H","DateFormat=P","Fill=—","Direction=H","UseDPDF=Y")</f>
        <v>-11.397</v>
      </c>
      <c r="F16" s="12" cm="1">
        <f t="array" ref="F16">_xll.BDH("NUE US Equity","CF_CHANGE_IN_ACCOUNTS_PAYABLE","FQ2 2019","FQ2 2019","Currency=USD","Period=FQ","BEST_FPERIOD_OVERRIDE=FQ","FILING_STATUS=MR","SCALING_FORMAT=MLN","Sort=A","Dates=H","DateFormat=P","Fill=—","Direction=H","UseDPDF=Y")</f>
        <v>-237.274</v>
      </c>
      <c r="G16" s="12" cm="1">
        <f t="array" ref="G16">_xll.BDH("NUE US Equity","CF_CHANGE_IN_ACCOUNTS_PAYABLE","FQ3 2019","FQ3 2019","Currency=USD","Period=FQ","BEST_FPERIOD_OVERRIDE=FQ","FILING_STATUS=MR","SCALING_FORMAT=MLN","Sort=A","Dates=H","DateFormat=P","Fill=—","Direction=H","UseDPDF=Y")</f>
        <v>68.274000000000001</v>
      </c>
      <c r="H16" s="12" cm="1">
        <f t="array" ref="H16">_xll.BDH("NUE US Equity","CF_CHANGE_IN_ACCOUNTS_PAYABLE","FQ4 2019","FQ4 2019","Currency=USD","Period=FQ","BEST_FPERIOD_OVERRIDE=FQ","FILING_STATUS=MR","SCALING_FORMAT=MLN","Sort=A","Dates=H","DateFormat=P","Fill=—","Direction=H","UseDPDF=Y")</f>
        <v>-73.06</v>
      </c>
      <c r="I16" s="12" cm="1">
        <f t="array" ref="I16">_xll.BDH("NUE US Equity","CF_CHANGE_IN_ACCOUNTS_PAYABLE","FQ1 2020","FQ1 2020","Currency=USD","Period=FQ","BEST_FPERIOD_OVERRIDE=FQ","FILING_STATUS=MR","SCALING_FORMAT=MLN","Sort=A","Dates=H","DateFormat=P","Fill=—","Direction=H","UseDPDF=Y")</f>
        <v>-28.033000000000001</v>
      </c>
      <c r="J16" s="12" cm="1">
        <f t="array" ref="J16">_xll.BDH("NUE US Equity","CF_CHANGE_IN_ACCOUNTS_PAYABLE","FQ2 2020","FQ2 2020","Currency=USD","Period=FQ","BEST_FPERIOD_OVERRIDE=FQ","FILING_STATUS=MR","SCALING_FORMAT=MLN","Sort=A","Dates=H","DateFormat=P","Fill=—","Direction=H","UseDPDF=Y")</f>
        <v>-244.87700000000001</v>
      </c>
      <c r="K16" s="12" cm="1">
        <f t="array" ref="K16">_xll.BDH("NUE US Equity","CF_CHANGE_IN_ACCOUNTS_PAYABLE","FQ3 2020","FQ3 2020","Currency=USD","Period=FQ","BEST_FPERIOD_OVERRIDE=FQ","FILING_STATUS=MR","SCALING_FORMAT=MLN","Sort=A","Dates=H","DateFormat=P","Fill=—","Direction=H","UseDPDF=Y")</f>
        <v>288.27600000000001</v>
      </c>
      <c r="L16" s="12" cm="1">
        <f t="array" ref="L16">_xll.BDH("NUE US Equity","CF_CHANGE_IN_ACCOUNTS_PAYABLE","FQ4 2020","FQ4 2020","Currency=USD","Period=FQ","BEST_FPERIOD_OVERRIDE=FQ","FILING_STATUS=MR","SCALING_FORMAT=MLN","Sort=A","Dates=H","DateFormat=P","Fill=—","Direction=H","UseDPDF=Y")</f>
        <v>235.19499999999999</v>
      </c>
      <c r="M16" s="12" cm="1">
        <f t="array" ref="M16">_xll.BDH("NUE US Equity","CF_CHANGE_IN_ACCOUNTS_PAYABLE","FQ1 2021","FQ1 2021","Currency=USD","Period=FQ","BEST_FPERIOD_OVERRIDE=FQ","FILING_STATUS=MR","SCALING_FORMAT=MLN","Sort=A","Dates=H","DateFormat=P","Fill=—","Direction=H","UseDPDF=Y")</f>
        <v>225.333</v>
      </c>
      <c r="N16" s="12" cm="1">
        <f t="array" ref="N16">_xll.BDH("NUE US Equity","CF_CHANGE_IN_ACCOUNTS_PAYABLE","FQ2 2021","FQ2 2021","Currency=USD","Period=FQ","BEST_FPERIOD_OVERRIDE=FQ","FILING_STATUS=MR","SCALING_FORMAT=MLN","Sort=A","Dates=H","DateFormat=P","Fill=—","Direction=H","UseDPDF=Y")</f>
        <v>501.31599999999997</v>
      </c>
      <c r="O16" s="12" cm="1">
        <f t="array" ref="O16">_xll.BDH("NUE US Equity","CF_CHANGE_IN_ACCOUNTS_PAYABLE","FQ3 2021","FQ3 2021","Currency=USD","Period=FQ","BEST_FPERIOD_OVERRIDE=FQ","FILING_STATUS=MR","SCALING_FORMAT=MLN","Sort=A","Dates=H","DateFormat=P","Fill=—","Direction=H","UseDPDF=Y")</f>
        <v>-383.63499999999999</v>
      </c>
      <c r="P16" s="12" cm="1">
        <f t="array" ref="P16">_xll.BDH("NUE US Equity","CF_CHANGE_IN_ACCOUNTS_PAYABLE","FQ4 2021","FQ4 2021","Currency=USD","Period=FQ","BEST_FPERIOD_OVERRIDE=FQ","FILING_STATUS=MR","SCALING_FORMAT=MLN","Sort=A","Dates=H","DateFormat=P","Fill=—","Direction=H","UseDPDF=Y")</f>
        <v>40.414000000000001</v>
      </c>
      <c r="Q16" s="12" cm="1">
        <f t="array" ref="Q16">_xll.BDH("NUE US Equity","CF_CHANGE_IN_ACCOUNTS_PAYABLE","FQ1 2022","FQ1 2022","Currency=USD","Period=FQ","BEST_FPERIOD_OVERRIDE=FQ","FILING_STATUS=MR","SCALING_FORMAT=MLN","Sort=A","Dates=H","DateFormat=P","Fill=—","Direction=H","UseDPDF=Y")</f>
        <v>-165.476</v>
      </c>
      <c r="R16" s="12" cm="1">
        <f t="array" ref="R16">_xll.BDH("NUE US Equity","CF_CHANGE_IN_ACCOUNTS_PAYABLE","FQ2 2022","FQ2 2022","Currency=USD","Period=FQ","BEST_FPERIOD_OVERRIDE=FQ","FILING_STATUS=MR","SCALING_FORMAT=MLN","Sort=A","Dates=H","DateFormat=P","Fill=—","Direction=H","UseDPDF=Y")</f>
        <v>363.53800000000001</v>
      </c>
      <c r="S16" s="12" cm="1">
        <f t="array" ref="S16">_xll.BDH("NUE US Equity","CF_CHANGE_IN_ACCOUNTS_PAYABLE","FQ3 2022","FQ3 2022","Currency=USD","Period=FQ","BEST_FPERIOD_OVERRIDE=FQ","FILING_STATUS=MR","SCALING_FORMAT=MLN","Sort=A","Dates=H","DateFormat=P","Fill=—","Direction=H","UseDPDF=Y")</f>
        <v>-497.822</v>
      </c>
      <c r="T16" s="12" cm="1">
        <f t="array" ref="T16">_xll.BDH("NUE US Equity","CF_CHANGE_IN_ACCOUNTS_PAYABLE","FQ4 2022","FQ4 2022","Currency=USD","Period=FQ","BEST_FPERIOD_OVERRIDE=FQ","FILING_STATUS=MR","SCALING_FORMAT=MLN","Sort=A","Dates=H","DateFormat=P","Fill=—","Direction=H","UseDPDF=Y")</f>
        <v>-196.47399999999999</v>
      </c>
      <c r="U16" s="12" cm="1">
        <f t="array" ref="U16">_xll.BDH("NUE US Equity","CF_CHANGE_IN_ACCOUNTS_PAYABLE","FQ1 2023","FQ1 2023","Currency=USD","Period=FQ","BEST_FPERIOD_OVERRIDE=FQ","FILING_STATUS=MR","SCALING_FORMAT=MLN","Sort=A","Dates=H","DateFormat=P","Fill=—","Direction=H","UseDPDF=Y")</f>
        <v>394.60199999999998</v>
      </c>
      <c r="V16" s="12" cm="1">
        <f t="array" ref="V16">_xll.BDH("NUE US Equity","CF_CHANGE_IN_ACCOUNTS_PAYABLE","FQ2 2023","FQ2 2023","Currency=USD","Period=FQ","BEST_FPERIOD_OVERRIDE=FQ","FILING_STATUS=MR","SCALING_FORMAT=MLN","Sort=A","Dates=H","DateFormat=P","Fill=—","Direction=H","UseDPDF=Y")</f>
        <v>-152.53100000000001</v>
      </c>
      <c r="W16" s="12" cm="1">
        <f t="array" ref="W16">_xll.BDH("NUE US Equity","CF_CHANGE_IN_ACCOUNTS_PAYABLE","FQ3 2023","FQ3 2023","Currency=USD","Period=FQ","BEST_FPERIOD_OVERRIDE=FQ","FILING_STATUS=MR","SCALING_FORMAT=MLN","Sort=A","Dates=H","DateFormat=P","Fill=—","Direction=H","UseDPDF=Y")</f>
        <v>-77.591999999999999</v>
      </c>
      <c r="X16" s="12" cm="1">
        <f t="array" ref="X16">_xll.BDH("NUE US Equity","CF_CHANGE_IN_ACCOUNTS_PAYABLE","FQ4 2023","FQ4 2023","Currency=USD","Period=FQ","BEST_FPERIOD_OVERRIDE=FQ","FILING_STATUS=MR","SCALING_FORMAT=MLN","Sort=A","Dates=H","DateFormat=P","Fill=—","Direction=H","UseDPDF=Y")</f>
        <v>196.667</v>
      </c>
      <c r="Y16" s="12" cm="1">
        <f t="array" ref="Y16">_xll.BDH("NUE US Equity","CF_CHANGE_IN_ACCOUNTS_PAYABLE","FQ1 2024","FQ1 2024","Currency=USD","Period=FQ","BEST_FPERIOD_OVERRIDE=FQ","FILING_STATUS=MR","SCALING_FORMAT=MLN","Sort=A","Dates=H","DateFormat=P","Fill=—","Direction=H","UseDPDF=Y")</f>
        <v>-392.40300000000002</v>
      </c>
      <c r="Z16" s="12" cm="1">
        <f t="array" ref="Z16">_xll.BDH("NUE US Equity","CF_CHANGE_IN_ACCOUNTS_PAYABLE","FQ2 2024","FQ2 2024","Currency=USD","Period=FQ","BEST_FPERIOD_OVERRIDE=FQ","FILING_STATUS=MR","SCALING_FORMAT=MLN","Sort=A","Dates=H","DateFormat=P","Fill=—","Direction=H","UseDPDF=Y")</f>
        <v>77.641999999999996</v>
      </c>
      <c r="AA16" s="12" cm="1">
        <f t="array" ref="AA16">_xll.BDH("NUE US Equity","CF_CHANGE_IN_ACCOUNTS_PAYABLE","FQ3 2024","FQ3 2024","Currency=USD","Period=FQ","BEST_FPERIOD_OVERRIDE=FQ","FILING_STATUS=MR","SCALING_FORMAT=MLN","Sort=A","Dates=H","DateFormat=P","Fill=—","Direction=H","UseDPDF=Y")</f>
        <v>108.03100000000001</v>
      </c>
      <c r="AB16" s="12" cm="1">
        <f t="array" ref="AB16">_xll.BDH("NUE US Equity","CF_CHANGE_IN_ACCOUNTS_PAYABLE","FQ4 2024","FQ4 2024","Currency=USD","Period=FQ","BEST_FPERIOD_OVERRIDE=FQ","FILING_STATUS=MR","SCALING_FORMAT=MLN","Sort=A","Dates=H","DateFormat=P","Fill=—","Direction=H","UseDPDF=Y")</f>
        <v>-114.27</v>
      </c>
      <c r="AC16" s="12" cm="1">
        <f t="array" ref="AC16">_xll.BDH("NUE US Equity","CF_CHANGE_IN_ACCOUNTS_PAYABLE","FQ1 2025","FQ1 2025","Currency=USD","Period=FQ","BEST_FPERIOD_OVERRIDE=FQ","FILING_STATUS=MR","SCALING_FORMAT=MLN","Sort=A","Dates=H","DateFormat=P","Fill=—","Direction=H","UseDPDF=Y")</f>
        <v>378</v>
      </c>
      <c r="AD16" s="12" cm="1">
        <f t="array" ref="AD16">_xll.BDH("NUE US Equity","CF_CHANGE_IN_ACCOUNTS_PAYABLE","FQ2 2025","FQ2 2025","Currency=USD","Period=FQ","BEST_FPERIOD_OVERRIDE=FQ","FILING_STATUS=MR","SCALING_FORMAT=MLN","Sort=A","Dates=H","DateFormat=P","Fill=—","Direction=H","UseDPDF=Y")</f>
        <v>-3</v>
      </c>
      <c r="AE16" s="12" cm="1">
        <f t="array" ref="AE16">_xll.BDH("NUE US Equity","CF_CHANGE_IN_ACCOUNTS_PAYABLE","FQ3 2025","FQ3 2025","Currency=USD","Period=FQ","BEST_FPERIOD_OVERRIDE=FQ","FILING_STATUS=MR","SCALING_FORMAT=MLN","Sort=A","Dates=H","DateFormat=P","Fill=—","Direction=H","UseDPDF=Y")</f>
        <v>-79</v>
      </c>
      <c r="AF16" s="12" cm="1">
        <f t="array" ref="AF16">_xll.BDH("NUE US Equity","CF_CHANGE_IN_ACCOUNTS_PAYABLE","FQ4 2025","FQ4 2025","Currency=USD","Period=FQ","BEST_FPERIOD_OVERRIDE=FQ","FILING_STATUS=MR","SCALING_FORMAT=MLN","Sort=A","Dates=H","DateFormat=P","Fill=—","Direction=H","UseDPDF=Y")</f>
        <v>-216</v>
      </c>
    </row>
    <row r="17" spans="1:32" x14ac:dyDescent="0.25">
      <c r="A17" s="10" t="s">
        <v>86</v>
      </c>
      <c r="B17" s="10" t="s">
        <v>87</v>
      </c>
      <c r="C17" s="12" cm="1">
        <f t="array" ref="C17">_xll.BDH("NUE US Equity","INC_DEC_IN_OT_OP_AST_LIAB_DETAIL","FQ3 2018","FQ3 2018","Currency=USD","Period=FQ","BEST_FPERIOD_OVERRIDE=FQ","FILING_STATUS=MR","SCALING_FORMAT=MLN","Sort=A","Dates=H","DateFormat=P","Fill=—","Direction=H","UseDPDF=Y")</f>
        <v>131.744</v>
      </c>
      <c r="D17" s="12" cm="1">
        <f t="array" ref="D17">_xll.BDH("NUE US Equity","INC_DEC_IN_OT_OP_AST_LIAB_DETAIL","FQ4 2018","FQ4 2018","Currency=USD","Period=FQ","BEST_FPERIOD_OVERRIDE=FQ","FILING_STATUS=MR","SCALING_FORMAT=MLN","Sort=A","Dates=H","DateFormat=P","Fill=—","Direction=H","UseDPDF=Y")</f>
        <v>26.167999999999999</v>
      </c>
      <c r="E17" s="12" cm="1">
        <f t="array" ref="E17">_xll.BDH("NUE US Equity","INC_DEC_IN_OT_OP_AST_LIAB_DETAIL","FQ1 2019","FQ1 2019","Currency=USD","Period=FQ","BEST_FPERIOD_OVERRIDE=FQ","FILING_STATUS=MR","SCALING_FORMAT=MLN","Sort=A","Dates=H","DateFormat=P","Fill=—","Direction=H","UseDPDF=Y")</f>
        <v>-220.29300000000001</v>
      </c>
      <c r="F17" s="12" cm="1">
        <f t="array" ref="F17">_xll.BDH("NUE US Equity","INC_DEC_IN_OT_OP_AST_LIAB_DETAIL","FQ2 2019","FQ2 2019","Currency=USD","Period=FQ","BEST_FPERIOD_OVERRIDE=FQ","FILING_STATUS=MR","SCALING_FORMAT=MLN","Sort=A","Dates=H","DateFormat=P","Fill=—","Direction=H","UseDPDF=Y")</f>
        <v>-123.011</v>
      </c>
      <c r="G17" s="12" cm="1">
        <f t="array" ref="G17">_xll.BDH("NUE US Equity","INC_DEC_IN_OT_OP_AST_LIAB_DETAIL","FQ3 2019","FQ3 2019","Currency=USD","Period=FQ","BEST_FPERIOD_OVERRIDE=FQ","FILING_STATUS=MR","SCALING_FORMAT=MLN","Sort=A","Dates=H","DateFormat=P","Fill=—","Direction=H","UseDPDF=Y")</f>
        <v>8.5820000000000007</v>
      </c>
      <c r="H17" s="12" cm="1">
        <f t="array" ref="H17">_xll.BDH("NUE US Equity","INC_DEC_IN_OT_OP_AST_LIAB_DETAIL","FQ4 2019","FQ4 2019","Currency=USD","Period=FQ","BEST_FPERIOD_OVERRIDE=FQ","FILING_STATUS=MR","SCALING_FORMAT=MLN","Sort=A","Dates=H","DateFormat=P","Fill=—","Direction=H","UseDPDF=Y")</f>
        <v>-32.357999999999997</v>
      </c>
      <c r="I17" s="12" cm="1">
        <f t="array" ref="I17">_xll.BDH("NUE US Equity","INC_DEC_IN_OT_OP_AST_LIAB_DETAIL","FQ1 2020","FQ1 2020","Currency=USD","Period=FQ","BEST_FPERIOD_OVERRIDE=FQ","FILING_STATUS=MR","SCALING_FORMAT=MLN","Sort=A","Dates=H","DateFormat=P","Fill=—","Direction=H","UseDPDF=Y")</f>
        <v>-160.749</v>
      </c>
      <c r="J17" s="12" cm="1">
        <f t="array" ref="J17">_xll.BDH("NUE US Equity","INC_DEC_IN_OT_OP_AST_LIAB_DETAIL","FQ2 2020","FQ2 2020","Currency=USD","Period=FQ","BEST_FPERIOD_OVERRIDE=FQ","FILING_STATUS=MR","SCALING_FORMAT=MLN","Sort=A","Dates=H","DateFormat=P","Fill=—","Direction=H","UseDPDF=Y")</f>
        <v>44.506</v>
      </c>
      <c r="K17" s="12" cm="1">
        <f t="array" ref="K17">_xll.BDH("NUE US Equity","INC_DEC_IN_OT_OP_AST_LIAB_DETAIL","FQ3 2020","FQ3 2020","Currency=USD","Period=FQ","BEST_FPERIOD_OVERRIDE=FQ","FILING_STATUS=MR","SCALING_FORMAT=MLN","Sort=A","Dates=H","DateFormat=P","Fill=—","Direction=H","UseDPDF=Y")</f>
        <v>65.855999999999995</v>
      </c>
      <c r="L17" s="12" cm="1">
        <f t="array" ref="L17">_xll.BDH("NUE US Equity","INC_DEC_IN_OT_OP_AST_LIAB_DETAIL","FQ4 2020","FQ4 2020","Currency=USD","Period=FQ","BEST_FPERIOD_OVERRIDE=FQ","FILING_STATUS=MR","SCALING_FORMAT=MLN","Sort=A","Dates=H","DateFormat=P","Fill=—","Direction=H","UseDPDF=Y")</f>
        <v>-188.05699999999999</v>
      </c>
      <c r="M17" s="12" cm="1">
        <f t="array" ref="M17">_xll.BDH("NUE US Equity","INC_DEC_IN_OT_OP_AST_LIAB_DETAIL","FQ1 2021","FQ1 2021","Currency=USD","Period=FQ","BEST_FPERIOD_OVERRIDE=FQ","FILING_STATUS=MR","SCALING_FORMAT=MLN","Sort=A","Dates=H","DateFormat=P","Fill=—","Direction=H","UseDPDF=Y")</f>
        <v>270.66800000000001</v>
      </c>
      <c r="N17" s="12" cm="1">
        <f t="array" ref="N17">_xll.BDH("NUE US Equity","INC_DEC_IN_OT_OP_AST_LIAB_DETAIL","FQ2 2021","FQ2 2021","Currency=USD","Period=FQ","BEST_FPERIOD_OVERRIDE=FQ","FILING_STATUS=MR","SCALING_FORMAT=MLN","Sort=A","Dates=H","DateFormat=P","Fill=—","Direction=H","UseDPDF=Y")</f>
        <v>404.88400000000001</v>
      </c>
      <c r="O17" s="12" cm="1">
        <f t="array" ref="O17">_xll.BDH("NUE US Equity","INC_DEC_IN_OT_OP_AST_LIAB_DETAIL","FQ3 2021","FQ3 2021","Currency=USD","Period=FQ","BEST_FPERIOD_OVERRIDE=FQ","FILING_STATUS=MR","SCALING_FORMAT=MLN","Sort=A","Dates=H","DateFormat=P","Fill=—","Direction=H","UseDPDF=Y")</f>
        <v>422.024</v>
      </c>
      <c r="P17" s="12" cm="1">
        <f t="array" ref="P17">_xll.BDH("NUE US Equity","INC_DEC_IN_OT_OP_AST_LIAB_DETAIL","FQ4 2021","FQ4 2021","Currency=USD","Period=FQ","BEST_FPERIOD_OVERRIDE=FQ","FILING_STATUS=MR","SCALING_FORMAT=MLN","Sort=A","Dates=H","DateFormat=P","Fill=—","Direction=H","UseDPDF=Y")</f>
        <v>213.137</v>
      </c>
      <c r="Q17" s="12" cm="1">
        <f t="array" ref="Q17">_xll.BDH("NUE US Equity","INC_DEC_IN_OT_OP_AST_LIAB_DETAIL","FQ1 2022","FQ1 2022","Currency=USD","Period=FQ","BEST_FPERIOD_OVERRIDE=FQ","FILING_STATUS=MR","SCALING_FORMAT=MLN","Sort=A","Dates=H","DateFormat=P","Fill=—","Direction=H","UseDPDF=Y")</f>
        <v>13.875</v>
      </c>
      <c r="R17" s="12" cm="1">
        <f t="array" ref="R17">_xll.BDH("NUE US Equity","INC_DEC_IN_OT_OP_AST_LIAB_DETAIL","FQ2 2022","FQ2 2022","Currency=USD","Period=FQ","BEST_FPERIOD_OVERRIDE=FQ","FILING_STATUS=MR","SCALING_FORMAT=MLN","Sort=A","Dates=H","DateFormat=P","Fill=—","Direction=H","UseDPDF=Y")</f>
        <v>-233.19200000000001</v>
      </c>
      <c r="S17" s="12" cm="1">
        <f t="array" ref="S17">_xll.BDH("NUE US Equity","INC_DEC_IN_OT_OP_AST_LIAB_DETAIL","FQ3 2022","FQ3 2022","Currency=USD","Period=FQ","BEST_FPERIOD_OVERRIDE=FQ","FILING_STATUS=MR","SCALING_FORMAT=MLN","Sort=A","Dates=H","DateFormat=P","Fill=—","Direction=H","UseDPDF=Y")</f>
        <v>38.225000000000001</v>
      </c>
      <c r="T17" s="12" cm="1">
        <f t="array" ref="T17">_xll.BDH("NUE US Equity","INC_DEC_IN_OT_OP_AST_LIAB_DETAIL","FQ4 2022","FQ4 2022","Currency=USD","Period=FQ","BEST_FPERIOD_OVERRIDE=FQ","FILING_STATUS=MR","SCALING_FORMAT=MLN","Sort=A","Dates=H","DateFormat=P","Fill=—","Direction=H","UseDPDF=Y")</f>
        <v>-1.262</v>
      </c>
      <c r="U17" s="12" cm="1">
        <f t="array" ref="U17">_xll.BDH("NUE US Equity","INC_DEC_IN_OT_OP_AST_LIAB_DETAIL","FQ1 2023","FQ1 2023","Currency=USD","Period=FQ","BEST_FPERIOD_OVERRIDE=FQ","FILING_STATUS=MR","SCALING_FORMAT=MLN","Sort=A","Dates=H","DateFormat=P","Fill=—","Direction=H","UseDPDF=Y")</f>
        <v>-528.14400000000001</v>
      </c>
      <c r="V17" s="12" cm="1">
        <f t="array" ref="V17">_xll.BDH("NUE US Equity","INC_DEC_IN_OT_OP_AST_LIAB_DETAIL","FQ2 2023","FQ2 2023","Currency=USD","Period=FQ","BEST_FPERIOD_OVERRIDE=FQ","FILING_STATUS=MR","SCALING_FORMAT=MLN","Sort=A","Dates=H","DateFormat=P","Fill=—","Direction=H","UseDPDF=Y")</f>
        <v>350.49200000000002</v>
      </c>
      <c r="W17" s="12" cm="1">
        <f t="array" ref="W17">_xll.BDH("NUE US Equity","INC_DEC_IN_OT_OP_AST_LIAB_DETAIL","FQ3 2023","FQ3 2023","Currency=USD","Period=FQ","BEST_FPERIOD_OVERRIDE=FQ","FILING_STATUS=MR","SCALING_FORMAT=MLN","Sort=A","Dates=H","DateFormat=P","Fill=—","Direction=H","UseDPDF=Y")</f>
        <v>71.293000000000006</v>
      </c>
      <c r="X17" s="12" cm="1">
        <f t="array" ref="X17">_xll.BDH("NUE US Equity","INC_DEC_IN_OT_OP_AST_LIAB_DETAIL","FQ4 2023","FQ4 2023","Currency=USD","Period=FQ","BEST_FPERIOD_OVERRIDE=FQ","FILING_STATUS=MR","SCALING_FORMAT=MLN","Sort=A","Dates=H","DateFormat=P","Fill=—","Direction=H","UseDPDF=Y")</f>
        <v>3.8439999999999999</v>
      </c>
      <c r="Y17" s="12" cm="1">
        <f t="array" ref="Y17">_xll.BDH("NUE US Equity","INC_DEC_IN_OT_OP_AST_LIAB_DETAIL","FQ1 2024","FQ1 2024","Currency=USD","Period=FQ","BEST_FPERIOD_OVERRIDE=FQ","FILING_STATUS=MR","SCALING_FORMAT=MLN","Sort=A","Dates=H","DateFormat=P","Fill=—","Direction=H","UseDPDF=Y")</f>
        <v>-348.07799999999997</v>
      </c>
      <c r="Z17" s="12" cm="1">
        <f t="array" ref="Z17">_xll.BDH("NUE US Equity","INC_DEC_IN_OT_OP_AST_LIAB_DETAIL","FQ2 2024","FQ2 2024","Currency=USD","Period=FQ","BEST_FPERIOD_OVERRIDE=FQ","FILING_STATUS=MR","SCALING_FORMAT=MLN","Sort=A","Dates=H","DateFormat=P","Fill=—","Direction=H","UseDPDF=Y")</f>
        <v>54.911000000000001</v>
      </c>
      <c r="AA17" s="12" cm="1">
        <f t="array" ref="AA17">_xll.BDH("NUE US Equity","INC_DEC_IN_OT_OP_AST_LIAB_DETAIL","FQ3 2024","FQ3 2024","Currency=USD","Period=FQ","BEST_FPERIOD_OVERRIDE=FQ","FILING_STATUS=MR","SCALING_FORMAT=MLN","Sort=A","Dates=H","DateFormat=P","Fill=—","Direction=H","UseDPDF=Y")</f>
        <v>-4.0679999999999996</v>
      </c>
      <c r="AB17" s="12" cm="1">
        <f t="array" ref="AB17">_xll.BDH("NUE US Equity","INC_DEC_IN_OT_OP_AST_LIAB_DETAIL","FQ4 2024","FQ4 2024","Currency=USD","Period=FQ","BEST_FPERIOD_OVERRIDE=FQ","FILING_STATUS=MR","SCALING_FORMAT=MLN","Sort=A","Dates=H","DateFormat=P","Fill=—","Direction=H","UseDPDF=Y")</f>
        <v>9.2349999999999994</v>
      </c>
      <c r="AC17" s="12" cm="1">
        <f t="array" ref="AC17">_xll.BDH("NUE US Equity","INC_DEC_IN_OT_OP_AST_LIAB_DETAIL","FQ1 2025","FQ1 2025","Currency=USD","Period=FQ","BEST_FPERIOD_OVERRIDE=FQ","FILING_STATUS=MR","SCALING_FORMAT=MLN","Sort=A","Dates=H","DateFormat=P","Fill=—","Direction=H","UseDPDF=Y")</f>
        <v>-236</v>
      </c>
      <c r="AD17" s="12" cm="1">
        <f t="array" ref="AD17">_xll.BDH("NUE US Equity","INC_DEC_IN_OT_OP_AST_LIAB_DETAIL","FQ2 2025","FQ2 2025","Currency=USD","Period=FQ","BEST_FPERIOD_OVERRIDE=FQ","FILING_STATUS=MR","SCALING_FORMAT=MLN","Sort=A","Dates=H","DateFormat=P","Fill=—","Direction=H","UseDPDF=Y")</f>
        <v>236</v>
      </c>
      <c r="AE17" s="12" cm="1">
        <f t="array" ref="AE17">_xll.BDH("NUE US Equity","INC_DEC_IN_OT_OP_AST_LIAB_DETAIL","FQ3 2025","FQ3 2025","Currency=USD","Period=FQ","BEST_FPERIOD_OVERRIDE=FQ","FILING_STATUS=MR","SCALING_FORMAT=MLN","Sort=A","Dates=H","DateFormat=P","Fill=—","Direction=H","UseDPDF=Y")</f>
        <v>197</v>
      </c>
      <c r="AF17" s="12" cm="1">
        <f t="array" ref="AF17">_xll.BDH("NUE US Equity","INC_DEC_IN_OT_OP_AST_LIAB_DETAIL","FQ4 2025","FQ4 2025","Currency=USD","Period=FQ","BEST_FPERIOD_OVERRIDE=FQ","FILING_STATUS=MR","SCALING_FORMAT=MLN","Sort=A","Dates=H","DateFormat=P","Fill=—","Direction=H","UseDPDF=Y")</f>
        <v>-71</v>
      </c>
    </row>
    <row r="18" spans="1:32" x14ac:dyDescent="0.25">
      <c r="A18" s="10" t="s">
        <v>88</v>
      </c>
      <c r="B18" s="10" t="s">
        <v>89</v>
      </c>
      <c r="C18" s="12" cm="1">
        <f t="array" ref="C18">_xll.BDH("NUE US Equity","CF_NET_CASH_DISCONT_OPS_OPER","FQ3 2018","FQ3 2018","Currency=USD","Period=FQ","BEST_FPERIOD_OVERRIDE=FQ","FILING_STATUS=MR","SCALING_FORMAT=MLN","Sort=A","Dates=H","DateFormat=P","Fill=—","Direction=H","UseDPDF=Y")</f>
        <v>0</v>
      </c>
      <c r="D18" s="12" cm="1">
        <f t="array" ref="D18">_xll.BDH("NUE US Equity","CF_NET_CASH_DISCONT_OPS_OPER","FQ4 2018","FQ4 2018","Currency=USD","Period=FQ","BEST_FPERIOD_OVERRIDE=FQ","FILING_STATUS=MR","SCALING_FORMAT=MLN","Sort=A","Dates=H","DateFormat=P","Fill=—","Direction=H","UseDPDF=Y")</f>
        <v>0</v>
      </c>
      <c r="E18" s="12" cm="1">
        <f t="array" ref="E18">_xll.BDH("NUE US Equity","CF_NET_CASH_DISCONT_OPS_OPER","FQ1 2019","FQ1 2019","Currency=USD","Period=FQ","BEST_FPERIOD_OVERRIDE=FQ","FILING_STATUS=MR","SCALING_FORMAT=MLN","Sort=A","Dates=H","DateFormat=P","Fill=—","Direction=H","UseDPDF=Y")</f>
        <v>0</v>
      </c>
      <c r="F18" s="12" cm="1">
        <f t="array" ref="F18">_xll.BDH("NUE US Equity","CF_NET_CASH_DISCONT_OPS_OPER","FQ2 2019","FQ2 2019","Currency=USD","Period=FQ","BEST_FPERIOD_OVERRIDE=FQ","FILING_STATUS=MR","SCALING_FORMAT=MLN","Sort=A","Dates=H","DateFormat=P","Fill=—","Direction=H","UseDPDF=Y")</f>
        <v>0</v>
      </c>
      <c r="G18" s="12" cm="1">
        <f t="array" ref="G18">_xll.BDH("NUE US Equity","CF_NET_CASH_DISCONT_OPS_OPER","FQ3 2019","FQ3 2019","Currency=USD","Period=FQ","BEST_FPERIOD_OVERRIDE=FQ","FILING_STATUS=MR","SCALING_FORMAT=MLN","Sort=A","Dates=H","DateFormat=P","Fill=—","Direction=H","UseDPDF=Y")</f>
        <v>0</v>
      </c>
      <c r="H18" s="12" cm="1">
        <f t="array" ref="H18">_xll.BDH("NUE US Equity","CF_NET_CASH_DISCONT_OPS_OPER","FQ4 2019","FQ4 2019","Currency=USD","Period=FQ","BEST_FPERIOD_OVERRIDE=FQ","FILING_STATUS=MR","SCALING_FORMAT=MLN","Sort=A","Dates=H","DateFormat=P","Fill=—","Direction=H","UseDPDF=Y")</f>
        <v>0</v>
      </c>
      <c r="I18" s="12" cm="1">
        <f t="array" ref="I18">_xll.BDH("NUE US Equity","CF_NET_CASH_DISCONT_OPS_OPER","FQ1 2020","FQ1 2020","Currency=USD","Period=FQ","BEST_FPERIOD_OVERRIDE=FQ","FILING_STATUS=MR","SCALING_FORMAT=MLN","Sort=A","Dates=H","DateFormat=P","Fill=—","Direction=H","UseDPDF=Y")</f>
        <v>0</v>
      </c>
      <c r="J18" s="12" cm="1">
        <f t="array" ref="J18">_xll.BDH("NUE US Equity","CF_NET_CASH_DISCONT_OPS_OPER","FQ2 2020","FQ2 2020","Currency=USD","Period=FQ","BEST_FPERIOD_OVERRIDE=FQ","FILING_STATUS=MR","SCALING_FORMAT=MLN","Sort=A","Dates=H","DateFormat=P","Fill=—","Direction=H","UseDPDF=Y")</f>
        <v>0</v>
      </c>
      <c r="K18" s="12" cm="1">
        <f t="array" ref="K18">_xll.BDH("NUE US Equity","CF_NET_CASH_DISCONT_OPS_OPER","FQ3 2020","FQ3 2020","Currency=USD","Period=FQ","BEST_FPERIOD_OVERRIDE=FQ","FILING_STATUS=MR","SCALING_FORMAT=MLN","Sort=A","Dates=H","DateFormat=P","Fill=—","Direction=H","UseDPDF=Y")</f>
        <v>0</v>
      </c>
      <c r="L18" s="12" cm="1">
        <f t="array" ref="L18">_xll.BDH("NUE US Equity","CF_NET_CASH_DISCONT_OPS_OPER","FQ4 2020","FQ4 2020","Currency=USD","Period=FQ","BEST_FPERIOD_OVERRIDE=FQ","FILING_STATUS=MR","SCALING_FORMAT=MLN","Sort=A","Dates=H","DateFormat=P","Fill=—","Direction=H","UseDPDF=Y")</f>
        <v>0</v>
      </c>
      <c r="M18" s="12" cm="1">
        <f t="array" ref="M18">_xll.BDH("NUE US Equity","CF_NET_CASH_DISCONT_OPS_OPER","FQ1 2021","FQ1 2021","Currency=USD","Period=FQ","BEST_FPERIOD_OVERRIDE=FQ","FILING_STATUS=MR","SCALING_FORMAT=MLN","Sort=A","Dates=H","DateFormat=P","Fill=—","Direction=H","UseDPDF=Y")</f>
        <v>0</v>
      </c>
      <c r="N18" s="12" cm="1">
        <f t="array" ref="N18">_xll.BDH("NUE US Equity","CF_NET_CASH_DISCONT_OPS_OPER","FQ2 2021","FQ2 2021","Currency=USD","Period=FQ","BEST_FPERIOD_OVERRIDE=FQ","FILING_STATUS=MR","SCALING_FORMAT=MLN","Sort=A","Dates=H","DateFormat=P","Fill=—","Direction=H","UseDPDF=Y")</f>
        <v>0</v>
      </c>
      <c r="O18" s="12" cm="1">
        <f t="array" ref="O18">_xll.BDH("NUE US Equity","CF_NET_CASH_DISCONT_OPS_OPER","FQ3 2021","FQ3 2021","Currency=USD","Period=FQ","BEST_FPERIOD_OVERRIDE=FQ","FILING_STATUS=MR","SCALING_FORMAT=MLN","Sort=A","Dates=H","DateFormat=P","Fill=—","Direction=H","UseDPDF=Y")</f>
        <v>0</v>
      </c>
      <c r="P18" s="12" cm="1">
        <f t="array" ref="P18">_xll.BDH("NUE US Equity","CF_NET_CASH_DISCONT_OPS_OPER","FQ4 2021","FQ4 2021","Currency=USD","Period=FQ","BEST_FPERIOD_OVERRIDE=FQ","FILING_STATUS=MR","SCALING_FORMAT=MLN","Sort=A","Dates=H","DateFormat=P","Fill=—","Direction=H","UseDPDF=Y")</f>
        <v>0</v>
      </c>
      <c r="Q18" s="12" cm="1">
        <f t="array" ref="Q18">_xll.BDH("NUE US Equity","CF_NET_CASH_DISCONT_OPS_OPER","FQ1 2022","FQ1 2022","Currency=USD","Period=FQ","BEST_FPERIOD_OVERRIDE=FQ","FILING_STATUS=MR","SCALING_FORMAT=MLN","Sort=A","Dates=H","DateFormat=P","Fill=—","Direction=H","UseDPDF=Y")</f>
        <v>0</v>
      </c>
      <c r="R18" s="12" cm="1">
        <f t="array" ref="R18">_xll.BDH("NUE US Equity","CF_NET_CASH_DISCONT_OPS_OPER","FQ2 2022","FQ2 2022","Currency=USD","Period=FQ","BEST_FPERIOD_OVERRIDE=FQ","FILING_STATUS=MR","SCALING_FORMAT=MLN","Sort=A","Dates=H","DateFormat=P","Fill=—","Direction=H","UseDPDF=Y")</f>
        <v>0</v>
      </c>
      <c r="S18" s="12" cm="1">
        <f t="array" ref="S18">_xll.BDH("NUE US Equity","CF_NET_CASH_DISCONT_OPS_OPER","FQ3 2022","FQ3 2022","Currency=USD","Period=FQ","BEST_FPERIOD_OVERRIDE=FQ","FILING_STATUS=MR","SCALING_FORMAT=MLN","Sort=A","Dates=H","DateFormat=P","Fill=—","Direction=H","UseDPDF=Y")</f>
        <v>0</v>
      </c>
      <c r="T18" s="12" cm="1">
        <f t="array" ref="T18">_xll.BDH("NUE US Equity","CF_NET_CASH_DISCONT_OPS_OPER","FQ4 2022","FQ4 2022","Currency=USD","Period=FQ","BEST_FPERIOD_OVERRIDE=FQ","FILING_STATUS=MR","SCALING_FORMAT=MLN","Sort=A","Dates=H","DateFormat=P","Fill=—","Direction=H","UseDPDF=Y")</f>
        <v>0</v>
      </c>
      <c r="U18" s="12" cm="1">
        <f t="array" ref="U18">_xll.BDH("NUE US Equity","CF_NET_CASH_DISCONT_OPS_OPER","FQ1 2023","FQ1 2023","Currency=USD","Period=FQ","BEST_FPERIOD_OVERRIDE=FQ","FILING_STATUS=MR","SCALING_FORMAT=MLN","Sort=A","Dates=H","DateFormat=P","Fill=—","Direction=H","UseDPDF=Y")</f>
        <v>0</v>
      </c>
      <c r="V18" s="12" cm="1">
        <f t="array" ref="V18">_xll.BDH("NUE US Equity","CF_NET_CASH_DISCONT_OPS_OPER","FQ2 2023","FQ2 2023","Currency=USD","Period=FQ","BEST_FPERIOD_OVERRIDE=FQ","FILING_STATUS=MR","SCALING_FORMAT=MLN","Sort=A","Dates=H","DateFormat=P","Fill=—","Direction=H","UseDPDF=Y")</f>
        <v>0</v>
      </c>
      <c r="W18" s="12" cm="1">
        <f t="array" ref="W18">_xll.BDH("NUE US Equity","CF_NET_CASH_DISCONT_OPS_OPER","FQ3 2023","FQ3 2023","Currency=USD","Period=FQ","BEST_FPERIOD_OVERRIDE=FQ","FILING_STATUS=MR","SCALING_FORMAT=MLN","Sort=A","Dates=H","DateFormat=P","Fill=—","Direction=H","UseDPDF=Y")</f>
        <v>0</v>
      </c>
      <c r="X18" s="12" cm="1">
        <f t="array" ref="X18">_xll.BDH("NUE US Equity","CF_NET_CASH_DISCONT_OPS_OPER","FQ4 2023","FQ4 2023","Currency=USD","Period=FQ","BEST_FPERIOD_OVERRIDE=FQ","FILING_STATUS=MR","SCALING_FORMAT=MLN","Sort=A","Dates=H","DateFormat=P","Fill=—","Direction=H","UseDPDF=Y")</f>
        <v>0</v>
      </c>
      <c r="Y18" s="12" cm="1">
        <f t="array" ref="Y18">_xll.BDH("NUE US Equity","CF_NET_CASH_DISCONT_OPS_OPER","FQ1 2024","FQ1 2024","Currency=USD","Period=FQ","BEST_FPERIOD_OVERRIDE=FQ","FILING_STATUS=MR","SCALING_FORMAT=MLN","Sort=A","Dates=H","DateFormat=P","Fill=—","Direction=H","UseDPDF=Y")</f>
        <v>0</v>
      </c>
      <c r="Z18" s="12" cm="1">
        <f t="array" ref="Z18">_xll.BDH("NUE US Equity","CF_NET_CASH_DISCONT_OPS_OPER","FQ2 2024","FQ2 2024","Currency=USD","Period=FQ","BEST_FPERIOD_OVERRIDE=FQ","FILING_STATUS=MR","SCALING_FORMAT=MLN","Sort=A","Dates=H","DateFormat=P","Fill=—","Direction=H","UseDPDF=Y")</f>
        <v>0</v>
      </c>
      <c r="AA18" s="12" cm="1">
        <f t="array" ref="AA18">_xll.BDH("NUE US Equity","CF_NET_CASH_DISCONT_OPS_OPER","FQ3 2024","FQ3 2024","Currency=USD","Period=FQ","BEST_FPERIOD_OVERRIDE=FQ","FILING_STATUS=MR","SCALING_FORMAT=MLN","Sort=A","Dates=H","DateFormat=P","Fill=—","Direction=H","UseDPDF=Y")</f>
        <v>0</v>
      </c>
      <c r="AB18" s="12" cm="1">
        <f t="array" ref="AB18">_xll.BDH("NUE US Equity","CF_NET_CASH_DISCONT_OPS_OPER","FQ4 2024","FQ4 2024","Currency=USD","Period=FQ","BEST_FPERIOD_OVERRIDE=FQ","FILING_STATUS=MR","SCALING_FORMAT=MLN","Sort=A","Dates=H","DateFormat=P","Fill=—","Direction=H","UseDPDF=Y")</f>
        <v>0</v>
      </c>
      <c r="AC18" s="12" cm="1">
        <f t="array" ref="AC18">_xll.BDH("NUE US Equity","CF_NET_CASH_DISCONT_OPS_OPER","FQ1 2025","FQ1 2025","Currency=USD","Period=FQ","BEST_FPERIOD_OVERRIDE=FQ","FILING_STATUS=MR","SCALING_FORMAT=MLN","Sort=A","Dates=H","DateFormat=P","Fill=—","Direction=H","UseDPDF=Y")</f>
        <v>0</v>
      </c>
      <c r="AD18" s="12" cm="1">
        <f t="array" ref="AD18">_xll.BDH("NUE US Equity","CF_NET_CASH_DISCONT_OPS_OPER","FQ2 2025","FQ2 2025","Currency=USD","Period=FQ","BEST_FPERIOD_OVERRIDE=FQ","FILING_STATUS=MR","SCALING_FORMAT=MLN","Sort=A","Dates=H","DateFormat=P","Fill=—","Direction=H","UseDPDF=Y")</f>
        <v>0</v>
      </c>
      <c r="AE18" s="12" cm="1">
        <f t="array" ref="AE18">_xll.BDH("NUE US Equity","CF_NET_CASH_DISCONT_OPS_OPER","FQ3 2025","FQ3 2025","Currency=USD","Period=FQ","BEST_FPERIOD_OVERRIDE=FQ","FILING_STATUS=MR","SCALING_FORMAT=MLN","Sort=A","Dates=H","DateFormat=P","Fill=—","Direction=H","UseDPDF=Y")</f>
        <v>0</v>
      </c>
      <c r="AF18" s="12" cm="1">
        <f t="array" ref="AF18">_xll.BDH("NUE US Equity","CF_NET_CASH_DISCONT_OPS_OPER","FQ4 2025","FQ4 2025","Currency=USD","Period=FQ","BEST_FPERIOD_OVERRIDE=FQ","FILING_STATUS=MR","SCALING_FORMAT=MLN","Sort=A","Dates=H","DateFormat=P","Fill=—","Direction=H","UseDPDF=Y")</f>
        <v>0</v>
      </c>
    </row>
    <row r="19" spans="1:32" x14ac:dyDescent="0.25">
      <c r="A19" s="6" t="s">
        <v>65</v>
      </c>
      <c r="B19" s="6" t="s">
        <v>90</v>
      </c>
      <c r="C19" s="15" cm="1">
        <f t="array" ref="C19">_xll.BDH("NUE US Equity","CF_CASH_FROM_OPER","FQ3 2018","FQ3 2018","Currency=USD","Period=FQ","BEST_FPERIOD_OVERRIDE=FQ","FILING_STATUS=MR","SCALING_FORMAT=MLN","Sort=A","Dates=H","DateFormat=P","Fill=—","Direction=H","UseDPDF=Y")</f>
        <v>1030.867</v>
      </c>
      <c r="D19" s="15" cm="1">
        <f t="array" ref="D19">_xll.BDH("NUE US Equity","CF_CASH_FROM_OPER","FQ4 2018","FQ4 2018","Currency=USD","Period=FQ","BEST_FPERIOD_OVERRIDE=FQ","FILING_STATUS=MR","SCALING_FORMAT=MLN","Sort=A","Dates=H","DateFormat=P","Fill=—","Direction=H","UseDPDF=Y")</f>
        <v>492.49299999999999</v>
      </c>
      <c r="E19" s="15" cm="1">
        <f t="array" ref="E19">_xll.BDH("NUE US Equity","CF_CASH_FROM_OPER","FQ1 2019","FQ1 2019","Currency=USD","Period=FQ","BEST_FPERIOD_OVERRIDE=FQ","FILING_STATUS=MR","SCALING_FORMAT=MLN","Sort=A","Dates=H","DateFormat=P","Fill=—","Direction=H","UseDPDF=Y")</f>
        <v>650.70799999999997</v>
      </c>
      <c r="F19" s="15" cm="1">
        <f t="array" ref="F19">_xll.BDH("NUE US Equity","CF_CASH_FROM_OPER","FQ2 2019","FQ2 2019","Currency=USD","Period=FQ","BEST_FPERIOD_OVERRIDE=FQ","FILING_STATUS=MR","SCALING_FORMAT=MLN","Sort=A","Dates=H","DateFormat=P","Fill=—","Direction=H","UseDPDF=Y")</f>
        <v>537.14700000000005</v>
      </c>
      <c r="G19" s="15" cm="1">
        <f t="array" ref="G19">_xll.BDH("NUE US Equity","CF_CASH_FROM_OPER","FQ3 2019","FQ3 2019","Currency=USD","Period=FQ","BEST_FPERIOD_OVERRIDE=FQ","FILING_STATUS=MR","SCALING_FORMAT=MLN","Sort=A","Dates=H","DateFormat=P","Fill=—","Direction=H","UseDPDF=Y")</f>
        <v>932.35900000000004</v>
      </c>
      <c r="H19" s="15" cm="1">
        <f t="array" ref="H19">_xll.BDH("NUE US Equity","CF_CASH_FROM_OPER","FQ4 2019","FQ4 2019","Currency=USD","Period=FQ","BEST_FPERIOD_OVERRIDE=FQ","FILING_STATUS=MR","SCALING_FORMAT=MLN","Sort=A","Dates=H","DateFormat=P","Fill=—","Direction=H","UseDPDF=Y")</f>
        <v>689.19899999999996</v>
      </c>
      <c r="I19" s="15" cm="1">
        <f t="array" ref="I19">_xll.BDH("NUE US Equity","CF_CASH_FROM_OPER","FQ1 2020","FQ1 2020","Currency=USD","Period=FQ","BEST_FPERIOD_OVERRIDE=FQ","FILING_STATUS=MR","SCALING_FORMAT=MLN","Sort=A","Dates=H","DateFormat=P","Fill=—","Direction=H","UseDPDF=Y")</f>
        <v>201.20599999999999</v>
      </c>
      <c r="J19" s="15" cm="1">
        <f t="array" ref="J19">_xll.BDH("NUE US Equity","CF_CASH_FROM_OPER","FQ2 2020","FQ2 2020","Currency=USD","Period=FQ","BEST_FPERIOD_OVERRIDE=FQ","FILING_STATUS=MR","SCALING_FORMAT=MLN","Sort=A","Dates=H","DateFormat=P","Fill=—","Direction=H","UseDPDF=Y")</f>
        <v>1148.7619999999999</v>
      </c>
      <c r="K19" s="15" cm="1">
        <f t="array" ref="K19">_xll.BDH("NUE US Equity","CF_CASH_FROM_OPER","FQ3 2020","FQ3 2020","Currency=USD","Period=FQ","BEST_FPERIOD_OVERRIDE=FQ","FILING_STATUS=MR","SCALING_FORMAT=MLN","Sort=A","Dates=H","DateFormat=P","Fill=—","Direction=H","UseDPDF=Y")</f>
        <v>855.62300000000005</v>
      </c>
      <c r="L19" s="15" cm="1">
        <f t="array" ref="L19">_xll.BDH("NUE US Equity","CF_CASH_FROM_OPER","FQ4 2020","FQ4 2020","Currency=USD","Period=FQ","BEST_FPERIOD_OVERRIDE=FQ","FILING_STATUS=MR","SCALING_FORMAT=MLN","Sort=A","Dates=H","DateFormat=P","Fill=—","Direction=H","UseDPDF=Y")</f>
        <v>491.286</v>
      </c>
      <c r="M19" s="15" cm="1">
        <f t="array" ref="M19">_xll.BDH("NUE US Equity","CF_CASH_FROM_OPER","FQ1 2021","FQ1 2021","Currency=USD","Period=FQ","BEST_FPERIOD_OVERRIDE=FQ","FILING_STATUS=MR","SCALING_FORMAT=MLN","Sort=A","Dates=H","DateFormat=P","Fill=—","Direction=H","UseDPDF=Y")</f>
        <v>530.41099999999994</v>
      </c>
      <c r="N19" s="15" cm="1">
        <f t="array" ref="N19">_xll.BDH("NUE US Equity","CF_CASH_FROM_OPER","FQ2 2021","FQ2 2021","Currency=USD","Period=FQ","BEST_FPERIOD_OVERRIDE=FQ","FILING_STATUS=MR","SCALING_FORMAT=MLN","Sort=A","Dates=H","DateFormat=P","Fill=—","Direction=H","UseDPDF=Y")</f>
        <v>1352.7750000000001</v>
      </c>
      <c r="O19" s="15" cm="1">
        <f t="array" ref="O19">_xll.BDH("NUE US Equity","CF_CASH_FROM_OPER","FQ3 2021","FQ3 2021","Currency=USD","Period=FQ","BEST_FPERIOD_OVERRIDE=FQ","FILING_STATUS=MR","SCALING_FORMAT=MLN","Sort=A","Dates=H","DateFormat=P","Fill=—","Direction=H","UseDPDF=Y")</f>
        <v>1737.1769999999999</v>
      </c>
      <c r="P19" s="15" cm="1">
        <f t="array" ref="P19">_xll.BDH("NUE US Equity","CF_CASH_FROM_OPER","FQ4 2021","FQ4 2021","Currency=USD","Period=FQ","BEST_FPERIOD_OVERRIDE=FQ","FILING_STATUS=MR","SCALING_FORMAT=MLN","Sort=A","Dates=H","DateFormat=P","Fill=—","Direction=H","UseDPDF=Y")</f>
        <v>2610.413</v>
      </c>
      <c r="Q19" s="15" cm="1">
        <f t="array" ref="Q19">_xll.BDH("NUE US Equity","CF_CASH_FROM_OPER","FQ1 2022","FQ1 2022","Currency=USD","Period=FQ","BEST_FPERIOD_OVERRIDE=FQ","FILING_STATUS=MR","SCALING_FORMAT=MLN","Sort=A","Dates=H","DateFormat=P","Fill=—","Direction=H","UseDPDF=Y")</f>
        <v>2472.1680000000001</v>
      </c>
      <c r="R19" s="15" cm="1">
        <f t="array" ref="R19">_xll.BDH("NUE US Equity","CF_CASH_FROM_OPER","FQ2 2022","FQ2 2022","Currency=USD","Period=FQ","BEST_FPERIOD_OVERRIDE=FQ","FILING_STATUS=MR","SCALING_FORMAT=MLN","Sort=A","Dates=H","DateFormat=P","Fill=—","Direction=H","UseDPDF=Y")</f>
        <v>2261.5729999999999</v>
      </c>
      <c r="S19" s="15" cm="1">
        <f t="array" ref="S19">_xll.BDH("NUE US Equity","CF_CASH_FROM_OPER","FQ3 2022","FQ3 2022","Currency=USD","Period=FQ","BEST_FPERIOD_OVERRIDE=FQ","FILING_STATUS=MR","SCALING_FORMAT=MLN","Sort=A","Dates=H","DateFormat=P","Fill=—","Direction=H","UseDPDF=Y")</f>
        <v>2804.78</v>
      </c>
      <c r="T19" s="15" cm="1">
        <f t="array" ref="T19">_xll.BDH("NUE US Equity","CF_CASH_FROM_OPER","FQ4 2022","FQ4 2022","Currency=USD","Period=FQ","BEST_FPERIOD_OVERRIDE=FQ","FILING_STATUS=MR","SCALING_FORMAT=MLN","Sort=A","Dates=H","DateFormat=P","Fill=—","Direction=H","UseDPDF=Y")</f>
        <v>2533.5329999999999</v>
      </c>
      <c r="U19" s="15" cm="1">
        <f t="array" ref="U19">_xll.BDH("NUE US Equity","CF_CASH_FROM_OPER","FQ1 2023","FQ1 2023","Currency=USD","Period=FQ","BEST_FPERIOD_OVERRIDE=FQ","FILING_STATUS=MR","SCALING_FORMAT=MLN","Sort=A","Dates=H","DateFormat=P","Fill=—","Direction=H","UseDPDF=Y")</f>
        <v>1207.173</v>
      </c>
      <c r="V19" s="15" cm="1">
        <f t="array" ref="V19">_xll.BDH("NUE US Equity","CF_CASH_FROM_OPER","FQ2 2023","FQ2 2023","Currency=USD","Period=FQ","BEST_FPERIOD_OVERRIDE=FQ","FILING_STATUS=MR","SCALING_FORMAT=MLN","Sort=A","Dates=H","DateFormat=P","Fill=—","Direction=H","UseDPDF=Y")</f>
        <v>1920.424</v>
      </c>
      <c r="W19" s="15" cm="1">
        <f t="array" ref="W19">_xll.BDH("NUE US Equity","CF_CASH_FROM_OPER","FQ3 2023","FQ3 2023","Currency=USD","Period=FQ","BEST_FPERIOD_OVERRIDE=FQ","FILING_STATUS=MR","SCALING_FORMAT=MLN","Sort=A","Dates=H","DateFormat=P","Fill=—","Direction=H","UseDPDF=Y")</f>
        <v>2464.0120000000002</v>
      </c>
      <c r="X19" s="15" cm="1">
        <f t="array" ref="X19">_xll.BDH("NUE US Equity","CF_CASH_FROM_OPER","FQ4 2023","FQ4 2023","Currency=USD","Period=FQ","BEST_FPERIOD_OVERRIDE=FQ","FILING_STATUS=MR","SCALING_FORMAT=MLN","Sort=A","Dates=H","DateFormat=P","Fill=—","Direction=H","UseDPDF=Y")</f>
        <v>1520.3219999999999</v>
      </c>
      <c r="Y19" s="15" cm="1">
        <f t="array" ref="Y19">_xll.BDH("NUE US Equity","CF_CASH_FROM_OPER","FQ1 2024","FQ1 2024","Currency=USD","Period=FQ","BEST_FPERIOD_OVERRIDE=FQ","FILING_STATUS=MR","SCALING_FORMAT=MLN","Sort=A","Dates=H","DateFormat=P","Fill=—","Direction=H","UseDPDF=Y")</f>
        <v>459.65300000000002</v>
      </c>
      <c r="Z19" s="15" cm="1">
        <f t="array" ref="Z19">_xll.BDH("NUE US Equity","CF_CASH_FROM_OPER","FQ2 2024","FQ2 2024","Currency=USD","Period=FQ","BEST_FPERIOD_OVERRIDE=FQ","FILING_STATUS=MR","SCALING_FORMAT=MLN","Sort=A","Dates=H","DateFormat=P","Fill=—","Direction=H","UseDPDF=Y")</f>
        <v>1485.278</v>
      </c>
      <c r="AA19" s="15" cm="1">
        <f t="array" ref="AA19">_xll.BDH("NUE US Equity","CF_CASH_FROM_OPER","FQ3 2024","FQ3 2024","Currency=USD","Period=FQ","BEST_FPERIOD_OVERRIDE=FQ","FILING_STATUS=MR","SCALING_FORMAT=MLN","Sort=A","Dates=H","DateFormat=P","Fill=—","Direction=H","UseDPDF=Y")</f>
        <v>1300.701</v>
      </c>
      <c r="AB19" s="15" cm="1">
        <f t="array" ref="AB19">_xll.BDH("NUE US Equity","CF_CASH_FROM_OPER","FQ4 2024","FQ4 2024","Currency=USD","Period=FQ","BEST_FPERIOD_OVERRIDE=FQ","FILING_STATUS=MR","SCALING_FORMAT=MLN","Sort=A","Dates=H","DateFormat=P","Fill=—","Direction=H","UseDPDF=Y")</f>
        <v>733.36800000000005</v>
      </c>
      <c r="AC19" s="15" cm="1">
        <f t="array" ref="AC19">_xll.BDH("NUE US Equity","CF_CASH_FROM_OPER","FQ1 2025","FQ1 2025","Currency=USD","Period=FQ","BEST_FPERIOD_OVERRIDE=FQ","FILING_STATUS=MR","SCALING_FORMAT=MLN","Sort=A","Dates=H","DateFormat=P","Fill=—","Direction=H","UseDPDF=Y")</f>
        <v>364</v>
      </c>
      <c r="AD19" s="15" cm="1">
        <f t="array" ref="AD19">_xll.BDH("NUE US Equity","CF_CASH_FROM_OPER","FQ2 2025","FQ2 2025","Currency=USD","Period=FQ","BEST_FPERIOD_OVERRIDE=FQ","FILING_STATUS=MR","SCALING_FORMAT=MLN","Sort=A","Dates=H","DateFormat=P","Fill=—","Direction=H","UseDPDF=Y")</f>
        <v>732</v>
      </c>
      <c r="AE19" s="15" cm="1">
        <f t="array" ref="AE19">_xll.BDH("NUE US Equity","CF_CASH_FROM_OPER","FQ3 2025","FQ3 2025","Currency=USD","Period=FQ","BEST_FPERIOD_OVERRIDE=FQ","FILING_STATUS=MR","SCALING_FORMAT=MLN","Sort=A","Dates=H","DateFormat=P","Fill=—","Direction=H","UseDPDF=Y")</f>
        <v>1339</v>
      </c>
      <c r="AF19" s="15" cm="1">
        <f t="array" ref="AF19">_xll.BDH("NUE US Equity","CF_CASH_FROM_OPER","FQ4 2025","FQ4 2025","Currency=USD","Period=FQ","BEST_FPERIOD_OVERRIDE=FQ","FILING_STATUS=MR","SCALING_FORMAT=MLN","Sort=A","Dates=H","DateFormat=P","Fill=—","Direction=H","UseDPDF=Y")</f>
        <v>799</v>
      </c>
    </row>
    <row r="20" spans="1:32" x14ac:dyDescent="0.25">
      <c r="A20" s="6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</row>
    <row r="21" spans="1:32" x14ac:dyDescent="0.25">
      <c r="A21" s="6" t="s">
        <v>91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</row>
    <row r="22" spans="1:32" x14ac:dyDescent="0.25">
      <c r="A22" s="10" t="s">
        <v>92</v>
      </c>
      <c r="B22" s="10" t="s">
        <v>93</v>
      </c>
      <c r="C22" s="12" cm="1">
        <f t="array" ref="C22">_xll.BDH("NUE US Equity","FIXED_INTANG_ASST_CHANGE","FQ3 2018","FQ3 2018","Currency=USD","Period=FQ","BEST_FPERIOD_OVERRIDE=FQ","FILING_STATUS=MR","SCALING_FORMAT=MLN","Sort=A","Dates=H","DateFormat=P","Fill=—","Direction=H","UseDPDF=Y")</f>
        <v>-252.58600000000001</v>
      </c>
      <c r="D22" s="12" cm="1">
        <f t="array" ref="D22">_xll.BDH("NUE US Equity","FIXED_INTANG_ASST_CHANGE","FQ4 2018","FQ4 2018","Currency=USD","Period=FQ","BEST_FPERIOD_OVERRIDE=FQ","FILING_STATUS=MR","SCALING_FORMAT=MLN","Sort=A","Dates=H","DateFormat=P","Fill=—","Direction=H","UseDPDF=Y")</f>
        <v>-354.16699999999997</v>
      </c>
      <c r="E22" s="12" cm="1">
        <f t="array" ref="E22">_xll.BDH("NUE US Equity","FIXED_INTANG_ASST_CHANGE","FQ1 2019","FQ1 2019","Currency=USD","Period=FQ","BEST_FPERIOD_OVERRIDE=FQ","FILING_STATUS=MR","SCALING_FORMAT=MLN","Sort=A","Dates=H","DateFormat=P","Fill=—","Direction=H","UseDPDF=Y")</f>
        <v>-275.87599999999998</v>
      </c>
      <c r="F22" s="12" cm="1">
        <f t="array" ref="F22">_xll.BDH("NUE US Equity","FIXED_INTANG_ASST_CHANGE","FQ2 2019","FQ2 2019","Currency=USD","Period=FQ","BEST_FPERIOD_OVERRIDE=FQ","FILING_STATUS=MR","SCALING_FORMAT=MLN","Sort=A","Dates=H","DateFormat=P","Fill=—","Direction=H","UseDPDF=Y")</f>
        <v>-355.67500000000001</v>
      </c>
      <c r="G22" s="12" cm="1">
        <f t="array" ref="G22">_xll.BDH("NUE US Equity","FIXED_INTANG_ASST_CHANGE","FQ3 2019","FQ3 2019","Currency=USD","Period=FQ","BEST_FPERIOD_OVERRIDE=FQ","FILING_STATUS=MR","SCALING_FORMAT=MLN","Sort=A","Dates=H","DateFormat=P","Fill=—","Direction=H","UseDPDF=Y")</f>
        <v>-320.173</v>
      </c>
      <c r="H22" s="12" cm="1">
        <f t="array" ref="H22">_xll.BDH("NUE US Equity","FIXED_INTANG_ASST_CHANGE","FQ4 2019","FQ4 2019","Currency=USD","Period=FQ","BEST_FPERIOD_OVERRIDE=FQ","FILING_STATUS=MR","SCALING_FORMAT=MLN","Sort=A","Dates=H","DateFormat=P","Fill=—","Direction=H","UseDPDF=Y")</f>
        <v>-483.95100000000002</v>
      </c>
      <c r="I22" s="12" cm="1">
        <f t="array" ref="I22">_xll.BDH("NUE US Equity","FIXED_INTANG_ASST_CHANGE","FQ1 2020","FQ1 2020","Currency=USD","Period=FQ","BEST_FPERIOD_OVERRIDE=FQ","FILING_STATUS=MR","SCALING_FORMAT=MLN","Sort=A","Dates=H","DateFormat=P","Fill=—","Direction=H","UseDPDF=Y")</f>
        <v>-406.30099999999999</v>
      </c>
      <c r="J22" s="12" cm="1">
        <f t="array" ref="J22">_xll.BDH("NUE US Equity","FIXED_INTANG_ASST_CHANGE","FQ2 2020","FQ2 2020","Currency=USD","Period=FQ","BEST_FPERIOD_OVERRIDE=FQ","FILING_STATUS=MR","SCALING_FORMAT=MLN","Sort=A","Dates=H","DateFormat=P","Fill=—","Direction=H","UseDPDF=Y")</f>
        <v>-353.36399999999998</v>
      </c>
      <c r="K22" s="12" cm="1">
        <f t="array" ref="K22">_xll.BDH("NUE US Equity","FIXED_INTANG_ASST_CHANGE","FQ3 2020","FQ3 2020","Currency=USD","Period=FQ","BEST_FPERIOD_OVERRIDE=FQ","FILING_STATUS=MR","SCALING_FORMAT=MLN","Sort=A","Dates=H","DateFormat=P","Fill=—","Direction=H","UseDPDF=Y")</f>
        <v>-399.92399999999998</v>
      </c>
      <c r="L22" s="12" cm="1">
        <f t="array" ref="L22">_xll.BDH("NUE US Equity","FIXED_INTANG_ASST_CHANGE","FQ4 2020","FQ4 2020","Currency=USD","Period=FQ","BEST_FPERIOD_OVERRIDE=FQ","FILING_STATUS=MR","SCALING_FORMAT=MLN","Sort=A","Dates=H","DateFormat=P","Fill=—","Direction=H","UseDPDF=Y")</f>
        <v>-342.697</v>
      </c>
      <c r="M22" s="12" cm="1">
        <f t="array" ref="M22">_xll.BDH("NUE US Equity","FIXED_INTANG_ASST_CHANGE","FQ1 2021","FQ1 2021","Currency=USD","Period=FQ","BEST_FPERIOD_OVERRIDE=FQ","FILING_STATUS=MR","SCALING_FORMAT=MLN","Sort=A","Dates=H","DateFormat=P","Fill=—","Direction=H","UseDPDF=Y")</f>
        <v>-307.77499999999998</v>
      </c>
      <c r="N22" s="12" cm="1">
        <f t="array" ref="N22">_xll.BDH("NUE US Equity","FIXED_INTANG_ASST_CHANGE","FQ2 2021","FQ2 2021","Currency=USD","Period=FQ","BEST_FPERIOD_OVERRIDE=FQ","FILING_STATUS=MR","SCALING_FORMAT=MLN","Sort=A","Dates=H","DateFormat=P","Fill=—","Direction=H","UseDPDF=Y")</f>
        <v>-383.93799999999999</v>
      </c>
      <c r="O22" s="12" cm="1">
        <f t="array" ref="O22">_xll.BDH("NUE US Equity","FIXED_INTANG_ASST_CHANGE","FQ3 2021","FQ3 2021","Currency=USD","Period=FQ","BEST_FPERIOD_OVERRIDE=FQ","FILING_STATUS=MR","SCALING_FORMAT=MLN","Sort=A","Dates=H","DateFormat=P","Fill=—","Direction=H","UseDPDF=Y")</f>
        <v>-499.79399999999998</v>
      </c>
      <c r="P22" s="12" cm="1">
        <f t="array" ref="P22">_xll.BDH("NUE US Equity","FIXED_INTANG_ASST_CHANGE","FQ4 2021","FQ4 2021","Currency=USD","Period=FQ","BEST_FPERIOD_OVERRIDE=FQ","FILING_STATUS=MR","SCALING_FORMAT=MLN","Sort=A","Dates=H","DateFormat=P","Fill=—","Direction=H","UseDPDF=Y")</f>
        <v>-411.08100000000002</v>
      </c>
      <c r="Q22" s="12" cm="1">
        <f t="array" ref="Q22">_xll.BDH("NUE US Equity","FIXED_INTANG_ASST_CHANGE","FQ1 2022","FQ1 2022","Currency=USD","Period=FQ","BEST_FPERIOD_OVERRIDE=FQ","FILING_STATUS=MR","SCALING_FORMAT=MLN","Sort=A","Dates=H","DateFormat=P","Fill=—","Direction=H","UseDPDF=Y")</f>
        <v>-440.39400000000001</v>
      </c>
      <c r="R22" s="12" cm="1">
        <f t="array" ref="R22">_xll.BDH("NUE US Equity","FIXED_INTANG_ASST_CHANGE","FQ2 2022","FQ2 2022","Currency=USD","Period=FQ","BEST_FPERIOD_OVERRIDE=FQ","FILING_STATUS=MR","SCALING_FORMAT=MLN","Sort=A","Dates=H","DateFormat=P","Fill=—","Direction=H","UseDPDF=Y")</f>
        <v>-512.40499999999997</v>
      </c>
      <c r="S22" s="12" cm="1">
        <f t="array" ref="S22">_xll.BDH("NUE US Equity","FIXED_INTANG_ASST_CHANGE","FQ3 2022","FQ3 2022","Currency=USD","Period=FQ","BEST_FPERIOD_OVERRIDE=FQ","FILING_STATUS=MR","SCALING_FORMAT=MLN","Sort=A","Dates=H","DateFormat=P","Fill=—","Direction=H","UseDPDF=Y")</f>
        <v>-450.048</v>
      </c>
      <c r="T22" s="12" cm="1">
        <f t="array" ref="T22">_xll.BDH("NUE US Equity","FIXED_INTANG_ASST_CHANGE","FQ4 2022","FQ4 2022","Currency=USD","Period=FQ","BEST_FPERIOD_OVERRIDE=FQ","FILING_STATUS=MR","SCALING_FORMAT=MLN","Sort=A","Dates=H","DateFormat=P","Fill=—","Direction=H","UseDPDF=Y")</f>
        <v>-512.77300000000002</v>
      </c>
      <c r="U22" s="12" cm="1">
        <f t="array" ref="U22">_xll.BDH("NUE US Equity","FIXED_INTANG_ASST_CHANGE","FQ1 2023","FQ1 2023","Currency=USD","Period=FQ","BEST_FPERIOD_OVERRIDE=FQ","FILING_STATUS=MR","SCALING_FORMAT=MLN","Sort=A","Dates=H","DateFormat=P","Fill=—","Direction=H","UseDPDF=Y")</f>
        <v>-529.45699999999999</v>
      </c>
      <c r="V22" s="12" cm="1">
        <f t="array" ref="V22">_xll.BDH("NUE US Equity","FIXED_INTANG_ASST_CHANGE","FQ2 2023","FQ2 2023","Currency=USD","Period=FQ","BEST_FPERIOD_OVERRIDE=FQ","FILING_STATUS=MR","SCALING_FORMAT=MLN","Sort=A","Dates=H","DateFormat=P","Fill=—","Direction=H","UseDPDF=Y")</f>
        <v>-522.34</v>
      </c>
      <c r="W22" s="12" cm="1">
        <f t="array" ref="W22">_xll.BDH("NUE US Equity","FIXED_INTANG_ASST_CHANGE","FQ3 2023","FQ3 2023","Currency=USD","Period=FQ","BEST_FPERIOD_OVERRIDE=FQ","FILING_STATUS=MR","SCALING_FORMAT=MLN","Sort=A","Dates=H","DateFormat=P","Fill=—","Direction=H","UseDPDF=Y")</f>
        <v>-435.834</v>
      </c>
      <c r="X22" s="12" cm="1">
        <f t="array" ref="X22">_xll.BDH("NUE US Equity","FIXED_INTANG_ASST_CHANGE","FQ4 2023","FQ4 2023","Currency=USD","Period=FQ","BEST_FPERIOD_OVERRIDE=FQ","FILING_STATUS=MR","SCALING_FORMAT=MLN","Sort=A","Dates=H","DateFormat=P","Fill=—","Direction=H","UseDPDF=Y")</f>
        <v>-711.61900000000003</v>
      </c>
      <c r="Y22" s="12" cm="1">
        <f t="array" ref="Y22">_xll.BDH("NUE US Equity","FIXED_INTANG_ASST_CHANGE","FQ1 2024","FQ1 2024","Currency=USD","Period=FQ","BEST_FPERIOD_OVERRIDE=FQ","FILING_STATUS=MR","SCALING_FORMAT=MLN","Sort=A","Dates=H","DateFormat=P","Fill=—","Direction=H","UseDPDF=Y")</f>
        <v>-665.90099999999995</v>
      </c>
      <c r="Z22" s="12" cm="1">
        <f t="array" ref="Z22">_xll.BDH("NUE US Equity","FIXED_INTANG_ASST_CHANGE","FQ2 2024","FQ2 2024","Currency=USD","Period=FQ","BEST_FPERIOD_OVERRIDE=FQ","FILING_STATUS=MR","SCALING_FORMAT=MLN","Sort=A","Dates=H","DateFormat=P","Fill=—","Direction=H","UseDPDF=Y")</f>
        <v>-795.803</v>
      </c>
      <c r="AA22" s="12" cm="1">
        <f t="array" ref="AA22">_xll.BDH("NUE US Equity","FIXED_INTANG_ASST_CHANGE","FQ3 2024","FQ3 2024","Currency=USD","Period=FQ","BEST_FPERIOD_OVERRIDE=FQ","FILING_STATUS=MR","SCALING_FORMAT=MLN","Sort=A","Dates=H","DateFormat=P","Fill=—","Direction=H","UseDPDF=Y")</f>
        <v>-820.32100000000003</v>
      </c>
      <c r="AB22" s="12" cm="1">
        <f t="array" ref="AB22">_xll.BDH("NUE US Equity","FIXED_INTANG_ASST_CHANGE","FQ4 2024","FQ4 2024","Currency=USD","Period=FQ","BEST_FPERIOD_OVERRIDE=FQ","FILING_STATUS=MR","SCALING_FORMAT=MLN","Sort=A","Dates=H","DateFormat=P","Fill=—","Direction=H","UseDPDF=Y")</f>
        <v>-873.97500000000002</v>
      </c>
      <c r="AC22" s="12" cm="1">
        <f t="array" ref="AC22">_xll.BDH("NUE US Equity","FIXED_INTANG_ASST_CHANGE","FQ1 2025","FQ1 2025","Currency=USD","Period=FQ","BEST_FPERIOD_OVERRIDE=FQ","FILING_STATUS=MR","SCALING_FORMAT=MLN","Sort=A","Dates=H","DateFormat=P","Fill=—","Direction=H","UseDPDF=Y")</f>
        <v>-856</v>
      </c>
      <c r="AD22" s="12" cm="1">
        <f t="array" ref="AD22">_xll.BDH("NUE US Equity","FIXED_INTANG_ASST_CHANGE","FQ2 2025","FQ2 2025","Currency=USD","Period=FQ","BEST_FPERIOD_OVERRIDE=FQ","FILING_STATUS=MR","SCALING_FORMAT=MLN","Sort=A","Dates=H","DateFormat=P","Fill=—","Direction=H","UseDPDF=Y")</f>
        <v>-918</v>
      </c>
      <c r="AE22" s="12" cm="1">
        <f t="array" ref="AE22">_xll.BDH("NUE US Equity","FIXED_INTANG_ASST_CHANGE","FQ3 2025","FQ3 2025","Currency=USD","Period=FQ","BEST_FPERIOD_OVERRIDE=FQ","FILING_STATUS=MR","SCALING_FORMAT=MLN","Sort=A","Dates=H","DateFormat=P","Fill=—","Direction=H","UseDPDF=Y")</f>
        <v>-804</v>
      </c>
      <c r="AF22" s="12" cm="1">
        <f t="array" ref="AF22">_xll.BDH("NUE US Equity","FIXED_INTANG_ASST_CHANGE","FQ4 2025","FQ4 2025","Currency=USD","Period=FQ","BEST_FPERIOD_OVERRIDE=FQ","FILING_STATUS=MR","SCALING_FORMAT=MLN","Sort=A","Dates=H","DateFormat=P","Fill=—","Direction=H","UseDPDF=Y")</f>
        <v>-799</v>
      </c>
    </row>
    <row r="23" spans="1:32" x14ac:dyDescent="0.25">
      <c r="A23" s="10" t="s">
        <v>94</v>
      </c>
      <c r="B23" s="10" t="s">
        <v>95</v>
      </c>
      <c r="C23" s="12" cm="1">
        <f t="array" ref="C23">_xll.BDH("NUE US Equity","DISPOSAL_OF_FIXED_INTANG","FQ3 2018","FQ3 2018","Currency=USD","Period=FQ","BEST_FPERIOD_OVERRIDE=FQ","FILING_STATUS=MR","SCALING_FORMAT=MLN","Sort=A","Dates=H","DateFormat=P","Fill=—","Direction=H","UseDPDF=Y")</f>
        <v>10.667</v>
      </c>
      <c r="D23" s="12" cm="1">
        <f t="array" ref="D23">_xll.BDH("NUE US Equity","DISPOSAL_OF_FIXED_INTANG","FQ4 2018","FQ4 2018","Currency=USD","Period=FQ","BEST_FPERIOD_OVERRIDE=FQ","FILING_STATUS=MR","SCALING_FORMAT=MLN","Sort=A","Dates=H","DateFormat=P","Fill=—","Direction=H","UseDPDF=Y")</f>
        <v>3.625</v>
      </c>
      <c r="E23" s="12" cm="1">
        <f t="array" ref="E23">_xll.BDH("NUE US Equity","DISPOSAL_OF_FIXED_INTANG","FQ1 2019","FQ1 2019","Currency=USD","Period=FQ","BEST_FPERIOD_OVERRIDE=FQ","FILING_STATUS=MR","SCALING_FORMAT=MLN","Sort=A","Dates=H","DateFormat=P","Fill=—","Direction=H","UseDPDF=Y")</f>
        <v>12.91</v>
      </c>
      <c r="F23" s="12" cm="1">
        <f t="array" ref="F23">_xll.BDH("NUE US Equity","DISPOSAL_OF_FIXED_INTANG","FQ2 2019","FQ2 2019","Currency=USD","Period=FQ","BEST_FPERIOD_OVERRIDE=FQ","FILING_STATUS=MR","SCALING_FORMAT=MLN","Sort=A","Dates=H","DateFormat=P","Fill=—","Direction=H","UseDPDF=Y")</f>
        <v>5.4859999999999998</v>
      </c>
      <c r="G23" s="12" cm="1">
        <f t="array" ref="G23">_xll.BDH("NUE US Equity","DISPOSAL_OF_FIXED_INTANG","FQ3 2019","FQ3 2019","Currency=USD","Period=FQ","BEST_FPERIOD_OVERRIDE=FQ","FILING_STATUS=MR","SCALING_FORMAT=MLN","Sort=A","Dates=H","DateFormat=P","Fill=—","Direction=H","UseDPDF=Y")</f>
        <v>14.526</v>
      </c>
      <c r="H23" s="12" cm="1">
        <f t="array" ref="H23">_xll.BDH("NUE US Equity","DISPOSAL_OF_FIXED_INTANG","FQ4 2019","FQ4 2019","Currency=USD","Period=FQ","BEST_FPERIOD_OVERRIDE=FQ","FILING_STATUS=MR","SCALING_FORMAT=MLN","Sort=A","Dates=H","DateFormat=P","Fill=—","Direction=H","UseDPDF=Y")</f>
        <v>8.6959999999999997</v>
      </c>
      <c r="I23" s="12" cm="1">
        <f t="array" ref="I23">_xll.BDH("NUE US Equity","DISPOSAL_OF_FIXED_INTANG","FQ1 2020","FQ1 2020","Currency=USD","Period=FQ","BEST_FPERIOD_OVERRIDE=FQ","FILING_STATUS=MR","SCALING_FORMAT=MLN","Sort=A","Dates=H","DateFormat=P","Fill=—","Direction=H","UseDPDF=Y")</f>
        <v>10.256</v>
      </c>
      <c r="J23" s="12" cm="1">
        <f t="array" ref="J23">_xll.BDH("NUE US Equity","DISPOSAL_OF_FIXED_INTANG","FQ2 2020","FQ2 2020","Currency=USD","Period=FQ","BEST_FPERIOD_OVERRIDE=FQ","FILING_STATUS=MR","SCALING_FORMAT=MLN","Sort=A","Dates=H","DateFormat=P","Fill=—","Direction=H","UseDPDF=Y")</f>
        <v>7.3959999999999999</v>
      </c>
      <c r="K23" s="12" cm="1">
        <f t="array" ref="K23">_xll.BDH("NUE US Equity","DISPOSAL_OF_FIXED_INTANG","FQ3 2020","FQ3 2020","Currency=USD","Period=FQ","BEST_FPERIOD_OVERRIDE=FQ","FILING_STATUS=MR","SCALING_FORMAT=MLN","Sort=A","Dates=H","DateFormat=P","Fill=—","Direction=H","UseDPDF=Y")</f>
        <v>1.84</v>
      </c>
      <c r="L23" s="12" cm="1">
        <f t="array" ref="L23">_xll.BDH("NUE US Equity","DISPOSAL_OF_FIXED_INTANG","FQ4 2020","FQ4 2020","Currency=USD","Period=FQ","BEST_FPERIOD_OVERRIDE=FQ","FILING_STATUS=MR","SCALING_FORMAT=MLN","Sort=A","Dates=H","DateFormat=P","Fill=—","Direction=H","UseDPDF=Y")</f>
        <v>21.440999999999999</v>
      </c>
      <c r="M23" s="12" cm="1">
        <f t="array" ref="M23">_xll.BDH("NUE US Equity","DISPOSAL_OF_FIXED_INTANG","FQ1 2021","FQ1 2021","Currency=USD","Period=FQ","BEST_FPERIOD_OVERRIDE=FQ","FILING_STATUS=MR","SCALING_FORMAT=MLN","Sort=A","Dates=H","DateFormat=P","Fill=—","Direction=H","UseDPDF=Y")</f>
        <v>5.7350000000000003</v>
      </c>
      <c r="N23" s="12" cm="1">
        <f t="array" ref="N23">_xll.BDH("NUE US Equity","DISPOSAL_OF_FIXED_INTANG","FQ2 2021","FQ2 2021","Currency=USD","Period=FQ","BEST_FPERIOD_OVERRIDE=FQ","FILING_STATUS=MR","SCALING_FORMAT=MLN","Sort=A","Dates=H","DateFormat=P","Fill=—","Direction=H","UseDPDF=Y")</f>
        <v>4.93</v>
      </c>
      <c r="O23" s="12" cm="1">
        <f t="array" ref="O23">_xll.BDH("NUE US Equity","DISPOSAL_OF_FIXED_INTANG","FQ3 2021","FQ3 2021","Currency=USD","Period=FQ","BEST_FPERIOD_OVERRIDE=FQ","FILING_STATUS=MR","SCALING_FORMAT=MLN","Sort=A","Dates=H","DateFormat=P","Fill=—","Direction=H","UseDPDF=Y")</f>
        <v>4.9160000000000004</v>
      </c>
      <c r="P23" s="12" cm="1">
        <f t="array" ref="P23">_xll.BDH("NUE US Equity","DISPOSAL_OF_FIXED_INTANG","FQ4 2021","FQ4 2021","Currency=USD","Period=FQ","BEST_FPERIOD_OVERRIDE=FQ","FILING_STATUS=MR","SCALING_FORMAT=MLN","Sort=A","Dates=H","DateFormat=P","Fill=—","Direction=H","UseDPDF=Y")</f>
        <v>3.82</v>
      </c>
      <c r="Q23" s="12" cm="1">
        <f t="array" ref="Q23">_xll.BDH("NUE US Equity","DISPOSAL_OF_FIXED_INTANG","FQ1 2022","FQ1 2022","Currency=USD","Period=FQ","BEST_FPERIOD_OVERRIDE=FQ","FILING_STATUS=MR","SCALING_FORMAT=MLN","Sort=A","Dates=H","DateFormat=P","Fill=—","Direction=H","UseDPDF=Y")</f>
        <v>7.2880000000000003</v>
      </c>
      <c r="R23" s="12" cm="1">
        <f t="array" ref="R23">_xll.BDH("NUE US Equity","DISPOSAL_OF_FIXED_INTANG","FQ2 2022","FQ2 2022","Currency=USD","Period=FQ","BEST_FPERIOD_OVERRIDE=FQ","FILING_STATUS=MR","SCALING_FORMAT=MLN","Sort=A","Dates=H","DateFormat=P","Fill=—","Direction=H","UseDPDF=Y")</f>
        <v>8.7080000000000002</v>
      </c>
      <c r="S23" s="12" cm="1">
        <f t="array" ref="S23">_xll.BDH("NUE US Equity","DISPOSAL_OF_FIXED_INTANG","FQ3 2022","FQ3 2022","Currency=USD","Period=FQ","BEST_FPERIOD_OVERRIDE=FQ","FILING_STATUS=MR","SCALING_FORMAT=MLN","Sort=A","Dates=H","DateFormat=P","Fill=—","Direction=H","UseDPDF=Y")</f>
        <v>11.282</v>
      </c>
      <c r="T23" s="12" cm="1">
        <f t="array" ref="T23">_xll.BDH("NUE US Equity","DISPOSAL_OF_FIXED_INTANG","FQ4 2022","FQ4 2022","Currency=USD","Period=FQ","BEST_FPERIOD_OVERRIDE=FQ","FILING_STATUS=MR","SCALING_FORMAT=MLN","Sort=A","Dates=H","DateFormat=P","Fill=—","Direction=H","UseDPDF=Y")</f>
        <v>4.9989999999999997</v>
      </c>
      <c r="U23" s="12" cm="1">
        <f t="array" ref="U23">_xll.BDH("NUE US Equity","DISPOSAL_OF_FIXED_INTANG","FQ1 2023","FQ1 2023","Currency=USD","Period=FQ","BEST_FPERIOD_OVERRIDE=FQ","FILING_STATUS=MR","SCALING_FORMAT=MLN","Sort=A","Dates=H","DateFormat=P","Fill=—","Direction=H","UseDPDF=Y")</f>
        <v>2.2759999999999998</v>
      </c>
      <c r="V23" s="12" cm="1">
        <f t="array" ref="V23">_xll.BDH("NUE US Equity","DISPOSAL_OF_FIXED_INTANG","FQ2 2023","FQ2 2023","Currency=USD","Period=FQ","BEST_FPERIOD_OVERRIDE=FQ","FILING_STATUS=MR","SCALING_FORMAT=MLN","Sort=A","Dates=H","DateFormat=P","Fill=—","Direction=H","UseDPDF=Y")</f>
        <v>3.0129999999999999</v>
      </c>
      <c r="W23" s="12" cm="1">
        <f t="array" ref="W23">_xll.BDH("NUE US Equity","DISPOSAL_OF_FIXED_INTANG","FQ3 2023","FQ3 2023","Currency=USD","Period=FQ","BEST_FPERIOD_OVERRIDE=FQ","FILING_STATUS=MR","SCALING_FORMAT=MLN","Sort=A","Dates=H","DateFormat=P","Fill=—","Direction=H","UseDPDF=Y")</f>
        <v>3.3279999999999998</v>
      </c>
      <c r="X23" s="12" cm="1">
        <f t="array" ref="X23">_xll.BDH("NUE US Equity","DISPOSAL_OF_FIXED_INTANG","FQ4 2023","FQ4 2023","Currency=USD","Period=FQ","BEST_FPERIOD_OVERRIDE=FQ","FILING_STATUS=MR","SCALING_FORMAT=MLN","Sort=A","Dates=H","DateFormat=P","Fill=—","Direction=H","UseDPDF=Y")</f>
        <v>6.29</v>
      </c>
      <c r="Y23" s="12" cm="1">
        <f t="array" ref="Y23">_xll.BDH("NUE US Equity","DISPOSAL_OF_FIXED_INTANG","FQ1 2024","FQ1 2024","Currency=USD","Period=FQ","BEST_FPERIOD_OVERRIDE=FQ","FILING_STATUS=MR","SCALING_FORMAT=MLN","Sort=A","Dates=H","DateFormat=P","Fill=—","Direction=H","UseDPDF=Y")</f>
        <v>4.4390000000000001</v>
      </c>
      <c r="Z23" s="12" cm="1">
        <f t="array" ref="Z23">_xll.BDH("NUE US Equity","DISPOSAL_OF_FIXED_INTANG","FQ2 2024","FQ2 2024","Currency=USD","Period=FQ","BEST_FPERIOD_OVERRIDE=FQ","FILING_STATUS=MR","SCALING_FORMAT=MLN","Sort=A","Dates=H","DateFormat=P","Fill=—","Direction=H","UseDPDF=Y")</f>
        <v>5.0910000000000002</v>
      </c>
      <c r="AA23" s="12" cm="1">
        <f t="array" ref="AA23">_xll.BDH("NUE US Equity","DISPOSAL_OF_FIXED_INTANG","FQ3 2024","FQ3 2024","Currency=USD","Period=FQ","BEST_FPERIOD_OVERRIDE=FQ","FILING_STATUS=MR","SCALING_FORMAT=MLN","Sort=A","Dates=H","DateFormat=P","Fill=—","Direction=H","UseDPDF=Y")</f>
        <v>2.3039999999999998</v>
      </c>
      <c r="AB23" s="12" cm="1">
        <f t="array" ref="AB23">_xll.BDH("NUE US Equity","DISPOSAL_OF_FIXED_INTANG","FQ4 2024","FQ4 2024","Currency=USD","Period=FQ","BEST_FPERIOD_OVERRIDE=FQ","FILING_STATUS=MR","SCALING_FORMAT=MLN","Sort=A","Dates=H","DateFormat=P","Fill=—","Direction=H","UseDPDF=Y")</f>
        <v>5.1660000000000004</v>
      </c>
      <c r="AC23" s="12" cm="1">
        <f t="array" ref="AC23">_xll.BDH("NUE US Equity","DISPOSAL_OF_FIXED_INTANG","FQ1 2025","FQ1 2025","Currency=USD","Period=FQ","BEST_FPERIOD_OVERRIDE=FQ","FILING_STATUS=MR","SCALING_FORMAT=MLN","Sort=A","Dates=H","DateFormat=P","Fill=—","Direction=H","UseDPDF=Y")</f>
        <v>3</v>
      </c>
      <c r="AD23" s="12" cm="1">
        <f t="array" ref="AD23">_xll.BDH("NUE US Equity","DISPOSAL_OF_FIXED_INTANG","FQ2 2025","FQ2 2025","Currency=USD","Period=FQ","BEST_FPERIOD_OVERRIDE=FQ","FILING_STATUS=MR","SCALING_FORMAT=MLN","Sort=A","Dates=H","DateFormat=P","Fill=—","Direction=H","UseDPDF=Y")</f>
        <v>36</v>
      </c>
      <c r="AE23" s="12" cm="1">
        <f t="array" ref="AE23">_xll.BDH("NUE US Equity","DISPOSAL_OF_FIXED_INTANG","FQ3 2025","FQ3 2025","Currency=USD","Period=FQ","BEST_FPERIOD_OVERRIDE=FQ","FILING_STATUS=MR","SCALING_FORMAT=MLN","Sort=A","Dates=H","DateFormat=P","Fill=—","Direction=H","UseDPDF=Y")</f>
        <v>3</v>
      </c>
      <c r="AF23" s="12" cm="1">
        <f t="array" ref="AF23">_xll.BDH("NUE US Equity","DISPOSAL_OF_FIXED_INTANG","FQ4 2025","FQ4 2025","Currency=USD","Period=FQ","BEST_FPERIOD_OVERRIDE=FQ","FILING_STATUS=MR","SCALING_FORMAT=MLN","Sort=A","Dates=H","DateFormat=P","Fill=—","Direction=H","UseDPDF=Y")</f>
        <v>3</v>
      </c>
    </row>
    <row r="24" spans="1:32" x14ac:dyDescent="0.25">
      <c r="A24" s="11" t="s">
        <v>96</v>
      </c>
      <c r="B24" s="11" t="s">
        <v>97</v>
      </c>
      <c r="C24" s="16" cm="1">
        <f t="array" ref="C24">_xll.BDH("NUE US Equity","CF_DISPOSAL_OF_FIXED_PROD_ASSETS","FQ3 2018","FQ3 2018","Currency=USD","Period=FQ","BEST_FPERIOD_OVERRIDE=FQ","FILING_STATUS=MR","SCALING_FORMAT=MLN","Sort=A","Dates=H","DateFormat=P","Fill=—","Direction=H","UseDPDF=Y")</f>
        <v>10.667</v>
      </c>
      <c r="D24" s="16" cm="1">
        <f t="array" ref="D24">_xll.BDH("NUE US Equity","CF_DISPOSAL_OF_FIXED_PROD_ASSETS","FQ4 2018","FQ4 2018","Currency=USD","Period=FQ","BEST_FPERIOD_OVERRIDE=FQ","FILING_STATUS=MR","SCALING_FORMAT=MLN","Sort=A","Dates=H","DateFormat=P","Fill=—","Direction=H","UseDPDF=Y")</f>
        <v>3.625</v>
      </c>
      <c r="E24" s="16" cm="1">
        <f t="array" ref="E24">_xll.BDH("NUE US Equity","CF_DISPOSAL_OF_FIXED_PROD_ASSETS","FQ1 2019","FQ1 2019","Currency=USD","Period=FQ","BEST_FPERIOD_OVERRIDE=FQ","FILING_STATUS=MR","SCALING_FORMAT=MLN","Sort=A","Dates=H","DateFormat=P","Fill=—","Direction=H","UseDPDF=Y")</f>
        <v>12.91</v>
      </c>
      <c r="F24" s="16" cm="1">
        <f t="array" ref="F24">_xll.BDH("NUE US Equity","CF_DISPOSAL_OF_FIXED_PROD_ASSETS","FQ2 2019","FQ2 2019","Currency=USD","Period=FQ","BEST_FPERIOD_OVERRIDE=FQ","FILING_STATUS=MR","SCALING_FORMAT=MLN","Sort=A","Dates=H","DateFormat=P","Fill=—","Direction=H","UseDPDF=Y")</f>
        <v>5.4859999999999998</v>
      </c>
      <c r="G24" s="16" cm="1">
        <f t="array" ref="G24">_xll.BDH("NUE US Equity","CF_DISPOSAL_OF_FIXED_PROD_ASSETS","FQ3 2019","FQ3 2019","Currency=USD","Period=FQ","BEST_FPERIOD_OVERRIDE=FQ","FILING_STATUS=MR","SCALING_FORMAT=MLN","Sort=A","Dates=H","DateFormat=P","Fill=—","Direction=H","UseDPDF=Y")</f>
        <v>14.526</v>
      </c>
      <c r="H24" s="16" cm="1">
        <f t="array" ref="H24">_xll.BDH("NUE US Equity","CF_DISPOSAL_OF_FIXED_PROD_ASSETS","FQ4 2019","FQ4 2019","Currency=USD","Period=FQ","BEST_FPERIOD_OVERRIDE=FQ","FILING_STATUS=MR","SCALING_FORMAT=MLN","Sort=A","Dates=H","DateFormat=P","Fill=—","Direction=H","UseDPDF=Y")</f>
        <v>8.6959999999999997</v>
      </c>
      <c r="I24" s="16" cm="1">
        <f t="array" ref="I24">_xll.BDH("NUE US Equity","CF_DISPOSAL_OF_FIXED_PROD_ASSETS","FQ1 2020","FQ1 2020","Currency=USD","Period=FQ","BEST_FPERIOD_OVERRIDE=FQ","FILING_STATUS=MR","SCALING_FORMAT=MLN","Sort=A","Dates=H","DateFormat=P","Fill=—","Direction=H","UseDPDF=Y")</f>
        <v>10.256</v>
      </c>
      <c r="J24" s="16" cm="1">
        <f t="array" ref="J24">_xll.BDH("NUE US Equity","CF_DISPOSAL_OF_FIXED_PROD_ASSETS","FQ2 2020","FQ2 2020","Currency=USD","Period=FQ","BEST_FPERIOD_OVERRIDE=FQ","FILING_STATUS=MR","SCALING_FORMAT=MLN","Sort=A","Dates=H","DateFormat=P","Fill=—","Direction=H","UseDPDF=Y")</f>
        <v>7.3959999999999999</v>
      </c>
      <c r="K24" s="16" cm="1">
        <f t="array" ref="K24">_xll.BDH("NUE US Equity","CF_DISPOSAL_OF_FIXED_PROD_ASSETS","FQ3 2020","FQ3 2020","Currency=USD","Period=FQ","BEST_FPERIOD_OVERRIDE=FQ","FILING_STATUS=MR","SCALING_FORMAT=MLN","Sort=A","Dates=H","DateFormat=P","Fill=—","Direction=H","UseDPDF=Y")</f>
        <v>1.84</v>
      </c>
      <c r="L24" s="16" cm="1">
        <f t="array" ref="L24">_xll.BDH("NUE US Equity","CF_DISPOSAL_OF_FIXED_PROD_ASSETS","FQ4 2020","FQ4 2020","Currency=USD","Period=FQ","BEST_FPERIOD_OVERRIDE=FQ","FILING_STATUS=MR","SCALING_FORMAT=MLN","Sort=A","Dates=H","DateFormat=P","Fill=—","Direction=H","UseDPDF=Y")</f>
        <v>21.440999999999999</v>
      </c>
      <c r="M24" s="16" cm="1">
        <f t="array" ref="M24">_xll.BDH("NUE US Equity","CF_DISPOSAL_OF_FIXED_PROD_ASSETS","FQ1 2021","FQ1 2021","Currency=USD","Period=FQ","BEST_FPERIOD_OVERRIDE=FQ","FILING_STATUS=MR","SCALING_FORMAT=MLN","Sort=A","Dates=H","DateFormat=P","Fill=—","Direction=H","UseDPDF=Y")</f>
        <v>5.7350000000000003</v>
      </c>
      <c r="N24" s="16" cm="1">
        <f t="array" ref="N24">_xll.BDH("NUE US Equity","CF_DISPOSAL_OF_FIXED_PROD_ASSETS","FQ2 2021","FQ2 2021","Currency=USD","Period=FQ","BEST_FPERIOD_OVERRIDE=FQ","FILING_STATUS=MR","SCALING_FORMAT=MLN","Sort=A","Dates=H","DateFormat=P","Fill=—","Direction=H","UseDPDF=Y")</f>
        <v>4.93</v>
      </c>
      <c r="O24" s="16" cm="1">
        <f t="array" ref="O24">_xll.BDH("NUE US Equity","CF_DISPOSAL_OF_FIXED_PROD_ASSETS","FQ3 2021","FQ3 2021","Currency=USD","Period=FQ","BEST_FPERIOD_OVERRIDE=FQ","FILING_STATUS=MR","SCALING_FORMAT=MLN","Sort=A","Dates=H","DateFormat=P","Fill=—","Direction=H","UseDPDF=Y")</f>
        <v>4.9160000000000004</v>
      </c>
      <c r="P24" s="16" cm="1">
        <f t="array" ref="P24">_xll.BDH("NUE US Equity","CF_DISPOSAL_OF_FIXED_PROD_ASSETS","FQ4 2021","FQ4 2021","Currency=USD","Period=FQ","BEST_FPERIOD_OVERRIDE=FQ","FILING_STATUS=MR","SCALING_FORMAT=MLN","Sort=A","Dates=H","DateFormat=P","Fill=—","Direction=H","UseDPDF=Y")</f>
        <v>3.82</v>
      </c>
      <c r="Q24" s="16" cm="1">
        <f t="array" ref="Q24">_xll.BDH("NUE US Equity","CF_DISPOSAL_OF_FIXED_PROD_ASSETS","FQ1 2022","FQ1 2022","Currency=USD","Period=FQ","BEST_FPERIOD_OVERRIDE=FQ","FILING_STATUS=MR","SCALING_FORMAT=MLN","Sort=A","Dates=H","DateFormat=P","Fill=—","Direction=H","UseDPDF=Y")</f>
        <v>7.2880000000000003</v>
      </c>
      <c r="R24" s="16" cm="1">
        <f t="array" ref="R24">_xll.BDH("NUE US Equity","CF_DISPOSAL_OF_FIXED_PROD_ASSETS","FQ2 2022","FQ2 2022","Currency=USD","Period=FQ","BEST_FPERIOD_OVERRIDE=FQ","FILING_STATUS=MR","SCALING_FORMAT=MLN","Sort=A","Dates=H","DateFormat=P","Fill=—","Direction=H","UseDPDF=Y")</f>
        <v>8.7080000000000002</v>
      </c>
      <c r="S24" s="16" cm="1">
        <f t="array" ref="S24">_xll.BDH("NUE US Equity","CF_DISPOSAL_OF_FIXED_PROD_ASSETS","FQ3 2022","FQ3 2022","Currency=USD","Period=FQ","BEST_FPERIOD_OVERRIDE=FQ","FILING_STATUS=MR","SCALING_FORMAT=MLN","Sort=A","Dates=H","DateFormat=P","Fill=—","Direction=H","UseDPDF=Y")</f>
        <v>11.282</v>
      </c>
      <c r="T24" s="16" cm="1">
        <f t="array" ref="T24">_xll.BDH("NUE US Equity","CF_DISPOSAL_OF_FIXED_PROD_ASSETS","FQ4 2022","FQ4 2022","Currency=USD","Period=FQ","BEST_FPERIOD_OVERRIDE=FQ","FILING_STATUS=MR","SCALING_FORMAT=MLN","Sort=A","Dates=H","DateFormat=P","Fill=—","Direction=H","UseDPDF=Y")</f>
        <v>4.9989999999999997</v>
      </c>
      <c r="U24" s="16" cm="1">
        <f t="array" ref="U24">_xll.BDH("NUE US Equity","CF_DISPOSAL_OF_FIXED_PROD_ASSETS","FQ1 2023","FQ1 2023","Currency=USD","Period=FQ","BEST_FPERIOD_OVERRIDE=FQ","FILING_STATUS=MR","SCALING_FORMAT=MLN","Sort=A","Dates=H","DateFormat=P","Fill=—","Direction=H","UseDPDF=Y")</f>
        <v>2.2759999999999998</v>
      </c>
      <c r="V24" s="16" cm="1">
        <f t="array" ref="V24">_xll.BDH("NUE US Equity","CF_DISPOSAL_OF_FIXED_PROD_ASSETS","FQ2 2023","FQ2 2023","Currency=USD","Period=FQ","BEST_FPERIOD_OVERRIDE=FQ","FILING_STATUS=MR","SCALING_FORMAT=MLN","Sort=A","Dates=H","DateFormat=P","Fill=—","Direction=H","UseDPDF=Y")</f>
        <v>3.0129999999999999</v>
      </c>
      <c r="W24" s="16" cm="1">
        <f t="array" ref="W24">_xll.BDH("NUE US Equity","CF_DISPOSAL_OF_FIXED_PROD_ASSETS","FQ3 2023","FQ3 2023","Currency=USD","Period=FQ","BEST_FPERIOD_OVERRIDE=FQ","FILING_STATUS=MR","SCALING_FORMAT=MLN","Sort=A","Dates=H","DateFormat=P","Fill=—","Direction=H","UseDPDF=Y")</f>
        <v>3.3279999999999998</v>
      </c>
      <c r="X24" s="16" cm="1">
        <f t="array" ref="X24">_xll.BDH("NUE US Equity","CF_DISPOSAL_OF_FIXED_PROD_ASSETS","FQ4 2023","FQ4 2023","Currency=USD","Period=FQ","BEST_FPERIOD_OVERRIDE=FQ","FILING_STATUS=MR","SCALING_FORMAT=MLN","Sort=A","Dates=H","DateFormat=P","Fill=—","Direction=H","UseDPDF=Y")</f>
        <v>6.29</v>
      </c>
      <c r="Y24" s="16" cm="1">
        <f t="array" ref="Y24">_xll.BDH("NUE US Equity","CF_DISPOSAL_OF_FIXED_PROD_ASSETS","FQ1 2024","FQ1 2024","Currency=USD","Period=FQ","BEST_FPERIOD_OVERRIDE=FQ","FILING_STATUS=MR","SCALING_FORMAT=MLN","Sort=A","Dates=H","DateFormat=P","Fill=—","Direction=H","UseDPDF=Y")</f>
        <v>4.4390000000000001</v>
      </c>
      <c r="Z24" s="16" cm="1">
        <f t="array" ref="Z24">_xll.BDH("NUE US Equity","CF_DISPOSAL_OF_FIXED_PROD_ASSETS","FQ2 2024","FQ2 2024","Currency=USD","Period=FQ","BEST_FPERIOD_OVERRIDE=FQ","FILING_STATUS=MR","SCALING_FORMAT=MLN","Sort=A","Dates=H","DateFormat=P","Fill=—","Direction=H","UseDPDF=Y")</f>
        <v>5.0910000000000002</v>
      </c>
      <c r="AA24" s="16" cm="1">
        <f t="array" ref="AA24">_xll.BDH("NUE US Equity","CF_DISPOSAL_OF_FIXED_PROD_ASSETS","FQ3 2024","FQ3 2024","Currency=USD","Period=FQ","BEST_FPERIOD_OVERRIDE=FQ","FILING_STATUS=MR","SCALING_FORMAT=MLN","Sort=A","Dates=H","DateFormat=P","Fill=—","Direction=H","UseDPDF=Y")</f>
        <v>2.3039999999999998</v>
      </c>
      <c r="AB24" s="16" cm="1">
        <f t="array" ref="AB24">_xll.BDH("NUE US Equity","CF_DISPOSAL_OF_FIXED_PROD_ASSETS","FQ4 2024","FQ4 2024","Currency=USD","Period=FQ","BEST_FPERIOD_OVERRIDE=FQ","FILING_STATUS=MR","SCALING_FORMAT=MLN","Sort=A","Dates=H","DateFormat=P","Fill=—","Direction=H","UseDPDF=Y")</f>
        <v>5.1660000000000004</v>
      </c>
      <c r="AC24" s="16" cm="1">
        <f t="array" ref="AC24">_xll.BDH("NUE US Equity","CF_DISPOSAL_OF_FIXED_PROD_ASSETS","FQ1 2025","FQ1 2025","Currency=USD","Period=FQ","BEST_FPERIOD_OVERRIDE=FQ","FILING_STATUS=MR","SCALING_FORMAT=MLN","Sort=A","Dates=H","DateFormat=P","Fill=—","Direction=H","UseDPDF=Y")</f>
        <v>3</v>
      </c>
      <c r="AD24" s="16" cm="1">
        <f t="array" ref="AD24">_xll.BDH("NUE US Equity","CF_DISPOSAL_OF_FIXED_PROD_ASSETS","FQ2 2025","FQ2 2025","Currency=USD","Period=FQ","BEST_FPERIOD_OVERRIDE=FQ","FILING_STATUS=MR","SCALING_FORMAT=MLN","Sort=A","Dates=H","DateFormat=P","Fill=—","Direction=H","UseDPDF=Y")</f>
        <v>36</v>
      </c>
      <c r="AE24" s="16" cm="1">
        <f t="array" ref="AE24">_xll.BDH("NUE US Equity","CF_DISPOSAL_OF_FIXED_PROD_ASSETS","FQ3 2025","FQ3 2025","Currency=USD","Period=FQ","BEST_FPERIOD_OVERRIDE=FQ","FILING_STATUS=MR","SCALING_FORMAT=MLN","Sort=A","Dates=H","DateFormat=P","Fill=—","Direction=H","UseDPDF=Y")</f>
        <v>3</v>
      </c>
      <c r="AF24" s="16" cm="1">
        <f t="array" ref="AF24">_xll.BDH("NUE US Equity","CF_DISPOSAL_OF_FIXED_PROD_ASSETS","FQ4 2025","FQ4 2025","Currency=USD","Period=FQ","BEST_FPERIOD_OVERRIDE=FQ","FILING_STATUS=MR","SCALING_FORMAT=MLN","Sort=A","Dates=H","DateFormat=P","Fill=—","Direction=H","UseDPDF=Y")</f>
        <v>3</v>
      </c>
    </row>
    <row r="25" spans="1:32" x14ac:dyDescent="0.25">
      <c r="A25" s="11" t="s">
        <v>98</v>
      </c>
      <c r="B25" s="11" t="s">
        <v>99</v>
      </c>
      <c r="C25" s="16" cm="1">
        <f t="array" ref="C25">_xll.BDH("NUE US Equity","CF_DISPOSAL_OF_INTANGIBLE_ASSETS","FQ3 2018","FQ3 2018","Currency=USD","Period=FQ","BEST_FPERIOD_OVERRIDE=FQ","FILING_STATUS=MR","SCALING_FORMAT=MLN","Sort=A","Dates=H","DateFormat=P","Fill=—","Direction=H","UseDPDF=Y")</f>
        <v>0</v>
      </c>
      <c r="D25" s="16" cm="1">
        <f t="array" ref="D25">_xll.BDH("NUE US Equity","CF_DISPOSAL_OF_INTANGIBLE_ASSETS","FQ4 2018","FQ4 2018","Currency=USD","Period=FQ","BEST_FPERIOD_OVERRIDE=FQ","FILING_STATUS=MR","SCALING_FORMAT=MLN","Sort=A","Dates=H","DateFormat=P","Fill=—","Direction=H","UseDPDF=Y")</f>
        <v>0</v>
      </c>
      <c r="E25" s="16" cm="1">
        <f t="array" ref="E25">_xll.BDH("NUE US Equity","CF_DISPOSAL_OF_INTANGIBLE_ASSETS","FQ1 2019","FQ1 2019","Currency=USD","Period=FQ","BEST_FPERIOD_OVERRIDE=FQ","FILING_STATUS=MR","SCALING_FORMAT=MLN","Sort=A","Dates=H","DateFormat=P","Fill=—","Direction=H","UseDPDF=Y")</f>
        <v>0</v>
      </c>
      <c r="F25" s="16" cm="1">
        <f t="array" ref="F25">_xll.BDH("NUE US Equity","CF_DISPOSAL_OF_INTANGIBLE_ASSETS","FQ2 2019","FQ2 2019","Currency=USD","Period=FQ","BEST_FPERIOD_OVERRIDE=FQ","FILING_STATUS=MR","SCALING_FORMAT=MLN","Sort=A","Dates=H","DateFormat=P","Fill=—","Direction=H","UseDPDF=Y")</f>
        <v>0</v>
      </c>
      <c r="G25" s="16" cm="1">
        <f t="array" ref="G25">_xll.BDH("NUE US Equity","CF_DISPOSAL_OF_INTANGIBLE_ASSETS","FQ3 2019","FQ3 2019","Currency=USD","Period=FQ","BEST_FPERIOD_OVERRIDE=FQ","FILING_STATUS=MR","SCALING_FORMAT=MLN","Sort=A","Dates=H","DateFormat=P","Fill=—","Direction=H","UseDPDF=Y")</f>
        <v>0</v>
      </c>
      <c r="H25" s="16" cm="1">
        <f t="array" ref="H25">_xll.BDH("NUE US Equity","CF_DISPOSAL_OF_INTANGIBLE_ASSETS","FQ4 2019","FQ4 2019","Currency=USD","Period=FQ","BEST_FPERIOD_OVERRIDE=FQ","FILING_STATUS=MR","SCALING_FORMAT=MLN","Sort=A","Dates=H","DateFormat=P","Fill=—","Direction=H","UseDPDF=Y")</f>
        <v>0</v>
      </c>
      <c r="I25" s="16" cm="1">
        <f t="array" ref="I25">_xll.BDH("NUE US Equity","CF_DISPOSAL_OF_INTANGIBLE_ASSETS","FQ1 2020","FQ1 2020","Currency=USD","Period=FQ","BEST_FPERIOD_OVERRIDE=FQ","FILING_STATUS=MR","SCALING_FORMAT=MLN","Sort=A","Dates=H","DateFormat=P","Fill=—","Direction=H","UseDPDF=Y")</f>
        <v>0</v>
      </c>
      <c r="J25" s="16" cm="1">
        <f t="array" ref="J25">_xll.BDH("NUE US Equity","CF_DISPOSAL_OF_INTANGIBLE_ASSETS","FQ2 2020","FQ2 2020","Currency=USD","Period=FQ","BEST_FPERIOD_OVERRIDE=FQ","FILING_STATUS=MR","SCALING_FORMAT=MLN","Sort=A","Dates=H","DateFormat=P","Fill=—","Direction=H","UseDPDF=Y")</f>
        <v>0</v>
      </c>
      <c r="K25" s="16" cm="1">
        <f t="array" ref="K25">_xll.BDH("NUE US Equity","CF_DISPOSAL_OF_INTANGIBLE_ASSETS","FQ3 2020","FQ3 2020","Currency=USD","Period=FQ","BEST_FPERIOD_OVERRIDE=FQ","FILING_STATUS=MR","SCALING_FORMAT=MLN","Sort=A","Dates=H","DateFormat=P","Fill=—","Direction=H","UseDPDF=Y")</f>
        <v>0</v>
      </c>
      <c r="L25" s="16" cm="1">
        <f t="array" ref="L25">_xll.BDH("NUE US Equity","CF_DISPOSAL_OF_INTANGIBLE_ASSETS","FQ4 2020","FQ4 2020","Currency=USD","Period=FQ","BEST_FPERIOD_OVERRIDE=FQ","FILING_STATUS=MR","SCALING_FORMAT=MLN","Sort=A","Dates=H","DateFormat=P","Fill=—","Direction=H","UseDPDF=Y")</f>
        <v>0</v>
      </c>
      <c r="M25" s="16" cm="1">
        <f t="array" ref="M25">_xll.BDH("NUE US Equity","CF_DISPOSAL_OF_INTANGIBLE_ASSETS","FQ1 2021","FQ1 2021","Currency=USD","Period=FQ","BEST_FPERIOD_OVERRIDE=FQ","FILING_STATUS=MR","SCALING_FORMAT=MLN","Sort=A","Dates=H","DateFormat=P","Fill=—","Direction=H","UseDPDF=Y")</f>
        <v>0</v>
      </c>
      <c r="N25" s="16" cm="1">
        <f t="array" ref="N25">_xll.BDH("NUE US Equity","CF_DISPOSAL_OF_INTANGIBLE_ASSETS","FQ2 2021","FQ2 2021","Currency=USD","Period=FQ","BEST_FPERIOD_OVERRIDE=FQ","FILING_STATUS=MR","SCALING_FORMAT=MLN","Sort=A","Dates=H","DateFormat=P","Fill=—","Direction=H","UseDPDF=Y")</f>
        <v>0</v>
      </c>
      <c r="O25" s="16" cm="1">
        <f t="array" ref="O25">_xll.BDH("NUE US Equity","CF_DISPOSAL_OF_INTANGIBLE_ASSETS","FQ3 2021","FQ3 2021","Currency=USD","Period=FQ","BEST_FPERIOD_OVERRIDE=FQ","FILING_STATUS=MR","SCALING_FORMAT=MLN","Sort=A","Dates=H","DateFormat=P","Fill=—","Direction=H","UseDPDF=Y")</f>
        <v>0</v>
      </c>
      <c r="P25" s="16" cm="1">
        <f t="array" ref="P25">_xll.BDH("NUE US Equity","CF_DISPOSAL_OF_INTANGIBLE_ASSETS","FQ4 2021","FQ4 2021","Currency=USD","Period=FQ","BEST_FPERIOD_OVERRIDE=FQ","FILING_STATUS=MR","SCALING_FORMAT=MLN","Sort=A","Dates=H","DateFormat=P","Fill=—","Direction=H","UseDPDF=Y")</f>
        <v>0</v>
      </c>
      <c r="Q25" s="16" cm="1">
        <f t="array" ref="Q25">_xll.BDH("NUE US Equity","CF_DISPOSAL_OF_INTANGIBLE_ASSETS","FQ1 2022","FQ1 2022","Currency=USD","Period=FQ","BEST_FPERIOD_OVERRIDE=FQ","FILING_STATUS=MR","SCALING_FORMAT=MLN","Sort=A","Dates=H","DateFormat=P","Fill=—","Direction=H","UseDPDF=Y")</f>
        <v>0</v>
      </c>
      <c r="R25" s="16" cm="1">
        <f t="array" ref="R25">_xll.BDH("NUE US Equity","CF_DISPOSAL_OF_INTANGIBLE_ASSETS","FQ2 2022","FQ2 2022","Currency=USD","Period=FQ","BEST_FPERIOD_OVERRIDE=FQ","FILING_STATUS=MR","SCALING_FORMAT=MLN","Sort=A","Dates=H","DateFormat=P","Fill=—","Direction=H","UseDPDF=Y")</f>
        <v>0</v>
      </c>
      <c r="S25" s="16" cm="1">
        <f t="array" ref="S25">_xll.BDH("NUE US Equity","CF_DISPOSAL_OF_INTANGIBLE_ASSETS","FQ3 2022","FQ3 2022","Currency=USD","Period=FQ","BEST_FPERIOD_OVERRIDE=FQ","FILING_STATUS=MR","SCALING_FORMAT=MLN","Sort=A","Dates=H","DateFormat=P","Fill=—","Direction=H","UseDPDF=Y")</f>
        <v>0</v>
      </c>
      <c r="T25" s="16" cm="1">
        <f t="array" ref="T25">_xll.BDH("NUE US Equity","CF_DISPOSAL_OF_INTANGIBLE_ASSETS","FQ4 2022","FQ4 2022","Currency=USD","Period=FQ","BEST_FPERIOD_OVERRIDE=FQ","FILING_STATUS=MR","SCALING_FORMAT=MLN","Sort=A","Dates=H","DateFormat=P","Fill=—","Direction=H","UseDPDF=Y")</f>
        <v>0</v>
      </c>
      <c r="U25" s="16" cm="1">
        <f t="array" ref="U25">_xll.BDH("NUE US Equity","CF_DISPOSAL_OF_INTANGIBLE_ASSETS","FQ1 2023","FQ1 2023","Currency=USD","Period=FQ","BEST_FPERIOD_OVERRIDE=FQ","FILING_STATUS=MR","SCALING_FORMAT=MLN","Sort=A","Dates=H","DateFormat=P","Fill=—","Direction=H","UseDPDF=Y")</f>
        <v>0</v>
      </c>
      <c r="V25" s="16" cm="1">
        <f t="array" ref="V25">_xll.BDH("NUE US Equity","CF_DISPOSAL_OF_INTANGIBLE_ASSETS","FQ2 2023","FQ2 2023","Currency=USD","Period=FQ","BEST_FPERIOD_OVERRIDE=FQ","FILING_STATUS=MR","SCALING_FORMAT=MLN","Sort=A","Dates=H","DateFormat=P","Fill=—","Direction=H","UseDPDF=Y")</f>
        <v>0</v>
      </c>
      <c r="W25" s="16" cm="1">
        <f t="array" ref="W25">_xll.BDH("NUE US Equity","CF_DISPOSAL_OF_INTANGIBLE_ASSETS","FQ3 2023","FQ3 2023","Currency=USD","Period=FQ","BEST_FPERIOD_OVERRIDE=FQ","FILING_STATUS=MR","SCALING_FORMAT=MLN","Sort=A","Dates=H","DateFormat=P","Fill=—","Direction=H","UseDPDF=Y")</f>
        <v>0</v>
      </c>
      <c r="X25" s="16" cm="1">
        <f t="array" ref="X25">_xll.BDH("NUE US Equity","CF_DISPOSAL_OF_INTANGIBLE_ASSETS","FQ4 2023","FQ4 2023","Currency=USD","Period=FQ","BEST_FPERIOD_OVERRIDE=FQ","FILING_STATUS=MR","SCALING_FORMAT=MLN","Sort=A","Dates=H","DateFormat=P","Fill=—","Direction=H","UseDPDF=Y")</f>
        <v>0</v>
      </c>
      <c r="Y25" s="16" cm="1">
        <f t="array" ref="Y25">_xll.BDH("NUE US Equity","CF_DISPOSAL_OF_INTANGIBLE_ASSETS","FQ1 2024","FQ1 2024","Currency=USD","Period=FQ","BEST_FPERIOD_OVERRIDE=FQ","FILING_STATUS=MR","SCALING_FORMAT=MLN","Sort=A","Dates=H","DateFormat=P","Fill=—","Direction=H","UseDPDF=Y")</f>
        <v>0</v>
      </c>
      <c r="Z25" s="16" cm="1">
        <f t="array" ref="Z25">_xll.BDH("NUE US Equity","CF_DISPOSAL_OF_INTANGIBLE_ASSETS","FQ2 2024","FQ2 2024","Currency=USD","Period=FQ","BEST_FPERIOD_OVERRIDE=FQ","FILING_STATUS=MR","SCALING_FORMAT=MLN","Sort=A","Dates=H","DateFormat=P","Fill=—","Direction=H","UseDPDF=Y")</f>
        <v>0</v>
      </c>
      <c r="AA25" s="16" cm="1">
        <f t="array" ref="AA25">_xll.BDH("NUE US Equity","CF_DISPOSAL_OF_INTANGIBLE_ASSETS","FQ3 2024","FQ3 2024","Currency=USD","Period=FQ","BEST_FPERIOD_OVERRIDE=FQ","FILING_STATUS=MR","SCALING_FORMAT=MLN","Sort=A","Dates=H","DateFormat=P","Fill=—","Direction=H","UseDPDF=Y")</f>
        <v>0</v>
      </c>
      <c r="AB25" s="16" cm="1">
        <f t="array" ref="AB25">_xll.BDH("NUE US Equity","CF_DISPOSAL_OF_INTANGIBLE_ASSETS","FQ4 2024","FQ4 2024","Currency=USD","Period=FQ","BEST_FPERIOD_OVERRIDE=FQ","FILING_STATUS=MR","SCALING_FORMAT=MLN","Sort=A","Dates=H","DateFormat=P","Fill=—","Direction=H","UseDPDF=Y")</f>
        <v>0</v>
      </c>
      <c r="AC25" s="16" cm="1">
        <f t="array" ref="AC25">_xll.BDH("NUE US Equity","CF_DISPOSAL_OF_INTANGIBLE_ASSETS","FQ1 2025","FQ1 2025","Currency=USD","Period=FQ","BEST_FPERIOD_OVERRIDE=FQ","FILING_STATUS=MR","SCALING_FORMAT=MLN","Sort=A","Dates=H","DateFormat=P","Fill=—","Direction=H","UseDPDF=Y")</f>
        <v>0</v>
      </c>
      <c r="AD25" s="16" cm="1">
        <f t="array" ref="AD25">_xll.BDH("NUE US Equity","CF_DISPOSAL_OF_INTANGIBLE_ASSETS","FQ2 2025","FQ2 2025","Currency=USD","Period=FQ","BEST_FPERIOD_OVERRIDE=FQ","FILING_STATUS=MR","SCALING_FORMAT=MLN","Sort=A","Dates=H","DateFormat=P","Fill=—","Direction=H","UseDPDF=Y")</f>
        <v>0</v>
      </c>
      <c r="AE25" s="16" cm="1">
        <f t="array" ref="AE25">_xll.BDH("NUE US Equity","CF_DISPOSAL_OF_INTANGIBLE_ASSETS","FQ3 2025","FQ3 2025","Currency=USD","Period=FQ","BEST_FPERIOD_OVERRIDE=FQ","FILING_STATUS=MR","SCALING_FORMAT=MLN","Sort=A","Dates=H","DateFormat=P","Fill=—","Direction=H","UseDPDF=Y")</f>
        <v>0</v>
      </c>
      <c r="AF25" s="16" cm="1">
        <f t="array" ref="AF25">_xll.BDH("NUE US Equity","CF_DISPOSAL_OF_INTANGIBLE_ASSETS","FQ4 2025","FQ4 2025","Currency=USD","Period=FQ","BEST_FPERIOD_OVERRIDE=FQ","FILING_STATUS=MR","SCALING_FORMAT=MLN","Sort=A","Dates=H","DateFormat=P","Fill=—","Direction=H","UseDPDF=Y")</f>
        <v>0</v>
      </c>
    </row>
    <row r="26" spans="1:32" x14ac:dyDescent="0.25">
      <c r="A26" s="10" t="s">
        <v>100</v>
      </c>
      <c r="B26" s="10" t="s">
        <v>101</v>
      </c>
      <c r="C26" s="12" cm="1">
        <f t="array" ref="C26">_xll.BDH("NUE US Equity","ACQUIS_OF_FIXED_INTANG","FQ3 2018","FQ3 2018","Currency=USD","Period=FQ","BEST_FPERIOD_OVERRIDE=FQ","FILING_STATUS=MR","SCALING_FORMAT=MLN","Sort=A","Dates=H","DateFormat=P","Fill=—","Direction=H","UseDPDF=Y")</f>
        <v>-263.25299999999999</v>
      </c>
      <c r="D26" s="12" cm="1">
        <f t="array" ref="D26">_xll.BDH("NUE US Equity","ACQUIS_OF_FIXED_INTANG","FQ4 2018","FQ4 2018","Currency=USD","Period=FQ","BEST_FPERIOD_OVERRIDE=FQ","FILING_STATUS=MR","SCALING_FORMAT=MLN","Sort=A","Dates=H","DateFormat=P","Fill=—","Direction=H","UseDPDF=Y")</f>
        <v>-357.79199999999997</v>
      </c>
      <c r="E26" s="12" cm="1">
        <f t="array" ref="E26">_xll.BDH("NUE US Equity","ACQUIS_OF_FIXED_INTANG","FQ1 2019","FQ1 2019","Currency=USD","Period=FQ","BEST_FPERIOD_OVERRIDE=FQ","FILING_STATUS=MR","SCALING_FORMAT=MLN","Sort=A","Dates=H","DateFormat=P","Fill=—","Direction=H","UseDPDF=Y")</f>
        <v>-288.786</v>
      </c>
      <c r="F26" s="12" cm="1">
        <f t="array" ref="F26">_xll.BDH("NUE US Equity","ACQUIS_OF_FIXED_INTANG","FQ2 2019","FQ2 2019","Currency=USD","Period=FQ","BEST_FPERIOD_OVERRIDE=FQ","FILING_STATUS=MR","SCALING_FORMAT=MLN","Sort=A","Dates=H","DateFormat=P","Fill=—","Direction=H","UseDPDF=Y")</f>
        <v>-361.161</v>
      </c>
      <c r="G26" s="12" cm="1">
        <f t="array" ref="G26">_xll.BDH("NUE US Equity","ACQUIS_OF_FIXED_INTANG","FQ3 2019","FQ3 2019","Currency=USD","Period=FQ","BEST_FPERIOD_OVERRIDE=FQ","FILING_STATUS=MR","SCALING_FORMAT=MLN","Sort=A","Dates=H","DateFormat=P","Fill=—","Direction=H","UseDPDF=Y")</f>
        <v>-334.69900000000001</v>
      </c>
      <c r="H26" s="12" cm="1">
        <f t="array" ref="H26">_xll.BDH("NUE US Equity","ACQUIS_OF_FIXED_INTANG","FQ4 2019","FQ4 2019","Currency=USD","Period=FQ","BEST_FPERIOD_OVERRIDE=FQ","FILING_STATUS=MR","SCALING_FORMAT=MLN","Sort=A","Dates=H","DateFormat=P","Fill=—","Direction=H","UseDPDF=Y")</f>
        <v>-492.64699999999999</v>
      </c>
      <c r="I26" s="12" cm="1">
        <f t="array" ref="I26">_xll.BDH("NUE US Equity","ACQUIS_OF_FIXED_INTANG","FQ1 2020","FQ1 2020","Currency=USD","Period=FQ","BEST_FPERIOD_OVERRIDE=FQ","FILING_STATUS=MR","SCALING_FORMAT=MLN","Sort=A","Dates=H","DateFormat=P","Fill=—","Direction=H","UseDPDF=Y")</f>
        <v>-416.55700000000002</v>
      </c>
      <c r="J26" s="12" cm="1">
        <f t="array" ref="J26">_xll.BDH("NUE US Equity","ACQUIS_OF_FIXED_INTANG","FQ2 2020","FQ2 2020","Currency=USD","Period=FQ","BEST_FPERIOD_OVERRIDE=FQ","FILING_STATUS=MR","SCALING_FORMAT=MLN","Sort=A","Dates=H","DateFormat=P","Fill=—","Direction=H","UseDPDF=Y")</f>
        <v>-360.76</v>
      </c>
      <c r="K26" s="12" cm="1">
        <f t="array" ref="K26">_xll.BDH("NUE US Equity","ACQUIS_OF_FIXED_INTANG","FQ3 2020","FQ3 2020","Currency=USD","Period=FQ","BEST_FPERIOD_OVERRIDE=FQ","FILING_STATUS=MR","SCALING_FORMAT=MLN","Sort=A","Dates=H","DateFormat=P","Fill=—","Direction=H","UseDPDF=Y")</f>
        <v>-401.76400000000001</v>
      </c>
      <c r="L26" s="12" cm="1">
        <f t="array" ref="L26">_xll.BDH("NUE US Equity","ACQUIS_OF_FIXED_INTANG","FQ4 2020","FQ4 2020","Currency=USD","Period=FQ","BEST_FPERIOD_OVERRIDE=FQ","FILING_STATUS=MR","SCALING_FORMAT=MLN","Sort=A","Dates=H","DateFormat=P","Fill=—","Direction=H","UseDPDF=Y")</f>
        <v>-364.13799999999998</v>
      </c>
      <c r="M26" s="12" cm="1">
        <f t="array" ref="M26">_xll.BDH("NUE US Equity","ACQUIS_OF_FIXED_INTANG","FQ1 2021","FQ1 2021","Currency=USD","Period=FQ","BEST_FPERIOD_OVERRIDE=FQ","FILING_STATUS=MR","SCALING_FORMAT=MLN","Sort=A","Dates=H","DateFormat=P","Fill=—","Direction=H","UseDPDF=Y")</f>
        <v>-313.51</v>
      </c>
      <c r="N26" s="12" cm="1">
        <f t="array" ref="N26">_xll.BDH("NUE US Equity","ACQUIS_OF_FIXED_INTANG","FQ2 2021","FQ2 2021","Currency=USD","Period=FQ","BEST_FPERIOD_OVERRIDE=FQ","FILING_STATUS=MR","SCALING_FORMAT=MLN","Sort=A","Dates=H","DateFormat=P","Fill=—","Direction=H","UseDPDF=Y")</f>
        <v>-388.86799999999999</v>
      </c>
      <c r="O26" s="12" cm="1">
        <f t="array" ref="O26">_xll.BDH("NUE US Equity","ACQUIS_OF_FIXED_INTANG","FQ3 2021","FQ3 2021","Currency=USD","Period=FQ","BEST_FPERIOD_OVERRIDE=FQ","FILING_STATUS=MR","SCALING_FORMAT=MLN","Sort=A","Dates=H","DateFormat=P","Fill=—","Direction=H","UseDPDF=Y")</f>
        <v>-504.71</v>
      </c>
      <c r="P26" s="12" cm="1">
        <f t="array" ref="P26">_xll.BDH("NUE US Equity","ACQUIS_OF_FIXED_INTANG","FQ4 2021","FQ4 2021","Currency=USD","Period=FQ","BEST_FPERIOD_OVERRIDE=FQ","FILING_STATUS=MR","SCALING_FORMAT=MLN","Sort=A","Dates=H","DateFormat=P","Fill=—","Direction=H","UseDPDF=Y")</f>
        <v>-414.90100000000001</v>
      </c>
      <c r="Q26" s="12" cm="1">
        <f t="array" ref="Q26">_xll.BDH("NUE US Equity","ACQUIS_OF_FIXED_INTANG","FQ1 2022","FQ1 2022","Currency=USD","Period=FQ","BEST_FPERIOD_OVERRIDE=FQ","FILING_STATUS=MR","SCALING_FORMAT=MLN","Sort=A","Dates=H","DateFormat=P","Fill=—","Direction=H","UseDPDF=Y")</f>
        <v>-447.68200000000002</v>
      </c>
      <c r="R26" s="12" cm="1">
        <f t="array" ref="R26">_xll.BDH("NUE US Equity","ACQUIS_OF_FIXED_INTANG","FQ2 2022","FQ2 2022","Currency=USD","Period=FQ","BEST_FPERIOD_OVERRIDE=FQ","FILING_STATUS=MR","SCALING_FORMAT=MLN","Sort=A","Dates=H","DateFormat=P","Fill=—","Direction=H","UseDPDF=Y")</f>
        <v>-521.11300000000006</v>
      </c>
      <c r="S26" s="12" cm="1">
        <f t="array" ref="S26">_xll.BDH("NUE US Equity","ACQUIS_OF_FIXED_INTANG","FQ3 2022","FQ3 2022","Currency=USD","Period=FQ","BEST_FPERIOD_OVERRIDE=FQ","FILING_STATUS=MR","SCALING_FORMAT=MLN","Sort=A","Dates=H","DateFormat=P","Fill=—","Direction=H","UseDPDF=Y")</f>
        <v>-461.33</v>
      </c>
      <c r="T26" s="12" cm="1">
        <f t="array" ref="T26">_xll.BDH("NUE US Equity","ACQUIS_OF_FIXED_INTANG","FQ4 2022","FQ4 2022","Currency=USD","Period=FQ","BEST_FPERIOD_OVERRIDE=FQ","FILING_STATUS=MR","SCALING_FORMAT=MLN","Sort=A","Dates=H","DateFormat=P","Fill=—","Direction=H","UseDPDF=Y")</f>
        <v>-517.77200000000005</v>
      </c>
      <c r="U26" s="12" cm="1">
        <f t="array" ref="U26">_xll.BDH("NUE US Equity","ACQUIS_OF_FIXED_INTANG","FQ1 2023","FQ1 2023","Currency=USD","Period=FQ","BEST_FPERIOD_OVERRIDE=FQ","FILING_STATUS=MR","SCALING_FORMAT=MLN","Sort=A","Dates=H","DateFormat=P","Fill=—","Direction=H","UseDPDF=Y")</f>
        <v>-531.73299999999995</v>
      </c>
      <c r="V26" s="12" cm="1">
        <f t="array" ref="V26">_xll.BDH("NUE US Equity","ACQUIS_OF_FIXED_INTANG","FQ2 2023","FQ2 2023","Currency=USD","Period=FQ","BEST_FPERIOD_OVERRIDE=FQ","FILING_STATUS=MR","SCALING_FORMAT=MLN","Sort=A","Dates=H","DateFormat=P","Fill=—","Direction=H","UseDPDF=Y")</f>
        <v>-525.35299999999995</v>
      </c>
      <c r="W26" s="12" cm="1">
        <f t="array" ref="W26">_xll.BDH("NUE US Equity","ACQUIS_OF_FIXED_INTANG","FQ3 2023","FQ3 2023","Currency=USD","Period=FQ","BEST_FPERIOD_OVERRIDE=FQ","FILING_STATUS=MR","SCALING_FORMAT=MLN","Sort=A","Dates=H","DateFormat=P","Fill=—","Direction=H","UseDPDF=Y")</f>
        <v>-439.16199999999998</v>
      </c>
      <c r="X26" s="12" cm="1">
        <f t="array" ref="X26">_xll.BDH("NUE US Equity","ACQUIS_OF_FIXED_INTANG","FQ4 2023","FQ4 2023","Currency=USD","Period=FQ","BEST_FPERIOD_OVERRIDE=FQ","FILING_STATUS=MR","SCALING_FORMAT=MLN","Sort=A","Dates=H","DateFormat=P","Fill=—","Direction=H","UseDPDF=Y")</f>
        <v>-717.90899999999999</v>
      </c>
      <c r="Y26" s="12" cm="1">
        <f t="array" ref="Y26">_xll.BDH("NUE US Equity","ACQUIS_OF_FIXED_INTANG","FQ1 2024","FQ1 2024","Currency=USD","Period=FQ","BEST_FPERIOD_OVERRIDE=FQ","FILING_STATUS=MR","SCALING_FORMAT=MLN","Sort=A","Dates=H","DateFormat=P","Fill=—","Direction=H","UseDPDF=Y")</f>
        <v>-670.34</v>
      </c>
      <c r="Z26" s="12" cm="1">
        <f t="array" ref="Z26">_xll.BDH("NUE US Equity","ACQUIS_OF_FIXED_INTANG","FQ2 2024","FQ2 2024","Currency=USD","Period=FQ","BEST_FPERIOD_OVERRIDE=FQ","FILING_STATUS=MR","SCALING_FORMAT=MLN","Sort=A","Dates=H","DateFormat=P","Fill=—","Direction=H","UseDPDF=Y")</f>
        <v>-800.89400000000001</v>
      </c>
      <c r="AA26" s="12" cm="1">
        <f t="array" ref="AA26">_xll.BDH("NUE US Equity","ACQUIS_OF_FIXED_INTANG","FQ3 2024","FQ3 2024","Currency=USD","Period=FQ","BEST_FPERIOD_OVERRIDE=FQ","FILING_STATUS=MR","SCALING_FORMAT=MLN","Sort=A","Dates=H","DateFormat=P","Fill=—","Direction=H","UseDPDF=Y")</f>
        <v>-822.625</v>
      </c>
      <c r="AB26" s="12" cm="1">
        <f t="array" ref="AB26">_xll.BDH("NUE US Equity","ACQUIS_OF_FIXED_INTANG","FQ4 2024","FQ4 2024","Currency=USD","Period=FQ","BEST_FPERIOD_OVERRIDE=FQ","FILING_STATUS=MR","SCALING_FORMAT=MLN","Sort=A","Dates=H","DateFormat=P","Fill=—","Direction=H","UseDPDF=Y")</f>
        <v>-879.14099999999996</v>
      </c>
      <c r="AC26" s="12" cm="1">
        <f t="array" ref="AC26">_xll.BDH("NUE US Equity","ACQUIS_OF_FIXED_INTANG","FQ1 2025","FQ1 2025","Currency=USD","Period=FQ","BEST_FPERIOD_OVERRIDE=FQ","FILING_STATUS=MR","SCALING_FORMAT=MLN","Sort=A","Dates=H","DateFormat=P","Fill=—","Direction=H","UseDPDF=Y")</f>
        <v>-859</v>
      </c>
      <c r="AD26" s="12" cm="1">
        <f t="array" ref="AD26">_xll.BDH("NUE US Equity","ACQUIS_OF_FIXED_INTANG","FQ2 2025","FQ2 2025","Currency=USD","Period=FQ","BEST_FPERIOD_OVERRIDE=FQ","FILING_STATUS=MR","SCALING_FORMAT=MLN","Sort=A","Dates=H","DateFormat=P","Fill=—","Direction=H","UseDPDF=Y")</f>
        <v>-954</v>
      </c>
      <c r="AE26" s="12" cm="1">
        <f t="array" ref="AE26">_xll.BDH("NUE US Equity","ACQUIS_OF_FIXED_INTANG","FQ3 2025","FQ3 2025","Currency=USD","Period=FQ","BEST_FPERIOD_OVERRIDE=FQ","FILING_STATUS=MR","SCALING_FORMAT=MLN","Sort=A","Dates=H","DateFormat=P","Fill=—","Direction=H","UseDPDF=Y")</f>
        <v>-807</v>
      </c>
      <c r="AF26" s="12" cm="1">
        <f t="array" ref="AF26">_xll.BDH("NUE US Equity","ACQUIS_OF_FIXED_INTANG","FQ4 2025","FQ4 2025","Currency=USD","Period=FQ","BEST_FPERIOD_OVERRIDE=FQ","FILING_STATUS=MR","SCALING_FORMAT=MLN","Sort=A","Dates=H","DateFormat=P","Fill=—","Direction=H","UseDPDF=Y")</f>
        <v>-802</v>
      </c>
    </row>
    <row r="27" spans="1:32" x14ac:dyDescent="0.25">
      <c r="A27" s="11" t="s">
        <v>102</v>
      </c>
      <c r="B27" s="11" t="s">
        <v>103</v>
      </c>
      <c r="C27" s="16" cm="1">
        <f t="array" ref="C27">_xll.BDH("NUE US Equity","CF_PURCHASE_OF_FIXED_PROD_ASSETS","FQ3 2018","FQ3 2018","Currency=USD","Period=FQ","BEST_FPERIOD_OVERRIDE=FQ","FILING_STATUS=MR","SCALING_FORMAT=MLN","Sort=A","Dates=H","DateFormat=P","Fill=—","Direction=H","UseDPDF=Y")</f>
        <v>-263.25299999999999</v>
      </c>
      <c r="D27" s="16" cm="1">
        <f t="array" ref="D27">_xll.BDH("NUE US Equity","CF_PURCHASE_OF_FIXED_PROD_ASSETS","FQ4 2018","FQ4 2018","Currency=USD","Period=FQ","BEST_FPERIOD_OVERRIDE=FQ","FILING_STATUS=MR","SCALING_FORMAT=MLN","Sort=A","Dates=H","DateFormat=P","Fill=—","Direction=H","UseDPDF=Y")</f>
        <v>-357.79199999999997</v>
      </c>
      <c r="E27" s="16" cm="1">
        <f t="array" ref="E27">_xll.BDH("NUE US Equity","CF_PURCHASE_OF_FIXED_PROD_ASSETS","FQ1 2019","FQ1 2019","Currency=USD","Period=FQ","BEST_FPERIOD_OVERRIDE=FQ","FILING_STATUS=MR","SCALING_FORMAT=MLN","Sort=A","Dates=H","DateFormat=P","Fill=—","Direction=H","UseDPDF=Y")</f>
        <v>-288.786</v>
      </c>
      <c r="F27" s="16" cm="1">
        <f t="array" ref="F27">_xll.BDH("NUE US Equity","CF_PURCHASE_OF_FIXED_PROD_ASSETS","FQ2 2019","FQ2 2019","Currency=USD","Period=FQ","BEST_FPERIOD_OVERRIDE=FQ","FILING_STATUS=MR","SCALING_FORMAT=MLN","Sort=A","Dates=H","DateFormat=P","Fill=—","Direction=H","UseDPDF=Y")</f>
        <v>-361.161</v>
      </c>
      <c r="G27" s="16" cm="1">
        <f t="array" ref="G27">_xll.BDH("NUE US Equity","CF_PURCHASE_OF_FIXED_PROD_ASSETS","FQ3 2019","FQ3 2019","Currency=USD","Period=FQ","BEST_FPERIOD_OVERRIDE=FQ","FILING_STATUS=MR","SCALING_FORMAT=MLN","Sort=A","Dates=H","DateFormat=P","Fill=—","Direction=H","UseDPDF=Y")</f>
        <v>-334.69900000000001</v>
      </c>
      <c r="H27" s="16" cm="1">
        <f t="array" ref="H27">_xll.BDH("NUE US Equity","CF_PURCHASE_OF_FIXED_PROD_ASSETS","FQ4 2019","FQ4 2019","Currency=USD","Period=FQ","BEST_FPERIOD_OVERRIDE=FQ","FILING_STATUS=MR","SCALING_FORMAT=MLN","Sort=A","Dates=H","DateFormat=P","Fill=—","Direction=H","UseDPDF=Y")</f>
        <v>-492.64699999999999</v>
      </c>
      <c r="I27" s="16" cm="1">
        <f t="array" ref="I27">_xll.BDH("NUE US Equity","CF_PURCHASE_OF_FIXED_PROD_ASSETS","FQ1 2020","FQ1 2020","Currency=USD","Period=FQ","BEST_FPERIOD_OVERRIDE=FQ","FILING_STATUS=MR","SCALING_FORMAT=MLN","Sort=A","Dates=H","DateFormat=P","Fill=—","Direction=H","UseDPDF=Y")</f>
        <v>-416.55700000000002</v>
      </c>
      <c r="J27" s="16" cm="1">
        <f t="array" ref="J27">_xll.BDH("NUE US Equity","CF_PURCHASE_OF_FIXED_PROD_ASSETS","FQ2 2020","FQ2 2020","Currency=USD","Period=FQ","BEST_FPERIOD_OVERRIDE=FQ","FILING_STATUS=MR","SCALING_FORMAT=MLN","Sort=A","Dates=H","DateFormat=P","Fill=—","Direction=H","UseDPDF=Y")</f>
        <v>-360.76</v>
      </c>
      <c r="K27" s="16" cm="1">
        <f t="array" ref="K27">_xll.BDH("NUE US Equity","CF_PURCHASE_OF_FIXED_PROD_ASSETS","FQ3 2020","FQ3 2020","Currency=USD","Period=FQ","BEST_FPERIOD_OVERRIDE=FQ","FILING_STATUS=MR","SCALING_FORMAT=MLN","Sort=A","Dates=H","DateFormat=P","Fill=—","Direction=H","UseDPDF=Y")</f>
        <v>-401.76400000000001</v>
      </c>
      <c r="L27" s="16" cm="1">
        <f t="array" ref="L27">_xll.BDH("NUE US Equity","CF_PURCHASE_OF_FIXED_PROD_ASSETS","FQ4 2020","FQ4 2020","Currency=USD","Period=FQ","BEST_FPERIOD_OVERRIDE=FQ","FILING_STATUS=MR","SCALING_FORMAT=MLN","Sort=A","Dates=H","DateFormat=P","Fill=—","Direction=H","UseDPDF=Y")</f>
        <v>-364.13799999999998</v>
      </c>
      <c r="M27" s="16" cm="1">
        <f t="array" ref="M27">_xll.BDH("NUE US Equity","CF_PURCHASE_OF_FIXED_PROD_ASSETS","FQ1 2021","FQ1 2021","Currency=USD","Period=FQ","BEST_FPERIOD_OVERRIDE=FQ","FILING_STATUS=MR","SCALING_FORMAT=MLN","Sort=A","Dates=H","DateFormat=P","Fill=—","Direction=H","UseDPDF=Y")</f>
        <v>-313.51</v>
      </c>
      <c r="N27" s="16" cm="1">
        <f t="array" ref="N27">_xll.BDH("NUE US Equity","CF_PURCHASE_OF_FIXED_PROD_ASSETS","FQ2 2021","FQ2 2021","Currency=USD","Period=FQ","BEST_FPERIOD_OVERRIDE=FQ","FILING_STATUS=MR","SCALING_FORMAT=MLN","Sort=A","Dates=H","DateFormat=P","Fill=—","Direction=H","UseDPDF=Y")</f>
        <v>-388.86799999999999</v>
      </c>
      <c r="O27" s="16" cm="1">
        <f t="array" ref="O27">_xll.BDH("NUE US Equity","CF_PURCHASE_OF_FIXED_PROD_ASSETS","FQ3 2021","FQ3 2021","Currency=USD","Period=FQ","BEST_FPERIOD_OVERRIDE=FQ","FILING_STATUS=MR","SCALING_FORMAT=MLN","Sort=A","Dates=H","DateFormat=P","Fill=—","Direction=H","UseDPDF=Y")</f>
        <v>-504.71</v>
      </c>
      <c r="P27" s="16" cm="1">
        <f t="array" ref="P27">_xll.BDH("NUE US Equity","CF_PURCHASE_OF_FIXED_PROD_ASSETS","FQ4 2021","FQ4 2021","Currency=USD","Period=FQ","BEST_FPERIOD_OVERRIDE=FQ","FILING_STATUS=MR","SCALING_FORMAT=MLN","Sort=A","Dates=H","DateFormat=P","Fill=—","Direction=H","UseDPDF=Y")</f>
        <v>-414.90100000000001</v>
      </c>
      <c r="Q27" s="16" cm="1">
        <f t="array" ref="Q27">_xll.BDH("NUE US Equity","CF_PURCHASE_OF_FIXED_PROD_ASSETS","FQ1 2022","FQ1 2022","Currency=USD","Period=FQ","BEST_FPERIOD_OVERRIDE=FQ","FILING_STATUS=MR","SCALING_FORMAT=MLN","Sort=A","Dates=H","DateFormat=P","Fill=—","Direction=H","UseDPDF=Y")</f>
        <v>-447.68200000000002</v>
      </c>
      <c r="R27" s="16" cm="1">
        <f t="array" ref="R27">_xll.BDH("NUE US Equity","CF_PURCHASE_OF_FIXED_PROD_ASSETS","FQ2 2022","FQ2 2022","Currency=USD","Period=FQ","BEST_FPERIOD_OVERRIDE=FQ","FILING_STATUS=MR","SCALING_FORMAT=MLN","Sort=A","Dates=H","DateFormat=P","Fill=—","Direction=H","UseDPDF=Y")</f>
        <v>-521.11300000000006</v>
      </c>
      <c r="S27" s="16" cm="1">
        <f t="array" ref="S27">_xll.BDH("NUE US Equity","CF_PURCHASE_OF_FIXED_PROD_ASSETS","FQ3 2022","FQ3 2022","Currency=USD","Period=FQ","BEST_FPERIOD_OVERRIDE=FQ","FILING_STATUS=MR","SCALING_FORMAT=MLN","Sort=A","Dates=H","DateFormat=P","Fill=—","Direction=H","UseDPDF=Y")</f>
        <v>-461.33</v>
      </c>
      <c r="T27" s="16" cm="1">
        <f t="array" ref="T27">_xll.BDH("NUE US Equity","CF_PURCHASE_OF_FIXED_PROD_ASSETS","FQ4 2022","FQ4 2022","Currency=USD","Period=FQ","BEST_FPERIOD_OVERRIDE=FQ","FILING_STATUS=MR","SCALING_FORMAT=MLN","Sort=A","Dates=H","DateFormat=P","Fill=—","Direction=H","UseDPDF=Y")</f>
        <v>-517.77200000000005</v>
      </c>
      <c r="U27" s="16" cm="1">
        <f t="array" ref="U27">_xll.BDH("NUE US Equity","CF_PURCHASE_OF_FIXED_PROD_ASSETS","FQ1 2023","FQ1 2023","Currency=USD","Period=FQ","BEST_FPERIOD_OVERRIDE=FQ","FILING_STATUS=MR","SCALING_FORMAT=MLN","Sort=A","Dates=H","DateFormat=P","Fill=—","Direction=H","UseDPDF=Y")</f>
        <v>-531.73299999999995</v>
      </c>
      <c r="V27" s="16" cm="1">
        <f t="array" ref="V27">_xll.BDH("NUE US Equity","CF_PURCHASE_OF_FIXED_PROD_ASSETS","FQ2 2023","FQ2 2023","Currency=USD","Period=FQ","BEST_FPERIOD_OVERRIDE=FQ","FILING_STATUS=MR","SCALING_FORMAT=MLN","Sort=A","Dates=H","DateFormat=P","Fill=—","Direction=H","UseDPDF=Y")</f>
        <v>-525.35299999999995</v>
      </c>
      <c r="W27" s="16" cm="1">
        <f t="array" ref="W27">_xll.BDH("NUE US Equity","CF_PURCHASE_OF_FIXED_PROD_ASSETS","FQ3 2023","FQ3 2023","Currency=USD","Period=FQ","BEST_FPERIOD_OVERRIDE=FQ","FILING_STATUS=MR","SCALING_FORMAT=MLN","Sort=A","Dates=H","DateFormat=P","Fill=—","Direction=H","UseDPDF=Y")</f>
        <v>-439.16199999999998</v>
      </c>
      <c r="X27" s="16" cm="1">
        <f t="array" ref="X27">_xll.BDH("NUE US Equity","CF_PURCHASE_OF_FIXED_PROD_ASSETS","FQ4 2023","FQ4 2023","Currency=USD","Period=FQ","BEST_FPERIOD_OVERRIDE=FQ","FILING_STATUS=MR","SCALING_FORMAT=MLN","Sort=A","Dates=H","DateFormat=P","Fill=—","Direction=H","UseDPDF=Y")</f>
        <v>-717.90899999999999</v>
      </c>
      <c r="Y27" s="16" cm="1">
        <f t="array" ref="Y27">_xll.BDH("NUE US Equity","CF_PURCHASE_OF_FIXED_PROD_ASSETS","FQ1 2024","FQ1 2024","Currency=USD","Period=FQ","BEST_FPERIOD_OVERRIDE=FQ","FILING_STATUS=MR","SCALING_FORMAT=MLN","Sort=A","Dates=H","DateFormat=P","Fill=—","Direction=H","UseDPDF=Y")</f>
        <v>-670.34</v>
      </c>
      <c r="Z27" s="16" cm="1">
        <f t="array" ref="Z27">_xll.BDH("NUE US Equity","CF_PURCHASE_OF_FIXED_PROD_ASSETS","FQ2 2024","FQ2 2024","Currency=USD","Period=FQ","BEST_FPERIOD_OVERRIDE=FQ","FILING_STATUS=MR","SCALING_FORMAT=MLN","Sort=A","Dates=H","DateFormat=P","Fill=—","Direction=H","UseDPDF=Y")</f>
        <v>-800.89400000000001</v>
      </c>
      <c r="AA27" s="16" cm="1">
        <f t="array" ref="AA27">_xll.BDH("NUE US Equity","CF_PURCHASE_OF_FIXED_PROD_ASSETS","FQ3 2024","FQ3 2024","Currency=USD","Period=FQ","BEST_FPERIOD_OVERRIDE=FQ","FILING_STATUS=MR","SCALING_FORMAT=MLN","Sort=A","Dates=H","DateFormat=P","Fill=—","Direction=H","UseDPDF=Y")</f>
        <v>-822.625</v>
      </c>
      <c r="AB27" s="16" cm="1">
        <f t="array" ref="AB27">_xll.BDH("NUE US Equity","CF_PURCHASE_OF_FIXED_PROD_ASSETS","FQ4 2024","FQ4 2024","Currency=USD","Period=FQ","BEST_FPERIOD_OVERRIDE=FQ","FILING_STATUS=MR","SCALING_FORMAT=MLN","Sort=A","Dates=H","DateFormat=P","Fill=—","Direction=H","UseDPDF=Y")</f>
        <v>-879.14099999999996</v>
      </c>
      <c r="AC27" s="16" cm="1">
        <f t="array" ref="AC27">_xll.BDH("NUE US Equity","CF_PURCHASE_OF_FIXED_PROD_ASSETS","FQ1 2025","FQ1 2025","Currency=USD","Period=FQ","BEST_FPERIOD_OVERRIDE=FQ","FILING_STATUS=MR","SCALING_FORMAT=MLN","Sort=A","Dates=H","DateFormat=P","Fill=—","Direction=H","UseDPDF=Y")</f>
        <v>-859</v>
      </c>
      <c r="AD27" s="16" cm="1">
        <f t="array" ref="AD27">_xll.BDH("NUE US Equity","CF_PURCHASE_OF_FIXED_PROD_ASSETS","FQ2 2025","FQ2 2025","Currency=USD","Period=FQ","BEST_FPERIOD_OVERRIDE=FQ","FILING_STATUS=MR","SCALING_FORMAT=MLN","Sort=A","Dates=H","DateFormat=P","Fill=—","Direction=H","UseDPDF=Y")</f>
        <v>-954</v>
      </c>
      <c r="AE27" s="16" cm="1">
        <f t="array" ref="AE27">_xll.BDH("NUE US Equity","CF_PURCHASE_OF_FIXED_PROD_ASSETS","FQ3 2025","FQ3 2025","Currency=USD","Period=FQ","BEST_FPERIOD_OVERRIDE=FQ","FILING_STATUS=MR","SCALING_FORMAT=MLN","Sort=A","Dates=H","DateFormat=P","Fill=—","Direction=H","UseDPDF=Y")</f>
        <v>-807</v>
      </c>
      <c r="AF27" s="16" cm="1">
        <f t="array" ref="AF27">_xll.BDH("NUE US Equity","CF_PURCHASE_OF_FIXED_PROD_ASSETS","FQ4 2025","FQ4 2025","Currency=USD","Period=FQ","BEST_FPERIOD_OVERRIDE=FQ","FILING_STATUS=MR","SCALING_FORMAT=MLN","Sort=A","Dates=H","DateFormat=P","Fill=—","Direction=H","UseDPDF=Y")</f>
        <v>-802</v>
      </c>
    </row>
    <row r="28" spans="1:32" x14ac:dyDescent="0.25">
      <c r="A28" s="11" t="s">
        <v>104</v>
      </c>
      <c r="B28" s="11" t="s">
        <v>105</v>
      </c>
      <c r="C28" s="16" cm="1">
        <f t="array" ref="C28">_xll.BDH("NUE US Equity","CF_ACQUISITION_OF_INTANG_ASSETS","FQ3 2018","FQ3 2018","Currency=USD","Period=FQ","BEST_FPERIOD_OVERRIDE=FQ","FILING_STATUS=MR","SCALING_FORMAT=MLN","Sort=A","Dates=H","DateFormat=P","Fill=—","Direction=H","UseDPDF=Y")</f>
        <v>0</v>
      </c>
      <c r="D28" s="16" cm="1">
        <f t="array" ref="D28">_xll.BDH("NUE US Equity","CF_ACQUISITION_OF_INTANG_ASSETS","FQ4 2018","FQ4 2018","Currency=USD","Period=FQ","BEST_FPERIOD_OVERRIDE=FQ","FILING_STATUS=MR","SCALING_FORMAT=MLN","Sort=A","Dates=H","DateFormat=P","Fill=—","Direction=H","UseDPDF=Y")</f>
        <v>0</v>
      </c>
      <c r="E28" s="16" cm="1">
        <f t="array" ref="E28">_xll.BDH("NUE US Equity","CF_ACQUISITION_OF_INTANG_ASSETS","FQ1 2019","FQ1 2019","Currency=USD","Period=FQ","BEST_FPERIOD_OVERRIDE=FQ","FILING_STATUS=MR","SCALING_FORMAT=MLN","Sort=A","Dates=H","DateFormat=P","Fill=—","Direction=H","UseDPDF=Y")</f>
        <v>0</v>
      </c>
      <c r="F28" s="16" cm="1">
        <f t="array" ref="F28">_xll.BDH("NUE US Equity","CF_ACQUISITION_OF_INTANG_ASSETS","FQ2 2019","FQ2 2019","Currency=USD","Period=FQ","BEST_FPERIOD_OVERRIDE=FQ","FILING_STATUS=MR","SCALING_FORMAT=MLN","Sort=A","Dates=H","DateFormat=P","Fill=—","Direction=H","UseDPDF=Y")</f>
        <v>0</v>
      </c>
      <c r="G28" s="16" cm="1">
        <f t="array" ref="G28">_xll.BDH("NUE US Equity","CF_ACQUISITION_OF_INTANG_ASSETS","FQ3 2019","FQ3 2019","Currency=USD","Period=FQ","BEST_FPERIOD_OVERRIDE=FQ","FILING_STATUS=MR","SCALING_FORMAT=MLN","Sort=A","Dates=H","DateFormat=P","Fill=—","Direction=H","UseDPDF=Y")</f>
        <v>0</v>
      </c>
      <c r="H28" s="16" cm="1">
        <f t="array" ref="H28">_xll.BDH("NUE US Equity","CF_ACQUISITION_OF_INTANG_ASSETS","FQ4 2019","FQ4 2019","Currency=USD","Period=FQ","BEST_FPERIOD_OVERRIDE=FQ","FILING_STATUS=MR","SCALING_FORMAT=MLN","Sort=A","Dates=H","DateFormat=P","Fill=—","Direction=H","UseDPDF=Y")</f>
        <v>0</v>
      </c>
      <c r="I28" s="16" cm="1">
        <f t="array" ref="I28">_xll.BDH("NUE US Equity","CF_ACQUISITION_OF_INTANG_ASSETS","FQ1 2020","FQ1 2020","Currency=USD","Period=FQ","BEST_FPERIOD_OVERRIDE=FQ","FILING_STATUS=MR","SCALING_FORMAT=MLN","Sort=A","Dates=H","DateFormat=P","Fill=—","Direction=H","UseDPDF=Y")</f>
        <v>0</v>
      </c>
      <c r="J28" s="16" cm="1">
        <f t="array" ref="J28">_xll.BDH("NUE US Equity","CF_ACQUISITION_OF_INTANG_ASSETS","FQ2 2020","FQ2 2020","Currency=USD","Period=FQ","BEST_FPERIOD_OVERRIDE=FQ","FILING_STATUS=MR","SCALING_FORMAT=MLN","Sort=A","Dates=H","DateFormat=P","Fill=—","Direction=H","UseDPDF=Y")</f>
        <v>0</v>
      </c>
      <c r="K28" s="16" cm="1">
        <f t="array" ref="K28">_xll.BDH("NUE US Equity","CF_ACQUISITION_OF_INTANG_ASSETS","FQ3 2020","FQ3 2020","Currency=USD","Period=FQ","BEST_FPERIOD_OVERRIDE=FQ","FILING_STATUS=MR","SCALING_FORMAT=MLN","Sort=A","Dates=H","DateFormat=P","Fill=—","Direction=H","UseDPDF=Y")</f>
        <v>0</v>
      </c>
      <c r="L28" s="16" cm="1">
        <f t="array" ref="L28">_xll.BDH("NUE US Equity","CF_ACQUISITION_OF_INTANG_ASSETS","FQ4 2020","FQ4 2020","Currency=USD","Period=FQ","BEST_FPERIOD_OVERRIDE=FQ","FILING_STATUS=MR","SCALING_FORMAT=MLN","Sort=A","Dates=H","DateFormat=P","Fill=—","Direction=H","UseDPDF=Y")</f>
        <v>0</v>
      </c>
      <c r="M28" s="16" cm="1">
        <f t="array" ref="M28">_xll.BDH("NUE US Equity","CF_ACQUISITION_OF_INTANG_ASSETS","FQ1 2021","FQ1 2021","Currency=USD","Period=FQ","BEST_FPERIOD_OVERRIDE=FQ","FILING_STATUS=MR","SCALING_FORMAT=MLN","Sort=A","Dates=H","DateFormat=P","Fill=—","Direction=H","UseDPDF=Y")</f>
        <v>0</v>
      </c>
      <c r="N28" s="16" cm="1">
        <f t="array" ref="N28">_xll.BDH("NUE US Equity","CF_ACQUISITION_OF_INTANG_ASSETS","FQ2 2021","FQ2 2021","Currency=USD","Period=FQ","BEST_FPERIOD_OVERRIDE=FQ","FILING_STATUS=MR","SCALING_FORMAT=MLN","Sort=A","Dates=H","DateFormat=P","Fill=—","Direction=H","UseDPDF=Y")</f>
        <v>0</v>
      </c>
      <c r="O28" s="16" cm="1">
        <f t="array" ref="O28">_xll.BDH("NUE US Equity","CF_ACQUISITION_OF_INTANG_ASSETS","FQ3 2021","FQ3 2021","Currency=USD","Period=FQ","BEST_FPERIOD_OVERRIDE=FQ","FILING_STATUS=MR","SCALING_FORMAT=MLN","Sort=A","Dates=H","DateFormat=P","Fill=—","Direction=H","UseDPDF=Y")</f>
        <v>0</v>
      </c>
      <c r="P28" s="16" cm="1">
        <f t="array" ref="P28">_xll.BDH("NUE US Equity","CF_ACQUISITION_OF_INTANG_ASSETS","FQ4 2021","FQ4 2021","Currency=USD","Period=FQ","BEST_FPERIOD_OVERRIDE=FQ","FILING_STATUS=MR","SCALING_FORMAT=MLN","Sort=A","Dates=H","DateFormat=P","Fill=—","Direction=H","UseDPDF=Y")</f>
        <v>0</v>
      </c>
      <c r="Q28" s="16" cm="1">
        <f t="array" ref="Q28">_xll.BDH("NUE US Equity","CF_ACQUISITION_OF_INTANG_ASSETS","FQ1 2022","FQ1 2022","Currency=USD","Period=FQ","BEST_FPERIOD_OVERRIDE=FQ","FILING_STATUS=MR","SCALING_FORMAT=MLN","Sort=A","Dates=H","DateFormat=P","Fill=—","Direction=H","UseDPDF=Y")</f>
        <v>0</v>
      </c>
      <c r="R28" s="16" cm="1">
        <f t="array" ref="R28">_xll.BDH("NUE US Equity","CF_ACQUISITION_OF_INTANG_ASSETS","FQ2 2022","FQ2 2022","Currency=USD","Period=FQ","BEST_FPERIOD_OVERRIDE=FQ","FILING_STATUS=MR","SCALING_FORMAT=MLN","Sort=A","Dates=H","DateFormat=P","Fill=—","Direction=H","UseDPDF=Y")</f>
        <v>0</v>
      </c>
      <c r="S28" s="16" cm="1">
        <f t="array" ref="S28">_xll.BDH("NUE US Equity","CF_ACQUISITION_OF_INTANG_ASSETS","FQ3 2022","FQ3 2022","Currency=USD","Period=FQ","BEST_FPERIOD_OVERRIDE=FQ","FILING_STATUS=MR","SCALING_FORMAT=MLN","Sort=A","Dates=H","DateFormat=P","Fill=—","Direction=H","UseDPDF=Y")</f>
        <v>0</v>
      </c>
      <c r="T28" s="16" cm="1">
        <f t="array" ref="T28">_xll.BDH("NUE US Equity","CF_ACQUISITION_OF_INTANG_ASSETS","FQ4 2022","FQ4 2022","Currency=USD","Period=FQ","BEST_FPERIOD_OVERRIDE=FQ","FILING_STATUS=MR","SCALING_FORMAT=MLN","Sort=A","Dates=H","DateFormat=P","Fill=—","Direction=H","UseDPDF=Y")</f>
        <v>0</v>
      </c>
      <c r="U28" s="16" cm="1">
        <f t="array" ref="U28">_xll.BDH("NUE US Equity","CF_ACQUISITION_OF_INTANG_ASSETS","FQ1 2023","FQ1 2023","Currency=USD","Period=FQ","BEST_FPERIOD_OVERRIDE=FQ","FILING_STATUS=MR","SCALING_FORMAT=MLN","Sort=A","Dates=H","DateFormat=P","Fill=—","Direction=H","UseDPDF=Y")</f>
        <v>0</v>
      </c>
      <c r="V28" s="16" cm="1">
        <f t="array" ref="V28">_xll.BDH("NUE US Equity","CF_ACQUISITION_OF_INTANG_ASSETS","FQ2 2023","FQ2 2023","Currency=USD","Period=FQ","BEST_FPERIOD_OVERRIDE=FQ","FILING_STATUS=MR","SCALING_FORMAT=MLN","Sort=A","Dates=H","DateFormat=P","Fill=—","Direction=H","UseDPDF=Y")</f>
        <v>0</v>
      </c>
      <c r="W28" s="16" cm="1">
        <f t="array" ref="W28">_xll.BDH("NUE US Equity","CF_ACQUISITION_OF_INTANG_ASSETS","FQ3 2023","FQ3 2023","Currency=USD","Period=FQ","BEST_FPERIOD_OVERRIDE=FQ","FILING_STATUS=MR","SCALING_FORMAT=MLN","Sort=A","Dates=H","DateFormat=P","Fill=—","Direction=H","UseDPDF=Y")</f>
        <v>0</v>
      </c>
      <c r="X28" s="16" cm="1">
        <f t="array" ref="X28">_xll.BDH("NUE US Equity","CF_ACQUISITION_OF_INTANG_ASSETS","FQ4 2023","FQ4 2023","Currency=USD","Period=FQ","BEST_FPERIOD_OVERRIDE=FQ","FILING_STATUS=MR","SCALING_FORMAT=MLN","Sort=A","Dates=H","DateFormat=P","Fill=—","Direction=H","UseDPDF=Y")</f>
        <v>0</v>
      </c>
      <c r="Y28" s="16" cm="1">
        <f t="array" ref="Y28">_xll.BDH("NUE US Equity","CF_ACQUISITION_OF_INTANG_ASSETS","FQ1 2024","FQ1 2024","Currency=USD","Period=FQ","BEST_FPERIOD_OVERRIDE=FQ","FILING_STATUS=MR","SCALING_FORMAT=MLN","Sort=A","Dates=H","DateFormat=P","Fill=—","Direction=H","UseDPDF=Y")</f>
        <v>0</v>
      </c>
      <c r="Z28" s="16" cm="1">
        <f t="array" ref="Z28">_xll.BDH("NUE US Equity","CF_ACQUISITION_OF_INTANG_ASSETS","FQ2 2024","FQ2 2024","Currency=USD","Period=FQ","BEST_FPERIOD_OVERRIDE=FQ","FILING_STATUS=MR","SCALING_FORMAT=MLN","Sort=A","Dates=H","DateFormat=P","Fill=—","Direction=H","UseDPDF=Y")</f>
        <v>0</v>
      </c>
      <c r="AA28" s="16" cm="1">
        <f t="array" ref="AA28">_xll.BDH("NUE US Equity","CF_ACQUISITION_OF_INTANG_ASSETS","FQ3 2024","FQ3 2024","Currency=USD","Period=FQ","BEST_FPERIOD_OVERRIDE=FQ","FILING_STATUS=MR","SCALING_FORMAT=MLN","Sort=A","Dates=H","DateFormat=P","Fill=—","Direction=H","UseDPDF=Y")</f>
        <v>0</v>
      </c>
      <c r="AB28" s="16" cm="1">
        <f t="array" ref="AB28">_xll.BDH("NUE US Equity","CF_ACQUISITION_OF_INTANG_ASSETS","FQ4 2024","FQ4 2024","Currency=USD","Period=FQ","BEST_FPERIOD_OVERRIDE=FQ","FILING_STATUS=MR","SCALING_FORMAT=MLN","Sort=A","Dates=H","DateFormat=P","Fill=—","Direction=H","UseDPDF=Y")</f>
        <v>0</v>
      </c>
      <c r="AC28" s="16" cm="1">
        <f t="array" ref="AC28">_xll.BDH("NUE US Equity","CF_ACQUISITION_OF_INTANG_ASSETS","FQ1 2025","FQ1 2025","Currency=USD","Period=FQ","BEST_FPERIOD_OVERRIDE=FQ","FILING_STATUS=MR","SCALING_FORMAT=MLN","Sort=A","Dates=H","DateFormat=P","Fill=—","Direction=H","UseDPDF=Y")</f>
        <v>0</v>
      </c>
      <c r="AD28" s="16" cm="1">
        <f t="array" ref="AD28">_xll.BDH("NUE US Equity","CF_ACQUISITION_OF_INTANG_ASSETS","FQ2 2025","FQ2 2025","Currency=USD","Period=FQ","BEST_FPERIOD_OVERRIDE=FQ","FILING_STATUS=MR","SCALING_FORMAT=MLN","Sort=A","Dates=H","DateFormat=P","Fill=—","Direction=H","UseDPDF=Y")</f>
        <v>0</v>
      </c>
      <c r="AE28" s="16" cm="1">
        <f t="array" ref="AE28">_xll.BDH("NUE US Equity","CF_ACQUISITION_OF_INTANG_ASSETS","FQ3 2025","FQ3 2025","Currency=USD","Period=FQ","BEST_FPERIOD_OVERRIDE=FQ","FILING_STATUS=MR","SCALING_FORMAT=MLN","Sort=A","Dates=H","DateFormat=P","Fill=—","Direction=H","UseDPDF=Y")</f>
        <v>0</v>
      </c>
      <c r="AF28" s="16" cm="1">
        <f t="array" ref="AF28">_xll.BDH("NUE US Equity","CF_ACQUISITION_OF_INTANG_ASSETS","FQ4 2025","FQ4 2025","Currency=USD","Period=FQ","BEST_FPERIOD_OVERRIDE=FQ","FILING_STATUS=MR","SCALING_FORMAT=MLN","Sort=A","Dates=H","DateFormat=P","Fill=—","Direction=H","UseDPDF=Y")</f>
        <v>0</v>
      </c>
    </row>
    <row r="29" spans="1:32" x14ac:dyDescent="0.25">
      <c r="A29" s="10" t="s">
        <v>106</v>
      </c>
      <c r="B29" s="10" t="s">
        <v>107</v>
      </c>
      <c r="C29" s="12" cm="1">
        <f t="array" ref="C29">_xll.BDH("NUE US Equity","NET_CHG_IN_LT_INVEST_DETAILED","FQ3 2018","FQ3 2018","Currency=USD","Period=FQ","BEST_FPERIOD_OVERRIDE=FQ","FILING_STATUS=MR","SCALING_FORMAT=MLN","Sort=A","Dates=H","DateFormat=P","Fill=—","Direction=H","UseDPDF=Y")</f>
        <v>-38.113</v>
      </c>
      <c r="D29" s="12" cm="1">
        <f t="array" ref="D29">_xll.BDH("NUE US Equity","NET_CHG_IN_LT_INVEST_DETAILED","FQ4 2018","FQ4 2018","Currency=USD","Period=FQ","BEST_FPERIOD_OVERRIDE=FQ","FILING_STATUS=MR","SCALING_FORMAT=MLN","Sort=A","Dates=H","DateFormat=P","Fill=—","Direction=H","UseDPDF=Y")</f>
        <v>-9.8719999999999999</v>
      </c>
      <c r="E29" s="12" cm="1">
        <f t="array" ref="E29">_xll.BDH("NUE US Equity","NET_CHG_IN_LT_INVEST_DETAILED","FQ1 2019","FQ1 2019","Currency=USD","Period=FQ","BEST_FPERIOD_OVERRIDE=FQ","FILING_STATUS=MR","SCALING_FORMAT=MLN","Sort=A","Dates=H","DateFormat=P","Fill=—","Direction=H","UseDPDF=Y")</f>
        <v>-2.9000000000000001E-2</v>
      </c>
      <c r="F29" s="12" cm="1">
        <f t="array" ref="F29">_xll.BDH("NUE US Equity","NET_CHG_IN_LT_INVEST_DETAILED","FQ2 2019","FQ2 2019","Currency=USD","Period=FQ","BEST_FPERIOD_OVERRIDE=FQ","FILING_STATUS=MR","SCALING_FORMAT=MLN","Sort=A","Dates=H","DateFormat=P","Fill=—","Direction=H","UseDPDF=Y")</f>
        <v>-11.141</v>
      </c>
      <c r="G29" s="12" cm="1">
        <f t="array" ref="G29">_xll.BDH("NUE US Equity","NET_CHG_IN_LT_INVEST_DETAILED","FQ3 2019","FQ3 2019","Currency=USD","Period=FQ","BEST_FPERIOD_OVERRIDE=FQ","FILING_STATUS=MR","SCALING_FORMAT=MLN","Sort=A","Dates=H","DateFormat=P","Fill=—","Direction=H","UseDPDF=Y")</f>
        <v>-16.443000000000001</v>
      </c>
      <c r="H29" s="12" cm="1">
        <f t="array" ref="H29">_xll.BDH("NUE US Equity","NET_CHG_IN_LT_INVEST_DETAILED","FQ4 2019","FQ4 2019","Currency=USD","Period=FQ","BEST_FPERIOD_OVERRIDE=FQ","FILING_STATUS=MR","SCALING_FORMAT=MLN","Sort=A","Dates=H","DateFormat=P","Fill=—","Direction=H","UseDPDF=Y")</f>
        <v>-18.221</v>
      </c>
      <c r="I29" s="12" cm="1">
        <f t="array" ref="I29">_xll.BDH("NUE US Equity","NET_CHG_IN_LT_INVEST_DETAILED","FQ1 2020","FQ1 2020","Currency=USD","Period=FQ","BEST_FPERIOD_OVERRIDE=FQ","FILING_STATUS=MR","SCALING_FORMAT=MLN","Sort=A","Dates=H","DateFormat=P","Fill=—","Direction=H","UseDPDF=Y")</f>
        <v>-3.1520000000000001</v>
      </c>
      <c r="J29" s="12" cm="1">
        <f t="array" ref="J29">_xll.BDH("NUE US Equity","NET_CHG_IN_LT_INVEST_DETAILED","FQ2 2020","FQ2 2020","Currency=USD","Period=FQ","BEST_FPERIOD_OVERRIDE=FQ","FILING_STATUS=MR","SCALING_FORMAT=MLN","Sort=A","Dates=H","DateFormat=P","Fill=—","Direction=H","UseDPDF=Y")</f>
        <v>-6.6040000000000001</v>
      </c>
      <c r="K29" s="12" cm="1">
        <f t="array" ref="K29">_xll.BDH("NUE US Equity","NET_CHG_IN_LT_INVEST_DETAILED","FQ3 2020","FQ3 2020","Currency=USD","Period=FQ","BEST_FPERIOD_OVERRIDE=FQ","FILING_STATUS=MR","SCALING_FORMAT=MLN","Sort=A","Dates=H","DateFormat=P","Fill=—","Direction=H","UseDPDF=Y")</f>
        <v>-6.7859999999999996</v>
      </c>
      <c r="L29" s="12" cm="1">
        <f t="array" ref="L29">_xll.BDH("NUE US Equity","NET_CHG_IN_LT_INVEST_DETAILED","FQ4 2020","FQ4 2020","Currency=USD","Period=FQ","BEST_FPERIOD_OVERRIDE=FQ","FILING_STATUS=MR","SCALING_FORMAT=MLN","Sort=A","Dates=H","DateFormat=P","Fill=—","Direction=H","UseDPDF=Y")</f>
        <v>-27.885000000000002</v>
      </c>
      <c r="M29" s="12" cm="1">
        <f t="array" ref="M29">_xll.BDH("NUE US Equity","NET_CHG_IN_LT_INVEST_DETAILED","FQ1 2021","FQ1 2021","Currency=USD","Period=FQ","BEST_FPERIOD_OVERRIDE=FQ","FILING_STATUS=MR","SCALING_FORMAT=MLN","Sort=A","Dates=H","DateFormat=P","Fill=—","Direction=H","UseDPDF=Y")</f>
        <v>0</v>
      </c>
      <c r="N29" s="12" cm="1">
        <f t="array" ref="N29">_xll.BDH("NUE US Equity","NET_CHG_IN_LT_INVEST_DETAILED","FQ2 2021","FQ2 2021","Currency=USD","Period=FQ","BEST_FPERIOD_OVERRIDE=FQ","FILING_STATUS=MR","SCALING_FORMAT=MLN","Sort=A","Dates=H","DateFormat=P","Fill=—","Direction=H","UseDPDF=Y")</f>
        <v>-0.16900000000000001</v>
      </c>
      <c r="O29" s="12" cm="1">
        <f t="array" ref="O29">_xll.BDH("NUE US Equity","NET_CHG_IN_LT_INVEST_DETAILED","FQ3 2021","FQ3 2021","Currency=USD","Period=FQ","BEST_FPERIOD_OVERRIDE=FQ","FILING_STATUS=MR","SCALING_FORMAT=MLN","Sort=A","Dates=H","DateFormat=P","Fill=—","Direction=H","UseDPDF=Y")</f>
        <v>-2.4E-2</v>
      </c>
      <c r="P29" s="12" cm="1">
        <f t="array" ref="P29">_xll.BDH("NUE US Equity","NET_CHG_IN_LT_INVEST_DETAILED","FQ4 2021","FQ4 2021","Currency=USD","Period=FQ","BEST_FPERIOD_OVERRIDE=FQ","FILING_STATUS=MR","SCALING_FORMAT=MLN","Sort=A","Dates=H","DateFormat=P","Fill=—","Direction=H","UseDPDF=Y")</f>
        <v>7.3999999999999996E-2</v>
      </c>
      <c r="Q29" s="12" cm="1">
        <f t="array" ref="Q29">_xll.BDH("NUE US Equity","NET_CHG_IN_LT_INVEST_DETAILED","FQ1 2022","FQ1 2022","Currency=USD","Period=FQ","BEST_FPERIOD_OVERRIDE=FQ","FILING_STATUS=MR","SCALING_FORMAT=MLN","Sort=A","Dates=H","DateFormat=P","Fill=—","Direction=H","UseDPDF=Y")</f>
        <v>0</v>
      </c>
      <c r="R29" s="12" cm="1">
        <f t="array" ref="R29">_xll.BDH("NUE US Equity","NET_CHG_IN_LT_INVEST_DETAILED","FQ2 2022","FQ2 2022","Currency=USD","Period=FQ","BEST_FPERIOD_OVERRIDE=FQ","FILING_STATUS=MR","SCALING_FORMAT=MLN","Sort=A","Dates=H","DateFormat=P","Fill=—","Direction=H","UseDPDF=Y")</f>
        <v>-0.22700000000000001</v>
      </c>
      <c r="S29" s="12" cm="1">
        <f t="array" ref="S29">_xll.BDH("NUE US Equity","NET_CHG_IN_LT_INVEST_DETAILED","FQ3 2022","FQ3 2022","Currency=USD","Period=FQ","BEST_FPERIOD_OVERRIDE=FQ","FILING_STATUS=MR","SCALING_FORMAT=MLN","Sort=A","Dates=H","DateFormat=P","Fill=—","Direction=H","UseDPDF=Y")</f>
        <v>-1.9E-2</v>
      </c>
      <c r="T29" s="12" cm="1">
        <f t="array" ref="T29">_xll.BDH("NUE US Equity","NET_CHG_IN_LT_INVEST_DETAILED","FQ4 2022","FQ4 2022","Currency=USD","Period=FQ","BEST_FPERIOD_OVERRIDE=FQ","FILING_STATUS=MR","SCALING_FORMAT=MLN","Sort=A","Dates=H","DateFormat=P","Fill=—","Direction=H","UseDPDF=Y")</f>
        <v>-1.2E-2</v>
      </c>
      <c r="U29" s="12" cm="1">
        <f t="array" ref="U29">_xll.BDH("NUE US Equity","NET_CHG_IN_LT_INVEST_DETAILED","FQ1 2023","FQ1 2023","Currency=USD","Period=FQ","BEST_FPERIOD_OVERRIDE=FQ","FILING_STATUS=MR","SCALING_FORMAT=MLN","Sort=A","Dates=H","DateFormat=P","Fill=—","Direction=H","UseDPDF=Y")</f>
        <v>0</v>
      </c>
      <c r="V29" s="12" cm="1">
        <f t="array" ref="V29">_xll.BDH("NUE US Equity","NET_CHG_IN_LT_INVEST_DETAILED","FQ2 2023","FQ2 2023","Currency=USD","Period=FQ","BEST_FPERIOD_OVERRIDE=FQ","FILING_STATUS=MR","SCALING_FORMAT=MLN","Sort=A","Dates=H","DateFormat=P","Fill=—","Direction=H","UseDPDF=Y")</f>
        <v>-35.078000000000003</v>
      </c>
      <c r="W29" s="12" cm="1">
        <f t="array" ref="W29">_xll.BDH("NUE US Equity","NET_CHG_IN_LT_INVEST_DETAILED","FQ3 2023","FQ3 2023","Currency=USD","Period=FQ","BEST_FPERIOD_OVERRIDE=FQ","FILING_STATUS=MR","SCALING_FORMAT=MLN","Sort=A","Dates=H","DateFormat=P","Fill=—","Direction=H","UseDPDF=Y")</f>
        <v>-2.8000000000000001E-2</v>
      </c>
      <c r="X29" s="12" cm="1">
        <f t="array" ref="X29">_xll.BDH("NUE US Equity","NET_CHG_IN_LT_INVEST_DETAILED","FQ4 2023","FQ4 2023","Currency=USD","Period=FQ","BEST_FPERIOD_OVERRIDE=FQ","FILING_STATUS=MR","SCALING_FORMAT=MLN","Sort=A","Dates=H","DateFormat=P","Fill=—","Direction=H","UseDPDF=Y")</f>
        <v>-3.1E-2</v>
      </c>
      <c r="Y29" s="12" cm="1">
        <f t="array" ref="Y29">_xll.BDH("NUE US Equity","NET_CHG_IN_LT_INVEST_DETAILED","FQ1 2024","FQ1 2024","Currency=USD","Period=FQ","BEST_FPERIOD_OVERRIDE=FQ","FILING_STATUS=MR","SCALING_FORMAT=MLN","Sort=A","Dates=H","DateFormat=P","Fill=—","Direction=H","UseDPDF=Y")</f>
        <v>-7.9000000000000001E-2</v>
      </c>
      <c r="Z29" s="12" cm="1">
        <f t="array" ref="Z29">_xll.BDH("NUE US Equity","NET_CHG_IN_LT_INVEST_DETAILED","FQ2 2024","FQ2 2024","Currency=USD","Period=FQ","BEST_FPERIOD_OVERRIDE=FQ","FILING_STATUS=MR","SCALING_FORMAT=MLN","Sort=A","Dates=H","DateFormat=P","Fill=—","Direction=H","UseDPDF=Y")</f>
        <v>0</v>
      </c>
      <c r="AA29" s="12" cm="1">
        <f t="array" ref="AA29">_xll.BDH("NUE US Equity","NET_CHG_IN_LT_INVEST_DETAILED","FQ3 2024","FQ3 2024","Currency=USD","Period=FQ","BEST_FPERIOD_OVERRIDE=FQ","FILING_STATUS=MR","SCALING_FORMAT=MLN","Sort=A","Dates=H","DateFormat=P","Fill=—","Direction=H","UseDPDF=Y")</f>
        <v>0</v>
      </c>
      <c r="AB29" s="12" cm="1">
        <f t="array" ref="AB29">_xll.BDH("NUE US Equity","NET_CHG_IN_LT_INVEST_DETAILED","FQ4 2024","FQ4 2024","Currency=USD","Period=FQ","BEST_FPERIOD_OVERRIDE=FQ","FILING_STATUS=MR","SCALING_FORMAT=MLN","Sort=A","Dates=H","DateFormat=P","Fill=—","Direction=H","UseDPDF=Y")</f>
        <v>0</v>
      </c>
      <c r="AC29" s="12" cm="1">
        <f t="array" ref="AC29">_xll.BDH("NUE US Equity","NET_CHG_IN_LT_INVEST_DETAILED","FQ1 2025","FQ1 2025","Currency=USD","Period=FQ","BEST_FPERIOD_OVERRIDE=FQ","FILING_STATUS=MR","SCALING_FORMAT=MLN","Sort=A","Dates=H","DateFormat=P","Fill=—","Direction=H","UseDPDF=Y")</f>
        <v>0</v>
      </c>
      <c r="AD29" s="12" cm="1">
        <f t="array" ref="AD29">_xll.BDH("NUE US Equity","NET_CHG_IN_LT_INVEST_DETAILED","FQ2 2025","FQ2 2025","Currency=USD","Period=FQ","BEST_FPERIOD_OVERRIDE=FQ","FILING_STATUS=MR","SCALING_FORMAT=MLN","Sort=A","Dates=H","DateFormat=P","Fill=—","Direction=H","UseDPDF=Y")</f>
        <v>-1</v>
      </c>
      <c r="AE29" s="12" cm="1">
        <f t="array" ref="AE29">_xll.BDH("NUE US Equity","NET_CHG_IN_LT_INVEST_DETAILED","FQ3 2025","FQ3 2025","Currency=USD","Period=FQ","BEST_FPERIOD_OVERRIDE=FQ","FILING_STATUS=MR","SCALING_FORMAT=MLN","Sort=A","Dates=H","DateFormat=P","Fill=—","Direction=H","UseDPDF=Y")</f>
        <v>0</v>
      </c>
      <c r="AF29" s="12" cm="1">
        <f t="array" ref="AF29">_xll.BDH("NUE US Equity","NET_CHG_IN_LT_INVEST_DETAILED","FQ4 2025","FQ4 2025","Currency=USD","Period=FQ","BEST_FPERIOD_OVERRIDE=FQ","FILING_STATUS=MR","SCALING_FORMAT=MLN","Sort=A","Dates=H","DateFormat=P","Fill=—","Direction=H","UseDPDF=Y")</f>
        <v>-2</v>
      </c>
    </row>
    <row r="30" spans="1:32" x14ac:dyDescent="0.25">
      <c r="A30" s="10" t="s">
        <v>108</v>
      </c>
      <c r="B30" s="10" t="s">
        <v>109</v>
      </c>
      <c r="C30" s="12" cm="1">
        <f t="array" ref="C30">_xll.BDH("NUE US Equity","CF_DECR_INVEST","FQ3 2018","FQ3 2018","Currency=USD","Period=FQ","BEST_FPERIOD_OVERRIDE=FQ","FILING_STATUS=MR","SCALING_FORMAT=MLN","Sort=A","Dates=H","DateFormat=P","Fill=—","Direction=H","UseDPDF=Y")</f>
        <v>0</v>
      </c>
      <c r="D30" s="12" cm="1">
        <f t="array" ref="D30">_xll.BDH("NUE US Equity","CF_DECR_INVEST","FQ4 2018","FQ4 2018","Currency=USD","Period=FQ","BEST_FPERIOD_OVERRIDE=FQ","FILING_STATUS=MR","SCALING_FORMAT=MLN","Sort=A","Dates=H","DateFormat=P","Fill=—","Direction=H","UseDPDF=Y")</f>
        <v>0</v>
      </c>
      <c r="E30" s="12" cm="1">
        <f t="array" ref="E30">_xll.BDH("NUE US Equity","CF_DECR_INVEST","FQ1 2019","FQ1 2019","Currency=USD","Period=FQ","BEST_FPERIOD_OVERRIDE=FQ","FILING_STATUS=MR","SCALING_FORMAT=MLN","Sort=A","Dates=H","DateFormat=P","Fill=—","Direction=H","UseDPDF=Y")</f>
        <v>0</v>
      </c>
      <c r="F30" s="12" cm="1">
        <f t="array" ref="F30">_xll.BDH("NUE US Equity","CF_DECR_INVEST","FQ2 2019","FQ2 2019","Currency=USD","Period=FQ","BEST_FPERIOD_OVERRIDE=FQ","FILING_STATUS=MR","SCALING_FORMAT=MLN","Sort=A","Dates=H","DateFormat=P","Fill=—","Direction=H","UseDPDF=Y")</f>
        <v>0</v>
      </c>
      <c r="G30" s="12" cm="1">
        <f t="array" ref="G30">_xll.BDH("NUE US Equity","CF_DECR_INVEST","FQ3 2019","FQ3 2019","Currency=USD","Period=FQ","BEST_FPERIOD_OVERRIDE=FQ","FILING_STATUS=MR","SCALING_FORMAT=MLN","Sort=A","Dates=H","DateFormat=P","Fill=—","Direction=H","UseDPDF=Y")</f>
        <v>0</v>
      </c>
      <c r="H30" s="12" cm="1">
        <f t="array" ref="H30">_xll.BDH("NUE US Equity","CF_DECR_INVEST","FQ4 2019","FQ4 2019","Currency=USD","Period=FQ","BEST_FPERIOD_OVERRIDE=FQ","FILING_STATUS=MR","SCALING_FORMAT=MLN","Sort=A","Dates=H","DateFormat=P","Fill=—","Direction=H","UseDPDF=Y")</f>
        <v>0</v>
      </c>
      <c r="I30" s="12" cm="1">
        <f t="array" ref="I30">_xll.BDH("NUE US Equity","CF_DECR_INVEST","FQ1 2020","FQ1 2020","Currency=USD","Period=FQ","BEST_FPERIOD_OVERRIDE=FQ","FILING_STATUS=MR","SCALING_FORMAT=MLN","Sort=A","Dates=H","DateFormat=P","Fill=—","Direction=H","UseDPDF=Y")</f>
        <v>0</v>
      </c>
      <c r="J30" s="12" cm="1">
        <f t="array" ref="J30">_xll.BDH("NUE US Equity","CF_DECR_INVEST","FQ2 2020","FQ2 2020","Currency=USD","Period=FQ","BEST_FPERIOD_OVERRIDE=FQ","FILING_STATUS=MR","SCALING_FORMAT=MLN","Sort=A","Dates=H","DateFormat=P","Fill=—","Direction=H","UseDPDF=Y")</f>
        <v>0</v>
      </c>
      <c r="K30" s="12" cm="1">
        <f t="array" ref="K30">_xll.BDH("NUE US Equity","CF_DECR_INVEST","FQ3 2020","FQ3 2020","Currency=USD","Period=FQ","BEST_FPERIOD_OVERRIDE=FQ","FILING_STATUS=MR","SCALING_FORMAT=MLN","Sort=A","Dates=H","DateFormat=P","Fill=—","Direction=H","UseDPDF=Y")</f>
        <v>0</v>
      </c>
      <c r="L30" s="12" cm="1">
        <f t="array" ref="L30">_xll.BDH("NUE US Equity","CF_DECR_INVEST","FQ4 2020","FQ4 2020","Currency=USD","Period=FQ","BEST_FPERIOD_OVERRIDE=FQ","FILING_STATUS=MR","SCALING_FORMAT=MLN","Sort=A","Dates=H","DateFormat=P","Fill=—","Direction=H","UseDPDF=Y")</f>
        <v>0</v>
      </c>
      <c r="M30" s="12" cm="1">
        <f t="array" ref="M30">_xll.BDH("NUE US Equity","CF_DECR_INVEST","FQ1 2021","FQ1 2021","Currency=USD","Period=FQ","BEST_FPERIOD_OVERRIDE=FQ","FILING_STATUS=MR","SCALING_FORMAT=MLN","Sort=A","Dates=H","DateFormat=P","Fill=—","Direction=H","UseDPDF=Y")</f>
        <v>0</v>
      </c>
      <c r="N30" s="12" cm="1">
        <f t="array" ref="N30">_xll.BDH("NUE US Equity","CF_DECR_INVEST","FQ2 2021","FQ2 2021","Currency=USD","Period=FQ","BEST_FPERIOD_OVERRIDE=FQ","FILING_STATUS=MR","SCALING_FORMAT=MLN","Sort=A","Dates=H","DateFormat=P","Fill=—","Direction=H","UseDPDF=Y")</f>
        <v>0</v>
      </c>
      <c r="O30" s="12" cm="1">
        <f t="array" ref="O30">_xll.BDH("NUE US Equity","CF_DECR_INVEST","FQ3 2021","FQ3 2021","Currency=USD","Period=FQ","BEST_FPERIOD_OVERRIDE=FQ","FILING_STATUS=MR","SCALING_FORMAT=MLN","Sort=A","Dates=H","DateFormat=P","Fill=—","Direction=H","UseDPDF=Y")</f>
        <v>0</v>
      </c>
      <c r="P30" s="12" t="str" cm="1">
        <f t="array" ref="P30">_xll.BDH("NUE US Equity","CF_DECR_INVEST","FQ4 2021","FQ4 2021","Currency=USD","Period=FQ","BEST_FPERIOD_OVERRIDE=FQ","FILING_STATUS=MR","SCALING_FORMAT=MLN","Sort=A","Dates=H","DateFormat=P","Fill=—","Direction=H","UseDPDF=Y")</f>
        <v>—</v>
      </c>
      <c r="Q30" s="12" cm="1">
        <f t="array" ref="Q30">_xll.BDH("NUE US Equity","CF_DECR_INVEST","FQ1 2022","FQ1 2022","Currency=USD","Period=FQ","BEST_FPERIOD_OVERRIDE=FQ","FILING_STATUS=MR","SCALING_FORMAT=MLN","Sort=A","Dates=H","DateFormat=P","Fill=—","Direction=H","UseDPDF=Y")</f>
        <v>0</v>
      </c>
      <c r="R30" s="12" cm="1">
        <f t="array" ref="R30">_xll.BDH("NUE US Equity","CF_DECR_INVEST","FQ2 2022","FQ2 2022","Currency=USD","Period=FQ","BEST_FPERIOD_OVERRIDE=FQ","FILING_STATUS=MR","SCALING_FORMAT=MLN","Sort=A","Dates=H","DateFormat=P","Fill=—","Direction=H","UseDPDF=Y")</f>
        <v>0</v>
      </c>
      <c r="S30" s="12" cm="1">
        <f t="array" ref="S30">_xll.BDH("NUE US Equity","CF_DECR_INVEST","FQ3 2022","FQ3 2022","Currency=USD","Period=FQ","BEST_FPERIOD_OVERRIDE=FQ","FILING_STATUS=MR","SCALING_FORMAT=MLN","Sort=A","Dates=H","DateFormat=P","Fill=—","Direction=H","UseDPDF=Y")</f>
        <v>0</v>
      </c>
      <c r="T30" s="12" cm="1">
        <f t="array" ref="T30">_xll.BDH("NUE US Equity","CF_DECR_INVEST","FQ4 2022","FQ4 2022","Currency=USD","Period=FQ","BEST_FPERIOD_OVERRIDE=FQ","FILING_STATUS=MR","SCALING_FORMAT=MLN","Sort=A","Dates=H","DateFormat=P","Fill=—","Direction=H","UseDPDF=Y")</f>
        <v>0</v>
      </c>
      <c r="U30" s="12" cm="1">
        <f t="array" ref="U30">_xll.BDH("NUE US Equity","CF_DECR_INVEST","FQ1 2023","FQ1 2023","Currency=USD","Period=FQ","BEST_FPERIOD_OVERRIDE=FQ","FILING_STATUS=MR","SCALING_FORMAT=MLN","Sort=A","Dates=H","DateFormat=P","Fill=—","Direction=H","UseDPDF=Y")</f>
        <v>0</v>
      </c>
      <c r="V30" s="12" cm="1">
        <f t="array" ref="V30">_xll.BDH("NUE US Equity","CF_DECR_INVEST","FQ2 2023","FQ2 2023","Currency=USD","Period=FQ","BEST_FPERIOD_OVERRIDE=FQ","FILING_STATUS=MR","SCALING_FORMAT=MLN","Sort=A","Dates=H","DateFormat=P","Fill=—","Direction=H","UseDPDF=Y")</f>
        <v>0</v>
      </c>
      <c r="W30" s="12" cm="1">
        <f t="array" ref="W30">_xll.BDH("NUE US Equity","CF_DECR_INVEST","FQ3 2023","FQ3 2023","Currency=USD","Period=FQ","BEST_FPERIOD_OVERRIDE=FQ","FILING_STATUS=MR","SCALING_FORMAT=MLN","Sort=A","Dates=H","DateFormat=P","Fill=—","Direction=H","UseDPDF=Y")</f>
        <v>0</v>
      </c>
      <c r="X30" s="12" cm="1">
        <f t="array" ref="X30">_xll.BDH("NUE US Equity","CF_DECR_INVEST","FQ4 2023","FQ4 2023","Currency=USD","Period=FQ","BEST_FPERIOD_OVERRIDE=FQ","FILING_STATUS=MR","SCALING_FORMAT=MLN","Sort=A","Dates=H","DateFormat=P","Fill=—","Direction=H","UseDPDF=Y")</f>
        <v>0</v>
      </c>
      <c r="Y30" s="12" cm="1">
        <f t="array" ref="Y30">_xll.BDH("NUE US Equity","CF_DECR_INVEST","FQ1 2024","FQ1 2024","Currency=USD","Period=FQ","BEST_FPERIOD_OVERRIDE=FQ","FILING_STATUS=MR","SCALING_FORMAT=MLN","Sort=A","Dates=H","DateFormat=P","Fill=—","Direction=H","UseDPDF=Y")</f>
        <v>0</v>
      </c>
      <c r="Z30" s="12" cm="1">
        <f t="array" ref="Z30">_xll.BDH("NUE US Equity","CF_DECR_INVEST","FQ2 2024","FQ2 2024","Currency=USD","Period=FQ","BEST_FPERIOD_OVERRIDE=FQ","FILING_STATUS=MR","SCALING_FORMAT=MLN","Sort=A","Dates=H","DateFormat=P","Fill=—","Direction=H","UseDPDF=Y")</f>
        <v>0</v>
      </c>
      <c r="AA30" s="12" cm="1">
        <f t="array" ref="AA30">_xll.BDH("NUE US Equity","CF_DECR_INVEST","FQ3 2024","FQ3 2024","Currency=USD","Period=FQ","BEST_FPERIOD_OVERRIDE=FQ","FILING_STATUS=MR","SCALING_FORMAT=MLN","Sort=A","Dates=H","DateFormat=P","Fill=—","Direction=H","UseDPDF=Y")</f>
        <v>0</v>
      </c>
      <c r="AB30" s="12" cm="1">
        <f t="array" ref="AB30">_xll.BDH("NUE US Equity","CF_DECR_INVEST","FQ4 2024","FQ4 2024","Currency=USD","Period=FQ","BEST_FPERIOD_OVERRIDE=FQ","FILING_STATUS=MR","SCALING_FORMAT=MLN","Sort=A","Dates=H","DateFormat=P","Fill=—","Direction=H","UseDPDF=Y")</f>
        <v>0</v>
      </c>
      <c r="AC30" s="12" cm="1">
        <f t="array" ref="AC30">_xll.BDH("NUE US Equity","CF_DECR_INVEST","FQ1 2025","FQ1 2025","Currency=USD","Period=FQ","BEST_FPERIOD_OVERRIDE=FQ","FILING_STATUS=MR","SCALING_FORMAT=MLN","Sort=A","Dates=H","DateFormat=P","Fill=—","Direction=H","UseDPDF=Y")</f>
        <v>0</v>
      </c>
      <c r="AD30" s="12" cm="1">
        <f t="array" ref="AD30">_xll.BDH("NUE US Equity","CF_DECR_INVEST","FQ2 2025","FQ2 2025","Currency=USD","Period=FQ","BEST_FPERIOD_OVERRIDE=FQ","FILING_STATUS=MR","SCALING_FORMAT=MLN","Sort=A","Dates=H","DateFormat=P","Fill=—","Direction=H","UseDPDF=Y")</f>
        <v>0</v>
      </c>
      <c r="AE30" s="12" cm="1">
        <f t="array" ref="AE30">_xll.BDH("NUE US Equity","CF_DECR_INVEST","FQ3 2025","FQ3 2025","Currency=USD","Period=FQ","BEST_FPERIOD_OVERRIDE=FQ","FILING_STATUS=MR","SCALING_FORMAT=MLN","Sort=A","Dates=H","DateFormat=P","Fill=—","Direction=H","UseDPDF=Y")</f>
        <v>0</v>
      </c>
      <c r="AF30" s="12" t="str" cm="1">
        <f t="array" ref="AF30">_xll.BDH("NUE US Equity","CF_DECR_INVEST","FQ4 2025","FQ4 2025","Currency=USD","Period=FQ","BEST_FPERIOD_OVERRIDE=FQ","FILING_STATUS=MR","SCALING_FORMAT=MLN","Sort=A","Dates=H","DateFormat=P","Fill=—","Direction=H","UseDPDF=Y")</f>
        <v>—</v>
      </c>
    </row>
    <row r="31" spans="1:32" x14ac:dyDescent="0.25">
      <c r="A31" s="10" t="s">
        <v>110</v>
      </c>
      <c r="B31" s="10" t="s">
        <v>111</v>
      </c>
      <c r="C31" s="12" cm="1">
        <f t="array" ref="C31">_xll.BDH("NUE US Equity","CF_INCR_INVEST","FQ3 2018","FQ3 2018","Currency=USD","Period=FQ","BEST_FPERIOD_OVERRIDE=FQ","FILING_STATUS=MR","SCALING_FORMAT=MLN","Sort=A","Dates=H","DateFormat=P","Fill=—","Direction=H","UseDPDF=Y")</f>
        <v>-38.113</v>
      </c>
      <c r="D31" s="12" cm="1">
        <f t="array" ref="D31">_xll.BDH("NUE US Equity","CF_INCR_INVEST","FQ4 2018","FQ4 2018","Currency=USD","Period=FQ","BEST_FPERIOD_OVERRIDE=FQ","FILING_STATUS=MR","SCALING_FORMAT=MLN","Sort=A","Dates=H","DateFormat=P","Fill=—","Direction=H","UseDPDF=Y")</f>
        <v>-9.8719999999999999</v>
      </c>
      <c r="E31" s="12" cm="1">
        <f t="array" ref="E31">_xll.BDH("NUE US Equity","CF_INCR_INVEST","FQ1 2019","FQ1 2019","Currency=USD","Period=FQ","BEST_FPERIOD_OVERRIDE=FQ","FILING_STATUS=MR","SCALING_FORMAT=MLN","Sort=A","Dates=H","DateFormat=P","Fill=—","Direction=H","UseDPDF=Y")</f>
        <v>-2.9000000000000001E-2</v>
      </c>
      <c r="F31" s="12" cm="1">
        <f t="array" ref="F31">_xll.BDH("NUE US Equity","CF_INCR_INVEST","FQ2 2019","FQ2 2019","Currency=USD","Period=FQ","BEST_FPERIOD_OVERRIDE=FQ","FILING_STATUS=MR","SCALING_FORMAT=MLN","Sort=A","Dates=H","DateFormat=P","Fill=—","Direction=H","UseDPDF=Y")</f>
        <v>-11.141</v>
      </c>
      <c r="G31" s="12" cm="1">
        <f t="array" ref="G31">_xll.BDH("NUE US Equity","CF_INCR_INVEST","FQ3 2019","FQ3 2019","Currency=USD","Period=FQ","BEST_FPERIOD_OVERRIDE=FQ","FILING_STATUS=MR","SCALING_FORMAT=MLN","Sort=A","Dates=H","DateFormat=P","Fill=—","Direction=H","UseDPDF=Y")</f>
        <v>-16.443000000000001</v>
      </c>
      <c r="H31" s="12" cm="1">
        <f t="array" ref="H31">_xll.BDH("NUE US Equity","CF_INCR_INVEST","FQ4 2019","FQ4 2019","Currency=USD","Period=FQ","BEST_FPERIOD_OVERRIDE=FQ","FILING_STATUS=MR","SCALING_FORMAT=MLN","Sort=A","Dates=H","DateFormat=P","Fill=—","Direction=H","UseDPDF=Y")</f>
        <v>-18.221</v>
      </c>
      <c r="I31" s="12" cm="1">
        <f t="array" ref="I31">_xll.BDH("NUE US Equity","CF_INCR_INVEST","FQ1 2020","FQ1 2020","Currency=USD","Period=FQ","BEST_FPERIOD_OVERRIDE=FQ","FILING_STATUS=MR","SCALING_FORMAT=MLN","Sort=A","Dates=H","DateFormat=P","Fill=—","Direction=H","UseDPDF=Y")</f>
        <v>-3.1520000000000001</v>
      </c>
      <c r="J31" s="12" cm="1">
        <f t="array" ref="J31">_xll.BDH("NUE US Equity","CF_INCR_INVEST","FQ2 2020","FQ2 2020","Currency=USD","Period=FQ","BEST_FPERIOD_OVERRIDE=FQ","FILING_STATUS=MR","SCALING_FORMAT=MLN","Sort=A","Dates=H","DateFormat=P","Fill=—","Direction=H","UseDPDF=Y")</f>
        <v>-6.6040000000000001</v>
      </c>
      <c r="K31" s="12" cm="1">
        <f t="array" ref="K31">_xll.BDH("NUE US Equity","CF_INCR_INVEST","FQ3 2020","FQ3 2020","Currency=USD","Period=FQ","BEST_FPERIOD_OVERRIDE=FQ","FILING_STATUS=MR","SCALING_FORMAT=MLN","Sort=A","Dates=H","DateFormat=P","Fill=—","Direction=H","UseDPDF=Y")</f>
        <v>-6.7859999999999996</v>
      </c>
      <c r="L31" s="12" cm="1">
        <f t="array" ref="L31">_xll.BDH("NUE US Equity","CF_INCR_INVEST","FQ4 2020","FQ4 2020","Currency=USD","Period=FQ","BEST_FPERIOD_OVERRIDE=FQ","FILING_STATUS=MR","SCALING_FORMAT=MLN","Sort=A","Dates=H","DateFormat=P","Fill=—","Direction=H","UseDPDF=Y")</f>
        <v>-27.885000000000002</v>
      </c>
      <c r="M31" s="12" cm="1">
        <f t="array" ref="M31">_xll.BDH("NUE US Equity","CF_INCR_INVEST","FQ1 2021","FQ1 2021","Currency=USD","Period=FQ","BEST_FPERIOD_OVERRIDE=FQ","FILING_STATUS=MR","SCALING_FORMAT=MLN","Sort=A","Dates=H","DateFormat=P","Fill=—","Direction=H","UseDPDF=Y")</f>
        <v>0</v>
      </c>
      <c r="N31" s="12" cm="1">
        <f t="array" ref="N31">_xll.BDH("NUE US Equity","CF_INCR_INVEST","FQ2 2021","FQ2 2021","Currency=USD","Period=FQ","BEST_FPERIOD_OVERRIDE=FQ","FILING_STATUS=MR","SCALING_FORMAT=MLN","Sort=A","Dates=H","DateFormat=P","Fill=—","Direction=H","UseDPDF=Y")</f>
        <v>-0.16900000000000001</v>
      </c>
      <c r="O31" s="12" cm="1">
        <f t="array" ref="O31">_xll.BDH("NUE US Equity","CF_INCR_INVEST","FQ3 2021","FQ3 2021","Currency=USD","Period=FQ","BEST_FPERIOD_OVERRIDE=FQ","FILING_STATUS=MR","SCALING_FORMAT=MLN","Sort=A","Dates=H","DateFormat=P","Fill=—","Direction=H","UseDPDF=Y")</f>
        <v>-2.4E-2</v>
      </c>
      <c r="P31" s="12" t="str" cm="1">
        <f t="array" ref="P31">_xll.BDH("NUE US Equity","CF_INCR_INVEST","FQ4 2021","FQ4 2021","Currency=USD","Period=FQ","BEST_FPERIOD_OVERRIDE=FQ","FILING_STATUS=MR","SCALING_FORMAT=MLN","Sort=A","Dates=H","DateFormat=P","Fill=—","Direction=H","UseDPDF=Y")</f>
        <v>—</v>
      </c>
      <c r="Q31" s="12" cm="1">
        <f t="array" ref="Q31">_xll.BDH("NUE US Equity","CF_INCR_INVEST","FQ1 2022","FQ1 2022","Currency=USD","Period=FQ","BEST_FPERIOD_OVERRIDE=FQ","FILING_STATUS=MR","SCALING_FORMAT=MLN","Sort=A","Dates=H","DateFormat=P","Fill=—","Direction=H","UseDPDF=Y")</f>
        <v>0</v>
      </c>
      <c r="R31" s="12" cm="1">
        <f t="array" ref="R31">_xll.BDH("NUE US Equity","CF_INCR_INVEST","FQ2 2022","FQ2 2022","Currency=USD","Period=FQ","BEST_FPERIOD_OVERRIDE=FQ","FILING_STATUS=MR","SCALING_FORMAT=MLN","Sort=A","Dates=H","DateFormat=P","Fill=—","Direction=H","UseDPDF=Y")</f>
        <v>-0.22700000000000001</v>
      </c>
      <c r="S31" s="12" cm="1">
        <f t="array" ref="S31">_xll.BDH("NUE US Equity","CF_INCR_INVEST","FQ3 2022","FQ3 2022","Currency=USD","Period=FQ","BEST_FPERIOD_OVERRIDE=FQ","FILING_STATUS=MR","SCALING_FORMAT=MLN","Sort=A","Dates=H","DateFormat=P","Fill=—","Direction=H","UseDPDF=Y")</f>
        <v>-1.9E-2</v>
      </c>
      <c r="T31" s="12" cm="1">
        <f t="array" ref="T31">_xll.BDH("NUE US Equity","CF_INCR_INVEST","FQ4 2022","FQ4 2022","Currency=USD","Period=FQ","BEST_FPERIOD_OVERRIDE=FQ","FILING_STATUS=MR","SCALING_FORMAT=MLN","Sort=A","Dates=H","DateFormat=P","Fill=—","Direction=H","UseDPDF=Y")</f>
        <v>-1.2E-2</v>
      </c>
      <c r="U31" s="12" cm="1">
        <f t="array" ref="U31">_xll.BDH("NUE US Equity","CF_INCR_INVEST","FQ1 2023","FQ1 2023","Currency=USD","Period=FQ","BEST_FPERIOD_OVERRIDE=FQ","FILING_STATUS=MR","SCALING_FORMAT=MLN","Sort=A","Dates=H","DateFormat=P","Fill=—","Direction=H","UseDPDF=Y")</f>
        <v>0</v>
      </c>
      <c r="V31" s="12" cm="1">
        <f t="array" ref="V31">_xll.BDH("NUE US Equity","CF_INCR_INVEST","FQ2 2023","FQ2 2023","Currency=USD","Period=FQ","BEST_FPERIOD_OVERRIDE=FQ","FILING_STATUS=MR","SCALING_FORMAT=MLN","Sort=A","Dates=H","DateFormat=P","Fill=—","Direction=H","UseDPDF=Y")</f>
        <v>-35.078000000000003</v>
      </c>
      <c r="W31" s="12" cm="1">
        <f t="array" ref="W31">_xll.BDH("NUE US Equity","CF_INCR_INVEST","FQ3 2023","FQ3 2023","Currency=USD","Period=FQ","BEST_FPERIOD_OVERRIDE=FQ","FILING_STATUS=MR","SCALING_FORMAT=MLN","Sort=A","Dates=H","DateFormat=P","Fill=—","Direction=H","UseDPDF=Y")</f>
        <v>-2.8000000000000001E-2</v>
      </c>
      <c r="X31" s="12" cm="1">
        <f t="array" ref="X31">_xll.BDH("NUE US Equity","CF_INCR_INVEST","FQ4 2023","FQ4 2023","Currency=USD","Period=FQ","BEST_FPERIOD_OVERRIDE=FQ","FILING_STATUS=MR","SCALING_FORMAT=MLN","Sort=A","Dates=H","DateFormat=P","Fill=—","Direction=H","UseDPDF=Y")</f>
        <v>-3.1E-2</v>
      </c>
      <c r="Y31" s="12" cm="1">
        <f t="array" ref="Y31">_xll.BDH("NUE US Equity","CF_INCR_INVEST","FQ1 2024","FQ1 2024","Currency=USD","Period=FQ","BEST_FPERIOD_OVERRIDE=FQ","FILING_STATUS=MR","SCALING_FORMAT=MLN","Sort=A","Dates=H","DateFormat=P","Fill=—","Direction=H","UseDPDF=Y")</f>
        <v>-7.9000000000000001E-2</v>
      </c>
      <c r="Z31" s="12" cm="1">
        <f t="array" ref="Z31">_xll.BDH("NUE US Equity","CF_INCR_INVEST","FQ2 2024","FQ2 2024","Currency=USD","Period=FQ","BEST_FPERIOD_OVERRIDE=FQ","FILING_STATUS=MR","SCALING_FORMAT=MLN","Sort=A","Dates=H","DateFormat=P","Fill=—","Direction=H","UseDPDF=Y")</f>
        <v>0</v>
      </c>
      <c r="AA31" s="12" cm="1">
        <f t="array" ref="AA31">_xll.BDH("NUE US Equity","CF_INCR_INVEST","FQ3 2024","FQ3 2024","Currency=USD","Period=FQ","BEST_FPERIOD_OVERRIDE=FQ","FILING_STATUS=MR","SCALING_FORMAT=MLN","Sort=A","Dates=H","DateFormat=P","Fill=—","Direction=H","UseDPDF=Y")</f>
        <v>0</v>
      </c>
      <c r="AB31" s="12" cm="1">
        <f t="array" ref="AB31">_xll.BDH("NUE US Equity","CF_INCR_INVEST","FQ4 2024","FQ4 2024","Currency=USD","Period=FQ","BEST_FPERIOD_OVERRIDE=FQ","FILING_STATUS=MR","SCALING_FORMAT=MLN","Sort=A","Dates=H","DateFormat=P","Fill=—","Direction=H","UseDPDF=Y")</f>
        <v>0</v>
      </c>
      <c r="AC31" s="12" cm="1">
        <f t="array" ref="AC31">_xll.BDH("NUE US Equity","CF_INCR_INVEST","FQ1 2025","FQ1 2025","Currency=USD","Period=FQ","BEST_FPERIOD_OVERRIDE=FQ","FILING_STATUS=MR","SCALING_FORMAT=MLN","Sort=A","Dates=H","DateFormat=P","Fill=—","Direction=H","UseDPDF=Y")</f>
        <v>0</v>
      </c>
      <c r="AD31" s="12" cm="1">
        <f t="array" ref="AD31">_xll.BDH("NUE US Equity","CF_INCR_INVEST","FQ2 2025","FQ2 2025","Currency=USD","Period=FQ","BEST_FPERIOD_OVERRIDE=FQ","FILING_STATUS=MR","SCALING_FORMAT=MLN","Sort=A","Dates=H","DateFormat=P","Fill=—","Direction=H","UseDPDF=Y")</f>
        <v>-1</v>
      </c>
      <c r="AE31" s="12" cm="1">
        <f t="array" ref="AE31">_xll.BDH("NUE US Equity","CF_INCR_INVEST","FQ3 2025","FQ3 2025","Currency=USD","Period=FQ","BEST_FPERIOD_OVERRIDE=FQ","FILING_STATUS=MR","SCALING_FORMAT=MLN","Sort=A","Dates=H","DateFormat=P","Fill=—","Direction=H","UseDPDF=Y")</f>
        <v>0</v>
      </c>
      <c r="AF31" s="12" t="str" cm="1">
        <f t="array" ref="AF31">_xll.BDH("NUE US Equity","CF_INCR_INVEST","FQ4 2025","FQ4 2025","Currency=USD","Period=FQ","BEST_FPERIOD_OVERRIDE=FQ","FILING_STATUS=MR","SCALING_FORMAT=MLN","Sort=A","Dates=H","DateFormat=P","Fill=—","Direction=H","UseDPDF=Y")</f>
        <v>—</v>
      </c>
    </row>
    <row r="32" spans="1:32" x14ac:dyDescent="0.25">
      <c r="A32" s="10" t="s">
        <v>112</v>
      </c>
      <c r="B32" s="10" t="s">
        <v>113</v>
      </c>
      <c r="C32" s="12" cm="1">
        <f t="array" ref="C32">_xll.BDH("NUE US Equity","CF_NT_CSH_RCVD_PD_FOR_ACQUIS_DIV","FQ3 2018","FQ3 2018","Currency=USD","Period=FQ","BEST_FPERIOD_OVERRIDE=FQ","FILING_STATUS=MR","SCALING_FORMAT=MLN","Sort=A","Dates=H","DateFormat=P","Fill=—","Direction=H","UseDPDF=Y")</f>
        <v>0</v>
      </c>
      <c r="D32" s="12" cm="1">
        <f t="array" ref="D32">_xll.BDH("NUE US Equity","CF_NT_CSH_RCVD_PD_FOR_ACQUIS_DIV","FQ4 2018","FQ4 2018","Currency=USD","Period=FQ","BEST_FPERIOD_OVERRIDE=FQ","FILING_STATUS=MR","SCALING_FORMAT=MLN","Sort=A","Dates=H","DateFormat=P","Fill=—","Direction=H","UseDPDF=Y")</f>
        <v>-33.063000000000002</v>
      </c>
      <c r="E32" s="12" cm="1">
        <f t="array" ref="E32">_xll.BDH("NUE US Equity","CF_NT_CSH_RCVD_PD_FOR_ACQUIS_DIV","FQ1 2019","FQ1 2019","Currency=USD","Period=FQ","BEST_FPERIOD_OVERRIDE=FQ","FILING_STATUS=MR","SCALING_FORMAT=MLN","Sort=A","Dates=H","DateFormat=P","Fill=—","Direction=H","UseDPDF=Y")</f>
        <v>58.095999999999997</v>
      </c>
      <c r="F32" s="12" cm="1">
        <f t="array" ref="F32">_xll.BDH("NUE US Equity","CF_NT_CSH_RCVD_PD_FOR_ACQUIS_DIV","FQ2 2019","FQ2 2019","Currency=USD","Period=FQ","BEST_FPERIOD_OVERRIDE=FQ","FILING_STATUS=MR","SCALING_FORMAT=MLN","Sort=A","Dates=H","DateFormat=P","Fill=—","Direction=H","UseDPDF=Y")</f>
        <v>0</v>
      </c>
      <c r="G32" s="12" cm="1">
        <f t="array" ref="G32">_xll.BDH("NUE US Equity","CF_NT_CSH_RCVD_PD_FOR_ACQUIS_DIV","FQ3 2019","FQ3 2019","Currency=USD","Period=FQ","BEST_FPERIOD_OVERRIDE=FQ","FILING_STATUS=MR","SCALING_FORMAT=MLN","Sort=A","Dates=H","DateFormat=P","Fill=—","Direction=H","UseDPDF=Y")</f>
        <v>0</v>
      </c>
      <c r="H32" s="12" cm="1">
        <f t="array" ref="H32">_xll.BDH("NUE US Equity","CF_NT_CSH_RCVD_PD_FOR_ACQUIS_DIV","FQ4 2019","FQ4 2019","Currency=USD","Period=FQ","BEST_FPERIOD_OVERRIDE=FQ","FILING_STATUS=MR","SCALING_FORMAT=MLN","Sort=A","Dates=H","DateFormat=P","Fill=—","Direction=H","UseDPDF=Y")</f>
        <v>-73.611000000000004</v>
      </c>
      <c r="I32" s="12" cm="1">
        <f t="array" ref="I32">_xll.BDH("NUE US Equity","CF_NT_CSH_RCVD_PD_FOR_ACQUIS_DIV","FQ1 2020","FQ1 2020","Currency=USD","Period=FQ","BEST_FPERIOD_OVERRIDE=FQ","FILING_STATUS=MR","SCALING_FORMAT=MLN","Sort=A","Dates=H","DateFormat=P","Fill=—","Direction=H","UseDPDF=Y")</f>
        <v>0</v>
      </c>
      <c r="J32" s="12" cm="1">
        <f t="array" ref="J32">_xll.BDH("NUE US Equity","CF_NT_CSH_RCVD_PD_FOR_ACQUIS_DIV","FQ2 2020","FQ2 2020","Currency=USD","Period=FQ","BEST_FPERIOD_OVERRIDE=FQ","FILING_STATUS=MR","SCALING_FORMAT=MLN","Sort=A","Dates=H","DateFormat=P","Fill=—","Direction=H","UseDPDF=Y")</f>
        <v>0.79400000000000004</v>
      </c>
      <c r="K32" s="12" cm="1">
        <f t="array" ref="K32">_xll.BDH("NUE US Equity","CF_NT_CSH_RCVD_PD_FOR_ACQUIS_DIV","FQ3 2020","FQ3 2020","Currency=USD","Period=FQ","BEST_FPERIOD_OVERRIDE=FQ","FILING_STATUS=MR","SCALING_FORMAT=MLN","Sort=A","Dates=H","DateFormat=P","Fill=—","Direction=H","UseDPDF=Y")</f>
        <v>-21.161999999999999</v>
      </c>
      <c r="L32" s="12" cm="1">
        <f t="array" ref="L32">_xll.BDH("NUE US Equity","CF_NT_CSH_RCVD_PD_FOR_ACQUIS_DIV","FQ4 2020","FQ4 2020","Currency=USD","Period=FQ","BEST_FPERIOD_OVERRIDE=FQ","FILING_STATUS=MR","SCALING_FORMAT=MLN","Sort=A","Dates=H","DateFormat=P","Fill=—","Direction=H","UseDPDF=Y")</f>
        <v>-67.703000000000003</v>
      </c>
      <c r="M32" s="12" cm="1">
        <f t="array" ref="M32">_xll.BDH("NUE US Equity","CF_NT_CSH_RCVD_PD_FOR_ACQUIS_DIV","FQ1 2021","FQ1 2021","Currency=USD","Period=FQ","BEST_FPERIOD_OVERRIDE=FQ","FILING_STATUS=MR","SCALING_FORMAT=MLN","Sort=A","Dates=H","DateFormat=P","Fill=—","Direction=H","UseDPDF=Y")</f>
        <v>0.3</v>
      </c>
      <c r="N32" s="12" cm="1">
        <f t="array" ref="N32">_xll.BDH("NUE US Equity","CF_NT_CSH_RCVD_PD_FOR_ACQUIS_DIV","FQ2 2021","FQ2 2021","Currency=USD","Period=FQ","BEST_FPERIOD_OVERRIDE=FQ","FILING_STATUS=MR","SCALING_FORMAT=MLN","Sort=A","Dates=H","DateFormat=P","Fill=—","Direction=H","UseDPDF=Y")</f>
        <v>0</v>
      </c>
      <c r="O32" s="12" cm="1">
        <f t="array" ref="O32">_xll.BDH("NUE US Equity","CF_NT_CSH_RCVD_PD_FOR_ACQUIS_DIV","FQ3 2021","FQ3 2021","Currency=USD","Period=FQ","BEST_FPERIOD_OVERRIDE=FQ","FILING_STATUS=MR","SCALING_FORMAT=MLN","Sort=A","Dates=H","DateFormat=P","Fill=—","Direction=H","UseDPDF=Y")</f>
        <v>-1346.9079999999999</v>
      </c>
      <c r="P32" s="12" cm="1">
        <f t="array" ref="P32">_xll.BDH("NUE US Equity","CF_NT_CSH_RCVD_PD_FOR_ACQUIS_DIV","FQ4 2021","FQ4 2021","Currency=USD","Period=FQ","BEST_FPERIOD_OVERRIDE=FQ","FILING_STATUS=MR","SCALING_FORMAT=MLN","Sort=A","Dates=H","DateFormat=P","Fill=—","Direction=H","UseDPDF=Y")</f>
        <v>-79.816000000000003</v>
      </c>
      <c r="Q32" s="12" cm="1">
        <f t="array" ref="Q32">_xll.BDH("NUE US Equity","CF_NT_CSH_RCVD_PD_FOR_ACQUIS_DIV","FQ1 2022","FQ1 2022","Currency=USD","Period=FQ","BEST_FPERIOD_OVERRIDE=FQ","FILING_STATUS=MR","SCALING_FORMAT=MLN","Sort=A","Dates=H","DateFormat=P","Fill=—","Direction=H","UseDPDF=Y")</f>
        <v>-347.17700000000002</v>
      </c>
      <c r="R32" s="12" cm="1">
        <f t="array" ref="R32">_xll.BDH("NUE US Equity","CF_NT_CSH_RCVD_PD_FOR_ACQUIS_DIV","FQ2 2022","FQ2 2022","Currency=USD","Period=FQ","BEST_FPERIOD_OVERRIDE=FQ","FILING_STATUS=MR","SCALING_FORMAT=MLN","Sort=A","Dates=H","DateFormat=P","Fill=—","Direction=H","UseDPDF=Y")</f>
        <v>-3118.6889999999999</v>
      </c>
      <c r="S32" s="12" cm="1">
        <f t="array" ref="S32">_xll.BDH("NUE US Equity","CF_NT_CSH_RCVD_PD_FOR_ACQUIS_DIV","FQ3 2022","FQ3 2022","Currency=USD","Period=FQ","BEST_FPERIOD_OVERRIDE=FQ","FILING_STATUS=MR","SCALING_FORMAT=MLN","Sort=A","Dates=H","DateFormat=P","Fill=—","Direction=H","UseDPDF=Y")</f>
        <v>15.782999999999999</v>
      </c>
      <c r="T32" s="12" cm="1">
        <f t="array" ref="T32">_xll.BDH("NUE US Equity","CF_NT_CSH_RCVD_PD_FOR_ACQUIS_DIV","FQ4 2022","FQ4 2022","Currency=USD","Period=FQ","BEST_FPERIOD_OVERRIDE=FQ","FILING_STATUS=MR","SCALING_FORMAT=MLN","Sort=A","Dates=H","DateFormat=P","Fill=—","Direction=H","UseDPDF=Y")</f>
        <v>-3.427</v>
      </c>
      <c r="U32" s="12" cm="1">
        <f t="array" ref="U32">_xll.BDH("NUE US Equity","CF_NT_CSH_RCVD_PD_FOR_ACQUIS_DIV","FQ1 2023","FQ1 2023","Currency=USD","Period=FQ","BEST_FPERIOD_OVERRIDE=FQ","FILING_STATUS=MR","SCALING_FORMAT=MLN","Sort=A","Dates=H","DateFormat=P","Fill=—","Direction=H","UseDPDF=Y")</f>
        <v>0</v>
      </c>
      <c r="V32" s="12" cm="1">
        <f t="array" ref="V32">_xll.BDH("NUE US Equity","CF_NT_CSH_RCVD_PD_FOR_ACQUIS_DIV","FQ2 2023","FQ2 2023","Currency=USD","Period=FQ","BEST_FPERIOD_OVERRIDE=FQ","FILING_STATUS=MR","SCALING_FORMAT=MLN","Sort=A","Dates=H","DateFormat=P","Fill=—","Direction=H","UseDPDF=Y")</f>
        <v>0</v>
      </c>
      <c r="W32" s="12" cm="1">
        <f t="array" ref="W32">_xll.BDH("NUE US Equity","CF_NT_CSH_RCVD_PD_FOR_ACQUIS_DIV","FQ3 2023","FQ3 2023","Currency=USD","Period=FQ","BEST_FPERIOD_OVERRIDE=FQ","FILING_STATUS=MR","SCALING_FORMAT=MLN","Sort=A","Dates=H","DateFormat=P","Fill=—","Direction=H","UseDPDF=Y")</f>
        <v>0</v>
      </c>
      <c r="X32" s="12" cm="1">
        <f t="array" ref="X32">_xll.BDH("NUE US Equity","CF_NT_CSH_RCVD_PD_FOR_ACQUIS_DIV","FQ4 2023","FQ4 2023","Currency=USD","Period=FQ","BEST_FPERIOD_OVERRIDE=FQ","FILING_STATUS=MR","SCALING_FORMAT=MLN","Sort=A","Dates=H","DateFormat=P","Fill=—","Direction=H","UseDPDF=Y")</f>
        <v>-70.823999999999998</v>
      </c>
      <c r="Y32" s="12" cm="1">
        <f t="array" ref="Y32">_xll.BDH("NUE US Equity","CF_NT_CSH_RCVD_PD_FOR_ACQUIS_DIV","FQ1 2024","FQ1 2024","Currency=USD","Period=FQ","BEST_FPERIOD_OVERRIDE=FQ","FILING_STATUS=MR","SCALING_FORMAT=MLN","Sort=A","Dates=H","DateFormat=P","Fill=—","Direction=H","UseDPDF=Y")</f>
        <v>0.99099999999999999</v>
      </c>
      <c r="Z32" s="12" cm="1">
        <f t="array" ref="Z32">_xll.BDH("NUE US Equity","CF_NT_CSH_RCVD_PD_FOR_ACQUIS_DIV","FQ2 2024","FQ2 2024","Currency=USD","Period=FQ","BEST_FPERIOD_OVERRIDE=FQ","FILING_STATUS=MR","SCALING_FORMAT=MLN","Sort=A","Dates=H","DateFormat=P","Fill=—","Direction=H","UseDPDF=Y")</f>
        <v>-109.934</v>
      </c>
      <c r="AA32" s="12" cm="1">
        <f t="array" ref="AA32">_xll.BDH("NUE US Equity","CF_NT_CSH_RCVD_PD_FOR_ACQUIS_DIV","FQ3 2024","FQ3 2024","Currency=USD","Period=FQ","BEST_FPERIOD_OVERRIDE=FQ","FILING_STATUS=MR","SCALING_FORMAT=MLN","Sort=A","Dates=H","DateFormat=P","Fill=—","Direction=H","UseDPDF=Y")</f>
        <v>-561.81200000000001</v>
      </c>
      <c r="AB32" s="12" cm="1">
        <f t="array" ref="AB32">_xll.BDH("NUE US Equity","CF_NT_CSH_RCVD_PD_FOR_ACQUIS_DIV","FQ4 2024","FQ4 2024","Currency=USD","Period=FQ","BEST_FPERIOD_OVERRIDE=FQ","FILING_STATUS=MR","SCALING_FORMAT=MLN","Sort=A","Dates=H","DateFormat=P","Fill=—","Direction=H","UseDPDF=Y")</f>
        <v>-86.165999999999997</v>
      </c>
      <c r="AC32" s="12" cm="1">
        <f t="array" ref="AC32">_xll.BDH("NUE US Equity","CF_NT_CSH_RCVD_PD_FOR_ACQUIS_DIV","FQ1 2025","FQ1 2025","Currency=USD","Period=FQ","BEST_FPERIOD_OVERRIDE=FQ","FILING_STATUS=MR","SCALING_FORMAT=MLN","Sort=A","Dates=H","DateFormat=P","Fill=—","Direction=H","UseDPDF=Y")</f>
        <v>-1</v>
      </c>
      <c r="AD32" s="12" cm="1">
        <f t="array" ref="AD32">_xll.BDH("NUE US Equity","CF_NT_CSH_RCVD_PD_FOR_ACQUIS_DIV","FQ2 2025","FQ2 2025","Currency=USD","Period=FQ","BEST_FPERIOD_OVERRIDE=FQ","FILING_STATUS=MR","SCALING_FORMAT=MLN","Sort=A","Dates=H","DateFormat=P","Fill=—","Direction=H","UseDPDF=Y")</f>
        <v>0</v>
      </c>
      <c r="AE32" s="12" cm="1">
        <f t="array" ref="AE32">_xll.BDH("NUE US Equity","CF_NT_CSH_RCVD_PD_FOR_ACQUIS_DIV","FQ3 2025","FQ3 2025","Currency=USD","Period=FQ","BEST_FPERIOD_OVERRIDE=FQ","FILING_STATUS=MR","SCALING_FORMAT=MLN","Sort=A","Dates=H","DateFormat=P","Fill=—","Direction=H","UseDPDF=Y")</f>
        <v>1</v>
      </c>
      <c r="AF32" s="12" cm="1">
        <f t="array" ref="AF32">_xll.BDH("NUE US Equity","CF_NT_CSH_RCVD_PD_FOR_ACQUIS_DIV","FQ4 2025","FQ4 2025","Currency=USD","Period=FQ","BEST_FPERIOD_OVERRIDE=FQ","FILING_STATUS=MR","SCALING_FORMAT=MLN","Sort=A","Dates=H","DateFormat=P","Fill=—","Direction=H","UseDPDF=Y")</f>
        <v>0</v>
      </c>
    </row>
    <row r="33" spans="1:32" x14ac:dyDescent="0.25">
      <c r="A33" s="10" t="s">
        <v>114</v>
      </c>
      <c r="B33" s="10" t="s">
        <v>115</v>
      </c>
      <c r="C33" s="12" cm="1">
        <f t="array" ref="C33">_xll.BDH("NUE US Equity","CF_CASH_FOR_DIVESTITURES","FQ3 2018","FQ3 2018","Currency=USD","Period=FQ","BEST_FPERIOD_OVERRIDE=FQ","FILING_STATUS=MR","SCALING_FORMAT=MLN","Sort=A","Dates=H","DateFormat=P","Fill=—","Direction=H","UseDPDF=Y")</f>
        <v>0</v>
      </c>
      <c r="D33" s="12" cm="1">
        <f t="array" ref="D33">_xll.BDH("NUE US Equity","CF_CASH_FOR_DIVESTITURES","FQ4 2018","FQ4 2018","Currency=USD","Period=FQ","BEST_FPERIOD_OVERRIDE=FQ","FILING_STATUS=MR","SCALING_FORMAT=MLN","Sort=A","Dates=H","DateFormat=P","Fill=—","Direction=H","UseDPDF=Y")</f>
        <v>0</v>
      </c>
      <c r="E33" s="12" cm="1">
        <f t="array" ref="E33">_xll.BDH("NUE US Equity","CF_CASH_FOR_DIVESTITURES","FQ1 2019","FQ1 2019","Currency=USD","Period=FQ","BEST_FPERIOD_OVERRIDE=FQ","FILING_STATUS=MR","SCALING_FORMAT=MLN","Sort=A","Dates=H","DateFormat=P","Fill=—","Direction=H","UseDPDF=Y")</f>
        <v>0</v>
      </c>
      <c r="F33" s="12" cm="1">
        <f t="array" ref="F33">_xll.BDH("NUE US Equity","CF_CASH_FOR_DIVESTITURES","FQ2 2019","FQ2 2019","Currency=USD","Period=FQ","BEST_FPERIOD_OVERRIDE=FQ","FILING_STATUS=MR","SCALING_FORMAT=MLN","Sort=A","Dates=H","DateFormat=P","Fill=—","Direction=H","UseDPDF=Y")</f>
        <v>0</v>
      </c>
      <c r="G33" s="12" cm="1">
        <f t="array" ref="G33">_xll.BDH("NUE US Equity","CF_CASH_FOR_DIVESTITURES","FQ3 2019","FQ3 2019","Currency=USD","Period=FQ","BEST_FPERIOD_OVERRIDE=FQ","FILING_STATUS=MR","SCALING_FORMAT=MLN","Sort=A","Dates=H","DateFormat=P","Fill=—","Direction=H","UseDPDF=Y")</f>
        <v>0</v>
      </c>
      <c r="H33" s="12" cm="1">
        <f t="array" ref="H33">_xll.BDH("NUE US Equity","CF_CASH_FOR_DIVESTITURES","FQ4 2019","FQ4 2019","Currency=USD","Period=FQ","BEST_FPERIOD_OVERRIDE=FQ","FILING_STATUS=MR","SCALING_FORMAT=MLN","Sort=A","Dates=H","DateFormat=P","Fill=—","Direction=H","UseDPDF=Y")</f>
        <v>-67.590999999999994</v>
      </c>
      <c r="I33" s="12" cm="1">
        <f t="array" ref="I33">_xll.BDH("NUE US Equity","CF_CASH_FOR_DIVESTITURES","FQ1 2020","FQ1 2020","Currency=USD","Period=FQ","BEST_FPERIOD_OVERRIDE=FQ","FILING_STATUS=MR","SCALING_FORMAT=MLN","Sort=A","Dates=H","DateFormat=P","Fill=—","Direction=H","UseDPDF=Y")</f>
        <v>0</v>
      </c>
      <c r="J33" s="12" cm="1">
        <f t="array" ref="J33">_xll.BDH("NUE US Equity","CF_CASH_FOR_DIVESTITURES","FQ2 2020","FQ2 2020","Currency=USD","Period=FQ","BEST_FPERIOD_OVERRIDE=FQ","FILING_STATUS=MR","SCALING_FORMAT=MLN","Sort=A","Dates=H","DateFormat=P","Fill=—","Direction=H","UseDPDF=Y")</f>
        <v>0</v>
      </c>
      <c r="K33" s="12" cm="1">
        <f t="array" ref="K33">_xll.BDH("NUE US Equity","CF_CASH_FOR_DIVESTITURES","FQ3 2020","FQ3 2020","Currency=USD","Period=FQ","BEST_FPERIOD_OVERRIDE=FQ","FILING_STATUS=MR","SCALING_FORMAT=MLN","Sort=A","Dates=H","DateFormat=P","Fill=—","Direction=H","UseDPDF=Y")</f>
        <v>0</v>
      </c>
      <c r="L33" s="12" cm="1">
        <f t="array" ref="L33">_xll.BDH("NUE US Equity","CF_CASH_FOR_DIVESTITURES","FQ4 2020","FQ4 2020","Currency=USD","Period=FQ","BEST_FPERIOD_OVERRIDE=FQ","FILING_STATUS=MR","SCALING_FORMAT=MLN","Sort=A","Dates=H","DateFormat=P","Fill=—","Direction=H","UseDPDF=Y")</f>
        <v>0</v>
      </c>
      <c r="M33" s="12" cm="1">
        <f t="array" ref="M33">_xll.BDH("NUE US Equity","CF_CASH_FOR_DIVESTITURES","FQ1 2021","FQ1 2021","Currency=USD","Period=FQ","BEST_FPERIOD_OVERRIDE=FQ","FILING_STATUS=MR","SCALING_FORMAT=MLN","Sort=A","Dates=H","DateFormat=P","Fill=—","Direction=H","UseDPDF=Y")</f>
        <v>0</v>
      </c>
      <c r="N33" s="12" cm="1">
        <f t="array" ref="N33">_xll.BDH("NUE US Equity","CF_CASH_FOR_DIVESTITURES","FQ2 2021","FQ2 2021","Currency=USD","Period=FQ","BEST_FPERIOD_OVERRIDE=FQ","FILING_STATUS=MR","SCALING_FORMAT=MLN","Sort=A","Dates=H","DateFormat=P","Fill=—","Direction=H","UseDPDF=Y")</f>
        <v>0</v>
      </c>
      <c r="O33" s="12" cm="1">
        <f t="array" ref="O33">_xll.BDH("NUE US Equity","CF_CASH_FOR_DIVESTITURES","FQ3 2021","FQ3 2021","Currency=USD","Period=FQ","BEST_FPERIOD_OVERRIDE=FQ","FILING_STATUS=MR","SCALING_FORMAT=MLN","Sort=A","Dates=H","DateFormat=P","Fill=—","Direction=H","UseDPDF=Y")</f>
        <v>0</v>
      </c>
      <c r="P33" s="12" cm="1">
        <f t="array" ref="P33">_xll.BDH("NUE US Equity","CF_CASH_FOR_DIVESTITURES","FQ4 2021","FQ4 2021","Currency=USD","Period=FQ","BEST_FPERIOD_OVERRIDE=FQ","FILING_STATUS=MR","SCALING_FORMAT=MLN","Sort=A","Dates=H","DateFormat=P","Fill=—","Direction=H","UseDPDF=Y")</f>
        <v>0</v>
      </c>
      <c r="Q33" s="12" cm="1">
        <f t="array" ref="Q33">_xll.BDH("NUE US Equity","CF_CASH_FOR_DIVESTITURES","FQ1 2022","FQ1 2022","Currency=USD","Period=FQ","BEST_FPERIOD_OVERRIDE=FQ","FILING_STATUS=MR","SCALING_FORMAT=MLN","Sort=A","Dates=H","DateFormat=P","Fill=—","Direction=H","UseDPDF=Y")</f>
        <v>-347.17700000000002</v>
      </c>
      <c r="R33" s="12" cm="1">
        <f t="array" ref="R33">_xll.BDH("NUE US Equity","CF_CASH_FOR_DIVESTITURES","FQ2 2022","FQ2 2022","Currency=USD","Period=FQ","BEST_FPERIOD_OVERRIDE=FQ","FILING_STATUS=MR","SCALING_FORMAT=MLN","Sort=A","Dates=H","DateFormat=P","Fill=—","Direction=H","UseDPDF=Y")</f>
        <v>347.17700000000002</v>
      </c>
      <c r="S33" s="12" cm="1">
        <f t="array" ref="S33">_xll.BDH("NUE US Equity","CF_CASH_FOR_DIVESTITURES","FQ3 2022","FQ3 2022","Currency=USD","Period=FQ","BEST_FPERIOD_OVERRIDE=FQ","FILING_STATUS=MR","SCALING_FORMAT=MLN","Sort=A","Dates=H","DateFormat=P","Fill=—","Direction=H","UseDPDF=Y")</f>
        <v>99.680999999999997</v>
      </c>
      <c r="T33" s="12" cm="1">
        <f t="array" ref="T33">_xll.BDH("NUE US Equity","CF_CASH_FOR_DIVESTITURES","FQ4 2022","FQ4 2022","Currency=USD","Period=FQ","BEST_FPERIOD_OVERRIDE=FQ","FILING_STATUS=MR","SCALING_FORMAT=MLN","Sort=A","Dates=H","DateFormat=P","Fill=—","Direction=H","UseDPDF=Y")</f>
        <v>-99.680999999999997</v>
      </c>
      <c r="U33" s="12" cm="1">
        <f t="array" ref="U33">_xll.BDH("NUE US Equity","CF_CASH_FOR_DIVESTITURES","FQ1 2023","FQ1 2023","Currency=USD","Period=FQ","BEST_FPERIOD_OVERRIDE=FQ","FILING_STATUS=MR","SCALING_FORMAT=MLN","Sort=A","Dates=H","DateFormat=P","Fill=—","Direction=H","UseDPDF=Y")</f>
        <v>0</v>
      </c>
      <c r="V33" s="12" cm="1">
        <f t="array" ref="V33">_xll.BDH("NUE US Equity","CF_CASH_FOR_DIVESTITURES","FQ2 2023","FQ2 2023","Currency=USD","Period=FQ","BEST_FPERIOD_OVERRIDE=FQ","FILING_STATUS=MR","SCALING_FORMAT=MLN","Sort=A","Dates=H","DateFormat=P","Fill=—","Direction=H","UseDPDF=Y")</f>
        <v>0</v>
      </c>
      <c r="W33" s="12" cm="1">
        <f t="array" ref="W33">_xll.BDH("NUE US Equity","CF_CASH_FOR_DIVESTITURES","FQ3 2023","FQ3 2023","Currency=USD","Period=FQ","BEST_FPERIOD_OVERRIDE=FQ","FILING_STATUS=MR","SCALING_FORMAT=MLN","Sort=A","Dates=H","DateFormat=P","Fill=—","Direction=H","UseDPDF=Y")</f>
        <v>0</v>
      </c>
      <c r="X33" s="12" cm="1">
        <f t="array" ref="X33">_xll.BDH("NUE US Equity","CF_CASH_FOR_DIVESTITURES","FQ4 2023","FQ4 2023","Currency=USD","Period=FQ","BEST_FPERIOD_OVERRIDE=FQ","FILING_STATUS=MR","SCALING_FORMAT=MLN","Sort=A","Dates=H","DateFormat=P","Fill=—","Direction=H","UseDPDF=Y")</f>
        <v>0</v>
      </c>
      <c r="Y33" s="12" cm="1">
        <f t="array" ref="Y33">_xll.BDH("NUE US Equity","CF_CASH_FOR_DIVESTITURES","FQ1 2024","FQ1 2024","Currency=USD","Period=FQ","BEST_FPERIOD_OVERRIDE=FQ","FILING_STATUS=MR","SCALING_FORMAT=MLN","Sort=A","Dates=H","DateFormat=P","Fill=—","Direction=H","UseDPDF=Y")</f>
        <v>0</v>
      </c>
      <c r="Z33" s="12" cm="1">
        <f t="array" ref="Z33">_xll.BDH("NUE US Equity","CF_CASH_FOR_DIVESTITURES","FQ2 2024","FQ2 2024","Currency=USD","Period=FQ","BEST_FPERIOD_OVERRIDE=FQ","FILING_STATUS=MR","SCALING_FORMAT=MLN","Sort=A","Dates=H","DateFormat=P","Fill=—","Direction=H","UseDPDF=Y")</f>
        <v>0</v>
      </c>
      <c r="AA33" s="12" cm="1">
        <f t="array" ref="AA33">_xll.BDH("NUE US Equity","CF_CASH_FOR_DIVESTITURES","FQ3 2024","FQ3 2024","Currency=USD","Period=FQ","BEST_FPERIOD_OVERRIDE=FQ","FILING_STATUS=MR","SCALING_FORMAT=MLN","Sort=A","Dates=H","DateFormat=P","Fill=—","Direction=H","UseDPDF=Y")</f>
        <v>1.4379999999999999</v>
      </c>
      <c r="AB33" s="12" cm="1">
        <f t="array" ref="AB33">_xll.BDH("NUE US Equity","CF_CASH_FOR_DIVESTITURES","FQ4 2024","FQ4 2024","Currency=USD","Period=FQ","BEST_FPERIOD_OVERRIDE=FQ","FILING_STATUS=MR","SCALING_FORMAT=MLN","Sort=A","Dates=H","DateFormat=P","Fill=—","Direction=H","UseDPDF=Y")</f>
        <v>-759.43799999999999</v>
      </c>
      <c r="AC33" s="12" cm="1">
        <f t="array" ref="AC33">_xll.BDH("NUE US Equity","CF_CASH_FOR_DIVESTITURES","FQ1 2025","FQ1 2025","Currency=USD","Period=FQ","BEST_FPERIOD_OVERRIDE=FQ","FILING_STATUS=MR","SCALING_FORMAT=MLN","Sort=A","Dates=H","DateFormat=P","Fill=—","Direction=H","UseDPDF=Y")</f>
        <v>-1</v>
      </c>
      <c r="AD33" s="12" cm="1">
        <f t="array" ref="AD33">_xll.BDH("NUE US Equity","CF_CASH_FOR_DIVESTITURES","FQ2 2025","FQ2 2025","Currency=USD","Period=FQ","BEST_FPERIOD_OVERRIDE=FQ","FILING_STATUS=MR","SCALING_FORMAT=MLN","Sort=A","Dates=H","DateFormat=P","Fill=—","Direction=H","UseDPDF=Y")</f>
        <v>1</v>
      </c>
      <c r="AE33" s="12" cm="1">
        <f t="array" ref="AE33">_xll.BDH("NUE US Equity","CF_CASH_FOR_DIVESTITURES","FQ3 2025","FQ3 2025","Currency=USD","Period=FQ","BEST_FPERIOD_OVERRIDE=FQ","FILING_STATUS=MR","SCALING_FORMAT=MLN","Sort=A","Dates=H","DateFormat=P","Fill=—","Direction=H","UseDPDF=Y")</f>
        <v>0</v>
      </c>
      <c r="AF33" s="12" cm="1">
        <f t="array" ref="AF33">_xll.BDH("NUE US Equity","CF_CASH_FOR_DIVESTITURES","FQ4 2025","FQ4 2025","Currency=USD","Period=FQ","BEST_FPERIOD_OVERRIDE=FQ","FILING_STATUS=MR","SCALING_FORMAT=MLN","Sort=A","Dates=H","DateFormat=P","Fill=—","Direction=H","UseDPDF=Y")</f>
        <v>-1</v>
      </c>
    </row>
    <row r="34" spans="1:32" x14ac:dyDescent="0.25">
      <c r="A34" s="10" t="s">
        <v>116</v>
      </c>
      <c r="B34" s="10" t="s">
        <v>117</v>
      </c>
      <c r="C34" s="12" cm="1">
        <f t="array" ref="C34">_xll.BDH("NUE US Equity","CF_CASH_FOR_ACQUIS_SUBSIDIARIES","FQ3 2018","FQ3 2018","Currency=USD","Period=FQ","BEST_FPERIOD_OVERRIDE=FQ","FILING_STATUS=MR","SCALING_FORMAT=MLN","Sort=A","Dates=H","DateFormat=P","Fill=—","Direction=H","UseDPDF=Y")</f>
        <v>0</v>
      </c>
      <c r="D34" s="12" cm="1">
        <f t="array" ref="D34">_xll.BDH("NUE US Equity","CF_CASH_FOR_ACQUIS_SUBSIDIARIES","FQ4 2018","FQ4 2018","Currency=USD","Period=FQ","BEST_FPERIOD_OVERRIDE=FQ","FILING_STATUS=MR","SCALING_FORMAT=MLN","Sort=A","Dates=H","DateFormat=P","Fill=—","Direction=H","UseDPDF=Y")</f>
        <v>-33.063000000000002</v>
      </c>
      <c r="E34" s="12" cm="1">
        <f t="array" ref="E34">_xll.BDH("NUE US Equity","CF_CASH_FOR_ACQUIS_SUBSIDIARIES","FQ1 2019","FQ1 2019","Currency=USD","Period=FQ","BEST_FPERIOD_OVERRIDE=FQ","FILING_STATUS=MR","SCALING_FORMAT=MLN","Sort=A","Dates=H","DateFormat=P","Fill=—","Direction=H","UseDPDF=Y")</f>
        <v>-9.4949999999999992</v>
      </c>
      <c r="F34" s="12" cm="1">
        <f t="array" ref="F34">_xll.BDH("NUE US Equity","CF_CASH_FOR_ACQUIS_SUBSIDIARIES","FQ2 2019","FQ2 2019","Currency=USD","Period=FQ","BEST_FPERIOD_OVERRIDE=FQ","FILING_STATUS=MR","SCALING_FORMAT=MLN","Sort=A","Dates=H","DateFormat=P","Fill=—","Direction=H","UseDPDF=Y")</f>
        <v>0</v>
      </c>
      <c r="G34" s="12" cm="1">
        <f t="array" ref="G34">_xll.BDH("NUE US Equity","CF_CASH_FOR_ACQUIS_SUBSIDIARIES","FQ3 2019","FQ3 2019","Currency=USD","Period=FQ","BEST_FPERIOD_OVERRIDE=FQ","FILING_STATUS=MR","SCALING_FORMAT=MLN","Sort=A","Dates=H","DateFormat=P","Fill=—","Direction=H","UseDPDF=Y")</f>
        <v>0</v>
      </c>
      <c r="H34" s="12" cm="1">
        <f t="array" ref="H34">_xll.BDH("NUE US Equity","CF_CASH_FOR_ACQUIS_SUBSIDIARIES","FQ4 2019","FQ4 2019","Currency=USD","Period=FQ","BEST_FPERIOD_OVERRIDE=FQ","FILING_STATUS=MR","SCALING_FORMAT=MLN","Sort=A","Dates=H","DateFormat=P","Fill=—","Direction=H","UseDPDF=Y")</f>
        <v>-73.611000000000004</v>
      </c>
      <c r="I34" s="12" cm="1">
        <f t="array" ref="I34">_xll.BDH("NUE US Equity","CF_CASH_FOR_ACQUIS_SUBSIDIARIES","FQ1 2020","FQ1 2020","Currency=USD","Period=FQ","BEST_FPERIOD_OVERRIDE=FQ","FILING_STATUS=MR","SCALING_FORMAT=MLN","Sort=A","Dates=H","DateFormat=P","Fill=—","Direction=H","UseDPDF=Y")</f>
        <v>0</v>
      </c>
      <c r="J34" s="12" cm="1">
        <f t="array" ref="J34">_xll.BDH("NUE US Equity","CF_CASH_FOR_ACQUIS_SUBSIDIARIES","FQ2 2020","FQ2 2020","Currency=USD","Period=FQ","BEST_FPERIOD_OVERRIDE=FQ","FILING_STATUS=MR","SCALING_FORMAT=MLN","Sort=A","Dates=H","DateFormat=P","Fill=—","Direction=H","UseDPDF=Y")</f>
        <v>0.79400000000000004</v>
      </c>
      <c r="K34" s="12" cm="1">
        <f t="array" ref="K34">_xll.BDH("NUE US Equity","CF_CASH_FOR_ACQUIS_SUBSIDIARIES","FQ3 2020","FQ3 2020","Currency=USD","Period=FQ","BEST_FPERIOD_OVERRIDE=FQ","FILING_STATUS=MR","SCALING_FORMAT=MLN","Sort=A","Dates=H","DateFormat=P","Fill=—","Direction=H","UseDPDF=Y")</f>
        <v>-21.161999999999999</v>
      </c>
      <c r="L34" s="12" cm="1">
        <f t="array" ref="L34">_xll.BDH("NUE US Equity","CF_CASH_FOR_ACQUIS_SUBSIDIARIES","FQ4 2020","FQ4 2020","Currency=USD","Period=FQ","BEST_FPERIOD_OVERRIDE=FQ","FILING_STATUS=MR","SCALING_FORMAT=MLN","Sort=A","Dates=H","DateFormat=P","Fill=—","Direction=H","UseDPDF=Y")</f>
        <v>-67.703000000000003</v>
      </c>
      <c r="M34" s="12" cm="1">
        <f t="array" ref="M34">_xll.BDH("NUE US Equity","CF_CASH_FOR_ACQUIS_SUBSIDIARIES","FQ1 2021","FQ1 2021","Currency=USD","Period=FQ","BEST_FPERIOD_OVERRIDE=FQ","FILING_STATUS=MR","SCALING_FORMAT=MLN","Sort=A","Dates=H","DateFormat=P","Fill=—","Direction=H","UseDPDF=Y")</f>
        <v>0.3</v>
      </c>
      <c r="N34" s="12" cm="1">
        <f t="array" ref="N34">_xll.BDH("NUE US Equity","CF_CASH_FOR_ACQUIS_SUBSIDIARIES","FQ2 2021","FQ2 2021","Currency=USD","Period=FQ","BEST_FPERIOD_OVERRIDE=FQ","FILING_STATUS=MR","SCALING_FORMAT=MLN","Sort=A","Dates=H","DateFormat=P","Fill=—","Direction=H","UseDPDF=Y")</f>
        <v>0</v>
      </c>
      <c r="O34" s="12" cm="1">
        <f t="array" ref="O34">_xll.BDH("NUE US Equity","CF_CASH_FOR_ACQUIS_SUBSIDIARIES","FQ3 2021","FQ3 2021","Currency=USD","Period=FQ","BEST_FPERIOD_OVERRIDE=FQ","FILING_STATUS=MR","SCALING_FORMAT=MLN","Sort=A","Dates=H","DateFormat=P","Fill=—","Direction=H","UseDPDF=Y")</f>
        <v>-1346.9079999999999</v>
      </c>
      <c r="P34" s="12" cm="1">
        <f t="array" ref="P34">_xll.BDH("NUE US Equity","CF_CASH_FOR_ACQUIS_SUBSIDIARIES","FQ4 2021","FQ4 2021","Currency=USD","Period=FQ","BEST_FPERIOD_OVERRIDE=FQ","FILING_STATUS=MR","SCALING_FORMAT=MLN","Sort=A","Dates=H","DateFormat=P","Fill=—","Direction=H","UseDPDF=Y")</f>
        <v>-79.816000000000003</v>
      </c>
      <c r="Q34" s="12" cm="1">
        <f t="array" ref="Q34">_xll.BDH("NUE US Equity","CF_CASH_FOR_ACQUIS_SUBSIDIARIES","FQ1 2022","FQ1 2022","Currency=USD","Period=FQ","BEST_FPERIOD_OVERRIDE=FQ","FILING_STATUS=MR","SCALING_FORMAT=MLN","Sort=A","Dates=H","DateFormat=P","Fill=—","Direction=H","UseDPDF=Y")</f>
        <v>0</v>
      </c>
      <c r="R34" s="12" cm="1">
        <f t="array" ref="R34">_xll.BDH("NUE US Equity","CF_CASH_FOR_ACQUIS_SUBSIDIARIES","FQ2 2022","FQ2 2022","Currency=USD","Period=FQ","BEST_FPERIOD_OVERRIDE=FQ","FILING_STATUS=MR","SCALING_FORMAT=MLN","Sort=A","Dates=H","DateFormat=P","Fill=—","Direction=H","UseDPDF=Y")</f>
        <v>-3465.866</v>
      </c>
      <c r="S34" s="12" cm="1">
        <f t="array" ref="S34">_xll.BDH("NUE US Equity","CF_CASH_FOR_ACQUIS_SUBSIDIARIES","FQ3 2022","FQ3 2022","Currency=USD","Period=FQ","BEST_FPERIOD_OVERRIDE=FQ","FILING_STATUS=MR","SCALING_FORMAT=MLN","Sort=A","Dates=H","DateFormat=P","Fill=—","Direction=H","UseDPDF=Y")</f>
        <v>-83.897999999999996</v>
      </c>
      <c r="T34" s="12" cm="1">
        <f t="array" ref="T34">_xll.BDH("NUE US Equity","CF_CASH_FOR_ACQUIS_SUBSIDIARIES","FQ4 2022","FQ4 2022","Currency=USD","Period=FQ","BEST_FPERIOD_OVERRIDE=FQ","FILING_STATUS=MR","SCALING_FORMAT=MLN","Sort=A","Dates=H","DateFormat=P","Fill=—","Direction=H","UseDPDF=Y")</f>
        <v>-3.427</v>
      </c>
      <c r="U34" s="12" cm="1">
        <f t="array" ref="U34">_xll.BDH("NUE US Equity","CF_CASH_FOR_ACQUIS_SUBSIDIARIES","FQ1 2023","FQ1 2023","Currency=USD","Period=FQ","BEST_FPERIOD_OVERRIDE=FQ","FILING_STATUS=MR","SCALING_FORMAT=MLN","Sort=A","Dates=H","DateFormat=P","Fill=—","Direction=H","UseDPDF=Y")</f>
        <v>0</v>
      </c>
      <c r="V34" s="12" cm="1">
        <f t="array" ref="V34">_xll.BDH("NUE US Equity","CF_CASH_FOR_ACQUIS_SUBSIDIARIES","FQ2 2023","FQ2 2023","Currency=USD","Period=FQ","BEST_FPERIOD_OVERRIDE=FQ","FILING_STATUS=MR","SCALING_FORMAT=MLN","Sort=A","Dates=H","DateFormat=P","Fill=—","Direction=H","UseDPDF=Y")</f>
        <v>0</v>
      </c>
      <c r="W34" s="12" cm="1">
        <f t="array" ref="W34">_xll.BDH("NUE US Equity","CF_CASH_FOR_ACQUIS_SUBSIDIARIES","FQ3 2023","FQ3 2023","Currency=USD","Period=FQ","BEST_FPERIOD_OVERRIDE=FQ","FILING_STATUS=MR","SCALING_FORMAT=MLN","Sort=A","Dates=H","DateFormat=P","Fill=—","Direction=H","UseDPDF=Y")</f>
        <v>0</v>
      </c>
      <c r="X34" s="12" cm="1">
        <f t="array" ref="X34">_xll.BDH("NUE US Equity","CF_CASH_FOR_ACQUIS_SUBSIDIARIES","FQ4 2023","FQ4 2023","Currency=USD","Period=FQ","BEST_FPERIOD_OVERRIDE=FQ","FILING_STATUS=MR","SCALING_FORMAT=MLN","Sort=A","Dates=H","DateFormat=P","Fill=—","Direction=H","UseDPDF=Y")</f>
        <v>-70.823999999999998</v>
      </c>
      <c r="Y34" s="12" cm="1">
        <f t="array" ref="Y34">_xll.BDH("NUE US Equity","CF_CASH_FOR_ACQUIS_SUBSIDIARIES","FQ1 2024","FQ1 2024","Currency=USD","Period=FQ","BEST_FPERIOD_OVERRIDE=FQ","FILING_STATUS=MR","SCALING_FORMAT=MLN","Sort=A","Dates=H","DateFormat=P","Fill=—","Direction=H","UseDPDF=Y")</f>
        <v>0.99099999999999999</v>
      </c>
      <c r="Z34" s="12" cm="1">
        <f t="array" ref="Z34">_xll.BDH("NUE US Equity","CF_CASH_FOR_ACQUIS_SUBSIDIARIES","FQ2 2024","FQ2 2024","Currency=USD","Period=FQ","BEST_FPERIOD_OVERRIDE=FQ","FILING_STATUS=MR","SCALING_FORMAT=MLN","Sort=A","Dates=H","DateFormat=P","Fill=—","Direction=H","UseDPDF=Y")</f>
        <v>-109.934</v>
      </c>
      <c r="AA34" s="12" cm="1">
        <f t="array" ref="AA34">_xll.BDH("NUE US Equity","CF_CASH_FOR_ACQUIS_SUBSIDIARIES","FQ3 2024","FQ3 2024","Currency=USD","Period=FQ","BEST_FPERIOD_OVERRIDE=FQ","FILING_STATUS=MR","SCALING_FORMAT=MLN","Sort=A","Dates=H","DateFormat=P","Fill=—","Direction=H","UseDPDF=Y")</f>
        <v>-563.25</v>
      </c>
      <c r="AB34" s="12" cm="1">
        <f t="array" ref="AB34">_xll.BDH("NUE US Equity","CF_CASH_FOR_ACQUIS_SUBSIDIARIES","FQ4 2024","FQ4 2024","Currency=USD","Period=FQ","BEST_FPERIOD_OVERRIDE=FQ","FILING_STATUS=MR","SCALING_FORMAT=MLN","Sort=A","Dates=H","DateFormat=P","Fill=—","Direction=H","UseDPDF=Y")</f>
        <v>673.19299999999998</v>
      </c>
      <c r="AC34" s="12" cm="1">
        <f t="array" ref="AC34">_xll.BDH("NUE US Equity","CF_CASH_FOR_ACQUIS_SUBSIDIARIES","FQ1 2025","FQ1 2025","Currency=USD","Period=FQ","BEST_FPERIOD_OVERRIDE=FQ","FILING_STATUS=MR","SCALING_FORMAT=MLN","Sort=A","Dates=H","DateFormat=P","Fill=—","Direction=H","UseDPDF=Y")</f>
        <v>0</v>
      </c>
      <c r="AD34" s="12" cm="1">
        <f t="array" ref="AD34">_xll.BDH("NUE US Equity","CF_CASH_FOR_ACQUIS_SUBSIDIARIES","FQ2 2025","FQ2 2025","Currency=USD","Period=FQ","BEST_FPERIOD_OVERRIDE=FQ","FILING_STATUS=MR","SCALING_FORMAT=MLN","Sort=A","Dates=H","DateFormat=P","Fill=—","Direction=H","UseDPDF=Y")</f>
        <v>-1</v>
      </c>
      <c r="AE34" s="12" cm="1">
        <f t="array" ref="AE34">_xll.BDH("NUE US Equity","CF_CASH_FOR_ACQUIS_SUBSIDIARIES","FQ3 2025","FQ3 2025","Currency=USD","Period=FQ","BEST_FPERIOD_OVERRIDE=FQ","FILING_STATUS=MR","SCALING_FORMAT=MLN","Sort=A","Dates=H","DateFormat=P","Fill=—","Direction=H","UseDPDF=Y")</f>
        <v>1</v>
      </c>
      <c r="AF34" s="12" cm="1">
        <f t="array" ref="AF34">_xll.BDH("NUE US Equity","CF_CASH_FOR_ACQUIS_SUBSIDIARIES","FQ4 2025","FQ4 2025","Currency=USD","Period=FQ","BEST_FPERIOD_OVERRIDE=FQ","FILING_STATUS=MR","SCALING_FORMAT=MLN","Sort=A","Dates=H","DateFormat=P","Fill=—","Direction=H","UseDPDF=Y")</f>
        <v>-1</v>
      </c>
    </row>
    <row r="35" spans="1:32" x14ac:dyDescent="0.25">
      <c r="A35" s="10" t="s">
        <v>118</v>
      </c>
      <c r="B35" s="10" t="s">
        <v>119</v>
      </c>
      <c r="C35" s="12" cm="1">
        <f t="array" ref="C35">_xll.BDH("NUE US Equity","CF_CASH_FOR_JOINT_VENTURES_ASSOC","FQ3 2018","FQ3 2018","Currency=USD","Period=FQ","BEST_FPERIOD_OVERRIDE=FQ","FILING_STATUS=MR","SCALING_FORMAT=MLN","Sort=A","Dates=H","DateFormat=P","Fill=—","Direction=H","UseDPDF=Y")</f>
        <v>0</v>
      </c>
      <c r="D35" s="12" cm="1">
        <f t="array" ref="D35">_xll.BDH("NUE US Equity","CF_CASH_FOR_JOINT_VENTURES_ASSOC","FQ4 2018","FQ4 2018","Currency=USD","Period=FQ","BEST_FPERIOD_OVERRIDE=FQ","FILING_STATUS=MR","SCALING_FORMAT=MLN","Sort=A","Dates=H","DateFormat=P","Fill=—","Direction=H","UseDPDF=Y")</f>
        <v>0</v>
      </c>
      <c r="E35" s="12" cm="1">
        <f t="array" ref="E35">_xll.BDH("NUE US Equity","CF_CASH_FOR_JOINT_VENTURES_ASSOC","FQ1 2019","FQ1 2019","Currency=USD","Period=FQ","BEST_FPERIOD_OVERRIDE=FQ","FILING_STATUS=MR","SCALING_FORMAT=MLN","Sort=A","Dates=H","DateFormat=P","Fill=—","Direction=H","UseDPDF=Y")</f>
        <v>67.590999999999994</v>
      </c>
      <c r="F35" s="12" cm="1">
        <f t="array" ref="F35">_xll.BDH("NUE US Equity","CF_CASH_FOR_JOINT_VENTURES_ASSOC","FQ2 2019","FQ2 2019","Currency=USD","Period=FQ","BEST_FPERIOD_OVERRIDE=FQ","FILING_STATUS=MR","SCALING_FORMAT=MLN","Sort=A","Dates=H","DateFormat=P","Fill=—","Direction=H","UseDPDF=Y")</f>
        <v>0</v>
      </c>
      <c r="G35" s="12" cm="1">
        <f t="array" ref="G35">_xll.BDH("NUE US Equity","CF_CASH_FOR_JOINT_VENTURES_ASSOC","FQ3 2019","FQ3 2019","Currency=USD","Period=FQ","BEST_FPERIOD_OVERRIDE=FQ","FILING_STATUS=MR","SCALING_FORMAT=MLN","Sort=A","Dates=H","DateFormat=P","Fill=—","Direction=H","UseDPDF=Y")</f>
        <v>0</v>
      </c>
      <c r="H35" s="12" cm="1">
        <f t="array" ref="H35">_xll.BDH("NUE US Equity","CF_CASH_FOR_JOINT_VENTURES_ASSOC","FQ4 2019","FQ4 2019","Currency=USD","Period=FQ","BEST_FPERIOD_OVERRIDE=FQ","FILING_STATUS=MR","SCALING_FORMAT=MLN","Sort=A","Dates=H","DateFormat=P","Fill=—","Direction=H","UseDPDF=Y")</f>
        <v>67.590999999999994</v>
      </c>
      <c r="I35" s="12" cm="1">
        <f t="array" ref="I35">_xll.BDH("NUE US Equity","CF_CASH_FOR_JOINT_VENTURES_ASSOC","FQ1 2020","FQ1 2020","Currency=USD","Period=FQ","BEST_FPERIOD_OVERRIDE=FQ","FILING_STATUS=MR","SCALING_FORMAT=MLN","Sort=A","Dates=H","DateFormat=P","Fill=—","Direction=H","UseDPDF=Y")</f>
        <v>0</v>
      </c>
      <c r="J35" s="12" cm="1">
        <f t="array" ref="J35">_xll.BDH("NUE US Equity","CF_CASH_FOR_JOINT_VENTURES_ASSOC","FQ2 2020","FQ2 2020","Currency=USD","Period=FQ","BEST_FPERIOD_OVERRIDE=FQ","FILING_STATUS=MR","SCALING_FORMAT=MLN","Sort=A","Dates=H","DateFormat=P","Fill=—","Direction=H","UseDPDF=Y")</f>
        <v>0</v>
      </c>
      <c r="K35" s="12" cm="1">
        <f t="array" ref="K35">_xll.BDH("NUE US Equity","CF_CASH_FOR_JOINT_VENTURES_ASSOC","FQ3 2020","FQ3 2020","Currency=USD","Period=FQ","BEST_FPERIOD_OVERRIDE=FQ","FILING_STATUS=MR","SCALING_FORMAT=MLN","Sort=A","Dates=H","DateFormat=P","Fill=—","Direction=H","UseDPDF=Y")</f>
        <v>0</v>
      </c>
      <c r="L35" s="12" cm="1">
        <f t="array" ref="L35">_xll.BDH("NUE US Equity","CF_CASH_FOR_JOINT_VENTURES_ASSOC","FQ4 2020","FQ4 2020","Currency=USD","Period=FQ","BEST_FPERIOD_OVERRIDE=FQ","FILING_STATUS=MR","SCALING_FORMAT=MLN","Sort=A","Dates=H","DateFormat=P","Fill=—","Direction=H","UseDPDF=Y")</f>
        <v>0</v>
      </c>
      <c r="M35" s="12" cm="1">
        <f t="array" ref="M35">_xll.BDH("NUE US Equity","CF_CASH_FOR_JOINT_VENTURES_ASSOC","FQ1 2021","FQ1 2021","Currency=USD","Period=FQ","BEST_FPERIOD_OVERRIDE=FQ","FILING_STATUS=MR","SCALING_FORMAT=MLN","Sort=A","Dates=H","DateFormat=P","Fill=—","Direction=H","UseDPDF=Y")</f>
        <v>0</v>
      </c>
      <c r="N35" s="12" cm="1">
        <f t="array" ref="N35">_xll.BDH("NUE US Equity","CF_CASH_FOR_JOINT_VENTURES_ASSOC","FQ2 2021","FQ2 2021","Currency=USD","Period=FQ","BEST_FPERIOD_OVERRIDE=FQ","FILING_STATUS=MR","SCALING_FORMAT=MLN","Sort=A","Dates=H","DateFormat=P","Fill=—","Direction=H","UseDPDF=Y")</f>
        <v>0</v>
      </c>
      <c r="O35" s="12" cm="1">
        <f t="array" ref="O35">_xll.BDH("NUE US Equity","CF_CASH_FOR_JOINT_VENTURES_ASSOC","FQ3 2021","FQ3 2021","Currency=USD","Period=FQ","BEST_FPERIOD_OVERRIDE=FQ","FILING_STATUS=MR","SCALING_FORMAT=MLN","Sort=A","Dates=H","DateFormat=P","Fill=—","Direction=H","UseDPDF=Y")</f>
        <v>0</v>
      </c>
      <c r="P35" s="12" cm="1">
        <f t="array" ref="P35">_xll.BDH("NUE US Equity","CF_CASH_FOR_JOINT_VENTURES_ASSOC","FQ4 2021","FQ4 2021","Currency=USD","Period=FQ","BEST_FPERIOD_OVERRIDE=FQ","FILING_STATUS=MR","SCALING_FORMAT=MLN","Sort=A","Dates=H","DateFormat=P","Fill=—","Direction=H","UseDPDF=Y")</f>
        <v>0</v>
      </c>
      <c r="Q35" s="12" cm="1">
        <f t="array" ref="Q35">_xll.BDH("NUE US Equity","CF_CASH_FOR_JOINT_VENTURES_ASSOC","FQ1 2022","FQ1 2022","Currency=USD","Period=FQ","BEST_FPERIOD_OVERRIDE=FQ","FILING_STATUS=MR","SCALING_FORMAT=MLN","Sort=A","Dates=H","DateFormat=P","Fill=—","Direction=H","UseDPDF=Y")</f>
        <v>0</v>
      </c>
      <c r="R35" s="12" cm="1">
        <f t="array" ref="R35">_xll.BDH("NUE US Equity","CF_CASH_FOR_JOINT_VENTURES_ASSOC","FQ2 2022","FQ2 2022","Currency=USD","Period=FQ","BEST_FPERIOD_OVERRIDE=FQ","FILING_STATUS=MR","SCALING_FORMAT=MLN","Sort=A","Dates=H","DateFormat=P","Fill=—","Direction=H","UseDPDF=Y")</f>
        <v>0</v>
      </c>
      <c r="S35" s="12" cm="1">
        <f t="array" ref="S35">_xll.BDH("NUE US Equity","CF_CASH_FOR_JOINT_VENTURES_ASSOC","FQ3 2022","FQ3 2022","Currency=USD","Period=FQ","BEST_FPERIOD_OVERRIDE=FQ","FILING_STATUS=MR","SCALING_FORMAT=MLN","Sort=A","Dates=H","DateFormat=P","Fill=—","Direction=H","UseDPDF=Y")</f>
        <v>0</v>
      </c>
      <c r="T35" s="12" cm="1">
        <f t="array" ref="T35">_xll.BDH("NUE US Equity","CF_CASH_FOR_JOINT_VENTURES_ASSOC","FQ4 2022","FQ4 2022","Currency=USD","Period=FQ","BEST_FPERIOD_OVERRIDE=FQ","FILING_STATUS=MR","SCALING_FORMAT=MLN","Sort=A","Dates=H","DateFormat=P","Fill=—","Direction=H","UseDPDF=Y")</f>
        <v>99.680999999999997</v>
      </c>
      <c r="U35" s="12" cm="1">
        <f t="array" ref="U35">_xll.BDH("NUE US Equity","CF_CASH_FOR_JOINT_VENTURES_ASSOC","FQ1 2023","FQ1 2023","Currency=USD","Period=FQ","BEST_FPERIOD_OVERRIDE=FQ","FILING_STATUS=MR","SCALING_FORMAT=MLN","Sort=A","Dates=H","DateFormat=P","Fill=—","Direction=H","UseDPDF=Y")</f>
        <v>0</v>
      </c>
      <c r="V35" s="12" cm="1">
        <f t="array" ref="V35">_xll.BDH("NUE US Equity","CF_CASH_FOR_JOINT_VENTURES_ASSOC","FQ2 2023","FQ2 2023","Currency=USD","Period=FQ","BEST_FPERIOD_OVERRIDE=FQ","FILING_STATUS=MR","SCALING_FORMAT=MLN","Sort=A","Dates=H","DateFormat=P","Fill=—","Direction=H","UseDPDF=Y")</f>
        <v>0</v>
      </c>
      <c r="W35" s="12" cm="1">
        <f t="array" ref="W35">_xll.BDH("NUE US Equity","CF_CASH_FOR_JOINT_VENTURES_ASSOC","FQ3 2023","FQ3 2023","Currency=USD","Period=FQ","BEST_FPERIOD_OVERRIDE=FQ","FILING_STATUS=MR","SCALING_FORMAT=MLN","Sort=A","Dates=H","DateFormat=P","Fill=—","Direction=H","UseDPDF=Y")</f>
        <v>0</v>
      </c>
      <c r="X35" s="12" cm="1">
        <f t="array" ref="X35">_xll.BDH("NUE US Equity","CF_CASH_FOR_JOINT_VENTURES_ASSOC","FQ4 2023","FQ4 2023","Currency=USD","Period=FQ","BEST_FPERIOD_OVERRIDE=FQ","FILING_STATUS=MR","SCALING_FORMAT=MLN","Sort=A","Dates=H","DateFormat=P","Fill=—","Direction=H","UseDPDF=Y")</f>
        <v>0</v>
      </c>
      <c r="Y35" s="12" cm="1">
        <f t="array" ref="Y35">_xll.BDH("NUE US Equity","CF_CASH_FOR_JOINT_VENTURES_ASSOC","FQ1 2024","FQ1 2024","Currency=USD","Period=FQ","BEST_FPERIOD_OVERRIDE=FQ","FILING_STATUS=MR","SCALING_FORMAT=MLN","Sort=A","Dates=H","DateFormat=P","Fill=—","Direction=H","UseDPDF=Y")</f>
        <v>0</v>
      </c>
      <c r="Z35" s="12" cm="1">
        <f t="array" ref="Z35">_xll.BDH("NUE US Equity","CF_CASH_FOR_JOINT_VENTURES_ASSOC","FQ2 2024","FQ2 2024","Currency=USD","Period=FQ","BEST_FPERIOD_OVERRIDE=FQ","FILING_STATUS=MR","SCALING_FORMAT=MLN","Sort=A","Dates=H","DateFormat=P","Fill=—","Direction=H","UseDPDF=Y")</f>
        <v>0</v>
      </c>
      <c r="AA35" s="12" cm="1">
        <f t="array" ref="AA35">_xll.BDH("NUE US Equity","CF_CASH_FOR_JOINT_VENTURES_ASSOC","FQ3 2024","FQ3 2024","Currency=USD","Period=FQ","BEST_FPERIOD_OVERRIDE=FQ","FILING_STATUS=MR","SCALING_FORMAT=MLN","Sort=A","Dates=H","DateFormat=P","Fill=—","Direction=H","UseDPDF=Y")</f>
        <v>0</v>
      </c>
      <c r="AB35" s="12" cm="1">
        <f t="array" ref="AB35">_xll.BDH("NUE US Equity","CF_CASH_FOR_JOINT_VENTURES_ASSOC","FQ4 2024","FQ4 2024","Currency=USD","Period=FQ","BEST_FPERIOD_OVERRIDE=FQ","FILING_STATUS=MR","SCALING_FORMAT=MLN","Sort=A","Dates=H","DateFormat=P","Fill=—","Direction=H","UseDPDF=Y")</f>
        <v>7.9000000000000001E-2</v>
      </c>
      <c r="AC35" s="12" cm="1">
        <f t="array" ref="AC35">_xll.BDH("NUE US Equity","CF_CASH_FOR_JOINT_VENTURES_ASSOC","FQ1 2025","FQ1 2025","Currency=USD","Period=FQ","BEST_FPERIOD_OVERRIDE=FQ","FILING_STATUS=MR","SCALING_FORMAT=MLN","Sort=A","Dates=H","DateFormat=P","Fill=—","Direction=H","UseDPDF=Y")</f>
        <v>0</v>
      </c>
      <c r="AD35" s="12" cm="1">
        <f t="array" ref="AD35">_xll.BDH("NUE US Equity","CF_CASH_FOR_JOINT_VENTURES_ASSOC","FQ2 2025","FQ2 2025","Currency=USD","Period=FQ","BEST_FPERIOD_OVERRIDE=FQ","FILING_STATUS=MR","SCALING_FORMAT=MLN","Sort=A","Dates=H","DateFormat=P","Fill=—","Direction=H","UseDPDF=Y")</f>
        <v>0</v>
      </c>
      <c r="AE35" s="12" cm="1">
        <f t="array" ref="AE35">_xll.BDH("NUE US Equity","CF_CASH_FOR_JOINT_VENTURES_ASSOC","FQ3 2025","FQ3 2025","Currency=USD","Period=FQ","BEST_FPERIOD_OVERRIDE=FQ","FILING_STATUS=MR","SCALING_FORMAT=MLN","Sort=A","Dates=H","DateFormat=P","Fill=—","Direction=H","UseDPDF=Y")</f>
        <v>0</v>
      </c>
      <c r="AF35" s="12" cm="1">
        <f t="array" ref="AF35">_xll.BDH("NUE US Equity","CF_CASH_FOR_JOINT_VENTURES_ASSOC","FQ4 2025","FQ4 2025","Currency=USD","Period=FQ","BEST_FPERIOD_OVERRIDE=FQ","FILING_STATUS=MR","SCALING_FORMAT=MLN","Sort=A","Dates=H","DateFormat=P","Fill=—","Direction=H","UseDPDF=Y")</f>
        <v>2</v>
      </c>
    </row>
    <row r="36" spans="1:32" x14ac:dyDescent="0.25">
      <c r="A36" s="10" t="s">
        <v>120</v>
      </c>
      <c r="B36" s="10" t="s">
        <v>121</v>
      </c>
      <c r="C36" s="12" cm="1">
        <f t="array" ref="C36">_xll.BDH("NUE US Equity","OTHER_INVESTING_ACT_DETAILED","FQ3 2018","FQ3 2018","Currency=USD","Period=FQ","BEST_FPERIOD_OVERRIDE=FQ","FILING_STATUS=MR","SCALING_FORMAT=MLN","Sort=A","Dates=H","DateFormat=P","Fill=—","Direction=H","UseDPDF=Y")</f>
        <v>23.969000000000001</v>
      </c>
      <c r="D36" s="12" cm="1">
        <f t="array" ref="D36">_xll.BDH("NUE US Equity","OTHER_INVESTING_ACT_DETAILED","FQ4 2018","FQ4 2018","Currency=USD","Period=FQ","BEST_FPERIOD_OVERRIDE=FQ","FILING_STATUS=MR","SCALING_FORMAT=MLN","Sort=A","Dates=H","DateFormat=P","Fill=—","Direction=H","UseDPDF=Y")</f>
        <v>1E-3</v>
      </c>
      <c r="E36" s="12" cm="1">
        <f t="array" ref="E36">_xll.BDH("NUE US Equity","OTHER_INVESTING_ACT_DETAILED","FQ1 2019","FQ1 2019","Currency=USD","Period=FQ","BEST_FPERIOD_OVERRIDE=FQ","FILING_STATUS=MR","SCALING_FORMAT=MLN","Sort=A","Dates=H","DateFormat=P","Fill=—","Direction=H","UseDPDF=Y")</f>
        <v>-47.823999999999998</v>
      </c>
      <c r="F36" s="12" cm="1">
        <f t="array" ref="F36">_xll.BDH("NUE US Equity","OTHER_INVESTING_ACT_DETAILED","FQ2 2019","FQ2 2019","Currency=USD","Period=FQ","BEST_FPERIOD_OVERRIDE=FQ","FILING_STATUS=MR","SCALING_FORMAT=MLN","Sort=A","Dates=H","DateFormat=P","Fill=—","Direction=H","UseDPDF=Y")</f>
        <v>0</v>
      </c>
      <c r="G36" s="12" cm="1">
        <f t="array" ref="G36">_xll.BDH("NUE US Equity","OTHER_INVESTING_ACT_DETAILED","FQ3 2019","FQ3 2019","Currency=USD","Period=FQ","BEST_FPERIOD_OVERRIDE=FQ","FILING_STATUS=MR","SCALING_FORMAT=MLN","Sort=A","Dates=H","DateFormat=P","Fill=—","Direction=H","UseDPDF=Y")</f>
        <v>-199.61600000000001</v>
      </c>
      <c r="H36" s="12" cm="1">
        <f t="array" ref="H36">_xll.BDH("NUE US Equity","OTHER_INVESTING_ACT_DETAILED","FQ4 2019","FQ4 2019","Currency=USD","Period=FQ","BEST_FPERIOD_OVERRIDE=FQ","FILING_STATUS=MR","SCALING_FORMAT=MLN","Sort=A","Dates=H","DateFormat=P","Fill=—","Direction=H","UseDPDF=Y")</f>
        <v>-49.726999999999997</v>
      </c>
      <c r="I36" s="12" cm="1">
        <f t="array" ref="I36">_xll.BDH("NUE US Equity","OTHER_INVESTING_ACT_DETAILED","FQ1 2020","FQ1 2020","Currency=USD","Period=FQ","BEST_FPERIOD_OVERRIDE=FQ","FILING_STATUS=MR","SCALING_FORMAT=MLN","Sort=A","Dates=H","DateFormat=P","Fill=—","Direction=H","UseDPDF=Y")</f>
        <v>154.57599999999999</v>
      </c>
      <c r="J36" s="12" cm="1">
        <f t="array" ref="J36">_xll.BDH("NUE US Equity","OTHER_INVESTING_ACT_DETAILED","FQ2 2020","FQ2 2020","Currency=USD","Period=FQ","BEST_FPERIOD_OVERRIDE=FQ","FILING_STATUS=MR","SCALING_FORMAT=MLN","Sort=A","Dates=H","DateFormat=P","Fill=—","Direction=H","UseDPDF=Y")</f>
        <v>-100.877</v>
      </c>
      <c r="K36" s="12" cm="1">
        <f t="array" ref="K36">_xll.BDH("NUE US Equity","OTHER_INVESTING_ACT_DETAILED","FQ3 2020","FQ3 2020","Currency=USD","Period=FQ","BEST_FPERIOD_OVERRIDE=FQ","FILING_STATUS=MR","SCALING_FORMAT=MLN","Sort=A","Dates=H","DateFormat=P","Fill=—","Direction=H","UseDPDF=Y")</f>
        <v>-187.97200000000001</v>
      </c>
      <c r="L36" s="12" cm="1">
        <f t="array" ref="L36">_xll.BDH("NUE US Equity","OTHER_INVESTING_ACT_DETAILED","FQ4 2020","FQ4 2020","Currency=USD","Period=FQ","BEST_FPERIOD_OVERRIDE=FQ","FILING_STATUS=MR","SCALING_FORMAT=MLN","Sort=A","Dates=H","DateFormat=P","Fill=—","Direction=H","UseDPDF=Y")</f>
        <v>4.7629999999999999</v>
      </c>
      <c r="M36" s="12" cm="1">
        <f t="array" ref="M36">_xll.BDH("NUE US Equity","OTHER_INVESTING_ACT_DETAILED","FQ1 2021","FQ1 2021","Currency=USD","Period=FQ","BEST_FPERIOD_OVERRIDE=FQ","FILING_STATUS=MR","SCALING_FORMAT=MLN","Sort=A","Dates=H","DateFormat=P","Fill=—","Direction=H","UseDPDF=Y")</f>
        <v>5.4809999999999999</v>
      </c>
      <c r="N36" s="12" cm="1">
        <f t="array" ref="N36">_xll.BDH("NUE US Equity","OTHER_INVESTING_ACT_DETAILED","FQ2 2021","FQ2 2021","Currency=USD","Period=FQ","BEST_FPERIOD_OVERRIDE=FQ","FILING_STATUS=MR","SCALING_FORMAT=MLN","Sort=A","Dates=H","DateFormat=P","Fill=—","Direction=H","UseDPDF=Y")</f>
        <v>4.7009999999999996</v>
      </c>
      <c r="O36" s="12" cm="1">
        <f t="array" ref="O36">_xll.BDH("NUE US Equity","OTHER_INVESTING_ACT_DETAILED","FQ3 2021","FQ3 2021","Currency=USD","Period=FQ","BEST_FPERIOD_OVERRIDE=FQ","FILING_STATUS=MR","SCALING_FORMAT=MLN","Sort=A","Dates=H","DateFormat=P","Fill=—","Direction=H","UseDPDF=Y")</f>
        <v>151.61699999999999</v>
      </c>
      <c r="P36" s="12" cm="1">
        <f t="array" ref="P36">_xll.BDH("NUE US Equity","OTHER_INVESTING_ACT_DETAILED","FQ4 2021","FQ4 2021","Currency=USD","Period=FQ","BEST_FPERIOD_OVERRIDE=FQ","FILING_STATUS=MR","SCALING_FORMAT=MLN","Sort=A","Dates=H","DateFormat=P","Fill=—","Direction=H","UseDPDF=Y")</f>
        <v>-6.52</v>
      </c>
      <c r="Q36" s="12" cm="1">
        <f t="array" ref="Q36">_xll.BDH("NUE US Equity","OTHER_INVESTING_ACT_DETAILED","FQ1 2022","FQ1 2022","Currency=USD","Period=FQ","BEST_FPERIOD_OVERRIDE=FQ","FILING_STATUS=MR","SCALING_FORMAT=MLN","Sort=A","Dates=H","DateFormat=P","Fill=—","Direction=H","UseDPDF=Y")</f>
        <v>-194.11</v>
      </c>
      <c r="R36" s="12" cm="1">
        <f t="array" ref="R36">_xll.BDH("NUE US Equity","OTHER_INVESTING_ACT_DETAILED","FQ2 2022","FQ2 2022","Currency=USD","Period=FQ","BEST_FPERIOD_OVERRIDE=FQ","FILING_STATUS=MR","SCALING_FORMAT=MLN","Sort=A","Dates=H","DateFormat=P","Fill=—","Direction=H","UseDPDF=Y")</f>
        <v>76.731999999999999</v>
      </c>
      <c r="S36" s="12" cm="1">
        <f t="array" ref="S36">_xll.BDH("NUE US Equity","OTHER_INVESTING_ACT_DETAILED","FQ3 2022","FQ3 2022","Currency=USD","Period=FQ","BEST_FPERIOD_OVERRIDE=FQ","FILING_STATUS=MR","SCALING_FORMAT=MLN","Sort=A","Dates=H","DateFormat=P","Fill=—","Direction=H","UseDPDF=Y")</f>
        <v>-16.638999999999999</v>
      </c>
      <c r="T36" s="12" cm="1">
        <f t="array" ref="T36">_xll.BDH("NUE US Equity","OTHER_INVESTING_ACT_DETAILED","FQ4 2022","FQ4 2022","Currency=USD","Period=FQ","BEST_FPERIOD_OVERRIDE=FQ","FILING_STATUS=MR","SCALING_FORMAT=MLN","Sort=A","Dates=H","DateFormat=P","Fill=—","Direction=H","UseDPDF=Y")</f>
        <v>-199.304</v>
      </c>
      <c r="U36" s="12" cm="1">
        <f t="array" ref="U36">_xll.BDH("NUE US Equity","OTHER_INVESTING_ACT_DETAILED","FQ1 2023","FQ1 2023","Currency=USD","Period=FQ","BEST_FPERIOD_OVERRIDE=FQ","FILING_STATUS=MR","SCALING_FORMAT=MLN","Sort=A","Dates=H","DateFormat=P","Fill=—","Direction=H","UseDPDF=Y")</f>
        <v>-240.32599999999999</v>
      </c>
      <c r="V36" s="12" cm="1">
        <f t="array" ref="V36">_xll.BDH("NUE US Equity","OTHER_INVESTING_ACT_DETAILED","FQ2 2023","FQ2 2023","Currency=USD","Period=FQ","BEST_FPERIOD_OVERRIDE=FQ","FILING_STATUS=MR","SCALING_FORMAT=MLN","Sort=A","Dates=H","DateFormat=P","Fill=—","Direction=H","UseDPDF=Y")</f>
        <v>-52.459000000000003</v>
      </c>
      <c r="W36" s="12" cm="1">
        <f t="array" ref="W36">_xll.BDH("NUE US Equity","OTHER_INVESTING_ACT_DETAILED","FQ3 2023","FQ3 2023","Currency=USD","Period=FQ","BEST_FPERIOD_OVERRIDE=FQ","FILING_STATUS=MR","SCALING_FORMAT=MLN","Sort=A","Dates=H","DateFormat=P","Fill=—","Direction=H","UseDPDF=Y")</f>
        <v>-25.02</v>
      </c>
      <c r="X36" s="12" cm="1">
        <f t="array" ref="X36">_xll.BDH("NUE US Equity","OTHER_INVESTING_ACT_DETAILED","FQ4 2023","FQ4 2023","Currency=USD","Period=FQ","BEST_FPERIOD_OVERRIDE=FQ","FILING_STATUS=MR","SCALING_FORMAT=MLN","Sort=A","Dates=H","DateFormat=P","Fill=—","Direction=H","UseDPDF=Y")</f>
        <v>126.58499999999999</v>
      </c>
      <c r="Y36" s="12" cm="1">
        <f t="array" ref="Y36">_xll.BDH("NUE US Equity","OTHER_INVESTING_ACT_DETAILED","FQ1 2024","FQ1 2024","Currency=USD","Period=FQ","BEST_FPERIOD_OVERRIDE=FQ","FILING_STATUS=MR","SCALING_FORMAT=MLN","Sort=A","Dates=H","DateFormat=P","Fill=—","Direction=H","UseDPDF=Y")</f>
        <v>-224.739</v>
      </c>
      <c r="Z36" s="12" cm="1">
        <f t="array" ref="Z36">_xll.BDH("NUE US Equity","OTHER_INVESTING_ACT_DETAILED","FQ2 2024","FQ2 2024","Currency=USD","Period=FQ","BEST_FPERIOD_OVERRIDE=FQ","FILING_STATUS=MR","SCALING_FORMAT=MLN","Sort=A","Dates=H","DateFormat=P","Fill=—","Direction=H","UseDPDF=Y")</f>
        <v>195.136</v>
      </c>
      <c r="AA36" s="12" cm="1">
        <f t="array" ref="AA36">_xll.BDH("NUE US Equity","OTHER_INVESTING_ACT_DETAILED","FQ3 2024","FQ3 2024","Currency=USD","Period=FQ","BEST_FPERIOD_OVERRIDE=FQ","FILING_STATUS=MR","SCALING_FORMAT=MLN","Sort=A","Dates=H","DateFormat=P","Fill=—","Direction=H","UseDPDF=Y")</f>
        <v>212.24600000000001</v>
      </c>
      <c r="AB36" s="12" cm="1">
        <f t="array" ref="AB36">_xll.BDH("NUE US Equity","OTHER_INVESTING_ACT_DETAILED","FQ4 2024","FQ4 2024","Currency=USD","Period=FQ","BEST_FPERIOD_OVERRIDE=FQ","FILING_STATUS=MR","SCALING_FORMAT=MLN","Sort=A","Dates=H","DateFormat=P","Fill=—","Direction=H","UseDPDF=Y")</f>
        <v>-3.6429999999999998</v>
      </c>
      <c r="AC36" s="12" cm="1">
        <f t="array" ref="AC36">_xll.BDH("NUE US Equity","OTHER_INVESTING_ACT_DETAILED","FQ1 2025","FQ1 2025","Currency=USD","Period=FQ","BEST_FPERIOD_OVERRIDE=FQ","FILING_STATUS=MR","SCALING_FORMAT=MLN","Sort=A","Dates=H","DateFormat=P","Fill=—","Direction=H","UseDPDF=Y")</f>
        <v>-323</v>
      </c>
      <c r="AD36" s="12" cm="1">
        <f t="array" ref="AD36">_xll.BDH("NUE US Equity","OTHER_INVESTING_ACT_DETAILED","FQ2 2025","FQ2 2025","Currency=USD","Period=FQ","BEST_FPERIOD_OVERRIDE=FQ","FILING_STATUS=MR","SCALING_FORMAT=MLN","Sort=A","Dates=H","DateFormat=P","Fill=—","Direction=H","UseDPDF=Y")</f>
        <v>376</v>
      </c>
      <c r="AE36" s="12" cm="1">
        <f t="array" ref="AE36">_xll.BDH("NUE US Equity","OTHER_INVESTING_ACT_DETAILED","FQ3 2025","FQ3 2025","Currency=USD","Period=FQ","BEST_FPERIOD_OVERRIDE=FQ","FILING_STATUS=MR","SCALING_FORMAT=MLN","Sort=A","Dates=H","DateFormat=P","Fill=—","Direction=H","UseDPDF=Y")</f>
        <v>17</v>
      </c>
      <c r="AF36" s="12" cm="1">
        <f t="array" ref="AF36">_xll.BDH("NUE US Equity","OTHER_INVESTING_ACT_DETAILED","FQ4 2025","FQ4 2025","Currency=USD","Period=FQ","BEST_FPERIOD_OVERRIDE=FQ","FILING_STATUS=MR","SCALING_FORMAT=MLN","Sort=A","Dates=H","DateFormat=P","Fill=—","Direction=H","UseDPDF=Y")</f>
        <v>84</v>
      </c>
    </row>
    <row r="37" spans="1:32" x14ac:dyDescent="0.25">
      <c r="A37" s="10" t="s">
        <v>88</v>
      </c>
      <c r="B37" s="10" t="s">
        <v>122</v>
      </c>
      <c r="C37" s="12" cm="1">
        <f t="array" ref="C37">_xll.BDH("NUE US Equity","CF_NET_CASH_DISCONTINUED_OPS_INV","FQ3 2018","FQ3 2018","Currency=USD","Period=FQ","BEST_FPERIOD_OVERRIDE=FQ","FILING_STATUS=MR","SCALING_FORMAT=MLN","Sort=A","Dates=H","DateFormat=P","Fill=—","Direction=H","UseDPDF=Y")</f>
        <v>0</v>
      </c>
      <c r="D37" s="12" cm="1">
        <f t="array" ref="D37">_xll.BDH("NUE US Equity","CF_NET_CASH_DISCONTINUED_OPS_INV","FQ4 2018","FQ4 2018","Currency=USD","Period=FQ","BEST_FPERIOD_OVERRIDE=FQ","FILING_STATUS=MR","SCALING_FORMAT=MLN","Sort=A","Dates=H","DateFormat=P","Fill=—","Direction=H","UseDPDF=Y")</f>
        <v>0</v>
      </c>
      <c r="E37" s="12" cm="1">
        <f t="array" ref="E37">_xll.BDH("NUE US Equity","CF_NET_CASH_DISCONTINUED_OPS_INV","FQ1 2019","FQ1 2019","Currency=USD","Period=FQ","BEST_FPERIOD_OVERRIDE=FQ","FILING_STATUS=MR","SCALING_FORMAT=MLN","Sort=A","Dates=H","DateFormat=P","Fill=—","Direction=H","UseDPDF=Y")</f>
        <v>0</v>
      </c>
      <c r="F37" s="12" cm="1">
        <f t="array" ref="F37">_xll.BDH("NUE US Equity","CF_NET_CASH_DISCONTINUED_OPS_INV","FQ2 2019","FQ2 2019","Currency=USD","Period=FQ","BEST_FPERIOD_OVERRIDE=FQ","FILING_STATUS=MR","SCALING_FORMAT=MLN","Sort=A","Dates=H","DateFormat=P","Fill=—","Direction=H","UseDPDF=Y")</f>
        <v>0</v>
      </c>
      <c r="G37" s="12" cm="1">
        <f t="array" ref="G37">_xll.BDH("NUE US Equity","CF_NET_CASH_DISCONTINUED_OPS_INV","FQ3 2019","FQ3 2019","Currency=USD","Period=FQ","BEST_FPERIOD_OVERRIDE=FQ","FILING_STATUS=MR","SCALING_FORMAT=MLN","Sort=A","Dates=H","DateFormat=P","Fill=—","Direction=H","UseDPDF=Y")</f>
        <v>0</v>
      </c>
      <c r="H37" s="12" cm="1">
        <f t="array" ref="H37">_xll.BDH("NUE US Equity","CF_NET_CASH_DISCONTINUED_OPS_INV","FQ4 2019","FQ4 2019","Currency=USD","Period=FQ","BEST_FPERIOD_OVERRIDE=FQ","FILING_STATUS=MR","SCALING_FORMAT=MLN","Sort=A","Dates=H","DateFormat=P","Fill=—","Direction=H","UseDPDF=Y")</f>
        <v>0</v>
      </c>
      <c r="I37" s="12" cm="1">
        <f t="array" ref="I37">_xll.BDH("NUE US Equity","CF_NET_CASH_DISCONTINUED_OPS_INV","FQ1 2020","FQ1 2020","Currency=USD","Period=FQ","BEST_FPERIOD_OVERRIDE=FQ","FILING_STATUS=MR","SCALING_FORMAT=MLN","Sort=A","Dates=H","DateFormat=P","Fill=—","Direction=H","UseDPDF=Y")</f>
        <v>0</v>
      </c>
      <c r="J37" s="12" cm="1">
        <f t="array" ref="J37">_xll.BDH("NUE US Equity","CF_NET_CASH_DISCONTINUED_OPS_INV","FQ2 2020","FQ2 2020","Currency=USD","Period=FQ","BEST_FPERIOD_OVERRIDE=FQ","FILING_STATUS=MR","SCALING_FORMAT=MLN","Sort=A","Dates=H","DateFormat=P","Fill=—","Direction=H","UseDPDF=Y")</f>
        <v>0</v>
      </c>
      <c r="K37" s="12" cm="1">
        <f t="array" ref="K37">_xll.BDH("NUE US Equity","CF_NET_CASH_DISCONTINUED_OPS_INV","FQ3 2020","FQ3 2020","Currency=USD","Period=FQ","BEST_FPERIOD_OVERRIDE=FQ","FILING_STATUS=MR","SCALING_FORMAT=MLN","Sort=A","Dates=H","DateFormat=P","Fill=—","Direction=H","UseDPDF=Y")</f>
        <v>0</v>
      </c>
      <c r="L37" s="12" cm="1">
        <f t="array" ref="L37">_xll.BDH("NUE US Equity","CF_NET_CASH_DISCONTINUED_OPS_INV","FQ4 2020","FQ4 2020","Currency=USD","Period=FQ","BEST_FPERIOD_OVERRIDE=FQ","FILING_STATUS=MR","SCALING_FORMAT=MLN","Sort=A","Dates=H","DateFormat=P","Fill=—","Direction=H","UseDPDF=Y")</f>
        <v>0</v>
      </c>
      <c r="M37" s="12" cm="1">
        <f t="array" ref="M37">_xll.BDH("NUE US Equity","CF_NET_CASH_DISCONTINUED_OPS_INV","FQ1 2021","FQ1 2021","Currency=USD","Period=FQ","BEST_FPERIOD_OVERRIDE=FQ","FILING_STATUS=MR","SCALING_FORMAT=MLN","Sort=A","Dates=H","DateFormat=P","Fill=—","Direction=H","UseDPDF=Y")</f>
        <v>0</v>
      </c>
      <c r="N37" s="12" cm="1">
        <f t="array" ref="N37">_xll.BDH("NUE US Equity","CF_NET_CASH_DISCONTINUED_OPS_INV","FQ2 2021","FQ2 2021","Currency=USD","Period=FQ","BEST_FPERIOD_OVERRIDE=FQ","FILING_STATUS=MR","SCALING_FORMAT=MLN","Sort=A","Dates=H","DateFormat=P","Fill=—","Direction=H","UseDPDF=Y")</f>
        <v>0</v>
      </c>
      <c r="O37" s="12" cm="1">
        <f t="array" ref="O37">_xll.BDH("NUE US Equity","CF_NET_CASH_DISCONTINUED_OPS_INV","FQ3 2021","FQ3 2021","Currency=USD","Period=FQ","BEST_FPERIOD_OVERRIDE=FQ","FILING_STATUS=MR","SCALING_FORMAT=MLN","Sort=A","Dates=H","DateFormat=P","Fill=—","Direction=H","UseDPDF=Y")</f>
        <v>0</v>
      </c>
      <c r="P37" s="12" cm="1">
        <f t="array" ref="P37">_xll.BDH("NUE US Equity","CF_NET_CASH_DISCONTINUED_OPS_INV","FQ4 2021","FQ4 2021","Currency=USD","Period=FQ","BEST_FPERIOD_OVERRIDE=FQ","FILING_STATUS=MR","SCALING_FORMAT=MLN","Sort=A","Dates=H","DateFormat=P","Fill=—","Direction=H","UseDPDF=Y")</f>
        <v>0</v>
      </c>
      <c r="Q37" s="12" cm="1">
        <f t="array" ref="Q37">_xll.BDH("NUE US Equity","CF_NET_CASH_DISCONTINUED_OPS_INV","FQ1 2022","FQ1 2022","Currency=USD","Period=FQ","BEST_FPERIOD_OVERRIDE=FQ","FILING_STATUS=MR","SCALING_FORMAT=MLN","Sort=A","Dates=H","DateFormat=P","Fill=—","Direction=H","UseDPDF=Y")</f>
        <v>0</v>
      </c>
      <c r="R37" s="12" cm="1">
        <f t="array" ref="R37">_xll.BDH("NUE US Equity","CF_NET_CASH_DISCONTINUED_OPS_INV","FQ2 2022","FQ2 2022","Currency=USD","Period=FQ","BEST_FPERIOD_OVERRIDE=FQ","FILING_STATUS=MR","SCALING_FORMAT=MLN","Sort=A","Dates=H","DateFormat=P","Fill=—","Direction=H","UseDPDF=Y")</f>
        <v>0</v>
      </c>
      <c r="S37" s="12" cm="1">
        <f t="array" ref="S37">_xll.BDH("NUE US Equity","CF_NET_CASH_DISCONTINUED_OPS_INV","FQ3 2022","FQ3 2022","Currency=USD","Period=FQ","BEST_FPERIOD_OVERRIDE=FQ","FILING_STATUS=MR","SCALING_FORMAT=MLN","Sort=A","Dates=H","DateFormat=P","Fill=—","Direction=H","UseDPDF=Y")</f>
        <v>0</v>
      </c>
      <c r="T37" s="12" cm="1">
        <f t="array" ref="T37">_xll.BDH("NUE US Equity","CF_NET_CASH_DISCONTINUED_OPS_INV","FQ4 2022","FQ4 2022","Currency=USD","Period=FQ","BEST_FPERIOD_OVERRIDE=FQ","FILING_STATUS=MR","SCALING_FORMAT=MLN","Sort=A","Dates=H","DateFormat=P","Fill=—","Direction=H","UseDPDF=Y")</f>
        <v>0</v>
      </c>
      <c r="U37" s="12" cm="1">
        <f t="array" ref="U37">_xll.BDH("NUE US Equity","CF_NET_CASH_DISCONTINUED_OPS_INV","FQ1 2023","FQ1 2023","Currency=USD","Period=FQ","BEST_FPERIOD_OVERRIDE=FQ","FILING_STATUS=MR","SCALING_FORMAT=MLN","Sort=A","Dates=H","DateFormat=P","Fill=—","Direction=H","UseDPDF=Y")</f>
        <v>0</v>
      </c>
      <c r="V37" s="12" cm="1">
        <f t="array" ref="V37">_xll.BDH("NUE US Equity","CF_NET_CASH_DISCONTINUED_OPS_INV","FQ2 2023","FQ2 2023","Currency=USD","Period=FQ","BEST_FPERIOD_OVERRIDE=FQ","FILING_STATUS=MR","SCALING_FORMAT=MLN","Sort=A","Dates=H","DateFormat=P","Fill=—","Direction=H","UseDPDF=Y")</f>
        <v>0</v>
      </c>
      <c r="W37" s="12" cm="1">
        <f t="array" ref="W37">_xll.BDH("NUE US Equity","CF_NET_CASH_DISCONTINUED_OPS_INV","FQ3 2023","FQ3 2023","Currency=USD","Period=FQ","BEST_FPERIOD_OVERRIDE=FQ","FILING_STATUS=MR","SCALING_FORMAT=MLN","Sort=A","Dates=H","DateFormat=P","Fill=—","Direction=H","UseDPDF=Y")</f>
        <v>0</v>
      </c>
      <c r="X37" s="12" cm="1">
        <f t="array" ref="X37">_xll.BDH("NUE US Equity","CF_NET_CASH_DISCONTINUED_OPS_INV","FQ4 2023","FQ4 2023","Currency=USD","Period=FQ","BEST_FPERIOD_OVERRIDE=FQ","FILING_STATUS=MR","SCALING_FORMAT=MLN","Sort=A","Dates=H","DateFormat=P","Fill=—","Direction=H","UseDPDF=Y")</f>
        <v>0</v>
      </c>
      <c r="Y37" s="12" cm="1">
        <f t="array" ref="Y37">_xll.BDH("NUE US Equity","CF_NET_CASH_DISCONTINUED_OPS_INV","FQ1 2024","FQ1 2024","Currency=USD","Period=FQ","BEST_FPERIOD_OVERRIDE=FQ","FILING_STATUS=MR","SCALING_FORMAT=MLN","Sort=A","Dates=H","DateFormat=P","Fill=—","Direction=H","UseDPDF=Y")</f>
        <v>0</v>
      </c>
      <c r="Z37" s="12" cm="1">
        <f t="array" ref="Z37">_xll.BDH("NUE US Equity","CF_NET_CASH_DISCONTINUED_OPS_INV","FQ2 2024","FQ2 2024","Currency=USD","Period=FQ","BEST_FPERIOD_OVERRIDE=FQ","FILING_STATUS=MR","SCALING_FORMAT=MLN","Sort=A","Dates=H","DateFormat=P","Fill=—","Direction=H","UseDPDF=Y")</f>
        <v>0</v>
      </c>
      <c r="AA37" s="12" cm="1">
        <f t="array" ref="AA37">_xll.BDH("NUE US Equity","CF_NET_CASH_DISCONTINUED_OPS_INV","FQ3 2024","FQ3 2024","Currency=USD","Period=FQ","BEST_FPERIOD_OVERRIDE=FQ","FILING_STATUS=MR","SCALING_FORMAT=MLN","Sort=A","Dates=H","DateFormat=P","Fill=—","Direction=H","UseDPDF=Y")</f>
        <v>0</v>
      </c>
      <c r="AB37" s="12" cm="1">
        <f t="array" ref="AB37">_xll.BDH("NUE US Equity","CF_NET_CASH_DISCONTINUED_OPS_INV","FQ4 2024","FQ4 2024","Currency=USD","Period=FQ","BEST_FPERIOD_OVERRIDE=FQ","FILING_STATUS=MR","SCALING_FORMAT=MLN","Sort=A","Dates=H","DateFormat=P","Fill=—","Direction=H","UseDPDF=Y")</f>
        <v>0</v>
      </c>
      <c r="AC37" s="12" cm="1">
        <f t="array" ref="AC37">_xll.BDH("NUE US Equity","CF_NET_CASH_DISCONTINUED_OPS_INV","FQ1 2025","FQ1 2025","Currency=USD","Period=FQ","BEST_FPERIOD_OVERRIDE=FQ","FILING_STATUS=MR","SCALING_FORMAT=MLN","Sort=A","Dates=H","DateFormat=P","Fill=—","Direction=H","UseDPDF=Y")</f>
        <v>0</v>
      </c>
      <c r="AD37" s="12" cm="1">
        <f t="array" ref="AD37">_xll.BDH("NUE US Equity","CF_NET_CASH_DISCONTINUED_OPS_INV","FQ2 2025","FQ2 2025","Currency=USD","Period=FQ","BEST_FPERIOD_OVERRIDE=FQ","FILING_STATUS=MR","SCALING_FORMAT=MLN","Sort=A","Dates=H","DateFormat=P","Fill=—","Direction=H","UseDPDF=Y")</f>
        <v>0</v>
      </c>
      <c r="AE37" s="12" cm="1">
        <f t="array" ref="AE37">_xll.BDH("NUE US Equity","CF_NET_CASH_DISCONTINUED_OPS_INV","FQ3 2025","FQ3 2025","Currency=USD","Period=FQ","BEST_FPERIOD_OVERRIDE=FQ","FILING_STATUS=MR","SCALING_FORMAT=MLN","Sort=A","Dates=H","DateFormat=P","Fill=—","Direction=H","UseDPDF=Y")</f>
        <v>0</v>
      </c>
      <c r="AF37" s="12" cm="1">
        <f t="array" ref="AF37">_xll.BDH("NUE US Equity","CF_NET_CASH_DISCONTINUED_OPS_INV","FQ4 2025","FQ4 2025","Currency=USD","Period=FQ","BEST_FPERIOD_OVERRIDE=FQ","FILING_STATUS=MR","SCALING_FORMAT=MLN","Sort=A","Dates=H","DateFormat=P","Fill=—","Direction=H","UseDPDF=Y")</f>
        <v>0</v>
      </c>
    </row>
    <row r="38" spans="1:32" x14ac:dyDescent="0.25">
      <c r="A38" s="6" t="s">
        <v>91</v>
      </c>
      <c r="B38" s="6" t="s">
        <v>123</v>
      </c>
      <c r="C38" s="15" cm="1">
        <f t="array" ref="C38">_xll.BDH("NUE US Equity","CF_CASH_FROM_INV_ACT","FQ3 2018","FQ3 2018","Currency=USD","Period=FQ","BEST_FPERIOD_OVERRIDE=FQ","FILING_STATUS=MR","SCALING_FORMAT=MLN","Sort=A","Dates=H","DateFormat=P","Fill=—","Direction=H","UseDPDF=Y")</f>
        <v>-266.73</v>
      </c>
      <c r="D38" s="15" cm="1">
        <f t="array" ref="D38">_xll.BDH("NUE US Equity","CF_CASH_FROM_INV_ACT","FQ4 2018","FQ4 2018","Currency=USD","Period=FQ","BEST_FPERIOD_OVERRIDE=FQ","FILING_STATUS=MR","SCALING_FORMAT=MLN","Sort=A","Dates=H","DateFormat=P","Fill=—","Direction=H","UseDPDF=Y")</f>
        <v>-397.101</v>
      </c>
      <c r="E38" s="15" cm="1">
        <f t="array" ref="E38">_xll.BDH("NUE US Equity","CF_CASH_FROM_INV_ACT","FQ1 2019","FQ1 2019","Currency=USD","Period=FQ","BEST_FPERIOD_OVERRIDE=FQ","FILING_STATUS=MR","SCALING_FORMAT=MLN","Sort=A","Dates=H","DateFormat=P","Fill=—","Direction=H","UseDPDF=Y")</f>
        <v>-265.63299999999998</v>
      </c>
      <c r="F38" s="15" cm="1">
        <f t="array" ref="F38">_xll.BDH("NUE US Equity","CF_CASH_FROM_INV_ACT","FQ2 2019","FQ2 2019","Currency=USD","Period=FQ","BEST_FPERIOD_OVERRIDE=FQ","FILING_STATUS=MR","SCALING_FORMAT=MLN","Sort=A","Dates=H","DateFormat=P","Fill=—","Direction=H","UseDPDF=Y")</f>
        <v>-366.81599999999997</v>
      </c>
      <c r="G38" s="15" cm="1">
        <f t="array" ref="G38">_xll.BDH("NUE US Equity","CF_CASH_FROM_INV_ACT","FQ3 2019","FQ3 2019","Currency=USD","Period=FQ","BEST_FPERIOD_OVERRIDE=FQ","FILING_STATUS=MR","SCALING_FORMAT=MLN","Sort=A","Dates=H","DateFormat=P","Fill=—","Direction=H","UseDPDF=Y")</f>
        <v>-536.23199999999997</v>
      </c>
      <c r="H38" s="15" cm="1">
        <f t="array" ref="H38">_xll.BDH("NUE US Equity","CF_CASH_FROM_INV_ACT","FQ4 2019","FQ4 2019","Currency=USD","Period=FQ","BEST_FPERIOD_OVERRIDE=FQ","FILING_STATUS=MR","SCALING_FORMAT=MLN","Sort=A","Dates=H","DateFormat=P","Fill=—","Direction=H","UseDPDF=Y")</f>
        <v>-625.51</v>
      </c>
      <c r="I38" s="15" cm="1">
        <f t="array" ref="I38">_xll.BDH("NUE US Equity","CF_CASH_FROM_INV_ACT","FQ1 2020","FQ1 2020","Currency=USD","Period=FQ","BEST_FPERIOD_OVERRIDE=FQ","FILING_STATUS=MR","SCALING_FORMAT=MLN","Sort=A","Dates=H","DateFormat=P","Fill=—","Direction=H","UseDPDF=Y")</f>
        <v>-254.87700000000001</v>
      </c>
      <c r="J38" s="15" cm="1">
        <f t="array" ref="J38">_xll.BDH("NUE US Equity","CF_CASH_FROM_INV_ACT","FQ2 2020","FQ2 2020","Currency=USD","Period=FQ","BEST_FPERIOD_OVERRIDE=FQ","FILING_STATUS=MR","SCALING_FORMAT=MLN","Sort=A","Dates=H","DateFormat=P","Fill=—","Direction=H","UseDPDF=Y")</f>
        <v>-460.05099999999999</v>
      </c>
      <c r="K38" s="15" cm="1">
        <f t="array" ref="K38">_xll.BDH("NUE US Equity","CF_CASH_FROM_INV_ACT","FQ3 2020","FQ3 2020","Currency=USD","Period=FQ","BEST_FPERIOD_OVERRIDE=FQ","FILING_STATUS=MR","SCALING_FORMAT=MLN","Sort=A","Dates=H","DateFormat=P","Fill=—","Direction=H","UseDPDF=Y")</f>
        <v>-615.84400000000005</v>
      </c>
      <c r="L38" s="15" cm="1">
        <f t="array" ref="L38">_xll.BDH("NUE US Equity","CF_CASH_FROM_INV_ACT","FQ4 2020","FQ4 2020","Currency=USD","Period=FQ","BEST_FPERIOD_OVERRIDE=FQ","FILING_STATUS=MR","SCALING_FORMAT=MLN","Sort=A","Dates=H","DateFormat=P","Fill=—","Direction=H","UseDPDF=Y")</f>
        <v>-433.52199999999999</v>
      </c>
      <c r="M38" s="15" cm="1">
        <f t="array" ref="M38">_xll.BDH("NUE US Equity","CF_CASH_FROM_INV_ACT","FQ1 2021","FQ1 2021","Currency=USD","Period=FQ","BEST_FPERIOD_OVERRIDE=FQ","FILING_STATUS=MR","SCALING_FORMAT=MLN","Sort=A","Dates=H","DateFormat=P","Fill=—","Direction=H","UseDPDF=Y")</f>
        <v>-301.99400000000003</v>
      </c>
      <c r="N38" s="15" cm="1">
        <f t="array" ref="N38">_xll.BDH("NUE US Equity","CF_CASH_FROM_INV_ACT","FQ2 2021","FQ2 2021","Currency=USD","Period=FQ","BEST_FPERIOD_OVERRIDE=FQ","FILING_STATUS=MR","SCALING_FORMAT=MLN","Sort=A","Dates=H","DateFormat=P","Fill=—","Direction=H","UseDPDF=Y")</f>
        <v>-379.40600000000001</v>
      </c>
      <c r="O38" s="15" cm="1">
        <f t="array" ref="O38">_xll.BDH("NUE US Equity","CF_CASH_FROM_INV_ACT","FQ3 2021","FQ3 2021","Currency=USD","Period=FQ","BEST_FPERIOD_OVERRIDE=FQ","FILING_STATUS=MR","SCALING_FORMAT=MLN","Sort=A","Dates=H","DateFormat=P","Fill=—","Direction=H","UseDPDF=Y")</f>
        <v>-1695.1089999999999</v>
      </c>
      <c r="P38" s="15" cm="1">
        <f t="array" ref="P38">_xll.BDH("NUE US Equity","CF_CASH_FROM_INV_ACT","FQ4 2021","FQ4 2021","Currency=USD","Period=FQ","BEST_FPERIOD_OVERRIDE=FQ","FILING_STATUS=MR","SCALING_FORMAT=MLN","Sort=A","Dates=H","DateFormat=P","Fill=—","Direction=H","UseDPDF=Y")</f>
        <v>-497.34300000000002</v>
      </c>
      <c r="Q38" s="15" cm="1">
        <f t="array" ref="Q38">_xll.BDH("NUE US Equity","CF_CASH_FROM_INV_ACT","FQ1 2022","FQ1 2022","Currency=USD","Period=FQ","BEST_FPERIOD_OVERRIDE=FQ","FILING_STATUS=MR","SCALING_FORMAT=MLN","Sort=A","Dates=H","DateFormat=P","Fill=—","Direction=H","UseDPDF=Y")</f>
        <v>-981.68100000000004</v>
      </c>
      <c r="R38" s="15" cm="1">
        <f t="array" ref="R38">_xll.BDH("NUE US Equity","CF_CASH_FROM_INV_ACT","FQ2 2022","FQ2 2022","Currency=USD","Period=FQ","BEST_FPERIOD_OVERRIDE=FQ","FILING_STATUS=MR","SCALING_FORMAT=MLN","Sort=A","Dates=H","DateFormat=P","Fill=—","Direction=H","UseDPDF=Y")</f>
        <v>-3554.5889999999999</v>
      </c>
      <c r="S38" s="15" cm="1">
        <f t="array" ref="S38">_xll.BDH("NUE US Equity","CF_CASH_FROM_INV_ACT","FQ3 2022","FQ3 2022","Currency=USD","Period=FQ","BEST_FPERIOD_OVERRIDE=FQ","FILING_STATUS=MR","SCALING_FORMAT=MLN","Sort=A","Dates=H","DateFormat=P","Fill=—","Direction=H","UseDPDF=Y")</f>
        <v>-450.923</v>
      </c>
      <c r="T38" s="15" cm="1">
        <f t="array" ref="T38">_xll.BDH("NUE US Equity","CF_CASH_FROM_INV_ACT","FQ4 2022","FQ4 2022","Currency=USD","Period=FQ","BEST_FPERIOD_OVERRIDE=FQ","FILING_STATUS=MR","SCALING_FORMAT=MLN","Sort=A","Dates=H","DateFormat=P","Fill=—","Direction=H","UseDPDF=Y")</f>
        <v>-715.51599999999996</v>
      </c>
      <c r="U38" s="15" cm="1">
        <f t="array" ref="U38">_xll.BDH("NUE US Equity","CF_CASH_FROM_INV_ACT","FQ1 2023","FQ1 2023","Currency=USD","Period=FQ","BEST_FPERIOD_OVERRIDE=FQ","FILING_STATUS=MR","SCALING_FORMAT=MLN","Sort=A","Dates=H","DateFormat=P","Fill=—","Direction=H","UseDPDF=Y")</f>
        <v>-769.78300000000002</v>
      </c>
      <c r="V38" s="15" cm="1">
        <f t="array" ref="V38">_xll.BDH("NUE US Equity","CF_CASH_FROM_INV_ACT","FQ2 2023","FQ2 2023","Currency=USD","Period=FQ","BEST_FPERIOD_OVERRIDE=FQ","FILING_STATUS=MR","SCALING_FORMAT=MLN","Sort=A","Dates=H","DateFormat=P","Fill=—","Direction=H","UseDPDF=Y")</f>
        <v>-609.87699999999995</v>
      </c>
      <c r="W38" s="15" cm="1">
        <f t="array" ref="W38">_xll.BDH("NUE US Equity","CF_CASH_FROM_INV_ACT","FQ3 2023","FQ3 2023","Currency=USD","Period=FQ","BEST_FPERIOD_OVERRIDE=FQ","FILING_STATUS=MR","SCALING_FORMAT=MLN","Sort=A","Dates=H","DateFormat=P","Fill=—","Direction=H","UseDPDF=Y")</f>
        <v>-460.88200000000001</v>
      </c>
      <c r="X38" s="15" cm="1">
        <f t="array" ref="X38">_xll.BDH("NUE US Equity","CF_CASH_FROM_INV_ACT","FQ4 2023","FQ4 2023","Currency=USD","Period=FQ","BEST_FPERIOD_OVERRIDE=FQ","FILING_STATUS=MR","SCALING_FORMAT=MLN","Sort=A","Dates=H","DateFormat=P","Fill=—","Direction=H","UseDPDF=Y")</f>
        <v>-655.88900000000001</v>
      </c>
      <c r="Y38" s="15" cm="1">
        <f t="array" ref="Y38">_xll.BDH("NUE US Equity","CF_CASH_FROM_INV_ACT","FQ1 2024","FQ1 2024","Currency=USD","Period=FQ","BEST_FPERIOD_OVERRIDE=FQ","FILING_STATUS=MR","SCALING_FORMAT=MLN","Sort=A","Dates=H","DateFormat=P","Fill=—","Direction=H","UseDPDF=Y")</f>
        <v>-889.72799999999995</v>
      </c>
      <c r="Z38" s="15" cm="1">
        <f t="array" ref="Z38">_xll.BDH("NUE US Equity","CF_CASH_FROM_INV_ACT","FQ2 2024","FQ2 2024","Currency=USD","Period=FQ","BEST_FPERIOD_OVERRIDE=FQ","FILING_STATUS=MR","SCALING_FORMAT=MLN","Sort=A","Dates=H","DateFormat=P","Fill=—","Direction=H","UseDPDF=Y")</f>
        <v>-710.601</v>
      </c>
      <c r="AA38" s="15" cm="1">
        <f t="array" ref="AA38">_xll.BDH("NUE US Equity","CF_CASH_FROM_INV_ACT","FQ3 2024","FQ3 2024","Currency=USD","Period=FQ","BEST_FPERIOD_OVERRIDE=FQ","FILING_STATUS=MR","SCALING_FORMAT=MLN","Sort=A","Dates=H","DateFormat=P","Fill=—","Direction=H","UseDPDF=Y")</f>
        <v>-1169.8869999999999</v>
      </c>
      <c r="AB38" s="15" cm="1">
        <f t="array" ref="AB38">_xll.BDH("NUE US Equity","CF_CASH_FROM_INV_ACT","FQ4 2024","FQ4 2024","Currency=USD","Period=FQ","BEST_FPERIOD_OVERRIDE=FQ","FILING_STATUS=MR","SCALING_FORMAT=MLN","Sort=A","Dates=H","DateFormat=P","Fill=—","Direction=H","UseDPDF=Y")</f>
        <v>-963.78399999999999</v>
      </c>
      <c r="AC38" s="15" cm="1">
        <f t="array" ref="AC38">_xll.BDH("NUE US Equity","CF_CASH_FROM_INV_ACT","FQ1 2025","FQ1 2025","Currency=USD","Period=FQ","BEST_FPERIOD_OVERRIDE=FQ","FILING_STATUS=MR","SCALING_FORMAT=MLN","Sort=A","Dates=H","DateFormat=P","Fill=—","Direction=H","UseDPDF=Y")</f>
        <v>-1180</v>
      </c>
      <c r="AD38" s="15" cm="1">
        <f t="array" ref="AD38">_xll.BDH("NUE US Equity","CF_CASH_FROM_INV_ACT","FQ2 2025","FQ2 2025","Currency=USD","Period=FQ","BEST_FPERIOD_OVERRIDE=FQ","FILING_STATUS=MR","SCALING_FORMAT=MLN","Sort=A","Dates=H","DateFormat=P","Fill=—","Direction=H","UseDPDF=Y")</f>
        <v>-543</v>
      </c>
      <c r="AE38" s="15" cm="1">
        <f t="array" ref="AE38">_xll.BDH("NUE US Equity","CF_CASH_FROM_INV_ACT","FQ3 2025","FQ3 2025","Currency=USD","Period=FQ","BEST_FPERIOD_OVERRIDE=FQ","FILING_STATUS=MR","SCALING_FORMAT=MLN","Sort=A","Dates=H","DateFormat=P","Fill=—","Direction=H","UseDPDF=Y")</f>
        <v>-786</v>
      </c>
      <c r="AF38" s="15" cm="1">
        <f t="array" ref="AF38">_xll.BDH("NUE US Equity","CF_CASH_FROM_INV_ACT","FQ4 2025","FQ4 2025","Currency=USD","Period=FQ","BEST_FPERIOD_OVERRIDE=FQ","FILING_STATUS=MR","SCALING_FORMAT=MLN","Sort=A","Dates=H","DateFormat=P","Fill=—","Direction=H","UseDPDF=Y")</f>
        <v>-717</v>
      </c>
    </row>
    <row r="39" spans="1:32" x14ac:dyDescent="0.25">
      <c r="A39" s="6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</row>
    <row r="40" spans="1:32" x14ac:dyDescent="0.25">
      <c r="A40" s="6" t="s">
        <v>124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</row>
    <row r="41" spans="1:32" x14ac:dyDescent="0.25">
      <c r="A41" s="10" t="s">
        <v>125</v>
      </c>
      <c r="B41" s="10" t="s">
        <v>126</v>
      </c>
      <c r="C41" s="12" cm="1">
        <f t="array" ref="C41">_xll.BDH("NUE US Equity","CF_DVD_PAID","FQ3 2018","FQ3 2018","Currency=USD","Period=FQ","BEST_FPERIOD_OVERRIDE=FQ","FILING_STATUS=MR","SCALING_FORMAT=MLN","Sort=A","Dates=H","DateFormat=P","Fill=—","Direction=H","UseDPDF=Y")</f>
        <v>-121.333</v>
      </c>
      <c r="D41" s="12" cm="1">
        <f t="array" ref="D41">_xll.BDH("NUE US Equity","CF_DVD_PAID","FQ4 2018","FQ4 2018","Currency=USD","Period=FQ","BEST_FPERIOD_OVERRIDE=FQ","FILING_STATUS=MR","SCALING_FORMAT=MLN","Sort=A","Dates=H","DateFormat=P","Fill=—","Direction=H","UseDPDF=Y")</f>
        <v>-120.39400000000001</v>
      </c>
      <c r="E41" s="12" cm="1">
        <f t="array" ref="E41">_xll.BDH("NUE US Equity","CF_DVD_PAID","FQ1 2019","FQ1 2019","Currency=USD","Period=FQ","BEST_FPERIOD_OVERRIDE=FQ","FILING_STATUS=MR","SCALING_FORMAT=MLN","Sort=A","Dates=H","DateFormat=P","Fill=—","Direction=H","UseDPDF=Y")</f>
        <v>-123.4</v>
      </c>
      <c r="F41" s="12" cm="1">
        <f t="array" ref="F41">_xll.BDH("NUE US Equity","CF_DVD_PAID","FQ2 2019","FQ2 2019","Currency=USD","Period=FQ","BEST_FPERIOD_OVERRIDE=FQ","FILING_STATUS=MR","SCALING_FORMAT=MLN","Sort=A","Dates=H","DateFormat=P","Fill=—","Direction=H","UseDPDF=Y")</f>
        <v>-123.074</v>
      </c>
      <c r="G41" s="12" cm="1">
        <f t="array" ref="G41">_xll.BDH("NUE US Equity","CF_DVD_PAID","FQ3 2019","FQ3 2019","Currency=USD","Period=FQ","BEST_FPERIOD_OVERRIDE=FQ","FILING_STATUS=MR","SCALING_FORMAT=MLN","Sort=A","Dates=H","DateFormat=P","Fill=—","Direction=H","UseDPDF=Y")</f>
        <v>-122.79600000000001</v>
      </c>
      <c r="H41" s="12" cm="1">
        <f t="array" ref="H41">_xll.BDH("NUE US Equity","CF_DVD_PAID","FQ4 2019","FQ4 2019","Currency=USD","Period=FQ","BEST_FPERIOD_OVERRIDE=FQ","FILING_STATUS=MR","SCALING_FORMAT=MLN","Sort=A","Dates=H","DateFormat=P","Fill=—","Direction=H","UseDPDF=Y")</f>
        <v>-122.792</v>
      </c>
      <c r="I41" s="12" cm="1">
        <f t="array" ref="I41">_xll.BDH("NUE US Equity","CF_DVD_PAID","FQ1 2020","FQ1 2020","Currency=USD","Period=FQ","BEST_FPERIOD_OVERRIDE=FQ","FILING_STATUS=MR","SCALING_FORMAT=MLN","Sort=A","Dates=H","DateFormat=P","Fill=—","Direction=H","UseDPDF=Y")</f>
        <v>-122.94</v>
      </c>
      <c r="J41" s="12" cm="1">
        <f t="array" ref="J41">_xll.BDH("NUE US Equity","CF_DVD_PAID","FQ2 2020","FQ2 2020","Currency=USD","Period=FQ","BEST_FPERIOD_OVERRIDE=FQ","FILING_STATUS=MR","SCALING_FORMAT=MLN","Sort=A","Dates=H","DateFormat=P","Fill=—","Direction=H","UseDPDF=Y")</f>
        <v>-122.679</v>
      </c>
      <c r="K41" s="12" cm="1">
        <f t="array" ref="K41">_xll.BDH("NUE US Equity","CF_DVD_PAID","FQ3 2020","FQ3 2020","Currency=USD","Period=FQ","BEST_FPERIOD_OVERRIDE=FQ","FILING_STATUS=MR","SCALING_FORMAT=MLN","Sort=A","Dates=H","DateFormat=P","Fill=—","Direction=H","UseDPDF=Y")</f>
        <v>-123.017</v>
      </c>
      <c r="L41" s="12" cm="1">
        <f t="array" ref="L41">_xll.BDH("NUE US Equity","CF_DVD_PAID","FQ4 2020","FQ4 2020","Currency=USD","Period=FQ","BEST_FPERIOD_OVERRIDE=FQ","FILING_STATUS=MR","SCALING_FORMAT=MLN","Sort=A","Dates=H","DateFormat=P","Fill=—","Direction=H","UseDPDF=Y")</f>
        <v>-123.01900000000001</v>
      </c>
      <c r="M41" s="12" cm="1">
        <f t="array" ref="M41">_xll.BDH("NUE US Equity","CF_DVD_PAID","FQ1 2021","FQ1 2021","Currency=USD","Period=FQ","BEST_FPERIOD_OVERRIDE=FQ","FILING_STATUS=MR","SCALING_FORMAT=MLN","Sort=A","Dates=H","DateFormat=P","Fill=—","Direction=H","UseDPDF=Y")</f>
        <v>-123.901</v>
      </c>
      <c r="N41" s="12" cm="1">
        <f t="array" ref="N41">_xll.BDH("NUE US Equity","CF_DVD_PAID","FQ2 2021","FQ2 2021","Currency=USD","Period=FQ","BEST_FPERIOD_OVERRIDE=FQ","FILING_STATUS=MR","SCALING_FORMAT=MLN","Sort=A","Dates=H","DateFormat=P","Fill=—","Direction=H","UseDPDF=Y")</f>
        <v>-122.63800000000001</v>
      </c>
      <c r="O41" s="12" cm="1">
        <f t="array" ref="O41">_xll.BDH("NUE US Equity","CF_DVD_PAID","FQ3 2021","FQ3 2021","Currency=USD","Period=FQ","BEST_FPERIOD_OVERRIDE=FQ","FILING_STATUS=MR","SCALING_FORMAT=MLN","Sort=A","Dates=H","DateFormat=P","Fill=—","Direction=H","UseDPDF=Y")</f>
        <v>-120.06699999999999</v>
      </c>
      <c r="P41" s="12" cm="1">
        <f t="array" ref="P41">_xll.BDH("NUE US Equity","CF_DVD_PAID","FQ4 2021","FQ4 2021","Currency=USD","Period=FQ","BEST_FPERIOD_OVERRIDE=FQ","FILING_STATUS=MR","SCALING_FORMAT=MLN","Sort=A","Dates=H","DateFormat=P","Fill=—","Direction=H","UseDPDF=Y")</f>
        <v>-116.863</v>
      </c>
      <c r="Q41" s="12" cm="1">
        <f t="array" ref="Q41">_xll.BDH("NUE US Equity","CF_DVD_PAID","FQ1 2022","FQ1 2022","Currency=USD","Period=FQ","BEST_FPERIOD_OVERRIDE=FQ","FILING_STATUS=MR","SCALING_FORMAT=MLN","Sort=A","Dates=H","DateFormat=P","Fill=—","Direction=H","UseDPDF=Y")</f>
        <v>-137.58699999999999</v>
      </c>
      <c r="R41" s="12" cm="1">
        <f t="array" ref="R41">_xll.BDH("NUE US Equity","CF_DVD_PAID","FQ2 2022","FQ2 2022","Currency=USD","Period=FQ","BEST_FPERIOD_OVERRIDE=FQ","FILING_STATUS=MR","SCALING_FORMAT=MLN","Sort=A","Dates=H","DateFormat=P","Fill=—","Direction=H","UseDPDF=Y")</f>
        <v>-134.45099999999999</v>
      </c>
      <c r="S41" s="12" cm="1">
        <f t="array" ref="S41">_xll.BDH("NUE US Equity","CF_DVD_PAID","FQ3 2022","FQ3 2022","Currency=USD","Period=FQ","BEST_FPERIOD_OVERRIDE=FQ","FILING_STATUS=MR","SCALING_FORMAT=MLN","Sort=A","Dates=H","DateFormat=P","Fill=—","Direction=H","UseDPDF=Y")</f>
        <v>-132.11199999999999</v>
      </c>
      <c r="T41" s="12" cm="1">
        <f t="array" ref="T41">_xll.BDH("NUE US Equity","CF_DVD_PAID","FQ4 2022","FQ4 2022","Currency=USD","Period=FQ","BEST_FPERIOD_OVERRIDE=FQ","FILING_STATUS=MR","SCALING_FORMAT=MLN","Sort=A","Dates=H","DateFormat=P","Fill=—","Direction=H","UseDPDF=Y")</f>
        <v>-129.43899999999999</v>
      </c>
      <c r="U41" s="12" cm="1">
        <f t="array" ref="U41">_xll.BDH("NUE US Equity","CF_DVD_PAID","FQ1 2023","FQ1 2023","Currency=USD","Period=FQ","BEST_FPERIOD_OVERRIDE=FQ","FILING_STATUS=MR","SCALING_FORMAT=MLN","Sort=A","Dates=H","DateFormat=P","Fill=—","Direction=H","UseDPDF=Y")</f>
        <v>-130.52500000000001</v>
      </c>
      <c r="V41" s="12" cm="1">
        <f t="array" ref="V41">_xll.BDH("NUE US Equity","CF_DVD_PAID","FQ2 2023","FQ2 2023","Currency=USD","Period=FQ","BEST_FPERIOD_OVERRIDE=FQ","FILING_STATUS=MR","SCALING_FORMAT=MLN","Sort=A","Dates=H","DateFormat=P","Fill=—","Direction=H","UseDPDF=Y")</f>
        <v>-129.369</v>
      </c>
      <c r="W41" s="12" cm="1">
        <f t="array" ref="W41">_xll.BDH("NUE US Equity","CF_DVD_PAID","FQ3 2023","FQ3 2023","Currency=USD","Period=FQ","BEST_FPERIOD_OVERRIDE=FQ","FILING_STATUS=MR","SCALING_FORMAT=MLN","Sort=A","Dates=H","DateFormat=P","Fill=—","Direction=H","UseDPDF=Y")</f>
        <v>-128.102</v>
      </c>
      <c r="X41" s="12" cm="1">
        <f t="array" ref="X41">_xll.BDH("NUE US Equity","CF_DVD_PAID","FQ4 2023","FQ4 2023","Currency=USD","Period=FQ","BEST_FPERIOD_OVERRIDE=FQ","FILING_STATUS=MR","SCALING_FORMAT=MLN","Sort=A","Dates=H","DateFormat=P","Fill=—","Direction=H","UseDPDF=Y")</f>
        <v>-126.538</v>
      </c>
      <c r="Y41" s="12" cm="1">
        <f t="array" ref="Y41">_xll.BDH("NUE US Equity","CF_DVD_PAID","FQ1 2024","FQ1 2024","Currency=USD","Period=FQ","BEST_FPERIOD_OVERRIDE=FQ","FILING_STATUS=MR","SCALING_FORMAT=MLN","Sort=A","Dates=H","DateFormat=P","Fill=—","Direction=H","UseDPDF=Y")</f>
        <v>-133.56800000000001</v>
      </c>
      <c r="Z41" s="12" cm="1">
        <f t="array" ref="Z41">_xll.BDH("NUE US Equity","CF_DVD_PAID","FQ2 2024","FQ2 2024","Currency=USD","Period=FQ","BEST_FPERIOD_OVERRIDE=FQ","FILING_STATUS=MR","SCALING_FORMAT=MLN","Sort=A","Dates=H","DateFormat=P","Fill=—","Direction=H","UseDPDF=Y")</f>
        <v>-130.79900000000001</v>
      </c>
      <c r="AA41" s="12" cm="1">
        <f t="array" ref="AA41">_xll.BDH("NUE US Equity","CF_DVD_PAID","FQ3 2024","FQ3 2024","Currency=USD","Period=FQ","BEST_FPERIOD_OVERRIDE=FQ","FILING_STATUS=MR","SCALING_FORMAT=MLN","Sort=A","Dates=H","DateFormat=P","Fill=—","Direction=H","UseDPDF=Y")</f>
        <v>-129.47</v>
      </c>
      <c r="AB41" s="12" cm="1">
        <f t="array" ref="AB41">_xll.BDH("NUE US Equity","CF_DVD_PAID","FQ4 2024","FQ4 2024","Currency=USD","Period=FQ","BEST_FPERIOD_OVERRIDE=FQ","FILING_STATUS=MR","SCALING_FORMAT=MLN","Sort=A","Dates=H","DateFormat=P","Fill=—","Direction=H","UseDPDF=Y")</f>
        <v>-128.16300000000001</v>
      </c>
      <c r="AC41" s="12" cm="1">
        <f t="array" ref="AC41">_xll.BDH("NUE US Equity","CF_DVD_PAID","FQ1 2025","FQ1 2025","Currency=USD","Period=FQ","BEST_FPERIOD_OVERRIDE=FQ","FILING_STATUS=MR","SCALING_FORMAT=MLN","Sort=A","Dates=H","DateFormat=P","Fill=—","Direction=H","UseDPDF=Y")</f>
        <v>-129</v>
      </c>
      <c r="AD41" s="12" cm="1">
        <f t="array" ref="AD41">_xll.BDH("NUE US Equity","CF_DVD_PAID","FQ2 2025","FQ2 2025","Currency=USD","Period=FQ","BEST_FPERIOD_OVERRIDE=FQ","FILING_STATUS=MR","SCALING_FORMAT=MLN","Sort=A","Dates=H","DateFormat=P","Fill=—","Direction=H","UseDPDF=Y")</f>
        <v>-129</v>
      </c>
      <c r="AE41" s="12" cm="1">
        <f t="array" ref="AE41">_xll.BDH("NUE US Equity","CF_DVD_PAID","FQ3 2025","FQ3 2025","Currency=USD","Period=FQ","BEST_FPERIOD_OVERRIDE=FQ","FILING_STATUS=MR","SCALING_FORMAT=MLN","Sort=A","Dates=H","DateFormat=P","Fill=—","Direction=H","UseDPDF=Y")</f>
        <v>-127</v>
      </c>
      <c r="AF41" s="12" cm="1">
        <f t="array" ref="AF41">_xll.BDH("NUE US Equity","CF_DVD_PAID","FQ4 2025","FQ4 2025","Currency=USD","Period=FQ","BEST_FPERIOD_OVERRIDE=FQ","FILING_STATUS=MR","SCALING_FORMAT=MLN","Sort=A","Dates=H","DateFormat=P","Fill=—","Direction=H","UseDPDF=Y")</f>
        <v>-127</v>
      </c>
    </row>
    <row r="42" spans="1:32" x14ac:dyDescent="0.25">
      <c r="A42" s="10" t="s">
        <v>127</v>
      </c>
      <c r="B42" s="10" t="s">
        <v>128</v>
      </c>
      <c r="C42" s="12" cm="1">
        <f t="array" ref="C42">_xll.BDH("NUE US Equity","PROC_FR_REPAYMNTS_BOR_DETAILED","FQ3 2018","FQ3 2018","Currency=USD","Period=FQ","BEST_FPERIOD_OVERRIDE=FQ","FILING_STATUS=MR","SCALING_FORMAT=MLN","Sort=A","Dates=H","DateFormat=P","Fill=—","Direction=H","UseDPDF=Y")</f>
        <v>-6.3390000000000004</v>
      </c>
      <c r="D42" s="12" cm="1">
        <f t="array" ref="D42">_xll.BDH("NUE US Equity","PROC_FR_REPAYMNTS_BOR_DETAILED","FQ4 2018","FQ4 2018","Currency=USD","Period=FQ","BEST_FPERIOD_OVERRIDE=FQ","FILING_STATUS=MR","SCALING_FORMAT=MLN","Sort=A","Dates=H","DateFormat=P","Fill=—","Direction=H","UseDPDF=Y")</f>
        <v>5.0419999999999998</v>
      </c>
      <c r="E42" s="12" cm="1">
        <f t="array" ref="E42">_xll.BDH("NUE US Equity","PROC_FR_REPAYMNTS_BOR_DETAILED","FQ1 2019","FQ1 2019","Currency=USD","Period=FQ","BEST_FPERIOD_OVERRIDE=FQ","FILING_STATUS=MR","SCALING_FORMAT=MLN","Sort=A","Dates=H","DateFormat=P","Fill=—","Direction=H","UseDPDF=Y")</f>
        <v>16.704999999999998</v>
      </c>
      <c r="F42" s="12" cm="1">
        <f t="array" ref="F42">_xll.BDH("NUE US Equity","PROC_FR_REPAYMNTS_BOR_DETAILED","FQ2 2019","FQ2 2019","Currency=USD","Period=FQ","BEST_FPERIOD_OVERRIDE=FQ","FILING_STATUS=MR","SCALING_FORMAT=MLN","Sort=A","Dates=H","DateFormat=P","Fill=—","Direction=H","UseDPDF=Y")</f>
        <v>-14.488</v>
      </c>
      <c r="G42" s="12" cm="1">
        <f t="array" ref="G42">_xll.BDH("NUE US Equity","PROC_FR_REPAYMNTS_BOR_DETAILED","FQ3 2019","FQ3 2019","Currency=USD","Period=FQ","BEST_FPERIOD_OVERRIDE=FQ","FILING_STATUS=MR","SCALING_FORMAT=MLN","Sort=A","Dates=H","DateFormat=P","Fill=—","Direction=H","UseDPDF=Y")</f>
        <v>-12.362</v>
      </c>
      <c r="H42" s="12" cm="1">
        <f t="array" ref="H42">_xll.BDH("NUE US Equity","PROC_FR_REPAYMNTS_BOR_DETAILED","FQ4 2019","FQ4 2019","Currency=USD","Period=FQ","BEST_FPERIOD_OVERRIDE=FQ","FILING_STATUS=MR","SCALING_FORMAT=MLN","Sort=A","Dates=H","DateFormat=P","Fill=—","Direction=H","UseDPDF=Y")</f>
        <v>17.856000000000002</v>
      </c>
      <c r="I42" s="12" cm="1">
        <f t="array" ref="I42">_xll.BDH("NUE US Equity","PROC_FR_REPAYMNTS_BOR_DETAILED","FQ1 2020","FQ1 2020","Currency=USD","Period=FQ","BEST_FPERIOD_OVERRIDE=FQ","FILING_STATUS=MR","SCALING_FORMAT=MLN","Sort=A","Dates=H","DateFormat=P","Fill=—","Direction=H","UseDPDF=Y")</f>
        <v>-24.183</v>
      </c>
      <c r="J42" s="12" cm="1">
        <f t="array" ref="J42">_xll.BDH("NUE US Equity","PROC_FR_REPAYMNTS_BOR_DETAILED","FQ2 2020","FQ2 2020","Currency=USD","Period=FQ","BEST_FPERIOD_OVERRIDE=FQ","FILING_STATUS=MR","SCALING_FORMAT=MLN","Sort=A","Dates=H","DateFormat=P","Fill=—","Direction=H","UseDPDF=Y")</f>
        <v>1024.2360000000001</v>
      </c>
      <c r="K42" s="12" cm="1">
        <f t="array" ref="K42">_xll.BDH("NUE US Equity","PROC_FR_REPAYMNTS_BOR_DETAILED","FQ3 2020","FQ3 2020","Currency=USD","Period=FQ","BEST_FPERIOD_OVERRIDE=FQ","FILING_STATUS=MR","SCALING_FORMAT=MLN","Sort=A","Dates=H","DateFormat=P","Fill=—","Direction=H","UseDPDF=Y")</f>
        <v>141.76599999999999</v>
      </c>
      <c r="L42" s="12" cm="1">
        <f t="array" ref="L42">_xll.BDH("NUE US Equity","PROC_FR_REPAYMNTS_BOR_DETAILED","FQ4 2020","FQ4 2020","Currency=USD","Period=FQ","BEST_FPERIOD_OVERRIDE=FQ","FILING_STATUS=MR","SCALING_FORMAT=MLN","Sort=A","Dates=H","DateFormat=P","Fill=—","Direction=H","UseDPDF=Y")</f>
        <v>-5.8719999999999999</v>
      </c>
      <c r="M42" s="12" cm="1">
        <f t="array" ref="M42">_xll.BDH("NUE US Equity","PROC_FR_REPAYMNTS_BOR_DETAILED","FQ1 2021","FQ1 2021","Currency=USD","Period=FQ","BEST_FPERIOD_OVERRIDE=FQ","FILING_STATUS=MR","SCALING_FORMAT=MLN","Sort=A","Dates=H","DateFormat=P","Fill=—","Direction=H","UseDPDF=Y")</f>
        <v>-1.607</v>
      </c>
      <c r="N42" s="12" cm="1">
        <f t="array" ref="N42">_xll.BDH("NUE US Equity","PROC_FR_REPAYMNTS_BOR_DETAILED","FQ2 2021","FQ2 2021","Currency=USD","Period=FQ","BEST_FPERIOD_OVERRIDE=FQ","FILING_STATUS=MR","SCALING_FORMAT=MLN","Sort=A","Dates=H","DateFormat=P","Fill=—","Direction=H","UseDPDF=Y")</f>
        <v>44.387</v>
      </c>
      <c r="O42" s="12" cm="1">
        <f t="array" ref="O42">_xll.BDH("NUE US Equity","PROC_FR_REPAYMNTS_BOR_DETAILED","FQ3 2021","FQ3 2021","Currency=USD","Period=FQ","BEST_FPERIOD_OVERRIDE=FQ","FILING_STATUS=MR","SCALING_FORMAT=MLN","Sort=A","Dates=H","DateFormat=P","Fill=—","Direction=H","UseDPDF=Y")</f>
        <v>199.041</v>
      </c>
      <c r="P42" s="12" cm="1">
        <f t="array" ref="P42">_xll.BDH("NUE US Equity","PROC_FR_REPAYMNTS_BOR_DETAILED","FQ4 2021","FQ4 2021","Currency=USD","Period=FQ","BEST_FPERIOD_OVERRIDE=FQ","FILING_STATUS=MR","SCALING_FORMAT=MLN","Sort=A","Dates=H","DateFormat=P","Fill=—","Direction=H","UseDPDF=Y")</f>
        <v>4.9859999999999998</v>
      </c>
      <c r="Q42" s="12" cm="1">
        <f t="array" ref="Q42">_xll.BDH("NUE US Equity","PROC_FR_REPAYMNTS_BOR_DETAILED","FQ1 2022","FQ1 2022","Currency=USD","Period=FQ","BEST_FPERIOD_OVERRIDE=FQ","FILING_STATUS=MR","SCALING_FORMAT=MLN","Sort=A","Dates=H","DateFormat=P","Fill=—","Direction=H","UseDPDF=Y")</f>
        <v>1069.357</v>
      </c>
      <c r="R42" s="12" cm="1">
        <f t="array" ref="R42">_xll.BDH("NUE US Equity","PROC_FR_REPAYMNTS_BOR_DETAILED","FQ2 2022","FQ2 2022","Currency=USD","Period=FQ","BEST_FPERIOD_OVERRIDE=FQ","FILING_STATUS=MR","SCALING_FORMAT=MLN","Sort=A","Dates=H","DateFormat=P","Fill=—","Direction=H","UseDPDF=Y")</f>
        <v>509.363</v>
      </c>
      <c r="S42" s="12" cm="1">
        <f t="array" ref="S42">_xll.BDH("NUE US Equity","PROC_FR_REPAYMNTS_BOR_DETAILED","FQ3 2022","FQ3 2022","Currency=USD","Period=FQ","BEST_FPERIOD_OVERRIDE=FQ","FILING_STATUS=MR","SCALING_FORMAT=MLN","Sort=A","Dates=H","DateFormat=P","Fill=—","Direction=H","UseDPDF=Y")</f>
        <v>-638.36</v>
      </c>
      <c r="T42" s="12" cm="1">
        <f t="array" ref="T42">_xll.BDH("NUE US Equity","PROC_FR_REPAYMNTS_BOR_DETAILED","FQ4 2022","FQ4 2022","Currency=USD","Period=FQ","BEST_FPERIOD_OVERRIDE=FQ","FILING_STATUS=MR","SCALING_FORMAT=MLN","Sort=A","Dates=H","DateFormat=P","Fill=—","Direction=H","UseDPDF=Y")</f>
        <v>-18.068000000000001</v>
      </c>
      <c r="U42" s="12" cm="1">
        <f t="array" ref="U42">_xll.BDH("NUE US Equity","PROC_FR_REPAYMNTS_BOR_DETAILED","FQ1 2023","FQ1 2023","Currency=USD","Period=FQ","BEST_FPERIOD_OVERRIDE=FQ","FILING_STATUS=MR","SCALING_FORMAT=MLN","Sort=A","Dates=H","DateFormat=P","Fill=—","Direction=H","UseDPDF=Y")</f>
        <v>-22.265000000000001</v>
      </c>
      <c r="V42" s="12" cm="1">
        <f t="array" ref="V42">_xll.BDH("NUE US Equity","PROC_FR_REPAYMNTS_BOR_DETAILED","FQ2 2023","FQ2 2023","Currency=USD","Period=FQ","BEST_FPERIOD_OVERRIDE=FQ","FILING_STATUS=MR","SCALING_FORMAT=MLN","Sort=A","Dates=H","DateFormat=P","Fill=—","Direction=H","UseDPDF=Y")</f>
        <v>1.5229999999999999</v>
      </c>
      <c r="W42" s="12" cm="1">
        <f t="array" ref="W42">_xll.BDH("NUE US Equity","PROC_FR_REPAYMNTS_BOR_DETAILED","FQ3 2023","FQ3 2023","Currency=USD","Period=FQ","BEST_FPERIOD_OVERRIDE=FQ","FILING_STATUS=MR","SCALING_FORMAT=MLN","Sort=A","Dates=H","DateFormat=P","Fill=—","Direction=H","UseDPDF=Y")</f>
        <v>0.1</v>
      </c>
      <c r="X42" s="12" cm="1">
        <f t="array" ref="X42">_xll.BDH("NUE US Equity","PROC_FR_REPAYMNTS_BOR_DETAILED","FQ4 2023","FQ4 2023","Currency=USD","Period=FQ","BEST_FPERIOD_OVERRIDE=FQ","FILING_STATUS=MR","SCALING_FORMAT=MLN","Sort=A","Dates=H","DateFormat=P","Fill=—","Direction=H","UseDPDF=Y")</f>
        <v>-14.228</v>
      </c>
      <c r="Y42" s="12" cm="1">
        <f t="array" ref="Y42">_xll.BDH("NUE US Equity","PROC_FR_REPAYMNTS_BOR_DETAILED","FQ1 2024","FQ1 2024","Currency=USD","Period=FQ","BEST_FPERIOD_OVERRIDE=FQ","FILING_STATUS=MR","SCALING_FORMAT=MLN","Sort=A","Dates=H","DateFormat=P","Fill=—","Direction=H","UseDPDF=Y")</f>
        <v>8.2910000000000004</v>
      </c>
      <c r="Z42" s="12" cm="1">
        <f t="array" ref="Z42">_xll.BDH("NUE US Equity","PROC_FR_REPAYMNTS_BOR_DETAILED","FQ2 2024","FQ2 2024","Currency=USD","Period=FQ","BEST_FPERIOD_OVERRIDE=FQ","FILING_STATUS=MR","SCALING_FORMAT=MLN","Sort=A","Dates=H","DateFormat=P","Fill=—","Direction=H","UseDPDF=Y")</f>
        <v>36.008000000000003</v>
      </c>
      <c r="AA42" s="12" cm="1">
        <f t="array" ref="AA42">_xll.BDH("NUE US Equity","PROC_FR_REPAYMNTS_BOR_DETAILED","FQ3 2024","FQ3 2024","Currency=USD","Period=FQ","BEST_FPERIOD_OVERRIDE=FQ","FILING_STATUS=MR","SCALING_FORMAT=MLN","Sort=A","Dates=H","DateFormat=P","Fill=—","Direction=H","UseDPDF=Y")</f>
        <v>45.241</v>
      </c>
      <c r="AB42" s="12" cm="1">
        <f t="array" ref="AB42">_xll.BDH("NUE US Equity","PROC_FR_REPAYMNTS_BOR_DETAILED","FQ4 2024","FQ4 2024","Currency=USD","Period=FQ","BEST_FPERIOD_OVERRIDE=FQ","FILING_STATUS=MR","SCALING_FORMAT=MLN","Sort=A","Dates=H","DateFormat=P","Fill=—","Direction=H","UseDPDF=Y")</f>
        <v>5.46</v>
      </c>
      <c r="AC42" s="12" cm="1">
        <f t="array" ref="AC42">_xll.BDH("NUE US Equity","PROC_FR_REPAYMNTS_BOR_DETAILED","FQ1 2025","FQ1 2025","Currency=USD","Period=FQ","BEST_FPERIOD_OVERRIDE=FQ","FILING_STATUS=MR","SCALING_FORMAT=MLN","Sort=A","Dates=H","DateFormat=P","Fill=—","Direction=H","UseDPDF=Y")</f>
        <v>-69</v>
      </c>
      <c r="AD42" s="12" cm="1">
        <f t="array" ref="AD42">_xll.BDH("NUE US Equity","PROC_FR_REPAYMNTS_BOR_DETAILED","FQ2 2025","FQ2 2025","Currency=USD","Period=FQ","BEST_FPERIOD_OVERRIDE=FQ","FILING_STATUS=MR","SCALING_FORMAT=MLN","Sort=A","Dates=H","DateFormat=P","Fill=—","Direction=H","UseDPDF=Y")</f>
        <v>-9</v>
      </c>
      <c r="AE42" s="12" cm="1">
        <f t="array" ref="AE42">_xll.BDH("NUE US Equity","PROC_FR_REPAYMNTS_BOR_DETAILED","FQ3 2025","FQ3 2025","Currency=USD","Period=FQ","BEST_FPERIOD_OVERRIDE=FQ","FILING_STATUS=MR","SCALING_FORMAT=MLN","Sort=A","Dates=H","DateFormat=P","Fill=—","Direction=H","UseDPDF=Y")</f>
        <v>-26</v>
      </c>
      <c r="AF42" s="12" cm="1">
        <f t="array" ref="AF42">_xll.BDH("NUE US Equity","PROC_FR_REPAYMNTS_BOR_DETAILED","FQ4 2025","FQ4 2025","Currency=USD","Period=FQ","BEST_FPERIOD_OVERRIDE=FQ","FILING_STATUS=MR","SCALING_FORMAT=MLN","Sort=A","Dates=H","DateFormat=P","Fill=—","Direction=H","UseDPDF=Y")</f>
        <v>-16</v>
      </c>
    </row>
    <row r="43" spans="1:32" x14ac:dyDescent="0.25">
      <c r="A43" s="10" t="s">
        <v>129</v>
      </c>
      <c r="B43" s="10" t="s">
        <v>130</v>
      </c>
      <c r="C43" s="12" cm="1">
        <f t="array" ref="C43">_xll.BDH("NUE US Equity","CF_NET_CHG_ST_DEBT_CPTL_LEAS","FQ3 2018","FQ3 2018","Currency=USD","Period=FQ","BEST_FPERIOD_OVERRIDE=FQ","FILING_STATUS=MR","SCALING_FORMAT=MLN","Sort=A","Dates=H","DateFormat=P","Fill=—","Direction=H","UseDPDF=Y")</f>
        <v>-6.3390000000000004</v>
      </c>
      <c r="D43" s="12" cm="1">
        <f t="array" ref="D43">_xll.BDH("NUE US Equity","CF_NET_CHG_ST_DEBT_CPTL_LEAS","FQ4 2018","FQ4 2018","Currency=USD","Period=FQ","BEST_FPERIOD_OVERRIDE=FQ","FILING_STATUS=MR","SCALING_FORMAT=MLN","Sort=A","Dates=H","DateFormat=P","Fill=—","Direction=H","UseDPDF=Y")</f>
        <v>5.0419999999999998</v>
      </c>
      <c r="E43" s="12" cm="1">
        <f t="array" ref="E43">_xll.BDH("NUE US Equity","CF_NET_CHG_ST_DEBT_CPTL_LEAS","FQ1 2019","FQ1 2019","Currency=USD","Period=FQ","BEST_FPERIOD_OVERRIDE=FQ","FILING_STATUS=MR","SCALING_FORMAT=MLN","Sort=A","Dates=H","DateFormat=P","Fill=—","Direction=H","UseDPDF=Y")</f>
        <v>13.568</v>
      </c>
      <c r="F43" s="12" t="str" cm="1">
        <f t="array" ref="F43">_xll.BDH("NUE US Equity","CF_NET_CHG_ST_DEBT_CPTL_LEAS","FQ2 2019","FQ2 2019","Currency=USD","Period=FQ","BEST_FPERIOD_OVERRIDE=FQ","FILING_STATUS=MR","SCALING_FORMAT=MLN","Sort=A","Dates=H","DateFormat=P","Fill=—","Direction=H","UseDPDF=Y")</f>
        <v>—</v>
      </c>
      <c r="G43" s="12" cm="1">
        <f t="array" ref="G43">_xll.BDH("NUE US Equity","CF_NET_CHG_ST_DEBT_CPTL_LEAS","FQ3 2019","FQ3 2019","Currency=USD","Period=FQ","BEST_FPERIOD_OVERRIDE=FQ","FILING_STATUS=MR","SCALING_FORMAT=MLN","Sort=A","Dates=H","DateFormat=P","Fill=—","Direction=H","UseDPDF=Y")</f>
        <v>-12.362</v>
      </c>
      <c r="H43" s="12" t="str" cm="1">
        <f t="array" ref="H43">_xll.BDH("NUE US Equity","CF_NET_CHG_ST_DEBT_CPTL_LEAS","FQ4 2019","FQ4 2019","Currency=USD","Period=FQ","BEST_FPERIOD_OVERRIDE=FQ","FILING_STATUS=MR","SCALING_FORMAT=MLN","Sort=A","Dates=H","DateFormat=P","Fill=—","Direction=H","UseDPDF=Y")</f>
        <v>—</v>
      </c>
      <c r="I43" s="12" cm="1">
        <f t="array" ref="I43">_xll.BDH("NUE US Equity","CF_NET_CHG_ST_DEBT_CPTL_LEAS","FQ1 2020","FQ1 2020","Currency=USD","Period=FQ","BEST_FPERIOD_OVERRIDE=FQ","FILING_STATUS=MR","SCALING_FORMAT=MLN","Sort=A","Dates=H","DateFormat=P","Fill=—","Direction=H","UseDPDF=Y")</f>
        <v>-9.1829999999999998</v>
      </c>
      <c r="J43" s="12" cm="1">
        <f t="array" ref="J43">_xll.BDH("NUE US Equity","CF_NET_CHG_ST_DEBT_CPTL_LEAS","FQ2 2020","FQ2 2020","Currency=USD","Period=FQ","BEST_FPERIOD_OVERRIDE=FQ","FILING_STATUS=MR","SCALING_FORMAT=MLN","Sort=A","Dates=H","DateFormat=P","Fill=—","Direction=H","UseDPDF=Y")</f>
        <v>11.391</v>
      </c>
      <c r="K43" s="12" t="str" cm="1">
        <f t="array" ref="K43">_xll.BDH("NUE US Equity","CF_NET_CHG_ST_DEBT_CPTL_LEAS","FQ3 2020","FQ3 2020","Currency=USD","Period=FQ","BEST_FPERIOD_OVERRIDE=FQ","FILING_STATUS=MR","SCALING_FORMAT=MLN","Sort=A","Dates=H","DateFormat=P","Fill=—","Direction=H","UseDPDF=Y")</f>
        <v>—</v>
      </c>
      <c r="L43" s="12" t="str" cm="1">
        <f t="array" ref="L43">_xll.BDH("NUE US Equity","CF_NET_CHG_ST_DEBT_CPTL_LEAS","FQ4 2020","FQ4 2020","Currency=USD","Period=FQ","BEST_FPERIOD_OVERRIDE=FQ","FILING_STATUS=MR","SCALING_FORMAT=MLN","Sort=A","Dates=H","DateFormat=P","Fill=—","Direction=H","UseDPDF=Y")</f>
        <v>—</v>
      </c>
      <c r="M43" s="12" cm="1">
        <f t="array" ref="M43">_xll.BDH("NUE US Equity","CF_NET_CHG_ST_DEBT_CPTL_LEAS","FQ1 2021","FQ1 2021","Currency=USD","Period=FQ","BEST_FPERIOD_OVERRIDE=FQ","FILING_STATUS=MR","SCALING_FORMAT=MLN","Sort=A","Dates=H","DateFormat=P","Fill=—","Direction=H","UseDPDF=Y")</f>
        <v>-1.607</v>
      </c>
      <c r="N43" s="12" cm="1">
        <f t="array" ref="N43">_xll.BDH("NUE US Equity","CF_NET_CHG_ST_DEBT_CPTL_LEAS","FQ2 2021","FQ2 2021","Currency=USD","Period=FQ","BEST_FPERIOD_OVERRIDE=FQ","FILING_STATUS=MR","SCALING_FORMAT=MLN","Sort=A","Dates=H","DateFormat=P","Fill=—","Direction=H","UseDPDF=Y")</f>
        <v>44.387</v>
      </c>
      <c r="O43" s="12" cm="1">
        <f t="array" ref="O43">_xll.BDH("NUE US Equity","CF_NET_CHG_ST_DEBT_CPTL_LEAS","FQ3 2021","FQ3 2021","Currency=USD","Period=FQ","BEST_FPERIOD_OVERRIDE=FQ","FILING_STATUS=MR","SCALING_FORMAT=MLN","Sort=A","Dates=H","DateFormat=P","Fill=—","Direction=H","UseDPDF=Y")</f>
        <v>2.0510000000000002</v>
      </c>
      <c r="P43" s="12" cm="1">
        <f t="array" ref="P43">_xll.BDH("NUE US Equity","CF_NET_CHG_ST_DEBT_CPTL_LEAS","FQ4 2021","FQ4 2021","Currency=USD","Period=FQ","BEST_FPERIOD_OVERRIDE=FQ","FILING_STATUS=MR","SCALING_FORMAT=MLN","Sort=A","Dates=H","DateFormat=P","Fill=—","Direction=H","UseDPDF=Y")</f>
        <v>4.9859999999999998</v>
      </c>
      <c r="Q43" s="12" cm="1">
        <f t="array" ref="Q43">_xll.BDH("NUE US Equity","CF_NET_CHG_ST_DEBT_CPTL_LEAS","FQ1 2022","FQ1 2022","Currency=USD","Period=FQ","BEST_FPERIOD_OVERRIDE=FQ","FILING_STATUS=MR","SCALING_FORMAT=MLN","Sort=A","Dates=H","DateFormat=P","Fill=—","Direction=H","UseDPDF=Y")</f>
        <v>-21.202000000000002</v>
      </c>
      <c r="R43" s="12" cm="1">
        <f t="array" ref="R43">_xll.BDH("NUE US Equity","CF_NET_CHG_ST_DEBT_CPTL_LEAS","FQ2 2022","FQ2 2022","Currency=USD","Period=FQ","BEST_FPERIOD_OVERRIDE=FQ","FILING_STATUS=MR","SCALING_FORMAT=MLN","Sort=A","Dates=H","DateFormat=P","Fill=—","Direction=H","UseDPDF=Y")</f>
        <v>13.988</v>
      </c>
      <c r="S43" s="12" cm="1">
        <f t="array" ref="S43">_xll.BDH("NUE US Equity","CF_NET_CHG_ST_DEBT_CPTL_LEAS","FQ3 2022","FQ3 2022","Currency=USD","Period=FQ","BEST_FPERIOD_OVERRIDE=FQ","FILING_STATUS=MR","SCALING_FORMAT=MLN","Sort=A","Dates=H","DateFormat=P","Fill=—","Direction=H","UseDPDF=Y")</f>
        <v>-35.86</v>
      </c>
      <c r="T43" s="12" cm="1">
        <f t="array" ref="T43">_xll.BDH("NUE US Equity","CF_NET_CHG_ST_DEBT_CPTL_LEAS","FQ4 2022","FQ4 2022","Currency=USD","Period=FQ","BEST_FPERIOD_OVERRIDE=FQ","FILING_STATUS=MR","SCALING_FORMAT=MLN","Sort=A","Dates=H","DateFormat=P","Fill=—","Direction=H","UseDPDF=Y")</f>
        <v>-15.568</v>
      </c>
      <c r="U43" s="12" cm="1">
        <f t="array" ref="U43">_xll.BDH("NUE US Equity","CF_NET_CHG_ST_DEBT_CPTL_LEAS","FQ1 2023","FQ1 2023","Currency=USD","Period=FQ","BEST_FPERIOD_OVERRIDE=FQ","FILING_STATUS=MR","SCALING_FORMAT=MLN","Sort=A","Dates=H","DateFormat=P","Fill=—","Direction=H","UseDPDF=Y")</f>
        <v>-19.765000000000001</v>
      </c>
      <c r="V43" s="12" cm="1">
        <f t="array" ref="V43">_xll.BDH("NUE US Equity","CF_NET_CHG_ST_DEBT_CPTL_LEAS","FQ2 2023","FQ2 2023","Currency=USD","Period=FQ","BEST_FPERIOD_OVERRIDE=FQ","FILING_STATUS=MR","SCALING_FORMAT=MLN","Sort=A","Dates=H","DateFormat=P","Fill=—","Direction=H","UseDPDF=Y")</f>
        <v>4.0229999999999997</v>
      </c>
      <c r="W43" s="12" cm="1">
        <f t="array" ref="W43">_xll.BDH("NUE US Equity","CF_NET_CHG_ST_DEBT_CPTL_LEAS","FQ3 2023","FQ3 2023","Currency=USD","Period=FQ","BEST_FPERIOD_OVERRIDE=FQ","FILING_STATUS=MR","SCALING_FORMAT=MLN","Sort=A","Dates=H","DateFormat=P","Fill=—","Direction=H","UseDPDF=Y")</f>
        <v>2.6</v>
      </c>
      <c r="X43" s="12" cm="1">
        <f t="array" ref="X43">_xll.BDH("NUE US Equity","CF_NET_CHG_ST_DEBT_CPTL_LEAS","FQ4 2023","FQ4 2023","Currency=USD","Period=FQ","BEST_FPERIOD_OVERRIDE=FQ","FILING_STATUS=MR","SCALING_FORMAT=MLN","Sort=A","Dates=H","DateFormat=P","Fill=—","Direction=H","UseDPDF=Y")</f>
        <v>-11.728</v>
      </c>
      <c r="Y43" s="12" cm="1">
        <f t="array" ref="Y43">_xll.BDH("NUE US Equity","CF_NET_CHG_ST_DEBT_CPTL_LEAS","FQ1 2024","FQ1 2024","Currency=USD","Period=FQ","BEST_FPERIOD_OVERRIDE=FQ","FILING_STATUS=MR","SCALING_FORMAT=MLN","Sort=A","Dates=H","DateFormat=P","Fill=—","Direction=H","UseDPDF=Y")</f>
        <v>10.791</v>
      </c>
      <c r="Z43" s="12" cm="1">
        <f t="array" ref="Z43">_xll.BDH("NUE US Equity","CF_NET_CHG_ST_DEBT_CPTL_LEAS","FQ2 2024","FQ2 2024","Currency=USD","Period=FQ","BEST_FPERIOD_OVERRIDE=FQ","FILING_STATUS=MR","SCALING_FORMAT=MLN","Sort=A","Dates=H","DateFormat=P","Fill=—","Direction=H","UseDPDF=Y")</f>
        <v>38.508000000000003</v>
      </c>
      <c r="AA43" s="12" cm="1">
        <f t="array" ref="AA43">_xll.BDH("NUE US Equity","CF_NET_CHG_ST_DEBT_CPTL_LEAS","FQ3 2024","FQ3 2024","Currency=USD","Period=FQ","BEST_FPERIOD_OVERRIDE=FQ","FILING_STATUS=MR","SCALING_FORMAT=MLN","Sort=A","Dates=H","DateFormat=P","Fill=—","Direction=H","UseDPDF=Y")</f>
        <v>45.241</v>
      </c>
      <c r="AB43" s="12" cm="1">
        <f t="array" ref="AB43">_xll.BDH("NUE US Equity","CF_NET_CHG_ST_DEBT_CPTL_LEAS","FQ4 2024","FQ4 2024","Currency=USD","Period=FQ","BEST_FPERIOD_OVERRIDE=FQ","FILING_STATUS=MR","SCALING_FORMAT=MLN","Sort=A","Dates=H","DateFormat=P","Fill=—","Direction=H","UseDPDF=Y")</f>
        <v>10.46</v>
      </c>
      <c r="AC43" s="12" cm="1">
        <f t="array" ref="AC43">_xll.BDH("NUE US Equity","CF_NET_CHG_ST_DEBT_CPTL_LEAS","FQ1 2025","FQ1 2025","Currency=USD","Period=FQ","BEST_FPERIOD_OVERRIDE=FQ","FILING_STATUS=MR","SCALING_FORMAT=MLN","Sort=A","Dates=H","DateFormat=P","Fill=—","Direction=H","UseDPDF=Y")</f>
        <v>-65</v>
      </c>
      <c r="AD43" s="12" cm="1">
        <f t="array" ref="AD43">_xll.BDH("NUE US Equity","CF_NET_CHG_ST_DEBT_CPTL_LEAS","FQ2 2025","FQ2 2025","Currency=USD","Period=FQ","BEST_FPERIOD_OVERRIDE=FQ","FILING_STATUS=MR","SCALING_FORMAT=MLN","Sort=A","Dates=H","DateFormat=P","Fill=—","Direction=H","UseDPDF=Y")</f>
        <v>-3</v>
      </c>
      <c r="AE43" s="12" cm="1">
        <f t="array" ref="AE43">_xll.BDH("NUE US Equity","CF_NET_CHG_ST_DEBT_CPTL_LEAS","FQ3 2025","FQ3 2025","Currency=USD","Period=FQ","BEST_FPERIOD_OVERRIDE=FQ","FILING_STATUS=MR","SCALING_FORMAT=MLN","Sort=A","Dates=H","DateFormat=P","Fill=—","Direction=H","UseDPDF=Y")</f>
        <v>-21</v>
      </c>
      <c r="AF43" s="12" cm="1">
        <f t="array" ref="AF43">_xll.BDH("NUE US Equity","CF_NET_CHG_ST_DEBT_CPTL_LEAS","FQ4 2025","FQ4 2025","Currency=USD","Period=FQ","BEST_FPERIOD_OVERRIDE=FQ","FILING_STATUS=MR","SCALING_FORMAT=MLN","Sort=A","Dates=H","DateFormat=P","Fill=—","Direction=H","UseDPDF=Y")</f>
        <v>-13</v>
      </c>
    </row>
    <row r="44" spans="1:32" x14ac:dyDescent="0.25">
      <c r="A44" s="10" t="s">
        <v>131</v>
      </c>
      <c r="B44" s="10" t="s">
        <v>132</v>
      </c>
      <c r="C44" s="12" cm="1">
        <f t="array" ref="C44">_xll.BDH("NUE US Equity","CF_LT_DEBT_CAP_LEAS_PROCEEDS","FQ3 2018","FQ3 2018","Currency=USD","Period=FQ","BEST_FPERIOD_OVERRIDE=FQ","FILING_STATUS=MR","SCALING_FORMAT=MLN","Sort=A","Dates=H","DateFormat=P","Fill=—","Direction=H","UseDPDF=Y")</f>
        <v>0</v>
      </c>
      <c r="D44" s="12" cm="1">
        <f t="array" ref="D44">_xll.BDH("NUE US Equity","CF_LT_DEBT_CAP_LEAS_PROCEEDS","FQ4 2018","FQ4 2018","Currency=USD","Period=FQ","BEST_FPERIOD_OVERRIDE=FQ","FILING_STATUS=MR","SCALING_FORMAT=MLN","Sort=A","Dates=H","DateFormat=P","Fill=—","Direction=H","UseDPDF=Y")</f>
        <v>0</v>
      </c>
      <c r="E44" s="12" cm="1">
        <f t="array" ref="E44">_xll.BDH("NUE US Equity","CF_LT_DEBT_CAP_LEAS_PROCEEDS","FQ1 2019","FQ1 2019","Currency=USD","Period=FQ","BEST_FPERIOD_OVERRIDE=FQ","FILING_STATUS=MR","SCALING_FORMAT=MLN","Sort=A","Dates=H","DateFormat=P","Fill=—","Direction=H","UseDPDF=Y")</f>
        <v>3.137</v>
      </c>
      <c r="F44" s="12" t="str" cm="1">
        <f t="array" ref="F44">_xll.BDH("NUE US Equity","CF_LT_DEBT_CAP_LEAS_PROCEEDS","FQ2 2019","FQ2 2019","Currency=USD","Period=FQ","BEST_FPERIOD_OVERRIDE=FQ","FILING_STATUS=MR","SCALING_FORMAT=MLN","Sort=A","Dates=H","DateFormat=P","Fill=—","Direction=H","UseDPDF=Y")</f>
        <v>—</v>
      </c>
      <c r="G44" s="12" cm="1">
        <f t="array" ref="G44">_xll.BDH("NUE US Equity","CF_LT_DEBT_CAP_LEAS_PROCEEDS","FQ3 2019","FQ3 2019","Currency=USD","Period=FQ","BEST_FPERIOD_OVERRIDE=FQ","FILING_STATUS=MR","SCALING_FORMAT=MLN","Sort=A","Dates=H","DateFormat=P","Fill=—","Direction=H","UseDPDF=Y")</f>
        <v>0</v>
      </c>
      <c r="H44" s="12" t="str" cm="1">
        <f t="array" ref="H44">_xll.BDH("NUE US Equity","CF_LT_DEBT_CAP_LEAS_PROCEEDS","FQ4 2019","FQ4 2019","Currency=USD","Period=FQ","BEST_FPERIOD_OVERRIDE=FQ","FILING_STATUS=MR","SCALING_FORMAT=MLN","Sort=A","Dates=H","DateFormat=P","Fill=—","Direction=H","UseDPDF=Y")</f>
        <v>—</v>
      </c>
      <c r="I44" s="12" cm="1">
        <f t="array" ref="I44">_xll.BDH("NUE US Equity","CF_LT_DEBT_CAP_LEAS_PROCEEDS","FQ1 2020","FQ1 2020","Currency=USD","Period=FQ","BEST_FPERIOD_OVERRIDE=FQ","FILING_STATUS=MR","SCALING_FORMAT=MLN","Sort=A","Dates=H","DateFormat=P","Fill=—","Direction=H","UseDPDF=Y")</f>
        <v>32</v>
      </c>
      <c r="J44" s="12" cm="1">
        <f t="array" ref="J44">_xll.BDH("NUE US Equity","CF_LT_DEBT_CAP_LEAS_PROCEEDS","FQ2 2020","FQ2 2020","Currency=USD","Period=FQ","BEST_FPERIOD_OVERRIDE=FQ","FILING_STATUS=MR","SCALING_FORMAT=MLN","Sort=A","Dates=H","DateFormat=P","Fill=—","Direction=H","UseDPDF=Y")</f>
        <v>1042.9949999999999</v>
      </c>
      <c r="K44" s="12" t="str" cm="1">
        <f t="array" ref="K44">_xll.BDH("NUE US Equity","CF_LT_DEBT_CAP_LEAS_PROCEEDS","FQ3 2020","FQ3 2020","Currency=USD","Period=FQ","BEST_FPERIOD_OVERRIDE=FQ","FILING_STATUS=MR","SCALING_FORMAT=MLN","Sort=A","Dates=H","DateFormat=P","Fill=—","Direction=H","UseDPDF=Y")</f>
        <v>—</v>
      </c>
      <c r="L44" s="12" t="str" cm="1">
        <f t="array" ref="L44">_xll.BDH("NUE US Equity","CF_LT_DEBT_CAP_LEAS_PROCEEDS","FQ4 2020","FQ4 2020","Currency=USD","Period=FQ","BEST_FPERIOD_OVERRIDE=FQ","FILING_STATUS=MR","SCALING_FORMAT=MLN","Sort=A","Dates=H","DateFormat=P","Fill=—","Direction=H","UseDPDF=Y")</f>
        <v>—</v>
      </c>
      <c r="M44" s="12" cm="1">
        <f t="array" ref="M44">_xll.BDH("NUE US Equity","CF_LT_DEBT_CAP_LEAS_PROCEEDS","FQ1 2021","FQ1 2021","Currency=USD","Period=FQ","BEST_FPERIOD_OVERRIDE=FQ","FILING_STATUS=MR","SCALING_FORMAT=MLN","Sort=A","Dates=H","DateFormat=P","Fill=—","Direction=H","UseDPDF=Y")</f>
        <v>0</v>
      </c>
      <c r="N44" s="12" cm="1">
        <f t="array" ref="N44">_xll.BDH("NUE US Equity","CF_LT_DEBT_CAP_LEAS_PROCEEDS","FQ2 2021","FQ2 2021","Currency=USD","Period=FQ","BEST_FPERIOD_OVERRIDE=FQ","FILING_STATUS=MR","SCALING_FORMAT=MLN","Sort=A","Dates=H","DateFormat=P","Fill=—","Direction=H","UseDPDF=Y")</f>
        <v>0</v>
      </c>
      <c r="O44" s="12" cm="1">
        <f t="array" ref="O44">_xll.BDH("NUE US Equity","CF_LT_DEBT_CAP_LEAS_PROCEEDS","FQ3 2021","FQ3 2021","Currency=USD","Period=FQ","BEST_FPERIOD_OVERRIDE=FQ","FILING_STATUS=MR","SCALING_FORMAT=MLN","Sort=A","Dates=H","DateFormat=P","Fill=—","Direction=H","UseDPDF=Y")</f>
        <v>196.99</v>
      </c>
      <c r="P44" s="12" cm="1">
        <f t="array" ref="P44">_xll.BDH("NUE US Equity","CF_LT_DEBT_CAP_LEAS_PROCEEDS","FQ4 2021","FQ4 2021","Currency=USD","Period=FQ","BEST_FPERIOD_OVERRIDE=FQ","FILING_STATUS=MR","SCALING_FORMAT=MLN","Sort=A","Dates=H","DateFormat=P","Fill=—","Direction=H","UseDPDF=Y")</f>
        <v>0</v>
      </c>
      <c r="Q44" s="12" cm="1">
        <f t="array" ref="Q44">_xll.BDH("NUE US Equity","CF_LT_DEBT_CAP_LEAS_PROCEEDS","FQ1 2022","FQ1 2022","Currency=USD","Period=FQ","BEST_FPERIOD_OVERRIDE=FQ","FILING_STATUS=MR","SCALING_FORMAT=MLN","Sort=A","Dates=H","DateFormat=P","Fill=—","Direction=H","UseDPDF=Y")</f>
        <v>1093.059</v>
      </c>
      <c r="R44" s="12" cm="1">
        <f t="array" ref="R44">_xll.BDH("NUE US Equity","CF_LT_DEBT_CAP_LEAS_PROCEEDS","FQ2 2022","FQ2 2022","Currency=USD","Period=FQ","BEST_FPERIOD_OVERRIDE=FQ","FILING_STATUS=MR","SCALING_FORMAT=MLN","Sort=A","Dates=H","DateFormat=P","Fill=—","Direction=H","UseDPDF=Y")</f>
        <v>998.875</v>
      </c>
      <c r="S44" s="12" cm="1">
        <f t="array" ref="S44">_xll.BDH("NUE US Equity","CF_LT_DEBT_CAP_LEAS_PROCEEDS","FQ3 2022","FQ3 2022","Currency=USD","Period=FQ","BEST_FPERIOD_OVERRIDE=FQ","FILING_STATUS=MR","SCALING_FORMAT=MLN","Sort=A","Dates=H","DateFormat=P","Fill=—","Direction=H","UseDPDF=Y")</f>
        <v>0</v>
      </c>
      <c r="T44" s="12" cm="1">
        <f t="array" ref="T44">_xll.BDH("NUE US Equity","CF_LT_DEBT_CAP_LEAS_PROCEEDS","FQ4 2022","FQ4 2022","Currency=USD","Period=FQ","BEST_FPERIOD_OVERRIDE=FQ","FILING_STATUS=MR","SCALING_FORMAT=MLN","Sort=A","Dates=H","DateFormat=P","Fill=—","Direction=H","UseDPDF=Y")</f>
        <v>0</v>
      </c>
      <c r="U44" s="12" cm="1">
        <f t="array" ref="U44">_xll.BDH("NUE US Equity","CF_LT_DEBT_CAP_LEAS_PROCEEDS","FQ1 2023","FQ1 2023","Currency=USD","Period=FQ","BEST_FPERIOD_OVERRIDE=FQ","FILING_STATUS=MR","SCALING_FORMAT=MLN","Sort=A","Dates=H","DateFormat=P","Fill=—","Direction=H","UseDPDF=Y")</f>
        <v>0</v>
      </c>
      <c r="V44" s="12" cm="1">
        <f t="array" ref="V44">_xll.BDH("NUE US Equity","CF_LT_DEBT_CAP_LEAS_PROCEEDS","FQ2 2023","FQ2 2023","Currency=USD","Period=FQ","BEST_FPERIOD_OVERRIDE=FQ","FILING_STATUS=MR","SCALING_FORMAT=MLN","Sort=A","Dates=H","DateFormat=P","Fill=—","Direction=H","UseDPDF=Y")</f>
        <v>0</v>
      </c>
      <c r="W44" s="12" cm="1">
        <f t="array" ref="W44">_xll.BDH("NUE US Equity","CF_LT_DEBT_CAP_LEAS_PROCEEDS","FQ3 2023","FQ3 2023","Currency=USD","Period=FQ","BEST_FPERIOD_OVERRIDE=FQ","FILING_STATUS=MR","SCALING_FORMAT=MLN","Sort=A","Dates=H","DateFormat=P","Fill=—","Direction=H","UseDPDF=Y")</f>
        <v>0</v>
      </c>
      <c r="X44" s="12" cm="1">
        <f t="array" ref="X44">_xll.BDH("NUE US Equity","CF_LT_DEBT_CAP_LEAS_PROCEEDS","FQ4 2023","FQ4 2023","Currency=USD","Period=FQ","BEST_FPERIOD_OVERRIDE=FQ","FILING_STATUS=MR","SCALING_FORMAT=MLN","Sort=A","Dates=H","DateFormat=P","Fill=—","Direction=H","UseDPDF=Y")</f>
        <v>0</v>
      </c>
      <c r="Y44" s="12" t="str" cm="1">
        <f t="array" ref="Y44">_xll.BDH("NUE US Equity","CF_LT_DEBT_CAP_LEAS_PROCEEDS","FQ1 2024","FQ1 2024","Currency=USD","Period=FQ","BEST_FPERIOD_OVERRIDE=FQ","FILING_STATUS=MR","SCALING_FORMAT=MLN","Sort=A","Dates=H","DateFormat=P","Fill=—","Direction=H","UseDPDF=Y")</f>
        <v>—</v>
      </c>
      <c r="Z44" s="12" t="str" cm="1">
        <f t="array" ref="Z44">_xll.BDH("NUE US Equity","CF_LT_DEBT_CAP_LEAS_PROCEEDS","FQ2 2024","FQ2 2024","Currency=USD","Period=FQ","BEST_FPERIOD_OVERRIDE=FQ","FILING_STATUS=MR","SCALING_FORMAT=MLN","Sort=A","Dates=H","DateFormat=P","Fill=—","Direction=H","UseDPDF=Y")</f>
        <v>—</v>
      </c>
      <c r="AA44" s="12" cm="1">
        <f t="array" ref="AA44">_xll.BDH("NUE US Equity","CF_LT_DEBT_CAP_LEAS_PROCEEDS","FQ3 2024","FQ3 2024","Currency=USD","Period=FQ","BEST_FPERIOD_OVERRIDE=FQ","FILING_STATUS=MR","SCALING_FORMAT=MLN","Sort=A","Dates=H","DateFormat=P","Fill=—","Direction=H","UseDPDF=Y")</f>
        <v>0</v>
      </c>
      <c r="AB44" s="12" cm="1">
        <f t="array" ref="AB44">_xll.BDH("NUE US Equity","CF_LT_DEBT_CAP_LEAS_PROCEEDS","FQ4 2024","FQ4 2024","Currency=USD","Period=FQ","BEST_FPERIOD_OVERRIDE=FQ","FILING_STATUS=MR","SCALING_FORMAT=MLN","Sort=A","Dates=H","DateFormat=P","Fill=—","Direction=H","UseDPDF=Y")</f>
        <v>0</v>
      </c>
      <c r="AC44" s="12" cm="1">
        <f t="array" ref="AC44">_xll.BDH("NUE US Equity","CF_LT_DEBT_CAP_LEAS_PROCEEDS","FQ1 2025","FQ1 2025","Currency=USD","Period=FQ","BEST_FPERIOD_OVERRIDE=FQ","FILING_STATUS=MR","SCALING_FORMAT=MLN","Sort=A","Dates=H","DateFormat=P","Fill=—","Direction=H","UseDPDF=Y")</f>
        <v>0</v>
      </c>
      <c r="AD44" s="12" cm="1">
        <f t="array" ref="AD44">_xll.BDH("NUE US Equity","CF_LT_DEBT_CAP_LEAS_PROCEEDS","FQ2 2025","FQ2 2025","Currency=USD","Period=FQ","BEST_FPERIOD_OVERRIDE=FQ","FILING_STATUS=MR","SCALING_FORMAT=MLN","Sort=A","Dates=H","DateFormat=P","Fill=—","Direction=H","UseDPDF=Y")</f>
        <v>997</v>
      </c>
      <c r="AE44" s="12" cm="1">
        <f t="array" ref="AE44">_xll.BDH("NUE US Equity","CF_LT_DEBT_CAP_LEAS_PROCEEDS","FQ3 2025","FQ3 2025","Currency=USD","Period=FQ","BEST_FPERIOD_OVERRIDE=FQ","FILING_STATUS=MR","SCALING_FORMAT=MLN","Sort=A","Dates=H","DateFormat=P","Fill=—","Direction=H","UseDPDF=Y")</f>
        <v>0</v>
      </c>
      <c r="AF44" s="12" cm="1">
        <f t="array" ref="AF44">_xll.BDH("NUE US Equity","CF_LT_DEBT_CAP_LEAS_PROCEEDS","FQ4 2025","FQ4 2025","Currency=USD","Period=FQ","BEST_FPERIOD_OVERRIDE=FQ","FILING_STATUS=MR","SCALING_FORMAT=MLN","Sort=A","Dates=H","DateFormat=P","Fill=—","Direction=H","UseDPDF=Y")</f>
        <v>0</v>
      </c>
    </row>
    <row r="45" spans="1:32" x14ac:dyDescent="0.25">
      <c r="A45" s="10" t="s">
        <v>133</v>
      </c>
      <c r="B45" s="10" t="s">
        <v>134</v>
      </c>
      <c r="C45" s="12" cm="1">
        <f t="array" ref="C45">_xll.BDH("NUE US Equity","CF_LT_DEBT_CAP_LEAS_PAYMENT","FQ3 2018","FQ3 2018","Currency=USD","Period=FQ","BEST_FPERIOD_OVERRIDE=FQ","FILING_STATUS=MR","SCALING_FORMAT=MLN","Sort=A","Dates=H","DateFormat=P","Fill=—","Direction=H","UseDPDF=Y")</f>
        <v>0</v>
      </c>
      <c r="D45" s="12" cm="1">
        <f t="array" ref="D45">_xll.BDH("NUE US Equity","CF_LT_DEBT_CAP_LEAS_PAYMENT","FQ4 2018","FQ4 2018","Currency=USD","Period=FQ","BEST_FPERIOD_OVERRIDE=FQ","FILING_STATUS=MR","SCALING_FORMAT=MLN","Sort=A","Dates=H","DateFormat=P","Fill=—","Direction=H","UseDPDF=Y")</f>
        <v>0</v>
      </c>
      <c r="E45" s="12" cm="1">
        <f t="array" ref="E45">_xll.BDH("NUE US Equity","CF_LT_DEBT_CAP_LEAS_PAYMENT","FQ1 2019","FQ1 2019","Currency=USD","Period=FQ","BEST_FPERIOD_OVERRIDE=FQ","FILING_STATUS=MR","SCALING_FORMAT=MLN","Sort=A","Dates=H","DateFormat=P","Fill=—","Direction=H","UseDPDF=Y")</f>
        <v>0</v>
      </c>
      <c r="F45" s="12" t="str" cm="1">
        <f t="array" ref="F45">_xll.BDH("NUE US Equity","CF_LT_DEBT_CAP_LEAS_PAYMENT","FQ2 2019","FQ2 2019","Currency=USD","Period=FQ","BEST_FPERIOD_OVERRIDE=FQ","FILING_STATUS=MR","SCALING_FORMAT=MLN","Sort=A","Dates=H","DateFormat=P","Fill=—","Direction=H","UseDPDF=Y")</f>
        <v>—</v>
      </c>
      <c r="G45" s="12" cm="1">
        <f t="array" ref="G45">_xll.BDH("NUE US Equity","CF_LT_DEBT_CAP_LEAS_PAYMENT","FQ3 2019","FQ3 2019","Currency=USD","Period=FQ","BEST_FPERIOD_OVERRIDE=FQ","FILING_STATUS=MR","SCALING_FORMAT=MLN","Sort=A","Dates=H","DateFormat=P","Fill=—","Direction=H","UseDPDF=Y")</f>
        <v>0</v>
      </c>
      <c r="H45" s="12" t="str" cm="1">
        <f t="array" ref="H45">_xll.BDH("NUE US Equity","CF_LT_DEBT_CAP_LEAS_PAYMENT","FQ4 2019","FQ4 2019","Currency=USD","Period=FQ","BEST_FPERIOD_OVERRIDE=FQ","FILING_STATUS=MR","SCALING_FORMAT=MLN","Sort=A","Dates=H","DateFormat=P","Fill=—","Direction=H","UseDPDF=Y")</f>
        <v>—</v>
      </c>
      <c r="I45" s="12" cm="1">
        <f t="array" ref="I45">_xll.BDH("NUE US Equity","CF_LT_DEBT_CAP_LEAS_PAYMENT","FQ1 2020","FQ1 2020","Currency=USD","Period=FQ","BEST_FPERIOD_OVERRIDE=FQ","FILING_STATUS=MR","SCALING_FORMAT=MLN","Sort=A","Dates=H","DateFormat=P","Fill=—","Direction=H","UseDPDF=Y")</f>
        <v>-47</v>
      </c>
      <c r="J45" s="12" cm="1">
        <f t="array" ref="J45">_xll.BDH("NUE US Equity","CF_LT_DEBT_CAP_LEAS_PAYMENT","FQ2 2020","FQ2 2020","Currency=USD","Period=FQ","BEST_FPERIOD_OVERRIDE=FQ","FILING_STATUS=MR","SCALING_FORMAT=MLN","Sort=A","Dates=H","DateFormat=P","Fill=—","Direction=H","UseDPDF=Y")</f>
        <v>-30.15</v>
      </c>
      <c r="K45" s="12" t="str" cm="1">
        <f t="array" ref="K45">_xll.BDH("NUE US Equity","CF_LT_DEBT_CAP_LEAS_PAYMENT","FQ3 2020","FQ3 2020","Currency=USD","Period=FQ","BEST_FPERIOD_OVERRIDE=FQ","FILING_STATUS=MR","SCALING_FORMAT=MLN","Sort=A","Dates=H","DateFormat=P","Fill=—","Direction=H","UseDPDF=Y")</f>
        <v>—</v>
      </c>
      <c r="L45" s="12" t="str" cm="1">
        <f t="array" ref="L45">_xll.BDH("NUE US Equity","CF_LT_DEBT_CAP_LEAS_PAYMENT","FQ4 2020","FQ4 2020","Currency=USD","Period=FQ","BEST_FPERIOD_OVERRIDE=FQ","FILING_STATUS=MR","SCALING_FORMAT=MLN","Sort=A","Dates=H","DateFormat=P","Fill=—","Direction=H","UseDPDF=Y")</f>
        <v>—</v>
      </c>
      <c r="M45" s="12" cm="1">
        <f t="array" ref="M45">_xll.BDH("NUE US Equity","CF_LT_DEBT_CAP_LEAS_PAYMENT","FQ1 2021","FQ1 2021","Currency=USD","Period=FQ","BEST_FPERIOD_OVERRIDE=FQ","FILING_STATUS=MR","SCALING_FORMAT=MLN","Sort=A","Dates=H","DateFormat=P","Fill=—","Direction=H","UseDPDF=Y")</f>
        <v>0</v>
      </c>
      <c r="N45" s="12" cm="1">
        <f t="array" ref="N45">_xll.BDH("NUE US Equity","CF_LT_DEBT_CAP_LEAS_PAYMENT","FQ2 2021","FQ2 2021","Currency=USD","Period=FQ","BEST_FPERIOD_OVERRIDE=FQ","FILING_STATUS=MR","SCALING_FORMAT=MLN","Sort=A","Dates=H","DateFormat=P","Fill=—","Direction=H","UseDPDF=Y")</f>
        <v>0</v>
      </c>
      <c r="O45" s="12" cm="1">
        <f t="array" ref="O45">_xll.BDH("NUE US Equity","CF_LT_DEBT_CAP_LEAS_PAYMENT","FQ3 2021","FQ3 2021","Currency=USD","Period=FQ","BEST_FPERIOD_OVERRIDE=FQ","FILING_STATUS=MR","SCALING_FORMAT=MLN","Sort=A","Dates=H","DateFormat=P","Fill=—","Direction=H","UseDPDF=Y")</f>
        <v>0</v>
      </c>
      <c r="P45" s="12" cm="1">
        <f t="array" ref="P45">_xll.BDH("NUE US Equity","CF_LT_DEBT_CAP_LEAS_PAYMENT","FQ4 2021","FQ4 2021","Currency=USD","Period=FQ","BEST_FPERIOD_OVERRIDE=FQ","FILING_STATUS=MR","SCALING_FORMAT=MLN","Sort=A","Dates=H","DateFormat=P","Fill=—","Direction=H","UseDPDF=Y")</f>
        <v>0</v>
      </c>
      <c r="Q45" s="12" cm="1">
        <f t="array" ref="Q45">_xll.BDH("NUE US Equity","CF_LT_DEBT_CAP_LEAS_PAYMENT","FQ1 2022","FQ1 2022","Currency=USD","Period=FQ","BEST_FPERIOD_OVERRIDE=FQ","FILING_STATUS=MR","SCALING_FORMAT=MLN","Sort=A","Dates=H","DateFormat=P","Fill=—","Direction=H","UseDPDF=Y")</f>
        <v>-2.5</v>
      </c>
      <c r="R45" s="12" cm="1">
        <f t="array" ref="R45">_xll.BDH("NUE US Equity","CF_LT_DEBT_CAP_LEAS_PAYMENT","FQ2 2022","FQ2 2022","Currency=USD","Period=FQ","BEST_FPERIOD_OVERRIDE=FQ","FILING_STATUS=MR","SCALING_FORMAT=MLN","Sort=A","Dates=H","DateFormat=P","Fill=—","Direction=H","UseDPDF=Y")</f>
        <v>-503.5</v>
      </c>
      <c r="S45" s="12" cm="1">
        <f t="array" ref="S45">_xll.BDH("NUE US Equity","CF_LT_DEBT_CAP_LEAS_PAYMENT","FQ3 2022","FQ3 2022","Currency=USD","Period=FQ","BEST_FPERIOD_OVERRIDE=FQ","FILING_STATUS=MR","SCALING_FORMAT=MLN","Sort=A","Dates=H","DateFormat=P","Fill=—","Direction=H","UseDPDF=Y")</f>
        <v>-602.5</v>
      </c>
      <c r="T45" s="12" cm="1">
        <f t="array" ref="T45">_xll.BDH("NUE US Equity","CF_LT_DEBT_CAP_LEAS_PAYMENT","FQ4 2022","FQ4 2022","Currency=USD","Period=FQ","BEST_FPERIOD_OVERRIDE=FQ","FILING_STATUS=MR","SCALING_FORMAT=MLN","Sort=A","Dates=H","DateFormat=P","Fill=—","Direction=H","UseDPDF=Y")</f>
        <v>-2.5</v>
      </c>
      <c r="U45" s="12" cm="1">
        <f t="array" ref="U45">_xll.BDH("NUE US Equity","CF_LT_DEBT_CAP_LEAS_PAYMENT","FQ1 2023","FQ1 2023","Currency=USD","Period=FQ","BEST_FPERIOD_OVERRIDE=FQ","FILING_STATUS=MR","SCALING_FORMAT=MLN","Sort=A","Dates=H","DateFormat=P","Fill=—","Direction=H","UseDPDF=Y")</f>
        <v>-2.5</v>
      </c>
      <c r="V45" s="12" cm="1">
        <f t="array" ref="V45">_xll.BDH("NUE US Equity","CF_LT_DEBT_CAP_LEAS_PAYMENT","FQ2 2023","FQ2 2023","Currency=USD","Period=FQ","BEST_FPERIOD_OVERRIDE=FQ","FILING_STATUS=MR","SCALING_FORMAT=MLN","Sort=A","Dates=H","DateFormat=P","Fill=—","Direction=H","UseDPDF=Y")</f>
        <v>-2.5</v>
      </c>
      <c r="W45" s="12" cm="1">
        <f t="array" ref="W45">_xll.BDH("NUE US Equity","CF_LT_DEBT_CAP_LEAS_PAYMENT","FQ3 2023","FQ3 2023","Currency=USD","Period=FQ","BEST_FPERIOD_OVERRIDE=FQ","FILING_STATUS=MR","SCALING_FORMAT=MLN","Sort=A","Dates=H","DateFormat=P","Fill=—","Direction=H","UseDPDF=Y")</f>
        <v>-2.5</v>
      </c>
      <c r="X45" s="12" cm="1">
        <f t="array" ref="X45">_xll.BDH("NUE US Equity","CF_LT_DEBT_CAP_LEAS_PAYMENT","FQ4 2023","FQ4 2023","Currency=USD","Period=FQ","BEST_FPERIOD_OVERRIDE=FQ","FILING_STATUS=MR","SCALING_FORMAT=MLN","Sort=A","Dates=H","DateFormat=P","Fill=—","Direction=H","UseDPDF=Y")</f>
        <v>-2.5</v>
      </c>
      <c r="Y45" s="12" cm="1">
        <f t="array" ref="Y45">_xll.BDH("NUE US Equity","CF_LT_DEBT_CAP_LEAS_PAYMENT","FQ1 2024","FQ1 2024","Currency=USD","Period=FQ","BEST_FPERIOD_OVERRIDE=FQ","FILING_STATUS=MR","SCALING_FORMAT=MLN","Sort=A","Dates=H","DateFormat=P","Fill=—","Direction=H","UseDPDF=Y")</f>
        <v>-2.5</v>
      </c>
      <c r="Z45" s="12" cm="1">
        <f t="array" ref="Z45">_xll.BDH("NUE US Equity","CF_LT_DEBT_CAP_LEAS_PAYMENT","FQ2 2024","FQ2 2024","Currency=USD","Period=FQ","BEST_FPERIOD_OVERRIDE=FQ","FILING_STATUS=MR","SCALING_FORMAT=MLN","Sort=A","Dates=H","DateFormat=P","Fill=—","Direction=H","UseDPDF=Y")</f>
        <v>-2.5</v>
      </c>
      <c r="AA45" s="12" cm="1">
        <f t="array" ref="AA45">_xll.BDH("NUE US Equity","CF_LT_DEBT_CAP_LEAS_PAYMENT","FQ3 2024","FQ3 2024","Currency=USD","Period=FQ","BEST_FPERIOD_OVERRIDE=FQ","FILING_STATUS=MR","SCALING_FORMAT=MLN","Sort=A","Dates=H","DateFormat=P","Fill=—","Direction=H","UseDPDF=Y")</f>
        <v>0</v>
      </c>
      <c r="AB45" s="12" cm="1">
        <f t="array" ref="AB45">_xll.BDH("NUE US Equity","CF_LT_DEBT_CAP_LEAS_PAYMENT","FQ4 2024","FQ4 2024","Currency=USD","Period=FQ","BEST_FPERIOD_OVERRIDE=FQ","FILING_STATUS=MR","SCALING_FORMAT=MLN","Sort=A","Dates=H","DateFormat=P","Fill=—","Direction=H","UseDPDF=Y")</f>
        <v>-5</v>
      </c>
      <c r="AC45" s="12" cm="1">
        <f t="array" ref="AC45">_xll.BDH("NUE US Equity","CF_LT_DEBT_CAP_LEAS_PAYMENT","FQ1 2025","FQ1 2025","Currency=USD","Period=FQ","BEST_FPERIOD_OVERRIDE=FQ","FILING_STATUS=MR","SCALING_FORMAT=MLN","Sort=A","Dates=H","DateFormat=P","Fill=—","Direction=H","UseDPDF=Y")</f>
        <v>-4</v>
      </c>
      <c r="AD45" s="12" cm="1">
        <f t="array" ref="AD45">_xll.BDH("NUE US Equity","CF_LT_DEBT_CAP_LEAS_PAYMENT","FQ2 2025","FQ2 2025","Currency=USD","Period=FQ","BEST_FPERIOD_OVERRIDE=FQ","FILING_STATUS=MR","SCALING_FORMAT=MLN","Sort=A","Dates=H","DateFormat=P","Fill=—","Direction=H","UseDPDF=Y")</f>
        <v>-1003</v>
      </c>
      <c r="AE45" s="12" cm="1">
        <f t="array" ref="AE45">_xll.BDH("NUE US Equity","CF_LT_DEBT_CAP_LEAS_PAYMENT","FQ3 2025","FQ3 2025","Currency=USD","Period=FQ","BEST_FPERIOD_OVERRIDE=FQ","FILING_STATUS=MR","SCALING_FORMAT=MLN","Sort=A","Dates=H","DateFormat=P","Fill=—","Direction=H","UseDPDF=Y")</f>
        <v>-5</v>
      </c>
      <c r="AF45" s="12" cm="1">
        <f t="array" ref="AF45">_xll.BDH("NUE US Equity","CF_LT_DEBT_CAP_LEAS_PAYMENT","FQ4 2025","FQ4 2025","Currency=USD","Period=FQ","BEST_FPERIOD_OVERRIDE=FQ","FILING_STATUS=MR","SCALING_FORMAT=MLN","Sort=A","Dates=H","DateFormat=P","Fill=—","Direction=H","UseDPDF=Y")</f>
        <v>-3</v>
      </c>
    </row>
    <row r="46" spans="1:32" x14ac:dyDescent="0.25">
      <c r="A46" s="10" t="s">
        <v>135</v>
      </c>
      <c r="B46" s="10" t="s">
        <v>136</v>
      </c>
      <c r="C46" s="12" cm="1">
        <f t="array" ref="C46">_xll.BDH("NUE US Equity","PROC_FR_REPURCH_EQTY_DETAILED","FQ3 2018","FQ3 2018","Currency=USD","Period=FQ","BEST_FPERIOD_OVERRIDE=FQ","FILING_STATUS=MR","SCALING_FORMAT=MLN","Sort=A","Dates=H","DateFormat=P","Fill=—","Direction=H","UseDPDF=Y")</f>
        <v>-171.87</v>
      </c>
      <c r="D46" s="12" cm="1">
        <f t="array" ref="D46">_xll.BDH("NUE US Equity","PROC_FR_REPURCH_EQTY_DETAILED","FQ4 2018","FQ4 2018","Currency=USD","Period=FQ","BEST_FPERIOD_OVERRIDE=FQ","FILING_STATUS=MR","SCALING_FORMAT=MLN","Sort=A","Dates=H","DateFormat=P","Fill=—","Direction=H","UseDPDF=Y")</f>
        <v>-502.60599999999999</v>
      </c>
      <c r="E46" s="12" cm="1">
        <f t="array" ref="E46">_xll.BDH("NUE US Equity","PROC_FR_REPURCH_EQTY_DETAILED","FQ1 2019","FQ1 2019","Currency=USD","Period=FQ","BEST_FPERIOD_OVERRIDE=FQ","FILING_STATUS=MR","SCALING_FORMAT=MLN","Sort=A","Dates=H","DateFormat=P","Fill=—","Direction=H","UseDPDF=Y")</f>
        <v>-74.194000000000003</v>
      </c>
      <c r="F46" s="12" cm="1">
        <f t="array" ref="F46">_xll.BDH("NUE US Equity","PROC_FR_REPURCH_EQTY_DETAILED","FQ2 2019","FQ2 2019","Currency=USD","Period=FQ","BEST_FPERIOD_OVERRIDE=FQ","FILING_STATUS=MR","SCALING_FORMAT=MLN","Sort=A","Dates=H","DateFormat=P","Fill=—","Direction=H","UseDPDF=Y")</f>
        <v>-132.87100000000001</v>
      </c>
      <c r="G46" s="12" cm="1">
        <f t="array" ref="G46">_xll.BDH("NUE US Equity","PROC_FR_REPURCH_EQTY_DETAILED","FQ3 2019","FQ3 2019","Currency=USD","Period=FQ","BEST_FPERIOD_OVERRIDE=FQ","FILING_STATUS=MR","SCALING_FORMAT=MLN","Sort=A","Dates=H","DateFormat=P","Fill=—","Direction=H","UseDPDF=Y")</f>
        <v>-0.27700000000000002</v>
      </c>
      <c r="H46" s="12" cm="1">
        <f t="array" ref="H46">_xll.BDH("NUE US Equity","PROC_FR_REPURCH_EQTY_DETAILED","FQ4 2019","FQ4 2019","Currency=USD","Period=FQ","BEST_FPERIOD_OVERRIDE=FQ","FILING_STATUS=MR","SCALING_FORMAT=MLN","Sort=A","Dates=H","DateFormat=P","Fill=—","Direction=H","UseDPDF=Y")</f>
        <v>-103.238</v>
      </c>
      <c r="I46" s="12" cm="1">
        <f t="array" ref="I46">_xll.BDH("NUE US Equity","PROC_FR_REPURCH_EQTY_DETAILED","FQ1 2020","FQ1 2020","Currency=USD","Period=FQ","BEST_FPERIOD_OVERRIDE=FQ","FILING_STATUS=MR","SCALING_FORMAT=MLN","Sort=A","Dates=H","DateFormat=P","Fill=—","Direction=H","UseDPDF=Y")</f>
        <v>-39.707999999999998</v>
      </c>
      <c r="J46" s="12" cm="1">
        <f t="array" ref="J46">_xll.BDH("NUE US Equity","PROC_FR_REPURCH_EQTY_DETAILED","FQ2 2020","FQ2 2020","Currency=USD","Period=FQ","BEST_FPERIOD_OVERRIDE=FQ","FILING_STATUS=MR","SCALING_FORMAT=MLN","Sort=A","Dates=H","DateFormat=P","Fill=—","Direction=H","UseDPDF=Y")</f>
        <v>-17.053999999999998</v>
      </c>
      <c r="K46" s="12" cm="1">
        <f t="array" ref="K46">_xll.BDH("NUE US Equity","PROC_FR_REPURCH_EQTY_DETAILED","FQ3 2020","FQ3 2020","Currency=USD","Period=FQ","BEST_FPERIOD_OVERRIDE=FQ","FILING_STATUS=MR","SCALING_FORMAT=MLN","Sort=A","Dates=H","DateFormat=P","Fill=—","Direction=H","UseDPDF=Y")</f>
        <v>-0.42799999999999999</v>
      </c>
      <c r="L46" s="12" cm="1">
        <f t="array" ref="L46">_xll.BDH("NUE US Equity","PROC_FR_REPURCH_EQTY_DETAILED","FQ4 2020","FQ4 2020","Currency=USD","Period=FQ","BEST_FPERIOD_OVERRIDE=FQ","FILING_STATUS=MR","SCALING_FORMAT=MLN","Sort=A","Dates=H","DateFormat=P","Fill=—","Direction=H","UseDPDF=Y")</f>
        <v>10.435</v>
      </c>
      <c r="M46" s="12" cm="1">
        <f t="array" ref="M46">_xll.BDH("NUE US Equity","PROC_FR_REPURCH_EQTY_DETAILED","FQ1 2021","FQ1 2021","Currency=USD","Period=FQ","BEST_FPERIOD_OVERRIDE=FQ","FILING_STATUS=MR","SCALING_FORMAT=MLN","Sort=A","Dates=H","DateFormat=P","Fill=—","Direction=H","UseDPDF=Y")</f>
        <v>-208.85599999999999</v>
      </c>
      <c r="N46" s="12" cm="1">
        <f t="array" ref="N46">_xll.BDH("NUE US Equity","PROC_FR_REPURCH_EQTY_DETAILED","FQ2 2021","FQ2 2021","Currency=USD","Period=FQ","BEST_FPERIOD_OVERRIDE=FQ","FILING_STATUS=MR","SCALING_FORMAT=MLN","Sort=A","Dates=H","DateFormat=P","Fill=—","Direction=H","UseDPDF=Y")</f>
        <v>-642.90499999999997</v>
      </c>
      <c r="O46" s="12" cm="1">
        <f t="array" ref="O46">_xll.BDH("NUE US Equity","PROC_FR_REPURCH_EQTY_DETAILED","FQ3 2021","FQ3 2021","Currency=USD","Period=FQ","BEST_FPERIOD_OVERRIDE=FQ","FILING_STATUS=MR","SCALING_FORMAT=MLN","Sort=A","Dates=H","DateFormat=P","Fill=—","Direction=H","UseDPDF=Y")</f>
        <v>-849.70699999999999</v>
      </c>
      <c r="P46" s="12" cm="1">
        <f t="array" ref="P46">_xll.BDH("NUE US Equity","PROC_FR_REPURCH_EQTY_DETAILED","FQ4 2021","FQ4 2021","Currency=USD","Period=FQ","BEST_FPERIOD_OVERRIDE=FQ","FILING_STATUS=MR","SCALING_FORMAT=MLN","Sort=A","Dates=H","DateFormat=P","Fill=—","Direction=H","UseDPDF=Y")</f>
        <v>-1502.625</v>
      </c>
      <c r="Q46" s="12" cm="1">
        <f t="array" ref="Q46">_xll.BDH("NUE US Equity","PROC_FR_REPURCH_EQTY_DETAILED","FQ1 2022","FQ1 2022","Currency=USD","Period=FQ","BEST_FPERIOD_OVERRIDE=FQ","FILING_STATUS=MR","SCALING_FORMAT=MLN","Sort=A","Dates=H","DateFormat=P","Fill=—","Direction=H","UseDPDF=Y")</f>
        <v>-897.25</v>
      </c>
      <c r="R46" s="12" cm="1">
        <f t="array" ref="R46">_xll.BDH("NUE US Equity","PROC_FR_REPURCH_EQTY_DETAILED","FQ2 2022","FQ2 2022","Currency=USD","Period=FQ","BEST_FPERIOD_OVERRIDE=FQ","FILING_STATUS=MR","SCALING_FORMAT=MLN","Sort=A","Dates=H","DateFormat=P","Fill=—","Direction=H","UseDPDF=Y")</f>
        <v>-850.04200000000003</v>
      </c>
      <c r="S46" s="12" cm="1">
        <f t="array" ref="S46">_xll.BDH("NUE US Equity","PROC_FR_REPURCH_EQTY_DETAILED","FQ3 2022","FQ3 2022","Currency=USD","Period=FQ","BEST_FPERIOD_OVERRIDE=FQ","FILING_STATUS=MR","SCALING_FORMAT=MLN","Sort=A","Dates=H","DateFormat=P","Fill=—","Direction=H","UseDPDF=Y")</f>
        <v>-653.94399999999996</v>
      </c>
      <c r="T46" s="12" cm="1">
        <f t="array" ref="T46">_xll.BDH("NUE US Equity","PROC_FR_REPURCH_EQTY_DETAILED","FQ4 2022","FQ4 2022","Currency=USD","Period=FQ","BEST_FPERIOD_OVERRIDE=FQ","FILING_STATUS=MR","SCALING_FORMAT=MLN","Sort=A","Dates=H","DateFormat=P","Fill=—","Direction=H","UseDPDF=Y")</f>
        <v>-402.55900000000003</v>
      </c>
      <c r="U46" s="12" cm="1">
        <f t="array" ref="U46">_xll.BDH("NUE US Equity","PROC_FR_REPURCH_EQTY_DETAILED","FQ1 2023","FQ1 2023","Currency=USD","Period=FQ","BEST_FPERIOD_OVERRIDE=FQ","FILING_STATUS=MR","SCALING_FORMAT=MLN","Sort=A","Dates=H","DateFormat=P","Fill=—","Direction=H","UseDPDF=Y")</f>
        <v>-425.80200000000002</v>
      </c>
      <c r="V46" s="12" cm="1">
        <f t="array" ref="V46">_xll.BDH("NUE US Equity","PROC_FR_REPURCH_EQTY_DETAILED","FQ2 2023","FQ2 2023","Currency=USD","Period=FQ","BEST_FPERIOD_OVERRIDE=FQ","FILING_STATUS=MR","SCALING_FORMAT=MLN","Sort=A","Dates=H","DateFormat=P","Fill=—","Direction=H","UseDPDF=Y")</f>
        <v>-485.89299999999997</v>
      </c>
      <c r="W46" s="12" cm="1">
        <f t="array" ref="W46">_xll.BDH("NUE US Equity","PROC_FR_REPURCH_EQTY_DETAILED","FQ3 2023","FQ3 2023","Currency=USD","Period=FQ","BEST_FPERIOD_OVERRIDE=FQ","FILING_STATUS=MR","SCALING_FORMAT=MLN","Sort=A","Dates=H","DateFormat=P","Fill=—","Direction=H","UseDPDF=Y")</f>
        <v>-499.16800000000001</v>
      </c>
      <c r="X46" s="12" cm="1">
        <f t="array" ref="X46">_xll.BDH("NUE US Equity","PROC_FR_REPURCH_EQTY_DETAILED","FQ4 2023","FQ4 2023","Currency=USD","Period=FQ","BEST_FPERIOD_OVERRIDE=FQ","FILING_STATUS=MR","SCALING_FORMAT=MLN","Sort=A","Dates=H","DateFormat=P","Fill=—","Direction=H","UseDPDF=Y")</f>
        <v>-180.65700000000001</v>
      </c>
      <c r="Y46" s="12" cm="1">
        <f t="array" ref="Y46">_xll.BDH("NUE US Equity","PROC_FR_REPURCH_EQTY_DETAILED","FQ1 2024","FQ1 2024","Currency=USD","Period=FQ","BEST_FPERIOD_OVERRIDE=FQ","FILING_STATUS=MR","SCALING_FORMAT=MLN","Sort=A","Dates=H","DateFormat=P","Fill=—","Direction=H","UseDPDF=Y")</f>
        <v>-1001.415</v>
      </c>
      <c r="Z46" s="12" cm="1">
        <f t="array" ref="Z46">_xll.BDH("NUE US Equity","PROC_FR_REPURCH_EQTY_DETAILED","FQ2 2024","FQ2 2024","Currency=USD","Period=FQ","BEST_FPERIOD_OVERRIDE=FQ","FILING_STATUS=MR","SCALING_FORMAT=MLN","Sort=A","Dates=H","DateFormat=P","Fill=—","Direction=H","UseDPDF=Y")</f>
        <v>-543.529</v>
      </c>
      <c r="AA46" s="12" cm="1">
        <f t="array" ref="AA46">_xll.BDH("NUE US Equity","PROC_FR_REPURCH_EQTY_DETAILED","FQ3 2024","FQ3 2024","Currency=USD","Period=FQ","BEST_FPERIOD_OVERRIDE=FQ","FILING_STATUS=MR","SCALING_FORMAT=MLN","Sort=A","Dates=H","DateFormat=P","Fill=—","Direction=H","UseDPDF=Y")</f>
        <v>-403.48599999999999</v>
      </c>
      <c r="AB46" s="12" cm="1">
        <f t="array" ref="AB46">_xll.BDH("NUE US Equity","PROC_FR_REPURCH_EQTY_DETAILED","FQ4 2024","FQ4 2024","Currency=USD","Period=FQ","BEST_FPERIOD_OVERRIDE=FQ","FILING_STATUS=MR","SCALING_FORMAT=MLN","Sort=A","Dates=H","DateFormat=P","Fill=—","Direction=H","UseDPDF=Y")</f>
        <v>-317.57</v>
      </c>
      <c r="AC46" s="12" cm="1">
        <f t="array" ref="AC46">_xll.BDH("NUE US Equity","PROC_FR_REPURCH_EQTY_DETAILED","FQ1 2025","FQ1 2025","Currency=USD","Period=FQ","BEST_FPERIOD_OVERRIDE=FQ","FILING_STATUS=MR","SCALING_FORMAT=MLN","Sort=A","Dates=H","DateFormat=P","Fill=—","Direction=H","UseDPDF=Y")</f>
        <v>-300</v>
      </c>
      <c r="AD46" s="12" cm="1">
        <f t="array" ref="AD46">_xll.BDH("NUE US Equity","PROC_FR_REPURCH_EQTY_DETAILED","FQ2 2025","FQ2 2025","Currency=USD","Period=FQ","BEST_FPERIOD_OVERRIDE=FQ","FILING_STATUS=MR","SCALING_FORMAT=MLN","Sort=A","Dates=H","DateFormat=P","Fill=—","Direction=H","UseDPDF=Y")</f>
        <v>-231</v>
      </c>
      <c r="AE46" s="12" cm="1">
        <f t="array" ref="AE46">_xll.BDH("NUE US Equity","PROC_FR_REPURCH_EQTY_DETAILED","FQ3 2025","FQ3 2025","Currency=USD","Period=FQ","BEST_FPERIOD_OVERRIDE=FQ","FILING_STATUS=MR","SCALING_FORMAT=MLN","Sort=A","Dates=H","DateFormat=P","Fill=—","Direction=H","UseDPDF=Y")</f>
        <v>-100</v>
      </c>
      <c r="AF46" s="12" cm="1">
        <f t="array" ref="AF46">_xll.BDH("NUE US Equity","PROC_FR_REPURCH_EQTY_DETAILED","FQ4 2025","FQ4 2025","Currency=USD","Period=FQ","BEST_FPERIOD_OVERRIDE=FQ","FILING_STATUS=MR","SCALING_FORMAT=MLN","Sort=A","Dates=H","DateFormat=P","Fill=—","Direction=H","UseDPDF=Y")</f>
        <v>-96</v>
      </c>
    </row>
    <row r="47" spans="1:32" x14ac:dyDescent="0.25">
      <c r="A47" s="10" t="s">
        <v>137</v>
      </c>
      <c r="B47" s="10" t="s">
        <v>138</v>
      </c>
      <c r="C47" s="12" cm="1">
        <f t="array" ref="C47">_xll.BDH("NUE US Equity","CF_INCR_CAP_STOCK","FQ3 2018","FQ3 2018","Currency=USD","Period=FQ","BEST_FPERIOD_OVERRIDE=FQ","FILING_STATUS=MR","SCALING_FORMAT=MLN","Sort=A","Dates=H","DateFormat=P","Fill=—","Direction=H","UseDPDF=Y")</f>
        <v>11.821999999999999</v>
      </c>
      <c r="D47" s="12" t="str" cm="1">
        <f t="array" ref="D47">_xll.BDH("NUE US Equity","CF_INCR_CAP_STOCK","FQ4 2018","FQ4 2018","Currency=USD","Period=FQ","BEST_FPERIOD_OVERRIDE=FQ","FILING_STATUS=MR","SCALING_FORMAT=MLN","Sort=A","Dates=H","DateFormat=P","Fill=—","Direction=H","UseDPDF=Y")</f>
        <v>—</v>
      </c>
      <c r="E47" s="12" cm="1">
        <f t="array" ref="E47">_xll.BDH("NUE US Equity","CF_INCR_CAP_STOCK","FQ1 2019","FQ1 2019","Currency=USD","Period=FQ","BEST_FPERIOD_OVERRIDE=FQ","FILING_STATUS=MR","SCALING_FORMAT=MLN","Sort=A","Dates=H","DateFormat=P","Fill=—","Direction=H","UseDPDF=Y")</f>
        <v>0</v>
      </c>
      <c r="F47" s="12" cm="1">
        <f t="array" ref="F47">_xll.BDH("NUE US Equity","CF_INCR_CAP_STOCK","FQ2 2019","FQ2 2019","Currency=USD","Period=FQ","BEST_FPERIOD_OVERRIDE=FQ","FILING_STATUS=MR","SCALING_FORMAT=MLN","Sort=A","Dates=H","DateFormat=P","Fill=—","Direction=H","UseDPDF=Y")</f>
        <v>5.8920000000000003</v>
      </c>
      <c r="G47" s="12" cm="1">
        <f t="array" ref="G47">_xll.BDH("NUE US Equity","CF_INCR_CAP_STOCK","FQ3 2019","FQ3 2019","Currency=USD","Period=FQ","BEST_FPERIOD_OVERRIDE=FQ","FILING_STATUS=MR","SCALING_FORMAT=MLN","Sort=A","Dates=H","DateFormat=P","Fill=—","Direction=H","UseDPDF=Y")</f>
        <v>0</v>
      </c>
      <c r="H47" s="12" cm="1">
        <f t="array" ref="H47">_xll.BDH("NUE US Equity","CF_INCR_CAP_STOCK","FQ4 2019","FQ4 2019","Currency=USD","Period=FQ","BEST_FPERIOD_OVERRIDE=FQ","FILING_STATUS=MR","SCALING_FORMAT=MLN","Sort=A","Dates=H","DateFormat=P","Fill=—","Direction=H","UseDPDF=Y")</f>
        <v>7.1159999999999997</v>
      </c>
      <c r="I47" s="12" cm="1">
        <f t="array" ref="I47">_xll.BDH("NUE US Equity","CF_INCR_CAP_STOCK","FQ1 2020","FQ1 2020","Currency=USD","Period=FQ","BEST_FPERIOD_OVERRIDE=FQ","FILING_STATUS=MR","SCALING_FORMAT=MLN","Sort=A","Dates=H","DateFormat=P","Fill=—","Direction=H","UseDPDF=Y")</f>
        <v>0</v>
      </c>
      <c r="J47" s="12" cm="1">
        <f t="array" ref="J47">_xll.BDH("NUE US Equity","CF_INCR_CAP_STOCK","FQ2 2020","FQ2 2020","Currency=USD","Period=FQ","BEST_FPERIOD_OVERRIDE=FQ","FILING_STATUS=MR","SCALING_FORMAT=MLN","Sort=A","Dates=H","DateFormat=P","Fill=—","Direction=H","UseDPDF=Y")</f>
        <v>0</v>
      </c>
      <c r="K47" s="12" cm="1">
        <f t="array" ref="K47">_xll.BDH("NUE US Equity","CF_INCR_CAP_STOCK","FQ3 2020","FQ3 2020","Currency=USD","Period=FQ","BEST_FPERIOD_OVERRIDE=FQ","FILING_STATUS=MR","SCALING_FORMAT=MLN","Sort=A","Dates=H","DateFormat=P","Fill=—","Direction=H","UseDPDF=Y")</f>
        <v>0</v>
      </c>
      <c r="L47" s="12" cm="1">
        <f t="array" ref="L47">_xll.BDH("NUE US Equity","CF_INCR_CAP_STOCK","FQ4 2020","FQ4 2020","Currency=USD","Period=FQ","BEST_FPERIOD_OVERRIDE=FQ","FILING_STATUS=MR","SCALING_FORMAT=MLN","Sort=A","Dates=H","DateFormat=P","Fill=—","Direction=H","UseDPDF=Y")</f>
        <v>11.846</v>
      </c>
      <c r="M47" s="12" cm="1">
        <f t="array" ref="M47">_xll.BDH("NUE US Equity","CF_INCR_CAP_STOCK","FQ1 2021","FQ1 2021","Currency=USD","Period=FQ","BEST_FPERIOD_OVERRIDE=FQ","FILING_STATUS=MR","SCALING_FORMAT=MLN","Sort=A","Dates=H","DateFormat=P","Fill=—","Direction=H","UseDPDF=Y")</f>
        <v>107.524</v>
      </c>
      <c r="N47" s="12" cm="1">
        <f t="array" ref="N47">_xll.BDH("NUE US Equity","CF_INCR_CAP_STOCK","FQ2 2021","FQ2 2021","Currency=USD","Period=FQ","BEST_FPERIOD_OVERRIDE=FQ","FILING_STATUS=MR","SCALING_FORMAT=MLN","Sort=A","Dates=H","DateFormat=P","Fill=—","Direction=H","UseDPDF=Y")</f>
        <v>21.276</v>
      </c>
      <c r="O47" s="12" cm="1">
        <f t="array" ref="O47">_xll.BDH("NUE US Equity","CF_INCR_CAP_STOCK","FQ3 2021","FQ3 2021","Currency=USD","Period=FQ","BEST_FPERIOD_OVERRIDE=FQ","FILING_STATUS=MR","SCALING_FORMAT=MLN","Sort=A","Dates=H","DateFormat=P","Fill=—","Direction=H","UseDPDF=Y")</f>
        <v>15.074</v>
      </c>
      <c r="P47" s="12" cm="1">
        <f t="array" ref="P47">_xll.BDH("NUE US Equity","CF_INCR_CAP_STOCK","FQ4 2021","FQ4 2021","Currency=USD","Period=FQ","BEST_FPERIOD_OVERRIDE=FQ","FILING_STATUS=MR","SCALING_FORMAT=MLN","Sort=A","Dates=H","DateFormat=P","Fill=—","Direction=H","UseDPDF=Y")</f>
        <v>1.381</v>
      </c>
      <c r="Q47" s="12" cm="1">
        <f t="array" ref="Q47">_xll.BDH("NUE US Equity","CF_INCR_CAP_STOCK","FQ1 2022","FQ1 2022","Currency=USD","Period=FQ","BEST_FPERIOD_OVERRIDE=FQ","FILING_STATUS=MR","SCALING_FORMAT=MLN","Sort=A","Dates=H","DateFormat=P","Fill=—","Direction=H","UseDPDF=Y")</f>
        <v>16.585999999999999</v>
      </c>
      <c r="R47" s="12" cm="1">
        <f t="array" ref="R47">_xll.BDH("NUE US Equity","CF_INCR_CAP_STOCK","FQ2 2022","FQ2 2022","Currency=USD","Period=FQ","BEST_FPERIOD_OVERRIDE=FQ","FILING_STATUS=MR","SCALING_FORMAT=MLN","Sort=A","Dates=H","DateFormat=P","Fill=—","Direction=H","UseDPDF=Y")</f>
        <v>2.2330000000000001</v>
      </c>
      <c r="S47" s="12" cm="1">
        <f t="array" ref="S47">_xll.BDH("NUE US Equity","CF_INCR_CAP_STOCK","FQ3 2022","FQ3 2022","Currency=USD","Period=FQ","BEST_FPERIOD_OVERRIDE=FQ","FILING_STATUS=MR","SCALING_FORMAT=MLN","Sort=A","Dates=H","DateFormat=P","Fill=—","Direction=H","UseDPDF=Y")</f>
        <v>2.7850000000000001</v>
      </c>
      <c r="T47" s="12" cm="1">
        <f t="array" ref="T47">_xll.BDH("NUE US Equity","CF_INCR_CAP_STOCK","FQ4 2022","FQ4 2022","Currency=USD","Period=FQ","BEST_FPERIOD_OVERRIDE=FQ","FILING_STATUS=MR","SCALING_FORMAT=MLN","Sort=A","Dates=H","DateFormat=P","Fill=—","Direction=H","UseDPDF=Y")</f>
        <v>1.248</v>
      </c>
      <c r="U47" s="12" cm="1">
        <f t="array" ref="U47">_xll.BDH("NUE US Equity","CF_INCR_CAP_STOCK","FQ1 2023","FQ1 2023","Currency=USD","Period=FQ","BEST_FPERIOD_OVERRIDE=FQ","FILING_STATUS=MR","SCALING_FORMAT=MLN","Sort=A","Dates=H","DateFormat=P","Fill=—","Direction=H","UseDPDF=Y")</f>
        <v>7.1230000000000002</v>
      </c>
      <c r="V47" s="12" cm="1">
        <f t="array" ref="V47">_xll.BDH("NUE US Equity","CF_INCR_CAP_STOCK","FQ2 2023","FQ2 2023","Currency=USD","Period=FQ","BEST_FPERIOD_OVERRIDE=FQ","FILING_STATUS=MR","SCALING_FORMAT=MLN","Sort=A","Dates=H","DateFormat=P","Fill=—","Direction=H","UseDPDF=Y")</f>
        <v>0</v>
      </c>
      <c r="W47" s="12" cm="1">
        <f t="array" ref="W47">_xll.BDH("NUE US Equity","CF_INCR_CAP_STOCK","FQ3 2023","FQ3 2023","Currency=USD","Period=FQ","BEST_FPERIOD_OVERRIDE=FQ","FILING_STATUS=MR","SCALING_FORMAT=MLN","Sort=A","Dates=H","DateFormat=P","Fill=—","Direction=H","UseDPDF=Y")</f>
        <v>3.2269999999999999</v>
      </c>
      <c r="X47" s="12" cm="1">
        <f t="array" ref="X47">_xll.BDH("NUE US Equity","CF_INCR_CAP_STOCK","FQ4 2023","FQ4 2023","Currency=USD","Period=FQ","BEST_FPERIOD_OVERRIDE=FQ","FILING_STATUS=MR","SCALING_FORMAT=MLN","Sort=A","Dates=H","DateFormat=P","Fill=—","Direction=H","UseDPDF=Y")</f>
        <v>1.381</v>
      </c>
      <c r="Y47" s="12" cm="1">
        <f t="array" ref="Y47">_xll.BDH("NUE US Equity","CF_INCR_CAP_STOCK","FQ1 2024","FQ1 2024","Currency=USD","Period=FQ","BEST_FPERIOD_OVERRIDE=FQ","FILING_STATUS=MR","SCALING_FORMAT=MLN","Sort=A","Dates=H","DateFormat=P","Fill=—","Direction=H","UseDPDF=Y")</f>
        <v>3.165</v>
      </c>
      <c r="Z47" s="12" cm="1">
        <f t="array" ref="Z47">_xll.BDH("NUE US Equity","CF_INCR_CAP_STOCK","FQ2 2024","FQ2 2024","Currency=USD","Period=FQ","BEST_FPERIOD_OVERRIDE=FQ","FILING_STATUS=MR","SCALING_FORMAT=MLN","Sort=A","Dates=H","DateFormat=P","Fill=—","Direction=H","UseDPDF=Y")</f>
        <v>0.192</v>
      </c>
      <c r="AA47" s="12" cm="1">
        <f t="array" ref="AA47">_xll.BDH("NUE US Equity","CF_INCR_CAP_STOCK","FQ3 2024","FQ3 2024","Currency=USD","Period=FQ","BEST_FPERIOD_OVERRIDE=FQ","FILING_STATUS=MR","SCALING_FORMAT=MLN","Sort=A","Dates=H","DateFormat=P","Fill=—","Direction=H","UseDPDF=Y")</f>
        <v>0</v>
      </c>
      <c r="AB47" s="12" cm="1">
        <f t="array" ref="AB47">_xll.BDH("NUE US Equity","CF_INCR_CAP_STOCK","FQ4 2024","FQ4 2024","Currency=USD","Period=FQ","BEST_FPERIOD_OVERRIDE=FQ","FILING_STATUS=MR","SCALING_FORMAT=MLN","Sort=A","Dates=H","DateFormat=P","Fill=—","Direction=H","UseDPDF=Y")</f>
        <v>0.64300000000000002</v>
      </c>
      <c r="AC47" s="12" cm="1">
        <f t="array" ref="AC47">_xll.BDH("NUE US Equity","CF_INCR_CAP_STOCK","FQ1 2025","FQ1 2025","Currency=USD","Period=FQ","BEST_FPERIOD_OVERRIDE=FQ","FILING_STATUS=MR","SCALING_FORMAT=MLN","Sort=A","Dates=H","DateFormat=P","Fill=—","Direction=H","UseDPDF=Y")</f>
        <v>0</v>
      </c>
      <c r="AD47" s="12" cm="1">
        <f t="array" ref="AD47">_xll.BDH("NUE US Equity","CF_INCR_CAP_STOCK","FQ2 2025","FQ2 2025","Currency=USD","Period=FQ","BEST_FPERIOD_OVERRIDE=FQ","FILING_STATUS=MR","SCALING_FORMAT=MLN","Sort=A","Dates=H","DateFormat=P","Fill=—","Direction=H","UseDPDF=Y")</f>
        <v>0</v>
      </c>
      <c r="AE47" s="12" cm="1">
        <f t="array" ref="AE47">_xll.BDH("NUE US Equity","CF_INCR_CAP_STOCK","FQ3 2025","FQ3 2025","Currency=USD","Period=FQ","BEST_FPERIOD_OVERRIDE=FQ","FILING_STATUS=MR","SCALING_FORMAT=MLN","Sort=A","Dates=H","DateFormat=P","Fill=—","Direction=H","UseDPDF=Y")</f>
        <v>1</v>
      </c>
      <c r="AF47" s="12" cm="1">
        <f t="array" ref="AF47">_xll.BDH("NUE US Equity","CF_INCR_CAP_STOCK","FQ4 2025","FQ4 2025","Currency=USD","Period=FQ","BEST_FPERIOD_OVERRIDE=FQ","FILING_STATUS=MR","SCALING_FORMAT=MLN","Sort=A","Dates=H","DateFormat=P","Fill=—","Direction=H","UseDPDF=Y")</f>
        <v>4</v>
      </c>
    </row>
    <row r="48" spans="1:32" x14ac:dyDescent="0.25">
      <c r="A48" s="10" t="s">
        <v>139</v>
      </c>
      <c r="B48" s="10" t="s">
        <v>140</v>
      </c>
      <c r="C48" s="12" cm="1">
        <f t="array" ref="C48">_xll.BDH("NUE US Equity","CF_DECR_CAP_STOCK","FQ3 2018","FQ3 2018","Currency=USD","Period=FQ","BEST_FPERIOD_OVERRIDE=FQ","FILING_STATUS=MR","SCALING_FORMAT=MLN","Sort=A","Dates=H","DateFormat=P","Fill=—","Direction=H","UseDPDF=Y")</f>
        <v>-183.69200000000001</v>
      </c>
      <c r="D48" s="12" cm="1">
        <f t="array" ref="D48">_xll.BDH("NUE US Equity","CF_DECR_CAP_STOCK","FQ4 2018","FQ4 2018","Currency=USD","Period=FQ","BEST_FPERIOD_OVERRIDE=FQ","FILING_STATUS=MR","SCALING_FORMAT=MLN","Sort=A","Dates=H","DateFormat=P","Fill=—","Direction=H","UseDPDF=Y")</f>
        <v>-502.60599999999999</v>
      </c>
      <c r="E48" s="12" cm="1">
        <f t="array" ref="E48">_xll.BDH("NUE US Equity","CF_DECR_CAP_STOCK","FQ1 2019","FQ1 2019","Currency=USD","Period=FQ","BEST_FPERIOD_OVERRIDE=FQ","FILING_STATUS=MR","SCALING_FORMAT=MLN","Sort=A","Dates=H","DateFormat=P","Fill=—","Direction=H","UseDPDF=Y")</f>
        <v>-74.194000000000003</v>
      </c>
      <c r="F48" s="12" cm="1">
        <f t="array" ref="F48">_xll.BDH("NUE US Equity","CF_DECR_CAP_STOCK","FQ2 2019","FQ2 2019","Currency=USD","Period=FQ","BEST_FPERIOD_OVERRIDE=FQ","FILING_STATUS=MR","SCALING_FORMAT=MLN","Sort=A","Dates=H","DateFormat=P","Fill=—","Direction=H","UseDPDF=Y")</f>
        <v>-138.76300000000001</v>
      </c>
      <c r="G48" s="12" cm="1">
        <f t="array" ref="G48">_xll.BDH("NUE US Equity","CF_DECR_CAP_STOCK","FQ3 2019","FQ3 2019","Currency=USD","Period=FQ","BEST_FPERIOD_OVERRIDE=FQ","FILING_STATUS=MR","SCALING_FORMAT=MLN","Sort=A","Dates=H","DateFormat=P","Fill=—","Direction=H","UseDPDF=Y")</f>
        <v>-0.27700000000000002</v>
      </c>
      <c r="H48" s="12" cm="1">
        <f t="array" ref="H48">_xll.BDH("NUE US Equity","CF_DECR_CAP_STOCK","FQ4 2019","FQ4 2019","Currency=USD","Period=FQ","BEST_FPERIOD_OVERRIDE=FQ","FILING_STATUS=MR","SCALING_FORMAT=MLN","Sort=A","Dates=H","DateFormat=P","Fill=—","Direction=H","UseDPDF=Y")</f>
        <v>-110.354</v>
      </c>
      <c r="I48" s="12" cm="1">
        <f t="array" ref="I48">_xll.BDH("NUE US Equity","CF_DECR_CAP_STOCK","FQ1 2020","FQ1 2020","Currency=USD","Period=FQ","BEST_FPERIOD_OVERRIDE=FQ","FILING_STATUS=MR","SCALING_FORMAT=MLN","Sort=A","Dates=H","DateFormat=P","Fill=—","Direction=H","UseDPDF=Y")</f>
        <v>-39.707999999999998</v>
      </c>
      <c r="J48" s="12" cm="1">
        <f t="array" ref="J48">_xll.BDH("NUE US Equity","CF_DECR_CAP_STOCK","FQ2 2020","FQ2 2020","Currency=USD","Period=FQ","BEST_FPERIOD_OVERRIDE=FQ","FILING_STATUS=MR","SCALING_FORMAT=MLN","Sort=A","Dates=H","DateFormat=P","Fill=—","Direction=H","UseDPDF=Y")</f>
        <v>-17.053999999999998</v>
      </c>
      <c r="K48" s="12" cm="1">
        <f t="array" ref="K48">_xll.BDH("NUE US Equity","CF_DECR_CAP_STOCK","FQ3 2020","FQ3 2020","Currency=USD","Period=FQ","BEST_FPERIOD_OVERRIDE=FQ","FILING_STATUS=MR","SCALING_FORMAT=MLN","Sort=A","Dates=H","DateFormat=P","Fill=—","Direction=H","UseDPDF=Y")</f>
        <v>-0.42799999999999999</v>
      </c>
      <c r="L48" s="12" cm="1">
        <f t="array" ref="L48">_xll.BDH("NUE US Equity","CF_DECR_CAP_STOCK","FQ4 2020","FQ4 2020","Currency=USD","Period=FQ","BEST_FPERIOD_OVERRIDE=FQ","FILING_STATUS=MR","SCALING_FORMAT=MLN","Sort=A","Dates=H","DateFormat=P","Fill=—","Direction=H","UseDPDF=Y")</f>
        <v>-1.411</v>
      </c>
      <c r="M48" s="12" cm="1">
        <f t="array" ref="M48">_xll.BDH("NUE US Equity","CF_DECR_CAP_STOCK","FQ1 2021","FQ1 2021","Currency=USD","Period=FQ","BEST_FPERIOD_OVERRIDE=FQ","FILING_STATUS=MR","SCALING_FORMAT=MLN","Sort=A","Dates=H","DateFormat=P","Fill=—","Direction=H","UseDPDF=Y")</f>
        <v>-316.38</v>
      </c>
      <c r="N48" s="12" cm="1">
        <f t="array" ref="N48">_xll.BDH("NUE US Equity","CF_DECR_CAP_STOCK","FQ2 2021","FQ2 2021","Currency=USD","Period=FQ","BEST_FPERIOD_OVERRIDE=FQ","FILING_STATUS=MR","SCALING_FORMAT=MLN","Sort=A","Dates=H","DateFormat=P","Fill=—","Direction=H","UseDPDF=Y")</f>
        <v>-664.18100000000004</v>
      </c>
      <c r="O48" s="12" cm="1">
        <f t="array" ref="O48">_xll.BDH("NUE US Equity","CF_DECR_CAP_STOCK","FQ3 2021","FQ3 2021","Currency=USD","Period=FQ","BEST_FPERIOD_OVERRIDE=FQ","FILING_STATUS=MR","SCALING_FORMAT=MLN","Sort=A","Dates=H","DateFormat=P","Fill=—","Direction=H","UseDPDF=Y")</f>
        <v>-864.78099999999995</v>
      </c>
      <c r="P48" s="12" cm="1">
        <f t="array" ref="P48">_xll.BDH("NUE US Equity","CF_DECR_CAP_STOCK","FQ4 2021","FQ4 2021","Currency=USD","Period=FQ","BEST_FPERIOD_OVERRIDE=FQ","FILING_STATUS=MR","SCALING_FORMAT=MLN","Sort=A","Dates=H","DateFormat=P","Fill=—","Direction=H","UseDPDF=Y")</f>
        <v>-1504.0060000000001</v>
      </c>
      <c r="Q48" s="12" cm="1">
        <f t="array" ref="Q48">_xll.BDH("NUE US Equity","CF_DECR_CAP_STOCK","FQ1 2022","FQ1 2022","Currency=USD","Period=FQ","BEST_FPERIOD_OVERRIDE=FQ","FILING_STATUS=MR","SCALING_FORMAT=MLN","Sort=A","Dates=H","DateFormat=P","Fill=—","Direction=H","UseDPDF=Y")</f>
        <v>-913.83600000000001</v>
      </c>
      <c r="R48" s="12" cm="1">
        <f t="array" ref="R48">_xll.BDH("NUE US Equity","CF_DECR_CAP_STOCK","FQ2 2022","FQ2 2022","Currency=USD","Period=FQ","BEST_FPERIOD_OVERRIDE=FQ","FILING_STATUS=MR","SCALING_FORMAT=MLN","Sort=A","Dates=H","DateFormat=P","Fill=—","Direction=H","UseDPDF=Y")</f>
        <v>-852.27499999999998</v>
      </c>
      <c r="S48" s="12" cm="1">
        <f t="array" ref="S48">_xll.BDH("NUE US Equity","CF_DECR_CAP_STOCK","FQ3 2022","FQ3 2022","Currency=USD","Period=FQ","BEST_FPERIOD_OVERRIDE=FQ","FILING_STATUS=MR","SCALING_FORMAT=MLN","Sort=A","Dates=H","DateFormat=P","Fill=—","Direction=H","UseDPDF=Y")</f>
        <v>-656.72900000000004</v>
      </c>
      <c r="T48" s="12" cm="1">
        <f t="array" ref="T48">_xll.BDH("NUE US Equity","CF_DECR_CAP_STOCK","FQ4 2022","FQ4 2022","Currency=USD","Period=FQ","BEST_FPERIOD_OVERRIDE=FQ","FILING_STATUS=MR","SCALING_FORMAT=MLN","Sort=A","Dates=H","DateFormat=P","Fill=—","Direction=H","UseDPDF=Y")</f>
        <v>-403.80700000000002</v>
      </c>
      <c r="U48" s="12" cm="1">
        <f t="array" ref="U48">_xll.BDH("NUE US Equity","CF_DECR_CAP_STOCK","FQ1 2023","FQ1 2023","Currency=USD","Period=FQ","BEST_FPERIOD_OVERRIDE=FQ","FILING_STATUS=MR","SCALING_FORMAT=MLN","Sort=A","Dates=H","DateFormat=P","Fill=—","Direction=H","UseDPDF=Y")</f>
        <v>-432.92500000000001</v>
      </c>
      <c r="V48" s="12" cm="1">
        <f t="array" ref="V48">_xll.BDH("NUE US Equity","CF_DECR_CAP_STOCK","FQ2 2023","FQ2 2023","Currency=USD","Period=FQ","BEST_FPERIOD_OVERRIDE=FQ","FILING_STATUS=MR","SCALING_FORMAT=MLN","Sort=A","Dates=H","DateFormat=P","Fill=—","Direction=H","UseDPDF=Y")</f>
        <v>-485.89299999999997</v>
      </c>
      <c r="W48" s="12" cm="1">
        <f t="array" ref="W48">_xll.BDH("NUE US Equity","CF_DECR_CAP_STOCK","FQ3 2023","FQ3 2023","Currency=USD","Period=FQ","BEST_FPERIOD_OVERRIDE=FQ","FILING_STATUS=MR","SCALING_FORMAT=MLN","Sort=A","Dates=H","DateFormat=P","Fill=—","Direction=H","UseDPDF=Y")</f>
        <v>-502.39499999999998</v>
      </c>
      <c r="X48" s="12" cm="1">
        <f t="array" ref="X48">_xll.BDH("NUE US Equity","CF_DECR_CAP_STOCK","FQ4 2023","FQ4 2023","Currency=USD","Period=FQ","BEST_FPERIOD_OVERRIDE=FQ","FILING_STATUS=MR","SCALING_FORMAT=MLN","Sort=A","Dates=H","DateFormat=P","Fill=—","Direction=H","UseDPDF=Y")</f>
        <v>-182.03800000000001</v>
      </c>
      <c r="Y48" s="12" cm="1">
        <f t="array" ref="Y48">_xll.BDH("NUE US Equity","CF_DECR_CAP_STOCK","FQ1 2024","FQ1 2024","Currency=USD","Period=FQ","BEST_FPERIOD_OVERRIDE=FQ","FILING_STATUS=MR","SCALING_FORMAT=MLN","Sort=A","Dates=H","DateFormat=P","Fill=—","Direction=H","UseDPDF=Y")</f>
        <v>-1004.58</v>
      </c>
      <c r="Z48" s="12" cm="1">
        <f t="array" ref="Z48">_xll.BDH("NUE US Equity","CF_DECR_CAP_STOCK","FQ2 2024","FQ2 2024","Currency=USD","Period=FQ","BEST_FPERIOD_OVERRIDE=FQ","FILING_STATUS=MR","SCALING_FORMAT=MLN","Sort=A","Dates=H","DateFormat=P","Fill=—","Direction=H","UseDPDF=Y")</f>
        <v>-543.721</v>
      </c>
      <c r="AA48" s="12" cm="1">
        <f t="array" ref="AA48">_xll.BDH("NUE US Equity","CF_DECR_CAP_STOCK","FQ3 2024","FQ3 2024","Currency=USD","Period=FQ","BEST_FPERIOD_OVERRIDE=FQ","FILING_STATUS=MR","SCALING_FORMAT=MLN","Sort=A","Dates=H","DateFormat=P","Fill=—","Direction=H","UseDPDF=Y")</f>
        <v>-403.48599999999999</v>
      </c>
      <c r="AB48" s="12" cm="1">
        <f t="array" ref="AB48">_xll.BDH("NUE US Equity","CF_DECR_CAP_STOCK","FQ4 2024","FQ4 2024","Currency=USD","Period=FQ","BEST_FPERIOD_OVERRIDE=FQ","FILING_STATUS=MR","SCALING_FORMAT=MLN","Sort=A","Dates=H","DateFormat=P","Fill=—","Direction=H","UseDPDF=Y")</f>
        <v>-318.21300000000002</v>
      </c>
      <c r="AC48" s="12" cm="1">
        <f t="array" ref="AC48">_xll.BDH("NUE US Equity","CF_DECR_CAP_STOCK","FQ1 2025","FQ1 2025","Currency=USD","Period=FQ","BEST_FPERIOD_OVERRIDE=FQ","FILING_STATUS=MR","SCALING_FORMAT=MLN","Sort=A","Dates=H","DateFormat=P","Fill=—","Direction=H","UseDPDF=Y")</f>
        <v>-300</v>
      </c>
      <c r="AD48" s="12" cm="1">
        <f t="array" ref="AD48">_xll.BDH("NUE US Equity","CF_DECR_CAP_STOCK","FQ2 2025","FQ2 2025","Currency=USD","Period=FQ","BEST_FPERIOD_OVERRIDE=FQ","FILING_STATUS=MR","SCALING_FORMAT=MLN","Sort=A","Dates=H","DateFormat=P","Fill=—","Direction=H","UseDPDF=Y")</f>
        <v>-231</v>
      </c>
      <c r="AE48" s="12" cm="1">
        <f t="array" ref="AE48">_xll.BDH("NUE US Equity","CF_DECR_CAP_STOCK","FQ3 2025","FQ3 2025","Currency=USD","Period=FQ","BEST_FPERIOD_OVERRIDE=FQ","FILING_STATUS=MR","SCALING_FORMAT=MLN","Sort=A","Dates=H","DateFormat=P","Fill=—","Direction=H","UseDPDF=Y")</f>
        <v>-101</v>
      </c>
      <c r="AF48" s="12" cm="1">
        <f t="array" ref="AF48">_xll.BDH("NUE US Equity","CF_DECR_CAP_STOCK","FQ4 2025","FQ4 2025","Currency=USD","Period=FQ","BEST_FPERIOD_OVERRIDE=FQ","FILING_STATUS=MR","SCALING_FORMAT=MLN","Sort=A","Dates=H","DateFormat=P","Fill=—","Direction=H","UseDPDF=Y")</f>
        <v>-100</v>
      </c>
    </row>
    <row r="49" spans="1:32" x14ac:dyDescent="0.25">
      <c r="A49" s="10" t="s">
        <v>141</v>
      </c>
      <c r="B49" s="10" t="s">
        <v>142</v>
      </c>
      <c r="C49" s="12" cm="1">
        <f t="array" ref="C49">_xll.BDH("NUE US Equity","OTHER_FIN_AND_DEC_CAP","FQ3 2018","FQ3 2018","Currency=USD","Period=FQ","BEST_FPERIOD_OVERRIDE=FQ","FILING_STATUS=MR","SCALING_FORMAT=MLN","Sort=A","Dates=H","DateFormat=P","Fill=—","Direction=H","UseDPDF=Y")</f>
        <v>-10.733000000000001</v>
      </c>
      <c r="D49" s="12" cm="1">
        <f t="array" ref="D49">_xll.BDH("NUE US Equity","OTHER_FIN_AND_DEC_CAP","FQ4 2018","FQ4 2018","Currency=USD","Period=FQ","BEST_FPERIOD_OVERRIDE=FQ","FILING_STATUS=MR","SCALING_FORMAT=MLN","Sort=A","Dates=H","DateFormat=P","Fill=—","Direction=H","UseDPDF=Y")</f>
        <v>-9.1620000000000008</v>
      </c>
      <c r="E49" s="12" cm="1">
        <f t="array" ref="E49">_xll.BDH("NUE US Equity","OTHER_FIN_AND_DEC_CAP","FQ1 2019","FQ1 2019","Currency=USD","Period=FQ","BEST_FPERIOD_OVERRIDE=FQ","FILING_STATUS=MR","SCALING_FORMAT=MLN","Sort=A","Dates=H","DateFormat=P","Fill=—","Direction=H","UseDPDF=Y")</f>
        <v>-52.348999999999997</v>
      </c>
      <c r="F49" s="12" cm="1">
        <f t="array" ref="F49">_xll.BDH("NUE US Equity","OTHER_FIN_AND_DEC_CAP","FQ2 2019","FQ2 2019","Currency=USD","Period=FQ","BEST_FPERIOD_OVERRIDE=FQ","FILING_STATUS=MR","SCALING_FORMAT=MLN","Sort=A","Dates=H","DateFormat=P","Fill=—","Direction=H","UseDPDF=Y")</f>
        <v>-19.376999999999999</v>
      </c>
      <c r="G49" s="12" cm="1">
        <f t="array" ref="G49">_xll.BDH("NUE US Equity","OTHER_FIN_AND_DEC_CAP","FQ3 2019","FQ3 2019","Currency=USD","Period=FQ","BEST_FPERIOD_OVERRIDE=FQ","FILING_STATUS=MR","SCALING_FORMAT=MLN","Sort=A","Dates=H","DateFormat=P","Fill=—","Direction=H","UseDPDF=Y")</f>
        <v>-6.0529999999999999</v>
      </c>
      <c r="H49" s="12" cm="1">
        <f t="array" ref="H49">_xll.BDH("NUE US Equity","OTHER_FIN_AND_DEC_CAP","FQ4 2019","FQ4 2019","Currency=USD","Period=FQ","BEST_FPERIOD_OVERRIDE=FQ","FILING_STATUS=MR","SCALING_FORMAT=MLN","Sort=A","Dates=H","DateFormat=P","Fill=—","Direction=H","UseDPDF=Y")</f>
        <v>-7.7</v>
      </c>
      <c r="I49" s="12" cm="1">
        <f t="array" ref="I49">_xll.BDH("NUE US Equity","OTHER_FIN_AND_DEC_CAP","FQ1 2020","FQ1 2020","Currency=USD","Period=FQ","BEST_FPERIOD_OVERRIDE=FQ","FILING_STATUS=MR","SCALING_FORMAT=MLN","Sort=A","Dates=H","DateFormat=P","Fill=—","Direction=H","UseDPDF=Y")</f>
        <v>-41.783000000000001</v>
      </c>
      <c r="J49" s="12" cm="1">
        <f t="array" ref="J49">_xll.BDH("NUE US Equity","OTHER_FIN_AND_DEC_CAP","FQ2 2020","FQ2 2020","Currency=USD","Period=FQ","BEST_FPERIOD_OVERRIDE=FQ","FILING_STATUS=MR","SCALING_FORMAT=MLN","Sort=A","Dates=H","DateFormat=P","Fill=—","Direction=H","UseDPDF=Y")</f>
        <v>-32.076999999999998</v>
      </c>
      <c r="K49" s="12" cm="1">
        <f t="array" ref="K49">_xll.BDH("NUE US Equity","OTHER_FIN_AND_DEC_CAP","FQ3 2020","FQ3 2020","Currency=USD","Period=FQ","BEST_FPERIOD_OVERRIDE=FQ","FILING_STATUS=MR","SCALING_FORMAT=MLN","Sort=A","Dates=H","DateFormat=P","Fill=—","Direction=H","UseDPDF=Y")</f>
        <v>-45.566000000000003</v>
      </c>
      <c r="L49" s="12" cm="1">
        <f t="array" ref="L49">_xll.BDH("NUE US Equity","OTHER_FIN_AND_DEC_CAP","FQ4 2020","FQ4 2020","Currency=USD","Period=FQ","BEST_FPERIOD_OVERRIDE=FQ","FILING_STATUS=MR","SCALING_FORMAT=MLN","Sort=A","Dates=H","DateFormat=P","Fill=—","Direction=H","UseDPDF=Y")</f>
        <v>-192.25700000000001</v>
      </c>
      <c r="M49" s="12" cm="1">
        <f t="array" ref="M49">_xll.BDH("NUE US Equity","OTHER_FIN_AND_DEC_CAP","FQ1 2021","FQ1 2021","Currency=USD","Period=FQ","BEST_FPERIOD_OVERRIDE=FQ","FILING_STATUS=MR","SCALING_FORMAT=MLN","Sort=A","Dates=H","DateFormat=P","Fill=—","Direction=H","UseDPDF=Y")</f>
        <v>-76.3</v>
      </c>
      <c r="N49" s="12" cm="1">
        <f t="array" ref="N49">_xll.BDH("NUE US Equity","OTHER_FIN_AND_DEC_CAP","FQ2 2021","FQ2 2021","Currency=USD","Period=FQ","BEST_FPERIOD_OVERRIDE=FQ","FILING_STATUS=MR","SCALING_FORMAT=MLN","Sort=A","Dates=H","DateFormat=P","Fill=—","Direction=H","UseDPDF=Y")</f>
        <v>-25.968</v>
      </c>
      <c r="O49" s="12" cm="1">
        <f t="array" ref="O49">_xll.BDH("NUE US Equity","OTHER_FIN_AND_DEC_CAP","FQ3 2021","FQ3 2021","Currency=USD","Period=FQ","BEST_FPERIOD_OVERRIDE=FQ","FILING_STATUS=MR","SCALING_FORMAT=MLN","Sort=A","Dates=H","DateFormat=P","Fill=—","Direction=H","UseDPDF=Y")</f>
        <v>-26.344000000000001</v>
      </c>
      <c r="P49" s="12" cm="1">
        <f t="array" ref="P49">_xll.BDH("NUE US Equity","OTHER_FIN_AND_DEC_CAP","FQ4 2021","FQ4 2021","Currency=USD","Period=FQ","BEST_FPERIOD_OVERRIDE=FQ","FILING_STATUS=MR","SCALING_FORMAT=MLN","Sort=A","Dates=H","DateFormat=P","Fill=—","Direction=H","UseDPDF=Y")</f>
        <v>-33.512</v>
      </c>
      <c r="Q49" s="12" cm="1">
        <f t="array" ref="Q49">_xll.BDH("NUE US Equity","OTHER_FIN_AND_DEC_CAP","FQ1 2022","FQ1 2022","Currency=USD","Period=FQ","BEST_FPERIOD_OVERRIDE=FQ","FILING_STATUS=MR","SCALING_FORMAT=MLN","Sort=A","Dates=H","DateFormat=P","Fill=—","Direction=H","UseDPDF=Y")</f>
        <v>-223.82900000000001</v>
      </c>
      <c r="R49" s="12" cm="1">
        <f t="array" ref="R49">_xll.BDH("NUE US Equity","OTHER_FIN_AND_DEC_CAP","FQ2 2022","FQ2 2022","Currency=USD","Period=FQ","BEST_FPERIOD_OVERRIDE=FQ","FILING_STATUS=MR","SCALING_FORMAT=MLN","Sort=A","Dates=H","DateFormat=P","Fill=—","Direction=H","UseDPDF=Y")</f>
        <v>50.097000000000001</v>
      </c>
      <c r="S49" s="12" cm="1">
        <f t="array" ref="S49">_xll.BDH("NUE US Equity","OTHER_FIN_AND_DEC_CAP","FQ3 2022","FQ3 2022","Currency=USD","Period=FQ","BEST_FPERIOD_OVERRIDE=FQ","FILING_STATUS=MR","SCALING_FORMAT=MLN","Sort=A","Dates=H","DateFormat=P","Fill=—","Direction=H","UseDPDF=Y")</f>
        <v>113.73699999999999</v>
      </c>
      <c r="T49" s="12" cm="1">
        <f t="array" ref="T49">_xll.BDH("NUE US Equity","OTHER_FIN_AND_DEC_CAP","FQ4 2022","FQ4 2022","Currency=USD","Period=FQ","BEST_FPERIOD_OVERRIDE=FQ","FILING_STATUS=MR","SCALING_FORMAT=MLN","Sort=A","Dates=H","DateFormat=P","Fill=—","Direction=H","UseDPDF=Y")</f>
        <v>-35.776000000000003</v>
      </c>
      <c r="U49" s="12" cm="1">
        <f t="array" ref="U49">_xll.BDH("NUE US Equity","OTHER_FIN_AND_DEC_CAP","FQ1 2023","FQ1 2023","Currency=USD","Period=FQ","BEST_FPERIOD_OVERRIDE=FQ","FILING_STATUS=MR","SCALING_FORMAT=MLN","Sort=A","Dates=H","DateFormat=P","Fill=—","Direction=H","UseDPDF=Y")</f>
        <v>-342.08199999999999</v>
      </c>
      <c r="V49" s="12" cm="1">
        <f t="array" ref="V49">_xll.BDH("NUE US Equity","OTHER_FIN_AND_DEC_CAP","FQ2 2023","FQ2 2023","Currency=USD","Period=FQ","BEST_FPERIOD_OVERRIDE=FQ","FILING_STATUS=MR","SCALING_FORMAT=MLN","Sort=A","Dates=H","DateFormat=P","Fill=—","Direction=H","UseDPDF=Y")</f>
        <v>-54.984999999999999</v>
      </c>
      <c r="W49" s="12" cm="1">
        <f t="array" ref="W49">_xll.BDH("NUE US Equity","OTHER_FIN_AND_DEC_CAP","FQ3 2023","FQ3 2023","Currency=USD","Period=FQ","BEST_FPERIOD_OVERRIDE=FQ","FILING_STATUS=MR","SCALING_FORMAT=MLN","Sort=A","Dates=H","DateFormat=P","Fill=—","Direction=H","UseDPDF=Y")</f>
        <v>-27.774000000000001</v>
      </c>
      <c r="X49" s="12" cm="1">
        <f t="array" ref="X49">_xll.BDH("NUE US Equity","OTHER_FIN_AND_DEC_CAP","FQ4 2023","FQ4 2023","Currency=USD","Period=FQ","BEST_FPERIOD_OVERRIDE=FQ","FILING_STATUS=MR","SCALING_FORMAT=MLN","Sort=A","Dates=H","DateFormat=P","Fill=—","Direction=H","UseDPDF=Y")</f>
        <v>-27.045999999999999</v>
      </c>
      <c r="Y49" s="12" cm="1">
        <f t="array" ref="Y49">_xll.BDH("NUE US Equity","OTHER_FIN_AND_DEC_CAP","FQ1 2024","FQ1 2024","Currency=USD","Period=FQ","BEST_FPERIOD_OVERRIDE=FQ","FILING_STATUS=MR","SCALING_FORMAT=MLN","Sort=A","Dates=H","DateFormat=P","Fill=—","Direction=H","UseDPDF=Y")</f>
        <v>-268.85399999999998</v>
      </c>
      <c r="Z49" s="12" cm="1">
        <f t="array" ref="Z49">_xll.BDH("NUE US Equity","OTHER_FIN_AND_DEC_CAP","FQ2 2024","FQ2 2024","Currency=USD","Period=FQ","BEST_FPERIOD_OVERRIDE=FQ","FILING_STATUS=MR","SCALING_FORMAT=MLN","Sort=A","Dates=H","DateFormat=P","Fill=—","Direction=H","UseDPDF=Y")</f>
        <v>-53.4</v>
      </c>
      <c r="AA49" s="12" cm="1">
        <f t="array" ref="AA49">_xll.BDH("NUE US Equity","OTHER_FIN_AND_DEC_CAP","FQ3 2024","FQ3 2024","Currency=USD","Period=FQ","BEST_FPERIOD_OVERRIDE=FQ","FILING_STATUS=MR","SCALING_FORMAT=MLN","Sort=A","Dates=H","DateFormat=P","Fill=—","Direction=H","UseDPDF=Y")</f>
        <v>-21.869</v>
      </c>
      <c r="AB49" s="12" cm="1">
        <f t="array" ref="AB49">_xll.BDH("NUE US Equity","OTHER_FIN_AND_DEC_CAP","FQ4 2024","FQ4 2024","Currency=USD","Period=FQ","BEST_FPERIOD_OVERRIDE=FQ","FILING_STATUS=MR","SCALING_FORMAT=MLN","Sort=A","Dates=H","DateFormat=P","Fill=—","Direction=H","UseDPDF=Y")</f>
        <v>-20.876999999999999</v>
      </c>
      <c r="AC49" s="12" cm="1">
        <f t="array" ref="AC49">_xll.BDH("NUE US Equity","OTHER_FIN_AND_DEC_CAP","FQ1 2025","FQ1 2025","Currency=USD","Period=FQ","BEST_FPERIOD_OVERRIDE=FQ","FILING_STATUS=MR","SCALING_FORMAT=MLN","Sort=A","Dates=H","DateFormat=P","Fill=—","Direction=H","UseDPDF=Y")</f>
        <v>912</v>
      </c>
      <c r="AD49" s="12" cm="1">
        <f t="array" ref="AD49">_xll.BDH("NUE US Equity","OTHER_FIN_AND_DEC_CAP","FQ2 2025","FQ2 2025","Currency=USD","Period=FQ","BEST_FPERIOD_OVERRIDE=FQ","FILING_STATUS=MR","SCALING_FORMAT=MLN","Sort=A","Dates=H","DateFormat=P","Fill=—","Direction=H","UseDPDF=Y")</f>
        <v>-1041</v>
      </c>
      <c r="AE49" s="12" cm="1">
        <f t="array" ref="AE49">_xll.BDH("NUE US Equity","OTHER_FIN_AND_DEC_CAP","FQ3 2025","FQ3 2025","Currency=USD","Period=FQ","BEST_FPERIOD_OVERRIDE=FQ","FILING_STATUS=MR","SCALING_FORMAT=MLN","Sort=A","Dates=H","DateFormat=P","Fill=—","Direction=H","UseDPDF=Y")</f>
        <v>-20</v>
      </c>
      <c r="AF49" s="12" cm="1">
        <f t="array" ref="AF49">_xll.BDH("NUE US Equity","OTHER_FIN_AND_DEC_CAP","FQ4 2025","FQ4 2025","Currency=USD","Period=FQ","BEST_FPERIOD_OVERRIDE=FQ","FILING_STATUS=MR","SCALING_FORMAT=MLN","Sort=A","Dates=H","DateFormat=P","Fill=—","Direction=H","UseDPDF=Y")</f>
        <v>193</v>
      </c>
    </row>
    <row r="50" spans="1:32" x14ac:dyDescent="0.25">
      <c r="A50" s="10" t="s">
        <v>88</v>
      </c>
      <c r="B50" s="10" t="s">
        <v>143</v>
      </c>
      <c r="C50" s="12" cm="1">
        <f t="array" ref="C50">_xll.BDH("NUE US Equity","CF_NET_CASH_DISCONTINUED_OPS_FIN","FQ3 2018","FQ3 2018","Currency=USD","Period=FQ","BEST_FPERIOD_OVERRIDE=FQ","FILING_STATUS=MR","SCALING_FORMAT=MLN","Sort=A","Dates=H","DateFormat=P","Fill=—","Direction=H","UseDPDF=Y")</f>
        <v>0</v>
      </c>
      <c r="D50" s="12" cm="1">
        <f t="array" ref="D50">_xll.BDH("NUE US Equity","CF_NET_CASH_DISCONTINUED_OPS_FIN","FQ4 2018","FQ4 2018","Currency=USD","Period=FQ","BEST_FPERIOD_OVERRIDE=FQ","FILING_STATUS=MR","SCALING_FORMAT=MLN","Sort=A","Dates=H","DateFormat=P","Fill=—","Direction=H","UseDPDF=Y")</f>
        <v>0</v>
      </c>
      <c r="E50" s="12" cm="1">
        <f t="array" ref="E50">_xll.BDH("NUE US Equity","CF_NET_CASH_DISCONTINUED_OPS_FIN","FQ1 2019","FQ1 2019","Currency=USD","Period=FQ","BEST_FPERIOD_OVERRIDE=FQ","FILING_STATUS=MR","SCALING_FORMAT=MLN","Sort=A","Dates=H","DateFormat=P","Fill=—","Direction=H","UseDPDF=Y")</f>
        <v>0</v>
      </c>
      <c r="F50" s="12" cm="1">
        <f t="array" ref="F50">_xll.BDH("NUE US Equity","CF_NET_CASH_DISCONTINUED_OPS_FIN","FQ2 2019","FQ2 2019","Currency=USD","Period=FQ","BEST_FPERIOD_OVERRIDE=FQ","FILING_STATUS=MR","SCALING_FORMAT=MLN","Sort=A","Dates=H","DateFormat=P","Fill=—","Direction=H","UseDPDF=Y")</f>
        <v>0</v>
      </c>
      <c r="G50" s="12" cm="1">
        <f t="array" ref="G50">_xll.BDH("NUE US Equity","CF_NET_CASH_DISCONTINUED_OPS_FIN","FQ3 2019","FQ3 2019","Currency=USD","Period=FQ","BEST_FPERIOD_OVERRIDE=FQ","FILING_STATUS=MR","SCALING_FORMAT=MLN","Sort=A","Dates=H","DateFormat=P","Fill=—","Direction=H","UseDPDF=Y")</f>
        <v>0</v>
      </c>
      <c r="H50" s="12" cm="1">
        <f t="array" ref="H50">_xll.BDH("NUE US Equity","CF_NET_CASH_DISCONTINUED_OPS_FIN","FQ4 2019","FQ4 2019","Currency=USD","Period=FQ","BEST_FPERIOD_OVERRIDE=FQ","FILING_STATUS=MR","SCALING_FORMAT=MLN","Sort=A","Dates=H","DateFormat=P","Fill=—","Direction=H","UseDPDF=Y")</f>
        <v>0</v>
      </c>
      <c r="I50" s="12" cm="1">
        <f t="array" ref="I50">_xll.BDH("NUE US Equity","CF_NET_CASH_DISCONTINUED_OPS_FIN","FQ1 2020","FQ1 2020","Currency=USD","Period=FQ","BEST_FPERIOD_OVERRIDE=FQ","FILING_STATUS=MR","SCALING_FORMAT=MLN","Sort=A","Dates=H","DateFormat=P","Fill=—","Direction=H","UseDPDF=Y")</f>
        <v>0</v>
      </c>
      <c r="J50" s="12" cm="1">
        <f t="array" ref="J50">_xll.BDH("NUE US Equity","CF_NET_CASH_DISCONTINUED_OPS_FIN","FQ2 2020","FQ2 2020","Currency=USD","Period=FQ","BEST_FPERIOD_OVERRIDE=FQ","FILING_STATUS=MR","SCALING_FORMAT=MLN","Sort=A","Dates=H","DateFormat=P","Fill=—","Direction=H","UseDPDF=Y")</f>
        <v>0</v>
      </c>
      <c r="K50" s="12" cm="1">
        <f t="array" ref="K50">_xll.BDH("NUE US Equity","CF_NET_CASH_DISCONTINUED_OPS_FIN","FQ3 2020","FQ3 2020","Currency=USD","Period=FQ","BEST_FPERIOD_OVERRIDE=FQ","FILING_STATUS=MR","SCALING_FORMAT=MLN","Sort=A","Dates=H","DateFormat=P","Fill=—","Direction=H","UseDPDF=Y")</f>
        <v>0</v>
      </c>
      <c r="L50" s="12" cm="1">
        <f t="array" ref="L50">_xll.BDH("NUE US Equity","CF_NET_CASH_DISCONTINUED_OPS_FIN","FQ4 2020","FQ4 2020","Currency=USD","Period=FQ","BEST_FPERIOD_OVERRIDE=FQ","FILING_STATUS=MR","SCALING_FORMAT=MLN","Sort=A","Dates=H","DateFormat=P","Fill=—","Direction=H","UseDPDF=Y")</f>
        <v>0</v>
      </c>
      <c r="M50" s="12" cm="1">
        <f t="array" ref="M50">_xll.BDH("NUE US Equity","CF_NET_CASH_DISCONTINUED_OPS_FIN","FQ1 2021","FQ1 2021","Currency=USD","Period=FQ","BEST_FPERIOD_OVERRIDE=FQ","FILING_STATUS=MR","SCALING_FORMAT=MLN","Sort=A","Dates=H","DateFormat=P","Fill=—","Direction=H","UseDPDF=Y")</f>
        <v>0</v>
      </c>
      <c r="N50" s="12" cm="1">
        <f t="array" ref="N50">_xll.BDH("NUE US Equity","CF_NET_CASH_DISCONTINUED_OPS_FIN","FQ2 2021","FQ2 2021","Currency=USD","Period=FQ","BEST_FPERIOD_OVERRIDE=FQ","FILING_STATUS=MR","SCALING_FORMAT=MLN","Sort=A","Dates=H","DateFormat=P","Fill=—","Direction=H","UseDPDF=Y")</f>
        <v>0</v>
      </c>
      <c r="O50" s="12" cm="1">
        <f t="array" ref="O50">_xll.BDH("NUE US Equity","CF_NET_CASH_DISCONTINUED_OPS_FIN","FQ3 2021","FQ3 2021","Currency=USD","Period=FQ","BEST_FPERIOD_OVERRIDE=FQ","FILING_STATUS=MR","SCALING_FORMAT=MLN","Sort=A","Dates=H","DateFormat=P","Fill=—","Direction=H","UseDPDF=Y")</f>
        <v>0</v>
      </c>
      <c r="P50" s="12" cm="1">
        <f t="array" ref="P50">_xll.BDH("NUE US Equity","CF_NET_CASH_DISCONTINUED_OPS_FIN","FQ4 2021","FQ4 2021","Currency=USD","Period=FQ","BEST_FPERIOD_OVERRIDE=FQ","FILING_STATUS=MR","SCALING_FORMAT=MLN","Sort=A","Dates=H","DateFormat=P","Fill=—","Direction=H","UseDPDF=Y")</f>
        <v>0</v>
      </c>
      <c r="Q50" s="12" cm="1">
        <f t="array" ref="Q50">_xll.BDH("NUE US Equity","CF_NET_CASH_DISCONTINUED_OPS_FIN","FQ1 2022","FQ1 2022","Currency=USD","Period=FQ","BEST_FPERIOD_OVERRIDE=FQ","FILING_STATUS=MR","SCALING_FORMAT=MLN","Sort=A","Dates=H","DateFormat=P","Fill=—","Direction=H","UseDPDF=Y")</f>
        <v>0</v>
      </c>
      <c r="R50" s="12" cm="1">
        <f t="array" ref="R50">_xll.BDH("NUE US Equity","CF_NET_CASH_DISCONTINUED_OPS_FIN","FQ2 2022","FQ2 2022","Currency=USD","Period=FQ","BEST_FPERIOD_OVERRIDE=FQ","FILING_STATUS=MR","SCALING_FORMAT=MLN","Sort=A","Dates=H","DateFormat=P","Fill=—","Direction=H","UseDPDF=Y")</f>
        <v>0</v>
      </c>
      <c r="S50" s="12" cm="1">
        <f t="array" ref="S50">_xll.BDH("NUE US Equity","CF_NET_CASH_DISCONTINUED_OPS_FIN","FQ3 2022","FQ3 2022","Currency=USD","Period=FQ","BEST_FPERIOD_OVERRIDE=FQ","FILING_STATUS=MR","SCALING_FORMAT=MLN","Sort=A","Dates=H","DateFormat=P","Fill=—","Direction=H","UseDPDF=Y")</f>
        <v>0</v>
      </c>
      <c r="T50" s="12" cm="1">
        <f t="array" ref="T50">_xll.BDH("NUE US Equity","CF_NET_CASH_DISCONTINUED_OPS_FIN","FQ4 2022","FQ4 2022","Currency=USD","Period=FQ","BEST_FPERIOD_OVERRIDE=FQ","FILING_STATUS=MR","SCALING_FORMAT=MLN","Sort=A","Dates=H","DateFormat=P","Fill=—","Direction=H","UseDPDF=Y")</f>
        <v>0</v>
      </c>
      <c r="U50" s="12" cm="1">
        <f t="array" ref="U50">_xll.BDH("NUE US Equity","CF_NET_CASH_DISCONTINUED_OPS_FIN","FQ1 2023","FQ1 2023","Currency=USD","Period=FQ","BEST_FPERIOD_OVERRIDE=FQ","FILING_STATUS=MR","SCALING_FORMAT=MLN","Sort=A","Dates=H","DateFormat=P","Fill=—","Direction=H","UseDPDF=Y")</f>
        <v>0</v>
      </c>
      <c r="V50" s="12" cm="1">
        <f t="array" ref="V50">_xll.BDH("NUE US Equity","CF_NET_CASH_DISCONTINUED_OPS_FIN","FQ2 2023","FQ2 2023","Currency=USD","Period=FQ","BEST_FPERIOD_OVERRIDE=FQ","FILING_STATUS=MR","SCALING_FORMAT=MLN","Sort=A","Dates=H","DateFormat=P","Fill=—","Direction=H","UseDPDF=Y")</f>
        <v>0</v>
      </c>
      <c r="W50" s="12" cm="1">
        <f t="array" ref="W50">_xll.BDH("NUE US Equity","CF_NET_CASH_DISCONTINUED_OPS_FIN","FQ3 2023","FQ3 2023","Currency=USD","Period=FQ","BEST_FPERIOD_OVERRIDE=FQ","FILING_STATUS=MR","SCALING_FORMAT=MLN","Sort=A","Dates=H","DateFormat=P","Fill=—","Direction=H","UseDPDF=Y")</f>
        <v>0</v>
      </c>
      <c r="X50" s="12" cm="1">
        <f t="array" ref="X50">_xll.BDH("NUE US Equity","CF_NET_CASH_DISCONTINUED_OPS_FIN","FQ4 2023","FQ4 2023","Currency=USD","Period=FQ","BEST_FPERIOD_OVERRIDE=FQ","FILING_STATUS=MR","SCALING_FORMAT=MLN","Sort=A","Dates=H","DateFormat=P","Fill=—","Direction=H","UseDPDF=Y")</f>
        <v>0</v>
      </c>
      <c r="Y50" s="12" cm="1">
        <f t="array" ref="Y50">_xll.BDH("NUE US Equity","CF_NET_CASH_DISCONTINUED_OPS_FIN","FQ1 2024","FQ1 2024","Currency=USD","Period=FQ","BEST_FPERIOD_OVERRIDE=FQ","FILING_STATUS=MR","SCALING_FORMAT=MLN","Sort=A","Dates=H","DateFormat=P","Fill=—","Direction=H","UseDPDF=Y")</f>
        <v>0</v>
      </c>
      <c r="Z50" s="12" cm="1">
        <f t="array" ref="Z50">_xll.BDH("NUE US Equity","CF_NET_CASH_DISCONTINUED_OPS_FIN","FQ2 2024","FQ2 2024","Currency=USD","Period=FQ","BEST_FPERIOD_OVERRIDE=FQ","FILING_STATUS=MR","SCALING_FORMAT=MLN","Sort=A","Dates=H","DateFormat=P","Fill=—","Direction=H","UseDPDF=Y")</f>
        <v>0</v>
      </c>
      <c r="AA50" s="12" cm="1">
        <f t="array" ref="AA50">_xll.BDH("NUE US Equity","CF_NET_CASH_DISCONTINUED_OPS_FIN","FQ3 2024","FQ3 2024","Currency=USD","Period=FQ","BEST_FPERIOD_OVERRIDE=FQ","FILING_STATUS=MR","SCALING_FORMAT=MLN","Sort=A","Dates=H","DateFormat=P","Fill=—","Direction=H","UseDPDF=Y")</f>
        <v>0</v>
      </c>
      <c r="AB50" s="12" cm="1">
        <f t="array" ref="AB50">_xll.BDH("NUE US Equity","CF_NET_CASH_DISCONTINUED_OPS_FIN","FQ4 2024","FQ4 2024","Currency=USD","Period=FQ","BEST_FPERIOD_OVERRIDE=FQ","FILING_STATUS=MR","SCALING_FORMAT=MLN","Sort=A","Dates=H","DateFormat=P","Fill=—","Direction=H","UseDPDF=Y")</f>
        <v>0</v>
      </c>
      <c r="AC50" s="12" cm="1">
        <f t="array" ref="AC50">_xll.BDH("NUE US Equity","CF_NET_CASH_DISCONTINUED_OPS_FIN","FQ1 2025","FQ1 2025","Currency=USD","Period=FQ","BEST_FPERIOD_OVERRIDE=FQ","FILING_STATUS=MR","SCALING_FORMAT=MLN","Sort=A","Dates=H","DateFormat=P","Fill=—","Direction=H","UseDPDF=Y")</f>
        <v>0</v>
      </c>
      <c r="AD50" s="12" cm="1">
        <f t="array" ref="AD50">_xll.BDH("NUE US Equity","CF_NET_CASH_DISCONTINUED_OPS_FIN","FQ2 2025","FQ2 2025","Currency=USD","Period=FQ","BEST_FPERIOD_OVERRIDE=FQ","FILING_STATUS=MR","SCALING_FORMAT=MLN","Sort=A","Dates=H","DateFormat=P","Fill=—","Direction=H","UseDPDF=Y")</f>
        <v>0</v>
      </c>
      <c r="AE50" s="12" cm="1">
        <f t="array" ref="AE50">_xll.BDH("NUE US Equity","CF_NET_CASH_DISCONTINUED_OPS_FIN","FQ3 2025","FQ3 2025","Currency=USD","Period=FQ","BEST_FPERIOD_OVERRIDE=FQ","FILING_STATUS=MR","SCALING_FORMAT=MLN","Sort=A","Dates=H","DateFormat=P","Fill=—","Direction=H","UseDPDF=Y")</f>
        <v>0</v>
      </c>
      <c r="AF50" s="12" cm="1">
        <f t="array" ref="AF50">_xll.BDH("NUE US Equity","CF_NET_CASH_DISCONTINUED_OPS_FIN","FQ4 2025","FQ4 2025","Currency=USD","Period=FQ","BEST_FPERIOD_OVERRIDE=FQ","FILING_STATUS=MR","SCALING_FORMAT=MLN","Sort=A","Dates=H","DateFormat=P","Fill=—","Direction=H","UseDPDF=Y")</f>
        <v>0</v>
      </c>
    </row>
    <row r="51" spans="1:32" x14ac:dyDescent="0.25">
      <c r="A51" s="6" t="s">
        <v>124</v>
      </c>
      <c r="B51" s="6" t="s">
        <v>144</v>
      </c>
      <c r="C51" s="15" cm="1">
        <f t="array" ref="C51">_xll.BDH("NUE US Equity","CFF_ACTIVITIES_DETAILED","FQ3 2018","FQ3 2018","Currency=USD","Period=FQ","BEST_FPERIOD_OVERRIDE=FQ","FILING_STATUS=MR","SCALING_FORMAT=MLN","Sort=A","Dates=H","DateFormat=P","Fill=—","Direction=H","UseDPDF=Y")</f>
        <v>-310.27499999999998</v>
      </c>
      <c r="D51" s="15" cm="1">
        <f t="array" ref="D51">_xll.BDH("NUE US Equity","CFF_ACTIVITIES_DETAILED","FQ4 2018","FQ4 2018","Currency=USD","Period=FQ","BEST_FPERIOD_OVERRIDE=FQ","FILING_STATUS=MR","SCALING_FORMAT=MLN","Sort=A","Dates=H","DateFormat=P","Fill=—","Direction=H","UseDPDF=Y")</f>
        <v>-627.12</v>
      </c>
      <c r="E51" s="15" cm="1">
        <f t="array" ref="E51">_xll.BDH("NUE US Equity","CFF_ACTIVITIES_DETAILED","FQ1 2019","FQ1 2019","Currency=USD","Period=FQ","BEST_FPERIOD_OVERRIDE=FQ","FILING_STATUS=MR","SCALING_FORMAT=MLN","Sort=A","Dates=H","DateFormat=P","Fill=—","Direction=H","UseDPDF=Y")</f>
        <v>-233.238</v>
      </c>
      <c r="F51" s="15" cm="1">
        <f t="array" ref="F51">_xll.BDH("NUE US Equity","CFF_ACTIVITIES_DETAILED","FQ2 2019","FQ2 2019","Currency=USD","Period=FQ","BEST_FPERIOD_OVERRIDE=FQ","FILING_STATUS=MR","SCALING_FORMAT=MLN","Sort=A","Dates=H","DateFormat=P","Fill=—","Direction=H","UseDPDF=Y")</f>
        <v>-289.81</v>
      </c>
      <c r="G51" s="15" cm="1">
        <f t="array" ref="G51">_xll.BDH("NUE US Equity","CFF_ACTIVITIES_DETAILED","FQ3 2019","FQ3 2019","Currency=USD","Period=FQ","BEST_FPERIOD_OVERRIDE=FQ","FILING_STATUS=MR","SCALING_FORMAT=MLN","Sort=A","Dates=H","DateFormat=P","Fill=—","Direction=H","UseDPDF=Y")</f>
        <v>-141.488</v>
      </c>
      <c r="H51" s="15" cm="1">
        <f t="array" ref="H51">_xll.BDH("NUE US Equity","CFF_ACTIVITIES_DETAILED","FQ4 2019","FQ4 2019","Currency=USD","Period=FQ","BEST_FPERIOD_OVERRIDE=FQ","FILING_STATUS=MR","SCALING_FORMAT=MLN","Sort=A","Dates=H","DateFormat=P","Fill=—","Direction=H","UseDPDF=Y")</f>
        <v>-215.874</v>
      </c>
      <c r="I51" s="15" cm="1">
        <f t="array" ref="I51">_xll.BDH("NUE US Equity","CFF_ACTIVITIES_DETAILED","FQ1 2020","FQ1 2020","Currency=USD","Period=FQ","BEST_FPERIOD_OVERRIDE=FQ","FILING_STATUS=MR","SCALING_FORMAT=MLN","Sort=A","Dates=H","DateFormat=P","Fill=—","Direction=H","UseDPDF=Y")</f>
        <v>-228.614</v>
      </c>
      <c r="J51" s="15" cm="1">
        <f t="array" ref="J51">_xll.BDH("NUE US Equity","CFF_ACTIVITIES_DETAILED","FQ2 2020","FQ2 2020","Currency=USD","Period=FQ","BEST_FPERIOD_OVERRIDE=FQ","FILING_STATUS=MR","SCALING_FORMAT=MLN","Sort=A","Dates=H","DateFormat=P","Fill=—","Direction=H","UseDPDF=Y")</f>
        <v>852.42600000000004</v>
      </c>
      <c r="K51" s="15" cm="1">
        <f t="array" ref="K51">_xll.BDH("NUE US Equity","CFF_ACTIVITIES_DETAILED","FQ3 2020","FQ3 2020","Currency=USD","Period=FQ","BEST_FPERIOD_OVERRIDE=FQ","FILING_STATUS=MR","SCALING_FORMAT=MLN","Sort=A","Dates=H","DateFormat=P","Fill=—","Direction=H","UseDPDF=Y")</f>
        <v>-27.245000000000001</v>
      </c>
      <c r="L51" s="15" cm="1">
        <f t="array" ref="L51">_xll.BDH("NUE US Equity","CFF_ACTIVITIES_DETAILED","FQ4 2020","FQ4 2020","Currency=USD","Period=FQ","BEST_FPERIOD_OVERRIDE=FQ","FILING_STATUS=MR","SCALING_FORMAT=MLN","Sort=A","Dates=H","DateFormat=P","Fill=—","Direction=H","UseDPDF=Y")</f>
        <v>-310.71300000000002</v>
      </c>
      <c r="M51" s="15" cm="1">
        <f t="array" ref="M51">_xll.BDH("NUE US Equity","CFF_ACTIVITIES_DETAILED","FQ1 2021","FQ1 2021","Currency=USD","Period=FQ","BEST_FPERIOD_OVERRIDE=FQ","FILING_STATUS=MR","SCALING_FORMAT=MLN","Sort=A","Dates=H","DateFormat=P","Fill=—","Direction=H","UseDPDF=Y")</f>
        <v>-410.66399999999999</v>
      </c>
      <c r="N51" s="15" cm="1">
        <f t="array" ref="N51">_xll.BDH("NUE US Equity","CFF_ACTIVITIES_DETAILED","FQ2 2021","FQ2 2021","Currency=USD","Period=FQ","BEST_FPERIOD_OVERRIDE=FQ","FILING_STATUS=MR","SCALING_FORMAT=MLN","Sort=A","Dates=H","DateFormat=P","Fill=—","Direction=H","UseDPDF=Y")</f>
        <v>-747.12400000000002</v>
      </c>
      <c r="O51" s="15" cm="1">
        <f t="array" ref="O51">_xll.BDH("NUE US Equity","CFF_ACTIVITIES_DETAILED","FQ3 2021","FQ3 2021","Currency=USD","Period=FQ","BEST_FPERIOD_OVERRIDE=FQ","FILING_STATUS=MR","SCALING_FORMAT=MLN","Sort=A","Dates=H","DateFormat=P","Fill=—","Direction=H","UseDPDF=Y")</f>
        <v>-797.077</v>
      </c>
      <c r="P51" s="15" cm="1">
        <f t="array" ref="P51">_xll.BDH("NUE US Equity","CFF_ACTIVITIES_DETAILED","FQ4 2021","FQ4 2021","Currency=USD","Period=FQ","BEST_FPERIOD_OVERRIDE=FQ","FILING_STATUS=MR","SCALING_FORMAT=MLN","Sort=A","Dates=H","DateFormat=P","Fill=—","Direction=H","UseDPDF=Y")</f>
        <v>-1648.0139999999999</v>
      </c>
      <c r="Q51" s="15" cm="1">
        <f t="array" ref="Q51">_xll.BDH("NUE US Equity","CFF_ACTIVITIES_DETAILED","FQ1 2022","FQ1 2022","Currency=USD","Period=FQ","BEST_FPERIOD_OVERRIDE=FQ","FILING_STATUS=MR","SCALING_FORMAT=MLN","Sort=A","Dates=H","DateFormat=P","Fill=—","Direction=H","UseDPDF=Y")</f>
        <v>-189.309</v>
      </c>
      <c r="R51" s="15" cm="1">
        <f t="array" ref="R51">_xll.BDH("NUE US Equity","CFF_ACTIVITIES_DETAILED","FQ2 2022","FQ2 2022","Currency=USD","Period=FQ","BEST_FPERIOD_OVERRIDE=FQ","FILING_STATUS=MR","SCALING_FORMAT=MLN","Sort=A","Dates=H","DateFormat=P","Fill=—","Direction=H","UseDPDF=Y")</f>
        <v>-425.03300000000002</v>
      </c>
      <c r="S51" s="15" cm="1">
        <f t="array" ref="S51">_xll.BDH("NUE US Equity","CFF_ACTIVITIES_DETAILED","FQ3 2022","FQ3 2022","Currency=USD","Period=FQ","BEST_FPERIOD_OVERRIDE=FQ","FILING_STATUS=MR","SCALING_FORMAT=MLN","Sort=A","Dates=H","DateFormat=P","Fill=—","Direction=H","UseDPDF=Y")</f>
        <v>-1310.6790000000001</v>
      </c>
      <c r="T51" s="15" cm="1">
        <f t="array" ref="T51">_xll.BDH("NUE US Equity","CFF_ACTIVITIES_DETAILED","FQ4 2022","FQ4 2022","Currency=USD","Period=FQ","BEST_FPERIOD_OVERRIDE=FQ","FILING_STATUS=MR","SCALING_FORMAT=MLN","Sort=A","Dates=H","DateFormat=P","Fill=—","Direction=H","UseDPDF=Y")</f>
        <v>-585.84199999999998</v>
      </c>
      <c r="U51" s="15" cm="1">
        <f t="array" ref="U51">_xll.BDH("NUE US Equity","CFF_ACTIVITIES_DETAILED","FQ1 2023","FQ1 2023","Currency=USD","Period=FQ","BEST_FPERIOD_OVERRIDE=FQ","FILING_STATUS=MR","SCALING_FORMAT=MLN","Sort=A","Dates=H","DateFormat=P","Fill=—","Direction=H","UseDPDF=Y")</f>
        <v>-920.67399999999998</v>
      </c>
      <c r="V51" s="15" cm="1">
        <f t="array" ref="V51">_xll.BDH("NUE US Equity","CFF_ACTIVITIES_DETAILED","FQ2 2023","FQ2 2023","Currency=USD","Period=FQ","BEST_FPERIOD_OVERRIDE=FQ","FILING_STATUS=MR","SCALING_FORMAT=MLN","Sort=A","Dates=H","DateFormat=P","Fill=—","Direction=H","UseDPDF=Y")</f>
        <v>-668.72400000000005</v>
      </c>
      <c r="W51" s="15" cm="1">
        <f t="array" ref="W51">_xll.BDH("NUE US Equity","CFF_ACTIVITIES_DETAILED","FQ3 2023","FQ3 2023","Currency=USD","Period=FQ","BEST_FPERIOD_OVERRIDE=FQ","FILING_STATUS=MR","SCALING_FORMAT=MLN","Sort=A","Dates=H","DateFormat=P","Fill=—","Direction=H","UseDPDF=Y")</f>
        <v>-654.94399999999996</v>
      </c>
      <c r="X51" s="15" cm="1">
        <f t="array" ref="X51">_xll.BDH("NUE US Equity","CFF_ACTIVITIES_DETAILED","FQ4 2023","FQ4 2023","Currency=USD","Period=FQ","BEST_FPERIOD_OVERRIDE=FQ","FILING_STATUS=MR","SCALING_FORMAT=MLN","Sort=A","Dates=H","DateFormat=P","Fill=—","Direction=H","UseDPDF=Y")</f>
        <v>-348.46899999999999</v>
      </c>
      <c r="Y51" s="15" cm="1">
        <f t="array" ref="Y51">_xll.BDH("NUE US Equity","CFF_ACTIVITIES_DETAILED","FQ1 2024","FQ1 2024","Currency=USD","Period=FQ","BEST_FPERIOD_OVERRIDE=FQ","FILING_STATUS=MR","SCALING_FORMAT=MLN","Sort=A","Dates=H","DateFormat=P","Fill=—","Direction=H","UseDPDF=Y")</f>
        <v>-1395.546</v>
      </c>
      <c r="Z51" s="15" cm="1">
        <f t="array" ref="Z51">_xll.BDH("NUE US Equity","CFF_ACTIVITIES_DETAILED","FQ2 2024","FQ2 2024","Currency=USD","Period=FQ","BEST_FPERIOD_OVERRIDE=FQ","FILING_STATUS=MR","SCALING_FORMAT=MLN","Sort=A","Dates=H","DateFormat=P","Fill=—","Direction=H","UseDPDF=Y")</f>
        <v>-691.72</v>
      </c>
      <c r="AA51" s="15" cm="1">
        <f t="array" ref="AA51">_xll.BDH("NUE US Equity","CFF_ACTIVITIES_DETAILED","FQ3 2024","FQ3 2024","Currency=USD","Period=FQ","BEST_FPERIOD_OVERRIDE=FQ","FILING_STATUS=MR","SCALING_FORMAT=MLN","Sort=A","Dates=H","DateFormat=P","Fill=—","Direction=H","UseDPDF=Y")</f>
        <v>-509.584</v>
      </c>
      <c r="AB51" s="15" cm="1">
        <f t="array" ref="AB51">_xll.BDH("NUE US Equity","CFF_ACTIVITIES_DETAILED","FQ4 2024","FQ4 2024","Currency=USD","Period=FQ","BEST_FPERIOD_OVERRIDE=FQ","FILING_STATUS=MR","SCALING_FORMAT=MLN","Sort=A","Dates=H","DateFormat=P","Fill=—","Direction=H","UseDPDF=Y")</f>
        <v>-461.15</v>
      </c>
      <c r="AC51" s="15" cm="1">
        <f t="array" ref="AC51">_xll.BDH("NUE US Equity","CFF_ACTIVITIES_DETAILED","FQ1 2025","FQ1 2025","Currency=USD","Period=FQ","BEST_FPERIOD_OVERRIDE=FQ","FILING_STATUS=MR","SCALING_FORMAT=MLN","Sort=A","Dates=H","DateFormat=P","Fill=—","Direction=H","UseDPDF=Y")</f>
        <v>414</v>
      </c>
      <c r="AD51" s="15" cm="1">
        <f t="array" ref="AD51">_xll.BDH("NUE US Equity","CFF_ACTIVITIES_DETAILED","FQ2 2025","FQ2 2025","Currency=USD","Period=FQ","BEST_FPERIOD_OVERRIDE=FQ","FILING_STATUS=MR","SCALING_FORMAT=MLN","Sort=A","Dates=H","DateFormat=P","Fill=—","Direction=H","UseDPDF=Y")</f>
        <v>-1410</v>
      </c>
      <c r="AE51" s="15" cm="1">
        <f t="array" ref="AE51">_xll.BDH("NUE US Equity","CFF_ACTIVITIES_DETAILED","FQ3 2025","FQ3 2025","Currency=USD","Period=FQ","BEST_FPERIOD_OVERRIDE=FQ","FILING_STATUS=MR","SCALING_FORMAT=MLN","Sort=A","Dates=H","DateFormat=P","Fill=—","Direction=H","UseDPDF=Y")</f>
        <v>-273</v>
      </c>
      <c r="AF51" s="15" cm="1">
        <f t="array" ref="AF51">_xll.BDH("NUE US Equity","CFF_ACTIVITIES_DETAILED","FQ4 2025","FQ4 2025","Currency=USD","Period=FQ","BEST_FPERIOD_OVERRIDE=FQ","FILING_STATUS=MR","SCALING_FORMAT=MLN","Sort=A","Dates=H","DateFormat=P","Fill=—","Direction=H","UseDPDF=Y")</f>
        <v>-46</v>
      </c>
    </row>
    <row r="52" spans="1:32" x14ac:dyDescent="0.25">
      <c r="A52" s="6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</row>
    <row r="53" spans="1:32" x14ac:dyDescent="0.25">
      <c r="A53" s="10" t="s">
        <v>145</v>
      </c>
      <c r="B53" s="10" t="s">
        <v>146</v>
      </c>
      <c r="C53" s="12" cm="1">
        <f t="array" ref="C53">_xll.BDH("NUE US Equity","CF_EFFECT_FOREIGN_EXCHANGES","FQ3 2018","FQ3 2018","Currency=USD","Period=FQ","BEST_FPERIOD_OVERRIDE=FQ","FILING_STATUS=MR","SCALING_FORMAT=MLN","Sort=A","Dates=H","DateFormat=P","Fill=—","Direction=H","UseDPDF=Y")</f>
        <v>-8.16</v>
      </c>
      <c r="D53" s="12" cm="1">
        <f t="array" ref="D53">_xll.BDH("NUE US Equity","CF_EFFECT_FOREIGN_EXCHANGES","FQ4 2018","FQ4 2018","Currency=USD","Period=FQ","BEST_FPERIOD_OVERRIDE=FQ","FILING_STATUS=MR","SCALING_FORMAT=MLN","Sort=A","Dates=H","DateFormat=P","Fill=—","Direction=H","UseDPDF=Y")</f>
        <v>-1.5409999999999999</v>
      </c>
      <c r="E53" s="12" cm="1">
        <f t="array" ref="E53">_xll.BDH("NUE US Equity","CF_EFFECT_FOREIGN_EXCHANGES","FQ1 2019","FQ1 2019","Currency=USD","Period=FQ","BEST_FPERIOD_OVERRIDE=FQ","FILING_STATUS=MR","SCALING_FORMAT=MLN","Sort=A","Dates=H","DateFormat=P","Fill=—","Direction=H","UseDPDF=Y")</f>
        <v>8.4000000000000005E-2</v>
      </c>
      <c r="F53" s="12" cm="1">
        <f t="array" ref="F53">_xll.BDH("NUE US Equity","CF_EFFECT_FOREIGN_EXCHANGES","FQ2 2019","FQ2 2019","Currency=USD","Period=FQ","BEST_FPERIOD_OVERRIDE=FQ","FILING_STATUS=MR","SCALING_FORMAT=MLN","Sort=A","Dates=H","DateFormat=P","Fill=—","Direction=H","UseDPDF=Y")</f>
        <v>0.46400000000000002</v>
      </c>
      <c r="G53" s="12" cm="1">
        <f t="array" ref="G53">_xll.BDH("NUE US Equity","CF_EFFECT_FOREIGN_EXCHANGES","FQ3 2019","FQ3 2019","Currency=USD","Period=FQ","BEST_FPERIOD_OVERRIDE=FQ","FILING_STATUS=MR","SCALING_FORMAT=MLN","Sort=A","Dates=H","DateFormat=P","Fill=—","Direction=H","UseDPDF=Y")</f>
        <v>-6.6000000000000003E-2</v>
      </c>
      <c r="H53" s="12" cm="1">
        <f t="array" ref="H53">_xll.BDH("NUE US Equity","CF_EFFECT_FOREIGN_EXCHANGES","FQ4 2019","FQ4 2019","Currency=USD","Period=FQ","BEST_FPERIOD_OVERRIDE=FQ","FILING_STATUS=MR","SCALING_FORMAT=MLN","Sort=A","Dates=H","DateFormat=P","Fill=—","Direction=H","UseDPDF=Y")</f>
        <v>0.42499999999999999</v>
      </c>
      <c r="I53" s="12" cm="1">
        <f t="array" ref="I53">_xll.BDH("NUE US Equity","CF_EFFECT_FOREIGN_EXCHANGES","FQ1 2020","FQ1 2020","Currency=USD","Period=FQ","BEST_FPERIOD_OVERRIDE=FQ","FILING_STATUS=MR","SCALING_FORMAT=MLN","Sort=A","Dates=H","DateFormat=P","Fill=—","Direction=H","UseDPDF=Y")</f>
        <v>-7.1630000000000003</v>
      </c>
      <c r="J53" s="12" cm="1">
        <f t="array" ref="J53">_xll.BDH("NUE US Equity","CF_EFFECT_FOREIGN_EXCHANGES","FQ2 2020","FQ2 2020","Currency=USD","Period=FQ","BEST_FPERIOD_OVERRIDE=FQ","FILING_STATUS=MR","SCALING_FORMAT=MLN","Sort=A","Dates=H","DateFormat=P","Fill=—","Direction=H","UseDPDF=Y")</f>
        <v>2.895</v>
      </c>
      <c r="K53" s="12" cm="1">
        <f t="array" ref="K53">_xll.BDH("NUE US Equity","CF_EFFECT_FOREIGN_EXCHANGES","FQ3 2020","FQ3 2020","Currency=USD","Period=FQ","BEST_FPERIOD_OVERRIDE=FQ","FILING_STATUS=MR","SCALING_FORMAT=MLN","Sort=A","Dates=H","DateFormat=P","Fill=—","Direction=H","UseDPDF=Y")</f>
        <v>-3.5219999999999998</v>
      </c>
      <c r="L53" s="12" cm="1">
        <f t="array" ref="L53">_xll.BDH("NUE US Equity","CF_EFFECT_FOREIGN_EXCHANGES","FQ4 2020","FQ4 2020","Currency=USD","Period=FQ","BEST_FPERIOD_OVERRIDE=FQ","FILING_STATUS=MR","SCALING_FORMAT=MLN","Sort=A","Dates=H","DateFormat=P","Fill=—","Direction=H","UseDPDF=Y")</f>
        <v>9.6769999999999996</v>
      </c>
      <c r="M53" s="12" cm="1">
        <f t="array" ref="M53">_xll.BDH("NUE US Equity","CF_EFFECT_FOREIGN_EXCHANGES","FQ1 2021","FQ1 2021","Currency=USD","Period=FQ","BEST_FPERIOD_OVERRIDE=FQ","FILING_STATUS=MR","SCALING_FORMAT=MLN","Sort=A","Dates=H","DateFormat=P","Fill=—","Direction=H","UseDPDF=Y")</f>
        <v>3.3069999999999999</v>
      </c>
      <c r="N53" s="12" cm="1">
        <f t="array" ref="N53">_xll.BDH("NUE US Equity","CF_EFFECT_FOREIGN_EXCHANGES","FQ2 2021","FQ2 2021","Currency=USD","Period=FQ","BEST_FPERIOD_OVERRIDE=FQ","FILING_STATUS=MR","SCALING_FORMAT=MLN","Sort=A","Dates=H","DateFormat=P","Fill=—","Direction=H","UseDPDF=Y")</f>
        <v>4.7720000000000002</v>
      </c>
      <c r="O53" s="12" cm="1">
        <f t="array" ref="O53">_xll.BDH("NUE US Equity","CF_EFFECT_FOREIGN_EXCHANGES","FQ3 2021","FQ3 2021","Currency=USD","Period=FQ","BEST_FPERIOD_OVERRIDE=FQ","FILING_STATUS=MR","SCALING_FORMAT=MLN","Sort=A","Dates=H","DateFormat=P","Fill=—","Direction=H","UseDPDF=Y")</f>
        <v>-6.359</v>
      </c>
      <c r="P53" s="12" cm="1">
        <f t="array" ref="P53">_xll.BDH("NUE US Equity","CF_EFFECT_FOREIGN_EXCHANGES","FQ4 2021","FQ4 2021","Currency=USD","Period=FQ","BEST_FPERIOD_OVERRIDE=FQ","FILING_STATUS=MR","SCALING_FORMAT=MLN","Sort=A","Dates=H","DateFormat=P","Fill=—","Direction=H","UseDPDF=Y")</f>
        <v>-2.036</v>
      </c>
      <c r="Q53" s="12" cm="1">
        <f t="array" ref="Q53">_xll.BDH("NUE US Equity","CF_EFFECT_FOREIGN_EXCHANGES","FQ1 2022","FQ1 2022","Currency=USD","Period=FQ","BEST_FPERIOD_OVERRIDE=FQ","FILING_STATUS=MR","SCALING_FORMAT=MLN","Sort=A","Dates=H","DateFormat=P","Fill=—","Direction=H","UseDPDF=Y")</f>
        <v>3.6720000000000002</v>
      </c>
      <c r="R53" s="12" cm="1">
        <f t="array" ref="R53">_xll.BDH("NUE US Equity","CF_EFFECT_FOREIGN_EXCHANGES","FQ2 2022","FQ2 2022","Currency=USD","Period=FQ","BEST_FPERIOD_OVERRIDE=FQ","FILING_STATUS=MR","SCALING_FORMAT=MLN","Sort=A","Dates=H","DateFormat=P","Fill=—","Direction=H","UseDPDF=Y")</f>
        <v>-4.4889999999999999</v>
      </c>
      <c r="S53" s="12" cm="1">
        <f t="array" ref="S53">_xll.BDH("NUE US Equity","CF_EFFECT_FOREIGN_EXCHANGES","FQ3 2022","FQ3 2022","Currency=USD","Period=FQ","BEST_FPERIOD_OVERRIDE=FQ","FILING_STATUS=MR","SCALING_FORMAT=MLN","Sort=A","Dates=H","DateFormat=P","Fill=—","Direction=H","UseDPDF=Y")</f>
        <v>-4.4039999999999999</v>
      </c>
      <c r="T53" s="12" cm="1">
        <f t="array" ref="T53">_xll.BDH("NUE US Equity","CF_EFFECT_FOREIGN_EXCHANGES","FQ4 2022","FQ4 2022","Currency=USD","Period=FQ","BEST_FPERIOD_OVERRIDE=FQ","FILING_STATUS=MR","SCALING_FORMAT=MLN","Sort=A","Dates=H","DateFormat=P","Fill=—","Direction=H","UseDPDF=Y")</f>
        <v>-0.69899999999999995</v>
      </c>
      <c r="U53" s="12" cm="1">
        <f t="array" ref="U53">_xll.BDH("NUE US Equity","CF_EFFECT_FOREIGN_EXCHANGES","FQ1 2023","FQ1 2023","Currency=USD","Period=FQ","BEST_FPERIOD_OVERRIDE=FQ","FILING_STATUS=MR","SCALING_FORMAT=MLN","Sort=A","Dates=H","DateFormat=P","Fill=—","Direction=H","UseDPDF=Y")</f>
        <v>3.2429999999999999</v>
      </c>
      <c r="V53" s="12" cm="1">
        <f t="array" ref="V53">_xll.BDH("NUE US Equity","CF_EFFECT_FOREIGN_EXCHANGES","FQ2 2023","FQ2 2023","Currency=USD","Period=FQ","BEST_FPERIOD_OVERRIDE=FQ","FILING_STATUS=MR","SCALING_FORMAT=MLN","Sort=A","Dates=H","DateFormat=P","Fill=—","Direction=H","UseDPDF=Y")</f>
        <v>0.22600000000000001</v>
      </c>
      <c r="W53" s="12" cm="1">
        <f t="array" ref="W53">_xll.BDH("NUE US Equity","CF_EFFECT_FOREIGN_EXCHANGES","FQ3 2023","FQ3 2023","Currency=USD","Period=FQ","BEST_FPERIOD_OVERRIDE=FQ","FILING_STATUS=MR","SCALING_FORMAT=MLN","Sort=A","Dates=H","DateFormat=P","Fill=—","Direction=H","UseDPDF=Y")</f>
        <v>-2.6320000000000001</v>
      </c>
      <c r="X53" s="12" cm="1">
        <f t="array" ref="X53">_xll.BDH("NUE US Equity","CF_EFFECT_FOREIGN_EXCHANGES","FQ4 2023","FQ4 2023","Currency=USD","Period=FQ","BEST_FPERIOD_OVERRIDE=FQ","FILING_STATUS=MR","SCALING_FORMAT=MLN","Sort=A","Dates=H","DateFormat=P","Fill=—","Direction=H","UseDPDF=Y")</f>
        <v>2.0459999999999998</v>
      </c>
      <c r="Y53" s="12" cm="1">
        <f t="array" ref="Y53">_xll.BDH("NUE US Equity","CF_EFFECT_FOREIGN_EXCHANGES","FQ1 2024","FQ1 2024","Currency=USD","Period=FQ","BEST_FPERIOD_OVERRIDE=FQ","FILING_STATUS=MR","SCALING_FORMAT=MLN","Sort=A","Dates=H","DateFormat=P","Fill=—","Direction=H","UseDPDF=Y")</f>
        <v>-3.3660000000000001</v>
      </c>
      <c r="Z53" s="12" cm="1">
        <f t="array" ref="Z53">_xll.BDH("NUE US Equity","CF_EFFECT_FOREIGN_EXCHANGES","FQ2 2024","FQ2 2024","Currency=USD","Period=FQ","BEST_FPERIOD_OVERRIDE=FQ","FILING_STATUS=MR","SCALING_FORMAT=MLN","Sort=A","Dates=H","DateFormat=P","Fill=—","Direction=H","UseDPDF=Y")</f>
        <v>-1.784</v>
      </c>
      <c r="AA53" s="12" cm="1">
        <f t="array" ref="AA53">_xll.BDH("NUE US Equity","CF_EFFECT_FOREIGN_EXCHANGES","FQ3 2024","FQ3 2024","Currency=USD","Period=FQ","BEST_FPERIOD_OVERRIDE=FQ","FILING_STATUS=MR","SCALING_FORMAT=MLN","Sort=A","Dates=H","DateFormat=P","Fill=—","Direction=H","UseDPDF=Y")</f>
        <v>2.5910000000000002</v>
      </c>
      <c r="AB53" s="12" cm="1">
        <f t="array" ref="AB53">_xll.BDH("NUE US Equity","CF_EFFECT_FOREIGN_EXCHANGES","FQ4 2024","FQ4 2024","Currency=USD","Period=FQ","BEST_FPERIOD_OVERRIDE=FQ","FILING_STATUS=MR","SCALING_FORMAT=MLN","Sort=A","Dates=H","DateFormat=P","Fill=—","Direction=H","UseDPDF=Y")</f>
        <v>-13.441000000000001</v>
      </c>
      <c r="AC53" s="12" cm="1">
        <f t="array" ref="AC53">_xll.BDH("NUE US Equity","CF_EFFECT_FOREIGN_EXCHANGES","FQ1 2025","FQ1 2025","Currency=USD","Period=FQ","BEST_FPERIOD_OVERRIDE=FQ","FILING_STATUS=MR","SCALING_FORMAT=MLN","Sort=A","Dates=H","DateFormat=P","Fill=—","Direction=H","UseDPDF=Y")</f>
        <v>0</v>
      </c>
      <c r="AD53" s="12" cm="1">
        <f t="array" ref="AD53">_xll.BDH("NUE US Equity","CF_EFFECT_FOREIGN_EXCHANGES","FQ2 2025","FQ2 2025","Currency=USD","Period=FQ","BEST_FPERIOD_OVERRIDE=FQ","FILING_STATUS=MR","SCALING_FORMAT=MLN","Sort=A","Dates=H","DateFormat=P","Fill=—","Direction=H","UseDPDF=Y")</f>
        <v>11</v>
      </c>
      <c r="AE53" s="12" cm="1">
        <f t="array" ref="AE53">_xll.BDH("NUE US Equity","CF_EFFECT_FOREIGN_EXCHANGES","FQ3 2025","FQ3 2025","Currency=USD","Period=FQ","BEST_FPERIOD_OVERRIDE=FQ","FILING_STATUS=MR","SCALING_FORMAT=MLN","Sort=A","Dates=H","DateFormat=P","Fill=—","Direction=H","UseDPDF=Y")</f>
        <v>-5</v>
      </c>
      <c r="AF53" s="12" cm="1">
        <f t="array" ref="AF53">_xll.BDH("NUE US Equity","CF_EFFECT_FOREIGN_EXCHANGES","FQ4 2025","FQ4 2025","Currency=USD","Period=FQ","BEST_FPERIOD_OVERRIDE=FQ","FILING_STATUS=MR","SCALING_FORMAT=MLN","Sort=A","Dates=H","DateFormat=P","Fill=—","Direction=H","UseDPDF=Y")</f>
        <v>3</v>
      </c>
    </row>
    <row r="54" spans="1:32" x14ac:dyDescent="0.25">
      <c r="A54" s="6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</row>
    <row r="55" spans="1:32" x14ac:dyDescent="0.25">
      <c r="A55" s="6" t="s">
        <v>147</v>
      </c>
      <c r="B55" s="6" t="s">
        <v>148</v>
      </c>
      <c r="C55" s="15" cm="1">
        <f t="array" ref="C55">_xll.BDH("NUE US Equity","CF_NET_CHNG_CASH","FQ3 2018","FQ3 2018","Currency=USD","Period=FQ","BEST_FPERIOD_OVERRIDE=FQ","FILING_STATUS=MR","SCALING_FORMAT=MLN","Sort=A","Dates=H","DateFormat=P","Fill=—","Direction=H","UseDPDF=Y")</f>
        <v>445.702</v>
      </c>
      <c r="D55" s="15" cm="1">
        <f t="array" ref="D55">_xll.BDH("NUE US Equity","CF_NET_CHNG_CASH","FQ4 2018","FQ4 2018","Currency=USD","Period=FQ","BEST_FPERIOD_OVERRIDE=FQ","FILING_STATUS=MR","SCALING_FORMAT=MLN","Sort=A","Dates=H","DateFormat=P","Fill=—","Direction=H","UseDPDF=Y")</f>
        <v>-533.26900000000001</v>
      </c>
      <c r="E55" s="15" cm="1">
        <f t="array" ref="E55">_xll.BDH("NUE US Equity","CF_NET_CHNG_CASH","FQ1 2019","FQ1 2019","Currency=USD","Period=FQ","BEST_FPERIOD_OVERRIDE=FQ","FILING_STATUS=MR","SCALING_FORMAT=MLN","Sort=A","Dates=H","DateFormat=P","Fill=—","Direction=H","UseDPDF=Y")</f>
        <v>151.92099999999999</v>
      </c>
      <c r="F55" s="15" cm="1">
        <f t="array" ref="F55">_xll.BDH("NUE US Equity","CF_NET_CHNG_CASH","FQ2 2019","FQ2 2019","Currency=USD","Period=FQ","BEST_FPERIOD_OVERRIDE=FQ","FILING_STATUS=MR","SCALING_FORMAT=MLN","Sort=A","Dates=H","DateFormat=P","Fill=—","Direction=H","UseDPDF=Y")</f>
        <v>-119.015</v>
      </c>
      <c r="G55" s="15" cm="1">
        <f t="array" ref="G55">_xll.BDH("NUE US Equity","CF_NET_CHNG_CASH","FQ3 2019","FQ3 2019","Currency=USD","Period=FQ","BEST_FPERIOD_OVERRIDE=FQ","FILING_STATUS=MR","SCALING_FORMAT=MLN","Sort=A","Dates=H","DateFormat=P","Fill=—","Direction=H","UseDPDF=Y")</f>
        <v>254.57300000000001</v>
      </c>
      <c r="H55" s="15" cm="1">
        <f t="array" ref="H55">_xll.BDH("NUE US Equity","CF_NET_CHNG_CASH","FQ4 2019","FQ4 2019","Currency=USD","Period=FQ","BEST_FPERIOD_OVERRIDE=FQ","FILING_STATUS=MR","SCALING_FORMAT=MLN","Sort=A","Dates=H","DateFormat=P","Fill=—","Direction=H","UseDPDF=Y")</f>
        <v>-151.76</v>
      </c>
      <c r="I55" s="15" cm="1">
        <f t="array" ref="I55">_xll.BDH("NUE US Equity","CF_NET_CHNG_CASH","FQ1 2020","FQ1 2020","Currency=USD","Period=FQ","BEST_FPERIOD_OVERRIDE=FQ","FILING_STATUS=MR","SCALING_FORMAT=MLN","Sort=A","Dates=H","DateFormat=P","Fill=—","Direction=H","UseDPDF=Y")</f>
        <v>-289.44799999999998</v>
      </c>
      <c r="J55" s="15" cm="1">
        <f t="array" ref="J55">_xll.BDH("NUE US Equity","CF_NET_CHNG_CASH","FQ2 2020","FQ2 2020","Currency=USD","Period=FQ","BEST_FPERIOD_OVERRIDE=FQ","FILING_STATUS=MR","SCALING_FORMAT=MLN","Sort=A","Dates=H","DateFormat=P","Fill=—","Direction=H","UseDPDF=Y")</f>
        <v>1544.0319999999999</v>
      </c>
      <c r="K55" s="15" cm="1">
        <f t="array" ref="K55">_xll.BDH("NUE US Equity","CF_NET_CHNG_CASH","FQ3 2020","FQ3 2020","Currency=USD","Period=FQ","BEST_FPERIOD_OVERRIDE=FQ","FILING_STATUS=MR","SCALING_FORMAT=MLN","Sort=A","Dates=H","DateFormat=P","Fill=—","Direction=H","UseDPDF=Y")</f>
        <v>209.012</v>
      </c>
      <c r="L55" s="15" cm="1">
        <f t="array" ref="L55">_xll.BDH("NUE US Equity","CF_NET_CHNG_CASH","FQ4 2020","FQ4 2020","Currency=USD","Period=FQ","BEST_FPERIOD_OVERRIDE=FQ","FILING_STATUS=MR","SCALING_FORMAT=MLN","Sort=A","Dates=H","DateFormat=P","Fill=—","Direction=H","UseDPDF=Y")</f>
        <v>-243.27199999999999</v>
      </c>
      <c r="M55" s="15" cm="1">
        <f t="array" ref="M55">_xll.BDH("NUE US Equity","CF_NET_CHNG_CASH","FQ1 2021","FQ1 2021","Currency=USD","Period=FQ","BEST_FPERIOD_OVERRIDE=FQ","FILING_STATUS=MR","SCALING_FORMAT=MLN","Sort=A","Dates=H","DateFormat=P","Fill=—","Direction=H","UseDPDF=Y")</f>
        <v>-178.94</v>
      </c>
      <c r="N55" s="15" cm="1">
        <f t="array" ref="N55">_xll.BDH("NUE US Equity","CF_NET_CHNG_CASH","FQ2 2021","FQ2 2021","Currency=USD","Period=FQ","BEST_FPERIOD_OVERRIDE=FQ","FILING_STATUS=MR","SCALING_FORMAT=MLN","Sort=A","Dates=H","DateFormat=P","Fill=—","Direction=H","UseDPDF=Y")</f>
        <v>231.017</v>
      </c>
      <c r="O55" s="15" cm="1">
        <f t="array" ref="O55">_xll.BDH("NUE US Equity","CF_NET_CHNG_CASH","FQ3 2021","FQ3 2021","Currency=USD","Period=FQ","BEST_FPERIOD_OVERRIDE=FQ","FILING_STATUS=MR","SCALING_FORMAT=MLN","Sort=A","Dates=H","DateFormat=P","Fill=—","Direction=H","UseDPDF=Y")</f>
        <v>-761.36800000000005</v>
      </c>
      <c r="P55" s="15" cm="1">
        <f t="array" ref="P55">_xll.BDH("NUE US Equity","CF_NET_CHNG_CASH","FQ4 2021","FQ4 2021","Currency=USD","Period=FQ","BEST_FPERIOD_OVERRIDE=FQ","FILING_STATUS=MR","SCALING_FORMAT=MLN","Sort=A","Dates=H","DateFormat=P","Fill=—","Direction=H","UseDPDF=Y")</f>
        <v>463.02</v>
      </c>
      <c r="Q55" s="15" cm="1">
        <f t="array" ref="Q55">_xll.BDH("NUE US Equity","CF_NET_CHNG_CASH","FQ1 2022","FQ1 2022","Currency=USD","Period=FQ","BEST_FPERIOD_OVERRIDE=FQ","FILING_STATUS=MR","SCALING_FORMAT=MLN","Sort=A","Dates=H","DateFormat=P","Fill=—","Direction=H","UseDPDF=Y")</f>
        <v>1304.8499999999999</v>
      </c>
      <c r="R55" s="15" cm="1">
        <f t="array" ref="R55">_xll.BDH("NUE US Equity","CF_NET_CHNG_CASH","FQ2 2022","FQ2 2022","Currency=USD","Period=FQ","BEST_FPERIOD_OVERRIDE=FQ","FILING_STATUS=MR","SCALING_FORMAT=MLN","Sort=A","Dates=H","DateFormat=P","Fill=—","Direction=H","UseDPDF=Y")</f>
        <v>-1722.538</v>
      </c>
      <c r="S55" s="15" cm="1">
        <f t="array" ref="S55">_xll.BDH("NUE US Equity","CF_NET_CHNG_CASH","FQ3 2022","FQ3 2022","Currency=USD","Period=FQ","BEST_FPERIOD_OVERRIDE=FQ","FILING_STATUS=MR","SCALING_FORMAT=MLN","Sort=A","Dates=H","DateFormat=P","Fill=—","Direction=H","UseDPDF=Y")</f>
        <v>1038.7739999999999</v>
      </c>
      <c r="T55" s="15" cm="1">
        <f t="array" ref="T55">_xll.BDH("NUE US Equity","CF_NET_CHNG_CASH","FQ4 2022","FQ4 2022","Currency=USD","Period=FQ","BEST_FPERIOD_OVERRIDE=FQ","FILING_STATUS=MR","SCALING_FORMAT=MLN","Sort=A","Dates=H","DateFormat=P","Fill=—","Direction=H","UseDPDF=Y")</f>
        <v>1231.4760000000001</v>
      </c>
      <c r="U55" s="15" cm="1">
        <f t="array" ref="U55">_xll.BDH("NUE US Equity","CF_NET_CHNG_CASH","FQ1 2023","FQ1 2023","Currency=USD","Period=FQ","BEST_FPERIOD_OVERRIDE=FQ","FILING_STATUS=MR","SCALING_FORMAT=MLN","Sort=A","Dates=H","DateFormat=P","Fill=—","Direction=H","UseDPDF=Y")</f>
        <v>-480.041</v>
      </c>
      <c r="V55" s="15" cm="1">
        <f t="array" ref="V55">_xll.BDH("NUE US Equity","CF_NET_CHNG_CASH","FQ2 2023","FQ2 2023","Currency=USD","Period=FQ","BEST_FPERIOD_OVERRIDE=FQ","FILING_STATUS=MR","SCALING_FORMAT=MLN","Sort=A","Dates=H","DateFormat=P","Fill=—","Direction=H","UseDPDF=Y")</f>
        <v>642.04899999999998</v>
      </c>
      <c r="W55" s="15" cm="1">
        <f t="array" ref="W55">_xll.BDH("NUE US Equity","CF_NET_CHNG_CASH","FQ3 2023","FQ3 2023","Currency=USD","Period=FQ","BEST_FPERIOD_OVERRIDE=FQ","FILING_STATUS=MR","SCALING_FORMAT=MLN","Sort=A","Dates=H","DateFormat=P","Fill=—","Direction=H","UseDPDF=Y")</f>
        <v>1345.5540000000001</v>
      </c>
      <c r="X55" s="15" cm="1">
        <f t="array" ref="X55">_xll.BDH("NUE US Equity","CF_NET_CHNG_CASH","FQ4 2023","FQ4 2023","Currency=USD","Period=FQ","BEST_FPERIOD_OVERRIDE=FQ","FILING_STATUS=MR","SCALING_FORMAT=MLN","Sort=A","Dates=H","DateFormat=P","Fill=—","Direction=H","UseDPDF=Y")</f>
        <v>518.01</v>
      </c>
      <c r="Y55" s="15" cm="1">
        <f t="array" ref="Y55">_xll.BDH("NUE US Equity","CF_NET_CHNG_CASH","FQ1 2024","FQ1 2024","Currency=USD","Period=FQ","BEST_FPERIOD_OVERRIDE=FQ","FILING_STATUS=MR","SCALING_FORMAT=MLN","Sort=A","Dates=H","DateFormat=P","Fill=—","Direction=H","UseDPDF=Y")</f>
        <v>-1828.9870000000001</v>
      </c>
      <c r="Z55" s="15" cm="1">
        <f t="array" ref="Z55">_xll.BDH("NUE US Equity","CF_NET_CHNG_CASH","FQ2 2024","FQ2 2024","Currency=USD","Period=FQ","BEST_FPERIOD_OVERRIDE=FQ","FILING_STATUS=MR","SCALING_FORMAT=MLN","Sort=A","Dates=H","DateFormat=P","Fill=—","Direction=H","UseDPDF=Y")</f>
        <v>81.173000000000002</v>
      </c>
      <c r="AA55" s="15" cm="1">
        <f t="array" ref="AA55">_xll.BDH("NUE US Equity","CF_NET_CHNG_CASH","FQ3 2024","FQ3 2024","Currency=USD","Period=FQ","BEST_FPERIOD_OVERRIDE=FQ","FILING_STATUS=MR","SCALING_FORMAT=MLN","Sort=A","Dates=H","DateFormat=P","Fill=—","Direction=H","UseDPDF=Y")</f>
        <v>-376.17899999999997</v>
      </c>
      <c r="AB55" s="15" cm="1">
        <f t="array" ref="AB55">_xll.BDH("NUE US Equity","CF_NET_CHNG_CASH","FQ4 2024","FQ4 2024","Currency=USD","Period=FQ","BEST_FPERIOD_OVERRIDE=FQ","FILING_STATUS=MR","SCALING_FORMAT=MLN","Sort=A","Dates=H","DateFormat=P","Fill=—","Direction=H","UseDPDF=Y")</f>
        <v>-705.00699999999995</v>
      </c>
      <c r="AC55" s="15" cm="1">
        <f t="array" ref="AC55">_xll.BDH("NUE US Equity","CF_NET_CHNG_CASH","FQ1 2025","FQ1 2025","Currency=USD","Period=FQ","BEST_FPERIOD_OVERRIDE=FQ","FILING_STATUS=MR","SCALING_FORMAT=MLN","Sort=A","Dates=H","DateFormat=P","Fill=—","Direction=H","UseDPDF=Y")</f>
        <v>-402</v>
      </c>
      <c r="AD55" s="15" cm="1">
        <f t="array" ref="AD55">_xll.BDH("NUE US Equity","CF_NET_CHNG_CASH","FQ2 2025","FQ2 2025","Currency=USD","Period=FQ","BEST_FPERIOD_OVERRIDE=FQ","FILING_STATUS=MR","SCALING_FORMAT=MLN","Sort=A","Dates=H","DateFormat=P","Fill=—","Direction=H","UseDPDF=Y")</f>
        <v>-1210</v>
      </c>
      <c r="AE55" s="15" cm="1">
        <f t="array" ref="AE55">_xll.BDH("NUE US Equity","CF_NET_CHNG_CASH","FQ3 2025","FQ3 2025","Currency=USD","Period=FQ","BEST_FPERIOD_OVERRIDE=FQ","FILING_STATUS=MR","SCALING_FORMAT=MLN","Sort=A","Dates=H","DateFormat=P","Fill=—","Direction=H","UseDPDF=Y")</f>
        <v>275</v>
      </c>
      <c r="AF55" s="15" cm="1">
        <f t="array" ref="AF55">_xll.BDH("NUE US Equity","CF_NET_CHNG_CASH","FQ4 2025","FQ4 2025","Currency=USD","Period=FQ","BEST_FPERIOD_OVERRIDE=FQ","FILING_STATUS=MR","SCALING_FORMAT=MLN","Sort=A","Dates=H","DateFormat=P","Fill=—","Direction=H","UseDPDF=Y")</f>
        <v>39</v>
      </c>
    </row>
    <row r="56" spans="1:32" x14ac:dyDescent="0.25">
      <c r="A56" s="6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</row>
    <row r="57" spans="1:32" x14ac:dyDescent="0.25">
      <c r="A57" s="6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</row>
    <row r="58" spans="1:32" x14ac:dyDescent="0.25">
      <c r="A58" s="6" t="s">
        <v>0</v>
      </c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</row>
    <row r="59" spans="1:32" x14ac:dyDescent="0.25">
      <c r="A59" s="10" t="s">
        <v>149</v>
      </c>
      <c r="B59" s="10" t="s">
        <v>149</v>
      </c>
      <c r="C59" s="12" cm="1">
        <f t="array" ref="C59">_xll.BDH("NUE US Equity","EBITDA","FQ3 2018","FQ3 2018","Currency=USD","Period=FQ","BEST_FPERIOD_OVERRIDE=FQ","FILING_STATUS=MR","SCALING_FORMAT=MLN","FA_ADJUSTED=GAAP","Sort=A","Dates=H","DateFormat=P","Fill=—","Direction=H","UseDPDF=Y")</f>
        <v>1126.1079999999999</v>
      </c>
      <c r="D59" s="12" cm="1">
        <f t="array" ref="D59">_xll.BDH("NUE US Equity","EBITDA","FQ4 2018","FQ4 2018","Currency=USD","Period=FQ","BEST_FPERIOD_OVERRIDE=FQ","FILING_STATUS=MR","SCALING_FORMAT=MLN","FA_ADJUSTED=GAAP","Sort=A","Dates=H","DateFormat=P","Fill=—","Direction=H","UseDPDF=Y")</f>
        <v>1081.585</v>
      </c>
      <c r="E59" s="12" cm="1">
        <f t="array" ref="E59">_xll.BDH("NUE US Equity","EBITDA","FQ1 2019","FQ1 2019","Currency=USD","Period=FQ","BEST_FPERIOD_OVERRIDE=FQ","FILING_STATUS=MR","SCALING_FORMAT=MLN","FA_ADJUSTED=GAAP","Sort=A","Dates=H","DateFormat=P","Fill=—","Direction=H","UseDPDF=Y")</f>
        <v>900.62400000000002</v>
      </c>
      <c r="F59" s="12" cm="1">
        <f t="array" ref="F59">_xll.BDH("NUE US Equity","EBITDA","FQ2 2019","FQ2 2019","Currency=USD","Period=FQ","BEST_FPERIOD_OVERRIDE=FQ","FILING_STATUS=MR","SCALING_FORMAT=MLN","FA_ADJUSTED=GAAP","Sort=A","Dates=H","DateFormat=P","Fill=—","Direction=H","UseDPDF=Y")</f>
        <v>757.47</v>
      </c>
      <c r="G59" s="12" cm="1">
        <f t="array" ref="G59">_xll.BDH("NUE US Equity","EBITDA","FQ3 2019","FQ3 2019","Currency=USD","Period=FQ","BEST_FPERIOD_OVERRIDE=FQ","FILING_STATUS=MR","SCALING_FORMAT=MLN","FA_ADJUSTED=GAAP","Sort=A","Dates=H","DateFormat=P","Fill=—","Direction=H","UseDPDF=Y")</f>
        <v>597.01700000000005</v>
      </c>
      <c r="H59" s="12" cm="1">
        <f t="array" ref="H59">_xll.BDH("NUE US Equity","EBITDA","FQ4 2019","FQ4 2019","Currency=USD","Period=FQ","BEST_FPERIOD_OVERRIDE=FQ","FILING_STATUS=MR","SCALING_FORMAT=MLN","FA_ADJUSTED=GAAP","Sort=A","Dates=H","DateFormat=P","Fill=—","Direction=H","UseDPDF=Y")</f>
        <v>403.90899999999999</v>
      </c>
      <c r="I59" s="12" cm="1">
        <f t="array" ref="I59">_xll.BDH("NUE US Equity","EBITDA","FQ1 2020","FQ1 2020","Currency=USD","Period=FQ","BEST_FPERIOD_OVERRIDE=FQ","FILING_STATUS=MR","SCALING_FORMAT=MLN","FA_ADJUSTED=GAAP","Sort=A","Dates=H","DateFormat=P","Fill=—","Direction=H","UseDPDF=Y")</f>
        <v>385.30500000000001</v>
      </c>
      <c r="J59" s="12" cm="1">
        <f t="array" ref="J59">_xll.BDH("NUE US Equity","EBITDA","FQ2 2020","FQ2 2020","Currency=USD","Period=FQ","BEST_FPERIOD_OVERRIDE=FQ","FILING_STATUS=MR","SCALING_FORMAT=MLN","FA_ADJUSTED=GAAP","Sort=A","Dates=H","DateFormat=P","Fill=—","Direction=H","UseDPDF=Y")</f>
        <v>425.52300000000002</v>
      </c>
      <c r="K59" s="12" cm="1">
        <f t="array" ref="K59">_xll.BDH("NUE US Equity","EBITDA","FQ3 2020","FQ3 2020","Currency=USD","Period=FQ","BEST_FPERIOD_OVERRIDE=FQ","FILING_STATUS=MR","SCALING_FORMAT=MLN","FA_ADJUSTED=GAAP","Sort=A","Dates=H","DateFormat=P","Fill=—","Direction=H","UseDPDF=Y")</f>
        <v>526.78700000000003</v>
      </c>
      <c r="L59" s="12" cm="1">
        <f t="array" ref="L59">_xll.BDH("NUE US Equity","EBITDA","FQ4 2020","FQ4 2020","Currency=USD","Period=FQ","BEST_FPERIOD_OVERRIDE=FQ","FILING_STATUS=MR","SCALING_FORMAT=MLN","FA_ADJUSTED=GAAP","Sort=A","Dates=H","DateFormat=P","Fill=—","Direction=H","UseDPDF=Y")</f>
        <v>447.12</v>
      </c>
      <c r="M59" s="12" cm="1">
        <f t="array" ref="M59">_xll.BDH("NUE US Equity","EBITDA","FQ1 2021","FQ1 2021","Currency=USD","Period=FQ","BEST_FPERIOD_OVERRIDE=FQ","FILING_STATUS=MR","SCALING_FORMAT=MLN","FA_ADJUSTED=GAAP","Sort=A","Dates=H","DateFormat=P","Fill=—","Direction=H","UseDPDF=Y")</f>
        <v>1525.6010000000001</v>
      </c>
      <c r="N59" s="12" cm="1">
        <f t="array" ref="N59">_xll.BDH("NUE US Equity","EBITDA","FQ2 2021","FQ2 2021","Currency=USD","Period=FQ","BEST_FPERIOD_OVERRIDE=FQ","FILING_STATUS=MR","SCALING_FORMAT=MLN","FA_ADJUSTED=GAAP","Sort=A","Dates=H","DateFormat=P","Fill=—","Direction=H","UseDPDF=Y")</f>
        <v>2245.5250000000001</v>
      </c>
      <c r="O59" s="12" cm="1">
        <f t="array" ref="O59">_xll.BDH("NUE US Equity","EBITDA","FQ3 2021","FQ3 2021","Currency=USD","Period=FQ","BEST_FPERIOD_OVERRIDE=FQ","FILING_STATUS=MR","SCALING_FORMAT=MLN","FA_ADJUSTED=GAAP","Sort=A","Dates=H","DateFormat=P","Fill=—","Direction=H","UseDPDF=Y")</f>
        <v>3098.8530000000001</v>
      </c>
      <c r="P59" s="12" cm="1">
        <f t="array" ref="P59">_xll.BDH("NUE US Equity","EBITDA","FQ4 2021","FQ4 2021","Currency=USD","Period=FQ","BEST_FPERIOD_OVERRIDE=FQ","FILING_STATUS=MR","SCALING_FORMAT=MLN","FA_ADJUSTED=GAAP","Sort=A","Dates=H","DateFormat=P","Fill=—","Direction=H","UseDPDF=Y")</f>
        <v>3251.2280000000001</v>
      </c>
      <c r="Q59" s="12" cm="1">
        <f t="array" ref="Q59">_xll.BDH("NUE US Equity","EBITDA","FQ1 2022","FQ1 2022","Currency=USD","Period=FQ","BEST_FPERIOD_OVERRIDE=FQ","FILING_STATUS=MR","SCALING_FORMAT=MLN","FA_ADJUSTED=GAAP","Sort=A","Dates=H","DateFormat=P","Fill=—","Direction=H","UseDPDF=Y")</f>
        <v>3170.444</v>
      </c>
      <c r="R59" s="12" cm="1">
        <f t="array" ref="R59">_xll.BDH("NUE US Equity","EBITDA","FQ2 2022","FQ2 2022","Currency=USD","Period=FQ","BEST_FPERIOD_OVERRIDE=FQ","FILING_STATUS=MR","SCALING_FORMAT=MLN","FA_ADJUSTED=GAAP","Sort=A","Dates=H","DateFormat=P","Fill=—","Direction=H","UseDPDF=Y")</f>
        <v>3788.7</v>
      </c>
      <c r="S59" s="12" cm="1">
        <f t="array" ref="S59">_xll.BDH("NUE US Equity","EBITDA","FQ3 2022","FQ3 2022","Currency=USD","Period=FQ","BEST_FPERIOD_OVERRIDE=FQ","FILING_STATUS=MR","SCALING_FORMAT=MLN","FA_ADJUSTED=GAAP","Sort=A","Dates=H","DateFormat=P","Fill=—","Direction=H","UseDPDF=Y")</f>
        <v>2646.7069999999999</v>
      </c>
      <c r="T59" s="12" cm="1">
        <f t="array" ref="T59">_xll.BDH("NUE US Equity","EBITDA","FQ4 2022","FQ4 2022","Currency=USD","Period=FQ","BEST_FPERIOD_OVERRIDE=FQ","FILING_STATUS=MR","SCALING_FORMAT=MLN","FA_ADJUSTED=GAAP","Sort=A","Dates=H","DateFormat=P","Fill=—","Direction=H","UseDPDF=Y")</f>
        <v>1860.1289999999999</v>
      </c>
      <c r="U59" s="12" cm="1">
        <f t="array" ref="U59">_xll.BDH("NUE US Equity","EBITDA","FQ1 2023","FQ1 2023","Currency=USD","Period=FQ","BEST_FPERIOD_OVERRIDE=FQ","FILING_STATUS=MR","SCALING_FORMAT=MLN","FA_ADJUSTED=GAAP","Sort=A","Dates=H","DateFormat=P","Fill=—","Direction=H","UseDPDF=Y")</f>
        <v>1888.165</v>
      </c>
      <c r="V59" s="12" cm="1">
        <f t="array" ref="V59">_xll.BDH("NUE US Equity","EBITDA","FQ2 2023","FQ2 2023","Currency=USD","Period=FQ","BEST_FPERIOD_OVERRIDE=FQ","FILING_STATUS=MR","SCALING_FORMAT=MLN","FA_ADJUSTED=GAAP","Sort=A","Dates=H","DateFormat=P","Fill=—","Direction=H","UseDPDF=Y")</f>
        <v>2334.4949999999999</v>
      </c>
      <c r="W59" s="12" cm="1">
        <f t="array" ref="W59">_xll.BDH("NUE US Equity","EBITDA","FQ3 2023","FQ3 2023","Currency=USD","Period=FQ","BEST_FPERIOD_OVERRIDE=FQ","FILING_STATUS=MR","SCALING_FORMAT=MLN","FA_ADJUSTED=GAAP","Sort=A","Dates=H","DateFormat=P","Fill=—","Direction=H","UseDPDF=Y")</f>
        <v>1825.819</v>
      </c>
      <c r="X59" s="12" cm="1">
        <f t="array" ref="X59">_xll.BDH("NUE US Equity","EBITDA","FQ4 2023","FQ4 2023","Currency=USD","Period=FQ","BEST_FPERIOD_OVERRIDE=FQ","FILING_STATUS=MR","SCALING_FORMAT=MLN","FA_ADJUSTED=GAAP","Sort=A","Dates=H","DateFormat=P","Fill=—","Direction=H","UseDPDF=Y")</f>
        <v>1350.1780000000001</v>
      </c>
      <c r="Y59" s="12" cm="1">
        <f t="array" ref="Y59">_xll.BDH("NUE US Equity","EBITDA","FQ1 2024","FQ1 2024","Currency=USD","Period=FQ","BEST_FPERIOD_OVERRIDE=FQ","FILING_STATUS=MR","SCALING_FORMAT=MLN","FA_ADJUSTED=GAAP","Sort=A","Dates=H","DateFormat=P","Fill=—","Direction=H","UseDPDF=Y")</f>
        <v>1493.4059999999999</v>
      </c>
      <c r="Z59" s="12" cm="1">
        <f t="array" ref="Z59">_xll.BDH("NUE US Equity","EBITDA","FQ2 2024","FQ2 2024","Currency=USD","Period=FQ","BEST_FPERIOD_OVERRIDE=FQ","FILING_STATUS=MR","SCALING_FORMAT=MLN","FA_ADJUSTED=GAAP","Sort=A","Dates=H","DateFormat=P","Fill=—","Direction=H","UseDPDF=Y")</f>
        <v>1218.68</v>
      </c>
      <c r="AA59" s="12" cm="1">
        <f t="array" ref="AA59">_xll.BDH("NUE US Equity","EBITDA","FQ3 2024","FQ3 2024","Currency=USD","Period=FQ","BEST_FPERIOD_OVERRIDE=FQ","FILING_STATUS=MR","SCALING_FORMAT=MLN","FA_ADJUSTED=GAAP","Sort=A","Dates=H","DateFormat=P","Fill=—","Direction=H","UseDPDF=Y")</f>
        <v>740.73800000000006</v>
      </c>
      <c r="AB59" s="12" cm="1">
        <f t="array" ref="AB59">_xll.BDH("NUE US Equity","EBITDA","FQ4 2024","FQ4 2024","Currency=USD","Period=FQ","BEST_FPERIOD_OVERRIDE=FQ","FILING_STATUS=MR","SCALING_FORMAT=MLN","FA_ADJUSTED=GAAP","Sort=A","Dates=H","DateFormat=P","Fill=—","Direction=H","UseDPDF=Y")</f>
        <v>745.06299999999999</v>
      </c>
      <c r="AC59" s="12" cm="1">
        <f t="array" ref="AC59">_xll.BDH("NUE US Equity","EBITDA","FQ1 2025","FQ1 2025","Currency=USD","Period=FQ","BEST_FPERIOD_OVERRIDE=FQ","FILING_STATUS=MR","SCALING_FORMAT=MLN","FA_ADJUSTED=GAAP","Sort=A","Dates=H","DateFormat=P","Fill=—","Direction=H","UseDPDF=Y")</f>
        <v>663</v>
      </c>
      <c r="AD59" s="12" cm="1">
        <f t="array" ref="AD59">_xll.BDH("NUE US Equity","EBITDA","FQ2 2025","FQ2 2025","Currency=USD","Period=FQ","BEST_FPERIOD_OVERRIDE=FQ","FILING_STATUS=MR","SCALING_FORMAT=MLN","FA_ADJUSTED=GAAP","Sort=A","Dates=H","DateFormat=P","Fill=—","Direction=H","UseDPDF=Y")</f>
        <v>1274</v>
      </c>
      <c r="AE59" s="12" cm="1">
        <f t="array" ref="AE59">_xll.BDH("NUE US Equity","EBITDA","FQ3 2025","FQ3 2025","Currency=USD","Period=FQ","BEST_FPERIOD_OVERRIDE=FQ","FILING_STATUS=MR","SCALING_FORMAT=MLN","FA_ADJUSTED=GAAP","Sort=A","Dates=H","DateFormat=P","Fill=—","Direction=H","UseDPDF=Y")</f>
        <v>1255</v>
      </c>
      <c r="AF59" s="12" cm="1">
        <f t="array" ref="AF59">_xll.BDH("NUE US Equity","EBITDA","FQ4 2025","FQ4 2025","Currency=USD","Period=FQ","BEST_FPERIOD_OVERRIDE=FQ","FILING_STATUS=MR","SCALING_FORMAT=MLN","FA_ADJUSTED=GAAP","Sort=A","Dates=H","DateFormat=P","Fill=—","Direction=H","UseDPDF=Y")</f>
        <v>880</v>
      </c>
    </row>
    <row r="60" spans="1:32" x14ac:dyDescent="0.25">
      <c r="A60" s="10" t="s">
        <v>150</v>
      </c>
      <c r="B60" s="10" t="s">
        <v>151</v>
      </c>
      <c r="C60" s="13" cm="1">
        <f t="array" ref="C60">_xll.BDH("NUE US Equity","EBITDA_MARGIN","FQ3 2018","FQ3 2018","Currency=USD","Period=FQ","BEST_FPERIOD_OVERRIDE=FQ","FILING_STATUS=MR","FA_ADJUSTED=GAAP","Sort=A","Dates=H","DateFormat=P","Fill=—","Direction=H","UseDPDF=Y")</f>
        <v>14.662599999999999</v>
      </c>
      <c r="D60" s="13" cm="1">
        <f t="array" ref="D60">_xll.BDH("NUE US Equity","EBITDA_MARGIN","FQ4 2018","FQ4 2018","Currency=USD","Period=FQ","BEST_FPERIOD_OVERRIDE=FQ","FILING_STATUS=MR","FA_ADJUSTED=GAAP","Sort=A","Dates=H","DateFormat=P","Fill=—","Direction=H","UseDPDF=Y")</f>
        <v>16.133900000000001</v>
      </c>
      <c r="E60" s="13" cm="1">
        <f t="array" ref="E60">_xll.BDH("NUE US Equity","EBITDA_MARGIN","FQ1 2019","FQ1 2019","Currency=USD","Period=FQ","BEST_FPERIOD_OVERRIDE=FQ","FILING_STATUS=MR","FA_ADJUSTED=GAAP","Sort=A","Dates=H","DateFormat=P","Fill=—","Direction=H","UseDPDF=Y")</f>
        <v>16.488800000000001</v>
      </c>
      <c r="F60" s="13" cm="1">
        <f t="array" ref="F60">_xll.BDH("NUE US Equity","EBITDA_MARGIN","FQ2 2019","FQ2 2019","Currency=USD","Period=FQ","BEST_FPERIOD_OVERRIDE=FQ","FILING_STATUS=MR","FA_ADJUSTED=GAAP","Sort=A","Dates=H","DateFormat=P","Fill=—","Direction=H","UseDPDF=Y")</f>
        <v>15.4442</v>
      </c>
      <c r="G60" s="13" cm="1">
        <f t="array" ref="G60">_xll.BDH("NUE US Equity","EBITDA_MARGIN","FQ3 2019","FQ3 2019","Currency=USD","Period=FQ","BEST_FPERIOD_OVERRIDE=FQ","FILING_STATUS=MR","FA_ADJUSTED=GAAP","Sort=A","Dates=H","DateFormat=P","Fill=—","Direction=H","UseDPDF=Y")</f>
        <v>14.047499999999999</v>
      </c>
      <c r="H60" s="13" cm="1">
        <f t="array" ref="H60">_xll.BDH("NUE US Equity","EBITDA_MARGIN","FQ4 2019","FQ4 2019","Currency=USD","Period=FQ","BEST_FPERIOD_OVERRIDE=FQ","FILING_STATUS=MR","FA_ADJUSTED=GAAP","Sort=A","Dates=H","DateFormat=P","Fill=—","Direction=H","UseDPDF=Y")</f>
        <v>11.7714</v>
      </c>
      <c r="I60" s="13" cm="1">
        <f t="array" ref="I60">_xll.BDH("NUE US Equity","EBITDA_MARGIN","FQ1 2020","FQ1 2020","Currency=USD","Period=FQ","BEST_FPERIOD_OVERRIDE=FQ","FILING_STATUS=MR","FA_ADJUSTED=GAAP","Sort=A","Dates=H","DateFormat=P","Fill=—","Direction=H","UseDPDF=Y")</f>
        <v>9.6927000000000003</v>
      </c>
      <c r="J60" s="13" cm="1">
        <f t="array" ref="J60">_xll.BDH("NUE US Equity","EBITDA_MARGIN","FQ2 2020","FQ2 2020","Currency=USD","Period=FQ","BEST_FPERIOD_OVERRIDE=FQ","FILING_STATUS=MR","FA_ADJUSTED=GAAP","Sort=A","Dates=H","DateFormat=P","Fill=—","Direction=H","UseDPDF=Y")</f>
        <v>8.8171999999999997</v>
      </c>
      <c r="K60" s="13" cm="1">
        <f t="array" ref="K60">_xll.BDH("NUE US Equity","EBITDA_MARGIN","FQ3 2020","FQ3 2020","Currency=USD","Period=FQ","BEST_FPERIOD_OVERRIDE=FQ","FILING_STATUS=MR","FA_ADJUSTED=GAAP","Sort=A","Dates=H","DateFormat=P","Fill=—","Direction=H","UseDPDF=Y")</f>
        <v>8.7027000000000001</v>
      </c>
      <c r="L60" s="13" cm="1">
        <f t="array" ref="L60">_xll.BDH("NUE US Equity","EBITDA_MARGIN","FQ4 2020","FQ4 2020","Currency=USD","Period=FQ","BEST_FPERIOD_OVERRIDE=FQ","FILING_STATUS=MR","FA_ADJUSTED=GAAP","Sort=A","Dates=H","DateFormat=P","Fill=—","Direction=H","UseDPDF=Y")</f>
        <v>8.8618000000000006</v>
      </c>
      <c r="M60" s="13" cm="1">
        <f t="array" ref="M60">_xll.BDH("NUE US Equity","EBITDA_MARGIN","FQ1 2021","FQ1 2021","Currency=USD","Period=FQ","BEST_FPERIOD_OVERRIDE=FQ","FILING_STATUS=MR","FA_ADJUSTED=GAAP","Sort=A","Dates=H","DateFormat=P","Fill=—","Direction=H","UseDPDF=Y")</f>
        <v>13.584300000000001</v>
      </c>
      <c r="N60" s="13" cm="1">
        <f t="array" ref="N60">_xll.BDH("NUE US Equity","EBITDA_MARGIN","FQ2 2021","FQ2 2021","Currency=USD","Period=FQ","BEST_FPERIOD_OVERRIDE=FQ","FILING_STATUS=MR","FA_ADJUSTED=GAAP","Sort=A","Dates=H","DateFormat=P","Fill=—","Direction=H","UseDPDF=Y")</f>
        <v>18.254100000000001</v>
      </c>
      <c r="O60" s="13" cm="1">
        <f t="array" ref="O60">_xll.BDH("NUE US Equity","EBITDA_MARGIN","FQ3 2021","FQ3 2021","Currency=USD","Period=FQ","BEST_FPERIOD_OVERRIDE=FQ","FILING_STATUS=MR","FA_ADJUSTED=GAAP","Sort=A","Dates=H","DateFormat=P","Fill=—","Direction=H","UseDPDF=Y")</f>
        <v>23.318000000000001</v>
      </c>
      <c r="P60" s="13" cm="1">
        <f t="array" ref="P60">_xll.BDH("NUE US Equity","EBITDA_MARGIN","FQ4 2021","FQ4 2021","Currency=USD","Period=FQ","BEST_FPERIOD_OVERRIDE=FQ","FILING_STATUS=MR","FA_ADJUSTED=GAAP","Sort=A","Dates=H","DateFormat=P","Fill=—","Direction=H","UseDPDF=Y")</f>
        <v>27.741499999999998</v>
      </c>
      <c r="Q60" s="13" cm="1">
        <f t="array" ref="Q60">_xll.BDH("NUE US Equity","EBITDA_MARGIN","FQ1 2022","FQ1 2022","Currency=USD","Period=FQ","BEST_FPERIOD_OVERRIDE=FQ","FILING_STATUS=MR","FA_ADJUSTED=GAAP","Sort=A","Dates=H","DateFormat=P","Fill=—","Direction=H","UseDPDF=Y")</f>
        <v>29.444500000000001</v>
      </c>
      <c r="R60" s="13" cm="1">
        <f t="array" ref="R60">_xll.BDH("NUE US Equity","EBITDA_MARGIN","FQ2 2022","FQ2 2022","Currency=USD","Period=FQ","BEST_FPERIOD_OVERRIDE=FQ","FILING_STATUS=MR","FA_ADJUSTED=GAAP","Sort=A","Dates=H","DateFormat=P","Fill=—","Direction=H","UseDPDF=Y")</f>
        <v>30.976600000000001</v>
      </c>
      <c r="S60" s="13" cm="1">
        <f t="array" ref="S60">_xll.BDH("NUE US Equity","EBITDA_MARGIN","FQ3 2022","FQ3 2022","Currency=USD","Period=FQ","BEST_FPERIOD_OVERRIDE=FQ","FILING_STATUS=MR","FA_ADJUSTED=GAAP","Sort=A","Dates=H","DateFormat=P","Fill=—","Direction=H","UseDPDF=Y")</f>
        <v>29.7942</v>
      </c>
      <c r="T60" s="13" cm="1">
        <f t="array" ref="T60">_xll.BDH("NUE US Equity","EBITDA_MARGIN","FQ4 2022","FQ4 2022","Currency=USD","Period=FQ","BEST_FPERIOD_OVERRIDE=FQ","FILING_STATUS=MR","FA_ADJUSTED=GAAP","Sort=A","Dates=H","DateFormat=P","Fill=—","Direction=H","UseDPDF=Y")</f>
        <v>27.6206</v>
      </c>
      <c r="U60" s="13" cm="1">
        <f t="array" ref="U60">_xll.BDH("NUE US Equity","EBITDA_MARGIN","FQ1 2023","FQ1 2023","Currency=USD","Period=FQ","BEST_FPERIOD_OVERRIDE=FQ","FILING_STATUS=MR","FA_ADJUSTED=GAAP","Sort=A","Dates=H","DateFormat=P","Fill=—","Direction=H","UseDPDF=Y")</f>
        <v>25.6328</v>
      </c>
      <c r="V60" s="13" cm="1">
        <f t="array" ref="V60">_xll.BDH("NUE US Equity","EBITDA_MARGIN","FQ2 2023","FQ2 2023","Currency=USD","Period=FQ","BEST_FPERIOD_OVERRIDE=FQ","FILING_STATUS=MR","FA_ADJUSTED=GAAP","Sort=A","Dates=H","DateFormat=P","Fill=—","Direction=H","UseDPDF=Y")</f>
        <v>23.3048</v>
      </c>
      <c r="W60" s="13" cm="1">
        <f t="array" ref="W60">_xll.BDH("NUE US Equity","EBITDA_MARGIN","FQ3 2023","FQ3 2023","Currency=USD","Period=FQ","BEST_FPERIOD_OVERRIDE=FQ","FILING_STATUS=MR","FA_ADJUSTED=GAAP","Sort=A","Dates=H","DateFormat=P","Fill=—","Direction=H","UseDPDF=Y")</f>
        <v>22.1326</v>
      </c>
      <c r="X60" s="13" cm="1">
        <f t="array" ref="X60">_xll.BDH("NUE US Equity","EBITDA_MARGIN","FQ4 2023","FQ4 2023","Currency=USD","Period=FQ","BEST_FPERIOD_OVERRIDE=FQ","FILING_STATUS=MR","FA_ADJUSTED=GAAP","Sort=A","Dates=H","DateFormat=P","Fill=—","Direction=H","UseDPDF=Y")</f>
        <v>21.313500000000001</v>
      </c>
      <c r="Y60" s="13" cm="1">
        <f t="array" ref="Y60">_xll.BDH("NUE US Equity","EBITDA_MARGIN","FQ1 2024","FQ1 2024","Currency=USD","Period=FQ","BEST_FPERIOD_OVERRIDE=FQ","FILING_STATUS=MR","FA_ADJUSTED=GAAP","Sort=A","Dates=H","DateFormat=P","Fill=—","Direction=H","UseDPDF=Y")</f>
        <v>20.514900000000001</v>
      </c>
      <c r="Z60" s="13" cm="1">
        <f t="array" ref="Z60">_xll.BDH("NUE US Equity","EBITDA_MARGIN","FQ2 2024","FQ2 2024","Currency=USD","Period=FQ","BEST_FPERIOD_OVERRIDE=FQ","FILING_STATUS=MR","FA_ADJUSTED=GAAP","Sort=A","Dates=H","DateFormat=P","Fill=—","Direction=H","UseDPDF=Y")</f>
        <v>18.009399999999999</v>
      </c>
      <c r="AA60" s="13" cm="1">
        <f t="array" ref="AA60">_xll.BDH("NUE US Equity","EBITDA_MARGIN","FQ3 2024","FQ3 2024","Currency=USD","Period=FQ","BEST_FPERIOD_OVERRIDE=FQ","FILING_STATUS=MR","FA_ADJUSTED=GAAP","Sort=A","Dates=H","DateFormat=P","Fill=—","Direction=H","UseDPDF=Y")</f>
        <v>15.314299999999999</v>
      </c>
      <c r="AB60" s="13" cm="1">
        <f t="array" ref="AB60">_xll.BDH("NUE US Equity","EBITDA_MARGIN","FQ4 2024","FQ4 2024","Currency=USD","Period=FQ","BEST_FPERIOD_OVERRIDE=FQ","FILING_STATUS=MR","FA_ADJUSTED=GAAP","Sort=A","Dates=H","DateFormat=P","Fill=—","Direction=H","UseDPDF=Y")</f>
        <v>13.6586</v>
      </c>
      <c r="AC60" s="13" cm="1">
        <f t="array" ref="AC60">_xll.BDH("NUE US Equity","EBITDA_MARGIN","FQ1 2025","FQ1 2025","Currency=USD","Period=FQ","BEST_FPERIOD_OVERRIDE=FQ","FILING_STATUS=MR","FA_ADJUSTED=GAAP","Sort=A","Dates=H","DateFormat=P","Fill=—","Direction=H","UseDPDF=Y")</f>
        <v>11.067299999999999</v>
      </c>
      <c r="AD60" s="13" cm="1">
        <f t="array" ref="AD60">_xll.BDH("NUE US Equity","EBITDA_MARGIN","FQ2 2025","FQ2 2025","Currency=USD","Period=FQ","BEST_FPERIOD_OVERRIDE=FQ","FILING_STATUS=MR","FA_ADJUSTED=GAAP","Sort=A","Dates=H","DateFormat=P","Fill=—","Direction=H","UseDPDF=Y")</f>
        <v>11.110799999999999</v>
      </c>
      <c r="AE60" s="13" cm="1">
        <f t="array" ref="AE60">_xll.BDH("NUE US Equity","EBITDA_MARGIN","FQ3 2025","FQ3 2025","Currency=USD","Period=FQ","BEST_FPERIOD_OVERRIDE=FQ","FILING_STATUS=MR","FA_ADJUSTED=GAAP","Sort=A","Dates=H","DateFormat=P","Fill=—","Direction=H","UseDPDF=Y")</f>
        <v>12.3485</v>
      </c>
      <c r="AF60" s="13" cm="1">
        <f t="array" ref="AF60">_xll.BDH("NUE US Equity","EBITDA_MARGIN","FQ4 2025","FQ4 2025","Currency=USD","Period=FQ","BEST_FPERIOD_OVERRIDE=FQ","FILING_STATUS=MR","FA_ADJUSTED=GAAP","Sort=A","Dates=H","DateFormat=P","Fill=—","Direction=H","UseDPDF=Y")</f>
        <v>12.531499999999999</v>
      </c>
    </row>
    <row r="61" spans="1:32" x14ac:dyDescent="0.25">
      <c r="A61" s="10" t="s">
        <v>152</v>
      </c>
      <c r="B61" s="10" t="s">
        <v>153</v>
      </c>
      <c r="C61" s="12" cm="1">
        <f t="array" ref="C61">_xll.BDH("NUE US Equity","CF_NET_CASH_PAID_FOR_AQUIS","FQ3 2018","FQ3 2018","Currency=USD","Period=FQ","BEST_FPERIOD_OVERRIDE=FQ","FILING_STATUS=MR","SCALING_FORMAT=MLN","Sort=A","Dates=H","DateFormat=P","Fill=—","Direction=H","UseDPDF=Y")</f>
        <v>0</v>
      </c>
      <c r="D61" s="12" cm="1">
        <f t="array" ref="D61">_xll.BDH("NUE US Equity","CF_NET_CASH_PAID_FOR_AQUIS","FQ4 2018","FQ4 2018","Currency=USD","Period=FQ","BEST_FPERIOD_OVERRIDE=FQ","FILING_STATUS=MR","SCALING_FORMAT=MLN","Sort=A","Dates=H","DateFormat=P","Fill=—","Direction=H","UseDPDF=Y")</f>
        <v>33.063000000000002</v>
      </c>
      <c r="E61" s="12" cm="1">
        <f t="array" ref="E61">_xll.BDH("NUE US Equity","CF_NET_CASH_PAID_FOR_AQUIS","FQ1 2019","FQ1 2019","Currency=USD","Period=FQ","BEST_FPERIOD_OVERRIDE=FQ","FILING_STATUS=MR","SCALING_FORMAT=MLN","Sort=A","Dates=H","DateFormat=P","Fill=—","Direction=H","UseDPDF=Y")</f>
        <v>9.4949999999999992</v>
      </c>
      <c r="F61" s="12" cm="1">
        <f t="array" ref="F61">_xll.BDH("NUE US Equity","CF_NET_CASH_PAID_FOR_AQUIS","FQ2 2019","FQ2 2019","Currency=USD","Period=FQ","BEST_FPERIOD_OVERRIDE=FQ","FILING_STATUS=MR","SCALING_FORMAT=MLN","Sort=A","Dates=H","DateFormat=P","Fill=—","Direction=H","UseDPDF=Y")</f>
        <v>0</v>
      </c>
      <c r="G61" s="12" cm="1">
        <f t="array" ref="G61">_xll.BDH("NUE US Equity","CF_NET_CASH_PAID_FOR_AQUIS","FQ3 2019","FQ3 2019","Currency=USD","Period=FQ","BEST_FPERIOD_OVERRIDE=FQ","FILING_STATUS=MR","SCALING_FORMAT=MLN","Sort=A","Dates=H","DateFormat=P","Fill=—","Direction=H","UseDPDF=Y")</f>
        <v>0</v>
      </c>
      <c r="H61" s="12" cm="1">
        <f t="array" ref="H61">_xll.BDH("NUE US Equity","CF_NET_CASH_PAID_FOR_AQUIS","FQ4 2019","FQ4 2019","Currency=USD","Period=FQ","BEST_FPERIOD_OVERRIDE=FQ","FILING_STATUS=MR","SCALING_FORMAT=MLN","Sort=A","Dates=H","DateFormat=P","Fill=—","Direction=H","UseDPDF=Y")</f>
        <v>73.611000000000004</v>
      </c>
      <c r="I61" s="12" cm="1">
        <f t="array" ref="I61">_xll.BDH("NUE US Equity","CF_NET_CASH_PAID_FOR_AQUIS","FQ1 2020","FQ1 2020","Currency=USD","Period=FQ","BEST_FPERIOD_OVERRIDE=FQ","FILING_STATUS=MR","SCALING_FORMAT=MLN","Sort=A","Dates=H","DateFormat=P","Fill=—","Direction=H","UseDPDF=Y")</f>
        <v>0</v>
      </c>
      <c r="J61" s="12" cm="1">
        <f t="array" ref="J61">_xll.BDH("NUE US Equity","CF_NET_CASH_PAID_FOR_AQUIS","FQ2 2020","FQ2 2020","Currency=USD","Period=FQ","BEST_FPERIOD_OVERRIDE=FQ","FILING_STATUS=MR","SCALING_FORMAT=MLN","Sort=A","Dates=H","DateFormat=P","Fill=—","Direction=H","UseDPDF=Y")</f>
        <v>-0.79400000000000004</v>
      </c>
      <c r="K61" s="12" cm="1">
        <f t="array" ref="K61">_xll.BDH("NUE US Equity","CF_NET_CASH_PAID_FOR_AQUIS","FQ3 2020","FQ3 2020","Currency=USD","Period=FQ","BEST_FPERIOD_OVERRIDE=FQ","FILING_STATUS=MR","SCALING_FORMAT=MLN","Sort=A","Dates=H","DateFormat=P","Fill=—","Direction=H","UseDPDF=Y")</f>
        <v>21.161999999999999</v>
      </c>
      <c r="L61" s="12" cm="1">
        <f t="array" ref="L61">_xll.BDH("NUE US Equity","CF_NET_CASH_PAID_FOR_AQUIS","FQ4 2020","FQ4 2020","Currency=USD","Period=FQ","BEST_FPERIOD_OVERRIDE=FQ","FILING_STATUS=MR","SCALING_FORMAT=MLN","Sort=A","Dates=H","DateFormat=P","Fill=—","Direction=H","UseDPDF=Y")</f>
        <v>67.703000000000003</v>
      </c>
      <c r="M61" s="12" cm="1">
        <f t="array" ref="M61">_xll.BDH("NUE US Equity","CF_NET_CASH_PAID_FOR_AQUIS","FQ1 2021","FQ1 2021","Currency=USD","Period=FQ","BEST_FPERIOD_OVERRIDE=FQ","FILING_STATUS=MR","SCALING_FORMAT=MLN","Sort=A","Dates=H","DateFormat=P","Fill=—","Direction=H","UseDPDF=Y")</f>
        <v>-0.3</v>
      </c>
      <c r="N61" s="12" cm="1">
        <f t="array" ref="N61">_xll.BDH("NUE US Equity","CF_NET_CASH_PAID_FOR_AQUIS","FQ2 2021","FQ2 2021","Currency=USD","Period=FQ","BEST_FPERIOD_OVERRIDE=FQ","FILING_STATUS=MR","SCALING_FORMAT=MLN","Sort=A","Dates=H","DateFormat=P","Fill=—","Direction=H","UseDPDF=Y")</f>
        <v>0</v>
      </c>
      <c r="O61" s="12" cm="1">
        <f t="array" ref="O61">_xll.BDH("NUE US Equity","CF_NET_CASH_PAID_FOR_AQUIS","FQ3 2021","FQ3 2021","Currency=USD","Period=FQ","BEST_FPERIOD_OVERRIDE=FQ","FILING_STATUS=MR","SCALING_FORMAT=MLN","Sort=A","Dates=H","DateFormat=P","Fill=—","Direction=H","UseDPDF=Y")</f>
        <v>1346.9079999999999</v>
      </c>
      <c r="P61" s="12" cm="1">
        <f t="array" ref="P61">_xll.BDH("NUE US Equity","CF_NET_CASH_PAID_FOR_AQUIS","FQ4 2021","FQ4 2021","Currency=USD","Period=FQ","BEST_FPERIOD_OVERRIDE=FQ","FILING_STATUS=MR","SCALING_FORMAT=MLN","Sort=A","Dates=H","DateFormat=P","Fill=—","Direction=H","UseDPDF=Y")</f>
        <v>79.816000000000003</v>
      </c>
      <c r="Q61" s="12" t="str" cm="1">
        <f t="array" ref="Q61">_xll.BDH("NUE US Equity","CF_NET_CASH_PAID_FOR_AQUIS","FQ1 2022","FQ1 2022","Currency=USD","Period=FQ","BEST_FPERIOD_OVERRIDE=FQ","FILING_STATUS=MR","SCALING_FORMAT=MLN","Sort=A","Dates=H","DateFormat=P","Fill=—","Direction=H","UseDPDF=Y")</f>
        <v>—</v>
      </c>
      <c r="R61" s="12" cm="1">
        <f t="array" ref="R61">_xll.BDH("NUE US Equity","CF_NET_CASH_PAID_FOR_AQUIS","FQ2 2022","FQ2 2022","Currency=USD","Period=FQ","BEST_FPERIOD_OVERRIDE=FQ","FILING_STATUS=MR","SCALING_FORMAT=MLN","Sort=A","Dates=H","DateFormat=P","Fill=—","Direction=H","UseDPDF=Y")</f>
        <v>3465.866</v>
      </c>
      <c r="S61" s="12" cm="1">
        <f t="array" ref="S61">_xll.BDH("NUE US Equity","CF_NET_CASH_PAID_FOR_AQUIS","FQ3 2022","FQ3 2022","Currency=USD","Period=FQ","BEST_FPERIOD_OVERRIDE=FQ","FILING_STATUS=MR","SCALING_FORMAT=MLN","Sort=A","Dates=H","DateFormat=P","Fill=—","Direction=H","UseDPDF=Y")</f>
        <v>83.897999999999996</v>
      </c>
      <c r="T61" s="12" cm="1">
        <f t="array" ref="T61">_xll.BDH("NUE US Equity","CF_NET_CASH_PAID_FOR_AQUIS","FQ4 2022","FQ4 2022","Currency=USD","Period=FQ","BEST_FPERIOD_OVERRIDE=FQ","FILING_STATUS=MR","SCALING_FORMAT=MLN","Sort=A","Dates=H","DateFormat=P","Fill=—","Direction=H","UseDPDF=Y")</f>
        <v>3.427</v>
      </c>
      <c r="U61" s="12" cm="1">
        <f t="array" ref="U61">_xll.BDH("NUE US Equity","CF_NET_CASH_PAID_FOR_AQUIS","FQ1 2023","FQ1 2023","Currency=USD","Period=FQ","BEST_FPERIOD_OVERRIDE=FQ","FILING_STATUS=MR","SCALING_FORMAT=MLN","Sort=A","Dates=H","DateFormat=P","Fill=—","Direction=H","UseDPDF=Y")</f>
        <v>0</v>
      </c>
      <c r="V61" s="12" cm="1">
        <f t="array" ref="V61">_xll.BDH("NUE US Equity","CF_NET_CASH_PAID_FOR_AQUIS","FQ2 2023","FQ2 2023","Currency=USD","Period=FQ","BEST_FPERIOD_OVERRIDE=FQ","FILING_STATUS=MR","SCALING_FORMAT=MLN","Sort=A","Dates=H","DateFormat=P","Fill=—","Direction=H","UseDPDF=Y")</f>
        <v>0</v>
      </c>
      <c r="W61" s="12" cm="1">
        <f t="array" ref="W61">_xll.BDH("NUE US Equity","CF_NET_CASH_PAID_FOR_AQUIS","FQ3 2023","FQ3 2023","Currency=USD","Period=FQ","BEST_FPERIOD_OVERRIDE=FQ","FILING_STATUS=MR","SCALING_FORMAT=MLN","Sort=A","Dates=H","DateFormat=P","Fill=—","Direction=H","UseDPDF=Y")</f>
        <v>0</v>
      </c>
      <c r="X61" s="12" cm="1">
        <f t="array" ref="X61">_xll.BDH("NUE US Equity","CF_NET_CASH_PAID_FOR_AQUIS","FQ4 2023","FQ4 2023","Currency=USD","Period=FQ","BEST_FPERIOD_OVERRIDE=FQ","FILING_STATUS=MR","SCALING_FORMAT=MLN","Sort=A","Dates=H","DateFormat=P","Fill=—","Direction=H","UseDPDF=Y")</f>
        <v>70.823999999999998</v>
      </c>
      <c r="Y61" s="12" cm="1">
        <f t="array" ref="Y61">_xll.BDH("NUE US Equity","CF_NET_CASH_PAID_FOR_AQUIS","FQ1 2024","FQ1 2024","Currency=USD","Period=FQ","BEST_FPERIOD_OVERRIDE=FQ","FILING_STATUS=MR","SCALING_FORMAT=MLN","Sort=A","Dates=H","DateFormat=P","Fill=—","Direction=H","UseDPDF=Y")</f>
        <v>-0.99099999999999999</v>
      </c>
      <c r="Z61" s="12" cm="1">
        <f t="array" ref="Z61">_xll.BDH("NUE US Equity","CF_NET_CASH_PAID_FOR_AQUIS","FQ2 2024","FQ2 2024","Currency=USD","Period=FQ","BEST_FPERIOD_OVERRIDE=FQ","FILING_STATUS=MR","SCALING_FORMAT=MLN","Sort=A","Dates=H","DateFormat=P","Fill=—","Direction=H","UseDPDF=Y")</f>
        <v>109.934</v>
      </c>
      <c r="AA61" s="12" cm="1">
        <f t="array" ref="AA61">_xll.BDH("NUE US Equity","CF_NET_CASH_PAID_FOR_AQUIS","FQ3 2024","FQ3 2024","Currency=USD","Period=FQ","BEST_FPERIOD_OVERRIDE=FQ","FILING_STATUS=MR","SCALING_FORMAT=MLN","Sort=A","Dates=H","DateFormat=P","Fill=—","Direction=H","UseDPDF=Y")</f>
        <v>563.25</v>
      </c>
      <c r="AB61" s="12" cm="1">
        <f t="array" ref="AB61">_xll.BDH("NUE US Equity","CF_NET_CASH_PAID_FOR_AQUIS","FQ4 2024","FQ4 2024","Currency=USD","Period=FQ","BEST_FPERIOD_OVERRIDE=FQ","FILING_STATUS=MR","SCALING_FORMAT=MLN","Sort=A","Dates=H","DateFormat=P","Fill=—","Direction=H","UseDPDF=Y")</f>
        <v>85.807000000000002</v>
      </c>
      <c r="AC61" s="12" t="str" cm="1">
        <f t="array" ref="AC61">_xll.BDH("NUE US Equity","CF_NET_CASH_PAID_FOR_AQUIS","FQ1 2025","FQ1 2025","Currency=USD","Period=FQ","BEST_FPERIOD_OVERRIDE=FQ","FILING_STATUS=MR","SCALING_FORMAT=MLN","Sort=A","Dates=H","DateFormat=P","Fill=—","Direction=H","UseDPDF=Y")</f>
        <v>—</v>
      </c>
      <c r="AD61" s="12" t="str" cm="1">
        <f t="array" ref="AD61">_xll.BDH("NUE US Equity","CF_NET_CASH_PAID_FOR_AQUIS","FQ2 2025","FQ2 2025","Currency=USD","Period=FQ","BEST_FPERIOD_OVERRIDE=FQ","FILING_STATUS=MR","SCALING_FORMAT=MLN","Sort=A","Dates=H","DateFormat=P","Fill=—","Direction=H","UseDPDF=Y")</f>
        <v>—</v>
      </c>
      <c r="AE61" s="12" t="str" cm="1">
        <f t="array" ref="AE61">_xll.BDH("NUE US Equity","CF_NET_CASH_PAID_FOR_AQUIS","FQ3 2025","FQ3 2025","Currency=USD","Period=FQ","BEST_FPERIOD_OVERRIDE=FQ","FILING_STATUS=MR","SCALING_FORMAT=MLN","Sort=A","Dates=H","DateFormat=P","Fill=—","Direction=H","UseDPDF=Y")</f>
        <v>—</v>
      </c>
      <c r="AF61" s="12" t="str" cm="1">
        <f t="array" ref="AF61">_xll.BDH("NUE US Equity","CF_NET_CASH_PAID_FOR_AQUIS","FQ4 2025","FQ4 2025","Currency=USD","Period=FQ","BEST_FPERIOD_OVERRIDE=FQ","FILING_STATUS=MR","SCALING_FORMAT=MLN","Sort=A","Dates=H","DateFormat=P","Fill=—","Direction=H","UseDPDF=Y")</f>
        <v>—</v>
      </c>
    </row>
    <row r="62" spans="1:32" x14ac:dyDescent="0.25">
      <c r="A62" s="10" t="s">
        <v>154</v>
      </c>
      <c r="B62" s="10" t="s">
        <v>155</v>
      </c>
      <c r="C62" s="12" t="str" cm="1">
        <f t="array" ref="C62">_xll.BDH("NUE US Equity","CF_TAX_BENEFIT_FRM_STOCK_OPTIONS","FQ3 2018","FQ3 2018","Currency=USD","Period=FQ","BEST_FPERIOD_OVERRIDE=FQ","FILING_STATUS=MR","SCALING_FORMAT=MLN","Sort=A","Dates=H","DateFormat=P","Fill=—","Direction=H","UseDPDF=Y")</f>
        <v>—</v>
      </c>
      <c r="D62" s="12" t="str" cm="1">
        <f t="array" ref="D62">_xll.BDH("NUE US Equity","CF_TAX_BENEFIT_FRM_STOCK_OPTIONS","FQ4 2018","FQ4 2018","Currency=USD","Period=FQ","BEST_FPERIOD_OVERRIDE=FQ","FILING_STATUS=MR","SCALING_FORMAT=MLN","Sort=A","Dates=H","DateFormat=P","Fill=—","Direction=H","UseDPDF=Y")</f>
        <v>—</v>
      </c>
      <c r="E62" s="12" cm="1">
        <f t="array" ref="E62">_xll.BDH("NUE US Equity","CF_TAX_BENEFIT_FRM_STOCK_OPTIONS","FQ1 2019","FQ1 2019","Currency=USD","Period=FQ","BEST_FPERIOD_OVERRIDE=FQ","FILING_STATUS=MR","SCALING_FORMAT=MLN","Sort=A","Dates=H","DateFormat=P","Fill=—","Direction=H","UseDPDF=Y")</f>
        <v>0</v>
      </c>
      <c r="F62" s="12" t="str" cm="1">
        <f t="array" ref="F62">_xll.BDH("NUE US Equity","CF_TAX_BENEFIT_FRM_STOCK_OPTIONS","FQ2 2019","FQ2 2019","Currency=USD","Period=FQ","BEST_FPERIOD_OVERRIDE=FQ","FILING_STATUS=MR","SCALING_FORMAT=MLN","Sort=A","Dates=H","DateFormat=P","Fill=—","Direction=H","UseDPDF=Y")</f>
        <v>—</v>
      </c>
      <c r="G62" s="12" t="str" cm="1">
        <f t="array" ref="G62">_xll.BDH("NUE US Equity","CF_TAX_BENEFIT_FRM_STOCK_OPTIONS","FQ3 2019","FQ3 2019","Currency=USD","Period=FQ","BEST_FPERIOD_OVERRIDE=FQ","FILING_STATUS=MR","SCALING_FORMAT=MLN","Sort=A","Dates=H","DateFormat=P","Fill=—","Direction=H","UseDPDF=Y")</f>
        <v>—</v>
      </c>
      <c r="H62" s="12" t="str" cm="1">
        <f t="array" ref="H62">_xll.BDH("NUE US Equity","CF_TAX_BENEFIT_FRM_STOCK_OPTIONS","FQ4 2019","FQ4 2019","Currency=USD","Period=FQ","BEST_FPERIOD_OVERRIDE=FQ","FILING_STATUS=MR","SCALING_FORMAT=MLN","Sort=A","Dates=H","DateFormat=P","Fill=—","Direction=H","UseDPDF=Y")</f>
        <v>—</v>
      </c>
      <c r="I62" s="12" t="str" cm="1">
        <f t="array" ref="I62">_xll.BDH("NUE US Equity","CF_TAX_BENEFIT_FRM_STOCK_OPTIONS","FQ1 2020","FQ1 2020","Currency=USD","Period=FQ","BEST_FPERIOD_OVERRIDE=FQ","FILING_STATUS=MR","SCALING_FORMAT=MLN","Sort=A","Dates=H","DateFormat=P","Fill=—","Direction=H","UseDPDF=Y")</f>
        <v>—</v>
      </c>
      <c r="J62" s="12" t="str" cm="1">
        <f t="array" ref="J62">_xll.BDH("NUE US Equity","CF_TAX_BENEFIT_FRM_STOCK_OPTIONS","FQ2 2020","FQ2 2020","Currency=USD","Period=FQ","BEST_FPERIOD_OVERRIDE=FQ","FILING_STATUS=MR","SCALING_FORMAT=MLN","Sort=A","Dates=H","DateFormat=P","Fill=—","Direction=H","UseDPDF=Y")</f>
        <v>—</v>
      </c>
      <c r="K62" s="12" cm="1">
        <f t="array" ref="K62">_xll.BDH("NUE US Equity","CF_TAX_BENEFIT_FRM_STOCK_OPTIONS","FQ3 2020","FQ3 2020","Currency=USD","Period=FQ","BEST_FPERIOD_OVERRIDE=FQ","FILING_STATUS=MR","SCALING_FORMAT=MLN","Sort=A","Dates=H","DateFormat=P","Fill=—","Direction=H","UseDPDF=Y")</f>
        <v>0</v>
      </c>
      <c r="L62" s="12" t="str" cm="1">
        <f t="array" ref="L62">_xll.BDH("NUE US Equity","CF_TAX_BENEFIT_FRM_STOCK_OPTIONS","FQ4 2020","FQ4 2020","Currency=USD","Period=FQ","BEST_FPERIOD_OVERRIDE=FQ","FILING_STATUS=MR","SCALING_FORMAT=MLN","Sort=A","Dates=H","DateFormat=P","Fill=—","Direction=H","UseDPDF=Y")</f>
        <v>—</v>
      </c>
      <c r="M62" s="12" t="str" cm="1">
        <f t="array" ref="M62">_xll.BDH("NUE US Equity","CF_TAX_BENEFIT_FRM_STOCK_OPTIONS","FQ1 2021","FQ1 2021","Currency=USD","Period=FQ","BEST_FPERIOD_OVERRIDE=FQ","FILING_STATUS=MR","SCALING_FORMAT=MLN","Sort=A","Dates=H","DateFormat=P","Fill=—","Direction=H","UseDPDF=Y")</f>
        <v>—</v>
      </c>
      <c r="N62" s="12" t="str" cm="1">
        <f t="array" ref="N62">_xll.BDH("NUE US Equity","CF_TAX_BENEFIT_FRM_STOCK_OPTIONS","FQ2 2021","FQ2 2021","Currency=USD","Period=FQ","BEST_FPERIOD_OVERRIDE=FQ","FILING_STATUS=MR","SCALING_FORMAT=MLN","Sort=A","Dates=H","DateFormat=P","Fill=—","Direction=H","UseDPDF=Y")</f>
        <v>—</v>
      </c>
      <c r="O62" s="12" t="str" cm="1">
        <f t="array" ref="O62">_xll.BDH("NUE US Equity","CF_TAX_BENEFIT_FRM_STOCK_OPTIONS","FQ3 2021","FQ3 2021","Currency=USD","Period=FQ","BEST_FPERIOD_OVERRIDE=FQ","FILING_STATUS=MR","SCALING_FORMAT=MLN","Sort=A","Dates=H","DateFormat=P","Fill=—","Direction=H","UseDPDF=Y")</f>
        <v>—</v>
      </c>
      <c r="P62" s="12" t="str" cm="1">
        <f t="array" ref="P62">_xll.BDH("NUE US Equity","CF_TAX_BENEFIT_FRM_STOCK_OPTIONS","FQ4 2021","FQ4 2021","Currency=USD","Period=FQ","BEST_FPERIOD_OVERRIDE=FQ","FILING_STATUS=MR","SCALING_FORMAT=MLN","Sort=A","Dates=H","DateFormat=P","Fill=—","Direction=H","UseDPDF=Y")</f>
        <v>—</v>
      </c>
      <c r="Q62" s="12" t="str" cm="1">
        <f t="array" ref="Q62">_xll.BDH("NUE US Equity","CF_TAX_BENEFIT_FRM_STOCK_OPTIONS","FQ1 2022","FQ1 2022","Currency=USD","Period=FQ","BEST_FPERIOD_OVERRIDE=FQ","FILING_STATUS=MR","SCALING_FORMAT=MLN","Sort=A","Dates=H","DateFormat=P","Fill=—","Direction=H","UseDPDF=Y")</f>
        <v>—</v>
      </c>
      <c r="R62" s="12" t="str" cm="1">
        <f t="array" ref="R62">_xll.BDH("NUE US Equity","CF_TAX_BENEFIT_FRM_STOCK_OPTIONS","FQ2 2022","FQ2 2022","Currency=USD","Period=FQ","BEST_FPERIOD_OVERRIDE=FQ","FILING_STATUS=MR","SCALING_FORMAT=MLN","Sort=A","Dates=H","DateFormat=P","Fill=—","Direction=H","UseDPDF=Y")</f>
        <v>—</v>
      </c>
      <c r="S62" s="12" t="str" cm="1">
        <f t="array" ref="S62">_xll.BDH("NUE US Equity","CF_TAX_BENEFIT_FRM_STOCK_OPTIONS","FQ3 2022","FQ3 2022","Currency=USD","Period=FQ","BEST_FPERIOD_OVERRIDE=FQ","FILING_STATUS=MR","SCALING_FORMAT=MLN","Sort=A","Dates=H","DateFormat=P","Fill=—","Direction=H","UseDPDF=Y")</f>
        <v>—</v>
      </c>
      <c r="T62" s="12" t="str" cm="1">
        <f t="array" ref="T62">_xll.BDH("NUE US Equity","CF_TAX_BENEFIT_FRM_STOCK_OPTIONS","FQ4 2022","FQ4 2022","Currency=USD","Period=FQ","BEST_FPERIOD_OVERRIDE=FQ","FILING_STATUS=MR","SCALING_FORMAT=MLN","Sort=A","Dates=H","DateFormat=P","Fill=—","Direction=H","UseDPDF=Y")</f>
        <v>—</v>
      </c>
      <c r="U62" s="12" t="str" cm="1">
        <f t="array" ref="U62">_xll.BDH("NUE US Equity","CF_TAX_BENEFIT_FRM_STOCK_OPTIONS","FQ1 2023","FQ1 2023","Currency=USD","Period=FQ","BEST_FPERIOD_OVERRIDE=FQ","FILING_STATUS=MR","SCALING_FORMAT=MLN","Sort=A","Dates=H","DateFormat=P","Fill=—","Direction=H","UseDPDF=Y")</f>
        <v>—</v>
      </c>
      <c r="V62" s="12" t="str" cm="1">
        <f t="array" ref="V62">_xll.BDH("NUE US Equity","CF_TAX_BENEFIT_FRM_STOCK_OPTIONS","FQ2 2023","FQ2 2023","Currency=USD","Period=FQ","BEST_FPERIOD_OVERRIDE=FQ","FILING_STATUS=MR","SCALING_FORMAT=MLN","Sort=A","Dates=H","DateFormat=P","Fill=—","Direction=H","UseDPDF=Y")</f>
        <v>—</v>
      </c>
      <c r="W62" s="12" t="str" cm="1">
        <f t="array" ref="W62">_xll.BDH("NUE US Equity","CF_TAX_BENEFIT_FRM_STOCK_OPTIONS","FQ3 2023","FQ3 2023","Currency=USD","Period=FQ","BEST_FPERIOD_OVERRIDE=FQ","FILING_STATUS=MR","SCALING_FORMAT=MLN","Sort=A","Dates=H","DateFormat=P","Fill=—","Direction=H","UseDPDF=Y")</f>
        <v>—</v>
      </c>
      <c r="X62" s="12" t="str" cm="1">
        <f t="array" ref="X62">_xll.BDH("NUE US Equity","CF_TAX_BENEFIT_FRM_STOCK_OPTIONS","FQ4 2023","FQ4 2023","Currency=USD","Period=FQ","BEST_FPERIOD_OVERRIDE=FQ","FILING_STATUS=MR","SCALING_FORMAT=MLN","Sort=A","Dates=H","DateFormat=P","Fill=—","Direction=H","UseDPDF=Y")</f>
        <v>—</v>
      </c>
      <c r="Y62" s="12" t="str" cm="1">
        <f t="array" ref="Y62">_xll.BDH("NUE US Equity","CF_TAX_BENEFIT_FRM_STOCK_OPTIONS","FQ1 2024","FQ1 2024","Currency=USD","Period=FQ","BEST_FPERIOD_OVERRIDE=FQ","FILING_STATUS=MR","SCALING_FORMAT=MLN","Sort=A","Dates=H","DateFormat=P","Fill=—","Direction=H","UseDPDF=Y")</f>
        <v>—</v>
      </c>
      <c r="Z62" s="12" t="str" cm="1">
        <f t="array" ref="Z62">_xll.BDH("NUE US Equity","CF_TAX_BENEFIT_FRM_STOCK_OPTIONS","FQ2 2024","FQ2 2024","Currency=USD","Period=FQ","BEST_FPERIOD_OVERRIDE=FQ","FILING_STATUS=MR","SCALING_FORMAT=MLN","Sort=A","Dates=H","DateFormat=P","Fill=—","Direction=H","UseDPDF=Y")</f>
        <v>—</v>
      </c>
      <c r="AA62" s="12" t="str" cm="1">
        <f t="array" ref="AA62">_xll.BDH("NUE US Equity","CF_TAX_BENEFIT_FRM_STOCK_OPTIONS","FQ3 2024","FQ3 2024","Currency=USD","Period=FQ","BEST_FPERIOD_OVERRIDE=FQ","FILING_STATUS=MR","SCALING_FORMAT=MLN","Sort=A","Dates=H","DateFormat=P","Fill=—","Direction=H","UseDPDF=Y")</f>
        <v>—</v>
      </c>
      <c r="AB62" s="12" t="str" cm="1">
        <f t="array" ref="AB62">_xll.BDH("NUE US Equity","CF_TAX_BENEFIT_FRM_STOCK_OPTIONS","FQ4 2024","FQ4 2024","Currency=USD","Period=FQ","BEST_FPERIOD_OVERRIDE=FQ","FILING_STATUS=MR","SCALING_FORMAT=MLN","Sort=A","Dates=H","DateFormat=P","Fill=—","Direction=H","UseDPDF=Y")</f>
        <v>—</v>
      </c>
      <c r="AC62" s="12" t="str" cm="1">
        <f t="array" ref="AC62">_xll.BDH("NUE US Equity","CF_TAX_BENEFIT_FRM_STOCK_OPTIONS","FQ1 2025","FQ1 2025","Currency=USD","Period=FQ","BEST_FPERIOD_OVERRIDE=FQ","FILING_STATUS=MR","SCALING_FORMAT=MLN","Sort=A","Dates=H","DateFormat=P","Fill=—","Direction=H","UseDPDF=Y")</f>
        <v>—</v>
      </c>
      <c r="AD62" s="12" t="str" cm="1">
        <f t="array" ref="AD62">_xll.BDH("NUE US Equity","CF_TAX_BENEFIT_FRM_STOCK_OPTIONS","FQ2 2025","FQ2 2025","Currency=USD","Period=FQ","BEST_FPERIOD_OVERRIDE=FQ","FILING_STATUS=MR","SCALING_FORMAT=MLN","Sort=A","Dates=H","DateFormat=P","Fill=—","Direction=H","UseDPDF=Y")</f>
        <v>—</v>
      </c>
      <c r="AE62" s="12" t="str" cm="1">
        <f t="array" ref="AE62">_xll.BDH("NUE US Equity","CF_TAX_BENEFIT_FRM_STOCK_OPTIONS","FQ3 2025","FQ3 2025","Currency=USD","Period=FQ","BEST_FPERIOD_OVERRIDE=FQ","FILING_STATUS=MR","SCALING_FORMAT=MLN","Sort=A","Dates=H","DateFormat=P","Fill=—","Direction=H","UseDPDF=Y")</f>
        <v>—</v>
      </c>
      <c r="AF62" s="12" t="str" cm="1">
        <f t="array" ref="AF62">_xll.BDH("NUE US Equity","CF_TAX_BENEFIT_FRM_STOCK_OPTIONS","FQ4 2025","FQ4 2025","Currency=USD","Period=FQ","BEST_FPERIOD_OVERRIDE=FQ","FILING_STATUS=MR","SCALING_FORMAT=MLN","Sort=A","Dates=H","DateFormat=P","Fill=—","Direction=H","UseDPDF=Y")</f>
        <v>—</v>
      </c>
    </row>
    <row r="63" spans="1:32" x14ac:dyDescent="0.25">
      <c r="A63" s="10" t="s">
        <v>156</v>
      </c>
      <c r="B63" s="10" t="s">
        <v>157</v>
      </c>
      <c r="C63" s="12" cm="1">
        <f t="array" ref="C63">_xll.BDH("NUE US Equity","CF_FREE_CASH_FLOW","FQ3 2018","FQ3 2018","Currency=USD","Period=FQ","BEST_FPERIOD_OVERRIDE=FQ","FILING_STATUS=MR","SCALING_FORMAT=MLN","Sort=A","Dates=H","DateFormat=P","Fill=—","Direction=H","UseDPDF=Y")</f>
        <v>767.61400000000003</v>
      </c>
      <c r="D63" s="12" cm="1">
        <f t="array" ref="D63">_xll.BDH("NUE US Equity","CF_FREE_CASH_FLOW","FQ4 2018","FQ4 2018","Currency=USD","Period=FQ","BEST_FPERIOD_OVERRIDE=FQ","FILING_STATUS=MR","SCALING_FORMAT=MLN","Sort=A","Dates=H","DateFormat=P","Fill=—","Direction=H","UseDPDF=Y")</f>
        <v>134.70099999999999</v>
      </c>
      <c r="E63" s="12" cm="1">
        <f t="array" ref="E63">_xll.BDH("NUE US Equity","CF_FREE_CASH_FLOW","FQ1 2019","FQ1 2019","Currency=USD","Period=FQ","BEST_FPERIOD_OVERRIDE=FQ","FILING_STATUS=MR","SCALING_FORMAT=MLN","Sort=A","Dates=H","DateFormat=P","Fill=—","Direction=H","UseDPDF=Y")</f>
        <v>361.92200000000003</v>
      </c>
      <c r="F63" s="12" cm="1">
        <f t="array" ref="F63">_xll.BDH("NUE US Equity","CF_FREE_CASH_FLOW","FQ2 2019","FQ2 2019","Currency=USD","Period=FQ","BEST_FPERIOD_OVERRIDE=FQ","FILING_STATUS=MR","SCALING_FORMAT=MLN","Sort=A","Dates=H","DateFormat=P","Fill=—","Direction=H","UseDPDF=Y")</f>
        <v>175.98599999999999</v>
      </c>
      <c r="G63" s="12" cm="1">
        <f t="array" ref="G63">_xll.BDH("NUE US Equity","CF_FREE_CASH_FLOW","FQ3 2019","FQ3 2019","Currency=USD","Period=FQ","BEST_FPERIOD_OVERRIDE=FQ","FILING_STATUS=MR","SCALING_FORMAT=MLN","Sort=A","Dates=H","DateFormat=P","Fill=—","Direction=H","UseDPDF=Y")</f>
        <v>597.66</v>
      </c>
      <c r="H63" s="12" cm="1">
        <f t="array" ref="H63">_xll.BDH("NUE US Equity","CF_FREE_CASH_FLOW","FQ4 2019","FQ4 2019","Currency=USD","Period=FQ","BEST_FPERIOD_OVERRIDE=FQ","FILING_STATUS=MR","SCALING_FORMAT=MLN","Sort=A","Dates=H","DateFormat=P","Fill=—","Direction=H","UseDPDF=Y")</f>
        <v>196.55199999999999</v>
      </c>
      <c r="I63" s="12" cm="1">
        <f t="array" ref="I63">_xll.BDH("NUE US Equity","CF_FREE_CASH_FLOW","FQ1 2020","FQ1 2020","Currency=USD","Period=FQ","BEST_FPERIOD_OVERRIDE=FQ","FILING_STATUS=MR","SCALING_FORMAT=MLN","Sort=A","Dates=H","DateFormat=P","Fill=—","Direction=H","UseDPDF=Y")</f>
        <v>-215.351</v>
      </c>
      <c r="J63" s="12" cm="1">
        <f t="array" ref="J63">_xll.BDH("NUE US Equity","CF_FREE_CASH_FLOW","FQ2 2020","FQ2 2020","Currency=USD","Period=FQ","BEST_FPERIOD_OVERRIDE=FQ","FILING_STATUS=MR","SCALING_FORMAT=MLN","Sort=A","Dates=H","DateFormat=P","Fill=—","Direction=H","UseDPDF=Y")</f>
        <v>788.00199999999995</v>
      </c>
      <c r="K63" s="12" cm="1">
        <f t="array" ref="K63">_xll.BDH("NUE US Equity","CF_FREE_CASH_FLOW","FQ3 2020","FQ3 2020","Currency=USD","Period=FQ","BEST_FPERIOD_OVERRIDE=FQ","FILING_STATUS=MR","SCALING_FORMAT=MLN","Sort=A","Dates=H","DateFormat=P","Fill=—","Direction=H","UseDPDF=Y")</f>
        <v>453.85899999999998</v>
      </c>
      <c r="L63" s="12" cm="1">
        <f t="array" ref="L63">_xll.BDH("NUE US Equity","CF_FREE_CASH_FLOW","FQ4 2020","FQ4 2020","Currency=USD","Period=FQ","BEST_FPERIOD_OVERRIDE=FQ","FILING_STATUS=MR","SCALING_FORMAT=MLN","Sort=A","Dates=H","DateFormat=P","Fill=—","Direction=H","UseDPDF=Y")</f>
        <v>127.148</v>
      </c>
      <c r="M63" s="12" cm="1">
        <f t="array" ref="M63">_xll.BDH("NUE US Equity","CF_FREE_CASH_FLOW","FQ1 2021","FQ1 2021","Currency=USD","Period=FQ","BEST_FPERIOD_OVERRIDE=FQ","FILING_STATUS=MR","SCALING_FORMAT=MLN","Sort=A","Dates=H","DateFormat=P","Fill=—","Direction=H","UseDPDF=Y")</f>
        <v>216.90100000000001</v>
      </c>
      <c r="N63" s="12" cm="1">
        <f t="array" ref="N63">_xll.BDH("NUE US Equity","CF_FREE_CASH_FLOW","FQ2 2021","FQ2 2021","Currency=USD","Period=FQ","BEST_FPERIOD_OVERRIDE=FQ","FILING_STATUS=MR","SCALING_FORMAT=MLN","Sort=A","Dates=H","DateFormat=P","Fill=—","Direction=H","UseDPDF=Y")</f>
        <v>963.90700000000004</v>
      </c>
      <c r="O63" s="12" cm="1">
        <f t="array" ref="O63">_xll.BDH("NUE US Equity","CF_FREE_CASH_FLOW","FQ3 2021","FQ3 2021","Currency=USD","Period=FQ","BEST_FPERIOD_OVERRIDE=FQ","FILING_STATUS=MR","SCALING_FORMAT=MLN","Sort=A","Dates=H","DateFormat=P","Fill=—","Direction=H","UseDPDF=Y")</f>
        <v>1232.4670000000001</v>
      </c>
      <c r="P63" s="12" cm="1">
        <f t="array" ref="P63">_xll.BDH("NUE US Equity","CF_FREE_CASH_FLOW","FQ4 2021","FQ4 2021","Currency=USD","Period=FQ","BEST_FPERIOD_OVERRIDE=FQ","FILING_STATUS=MR","SCALING_FORMAT=MLN","Sort=A","Dates=H","DateFormat=P","Fill=—","Direction=H","UseDPDF=Y")</f>
        <v>2195.5120000000002</v>
      </c>
      <c r="Q63" s="12" cm="1">
        <f t="array" ref="Q63">_xll.BDH("NUE US Equity","CF_FREE_CASH_FLOW","FQ1 2022","FQ1 2022","Currency=USD","Period=FQ","BEST_FPERIOD_OVERRIDE=FQ","FILING_STATUS=MR","SCALING_FORMAT=MLN","Sort=A","Dates=H","DateFormat=P","Fill=—","Direction=H","UseDPDF=Y")</f>
        <v>2024.4860000000001</v>
      </c>
      <c r="R63" s="12" cm="1">
        <f t="array" ref="R63">_xll.BDH("NUE US Equity","CF_FREE_CASH_FLOW","FQ2 2022","FQ2 2022","Currency=USD","Period=FQ","BEST_FPERIOD_OVERRIDE=FQ","FILING_STATUS=MR","SCALING_FORMAT=MLN","Sort=A","Dates=H","DateFormat=P","Fill=—","Direction=H","UseDPDF=Y")</f>
        <v>1740.46</v>
      </c>
      <c r="S63" s="12" cm="1">
        <f t="array" ref="S63">_xll.BDH("NUE US Equity","CF_FREE_CASH_FLOW","FQ3 2022","FQ3 2022","Currency=USD","Period=FQ","BEST_FPERIOD_OVERRIDE=FQ","FILING_STATUS=MR","SCALING_FORMAT=MLN","Sort=A","Dates=H","DateFormat=P","Fill=—","Direction=H","UseDPDF=Y")</f>
        <v>2343.4499999999998</v>
      </c>
      <c r="T63" s="12" cm="1">
        <f t="array" ref="T63">_xll.BDH("NUE US Equity","CF_FREE_CASH_FLOW","FQ4 2022","FQ4 2022","Currency=USD","Period=FQ","BEST_FPERIOD_OVERRIDE=FQ","FILING_STATUS=MR","SCALING_FORMAT=MLN","Sort=A","Dates=H","DateFormat=P","Fill=—","Direction=H","UseDPDF=Y")</f>
        <v>2015.761</v>
      </c>
      <c r="U63" s="12" cm="1">
        <f t="array" ref="U63">_xll.BDH("NUE US Equity","CF_FREE_CASH_FLOW","FQ1 2023","FQ1 2023","Currency=USD","Period=FQ","BEST_FPERIOD_OVERRIDE=FQ","FILING_STATUS=MR","SCALING_FORMAT=MLN","Sort=A","Dates=H","DateFormat=P","Fill=—","Direction=H","UseDPDF=Y")</f>
        <v>675.44</v>
      </c>
      <c r="V63" s="12" cm="1">
        <f t="array" ref="V63">_xll.BDH("NUE US Equity","CF_FREE_CASH_FLOW","FQ2 2023","FQ2 2023","Currency=USD","Period=FQ","BEST_FPERIOD_OVERRIDE=FQ","FILING_STATUS=MR","SCALING_FORMAT=MLN","Sort=A","Dates=H","DateFormat=P","Fill=—","Direction=H","UseDPDF=Y")</f>
        <v>1395.0709999999999</v>
      </c>
      <c r="W63" s="12" cm="1">
        <f t="array" ref="W63">_xll.BDH("NUE US Equity","CF_FREE_CASH_FLOW","FQ3 2023","FQ3 2023","Currency=USD","Period=FQ","BEST_FPERIOD_OVERRIDE=FQ","FILING_STATUS=MR","SCALING_FORMAT=MLN","Sort=A","Dates=H","DateFormat=P","Fill=—","Direction=H","UseDPDF=Y")</f>
        <v>2024.85</v>
      </c>
      <c r="X63" s="12" cm="1">
        <f t="array" ref="X63">_xll.BDH("NUE US Equity","CF_FREE_CASH_FLOW","FQ4 2023","FQ4 2023","Currency=USD","Period=FQ","BEST_FPERIOD_OVERRIDE=FQ","FILING_STATUS=MR","SCALING_FORMAT=MLN","Sort=A","Dates=H","DateFormat=P","Fill=—","Direction=H","UseDPDF=Y")</f>
        <v>802.41300000000001</v>
      </c>
      <c r="Y63" s="12" cm="1">
        <f t="array" ref="Y63">_xll.BDH("NUE US Equity","CF_FREE_CASH_FLOW","FQ1 2024","FQ1 2024","Currency=USD","Period=FQ","BEST_FPERIOD_OVERRIDE=FQ","FILING_STATUS=MR","SCALING_FORMAT=MLN","Sort=A","Dates=H","DateFormat=P","Fill=—","Direction=H","UseDPDF=Y")</f>
        <v>-210.68700000000001</v>
      </c>
      <c r="Z63" s="12" cm="1">
        <f t="array" ref="Z63">_xll.BDH("NUE US Equity","CF_FREE_CASH_FLOW","FQ2 2024","FQ2 2024","Currency=USD","Period=FQ","BEST_FPERIOD_OVERRIDE=FQ","FILING_STATUS=MR","SCALING_FORMAT=MLN","Sort=A","Dates=H","DateFormat=P","Fill=—","Direction=H","UseDPDF=Y")</f>
        <v>684.38400000000001</v>
      </c>
      <c r="AA63" s="12" cm="1">
        <f t="array" ref="AA63">_xll.BDH("NUE US Equity","CF_FREE_CASH_FLOW","FQ3 2024","FQ3 2024","Currency=USD","Period=FQ","BEST_FPERIOD_OVERRIDE=FQ","FILING_STATUS=MR","SCALING_FORMAT=MLN","Sort=A","Dates=H","DateFormat=P","Fill=—","Direction=H","UseDPDF=Y")</f>
        <v>478.07600000000002</v>
      </c>
      <c r="AB63" s="12" cm="1">
        <f t="array" ref="AB63">_xll.BDH("NUE US Equity","CF_FREE_CASH_FLOW","FQ4 2024","FQ4 2024","Currency=USD","Period=FQ","BEST_FPERIOD_OVERRIDE=FQ","FILING_STATUS=MR","SCALING_FORMAT=MLN","Sort=A","Dates=H","DateFormat=P","Fill=—","Direction=H","UseDPDF=Y")</f>
        <v>-145.773</v>
      </c>
      <c r="AC63" s="12" cm="1">
        <f t="array" ref="AC63">_xll.BDH("NUE US Equity","CF_FREE_CASH_FLOW","FQ1 2025","FQ1 2025","Currency=USD","Period=FQ","BEST_FPERIOD_OVERRIDE=FQ","FILING_STATUS=MR","SCALING_FORMAT=MLN","Sort=A","Dates=H","DateFormat=P","Fill=—","Direction=H","UseDPDF=Y")</f>
        <v>-495</v>
      </c>
      <c r="AD63" s="12" cm="1">
        <f t="array" ref="AD63">_xll.BDH("NUE US Equity","CF_FREE_CASH_FLOW","FQ2 2025","FQ2 2025","Currency=USD","Period=FQ","BEST_FPERIOD_OVERRIDE=FQ","FILING_STATUS=MR","SCALING_FORMAT=MLN","Sort=A","Dates=H","DateFormat=P","Fill=—","Direction=H","UseDPDF=Y")</f>
        <v>-222</v>
      </c>
      <c r="AE63" s="12" cm="1">
        <f t="array" ref="AE63">_xll.BDH("NUE US Equity","CF_FREE_CASH_FLOW","FQ3 2025","FQ3 2025","Currency=USD","Period=FQ","BEST_FPERIOD_OVERRIDE=FQ","FILING_STATUS=MR","SCALING_FORMAT=MLN","Sort=A","Dates=H","DateFormat=P","Fill=—","Direction=H","UseDPDF=Y")</f>
        <v>532</v>
      </c>
      <c r="AF63" s="12" cm="1">
        <f t="array" ref="AF63">_xll.BDH("NUE US Equity","CF_FREE_CASH_FLOW","FQ4 2025","FQ4 2025","Currency=USD","Period=FQ","BEST_FPERIOD_OVERRIDE=FQ","FILING_STATUS=MR","SCALING_FORMAT=MLN","Sort=A","Dates=H","DateFormat=P","Fill=—","Direction=H","UseDPDF=Y")</f>
        <v>-3</v>
      </c>
    </row>
    <row r="64" spans="1:32" x14ac:dyDescent="0.25">
      <c r="A64" s="10" t="s">
        <v>158</v>
      </c>
      <c r="B64" s="10" t="s">
        <v>159</v>
      </c>
      <c r="C64" s="12" cm="1">
        <f t="array" ref="C64">_xll.BDH("NUE US Equity","CF_FREE_CASH_FLOW_FIRM","FQ3 2018","FQ3 2018","Currency=USD","Period=FQ","BEST_FPERIOD_OVERRIDE=FQ","FILING_STATUS=MR","SCALING_FORMAT=MLN","FA_ADJUSTED=GAAP","Sort=A","Dates=H","DateFormat=P","Fill=—","Direction=H","UseDPDF=Y")</f>
        <v>801.90539999999999</v>
      </c>
      <c r="D64" s="12" cm="1">
        <f t="array" ref="D64">_xll.BDH("NUE US Equity","CF_FREE_CASH_FLOW_FIRM","FQ4 2018","FQ4 2018","Currency=USD","Period=FQ","BEST_FPERIOD_OVERRIDE=FQ","FILING_STATUS=MR","SCALING_FORMAT=MLN","FA_ADJUSTED=GAAP","Sort=A","Dates=H","DateFormat=P","Fill=—","Direction=H","UseDPDF=Y")</f>
        <v>166.49080000000001</v>
      </c>
      <c r="E64" s="12" cm="1">
        <f t="array" ref="E64">_xll.BDH("NUE US Equity","CF_FREE_CASH_FLOW_FIRM","FQ1 2019","FQ1 2019","Currency=USD","Period=FQ","BEST_FPERIOD_OVERRIDE=FQ","FILING_STATUS=MR","SCALING_FORMAT=MLN","FA_ADJUSTED=GAAP","Sort=A","Dates=H","DateFormat=P","Fill=—","Direction=H","UseDPDF=Y")</f>
        <v>390.44839999999999</v>
      </c>
      <c r="F64" s="12" cm="1">
        <f t="array" ref="F64">_xll.BDH("NUE US Equity","CF_FREE_CASH_FLOW_FIRM","FQ2 2019","FQ2 2019","Currency=USD","Period=FQ","BEST_FPERIOD_OVERRIDE=FQ","FILING_STATUS=MR","SCALING_FORMAT=MLN","FA_ADJUSTED=GAAP","Sort=A","Dates=H","DateFormat=P","Fill=—","Direction=H","UseDPDF=Y")</f>
        <v>208.3383</v>
      </c>
      <c r="G64" s="12" cm="1">
        <f t="array" ref="G64">_xll.BDH("NUE US Equity","CF_FREE_CASH_FLOW_FIRM","FQ3 2019","FQ3 2019","Currency=USD","Period=FQ","BEST_FPERIOD_OVERRIDE=FQ","FILING_STATUS=MR","SCALING_FORMAT=MLN","FA_ADJUSTED=GAAP","Sort=A","Dates=H","DateFormat=P","Fill=—","Direction=H","UseDPDF=Y")</f>
        <v>629.09289999999999</v>
      </c>
      <c r="H64" s="12" cm="1">
        <f t="array" ref="H64">_xll.BDH("NUE US Equity","CF_FREE_CASH_FLOW_FIRM","FQ4 2019","FQ4 2019","Currency=USD","Period=FQ","BEST_FPERIOD_OVERRIDE=FQ","FILING_STATUS=MR","SCALING_FORMAT=MLN","FA_ADJUSTED=GAAP","Sort=A","Dates=H","DateFormat=P","Fill=—","Direction=H","UseDPDF=Y")</f>
        <v>224.89099999999999</v>
      </c>
      <c r="I64" s="12" cm="1">
        <f t="array" ref="I64">_xll.BDH("NUE US Equity","CF_FREE_CASH_FLOW_FIRM","FQ1 2020","FQ1 2020","Currency=USD","Period=FQ","BEST_FPERIOD_OVERRIDE=FQ","FILING_STATUS=MR","SCALING_FORMAT=MLN","FA_ADJUSTED=GAAP","Sort=A","Dates=H","DateFormat=P","Fill=—","Direction=H","UseDPDF=Y")</f>
        <v>-197.65940000000001</v>
      </c>
      <c r="J64" s="12" cm="1">
        <f t="array" ref="J64">_xll.BDH("NUE US Equity","CF_FREE_CASH_FLOW_FIRM","FQ2 2020","FQ2 2020","Currency=USD","Period=FQ","BEST_FPERIOD_OVERRIDE=FQ","FILING_STATUS=MR","SCALING_FORMAT=MLN","FA_ADJUSTED=GAAP","Sort=A","Dates=H","DateFormat=P","Fill=—","Direction=H","UseDPDF=Y")</f>
        <v>816.57230000000004</v>
      </c>
      <c r="K64" s="12" cm="1">
        <f t="array" ref="K64">_xll.BDH("NUE US Equity","CF_FREE_CASH_FLOW_FIRM","FQ3 2020","FQ3 2020","Currency=USD","Period=FQ","BEST_FPERIOD_OVERRIDE=FQ","FILING_STATUS=MR","SCALING_FORMAT=MLN","FA_ADJUSTED=GAAP","Sort=A","Dates=H","DateFormat=P","Fill=—","Direction=H","UseDPDF=Y")</f>
        <v>486.27100000000002</v>
      </c>
      <c r="L64" s="12" t="str" cm="1">
        <f t="array" ref="L64">_xll.BDH("NUE US Equity","CF_FREE_CASH_FLOW_FIRM","FQ4 2020","FQ4 2020","Currency=USD","Period=FQ","BEST_FPERIOD_OVERRIDE=FQ","FILING_STATUS=MR","SCALING_FORMAT=MLN","FA_ADJUSTED=GAAP","Sort=A","Dates=H","DateFormat=P","Fill=—","Direction=H","UseDPDF=Y")</f>
        <v>—</v>
      </c>
      <c r="M64" s="12" cm="1">
        <f t="array" ref="M64">_xll.BDH("NUE US Equity","CF_FREE_CASH_FLOW_FIRM","FQ1 2021","FQ1 2021","Currency=USD","Period=FQ","BEST_FPERIOD_OVERRIDE=FQ","FILING_STATUS=MR","SCALING_FORMAT=MLN","FA_ADJUSTED=GAAP","Sort=A","Dates=H","DateFormat=P","Fill=—","Direction=H","UseDPDF=Y")</f>
        <v>248.06489999999999</v>
      </c>
      <c r="N64" s="12" cm="1">
        <f t="array" ref="N64">_xll.BDH("NUE US Equity","CF_FREE_CASH_FLOW_FIRM","FQ2 2021","FQ2 2021","Currency=USD","Period=FQ","BEST_FPERIOD_OVERRIDE=FQ","FILING_STATUS=MR","SCALING_FORMAT=MLN","FA_ADJUSTED=GAAP","Sort=A","Dates=H","DateFormat=P","Fill=—","Direction=H","UseDPDF=Y")</f>
        <v>993.12220000000002</v>
      </c>
      <c r="O64" s="12" cm="1">
        <f t="array" ref="O64">_xll.BDH("NUE US Equity","CF_FREE_CASH_FLOW_FIRM","FQ3 2021","FQ3 2021","Currency=USD","Period=FQ","BEST_FPERIOD_OVERRIDE=FQ","FILING_STATUS=MR","SCALING_FORMAT=MLN","FA_ADJUSTED=GAAP","Sort=A","Dates=H","DateFormat=P","Fill=—","Direction=H","UseDPDF=Y")</f>
        <v>1266.4911999999999</v>
      </c>
      <c r="P64" s="12" cm="1">
        <f t="array" ref="P64">_xll.BDH("NUE US Equity","CF_FREE_CASH_FLOW_FIRM","FQ4 2021","FQ4 2021","Currency=USD","Period=FQ","BEST_FPERIOD_OVERRIDE=FQ","FILING_STATUS=MR","SCALING_FORMAT=MLN","FA_ADJUSTED=GAAP","Sort=A","Dates=H","DateFormat=P","Fill=—","Direction=H","UseDPDF=Y")</f>
        <v>2227.0861</v>
      </c>
      <c r="Q64" s="12" cm="1">
        <f t="array" ref="Q64">_xll.BDH("NUE US Equity","CF_FREE_CASH_FLOW_FIRM","FQ1 2022","FQ1 2022","Currency=USD","Period=FQ","BEST_FPERIOD_OVERRIDE=FQ","FILING_STATUS=MR","SCALING_FORMAT=MLN","FA_ADJUSTED=GAAP","Sort=A","Dates=H","DateFormat=P","Fill=—","Direction=H","UseDPDF=Y")</f>
        <v>2058.3571000000002</v>
      </c>
      <c r="R64" s="12" cm="1">
        <f t="array" ref="R64">_xll.BDH("NUE US Equity","CF_FREE_CASH_FLOW_FIRM","FQ2 2022","FQ2 2022","Currency=USD","Period=FQ","BEST_FPERIOD_OVERRIDE=FQ","FILING_STATUS=MR","SCALING_FORMAT=MLN","FA_ADJUSTED=GAAP","Sort=A","Dates=H","DateFormat=P","Fill=—","Direction=H","UseDPDF=Y")</f>
        <v>1790.0869</v>
      </c>
      <c r="S64" s="12" cm="1">
        <f t="array" ref="S64">_xll.BDH("NUE US Equity","CF_FREE_CASH_FLOW_FIRM","FQ3 2022","FQ3 2022","Currency=USD","Period=FQ","BEST_FPERIOD_OVERRIDE=FQ","FILING_STATUS=MR","SCALING_FORMAT=MLN","FA_ADJUSTED=GAAP","Sort=A","Dates=H","DateFormat=P","Fill=—","Direction=H","UseDPDF=Y")</f>
        <v>2385.7123000000001</v>
      </c>
      <c r="T64" s="12" cm="1">
        <f t="array" ref="T64">_xll.BDH("NUE US Equity","CF_FREE_CASH_FLOW_FIRM","FQ4 2022","FQ4 2022","Currency=USD","Period=FQ","BEST_FPERIOD_OVERRIDE=FQ","FILING_STATUS=MR","SCALING_FORMAT=MLN","FA_ADJUSTED=GAAP","Sort=A","Dates=H","DateFormat=P","Fill=—","Direction=H","UseDPDF=Y")</f>
        <v>2064.8458999999998</v>
      </c>
      <c r="U64" s="12" cm="1">
        <f t="array" ref="U64">_xll.BDH("NUE US Equity","CF_FREE_CASH_FLOW_FIRM","FQ1 2023","FQ1 2023","Currency=USD","Period=FQ","BEST_FPERIOD_OVERRIDE=FQ","FILING_STATUS=MR","SCALING_FORMAT=MLN","FA_ADJUSTED=GAAP","Sort=A","Dates=H","DateFormat=P","Fill=—","Direction=H","UseDPDF=Y")</f>
        <v>723.78779999999995</v>
      </c>
      <c r="V64" s="12" cm="1">
        <f t="array" ref="V64">_xll.BDH("NUE US Equity","CF_FREE_CASH_FLOW_FIRM","FQ2 2023","FQ2 2023","Currency=USD","Period=FQ","BEST_FPERIOD_OVERRIDE=FQ","FILING_STATUS=MR","SCALING_FORMAT=MLN","FA_ADJUSTED=GAAP","Sort=A","Dates=H","DateFormat=P","Fill=—","Direction=H","UseDPDF=Y")</f>
        <v>1442.1510000000001</v>
      </c>
      <c r="W64" s="12" cm="1">
        <f t="array" ref="W64">_xll.BDH("NUE US Equity","CF_FREE_CASH_FLOW_FIRM","FQ3 2023","FQ3 2023","Currency=USD","Period=FQ","BEST_FPERIOD_OVERRIDE=FQ","FILING_STATUS=MR","SCALING_FORMAT=MLN","FA_ADJUSTED=GAAP","Sort=A","Dates=H","DateFormat=P","Fill=—","Direction=H","UseDPDF=Y")</f>
        <v>2074.7294999999999</v>
      </c>
      <c r="X64" s="12" t="str" cm="1">
        <f t="array" ref="X64">_xll.BDH("NUE US Equity","CF_FREE_CASH_FLOW_FIRM","FQ4 2023","FQ4 2023","Currency=USD","Period=FQ","BEST_FPERIOD_OVERRIDE=FQ","FILING_STATUS=MR","SCALING_FORMAT=MLN","FA_ADJUSTED=GAAP","Sort=A","Dates=H","DateFormat=P","Fill=—","Direction=H","UseDPDF=Y")</f>
        <v>—</v>
      </c>
      <c r="Y64" s="12" cm="1">
        <f t="array" ref="Y64">_xll.BDH("NUE US Equity","CF_FREE_CASH_FLOW_FIRM","FQ1 2024","FQ1 2024","Currency=USD","Period=FQ","BEST_FPERIOD_OVERRIDE=FQ","FILING_STATUS=MR","SCALING_FORMAT=MLN","FA_ADJUSTED=GAAP","Sort=A","Dates=H","DateFormat=P","Fill=—","Direction=H","UseDPDF=Y")</f>
        <v>-176.65369999999999</v>
      </c>
      <c r="Z64" s="12" cm="1">
        <f t="array" ref="Z64">_xll.BDH("NUE US Equity","CF_FREE_CASH_FLOW_FIRM","FQ2 2024","FQ2 2024","Currency=USD","Period=FQ","BEST_FPERIOD_OVERRIDE=FQ","FILING_STATUS=MR","SCALING_FORMAT=MLN","FA_ADJUSTED=GAAP","Sort=A","Dates=H","DateFormat=P","Fill=—","Direction=H","UseDPDF=Y")</f>
        <v>737.39020000000005</v>
      </c>
      <c r="AA64" s="12" cm="1">
        <f t="array" ref="AA64">_xll.BDH("NUE US Equity","CF_FREE_CASH_FLOW_FIRM","FQ3 2024","FQ3 2024","Currency=USD","Period=FQ","BEST_FPERIOD_OVERRIDE=FQ","FILING_STATUS=MR","SCALING_FORMAT=MLN","FA_ADJUSTED=GAAP","Sort=A","Dates=H","DateFormat=P","Fill=—","Direction=H","UseDPDF=Y")</f>
        <v>529.06460000000004</v>
      </c>
      <c r="AB64" s="12" cm="1">
        <f t="array" ref="AB64">_xll.BDH("NUE US Equity","CF_FREE_CASH_FLOW_FIRM","FQ4 2024","FQ4 2024","Currency=USD","Period=FQ","BEST_FPERIOD_OVERRIDE=FQ","FILING_STATUS=MR","SCALING_FORMAT=MLN","FA_ADJUSTED=GAAP","Sort=A","Dates=H","DateFormat=P","Fill=—","Direction=H","UseDPDF=Y")</f>
        <v>-98.888400000000004</v>
      </c>
      <c r="AC64" s="12" cm="1">
        <f t="array" ref="AC64">_xll.BDH("NUE US Equity","CF_FREE_CASH_FLOW_FIRM","FQ1 2025","FQ1 2025","Currency=USD","Period=FQ","BEST_FPERIOD_OVERRIDE=FQ","FILING_STATUS=MR","SCALING_FORMAT=MLN","FA_ADJUSTED=GAAP","Sort=A","Dates=H","DateFormat=P","Fill=—","Direction=H","UseDPDF=Y")</f>
        <v>-454.55790000000002</v>
      </c>
      <c r="AD64" s="12" cm="1">
        <f t="array" ref="AD64">_xll.BDH("NUE US Equity","CF_FREE_CASH_FLOW_FIRM","FQ2 2025","FQ2 2025","Currency=USD","Period=FQ","BEST_FPERIOD_OVERRIDE=FQ","FILING_STATUS=MR","SCALING_FORMAT=MLN","FA_ADJUSTED=GAAP","Sort=A","Dates=H","DateFormat=P","Fill=—","Direction=H","UseDPDF=Y")</f>
        <v>-183.51949999999999</v>
      </c>
      <c r="AE64" s="12" cm="1">
        <f t="array" ref="AE64">_xll.BDH("NUE US Equity","CF_FREE_CASH_FLOW_FIRM","FQ3 2025","FQ3 2025","Currency=USD","Period=FQ","BEST_FPERIOD_OVERRIDE=FQ","FILING_STATUS=MR","SCALING_FORMAT=MLN","FA_ADJUSTED=GAAP","Sort=A","Dates=H","DateFormat=P","Fill=—","Direction=H","UseDPDF=Y")</f>
        <v>561.39300000000003</v>
      </c>
      <c r="AF64" s="12" t="str" cm="1">
        <f t="array" ref="AF64">_xll.BDH("NUE US Equity","CF_FREE_CASH_FLOW_FIRM","FQ4 2025","FQ4 2025","Currency=USD","Period=FQ","BEST_FPERIOD_OVERRIDE=FQ","FILING_STATUS=MR","SCALING_FORMAT=MLN","FA_ADJUSTED=GAAP","Sort=A","Dates=H","DateFormat=P","Fill=—","Direction=H","UseDPDF=Y")</f>
        <v>—</v>
      </c>
    </row>
    <row r="65" spans="1:32" x14ac:dyDescent="0.25">
      <c r="A65" s="10" t="s">
        <v>160</v>
      </c>
      <c r="B65" s="10" t="s">
        <v>161</v>
      </c>
      <c r="C65" s="12" cm="1">
        <f t="array" ref="C65">_xll.BDH("NUE US Equity","FREE_CASH_FLOW_EQUITY","FQ3 2018","FQ3 2018","Currency=USD","Period=FQ","BEST_FPERIOD_OVERRIDE=FQ","FILING_STATUS=MR","SCALING_FORMAT=MLN","Sort=A","Dates=H","DateFormat=P","Fill=—","Direction=H","UseDPDF=Y")</f>
        <v>771.94200000000001</v>
      </c>
      <c r="D65" s="12" cm="1">
        <f t="array" ref="D65">_xll.BDH("NUE US Equity","FREE_CASH_FLOW_EQUITY","FQ4 2018","FQ4 2018","Currency=USD","Period=FQ","BEST_FPERIOD_OVERRIDE=FQ","FILING_STATUS=MR","SCALING_FORMAT=MLN","Sort=A","Dates=H","DateFormat=P","Fill=—","Direction=H","UseDPDF=Y")</f>
        <v>143.36799999999999</v>
      </c>
      <c r="E65" s="12" cm="1">
        <f t="array" ref="E65">_xll.BDH("NUE US Equity","FREE_CASH_FLOW_EQUITY","FQ1 2019","FQ1 2019","Currency=USD","Period=FQ","BEST_FPERIOD_OVERRIDE=FQ","FILING_STATUS=MR","SCALING_FORMAT=MLN","Sort=A","Dates=H","DateFormat=P","Fill=—","Direction=H","UseDPDF=Y")</f>
        <v>391.53699999999998</v>
      </c>
      <c r="F65" s="12" cm="1">
        <f t="array" ref="F65">_xll.BDH("NUE US Equity","FREE_CASH_FLOW_EQUITY","FQ2 2019","FQ2 2019","Currency=USD","Period=FQ","BEST_FPERIOD_OVERRIDE=FQ","FILING_STATUS=MR","SCALING_FORMAT=MLN","Sort=A","Dates=H","DateFormat=P","Fill=—","Direction=H","UseDPDF=Y")</f>
        <v>166.98400000000001</v>
      </c>
      <c r="G65" s="12" cm="1">
        <f t="array" ref="G65">_xll.BDH("NUE US Equity","FREE_CASH_FLOW_EQUITY","FQ3 2019","FQ3 2019","Currency=USD","Period=FQ","BEST_FPERIOD_OVERRIDE=FQ","FILING_STATUS=MR","SCALING_FORMAT=MLN","Sort=A","Dates=H","DateFormat=P","Fill=—","Direction=H","UseDPDF=Y")</f>
        <v>599.82399999999996</v>
      </c>
      <c r="H65" s="12" cm="1">
        <f t="array" ref="H65">_xll.BDH("NUE US Equity","FREE_CASH_FLOW_EQUITY","FQ4 2019","FQ4 2019","Currency=USD","Period=FQ","BEST_FPERIOD_OVERRIDE=FQ","FILING_STATUS=MR","SCALING_FORMAT=MLN","Sort=A","Dates=H","DateFormat=P","Fill=—","Direction=H","UseDPDF=Y")</f>
        <v>223.10400000000001</v>
      </c>
      <c r="I65" s="12" cm="1">
        <f t="array" ref="I65">_xll.BDH("NUE US Equity","FREE_CASH_FLOW_EQUITY","FQ1 2020","FQ1 2020","Currency=USD","Period=FQ","BEST_FPERIOD_OVERRIDE=FQ","FILING_STATUS=MR","SCALING_FORMAT=MLN","Sort=A","Dates=H","DateFormat=P","Fill=—","Direction=H","UseDPDF=Y")</f>
        <v>-229.27799999999999</v>
      </c>
      <c r="J65" s="12" cm="1">
        <f t="array" ref="J65">_xll.BDH("NUE US Equity","FREE_CASH_FLOW_EQUITY","FQ2 2020","FQ2 2020","Currency=USD","Period=FQ","BEST_FPERIOD_OVERRIDE=FQ","FILING_STATUS=MR","SCALING_FORMAT=MLN","Sort=A","Dates=H","DateFormat=P","Fill=—","Direction=H","UseDPDF=Y")</f>
        <v>1819.634</v>
      </c>
      <c r="K65" s="12" cm="1">
        <f t="array" ref="K65">_xll.BDH("NUE US Equity","FREE_CASH_FLOW_EQUITY","FQ3 2020","FQ3 2020","Currency=USD","Period=FQ","BEST_FPERIOD_OVERRIDE=FQ","FILING_STATUS=MR","SCALING_FORMAT=MLN","Sort=A","Dates=H","DateFormat=P","Fill=—","Direction=H","UseDPDF=Y")</f>
        <v>597.46500000000003</v>
      </c>
      <c r="L65" s="12" cm="1">
        <f t="array" ref="L65">_xll.BDH("NUE US Equity","FREE_CASH_FLOW_EQUITY","FQ4 2020","FQ4 2020","Currency=USD","Period=FQ","BEST_FPERIOD_OVERRIDE=FQ","FILING_STATUS=MR","SCALING_FORMAT=MLN","Sort=A","Dates=H","DateFormat=P","Fill=—","Direction=H","UseDPDF=Y")</f>
        <v>142.71700000000001</v>
      </c>
      <c r="M65" s="12" cm="1">
        <f t="array" ref="M65">_xll.BDH("NUE US Equity","FREE_CASH_FLOW_EQUITY","FQ1 2021","FQ1 2021","Currency=USD","Period=FQ","BEST_FPERIOD_OVERRIDE=FQ","FILING_STATUS=MR","SCALING_FORMAT=MLN","Sort=A","Dates=H","DateFormat=P","Fill=—","Direction=H","UseDPDF=Y")</f>
        <v>221.029</v>
      </c>
      <c r="N65" s="12" cm="1">
        <f t="array" ref="N65">_xll.BDH("NUE US Equity","FREE_CASH_FLOW_EQUITY","FQ2 2021","FQ2 2021","Currency=USD","Period=FQ","BEST_FPERIOD_OVERRIDE=FQ","FILING_STATUS=MR","SCALING_FORMAT=MLN","Sort=A","Dates=H","DateFormat=P","Fill=—","Direction=H","UseDPDF=Y")</f>
        <v>1013.224</v>
      </c>
      <c r="O65" s="12" cm="1">
        <f t="array" ref="O65">_xll.BDH("NUE US Equity","FREE_CASH_FLOW_EQUITY","FQ3 2021","FQ3 2021","Currency=USD","Period=FQ","BEST_FPERIOD_OVERRIDE=FQ","FILING_STATUS=MR","SCALING_FORMAT=MLN","Sort=A","Dates=H","DateFormat=P","Fill=—","Direction=H","UseDPDF=Y")</f>
        <v>1436.424</v>
      </c>
      <c r="P65" s="12" cm="1">
        <f t="array" ref="P65">_xll.BDH("NUE US Equity","FREE_CASH_FLOW_EQUITY","FQ4 2021","FQ4 2021","Currency=USD","Period=FQ","BEST_FPERIOD_OVERRIDE=FQ","FILING_STATUS=MR","SCALING_FORMAT=MLN","Sort=A","Dates=H","DateFormat=P","Fill=—","Direction=H","UseDPDF=Y")</f>
        <v>2204.3180000000002</v>
      </c>
      <c r="Q65" s="12" cm="1">
        <f t="array" ref="Q65">_xll.BDH("NUE US Equity","FREE_CASH_FLOW_EQUITY","FQ1 2022","FQ1 2022","Currency=USD","Period=FQ","BEST_FPERIOD_OVERRIDE=FQ","FILING_STATUS=MR","SCALING_FORMAT=MLN","Sort=A","Dates=H","DateFormat=P","Fill=—","Direction=H","UseDPDF=Y")</f>
        <v>3101.1309999999999</v>
      </c>
      <c r="R65" s="12" cm="1">
        <f t="array" ref="R65">_xll.BDH("NUE US Equity","FREE_CASH_FLOW_EQUITY","FQ2 2022","FQ2 2022","Currency=USD","Period=FQ","BEST_FPERIOD_OVERRIDE=FQ","FILING_STATUS=MR","SCALING_FORMAT=MLN","Sort=A","Dates=H","DateFormat=P","Fill=—","Direction=H","UseDPDF=Y")</f>
        <v>2258.5309999999999</v>
      </c>
      <c r="S65" s="12" cm="1">
        <f t="array" ref="S65">_xll.BDH("NUE US Equity","FREE_CASH_FLOW_EQUITY","FQ3 2022","FQ3 2022","Currency=USD","Period=FQ","BEST_FPERIOD_OVERRIDE=FQ","FILING_STATUS=MR","SCALING_FORMAT=MLN","Sort=A","Dates=H","DateFormat=P","Fill=—","Direction=H","UseDPDF=Y")</f>
        <v>1716.3720000000001</v>
      </c>
      <c r="T65" s="12" cm="1">
        <f t="array" ref="T65">_xll.BDH("NUE US Equity","FREE_CASH_FLOW_EQUITY","FQ4 2022","FQ4 2022","Currency=USD","Period=FQ","BEST_FPERIOD_OVERRIDE=FQ","FILING_STATUS=MR","SCALING_FORMAT=MLN","Sort=A","Dates=H","DateFormat=P","Fill=—","Direction=H","UseDPDF=Y")</f>
        <v>2002.692</v>
      </c>
      <c r="U65" s="12" cm="1">
        <f t="array" ref="U65">_xll.BDH("NUE US Equity","FREE_CASH_FLOW_EQUITY","FQ1 2023","FQ1 2023","Currency=USD","Period=FQ","BEST_FPERIOD_OVERRIDE=FQ","FILING_STATUS=MR","SCALING_FORMAT=MLN","Sort=A","Dates=H","DateFormat=P","Fill=—","Direction=H","UseDPDF=Y")</f>
        <v>655.45100000000002</v>
      </c>
      <c r="V65" s="12" cm="1">
        <f t="array" ref="V65">_xll.BDH("NUE US Equity","FREE_CASH_FLOW_EQUITY","FQ2 2023","FQ2 2023","Currency=USD","Period=FQ","BEST_FPERIOD_OVERRIDE=FQ","FILING_STATUS=MR","SCALING_FORMAT=MLN","Sort=A","Dates=H","DateFormat=P","Fill=—","Direction=H","UseDPDF=Y")</f>
        <v>1399.607</v>
      </c>
      <c r="W65" s="12" cm="1">
        <f t="array" ref="W65">_xll.BDH("NUE US Equity","FREE_CASH_FLOW_EQUITY","FQ3 2023","FQ3 2023","Currency=USD","Period=FQ","BEST_FPERIOD_OVERRIDE=FQ","FILING_STATUS=MR","SCALING_FORMAT=MLN","Sort=A","Dates=H","DateFormat=P","Fill=—","Direction=H","UseDPDF=Y")</f>
        <v>2028.278</v>
      </c>
      <c r="X65" s="12" cm="1">
        <f t="array" ref="X65">_xll.BDH("NUE US Equity","FREE_CASH_FLOW_EQUITY","FQ4 2023","FQ4 2023","Currency=USD","Period=FQ","BEST_FPERIOD_OVERRIDE=FQ","FILING_STATUS=MR","SCALING_FORMAT=MLN","Sort=A","Dates=H","DateFormat=P","Fill=—","Direction=H","UseDPDF=Y")</f>
        <v>794.47500000000002</v>
      </c>
      <c r="Y65" s="12" cm="1">
        <f t="array" ref="Y65">_xll.BDH("NUE US Equity","FREE_CASH_FLOW_EQUITY","FQ1 2024","FQ1 2024","Currency=USD","Period=FQ","BEST_FPERIOD_OVERRIDE=FQ","FILING_STATUS=MR","SCALING_FORMAT=MLN","Sort=A","Dates=H","DateFormat=P","Fill=—","Direction=H","UseDPDF=Y")</f>
        <v>-197.95699999999999</v>
      </c>
      <c r="Z65" s="12" cm="1">
        <f t="array" ref="Z65">_xll.BDH("NUE US Equity","FREE_CASH_FLOW_EQUITY","FQ2 2024","FQ2 2024","Currency=USD","Period=FQ","BEST_FPERIOD_OVERRIDE=FQ","FILING_STATUS=MR","SCALING_FORMAT=MLN","Sort=A","Dates=H","DateFormat=P","Fill=—","Direction=H","UseDPDF=Y")</f>
        <v>725.48299999999995</v>
      </c>
      <c r="AA65" s="12" cm="1">
        <f t="array" ref="AA65">_xll.BDH("NUE US Equity","FREE_CASH_FLOW_EQUITY","FQ3 2024","FQ3 2024","Currency=USD","Period=FQ","BEST_FPERIOD_OVERRIDE=FQ","FILING_STATUS=MR","SCALING_FORMAT=MLN","Sort=A","Dates=H","DateFormat=P","Fill=—","Direction=H","UseDPDF=Y")</f>
        <v>525.62099999999998</v>
      </c>
      <c r="AB65" s="12" cm="1">
        <f t="array" ref="AB65">_xll.BDH("NUE US Equity","FREE_CASH_FLOW_EQUITY","FQ4 2024","FQ4 2024","Currency=USD","Period=FQ","BEST_FPERIOD_OVERRIDE=FQ","FILING_STATUS=MR","SCALING_FORMAT=MLN","Sort=A","Dates=H","DateFormat=P","Fill=—","Direction=H","UseDPDF=Y")</f>
        <v>-135.14699999999999</v>
      </c>
      <c r="AC65" s="12" cm="1">
        <f t="array" ref="AC65">_xll.BDH("NUE US Equity","FREE_CASH_FLOW_EQUITY","FQ1 2025","FQ1 2025","Currency=USD","Period=FQ","BEST_FPERIOD_OVERRIDE=FQ","FILING_STATUS=MR","SCALING_FORMAT=MLN","Sort=A","Dates=H","DateFormat=P","Fill=—","Direction=H","UseDPDF=Y")</f>
        <v>-561</v>
      </c>
      <c r="AD65" s="12" cm="1">
        <f t="array" ref="AD65">_xll.BDH("NUE US Equity","FREE_CASH_FLOW_EQUITY","FQ2 2025","FQ2 2025","Currency=USD","Period=FQ","BEST_FPERIOD_OVERRIDE=FQ","FILING_STATUS=MR","SCALING_FORMAT=MLN","Sort=A","Dates=H","DateFormat=P","Fill=—","Direction=H","UseDPDF=Y")</f>
        <v>-195</v>
      </c>
      <c r="AE65" s="12" cm="1">
        <f t="array" ref="AE65">_xll.BDH("NUE US Equity","FREE_CASH_FLOW_EQUITY","FQ3 2025","FQ3 2025","Currency=USD","Period=FQ","BEST_FPERIOD_OVERRIDE=FQ","FILING_STATUS=MR","SCALING_FORMAT=MLN","Sort=A","Dates=H","DateFormat=P","Fill=—","Direction=H","UseDPDF=Y")</f>
        <v>509</v>
      </c>
      <c r="AF65" s="12" cm="1">
        <f t="array" ref="AF65">_xll.BDH("NUE US Equity","FREE_CASH_FLOW_EQUITY","FQ4 2025","FQ4 2025","Currency=USD","Period=FQ","BEST_FPERIOD_OVERRIDE=FQ","FILING_STATUS=MR","SCALING_FORMAT=MLN","Sort=A","Dates=H","DateFormat=P","Fill=—","Direction=H","UseDPDF=Y")</f>
        <v>-16</v>
      </c>
    </row>
    <row r="66" spans="1:32" x14ac:dyDescent="0.25">
      <c r="A66" s="10" t="s">
        <v>162</v>
      </c>
      <c r="B66" s="10" t="s">
        <v>163</v>
      </c>
      <c r="C66" s="13" cm="1">
        <f t="array" ref="C66">_xll.BDH("NUE US Equity","FREE_CASH_FLOW_PER_SH","FQ3 2018","FQ3 2018","Currency=USD","Period=FQ","BEST_FPERIOD_OVERRIDE=FQ","FILING_STATUS=MR","Sort=A","Dates=H","DateFormat=P","Fill=—","Direction=H","UseDPDF=Y")</f>
        <v>2.4298000000000002</v>
      </c>
      <c r="D66" s="13" cm="1">
        <f t="array" ref="D66">_xll.BDH("NUE US Equity","FREE_CASH_FLOW_PER_SH","FQ4 2018","FQ4 2018","Currency=USD","Period=FQ","BEST_FPERIOD_OVERRIDE=FQ","FILING_STATUS=MR","Sort=A","Dates=H","DateFormat=P","Fill=—","Direction=H","UseDPDF=Y")</f>
        <v>0.43480000000000002</v>
      </c>
      <c r="E66" s="13" cm="1">
        <f t="array" ref="E66">_xll.BDH("NUE US Equity","FREE_CASH_FLOW_PER_SH","FQ1 2019","FQ1 2019","Currency=USD","Period=FQ","BEST_FPERIOD_OVERRIDE=FQ","FILING_STATUS=MR","Sort=A","Dates=H","DateFormat=P","Fill=—","Direction=H","UseDPDF=Y")</f>
        <v>1.1805000000000001</v>
      </c>
      <c r="F66" s="13" cm="1">
        <f t="array" ref="F66">_xll.BDH("NUE US Equity","FREE_CASH_FLOW_PER_SH","FQ2 2019","FQ2 2019","Currency=USD","Period=FQ","BEST_FPERIOD_OVERRIDE=FQ","FILING_STATUS=MR","Sort=A","Dates=H","DateFormat=P","Fill=—","Direction=H","UseDPDF=Y")</f>
        <v>0.57609999999999995</v>
      </c>
      <c r="G66" s="13" cm="1">
        <f t="array" ref="G66">_xll.BDH("NUE US Equity","FREE_CASH_FLOW_PER_SH","FQ3 2019","FQ3 2019","Currency=USD","Period=FQ","BEST_FPERIOD_OVERRIDE=FQ","FILING_STATUS=MR","Sort=A","Dates=H","DateFormat=P","Fill=—","Direction=H","UseDPDF=Y")</f>
        <v>1.9619</v>
      </c>
      <c r="H66" s="13" cm="1">
        <f t="array" ref="H66">_xll.BDH("NUE US Equity","FREE_CASH_FLOW_PER_SH","FQ4 2019","FQ4 2019","Currency=USD","Period=FQ","BEST_FPERIOD_OVERRIDE=FQ","FILING_STATUS=MR","Sort=A","Dates=H","DateFormat=P","Fill=—","Direction=H","UseDPDF=Y")</f>
        <v>0.64749999999999996</v>
      </c>
      <c r="I66" s="13" cm="1">
        <f t="array" ref="I66">_xll.BDH("NUE US Equity","FREE_CASH_FLOW_PER_SH","FQ1 2020","FQ1 2020","Currency=USD","Period=FQ","BEST_FPERIOD_OVERRIDE=FQ","FILING_STATUS=MR","Sort=A","Dates=H","DateFormat=P","Fill=—","Direction=H","UseDPDF=Y")</f>
        <v>-0.71089999999999998</v>
      </c>
      <c r="J66" s="13" cm="1">
        <f t="array" ref="J66">_xll.BDH("NUE US Equity","FREE_CASH_FLOW_PER_SH","FQ2 2020","FQ2 2020","Currency=USD","Period=FQ","BEST_FPERIOD_OVERRIDE=FQ","FILING_STATUS=MR","Sort=A","Dates=H","DateFormat=P","Fill=—","Direction=H","UseDPDF=Y")</f>
        <v>2.6013000000000002</v>
      </c>
      <c r="K66" s="13" cm="1">
        <f t="array" ref="K66">_xll.BDH("NUE US Equity","FREE_CASH_FLOW_PER_SH","FQ3 2020","FQ3 2020","Currency=USD","Period=FQ","BEST_FPERIOD_OVERRIDE=FQ","FILING_STATUS=MR","Sort=A","Dates=H","DateFormat=P","Fill=—","Direction=H","UseDPDF=Y")</f>
        <v>1.4959</v>
      </c>
      <c r="L66" s="13" cm="1">
        <f t="array" ref="L66">_xll.BDH("NUE US Equity","FREE_CASH_FLOW_PER_SH","FQ4 2020","FQ4 2020","Currency=USD","Period=FQ","BEST_FPERIOD_OVERRIDE=FQ","FILING_STATUS=MR","Sort=A","Dates=H","DateFormat=P","Fill=—","Direction=H","UseDPDF=Y")</f>
        <v>0.41899999999999998</v>
      </c>
      <c r="M66" s="13" cm="1">
        <f t="array" ref="M66">_xll.BDH("NUE US Equity","FREE_CASH_FLOW_PER_SH","FQ1 2021","FQ1 2021","Currency=USD","Period=FQ","BEST_FPERIOD_OVERRIDE=FQ","FILING_STATUS=MR","Sort=A","Dates=H","DateFormat=P","Fill=—","Direction=H","UseDPDF=Y")</f>
        <v>0.71860000000000002</v>
      </c>
      <c r="N66" s="13" cm="1">
        <f t="array" ref="N66">_xll.BDH("NUE US Equity","FREE_CASH_FLOW_PER_SH","FQ2 2021","FQ2 2021","Currency=USD","Period=FQ","BEST_FPERIOD_OVERRIDE=FQ","FILING_STATUS=MR","Sort=A","Dates=H","DateFormat=P","Fill=—","Direction=H","UseDPDF=Y")</f>
        <v>3.2475000000000001</v>
      </c>
      <c r="O66" s="13" cm="1">
        <f t="array" ref="O66">_xll.BDH("NUE US Equity","FREE_CASH_FLOW_PER_SH","FQ3 2021","FQ3 2021","Currency=USD","Period=FQ","BEST_FPERIOD_OVERRIDE=FQ","FILING_STATUS=MR","Sort=A","Dates=H","DateFormat=P","Fill=—","Direction=H","UseDPDF=Y")</f>
        <v>4.2423999999999999</v>
      </c>
      <c r="P66" s="13" cm="1">
        <f t="array" ref="P66">_xll.BDH("NUE US Equity","FREE_CASH_FLOW_PER_SH","FQ4 2021","FQ4 2021","Currency=USD","Period=FQ","BEST_FPERIOD_OVERRIDE=FQ","FILING_STATUS=MR","Sort=A","Dates=H","DateFormat=P","Fill=—","Direction=H","UseDPDF=Y")</f>
        <v>7.8285</v>
      </c>
      <c r="Q66" s="13" cm="1">
        <f t="array" ref="Q66">_xll.BDH("NUE US Equity","FREE_CASH_FLOW_PER_SH","FQ1 2022","FQ1 2022","Currency=USD","Period=FQ","BEST_FPERIOD_OVERRIDE=FQ","FILING_STATUS=MR","Sort=A","Dates=H","DateFormat=P","Fill=—","Direction=H","UseDPDF=Y")</f>
        <v>7.4549000000000003</v>
      </c>
      <c r="R66" s="13" cm="1">
        <f t="array" ref="R66">_xll.BDH("NUE US Equity","FREE_CASH_FLOW_PER_SH","FQ2 2022","FQ2 2022","Currency=USD","Period=FQ","BEST_FPERIOD_OVERRIDE=FQ","FILING_STATUS=MR","Sort=A","Dates=H","DateFormat=P","Fill=—","Direction=H","UseDPDF=Y")</f>
        <v>6.6121999999999996</v>
      </c>
      <c r="S66" s="13" cm="1">
        <f t="array" ref="S66">_xll.BDH("NUE US Equity","FREE_CASH_FLOW_PER_SH","FQ3 2022","FQ3 2022","Currency=USD","Period=FQ","BEST_FPERIOD_OVERRIDE=FQ","FILING_STATUS=MR","Sort=A","Dates=H","DateFormat=P","Fill=—","Direction=H","UseDPDF=Y")</f>
        <v>9.0444999999999993</v>
      </c>
      <c r="T66" s="13" cm="1">
        <f t="array" ref="T66">_xll.BDH("NUE US Equity","FREE_CASH_FLOW_PER_SH","FQ4 2022","FQ4 2022","Currency=USD","Period=FQ","BEST_FPERIOD_OVERRIDE=FQ","FILING_STATUS=MR","Sort=A","Dates=H","DateFormat=P","Fill=—","Direction=H","UseDPDF=Y")</f>
        <v>7.8925000000000001</v>
      </c>
      <c r="U66" s="13" cm="1">
        <f t="array" ref="U66">_xll.BDH("NUE US Equity","FREE_CASH_FLOW_PER_SH","FQ1 2023","FQ1 2023","Currency=USD","Period=FQ","BEST_FPERIOD_OVERRIDE=FQ","FILING_STATUS=MR","Sort=A","Dates=H","DateFormat=P","Fill=—","Direction=H","UseDPDF=Y")</f>
        <v>2.6633</v>
      </c>
      <c r="V66" s="13" cm="1">
        <f t="array" ref="V66">_xll.BDH("NUE US Equity","FREE_CASH_FLOW_PER_SH","FQ2 2023","FQ2 2023","Currency=USD","Period=FQ","BEST_FPERIOD_OVERRIDE=FQ","FILING_STATUS=MR","Sort=A","Dates=H","DateFormat=P","Fill=—","Direction=H","UseDPDF=Y")</f>
        <v>5.5770999999999997</v>
      </c>
      <c r="W66" s="13" cm="1">
        <f t="array" ref="W66">_xll.BDH("NUE US Equity","FREE_CASH_FLOW_PER_SH","FQ3 2023","FQ3 2023","Currency=USD","Period=FQ","BEST_FPERIOD_OVERRIDE=FQ","FILING_STATUS=MR","Sort=A","Dates=H","DateFormat=P","Fill=—","Direction=H","UseDPDF=Y")</f>
        <v>8.1481999999999992</v>
      </c>
      <c r="X66" s="13" cm="1">
        <f t="array" ref="X66">_xll.BDH("NUE US Equity","FREE_CASH_FLOW_PER_SH","FQ4 2023","FQ4 2023","Currency=USD","Period=FQ","BEST_FPERIOD_OVERRIDE=FQ","FILING_STATUS=MR","Sort=A","Dates=H","DateFormat=P","Fill=—","Direction=H","UseDPDF=Y")</f>
        <v>3.2504</v>
      </c>
      <c r="Y66" s="13" cm="1">
        <f t="array" ref="Y66">_xll.BDH("NUE US Equity","FREE_CASH_FLOW_PER_SH","FQ1 2024","FQ1 2024","Currency=USD","Period=FQ","BEST_FPERIOD_OVERRIDE=FQ","FILING_STATUS=MR","Sort=A","Dates=H","DateFormat=P","Fill=—","Direction=H","UseDPDF=Y")</f>
        <v>-0.86670000000000003</v>
      </c>
      <c r="Z66" s="13" cm="1">
        <f t="array" ref="Z66">_xll.BDH("NUE US Equity","FREE_CASH_FLOW_PER_SH","FQ2 2024","FQ2 2024","Currency=USD","Period=FQ","BEST_FPERIOD_OVERRIDE=FQ","FILING_STATUS=MR","Sort=A","Dates=H","DateFormat=P","Fill=—","Direction=H","UseDPDF=Y")</f>
        <v>2.8565999999999998</v>
      </c>
      <c r="AA66" s="13" cm="1">
        <f t="array" ref="AA66">_xll.BDH("NUE US Equity","FREE_CASH_FLOW_PER_SH","FQ3 2024","FQ3 2024","Currency=USD","Period=FQ","BEST_FPERIOD_OVERRIDE=FQ","FILING_STATUS=MR","Sort=A","Dates=H","DateFormat=P","Fill=—","Direction=H","UseDPDF=Y")</f>
        <v>2.0217999999999998</v>
      </c>
      <c r="AB66" s="13" cm="1">
        <f t="array" ref="AB66">_xll.BDH("NUE US Equity","FREE_CASH_FLOW_PER_SH","FQ4 2024","FQ4 2024","Currency=USD","Period=FQ","BEST_FPERIOD_OVERRIDE=FQ","FILING_STATUS=MR","Sort=A","Dates=H","DateFormat=P","Fill=—","Direction=H","UseDPDF=Y")</f>
        <v>-0.623</v>
      </c>
      <c r="AC66" s="13" cm="1">
        <f t="array" ref="AC66">_xll.BDH("NUE US Equity","FREE_CASH_FLOW_PER_SH","FQ1 2025","FQ1 2025","Currency=USD","Period=FQ","BEST_FPERIOD_OVERRIDE=FQ","FILING_STATUS=MR","Sort=A","Dates=H","DateFormat=P","Fill=—","Direction=H","UseDPDF=Y")</f>
        <v>-2.1272000000000002</v>
      </c>
      <c r="AD66" s="13" cm="1">
        <f t="array" ref="AD66">_xll.BDH("NUE US Equity","FREE_CASH_FLOW_PER_SH","FQ2 2025","FQ2 2025","Currency=USD","Period=FQ","BEST_FPERIOD_OVERRIDE=FQ","FILING_STATUS=MR","Sort=A","Dates=H","DateFormat=P","Fill=—","Direction=H","UseDPDF=Y")</f>
        <v>-0.9627</v>
      </c>
      <c r="AE66" s="13" cm="1">
        <f t="array" ref="AE66">_xll.BDH("NUE US Equity","FREE_CASH_FLOW_PER_SH","FQ3 2025","FQ3 2025","Currency=USD","Period=FQ","BEST_FPERIOD_OVERRIDE=FQ","FILING_STATUS=MR","Sort=A","Dates=H","DateFormat=P","Fill=—","Direction=H","UseDPDF=Y")</f>
        <v>2.3140000000000001</v>
      </c>
      <c r="AF66" s="13" cm="1">
        <f t="array" ref="AF66">_xll.BDH("NUE US Equity","FREE_CASH_FLOW_PER_SH","FQ4 2025","FQ4 2025","Currency=USD","Period=FQ","BEST_FPERIOD_OVERRIDE=FQ","FILING_STATUS=MR","Sort=A","Dates=H","DateFormat=P","Fill=—","Direction=H","UseDPDF=Y")</f>
        <v>-1.3100000000000001E-2</v>
      </c>
    </row>
    <row r="67" spans="1:32" x14ac:dyDescent="0.25">
      <c r="A67" s="10" t="s">
        <v>164</v>
      </c>
      <c r="B67" s="10" t="s">
        <v>165</v>
      </c>
      <c r="C67" s="13" cm="1">
        <f t="array" ref="C67">_xll.BDH("NUE US Equity","PX_TO_FREE_CASH_FLOW","FQ3 2018","FQ3 2018","Currency=USD","Period=FQ","BEST_FPERIOD_OVERRIDE=FQ","FILING_STATUS=MR","Sort=A","Dates=H","DateFormat=P","Fill=—","Direction=H","UseDPDF=Y")</f>
        <v>14.2385</v>
      </c>
      <c r="D67" s="13" cm="1">
        <f t="array" ref="D67">_xll.BDH("NUE US Equity","PX_TO_FREE_CASH_FLOW","FQ4 2018","FQ4 2018","Currency=USD","Period=FQ","BEST_FPERIOD_OVERRIDE=FQ","FILING_STATUS=MR","Sort=A","Dates=H","DateFormat=P","Fill=—","Direction=H","UseDPDF=Y")</f>
        <v>11.607100000000001</v>
      </c>
      <c r="E67" s="13" cm="1">
        <f t="array" ref="E67">_xll.BDH("NUE US Equity","PX_TO_FREE_CASH_FLOW","FQ1 2019","FQ1 2019","Currency=USD","Period=FQ","BEST_FPERIOD_OVERRIDE=FQ","FILING_STATUS=MR","Sort=A","Dates=H","DateFormat=P","Fill=—","Direction=H","UseDPDF=Y")</f>
        <v>10.090299999999999</v>
      </c>
      <c r="F67" s="13" cm="1">
        <f t="array" ref="F67">_xll.BDH("NUE US Equity","PX_TO_FREE_CASH_FLOW","FQ2 2019","FQ2 2019","Currency=USD","Period=FQ","BEST_FPERIOD_OVERRIDE=FQ","FILING_STATUS=MR","Sort=A","Dates=H","DateFormat=P","Fill=—","Direction=H","UseDPDF=Y")</f>
        <v>11.9232</v>
      </c>
      <c r="G67" s="13" cm="1">
        <f t="array" ref="G67">_xll.BDH("NUE US Equity","PX_TO_FREE_CASH_FLOW","FQ3 2019","FQ3 2019","Currency=USD","Period=FQ","BEST_FPERIOD_OVERRIDE=FQ","FILING_STATUS=MR","Sort=A","Dates=H","DateFormat=P","Fill=—","Direction=H","UseDPDF=Y")</f>
        <v>12.041</v>
      </c>
      <c r="H67" s="13" cm="1">
        <f t="array" ref="H67">_xll.BDH("NUE US Equity","PX_TO_FREE_CASH_FLOW","FQ4 2019","FQ4 2019","Currency=USD","Period=FQ","BEST_FPERIOD_OVERRIDE=FQ","FILING_STATUS=MR","Sort=A","Dates=H","DateFormat=P","Fill=—","Direction=H","UseDPDF=Y")</f>
        <v>12.890499999999999</v>
      </c>
      <c r="I67" s="13" cm="1">
        <f t="array" ref="I67">_xll.BDH("NUE US Equity","PX_TO_FREE_CASH_FLOW","FQ1 2020","FQ1 2020","Currency=USD","Period=FQ","BEST_FPERIOD_OVERRIDE=FQ","FILING_STATUS=MR","Sort=A","Dates=H","DateFormat=P","Fill=—","Direction=H","UseDPDF=Y")</f>
        <v>14.406599999999999</v>
      </c>
      <c r="J67" s="13" cm="1">
        <f t="array" ref="J67">_xll.BDH("NUE US Equity","PX_TO_FREE_CASH_FLOW","FQ2 2020","FQ2 2020","Currency=USD","Period=FQ","BEST_FPERIOD_OVERRIDE=FQ","FILING_STATUS=MR","Sort=A","Dates=H","DateFormat=P","Fill=—","Direction=H","UseDPDF=Y")</f>
        <v>9.2004999999999999</v>
      </c>
      <c r="K67" s="13" cm="1">
        <f t="array" ref="K67">_xll.BDH("NUE US Equity","PX_TO_FREE_CASH_FLOW","FQ3 2020","FQ3 2020","Currency=USD","Period=FQ","BEST_FPERIOD_OVERRIDE=FQ","FILING_STATUS=MR","Sort=A","Dates=H","DateFormat=P","Fill=—","Direction=H","UseDPDF=Y")</f>
        <v>11.413500000000001</v>
      </c>
      <c r="L67" s="13" cm="1">
        <f t="array" ref="L67">_xll.BDH("NUE US Equity","PX_TO_FREE_CASH_FLOW","FQ4 2020","FQ4 2020","Currency=USD","Period=FQ","BEST_FPERIOD_OVERRIDE=FQ","FILING_STATUS=MR","Sort=A","Dates=H","DateFormat=P","Fill=—","Direction=H","UseDPDF=Y")</f>
        <v>13.9778</v>
      </c>
      <c r="M67" s="13" cm="1">
        <f t="array" ref="M67">_xll.BDH("NUE US Equity","PX_TO_FREE_CASH_FLOW","FQ1 2021","FQ1 2021","Currency=USD","Period=FQ","BEST_FPERIOD_OVERRIDE=FQ","FILING_STATUS=MR","Sort=A","Dates=H","DateFormat=P","Fill=—","Direction=H","UseDPDF=Y")</f>
        <v>15.2593</v>
      </c>
      <c r="N67" s="13" cm="1">
        <f t="array" ref="N67">_xll.BDH("NUE US Equity","PX_TO_FREE_CASH_FLOW","FQ2 2021","FQ2 2021","Currency=USD","Period=FQ","BEST_FPERIOD_OVERRIDE=FQ","FILING_STATUS=MR","Sort=A","Dates=H","DateFormat=P","Fill=—","Direction=H","UseDPDF=Y")</f>
        <v>16.412199999999999</v>
      </c>
      <c r="O67" s="13" cm="1">
        <f t="array" ref="O67">_xll.BDH("NUE US Equity","PX_TO_FREE_CASH_FLOW","FQ3 2021","FQ3 2021","Currency=USD","Period=FQ","BEST_FPERIOD_OVERRIDE=FQ","FILING_STATUS=MR","Sort=A","Dates=H","DateFormat=P","Fill=—","Direction=H","UseDPDF=Y")</f>
        <v>11.3185</v>
      </c>
      <c r="P67" s="13" cm="1">
        <f t="array" ref="P67">_xll.BDH("NUE US Equity","PX_TO_FREE_CASH_FLOW","FQ4 2021","FQ4 2021","Currency=USD","Period=FQ","BEST_FPERIOD_OVERRIDE=FQ","FILING_STATUS=MR","Sort=A","Dates=H","DateFormat=P","Fill=—","Direction=H","UseDPDF=Y")</f>
        <v>7.1178999999999997</v>
      </c>
      <c r="Q67" s="13" cm="1">
        <f t="array" ref="Q67">_xll.BDH("NUE US Equity","PX_TO_FREE_CASH_FLOW","FQ1 2022","FQ1 2022","Currency=USD","Period=FQ","BEST_FPERIOD_OVERRIDE=FQ","FILING_STATUS=MR","Sort=A","Dates=H","DateFormat=P","Fill=—","Direction=H","UseDPDF=Y")</f>
        <v>6.5541999999999998</v>
      </c>
      <c r="R67" s="13" cm="1">
        <f t="array" ref="R67">_xll.BDH("NUE US Equity","PX_TO_FREE_CASH_FLOW","FQ2 2022","FQ2 2022","Currency=USD","Period=FQ","BEST_FPERIOD_OVERRIDE=FQ","FILING_STATUS=MR","Sort=A","Dates=H","DateFormat=P","Fill=—","Direction=H","UseDPDF=Y")</f>
        <v>4.0650000000000004</v>
      </c>
      <c r="S67" s="13" cm="1">
        <f t="array" ref="S67">_xll.BDH("NUE US Equity","PX_TO_FREE_CASH_FLOW","FQ3 2022","FQ3 2022","Currency=USD","Period=FQ","BEST_FPERIOD_OVERRIDE=FQ","FILING_STATUS=MR","Sort=A","Dates=H","DateFormat=P","Fill=—","Direction=H","UseDPDF=Y")</f>
        <v>3.4580000000000002</v>
      </c>
      <c r="T67" s="13" cm="1">
        <f t="array" ref="T67">_xll.BDH("NUE US Equity","PX_TO_FREE_CASH_FLOW","FQ4 2022","FQ4 2022","Currency=USD","Period=FQ","BEST_FPERIOD_OVERRIDE=FQ","FILING_STATUS=MR","Sort=A","Dates=H","DateFormat=P","Fill=—","Direction=H","UseDPDF=Y")</f>
        <v>4.2514000000000003</v>
      </c>
      <c r="U67" s="13" cm="1">
        <f t="array" ref="U67">_xll.BDH("NUE US Equity","PX_TO_FREE_CASH_FLOW","FQ1 2023","FQ1 2023","Currency=USD","Period=FQ","BEST_FPERIOD_OVERRIDE=FQ","FILING_STATUS=MR","Sort=A","Dates=H","DateFormat=P","Fill=—","Direction=H","UseDPDF=Y")</f>
        <v>5.8929999999999998</v>
      </c>
      <c r="V67" s="13" cm="1">
        <f t="array" ref="V67">_xll.BDH("NUE US Equity","PX_TO_FREE_CASH_FLOW","FQ2 2023","FQ2 2023","Currency=USD","Period=FQ","BEST_FPERIOD_OVERRIDE=FQ","FILING_STATUS=MR","Sort=A","Dates=H","DateFormat=P","Fill=—","Direction=H","UseDPDF=Y")</f>
        <v>6.5129999999999999</v>
      </c>
      <c r="W67" s="13" cm="1">
        <f t="array" ref="W67">_xll.BDH("NUE US Equity","PX_TO_FREE_CASH_FLOW","FQ3 2023","FQ3 2023","Currency=USD","Period=FQ","BEST_FPERIOD_OVERRIDE=FQ","FILING_STATUS=MR","Sort=A","Dates=H","DateFormat=P","Fill=—","Direction=H","UseDPDF=Y")</f>
        <v>6.4391999999999996</v>
      </c>
      <c r="X67" s="13" cm="1">
        <f t="array" ref="X67">_xll.BDH("NUE US Equity","PX_TO_FREE_CASH_FLOW","FQ4 2023","FQ4 2023","Currency=USD","Period=FQ","BEST_FPERIOD_OVERRIDE=FQ","FILING_STATUS=MR","Sort=A","Dates=H","DateFormat=P","Fill=—","Direction=H","UseDPDF=Y")</f>
        <v>8.8620000000000001</v>
      </c>
      <c r="Y67" s="13" cm="1">
        <f t="array" ref="Y67">_xll.BDH("NUE US Equity","PX_TO_FREE_CASH_FLOW","FQ1 2024","FQ1 2024","Currency=USD","Period=FQ","BEST_FPERIOD_OVERRIDE=FQ","FILING_STATUS=MR","Sort=A","Dates=H","DateFormat=P","Fill=—","Direction=H","UseDPDF=Y")</f>
        <v>12.2851</v>
      </c>
      <c r="Z67" s="13" cm="1">
        <f t="array" ref="Z67">_xll.BDH("NUE US Equity","PX_TO_FREE_CASH_FLOW","FQ2 2024","FQ2 2024","Currency=USD","Period=FQ","BEST_FPERIOD_OVERRIDE=FQ","FILING_STATUS=MR","Sort=A","Dates=H","DateFormat=P","Fill=—","Direction=H","UseDPDF=Y")</f>
        <v>11.8072</v>
      </c>
      <c r="AA67" s="13" cm="1">
        <f t="array" ref="AA67">_xll.BDH("NUE US Equity","PX_TO_FREE_CASH_FLOW","FQ3 2024","FQ3 2024","Currency=USD","Period=FQ","BEST_FPERIOD_OVERRIDE=FQ","FILING_STATUS=MR","Sort=A","Dates=H","DateFormat=P","Fill=—","Direction=H","UseDPDF=Y")</f>
        <v>20.673100000000002</v>
      </c>
      <c r="AB67" s="13" cm="1">
        <f t="array" ref="AB67">_xll.BDH("NUE US Equity","PX_TO_FREE_CASH_FLOW","FQ4 2024","FQ4 2024","Currency=USD","Period=FQ","BEST_FPERIOD_OVERRIDE=FQ","FILING_STATUS=MR","Sort=A","Dates=H","DateFormat=P","Fill=—","Direction=H","UseDPDF=Y")</f>
        <v>34.440399999999997</v>
      </c>
      <c r="AC67" s="13" cm="1">
        <f t="array" ref="AC67">_xll.BDH("NUE US Equity","PX_TO_FREE_CASH_FLOW","FQ1 2025","FQ1 2025","Currency=USD","Period=FQ","BEST_FPERIOD_OVERRIDE=FQ","FILING_STATUS=MR","Sort=A","Dates=H","DateFormat=P","Fill=—","Direction=H","UseDPDF=Y")</f>
        <v>48.500599999999999</v>
      </c>
      <c r="AD67" s="13" t="str" cm="1">
        <f t="array" ref="AD67">_xll.BDH("NUE US Equity","PX_TO_FREE_CASH_FLOW","FQ2 2025","FQ2 2025","Currency=USD","Period=FQ","BEST_FPERIOD_OVERRIDE=FQ","FILING_STATUS=MR","Sort=A","Dates=H","DateFormat=P","Fill=—","Direction=H","UseDPDF=Y")</f>
        <v>—</v>
      </c>
      <c r="AE67" s="13" t="str" cm="1">
        <f t="array" ref="AE67">_xll.BDH("NUE US Equity","PX_TO_FREE_CASH_FLOW","FQ3 2025","FQ3 2025","Currency=USD","Period=FQ","BEST_FPERIOD_OVERRIDE=FQ","FILING_STATUS=MR","Sort=A","Dates=H","DateFormat=P","Fill=—","Direction=H","UseDPDF=Y")</f>
        <v>—</v>
      </c>
      <c r="AF67" s="13" t="str" cm="1">
        <f t="array" ref="AF67">_xll.BDH("NUE US Equity","PX_TO_FREE_CASH_FLOW","FQ4 2025","FQ4 2025","Currency=USD","Period=FQ","BEST_FPERIOD_OVERRIDE=FQ","FILING_STATUS=MR","Sort=A","Dates=H","DateFormat=P","Fill=—","Direction=H","UseDPDF=Y")</f>
        <v>—</v>
      </c>
    </row>
    <row r="68" spans="1:32" x14ac:dyDescent="0.25">
      <c r="A68" s="10" t="s">
        <v>166</v>
      </c>
      <c r="B68" s="10" t="s">
        <v>167</v>
      </c>
      <c r="C68" s="13" cm="1">
        <f t="array" ref="C68">_xll.BDH("NUE US Equity","CASH_FLOW_TO_NET_INC","FQ3 2018","FQ3 2018","Currency=USD","Period=FQ","BEST_FPERIOD_OVERRIDE=FQ","FILING_STATUS=MR","FA_ADJUSTED=GAAP","Sort=A","Dates=H","DateFormat=P","Fill=—","Direction=H","UseDPDF=Y")</f>
        <v>1.5235000000000001</v>
      </c>
      <c r="D68" s="13" cm="1">
        <f t="array" ref="D68">_xll.BDH("NUE US Equity","CASH_FLOW_TO_NET_INC","FQ4 2018","FQ4 2018","Currency=USD","Period=FQ","BEST_FPERIOD_OVERRIDE=FQ","FILING_STATUS=MR","FA_ADJUSTED=GAAP","Sort=A","Dates=H","DateFormat=P","Fill=—","Direction=H","UseDPDF=Y")</f>
        <v>0.76149999999999995</v>
      </c>
      <c r="E68" s="13" cm="1">
        <f t="array" ref="E68">_xll.BDH("NUE US Equity","CASH_FLOW_TO_NET_INC","FQ1 2019","FQ1 2019","Currency=USD","Period=FQ","BEST_FPERIOD_OVERRIDE=FQ","FILING_STATUS=MR","FA_ADJUSTED=GAAP","Sort=A","Dates=H","DateFormat=P","Fill=—","Direction=H","UseDPDF=Y")</f>
        <v>1.2967</v>
      </c>
      <c r="F68" s="13" cm="1">
        <f t="array" ref="F68">_xll.BDH("NUE US Equity","CASH_FLOW_TO_NET_INC","FQ2 2019","FQ2 2019","Currency=USD","Period=FQ","BEST_FPERIOD_OVERRIDE=FQ","FILING_STATUS=MR","FA_ADJUSTED=GAAP","Sort=A","Dates=H","DateFormat=P","Fill=—","Direction=H","UseDPDF=Y")</f>
        <v>1.3897999999999999</v>
      </c>
      <c r="G68" s="13" cm="1">
        <f t="array" ref="G68">_xll.BDH("NUE US Equity","CASH_FLOW_TO_NET_INC","FQ3 2019","FQ3 2019","Currency=USD","Period=FQ","BEST_FPERIOD_OVERRIDE=FQ","FILING_STATUS=MR","FA_ADJUSTED=GAAP","Sort=A","Dates=H","DateFormat=P","Fill=—","Direction=H","UseDPDF=Y")</f>
        <v>3.39</v>
      </c>
      <c r="H68" s="13" cm="1">
        <f t="array" ref="H68">_xll.BDH("NUE US Equity","CASH_FLOW_TO_NET_INC","FQ4 2019","FQ4 2019","Currency=USD","Period=FQ","BEST_FPERIOD_OVERRIDE=FQ","FILING_STATUS=MR","FA_ADJUSTED=GAAP","Sort=A","Dates=H","DateFormat=P","Fill=—","Direction=H","UseDPDF=Y")</f>
        <v>6.3918999999999997</v>
      </c>
      <c r="I68" s="13" cm="1">
        <f t="array" ref="I68">_xll.BDH("NUE US Equity","CASH_FLOW_TO_NET_INC","FQ1 2020","FQ1 2020","Currency=USD","Period=FQ","BEST_FPERIOD_OVERRIDE=FQ","FILING_STATUS=MR","FA_ADJUSTED=GAAP","Sort=A","Dates=H","DateFormat=P","Fill=—","Direction=H","UseDPDF=Y")</f>
        <v>9.8964999999999996</v>
      </c>
      <c r="J68" s="13" cm="1">
        <f t="array" ref="J68">_xll.BDH("NUE US Equity","CASH_FLOW_TO_NET_INC","FQ2 2020","FQ2 2020","Currency=USD","Period=FQ","BEST_FPERIOD_OVERRIDE=FQ","FILING_STATUS=MR","FA_ADJUSTED=GAAP","Sort=A","Dates=H","DateFormat=P","Fill=—","Direction=H","UseDPDF=Y")</f>
        <v>10.550599999999999</v>
      </c>
      <c r="K68" s="13" cm="1">
        <f t="array" ref="K68">_xll.BDH("NUE US Equity","CASH_FLOW_TO_NET_INC","FQ3 2020","FQ3 2020","Currency=USD","Period=FQ","BEST_FPERIOD_OVERRIDE=FQ","FILING_STATUS=MR","FA_ADJUSTED=GAAP","Sort=A","Dates=H","DateFormat=P","Fill=—","Direction=H","UseDPDF=Y")</f>
        <v>4.4238</v>
      </c>
      <c r="L68" s="13" cm="1">
        <f t="array" ref="L68">_xll.BDH("NUE US Equity","CASH_FLOW_TO_NET_INC","FQ4 2020","FQ4 2020","Currency=USD","Period=FQ","BEST_FPERIOD_OVERRIDE=FQ","FILING_STATUS=MR","FA_ADJUSTED=GAAP","Sort=A","Dates=H","DateFormat=P","Fill=—","Direction=H","UseDPDF=Y")</f>
        <v>1.2318</v>
      </c>
      <c r="M68" s="13" cm="1">
        <f t="array" ref="M68">_xll.BDH("NUE US Equity","CASH_FLOW_TO_NET_INC","FQ1 2021","FQ1 2021","Currency=USD","Period=FQ","BEST_FPERIOD_OVERRIDE=FQ","FILING_STATUS=MR","FA_ADJUSTED=GAAP","Sort=A","Dates=H","DateFormat=P","Fill=—","Direction=H","UseDPDF=Y")</f>
        <v>0.56279999999999997</v>
      </c>
      <c r="N68" s="13" cm="1">
        <f t="array" ref="N68">_xll.BDH("NUE US Equity","CASH_FLOW_TO_NET_INC","FQ2 2021","FQ2 2021","Currency=USD","Period=FQ","BEST_FPERIOD_OVERRIDE=FQ","FILING_STATUS=MR","FA_ADJUSTED=GAAP","Sort=A","Dates=H","DateFormat=P","Fill=—","Direction=H","UseDPDF=Y")</f>
        <v>0.89770000000000005</v>
      </c>
      <c r="O68" s="13" cm="1">
        <f t="array" ref="O68">_xll.BDH("NUE US Equity","CASH_FLOW_TO_NET_INC","FQ3 2021","FQ3 2021","Currency=USD","Period=FQ","BEST_FPERIOD_OVERRIDE=FQ","FILING_STATUS=MR","FA_ADJUSTED=GAAP","Sort=A","Dates=H","DateFormat=P","Fill=—","Direction=H","UseDPDF=Y")</f>
        <v>0.81640000000000001</v>
      </c>
      <c r="P68" s="13" cm="1">
        <f t="array" ref="P68">_xll.BDH("NUE US Equity","CASH_FLOW_TO_NET_INC","FQ4 2021","FQ4 2021","Currency=USD","Period=FQ","BEST_FPERIOD_OVERRIDE=FQ","FILING_STATUS=MR","FA_ADJUSTED=GAAP","Sort=A","Dates=H","DateFormat=P","Fill=—","Direction=H","UseDPDF=Y")</f>
        <v>1.1599999999999999</v>
      </c>
      <c r="Q68" s="13" cm="1">
        <f t="array" ref="Q68">_xll.BDH("NUE US Equity","CASH_FLOW_TO_NET_INC","FQ1 2022","FQ1 2022","Currency=USD","Period=FQ","BEST_FPERIOD_OVERRIDE=FQ","FILING_STATUS=MR","FA_ADJUSTED=GAAP","Sort=A","Dates=H","DateFormat=P","Fill=—","Direction=H","UseDPDF=Y")</f>
        <v>1.1797</v>
      </c>
      <c r="R68" s="13" cm="1">
        <f t="array" ref="R68">_xll.BDH("NUE US Equity","CASH_FLOW_TO_NET_INC","FQ2 2022","FQ2 2022","Currency=USD","Period=FQ","BEST_FPERIOD_OVERRIDE=FQ","FILING_STATUS=MR","FA_ADJUSTED=GAAP","Sort=A","Dates=H","DateFormat=P","Fill=—","Direction=H","UseDPDF=Y")</f>
        <v>0.88300000000000001</v>
      </c>
      <c r="S68" s="13" cm="1">
        <f t="array" ref="S68">_xll.BDH("NUE US Equity","CASH_FLOW_TO_NET_INC","FQ3 2022","FQ3 2022","Currency=USD","Period=FQ","BEST_FPERIOD_OVERRIDE=FQ","FILING_STATUS=MR","FA_ADJUSTED=GAAP","Sort=A","Dates=H","DateFormat=P","Fill=—","Direction=H","UseDPDF=Y")</f>
        <v>1.655</v>
      </c>
      <c r="T68" s="13" cm="1">
        <f t="array" ref="T68">_xll.BDH("NUE US Equity","CASH_FLOW_TO_NET_INC","FQ4 2022","FQ4 2022","Currency=USD","Period=FQ","BEST_FPERIOD_OVERRIDE=FQ","FILING_STATUS=MR","FA_ADJUSTED=GAAP","Sort=A","Dates=H","DateFormat=P","Fill=—","Direction=H","UseDPDF=Y")</f>
        <v>2.0175999999999998</v>
      </c>
      <c r="U68" s="13" cm="1">
        <f t="array" ref="U68">_xll.BDH("NUE US Equity","CASH_FLOW_TO_NET_INC","FQ1 2023","FQ1 2023","Currency=USD","Period=FQ","BEST_FPERIOD_OVERRIDE=FQ","FILING_STATUS=MR","FA_ADJUSTED=GAAP","Sort=A","Dates=H","DateFormat=P","Fill=—","Direction=H","UseDPDF=Y")</f>
        <v>1.0621</v>
      </c>
      <c r="V68" s="13" cm="1">
        <f t="array" ref="V68">_xll.BDH("NUE US Equity","CASH_FLOW_TO_NET_INC","FQ2 2023","FQ2 2023","Currency=USD","Period=FQ","BEST_FPERIOD_OVERRIDE=FQ","FILING_STATUS=MR","FA_ADJUSTED=GAAP","Sort=A","Dates=H","DateFormat=P","Fill=—","Direction=H","UseDPDF=Y")</f>
        <v>1.3141</v>
      </c>
      <c r="W68" s="13" cm="1">
        <f t="array" ref="W68">_xll.BDH("NUE US Equity","CASH_FLOW_TO_NET_INC","FQ3 2023","FQ3 2023","Currency=USD","Period=FQ","BEST_FPERIOD_OVERRIDE=FQ","FILING_STATUS=MR","FA_ADJUSTED=GAAP","Sort=A","Dates=H","DateFormat=P","Fill=—","Direction=H","UseDPDF=Y")</f>
        <v>2.1585999999999999</v>
      </c>
      <c r="X68" s="13" cm="1">
        <f t="array" ref="X68">_xll.BDH("NUE US Equity","CASH_FLOW_TO_NET_INC","FQ4 2023","FQ4 2023","Currency=USD","Period=FQ","BEST_FPERIOD_OVERRIDE=FQ","FILING_STATUS=MR","FA_ADJUSTED=GAAP","Sort=A","Dates=H","DateFormat=P","Fill=—","Direction=H","UseDPDF=Y")</f>
        <v>1.9357</v>
      </c>
      <c r="Y68" s="13" cm="1">
        <f t="array" ref="Y68">_xll.BDH("NUE US Equity","CASH_FLOW_TO_NET_INC","FQ1 2024","FQ1 2024","Currency=USD","Period=FQ","BEST_FPERIOD_OVERRIDE=FQ","FILING_STATUS=MR","FA_ADJUSTED=GAAP","Sort=A","Dates=H","DateFormat=P","Fill=—","Direction=H","UseDPDF=Y")</f>
        <v>0.54410000000000003</v>
      </c>
      <c r="Z68" s="13" cm="1">
        <f t="array" ref="Z68">_xll.BDH("NUE US Equity","CASH_FLOW_TO_NET_INC","FQ2 2024","FQ2 2024","Currency=USD","Period=FQ","BEST_FPERIOD_OVERRIDE=FQ","FILING_STATUS=MR","FA_ADJUSTED=GAAP","Sort=A","Dates=H","DateFormat=P","Fill=—","Direction=H","UseDPDF=Y")</f>
        <v>2.302</v>
      </c>
      <c r="AA68" s="13" cm="1">
        <f t="array" ref="AA68">_xll.BDH("NUE US Equity","CASH_FLOW_TO_NET_INC","FQ3 2024","FQ3 2024","Currency=USD","Period=FQ","BEST_FPERIOD_OVERRIDE=FQ","FILING_STATUS=MR","FA_ADJUSTED=GAAP","Sort=A","Dates=H","DateFormat=P","Fill=—","Direction=H","UseDPDF=Y")</f>
        <v>5.2046999999999999</v>
      </c>
      <c r="AB68" s="13" cm="1">
        <f t="array" ref="AB68">_xll.BDH("NUE US Equity","CASH_FLOW_TO_NET_INC","FQ4 2024","FQ4 2024","Currency=USD","Period=FQ","BEST_FPERIOD_OVERRIDE=FQ","FILING_STATUS=MR","FA_ADJUSTED=GAAP","Sort=A","Dates=H","DateFormat=P","Fill=—","Direction=H","UseDPDF=Y")</f>
        <v>2.5552999999999999</v>
      </c>
      <c r="AC68" s="13" cm="1">
        <f t="array" ref="AC68">_xll.BDH("NUE US Equity","CASH_FLOW_TO_NET_INC","FQ1 2025","FQ1 2025","Currency=USD","Period=FQ","BEST_FPERIOD_OVERRIDE=FQ","FILING_STATUS=MR","FA_ADJUSTED=GAAP","Sort=A","Dates=H","DateFormat=P","Fill=—","Direction=H","UseDPDF=Y")</f>
        <v>2.3332999999999999</v>
      </c>
      <c r="AD68" s="13" cm="1">
        <f t="array" ref="AD68">_xll.BDH("NUE US Equity","CASH_FLOW_TO_NET_INC","FQ2 2025","FQ2 2025","Currency=USD","Period=FQ","BEST_FPERIOD_OVERRIDE=FQ","FILING_STATUS=MR","FA_ADJUSTED=GAAP","Sort=A","Dates=H","DateFormat=P","Fill=—","Direction=H","UseDPDF=Y")</f>
        <v>1.2139</v>
      </c>
      <c r="AE68" s="13" cm="1">
        <f t="array" ref="AE68">_xll.BDH("NUE US Equity","CASH_FLOW_TO_NET_INC","FQ3 2025","FQ3 2025","Currency=USD","Period=FQ","BEST_FPERIOD_OVERRIDE=FQ","FILING_STATUS=MR","FA_ADJUSTED=GAAP","Sort=A","Dates=H","DateFormat=P","Fill=—","Direction=H","UseDPDF=Y")</f>
        <v>2.2059000000000002</v>
      </c>
      <c r="AF68" s="13" cm="1">
        <f t="array" ref="AF68">_xll.BDH("NUE US Equity","CASH_FLOW_TO_NET_INC","FQ4 2025","FQ4 2025","Currency=USD","Period=FQ","BEST_FPERIOD_OVERRIDE=FQ","FILING_STATUS=MR","FA_ADJUSTED=GAAP","Sort=A","Dates=H","DateFormat=P","Fill=—","Direction=H","UseDPDF=Y")</f>
        <v>2.1137999999999999</v>
      </c>
    </row>
    <row r="69" spans="1:32" x14ac:dyDescent="0.25">
      <c r="A69" s="7" t="s">
        <v>168</v>
      </c>
      <c r="B69" s="7"/>
      <c r="C69" s="7" t="s">
        <v>1</v>
      </c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Cash Flow - Standardized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Juan Francisco Rodríguez Rodríguez</cp:lastModifiedBy>
  <dcterms:created xsi:type="dcterms:W3CDTF">2013-04-03T15:49:21Z</dcterms:created>
  <dcterms:modified xsi:type="dcterms:W3CDTF">2026-02-19T01:58:04Z</dcterms:modified>
</cp:coreProperties>
</file>