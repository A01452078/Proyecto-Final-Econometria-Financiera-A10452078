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FE8D92DD-9ABF-46A9-8D59-491BDF9CD6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BG Adjust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6" i="2" l="1" a="1"/>
  <c r="R12" i="2" a="1"/>
  <c r="E20" i="2" a="1"/>
  <c r="AA10" i="2" a="1"/>
  <c r="Q6" i="2" a="1"/>
  <c r="U12" i="2" a="1"/>
  <c r="H11" i="2" a="1"/>
  <c r="J62" i="2" a="1"/>
  <c r="L26" i="2" a="1"/>
  <c r="T9" i="2" a="1"/>
  <c r="K51" i="2" a="1"/>
  <c r="Y11" i="2" a="1"/>
  <c r="S18" i="2" a="1"/>
  <c r="S22" i="2" a="1"/>
  <c r="S13" i="2" a="1"/>
  <c r="S7" i="2" a="1"/>
  <c r="AA7" i="2" a="1"/>
  <c r="Q21" i="2" a="1"/>
  <c r="H12" i="2" a="1"/>
  <c r="L11" i="2" a="1"/>
  <c r="K55" i="2" a="1"/>
  <c r="S44" i="2" a="1"/>
  <c r="S21" i="2" a="1"/>
  <c r="I11" i="2" a="1"/>
  <c r="D10" i="2" a="1"/>
  <c r="S54" i="2" a="1"/>
  <c r="K56" i="2" a="1"/>
  <c r="S17" i="2" a="1"/>
  <c r="S26" i="2" a="1"/>
  <c r="O10" i="2" a="1"/>
  <c r="C10" i="2" a="1"/>
  <c r="AD17" i="2" a="1"/>
  <c r="X11" i="2" a="1"/>
  <c r="K50" i="2" a="1"/>
  <c r="Z44" i="2" a="1"/>
  <c r="S15" i="2" a="1"/>
  <c r="F18" i="2" a="1"/>
  <c r="M7" i="2" a="1"/>
  <c r="AB6" i="2" a="1"/>
  <c r="P13" i="2" a="1"/>
  <c r="S14" i="2" a="1"/>
  <c r="S6" i="2" a="1"/>
  <c r="M44" i="2" a="1"/>
  <c r="AB7" i="2" a="1"/>
  <c r="P10" i="2" a="1"/>
  <c r="S12" i="2" a="1"/>
  <c r="Z10" i="2" a="1"/>
  <c r="S20" i="2" a="1"/>
  <c r="S10" i="2" a="1"/>
  <c r="S62" i="2" a="1"/>
  <c r="K48" i="2" a="1"/>
  <c r="S19" i="2" a="1"/>
  <c r="K53" i="2" a="1"/>
  <c r="Y44" i="2" a="1"/>
  <c r="E21" i="2" a="1"/>
  <c r="U26" i="2" a="1"/>
  <c r="J12" i="2" a="1"/>
  <c r="T6" i="2" a="1"/>
  <c r="H49" i="2" a="1"/>
  <c r="S23" i="2" a="1"/>
  <c r="S24" i="2" a="1"/>
  <c r="O7" i="2" a="1"/>
  <c r="C7" i="2" a="1"/>
  <c r="AD27" i="2" a="1"/>
  <c r="X7" i="2" a="1"/>
  <c r="V12" i="2" a="1"/>
  <c r="H54" i="2" a="1"/>
  <c r="S63" i="2" a="1"/>
  <c r="S60" i="2" a="1"/>
  <c r="I14" i="2" a="1"/>
  <c r="D7" i="2" a="1"/>
  <c r="S49" i="2" a="1"/>
  <c r="V26" i="2" a="1"/>
  <c r="S25" i="2" a="1"/>
  <c r="S11" i="2" a="1"/>
  <c r="S9" i="2" a="1"/>
  <c r="AC24" i="2" a="1"/>
  <c r="N7" i="2" a="1"/>
  <c r="S27" i="2" a="1"/>
  <c r="F17" i="2" a="1"/>
  <c r="AC14" i="2" a="1"/>
  <c r="N10" i="2" a="1"/>
  <c r="K68" i="2" a="1"/>
  <c r="G54" i="2" a="1"/>
  <c r="G9" i="2" a="1"/>
  <c r="U49" i="2" a="1"/>
  <c r="O39" i="2" a="1"/>
  <c r="C31" i="2" a="1"/>
  <c r="G38" i="2" a="1"/>
  <c r="S32" i="2" a="1"/>
  <c r="W32" i="2" a="1"/>
  <c r="G26" i="2" a="1"/>
  <c r="G63" i="2" a="1"/>
  <c r="G25" i="2" a="1"/>
  <c r="G11" i="2" a="1"/>
  <c r="AA38" i="2" a="1"/>
  <c r="C49" i="2" a="1"/>
  <c r="C24" i="2" a="1"/>
  <c r="C23" i="2" a="1"/>
  <c r="C60" i="2" a="1"/>
  <c r="O49" i="2" a="1"/>
  <c r="G68" i="2" a="1"/>
  <c r="K38" i="2" a="1"/>
  <c r="W24" i="2" a="1"/>
  <c r="W10" i="2" a="1"/>
  <c r="W27" i="2" a="1"/>
  <c r="W19" i="2" a="1"/>
  <c r="AA54" i="2" a="1"/>
  <c r="K9" i="2" a="1"/>
  <c r="K27" i="2" a="1"/>
  <c r="K10" i="2" a="1"/>
  <c r="AA24" i="2" a="1"/>
  <c r="AA20" i="2" a="1"/>
  <c r="AA63" i="2" a="1"/>
  <c r="AA23" i="2" a="1"/>
  <c r="W50" i="2" a="1"/>
  <c r="AA48" i="2" a="1"/>
  <c r="O27" i="2" a="1"/>
  <c r="O24" i="2" a="1"/>
  <c r="O21" i="2" a="1"/>
  <c r="O19" i="2" a="1"/>
  <c r="S61" i="2" a="1"/>
  <c r="C16" i="2" a="1"/>
  <c r="C69" i="2" a="1"/>
  <c r="C34" i="2" a="1"/>
  <c r="S68" i="2" a="1"/>
  <c r="K69" i="2" a="1"/>
  <c r="K29" i="2" a="1"/>
  <c r="K8" i="2" a="1"/>
  <c r="K65" i="2" a="1"/>
  <c r="G64" i="2" a="1"/>
  <c r="AA64" i="2" a="1"/>
  <c r="C54" i="2" a="1"/>
  <c r="G48" i="2" a="1"/>
  <c r="W13" i="2" a="1"/>
  <c r="K22" i="2" a="1"/>
  <c r="AA27" i="2" a="1"/>
  <c r="O13" i="2" a="1"/>
  <c r="S65" i="2" a="1"/>
  <c r="S48" i="2" a="1"/>
  <c r="K70" i="2" a="1"/>
  <c r="AA65" i="2" a="1"/>
  <c r="AA56" i="2" a="1"/>
  <c r="O23" i="2" a="1"/>
  <c r="K46" i="2" a="1"/>
  <c r="W37" i="2" a="1"/>
  <c r="C63" i="2" a="1"/>
  <c r="K25" i="2" a="1"/>
  <c r="AA44" i="2" a="1"/>
  <c r="S66" i="2" a="1"/>
  <c r="G67" i="2" a="1"/>
  <c r="C25" i="2" a="1"/>
  <c r="AA6" i="2" a="1"/>
  <c r="AA68" i="2" a="1"/>
  <c r="K67" i="2" a="1"/>
  <c r="C14" i="2" a="1"/>
  <c r="K42" i="2" a="1"/>
  <c r="K19" i="2" a="1"/>
  <c r="AA11" i="2" a="1"/>
  <c r="W56" i="2" a="1"/>
  <c r="O9" i="2" a="1"/>
  <c r="C40" i="2" a="1"/>
  <c r="K16" i="2" a="1"/>
  <c r="AA14" i="2" a="1"/>
  <c r="S67" i="2" a="1"/>
  <c r="C66" i="2" a="1"/>
  <c r="O38" i="2" a="1"/>
  <c r="K54" i="2" a="1"/>
  <c r="W26" i="2" a="1"/>
  <c r="W51" i="2" a="1"/>
  <c r="S55" i="2" a="1"/>
  <c r="C6" i="2" a="1"/>
  <c r="K14" i="2" a="1"/>
  <c r="O6" i="2" a="1"/>
  <c r="G49" i="2" a="1"/>
  <c r="G6" i="2" a="1"/>
  <c r="U54" i="2" a="1"/>
  <c r="O37" i="2" a="1"/>
  <c r="C37" i="2" a="1"/>
  <c r="G32" i="2" a="1"/>
  <c r="S38" i="2" a="1"/>
  <c r="W39" i="2" a="1"/>
  <c r="G18" i="2" a="1"/>
  <c r="G60" i="2" a="1"/>
  <c r="G19" i="2" a="1"/>
  <c r="G62" i="2" a="1"/>
  <c r="AA39" i="2" a="1"/>
  <c r="C20" i="2" a="1"/>
  <c r="O54" i="2" a="1"/>
  <c r="W23" i="2" a="1"/>
  <c r="O66" i="2" a="1"/>
  <c r="AA62" i="2" a="1"/>
  <c r="AA53" i="2" a="1"/>
  <c r="O25" i="2" a="1"/>
  <c r="C36" i="2" a="1"/>
  <c r="C65" i="2" a="1"/>
  <c r="AA25" i="2" a="1"/>
  <c r="C41" i="2" a="1"/>
  <c r="G61" i="2" a="1"/>
  <c r="I54" i="2" a="1"/>
  <c r="C44" i="2" a="1"/>
  <c r="W25" i="2" a="1"/>
  <c r="W48" i="2" a="1"/>
  <c r="C71" i="2" a="1"/>
  <c r="K49" i="2" a="1"/>
  <c r="K7" i="2" a="1"/>
  <c r="O18" i="2" a="1"/>
  <c r="AA66" i="2" a="1"/>
  <c r="V49" i="2" a="1"/>
  <c r="W42" i="2" a="1"/>
  <c r="G44" i="2" a="1"/>
  <c r="C12" i="2" a="1"/>
  <c r="G53" i="2" a="1"/>
  <c r="W15" i="2" a="1"/>
  <c r="O67" i="2" a="1"/>
  <c r="K26" i="2" a="1"/>
  <c r="W55" i="2" a="1"/>
  <c r="S50" i="2" a="1"/>
  <c r="AA61" i="2" a="1"/>
  <c r="S42" i="2" a="1"/>
  <c r="C27" i="2" a="1"/>
  <c r="K44" i="2" a="1"/>
  <c r="AA50" i="2" a="1"/>
  <c r="K34" i="2" a="1"/>
  <c r="C18" i="2" a="1"/>
  <c r="W7" i="2" a="1"/>
  <c r="W68" i="2" a="1"/>
  <c r="K33" i="2" a="1"/>
  <c r="K11" i="2" a="1"/>
  <c r="W9" i="2" a="1"/>
  <c r="O31" i="2" a="1"/>
  <c r="C42" i="2" a="1"/>
  <c r="V54" i="2" a="1"/>
  <c r="G42" i="2" a="1"/>
  <c r="S39" i="2" a="1"/>
  <c r="W31" i="2" a="1"/>
  <c r="G27" i="2" a="1"/>
  <c r="G21" i="2" a="1"/>
  <c r="G22" i="2" a="1"/>
  <c r="G20" i="2" a="1"/>
  <c r="AA31" i="2" a="1"/>
  <c r="C22" i="2" a="1"/>
  <c r="C26" i="2" a="1"/>
  <c r="C17" i="2" a="1"/>
  <c r="C11" i="2" a="1"/>
  <c r="G55" i="2" a="1"/>
  <c r="G50" i="2" a="1"/>
  <c r="K32" i="2" a="1"/>
  <c r="W63" i="2" a="1"/>
  <c r="W18" i="2" a="1"/>
  <c r="W62" i="2" a="1"/>
  <c r="O64" i="2" a="1"/>
  <c r="K60" i="2" a="1"/>
  <c r="K18" i="2" a="1"/>
  <c r="K24" i="2" a="1"/>
  <c r="K15" i="2" a="1"/>
  <c r="AA17" i="2" a="1"/>
  <c r="AA60" i="2" a="1"/>
  <c r="AA18" i="2" a="1"/>
  <c r="AA9" i="2" a="1"/>
  <c r="W53" i="2" a="1"/>
  <c r="AA51" i="2" a="1"/>
  <c r="O12" i="2" a="1"/>
  <c r="O26" i="2" a="1"/>
  <c r="O20" i="2" a="1"/>
  <c r="O44" i="2" a="1"/>
  <c r="S64" i="2" a="1"/>
  <c r="C28" i="2" a="1"/>
  <c r="C8" i="2" a="1"/>
  <c r="C70" i="2" a="1"/>
  <c r="S53" i="2" a="1"/>
  <c r="K45" i="2" a="1"/>
  <c r="K35" i="2" a="1"/>
  <c r="K61" i="2" a="1"/>
  <c r="C64" i="2" a="1"/>
  <c r="G66" i="2" a="1"/>
  <c r="AA67" i="2" a="1"/>
  <c r="C38" i="2" a="1"/>
  <c r="S31" i="2" a="1"/>
  <c r="G12" i="2" a="1"/>
  <c r="C9" i="2" a="1"/>
  <c r="C15" i="2" a="1"/>
  <c r="K39" i="2" a="1"/>
  <c r="W21" i="2" a="1"/>
  <c r="K6" i="2" a="1"/>
  <c r="O11" i="2" a="1"/>
  <c r="S51" i="2" a="1"/>
  <c r="J54" i="2" a="1"/>
  <c r="G17" i="2" a="1"/>
  <c r="W11" i="2" a="1"/>
  <c r="AA21" i="2" a="1"/>
  <c r="C29" i="2" a="1"/>
  <c r="C21" i="2" a="1"/>
  <c r="W14" i="2" a="1"/>
  <c r="AA55" i="2" a="1"/>
  <c r="K30" i="2" a="1"/>
  <c r="G13" i="2" a="1"/>
  <c r="W60" i="2" a="1"/>
  <c r="K62" i="2" a="1"/>
  <c r="O14" i="2" a="1"/>
  <c r="K40" i="2" a="1"/>
  <c r="C32" i="2" a="1"/>
  <c r="K31" i="2" a="1"/>
  <c r="K23" i="2" a="1"/>
  <c r="O15" i="2" a="1"/>
  <c r="K64" i="2" a="1"/>
  <c r="G24" i="2" a="1"/>
  <c r="O65" i="2" a="1"/>
  <c r="C45" i="2" a="1"/>
  <c r="K12" i="2" a="1"/>
  <c r="W6" i="2" a="1"/>
  <c r="O42" i="2" a="1"/>
  <c r="G37" i="2" a="1"/>
  <c r="G23" i="2" a="1"/>
  <c r="AA32" i="2" a="1"/>
  <c r="C13" i="2" a="1"/>
  <c r="W22" i="2" a="1"/>
  <c r="K63" i="2" a="1"/>
  <c r="AA19" i="2" a="1"/>
  <c r="C30" i="2" a="1"/>
  <c r="G31" i="2" a="1"/>
  <c r="G56" i="2" a="1"/>
  <c r="K21" i="2" a="1"/>
  <c r="O22" i="2" a="1"/>
  <c r="K36" i="2" a="1"/>
  <c r="G10" i="2" a="1"/>
  <c r="W44" i="2" a="1"/>
  <c r="C33" i="2" a="1"/>
  <c r="K71" i="2" a="1"/>
  <c r="G14" i="2" a="1"/>
  <c r="K20" i="2" a="1"/>
  <c r="S56" i="2" a="1"/>
  <c r="T49" i="2" a="1"/>
  <c r="G15" i="2" a="1"/>
  <c r="AA42" i="2" a="1"/>
  <c r="W17" i="2" a="1"/>
  <c r="O60" i="2" a="1"/>
  <c r="AA37" i="2" a="1"/>
  <c r="AA12" i="2" a="1"/>
  <c r="K28" i="2" a="1"/>
  <c r="W20" i="2" a="1"/>
  <c r="C46" i="2" a="1"/>
  <c r="T54" i="2" a="1"/>
  <c r="I49" i="2" a="1"/>
  <c r="O32" i="2" a="1"/>
  <c r="C39" i="2" a="1"/>
  <c r="G39" i="2" a="1"/>
  <c r="J49" i="2" a="1"/>
  <c r="S37" i="2" a="1"/>
  <c r="W38" i="2" a="1"/>
  <c r="K37" i="2" a="1"/>
  <c r="AA13" i="2" a="1"/>
  <c r="W54" i="2" a="1"/>
  <c r="C62" i="2" a="1"/>
  <c r="W12" i="2" a="1"/>
  <c r="AA49" i="2" a="1"/>
  <c r="K13" i="2" a="1"/>
  <c r="AA22" i="2" a="1"/>
  <c r="O63" i="2" a="1"/>
  <c r="C35" i="2" a="1"/>
  <c r="K41" i="2" a="1"/>
  <c r="G65" i="2" a="1"/>
  <c r="AA15" i="2" a="1"/>
  <c r="O17" i="2" a="1"/>
  <c r="K66" i="2" a="1"/>
  <c r="G7" i="2" a="1"/>
  <c r="C19" i="2" a="1"/>
  <c r="O61" i="2" a="1"/>
  <c r="AA26" i="2" a="1"/>
  <c r="W49" i="2" a="1"/>
  <c r="C67" i="2" a="1"/>
  <c r="G51" i="2" a="1"/>
  <c r="K17" i="2" a="1"/>
  <c r="O62" i="2" a="1"/>
  <c r="C61" i="2" a="1"/>
  <c r="W64" i="2" a="1"/>
  <c r="AA46" i="2" a="1"/>
  <c r="AA33" i="2" a="1"/>
  <c r="AA16" i="2" a="1"/>
  <c r="C50" i="2" a="1"/>
  <c r="W29" i="2" a="1"/>
  <c r="W30" i="2" a="1"/>
  <c r="W16" i="2" a="1"/>
  <c r="H18" i="2" a="1"/>
  <c r="H17" i="2" a="1"/>
  <c r="H22" i="2" a="1"/>
  <c r="S40" i="2" a="1"/>
  <c r="S30" i="2" a="1"/>
  <c r="S36" i="2" a="1"/>
  <c r="O48" i="2" a="1"/>
  <c r="O33" i="2" a="1"/>
  <c r="O29" i="2" a="1"/>
  <c r="O45" i="2" a="1"/>
  <c r="G16" i="2" a="1"/>
  <c r="G70" i="2" a="1"/>
  <c r="G41" i="2" a="1"/>
  <c r="T44" i="2" a="1"/>
  <c r="T23" i="2" a="1"/>
  <c r="T21" i="2" a="1"/>
  <c r="H42" i="2" a="1"/>
  <c r="L68" i="2" a="1"/>
  <c r="L55" i="2" a="1"/>
  <c r="X31" i="2" a="1"/>
  <c r="L37" i="2" a="1"/>
  <c r="AB31" i="2" a="1"/>
  <c r="P31" i="2" a="1"/>
  <c r="D42" i="2" a="1"/>
  <c r="D9" i="2" a="1"/>
  <c r="D20" i="2" a="1"/>
  <c r="D62" i="2" a="1"/>
  <c r="D19" i="2" a="1"/>
  <c r="D29" i="2" a="1"/>
  <c r="D70" i="2" a="1"/>
  <c r="D69" i="2" a="1"/>
  <c r="X48" i="2" a="1"/>
  <c r="X55" i="2" a="1"/>
  <c r="X54" i="2" a="1"/>
  <c r="T55" i="2" a="1"/>
  <c r="H68" i="2" a="1"/>
  <c r="P24" i="2" a="1"/>
  <c r="P63" i="2" a="1"/>
  <c r="P21" i="2" a="1"/>
  <c r="P60" i="2" a="1"/>
  <c r="X62" i="2" a="1"/>
  <c r="X20" i="2" a="1"/>
  <c r="X10" i="2" a="1"/>
  <c r="P65" i="2" a="1"/>
  <c r="AB12" i="2" a="1"/>
  <c r="AB19" i="2" a="1"/>
  <c r="AB18" i="2" a="1"/>
  <c r="AB26" i="2" a="1"/>
  <c r="L17" i="2" a="1"/>
  <c r="L14" i="2" a="1"/>
  <c r="L10" i="2" a="1"/>
  <c r="AB36" i="2" a="1"/>
  <c r="AB45" i="2" a="1"/>
  <c r="AB69" i="2" a="1"/>
  <c r="D64" i="2" a="1"/>
  <c r="O51" i="2" a="1"/>
  <c r="O46" i="2" a="1"/>
  <c r="G36" i="2" a="1"/>
  <c r="T20" i="2" a="1"/>
  <c r="T18" i="2" a="1"/>
  <c r="T10" i="2" a="1"/>
  <c r="T31" i="2" a="1"/>
  <c r="X38" i="2" a="1"/>
  <c r="L32" i="2" a="1"/>
  <c r="D13" i="2" a="1"/>
  <c r="D36" i="2" a="1"/>
  <c r="T53" i="2" a="1"/>
  <c r="S41" i="2" a="1"/>
  <c r="H31" i="2" a="1"/>
  <c r="D21" i="2" a="1"/>
  <c r="W65" i="2" a="1"/>
  <c r="AA34" i="2" a="1"/>
  <c r="AA71" i="2" a="1"/>
  <c r="AA8" i="2" a="1"/>
  <c r="C68" i="2" a="1"/>
  <c r="W41" i="2" a="1"/>
  <c r="W28" i="2" a="1"/>
  <c r="W45" i="2" a="1"/>
  <c r="H13" i="2" a="1"/>
  <c r="H20" i="2" a="1"/>
  <c r="H23" i="2" a="1"/>
  <c r="S70" i="2" a="1"/>
  <c r="S29" i="2" a="1"/>
  <c r="O41" i="2" a="1"/>
  <c r="O69" i="2" a="1"/>
  <c r="G33" i="2" a="1"/>
  <c r="T17" i="2" a="1"/>
  <c r="L50" i="2" a="1"/>
  <c r="D44" i="2" a="1"/>
  <c r="G46" i="2" a="1"/>
  <c r="H37" i="2" a="1"/>
  <c r="X37" i="2" a="1"/>
  <c r="AB42" i="2" a="1"/>
  <c r="P38" i="2" a="1"/>
  <c r="D22" i="2" a="1"/>
  <c r="D25" i="2" a="1"/>
  <c r="D71" i="2" a="1"/>
  <c r="D54" i="2" a="1"/>
  <c r="L49" i="2" a="1"/>
  <c r="H48" i="2" a="1"/>
  <c r="P20" i="2" a="1"/>
  <c r="P18" i="2" a="1"/>
  <c r="X27" i="2" a="1"/>
  <c r="W67" i="2" a="1"/>
  <c r="AA41" i="2" a="1"/>
  <c r="AA45" i="2" a="1"/>
  <c r="AA35" i="2" a="1"/>
  <c r="C55" i="2" a="1"/>
  <c r="W33" i="2" a="1"/>
  <c r="W40" i="2" a="1"/>
  <c r="H6" i="2" a="1"/>
  <c r="H14" i="2" a="1"/>
  <c r="H44" i="2" a="1"/>
  <c r="H15" i="2" a="1"/>
  <c r="S45" i="2" a="1"/>
  <c r="S16" i="2" a="1"/>
  <c r="S71" i="2" a="1"/>
  <c r="O56" i="2" a="1"/>
  <c r="O16" i="2" a="1"/>
  <c r="O36" i="2" a="1"/>
  <c r="O34" i="2" a="1"/>
  <c r="G45" i="2" a="1"/>
  <c r="T26" i="2" a="1"/>
  <c r="T14" i="2" a="1"/>
  <c r="T24" i="2" a="1"/>
  <c r="T27" i="2" a="1"/>
  <c r="T38" i="2" a="1"/>
  <c r="T37" i="2" a="1"/>
  <c r="L39" i="2" a="1"/>
  <c r="D32" i="2" a="1"/>
  <c r="D60" i="2" a="1"/>
  <c r="D24" i="2" a="1"/>
  <c r="D45" i="2" a="1"/>
  <c r="X53" i="2" a="1"/>
  <c r="T51" i="2" a="1"/>
  <c r="H55" i="2" a="1"/>
  <c r="P12" i="2" a="1"/>
  <c r="X25" i="2" a="1"/>
  <c r="X15" i="2" a="1"/>
  <c r="T15" i="2" a="1"/>
  <c r="X42" i="2" a="1"/>
  <c r="AB38" i="2" a="1"/>
  <c r="D37" i="2" a="1"/>
  <c r="D11" i="2" a="1"/>
  <c r="D41" i="2" a="1"/>
  <c r="D46" i="2" a="1"/>
  <c r="X51" i="2" a="1"/>
  <c r="T48" i="2" a="1"/>
  <c r="P19" i="2" a="1"/>
  <c r="P17" i="2" a="1"/>
  <c r="X44" i="2" a="1"/>
  <c r="X9" i="2" a="1"/>
  <c r="AB21" i="2" a="1"/>
  <c r="AB24" i="2" a="1"/>
  <c r="L13" i="2" a="1"/>
  <c r="L12" i="2" a="1"/>
  <c r="W61" i="2" a="1"/>
  <c r="AA29" i="2" a="1"/>
  <c r="AA70" i="2" a="1"/>
  <c r="C56" i="2" a="1"/>
  <c r="C51" i="2" a="1"/>
  <c r="W8" i="2" a="1"/>
  <c r="W35" i="2" a="1"/>
  <c r="H10" i="2" a="1"/>
  <c r="H63" i="2" a="1"/>
  <c r="H25" i="2" a="1"/>
  <c r="H9" i="2" a="1"/>
  <c r="S33" i="2" a="1"/>
  <c r="S46" i="2" a="1"/>
  <c r="S35" i="2" a="1"/>
  <c r="O53" i="2" a="1"/>
  <c r="O71" i="2" a="1"/>
  <c r="O35" i="2" a="1"/>
  <c r="G8" i="2" a="1"/>
  <c r="G29" i="2" a="1"/>
  <c r="G34" i="2" a="1"/>
  <c r="T19" i="2" a="1"/>
  <c r="T12" i="2" a="1"/>
  <c r="T13" i="2" a="1"/>
  <c r="H38" i="2" a="1"/>
  <c r="L53" i="2" a="1"/>
  <c r="T39" i="2" a="1"/>
  <c r="L42" i="2" a="1"/>
  <c r="P37" i="2" a="1"/>
  <c r="D6" i="2" a="1"/>
  <c r="D26" i="2" a="1"/>
  <c r="D12" i="2" a="1"/>
  <c r="D49" i="2" a="1"/>
  <c r="AB54" i="2" a="1"/>
  <c r="H51" i="2" a="1"/>
  <c r="P6" i="2" a="1"/>
  <c r="P62" i="2" a="1"/>
  <c r="X21" i="2" a="1"/>
  <c r="X24" i="2" a="1"/>
  <c r="P61" i="2" a="1"/>
  <c r="AB13" i="2" a="1"/>
  <c r="L27" i="2" a="1"/>
  <c r="L19" i="2" a="1"/>
  <c r="L24" i="2" a="1"/>
  <c r="L60" i="2" a="1"/>
  <c r="AB46" i="2" a="1"/>
  <c r="P42" i="2" a="1"/>
  <c r="D33" i="2" a="1"/>
  <c r="H50" i="2" a="1"/>
  <c r="W66" i="2" a="1"/>
  <c r="AA28" i="2" a="1"/>
  <c r="AA30" i="2" a="1"/>
  <c r="C48" i="2" a="1"/>
  <c r="W46" i="2" a="1"/>
  <c r="W71" i="2" a="1"/>
  <c r="W70" i="2" a="1"/>
  <c r="H19" i="2" a="1"/>
  <c r="H60" i="2" a="1"/>
  <c r="H62" i="2" a="1"/>
  <c r="H26" i="2" a="1"/>
  <c r="S28" i="2" a="1"/>
  <c r="S34" i="2" a="1"/>
  <c r="O50" i="2" a="1"/>
  <c r="O68" i="2" a="1"/>
  <c r="O30" i="2" a="1"/>
  <c r="O28" i="2" a="1"/>
  <c r="G35" i="2" a="1"/>
  <c r="G30" i="2" a="1"/>
  <c r="G69" i="2" a="1"/>
  <c r="T7" i="2" a="1"/>
  <c r="T62" i="2" a="1"/>
  <c r="T25" i="2" a="1"/>
  <c r="T22" i="2" a="1"/>
  <c r="H39" i="2" a="1"/>
  <c r="L56" i="2" a="1"/>
  <c r="T32" i="2" a="1"/>
  <c r="X32" i="2" a="1"/>
  <c r="L31" i="2" a="1"/>
  <c r="AB39" i="2" a="1"/>
  <c r="P39" i="2" a="1"/>
  <c r="D38" i="2" a="1"/>
  <c r="D27" i="2" a="1"/>
  <c r="D15" i="2" a="1"/>
  <c r="D17" i="2" a="1"/>
  <c r="D30" i="2" a="1"/>
  <c r="D35" i="2" a="1"/>
  <c r="D34" i="2" a="1"/>
  <c r="P54" i="2" a="1"/>
  <c r="X68" i="2" a="1"/>
  <c r="AB49" i="2" a="1"/>
  <c r="T50" i="2" a="1"/>
  <c r="H53" i="2" a="1"/>
  <c r="P26" i="2" a="1"/>
  <c r="P7" i="2" a="1"/>
  <c r="P27" i="2" a="1"/>
  <c r="P11" i="2" a="1"/>
  <c r="X14" i="2" a="1"/>
  <c r="X60" i="2" a="1"/>
  <c r="X22" i="2" a="1"/>
  <c r="X13" i="2" a="1"/>
  <c r="AB17" i="2" a="1"/>
  <c r="AB25" i="2" a="1"/>
  <c r="AB11" i="2" a="1"/>
  <c r="AB62" i="2" a="1"/>
  <c r="L6" i="2" a="1"/>
  <c r="L22" i="2" a="1"/>
  <c r="AB71" i="2" a="1"/>
  <c r="D65" i="2" a="1"/>
  <c r="D18" i="2" a="1"/>
  <c r="L54" i="2" a="1"/>
  <c r="L44" i="2" a="1"/>
  <c r="D61" i="2" a="1"/>
  <c r="AB37" i="2" a="1"/>
  <c r="X50" i="2" a="1"/>
  <c r="AA69" i="2" a="1"/>
  <c r="AA36" i="2" a="1"/>
  <c r="AA40" i="2" a="1"/>
  <c r="C53" i="2" a="1"/>
  <c r="W34" i="2" a="1"/>
  <c r="W36" i="2" a="1"/>
  <c r="W69" i="2" a="1"/>
  <c r="H27" i="2" a="1"/>
  <c r="H24" i="2" a="1"/>
  <c r="H21" i="2" a="1"/>
  <c r="H7" i="2" a="1"/>
  <c r="S69" i="2" a="1"/>
  <c r="S8" i="2" a="1"/>
  <c r="O55" i="2" a="1"/>
  <c r="O40" i="2" a="1"/>
  <c r="O8" i="2" a="1"/>
  <c r="O70" i="2" a="1"/>
  <c r="G71" i="2" a="1"/>
  <c r="G28" i="2" a="1"/>
  <c r="G40" i="2" a="1"/>
  <c r="T60" i="2" a="1"/>
  <c r="T63" i="2" a="1"/>
  <c r="T11" i="2" a="1"/>
  <c r="H32" i="2" a="1"/>
  <c r="L51" i="2" a="1"/>
  <c r="L48" i="2" a="1"/>
  <c r="T42" i="2" a="1"/>
  <c r="X39" i="2" a="1"/>
  <c r="L38" i="2" a="1"/>
  <c r="AB32" i="2" a="1"/>
  <c r="P32" i="2" a="1"/>
  <c r="D31" i="2" a="1"/>
  <c r="D63" i="2" a="1"/>
  <c r="D23" i="2" a="1"/>
  <c r="D14" i="2" a="1"/>
  <c r="D28" i="2" a="1"/>
  <c r="D40" i="2" a="1"/>
  <c r="D8" i="2" a="1"/>
  <c r="P49" i="2" a="1"/>
  <c r="X56" i="2" a="1"/>
  <c r="X49" i="2" a="1"/>
  <c r="T68" i="2" a="1"/>
  <c r="H56" i="2" a="1"/>
  <c r="P9" i="2" a="1"/>
  <c r="P44" i="2" a="1"/>
  <c r="P23" i="2" a="1"/>
  <c r="P15" i="2" a="1"/>
  <c r="X17" i="2" a="1"/>
  <c r="X6" i="2" a="1"/>
  <c r="X26" i="2" a="1"/>
  <c r="P66" i="2" a="1"/>
  <c r="AB14" i="2" a="1"/>
  <c r="AB22" i="2" a="1"/>
  <c r="AB44" i="2" a="1"/>
  <c r="AB20" i="2" a="1"/>
  <c r="L62" i="2" a="1"/>
  <c r="L18" i="2" a="1"/>
  <c r="L25" i="2" a="1"/>
  <c r="AB8" i="2" a="1"/>
  <c r="AB34" i="2" a="1"/>
  <c r="D39" i="2" a="1"/>
  <c r="D16" i="2" a="1"/>
  <c r="T56" i="2" a="1"/>
  <c r="P22" i="2" a="1"/>
  <c r="AB23" i="2" a="1"/>
  <c r="AB16" i="2" a="1"/>
  <c r="P25" i="2" a="1"/>
  <c r="AB27" i="2" a="1"/>
  <c r="AB41" i="2" a="1"/>
  <c r="P14" i="2" a="1"/>
  <c r="AB9" i="2" a="1"/>
  <c r="AB70" i="2" a="1"/>
  <c r="X63" i="2" a="1"/>
  <c r="AB10" i="2" a="1"/>
  <c r="AB40" i="2" a="1"/>
  <c r="X12" i="2" a="1"/>
  <c r="AB15" i="2" a="1"/>
  <c r="AB28" i="2" a="1"/>
  <c r="X18" i="2" a="1"/>
  <c r="L20" i="2" a="1"/>
  <c r="AB29" i="2" a="1"/>
  <c r="AB35" i="2" a="1"/>
  <c r="L63" i="2" a="1"/>
  <c r="P64" i="2" a="1"/>
  <c r="AB30" i="2" a="1"/>
  <c r="P67" i="2" a="1"/>
  <c r="L23" i="2" a="1"/>
  <c r="D66" i="2" a="1"/>
  <c r="AB63" i="2" a="1"/>
  <c r="L9" i="2" a="1"/>
  <c r="D67" i="2" a="1"/>
  <c r="AB60" i="2" a="1"/>
  <c r="L21" i="2" a="1"/>
  <c r="X23" i="2" a="1"/>
  <c r="L15" i="2" a="1"/>
  <c r="X19" i="2" a="1"/>
  <c r="AB33" i="2" a="1"/>
  <c r="L7" i="2" a="1"/>
  <c r="T61" i="2" a="1"/>
  <c r="L67" i="2" a="1"/>
  <c r="H29" i="2" a="1"/>
  <c r="H69" i="2" a="1"/>
  <c r="H71" i="2" a="1"/>
  <c r="L8" i="2" a="1"/>
  <c r="L71" i="2" a="1"/>
  <c r="AB67" i="2" a="1"/>
  <c r="H64" i="2" a="1"/>
  <c r="X61" i="2" a="1"/>
  <c r="P50" i="2" a="1"/>
  <c r="P41" i="2" a="1"/>
  <c r="P40" i="2" a="1"/>
  <c r="P8" i="2" a="1"/>
  <c r="U20" i="2" a="1"/>
  <c r="U24" i="2" a="1"/>
  <c r="U7" i="2" a="1"/>
  <c r="Q32" i="2" a="1"/>
  <c r="D55" i="2" a="1"/>
  <c r="D51" i="2" a="1"/>
  <c r="AB53" i="2" a="1"/>
  <c r="T30" i="2" a="1"/>
  <c r="T34" i="2" a="1"/>
  <c r="M39" i="2" a="1"/>
  <c r="X30" i="2" a="1"/>
  <c r="X16" i="2" a="1"/>
  <c r="X35" i="2" a="1"/>
  <c r="U32" i="2" a="1"/>
  <c r="I12" i="2" a="1"/>
  <c r="I15" i="2" a="1"/>
  <c r="I27" i="2" a="1"/>
  <c r="I19" i="2" a="1"/>
  <c r="I42" i="2" a="1"/>
  <c r="U55" i="2" a="1"/>
  <c r="Y68" i="2" a="1"/>
  <c r="Y31" i="2" a="1"/>
  <c r="AC42" i="2" a="1"/>
  <c r="E37" i="2" a="1"/>
  <c r="E54" i="2" a="1"/>
  <c r="M48" i="2" a="1"/>
  <c r="I56" i="2" a="1"/>
  <c r="Y49" i="2" a="1"/>
  <c r="E22" i="2" a="1"/>
  <c r="E9" i="2" a="1"/>
  <c r="E12" i="2" a="1"/>
  <c r="M54" i="2" a="1"/>
  <c r="I70" i="2" a="1"/>
  <c r="I33" i="2" a="1"/>
  <c r="Y21" i="2" a="1"/>
  <c r="Y24" i="2" a="1"/>
  <c r="Y9" i="2" a="1"/>
  <c r="Y18" i="2" a="1"/>
  <c r="AB65" i="2" a="1"/>
  <c r="H65" i="2" a="1"/>
  <c r="P33" i="2" a="1"/>
  <c r="P28" i="2" a="1"/>
  <c r="U18" i="2" a="1"/>
  <c r="Q38" i="2" a="1"/>
  <c r="T70" i="2" a="1"/>
  <c r="X45" i="2" a="1"/>
  <c r="X41" i="2" a="1"/>
  <c r="I25" i="2" a="1"/>
  <c r="I44" i="2" a="1"/>
  <c r="Y53" i="2" a="1"/>
  <c r="E49" i="2" a="1"/>
  <c r="Y54" i="2" a="1"/>
  <c r="E25" i="2" a="1"/>
  <c r="I40" i="2" a="1"/>
  <c r="Y26" i="2" a="1"/>
  <c r="AC37" i="2" a="1"/>
  <c r="E23" i="2" a="1"/>
  <c r="E62" i="2" a="1"/>
  <c r="Y20" i="2" a="1"/>
  <c r="U25" i="2" a="1"/>
  <c r="T33" i="2" a="1"/>
  <c r="T8" i="2" a="1"/>
  <c r="X33" i="2" a="1"/>
  <c r="I22" i="2" a="1"/>
  <c r="Y56" i="2" a="1"/>
  <c r="E31" i="2" a="1"/>
  <c r="E10" i="2" a="1"/>
  <c r="E19" i="2" a="1"/>
  <c r="Y60" i="2" a="1"/>
  <c r="T36" i="2" a="1"/>
  <c r="I20" i="2" a="1"/>
  <c r="Y51" i="2" a="1"/>
  <c r="M53" i="2" a="1"/>
  <c r="E27" i="2" a="1"/>
  <c r="AB68" i="2" a="1"/>
  <c r="U51" i="2" a="1"/>
  <c r="I55" i="2" a="1"/>
  <c r="I16" i="2" a="1"/>
  <c r="E38" i="2" a="1"/>
  <c r="I8" i="2" a="1"/>
  <c r="U6" i="2" a="1"/>
  <c r="I7" i="2" a="1"/>
  <c r="I48" i="2" a="1"/>
  <c r="Y12" i="2" a="1"/>
  <c r="I18" i="2" a="1"/>
  <c r="T66" i="2" a="1"/>
  <c r="L65" i="2" a="1"/>
  <c r="H30" i="2" a="1"/>
  <c r="H41" i="2" a="1"/>
  <c r="H28" i="2" a="1"/>
  <c r="L29" i="2" a="1"/>
  <c r="X64" i="2" a="1"/>
  <c r="U62" i="2" a="1"/>
  <c r="T41" i="2" a="1"/>
  <c r="I62" i="2" a="1"/>
  <c r="E42" i="2" a="1"/>
  <c r="E18" i="2" a="1"/>
  <c r="Y17" i="2" a="1"/>
  <c r="E26" i="2" a="1"/>
  <c r="Y15" i="2" a="1"/>
  <c r="AB50" i="2" a="1"/>
  <c r="U38" i="2" a="1"/>
  <c r="M55" i="2" a="1"/>
  <c r="Y27" i="2" a="1"/>
  <c r="Q49" i="2" a="1"/>
  <c r="U10" i="2" a="1"/>
  <c r="T69" i="2" a="1"/>
  <c r="M31" i="2" a="1"/>
  <c r="X71" i="2" a="1"/>
  <c r="U31" i="2" a="1"/>
  <c r="I13" i="2" a="1"/>
  <c r="I9" i="2" a="1"/>
  <c r="I39" i="2" a="1"/>
  <c r="Y39" i="2" a="1"/>
  <c r="I68" i="2" a="1"/>
  <c r="I30" i="2" a="1"/>
  <c r="D48" i="2" a="1"/>
  <c r="I37" i="2" a="1"/>
  <c r="I36" i="2" a="1"/>
  <c r="U39" i="2" a="1"/>
  <c r="I53" i="2" a="1"/>
  <c r="T65" i="2" a="1"/>
  <c r="L66" i="2" a="1"/>
  <c r="H35" i="2" a="1"/>
  <c r="H33" i="2" a="1"/>
  <c r="L40" i="2" a="1"/>
  <c r="L33" i="2" a="1"/>
  <c r="L28" i="2" a="1"/>
  <c r="AB66" i="2" a="1"/>
  <c r="H61" i="2" a="1"/>
  <c r="X67" i="2" a="1"/>
  <c r="P55" i="2" a="1"/>
  <c r="P30" i="2" a="1"/>
  <c r="P69" i="2" a="1"/>
  <c r="U15" i="2" a="1"/>
  <c r="U17" i="2" a="1"/>
  <c r="U19" i="2" a="1"/>
  <c r="Q37" i="2" a="1"/>
  <c r="D53" i="2" a="1"/>
  <c r="AB51" i="2" a="1"/>
  <c r="T40" i="2" a="1"/>
  <c r="T35" i="2" a="1"/>
  <c r="X40" i="2" a="1"/>
  <c r="X29" i="2" a="1"/>
  <c r="I6" i="2" a="1"/>
  <c r="I23" i="2" a="1"/>
  <c r="U48" i="2" a="1"/>
  <c r="Y55" i="2" a="1"/>
  <c r="M68" i="2" a="1"/>
  <c r="Y14" i="2" a="1"/>
  <c r="Q31" i="2" a="1"/>
  <c r="U50" i="2" a="1"/>
  <c r="E11" i="2" a="1"/>
  <c r="X28" i="2" a="1"/>
  <c r="AC49" i="2" a="1"/>
  <c r="P46" i="2" a="1"/>
  <c r="I10" i="2" a="1"/>
  <c r="I28" i="2" a="1"/>
  <c r="I38" i="2" a="1"/>
  <c r="T67" i="2" a="1"/>
  <c r="L64" i="2" a="1"/>
  <c r="H46" i="2" a="1"/>
  <c r="H45" i="2" a="1"/>
  <c r="L41" i="2" a="1"/>
  <c r="L36" i="2" a="1"/>
  <c r="L46" i="2" a="1"/>
  <c r="AB64" i="2" a="1"/>
  <c r="H66" i="2" a="1"/>
  <c r="P53" i="2" a="1"/>
  <c r="P68" i="2" a="1"/>
  <c r="P35" i="2" a="1"/>
  <c r="U60" i="2" a="1"/>
  <c r="M38" i="2" a="1"/>
  <c r="Y42" i="2" a="1"/>
  <c r="Y63" i="2" a="1"/>
  <c r="U56" i="2" a="1"/>
  <c r="P29" i="2" a="1"/>
  <c r="U21" i="2" a="1"/>
  <c r="Q39" i="2" a="1"/>
  <c r="T45" i="2" a="1"/>
  <c r="X34" i="2" a="1"/>
  <c r="Y32" i="2" a="1"/>
  <c r="T64" i="2" a="1"/>
  <c r="H8" i="2" a="1"/>
  <c r="H34" i="2" a="1"/>
  <c r="H16" i="2" a="1"/>
  <c r="L70" i="2" a="1"/>
  <c r="L45" i="2" a="1"/>
  <c r="L34" i="2" a="1"/>
  <c r="AB61" i="2" a="1"/>
  <c r="X66" i="2" a="1"/>
  <c r="P51" i="2" a="1"/>
  <c r="P34" i="2" a="1"/>
  <c r="P70" i="2" a="1"/>
  <c r="U63" i="2" a="1"/>
  <c r="U14" i="2" a="1"/>
  <c r="U11" i="2" a="1"/>
  <c r="D50" i="2" a="1"/>
  <c r="AB56" i="2" a="1"/>
  <c r="M42" i="2" a="1"/>
  <c r="AC32" i="2" a="1"/>
  <c r="P56" i="2" a="1"/>
  <c r="U22" i="2" a="1"/>
  <c r="U27" i="2" a="1"/>
  <c r="D56" i="2" a="1"/>
  <c r="T28" i="2" a="1"/>
  <c r="T29" i="2" a="1"/>
  <c r="L61" i="2" a="1"/>
  <c r="H40" i="2" a="1"/>
  <c r="H36" i="2" a="1"/>
  <c r="H70" i="2" a="1"/>
  <c r="L30" i="2" a="1"/>
  <c r="L16" i="2" a="1"/>
  <c r="L35" i="2" a="1"/>
  <c r="H67" i="2" a="1"/>
  <c r="X65" i="2" a="1"/>
  <c r="P45" i="2" a="1"/>
  <c r="P36" i="2" a="1"/>
  <c r="P71" i="2" a="1"/>
  <c r="U44" i="2" a="1"/>
  <c r="U13" i="2" a="1"/>
  <c r="Q42" i="2" a="1"/>
  <c r="AB48" i="2" a="1"/>
  <c r="T46" i="2" a="1"/>
  <c r="M37" i="2" a="1"/>
  <c r="L69" i="2" a="1"/>
  <c r="P48" i="2" a="1"/>
  <c r="P16" i="2" a="1"/>
  <c r="U9" i="2" a="1"/>
  <c r="D68" i="2" a="1"/>
  <c r="AB55" i="2" a="1"/>
  <c r="M32" i="2" a="1"/>
  <c r="X8" i="2" a="1"/>
  <c r="U37" i="2" a="1"/>
  <c r="I26" i="2" a="1"/>
  <c r="I32" i="2" a="1"/>
  <c r="Y37" i="2" a="1"/>
  <c r="AC39" i="2" a="1"/>
  <c r="M51" i="2" a="1"/>
  <c r="E63" i="2" a="1"/>
  <c r="M49" i="2" a="1"/>
  <c r="Y19" i="2" a="1"/>
  <c r="Y23" i="2" a="1"/>
  <c r="M56" i="2" a="1"/>
  <c r="E15" i="2" a="1"/>
  <c r="I35" i="2" a="1"/>
  <c r="Y13" i="2" a="1"/>
  <c r="U23" i="2" a="1"/>
  <c r="T16" i="2" a="1"/>
  <c r="X46" i="2" a="1"/>
  <c r="X36" i="2" a="1"/>
  <c r="I63" i="2" a="1"/>
  <c r="AC38" i="2" a="1"/>
  <c r="I51" i="2" a="1"/>
  <c r="E24" i="2" a="1"/>
  <c r="I69" i="2" a="1"/>
  <c r="T71" i="2" a="1"/>
  <c r="I21" i="2" a="1"/>
  <c r="U53" i="2" a="1"/>
  <c r="E32" i="2" a="1"/>
  <c r="E60" i="2" a="1"/>
  <c r="X70" i="2" a="1"/>
  <c r="AC31" i="2" a="1"/>
  <c r="I29" i="2" a="1"/>
  <c r="X69" i="2" a="1"/>
  <c r="E39" i="2" a="1"/>
  <c r="I46" i="2" a="1"/>
  <c r="Q54" i="2" a="1"/>
  <c r="M50" i="2" a="1"/>
  <c r="I34" i="2" a="1"/>
  <c r="U42" i="2" a="1"/>
  <c r="I41" i="2" a="1"/>
  <c r="I24" i="2" a="1"/>
  <c r="AC54" i="2" a="1"/>
  <c r="I71" i="2" a="1"/>
  <c r="I17" i="2" a="1"/>
  <c r="Y10" i="2" a="1"/>
  <c r="E44" i="2" a="1"/>
  <c r="E17" i="2" a="1"/>
  <c r="E13" i="2" a="1"/>
  <c r="Y48" i="2" a="1"/>
  <c r="I50" i="2" a="1"/>
  <c r="I31" i="2" a="1"/>
  <c r="Y62" i="2" a="1"/>
  <c r="Y50" i="2" a="1"/>
  <c r="E6" i="2" a="1"/>
  <c r="Y7" i="2" a="1"/>
  <c r="Y38" i="2" a="1"/>
  <c r="I45" i="2" a="1"/>
  <c r="E7" i="2" a="1"/>
  <c r="I60" i="2" a="1"/>
  <c r="Y25" i="2" a="1"/>
  <c r="Y6" i="2" a="1"/>
  <c r="U68" i="2" a="1"/>
  <c r="Y22" i="2" a="1"/>
  <c r="E14" i="2" a="1"/>
  <c r="Y66" i="2" a="1"/>
  <c r="Q14" i="2" a="1"/>
  <c r="Q19" i="2" a="1"/>
  <c r="Q44" i="2" a="1"/>
  <c r="Q22" i="2" a="1"/>
  <c r="AC18" i="2" a="1"/>
  <c r="AC22" i="2" a="1"/>
  <c r="AC62" i="2" a="1"/>
  <c r="AC6" i="2" a="1"/>
  <c r="M18" i="2" a="1"/>
  <c r="M60" i="2" a="1"/>
  <c r="M6" i="2" a="1"/>
  <c r="Q68" i="2" a="1"/>
  <c r="Z36" i="2" a="1"/>
  <c r="Z71" i="2" a="1"/>
  <c r="Z41" i="2" a="1"/>
  <c r="U33" i="2" a="1"/>
  <c r="U41" i="2" a="1"/>
  <c r="U34" i="2" a="1"/>
  <c r="E69" i="2" a="1"/>
  <c r="E40" i="2" a="1"/>
  <c r="Y33" i="2" a="1"/>
  <c r="Y29" i="2" a="1"/>
  <c r="Y16" i="2" a="1"/>
  <c r="AC65" i="2" a="1"/>
  <c r="Q67" i="2" a="1"/>
  <c r="Q30" i="2" a="1"/>
  <c r="Q29" i="2" a="1"/>
  <c r="E53" i="2" a="1"/>
  <c r="E50" i="2" a="1"/>
  <c r="N68" i="2" a="1"/>
  <c r="M45" i="2" a="1"/>
  <c r="M28" i="2" a="1"/>
  <c r="M8" i="2" a="1"/>
  <c r="M67" i="2" a="1"/>
  <c r="AD31" i="2" a="1"/>
  <c r="AC69" i="2" a="1"/>
  <c r="AC40" i="2" a="1"/>
  <c r="AC8" i="2" a="1"/>
  <c r="U61" i="2" a="1"/>
  <c r="AC51" i="2" a="1"/>
  <c r="I65" i="2" a="1"/>
  <c r="J42" i="2" a="1"/>
  <c r="F39" i="2" a="1"/>
  <c r="R32" i="2" a="1"/>
  <c r="N37" i="2" a="1"/>
  <c r="V32" i="2" a="1"/>
  <c r="Z31" i="2" a="1"/>
  <c r="N30" i="2" a="1"/>
  <c r="N36" i="2" a="1"/>
  <c r="N33" i="2" a="1"/>
  <c r="Y28" i="2" a="1"/>
  <c r="Y46" i="2" a="1"/>
  <c r="Q41" i="2" a="1"/>
  <c r="E51" i="2" a="1"/>
  <c r="M30" i="2" a="1"/>
  <c r="M66" i="2" a="1"/>
  <c r="AC33" i="2" a="1"/>
  <c r="AC56" i="2" a="1"/>
  <c r="R49" i="2" a="1"/>
  <c r="V31" i="2" a="1"/>
  <c r="V39" i="2" a="1"/>
  <c r="M62" i="2" a="1"/>
  <c r="U30" i="2" a="1"/>
  <c r="Y30" i="2" a="1"/>
  <c r="M71" i="2" a="1"/>
  <c r="E36" i="2" a="1"/>
  <c r="Q65" i="2" a="1"/>
  <c r="N55" i="2" a="1"/>
  <c r="M69" i="2" a="1"/>
  <c r="AD32" i="2" a="1"/>
  <c r="AC29" i="2" a="1"/>
  <c r="J38" i="2" a="1"/>
  <c r="R42" i="2" a="1"/>
  <c r="Z42" i="2" a="1"/>
  <c r="N42" i="2" a="1"/>
  <c r="M9" i="2" a="1"/>
  <c r="Z70" i="2" a="1"/>
  <c r="Y70" i="2" a="1"/>
  <c r="N50" i="2" a="1"/>
  <c r="Y64" i="2" a="1"/>
  <c r="Q25" i="2" a="1"/>
  <c r="Q26" i="2" a="1"/>
  <c r="Q15" i="2" a="1"/>
  <c r="Q23" i="2" a="1"/>
  <c r="AC27" i="2" a="1"/>
  <c r="AC11" i="2" a="1"/>
  <c r="AC63" i="2" a="1"/>
  <c r="M63" i="2" a="1"/>
  <c r="M21" i="2" a="1"/>
  <c r="M17" i="2" a="1"/>
  <c r="M13" i="2" a="1"/>
  <c r="Q51" i="2" a="1"/>
  <c r="Z40" i="2" a="1"/>
  <c r="Z16" i="2" a="1"/>
  <c r="Z29" i="2" a="1"/>
  <c r="U69" i="2" a="1"/>
  <c r="U36" i="2" a="1"/>
  <c r="U16" i="2" a="1"/>
  <c r="E29" i="2" a="1"/>
  <c r="Y40" i="2" a="1"/>
  <c r="AC66" i="2" a="1"/>
  <c r="Q33" i="2" a="1"/>
  <c r="N51" i="2" a="1"/>
  <c r="E67" i="2" a="1"/>
  <c r="AC46" i="2" a="1"/>
  <c r="AC48" i="2" a="1"/>
  <c r="F31" i="2" a="1"/>
  <c r="N39" i="2" a="1"/>
  <c r="N71" i="2" a="1"/>
  <c r="R39" i="2" a="1"/>
  <c r="M24" i="2" a="1"/>
  <c r="Z33" i="2" a="1"/>
  <c r="Y8" i="2" a="1"/>
  <c r="E68" i="2" a="1"/>
  <c r="E35" i="2" a="1"/>
  <c r="Q28" i="2" a="1"/>
  <c r="Q8" i="2" a="1"/>
  <c r="N48" i="2" a="1"/>
  <c r="M70" i="2" a="1"/>
  <c r="E61" i="2" a="1"/>
  <c r="AD37" i="2" a="1"/>
  <c r="AC28" i="2" a="1"/>
  <c r="AC53" i="2" a="1"/>
  <c r="J37" i="2" a="1"/>
  <c r="Z39" i="2" a="1"/>
  <c r="AC13" i="2" a="1"/>
  <c r="E41" i="2" a="1"/>
  <c r="Q69" i="2" a="1"/>
  <c r="Y65" i="2" a="1"/>
  <c r="Q63" i="2" a="1"/>
  <c r="Q7" i="2" a="1"/>
  <c r="Q9" i="2" a="1"/>
  <c r="Q18" i="2" a="1"/>
  <c r="AC12" i="2" a="1"/>
  <c r="AC17" i="2" a="1"/>
  <c r="AC60" i="2" a="1"/>
  <c r="M11" i="2" a="1"/>
  <c r="M27" i="2" a="1"/>
  <c r="M26" i="2" a="1"/>
  <c r="M20" i="2" a="1"/>
  <c r="Q50" i="2" a="1"/>
  <c r="Z8" i="2" a="1"/>
  <c r="Z30" i="2" a="1"/>
  <c r="Z28" i="2" a="1"/>
  <c r="U70" i="2" a="1"/>
  <c r="U8" i="2" a="1"/>
  <c r="E28" i="2" a="1"/>
  <c r="E33" i="2" a="1"/>
  <c r="Y69" i="2" a="1"/>
  <c r="Y36" i="2" a="1"/>
  <c r="Y34" i="2" a="1"/>
  <c r="AC61" i="2" a="1"/>
  <c r="Q71" i="2" a="1"/>
  <c r="E55" i="2" a="1"/>
  <c r="M16" i="2" a="1"/>
  <c r="M29" i="2" a="1"/>
  <c r="M64" i="2" a="1"/>
  <c r="AC34" i="2" a="1"/>
  <c r="U67" i="2" a="1"/>
  <c r="I64" i="2" a="1"/>
  <c r="F32" i="2" a="1"/>
  <c r="N70" i="2" a="1"/>
  <c r="AC21" i="2" a="1"/>
  <c r="E71" i="2" a="1"/>
  <c r="Q70" i="2" a="1"/>
  <c r="Y61" i="2" a="1"/>
  <c r="Q62" i="2" a="1"/>
  <c r="Q27" i="2" a="1"/>
  <c r="Q24" i="2" a="1"/>
  <c r="AC10" i="2" a="1"/>
  <c r="AC20" i="2" a="1"/>
  <c r="Z69" i="2" a="1"/>
  <c r="M23" i="2" a="1"/>
  <c r="U40" i="2" a="1"/>
  <c r="U71" i="2" a="1"/>
  <c r="E34" i="2" a="1"/>
  <c r="E16" i="2" a="1"/>
  <c r="Y71" i="2" a="1"/>
  <c r="AC67" i="2" a="1"/>
  <c r="Q40" i="2" a="1"/>
  <c r="Y67" i="2" a="1"/>
  <c r="Q60" i="2" a="1"/>
  <c r="Q13" i="2" a="1"/>
  <c r="Q20" i="2" a="1"/>
  <c r="AC7" i="2" a="1"/>
  <c r="AC23" i="2" a="1"/>
  <c r="AC9" i="2" a="1"/>
  <c r="AC15" i="2" a="1"/>
  <c r="M10" i="2" a="1"/>
  <c r="M25" i="2" a="1"/>
  <c r="M15" i="2" a="1"/>
  <c r="Q53" i="2" a="1"/>
  <c r="Z46" i="2" a="1"/>
  <c r="Z35" i="2" a="1"/>
  <c r="U45" i="2" a="1"/>
  <c r="E8" i="2" a="1"/>
  <c r="Y45" i="2" a="1"/>
  <c r="Q61" i="2" a="1"/>
  <c r="Q35" i="2" a="1"/>
  <c r="N35" i="2" a="1"/>
  <c r="N46" i="2" a="1"/>
  <c r="Q48" i="2" a="1"/>
  <c r="E46" i="2" a="1"/>
  <c r="Q16" i="2" a="1"/>
  <c r="Q12" i="2" a="1"/>
  <c r="Q10" i="2" a="1"/>
  <c r="Q17" i="2" a="1"/>
  <c r="Q11" i="2" a="1"/>
  <c r="AC19" i="2" a="1"/>
  <c r="AC44" i="2" a="1"/>
  <c r="AC26" i="2" a="1"/>
  <c r="AC25" i="2" a="1"/>
  <c r="M19" i="2" a="1"/>
  <c r="M22" i="2" a="1"/>
  <c r="M12" i="2" a="1"/>
  <c r="Q56" i="2" a="1"/>
  <c r="Q55" i="2" a="1"/>
  <c r="Z34" i="2" a="1"/>
  <c r="Z45" i="2" a="1"/>
  <c r="U28" i="2" a="1"/>
  <c r="U29" i="2" a="1"/>
  <c r="U46" i="2" a="1"/>
  <c r="E45" i="2" a="1"/>
  <c r="E30" i="2" a="1"/>
  <c r="E70" i="2" a="1"/>
  <c r="Y41" i="2" a="1"/>
  <c r="Y35" i="2" a="1"/>
  <c r="AC64" i="2" a="1"/>
  <c r="Q66" i="2" a="1"/>
  <c r="Q36" i="2" a="1"/>
  <c r="Q45" i="2" a="1"/>
  <c r="Q34" i="2" a="1"/>
  <c r="E56" i="2" a="1"/>
  <c r="N56" i="2" a="1"/>
  <c r="M33" i="2" a="1"/>
  <c r="M36" i="2" a="1"/>
  <c r="E66" i="2" a="1"/>
  <c r="M61" i="2" a="1"/>
  <c r="AD38" i="2" a="1"/>
  <c r="AC30" i="2" a="1"/>
  <c r="AC71" i="2" a="1"/>
  <c r="AC70" i="2" a="1"/>
  <c r="U64" i="2" a="1"/>
  <c r="AC68" i="2" a="1"/>
  <c r="I67" i="2" a="1"/>
  <c r="J31" i="2" a="1"/>
  <c r="F38" i="2" a="1"/>
  <c r="R31" i="2" a="1"/>
  <c r="N32" i="2" a="1"/>
  <c r="V42" i="2" a="1"/>
  <c r="Z38" i="2" a="1"/>
  <c r="N8" i="2" a="1"/>
  <c r="N16" i="2" a="1"/>
  <c r="N69" i="2" a="1"/>
  <c r="R54" i="2" a="1"/>
  <c r="M14" i="2" a="1"/>
  <c r="U35" i="2" a="1"/>
  <c r="Q64" i="2" a="1"/>
  <c r="Q46" i="2" a="1"/>
  <c r="AD39" i="2" a="1"/>
  <c r="J32" i="2" a="1"/>
  <c r="N40" i="2" a="1"/>
  <c r="E48" i="2" a="1"/>
  <c r="AC41" i="2" a="1"/>
  <c r="J39" i="2" a="1"/>
  <c r="N28" i="2" a="1"/>
  <c r="N53" i="2" a="1"/>
  <c r="AC35" i="2" a="1"/>
  <c r="F42" i="2" a="1"/>
  <c r="N34" i="2" a="1"/>
  <c r="M40" i="2" a="1"/>
  <c r="AC16" i="2" a="1"/>
  <c r="F37" i="2" a="1"/>
  <c r="N45" i="2" a="1"/>
  <c r="M41" i="2" a="1"/>
  <c r="M46" i="2" a="1"/>
  <c r="R38" i="2" a="1"/>
  <c r="N38" i="2" a="1"/>
  <c r="M35" i="2" a="1"/>
  <c r="AC50" i="2" a="1"/>
  <c r="E65" i="2" a="1"/>
  <c r="AC55" i="2" a="1"/>
  <c r="V38" i="2" a="1"/>
  <c r="R37" i="2" a="1"/>
  <c r="AC36" i="2" a="1"/>
  <c r="U66" i="2" a="1"/>
  <c r="N31" i="2" a="1"/>
  <c r="V37" i="2" a="1"/>
  <c r="M65" i="2" a="1"/>
  <c r="I61" i="2" a="1"/>
  <c r="Z32" i="2" a="1"/>
  <c r="AD42" i="2" a="1"/>
  <c r="I66" i="2" a="1"/>
  <c r="Z37" i="2" a="1"/>
  <c r="AC45" i="2" a="1"/>
  <c r="N41" i="2" a="1"/>
  <c r="N29" i="2" a="1"/>
  <c r="M34" i="2" a="1"/>
  <c r="U65" i="2" a="1"/>
  <c r="E64" i="2" a="1"/>
  <c r="R46" i="2" a="1"/>
  <c r="R71" i="2" a="1"/>
  <c r="R45" i="2" a="1"/>
  <c r="V44" i="2" a="1"/>
  <c r="V19" i="2" a="1"/>
  <c r="V24" i="2" a="1"/>
  <c r="V23" i="2" a="1"/>
  <c r="F23" i="2" a="1"/>
  <c r="F26" i="2" a="1"/>
  <c r="F6" i="2" a="1"/>
  <c r="F33" i="2" a="1"/>
  <c r="F40" i="2" a="1"/>
  <c r="F29" i="2" a="1"/>
  <c r="V46" i="2" a="1"/>
  <c r="V36" i="2" a="1"/>
  <c r="V41" i="2" a="1"/>
  <c r="J56" i="2" a="1"/>
  <c r="Z63" i="2" a="1"/>
  <c r="Z15" i="2" a="1"/>
  <c r="Z7" i="2" a="1"/>
  <c r="Z12" i="2" a="1"/>
  <c r="N18" i="2" a="1"/>
  <c r="N19" i="2" a="1"/>
  <c r="AD16" i="2" a="1"/>
  <c r="N23" i="2" a="1"/>
  <c r="AD70" i="2" a="1"/>
  <c r="N13" i="2" a="1"/>
  <c r="J7" i="2" a="1"/>
  <c r="J23" i="2" a="1"/>
  <c r="J17" i="2" a="1"/>
  <c r="J60" i="2" a="1"/>
  <c r="AD26" i="2" a="1"/>
  <c r="AD13" i="2" a="1"/>
  <c r="AD23" i="2" a="1"/>
  <c r="AD10" i="2" a="1"/>
  <c r="J35" i="2" a="1"/>
  <c r="J30" i="2" a="1"/>
  <c r="R23" i="2" a="1"/>
  <c r="R19" i="2" a="1"/>
  <c r="R9" i="2" a="1"/>
  <c r="R24" i="2" a="1"/>
  <c r="F50" i="2" a="1"/>
  <c r="R50" i="2" a="1"/>
  <c r="J61" i="2" a="1"/>
  <c r="AD66" i="2" a="1"/>
  <c r="R64" i="2" a="1"/>
  <c r="V65" i="2" a="1"/>
  <c r="N54" i="2" a="1"/>
  <c r="F24" i="2" a="1"/>
  <c r="F69" i="2" a="1"/>
  <c r="J48" i="2" a="1"/>
  <c r="Z6" i="2" a="1"/>
  <c r="N62" i="2" a="1"/>
  <c r="N14" i="2" a="1"/>
  <c r="AD22" i="2" a="1"/>
  <c r="R10" i="2" a="1"/>
  <c r="R56" i="2" a="1"/>
  <c r="Z19" i="2" a="1"/>
  <c r="J22" i="2" a="1"/>
  <c r="AD12" i="2" a="1"/>
  <c r="F48" i="2" a="1"/>
  <c r="N65" i="2" a="1"/>
  <c r="V27" i="2" a="1"/>
  <c r="F45" i="2" a="1"/>
  <c r="J51" i="2" a="1"/>
  <c r="N17" i="2" a="1"/>
  <c r="N20" i="2" a="1"/>
  <c r="AD9" i="2" a="1"/>
  <c r="J71" i="2" a="1"/>
  <c r="R27" i="2" a="1"/>
  <c r="V64" i="2" a="1"/>
  <c r="N12" i="2" a="1"/>
  <c r="AD44" i="2" a="1"/>
  <c r="R21" i="2" a="1"/>
  <c r="R66" i="2" a="1"/>
  <c r="R34" i="2" a="1"/>
  <c r="R41" i="2" a="1"/>
  <c r="R29" i="2" a="1"/>
  <c r="V7" i="2" a="1"/>
  <c r="V17" i="2" a="1"/>
  <c r="V18" i="2" a="1"/>
  <c r="V60" i="2" a="1"/>
  <c r="F25" i="2" a="1"/>
  <c r="F27" i="2" a="1"/>
  <c r="F10" i="2" a="1"/>
  <c r="F8" i="2" a="1"/>
  <c r="F36" i="2" a="1"/>
  <c r="F35" i="2" a="1"/>
  <c r="V34" i="2" a="1"/>
  <c r="V33" i="2" a="1"/>
  <c r="V45" i="2" a="1"/>
  <c r="J55" i="2" a="1"/>
  <c r="Z22" i="2" a="1"/>
  <c r="Z18" i="2" a="1"/>
  <c r="Z60" i="2" a="1"/>
  <c r="N44" i="2" a="1"/>
  <c r="N27" i="2" a="1"/>
  <c r="AD41" i="2" a="1"/>
  <c r="N24" i="2" a="1"/>
  <c r="AD46" i="2" a="1"/>
  <c r="AD36" i="2" a="1"/>
  <c r="N25" i="2" a="1"/>
  <c r="J20" i="2" a="1"/>
  <c r="J21" i="2" a="1"/>
  <c r="J44" i="2" a="1"/>
  <c r="AD11" i="2" a="1"/>
  <c r="AD63" i="2" a="1"/>
  <c r="AD19" i="2" a="1"/>
  <c r="AD20" i="2" a="1"/>
  <c r="J8" i="2" a="1"/>
  <c r="J36" i="2" a="1"/>
  <c r="J46" i="2" a="1"/>
  <c r="R14" i="2" a="1"/>
  <c r="R22" i="2" a="1"/>
  <c r="R44" i="2" a="1"/>
  <c r="R62" i="2" a="1"/>
  <c r="F51" i="2" a="1"/>
  <c r="R48" i="2" a="1"/>
  <c r="J65" i="2" a="1"/>
  <c r="AD64" i="2" a="1"/>
  <c r="R65" i="2" a="1"/>
  <c r="N67" i="2" a="1"/>
  <c r="N49" i="2" a="1"/>
  <c r="V62" i="2" a="1"/>
  <c r="F15" i="2" a="1"/>
  <c r="V70" i="2" a="1"/>
  <c r="Z11" i="2" a="1"/>
  <c r="N60" i="2" a="1"/>
  <c r="J15" i="2" a="1"/>
  <c r="AD14" i="2" a="1"/>
  <c r="J34" i="2" a="1"/>
  <c r="F68" i="2" a="1"/>
  <c r="N66" i="2" a="1"/>
  <c r="AD69" i="2" a="1"/>
  <c r="AD60" i="2" a="1"/>
  <c r="R7" i="2" a="1"/>
  <c r="V67" i="2" a="1"/>
  <c r="F71" i="2" a="1"/>
  <c r="N26" i="2" a="1"/>
  <c r="J27" i="2" a="1"/>
  <c r="AD24" i="2" a="1"/>
  <c r="R25" i="2" a="1"/>
  <c r="J66" i="2" a="1"/>
  <c r="AD8" i="2" a="1"/>
  <c r="AD18" i="2" a="1"/>
  <c r="R11" i="2" a="1"/>
  <c r="R36" i="2" a="1"/>
  <c r="R35" i="2" a="1"/>
  <c r="R70" i="2" a="1"/>
  <c r="V11" i="2" a="1"/>
  <c r="F63" i="2" a="1"/>
  <c r="F13" i="2" a="1"/>
  <c r="V69" i="2" a="1"/>
  <c r="Z20" i="2" a="1"/>
  <c r="AD34" i="2" a="1"/>
  <c r="J18" i="2" a="1"/>
  <c r="J41" i="2" a="1"/>
  <c r="R20" i="2" a="1"/>
  <c r="AD65" i="2" a="1"/>
  <c r="AD71" i="2" a="1"/>
  <c r="J24" i="2" a="1"/>
  <c r="J40" i="2" a="1"/>
  <c r="F56" i="2" a="1"/>
  <c r="F22" i="2" a="1"/>
  <c r="V16" i="2" a="1"/>
  <c r="J53" i="2" a="1"/>
  <c r="Z27" i="2" a="1"/>
  <c r="Z14" i="2" a="1"/>
  <c r="AD35" i="2" a="1"/>
  <c r="J13" i="2" a="1"/>
  <c r="J70" i="2" a="1"/>
  <c r="R68" i="2" a="1"/>
  <c r="R69" i="2" a="1"/>
  <c r="R8" i="2" a="1"/>
  <c r="R33" i="2" a="1"/>
  <c r="V9" i="2" a="1"/>
  <c r="V15" i="2" a="1"/>
  <c r="V10" i="2" a="1"/>
  <c r="F21" i="2" a="1"/>
  <c r="F12" i="2" a="1"/>
  <c r="F19" i="2" a="1"/>
  <c r="F46" i="2" a="1"/>
  <c r="F28" i="2" a="1"/>
  <c r="F16" i="2" a="1"/>
  <c r="V29" i="2" a="1"/>
  <c r="Z13" i="2" a="1"/>
  <c r="N63" i="2" a="1"/>
  <c r="J26" i="2" a="1"/>
  <c r="J28" i="2" a="1"/>
  <c r="J67" i="2" a="1"/>
  <c r="J25" i="2" a="1"/>
  <c r="J33" i="2" a="1"/>
  <c r="R18" i="2" a="1"/>
  <c r="R63" i="2" a="1"/>
  <c r="R53" i="2" a="1"/>
  <c r="R67" i="2" a="1"/>
  <c r="N64" i="2" a="1"/>
  <c r="AD62" i="2" a="1"/>
  <c r="R17" i="2" a="1"/>
  <c r="R61" i="2" a="1"/>
  <c r="R16" i="2" a="1"/>
  <c r="R40" i="2" a="1"/>
  <c r="V20" i="2" a="1"/>
  <c r="V6" i="2" a="1"/>
  <c r="V21" i="2" a="1"/>
  <c r="V14" i="2" a="1"/>
  <c r="F11" i="2" a="1"/>
  <c r="F14" i="2" a="1"/>
  <c r="F62" i="2" a="1"/>
  <c r="F44" i="2" a="1"/>
  <c r="F34" i="2" a="1"/>
  <c r="F41" i="2" a="1"/>
  <c r="V35" i="2" a="1"/>
  <c r="V28" i="2" a="1"/>
  <c r="V71" i="2" a="1"/>
  <c r="J50" i="2" a="1"/>
  <c r="Z23" i="2" a="1"/>
  <c r="Z62" i="2" a="1"/>
  <c r="Z26" i="2" a="1"/>
  <c r="Z9" i="2" a="1"/>
  <c r="N9" i="2" a="1"/>
  <c r="AD29" i="2" a="1"/>
  <c r="N22" i="2" a="1"/>
  <c r="AD28" i="2" a="1"/>
  <c r="N6" i="2" a="1"/>
  <c r="N11" i="2" a="1"/>
  <c r="J10" i="2" a="1"/>
  <c r="J14" i="2" a="1"/>
  <c r="J19" i="2" a="1"/>
  <c r="AD6" i="2" a="1"/>
  <c r="AD25" i="2" a="1"/>
  <c r="AD21" i="2" a="1"/>
  <c r="F49" i="2" a="1"/>
  <c r="J45" i="2" a="1"/>
  <c r="J16" i="2" a="1"/>
  <c r="R60" i="2" a="1"/>
  <c r="F55" i="2" a="1"/>
  <c r="R51" i="2" a="1"/>
  <c r="AD67" i="2" a="1"/>
  <c r="V61" i="2" a="1"/>
  <c r="AD15" i="2" a="1"/>
  <c r="R15" i="2" a="1"/>
  <c r="R55" i="2" a="1"/>
  <c r="V66" i="2" a="1"/>
  <c r="F60" i="2" a="1"/>
  <c r="V8" i="2" a="1"/>
  <c r="V30" i="2" a="1"/>
  <c r="Z21" i="2" a="1"/>
  <c r="Z25" i="2" a="1"/>
  <c r="Z17" i="2" a="1"/>
  <c r="N21" i="2" a="1"/>
  <c r="AD45" i="2" a="1"/>
  <c r="AD30" i="2" a="1"/>
  <c r="J11" i="2" a="1"/>
  <c r="J63" i="2" a="1"/>
  <c r="F54" i="2" a="1"/>
  <c r="R26" i="2" a="1"/>
  <c r="F53" i="2" a="1"/>
  <c r="AD61" i="2" a="1"/>
  <c r="N61" i="2" a="1"/>
  <c r="R28" i="2" a="1"/>
  <c r="R30" i="2" a="1"/>
  <c r="V22" i="2" a="1"/>
  <c r="V63" i="2" a="1"/>
  <c r="V13" i="2" a="1"/>
  <c r="V25" i="2" a="1"/>
  <c r="F20" i="2" a="1"/>
  <c r="F9" i="2" a="1"/>
  <c r="F7" i="2" a="1"/>
  <c r="F70" i="2" a="1"/>
  <c r="F30" i="2" a="1"/>
  <c r="V40" i="2" a="1"/>
  <c r="J68" i="2" a="1"/>
  <c r="Z24" i="2" a="1"/>
  <c r="N15" i="2" a="1"/>
  <c r="AD40" i="2" a="1"/>
  <c r="AD33" i="2" a="1"/>
  <c r="J6" i="2" a="1"/>
  <c r="J9" i="2" a="1"/>
  <c r="AD7" i="2" a="1"/>
  <c r="J29" i="2" a="1"/>
  <c r="J69" i="2" a="1"/>
  <c r="R13" i="2" a="1"/>
  <c r="J64" i="2" a="1"/>
  <c r="Z49" i="2" a="1"/>
  <c r="AD50" i="2" a="1"/>
  <c r="F67" i="2" a="1"/>
  <c r="Z50" i="2" a="1"/>
  <c r="V68" i="2" a="1"/>
  <c r="Z61" i="2" a="1"/>
  <c r="AD55" i="2" a="1"/>
  <c r="F61" i="2" a="1"/>
  <c r="V50" i="2" a="1"/>
  <c r="AD48" i="2" a="1"/>
  <c r="Z68" i="2" a="1"/>
  <c r="V51" i="2" a="1"/>
  <c r="AD51" i="2" a="1"/>
  <c r="AD54" i="2" a="1"/>
  <c r="Z67" i="2" a="1"/>
  <c r="F64" i="2" a="1"/>
  <c r="Z51" i="2" a="1"/>
  <c r="V56" i="2" a="1"/>
  <c r="F66" i="2" a="1"/>
  <c r="Z53" i="2" a="1"/>
  <c r="V53" i="2" a="1"/>
  <c r="Z54" i="2" a="1"/>
  <c r="Z56" i="2" a="1"/>
  <c r="Z66" i="2" a="1"/>
  <c r="AD68" i="2" a="1"/>
  <c r="Z48" i="2" a="1"/>
  <c r="Z65" i="2" a="1"/>
  <c r="F65" i="2" a="1"/>
  <c r="Z55" i="2" a="1"/>
  <c r="V55" i="2" a="1"/>
  <c r="AD53" i="2" a="1"/>
  <c r="AD49" i="2" a="1"/>
  <c r="Z64" i="2" a="1"/>
  <c r="AD56" i="2" a="1"/>
  <c r="V48" i="2" a="1"/>
  <c r="R12" i="2" l="1"/>
  <c r="R6" i="2"/>
  <c r="K68" i="2"/>
  <c r="N10" i="2"/>
  <c r="AC14" i="2"/>
  <c r="F17" i="2"/>
  <c r="S27" i="2"/>
  <c r="N7" i="2"/>
  <c r="AC24" i="2"/>
  <c r="S9" i="2"/>
  <c r="S11" i="2"/>
  <c r="S25" i="2"/>
  <c r="V26" i="2"/>
  <c r="S49" i="2"/>
  <c r="D7" i="2"/>
  <c r="I14" i="2"/>
  <c r="S60" i="2"/>
  <c r="S63" i="2"/>
  <c r="H54" i="2"/>
  <c r="V12" i="2"/>
  <c r="X7" i="2"/>
  <c r="AD27" i="2"/>
  <c r="C7" i="2"/>
  <c r="O7" i="2"/>
  <c r="S24" i="2"/>
  <c r="S23" i="2"/>
  <c r="H49" i="2"/>
  <c r="T6" i="2"/>
  <c r="J12" i="2"/>
  <c r="U26" i="2"/>
  <c r="E21" i="2"/>
  <c r="Y44" i="2"/>
  <c r="K53" i="2"/>
  <c r="S19" i="2"/>
  <c r="K48" i="2"/>
  <c r="S62" i="2"/>
  <c r="S10" i="2"/>
  <c r="S20" i="2"/>
  <c r="Z10" i="2"/>
  <c r="S12" i="2"/>
  <c r="P10" i="2"/>
  <c r="AB7" i="2"/>
  <c r="M44" i="2"/>
  <c r="S6" i="2"/>
  <c r="S14" i="2"/>
  <c r="P13" i="2"/>
  <c r="AB6" i="2"/>
  <c r="M7" i="2"/>
  <c r="F18" i="2"/>
  <c r="S15" i="2"/>
  <c r="Z44" i="2"/>
  <c r="K50" i="2"/>
  <c r="X11" i="2"/>
  <c r="AD17" i="2"/>
  <c r="C10" i="2"/>
  <c r="O10" i="2"/>
  <c r="S26" i="2"/>
  <c r="S17" i="2"/>
  <c r="K56" i="2"/>
  <c r="S54" i="2"/>
  <c r="D10" i="2"/>
  <c r="I11" i="2"/>
  <c r="S21" i="2"/>
  <c r="S44" i="2"/>
  <c r="K55" i="2"/>
  <c r="L11" i="2"/>
  <c r="H12" i="2"/>
  <c r="Q21" i="2"/>
  <c r="AA7" i="2"/>
  <c r="S7" i="2"/>
  <c r="S13" i="2"/>
  <c r="S22" i="2"/>
  <c r="S18" i="2"/>
  <c r="Y11" i="2"/>
  <c r="K51" i="2"/>
  <c r="T9" i="2"/>
  <c r="L26" i="2"/>
  <c r="J62" i="2"/>
  <c r="H11" i="2"/>
  <c r="U12" i="2"/>
  <c r="Q6" i="2"/>
  <c r="AA10" i="2"/>
  <c r="E20" i="2"/>
  <c r="C61" i="2"/>
  <c r="O62" i="2"/>
  <c r="K17" i="2"/>
  <c r="G51" i="2"/>
  <c r="C67" i="2"/>
  <c r="W49" i="2"/>
  <c r="AA26" i="2"/>
  <c r="O61" i="2"/>
  <c r="C19" i="2"/>
  <c r="G7" i="2"/>
  <c r="K66" i="2"/>
  <c r="O17" i="2"/>
  <c r="AA15" i="2"/>
  <c r="G65" i="2"/>
  <c r="K41" i="2"/>
  <c r="C35" i="2"/>
  <c r="O63" i="2"/>
  <c r="AA22" i="2"/>
  <c r="K13" i="2"/>
  <c r="AA49" i="2"/>
  <c r="W12" i="2"/>
  <c r="C62" i="2"/>
  <c r="W54" i="2"/>
  <c r="AA13" i="2"/>
  <c r="K37" i="2"/>
  <c r="W38" i="2"/>
  <c r="S37" i="2"/>
  <c r="J49" i="2"/>
  <c r="G39" i="2"/>
  <c r="C39" i="2"/>
  <c r="O32" i="2"/>
  <c r="I49" i="2"/>
  <c r="T54" i="2"/>
  <c r="C46" i="2"/>
  <c r="W20" i="2"/>
  <c r="K28" i="2"/>
  <c r="AA12" i="2"/>
  <c r="AA37" i="2"/>
  <c r="O60" i="2"/>
  <c r="W17" i="2"/>
  <c r="AA42" i="2"/>
  <c r="G15" i="2"/>
  <c r="T49" i="2"/>
  <c r="S56" i="2"/>
  <c r="K20" i="2"/>
  <c r="G14" i="2"/>
  <c r="K71" i="2"/>
  <c r="C33" i="2"/>
  <c r="W44" i="2"/>
  <c r="G10" i="2"/>
  <c r="K36" i="2"/>
  <c r="O22" i="2"/>
  <c r="K21" i="2"/>
  <c r="G56" i="2"/>
  <c r="G31" i="2"/>
  <c r="C30" i="2"/>
  <c r="AA19" i="2"/>
  <c r="K63" i="2"/>
  <c r="W22" i="2"/>
  <c r="C13" i="2"/>
  <c r="AA32" i="2"/>
  <c r="G23" i="2"/>
  <c r="G37" i="2"/>
  <c r="O42" i="2"/>
  <c r="W6" i="2"/>
  <c r="K12" i="2"/>
  <c r="C45" i="2"/>
  <c r="O65" i="2"/>
  <c r="G24" i="2"/>
  <c r="K64" i="2"/>
  <c r="O15" i="2"/>
  <c r="K23" i="2"/>
  <c r="K31" i="2"/>
  <c r="C32" i="2"/>
  <c r="K40" i="2"/>
  <c r="O14" i="2"/>
  <c r="K62" i="2"/>
  <c r="W60" i="2"/>
  <c r="G13" i="2"/>
  <c r="K30" i="2"/>
  <c r="AA55" i="2"/>
  <c r="W14" i="2"/>
  <c r="C21" i="2"/>
  <c r="C29" i="2"/>
  <c r="AA21" i="2"/>
  <c r="W11" i="2"/>
  <c r="G17" i="2"/>
  <c r="J54" i="2"/>
  <c r="S51" i="2"/>
  <c r="O11" i="2"/>
  <c r="K6" i="2"/>
  <c r="W21" i="2"/>
  <c r="K39" i="2"/>
  <c r="C15" i="2"/>
  <c r="C9" i="2"/>
  <c r="G12" i="2"/>
  <c r="S31" i="2"/>
  <c r="C38" i="2"/>
  <c r="AA67" i="2"/>
  <c r="G66" i="2"/>
  <c r="C64" i="2"/>
  <c r="K61" i="2"/>
  <c r="K35" i="2"/>
  <c r="K45" i="2"/>
  <c r="S53" i="2"/>
  <c r="C70" i="2"/>
  <c r="C8" i="2"/>
  <c r="C28" i="2"/>
  <c r="S64" i="2"/>
  <c r="O44" i="2"/>
  <c r="O20" i="2"/>
  <c r="O26" i="2"/>
  <c r="O12" i="2"/>
  <c r="AA51" i="2"/>
  <c r="W53" i="2"/>
  <c r="AA9" i="2"/>
  <c r="AA18" i="2"/>
  <c r="AA60" i="2"/>
  <c r="AA17" i="2"/>
  <c r="K15" i="2"/>
  <c r="K24" i="2"/>
  <c r="K18" i="2"/>
  <c r="K60" i="2"/>
  <c r="O64" i="2"/>
  <c r="W62" i="2"/>
  <c r="W18" i="2"/>
  <c r="W63" i="2"/>
  <c r="K32" i="2"/>
  <c r="G50" i="2"/>
  <c r="G55" i="2"/>
  <c r="C11" i="2"/>
  <c r="C17" i="2"/>
  <c r="C26" i="2"/>
  <c r="C22" i="2"/>
  <c r="AA31" i="2"/>
  <c r="G20" i="2"/>
  <c r="G22" i="2"/>
  <c r="G21" i="2"/>
  <c r="G27" i="2"/>
  <c r="W31" i="2"/>
  <c r="S39" i="2"/>
  <c r="G42" i="2"/>
  <c r="V54" i="2"/>
  <c r="C42" i="2"/>
  <c r="O31" i="2"/>
  <c r="W9" i="2"/>
  <c r="K11" i="2"/>
  <c r="K33" i="2"/>
  <c r="W68" i="2"/>
  <c r="W7" i="2"/>
  <c r="C18" i="2"/>
  <c r="K34" i="2"/>
  <c r="AA50" i="2"/>
  <c r="K44" i="2"/>
  <c r="C27" i="2"/>
  <c r="S42" i="2"/>
  <c r="AA61" i="2"/>
  <c r="S50" i="2"/>
  <c r="W55" i="2"/>
  <c r="K26" i="2"/>
  <c r="O67" i="2"/>
  <c r="W15" i="2"/>
  <c r="G53" i="2"/>
  <c r="C12" i="2"/>
  <c r="G44" i="2"/>
  <c r="W42" i="2"/>
  <c r="V49" i="2"/>
  <c r="AA66" i="2"/>
  <c r="O18" i="2"/>
  <c r="K7" i="2"/>
  <c r="K49" i="2"/>
  <c r="C71" i="2"/>
  <c r="W48" i="2"/>
  <c r="W25" i="2"/>
  <c r="C44" i="2"/>
  <c r="I54" i="2"/>
  <c r="G61" i="2"/>
  <c r="C41" i="2"/>
  <c r="AA25" i="2"/>
  <c r="C65" i="2"/>
  <c r="C36" i="2"/>
  <c r="O25" i="2"/>
  <c r="AA53" i="2"/>
  <c r="AA62" i="2"/>
  <c r="O66" i="2"/>
  <c r="W23" i="2"/>
  <c r="O54" i="2"/>
  <c r="C20" i="2"/>
  <c r="AA39" i="2"/>
  <c r="G62" i="2"/>
  <c r="G19" i="2"/>
  <c r="G60" i="2"/>
  <c r="G18" i="2"/>
  <c r="W39" i="2"/>
  <c r="S38" i="2"/>
  <c r="G32" i="2"/>
  <c r="C37" i="2"/>
  <c r="O37" i="2"/>
  <c r="U54" i="2"/>
  <c r="G6" i="2"/>
  <c r="G49" i="2"/>
  <c r="O6" i="2"/>
  <c r="K14" i="2"/>
  <c r="C6" i="2"/>
  <c r="S55" i="2"/>
  <c r="W51" i="2"/>
  <c r="W26" i="2"/>
  <c r="K54" i="2"/>
  <c r="O38" i="2"/>
  <c r="C66" i="2"/>
  <c r="S67" i="2"/>
  <c r="AA14" i="2"/>
  <c r="K16" i="2"/>
  <c r="C40" i="2"/>
  <c r="O9" i="2"/>
  <c r="W56" i="2"/>
  <c r="AA11" i="2"/>
  <c r="K19" i="2"/>
  <c r="K42" i="2"/>
  <c r="C14" i="2"/>
  <c r="K67" i="2"/>
  <c r="AA68" i="2"/>
  <c r="AA6" i="2"/>
  <c r="C25" i="2"/>
  <c r="G67" i="2"/>
  <c r="S66" i="2"/>
  <c r="AA44" i="2"/>
  <c r="K25" i="2"/>
  <c r="C63" i="2"/>
  <c r="W37" i="2"/>
  <c r="K46" i="2"/>
  <c r="O23" i="2"/>
  <c r="AA56" i="2"/>
  <c r="AA65" i="2"/>
  <c r="K70" i="2"/>
  <c r="S48" i="2"/>
  <c r="S65" i="2"/>
  <c r="O13" i="2"/>
  <c r="AA27" i="2"/>
  <c r="K22" i="2"/>
  <c r="W13" i="2"/>
  <c r="G48" i="2"/>
  <c r="C54" i="2"/>
  <c r="AA64" i="2"/>
  <c r="G64" i="2"/>
  <c r="K65" i="2"/>
  <c r="K8" i="2"/>
  <c r="K29" i="2"/>
  <c r="K69" i="2"/>
  <c r="S68" i="2"/>
  <c r="C34" i="2"/>
  <c r="C69" i="2"/>
  <c r="C16" i="2"/>
  <c r="S61" i="2"/>
  <c r="O19" i="2"/>
  <c r="O21" i="2"/>
  <c r="O24" i="2"/>
  <c r="O27" i="2"/>
  <c r="AA48" i="2"/>
  <c r="W50" i="2"/>
  <c r="AA23" i="2"/>
  <c r="AA63" i="2"/>
  <c r="AA20" i="2"/>
  <c r="AA24" i="2"/>
  <c r="K10" i="2"/>
  <c r="K27" i="2"/>
  <c r="K9" i="2"/>
  <c r="AA54" i="2"/>
  <c r="W19" i="2"/>
  <c r="W27" i="2"/>
  <c r="W10" i="2"/>
  <c r="W24" i="2"/>
  <c r="K38" i="2"/>
  <c r="G68" i="2"/>
  <c r="O49" i="2"/>
  <c r="C60" i="2"/>
  <c r="C23" i="2"/>
  <c r="C24" i="2"/>
  <c r="C49" i="2"/>
  <c r="AA38" i="2"/>
  <c r="G11" i="2"/>
  <c r="G25" i="2"/>
  <c r="G63" i="2"/>
  <c r="G26" i="2"/>
  <c r="W32" i="2"/>
  <c r="S32" i="2"/>
  <c r="G38" i="2"/>
  <c r="C31" i="2"/>
  <c r="O39" i="2"/>
  <c r="U49" i="2"/>
  <c r="G9" i="2"/>
  <c r="G54" i="2"/>
  <c r="L7" i="2"/>
  <c r="AB33" i="2"/>
  <c r="X19" i="2"/>
  <c r="L15" i="2"/>
  <c r="X23" i="2"/>
  <c r="L21" i="2"/>
  <c r="AB60" i="2"/>
  <c r="D67" i="2"/>
  <c r="L9" i="2"/>
  <c r="AB63" i="2"/>
  <c r="D66" i="2"/>
  <c r="L23" i="2"/>
  <c r="P67" i="2"/>
  <c r="AB30" i="2"/>
  <c r="P64" i="2"/>
  <c r="L63" i="2"/>
  <c r="AB35" i="2"/>
  <c r="AB29" i="2"/>
  <c r="L20" i="2"/>
  <c r="X18" i="2"/>
  <c r="AB28" i="2"/>
  <c r="AB15" i="2"/>
  <c r="X12" i="2"/>
  <c r="AB40" i="2"/>
  <c r="AB10" i="2"/>
  <c r="X63" i="2"/>
  <c r="AB70" i="2"/>
  <c r="AB9" i="2"/>
  <c r="P14" i="2"/>
  <c r="AB41" i="2"/>
  <c r="AB27" i="2"/>
  <c r="P25" i="2"/>
  <c r="AB16" i="2"/>
  <c r="AB23" i="2"/>
  <c r="P22" i="2"/>
  <c r="T56" i="2"/>
  <c r="D16" i="2"/>
  <c r="D39" i="2"/>
  <c r="AB34" i="2"/>
  <c r="AB8" i="2"/>
  <c r="L25" i="2"/>
  <c r="L18" i="2"/>
  <c r="L62" i="2"/>
  <c r="AB20" i="2"/>
  <c r="AB44" i="2"/>
  <c r="AB22" i="2"/>
  <c r="AB14" i="2"/>
  <c r="P66" i="2"/>
  <c r="X26" i="2"/>
  <c r="X6" i="2"/>
  <c r="X17" i="2"/>
  <c r="P15" i="2"/>
  <c r="P23" i="2"/>
  <c r="P44" i="2"/>
  <c r="P9" i="2"/>
  <c r="H56" i="2"/>
  <c r="T68" i="2"/>
  <c r="X49" i="2"/>
  <c r="X56" i="2"/>
  <c r="P49" i="2"/>
  <c r="D8" i="2"/>
  <c r="D40" i="2"/>
  <c r="D28" i="2"/>
  <c r="D14" i="2"/>
  <c r="D23" i="2"/>
  <c r="D63" i="2"/>
  <c r="D31" i="2"/>
  <c r="P32" i="2"/>
  <c r="AB32" i="2"/>
  <c r="L38" i="2"/>
  <c r="X39" i="2"/>
  <c r="T42" i="2"/>
  <c r="L48" i="2"/>
  <c r="L51" i="2"/>
  <c r="H32" i="2"/>
  <c r="T11" i="2"/>
  <c r="T63" i="2"/>
  <c r="T60" i="2"/>
  <c r="G40" i="2"/>
  <c r="G28" i="2"/>
  <c r="G71" i="2"/>
  <c r="O70" i="2"/>
  <c r="O8" i="2"/>
  <c r="O40" i="2"/>
  <c r="O55" i="2"/>
  <c r="S8" i="2"/>
  <c r="S69" i="2"/>
  <c r="H7" i="2"/>
  <c r="H21" i="2"/>
  <c r="H24" i="2"/>
  <c r="H27" i="2"/>
  <c r="W69" i="2"/>
  <c r="W36" i="2"/>
  <c r="W34" i="2"/>
  <c r="C53" i="2"/>
  <c r="AA40" i="2"/>
  <c r="AA36" i="2"/>
  <c r="AA69" i="2"/>
  <c r="X50" i="2"/>
  <c r="AB37" i="2"/>
  <c r="D61" i="2"/>
  <c r="L44" i="2"/>
  <c r="L54" i="2"/>
  <c r="D18" i="2"/>
  <c r="D65" i="2"/>
  <c r="AB71" i="2"/>
  <c r="L22" i="2"/>
  <c r="L6" i="2"/>
  <c r="AB62" i="2"/>
  <c r="AB11" i="2"/>
  <c r="AB25" i="2"/>
  <c r="AB17" i="2"/>
  <c r="X13" i="2"/>
  <c r="X22" i="2"/>
  <c r="X60" i="2"/>
  <c r="X14" i="2"/>
  <c r="P11" i="2"/>
  <c r="P27" i="2"/>
  <c r="P7" i="2"/>
  <c r="P26" i="2"/>
  <c r="H53" i="2"/>
  <c r="T50" i="2"/>
  <c r="AB49" i="2"/>
  <c r="X68" i="2"/>
  <c r="P54" i="2"/>
  <c r="D34" i="2"/>
  <c r="D35" i="2"/>
  <c r="D30" i="2"/>
  <c r="D17" i="2"/>
  <c r="D15" i="2"/>
  <c r="D27" i="2"/>
  <c r="D38" i="2"/>
  <c r="P39" i="2"/>
  <c r="AB39" i="2"/>
  <c r="L31" i="2"/>
  <c r="X32" i="2"/>
  <c r="T32" i="2"/>
  <c r="L56" i="2"/>
  <c r="H39" i="2"/>
  <c r="T22" i="2"/>
  <c r="T25" i="2"/>
  <c r="T62" i="2"/>
  <c r="T7" i="2"/>
  <c r="G69" i="2"/>
  <c r="G30" i="2"/>
  <c r="G35" i="2"/>
  <c r="O28" i="2"/>
  <c r="O30" i="2"/>
  <c r="O68" i="2"/>
  <c r="O50" i="2"/>
  <c r="S34" i="2"/>
  <c r="S28" i="2"/>
  <c r="H26" i="2"/>
  <c r="H62" i="2"/>
  <c r="H60" i="2"/>
  <c r="H19" i="2"/>
  <c r="W70" i="2"/>
  <c r="W71" i="2"/>
  <c r="W46" i="2"/>
  <c r="C48" i="2"/>
  <c r="AA30" i="2"/>
  <c r="AA28" i="2"/>
  <c r="W66" i="2"/>
  <c r="H50" i="2"/>
  <c r="D33" i="2"/>
  <c r="P42" i="2"/>
  <c r="AB46" i="2"/>
  <c r="L60" i="2"/>
  <c r="L24" i="2"/>
  <c r="L19" i="2"/>
  <c r="L27" i="2"/>
  <c r="AB13" i="2"/>
  <c r="P61" i="2"/>
  <c r="X24" i="2"/>
  <c r="X21" i="2"/>
  <c r="P62" i="2"/>
  <c r="P6" i="2"/>
  <c r="H51" i="2"/>
  <c r="AB54" i="2"/>
  <c r="D49" i="2"/>
  <c r="D12" i="2"/>
  <c r="D26" i="2"/>
  <c r="D6" i="2"/>
  <c r="P37" i="2"/>
  <c r="L42" i="2"/>
  <c r="T39" i="2"/>
  <c r="L53" i="2"/>
  <c r="H38" i="2"/>
  <c r="T13" i="2"/>
  <c r="T12" i="2"/>
  <c r="T19" i="2"/>
  <c r="G34" i="2"/>
  <c r="G29" i="2"/>
  <c r="G8" i="2"/>
  <c r="O35" i="2"/>
  <c r="O71" i="2"/>
  <c r="O53" i="2"/>
  <c r="S35" i="2"/>
  <c r="S46" i="2"/>
  <c r="S33" i="2"/>
  <c r="H9" i="2"/>
  <c r="H25" i="2"/>
  <c r="H63" i="2"/>
  <c r="H10" i="2"/>
  <c r="W35" i="2"/>
  <c r="W8" i="2"/>
  <c r="C51" i="2"/>
  <c r="C56" i="2"/>
  <c r="AA70" i="2"/>
  <c r="AA29" i="2"/>
  <c r="W61" i="2"/>
  <c r="L12" i="2"/>
  <c r="L13" i="2"/>
  <c r="AB24" i="2"/>
  <c r="AB21" i="2"/>
  <c r="X9" i="2"/>
  <c r="X44" i="2"/>
  <c r="P17" i="2"/>
  <c r="P19" i="2"/>
  <c r="T48" i="2"/>
  <c r="X51" i="2"/>
  <c r="D46" i="2"/>
  <c r="D41" i="2"/>
  <c r="D11" i="2"/>
  <c r="D37" i="2"/>
  <c r="AB38" i="2"/>
  <c r="X42" i="2"/>
  <c r="T15" i="2"/>
  <c r="X15" i="2"/>
  <c r="X25" i="2"/>
  <c r="P12" i="2"/>
  <c r="H55" i="2"/>
  <c r="T51" i="2"/>
  <c r="X53" i="2"/>
  <c r="D45" i="2"/>
  <c r="D24" i="2"/>
  <c r="D60" i="2"/>
  <c r="D32" i="2"/>
  <c r="L39" i="2"/>
  <c r="T37" i="2"/>
  <c r="T38" i="2"/>
  <c r="T27" i="2"/>
  <c r="T24" i="2"/>
  <c r="T14" i="2"/>
  <c r="T26" i="2"/>
  <c r="G45" i="2"/>
  <c r="O34" i="2"/>
  <c r="O36" i="2"/>
  <c r="O16" i="2"/>
  <c r="O56" i="2"/>
  <c r="S71" i="2"/>
  <c r="S16" i="2"/>
  <c r="S45" i="2"/>
  <c r="H15" i="2"/>
  <c r="H44" i="2"/>
  <c r="H14" i="2"/>
  <c r="H6" i="2"/>
  <c r="W40" i="2"/>
  <c r="W33" i="2"/>
  <c r="C55" i="2"/>
  <c r="AA35" i="2"/>
  <c r="AA45" i="2"/>
  <c r="AA41" i="2"/>
  <c r="W67" i="2"/>
  <c r="X27" i="2"/>
  <c r="P18" i="2"/>
  <c r="P20" i="2"/>
  <c r="H48" i="2"/>
  <c r="L49" i="2"/>
  <c r="D54" i="2"/>
  <c r="D71" i="2"/>
  <c r="D25" i="2"/>
  <c r="D22" i="2"/>
  <c r="P38" i="2"/>
  <c r="AB42" i="2"/>
  <c r="X37" i="2"/>
  <c r="H37" i="2"/>
  <c r="G46" i="2"/>
  <c r="D44" i="2"/>
  <c r="L50" i="2"/>
  <c r="T17" i="2"/>
  <c r="G33" i="2"/>
  <c r="O69" i="2"/>
  <c r="O41" i="2"/>
  <c r="S29" i="2"/>
  <c r="S70" i="2"/>
  <c r="H23" i="2"/>
  <c r="H20" i="2"/>
  <c r="H13" i="2"/>
  <c r="W45" i="2"/>
  <c r="W28" i="2"/>
  <c r="W41" i="2"/>
  <c r="C68" i="2"/>
  <c r="AA8" i="2"/>
  <c r="AA71" i="2"/>
  <c r="AA34" i="2"/>
  <c r="W65" i="2"/>
  <c r="D21" i="2"/>
  <c r="H31" i="2"/>
  <c r="S41" i="2"/>
  <c r="T53" i="2"/>
  <c r="D36" i="2"/>
  <c r="D13" i="2"/>
  <c r="L32" i="2"/>
  <c r="X38" i="2"/>
  <c r="T31" i="2"/>
  <c r="T10" i="2"/>
  <c r="T18" i="2"/>
  <c r="T20" i="2"/>
  <c r="G36" i="2"/>
  <c r="O46" i="2"/>
  <c r="O51" i="2"/>
  <c r="D64" i="2"/>
  <c r="AB69" i="2"/>
  <c r="AB45" i="2"/>
  <c r="AB36" i="2"/>
  <c r="L10" i="2"/>
  <c r="L14" i="2"/>
  <c r="L17" i="2"/>
  <c r="AB26" i="2"/>
  <c r="AB18" i="2"/>
  <c r="AB19" i="2"/>
  <c r="AB12" i="2"/>
  <c r="P65" i="2"/>
  <c r="X10" i="2"/>
  <c r="X20" i="2"/>
  <c r="X62" i="2"/>
  <c r="P60" i="2"/>
  <c r="P21" i="2"/>
  <c r="P63" i="2"/>
  <c r="P24" i="2"/>
  <c r="H68" i="2"/>
  <c r="T55" i="2"/>
  <c r="X54" i="2"/>
  <c r="X55" i="2"/>
  <c r="X48" i="2"/>
  <c r="D69" i="2"/>
  <c r="D70" i="2"/>
  <c r="D29" i="2"/>
  <c r="D19" i="2"/>
  <c r="D62" i="2"/>
  <c r="D20" i="2"/>
  <c r="D9" i="2"/>
  <c r="D42" i="2"/>
  <c r="P31" i="2"/>
  <c r="AB31" i="2"/>
  <c r="L37" i="2"/>
  <c r="X31" i="2"/>
  <c r="L55" i="2"/>
  <c r="L68" i="2"/>
  <c r="H42" i="2"/>
  <c r="T21" i="2"/>
  <c r="T23" i="2"/>
  <c r="T44" i="2"/>
  <c r="G41" i="2"/>
  <c r="G70" i="2"/>
  <c r="G16" i="2"/>
  <c r="O45" i="2"/>
  <c r="O29" i="2"/>
  <c r="O33" i="2"/>
  <c r="O48" i="2"/>
  <c r="S36" i="2"/>
  <c r="S30" i="2"/>
  <c r="S40" i="2"/>
  <c r="H22" i="2"/>
  <c r="H17" i="2"/>
  <c r="H18" i="2"/>
  <c r="W16" i="2"/>
  <c r="W30" i="2"/>
  <c r="W29" i="2"/>
  <c r="C50" i="2"/>
  <c r="AA16" i="2"/>
  <c r="AA33" i="2"/>
  <c r="AA46" i="2"/>
  <c r="W64" i="2"/>
  <c r="E14" i="2"/>
  <c r="Y22" i="2"/>
  <c r="U68" i="2"/>
  <c r="Y6" i="2"/>
  <c r="Y25" i="2"/>
  <c r="I60" i="2"/>
  <c r="E7" i="2"/>
  <c r="I45" i="2"/>
  <c r="Y38" i="2"/>
  <c r="Y7" i="2"/>
  <c r="E6" i="2"/>
  <c r="Y50" i="2"/>
  <c r="Y62" i="2"/>
  <c r="I31" i="2"/>
  <c r="I50" i="2"/>
  <c r="Y48" i="2"/>
  <c r="E13" i="2"/>
  <c r="E17" i="2"/>
  <c r="E44" i="2"/>
  <c r="Y10" i="2"/>
  <c r="I17" i="2"/>
  <c r="I71" i="2"/>
  <c r="AC54" i="2"/>
  <c r="I24" i="2"/>
  <c r="I41" i="2"/>
  <c r="U42" i="2"/>
  <c r="I34" i="2"/>
  <c r="M50" i="2"/>
  <c r="Q54" i="2"/>
  <c r="I46" i="2"/>
  <c r="E39" i="2"/>
  <c r="X69" i="2"/>
  <c r="I29" i="2"/>
  <c r="AC31" i="2"/>
  <c r="X70" i="2"/>
  <c r="E60" i="2"/>
  <c r="E32" i="2"/>
  <c r="U53" i="2"/>
  <c r="I21" i="2"/>
  <c r="T71" i="2"/>
  <c r="I69" i="2"/>
  <c r="E24" i="2"/>
  <c r="I51" i="2"/>
  <c r="AC38" i="2"/>
  <c r="I63" i="2"/>
  <c r="X36" i="2"/>
  <c r="X46" i="2"/>
  <c r="T16" i="2"/>
  <c r="U23" i="2"/>
  <c r="Y13" i="2"/>
  <c r="I35" i="2"/>
  <c r="E15" i="2"/>
  <c r="M56" i="2"/>
  <c r="Y23" i="2"/>
  <c r="Y19" i="2"/>
  <c r="M49" i="2"/>
  <c r="E63" i="2"/>
  <c r="M51" i="2"/>
  <c r="AC39" i="2"/>
  <c r="Y37" i="2"/>
  <c r="I32" i="2"/>
  <c r="I26" i="2"/>
  <c r="U37" i="2"/>
  <c r="X8" i="2"/>
  <c r="M32" i="2"/>
  <c r="AB55" i="2"/>
  <c r="D68" i="2"/>
  <c r="U9" i="2"/>
  <c r="P16" i="2"/>
  <c r="P48" i="2"/>
  <c r="L69" i="2"/>
  <c r="M37" i="2"/>
  <c r="T46" i="2"/>
  <c r="AB48" i="2"/>
  <c r="Q42" i="2"/>
  <c r="U13" i="2"/>
  <c r="U44" i="2"/>
  <c r="P71" i="2"/>
  <c r="P36" i="2"/>
  <c r="P45" i="2"/>
  <c r="X65" i="2"/>
  <c r="H67" i="2"/>
  <c r="L35" i="2"/>
  <c r="L16" i="2"/>
  <c r="L30" i="2"/>
  <c r="H70" i="2"/>
  <c r="H36" i="2"/>
  <c r="H40" i="2"/>
  <c r="L61" i="2"/>
  <c r="T29" i="2"/>
  <c r="T28" i="2"/>
  <c r="D56" i="2"/>
  <c r="U27" i="2"/>
  <c r="U22" i="2"/>
  <c r="P56" i="2"/>
  <c r="AC32" i="2"/>
  <c r="M42" i="2"/>
  <c r="AB56" i="2"/>
  <c r="D50" i="2"/>
  <c r="U11" i="2"/>
  <c r="U14" i="2"/>
  <c r="U63" i="2"/>
  <c r="P70" i="2"/>
  <c r="P34" i="2"/>
  <c r="P51" i="2"/>
  <c r="X66" i="2"/>
  <c r="AB61" i="2"/>
  <c r="L34" i="2"/>
  <c r="L45" i="2"/>
  <c r="L70" i="2"/>
  <c r="H16" i="2"/>
  <c r="H34" i="2"/>
  <c r="H8" i="2"/>
  <c r="T64" i="2"/>
  <c r="Y32" i="2"/>
  <c r="X34" i="2"/>
  <c r="T45" i="2"/>
  <c r="Q39" i="2"/>
  <c r="U21" i="2"/>
  <c r="P29" i="2"/>
  <c r="U56" i="2"/>
  <c r="Y63" i="2"/>
  <c r="Y42" i="2"/>
  <c r="M38" i="2"/>
  <c r="U60" i="2"/>
  <c r="P35" i="2"/>
  <c r="P68" i="2"/>
  <c r="P53" i="2"/>
  <c r="H66" i="2"/>
  <c r="AB64" i="2"/>
  <c r="L46" i="2"/>
  <c r="L36" i="2"/>
  <c r="L41" i="2"/>
  <c r="H45" i="2"/>
  <c r="H46" i="2"/>
  <c r="L64" i="2"/>
  <c r="T67" i="2"/>
  <c r="I38" i="2"/>
  <c r="I28" i="2"/>
  <c r="I10" i="2"/>
  <c r="P46" i="2"/>
  <c r="AC49" i="2"/>
  <c r="X28" i="2"/>
  <c r="E11" i="2"/>
  <c r="U50" i="2"/>
  <c r="Q31" i="2"/>
  <c r="Y14" i="2"/>
  <c r="M68" i="2"/>
  <c r="Y55" i="2"/>
  <c r="U48" i="2"/>
  <c r="I23" i="2"/>
  <c r="I6" i="2"/>
  <c r="X29" i="2"/>
  <c r="X40" i="2"/>
  <c r="T35" i="2"/>
  <c r="T40" i="2"/>
  <c r="AB51" i="2"/>
  <c r="D53" i="2"/>
  <c r="Q37" i="2"/>
  <c r="U19" i="2"/>
  <c r="U17" i="2"/>
  <c r="U15" i="2"/>
  <c r="P69" i="2"/>
  <c r="P30" i="2"/>
  <c r="P55" i="2"/>
  <c r="X67" i="2"/>
  <c r="H61" i="2"/>
  <c r="AB66" i="2"/>
  <c r="L28" i="2"/>
  <c r="L33" i="2"/>
  <c r="L40" i="2"/>
  <c r="H33" i="2"/>
  <c r="H35" i="2"/>
  <c r="L66" i="2"/>
  <c r="T65" i="2"/>
  <c r="I53" i="2"/>
  <c r="U39" i="2"/>
  <c r="I36" i="2"/>
  <c r="I37" i="2"/>
  <c r="D48" i="2"/>
  <c r="I30" i="2"/>
  <c r="I68" i="2"/>
  <c r="Y39" i="2"/>
  <c r="I39" i="2"/>
  <c r="I9" i="2"/>
  <c r="I13" i="2"/>
  <c r="U31" i="2"/>
  <c r="X71" i="2"/>
  <c r="M31" i="2"/>
  <c r="T69" i="2"/>
  <c r="U10" i="2"/>
  <c r="Q49" i="2"/>
  <c r="Y27" i="2"/>
  <c r="M55" i="2"/>
  <c r="U38" i="2"/>
  <c r="AB50" i="2"/>
  <c r="Y15" i="2"/>
  <c r="E26" i="2"/>
  <c r="Y17" i="2"/>
  <c r="E18" i="2"/>
  <c r="E42" i="2"/>
  <c r="I62" i="2"/>
  <c r="T41" i="2"/>
  <c r="U62" i="2"/>
  <c r="X64" i="2"/>
  <c r="L29" i="2"/>
  <c r="H28" i="2"/>
  <c r="H41" i="2"/>
  <c r="H30" i="2"/>
  <c r="L65" i="2"/>
  <c r="T66" i="2"/>
  <c r="I18" i="2"/>
  <c r="Y12" i="2"/>
  <c r="I48" i="2"/>
  <c r="I7" i="2"/>
  <c r="U6" i="2"/>
  <c r="I8" i="2"/>
  <c r="E38" i="2"/>
  <c r="I16" i="2"/>
  <c r="I55" i="2"/>
  <c r="U51" i="2"/>
  <c r="AB68" i="2"/>
  <c r="E27" i="2"/>
  <c r="M53" i="2"/>
  <c r="Y51" i="2"/>
  <c r="I20" i="2"/>
  <c r="T36" i="2"/>
  <c r="Y60" i="2"/>
  <c r="E19" i="2"/>
  <c r="E10" i="2"/>
  <c r="E31" i="2"/>
  <c r="Y56" i="2"/>
  <c r="I22" i="2"/>
  <c r="X33" i="2"/>
  <c r="T8" i="2"/>
  <c r="T33" i="2"/>
  <c r="U25" i="2"/>
  <c r="Y20" i="2"/>
  <c r="E62" i="2"/>
  <c r="E23" i="2"/>
  <c r="AC37" i="2"/>
  <c r="Y26" i="2"/>
  <c r="I40" i="2"/>
  <c r="E25" i="2"/>
  <c r="Y54" i="2"/>
  <c r="E49" i="2"/>
  <c r="Y53" i="2"/>
  <c r="I44" i="2"/>
  <c r="I25" i="2"/>
  <c r="X41" i="2"/>
  <c r="X45" i="2"/>
  <c r="T70" i="2"/>
  <c r="Q38" i="2"/>
  <c r="U18" i="2"/>
  <c r="P28" i="2"/>
  <c r="P33" i="2"/>
  <c r="H65" i="2"/>
  <c r="AB65" i="2"/>
  <c r="Y18" i="2"/>
  <c r="Y9" i="2"/>
  <c r="Y24" i="2"/>
  <c r="Y21" i="2"/>
  <c r="I33" i="2"/>
  <c r="I70" i="2"/>
  <c r="M54" i="2"/>
  <c r="E12" i="2"/>
  <c r="E9" i="2"/>
  <c r="E22" i="2"/>
  <c r="Y49" i="2"/>
  <c r="I56" i="2"/>
  <c r="M48" i="2"/>
  <c r="E54" i="2"/>
  <c r="E37" i="2"/>
  <c r="AC42" i="2"/>
  <c r="Y31" i="2"/>
  <c r="Y68" i="2"/>
  <c r="U55" i="2"/>
  <c r="I42" i="2"/>
  <c r="I19" i="2"/>
  <c r="I27" i="2"/>
  <c r="I15" i="2"/>
  <c r="I12" i="2"/>
  <c r="U32" i="2"/>
  <c r="X35" i="2"/>
  <c r="X16" i="2"/>
  <c r="X30" i="2"/>
  <c r="M39" i="2"/>
  <c r="T34" i="2"/>
  <c r="T30" i="2"/>
  <c r="AB53" i="2"/>
  <c r="D51" i="2"/>
  <c r="D55" i="2"/>
  <c r="Q32" i="2"/>
  <c r="U7" i="2"/>
  <c r="U24" i="2"/>
  <c r="U20" i="2"/>
  <c r="P8" i="2"/>
  <c r="P40" i="2"/>
  <c r="P41" i="2"/>
  <c r="P50" i="2"/>
  <c r="X61" i="2"/>
  <c r="H64" i="2"/>
  <c r="AB67" i="2"/>
  <c r="L71" i="2"/>
  <c r="L8" i="2"/>
  <c r="H71" i="2"/>
  <c r="H69" i="2"/>
  <c r="H29" i="2"/>
  <c r="L67" i="2"/>
  <c r="T61" i="2"/>
  <c r="E64" i="2"/>
  <c r="U65" i="2"/>
  <c r="M34" i="2"/>
  <c r="N29" i="2"/>
  <c r="N41" i="2"/>
  <c r="AC45" i="2"/>
  <c r="Z37" i="2"/>
  <c r="I66" i="2"/>
  <c r="AD42" i="2"/>
  <c r="Z32" i="2"/>
  <c r="I61" i="2"/>
  <c r="M65" i="2"/>
  <c r="V37" i="2"/>
  <c r="N31" i="2"/>
  <c r="U66" i="2"/>
  <c r="AC36" i="2"/>
  <c r="R37" i="2"/>
  <c r="V38" i="2"/>
  <c r="AC55" i="2"/>
  <c r="E65" i="2"/>
  <c r="AC50" i="2"/>
  <c r="M35" i="2"/>
  <c r="N38" i="2"/>
  <c r="R38" i="2"/>
  <c r="M46" i="2"/>
  <c r="M41" i="2"/>
  <c r="N45" i="2"/>
  <c r="F37" i="2"/>
  <c r="AC16" i="2"/>
  <c r="M40" i="2"/>
  <c r="N34" i="2"/>
  <c r="F42" i="2"/>
  <c r="AC35" i="2"/>
  <c r="N53" i="2"/>
  <c r="N28" i="2"/>
  <c r="J39" i="2"/>
  <c r="AC41" i="2"/>
  <c r="E48" i="2"/>
  <c r="N40" i="2"/>
  <c r="J32" i="2"/>
  <c r="AD39" i="2"/>
  <c r="Q46" i="2"/>
  <c r="Q64" i="2"/>
  <c r="U35" i="2"/>
  <c r="M14" i="2"/>
  <c r="R54" i="2"/>
  <c r="N69" i="2"/>
  <c r="N16" i="2"/>
  <c r="N8" i="2"/>
  <c r="Z38" i="2"/>
  <c r="V42" i="2"/>
  <c r="N32" i="2"/>
  <c r="R31" i="2"/>
  <c r="F38" i="2"/>
  <c r="J31" i="2"/>
  <c r="I67" i="2"/>
  <c r="AC68" i="2"/>
  <c r="U64" i="2"/>
  <c r="AC70" i="2"/>
  <c r="AC71" i="2"/>
  <c r="AC30" i="2"/>
  <c r="AD38" i="2"/>
  <c r="M61" i="2"/>
  <c r="E66" i="2"/>
  <c r="M36" i="2"/>
  <c r="M33" i="2"/>
  <c r="N56" i="2"/>
  <c r="E56" i="2"/>
  <c r="Q34" i="2"/>
  <c r="Q45" i="2"/>
  <c r="Q36" i="2"/>
  <c r="Q66" i="2"/>
  <c r="AC64" i="2"/>
  <c r="Y35" i="2"/>
  <c r="Y41" i="2"/>
  <c r="E70" i="2"/>
  <c r="E30" i="2"/>
  <c r="E45" i="2"/>
  <c r="U46" i="2"/>
  <c r="U29" i="2"/>
  <c r="U28" i="2"/>
  <c r="Z45" i="2"/>
  <c r="Z34" i="2"/>
  <c r="Q55" i="2"/>
  <c r="Q56" i="2"/>
  <c r="M12" i="2"/>
  <c r="M22" i="2"/>
  <c r="M19" i="2"/>
  <c r="AC25" i="2"/>
  <c r="AC26" i="2"/>
  <c r="AC44" i="2"/>
  <c r="AC19" i="2"/>
  <c r="Q11" i="2"/>
  <c r="Q17" i="2"/>
  <c r="Q10" i="2"/>
  <c r="Q12" i="2"/>
  <c r="Q16" i="2"/>
  <c r="E46" i="2"/>
  <c r="Q48" i="2"/>
  <c r="N46" i="2"/>
  <c r="N35" i="2"/>
  <c r="Q35" i="2"/>
  <c r="Q61" i="2"/>
  <c r="Y45" i="2"/>
  <c r="E8" i="2"/>
  <c r="U45" i="2"/>
  <c r="Z35" i="2"/>
  <c r="Z46" i="2"/>
  <c r="Q53" i="2"/>
  <c r="M15" i="2"/>
  <c r="M25" i="2"/>
  <c r="M10" i="2"/>
  <c r="AC15" i="2"/>
  <c r="AC9" i="2"/>
  <c r="AC23" i="2"/>
  <c r="AC7" i="2"/>
  <c r="Q20" i="2"/>
  <c r="Q13" i="2"/>
  <c r="Q60" i="2"/>
  <c r="Y67" i="2"/>
  <c r="Q40" i="2"/>
  <c r="AC67" i="2"/>
  <c r="Y71" i="2"/>
  <c r="E16" i="2"/>
  <c r="E34" i="2"/>
  <c r="U71" i="2"/>
  <c r="U40" i="2"/>
  <c r="M23" i="2"/>
  <c r="Z69" i="2"/>
  <c r="AC20" i="2"/>
  <c r="AC10" i="2"/>
  <c r="Q24" i="2"/>
  <c r="Q27" i="2"/>
  <c r="Q62" i="2"/>
  <c r="Y61" i="2"/>
  <c r="Q70" i="2"/>
  <c r="E71" i="2"/>
  <c r="AC21" i="2"/>
  <c r="N70" i="2"/>
  <c r="F32" i="2"/>
  <c r="I64" i="2"/>
  <c r="U67" i="2"/>
  <c r="AC34" i="2"/>
  <c r="M64" i="2"/>
  <c r="M29" i="2"/>
  <c r="M16" i="2"/>
  <c r="E55" i="2"/>
  <c r="Q71" i="2"/>
  <c r="AC61" i="2"/>
  <c r="Y34" i="2"/>
  <c r="Y36" i="2"/>
  <c r="Y69" i="2"/>
  <c r="E33" i="2"/>
  <c r="E28" i="2"/>
  <c r="U8" i="2"/>
  <c r="U70" i="2"/>
  <c r="Z28" i="2"/>
  <c r="Z30" i="2"/>
  <c r="Z8" i="2"/>
  <c r="Q50" i="2"/>
  <c r="M20" i="2"/>
  <c r="M26" i="2"/>
  <c r="M27" i="2"/>
  <c r="M11" i="2"/>
  <c r="AC60" i="2"/>
  <c r="AC17" i="2"/>
  <c r="AC12" i="2"/>
  <c r="Q18" i="2"/>
  <c r="Q9" i="2"/>
  <c r="Q7" i="2"/>
  <c r="Q63" i="2"/>
  <c r="Y65" i="2"/>
  <c r="Q69" i="2"/>
  <c r="E41" i="2"/>
  <c r="AC13" i="2"/>
  <c r="Z39" i="2"/>
  <c r="J37" i="2"/>
  <c r="AC53" i="2"/>
  <c r="AC28" i="2"/>
  <c r="AD37" i="2"/>
  <c r="E61" i="2"/>
  <c r="M70" i="2"/>
  <c r="N48" i="2"/>
  <c r="Q8" i="2"/>
  <c r="Q28" i="2"/>
  <c r="E35" i="2"/>
  <c r="E68" i="2"/>
  <c r="Y8" i="2"/>
  <c r="Z33" i="2"/>
  <c r="M24" i="2"/>
  <c r="R39" i="2"/>
  <c r="N71" i="2"/>
  <c r="N39" i="2"/>
  <c r="F31" i="2"/>
  <c r="AC48" i="2"/>
  <c r="AC46" i="2"/>
  <c r="E67" i="2"/>
  <c r="N51" i="2"/>
  <c r="Q33" i="2"/>
  <c r="AC66" i="2"/>
  <c r="Y40" i="2"/>
  <c r="E29" i="2"/>
  <c r="U16" i="2"/>
  <c r="U36" i="2"/>
  <c r="U69" i="2"/>
  <c r="Z29" i="2"/>
  <c r="Z16" i="2"/>
  <c r="Z40" i="2"/>
  <c r="Q51" i="2"/>
  <c r="M13" i="2"/>
  <c r="M17" i="2"/>
  <c r="M21" i="2"/>
  <c r="M63" i="2"/>
  <c r="AC63" i="2"/>
  <c r="AC11" i="2"/>
  <c r="AC27" i="2"/>
  <c r="Q23" i="2"/>
  <c r="Q15" i="2"/>
  <c r="Q26" i="2"/>
  <c r="Q25" i="2"/>
  <c r="Y64" i="2"/>
  <c r="N50" i="2"/>
  <c r="Y70" i="2"/>
  <c r="Z70" i="2"/>
  <c r="M9" i="2"/>
  <c r="N42" i="2"/>
  <c r="Z42" i="2"/>
  <c r="R42" i="2"/>
  <c r="J38" i="2"/>
  <c r="AC29" i="2"/>
  <c r="AD32" i="2"/>
  <c r="M69" i="2"/>
  <c r="N55" i="2"/>
  <c r="Q65" i="2"/>
  <c r="E36" i="2"/>
  <c r="M71" i="2"/>
  <c r="Y30" i="2"/>
  <c r="U30" i="2"/>
  <c r="M62" i="2"/>
  <c r="V39" i="2"/>
  <c r="V31" i="2"/>
  <c r="R49" i="2"/>
  <c r="AC56" i="2"/>
  <c r="AC33" i="2"/>
  <c r="M66" i="2"/>
  <c r="M30" i="2"/>
  <c r="E51" i="2"/>
  <c r="Q41" i="2"/>
  <c r="Y46" i="2"/>
  <c r="Y28" i="2"/>
  <c r="N33" i="2"/>
  <c r="N36" i="2"/>
  <c r="N30" i="2"/>
  <c r="Z31" i="2"/>
  <c r="V32" i="2"/>
  <c r="N37" i="2"/>
  <c r="R32" i="2"/>
  <c r="F39" i="2"/>
  <c r="J42" i="2"/>
  <c r="I65" i="2"/>
  <c r="AC51" i="2"/>
  <c r="U61" i="2"/>
  <c r="AC8" i="2"/>
  <c r="AC40" i="2"/>
  <c r="AC69" i="2"/>
  <c r="AD31" i="2"/>
  <c r="M67" i="2"/>
  <c r="M8" i="2"/>
  <c r="M28" i="2"/>
  <c r="M45" i="2"/>
  <c r="N68" i="2"/>
  <c r="E50" i="2"/>
  <c r="E53" i="2"/>
  <c r="Q29" i="2"/>
  <c r="Q30" i="2"/>
  <c r="Q67" i="2"/>
  <c r="AC65" i="2"/>
  <c r="Y16" i="2"/>
  <c r="Y29" i="2"/>
  <c r="Y33" i="2"/>
  <c r="E40" i="2"/>
  <c r="E69" i="2"/>
  <c r="U34" i="2"/>
  <c r="U41" i="2"/>
  <c r="U33" i="2"/>
  <c r="Z41" i="2"/>
  <c r="Z71" i="2"/>
  <c r="Z36" i="2"/>
  <c r="Q68" i="2"/>
  <c r="M6" i="2"/>
  <c r="M60" i="2"/>
  <c r="M18" i="2"/>
  <c r="AC6" i="2"/>
  <c r="AC62" i="2"/>
  <c r="AC22" i="2"/>
  <c r="AC18" i="2"/>
  <c r="Q22" i="2"/>
  <c r="Q44" i="2"/>
  <c r="Q19" i="2"/>
  <c r="Q14" i="2"/>
  <c r="Y66" i="2"/>
  <c r="J64" i="2"/>
  <c r="R13" i="2"/>
  <c r="J69" i="2"/>
  <c r="J29" i="2"/>
  <c r="AD7" i="2"/>
  <c r="J9" i="2"/>
  <c r="J6" i="2"/>
  <c r="AD33" i="2"/>
  <c r="AD40" i="2"/>
  <c r="N15" i="2"/>
  <c r="Z24" i="2"/>
  <c r="J68" i="2"/>
  <c r="V40" i="2"/>
  <c r="F30" i="2"/>
  <c r="F70" i="2"/>
  <c r="F7" i="2"/>
  <c r="F9" i="2"/>
  <c r="F20" i="2"/>
  <c r="V25" i="2"/>
  <c r="V13" i="2"/>
  <c r="V63" i="2"/>
  <c r="V22" i="2"/>
  <c r="R30" i="2"/>
  <c r="R28" i="2"/>
  <c r="N61" i="2"/>
  <c r="AD61" i="2"/>
  <c r="F53" i="2"/>
  <c r="R26" i="2"/>
  <c r="F54" i="2"/>
  <c r="J63" i="2"/>
  <c r="J11" i="2"/>
  <c r="AD30" i="2"/>
  <c r="AD45" i="2"/>
  <c r="N21" i="2"/>
  <c r="Z17" i="2"/>
  <c r="Z25" i="2"/>
  <c r="Z21" i="2"/>
  <c r="V30" i="2"/>
  <c r="V8" i="2"/>
  <c r="F60" i="2"/>
  <c r="V66" i="2"/>
  <c r="R55" i="2"/>
  <c r="R15" i="2"/>
  <c r="AD15" i="2"/>
  <c r="V61" i="2"/>
  <c r="AD67" i="2"/>
  <c r="R51" i="2"/>
  <c r="F55" i="2"/>
  <c r="R60" i="2"/>
  <c r="J16" i="2"/>
  <c r="J45" i="2"/>
  <c r="F49" i="2"/>
  <c r="AD21" i="2"/>
  <c r="AD25" i="2"/>
  <c r="AD6" i="2"/>
  <c r="J19" i="2"/>
  <c r="J14" i="2"/>
  <c r="J10" i="2"/>
  <c r="N11" i="2"/>
  <c r="N6" i="2"/>
  <c r="AD28" i="2"/>
  <c r="N22" i="2"/>
  <c r="AD29" i="2"/>
  <c r="N9" i="2"/>
  <c r="Z9" i="2"/>
  <c r="Z26" i="2"/>
  <c r="Z62" i="2"/>
  <c r="Z23" i="2"/>
  <c r="J50" i="2"/>
  <c r="V71" i="2"/>
  <c r="V28" i="2"/>
  <c r="V35" i="2"/>
  <c r="F41" i="2"/>
  <c r="F34" i="2"/>
  <c r="F44" i="2"/>
  <c r="F62" i="2"/>
  <c r="F14" i="2"/>
  <c r="F11" i="2"/>
  <c r="V14" i="2"/>
  <c r="V21" i="2"/>
  <c r="V6" i="2"/>
  <c r="V20" i="2"/>
  <c r="R40" i="2"/>
  <c r="R16" i="2"/>
  <c r="R61" i="2"/>
  <c r="R17" i="2"/>
  <c r="AD62" i="2"/>
  <c r="N64" i="2"/>
  <c r="R67" i="2"/>
  <c r="R53" i="2"/>
  <c r="R63" i="2"/>
  <c r="R18" i="2"/>
  <c r="J33" i="2"/>
  <c r="J25" i="2"/>
  <c r="J67" i="2"/>
  <c r="J28" i="2"/>
  <c r="J26" i="2"/>
  <c r="N63" i="2"/>
  <c r="Z13" i="2"/>
  <c r="V29" i="2"/>
  <c r="F16" i="2"/>
  <c r="F28" i="2"/>
  <c r="F46" i="2"/>
  <c r="F19" i="2"/>
  <c r="F12" i="2"/>
  <c r="F21" i="2"/>
  <c r="V10" i="2"/>
  <c r="V15" i="2"/>
  <c r="V9" i="2"/>
  <c r="R33" i="2"/>
  <c r="R8" i="2"/>
  <c r="R69" i="2"/>
  <c r="R68" i="2"/>
  <c r="J70" i="2"/>
  <c r="J13" i="2"/>
  <c r="AD35" i="2"/>
  <c r="Z14" i="2"/>
  <c r="Z27" i="2"/>
  <c r="J53" i="2"/>
  <c r="V16" i="2"/>
  <c r="F22" i="2"/>
  <c r="F56" i="2"/>
  <c r="J40" i="2"/>
  <c r="J24" i="2"/>
  <c r="AD71" i="2"/>
  <c r="AD65" i="2"/>
  <c r="R20" i="2"/>
  <c r="J41" i="2"/>
  <c r="J18" i="2"/>
  <c r="AD34" i="2"/>
  <c r="Z20" i="2"/>
  <c r="V69" i="2"/>
  <c r="F13" i="2"/>
  <c r="F63" i="2"/>
  <c r="V11" i="2"/>
  <c r="R70" i="2"/>
  <c r="R35" i="2"/>
  <c r="R36" i="2"/>
  <c r="R11" i="2"/>
  <c r="AD18" i="2"/>
  <c r="AD8" i="2"/>
  <c r="J66" i="2"/>
  <c r="R25" i="2"/>
  <c r="AD24" i="2"/>
  <c r="J27" i="2"/>
  <c r="N26" i="2"/>
  <c r="F71" i="2"/>
  <c r="V67" i="2"/>
  <c r="R7" i="2"/>
  <c r="AD60" i="2"/>
  <c r="AD69" i="2"/>
  <c r="N66" i="2"/>
  <c r="F68" i="2"/>
  <c r="J34" i="2"/>
  <c r="AD14" i="2"/>
  <c r="J15" i="2"/>
  <c r="N60" i="2"/>
  <c r="Z11" i="2"/>
  <c r="V70" i="2"/>
  <c r="F15" i="2"/>
  <c r="V62" i="2"/>
  <c r="N49" i="2"/>
  <c r="N67" i="2"/>
  <c r="R65" i="2"/>
  <c r="AD64" i="2"/>
  <c r="J65" i="2"/>
  <c r="R48" i="2"/>
  <c r="F51" i="2"/>
  <c r="R62" i="2"/>
  <c r="R44" i="2"/>
  <c r="R22" i="2"/>
  <c r="R14" i="2"/>
  <c r="J46" i="2"/>
  <c r="J36" i="2"/>
  <c r="J8" i="2"/>
  <c r="AD20" i="2"/>
  <c r="AD19" i="2"/>
  <c r="AD63" i="2"/>
  <c r="AD11" i="2"/>
  <c r="J44" i="2"/>
  <c r="J21" i="2"/>
  <c r="J20" i="2"/>
  <c r="N25" i="2"/>
  <c r="AD36" i="2"/>
  <c r="AD46" i="2"/>
  <c r="N24" i="2"/>
  <c r="AD41" i="2"/>
  <c r="N27" i="2"/>
  <c r="N44" i="2"/>
  <c r="Z60" i="2"/>
  <c r="Z18" i="2"/>
  <c r="Z22" i="2"/>
  <c r="J55" i="2"/>
  <c r="V45" i="2"/>
  <c r="V33" i="2"/>
  <c r="V34" i="2"/>
  <c r="F35" i="2"/>
  <c r="F36" i="2"/>
  <c r="F8" i="2"/>
  <c r="F10" i="2"/>
  <c r="F27" i="2"/>
  <c r="F25" i="2"/>
  <c r="V60" i="2"/>
  <c r="V18" i="2"/>
  <c r="V17" i="2"/>
  <c r="V7" i="2"/>
  <c r="R29" i="2"/>
  <c r="R41" i="2"/>
  <c r="R34" i="2"/>
  <c r="R66" i="2"/>
  <c r="R21" i="2"/>
  <c r="AD44" i="2"/>
  <c r="N12" i="2"/>
  <c r="V64" i="2"/>
  <c r="R27" i="2"/>
  <c r="J71" i="2"/>
  <c r="AD9" i="2"/>
  <c r="N20" i="2"/>
  <c r="N17" i="2"/>
  <c r="J51" i="2"/>
  <c r="F45" i="2"/>
  <c r="V27" i="2"/>
  <c r="N65" i="2"/>
  <c r="F48" i="2"/>
  <c r="AD12" i="2"/>
  <c r="J22" i="2"/>
  <c r="Z19" i="2"/>
  <c r="R56" i="2"/>
  <c r="R10" i="2"/>
  <c r="AD22" i="2"/>
  <c r="N14" i="2"/>
  <c r="N62" i="2"/>
  <c r="Z6" i="2"/>
  <c r="J48" i="2"/>
  <c r="F69" i="2"/>
  <c r="F24" i="2"/>
  <c r="N54" i="2"/>
  <c r="V65" i="2"/>
  <c r="R64" i="2"/>
  <c r="AD66" i="2"/>
  <c r="J61" i="2"/>
  <c r="R50" i="2"/>
  <c r="F50" i="2"/>
  <c r="R24" i="2"/>
  <c r="R9" i="2"/>
  <c r="R19" i="2"/>
  <c r="R23" i="2"/>
  <c r="J30" i="2"/>
  <c r="J35" i="2"/>
  <c r="AD10" i="2"/>
  <c r="AD23" i="2"/>
  <c r="AD13" i="2"/>
  <c r="AD26" i="2"/>
  <c r="J60" i="2"/>
  <c r="J17" i="2"/>
  <c r="J23" i="2"/>
  <c r="J7" i="2"/>
  <c r="N13" i="2"/>
  <c r="AD70" i="2"/>
  <c r="N23" i="2"/>
  <c r="AD16" i="2"/>
  <c r="N19" i="2"/>
  <c r="N18" i="2"/>
  <c r="Z12" i="2"/>
  <c r="Z7" i="2"/>
  <c r="Z15" i="2"/>
  <c r="Z63" i="2"/>
  <c r="J56" i="2"/>
  <c r="V41" i="2"/>
  <c r="V36" i="2"/>
  <c r="V46" i="2"/>
  <c r="F29" i="2"/>
  <c r="F40" i="2"/>
  <c r="F33" i="2"/>
  <c r="F6" i="2"/>
  <c r="F26" i="2"/>
  <c r="F23" i="2"/>
  <c r="V23" i="2"/>
  <c r="V24" i="2"/>
  <c r="V19" i="2"/>
  <c r="V44" i="2"/>
  <c r="R45" i="2"/>
  <c r="R71" i="2"/>
  <c r="R46" i="2"/>
  <c r="V48" i="2"/>
  <c r="AD56" i="2"/>
  <c r="Z64" i="2"/>
  <c r="AD49" i="2"/>
  <c r="AD53" i="2"/>
  <c r="V55" i="2"/>
  <c r="Z55" i="2"/>
  <c r="F65" i="2"/>
  <c r="Z65" i="2"/>
  <c r="Z48" i="2"/>
  <c r="AD68" i="2"/>
  <c r="Z66" i="2"/>
  <c r="Z56" i="2"/>
  <c r="Z54" i="2"/>
  <c r="V53" i="2"/>
  <c r="Z53" i="2"/>
  <c r="F66" i="2"/>
  <c r="V56" i="2"/>
  <c r="Z51" i="2"/>
  <c r="F64" i="2"/>
  <c r="Z67" i="2"/>
  <c r="AD54" i="2"/>
  <c r="AD51" i="2"/>
  <c r="V51" i="2"/>
  <c r="Z68" i="2"/>
  <c r="AD48" i="2"/>
  <c r="V50" i="2"/>
  <c r="F61" i="2"/>
  <c r="AD55" i="2"/>
  <c r="Z61" i="2"/>
  <c r="V68" i="2"/>
  <c r="Z50" i="2"/>
  <c r="F67" i="2"/>
  <c r="AD50" i="2"/>
  <c r="Z4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<sst xmlns="http://schemas.openxmlformats.org/spreadsheetml/2006/main" count="216" uniqueCount="183">
  <si>
    <t>Revenue</t>
  </si>
  <si>
    <t>Gross Profit</t>
  </si>
  <si>
    <t>Reference Items</t>
  </si>
  <si>
    <t>Right click to show data transparency (not supported for all values)</t>
  </si>
  <si>
    <t>PACCAR Inc (PCAR US) - BBG Adjusted</t>
  </si>
  <si>
    <t>In Millions of USD except Per Share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</si>
  <si>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</si>
  <si>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</si>
  <si>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</si>
  <si>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</si>
  <si>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</si>
  <si>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</si>
  <si>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</si>
  <si>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</si>
  <si>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</si>
  <si>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</si>
  <si>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</si>
  <si>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</si>
  <si>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</si>
  <si>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</si>
  <si>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</si>
  <si>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</si>
  <si>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</si>
  <si>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</si>
  <si>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</si>
  <si>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</si>
  <si>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</si>
  <si>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</si>
  <si>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</si>
  <si>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</si>
  <si>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</si>
  <si>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</si>
  <si>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</si>
  <si>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</si>
  <si>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</si>
  <si>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</si>
  <si>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Months Ending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</si>
  <si>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</si>
  <si>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</si>
  <si>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</si>
  <si>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</si>
  <si>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</si>
  <si>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</si>
  <si>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</si>
  <si>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</si>
  <si>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</si>
  <si>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</si>
  <si>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</si>
  <si>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</si>
  <si>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</si>
  <si>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</si>
  <si>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</si>
  <si>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</si>
  <si>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</si>
  <si>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</si>
  <si>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</si>
  <si>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</si>
  <si>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</si>
  <si>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</si>
  <si>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</si>
  <si>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</si>
  <si>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</si>
  <si>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</si>
  <si>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</si>
  <si>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</si>
  <si>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03/31/2026</t>
  </si>
  <si>
    <t>06/30/2026</t>
  </si>
  <si>
    <t>SALES_REV_TURN</t>
  </si>
  <si>
    <t xml:space="preserve">    + Sales &amp; Services Revenue</t>
  </si>
  <si>
    <t>IS_SALES_AND_SERVICES_REVENUES</t>
  </si>
  <si>
    <t xml:space="preserve">    + Financing Revenue</t>
  </si>
  <si>
    <t>IS_ADJUSTED_FIN_SUBSIDIARY_REV</t>
  </si>
  <si>
    <t xml:space="preserve">  - Cost of Revenue</t>
  </si>
  <si>
    <t>IS_COGS_TO_FE_AND_PP_AND_G</t>
  </si>
  <si>
    <t xml:space="preserve">    + Cost of Goods &amp; Services</t>
  </si>
  <si>
    <t>IS_COG_AND_SERVICES_SOLD</t>
  </si>
  <si>
    <t xml:space="preserve">    + Cost of Financing Revenue</t>
  </si>
  <si>
    <t>IS_COST_OF_FINANCING_REVENUE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</si>
  <si>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</si>
  <si>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</si>
  <si>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</si>
  <si>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</si>
  <si>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</si>
  <si>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</si>
  <si>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</si>
  <si>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Research &amp; Development</t>
  </si>
  <si>
    <t>IS_OPERATING_EXPENSES_RD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</si>
  <si>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</si>
  <si>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</si>
  <si>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</si>
  <si>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</si>
  <si>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</si>
  <si>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IS_OTHER_OPERATING_EXPENSES</t>
  </si>
  <si>
    <t>Operating Income (Loss)</t>
  </si>
  <si>
    <t>IS_OPER_INC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</si>
  <si>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</si>
  <si>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</si>
  <si>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</si>
  <si>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</si>
  <si>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</si>
  <si>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</si>
  <si>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</si>
  <si>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</si>
  <si>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</si>
  <si>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</si>
  <si>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</si>
  <si>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</si>
  <si>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</si>
  <si>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</si>
  <si>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</si>
  <si>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</si>
  <si>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Sale of Investments</t>
  </si>
  <si>
    <t>IS_GAIN_LOSS_ON_INVESTMENTS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</si>
  <si>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</si>
  <si>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</si>
  <si>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</si>
  <si>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</si>
  <si>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</si>
  <si>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</si>
  <si>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</si>
  <si>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</si>
  <si>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</si>
  <si>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</si>
  <si>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</si>
  <si>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</si>
  <si>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</si>
  <si>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</si>
  <si>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</si>
  <si>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</si>
  <si>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</si>
  <si>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</si>
  <si>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</si>
  <si>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</si>
  <si>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</si>
  <si>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</si>
  <si>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</si>
  <si>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</si>
  <si>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</si>
  <si>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</si>
  <si>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</si>
  <si>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</si>
  <si>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</si>
  <si>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</si>
  <si>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</si>
  <si>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</si>
  <si>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</si>
  <si>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</si>
  <si>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</si>
  <si>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</si>
  <si>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</si>
  <si>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</si>
  <si>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</si>
  <si>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</si>
  <si>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</si>
  <si>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</si>
  <si>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</si>
  <si>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</si>
  <si>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</si>
  <si>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</si>
  <si>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</si>
  <si>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US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</si>
  <si>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</si>
  <si>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</si>
  <si>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</si>
  <si>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</si>
  <si>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</si>
  <si>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</si>
  <si>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</si>
  <si>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</si>
  <si>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</si>
  <si>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</si>
  <si>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</si>
  <si>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</si>
  <si>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</si>
  <si>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</si>
  <si>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</si>
  <si>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</si>
  <si>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</si>
  <si>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Depreciation Expense</t>
  </si>
  <si>
    <t>IS_DEPR_EXP</t>
  </si>
  <si>
    <t>Rental Expense</t>
  </si>
  <si>
    <t>BS_CURR_RENTAL_EXPENSE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</si>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</sst>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0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</cellStyleXfs>
  <cellXfs count="19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71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8" fillId="34" borderId="2" xfId="56" applyNumberFormat="1" applyFont="1" applyFill="1" applyBorder="1" applyAlignment="1" applyProtection="1">
      <alignment horizontal="right"/>
    </xf>
    <xf numFmtId="171" fontId="8" fillId="34" borderId="2" xfId="57" applyNumberFormat="1" applyFont="1" applyFill="1" applyBorder="1" applyAlignment="1" applyProtection="1">
      <alignment horizontal="right"/>
    </xf>
    <xf numFmtId="4" fontId="8" fillId="34" borderId="2" xfId="58" applyNumberFormat="1" applyFont="1" applyFill="1" applyBorder="1" applyAlignment="1" applyProtection="1">
      <alignment horizontal="right"/>
    </xf>
    <xf numFmtId="171" fontId="11" fillId="34" borderId="2" xfId="59" applyNumberFormat="1" applyFont="1" applyFill="1" applyBorder="1" applyAlignment="1" applyProtection="1">
      <alignment horizontal="right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6" xr:uid="{00000000-0005-0000-0000-000023000000}"/>
    <cellStyle name="fa_data_bold_1_grouped" xfId="57" xr:uid="{00000000-0005-0000-0000-000024000000}"/>
    <cellStyle name="fa_data_bold_2_grouped" xfId="58" xr:uid="{00000000-0005-0000-0000-000025000000}"/>
    <cellStyle name="fa_data_italic_1_grouped" xfId="59" xr:uid="{00000000-0005-0000-0000-000026000000}"/>
    <cellStyle name="fa_data_standard_0_grouped" xfId="53" xr:uid="{00000000-0005-0000-0000-000027000000}"/>
    <cellStyle name="fa_data_standard_1_grouped" xfId="54" xr:uid="{00000000-0005-0000-0000-000028000000}"/>
    <cellStyle name="fa_data_standard_2_grouped" xfId="55" xr:uid="{00000000-0005-0000-0000-000029000000}"/>
    <cellStyle name="fa_footer_italic" xfId="34" xr:uid="{00000000-0005-0000-0000-00002A000000}"/>
    <cellStyle name="fa_row_header_bold" xfId="35" xr:uid="{00000000-0005-0000-0000-00002B000000}"/>
    <cellStyle name="fa_row_header_italic" xfId="36" xr:uid="{00000000-0005-0000-0000-00002C000000}"/>
    <cellStyle name="fa_row_header_standard" xfId="37" xr:uid="{00000000-0005-0000-0000-00002D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BDH|10137662224418623649</stp>
        <tr r="M45" s="2"/>
      </tp>
      <tp t="s">
        <v>#N/A N/A</v>
        <stp/>
        <stp>BDH|14538837668559630992</stp>
        <tr r="D27" s="2"/>
      </tp>
      <tp t="s">
        <v>#N/A N/A</v>
        <stp/>
        <stp>BDH|10057940036235537564</stp>
        <tr r="J11" s="2"/>
      </tp>
      <tp t="s">
        <v>#N/A N/A</v>
        <stp/>
        <stp>BDH|11706270304938563111</stp>
        <tr r="M27" s="2"/>
      </tp>
      <tp t="s">
        <v>#N/A N/A</v>
        <stp/>
        <stp>BDH|11230503671110648954</stp>
        <tr r="L6" s="2"/>
      </tp>
      <tp t="s">
        <v>#N/A N/A</v>
        <stp/>
        <stp>BDH|10129343433522091869</stp>
        <tr r="O35" s="2"/>
      </tp>
      <tp t="s">
        <v>#N/A N/A</v>
        <stp/>
        <stp>BDH|12030134891143039316</stp>
        <tr r="G15" s="2"/>
      </tp>
      <tp t="s">
        <v>#N/A N/A</v>
        <stp/>
        <stp>BDH|11811139988354074613</stp>
        <tr r="V40" s="2"/>
      </tp>
      <tp t="s">
        <v>#N/A N/A</v>
        <stp/>
        <stp>BDH|12939343756749881761</stp>
        <tr r="S16" s="2"/>
      </tp>
      <tp t="s">
        <v>#N/A N/A</v>
        <stp/>
        <stp>BDH|12796987503983834204</stp>
        <tr r="AC24" s="2"/>
      </tp>
      <tp t="s">
        <v>#N/A N/A</v>
        <stp/>
        <stp>BDH|11607388899465723475</stp>
        <tr r="T30" s="2"/>
      </tp>
      <tp t="s">
        <v>#N/A N/A</v>
        <stp/>
        <stp>BDH|16997244183876078098</stp>
        <tr r="G55" s="2"/>
      </tp>
      <tp t="s">
        <v>#N/A N/A</v>
        <stp/>
        <stp>BDH|12835206067015870903</stp>
        <tr r="F70" s="2"/>
      </tp>
      <tp t="s">
        <v>#N/A N/A</v>
        <stp/>
        <stp>BDH|14070968443910266301</stp>
        <tr r="R7" s="2"/>
      </tp>
      <tp t="s">
        <v>#N/A N/A</v>
        <stp/>
        <stp>BDH|16353360175311452926</stp>
        <tr r="C35" s="2"/>
      </tp>
      <tp t="s">
        <v>#N/A N/A</v>
        <stp/>
        <stp>BDH|11841516580492100410</stp>
        <tr r="E11" s="2"/>
      </tp>
      <tp t="s">
        <v>#N/A N/A</v>
        <stp/>
        <stp>BDH|18273744580425854877</stp>
        <tr r="D65" s="2"/>
      </tp>
      <tp t="s">
        <v>#N/A N/A</v>
        <stp/>
        <stp>BDH|14574200077733851828</stp>
        <tr r="R28" s="2"/>
      </tp>
      <tp t="s">
        <v>#N/A N/A</v>
        <stp/>
        <stp>BDH|16180994687135793809</stp>
        <tr r="N63" s="2"/>
      </tp>
      <tp t="s">
        <v>#N/A N/A</v>
        <stp/>
        <stp>BDH|17913565503298187077</stp>
        <tr r="AD9" s="2"/>
      </tp>
      <tp t="s">
        <v>#N/A N/A</v>
        <stp/>
        <stp>BDH|11925826554947129147</stp>
        <tr r="AB28" s="2"/>
      </tp>
      <tp t="s">
        <v>#N/A N/A</v>
        <stp/>
        <stp>BDH|12408757909736279905</stp>
        <tr r="P20" s="2"/>
      </tp>
      <tp t="s">
        <v>#N/A N/A</v>
        <stp/>
        <stp>BDH|12203745486402415596</stp>
        <tr r="AA26" s="2"/>
      </tp>
      <tp t="s">
        <v>#N/A N/A</v>
        <stp/>
        <stp>BDH|13574635465771780898</stp>
        <tr r="AD26" s="2"/>
      </tp>
      <tp t="s">
        <v>#N/A N/A</v>
        <stp/>
        <stp>BDH|13214734492162614597</stp>
        <tr r="S29" s="2"/>
      </tp>
      <tp t="s">
        <v>#N/A N/A</v>
        <stp/>
        <stp>BDH|11800063183673413054</stp>
        <tr r="M70" s="2"/>
      </tp>
      <tp t="s">
        <v>#N/A N/A</v>
        <stp/>
        <stp>BDH|17081113710895824860</stp>
        <tr r="F24" s="2"/>
      </tp>
      <tp t="s">
        <v>#N/A N/A</v>
        <stp/>
        <stp>BDH|11322885877813779759</stp>
        <tr r="I56" s="2"/>
      </tp>
      <tp t="s">
        <v>#N/A N/A</v>
        <stp/>
        <stp>BDH|11298310506129612026</stp>
        <tr r="C13" s="2"/>
      </tp>
      <tp t="s">
        <v>#N/A N/A</v>
        <stp/>
        <stp>BDH|14508446066818410520</stp>
        <tr r="AB8" s="2"/>
      </tp>
      <tp t="s">
        <v>#N/A N/A</v>
        <stp/>
        <stp>BDH|10534517793643697404</stp>
        <tr r="U24" s="2"/>
      </tp>
      <tp t="s">
        <v>#N/A N/A</v>
        <stp/>
        <stp>BDH|10973595066360440835</stp>
        <tr r="U14" s="2"/>
      </tp>
      <tp t="s">
        <v>#N/A N/A</v>
        <stp/>
        <stp>BDH|16084207239854080890</stp>
        <tr r="K25" s="2"/>
      </tp>
      <tp t="s">
        <v>#N/A N/A</v>
        <stp/>
        <stp>BDH|17438165496781175558</stp>
        <tr r="Y21" s="2"/>
      </tp>
      <tp t="s">
        <v>#N/A N/A</v>
        <stp/>
        <stp>BDH|16746515474279018619</stp>
        <tr r="Y44" s="2"/>
      </tp>
      <tp t="s">
        <v>#N/A N/A</v>
        <stp/>
        <stp>BDH|11023705976928306266</stp>
        <tr r="K30" s="2"/>
      </tp>
      <tp t="s">
        <v>#N/A N/A</v>
        <stp/>
        <stp>BDH|14146210680206124329</stp>
        <tr r="AC12" s="2"/>
      </tp>
      <tp t="s">
        <v>#N/A N/A</v>
        <stp/>
        <stp>BDH|17573193912949827559</stp>
        <tr r="S18" s="2"/>
      </tp>
      <tp t="s">
        <v>#N/A N/A</v>
        <stp/>
        <stp>BDH|14663894471324852451</stp>
        <tr r="X68" s="2"/>
      </tp>
      <tp t="s">
        <v>#N/A N/A</v>
        <stp/>
        <stp>BDH|12013143391449715812</stp>
        <tr r="K26" s="2"/>
      </tp>
      <tp t="s">
        <v>#N/A N/A</v>
        <stp/>
        <stp>BDH|10594178108199971319</stp>
        <tr r="G25" s="2"/>
      </tp>
      <tp t="s">
        <v>#N/A N/A</v>
        <stp/>
        <stp>BDH|12019003794367990797</stp>
        <tr r="AD25" s="2"/>
      </tp>
      <tp t="s">
        <v>#N/A N/A</v>
        <stp/>
        <stp>BDH|16013900507261580564</stp>
        <tr r="D18" s="2"/>
      </tp>
      <tp t="s">
        <v>#N/A N/A</v>
        <stp/>
        <stp>BDH|13988687607098195636</stp>
        <tr r="AC71" s="2"/>
      </tp>
      <tp t="s">
        <v>#N/A N/A</v>
        <stp/>
        <stp>BDH|12926107669527737936</stp>
        <tr r="L29" s="2"/>
      </tp>
      <tp t="s">
        <v>#N/A N/A</v>
        <stp/>
        <stp>BDH|15506560452246186877</stp>
        <tr r="U25" s="2"/>
      </tp>
      <tp t="s">
        <v>#N/A N/A</v>
        <stp/>
        <stp>BDH|15766277593540722536</stp>
        <tr r="T19" s="2"/>
      </tp>
      <tp t="s">
        <v>#N/A N/A</v>
        <stp/>
        <stp>BDH|11236651750599046018</stp>
        <tr r="W50" s="2"/>
      </tp>
      <tp t="s">
        <v>#N/A N/A</v>
        <stp/>
        <stp>BDH|15091453966184345864</stp>
        <tr r="P24" s="2"/>
      </tp>
      <tp t="s">
        <v>#N/A N/A</v>
        <stp/>
        <stp>BDH|14599132192656121130</stp>
        <tr r="X38" s="2"/>
      </tp>
      <tp t="s">
        <v>#N/A N/A</v>
        <stp/>
        <stp>BDH|14895657894102906260</stp>
        <tr r="H56" s="2"/>
      </tp>
      <tp t="s">
        <v>#N/A N/A</v>
        <stp/>
        <stp>BDH|11512798275532710881</stp>
        <tr r="D50" s="2"/>
      </tp>
      <tp t="s">
        <v>#N/A N/A</v>
        <stp/>
        <stp>BDH|13513004411260333913</stp>
        <tr r="Z8" s="2"/>
      </tp>
      <tp t="s">
        <v>#N/A N/A</v>
        <stp/>
        <stp>BDH|12645048885646832764</stp>
        <tr r="V19" s="2"/>
      </tp>
      <tp t="s">
        <v>#N/A N/A</v>
        <stp/>
        <stp>BDH|17793642676815438886</stp>
        <tr r="AA14" s="2"/>
      </tp>
      <tp t="s">
        <v>#N/A N/A</v>
        <stp/>
        <stp>BDH|10699440599855160333</stp>
        <tr r="W28" s="2"/>
      </tp>
      <tp t="s">
        <v>#N/A N/A</v>
        <stp/>
        <stp>BDH|17857095689912075600</stp>
        <tr r="G26" s="2"/>
      </tp>
      <tp t="s">
        <v>#N/A N/A</v>
        <stp/>
        <stp>BDH|11173839831610211195</stp>
        <tr r="P41" s="2"/>
      </tp>
      <tp t="s">
        <v>#N/A N/A</v>
        <stp/>
        <stp>BDH|13620779641949030281</stp>
        <tr r="S22" s="2"/>
      </tp>
      <tp t="s">
        <v>#N/A N/A</v>
        <stp/>
        <stp>BDH|15808093756418752385</stp>
        <tr r="L24" s="2"/>
      </tp>
      <tp t="s">
        <v>#N/A N/A</v>
        <stp/>
        <stp>BDH|15266359527967941817</stp>
        <tr r="C26" s="2"/>
      </tp>
      <tp t="s">
        <v>#N/A N/A</v>
        <stp/>
        <stp>BDH|17402194594445115132</stp>
        <tr r="C9" s="2"/>
      </tp>
      <tp t="s">
        <v>#N/A N/A</v>
        <stp/>
        <stp>BDH|16520273634824852840</stp>
        <tr r="E10" s="2"/>
      </tp>
      <tp t="s">
        <v>#N/A N/A</v>
        <stp/>
        <stp>BDH|16557809730342820401</stp>
        <tr r="N55" s="2"/>
      </tp>
      <tp t="s">
        <v>#N/A N/A</v>
        <stp/>
        <stp>BDH|17861989621944945352</stp>
        <tr r="K60" s="2"/>
      </tp>
      <tp t="s">
        <v>#N/A N/A</v>
        <stp/>
        <stp>BDH|17156592497722774251</stp>
        <tr r="I53" s="2"/>
      </tp>
      <tp t="s">
        <v>#N/A N/A</v>
        <stp/>
        <stp>BDH|14149410808729587222</stp>
        <tr r="D55" s="2"/>
      </tp>
      <tp t="s">
        <v>#N/A N/A</v>
        <stp/>
        <stp>BDH|14889063181047003012</stp>
        <tr r="R10" s="2"/>
      </tp>
      <tp t="s">
        <v>#N/A N/A</v>
        <stp/>
        <stp>BDH|18439699881869357415</stp>
        <tr r="U32" s="2"/>
      </tp>
      <tp t="s">
        <v>#N/A N/A</v>
        <stp/>
        <stp>BDH|14860281422339744548</stp>
        <tr r="N71" s="2"/>
      </tp>
      <tp t="s">
        <v>#N/A N/A</v>
        <stp/>
        <stp>BDH|17016988147794609683</stp>
        <tr r="Z37" s="2"/>
      </tp>
      <tp t="s">
        <v>#N/A N/A</v>
        <stp/>
        <stp>BDH|15726515624238191228</stp>
        <tr r="T7" s="2"/>
      </tp>
      <tp t="s">
        <v>#N/A N/A</v>
        <stp/>
        <stp>BDH|10473875576250351758</stp>
        <tr r="O69" s="2"/>
      </tp>
      <tp t="s">
        <v>#N/A N/A</v>
        <stp/>
        <stp>BDH|10256952427447514460</stp>
        <tr r="X61" s="2"/>
      </tp>
      <tp t="s">
        <v>#N/A N/A</v>
        <stp/>
        <stp>BDH|12871281485987598737</stp>
        <tr r="H69" s="2"/>
      </tp>
      <tp t="s">
        <v>#N/A N/A</v>
        <stp/>
        <stp>BDH|15594952812920511558</stp>
        <tr r="Q25" s="2"/>
      </tp>
      <tp t="s">
        <v>#N/A N/A</v>
        <stp/>
        <stp>BDH|17243936346324083658</stp>
        <tr r="X7" s="2"/>
      </tp>
      <tp t="s">
        <v>#N/A N/A</v>
        <stp/>
        <stp>BDH|15881122847078759088</stp>
        <tr r="I49" s="2"/>
      </tp>
      <tp t="s">
        <v>#N/A N/A</v>
        <stp/>
        <stp>BDH|17765840631847650313</stp>
        <tr r="U40" s="2"/>
      </tp>
      <tp t="s">
        <v>#N/A N/A</v>
        <stp/>
        <stp>BDH|11466806225296553511</stp>
        <tr r="T39" s="2"/>
      </tp>
      <tp t="s">
        <v>#N/A N/A</v>
        <stp/>
        <stp>BDH|12370959868505842039</stp>
        <tr r="C29" s="2"/>
      </tp>
      <tp t="s">
        <v>#N/A N/A</v>
        <stp/>
        <stp>BDH|15526229521044092937</stp>
        <tr r="I29" s="2"/>
      </tp>
      <tp t="s">
        <v>#N/A N/A</v>
        <stp/>
        <stp>BDH|18421671778821833076</stp>
        <tr r="I35" s="2"/>
      </tp>
      <tp t="s">
        <v>#N/A N/A</v>
        <stp/>
        <stp>BDH|12749523899626962019</stp>
        <tr r="N36" s="2"/>
      </tp>
      <tp t="s">
        <v>#N/A N/A</v>
        <stp/>
        <stp>BDH|13783140068464850840</stp>
        <tr r="V9" s="2"/>
      </tp>
      <tp t="s">
        <v>#N/A N/A</v>
        <stp/>
        <stp>BDH|13742874816901754373</stp>
        <tr r="AB40" s="2"/>
      </tp>
      <tp t="s">
        <v>#N/A N/A</v>
        <stp/>
        <stp>BDH|11284201262458064564</stp>
        <tr r="Z62" s="2"/>
      </tp>
      <tp t="s">
        <v>#N/A N/A</v>
        <stp/>
        <stp>BDH|13065942776353075643</stp>
        <tr r="AB49" s="2"/>
      </tp>
      <tp t="s">
        <v>#N/A N/A</v>
        <stp/>
        <stp>BDH|15833872603424253182</stp>
        <tr r="G8" s="2"/>
      </tp>
      <tp t="s">
        <v>#N/A N/A</v>
        <stp/>
        <stp>BDH|14920962081244237952</stp>
        <tr r="R67" s="2"/>
      </tp>
      <tp t="s">
        <v>#N/A N/A</v>
        <stp/>
        <stp>BDH|11232638529934615971</stp>
        <tr r="Q27" s="2"/>
      </tp>
      <tp t="s">
        <v>#N/A N/A</v>
        <stp/>
        <stp>BDH|14372258385164888220</stp>
        <tr r="F23" s="2"/>
      </tp>
      <tp t="s">
        <v>#N/A N/A</v>
        <stp/>
        <stp>BDH|10031312129570792969</stp>
        <tr r="R25" s="2"/>
      </tp>
      <tp t="s">
        <v>#N/A N/A</v>
        <stp/>
        <stp>BDH|12100211997746642798</stp>
        <tr r="Q26" s="2"/>
      </tp>
      <tp t="s">
        <v>#N/A N/A</v>
        <stp/>
        <stp>BDH|18111083364303298552</stp>
        <tr r="AD8" s="2"/>
      </tp>
      <tp t="s">
        <v>#N/A N/A</v>
        <stp/>
        <stp>BDH|12097532444959420290</stp>
        <tr r="M32" s="2"/>
      </tp>
      <tp t="s">
        <v>#N/A N/A</v>
        <stp/>
        <stp>BDH|13675096200318561303</stp>
        <tr r="K31" s="2"/>
      </tp>
      <tp t="s">
        <v>#N/A N/A</v>
        <stp/>
        <stp>BDH|11506335990294438782</stp>
        <tr r="F63" s="2"/>
      </tp>
      <tp t="s">
        <v>#N/A N/A</v>
        <stp/>
        <stp>BDH|14529380590746682067</stp>
        <tr r="F64" s="2"/>
      </tp>
      <tp t="s">
        <v>#N/A N/A</v>
        <stp/>
        <stp>BDH|13380316678829115668</stp>
        <tr r="D63" s="2"/>
      </tp>
      <tp t="s">
        <v>#N/A N/A</v>
        <stp/>
        <stp>BDH|14752189667789070245</stp>
        <tr r="E54" s="2"/>
      </tp>
      <tp t="s">
        <v>#N/A N/A</v>
        <stp/>
        <stp>BDH|14170585693992476223</stp>
        <tr r="J15" s="2"/>
      </tp>
      <tp t="s">
        <v>#N/A N/A</v>
        <stp/>
        <stp>BDH|16890560463204571940</stp>
        <tr r="X25" s="2"/>
      </tp>
      <tp t="s">
        <v>#N/A N/A</v>
        <stp/>
        <stp>BDH|15643445454979979538</stp>
        <tr r="P9" s="2"/>
      </tp>
      <tp t="s">
        <v>#N/A N/A</v>
        <stp/>
        <stp>BDH|14783736116173923942</stp>
        <tr r="R66" s="2"/>
      </tp>
      <tp t="s">
        <v>#N/A N/A</v>
        <stp/>
        <stp>BDH|17495593877488716520</stp>
        <tr r="V35" s="2"/>
      </tp>
      <tp t="s">
        <v>#N/A N/A</v>
        <stp/>
        <stp>BDH|14411744837468965010</stp>
        <tr r="AC67" s="2"/>
      </tp>
      <tp t="s">
        <v>#N/A N/A</v>
        <stp/>
        <stp>BDH|14175395706129407654</stp>
        <tr r="N45" s="2"/>
      </tp>
      <tp t="s">
        <v>#N/A N/A</v>
        <stp/>
        <stp>BDH|10249523884073003754</stp>
        <tr r="AB42" s="2"/>
      </tp>
      <tp t="s">
        <v>#N/A N/A</v>
        <stp/>
        <stp>BDH|13510470062979736174</stp>
        <tr r="E23" s="2"/>
      </tp>
      <tp t="s">
        <v>#N/A N/A</v>
        <stp/>
        <stp>BDH|11290024803049598163</stp>
        <tr r="U22" s="2"/>
      </tp>
      <tp t="s">
        <v>#N/A N/A</v>
        <stp/>
        <stp>BDH|11571317752176278840</stp>
        <tr r="V63" s="2"/>
      </tp>
      <tp t="s">
        <v>#N/A N/A</v>
        <stp/>
        <stp>BDH|16125432950496158801</stp>
        <tr r="F65" s="2"/>
      </tp>
      <tp t="s">
        <v>#N/A N/A</v>
        <stp/>
        <stp>BDH|11158598685262601789</stp>
        <tr r="R22" s="2"/>
      </tp>
      <tp t="s">
        <v>#N/A N/A</v>
        <stp/>
        <stp>BDH|11761330213343133953</stp>
        <tr r="AD38" s="2"/>
      </tp>
      <tp t="s">
        <v>#N/A N/A</v>
        <stp/>
        <stp>BDH|11086200390344108733</stp>
        <tr r="P25" s="2"/>
      </tp>
      <tp t="s">
        <v>#N/A N/A</v>
        <stp/>
        <stp>BDH|10296714726918599422</stp>
        <tr r="AA41" s="2"/>
      </tp>
      <tp t="s">
        <v>#N/A N/A</v>
        <stp/>
        <stp>BDH|16655202145461138807</stp>
        <tr r="L61" s="2"/>
      </tp>
      <tp t="s">
        <v>#N/A N/A</v>
        <stp/>
        <stp>BDH|11206855410568627937</stp>
        <tr r="N27" s="2"/>
      </tp>
      <tp t="s">
        <v>#N/A N/A</v>
        <stp/>
        <stp>BDH|12599676162448560302</stp>
        <tr r="U56" s="2"/>
      </tp>
      <tp t="s">
        <v>#N/A N/A</v>
        <stp/>
        <stp>BDH|11554956567464297309</stp>
        <tr r="H13" s="2"/>
      </tp>
      <tp t="s">
        <v>#N/A N/A</v>
        <stp/>
        <stp>BDH|16166861742720931395</stp>
        <tr r="Y14" s="2"/>
      </tp>
      <tp t="s">
        <v>#N/A N/A</v>
        <stp/>
        <stp>BDH|13347400117747894881</stp>
        <tr r="AD63" s="2"/>
      </tp>
      <tp t="s">
        <v>#N/A N/A</v>
        <stp/>
        <stp>BDH|12745898379632544667</stp>
        <tr r="D21" s="2"/>
      </tp>
      <tp t="s">
        <v>#N/A N/A</v>
        <stp/>
        <stp>BDH|13659506127759149443</stp>
        <tr r="T18" s="2"/>
      </tp>
      <tp t="s">
        <v>#N/A N/A</v>
        <stp/>
        <stp>BDH|10655661186122721557</stp>
        <tr r="L18" s="2"/>
      </tp>
      <tp t="s">
        <v>#N/A N/A</v>
        <stp/>
        <stp>BDH|10492976255117341221</stp>
        <tr r="AA13" s="2"/>
      </tp>
      <tp t="s">
        <v>#N/A N/A</v>
        <stp/>
        <stp>BDH|18176633573741651104</stp>
        <tr r="Y68" s="2"/>
      </tp>
      <tp t="s">
        <v>#N/A N/A</v>
        <stp/>
        <stp>BDH|13279490997761980639</stp>
        <tr r="W63" s="2"/>
      </tp>
      <tp t="s">
        <v>#N/A N/A</v>
        <stp/>
        <stp>BDH|12168812942274389384</stp>
        <tr r="N65" s="2"/>
      </tp>
      <tp t="s">
        <v>#N/A N/A</v>
        <stp/>
        <stp>BDH|15145504207270607998</stp>
        <tr r="Y69" s="2"/>
      </tp>
      <tp t="s">
        <v>#N/A N/A</v>
        <stp/>
        <stp>BDH|12786668409829940483</stp>
        <tr r="Q10" s="2"/>
      </tp>
      <tp t="s">
        <v>#N/A N/A</v>
        <stp/>
        <stp>BDH|16202340851708638197</stp>
        <tr r="H40" s="2"/>
      </tp>
      <tp t="s">
        <v>#N/A N/A</v>
        <stp/>
        <stp>BDH|10531592337147412870</stp>
        <tr r="C33" s="2"/>
      </tp>
      <tp t="s">
        <v>#N/A N/A</v>
        <stp/>
        <stp>BDH|10480667559573946991</stp>
        <tr r="E53" s="2"/>
      </tp>
      <tp t="s">
        <v>#N/A N/A</v>
        <stp/>
        <stp>BDH|12497876811850129298</stp>
        <tr r="R37" s="2"/>
      </tp>
      <tp t="s">
        <v>#N/A N/A</v>
        <stp/>
        <stp>BDH|12076787003094425857</stp>
        <tr r="Q30" s="2"/>
      </tp>
      <tp t="s">
        <v>#N/A N/A</v>
        <stp/>
        <stp>BDH|12962948721086772666</stp>
        <tr r="O51" s="2"/>
      </tp>
      <tp t="s">
        <v>#N/A N/A</v>
        <stp/>
        <stp>BDH|13847214821648124247</stp>
        <tr r="V11" s="2"/>
      </tp>
      <tp t="s">
        <v>#N/A N/A</v>
        <stp/>
        <stp>BDH|14706592562009122702</stp>
        <tr r="AA64" s="2"/>
      </tp>
      <tp t="s">
        <v>#N/A N/A</v>
        <stp/>
        <stp>BDH|13080775480204844138</stp>
        <tr r="D66" s="2"/>
      </tp>
      <tp t="s">
        <v>#N/A N/A</v>
        <stp/>
        <stp>BDH|15458440481444401490</stp>
        <tr r="J20" s="2"/>
      </tp>
      <tp t="s">
        <v>#N/A N/A</v>
        <stp/>
        <stp>BDH|15263205225089124587</stp>
        <tr r="F69" s="2"/>
      </tp>
      <tp t="s">
        <v>#N/A N/A</v>
        <stp/>
        <stp>BDH|12456048884480523403</stp>
        <tr r="Y71" s="2"/>
      </tp>
      <tp t="s">
        <v>#N/A N/A</v>
        <stp/>
        <stp>BDH|14722987492603538990</stp>
        <tr r="L67" s="2"/>
      </tp>
      <tp t="s">
        <v>#N/A N/A</v>
        <stp/>
        <stp>BDH|11505621093983608328</stp>
        <tr r="V17" s="2"/>
      </tp>
      <tp t="s">
        <v>#N/A N/A</v>
        <stp/>
        <stp>BDH|12470417667456271804</stp>
        <tr r="Y25" s="2"/>
      </tp>
      <tp t="s">
        <v>#N/A N/A</v>
        <stp/>
        <stp>BDH|11732446011622246834</stp>
        <tr r="D11" s="2"/>
      </tp>
      <tp t="s">
        <v>#N/A N/A</v>
        <stp/>
        <stp>BDH|14468777683002510767</stp>
        <tr r="W23" s="2"/>
      </tp>
      <tp t="s">
        <v>#N/A N/A</v>
        <stp/>
        <stp>BDH|10217036199237276094</stp>
        <tr r="AA19" s="2"/>
      </tp>
      <tp t="s">
        <v>#N/A N/A</v>
        <stp/>
        <stp>BDH|14620946847305767215</stp>
        <tr r="X66" s="2"/>
      </tp>
      <tp t="s">
        <v>#N/A N/A</v>
        <stp/>
        <stp>BDH|14639189699845162749</stp>
        <tr r="T60" s="2"/>
      </tp>
      <tp t="s">
        <v>#N/A N/A</v>
        <stp/>
        <stp>BDH|14191805040322441476</stp>
        <tr r="I16" s="2"/>
      </tp>
      <tp t="s">
        <v>#N/A N/A</v>
        <stp/>
        <stp>BDH|13753144985230686453</stp>
        <tr r="S28" s="2"/>
      </tp>
      <tp t="s">
        <v>#N/A N/A</v>
        <stp/>
        <stp>BDH|16740535722986602958</stp>
        <tr r="AA53" s="2"/>
      </tp>
      <tp t="s">
        <v>#N/A N/A</v>
        <stp/>
        <stp>BDH|15174196726660941825</stp>
        <tr r="S67" s="2"/>
      </tp>
      <tp t="s">
        <v>#N/A N/A</v>
        <stp/>
        <stp>BDH|11974979784178878667</stp>
        <tr r="M21" s="2"/>
      </tp>
      <tp t="s">
        <v>#N/A N/A</v>
        <stp/>
        <stp>BDH|15906879974731810560</stp>
        <tr r="D60" s="2"/>
      </tp>
      <tp t="s">
        <v>#N/A N/A</v>
        <stp/>
        <stp>BDH|13219693728660792902</stp>
        <tr r="W8" s="2"/>
      </tp>
      <tp t="s">
        <v>#N/A N/A</v>
        <stp/>
        <stp>BDH|12620148285790752545</stp>
        <tr r="J33" s="2"/>
      </tp>
      <tp t="s">
        <v>#N/A N/A</v>
        <stp/>
        <stp>BDH|10938016587680330680</stp>
        <tr r="H41" s="2"/>
      </tp>
      <tp t="s">
        <v>#N/A N/A</v>
        <stp/>
        <stp>BDH|14924878825187533793</stp>
        <tr r="N50" s="2"/>
      </tp>
      <tp t="s">
        <v>#N/A N/A</v>
        <stp/>
        <stp>BDH|15996343256725436887</stp>
        <tr r="H32" s="2"/>
      </tp>
      <tp t="s">
        <v>#N/A N/A</v>
        <stp/>
        <stp>BDH|17004216760379204448</stp>
        <tr r="N38" s="2"/>
      </tp>
      <tp t="s">
        <v>#N/A N/A</v>
        <stp/>
        <stp>BDH|14204870668947823329</stp>
        <tr r="Y28" s="2"/>
      </tp>
      <tp t="s">
        <v>#N/A N/A</v>
        <stp/>
        <stp>BDH|18299705866927300002</stp>
        <tr r="J48" s="2"/>
      </tp>
      <tp t="s">
        <v>#N/A N/A</v>
        <stp/>
        <stp>BDH|11175482111183834960</stp>
        <tr r="D15" s="2"/>
      </tp>
      <tp t="s">
        <v>#N/A N/A</v>
        <stp/>
        <stp>BDH|13163714038931818893</stp>
        <tr r="I8" s="2"/>
      </tp>
      <tp t="s">
        <v>#N/A N/A</v>
        <stp/>
        <stp>BDH|15991514680262033414</stp>
        <tr r="AA6" s="2"/>
      </tp>
      <tp t="s">
        <v>#N/A N/A</v>
        <stp/>
        <stp>BDH|13619556490583871229</stp>
        <tr r="T37" s="2"/>
      </tp>
      <tp t="s">
        <v>#N/A N/A</v>
        <stp/>
        <stp>BDH|16134703803079842636</stp>
        <tr r="N28" s="2"/>
      </tp>
      <tp t="s">
        <v>#N/A N/A</v>
        <stp/>
        <stp>BDH|15604996822321058152</stp>
        <tr r="O55" s="2"/>
      </tp>
      <tp t="s">
        <v>#N/A N/A</v>
        <stp/>
        <stp>BDH|14652576698671606775</stp>
        <tr r="W24" s="2"/>
      </tp>
      <tp t="s">
        <v>#N/A N/A</v>
        <stp/>
        <stp>BDH|12489183476672961897</stp>
        <tr r="AB63" s="2"/>
      </tp>
      <tp t="s">
        <v>#N/A N/A</v>
        <stp/>
        <stp>BDH|13362758768914259866</stp>
        <tr r="J37" s="2"/>
      </tp>
      <tp t="s">
        <v>#N/A N/A</v>
        <stp/>
        <stp>BDH|11829269845128991187</stp>
        <tr r="T70" s="2"/>
      </tp>
      <tp t="s">
        <v>#N/A N/A</v>
        <stp/>
        <stp>BDH|14931652087482391656</stp>
        <tr r="G27" s="2"/>
      </tp>
      <tp t="s">
        <v>#N/A N/A</v>
        <stp/>
        <stp>BDH|11470637068108490762</stp>
        <tr r="X51" s="2"/>
      </tp>
      <tp t="s">
        <v>#N/A N/A</v>
        <stp/>
        <stp>BDH|16321107438682794818</stp>
        <tr r="AC19" s="2"/>
      </tp>
      <tp t="s">
        <v>#N/A N/A</v>
        <stp/>
        <stp>BDH|15846208404899614073</stp>
        <tr r="I36" s="2"/>
      </tp>
      <tp t="s">
        <v>#N/A N/A</v>
        <stp/>
        <stp>BDH|13166190301409020545</stp>
        <tr r="M53" s="2"/>
      </tp>
      <tp t="s">
        <v>#N/A N/A</v>
        <stp/>
        <stp>BDH|10311056713319850618</stp>
        <tr r="I55" s="2"/>
      </tp>
      <tp t="s">
        <v>#N/A N/A</v>
        <stp/>
        <stp>BDH|18418492212206430575</stp>
        <tr r="AB67" s="2"/>
      </tp>
      <tp t="s">
        <v>#N/A N/A</v>
        <stp/>
        <stp>BDH|10078301470092410880</stp>
        <tr r="S55" s="2"/>
      </tp>
      <tp t="s">
        <v>#N/A N/A</v>
        <stp/>
        <stp>BDH|16673595455530684809</stp>
        <tr r="N40" s="2"/>
      </tp>
      <tp t="s">
        <v>#N/A N/A</v>
        <stp/>
        <stp>BDH|15906827235077645778</stp>
        <tr r="P64" s="2"/>
      </tp>
      <tp t="s">
        <v>#N/A N/A</v>
        <stp/>
        <stp>BDH|17240191719001440883</stp>
        <tr r="AB68" s="2"/>
      </tp>
      <tp t="s">
        <v>#N/A N/A</v>
        <stp/>
        <stp>BDH|13302684894655884661</stp>
        <tr r="W49" s="2"/>
      </tp>
      <tp t="s">
        <v>#N/A N/A</v>
        <stp/>
        <stp>BDH|16375219084876496531</stp>
        <tr r="H10" s="2"/>
      </tp>
      <tp t="s">
        <v>#N/A N/A</v>
        <stp/>
        <stp>BDH|15228304693296180611</stp>
        <tr r="Q49" s="2"/>
      </tp>
      <tp t="s">
        <v>#N/A N/A</v>
        <stp/>
        <stp>BDH|12435247730748714461</stp>
        <tr r="Q36" s="2"/>
      </tp>
      <tp t="s">
        <v>#N/A N/A</v>
        <stp/>
        <stp>BDH|17211133506649094069</stp>
        <tr r="M63" s="2"/>
      </tp>
      <tp t="s">
        <v>#N/A N/A</v>
        <stp/>
        <stp>BDH|11562352342399136007</stp>
        <tr r="O36" s="2"/>
      </tp>
      <tp t="s">
        <v>#N/A N/A</v>
        <stp/>
        <stp>BDH|15060284316718441191</stp>
        <tr r="M30" s="2"/>
      </tp>
      <tp t="s">
        <v>#N/A N/A</v>
        <stp/>
        <stp>BDH|15927285234182282955</stp>
        <tr r="Y10" s="2"/>
      </tp>
      <tp t="s">
        <v>#N/A N/A</v>
        <stp/>
        <stp>BDH|12324411407360312948</stp>
        <tr r="R54" s="2"/>
      </tp>
      <tp t="s">
        <v>#N/A N/A</v>
        <stp/>
        <stp>BDH|10473958977634116559</stp>
        <tr r="D29" s="2"/>
      </tp>
      <tp t="s">
        <v>#N/A N/A</v>
        <stp/>
        <stp>BDH|16967911249241607551</stp>
        <tr r="V8" s="2"/>
      </tp>
      <tp t="s">
        <v>#N/A N/A</v>
        <stp/>
        <stp>BDH|17633116785982273352</stp>
        <tr r="G39" s="2"/>
      </tp>
      <tp t="s">
        <v>#N/A N/A</v>
        <stp/>
        <stp>BDH|13762754818032626898</stp>
        <tr r="Y66" s="2"/>
      </tp>
      <tp t="s">
        <v>#N/A N/A</v>
        <stp/>
        <stp>BDH|16574961802518362879</stp>
        <tr r="S32" s="2"/>
      </tp>
      <tp t="s">
        <v>#N/A N/A</v>
        <stp/>
        <stp>BDH|14560243212229219144</stp>
        <tr r="G56" s="2"/>
      </tp>
      <tp t="s">
        <v>#N/A N/A</v>
        <stp/>
        <stp>BDH|17362462680763531756</stp>
        <tr r="Y49" s="2"/>
      </tp>
      <tp t="s">
        <v>#N/A N/A</v>
        <stp/>
        <stp>BDH|11963732884236967739</stp>
        <tr r="AC28" s="2"/>
      </tp>
      <tp t="s">
        <v>#N/A N/A</v>
        <stp/>
        <stp>BDH|12129949112706642350</stp>
        <tr r="T49" s="2"/>
      </tp>
      <tp t="s">
        <v>#N/A N/A</v>
        <stp/>
        <stp>BDH|15412046182217167576</stp>
        <tr r="Z40" s="2"/>
      </tp>
      <tp t="s">
        <v>#N/A N/A</v>
        <stp/>
        <stp>BDH|10921180783892070469</stp>
        <tr r="Q64" s="2"/>
      </tp>
      <tp t="s">
        <v>#N/A N/A</v>
        <stp/>
        <stp>BDH|17884385010083370941</stp>
        <tr r="O16" s="2"/>
      </tp>
      <tp t="s">
        <v>#N/A N/A</v>
        <stp/>
        <stp>BDH|15475629286781711507</stp>
        <tr r="O63" s="2"/>
      </tp>
      <tp t="s">
        <v>#N/A N/A</v>
        <stp/>
        <stp>BDH|17397145243068335508</stp>
        <tr r="AC39" s="2"/>
      </tp>
      <tp t="s">
        <v>#N/A N/A</v>
        <stp/>
        <stp>BDH|12220816744534879583</stp>
        <tr r="Q68" s="2"/>
      </tp>
      <tp t="s">
        <v>#N/A N/A</v>
        <stp/>
        <stp>BDH|14281822402056535513</stp>
        <tr r="U63" s="2"/>
      </tp>
      <tp t="s">
        <v>#N/A N/A</v>
        <stp/>
        <stp>BDH|16397842271892525458</stp>
        <tr r="N17" s="2"/>
      </tp>
      <tp t="s">
        <v>#N/A N/A</v>
        <stp/>
        <stp>BDH|15437943371882363640</stp>
        <tr r="AD67" s="2"/>
      </tp>
      <tp t="s">
        <v>#N/A N/A</v>
        <stp/>
        <stp>BDH|15790621165008225244</stp>
        <tr r="N67" s="2"/>
      </tp>
      <tp t="s">
        <v>#N/A N/A</v>
        <stp/>
        <stp>BDH|17051918937662690060</stp>
        <tr r="U49" s="2"/>
      </tp>
      <tp t="s">
        <v>#N/A N/A</v>
        <stp/>
        <stp>BDH|11205114785537642099</stp>
        <tr r="AD49" s="2"/>
      </tp>
      <tp t="s">
        <v>#N/A N/A</v>
        <stp/>
        <stp>BDH|16451610578129159157</stp>
        <tr r="K39" s="2"/>
      </tp>
      <tp t="s">
        <v>#N/A N/A</v>
        <stp/>
        <stp>BDH|18003259865697882413</stp>
        <tr r="AC18" s="2"/>
      </tp>
      <tp t="s">
        <v>#N/A N/A</v>
        <stp/>
        <stp>BDH|16880651857028711255</stp>
        <tr r="P31" s="2"/>
      </tp>
      <tp t="s">
        <v>#N/A N/A</v>
        <stp/>
        <stp>BDH|14275171387802993036</stp>
        <tr r="U33" s="2"/>
      </tp>
      <tp t="s">
        <v>#N/A N/A</v>
        <stp/>
        <stp>BDH|11174416183826813401</stp>
        <tr r="P63" s="2"/>
      </tp>
      <tp t="s">
        <v>#N/A N/A</v>
        <stp/>
        <stp>BDH|12964461603051653812</stp>
        <tr r="AB65" s="2"/>
      </tp>
      <tp t="s">
        <v>#N/A N/A</v>
        <stp/>
        <stp>BDH|11941836372990490177</stp>
        <tr r="R50" s="2"/>
      </tp>
      <tp t="s">
        <v>#N/A N/A</v>
        <stp/>
        <stp>BDH|15665106634660800812</stp>
        <tr r="C49" s="2"/>
      </tp>
      <tp t="s">
        <v>#N/A N/A</v>
        <stp/>
        <stp>BDH|17229980903314315514</stp>
        <tr r="P26" s="2"/>
      </tp>
      <tp t="s">
        <v>#N/A N/A</v>
        <stp/>
        <stp>BDH|16270378783943972145</stp>
        <tr r="Y31" s="2"/>
      </tp>
      <tp t="s">
        <v>#N/A N/A</v>
        <stp/>
        <stp>BDH|18084764869034737229</stp>
        <tr r="F31" s="2"/>
      </tp>
      <tp t="s">
        <v>#N/A N/A</v>
        <stp/>
        <stp>BDH|13570280094874754334</stp>
        <tr r="V6" s="2"/>
      </tp>
      <tp t="s">
        <v>#N/A N/A</v>
        <stp/>
        <stp>BDH|17390355415652676895</stp>
        <tr r="M61" s="2"/>
      </tp>
      <tp t="s">
        <v>#N/A N/A</v>
        <stp/>
        <stp>BDH|17489472140981763982</stp>
        <tr r="D42" s="2"/>
      </tp>
      <tp t="s">
        <v>#N/A N/A</v>
        <stp/>
        <stp>BDH|14935730751218767103</stp>
        <tr r="AB71" s="2"/>
      </tp>
      <tp t="s">
        <v>#N/A N/A</v>
        <stp/>
        <stp>BDH|12531206588830717757</stp>
        <tr r="O42" s="2"/>
      </tp>
      <tp t="s">
        <v>#N/A N/A</v>
        <stp/>
        <stp>BDH|11292481474304219930</stp>
        <tr r="E51" s="2"/>
      </tp>
      <tp t="s">
        <v>#N/A N/A</v>
        <stp/>
        <stp>BDH|12972179280526233231</stp>
        <tr r="AC22" s="2"/>
      </tp>
      <tp t="s">
        <v>#N/A N/A</v>
        <stp/>
        <stp>BDH|13232989907264121134</stp>
        <tr r="N48" s="2"/>
      </tp>
      <tp t="s">
        <v>#N/A N/A</v>
        <stp/>
        <stp>BDH|13851305347658391333</stp>
        <tr r="W68" s="2"/>
      </tp>
      <tp t="s">
        <v>#N/A N/A</v>
        <stp/>
        <stp>BDH|16881570310415970897</stp>
        <tr r="AC41" s="2"/>
      </tp>
      <tp t="s">
        <v>#N/A N/A</v>
        <stp/>
        <stp>BDH|14139896866441080400</stp>
        <tr r="F53" s="2"/>
      </tp>
      <tp t="s">
        <v>#N/A N/A</v>
        <stp/>
        <stp>BDH|18024322013863815675</stp>
        <tr r="T61" s="2"/>
      </tp>
      <tp t="s">
        <v>#N/A N/A</v>
        <stp/>
        <stp>BDH|13291854504177244004</stp>
        <tr r="AC44" s="2"/>
      </tp>
      <tp t="s">
        <v>#N/A N/A</v>
        <stp/>
        <stp>BDH|18020215510187447042</stp>
        <tr r="AA62" s="2"/>
      </tp>
      <tp t="s">
        <v>#N/A N/A</v>
        <stp/>
        <stp>BDH|11035724052558668772</stp>
        <tr r="AD62" s="2"/>
      </tp>
      <tp t="s">
        <v>#N/A N/A</v>
        <stp/>
        <stp>BDH|10538753530888263038</stp>
        <tr r="E9" s="2"/>
      </tp>
      <tp t="s">
        <v>#N/A N/A</v>
        <stp/>
        <stp>BDH|14557531784061593468</stp>
        <tr r="T28" s="2"/>
      </tp>
      <tp t="s">
        <v>#N/A N/A</v>
        <stp/>
        <stp>BDH|15848250687571930201</stp>
        <tr r="C6" s="2"/>
      </tp>
      <tp t="s">
        <v>#N/A N/A</v>
        <stp/>
        <stp>BDH|16450398169969296659</stp>
        <tr r="M33" s="2"/>
      </tp>
      <tp t="s">
        <v>#N/A N/A</v>
        <stp/>
        <stp>BDH|15256915061117880183</stp>
        <tr r="AB16" s="2"/>
      </tp>
      <tp t="s">
        <v>#N/A N/A</v>
        <stp/>
        <stp>BDH|16489736575719844383</stp>
        <tr r="M39" s="2"/>
      </tp>
      <tp t="s">
        <v>#N/A N/A</v>
        <stp/>
        <stp>BDH|15563552717369779452</stp>
        <tr r="C24" s="2"/>
      </tp>
      <tp t="s">
        <v>#N/A N/A</v>
        <stp/>
        <stp>BDH|12581663819900741980</stp>
        <tr r="R35" s="2"/>
      </tp>
      <tp t="s">
        <v>#N/A N/A</v>
        <stp/>
        <stp>BDH|12950975471543944328</stp>
        <tr r="T15" s="2"/>
      </tp>
      <tp t="s">
        <v>#N/A N/A</v>
        <stp/>
        <stp>BDH|16194910272403109771</stp>
        <tr r="C7" s="2"/>
      </tp>
      <tp t="s">
        <v>#N/A N/A</v>
        <stp/>
        <stp>BDH|17155958141663106533</stp>
        <tr r="N44" s="2"/>
      </tp>
      <tp t="s">
        <v>#N/A N/A</v>
        <stp/>
        <stp>BDH|12761375323657500819</stp>
        <tr r="K19" s="2"/>
      </tp>
      <tp t="s">
        <v>#N/A N/A</v>
        <stp/>
        <stp>BDH|15708126815819499034</stp>
        <tr r="AD41" s="2"/>
      </tp>
      <tp t="s">
        <v>#N/A N/A</v>
        <stp/>
        <stp>BDH|16453089674115762889</stp>
        <tr r="U15" s="2"/>
      </tp>
      <tp t="s">
        <v>#N/A N/A</v>
        <stp/>
        <stp>BDH|13523827152044550671</stp>
        <tr r="AD14" s="2"/>
      </tp>
      <tp t="s">
        <v>#N/A N/A</v>
        <stp/>
        <stp>BDH|11288509164749187708</stp>
        <tr r="D37" s="2"/>
      </tp>
      <tp t="s">
        <v>#N/A N/A</v>
        <stp/>
        <stp>BDH|10546742417173172905</stp>
        <tr r="E17" s="2"/>
      </tp>
      <tp t="s">
        <v>#N/A N/A</v>
        <stp/>
        <stp>BDH|18354647623587464775</stp>
        <tr r="Q14" s="2"/>
      </tp>
      <tp t="s">
        <v>#N/A N/A</v>
        <stp/>
        <stp>BDH|18413906738157876935</stp>
        <tr r="Z27" s="2"/>
      </tp>
      <tp t="s">
        <v>#N/A N/A</v>
        <stp/>
        <stp>BDH|16101315591613843300</stp>
        <tr r="M55" s="2"/>
      </tp>
      <tp t="s">
        <v>#N/A N/A</v>
        <stp/>
        <stp>BDH|15034717393146339180</stp>
        <tr r="J70" s="2"/>
      </tp>
      <tp t="s">
        <v>#N/A N/A</v>
        <stp/>
        <stp>BDH|17331495883172919593</stp>
        <tr r="G31" s="2"/>
      </tp>
      <tp t="s">
        <v>#N/A N/A</v>
        <stp/>
        <stp>BDH|10557292172230038952</stp>
        <tr r="W30" s="2"/>
      </tp>
      <tp t="s">
        <v>#N/A N/A</v>
        <stp/>
        <stp>BDH|11979937540902256220</stp>
        <tr r="Z6" s="2"/>
      </tp>
      <tp t="s">
        <v>#N/A N/A</v>
        <stp/>
        <stp>BDH|16900990467254846151</stp>
        <tr r="I20" s="2"/>
      </tp>
      <tp t="s">
        <v>#N/A N/A</v>
        <stp/>
        <stp>BDH|10089811334245035291</stp>
        <tr r="U10" s="2"/>
      </tp>
      <tp t="s">
        <v>#N/A N/A</v>
        <stp/>
        <stp>BDH|12860325283861495417</stp>
        <tr r="G63" s="2"/>
      </tp>
      <tp t="s">
        <v>#N/A N/A</v>
        <stp/>
        <stp>BDH|17642738494135933075</stp>
        <tr r="C56" s="2"/>
      </tp>
      <tp t="s">
        <v>#N/A N/A</v>
        <stp/>
        <stp>BDH|12103295472318658339</stp>
        <tr r="H53" s="2"/>
      </tp>
      <tp t="s">
        <v>#N/A N/A</v>
        <stp/>
        <stp>BDH|18316441179311222633</stp>
        <tr r="AC7" s="2"/>
      </tp>
      <tp t="s">
        <v>#N/A N/A</v>
        <stp/>
        <stp>BDH|17478159233929884058</stp>
        <tr r="Q28" s="2"/>
      </tp>
      <tp t="s">
        <v>#N/A N/A</v>
        <stp/>
        <stp>BDH|14627298773008760556</stp>
        <tr r="X31" s="2"/>
      </tp>
      <tp t="s">
        <v>#N/A N/A</v>
        <stp/>
        <stp>BDH|15101919430973815069</stp>
        <tr r="AD7" s="2"/>
      </tp>
      <tp t="s">
        <v>#N/A N/A</v>
        <stp/>
        <stp>BDH|14562719604879750690</stp>
        <tr r="AD54" s="2"/>
      </tp>
      <tp t="s">
        <v>#N/A N/A</v>
        <stp/>
        <stp>BDH|11208033818885685912</stp>
        <tr r="L13" s="2"/>
      </tp>
      <tp t="s">
        <v>#N/A N/A</v>
        <stp/>
        <stp>BDH|14969176022252958840</stp>
        <tr r="J56" s="2"/>
      </tp>
      <tp t="s">
        <v>#N/A N/A</v>
        <stp/>
        <stp>BDH|11587980810413933744</stp>
        <tr r="O31" s="2"/>
      </tp>
      <tp t="s">
        <v>#N/A N/A</v>
        <stp/>
        <stp>BDH|18082132167904743634</stp>
        <tr r="AB14" s="2"/>
      </tp>
      <tp t="s">
        <v>#N/A N/A</v>
        <stp/>
        <stp>BDH|11833542199203774320</stp>
        <tr r="AA63" s="2"/>
      </tp>
      <tp t="s">
        <v>#N/A N/A</v>
        <stp/>
        <stp>BDH|18168541516430783178</stp>
        <tr r="AA37" s="2"/>
      </tp>
      <tp t="s">
        <v>#N/A N/A</v>
        <stp/>
        <stp>BDH|18070240137603475747</stp>
        <tr r="P29" s="2"/>
      </tp>
      <tp t="s">
        <v>#N/A N/A</v>
        <stp/>
        <stp>BDH|16636005961565240867</stp>
        <tr r="AC35" s="2"/>
      </tp>
      <tp t="s">
        <v>#N/A N/A</v>
        <stp/>
        <stp>BDH|17482973142916557173</stp>
        <tr r="R26" s="2"/>
      </tp>
      <tp t="s">
        <v>#N/A N/A</v>
        <stp/>
        <stp>BDH|15675469001445278914</stp>
        <tr r="Y53" s="2"/>
      </tp>
      <tp t="s">
        <v>#N/A N/A</v>
        <stp/>
        <stp>BDH|18362725577400577518</stp>
        <tr r="R55" s="2"/>
      </tp>
      <tp t="s">
        <v>#N/A N/A</v>
        <stp/>
        <stp>BDH|10243221415379032778</stp>
        <tr r="AB25" s="2"/>
      </tp>
      <tp t="s">
        <v>#N/A N/A</v>
        <stp/>
        <stp>BDH|10255773560214622865</stp>
        <tr r="W6" s="2"/>
      </tp>
      <tp t="s">
        <v>#N/A N/A</v>
        <stp/>
        <stp>BDH|12014601749044823940</stp>
        <tr r="Q7" s="2"/>
      </tp>
      <tp t="s">
        <v>#N/A N/A</v>
        <stp/>
        <stp>BDH|13144881787096305885</stp>
        <tr r="AC40" s="2"/>
      </tp>
      <tp t="s">
        <v>#N/A N/A</v>
        <stp/>
        <stp>BDH|18284308513627491018</stp>
        <tr r="P6" s="2"/>
      </tp>
      <tp t="s">
        <v>#N/A N/A</v>
        <stp/>
        <stp>BDH|15409415627267455926</stp>
        <tr r="H30" s="2"/>
      </tp>
      <tp t="s">
        <v>#N/A N/A</v>
        <stp/>
        <stp>BDH|16360870414145344777</stp>
        <tr r="AB50" s="2"/>
      </tp>
      <tp t="s">
        <v>#N/A N/A</v>
        <stp/>
        <stp>BDH|11495817476746560515</stp>
        <tr r="P44" s="2"/>
      </tp>
      <tp t="s">
        <v>#N/A N/A</v>
        <stp/>
        <stp>BDH|13838741440244861938</stp>
        <tr r="O30" s="2"/>
      </tp>
      <tp t="s">
        <v>#N/A N/A</v>
        <stp/>
        <stp>BDH|15740046545618456456</stp>
        <tr r="C27" s="2"/>
      </tp>
      <tp t="s">
        <v>#N/A N/A</v>
        <stp/>
        <stp>BDH|15775015296927011660</stp>
        <tr r="AD42" s="2"/>
      </tp>
      <tp t="s">
        <v>#N/A N/A</v>
        <stp/>
        <stp>BDH|12118259427618102747</stp>
        <tr r="AA29" s="2"/>
      </tp>
      <tp t="s">
        <v>#N/A N/A</v>
        <stp/>
        <stp>BDH|14943297028291960873</stp>
        <tr r="AB70" s="2"/>
      </tp>
      <tp t="s">
        <v>#N/A N/A</v>
        <stp/>
        <stp>BDH|14738940771863363485</stp>
        <tr r="M10" s="2"/>
      </tp>
      <tp t="s">
        <v>#N/A N/A</v>
        <stp/>
        <stp>BDH|10138899417305479122</stp>
        <tr r="AB22" s="2"/>
      </tp>
      <tp t="s">
        <v>#N/A N/A</v>
        <stp/>
        <stp>BDH|14584624669239481036</stp>
        <tr r="K69" s="2"/>
      </tp>
      <tp t="s">
        <v>#N/A N/A</v>
        <stp/>
        <stp>BDH|17350505218637479965</stp>
        <tr r="AA17" s="2"/>
      </tp>
      <tp t="s">
        <v>#N/A N/A</v>
        <stp/>
        <stp>BDH|15938175459084891877</stp>
        <tr r="X17" s="2"/>
      </tp>
      <tp t="s">
        <v>#N/A N/A</v>
        <stp/>
        <stp>BDH|14896611377239018150</stp>
        <tr r="G71" s="2"/>
      </tp>
      <tp t="s">
        <v>#N/A N/A</v>
        <stp/>
        <stp>BDH|11402983884208261504</stp>
        <tr r="AD16" s="2"/>
      </tp>
      <tp t="s">
        <v>#N/A N/A</v>
        <stp/>
        <stp>BDH|17690079946879940736</stp>
        <tr r="R36" s="2"/>
      </tp>
      <tp t="s">
        <v>#N/A N/A</v>
        <stp/>
        <stp>BDH|16814651711855147900</stp>
        <tr r="V22" s="2"/>
      </tp>
      <tp t="s">
        <v>#N/A N/A</v>
        <stp/>
        <stp>BDH|11396282173259233040</stp>
        <tr r="X53" s="2"/>
      </tp>
      <tp t="s">
        <v>#N/A N/A</v>
        <stp/>
        <stp>BDH|12666570777895339747</stp>
        <tr r="J13" s="2"/>
      </tp>
      <tp t="s">
        <v>#N/A N/A</v>
        <stp/>
        <stp>BDH|17064071977916031414</stp>
        <tr r="X45" s="2"/>
      </tp>
      <tp t="s">
        <v>#N/A N/A</v>
        <stp/>
        <stp>BDH|15113112842294489671</stp>
        <tr r="Q56" s="2"/>
      </tp>
      <tp t="s">
        <v>#N/A N/A</v>
        <stp/>
        <stp>BDH|17149859325428232727</stp>
        <tr r="AB36" s="2"/>
      </tp>
      <tp t="s">
        <v>#N/A N/A</v>
        <stp/>
        <stp>BDH|11370209767007055057</stp>
        <tr r="AC17" s="2"/>
      </tp>
      <tp t="s">
        <v>#N/A N/A</v>
        <stp/>
        <stp>BDH|15380341302143101758</stp>
        <tr r="C62" s="2"/>
      </tp>
      <tp t="s">
        <v>#N/A N/A</v>
        <stp/>
        <stp>BDH|16777245574434760514</stp>
        <tr r="H29" s="2"/>
      </tp>
      <tp t="s">
        <v>#N/A N/A</v>
        <stp/>
        <stp>BDH|12895787940557147416</stp>
        <tr r="O38" s="2"/>
      </tp>
      <tp t="s">
        <v>#N/A N/A</v>
        <stp/>
        <stp>BDH|13599222161944334158</stp>
        <tr r="E63" s="2"/>
      </tp>
      <tp t="s">
        <v>#N/A N/A</v>
        <stp/>
        <stp>BDH|15564662259931385597</stp>
        <tr r="J38" s="2"/>
      </tp>
      <tp t="s">
        <v>#N/A N/A</v>
        <stp/>
        <stp>BDH|10834591286397748800</stp>
        <tr r="Q71" s="2"/>
      </tp>
      <tp t="s">
        <v>#N/A N/A</v>
        <stp/>
        <stp>BDH|14697543962925656054</stp>
        <tr r="M14" s="2"/>
      </tp>
      <tp t="s">
        <v>#N/A N/A</v>
        <stp/>
        <stp>BDH|12457519250954239447</stp>
        <tr r="R38" s="2"/>
      </tp>
      <tp t="s">
        <v>#N/A N/A</v>
        <stp/>
        <stp>BDH|16514350267591527016</stp>
        <tr r="S70" s="2"/>
      </tp>
      <tp t="s">
        <v>#N/A N/A</v>
        <stp/>
        <stp>BDH|16027387230411897538</stp>
        <tr r="K61" s="2"/>
      </tp>
      <tp t="s">
        <v>#N/A N/A</v>
        <stp/>
        <stp>BDH|11800251635621940324</stp>
        <tr r="I13" s="2"/>
      </tp>
      <tp t="s">
        <v>#N/A N/A</v>
        <stp/>
        <stp>BDH|12877748242996846557</stp>
        <tr r="E36" s="2"/>
      </tp>
      <tp t="s">
        <v>#N/A N/A</v>
        <stp/>
        <stp>BDH|16896073948229481919</stp>
        <tr r="H67" s="2"/>
      </tp>
      <tp t="s">
        <v>#N/A N/A</v>
        <stp/>
        <stp>BDH|17258472700991158011</stp>
        <tr r="W20" s="2"/>
      </tp>
      <tp t="s">
        <v>#N/A N/A</v>
        <stp/>
        <stp>BDH|16848044747527859769</stp>
        <tr r="P54" s="2"/>
      </tp>
      <tp t="s">
        <v>#N/A N/A</v>
        <stp/>
        <stp>BDH|12475944501029537000</stp>
        <tr r="R51" s="2"/>
      </tp>
      <tp t="s">
        <v>#N/A N/A</v>
        <stp/>
        <stp>BDH|16785221330626565349</stp>
        <tr r="V44" s="2"/>
      </tp>
      <tp t="s">
        <v>#N/A N/A</v>
        <stp/>
        <stp>BDH|12488163342574185151</stp>
        <tr r="G38" s="2"/>
      </tp>
      <tp t="s">
        <v>#N/A N/A</v>
        <stp/>
        <stp>BDH|16699016854677775630</stp>
        <tr r="Q38" s="2"/>
      </tp>
      <tp t="s">
        <v>#N/A N/A</v>
        <stp/>
        <stp>BDH|14121390702002486799</stp>
        <tr r="K12" s="2"/>
      </tp>
      <tp t="s">
        <v>#N/A N/A</v>
        <stp/>
        <stp>BDH|14824398776880800285</stp>
        <tr r="AC27" s="2"/>
      </tp>
      <tp t="s">
        <v>#N/A N/A</v>
        <stp/>
        <stp>BDH|16125140891698494479</stp>
        <tr r="L27" s="2"/>
      </tp>
      <tp t="s">
        <v>#N/A N/A</v>
        <stp/>
        <stp>BDH|14790420983373662965</stp>
        <tr r="S50" s="2"/>
      </tp>
      <tp t="s">
        <v>#N/A N/A</v>
        <stp/>
        <stp>BDH|11803320692920985972</stp>
        <tr r="J14" s="2"/>
      </tp>
      <tp t="s">
        <v>#N/A N/A</v>
        <stp/>
        <stp>BDH|11177220571752610421</stp>
        <tr r="O13" s="2"/>
      </tp>
      <tp t="s">
        <v>#N/A N/A</v>
        <stp/>
        <stp>BDH|16893482409068644898</stp>
        <tr r="D30" s="2"/>
      </tp>
      <tp t="s">
        <v>#N/A N/A</v>
        <stp/>
        <stp>BDH|13755782131514536120</stp>
        <tr r="C64" s="2"/>
      </tp>
      <tp t="s">
        <v>#N/A N/A</v>
        <stp/>
        <stp>BDH|15572288163294444739</stp>
        <tr r="O71" s="2"/>
      </tp>
      <tp t="s">
        <v>#N/A N/A</v>
        <stp/>
        <stp>BDH|16839088718207765269</stp>
        <tr r="S9" s="2"/>
      </tp>
      <tp t="s">
        <v>#N/A N/A</v>
        <stp/>
        <stp>BDH|15893094908647431051</stp>
        <tr r="E45" s="2"/>
      </tp>
      <tp t="s">
        <v>#N/A N/A</v>
        <stp/>
        <stp>BDH|15834535400515248712</stp>
        <tr r="AA20" s="2"/>
      </tp>
      <tp t="s">
        <v>#N/A N/A</v>
        <stp/>
        <stp>BDH|18366217508888626078</stp>
        <tr r="E28" s="2"/>
      </tp>
      <tp t="s">
        <v>#N/A N/A</v>
        <stp/>
        <stp>BDH|12342663034514814124</stp>
        <tr r="P51" s="2"/>
      </tp>
      <tp t="s">
        <v>#N/A N/A</v>
        <stp/>
        <stp>BDH|16100220755200575395</stp>
        <tr r="AB12" s="2"/>
      </tp>
      <tp t="s">
        <v>#N/A N/A</v>
        <stp/>
        <stp>BDH|13515830925693951806</stp>
        <tr r="G10" s="2"/>
      </tp>
      <tp t="s">
        <v>#N/A N/A</v>
        <stp/>
        <stp>BDH|11670700322733014598</stp>
        <tr r="AB60" s="2"/>
      </tp>
      <tp t="s">
        <v>#N/A N/A</v>
        <stp/>
        <stp>BDH|12594197277882494421</stp>
        <tr r="R41" s="2"/>
      </tp>
      <tp t="s">
        <v>#N/A N/A</v>
        <stp/>
        <stp>BDH|17260450818549226906</stp>
        <tr r="C45" s="2"/>
      </tp>
      <tp t="s">
        <v>#N/A N/A</v>
        <stp/>
        <stp>BDH|13735583543446841697</stp>
        <tr r="E66" s="2"/>
      </tp>
      <tp t="s">
        <v>#N/A N/A</v>
        <stp/>
        <stp>BDH|18040402583667600199</stp>
        <tr r="L37" s="2"/>
      </tp>
      <tp t="s">
        <v>#N/A N/A</v>
        <stp/>
        <stp>BDH|12526274763047513389</stp>
        <tr r="K18" s="2"/>
      </tp>
      <tp t="s">
        <v>#N/A N/A</v>
        <stp/>
        <stp>BDH|10665497461467185730</stp>
        <tr r="L65" s="2"/>
      </tp>
      <tp t="s">
        <v>#N/A N/A</v>
        <stp/>
        <stp>BDH|13816128843475373166</stp>
        <tr r="N32" s="2"/>
      </tp>
      <tp t="s">
        <v>#N/A N/A</v>
        <stp/>
        <stp>BDH|11962786729046330070</stp>
        <tr r="F66" s="2"/>
      </tp>
      <tp t="s">
        <v>#N/A N/A</v>
        <stp/>
        <stp>BDH|16986356111551233739</stp>
        <tr r="X63" s="2"/>
      </tp>
      <tp t="s">
        <v>#N/A N/A</v>
        <stp/>
        <stp>BDH|11975129936565654447</stp>
        <tr r="P7" s="2"/>
      </tp>
      <tp t="s">
        <v>#N/A N/A</v>
        <stp/>
        <stp>BDH|15220358529721582744</stp>
        <tr r="S25" s="2"/>
      </tp>
      <tp t="s">
        <v>#N/A N/A</v>
        <stp/>
        <stp>BDH|10209387403325507434</stp>
        <tr r="H33" s="2"/>
      </tp>
      <tp t="s">
        <v>#N/A N/A</v>
        <stp/>
        <stp>BDH|15853104424077272308</stp>
        <tr r="N8" s="2"/>
      </tp>
      <tp t="s">
        <v>#N/A N/A</v>
        <stp/>
        <stp>BDH|10233423178444152573</stp>
        <tr r="F71" s="2"/>
      </tp>
      <tp t="s">
        <v>#N/A N/A</v>
        <stp/>
        <stp>BDH|17161169536821836672</stp>
        <tr r="M41" s="2"/>
      </tp>
      <tp t="s">
        <v>#N/A N/A</v>
        <stp/>
        <stp>BDH|16429418069425518379</stp>
        <tr r="J41" s="2"/>
      </tp>
      <tp t="s">
        <v>#N/A N/A</v>
        <stp/>
        <stp>BDH|12042977497770430154</stp>
        <tr r="P45" s="2"/>
      </tp>
      <tp t="s">
        <v>#N/A N/A</v>
        <stp/>
        <stp>BDH|12498348422197538779</stp>
        <tr r="C41" s="2"/>
      </tp>
      <tp t="s">
        <v>#N/A N/A</v>
        <stp/>
        <stp>BDH|11276689815685970065</stp>
        <tr r="O24" s="2"/>
      </tp>
      <tp t="s">
        <v>#N/A N/A</v>
        <stp/>
        <stp>BDH|12971529145348917874</stp>
        <tr r="D54" s="2"/>
      </tp>
      <tp t="s">
        <v>#N/A N/A</v>
        <stp/>
        <stp>BDH|13765126435305856789</stp>
        <tr r="D10" s="2"/>
      </tp>
      <tp t="s">
        <v>#N/A N/A</v>
        <stp/>
        <stp>BDH|14557535011155761631</stp>
        <tr r="X62" s="2"/>
      </tp>
      <tp t="s">
        <v>#N/A N/A</v>
        <stp/>
        <stp>BDH|14169845017416797875</stp>
        <tr r="H31" s="2"/>
      </tp>
      <tp t="s">
        <v>#N/A N/A</v>
        <stp/>
        <stp>BDH|16802674226022873338</stp>
        <tr r="S19" s="2"/>
      </tp>
      <tp t="s">
        <v>#N/A N/A</v>
        <stp/>
        <stp>BDH|10517465913847532171</stp>
        <tr r="N31" s="2"/>
      </tp>
      <tp t="s">
        <v>#N/A N/A</v>
        <stp/>
        <stp>BDH|11604794847267368693</stp>
        <tr r="X44" s="2"/>
      </tp>
      <tp t="s">
        <v>#N/A N/A</v>
        <stp/>
        <stp>BDH|13987798531296156257</stp>
        <tr r="AB45" s="2"/>
      </tp>
      <tp t="s">
        <v>#N/A N/A</v>
        <stp/>
        <stp>BDH|15727418525671514139</stp>
        <tr r="D64" s="2"/>
      </tp>
      <tp t="s">
        <v>#N/A N/A</v>
        <stp/>
        <stp>BDH|12153020314696297610</stp>
        <tr r="H49" s="2"/>
      </tp>
      <tp t="s">
        <v>#N/A N/A</v>
        <stp/>
        <stp>BDH|10381070681489518243</stp>
        <tr r="N21" s="2"/>
      </tp>
      <tp t="s">
        <v>#N/A N/A</v>
        <stp/>
        <stp>BDH|13968150658491199518</stp>
        <tr r="S45" s="2"/>
      </tp>
      <tp t="s">
        <v>#N/A N/A</v>
        <stp/>
        <stp>BDH|12798470664905289611</stp>
        <tr r="X15" s="2"/>
      </tp>
      <tp t="s">
        <v>#N/A N/A</v>
        <stp/>
        <stp>BDH|13381737360149300842</stp>
        <tr r="F34" s="2"/>
        <tr r="F46" s="2"/>
      </tp>
      <tp t="s">
        <v>#N/A N/A</v>
        <stp/>
        <stp>BDH|12998429978274317673</stp>
        <tr r="AD61" s="2"/>
      </tp>
      <tp t="s">
        <v>#N/A N/A</v>
        <stp/>
        <stp>BDH|13438369835361580155</stp>
        <tr r="G45" s="2"/>
      </tp>
      <tp t="s">
        <v>#N/A N/A</v>
        <stp/>
        <stp>BDH|14189171236246205342</stp>
        <tr r="AB31" s="2"/>
      </tp>
      <tp t="s">
        <v>#N/A N/A</v>
        <stp/>
        <stp>BDH|11949759840670318195</stp>
        <tr r="J61" s="2"/>
      </tp>
      <tp t="s">
        <v>#N/A N/A</v>
        <stp/>
        <stp>BDH|16368944410874276931</stp>
        <tr r="C48" s="2"/>
      </tp>
      <tp t="s">
        <v>#N/A N/A</v>
        <stp/>
        <stp>BDH|13776394408761432244</stp>
        <tr r="U20" s="2"/>
      </tp>
      <tp t="s">
        <v>#N/A N/A</v>
        <stp/>
        <stp>BDH|16313520094650549961</stp>
        <tr r="F11" s="2"/>
      </tp>
      <tp t="s">
        <v>#N/A N/A</v>
        <stp/>
        <stp>BDH|17323296699826799927</stp>
        <tr r="Y19" s="2"/>
      </tp>
      <tp t="s">
        <v>#N/A N/A</v>
        <stp/>
        <stp>BDH|14889480336676683667</stp>
        <tr r="I70" s="2"/>
      </tp>
      <tp t="s">
        <v>#N/A N/A</v>
        <stp/>
        <stp>BDH|16672661654215579376</stp>
        <tr r="J62" s="2"/>
      </tp>
      <tp t="s">
        <v>#N/A N/A</v>
        <stp/>
        <stp>BDH|10007092125904704523</stp>
        <tr r="V13" s="2"/>
      </tp>
      <tp t="s">
        <v>#N/A N/A</v>
        <stp/>
        <stp>BDH|17062679018536302558</stp>
        <tr r="J10" s="2"/>
      </tp>
      <tp t="s">
        <v>#N/A N/A</v>
        <stp/>
        <stp>BDH|15992800191017909089</stp>
        <tr r="N9" s="2"/>
      </tp>
      <tp t="s">
        <v>#N/A N/A</v>
        <stp/>
        <stp>BDH|13018296785063058955</stp>
        <tr r="J32" s="2"/>
      </tp>
      <tp t="s">
        <v>#N/A N/A</v>
        <stp/>
        <stp>BDH|13659733283308736782</stp>
        <tr r="H36" s="2"/>
      </tp>
      <tp t="s">
        <v>#N/A N/A</v>
        <stp/>
        <stp>BDH|16538288004127592057</stp>
        <tr r="AD6" s="2"/>
      </tp>
      <tp t="s">
        <v>#N/A N/A</v>
        <stp/>
        <stp>BDH|17631386297166062829</stp>
        <tr r="K48" s="2"/>
      </tp>
      <tp t="s">
        <v>#N/A N/A</v>
        <stp/>
        <stp>BDH|17052495370674596364</stp>
        <tr r="I50" s="2"/>
      </tp>
      <tp t="s">
        <v>#N/A N/A</v>
        <stp/>
        <stp>BDH|12281091393580545877</stp>
        <tr r="U23" s="2"/>
      </tp>
      <tp t="s">
        <v>#N/A N/A</v>
        <stp/>
        <stp>BDH|13566479078293354035</stp>
        <tr r="C28" s="2"/>
      </tp>
      <tp t="s">
        <v>#N/A N/A</v>
        <stp/>
        <stp>BDH|14364743679140205716</stp>
        <tr r="F48" s="2"/>
      </tp>
      <tp t="s">
        <v>#N/A N/A</v>
        <stp/>
        <stp>BDH|16128051268750248331</stp>
        <tr r="C22" s="2"/>
      </tp>
      <tp t="s">
        <v>#N/A N/A</v>
        <stp/>
        <stp>BDH|10835250600843973282</stp>
        <tr r="R64" s="2"/>
      </tp>
      <tp t="s">
        <v>#N/A N/A</v>
        <stp/>
        <stp>BDH|15682716868010870786</stp>
        <tr r="AC34" s="2"/>
        <tr r="AC46" s="2"/>
      </tp>
      <tp t="s">
        <v>#N/A N/A</v>
        <stp/>
        <stp>BDH|12358769336156951354</stp>
        <tr r="AA66" s="2"/>
      </tp>
      <tp t="s">
        <v>#N/A N/A</v>
        <stp/>
        <stp>BDH|15655712137441853375</stp>
        <tr r="H48" s="2"/>
      </tp>
      <tp t="s">
        <v>#N/A N/A</v>
        <stp/>
        <stp>BDH|16417882996144111052</stp>
        <tr r="G18" s="2"/>
      </tp>
      <tp t="s">
        <v>#N/A N/A</v>
        <stp/>
        <stp>BDH|16183341563130894001</stp>
        <tr r="X50" s="2"/>
      </tp>
      <tp t="s">
        <v>#N/A N/A</v>
        <stp/>
        <stp>BDH|14688577407337479631</stp>
        <tr r="R16" s="2"/>
      </tp>
      <tp t="s">
        <v>#N/A N/A</v>
        <stp/>
        <stp>BDH|14723054558597320688</stp>
        <tr r="K64" s="2"/>
      </tp>
      <tp t="s">
        <v>#N/A N/A</v>
        <stp/>
        <stp>BDH|15202739322232442260</stp>
        <tr r="N53" s="2"/>
      </tp>
      <tp t="s">
        <v>#N/A N/A</v>
        <stp/>
        <stp>BDH|14883849479933244861</stp>
        <tr r="P67" s="2"/>
      </tp>
      <tp t="s">
        <v>#N/A N/A</v>
        <stp/>
        <stp>BDH|15189295841127149499</stp>
        <tr r="F20" s="2"/>
      </tp>
      <tp t="s">
        <v>#N/A N/A</v>
        <stp/>
        <stp>BDH|11635053404323758216</stp>
        <tr r="W15" s="2"/>
      </tp>
      <tp t="s">
        <v>#N/A N/A</v>
        <stp/>
        <stp>BDH|12585676512795470045</stp>
        <tr r="N7" s="2"/>
      </tp>
      <tp t="s">
        <v>#N/A N/A</v>
        <stp/>
        <stp>BDH|16637844131744634959</stp>
        <tr r="F55" s="2"/>
      </tp>
      <tp t="s">
        <v>#N/A N/A</v>
        <stp/>
        <stp>BDH|10171097903969253990</stp>
        <tr r="Q61" s="2"/>
      </tp>
      <tp t="s">
        <v>#N/A N/A</v>
        <stp/>
        <stp>BDH|12298208273734247333</stp>
        <tr r="Q41" s="2"/>
      </tp>
      <tp t="s">
        <v>#N/A N/A</v>
        <stp/>
        <stp>BDH|15581323186437267939</stp>
        <tr r="V66" s="2"/>
      </tp>
      <tp t="s">
        <v>#N/A N/A</v>
        <stp/>
        <stp>BDH|16859455250926942174</stp>
        <tr r="F8" s="2"/>
      </tp>
      <tp t="s">
        <v>#N/A N/A</v>
        <stp/>
        <stp>BDH|13618451912131558779</stp>
        <tr r="C12" s="2"/>
      </tp>
      <tp t="s">
        <v>#N/A N/A</v>
        <stp/>
        <stp>BDH|11049126008467119784</stp>
        <tr r="U70" s="2"/>
      </tp>
      <tp t="s">
        <v>#N/A N/A</v>
        <stp/>
        <stp>BDH|17424404826765612475</stp>
        <tr r="I6" s="2"/>
      </tp>
      <tp t="s">
        <v>#N/A N/A</v>
        <stp/>
        <stp>BDH|12633716955188501841</stp>
        <tr r="Q12" s="2"/>
      </tp>
      <tp t="s">
        <v>#N/A N/A</v>
        <stp/>
        <stp>BDH|16736541866352514729</stp>
        <tr r="E26" s="2"/>
      </tp>
      <tp t="s">
        <v>#N/A N/A</v>
        <stp/>
        <stp>BDH|17196451001712358145</stp>
        <tr r="I54" s="2"/>
      </tp>
      <tp t="s">
        <v>#N/A N/A</v>
        <stp/>
        <stp>BDH|10534531393088782409</stp>
        <tr r="AC21" s="2"/>
      </tp>
      <tp t="s">
        <v>#N/A N/A</v>
        <stp/>
        <stp>BDH|10417352913002433045</stp>
        <tr r="W14" s="2"/>
      </tp>
      <tp t="s">
        <v>#N/A N/A</v>
        <stp/>
        <stp>BDH|14794313222145519040</stp>
        <tr r="O29" s="2"/>
      </tp>
      <tp t="s">
        <v>#N/A N/A</v>
        <stp/>
        <stp>BDH|15358510115100731158</stp>
        <tr r="M7" s="2"/>
      </tp>
      <tp t="s">
        <v>#N/A N/A</v>
        <stp/>
        <stp>BDH|14204549284320665911</stp>
        <tr r="Q40" s="2"/>
      </tp>
      <tp t="s">
        <v>#N/A N/A</v>
        <stp/>
        <stp>BDH|12644427220534643072</stp>
        <tr r="O18" s="2"/>
      </tp>
      <tp t="s">
        <v>#N/A N/A</v>
        <stp/>
        <stp>BDH|11303955683435004501</stp>
        <tr r="V48" s="2"/>
      </tp>
      <tp t="s">
        <v>#N/A N/A</v>
        <stp/>
        <stp>BDH|14221951707489352464</stp>
        <tr r="E44" s="2"/>
      </tp>
      <tp t="s">
        <v>#N/A N/A</v>
        <stp/>
        <stp>BDH|13406629060897095420</stp>
        <tr r="I7" s="2"/>
      </tp>
      <tp t="s">
        <v>#N/A N/A</v>
        <stp/>
        <stp>BDH|13221966370584166915</stp>
        <tr r="AA69" s="2"/>
      </tp>
      <tp t="s">
        <v>#N/A N/A</v>
        <stp/>
        <stp>BDH|18351843237081033240</stp>
        <tr r="Y48" s="2"/>
      </tp>
      <tp t="s">
        <v>#N/A N/A</v>
        <stp/>
        <stp>BDH|15661994179662346915</stp>
        <tr r="AD40" s="2"/>
      </tp>
      <tp t="s">
        <v>#N/A N/A</v>
        <stp/>
        <stp>BDH|16478478021094138447</stp>
        <tr r="H51" s="2"/>
      </tp>
      <tp t="s">
        <v>#N/A N/A</v>
        <stp/>
        <stp>BDH|13209540096836435931</stp>
        <tr r="L68" s="2"/>
      </tp>
      <tp t="s">
        <v>#N/A N/A</v>
        <stp/>
        <stp>BDH|15283052608957028288</stp>
        <tr r="X65" s="2"/>
      </tp>
      <tp t="s">
        <v>#N/A N/A</v>
        <stp/>
        <stp>BDH|12619429346610296278</stp>
        <tr r="Q37" s="2"/>
      </tp>
      <tp t="s">
        <v>#N/A N/A</v>
        <stp/>
        <stp>BDH|18024305212742643838</stp>
        <tr r="W32" s="2"/>
      </tp>
      <tp t="s">
        <v>#N/A N/A</v>
        <stp/>
        <stp>BDH|13610132242717414147</stp>
        <tr r="O11" s="2"/>
      </tp>
      <tp t="s">
        <v>#N/A N/A</v>
        <stp/>
        <stp>BDH|16465408143502487441</stp>
        <tr r="X21" s="2"/>
      </tp>
      <tp t="s">
        <v>#N/A N/A</v>
        <stp/>
        <stp>BDH|10851683606774821293</stp>
        <tr r="X46" s="2"/>
        <tr r="X34" s="2"/>
      </tp>
      <tp t="s">
        <v>#N/A N/A</v>
        <stp/>
        <stp>BDH|15170810983664426118</stp>
        <tr r="M11" s="2"/>
      </tp>
      <tp t="s">
        <v>#N/A N/A</v>
        <stp/>
        <stp>BDH|17870075516506702087</stp>
        <tr r="S40" s="2"/>
      </tp>
      <tp t="s">
        <v>#N/A N/A</v>
        <stp/>
        <stp>BDH|15003915679043990879</stp>
        <tr r="C42" s="2"/>
      </tp>
      <tp t="s">
        <v>#N/A N/A</v>
        <stp/>
        <stp>BDH|17646445225402983377</stp>
        <tr r="R69" s="2"/>
      </tp>
      <tp t="s">
        <v>#N/A N/A</v>
        <stp/>
        <stp>BDH|10595230064593325781</stp>
        <tr r="Q35" s="2"/>
      </tp>
      <tp t="s">
        <v>#N/A N/A</v>
        <stp/>
        <stp>BDH|16915533837349071945</stp>
        <tr r="F21" s="2"/>
      </tp>
      <tp t="s">
        <v>#N/A N/A</v>
        <stp/>
        <stp>BDH|17216452778864576027</stp>
        <tr r="Z21" s="2"/>
      </tp>
      <tp t="s">
        <v>#N/A N/A</v>
        <stp/>
        <stp>BDH|14350785570727109326</stp>
        <tr r="D32" s="2"/>
      </tp>
      <tp t="s">
        <v>#N/A N/A</v>
        <stp/>
        <stp>BDH|13424737950135918463</stp>
        <tr r="H19" s="2"/>
      </tp>
      <tp t="s">
        <v>#N/A N/A</v>
        <stp/>
        <stp>BDH|12646192923620446136</stp>
        <tr r="Y8" s="2"/>
      </tp>
      <tp t="s">
        <v>#N/A N/A</v>
        <stp/>
        <stp>BDH|10412018319310555128</stp>
        <tr r="Q45" s="2"/>
      </tp>
      <tp t="s">
        <v>#N/A N/A</v>
        <stp/>
        <stp>BDH|13474240208294532562</stp>
        <tr r="S63" s="2"/>
      </tp>
      <tp t="s">
        <v>#N/A N/A</v>
        <stp/>
        <stp>BDH|17496901618137536832</stp>
        <tr r="X54" s="2"/>
      </tp>
      <tp t="s">
        <v>#N/A N/A</v>
        <stp/>
        <stp>BDH|14099511553462109693</stp>
        <tr r="P61" s="2"/>
      </tp>
      <tp t="s">
        <v>#N/A N/A</v>
        <stp/>
        <stp>BDH|16441123672208617884</stp>
        <tr r="V69" s="2"/>
      </tp>
      <tp t="s">
        <v>#N/A N/A</v>
        <stp/>
        <stp>BDH|13562822088907142437</stp>
        <tr r="V50" s="2"/>
      </tp>
      <tp t="s">
        <v>#N/A N/A</v>
        <stp/>
        <stp>BDH|11674406958326107621</stp>
        <tr r="C14" s="2"/>
      </tp>
      <tp t="s">
        <v>#N/A N/A</v>
        <stp/>
        <stp>BDH|14788324284508440796</stp>
        <tr r="G23" s="2"/>
      </tp>
      <tp t="s">
        <v>#N/A N/A</v>
        <stp/>
        <stp>BDH|15573605831797075785</stp>
        <tr r="I45" s="2"/>
      </tp>
      <tp t="s">
        <v>#N/A N/A</v>
        <stp/>
        <stp>BDH|15122190714117328234</stp>
        <tr r="O56" s="2"/>
      </tp>
      <tp t="s">
        <v>#N/A N/A</v>
        <stp/>
        <stp>BDH|17023517220585866569</stp>
        <tr r="L41" s="2"/>
      </tp>
      <tp t="s">
        <v>#N/A N/A</v>
        <stp/>
        <stp>BDH|17215380566273410170</stp>
        <tr r="I22" s="2"/>
      </tp>
      <tp t="s">
        <v>#N/A N/A</v>
        <stp/>
        <stp>BDH|17374686664624820381</stp>
        <tr r="U31" s="2"/>
      </tp>
      <tp t="s">
        <v>#N/A N/A</v>
        <stp/>
        <stp>BDH|14974492532154963759</stp>
        <tr r="S10" s="2"/>
      </tp>
      <tp t="s">
        <v>#N/A N/A</v>
        <stp/>
        <stp>BDH|13214508069551098158</stp>
        <tr r="AA34" s="2"/>
        <tr r="AA46" s="2"/>
      </tp>
      <tp t="s">
        <v>#N/A N/A</v>
        <stp/>
        <stp>BDH|11365815201328577185</stp>
        <tr r="R56" s="2"/>
      </tp>
      <tp t="s">
        <v>#N/A N/A</v>
        <stp/>
        <stp>BDH|16853104928845237135</stp>
        <tr r="AC69" s="2"/>
      </tp>
      <tp t="s">
        <v>#N/A N/A</v>
        <stp/>
        <stp>BDH|16277282074743843170</stp>
        <tr r="W29" s="2"/>
      </tp>
      <tp t="s">
        <v>#N/A N/A</v>
        <stp/>
        <stp>BDH|14594725448746658097</stp>
        <tr r="Q63" s="2"/>
      </tp>
      <tp t="s">
        <v>#N/A N/A</v>
        <stp/>
        <stp>BDH|16674854289393974430</stp>
        <tr r="H6" s="2"/>
      </tp>
      <tp t="s">
        <v>#N/A N/A</v>
        <stp/>
        <stp>BDH|10478293286828836305</stp>
        <tr r="M22" s="2"/>
      </tp>
      <tp t="s">
        <v>#N/A N/A</v>
        <stp/>
        <stp>BDH|11257612855234167741</stp>
        <tr r="H65" s="2"/>
      </tp>
      <tp t="s">
        <v>#N/A N/A</v>
        <stp/>
        <stp>BDH|12902109938854292508</stp>
        <tr r="AC42" s="2"/>
      </tp>
      <tp t="s">
        <v>#N/A N/A</v>
        <stp/>
        <stp>BDH|18357425570228599262</stp>
        <tr r="I12" s="2"/>
      </tp>
      <tp t="s">
        <v>#N/A N/A</v>
        <stp/>
        <stp>BDH|14012669602213545037</stp>
        <tr r="T38" s="2"/>
      </tp>
      <tp t="s">
        <v>#N/A N/A</v>
        <stp/>
        <stp>BDH|13753571940274114736</stp>
        <tr r="H27" s="2"/>
      </tp>
      <tp t="s">
        <v>#N/A N/A</v>
        <stp/>
        <stp>BDH|12574474953543218111</stp>
        <tr r="G21" s="2"/>
      </tp>
      <tp t="s">
        <v>#N/A N/A</v>
        <stp/>
        <stp>BDH|13126833838881194894</stp>
        <tr r="W71" s="2"/>
      </tp>
      <tp t="s">
        <v>#N/A N/A</v>
        <stp/>
        <stp>BDH|12105024947853000416</stp>
        <tr r="G12" s="2"/>
      </tp>
      <tp t="s">
        <v>#N/A N/A</v>
        <stp/>
        <stp>BDH|16473860843232103953</stp>
        <tr r="W11" s="2"/>
      </tp>
      <tp t="s">
        <v>#N/A N/A</v>
        <stp/>
        <stp>BDH|11758934891567847786</stp>
        <tr r="M18" s="2"/>
      </tp>
      <tp t="s">
        <v>#N/A N/A</v>
        <stp/>
        <stp>BDH|12563042911332350079</stp>
        <tr r="N18" s="2"/>
      </tp>
      <tp t="s">
        <v>#N/A N/A</v>
        <stp/>
        <stp>BDH|10045691252421818378</stp>
        <tr r="AD13" s="2"/>
      </tp>
      <tp t="s">
        <v>#N/A N/A</v>
        <stp/>
        <stp>BDH|14533934580970387412</stp>
        <tr r="G16" s="2"/>
      </tp>
      <tp t="s">
        <v>#N/A N/A</v>
        <stp/>
        <stp>BDH|14953273755641832342</stp>
        <tr r="O12" s="2"/>
      </tp>
      <tp t="s">
        <v>#N/A N/A</v>
        <stp/>
        <stp>BDH|11034324783693657804</stp>
        <tr r="AD71" s="2"/>
      </tp>
      <tp t="s">
        <v>#N/A N/A</v>
        <stp/>
        <stp>BDH|14534931061533220920</stp>
        <tr r="D68" s="2"/>
      </tp>
      <tp t="s">
        <v>#N/A N/A</v>
        <stp/>
        <stp>BDH|13779382310641981106</stp>
        <tr r="D67" s="2"/>
      </tp>
      <tp t="s">
        <v>#N/A N/A</v>
        <stp/>
        <stp>BDH|18124763260670139809</stp>
        <tr r="K63" s="2"/>
      </tp>
      <tp t="s">
        <v>#N/A N/A</v>
        <stp/>
        <stp>BDH|15344362852421982388</stp>
        <tr r="U28" s="2"/>
      </tp>
      <tp t="s">
        <v>#N/A N/A</v>
        <stp/>
        <stp>BDH|11669667768770837061</stp>
        <tr r="I21" s="2"/>
      </tp>
      <tp t="s">
        <v>#N/A N/A</v>
        <stp/>
        <stp>BDH|17165145653722966069</stp>
        <tr r="K11" s="2"/>
      </tp>
      <tp t="s">
        <v>#N/A N/A</v>
        <stp/>
        <stp>BDH|13966310160372178508</stp>
        <tr r="Q32" s="2"/>
      </tp>
      <tp t="s">
        <v>#N/A N/A</v>
        <stp/>
        <stp>BDH|12975167164641494566</stp>
        <tr r="E21" s="2"/>
      </tp>
      <tp t="s">
        <v>#N/A N/A</v>
        <stp/>
        <stp>BDH|14179500855092924759</stp>
        <tr r="AC37" s="2"/>
      </tp>
      <tp t="s">
        <v>#N/A N/A</v>
        <stp/>
        <stp>BDH|16668117339864289142</stp>
        <tr r="G53" s="2"/>
      </tp>
      <tp t="s">
        <v>#N/A N/A</v>
        <stp/>
        <stp>BDH|13614883894484309712</stp>
        <tr r="U44" s="2"/>
      </tp>
      <tp t="s">
        <v>#N/A N/A</v>
        <stp/>
        <stp>BDH|11580334957654814224</stp>
        <tr r="I27" s="2"/>
      </tp>
      <tp t="s">
        <v>#N/A N/A</v>
        <stp/>
        <stp>BDH|16871563660963028753</stp>
        <tr r="F32" s="2"/>
      </tp>
      <tp t="s">
        <v>#N/A N/A</v>
        <stp/>
        <stp>BDH|17887239349194177480</stp>
        <tr r="V67" s="2"/>
      </tp>
      <tp t="s">
        <v>#N/A N/A</v>
        <stp/>
        <stp>BDH|11284206259451995695</stp>
        <tr r="F28" s="2"/>
      </tp>
      <tp t="s">
        <v>#N/A N/A</v>
        <stp/>
        <stp>BDH|11739451668662029012</stp>
        <tr r="U69" s="2"/>
      </tp>
      <tp t="s">
        <v>#N/A N/A</v>
        <stp/>
        <stp>BDH|17709218081118582489</stp>
        <tr r="D61" s="2"/>
      </tp>
      <tp t="s">
        <v>#N/A N/A</v>
        <stp/>
        <stp>BDH|15649594126906539568</stp>
        <tr r="G65" s="2"/>
      </tp>
      <tp t="s">
        <v>#N/A N/A</v>
        <stp/>
        <stp>BDH|14508614879746197210</stp>
        <tr r="E7" s="2"/>
      </tp>
      <tp t="s">
        <v>#N/A N/A</v>
        <stp/>
        <stp>BDH|16325059626092951740</stp>
        <tr r="I24" s="2"/>
      </tp>
      <tp t="s">
        <v>#N/A N/A</v>
        <stp/>
        <stp>BDH|17907532020344627515</stp>
        <tr r="F33" s="2"/>
      </tp>
      <tp t="s">
        <v>#N/A N/A</v>
        <stp/>
        <stp>BDH|16076472838790261002</stp>
        <tr r="W41" s="2"/>
      </tp>
      <tp t="s">
        <v>#N/A N/A</v>
        <stp/>
        <stp>BDH|17711766819232757236</stp>
        <tr r="S54" s="2"/>
      </tp>
      <tp t="s">
        <v>#N/A N/A</v>
        <stp/>
        <stp>BDH|13327156443120938703</stp>
        <tr r="N66" s="2"/>
      </tp>
      <tp t="s">
        <v>#N/A N/A</v>
        <stp/>
        <stp>BDH|13582063397833822839</stp>
        <tr r="AC23" s="2"/>
      </tp>
      <tp t="s">
        <v>#N/A N/A</v>
        <stp/>
        <stp>BDH|15854050293005532849</stp>
        <tr r="I38" s="2"/>
      </tp>
      <tp t="s">
        <v>#N/A N/A</v>
        <stp/>
        <stp>BDH|15652919420558918702</stp>
        <tr r="J50" s="2"/>
      </tp>
      <tp t="s">
        <v>#N/A N/A</v>
        <stp/>
        <stp>BDH|17436727718034949493</stp>
        <tr r="H8" s="2"/>
      </tp>
      <tp t="s">
        <v>#N/A N/A</v>
        <stp/>
        <stp>BDH|10122426743800664189</stp>
        <tr r="N19" s="2"/>
      </tp>
      <tp t="s">
        <v>#N/A N/A</v>
        <stp/>
        <stp>BDH|17309496468930115325</stp>
        <tr r="I48" s="2"/>
      </tp>
      <tp t="s">
        <v>#N/A N/A</v>
        <stp/>
        <stp>BDH|10046605216860326144</stp>
        <tr r="O70" s="2"/>
      </tp>
      <tp t="s">
        <v>#N/A N/A</v>
        <stp/>
        <stp>BDH|11335630926401233259</stp>
        <tr r="Q6" s="2"/>
      </tp>
      <tp t="s">
        <v>#N/A N/A</v>
        <stp/>
        <stp>BDH|12004043303161264544</stp>
        <tr r="D22" s="2"/>
      </tp>
      <tp t="s">
        <v>#N/A N/A</v>
        <stp/>
        <stp>BDH|17111399275693930658</stp>
        <tr r="C16" s="2"/>
      </tp>
      <tp t="s">
        <v>#N/A N/A</v>
        <stp/>
        <stp>BDH|12666202782487740934</stp>
        <tr r="G60" s="2"/>
      </tp>
      <tp t="s">
        <v>#N/A N/A</v>
        <stp/>
        <stp>BDH|16253581623073800411</stp>
        <tr r="AC14" s="2"/>
      </tp>
      <tp t="s">
        <v>#N/A N/A</v>
        <stp/>
        <stp>BDH|14606275800319659948</stp>
        <tr r="L17" s="2"/>
      </tp>
      <tp t="s">
        <v>#N/A N/A</v>
        <stp/>
        <stp>BDH|14571958317268677221</stp>
        <tr r="AC20" s="2"/>
      </tp>
      <tp t="s">
        <v>#N/A N/A</v>
        <stp/>
        <stp>BDH|14787753596125448936</stp>
        <tr r="N34" s="2"/>
        <tr r="N46" s="2"/>
      </tp>
      <tp t="s">
        <v>#N/A N/A</v>
        <stp/>
        <stp>BDH|17352246436195269513</stp>
        <tr r="AC30" s="2"/>
      </tp>
      <tp t="s">
        <v>#N/A N/A</v>
        <stp/>
        <stp>BDH|18136076264101185918</stp>
        <tr r="W22" s="2"/>
      </tp>
      <tp t="s">
        <v>#N/A N/A</v>
        <stp/>
        <stp>BDH|12501965996280953499</stp>
        <tr r="F40" s="2"/>
      </tp>
      <tp t="s">
        <v>#N/A N/A</v>
        <stp/>
        <stp>BDH|13910778515207718493</stp>
        <tr r="C53" s="2"/>
      </tp>
      <tp t="s">
        <v>#N/A N/A</v>
        <stp/>
        <stp>BDH|12906152614041896552</stp>
        <tr r="R49" s="2"/>
      </tp>
      <tp t="s">
        <v>#N/A N/A</v>
        <stp/>
        <stp>BDH|16828321431770694085</stp>
        <tr r="X48" s="2"/>
      </tp>
      <tp t="s">
        <v>#N/A N/A</v>
        <stp/>
        <stp>BDH|12061768123869842884</stp>
        <tr r="T45" s="2"/>
      </tp>
      <tp t="s">
        <v>#N/A N/A</v>
        <stp/>
        <stp>BDH|16476716030894046017</stp>
        <tr r="J53" s="2"/>
      </tp>
      <tp t="s">
        <v>#N/A N/A</v>
        <stp/>
        <stp>BDH|11682812572980614870</stp>
        <tr r="L33" s="2"/>
      </tp>
      <tp t="s">
        <v>#N/A N/A</v>
        <stp/>
        <stp>BDH|12301293346221873307</stp>
        <tr r="T9" s="2"/>
      </tp>
      <tp t="s">
        <v>#N/A N/A</v>
        <stp/>
        <stp>BDH|13739179815086075326</stp>
        <tr r="H34" s="2"/>
        <tr r="H46" s="2"/>
      </tp>
      <tp t="s">
        <v>#N/A N/A</v>
        <stp/>
        <stp>BDH|14715542871152716228</stp>
        <tr r="H35" s="2"/>
      </tp>
      <tp t="s">
        <v>#N/A N/A</v>
        <stp/>
        <stp>BDH|13017512315490197127</stp>
        <tr r="X12" s="2"/>
      </tp>
      <tp t="s">
        <v>#N/A N/A</v>
        <stp/>
        <stp>BDH|14242311279836924046</stp>
        <tr r="AC16" s="2"/>
      </tp>
      <tp t="s">
        <v>#N/A N/A</v>
        <stp/>
        <stp>BDH|17566932980743632373</stp>
        <tr r="I25" s="2"/>
      </tp>
      <tp t="s">
        <v>#N/A N/A</v>
        <stp/>
        <stp>BDH|12277571238465266786</stp>
        <tr r="AC11" s="2"/>
      </tp>
      <tp t="s">
        <v>#N/A N/A</v>
        <stp/>
        <stp>BDH|16652795398409378733</stp>
        <tr r="Z36" s="2"/>
      </tp>
      <tp t="s">
        <v>#N/A N/A</v>
        <stp/>
        <stp>BDH|18334806510162382567</stp>
        <tr r="X30" s="2"/>
      </tp>
      <tp t="s">
        <v>#N/A N/A</v>
        <stp/>
        <stp>BDH|10546451347647238138</stp>
        <tr r="V15" s="2"/>
      </tp>
      <tp t="s">
        <v>#N/A N/A</v>
        <stp/>
        <stp>BDH|13261167874702566132</stp>
        <tr r="T14" s="2"/>
      </tp>
      <tp t="s">
        <v>#N/A N/A</v>
        <stp/>
        <stp>BDH|14927565961779003870</stp>
        <tr r="S20" s="2"/>
      </tp>
      <tp t="s">
        <v>#N/A N/A</v>
        <stp/>
        <stp>BDH|16708254427589809947</stp>
        <tr r="M56" s="2"/>
      </tp>
      <tp t="s">
        <v>#N/A N/A</v>
        <stp/>
        <stp>BDH|10916751445130128508</stp>
        <tr r="I34" s="2"/>
        <tr r="I46" s="2"/>
      </tp>
      <tp t="s">
        <v>#N/A N/A</v>
        <stp/>
        <stp>BDH|15975282506866658791</stp>
        <tr r="AA55" s="2"/>
      </tp>
      <tp t="s">
        <v>#N/A N/A</v>
        <stp/>
        <stp>BDH|13487698465706662369</stp>
        <tr r="W33" s="2"/>
      </tp>
      <tp t="s">
        <v>#N/A N/A</v>
        <stp/>
        <stp>BDH|17610154537222498180</stp>
        <tr r="P65" s="2"/>
      </tp>
      <tp t="s">
        <v>#N/A N/A</v>
        <stp/>
        <stp>BDH|10009176371326707699</stp>
        <tr r="C17" s="2"/>
      </tp>
      <tp t="s">
        <v>#N/A N/A</v>
        <stp/>
        <stp>BDH|16657535048946418714</stp>
        <tr r="AB56" s="2"/>
      </tp>
      <tp t="s">
        <v>#N/A N/A</v>
        <stp/>
        <stp>BDH|16005182751925271130</stp>
        <tr r="Z55" s="2"/>
      </tp>
      <tp t="s">
        <v>#N/A N/A</v>
        <stp/>
        <stp>BDH|16716482976645721664</stp>
        <tr r="Z44" s="2"/>
      </tp>
      <tp t="s">
        <v>#N/A N/A</v>
        <stp/>
        <stp>BDH|15450476074415857573</stp>
        <tr r="P42" s="2"/>
      </tp>
      <tp t="s">
        <v>#N/A N/A</v>
        <stp/>
        <stp>BDH|13816413152511446575</stp>
        <tr r="K45" s="2"/>
      </tp>
      <tp t="s">
        <v>#N/A N/A</v>
        <stp/>
        <stp>BDH|16855115956646278257</stp>
        <tr r="O27" s="2"/>
      </tp>
      <tp t="s">
        <v>#N/A N/A</v>
        <stp/>
        <stp>BDH|17288703102355324386</stp>
        <tr r="W34" s="2"/>
        <tr r="W46" s="2"/>
      </tp>
      <tp t="s">
        <v>#N/A N/A</v>
        <stp/>
        <stp>BDH|16788570216577460380</stp>
        <tr r="E46" s="2"/>
        <tr r="E34" s="2"/>
      </tp>
      <tp t="s">
        <v>#N/A N/A</v>
        <stp/>
        <stp>BDH|14331003424472567283</stp>
        <tr r="Z61" s="2"/>
      </tp>
      <tp t="s">
        <v>#N/A N/A</v>
        <stp/>
        <stp>BDH|10275460739430441130</stp>
        <tr r="N69" s="2"/>
      </tp>
      <tp t="s">
        <v>#N/A N/A</v>
        <stp/>
        <stp>BDH|11803342168764183687</stp>
        <tr r="I28" s="2"/>
      </tp>
      <tp t="s">
        <v>#N/A N/A</v>
        <stp/>
        <stp>BDH|15718785762161514356</stp>
        <tr r="E69" s="2"/>
      </tp>
      <tp t="s">
        <v>#N/A N/A</v>
        <stp/>
        <stp>BDH|14210635356854200589</stp>
        <tr r="T44" s="2"/>
      </tp>
      <tp t="s">
        <v>#N/A N/A</v>
        <stp/>
        <stp>BDH|17205455670361992321</stp>
        <tr r="D9" s="2"/>
      </tp>
      <tp t="s">
        <v>#N/A N/A</v>
        <stp/>
        <stp>BDH|10665216919477312218</stp>
        <tr r="Z66" s="2"/>
      </tp>
      <tp t="s">
        <v>#N/A N/A</v>
        <stp/>
        <stp>BDH|13916037932176750031</stp>
        <tr r="D20" s="2"/>
      </tp>
      <tp t="s">
        <v>#N/A N/A</v>
        <stp/>
        <stp>BDH|16599198069560035794</stp>
        <tr r="V34" s="2"/>
        <tr r="V46" s="2"/>
      </tp>
      <tp t="s">
        <v>#N/A N/A</v>
        <stp/>
        <stp>BDH|15339083760013221652</stp>
        <tr r="S17" s="2"/>
      </tp>
      <tp t="s">
        <v>#N/A N/A</v>
        <stp/>
        <stp>BDH|10475608339856454555</stp>
        <tr r="S41" s="2"/>
      </tp>
      <tp t="s">
        <v>#N/A N/A</v>
        <stp/>
        <stp>BDH|10880112360459515809</stp>
        <tr r="L36" s="2"/>
      </tp>
      <tp t="s">
        <v>#N/A N/A</v>
        <stp/>
        <stp>BDH|10398539737359918927</stp>
        <tr r="U62" s="2"/>
      </tp>
      <tp t="s">
        <v>#N/A N/A</v>
        <stp/>
        <stp>BDH|16088675819836601140</stp>
        <tr r="S56" s="2"/>
      </tp>
      <tp t="s">
        <v>#N/A N/A</v>
        <stp/>
        <stp>BDH|13548159259650326153</stp>
        <tr r="S69" s="2"/>
      </tp>
      <tp t="s">
        <v>#N/A N/A</v>
        <stp/>
        <stp>BDH|17479195097899026056</stp>
        <tr r="Z23" s="2"/>
      </tp>
      <tp t="s">
        <v>#N/A N/A</v>
        <stp/>
        <stp>BDH|16970465767377189564</stp>
        <tr r="AB41" s="2"/>
      </tp>
      <tp t="s">
        <v>#N/A N/A</v>
        <stp/>
        <stp>BDH|14415505103292187598</stp>
        <tr r="P38" s="2"/>
      </tp>
      <tp t="s">
        <v>#N/A N/A</v>
        <stp/>
        <stp>BDH|10888156376318792830</stp>
        <tr r="Y17" s="2"/>
      </tp>
      <tp t="s">
        <v>#N/A N/A</v>
        <stp/>
        <stp>BDH|12898573442113676656</stp>
        <tr r="C23" s="2"/>
      </tp>
      <tp t="s">
        <v>#N/A N/A</v>
        <stp/>
        <stp>BDH|18318999109142872550</stp>
        <tr r="L20" s="2"/>
      </tp>
      <tp t="s">
        <v>#N/A N/A</v>
        <stp/>
        <stp>BDH|10029014216984957307</stp>
        <tr r="C69" s="2"/>
      </tp>
      <tp t="s">
        <v>#N/A N/A</v>
        <stp/>
        <stp>BDH|17744492379293929106</stp>
        <tr r="AD29" s="2"/>
      </tp>
      <tp t="s">
        <v>#N/A N/A</v>
        <stp/>
        <stp>BDH|17260197870183265471</stp>
        <tr r="T53" s="2"/>
      </tp>
      <tp t="s">
        <v>#N/A N/A</v>
        <stp/>
        <stp>BDH|11554951969730816908</stp>
        <tr r="L26" s="2"/>
      </tp>
      <tp t="s">
        <v>#N/A N/A</v>
        <stp/>
        <stp>BDH|13950226472758197994</stp>
        <tr r="E22" s="2"/>
      </tp>
      <tp t="s">
        <v>#N/A N/A</v>
        <stp/>
        <stp>BDH|10030588299549253225</stp>
        <tr r="V61" s="2"/>
      </tp>
      <tp t="s">
        <v>#N/A N/A</v>
        <stp/>
        <stp>BDH|15877488831051458444</stp>
        <tr r="O41" s="2"/>
      </tp>
      <tp t="s">
        <v>#N/A N/A</v>
        <stp/>
        <stp>BDH|12059285154506530487</stp>
        <tr r="Y24" s="2"/>
      </tp>
      <tp t="s">
        <v>#N/A N/A</v>
        <stp/>
        <stp>BDH|12467584628550019251</stp>
        <tr r="Q19" s="2"/>
      </tp>
      <tp t="s">
        <v>#N/A N/A</v>
        <stp/>
        <stp>BDH|11338066499497416895</stp>
        <tr r="P37" s="2"/>
      </tp>
      <tp t="s">
        <v>#N/A N/A</v>
        <stp/>
        <stp>BDH|11211238228940923608</stp>
        <tr r="D28" s="2"/>
      </tp>
      <tp t="s">
        <v>#N/A N/A</v>
        <stp/>
        <stp>BDH|10461577204290385249</stp>
        <tr r="V21" s="2"/>
      </tp>
      <tp t="s">
        <v>#N/A N/A</v>
        <stp/>
        <stp>BDH|11594468793903796876</stp>
        <tr r="M62" s="2"/>
      </tp>
      <tp t="s">
        <v>#N/A N/A</v>
        <stp/>
        <stp>BDH|14413393072716967165</stp>
        <tr r="T31" s="2"/>
      </tp>
      <tp t="s">
        <v>#N/A N/A</v>
        <stp/>
        <stp>BDH|12758029656512238221</stp>
        <tr r="L15" s="2"/>
      </tp>
      <tp t="s">
        <v>#N/A N/A</v>
        <stp/>
        <stp>BDH|11413695416400984113</stp>
        <tr r="Y11" s="2"/>
      </tp>
      <tp t="s">
        <v>#N/A N/A</v>
        <stp/>
        <stp>BDH|12426214066042350339</stp>
        <tr r="T62" s="2"/>
      </tp>
      <tp t="s">
        <v>#N/A N/A</v>
        <stp/>
        <stp>BDH|16675416047844279510</stp>
        <tr r="S44" s="2"/>
      </tp>
      <tp t="s">
        <v>#N/A N/A</v>
        <stp/>
        <stp>BDH|17089051738115792693</stp>
        <tr r="R23" s="2"/>
      </tp>
      <tp t="s">
        <v>#N/A N/A</v>
        <stp/>
        <stp>BDH|15775174149573957434</stp>
        <tr r="T26" s="2"/>
      </tp>
      <tp t="s">
        <v>#N/A N/A</v>
        <stp/>
        <stp>BDH|17065029306605162568</stp>
        <tr r="R14" s="2"/>
      </tp>
      <tp t="s">
        <v>#N/A N/A</v>
        <stp/>
        <stp>BDH|15275159685249337228</stp>
        <tr r="J68" s="2"/>
      </tp>
      <tp t="s">
        <v>#N/A N/A</v>
        <stp/>
        <stp>BDH|11917740589181618806</stp>
        <tr r="L63" s="2"/>
      </tp>
      <tp t="s">
        <v>#N/A N/A</v>
        <stp/>
        <stp>BDH|10058694085768721191</stp>
        <tr r="L53" s="2"/>
      </tp>
      <tp t="s">
        <v>#N/A N/A</v>
        <stp/>
        <stp>BDH|10100446630915036504</stp>
        <tr r="V51" s="2"/>
      </tp>
      <tp t="s">
        <v>#N/A N/A</v>
        <stp/>
        <stp>BDH|14713148753170236774</stp>
        <tr r="Q16" s="2"/>
      </tp>
      <tp t="s">
        <v>#N/A N/A</v>
        <stp/>
        <stp>BDH|14042617426703359415</stp>
        <tr r="M38" s="2"/>
      </tp>
      <tp t="s">
        <v>#N/A N/A</v>
        <stp/>
        <stp>BDH|15770376417354582460</stp>
        <tr r="AD51" s="2"/>
      </tp>
      <tp t="s">
        <v>#N/A N/A</v>
        <stp/>
        <stp>BDH|13452038666240618236</stp>
        <tr r="H42" s="2"/>
      </tp>
      <tp t="s">
        <v>#N/A N/A</v>
        <stp/>
        <stp>BDH|11429576795513500948</stp>
        <tr r="J29" s="2"/>
      </tp>
      <tp t="s">
        <v>#N/A N/A</v>
        <stp/>
        <stp>BDH|10493219097768370469</stp>
        <tr r="M25" s="2"/>
      </tp>
      <tp t="s">
        <v>#N/A N/A</v>
        <stp/>
        <stp>BDH|14783043795733563947</stp>
        <tr r="S23" s="2"/>
      </tp>
      <tp t="s">
        <v>#N/A N/A</v>
        <stp/>
        <stp>BDH|15674540011256717039</stp>
        <tr r="AA60" s="2"/>
      </tp>
      <tp t="s">
        <v>#N/A N/A</v>
        <stp/>
        <stp>BDH|17979789462444111558</stp>
        <tr r="R34" s="2"/>
        <tr r="R46" s="2"/>
      </tp>
      <tp t="s">
        <v>#N/A N/A</v>
        <stp/>
        <stp>BDH|18430357633909079645</stp>
        <tr r="AC53" s="2"/>
      </tp>
      <tp t="s">
        <v>#N/A N/A</v>
        <stp/>
        <stp>BDH|11416573730857149740</stp>
        <tr r="R19" s="2"/>
      </tp>
      <tp t="s">
        <v>#N/A N/A</v>
        <stp/>
        <stp>BDH|12233690690199560389</stp>
        <tr r="X40" s="2"/>
      </tp>
      <tp t="s">
        <v>#N/A N/A</v>
        <stp/>
        <stp>BDH|15703746775592764076</stp>
        <tr r="T16" s="2"/>
      </tp>
      <tp t="s">
        <v>#N/A N/A</v>
        <stp/>
        <stp>BDH|17944256493312953905</stp>
        <tr r="J8" s="2"/>
      </tp>
      <tp t="s">
        <v>#N/A N/A</v>
        <stp/>
        <stp>BDH|14201314147263011727</stp>
        <tr r="K9" s="2"/>
      </tp>
      <tp t="s">
        <v>#N/A N/A</v>
        <stp/>
        <stp>BDH|13116330686198508777</stp>
        <tr r="N16" s="2"/>
      </tp>
      <tp t="s">
        <v>#N/A N/A</v>
        <stp/>
        <stp>BDH|16221272441322171530</stp>
        <tr r="AB17" s="2"/>
      </tp>
      <tp t="s">
        <v>#N/A N/A</v>
        <stp/>
        <stp>BDH|15000006465275873143</stp>
        <tr r="S39" s="2"/>
      </tp>
      <tp t="s">
        <v>#N/A N/A</v>
        <stp/>
        <stp>BDH|18023889143154470768</stp>
        <tr r="M40" s="2"/>
      </tp>
      <tp t="s">
        <v>#N/A N/A</v>
        <stp/>
        <stp>BDH|14410461853632093090</stp>
        <tr r="O8" s="2"/>
      </tp>
      <tp t="s">
        <v>#N/A N/A</v>
        <stp/>
        <stp>BDH|16050252428539060858</stp>
        <tr r="AA21" s="2"/>
      </tp>
      <tp t="s">
        <v>#N/A N/A</v>
        <stp/>
        <stp>BDH|11845466885959052339</stp>
        <tr r="Y29" s="2"/>
      </tp>
      <tp t="s">
        <v>#N/A N/A</v>
        <stp/>
        <stp>BDH|12372385966853394364</stp>
        <tr r="Z63" s="2"/>
      </tp>
      <tp t="s">
        <v>#N/A N/A</v>
        <stp/>
        <stp>BDH|13006383573992753249</stp>
        <tr r="AA11" s="2"/>
      </tp>
      <tp t="s">
        <v>#N/A N/A</v>
        <stp/>
        <stp>BDH|15646541482628890733</stp>
        <tr r="V54" s="2"/>
      </tp>
      <tp t="s">
        <v>#N/A N/A</v>
        <stp/>
        <stp>BDH|12398503368691219729</stp>
        <tr r="AA25" s="2"/>
      </tp>
      <tp t="s">
        <v>#N/A N/A</v>
        <stp/>
        <stp>BDH|14397534466049917953</stp>
        <tr r="E20" s="2"/>
      </tp>
      <tp t="s">
        <v>#N/A N/A</v>
        <stp/>
        <stp>BDH|12908710025657627716</stp>
        <tr r="AD44" s="2"/>
      </tp>
      <tp t="s">
        <v>#N/A N/A</v>
        <stp/>
        <stp>BDH|10488359765535740791</stp>
        <tr r="T23" s="2"/>
      </tp>
      <tp t="s">
        <v>#N/A N/A</v>
        <stp/>
        <stp>BDH|11023553240224868371</stp>
        <tr r="V62" s="2"/>
      </tp>
      <tp t="s">
        <v>#N/A N/A</v>
        <stp/>
        <stp>BDH|15585724680454843922</stp>
        <tr r="Y33" s="2"/>
      </tp>
      <tp t="s">
        <v>#N/A N/A</v>
        <stp/>
        <stp>BDH|10990210547662227301</stp>
        <tr r="AD68" s="2"/>
      </tp>
      <tp t="s">
        <v>#N/A N/A</v>
        <stp/>
        <stp>BDH|11915443396413063878</stp>
        <tr r="G24" s="2"/>
      </tp>
      <tp t="s">
        <v>#N/A N/A</v>
        <stp/>
        <stp>BDH|13270798374647629355</stp>
        <tr r="I11" s="2"/>
      </tp>
      <tp t="s">
        <v>#N/A N/A</v>
        <stp/>
        <stp>BDH|14557881472134184821</stp>
        <tr r="G64" s="2"/>
      </tp>
      <tp t="s">
        <v>#N/A N/A</v>
        <stp/>
        <stp>BDH|14441994430870062922</stp>
        <tr r="I15" s="2"/>
      </tp>
      <tp t="s">
        <v>#N/A N/A</v>
        <stp/>
        <stp>BDH|11321301029851241679</stp>
        <tr r="V12" s="2"/>
      </tp>
      <tp t="s">
        <v>#N/A N/A</v>
        <stp/>
        <stp>BDH|14190673628047544055</stp>
        <tr r="K41" s="2"/>
      </tp>
      <tp t="s">
        <v>#N/A N/A</v>
        <stp/>
        <stp>BDH|15281377912230163085</stp>
        <tr r="L30" s="2"/>
      </tp>
      <tp t="s">
        <v>#N/A N/A</v>
        <stp/>
        <stp>BDH|18442629786855974475</stp>
        <tr r="M16" s="2"/>
      </tp>
      <tp t="s">
        <v>#N/A N/A</v>
        <stp/>
        <stp>BDH|15379624358395707404</stp>
        <tr r="O50" s="2"/>
      </tp>
      <tp t="s">
        <v>#N/A N/A</v>
        <stp/>
        <stp>BDH|13200204662417597442</stp>
        <tr r="H37" s="2"/>
      </tp>
      <tp t="s">
        <v>#N/A N/A</v>
        <stp/>
        <stp>BDH|14779066306157089767</stp>
        <tr r="K20" s="2"/>
      </tp>
      <tp t="s">
        <v>#N/A N/A</v>
        <stp/>
        <stp>BDH|16961116500377067499</stp>
        <tr r="G54" s="2"/>
      </tp>
      <tp t="s">
        <v>#N/A N/A</v>
        <stp/>
        <stp>BDH|10583088008300063443</stp>
        <tr r="G33" s="2"/>
      </tp>
      <tp t="s">
        <v>#N/A N/A</v>
        <stp/>
        <stp>BDH|14806867330303856875</stp>
        <tr r="X14" s="2"/>
      </tp>
      <tp t="s">
        <v>#N/A N/A</v>
        <stp/>
        <stp>BDH|11596309948606496496</stp>
        <tr r="W17" s="2"/>
      </tp>
      <tp t="s">
        <v>#N/A N/A</v>
        <stp/>
        <stp>BDH|12955288577797114478</stp>
        <tr r="J64" s="2"/>
      </tp>
      <tp t="s">
        <v>#N/A N/A</v>
        <stp/>
        <stp>BDH|18306704999503382198</stp>
        <tr r="AD11" s="2"/>
      </tp>
      <tp t="s">
        <v>#N/A N/A</v>
        <stp/>
        <stp>BDH|17731922983096455422</stp>
        <tr r="J22" s="2"/>
      </tp>
      <tp t="s">
        <v>#N/A N/A</v>
        <stp/>
        <stp>BDH|10465973396037286378</stp>
        <tr r="N62" s="2"/>
      </tp>
      <tp t="s">
        <v>#N/A N/A</v>
        <stp/>
        <stp>BDH|12210017625662143671</stp>
        <tr r="K37" s="2"/>
      </tp>
      <tp t="s">
        <v>#N/A N/A</v>
        <stp/>
        <stp>BDH|12009575399763449999</stp>
        <tr r="P19" s="2"/>
      </tp>
      <tp t="s">
        <v>#N/A N/A</v>
        <stp/>
        <stp>BDH|13796142406591397754</stp>
        <tr r="S33" s="2"/>
      </tp>
      <tp t="s">
        <v>#N/A N/A</v>
        <stp/>
        <stp>BDH|12769111435854151003</stp>
        <tr r="U18" s="2"/>
      </tp>
      <tp t="s">
        <v>#N/A N/A</v>
        <stp/>
        <stp>BDH|16079776072327666519</stp>
        <tr r="E37" s="2"/>
      </tp>
      <tp t="s">
        <v>#N/A N/A</v>
        <stp/>
        <stp>BDH|14148926104490121948</stp>
        <tr r="U67" s="2"/>
      </tp>
      <tp t="s">
        <v>#N/A N/A</v>
        <stp/>
        <stp>BDH|11811040741090921163</stp>
        <tr r="H64" s="2"/>
      </tp>
      <tp t="s">
        <v>#N/A N/A</v>
        <stp/>
        <stp>BDH|10578255262758782806</stp>
        <tr r="T63" s="2"/>
      </tp>
      <tp t="s">
        <v>#N/A N/A</v>
        <stp/>
        <stp>BDH|14109261456696456108</stp>
        <tr r="V7" s="2"/>
      </tp>
      <tp t="s">
        <v>#N/A N/A</v>
        <stp/>
        <stp>BDH|13297807417328001600</stp>
        <tr r="AA38" s="2"/>
      </tp>
      <tp t="s">
        <v>#N/A N/A</v>
        <stp/>
        <stp>BDH|16395950764029520406</stp>
        <tr r="AB54" s="2"/>
      </tp>
      <tp t="s">
        <v>#N/A N/A</v>
        <stp/>
        <stp>BDH|13419821785722680528</stp>
        <tr r="P66" s="2"/>
      </tp>
      <tp t="s">
        <v>#N/A N/A</v>
        <stp/>
        <stp>BDH|11414272234917108301</stp>
        <tr r="V37" s="2"/>
      </tp>
      <tp t="s">
        <v>#N/A N/A</v>
        <stp/>
        <stp>BDH|17677354945151280521</stp>
        <tr r="X49" s="2"/>
      </tp>
      <tp t="s">
        <v>#N/A N/A</v>
        <stp/>
        <stp>BDH|16260231226563035118</stp>
        <tr r="U37" s="2"/>
      </tp>
      <tp t="s">
        <v>#N/A N/A</v>
        <stp/>
        <stp>BDH|13941274945716409793</stp>
        <tr r="P22" s="2"/>
      </tp>
      <tp t="s">
        <v>#N/A N/A</v>
        <stp/>
        <stp>BDH|13324154223826807246</stp>
        <tr r="C44" s="2"/>
      </tp>
      <tp t="s">
        <v>#N/A N/A</v>
        <stp/>
        <stp>BDH|13036327767820556295</stp>
        <tr r="R15" s="2"/>
      </tp>
      <tp t="s">
        <v>#N/A N/A</v>
        <stp/>
        <stp>BDH|17757840900129248280</stp>
        <tr r="Z49" s="2"/>
      </tp>
      <tp t="s">
        <v>#N/A N/A</v>
        <stp/>
        <stp>BDH|17896163347625257330</stp>
        <tr r="AC48" s="2"/>
      </tp>
      <tp t="s">
        <v>#N/A N/A</v>
        <stp/>
        <stp>BDH|11155742229906325672</stp>
        <tr r="Q69" s="2"/>
      </tp>
      <tp t="s">
        <v>#N/A N/A</v>
        <stp/>
        <stp>BDH|17058663425553934425</stp>
        <tr r="J6" s="2"/>
      </tp>
      <tp t="s">
        <v>#N/A N/A</v>
        <stp/>
        <stp>BDH|11631898525377490850</stp>
        <tr r="S38" s="2"/>
      </tp>
      <tp t="s">
        <v>#N/A N/A</v>
        <stp/>
        <stp>BDH|17583791043600109047</stp>
        <tr r="L70" s="2"/>
      </tp>
      <tp t="s">
        <v>#N/A N/A</v>
        <stp/>
        <stp>BDH|10004732472291925521</stp>
        <tr r="E67" s="2"/>
      </tp>
      <tp t="s">
        <v>#N/A N/A</v>
        <stp/>
        <stp>BDH|15279065659724012001</stp>
        <tr r="AC10" s="2"/>
      </tp>
      <tp t="s">
        <v>#N/A N/A</v>
        <stp/>
        <stp>BDH|13241799201408541828</stp>
        <tr r="Z32" s="2"/>
      </tp>
      <tp t="s">
        <v>#N/A N/A</v>
        <stp/>
        <stp>BDH|11721437935323566194</stp>
        <tr r="D53" s="2"/>
      </tp>
      <tp t="s">
        <v>#N/A N/A</v>
        <stp/>
        <stp>BDH|18426980157462347278</stp>
        <tr r="C65" s="2"/>
      </tp>
      <tp t="s">
        <v>#N/A N/A</v>
        <stp/>
        <stp>BDH|13796939769879436168</stp>
        <tr r="G7" s="2"/>
      </tp>
      <tp t="s">
        <v>#N/A N/A</v>
        <stp/>
        <stp>BDH|12514904198027684157</stp>
        <tr r="E35" s="2"/>
      </tp>
      <tp t="s">
        <v>#N/A N/A</v>
        <stp/>
        <stp>BDH|18227411706911263994</stp>
        <tr r="AB51" s="2"/>
      </tp>
      <tp t="s">
        <v>#N/A N/A</v>
        <stp/>
        <stp>BDH|12931163121077474249</stp>
        <tr r="O60" s="2"/>
      </tp>
      <tp t="s">
        <v>#N/A N/A</v>
        <stp/>
        <stp>BDH|16977185956255073396</stp>
        <tr r="O48" s="2"/>
      </tp>
      <tp t="s">
        <v>#N/A N/A</v>
        <stp/>
        <stp>BDH|11833662371606252232</stp>
        <tr r="H18" s="2"/>
      </tp>
      <tp t="s">
        <v>#N/A N/A</v>
        <stp/>
        <stp>BDH|17116409280089768776</stp>
        <tr r="AD18" s="2"/>
      </tp>
      <tp t="s">
        <v>#N/A N/A</v>
        <stp/>
        <stp>BDH|15548798877668258880</stp>
        <tr r="Y27" s="2"/>
      </tp>
      <tp t="s">
        <v>#N/A N/A</v>
        <stp/>
        <stp>BDH|18083360103998229662</stp>
        <tr r="AA24" s="2"/>
      </tp>
      <tp t="s">
        <v>#N/A N/A</v>
        <stp/>
        <stp>BDH|17409511253170665216</stp>
        <tr r="P50" s="2"/>
      </tp>
      <tp t="s">
        <v>#N/A N/A</v>
        <stp/>
        <stp>BDH|10502784421152435296</stp>
        <tr r="P33" s="2"/>
      </tp>
      <tp t="s">
        <v>#N/A N/A</v>
        <stp/>
        <stp>BDH|14191342194308441349</stp>
        <tr r="K54" s="2"/>
      </tp>
      <tp t="s">
        <v>#N/A N/A</v>
        <stp/>
        <stp>BDH|18108358993317098066</stp>
        <tr r="T20" s="2"/>
      </tp>
      <tp t="s">
        <v>#N/A N/A</v>
        <stp/>
        <stp>BDH|11314572262472342558</stp>
        <tr r="C50" s="2"/>
      </tp>
      <tp t="s">
        <v>#N/A N/A</v>
        <stp/>
        <stp>BDH|13220043726834923091</stp>
        <tr r="C21" s="2"/>
      </tp>
      <tp t="s">
        <v>#N/A N/A</v>
        <stp/>
        <stp>BDH|12431728016011934091</stp>
        <tr r="I31" s="2"/>
      </tp>
      <tp t="s">
        <v>#N/A N/A</v>
        <stp/>
        <stp>BDH|16097428455801185361</stp>
        <tr r="J7" s="2"/>
      </tp>
      <tp t="s">
        <v>#N/A N/A</v>
        <stp/>
        <stp>BDH|17184340141407041273</stp>
        <tr r="V20" s="2"/>
      </tp>
      <tp t="s">
        <v>#N/A N/A</v>
        <stp/>
        <stp>BDH|10168890209284435964</stp>
        <tr r="AB29" s="2"/>
      </tp>
      <tp t="s">
        <v>#N/A N/A</v>
        <stp/>
        <stp>BDH|18306650082790177362</stp>
        <tr r="K33" s="2"/>
      </tp>
      <tp t="s">
        <v>#N/A N/A</v>
        <stp/>
        <stp>BDH|11811504556690422489</stp>
        <tr r="G19" s="2"/>
      </tp>
      <tp t="s">
        <v>#N/A N/A</v>
        <stp/>
        <stp>BDH|14572180473685999223</stp>
        <tr r="L8" s="2"/>
      </tp>
      <tp t="s">
        <v>#N/A N/A</v>
        <stp/>
        <stp>BDH|12373807617066133808</stp>
        <tr r="K67" s="2"/>
      </tp>
      <tp t="s">
        <v>#N/A N/A</v>
        <stp/>
        <stp>BDH|14055848983792511375</stp>
        <tr r="L62" s="2"/>
      </tp>
      <tp t="s">
        <v>#N/A N/A</v>
        <stp/>
        <stp>BDH|11676504673876012008</stp>
        <tr r="U17" s="2"/>
      </tp>
      <tp t="s">
        <v>#N/A N/A</v>
        <stp/>
        <stp>BDH|14156475443342400341</stp>
        <tr r="V16" s="2"/>
      </tp>
      <tp t="s">
        <v>#N/A N/A</v>
        <stp/>
        <stp>BDH|14774548947160368031</stp>
        <tr r="D6" s="2"/>
      </tp>
      <tp t="s">
        <v>#N/A N/A</v>
        <stp/>
        <stp>BDH|11060845796273141677</stp>
        <tr r="AD53" s="2"/>
      </tp>
      <tp t="s">
        <v>#N/A N/A</v>
        <stp/>
        <stp>BDH|12745923683843074528</stp>
        <tr r="AC49" s="2"/>
      </tp>
      <tp t="s">
        <v>#N/A N/A</v>
        <stp/>
        <stp>BDH|15921382185152672960</stp>
        <tr r="N15" s="2"/>
      </tp>
      <tp t="s">
        <v>#N/A N/A</v>
        <stp/>
        <stp>BDH|14039873680370310107</stp>
        <tr r="R71" s="2"/>
      </tp>
      <tp t="s">
        <v>#N/A N/A</v>
        <stp/>
        <stp>BDH|17674089107005424799</stp>
        <tr r="L40" s="2"/>
      </tp>
      <tp t="s">
        <v>#N/A N/A</v>
        <stp/>
        <stp>BDH|10770556814200102109</stp>
        <tr r="V36" s="2"/>
      </tp>
      <tp t="s">
        <v>#N/A N/A</v>
        <stp/>
        <stp>BDH|18431929460540848292</stp>
        <tr r="P53" s="2"/>
      </tp>
      <tp t="s">
        <v>#N/A N/A</v>
        <stp/>
        <stp>BDH|12792515142471205717</stp>
        <tr r="I26" s="2"/>
      </tp>
      <tp t="s">
        <v>#N/A N/A</v>
        <stp/>
        <stp>BDH|13987614527293916111</stp>
        <tr r="P13" s="2"/>
      </tp>
      <tp t="s">
        <v>#N/A N/A</v>
        <stp/>
        <stp>BDH|11796802857040610918</stp>
        <tr r="T65" s="2"/>
      </tp>
      <tp t="s">
        <v>#N/A N/A</v>
        <stp/>
        <stp>BDH|14614201441362039506</stp>
        <tr r="K71" s="2"/>
      </tp>
      <tp t="s">
        <v>#N/A N/A</v>
        <stp/>
        <stp>BDH|11545640606175188702</stp>
        <tr r="W36" s="2"/>
      </tp>
      <tp t="s">
        <v>#N/A N/A</v>
        <stp/>
        <stp>BDH|15197529927676648142</stp>
        <tr r="G35" s="2"/>
      </tp>
      <tp t="s">
        <v>#N/A N/A</v>
        <stp/>
        <stp>BDH|13688821586166585017</stp>
        <tr r="U65" s="2"/>
      </tp>
      <tp t="s">
        <v>#N/A N/A</v>
        <stp/>
        <stp>BDH|17326129131862986202</stp>
        <tr r="T69" s="2"/>
      </tp>
      <tp t="s">
        <v>#N/A N/A</v>
        <stp/>
        <stp>BDH|13427800693935849261</stp>
        <tr r="R18" s="2"/>
      </tp>
      <tp t="s">
        <v>#N/A N/A</v>
        <stp/>
        <stp>BDH|11398524419089090918</stp>
        <tr r="F36" s="2"/>
      </tp>
      <tp t="s">
        <v>#N/A N/A</v>
        <stp/>
        <stp>BDH|17832856184312286029</stp>
        <tr r="R48" s="2"/>
      </tp>
      <tp t="s">
        <v>#N/A N/A</v>
        <stp/>
        <stp>BDH|12862394490064807906</stp>
        <tr r="Q60" s="2"/>
      </tp>
      <tp t="s">
        <v>#N/A N/A</v>
        <stp/>
        <stp>BDH|13876592228004094515</stp>
        <tr r="K68" s="2"/>
      </tp>
      <tp t="s">
        <v>#N/A N/A</v>
        <stp/>
        <stp>BDH|12762719751056404382</stp>
        <tr r="J54" s="2"/>
      </tp>
      <tp t="s">
        <v>#N/A N/A</v>
        <stp/>
        <stp>BDH|15639277272316962311</stp>
        <tr r="AB53" s="2"/>
      </tp>
      <tp t="s">
        <v>#N/A N/A</v>
        <stp/>
        <stp>BDH|10319302392986326981</stp>
        <tr r="AB21" s="2"/>
      </tp>
      <tp t="s">
        <v>#N/A N/A</v>
        <stp/>
        <stp>BDH|14934711182019796772</stp>
        <tr r="N30" s="2"/>
      </tp>
      <tp t="s">
        <v>#N/A N/A</v>
        <stp/>
        <stp>BDH|16236117276573650695</stp>
        <tr r="L51" s="2"/>
      </tp>
      <tp t="s">
        <v>#N/A N/A</v>
        <stp/>
        <stp>BDH|12911515115853496030</stp>
        <tr r="AC33" s="2"/>
      </tp>
      <tp t="s">
        <v>#N/A N/A</v>
        <stp/>
        <stp>BDH|12550680655842185659</stp>
        <tr r="V28" s="2"/>
      </tp>
      <tp t="s">
        <v>#N/A N/A</v>
        <stp/>
        <stp>BDH|13053413632122911365</stp>
        <tr r="Q62" s="2"/>
      </tp>
      <tp t="s">
        <v>#N/A N/A</v>
        <stp/>
        <stp>BDH|12336497173152557601</stp>
        <tr r="Z22" s="2"/>
      </tp>
      <tp t="s">
        <v>#N/A N/A</v>
        <stp/>
        <stp>BDH|15122986763527089855</stp>
        <tr r="Y64" s="2"/>
      </tp>
      <tp t="s">
        <v>#N/A N/A</v>
        <stp/>
        <stp>BDH|11844041827610078645</stp>
        <tr r="AA51" s="2"/>
      </tp>
      <tp t="s">
        <v>#N/A N/A</v>
        <stp/>
        <stp>BDH|14638064508650079171</stp>
        <tr r="U66" s="2"/>
      </tp>
      <tp t="s">
        <v>#N/A N/A</v>
        <stp/>
        <stp>BDH|10141070672077289584</stp>
        <tr r="D49" s="2"/>
      </tp>
      <tp t="s">
        <v>#N/A N/A</v>
        <stp/>
        <stp>BDH|12067443417055467790</stp>
        <tr r="M19" s="2"/>
      </tp>
    </main>
    <main first="bofaddin.rtdserver">
      <tp t="s">
        <v>#N/A N/A</v>
        <stp/>
        <stp>BDH|5084181858462183</stp>
        <tr r="D31" s="2"/>
      </tp>
      <tp t="s">
        <v>#N/A N/A</v>
        <stp/>
        <stp>BDH|6557743188514136126</stp>
        <tr r="I23" s="2"/>
      </tp>
      <tp t="s">
        <v>#N/A N/A</v>
        <stp/>
        <stp>BDH|9034414169734403368</stp>
        <tr r="Y40" s="2"/>
      </tp>
      <tp t="s">
        <v>#N/A N/A</v>
        <stp/>
        <stp>BDH|2407053503876160893</stp>
        <tr r="AD36" s="2"/>
      </tp>
      <tp t="s">
        <v>#N/A N/A</v>
        <stp/>
        <stp>BDH|1759193282523798714</stp>
        <tr r="AB26" s="2"/>
      </tp>
      <tp t="s">
        <v>#N/A N/A</v>
        <stp/>
        <stp>BDH|7800717392481556454</stp>
        <tr r="O28" s="2"/>
      </tp>
      <tp t="s">
        <v>#N/A N/A</v>
        <stp/>
        <stp>BDH|4851850741264587026</stp>
        <tr r="Q46" s="2"/>
        <tr r="Q34" s="2"/>
      </tp>
      <tp t="s">
        <v>#N/A N/A</v>
        <stp/>
        <stp>BDH|1530033889085716000</stp>
        <tr r="M8" s="2"/>
      </tp>
      <tp t="s">
        <v>#N/A N/A</v>
        <stp/>
        <stp>BDH|9284369524083106790</stp>
        <tr r="H60" s="2"/>
      </tp>
      <tp t="s">
        <v>#N/A N/A</v>
        <stp/>
        <stp>BDH|6138589404646279970</stp>
        <tr r="T35" s="2"/>
      </tp>
      <tp t="s">
        <v>#N/A N/A</v>
        <stp/>
        <stp>BDH|3740991545226555468</stp>
        <tr r="U54" s="2"/>
      </tp>
      <tp t="s">
        <v>#N/A N/A</v>
        <stp/>
        <stp>BDH|8242690065284357046</stp>
        <tr r="S48" s="2"/>
      </tp>
      <tp t="s">
        <v>#N/A N/A</v>
        <stp/>
        <stp>BDH|2575592025550976999</stp>
        <tr r="AC70" s="2"/>
      </tp>
      <tp t="s">
        <v>#N/A N/A</v>
        <stp/>
        <stp>BDH|2535571748846799933</stp>
        <tr r="R63" s="2"/>
      </tp>
      <tp t="s">
        <v>#N/A N/A</v>
        <stp/>
        <stp>BDH|3282897935562501651</stp>
        <tr r="T32" s="2"/>
      </tp>
      <tp t="s">
        <v>#N/A N/A</v>
        <stp/>
        <stp>BDH|8381254250890967302</stp>
        <tr r="U21" s="2"/>
      </tp>
      <tp t="s">
        <v>#N/A N/A</v>
        <stp/>
        <stp>BDH|8606517327692640190</stp>
        <tr r="Y70" s="2"/>
      </tp>
      <tp t="s">
        <v>#N/A N/A</v>
        <stp/>
        <stp>BDH|8948002810374477125</stp>
        <tr r="L55" s="2"/>
      </tp>
      <tp t="s">
        <v>#N/A N/A</v>
        <stp/>
        <stp>BDH|8841426234204678770</stp>
        <tr r="X20" s="2"/>
      </tp>
      <tp t="s">
        <v>#N/A N/A</v>
        <stp/>
        <stp>BDH|1935902848491798196</stp>
        <tr r="M9" s="2"/>
      </tp>
      <tp t="s">
        <v>#N/A N/A</v>
        <stp/>
        <stp>BDH|5430219602473280888</stp>
        <tr r="Y45" s="2"/>
      </tp>
      <tp t="s">
        <v>#N/A N/A</v>
        <stp/>
        <stp>BDH|3278928335945650011</stp>
        <tr r="G36" s="2"/>
      </tp>
      <tp t="s">
        <v>#N/A N/A</v>
        <stp/>
        <stp>BDH|9822958099684326159</stp>
        <tr r="AD66" s="2"/>
      </tp>
      <tp t="s">
        <v>#N/A N/A</v>
        <stp/>
        <stp>BDH|9167241996439390724</stp>
        <tr r="E15" s="2"/>
      </tp>
      <tp t="s">
        <v>#N/A N/A</v>
        <stp/>
        <stp>BDH|7072182460434962821</stp>
        <tr r="AD56" s="2"/>
      </tp>
      <tp t="s">
        <v>#N/A N/A</v>
        <stp/>
        <stp>BDH|6158006190023582070</stp>
        <tr r="AB13" s="2"/>
      </tp>
      <tp t="s">
        <v>#N/A N/A</v>
        <stp/>
        <stp>BDH|2669137799464907250</stp>
        <tr r="H26" s="2"/>
      </tp>
      <tp t="s">
        <v>#N/A N/A</v>
        <stp/>
        <stp>BDH|8294458683251313976</stp>
        <tr r="AC26" s="2"/>
      </tp>
      <tp t="s">
        <v>#N/A N/A</v>
        <stp/>
        <stp>BDH|8796066385465343977</stp>
        <tr r="Z31" s="2"/>
      </tp>
      <tp t="s">
        <v>#N/A N/A</v>
        <stp/>
        <stp>BDH|6371073700929123350</stp>
        <tr r="R45" s="2"/>
      </tp>
      <tp t="s">
        <v>#N/A N/A</v>
        <stp/>
        <stp>BDH|8167601223132605248</stp>
        <tr r="J35" s="2"/>
      </tp>
      <tp t="s">
        <v>#N/A N/A</v>
        <stp/>
        <stp>BDH|1652752257698794720</stp>
        <tr r="R24" s="2"/>
      </tp>
      <tp t="s">
        <v>#N/A N/A</v>
        <stp/>
        <stp>BDH|4518267835458498134</stp>
        <tr r="M6" s="2"/>
      </tp>
      <tp t="s">
        <v>#N/A N/A</v>
        <stp/>
        <stp>BDH|5754298024368592196</stp>
        <tr r="AB44" s="2"/>
      </tp>
      <tp t="s">
        <v>#N/A N/A</v>
        <stp/>
        <stp>BDH|8606022490545204802</stp>
        <tr r="W31" s="2"/>
      </tp>
      <tp t="s">
        <v>#N/A N/A</v>
        <stp/>
        <stp>BDH|1624510975719487609</stp>
        <tr r="X26" s="2"/>
      </tp>
      <tp t="s">
        <v>#N/A N/A</v>
        <stp/>
        <stp>BDH|7319120932140053958</stp>
        <tr r="W60" s="2"/>
      </tp>
      <tp t="s">
        <v>#N/A N/A</v>
        <stp/>
        <stp>BDH|4337974202445701461</stp>
        <tr r="M64" s="2"/>
      </tp>
      <tp t="s">
        <v>#N/A N/A</v>
        <stp/>
        <stp>BDH|7619884155115864344</stp>
        <tr r="AB23" s="2"/>
      </tp>
      <tp t="s">
        <v>#N/A N/A</v>
        <stp/>
        <stp>BDH|2585795049594374917</stp>
        <tr r="J34" s="2"/>
        <tr r="J46" s="2"/>
      </tp>
      <tp t="s">
        <v>#N/A N/A</v>
        <stp/>
        <stp>BDH|6303323510860557831</stp>
        <tr r="T41" s="2"/>
      </tp>
      <tp t="s">
        <v>#N/A N/A</v>
        <stp/>
        <stp>BDH|3743378825396797860</stp>
        <tr r="J24" s="2"/>
      </tp>
      <tp t="s">
        <v>#N/A N/A</v>
        <stp/>
        <stp>BDH|4677044694801594074</stp>
        <tr r="AC15" s="2"/>
      </tp>
      <tp t="s">
        <v>#N/A N/A</v>
        <stp/>
        <stp>BDH|3152898445876091589</stp>
        <tr r="U39" s="2"/>
      </tp>
      <tp t="s">
        <v>#N/A N/A</v>
        <stp/>
        <stp>BDH|9533654450234790226</stp>
        <tr r="U64" s="2"/>
      </tp>
      <tp t="s">
        <v>#N/A N/A</v>
        <stp/>
        <stp>BDH|4693646489702850462</stp>
        <tr r="M54" s="2"/>
      </tp>
      <tp t="s">
        <v>#N/A N/A</v>
        <stp/>
        <stp>BDH|4754950821642868008</stp>
        <tr r="R29" s="2"/>
      </tp>
      <tp t="s">
        <v>#N/A N/A</v>
        <stp/>
        <stp>BDH|6115919483598922210</stp>
        <tr r="AA32" s="2"/>
      </tp>
      <tp t="s">
        <v>#N/A N/A</v>
        <stp/>
        <stp>BDH|8805743723991485137</stp>
        <tr r="G61" s="2"/>
      </tp>
      <tp t="s">
        <v>#N/A N/A</v>
        <stp/>
        <stp>BDH|1747761984283468081</stp>
        <tr r="G34" s="2"/>
        <tr r="G46" s="2"/>
      </tp>
      <tp t="s">
        <v>#N/A N/A</v>
        <stp/>
        <stp>BDH|9454200658485531608</stp>
        <tr r="S11" s="2"/>
      </tp>
      <tp t="s">
        <v>#N/A N/A</v>
        <stp/>
        <stp>BDH|9062548866490975754</stp>
        <tr r="E8" s="2"/>
      </tp>
      <tp t="s">
        <v>#N/A N/A</v>
        <stp/>
        <stp>BDH|4024906768386710006</stp>
        <tr r="I41" s="2"/>
      </tp>
      <tp t="s">
        <v>#N/A N/A</v>
        <stp/>
        <stp>BDH|8544500597800889956</stp>
        <tr r="L16" s="2"/>
      </tp>
      <tp t="s">
        <v>#N/A N/A</v>
        <stp/>
        <stp>BDH|8619336927502913672</stp>
        <tr r="O32" s="2"/>
      </tp>
      <tp t="s">
        <v>#N/A N/A</v>
        <stp/>
        <stp>BDH|9026668342331128791</stp>
        <tr r="K50" s="2"/>
      </tp>
      <tp t="s">
        <v>#N/A N/A</v>
        <stp/>
        <stp>BDH|1170923411915872167</stp>
        <tr r="AC64" s="2"/>
      </tp>
      <tp t="s">
        <v>#N/A N/A</v>
        <stp/>
        <stp>BDH|9482184777430612216</stp>
        <tr r="H54" s="2"/>
      </tp>
      <tp t="s">
        <v>#N/A N/A</v>
        <stp/>
        <stp>BDH|8146609133131684195</stp>
        <tr r="E25" s="2"/>
      </tp>
      <tp t="s">
        <v>#N/A N/A</v>
        <stp/>
        <stp>BDH|7915842383702220812</stp>
        <tr r="N35" s="2"/>
      </tp>
      <tp t="s">
        <v>#N/A N/A</v>
        <stp/>
        <stp>BDH|7838575283107561045</stp>
        <tr r="F27" s="2"/>
      </tp>
      <tp t="s">
        <v>#N/A N/A</v>
        <stp/>
        <stp>BDH|4776883238810850220</stp>
        <tr r="L10" s="2"/>
      </tp>
      <tp t="s">
        <v>#N/A N/A</v>
        <stp/>
        <stp>BDH|5506547735979775718</stp>
        <tr r="K14" s="2"/>
      </tp>
      <tp t="s">
        <v>#N/A N/A</v>
        <stp/>
        <stp>BDH|8738589923156685487</stp>
        <tr r="Z68" s="2"/>
      </tp>
      <tp t="s">
        <v>#N/A N/A</v>
        <stp/>
        <stp>BDH|4995893304446648710</stp>
        <tr r="T46" s="2"/>
        <tr r="T34" s="2"/>
      </tp>
      <tp t="s">
        <v>#N/A N/A</v>
        <stp/>
        <stp>BDH|8692779136392630310</stp>
        <tr r="AA42" s="2"/>
      </tp>
      <tp t="s">
        <v>#N/A N/A</v>
        <stp/>
        <stp>BDH|3114311067878231359</stp>
        <tr r="X56" s="2"/>
      </tp>
      <tp t="s">
        <v>#N/A N/A</v>
        <stp/>
        <stp>BDH|8135542715399550855</stp>
        <tr r="J36" s="2"/>
      </tp>
      <tp t="s">
        <v>#N/A N/A</v>
        <stp/>
        <stp>BDH|1425942951157237720</stp>
        <tr r="AB48" s="2"/>
      </tp>
      <tp t="s">
        <v>#N/A N/A</v>
        <stp/>
        <stp>BDH|6420292608251622826</stp>
        <tr r="V27" s="2"/>
      </tp>
      <tp t="s">
        <v>#N/A N/A</v>
        <stp/>
        <stp>BDH|4306203156827546915</stp>
        <tr r="L9" s="2"/>
      </tp>
      <tp t="s">
        <v>#N/A N/A</v>
        <stp/>
        <stp>BDH|7211526327815857898</stp>
        <tr r="W65" s="2"/>
      </tp>
      <tp t="s">
        <v>#N/A N/A</v>
        <stp/>
        <stp>BDH|6234031817642218820</stp>
        <tr r="X71" s="2"/>
      </tp>
      <tp t="s">
        <v>#N/A N/A</v>
        <stp/>
        <stp>BDH|7032478183362368416</stp>
        <tr r="H39" s="2"/>
      </tp>
      <tp t="s">
        <v>#N/A N/A</v>
        <stp/>
        <stp>BDH|9949329661643466282</stp>
        <tr r="F25" s="2"/>
      </tp>
      <tp t="s">
        <v>#N/A N/A</v>
        <stp/>
        <stp>BDH|9101074877312425127</stp>
        <tr r="C10" s="2"/>
      </tp>
      <tp t="s">
        <v>#N/A N/A</v>
        <stp/>
        <stp>BDH|5969704133665871954</stp>
        <tr r="S36" s="2"/>
      </tp>
      <tp t="s">
        <v>#N/A N/A</v>
        <stp/>
        <stp>BDH|4995266177739983568</stp>
        <tr r="C20" s="2"/>
      </tp>
      <tp t="s">
        <v>#N/A N/A</v>
        <stp/>
        <stp>BDH|5341382587916351580</stp>
        <tr r="X22" s="2"/>
      </tp>
      <tp t="s">
        <v>#N/A N/A</v>
        <stp/>
        <stp>BDH|1785166321907198850</stp>
        <tr r="O37" s="2"/>
      </tp>
      <tp t="s">
        <v>#N/A N/A</v>
        <stp/>
        <stp>BDH|12061564523950528</stp>
        <tr r="S66" s="2"/>
      </tp>
      <tp t="s">
        <v>#N/A N/A</v>
        <stp/>
        <stp>BDH|6248901971486064092</stp>
        <tr r="S21" s="2"/>
      </tp>
      <tp t="s">
        <v>#N/A N/A</v>
        <stp/>
        <stp>BDH|3870940802821466507</stp>
        <tr r="C40" s="2"/>
      </tp>
      <tp t="s">
        <v>#N/A N/A</v>
        <stp/>
        <stp>BDH|1147418570934339882</stp>
        <tr r="J16" s="2"/>
      </tp>
      <tp t="s">
        <v>#N/A N/A</v>
        <stp/>
        <stp>BDH|1492980047513124113</stp>
        <tr r="S68" s="2"/>
      </tp>
      <tp t="s">
        <v>#N/A N/A</v>
        <stp/>
        <stp>BDH|8944720125000411319</stp>
        <tr r="L32" s="2"/>
      </tp>
      <tp t="s">
        <v>#N/A N/A</v>
        <stp/>
        <stp>BDH|7535913869730617609</stp>
        <tr r="G6" s="2"/>
      </tp>
      <tp t="s">
        <v>#N/A N/A</v>
        <stp/>
        <stp>BDH|9980617942504224100</stp>
        <tr r="Y56" s="2"/>
      </tp>
      <tp t="s">
        <v>#N/A N/A</v>
        <stp/>
        <stp>BDH|7886220326239373070</stp>
        <tr r="Z50" s="2"/>
      </tp>
      <tp t="s">
        <v>#N/A N/A</v>
        <stp/>
        <stp>BDH|7592498697084643059</stp>
        <tr r="Y9" s="2"/>
      </tp>
      <tp t="s">
        <v>#N/A N/A</v>
        <stp/>
        <stp>BDH|8996714667684274352</stp>
        <tr r="E19" s="2"/>
      </tp>
      <tp t="s">
        <v>#N/A N/A</v>
        <stp/>
        <stp>BDH|6245615175560863976</stp>
        <tr r="AB37" s="2"/>
      </tp>
      <tp t="s">
        <v>#N/A N/A</v>
        <stp/>
        <stp>BDH|4943461546709616310</stp>
        <tr r="M68" s="2"/>
      </tp>
      <tp t="s">
        <v>#N/A N/A</v>
        <stp/>
        <stp>BDH|6441737879461332936</stp>
        <tr r="D40" s="2"/>
      </tp>
      <tp t="s">
        <v>#N/A N/A</v>
        <stp/>
        <stp>BDH|1641617788479617879</stp>
        <tr r="AB61" s="2"/>
      </tp>
      <tp t="s">
        <v>#N/A N/A</v>
        <stp/>
        <stp>BDH|7662829128185283617</stp>
        <tr r="U45" s="2"/>
      </tp>
      <tp t="s">
        <v>#N/A N/A</v>
        <stp/>
        <stp>BDH|9862405901980633301</stp>
        <tr r="Y37" s="2"/>
      </tp>
      <tp t="s">
        <v>#N/A N/A</v>
        <stp/>
        <stp>BDH|6503266398370369378</stp>
        <tr r="I39" s="2"/>
      </tp>
      <tp t="s">
        <v>#N/A N/A</v>
        <stp/>
        <stp>BDH|6284575773052831812</stp>
        <tr r="P69" s="2"/>
      </tp>
      <tp t="s">
        <v>#N/A N/A</v>
        <stp/>
        <stp>BDH|9445733229235588742</stp>
        <tr r="M34" s="2"/>
        <tr r="M46" s="2"/>
      </tp>
      <tp t="s">
        <v>#N/A N/A</v>
        <stp/>
        <stp>BDH|6315627068821071950</stp>
        <tr r="S51" s="2"/>
      </tp>
      <tp t="s">
        <v>#N/A N/A</v>
        <stp/>
        <stp>BDH|7826166586372758238</stp>
        <tr r="M28" s="2"/>
      </tp>
      <tp t="s">
        <v>#N/A N/A</v>
        <stp/>
        <stp>BDH|8279136664100881108</stp>
        <tr r="C55" s="2"/>
      </tp>
      <tp t="s">
        <v>#N/A N/A</v>
        <stp/>
        <stp>BDH|1289423350528413698</stp>
        <tr r="Y30" s="2"/>
      </tp>
      <tp t="s">
        <v>#N/A N/A</v>
        <stp/>
        <stp>BDH|8151988091424544205</stp>
        <tr r="L64" s="2"/>
      </tp>
      <tp t="s">
        <v>#N/A N/A</v>
        <stp/>
        <stp>BDH|4790784121566846949</stp>
        <tr r="W54" s="2"/>
      </tp>
      <tp t="s">
        <v>#N/A N/A</v>
        <stp/>
        <stp>BDH|1220903793138437777</stp>
        <tr r="L21" s="2"/>
      </tp>
      <tp t="s">
        <v>#N/A N/A</v>
        <stp/>
        <stp>BDH|8081789740585243097</stp>
        <tr r="F67" s="2"/>
      </tp>
      <tp t="s">
        <v>#N/A N/A</v>
        <stp/>
        <stp>BDH|7067752899393467484</stp>
        <tr r="W26" s="2"/>
      </tp>
      <tp t="s">
        <v>#N/A N/A</v>
        <stp/>
        <stp>BDH|1607097296780921606</stp>
        <tr r="V25" s="2"/>
      </tp>
      <tp t="s">
        <v>#N/A N/A</v>
        <stp/>
        <stp>BDH|2534120441819175074</stp>
        <tr r="O44" s="2"/>
      </tp>
      <tp t="s">
        <v>#N/A N/A</v>
        <stp/>
        <stp>BDH|8839859573798808167</stp>
        <tr r="Y60" s="2"/>
      </tp>
      <tp t="s">
        <v>#N/A N/A</v>
        <stp/>
        <stp>BDH|3837654913832908872</stp>
        <tr r="Z10" s="2"/>
      </tp>
      <tp t="s">
        <v>#N/A N/A</v>
        <stp/>
        <stp>BDH|6271805398851991820</stp>
        <tr r="U41" s="2"/>
      </tp>
      <tp t="s">
        <v>#N/A N/A</v>
        <stp/>
        <stp>BDH|4335631549739943114</stp>
        <tr r="AC54" s="2"/>
      </tp>
      <tp t="s">
        <v>#N/A N/A</v>
        <stp/>
        <stp>BDH|4211138305609530208</stp>
        <tr r="J42" s="2"/>
      </tp>
      <tp t="s">
        <v>#N/A N/A</v>
        <stp/>
        <stp>BDH|9526315448095463596</stp>
        <tr r="W39" s="2"/>
      </tp>
      <tp t="s">
        <v>#N/A N/A</v>
        <stp/>
        <stp>BDH|3219802325804093365</stp>
        <tr r="O39" s="2"/>
      </tp>
      <tp t="s">
        <v>#N/A N/A</v>
        <stp/>
        <stp>BDH|8197242615296593349</stp>
        <tr r="H11" s="2"/>
      </tp>
      <tp t="s">
        <v>#N/A N/A</v>
        <stp/>
        <stp>BDH|3157511060208885696</stp>
        <tr r="Y18" s="2"/>
      </tp>
      <tp t="s">
        <v>#N/A N/A</v>
        <stp/>
        <stp>BDH|5008657792025650172</stp>
        <tr r="K62" s="2"/>
      </tp>
      <tp t="s">
        <v>#N/A N/A</v>
        <stp/>
        <stp>BDH|4080456984750406637</stp>
        <tr r="P10" s="2"/>
      </tp>
      <tp t="s">
        <v>#N/A N/A</v>
        <stp/>
        <stp>BDH|6167837513850573136</stp>
        <tr r="K6" s="2"/>
      </tp>
      <tp t="s">
        <v>#N/A N/A</v>
        <stp/>
        <stp>BDH|9268131821367212358</stp>
        <tr r="X70" s="2"/>
      </tp>
      <tp t="s">
        <v>#N/A N/A</v>
        <stp/>
        <stp>BDH|4422985409202806192</stp>
        <tr r="N24" s="2"/>
      </tp>
      <tp t="s">
        <v>#N/A N/A</v>
        <stp/>
        <stp>BDH|2528962201084230149</stp>
        <tr r="AB32" s="2"/>
      </tp>
      <tp t="s">
        <v>#N/A N/A</v>
        <stp/>
        <stp>BDH|3909196505644859898</stp>
        <tr r="M20" s="2"/>
      </tp>
      <tp t="s">
        <v>#N/A N/A</v>
        <stp/>
        <stp>BDH|8126899801147833948</stp>
        <tr r="M17" s="2"/>
      </tp>
      <tp t="s">
        <v>#N/A N/A</v>
        <stp/>
        <stp>BDH|9939732001647947772</stp>
        <tr r="V24" s="2"/>
      </tp>
      <tp t="s">
        <v>#N/A N/A</v>
        <stp/>
        <stp>BDH|7249862123171501275</stp>
        <tr r="O21" s="2"/>
      </tp>
      <tp t="s">
        <v>#N/A N/A</v>
        <stp/>
        <stp>BDH|4106784388387072245</stp>
        <tr r="S49" s="2"/>
      </tp>
      <tp t="s">
        <v>#N/A N/A</v>
        <stp/>
        <stp>BDH|9696120141221913393</stp>
        <tr r="C68" s="2"/>
      </tp>
      <tp t="s">
        <v>#N/A N/A</v>
        <stp/>
        <stp>BDH|1042484166855326978</stp>
        <tr r="L60" s="2"/>
      </tp>
      <tp t="s">
        <v>#N/A N/A</v>
        <stp/>
        <stp>BDH|7308885306912426232</stp>
        <tr r="P55" s="2"/>
      </tp>
      <tp t="s">
        <v>#N/A N/A</v>
        <stp/>
        <stp>BDH|5192813354054907363</stp>
        <tr r="AA56" s="2"/>
      </tp>
      <tp t="s">
        <v>#N/A N/A</v>
        <stp/>
        <stp>BDH|9667577225851671094</stp>
        <tr r="E71" s="2"/>
      </tp>
      <tp t="s">
        <v>#N/A N/A</v>
        <stp/>
        <stp>BDH|8535864065909918043</stp>
        <tr r="M67" s="2"/>
      </tp>
      <tp t="s">
        <v>#N/A N/A</v>
        <stp/>
        <stp>BDH|7508550239778634671</stp>
        <tr r="D51" s="2"/>
      </tp>
      <tp t="s">
        <v>#N/A N/A</v>
        <stp/>
        <stp>BDH|5902722330609359707</stp>
        <tr r="O40" s="2"/>
      </tp>
      <tp t="s">
        <v>#N/A N/A</v>
        <stp/>
        <stp>BDH|6706635936115861929</stp>
        <tr r="T50" s="2"/>
      </tp>
      <tp t="s">
        <v>#N/A N/A</v>
        <stp/>
        <stp>BDH|5585312589559617826</stp>
        <tr r="J12" s="2"/>
      </tp>
      <tp t="s">
        <v>#N/A N/A</v>
        <stp/>
        <stp>BDH|1200808628176322207</stp>
        <tr r="K17" s="2"/>
      </tp>
      <tp t="s">
        <v>#N/A N/A</v>
        <stp/>
        <stp>BDH|9397754921743080097</stp>
        <tr r="H61" s="2"/>
      </tp>
      <tp t="s">
        <v>#N/A N/A</v>
        <stp/>
        <stp>BDH|5747397254278044454</stp>
        <tr r="F29" s="2"/>
      </tp>
      <tp t="s">
        <v>#N/A N/A</v>
        <stp/>
        <stp>BDH|8004884790410201653</stp>
        <tr r="F26" s="2"/>
      </tp>
      <tp t="s">
        <v>#N/A N/A</v>
        <stp/>
        <stp>BDH|9977870263728734051</stp>
        <tr r="R8" s="2"/>
      </tp>
      <tp t="s">
        <v>#N/A N/A</v>
        <stp/>
        <stp>BDH|6633911585961887962</stp>
        <tr r="T12" s="2"/>
      </tp>
      <tp t="s">
        <v>#N/A N/A</v>
        <stp/>
        <stp>BDH|7430907818564023400</stp>
        <tr r="M24" s="2"/>
      </tp>
      <tp t="s">
        <v>#N/A N/A</v>
        <stp/>
        <stp>BDH|4759334814369402086</stp>
        <tr r="T25" s="2"/>
      </tp>
      <tp t="s">
        <v>#N/A N/A</v>
        <stp/>
        <stp>BDH|2880064374238197278</stp>
        <tr r="S7" s="2"/>
      </tp>
      <tp t="s">
        <v>#N/A N/A</v>
        <stp/>
        <stp>BDH|8065094170728234866</stp>
        <tr r="V70" s="2"/>
      </tp>
      <tp t="s">
        <v>#N/A N/A</v>
        <stp/>
        <stp>BDH|9148783875016874093</stp>
        <tr r="L45" s="2"/>
      </tp>
      <tp t="s">
        <v>#N/A N/A</v>
        <stp/>
        <stp>BDH|6277886397968380036</stp>
        <tr r="Z45" s="2"/>
      </tp>
      <tp t="s">
        <v>#N/A N/A</v>
        <stp/>
        <stp>BDH|5179446217277427844</stp>
        <tr r="AA12" s="2"/>
      </tp>
      <tp t="s">
        <v>#N/A N/A</v>
        <stp/>
        <stp>BDH|4926130399555724662</stp>
        <tr r="G9" s="2"/>
      </tp>
      <tp t="s">
        <v>#N/A N/A</v>
        <stp/>
        <stp>BDH|5206902842202004529</stp>
        <tr r="U55" s="2"/>
      </tp>
      <tp t="s">
        <v>#N/A N/A</v>
        <stp/>
        <stp>BDH|5959960259085482307</stp>
        <tr r="E55" s="2"/>
      </tp>
      <tp t="s">
        <v>#N/A N/A</v>
        <stp/>
        <stp>BDH|7422008718440937970</stp>
        <tr r="M44" s="2"/>
      </tp>
      <tp t="s">
        <v>#N/A N/A</v>
        <stp/>
        <stp>BDH|3573640682451453346</stp>
        <tr r="Y12" s="2"/>
      </tp>
      <tp t="s">
        <v>#N/A N/A</v>
        <stp/>
        <stp>BDH|3836925694874869858</stp>
        <tr r="F39" s="2"/>
      </tp>
      <tp t="s">
        <v>#N/A N/A</v>
        <stp/>
        <stp>BDH|5418947823162222322</stp>
        <tr r="E41" s="2"/>
      </tp>
      <tp t="s">
        <v>#N/A N/A</v>
        <stp/>
        <stp>BDH|2114523597091580017</stp>
        <tr r="G49" s="2"/>
      </tp>
      <tp t="s">
        <v>#N/A N/A</v>
        <stp/>
        <stp>BDH|8687250403265624066</stp>
        <tr r="AC50" s="2"/>
      </tp>
      <tp t="s">
        <v>#N/A N/A</v>
        <stp/>
        <stp>BDH|6706514774719515211</stp>
        <tr r="C8" s="2"/>
      </tp>
      <tp t="s">
        <v>#N/A N/A</v>
        <stp/>
        <stp>BDH|4058983062284476080</stp>
        <tr r="D44" s="2"/>
      </tp>
      <tp t="s">
        <v>#N/A N/A</v>
        <stp/>
        <stp>BDH|5478820692723239808</stp>
        <tr r="P28" s="2"/>
      </tp>
      <tp t="s">
        <v>#N/A N/A</v>
        <stp/>
        <stp>BDH|1422920505546084152</stp>
        <tr r="K53" s="2"/>
      </tp>
      <tp t="s">
        <v>#N/A N/A</v>
        <stp/>
        <stp>BDH|4091749232046986994</stp>
        <tr r="F10" s="2"/>
      </tp>
      <tp t="s">
        <v>#N/A N/A</v>
        <stp/>
        <stp>BDH|5046755335086678809</stp>
        <tr r="K55" s="2"/>
      </tp>
      <tp t="s">
        <v>#N/A N/A</v>
        <stp/>
        <stp>BDH|6329494598776448216</stp>
        <tr r="AA30" s="2"/>
      </tp>
      <tp t="s">
        <v>#N/A N/A</v>
        <stp/>
        <stp>BDH|6003965534783042059</stp>
        <tr r="S30" s="2"/>
      </tp>
      <tp t="s">
        <v>#N/A N/A</v>
        <stp/>
        <stp>BDH|1597864481908727617</stp>
        <tr r="F49" s="2"/>
      </tp>
      <tp t="s">
        <v>#N/A N/A</v>
        <stp/>
        <stp>BDH|6414092869118408746</stp>
        <tr r="R53" s="2"/>
      </tp>
      <tp t="s">
        <v>#N/A N/A</v>
        <stp/>
        <stp>BDH|2567974915393334604</stp>
        <tr r="O25" s="2"/>
      </tp>
      <tp t="s">
        <v>#N/A N/A</v>
        <stp/>
        <stp>BDH|8301408538827687795</stp>
        <tr r="W18" s="2"/>
      </tp>
      <tp t="s">
        <v>#N/A N/A</v>
        <stp/>
        <stp>BDH|5776973514403498145</stp>
        <tr r="AA65" s="2"/>
      </tp>
      <tp t="s">
        <v>#N/A N/A</v>
        <stp/>
        <stp>BDH|5990420992077837040</stp>
        <tr r="W37" s="2"/>
      </tp>
      <tp t="s">
        <v>#N/A N/A</v>
        <stp/>
        <stp>BDH|1070104724338148508</stp>
        <tr r="X11" s="2"/>
      </tp>
      <tp t="s">
        <v>#N/A N/A</v>
        <stp/>
        <stp>BDH|8926376437153357301</stp>
        <tr r="G30" s="2"/>
      </tp>
      <tp t="s">
        <v>#N/A N/A</v>
        <stp/>
        <stp>BDH|9340912003240922833</stp>
        <tr r="Z34" s="2"/>
        <tr r="Z46" s="2"/>
      </tp>
      <tp t="s">
        <v>#N/A N/A</v>
        <stp/>
        <stp>BDH|7404357903668897414</stp>
        <tr r="T17" s="2"/>
      </tp>
      <tp t="s">
        <v>#N/A N/A</v>
        <stp/>
        <stp>BDH|5838164784431570577</stp>
        <tr r="M29" s="2"/>
      </tp>
      <tp t="s">
        <v>#N/A N/A</v>
        <stp/>
        <stp>BDH|4299339907176701999</stp>
        <tr r="X69" s="2"/>
      </tp>
      <tp t="s">
        <v>#N/A N/A</v>
        <stp/>
        <stp>BDH|8547115606800861125</stp>
        <tr r="AD69" s="2"/>
      </tp>
      <tp t="s">
        <v>#N/A N/A</v>
        <stp/>
        <stp>BDH|5008356814928034790</stp>
        <tr r="AD34" s="2"/>
        <tr r="AD46" s="2"/>
      </tp>
      <tp t="s">
        <v>#N/A N/A</v>
        <stp/>
        <stp>BDH|4351066445520114881</stp>
        <tr r="D34" s="2"/>
        <tr r="D46" s="2"/>
      </tp>
      <tp t="s">
        <v>#N/A N/A</v>
        <stp/>
        <stp>BDH|7865689702651402889</stp>
        <tr r="P23" s="2"/>
      </tp>
      <tp t="s">
        <v>#N/A N/A</v>
        <stp/>
        <stp>BDH|5239123500048736494</stp>
        <tr r="U38" s="2"/>
      </tp>
      <tp t="s">
        <v>#N/A N/A</v>
        <stp/>
        <stp>BDH|1605127529149031338</stp>
        <tr r="N64" s="2"/>
      </tp>
      <tp t="s">
        <v>#N/A N/A</v>
        <stp/>
        <stp>BDH|2937730022486547927</stp>
        <tr r="Q54" s="2"/>
      </tp>
      <tp t="s">
        <v>#N/A N/A</v>
        <stp/>
        <stp>BDH|7147822759633293177</stp>
        <tr r="C39" s="2"/>
      </tp>
      <tp t="s">
        <v>#N/A N/A</v>
        <stp/>
        <stp>BDH|2214987055680624653</stp>
        <tr r="T36" s="2"/>
      </tp>
      <tp t="s">
        <v>#N/A N/A</v>
        <stp/>
        <stp>BDH|1085911484530199885</stp>
        <tr r="F56" s="2"/>
      </tp>
      <tp t="s">
        <v>#N/A N/A</v>
        <stp/>
        <stp>BDH|4927273810707282808</stp>
        <tr r="M69" s="2"/>
      </tp>
      <tp t="s">
        <v>#N/A N/A</v>
        <stp/>
        <stp>BDH|9885074060735171221</stp>
        <tr r="P30" s="2"/>
      </tp>
      <tp t="s">
        <v>#N/A N/A</v>
        <stp/>
        <stp>BDH|9719891593386027609</stp>
        <tr r="I51" s="2"/>
      </tp>
      <tp t="s">
        <v>#N/A N/A</v>
        <stp/>
        <stp>BDH|2320305932939427382</stp>
        <tr r="E60" s="2"/>
      </tp>
      <tp t="s">
        <v>#N/A N/A</v>
        <stp/>
        <stp>BDH|1103807940751192428</stp>
        <tr r="P15" s="2"/>
      </tp>
      <tp t="s">
        <v>#N/A N/A</v>
        <stp/>
        <stp>BDH|9182908453084322936</stp>
        <tr r="U6" s="2"/>
      </tp>
      <tp t="s">
        <v>#N/A N/A</v>
        <stp/>
        <stp>BDH|2843805448921244719</stp>
        <tr r="Z48" s="2"/>
      </tp>
      <tp t="s">
        <v>#N/A N/A</v>
        <stp/>
        <stp>BDH|9598832395157666761</stp>
        <tr r="V68" s="2"/>
      </tp>
      <tp t="s">
        <v>#N/A N/A</v>
        <stp/>
        <stp>BDH|2242563190595659325</stp>
        <tr r="J69" s="2"/>
      </tp>
      <tp t="s">
        <v>#N/A N/A</v>
        <stp/>
        <stp>BDH|8209267422127274744</stp>
        <tr r="AC63" s="2"/>
      </tp>
      <tp t="s">
        <v>#N/A N/A</v>
        <stp/>
        <stp>BDH|3998505793151988631</stp>
        <tr r="T10" s="2"/>
      </tp>
      <tp t="s">
        <v>#N/A N/A</v>
        <stp/>
        <stp>BDH|6214838160602617274</stp>
        <tr r="K35" s="2"/>
      </tp>
      <tp t="s">
        <v>#N/A N/A</v>
        <stp/>
        <stp>BDH|2068740005809292438</stp>
        <tr r="U26" s="2"/>
      </tp>
      <tp t="s">
        <v>#N/A N/A</v>
        <stp/>
        <stp>BDH|9827954629239311364</stp>
        <tr r="W10" s="2"/>
      </tp>
      <tp t="s">
        <v>#N/A N/A</v>
        <stp/>
        <stp>BDH|1406471784523673600</stp>
        <tr r="O23" s="2"/>
      </tp>
      <tp t="s">
        <v>#N/A N/A</v>
        <stp/>
        <stp>BDH|1018771081585083379</stp>
        <tr r="S24" s="2"/>
      </tp>
      <tp t="s">
        <v>#N/A N/A</v>
        <stp/>
        <stp>BDH|8334139243000716529</stp>
        <tr r="E14" s="2"/>
      </tp>
      <tp t="s">
        <v>#N/A N/A</v>
        <stp/>
        <stp>BDH|5345395987624943225</stp>
        <tr r="AD23" s="2"/>
      </tp>
      <tp t="s">
        <v>#N/A N/A</v>
        <stp/>
        <stp>BDH|7664829992769524748</stp>
        <tr r="I30" s="2"/>
      </tp>
      <tp t="s">
        <v>#N/A N/A</v>
        <stp/>
        <stp>BDH|3663435356398343273</stp>
        <tr r="T68" s="2"/>
      </tp>
      <tp t="s">
        <v>#N/A N/A</v>
        <stp/>
        <stp>BDH|4592727590594421640</stp>
        <tr r="R9" s="2"/>
      </tp>
      <tp t="s">
        <v>#N/A N/A</v>
        <stp/>
        <stp>BDH|5190383880074747295</stp>
        <tr r="D26" s="2"/>
      </tp>
      <tp t="s">
        <v>#N/A N/A</v>
        <stp/>
        <stp>BDH|9248107962455691326</stp>
        <tr r="N54" s="2"/>
      </tp>
      <tp t="s">
        <v>#N/A N/A</v>
        <stp/>
        <stp>BDH|1566399663559378585</stp>
        <tr r="E49" s="2"/>
      </tp>
      <tp t="s">
        <v>#N/A N/A</v>
        <stp/>
        <stp>BDH|1493967244245735154</stp>
        <tr r="G69" s="2"/>
      </tp>
      <tp t="s">
        <v>#N/A N/A</v>
        <stp/>
        <stp>BDH|5593491318410218826</stp>
        <tr r="V64" s="2"/>
      </tp>
      <tp t="s">
        <v>#N/A N/A</v>
        <stp/>
        <stp>BDH|7116242986325150070</stp>
        <tr r="O68" s="2"/>
      </tp>
      <tp t="s">
        <v>#N/A N/A</v>
        <stp/>
        <stp>BDH|9145263267085269075</stp>
        <tr r="R31" s="2"/>
      </tp>
      <tp t="s">
        <v>#N/A N/A</v>
        <stp/>
        <stp>BDH|6393424941587693936</stp>
        <tr r="P36" s="2"/>
      </tp>
      <tp t="s">
        <v>#N/A N/A</v>
        <stp/>
        <stp>BDH|7787816726491332466</stp>
        <tr r="O14" s="2"/>
      </tp>
      <tp t="s">
        <v>#N/A N/A</v>
        <stp/>
        <stp>BDH|83559960825748349</stp>
        <tr r="T29" s="2"/>
      </tp>
      <tp t="s">
        <v>#N/A N/A</v>
        <stp/>
        <stp>BDH|6142264366553811835</stp>
        <tr r="D62" s="2"/>
      </tp>
      <tp t="s">
        <v>#N/A N/A</v>
        <stp/>
        <stp>BDH|2475350347275503991</stp>
        <tr r="X35" s="2"/>
      </tp>
      <tp t="s">
        <v>#N/A N/A</v>
        <stp/>
        <stp>BDH|1329367902982895958</stp>
        <tr r="P11" s="2"/>
      </tp>
      <tp t="s">
        <v>#N/A N/A</v>
        <stp/>
        <stp>BDH|1460690021098685402</stp>
        <tr r="W19" s="2"/>
      </tp>
      <tp t="s">
        <v>#N/A N/A</v>
        <stp/>
        <stp>BDH|4975385387022484492</stp>
        <tr r="Z41" s="2"/>
      </tp>
      <tp t="s">
        <v>#N/A N/A</v>
        <stp/>
        <stp>BDH|5281583556459464536</stp>
        <tr r="AA22" s="2"/>
      </tp>
      <tp t="s">
        <v>#N/A N/A</v>
        <stp/>
        <stp>BDH|3529150466065802868</stp>
        <tr r="X64" s="2"/>
      </tp>
      <tp t="s">
        <v>#N/A N/A</v>
        <stp/>
        <stp>BDH|4687865551597803709</stp>
        <tr r="R32" s="2"/>
      </tp>
      <tp t="s">
        <v>#N/A N/A</v>
        <stp/>
        <stp>BDH|3051283607088661007</stp>
        <tr r="V30" s="2"/>
      </tp>
      <tp t="s">
        <v>#N/A N/A</v>
        <stp/>
        <stp>BDH|2985218149254948910</stp>
        <tr r="K15" s="2"/>
      </tp>
      <tp t="s">
        <v>#N/A N/A</v>
        <stp/>
        <stp>BDH|1295592396465152153</stp>
        <tr r="N13" s="2"/>
      </tp>
      <tp t="s">
        <v>#N/A N/A</v>
        <stp/>
        <stp>BDH|4100013652961806949</stp>
        <tr r="U51" s="2"/>
      </tp>
      <tp t="s">
        <v>#N/A N/A</v>
        <stp/>
        <stp>BDH|5295989051047105744</stp>
        <tr r="U46" s="2"/>
        <tr r="U34" s="2"/>
      </tp>
      <tp t="s">
        <v>#N/A N/A</v>
        <stp/>
        <stp>BDH|4035048971479316388</stp>
        <tr r="L42" s="2"/>
      </tp>
      <tp t="s">
        <v>#N/A N/A</v>
        <stp/>
        <stp>BDH|4689667639490621812</stp>
        <tr r="H12" s="2"/>
      </tp>
      <tp t="s">
        <v>#N/A N/A</v>
        <stp/>
        <stp>BDH|6574206506938514585</stp>
        <tr r="Y61" s="2"/>
      </tp>
      <tp t="s">
        <v>#N/A N/A</v>
        <stp/>
        <stp>BDH|2247793686557391314</stp>
        <tr r="G48" s="2"/>
      </tp>
      <tp t="s">
        <v>#N/A N/A</v>
        <stp/>
        <stp>BDH|9802950196033588329</stp>
        <tr r="L14" s="2"/>
      </tp>
      <tp t="s">
        <v>#N/A N/A</v>
        <stp/>
        <stp>BDH|9109947388924388522</stp>
        <tr r="N56" s="2"/>
      </tp>
      <tp t="s">
        <v>#N/A N/A</v>
        <stp/>
        <stp>BDH|2940832345171016631</stp>
        <tr r="M35" s="2"/>
      </tp>
      <tp t="s">
        <v>#N/A N/A</v>
        <stp/>
        <stp>BDH|1100647503056219880</stp>
        <tr r="T6" s="2"/>
      </tp>
      <tp t="s">
        <v>#N/A N/A</v>
        <stp/>
        <stp>BDH|7496006513197995836</stp>
        <tr r="AB11" s="2"/>
      </tp>
      <tp t="s">
        <v>#N/A N/A</v>
        <stp/>
        <stp>BDH|7543377121208713790</stp>
        <tr r="M31" s="2"/>
      </tp>
      <tp t="s">
        <v>#N/A N/A</v>
        <stp/>
        <stp>BDH|8079381844462404459</stp>
        <tr r="AA10" s="2"/>
      </tp>
      <tp t="s">
        <v>#N/A N/A</v>
        <stp/>
        <stp>BDH|8926910089223033333</stp>
        <tr r="V38" s="2"/>
      </tp>
      <tp t="s">
        <v>#N/A N/A</v>
        <stp/>
        <stp>BDH|3036374457225730953</stp>
        <tr r="O49" s="2"/>
      </tp>
      <tp t="s">
        <v>#N/A N/A</v>
        <stp/>
        <stp>BDH|6373206875108624236</stp>
        <tr r="D35" s="2"/>
      </tp>
      <tp t="s">
        <v>#N/A N/A</v>
        <stp/>
        <stp>BDH|8613378328379234980</stp>
        <tr r="F18" s="2"/>
      </tp>
      <tp t="s">
        <v>#N/A N/A</v>
        <stp/>
        <stp>BDH|7149183596214802277</stp>
        <tr r="I32" s="2"/>
      </tp>
      <tp t="s">
        <v>#N/A N/A</v>
        <stp/>
        <stp>BDH|1267806675937192069</stp>
        <tr r="P49" s="2"/>
      </tp>
      <tp t="s">
        <v>#N/A N/A</v>
        <stp/>
        <stp>BDH|7448962466549384875</stp>
        <tr r="O22" s="2"/>
      </tp>
      <tp t="s">
        <v>#N/A N/A</v>
        <stp/>
        <stp>BDH|5387983698964154837</stp>
        <tr r="Z11" s="2"/>
      </tp>
      <tp t="s">
        <v>#N/A N/A</v>
        <stp/>
        <stp>BDH|5654840675967347453</stp>
        <tr r="J17" s="2"/>
      </tp>
      <tp t="s">
        <v>#N/A N/A</v>
        <stp/>
        <stp>BDH|7899032187357912138</stp>
        <tr r="C38" s="2"/>
      </tp>
      <tp t="s">
        <v>#N/A N/A</v>
        <stp/>
        <stp>BDH|2137837959772984442</stp>
        <tr r="N12" s="2"/>
      </tp>
      <tp t="s">
        <v>#N/A N/A</v>
        <stp/>
        <stp>BDH|8456594959059555864</stp>
        <tr r="I40" s="2"/>
      </tp>
      <tp t="s">
        <v>#N/A N/A</v>
        <stp/>
        <stp>BDH|9022277417021253253</stp>
        <tr r="P34" s="2"/>
        <tr r="P46" s="2"/>
      </tp>
      <tp t="s">
        <v>#N/A N/A</v>
        <stp/>
        <stp>BDH|4296123225218380617</stp>
        <tr r="AA23" s="2"/>
      </tp>
      <tp t="s">
        <v>#N/A N/A</v>
        <stp/>
        <stp>BDH|1260490168669209353</stp>
        <tr r="U60" s="2"/>
      </tp>
      <tp t="s">
        <v>#N/A N/A</v>
        <stp/>
        <stp>BDH|9768914194480520032</stp>
        <tr r="Y54" s="2"/>
      </tp>
      <tp t="s">
        <v>#N/A N/A</v>
        <stp/>
        <stp>BDH|1272332755379377721</stp>
        <tr r="F19" s="2"/>
      </tp>
      <tp t="s">
        <v>#N/A N/A</v>
        <stp/>
        <stp>BDH|8884658210071074787</stp>
        <tr r="AA28" s="2"/>
      </tp>
      <tp t="s">
        <v>#N/A N/A</v>
        <stp/>
        <stp>BDH|6427989375278594998</stp>
        <tr r="G29" s="2"/>
      </tp>
      <tp t="s">
        <v>#N/A N/A</v>
        <stp/>
        <stp>BDH|1234025901770721839</stp>
        <tr r="K21" s="2"/>
      </tp>
      <tp t="s">
        <v>#N/A N/A</v>
        <stp/>
        <stp>BDH|8825667623291052770</stp>
        <tr r="P56" s="2"/>
      </tp>
      <tp t="s">
        <v>#N/A N/A</v>
        <stp/>
        <stp>BDH|4526178938419693569</stp>
        <tr r="Y20" s="2"/>
      </tp>
      <tp t="s">
        <v>#N/A N/A</v>
        <stp/>
        <stp>BDH|8890667464023495156</stp>
        <tr r="K66" s="2"/>
      </tp>
      <tp t="s">
        <v>#N/A N/A</v>
        <stp/>
        <stp>BDH|1342196913329413261</stp>
        <tr r="AC8" s="2"/>
      </tp>
      <tp t="s">
        <v>#N/A N/A</v>
        <stp/>
        <stp>BDH|7946235434134296873</stp>
        <tr r="P32" s="2"/>
      </tp>
      <tp t="s">
        <v>#N/A N/A</v>
        <stp/>
        <stp>BDH|8776084373277302275</stp>
        <tr r="E30" s="2"/>
      </tp>
      <tp t="s">
        <v>#N/A N/A</v>
        <stp/>
        <stp>BDH|3182843949924385175</stp>
        <tr r="J67" s="2"/>
      </tp>
      <tp t="s">
        <v>#N/A N/A</v>
        <stp/>
        <stp>BDH|8576289429135575789</stp>
        <tr r="L23" s="2"/>
      </tp>
      <tp t="s">
        <v>#N/A N/A</v>
        <stp/>
        <stp>BDH|5389571790211985246</stp>
        <tr r="J65" s="2"/>
      </tp>
      <tp t="s">
        <v>#N/A N/A</v>
        <stp/>
        <stp>BDH|3169381484320065231</stp>
        <tr r="O15" s="2"/>
      </tp>
      <tp t="s">
        <v>#N/A N/A</v>
        <stp/>
        <stp>BDH|4774735572198071688</stp>
        <tr r="H17" s="2"/>
      </tp>
      <tp t="s">
        <v>#N/A N/A</v>
        <stp/>
        <stp>BDH|5404972891609539699</stp>
        <tr r="E68" s="2"/>
      </tp>
      <tp t="s">
        <v>#N/A N/A</v>
        <stp/>
        <stp>BDH|3939787888473376549</stp>
        <tr r="I44" s="2"/>
      </tp>
      <tp t="s">
        <v>#N/A N/A</v>
        <stp/>
        <stp>BDH|8242485542661530324</stp>
        <tr r="M36" s="2"/>
      </tp>
      <tp t="s">
        <v>#N/A N/A</v>
        <stp/>
        <stp>BDH|9559026369516630378</stp>
        <tr r="AA18" s="2"/>
      </tp>
      <tp t="s">
        <v>#N/A N/A</v>
        <stp/>
        <stp>BDH|4238305464913806810</stp>
        <tr r="M71" s="2"/>
      </tp>
      <tp t="s">
        <v>#N/A N/A</v>
        <stp/>
        <stp>BDH|3794462719248513426</stp>
        <tr r="AC32" s="2"/>
      </tp>
      <tp t="s">
        <v>#N/A N/A</v>
        <stp/>
        <stp>BDH|2006698996687597065</stp>
        <tr r="AB34" s="2"/>
        <tr r="AB46" s="2"/>
      </tp>
      <tp t="s">
        <v>#N/A N/A</v>
        <stp/>
        <stp>BDH|2653194760536361904</stp>
        <tr r="Z20" s="2"/>
      </tp>
      <tp t="s">
        <v>#N/A N/A</v>
        <stp/>
        <stp>BDH|7885415836732369800</stp>
        <tr r="X8" s="2"/>
      </tp>
      <tp t="s">
        <v>#N/A N/A</v>
        <stp/>
        <stp>BDH|5970361201348397410</stp>
        <tr r="Z18" s="2"/>
      </tp>
      <tp t="s">
        <v>#N/A N/A</v>
        <stp/>
        <stp>BDH|6479244034164115981</stp>
        <tr r="S64" s="2"/>
      </tp>
      <tp t="s">
        <v>#N/A N/A</v>
        <stp/>
        <stp>BDH|8712093563267224327</stp>
        <tr r="S62" s="2"/>
      </tp>
      <tp t="s">
        <v>#N/A N/A</v>
        <stp/>
        <stp>BDH|7023052066763910879</stp>
        <tr r="W40" s="2"/>
      </tp>
      <tp t="s">
        <v>#N/A N/A</v>
        <stp/>
        <stp>BDH|2705826212884075558</stp>
        <tr r="AA7" s="2"/>
      </tp>
      <tp t="s">
        <v>#N/A N/A</v>
        <stp/>
        <stp>BDH|4755943754773662135</stp>
        <tr r="M42" s="2"/>
      </tp>
      <tp t="s">
        <v>#N/A N/A</v>
        <stp/>
        <stp>BDH|5301470959036668891</stp>
        <tr r="U19" s="2"/>
      </tp>
      <tp t="s">
        <v>#N/A N/A</v>
        <stp/>
        <stp>BDH|9495274894809170145</stp>
        <tr r="E42" s="2"/>
      </tp>
      <tp t="s">
        <v>#N/A N/A</v>
        <stp/>
        <stp>BDH|2496757303137514852</stp>
        <tr r="K28" s="2"/>
      </tp>
      <tp t="s">
        <v>#N/A N/A</v>
        <stp/>
        <stp>BDH|7564563271406551945</stp>
        <tr r="R40" s="2"/>
      </tp>
      <tp t="s">
        <v>#N/A N/A</v>
        <stp/>
        <stp>BDH|6656162328399820637</stp>
        <tr r="H16" s="2"/>
      </tp>
      <tp t="s">
        <v>#N/A N/A</v>
        <stp/>
        <stp>BDH|7242210580442850582</stp>
        <tr r="K24" s="2"/>
      </tp>
      <tp t="s">
        <v>#N/A N/A</v>
        <stp/>
        <stp>BDH|2319289690433936016</stp>
        <tr r="AA8" s="2"/>
      </tp>
      <tp t="s">
        <v>#N/A N/A</v>
        <stp/>
        <stp>BDH|2042564902085255858</stp>
        <tr r="AA68" s="2"/>
      </tp>
      <tp t="s">
        <v>#N/A N/A</v>
        <stp/>
        <stp>BDH|3131713272349665079</stp>
        <tr r="R20" s="2"/>
      </tp>
      <tp t="s">
        <v>#N/A N/A</v>
        <stp/>
        <stp>BDH|5188927350186601560</stp>
        <tr r="O34" s="2"/>
        <tr r="O46" s="2"/>
      </tp>
      <tp t="s">
        <v>#N/A N/A</v>
        <stp/>
        <stp>BDH|5724829367986365716</stp>
        <tr r="N37" s="2"/>
      </tp>
      <tp t="s">
        <v>#N/A N/A</v>
        <stp/>
        <stp>BDH|9540750603251375505</stp>
        <tr r="H14" s="2"/>
      </tp>
      <tp t="s">
        <v>#N/A N/A</v>
        <stp/>
        <stp>BDH|9037156672122057777</stp>
        <tr r="N29" s="2"/>
      </tp>
      <tp t="s">
        <v>#N/A N/A</v>
        <stp/>
        <stp>BDH|3378915902653883387</stp>
        <tr r="I68" s="2"/>
      </tp>
      <tp t="s">
        <v>#N/A N/A</v>
        <stp/>
        <stp>BDH|9973393873787553069</stp>
        <tr r="P12" s="2"/>
      </tp>
      <tp t="s">
        <v>#N/A N/A</v>
        <stp/>
        <stp>BDH|1750470321019426459</stp>
        <tr r="M51" s="2"/>
      </tp>
      <tp t="s">
        <v>#N/A N/A</v>
        <stp/>
        <stp>BDH|9788263003149385807</stp>
        <tr r="AA48" s="2"/>
      </tp>
      <tp t="s">
        <v>#N/A N/A</v>
        <stp/>
        <stp>BDH|9333810845609632676</stp>
        <tr r="V65" s="2"/>
      </tp>
      <tp t="s">
        <v>#N/A N/A</v>
        <stp/>
        <stp>BDH|3079908513074797525</stp>
        <tr r="O33" s="2"/>
      </tp>
      <tp t="s">
        <v>#N/A N/A</v>
        <stp/>
        <stp>BDH|4516991352021031386</stp>
        <tr r="N39" s="2"/>
      </tp>
      <tp t="s">
        <v>#N/A N/A</v>
        <stp/>
        <stp>BDH|9593826517122295841</stp>
        <tr r="AB7" s="2"/>
      </tp>
      <tp t="s">
        <v>#N/A N/A</v>
        <stp/>
        <stp>BDH|8809316537252848008</stp>
        <tr r="C36" s="2"/>
      </tp>
      <tp t="s">
        <v>#N/A N/A</v>
        <stp/>
        <stp>BDH|6311905245116240734</stp>
        <tr r="W7" s="2"/>
      </tp>
      <tp t="s">
        <v>#N/A N/A</v>
        <stp/>
        <stp>BDH|9056819659477851971</stp>
        <tr r="K44" s="2"/>
      </tp>
      <tp t="s">
        <v>#N/A N/A</v>
        <stp/>
        <stp>BDH|4995603883310683080</stp>
        <tr r="AD24" s="2"/>
      </tp>
      <tp t="s">
        <v>#N/A N/A</v>
        <stp/>
        <stp>BDH|1718236889201814017</stp>
        <tr r="L48" s="2"/>
      </tp>
      <tp t="s">
        <v>#N/A N/A</v>
        <stp/>
        <stp>BDH|4680534787800554335</stp>
        <tr r="I60" s="2"/>
      </tp>
      <tp t="s">
        <v>#N/A N/A</v>
        <stp/>
        <stp>BDH|7332010411298461433</stp>
        <tr r="W42" s="2"/>
      </tp>
      <tp t="s">
        <v>#N/A N/A</v>
        <stp/>
        <stp>BDH|1267254294552076277</stp>
        <tr r="X41" s="2"/>
      </tp>
      <tp t="s">
        <v>#N/A N/A</v>
        <stp/>
        <stp>BDH|6350307118019724792</stp>
        <tr r="O9" s="2"/>
      </tp>
      <tp t="s">
        <v>#N/A N/A</v>
        <stp/>
        <stp>BDH|9469153864030782474</stp>
        <tr r="V33" s="2"/>
      </tp>
      <tp t="s">
        <v>#N/A N/A</v>
        <stp/>
        <stp>BDH|7684536500429351135</stp>
        <tr r="T51" s="2"/>
      </tp>
      <tp t="s">
        <v>#N/A N/A</v>
        <stp/>
        <stp>BDH|5198489048987365871</stp>
        <tr r="Q44" s="2"/>
      </tp>
      <tp t="s">
        <v>#N/A N/A</v>
        <stp/>
        <stp>BDH|19989488595896305</stp>
        <tr r="V53" s="2"/>
      </tp>
      <tp t="s">
        <v>#N/A N/A</v>
        <stp/>
        <stp>BDH|3697039535589305284</stp>
        <tr r="N26" s="2"/>
      </tp>
      <tp t="s">
        <v>#N/A N/A</v>
        <stp/>
        <stp>BDH|9443242635052983177</stp>
        <tr r="D33" s="2"/>
      </tp>
      <tp t="s">
        <v>#N/A N/A</v>
        <stp/>
        <stp>BDH|3958504194210594433</stp>
        <tr r="D56" s="2"/>
      </tp>
      <tp t="s">
        <v>#N/A N/A</v>
        <stp/>
        <stp>BDH|6328682212033395930</stp>
        <tr r="I37" s="2"/>
      </tp>
      <tp t="s">
        <v>#N/A N/A</v>
        <stp/>
        <stp>BDH|9659537523356792383</stp>
        <tr r="AA27" s="2"/>
      </tp>
      <tp t="s">
        <v>#N/A N/A</v>
        <stp/>
        <stp>BDH|1977781237819827773</stp>
        <tr r="U48" s="2"/>
      </tp>
      <tp t="s">
        <v>#N/A N/A</v>
        <stp/>
        <stp>BDH|6879815950537401726</stp>
        <tr r="D41" s="2"/>
      </tp>
      <tp t="s">
        <v>#N/A N/A</v>
        <stp/>
        <stp>BDH|6126138167939985339</stp>
        <tr r="T66" s="2"/>
      </tp>
      <tp t="s">
        <v>#N/A N/A</v>
        <stp/>
        <stp>BDH|7825942021025664243</stp>
        <tr r="G11" s="2"/>
      </tp>
      <tp t="s">
        <v>#N/A N/A</v>
        <stp/>
        <stp>BDH|9871729790575089956</stp>
        <tr r="W13" s="2"/>
      </tp>
      <tp t="s">
        <v>#N/A N/A</v>
        <stp/>
        <stp>BDH|2384894786201623858</stp>
        <tr r="Z39" s="2"/>
      </tp>
      <tp t="s">
        <v>#N/A N/A</v>
        <stp/>
        <stp>BDH|9442053899778096372</stp>
        <tr r="O66" s="2"/>
      </tp>
      <tp t="s">
        <v>#N/A N/A</v>
        <stp/>
        <stp>BDH|6293170984551747595</stp>
        <tr r="U29" s="2"/>
      </tp>
      <tp t="s">
        <v>#N/A N/A</v>
        <stp/>
        <stp>BDH|1808948831447210702</stp>
        <tr r="H9" s="2"/>
      </tp>
      <tp t="s">
        <v>#N/A N/A</v>
        <stp/>
        <stp>BDH|6531057641330435991</stp>
        <tr r="U7" s="2"/>
      </tp>
      <tp t="s">
        <v>#N/A N/A</v>
        <stp/>
        <stp>BDH|5974067887940227661</stp>
        <tr r="J44" s="2"/>
      </tp>
      <tp t="s">
        <v>#N/A N/A</v>
        <stp/>
        <stp>BDH|9215973438328616064</stp>
        <tr r="G22" s="2"/>
      </tp>
      <tp t="s">
        <v>#N/A N/A</v>
        <stp/>
        <stp>BDH|4838770673049353622</stp>
        <tr r="D45" s="2"/>
      </tp>
      <tp t="s">
        <v>#N/A N/A</v>
        <stp/>
        <stp>BDH|8969527200436559036</stp>
        <tr r="G28" s="2"/>
      </tp>
      <tp t="s">
        <v>#N/A N/A</v>
        <stp/>
        <stp>BDH|6655247847298330347</stp>
        <tr r="AD27" s="2"/>
      </tp>
      <tp t="s">
        <v>#N/A N/A</v>
        <stp/>
        <stp>BDH|3639352224351476812</stp>
        <tr r="W70" s="2"/>
      </tp>
      <tp t="s">
        <v>#N/A N/A</v>
        <stp/>
        <stp>BDH|3956340991796722498</stp>
        <tr r="I14" s="2"/>
      </tp>
      <tp t="s">
        <v>#N/A N/A</v>
        <stp/>
        <stp>BDH|2788735475258035134</stp>
        <tr r="Z67" s="2"/>
      </tp>
      <tp t="s">
        <v>#N/A N/A</v>
        <stp/>
        <stp>BDH|3638997178402504411</stp>
        <tr r="Y42" s="2"/>
      </tp>
      <tp t="s">
        <v>#N/A N/A</v>
        <stp/>
        <stp>BDH|2942236908583218835</stp>
        <tr r="W16" s="2"/>
      </tp>
      <tp t="s">
        <v>#N/A N/A</v>
        <stp/>
        <stp>BDH|4163599683153803109</stp>
        <tr r="Y7" s="2"/>
      </tp>
      <tp t="s">
        <v>#N/A N/A</v>
        <stp/>
        <stp>BDH|9917705147024801565</stp>
        <tr r="U30" s="2"/>
      </tp>
      <tp t="s">
        <v>#N/A N/A</v>
        <stp/>
        <stp>BDH|8545403931036012245</stp>
        <tr r="L39" s="2"/>
      </tp>
      <tp t="s">
        <v>#N/A N/A</v>
        <stp/>
        <stp>BDH|3257737257918645208</stp>
        <tr r="S12" s="2"/>
      </tp>
      <tp t="s">
        <v>#N/A N/A</v>
        <stp/>
        <stp>BDH|2745329394710233335</stp>
        <tr r="C71" s="2"/>
      </tp>
      <tp t="s">
        <v>#N/A N/A</v>
        <stp/>
        <stp>BDH|5687114841039541229</stp>
        <tr r="T11" s="2"/>
      </tp>
      <tp t="s">
        <v>#N/A N/A</v>
        <stp/>
        <stp>BDH|5887343781185592090</stp>
        <tr r="C19" s="2"/>
      </tp>
      <tp t="s">
        <v>#N/A N/A</v>
        <stp/>
        <stp>BDH|7706265630148742577</stp>
        <tr r="Z16" s="2"/>
      </tp>
      <tp t="s">
        <v>#N/A N/A</v>
        <stp/>
        <stp>BDH|6315056354160341809</stp>
        <tr r="S8" s="2"/>
      </tp>
      <tp t="s">
        <v>#N/A N/A</v>
        <stp/>
        <stp>BDH|8513478173351023179</stp>
        <tr r="AA71" s="2"/>
      </tp>
      <tp t="s">
        <v>#N/A N/A</v>
        <stp/>
        <stp>BDH|9585973895217991582</stp>
        <tr r="I42" s="2"/>
      </tp>
      <tp t="s">
        <v>#N/A N/A</v>
        <stp/>
        <stp>BDH|9693479374472070335</stp>
        <tr r="AC45" s="2"/>
      </tp>
      <tp t="s">
        <v>#N/A N/A</v>
        <stp/>
        <stp>BDH|4461706812499643066</stp>
        <tr r="H20" s="2"/>
      </tp>
      <tp t="s">
        <v>#N/A N/A</v>
        <stp/>
        <stp>BDH|1359297899302110350</stp>
        <tr r="J40" s="2"/>
      </tp>
      <tp t="s">
        <v>#N/A N/A</v>
        <stp/>
        <stp>BDH|5194869286736150871</stp>
        <tr r="X10" s="2"/>
      </tp>
      <tp t="s">
        <v>#N/A N/A</v>
        <stp/>
        <stp>BDH|2284950833567177429</stp>
        <tr r="Q55" s="2"/>
      </tp>
      <tp t="s">
        <v>#N/A N/A</v>
        <stp/>
        <stp>BDH|5070668620282018819</stp>
        <tr r="V14" s="2"/>
      </tp>
      <tp t="s">
        <v>#N/A N/A</v>
        <stp/>
        <stp>BDH|2089701184053392504</stp>
        <tr r="C70" s="2"/>
      </tp>
      <tp t="s">
        <v>#N/A N/A</v>
        <stp/>
        <stp>BDH|7270329709977976878</stp>
        <tr r="V42" s="2"/>
      </tp>
      <tp t="s">
        <v>#N/A N/A</v>
        <stp/>
        <stp>BDH|9516896277654866949</stp>
        <tr r="AD45" s="2"/>
      </tp>
      <tp t="s">
        <v>#N/A N/A</v>
        <stp/>
        <stp>BDH|7048220797446323122</stp>
        <tr r="N68" s="2"/>
      </tp>
      <tp t="s">
        <v>#N/A N/A</v>
        <stp/>
        <stp>BDH|8965280665340724770</stp>
        <tr r="AC9" s="2"/>
      </tp>
      <tp t="s">
        <v>#N/A N/A</v>
        <stp/>
        <stp>BDH|6310355401068445660</stp>
        <tr r="J19" s="2"/>
      </tp>
      <tp t="s">
        <v>#N/A N/A</v>
        <stp/>
        <stp>BDH|6309613504418146320</stp>
        <tr r="M50" s="2"/>
      </tp>
      <tp t="s">
        <v>#N/A N/A</v>
        <stp/>
        <stp>BDH|7031144792270339404</stp>
        <tr r="F62" s="2"/>
      </tp>
      <tp t="s">
        <v>#N/A N/A</v>
        <stp/>
        <stp>BDH|2256625097763071524</stp>
        <tr r="V32" s="2"/>
      </tp>
      <tp t="s">
        <v>#N/A N/A</v>
        <stp/>
        <stp>BDH|1984390058834589880</stp>
        <tr r="Y23" s="2"/>
      </tp>
      <tp t="s">
        <v>#N/A N/A</v>
        <stp/>
        <stp>BDH|4332073078344113371</stp>
        <tr r="C31" s="2"/>
      </tp>
      <tp t="s">
        <v>#N/A N/A</v>
        <stp/>
        <stp>BDH|8918409306720426817</stp>
        <tr r="T71" s="2"/>
      </tp>
      <tp t="s">
        <v>#N/A N/A</v>
        <stp/>
        <stp>BDH|3445549549133182539</stp>
        <tr r="W69" s="2"/>
      </tp>
      <tp t="s">
        <v>#N/A N/A</v>
        <stp/>
        <stp>BDH|1553792189508745298</stp>
        <tr r="E24" s="2"/>
      </tp>
      <tp t="s">
        <v>#N/A N/A</v>
        <stp/>
        <stp>BDH|3451728056863013682</stp>
        <tr r="K42" s="2"/>
      </tp>
      <tp t="s">
        <v>#N/A N/A</v>
        <stp/>
        <stp>BDH|8558612942188803660</stp>
        <tr r="C67" s="2"/>
      </tp>
      <tp t="s">
        <v>#N/A N/A</v>
        <stp/>
        <stp>BDH|8413709029270173947</stp>
        <tr r="E33" s="2"/>
      </tp>
      <tp t="s">
        <v>#N/A N/A</v>
        <stp/>
        <stp>BDH|3983953651962739931</stp>
        <tr r="C66" s="2"/>
      </tp>
      <tp t="s">
        <v>#N/A N/A</v>
        <stp/>
        <stp>BDH|3779091245613436061</stp>
        <tr r="E56" s="2"/>
      </tp>
      <tp t="s">
        <v>#N/A N/A</v>
        <stp/>
        <stp>BDH|5092925508930629853</stp>
        <tr r="F45" s="2"/>
      </tp>
      <tp t="s">
        <v>#N/A N/A</v>
        <stp/>
        <stp>BDH|7017177259350246758</stp>
        <tr r="AD37" s="2"/>
      </tp>
      <tp t="s">
        <v>#N/A N/A</v>
        <stp/>
        <stp>BDH|4296020988651056969</stp>
        <tr r="P71" s="2"/>
      </tp>
      <tp t="s">
        <v>#N/A N/A</v>
        <stp/>
        <stp>BDH|5834033937826455465</stp>
        <tr r="R60" s="2"/>
      </tp>
      <tp t="s">
        <v>#N/A N/A</v>
        <stp/>
        <stp>BDH|6074233693831807862</stp>
        <tr r="D13" s="2"/>
      </tp>
      <tp t="s">
        <v>#N/A N/A</v>
        <stp/>
        <stp>BDH|8786931438455610351</stp>
        <tr r="AB19" s="2"/>
      </tp>
      <tp t="s">
        <v>#N/A N/A</v>
        <stp/>
        <stp>BDH|8440433129613678979</stp>
        <tr r="I64" s="2"/>
      </tp>
      <tp t="s">
        <v>#N/A N/A</v>
        <stp/>
        <stp>BDH|1580419942486367394</stp>
        <tr r="V23" s="2"/>
      </tp>
      <tp t="s">
        <v>#N/A N/A</v>
        <stp/>
        <stp>BDH|6239431913415711291</stp>
        <tr r="S60" s="2"/>
      </tp>
      <tp t="s">
        <v>#N/A N/A</v>
        <stp/>
        <stp>BDH|2302285161946467427</stp>
        <tr r="AB62" s="2"/>
      </tp>
      <tp t="s">
        <v>#N/A N/A</v>
        <stp/>
        <stp>BDH|6310833548297567903</stp>
        <tr r="R61" s="2"/>
      </tp>
      <tp t="s">
        <v>#N/A N/A</v>
        <stp/>
        <stp>BDH|4829181317635240586</stp>
        <tr r="P18" s="2"/>
      </tp>
      <tp t="s">
        <v>#N/A N/A</v>
        <stp/>
        <stp>BDH|7254916060314276836</stp>
        <tr r="O6" s="2"/>
      </tp>
      <tp t="s">
        <v>#N/A N/A</v>
        <stp/>
        <stp>BDH|7181255007054099514</stp>
        <tr r="Q31" s="2"/>
      </tp>
      <tp t="s">
        <v>#N/A N/A</v>
        <stp/>
        <stp>BDH|5388133293951327825</stp>
        <tr r="K10" s="2"/>
      </tp>
      <tp t="s">
        <v>#N/A N/A</v>
        <stp/>
        <stp>BDH|1070457625821661249</stp>
        <tr r="W61" s="2"/>
      </tp>
      <tp t="s">
        <v>#N/A N/A</v>
        <stp/>
        <stp>BDH|2687344365560619331</stp>
        <tr r="T56" s="2"/>
      </tp>
      <tp t="s">
        <v>#N/A N/A</v>
        <stp/>
        <stp>BDH|5300259161183141644</stp>
        <tr r="O20" s="2"/>
      </tp>
      <tp t="s">
        <v>#N/A N/A</v>
        <stp/>
        <stp>BDH|3764113624340024409</stp>
        <tr r="Q20" s="2"/>
      </tp>
      <tp t="s">
        <v>#N/A N/A</v>
        <stp/>
        <stp>BDH|1124600538856224696</stp>
        <tr r="E6" s="2"/>
      </tp>
      <tp t="s">
        <v>#N/A N/A</v>
        <stp/>
        <stp>BDH|8703624125968611056</stp>
        <tr r="I17" s="2"/>
      </tp>
      <tp t="s">
        <v>#N/A N/A</v>
        <stp/>
        <stp>BDH|7508226340897783239</stp>
        <tr r="F22" s="2"/>
      </tp>
      <tp t="s">
        <v>#N/A N/A</v>
        <stp/>
        <stp>BDH|1507376871225577468</stp>
        <tr r="D69" s="2"/>
      </tp>
      <tp t="s">
        <v>#N/A N/A</v>
        <stp/>
        <stp>BDH|2128013610481710666</stp>
        <tr r="F16" s="2"/>
      </tp>
      <tp t="s">
        <v>#N/A N/A</v>
        <stp/>
        <stp>BDH|8520013297653750656</stp>
        <tr r="P27" s="2"/>
      </tp>
      <tp t="s">
        <v>#N/A N/A</v>
        <stp/>
        <stp>BDH|1945505068560932693</stp>
        <tr r="AA49" s="2"/>
      </tp>
      <tp t="s">
        <v>#N/A N/A</v>
        <stp/>
        <stp>BDH|3193680245576573383</stp>
        <tr r="K36" s="2"/>
      </tp>
      <tp t="s">
        <v>#N/A N/A</v>
        <stp/>
        <stp>BDH|1595496419774299416</stp>
        <tr r="Z19" s="2"/>
      </tp>
      <tp t="s">
        <v>#N/A N/A</v>
        <stp/>
        <stp>BDH|7140570612411593671</stp>
        <tr r="Q17" s="2"/>
      </tp>
      <tp t="s">
        <v>#N/A N/A</v>
        <stp/>
        <stp>BDH|2766255839104470380</stp>
        <tr r="Y34" s="2"/>
        <tr r="Y46" s="2"/>
      </tp>
      <tp t="s">
        <v>#N/A N/A</v>
        <stp/>
        <stp>BDH|2531828841689701369</stp>
        <tr r="V26" s="2"/>
      </tp>
      <tp t="s">
        <v>#N/A N/A</v>
        <stp/>
        <stp>BDH|9090653694464491629</stp>
        <tr r="AD28" s="2"/>
      </tp>
      <tp t="s">
        <v>#N/A N/A</v>
        <stp/>
        <stp>BDH|5557631123731339426</stp>
        <tr r="V49" s="2"/>
      </tp>
      <tp t="s">
        <v>#N/A N/A</v>
        <stp/>
        <stp>BDH|9254835947281037032</stp>
        <tr r="Q51" s="2"/>
      </tp>
      <tp t="s">
        <v>#N/A N/A</v>
        <stp/>
        <stp>BDH|3270504161675562137</stp>
        <tr r="AA61" s="2"/>
      </tp>
      <tp t="s">
        <v>#N/A N/A</v>
        <stp/>
        <stp>BDH|5130145165204377264</stp>
        <tr r="F35" s="2"/>
      </tp>
      <tp t="s">
        <v>#N/A N/A</v>
        <stp/>
        <stp>BDH|4351076919752975315</stp>
        <tr r="R11" s="2"/>
      </tp>
      <tp t="s">
        <v>#N/A N/A</v>
        <stp/>
        <stp>BDH|5360322157282772548</stp>
        <tr r="U71" s="2"/>
      </tp>
      <tp t="s">
        <v>#N/A N/A</v>
        <stp/>
        <stp>BDH|7860005473453940682</stp>
        <tr r="T67" s="2"/>
      </tp>
      <tp t="s">
        <v>#N/A N/A</v>
        <stp/>
        <stp>BDH|5475792341454419720</stp>
        <tr r="L54" s="2"/>
      </tp>
      <tp t="s">
        <v>#N/A N/A</v>
        <stp/>
        <stp>BDH|7584830999661616232</stp>
        <tr r="C54" s="2"/>
      </tp>
      <tp t="s">
        <v>#N/A N/A</v>
        <stp/>
        <stp>BDH|2475452736525824540</stp>
        <tr r="G68" s="2"/>
      </tp>
      <tp t="s">
        <v>#N/A N/A</v>
        <stp/>
        <stp>BDH|5241720344772638192</stp>
        <tr r="C30" s="2"/>
      </tp>
      <tp t="s">
        <v>#N/A N/A</v>
        <stp/>
        <stp>BDH|5949572590299113542</stp>
        <tr r="F50" s="2"/>
      </tp>
      <tp t="s">
        <v>#N/A N/A</v>
        <stp/>
        <stp>BDH|5546970217051636988</stp>
        <tr r="E65" s="2"/>
      </tp>
      <tp t="s">
        <v>#N/A N/A</v>
        <stp/>
        <stp>BDH|2941372883268719426</stp>
        <tr r="G42" s="2"/>
      </tp>
      <tp t="s">
        <v>#N/A N/A</v>
        <stp/>
        <stp>BDH|3224161047550891335</stp>
        <tr r="Q53" s="2"/>
      </tp>
      <tp t="s">
        <v>#N/A N/A</v>
        <stp/>
        <stp>BDH|9235839825520800645</stp>
        <tr r="J31" s="2"/>
      </tp>
      <tp t="s">
        <v>#N/A N/A</v>
        <stp/>
        <stp>BDH|7500758418661471544</stp>
        <tr r="J66" s="2"/>
      </tp>
      <tp t="s">
        <v>#N/A N/A</v>
        <stp/>
        <stp>BDH|5672245727003489397</stp>
        <tr r="W12" s="2"/>
      </tp>
      <tp t="s">
        <v>#N/A N/A</v>
        <stp/>
        <stp>BDH|9030960551901919178</stp>
        <tr r="S27" s="2"/>
      </tp>
      <tp t="s">
        <v>#N/A N/A</v>
        <stp/>
        <stp>BDH|2647393796688232526</stp>
        <tr r="N6" s="2"/>
      </tp>
      <tp t="s">
        <v>#N/A N/A</v>
        <stp/>
        <stp>BDH|4087737700663291587</stp>
        <tr r="H25" s="2"/>
      </tp>
      <tp t="s">
        <v>#N/A N/A</v>
        <stp/>
        <stp>BDH|2228899684373649476</stp>
        <tr r="E12" s="2"/>
      </tp>
      <tp t="s">
        <v>#N/A N/A</v>
        <stp/>
        <stp>BDH|6433726202273891720</stp>
        <tr r="P40" s="2"/>
      </tp>
      <tp t="s">
        <v>#N/A N/A</v>
        <stp/>
        <stp>BDH|6135374110208979906</stp>
        <tr r="U8" s="2"/>
      </tp>
      <tp t="s">
        <v>#N/A N/A</v>
        <stp/>
        <stp>BDH|9471714840437348894</stp>
        <tr r="AA36" s="2"/>
      </tp>
      <tp t="s">
        <v>#N/A N/A</v>
        <stp/>
        <stp>BDH|9145602472608466580</stp>
        <tr r="K51" s="2"/>
      </tp>
      <tp t="s">
        <v>#N/A N/A</v>
        <stp/>
        <stp>BDH|2095679829887516445</stp>
        <tr r="O65" s="2"/>
      </tp>
      <tp t="s">
        <v>#N/A N/A</v>
        <stp/>
        <stp>BDH|9265497085249374910</stp>
        <tr r="T24" s="2"/>
      </tp>
      <tp t="s">
        <v>#N/A N/A</v>
        <stp/>
        <stp>BDH|5841627172846309763</stp>
        <tr r="S34" s="2"/>
        <tr r="S46" s="2"/>
      </tp>
      <tp t="s">
        <v>#N/A N/A</v>
        <stp/>
        <stp>BDH|9801474531369481275</stp>
        <tr r="T40" s="2"/>
      </tp>
      <tp t="s">
        <v>#N/A N/A</v>
        <stp/>
        <stp>BDH|3684967505287178869</stp>
        <tr r="E31" s="2"/>
      </tp>
      <tp t="s">
        <v>#N/A N/A</v>
        <stp/>
        <stp>BDH|2492249943539419853</stp>
        <tr r="O67" s="2"/>
      </tp>
      <tp t="s">
        <v>#N/A N/A</v>
        <stp/>
        <stp>BDH|1373525471333068521</stp>
        <tr r="C37" s="2"/>
      </tp>
      <tp t="s">
        <v>#N/A N/A</v>
        <stp/>
        <stp>BDH|3833483151462655544</stp>
        <tr r="H22" s="2"/>
      </tp>
      <tp t="s">
        <v>#N/A N/A</v>
        <stp/>
        <stp>BDH|5621023504900304007</stp>
        <tr r="E64" s="2"/>
      </tp>
      <tp t="s">
        <v>#N/A N/A</v>
        <stp/>
        <stp>BDH|1743359937712000659</stp>
        <tr r="W67" s="2"/>
      </tp>
      <tp t="s">
        <v>#N/A N/A</v>
        <stp/>
        <stp>BDH|5270121170701601767</stp>
        <tr r="W56" s="2"/>
      </tp>
      <tp t="s">
        <v>#N/A N/A</v>
        <stp/>
        <stp>BDH|3683316706107256233</stp>
        <tr r="U61" s="2"/>
      </tp>
      <tp t="s">
        <v>#N/A N/A</v>
        <stp/>
        <stp>BDH|4960154180188519099</stp>
        <tr r="AB9" s="2"/>
      </tp>
      <tp t="s">
        <v>#N/A N/A</v>
        <stp/>
        <stp>BDH|7431379732445636770</stp>
        <tr r="F17" s="2"/>
      </tp>
      <tp t="s">
        <v>#N/A N/A</v>
        <stp/>
        <stp>BDH|2679011225061077430</stp>
        <tr r="H62" s="2"/>
      </tp>
      <tp t="s">
        <v>#N/A N/A</v>
        <stp/>
        <stp>BDH|5667238237792199322</stp>
        <tr r="Z51" s="2"/>
      </tp>
      <tp t="s">
        <v>#N/A N/A</v>
        <stp/>
        <stp>BDH|8354746768348830469</stp>
        <tr r="J23" s="2"/>
      </tp>
      <tp t="s">
        <v>#N/A N/A</v>
        <stp/>
        <stp>BDH|4065309920057075714</stp>
        <tr r="AA9" s="2"/>
      </tp>
      <tp t="s">
        <v>#N/A N/A</v>
        <stp/>
        <stp>BDH|1550045442480642032</stp>
        <tr r="N11" s="2"/>
      </tp>
      <tp t="s">
        <v>#N/A N/A</v>
        <stp/>
        <stp>BDH|7472004732280304135</stp>
        <tr r="M26" s="2"/>
      </tp>
      <tp t="s">
        <v>#N/A N/A</v>
        <stp/>
        <stp>BDH|6700870111478241257</stp>
        <tr r="P48" s="2"/>
      </tp>
      <tp t="s">
        <v>#N/A N/A</v>
        <stp/>
        <stp>BDH|6254918384404111601</stp>
        <tr r="L71" s="2"/>
      </tp>
      <tp t="s">
        <v>#N/A N/A</v>
        <stp/>
        <stp>BDH|1317649235259249866</stp>
        <tr r="Z64" s="2"/>
      </tp>
      <tp t="s">
        <v>#N/A N/A</v>
        <stp/>
        <stp>BDH|9690647506042577872</stp>
        <tr r="AD35" s="2"/>
      </tp>
      <tp t="s">
        <v>#N/A N/A</v>
        <stp/>
        <stp>BDH|8584171835039030611</stp>
        <tr r="P39" s="2"/>
      </tp>
      <tp t="s">
        <v>#N/A N/A</v>
        <stp/>
        <stp>BDH|4194277934436156654</stp>
        <tr r="Y51" s="2"/>
      </tp>
      <tp t="s">
        <v>#N/A N/A</v>
        <stp/>
        <stp>BDH|5792260047364427247</stp>
        <tr r="F9" s="2"/>
      </tp>
      <tp t="s">
        <v>#N/A N/A</v>
        <stp/>
        <stp>BDH|6136114237002912388</stp>
        <tr r="AB18" s="2"/>
      </tp>
      <tp t="s">
        <v>#N/A N/A</v>
        <stp/>
        <stp>BDH|4768826419520813835</stp>
        <tr r="Z29" s="2"/>
      </tp>
      <tp t="s">
        <v>#N/A N/A</v>
        <stp/>
        <stp>BDH|4573491447038565990</stp>
        <tr r="Q24" s="2"/>
      </tp>
      <tp t="s">
        <v>#N/A N/A</v>
        <stp/>
        <stp>BDH|2800182854223546060</stp>
        <tr r="AC51" s="2"/>
      </tp>
      <tp t="s">
        <v>#N/A N/A</v>
        <stp/>
        <stp>BDH|9096960510466738265</stp>
        <tr r="F14" s="2"/>
      </tp>
      <tp t="s">
        <v>#N/A N/A</v>
        <stp/>
        <stp>BDH|8169956533975641260</stp>
        <tr r="AA70" s="2"/>
      </tp>
      <tp t="s">
        <v>#N/A N/A</v>
        <stp/>
        <stp>BDH|7377347075920461610</stp>
        <tr r="F13" s="2"/>
      </tp>
      <tp t="s">
        <v>#N/A N/A</v>
        <stp/>
        <stp>BDH|3659716747671626431</stp>
        <tr r="G32" s="2"/>
      </tp>
      <tp t="s">
        <v>#N/A N/A</v>
        <stp/>
        <stp>BDH|1332114407580431548</stp>
        <tr r="I9" s="2"/>
      </tp>
      <tp t="s">
        <v>#N/A N/A</v>
        <stp/>
        <stp>BDH|4738029602469251803</stp>
        <tr r="Y22" s="2"/>
      </tp>
      <tp t="s">
        <v>#N/A N/A</v>
        <stp/>
        <stp>BDH|9579130643759852365</stp>
        <tr r="K7" s="2"/>
      </tp>
      <tp t="s">
        <v>#N/A N/A</v>
        <stp/>
        <stp>BDH|1616143855344501796</stp>
        <tr r="AB35" s="2"/>
      </tp>
      <tp t="s">
        <v>#N/A N/A</v>
        <stp/>
        <stp>BDH|5013405693636839807</stp>
        <tr r="AD39" s="2"/>
      </tp>
      <tp t="s">
        <v>#N/A N/A</v>
        <stp/>
        <stp>BDH|4156207753014184183</stp>
        <tr r="J25" s="2"/>
      </tp>
      <tp t="s">
        <v>#N/A N/A</v>
        <stp/>
        <stp>BDH|7415031234967800505</stp>
        <tr r="J28" s="2"/>
      </tp>
      <tp t="s">
        <v>#N/A N/A</v>
        <stp/>
        <stp>BDH|4789096696412466973</stp>
        <tr r="Z14" s="2"/>
      </tp>
      <tp t="s">
        <v>#N/A N/A</v>
        <stp/>
        <stp>BDH|4358601909050149432</stp>
        <tr r="Y62" s="2"/>
      </tp>
      <tp t="s">
        <v>#N/A N/A</v>
        <stp/>
        <stp>BDH|6018831024013747980</stp>
        <tr r="G13" s="2"/>
      </tp>
      <tp t="s">
        <v>#N/A N/A</v>
        <stp/>
        <stp>BDH|4464155959051196706</stp>
        <tr r="V41" s="2"/>
      </tp>
      <tp t="s">
        <v>#N/A N/A</v>
        <stp/>
        <stp>BDH|6820010439477983400</stp>
        <tr r="Q15" s="2"/>
      </tp>
      <tp t="s">
        <v>#N/A N/A</v>
        <stp/>
        <stp>BDH|2190732394338999210</stp>
        <tr r="AD55" s="2"/>
      </tp>
      <tp t="s">
        <v>#N/A N/A</v>
        <stp/>
        <stp>BDH|9047863735044401092</stp>
        <tr r="V18" s="2"/>
      </tp>
      <tp t="s">
        <v>#N/A N/A</v>
        <stp/>
        <stp>BDH|5678739394325746885</stp>
        <tr r="X42" s="2"/>
      </tp>
      <tp t="s">
        <v>#N/A N/A</v>
        <stp/>
        <stp>BDH|4273708112604755080</stp>
        <tr r="Q8" s="2"/>
      </tp>
      <tp t="s">
        <v>#N/A N/A</v>
        <stp/>
        <stp>BDH|3388976806154891865</stp>
        <tr r="O64" s="2"/>
      </tp>
      <tp t="s">
        <v>#N/A N/A</v>
        <stp/>
        <stp>BDH|5520194662303358713</stp>
        <tr r="J18" s="2"/>
      </tp>
      <tp t="s">
        <v>#N/A N/A</v>
        <stp/>
        <stp>BDH|4741135618244031607</stp>
        <tr r="Z26" s="2"/>
      </tp>
      <tp t="s">
        <v>#N/A N/A</v>
        <stp/>
        <stp>BDH|8679917378289259904</stp>
        <tr r="R6" s="2"/>
      </tp>
      <tp t="s">
        <v>#N/A N/A</v>
        <stp/>
        <stp>BDH|5531587871403138207</stp>
        <tr r="P35" s="2"/>
      </tp>
      <tp t="s">
        <v>#N/A N/A</v>
        <stp/>
        <stp>BDH|6573632474673901265</stp>
        <tr r="X37" s="2"/>
      </tp>
      <tp t="s">
        <v>#N/A N/A</v>
        <stp/>
        <stp>BDH|5888391860890905657</stp>
        <tr r="D36" s="2"/>
      </tp>
      <tp t="s">
        <v>#N/A N/A</v>
        <stp/>
        <stp>BDH|3558762461672127600</stp>
        <tr r="T55" s="2"/>
      </tp>
      <tp t="s">
        <v>#N/A N/A</v>
        <stp/>
        <stp>BDH|5320442811866122049</stp>
        <tr r="AD17" s="2"/>
      </tp>
      <tp t="s">
        <v>#N/A N/A</v>
        <stp/>
        <stp>BDH|2068347497086975892</stp>
        <tr r="L38" s="2"/>
      </tp>
      <tp t="s">
        <v>#N/A N/A</v>
        <stp/>
        <stp>BDH|2570313340897717406</stp>
        <tr r="D8" s="2"/>
      </tp>
      <tp t="s">
        <v>#N/A N/A</v>
        <stp/>
        <stp>BDH|1695287593225646985</stp>
        <tr r="R13" s="2"/>
      </tp>
      <tp t="s">
        <v>#N/A N/A</v>
        <stp/>
        <stp>BDH|1757208096085619941</stp>
        <tr r="Z7" s="2"/>
      </tp>
      <tp t="s">
        <v>#N/A N/A</v>
        <stp/>
        <stp>BDH|4841524262393290296</stp>
        <tr r="I18" s="2"/>
      </tp>
      <tp t="s">
        <v>#N/A N/A</v>
        <stp/>
        <stp>BDH|1661505737417185609</stp>
        <tr r="AC25" s="2"/>
      </tp>
      <tp t="s">
        <v>#N/A N/A</v>
        <stp/>
        <stp>BDH|6383273046104254202</stp>
        <tr r="S42" s="2"/>
      </tp>
      <tp t="s">
        <v>#N/A N/A</v>
        <stp/>
        <stp>BDH|3020020563704392722</stp>
        <tr r="S6" s="2"/>
      </tp>
      <tp t="s">
        <v>#N/A N/A</v>
        <stp/>
        <stp>BDH|4445633390424048979</stp>
        <tr r="H68" s="2"/>
      </tp>
      <tp t="s">
        <v>#N/A N/A</v>
        <stp/>
        <stp>BDH|1190148771201573005</stp>
        <tr r="Z17" s="2"/>
      </tp>
      <tp t="s">
        <v>#N/A N/A</v>
        <stp/>
        <stp>BDH|9878250549539241072</stp>
        <tr r="F12" s="2"/>
      </tp>
      <tp t="s">
        <v>#N/A N/A</v>
        <stp/>
        <stp>BDH|3119619275095142155</stp>
        <tr r="Y16" s="2"/>
      </tp>
      <tp t="s">
        <v>#N/A N/A</v>
        <stp/>
        <stp>BDH|5330861764889685468</stp>
        <tr r="D24" s="2"/>
      </tp>
      <tp t="s">
        <v>#N/A N/A</v>
        <stp/>
        <stp>BDH|6706466274797595415</stp>
        <tr r="K34" s="2"/>
        <tr r="K46" s="2"/>
      </tp>
      <tp t="s">
        <v>#N/A N/A</v>
        <stp/>
        <stp>BDH|4108056625179436934</stp>
        <tr r="F6" s="2"/>
      </tp>
      <tp t="s">
        <v>#N/A N/A</v>
        <stp/>
        <stp>BDH|3936767800315958704</stp>
        <tr r="AA16" s="2"/>
      </tp>
      <tp t="s">
        <v>#N/A N/A</v>
        <stp/>
        <stp>BDH|3146624176821565567</stp>
        <tr r="Z28" s="2"/>
      </tp>
      <tp t="s">
        <v>#N/A N/A</v>
        <stp/>
        <stp>BDH|4560146245055220209</stp>
        <tr r="I69" s="2"/>
      </tp>
      <tp t="s">
        <v>#N/A N/A</v>
        <stp/>
        <stp>BDH|7280126706517204727</stp>
        <tr r="L19" s="2"/>
      </tp>
      <tp t="s">
        <v>#N/A N/A</v>
        <stp/>
        <stp>BDH|6601967591987586729</stp>
        <tr r="AD50" s="2"/>
      </tp>
      <tp t="s">
        <v>#N/A N/A</v>
        <stp/>
        <stp>BDH|1935757402192078297</stp>
        <tr r="N42" s="2"/>
      </tp>
      <tp t="s">
        <v>#N/A N/A</v>
        <stp/>
        <stp>BDH|9445511067274732829</stp>
        <tr r="AD31" s="2"/>
      </tp>
      <tp t="s">
        <v>#N/A N/A</v>
        <stp/>
        <stp>BDH|4153248070010406763</stp>
        <tr r="J30" s="2"/>
      </tp>
      <tp t="s">
        <v>#N/A N/A</v>
        <stp/>
        <stp>BDH|8698060068240885846</stp>
        <tr r="F30" s="2"/>
      </tp>
      <tp t="s">
        <v>#N/A N/A</v>
        <stp/>
        <stp>BDH|3222437457814203007</stp>
        <tr r="C61" s="2"/>
      </tp>
      <tp t="s">
        <v>#N/A N/A</v>
        <stp/>
        <stp>BDH|4556308824531772225</stp>
        <tr r="X67" s="2"/>
      </tp>
      <tp t="s">
        <v>#N/A N/A</v>
        <stp/>
        <stp>BDH|9616078713286770813</stp>
        <tr r="AA31" s="2"/>
      </tp>
      <tp t="s">
        <v>#N/A N/A</v>
        <stp/>
        <stp>BDH|2980700947692844538</stp>
        <tr r="Q65" s="2"/>
      </tp>
      <tp t="s">
        <v>#N/A N/A</v>
        <stp/>
        <stp>BDH|6537191910000830014</stp>
        <tr r="X24" s="2"/>
      </tp>
      <tp t="s">
        <v>#N/A N/A</v>
        <stp/>
        <stp>BDH|3955050970490854212</stp>
        <tr r="F61" s="2"/>
      </tp>
      <tp t="s">
        <v>#N/A N/A</v>
        <stp/>
        <stp>BDH|8934978179618516875</stp>
        <tr r="Z71" s="2"/>
      </tp>
      <tp t="s">
        <v>#N/A N/A</v>
        <stp/>
        <stp>BDH|8434609778286045993</stp>
        <tr r="AC36" s="2"/>
      </tp>
      <tp t="s">
        <v>#N/A N/A</v>
        <stp/>
        <stp>BDH|18443827054518915</stp>
        <tr r="K16" s="2"/>
      </tp>
      <tp t="s">
        <v>#N/A N/A</v>
        <stp/>
        <stp>BDH|5970257965485426371</stp>
        <tr r="K23" s="2"/>
      </tp>
      <tp t="s">
        <v>#N/A N/A</v>
        <stp/>
        <stp>BDH|5256590215794119259</stp>
        <tr r="H24" s="2"/>
      </tp>
      <tp t="s">
        <v>#N/A N/A</v>
        <stp/>
        <stp>BDH|1149032458277956481</stp>
        <tr r="J51" s="2"/>
      </tp>
      <tp t="s">
        <v>#N/A N/A</v>
        <stp/>
        <stp>BDH|4288758031751505684</stp>
        <tr r="V10" s="2"/>
      </tp>
      <tp t="s">
        <v>#N/A N/A</v>
        <stp/>
        <stp>BDH|8915768904641382935</stp>
        <tr r="Q13" s="2"/>
      </tp>
      <tp t="s">
        <v>#N/A N/A</v>
        <stp/>
        <stp>BDH|6936209272417622361</stp>
        <tr r="E38" s="2"/>
      </tp>
      <tp t="s">
        <v>#N/A N/A</v>
        <stp/>
        <stp>BDH|6665201787863853818</stp>
        <tr r="U12" s="2"/>
      </tp>
      <tp t="s">
        <v>#N/A N/A</v>
        <stp/>
        <stp>BDH|6263765755782809110</stp>
        <tr r="J9" s="2"/>
      </tp>
      <tp t="s">
        <v>#N/A N/A</v>
        <stp/>
        <stp>BDH|6855339202376115404</stp>
        <tr r="AC60" s="2"/>
      </tp>
      <tp t="s">
        <v>#N/A N/A</v>
        <stp/>
        <stp>BDH|6730634284878114793</stp>
        <tr r="AD70" s="2"/>
      </tp>
      <tp t="s">
        <v>#N/A N/A</v>
        <stp/>
        <stp>BDH|4902713163866114424</stp>
        <tr r="Z54" s="2"/>
      </tp>
      <tp t="s">
        <v>#N/A N/A</v>
        <stp/>
        <stp>BDH|8510098861811014845</stp>
        <tr r="W48" s="2"/>
      </tp>
      <tp t="s">
        <v>#N/A N/A</v>
        <stp/>
        <stp>BDH|7321908940529868420</stp>
        <tr r="P21" s="2"/>
      </tp>
      <tp t="s">
        <v>#N/A N/A</v>
        <stp/>
        <stp>BDH|9869375763712745929</stp>
        <tr r="N70" s="2"/>
      </tp>
      <tp t="s">
        <v>#N/A N/A</v>
        <stp/>
        <stp>BDH|5486154825830845158</stp>
        <tr r="Q50" s="2"/>
      </tp>
      <tp t="s">
        <v>#N/A N/A</v>
        <stp/>
        <stp>BDH|5267355424876844525</stp>
        <tr r="AC38" s="2"/>
      </tp>
      <tp t="s">
        <v>#N/A N/A</v>
        <stp/>
        <stp>BDH|3905567291650181864</stp>
        <tr r="O17" s="2"/>
      </tp>
      <tp t="s">
        <v>#N/A N/A</v>
        <stp/>
        <stp>BDH|2028265877212712283</stp>
        <tr r="Z65" s="2"/>
      </tp>
      <tp t="s">
        <v>#N/A N/A</v>
        <stp/>
        <stp>BDH|4716233379131405763</stp>
        <tr r="Z60" s="2"/>
      </tp>
      <tp t="s">
        <v>#N/A N/A</v>
        <stp/>
        <stp>BDH|6752569136321999612</stp>
        <tr r="W35" s="2"/>
      </tp>
      <tp t="s">
        <v>#N/A N/A</v>
        <stp/>
        <stp>BDH|1340118651083819146</stp>
        <tr r="AA15" s="2"/>
      </tp>
      <tp t="s">
        <v>#N/A N/A</v>
        <stp/>
        <stp>BDH|7828316267005300016</stp>
        <tr r="K22" s="2"/>
      </tp>
      <tp t="s">
        <v>#N/A N/A</v>
        <stp/>
        <stp>BDH|5260304223820842359</stp>
        <tr r="AA67" s="2"/>
      </tp>
      <tp t="s">
        <v>#N/A N/A</v>
        <stp/>
        <stp>BDH|8479450048099173646</stp>
        <tr r="I33" s="2"/>
      </tp>
      <tp t="s">
        <v>#N/A N/A</v>
        <stp/>
        <stp>BDH|4967267528381251282</stp>
        <tr r="M12" s="2"/>
      </tp>
      <tp t="s">
        <v>#N/A N/A</v>
        <stp/>
        <stp>BDH|7738794323461445443</stp>
        <tr r="I61" s="2"/>
      </tp>
      <tp t="s">
        <v>#N/A N/A</v>
        <stp/>
        <stp>BDH|6399120316440008156</stp>
        <tr r="R30" s="2"/>
      </tp>
      <tp t="s">
        <v>#N/A N/A</v>
        <stp/>
        <stp>BDH|1460103456053487140</stp>
        <tr r="AD20" s="2"/>
      </tp>
      <tp t="s">
        <v>#N/A N/A</v>
        <stp/>
        <stp>BDH|6099444777806002418</stp>
        <tr r="H63" s="2"/>
      </tp>
      <tp t="s">
        <v>#N/A N/A</v>
        <stp/>
        <stp>BDH|5966476738036501307</stp>
        <tr r="G62" s="2"/>
      </tp>
      <tp t="s">
        <v>#N/A N/A</v>
        <stp/>
        <stp>BDH|1061656720384482623</stp>
        <tr r="M48" s="2"/>
      </tp>
      <tp t="s">
        <v>#N/A N/A</v>
        <stp/>
        <stp>BDH|9646872026322577621</stp>
        <tr r="T33" s="2"/>
      </tp>
      <tp t="s">
        <v>#N/A N/A</v>
        <stp/>
        <stp>BDH|6896096503101693042</stp>
        <tr r="F38" s="2"/>
      </tp>
      <tp t="s">
        <v>#N/A N/A</v>
        <stp/>
        <stp>BDH|3684172290744129811</stp>
        <tr r="I19" s="2"/>
      </tp>
      <tp t="s">
        <v>#N/A N/A</v>
        <stp/>
        <stp>BDH|2573327841740788278</stp>
        <tr r="T27" s="2"/>
      </tp>
      <tp t="s">
        <v>#N/A N/A</v>
        <stp/>
        <stp>BDH|4686791376224852773</stp>
        <tr r="L69" s="2"/>
      </tp>
      <tp t="s">
        <v>#N/A N/A</v>
        <stp/>
        <stp>BDH|2169275201856572140</stp>
        <tr r="W55" s="2"/>
      </tp>
      <tp t="s">
        <v>#N/A N/A</v>
        <stp/>
        <stp>BDH|5922371568965450241</stp>
        <tr r="N22" s="2"/>
      </tp>
      <tp t="s">
        <v>#N/A N/A</v>
        <stp/>
        <stp>BDH|2906354617853550498</stp>
        <tr r="N23" s="2"/>
      </tp>
      <tp t="s">
        <v>#N/A N/A</v>
        <stp/>
        <stp>BDH|3047378104527294063</stp>
        <tr r="AC31" s="2"/>
      </tp>
      <tp t="s">
        <v>#N/A N/A</v>
        <stp/>
        <stp>BDH|4136720893335429838</stp>
        <tr r="AA50" s="2"/>
      </tp>
      <tp t="s">
        <v>#N/A N/A</v>
        <stp/>
        <stp>BDH|4386239218681843142</stp>
        <tr r="X23" s="2"/>
      </tp>
      <tp t="s">
        <v>#N/A N/A</v>
        <stp/>
        <stp>BDH|5889524653313585185</stp>
        <tr r="J26" s="2"/>
      </tp>
      <tp t="s">
        <v>#N/A N/A</v>
        <stp/>
        <stp>BDH|8090733087253273328</stp>
        <tr r="AD33" s="2"/>
      </tp>
      <tp t="s">
        <v>#N/A N/A</v>
        <stp/>
        <stp>BDH|3368405913384516518</stp>
        <tr r="G70" s="2"/>
      </tp>
      <tp t="s">
        <v>#N/A N/A</v>
        <stp/>
        <stp>BDH|8073960284559482722</stp>
        <tr r="H38" s="2"/>
      </tp>
      <tp t="s">
        <v>#N/A N/A</v>
        <stp/>
        <stp>BDH|8878880334532167601</stp>
        <tr r="L66" s="2"/>
      </tp>
      <tp t="s">
        <v>#N/A N/A</v>
        <stp/>
        <stp>BDH|3355554904351673010</stp>
        <tr r="F54" s="2"/>
      </tp>
      <tp t="s">
        <v>#N/A N/A</v>
        <stp/>
        <stp>BDH|9850807704973063590</stp>
        <tr r="O53" s="2"/>
      </tp>
      <tp t="s">
        <v>#N/A N/A</v>
        <stp/>
        <stp>BDH|1022765442271308428</stp>
        <tr r="AA35" s="2"/>
      </tp>
      <tp t="s">
        <v>#N/A N/A</v>
        <stp/>
        <stp>BDH|3547762840940654705</stp>
        <tr r="W53" s="2"/>
      </tp>
      <tp t="s">
        <v>#N/A N/A</v>
        <stp/>
        <stp>BDH|5273659984464773813</stp>
        <tr r="Q29" s="2"/>
      </tp>
      <tp t="s">
        <v>#N/A N/A</v>
        <stp/>
        <stp>BDH|9349982991538841196</stp>
        <tr r="O26" s="2"/>
      </tp>
      <tp t="s">
        <v>#N/A N/A</v>
        <stp/>
        <stp>BDH|5025421278520839694</stp>
        <tr r="W21" s="2"/>
      </tp>
      <tp t="s">
        <v>#N/A N/A</v>
        <stp/>
        <stp>BDH|7023641819399542934</stp>
        <tr r="J71" s="2"/>
      </tp>
      <tp t="s">
        <v>#N/A N/A</v>
        <stp/>
        <stp>BDH|6560181552471566312</stp>
        <tr r="U13" s="2"/>
      </tp>
      <tp t="s">
        <v>#N/A N/A</v>
        <stp/>
        <stp>BDH|2818637055548116948</stp>
        <tr r="Q11" s="2"/>
      </tp>
      <tp t="s">
        <v>#N/A N/A</v>
        <stp/>
        <stp>BDH|7843146945697418553</stp>
        <tr r="AB27" s="2"/>
      </tp>
      <tp t="s">
        <v>#N/A N/A</v>
        <stp/>
        <stp>BDH|4679632712147981464</stp>
        <tr r="E32" s="2"/>
      </tp>
      <tp t="s">
        <v>#N/A N/A</v>
        <stp/>
        <stp>BDH|9886468379822695881</stp>
        <tr r="AB39" s="2"/>
      </tp>
      <tp t="s">
        <v>#N/A N/A</v>
        <stp/>
        <stp>BDH|7937160924624010029</stp>
        <tr r="Y55" s="2"/>
      </tp>
      <tp t="s">
        <v>#N/A N/A</v>
        <stp/>
        <stp>BDH|6600681927914903696</stp>
        <tr r="L11" s="2"/>
      </tp>
      <tp t="s">
        <v>#N/A N/A</v>
        <stp/>
        <stp>BDH|9386192635768683376</stp>
        <tr r="Z69" s="2"/>
      </tp>
      <tp t="s">
        <v>#N/A N/A</v>
        <stp/>
        <stp>BDH|2347670629173519563</stp>
        <tr r="T13" s="2"/>
      </tp>
      <tp t="s">
        <v>#N/A N/A</v>
        <stp/>
        <stp>BDH|4083147116572808654</stp>
        <tr r="R33" s="2"/>
      </tp>
      <tp t="s">
        <v>#N/A N/A</v>
        <stp/>
        <stp>BDH|5343780263977443308</stp>
        <tr r="Y35" s="2"/>
      </tp>
      <tp t="s">
        <v>#N/A N/A</v>
        <stp/>
        <stp>BDH|9137479208044251902</stp>
        <tr r="Y41" s="2"/>
      </tp>
      <tp t="s">
        <v>#N/A N/A</v>
        <stp/>
        <stp>BDH|3825923145369771748</stp>
        <tr r="H23" s="2"/>
      </tp>
      <tp t="s">
        <v>#N/A N/A</v>
        <stp/>
        <stp>BDH|5105273502760950701</stp>
        <tr r="R12" s="2"/>
      </tp>
      <tp t="s">
        <v>#N/A N/A</v>
        <stp/>
        <stp>BDH|2909649037790197761</stp>
        <tr r="H55" s="2"/>
      </tp>
      <tp t="s">
        <v>#N/A N/A</v>
        <stp/>
        <stp>BDH|1327288353016300066</stp>
        <tr r="K65" s="2"/>
      </tp>
      <tp t="s">
        <v>#N/A N/A</v>
        <stp/>
        <stp>BDH|5652228724405950042</stp>
        <tr r="V31" s="2"/>
      </tp>
      <tp t="s">
        <v>#N/A N/A</v>
        <stp/>
        <stp>BDH|1609431777576915496</stp>
        <tr r="Y32" s="2"/>
      </tp>
      <tp t="s">
        <v>#N/A N/A</v>
        <stp/>
        <stp>BDH|8085402402409580551</stp>
        <tr r="Z53" s="2"/>
      </tp>
      <tp t="s">
        <v>#N/A N/A</v>
        <stp/>
        <stp>BDH|6381350807931919484</stp>
        <tr r="X18" s="2"/>
      </tp>
      <tp t="s">
        <v>#N/A N/A</v>
        <stp/>
        <stp>BDH|6682187574547978733</stp>
        <tr r="U36" s="2"/>
      </tp>
      <tp t="s">
        <v>#N/A N/A</v>
        <stp/>
        <stp>BDH|6211230850477869685</stp>
        <tr r="AD15" s="2"/>
      </tp>
      <tp t="s">
        <v>#N/A N/A</v>
        <stp/>
        <stp>BDH|6456557180893466845</stp>
        <tr r="M23" s="2"/>
      </tp>
      <tp t="s">
        <v>#N/A N/A</v>
        <stp/>
        <stp>BDH|7468426915481406314</stp>
        <tr r="H66" s="2"/>
      </tp>
      <tp t="s">
        <v>#N/A N/A</v>
        <stp/>
        <stp>BDH|8614428082822975693</stp>
        <tr r="I62" s="2"/>
      </tp>
      <tp t="s">
        <v>#N/A N/A</v>
        <stp/>
        <stp>BDH|4017076489765847903</stp>
        <tr r="I66" s="2"/>
      </tp>
      <tp t="s">
        <v>#N/A N/A</v>
        <stp/>
        <stp>BDH|7158801081922266542</stp>
        <tr r="O45" s="2"/>
      </tp>
      <tp t="s">
        <v>#N/A N/A</v>
        <stp/>
        <stp>BDH|1241074333430136204</stp>
        <tr r="L28" s="2"/>
      </tp>
      <tp t="s">
        <v>#N/A N/A</v>
        <stp/>
        <stp>BDH|8606516982763300614</stp>
        <tr r="F37" s="2"/>
      </tp>
      <tp t="s">
        <v>#N/A N/A</v>
        <stp/>
        <stp>BDH|1028215044506257101</stp>
        <tr r="I65" s="2"/>
      </tp>
      <tp t="s">
        <v>#N/A N/A</v>
        <stp/>
        <stp>BDH|9314090644068913532</stp>
        <tr r="L7" s="2"/>
      </tp>
      <tp t="s">
        <v>#N/A N/A</v>
        <stp/>
        <stp>BDH|3359430143545623615</stp>
        <tr r="AC68" s="2"/>
      </tp>
      <tp t="s">
        <v>#N/A N/A</v>
        <stp/>
        <stp>BDH|6661956785811636642</stp>
        <tr r="AD22" s="2"/>
      </tp>
      <tp t="s">
        <v>#N/A N/A</v>
        <stp/>
        <stp>BDH|6108621721393792117</stp>
        <tr r="Q67" s="2"/>
      </tp>
      <tp t="s">
        <v>#N/A N/A</v>
        <stp/>
        <stp>BDH|8984411958288734134</stp>
        <tr r="S53" s="2"/>
      </tp>
      <tp t="s">
        <v>#N/A N/A</v>
        <stp/>
        <stp>BDH|3946067085288750398</stp>
        <tr r="W44" s="2"/>
      </tp>
      <tp t="s">
        <v>#N/A N/A</v>
        <stp/>
        <stp>BDH|5749705212743282031</stp>
        <tr r="U35" s="2"/>
      </tp>
      <tp t="s">
        <v>#N/A N/A</v>
        <stp/>
        <stp>BDH|7859007769647752630</stp>
        <tr r="AA39" s="2"/>
      </tp>
      <tp t="s">
        <v>#N/A N/A</v>
        <stp/>
        <stp>BDH|6642434626600013065</stp>
        <tr r="J27" s="2"/>
      </tp>
      <tp t="s">
        <v>#N/A N/A</v>
        <stp/>
        <stp>BDH|7636919307089191746</stp>
        <tr r="Y36" s="2"/>
      </tp>
      <tp t="s">
        <v>#N/A N/A</v>
        <stp/>
        <stp>BDH|4153035607004857082</stp>
        <tr r="E50" s="2"/>
      </tp>
      <tp t="s">
        <v>#N/A N/A</v>
        <stp/>
        <stp>BDH|18048483747511210</stp>
        <tr r="Y38" s="2"/>
      </tp>
      <tp t="s">
        <v>#N/A N/A</v>
        <stp/>
        <stp>BDH|16716369634745850</stp>
        <tr r="I71" s="2"/>
      </tp>
      <tp t="s">
        <v>#N/A N/A</v>
        <stp/>
        <stp>BDH|71880740396872789</stp>
        <tr r="X36" s="2"/>
      </tp>
      <tp t="s">
        <v>#N/A N/A</v>
        <stp/>
        <stp>BDH|4211483725026729526</stp>
        <tr r="C46" s="2"/>
        <tr r="C34" s="2"/>
      </tp>
      <tp t="s">
        <v>#N/A N/A</v>
        <stp/>
        <stp>BDH|7695988286230121739</stp>
        <tr r="AB66" s="2"/>
      </tp>
      <tp t="s">
        <v>#N/A N/A</v>
        <stp/>
        <stp>BDH|7484603805690812031</stp>
        <tr r="G51" s="2"/>
      </tp>
      <tp t="s">
        <v>#N/A N/A</v>
        <stp/>
        <stp>BDH|5206702674690461491</stp>
        <tr r="Q33" s="2"/>
      </tp>
      <tp t="s">
        <v>#N/A N/A</v>
        <stp/>
        <stp>BDH|2028507650333845030</stp>
        <tr r="N20" s="2"/>
      </tp>
      <tp t="s">
        <v>#N/A N/A</v>
        <stp/>
        <stp>BDH|5618269798116251915</stp>
        <tr r="K38" s="2"/>
      </tp>
      <tp t="s">
        <v>#N/A N/A</v>
        <stp/>
        <stp>BDH|1181303349193111427</stp>
        <tr r="AB55" s="2"/>
      </tp>
      <tp t="s">
        <v>#N/A N/A</v>
        <stp/>
        <stp>BDH|8061927808763688343</stp>
        <tr r="D23" s="2"/>
      </tp>
      <tp t="s">
        <v>#N/A N/A</v>
        <stp/>
        <stp>BDH|4637332843044715683</stp>
        <tr r="T21" s="2"/>
      </tp>
      <tp t="s">
        <v>#N/A N/A</v>
        <stp/>
        <stp>BDH|3511549765089578886</stp>
        <tr r="O62" s="2"/>
      </tp>
      <tp t="s">
        <v>#N/A N/A</v>
        <stp/>
        <stp>BDH|3692009207764978665</stp>
        <tr r="D25" s="2"/>
      </tp>
      <tp t="s">
        <v>#N/A N/A</v>
        <stp/>
        <stp>BDH|5468696121245039525</stp>
        <tr r="X27" s="2"/>
      </tp>
      <tp t="s">
        <v>#N/A N/A</v>
        <stp/>
        <stp>BDH|9233113139758329273</stp>
        <tr r="F42" s="2"/>
      </tp>
      <tp t="s">
        <v>#N/A N/A</v>
        <stp/>
        <stp>BDH|8820759588020810631</stp>
        <tr r="AD32" s="2"/>
      </tp>
      <tp t="s">
        <v>#N/A N/A</v>
        <stp/>
        <stp>BDH|5116590327781249238</stp>
        <tr r="D17" s="2"/>
      </tp>
      <tp t="s">
        <v>#N/A N/A</v>
        <stp/>
        <stp>BDH|7155770675834802257</stp>
        <tr r="W9" s="2"/>
      </tp>
      <tp t="s">
        <v>#N/A N/A</v>
        <stp/>
        <stp>BDH|4717457023946748581</stp>
        <tr r="J45" s="2"/>
      </tp>
      <tp t="s">
        <v>#N/A N/A</v>
        <stp/>
        <stp>BDH|9239135288433085276</stp>
        <tr r="X6" s="2"/>
      </tp>
      <tp t="s">
        <v>#N/A N/A</v>
        <stp/>
        <stp>BDH|5596887573633853882</stp>
        <tr r="F51" s="2"/>
      </tp>
      <tp t="s">
        <v>#N/A N/A</v>
        <stp/>
        <stp>BDH|4268558638561147218</stp>
        <tr r="AB38" s="2"/>
      </tp>
      <tp t="s">
        <v>#N/A N/A</v>
        <stp/>
        <stp>BDH|7636272854375964401</stp>
        <tr r="Y26" s="2"/>
      </tp>
      <tp t="s">
        <v>#N/A N/A</v>
        <stp/>
        <stp>BDH|1045151617342600282</stp>
        <tr r="L12" s="2"/>
      </tp>
      <tp t="s">
        <v>#N/A N/A</v>
        <stp/>
        <stp>BDH|1028391125442198319</stp>
        <tr r="AD30" s="2"/>
      </tp>
      <tp t="s">
        <v>#N/A N/A</v>
        <stp/>
        <stp>BDH|6788327698148728565</stp>
        <tr r="P14" s="2"/>
      </tp>
      <tp t="s">
        <v>#N/A N/A</v>
        <stp/>
        <stp>BDH|2050240916773999373</stp>
        <tr r="G37" s="2"/>
      </tp>
      <tp t="s">
        <v>#N/A N/A</v>
        <stp/>
        <stp>BDH|2134486285688887799</stp>
        <tr r="G50" s="2"/>
      </tp>
      <tp t="s">
        <v>#N/A N/A</v>
        <stp/>
        <stp>BDH|1808093908845762535</stp>
        <tr r="I67" s="2"/>
      </tp>
      <tp t="s">
        <v>#N/A N/A</v>
        <stp/>
        <stp>BDH|8099921173543297407</stp>
        <tr r="J21" s="2"/>
      </tp>
      <tp t="s">
        <v>#N/A N/A</v>
        <stp/>
        <stp>BDH|6019424384009392269</stp>
        <tr r="L25" s="2"/>
      </tp>
      <tp t="s">
        <v>#N/A N/A</v>
        <stp/>
        <stp>BDH|7565448690913342815</stp>
        <tr r="Z24" s="2"/>
      </tp>
      <tp t="s">
        <v>#N/A N/A</v>
        <stp/>
        <stp>BDH|8589503394631655441</stp>
        <tr r="AC62" s="2"/>
      </tp>
      <tp t="s">
        <v>#N/A N/A</v>
        <stp/>
        <stp>BDH|3082262107081593178</stp>
        <tr r="AD65" s="2"/>
      </tp>
      <tp t="s">
        <v>#N/A N/A</v>
        <stp/>
        <stp>BDH|1946920199851678171</stp>
        <tr r="J55" s="2"/>
      </tp>
      <tp t="s">
        <v>#N/A N/A</v>
        <stp/>
        <stp>BDH|7048148373671002145</stp>
        <tr r="X33" s="2"/>
      </tp>
      <tp t="s">
        <v>#N/A N/A</v>
        <stp/>
        <stp>BDH|4276297768287082604</stp>
        <tr r="H45" s="2"/>
      </tp>
      <tp t="s">
        <v>#N/A N/A</v>
        <stp/>
        <stp>BDH|9365267394817842489</stp>
        <tr r="Q66" s="2"/>
      </tp>
      <tp t="s">
        <v>#N/A N/A</v>
        <stp/>
        <stp>BDH|9853585142468606159</stp>
        <tr r="AD19" s="2"/>
      </tp>
      <tp t="s">
        <v>#N/A N/A</v>
        <stp/>
        <stp>BDH|8401574375429121212</stp>
        <tr r="Y6" s="2"/>
      </tp>
      <tp t="s">
        <v>#N/A N/A</v>
        <stp/>
        <stp>BDH|9255865962076280023</stp>
        <tr r="AB69" s="2"/>
      </tp>
      <tp t="s">
        <v>#N/A N/A</v>
        <stp/>
        <stp>BDH|2457804980877011425</stp>
        <tr r="AC56" s="2"/>
      </tp>
      <tp t="s">
        <v>#N/A N/A</v>
        <stp/>
        <stp>BDH|8892071400118099181</stp>
        <tr r="M60" s="2"/>
      </tp>
      <tp t="s">
        <v>#N/A N/A</v>
        <stp/>
        <stp>BDH|3043386222695460692</stp>
        <tr r="N33" s="2"/>
      </tp>
      <tp t="s">
        <v>#N/A N/A</v>
        <stp/>
        <stp>BDH|9925478573562857929</stp>
        <tr r="X60" s="2"/>
      </tp>
      <tp t="s">
        <v>#N/A N/A</v>
        <stp/>
        <stp>BDH|6753610508570872114</stp>
        <tr r="AA45" s="2"/>
      </tp>
      <tp t="s">
        <v>#N/A N/A</v>
        <stp/>
        <stp>BDH|1788241913556494531</stp>
        <tr r="Y15" s="2"/>
      </tp>
      <tp t="s">
        <v>#N/A N/A</v>
        <stp/>
        <stp>BDH|4033670086782264946</stp>
        <tr r="E62" s="2"/>
      </tp>
      <tp t="s">
        <v>#N/A N/A</v>
        <stp/>
        <stp>BDH|4599803190661311515</stp>
        <tr r="R70" s="2"/>
      </tp>
      <tp t="s">
        <v>#N/A N/A</v>
        <stp/>
        <stp>BDH|5193274167857474728</stp>
        <tr r="Y39" s="2"/>
      </tp>
      <tp t="s">
        <v>#N/A N/A</v>
        <stp/>
        <stp>BDH|9865136194139889903</stp>
        <tr r="AA54" s="2"/>
      </tp>
      <tp t="s">
        <v>#N/A N/A</v>
        <stp/>
        <stp>BDH|6122894890293998563</stp>
        <tr r="I10" s="2"/>
      </tp>
      <tp t="s">
        <v>#N/A N/A</v>
        <stp/>
        <stp>BDH|7574371887124622972</stp>
        <tr r="Z33" s="2"/>
      </tp>
      <tp t="s">
        <v>#N/A N/A</v>
        <stp/>
        <stp>BDH|3230894658799495636</stp>
        <tr r="L31" s="2"/>
      </tp>
      <tp t="s">
        <v>#N/A N/A</v>
        <stp/>
        <stp>BDH|7557637567405054342</stp>
        <tr r="H50" s="2"/>
      </tp>
      <tp t="s">
        <v>#N/A N/A</v>
        <stp/>
        <stp>BDH|4033708407952317017</stp>
        <tr r="U68" s="2"/>
      </tp>
      <tp t="s">
        <v>#N/A N/A</v>
        <stp/>
        <stp>BDH|7554750544543244633</stp>
        <tr r="N10" s="2"/>
      </tp>
      <tp t="s">
        <v>#N/A N/A</v>
        <stp/>
        <stp>BDH|6656862482910556724</stp>
        <tr r="C18" s="2"/>
      </tp>
      <tp t="s">
        <v>#N/A N/A</v>
        <stp/>
        <stp>BDH|61579707050883941</stp>
        <tr r="N51" s="2"/>
      </tp>
      <tp t="s">
        <v>#N/A N/A</v>
        <stp/>
        <stp>BDH|1172087972646848293</stp>
        <tr r="F44" s="2"/>
      </tp>
      <tp t="s">
        <v>#N/A N/A</v>
        <stp/>
        <stp>BDH|5155795257832298773</stp>
        <tr r="W64" s="2"/>
      </tp>
      <tp t="s">
        <v>#N/A N/A</v>
        <stp/>
        <stp>BDH|7163958785184907028</stp>
        <tr r="AD21" s="2"/>
      </tp>
      <tp t="s">
        <v>#N/A N/A</v>
        <stp/>
        <stp>BDH|6765621609340662204</stp>
        <tr r="AA40" s="2"/>
      </tp>
      <tp t="s">
        <v>#N/A N/A</v>
        <stp/>
        <stp>BDH|3098286205693248052</stp>
        <tr r="M13" s="2"/>
      </tp>
      <tp t="s">
        <v>#N/A N/A</v>
        <stp/>
        <stp>BDH|5814441460427338247</stp>
        <tr r="K56" s="2"/>
      </tp>
      <tp t="s">
        <v>#N/A N/A</v>
        <stp/>
        <stp>BDH|4150052866089378990</stp>
        <tr r="W25" s="2"/>
      </tp>
      <tp t="s">
        <v>#N/A N/A</v>
        <stp/>
        <stp>BDH|8948955327142795340</stp>
        <tr r="R21" s="2"/>
      </tp>
      <tp t="s">
        <v>#N/A N/A</v>
        <stp/>
        <stp>BDH|9109558107836200898</stp>
        <tr r="K29" s="2"/>
      </tp>
      <tp t="s">
        <v>#N/A N/A</v>
        <stp/>
        <stp>BDH|5130163379805601403</stp>
        <tr r="V71" s="2"/>
      </tp>
      <tp t="s">
        <v>#N/A N/A</v>
        <stp/>
        <stp>BDH|8256948549416180170</stp>
        <tr r="P62" s="2"/>
      </tp>
      <tp t="s">
        <v>#N/A N/A</v>
        <stp/>
        <stp>BDH|6927464624120142233</stp>
        <tr r="Z30" s="2"/>
      </tp>
      <tp t="s">
        <v>#N/A N/A</v>
        <stp/>
        <stp>BDH|5282274653931948165</stp>
        <tr r="S15" s="2"/>
      </tp>
      <tp t="s">
        <v>#N/A N/A</v>
        <stp/>
        <stp>BDH|7968322843531326324</stp>
        <tr r="C32" s="2"/>
      </tp>
      <tp t="s">
        <v>#N/A N/A</v>
        <stp/>
        <stp>BDH|4358379452990997063</stp>
        <tr r="R44" s="2"/>
      </tp>
      <tp t="s">
        <v>#N/A N/A</v>
        <stp/>
        <stp>BDH|2673340625990791199</stp>
        <tr r="O19" s="2"/>
      </tp>
      <tp t="s">
        <v>#N/A N/A</v>
        <stp/>
        <stp>BDH|9578247878289085778</stp>
        <tr r="N41" s="2"/>
      </tp>
      <tp t="s">
        <v>#N/A N/A</v>
        <stp/>
        <stp>BDH|5088063000566126198</stp>
        <tr r="D14" s="2"/>
      </tp>
      <tp t="s">
        <v>#N/A N/A</v>
        <stp/>
        <stp>BDH|3368851259155294937</stp>
        <tr r="R65" s="2"/>
      </tp>
      <tp t="s">
        <v>#N/A N/A</v>
        <stp/>
        <stp>BDH|8248052523170267892</stp>
        <tr r="D71" s="2"/>
      </tp>
      <tp t="s">
        <v>#N/A N/A</v>
        <stp/>
        <stp>BDH|2595301637908925841</stp>
        <tr r="Q22" s="2"/>
      </tp>
      <tp t="s">
        <v>#N/A N/A</v>
        <stp/>
        <stp>BDH|4679122769523636247</stp>
        <tr r="U16" s="2"/>
      </tp>
      <tp t="s">
        <v>#N/A N/A</v>
        <stp/>
        <stp>BDH|2934666960765458540</stp>
        <tr r="Z25" s="2"/>
      </tp>
      <tp t="s">
        <v>#N/A N/A</v>
        <stp/>
        <stp>BDH|4277721938030172268</stp>
        <tr r="O10" s="2"/>
      </tp>
      <tp t="s">
        <v>#N/A N/A</v>
        <stp/>
        <stp>BDH|7762590493688591170</stp>
        <tr r="N49" s="2"/>
      </tp>
      <tp t="s">
        <v>#N/A N/A</v>
        <stp/>
        <stp>BDH|5405033945175724691</stp>
        <tr r="AD64" s="2"/>
      </tp>
      <tp t="s">
        <v>#N/A N/A</v>
        <stp/>
        <stp>BDH|4169354250618830804</stp>
        <tr r="H44" s="2"/>
      </tp>
      <tp t="s">
        <v>#N/A N/A</v>
        <stp/>
        <stp>BDH|3869640930733034700</stp>
        <tr r="S31" s="2"/>
      </tp>
      <tp t="s">
        <v>#N/A N/A</v>
        <stp/>
        <stp>BDH|5572541925810136098</stp>
        <tr r="AA44" s="2"/>
      </tp>
      <tp t="s">
        <v>#N/A N/A</v>
        <stp/>
        <stp>BDH|9936058350177213920</stp>
        <tr r="T48" s="2"/>
      </tp>
      <tp t="s">
        <v>#N/A N/A</v>
        <stp/>
        <stp>BDH|5922469847225166254</stp>
        <tr r="W62" s="2"/>
      </tp>
      <tp t="s">
        <v>#N/A N/A</v>
        <stp/>
        <stp>BDH|6300632727040433011</stp>
        <tr r="Q9" s="2"/>
      </tp>
      <tp t="s">
        <v>#N/A N/A</v>
        <stp/>
        <stp>BDH|4315816370270827984</stp>
        <tr r="G66" s="2"/>
      </tp>
      <tp t="s">
        <v>#N/A N/A</v>
        <stp/>
        <stp>BDH|6941983595646459227</stp>
        <tr r="N61" s="2"/>
      </tp>
      <tp t="s">
        <v>#N/A N/A</v>
        <stp/>
        <stp>BDH|6720671140281335716</stp>
        <tr r="Q39" s="2"/>
      </tp>
      <tp t="s">
        <v>#N/A N/A</v>
        <stp/>
        <stp>BDH|4939409237310532192</stp>
        <tr r="E48" s="2"/>
      </tp>
      <tp t="s">
        <v>#N/A N/A</v>
        <stp/>
        <stp>BDH|7147651677604411041</stp>
        <tr r="V55" s="2"/>
      </tp>
      <tp t="s">
        <v>#N/A N/A</v>
        <stp/>
        <stp>BDH|5596243995934045870</stp>
        <tr r="E29" s="2"/>
      </tp>
      <tp t="s">
        <v>#N/A N/A</v>
        <stp/>
        <stp>BDH|7142716553851495649</stp>
        <tr r="O7" s="2"/>
      </tp>
      <tp t="s">
        <v>#N/A N/A</v>
        <stp/>
        <stp>BDH|5900700250893276682</stp>
        <tr r="K13" s="2"/>
      </tp>
      <tp t="s">
        <v>#N/A N/A</v>
        <stp/>
        <stp>BDH|7445734226497052715</stp>
        <tr r="S13" s="2"/>
      </tp>
      <tp t="s">
        <v>#N/A N/A</v>
        <stp/>
        <stp>BDH|3040110880189155116</stp>
        <tr r="Z56" s="2"/>
      </tp>
      <tp t="s">
        <v>#N/A N/A</v>
        <stp/>
        <stp>BDH|9966799513394014921</stp>
        <tr r="E13" s="2"/>
      </tp>
      <tp t="s">
        <v>#N/A N/A</v>
        <stp/>
        <stp>BDH|2055723197427756938</stp>
        <tr r="E27" s="2"/>
      </tp>
      <tp t="s">
        <v>#N/A N/A</v>
        <stp/>
        <stp>BDH|5427284579073614155</stp>
        <tr r="F68" s="2"/>
      </tp>
      <tp t="s">
        <v>#N/A N/A</v>
        <stp/>
        <stp>BDH|2335335236470917097</stp>
        <tr r="K32" s="2"/>
      </tp>
      <tp t="s">
        <v>#N/A N/A</v>
        <stp/>
        <stp>BDH|6533752331073115364</stp>
        <tr r="L56" s="2"/>
      </tp>
      <tp t="s">
        <v>#N/A N/A</v>
        <stp/>
        <stp>BDH|1066898468559600402</stp>
        <tr r="M15" s="2"/>
      </tp>
      <tp t="s">
        <v>#N/A N/A</v>
        <stp/>
        <stp>BDH|7057391449204285654</stp>
        <tr r="V56" s="2"/>
      </tp>
      <tp t="s">
        <v>#N/A N/A</v>
        <stp/>
        <stp>BDH|4973756791669913138</stp>
        <tr r="C60" s="2"/>
      </tp>
      <tp t="s">
        <v>#N/A N/A</v>
        <stp/>
        <stp>BDH|4406704777487161165</stp>
        <tr r="G20" s="2"/>
      </tp>
      <tp t="s">
        <v>#N/A N/A</v>
        <stp/>
        <stp>BDH|3680549547913075310</stp>
        <tr r="D70" s="2"/>
      </tp>
      <tp t="s">
        <v>#N/A N/A</v>
        <stp/>
        <stp>BDH|2002667689466206882</stp>
        <tr r="AB10" s="2"/>
      </tp>
      <tp t="s">
        <v>#N/A N/A</v>
        <stp/>
        <stp>BDH|7249531231786252571</stp>
        <tr r="Z15" s="2"/>
      </tp>
      <tp t="s">
        <v>#N/A N/A</v>
        <stp/>
        <stp>BDH|7540259774293263331</stp>
        <tr r="V29" s="2"/>
      </tp>
      <tp t="s">
        <v>#N/A N/A</v>
        <stp/>
        <stp>BDH|9177815163065444029</stp>
        <tr r="E18" s="2"/>
      </tp>
      <tp t="s">
        <v>#N/A N/A</v>
        <stp/>
        <stp>BDH|1418962033839736036</stp>
        <tr r="M65" s="2"/>
      </tp>
      <tp t="s">
        <v>#N/A N/A</v>
        <stp/>
        <stp>BDH|9438106496732892008</stp>
        <tr r="Y13" s="2"/>
      </tp>
      <tp t="s">
        <v>#N/A N/A</v>
        <stp/>
        <stp>BDH|2910088442743120689</stp>
        <tr r="Q48" s="2"/>
      </tp>
      <tp t="s">
        <v>#N/A N/A</v>
        <stp/>
        <stp>BDH|2869752569622893263</stp>
        <tr r="O61" s="2"/>
      </tp>
      <tp t="s">
        <v>#N/A N/A</v>
        <stp/>
        <stp>BDH|3189379311130858258</stp>
        <tr r="P17" s="2"/>
      </tp>
      <tp t="s">
        <v>#N/A N/A</v>
        <stp/>
        <stp>BDH|1168878999557420408</stp>
        <tr r="U50" s="2"/>
      </tp>
      <tp t="s">
        <v>#N/A N/A</v>
        <stp/>
        <stp>BDH|7832139856976444624</stp>
        <tr r="Q21" s="2"/>
      </tp>
      <tp t="s">
        <v>#N/A N/A</v>
        <stp/>
        <stp>BDH|5974650934455119627</stp>
        <tr r="Z35" s="2"/>
      </tp>
      <tp t="s">
        <v>#N/A N/A</v>
        <stp/>
        <stp>BDH|8386878368267271250</stp>
        <tr r="E40" s="2"/>
      </tp>
      <tp t="s">
        <v>#N/A N/A</v>
        <stp/>
        <stp>BDH|2018229551813959512</stp>
        <tr r="D7" s="2"/>
      </tp>
      <tp t="s">
        <v>#N/A N/A</v>
        <stp/>
        <stp>BDH|6491292809525963260</stp>
        <tr r="L22" s="2"/>
      </tp>
      <tp t="s">
        <v>#N/A N/A</v>
        <stp/>
        <stp>BDH|3331217741985953315</stp>
        <tr r="AD12" s="2"/>
      </tp>
      <tp t="s">
        <v>#N/A N/A</v>
        <stp/>
        <stp>BDH|7688064846612426297</stp>
        <tr r="K49" s="2"/>
      </tp>
      <tp t="s">
        <v>#N/A N/A</v>
        <stp/>
        <stp>BDH|8628830708152366161</stp>
        <tr r="Z13" s="2"/>
      </tp>
      <tp t="s">
        <v>#N/A N/A</v>
        <stp/>
        <stp>BDH|3282867659744154945</stp>
        <tr r="H15" s="2"/>
      </tp>
      <tp t="s">
        <v>#N/A N/A</v>
        <stp/>
        <stp>BDH|7997241510210123747</stp>
        <tr r="G14" s="2"/>
      </tp>
      <tp t="s">
        <v>#N/A N/A</v>
        <stp/>
        <stp>BDH|4355654766536190192</stp>
        <tr r="X32" s="2"/>
      </tp>
      <tp t="s">
        <v>#N/A N/A</v>
        <stp/>
        <stp>BDH|4214588254257314043</stp>
        <tr r="AC55" s="2"/>
      </tp>
      <tp t="s">
        <v>#N/A N/A</v>
        <stp/>
        <stp>BDH|7035726315106975478</stp>
        <tr r="W27" s="2"/>
      </tp>
      <tp t="s">
        <v>#N/A N/A</v>
        <stp/>
        <stp>BDH|1839193386323741899</stp>
        <tr r="AD48" s="2"/>
      </tp>
      <tp t="s">
        <v>#N/A N/A</v>
        <stp/>
        <stp>BDH|2223653291709142793</stp>
        <tr r="M66" s="2"/>
      </tp>
      <tp t="s">
        <v>#N/A N/A</v>
        <stp/>
        <stp>BDH|7281638344926214098</stp>
        <tr r="J39" s="2"/>
      </tp>
      <tp t="s">
        <v>#N/A N/A</v>
        <stp/>
        <stp>BDH|2604685336474603001</stp>
        <tr r="Y65" s="2"/>
      </tp>
      <tp t="s">
        <v>#N/A N/A</v>
        <stp/>
        <stp>BDH|8612847912060761289</stp>
        <tr r="AA33" s="2"/>
      </tp>
      <tp t="s">
        <v>#N/A N/A</v>
        <stp/>
        <stp>BDH|8462784242868908082</stp>
        <tr r="G17" s="2"/>
      </tp>
      <tp t="s">
        <v>#N/A N/A</v>
        <stp/>
        <stp>BDH|7696587654042590637</stp>
        <tr r="AD60" s="2"/>
      </tp>
      <tp t="s">
        <v>#N/A N/A</v>
        <stp/>
        <stp>BDH|5387494250013483427</stp>
        <tr r="E16" s="2"/>
      </tp>
      <tp t="s">
        <v>#N/A N/A</v>
        <stp/>
        <stp>BDH|1480093057346695113</stp>
        <tr r="S35" s="2"/>
      </tp>
      <tp t="s">
        <v>#N/A N/A</v>
        <stp/>
        <stp>BDH|5529786246371051460</stp>
        <tr r="U9" s="2"/>
      </tp>
      <tp t="s">
        <v>#N/A N/A</v>
        <stp/>
        <stp>BDH|6942202626273637641</stp>
        <tr r="K70" s="2"/>
      </tp>
      <tp t="s">
        <v>#N/A N/A</v>
        <stp/>
        <stp>BDH|1452197119183127189</stp>
        <tr r="H7" s="2"/>
      </tp>
      <tp t="s">
        <v>#N/A N/A</v>
        <stp/>
        <stp>BDH|8295606842650518964</stp>
        <tr r="X16" s="2"/>
      </tp>
      <tp t="s">
        <v>#N/A N/A</v>
        <stp/>
        <stp>BDH|4038506030518749962</stp>
        <tr r="Z38" s="2"/>
      </tp>
      <tp t="s">
        <v>#N/A N/A</v>
        <stp/>
        <stp>BDH|5792322170075569716</stp>
        <tr r="X28" s="2"/>
      </tp>
      <tp t="s">
        <v>#N/A N/A</v>
        <stp/>
        <stp>BDH|4177816983524217376</stp>
        <tr r="AB24" s="2"/>
      </tp>
      <tp t="s">
        <v>#N/A N/A</v>
        <stp/>
        <stp>BDH|5174528973421678509</stp>
        <tr r="R17" s="2"/>
      </tp>
      <tp t="s">
        <v>#N/A N/A</v>
        <stp/>
        <stp>BDH|7898671543012952438</stp>
        <tr r="N60" s="2"/>
      </tp>
      <tp t="s">
        <v>#N/A N/A</v>
        <stp/>
        <stp>BDH|3211526678876889462</stp>
        <tr r="AB64" s="2"/>
      </tp>
      <tp t="s">
        <v>#N/A N/A</v>
        <stp/>
        <stp>BDH|2931387316661444251</stp>
        <tr r="W38" s="2"/>
      </tp>
      <tp t="s">
        <v>#N/A N/A</v>
        <stp/>
        <stp>BDH|4500264044802467356</stp>
        <tr r="K40" s="2"/>
      </tp>
      <tp t="s">
        <v>#N/A N/A</v>
        <stp/>
        <stp>BDH|7025797393069433393</stp>
        <tr r="E61" s="2"/>
      </tp>
      <tp t="s">
        <v>#N/A N/A</v>
        <stp/>
        <stp>BDH|4456762435154118713</stp>
        <tr r="D19" s="2"/>
      </tp>
      <tp t="s">
        <v>#N/A N/A</v>
        <stp/>
        <stp>BDH|3476190709650140122</stp>
        <tr r="S71" s="2"/>
      </tp>
      <tp t="s">
        <v>#N/A N/A</v>
        <stp/>
        <stp>BDH|3897338913152828074</stp>
        <tr r="P8" s="2"/>
      </tp>
      <tp t="s">
        <v>#N/A N/A</v>
        <stp/>
        <stp>BDH|3316854691499785871</stp>
        <tr r="T8" s="2"/>
      </tp>
      <tp t="s">
        <v>#N/A N/A</v>
        <stp/>
        <stp>BDH|9307678121509627743</stp>
        <tr r="F41" s="2"/>
      </tp>
      <tp t="s">
        <v>#N/A N/A</v>
        <stp/>
        <stp>BDH|4721418968875396098</stp>
        <tr r="C11" s="2"/>
      </tp>
      <tp t="s">
        <v>#N/A N/A</v>
        <stp/>
        <stp>BDH|8786683354681977969</stp>
        <tr r="F60" s="2"/>
      </tp>
      <tp t="s">
        <v>#N/A N/A</v>
        <stp/>
        <stp>BDH|8246269984952234363</stp>
        <tr r="AB6" s="2"/>
      </tp>
      <tp t="s">
        <v>#N/A N/A</v>
        <stp/>
        <stp>BDH|4845814648782752926</stp>
        <tr r="P70" s="2"/>
      </tp>
      <tp t="s">
        <v>#N/A N/A</v>
        <stp/>
        <stp>BDH|4702402244744516323</stp>
        <tr r="S14" s="2"/>
      </tp>
      <tp t="s">
        <v>#N/A N/A</v>
        <stp/>
        <stp>BDH|4021541949494015299</stp>
        <tr r="H21" s="2"/>
      </tp>
      <tp t="s">
        <v>#N/A N/A</v>
        <stp/>
        <stp>BDH|7734376005301933696</stp>
        <tr r="AC13" s="2"/>
      </tp>
      <tp t="s">
        <v>#N/A N/A</v>
        <stp/>
        <stp>BDH|8091803613917389558</stp>
        <tr r="K27" s="2"/>
      </tp>
      <tp t="s">
        <v>#N/A N/A</v>
        <stp/>
        <stp>BDH|850093575010807232</stp>
        <tr r="L35" s="2"/>
      </tp>
      <tp t="s">
        <v>#N/A N/A</v>
        <stp/>
        <stp>BDH|984641934074327428</stp>
        <tr r="M49" s="2"/>
      </tp>
      <tp t="s">
        <v>#N/A N/A</v>
        <stp/>
        <stp>BDH|598837131056442889</stp>
        <tr r="T42" s="2"/>
      </tp>
      <tp t="s">
        <v>#N/A N/A</v>
        <stp/>
        <stp>BDH|877477033284986611</stp>
        <tr r="AC66" s="2"/>
      </tp>
      <tp t="s">
        <v>#N/A N/A</v>
        <stp/>
        <stp>BDH|907775457002512591</stp>
        <tr r="L34" s="2"/>
        <tr r="L46" s="2"/>
      </tp>
      <tp t="s">
        <v>#N/A N/A</v>
        <stp/>
        <stp>BDH|857439949135586018</stp>
        <tr r="K8" s="2"/>
      </tp>
      <tp t="s">
        <v>#N/A N/A</v>
        <stp/>
        <stp>BDH|399631497093375952</stp>
        <tr r="G44" s="2"/>
      </tp>
      <tp t="s">
        <v>#N/A N/A</v>
        <stp/>
        <stp>BDH|953226088979277624</stp>
        <tr r="M37" s="2"/>
      </tp>
      <tp t="s">
        <v>#N/A N/A</v>
        <stp/>
        <stp>BDH|354454856412805741</stp>
        <tr r="J49" s="2"/>
      </tp>
      <tp t="s">
        <v>#N/A N/A</v>
        <stp/>
        <stp>BDH|821375512167087144</stp>
        <tr r="P68" s="2"/>
      </tp>
      <tp t="s">
        <v>#N/A N/A</v>
        <stp/>
        <stp>BDH|423201305121813700</stp>
        <tr r="Q23" s="2"/>
      </tp>
      <tp t="s">
        <v>#N/A N/A</v>
        <stp/>
        <stp>BDH|880949775289596395</stp>
        <tr r="F15" s="2"/>
      </tp>
      <tp t="s">
        <v>#N/A N/A</v>
        <stp/>
        <stp>BDH|221234317096630157</stp>
        <tr r="T64" s="2"/>
      </tp>
      <tp t="s">
        <v>#N/A N/A</v>
        <stp/>
        <stp>BDH|610421863395462330</stp>
        <tr r="Q42" s="2"/>
      </tp>
      <tp t="s">
        <v>#N/A N/A</v>
        <stp/>
        <stp>BDH|381625455010256759</stp>
        <tr r="R39" s="2"/>
      </tp>
      <tp t="s">
        <v>#N/A N/A</v>
        <stp/>
        <stp>BDH|335326209291682526</stp>
        <tr r="AB15" s="2"/>
      </tp>
      <tp t="s">
        <v>#N/A N/A</v>
        <stp/>
        <stp>BDH|910250216216688211</stp>
        <tr r="X29" s="2"/>
      </tp>
      <tp t="s">
        <v>#N/A N/A</v>
        <stp/>
        <stp>BDH|508225071953762194</stp>
        <tr r="Z42" s="2"/>
      </tp>
      <tp t="s">
        <v>#N/A N/A</v>
        <stp/>
        <stp>BDH|168128979331514091</stp>
        <tr r="T54" s="2"/>
      </tp>
      <tp t="s">
        <v>#N/A N/A</v>
        <stp/>
        <stp>BDH|625090163374877545</stp>
        <tr r="S26" s="2"/>
      </tp>
      <tp t="s">
        <v>#N/A N/A</v>
        <stp/>
        <stp>BDH|641844782771620787</stp>
        <tr r="X55" s="2"/>
      </tp>
      <tp t="s">
        <v>#N/A N/A</v>
        <stp/>
        <stp>BDH|739694271315304268</stp>
        <tr r="W45" s="2"/>
      </tp>
      <tp t="s">
        <v>#N/A N/A</v>
        <stp/>
        <stp>BDH|563883704026238814</stp>
        <tr r="H70" s="2"/>
      </tp>
      <tp t="s">
        <v>#N/A N/A</v>
        <stp/>
        <stp>BDH|467611139701270246</stp>
        <tr r="L50" s="2"/>
      </tp>
      <tp t="s">
        <v>#N/A N/A</v>
        <stp/>
        <stp>BDH|573771816331075107</stp>
        <tr r="N25" s="2"/>
      </tp>
      <tp t="s">
        <v>#N/A N/A</v>
        <stp/>
        <stp>BDH|788752437610770272</stp>
        <tr r="R62" s="2"/>
      </tp>
      <tp t="s">
        <v>#N/A N/A</v>
        <stp/>
        <stp>BDH|244391503874853174</stp>
        <tr r="I63" s="2"/>
      </tp>
      <tp t="s">
        <v>#N/A N/A</v>
        <stp/>
        <stp>BDH|337470842146039045</stp>
        <tr r="E39" s="2"/>
      </tp>
      <tp t="s">
        <v>#N/A N/A</v>
        <stp/>
        <stp>BDH|841028273097525103</stp>
        <tr r="G41" s="2"/>
      </tp>
      <tp t="s">
        <v>#N/A N/A</v>
        <stp/>
        <stp>BDH|889755611796434108</stp>
        <tr r="X19" s="2"/>
      </tp>
      <tp t="s">
        <v>#N/A N/A</v>
        <stp/>
        <stp>BDH|616243287479924293</stp>
        <tr r="U42" s="2"/>
      </tp>
      <tp t="s">
        <v>#N/A N/A</v>
        <stp/>
        <stp>BDH|213462216447360335</stp>
        <tr r="H28" s="2"/>
      </tp>
      <tp t="s">
        <v>#N/A N/A</v>
        <stp/>
        <stp>BDH|969120102478863823</stp>
        <tr r="P16" s="2"/>
      </tp>
      <tp t="s">
        <v>#N/A N/A</v>
        <stp/>
        <stp>BDH|653808715569995067</stp>
        <tr r="V60" s="2"/>
      </tp>
      <tp t="s">
        <v>#N/A N/A</v>
        <stp/>
        <stp>BDH|910067317688063904</stp>
        <tr r="Y67" s="2"/>
      </tp>
      <tp t="s">
        <v>#N/A N/A</v>
        <stp/>
        <stp>BDH|175550351479500942</stp>
        <tr r="F7" s="2"/>
      </tp>
      <tp t="s">
        <v>#N/A N/A</v>
        <stp/>
        <stp>BDH|375413414294027125</stp>
        <tr r="Q18" s="2"/>
      </tp>
      <tp t="s">
        <v>#N/A N/A</v>
        <stp/>
        <stp>BDH|847970448665846893</stp>
        <tr r="R68" s="2"/>
      </tp>
      <tp t="s">
        <v>#N/A N/A</v>
        <stp/>
        <stp>BDH|921409532833264499</stp>
        <tr r="D39" s="2"/>
      </tp>
      <tp t="s">
        <v>#N/A N/A</v>
        <stp/>
        <stp>BDH|748769675792526230</stp>
        <tr r="R42" s="2"/>
      </tp>
      <tp t="s">
        <v>#N/A N/A</v>
        <stp/>
        <stp>BDH|683128684322858828</stp>
        <tr r="D38" s="2"/>
      </tp>
      <tp t="s">
        <v>#N/A N/A</v>
        <stp/>
        <stp>BDH|991385564027763153</stp>
        <tr r="AC65" s="2"/>
      </tp>
      <tp t="s">
        <v>#N/A N/A</v>
        <stp/>
        <stp>BDH|158108940100917683</stp>
        <tr r="U53" s="2"/>
      </tp>
      <tp t="s">
        <v>#N/A N/A</v>
        <stp/>
        <stp>BDH|737310141046479236</stp>
        <tr r="G40" s="2"/>
      </tp>
      <tp t="s">
        <v>#N/A N/A</v>
        <stp/>
        <stp>BDH|263060965707870306</stp>
        <tr r="C25" s="2"/>
      </tp>
      <tp t="s">
        <v>#N/A N/A</v>
        <stp/>
        <stp>BDH|480303317108891801</stp>
        <tr r="H71" s="2"/>
      </tp>
      <tp t="s">
        <v>#N/A N/A</v>
        <stp/>
        <stp>BDH|436700588669364498</stp>
        <tr r="P60" s="2"/>
      </tp>
      <tp t="s">
        <v>#N/A N/A</v>
        <stp/>
        <stp>BDH|870334840183163905</stp>
        <tr r="X9" s="2"/>
      </tp>
      <tp t="s">
        <v>#N/A N/A</v>
        <stp/>
        <stp>BDH|220512394667550686</stp>
        <tr r="Z12" s="2"/>
      </tp>
      <tp t="s">
        <v>#N/A N/A</v>
        <stp/>
        <stp>BDH|707645729458268068</stp>
        <tr r="AC29" s="2"/>
      </tp>
      <tp t="s">
        <v>#N/A N/A</v>
        <stp/>
        <stp>BDH|266536199356032628</stp>
        <tr r="W51" s="2"/>
      </tp>
      <tp t="s">
        <v>#N/A N/A</v>
        <stp/>
        <stp>BDH|409729274188083467</stp>
        <tr r="Z9" s="2"/>
      </tp>
      <tp t="s">
        <v>#N/A N/A</v>
        <stp/>
        <stp>BDH|339009297666697329</stp>
        <tr r="G67" s="2"/>
      </tp>
      <tp t="s">
        <v>#N/A N/A</v>
        <stp/>
        <stp>BDH|429450299369856827</stp>
        <tr r="D12" s="2"/>
      </tp>
      <tp t="s">
        <v>#N/A N/A</v>
        <stp/>
        <stp>BDH|822633896061995185</stp>
        <tr r="L49" s="2"/>
      </tp>
      <tp t="s">
        <v>#N/A N/A</v>
        <stp/>
        <stp>BDH|965943848733028119</stp>
        <tr r="X39" s="2"/>
      </tp>
      <tp t="s">
        <v>#N/A N/A</v>
        <stp/>
        <stp>BDH|967073806278644784</stp>
        <tr r="Y63" s="2"/>
      </tp>
      <tp t="s">
        <v>#N/A N/A</v>
        <stp/>
        <stp>BDH|975583475478158544</stp>
        <tr r="D16" s="2"/>
      </tp>
      <tp t="s">
        <v>#N/A N/A</v>
        <stp/>
        <stp>BDH|644221501658352541</stp>
        <tr r="W66" s="2"/>
      </tp>
      <tp t="s">
        <v>#N/A N/A</v>
        <stp/>
        <stp>BDH|753020033845930832</stp>
        <tr r="Z70" s="2"/>
      </tp>
      <tp t="s">
        <v>#N/A N/A</v>
        <stp/>
        <stp>BDH|710436031280921903</stp>
        <tr r="R27" s="2"/>
      </tp>
      <tp t="s">
        <v>#N/A N/A</v>
        <stp/>
        <stp>BDH|828919575105660568</stp>
        <tr r="C15" s="2"/>
      </tp>
      <tp t="s">
        <v>#N/A N/A</v>
        <stp/>
        <stp>BDH|203863154793961015</stp>
        <tr r="J60" s="2"/>
      </tp>
      <tp t="s">
        <v>#N/A N/A</v>
        <stp/>
        <stp>BDH|946504323758723147</stp>
        <tr r="AB33" s="2"/>
      </tp>
      <tp t="s">
        <v>#N/A N/A</v>
        <stp/>
        <stp>BDH|649679989698852845</stp>
        <tr r="S37" s="2"/>
      </tp>
      <tp t="s">
        <v>#N/A N/A</v>
        <stp/>
        <stp>BDH|713352756078650071</stp>
        <tr r="V45" s="2"/>
      </tp>
      <tp t="s">
        <v>#N/A N/A</v>
        <stp/>
        <stp>BDH|135254885612314647</stp>
        <tr r="T22" s="2"/>
      </tp>
      <tp t="s">
        <v>#N/A N/A</v>
        <stp/>
        <stp>BDH|923668340205842904</stp>
        <tr r="U11" s="2"/>
      </tp>
      <tp t="s">
        <v>#N/A N/A</v>
        <stp/>
        <stp>BDH|577437410955815924</stp>
        <tr r="Q70" s="2"/>
      </tp>
      <tp t="s">
        <v>#N/A N/A</v>
        <stp/>
        <stp>BDH|949926326082286036</stp>
        <tr r="AB20" s="2"/>
      </tp>
      <tp t="s">
        <v>#N/A N/A</v>
        <stp/>
        <stp>BDH|868523061203867978</stp>
        <tr r="U27" s="2"/>
      </tp>
      <tp t="s">
        <v>#N/A N/A</v>
        <stp/>
        <stp>BDH|350159581236277601</stp>
        <tr r="C63" s="2"/>
      </tp>
      <tp t="s">
        <v>#N/A N/A</v>
        <stp/>
        <stp>BDH|668309790064377745</stp>
        <tr r="L44" s="2"/>
      </tp>
      <tp t="s">
        <v>#N/A N/A</v>
        <stp/>
        <stp>BDH|871988029227830531</stp>
        <tr r="AC6" s="2"/>
      </tp>
      <tp t="s">
        <v>#N/A N/A</v>
        <stp/>
        <stp>BDH|918181273397684981</stp>
        <tr r="J63" s="2"/>
      </tp>
      <tp t="s">
        <v>#N/A N/A</v>
        <stp/>
        <stp>BDH|350979460294802305</stp>
        <tr r="E70" s="2"/>
      </tp>
      <tp t="s">
        <v>#N/A N/A</v>
        <stp/>
        <stp>BDH|180116632668973260</stp>
        <tr r="AD10" s="2"/>
      </tp>
      <tp t="s">
        <v>#N/A N/A</v>
        <stp/>
        <stp>BDH|735940741710430590</stp>
        <tr r="Y50" s="2"/>
      </tp>
      <tp t="s">
        <v>#N/A N/A</v>
        <stp/>
        <stp>BDH|412358004023474849</stp>
        <tr r="N14" s="2"/>
      </tp>
      <tp t="s">
        <v>#N/A N/A</v>
        <stp/>
        <stp>BDH|396845731601203226</stp>
        <tr r="O54" s="2"/>
      </tp>
      <tp t="s">
        <v>#N/A N/A</v>
        <stp/>
        <stp>BDH|755146753059677556</stp>
        <tr r="X13" s="2"/>
      </tp>
      <tp t="s">
        <v>#N/A N/A</v>
        <stp/>
        <stp>BDH|371579815459197533</stp>
        <tr r="D48" s="2"/>
      </tp>
      <tp t="s">
        <v>#N/A N/A</v>
        <stp/>
        <stp>BDH|219305382700630356</stp>
        <tr r="S65" s="2"/>
      </tp>
      <tp t="s">
        <v>#N/A N/A</v>
        <stp/>
        <stp>BDH|119468991581118797</stp>
        <tr r="AB30" s="2"/>
      </tp>
      <tp t="s">
        <v>#N/A N/A</v>
        <stp/>
        <stp>BDH|808461794842336425</stp>
        <tr r="S61" s="2"/>
      </tp>
      <tp t="s">
        <v>#N/A N/A</v>
        <stp/>
        <stp>BDH|945658455410154939</stp>
        <tr r="C51" s="2"/>
      </tp>
      <tp t="s">
        <v>#N/A N/A</v>
        <stp/>
        <stp>BDH|573555142763075843</stp>
        <tr r="V39" s="2"/>
      </tp>
      <tp t="s">
        <v>#N/A N/A</v>
        <stp/>
        <stp>BDH|441125006743304800</stp>
        <tr r="AC61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2"/>
  <sheetViews>
    <sheetView tabSelected="1" workbookViewId="0"/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6" t="s">
        <v>0</v>
      </c>
      <c r="B6" s="6" t="s">
        <v>67</v>
      </c>
      <c r="C6" s="16" cm="1">
        <f t="array" ref="C6">_xll.BDH("PCAR US Equity","SALES_REV_TURN","FQ1 2019","FQ1 2019","Currency=USD","Period=FQ","BEST_FPERIOD_OVERRIDE=FQ","FILING_STATUS=MR","SCALING_FORMAT=MLN","FA_ADJUSTED=Adjusted","Sort=A","Dates=H","DateFormat=P","Fill=—","Direction=H","UseDPDF=Y")</f>
        <v>6487.6</v>
      </c>
      <c r="D6" s="16" cm="1">
        <f t="array" ref="D6">_xll.BDH("PCAR US Equity","SALES_REV_TURN","FQ2 2019","FQ2 2019","Currency=USD","Period=FQ","BEST_FPERIOD_OVERRIDE=FQ","FILING_STATUS=MR","SCALING_FORMAT=MLN","FA_ADJUSTED=Adjusted","Sort=A","Dates=H","DateFormat=P","Fill=—","Direction=H","UseDPDF=Y")</f>
        <v>6627.9</v>
      </c>
      <c r="E6" s="16" cm="1">
        <f t="array" ref="E6">_xll.BDH("PCAR US Equity","SALES_REV_TURN","FQ3 2019","FQ3 2019","Currency=USD","Period=FQ","BEST_FPERIOD_OVERRIDE=FQ","FILING_STATUS=MR","SCALING_FORMAT=MLN","FA_ADJUSTED=Adjusted","Sort=A","Dates=H","DateFormat=P","Fill=—","Direction=H","UseDPDF=Y")</f>
        <v>6367</v>
      </c>
      <c r="F6" s="16" cm="1">
        <f t="array" ref="F6">_xll.BDH("PCAR US Equity","SALES_REV_TURN","FQ4 2019","FQ4 2019","Currency=USD","Period=FQ","BEST_FPERIOD_OVERRIDE=FQ","FILING_STATUS=MR","SCALING_FORMAT=MLN","FA_ADJUSTED=Adjusted","Sort=A","Dates=H","DateFormat=P","Fill=—","Direction=H","UseDPDF=Y")</f>
        <v>6117.2</v>
      </c>
      <c r="G6" s="16" cm="1">
        <f t="array" ref="G6">_xll.BDH("PCAR US Equity","SALES_REV_TURN","FQ1 2020","FQ1 2020","Currency=USD","Period=FQ","BEST_FPERIOD_OVERRIDE=FQ","FILING_STATUS=MR","SCALING_FORMAT=MLN","FA_ADJUSTED=Adjusted","Sort=A","Dates=H","DateFormat=P","Fill=—","Direction=H","UseDPDF=Y")</f>
        <v>5161.7</v>
      </c>
      <c r="H6" s="16" cm="1">
        <f t="array" ref="H6">_xll.BDH("PCAR US Equity","SALES_REV_TURN","FQ2 2020","FQ2 2020","Currency=USD","Period=FQ","BEST_FPERIOD_OVERRIDE=FQ","FILING_STATUS=MR","SCALING_FORMAT=MLN","FA_ADJUSTED=Adjusted","Sort=A","Dates=H","DateFormat=P","Fill=—","Direction=H","UseDPDF=Y")</f>
        <v>3062.2</v>
      </c>
      <c r="I6" s="16" cm="1">
        <f t="array" ref="I6">_xll.BDH("PCAR US Equity","SALES_REV_TURN","FQ3 2020","FQ3 2020","Currency=USD","Period=FQ","BEST_FPERIOD_OVERRIDE=FQ","FILING_STATUS=MR","SCALING_FORMAT=MLN","FA_ADJUSTED=Adjusted","Sort=A","Dates=H","DateFormat=P","Fill=—","Direction=H","UseDPDF=Y")</f>
        <v>4936</v>
      </c>
      <c r="J6" s="16" cm="1">
        <f t="array" ref="J6">_xll.BDH("PCAR US Equity","SALES_REV_TURN","FQ4 2020","FQ4 2020","Currency=USD","Period=FQ","BEST_FPERIOD_OVERRIDE=FQ","FILING_STATUS=MR","SCALING_FORMAT=MLN","FA_ADJUSTED=Adjusted","Sort=A","Dates=H","DateFormat=P","Fill=—","Direction=H","UseDPDF=Y")</f>
        <v>5568.6</v>
      </c>
      <c r="K6" s="16" cm="1">
        <f t="array" ref="K6">_xll.BDH("PCAR US Equity","SALES_REV_TURN","FQ1 2021","FQ1 2021","Currency=USD","Period=FQ","BEST_FPERIOD_OVERRIDE=FQ","FILING_STATUS=MR","SCALING_FORMAT=MLN","FA_ADJUSTED=Adjusted","Sort=A","Dates=H","DateFormat=P","Fill=—","Direction=H","UseDPDF=Y")</f>
        <v>5845.5</v>
      </c>
      <c r="L6" s="16" cm="1">
        <f t="array" ref="L6">_xll.BDH("PCAR US Equity","SALES_REV_TURN","FQ2 2021","FQ2 2021","Currency=USD","Period=FQ","BEST_FPERIOD_OVERRIDE=FQ","FILING_STATUS=MR","SCALING_FORMAT=MLN","FA_ADJUSTED=Adjusted","Sort=A","Dates=H","DateFormat=P","Fill=—","Direction=H","UseDPDF=Y")</f>
        <v>5843.9</v>
      </c>
      <c r="M6" s="16" cm="1">
        <f t="array" ref="M6">_xll.BDH("PCAR US Equity","SALES_REV_TURN","FQ3 2021","FQ3 2021","Currency=USD","Period=FQ","BEST_FPERIOD_OVERRIDE=FQ","FILING_STATUS=MR","SCALING_FORMAT=MLN","FA_ADJUSTED=Adjusted","Sort=A","Dates=H","DateFormat=P","Fill=—","Direction=H","UseDPDF=Y")</f>
        <v>5146.8</v>
      </c>
      <c r="N6" s="16" cm="1">
        <f t="array" ref="N6">_xll.BDH("PCAR US Equity","SALES_REV_TURN","FQ4 2021","FQ4 2021","Currency=USD","Period=FQ","BEST_FPERIOD_OVERRIDE=FQ","FILING_STATUS=MR","SCALING_FORMAT=MLN","FA_ADJUSTED=Adjusted","Sort=A","Dates=H","DateFormat=P","Fill=—","Direction=H","UseDPDF=Y")</f>
        <v>6686.1</v>
      </c>
      <c r="O6" s="16" cm="1">
        <f t="array" ref="O6">_xll.BDH("PCAR US Equity","SALES_REV_TURN","FQ1 2022","FQ1 2022","Currency=USD","Period=FQ","BEST_FPERIOD_OVERRIDE=FQ","FILING_STATUS=MR","SCALING_FORMAT=MLN","FA_ADJUSTED=Adjusted","Sort=A","Dates=H","DateFormat=P","Fill=—","Direction=H","UseDPDF=Y")</f>
        <v>6472.6</v>
      </c>
      <c r="P6" s="16" cm="1">
        <f t="array" ref="P6">_xll.BDH("PCAR US Equity","SALES_REV_TURN","FQ2 2022","FQ2 2022","Currency=USD","Period=FQ","BEST_FPERIOD_OVERRIDE=FQ","FILING_STATUS=MR","SCALING_FORMAT=MLN","FA_ADJUSTED=Adjusted","Sort=A","Dates=H","DateFormat=P","Fill=—","Direction=H","UseDPDF=Y")</f>
        <v>7158.7</v>
      </c>
      <c r="Q6" s="16" cm="1">
        <f t="array" ref="Q6">_xll.BDH("PCAR US Equity","SALES_REV_TURN","FQ3 2022","FQ3 2022","Currency=USD","Period=FQ","BEST_FPERIOD_OVERRIDE=FQ","FILING_STATUS=MR","SCALING_FORMAT=MLN","FA_ADJUSTED=Adjusted","Sort=A","Dates=H","DateFormat=P","Fill=—","Direction=H","UseDPDF=Y")</f>
        <v>7058.9</v>
      </c>
      <c r="R6" s="16" cm="1">
        <f t="array" ref="R6">_xll.BDH("PCAR US Equity","SALES_REV_TURN","FQ4 2022","FQ4 2022","Currency=USD","Period=FQ","BEST_FPERIOD_OVERRIDE=FQ","FILING_STATUS=MR","SCALING_FORMAT=MLN","FA_ADJUSTED=Adjusted","Sort=A","Dates=H","DateFormat=P","Fill=—","Direction=H","UseDPDF=Y")</f>
        <v>8129.5</v>
      </c>
      <c r="S6" s="16" cm="1">
        <f t="array" ref="S6">_xll.BDH("PCAR US Equity","SALES_REV_TURN","FQ1 2023","FQ1 2023","Currency=USD","Period=FQ","BEST_FPERIOD_OVERRIDE=FQ","FILING_STATUS=MR","SCALING_FORMAT=MLN","FA_ADJUSTED=Adjusted","Sort=A","Dates=H","DateFormat=P","Fill=—","Direction=H","UseDPDF=Y")</f>
        <v>8473.2999999999993</v>
      </c>
      <c r="T6" s="16" cm="1">
        <f t="array" ref="T6">_xll.BDH("PCAR US Equity","SALES_REV_TURN","FQ2 2023","FQ2 2023","Currency=USD","Period=FQ","BEST_FPERIOD_OVERRIDE=FQ","FILING_STATUS=MR","SCALING_FORMAT=MLN","FA_ADJUSTED=Adjusted","Sort=A","Dates=H","DateFormat=P","Fill=—","Direction=H","UseDPDF=Y")</f>
        <v>8881.1</v>
      </c>
      <c r="U6" s="16" cm="1">
        <f t="array" ref="U6">_xll.BDH("PCAR US Equity","SALES_REV_TURN","FQ3 2023","FQ3 2023","Currency=USD","Period=FQ","BEST_FPERIOD_OVERRIDE=FQ","FILING_STATUS=MR","SCALING_FORMAT=MLN","FA_ADJUSTED=Adjusted","Sort=A","Dates=H","DateFormat=P","Fill=—","Direction=H","UseDPDF=Y")</f>
        <v>8696.4</v>
      </c>
      <c r="V6" s="16" cm="1">
        <f t="array" ref="V6">_xll.BDH("PCAR US Equity","SALES_REV_TURN","FQ4 2023","FQ4 2023","Currency=USD","Period=FQ","BEST_FPERIOD_OVERRIDE=FQ","FILING_STATUS=MR","SCALING_FORMAT=MLN","FA_ADJUSTED=Adjusted","Sort=A","Dates=H","DateFormat=P","Fill=—","Direction=H","UseDPDF=Y")</f>
        <v>9076.6</v>
      </c>
      <c r="W6" s="16" cm="1">
        <f t="array" ref="W6">_xll.BDH("PCAR US Equity","SALES_REV_TURN","FQ1 2024","FQ1 2024","Currency=USD","Period=FQ","BEST_FPERIOD_OVERRIDE=FQ","FILING_STATUS=MR","SCALING_FORMAT=MLN","FA_ADJUSTED=Adjusted","Sort=A","Dates=H","DateFormat=P","Fill=—","Direction=H","UseDPDF=Y")</f>
        <v>8744.2999999999993</v>
      </c>
      <c r="X6" s="16" cm="1">
        <f t="array" ref="X6">_xll.BDH("PCAR US Equity","SALES_REV_TURN","FQ2 2024","FQ2 2024","Currency=USD","Period=FQ","BEST_FPERIOD_OVERRIDE=FQ","FILING_STATUS=MR","SCALING_FORMAT=MLN","FA_ADJUSTED=Adjusted","Sort=A","Dates=H","DateFormat=P","Fill=—","Direction=H","UseDPDF=Y")</f>
        <v>8772.1</v>
      </c>
      <c r="Y6" s="16" cm="1">
        <f t="array" ref="Y6">_xll.BDH("PCAR US Equity","SALES_REV_TURN","FQ3 2024","FQ3 2024","Currency=USD","Period=FQ","BEST_FPERIOD_OVERRIDE=FQ","FILING_STATUS=MR","SCALING_FORMAT=MLN","FA_ADJUSTED=Adjusted","Sort=A","Dates=H","DateFormat=P","Fill=—","Direction=H","UseDPDF=Y")</f>
        <v>8239.9</v>
      </c>
      <c r="Z6" s="16" cm="1">
        <f t="array" ref="Z6">_xll.BDH("PCAR US Equity","SALES_REV_TURN","FQ4 2024","FQ4 2024","Currency=USD","Period=FQ","BEST_FPERIOD_OVERRIDE=FQ","FILING_STATUS=MR","SCALING_FORMAT=MLN","FA_ADJUSTED=Adjusted","Sort=A","Dates=H","DateFormat=P","Fill=—","Direction=H","UseDPDF=Y")</f>
        <v>7907.5</v>
      </c>
      <c r="AA6" s="16" cm="1">
        <f t="array" ref="AA6">_xll.BDH("PCAR US Equity","SALES_REV_TURN","FQ1 2025","FQ1 2025","Currency=USD","Period=FQ","BEST_FPERIOD_OVERRIDE=FQ","FILING_STATUS=MR","SCALING_FORMAT=MLN","FA_ADJUSTED=Adjusted","Sort=A","Dates=H","DateFormat=P","Fill=—","Direction=H","UseDPDF=Y")</f>
        <v>7441.7</v>
      </c>
      <c r="AB6" s="16" cm="1">
        <f t="array" ref="AB6">_xll.BDH("PCAR US Equity","SALES_REV_TURN","FQ2 2025","FQ2 2025","Currency=USD","Period=FQ","BEST_FPERIOD_OVERRIDE=FQ","FILING_STATUS=MR","SCALING_FORMAT=MLN","FA_ADJUSTED=Adjusted","Sort=A","Dates=H","DateFormat=P","Fill=—","Direction=H","UseDPDF=Y")</f>
        <v>7510.5</v>
      </c>
      <c r="AC6" s="16" cm="1">
        <f t="array" ref="AC6">_xll.BDH("PCAR US Equity","SALES_REV_TURN","FQ3 2025","FQ3 2025","Currency=USD","Period=FQ","BEST_FPERIOD_OVERRIDE=FQ","FILING_STATUS=MR","SCALING_FORMAT=MLN","FA_ADJUSTED=Adjusted","Sort=A","Dates=H","DateFormat=P","Fill=—","Direction=H","UseDPDF=Y")</f>
        <v>6671.8</v>
      </c>
      <c r="AD6" s="16" cm="1">
        <f t="array" ref="AD6">_xll.BDH("PCAR US Equity","SALES_REV_TURN","FQ4 2025","FQ4 2025","Currency=USD","Period=FQ","BEST_FPERIOD_OVERRIDE=FQ","FILING_STATUS=MR","SCALING_FORMAT=MLN","FA_ADJUSTED=Adjusted","Sort=A","Dates=H","DateFormat=P","Fill=—","Direction=H","UseDPDF=Y")</f>
        <v>6820.8</v>
      </c>
      <c r="AE6" s="16">
        <v>6471.6363636363603</v>
      </c>
      <c r="AF6" s="16">
        <v>7016.1818181818198</v>
      </c>
    </row>
    <row r="7" spans="1:32" x14ac:dyDescent="0.25">
      <c r="A7" s="10" t="s">
        <v>68</v>
      </c>
      <c r="B7" s="10" t="s">
        <v>69</v>
      </c>
      <c r="C7" s="13" cm="1">
        <f t="array" ref="C7">_xll.BDH("PCAR US Equity","IS_SALES_AND_SERVICES_REVENUES","FQ1 2019","FQ1 2019","Currency=USD","Period=FQ","BEST_FPERIOD_OVERRIDE=FQ","FILING_STATUS=MR","SCALING_FORMAT=MLN","FA_ADJUSTED=Adjusted","Sort=A","Dates=H","DateFormat=P","Fill=—","Direction=H","UseDPDF=Y")</f>
        <v>6138.1</v>
      </c>
      <c r="D7" s="13" cm="1">
        <f t="array" ref="D7">_xll.BDH("PCAR US Equity","IS_SALES_AND_SERVICES_REVENUES","FQ2 2019","FQ2 2019","Currency=USD","Period=FQ","BEST_FPERIOD_OVERRIDE=FQ","FILING_STATUS=MR","SCALING_FORMAT=MLN","FA_ADJUSTED=Adjusted","Sort=A","Dates=H","DateFormat=P","Fill=—","Direction=H","UseDPDF=Y")</f>
        <v>6266.5</v>
      </c>
      <c r="E7" s="13" cm="1">
        <f t="array" ref="E7">_xll.BDH("PCAR US Equity","IS_SALES_AND_SERVICES_REVENUES","FQ3 2019","FQ3 2019","Currency=USD","Period=FQ","BEST_FPERIOD_OVERRIDE=FQ","FILING_STATUS=MR","SCALING_FORMAT=MLN","FA_ADJUSTED=Adjusted","Sort=A","Dates=H","DateFormat=P","Fill=—","Direction=H","UseDPDF=Y")</f>
        <v>6004.2</v>
      </c>
      <c r="F7" s="13" cm="1">
        <f t="array" ref="F7">_xll.BDH("PCAR US Equity","IS_SALES_AND_SERVICES_REVENUES","FQ4 2019","FQ4 2019","Currency=USD","Period=FQ","BEST_FPERIOD_OVERRIDE=FQ","FILING_STATUS=MR","SCALING_FORMAT=MLN","FA_ADJUSTED=Adjusted","Sort=A","Dates=H","DateFormat=P","Fill=—","Direction=H","UseDPDF=Y")</f>
        <v>5710.9</v>
      </c>
      <c r="G7" s="13" cm="1">
        <f t="array" ref="G7">_xll.BDH("PCAR US Equity","IS_SALES_AND_SERVICES_REVENUES","FQ1 2020","FQ1 2020","Currency=USD","Period=FQ","BEST_FPERIOD_OVERRIDE=FQ","FILING_STATUS=MR","SCALING_FORMAT=MLN","FA_ADJUSTED=Adjusted","Sort=A","Dates=H","DateFormat=P","Fill=—","Direction=H","UseDPDF=Y")</f>
        <v>4778</v>
      </c>
      <c r="H7" s="13" cm="1">
        <f t="array" ref="H7">_xll.BDH("PCAR US Equity","IS_SALES_AND_SERVICES_REVENUES","FQ2 2020","FQ2 2020","Currency=USD","Period=FQ","BEST_FPERIOD_OVERRIDE=FQ","FILING_STATUS=MR","SCALING_FORMAT=MLN","FA_ADJUSTED=Adjusted","Sort=A","Dates=H","DateFormat=P","Fill=—","Direction=H","UseDPDF=Y")</f>
        <v>2701.9</v>
      </c>
      <c r="I7" s="13" cm="1">
        <f t="array" ref="I7">_xll.BDH("PCAR US Equity","IS_SALES_AND_SERVICES_REVENUES","FQ3 2020","FQ3 2020","Currency=USD","Period=FQ","BEST_FPERIOD_OVERRIDE=FQ","FILING_STATUS=MR","SCALING_FORMAT=MLN","FA_ADJUSTED=Adjusted","Sort=A","Dates=H","DateFormat=P","Fill=—","Direction=H","UseDPDF=Y")</f>
        <v>4538.3999999999996</v>
      </c>
      <c r="J7" s="13" cm="1">
        <f t="array" ref="J7">_xll.BDH("PCAR US Equity","IS_SALES_AND_SERVICES_REVENUES","FQ4 2020","FQ4 2020","Currency=USD","Period=FQ","BEST_FPERIOD_OVERRIDE=FQ","FILING_STATUS=MR","SCALING_FORMAT=MLN","FA_ADJUSTED=Adjusted","Sort=A","Dates=H","DateFormat=P","Fill=—","Direction=H","UseDPDF=Y")</f>
        <v>5136</v>
      </c>
      <c r="K7" s="13" cm="1">
        <f t="array" ref="K7">_xll.BDH("PCAR US Equity","IS_SALES_AND_SERVICES_REVENUES","FQ1 2021","FQ1 2021","Currency=USD","Period=FQ","BEST_FPERIOD_OVERRIDE=FQ","FILING_STATUS=MR","SCALING_FORMAT=MLN","FA_ADJUSTED=Adjusted","Sort=A","Dates=H","DateFormat=P","Fill=—","Direction=H","UseDPDF=Y")</f>
        <v>5413.5</v>
      </c>
      <c r="L7" s="13" cm="1">
        <f t="array" ref="L7">_xll.BDH("PCAR US Equity","IS_SALES_AND_SERVICES_REVENUES","FQ2 2021","FQ2 2021","Currency=USD","Period=FQ","BEST_FPERIOD_OVERRIDE=FQ","FILING_STATUS=MR","SCALING_FORMAT=MLN","FA_ADJUSTED=Adjusted","Sort=A","Dates=H","DateFormat=P","Fill=—","Direction=H","UseDPDF=Y")</f>
        <v>5387.6</v>
      </c>
      <c r="M7" s="13" cm="1">
        <f t="array" ref="M7">_xll.BDH("PCAR US Equity","IS_SALES_AND_SERVICES_REVENUES","FQ3 2021","FQ3 2021","Currency=USD","Period=FQ","BEST_FPERIOD_OVERRIDE=FQ","FILING_STATUS=MR","SCALING_FORMAT=MLN","FA_ADJUSTED=Adjusted","Sort=A","Dates=H","DateFormat=P","Fill=—","Direction=H","UseDPDF=Y")</f>
        <v>4737.7</v>
      </c>
      <c r="N7" s="13" cm="1">
        <f t="array" ref="N7">_xll.BDH("PCAR US Equity","IS_SALES_AND_SERVICES_REVENUES","FQ4 2021","FQ4 2021","Currency=USD","Period=FQ","BEST_FPERIOD_OVERRIDE=FQ","FILING_STATUS=MR","SCALING_FORMAT=MLN","FA_ADJUSTED=Adjusted","Sort=A","Dates=H","DateFormat=P","Fill=—","Direction=H","UseDPDF=Y")</f>
        <v>6295.7</v>
      </c>
      <c r="O7" s="13" cm="1">
        <f t="array" ref="O7">_xll.BDH("PCAR US Equity","IS_SALES_AND_SERVICES_REVENUES","FQ1 2022","FQ1 2022","Currency=USD","Period=FQ","BEST_FPERIOD_OVERRIDE=FQ","FILING_STATUS=MR","SCALING_FORMAT=MLN","FA_ADJUSTED=Adjusted","Sort=A","Dates=H","DateFormat=P","Fill=—","Direction=H","UseDPDF=Y")</f>
        <v>6106.4</v>
      </c>
      <c r="P7" s="13" cm="1">
        <f t="array" ref="P7">_xll.BDH("PCAR US Equity","IS_SALES_AND_SERVICES_REVENUES","FQ2 2022","FQ2 2022","Currency=USD","Period=FQ","BEST_FPERIOD_OVERRIDE=FQ","FILING_STATUS=MR","SCALING_FORMAT=MLN","FA_ADJUSTED=Adjusted","Sort=A","Dates=H","DateFormat=P","Fill=—","Direction=H","UseDPDF=Y")</f>
        <v>6786.2</v>
      </c>
      <c r="Q7" s="13" cm="1">
        <f t="array" ref="Q7">_xll.BDH("PCAR US Equity","IS_SALES_AND_SERVICES_REVENUES","FQ3 2022","FQ3 2022","Currency=USD","Period=FQ","BEST_FPERIOD_OVERRIDE=FQ","FILING_STATUS=MR","SCALING_FORMAT=MLN","FA_ADJUSTED=Adjusted","Sort=A","Dates=H","DateFormat=P","Fill=—","Direction=H","UseDPDF=Y")</f>
        <v>6687</v>
      </c>
      <c r="R7" s="13" cm="1">
        <f t="array" ref="R7">_xll.BDH("PCAR US Equity","IS_SALES_AND_SERVICES_REVENUES","FQ4 2022","FQ4 2022","Currency=USD","Period=FQ","BEST_FPERIOD_OVERRIDE=FQ","FILING_STATUS=MR","SCALING_FORMAT=MLN","FA_ADJUSTED=Adjusted","Sort=A","Dates=H","DateFormat=P","Fill=—","Direction=H","UseDPDF=Y")</f>
        <v>7734.7</v>
      </c>
      <c r="S7" s="13" cm="1">
        <f t="array" ref="S7">_xll.BDH("PCAR US Equity","IS_SALES_AND_SERVICES_REVENUES","FQ1 2023","FQ1 2023","Currency=USD","Period=FQ","BEST_FPERIOD_OVERRIDE=FQ","FILING_STATUS=MR","SCALING_FORMAT=MLN","FA_ADJUSTED=Adjusted","Sort=A","Dates=H","DateFormat=P","Fill=—","Direction=H","UseDPDF=Y")</f>
        <v>8050.1</v>
      </c>
      <c r="T7" s="13" cm="1">
        <f t="array" ref="T7">_xll.BDH("PCAR US Equity","IS_SALES_AND_SERVICES_REVENUES","FQ2 2023","FQ2 2023","Currency=USD","Period=FQ","BEST_FPERIOD_OVERRIDE=FQ","FILING_STATUS=MR","SCALING_FORMAT=MLN","FA_ADJUSTED=Adjusted","Sort=A","Dates=H","DateFormat=P","Fill=—","Direction=H","UseDPDF=Y")</f>
        <v>8441.2999999999993</v>
      </c>
      <c r="U7" s="13" cm="1">
        <f t="array" ref="U7">_xll.BDH("PCAR US Equity","IS_SALES_AND_SERVICES_REVENUES","FQ3 2023","FQ3 2023","Currency=USD","Period=FQ","BEST_FPERIOD_OVERRIDE=FQ","FILING_STATUS=MR","SCALING_FORMAT=MLN","FA_ADJUSTED=Adjusted","Sort=A","Dates=H","DateFormat=P","Fill=—","Direction=H","UseDPDF=Y")</f>
        <v>8232.2999999999993</v>
      </c>
      <c r="V7" s="13" cm="1">
        <f t="array" ref="V7">_xll.BDH("PCAR US Equity","IS_SALES_AND_SERVICES_REVENUES","FQ4 2023","FQ4 2023","Currency=USD","Period=FQ","BEST_FPERIOD_OVERRIDE=FQ","FILING_STATUS=MR","SCALING_FORMAT=MLN","FA_ADJUSTED=Adjusted","Sort=A","Dates=H","DateFormat=P","Fill=—","Direction=H","UseDPDF=Y")</f>
        <v>8591.7999999999993</v>
      </c>
      <c r="W7" s="13" cm="1">
        <f t="array" ref="W7">_xll.BDH("PCAR US Equity","IS_SALES_AND_SERVICES_REVENUES","FQ1 2024","FQ1 2024","Currency=USD","Period=FQ","BEST_FPERIOD_OVERRIDE=FQ","FILING_STATUS=MR","SCALING_FORMAT=MLN","FA_ADJUSTED=Adjusted","Sort=A","Dates=H","DateFormat=P","Fill=—","Direction=H","UseDPDF=Y")</f>
        <v>8235</v>
      </c>
      <c r="X7" s="13" cm="1">
        <f t="array" ref="X7">_xll.BDH("PCAR US Equity","IS_SALES_AND_SERVICES_REVENUES","FQ2 2024","FQ2 2024","Currency=USD","Period=FQ","BEST_FPERIOD_OVERRIDE=FQ","FILING_STATUS=MR","SCALING_FORMAT=MLN","FA_ADJUSTED=Adjusted","Sort=A","Dates=H","DateFormat=P","Fill=—","Direction=H","UseDPDF=Y")</f>
        <v>8262.2999999999993</v>
      </c>
      <c r="Y7" s="13" cm="1">
        <f t="array" ref="Y7">_xll.BDH("PCAR US Equity","IS_SALES_AND_SERVICES_REVENUES","FQ3 2024","FQ3 2024","Currency=USD","Period=FQ","BEST_FPERIOD_OVERRIDE=FQ","FILING_STATUS=MR","SCALING_FORMAT=MLN","FA_ADJUSTED=Adjusted","Sort=A","Dates=H","DateFormat=P","Fill=—","Direction=H","UseDPDF=Y")</f>
        <v>7703.8</v>
      </c>
      <c r="Z7" s="13" cm="1">
        <f t="array" ref="Z7">_xll.BDH("PCAR US Equity","IS_SALES_AND_SERVICES_REVENUES","FQ4 2024","FQ4 2024","Currency=USD","Period=FQ","BEST_FPERIOD_OVERRIDE=FQ","FILING_STATUS=MR","SCALING_FORMAT=MLN","FA_ADJUSTED=Adjusted","Sort=A","Dates=H","DateFormat=P","Fill=—","Direction=H","UseDPDF=Y")</f>
        <v>7363.2</v>
      </c>
      <c r="AA7" s="13" cm="1">
        <f t="array" ref="AA7">_xll.BDH("PCAR US Equity","IS_SALES_AND_SERVICES_REVENUES","FQ1 2025","FQ1 2025","Currency=USD","Period=FQ","BEST_FPERIOD_OVERRIDE=FQ","FILING_STATUS=MR","SCALING_FORMAT=MLN","FA_ADJUSTED=Adjusted","Sort=A","Dates=H","DateFormat=P","Fill=—","Direction=H","UseDPDF=Y")</f>
        <v>6913.7</v>
      </c>
      <c r="AB7" s="13" cm="1">
        <f t="array" ref="AB7">_xll.BDH("PCAR US Equity","IS_SALES_AND_SERVICES_REVENUES","FQ2 2025","FQ2 2025","Currency=USD","Period=FQ","BEST_FPERIOD_OVERRIDE=FQ","FILING_STATUS=MR","SCALING_FORMAT=MLN","FA_ADJUSTED=Adjusted","Sort=A","Dates=H","DateFormat=P","Fill=—","Direction=H","UseDPDF=Y")</f>
        <v>6962.8</v>
      </c>
      <c r="AC7" s="13" cm="1">
        <f t="array" ref="AC7">_xll.BDH("PCAR US Equity","IS_SALES_AND_SERVICES_REVENUES","FQ3 2025","FQ3 2025","Currency=USD","Period=FQ","BEST_FPERIOD_OVERRIDE=FQ","FILING_STATUS=MR","SCALING_FORMAT=MLN","FA_ADJUSTED=Adjusted","Sort=A","Dates=H","DateFormat=P","Fill=—","Direction=H","UseDPDF=Y")</f>
        <v>6106.5</v>
      </c>
      <c r="AD7" s="13" cm="1">
        <f t="array" ref="AD7">_xll.BDH("PCAR US Equity","IS_SALES_AND_SERVICES_REVENUES","FQ4 2025","FQ4 2025","Currency=USD","Period=FQ","BEST_FPERIOD_OVERRIDE=FQ","FILING_STATUS=MR","SCALING_FORMAT=MLN","FA_ADJUSTED=Adjusted","Sort=A","Dates=H","DateFormat=P","Fill=—","Direction=H","UseDPDF=Y")</f>
        <v>6252.1</v>
      </c>
      <c r="AE7" s="13"/>
      <c r="AF7" s="13"/>
    </row>
    <row r="8" spans="1:32" x14ac:dyDescent="0.25">
      <c r="A8" s="10" t="s">
        <v>70</v>
      </c>
      <c r="B8" s="10" t="s">
        <v>71</v>
      </c>
      <c r="C8" s="13" cm="1">
        <f t="array" ref="C8">_xll.BDH("PCAR US Equity","IS_ADJUSTED_FIN_SUBSIDIARY_REV","FQ1 2019","FQ1 2019","Currency=USD","Period=FQ","BEST_FPERIOD_OVERRIDE=FQ","FILING_STATUS=MR","SCALING_FORMAT=MLN","Sort=A","Dates=H","DateFormat=P","Fill=—","Direction=H","UseDPDF=Y")</f>
        <v>349.5</v>
      </c>
      <c r="D8" s="13" cm="1">
        <f t="array" ref="D8">_xll.BDH("PCAR US Equity","IS_ADJUSTED_FIN_SUBSIDIARY_REV","FQ2 2019","FQ2 2019","Currency=USD","Period=FQ","BEST_FPERIOD_OVERRIDE=FQ","FILING_STATUS=MR","SCALING_FORMAT=MLN","Sort=A","Dates=H","DateFormat=P","Fill=—","Direction=H","UseDPDF=Y")</f>
        <v>361.4</v>
      </c>
      <c r="E8" s="13" cm="1">
        <f t="array" ref="E8">_xll.BDH("PCAR US Equity","IS_ADJUSTED_FIN_SUBSIDIARY_REV","FQ3 2019","FQ3 2019","Currency=USD","Period=FQ","BEST_FPERIOD_OVERRIDE=FQ","FILING_STATUS=MR","SCALING_FORMAT=MLN","Sort=A","Dates=H","DateFormat=P","Fill=—","Direction=H","UseDPDF=Y")</f>
        <v>362.8</v>
      </c>
      <c r="F8" s="13" cm="1">
        <f t="array" ref="F8">_xll.BDH("PCAR US Equity","IS_ADJUSTED_FIN_SUBSIDIARY_REV","FQ4 2019","FQ4 2019","Currency=USD","Period=FQ","BEST_FPERIOD_OVERRIDE=FQ","FILING_STATUS=MR","SCALING_FORMAT=MLN","Sort=A","Dates=H","DateFormat=P","Fill=—","Direction=H","UseDPDF=Y")</f>
        <v>406.3</v>
      </c>
      <c r="G8" s="13" cm="1">
        <f t="array" ref="G8">_xll.BDH("PCAR US Equity","IS_ADJUSTED_FIN_SUBSIDIARY_REV","FQ1 2020","FQ1 2020","Currency=USD","Period=FQ","BEST_FPERIOD_OVERRIDE=FQ","FILING_STATUS=MR","SCALING_FORMAT=MLN","Sort=A","Dates=H","DateFormat=P","Fill=—","Direction=H","UseDPDF=Y")</f>
        <v>383.7</v>
      </c>
      <c r="H8" s="13" cm="1">
        <f t="array" ref="H8">_xll.BDH("PCAR US Equity","IS_ADJUSTED_FIN_SUBSIDIARY_REV","FQ2 2020","FQ2 2020","Currency=USD","Period=FQ","BEST_FPERIOD_OVERRIDE=FQ","FILING_STATUS=MR","SCALING_FORMAT=MLN","Sort=A","Dates=H","DateFormat=P","Fill=—","Direction=H","UseDPDF=Y")</f>
        <v>360.3</v>
      </c>
      <c r="I8" s="13" cm="1">
        <f t="array" ref="I8">_xll.BDH("PCAR US Equity","IS_ADJUSTED_FIN_SUBSIDIARY_REV","FQ3 2020","FQ3 2020","Currency=USD","Period=FQ","BEST_FPERIOD_OVERRIDE=FQ","FILING_STATUS=MR","SCALING_FORMAT=MLN","Sort=A","Dates=H","DateFormat=P","Fill=—","Direction=H","UseDPDF=Y")</f>
        <v>397.6</v>
      </c>
      <c r="J8" s="13" cm="1">
        <f t="array" ref="J8">_xll.BDH("PCAR US Equity","IS_ADJUSTED_FIN_SUBSIDIARY_REV","FQ4 2020","FQ4 2020","Currency=USD","Period=FQ","BEST_FPERIOD_OVERRIDE=FQ","FILING_STATUS=MR","SCALING_FORMAT=MLN","Sort=A","Dates=H","DateFormat=P","Fill=—","Direction=H","UseDPDF=Y")</f>
        <v>432.6</v>
      </c>
      <c r="K8" s="13" cm="1">
        <f t="array" ref="K8">_xll.BDH("PCAR US Equity","IS_ADJUSTED_FIN_SUBSIDIARY_REV","FQ1 2021","FQ1 2021","Currency=USD","Period=FQ","BEST_FPERIOD_OVERRIDE=FQ","FILING_STATUS=MR","SCALING_FORMAT=MLN","Sort=A","Dates=H","DateFormat=P","Fill=—","Direction=H","UseDPDF=Y")</f>
        <v>432</v>
      </c>
      <c r="L8" s="13" cm="1">
        <f t="array" ref="L8">_xll.BDH("PCAR US Equity","IS_ADJUSTED_FIN_SUBSIDIARY_REV","FQ2 2021","FQ2 2021","Currency=USD","Period=FQ","BEST_FPERIOD_OVERRIDE=FQ","FILING_STATUS=MR","SCALING_FORMAT=MLN","Sort=A","Dates=H","DateFormat=P","Fill=—","Direction=H","UseDPDF=Y")</f>
        <v>456.3</v>
      </c>
      <c r="M8" s="13" cm="1">
        <f t="array" ref="M8">_xll.BDH("PCAR US Equity","IS_ADJUSTED_FIN_SUBSIDIARY_REV","FQ3 2021","FQ3 2021","Currency=USD","Period=FQ","BEST_FPERIOD_OVERRIDE=FQ","FILING_STATUS=MR","SCALING_FORMAT=MLN","Sort=A","Dates=H","DateFormat=P","Fill=—","Direction=H","UseDPDF=Y")</f>
        <v>409.1</v>
      </c>
      <c r="N8" s="13" cm="1">
        <f t="array" ref="N8">_xll.BDH("PCAR US Equity","IS_ADJUSTED_FIN_SUBSIDIARY_REV","FQ4 2021","FQ4 2021","Currency=USD","Period=FQ","BEST_FPERIOD_OVERRIDE=FQ","FILING_STATUS=MR","SCALING_FORMAT=MLN","Sort=A","Dates=H","DateFormat=P","Fill=—","Direction=H","UseDPDF=Y")</f>
        <v>390.4</v>
      </c>
      <c r="O8" s="13" cm="1">
        <f t="array" ref="O8">_xll.BDH("PCAR US Equity","IS_ADJUSTED_FIN_SUBSIDIARY_REV","FQ1 2022","FQ1 2022","Currency=USD","Period=FQ","BEST_FPERIOD_OVERRIDE=FQ","FILING_STATUS=MR","SCALING_FORMAT=MLN","Sort=A","Dates=H","DateFormat=P","Fill=—","Direction=H","UseDPDF=Y")</f>
        <v>366.2</v>
      </c>
      <c r="P8" s="13" cm="1">
        <f t="array" ref="P8">_xll.BDH("PCAR US Equity","IS_ADJUSTED_FIN_SUBSIDIARY_REV","FQ2 2022","FQ2 2022","Currency=USD","Period=FQ","BEST_FPERIOD_OVERRIDE=FQ","FILING_STATUS=MR","SCALING_FORMAT=MLN","Sort=A","Dates=H","DateFormat=P","Fill=—","Direction=H","UseDPDF=Y")</f>
        <v>372.5</v>
      </c>
      <c r="Q8" s="13" cm="1">
        <f t="array" ref="Q8">_xll.BDH("PCAR US Equity","IS_ADJUSTED_FIN_SUBSIDIARY_REV","FQ3 2022","FQ3 2022","Currency=USD","Period=FQ","BEST_FPERIOD_OVERRIDE=FQ","FILING_STATUS=MR","SCALING_FORMAT=MLN","Sort=A","Dates=H","DateFormat=P","Fill=—","Direction=H","UseDPDF=Y")</f>
        <v>371.9</v>
      </c>
      <c r="R8" s="13" cm="1">
        <f t="array" ref="R8">_xll.BDH("PCAR US Equity","IS_ADJUSTED_FIN_SUBSIDIARY_REV","FQ4 2022","FQ4 2022","Currency=USD","Period=FQ","BEST_FPERIOD_OVERRIDE=FQ","FILING_STATUS=MR","SCALING_FORMAT=MLN","Sort=A","Dates=H","DateFormat=P","Fill=—","Direction=H","UseDPDF=Y")</f>
        <v>394.8</v>
      </c>
      <c r="S8" s="13" cm="1">
        <f t="array" ref="S8">_xll.BDH("PCAR US Equity","IS_ADJUSTED_FIN_SUBSIDIARY_REV","FQ1 2023","FQ1 2023","Currency=USD","Period=FQ","BEST_FPERIOD_OVERRIDE=FQ","FILING_STATUS=MR","SCALING_FORMAT=MLN","Sort=A","Dates=H","DateFormat=P","Fill=—","Direction=H","UseDPDF=Y")</f>
        <v>423.2</v>
      </c>
      <c r="T8" s="13" cm="1">
        <f t="array" ref="T8">_xll.BDH("PCAR US Equity","IS_ADJUSTED_FIN_SUBSIDIARY_REV","FQ2 2023","FQ2 2023","Currency=USD","Period=FQ","BEST_FPERIOD_OVERRIDE=FQ","FILING_STATUS=MR","SCALING_FORMAT=MLN","Sort=A","Dates=H","DateFormat=P","Fill=—","Direction=H","UseDPDF=Y")</f>
        <v>439.8</v>
      </c>
      <c r="U8" s="13" cm="1">
        <f t="array" ref="U8">_xll.BDH("PCAR US Equity","IS_ADJUSTED_FIN_SUBSIDIARY_REV","FQ3 2023","FQ3 2023","Currency=USD","Period=FQ","BEST_FPERIOD_OVERRIDE=FQ","FILING_STATUS=MR","SCALING_FORMAT=MLN","Sort=A","Dates=H","DateFormat=P","Fill=—","Direction=H","UseDPDF=Y")</f>
        <v>464.1</v>
      </c>
      <c r="V8" s="13" cm="1">
        <f t="array" ref="V8">_xll.BDH("PCAR US Equity","IS_ADJUSTED_FIN_SUBSIDIARY_REV","FQ4 2023","FQ4 2023","Currency=USD","Period=FQ","BEST_FPERIOD_OVERRIDE=FQ","FILING_STATUS=MR","SCALING_FORMAT=MLN","Sort=A","Dates=H","DateFormat=P","Fill=—","Direction=H","UseDPDF=Y")</f>
        <v>484.8</v>
      </c>
      <c r="W8" s="13" cm="1">
        <f t="array" ref="W8">_xll.BDH("PCAR US Equity","IS_ADJUSTED_FIN_SUBSIDIARY_REV","FQ1 2024","FQ1 2024","Currency=USD","Period=FQ","BEST_FPERIOD_OVERRIDE=FQ","FILING_STATUS=MR","SCALING_FORMAT=MLN","Sort=A","Dates=H","DateFormat=P","Fill=—","Direction=H","UseDPDF=Y")</f>
        <v>509.3</v>
      </c>
      <c r="X8" s="13" cm="1">
        <f t="array" ref="X8">_xll.BDH("PCAR US Equity","IS_ADJUSTED_FIN_SUBSIDIARY_REV","FQ2 2024","FQ2 2024","Currency=USD","Period=FQ","BEST_FPERIOD_OVERRIDE=FQ","FILING_STATUS=MR","SCALING_FORMAT=MLN","Sort=A","Dates=H","DateFormat=P","Fill=—","Direction=H","UseDPDF=Y")</f>
        <v>509.8</v>
      </c>
      <c r="Y8" s="13" cm="1">
        <f t="array" ref="Y8">_xll.BDH("PCAR US Equity","IS_ADJUSTED_FIN_SUBSIDIARY_REV","FQ3 2024","FQ3 2024","Currency=USD","Period=FQ","BEST_FPERIOD_OVERRIDE=FQ","FILING_STATUS=MR","SCALING_FORMAT=MLN","Sort=A","Dates=H","DateFormat=P","Fill=—","Direction=H","UseDPDF=Y")</f>
        <v>536.1</v>
      </c>
      <c r="Z8" s="13" cm="1">
        <f t="array" ref="Z8">_xll.BDH("PCAR US Equity","IS_ADJUSTED_FIN_SUBSIDIARY_REV","FQ4 2024","FQ4 2024","Currency=USD","Period=FQ","BEST_FPERIOD_OVERRIDE=FQ","FILING_STATUS=MR","SCALING_FORMAT=MLN","Sort=A","Dates=H","DateFormat=P","Fill=—","Direction=H","UseDPDF=Y")</f>
        <v>544.29999999999995</v>
      </c>
      <c r="AA8" s="13" cm="1">
        <f t="array" ref="AA8">_xll.BDH("PCAR US Equity","IS_ADJUSTED_FIN_SUBSIDIARY_REV","FQ1 2025","FQ1 2025","Currency=USD","Period=FQ","BEST_FPERIOD_OVERRIDE=FQ","FILING_STATUS=MR","SCALING_FORMAT=MLN","Sort=A","Dates=H","DateFormat=P","Fill=—","Direction=H","UseDPDF=Y")</f>
        <v>528</v>
      </c>
      <c r="AB8" s="13" cm="1">
        <f t="array" ref="AB8">_xll.BDH("PCAR US Equity","IS_ADJUSTED_FIN_SUBSIDIARY_REV","FQ2 2025","FQ2 2025","Currency=USD","Period=FQ","BEST_FPERIOD_OVERRIDE=FQ","FILING_STATUS=MR","SCALING_FORMAT=MLN","Sort=A","Dates=H","DateFormat=P","Fill=—","Direction=H","UseDPDF=Y")</f>
        <v>547.70000000000005</v>
      </c>
      <c r="AC8" s="13" cm="1">
        <f t="array" ref="AC8">_xll.BDH("PCAR US Equity","IS_ADJUSTED_FIN_SUBSIDIARY_REV","FQ3 2025","FQ3 2025","Currency=USD","Period=FQ","BEST_FPERIOD_OVERRIDE=FQ","FILING_STATUS=MR","SCALING_FORMAT=MLN","Sort=A","Dates=H","DateFormat=P","Fill=—","Direction=H","UseDPDF=Y")</f>
        <v>565.29999999999995</v>
      </c>
      <c r="AD8" s="13" cm="1">
        <f t="array" ref="AD8">_xll.BDH("PCAR US Equity","IS_ADJUSTED_FIN_SUBSIDIARY_REV","FQ4 2025","FQ4 2025","Currency=USD","Period=FQ","BEST_FPERIOD_OVERRIDE=FQ","FILING_STATUS=MR","SCALING_FORMAT=MLN","Sort=A","Dates=H","DateFormat=P","Fill=—","Direction=H","UseDPDF=Y")</f>
        <v>568.70000000000005</v>
      </c>
      <c r="AE8" s="13"/>
      <c r="AF8" s="13"/>
    </row>
    <row r="9" spans="1:32" x14ac:dyDescent="0.25">
      <c r="A9" s="10" t="s">
        <v>72</v>
      </c>
      <c r="B9" s="10" t="s">
        <v>73</v>
      </c>
      <c r="C9" s="13" cm="1">
        <f t="array" ref="C9">_xll.BDH("PCAR US Equity","IS_COGS_TO_FE_AND_PP_AND_G","FQ1 2019","FQ1 2019","Currency=USD","Period=FQ","BEST_FPERIOD_OVERRIDE=FQ","FILING_STATUS=MR","SCALING_FORMAT=MLN","FA_ADJUSTED=Adjusted","Sort=A","Dates=H","DateFormat=P","Fill=—","Direction=H","UseDPDF=Y")</f>
        <v>5270.5</v>
      </c>
      <c r="D9" s="13" cm="1">
        <f t="array" ref="D9">_xll.BDH("PCAR US Equity","IS_COGS_TO_FE_AND_PP_AND_G","FQ2 2019","FQ2 2019","Currency=USD","Period=FQ","BEST_FPERIOD_OVERRIDE=FQ","FILING_STATUS=MR","SCALING_FORMAT=MLN","FA_ADJUSTED=Adjusted","Sort=A","Dates=H","DateFormat=P","Fill=—","Direction=H","UseDPDF=Y")</f>
        <v>5401.7</v>
      </c>
      <c r="E9" s="13" cm="1">
        <f t="array" ref="E9">_xll.BDH("PCAR US Equity","IS_COGS_TO_FE_AND_PP_AND_G","FQ3 2019","FQ3 2019","Currency=USD","Period=FQ","BEST_FPERIOD_OVERRIDE=FQ","FILING_STATUS=MR","SCALING_FORMAT=MLN","FA_ADJUSTED=Adjusted","Sort=A","Dates=H","DateFormat=P","Fill=—","Direction=H","UseDPDF=Y")</f>
        <v>5166.3999999999996</v>
      </c>
      <c r="F9" s="13" cm="1">
        <f t="array" ref="F9">_xll.BDH("PCAR US Equity","IS_COGS_TO_FE_AND_PP_AND_G","FQ4 2019","FQ4 2019","Currency=USD","Period=FQ","BEST_FPERIOD_OVERRIDE=FQ","FILING_STATUS=MR","SCALING_FORMAT=MLN","FA_ADJUSTED=Adjusted","Sort=A","Dates=H","DateFormat=P","Fill=—","Direction=H","UseDPDF=Y")</f>
        <v>4947.5</v>
      </c>
      <c r="G9" s="13" cm="1">
        <f t="array" ref="G9">_xll.BDH("PCAR US Equity","IS_COGS_TO_FE_AND_PP_AND_G","FQ1 2020","FQ1 2020","Currency=USD","Period=FQ","BEST_FPERIOD_OVERRIDE=FQ","FILING_STATUS=MR","SCALING_FORMAT=MLN","FA_ADJUSTED=Adjusted","Sort=A","Dates=H","DateFormat=P","Fill=—","Direction=H","UseDPDF=Y")</f>
        <v>4246</v>
      </c>
      <c r="H9" s="13" cm="1">
        <f t="array" ref="H9">_xll.BDH("PCAR US Equity","IS_COGS_TO_FE_AND_PP_AND_G","FQ2 2020","FQ2 2020","Currency=USD","Period=FQ","BEST_FPERIOD_OVERRIDE=FQ","FILING_STATUS=MR","SCALING_FORMAT=MLN","FA_ADJUSTED=Adjusted","Sort=A","Dates=H","DateFormat=P","Fill=—","Direction=H","UseDPDF=Y")</f>
        <v>2488.4</v>
      </c>
      <c r="I9" s="13" cm="1">
        <f t="array" ref="I9">_xll.BDH("PCAR US Equity","IS_COGS_TO_FE_AND_PP_AND_G","FQ3 2020","FQ3 2020","Currency=USD","Period=FQ","BEST_FPERIOD_OVERRIDE=FQ","FILING_STATUS=MR","SCALING_FORMAT=MLN","FA_ADJUSTED=Adjusted","Sort=A","Dates=H","DateFormat=P","Fill=—","Direction=H","UseDPDF=Y")</f>
        <v>4003.5</v>
      </c>
      <c r="J9" s="13" cm="1">
        <f t="array" ref="J9">_xll.BDH("PCAR US Equity","IS_COGS_TO_FE_AND_PP_AND_G","FQ4 2020","FQ4 2020","Currency=USD","Period=FQ","BEST_FPERIOD_OVERRIDE=FQ","FILING_STATUS=MR","SCALING_FORMAT=MLN","FA_ADJUSTED=Adjusted","Sort=A","Dates=H","DateFormat=P","Fill=—","Direction=H","UseDPDF=Y")</f>
        <v>4530.6000000000004</v>
      </c>
      <c r="K9" s="13" cm="1">
        <f t="array" ref="K9">_xll.BDH("PCAR US Equity","IS_COGS_TO_FE_AND_PP_AND_G","FQ1 2021","FQ1 2021","Currency=USD","Period=FQ","BEST_FPERIOD_OVERRIDE=FQ","FILING_STATUS=MR","SCALING_FORMAT=MLN","FA_ADJUSTED=Adjusted","Sort=A","Dates=H","DateFormat=P","Fill=—","Direction=H","UseDPDF=Y")</f>
        <v>4731.7</v>
      </c>
      <c r="L9" s="13" cm="1">
        <f t="array" ref="L9">_xll.BDH("PCAR US Equity","IS_COGS_TO_FE_AND_PP_AND_G","FQ2 2021","FQ2 2021","Currency=USD","Period=FQ","BEST_FPERIOD_OVERRIDE=FQ","FILING_STATUS=MR","SCALING_FORMAT=MLN","FA_ADJUSTED=Adjusted","Sort=A","Dates=H","DateFormat=P","Fill=—","Direction=H","UseDPDF=Y")</f>
        <v>4697</v>
      </c>
      <c r="M9" s="13" cm="1">
        <f t="array" ref="M9">_xll.BDH("PCAR US Equity","IS_COGS_TO_FE_AND_PP_AND_G","FQ3 2021","FQ3 2021","Currency=USD","Period=FQ","BEST_FPERIOD_OVERRIDE=FQ","FILING_STATUS=MR","SCALING_FORMAT=MLN","FA_ADJUSTED=Adjusted","Sort=A","Dates=H","DateFormat=P","Fill=—","Direction=H","UseDPDF=Y")</f>
        <v>4211.5</v>
      </c>
      <c r="N9" s="13" cm="1">
        <f t="array" ref="N9">_xll.BDH("PCAR US Equity","IS_COGS_TO_FE_AND_PP_AND_G","FQ4 2021","FQ4 2021","Currency=USD","Period=FQ","BEST_FPERIOD_OVERRIDE=FQ","FILING_STATUS=MR","SCALING_FORMAT=MLN","FA_ADJUSTED=Adjusted","Sort=A","Dates=H","DateFormat=P","Fill=—","Direction=H","UseDPDF=Y")</f>
        <v>5793.5</v>
      </c>
      <c r="O9" s="13" cm="1">
        <f t="array" ref="O9">_xll.BDH("PCAR US Equity","IS_COGS_TO_FE_AND_PP_AND_G","FQ1 2022","FQ1 2022","Currency=USD","Period=FQ","BEST_FPERIOD_OVERRIDE=FQ","FILING_STATUS=MR","SCALING_FORMAT=MLN","FA_ADJUSTED=Adjusted","Sort=A","Dates=H","DateFormat=P","Fill=—","Direction=H","UseDPDF=Y")</f>
        <v>5325.3</v>
      </c>
      <c r="P9" s="13" cm="1">
        <f t="array" ref="P9">_xll.BDH("PCAR US Equity","IS_COGS_TO_FE_AND_PP_AND_G","FQ2 2022","FQ2 2022","Currency=USD","Period=FQ","BEST_FPERIOD_OVERRIDE=FQ","FILING_STATUS=MR","SCALING_FORMAT=MLN","FA_ADJUSTED=Adjusted","Sort=A","Dates=H","DateFormat=P","Fill=—","Direction=H","UseDPDF=Y")</f>
        <v>5857.4</v>
      </c>
      <c r="Q9" s="13" cm="1">
        <f t="array" ref="Q9">_xll.BDH("PCAR US Equity","IS_COGS_TO_FE_AND_PP_AND_G","FQ3 2022","FQ3 2022","Currency=USD","Period=FQ","BEST_FPERIOD_OVERRIDE=FQ","FILING_STATUS=MR","SCALING_FORMAT=MLN","FA_ADJUSTED=Adjusted","Sort=A","Dates=H","DateFormat=P","Fill=—","Direction=H","UseDPDF=Y")</f>
        <v>5745.1</v>
      </c>
      <c r="R9" s="13" cm="1">
        <f t="array" ref="R9">_xll.BDH("PCAR US Equity","IS_COGS_TO_FE_AND_PP_AND_G","FQ4 2022","FQ4 2022","Currency=USD","Period=FQ","BEST_FPERIOD_OVERRIDE=FQ","FILING_STATUS=MR","SCALING_FORMAT=MLN","FA_ADJUSTED=Adjusted","Sort=A","Dates=H","DateFormat=P","Fill=—","Direction=H","UseDPDF=Y")</f>
        <v>6714</v>
      </c>
      <c r="S9" s="13" cm="1">
        <f t="array" ref="S9">_xll.BDH("PCAR US Equity","IS_COGS_TO_FE_AND_PP_AND_G","FQ1 2023","FQ1 2023","Currency=USD","Period=FQ","BEST_FPERIOD_OVERRIDE=FQ","FILING_STATUS=MR","SCALING_FORMAT=MLN","FA_ADJUSTED=Adjusted","Sort=A","Dates=H","DateFormat=P","Fill=—","Direction=H","UseDPDF=Y")</f>
        <v>6586.9</v>
      </c>
      <c r="T9" s="13" cm="1">
        <f t="array" ref="T9">_xll.BDH("PCAR US Equity","IS_COGS_TO_FE_AND_PP_AND_G","FQ2 2023","FQ2 2023","Currency=USD","Period=FQ","BEST_FPERIOD_OVERRIDE=FQ","FILING_STATUS=MR","SCALING_FORMAT=MLN","FA_ADJUSTED=Adjusted","Sort=A","Dates=H","DateFormat=P","Fill=—","Direction=H","UseDPDF=Y")</f>
        <v>6967.2</v>
      </c>
      <c r="U9" s="13" cm="1">
        <f t="array" ref="U9">_xll.BDH("PCAR US Equity","IS_COGS_TO_FE_AND_PP_AND_G","FQ3 2023","FQ3 2023","Currency=USD","Period=FQ","BEST_FPERIOD_OVERRIDE=FQ","FILING_STATUS=MR","SCALING_FORMAT=MLN","FA_ADJUSTED=Adjusted","Sort=A","Dates=H","DateFormat=P","Fill=—","Direction=H","UseDPDF=Y")</f>
        <v>6765.2</v>
      </c>
      <c r="V9" s="13" cm="1">
        <f t="array" ref="V9">_xll.BDH("PCAR US Equity","IS_COGS_TO_FE_AND_PP_AND_G","FQ4 2023","FQ4 2023","Currency=USD","Period=FQ","BEST_FPERIOD_OVERRIDE=FQ","FILING_STATUS=MR","SCALING_FORMAT=MLN","FA_ADJUSTED=Adjusted","Sort=A","Dates=H","DateFormat=P","Fill=—","Direction=H","UseDPDF=Y")</f>
        <v>7239.2</v>
      </c>
      <c r="W9" s="13" cm="1">
        <f t="array" ref="W9">_xll.BDH("PCAR US Equity","IS_COGS_TO_FE_AND_PP_AND_G","FQ1 2024","FQ1 2024","Currency=USD","Period=FQ","BEST_FPERIOD_OVERRIDE=FQ","FILING_STATUS=MR","SCALING_FORMAT=MLN","FA_ADJUSTED=Adjusted","Sort=A","Dates=H","DateFormat=P","Fill=—","Direction=H","UseDPDF=Y")</f>
        <v>6833.8</v>
      </c>
      <c r="X9" s="13" cm="1">
        <f t="array" ref="X9">_xll.BDH("PCAR US Equity","IS_COGS_TO_FE_AND_PP_AND_G","FQ2 2024","FQ2 2024","Currency=USD","Period=FQ","BEST_FPERIOD_OVERRIDE=FQ","FILING_STATUS=MR","SCALING_FORMAT=MLN","FA_ADJUSTED=Adjusted","Sort=A","Dates=H","DateFormat=P","Fill=—","Direction=H","UseDPDF=Y")</f>
        <v>6944.8</v>
      </c>
      <c r="Y9" s="13" cm="1">
        <f t="array" ref="Y9">_xll.BDH("PCAR US Equity","IS_COGS_TO_FE_AND_PP_AND_G","FQ3 2024","FQ3 2024","Currency=USD","Period=FQ","BEST_FPERIOD_OVERRIDE=FQ","FILING_STATUS=MR","SCALING_FORMAT=MLN","FA_ADJUSTED=Adjusted","Sort=A","Dates=H","DateFormat=P","Fill=—","Direction=H","UseDPDF=Y")</f>
        <v>6616.1</v>
      </c>
      <c r="Z9" s="13" cm="1">
        <f t="array" ref="Z9">_xll.BDH("PCAR US Equity","IS_COGS_TO_FE_AND_PP_AND_G","FQ4 2024","FQ4 2024","Currency=USD","Period=FQ","BEST_FPERIOD_OVERRIDE=FQ","FILING_STATUS=MR","SCALING_FORMAT=MLN","FA_ADJUSTED=Adjusted","Sort=A","Dates=H","DateFormat=P","Fill=—","Direction=H","UseDPDF=Y")</f>
        <v>6573.7</v>
      </c>
      <c r="AA9" s="13" cm="1">
        <f t="array" ref="AA9">_xll.BDH("PCAR US Equity","IS_COGS_TO_FE_AND_PP_AND_G","FQ1 2025","FQ1 2025","Currency=USD","Period=FQ","BEST_FPERIOD_OVERRIDE=FQ","FILING_STATUS=MR","SCALING_FORMAT=MLN","FA_ADJUSTED=Adjusted","Sort=A","Dates=H","DateFormat=P","Fill=—","Direction=H","UseDPDF=Y")</f>
        <v>6081.6</v>
      </c>
      <c r="AB9" s="13" cm="1">
        <f t="array" ref="AB9">_xll.BDH("PCAR US Equity","IS_COGS_TO_FE_AND_PP_AND_G","FQ2 2025","FQ2 2025","Currency=USD","Period=FQ","BEST_FPERIOD_OVERRIDE=FQ","FILING_STATUS=MR","SCALING_FORMAT=MLN","FA_ADJUSTED=Adjusted","Sort=A","Dates=H","DateFormat=P","Fill=—","Direction=H","UseDPDF=Y")</f>
        <v>6195.7</v>
      </c>
      <c r="AC9" s="13" cm="1">
        <f t="array" ref="AC9">_xll.BDH("PCAR US Equity","IS_COGS_TO_FE_AND_PP_AND_G","FQ3 2025","FQ3 2025","Currency=USD","Period=FQ","BEST_FPERIOD_OVERRIDE=FQ","FILING_STATUS=MR","SCALING_FORMAT=MLN","FA_ADJUSTED=Adjusted","Sort=A","Dates=H","DateFormat=P","Fill=—","Direction=H","UseDPDF=Y")</f>
        <v>5546.4</v>
      </c>
      <c r="AD9" s="13" cm="1">
        <f t="array" ref="AD9">_xll.BDH("PCAR US Equity","IS_COGS_TO_FE_AND_PP_AND_G","FQ4 2025","FQ4 2025","Currency=USD","Period=FQ","BEST_FPERIOD_OVERRIDE=FQ","FILING_STATUS=MR","SCALING_FORMAT=MLN","FA_ADJUSTED=Adjusted","Sort=A","Dates=H","DateFormat=P","Fill=—","Direction=H","UseDPDF=Y")</f>
        <v>5877.3</v>
      </c>
      <c r="AE9" s="13"/>
      <c r="AF9" s="13"/>
    </row>
    <row r="10" spans="1:32" x14ac:dyDescent="0.25">
      <c r="A10" s="10" t="s">
        <v>74</v>
      </c>
      <c r="B10" s="10" t="s">
        <v>75</v>
      </c>
      <c r="C10" s="13" cm="1">
        <f t="array" ref="C10">_xll.BDH("PCAR US Equity","IS_COG_AND_SERVICES_SOLD","FQ1 2019","FQ1 2019","Currency=USD","Period=FQ","BEST_FPERIOD_OVERRIDE=FQ","FILING_STATUS=MR","SCALING_FORMAT=MLN","FA_ADJUSTED=Adjusted","Sort=A","Dates=H","DateFormat=P","Fill=—","Direction=H","UseDPDF=Y")</f>
        <v>5217.1000000000004</v>
      </c>
      <c r="D10" s="13" cm="1">
        <f t="array" ref="D10">_xll.BDH("PCAR US Equity","IS_COG_AND_SERVICES_SOLD","FQ2 2019","FQ2 2019","Currency=USD","Period=FQ","BEST_FPERIOD_OVERRIDE=FQ","FILING_STATUS=MR","SCALING_FORMAT=MLN","FA_ADJUSTED=Adjusted","Sort=A","Dates=H","DateFormat=P","Fill=—","Direction=H","UseDPDF=Y")</f>
        <v>5341.7</v>
      </c>
      <c r="E10" s="13" cm="1">
        <f t="array" ref="E10">_xll.BDH("PCAR US Equity","IS_COG_AND_SERVICES_SOLD","FQ3 2019","FQ3 2019","Currency=USD","Period=FQ","BEST_FPERIOD_OVERRIDE=FQ","FILING_STATUS=MR","SCALING_FORMAT=MLN","FA_ADJUSTED=Adjusted","Sort=A","Dates=H","DateFormat=P","Fill=—","Direction=H","UseDPDF=Y")</f>
        <v>5106.8</v>
      </c>
      <c r="F10" s="13" cm="1">
        <f t="array" ref="F10">_xll.BDH("PCAR US Equity","IS_COG_AND_SERVICES_SOLD","FQ4 2019","FQ4 2019","Currency=USD","Period=FQ","BEST_FPERIOD_OVERRIDE=FQ","FILING_STATUS=MR","SCALING_FORMAT=MLN","FA_ADJUSTED=Adjusted","Sort=A","Dates=H","DateFormat=P","Fill=—","Direction=H","UseDPDF=Y")</f>
        <v>4890</v>
      </c>
      <c r="G10" s="13" cm="1">
        <f t="array" ref="G10">_xll.BDH("PCAR US Equity","IS_COG_AND_SERVICES_SOLD","FQ1 2020","FQ1 2020","Currency=USD","Period=FQ","BEST_FPERIOD_OVERRIDE=FQ","FILING_STATUS=MR","SCALING_FORMAT=MLN","FA_ADJUSTED=Adjusted","Sort=A","Dates=H","DateFormat=P","Fill=—","Direction=H","UseDPDF=Y")</f>
        <v>4189.6000000000004</v>
      </c>
      <c r="H10" s="13" cm="1">
        <f t="array" ref="H10">_xll.BDH("PCAR US Equity","IS_COG_AND_SERVICES_SOLD","FQ2 2020","FQ2 2020","Currency=USD","Period=FQ","BEST_FPERIOD_OVERRIDE=FQ","FILING_STATUS=MR","SCALING_FORMAT=MLN","FA_ADJUSTED=Adjusted","Sort=A","Dates=H","DateFormat=P","Fill=—","Direction=H","UseDPDF=Y")</f>
        <v>2441.5</v>
      </c>
      <c r="I10" s="13" cm="1">
        <f t="array" ref="I10">_xll.BDH("PCAR US Equity","IS_COG_AND_SERVICES_SOLD","FQ3 2020","FQ3 2020","Currency=USD","Period=FQ","BEST_FPERIOD_OVERRIDE=FQ","FILING_STATUS=MR","SCALING_FORMAT=MLN","FA_ADJUSTED=Adjusted","Sort=A","Dates=H","DateFormat=P","Fill=—","Direction=H","UseDPDF=Y")</f>
        <v>3958.3</v>
      </c>
      <c r="J10" s="13" cm="1">
        <f t="array" ref="J10">_xll.BDH("PCAR US Equity","IS_COG_AND_SERVICES_SOLD","FQ4 2020","FQ4 2020","Currency=USD","Period=FQ","BEST_FPERIOD_OVERRIDE=FQ","FILING_STATUS=MR","SCALING_FORMAT=MLN","FA_ADJUSTED=Adjusted","Sort=A","Dates=H","DateFormat=P","Fill=—","Direction=H","UseDPDF=Y")</f>
        <v>4487</v>
      </c>
      <c r="K10" s="13" cm="1">
        <f t="array" ref="K10">_xll.BDH("PCAR US Equity","IS_COG_AND_SERVICES_SOLD","FQ1 2021","FQ1 2021","Currency=USD","Period=FQ","BEST_FPERIOD_OVERRIDE=FQ","FILING_STATUS=MR","SCALING_FORMAT=MLN","FA_ADJUSTED=Adjusted","Sort=A","Dates=H","DateFormat=P","Fill=—","Direction=H","UseDPDF=Y")</f>
        <v>4689.7</v>
      </c>
      <c r="L10" s="13" cm="1">
        <f t="array" ref="L10">_xll.BDH("PCAR US Equity","IS_COG_AND_SERVICES_SOLD","FQ2 2021","FQ2 2021","Currency=USD","Period=FQ","BEST_FPERIOD_OVERRIDE=FQ","FILING_STATUS=MR","SCALING_FORMAT=MLN","FA_ADJUSTED=Adjusted","Sort=A","Dates=H","DateFormat=P","Fill=—","Direction=H","UseDPDF=Y")</f>
        <v>4659.3999999999996</v>
      </c>
      <c r="M10" s="13" cm="1">
        <f t="array" ref="M10">_xll.BDH("PCAR US Equity","IS_COG_AND_SERVICES_SOLD","FQ3 2021","FQ3 2021","Currency=USD","Period=FQ","BEST_FPERIOD_OVERRIDE=FQ","FILING_STATUS=MR","SCALING_FORMAT=MLN","FA_ADJUSTED=Adjusted","Sort=A","Dates=H","DateFormat=P","Fill=—","Direction=H","UseDPDF=Y")</f>
        <v>4176.2</v>
      </c>
      <c r="N10" s="13" cm="1">
        <f t="array" ref="N10">_xll.BDH("PCAR US Equity","IS_COG_AND_SERVICES_SOLD","FQ4 2021","FQ4 2021","Currency=USD","Period=FQ","BEST_FPERIOD_OVERRIDE=FQ","FILING_STATUS=MR","SCALING_FORMAT=MLN","FA_ADJUSTED=Adjusted","Sort=A","Dates=H","DateFormat=P","Fill=—","Direction=H","UseDPDF=Y")</f>
        <v>5567.1</v>
      </c>
      <c r="O10" s="13" cm="1">
        <f t="array" ref="O10">_xll.BDH("PCAR US Equity","IS_COG_AND_SERVICES_SOLD","FQ1 2022","FQ1 2022","Currency=USD","Period=FQ","BEST_FPERIOD_OVERRIDE=FQ","FILING_STATUS=MR","SCALING_FORMAT=MLN","FA_ADJUSTED=Adjusted","Sort=A","Dates=H","DateFormat=P","Fill=—","Direction=H","UseDPDF=Y")</f>
        <v>5285.5</v>
      </c>
      <c r="P10" s="13" cm="1">
        <f t="array" ref="P10">_xll.BDH("PCAR US Equity","IS_COG_AND_SERVICES_SOLD","FQ2 2022","FQ2 2022","Currency=USD","Period=FQ","BEST_FPERIOD_OVERRIDE=FQ","FILING_STATUS=MR","SCALING_FORMAT=MLN","FA_ADJUSTED=Adjusted","Sort=A","Dates=H","DateFormat=P","Fill=—","Direction=H","UseDPDF=Y")</f>
        <v>5811</v>
      </c>
      <c r="Q10" s="13" cm="1">
        <f t="array" ref="Q10">_xll.BDH("PCAR US Equity","IS_COG_AND_SERVICES_SOLD","FQ3 2022","FQ3 2022","Currency=USD","Period=FQ","BEST_FPERIOD_OVERRIDE=FQ","FILING_STATUS=MR","SCALING_FORMAT=MLN","FA_ADJUSTED=Adjusted","Sort=A","Dates=H","DateFormat=P","Fill=—","Direction=H","UseDPDF=Y")</f>
        <v>5689.3</v>
      </c>
      <c r="R10" s="13" cm="1">
        <f t="array" ref="R10">_xll.BDH("PCAR US Equity","IS_COG_AND_SERVICES_SOLD","FQ4 2022","FQ4 2022","Currency=USD","Period=FQ","BEST_FPERIOD_OVERRIDE=FQ","FILING_STATUS=MR","SCALING_FORMAT=MLN","FA_ADJUSTED=Adjusted","Sort=A","Dates=H","DateFormat=P","Fill=—","Direction=H","UseDPDF=Y")</f>
        <v>6505.2</v>
      </c>
      <c r="S10" s="13" cm="1">
        <f t="array" ref="S10">_xll.BDH("PCAR US Equity","IS_COG_AND_SERVICES_SOLD","FQ1 2023","FQ1 2023","Currency=USD","Period=FQ","BEST_FPERIOD_OVERRIDE=FQ","FILING_STATUS=MR","SCALING_FORMAT=MLN","FA_ADJUSTED=Adjusted","Sort=A","Dates=H","DateFormat=P","Fill=—","Direction=H","UseDPDF=Y")</f>
        <v>6493.1</v>
      </c>
      <c r="T10" s="13" cm="1">
        <f t="array" ref="T10">_xll.BDH("PCAR US Equity","IS_COG_AND_SERVICES_SOLD","FQ2 2023","FQ2 2023","Currency=USD","Period=FQ","BEST_FPERIOD_OVERRIDE=FQ","FILING_STATUS=MR","SCALING_FORMAT=MLN","FA_ADJUSTED=Adjusted","Sort=A","Dates=H","DateFormat=P","Fill=—","Direction=H","UseDPDF=Y")</f>
        <v>6851.7</v>
      </c>
      <c r="U10" s="13" cm="1">
        <f t="array" ref="U10">_xll.BDH("PCAR US Equity","IS_COG_AND_SERVICES_SOLD","FQ3 2023","FQ3 2023","Currency=USD","Period=FQ","BEST_FPERIOD_OVERRIDE=FQ","FILING_STATUS=MR","SCALING_FORMAT=MLN","FA_ADJUSTED=Adjusted","Sort=A","Dates=H","DateFormat=P","Fill=—","Direction=H","UseDPDF=Y")</f>
        <v>6626.7</v>
      </c>
      <c r="V10" s="13" cm="1">
        <f t="array" ref="V10">_xll.BDH("PCAR US Equity","IS_COG_AND_SERVICES_SOLD","FQ4 2023","FQ4 2023","Currency=USD","Period=FQ","BEST_FPERIOD_OVERRIDE=FQ","FILING_STATUS=MR","SCALING_FORMAT=MLN","FA_ADJUSTED=Adjusted","Sort=A","Dates=H","DateFormat=P","Fill=—","Direction=H","UseDPDF=Y")</f>
        <v>6922.7</v>
      </c>
      <c r="W10" s="13" cm="1">
        <f t="array" ref="W10">_xll.BDH("PCAR US Equity","IS_COG_AND_SERVICES_SOLD","FQ1 2024","FQ1 2024","Currency=USD","Period=FQ","BEST_FPERIOD_OVERRIDE=FQ","FILING_STATUS=MR","SCALING_FORMAT=MLN","FA_ADJUSTED=Adjusted","Sort=A","Dates=H","DateFormat=P","Fill=—","Direction=H","UseDPDF=Y")</f>
        <v>6673.8</v>
      </c>
      <c r="X10" s="13" cm="1">
        <f t="array" ref="X10">_xll.BDH("PCAR US Equity","IS_COG_AND_SERVICES_SOLD","FQ2 2024","FQ2 2024","Currency=USD","Period=FQ","BEST_FPERIOD_OVERRIDE=FQ","FILING_STATUS=MR","SCALING_FORMAT=MLN","FA_ADJUSTED=Adjusted","Sort=A","Dates=H","DateFormat=P","Fill=—","Direction=H","UseDPDF=Y")</f>
        <v>6772.3</v>
      </c>
      <c r="Y10" s="13" cm="1">
        <f t="array" ref="Y10">_xll.BDH("PCAR US Equity","IS_COG_AND_SERVICES_SOLD","FQ3 2024","FQ3 2024","Currency=USD","Period=FQ","BEST_FPERIOD_OVERRIDE=FQ","FILING_STATUS=MR","SCALING_FORMAT=MLN","FA_ADJUSTED=Adjusted","Sort=A","Dates=H","DateFormat=P","Fill=—","Direction=H","UseDPDF=Y")</f>
        <v>6427.7</v>
      </c>
      <c r="Z10" s="13" cm="1">
        <f t="array" ref="Z10">_xll.BDH("PCAR US Equity","IS_COG_AND_SERVICES_SOLD","FQ4 2024","FQ4 2024","Currency=USD","Period=FQ","BEST_FPERIOD_OVERRIDE=FQ","FILING_STATUS=MR","SCALING_FORMAT=MLN","FA_ADJUSTED=Adjusted","Sort=A","Dates=H","DateFormat=P","Fill=—","Direction=H","UseDPDF=Y")</f>
        <v>6195.8</v>
      </c>
      <c r="AA10" s="13" cm="1">
        <f t="array" ref="AA10">_xll.BDH("PCAR US Equity","IS_COG_AND_SERVICES_SOLD","FQ1 2025","FQ1 2025","Currency=USD","Period=FQ","BEST_FPERIOD_OVERRIDE=FQ","FILING_STATUS=MR","SCALING_FORMAT=MLN","FA_ADJUSTED=Adjusted","Sort=A","Dates=H","DateFormat=P","Fill=—","Direction=H","UseDPDF=Y")</f>
        <v>5891</v>
      </c>
      <c r="AB10" s="13" cm="1">
        <f t="array" ref="AB10">_xll.BDH("PCAR US Equity","IS_COG_AND_SERVICES_SOLD","FQ2 2025","FQ2 2025","Currency=USD","Period=FQ","BEST_FPERIOD_OVERRIDE=FQ","FILING_STATUS=MR","SCALING_FORMAT=MLN","FA_ADJUSTED=Adjusted","Sort=A","Dates=H","DateFormat=P","Fill=—","Direction=H","UseDPDF=Y")</f>
        <v>5995.4</v>
      </c>
      <c r="AC10" s="13" cm="1">
        <f t="array" ref="AC10">_xll.BDH("PCAR US Equity","IS_COG_AND_SERVICES_SOLD","FQ3 2025","FQ3 2025","Currency=USD","Period=FQ","BEST_FPERIOD_OVERRIDE=FQ","FILING_STATUS=MR","SCALING_FORMAT=MLN","FA_ADJUSTED=Adjusted","Sort=A","Dates=H","DateFormat=P","Fill=—","Direction=H","UseDPDF=Y")</f>
        <v>5345.4</v>
      </c>
      <c r="AD10" s="13" cm="1">
        <f t="array" ref="AD10">_xll.BDH("PCAR US Equity","IS_COG_AND_SERVICES_SOLD","FQ4 2025","FQ4 2025","Currency=USD","Period=FQ","BEST_FPERIOD_OVERRIDE=FQ","FILING_STATUS=MR","SCALING_FORMAT=MLN","FA_ADJUSTED=Adjusted","Sort=A","Dates=H","DateFormat=P","Fill=—","Direction=H","UseDPDF=Y")</f>
        <v>5504.9</v>
      </c>
      <c r="AE10" s="13"/>
      <c r="AF10" s="13"/>
    </row>
    <row r="11" spans="1:32" x14ac:dyDescent="0.25">
      <c r="A11" s="10" t="s">
        <v>76</v>
      </c>
      <c r="B11" s="10" t="s">
        <v>77</v>
      </c>
      <c r="C11" s="13" cm="1">
        <f t="array" ref="C11">_xll.BDH("PCAR US Equity","IS_COST_OF_FINANCING_REVENUE","FQ1 2019","FQ1 2019","Currency=USD","Period=FQ","BEST_FPERIOD_OVERRIDE=FQ","FILING_STATUS=MR","SCALING_FORMAT=MLN","FA_ADJUSTED=Adjusted","Sort=A","Dates=H","DateFormat=P","Fill=—","Direction=H","UseDPDF=Y")</f>
        <v>53.4</v>
      </c>
      <c r="D11" s="13" cm="1">
        <f t="array" ref="D11">_xll.BDH("PCAR US Equity","IS_COST_OF_FINANCING_REVENUE","FQ2 2019","FQ2 2019","Currency=USD","Period=FQ","BEST_FPERIOD_OVERRIDE=FQ","FILING_STATUS=MR","SCALING_FORMAT=MLN","FA_ADJUSTED=Adjusted","Sort=A","Dates=H","DateFormat=P","Fill=—","Direction=H","UseDPDF=Y")</f>
        <v>60</v>
      </c>
      <c r="E11" s="13" cm="1">
        <f t="array" ref="E11">_xll.BDH("PCAR US Equity","IS_COST_OF_FINANCING_REVENUE","FQ3 2019","FQ3 2019","Currency=USD","Period=FQ","BEST_FPERIOD_OVERRIDE=FQ","FILING_STATUS=MR","SCALING_FORMAT=MLN","FA_ADJUSTED=Adjusted","Sort=A","Dates=H","DateFormat=P","Fill=—","Direction=H","UseDPDF=Y")</f>
        <v>59.6</v>
      </c>
      <c r="F11" s="13" cm="1">
        <f t="array" ref="F11">_xll.BDH("PCAR US Equity","IS_COST_OF_FINANCING_REVENUE","FQ4 2019","FQ4 2019","Currency=USD","Period=FQ","BEST_FPERIOD_OVERRIDE=FQ","FILING_STATUS=MR","SCALING_FORMAT=MLN","FA_ADJUSTED=Adjusted","Sort=A","Dates=H","DateFormat=P","Fill=—","Direction=H","UseDPDF=Y")</f>
        <v>57.5</v>
      </c>
      <c r="G11" s="13" cm="1">
        <f t="array" ref="G11">_xll.BDH("PCAR US Equity","IS_COST_OF_FINANCING_REVENUE","FQ1 2020","FQ1 2020","Currency=USD","Period=FQ","BEST_FPERIOD_OVERRIDE=FQ","FILING_STATUS=MR","SCALING_FORMAT=MLN","FA_ADJUSTED=Adjusted","Sort=A","Dates=H","DateFormat=P","Fill=—","Direction=H","UseDPDF=Y")</f>
        <v>56.4</v>
      </c>
      <c r="H11" s="13" cm="1">
        <f t="array" ref="H11">_xll.BDH("PCAR US Equity","IS_COST_OF_FINANCING_REVENUE","FQ2 2020","FQ2 2020","Currency=USD","Period=FQ","BEST_FPERIOD_OVERRIDE=FQ","FILING_STATUS=MR","SCALING_FORMAT=MLN","FA_ADJUSTED=Adjusted","Sort=A","Dates=H","DateFormat=P","Fill=—","Direction=H","UseDPDF=Y")</f>
        <v>46.9</v>
      </c>
      <c r="I11" s="13" cm="1">
        <f t="array" ref="I11">_xll.BDH("PCAR US Equity","IS_COST_OF_FINANCING_REVENUE","FQ3 2020","FQ3 2020","Currency=USD","Period=FQ","BEST_FPERIOD_OVERRIDE=FQ","FILING_STATUS=MR","SCALING_FORMAT=MLN","FA_ADJUSTED=Adjusted","Sort=A","Dates=H","DateFormat=P","Fill=—","Direction=H","UseDPDF=Y")</f>
        <v>45.2</v>
      </c>
      <c r="J11" s="13" cm="1">
        <f t="array" ref="J11">_xll.BDH("PCAR US Equity","IS_COST_OF_FINANCING_REVENUE","FQ4 2020","FQ4 2020","Currency=USD","Period=FQ","BEST_FPERIOD_OVERRIDE=FQ","FILING_STATUS=MR","SCALING_FORMAT=MLN","FA_ADJUSTED=Adjusted","Sort=A","Dates=H","DateFormat=P","Fill=—","Direction=H","UseDPDF=Y")</f>
        <v>43.6</v>
      </c>
      <c r="K11" s="13" cm="1">
        <f t="array" ref="K11">_xll.BDH("PCAR US Equity","IS_COST_OF_FINANCING_REVENUE","FQ1 2021","FQ1 2021","Currency=USD","Period=FQ","BEST_FPERIOD_OVERRIDE=FQ","FILING_STATUS=MR","SCALING_FORMAT=MLN","FA_ADJUSTED=Adjusted","Sort=A","Dates=H","DateFormat=P","Fill=—","Direction=H","UseDPDF=Y")</f>
        <v>42</v>
      </c>
      <c r="L11" s="13" cm="1">
        <f t="array" ref="L11">_xll.BDH("PCAR US Equity","IS_COST_OF_FINANCING_REVENUE","FQ2 2021","FQ2 2021","Currency=USD","Period=FQ","BEST_FPERIOD_OVERRIDE=FQ","FILING_STATUS=MR","SCALING_FORMAT=MLN","FA_ADJUSTED=Adjusted","Sort=A","Dates=H","DateFormat=P","Fill=—","Direction=H","UseDPDF=Y")</f>
        <v>37.6</v>
      </c>
      <c r="M11" s="13" cm="1">
        <f t="array" ref="M11">_xll.BDH("PCAR US Equity","IS_COST_OF_FINANCING_REVENUE","FQ3 2021","FQ3 2021","Currency=USD","Period=FQ","BEST_FPERIOD_OVERRIDE=FQ","FILING_STATUS=MR","SCALING_FORMAT=MLN","FA_ADJUSTED=Adjusted","Sort=A","Dates=H","DateFormat=P","Fill=—","Direction=H","UseDPDF=Y")</f>
        <v>35.299999999999997</v>
      </c>
      <c r="N11" s="13" cm="1">
        <f t="array" ref="N11">_xll.BDH("PCAR US Equity","IS_COST_OF_FINANCING_REVENUE","FQ4 2021","FQ4 2021","Currency=USD","Period=FQ","BEST_FPERIOD_OVERRIDE=FQ","FILING_STATUS=MR","SCALING_FORMAT=MLN","FA_ADJUSTED=Adjusted","Sort=A","Dates=H","DateFormat=P","Fill=—","Direction=H","UseDPDF=Y")</f>
        <v>226.4</v>
      </c>
      <c r="O11" s="13" cm="1">
        <f t="array" ref="O11">_xll.BDH("PCAR US Equity","IS_COST_OF_FINANCING_REVENUE","FQ1 2022","FQ1 2022","Currency=USD","Period=FQ","BEST_FPERIOD_OVERRIDE=FQ","FILING_STATUS=MR","SCALING_FORMAT=MLN","FA_ADJUSTED=Adjusted","Sort=A","Dates=H","DateFormat=P","Fill=—","Direction=H","UseDPDF=Y")</f>
        <v>39.799999999999997</v>
      </c>
      <c r="P11" s="13" cm="1">
        <f t="array" ref="P11">_xll.BDH("PCAR US Equity","IS_COST_OF_FINANCING_REVENUE","FQ2 2022","FQ2 2022","Currency=USD","Period=FQ","BEST_FPERIOD_OVERRIDE=FQ","FILING_STATUS=MR","SCALING_FORMAT=MLN","FA_ADJUSTED=Adjusted","Sort=A","Dates=H","DateFormat=P","Fill=—","Direction=H","UseDPDF=Y")</f>
        <v>46.4</v>
      </c>
      <c r="Q11" s="13" cm="1">
        <f t="array" ref="Q11">_xll.BDH("PCAR US Equity","IS_COST_OF_FINANCING_REVENUE","FQ3 2022","FQ3 2022","Currency=USD","Period=FQ","BEST_FPERIOD_OVERRIDE=FQ","FILING_STATUS=MR","SCALING_FORMAT=MLN","FA_ADJUSTED=Adjusted","Sort=A","Dates=H","DateFormat=P","Fill=—","Direction=H","UseDPDF=Y")</f>
        <v>55.8</v>
      </c>
      <c r="R11" s="13" cm="1">
        <f t="array" ref="R11">_xll.BDH("PCAR US Equity","IS_COST_OF_FINANCING_REVENUE","FQ4 2022","FQ4 2022","Currency=USD","Period=FQ","BEST_FPERIOD_OVERRIDE=FQ","FILING_STATUS=MR","SCALING_FORMAT=MLN","FA_ADJUSTED=Adjusted","Sort=A","Dates=H","DateFormat=P","Fill=—","Direction=H","UseDPDF=Y")</f>
        <v>208.8</v>
      </c>
      <c r="S11" s="13" cm="1">
        <f t="array" ref="S11">_xll.BDH("PCAR US Equity","IS_COST_OF_FINANCING_REVENUE","FQ1 2023","FQ1 2023","Currency=USD","Period=FQ","BEST_FPERIOD_OVERRIDE=FQ","FILING_STATUS=MR","SCALING_FORMAT=MLN","FA_ADJUSTED=Adjusted","Sort=A","Dates=H","DateFormat=P","Fill=—","Direction=H","UseDPDF=Y")</f>
        <v>93.8</v>
      </c>
      <c r="T11" s="13" cm="1">
        <f t="array" ref="T11">_xll.BDH("PCAR US Equity","IS_COST_OF_FINANCING_REVENUE","FQ2 2023","FQ2 2023","Currency=USD","Period=FQ","BEST_FPERIOD_OVERRIDE=FQ","FILING_STATUS=MR","SCALING_FORMAT=MLN","FA_ADJUSTED=Adjusted","Sort=A","Dates=H","DateFormat=P","Fill=—","Direction=H","UseDPDF=Y")</f>
        <v>115.5</v>
      </c>
      <c r="U11" s="13" cm="1">
        <f t="array" ref="U11">_xll.BDH("PCAR US Equity","IS_COST_OF_FINANCING_REVENUE","FQ3 2023","FQ3 2023","Currency=USD","Period=FQ","BEST_FPERIOD_OVERRIDE=FQ","FILING_STATUS=MR","SCALING_FORMAT=MLN","FA_ADJUSTED=Adjusted","Sort=A","Dates=H","DateFormat=P","Fill=—","Direction=H","UseDPDF=Y")</f>
        <v>138.5</v>
      </c>
      <c r="V11" s="13" cm="1">
        <f t="array" ref="V11">_xll.BDH("PCAR US Equity","IS_COST_OF_FINANCING_REVENUE","FQ4 2023","FQ4 2023","Currency=USD","Period=FQ","BEST_FPERIOD_OVERRIDE=FQ","FILING_STATUS=MR","SCALING_FORMAT=MLN","FA_ADJUSTED=Adjusted","Sort=A","Dates=H","DateFormat=P","Fill=—","Direction=H","UseDPDF=Y")</f>
        <v>316.5</v>
      </c>
      <c r="W11" s="13" cm="1">
        <f t="array" ref="W11">_xll.BDH("PCAR US Equity","IS_COST_OF_FINANCING_REVENUE","FQ1 2024","FQ1 2024","Currency=USD","Period=FQ","BEST_FPERIOD_OVERRIDE=FQ","FILING_STATUS=MR","SCALING_FORMAT=MLN","FA_ADJUSTED=Adjusted","Sort=A","Dates=H","DateFormat=P","Fill=—","Direction=H","UseDPDF=Y")</f>
        <v>160</v>
      </c>
      <c r="X11" s="13" cm="1">
        <f t="array" ref="X11">_xll.BDH("PCAR US Equity","IS_COST_OF_FINANCING_REVENUE","FQ2 2024","FQ2 2024","Currency=USD","Period=FQ","BEST_FPERIOD_OVERRIDE=FQ","FILING_STATUS=MR","SCALING_FORMAT=MLN","FA_ADJUSTED=Adjusted","Sort=A","Dates=H","DateFormat=P","Fill=—","Direction=H","UseDPDF=Y")</f>
        <v>172.5</v>
      </c>
      <c r="Y11" s="13" cm="1">
        <f t="array" ref="Y11">_xll.BDH("PCAR US Equity","IS_COST_OF_FINANCING_REVENUE","FQ3 2024","FQ3 2024","Currency=USD","Period=FQ","BEST_FPERIOD_OVERRIDE=FQ","FILING_STATUS=MR","SCALING_FORMAT=MLN","FA_ADJUSTED=Adjusted","Sort=A","Dates=H","DateFormat=P","Fill=—","Direction=H","UseDPDF=Y")</f>
        <v>188.4</v>
      </c>
      <c r="Z11" s="13" cm="1">
        <f t="array" ref="Z11">_xll.BDH("PCAR US Equity","IS_COST_OF_FINANCING_REVENUE","FQ4 2024","FQ4 2024","Currency=USD","Period=FQ","BEST_FPERIOD_OVERRIDE=FQ","FILING_STATUS=MR","SCALING_FORMAT=MLN","FA_ADJUSTED=Adjusted","Sort=A","Dates=H","DateFormat=P","Fill=—","Direction=H","UseDPDF=Y")</f>
        <v>377.9</v>
      </c>
      <c r="AA11" s="13" cm="1">
        <f t="array" ref="AA11">_xll.BDH("PCAR US Equity","IS_COST_OF_FINANCING_REVENUE","FQ1 2025","FQ1 2025","Currency=USD","Period=FQ","BEST_FPERIOD_OVERRIDE=FQ","FILING_STATUS=MR","SCALING_FORMAT=MLN","FA_ADJUSTED=Adjusted","Sort=A","Dates=H","DateFormat=P","Fill=—","Direction=H","UseDPDF=Y")</f>
        <v>190.6</v>
      </c>
      <c r="AB11" s="13" cm="1">
        <f t="array" ref="AB11">_xll.BDH("PCAR US Equity","IS_COST_OF_FINANCING_REVENUE","FQ2 2025","FQ2 2025","Currency=USD","Period=FQ","BEST_FPERIOD_OVERRIDE=FQ","FILING_STATUS=MR","SCALING_FORMAT=MLN","FA_ADJUSTED=Adjusted","Sort=A","Dates=H","DateFormat=P","Fill=—","Direction=H","UseDPDF=Y")</f>
        <v>200.3</v>
      </c>
      <c r="AC11" s="13" cm="1">
        <f t="array" ref="AC11">_xll.BDH("PCAR US Equity","IS_COST_OF_FINANCING_REVENUE","FQ3 2025","FQ3 2025","Currency=USD","Period=FQ","BEST_FPERIOD_OVERRIDE=FQ","FILING_STATUS=MR","SCALING_FORMAT=MLN","FA_ADJUSTED=Adjusted","Sort=A","Dates=H","DateFormat=P","Fill=—","Direction=H","UseDPDF=Y")</f>
        <v>201</v>
      </c>
      <c r="AD11" s="13" cm="1">
        <f t="array" ref="AD11">_xll.BDH("PCAR US Equity","IS_COST_OF_FINANCING_REVENUE","FQ4 2025","FQ4 2025","Currency=USD","Period=FQ","BEST_FPERIOD_OVERRIDE=FQ","FILING_STATUS=MR","SCALING_FORMAT=MLN","FA_ADJUSTED=Adjusted","Sort=A","Dates=H","DateFormat=P","Fill=—","Direction=H","UseDPDF=Y")</f>
        <v>372.4</v>
      </c>
      <c r="AE11" s="13"/>
      <c r="AF11" s="13"/>
    </row>
    <row r="12" spans="1:32" x14ac:dyDescent="0.25">
      <c r="A12" s="6" t="s">
        <v>1</v>
      </c>
      <c r="B12" s="6" t="s">
        <v>78</v>
      </c>
      <c r="C12" s="16" cm="1">
        <f t="array" ref="C12">_xll.BDH("PCAR US Equity","GROSS_PROFIT","FQ1 2019","FQ1 2019","Currency=USD","Period=FQ","BEST_FPERIOD_OVERRIDE=FQ","FILING_STATUS=MR","SCALING_FORMAT=MLN","FA_ADJUSTED=Adjusted","Sort=A","Dates=H","DateFormat=P","Fill=—","Direction=H","UseDPDF=Y")</f>
        <v>1217.0999999999999</v>
      </c>
      <c r="D12" s="16" cm="1">
        <f t="array" ref="D12">_xll.BDH("PCAR US Equity","GROSS_PROFIT","FQ2 2019","FQ2 2019","Currency=USD","Period=FQ","BEST_FPERIOD_OVERRIDE=FQ","FILING_STATUS=MR","SCALING_FORMAT=MLN","FA_ADJUSTED=Adjusted","Sort=A","Dates=H","DateFormat=P","Fill=—","Direction=H","UseDPDF=Y")</f>
        <v>1226.2</v>
      </c>
      <c r="E12" s="16" cm="1">
        <f t="array" ref="E12">_xll.BDH("PCAR US Equity","GROSS_PROFIT","FQ3 2019","FQ3 2019","Currency=USD","Period=FQ","BEST_FPERIOD_OVERRIDE=FQ","FILING_STATUS=MR","SCALING_FORMAT=MLN","FA_ADJUSTED=Adjusted","Sort=A","Dates=H","DateFormat=P","Fill=—","Direction=H","UseDPDF=Y")</f>
        <v>1200.5999999999999</v>
      </c>
      <c r="F12" s="16" cm="1">
        <f t="array" ref="F12">_xll.BDH("PCAR US Equity","GROSS_PROFIT","FQ4 2019","FQ4 2019","Currency=USD","Period=FQ","BEST_FPERIOD_OVERRIDE=FQ","FILING_STATUS=MR","SCALING_FORMAT=MLN","FA_ADJUSTED=Adjusted","Sort=A","Dates=H","DateFormat=P","Fill=—","Direction=H","UseDPDF=Y")</f>
        <v>1169.7</v>
      </c>
      <c r="G12" s="16" cm="1">
        <f t="array" ref="G12">_xll.BDH("PCAR US Equity","GROSS_PROFIT","FQ1 2020","FQ1 2020","Currency=USD","Period=FQ","BEST_FPERIOD_OVERRIDE=FQ","FILING_STATUS=MR","SCALING_FORMAT=MLN","FA_ADJUSTED=Adjusted","Sort=A","Dates=H","DateFormat=P","Fill=—","Direction=H","UseDPDF=Y")</f>
        <v>915.7</v>
      </c>
      <c r="H12" s="16" cm="1">
        <f t="array" ref="H12">_xll.BDH("PCAR US Equity","GROSS_PROFIT","FQ2 2020","FQ2 2020","Currency=USD","Period=FQ","BEST_FPERIOD_OVERRIDE=FQ","FILING_STATUS=MR","SCALING_FORMAT=MLN","FA_ADJUSTED=Adjusted","Sort=A","Dates=H","DateFormat=P","Fill=—","Direction=H","UseDPDF=Y")</f>
        <v>573.79999999999995</v>
      </c>
      <c r="I12" s="16" cm="1">
        <f t="array" ref="I12">_xll.BDH("PCAR US Equity","GROSS_PROFIT","FQ3 2020","FQ3 2020","Currency=USD","Period=FQ","BEST_FPERIOD_OVERRIDE=FQ","FILING_STATUS=MR","SCALING_FORMAT=MLN","FA_ADJUSTED=Adjusted","Sort=A","Dates=H","DateFormat=P","Fill=—","Direction=H","UseDPDF=Y")</f>
        <v>932.5</v>
      </c>
      <c r="J12" s="16" cm="1">
        <f t="array" ref="J12">_xll.BDH("PCAR US Equity","GROSS_PROFIT","FQ4 2020","FQ4 2020","Currency=USD","Period=FQ","BEST_FPERIOD_OVERRIDE=FQ","FILING_STATUS=MR","SCALING_FORMAT=MLN","FA_ADJUSTED=Adjusted","Sort=A","Dates=H","DateFormat=P","Fill=—","Direction=H","UseDPDF=Y")</f>
        <v>1038</v>
      </c>
      <c r="K12" s="16" cm="1">
        <f t="array" ref="K12">_xll.BDH("PCAR US Equity","GROSS_PROFIT","FQ1 2021","FQ1 2021","Currency=USD","Period=FQ","BEST_FPERIOD_OVERRIDE=FQ","FILING_STATUS=MR","SCALING_FORMAT=MLN","FA_ADJUSTED=Adjusted","Sort=A","Dates=H","DateFormat=P","Fill=—","Direction=H","UseDPDF=Y")</f>
        <v>1113.8</v>
      </c>
      <c r="L12" s="16" cm="1">
        <f t="array" ref="L12">_xll.BDH("PCAR US Equity","GROSS_PROFIT","FQ2 2021","FQ2 2021","Currency=USD","Period=FQ","BEST_FPERIOD_OVERRIDE=FQ","FILING_STATUS=MR","SCALING_FORMAT=MLN","FA_ADJUSTED=Adjusted","Sort=A","Dates=H","DateFormat=P","Fill=—","Direction=H","UseDPDF=Y")</f>
        <v>1146.9000000000001</v>
      </c>
      <c r="M12" s="16" cm="1">
        <f t="array" ref="M12">_xll.BDH("PCAR US Equity","GROSS_PROFIT","FQ3 2021","FQ3 2021","Currency=USD","Period=FQ","BEST_FPERIOD_OVERRIDE=FQ","FILING_STATUS=MR","SCALING_FORMAT=MLN","FA_ADJUSTED=Adjusted","Sort=A","Dates=H","DateFormat=P","Fill=—","Direction=H","UseDPDF=Y")</f>
        <v>935.3</v>
      </c>
      <c r="N12" s="16" cm="1">
        <f t="array" ref="N12">_xll.BDH("PCAR US Equity","GROSS_PROFIT","FQ4 2021","FQ4 2021","Currency=USD","Period=FQ","BEST_FPERIOD_OVERRIDE=FQ","FILING_STATUS=MR","SCALING_FORMAT=MLN","FA_ADJUSTED=Adjusted","Sort=A","Dates=H","DateFormat=P","Fill=—","Direction=H","UseDPDF=Y")</f>
        <v>892.6</v>
      </c>
      <c r="O12" s="16" cm="1">
        <f t="array" ref="O12">_xll.BDH("PCAR US Equity","GROSS_PROFIT","FQ1 2022","FQ1 2022","Currency=USD","Period=FQ","BEST_FPERIOD_OVERRIDE=FQ","FILING_STATUS=MR","SCALING_FORMAT=MLN","FA_ADJUSTED=Adjusted","Sort=A","Dates=H","DateFormat=P","Fill=—","Direction=H","UseDPDF=Y")</f>
        <v>1147.3</v>
      </c>
      <c r="P12" s="16" cm="1">
        <f t="array" ref="P12">_xll.BDH("PCAR US Equity","GROSS_PROFIT","FQ2 2022","FQ2 2022","Currency=USD","Period=FQ","BEST_FPERIOD_OVERRIDE=FQ","FILING_STATUS=MR","SCALING_FORMAT=MLN","FA_ADJUSTED=Adjusted","Sort=A","Dates=H","DateFormat=P","Fill=—","Direction=H","UseDPDF=Y")</f>
        <v>1301.3</v>
      </c>
      <c r="Q12" s="16" cm="1">
        <f t="array" ref="Q12">_xll.BDH("PCAR US Equity","GROSS_PROFIT","FQ3 2022","FQ3 2022","Currency=USD","Period=FQ","BEST_FPERIOD_OVERRIDE=FQ","FILING_STATUS=MR","SCALING_FORMAT=MLN","FA_ADJUSTED=Adjusted","Sort=A","Dates=H","DateFormat=P","Fill=—","Direction=H","UseDPDF=Y")</f>
        <v>1313.8</v>
      </c>
      <c r="R12" s="16" cm="1">
        <f t="array" ref="R12">_xll.BDH("PCAR US Equity","GROSS_PROFIT","FQ4 2022","FQ4 2022","Currency=USD","Period=FQ","BEST_FPERIOD_OVERRIDE=FQ","FILING_STATUS=MR","SCALING_FORMAT=MLN","FA_ADJUSTED=Adjusted","Sort=A","Dates=H","DateFormat=P","Fill=—","Direction=H","UseDPDF=Y")</f>
        <v>1415.5</v>
      </c>
      <c r="S12" s="16" cm="1">
        <f t="array" ref="S12">_xll.BDH("PCAR US Equity","GROSS_PROFIT","FQ1 2023","FQ1 2023","Currency=USD","Period=FQ","BEST_FPERIOD_OVERRIDE=FQ","FILING_STATUS=MR","SCALING_FORMAT=MLN","FA_ADJUSTED=Adjusted","Sort=A","Dates=H","DateFormat=P","Fill=—","Direction=H","UseDPDF=Y")</f>
        <v>1886.4</v>
      </c>
      <c r="T12" s="16" cm="1">
        <f t="array" ref="T12">_xll.BDH("PCAR US Equity","GROSS_PROFIT","FQ2 2023","FQ2 2023","Currency=USD","Period=FQ","BEST_FPERIOD_OVERRIDE=FQ","FILING_STATUS=MR","SCALING_FORMAT=MLN","FA_ADJUSTED=Adjusted","Sort=A","Dates=H","DateFormat=P","Fill=—","Direction=H","UseDPDF=Y")</f>
        <v>1913.9</v>
      </c>
      <c r="U12" s="16" cm="1">
        <f t="array" ref="U12">_xll.BDH("PCAR US Equity","GROSS_PROFIT","FQ3 2023","FQ3 2023","Currency=USD","Period=FQ","BEST_FPERIOD_OVERRIDE=FQ","FILING_STATUS=MR","SCALING_FORMAT=MLN","FA_ADJUSTED=Adjusted","Sort=A","Dates=H","DateFormat=P","Fill=—","Direction=H","UseDPDF=Y")</f>
        <v>1931.2</v>
      </c>
      <c r="V12" s="16" cm="1">
        <f t="array" ref="V12">_xll.BDH("PCAR US Equity","GROSS_PROFIT","FQ4 2023","FQ4 2023","Currency=USD","Period=FQ","BEST_FPERIOD_OVERRIDE=FQ","FILING_STATUS=MR","SCALING_FORMAT=MLN","FA_ADJUSTED=Adjusted","Sort=A","Dates=H","DateFormat=P","Fill=—","Direction=H","UseDPDF=Y")</f>
        <v>1837.4</v>
      </c>
      <c r="W12" s="16" cm="1">
        <f t="array" ref="W12">_xll.BDH("PCAR US Equity","GROSS_PROFIT","FQ1 2024","FQ1 2024","Currency=USD","Period=FQ","BEST_FPERIOD_OVERRIDE=FQ","FILING_STATUS=MR","SCALING_FORMAT=MLN","FA_ADJUSTED=Adjusted","Sort=A","Dates=H","DateFormat=P","Fill=—","Direction=H","UseDPDF=Y")</f>
        <v>1910.5</v>
      </c>
      <c r="X12" s="16" cm="1">
        <f t="array" ref="X12">_xll.BDH("PCAR US Equity","GROSS_PROFIT","FQ2 2024","FQ2 2024","Currency=USD","Period=FQ","BEST_FPERIOD_OVERRIDE=FQ","FILING_STATUS=MR","SCALING_FORMAT=MLN","FA_ADJUSTED=Adjusted","Sort=A","Dates=H","DateFormat=P","Fill=—","Direction=H","UseDPDF=Y")</f>
        <v>1827.3</v>
      </c>
      <c r="Y12" s="16" cm="1">
        <f t="array" ref="Y12">_xll.BDH("PCAR US Equity","GROSS_PROFIT","FQ3 2024","FQ3 2024","Currency=USD","Period=FQ","BEST_FPERIOD_OVERRIDE=FQ","FILING_STATUS=MR","SCALING_FORMAT=MLN","FA_ADJUSTED=Adjusted","Sort=A","Dates=H","DateFormat=P","Fill=—","Direction=H","UseDPDF=Y")</f>
        <v>1623.8</v>
      </c>
      <c r="Z12" s="16" cm="1">
        <f t="array" ref="Z12">_xll.BDH("PCAR US Equity","GROSS_PROFIT","FQ4 2024","FQ4 2024","Currency=USD","Period=FQ","BEST_FPERIOD_OVERRIDE=FQ","FILING_STATUS=MR","SCALING_FORMAT=MLN","FA_ADJUSTED=Adjusted","Sort=A","Dates=H","DateFormat=P","Fill=—","Direction=H","UseDPDF=Y")</f>
        <v>1333.8</v>
      </c>
      <c r="AA12" s="16" cm="1">
        <f t="array" ref="AA12">_xll.BDH("PCAR US Equity","GROSS_PROFIT","FQ1 2025","FQ1 2025","Currency=USD","Period=FQ","BEST_FPERIOD_OVERRIDE=FQ","FILING_STATUS=MR","SCALING_FORMAT=MLN","FA_ADJUSTED=Adjusted","Sort=A","Dates=H","DateFormat=P","Fill=—","Direction=H","UseDPDF=Y")</f>
        <v>1360.1</v>
      </c>
      <c r="AB12" s="16" cm="1">
        <f t="array" ref="AB12">_xll.BDH("PCAR US Equity","GROSS_PROFIT","FQ2 2025","FQ2 2025","Currency=USD","Period=FQ","BEST_FPERIOD_OVERRIDE=FQ","FILING_STATUS=MR","SCALING_FORMAT=MLN","FA_ADJUSTED=Adjusted","Sort=A","Dates=H","DateFormat=P","Fill=—","Direction=H","UseDPDF=Y")</f>
        <v>1314.8</v>
      </c>
      <c r="AC12" s="16" cm="1">
        <f t="array" ref="AC12">_xll.BDH("PCAR US Equity","GROSS_PROFIT","FQ3 2025","FQ3 2025","Currency=USD","Period=FQ","BEST_FPERIOD_OVERRIDE=FQ","FILING_STATUS=MR","SCALING_FORMAT=MLN","FA_ADJUSTED=Adjusted","Sort=A","Dates=H","DateFormat=P","Fill=—","Direction=H","UseDPDF=Y")</f>
        <v>1125.4000000000001</v>
      </c>
      <c r="AD12" s="16" cm="1">
        <f t="array" ref="AD12">_xll.BDH("PCAR US Equity","GROSS_PROFIT","FQ4 2025","FQ4 2025","Currency=USD","Period=FQ","BEST_FPERIOD_OVERRIDE=FQ","FILING_STATUS=MR","SCALING_FORMAT=MLN","FA_ADJUSTED=Adjusted","Sort=A","Dates=H","DateFormat=P","Fill=—","Direction=H","UseDPDF=Y")</f>
        <v>943.5</v>
      </c>
      <c r="AE12" s="16">
        <v>828.17530545454599</v>
      </c>
      <c r="AF12" s="16">
        <v>941.15062909090898</v>
      </c>
    </row>
    <row r="13" spans="1:32" x14ac:dyDescent="0.25">
      <c r="A13" s="10" t="s">
        <v>79</v>
      </c>
      <c r="B13" s="10" t="s">
        <v>80</v>
      </c>
      <c r="C13" s="13" cm="1">
        <f t="array" ref="C13">_xll.BDH("PCAR US Equity","IS_OTHER_OPER_INC","FQ1 2019","FQ1 2019","Currency=USD","Period=FQ","BEST_FPERIOD_OVERRIDE=FQ","FILING_STATUS=MR","SCALING_FORMAT=MLN","FA_ADJUSTED=Adjusted","Sort=A","Dates=H","DateFormat=P","Fill=—","Direction=H","UseDPDF=Y")</f>
        <v>0</v>
      </c>
      <c r="D13" s="13" cm="1">
        <f t="array" ref="D13">_xll.BDH("PCAR US Equity","IS_OTHER_OPER_INC","FQ2 2019","FQ2 2019","Currency=USD","Period=FQ","BEST_FPERIOD_OVERRIDE=FQ","FILING_STATUS=MR","SCALING_FORMAT=MLN","FA_ADJUSTED=Adjusted","Sort=A","Dates=H","DateFormat=P","Fill=—","Direction=H","UseDPDF=Y")</f>
        <v>0</v>
      </c>
      <c r="E13" s="13" cm="1">
        <f t="array" ref="E13">_xll.BDH("PCAR US Equity","IS_OTHER_OPER_INC","FQ3 2019","FQ3 2019","Currency=USD","Period=FQ","BEST_FPERIOD_OVERRIDE=FQ","FILING_STATUS=MR","SCALING_FORMAT=MLN","FA_ADJUSTED=Adjusted","Sort=A","Dates=H","DateFormat=P","Fill=—","Direction=H","UseDPDF=Y")</f>
        <v>0</v>
      </c>
      <c r="F13" s="13" cm="1">
        <f t="array" ref="F13">_xll.BDH("PCAR US Equity","IS_OTHER_OPER_INC","FQ4 2019","FQ4 2019","Currency=USD","Period=FQ","BEST_FPERIOD_OVERRIDE=FQ","FILING_STATUS=MR","SCALING_FORMAT=MLN","FA_ADJUSTED=Adjusted","Sort=A","Dates=H","DateFormat=P","Fill=—","Direction=H","UseDPDF=Y")</f>
        <v>0</v>
      </c>
      <c r="G13" s="13" cm="1">
        <f t="array" ref="G13">_xll.BDH("PCAR US Equity","IS_OTHER_OPER_INC","FQ1 2020","FQ1 2020","Currency=USD","Period=FQ","BEST_FPERIOD_OVERRIDE=FQ","FILING_STATUS=MR","SCALING_FORMAT=MLN","FA_ADJUSTED=Adjusted","Sort=A","Dates=H","DateFormat=P","Fill=—","Direction=H","UseDPDF=Y")</f>
        <v>0</v>
      </c>
      <c r="H13" s="13" cm="1">
        <f t="array" ref="H13">_xll.BDH("PCAR US Equity","IS_OTHER_OPER_INC","FQ2 2020","FQ2 2020","Currency=USD","Period=FQ","BEST_FPERIOD_OVERRIDE=FQ","FILING_STATUS=MR","SCALING_FORMAT=MLN","FA_ADJUSTED=Adjusted","Sort=A","Dates=H","DateFormat=P","Fill=—","Direction=H","UseDPDF=Y")</f>
        <v>0</v>
      </c>
      <c r="I13" s="13" cm="1">
        <f t="array" ref="I13">_xll.BDH("PCAR US Equity","IS_OTHER_OPER_INC","FQ3 2020","FQ3 2020","Currency=USD","Period=FQ","BEST_FPERIOD_OVERRIDE=FQ","FILING_STATUS=MR","SCALING_FORMAT=MLN","FA_ADJUSTED=Adjusted","Sort=A","Dates=H","DateFormat=P","Fill=—","Direction=H","UseDPDF=Y")</f>
        <v>0</v>
      </c>
      <c r="J13" s="13" cm="1">
        <f t="array" ref="J13">_xll.BDH("PCAR US Equity","IS_OTHER_OPER_INC","FQ4 2020","FQ4 2020","Currency=USD","Period=FQ","BEST_FPERIOD_OVERRIDE=FQ","FILING_STATUS=MR","SCALING_FORMAT=MLN","FA_ADJUSTED=Adjusted","Sort=A","Dates=H","DateFormat=P","Fill=—","Direction=H","UseDPDF=Y")</f>
        <v>0</v>
      </c>
      <c r="K13" s="13" cm="1">
        <f t="array" ref="K13">_xll.BDH("PCAR US Equity","IS_OTHER_OPER_INC","FQ1 2021","FQ1 2021","Currency=USD","Period=FQ","BEST_FPERIOD_OVERRIDE=FQ","FILING_STATUS=MR","SCALING_FORMAT=MLN","FA_ADJUSTED=Adjusted","Sort=A","Dates=H","DateFormat=P","Fill=—","Direction=H","UseDPDF=Y")</f>
        <v>0</v>
      </c>
      <c r="L13" s="13" cm="1">
        <f t="array" ref="L13">_xll.BDH("PCAR US Equity","IS_OTHER_OPER_INC","FQ2 2021","FQ2 2021","Currency=USD","Period=FQ","BEST_FPERIOD_OVERRIDE=FQ","FILING_STATUS=MR","SCALING_FORMAT=MLN","FA_ADJUSTED=Adjusted","Sort=A","Dates=H","DateFormat=P","Fill=—","Direction=H","UseDPDF=Y")</f>
        <v>0</v>
      </c>
      <c r="M13" s="13" cm="1">
        <f t="array" ref="M13">_xll.BDH("PCAR US Equity","IS_OTHER_OPER_INC","FQ3 2021","FQ3 2021","Currency=USD","Period=FQ","BEST_FPERIOD_OVERRIDE=FQ","FILING_STATUS=MR","SCALING_FORMAT=MLN","FA_ADJUSTED=Adjusted","Sort=A","Dates=H","DateFormat=P","Fill=—","Direction=H","UseDPDF=Y")</f>
        <v>0</v>
      </c>
      <c r="N13" s="13" cm="1">
        <f t="array" ref="N13">_xll.BDH("PCAR US Equity","IS_OTHER_OPER_INC","FQ4 2021","FQ4 2021","Currency=USD","Period=FQ","BEST_FPERIOD_OVERRIDE=FQ","FILING_STATUS=MR","SCALING_FORMAT=MLN","FA_ADJUSTED=Adjusted","Sort=A","Dates=H","DateFormat=P","Fill=—","Direction=H","UseDPDF=Y")</f>
        <v>0</v>
      </c>
      <c r="O13" s="13" cm="1">
        <f t="array" ref="O13">_xll.BDH("PCAR US Equity","IS_OTHER_OPER_INC","FQ1 2022","FQ1 2022","Currency=USD","Period=FQ","BEST_FPERIOD_OVERRIDE=FQ","FILING_STATUS=MR","SCALING_FORMAT=MLN","FA_ADJUSTED=Adjusted","Sort=A","Dates=H","DateFormat=P","Fill=—","Direction=H","UseDPDF=Y")</f>
        <v>0</v>
      </c>
      <c r="P13" s="13" cm="1">
        <f t="array" ref="P13">_xll.BDH("PCAR US Equity","IS_OTHER_OPER_INC","FQ2 2022","FQ2 2022","Currency=USD","Period=FQ","BEST_FPERIOD_OVERRIDE=FQ","FILING_STATUS=MR","SCALING_FORMAT=MLN","FA_ADJUSTED=Adjusted","Sort=A","Dates=H","DateFormat=P","Fill=—","Direction=H","UseDPDF=Y")</f>
        <v>0</v>
      </c>
      <c r="Q13" s="13" cm="1">
        <f t="array" ref="Q13">_xll.BDH("PCAR US Equity","IS_OTHER_OPER_INC","FQ3 2022","FQ3 2022","Currency=USD","Period=FQ","BEST_FPERIOD_OVERRIDE=FQ","FILING_STATUS=MR","SCALING_FORMAT=MLN","FA_ADJUSTED=Adjusted","Sort=A","Dates=H","DateFormat=P","Fill=—","Direction=H","UseDPDF=Y")</f>
        <v>0</v>
      </c>
      <c r="R13" s="13" cm="1">
        <f t="array" ref="R13">_xll.BDH("PCAR US Equity","IS_OTHER_OPER_INC","FQ4 2022","FQ4 2022","Currency=USD","Period=FQ","BEST_FPERIOD_OVERRIDE=FQ","FILING_STATUS=MR","SCALING_FORMAT=MLN","FA_ADJUSTED=Adjusted","Sort=A","Dates=H","DateFormat=P","Fill=—","Direction=H","UseDPDF=Y")</f>
        <v>0</v>
      </c>
      <c r="S13" s="13" cm="1">
        <f t="array" ref="S13">_xll.BDH("PCAR US Equity","IS_OTHER_OPER_INC","FQ1 2023","FQ1 2023","Currency=USD","Period=FQ","BEST_FPERIOD_OVERRIDE=FQ","FILING_STATUS=MR","SCALING_FORMAT=MLN","FA_ADJUSTED=Adjusted","Sort=A","Dates=H","DateFormat=P","Fill=—","Direction=H","UseDPDF=Y")</f>
        <v>0</v>
      </c>
      <c r="T13" s="13" cm="1">
        <f t="array" ref="T13">_xll.BDH("PCAR US Equity","IS_OTHER_OPER_INC","FQ2 2023","FQ2 2023","Currency=USD","Period=FQ","BEST_FPERIOD_OVERRIDE=FQ","FILING_STATUS=MR","SCALING_FORMAT=MLN","FA_ADJUSTED=Adjusted","Sort=A","Dates=H","DateFormat=P","Fill=—","Direction=H","UseDPDF=Y")</f>
        <v>0</v>
      </c>
      <c r="U13" s="13" cm="1">
        <f t="array" ref="U13">_xll.BDH("PCAR US Equity","IS_OTHER_OPER_INC","FQ3 2023","FQ3 2023","Currency=USD","Period=FQ","BEST_FPERIOD_OVERRIDE=FQ","FILING_STATUS=MR","SCALING_FORMAT=MLN","FA_ADJUSTED=Adjusted","Sort=A","Dates=H","DateFormat=P","Fill=—","Direction=H","UseDPDF=Y")</f>
        <v>0</v>
      </c>
      <c r="V13" s="13" cm="1">
        <f t="array" ref="V13">_xll.BDH("PCAR US Equity","IS_OTHER_OPER_INC","FQ4 2023","FQ4 2023","Currency=USD","Period=FQ","BEST_FPERIOD_OVERRIDE=FQ","FILING_STATUS=MR","SCALING_FORMAT=MLN","FA_ADJUSTED=Adjusted","Sort=A","Dates=H","DateFormat=P","Fill=—","Direction=H","UseDPDF=Y")</f>
        <v>0</v>
      </c>
      <c r="W13" s="13" cm="1">
        <f t="array" ref="W13">_xll.BDH("PCAR US Equity","IS_OTHER_OPER_INC","FQ1 2024","FQ1 2024","Currency=USD","Period=FQ","BEST_FPERIOD_OVERRIDE=FQ","FILING_STATUS=MR","SCALING_FORMAT=MLN","FA_ADJUSTED=Adjusted","Sort=A","Dates=H","DateFormat=P","Fill=—","Direction=H","UseDPDF=Y")</f>
        <v>0</v>
      </c>
      <c r="X13" s="13" cm="1">
        <f t="array" ref="X13">_xll.BDH("PCAR US Equity","IS_OTHER_OPER_INC","FQ2 2024","FQ2 2024","Currency=USD","Period=FQ","BEST_FPERIOD_OVERRIDE=FQ","FILING_STATUS=MR","SCALING_FORMAT=MLN","FA_ADJUSTED=Adjusted","Sort=A","Dates=H","DateFormat=P","Fill=—","Direction=H","UseDPDF=Y")</f>
        <v>0</v>
      </c>
      <c r="Y13" s="13" cm="1">
        <f t="array" ref="Y13">_xll.BDH("PCAR US Equity","IS_OTHER_OPER_INC","FQ3 2024","FQ3 2024","Currency=USD","Period=FQ","BEST_FPERIOD_OVERRIDE=FQ","FILING_STATUS=MR","SCALING_FORMAT=MLN","FA_ADJUSTED=Adjusted","Sort=A","Dates=H","DateFormat=P","Fill=—","Direction=H","UseDPDF=Y")</f>
        <v>0</v>
      </c>
      <c r="Z13" s="13" cm="1">
        <f t="array" ref="Z13">_xll.BDH("PCAR US Equity","IS_OTHER_OPER_INC","FQ4 2024","FQ4 2024","Currency=USD","Period=FQ","BEST_FPERIOD_OVERRIDE=FQ","FILING_STATUS=MR","SCALING_FORMAT=MLN","FA_ADJUSTED=Adjusted","Sort=A","Dates=H","DateFormat=P","Fill=—","Direction=H","UseDPDF=Y")</f>
        <v>0</v>
      </c>
      <c r="AA13" s="13" cm="1">
        <f t="array" ref="AA13">_xll.BDH("PCAR US Equity","IS_OTHER_OPER_INC","FQ1 2025","FQ1 2025","Currency=USD","Period=FQ","BEST_FPERIOD_OVERRIDE=FQ","FILING_STATUS=MR","SCALING_FORMAT=MLN","FA_ADJUSTED=Adjusted","Sort=A","Dates=H","DateFormat=P","Fill=—","Direction=H","UseDPDF=Y")</f>
        <v>0</v>
      </c>
      <c r="AB13" s="13" cm="1">
        <f t="array" ref="AB13">_xll.BDH("PCAR US Equity","IS_OTHER_OPER_INC","FQ2 2025","FQ2 2025","Currency=USD","Period=FQ","BEST_FPERIOD_OVERRIDE=FQ","FILING_STATUS=MR","SCALING_FORMAT=MLN","FA_ADJUSTED=Adjusted","Sort=A","Dates=H","DateFormat=P","Fill=—","Direction=H","UseDPDF=Y")</f>
        <v>0</v>
      </c>
      <c r="AC13" s="13" cm="1">
        <f t="array" ref="AC13">_xll.BDH("PCAR US Equity","IS_OTHER_OPER_INC","FQ3 2025","FQ3 2025","Currency=USD","Period=FQ","BEST_FPERIOD_OVERRIDE=FQ","FILING_STATUS=MR","SCALING_FORMAT=MLN","FA_ADJUSTED=Adjusted","Sort=A","Dates=H","DateFormat=P","Fill=—","Direction=H","UseDPDF=Y")</f>
        <v>0</v>
      </c>
      <c r="AD13" s="13" cm="1">
        <f t="array" ref="AD13">_xll.BDH("PCAR US Equity","IS_OTHER_OPER_INC","FQ4 2025","FQ4 2025","Currency=USD","Period=FQ","BEST_FPERIOD_OVERRIDE=FQ","FILING_STATUS=MR","SCALING_FORMAT=MLN","FA_ADJUSTED=Adjusted","Sort=A","Dates=H","DateFormat=P","Fill=—","Direction=H","UseDPDF=Y")</f>
        <v>0</v>
      </c>
      <c r="AE13" s="13"/>
      <c r="AF13" s="13"/>
    </row>
    <row r="14" spans="1:32" x14ac:dyDescent="0.25">
      <c r="A14" s="10" t="s">
        <v>81</v>
      </c>
      <c r="B14" s="10" t="s">
        <v>82</v>
      </c>
      <c r="C14" s="13" cm="1">
        <f t="array" ref="C14">_xll.BDH("PCAR US Equity","IS_OPERATING_EXPN","FQ1 2019","FQ1 2019","Currency=USD","Period=FQ","BEST_FPERIOD_OVERRIDE=FQ","FILING_STATUS=MR","SCALING_FORMAT=MLN","FA_ADJUSTED=Adjusted","Sort=A","Dates=H","DateFormat=P","Fill=—","Direction=H","UseDPDF=Y")</f>
        <v>427.3</v>
      </c>
      <c r="D14" s="13" cm="1">
        <f t="array" ref="D14">_xll.BDH("PCAR US Equity","IS_OPERATING_EXPN","FQ2 2019","FQ2 2019","Currency=USD","Period=FQ","BEST_FPERIOD_OVERRIDE=FQ","FILING_STATUS=MR","SCALING_FORMAT=MLN","FA_ADJUSTED=Adjusted","Sort=A","Dates=H","DateFormat=P","Fill=—","Direction=H","UseDPDF=Y")</f>
        <v>443.4</v>
      </c>
      <c r="E14" s="13" cm="1">
        <f t="array" ref="E14">_xll.BDH("PCAR US Equity","IS_OPERATING_EXPN","FQ3 2019","FQ3 2019","Currency=USD","Period=FQ","BEST_FPERIOD_OVERRIDE=FQ","FILING_STATUS=MR","SCALING_FORMAT=MLN","FA_ADJUSTED=Adjusted","Sort=A","Dates=H","DateFormat=P","Fill=—","Direction=H","UseDPDF=Y")</f>
        <v>455.7</v>
      </c>
      <c r="F14" s="13" cm="1">
        <f t="array" ref="F14">_xll.BDH("PCAR US Equity","IS_OPERATING_EXPN","FQ4 2019","FQ4 2019","Currency=USD","Period=FQ","BEST_FPERIOD_OVERRIDE=FQ","FILING_STATUS=MR","SCALING_FORMAT=MLN","FA_ADJUSTED=Adjusted","Sort=A","Dates=H","DateFormat=P","Fill=—","Direction=H","UseDPDF=Y")</f>
        <v>512.29999999999995</v>
      </c>
      <c r="G14" s="13" cm="1">
        <f t="array" ref="G14">_xll.BDH("PCAR US Equity","IS_OPERATING_EXPN","FQ1 2020","FQ1 2020","Currency=USD","Period=FQ","BEST_FPERIOD_OVERRIDE=FQ","FILING_STATUS=MR","SCALING_FORMAT=MLN","FA_ADJUSTED=Adjusted","Sort=A","Dates=H","DateFormat=P","Fill=—","Direction=H","UseDPDF=Y")</f>
        <v>481.4</v>
      </c>
      <c r="H14" s="13" cm="1">
        <f t="array" ref="H14">_xll.BDH("PCAR US Equity","IS_OPERATING_EXPN","FQ2 2020","FQ2 2020","Currency=USD","Period=FQ","BEST_FPERIOD_OVERRIDE=FQ","FILING_STATUS=MR","SCALING_FORMAT=MLN","FA_ADJUSTED=Adjusted","Sort=A","Dates=H","DateFormat=P","Fill=—","Direction=H","UseDPDF=Y")</f>
        <v>418.3</v>
      </c>
      <c r="I14" s="13" cm="1">
        <f t="array" ref="I14">_xll.BDH("PCAR US Equity","IS_OPERATING_EXPN","FQ3 2020","FQ3 2020","Currency=USD","Period=FQ","BEST_FPERIOD_OVERRIDE=FQ","FILING_STATUS=MR","SCALING_FORMAT=MLN","FA_ADJUSTED=Adjusted","Sort=A","Dates=H","DateFormat=P","Fill=—","Direction=H","UseDPDF=Y")</f>
        <v>462</v>
      </c>
      <c r="J14" s="13" cm="1">
        <f t="array" ref="J14">_xll.BDH("PCAR US Equity","IS_OPERATING_EXPN","FQ4 2020","FQ4 2020","Currency=USD","Period=FQ","BEST_FPERIOD_OVERRIDE=FQ","FILING_STATUS=MR","SCALING_FORMAT=MLN","FA_ADJUSTED=Adjusted","Sort=A","Dates=H","DateFormat=P","Fill=—","Direction=H","UseDPDF=Y")</f>
        <v>530.4</v>
      </c>
      <c r="K14" s="13" cm="1">
        <f t="array" ref="K14">_xll.BDH("PCAR US Equity","IS_OPERATING_EXPN","FQ1 2021","FQ1 2021","Currency=USD","Period=FQ","BEST_FPERIOD_OVERRIDE=FQ","FILING_STATUS=MR","SCALING_FORMAT=MLN","FA_ADJUSTED=Adjusted","Sort=A","Dates=H","DateFormat=P","Fill=—","Direction=H","UseDPDF=Y")</f>
        <v>523.6</v>
      </c>
      <c r="L14" s="13" cm="1">
        <f t="array" ref="L14">_xll.BDH("PCAR US Equity","IS_OPERATING_EXPN","FQ2 2021","FQ2 2021","Currency=USD","Period=FQ","BEST_FPERIOD_OVERRIDE=FQ","FILING_STATUS=MR","SCALING_FORMAT=MLN","FA_ADJUSTED=Adjusted","Sort=A","Dates=H","DateFormat=P","Fill=—","Direction=H","UseDPDF=Y")</f>
        <v>528.79999999999995</v>
      </c>
      <c r="M14" s="13" cm="1">
        <f t="array" ref="M14">_xll.BDH("PCAR US Equity","IS_OPERATING_EXPN","FQ3 2021","FQ3 2021","Currency=USD","Period=FQ","BEST_FPERIOD_OVERRIDE=FQ","FILING_STATUS=MR","SCALING_FORMAT=MLN","FA_ADJUSTED=Adjusted","Sort=A","Dates=H","DateFormat=P","Fill=—","Direction=H","UseDPDF=Y")</f>
        <v>460.9</v>
      </c>
      <c r="N14" s="13" cm="1">
        <f t="array" ref="N14">_xll.BDH("PCAR US Equity","IS_OPERATING_EXPN","FQ4 2021","FQ4 2021","Currency=USD","Period=FQ","BEST_FPERIOD_OVERRIDE=FQ","FILING_STATUS=MR","SCALING_FORMAT=MLN","FA_ADJUSTED=Adjusted","Sort=A","Dates=H","DateFormat=P","Fill=—","Direction=H","UseDPDF=Y")</f>
        <v>267.10000000000002</v>
      </c>
      <c r="O14" s="13" cm="1">
        <f t="array" ref="O14">_xll.BDH("PCAR US Equity","IS_OPERATING_EXPN","FQ1 2022","FQ1 2022","Currency=USD","Period=FQ","BEST_FPERIOD_OVERRIDE=FQ","FILING_STATUS=MR","SCALING_FORMAT=MLN","FA_ADJUSTED=Adjusted","Sort=A","Dates=H","DateFormat=P","Fill=—","Direction=H","UseDPDF=Y")</f>
        <v>405.4</v>
      </c>
      <c r="P14" s="13" cm="1">
        <f t="array" ref="P14">_xll.BDH("PCAR US Equity","IS_OPERATING_EXPN","FQ2 2022","FQ2 2022","Currency=USD","Period=FQ","BEST_FPERIOD_OVERRIDE=FQ","FILING_STATUS=MR","SCALING_FORMAT=MLN","FA_ADJUSTED=Adjusted","Sort=A","Dates=H","DateFormat=P","Fill=—","Direction=H","UseDPDF=Y")</f>
        <v>407</v>
      </c>
      <c r="Q14" s="13" cm="1">
        <f t="array" ref="Q14">_xll.BDH("PCAR US Equity","IS_OPERATING_EXPN","FQ3 2022","FQ3 2022","Currency=USD","Period=FQ","BEST_FPERIOD_OVERRIDE=FQ","FILING_STATUS=MR","SCALING_FORMAT=MLN","FA_ADJUSTED=Adjusted","Sort=A","Dates=H","DateFormat=P","Fill=—","Direction=H","UseDPDF=Y")</f>
        <v>390.5</v>
      </c>
      <c r="R14" s="13" cm="1">
        <f t="array" ref="R14">_xll.BDH("PCAR US Equity","IS_OPERATING_EXPN","FQ4 2022","FQ4 2022","Currency=USD","Period=FQ","BEST_FPERIOD_OVERRIDE=FQ","FILING_STATUS=MR","SCALING_FORMAT=MLN","FA_ADJUSTED=Adjusted","Sort=A","Dates=H","DateFormat=P","Fill=—","Direction=H","UseDPDF=Y")</f>
        <v>296.39999999999998</v>
      </c>
      <c r="S14" s="13" cm="1">
        <f t="array" ref="S14">_xll.BDH("PCAR US Equity","IS_OPERATING_EXPN","FQ1 2023","FQ1 2023","Currency=USD","Period=FQ","BEST_FPERIOD_OVERRIDE=FQ","FILING_STATUS=MR","SCALING_FORMAT=MLN","FA_ADJUSTED=Adjusted","Sort=A","Dates=H","DateFormat=P","Fill=—","Direction=H","UseDPDF=Y")</f>
        <v>437.6</v>
      </c>
      <c r="T14" s="13" cm="1">
        <f t="array" ref="T14">_xll.BDH("PCAR US Equity","IS_OPERATING_EXPN","FQ2 2023","FQ2 2023","Currency=USD","Period=FQ","BEST_FPERIOD_OVERRIDE=FQ","FILING_STATUS=MR","SCALING_FORMAT=MLN","FA_ADJUSTED=Adjusted","Sort=A","Dates=H","DateFormat=P","Fill=—","Direction=H","UseDPDF=Y")</f>
        <v>425.8</v>
      </c>
      <c r="U14" s="13" cm="1">
        <f t="array" ref="U14">_xll.BDH("PCAR US Equity","IS_OPERATING_EXPN","FQ3 2023","FQ3 2023","Currency=USD","Period=FQ","BEST_FPERIOD_OVERRIDE=FQ","FILING_STATUS=MR","SCALING_FORMAT=MLN","FA_ADJUSTED=Adjusted","Sort=A","Dates=H","DateFormat=P","Fill=—","Direction=H","UseDPDF=Y")</f>
        <v>438.9</v>
      </c>
      <c r="V14" s="13" cm="1">
        <f t="array" ref="V14">_xll.BDH("PCAR US Equity","IS_OPERATING_EXPN","FQ4 2023","FQ4 2023","Currency=USD","Period=FQ","BEST_FPERIOD_OVERRIDE=FQ","FILING_STATUS=MR","SCALING_FORMAT=MLN","FA_ADJUSTED=Adjusted","Sort=A","Dates=H","DateFormat=P","Fill=—","Direction=H","UseDPDF=Y")</f>
        <v>320.2</v>
      </c>
      <c r="W14" s="13" cm="1">
        <f t="array" ref="W14">_xll.BDH("PCAR US Equity","IS_OPERATING_EXPN","FQ1 2024","FQ1 2024","Currency=USD","Period=FQ","BEST_FPERIOD_OVERRIDE=FQ","FILING_STATUS=MR","SCALING_FORMAT=MLN","FA_ADJUSTED=Adjusted","Sort=A","Dates=H","DateFormat=P","Fill=—","Direction=H","UseDPDF=Y")</f>
        <v>488.5</v>
      </c>
      <c r="X14" s="13" cm="1">
        <f t="array" ref="X14">_xll.BDH("PCAR US Equity","IS_OPERATING_EXPN","FQ2 2024","FQ2 2024","Currency=USD","Period=FQ","BEST_FPERIOD_OVERRIDE=FQ","FILING_STATUS=MR","SCALING_FORMAT=MLN","FA_ADJUSTED=Adjusted","Sort=A","Dates=H","DateFormat=P","Fill=—","Direction=H","UseDPDF=Y")</f>
        <v>485.9</v>
      </c>
      <c r="Y14" s="13" cm="1">
        <f t="array" ref="Y14">_xll.BDH("PCAR US Equity","IS_OPERATING_EXPN","FQ3 2024","FQ3 2024","Currency=USD","Period=FQ","BEST_FPERIOD_OVERRIDE=FQ","FILING_STATUS=MR","SCALING_FORMAT=MLN","FA_ADJUSTED=Adjusted","Sort=A","Dates=H","DateFormat=P","Fill=—","Direction=H","UseDPDF=Y")</f>
        <v>500.5</v>
      </c>
      <c r="Z14" s="13" cm="1">
        <f t="array" ref="Z14">_xll.BDH("PCAR US Equity","IS_OPERATING_EXPN","FQ4 2024","FQ4 2024","Currency=USD","Period=FQ","BEST_FPERIOD_OVERRIDE=FQ","FILING_STATUS=MR","SCALING_FORMAT=MLN","FA_ADJUSTED=Adjusted","Sort=A","Dates=H","DateFormat=P","Fill=—","Direction=H","UseDPDF=Y")</f>
        <v>328.1</v>
      </c>
      <c r="AA14" s="13" cm="1">
        <f t="array" ref="AA14">_xll.BDH("PCAR US Equity","IS_OPERATING_EXPN","FQ1 2025","FQ1 2025","Currency=USD","Period=FQ","BEST_FPERIOD_OVERRIDE=FQ","FILING_STATUS=MR","SCALING_FORMAT=MLN","FA_ADJUSTED=Adjusted","Sort=A","Dates=H","DateFormat=P","Fill=—","Direction=H","UseDPDF=Y")</f>
        <v>475</v>
      </c>
      <c r="AB14" s="13" cm="1">
        <f t="array" ref="AB14">_xll.BDH("PCAR US Equity","IS_OPERATING_EXPN","FQ2 2025","FQ2 2025","Currency=USD","Period=FQ","BEST_FPERIOD_OVERRIDE=FQ","FILING_STATUS=MR","SCALING_FORMAT=MLN","FA_ADJUSTED=Adjusted","Sort=A","Dates=H","DateFormat=P","Fill=—","Direction=H","UseDPDF=Y")</f>
        <v>476.3</v>
      </c>
      <c r="AC14" s="13" cm="1">
        <f t="array" ref="AC14">_xll.BDH("PCAR US Equity","IS_OPERATING_EXPN","FQ3 2025","FQ3 2025","Currency=USD","Period=FQ","BEST_FPERIOD_OVERRIDE=FQ","FILING_STATUS=MR","SCALING_FORMAT=MLN","FA_ADJUSTED=Adjusted","Sort=A","Dates=H","DateFormat=P","Fill=—","Direction=H","UseDPDF=Y")</f>
        <v>489.4</v>
      </c>
      <c r="AD14" s="13" cm="1">
        <f t="array" ref="AD14">_xll.BDH("PCAR US Equity","IS_OPERATING_EXPN","FQ4 2025","FQ4 2025","Currency=USD","Period=FQ","BEST_FPERIOD_OVERRIDE=FQ","FILING_STATUS=MR","SCALING_FORMAT=MLN","FA_ADJUSTED=Adjusted","Sort=A","Dates=H","DateFormat=P","Fill=—","Direction=H","UseDPDF=Y")</f>
        <v>341.4</v>
      </c>
      <c r="AE14" s="13"/>
      <c r="AF14" s="13"/>
    </row>
    <row r="15" spans="1:32" x14ac:dyDescent="0.25">
      <c r="A15" s="10" t="s">
        <v>83</v>
      </c>
      <c r="B15" s="10" t="s">
        <v>84</v>
      </c>
      <c r="C15" s="13" cm="1">
        <f t="array" ref="C15">_xll.BDH("PCAR US Equity","IS_SGA_EXPENSE","FQ1 2019","FQ1 2019","Currency=USD","Period=FQ","BEST_FPERIOD_OVERRIDE=FQ","FILING_STATUS=MR","SCALING_FORMAT=MLN","FA_ADJUSTED=Adjusted","Sort=A","Dates=H","DateFormat=P","Fill=—","Direction=H","UseDPDF=Y")</f>
        <v>169.4</v>
      </c>
      <c r="D15" s="13" cm="1">
        <f t="array" ref="D15">_xll.BDH("PCAR US Equity","IS_SGA_EXPENSE","FQ2 2019","FQ2 2019","Currency=USD","Period=FQ","BEST_FPERIOD_OVERRIDE=FQ","FILING_STATUS=MR","SCALING_FORMAT=MLN","FA_ADJUSTED=Adjusted","Sort=A","Dates=H","DateFormat=P","Fill=—","Direction=H","UseDPDF=Y")</f>
        <v>173.3</v>
      </c>
      <c r="E15" s="13" cm="1">
        <f t="array" ref="E15">_xll.BDH("PCAR US Equity","IS_SGA_EXPENSE","FQ3 2019","FQ3 2019","Currency=USD","Period=FQ","BEST_FPERIOD_OVERRIDE=FQ","FILING_STATUS=MR","SCALING_FORMAT=MLN","FA_ADJUSTED=Adjusted","Sort=A","Dates=H","DateFormat=P","Fill=—","Direction=H","UseDPDF=Y")</f>
        <v>172.6</v>
      </c>
      <c r="F15" s="13" cm="1">
        <f t="array" ref="F15">_xll.BDH("PCAR US Equity","IS_SGA_EXPENSE","FQ4 2019","FQ4 2019","Currency=USD","Period=FQ","BEST_FPERIOD_OVERRIDE=FQ","FILING_STATUS=MR","SCALING_FORMAT=MLN","FA_ADJUSTED=Adjusted","Sort=A","Dates=H","DateFormat=P","Fill=—","Direction=H","UseDPDF=Y")</f>
        <v>183.2</v>
      </c>
      <c r="G15" s="13" cm="1">
        <f t="array" ref="G15">_xll.BDH("PCAR US Equity","IS_SGA_EXPENSE","FQ1 2020","FQ1 2020","Currency=USD","Period=FQ","BEST_FPERIOD_OVERRIDE=FQ","FILING_STATUS=MR","SCALING_FORMAT=MLN","FA_ADJUSTED=Adjusted","Sort=A","Dates=H","DateFormat=P","Fill=—","Direction=H","UseDPDF=Y")</f>
        <v>164</v>
      </c>
      <c r="H15" s="13" cm="1">
        <f t="array" ref="H15">_xll.BDH("PCAR US Equity","IS_SGA_EXPENSE","FQ2 2020","FQ2 2020","Currency=USD","Period=FQ","BEST_FPERIOD_OVERRIDE=FQ","FILING_STATUS=MR","SCALING_FORMAT=MLN","FA_ADJUSTED=Adjusted","Sort=A","Dates=H","DateFormat=P","Fill=—","Direction=H","UseDPDF=Y")</f>
        <v>120.2</v>
      </c>
      <c r="I15" s="13" cm="1">
        <f t="array" ref="I15">_xll.BDH("PCAR US Equity","IS_SGA_EXPENSE","FQ3 2020","FQ3 2020","Currency=USD","Period=FQ","BEST_FPERIOD_OVERRIDE=FQ","FILING_STATUS=MR","SCALING_FORMAT=MLN","FA_ADJUSTED=Adjusted","Sort=A","Dates=H","DateFormat=P","Fill=—","Direction=H","UseDPDF=Y")</f>
        <v>131.69999999999999</v>
      </c>
      <c r="J15" s="13" cm="1">
        <f t="array" ref="J15">_xll.BDH("PCAR US Equity","IS_SGA_EXPENSE","FQ4 2020","FQ4 2020","Currency=USD","Period=FQ","BEST_FPERIOD_OVERRIDE=FQ","FILING_STATUS=MR","SCALING_FORMAT=MLN","FA_ADJUSTED=Adjusted","Sort=A","Dates=H","DateFormat=P","Fill=—","Direction=H","UseDPDF=Y")</f>
        <v>165.5</v>
      </c>
      <c r="K15" s="13" cm="1">
        <f t="array" ref="K15">_xll.BDH("PCAR US Equity","IS_SGA_EXPENSE","FQ1 2021","FQ1 2021","Currency=USD","Period=FQ","BEST_FPERIOD_OVERRIDE=FQ","FILING_STATUS=MR","SCALING_FORMAT=MLN","FA_ADJUSTED=Adjusted","Sort=A","Dates=H","DateFormat=P","Fill=—","Direction=H","UseDPDF=Y")</f>
        <v>161.1</v>
      </c>
      <c r="L15" s="13" cm="1">
        <f t="array" ref="L15">_xll.BDH("PCAR US Equity","IS_SGA_EXPENSE","FQ2 2021","FQ2 2021","Currency=USD","Period=FQ","BEST_FPERIOD_OVERRIDE=FQ","FILING_STATUS=MR","SCALING_FORMAT=MLN","FA_ADJUSTED=Adjusted","Sort=A","Dates=H","DateFormat=P","Fill=—","Direction=H","UseDPDF=Y")</f>
        <v>164.4</v>
      </c>
      <c r="M15" s="13" cm="1">
        <f t="array" ref="M15">_xll.BDH("PCAR US Equity","IS_SGA_EXPENSE","FQ3 2021","FQ3 2021","Currency=USD","Period=FQ","BEST_FPERIOD_OVERRIDE=FQ","FILING_STATUS=MR","SCALING_FORMAT=MLN","FA_ADJUSTED=Adjusted","Sort=A","Dates=H","DateFormat=P","Fill=—","Direction=H","UseDPDF=Y")</f>
        <v>168.6</v>
      </c>
      <c r="N15" s="13" cm="1">
        <f t="array" ref="N15">_xll.BDH("PCAR US Equity","IS_SGA_EXPENSE","FQ4 2021","FQ4 2021","Currency=USD","Period=FQ","BEST_FPERIOD_OVERRIDE=FQ","FILING_STATUS=MR","SCALING_FORMAT=MLN","FA_ADJUSTED=Adjusted","Sort=A","Dates=H","DateFormat=P","Fill=—","Direction=H","UseDPDF=Y")</f>
        <v>182.7</v>
      </c>
      <c r="O15" s="13" cm="1">
        <f t="array" ref="O15">_xll.BDH("PCAR US Equity","IS_SGA_EXPENSE","FQ1 2022","FQ1 2022","Currency=USD","Period=FQ","BEST_FPERIOD_OVERRIDE=FQ","FILING_STATUS=MR","SCALING_FORMAT=MLN","FA_ADJUSTED=Adjusted","Sort=A","Dates=H","DateFormat=P","Fill=—","Direction=H","UseDPDF=Y")</f>
        <v>183.7</v>
      </c>
      <c r="P15" s="13" cm="1">
        <f t="array" ref="P15">_xll.BDH("PCAR US Equity","IS_SGA_EXPENSE","FQ2 2022","FQ2 2022","Currency=USD","Period=FQ","BEST_FPERIOD_OVERRIDE=FQ","FILING_STATUS=MR","SCALING_FORMAT=MLN","FA_ADJUSTED=Adjusted","Sort=A","Dates=H","DateFormat=P","Fill=—","Direction=H","UseDPDF=Y")</f>
        <v>176.8</v>
      </c>
      <c r="Q15" s="13" cm="1">
        <f t="array" ref="Q15">_xll.BDH("PCAR US Equity","IS_SGA_EXPENSE","FQ3 2022","FQ3 2022","Currency=USD","Period=FQ","BEST_FPERIOD_OVERRIDE=FQ","FILING_STATUS=MR","SCALING_FORMAT=MLN","FA_ADJUSTED=Adjusted","Sort=A","Dates=H","DateFormat=P","Fill=—","Direction=H","UseDPDF=Y")</f>
        <v>171</v>
      </c>
      <c r="R15" s="13" cm="1">
        <f t="array" ref="R15">_xll.BDH("PCAR US Equity","IS_SGA_EXPENSE","FQ4 2022","FQ4 2022","Currency=USD","Period=FQ","BEST_FPERIOD_OVERRIDE=FQ","FILING_STATUS=MR","SCALING_FORMAT=MLN","FA_ADJUSTED=Adjusted","Sort=A","Dates=H","DateFormat=P","Fill=—","Direction=H","UseDPDF=Y")</f>
        <v>194.8</v>
      </c>
      <c r="S15" s="13" cm="1">
        <f t="array" ref="S15">_xll.BDH("PCAR US Equity","IS_SGA_EXPENSE","FQ1 2023","FQ1 2023","Currency=USD","Period=FQ","BEST_FPERIOD_OVERRIDE=FQ","FILING_STATUS=MR","SCALING_FORMAT=MLN","FA_ADJUSTED=Adjusted","Sort=A","Dates=H","DateFormat=P","Fill=—","Direction=H","UseDPDF=Y")</f>
        <v>195</v>
      </c>
      <c r="T15" s="13" cm="1">
        <f t="array" ref="T15">_xll.BDH("PCAR US Equity","IS_SGA_EXPENSE","FQ2 2023","FQ2 2023","Currency=USD","Period=FQ","BEST_FPERIOD_OVERRIDE=FQ","FILING_STATUS=MR","SCALING_FORMAT=MLN","FA_ADJUSTED=Adjusted","Sort=A","Dates=H","DateFormat=P","Fill=—","Direction=H","UseDPDF=Y")</f>
        <v>181.9</v>
      </c>
      <c r="U15" s="13" cm="1">
        <f t="array" ref="U15">_xll.BDH("PCAR US Equity","IS_SGA_EXPENSE","FQ3 2023","FQ3 2023","Currency=USD","Period=FQ","BEST_FPERIOD_OVERRIDE=FQ","FILING_STATUS=MR","SCALING_FORMAT=MLN","FA_ADJUSTED=Adjusted","Sort=A","Dates=H","DateFormat=P","Fill=—","Direction=H","UseDPDF=Y")</f>
        <v>182.3</v>
      </c>
      <c r="V15" s="13" cm="1">
        <f t="array" ref="V15">_xll.BDH("PCAR US Equity","IS_SGA_EXPENSE","FQ4 2023","FQ4 2023","Currency=USD","Period=FQ","BEST_FPERIOD_OVERRIDE=FQ","FILING_STATUS=MR","SCALING_FORMAT=MLN","FA_ADJUSTED=Adjusted","Sort=A","Dates=H","DateFormat=P","Fill=—","Direction=H","UseDPDF=Y")</f>
        <v>194.1</v>
      </c>
      <c r="W15" s="13" cm="1">
        <f t="array" ref="W15">_xll.BDH("PCAR US Equity","IS_SGA_EXPENSE","FQ1 2024","FQ1 2024","Currency=USD","Period=FQ","BEST_FPERIOD_OVERRIDE=FQ","FILING_STATUS=MR","SCALING_FORMAT=MLN","FA_ADJUSTED=Adjusted","Sort=A","Dates=H","DateFormat=P","Fill=—","Direction=H","UseDPDF=Y")</f>
        <v>186.6</v>
      </c>
      <c r="X15" s="13" cm="1">
        <f t="array" ref="X15">_xll.BDH("PCAR US Equity","IS_SGA_EXPENSE","FQ2 2024","FQ2 2024","Currency=USD","Period=FQ","BEST_FPERIOD_OVERRIDE=FQ","FILING_STATUS=MR","SCALING_FORMAT=MLN","FA_ADJUSTED=Adjusted","Sort=A","Dates=H","DateFormat=P","Fill=—","Direction=H","UseDPDF=Y")</f>
        <v>183.5</v>
      </c>
      <c r="Y15" s="13" cm="1">
        <f t="array" ref="Y15">_xll.BDH("PCAR US Equity","IS_SGA_EXPENSE","FQ3 2024","FQ3 2024","Currency=USD","Period=FQ","BEST_FPERIOD_OVERRIDE=FQ","FILING_STATUS=MR","SCALING_FORMAT=MLN","FA_ADJUSTED=Adjusted","Sort=A","Dates=H","DateFormat=P","Fill=—","Direction=H","UseDPDF=Y")</f>
        <v>186.5</v>
      </c>
      <c r="Z15" s="13" cm="1">
        <f t="array" ref="Z15">_xll.BDH("PCAR US Equity","IS_SGA_EXPENSE","FQ4 2024","FQ4 2024","Currency=USD","Period=FQ","BEST_FPERIOD_OVERRIDE=FQ","FILING_STATUS=MR","SCALING_FORMAT=MLN","FA_ADJUSTED=Adjusted","Sort=A","Dates=H","DateFormat=P","Fill=—","Direction=H","UseDPDF=Y")</f>
        <v>187.4</v>
      </c>
      <c r="AA15" s="13" cm="1">
        <f t="array" ref="AA15">_xll.BDH("PCAR US Equity","IS_SGA_EXPENSE","FQ1 2025","FQ1 2025","Currency=USD","Period=FQ","BEST_FPERIOD_OVERRIDE=FQ","FILING_STATUS=MR","SCALING_FORMAT=MLN","FA_ADJUSTED=Adjusted","Sort=A","Dates=H","DateFormat=P","Fill=—","Direction=H","UseDPDF=Y")</f>
        <v>181.6</v>
      </c>
      <c r="AB15" s="13" cm="1">
        <f t="array" ref="AB15">_xll.BDH("PCAR US Equity","IS_SGA_EXPENSE","FQ2 2025","FQ2 2025","Currency=USD","Period=FQ","BEST_FPERIOD_OVERRIDE=FQ","FILING_STATUS=MR","SCALING_FORMAT=MLN","FA_ADJUSTED=Adjusted","Sort=A","Dates=H","DateFormat=P","Fill=—","Direction=H","UseDPDF=Y")</f>
        <v>179.3</v>
      </c>
      <c r="AC15" s="13" cm="1">
        <f t="array" ref="AC15">_xll.BDH("PCAR US Equity","IS_SGA_EXPENSE","FQ3 2025","FQ3 2025","Currency=USD","Period=FQ","BEST_FPERIOD_OVERRIDE=FQ","FILING_STATUS=MR","SCALING_FORMAT=MLN","FA_ADJUSTED=Adjusted","Sort=A","Dates=H","DateFormat=P","Fill=—","Direction=H","UseDPDF=Y")</f>
        <v>180.2</v>
      </c>
      <c r="AD15" s="13" cm="1">
        <f t="array" ref="AD15">_xll.BDH("PCAR US Equity","IS_SGA_EXPENSE","FQ4 2025","FQ4 2025","Currency=USD","Period=FQ","BEST_FPERIOD_OVERRIDE=FQ","FILING_STATUS=MR","SCALING_FORMAT=MLN","FA_ADJUSTED=Adjusted","Sort=A","Dates=H","DateFormat=P","Fill=—","Direction=H","UseDPDF=Y")</f>
        <v>194.7</v>
      </c>
      <c r="AE15" s="13"/>
      <c r="AF15" s="13"/>
    </row>
    <row r="16" spans="1:32" x14ac:dyDescent="0.25">
      <c r="A16" s="10" t="s">
        <v>85</v>
      </c>
      <c r="B16" s="10" t="s">
        <v>86</v>
      </c>
      <c r="C16" s="13" cm="1">
        <f t="array" ref="C16">_xll.BDH("PCAR US Equity","IS_OPERATING_EXPENSES_RD","FQ1 2019","FQ1 2019","Currency=USD","Period=FQ","BEST_FPERIOD_OVERRIDE=FQ","FILING_STATUS=MR","SCALING_FORMAT=MLN","Sort=A","Dates=H","DateFormat=P","Fill=—","Direction=H","UseDPDF=Y")</f>
        <v>78.3</v>
      </c>
      <c r="D16" s="13" cm="1">
        <f t="array" ref="D16">_xll.BDH("PCAR US Equity","IS_OPERATING_EXPENSES_RD","FQ2 2019","FQ2 2019","Currency=USD","Period=FQ","BEST_FPERIOD_OVERRIDE=FQ","FILING_STATUS=MR","SCALING_FORMAT=MLN","Sort=A","Dates=H","DateFormat=P","Fill=—","Direction=H","UseDPDF=Y")</f>
        <v>82.5</v>
      </c>
      <c r="E16" s="13" cm="1">
        <f t="array" ref="E16">_xll.BDH("PCAR US Equity","IS_OPERATING_EXPENSES_RD","FQ3 2019","FQ3 2019","Currency=USD","Period=FQ","BEST_FPERIOD_OVERRIDE=FQ","FILING_STATUS=MR","SCALING_FORMAT=MLN","Sort=A","Dates=H","DateFormat=P","Fill=—","Direction=H","UseDPDF=Y")</f>
        <v>82.2</v>
      </c>
      <c r="F16" s="13" cm="1">
        <f t="array" ref="F16">_xll.BDH("PCAR US Equity","IS_OPERATING_EXPENSES_RD","FQ4 2019","FQ4 2019","Currency=USD","Period=FQ","BEST_FPERIOD_OVERRIDE=FQ","FILING_STATUS=MR","SCALING_FORMAT=MLN","Sort=A","Dates=H","DateFormat=P","Fill=—","Direction=H","UseDPDF=Y")</f>
        <v>83.6</v>
      </c>
      <c r="G16" s="13" cm="1">
        <f t="array" ref="G16">_xll.BDH("PCAR US Equity","IS_OPERATING_EXPENSES_RD","FQ1 2020","FQ1 2020","Currency=USD","Period=FQ","BEST_FPERIOD_OVERRIDE=FQ","FILING_STATUS=MR","SCALING_FORMAT=MLN","Sort=A","Dates=H","DateFormat=P","Fill=—","Direction=H","UseDPDF=Y")</f>
        <v>71</v>
      </c>
      <c r="H16" s="13" cm="1">
        <f t="array" ref="H16">_xll.BDH("PCAR US Equity","IS_OPERATING_EXPENSES_RD","FQ2 2020","FQ2 2020","Currency=USD","Period=FQ","BEST_FPERIOD_OVERRIDE=FQ","FILING_STATUS=MR","SCALING_FORMAT=MLN","Sort=A","Dates=H","DateFormat=P","Fill=—","Direction=H","UseDPDF=Y")</f>
        <v>66.5</v>
      </c>
      <c r="I16" s="13" cm="1">
        <f t="array" ref="I16">_xll.BDH("PCAR US Equity","IS_OPERATING_EXPENSES_RD","FQ3 2020","FQ3 2020","Currency=USD","Period=FQ","BEST_FPERIOD_OVERRIDE=FQ","FILING_STATUS=MR","SCALING_FORMAT=MLN","Sort=A","Dates=H","DateFormat=P","Fill=—","Direction=H","UseDPDF=Y")</f>
        <v>64.7</v>
      </c>
      <c r="J16" s="13" cm="1">
        <f t="array" ref="J16">_xll.BDH("PCAR US Equity","IS_OPERATING_EXPENSES_RD","FQ4 2020","FQ4 2020","Currency=USD","Period=FQ","BEST_FPERIOD_OVERRIDE=FQ","FILING_STATUS=MR","SCALING_FORMAT=MLN","Sort=A","Dates=H","DateFormat=P","Fill=—","Direction=H","UseDPDF=Y")</f>
        <v>71.7</v>
      </c>
      <c r="K16" s="13" cm="1">
        <f t="array" ref="K16">_xll.BDH("PCAR US Equity","IS_OPERATING_EXPENSES_RD","FQ1 2021","FQ1 2021","Currency=USD","Period=FQ","BEST_FPERIOD_OVERRIDE=FQ","FILING_STATUS=MR","SCALING_FORMAT=MLN","Sort=A","Dates=H","DateFormat=P","Fill=—","Direction=H","UseDPDF=Y")</f>
        <v>80.099999999999994</v>
      </c>
      <c r="L16" s="13" cm="1">
        <f t="array" ref="L16">_xll.BDH("PCAR US Equity","IS_OPERATING_EXPENSES_RD","FQ2 2021","FQ2 2021","Currency=USD","Period=FQ","BEST_FPERIOD_OVERRIDE=FQ","FILING_STATUS=MR","SCALING_FORMAT=MLN","Sort=A","Dates=H","DateFormat=P","Fill=—","Direction=H","UseDPDF=Y")</f>
        <v>84.4</v>
      </c>
      <c r="M16" s="13" cm="1">
        <f t="array" ref="M16">_xll.BDH("PCAR US Equity","IS_OPERATING_EXPENSES_RD","FQ3 2021","FQ3 2021","Currency=USD","Period=FQ","BEST_FPERIOD_OVERRIDE=FQ","FILING_STATUS=MR","SCALING_FORMAT=MLN","Sort=A","Dates=H","DateFormat=P","Fill=—","Direction=H","UseDPDF=Y")</f>
        <v>72.5</v>
      </c>
      <c r="N16" s="13" cm="1">
        <f t="array" ref="N16">_xll.BDH("PCAR US Equity","IS_OPERATING_EXPENSES_RD","FQ4 2021","FQ4 2021","Currency=USD","Period=FQ","BEST_FPERIOD_OVERRIDE=FQ","FILING_STATUS=MR","SCALING_FORMAT=MLN","Sort=A","Dates=H","DateFormat=P","Fill=—","Direction=H","UseDPDF=Y")</f>
        <v>87.1</v>
      </c>
      <c r="O16" s="13" cm="1">
        <f t="array" ref="O16">_xll.BDH("PCAR US Equity","IS_OPERATING_EXPENSES_RD","FQ1 2022","FQ1 2022","Currency=USD","Period=FQ","BEST_FPERIOD_OVERRIDE=FQ","FILING_STATUS=MR","SCALING_FORMAT=MLN","Sort=A","Dates=H","DateFormat=P","Fill=—","Direction=H","UseDPDF=Y")</f>
        <v>78</v>
      </c>
      <c r="P16" s="13" cm="1">
        <f t="array" ref="P16">_xll.BDH("PCAR US Equity","IS_OPERATING_EXPENSES_RD","FQ2 2022","FQ2 2022","Currency=USD","Period=FQ","BEST_FPERIOD_OVERRIDE=FQ","FILING_STATUS=MR","SCALING_FORMAT=MLN","Sort=A","Dates=H","DateFormat=P","Fill=—","Direction=H","UseDPDF=Y")</f>
        <v>80.400000000000006</v>
      </c>
      <c r="Q16" s="13" cm="1">
        <f t="array" ref="Q16">_xll.BDH("PCAR US Equity","IS_OPERATING_EXPENSES_RD","FQ3 2022","FQ3 2022","Currency=USD","Period=FQ","BEST_FPERIOD_OVERRIDE=FQ","FILING_STATUS=MR","SCALING_FORMAT=MLN","Sort=A","Dates=H","DateFormat=P","Fill=—","Direction=H","UseDPDF=Y")</f>
        <v>82.9</v>
      </c>
      <c r="R16" s="13" cm="1">
        <f t="array" ref="R16">_xll.BDH("PCAR US Equity","IS_OPERATING_EXPENSES_RD","FQ4 2022","FQ4 2022","Currency=USD","Period=FQ","BEST_FPERIOD_OVERRIDE=FQ","FILING_STATUS=MR","SCALING_FORMAT=MLN","Sort=A","Dates=H","DateFormat=P","Fill=—","Direction=H","UseDPDF=Y")</f>
        <v>99.9</v>
      </c>
      <c r="S16" s="13" cm="1">
        <f t="array" ref="S16">_xll.BDH("PCAR US Equity","IS_OPERATING_EXPENSES_RD","FQ1 2023","FQ1 2023","Currency=USD","Period=FQ","BEST_FPERIOD_OVERRIDE=FQ","FILING_STATUS=MR","SCALING_FORMAT=MLN","Sort=A","Dates=H","DateFormat=P","Fill=—","Direction=H","UseDPDF=Y")</f>
        <v>97.2</v>
      </c>
      <c r="T16" s="13" cm="1">
        <f t="array" ref="T16">_xll.BDH("PCAR US Equity","IS_OPERATING_EXPENSES_RD","FQ2 2023","FQ2 2023","Currency=USD","Period=FQ","BEST_FPERIOD_OVERRIDE=FQ","FILING_STATUS=MR","SCALING_FORMAT=MLN","Sort=A","Dates=H","DateFormat=P","Fill=—","Direction=H","UseDPDF=Y")</f>
        <v>101.3</v>
      </c>
      <c r="U16" s="13" cm="1">
        <f t="array" ref="U16">_xll.BDH("PCAR US Equity","IS_OPERATING_EXPENSES_RD","FQ3 2023","FQ3 2023","Currency=USD","Period=FQ","BEST_FPERIOD_OVERRIDE=FQ","FILING_STATUS=MR","SCALING_FORMAT=MLN","Sort=A","Dates=H","DateFormat=P","Fill=—","Direction=H","UseDPDF=Y")</f>
        <v>103.5</v>
      </c>
      <c r="V16" s="13" cm="1">
        <f t="array" ref="V16">_xll.BDH("PCAR US Equity","IS_OPERATING_EXPENSES_RD","FQ4 2023","FQ4 2023","Currency=USD","Period=FQ","BEST_FPERIOD_OVERRIDE=FQ","FILING_STATUS=MR","SCALING_FORMAT=MLN","Sort=A","Dates=H","DateFormat=P","Fill=—","Direction=H","UseDPDF=Y")</f>
        <v>108.9</v>
      </c>
      <c r="W16" s="13" cm="1">
        <f t="array" ref="W16">_xll.BDH("PCAR US Equity","IS_OPERATING_EXPENSES_RD","FQ1 2024","FQ1 2024","Currency=USD","Period=FQ","BEST_FPERIOD_OVERRIDE=FQ","FILING_STATUS=MR","SCALING_FORMAT=MLN","Sort=A","Dates=H","DateFormat=P","Fill=—","Direction=H","UseDPDF=Y")</f>
        <v>105.5</v>
      </c>
      <c r="X16" s="13" cm="1">
        <f t="array" ref="X16">_xll.BDH("PCAR US Equity","IS_OPERATING_EXPENSES_RD","FQ2 2024","FQ2 2024","Currency=USD","Period=FQ","BEST_FPERIOD_OVERRIDE=FQ","FILING_STATUS=MR","SCALING_FORMAT=MLN","Sort=A","Dates=H","DateFormat=P","Fill=—","Direction=H","UseDPDF=Y")</f>
        <v>117.1</v>
      </c>
      <c r="Y16" s="13" cm="1">
        <f t="array" ref="Y16">_xll.BDH("PCAR US Equity","IS_OPERATING_EXPENSES_RD","FQ3 2024","FQ3 2024","Currency=USD","Period=FQ","BEST_FPERIOD_OVERRIDE=FQ","FILING_STATUS=MR","SCALING_FORMAT=MLN","Sort=A","Dates=H","DateFormat=P","Fill=—","Direction=H","UseDPDF=Y")</f>
        <v>115</v>
      </c>
      <c r="Z16" s="13" cm="1">
        <f t="array" ref="Z16">_xll.BDH("PCAR US Equity","IS_OPERATING_EXPENSES_RD","FQ4 2024","FQ4 2024","Currency=USD","Period=FQ","BEST_FPERIOD_OVERRIDE=FQ","FILING_STATUS=MR","SCALING_FORMAT=MLN","Sort=A","Dates=H","DateFormat=P","Fill=—","Direction=H","UseDPDF=Y")</f>
        <v>115.3</v>
      </c>
      <c r="AA16" s="13" cm="1">
        <f t="array" ref="AA16">_xll.BDH("PCAR US Equity","IS_OPERATING_EXPENSES_RD","FQ1 2025","FQ1 2025","Currency=USD","Period=FQ","BEST_FPERIOD_OVERRIDE=FQ","FILING_STATUS=MR","SCALING_FORMAT=MLN","Sort=A","Dates=H","DateFormat=P","Fill=—","Direction=H","UseDPDF=Y")</f>
        <v>115.4</v>
      </c>
      <c r="AB16" s="13" cm="1">
        <f t="array" ref="AB16">_xll.BDH("PCAR US Equity","IS_OPERATING_EXPENSES_RD","FQ2 2025","FQ2 2025","Currency=USD","Period=FQ","BEST_FPERIOD_OVERRIDE=FQ","FILING_STATUS=MR","SCALING_FORMAT=MLN","Sort=A","Dates=H","DateFormat=P","Fill=—","Direction=H","UseDPDF=Y")</f>
        <v>112.9</v>
      </c>
      <c r="AC16" s="13" cm="1">
        <f t="array" ref="AC16">_xll.BDH("PCAR US Equity","IS_OPERATING_EXPENSES_RD","FQ3 2025","FQ3 2025","Currency=USD","Period=FQ","BEST_FPERIOD_OVERRIDE=FQ","FILING_STATUS=MR","SCALING_FORMAT=MLN","Sort=A","Dates=H","DateFormat=P","Fill=—","Direction=H","UseDPDF=Y")</f>
        <v>111</v>
      </c>
      <c r="AD16" s="13" cm="1">
        <f t="array" ref="AD16">_xll.BDH("PCAR US Equity","IS_OPERATING_EXPENSES_RD","FQ4 2025","FQ4 2025","Currency=USD","Period=FQ","BEST_FPERIOD_OVERRIDE=FQ","FILING_STATUS=MR","SCALING_FORMAT=MLN","Sort=A","Dates=H","DateFormat=P","Fill=—","Direction=H","UseDPDF=Y")</f>
        <v>106.2</v>
      </c>
      <c r="AE16" s="13"/>
      <c r="AF16" s="13"/>
    </row>
    <row r="17" spans="1:32" x14ac:dyDescent="0.25">
      <c r="A17" s="10" t="s">
        <v>87</v>
      </c>
      <c r="B17" s="10" t="s">
        <v>88</v>
      </c>
      <c r="C17" s="13" cm="1">
        <f t="array" ref="C17">_xll.BDH("PCAR US Equity","IS_DEPRECIATION_AND_AMORTIZATION","FQ1 2019","FQ1 2019","Currency=USD","Period=FQ","BEST_FPERIOD_OVERRIDE=FQ","FILING_STATUS=MR","SCALING_FORMAT=MLN","FA_ADJUSTED=Adjusted","Sort=A","Dates=H","DateFormat=P","Fill=—","Direction=H","UseDPDF=Y")</f>
        <v>177.4</v>
      </c>
      <c r="D17" s="13" cm="1">
        <f t="array" ref="D17">_xll.BDH("PCAR US Equity","IS_DEPRECIATION_AND_AMORTIZATION","FQ2 2019","FQ2 2019","Currency=USD","Period=FQ","BEST_FPERIOD_OVERRIDE=FQ","FILING_STATUS=MR","SCALING_FORMAT=MLN","FA_ADJUSTED=Adjusted","Sort=A","Dates=H","DateFormat=P","Fill=—","Direction=H","UseDPDF=Y")</f>
        <v>183.6</v>
      </c>
      <c r="E17" s="13" cm="1">
        <f t="array" ref="E17">_xll.BDH("PCAR US Equity","IS_DEPRECIATION_AND_AMORTIZATION","FQ3 2019","FQ3 2019","Currency=USD","Period=FQ","BEST_FPERIOD_OVERRIDE=FQ","FILING_STATUS=MR","SCALING_FORMAT=MLN","FA_ADJUSTED=Adjusted","Sort=A","Dates=H","DateFormat=P","Fill=—","Direction=H","UseDPDF=Y")</f>
        <v>195.3</v>
      </c>
      <c r="F17" s="13" cm="1">
        <f t="array" ref="F17">_xll.BDH("PCAR US Equity","IS_DEPRECIATION_AND_AMORTIZATION","FQ4 2019","FQ4 2019","Currency=USD","Period=FQ","BEST_FPERIOD_OVERRIDE=FQ","FILING_STATUS=MR","SCALING_FORMAT=MLN","FA_ADJUSTED=Adjusted","Sort=A","Dates=H","DateFormat=P","Fill=—","Direction=H","UseDPDF=Y")</f>
        <v>241.9</v>
      </c>
      <c r="G17" s="13" cm="1">
        <f t="array" ref="G17">_xll.BDH("PCAR US Equity","IS_DEPRECIATION_AND_AMORTIZATION","FQ1 2020","FQ1 2020","Currency=USD","Period=FQ","BEST_FPERIOD_OVERRIDE=FQ","FILING_STATUS=MR","SCALING_FORMAT=MLN","FA_ADJUSTED=Adjusted","Sort=A","Dates=H","DateFormat=P","Fill=—","Direction=H","UseDPDF=Y")</f>
        <v>229.4</v>
      </c>
      <c r="H17" s="13" cm="1">
        <f t="array" ref="H17">_xll.BDH("PCAR US Equity","IS_DEPRECIATION_AND_AMORTIZATION","FQ2 2020","FQ2 2020","Currency=USD","Period=FQ","BEST_FPERIOD_OVERRIDE=FQ","FILING_STATUS=MR","SCALING_FORMAT=MLN","FA_ADJUSTED=Adjusted","Sort=A","Dates=H","DateFormat=P","Fill=—","Direction=H","UseDPDF=Y")</f>
        <v>224.1</v>
      </c>
      <c r="I17" s="13" cm="1">
        <f t="array" ref="I17">_xll.BDH("PCAR US Equity","IS_DEPRECIATION_AND_AMORTIZATION","FQ3 2020","FQ3 2020","Currency=USD","Period=FQ","BEST_FPERIOD_OVERRIDE=FQ","FILING_STATUS=MR","SCALING_FORMAT=MLN","FA_ADJUSTED=Adjusted","Sort=A","Dates=H","DateFormat=P","Fill=—","Direction=H","UseDPDF=Y")</f>
        <v>262.5</v>
      </c>
      <c r="J17" s="13" cm="1">
        <f t="array" ref="J17">_xll.BDH("PCAR US Equity","IS_DEPRECIATION_AND_AMORTIZATION","FQ4 2020","FQ4 2020","Currency=USD","Period=FQ","BEST_FPERIOD_OVERRIDE=FQ","FILING_STATUS=MR","SCALING_FORMAT=MLN","FA_ADJUSTED=Adjusted","Sort=A","Dates=H","DateFormat=P","Fill=—","Direction=H","UseDPDF=Y")</f>
        <v>292</v>
      </c>
      <c r="K17" s="13" cm="1">
        <f t="array" ref="K17">_xll.BDH("PCAR US Equity","IS_DEPRECIATION_AND_AMORTIZATION","FQ1 2021","FQ1 2021","Currency=USD","Period=FQ","BEST_FPERIOD_OVERRIDE=FQ","FILING_STATUS=MR","SCALING_FORMAT=MLN","FA_ADJUSTED=Adjusted","Sort=A","Dates=H","DateFormat=P","Fill=—","Direction=H","UseDPDF=Y")</f>
        <v>278.7</v>
      </c>
      <c r="L17" s="13" cm="1">
        <f t="array" ref="L17">_xll.BDH("PCAR US Equity","IS_DEPRECIATION_AND_AMORTIZATION","FQ2 2021","FQ2 2021","Currency=USD","Period=FQ","BEST_FPERIOD_OVERRIDE=FQ","FILING_STATUS=MR","SCALING_FORMAT=MLN","FA_ADJUSTED=Adjusted","Sort=A","Dates=H","DateFormat=P","Fill=—","Direction=H","UseDPDF=Y")</f>
        <v>280.5</v>
      </c>
      <c r="M17" s="13" cm="1">
        <f t="array" ref="M17">_xll.BDH("PCAR US Equity","IS_DEPRECIATION_AND_AMORTIZATION","FQ3 2021","FQ3 2021","Currency=USD","Period=FQ","BEST_FPERIOD_OVERRIDE=FQ","FILING_STATUS=MR","SCALING_FORMAT=MLN","FA_ADJUSTED=Adjusted","Sort=A","Dates=H","DateFormat=P","Fill=—","Direction=H","UseDPDF=Y")</f>
        <v>219.8</v>
      </c>
      <c r="N17" s="13" t="str" cm="1">
        <f t="array" ref="N17">_xll.BDH("PCAR US Equity","IS_DEPRECIATION_AND_AMORTIZATION","FQ4 2021","FQ4 2021","Currency=USD","Period=FQ","BEST_FPERIOD_OVERRIDE=FQ","FILING_STATUS=MR","SCALING_FORMAT=MLN","FA_ADJUSTED=Adjusted","Sort=A","Dates=H","DateFormat=P","Fill=—","Direction=H","UseDPDF=Y")</f>
        <v>—</v>
      </c>
      <c r="O17" s="13" cm="1">
        <f t="array" ref="O17">_xll.BDH("PCAR US Equity","IS_DEPRECIATION_AND_AMORTIZATION","FQ1 2022","FQ1 2022","Currency=USD","Period=FQ","BEST_FPERIOD_OVERRIDE=FQ","FILING_STATUS=MR","SCALING_FORMAT=MLN","FA_ADJUSTED=Adjusted","Sort=A","Dates=H","DateFormat=P","Fill=—","Direction=H","UseDPDF=Y")</f>
        <v>143.5</v>
      </c>
      <c r="P17" s="13" t="str" cm="1">
        <f t="array" ref="P17">_xll.BDH("PCAR US Equity","IS_DEPRECIATION_AND_AMORTIZATION","FQ2 2022","FQ2 2022","Currency=USD","Period=FQ","BEST_FPERIOD_OVERRIDE=FQ","FILING_STATUS=MR","SCALING_FORMAT=MLN","FA_ADJUSTED=Adjusted","Sort=A","Dates=H","DateFormat=P","Fill=—","Direction=H","UseDPDF=Y")</f>
        <v>—</v>
      </c>
      <c r="Q17" s="13" t="str" cm="1">
        <f t="array" ref="Q17">_xll.BDH("PCAR US Equity","IS_DEPRECIATION_AND_AMORTIZATION","FQ3 2022","FQ3 2022","Currency=USD","Period=FQ","BEST_FPERIOD_OVERRIDE=FQ","FILING_STATUS=MR","SCALING_FORMAT=MLN","FA_ADJUSTED=Adjusted","Sort=A","Dates=H","DateFormat=P","Fill=—","Direction=H","UseDPDF=Y")</f>
        <v>—</v>
      </c>
      <c r="R17" s="13" t="str" cm="1">
        <f t="array" ref="R17">_xll.BDH("PCAR US Equity","IS_DEPRECIATION_AND_AMORTIZATION","FQ4 2022","FQ4 2022","Currency=USD","Period=FQ","BEST_FPERIOD_OVERRIDE=FQ","FILING_STATUS=MR","SCALING_FORMAT=MLN","FA_ADJUSTED=Adjusted","Sort=A","Dates=H","DateFormat=P","Fill=—","Direction=H","UseDPDF=Y")</f>
        <v>—</v>
      </c>
      <c r="S17" s="13" cm="1">
        <f t="array" ref="S17">_xll.BDH("PCAR US Equity","IS_DEPRECIATION_AND_AMORTIZATION","FQ1 2023","FQ1 2023","Currency=USD","Period=FQ","BEST_FPERIOD_OVERRIDE=FQ","FILING_STATUS=MR","SCALING_FORMAT=MLN","FA_ADJUSTED=Adjusted","Sort=A","Dates=H","DateFormat=P","Fill=—","Direction=H","UseDPDF=Y")</f>
        <v>103</v>
      </c>
      <c r="T17" s="13" t="str" cm="1">
        <f t="array" ref="T17">_xll.BDH("PCAR US Equity","IS_DEPRECIATION_AND_AMORTIZATION","FQ2 2023","FQ2 2023","Currency=USD","Period=FQ","BEST_FPERIOD_OVERRIDE=FQ","FILING_STATUS=MR","SCALING_FORMAT=MLN","FA_ADJUSTED=Adjusted","Sort=A","Dates=H","DateFormat=P","Fill=—","Direction=H","UseDPDF=Y")</f>
        <v>—</v>
      </c>
      <c r="U17" s="13" t="str" cm="1">
        <f t="array" ref="U17">_xll.BDH("PCAR US Equity","IS_DEPRECIATION_AND_AMORTIZATION","FQ3 2023","FQ3 2023","Currency=USD","Period=FQ","BEST_FPERIOD_OVERRIDE=FQ","FILING_STATUS=MR","SCALING_FORMAT=MLN","FA_ADJUSTED=Adjusted","Sort=A","Dates=H","DateFormat=P","Fill=—","Direction=H","UseDPDF=Y")</f>
        <v>—</v>
      </c>
      <c r="V17" s="13" t="str" cm="1">
        <f t="array" ref="V17">_xll.BDH("PCAR US Equity","IS_DEPRECIATION_AND_AMORTIZATION","FQ4 2023","FQ4 2023","Currency=USD","Period=FQ","BEST_FPERIOD_OVERRIDE=FQ","FILING_STATUS=MR","SCALING_FORMAT=MLN","FA_ADJUSTED=Adjusted","Sort=A","Dates=H","DateFormat=P","Fill=—","Direction=H","UseDPDF=Y")</f>
        <v>—</v>
      </c>
      <c r="W17" s="13" t="str" cm="1">
        <f t="array" ref="W17">_xll.BDH("PCAR US Equity","IS_DEPRECIATION_AND_AMORTIZATION","FQ1 2024","FQ1 2024","Currency=USD","Period=FQ","BEST_FPERIOD_OVERRIDE=FQ","FILING_STATUS=MR","SCALING_FORMAT=MLN","FA_ADJUSTED=Adjusted","Sort=A","Dates=H","DateFormat=P","Fill=—","Direction=H","UseDPDF=Y")</f>
        <v>—</v>
      </c>
      <c r="X17" s="13" t="str" cm="1">
        <f t="array" ref="X17">_xll.BDH("PCAR US Equity","IS_DEPRECIATION_AND_AMORTIZATION","FQ2 2024","FQ2 2024","Currency=USD","Period=FQ","BEST_FPERIOD_OVERRIDE=FQ","FILING_STATUS=MR","SCALING_FORMAT=MLN","FA_ADJUSTED=Adjusted","Sort=A","Dates=H","DateFormat=P","Fill=—","Direction=H","UseDPDF=Y")</f>
        <v>—</v>
      </c>
      <c r="Y17" s="13" t="str" cm="1">
        <f t="array" ref="Y17">_xll.BDH("PCAR US Equity","IS_DEPRECIATION_AND_AMORTIZATION","FQ3 2024","FQ3 2024","Currency=USD","Period=FQ","BEST_FPERIOD_OVERRIDE=FQ","FILING_STATUS=MR","SCALING_FORMAT=MLN","FA_ADJUSTED=Adjusted","Sort=A","Dates=H","DateFormat=P","Fill=—","Direction=H","UseDPDF=Y")</f>
        <v>—</v>
      </c>
      <c r="Z17" s="13" t="str" cm="1">
        <f t="array" ref="Z17">_xll.BDH("PCAR US Equity","IS_DEPRECIATION_AND_AMORTIZATION","FQ4 2024","FQ4 2024","Currency=USD","Period=FQ","BEST_FPERIOD_OVERRIDE=FQ","FILING_STATUS=MR","SCALING_FORMAT=MLN","FA_ADJUSTED=Adjusted","Sort=A","Dates=H","DateFormat=P","Fill=—","Direction=H","UseDPDF=Y")</f>
        <v>—</v>
      </c>
      <c r="AA17" s="13" t="str" cm="1">
        <f t="array" ref="AA17">_xll.BDH("PCAR US Equity","IS_DEPRECIATION_AND_AMORTIZATION","FQ1 2025","FQ1 2025","Currency=USD","Period=FQ","BEST_FPERIOD_OVERRIDE=FQ","FILING_STATUS=MR","SCALING_FORMAT=MLN","FA_ADJUSTED=Adjusted","Sort=A","Dates=H","DateFormat=P","Fill=—","Direction=H","UseDPDF=Y")</f>
        <v>—</v>
      </c>
      <c r="AB17" s="13" t="str" cm="1">
        <f t="array" ref="AB17">_xll.BDH("PCAR US Equity","IS_DEPRECIATION_AND_AMORTIZATION","FQ2 2025","FQ2 2025","Currency=USD","Period=FQ","BEST_FPERIOD_OVERRIDE=FQ","FILING_STATUS=MR","SCALING_FORMAT=MLN","FA_ADJUSTED=Adjusted","Sort=A","Dates=H","DateFormat=P","Fill=—","Direction=H","UseDPDF=Y")</f>
        <v>—</v>
      </c>
      <c r="AC17" s="13" t="str" cm="1">
        <f t="array" ref="AC17">_xll.BDH("PCAR US Equity","IS_DEPRECIATION_AND_AMORTIZATION","FQ3 2025","FQ3 2025","Currency=USD","Period=FQ","BEST_FPERIOD_OVERRIDE=FQ","FILING_STATUS=MR","SCALING_FORMAT=MLN","FA_ADJUSTED=Adjusted","Sort=A","Dates=H","DateFormat=P","Fill=—","Direction=H","UseDPDF=Y")</f>
        <v>—</v>
      </c>
      <c r="AD17" s="13" t="str" cm="1">
        <f t="array" ref="AD17">_xll.BDH("PCAR US Equity","IS_DEPRECIATION_AND_AMORTIZATION","FQ4 2025","FQ4 2025","Currency=USD","Period=FQ","BEST_FPERIOD_OVERRIDE=FQ","FILING_STATUS=MR","SCALING_FORMAT=MLN","FA_ADJUSTED=Adjusted","Sort=A","Dates=H","DateFormat=P","Fill=—","Direction=H","UseDPDF=Y")</f>
        <v>—</v>
      </c>
      <c r="AE17" s="13"/>
      <c r="AF17" s="13"/>
    </row>
    <row r="18" spans="1:32" x14ac:dyDescent="0.25">
      <c r="A18" s="10" t="s">
        <v>89</v>
      </c>
      <c r="B18" s="10" t="s">
        <v>90</v>
      </c>
      <c r="C18" s="13" cm="1">
        <f t="array" ref="C18">_xll.BDH("PCAR US Equity","IS_PROVISION_DOUBTFUL_ACCOUNTS","FQ1 2019","FQ1 2019","Currency=USD","Period=FQ","BEST_FPERIOD_OVERRIDE=FQ","FILING_STATUS=MR","SCALING_FORMAT=MLN","FA_ADJUSTED=Adjusted","Sort=A","Dates=H","DateFormat=P","Fill=—","Direction=H","UseDPDF=Y")</f>
        <v>2.2000000000000002</v>
      </c>
      <c r="D18" s="13" cm="1">
        <f t="array" ref="D18">_xll.BDH("PCAR US Equity","IS_PROVISION_DOUBTFUL_ACCOUNTS","FQ2 2019","FQ2 2019","Currency=USD","Period=FQ","BEST_FPERIOD_OVERRIDE=FQ","FILING_STATUS=MR","SCALING_FORMAT=MLN","FA_ADJUSTED=Adjusted","Sort=A","Dates=H","DateFormat=P","Fill=—","Direction=H","UseDPDF=Y")</f>
        <v>4</v>
      </c>
      <c r="E18" s="13" cm="1">
        <f t="array" ref="E18">_xll.BDH("PCAR US Equity","IS_PROVISION_DOUBTFUL_ACCOUNTS","FQ3 2019","FQ3 2019","Currency=USD","Period=FQ","BEST_FPERIOD_OVERRIDE=FQ","FILING_STATUS=MR","SCALING_FORMAT=MLN","FA_ADJUSTED=Adjusted","Sort=A","Dates=H","DateFormat=P","Fill=—","Direction=H","UseDPDF=Y")</f>
        <v>5.6</v>
      </c>
      <c r="F18" s="13" cm="1">
        <f t="array" ref="F18">_xll.BDH("PCAR US Equity","IS_PROVISION_DOUBTFUL_ACCOUNTS","FQ4 2019","FQ4 2019","Currency=USD","Period=FQ","BEST_FPERIOD_OVERRIDE=FQ","FILING_STATUS=MR","SCALING_FORMAT=MLN","FA_ADJUSTED=Adjusted","Sort=A","Dates=H","DateFormat=P","Fill=—","Direction=H","UseDPDF=Y")</f>
        <v>3.6</v>
      </c>
      <c r="G18" s="13" cm="1">
        <f t="array" ref="G18">_xll.BDH("PCAR US Equity","IS_PROVISION_DOUBTFUL_ACCOUNTS","FQ1 2020","FQ1 2020","Currency=USD","Period=FQ","BEST_FPERIOD_OVERRIDE=FQ","FILING_STATUS=MR","SCALING_FORMAT=MLN","FA_ADJUSTED=Adjusted","Sort=A","Dates=H","DateFormat=P","Fill=—","Direction=H","UseDPDF=Y")</f>
        <v>17</v>
      </c>
      <c r="H18" s="13" cm="1">
        <f t="array" ref="H18">_xll.BDH("PCAR US Equity","IS_PROVISION_DOUBTFUL_ACCOUNTS","FQ2 2020","FQ2 2020","Currency=USD","Period=FQ","BEST_FPERIOD_OVERRIDE=FQ","FILING_STATUS=MR","SCALING_FORMAT=MLN","FA_ADJUSTED=Adjusted","Sort=A","Dates=H","DateFormat=P","Fill=—","Direction=H","UseDPDF=Y")</f>
        <v>7.5</v>
      </c>
      <c r="I18" s="13" cm="1">
        <f t="array" ref="I18">_xll.BDH("PCAR US Equity","IS_PROVISION_DOUBTFUL_ACCOUNTS","FQ3 2020","FQ3 2020","Currency=USD","Period=FQ","BEST_FPERIOD_OVERRIDE=FQ","FILING_STATUS=MR","SCALING_FORMAT=MLN","FA_ADJUSTED=Adjusted","Sort=A","Dates=H","DateFormat=P","Fill=—","Direction=H","UseDPDF=Y")</f>
        <v>3.1</v>
      </c>
      <c r="J18" s="13" cm="1">
        <f t="array" ref="J18">_xll.BDH("PCAR US Equity","IS_PROVISION_DOUBTFUL_ACCOUNTS","FQ4 2020","FQ4 2020","Currency=USD","Period=FQ","BEST_FPERIOD_OVERRIDE=FQ","FILING_STATUS=MR","SCALING_FORMAT=MLN","FA_ADJUSTED=Adjusted","Sort=A","Dates=H","DateFormat=P","Fill=—","Direction=H","UseDPDF=Y")</f>
        <v>1.2</v>
      </c>
      <c r="K18" s="13" cm="1">
        <f t="array" ref="K18">_xll.BDH("PCAR US Equity","IS_PROVISION_DOUBTFUL_ACCOUNTS","FQ1 2021","FQ1 2021","Currency=USD","Period=FQ","BEST_FPERIOD_OVERRIDE=FQ","FILING_STATUS=MR","SCALING_FORMAT=MLN","FA_ADJUSTED=Adjusted","Sort=A","Dates=H","DateFormat=P","Fill=—","Direction=H","UseDPDF=Y")</f>
        <v>3.7</v>
      </c>
      <c r="L18" s="13" cm="1">
        <f t="array" ref="L18">_xll.BDH("PCAR US Equity","IS_PROVISION_DOUBTFUL_ACCOUNTS","FQ2 2021","FQ2 2021","Currency=USD","Period=FQ","BEST_FPERIOD_OVERRIDE=FQ","FILING_STATUS=MR","SCALING_FORMAT=MLN","FA_ADJUSTED=Adjusted","Sort=A","Dates=H","DateFormat=P","Fill=—","Direction=H","UseDPDF=Y")</f>
        <v>-0.5</v>
      </c>
      <c r="M18" s="13" t="str" cm="1">
        <f t="array" ref="M18">_xll.BDH("PCAR US Equity","IS_PROVISION_DOUBTFUL_ACCOUNTS","FQ3 2021","FQ3 2021","Currency=USD","Period=FQ","BEST_FPERIOD_OVERRIDE=FQ","FILING_STATUS=MR","SCALING_FORMAT=MLN","FA_ADJUSTED=Adjusted","Sort=A","Dates=H","DateFormat=P","Fill=—","Direction=H","UseDPDF=Y")</f>
        <v>—</v>
      </c>
      <c r="N18" s="13" cm="1">
        <f t="array" ref="N18">_xll.BDH("PCAR US Equity","IS_PROVISION_DOUBTFUL_ACCOUNTS","FQ4 2021","FQ4 2021","Currency=USD","Period=FQ","BEST_FPERIOD_OVERRIDE=FQ","FILING_STATUS=MR","SCALING_FORMAT=MLN","FA_ADJUSTED=Adjusted","Sort=A","Dates=H","DateFormat=P","Fill=—","Direction=H","UseDPDF=Y")</f>
        <v>-2.7</v>
      </c>
      <c r="O18" s="13" cm="1">
        <f t="array" ref="O18">_xll.BDH("PCAR US Equity","IS_PROVISION_DOUBTFUL_ACCOUNTS","FQ1 2022","FQ1 2022","Currency=USD","Period=FQ","BEST_FPERIOD_OVERRIDE=FQ","FILING_STATUS=MR","SCALING_FORMAT=MLN","FA_ADJUSTED=Adjusted","Sort=A","Dates=H","DateFormat=P","Fill=—","Direction=H","UseDPDF=Y")</f>
        <v>0.2</v>
      </c>
      <c r="P18" s="13" cm="1">
        <f t="array" ref="P18">_xll.BDH("PCAR US Equity","IS_PROVISION_DOUBTFUL_ACCOUNTS","FQ2 2022","FQ2 2022","Currency=USD","Period=FQ","BEST_FPERIOD_OVERRIDE=FQ","FILING_STATUS=MR","SCALING_FORMAT=MLN","FA_ADJUSTED=Adjusted","Sort=A","Dates=H","DateFormat=P","Fill=—","Direction=H","UseDPDF=Y")</f>
        <v>4.4000000000000004</v>
      </c>
      <c r="Q18" s="13" cm="1">
        <f t="array" ref="Q18">_xll.BDH("PCAR US Equity","IS_PROVISION_DOUBTFUL_ACCOUNTS","FQ3 2022","FQ3 2022","Currency=USD","Period=FQ","BEST_FPERIOD_OVERRIDE=FQ","FILING_STATUS=MR","SCALING_FORMAT=MLN","FA_ADJUSTED=Adjusted","Sort=A","Dates=H","DateFormat=P","Fill=—","Direction=H","UseDPDF=Y")</f>
        <v>-0.8</v>
      </c>
      <c r="R18" s="13" cm="1">
        <f t="array" ref="R18">_xll.BDH("PCAR US Equity","IS_PROVISION_DOUBTFUL_ACCOUNTS","FQ4 2022","FQ4 2022","Currency=USD","Period=FQ","BEST_FPERIOD_OVERRIDE=FQ","FILING_STATUS=MR","SCALING_FORMAT=MLN","FA_ADJUSTED=Adjusted","Sort=A","Dates=H","DateFormat=P","Fill=—","Direction=H","UseDPDF=Y")</f>
        <v>1.7</v>
      </c>
      <c r="S18" s="13" cm="1">
        <f t="array" ref="S18">_xll.BDH("PCAR US Equity","IS_PROVISION_DOUBTFUL_ACCOUNTS","FQ1 2023","FQ1 2023","Currency=USD","Period=FQ","BEST_FPERIOD_OVERRIDE=FQ","FILING_STATUS=MR","SCALING_FORMAT=MLN","FA_ADJUSTED=Adjusted","Sort=A","Dates=H","DateFormat=P","Fill=—","Direction=H","UseDPDF=Y")</f>
        <v>3.1</v>
      </c>
      <c r="T18" s="13" cm="1">
        <f t="array" ref="T18">_xll.BDH("PCAR US Equity","IS_PROVISION_DOUBTFUL_ACCOUNTS","FQ2 2023","FQ2 2023","Currency=USD","Period=FQ","BEST_FPERIOD_OVERRIDE=FQ","FILING_STATUS=MR","SCALING_FORMAT=MLN","FA_ADJUSTED=Adjusted","Sort=A","Dates=H","DateFormat=P","Fill=—","Direction=H","UseDPDF=Y")</f>
        <v>4.8</v>
      </c>
      <c r="U18" s="13" cm="1">
        <f t="array" ref="U18">_xll.BDH("PCAR US Equity","IS_PROVISION_DOUBTFUL_ACCOUNTS","FQ3 2023","FQ3 2023","Currency=USD","Period=FQ","BEST_FPERIOD_OVERRIDE=FQ","FILING_STATUS=MR","SCALING_FORMAT=MLN","FA_ADJUSTED=Adjusted","Sort=A","Dates=H","DateFormat=P","Fill=—","Direction=H","UseDPDF=Y")</f>
        <v>6.2</v>
      </c>
      <c r="V18" s="13" cm="1">
        <f t="array" ref="V18">_xll.BDH("PCAR US Equity","IS_PROVISION_DOUBTFUL_ACCOUNTS","FQ4 2023","FQ4 2023","Currency=USD","Period=FQ","BEST_FPERIOD_OVERRIDE=FQ","FILING_STATUS=MR","SCALING_FORMAT=MLN","FA_ADJUSTED=Adjusted","Sort=A","Dates=H","DateFormat=P","Fill=—","Direction=H","UseDPDF=Y")</f>
        <v>17.2</v>
      </c>
      <c r="W18" s="13" cm="1">
        <f t="array" ref="W18">_xll.BDH("PCAR US Equity","IS_PROVISION_DOUBTFUL_ACCOUNTS","FQ1 2024","FQ1 2024","Currency=USD","Period=FQ","BEST_FPERIOD_OVERRIDE=FQ","FILING_STATUS=MR","SCALING_FORMAT=MLN","FA_ADJUSTED=Adjusted","Sort=A","Dates=H","DateFormat=P","Fill=—","Direction=H","UseDPDF=Y")</f>
        <v>16.100000000000001</v>
      </c>
      <c r="X18" s="13" cm="1">
        <f t="array" ref="X18">_xll.BDH("PCAR US Equity","IS_PROVISION_DOUBTFUL_ACCOUNTS","FQ2 2024","FQ2 2024","Currency=USD","Period=FQ","BEST_FPERIOD_OVERRIDE=FQ","FILING_STATUS=MR","SCALING_FORMAT=MLN","FA_ADJUSTED=Adjusted","Sort=A","Dates=H","DateFormat=P","Fill=—","Direction=H","UseDPDF=Y")</f>
        <v>11.7</v>
      </c>
      <c r="Y18" s="13" cm="1">
        <f t="array" ref="Y18">_xll.BDH("PCAR US Equity","IS_PROVISION_DOUBTFUL_ACCOUNTS","FQ3 2024","FQ3 2024","Currency=USD","Period=FQ","BEST_FPERIOD_OVERRIDE=FQ","FILING_STATUS=MR","SCALING_FORMAT=MLN","FA_ADJUSTED=Adjusted","Sort=A","Dates=H","DateFormat=P","Fill=—","Direction=H","UseDPDF=Y")</f>
        <v>22.4</v>
      </c>
      <c r="Z18" s="13" cm="1">
        <f t="array" ref="Z18">_xll.BDH("PCAR US Equity","IS_PROVISION_DOUBTFUL_ACCOUNTS","FQ4 2024","FQ4 2024","Currency=USD","Period=FQ","BEST_FPERIOD_OVERRIDE=FQ","FILING_STATUS=MR","SCALING_FORMAT=MLN","FA_ADJUSTED=Adjusted","Sort=A","Dates=H","DateFormat=P","Fill=—","Direction=H","UseDPDF=Y")</f>
        <v>25.4</v>
      </c>
      <c r="AA18" s="13" cm="1">
        <f t="array" ref="AA18">_xll.BDH("PCAR US Equity","IS_PROVISION_DOUBTFUL_ACCOUNTS","FQ1 2025","FQ1 2025","Currency=USD","Period=FQ","BEST_FPERIOD_OVERRIDE=FQ","FILING_STATUS=MR","SCALING_FORMAT=MLN","FA_ADJUSTED=Adjusted","Sort=A","Dates=H","DateFormat=P","Fill=—","Direction=H","UseDPDF=Y")</f>
        <v>18.3</v>
      </c>
      <c r="AB18" s="13" cm="1">
        <f t="array" ref="AB18">_xll.BDH("PCAR US Equity","IS_PROVISION_DOUBTFUL_ACCOUNTS","FQ2 2025","FQ2 2025","Currency=USD","Period=FQ","BEST_FPERIOD_OVERRIDE=FQ","FILING_STATUS=MR","SCALING_FORMAT=MLN","FA_ADJUSTED=Adjusted","Sort=A","Dates=H","DateFormat=P","Fill=—","Direction=H","UseDPDF=Y")</f>
        <v>29.2</v>
      </c>
      <c r="AC18" s="13" cm="1">
        <f t="array" ref="AC18">_xll.BDH("PCAR US Equity","IS_PROVISION_DOUBTFUL_ACCOUNTS","FQ3 2025","FQ3 2025","Currency=USD","Period=FQ","BEST_FPERIOD_OVERRIDE=FQ","FILING_STATUS=MR","SCALING_FORMAT=MLN","FA_ADJUSTED=Adjusted","Sort=A","Dates=H","DateFormat=P","Fill=—","Direction=H","UseDPDF=Y")</f>
        <v>36.5</v>
      </c>
      <c r="AD18" s="13" cm="1">
        <f t="array" ref="AD18">_xll.BDH("PCAR US Equity","IS_PROVISION_DOUBTFUL_ACCOUNTS","FQ4 2025","FQ4 2025","Currency=USD","Period=FQ","BEST_FPERIOD_OVERRIDE=FQ","FILING_STATUS=MR","SCALING_FORMAT=MLN","FA_ADJUSTED=Adjusted","Sort=A","Dates=H","DateFormat=P","Fill=—","Direction=H","UseDPDF=Y")</f>
        <v>40.5</v>
      </c>
      <c r="AE18" s="13"/>
      <c r="AF18" s="13"/>
    </row>
    <row r="19" spans="1:32" x14ac:dyDescent="0.25">
      <c r="A19" s="10" t="s">
        <v>91</v>
      </c>
      <c r="B19" s="10" t="s">
        <v>92</v>
      </c>
      <c r="C19" s="13" cm="1">
        <f t="array" ref="C19">_xll.BDH("PCAR US Equity","IS_OTHER_OPERATING_EXPENSES","FQ1 2019","FQ1 2019","Currency=USD","Period=FQ","BEST_FPERIOD_OVERRIDE=FQ","FILING_STATUS=MR","SCALING_FORMAT=MLN","FA_ADJUSTED=Adjusted","Sort=A","Dates=H","DateFormat=P","Fill=—","Direction=H","UseDPDF=Y")</f>
        <v>0</v>
      </c>
      <c r="D19" s="13" cm="1">
        <f t="array" ref="D19">_xll.BDH("PCAR US Equity","IS_OTHER_OPERATING_EXPENSES","FQ2 2019","FQ2 2019","Currency=USD","Period=FQ","BEST_FPERIOD_OVERRIDE=FQ","FILING_STATUS=MR","SCALING_FORMAT=MLN","FA_ADJUSTED=Adjusted","Sort=A","Dates=H","DateFormat=P","Fill=—","Direction=H","UseDPDF=Y")</f>
        <v>0</v>
      </c>
      <c r="E19" s="13" cm="1">
        <f t="array" ref="E19">_xll.BDH("PCAR US Equity","IS_OTHER_OPERATING_EXPENSES","FQ3 2019","FQ3 2019","Currency=USD","Period=FQ","BEST_FPERIOD_OVERRIDE=FQ","FILING_STATUS=MR","SCALING_FORMAT=MLN","FA_ADJUSTED=Adjusted","Sort=A","Dates=H","DateFormat=P","Fill=—","Direction=H","UseDPDF=Y")</f>
        <v>0</v>
      </c>
      <c r="F19" s="13" cm="1">
        <f t="array" ref="F19">_xll.BDH("PCAR US Equity","IS_OTHER_OPERATING_EXPENSES","FQ4 2019","FQ4 2019","Currency=USD","Period=FQ","BEST_FPERIOD_OVERRIDE=FQ","FILING_STATUS=MR","SCALING_FORMAT=MLN","FA_ADJUSTED=Adjusted","Sort=A","Dates=H","DateFormat=P","Fill=—","Direction=H","UseDPDF=Y")</f>
        <v>0</v>
      </c>
      <c r="G19" s="13" cm="1">
        <f t="array" ref="G19">_xll.BDH("PCAR US Equity","IS_OTHER_OPERATING_EXPENSES","FQ1 2020","FQ1 2020","Currency=USD","Period=FQ","BEST_FPERIOD_OVERRIDE=FQ","FILING_STATUS=MR","SCALING_FORMAT=MLN","FA_ADJUSTED=Adjusted","Sort=A","Dates=H","DateFormat=P","Fill=—","Direction=H","UseDPDF=Y")</f>
        <v>0</v>
      </c>
      <c r="H19" s="13" cm="1">
        <f t="array" ref="H19">_xll.BDH("PCAR US Equity","IS_OTHER_OPERATING_EXPENSES","FQ2 2020","FQ2 2020","Currency=USD","Period=FQ","BEST_FPERIOD_OVERRIDE=FQ","FILING_STATUS=MR","SCALING_FORMAT=MLN","FA_ADJUSTED=Adjusted","Sort=A","Dates=H","DateFormat=P","Fill=—","Direction=H","UseDPDF=Y")</f>
        <v>0</v>
      </c>
      <c r="I19" s="13" cm="1">
        <f t="array" ref="I19">_xll.BDH("PCAR US Equity","IS_OTHER_OPERATING_EXPENSES","FQ3 2020","FQ3 2020","Currency=USD","Period=FQ","BEST_FPERIOD_OVERRIDE=FQ","FILING_STATUS=MR","SCALING_FORMAT=MLN","FA_ADJUSTED=Adjusted","Sort=A","Dates=H","DateFormat=P","Fill=—","Direction=H","UseDPDF=Y")</f>
        <v>0</v>
      </c>
      <c r="J19" s="13" cm="1">
        <f t="array" ref="J19">_xll.BDH("PCAR US Equity","IS_OTHER_OPERATING_EXPENSES","FQ4 2020","FQ4 2020","Currency=USD","Period=FQ","BEST_FPERIOD_OVERRIDE=FQ","FILING_STATUS=MR","SCALING_FORMAT=MLN","FA_ADJUSTED=Adjusted","Sort=A","Dates=H","DateFormat=P","Fill=—","Direction=H","UseDPDF=Y")</f>
        <v>0</v>
      </c>
      <c r="K19" s="13" cm="1">
        <f t="array" ref="K19">_xll.BDH("PCAR US Equity","IS_OTHER_OPERATING_EXPENSES","FQ1 2021","FQ1 2021","Currency=USD","Period=FQ","BEST_FPERIOD_OVERRIDE=FQ","FILING_STATUS=MR","SCALING_FORMAT=MLN","FA_ADJUSTED=Adjusted","Sort=A","Dates=H","DateFormat=P","Fill=—","Direction=H","UseDPDF=Y")</f>
        <v>0</v>
      </c>
      <c r="L19" s="13" cm="1">
        <f t="array" ref="L19">_xll.BDH("PCAR US Equity","IS_OTHER_OPERATING_EXPENSES","FQ2 2021","FQ2 2021","Currency=USD","Period=FQ","BEST_FPERIOD_OVERRIDE=FQ","FILING_STATUS=MR","SCALING_FORMAT=MLN","FA_ADJUSTED=Adjusted","Sort=A","Dates=H","DateFormat=P","Fill=—","Direction=H","UseDPDF=Y")</f>
        <v>0</v>
      </c>
      <c r="M19" s="13" cm="1">
        <f t="array" ref="M19">_xll.BDH("PCAR US Equity","IS_OTHER_OPERATING_EXPENSES","FQ3 2021","FQ3 2021","Currency=USD","Period=FQ","BEST_FPERIOD_OVERRIDE=FQ","FILING_STATUS=MR","SCALING_FORMAT=MLN","FA_ADJUSTED=Adjusted","Sort=A","Dates=H","DateFormat=P","Fill=—","Direction=H","UseDPDF=Y")</f>
        <v>0</v>
      </c>
      <c r="N19" s="13" cm="1">
        <f t="array" ref="N19">_xll.BDH("PCAR US Equity","IS_OTHER_OPERATING_EXPENSES","FQ4 2021","FQ4 2021","Currency=USD","Period=FQ","BEST_FPERIOD_OVERRIDE=FQ","FILING_STATUS=MR","SCALING_FORMAT=MLN","FA_ADJUSTED=Adjusted","Sort=A","Dates=H","DateFormat=P","Fill=—","Direction=H","UseDPDF=Y")</f>
        <v>0</v>
      </c>
      <c r="O19" s="13" cm="1">
        <f t="array" ref="O19">_xll.BDH("PCAR US Equity","IS_OTHER_OPERATING_EXPENSES","FQ1 2022","FQ1 2022","Currency=USD","Period=FQ","BEST_FPERIOD_OVERRIDE=FQ","FILING_STATUS=MR","SCALING_FORMAT=MLN","FA_ADJUSTED=Adjusted","Sort=A","Dates=H","DateFormat=P","Fill=—","Direction=H","UseDPDF=Y")</f>
        <v>0</v>
      </c>
      <c r="P19" s="13" cm="1">
        <f t="array" ref="P19">_xll.BDH("PCAR US Equity","IS_OTHER_OPERATING_EXPENSES","FQ2 2022","FQ2 2022","Currency=USD","Period=FQ","BEST_FPERIOD_OVERRIDE=FQ","FILING_STATUS=MR","SCALING_FORMAT=MLN","FA_ADJUSTED=Adjusted","Sort=A","Dates=H","DateFormat=P","Fill=—","Direction=H","UseDPDF=Y")</f>
        <v>145.4</v>
      </c>
      <c r="Q19" s="13" cm="1">
        <f t="array" ref="Q19">_xll.BDH("PCAR US Equity","IS_OTHER_OPERATING_EXPENSES","FQ3 2022","FQ3 2022","Currency=USD","Period=FQ","BEST_FPERIOD_OVERRIDE=FQ","FILING_STATUS=MR","SCALING_FORMAT=MLN","FA_ADJUSTED=Adjusted","Sort=A","Dates=H","DateFormat=P","Fill=—","Direction=H","UseDPDF=Y")</f>
        <v>137.4</v>
      </c>
      <c r="R19" s="13" cm="1">
        <f t="array" ref="R19">_xll.BDH("PCAR US Equity","IS_OTHER_OPERATING_EXPENSES","FQ4 2022","FQ4 2022","Currency=USD","Period=FQ","BEST_FPERIOD_OVERRIDE=FQ","FILING_STATUS=MR","SCALING_FORMAT=MLN","FA_ADJUSTED=Adjusted","Sort=A","Dates=H","DateFormat=P","Fill=—","Direction=H","UseDPDF=Y")</f>
        <v>0</v>
      </c>
      <c r="S19" s="13" cm="1">
        <f t="array" ref="S19">_xll.BDH("PCAR US Equity","IS_OTHER_OPERATING_EXPENSES","FQ1 2023","FQ1 2023","Currency=USD","Period=FQ","BEST_FPERIOD_OVERRIDE=FQ","FILING_STATUS=MR","SCALING_FORMAT=MLN","FA_ADJUSTED=Adjusted","Sort=A","Dates=H","DateFormat=P","Fill=—","Direction=H","UseDPDF=Y")</f>
        <v>39.299999999999997</v>
      </c>
      <c r="T19" s="13" cm="1">
        <f t="array" ref="T19">_xll.BDH("PCAR US Equity","IS_OTHER_OPERATING_EXPENSES","FQ2 2023","FQ2 2023","Currency=USD","Period=FQ","BEST_FPERIOD_OVERRIDE=FQ","FILING_STATUS=MR","SCALING_FORMAT=MLN","FA_ADJUSTED=Adjusted","Sort=A","Dates=H","DateFormat=P","Fill=—","Direction=H","UseDPDF=Y")</f>
        <v>137.80000000000001</v>
      </c>
      <c r="U19" s="13" cm="1">
        <f t="array" ref="U19">_xll.BDH("PCAR US Equity","IS_OTHER_OPERATING_EXPENSES","FQ3 2023","FQ3 2023","Currency=USD","Period=FQ","BEST_FPERIOD_OVERRIDE=FQ","FILING_STATUS=MR","SCALING_FORMAT=MLN","FA_ADJUSTED=Adjusted","Sort=A","Dates=H","DateFormat=P","Fill=—","Direction=H","UseDPDF=Y")</f>
        <v>146.9</v>
      </c>
      <c r="V19" s="13" cm="1">
        <f t="array" ref="V19">_xll.BDH("PCAR US Equity","IS_OTHER_OPERATING_EXPENSES","FQ4 2023","FQ4 2023","Currency=USD","Period=FQ","BEST_FPERIOD_OVERRIDE=FQ","FILING_STATUS=MR","SCALING_FORMAT=MLN","FA_ADJUSTED=Adjusted","Sort=A","Dates=H","DateFormat=P","Fill=—","Direction=H","UseDPDF=Y")</f>
        <v>0</v>
      </c>
      <c r="W19" s="13" cm="1">
        <f t="array" ref="W19">_xll.BDH("PCAR US Equity","IS_OTHER_OPERATING_EXPENSES","FQ1 2024","FQ1 2024","Currency=USD","Period=FQ","BEST_FPERIOD_OVERRIDE=FQ","FILING_STATUS=MR","SCALING_FORMAT=MLN","FA_ADJUSTED=Adjusted","Sort=A","Dates=H","DateFormat=P","Fill=—","Direction=H","UseDPDF=Y")</f>
        <v>180.3</v>
      </c>
      <c r="X19" s="13" cm="1">
        <f t="array" ref="X19">_xll.BDH("PCAR US Equity","IS_OTHER_OPERATING_EXPENSES","FQ2 2024","FQ2 2024","Currency=USD","Period=FQ","BEST_FPERIOD_OVERRIDE=FQ","FILING_STATUS=MR","SCALING_FORMAT=MLN","FA_ADJUSTED=Adjusted","Sort=A","Dates=H","DateFormat=P","Fill=—","Direction=H","UseDPDF=Y")</f>
        <v>173.6</v>
      </c>
      <c r="Y19" s="13" cm="1">
        <f t="array" ref="Y19">_xll.BDH("PCAR US Equity","IS_OTHER_OPERATING_EXPENSES","FQ3 2024","FQ3 2024","Currency=USD","Period=FQ","BEST_FPERIOD_OVERRIDE=FQ","FILING_STATUS=MR","SCALING_FORMAT=MLN","FA_ADJUSTED=Adjusted","Sort=A","Dates=H","DateFormat=P","Fill=—","Direction=H","UseDPDF=Y")</f>
        <v>176.6</v>
      </c>
      <c r="Z19" s="13" cm="1">
        <f t="array" ref="Z19">_xll.BDH("PCAR US Equity","IS_OTHER_OPERATING_EXPENSES","FQ4 2024","FQ4 2024","Currency=USD","Period=FQ","BEST_FPERIOD_OVERRIDE=FQ","FILING_STATUS=MR","SCALING_FORMAT=MLN","FA_ADJUSTED=Adjusted","Sort=A","Dates=H","DateFormat=P","Fill=—","Direction=H","UseDPDF=Y")</f>
        <v>0</v>
      </c>
      <c r="AA19" s="13" cm="1">
        <f t="array" ref="AA19">_xll.BDH("PCAR US Equity","IS_OTHER_OPERATING_EXPENSES","FQ1 2025","FQ1 2025","Currency=USD","Period=FQ","BEST_FPERIOD_OVERRIDE=FQ","FILING_STATUS=MR","SCALING_FORMAT=MLN","FA_ADJUSTED=Adjusted","Sort=A","Dates=H","DateFormat=P","Fill=—","Direction=H","UseDPDF=Y")</f>
        <v>159.69999999999999</v>
      </c>
      <c r="AB19" s="13" cm="1">
        <f t="array" ref="AB19">_xll.BDH("PCAR US Equity","IS_OTHER_OPERATING_EXPENSES","FQ2 2025","FQ2 2025","Currency=USD","Period=FQ","BEST_FPERIOD_OVERRIDE=FQ","FILING_STATUS=MR","SCALING_FORMAT=MLN","FA_ADJUSTED=Adjusted","Sort=A","Dates=H","DateFormat=P","Fill=—","Direction=H","UseDPDF=Y")</f>
        <v>154.9</v>
      </c>
      <c r="AC19" s="13" cm="1">
        <f t="array" ref="AC19">_xll.BDH("PCAR US Equity","IS_OTHER_OPERATING_EXPENSES","FQ3 2025","FQ3 2025","Currency=USD","Period=FQ","BEST_FPERIOD_OVERRIDE=FQ","FILING_STATUS=MR","SCALING_FORMAT=MLN","FA_ADJUSTED=Adjusted","Sort=A","Dates=H","DateFormat=P","Fill=—","Direction=H","UseDPDF=Y")</f>
        <v>161.69999999999999</v>
      </c>
      <c r="AD19" s="13" cm="1">
        <f t="array" ref="AD19">_xll.BDH("PCAR US Equity","IS_OTHER_OPERATING_EXPENSES","FQ4 2025","FQ4 2025","Currency=USD","Period=FQ","BEST_FPERIOD_OVERRIDE=FQ","FILING_STATUS=MR","SCALING_FORMAT=MLN","FA_ADJUSTED=Adjusted","Sort=A","Dates=H","DateFormat=P","Fill=—","Direction=H","UseDPDF=Y")</f>
        <v>0</v>
      </c>
      <c r="AE19" s="13"/>
      <c r="AF19" s="13"/>
    </row>
    <row r="20" spans="1:32" x14ac:dyDescent="0.25">
      <c r="A20" s="6" t="s">
        <v>93</v>
      </c>
      <c r="B20" s="6" t="s">
        <v>94</v>
      </c>
      <c r="C20" s="16" cm="1">
        <f t="array" ref="C20">_xll.BDH("PCAR US Equity","IS_OPER_INC","FQ1 2019","FQ1 2019","Currency=USD","Period=FQ","BEST_FPERIOD_OVERRIDE=FQ","FILING_STATUS=MR","SCALING_FORMAT=MLN","FA_ADJUSTED=Adjusted","Sort=A","Dates=H","DateFormat=P","Fill=—","Direction=H","UseDPDF=Y")</f>
        <v>789.8</v>
      </c>
      <c r="D20" s="16" cm="1">
        <f t="array" ref="D20">_xll.BDH("PCAR US Equity","IS_OPER_INC","FQ2 2019","FQ2 2019","Currency=USD","Period=FQ","BEST_FPERIOD_OVERRIDE=FQ","FILING_STATUS=MR","SCALING_FORMAT=MLN","FA_ADJUSTED=Adjusted","Sort=A","Dates=H","DateFormat=P","Fill=—","Direction=H","UseDPDF=Y")</f>
        <v>782.8</v>
      </c>
      <c r="E20" s="16" cm="1">
        <f t="array" ref="E20">_xll.BDH("PCAR US Equity","IS_OPER_INC","FQ3 2019","FQ3 2019","Currency=USD","Period=FQ","BEST_FPERIOD_OVERRIDE=FQ","FILING_STATUS=MR","SCALING_FORMAT=MLN","FA_ADJUSTED=Adjusted","Sort=A","Dates=H","DateFormat=P","Fill=—","Direction=H","UseDPDF=Y")</f>
        <v>744.9</v>
      </c>
      <c r="F20" s="16" cm="1">
        <f t="array" ref="F20">_xll.BDH("PCAR US Equity","IS_OPER_INC","FQ4 2019","FQ4 2019","Currency=USD","Period=FQ","BEST_FPERIOD_OVERRIDE=FQ","FILING_STATUS=MR","SCALING_FORMAT=MLN","FA_ADJUSTED=Adjusted","Sort=A","Dates=H","DateFormat=P","Fill=—","Direction=H","UseDPDF=Y")</f>
        <v>657.4</v>
      </c>
      <c r="G20" s="16" cm="1">
        <f t="array" ref="G20">_xll.BDH("PCAR US Equity","IS_OPER_INC","FQ1 2020","FQ1 2020","Currency=USD","Period=FQ","BEST_FPERIOD_OVERRIDE=FQ","FILING_STATUS=MR","SCALING_FORMAT=MLN","FA_ADJUSTED=Adjusted","Sort=A","Dates=H","DateFormat=P","Fill=—","Direction=H","UseDPDF=Y")</f>
        <v>434.3</v>
      </c>
      <c r="H20" s="16" cm="1">
        <f t="array" ref="H20">_xll.BDH("PCAR US Equity","IS_OPER_INC","FQ2 2020","FQ2 2020","Currency=USD","Period=FQ","BEST_FPERIOD_OVERRIDE=FQ","FILING_STATUS=MR","SCALING_FORMAT=MLN","FA_ADJUSTED=Adjusted","Sort=A","Dates=H","DateFormat=P","Fill=—","Direction=H","UseDPDF=Y")</f>
        <v>155.5</v>
      </c>
      <c r="I20" s="16" cm="1">
        <f t="array" ref="I20">_xll.BDH("PCAR US Equity","IS_OPER_INC","FQ3 2020","FQ3 2020","Currency=USD","Period=FQ","BEST_FPERIOD_OVERRIDE=FQ","FILING_STATUS=MR","SCALING_FORMAT=MLN","FA_ADJUSTED=Adjusted","Sort=A","Dates=H","DateFormat=P","Fill=—","Direction=H","UseDPDF=Y")</f>
        <v>470.5</v>
      </c>
      <c r="J20" s="16" cm="1">
        <f t="array" ref="J20">_xll.BDH("PCAR US Equity","IS_OPER_INC","FQ4 2020","FQ4 2020","Currency=USD","Period=FQ","BEST_FPERIOD_OVERRIDE=FQ","FILING_STATUS=MR","SCALING_FORMAT=MLN","FA_ADJUSTED=Adjusted","Sort=A","Dates=H","DateFormat=P","Fill=—","Direction=H","UseDPDF=Y")</f>
        <v>507.6</v>
      </c>
      <c r="K20" s="16" cm="1">
        <f t="array" ref="K20">_xll.BDH("PCAR US Equity","IS_OPER_INC","FQ1 2021","FQ1 2021","Currency=USD","Period=FQ","BEST_FPERIOD_OVERRIDE=FQ","FILING_STATUS=MR","SCALING_FORMAT=MLN","FA_ADJUSTED=Adjusted","Sort=A","Dates=H","DateFormat=P","Fill=—","Direction=H","UseDPDF=Y")</f>
        <v>590.20000000000005</v>
      </c>
      <c r="L20" s="16" cm="1">
        <f t="array" ref="L20">_xll.BDH("PCAR US Equity","IS_OPER_INC","FQ2 2021","FQ2 2021","Currency=USD","Period=FQ","BEST_FPERIOD_OVERRIDE=FQ","FILING_STATUS=MR","SCALING_FORMAT=MLN","FA_ADJUSTED=Adjusted","Sort=A","Dates=H","DateFormat=P","Fill=—","Direction=H","UseDPDF=Y")</f>
        <v>618.1</v>
      </c>
      <c r="M20" s="16" cm="1">
        <f t="array" ref="M20">_xll.BDH("PCAR US Equity","IS_OPER_INC","FQ3 2021","FQ3 2021","Currency=USD","Period=FQ","BEST_FPERIOD_OVERRIDE=FQ","FILING_STATUS=MR","SCALING_FORMAT=MLN","FA_ADJUSTED=Adjusted","Sort=A","Dates=H","DateFormat=P","Fill=—","Direction=H","UseDPDF=Y")</f>
        <v>474.4</v>
      </c>
      <c r="N20" s="16" cm="1">
        <f t="array" ref="N20">_xll.BDH("PCAR US Equity","IS_OPER_INC","FQ4 2021","FQ4 2021","Currency=USD","Period=FQ","BEST_FPERIOD_OVERRIDE=FQ","FILING_STATUS=MR","SCALING_FORMAT=MLN","FA_ADJUSTED=Adjusted","Sort=A","Dates=H","DateFormat=P","Fill=—","Direction=H","UseDPDF=Y")</f>
        <v>625.5</v>
      </c>
      <c r="O20" s="16" cm="1">
        <f t="array" ref="O20">_xll.BDH("PCAR US Equity","IS_OPER_INC","FQ1 2022","FQ1 2022","Currency=USD","Period=FQ","BEST_FPERIOD_OVERRIDE=FQ","FILING_STATUS=MR","SCALING_FORMAT=MLN","FA_ADJUSTED=Adjusted","Sort=A","Dates=H","DateFormat=P","Fill=—","Direction=H","UseDPDF=Y")</f>
        <v>741.9</v>
      </c>
      <c r="P20" s="16" cm="1">
        <f t="array" ref="P20">_xll.BDH("PCAR US Equity","IS_OPER_INC","FQ2 2022","FQ2 2022","Currency=USD","Period=FQ","BEST_FPERIOD_OVERRIDE=FQ","FILING_STATUS=MR","SCALING_FORMAT=MLN","FA_ADJUSTED=Adjusted","Sort=A","Dates=H","DateFormat=P","Fill=—","Direction=H","UseDPDF=Y")</f>
        <v>894.3</v>
      </c>
      <c r="Q20" s="16" cm="1">
        <f t="array" ref="Q20">_xll.BDH("PCAR US Equity","IS_OPER_INC","FQ3 2022","FQ3 2022","Currency=USD","Period=FQ","BEST_FPERIOD_OVERRIDE=FQ","FILING_STATUS=MR","SCALING_FORMAT=MLN","FA_ADJUSTED=Adjusted","Sort=A","Dates=H","DateFormat=P","Fill=—","Direction=H","UseDPDF=Y")</f>
        <v>923.3</v>
      </c>
      <c r="R20" s="16" cm="1">
        <f t="array" ref="R20">_xll.BDH("PCAR US Equity","IS_OPER_INC","FQ4 2022","FQ4 2022","Currency=USD","Period=FQ","BEST_FPERIOD_OVERRIDE=FQ","FILING_STATUS=MR","SCALING_FORMAT=MLN","FA_ADJUSTED=Adjusted","Sort=A","Dates=H","DateFormat=P","Fill=—","Direction=H","UseDPDF=Y")</f>
        <v>1119.0999999999999</v>
      </c>
      <c r="S20" s="16" cm="1">
        <f t="array" ref="S20">_xll.BDH("PCAR US Equity","IS_OPER_INC","FQ1 2023","FQ1 2023","Currency=USD","Period=FQ","BEST_FPERIOD_OVERRIDE=FQ","FILING_STATUS=MR","SCALING_FORMAT=MLN","FA_ADJUSTED=Adjusted","Sort=A","Dates=H","DateFormat=P","Fill=—","Direction=H","UseDPDF=Y")</f>
        <v>1448.8</v>
      </c>
      <c r="T20" s="16" cm="1">
        <f t="array" ref="T20">_xll.BDH("PCAR US Equity","IS_OPER_INC","FQ2 2023","FQ2 2023","Currency=USD","Period=FQ","BEST_FPERIOD_OVERRIDE=FQ","FILING_STATUS=MR","SCALING_FORMAT=MLN","FA_ADJUSTED=Adjusted","Sort=A","Dates=H","DateFormat=P","Fill=—","Direction=H","UseDPDF=Y")</f>
        <v>1488.1</v>
      </c>
      <c r="U20" s="16" cm="1">
        <f t="array" ref="U20">_xll.BDH("PCAR US Equity","IS_OPER_INC","FQ3 2023","FQ3 2023","Currency=USD","Period=FQ","BEST_FPERIOD_OVERRIDE=FQ","FILING_STATUS=MR","SCALING_FORMAT=MLN","FA_ADJUSTED=Adjusted","Sort=A","Dates=H","DateFormat=P","Fill=—","Direction=H","UseDPDF=Y")</f>
        <v>1492.3</v>
      </c>
      <c r="V20" s="16" cm="1">
        <f t="array" ref="V20">_xll.BDH("PCAR US Equity","IS_OPER_INC","FQ4 2023","FQ4 2023","Currency=USD","Period=FQ","BEST_FPERIOD_OVERRIDE=FQ","FILING_STATUS=MR","SCALING_FORMAT=MLN","FA_ADJUSTED=Adjusted","Sort=A","Dates=H","DateFormat=P","Fill=—","Direction=H","UseDPDF=Y")</f>
        <v>1517.2</v>
      </c>
      <c r="W20" s="16" cm="1">
        <f t="array" ref="W20">_xll.BDH("PCAR US Equity","IS_OPER_INC","FQ1 2024","FQ1 2024","Currency=USD","Period=FQ","BEST_FPERIOD_OVERRIDE=FQ","FILING_STATUS=MR","SCALING_FORMAT=MLN","FA_ADJUSTED=Adjusted","Sort=A","Dates=H","DateFormat=P","Fill=—","Direction=H","UseDPDF=Y")</f>
        <v>1422</v>
      </c>
      <c r="X20" s="16" cm="1">
        <f t="array" ref="X20">_xll.BDH("PCAR US Equity","IS_OPER_INC","FQ2 2024","FQ2 2024","Currency=USD","Period=FQ","BEST_FPERIOD_OVERRIDE=FQ","FILING_STATUS=MR","SCALING_FORMAT=MLN","FA_ADJUSTED=Adjusted","Sort=A","Dates=H","DateFormat=P","Fill=—","Direction=H","UseDPDF=Y")</f>
        <v>1341.4</v>
      </c>
      <c r="Y20" s="16" cm="1">
        <f t="array" ref="Y20">_xll.BDH("PCAR US Equity","IS_OPER_INC","FQ3 2024","FQ3 2024","Currency=USD","Period=FQ","BEST_FPERIOD_OVERRIDE=FQ","FILING_STATUS=MR","SCALING_FORMAT=MLN","FA_ADJUSTED=Adjusted","Sort=A","Dates=H","DateFormat=P","Fill=—","Direction=H","UseDPDF=Y")</f>
        <v>1123.3</v>
      </c>
      <c r="Z20" s="16" cm="1">
        <f t="array" ref="Z20">_xll.BDH("PCAR US Equity","IS_OPER_INC","FQ4 2024","FQ4 2024","Currency=USD","Period=FQ","BEST_FPERIOD_OVERRIDE=FQ","FILING_STATUS=MR","SCALING_FORMAT=MLN","FA_ADJUSTED=Adjusted","Sort=A","Dates=H","DateFormat=P","Fill=—","Direction=H","UseDPDF=Y")</f>
        <v>1005.7</v>
      </c>
      <c r="AA20" s="16" cm="1">
        <f t="array" ref="AA20">_xll.BDH("PCAR US Equity","IS_OPER_INC","FQ1 2025","FQ1 2025","Currency=USD","Period=FQ","BEST_FPERIOD_OVERRIDE=FQ","FILING_STATUS=MR","SCALING_FORMAT=MLN","FA_ADJUSTED=Adjusted","Sort=A","Dates=H","DateFormat=P","Fill=—","Direction=H","UseDPDF=Y")</f>
        <v>885.1</v>
      </c>
      <c r="AB20" s="16" cm="1">
        <f t="array" ref="AB20">_xll.BDH("PCAR US Equity","IS_OPER_INC","FQ2 2025","FQ2 2025","Currency=USD","Period=FQ","BEST_FPERIOD_OVERRIDE=FQ","FILING_STATUS=MR","SCALING_FORMAT=MLN","FA_ADJUSTED=Adjusted","Sort=A","Dates=H","DateFormat=P","Fill=—","Direction=H","UseDPDF=Y")</f>
        <v>838.5</v>
      </c>
      <c r="AC20" s="16" cm="1">
        <f t="array" ref="AC20">_xll.BDH("PCAR US Equity","IS_OPER_INC","FQ3 2025","FQ3 2025","Currency=USD","Period=FQ","BEST_FPERIOD_OVERRIDE=FQ","FILING_STATUS=MR","SCALING_FORMAT=MLN","FA_ADJUSTED=Adjusted","Sort=A","Dates=H","DateFormat=P","Fill=—","Direction=H","UseDPDF=Y")</f>
        <v>636</v>
      </c>
      <c r="AD20" s="16" cm="1">
        <f t="array" ref="AD20">_xll.BDH("PCAR US Equity","IS_OPER_INC","FQ4 2025","FQ4 2025","Currency=USD","Period=FQ","BEST_FPERIOD_OVERRIDE=FQ","FILING_STATUS=MR","SCALING_FORMAT=MLN","FA_ADJUSTED=Adjusted","Sort=A","Dates=H","DateFormat=P","Fill=—","Direction=H","UseDPDF=Y")</f>
        <v>602.1</v>
      </c>
      <c r="AE20" s="16">
        <v>555.555555555556</v>
      </c>
      <c r="AF20" s="16">
        <v>659.33333333333303</v>
      </c>
    </row>
    <row r="21" spans="1:32" x14ac:dyDescent="0.25">
      <c r="A21" s="10" t="s">
        <v>95</v>
      </c>
      <c r="B21" s="10" t="s">
        <v>96</v>
      </c>
      <c r="C21" s="13" cm="1">
        <f t="array" ref="C21">_xll.BDH("PCAR US Equity","IS_NONOP_INCOME_LOSS","FQ1 2019","FQ1 2019","Currency=USD","Period=FQ","BEST_FPERIOD_OVERRIDE=FQ","FILING_STATUS=MR","SCALING_FORMAT=MLN","FA_ADJUSTED=Adjusted","Sort=A","Dates=H","DateFormat=P","Fill=—","Direction=H","UseDPDF=Y")</f>
        <v>-29.5</v>
      </c>
      <c r="D21" s="13" cm="1">
        <f t="array" ref="D21">_xll.BDH("PCAR US Equity","IS_NONOP_INCOME_LOSS","FQ2 2019","FQ2 2019","Currency=USD","Period=FQ","BEST_FPERIOD_OVERRIDE=FQ","FILING_STATUS=MR","SCALING_FORMAT=MLN","FA_ADJUSTED=Adjusted","Sort=A","Dates=H","DateFormat=P","Fill=—","Direction=H","UseDPDF=Y")</f>
        <v>-31.5</v>
      </c>
      <c r="E21" s="13" cm="1">
        <f t="array" ref="E21">_xll.BDH("PCAR US Equity","IS_NONOP_INCOME_LOSS","FQ3 2019","FQ3 2019","Currency=USD","Period=FQ","BEST_FPERIOD_OVERRIDE=FQ","FILING_STATUS=MR","SCALING_FORMAT=MLN","FA_ADJUSTED=Adjusted","Sort=A","Dates=H","DateFormat=P","Fill=—","Direction=H","UseDPDF=Y")</f>
        <v>-32.299999999999997</v>
      </c>
      <c r="F21" s="13" cm="1">
        <f t="array" ref="F21">_xll.BDH("PCAR US Equity","IS_NONOP_INCOME_LOSS","FQ4 2019","FQ4 2019","Currency=USD","Period=FQ","BEST_FPERIOD_OVERRIDE=FQ","FILING_STATUS=MR","SCALING_FORMAT=MLN","FA_ADJUSTED=Adjusted","Sort=A","Dates=H","DateFormat=P","Fill=—","Direction=H","UseDPDF=Y")</f>
        <v>-30.1</v>
      </c>
      <c r="G21" s="13" cm="1">
        <f t="array" ref="G21">_xll.BDH("PCAR US Equity","IS_NONOP_INCOME_LOSS","FQ1 2020","FQ1 2020","Currency=USD","Period=FQ","BEST_FPERIOD_OVERRIDE=FQ","FILING_STATUS=MR","SCALING_FORMAT=MLN","FA_ADJUSTED=Adjusted","Sort=A","Dates=H","DateFormat=P","Fill=—","Direction=H","UseDPDF=Y")</f>
        <v>-27.2</v>
      </c>
      <c r="H21" s="13" cm="1">
        <f t="array" ref="H21">_xll.BDH("PCAR US Equity","IS_NONOP_INCOME_LOSS","FQ2 2020","FQ2 2020","Currency=USD","Period=FQ","BEST_FPERIOD_OVERRIDE=FQ","FILING_STATUS=MR","SCALING_FORMAT=MLN","FA_ADJUSTED=Adjusted","Sort=A","Dates=H","DateFormat=P","Fill=—","Direction=H","UseDPDF=Y")</f>
        <v>-27.9</v>
      </c>
      <c r="I21" s="13" cm="1">
        <f t="array" ref="I21">_xll.BDH("PCAR US Equity","IS_NONOP_INCOME_LOSS","FQ3 2020","FQ3 2020","Currency=USD","Period=FQ","BEST_FPERIOD_OVERRIDE=FQ","FILING_STATUS=MR","SCALING_FORMAT=MLN","FA_ADJUSTED=Adjusted","Sort=A","Dates=H","DateFormat=P","Fill=—","Direction=H","UseDPDF=Y")</f>
        <v>-19.399999999999999</v>
      </c>
      <c r="J21" s="13" cm="1">
        <f t="array" ref="J21">_xll.BDH("PCAR US Equity","IS_NONOP_INCOME_LOSS","FQ4 2020","FQ4 2020","Currency=USD","Period=FQ","BEST_FPERIOD_OVERRIDE=FQ","FILING_STATUS=MR","SCALING_FORMAT=MLN","FA_ADJUSTED=Adjusted","Sort=A","Dates=H","DateFormat=P","Fill=—","Direction=H","UseDPDF=Y")</f>
        <v>-13.4</v>
      </c>
      <c r="K21" s="13" cm="1">
        <f t="array" ref="K21">_xll.BDH("PCAR US Equity","IS_NONOP_INCOME_LOSS","FQ1 2021","FQ1 2021","Currency=USD","Period=FQ","BEST_FPERIOD_OVERRIDE=FQ","FILING_STATUS=MR","SCALING_FORMAT=MLN","FA_ADJUSTED=Adjusted","Sort=A","Dates=H","DateFormat=P","Fill=—","Direction=H","UseDPDF=Y")</f>
        <v>-18.100000000000001</v>
      </c>
      <c r="L21" s="13" cm="1">
        <f t="array" ref="L21">_xll.BDH("PCAR US Equity","IS_NONOP_INCOME_LOSS","FQ2 2021","FQ2 2021","Currency=USD","Period=FQ","BEST_FPERIOD_OVERRIDE=FQ","FILING_STATUS=MR","SCALING_FORMAT=MLN","FA_ADJUSTED=Adjusted","Sort=A","Dates=H","DateFormat=P","Fill=—","Direction=H","UseDPDF=Y")</f>
        <v>-21.8</v>
      </c>
      <c r="M21" s="13" cm="1">
        <f t="array" ref="M21">_xll.BDH("PCAR US Equity","IS_NONOP_INCOME_LOSS","FQ3 2021","FQ3 2021","Currency=USD","Period=FQ","BEST_FPERIOD_OVERRIDE=FQ","FILING_STATUS=MR","SCALING_FORMAT=MLN","FA_ADJUSTED=Adjusted","Sort=A","Dates=H","DateFormat=P","Fill=—","Direction=H","UseDPDF=Y")</f>
        <v>-12.8</v>
      </c>
      <c r="N21" s="13" cm="1">
        <f t="array" ref="N21">_xll.BDH("PCAR US Equity","IS_NONOP_INCOME_LOSS","FQ4 2021","FQ4 2021","Currency=USD","Period=FQ","BEST_FPERIOD_OVERRIDE=FQ","FILING_STATUS=MR","SCALING_FORMAT=MLN","FA_ADJUSTED=Adjusted","Sort=A","Dates=H","DateFormat=P","Fill=—","Direction=H","UseDPDF=Y")</f>
        <v>-35</v>
      </c>
      <c r="O21" s="13" cm="1">
        <f t="array" ref="O21">_xll.BDH("PCAR US Equity","IS_NONOP_INCOME_LOSS","FQ1 2022","FQ1 2022","Currency=USD","Period=FQ","BEST_FPERIOD_OVERRIDE=FQ","FILING_STATUS=MR","SCALING_FORMAT=MLN","FA_ADJUSTED=Adjusted","Sort=A","Dates=H","DateFormat=P","Fill=—","Direction=H","UseDPDF=Y")</f>
        <v>-29.5</v>
      </c>
      <c r="P21" s="13" cm="1">
        <f t="array" ref="P21">_xll.BDH("PCAR US Equity","IS_NONOP_INCOME_LOSS","FQ2 2022","FQ2 2022","Currency=USD","Period=FQ","BEST_FPERIOD_OVERRIDE=FQ","FILING_STATUS=MR","SCALING_FORMAT=MLN","FA_ADJUSTED=Adjusted","Sort=A","Dates=H","DateFormat=P","Fill=—","Direction=H","UseDPDF=Y")</f>
        <v>-28.3</v>
      </c>
      <c r="Q21" s="13" cm="1">
        <f t="array" ref="Q21">_xll.BDH("PCAR US Equity","IS_NONOP_INCOME_LOSS","FQ3 2022","FQ3 2022","Currency=USD","Period=FQ","BEST_FPERIOD_OVERRIDE=FQ","FILING_STATUS=MR","SCALING_FORMAT=MLN","FA_ADJUSTED=Adjusted","Sort=A","Dates=H","DateFormat=P","Fill=—","Direction=H","UseDPDF=Y")</f>
        <v>-56.4</v>
      </c>
      <c r="R21" s="13" cm="1">
        <f t="array" ref="R21">_xll.BDH("PCAR US Equity","IS_NONOP_INCOME_LOSS","FQ4 2022","FQ4 2022","Currency=USD","Period=FQ","BEST_FPERIOD_OVERRIDE=FQ","FILING_STATUS=MR","SCALING_FORMAT=MLN","FA_ADJUSTED=Adjusted","Sort=A","Dates=H","DateFormat=P","Fill=—","Direction=H","UseDPDF=Y")</f>
        <v>-56.4</v>
      </c>
      <c r="S21" s="13" cm="1">
        <f t="array" ref="S21">_xll.BDH("PCAR US Equity","IS_NONOP_INCOME_LOSS","FQ1 2023","FQ1 2023","Currency=USD","Period=FQ","BEST_FPERIOD_OVERRIDE=FQ","FILING_STATUS=MR","SCALING_FORMAT=MLN","FA_ADJUSTED=Adjusted","Sort=A","Dates=H","DateFormat=P","Fill=—","Direction=H","UseDPDF=Y")</f>
        <v>529.79999999999995</v>
      </c>
      <c r="T21" s="13" cm="1">
        <f t="array" ref="T21">_xll.BDH("PCAR US Equity","IS_NONOP_INCOME_LOSS","FQ2 2023","FQ2 2023","Currency=USD","Period=FQ","BEST_FPERIOD_OVERRIDE=FQ","FILING_STATUS=MR","SCALING_FORMAT=MLN","FA_ADJUSTED=Adjusted","Sort=A","Dates=H","DateFormat=P","Fill=—","Direction=H","UseDPDF=Y")</f>
        <v>-80.400000000000006</v>
      </c>
      <c r="U21" s="13" cm="1">
        <f t="array" ref="U21">_xll.BDH("PCAR US Equity","IS_NONOP_INCOME_LOSS","FQ3 2023","FQ3 2023","Currency=USD","Period=FQ","BEST_FPERIOD_OVERRIDE=FQ","FILING_STATUS=MR","SCALING_FORMAT=MLN","FA_ADJUSTED=Adjusted","Sort=A","Dates=H","DateFormat=P","Fill=—","Direction=H","UseDPDF=Y")</f>
        <v>-97.1</v>
      </c>
      <c r="V21" s="13" cm="1">
        <f t="array" ref="V21">_xll.BDH("PCAR US Equity","IS_NONOP_INCOME_LOSS","FQ4 2023","FQ4 2023","Currency=USD","Period=FQ","BEST_FPERIOD_OVERRIDE=FQ","FILING_STATUS=MR","SCALING_FORMAT=MLN","FA_ADJUSTED=Adjusted","Sort=A","Dates=H","DateFormat=P","Fill=—","Direction=H","UseDPDF=Y")</f>
        <v>-124.1</v>
      </c>
      <c r="W21" s="13" cm="1">
        <f t="array" ref="W21">_xll.BDH("PCAR US Equity","IS_NONOP_INCOME_LOSS","FQ1 2024","FQ1 2024","Currency=USD","Period=FQ","BEST_FPERIOD_OVERRIDE=FQ","FILING_STATUS=MR","SCALING_FORMAT=MLN","FA_ADJUSTED=Adjusted","Sort=A","Dates=H","DateFormat=P","Fill=—","Direction=H","UseDPDF=Y")</f>
        <v>-112.5</v>
      </c>
      <c r="X21" s="13" cm="1">
        <f t="array" ref="X21">_xll.BDH("PCAR US Equity","IS_NONOP_INCOME_LOSS","FQ2 2024","FQ2 2024","Currency=USD","Period=FQ","BEST_FPERIOD_OVERRIDE=FQ","FILING_STATUS=MR","SCALING_FORMAT=MLN","FA_ADJUSTED=Adjusted","Sort=A","Dates=H","DateFormat=P","Fill=—","Direction=H","UseDPDF=Y")</f>
        <v>-119.4</v>
      </c>
      <c r="Y21" s="13" cm="1">
        <f t="array" ref="Y21">_xll.BDH("PCAR US Equity","IS_NONOP_INCOME_LOSS","FQ3 2024","FQ3 2024","Currency=USD","Period=FQ","BEST_FPERIOD_OVERRIDE=FQ","FILING_STATUS=MR","SCALING_FORMAT=MLN","FA_ADJUSTED=Adjusted","Sort=A","Dates=H","DateFormat=P","Fill=—","Direction=H","UseDPDF=Y")</f>
        <v>-133</v>
      </c>
      <c r="Z21" s="13" cm="1">
        <f t="array" ref="Z21">_xll.BDH("PCAR US Equity","IS_NONOP_INCOME_LOSS","FQ4 2024","FQ4 2024","Currency=USD","Period=FQ","BEST_FPERIOD_OVERRIDE=FQ","FILING_STATUS=MR","SCALING_FORMAT=MLN","FA_ADJUSTED=Adjusted","Sort=A","Dates=H","DateFormat=P","Fill=—","Direction=H","UseDPDF=Y")</f>
        <v>-143.6</v>
      </c>
      <c r="AA21" s="13" cm="1">
        <f t="array" ref="AA21">_xll.BDH("PCAR US Equity","IS_NONOP_INCOME_LOSS","FQ1 2025","FQ1 2025","Currency=USD","Period=FQ","BEST_FPERIOD_OVERRIDE=FQ","FILING_STATUS=MR","SCALING_FORMAT=MLN","FA_ADJUSTED=Adjusted","Sort=A","Dates=H","DateFormat=P","Fill=—","Direction=H","UseDPDF=Y")</f>
        <v>242</v>
      </c>
      <c r="AB21" s="13" cm="1">
        <f t="array" ref="AB21">_xll.BDH("PCAR US Equity","IS_NONOP_INCOME_LOSS","FQ2 2025","FQ2 2025","Currency=USD","Period=FQ","BEST_FPERIOD_OVERRIDE=FQ","FILING_STATUS=MR","SCALING_FORMAT=MLN","FA_ADJUSTED=Adjusted","Sort=A","Dates=H","DateFormat=P","Fill=—","Direction=H","UseDPDF=Y")</f>
        <v>-93.4</v>
      </c>
      <c r="AC21" s="13" cm="1">
        <f t="array" ref="AC21">_xll.BDH("PCAR US Equity","IS_NONOP_INCOME_LOSS","FQ3 2025","FQ3 2025","Currency=USD","Period=FQ","BEST_FPERIOD_OVERRIDE=FQ","FILING_STATUS=MR","SCALING_FORMAT=MLN","FA_ADJUSTED=Adjusted","Sort=A","Dates=H","DateFormat=P","Fill=—","Direction=H","UseDPDF=Y")</f>
        <v>-107.6</v>
      </c>
      <c r="AD21" s="13" cm="1">
        <f t="array" ref="AD21">_xll.BDH("PCAR US Equity","IS_NONOP_INCOME_LOSS","FQ4 2025","FQ4 2025","Currency=USD","Period=FQ","BEST_FPERIOD_OVERRIDE=FQ","FILING_STATUS=MR","SCALING_FORMAT=MLN","FA_ADJUSTED=Adjusted","Sort=A","Dates=H","DateFormat=P","Fill=—","Direction=H","UseDPDF=Y")</f>
        <v>-102.8</v>
      </c>
      <c r="AE21" s="13"/>
      <c r="AF21" s="13"/>
    </row>
    <row r="22" spans="1:32" x14ac:dyDescent="0.25">
      <c r="A22" s="10" t="s">
        <v>97</v>
      </c>
      <c r="B22" s="10" t="s">
        <v>98</v>
      </c>
      <c r="C22" s="13" t="str" cm="1">
        <f t="array" ref="C22">_xll.BDH("PCAR US Equity","IS_NET_INTEREST_EXPENSE","FQ1 2019","FQ1 2019","Currency=USD","Period=FQ","BEST_FPERIOD_OVERRIDE=FQ","FILING_STATUS=MR","SCALING_FORMAT=MLN","FA_ADJUSTED=Adjusted","Sort=A","Dates=H","DateFormat=P","Fill=—","Direction=H","UseDPDF=Y")</f>
        <v>—</v>
      </c>
      <c r="D22" s="13" t="str" cm="1">
        <f t="array" ref="D22">_xll.BDH("PCAR US Equity","IS_NET_INTEREST_EXPENSE","FQ2 2019","FQ2 2019","Currency=USD","Period=FQ","BEST_FPERIOD_OVERRIDE=FQ","FILING_STATUS=MR","SCALING_FORMAT=MLN","FA_ADJUSTED=Adjusted","Sort=A","Dates=H","DateFormat=P","Fill=—","Direction=H","UseDPDF=Y")</f>
        <v>—</v>
      </c>
      <c r="E22" s="13" t="str" cm="1">
        <f t="array" ref="E22">_xll.BDH("PCAR US Equity","IS_NET_INTEREST_EXPENSE","FQ3 2019","FQ3 2019","Currency=USD","Period=FQ","BEST_FPERIOD_OVERRIDE=FQ","FILING_STATUS=MR","SCALING_FORMAT=MLN","FA_ADJUSTED=Adjusted","Sort=A","Dates=H","DateFormat=P","Fill=—","Direction=H","UseDPDF=Y")</f>
        <v>—</v>
      </c>
      <c r="F22" s="13" t="str" cm="1">
        <f t="array" ref="F22">_xll.BDH("PCAR US Equity","IS_NET_INTEREST_EXPENSE","FQ4 2019","FQ4 2019","Currency=USD","Period=FQ","BEST_FPERIOD_OVERRIDE=FQ","FILING_STATUS=MR","SCALING_FORMAT=MLN","FA_ADJUSTED=Adjusted","Sort=A","Dates=H","DateFormat=P","Fill=—","Direction=H","UseDPDF=Y")</f>
        <v>—</v>
      </c>
      <c r="G22" s="13" t="str" cm="1">
        <f t="array" ref="G22">_xll.BDH("PCAR US Equity","IS_NET_INTEREST_EXPENSE","FQ1 2020","FQ1 2020","Currency=USD","Period=FQ","BEST_FPERIOD_OVERRIDE=FQ","FILING_STATUS=MR","SCALING_FORMAT=MLN","FA_ADJUSTED=Adjusted","Sort=A","Dates=H","DateFormat=P","Fill=—","Direction=H","UseDPDF=Y")</f>
        <v>—</v>
      </c>
      <c r="H22" s="13" t="str" cm="1">
        <f t="array" ref="H22">_xll.BDH("PCAR US Equity","IS_NET_INTEREST_EXPENSE","FQ2 2020","FQ2 2020","Currency=USD","Period=FQ","BEST_FPERIOD_OVERRIDE=FQ","FILING_STATUS=MR","SCALING_FORMAT=MLN","FA_ADJUSTED=Adjusted","Sort=A","Dates=H","DateFormat=P","Fill=—","Direction=H","UseDPDF=Y")</f>
        <v>—</v>
      </c>
      <c r="I22" s="13" t="str" cm="1">
        <f t="array" ref="I22">_xll.BDH("PCAR US Equity","IS_NET_INTEREST_EXPENSE","FQ3 2020","FQ3 2020","Currency=USD","Period=FQ","BEST_FPERIOD_OVERRIDE=FQ","FILING_STATUS=MR","SCALING_FORMAT=MLN","FA_ADJUSTED=Adjusted","Sort=A","Dates=H","DateFormat=P","Fill=—","Direction=H","UseDPDF=Y")</f>
        <v>—</v>
      </c>
      <c r="J22" s="13" t="str" cm="1">
        <f t="array" ref="J22">_xll.BDH("PCAR US Equity","IS_NET_INTEREST_EXPENSE","FQ4 2020","FQ4 2020","Currency=USD","Period=FQ","BEST_FPERIOD_OVERRIDE=FQ","FILING_STATUS=MR","SCALING_FORMAT=MLN","FA_ADJUSTED=Adjusted","Sort=A","Dates=H","DateFormat=P","Fill=—","Direction=H","UseDPDF=Y")</f>
        <v>—</v>
      </c>
      <c r="K22" s="13" t="str" cm="1">
        <f t="array" ref="K22">_xll.BDH("PCAR US Equity","IS_NET_INTEREST_EXPENSE","FQ1 2021","FQ1 2021","Currency=USD","Period=FQ","BEST_FPERIOD_OVERRIDE=FQ","FILING_STATUS=MR","SCALING_FORMAT=MLN","FA_ADJUSTED=Adjusted","Sort=A","Dates=H","DateFormat=P","Fill=—","Direction=H","UseDPDF=Y")</f>
        <v>—</v>
      </c>
      <c r="L22" s="13" t="str" cm="1">
        <f t="array" ref="L22">_xll.BDH("PCAR US Equity","IS_NET_INTEREST_EXPENSE","FQ2 2021","FQ2 2021","Currency=USD","Period=FQ","BEST_FPERIOD_OVERRIDE=FQ","FILING_STATUS=MR","SCALING_FORMAT=MLN","FA_ADJUSTED=Adjusted","Sort=A","Dates=H","DateFormat=P","Fill=—","Direction=H","UseDPDF=Y")</f>
        <v>—</v>
      </c>
      <c r="M22" s="13" cm="1">
        <f t="array" ref="M22">_xll.BDH("PCAR US Equity","IS_NET_INTEREST_EXPENSE","FQ3 2021","FQ3 2021","Currency=USD","Period=FQ","BEST_FPERIOD_OVERRIDE=FQ","FILING_STATUS=MR","SCALING_FORMAT=MLN","FA_ADJUSTED=Adjusted","Sort=A","Dates=H","DateFormat=P","Fill=—","Direction=H","UseDPDF=Y")</f>
        <v>0</v>
      </c>
      <c r="N22" s="13" cm="1">
        <f t="array" ref="N22">_xll.BDH("PCAR US Equity","IS_NET_INTEREST_EXPENSE","FQ4 2021","FQ4 2021","Currency=USD","Period=FQ","BEST_FPERIOD_OVERRIDE=FQ","FILING_STATUS=MR","SCALING_FORMAT=MLN","FA_ADJUSTED=Adjusted","Sort=A","Dates=H","DateFormat=P","Fill=—","Direction=H","UseDPDF=Y")</f>
        <v>0</v>
      </c>
      <c r="O22" s="13" t="str" cm="1">
        <f t="array" ref="O22">_xll.BDH("PCAR US Equity","IS_NET_INTEREST_EXPENSE","FQ1 2022","FQ1 2022","Currency=USD","Period=FQ","BEST_FPERIOD_OVERRIDE=FQ","FILING_STATUS=MR","SCALING_FORMAT=MLN","FA_ADJUSTED=Adjusted","Sort=A","Dates=H","DateFormat=P","Fill=—","Direction=H","UseDPDF=Y")</f>
        <v>—</v>
      </c>
      <c r="P22" s="13" t="str" cm="1">
        <f t="array" ref="P22">_xll.BDH("PCAR US Equity","IS_NET_INTEREST_EXPENSE","FQ2 2022","FQ2 2022","Currency=USD","Period=FQ","BEST_FPERIOD_OVERRIDE=FQ","FILING_STATUS=MR","SCALING_FORMAT=MLN","FA_ADJUSTED=Adjusted","Sort=A","Dates=H","DateFormat=P","Fill=—","Direction=H","UseDPDF=Y")</f>
        <v>—</v>
      </c>
      <c r="Q22" s="13" cm="1">
        <f t="array" ref="Q22">_xll.BDH("PCAR US Equity","IS_NET_INTEREST_EXPENSE","FQ3 2022","FQ3 2022","Currency=USD","Period=FQ","BEST_FPERIOD_OVERRIDE=FQ","FILING_STATUS=MR","SCALING_FORMAT=MLN","FA_ADJUSTED=Adjusted","Sort=A","Dates=H","DateFormat=P","Fill=—","Direction=H","UseDPDF=Y")</f>
        <v>0</v>
      </c>
      <c r="R22" s="13" cm="1">
        <f t="array" ref="R22">_xll.BDH("PCAR US Equity","IS_NET_INTEREST_EXPENSE","FQ4 2022","FQ4 2022","Currency=USD","Period=FQ","BEST_FPERIOD_OVERRIDE=FQ","FILING_STATUS=MR","SCALING_FORMAT=MLN","FA_ADJUSTED=Adjusted","Sort=A","Dates=H","DateFormat=P","Fill=—","Direction=H","UseDPDF=Y")</f>
        <v>0</v>
      </c>
      <c r="S22" s="13" cm="1">
        <f t="array" ref="S22">_xll.BDH("PCAR US Equity","IS_NET_INTEREST_EXPENSE","FQ1 2023","FQ1 2023","Currency=USD","Period=FQ","BEST_FPERIOD_OVERRIDE=FQ","FILING_STATUS=MR","SCALING_FORMAT=MLN","FA_ADJUSTED=Adjusted","Sort=A","Dates=H","DateFormat=P","Fill=—","Direction=H","UseDPDF=Y")</f>
        <v>-0.5</v>
      </c>
      <c r="T22" s="13" t="str" cm="1">
        <f t="array" ref="T22">_xll.BDH("PCAR US Equity","IS_NET_INTEREST_EXPENSE","FQ2 2023","FQ2 2023","Currency=USD","Period=FQ","BEST_FPERIOD_OVERRIDE=FQ","FILING_STATUS=MR","SCALING_FORMAT=MLN","FA_ADJUSTED=Adjusted","Sort=A","Dates=H","DateFormat=P","Fill=—","Direction=H","UseDPDF=Y")</f>
        <v>—</v>
      </c>
      <c r="U22" s="13" cm="1">
        <f t="array" ref="U22">_xll.BDH("PCAR US Equity","IS_NET_INTEREST_EXPENSE","FQ3 2023","FQ3 2023","Currency=USD","Period=FQ","BEST_FPERIOD_OVERRIDE=FQ","FILING_STATUS=MR","SCALING_FORMAT=MLN","FA_ADJUSTED=Adjusted","Sort=A","Dates=H","DateFormat=P","Fill=—","Direction=H","UseDPDF=Y")</f>
        <v>0</v>
      </c>
      <c r="V22" s="13" t="str" cm="1">
        <f t="array" ref="V22">_xll.BDH("PCAR US Equity","IS_NET_INTEREST_EXPENSE","FQ4 2023","FQ4 2023","Currency=USD","Period=FQ","BEST_FPERIOD_OVERRIDE=FQ","FILING_STATUS=MR","SCALING_FORMAT=MLN","FA_ADJUSTED=Adjusted","Sort=A","Dates=H","DateFormat=P","Fill=—","Direction=H","UseDPDF=Y")</f>
        <v>—</v>
      </c>
      <c r="W22" s="13" cm="1">
        <f t="array" ref="W22">_xll.BDH("PCAR US Equity","IS_NET_INTEREST_EXPENSE","FQ1 2024","FQ1 2024","Currency=USD","Period=FQ","BEST_FPERIOD_OVERRIDE=FQ","FILING_STATUS=MR","SCALING_FORMAT=MLN","FA_ADJUSTED=Adjusted","Sort=A","Dates=H","DateFormat=P","Fill=—","Direction=H","UseDPDF=Y")</f>
        <v>-1.1000000000000001</v>
      </c>
      <c r="X22" s="13" cm="1">
        <f t="array" ref="X22">_xll.BDH("PCAR US Equity","IS_NET_INTEREST_EXPENSE","FQ2 2024","FQ2 2024","Currency=USD","Period=FQ","BEST_FPERIOD_OVERRIDE=FQ","FILING_STATUS=MR","SCALING_FORMAT=MLN","FA_ADJUSTED=Adjusted","Sort=A","Dates=H","DateFormat=P","Fill=—","Direction=H","UseDPDF=Y")</f>
        <v>-1.2</v>
      </c>
      <c r="Y22" s="13" t="str" cm="1">
        <f t="array" ref="Y22">_xll.BDH("PCAR US Equity","IS_NET_INTEREST_EXPENSE","FQ3 2024","FQ3 2024","Currency=USD","Period=FQ","BEST_FPERIOD_OVERRIDE=FQ","FILING_STATUS=MR","SCALING_FORMAT=MLN","FA_ADJUSTED=Adjusted","Sort=A","Dates=H","DateFormat=P","Fill=—","Direction=H","UseDPDF=Y")</f>
        <v>—</v>
      </c>
      <c r="Z22" s="13" t="str" cm="1">
        <f t="array" ref="Z22">_xll.BDH("PCAR US Equity","IS_NET_INTEREST_EXPENSE","FQ4 2024","FQ4 2024","Currency=USD","Period=FQ","BEST_FPERIOD_OVERRIDE=FQ","FILING_STATUS=MR","SCALING_FORMAT=MLN","FA_ADJUSTED=Adjusted","Sort=A","Dates=H","DateFormat=P","Fill=—","Direction=H","UseDPDF=Y")</f>
        <v>—</v>
      </c>
      <c r="AA22" s="13" cm="1">
        <f t="array" ref="AA22">_xll.BDH("PCAR US Equity","IS_NET_INTEREST_EXPENSE","FQ1 2025","FQ1 2025","Currency=USD","Period=FQ","BEST_FPERIOD_OVERRIDE=FQ","FILING_STATUS=MR","SCALING_FORMAT=MLN","FA_ADJUSTED=Adjusted","Sort=A","Dates=H","DateFormat=P","Fill=—","Direction=H","UseDPDF=Y")</f>
        <v>-4.7</v>
      </c>
      <c r="AB22" s="13" cm="1">
        <f t="array" ref="AB22">_xll.BDH("PCAR US Equity","IS_NET_INTEREST_EXPENSE","FQ2 2025","FQ2 2025","Currency=USD","Period=FQ","BEST_FPERIOD_OVERRIDE=FQ","FILING_STATUS=MR","SCALING_FORMAT=MLN","FA_ADJUSTED=Adjusted","Sort=A","Dates=H","DateFormat=P","Fill=—","Direction=H","UseDPDF=Y")</f>
        <v>-1.2</v>
      </c>
      <c r="AC22" s="13" t="str" cm="1">
        <f t="array" ref="AC22">_xll.BDH("PCAR US Equity","IS_NET_INTEREST_EXPENSE","FQ3 2025","FQ3 2025","Currency=USD","Period=FQ","BEST_FPERIOD_OVERRIDE=FQ","FILING_STATUS=MR","SCALING_FORMAT=MLN","FA_ADJUSTED=Adjusted","Sort=A","Dates=H","DateFormat=P","Fill=—","Direction=H","UseDPDF=Y")</f>
        <v>—</v>
      </c>
      <c r="AD22" s="13" t="str" cm="1">
        <f t="array" ref="AD22">_xll.BDH("PCAR US Equity","IS_NET_INTEREST_EXPENSE","FQ4 2025","FQ4 2025","Currency=USD","Period=FQ","BEST_FPERIOD_OVERRIDE=FQ","FILING_STATUS=MR","SCALING_FORMAT=MLN","FA_ADJUSTED=Adjusted","Sort=A","Dates=H","DateFormat=P","Fill=—","Direction=H","UseDPDF=Y")</f>
        <v>—</v>
      </c>
      <c r="AE22" s="13"/>
      <c r="AF22" s="13"/>
    </row>
    <row r="23" spans="1:32" x14ac:dyDescent="0.25">
      <c r="A23" s="11" t="s">
        <v>99</v>
      </c>
      <c r="B23" s="11" t="s">
        <v>100</v>
      </c>
      <c r="C23" s="18" t="str" cm="1">
        <f t="array" ref="C23">_xll.BDH("PCAR US Equity","IS_INT_EXPENSE","FQ1 2019","FQ1 2019","Currency=USD","Period=FQ","BEST_FPERIOD_OVERRIDE=FQ","FILING_STATUS=MR","SCALING_FORMAT=MLN","FA_ADJUSTED=Adjusted","Sort=A","Dates=H","DateFormat=P","Fill=—","Direction=H","UseDPDF=Y")</f>
        <v>—</v>
      </c>
      <c r="D23" s="18" t="str" cm="1">
        <f t="array" ref="D23">_xll.BDH("PCAR US Equity","IS_INT_EXPENSE","FQ2 2019","FQ2 2019","Currency=USD","Period=FQ","BEST_FPERIOD_OVERRIDE=FQ","FILING_STATUS=MR","SCALING_FORMAT=MLN","FA_ADJUSTED=Adjusted","Sort=A","Dates=H","DateFormat=P","Fill=—","Direction=H","UseDPDF=Y")</f>
        <v>—</v>
      </c>
      <c r="E23" s="18" t="str" cm="1">
        <f t="array" ref="E23">_xll.BDH("PCAR US Equity","IS_INT_EXPENSE","FQ3 2019","FQ3 2019","Currency=USD","Period=FQ","BEST_FPERIOD_OVERRIDE=FQ","FILING_STATUS=MR","SCALING_FORMAT=MLN","FA_ADJUSTED=Adjusted","Sort=A","Dates=H","DateFormat=P","Fill=—","Direction=H","UseDPDF=Y")</f>
        <v>—</v>
      </c>
      <c r="F23" s="18" t="str" cm="1">
        <f t="array" ref="F23">_xll.BDH("PCAR US Equity","IS_INT_EXPENSE","FQ4 2019","FQ4 2019","Currency=USD","Period=FQ","BEST_FPERIOD_OVERRIDE=FQ","FILING_STATUS=MR","SCALING_FORMAT=MLN","FA_ADJUSTED=Adjusted","Sort=A","Dates=H","DateFormat=P","Fill=—","Direction=H","UseDPDF=Y")</f>
        <v>—</v>
      </c>
      <c r="G23" s="18" t="str" cm="1">
        <f t="array" ref="G23">_xll.BDH("PCAR US Equity","IS_INT_EXPENSE","FQ1 2020","FQ1 2020","Currency=USD","Period=FQ","BEST_FPERIOD_OVERRIDE=FQ","FILING_STATUS=MR","SCALING_FORMAT=MLN","FA_ADJUSTED=Adjusted","Sort=A","Dates=H","DateFormat=P","Fill=—","Direction=H","UseDPDF=Y")</f>
        <v>—</v>
      </c>
      <c r="H23" s="18" t="str" cm="1">
        <f t="array" ref="H23">_xll.BDH("PCAR US Equity","IS_INT_EXPENSE","FQ2 2020","FQ2 2020","Currency=USD","Period=FQ","BEST_FPERIOD_OVERRIDE=FQ","FILING_STATUS=MR","SCALING_FORMAT=MLN","FA_ADJUSTED=Adjusted","Sort=A","Dates=H","DateFormat=P","Fill=—","Direction=H","UseDPDF=Y")</f>
        <v>—</v>
      </c>
      <c r="I23" s="18" t="str" cm="1">
        <f t="array" ref="I23">_xll.BDH("PCAR US Equity","IS_INT_EXPENSE","FQ3 2020","FQ3 2020","Currency=USD","Period=FQ","BEST_FPERIOD_OVERRIDE=FQ","FILING_STATUS=MR","SCALING_FORMAT=MLN","FA_ADJUSTED=Adjusted","Sort=A","Dates=H","DateFormat=P","Fill=—","Direction=H","UseDPDF=Y")</f>
        <v>—</v>
      </c>
      <c r="J23" s="18" t="str" cm="1">
        <f t="array" ref="J23">_xll.BDH("PCAR US Equity","IS_INT_EXPENSE","FQ4 2020","FQ4 2020","Currency=USD","Period=FQ","BEST_FPERIOD_OVERRIDE=FQ","FILING_STATUS=MR","SCALING_FORMAT=MLN","FA_ADJUSTED=Adjusted","Sort=A","Dates=H","DateFormat=P","Fill=—","Direction=H","UseDPDF=Y")</f>
        <v>—</v>
      </c>
      <c r="K23" s="18" t="str" cm="1">
        <f t="array" ref="K23">_xll.BDH("PCAR US Equity","IS_INT_EXPENSE","FQ1 2021","FQ1 2021","Currency=USD","Period=FQ","BEST_FPERIOD_OVERRIDE=FQ","FILING_STATUS=MR","SCALING_FORMAT=MLN","FA_ADJUSTED=Adjusted","Sort=A","Dates=H","DateFormat=P","Fill=—","Direction=H","UseDPDF=Y")</f>
        <v>—</v>
      </c>
      <c r="L23" s="18" t="str" cm="1">
        <f t="array" ref="L23">_xll.BDH("PCAR US Equity","IS_INT_EXPENSE","FQ2 2021","FQ2 2021","Currency=USD","Period=FQ","BEST_FPERIOD_OVERRIDE=FQ","FILING_STATUS=MR","SCALING_FORMAT=MLN","FA_ADJUSTED=Adjusted","Sort=A","Dates=H","DateFormat=P","Fill=—","Direction=H","UseDPDF=Y")</f>
        <v>—</v>
      </c>
      <c r="M23" s="18" cm="1">
        <f t="array" ref="M23">_xll.BDH("PCAR US Equity","IS_INT_EXPENSE","FQ3 2021","FQ3 2021","Currency=USD","Period=FQ","BEST_FPERIOD_OVERRIDE=FQ","FILING_STATUS=MR","SCALING_FORMAT=MLN","FA_ADJUSTED=Adjusted","Sort=A","Dates=H","DateFormat=P","Fill=—","Direction=H","UseDPDF=Y")</f>
        <v>0</v>
      </c>
      <c r="N23" s="18" cm="1">
        <f t="array" ref="N23">_xll.BDH("PCAR US Equity","IS_INT_EXPENSE","FQ4 2021","FQ4 2021","Currency=USD","Period=FQ","BEST_FPERIOD_OVERRIDE=FQ","FILING_STATUS=MR","SCALING_FORMAT=MLN","FA_ADJUSTED=Adjusted","Sort=A","Dates=H","DateFormat=P","Fill=—","Direction=H","UseDPDF=Y")</f>
        <v>0</v>
      </c>
      <c r="O23" s="18" t="str" cm="1">
        <f t="array" ref="O23">_xll.BDH("PCAR US Equity","IS_INT_EXPENSE","FQ1 2022","FQ1 2022","Currency=USD","Period=FQ","BEST_FPERIOD_OVERRIDE=FQ","FILING_STATUS=MR","SCALING_FORMAT=MLN","FA_ADJUSTED=Adjusted","Sort=A","Dates=H","DateFormat=P","Fill=—","Direction=H","UseDPDF=Y")</f>
        <v>—</v>
      </c>
      <c r="P23" s="18" t="str" cm="1">
        <f t="array" ref="P23">_xll.BDH("PCAR US Equity","IS_INT_EXPENSE","FQ2 2022","FQ2 2022","Currency=USD","Period=FQ","BEST_FPERIOD_OVERRIDE=FQ","FILING_STATUS=MR","SCALING_FORMAT=MLN","FA_ADJUSTED=Adjusted","Sort=A","Dates=H","DateFormat=P","Fill=—","Direction=H","UseDPDF=Y")</f>
        <v>—</v>
      </c>
      <c r="Q23" s="18" cm="1">
        <f t="array" ref="Q23">_xll.BDH("PCAR US Equity","IS_INT_EXPENSE","FQ3 2022","FQ3 2022","Currency=USD","Period=FQ","BEST_FPERIOD_OVERRIDE=FQ","FILING_STATUS=MR","SCALING_FORMAT=MLN","FA_ADJUSTED=Adjusted","Sort=A","Dates=H","DateFormat=P","Fill=—","Direction=H","UseDPDF=Y")</f>
        <v>0</v>
      </c>
      <c r="R23" s="18" cm="1">
        <f t="array" ref="R23">_xll.BDH("PCAR US Equity","IS_INT_EXPENSE","FQ4 2022","FQ4 2022","Currency=USD","Period=FQ","BEST_FPERIOD_OVERRIDE=FQ","FILING_STATUS=MR","SCALING_FORMAT=MLN","FA_ADJUSTED=Adjusted","Sort=A","Dates=H","DateFormat=P","Fill=—","Direction=H","UseDPDF=Y")</f>
        <v>0</v>
      </c>
      <c r="S23" s="18" cm="1">
        <f t="array" ref="S23">_xll.BDH("PCAR US Equity","IS_INT_EXPENSE","FQ1 2023","FQ1 2023","Currency=USD","Period=FQ","BEST_FPERIOD_OVERRIDE=FQ","FILING_STATUS=MR","SCALING_FORMAT=MLN","FA_ADJUSTED=Adjusted","Sort=A","Dates=H","DateFormat=P","Fill=—","Direction=H","UseDPDF=Y")</f>
        <v>0</v>
      </c>
      <c r="T23" s="18" t="str" cm="1">
        <f t="array" ref="T23">_xll.BDH("PCAR US Equity","IS_INT_EXPENSE","FQ2 2023","FQ2 2023","Currency=USD","Period=FQ","BEST_FPERIOD_OVERRIDE=FQ","FILING_STATUS=MR","SCALING_FORMAT=MLN","FA_ADJUSTED=Adjusted","Sort=A","Dates=H","DateFormat=P","Fill=—","Direction=H","UseDPDF=Y")</f>
        <v>—</v>
      </c>
      <c r="U23" s="18" cm="1">
        <f t="array" ref="U23">_xll.BDH("PCAR US Equity","IS_INT_EXPENSE","FQ3 2023","FQ3 2023","Currency=USD","Period=FQ","BEST_FPERIOD_OVERRIDE=FQ","FILING_STATUS=MR","SCALING_FORMAT=MLN","FA_ADJUSTED=Adjusted","Sort=A","Dates=H","DateFormat=P","Fill=—","Direction=H","UseDPDF=Y")</f>
        <v>0</v>
      </c>
      <c r="V23" s="18" t="str" cm="1">
        <f t="array" ref="V23">_xll.BDH("PCAR US Equity","IS_INT_EXPENSE","FQ4 2023","FQ4 2023","Currency=USD","Period=FQ","BEST_FPERIOD_OVERRIDE=FQ","FILING_STATUS=MR","SCALING_FORMAT=MLN","FA_ADJUSTED=Adjusted","Sort=A","Dates=H","DateFormat=P","Fill=—","Direction=H","UseDPDF=Y")</f>
        <v>—</v>
      </c>
      <c r="W23" s="18" cm="1">
        <f t="array" ref="W23">_xll.BDH("PCAR US Equity","IS_INT_EXPENSE","FQ1 2024","FQ1 2024","Currency=USD","Period=FQ","BEST_FPERIOD_OVERRIDE=FQ","FILING_STATUS=MR","SCALING_FORMAT=MLN","FA_ADJUSTED=Adjusted","Sort=A","Dates=H","DateFormat=P","Fill=—","Direction=H","UseDPDF=Y")</f>
        <v>0</v>
      </c>
      <c r="X23" s="18" cm="1">
        <f t="array" ref="X23">_xll.BDH("PCAR US Equity","IS_INT_EXPENSE","FQ2 2024","FQ2 2024","Currency=USD","Period=FQ","BEST_FPERIOD_OVERRIDE=FQ","FILING_STATUS=MR","SCALING_FORMAT=MLN","FA_ADJUSTED=Adjusted","Sort=A","Dates=H","DateFormat=P","Fill=—","Direction=H","UseDPDF=Y")</f>
        <v>0</v>
      </c>
      <c r="Y23" s="18" t="str" cm="1">
        <f t="array" ref="Y23">_xll.BDH("PCAR US Equity","IS_INT_EXPENSE","FQ3 2024","FQ3 2024","Currency=USD","Period=FQ","BEST_FPERIOD_OVERRIDE=FQ","FILING_STATUS=MR","SCALING_FORMAT=MLN","FA_ADJUSTED=Adjusted","Sort=A","Dates=H","DateFormat=P","Fill=—","Direction=H","UseDPDF=Y")</f>
        <v>—</v>
      </c>
      <c r="Z23" s="18" t="str" cm="1">
        <f t="array" ref="Z23">_xll.BDH("PCAR US Equity","IS_INT_EXPENSE","FQ4 2024","FQ4 2024","Currency=USD","Period=FQ","BEST_FPERIOD_OVERRIDE=FQ","FILING_STATUS=MR","SCALING_FORMAT=MLN","FA_ADJUSTED=Adjusted","Sort=A","Dates=H","DateFormat=P","Fill=—","Direction=H","UseDPDF=Y")</f>
        <v>—</v>
      </c>
      <c r="AA23" s="18" cm="1">
        <f t="array" ref="AA23">_xll.BDH("PCAR US Equity","IS_INT_EXPENSE","FQ1 2025","FQ1 2025","Currency=USD","Period=FQ","BEST_FPERIOD_OVERRIDE=FQ","FILING_STATUS=MR","SCALING_FORMAT=MLN","FA_ADJUSTED=Adjusted","Sort=A","Dates=H","DateFormat=P","Fill=—","Direction=H","UseDPDF=Y")</f>
        <v>0</v>
      </c>
      <c r="AB23" s="18" cm="1">
        <f t="array" ref="AB23">_xll.BDH("PCAR US Equity","IS_INT_EXPENSE","FQ2 2025","FQ2 2025","Currency=USD","Period=FQ","BEST_FPERIOD_OVERRIDE=FQ","FILING_STATUS=MR","SCALING_FORMAT=MLN","FA_ADJUSTED=Adjusted","Sort=A","Dates=H","DateFormat=P","Fill=—","Direction=H","UseDPDF=Y")</f>
        <v>0</v>
      </c>
      <c r="AC23" s="18" t="str" cm="1">
        <f t="array" ref="AC23">_xll.BDH("PCAR US Equity","IS_INT_EXPENSE","FQ3 2025","FQ3 2025","Currency=USD","Period=FQ","BEST_FPERIOD_OVERRIDE=FQ","FILING_STATUS=MR","SCALING_FORMAT=MLN","FA_ADJUSTED=Adjusted","Sort=A","Dates=H","DateFormat=P","Fill=—","Direction=H","UseDPDF=Y")</f>
        <v>—</v>
      </c>
      <c r="AD23" s="18" t="str" cm="1">
        <f t="array" ref="AD23">_xll.BDH("PCAR US Equity","IS_INT_EXPENSE","FQ4 2025","FQ4 2025","Currency=USD","Period=FQ","BEST_FPERIOD_OVERRIDE=FQ","FILING_STATUS=MR","SCALING_FORMAT=MLN","FA_ADJUSTED=Adjusted","Sort=A","Dates=H","DateFormat=P","Fill=—","Direction=H","UseDPDF=Y")</f>
        <v>—</v>
      </c>
      <c r="AE23" s="18"/>
      <c r="AF23" s="18"/>
    </row>
    <row r="24" spans="1:32" x14ac:dyDescent="0.25">
      <c r="A24" s="11" t="s">
        <v>101</v>
      </c>
      <c r="B24" s="11" t="s">
        <v>102</v>
      </c>
      <c r="C24" s="18" cm="1">
        <f t="array" ref="C24">_xll.BDH("PCAR US Equity","IS_INT_INC","FQ1 2019","FQ1 2019","Currency=USD","Period=FQ","BEST_FPERIOD_OVERRIDE=FQ","FILING_STATUS=MR","SCALING_FORMAT=MLN","FA_ADJUSTED=Adjusted","Sort=A","Dates=H","DateFormat=P","Fill=—","Direction=H","UseDPDF=Y")</f>
        <v>0.4</v>
      </c>
      <c r="D24" s="18" cm="1">
        <f t="array" ref="D24">_xll.BDH("PCAR US Equity","IS_INT_INC","FQ2 2019","FQ2 2019","Currency=USD","Period=FQ","BEST_FPERIOD_OVERRIDE=FQ","FILING_STATUS=MR","SCALING_FORMAT=MLN","FA_ADJUSTED=Adjusted","Sort=A","Dates=H","DateFormat=P","Fill=—","Direction=H","UseDPDF=Y")</f>
        <v>0.3</v>
      </c>
      <c r="E24" s="18" cm="1">
        <f t="array" ref="E24">_xll.BDH("PCAR US Equity","IS_INT_INC","FQ3 2019","FQ3 2019","Currency=USD","Period=FQ","BEST_FPERIOD_OVERRIDE=FQ","FILING_STATUS=MR","SCALING_FORMAT=MLN","FA_ADJUSTED=Adjusted","Sort=A","Dates=H","DateFormat=P","Fill=—","Direction=H","UseDPDF=Y")</f>
        <v>0.6</v>
      </c>
      <c r="F24" s="18" cm="1">
        <f t="array" ref="F24">_xll.BDH("PCAR US Equity","IS_INT_INC","FQ4 2019","FQ4 2019","Currency=USD","Period=FQ","BEST_FPERIOD_OVERRIDE=FQ","FILING_STATUS=MR","SCALING_FORMAT=MLN","FA_ADJUSTED=Adjusted","Sort=A","Dates=H","DateFormat=P","Fill=—","Direction=H","UseDPDF=Y")</f>
        <v>0.4</v>
      </c>
      <c r="G24" s="18" cm="1">
        <f t="array" ref="G24">_xll.BDH("PCAR US Equity","IS_INT_INC","FQ1 2020","FQ1 2020","Currency=USD","Period=FQ","BEST_FPERIOD_OVERRIDE=FQ","FILING_STATUS=MR","SCALING_FORMAT=MLN","FA_ADJUSTED=Adjusted","Sort=A","Dates=H","DateFormat=P","Fill=—","Direction=H","UseDPDF=Y")</f>
        <v>0.4</v>
      </c>
      <c r="H24" s="18" cm="1">
        <f t="array" ref="H24">_xll.BDH("PCAR US Equity","IS_INT_INC","FQ2 2020","FQ2 2020","Currency=USD","Period=FQ","BEST_FPERIOD_OVERRIDE=FQ","FILING_STATUS=MR","SCALING_FORMAT=MLN","FA_ADJUSTED=Adjusted","Sort=A","Dates=H","DateFormat=P","Fill=—","Direction=H","UseDPDF=Y")</f>
        <v>0.6</v>
      </c>
      <c r="I24" s="18" cm="1">
        <f t="array" ref="I24">_xll.BDH("PCAR US Equity","IS_INT_INC","FQ3 2020","FQ3 2020","Currency=USD","Period=FQ","BEST_FPERIOD_OVERRIDE=FQ","FILING_STATUS=MR","SCALING_FORMAT=MLN","FA_ADJUSTED=Adjusted","Sort=A","Dates=H","DateFormat=P","Fill=—","Direction=H","UseDPDF=Y")</f>
        <v>0.5</v>
      </c>
      <c r="J24" s="18" cm="1">
        <f t="array" ref="J24">_xll.BDH("PCAR US Equity","IS_INT_INC","FQ4 2020","FQ4 2020","Currency=USD","Period=FQ","BEST_FPERIOD_OVERRIDE=FQ","FILING_STATUS=MR","SCALING_FORMAT=MLN","FA_ADJUSTED=Adjusted","Sort=A","Dates=H","DateFormat=P","Fill=—","Direction=H","UseDPDF=Y")</f>
        <v>0.4</v>
      </c>
      <c r="K24" s="18" cm="1">
        <f t="array" ref="K24">_xll.BDH("PCAR US Equity","IS_INT_INC","FQ1 2021","FQ1 2021","Currency=USD","Period=FQ","BEST_FPERIOD_OVERRIDE=FQ","FILING_STATUS=MR","SCALING_FORMAT=MLN","FA_ADJUSTED=Adjusted","Sort=A","Dates=H","DateFormat=P","Fill=—","Direction=H","UseDPDF=Y")</f>
        <v>1.1000000000000001</v>
      </c>
      <c r="L24" s="18" cm="1">
        <f t="array" ref="L24">_xll.BDH("PCAR US Equity","IS_INT_INC","FQ2 2021","FQ2 2021","Currency=USD","Period=FQ","BEST_FPERIOD_OVERRIDE=FQ","FILING_STATUS=MR","SCALING_FORMAT=MLN","FA_ADJUSTED=Adjusted","Sort=A","Dates=H","DateFormat=P","Fill=—","Direction=H","UseDPDF=Y")</f>
        <v>0.1</v>
      </c>
      <c r="M24" s="18" cm="1">
        <f t="array" ref="M24">_xll.BDH("PCAR US Equity","IS_INT_INC","FQ3 2021","FQ3 2021","Currency=USD","Period=FQ","BEST_FPERIOD_OVERRIDE=FQ","FILING_STATUS=MR","SCALING_FORMAT=MLN","FA_ADJUSTED=Adjusted","Sort=A","Dates=H","DateFormat=P","Fill=—","Direction=H","UseDPDF=Y")</f>
        <v>0</v>
      </c>
      <c r="N24" s="18" cm="1">
        <f t="array" ref="N24">_xll.BDH("PCAR US Equity","IS_INT_INC","FQ4 2021","FQ4 2021","Currency=USD","Period=FQ","BEST_FPERIOD_OVERRIDE=FQ","FILING_STATUS=MR","SCALING_FORMAT=MLN","FA_ADJUSTED=Adjusted","Sort=A","Dates=H","DateFormat=P","Fill=—","Direction=H","UseDPDF=Y")</f>
        <v>0</v>
      </c>
      <c r="O24" s="18" cm="1">
        <f t="array" ref="O24">_xll.BDH("PCAR US Equity","IS_INT_INC","FQ1 2022","FQ1 2022","Currency=USD","Period=FQ","BEST_FPERIOD_OVERRIDE=FQ","FILING_STATUS=MR","SCALING_FORMAT=MLN","FA_ADJUSTED=Adjusted","Sort=A","Dates=H","DateFormat=P","Fill=—","Direction=H","UseDPDF=Y")</f>
        <v>0.6</v>
      </c>
      <c r="P24" s="18" cm="1">
        <f t="array" ref="P24">_xll.BDH("PCAR US Equity","IS_INT_INC","FQ2 2022","FQ2 2022","Currency=USD","Period=FQ","BEST_FPERIOD_OVERRIDE=FQ","FILING_STATUS=MR","SCALING_FORMAT=MLN","FA_ADJUSTED=Adjusted","Sort=A","Dates=H","DateFormat=P","Fill=—","Direction=H","UseDPDF=Y")</f>
        <v>0</v>
      </c>
      <c r="Q24" s="18" cm="1">
        <f t="array" ref="Q24">_xll.BDH("PCAR US Equity","IS_INT_INC","FQ3 2022","FQ3 2022","Currency=USD","Period=FQ","BEST_FPERIOD_OVERRIDE=FQ","FILING_STATUS=MR","SCALING_FORMAT=MLN","FA_ADJUSTED=Adjusted","Sort=A","Dates=H","DateFormat=P","Fill=—","Direction=H","UseDPDF=Y")</f>
        <v>0</v>
      </c>
      <c r="R24" s="18" cm="1">
        <f t="array" ref="R24">_xll.BDH("PCAR US Equity","IS_INT_INC","FQ4 2022","FQ4 2022","Currency=USD","Period=FQ","BEST_FPERIOD_OVERRIDE=FQ","FILING_STATUS=MR","SCALING_FORMAT=MLN","FA_ADJUSTED=Adjusted","Sort=A","Dates=H","DateFormat=P","Fill=—","Direction=H","UseDPDF=Y")</f>
        <v>0</v>
      </c>
      <c r="S24" s="18" cm="1">
        <f t="array" ref="S24">_xll.BDH("PCAR US Equity","IS_INT_INC","FQ1 2023","FQ1 2023","Currency=USD","Period=FQ","BEST_FPERIOD_OVERRIDE=FQ","FILING_STATUS=MR","SCALING_FORMAT=MLN","FA_ADJUSTED=Adjusted","Sort=A","Dates=H","DateFormat=P","Fill=—","Direction=H","UseDPDF=Y")</f>
        <v>0.5</v>
      </c>
      <c r="T24" s="18" cm="1">
        <f t="array" ref="T24">_xll.BDH("PCAR US Equity","IS_INT_INC","FQ2 2023","FQ2 2023","Currency=USD","Period=FQ","BEST_FPERIOD_OVERRIDE=FQ","FILING_STATUS=MR","SCALING_FORMAT=MLN","FA_ADJUSTED=Adjusted","Sort=A","Dates=H","DateFormat=P","Fill=—","Direction=H","UseDPDF=Y")</f>
        <v>0</v>
      </c>
      <c r="U24" s="18" cm="1">
        <f t="array" ref="U24">_xll.BDH("PCAR US Equity","IS_INT_INC","FQ3 2023","FQ3 2023","Currency=USD","Period=FQ","BEST_FPERIOD_OVERRIDE=FQ","FILING_STATUS=MR","SCALING_FORMAT=MLN","FA_ADJUSTED=Adjusted","Sort=A","Dates=H","DateFormat=P","Fill=—","Direction=H","UseDPDF=Y")</f>
        <v>0</v>
      </c>
      <c r="V24" s="18" t="str" cm="1">
        <f t="array" ref="V24">_xll.BDH("PCAR US Equity","IS_INT_INC","FQ4 2023","FQ4 2023","Currency=USD","Period=FQ","BEST_FPERIOD_OVERRIDE=FQ","FILING_STATUS=MR","SCALING_FORMAT=MLN","FA_ADJUSTED=Adjusted","Sort=A","Dates=H","DateFormat=P","Fill=—","Direction=H","UseDPDF=Y")</f>
        <v>—</v>
      </c>
      <c r="W24" s="18" cm="1">
        <f t="array" ref="W24">_xll.BDH("PCAR US Equity","IS_INT_INC","FQ1 2024","FQ1 2024","Currency=USD","Period=FQ","BEST_FPERIOD_OVERRIDE=FQ","FILING_STATUS=MR","SCALING_FORMAT=MLN","FA_ADJUSTED=Adjusted","Sort=A","Dates=H","DateFormat=P","Fill=—","Direction=H","UseDPDF=Y")</f>
        <v>1.1000000000000001</v>
      </c>
      <c r="X24" s="18" cm="1">
        <f t="array" ref="X24">_xll.BDH("PCAR US Equity","IS_INT_INC","FQ2 2024","FQ2 2024","Currency=USD","Period=FQ","BEST_FPERIOD_OVERRIDE=FQ","FILING_STATUS=MR","SCALING_FORMAT=MLN","FA_ADJUSTED=Adjusted","Sort=A","Dates=H","DateFormat=P","Fill=—","Direction=H","UseDPDF=Y")</f>
        <v>1.2</v>
      </c>
      <c r="Y24" s="18" t="str" cm="1">
        <f t="array" ref="Y24">_xll.BDH("PCAR US Equity","IS_INT_INC","FQ3 2024","FQ3 2024","Currency=USD","Period=FQ","BEST_FPERIOD_OVERRIDE=FQ","FILING_STATUS=MR","SCALING_FORMAT=MLN","FA_ADJUSTED=Adjusted","Sort=A","Dates=H","DateFormat=P","Fill=—","Direction=H","UseDPDF=Y")</f>
        <v>—</v>
      </c>
      <c r="Z24" s="18" t="str" cm="1">
        <f t="array" ref="Z24">_xll.BDH("PCAR US Equity","IS_INT_INC","FQ4 2024","FQ4 2024","Currency=USD","Period=FQ","BEST_FPERIOD_OVERRIDE=FQ","FILING_STATUS=MR","SCALING_FORMAT=MLN","FA_ADJUSTED=Adjusted","Sort=A","Dates=H","DateFormat=P","Fill=—","Direction=H","UseDPDF=Y")</f>
        <v>—</v>
      </c>
      <c r="AA24" s="18" cm="1">
        <f t="array" ref="AA24">_xll.BDH("PCAR US Equity","IS_INT_INC","FQ1 2025","FQ1 2025","Currency=USD","Period=FQ","BEST_FPERIOD_OVERRIDE=FQ","FILING_STATUS=MR","SCALING_FORMAT=MLN","FA_ADJUSTED=Adjusted","Sort=A","Dates=H","DateFormat=P","Fill=—","Direction=H","UseDPDF=Y")</f>
        <v>4.7</v>
      </c>
      <c r="AB24" s="18" cm="1">
        <f t="array" ref="AB24">_xll.BDH("PCAR US Equity","IS_INT_INC","FQ2 2025","FQ2 2025","Currency=USD","Period=FQ","BEST_FPERIOD_OVERRIDE=FQ","FILING_STATUS=MR","SCALING_FORMAT=MLN","FA_ADJUSTED=Adjusted","Sort=A","Dates=H","DateFormat=P","Fill=—","Direction=H","UseDPDF=Y")</f>
        <v>1.2</v>
      </c>
      <c r="AC24" s="18" t="str" cm="1">
        <f t="array" ref="AC24">_xll.BDH("PCAR US Equity","IS_INT_INC","FQ3 2025","FQ3 2025","Currency=USD","Period=FQ","BEST_FPERIOD_OVERRIDE=FQ","FILING_STATUS=MR","SCALING_FORMAT=MLN","FA_ADJUSTED=Adjusted","Sort=A","Dates=H","DateFormat=P","Fill=—","Direction=H","UseDPDF=Y")</f>
        <v>—</v>
      </c>
      <c r="AD24" s="18" t="str" cm="1">
        <f t="array" ref="AD24">_xll.BDH("PCAR US Equity","IS_INT_INC","FQ4 2025","FQ4 2025","Currency=USD","Period=FQ","BEST_FPERIOD_OVERRIDE=FQ","FILING_STATUS=MR","SCALING_FORMAT=MLN","FA_ADJUSTED=Adjusted","Sort=A","Dates=H","DateFormat=P","Fill=—","Direction=H","UseDPDF=Y")</f>
        <v>—</v>
      </c>
      <c r="AE24" s="18"/>
      <c r="AF24" s="18"/>
    </row>
    <row r="25" spans="1:32" x14ac:dyDescent="0.25">
      <c r="A25" s="10" t="s">
        <v>103</v>
      </c>
      <c r="B25" s="10" t="s">
        <v>104</v>
      </c>
      <c r="C25" s="13" cm="1">
        <f t="array" ref="C25">_xll.BDH("PCAR US Equity","IS_OTHER_INVESTMENT_INCOME_LOSS","FQ1 2019","FQ1 2019","Currency=USD","Period=FQ","BEST_FPERIOD_OVERRIDE=FQ","FILING_STATUS=MR","SCALING_FORMAT=MLN","FA_ADJUSTED=Adjusted","Sort=A","Dates=H","DateFormat=P","Fill=—","Direction=H","UseDPDF=Y")</f>
        <v>-19.3</v>
      </c>
      <c r="D25" s="13" cm="1">
        <f t="array" ref="D25">_xll.BDH("PCAR US Equity","IS_OTHER_INVESTMENT_INCOME_LOSS","FQ2 2019","FQ2 2019","Currency=USD","Period=FQ","BEST_FPERIOD_OVERRIDE=FQ","FILING_STATUS=MR","SCALING_FORMAT=MLN","FA_ADJUSTED=Adjusted","Sort=A","Dates=H","DateFormat=P","Fill=—","Direction=H","UseDPDF=Y")</f>
        <v>-21.8</v>
      </c>
      <c r="E25" s="13" cm="1">
        <f t="array" ref="E25">_xll.BDH("PCAR US Equity","IS_OTHER_INVESTMENT_INCOME_LOSS","FQ3 2019","FQ3 2019","Currency=USD","Period=FQ","BEST_FPERIOD_OVERRIDE=FQ","FILING_STATUS=MR","SCALING_FORMAT=MLN","FA_ADJUSTED=Adjusted","Sort=A","Dates=H","DateFormat=P","Fill=—","Direction=H","UseDPDF=Y")</f>
        <v>-21.1</v>
      </c>
      <c r="F25" s="13" cm="1">
        <f t="array" ref="F25">_xll.BDH("PCAR US Equity","IS_OTHER_INVESTMENT_INCOME_LOSS","FQ4 2019","FQ4 2019","Currency=USD","Period=FQ","BEST_FPERIOD_OVERRIDE=FQ","FILING_STATUS=MR","SCALING_FORMAT=MLN","FA_ADJUSTED=Adjusted","Sort=A","Dates=H","DateFormat=P","Fill=—","Direction=H","UseDPDF=Y")</f>
        <v>-20.100000000000001</v>
      </c>
      <c r="G25" s="13" cm="1">
        <f t="array" ref="G25">_xll.BDH("PCAR US Equity","IS_OTHER_INVESTMENT_INCOME_LOSS","FQ1 2020","FQ1 2020","Currency=USD","Period=FQ","BEST_FPERIOD_OVERRIDE=FQ","FILING_STATUS=MR","SCALING_FORMAT=MLN","FA_ADJUSTED=Adjusted","Sort=A","Dates=H","DateFormat=P","Fill=—","Direction=H","UseDPDF=Y")</f>
        <v>-14.8</v>
      </c>
      <c r="H25" s="13" cm="1">
        <f t="array" ref="H25">_xll.BDH("PCAR US Equity","IS_OTHER_INVESTMENT_INCOME_LOSS","FQ2 2020","FQ2 2020","Currency=USD","Period=FQ","BEST_FPERIOD_OVERRIDE=FQ","FILING_STATUS=MR","SCALING_FORMAT=MLN","FA_ADJUSTED=Adjusted","Sort=A","Dates=H","DateFormat=P","Fill=—","Direction=H","UseDPDF=Y")</f>
        <v>-9</v>
      </c>
      <c r="I25" s="13" cm="1">
        <f t="array" ref="I25">_xll.BDH("PCAR US Equity","IS_OTHER_INVESTMENT_INCOME_LOSS","FQ3 2020","FQ3 2020","Currency=USD","Period=FQ","BEST_FPERIOD_OVERRIDE=FQ","FILING_STATUS=MR","SCALING_FORMAT=MLN","FA_ADJUSTED=Adjusted","Sort=A","Dates=H","DateFormat=P","Fill=—","Direction=H","UseDPDF=Y")</f>
        <v>-6.4</v>
      </c>
      <c r="J25" s="13" cm="1">
        <f t="array" ref="J25">_xll.BDH("PCAR US Equity","IS_OTHER_INVESTMENT_INCOME_LOSS","FQ4 2020","FQ4 2020","Currency=USD","Period=FQ","BEST_FPERIOD_OVERRIDE=FQ","FILING_STATUS=MR","SCALING_FORMAT=MLN","FA_ADJUSTED=Adjusted","Sort=A","Dates=H","DateFormat=P","Fill=—","Direction=H","UseDPDF=Y")</f>
        <v>-5.7</v>
      </c>
      <c r="K25" s="13" cm="1">
        <f t="array" ref="K25">_xll.BDH("PCAR US Equity","IS_OTHER_INVESTMENT_INCOME_LOSS","FQ1 2021","FQ1 2021","Currency=USD","Period=FQ","BEST_FPERIOD_OVERRIDE=FQ","FILING_STATUS=MR","SCALING_FORMAT=MLN","FA_ADJUSTED=Adjusted","Sort=A","Dates=H","DateFormat=P","Fill=—","Direction=H","UseDPDF=Y")</f>
        <v>-4.9000000000000004</v>
      </c>
      <c r="L25" s="13" cm="1">
        <f t="array" ref="L25">_xll.BDH("PCAR US Equity","IS_OTHER_INVESTMENT_INCOME_LOSS","FQ2 2021","FQ2 2021","Currency=USD","Period=FQ","BEST_FPERIOD_OVERRIDE=FQ","FILING_STATUS=MR","SCALING_FORMAT=MLN","FA_ADJUSTED=Adjusted","Sort=A","Dates=H","DateFormat=P","Fill=—","Direction=H","UseDPDF=Y")</f>
        <v>-5</v>
      </c>
      <c r="M25" s="13" cm="1">
        <f t="array" ref="M25">_xll.BDH("PCAR US Equity","IS_OTHER_INVESTMENT_INCOME_LOSS","FQ3 2021","FQ3 2021","Currency=USD","Period=FQ","BEST_FPERIOD_OVERRIDE=FQ","FILING_STATUS=MR","SCALING_FORMAT=MLN","FA_ADJUSTED=Adjusted","Sort=A","Dates=H","DateFormat=P","Fill=—","Direction=H","UseDPDF=Y")</f>
        <v>-1.6</v>
      </c>
      <c r="N25" s="13" cm="1">
        <f t="array" ref="N25">_xll.BDH("PCAR US Equity","IS_OTHER_INVESTMENT_INCOME_LOSS","FQ4 2021","FQ4 2021","Currency=USD","Period=FQ","BEST_FPERIOD_OVERRIDE=FQ","FILING_STATUS=MR","SCALING_FORMAT=MLN","FA_ADJUSTED=Adjusted","Sort=A","Dates=H","DateFormat=P","Fill=—","Direction=H","UseDPDF=Y")</f>
        <v>-4</v>
      </c>
      <c r="O25" s="13" cm="1">
        <f t="array" ref="O25">_xll.BDH("PCAR US Equity","IS_OTHER_INVESTMENT_INCOME_LOSS","FQ1 2022","FQ1 2022","Currency=USD","Period=FQ","BEST_FPERIOD_OVERRIDE=FQ","FILING_STATUS=MR","SCALING_FORMAT=MLN","FA_ADJUSTED=Adjusted","Sort=A","Dates=H","DateFormat=P","Fill=—","Direction=H","UseDPDF=Y")</f>
        <v>2.5</v>
      </c>
      <c r="P25" s="13" cm="1">
        <f t="array" ref="P25">_xll.BDH("PCAR US Equity","IS_OTHER_INVESTMENT_INCOME_LOSS","FQ2 2022","FQ2 2022","Currency=USD","Period=FQ","BEST_FPERIOD_OVERRIDE=FQ","FILING_STATUS=MR","SCALING_FORMAT=MLN","FA_ADJUSTED=Adjusted","Sort=A","Dates=H","DateFormat=P","Fill=—","Direction=H","UseDPDF=Y")</f>
        <v>-5.4</v>
      </c>
      <c r="Q25" s="13" cm="1">
        <f t="array" ref="Q25">_xll.BDH("PCAR US Equity","IS_OTHER_INVESTMENT_INCOME_LOSS","FQ3 2022","FQ3 2022","Currency=USD","Period=FQ","BEST_FPERIOD_OVERRIDE=FQ","FILING_STATUS=MR","SCALING_FORMAT=MLN","FA_ADJUSTED=Adjusted","Sort=A","Dates=H","DateFormat=P","Fill=—","Direction=H","UseDPDF=Y")</f>
        <v>-21.4</v>
      </c>
      <c r="R25" s="13" cm="1">
        <f t="array" ref="R25">_xll.BDH("PCAR US Equity","IS_OTHER_INVESTMENT_INCOME_LOSS","FQ4 2022","FQ4 2022","Currency=USD","Period=FQ","BEST_FPERIOD_OVERRIDE=FQ","FILING_STATUS=MR","SCALING_FORMAT=MLN","FA_ADJUSTED=Adjusted","Sort=A","Dates=H","DateFormat=P","Fill=—","Direction=H","UseDPDF=Y")</f>
        <v>-36.700000000000003</v>
      </c>
      <c r="S25" s="13" cm="1">
        <f t="array" ref="S25">_xll.BDH("PCAR US Equity","IS_OTHER_INVESTMENT_INCOME_LOSS","FQ1 2023","FQ1 2023","Currency=USD","Period=FQ","BEST_FPERIOD_OVERRIDE=FQ","FILING_STATUS=MR","SCALING_FORMAT=MLN","FA_ADJUSTED=Adjusted","Sort=A","Dates=H","DateFormat=P","Fill=—","Direction=H","UseDPDF=Y")</f>
        <v>-49</v>
      </c>
      <c r="T25" s="13" cm="1">
        <f t="array" ref="T25">_xll.BDH("PCAR US Equity","IS_OTHER_INVESTMENT_INCOME_LOSS","FQ2 2023","FQ2 2023","Currency=USD","Period=FQ","BEST_FPERIOD_OVERRIDE=FQ","FILING_STATUS=MR","SCALING_FORMAT=MLN","FA_ADJUSTED=Adjusted","Sort=A","Dates=H","DateFormat=P","Fill=—","Direction=H","UseDPDF=Y")</f>
        <v>-62.7</v>
      </c>
      <c r="U25" s="13" cm="1">
        <f t="array" ref="U25">_xll.BDH("PCAR US Equity","IS_OTHER_INVESTMENT_INCOME_LOSS","FQ3 2023","FQ3 2023","Currency=USD","Period=FQ","BEST_FPERIOD_OVERRIDE=FQ","FILING_STATUS=MR","SCALING_FORMAT=MLN","FA_ADJUSTED=Adjusted","Sort=A","Dates=H","DateFormat=P","Fill=—","Direction=H","UseDPDF=Y")</f>
        <v>-80.8</v>
      </c>
      <c r="V25" s="13" cm="1">
        <f t="array" ref="V25">_xll.BDH("PCAR US Equity","IS_OTHER_INVESTMENT_INCOME_LOSS","FQ4 2023","FQ4 2023","Currency=USD","Period=FQ","BEST_FPERIOD_OVERRIDE=FQ","FILING_STATUS=MR","SCALING_FORMAT=MLN","FA_ADJUSTED=Adjusted","Sort=A","Dates=H","DateFormat=P","Fill=—","Direction=H","UseDPDF=Y")</f>
        <v>-99.7</v>
      </c>
      <c r="W25" s="13" cm="1">
        <f t="array" ref="W25">_xll.BDH("PCAR US Equity","IS_OTHER_INVESTMENT_INCOME_LOSS","FQ1 2024","FQ1 2024","Currency=USD","Period=FQ","BEST_FPERIOD_OVERRIDE=FQ","FILING_STATUS=MR","SCALING_FORMAT=MLN","FA_ADJUSTED=Adjusted","Sort=A","Dates=H","DateFormat=P","Fill=—","Direction=H","UseDPDF=Y")</f>
        <v>-85.5</v>
      </c>
      <c r="X25" s="13" cm="1">
        <f t="array" ref="X25">_xll.BDH("PCAR US Equity","IS_OTHER_INVESTMENT_INCOME_LOSS","FQ2 2024","FQ2 2024","Currency=USD","Period=FQ","BEST_FPERIOD_OVERRIDE=FQ","FILING_STATUS=MR","SCALING_FORMAT=MLN","FA_ADJUSTED=Adjusted","Sort=A","Dates=H","DateFormat=P","Fill=—","Direction=H","UseDPDF=Y")</f>
        <v>-95.8</v>
      </c>
      <c r="Y25" s="13" cm="1">
        <f t="array" ref="Y25">_xll.BDH("PCAR US Equity","IS_OTHER_INVESTMENT_INCOME_LOSS","FQ3 2024","FQ3 2024","Currency=USD","Period=FQ","BEST_FPERIOD_OVERRIDE=FQ","FILING_STATUS=MR","SCALING_FORMAT=MLN","FA_ADJUSTED=Adjusted","Sort=A","Dates=H","DateFormat=P","Fill=—","Direction=H","UseDPDF=Y")</f>
        <v>-108.7</v>
      </c>
      <c r="Z25" s="13" cm="1">
        <f t="array" ref="Z25">_xll.BDH("PCAR US Equity","IS_OTHER_INVESTMENT_INCOME_LOSS","FQ4 2024","FQ4 2024","Currency=USD","Period=FQ","BEST_FPERIOD_OVERRIDE=FQ","FILING_STATUS=MR","SCALING_FORMAT=MLN","FA_ADJUSTED=Adjusted","Sort=A","Dates=H","DateFormat=P","Fill=—","Direction=H","UseDPDF=Y")</f>
        <v>-104.7</v>
      </c>
      <c r="AA25" s="13" cm="1">
        <f t="array" ref="AA25">_xll.BDH("PCAR US Equity","IS_OTHER_INVESTMENT_INCOME_LOSS","FQ1 2025","FQ1 2025","Currency=USD","Period=FQ","BEST_FPERIOD_OVERRIDE=FQ","FILING_STATUS=MR","SCALING_FORMAT=MLN","FA_ADJUSTED=Adjusted","Sort=A","Dates=H","DateFormat=P","Fill=—","Direction=H","UseDPDF=Y")</f>
        <v>-83.8</v>
      </c>
      <c r="AB25" s="13" cm="1">
        <f t="array" ref="AB25">_xll.BDH("PCAR US Equity","IS_OTHER_INVESTMENT_INCOME_LOSS","FQ2 2025","FQ2 2025","Currency=USD","Period=FQ","BEST_FPERIOD_OVERRIDE=FQ","FILING_STATUS=MR","SCALING_FORMAT=MLN","FA_ADJUSTED=Adjusted","Sort=A","Dates=H","DateFormat=P","Fill=—","Direction=H","UseDPDF=Y")</f>
        <v>-83.9</v>
      </c>
      <c r="AC25" s="13" cm="1">
        <f t="array" ref="AC25">_xll.BDH("PCAR US Equity","IS_OTHER_INVESTMENT_INCOME_LOSS","FQ3 2025","FQ3 2025","Currency=USD","Period=FQ","BEST_FPERIOD_OVERRIDE=FQ","FILING_STATUS=MR","SCALING_FORMAT=MLN","FA_ADJUSTED=Adjusted","Sort=A","Dates=H","DateFormat=P","Fill=—","Direction=H","UseDPDF=Y")</f>
        <v>-90.8</v>
      </c>
      <c r="AD25" s="13" cm="1">
        <f t="array" ref="AD25">_xll.BDH("PCAR US Equity","IS_OTHER_INVESTMENT_INCOME_LOSS","FQ4 2025","FQ4 2025","Currency=USD","Period=FQ","BEST_FPERIOD_OVERRIDE=FQ","FILING_STATUS=MR","SCALING_FORMAT=MLN","FA_ADJUSTED=Adjusted","Sort=A","Dates=H","DateFormat=P","Fill=—","Direction=H","UseDPDF=Y")</f>
        <v>-87.6</v>
      </c>
      <c r="AE25" s="13"/>
      <c r="AF25" s="13"/>
    </row>
    <row r="26" spans="1:32" x14ac:dyDescent="0.25">
      <c r="A26" s="10" t="s">
        <v>105</v>
      </c>
      <c r="B26" s="10" t="s">
        <v>106</v>
      </c>
      <c r="C26" s="13" cm="1">
        <f t="array" ref="C26">_xll.BDH("PCAR US Equity","IS_OTHER_NON_OPERATING_INC_LOSS","FQ1 2019","FQ1 2019","Currency=USD","Period=FQ","BEST_FPERIOD_OVERRIDE=FQ","FILING_STATUS=MR","SCALING_FORMAT=MLN","FA_ADJUSTED=Adjusted","Sort=A","Dates=H","DateFormat=P","Fill=—","Direction=H","UseDPDF=Y")</f>
        <v>-9.8000000000000007</v>
      </c>
      <c r="D26" s="13" cm="1">
        <f t="array" ref="D26">_xll.BDH("PCAR US Equity","IS_OTHER_NON_OPERATING_INC_LOSS","FQ2 2019","FQ2 2019","Currency=USD","Period=FQ","BEST_FPERIOD_OVERRIDE=FQ","FILING_STATUS=MR","SCALING_FORMAT=MLN","FA_ADJUSTED=Adjusted","Sort=A","Dates=H","DateFormat=P","Fill=—","Direction=H","UseDPDF=Y")</f>
        <v>-9.4</v>
      </c>
      <c r="E26" s="13" cm="1">
        <f t="array" ref="E26">_xll.BDH("PCAR US Equity","IS_OTHER_NON_OPERATING_INC_LOSS","FQ3 2019","FQ3 2019","Currency=USD","Period=FQ","BEST_FPERIOD_OVERRIDE=FQ","FILING_STATUS=MR","SCALING_FORMAT=MLN","FA_ADJUSTED=Adjusted","Sort=A","Dates=H","DateFormat=P","Fill=—","Direction=H","UseDPDF=Y")</f>
        <v>-10.6</v>
      </c>
      <c r="F26" s="13" cm="1">
        <f t="array" ref="F26">_xll.BDH("PCAR US Equity","IS_OTHER_NON_OPERATING_INC_LOSS","FQ4 2019","FQ4 2019","Currency=USD","Period=FQ","BEST_FPERIOD_OVERRIDE=FQ","FILING_STATUS=MR","SCALING_FORMAT=MLN","FA_ADJUSTED=Adjusted","Sort=A","Dates=H","DateFormat=P","Fill=—","Direction=H","UseDPDF=Y")</f>
        <v>-9.6</v>
      </c>
      <c r="G26" s="13" cm="1">
        <f t="array" ref="G26">_xll.BDH("PCAR US Equity","IS_OTHER_NON_OPERATING_INC_LOSS","FQ1 2020","FQ1 2020","Currency=USD","Period=FQ","BEST_FPERIOD_OVERRIDE=FQ","FILING_STATUS=MR","SCALING_FORMAT=MLN","FA_ADJUSTED=Adjusted","Sort=A","Dates=H","DateFormat=P","Fill=—","Direction=H","UseDPDF=Y")</f>
        <v>-12</v>
      </c>
      <c r="H26" s="13" cm="1">
        <f t="array" ref="H26">_xll.BDH("PCAR US Equity","IS_OTHER_NON_OPERATING_INC_LOSS","FQ2 2020","FQ2 2020","Currency=USD","Period=FQ","BEST_FPERIOD_OVERRIDE=FQ","FILING_STATUS=MR","SCALING_FORMAT=MLN","FA_ADJUSTED=Adjusted","Sort=A","Dates=H","DateFormat=P","Fill=—","Direction=H","UseDPDF=Y")</f>
        <v>-18.3</v>
      </c>
      <c r="I26" s="13" cm="1">
        <f t="array" ref="I26">_xll.BDH("PCAR US Equity","IS_OTHER_NON_OPERATING_INC_LOSS","FQ3 2020","FQ3 2020","Currency=USD","Period=FQ","BEST_FPERIOD_OVERRIDE=FQ","FILING_STATUS=MR","SCALING_FORMAT=MLN","FA_ADJUSTED=Adjusted","Sort=A","Dates=H","DateFormat=P","Fill=—","Direction=H","UseDPDF=Y")</f>
        <v>-12.5</v>
      </c>
      <c r="J26" s="13" cm="1">
        <f t="array" ref="J26">_xll.BDH("PCAR US Equity","IS_OTHER_NON_OPERATING_INC_LOSS","FQ4 2020","FQ4 2020","Currency=USD","Period=FQ","BEST_FPERIOD_OVERRIDE=FQ","FILING_STATUS=MR","SCALING_FORMAT=MLN","FA_ADJUSTED=Adjusted","Sort=A","Dates=H","DateFormat=P","Fill=—","Direction=H","UseDPDF=Y")</f>
        <v>-7.3</v>
      </c>
      <c r="K26" s="13" cm="1">
        <f t="array" ref="K26">_xll.BDH("PCAR US Equity","IS_OTHER_NON_OPERATING_INC_LOSS","FQ1 2021","FQ1 2021","Currency=USD","Period=FQ","BEST_FPERIOD_OVERRIDE=FQ","FILING_STATUS=MR","SCALING_FORMAT=MLN","FA_ADJUSTED=Adjusted","Sort=A","Dates=H","DateFormat=P","Fill=—","Direction=H","UseDPDF=Y")</f>
        <v>-12.1</v>
      </c>
      <c r="L26" s="13" cm="1">
        <f t="array" ref="L26">_xll.BDH("PCAR US Equity","IS_OTHER_NON_OPERATING_INC_LOSS","FQ2 2021","FQ2 2021","Currency=USD","Period=FQ","BEST_FPERIOD_OVERRIDE=FQ","FILING_STATUS=MR","SCALING_FORMAT=MLN","FA_ADJUSTED=Adjusted","Sort=A","Dates=H","DateFormat=P","Fill=—","Direction=H","UseDPDF=Y")</f>
        <v>-16.7</v>
      </c>
      <c r="M26" s="13" cm="1">
        <f t="array" ref="M26">_xll.BDH("PCAR US Equity","IS_OTHER_NON_OPERATING_INC_LOSS","FQ3 2021","FQ3 2021","Currency=USD","Period=FQ","BEST_FPERIOD_OVERRIDE=FQ","FILING_STATUS=MR","SCALING_FORMAT=MLN","FA_ADJUSTED=Adjusted","Sort=A","Dates=H","DateFormat=P","Fill=—","Direction=H","UseDPDF=Y")</f>
        <v>-11.2</v>
      </c>
      <c r="N26" s="13" cm="1">
        <f t="array" ref="N26">_xll.BDH("PCAR US Equity","IS_OTHER_NON_OPERATING_INC_LOSS","FQ4 2021","FQ4 2021","Currency=USD","Period=FQ","BEST_FPERIOD_OVERRIDE=FQ","FILING_STATUS=MR","SCALING_FORMAT=MLN","FA_ADJUSTED=Adjusted","Sort=A","Dates=H","DateFormat=P","Fill=—","Direction=H","UseDPDF=Y")</f>
        <v>-31</v>
      </c>
      <c r="O26" s="13" cm="1">
        <f t="array" ref="O26">_xll.BDH("PCAR US Equity","IS_OTHER_NON_OPERATING_INC_LOSS","FQ1 2022","FQ1 2022","Currency=USD","Period=FQ","BEST_FPERIOD_OVERRIDE=FQ","FILING_STATUS=MR","SCALING_FORMAT=MLN","FA_ADJUSTED=Adjusted","Sort=A","Dates=H","DateFormat=P","Fill=—","Direction=H","UseDPDF=Y")</f>
        <v>-31.4</v>
      </c>
      <c r="P26" s="13" cm="1">
        <f t="array" ref="P26">_xll.BDH("PCAR US Equity","IS_OTHER_NON_OPERATING_INC_LOSS","FQ2 2022","FQ2 2022","Currency=USD","Period=FQ","BEST_FPERIOD_OVERRIDE=FQ","FILING_STATUS=MR","SCALING_FORMAT=MLN","FA_ADJUSTED=Adjusted","Sort=A","Dates=H","DateFormat=P","Fill=—","Direction=H","UseDPDF=Y")</f>
        <v>-22.9</v>
      </c>
      <c r="Q26" s="13" cm="1">
        <f t="array" ref="Q26">_xll.BDH("PCAR US Equity","IS_OTHER_NON_OPERATING_INC_LOSS","FQ3 2022","FQ3 2022","Currency=USD","Period=FQ","BEST_FPERIOD_OVERRIDE=FQ","FILING_STATUS=MR","SCALING_FORMAT=MLN","FA_ADJUSTED=Adjusted","Sort=A","Dates=H","DateFormat=P","Fill=—","Direction=H","UseDPDF=Y")</f>
        <v>-35</v>
      </c>
      <c r="R26" s="13" cm="1">
        <f t="array" ref="R26">_xll.BDH("PCAR US Equity","IS_OTHER_NON_OPERATING_INC_LOSS","FQ4 2022","FQ4 2022","Currency=USD","Period=FQ","BEST_FPERIOD_OVERRIDE=FQ","FILING_STATUS=MR","SCALING_FORMAT=MLN","FA_ADJUSTED=Adjusted","Sort=A","Dates=H","DateFormat=P","Fill=—","Direction=H","UseDPDF=Y")</f>
        <v>-19.7</v>
      </c>
      <c r="S26" s="13" cm="1">
        <f t="array" ref="S26">_xll.BDH("PCAR US Equity","IS_OTHER_NON_OPERATING_INC_LOSS","FQ1 2023","FQ1 2023","Currency=USD","Period=FQ","BEST_FPERIOD_OVERRIDE=FQ","FILING_STATUS=MR","SCALING_FORMAT=MLN","FA_ADJUSTED=Adjusted","Sort=A","Dates=H","DateFormat=P","Fill=—","Direction=H","UseDPDF=Y")</f>
        <v>579.29999999999995</v>
      </c>
      <c r="T26" s="13" cm="1">
        <f t="array" ref="T26">_xll.BDH("PCAR US Equity","IS_OTHER_NON_OPERATING_INC_LOSS","FQ2 2023","FQ2 2023","Currency=USD","Period=FQ","BEST_FPERIOD_OVERRIDE=FQ","FILING_STATUS=MR","SCALING_FORMAT=MLN","FA_ADJUSTED=Adjusted","Sort=A","Dates=H","DateFormat=P","Fill=—","Direction=H","UseDPDF=Y")</f>
        <v>-17.7</v>
      </c>
      <c r="U26" s="13" cm="1">
        <f t="array" ref="U26">_xll.BDH("PCAR US Equity","IS_OTHER_NON_OPERATING_INC_LOSS","FQ3 2023","FQ3 2023","Currency=USD","Period=FQ","BEST_FPERIOD_OVERRIDE=FQ","FILING_STATUS=MR","SCALING_FORMAT=MLN","FA_ADJUSTED=Adjusted","Sort=A","Dates=H","DateFormat=P","Fill=—","Direction=H","UseDPDF=Y")</f>
        <v>-16.3</v>
      </c>
      <c r="V26" s="13" cm="1">
        <f t="array" ref="V26">_xll.BDH("PCAR US Equity","IS_OTHER_NON_OPERATING_INC_LOSS","FQ4 2023","FQ4 2023","Currency=USD","Period=FQ","BEST_FPERIOD_OVERRIDE=FQ","FILING_STATUS=MR","SCALING_FORMAT=MLN","FA_ADJUSTED=Adjusted","Sort=A","Dates=H","DateFormat=P","Fill=—","Direction=H","UseDPDF=Y")</f>
        <v>-24.4</v>
      </c>
      <c r="W26" s="13" cm="1">
        <f t="array" ref="W26">_xll.BDH("PCAR US Equity","IS_OTHER_NON_OPERATING_INC_LOSS","FQ1 2024","FQ1 2024","Currency=USD","Period=FQ","BEST_FPERIOD_OVERRIDE=FQ","FILING_STATUS=MR","SCALING_FORMAT=MLN","FA_ADJUSTED=Adjusted","Sort=A","Dates=H","DateFormat=P","Fill=—","Direction=H","UseDPDF=Y")</f>
        <v>-25.9</v>
      </c>
      <c r="X26" s="13" cm="1">
        <f t="array" ref="X26">_xll.BDH("PCAR US Equity","IS_OTHER_NON_OPERATING_INC_LOSS","FQ2 2024","FQ2 2024","Currency=USD","Period=FQ","BEST_FPERIOD_OVERRIDE=FQ","FILING_STATUS=MR","SCALING_FORMAT=MLN","FA_ADJUSTED=Adjusted","Sort=A","Dates=H","DateFormat=P","Fill=—","Direction=H","UseDPDF=Y")</f>
        <v>-22.4</v>
      </c>
      <c r="Y26" s="13" cm="1">
        <f t="array" ref="Y26">_xll.BDH("PCAR US Equity","IS_OTHER_NON_OPERATING_INC_LOSS","FQ3 2024","FQ3 2024","Currency=USD","Period=FQ","BEST_FPERIOD_OVERRIDE=FQ","FILING_STATUS=MR","SCALING_FORMAT=MLN","FA_ADJUSTED=Adjusted","Sort=A","Dates=H","DateFormat=P","Fill=—","Direction=H","UseDPDF=Y")</f>
        <v>-24.3</v>
      </c>
      <c r="Z26" s="13" cm="1">
        <f t="array" ref="Z26">_xll.BDH("PCAR US Equity","IS_OTHER_NON_OPERATING_INC_LOSS","FQ4 2024","FQ4 2024","Currency=USD","Period=FQ","BEST_FPERIOD_OVERRIDE=FQ","FILING_STATUS=MR","SCALING_FORMAT=MLN","FA_ADJUSTED=Adjusted","Sort=A","Dates=H","DateFormat=P","Fill=—","Direction=H","UseDPDF=Y")</f>
        <v>-38.9</v>
      </c>
      <c r="AA26" s="13" cm="1">
        <f t="array" ref="AA26">_xll.BDH("PCAR US Equity","IS_OTHER_NON_OPERATING_INC_LOSS","FQ1 2025","FQ1 2025","Currency=USD","Period=FQ","BEST_FPERIOD_OVERRIDE=FQ","FILING_STATUS=MR","SCALING_FORMAT=MLN","FA_ADJUSTED=Adjusted","Sort=A","Dates=H","DateFormat=P","Fill=—","Direction=H","UseDPDF=Y")</f>
        <v>330.5</v>
      </c>
      <c r="AB26" s="13" cm="1">
        <f t="array" ref="AB26">_xll.BDH("PCAR US Equity","IS_OTHER_NON_OPERATING_INC_LOSS","FQ2 2025","FQ2 2025","Currency=USD","Period=FQ","BEST_FPERIOD_OVERRIDE=FQ","FILING_STATUS=MR","SCALING_FORMAT=MLN","FA_ADJUSTED=Adjusted","Sort=A","Dates=H","DateFormat=P","Fill=—","Direction=H","UseDPDF=Y")</f>
        <v>-8.3000000000000007</v>
      </c>
      <c r="AC26" s="13" cm="1">
        <f t="array" ref="AC26">_xll.BDH("PCAR US Equity","IS_OTHER_NON_OPERATING_INC_LOSS","FQ3 2025","FQ3 2025","Currency=USD","Period=FQ","BEST_FPERIOD_OVERRIDE=FQ","FILING_STATUS=MR","SCALING_FORMAT=MLN","FA_ADJUSTED=Adjusted","Sort=A","Dates=H","DateFormat=P","Fill=—","Direction=H","UseDPDF=Y")</f>
        <v>-16.8</v>
      </c>
      <c r="AD26" s="13" cm="1">
        <f t="array" ref="AD26">_xll.BDH("PCAR US Equity","IS_OTHER_NON_OPERATING_INC_LOSS","FQ4 2025","FQ4 2025","Currency=USD","Period=FQ","BEST_FPERIOD_OVERRIDE=FQ","FILING_STATUS=MR","SCALING_FORMAT=MLN","FA_ADJUSTED=Adjusted","Sort=A","Dates=H","DateFormat=P","Fill=—","Direction=H","UseDPDF=Y")</f>
        <v>-15.2</v>
      </c>
      <c r="AE26" s="13"/>
      <c r="AF26" s="13"/>
    </row>
    <row r="27" spans="1:32" x14ac:dyDescent="0.25">
      <c r="A27" s="6" t="s">
        <v>107</v>
      </c>
      <c r="B27" s="6" t="s">
        <v>108</v>
      </c>
      <c r="C27" s="16" cm="1">
        <f t="array" ref="C27">_xll.BDH("PCAR US Equity","PRETAX_INC","FQ1 2019","FQ1 2019","Currency=USD","Period=FQ","BEST_FPERIOD_OVERRIDE=FQ","FILING_STATUS=MR","SCALING_FORMAT=MLN","FA_ADJUSTED=Adjusted","Sort=A","Dates=H","DateFormat=P","Fill=—","Direction=H","UseDPDF=Y")</f>
        <v>819.3</v>
      </c>
      <c r="D27" s="16" cm="1">
        <f t="array" ref="D27">_xll.BDH("PCAR US Equity","PRETAX_INC","FQ2 2019","FQ2 2019","Currency=USD","Period=FQ","BEST_FPERIOD_OVERRIDE=FQ","FILING_STATUS=MR","SCALING_FORMAT=MLN","FA_ADJUSTED=Adjusted","Sort=A","Dates=H","DateFormat=P","Fill=—","Direction=H","UseDPDF=Y")</f>
        <v>814.3</v>
      </c>
      <c r="E27" s="16" cm="1">
        <f t="array" ref="E27">_xll.BDH("PCAR US Equity","PRETAX_INC","FQ3 2019","FQ3 2019","Currency=USD","Period=FQ","BEST_FPERIOD_OVERRIDE=FQ","FILING_STATUS=MR","SCALING_FORMAT=MLN","FA_ADJUSTED=Adjusted","Sort=A","Dates=H","DateFormat=P","Fill=—","Direction=H","UseDPDF=Y")</f>
        <v>777.2</v>
      </c>
      <c r="F27" s="16" cm="1">
        <f t="array" ref="F27">_xll.BDH("PCAR US Equity","PRETAX_INC","FQ4 2019","FQ4 2019","Currency=USD","Period=FQ","BEST_FPERIOD_OVERRIDE=FQ","FILING_STATUS=MR","SCALING_FORMAT=MLN","FA_ADJUSTED=Adjusted","Sort=A","Dates=H","DateFormat=P","Fill=—","Direction=H","UseDPDF=Y")</f>
        <v>687.5</v>
      </c>
      <c r="G27" s="16" cm="1">
        <f t="array" ref="G27">_xll.BDH("PCAR US Equity","PRETAX_INC","FQ1 2020","FQ1 2020","Currency=USD","Period=FQ","BEST_FPERIOD_OVERRIDE=FQ","FILING_STATUS=MR","SCALING_FORMAT=MLN","FA_ADJUSTED=Adjusted","Sort=A","Dates=H","DateFormat=P","Fill=—","Direction=H","UseDPDF=Y")</f>
        <v>461.5</v>
      </c>
      <c r="H27" s="16" cm="1">
        <f t="array" ref="H27">_xll.BDH("PCAR US Equity","PRETAX_INC","FQ2 2020","FQ2 2020","Currency=USD","Period=FQ","BEST_FPERIOD_OVERRIDE=FQ","FILING_STATUS=MR","SCALING_FORMAT=MLN","FA_ADJUSTED=Adjusted","Sort=A","Dates=H","DateFormat=P","Fill=—","Direction=H","UseDPDF=Y")</f>
        <v>183.4</v>
      </c>
      <c r="I27" s="16" cm="1">
        <f t="array" ref="I27">_xll.BDH("PCAR US Equity","PRETAX_INC","FQ3 2020","FQ3 2020","Currency=USD","Period=FQ","BEST_FPERIOD_OVERRIDE=FQ","FILING_STATUS=MR","SCALING_FORMAT=MLN","FA_ADJUSTED=Adjusted","Sort=A","Dates=H","DateFormat=P","Fill=—","Direction=H","UseDPDF=Y")</f>
        <v>489.9</v>
      </c>
      <c r="J27" s="16" cm="1">
        <f t="array" ref="J27">_xll.BDH("PCAR US Equity","PRETAX_INC","FQ4 2020","FQ4 2020","Currency=USD","Period=FQ","BEST_FPERIOD_OVERRIDE=FQ","FILING_STATUS=MR","SCALING_FORMAT=MLN","FA_ADJUSTED=Adjusted","Sort=A","Dates=H","DateFormat=P","Fill=—","Direction=H","UseDPDF=Y")</f>
        <v>521</v>
      </c>
      <c r="K27" s="16" cm="1">
        <f t="array" ref="K27">_xll.BDH("PCAR US Equity","PRETAX_INC","FQ1 2021","FQ1 2021","Currency=USD","Period=FQ","BEST_FPERIOD_OVERRIDE=FQ","FILING_STATUS=MR","SCALING_FORMAT=MLN","FA_ADJUSTED=Adjusted","Sort=A","Dates=H","DateFormat=P","Fill=—","Direction=H","UseDPDF=Y")</f>
        <v>608.29999999999995</v>
      </c>
      <c r="L27" s="16" cm="1">
        <f t="array" ref="L27">_xll.BDH("PCAR US Equity","PRETAX_INC","FQ2 2021","FQ2 2021","Currency=USD","Period=FQ","BEST_FPERIOD_OVERRIDE=FQ","FILING_STATUS=MR","SCALING_FORMAT=MLN","FA_ADJUSTED=Adjusted","Sort=A","Dates=H","DateFormat=P","Fill=—","Direction=H","UseDPDF=Y")</f>
        <v>639.9</v>
      </c>
      <c r="M27" s="16" cm="1">
        <f t="array" ref="M27">_xll.BDH("PCAR US Equity","PRETAX_INC","FQ3 2021","FQ3 2021","Currency=USD","Period=FQ","BEST_FPERIOD_OVERRIDE=FQ","FILING_STATUS=MR","SCALING_FORMAT=MLN","FA_ADJUSTED=Adjusted","Sort=A","Dates=H","DateFormat=P","Fill=—","Direction=H","UseDPDF=Y")</f>
        <v>487.2</v>
      </c>
      <c r="N27" s="16" cm="1">
        <f t="array" ref="N27">_xll.BDH("PCAR US Equity","PRETAX_INC","FQ4 2021","FQ4 2021","Currency=USD","Period=FQ","BEST_FPERIOD_OVERRIDE=FQ","FILING_STATUS=MR","SCALING_FORMAT=MLN","FA_ADJUSTED=Adjusted","Sort=A","Dates=H","DateFormat=P","Fill=—","Direction=H","UseDPDF=Y")</f>
        <v>660.5</v>
      </c>
      <c r="O27" s="16" cm="1">
        <f t="array" ref="O27">_xll.BDH("PCAR US Equity","PRETAX_INC","FQ1 2022","FQ1 2022","Currency=USD","Period=FQ","BEST_FPERIOD_OVERRIDE=FQ","FILING_STATUS=MR","SCALING_FORMAT=MLN","FA_ADJUSTED=Adjusted","Sort=A","Dates=H","DateFormat=P","Fill=—","Direction=H","UseDPDF=Y")</f>
        <v>771.4</v>
      </c>
      <c r="P27" s="16" cm="1">
        <f t="array" ref="P27">_xll.BDH("PCAR US Equity","PRETAX_INC","FQ2 2022","FQ2 2022","Currency=USD","Period=FQ","BEST_FPERIOD_OVERRIDE=FQ","FILING_STATUS=MR","SCALING_FORMAT=MLN","FA_ADJUSTED=Adjusted","Sort=A","Dates=H","DateFormat=P","Fill=—","Direction=H","UseDPDF=Y")</f>
        <v>922.6</v>
      </c>
      <c r="Q27" s="16" cm="1">
        <f t="array" ref="Q27">_xll.BDH("PCAR US Equity","PRETAX_INC","FQ3 2022","FQ3 2022","Currency=USD","Period=FQ","BEST_FPERIOD_OVERRIDE=FQ","FILING_STATUS=MR","SCALING_FORMAT=MLN","FA_ADJUSTED=Adjusted","Sort=A","Dates=H","DateFormat=P","Fill=—","Direction=H","UseDPDF=Y")</f>
        <v>979.7</v>
      </c>
      <c r="R27" s="16" cm="1">
        <f t="array" ref="R27">_xll.BDH("PCAR US Equity","PRETAX_INC","FQ4 2022","FQ4 2022","Currency=USD","Period=FQ","BEST_FPERIOD_OVERRIDE=FQ","FILING_STATUS=MR","SCALING_FORMAT=MLN","FA_ADJUSTED=Adjusted","Sort=A","Dates=H","DateFormat=P","Fill=—","Direction=H","UseDPDF=Y")</f>
        <v>1175.5</v>
      </c>
      <c r="S27" s="16" cm="1">
        <f t="array" ref="S27">_xll.BDH("PCAR US Equity","PRETAX_INC","FQ1 2023","FQ1 2023","Currency=USD","Period=FQ","BEST_FPERIOD_OVERRIDE=FQ","FILING_STATUS=MR","SCALING_FORMAT=MLN","FA_ADJUSTED=Adjusted","Sort=A","Dates=H","DateFormat=P","Fill=—","Direction=H","UseDPDF=Y")</f>
        <v>919</v>
      </c>
      <c r="T27" s="16" cm="1">
        <f t="array" ref="T27">_xll.BDH("PCAR US Equity","PRETAX_INC","FQ2 2023","FQ2 2023","Currency=USD","Period=FQ","BEST_FPERIOD_OVERRIDE=FQ","FILING_STATUS=MR","SCALING_FORMAT=MLN","FA_ADJUSTED=Adjusted","Sort=A","Dates=H","DateFormat=P","Fill=—","Direction=H","UseDPDF=Y")</f>
        <v>1568.5</v>
      </c>
      <c r="U27" s="16" cm="1">
        <f t="array" ref="U27">_xll.BDH("PCAR US Equity","PRETAX_INC","FQ3 2023","FQ3 2023","Currency=USD","Period=FQ","BEST_FPERIOD_OVERRIDE=FQ","FILING_STATUS=MR","SCALING_FORMAT=MLN","FA_ADJUSTED=Adjusted","Sort=A","Dates=H","DateFormat=P","Fill=—","Direction=H","UseDPDF=Y")</f>
        <v>1589.4</v>
      </c>
      <c r="V27" s="16" cm="1">
        <f t="array" ref="V27">_xll.BDH("PCAR US Equity","PRETAX_INC","FQ4 2023","FQ4 2023","Currency=USD","Period=FQ","BEST_FPERIOD_OVERRIDE=FQ","FILING_STATUS=MR","SCALING_FORMAT=MLN","FA_ADJUSTED=Adjusted","Sort=A","Dates=H","DateFormat=P","Fill=—","Direction=H","UseDPDF=Y")</f>
        <v>1641.3</v>
      </c>
      <c r="W27" s="16" cm="1">
        <f t="array" ref="W27">_xll.BDH("PCAR US Equity","PRETAX_INC","FQ1 2024","FQ1 2024","Currency=USD","Period=FQ","BEST_FPERIOD_OVERRIDE=FQ","FILING_STATUS=MR","SCALING_FORMAT=MLN","FA_ADJUSTED=Adjusted","Sort=A","Dates=H","DateFormat=P","Fill=—","Direction=H","UseDPDF=Y")</f>
        <v>1534.5</v>
      </c>
      <c r="X27" s="16" cm="1">
        <f t="array" ref="X27">_xll.BDH("PCAR US Equity","PRETAX_INC","FQ2 2024","FQ2 2024","Currency=USD","Period=FQ","BEST_FPERIOD_OVERRIDE=FQ","FILING_STATUS=MR","SCALING_FORMAT=MLN","FA_ADJUSTED=Adjusted","Sort=A","Dates=H","DateFormat=P","Fill=—","Direction=H","UseDPDF=Y")</f>
        <v>1460.8</v>
      </c>
      <c r="Y27" s="16" cm="1">
        <f t="array" ref="Y27">_xll.BDH("PCAR US Equity","PRETAX_INC","FQ3 2024","FQ3 2024","Currency=USD","Period=FQ","BEST_FPERIOD_OVERRIDE=FQ","FILING_STATUS=MR","SCALING_FORMAT=MLN","FA_ADJUSTED=Adjusted","Sort=A","Dates=H","DateFormat=P","Fill=—","Direction=H","UseDPDF=Y")</f>
        <v>1256.3</v>
      </c>
      <c r="Z27" s="16" cm="1">
        <f t="array" ref="Z27">_xll.BDH("PCAR US Equity","PRETAX_INC","FQ4 2024","FQ4 2024","Currency=USD","Period=FQ","BEST_FPERIOD_OVERRIDE=FQ","FILING_STATUS=MR","SCALING_FORMAT=MLN","FA_ADJUSTED=Adjusted","Sort=A","Dates=H","DateFormat=P","Fill=—","Direction=H","UseDPDF=Y")</f>
        <v>1149.3</v>
      </c>
      <c r="AA27" s="16" cm="1">
        <f t="array" ref="AA27">_xll.BDH("PCAR US Equity","PRETAX_INC","FQ1 2025","FQ1 2025","Currency=USD","Period=FQ","BEST_FPERIOD_OVERRIDE=FQ","FILING_STATUS=MR","SCALING_FORMAT=MLN","FA_ADJUSTED=Adjusted","Sort=A","Dates=H","DateFormat=P","Fill=—","Direction=H","UseDPDF=Y")</f>
        <v>643.1</v>
      </c>
      <c r="AB27" s="16" cm="1">
        <f t="array" ref="AB27">_xll.BDH("PCAR US Equity","PRETAX_INC","FQ2 2025","FQ2 2025","Currency=USD","Period=FQ","BEST_FPERIOD_OVERRIDE=FQ","FILING_STATUS=MR","SCALING_FORMAT=MLN","FA_ADJUSTED=Adjusted","Sort=A","Dates=H","DateFormat=P","Fill=—","Direction=H","UseDPDF=Y")</f>
        <v>931.9</v>
      </c>
      <c r="AC27" s="16" cm="1">
        <f t="array" ref="AC27">_xll.BDH("PCAR US Equity","PRETAX_INC","FQ3 2025","FQ3 2025","Currency=USD","Period=FQ","BEST_FPERIOD_OVERRIDE=FQ","FILING_STATUS=MR","SCALING_FORMAT=MLN","FA_ADJUSTED=Adjusted","Sort=A","Dates=H","DateFormat=P","Fill=—","Direction=H","UseDPDF=Y")</f>
        <v>743.6</v>
      </c>
      <c r="AD27" s="16" cm="1">
        <f t="array" ref="AD27">_xll.BDH("PCAR US Equity","PRETAX_INC","FQ4 2025","FQ4 2025","Currency=USD","Period=FQ","BEST_FPERIOD_OVERRIDE=FQ","FILING_STATUS=MR","SCALING_FORMAT=MLN","FA_ADJUSTED=Adjusted","Sort=A","Dates=H","DateFormat=P","Fill=—","Direction=H","UseDPDF=Y")</f>
        <v>704.9</v>
      </c>
      <c r="AE27" s="16">
        <v>776</v>
      </c>
      <c r="AF27" s="16">
        <v>883.7</v>
      </c>
    </row>
    <row r="28" spans="1:32" x14ac:dyDescent="0.25">
      <c r="A28" s="10" t="s">
        <v>109</v>
      </c>
      <c r="B28" s="10" t="s">
        <v>110</v>
      </c>
      <c r="C28" s="13" cm="1">
        <f t="array" ref="C28">_xll.BDH("PCAR US Equity","IS_ABNORMAL_ITEM","FQ1 2019","FQ1 2019","Currency=USD","Period=FQ","BEST_FPERIOD_OVERRIDE=FQ","FILING_STATUS=MR","SCALING_FORMAT=MLN","Sort=A","Dates=H","DateFormat=P","Fill=—","Direction=H","UseDPDF=Y")</f>
        <v>-0.1</v>
      </c>
      <c r="D28" s="13" cm="1">
        <f t="array" ref="D28">_xll.BDH("PCAR US Equity","IS_ABNORMAL_ITEM","FQ2 2019","FQ2 2019","Currency=USD","Period=FQ","BEST_FPERIOD_OVERRIDE=FQ","FILING_STATUS=MR","SCALING_FORMAT=MLN","Sort=A","Dates=H","DateFormat=P","Fill=—","Direction=H","UseDPDF=Y")</f>
        <v>-0.1</v>
      </c>
      <c r="E28" s="13" cm="1">
        <f t="array" ref="E28">_xll.BDH("PCAR US Equity","IS_ABNORMAL_ITEM","FQ3 2019","FQ3 2019","Currency=USD","Period=FQ","BEST_FPERIOD_OVERRIDE=FQ","FILING_STATUS=MR","SCALING_FORMAT=MLN","Sort=A","Dates=H","DateFormat=P","Fill=—","Direction=H","UseDPDF=Y")</f>
        <v>-0.4</v>
      </c>
      <c r="F28" s="13" cm="1">
        <f t="array" ref="F28">_xll.BDH("PCAR US Equity","IS_ABNORMAL_ITEM","FQ4 2019","FQ4 2019","Currency=USD","Period=FQ","BEST_FPERIOD_OVERRIDE=FQ","FILING_STATUS=MR","SCALING_FORMAT=MLN","Sort=A","Dates=H","DateFormat=P","Fill=—","Direction=H","UseDPDF=Y")</f>
        <v>-0.3</v>
      </c>
      <c r="G28" s="13" cm="1">
        <f t="array" ref="G28">_xll.BDH("PCAR US Equity","IS_ABNORMAL_ITEM","FQ1 2020","FQ1 2020","Currency=USD","Period=FQ","BEST_FPERIOD_OVERRIDE=FQ","FILING_STATUS=MR","SCALING_FORMAT=MLN","Sort=A","Dates=H","DateFormat=P","Fill=—","Direction=H","UseDPDF=Y")</f>
        <v>-0.7</v>
      </c>
      <c r="H28" s="13" cm="1">
        <f t="array" ref="H28">_xll.BDH("PCAR US Equity","IS_ABNORMAL_ITEM","FQ2 2020","FQ2 2020","Currency=USD","Period=FQ","BEST_FPERIOD_OVERRIDE=FQ","FILING_STATUS=MR","SCALING_FORMAT=MLN","Sort=A","Dates=H","DateFormat=P","Fill=—","Direction=H","UseDPDF=Y")</f>
        <v>-0.6</v>
      </c>
      <c r="I28" s="13" cm="1">
        <f t="array" ref="I28">_xll.BDH("PCAR US Equity","IS_ABNORMAL_ITEM","FQ3 2020","FQ3 2020","Currency=USD","Period=FQ","BEST_FPERIOD_OVERRIDE=FQ","FILING_STATUS=MR","SCALING_FORMAT=MLN","Sort=A","Dates=H","DateFormat=P","Fill=—","Direction=H","UseDPDF=Y")</f>
        <v>0</v>
      </c>
      <c r="J28" s="13" cm="1">
        <f t="array" ref="J28">_xll.BDH("PCAR US Equity","IS_ABNORMAL_ITEM","FQ4 2020","FQ4 2020","Currency=USD","Period=FQ","BEST_FPERIOD_OVERRIDE=FQ","FILING_STATUS=MR","SCALING_FORMAT=MLN","Sort=A","Dates=H","DateFormat=P","Fill=—","Direction=H","UseDPDF=Y")</f>
        <v>-0.8</v>
      </c>
      <c r="K28" s="13" cm="1">
        <f t="array" ref="K28">_xll.BDH("PCAR US Equity","IS_ABNORMAL_ITEM","FQ1 2021","FQ1 2021","Currency=USD","Period=FQ","BEST_FPERIOD_OVERRIDE=FQ","FILING_STATUS=MR","SCALING_FORMAT=MLN","Sort=A","Dates=H","DateFormat=P","Fill=—","Direction=H","UseDPDF=Y")</f>
        <v>0</v>
      </c>
      <c r="L28" s="13" cm="1">
        <f t="array" ref="L28">_xll.BDH("PCAR US Equity","IS_ABNORMAL_ITEM","FQ2 2021","FQ2 2021","Currency=USD","Period=FQ","BEST_FPERIOD_OVERRIDE=FQ","FILING_STATUS=MR","SCALING_FORMAT=MLN","Sort=A","Dates=H","DateFormat=P","Fill=—","Direction=H","UseDPDF=Y")</f>
        <v>-0.4</v>
      </c>
      <c r="M28" s="13" cm="1">
        <f t="array" ref="M28">_xll.BDH("PCAR US Equity","IS_ABNORMAL_ITEM","FQ3 2021","FQ3 2021","Currency=USD","Period=FQ","BEST_FPERIOD_OVERRIDE=FQ","FILING_STATUS=MR","SCALING_FORMAT=MLN","Sort=A","Dates=H","DateFormat=P","Fill=—","Direction=H","UseDPDF=Y")</f>
        <v>0</v>
      </c>
      <c r="N28" s="13" cm="1">
        <f t="array" ref="N28">_xll.BDH("PCAR US Equity","IS_ABNORMAL_ITEM","FQ4 2021","FQ4 2021","Currency=USD","Period=FQ","BEST_FPERIOD_OVERRIDE=FQ","FILING_STATUS=MR","SCALING_FORMAT=MLN","Sort=A","Dates=H","DateFormat=P","Fill=—","Direction=H","UseDPDF=Y")</f>
        <v>0</v>
      </c>
      <c r="O28" s="13" cm="1">
        <f t="array" ref="O28">_xll.BDH("PCAR US Equity","IS_ABNORMAL_ITEM","FQ1 2022","FQ1 2022","Currency=USD","Period=FQ","BEST_FPERIOD_OVERRIDE=FQ","FILING_STATUS=MR","SCALING_FORMAT=MLN","Sort=A","Dates=H","DateFormat=P","Fill=—","Direction=H","UseDPDF=Y")</f>
        <v>0</v>
      </c>
      <c r="P28" s="13" cm="1">
        <f t="array" ref="P28">_xll.BDH("PCAR US Equity","IS_ABNORMAL_ITEM","FQ2 2022","FQ2 2022","Currency=USD","Period=FQ","BEST_FPERIOD_OVERRIDE=FQ","FILING_STATUS=MR","SCALING_FORMAT=MLN","Sort=A","Dates=H","DateFormat=P","Fill=—","Direction=H","UseDPDF=Y")</f>
        <v>0.5</v>
      </c>
      <c r="Q28" s="13" cm="1">
        <f t="array" ref="Q28">_xll.BDH("PCAR US Equity","IS_ABNORMAL_ITEM","FQ3 2022","FQ3 2022","Currency=USD","Period=FQ","BEST_FPERIOD_OVERRIDE=FQ","FILING_STATUS=MR","SCALING_FORMAT=MLN","Sort=A","Dates=H","DateFormat=P","Fill=—","Direction=H","UseDPDF=Y")</f>
        <v>0</v>
      </c>
      <c r="R28" s="13" cm="1">
        <f t="array" ref="R28">_xll.BDH("PCAR US Equity","IS_ABNORMAL_ITEM","FQ4 2022","FQ4 2022","Currency=USD","Period=FQ","BEST_FPERIOD_OVERRIDE=FQ","FILING_STATUS=MR","SCALING_FORMAT=MLN","Sort=A","Dates=H","DateFormat=P","Fill=—","Direction=H","UseDPDF=Y")</f>
        <v>0</v>
      </c>
      <c r="S28" s="13" cm="1">
        <f t="array" ref="S28">_xll.BDH("PCAR US Equity","IS_ABNORMAL_ITEM","FQ1 2023","FQ1 2023","Currency=USD","Period=FQ","BEST_FPERIOD_OVERRIDE=FQ","FILING_STATUS=MR","SCALING_FORMAT=MLN","Sort=A","Dates=H","DateFormat=P","Fill=—","Direction=H","UseDPDF=Y")</f>
        <v>0</v>
      </c>
      <c r="T28" s="13" cm="1">
        <f t="array" ref="T28">_xll.BDH("PCAR US Equity","IS_ABNORMAL_ITEM","FQ2 2023","FQ2 2023","Currency=USD","Period=FQ","BEST_FPERIOD_OVERRIDE=FQ","FILING_STATUS=MR","SCALING_FORMAT=MLN","Sort=A","Dates=H","DateFormat=P","Fill=—","Direction=H","UseDPDF=Y")</f>
        <v>0</v>
      </c>
      <c r="U28" s="13" cm="1">
        <f t="array" ref="U28">_xll.BDH("PCAR US Equity","IS_ABNORMAL_ITEM","FQ3 2023","FQ3 2023","Currency=USD","Period=FQ","BEST_FPERIOD_OVERRIDE=FQ","FILING_STATUS=MR","SCALING_FORMAT=MLN","Sort=A","Dates=H","DateFormat=P","Fill=—","Direction=H","UseDPDF=Y")</f>
        <v>0</v>
      </c>
      <c r="V28" s="13" cm="1">
        <f t="array" ref="V28">_xll.BDH("PCAR US Equity","IS_ABNORMAL_ITEM","FQ4 2023","FQ4 2023","Currency=USD","Period=FQ","BEST_FPERIOD_OVERRIDE=FQ","FILING_STATUS=MR","SCALING_FORMAT=MLN","Sort=A","Dates=H","DateFormat=P","Fill=—","Direction=H","UseDPDF=Y")</f>
        <v>0</v>
      </c>
      <c r="W28" s="13" cm="1">
        <f t="array" ref="W28">_xll.BDH("PCAR US Equity","IS_ABNORMAL_ITEM","FQ1 2024","FQ1 2024","Currency=USD","Period=FQ","BEST_FPERIOD_OVERRIDE=FQ","FILING_STATUS=MR","SCALING_FORMAT=MLN","Sort=A","Dates=H","DateFormat=P","Fill=—","Direction=H","UseDPDF=Y")</f>
        <v>0</v>
      </c>
      <c r="X28" s="13" cm="1">
        <f t="array" ref="X28">_xll.BDH("PCAR US Equity","IS_ABNORMAL_ITEM","FQ2 2024","FQ2 2024","Currency=USD","Period=FQ","BEST_FPERIOD_OVERRIDE=FQ","FILING_STATUS=MR","SCALING_FORMAT=MLN","Sort=A","Dates=H","DateFormat=P","Fill=—","Direction=H","UseDPDF=Y")</f>
        <v>0</v>
      </c>
      <c r="Y28" s="13" cm="1">
        <f t="array" ref="Y28">_xll.BDH("PCAR US Equity","IS_ABNORMAL_ITEM","FQ3 2024","FQ3 2024","Currency=USD","Period=FQ","BEST_FPERIOD_OVERRIDE=FQ","FILING_STATUS=MR","SCALING_FORMAT=MLN","Sort=A","Dates=H","DateFormat=P","Fill=—","Direction=H","UseDPDF=Y")</f>
        <v>0</v>
      </c>
      <c r="Z28" s="13" cm="1">
        <f t="array" ref="Z28">_xll.BDH("PCAR US Equity","IS_ABNORMAL_ITEM","FQ4 2024","FQ4 2024","Currency=USD","Period=FQ","BEST_FPERIOD_OVERRIDE=FQ","FILING_STATUS=MR","SCALING_FORMAT=MLN","Sort=A","Dates=H","DateFormat=P","Fill=—","Direction=H","UseDPDF=Y")</f>
        <v>0</v>
      </c>
      <c r="AA28" s="13" cm="1">
        <f t="array" ref="AA28">_xll.BDH("PCAR US Equity","IS_ABNORMAL_ITEM","FQ1 2025","FQ1 2025","Currency=USD","Period=FQ","BEST_FPERIOD_OVERRIDE=FQ","FILING_STATUS=MR","SCALING_FORMAT=MLN","Sort=A","Dates=H","DateFormat=P","Fill=—","Direction=H","UseDPDF=Y")</f>
        <v>0</v>
      </c>
      <c r="AB28" s="13" cm="1">
        <f t="array" ref="AB28">_xll.BDH("PCAR US Equity","IS_ABNORMAL_ITEM","FQ2 2025","FQ2 2025","Currency=USD","Period=FQ","BEST_FPERIOD_OVERRIDE=FQ","FILING_STATUS=MR","SCALING_FORMAT=MLN","Sort=A","Dates=H","DateFormat=P","Fill=—","Direction=H","UseDPDF=Y")</f>
        <v>0</v>
      </c>
      <c r="AC28" s="13" cm="1">
        <f t="array" ref="AC28">_xll.BDH("PCAR US Equity","IS_ABNORMAL_ITEM","FQ3 2025","FQ3 2025","Currency=USD","Period=FQ","BEST_FPERIOD_OVERRIDE=FQ","FILING_STATUS=MR","SCALING_FORMAT=MLN","Sort=A","Dates=H","DateFormat=P","Fill=—","Direction=H","UseDPDF=Y")</f>
        <v>0</v>
      </c>
      <c r="AD28" s="13" cm="1">
        <f t="array" ref="AD28">_xll.BDH("PCAR US Equity","IS_ABNORMAL_ITEM","FQ4 2025","FQ4 2025","Currency=USD","Period=FQ","BEST_FPERIOD_OVERRIDE=FQ","FILING_STATUS=MR","SCALING_FORMAT=MLN","Sort=A","Dates=H","DateFormat=P","Fill=—","Direction=H","UseDPDF=Y")</f>
        <v>0</v>
      </c>
      <c r="AE28" s="13"/>
      <c r="AF28" s="13"/>
    </row>
    <row r="29" spans="1:32" x14ac:dyDescent="0.25">
      <c r="A29" s="10" t="s">
        <v>111</v>
      </c>
      <c r="B29" s="10" t="s">
        <v>112</v>
      </c>
      <c r="C29" s="13" cm="1">
        <f t="array" ref="C29">_xll.BDH("PCAR US Equity","IS_GAIN_LOSS_ON_INVESTMENTS","FQ1 2019","FQ1 2019","Currency=USD","Period=FQ","BEST_FPERIOD_OVERRIDE=FQ","FILING_STATUS=MR","SCALING_FORMAT=MLN","Sort=A","Dates=H","DateFormat=P","Fill=—","Direction=H","UseDPDF=Y")</f>
        <v>-0.1</v>
      </c>
      <c r="D29" s="13" cm="1">
        <f t="array" ref="D29">_xll.BDH("PCAR US Equity","IS_GAIN_LOSS_ON_INVESTMENTS","FQ2 2019","FQ2 2019","Currency=USD","Period=FQ","BEST_FPERIOD_OVERRIDE=FQ","FILING_STATUS=MR","SCALING_FORMAT=MLN","Sort=A","Dates=H","DateFormat=P","Fill=—","Direction=H","UseDPDF=Y")</f>
        <v>-0.1</v>
      </c>
      <c r="E29" s="13" cm="1">
        <f t="array" ref="E29">_xll.BDH("PCAR US Equity","IS_GAIN_LOSS_ON_INVESTMENTS","FQ3 2019","FQ3 2019","Currency=USD","Period=FQ","BEST_FPERIOD_OVERRIDE=FQ","FILING_STATUS=MR","SCALING_FORMAT=MLN","Sort=A","Dates=H","DateFormat=P","Fill=—","Direction=H","UseDPDF=Y")</f>
        <v>-0.4</v>
      </c>
      <c r="F29" s="13" cm="1">
        <f t="array" ref="F29">_xll.BDH("PCAR US Equity","IS_GAIN_LOSS_ON_INVESTMENTS","FQ4 2019","FQ4 2019","Currency=USD","Period=FQ","BEST_FPERIOD_OVERRIDE=FQ","FILING_STATUS=MR","SCALING_FORMAT=MLN","Sort=A","Dates=H","DateFormat=P","Fill=—","Direction=H","UseDPDF=Y")</f>
        <v>-0.3</v>
      </c>
      <c r="G29" s="13" cm="1">
        <f t="array" ref="G29">_xll.BDH("PCAR US Equity","IS_GAIN_LOSS_ON_INVESTMENTS","FQ1 2020","FQ1 2020","Currency=USD","Period=FQ","BEST_FPERIOD_OVERRIDE=FQ","FILING_STATUS=MR","SCALING_FORMAT=MLN","Sort=A","Dates=H","DateFormat=P","Fill=—","Direction=H","UseDPDF=Y")</f>
        <v>-0.7</v>
      </c>
      <c r="H29" s="13" cm="1">
        <f t="array" ref="H29">_xll.BDH("PCAR US Equity","IS_GAIN_LOSS_ON_INVESTMENTS","FQ2 2020","FQ2 2020","Currency=USD","Period=FQ","BEST_FPERIOD_OVERRIDE=FQ","FILING_STATUS=MR","SCALING_FORMAT=MLN","Sort=A","Dates=H","DateFormat=P","Fill=—","Direction=H","UseDPDF=Y")</f>
        <v>-0.6</v>
      </c>
      <c r="I29" s="13" t="str" cm="1">
        <f t="array" ref="I29">_xll.BDH("PCAR US Equity","IS_GAIN_LOSS_ON_INVESTMENTS","FQ3 2020","FQ3 2020","Currency=USD","Period=FQ","BEST_FPERIOD_OVERRIDE=FQ","FILING_STATUS=MR","SCALING_FORMAT=MLN","Sort=A","Dates=H","DateFormat=P","Fill=—","Direction=H","UseDPDF=Y")</f>
        <v>—</v>
      </c>
      <c r="J29" s="13" cm="1">
        <f t="array" ref="J29">_xll.BDH("PCAR US Equity","IS_GAIN_LOSS_ON_INVESTMENTS","FQ4 2020","FQ4 2020","Currency=USD","Period=FQ","BEST_FPERIOD_OVERRIDE=FQ","FILING_STATUS=MR","SCALING_FORMAT=MLN","Sort=A","Dates=H","DateFormat=P","Fill=—","Direction=H","UseDPDF=Y")</f>
        <v>-0.8</v>
      </c>
      <c r="K29" s="13" t="str" cm="1">
        <f t="array" ref="K29">_xll.BDH("PCAR US Equity","IS_GAIN_LOSS_ON_INVESTMENTS","FQ1 2021","FQ1 2021","Currency=USD","Period=FQ","BEST_FPERIOD_OVERRIDE=FQ","FILING_STATUS=MR","SCALING_FORMAT=MLN","Sort=A","Dates=H","DateFormat=P","Fill=—","Direction=H","UseDPDF=Y")</f>
        <v>—</v>
      </c>
      <c r="L29" s="13" cm="1">
        <f t="array" ref="L29">_xll.BDH("PCAR US Equity","IS_GAIN_LOSS_ON_INVESTMENTS","FQ2 2021","FQ2 2021","Currency=USD","Period=FQ","BEST_FPERIOD_OVERRIDE=FQ","FILING_STATUS=MR","SCALING_FORMAT=MLN","Sort=A","Dates=H","DateFormat=P","Fill=—","Direction=H","UseDPDF=Y")</f>
        <v>-0.4</v>
      </c>
      <c r="M29" s="13" t="str" cm="1">
        <f t="array" ref="M29">_xll.BDH("PCAR US Equity","IS_GAIN_LOSS_ON_INVESTMENTS","FQ3 2021","FQ3 2021","Currency=USD","Period=FQ","BEST_FPERIOD_OVERRIDE=FQ","FILING_STATUS=MR","SCALING_FORMAT=MLN","Sort=A","Dates=H","DateFormat=P","Fill=—","Direction=H","UseDPDF=Y")</f>
        <v>—</v>
      </c>
      <c r="N29" s="13" t="str" cm="1">
        <f t="array" ref="N29">_xll.BDH("PCAR US Equity","IS_GAIN_LOSS_ON_INVESTMENTS","FQ4 2021","FQ4 2021","Currency=USD","Period=FQ","BEST_FPERIOD_OVERRIDE=FQ","FILING_STATUS=MR","SCALING_FORMAT=MLN","Sort=A","Dates=H","DateFormat=P","Fill=—","Direction=H","UseDPDF=Y")</f>
        <v>—</v>
      </c>
      <c r="O29" s="13" t="str" cm="1">
        <f t="array" ref="O29">_xll.BDH("PCAR US Equity","IS_GAIN_LOSS_ON_INVESTMENTS","FQ1 2022","FQ1 2022","Currency=USD","Period=FQ","BEST_FPERIOD_OVERRIDE=FQ","FILING_STATUS=MR","SCALING_FORMAT=MLN","Sort=A","Dates=H","DateFormat=P","Fill=—","Direction=H","UseDPDF=Y")</f>
        <v>—</v>
      </c>
      <c r="P29" s="13" cm="1">
        <f t="array" ref="P29">_xll.BDH("PCAR US Equity","IS_GAIN_LOSS_ON_INVESTMENTS","FQ2 2022","FQ2 2022","Currency=USD","Period=FQ","BEST_FPERIOD_OVERRIDE=FQ","FILING_STATUS=MR","SCALING_FORMAT=MLN","Sort=A","Dates=H","DateFormat=P","Fill=—","Direction=H","UseDPDF=Y")</f>
        <v>0.5</v>
      </c>
      <c r="Q29" s="13" t="str" cm="1">
        <f t="array" ref="Q29">_xll.BDH("PCAR US Equity","IS_GAIN_LOSS_ON_INVESTMENTS","FQ3 2022","FQ3 2022","Currency=USD","Period=FQ","BEST_FPERIOD_OVERRIDE=FQ","FILING_STATUS=MR","SCALING_FORMAT=MLN","Sort=A","Dates=H","DateFormat=P","Fill=—","Direction=H","UseDPDF=Y")</f>
        <v>—</v>
      </c>
      <c r="R29" s="13" t="str" cm="1">
        <f t="array" ref="R29">_xll.BDH("PCAR US Equity","IS_GAIN_LOSS_ON_INVESTMENTS","FQ4 2022","FQ4 2022","Currency=USD","Period=FQ","BEST_FPERIOD_OVERRIDE=FQ","FILING_STATUS=MR","SCALING_FORMAT=MLN","Sort=A","Dates=H","DateFormat=P","Fill=—","Direction=H","UseDPDF=Y")</f>
        <v>—</v>
      </c>
      <c r="S29" s="13" t="str" cm="1">
        <f t="array" ref="S29">_xll.BDH("PCAR US Equity","IS_GAIN_LOSS_ON_INVESTMENTS","FQ1 2023","FQ1 2023","Currency=USD","Period=FQ","BEST_FPERIOD_OVERRIDE=FQ","FILING_STATUS=MR","SCALING_FORMAT=MLN","Sort=A","Dates=H","DateFormat=P","Fill=—","Direction=H","UseDPDF=Y")</f>
        <v>—</v>
      </c>
      <c r="T29" s="13" t="str" cm="1">
        <f t="array" ref="T29">_xll.BDH("PCAR US Equity","IS_GAIN_LOSS_ON_INVESTMENTS","FQ2 2023","FQ2 2023","Currency=USD","Period=FQ","BEST_FPERIOD_OVERRIDE=FQ","FILING_STATUS=MR","SCALING_FORMAT=MLN","Sort=A","Dates=H","DateFormat=P","Fill=—","Direction=H","UseDPDF=Y")</f>
        <v>—</v>
      </c>
      <c r="U29" s="13" t="str" cm="1">
        <f t="array" ref="U29">_xll.BDH("PCAR US Equity","IS_GAIN_LOSS_ON_INVESTMENTS","FQ3 2023","FQ3 2023","Currency=USD","Period=FQ","BEST_FPERIOD_OVERRIDE=FQ","FILING_STATUS=MR","SCALING_FORMAT=MLN","Sort=A","Dates=H","DateFormat=P","Fill=—","Direction=H","UseDPDF=Y")</f>
        <v>—</v>
      </c>
      <c r="V29" s="13" t="str" cm="1">
        <f t="array" ref="V29">_xll.BDH("PCAR US Equity","IS_GAIN_LOSS_ON_INVESTMENTS","FQ4 2023","FQ4 2023","Currency=USD","Period=FQ","BEST_FPERIOD_OVERRIDE=FQ","FILING_STATUS=MR","SCALING_FORMAT=MLN","Sort=A","Dates=H","DateFormat=P","Fill=—","Direction=H","UseDPDF=Y")</f>
        <v>—</v>
      </c>
      <c r="W29" s="13" t="str" cm="1">
        <f t="array" ref="W29">_xll.BDH("PCAR US Equity","IS_GAIN_LOSS_ON_INVESTMENTS","FQ1 2024","FQ1 2024","Currency=USD","Period=FQ","BEST_FPERIOD_OVERRIDE=FQ","FILING_STATUS=MR","SCALING_FORMAT=MLN","Sort=A","Dates=H","DateFormat=P","Fill=—","Direction=H","UseDPDF=Y")</f>
        <v>—</v>
      </c>
      <c r="X29" s="13" t="str" cm="1">
        <f t="array" ref="X29">_xll.BDH("PCAR US Equity","IS_GAIN_LOSS_ON_INVESTMENTS","FQ2 2024","FQ2 2024","Currency=USD","Period=FQ","BEST_FPERIOD_OVERRIDE=FQ","FILING_STATUS=MR","SCALING_FORMAT=MLN","Sort=A","Dates=H","DateFormat=P","Fill=—","Direction=H","UseDPDF=Y")</f>
        <v>—</v>
      </c>
      <c r="Y29" s="13" t="str" cm="1">
        <f t="array" ref="Y29">_xll.BDH("PCAR US Equity","IS_GAIN_LOSS_ON_INVESTMENTS","FQ3 2024","FQ3 2024","Currency=USD","Period=FQ","BEST_FPERIOD_OVERRIDE=FQ","FILING_STATUS=MR","SCALING_FORMAT=MLN","Sort=A","Dates=H","DateFormat=P","Fill=—","Direction=H","UseDPDF=Y")</f>
        <v>—</v>
      </c>
      <c r="Z29" s="13" t="str" cm="1">
        <f t="array" ref="Z29">_xll.BDH("PCAR US Equity","IS_GAIN_LOSS_ON_INVESTMENTS","FQ4 2024","FQ4 2024","Currency=USD","Period=FQ","BEST_FPERIOD_OVERRIDE=FQ","FILING_STATUS=MR","SCALING_FORMAT=MLN","Sort=A","Dates=H","DateFormat=P","Fill=—","Direction=H","UseDPDF=Y")</f>
        <v>—</v>
      </c>
      <c r="AA29" s="13" t="str" cm="1">
        <f t="array" ref="AA29">_xll.BDH("PCAR US Equity","IS_GAIN_LOSS_ON_INVESTMENTS","FQ1 2025","FQ1 2025","Currency=USD","Period=FQ","BEST_FPERIOD_OVERRIDE=FQ","FILING_STATUS=MR","SCALING_FORMAT=MLN","Sort=A","Dates=H","DateFormat=P","Fill=—","Direction=H","UseDPDF=Y")</f>
        <v>—</v>
      </c>
      <c r="AB29" s="13" t="str" cm="1">
        <f t="array" ref="AB29">_xll.BDH("PCAR US Equity","IS_GAIN_LOSS_ON_INVESTMENTS","FQ2 2025","FQ2 2025","Currency=USD","Period=FQ","BEST_FPERIOD_OVERRIDE=FQ","FILING_STATUS=MR","SCALING_FORMAT=MLN","Sort=A","Dates=H","DateFormat=P","Fill=—","Direction=H","UseDPDF=Y")</f>
        <v>—</v>
      </c>
      <c r="AC29" s="13" t="str" cm="1">
        <f t="array" ref="AC29">_xll.BDH("PCAR US Equity","IS_GAIN_LOSS_ON_INVESTMENTS","FQ3 2025","FQ3 2025","Currency=USD","Period=FQ","BEST_FPERIOD_OVERRIDE=FQ","FILING_STATUS=MR","SCALING_FORMAT=MLN","Sort=A","Dates=H","DateFormat=P","Fill=—","Direction=H","UseDPDF=Y")</f>
        <v>—</v>
      </c>
      <c r="AD29" s="13" t="str" cm="1">
        <f t="array" ref="AD29">_xll.BDH("PCAR US Equity","IS_GAIN_LOSS_ON_INVESTMENTS","FQ4 2025","FQ4 2025","Currency=USD","Period=FQ","BEST_FPERIOD_OVERRIDE=FQ","FILING_STATUS=MR","SCALING_FORMAT=MLN","Sort=A","Dates=H","DateFormat=P","Fill=—","Direction=H","UseDPDF=Y")</f>
        <v>—</v>
      </c>
      <c r="AE29" s="13"/>
      <c r="AF29" s="13"/>
    </row>
    <row r="30" spans="1:32" x14ac:dyDescent="0.25">
      <c r="A30" s="10" t="s">
        <v>113</v>
      </c>
      <c r="B30" s="10" t="s">
        <v>114</v>
      </c>
      <c r="C30" s="13" t="str" cm="1">
        <f t="array" ref="C30">_xll.BDH("PCAR US Equity","IS_OTHER_ONE_TIME_ITEMS","FQ1 2019","FQ1 2019","Currency=USD","Period=FQ","BEST_FPERIOD_OVERRIDE=FQ","FILING_STATUS=MR","SCALING_FORMAT=MLN","Sort=A","Dates=H","DateFormat=P","Fill=—","Direction=H","UseDPDF=Y")</f>
        <v>—</v>
      </c>
      <c r="D30" s="13" t="str" cm="1">
        <f t="array" ref="D30">_xll.BDH("PCAR US Equity","IS_OTHER_ONE_TIME_ITEMS","FQ2 2019","FQ2 2019","Currency=USD","Period=FQ","BEST_FPERIOD_OVERRIDE=FQ","FILING_STATUS=MR","SCALING_FORMAT=MLN","Sort=A","Dates=H","DateFormat=P","Fill=—","Direction=H","UseDPDF=Y")</f>
        <v>—</v>
      </c>
      <c r="E30" s="13" t="str" cm="1">
        <f t="array" ref="E30">_xll.BDH("PCAR US Equity","IS_OTHER_ONE_TIME_ITEMS","FQ3 2019","FQ3 2019","Currency=USD","Period=FQ","BEST_FPERIOD_OVERRIDE=FQ","FILING_STATUS=MR","SCALING_FORMAT=MLN","Sort=A","Dates=H","DateFormat=P","Fill=—","Direction=H","UseDPDF=Y")</f>
        <v>—</v>
      </c>
      <c r="F30" s="13" t="str" cm="1">
        <f t="array" ref="F30">_xll.BDH("PCAR US Equity","IS_OTHER_ONE_TIME_ITEMS","FQ4 2019","FQ4 2019","Currency=USD","Period=FQ","BEST_FPERIOD_OVERRIDE=FQ","FILING_STATUS=MR","SCALING_FORMAT=MLN","Sort=A","Dates=H","DateFormat=P","Fill=—","Direction=H","UseDPDF=Y")</f>
        <v>—</v>
      </c>
      <c r="G30" s="13" t="str" cm="1">
        <f t="array" ref="G30">_xll.BDH("PCAR US Equity","IS_OTHER_ONE_TIME_ITEMS","FQ1 2020","FQ1 2020","Currency=USD","Period=FQ","BEST_FPERIOD_OVERRIDE=FQ","FILING_STATUS=MR","SCALING_FORMAT=MLN","Sort=A","Dates=H","DateFormat=P","Fill=—","Direction=H","UseDPDF=Y")</f>
        <v>—</v>
      </c>
      <c r="H30" s="13" t="str" cm="1">
        <f t="array" ref="H30">_xll.BDH("PCAR US Equity","IS_OTHER_ONE_TIME_ITEMS","FQ2 2020","FQ2 2020","Currency=USD","Period=FQ","BEST_FPERIOD_OVERRIDE=FQ","FILING_STATUS=MR","SCALING_FORMAT=MLN","Sort=A","Dates=H","DateFormat=P","Fill=—","Direction=H","UseDPDF=Y")</f>
        <v>—</v>
      </c>
      <c r="I30" s="13" t="str" cm="1">
        <f t="array" ref="I30">_xll.BDH("PCAR US Equity","IS_OTHER_ONE_TIME_ITEMS","FQ3 2020","FQ3 2020","Currency=USD","Period=FQ","BEST_FPERIOD_OVERRIDE=FQ","FILING_STATUS=MR","SCALING_FORMAT=MLN","Sort=A","Dates=H","DateFormat=P","Fill=—","Direction=H","UseDPDF=Y")</f>
        <v>—</v>
      </c>
      <c r="J30" s="13" t="str" cm="1">
        <f t="array" ref="J30">_xll.BDH("PCAR US Equity","IS_OTHER_ONE_TIME_ITEMS","FQ4 2020","FQ4 2020","Currency=USD","Period=FQ","BEST_FPERIOD_OVERRIDE=FQ","FILING_STATUS=MR","SCALING_FORMAT=MLN","Sort=A","Dates=H","DateFormat=P","Fill=—","Direction=H","UseDPDF=Y")</f>
        <v>—</v>
      </c>
      <c r="K30" s="13" t="str" cm="1">
        <f t="array" ref="K30">_xll.BDH("PCAR US Equity","IS_OTHER_ONE_TIME_ITEMS","FQ1 2021","FQ1 2021","Currency=USD","Period=FQ","BEST_FPERIOD_OVERRIDE=FQ","FILING_STATUS=MR","SCALING_FORMAT=MLN","Sort=A","Dates=H","DateFormat=P","Fill=—","Direction=H","UseDPDF=Y")</f>
        <v>—</v>
      </c>
      <c r="L30" s="13" t="str" cm="1">
        <f t="array" ref="L30">_xll.BDH("PCAR US Equity","IS_OTHER_ONE_TIME_ITEMS","FQ2 2021","FQ2 2021","Currency=USD","Period=FQ","BEST_FPERIOD_OVERRIDE=FQ","FILING_STATUS=MR","SCALING_FORMAT=MLN","Sort=A","Dates=H","DateFormat=P","Fill=—","Direction=H","UseDPDF=Y")</f>
        <v>—</v>
      </c>
      <c r="M30" s="13" t="str" cm="1">
        <f t="array" ref="M30">_xll.BDH("PCAR US Equity","IS_OTHER_ONE_TIME_ITEMS","FQ3 2021","FQ3 2021","Currency=USD","Period=FQ","BEST_FPERIOD_OVERRIDE=FQ","FILING_STATUS=MR","SCALING_FORMAT=MLN","Sort=A","Dates=H","DateFormat=P","Fill=—","Direction=H","UseDPDF=Y")</f>
        <v>—</v>
      </c>
      <c r="N30" s="13" t="str" cm="1">
        <f t="array" ref="N30">_xll.BDH("PCAR US Equity","IS_OTHER_ONE_TIME_ITEMS","FQ4 2021","FQ4 2021","Currency=USD","Period=FQ","BEST_FPERIOD_OVERRIDE=FQ","FILING_STATUS=MR","SCALING_FORMAT=MLN","Sort=A","Dates=H","DateFormat=P","Fill=—","Direction=H","UseDPDF=Y")</f>
        <v>—</v>
      </c>
      <c r="O30" s="13" t="str" cm="1">
        <f t="array" ref="O30">_xll.BDH("PCAR US Equity","IS_OTHER_ONE_TIME_ITEMS","FQ1 2022","FQ1 2022","Currency=USD","Period=FQ","BEST_FPERIOD_OVERRIDE=FQ","FILING_STATUS=MR","SCALING_FORMAT=MLN","Sort=A","Dates=H","DateFormat=P","Fill=—","Direction=H","UseDPDF=Y")</f>
        <v>—</v>
      </c>
      <c r="P30" s="13" t="str" cm="1">
        <f t="array" ref="P30">_xll.BDH("PCAR US Equity","IS_OTHER_ONE_TIME_ITEMS","FQ2 2022","FQ2 2022","Currency=USD","Period=FQ","BEST_FPERIOD_OVERRIDE=FQ","FILING_STATUS=MR","SCALING_FORMAT=MLN","Sort=A","Dates=H","DateFormat=P","Fill=—","Direction=H","UseDPDF=Y")</f>
        <v>—</v>
      </c>
      <c r="Q30" s="13" t="str" cm="1">
        <f t="array" ref="Q30">_xll.BDH("PCAR US Equity","IS_OTHER_ONE_TIME_ITEMS","FQ3 2022","FQ3 2022","Currency=USD","Period=FQ","BEST_FPERIOD_OVERRIDE=FQ","FILING_STATUS=MR","SCALING_FORMAT=MLN","Sort=A","Dates=H","DateFormat=P","Fill=—","Direction=H","UseDPDF=Y")</f>
        <v>—</v>
      </c>
      <c r="R30" s="13" t="str" cm="1">
        <f t="array" ref="R30">_xll.BDH("PCAR US Equity","IS_OTHER_ONE_TIME_ITEMS","FQ4 2022","FQ4 2022","Currency=USD","Period=FQ","BEST_FPERIOD_OVERRIDE=FQ","FILING_STATUS=MR","SCALING_FORMAT=MLN","Sort=A","Dates=H","DateFormat=P","Fill=—","Direction=H","UseDPDF=Y")</f>
        <v>—</v>
      </c>
      <c r="S30" s="13" t="str" cm="1">
        <f t="array" ref="S30">_xll.BDH("PCAR US Equity","IS_OTHER_ONE_TIME_ITEMS","FQ1 2023","FQ1 2023","Currency=USD","Period=FQ","BEST_FPERIOD_OVERRIDE=FQ","FILING_STATUS=MR","SCALING_FORMAT=MLN","Sort=A","Dates=H","DateFormat=P","Fill=—","Direction=H","UseDPDF=Y")</f>
        <v>—</v>
      </c>
      <c r="T30" s="13" t="str" cm="1">
        <f t="array" ref="T30">_xll.BDH("PCAR US Equity","IS_OTHER_ONE_TIME_ITEMS","FQ2 2023","FQ2 2023","Currency=USD","Period=FQ","BEST_FPERIOD_OVERRIDE=FQ","FILING_STATUS=MR","SCALING_FORMAT=MLN","Sort=A","Dates=H","DateFormat=P","Fill=—","Direction=H","UseDPDF=Y")</f>
        <v>—</v>
      </c>
      <c r="U30" s="13" t="str" cm="1">
        <f t="array" ref="U30">_xll.BDH("PCAR US Equity","IS_OTHER_ONE_TIME_ITEMS","FQ3 2023","FQ3 2023","Currency=USD","Period=FQ","BEST_FPERIOD_OVERRIDE=FQ","FILING_STATUS=MR","SCALING_FORMAT=MLN","Sort=A","Dates=H","DateFormat=P","Fill=—","Direction=H","UseDPDF=Y")</f>
        <v>—</v>
      </c>
      <c r="V30" s="13" t="str" cm="1">
        <f t="array" ref="V30">_xll.BDH("PCAR US Equity","IS_OTHER_ONE_TIME_ITEMS","FQ4 2023","FQ4 2023","Currency=USD","Period=FQ","BEST_FPERIOD_OVERRIDE=FQ","FILING_STATUS=MR","SCALING_FORMAT=MLN","Sort=A","Dates=H","DateFormat=P","Fill=—","Direction=H","UseDPDF=Y")</f>
        <v>—</v>
      </c>
      <c r="W30" s="13" t="str" cm="1">
        <f t="array" ref="W30">_xll.BDH("PCAR US Equity","IS_OTHER_ONE_TIME_ITEMS","FQ1 2024","FQ1 2024","Currency=USD","Period=FQ","BEST_FPERIOD_OVERRIDE=FQ","FILING_STATUS=MR","SCALING_FORMAT=MLN","Sort=A","Dates=H","DateFormat=P","Fill=—","Direction=H","UseDPDF=Y")</f>
        <v>—</v>
      </c>
      <c r="X30" s="13" t="str" cm="1">
        <f t="array" ref="X30">_xll.BDH("PCAR US Equity","IS_OTHER_ONE_TIME_ITEMS","FQ2 2024","FQ2 2024","Currency=USD","Period=FQ","BEST_FPERIOD_OVERRIDE=FQ","FILING_STATUS=MR","SCALING_FORMAT=MLN","Sort=A","Dates=H","DateFormat=P","Fill=—","Direction=H","UseDPDF=Y")</f>
        <v>—</v>
      </c>
      <c r="Y30" s="13" t="str" cm="1">
        <f t="array" ref="Y30">_xll.BDH("PCAR US Equity","IS_OTHER_ONE_TIME_ITEMS","FQ3 2024","FQ3 2024","Currency=USD","Period=FQ","BEST_FPERIOD_OVERRIDE=FQ","FILING_STATUS=MR","SCALING_FORMAT=MLN","Sort=A","Dates=H","DateFormat=P","Fill=—","Direction=H","UseDPDF=Y")</f>
        <v>—</v>
      </c>
      <c r="Z30" s="13" t="str" cm="1">
        <f t="array" ref="Z30">_xll.BDH("PCAR US Equity","IS_OTHER_ONE_TIME_ITEMS","FQ4 2024","FQ4 2024","Currency=USD","Period=FQ","BEST_FPERIOD_OVERRIDE=FQ","FILING_STATUS=MR","SCALING_FORMAT=MLN","Sort=A","Dates=H","DateFormat=P","Fill=—","Direction=H","UseDPDF=Y")</f>
        <v>—</v>
      </c>
      <c r="AA30" s="13" t="str" cm="1">
        <f t="array" ref="AA30">_xll.BDH("PCAR US Equity","IS_OTHER_ONE_TIME_ITEMS","FQ1 2025","FQ1 2025","Currency=USD","Period=FQ","BEST_FPERIOD_OVERRIDE=FQ","FILING_STATUS=MR","SCALING_FORMAT=MLN","Sort=A","Dates=H","DateFormat=P","Fill=—","Direction=H","UseDPDF=Y")</f>
        <v>—</v>
      </c>
      <c r="AB30" s="13" t="str" cm="1">
        <f t="array" ref="AB30">_xll.BDH("PCAR US Equity","IS_OTHER_ONE_TIME_ITEMS","FQ2 2025","FQ2 2025","Currency=USD","Period=FQ","BEST_FPERIOD_OVERRIDE=FQ","FILING_STATUS=MR","SCALING_FORMAT=MLN","Sort=A","Dates=H","DateFormat=P","Fill=—","Direction=H","UseDPDF=Y")</f>
        <v>—</v>
      </c>
      <c r="AC30" s="13" t="str" cm="1">
        <f t="array" ref="AC30">_xll.BDH("PCAR US Equity","IS_OTHER_ONE_TIME_ITEMS","FQ3 2025","FQ3 2025","Currency=USD","Period=FQ","BEST_FPERIOD_OVERRIDE=FQ","FILING_STATUS=MR","SCALING_FORMAT=MLN","Sort=A","Dates=H","DateFormat=P","Fill=—","Direction=H","UseDPDF=Y")</f>
        <v>—</v>
      </c>
      <c r="AD30" s="13" t="str" cm="1">
        <f t="array" ref="AD30">_xll.BDH("PCAR US Equity","IS_OTHER_ONE_TIME_ITEMS","FQ4 2025","FQ4 2025","Currency=USD","Period=FQ","BEST_FPERIOD_OVERRIDE=FQ","FILING_STATUS=MR","SCALING_FORMAT=MLN","Sort=A","Dates=H","DateFormat=P","Fill=—","Direction=H","UseDPDF=Y")</f>
        <v>—</v>
      </c>
      <c r="AE30" s="13"/>
      <c r="AF30" s="13"/>
    </row>
    <row r="31" spans="1:32" x14ac:dyDescent="0.25">
      <c r="A31" s="6" t="s">
        <v>115</v>
      </c>
      <c r="B31" s="6" t="s">
        <v>108</v>
      </c>
      <c r="C31" s="16" cm="1">
        <f t="array" ref="C31">_xll.BDH("PCAR US Equity","PRETAX_INC","FQ1 2019","FQ1 2019","Currency=USD","Period=FQ","BEST_FPERIOD_OVERRIDE=FQ","FILING_STATUS=MR","SCALING_FORMAT=MLN","FA_ADJUSTED=GAAP","Sort=A","Dates=H","DateFormat=P","Fill=—","Direction=H","UseDPDF=Y")</f>
        <v>819.4</v>
      </c>
      <c r="D31" s="16" cm="1">
        <f t="array" ref="D31">_xll.BDH("PCAR US Equity","PRETAX_INC","FQ2 2019","FQ2 2019","Currency=USD","Period=FQ","BEST_FPERIOD_OVERRIDE=FQ","FILING_STATUS=MR","SCALING_FORMAT=MLN","FA_ADJUSTED=GAAP","Sort=A","Dates=H","DateFormat=P","Fill=—","Direction=H","UseDPDF=Y")</f>
        <v>814.4</v>
      </c>
      <c r="E31" s="16" cm="1">
        <f t="array" ref="E31">_xll.BDH("PCAR US Equity","PRETAX_INC","FQ3 2019","FQ3 2019","Currency=USD","Period=FQ","BEST_FPERIOD_OVERRIDE=FQ","FILING_STATUS=MR","SCALING_FORMAT=MLN","FA_ADJUSTED=GAAP","Sort=A","Dates=H","DateFormat=P","Fill=—","Direction=H","UseDPDF=Y")</f>
        <v>777.6</v>
      </c>
      <c r="F31" s="16" cm="1">
        <f t="array" ref="F31">_xll.BDH("PCAR US Equity","PRETAX_INC","FQ4 2019","FQ4 2019","Currency=USD","Period=FQ","BEST_FPERIOD_OVERRIDE=FQ","FILING_STATUS=MR","SCALING_FORMAT=MLN","FA_ADJUSTED=GAAP","Sort=A","Dates=H","DateFormat=P","Fill=—","Direction=H","UseDPDF=Y")</f>
        <v>687.8</v>
      </c>
      <c r="G31" s="16" cm="1">
        <f t="array" ref="G31">_xll.BDH("PCAR US Equity","PRETAX_INC","FQ1 2020","FQ1 2020","Currency=USD","Period=FQ","BEST_FPERIOD_OVERRIDE=FQ","FILING_STATUS=MR","SCALING_FORMAT=MLN","FA_ADJUSTED=GAAP","Sort=A","Dates=H","DateFormat=P","Fill=—","Direction=H","UseDPDF=Y")</f>
        <v>462.2</v>
      </c>
      <c r="H31" s="16" cm="1">
        <f t="array" ref="H31">_xll.BDH("PCAR US Equity","PRETAX_INC","FQ2 2020","FQ2 2020","Currency=USD","Period=FQ","BEST_FPERIOD_OVERRIDE=FQ","FILING_STATUS=MR","SCALING_FORMAT=MLN","FA_ADJUSTED=GAAP","Sort=A","Dates=H","DateFormat=P","Fill=—","Direction=H","UseDPDF=Y")</f>
        <v>184</v>
      </c>
      <c r="I31" s="16" cm="1">
        <f t="array" ref="I31">_xll.BDH("PCAR US Equity","PRETAX_INC","FQ3 2020","FQ3 2020","Currency=USD","Period=FQ","BEST_FPERIOD_OVERRIDE=FQ","FILING_STATUS=MR","SCALING_FORMAT=MLN","FA_ADJUSTED=GAAP","Sort=A","Dates=H","DateFormat=P","Fill=—","Direction=H","UseDPDF=Y")</f>
        <v>489.9</v>
      </c>
      <c r="J31" s="16" cm="1">
        <f t="array" ref="J31">_xll.BDH("PCAR US Equity","PRETAX_INC","FQ4 2020","FQ4 2020","Currency=USD","Period=FQ","BEST_FPERIOD_OVERRIDE=FQ","FILING_STATUS=MR","SCALING_FORMAT=MLN","FA_ADJUSTED=GAAP","Sort=A","Dates=H","DateFormat=P","Fill=—","Direction=H","UseDPDF=Y")</f>
        <v>521.79999999999995</v>
      </c>
      <c r="K31" s="16" cm="1">
        <f t="array" ref="K31">_xll.BDH("PCAR US Equity","PRETAX_INC","FQ1 2021","FQ1 2021","Currency=USD","Period=FQ","BEST_FPERIOD_OVERRIDE=FQ","FILING_STATUS=MR","SCALING_FORMAT=MLN","FA_ADJUSTED=GAAP","Sort=A","Dates=H","DateFormat=P","Fill=—","Direction=H","UseDPDF=Y")</f>
        <v>608.29999999999995</v>
      </c>
      <c r="L31" s="16" cm="1">
        <f t="array" ref="L31">_xll.BDH("PCAR US Equity","PRETAX_INC","FQ2 2021","FQ2 2021","Currency=USD","Period=FQ","BEST_FPERIOD_OVERRIDE=FQ","FILING_STATUS=MR","SCALING_FORMAT=MLN","FA_ADJUSTED=GAAP","Sort=A","Dates=H","DateFormat=P","Fill=—","Direction=H","UseDPDF=Y")</f>
        <v>640.29999999999995</v>
      </c>
      <c r="M31" s="16" cm="1">
        <f t="array" ref="M31">_xll.BDH("PCAR US Equity","PRETAX_INC","FQ3 2021","FQ3 2021","Currency=USD","Period=FQ","BEST_FPERIOD_OVERRIDE=FQ","FILING_STATUS=MR","SCALING_FORMAT=MLN","FA_ADJUSTED=GAAP","Sort=A","Dates=H","DateFormat=P","Fill=—","Direction=H","UseDPDF=Y")</f>
        <v>487.2</v>
      </c>
      <c r="N31" s="16" cm="1">
        <f t="array" ref="N31">_xll.BDH("PCAR US Equity","PRETAX_INC","FQ4 2021","FQ4 2021","Currency=USD","Period=FQ","BEST_FPERIOD_OVERRIDE=FQ","FILING_STATUS=MR","SCALING_FORMAT=MLN","FA_ADJUSTED=GAAP","Sort=A","Dates=H","DateFormat=P","Fill=—","Direction=H","UseDPDF=Y")</f>
        <v>660.5</v>
      </c>
      <c r="O31" s="16" cm="1">
        <f t="array" ref="O31">_xll.BDH("PCAR US Equity","PRETAX_INC","FQ1 2022","FQ1 2022","Currency=USD","Period=FQ","BEST_FPERIOD_OVERRIDE=FQ","FILING_STATUS=MR","SCALING_FORMAT=MLN","FA_ADJUSTED=GAAP","Sort=A","Dates=H","DateFormat=P","Fill=—","Direction=H","UseDPDF=Y")</f>
        <v>771.4</v>
      </c>
      <c r="P31" s="16" cm="1">
        <f t="array" ref="P31">_xll.BDH("PCAR US Equity","PRETAX_INC","FQ2 2022","FQ2 2022","Currency=USD","Period=FQ","BEST_FPERIOD_OVERRIDE=FQ","FILING_STATUS=MR","SCALING_FORMAT=MLN","FA_ADJUSTED=GAAP","Sort=A","Dates=H","DateFormat=P","Fill=—","Direction=H","UseDPDF=Y")</f>
        <v>922.1</v>
      </c>
      <c r="Q31" s="16" cm="1">
        <f t="array" ref="Q31">_xll.BDH("PCAR US Equity","PRETAX_INC","FQ3 2022","FQ3 2022","Currency=USD","Period=FQ","BEST_FPERIOD_OVERRIDE=FQ","FILING_STATUS=MR","SCALING_FORMAT=MLN","FA_ADJUSTED=GAAP","Sort=A","Dates=H","DateFormat=P","Fill=—","Direction=H","UseDPDF=Y")</f>
        <v>979.7</v>
      </c>
      <c r="R31" s="16" cm="1">
        <f t="array" ref="R31">_xll.BDH("PCAR US Equity","PRETAX_INC","FQ4 2022","FQ4 2022","Currency=USD","Period=FQ","BEST_FPERIOD_OVERRIDE=FQ","FILING_STATUS=MR","SCALING_FORMAT=MLN","FA_ADJUSTED=GAAP","Sort=A","Dates=H","DateFormat=P","Fill=—","Direction=H","UseDPDF=Y")</f>
        <v>1175.5</v>
      </c>
      <c r="S31" s="16" cm="1">
        <f t="array" ref="S31">_xll.BDH("PCAR US Equity","PRETAX_INC","FQ1 2023","FQ1 2023","Currency=USD","Period=FQ","BEST_FPERIOD_OVERRIDE=FQ","FILING_STATUS=MR","SCALING_FORMAT=MLN","FA_ADJUSTED=GAAP","Sort=A","Dates=H","DateFormat=P","Fill=—","Direction=H","UseDPDF=Y")</f>
        <v>919</v>
      </c>
      <c r="T31" s="16" cm="1">
        <f t="array" ref="T31">_xll.BDH("PCAR US Equity","PRETAX_INC","FQ2 2023","FQ2 2023","Currency=USD","Period=FQ","BEST_FPERIOD_OVERRIDE=FQ","FILING_STATUS=MR","SCALING_FORMAT=MLN","FA_ADJUSTED=GAAP","Sort=A","Dates=H","DateFormat=P","Fill=—","Direction=H","UseDPDF=Y")</f>
        <v>1568.5</v>
      </c>
      <c r="U31" s="16" cm="1">
        <f t="array" ref="U31">_xll.BDH("PCAR US Equity","PRETAX_INC","FQ3 2023","FQ3 2023","Currency=USD","Period=FQ","BEST_FPERIOD_OVERRIDE=FQ","FILING_STATUS=MR","SCALING_FORMAT=MLN","FA_ADJUSTED=GAAP","Sort=A","Dates=H","DateFormat=P","Fill=—","Direction=H","UseDPDF=Y")</f>
        <v>1589.4</v>
      </c>
      <c r="V31" s="16" cm="1">
        <f t="array" ref="V31">_xll.BDH("PCAR US Equity","PRETAX_INC","FQ4 2023","FQ4 2023","Currency=USD","Period=FQ","BEST_FPERIOD_OVERRIDE=FQ","FILING_STATUS=MR","SCALING_FORMAT=MLN","FA_ADJUSTED=GAAP","Sort=A","Dates=H","DateFormat=P","Fill=—","Direction=H","UseDPDF=Y")</f>
        <v>1641.3</v>
      </c>
      <c r="W31" s="16" cm="1">
        <f t="array" ref="W31">_xll.BDH("PCAR US Equity","PRETAX_INC","FQ1 2024","FQ1 2024","Currency=USD","Period=FQ","BEST_FPERIOD_OVERRIDE=FQ","FILING_STATUS=MR","SCALING_FORMAT=MLN","FA_ADJUSTED=GAAP","Sort=A","Dates=H","DateFormat=P","Fill=—","Direction=H","UseDPDF=Y")</f>
        <v>1534.5</v>
      </c>
      <c r="X31" s="16" cm="1">
        <f t="array" ref="X31">_xll.BDH("PCAR US Equity","PRETAX_INC","FQ2 2024","FQ2 2024","Currency=USD","Period=FQ","BEST_FPERIOD_OVERRIDE=FQ","FILING_STATUS=MR","SCALING_FORMAT=MLN","FA_ADJUSTED=GAAP","Sort=A","Dates=H","DateFormat=P","Fill=—","Direction=H","UseDPDF=Y")</f>
        <v>1460.8</v>
      </c>
      <c r="Y31" s="16" cm="1">
        <f t="array" ref="Y31">_xll.BDH("PCAR US Equity","PRETAX_INC","FQ3 2024","FQ3 2024","Currency=USD","Period=FQ","BEST_FPERIOD_OVERRIDE=FQ","FILING_STATUS=MR","SCALING_FORMAT=MLN","FA_ADJUSTED=GAAP","Sort=A","Dates=H","DateFormat=P","Fill=—","Direction=H","UseDPDF=Y")</f>
        <v>1256.3</v>
      </c>
      <c r="Z31" s="16" cm="1">
        <f t="array" ref="Z31">_xll.BDH("PCAR US Equity","PRETAX_INC","FQ4 2024","FQ4 2024","Currency=USD","Period=FQ","BEST_FPERIOD_OVERRIDE=FQ","FILING_STATUS=MR","SCALING_FORMAT=MLN","FA_ADJUSTED=GAAP","Sort=A","Dates=H","DateFormat=P","Fill=—","Direction=H","UseDPDF=Y")</f>
        <v>1149.3</v>
      </c>
      <c r="AA31" s="16" cm="1">
        <f t="array" ref="AA31">_xll.BDH("PCAR US Equity","PRETAX_INC","FQ1 2025","FQ1 2025","Currency=USD","Period=FQ","BEST_FPERIOD_OVERRIDE=FQ","FILING_STATUS=MR","SCALING_FORMAT=MLN","FA_ADJUSTED=GAAP","Sort=A","Dates=H","DateFormat=P","Fill=—","Direction=H","UseDPDF=Y")</f>
        <v>643.1</v>
      </c>
      <c r="AB31" s="16" cm="1">
        <f t="array" ref="AB31">_xll.BDH("PCAR US Equity","PRETAX_INC","FQ2 2025","FQ2 2025","Currency=USD","Period=FQ","BEST_FPERIOD_OVERRIDE=FQ","FILING_STATUS=MR","SCALING_FORMAT=MLN","FA_ADJUSTED=GAAP","Sort=A","Dates=H","DateFormat=P","Fill=—","Direction=H","UseDPDF=Y")</f>
        <v>931.9</v>
      </c>
      <c r="AC31" s="16" cm="1">
        <f t="array" ref="AC31">_xll.BDH("PCAR US Equity","PRETAX_INC","FQ3 2025","FQ3 2025","Currency=USD","Period=FQ","BEST_FPERIOD_OVERRIDE=FQ","FILING_STATUS=MR","SCALING_FORMAT=MLN","FA_ADJUSTED=GAAP","Sort=A","Dates=H","DateFormat=P","Fill=—","Direction=H","UseDPDF=Y")</f>
        <v>743.6</v>
      </c>
      <c r="AD31" s="16" cm="1">
        <f t="array" ref="AD31">_xll.BDH("PCAR US Equity","PRETAX_INC","FQ4 2025","FQ4 2025","Currency=USD","Period=FQ","BEST_FPERIOD_OVERRIDE=FQ","FILING_STATUS=MR","SCALING_FORMAT=MLN","FA_ADJUSTED=GAAP","Sort=A","Dates=H","DateFormat=P","Fill=—","Direction=H","UseDPDF=Y")</f>
        <v>704.9</v>
      </c>
      <c r="AE31" s="16">
        <v>776</v>
      </c>
      <c r="AF31" s="16">
        <v>883.7</v>
      </c>
    </row>
    <row r="32" spans="1:32" x14ac:dyDescent="0.25">
      <c r="A32" s="10" t="s">
        <v>116</v>
      </c>
      <c r="B32" s="10" t="s">
        <v>117</v>
      </c>
      <c r="C32" s="13" cm="1">
        <f t="array" ref="C32">_xll.BDH("PCAR US Equity","IS_INC_TAX_EXP","FQ1 2019","FQ1 2019","Currency=USD","Period=FQ","BEST_FPERIOD_OVERRIDE=FQ","FILING_STATUS=MR","SCALING_FORMAT=MLN","FA_ADJUSTED=GAAP","Sort=A","Dates=H","DateFormat=P","Fill=—","Direction=H","UseDPDF=Y")</f>
        <v>190.4</v>
      </c>
      <c r="D32" s="13" cm="1">
        <f t="array" ref="D32">_xll.BDH("PCAR US Equity","IS_INC_TAX_EXP","FQ2 2019","FQ2 2019","Currency=USD","Period=FQ","BEST_FPERIOD_OVERRIDE=FQ","FILING_STATUS=MR","SCALING_FORMAT=MLN","FA_ADJUSTED=GAAP","Sort=A","Dates=H","DateFormat=P","Fill=—","Direction=H","UseDPDF=Y")</f>
        <v>194.7</v>
      </c>
      <c r="E32" s="13" cm="1">
        <f t="array" ref="E32">_xll.BDH("PCAR US Equity","IS_INC_TAX_EXP","FQ3 2019","FQ3 2019","Currency=USD","Period=FQ","BEST_FPERIOD_OVERRIDE=FQ","FILING_STATUS=MR","SCALING_FORMAT=MLN","FA_ADJUSTED=GAAP","Sort=A","Dates=H","DateFormat=P","Fill=—","Direction=H","UseDPDF=Y")</f>
        <v>169.7</v>
      </c>
      <c r="F32" s="13" cm="1">
        <f t="array" ref="F32">_xll.BDH("PCAR US Equity","IS_INC_TAX_EXP","FQ4 2019","FQ4 2019","Currency=USD","Period=FQ","BEST_FPERIOD_OVERRIDE=FQ","FILING_STATUS=MR","SCALING_FORMAT=MLN","FA_ADJUSTED=GAAP","Sort=A","Dates=H","DateFormat=P","Fill=—","Direction=H","UseDPDF=Y")</f>
        <v>156.5</v>
      </c>
      <c r="G32" s="13" cm="1">
        <f t="array" ref="G32">_xll.BDH("PCAR US Equity","IS_INC_TAX_EXP","FQ1 2020","FQ1 2020","Currency=USD","Period=FQ","BEST_FPERIOD_OVERRIDE=FQ","FILING_STATUS=MR","SCALING_FORMAT=MLN","FA_ADJUSTED=GAAP","Sort=A","Dates=H","DateFormat=P","Fill=—","Direction=H","UseDPDF=Y")</f>
        <v>102.8</v>
      </c>
      <c r="H32" s="13" cm="1">
        <f t="array" ref="H32">_xll.BDH("PCAR US Equity","IS_INC_TAX_EXP","FQ2 2020","FQ2 2020","Currency=USD","Period=FQ","BEST_FPERIOD_OVERRIDE=FQ","FILING_STATUS=MR","SCALING_FORMAT=MLN","FA_ADJUSTED=GAAP","Sort=A","Dates=H","DateFormat=P","Fill=—","Direction=H","UseDPDF=Y")</f>
        <v>36.299999999999997</v>
      </c>
      <c r="I32" s="13" cm="1">
        <f t="array" ref="I32">_xll.BDH("PCAR US Equity","IS_INC_TAX_EXP","FQ3 2020","FQ3 2020","Currency=USD","Period=FQ","BEST_FPERIOD_OVERRIDE=FQ","FILING_STATUS=MR","SCALING_FORMAT=MLN","FA_ADJUSTED=GAAP","Sort=A","Dates=H","DateFormat=P","Fill=—","Direction=H","UseDPDF=Y")</f>
        <v>104.4</v>
      </c>
      <c r="J32" s="13" cm="1">
        <f t="array" ref="J32">_xll.BDH("PCAR US Equity","IS_INC_TAX_EXP","FQ4 2020","FQ4 2020","Currency=USD","Period=FQ","BEST_FPERIOD_OVERRIDE=FQ","FILING_STATUS=MR","SCALING_FORMAT=MLN","FA_ADJUSTED=GAAP","Sort=A","Dates=H","DateFormat=P","Fill=—","Direction=H","UseDPDF=Y")</f>
        <v>116</v>
      </c>
      <c r="K32" s="13" cm="1">
        <f t="array" ref="K32">_xll.BDH("PCAR US Equity","IS_INC_TAX_EXP","FQ1 2021","FQ1 2021","Currency=USD","Period=FQ","BEST_FPERIOD_OVERRIDE=FQ","FILING_STATUS=MR","SCALING_FORMAT=MLN","FA_ADJUSTED=GAAP","Sort=A","Dates=H","DateFormat=P","Fill=—","Direction=H","UseDPDF=Y")</f>
        <v>137.5</v>
      </c>
      <c r="L32" s="13" cm="1">
        <f t="array" ref="L32">_xll.BDH("PCAR US Equity","IS_INC_TAX_EXP","FQ2 2021","FQ2 2021","Currency=USD","Period=FQ","BEST_FPERIOD_OVERRIDE=FQ","FILING_STATUS=MR","SCALING_FORMAT=MLN","FA_ADJUSTED=GAAP","Sort=A","Dates=H","DateFormat=P","Fill=—","Direction=H","UseDPDF=Y")</f>
        <v>144.80000000000001</v>
      </c>
      <c r="M32" s="13" cm="1">
        <f t="array" ref="M32">_xll.BDH("PCAR US Equity","IS_INC_TAX_EXP","FQ3 2021","FQ3 2021","Currency=USD","Period=FQ","BEST_FPERIOD_OVERRIDE=FQ","FILING_STATUS=MR","SCALING_FORMAT=MLN","FA_ADJUSTED=GAAP","Sort=A","Dates=H","DateFormat=P","Fill=—","Direction=H","UseDPDF=Y")</f>
        <v>106.7</v>
      </c>
      <c r="N32" s="13" cm="1">
        <f t="array" ref="N32">_xll.BDH("PCAR US Equity","IS_INC_TAX_EXP","FQ4 2021","FQ4 2021","Currency=USD","Period=FQ","BEST_FPERIOD_OVERRIDE=FQ","FILING_STATUS=MR","SCALING_FORMAT=MLN","FA_ADJUSTED=GAAP","Sort=A","Dates=H","DateFormat=P","Fill=—","Direction=H","UseDPDF=Y")</f>
        <v>141.80000000000001</v>
      </c>
      <c r="O32" s="13" cm="1">
        <f t="array" ref="O32">_xll.BDH("PCAR US Equity","IS_INC_TAX_EXP","FQ1 2022","FQ1 2022","Currency=USD","Period=FQ","BEST_FPERIOD_OVERRIDE=FQ","FILING_STATUS=MR","SCALING_FORMAT=MLN","FA_ADJUSTED=GAAP","Sort=A","Dates=H","DateFormat=P","Fill=—","Direction=H","UseDPDF=Y")</f>
        <v>170.9</v>
      </c>
      <c r="P32" s="13" cm="1">
        <f t="array" ref="P32">_xll.BDH("PCAR US Equity","IS_INC_TAX_EXP","FQ2 2022","FQ2 2022","Currency=USD","Period=FQ","BEST_FPERIOD_OVERRIDE=FQ","FILING_STATUS=MR","SCALING_FORMAT=MLN","FA_ADJUSTED=GAAP","Sort=A","Dates=H","DateFormat=P","Fill=—","Direction=H","UseDPDF=Y")</f>
        <v>201.7</v>
      </c>
      <c r="Q32" s="13" cm="1">
        <f t="array" ref="Q32">_xll.BDH("PCAR US Equity","IS_INC_TAX_EXP","FQ3 2022","FQ3 2022","Currency=USD","Period=FQ","BEST_FPERIOD_OVERRIDE=FQ","FILING_STATUS=MR","SCALING_FORMAT=MLN","FA_ADJUSTED=GAAP","Sort=A","Dates=H","DateFormat=P","Fill=—","Direction=H","UseDPDF=Y")</f>
        <v>210.3</v>
      </c>
      <c r="R32" s="13" cm="1">
        <f t="array" ref="R32">_xll.BDH("PCAR US Equity","IS_INC_TAX_EXP","FQ4 2022","FQ4 2022","Currency=USD","Period=FQ","BEST_FPERIOD_OVERRIDE=FQ","FILING_STATUS=MR","SCALING_FORMAT=MLN","FA_ADJUSTED=GAAP","Sort=A","Dates=H","DateFormat=P","Fill=—","Direction=H","UseDPDF=Y")</f>
        <v>254.2</v>
      </c>
      <c r="S32" s="13" cm="1">
        <f t="array" ref="S32">_xll.BDH("PCAR US Equity","IS_INC_TAX_EXP","FQ1 2023","FQ1 2023","Currency=USD","Period=FQ","BEST_FPERIOD_OVERRIDE=FQ","FILING_STATUS=MR","SCALING_FORMAT=MLN","FA_ADJUSTED=GAAP","Sort=A","Dates=H","DateFormat=P","Fill=—","Direction=H","UseDPDF=Y")</f>
        <v>185.1</v>
      </c>
      <c r="T32" s="13" cm="1">
        <f t="array" ref="T32">_xll.BDH("PCAR US Equity","IS_INC_TAX_EXP","FQ2 2023","FQ2 2023","Currency=USD","Period=FQ","BEST_FPERIOD_OVERRIDE=FQ","FILING_STATUS=MR","SCALING_FORMAT=MLN","FA_ADJUSTED=GAAP","Sort=A","Dates=H","DateFormat=P","Fill=—","Direction=H","UseDPDF=Y")</f>
        <v>347.4</v>
      </c>
      <c r="U32" s="13" cm="1">
        <f t="array" ref="U32">_xll.BDH("PCAR US Equity","IS_INC_TAX_EXP","FQ3 2023","FQ3 2023","Currency=USD","Period=FQ","BEST_FPERIOD_OVERRIDE=FQ","FILING_STATUS=MR","SCALING_FORMAT=MLN","FA_ADJUSTED=GAAP","Sort=A","Dates=H","DateFormat=P","Fill=—","Direction=H","UseDPDF=Y")</f>
        <v>360.9</v>
      </c>
      <c r="V32" s="13" cm="1">
        <f t="array" ref="V32">_xll.BDH("PCAR US Equity","IS_INC_TAX_EXP","FQ4 2023","FQ4 2023","Currency=USD","Period=FQ","BEST_FPERIOD_OVERRIDE=FQ","FILING_STATUS=MR","SCALING_FORMAT=MLN","FA_ADJUSTED=GAAP","Sort=A","Dates=H","DateFormat=P","Fill=—","Direction=H","UseDPDF=Y")</f>
        <v>224</v>
      </c>
      <c r="W32" s="13" cm="1">
        <f t="array" ref="W32">_xll.BDH("PCAR US Equity","IS_INC_TAX_EXP","FQ1 2024","FQ1 2024","Currency=USD","Period=FQ","BEST_FPERIOD_OVERRIDE=FQ","FILING_STATUS=MR","SCALING_FORMAT=MLN","FA_ADJUSTED=GAAP","Sort=A","Dates=H","DateFormat=P","Fill=—","Direction=H","UseDPDF=Y")</f>
        <v>339.2</v>
      </c>
      <c r="X32" s="13" cm="1">
        <f t="array" ref="X32">_xll.BDH("PCAR US Equity","IS_INC_TAX_EXP","FQ2 2024","FQ2 2024","Currency=USD","Period=FQ","BEST_FPERIOD_OVERRIDE=FQ","FILING_STATUS=MR","SCALING_FORMAT=MLN","FA_ADJUSTED=GAAP","Sort=A","Dates=H","DateFormat=P","Fill=—","Direction=H","UseDPDF=Y")</f>
        <v>338.2</v>
      </c>
      <c r="Y32" s="13" cm="1">
        <f t="array" ref="Y32">_xll.BDH("PCAR US Equity","IS_INC_TAX_EXP","FQ3 2024","FQ3 2024","Currency=USD","Period=FQ","BEST_FPERIOD_OVERRIDE=FQ","FILING_STATUS=MR","SCALING_FORMAT=MLN","FA_ADJUSTED=GAAP","Sort=A","Dates=H","DateFormat=P","Fill=—","Direction=H","UseDPDF=Y")</f>
        <v>284.2</v>
      </c>
      <c r="Z32" s="13" cm="1">
        <f t="array" ref="Z32">_xll.BDH("PCAR US Equity","IS_INC_TAX_EXP","FQ4 2024","FQ4 2024","Currency=USD","Period=FQ","BEST_FPERIOD_OVERRIDE=FQ","FILING_STATUS=MR","SCALING_FORMAT=MLN","FA_ADJUSTED=GAAP","Sort=A","Dates=H","DateFormat=P","Fill=—","Direction=H","UseDPDF=Y")</f>
        <v>277.3</v>
      </c>
      <c r="AA32" s="13" cm="1">
        <f t="array" ref="AA32">_xll.BDH("PCAR US Equity","IS_INC_TAX_EXP","FQ1 2025","FQ1 2025","Currency=USD","Period=FQ","BEST_FPERIOD_OVERRIDE=FQ","FILING_STATUS=MR","SCALING_FORMAT=MLN","FA_ADJUSTED=GAAP","Sort=A","Dates=H","DateFormat=P","Fill=—","Direction=H","UseDPDF=Y")</f>
        <v>138</v>
      </c>
      <c r="AB32" s="13" cm="1">
        <f t="array" ref="AB32">_xll.BDH("PCAR US Equity","IS_INC_TAX_EXP","FQ2 2025","FQ2 2025","Currency=USD","Period=FQ","BEST_FPERIOD_OVERRIDE=FQ","FILING_STATUS=MR","SCALING_FORMAT=MLN","FA_ADJUSTED=GAAP","Sort=A","Dates=H","DateFormat=P","Fill=—","Direction=H","UseDPDF=Y")</f>
        <v>208.1</v>
      </c>
      <c r="AC32" s="13" cm="1">
        <f t="array" ref="AC32">_xll.BDH("PCAR US Equity","IS_INC_TAX_EXP","FQ3 2025","FQ3 2025","Currency=USD","Period=FQ","BEST_FPERIOD_OVERRIDE=FQ","FILING_STATUS=MR","SCALING_FORMAT=MLN","FA_ADJUSTED=GAAP","Sort=A","Dates=H","DateFormat=P","Fill=—","Direction=H","UseDPDF=Y")</f>
        <v>153.6</v>
      </c>
      <c r="AD32" s="13" cm="1">
        <f t="array" ref="AD32">_xll.BDH("PCAR US Equity","IS_INC_TAX_EXP","FQ4 2025","FQ4 2025","Currency=USD","Period=FQ","BEST_FPERIOD_OVERRIDE=FQ","FILING_STATUS=MR","SCALING_FORMAT=MLN","FA_ADJUSTED=GAAP","Sort=A","Dates=H","DateFormat=P","Fill=—","Direction=H","UseDPDF=Y")</f>
        <v>148</v>
      </c>
      <c r="AE32" s="13"/>
      <c r="AF32" s="13"/>
    </row>
    <row r="33" spans="1:32" x14ac:dyDescent="0.25">
      <c r="A33" s="6" t="s">
        <v>118</v>
      </c>
      <c r="B33" s="6" t="s">
        <v>119</v>
      </c>
      <c r="C33" s="16" cm="1">
        <f t="array" ref="C33">_xll.BDH("PCAR US Equity","IS_INC_BEF_XO_ITEM","FQ1 2019","FQ1 2019","Currency=USD","Period=FQ","BEST_FPERIOD_OVERRIDE=FQ","FILING_STATUS=MR","SCALING_FORMAT=MLN","Sort=A","Dates=H","DateFormat=P","Fill=—","Direction=H","UseDPDF=Y")</f>
        <v>629</v>
      </c>
      <c r="D33" s="16" cm="1">
        <f t="array" ref="D33">_xll.BDH("PCAR US Equity","IS_INC_BEF_XO_ITEM","FQ2 2019","FQ2 2019","Currency=USD","Period=FQ","BEST_FPERIOD_OVERRIDE=FQ","FILING_STATUS=MR","SCALING_FORMAT=MLN","Sort=A","Dates=H","DateFormat=P","Fill=—","Direction=H","UseDPDF=Y")</f>
        <v>619.70000000000005</v>
      </c>
      <c r="E33" s="16" cm="1">
        <f t="array" ref="E33">_xll.BDH("PCAR US Equity","IS_INC_BEF_XO_ITEM","FQ3 2019","FQ3 2019","Currency=USD","Period=FQ","BEST_FPERIOD_OVERRIDE=FQ","FILING_STATUS=MR","SCALING_FORMAT=MLN","Sort=A","Dates=H","DateFormat=P","Fill=—","Direction=H","UseDPDF=Y")</f>
        <v>607.9</v>
      </c>
      <c r="F33" s="16" cm="1">
        <f t="array" ref="F33">_xll.BDH("PCAR US Equity","IS_INC_BEF_XO_ITEM","FQ4 2019","FQ4 2019","Currency=USD","Period=FQ","BEST_FPERIOD_OVERRIDE=FQ","FILING_STATUS=MR","SCALING_FORMAT=MLN","Sort=A","Dates=H","DateFormat=P","Fill=—","Direction=H","UseDPDF=Y")</f>
        <v>531.29999999999995</v>
      </c>
      <c r="G33" s="16" cm="1">
        <f t="array" ref="G33">_xll.BDH("PCAR US Equity","IS_INC_BEF_XO_ITEM","FQ1 2020","FQ1 2020","Currency=USD","Period=FQ","BEST_FPERIOD_OVERRIDE=FQ","FILING_STATUS=MR","SCALING_FORMAT=MLN","Sort=A","Dates=H","DateFormat=P","Fill=—","Direction=H","UseDPDF=Y")</f>
        <v>359.4</v>
      </c>
      <c r="H33" s="16" cm="1">
        <f t="array" ref="H33">_xll.BDH("PCAR US Equity","IS_INC_BEF_XO_ITEM","FQ2 2020","FQ2 2020","Currency=USD","Period=FQ","BEST_FPERIOD_OVERRIDE=FQ","FILING_STATUS=MR","SCALING_FORMAT=MLN","Sort=A","Dates=H","DateFormat=P","Fill=—","Direction=H","UseDPDF=Y")</f>
        <v>147.69999999999999</v>
      </c>
      <c r="I33" s="16" cm="1">
        <f t="array" ref="I33">_xll.BDH("PCAR US Equity","IS_INC_BEF_XO_ITEM","FQ3 2020","FQ3 2020","Currency=USD","Period=FQ","BEST_FPERIOD_OVERRIDE=FQ","FILING_STATUS=MR","SCALING_FORMAT=MLN","Sort=A","Dates=H","DateFormat=P","Fill=—","Direction=H","UseDPDF=Y")</f>
        <v>385.5</v>
      </c>
      <c r="J33" s="16" cm="1">
        <f t="array" ref="J33">_xll.BDH("PCAR US Equity","IS_INC_BEF_XO_ITEM","FQ4 2020","FQ4 2020","Currency=USD","Period=FQ","BEST_FPERIOD_OVERRIDE=FQ","FILING_STATUS=MR","SCALING_FORMAT=MLN","Sort=A","Dates=H","DateFormat=P","Fill=—","Direction=H","UseDPDF=Y")</f>
        <v>405.8</v>
      </c>
      <c r="K33" s="16" cm="1">
        <f t="array" ref="K33">_xll.BDH("PCAR US Equity","IS_INC_BEF_XO_ITEM","FQ1 2021","FQ1 2021","Currency=USD","Period=FQ","BEST_FPERIOD_OVERRIDE=FQ","FILING_STATUS=MR","SCALING_FORMAT=MLN","Sort=A","Dates=H","DateFormat=P","Fill=—","Direction=H","UseDPDF=Y")</f>
        <v>470.8</v>
      </c>
      <c r="L33" s="16" cm="1">
        <f t="array" ref="L33">_xll.BDH("PCAR US Equity","IS_INC_BEF_XO_ITEM","FQ2 2021","FQ2 2021","Currency=USD","Period=FQ","BEST_FPERIOD_OVERRIDE=FQ","FILING_STATUS=MR","SCALING_FORMAT=MLN","Sort=A","Dates=H","DateFormat=P","Fill=—","Direction=H","UseDPDF=Y")</f>
        <v>495.5</v>
      </c>
      <c r="M33" s="16" cm="1">
        <f t="array" ref="M33">_xll.BDH("PCAR US Equity","IS_INC_BEF_XO_ITEM","FQ3 2021","FQ3 2021","Currency=USD","Period=FQ","BEST_FPERIOD_OVERRIDE=FQ","FILING_STATUS=MR","SCALING_FORMAT=MLN","Sort=A","Dates=H","DateFormat=P","Fill=—","Direction=H","UseDPDF=Y")</f>
        <v>380.5</v>
      </c>
      <c r="N33" s="16" cm="1">
        <f t="array" ref="N33">_xll.BDH("PCAR US Equity","IS_INC_BEF_XO_ITEM","FQ4 2021","FQ4 2021","Currency=USD","Period=FQ","BEST_FPERIOD_OVERRIDE=FQ","FILING_STATUS=MR","SCALING_FORMAT=MLN","Sort=A","Dates=H","DateFormat=P","Fill=—","Direction=H","UseDPDF=Y")</f>
        <v>518.70000000000005</v>
      </c>
      <c r="O33" s="16" cm="1">
        <f t="array" ref="O33">_xll.BDH("PCAR US Equity","IS_INC_BEF_XO_ITEM","FQ1 2022","FQ1 2022","Currency=USD","Period=FQ","BEST_FPERIOD_OVERRIDE=FQ","FILING_STATUS=MR","SCALING_FORMAT=MLN","Sort=A","Dates=H","DateFormat=P","Fill=—","Direction=H","UseDPDF=Y")</f>
        <v>600.5</v>
      </c>
      <c r="P33" s="16" cm="1">
        <f t="array" ref="P33">_xll.BDH("PCAR US Equity","IS_INC_BEF_XO_ITEM","FQ2 2022","FQ2 2022","Currency=USD","Period=FQ","BEST_FPERIOD_OVERRIDE=FQ","FILING_STATUS=MR","SCALING_FORMAT=MLN","Sort=A","Dates=H","DateFormat=P","Fill=—","Direction=H","UseDPDF=Y")</f>
        <v>720.4</v>
      </c>
      <c r="Q33" s="16" cm="1">
        <f t="array" ref="Q33">_xll.BDH("PCAR US Equity","IS_INC_BEF_XO_ITEM","FQ3 2022","FQ3 2022","Currency=USD","Period=FQ","BEST_FPERIOD_OVERRIDE=FQ","FILING_STATUS=MR","SCALING_FORMAT=MLN","Sort=A","Dates=H","DateFormat=P","Fill=—","Direction=H","UseDPDF=Y")</f>
        <v>769.4</v>
      </c>
      <c r="R33" s="16" cm="1">
        <f t="array" ref="R33">_xll.BDH("PCAR US Equity","IS_INC_BEF_XO_ITEM","FQ4 2022","FQ4 2022","Currency=USD","Period=FQ","BEST_FPERIOD_OVERRIDE=FQ","FILING_STATUS=MR","SCALING_FORMAT=MLN","Sort=A","Dates=H","DateFormat=P","Fill=—","Direction=H","UseDPDF=Y")</f>
        <v>921.3</v>
      </c>
      <c r="S33" s="16" cm="1">
        <f t="array" ref="S33">_xll.BDH("PCAR US Equity","IS_INC_BEF_XO_ITEM","FQ1 2023","FQ1 2023","Currency=USD","Period=FQ","BEST_FPERIOD_OVERRIDE=FQ","FILING_STATUS=MR","SCALING_FORMAT=MLN","Sort=A","Dates=H","DateFormat=P","Fill=—","Direction=H","UseDPDF=Y")</f>
        <v>733.9</v>
      </c>
      <c r="T33" s="16" cm="1">
        <f t="array" ref="T33">_xll.BDH("PCAR US Equity","IS_INC_BEF_XO_ITEM","FQ2 2023","FQ2 2023","Currency=USD","Period=FQ","BEST_FPERIOD_OVERRIDE=FQ","FILING_STATUS=MR","SCALING_FORMAT=MLN","Sort=A","Dates=H","DateFormat=P","Fill=—","Direction=H","UseDPDF=Y")</f>
        <v>1221.0999999999999</v>
      </c>
      <c r="U33" s="16" cm="1">
        <f t="array" ref="U33">_xll.BDH("PCAR US Equity","IS_INC_BEF_XO_ITEM","FQ3 2023","FQ3 2023","Currency=USD","Period=FQ","BEST_FPERIOD_OVERRIDE=FQ","FILING_STATUS=MR","SCALING_FORMAT=MLN","Sort=A","Dates=H","DateFormat=P","Fill=—","Direction=H","UseDPDF=Y")</f>
        <v>1228.5</v>
      </c>
      <c r="V33" s="16" cm="1">
        <f t="array" ref="V33">_xll.BDH("PCAR US Equity","IS_INC_BEF_XO_ITEM","FQ4 2023","FQ4 2023","Currency=USD","Period=FQ","BEST_FPERIOD_OVERRIDE=FQ","FILING_STATUS=MR","SCALING_FORMAT=MLN","Sort=A","Dates=H","DateFormat=P","Fill=—","Direction=H","UseDPDF=Y")</f>
        <v>1417.3</v>
      </c>
      <c r="W33" s="16" cm="1">
        <f t="array" ref="W33">_xll.BDH("PCAR US Equity","IS_INC_BEF_XO_ITEM","FQ1 2024","FQ1 2024","Currency=USD","Period=FQ","BEST_FPERIOD_OVERRIDE=FQ","FILING_STATUS=MR","SCALING_FORMAT=MLN","Sort=A","Dates=H","DateFormat=P","Fill=—","Direction=H","UseDPDF=Y")</f>
        <v>1195.3</v>
      </c>
      <c r="X33" s="16" cm="1">
        <f t="array" ref="X33">_xll.BDH("PCAR US Equity","IS_INC_BEF_XO_ITEM","FQ2 2024","FQ2 2024","Currency=USD","Period=FQ","BEST_FPERIOD_OVERRIDE=FQ","FILING_STATUS=MR","SCALING_FORMAT=MLN","Sort=A","Dates=H","DateFormat=P","Fill=—","Direction=H","UseDPDF=Y")</f>
        <v>1122.5999999999999</v>
      </c>
      <c r="Y33" s="16" cm="1">
        <f t="array" ref="Y33">_xll.BDH("PCAR US Equity","IS_INC_BEF_XO_ITEM","FQ3 2024","FQ3 2024","Currency=USD","Period=FQ","BEST_FPERIOD_OVERRIDE=FQ","FILING_STATUS=MR","SCALING_FORMAT=MLN","Sort=A","Dates=H","DateFormat=P","Fill=—","Direction=H","UseDPDF=Y")</f>
        <v>972.1</v>
      </c>
      <c r="Z33" s="16" cm="1">
        <f t="array" ref="Z33">_xll.BDH("PCAR US Equity","IS_INC_BEF_XO_ITEM","FQ4 2024","FQ4 2024","Currency=USD","Period=FQ","BEST_FPERIOD_OVERRIDE=FQ","FILING_STATUS=MR","SCALING_FORMAT=MLN","Sort=A","Dates=H","DateFormat=P","Fill=—","Direction=H","UseDPDF=Y")</f>
        <v>872</v>
      </c>
      <c r="AA33" s="16" cm="1">
        <f t="array" ref="AA33">_xll.BDH("PCAR US Equity","IS_INC_BEF_XO_ITEM","FQ1 2025","FQ1 2025","Currency=USD","Period=FQ","BEST_FPERIOD_OVERRIDE=FQ","FILING_STATUS=MR","SCALING_FORMAT=MLN","Sort=A","Dates=H","DateFormat=P","Fill=—","Direction=H","UseDPDF=Y")</f>
        <v>505.1</v>
      </c>
      <c r="AB33" s="16" cm="1">
        <f t="array" ref="AB33">_xll.BDH("PCAR US Equity","IS_INC_BEF_XO_ITEM","FQ2 2025","FQ2 2025","Currency=USD","Period=FQ","BEST_FPERIOD_OVERRIDE=FQ","FILING_STATUS=MR","SCALING_FORMAT=MLN","Sort=A","Dates=H","DateFormat=P","Fill=—","Direction=H","UseDPDF=Y")</f>
        <v>723.8</v>
      </c>
      <c r="AC33" s="16" cm="1">
        <f t="array" ref="AC33">_xll.BDH("PCAR US Equity","IS_INC_BEF_XO_ITEM","FQ3 2025","FQ3 2025","Currency=USD","Period=FQ","BEST_FPERIOD_OVERRIDE=FQ","FILING_STATUS=MR","SCALING_FORMAT=MLN","Sort=A","Dates=H","DateFormat=P","Fill=—","Direction=H","UseDPDF=Y")</f>
        <v>590</v>
      </c>
      <c r="AD33" s="16" cm="1">
        <f t="array" ref="AD33">_xll.BDH("PCAR US Equity","IS_INC_BEF_XO_ITEM","FQ4 2025","FQ4 2025","Currency=USD","Period=FQ","BEST_FPERIOD_OVERRIDE=FQ","FILING_STATUS=MR","SCALING_FORMAT=MLN","Sort=A","Dates=H","DateFormat=P","Fill=—","Direction=H","UseDPDF=Y")</f>
        <v>556.9</v>
      </c>
      <c r="AE33" s="16">
        <v>605.6</v>
      </c>
      <c r="AF33" s="16">
        <v>691.7</v>
      </c>
    </row>
    <row r="34" spans="1:32" x14ac:dyDescent="0.25">
      <c r="A34" s="10" t="s">
        <v>120</v>
      </c>
      <c r="B34" s="10" t="s">
        <v>121</v>
      </c>
      <c r="C34" s="13" cm="1">
        <f t="array" ref="C34">_xll.BDH("PCAR US Equity","XO_GL_NET_OF_TAX","FQ1 2019","FQ1 2019","Currency=USD","Period=FQ","BEST_FPERIOD_OVERRIDE=FQ","FILING_STATUS=MR","SCALING_FORMAT=MLN","Sort=A","Dates=H","DateFormat=P","Fill=—","Direction=H","UseDPDF=Y")</f>
        <v>0</v>
      </c>
      <c r="D34" s="13" cm="1">
        <f t="array" ref="D34">_xll.BDH("PCAR US Equity","XO_GL_NET_OF_TAX","FQ2 2019","FQ2 2019","Currency=USD","Period=FQ","BEST_FPERIOD_OVERRIDE=FQ","FILING_STATUS=MR","SCALING_FORMAT=MLN","Sort=A","Dates=H","DateFormat=P","Fill=—","Direction=H","UseDPDF=Y")</f>
        <v>0</v>
      </c>
      <c r="E34" s="13" cm="1">
        <f t="array" ref="E34">_xll.BDH("PCAR US Equity","XO_GL_NET_OF_TAX","FQ3 2019","FQ3 2019","Currency=USD","Period=FQ","BEST_FPERIOD_OVERRIDE=FQ","FILING_STATUS=MR","SCALING_FORMAT=MLN","Sort=A","Dates=H","DateFormat=P","Fill=—","Direction=H","UseDPDF=Y")</f>
        <v>0</v>
      </c>
      <c r="F34" s="13" cm="1">
        <f t="array" ref="F34">_xll.BDH("PCAR US Equity","XO_GL_NET_OF_TAX","FQ4 2019","FQ4 2019","Currency=USD","Period=FQ","BEST_FPERIOD_OVERRIDE=FQ","FILING_STATUS=MR","SCALING_FORMAT=MLN","Sort=A","Dates=H","DateFormat=P","Fill=—","Direction=H","UseDPDF=Y")</f>
        <v>0</v>
      </c>
      <c r="G34" s="13" cm="1">
        <f t="array" ref="G34">_xll.BDH("PCAR US Equity","XO_GL_NET_OF_TAX","FQ1 2020","FQ1 2020","Currency=USD","Period=FQ","BEST_FPERIOD_OVERRIDE=FQ","FILING_STATUS=MR","SCALING_FORMAT=MLN","Sort=A","Dates=H","DateFormat=P","Fill=—","Direction=H","UseDPDF=Y")</f>
        <v>0</v>
      </c>
      <c r="H34" s="13" cm="1">
        <f t="array" ref="H34">_xll.BDH("PCAR US Equity","XO_GL_NET_OF_TAX","FQ2 2020","FQ2 2020","Currency=USD","Period=FQ","BEST_FPERIOD_OVERRIDE=FQ","FILING_STATUS=MR","SCALING_FORMAT=MLN","Sort=A","Dates=H","DateFormat=P","Fill=—","Direction=H","UseDPDF=Y")</f>
        <v>0</v>
      </c>
      <c r="I34" s="13" cm="1">
        <f t="array" ref="I34">_xll.BDH("PCAR US Equity","XO_GL_NET_OF_TAX","FQ3 2020","FQ3 2020","Currency=USD","Period=FQ","BEST_FPERIOD_OVERRIDE=FQ","FILING_STATUS=MR","SCALING_FORMAT=MLN","Sort=A","Dates=H","DateFormat=P","Fill=—","Direction=H","UseDPDF=Y")</f>
        <v>0</v>
      </c>
      <c r="J34" s="13" cm="1">
        <f t="array" ref="J34">_xll.BDH("PCAR US Equity","XO_GL_NET_OF_TAX","FQ4 2020","FQ4 2020","Currency=USD","Period=FQ","BEST_FPERIOD_OVERRIDE=FQ","FILING_STATUS=MR","SCALING_FORMAT=MLN","Sort=A","Dates=H","DateFormat=P","Fill=—","Direction=H","UseDPDF=Y")</f>
        <v>0</v>
      </c>
      <c r="K34" s="13" cm="1">
        <f t="array" ref="K34">_xll.BDH("PCAR US Equity","XO_GL_NET_OF_TAX","FQ1 2021","FQ1 2021","Currency=USD","Period=FQ","BEST_FPERIOD_OVERRIDE=FQ","FILING_STATUS=MR","SCALING_FORMAT=MLN","Sort=A","Dates=H","DateFormat=P","Fill=—","Direction=H","UseDPDF=Y")</f>
        <v>0</v>
      </c>
      <c r="L34" s="13" cm="1">
        <f t="array" ref="L34">_xll.BDH("PCAR US Equity","XO_GL_NET_OF_TAX","FQ2 2021","FQ2 2021","Currency=USD","Period=FQ","BEST_FPERIOD_OVERRIDE=FQ","FILING_STATUS=MR","SCALING_FORMAT=MLN","Sort=A","Dates=H","DateFormat=P","Fill=—","Direction=H","UseDPDF=Y")</f>
        <v>0</v>
      </c>
      <c r="M34" s="13" cm="1">
        <f t="array" ref="M34">_xll.BDH("PCAR US Equity","XO_GL_NET_OF_TAX","FQ3 2021","FQ3 2021","Currency=USD","Period=FQ","BEST_FPERIOD_OVERRIDE=FQ","FILING_STATUS=MR","SCALING_FORMAT=MLN","Sort=A","Dates=H","DateFormat=P","Fill=—","Direction=H","UseDPDF=Y")</f>
        <v>0</v>
      </c>
      <c r="N34" s="13" cm="1">
        <f t="array" ref="N34">_xll.BDH("PCAR US Equity","XO_GL_NET_OF_TAX","FQ4 2021","FQ4 2021","Currency=USD","Period=FQ","BEST_FPERIOD_OVERRIDE=FQ","FILING_STATUS=MR","SCALING_FORMAT=MLN","Sort=A","Dates=H","DateFormat=P","Fill=—","Direction=H","UseDPDF=Y")</f>
        <v>0</v>
      </c>
      <c r="O34" s="13" cm="1">
        <f t="array" ref="O34">_xll.BDH("PCAR US Equity","XO_GL_NET_OF_TAX","FQ1 2022","FQ1 2022","Currency=USD","Period=FQ","BEST_FPERIOD_OVERRIDE=FQ","FILING_STATUS=MR","SCALING_FORMAT=MLN","Sort=A","Dates=H","DateFormat=P","Fill=—","Direction=H","UseDPDF=Y")</f>
        <v>0</v>
      </c>
      <c r="P34" s="13" cm="1">
        <f t="array" ref="P34">_xll.BDH("PCAR US Equity","XO_GL_NET_OF_TAX","FQ2 2022","FQ2 2022","Currency=USD","Period=FQ","BEST_FPERIOD_OVERRIDE=FQ","FILING_STATUS=MR","SCALING_FORMAT=MLN","Sort=A","Dates=H","DateFormat=P","Fill=—","Direction=H","UseDPDF=Y")</f>
        <v>0</v>
      </c>
      <c r="Q34" s="13" cm="1">
        <f t="array" ref="Q34">_xll.BDH("PCAR US Equity","XO_GL_NET_OF_TAX","FQ3 2022","FQ3 2022","Currency=USD","Period=FQ","BEST_FPERIOD_OVERRIDE=FQ","FILING_STATUS=MR","SCALING_FORMAT=MLN","Sort=A","Dates=H","DateFormat=P","Fill=—","Direction=H","UseDPDF=Y")</f>
        <v>0</v>
      </c>
      <c r="R34" s="13" cm="1">
        <f t="array" ref="R34">_xll.BDH("PCAR US Equity","XO_GL_NET_OF_TAX","FQ4 2022","FQ4 2022","Currency=USD","Period=FQ","BEST_FPERIOD_OVERRIDE=FQ","FILING_STATUS=MR","SCALING_FORMAT=MLN","Sort=A","Dates=H","DateFormat=P","Fill=—","Direction=H","UseDPDF=Y")</f>
        <v>0</v>
      </c>
      <c r="S34" s="13" cm="1">
        <f t="array" ref="S34">_xll.BDH("PCAR US Equity","XO_GL_NET_OF_TAX","FQ1 2023","FQ1 2023","Currency=USD","Period=FQ","BEST_FPERIOD_OVERRIDE=FQ","FILING_STATUS=MR","SCALING_FORMAT=MLN","Sort=A","Dates=H","DateFormat=P","Fill=—","Direction=H","UseDPDF=Y")</f>
        <v>0</v>
      </c>
      <c r="T34" s="13" cm="1">
        <f t="array" ref="T34">_xll.BDH("PCAR US Equity","XO_GL_NET_OF_TAX","FQ2 2023","FQ2 2023","Currency=USD","Period=FQ","BEST_FPERIOD_OVERRIDE=FQ","FILING_STATUS=MR","SCALING_FORMAT=MLN","Sort=A","Dates=H","DateFormat=P","Fill=—","Direction=H","UseDPDF=Y")</f>
        <v>0</v>
      </c>
      <c r="U34" s="13" cm="1">
        <f t="array" ref="U34">_xll.BDH("PCAR US Equity","XO_GL_NET_OF_TAX","FQ3 2023","FQ3 2023","Currency=USD","Period=FQ","BEST_FPERIOD_OVERRIDE=FQ","FILING_STATUS=MR","SCALING_FORMAT=MLN","Sort=A","Dates=H","DateFormat=P","Fill=—","Direction=H","UseDPDF=Y")</f>
        <v>0</v>
      </c>
      <c r="V34" s="13" cm="1">
        <f t="array" ref="V34">_xll.BDH("PCAR US Equity","XO_GL_NET_OF_TAX","FQ4 2023","FQ4 2023","Currency=USD","Period=FQ","BEST_FPERIOD_OVERRIDE=FQ","FILING_STATUS=MR","SCALING_FORMAT=MLN","Sort=A","Dates=H","DateFormat=P","Fill=—","Direction=H","UseDPDF=Y")</f>
        <v>0</v>
      </c>
      <c r="W34" s="13" cm="1">
        <f t="array" ref="W34">_xll.BDH("PCAR US Equity","XO_GL_NET_OF_TAX","FQ1 2024","FQ1 2024","Currency=USD","Period=FQ","BEST_FPERIOD_OVERRIDE=FQ","FILING_STATUS=MR","SCALING_FORMAT=MLN","Sort=A","Dates=H","DateFormat=P","Fill=—","Direction=H","UseDPDF=Y")</f>
        <v>0</v>
      </c>
      <c r="X34" s="13" cm="1">
        <f t="array" ref="X34">_xll.BDH("PCAR US Equity","XO_GL_NET_OF_TAX","FQ2 2024","FQ2 2024","Currency=USD","Period=FQ","BEST_FPERIOD_OVERRIDE=FQ","FILING_STATUS=MR","SCALING_FORMAT=MLN","Sort=A","Dates=H","DateFormat=P","Fill=—","Direction=H","UseDPDF=Y")</f>
        <v>0</v>
      </c>
      <c r="Y34" s="13" cm="1">
        <f t="array" ref="Y34">_xll.BDH("PCAR US Equity","XO_GL_NET_OF_TAX","FQ3 2024","FQ3 2024","Currency=USD","Period=FQ","BEST_FPERIOD_OVERRIDE=FQ","FILING_STATUS=MR","SCALING_FORMAT=MLN","Sort=A","Dates=H","DateFormat=P","Fill=—","Direction=H","UseDPDF=Y")</f>
        <v>0</v>
      </c>
      <c r="Z34" s="13" cm="1">
        <f t="array" ref="Z34">_xll.BDH("PCAR US Equity","XO_GL_NET_OF_TAX","FQ4 2024","FQ4 2024","Currency=USD","Period=FQ","BEST_FPERIOD_OVERRIDE=FQ","FILING_STATUS=MR","SCALING_FORMAT=MLN","Sort=A","Dates=H","DateFormat=P","Fill=—","Direction=H","UseDPDF=Y")</f>
        <v>0</v>
      </c>
      <c r="AA34" s="13" cm="1">
        <f t="array" ref="AA34">_xll.BDH("PCAR US Equity","XO_GL_NET_OF_TAX","FQ1 2025","FQ1 2025","Currency=USD","Period=FQ","BEST_FPERIOD_OVERRIDE=FQ","FILING_STATUS=MR","SCALING_FORMAT=MLN","Sort=A","Dates=H","DateFormat=P","Fill=—","Direction=H","UseDPDF=Y")</f>
        <v>0</v>
      </c>
      <c r="AB34" s="13" cm="1">
        <f t="array" ref="AB34">_xll.BDH("PCAR US Equity","XO_GL_NET_OF_TAX","FQ2 2025","FQ2 2025","Currency=USD","Period=FQ","BEST_FPERIOD_OVERRIDE=FQ","FILING_STATUS=MR","SCALING_FORMAT=MLN","Sort=A","Dates=H","DateFormat=P","Fill=—","Direction=H","UseDPDF=Y")</f>
        <v>0</v>
      </c>
      <c r="AC34" s="13" cm="1">
        <f t="array" ref="AC34">_xll.BDH("PCAR US Equity","XO_GL_NET_OF_TAX","FQ3 2025","FQ3 2025","Currency=USD","Period=FQ","BEST_FPERIOD_OVERRIDE=FQ","FILING_STATUS=MR","SCALING_FORMAT=MLN","Sort=A","Dates=H","DateFormat=P","Fill=—","Direction=H","UseDPDF=Y")</f>
        <v>0</v>
      </c>
      <c r="AD34" s="13" cm="1">
        <f t="array" ref="AD34">_xll.BDH("PCAR US Equity","XO_GL_NET_OF_TAX","FQ4 2025","FQ4 2025","Currency=USD","Period=FQ","BEST_FPERIOD_OVERRIDE=FQ","FILING_STATUS=MR","SCALING_FORMAT=MLN","Sort=A","Dates=H","DateFormat=P","Fill=—","Direction=H","UseDPDF=Y")</f>
        <v>0</v>
      </c>
      <c r="AE34" s="13"/>
      <c r="AF34" s="13"/>
    </row>
    <row r="35" spans="1:32" x14ac:dyDescent="0.25">
      <c r="A35" s="10" t="s">
        <v>122</v>
      </c>
      <c r="B35" s="10" t="s">
        <v>123</v>
      </c>
      <c r="C35" s="13" cm="1">
        <f t="array" ref="C35">_xll.BDH("PCAR US Equity","IS_DISCONTINUED_OPERATIONS","FQ1 2019","FQ1 2019","Currency=USD","Period=FQ","BEST_FPERIOD_OVERRIDE=FQ","FILING_STATUS=MR","SCALING_FORMAT=MLN","Sort=A","Dates=H","DateFormat=P","Fill=—","Direction=H","UseDPDF=Y")</f>
        <v>0</v>
      </c>
      <c r="D35" s="13" cm="1">
        <f t="array" ref="D35">_xll.BDH("PCAR US Equity","IS_DISCONTINUED_OPERATIONS","FQ2 2019","FQ2 2019","Currency=USD","Period=FQ","BEST_FPERIOD_OVERRIDE=FQ","FILING_STATUS=MR","SCALING_FORMAT=MLN","Sort=A","Dates=H","DateFormat=P","Fill=—","Direction=H","UseDPDF=Y")</f>
        <v>0</v>
      </c>
      <c r="E35" s="13" cm="1">
        <f t="array" ref="E35">_xll.BDH("PCAR US Equity","IS_DISCONTINUED_OPERATIONS","FQ3 2019","FQ3 2019","Currency=USD","Period=FQ","BEST_FPERIOD_OVERRIDE=FQ","FILING_STATUS=MR","SCALING_FORMAT=MLN","Sort=A","Dates=H","DateFormat=P","Fill=—","Direction=H","UseDPDF=Y")</f>
        <v>0</v>
      </c>
      <c r="F35" s="13" cm="1">
        <f t="array" ref="F35">_xll.BDH("PCAR US Equity","IS_DISCONTINUED_OPERATIONS","FQ4 2019","FQ4 2019","Currency=USD","Period=FQ","BEST_FPERIOD_OVERRIDE=FQ","FILING_STATUS=MR","SCALING_FORMAT=MLN","Sort=A","Dates=H","DateFormat=P","Fill=—","Direction=H","UseDPDF=Y")</f>
        <v>0</v>
      </c>
      <c r="G35" s="13" cm="1">
        <f t="array" ref="G35">_xll.BDH("PCAR US Equity","IS_DISCONTINUED_OPERATIONS","FQ1 2020","FQ1 2020","Currency=USD","Period=FQ","BEST_FPERIOD_OVERRIDE=FQ","FILING_STATUS=MR","SCALING_FORMAT=MLN","Sort=A","Dates=H","DateFormat=P","Fill=—","Direction=H","UseDPDF=Y")</f>
        <v>0</v>
      </c>
      <c r="H35" s="13" cm="1">
        <f t="array" ref="H35">_xll.BDH("PCAR US Equity","IS_DISCONTINUED_OPERATIONS","FQ2 2020","FQ2 2020","Currency=USD","Period=FQ","BEST_FPERIOD_OVERRIDE=FQ","FILING_STATUS=MR","SCALING_FORMAT=MLN","Sort=A","Dates=H","DateFormat=P","Fill=—","Direction=H","UseDPDF=Y")</f>
        <v>0</v>
      </c>
      <c r="I35" s="13" cm="1">
        <f t="array" ref="I35">_xll.BDH("PCAR US Equity","IS_DISCONTINUED_OPERATIONS","FQ3 2020","FQ3 2020","Currency=USD","Period=FQ","BEST_FPERIOD_OVERRIDE=FQ","FILING_STATUS=MR","SCALING_FORMAT=MLN","Sort=A","Dates=H","DateFormat=P","Fill=—","Direction=H","UseDPDF=Y")</f>
        <v>0</v>
      </c>
      <c r="J35" s="13" cm="1">
        <f t="array" ref="J35">_xll.BDH("PCAR US Equity","IS_DISCONTINUED_OPERATIONS","FQ4 2020","FQ4 2020","Currency=USD","Period=FQ","BEST_FPERIOD_OVERRIDE=FQ","FILING_STATUS=MR","SCALING_FORMAT=MLN","Sort=A","Dates=H","DateFormat=P","Fill=—","Direction=H","UseDPDF=Y")</f>
        <v>0</v>
      </c>
      <c r="K35" s="13" cm="1">
        <f t="array" ref="K35">_xll.BDH("PCAR US Equity","IS_DISCONTINUED_OPERATIONS","FQ1 2021","FQ1 2021","Currency=USD","Period=FQ","BEST_FPERIOD_OVERRIDE=FQ","FILING_STATUS=MR","SCALING_FORMAT=MLN","Sort=A","Dates=H","DateFormat=P","Fill=—","Direction=H","UseDPDF=Y")</f>
        <v>0</v>
      </c>
      <c r="L35" s="13" cm="1">
        <f t="array" ref="L35">_xll.BDH("PCAR US Equity","IS_DISCONTINUED_OPERATIONS","FQ2 2021","FQ2 2021","Currency=USD","Period=FQ","BEST_FPERIOD_OVERRIDE=FQ","FILING_STATUS=MR","SCALING_FORMAT=MLN","Sort=A","Dates=H","DateFormat=P","Fill=—","Direction=H","UseDPDF=Y")</f>
        <v>0</v>
      </c>
      <c r="M35" s="13" cm="1">
        <f t="array" ref="M35">_xll.BDH("PCAR US Equity","IS_DISCONTINUED_OPERATIONS","FQ3 2021","FQ3 2021","Currency=USD","Period=FQ","BEST_FPERIOD_OVERRIDE=FQ","FILING_STATUS=MR","SCALING_FORMAT=MLN","Sort=A","Dates=H","DateFormat=P","Fill=—","Direction=H","UseDPDF=Y")</f>
        <v>0</v>
      </c>
      <c r="N35" s="13" cm="1">
        <f t="array" ref="N35">_xll.BDH("PCAR US Equity","IS_DISCONTINUED_OPERATIONS","FQ4 2021","FQ4 2021","Currency=USD","Period=FQ","BEST_FPERIOD_OVERRIDE=FQ","FILING_STATUS=MR","SCALING_FORMAT=MLN","Sort=A","Dates=H","DateFormat=P","Fill=—","Direction=H","UseDPDF=Y")</f>
        <v>0</v>
      </c>
      <c r="O35" s="13" cm="1">
        <f t="array" ref="O35">_xll.BDH("PCAR US Equity","IS_DISCONTINUED_OPERATIONS","FQ1 2022","FQ1 2022","Currency=USD","Period=FQ","BEST_FPERIOD_OVERRIDE=FQ","FILING_STATUS=MR","SCALING_FORMAT=MLN","Sort=A","Dates=H","DateFormat=P","Fill=—","Direction=H","UseDPDF=Y")</f>
        <v>0</v>
      </c>
      <c r="P35" s="13" cm="1">
        <f t="array" ref="P35">_xll.BDH("PCAR US Equity","IS_DISCONTINUED_OPERATIONS","FQ2 2022","FQ2 2022","Currency=USD","Period=FQ","BEST_FPERIOD_OVERRIDE=FQ","FILING_STATUS=MR","SCALING_FORMAT=MLN","Sort=A","Dates=H","DateFormat=P","Fill=—","Direction=H","UseDPDF=Y")</f>
        <v>0</v>
      </c>
      <c r="Q35" s="13" cm="1">
        <f t="array" ref="Q35">_xll.BDH("PCAR US Equity","IS_DISCONTINUED_OPERATIONS","FQ3 2022","FQ3 2022","Currency=USD","Period=FQ","BEST_FPERIOD_OVERRIDE=FQ","FILING_STATUS=MR","SCALING_FORMAT=MLN","Sort=A","Dates=H","DateFormat=P","Fill=—","Direction=H","UseDPDF=Y")</f>
        <v>0</v>
      </c>
      <c r="R35" s="13" cm="1">
        <f t="array" ref="R35">_xll.BDH("PCAR US Equity","IS_DISCONTINUED_OPERATIONS","FQ4 2022","FQ4 2022","Currency=USD","Period=FQ","BEST_FPERIOD_OVERRIDE=FQ","FILING_STATUS=MR","SCALING_FORMAT=MLN","Sort=A","Dates=H","DateFormat=P","Fill=—","Direction=H","UseDPDF=Y")</f>
        <v>0</v>
      </c>
      <c r="S35" s="13" cm="1">
        <f t="array" ref="S35">_xll.BDH("PCAR US Equity","IS_DISCONTINUED_OPERATIONS","FQ1 2023","FQ1 2023","Currency=USD","Period=FQ","BEST_FPERIOD_OVERRIDE=FQ","FILING_STATUS=MR","SCALING_FORMAT=MLN","Sort=A","Dates=H","DateFormat=P","Fill=—","Direction=H","UseDPDF=Y")</f>
        <v>0</v>
      </c>
      <c r="T35" s="13" cm="1">
        <f t="array" ref="T35">_xll.BDH("PCAR US Equity","IS_DISCONTINUED_OPERATIONS","FQ2 2023","FQ2 2023","Currency=USD","Period=FQ","BEST_FPERIOD_OVERRIDE=FQ","FILING_STATUS=MR","SCALING_FORMAT=MLN","Sort=A","Dates=H","DateFormat=P","Fill=—","Direction=H","UseDPDF=Y")</f>
        <v>0</v>
      </c>
      <c r="U35" s="13" cm="1">
        <f t="array" ref="U35">_xll.BDH("PCAR US Equity","IS_DISCONTINUED_OPERATIONS","FQ3 2023","FQ3 2023","Currency=USD","Period=FQ","BEST_FPERIOD_OVERRIDE=FQ","FILING_STATUS=MR","SCALING_FORMAT=MLN","Sort=A","Dates=H","DateFormat=P","Fill=—","Direction=H","UseDPDF=Y")</f>
        <v>0</v>
      </c>
      <c r="V35" s="13" cm="1">
        <f t="array" ref="V35">_xll.BDH("PCAR US Equity","IS_DISCONTINUED_OPERATIONS","FQ4 2023","FQ4 2023","Currency=USD","Period=FQ","BEST_FPERIOD_OVERRIDE=FQ","FILING_STATUS=MR","SCALING_FORMAT=MLN","Sort=A","Dates=H","DateFormat=P","Fill=—","Direction=H","UseDPDF=Y")</f>
        <v>0</v>
      </c>
      <c r="W35" s="13" cm="1">
        <f t="array" ref="W35">_xll.BDH("PCAR US Equity","IS_DISCONTINUED_OPERATIONS","FQ1 2024","FQ1 2024","Currency=USD","Period=FQ","BEST_FPERIOD_OVERRIDE=FQ","FILING_STATUS=MR","SCALING_FORMAT=MLN","Sort=A","Dates=H","DateFormat=P","Fill=—","Direction=H","UseDPDF=Y")</f>
        <v>0</v>
      </c>
      <c r="X35" s="13" cm="1">
        <f t="array" ref="X35">_xll.BDH("PCAR US Equity","IS_DISCONTINUED_OPERATIONS","FQ2 2024","FQ2 2024","Currency=USD","Period=FQ","BEST_FPERIOD_OVERRIDE=FQ","FILING_STATUS=MR","SCALING_FORMAT=MLN","Sort=A","Dates=H","DateFormat=P","Fill=—","Direction=H","UseDPDF=Y")</f>
        <v>0</v>
      </c>
      <c r="Y35" s="13" cm="1">
        <f t="array" ref="Y35">_xll.BDH("PCAR US Equity","IS_DISCONTINUED_OPERATIONS","FQ3 2024","FQ3 2024","Currency=USD","Period=FQ","BEST_FPERIOD_OVERRIDE=FQ","FILING_STATUS=MR","SCALING_FORMAT=MLN","Sort=A","Dates=H","DateFormat=P","Fill=—","Direction=H","UseDPDF=Y")</f>
        <v>0</v>
      </c>
      <c r="Z35" s="13" cm="1">
        <f t="array" ref="Z35">_xll.BDH("PCAR US Equity","IS_DISCONTINUED_OPERATIONS","FQ4 2024","FQ4 2024","Currency=USD","Period=FQ","BEST_FPERIOD_OVERRIDE=FQ","FILING_STATUS=MR","SCALING_FORMAT=MLN","Sort=A","Dates=H","DateFormat=P","Fill=—","Direction=H","UseDPDF=Y")</f>
        <v>0</v>
      </c>
      <c r="AA35" s="13" cm="1">
        <f t="array" ref="AA35">_xll.BDH("PCAR US Equity","IS_DISCONTINUED_OPERATIONS","FQ1 2025","FQ1 2025","Currency=USD","Period=FQ","BEST_FPERIOD_OVERRIDE=FQ","FILING_STATUS=MR","SCALING_FORMAT=MLN","Sort=A","Dates=H","DateFormat=P","Fill=—","Direction=H","UseDPDF=Y")</f>
        <v>0</v>
      </c>
      <c r="AB35" s="13" cm="1">
        <f t="array" ref="AB35">_xll.BDH("PCAR US Equity","IS_DISCONTINUED_OPERATIONS","FQ2 2025","FQ2 2025","Currency=USD","Period=FQ","BEST_FPERIOD_OVERRIDE=FQ","FILING_STATUS=MR","SCALING_FORMAT=MLN","Sort=A","Dates=H","DateFormat=P","Fill=—","Direction=H","UseDPDF=Y")</f>
        <v>0</v>
      </c>
      <c r="AC35" s="13" cm="1">
        <f t="array" ref="AC35">_xll.BDH("PCAR US Equity","IS_DISCONTINUED_OPERATIONS","FQ3 2025","FQ3 2025","Currency=USD","Period=FQ","BEST_FPERIOD_OVERRIDE=FQ","FILING_STATUS=MR","SCALING_FORMAT=MLN","Sort=A","Dates=H","DateFormat=P","Fill=—","Direction=H","UseDPDF=Y")</f>
        <v>0</v>
      </c>
      <c r="AD35" s="13" cm="1">
        <f t="array" ref="AD35">_xll.BDH("PCAR US Equity","IS_DISCONTINUED_OPERATIONS","FQ4 2025","FQ4 2025","Currency=USD","Period=FQ","BEST_FPERIOD_OVERRIDE=FQ","FILING_STATUS=MR","SCALING_FORMAT=MLN","Sort=A","Dates=H","DateFormat=P","Fill=—","Direction=H","UseDPDF=Y")</f>
        <v>0</v>
      </c>
      <c r="AE35" s="13"/>
      <c r="AF35" s="13"/>
    </row>
    <row r="36" spans="1:32" x14ac:dyDescent="0.25">
      <c r="A36" s="10" t="s">
        <v>124</v>
      </c>
      <c r="B36" s="10" t="s">
        <v>125</v>
      </c>
      <c r="C36" s="13" cm="1">
        <f t="array" ref="C36">_xll.BDH("PCAR US Equity","EXTRAORD_ITEMS_ACCOUNTING_CHANGS","FQ1 2019","FQ1 2019","Currency=USD","Period=FQ","BEST_FPERIOD_OVERRIDE=FQ","FILING_STATUS=MR","SCALING_FORMAT=MLN","Sort=A","Dates=H","DateFormat=P","Fill=—","Direction=H","UseDPDF=Y")</f>
        <v>0</v>
      </c>
      <c r="D36" s="13" cm="1">
        <f t="array" ref="D36">_xll.BDH("PCAR US Equity","EXTRAORD_ITEMS_ACCOUNTING_CHANGS","FQ2 2019","FQ2 2019","Currency=USD","Period=FQ","BEST_FPERIOD_OVERRIDE=FQ","FILING_STATUS=MR","SCALING_FORMAT=MLN","Sort=A","Dates=H","DateFormat=P","Fill=—","Direction=H","UseDPDF=Y")</f>
        <v>0</v>
      </c>
      <c r="E36" s="13" cm="1">
        <f t="array" ref="E36">_xll.BDH("PCAR US Equity","EXTRAORD_ITEMS_ACCOUNTING_CHANGS","FQ3 2019","FQ3 2019","Currency=USD","Period=FQ","BEST_FPERIOD_OVERRIDE=FQ","FILING_STATUS=MR","SCALING_FORMAT=MLN","Sort=A","Dates=H","DateFormat=P","Fill=—","Direction=H","UseDPDF=Y")</f>
        <v>0</v>
      </c>
      <c r="F36" s="13" cm="1">
        <f t="array" ref="F36">_xll.BDH("PCAR US Equity","EXTRAORD_ITEMS_ACCOUNTING_CHANGS","FQ4 2019","FQ4 2019","Currency=USD","Period=FQ","BEST_FPERIOD_OVERRIDE=FQ","FILING_STATUS=MR","SCALING_FORMAT=MLN","Sort=A","Dates=H","DateFormat=P","Fill=—","Direction=H","UseDPDF=Y")</f>
        <v>0</v>
      </c>
      <c r="G36" s="13" cm="1">
        <f t="array" ref="G36">_xll.BDH("PCAR US Equity","EXTRAORD_ITEMS_ACCOUNTING_CHANGS","FQ1 2020","FQ1 2020","Currency=USD","Period=FQ","BEST_FPERIOD_OVERRIDE=FQ","FILING_STATUS=MR","SCALING_FORMAT=MLN","Sort=A","Dates=H","DateFormat=P","Fill=—","Direction=H","UseDPDF=Y")</f>
        <v>0</v>
      </c>
      <c r="H36" s="13" cm="1">
        <f t="array" ref="H36">_xll.BDH("PCAR US Equity","EXTRAORD_ITEMS_ACCOUNTING_CHANGS","FQ2 2020","FQ2 2020","Currency=USD","Period=FQ","BEST_FPERIOD_OVERRIDE=FQ","FILING_STATUS=MR","SCALING_FORMAT=MLN","Sort=A","Dates=H","DateFormat=P","Fill=—","Direction=H","UseDPDF=Y")</f>
        <v>0</v>
      </c>
      <c r="I36" s="13" cm="1">
        <f t="array" ref="I36">_xll.BDH("PCAR US Equity","EXTRAORD_ITEMS_ACCOUNTING_CHANGS","FQ3 2020","FQ3 2020","Currency=USD","Period=FQ","BEST_FPERIOD_OVERRIDE=FQ","FILING_STATUS=MR","SCALING_FORMAT=MLN","Sort=A","Dates=H","DateFormat=P","Fill=—","Direction=H","UseDPDF=Y")</f>
        <v>0</v>
      </c>
      <c r="J36" s="13" cm="1">
        <f t="array" ref="J36">_xll.BDH("PCAR US Equity","EXTRAORD_ITEMS_ACCOUNTING_CHANGS","FQ4 2020","FQ4 2020","Currency=USD","Period=FQ","BEST_FPERIOD_OVERRIDE=FQ","FILING_STATUS=MR","SCALING_FORMAT=MLN","Sort=A","Dates=H","DateFormat=P","Fill=—","Direction=H","UseDPDF=Y")</f>
        <v>0</v>
      </c>
      <c r="K36" s="13" cm="1">
        <f t="array" ref="K36">_xll.BDH("PCAR US Equity","EXTRAORD_ITEMS_ACCOUNTING_CHANGS","FQ1 2021","FQ1 2021","Currency=USD","Period=FQ","BEST_FPERIOD_OVERRIDE=FQ","FILING_STATUS=MR","SCALING_FORMAT=MLN","Sort=A","Dates=H","DateFormat=P","Fill=—","Direction=H","UseDPDF=Y")</f>
        <v>0</v>
      </c>
      <c r="L36" s="13" cm="1">
        <f t="array" ref="L36">_xll.BDH("PCAR US Equity","EXTRAORD_ITEMS_ACCOUNTING_CHANGS","FQ2 2021","FQ2 2021","Currency=USD","Period=FQ","BEST_FPERIOD_OVERRIDE=FQ","FILING_STATUS=MR","SCALING_FORMAT=MLN","Sort=A","Dates=H","DateFormat=P","Fill=—","Direction=H","UseDPDF=Y")</f>
        <v>0</v>
      </c>
      <c r="M36" s="13" cm="1">
        <f t="array" ref="M36">_xll.BDH("PCAR US Equity","EXTRAORD_ITEMS_ACCOUNTING_CHANGS","FQ3 2021","FQ3 2021","Currency=USD","Period=FQ","BEST_FPERIOD_OVERRIDE=FQ","FILING_STATUS=MR","SCALING_FORMAT=MLN","Sort=A","Dates=H","DateFormat=P","Fill=—","Direction=H","UseDPDF=Y")</f>
        <v>0</v>
      </c>
      <c r="N36" s="13" cm="1">
        <f t="array" ref="N36">_xll.BDH("PCAR US Equity","EXTRAORD_ITEMS_ACCOUNTING_CHANGS","FQ4 2021","FQ4 2021","Currency=USD","Period=FQ","BEST_FPERIOD_OVERRIDE=FQ","FILING_STATUS=MR","SCALING_FORMAT=MLN","Sort=A","Dates=H","DateFormat=P","Fill=—","Direction=H","UseDPDF=Y")</f>
        <v>0</v>
      </c>
      <c r="O36" s="13" cm="1">
        <f t="array" ref="O36">_xll.BDH("PCAR US Equity","EXTRAORD_ITEMS_ACCOUNTING_CHANGS","FQ1 2022","FQ1 2022","Currency=USD","Period=FQ","BEST_FPERIOD_OVERRIDE=FQ","FILING_STATUS=MR","SCALING_FORMAT=MLN","Sort=A","Dates=H","DateFormat=P","Fill=—","Direction=H","UseDPDF=Y")</f>
        <v>0</v>
      </c>
      <c r="P36" s="13" cm="1">
        <f t="array" ref="P36">_xll.BDH("PCAR US Equity","EXTRAORD_ITEMS_ACCOUNTING_CHANGS","FQ2 2022","FQ2 2022","Currency=USD","Period=FQ","BEST_FPERIOD_OVERRIDE=FQ","FILING_STATUS=MR","SCALING_FORMAT=MLN","Sort=A","Dates=H","DateFormat=P","Fill=—","Direction=H","UseDPDF=Y")</f>
        <v>0</v>
      </c>
      <c r="Q36" s="13" cm="1">
        <f t="array" ref="Q36">_xll.BDH("PCAR US Equity","EXTRAORD_ITEMS_ACCOUNTING_CHANGS","FQ3 2022","FQ3 2022","Currency=USD","Period=FQ","BEST_FPERIOD_OVERRIDE=FQ","FILING_STATUS=MR","SCALING_FORMAT=MLN","Sort=A","Dates=H","DateFormat=P","Fill=—","Direction=H","UseDPDF=Y")</f>
        <v>0</v>
      </c>
      <c r="R36" s="13" cm="1">
        <f t="array" ref="R36">_xll.BDH("PCAR US Equity","EXTRAORD_ITEMS_ACCOUNTING_CHANGS","FQ4 2022","FQ4 2022","Currency=USD","Period=FQ","BEST_FPERIOD_OVERRIDE=FQ","FILING_STATUS=MR","SCALING_FORMAT=MLN","Sort=A","Dates=H","DateFormat=P","Fill=—","Direction=H","UseDPDF=Y")</f>
        <v>0</v>
      </c>
      <c r="S36" s="13" cm="1">
        <f t="array" ref="S36">_xll.BDH("PCAR US Equity","EXTRAORD_ITEMS_ACCOUNTING_CHANGS","FQ1 2023","FQ1 2023","Currency=USD","Period=FQ","BEST_FPERIOD_OVERRIDE=FQ","FILING_STATUS=MR","SCALING_FORMAT=MLN","Sort=A","Dates=H","DateFormat=P","Fill=—","Direction=H","UseDPDF=Y")</f>
        <v>0</v>
      </c>
      <c r="T36" s="13" cm="1">
        <f t="array" ref="T36">_xll.BDH("PCAR US Equity","EXTRAORD_ITEMS_ACCOUNTING_CHANGS","FQ2 2023","FQ2 2023","Currency=USD","Period=FQ","BEST_FPERIOD_OVERRIDE=FQ","FILING_STATUS=MR","SCALING_FORMAT=MLN","Sort=A","Dates=H","DateFormat=P","Fill=—","Direction=H","UseDPDF=Y")</f>
        <v>0</v>
      </c>
      <c r="U36" s="13" cm="1">
        <f t="array" ref="U36">_xll.BDH("PCAR US Equity","EXTRAORD_ITEMS_ACCOUNTING_CHANGS","FQ3 2023","FQ3 2023","Currency=USD","Period=FQ","BEST_FPERIOD_OVERRIDE=FQ","FILING_STATUS=MR","SCALING_FORMAT=MLN","Sort=A","Dates=H","DateFormat=P","Fill=—","Direction=H","UseDPDF=Y")</f>
        <v>0</v>
      </c>
      <c r="V36" s="13" cm="1">
        <f t="array" ref="V36">_xll.BDH("PCAR US Equity","EXTRAORD_ITEMS_ACCOUNTING_CHANGS","FQ4 2023","FQ4 2023","Currency=USD","Period=FQ","BEST_FPERIOD_OVERRIDE=FQ","FILING_STATUS=MR","SCALING_FORMAT=MLN","Sort=A","Dates=H","DateFormat=P","Fill=—","Direction=H","UseDPDF=Y")</f>
        <v>0</v>
      </c>
      <c r="W36" s="13" cm="1">
        <f t="array" ref="W36">_xll.BDH("PCAR US Equity","EXTRAORD_ITEMS_ACCOUNTING_CHANGS","FQ1 2024","FQ1 2024","Currency=USD","Period=FQ","BEST_FPERIOD_OVERRIDE=FQ","FILING_STATUS=MR","SCALING_FORMAT=MLN","Sort=A","Dates=H","DateFormat=P","Fill=—","Direction=H","UseDPDF=Y")</f>
        <v>0</v>
      </c>
      <c r="X36" s="13" cm="1">
        <f t="array" ref="X36">_xll.BDH("PCAR US Equity","EXTRAORD_ITEMS_ACCOUNTING_CHANGS","FQ2 2024","FQ2 2024","Currency=USD","Period=FQ","BEST_FPERIOD_OVERRIDE=FQ","FILING_STATUS=MR","SCALING_FORMAT=MLN","Sort=A","Dates=H","DateFormat=P","Fill=—","Direction=H","UseDPDF=Y")</f>
        <v>0</v>
      </c>
      <c r="Y36" s="13" cm="1">
        <f t="array" ref="Y36">_xll.BDH("PCAR US Equity","EXTRAORD_ITEMS_ACCOUNTING_CHANGS","FQ3 2024","FQ3 2024","Currency=USD","Period=FQ","BEST_FPERIOD_OVERRIDE=FQ","FILING_STATUS=MR","SCALING_FORMAT=MLN","Sort=A","Dates=H","DateFormat=P","Fill=—","Direction=H","UseDPDF=Y")</f>
        <v>0</v>
      </c>
      <c r="Z36" s="13" cm="1">
        <f t="array" ref="Z36">_xll.BDH("PCAR US Equity","EXTRAORD_ITEMS_ACCOUNTING_CHANGS","FQ4 2024","FQ4 2024","Currency=USD","Period=FQ","BEST_FPERIOD_OVERRIDE=FQ","FILING_STATUS=MR","SCALING_FORMAT=MLN","Sort=A","Dates=H","DateFormat=P","Fill=—","Direction=H","UseDPDF=Y")</f>
        <v>0</v>
      </c>
      <c r="AA36" s="13" cm="1">
        <f t="array" ref="AA36">_xll.BDH("PCAR US Equity","EXTRAORD_ITEMS_ACCOUNTING_CHANGS","FQ1 2025","FQ1 2025","Currency=USD","Period=FQ","BEST_FPERIOD_OVERRIDE=FQ","FILING_STATUS=MR","SCALING_FORMAT=MLN","Sort=A","Dates=H","DateFormat=P","Fill=—","Direction=H","UseDPDF=Y")</f>
        <v>0</v>
      </c>
      <c r="AB36" s="13" cm="1">
        <f t="array" ref="AB36">_xll.BDH("PCAR US Equity","EXTRAORD_ITEMS_ACCOUNTING_CHANGS","FQ2 2025","FQ2 2025","Currency=USD","Period=FQ","BEST_FPERIOD_OVERRIDE=FQ","FILING_STATUS=MR","SCALING_FORMAT=MLN","Sort=A","Dates=H","DateFormat=P","Fill=—","Direction=H","UseDPDF=Y")</f>
        <v>0</v>
      </c>
      <c r="AC36" s="13" cm="1">
        <f t="array" ref="AC36">_xll.BDH("PCAR US Equity","EXTRAORD_ITEMS_ACCOUNTING_CHANGS","FQ3 2025","FQ3 2025","Currency=USD","Period=FQ","BEST_FPERIOD_OVERRIDE=FQ","FILING_STATUS=MR","SCALING_FORMAT=MLN","Sort=A","Dates=H","DateFormat=P","Fill=—","Direction=H","UseDPDF=Y")</f>
        <v>0</v>
      </c>
      <c r="AD36" s="13" cm="1">
        <f t="array" ref="AD36">_xll.BDH("PCAR US Equity","EXTRAORD_ITEMS_ACCOUNTING_CHANGS","FQ4 2025","FQ4 2025","Currency=USD","Period=FQ","BEST_FPERIOD_OVERRIDE=FQ","FILING_STATUS=MR","SCALING_FORMAT=MLN","Sort=A","Dates=H","DateFormat=P","Fill=—","Direction=H","UseDPDF=Y")</f>
        <v>0</v>
      </c>
      <c r="AE36" s="13"/>
      <c r="AF36" s="13"/>
    </row>
    <row r="37" spans="1:32" x14ac:dyDescent="0.25">
      <c r="A37" s="6" t="s">
        <v>126</v>
      </c>
      <c r="B37" s="6" t="s">
        <v>127</v>
      </c>
      <c r="C37" s="16" cm="1">
        <f t="array" ref="C37">_xll.BDH("PCAR US Equity","NI_INCLUDING_MINORITY_INT_RATIO","FQ1 2019","FQ1 2019","Currency=USD","Period=FQ","BEST_FPERIOD_OVERRIDE=FQ","FILING_STATUS=MR","SCALING_FORMAT=MLN","FA_ADJUSTED=GAAP","Sort=A","Dates=H","DateFormat=P","Fill=—","Direction=H","UseDPDF=Y")</f>
        <v>629</v>
      </c>
      <c r="D37" s="16" cm="1">
        <f t="array" ref="D37">_xll.BDH("PCAR US Equity","NI_INCLUDING_MINORITY_INT_RATIO","FQ2 2019","FQ2 2019","Currency=USD","Period=FQ","BEST_FPERIOD_OVERRIDE=FQ","FILING_STATUS=MR","SCALING_FORMAT=MLN","FA_ADJUSTED=GAAP","Sort=A","Dates=H","DateFormat=P","Fill=—","Direction=H","UseDPDF=Y")</f>
        <v>619.70000000000005</v>
      </c>
      <c r="E37" s="16" cm="1">
        <f t="array" ref="E37">_xll.BDH("PCAR US Equity","NI_INCLUDING_MINORITY_INT_RATIO","FQ3 2019","FQ3 2019","Currency=USD","Period=FQ","BEST_FPERIOD_OVERRIDE=FQ","FILING_STATUS=MR","SCALING_FORMAT=MLN","FA_ADJUSTED=GAAP","Sort=A","Dates=H","DateFormat=P","Fill=—","Direction=H","UseDPDF=Y")</f>
        <v>607.9</v>
      </c>
      <c r="F37" s="16" cm="1">
        <f t="array" ref="F37">_xll.BDH("PCAR US Equity","NI_INCLUDING_MINORITY_INT_RATIO","FQ4 2019","FQ4 2019","Currency=USD","Period=FQ","BEST_FPERIOD_OVERRIDE=FQ","FILING_STATUS=MR","SCALING_FORMAT=MLN","FA_ADJUSTED=GAAP","Sort=A","Dates=H","DateFormat=P","Fill=—","Direction=H","UseDPDF=Y")</f>
        <v>531.29999999999995</v>
      </c>
      <c r="G37" s="16" cm="1">
        <f t="array" ref="G37">_xll.BDH("PCAR US Equity","NI_INCLUDING_MINORITY_INT_RATIO","FQ1 2020","FQ1 2020","Currency=USD","Period=FQ","BEST_FPERIOD_OVERRIDE=FQ","FILING_STATUS=MR","SCALING_FORMAT=MLN","FA_ADJUSTED=GAAP","Sort=A","Dates=H","DateFormat=P","Fill=—","Direction=H","UseDPDF=Y")</f>
        <v>359.4</v>
      </c>
      <c r="H37" s="16" cm="1">
        <f t="array" ref="H37">_xll.BDH("PCAR US Equity","NI_INCLUDING_MINORITY_INT_RATIO","FQ2 2020","FQ2 2020","Currency=USD","Period=FQ","BEST_FPERIOD_OVERRIDE=FQ","FILING_STATUS=MR","SCALING_FORMAT=MLN","FA_ADJUSTED=GAAP","Sort=A","Dates=H","DateFormat=P","Fill=—","Direction=H","UseDPDF=Y")</f>
        <v>147.69999999999999</v>
      </c>
      <c r="I37" s="16" cm="1">
        <f t="array" ref="I37">_xll.BDH("PCAR US Equity","NI_INCLUDING_MINORITY_INT_RATIO","FQ3 2020","FQ3 2020","Currency=USD","Period=FQ","BEST_FPERIOD_OVERRIDE=FQ","FILING_STATUS=MR","SCALING_FORMAT=MLN","FA_ADJUSTED=GAAP","Sort=A","Dates=H","DateFormat=P","Fill=—","Direction=H","UseDPDF=Y")</f>
        <v>385.5</v>
      </c>
      <c r="J37" s="16" cm="1">
        <f t="array" ref="J37">_xll.BDH("PCAR US Equity","NI_INCLUDING_MINORITY_INT_RATIO","FQ4 2020","FQ4 2020","Currency=USD","Period=FQ","BEST_FPERIOD_OVERRIDE=FQ","FILING_STATUS=MR","SCALING_FORMAT=MLN","FA_ADJUSTED=GAAP","Sort=A","Dates=H","DateFormat=P","Fill=—","Direction=H","UseDPDF=Y")</f>
        <v>405.8</v>
      </c>
      <c r="K37" s="16" cm="1">
        <f t="array" ref="K37">_xll.BDH("PCAR US Equity","NI_INCLUDING_MINORITY_INT_RATIO","FQ1 2021","FQ1 2021","Currency=USD","Period=FQ","BEST_FPERIOD_OVERRIDE=FQ","FILING_STATUS=MR","SCALING_FORMAT=MLN","FA_ADJUSTED=GAAP","Sort=A","Dates=H","DateFormat=P","Fill=—","Direction=H","UseDPDF=Y")</f>
        <v>470.8</v>
      </c>
      <c r="L37" s="16" cm="1">
        <f t="array" ref="L37">_xll.BDH("PCAR US Equity","NI_INCLUDING_MINORITY_INT_RATIO","FQ2 2021","FQ2 2021","Currency=USD","Period=FQ","BEST_FPERIOD_OVERRIDE=FQ","FILING_STATUS=MR","SCALING_FORMAT=MLN","FA_ADJUSTED=GAAP","Sort=A","Dates=H","DateFormat=P","Fill=—","Direction=H","UseDPDF=Y")</f>
        <v>495.5</v>
      </c>
      <c r="M37" s="16" cm="1">
        <f t="array" ref="M37">_xll.BDH("PCAR US Equity","NI_INCLUDING_MINORITY_INT_RATIO","FQ3 2021","FQ3 2021","Currency=USD","Period=FQ","BEST_FPERIOD_OVERRIDE=FQ","FILING_STATUS=MR","SCALING_FORMAT=MLN","FA_ADJUSTED=GAAP","Sort=A","Dates=H","DateFormat=P","Fill=—","Direction=H","UseDPDF=Y")</f>
        <v>380.5</v>
      </c>
      <c r="N37" s="16" cm="1">
        <f t="array" ref="N37">_xll.BDH("PCAR US Equity","NI_INCLUDING_MINORITY_INT_RATIO","FQ4 2021","FQ4 2021","Currency=USD","Period=FQ","BEST_FPERIOD_OVERRIDE=FQ","FILING_STATUS=MR","SCALING_FORMAT=MLN","FA_ADJUSTED=GAAP","Sort=A","Dates=H","DateFormat=P","Fill=—","Direction=H","UseDPDF=Y")</f>
        <v>518.70000000000005</v>
      </c>
      <c r="O37" s="16" cm="1">
        <f t="array" ref="O37">_xll.BDH("PCAR US Equity","NI_INCLUDING_MINORITY_INT_RATIO","FQ1 2022","FQ1 2022","Currency=USD","Period=FQ","BEST_FPERIOD_OVERRIDE=FQ","FILING_STATUS=MR","SCALING_FORMAT=MLN","FA_ADJUSTED=GAAP","Sort=A","Dates=H","DateFormat=P","Fill=—","Direction=H","UseDPDF=Y")</f>
        <v>600.5</v>
      </c>
      <c r="P37" s="16" cm="1">
        <f t="array" ref="P37">_xll.BDH("PCAR US Equity","NI_INCLUDING_MINORITY_INT_RATIO","FQ2 2022","FQ2 2022","Currency=USD","Period=FQ","BEST_FPERIOD_OVERRIDE=FQ","FILING_STATUS=MR","SCALING_FORMAT=MLN","FA_ADJUSTED=GAAP","Sort=A","Dates=H","DateFormat=P","Fill=—","Direction=H","UseDPDF=Y")</f>
        <v>720.4</v>
      </c>
      <c r="Q37" s="16" cm="1">
        <f t="array" ref="Q37">_xll.BDH("PCAR US Equity","NI_INCLUDING_MINORITY_INT_RATIO","FQ3 2022","FQ3 2022","Currency=USD","Period=FQ","BEST_FPERIOD_OVERRIDE=FQ","FILING_STATUS=MR","SCALING_FORMAT=MLN","FA_ADJUSTED=GAAP","Sort=A","Dates=H","DateFormat=P","Fill=—","Direction=H","UseDPDF=Y")</f>
        <v>769.4</v>
      </c>
      <c r="R37" s="16" cm="1">
        <f t="array" ref="R37">_xll.BDH("PCAR US Equity","NI_INCLUDING_MINORITY_INT_RATIO","FQ4 2022","FQ4 2022","Currency=USD","Period=FQ","BEST_FPERIOD_OVERRIDE=FQ","FILING_STATUS=MR","SCALING_FORMAT=MLN","FA_ADJUSTED=GAAP","Sort=A","Dates=H","DateFormat=P","Fill=—","Direction=H","UseDPDF=Y")</f>
        <v>921.3</v>
      </c>
      <c r="S37" s="16" cm="1">
        <f t="array" ref="S37">_xll.BDH("PCAR US Equity","NI_INCLUDING_MINORITY_INT_RATIO","FQ1 2023","FQ1 2023","Currency=USD","Period=FQ","BEST_FPERIOD_OVERRIDE=FQ","FILING_STATUS=MR","SCALING_FORMAT=MLN","FA_ADJUSTED=GAAP","Sort=A","Dates=H","DateFormat=P","Fill=—","Direction=H","UseDPDF=Y")</f>
        <v>733.9</v>
      </c>
      <c r="T37" s="16" cm="1">
        <f t="array" ref="T37">_xll.BDH("PCAR US Equity","NI_INCLUDING_MINORITY_INT_RATIO","FQ2 2023","FQ2 2023","Currency=USD","Period=FQ","BEST_FPERIOD_OVERRIDE=FQ","FILING_STATUS=MR","SCALING_FORMAT=MLN","FA_ADJUSTED=GAAP","Sort=A","Dates=H","DateFormat=P","Fill=—","Direction=H","UseDPDF=Y")</f>
        <v>1221.0999999999999</v>
      </c>
      <c r="U37" s="16" cm="1">
        <f t="array" ref="U37">_xll.BDH("PCAR US Equity","NI_INCLUDING_MINORITY_INT_RATIO","FQ3 2023","FQ3 2023","Currency=USD","Period=FQ","BEST_FPERIOD_OVERRIDE=FQ","FILING_STATUS=MR","SCALING_FORMAT=MLN","FA_ADJUSTED=GAAP","Sort=A","Dates=H","DateFormat=P","Fill=—","Direction=H","UseDPDF=Y")</f>
        <v>1228.5</v>
      </c>
      <c r="V37" s="16" cm="1">
        <f t="array" ref="V37">_xll.BDH("PCAR US Equity","NI_INCLUDING_MINORITY_INT_RATIO","FQ4 2023","FQ4 2023","Currency=USD","Period=FQ","BEST_FPERIOD_OVERRIDE=FQ","FILING_STATUS=MR","SCALING_FORMAT=MLN","FA_ADJUSTED=GAAP","Sort=A","Dates=H","DateFormat=P","Fill=—","Direction=H","UseDPDF=Y")</f>
        <v>1417.3</v>
      </c>
      <c r="W37" s="16" cm="1">
        <f t="array" ref="W37">_xll.BDH("PCAR US Equity","NI_INCLUDING_MINORITY_INT_RATIO","FQ1 2024","FQ1 2024","Currency=USD","Period=FQ","BEST_FPERIOD_OVERRIDE=FQ","FILING_STATUS=MR","SCALING_FORMAT=MLN","FA_ADJUSTED=GAAP","Sort=A","Dates=H","DateFormat=P","Fill=—","Direction=H","UseDPDF=Y")</f>
        <v>1195.3</v>
      </c>
      <c r="X37" s="16" cm="1">
        <f t="array" ref="X37">_xll.BDH("PCAR US Equity","NI_INCLUDING_MINORITY_INT_RATIO","FQ2 2024","FQ2 2024","Currency=USD","Period=FQ","BEST_FPERIOD_OVERRIDE=FQ","FILING_STATUS=MR","SCALING_FORMAT=MLN","FA_ADJUSTED=GAAP","Sort=A","Dates=H","DateFormat=P","Fill=—","Direction=H","UseDPDF=Y")</f>
        <v>1122.5999999999999</v>
      </c>
      <c r="Y37" s="16" cm="1">
        <f t="array" ref="Y37">_xll.BDH("PCAR US Equity","NI_INCLUDING_MINORITY_INT_RATIO","FQ3 2024","FQ3 2024","Currency=USD","Period=FQ","BEST_FPERIOD_OVERRIDE=FQ","FILING_STATUS=MR","SCALING_FORMAT=MLN","FA_ADJUSTED=GAAP","Sort=A","Dates=H","DateFormat=P","Fill=—","Direction=H","UseDPDF=Y")</f>
        <v>972.1</v>
      </c>
      <c r="Z37" s="16" cm="1">
        <f t="array" ref="Z37">_xll.BDH("PCAR US Equity","NI_INCLUDING_MINORITY_INT_RATIO","FQ4 2024","FQ4 2024","Currency=USD","Period=FQ","BEST_FPERIOD_OVERRIDE=FQ","FILING_STATUS=MR","SCALING_FORMAT=MLN","FA_ADJUSTED=GAAP","Sort=A","Dates=H","DateFormat=P","Fill=—","Direction=H","UseDPDF=Y")</f>
        <v>872</v>
      </c>
      <c r="AA37" s="16" cm="1">
        <f t="array" ref="AA37">_xll.BDH("PCAR US Equity","NI_INCLUDING_MINORITY_INT_RATIO","FQ1 2025","FQ1 2025","Currency=USD","Period=FQ","BEST_FPERIOD_OVERRIDE=FQ","FILING_STATUS=MR","SCALING_FORMAT=MLN","FA_ADJUSTED=GAAP","Sort=A","Dates=H","DateFormat=P","Fill=—","Direction=H","UseDPDF=Y")</f>
        <v>505.1</v>
      </c>
      <c r="AB37" s="16" cm="1">
        <f t="array" ref="AB37">_xll.BDH("PCAR US Equity","NI_INCLUDING_MINORITY_INT_RATIO","FQ2 2025","FQ2 2025","Currency=USD","Period=FQ","BEST_FPERIOD_OVERRIDE=FQ","FILING_STATUS=MR","SCALING_FORMAT=MLN","FA_ADJUSTED=GAAP","Sort=A","Dates=H","DateFormat=P","Fill=—","Direction=H","UseDPDF=Y")</f>
        <v>723.8</v>
      </c>
      <c r="AC37" s="16" cm="1">
        <f t="array" ref="AC37">_xll.BDH("PCAR US Equity","NI_INCLUDING_MINORITY_INT_RATIO","FQ3 2025","FQ3 2025","Currency=USD","Period=FQ","BEST_FPERIOD_OVERRIDE=FQ","FILING_STATUS=MR","SCALING_FORMAT=MLN","FA_ADJUSTED=GAAP","Sort=A","Dates=H","DateFormat=P","Fill=—","Direction=H","UseDPDF=Y")</f>
        <v>590</v>
      </c>
      <c r="AD37" s="16" cm="1">
        <f t="array" ref="AD37">_xll.BDH("PCAR US Equity","NI_INCLUDING_MINORITY_INT_RATIO","FQ4 2025","FQ4 2025","Currency=USD","Period=FQ","BEST_FPERIOD_OVERRIDE=FQ","FILING_STATUS=MR","SCALING_FORMAT=MLN","FA_ADJUSTED=GAAP","Sort=A","Dates=H","DateFormat=P","Fill=—","Direction=H","UseDPDF=Y")</f>
        <v>556.9</v>
      </c>
      <c r="AE37" s="16"/>
      <c r="AF37" s="16"/>
    </row>
    <row r="38" spans="1:32" x14ac:dyDescent="0.25">
      <c r="A38" s="10" t="s">
        <v>128</v>
      </c>
      <c r="B38" s="10" t="s">
        <v>129</v>
      </c>
      <c r="C38" s="13" cm="1">
        <f t="array" ref="C38">_xll.BDH("PCAR US Equity","MIN_NONCONTROL_INTEREST_CREDITS","FQ1 2019","FQ1 2019","Currency=USD","Period=FQ","BEST_FPERIOD_OVERRIDE=FQ","FILING_STATUS=MR","SCALING_FORMAT=MLN","FA_ADJUSTED=GAAP","Sort=A","Dates=H","DateFormat=P","Fill=—","Direction=H","UseDPDF=Y")</f>
        <v>0</v>
      </c>
      <c r="D38" s="13" cm="1">
        <f t="array" ref="D38">_xll.BDH("PCAR US Equity","MIN_NONCONTROL_INTEREST_CREDITS","FQ2 2019","FQ2 2019","Currency=USD","Period=FQ","BEST_FPERIOD_OVERRIDE=FQ","FILING_STATUS=MR","SCALING_FORMAT=MLN","FA_ADJUSTED=GAAP","Sort=A","Dates=H","DateFormat=P","Fill=—","Direction=H","UseDPDF=Y")</f>
        <v>0</v>
      </c>
      <c r="E38" s="13" cm="1">
        <f t="array" ref="E38">_xll.BDH("PCAR US Equity","MIN_NONCONTROL_INTEREST_CREDITS","FQ3 2019","FQ3 2019","Currency=USD","Period=FQ","BEST_FPERIOD_OVERRIDE=FQ","FILING_STATUS=MR","SCALING_FORMAT=MLN","FA_ADJUSTED=GAAP","Sort=A","Dates=H","DateFormat=P","Fill=—","Direction=H","UseDPDF=Y")</f>
        <v>0</v>
      </c>
      <c r="F38" s="13" cm="1">
        <f t="array" ref="F38">_xll.BDH("PCAR US Equity","MIN_NONCONTROL_INTEREST_CREDITS","FQ4 2019","FQ4 2019","Currency=USD","Period=FQ","BEST_FPERIOD_OVERRIDE=FQ","FILING_STATUS=MR","SCALING_FORMAT=MLN","FA_ADJUSTED=GAAP","Sort=A","Dates=H","DateFormat=P","Fill=—","Direction=H","UseDPDF=Y")</f>
        <v>0</v>
      </c>
      <c r="G38" s="13" cm="1">
        <f t="array" ref="G38">_xll.BDH("PCAR US Equity","MIN_NONCONTROL_INTEREST_CREDITS","FQ1 2020","FQ1 2020","Currency=USD","Period=FQ","BEST_FPERIOD_OVERRIDE=FQ","FILING_STATUS=MR","SCALING_FORMAT=MLN","FA_ADJUSTED=GAAP","Sort=A","Dates=H","DateFormat=P","Fill=—","Direction=H","UseDPDF=Y")</f>
        <v>0</v>
      </c>
      <c r="H38" s="13" cm="1">
        <f t="array" ref="H38">_xll.BDH("PCAR US Equity","MIN_NONCONTROL_INTEREST_CREDITS","FQ2 2020","FQ2 2020","Currency=USD","Period=FQ","BEST_FPERIOD_OVERRIDE=FQ","FILING_STATUS=MR","SCALING_FORMAT=MLN","FA_ADJUSTED=GAAP","Sort=A","Dates=H","DateFormat=P","Fill=—","Direction=H","UseDPDF=Y")</f>
        <v>0</v>
      </c>
      <c r="I38" s="13" cm="1">
        <f t="array" ref="I38">_xll.BDH("PCAR US Equity","MIN_NONCONTROL_INTEREST_CREDITS","FQ3 2020","FQ3 2020","Currency=USD","Period=FQ","BEST_FPERIOD_OVERRIDE=FQ","FILING_STATUS=MR","SCALING_FORMAT=MLN","FA_ADJUSTED=GAAP","Sort=A","Dates=H","DateFormat=P","Fill=—","Direction=H","UseDPDF=Y")</f>
        <v>0</v>
      </c>
      <c r="J38" s="13" cm="1">
        <f t="array" ref="J38">_xll.BDH("PCAR US Equity","MIN_NONCONTROL_INTEREST_CREDITS","FQ4 2020","FQ4 2020","Currency=USD","Period=FQ","BEST_FPERIOD_OVERRIDE=FQ","FILING_STATUS=MR","SCALING_FORMAT=MLN","FA_ADJUSTED=GAAP","Sort=A","Dates=H","DateFormat=P","Fill=—","Direction=H","UseDPDF=Y")</f>
        <v>0</v>
      </c>
      <c r="K38" s="13" cm="1">
        <f t="array" ref="K38">_xll.BDH("PCAR US Equity","MIN_NONCONTROL_INTEREST_CREDITS","FQ1 2021","FQ1 2021","Currency=USD","Period=FQ","BEST_FPERIOD_OVERRIDE=FQ","FILING_STATUS=MR","SCALING_FORMAT=MLN","FA_ADJUSTED=GAAP","Sort=A","Dates=H","DateFormat=P","Fill=—","Direction=H","UseDPDF=Y")</f>
        <v>0</v>
      </c>
      <c r="L38" s="13" cm="1">
        <f t="array" ref="L38">_xll.BDH("PCAR US Equity","MIN_NONCONTROL_INTEREST_CREDITS","FQ2 2021","FQ2 2021","Currency=USD","Period=FQ","BEST_FPERIOD_OVERRIDE=FQ","FILING_STATUS=MR","SCALING_FORMAT=MLN","FA_ADJUSTED=GAAP","Sort=A","Dates=H","DateFormat=P","Fill=—","Direction=H","UseDPDF=Y")</f>
        <v>0</v>
      </c>
      <c r="M38" s="13" cm="1">
        <f t="array" ref="M38">_xll.BDH("PCAR US Equity","MIN_NONCONTROL_INTEREST_CREDITS","FQ3 2021","FQ3 2021","Currency=USD","Period=FQ","BEST_FPERIOD_OVERRIDE=FQ","FILING_STATUS=MR","SCALING_FORMAT=MLN","FA_ADJUSTED=GAAP","Sort=A","Dates=H","DateFormat=P","Fill=—","Direction=H","UseDPDF=Y")</f>
        <v>0</v>
      </c>
      <c r="N38" s="13" cm="1">
        <f t="array" ref="N38">_xll.BDH("PCAR US Equity","MIN_NONCONTROL_INTEREST_CREDITS","FQ4 2021","FQ4 2021","Currency=USD","Period=FQ","BEST_FPERIOD_OVERRIDE=FQ","FILING_STATUS=MR","SCALING_FORMAT=MLN","FA_ADJUSTED=GAAP","Sort=A","Dates=H","DateFormat=P","Fill=—","Direction=H","UseDPDF=Y")</f>
        <v>0</v>
      </c>
      <c r="O38" s="13" cm="1">
        <f t="array" ref="O38">_xll.BDH("PCAR US Equity","MIN_NONCONTROL_INTEREST_CREDITS","FQ1 2022","FQ1 2022","Currency=USD","Period=FQ","BEST_FPERIOD_OVERRIDE=FQ","FILING_STATUS=MR","SCALING_FORMAT=MLN","FA_ADJUSTED=GAAP","Sort=A","Dates=H","DateFormat=P","Fill=—","Direction=H","UseDPDF=Y")</f>
        <v>0</v>
      </c>
      <c r="P38" s="13" cm="1">
        <f t="array" ref="P38">_xll.BDH("PCAR US Equity","MIN_NONCONTROL_INTEREST_CREDITS","FQ2 2022","FQ2 2022","Currency=USD","Period=FQ","BEST_FPERIOD_OVERRIDE=FQ","FILING_STATUS=MR","SCALING_FORMAT=MLN","FA_ADJUSTED=GAAP","Sort=A","Dates=H","DateFormat=P","Fill=—","Direction=H","UseDPDF=Y")</f>
        <v>0</v>
      </c>
      <c r="Q38" s="13" cm="1">
        <f t="array" ref="Q38">_xll.BDH("PCAR US Equity","MIN_NONCONTROL_INTEREST_CREDITS","FQ3 2022","FQ3 2022","Currency=USD","Period=FQ","BEST_FPERIOD_OVERRIDE=FQ","FILING_STATUS=MR","SCALING_FORMAT=MLN","FA_ADJUSTED=GAAP","Sort=A","Dates=H","DateFormat=P","Fill=—","Direction=H","UseDPDF=Y")</f>
        <v>0</v>
      </c>
      <c r="R38" s="13" cm="1">
        <f t="array" ref="R38">_xll.BDH("PCAR US Equity","MIN_NONCONTROL_INTEREST_CREDITS","FQ4 2022","FQ4 2022","Currency=USD","Period=FQ","BEST_FPERIOD_OVERRIDE=FQ","FILING_STATUS=MR","SCALING_FORMAT=MLN","FA_ADJUSTED=GAAP","Sort=A","Dates=H","DateFormat=P","Fill=—","Direction=H","UseDPDF=Y")</f>
        <v>0</v>
      </c>
      <c r="S38" s="13" cm="1">
        <f t="array" ref="S38">_xll.BDH("PCAR US Equity","MIN_NONCONTROL_INTEREST_CREDITS","FQ1 2023","FQ1 2023","Currency=USD","Period=FQ","BEST_FPERIOD_OVERRIDE=FQ","FILING_STATUS=MR","SCALING_FORMAT=MLN","FA_ADJUSTED=GAAP","Sort=A","Dates=H","DateFormat=P","Fill=—","Direction=H","UseDPDF=Y")</f>
        <v>0</v>
      </c>
      <c r="T38" s="13" cm="1">
        <f t="array" ref="T38">_xll.BDH("PCAR US Equity","MIN_NONCONTROL_INTEREST_CREDITS","FQ2 2023","FQ2 2023","Currency=USD","Period=FQ","BEST_FPERIOD_OVERRIDE=FQ","FILING_STATUS=MR","SCALING_FORMAT=MLN","FA_ADJUSTED=GAAP","Sort=A","Dates=H","DateFormat=P","Fill=—","Direction=H","UseDPDF=Y")</f>
        <v>0</v>
      </c>
      <c r="U38" s="13" cm="1">
        <f t="array" ref="U38">_xll.BDH("PCAR US Equity","MIN_NONCONTROL_INTEREST_CREDITS","FQ3 2023","FQ3 2023","Currency=USD","Period=FQ","BEST_FPERIOD_OVERRIDE=FQ","FILING_STATUS=MR","SCALING_FORMAT=MLN","FA_ADJUSTED=GAAP","Sort=A","Dates=H","DateFormat=P","Fill=—","Direction=H","UseDPDF=Y")</f>
        <v>0</v>
      </c>
      <c r="V38" s="13" cm="1">
        <f t="array" ref="V38">_xll.BDH("PCAR US Equity","MIN_NONCONTROL_INTEREST_CREDITS","FQ4 2023","FQ4 2023","Currency=USD","Period=FQ","BEST_FPERIOD_OVERRIDE=FQ","FILING_STATUS=MR","SCALING_FORMAT=MLN","FA_ADJUSTED=GAAP","Sort=A","Dates=H","DateFormat=P","Fill=—","Direction=H","UseDPDF=Y")</f>
        <v>0</v>
      </c>
      <c r="W38" s="13" cm="1">
        <f t="array" ref="W38">_xll.BDH("PCAR US Equity","MIN_NONCONTROL_INTEREST_CREDITS","FQ1 2024","FQ1 2024","Currency=USD","Period=FQ","BEST_FPERIOD_OVERRIDE=FQ","FILING_STATUS=MR","SCALING_FORMAT=MLN","FA_ADJUSTED=GAAP","Sort=A","Dates=H","DateFormat=P","Fill=—","Direction=H","UseDPDF=Y")</f>
        <v>0</v>
      </c>
      <c r="X38" s="13" cm="1">
        <f t="array" ref="X38">_xll.BDH("PCAR US Equity","MIN_NONCONTROL_INTEREST_CREDITS","FQ2 2024","FQ2 2024","Currency=USD","Period=FQ","BEST_FPERIOD_OVERRIDE=FQ","FILING_STATUS=MR","SCALING_FORMAT=MLN","FA_ADJUSTED=GAAP","Sort=A","Dates=H","DateFormat=P","Fill=—","Direction=H","UseDPDF=Y")</f>
        <v>0</v>
      </c>
      <c r="Y38" s="13" cm="1">
        <f t="array" ref="Y38">_xll.BDH("PCAR US Equity","MIN_NONCONTROL_INTEREST_CREDITS","FQ3 2024","FQ3 2024","Currency=USD","Period=FQ","BEST_FPERIOD_OVERRIDE=FQ","FILING_STATUS=MR","SCALING_FORMAT=MLN","FA_ADJUSTED=GAAP","Sort=A","Dates=H","DateFormat=P","Fill=—","Direction=H","UseDPDF=Y")</f>
        <v>0</v>
      </c>
      <c r="Z38" s="13" cm="1">
        <f t="array" ref="Z38">_xll.BDH("PCAR US Equity","MIN_NONCONTROL_INTEREST_CREDITS","FQ4 2024","FQ4 2024","Currency=USD","Period=FQ","BEST_FPERIOD_OVERRIDE=FQ","FILING_STATUS=MR","SCALING_FORMAT=MLN","FA_ADJUSTED=GAAP","Sort=A","Dates=H","DateFormat=P","Fill=—","Direction=H","UseDPDF=Y")</f>
        <v>0</v>
      </c>
      <c r="AA38" s="13" cm="1">
        <f t="array" ref="AA38">_xll.BDH("PCAR US Equity","MIN_NONCONTROL_INTEREST_CREDITS","FQ1 2025","FQ1 2025","Currency=USD","Period=FQ","BEST_FPERIOD_OVERRIDE=FQ","FILING_STATUS=MR","SCALING_FORMAT=MLN","FA_ADJUSTED=GAAP","Sort=A","Dates=H","DateFormat=P","Fill=—","Direction=H","UseDPDF=Y")</f>
        <v>0</v>
      </c>
      <c r="AB38" s="13" cm="1">
        <f t="array" ref="AB38">_xll.BDH("PCAR US Equity","MIN_NONCONTROL_INTEREST_CREDITS","FQ2 2025","FQ2 2025","Currency=USD","Period=FQ","BEST_FPERIOD_OVERRIDE=FQ","FILING_STATUS=MR","SCALING_FORMAT=MLN","FA_ADJUSTED=GAAP","Sort=A","Dates=H","DateFormat=P","Fill=—","Direction=H","UseDPDF=Y")</f>
        <v>0</v>
      </c>
      <c r="AC38" s="13" cm="1">
        <f t="array" ref="AC38">_xll.BDH("PCAR US Equity","MIN_NONCONTROL_INTEREST_CREDITS","FQ3 2025","FQ3 2025","Currency=USD","Period=FQ","BEST_FPERIOD_OVERRIDE=FQ","FILING_STATUS=MR","SCALING_FORMAT=MLN","FA_ADJUSTED=GAAP","Sort=A","Dates=H","DateFormat=P","Fill=—","Direction=H","UseDPDF=Y")</f>
        <v>0</v>
      </c>
      <c r="AD38" s="13" cm="1">
        <f t="array" ref="AD38">_xll.BDH("PCAR US Equity","MIN_NONCONTROL_INTEREST_CREDITS","FQ4 2025","FQ4 2025","Currency=USD","Period=FQ","BEST_FPERIOD_OVERRIDE=FQ","FILING_STATUS=MR","SCALING_FORMAT=MLN","FA_ADJUSTED=GAAP","Sort=A","Dates=H","DateFormat=P","Fill=—","Direction=H","UseDPDF=Y")</f>
        <v>0</v>
      </c>
      <c r="AE38" s="13"/>
      <c r="AF38" s="13"/>
    </row>
    <row r="39" spans="1:32" x14ac:dyDescent="0.25">
      <c r="A39" s="6" t="s">
        <v>130</v>
      </c>
      <c r="B39" s="6" t="s">
        <v>131</v>
      </c>
      <c r="C39" s="16" cm="1">
        <f t="array" ref="C39">_xll.BDH("PCAR US Equity","NET_INCOME","FQ1 2019","FQ1 2019","Currency=USD","Period=FQ","BEST_FPERIOD_OVERRIDE=FQ","FILING_STATUS=MR","SCALING_FORMAT=MLN","FA_ADJUSTED=GAAP","Sort=A","Dates=H","DateFormat=P","Fill=—","Direction=H","UseDPDF=Y")</f>
        <v>629</v>
      </c>
      <c r="D39" s="16" cm="1">
        <f t="array" ref="D39">_xll.BDH("PCAR US Equity","NET_INCOME","FQ2 2019","FQ2 2019","Currency=USD","Period=FQ","BEST_FPERIOD_OVERRIDE=FQ","FILING_STATUS=MR","SCALING_FORMAT=MLN","FA_ADJUSTED=GAAP","Sort=A","Dates=H","DateFormat=P","Fill=—","Direction=H","UseDPDF=Y")</f>
        <v>619.70000000000005</v>
      </c>
      <c r="E39" s="16" cm="1">
        <f t="array" ref="E39">_xll.BDH("PCAR US Equity","NET_INCOME","FQ3 2019","FQ3 2019","Currency=USD","Period=FQ","BEST_FPERIOD_OVERRIDE=FQ","FILING_STATUS=MR","SCALING_FORMAT=MLN","FA_ADJUSTED=GAAP","Sort=A","Dates=H","DateFormat=P","Fill=—","Direction=H","UseDPDF=Y")</f>
        <v>607.9</v>
      </c>
      <c r="F39" s="16" cm="1">
        <f t="array" ref="F39">_xll.BDH("PCAR US Equity","NET_INCOME","FQ4 2019","FQ4 2019","Currency=USD","Period=FQ","BEST_FPERIOD_OVERRIDE=FQ","FILING_STATUS=MR","SCALING_FORMAT=MLN","FA_ADJUSTED=GAAP","Sort=A","Dates=H","DateFormat=P","Fill=—","Direction=H","UseDPDF=Y")</f>
        <v>531.29999999999995</v>
      </c>
      <c r="G39" s="16" cm="1">
        <f t="array" ref="G39">_xll.BDH("PCAR US Equity","NET_INCOME","FQ1 2020","FQ1 2020","Currency=USD","Period=FQ","BEST_FPERIOD_OVERRIDE=FQ","FILING_STATUS=MR","SCALING_FORMAT=MLN","FA_ADJUSTED=GAAP","Sort=A","Dates=H","DateFormat=P","Fill=—","Direction=H","UseDPDF=Y")</f>
        <v>359.4</v>
      </c>
      <c r="H39" s="16" cm="1">
        <f t="array" ref="H39">_xll.BDH("PCAR US Equity","NET_INCOME","FQ2 2020","FQ2 2020","Currency=USD","Period=FQ","BEST_FPERIOD_OVERRIDE=FQ","FILING_STATUS=MR","SCALING_FORMAT=MLN","FA_ADJUSTED=GAAP","Sort=A","Dates=H","DateFormat=P","Fill=—","Direction=H","UseDPDF=Y")</f>
        <v>147.69999999999999</v>
      </c>
      <c r="I39" s="16" cm="1">
        <f t="array" ref="I39">_xll.BDH("PCAR US Equity","NET_INCOME","FQ3 2020","FQ3 2020","Currency=USD","Period=FQ","BEST_FPERIOD_OVERRIDE=FQ","FILING_STATUS=MR","SCALING_FORMAT=MLN","FA_ADJUSTED=GAAP","Sort=A","Dates=H","DateFormat=P","Fill=—","Direction=H","UseDPDF=Y")</f>
        <v>385.5</v>
      </c>
      <c r="J39" s="16" cm="1">
        <f t="array" ref="J39">_xll.BDH("PCAR US Equity","NET_INCOME","FQ4 2020","FQ4 2020","Currency=USD","Period=FQ","BEST_FPERIOD_OVERRIDE=FQ","FILING_STATUS=MR","SCALING_FORMAT=MLN","FA_ADJUSTED=GAAP","Sort=A","Dates=H","DateFormat=P","Fill=—","Direction=H","UseDPDF=Y")</f>
        <v>405.8</v>
      </c>
      <c r="K39" s="16" cm="1">
        <f t="array" ref="K39">_xll.BDH("PCAR US Equity","NET_INCOME","FQ1 2021","FQ1 2021","Currency=USD","Period=FQ","BEST_FPERIOD_OVERRIDE=FQ","FILING_STATUS=MR","SCALING_FORMAT=MLN","FA_ADJUSTED=GAAP","Sort=A","Dates=H","DateFormat=P","Fill=—","Direction=H","UseDPDF=Y")</f>
        <v>470.8</v>
      </c>
      <c r="L39" s="16" cm="1">
        <f t="array" ref="L39">_xll.BDH("PCAR US Equity","NET_INCOME","FQ2 2021","FQ2 2021","Currency=USD","Period=FQ","BEST_FPERIOD_OVERRIDE=FQ","FILING_STATUS=MR","SCALING_FORMAT=MLN","FA_ADJUSTED=GAAP","Sort=A","Dates=H","DateFormat=P","Fill=—","Direction=H","UseDPDF=Y")</f>
        <v>495.5</v>
      </c>
      <c r="M39" s="16" cm="1">
        <f t="array" ref="M39">_xll.BDH("PCAR US Equity","NET_INCOME","FQ3 2021","FQ3 2021","Currency=USD","Period=FQ","BEST_FPERIOD_OVERRIDE=FQ","FILING_STATUS=MR","SCALING_FORMAT=MLN","FA_ADJUSTED=GAAP","Sort=A","Dates=H","DateFormat=P","Fill=—","Direction=H","UseDPDF=Y")</f>
        <v>380.5</v>
      </c>
      <c r="N39" s="16" cm="1">
        <f t="array" ref="N39">_xll.BDH("PCAR US Equity","NET_INCOME","FQ4 2021","FQ4 2021","Currency=USD","Period=FQ","BEST_FPERIOD_OVERRIDE=FQ","FILING_STATUS=MR","SCALING_FORMAT=MLN","FA_ADJUSTED=GAAP","Sort=A","Dates=H","DateFormat=P","Fill=—","Direction=H","UseDPDF=Y")</f>
        <v>518.70000000000005</v>
      </c>
      <c r="O39" s="16" cm="1">
        <f t="array" ref="O39">_xll.BDH("PCAR US Equity","NET_INCOME","FQ1 2022","FQ1 2022","Currency=USD","Period=FQ","BEST_FPERIOD_OVERRIDE=FQ","FILING_STATUS=MR","SCALING_FORMAT=MLN","FA_ADJUSTED=GAAP","Sort=A","Dates=H","DateFormat=P","Fill=—","Direction=H","UseDPDF=Y")</f>
        <v>600.5</v>
      </c>
      <c r="P39" s="16" cm="1">
        <f t="array" ref="P39">_xll.BDH("PCAR US Equity","NET_INCOME","FQ2 2022","FQ2 2022","Currency=USD","Period=FQ","BEST_FPERIOD_OVERRIDE=FQ","FILING_STATUS=MR","SCALING_FORMAT=MLN","FA_ADJUSTED=GAAP","Sort=A","Dates=H","DateFormat=P","Fill=—","Direction=H","UseDPDF=Y")</f>
        <v>720.4</v>
      </c>
      <c r="Q39" s="16" cm="1">
        <f t="array" ref="Q39">_xll.BDH("PCAR US Equity","NET_INCOME","FQ3 2022","FQ3 2022","Currency=USD","Period=FQ","BEST_FPERIOD_OVERRIDE=FQ","FILING_STATUS=MR","SCALING_FORMAT=MLN","FA_ADJUSTED=GAAP","Sort=A","Dates=H","DateFormat=P","Fill=—","Direction=H","UseDPDF=Y")</f>
        <v>769.4</v>
      </c>
      <c r="R39" s="16" cm="1">
        <f t="array" ref="R39">_xll.BDH("PCAR US Equity","NET_INCOME","FQ4 2022","FQ4 2022","Currency=USD","Period=FQ","BEST_FPERIOD_OVERRIDE=FQ","FILING_STATUS=MR","SCALING_FORMAT=MLN","FA_ADJUSTED=GAAP","Sort=A","Dates=H","DateFormat=P","Fill=—","Direction=H","UseDPDF=Y")</f>
        <v>921.3</v>
      </c>
      <c r="S39" s="16" cm="1">
        <f t="array" ref="S39">_xll.BDH("PCAR US Equity","NET_INCOME","FQ1 2023","FQ1 2023","Currency=USD","Period=FQ","BEST_FPERIOD_OVERRIDE=FQ","FILING_STATUS=MR","SCALING_FORMAT=MLN","FA_ADJUSTED=GAAP","Sort=A","Dates=H","DateFormat=P","Fill=—","Direction=H","UseDPDF=Y")</f>
        <v>733.9</v>
      </c>
      <c r="T39" s="16" cm="1">
        <f t="array" ref="T39">_xll.BDH("PCAR US Equity","NET_INCOME","FQ2 2023","FQ2 2023","Currency=USD","Period=FQ","BEST_FPERIOD_OVERRIDE=FQ","FILING_STATUS=MR","SCALING_FORMAT=MLN","FA_ADJUSTED=GAAP","Sort=A","Dates=H","DateFormat=P","Fill=—","Direction=H","UseDPDF=Y")</f>
        <v>1221.0999999999999</v>
      </c>
      <c r="U39" s="16" cm="1">
        <f t="array" ref="U39">_xll.BDH("PCAR US Equity","NET_INCOME","FQ3 2023","FQ3 2023","Currency=USD","Period=FQ","BEST_FPERIOD_OVERRIDE=FQ","FILING_STATUS=MR","SCALING_FORMAT=MLN","FA_ADJUSTED=GAAP","Sort=A","Dates=H","DateFormat=P","Fill=—","Direction=H","UseDPDF=Y")</f>
        <v>1228.5</v>
      </c>
      <c r="V39" s="16" cm="1">
        <f t="array" ref="V39">_xll.BDH("PCAR US Equity","NET_INCOME","FQ4 2023","FQ4 2023","Currency=USD","Period=FQ","BEST_FPERIOD_OVERRIDE=FQ","FILING_STATUS=MR","SCALING_FORMAT=MLN","FA_ADJUSTED=GAAP","Sort=A","Dates=H","DateFormat=P","Fill=—","Direction=H","UseDPDF=Y")</f>
        <v>1417.3</v>
      </c>
      <c r="W39" s="16" cm="1">
        <f t="array" ref="W39">_xll.BDH("PCAR US Equity","NET_INCOME","FQ1 2024","FQ1 2024","Currency=USD","Period=FQ","BEST_FPERIOD_OVERRIDE=FQ","FILING_STATUS=MR","SCALING_FORMAT=MLN","FA_ADJUSTED=GAAP","Sort=A","Dates=H","DateFormat=P","Fill=—","Direction=H","UseDPDF=Y")</f>
        <v>1195.3</v>
      </c>
      <c r="X39" s="16" cm="1">
        <f t="array" ref="X39">_xll.BDH("PCAR US Equity","NET_INCOME","FQ2 2024","FQ2 2024","Currency=USD","Period=FQ","BEST_FPERIOD_OVERRIDE=FQ","FILING_STATUS=MR","SCALING_FORMAT=MLN","FA_ADJUSTED=GAAP","Sort=A","Dates=H","DateFormat=P","Fill=—","Direction=H","UseDPDF=Y")</f>
        <v>1122.5999999999999</v>
      </c>
      <c r="Y39" s="16" cm="1">
        <f t="array" ref="Y39">_xll.BDH("PCAR US Equity","NET_INCOME","FQ3 2024","FQ3 2024","Currency=USD","Period=FQ","BEST_FPERIOD_OVERRIDE=FQ","FILING_STATUS=MR","SCALING_FORMAT=MLN","FA_ADJUSTED=GAAP","Sort=A","Dates=H","DateFormat=P","Fill=—","Direction=H","UseDPDF=Y")</f>
        <v>972.1</v>
      </c>
      <c r="Z39" s="16" cm="1">
        <f t="array" ref="Z39">_xll.BDH("PCAR US Equity","NET_INCOME","FQ4 2024","FQ4 2024","Currency=USD","Period=FQ","BEST_FPERIOD_OVERRIDE=FQ","FILING_STATUS=MR","SCALING_FORMAT=MLN","FA_ADJUSTED=GAAP","Sort=A","Dates=H","DateFormat=P","Fill=—","Direction=H","UseDPDF=Y")</f>
        <v>872</v>
      </c>
      <c r="AA39" s="16" cm="1">
        <f t="array" ref="AA39">_xll.BDH("PCAR US Equity","NET_INCOME","FQ1 2025","FQ1 2025","Currency=USD","Period=FQ","BEST_FPERIOD_OVERRIDE=FQ","FILING_STATUS=MR","SCALING_FORMAT=MLN","FA_ADJUSTED=GAAP","Sort=A","Dates=H","DateFormat=P","Fill=—","Direction=H","UseDPDF=Y")</f>
        <v>505.1</v>
      </c>
      <c r="AB39" s="16" cm="1">
        <f t="array" ref="AB39">_xll.BDH("PCAR US Equity","NET_INCOME","FQ2 2025","FQ2 2025","Currency=USD","Period=FQ","BEST_FPERIOD_OVERRIDE=FQ","FILING_STATUS=MR","SCALING_FORMAT=MLN","FA_ADJUSTED=GAAP","Sort=A","Dates=H","DateFormat=P","Fill=—","Direction=H","UseDPDF=Y")</f>
        <v>723.8</v>
      </c>
      <c r="AC39" s="16" cm="1">
        <f t="array" ref="AC39">_xll.BDH("PCAR US Equity","NET_INCOME","FQ3 2025","FQ3 2025","Currency=USD","Period=FQ","BEST_FPERIOD_OVERRIDE=FQ","FILING_STATUS=MR","SCALING_FORMAT=MLN","FA_ADJUSTED=GAAP","Sort=A","Dates=H","DateFormat=P","Fill=—","Direction=H","UseDPDF=Y")</f>
        <v>590</v>
      </c>
      <c r="AD39" s="16" cm="1">
        <f t="array" ref="AD39">_xll.BDH("PCAR US Equity","NET_INCOME","FQ4 2025","FQ4 2025","Currency=USD","Period=FQ","BEST_FPERIOD_OVERRIDE=FQ","FILING_STATUS=MR","SCALING_FORMAT=MLN","FA_ADJUSTED=GAAP","Sort=A","Dates=H","DateFormat=P","Fill=—","Direction=H","UseDPDF=Y")</f>
        <v>556.9</v>
      </c>
      <c r="AE39" s="16">
        <v>605.6</v>
      </c>
      <c r="AF39" s="16">
        <v>691.7</v>
      </c>
    </row>
    <row r="40" spans="1:32" x14ac:dyDescent="0.25">
      <c r="A40" s="10" t="s">
        <v>132</v>
      </c>
      <c r="B40" s="10" t="s">
        <v>133</v>
      </c>
      <c r="C40" s="13" cm="1">
        <f t="array" ref="C40">_xll.BDH("PCAR US Equity","IS_TOT_CASH_PFD_DVD","FQ1 2019","FQ1 2019","Currency=USD","Period=FQ","BEST_FPERIOD_OVERRIDE=FQ","FILING_STATUS=MR","SCALING_FORMAT=MLN","Sort=A","Dates=H","DateFormat=P","Fill=—","Direction=H","UseDPDF=Y")</f>
        <v>0</v>
      </c>
      <c r="D40" s="13" cm="1">
        <f t="array" ref="D40">_xll.BDH("PCAR US Equity","IS_TOT_CASH_PFD_DVD","FQ2 2019","FQ2 2019","Currency=USD","Period=FQ","BEST_FPERIOD_OVERRIDE=FQ","FILING_STATUS=MR","SCALING_FORMAT=MLN","Sort=A","Dates=H","DateFormat=P","Fill=—","Direction=H","UseDPDF=Y")</f>
        <v>0</v>
      </c>
      <c r="E40" s="13" cm="1">
        <f t="array" ref="E40">_xll.BDH("PCAR US Equity","IS_TOT_CASH_PFD_DVD","FQ3 2019","FQ3 2019","Currency=USD","Period=FQ","BEST_FPERIOD_OVERRIDE=FQ","FILING_STATUS=MR","SCALING_FORMAT=MLN","Sort=A","Dates=H","DateFormat=P","Fill=—","Direction=H","UseDPDF=Y")</f>
        <v>0</v>
      </c>
      <c r="F40" s="13" cm="1">
        <f t="array" ref="F40">_xll.BDH("PCAR US Equity","IS_TOT_CASH_PFD_DVD","FQ4 2019","FQ4 2019","Currency=USD","Period=FQ","BEST_FPERIOD_OVERRIDE=FQ","FILING_STATUS=MR","SCALING_FORMAT=MLN","Sort=A","Dates=H","DateFormat=P","Fill=—","Direction=H","UseDPDF=Y")</f>
        <v>0</v>
      </c>
      <c r="G40" s="13" cm="1">
        <f t="array" ref="G40">_xll.BDH("PCAR US Equity","IS_TOT_CASH_PFD_DVD","FQ1 2020","FQ1 2020","Currency=USD","Period=FQ","BEST_FPERIOD_OVERRIDE=FQ","FILING_STATUS=MR","SCALING_FORMAT=MLN","Sort=A","Dates=H","DateFormat=P","Fill=—","Direction=H","UseDPDF=Y")</f>
        <v>0</v>
      </c>
      <c r="H40" s="13" cm="1">
        <f t="array" ref="H40">_xll.BDH("PCAR US Equity","IS_TOT_CASH_PFD_DVD","FQ2 2020","FQ2 2020","Currency=USD","Period=FQ","BEST_FPERIOD_OVERRIDE=FQ","FILING_STATUS=MR","SCALING_FORMAT=MLN","Sort=A","Dates=H","DateFormat=P","Fill=—","Direction=H","UseDPDF=Y")</f>
        <v>0</v>
      </c>
      <c r="I40" s="13" cm="1">
        <f t="array" ref="I40">_xll.BDH("PCAR US Equity","IS_TOT_CASH_PFD_DVD","FQ3 2020","FQ3 2020","Currency=USD","Period=FQ","BEST_FPERIOD_OVERRIDE=FQ","FILING_STATUS=MR","SCALING_FORMAT=MLN","Sort=A","Dates=H","DateFormat=P","Fill=—","Direction=H","UseDPDF=Y")</f>
        <v>0</v>
      </c>
      <c r="J40" s="13" cm="1">
        <f t="array" ref="J40">_xll.BDH("PCAR US Equity","IS_TOT_CASH_PFD_DVD","FQ4 2020","FQ4 2020","Currency=USD","Period=FQ","BEST_FPERIOD_OVERRIDE=FQ","FILING_STATUS=MR","SCALING_FORMAT=MLN","Sort=A","Dates=H","DateFormat=P","Fill=—","Direction=H","UseDPDF=Y")</f>
        <v>0</v>
      </c>
      <c r="K40" s="13" cm="1">
        <f t="array" ref="K40">_xll.BDH("PCAR US Equity","IS_TOT_CASH_PFD_DVD","FQ1 2021","FQ1 2021","Currency=USD","Period=FQ","BEST_FPERIOD_OVERRIDE=FQ","FILING_STATUS=MR","SCALING_FORMAT=MLN","Sort=A","Dates=H","DateFormat=P","Fill=—","Direction=H","UseDPDF=Y")</f>
        <v>0</v>
      </c>
      <c r="L40" s="13" cm="1">
        <f t="array" ref="L40">_xll.BDH("PCAR US Equity","IS_TOT_CASH_PFD_DVD","FQ2 2021","FQ2 2021","Currency=USD","Period=FQ","BEST_FPERIOD_OVERRIDE=FQ","FILING_STATUS=MR","SCALING_FORMAT=MLN","Sort=A","Dates=H","DateFormat=P","Fill=—","Direction=H","UseDPDF=Y")</f>
        <v>0</v>
      </c>
      <c r="M40" s="13" cm="1">
        <f t="array" ref="M40">_xll.BDH("PCAR US Equity","IS_TOT_CASH_PFD_DVD","FQ3 2021","FQ3 2021","Currency=USD","Period=FQ","BEST_FPERIOD_OVERRIDE=FQ","FILING_STATUS=MR","SCALING_FORMAT=MLN","Sort=A","Dates=H","DateFormat=P","Fill=—","Direction=H","UseDPDF=Y")</f>
        <v>0</v>
      </c>
      <c r="N40" s="13" cm="1">
        <f t="array" ref="N40">_xll.BDH("PCAR US Equity","IS_TOT_CASH_PFD_DVD","FQ4 2021","FQ4 2021","Currency=USD","Period=FQ","BEST_FPERIOD_OVERRIDE=FQ","FILING_STATUS=MR","SCALING_FORMAT=MLN","Sort=A","Dates=H","DateFormat=P","Fill=—","Direction=H","UseDPDF=Y")</f>
        <v>0</v>
      </c>
      <c r="O40" s="13" cm="1">
        <f t="array" ref="O40">_xll.BDH("PCAR US Equity","IS_TOT_CASH_PFD_DVD","FQ1 2022","FQ1 2022","Currency=USD","Period=FQ","BEST_FPERIOD_OVERRIDE=FQ","FILING_STATUS=MR","SCALING_FORMAT=MLN","Sort=A","Dates=H","DateFormat=P","Fill=—","Direction=H","UseDPDF=Y")</f>
        <v>0</v>
      </c>
      <c r="P40" s="13" cm="1">
        <f t="array" ref="P40">_xll.BDH("PCAR US Equity","IS_TOT_CASH_PFD_DVD","FQ2 2022","FQ2 2022","Currency=USD","Period=FQ","BEST_FPERIOD_OVERRIDE=FQ","FILING_STATUS=MR","SCALING_FORMAT=MLN","Sort=A","Dates=H","DateFormat=P","Fill=—","Direction=H","UseDPDF=Y")</f>
        <v>0</v>
      </c>
      <c r="Q40" s="13" cm="1">
        <f t="array" ref="Q40">_xll.BDH("PCAR US Equity","IS_TOT_CASH_PFD_DVD","FQ3 2022","FQ3 2022","Currency=USD","Period=FQ","BEST_FPERIOD_OVERRIDE=FQ","FILING_STATUS=MR","SCALING_FORMAT=MLN","Sort=A","Dates=H","DateFormat=P","Fill=—","Direction=H","UseDPDF=Y")</f>
        <v>0</v>
      </c>
      <c r="R40" s="13" cm="1">
        <f t="array" ref="R40">_xll.BDH("PCAR US Equity","IS_TOT_CASH_PFD_DVD","FQ4 2022","FQ4 2022","Currency=USD","Period=FQ","BEST_FPERIOD_OVERRIDE=FQ","FILING_STATUS=MR","SCALING_FORMAT=MLN","Sort=A","Dates=H","DateFormat=P","Fill=—","Direction=H","UseDPDF=Y")</f>
        <v>0</v>
      </c>
      <c r="S40" s="13" cm="1">
        <f t="array" ref="S40">_xll.BDH("PCAR US Equity","IS_TOT_CASH_PFD_DVD","FQ1 2023","FQ1 2023","Currency=USD","Period=FQ","BEST_FPERIOD_OVERRIDE=FQ","FILING_STATUS=MR","SCALING_FORMAT=MLN","Sort=A","Dates=H","DateFormat=P","Fill=—","Direction=H","UseDPDF=Y")</f>
        <v>0</v>
      </c>
      <c r="T40" s="13" cm="1">
        <f t="array" ref="T40">_xll.BDH("PCAR US Equity","IS_TOT_CASH_PFD_DVD","FQ2 2023","FQ2 2023","Currency=USD","Period=FQ","BEST_FPERIOD_OVERRIDE=FQ","FILING_STATUS=MR","SCALING_FORMAT=MLN","Sort=A","Dates=H","DateFormat=P","Fill=—","Direction=H","UseDPDF=Y")</f>
        <v>0</v>
      </c>
      <c r="U40" s="13" cm="1">
        <f t="array" ref="U40">_xll.BDH("PCAR US Equity","IS_TOT_CASH_PFD_DVD","FQ3 2023","FQ3 2023","Currency=USD","Period=FQ","BEST_FPERIOD_OVERRIDE=FQ","FILING_STATUS=MR","SCALING_FORMAT=MLN","Sort=A","Dates=H","DateFormat=P","Fill=—","Direction=H","UseDPDF=Y")</f>
        <v>0</v>
      </c>
      <c r="V40" s="13" cm="1">
        <f t="array" ref="V40">_xll.BDH("PCAR US Equity","IS_TOT_CASH_PFD_DVD","FQ4 2023","FQ4 2023","Currency=USD","Period=FQ","BEST_FPERIOD_OVERRIDE=FQ","FILING_STATUS=MR","SCALING_FORMAT=MLN","Sort=A","Dates=H","DateFormat=P","Fill=—","Direction=H","UseDPDF=Y")</f>
        <v>0</v>
      </c>
      <c r="W40" s="13" cm="1">
        <f t="array" ref="W40">_xll.BDH("PCAR US Equity","IS_TOT_CASH_PFD_DVD","FQ1 2024","FQ1 2024","Currency=USD","Period=FQ","BEST_FPERIOD_OVERRIDE=FQ","FILING_STATUS=MR","SCALING_FORMAT=MLN","Sort=A","Dates=H","DateFormat=P","Fill=—","Direction=H","UseDPDF=Y")</f>
        <v>0</v>
      </c>
      <c r="X40" s="13" cm="1">
        <f t="array" ref="X40">_xll.BDH("PCAR US Equity","IS_TOT_CASH_PFD_DVD","FQ2 2024","FQ2 2024","Currency=USD","Period=FQ","BEST_FPERIOD_OVERRIDE=FQ","FILING_STATUS=MR","SCALING_FORMAT=MLN","Sort=A","Dates=H","DateFormat=P","Fill=—","Direction=H","UseDPDF=Y")</f>
        <v>0</v>
      </c>
      <c r="Y40" s="13" cm="1">
        <f t="array" ref="Y40">_xll.BDH("PCAR US Equity","IS_TOT_CASH_PFD_DVD","FQ3 2024","FQ3 2024","Currency=USD","Period=FQ","BEST_FPERIOD_OVERRIDE=FQ","FILING_STATUS=MR","SCALING_FORMAT=MLN","Sort=A","Dates=H","DateFormat=P","Fill=—","Direction=H","UseDPDF=Y")</f>
        <v>0</v>
      </c>
      <c r="Z40" s="13" cm="1">
        <f t="array" ref="Z40">_xll.BDH("PCAR US Equity","IS_TOT_CASH_PFD_DVD","FQ4 2024","FQ4 2024","Currency=USD","Period=FQ","BEST_FPERIOD_OVERRIDE=FQ","FILING_STATUS=MR","SCALING_FORMAT=MLN","Sort=A","Dates=H","DateFormat=P","Fill=—","Direction=H","UseDPDF=Y")</f>
        <v>0</v>
      </c>
      <c r="AA40" s="13" cm="1">
        <f t="array" ref="AA40">_xll.BDH("PCAR US Equity","IS_TOT_CASH_PFD_DVD","FQ1 2025","FQ1 2025","Currency=USD","Period=FQ","BEST_FPERIOD_OVERRIDE=FQ","FILING_STATUS=MR","SCALING_FORMAT=MLN","Sort=A","Dates=H","DateFormat=P","Fill=—","Direction=H","UseDPDF=Y")</f>
        <v>0</v>
      </c>
      <c r="AB40" s="13" cm="1">
        <f t="array" ref="AB40">_xll.BDH("PCAR US Equity","IS_TOT_CASH_PFD_DVD","FQ2 2025","FQ2 2025","Currency=USD","Period=FQ","BEST_FPERIOD_OVERRIDE=FQ","FILING_STATUS=MR","SCALING_FORMAT=MLN","Sort=A","Dates=H","DateFormat=P","Fill=—","Direction=H","UseDPDF=Y")</f>
        <v>0</v>
      </c>
      <c r="AC40" s="13" cm="1">
        <f t="array" ref="AC40">_xll.BDH("PCAR US Equity","IS_TOT_CASH_PFD_DVD","FQ3 2025","FQ3 2025","Currency=USD","Period=FQ","BEST_FPERIOD_OVERRIDE=FQ","FILING_STATUS=MR","SCALING_FORMAT=MLN","Sort=A","Dates=H","DateFormat=P","Fill=—","Direction=H","UseDPDF=Y")</f>
        <v>0</v>
      </c>
      <c r="AD40" s="13" cm="1">
        <f t="array" ref="AD40">_xll.BDH("PCAR US Equity","IS_TOT_CASH_PFD_DVD","FQ4 2025","FQ4 2025","Currency=USD","Period=FQ","BEST_FPERIOD_OVERRIDE=FQ","FILING_STATUS=MR","SCALING_FORMAT=MLN","Sort=A","Dates=H","DateFormat=P","Fill=—","Direction=H","UseDPDF=Y")</f>
        <v>0</v>
      </c>
      <c r="AE40" s="13"/>
      <c r="AF40" s="13"/>
    </row>
    <row r="41" spans="1:32" x14ac:dyDescent="0.25">
      <c r="A41" s="10" t="s">
        <v>134</v>
      </c>
      <c r="B41" s="10" t="s">
        <v>135</v>
      </c>
      <c r="C41" s="13" cm="1">
        <f t="array" ref="C41">_xll.BDH("PCAR US Equity","OTHER_ADJUSTMENTS","FQ1 2019","FQ1 2019","Currency=USD","Period=FQ","BEST_FPERIOD_OVERRIDE=FQ","FILING_STATUS=MR","SCALING_FORMAT=MLN","Sort=A","Dates=H","DateFormat=P","Fill=—","Direction=H","UseDPDF=Y")</f>
        <v>0</v>
      </c>
      <c r="D41" s="13" cm="1">
        <f t="array" ref="D41">_xll.BDH("PCAR US Equity","OTHER_ADJUSTMENTS","FQ2 2019","FQ2 2019","Currency=USD","Period=FQ","BEST_FPERIOD_OVERRIDE=FQ","FILING_STATUS=MR","SCALING_FORMAT=MLN","Sort=A","Dates=H","DateFormat=P","Fill=—","Direction=H","UseDPDF=Y")</f>
        <v>0</v>
      </c>
      <c r="E41" s="13" cm="1">
        <f t="array" ref="E41">_xll.BDH("PCAR US Equity","OTHER_ADJUSTMENTS","FQ3 2019","FQ3 2019","Currency=USD","Period=FQ","BEST_FPERIOD_OVERRIDE=FQ","FILING_STATUS=MR","SCALING_FORMAT=MLN","Sort=A","Dates=H","DateFormat=P","Fill=—","Direction=H","UseDPDF=Y")</f>
        <v>0</v>
      </c>
      <c r="F41" s="13" cm="1">
        <f t="array" ref="F41">_xll.BDH("PCAR US Equity","OTHER_ADJUSTMENTS","FQ4 2019","FQ4 2019","Currency=USD","Period=FQ","BEST_FPERIOD_OVERRIDE=FQ","FILING_STATUS=MR","SCALING_FORMAT=MLN","Sort=A","Dates=H","DateFormat=P","Fill=—","Direction=H","UseDPDF=Y")</f>
        <v>0</v>
      </c>
      <c r="G41" s="13" cm="1">
        <f t="array" ref="G41">_xll.BDH("PCAR US Equity","OTHER_ADJUSTMENTS","FQ1 2020","FQ1 2020","Currency=USD","Period=FQ","BEST_FPERIOD_OVERRIDE=FQ","FILING_STATUS=MR","SCALING_FORMAT=MLN","Sort=A","Dates=H","DateFormat=P","Fill=—","Direction=H","UseDPDF=Y")</f>
        <v>0</v>
      </c>
      <c r="H41" s="13" cm="1">
        <f t="array" ref="H41">_xll.BDH("PCAR US Equity","OTHER_ADJUSTMENTS","FQ2 2020","FQ2 2020","Currency=USD","Period=FQ","BEST_FPERIOD_OVERRIDE=FQ","FILING_STATUS=MR","SCALING_FORMAT=MLN","Sort=A","Dates=H","DateFormat=P","Fill=—","Direction=H","UseDPDF=Y")</f>
        <v>0</v>
      </c>
      <c r="I41" s="13" cm="1">
        <f t="array" ref="I41">_xll.BDH("PCAR US Equity","OTHER_ADJUSTMENTS","FQ3 2020","FQ3 2020","Currency=USD","Period=FQ","BEST_FPERIOD_OVERRIDE=FQ","FILING_STATUS=MR","SCALING_FORMAT=MLN","Sort=A","Dates=H","DateFormat=P","Fill=—","Direction=H","UseDPDF=Y")</f>
        <v>0</v>
      </c>
      <c r="J41" s="13" cm="1">
        <f t="array" ref="J41">_xll.BDH("PCAR US Equity","OTHER_ADJUSTMENTS","FQ4 2020","FQ4 2020","Currency=USD","Period=FQ","BEST_FPERIOD_OVERRIDE=FQ","FILING_STATUS=MR","SCALING_FORMAT=MLN","Sort=A","Dates=H","DateFormat=P","Fill=—","Direction=H","UseDPDF=Y")</f>
        <v>0</v>
      </c>
      <c r="K41" s="13" cm="1">
        <f t="array" ref="K41">_xll.BDH("PCAR US Equity","OTHER_ADJUSTMENTS","FQ1 2021","FQ1 2021","Currency=USD","Period=FQ","BEST_FPERIOD_OVERRIDE=FQ","FILING_STATUS=MR","SCALING_FORMAT=MLN","Sort=A","Dates=H","DateFormat=P","Fill=—","Direction=H","UseDPDF=Y")</f>
        <v>0</v>
      </c>
      <c r="L41" s="13" cm="1">
        <f t="array" ref="L41">_xll.BDH("PCAR US Equity","OTHER_ADJUSTMENTS","FQ2 2021","FQ2 2021","Currency=USD","Period=FQ","BEST_FPERIOD_OVERRIDE=FQ","FILING_STATUS=MR","SCALING_FORMAT=MLN","Sort=A","Dates=H","DateFormat=P","Fill=—","Direction=H","UseDPDF=Y")</f>
        <v>0</v>
      </c>
      <c r="M41" s="13" cm="1">
        <f t="array" ref="M41">_xll.BDH("PCAR US Equity","OTHER_ADJUSTMENTS","FQ3 2021","FQ3 2021","Currency=USD","Period=FQ","BEST_FPERIOD_OVERRIDE=FQ","FILING_STATUS=MR","SCALING_FORMAT=MLN","Sort=A","Dates=H","DateFormat=P","Fill=—","Direction=H","UseDPDF=Y")</f>
        <v>0</v>
      </c>
      <c r="N41" s="13" cm="1">
        <f t="array" ref="N41">_xll.BDH("PCAR US Equity","OTHER_ADJUSTMENTS","FQ4 2021","FQ4 2021","Currency=USD","Period=FQ","BEST_FPERIOD_OVERRIDE=FQ","FILING_STATUS=MR","SCALING_FORMAT=MLN","Sort=A","Dates=H","DateFormat=P","Fill=—","Direction=H","UseDPDF=Y")</f>
        <v>0</v>
      </c>
      <c r="O41" s="13" cm="1">
        <f t="array" ref="O41">_xll.BDH("PCAR US Equity","OTHER_ADJUSTMENTS","FQ1 2022","FQ1 2022","Currency=USD","Period=FQ","BEST_FPERIOD_OVERRIDE=FQ","FILING_STATUS=MR","SCALING_FORMAT=MLN","Sort=A","Dates=H","DateFormat=P","Fill=—","Direction=H","UseDPDF=Y")</f>
        <v>0</v>
      </c>
      <c r="P41" s="13" cm="1">
        <f t="array" ref="P41">_xll.BDH("PCAR US Equity","OTHER_ADJUSTMENTS","FQ2 2022","FQ2 2022","Currency=USD","Period=FQ","BEST_FPERIOD_OVERRIDE=FQ","FILING_STATUS=MR","SCALING_FORMAT=MLN","Sort=A","Dates=H","DateFormat=P","Fill=—","Direction=H","UseDPDF=Y")</f>
        <v>0</v>
      </c>
      <c r="Q41" s="13" cm="1">
        <f t="array" ref="Q41">_xll.BDH("PCAR US Equity","OTHER_ADJUSTMENTS","FQ3 2022","FQ3 2022","Currency=USD","Period=FQ","BEST_FPERIOD_OVERRIDE=FQ","FILING_STATUS=MR","SCALING_FORMAT=MLN","Sort=A","Dates=H","DateFormat=P","Fill=—","Direction=H","UseDPDF=Y")</f>
        <v>0</v>
      </c>
      <c r="R41" s="13" cm="1">
        <f t="array" ref="R41">_xll.BDH("PCAR US Equity","OTHER_ADJUSTMENTS","FQ4 2022","FQ4 2022","Currency=USD","Period=FQ","BEST_FPERIOD_OVERRIDE=FQ","FILING_STATUS=MR","SCALING_FORMAT=MLN","Sort=A","Dates=H","DateFormat=P","Fill=—","Direction=H","UseDPDF=Y")</f>
        <v>0</v>
      </c>
      <c r="S41" s="13" cm="1">
        <f t="array" ref="S41">_xll.BDH("PCAR US Equity","OTHER_ADJUSTMENTS","FQ1 2023","FQ1 2023","Currency=USD","Period=FQ","BEST_FPERIOD_OVERRIDE=FQ","FILING_STATUS=MR","SCALING_FORMAT=MLN","Sort=A","Dates=H","DateFormat=P","Fill=—","Direction=H","UseDPDF=Y")</f>
        <v>0</v>
      </c>
      <c r="T41" s="13" cm="1">
        <f t="array" ref="T41">_xll.BDH("PCAR US Equity","OTHER_ADJUSTMENTS","FQ2 2023","FQ2 2023","Currency=USD","Period=FQ","BEST_FPERIOD_OVERRIDE=FQ","FILING_STATUS=MR","SCALING_FORMAT=MLN","Sort=A","Dates=H","DateFormat=P","Fill=—","Direction=H","UseDPDF=Y")</f>
        <v>0</v>
      </c>
      <c r="U41" s="13" cm="1">
        <f t="array" ref="U41">_xll.BDH("PCAR US Equity","OTHER_ADJUSTMENTS","FQ3 2023","FQ3 2023","Currency=USD","Period=FQ","BEST_FPERIOD_OVERRIDE=FQ","FILING_STATUS=MR","SCALING_FORMAT=MLN","Sort=A","Dates=H","DateFormat=P","Fill=—","Direction=H","UseDPDF=Y")</f>
        <v>0</v>
      </c>
      <c r="V41" s="13" cm="1">
        <f t="array" ref="V41">_xll.BDH("PCAR US Equity","OTHER_ADJUSTMENTS","FQ4 2023","FQ4 2023","Currency=USD","Period=FQ","BEST_FPERIOD_OVERRIDE=FQ","FILING_STATUS=MR","SCALING_FORMAT=MLN","Sort=A","Dates=H","DateFormat=P","Fill=—","Direction=H","UseDPDF=Y")</f>
        <v>0</v>
      </c>
      <c r="W41" s="13" cm="1">
        <f t="array" ref="W41">_xll.BDH("PCAR US Equity","OTHER_ADJUSTMENTS","FQ1 2024","FQ1 2024","Currency=USD","Period=FQ","BEST_FPERIOD_OVERRIDE=FQ","FILING_STATUS=MR","SCALING_FORMAT=MLN","Sort=A","Dates=H","DateFormat=P","Fill=—","Direction=H","UseDPDF=Y")</f>
        <v>0</v>
      </c>
      <c r="X41" s="13" cm="1">
        <f t="array" ref="X41">_xll.BDH("PCAR US Equity","OTHER_ADJUSTMENTS","FQ2 2024","FQ2 2024","Currency=USD","Period=FQ","BEST_FPERIOD_OVERRIDE=FQ","FILING_STATUS=MR","SCALING_FORMAT=MLN","Sort=A","Dates=H","DateFormat=P","Fill=—","Direction=H","UseDPDF=Y")</f>
        <v>0</v>
      </c>
      <c r="Y41" s="13" cm="1">
        <f t="array" ref="Y41">_xll.BDH("PCAR US Equity","OTHER_ADJUSTMENTS","FQ3 2024","FQ3 2024","Currency=USD","Period=FQ","BEST_FPERIOD_OVERRIDE=FQ","FILING_STATUS=MR","SCALING_FORMAT=MLN","Sort=A","Dates=H","DateFormat=P","Fill=—","Direction=H","UseDPDF=Y")</f>
        <v>0</v>
      </c>
      <c r="Z41" s="13" cm="1">
        <f t="array" ref="Z41">_xll.BDH("PCAR US Equity","OTHER_ADJUSTMENTS","FQ4 2024","FQ4 2024","Currency=USD","Period=FQ","BEST_FPERIOD_OVERRIDE=FQ","FILING_STATUS=MR","SCALING_FORMAT=MLN","Sort=A","Dates=H","DateFormat=P","Fill=—","Direction=H","UseDPDF=Y")</f>
        <v>0</v>
      </c>
      <c r="AA41" s="13" cm="1">
        <f t="array" ref="AA41">_xll.BDH("PCAR US Equity","OTHER_ADJUSTMENTS","FQ1 2025","FQ1 2025","Currency=USD","Period=FQ","BEST_FPERIOD_OVERRIDE=FQ","FILING_STATUS=MR","SCALING_FORMAT=MLN","Sort=A","Dates=H","DateFormat=P","Fill=—","Direction=H","UseDPDF=Y")</f>
        <v>0</v>
      </c>
      <c r="AB41" s="13" cm="1">
        <f t="array" ref="AB41">_xll.BDH("PCAR US Equity","OTHER_ADJUSTMENTS","FQ2 2025","FQ2 2025","Currency=USD","Period=FQ","BEST_FPERIOD_OVERRIDE=FQ","FILING_STATUS=MR","SCALING_FORMAT=MLN","Sort=A","Dates=H","DateFormat=P","Fill=—","Direction=H","UseDPDF=Y")</f>
        <v>0</v>
      </c>
      <c r="AC41" s="13" cm="1">
        <f t="array" ref="AC41">_xll.BDH("PCAR US Equity","OTHER_ADJUSTMENTS","FQ3 2025","FQ3 2025","Currency=USD","Period=FQ","BEST_FPERIOD_OVERRIDE=FQ","FILING_STATUS=MR","SCALING_FORMAT=MLN","Sort=A","Dates=H","DateFormat=P","Fill=—","Direction=H","UseDPDF=Y")</f>
        <v>0</v>
      </c>
      <c r="AD41" s="13" cm="1">
        <f t="array" ref="AD41">_xll.BDH("PCAR US Equity","OTHER_ADJUSTMENTS","FQ4 2025","FQ4 2025","Currency=USD","Period=FQ","BEST_FPERIOD_OVERRIDE=FQ","FILING_STATUS=MR","SCALING_FORMAT=MLN","Sort=A","Dates=H","DateFormat=P","Fill=—","Direction=H","UseDPDF=Y")</f>
        <v>0</v>
      </c>
      <c r="AE41" s="13"/>
      <c r="AF41" s="13"/>
    </row>
    <row r="42" spans="1:32" x14ac:dyDescent="0.25">
      <c r="A42" s="6" t="s">
        <v>136</v>
      </c>
      <c r="B42" s="6" t="s">
        <v>137</v>
      </c>
      <c r="C42" s="16" cm="1">
        <f t="array" ref="C42">_xll.BDH("PCAR US Equity","EARN_FOR_COMMON","FQ1 2019","FQ1 2019","Currency=USD","Period=FQ","BEST_FPERIOD_OVERRIDE=FQ","FILING_STATUS=MR","SCALING_FORMAT=MLN","FA_ADJUSTED=GAAP","Sort=A","Dates=H","DateFormat=P","Fill=—","Direction=H","UseDPDF=Y")</f>
        <v>629</v>
      </c>
      <c r="D42" s="16" cm="1">
        <f t="array" ref="D42">_xll.BDH("PCAR US Equity","EARN_FOR_COMMON","FQ2 2019","FQ2 2019","Currency=USD","Period=FQ","BEST_FPERIOD_OVERRIDE=FQ","FILING_STATUS=MR","SCALING_FORMAT=MLN","FA_ADJUSTED=GAAP","Sort=A","Dates=H","DateFormat=P","Fill=—","Direction=H","UseDPDF=Y")</f>
        <v>619.70000000000005</v>
      </c>
      <c r="E42" s="16" cm="1">
        <f t="array" ref="E42">_xll.BDH("PCAR US Equity","EARN_FOR_COMMON","FQ3 2019","FQ3 2019","Currency=USD","Period=FQ","BEST_FPERIOD_OVERRIDE=FQ","FILING_STATUS=MR","SCALING_FORMAT=MLN","FA_ADJUSTED=GAAP","Sort=A","Dates=H","DateFormat=P","Fill=—","Direction=H","UseDPDF=Y")</f>
        <v>607.9</v>
      </c>
      <c r="F42" s="16" cm="1">
        <f t="array" ref="F42">_xll.BDH("PCAR US Equity","EARN_FOR_COMMON","FQ4 2019","FQ4 2019","Currency=USD","Period=FQ","BEST_FPERIOD_OVERRIDE=FQ","FILING_STATUS=MR","SCALING_FORMAT=MLN","FA_ADJUSTED=GAAP","Sort=A","Dates=H","DateFormat=P","Fill=—","Direction=H","UseDPDF=Y")</f>
        <v>531.29999999999995</v>
      </c>
      <c r="G42" s="16" cm="1">
        <f t="array" ref="G42">_xll.BDH("PCAR US Equity","EARN_FOR_COMMON","FQ1 2020","FQ1 2020","Currency=USD","Period=FQ","BEST_FPERIOD_OVERRIDE=FQ","FILING_STATUS=MR","SCALING_FORMAT=MLN","FA_ADJUSTED=GAAP","Sort=A","Dates=H","DateFormat=P","Fill=—","Direction=H","UseDPDF=Y")</f>
        <v>359.4</v>
      </c>
      <c r="H42" s="16" cm="1">
        <f t="array" ref="H42">_xll.BDH("PCAR US Equity","EARN_FOR_COMMON","FQ2 2020","FQ2 2020","Currency=USD","Period=FQ","BEST_FPERIOD_OVERRIDE=FQ","FILING_STATUS=MR","SCALING_FORMAT=MLN","FA_ADJUSTED=GAAP","Sort=A","Dates=H","DateFormat=P","Fill=—","Direction=H","UseDPDF=Y")</f>
        <v>147.69999999999999</v>
      </c>
      <c r="I42" s="16" cm="1">
        <f t="array" ref="I42">_xll.BDH("PCAR US Equity","EARN_FOR_COMMON","FQ3 2020","FQ3 2020","Currency=USD","Period=FQ","BEST_FPERIOD_OVERRIDE=FQ","FILING_STATUS=MR","SCALING_FORMAT=MLN","FA_ADJUSTED=GAAP","Sort=A","Dates=H","DateFormat=P","Fill=—","Direction=H","UseDPDF=Y")</f>
        <v>385.5</v>
      </c>
      <c r="J42" s="16" cm="1">
        <f t="array" ref="J42">_xll.BDH("PCAR US Equity","EARN_FOR_COMMON","FQ4 2020","FQ4 2020","Currency=USD","Period=FQ","BEST_FPERIOD_OVERRIDE=FQ","FILING_STATUS=MR","SCALING_FORMAT=MLN","FA_ADJUSTED=GAAP","Sort=A","Dates=H","DateFormat=P","Fill=—","Direction=H","UseDPDF=Y")</f>
        <v>405.8</v>
      </c>
      <c r="K42" s="16" cm="1">
        <f t="array" ref="K42">_xll.BDH("PCAR US Equity","EARN_FOR_COMMON","FQ1 2021","FQ1 2021","Currency=USD","Period=FQ","BEST_FPERIOD_OVERRIDE=FQ","FILING_STATUS=MR","SCALING_FORMAT=MLN","FA_ADJUSTED=GAAP","Sort=A","Dates=H","DateFormat=P","Fill=—","Direction=H","UseDPDF=Y")</f>
        <v>470.8</v>
      </c>
      <c r="L42" s="16" cm="1">
        <f t="array" ref="L42">_xll.BDH("PCAR US Equity","EARN_FOR_COMMON","FQ2 2021","FQ2 2021","Currency=USD","Period=FQ","BEST_FPERIOD_OVERRIDE=FQ","FILING_STATUS=MR","SCALING_FORMAT=MLN","FA_ADJUSTED=GAAP","Sort=A","Dates=H","DateFormat=P","Fill=—","Direction=H","UseDPDF=Y")</f>
        <v>495.5</v>
      </c>
      <c r="M42" s="16" cm="1">
        <f t="array" ref="M42">_xll.BDH("PCAR US Equity","EARN_FOR_COMMON","FQ3 2021","FQ3 2021","Currency=USD","Period=FQ","BEST_FPERIOD_OVERRIDE=FQ","FILING_STATUS=MR","SCALING_FORMAT=MLN","FA_ADJUSTED=GAAP","Sort=A","Dates=H","DateFormat=P","Fill=—","Direction=H","UseDPDF=Y")</f>
        <v>380.5</v>
      </c>
      <c r="N42" s="16" cm="1">
        <f t="array" ref="N42">_xll.BDH("PCAR US Equity","EARN_FOR_COMMON","FQ4 2021","FQ4 2021","Currency=USD","Period=FQ","BEST_FPERIOD_OVERRIDE=FQ","FILING_STATUS=MR","SCALING_FORMAT=MLN","FA_ADJUSTED=GAAP","Sort=A","Dates=H","DateFormat=P","Fill=—","Direction=H","UseDPDF=Y")</f>
        <v>518.70000000000005</v>
      </c>
      <c r="O42" s="16" cm="1">
        <f t="array" ref="O42">_xll.BDH("PCAR US Equity","EARN_FOR_COMMON","FQ1 2022","FQ1 2022","Currency=USD","Period=FQ","BEST_FPERIOD_OVERRIDE=FQ","FILING_STATUS=MR","SCALING_FORMAT=MLN","FA_ADJUSTED=GAAP","Sort=A","Dates=H","DateFormat=P","Fill=—","Direction=H","UseDPDF=Y")</f>
        <v>600.5</v>
      </c>
      <c r="P42" s="16" cm="1">
        <f t="array" ref="P42">_xll.BDH("PCAR US Equity","EARN_FOR_COMMON","FQ2 2022","FQ2 2022","Currency=USD","Period=FQ","BEST_FPERIOD_OVERRIDE=FQ","FILING_STATUS=MR","SCALING_FORMAT=MLN","FA_ADJUSTED=GAAP","Sort=A","Dates=H","DateFormat=P","Fill=—","Direction=H","UseDPDF=Y")</f>
        <v>720.4</v>
      </c>
      <c r="Q42" s="16" cm="1">
        <f t="array" ref="Q42">_xll.BDH("PCAR US Equity","EARN_FOR_COMMON","FQ3 2022","FQ3 2022","Currency=USD","Period=FQ","BEST_FPERIOD_OVERRIDE=FQ","FILING_STATUS=MR","SCALING_FORMAT=MLN","FA_ADJUSTED=GAAP","Sort=A","Dates=H","DateFormat=P","Fill=—","Direction=H","UseDPDF=Y")</f>
        <v>769.4</v>
      </c>
      <c r="R42" s="16" cm="1">
        <f t="array" ref="R42">_xll.BDH("PCAR US Equity","EARN_FOR_COMMON","FQ4 2022","FQ4 2022","Currency=USD","Period=FQ","BEST_FPERIOD_OVERRIDE=FQ","FILING_STATUS=MR","SCALING_FORMAT=MLN","FA_ADJUSTED=GAAP","Sort=A","Dates=H","DateFormat=P","Fill=—","Direction=H","UseDPDF=Y")</f>
        <v>921.3</v>
      </c>
      <c r="S42" s="16" cm="1">
        <f t="array" ref="S42">_xll.BDH("PCAR US Equity","EARN_FOR_COMMON","FQ1 2023","FQ1 2023","Currency=USD","Period=FQ","BEST_FPERIOD_OVERRIDE=FQ","FILING_STATUS=MR","SCALING_FORMAT=MLN","FA_ADJUSTED=GAAP","Sort=A","Dates=H","DateFormat=P","Fill=—","Direction=H","UseDPDF=Y")</f>
        <v>733.9</v>
      </c>
      <c r="T42" s="16" cm="1">
        <f t="array" ref="T42">_xll.BDH("PCAR US Equity","EARN_FOR_COMMON","FQ2 2023","FQ2 2023","Currency=USD","Period=FQ","BEST_FPERIOD_OVERRIDE=FQ","FILING_STATUS=MR","SCALING_FORMAT=MLN","FA_ADJUSTED=GAAP","Sort=A","Dates=H","DateFormat=P","Fill=—","Direction=H","UseDPDF=Y")</f>
        <v>1221.0999999999999</v>
      </c>
      <c r="U42" s="16" cm="1">
        <f t="array" ref="U42">_xll.BDH("PCAR US Equity","EARN_FOR_COMMON","FQ3 2023","FQ3 2023","Currency=USD","Period=FQ","BEST_FPERIOD_OVERRIDE=FQ","FILING_STATUS=MR","SCALING_FORMAT=MLN","FA_ADJUSTED=GAAP","Sort=A","Dates=H","DateFormat=P","Fill=—","Direction=H","UseDPDF=Y")</f>
        <v>1228.5</v>
      </c>
      <c r="V42" s="16" cm="1">
        <f t="array" ref="V42">_xll.BDH("PCAR US Equity","EARN_FOR_COMMON","FQ4 2023","FQ4 2023","Currency=USD","Period=FQ","BEST_FPERIOD_OVERRIDE=FQ","FILING_STATUS=MR","SCALING_FORMAT=MLN","FA_ADJUSTED=GAAP","Sort=A","Dates=H","DateFormat=P","Fill=—","Direction=H","UseDPDF=Y")</f>
        <v>1417.3</v>
      </c>
      <c r="W42" s="16" cm="1">
        <f t="array" ref="W42">_xll.BDH("PCAR US Equity","EARN_FOR_COMMON","FQ1 2024","FQ1 2024","Currency=USD","Period=FQ","BEST_FPERIOD_OVERRIDE=FQ","FILING_STATUS=MR","SCALING_FORMAT=MLN","FA_ADJUSTED=GAAP","Sort=A","Dates=H","DateFormat=P","Fill=—","Direction=H","UseDPDF=Y")</f>
        <v>1195.3</v>
      </c>
      <c r="X42" s="16" cm="1">
        <f t="array" ref="X42">_xll.BDH("PCAR US Equity","EARN_FOR_COMMON","FQ2 2024","FQ2 2024","Currency=USD","Period=FQ","BEST_FPERIOD_OVERRIDE=FQ","FILING_STATUS=MR","SCALING_FORMAT=MLN","FA_ADJUSTED=GAAP","Sort=A","Dates=H","DateFormat=P","Fill=—","Direction=H","UseDPDF=Y")</f>
        <v>1122.5999999999999</v>
      </c>
      <c r="Y42" s="16" cm="1">
        <f t="array" ref="Y42">_xll.BDH("PCAR US Equity","EARN_FOR_COMMON","FQ3 2024","FQ3 2024","Currency=USD","Period=FQ","BEST_FPERIOD_OVERRIDE=FQ","FILING_STATUS=MR","SCALING_FORMAT=MLN","FA_ADJUSTED=GAAP","Sort=A","Dates=H","DateFormat=P","Fill=—","Direction=H","UseDPDF=Y")</f>
        <v>972.1</v>
      </c>
      <c r="Z42" s="16" cm="1">
        <f t="array" ref="Z42">_xll.BDH("PCAR US Equity","EARN_FOR_COMMON","FQ4 2024","FQ4 2024","Currency=USD","Period=FQ","BEST_FPERIOD_OVERRIDE=FQ","FILING_STATUS=MR","SCALING_FORMAT=MLN","FA_ADJUSTED=GAAP","Sort=A","Dates=H","DateFormat=P","Fill=—","Direction=H","UseDPDF=Y")</f>
        <v>872</v>
      </c>
      <c r="AA42" s="16" cm="1">
        <f t="array" ref="AA42">_xll.BDH("PCAR US Equity","EARN_FOR_COMMON","FQ1 2025","FQ1 2025","Currency=USD","Period=FQ","BEST_FPERIOD_OVERRIDE=FQ","FILING_STATUS=MR","SCALING_FORMAT=MLN","FA_ADJUSTED=GAAP","Sort=A","Dates=H","DateFormat=P","Fill=—","Direction=H","UseDPDF=Y")</f>
        <v>505.1</v>
      </c>
      <c r="AB42" s="16" cm="1">
        <f t="array" ref="AB42">_xll.BDH("PCAR US Equity","EARN_FOR_COMMON","FQ2 2025","FQ2 2025","Currency=USD","Period=FQ","BEST_FPERIOD_OVERRIDE=FQ","FILING_STATUS=MR","SCALING_FORMAT=MLN","FA_ADJUSTED=GAAP","Sort=A","Dates=H","DateFormat=P","Fill=—","Direction=H","UseDPDF=Y")</f>
        <v>723.8</v>
      </c>
      <c r="AC42" s="16" cm="1">
        <f t="array" ref="AC42">_xll.BDH("PCAR US Equity","EARN_FOR_COMMON","FQ3 2025","FQ3 2025","Currency=USD","Period=FQ","BEST_FPERIOD_OVERRIDE=FQ","FILING_STATUS=MR","SCALING_FORMAT=MLN","FA_ADJUSTED=GAAP","Sort=A","Dates=H","DateFormat=P","Fill=—","Direction=H","UseDPDF=Y")</f>
        <v>590</v>
      </c>
      <c r="AD42" s="16" cm="1">
        <f t="array" ref="AD42">_xll.BDH("PCAR US Equity","EARN_FOR_COMMON","FQ4 2025","FQ4 2025","Currency=USD","Period=FQ","BEST_FPERIOD_OVERRIDE=FQ","FILING_STATUS=MR","SCALING_FORMAT=MLN","FA_ADJUSTED=GAAP","Sort=A","Dates=H","DateFormat=P","Fill=—","Direction=H","UseDPDF=Y")</f>
        <v>556.9</v>
      </c>
      <c r="AE42" s="16">
        <v>605.6</v>
      </c>
      <c r="AF42" s="16">
        <v>691.7</v>
      </c>
    </row>
    <row r="43" spans="1:32" x14ac:dyDescent="0.25">
      <c r="A43" s="6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</row>
    <row r="44" spans="1:32" x14ac:dyDescent="0.25">
      <c r="A44" s="6" t="s">
        <v>138</v>
      </c>
      <c r="B44" s="6" t="s">
        <v>137</v>
      </c>
      <c r="C44" s="16" cm="1">
        <f t="array" ref="C44">_xll.BDH("PCAR US Equity","EARN_FOR_COMMON","FQ1 2019","FQ1 2019","Currency=USD","Period=FQ","BEST_FPERIOD_OVERRIDE=FQ","FILING_STATUS=MR","SCALING_FORMAT=MLN","FA_ADJUSTED=Adjusted","Sort=A","Dates=H","DateFormat=P","Fill=—","Direction=H","UseDPDF=Y")</f>
        <v>628.92100000000005</v>
      </c>
      <c r="D44" s="16" cm="1">
        <f t="array" ref="D44">_xll.BDH("PCAR US Equity","EARN_FOR_COMMON","FQ2 2019","FQ2 2019","Currency=USD","Period=FQ","BEST_FPERIOD_OVERRIDE=FQ","FILING_STATUS=MR","SCALING_FORMAT=MLN","FA_ADJUSTED=Adjusted","Sort=A","Dates=H","DateFormat=P","Fill=—","Direction=H","UseDPDF=Y")</f>
        <v>619.62099999999998</v>
      </c>
      <c r="E44" s="16" cm="1">
        <f t="array" ref="E44">_xll.BDH("PCAR US Equity","EARN_FOR_COMMON","FQ3 2019","FQ3 2019","Currency=USD","Period=FQ","BEST_FPERIOD_OVERRIDE=FQ","FILING_STATUS=MR","SCALING_FORMAT=MLN","FA_ADJUSTED=Adjusted","Sort=A","Dates=H","DateFormat=P","Fill=—","Direction=H","UseDPDF=Y")</f>
        <v>607.58399999999995</v>
      </c>
      <c r="F44" s="16" cm="1">
        <f t="array" ref="F44">_xll.BDH("PCAR US Equity","EARN_FOR_COMMON","FQ4 2019","FQ4 2019","Currency=USD","Period=FQ","BEST_FPERIOD_OVERRIDE=FQ","FILING_STATUS=MR","SCALING_FORMAT=MLN","FA_ADJUSTED=Adjusted","Sort=A","Dates=H","DateFormat=P","Fill=—","Direction=H","UseDPDF=Y")</f>
        <v>531.06299999999999</v>
      </c>
      <c r="G44" s="16" cm="1">
        <f t="array" ref="G44">_xll.BDH("PCAR US Equity","EARN_FOR_COMMON","FQ1 2020","FQ1 2020","Currency=USD","Period=FQ","BEST_FPERIOD_OVERRIDE=FQ","FILING_STATUS=MR","SCALING_FORMAT=MLN","FA_ADJUSTED=Adjusted","Sort=A","Dates=H","DateFormat=P","Fill=—","Direction=H","UseDPDF=Y")</f>
        <v>358.84699999999998</v>
      </c>
      <c r="H44" s="16" cm="1">
        <f t="array" ref="H44">_xll.BDH("PCAR US Equity","EARN_FOR_COMMON","FQ2 2020","FQ2 2020","Currency=USD","Period=FQ","BEST_FPERIOD_OVERRIDE=FQ","FILING_STATUS=MR","SCALING_FORMAT=MLN","FA_ADJUSTED=Adjusted","Sort=A","Dates=H","DateFormat=P","Fill=—","Direction=H","UseDPDF=Y")</f>
        <v>147.226</v>
      </c>
      <c r="I44" s="16" cm="1">
        <f t="array" ref="I44">_xll.BDH("PCAR US Equity","EARN_FOR_COMMON","FQ3 2020","FQ3 2020","Currency=USD","Period=FQ","BEST_FPERIOD_OVERRIDE=FQ","FILING_STATUS=MR","SCALING_FORMAT=MLN","FA_ADJUSTED=Adjusted","Sort=A","Dates=H","DateFormat=P","Fill=—","Direction=H","UseDPDF=Y")</f>
        <v>385.5</v>
      </c>
      <c r="J44" s="16" cm="1">
        <f t="array" ref="J44">_xll.BDH("PCAR US Equity","EARN_FOR_COMMON","FQ4 2020","FQ4 2020","Currency=USD","Period=FQ","BEST_FPERIOD_OVERRIDE=FQ","FILING_STATUS=MR","SCALING_FORMAT=MLN","FA_ADJUSTED=Adjusted","Sort=A","Dates=H","DateFormat=P","Fill=—","Direction=H","UseDPDF=Y")</f>
        <v>405.16800000000001</v>
      </c>
      <c r="K44" s="16" cm="1">
        <f t="array" ref="K44">_xll.BDH("PCAR US Equity","EARN_FOR_COMMON","FQ1 2021","FQ1 2021","Currency=USD","Period=FQ","BEST_FPERIOD_OVERRIDE=FQ","FILING_STATUS=MR","SCALING_FORMAT=MLN","FA_ADJUSTED=Adjusted","Sort=A","Dates=H","DateFormat=P","Fill=—","Direction=H","UseDPDF=Y")</f>
        <v>470.8</v>
      </c>
      <c r="L44" s="16" cm="1">
        <f t="array" ref="L44">_xll.BDH("PCAR US Equity","EARN_FOR_COMMON","FQ2 2021","FQ2 2021","Currency=USD","Period=FQ","BEST_FPERIOD_OVERRIDE=FQ","FILING_STATUS=MR","SCALING_FORMAT=MLN","FA_ADJUSTED=Adjusted","Sort=A","Dates=H","DateFormat=P","Fill=—","Direction=H","UseDPDF=Y")</f>
        <v>495.18400000000003</v>
      </c>
      <c r="M44" s="16" cm="1">
        <f t="array" ref="M44">_xll.BDH("PCAR US Equity","EARN_FOR_COMMON","FQ3 2021","FQ3 2021","Currency=USD","Period=FQ","BEST_FPERIOD_OVERRIDE=FQ","FILING_STATUS=MR","SCALING_FORMAT=MLN","FA_ADJUSTED=Adjusted","Sort=A","Dates=H","DateFormat=P","Fill=—","Direction=H","UseDPDF=Y")</f>
        <v>380.5</v>
      </c>
      <c r="N44" s="16" cm="1">
        <f t="array" ref="N44">_xll.BDH("PCAR US Equity","EARN_FOR_COMMON","FQ4 2021","FQ4 2021","Currency=USD","Period=FQ","BEST_FPERIOD_OVERRIDE=FQ","FILING_STATUS=MR","SCALING_FORMAT=MLN","FA_ADJUSTED=Adjusted","Sort=A","Dates=H","DateFormat=P","Fill=—","Direction=H","UseDPDF=Y")</f>
        <v>518.70000000000005</v>
      </c>
      <c r="O44" s="16" cm="1">
        <f t="array" ref="O44">_xll.BDH("PCAR US Equity","EARN_FOR_COMMON","FQ1 2022","FQ1 2022","Currency=USD","Period=FQ","BEST_FPERIOD_OVERRIDE=FQ","FILING_STATUS=MR","SCALING_FORMAT=MLN","FA_ADJUSTED=Adjusted","Sort=A","Dates=H","DateFormat=P","Fill=—","Direction=H","UseDPDF=Y")</f>
        <v>600.5</v>
      </c>
      <c r="P44" s="16" cm="1">
        <f t="array" ref="P44">_xll.BDH("PCAR US Equity","EARN_FOR_COMMON","FQ2 2022","FQ2 2022","Currency=USD","Period=FQ","BEST_FPERIOD_OVERRIDE=FQ","FILING_STATUS=MR","SCALING_FORMAT=MLN","FA_ADJUSTED=Adjusted","Sort=A","Dates=H","DateFormat=P","Fill=—","Direction=H","UseDPDF=Y")</f>
        <v>720.79499999999996</v>
      </c>
      <c r="Q44" s="16" cm="1">
        <f t="array" ref="Q44">_xll.BDH("PCAR US Equity","EARN_FOR_COMMON","FQ3 2022","FQ3 2022","Currency=USD","Period=FQ","BEST_FPERIOD_OVERRIDE=FQ","FILING_STATUS=MR","SCALING_FORMAT=MLN","FA_ADJUSTED=Adjusted","Sort=A","Dates=H","DateFormat=P","Fill=—","Direction=H","UseDPDF=Y")</f>
        <v>769.4</v>
      </c>
      <c r="R44" s="16" cm="1">
        <f t="array" ref="R44">_xll.BDH("PCAR US Equity","EARN_FOR_COMMON","FQ4 2022","FQ4 2022","Currency=USD","Period=FQ","BEST_FPERIOD_OVERRIDE=FQ","FILING_STATUS=MR","SCALING_FORMAT=MLN","FA_ADJUSTED=Adjusted","Sort=A","Dates=H","DateFormat=P","Fill=—","Direction=H","UseDPDF=Y")</f>
        <v>921.3</v>
      </c>
      <c r="S44" s="16" cm="1">
        <f t="array" ref="S44">_xll.BDH("PCAR US Equity","EARN_FOR_COMMON","FQ1 2023","FQ1 2023","Currency=USD","Period=FQ","BEST_FPERIOD_OVERRIDE=FQ","FILING_STATUS=MR","SCALING_FORMAT=MLN","FA_ADJUSTED=Adjusted","Sort=A","Dates=H","DateFormat=P","Fill=—","Direction=H","UseDPDF=Y")</f>
        <v>733.9</v>
      </c>
      <c r="T44" s="16" cm="1">
        <f t="array" ref="T44">_xll.BDH("PCAR US Equity","EARN_FOR_COMMON","FQ2 2023","FQ2 2023","Currency=USD","Period=FQ","BEST_FPERIOD_OVERRIDE=FQ","FILING_STATUS=MR","SCALING_FORMAT=MLN","FA_ADJUSTED=Adjusted","Sort=A","Dates=H","DateFormat=P","Fill=—","Direction=H","UseDPDF=Y")</f>
        <v>1221.0999999999999</v>
      </c>
      <c r="U44" s="16" cm="1">
        <f t="array" ref="U44">_xll.BDH("PCAR US Equity","EARN_FOR_COMMON","FQ3 2023","FQ3 2023","Currency=USD","Period=FQ","BEST_FPERIOD_OVERRIDE=FQ","FILING_STATUS=MR","SCALING_FORMAT=MLN","FA_ADJUSTED=Adjusted","Sort=A","Dates=H","DateFormat=P","Fill=—","Direction=H","UseDPDF=Y")</f>
        <v>1228.5</v>
      </c>
      <c r="V44" s="16" cm="1">
        <f t="array" ref="V44">_xll.BDH("PCAR US Equity","EARN_FOR_COMMON","FQ4 2023","FQ4 2023","Currency=USD","Period=FQ","BEST_FPERIOD_OVERRIDE=FQ","FILING_STATUS=MR","SCALING_FORMAT=MLN","FA_ADJUSTED=Adjusted","Sort=A","Dates=H","DateFormat=P","Fill=—","Direction=H","UseDPDF=Y")</f>
        <v>1417.3</v>
      </c>
      <c r="W44" s="16" cm="1">
        <f t="array" ref="W44">_xll.BDH("PCAR US Equity","EARN_FOR_COMMON","FQ1 2024","FQ1 2024","Currency=USD","Period=FQ","BEST_FPERIOD_OVERRIDE=FQ","FILING_STATUS=MR","SCALING_FORMAT=MLN","FA_ADJUSTED=Adjusted","Sort=A","Dates=H","DateFormat=P","Fill=—","Direction=H","UseDPDF=Y")</f>
        <v>1195.3</v>
      </c>
      <c r="X44" s="16" cm="1">
        <f t="array" ref="X44">_xll.BDH("PCAR US Equity","EARN_FOR_COMMON","FQ2 2024","FQ2 2024","Currency=USD","Period=FQ","BEST_FPERIOD_OVERRIDE=FQ","FILING_STATUS=MR","SCALING_FORMAT=MLN","FA_ADJUSTED=Adjusted","Sort=A","Dates=H","DateFormat=P","Fill=—","Direction=H","UseDPDF=Y")</f>
        <v>1122.5999999999999</v>
      </c>
      <c r="Y44" s="16" cm="1">
        <f t="array" ref="Y44">_xll.BDH("PCAR US Equity","EARN_FOR_COMMON","FQ3 2024","FQ3 2024","Currency=USD","Period=FQ","BEST_FPERIOD_OVERRIDE=FQ","FILING_STATUS=MR","SCALING_FORMAT=MLN","FA_ADJUSTED=Adjusted","Sort=A","Dates=H","DateFormat=P","Fill=—","Direction=H","UseDPDF=Y")</f>
        <v>972.1</v>
      </c>
      <c r="Z44" s="16" cm="1">
        <f t="array" ref="Z44">_xll.BDH("PCAR US Equity","EARN_FOR_COMMON","FQ4 2024","FQ4 2024","Currency=USD","Period=FQ","BEST_FPERIOD_OVERRIDE=FQ","FILING_STATUS=MR","SCALING_FORMAT=MLN","FA_ADJUSTED=Adjusted","Sort=A","Dates=H","DateFormat=P","Fill=—","Direction=H","UseDPDF=Y")</f>
        <v>872</v>
      </c>
      <c r="AA44" s="16" cm="1">
        <f t="array" ref="AA44">_xll.BDH("PCAR US Equity","EARN_FOR_COMMON","FQ1 2025","FQ1 2025","Currency=USD","Period=FQ","BEST_FPERIOD_OVERRIDE=FQ","FILING_STATUS=MR","SCALING_FORMAT=MLN","FA_ADJUSTED=Adjusted","Sort=A","Dates=H","DateFormat=P","Fill=—","Direction=H","UseDPDF=Y")</f>
        <v>505.1</v>
      </c>
      <c r="AB44" s="16" cm="1">
        <f t="array" ref="AB44">_xll.BDH("PCAR US Equity","EARN_FOR_COMMON","FQ2 2025","FQ2 2025","Currency=USD","Period=FQ","BEST_FPERIOD_OVERRIDE=FQ","FILING_STATUS=MR","SCALING_FORMAT=MLN","FA_ADJUSTED=Adjusted","Sort=A","Dates=H","DateFormat=P","Fill=—","Direction=H","UseDPDF=Y")</f>
        <v>723.8</v>
      </c>
      <c r="AC44" s="16" cm="1">
        <f t="array" ref="AC44">_xll.BDH("PCAR US Equity","EARN_FOR_COMMON","FQ3 2025","FQ3 2025","Currency=USD","Period=FQ","BEST_FPERIOD_OVERRIDE=FQ","FILING_STATUS=MR","SCALING_FORMAT=MLN","FA_ADJUSTED=Adjusted","Sort=A","Dates=H","DateFormat=P","Fill=—","Direction=H","UseDPDF=Y")</f>
        <v>590</v>
      </c>
      <c r="AD44" s="16" cm="1">
        <f t="array" ref="AD44">_xll.BDH("PCAR US Equity","EARN_FOR_COMMON","FQ4 2025","FQ4 2025","Currency=USD","Period=FQ","BEST_FPERIOD_OVERRIDE=FQ","FILING_STATUS=MR","SCALING_FORMAT=MLN","FA_ADJUSTED=Adjusted","Sort=A","Dates=H","DateFormat=P","Fill=—","Direction=H","UseDPDF=Y")</f>
        <v>556.9</v>
      </c>
      <c r="AE44" s="16">
        <v>605.83299999999997</v>
      </c>
      <c r="AF44" s="16">
        <v>693.91700000000003</v>
      </c>
    </row>
    <row r="45" spans="1:32" x14ac:dyDescent="0.25">
      <c r="A45" s="10" t="s">
        <v>139</v>
      </c>
      <c r="B45" s="10" t="s">
        <v>140</v>
      </c>
      <c r="C45" s="13" cm="1">
        <f t="array" ref="C45">_xll.BDH("PCAR US Equity","IS_NET_ABNORMAL_ITEMS","FQ1 2019","FQ1 2019","Currency=USD","Period=FQ","BEST_FPERIOD_OVERRIDE=FQ","FILING_STATUS=MR","SCALING_FORMAT=MLN","Sort=A","Dates=H","DateFormat=P","Fill=—","Direction=H","UseDPDF=Y")</f>
        <v>-7.9000000000000001E-2</v>
      </c>
      <c r="D45" s="13" cm="1">
        <f t="array" ref="D45">_xll.BDH("PCAR US Equity","IS_NET_ABNORMAL_ITEMS","FQ2 2019","FQ2 2019","Currency=USD","Period=FQ","BEST_FPERIOD_OVERRIDE=FQ","FILING_STATUS=MR","SCALING_FORMAT=MLN","Sort=A","Dates=H","DateFormat=P","Fill=—","Direction=H","UseDPDF=Y")</f>
        <v>-7.9000000000000001E-2</v>
      </c>
      <c r="E45" s="13" cm="1">
        <f t="array" ref="E45">_xll.BDH("PCAR US Equity","IS_NET_ABNORMAL_ITEMS","FQ3 2019","FQ3 2019","Currency=USD","Period=FQ","BEST_FPERIOD_OVERRIDE=FQ","FILING_STATUS=MR","SCALING_FORMAT=MLN","Sort=A","Dates=H","DateFormat=P","Fill=—","Direction=H","UseDPDF=Y")</f>
        <v>-0.316</v>
      </c>
      <c r="F45" s="13" cm="1">
        <f t="array" ref="F45">_xll.BDH("PCAR US Equity","IS_NET_ABNORMAL_ITEMS","FQ4 2019","FQ4 2019","Currency=USD","Period=FQ","BEST_FPERIOD_OVERRIDE=FQ","FILING_STATUS=MR","SCALING_FORMAT=MLN","Sort=A","Dates=H","DateFormat=P","Fill=—","Direction=H","UseDPDF=Y")</f>
        <v>-0.23699999999999999</v>
      </c>
      <c r="G45" s="13" cm="1">
        <f t="array" ref="G45">_xll.BDH("PCAR US Equity","IS_NET_ABNORMAL_ITEMS","FQ1 2020","FQ1 2020","Currency=USD","Period=FQ","BEST_FPERIOD_OVERRIDE=FQ","FILING_STATUS=MR","SCALING_FORMAT=MLN","Sort=A","Dates=H","DateFormat=P","Fill=—","Direction=H","UseDPDF=Y")</f>
        <v>-0.55300000000000005</v>
      </c>
      <c r="H45" s="13" cm="1">
        <f t="array" ref="H45">_xll.BDH("PCAR US Equity","IS_NET_ABNORMAL_ITEMS","FQ2 2020","FQ2 2020","Currency=USD","Period=FQ","BEST_FPERIOD_OVERRIDE=FQ","FILING_STATUS=MR","SCALING_FORMAT=MLN","Sort=A","Dates=H","DateFormat=P","Fill=—","Direction=H","UseDPDF=Y")</f>
        <v>-0.47399999999999998</v>
      </c>
      <c r="I45" s="13" cm="1">
        <f t="array" ref="I45">_xll.BDH("PCAR US Equity","IS_NET_ABNORMAL_ITEMS","FQ3 2020","FQ3 2020","Currency=USD","Period=FQ","BEST_FPERIOD_OVERRIDE=FQ","FILING_STATUS=MR","SCALING_FORMAT=MLN","Sort=A","Dates=H","DateFormat=P","Fill=—","Direction=H","UseDPDF=Y")</f>
        <v>0</v>
      </c>
      <c r="J45" s="13" cm="1">
        <f t="array" ref="J45">_xll.BDH("PCAR US Equity","IS_NET_ABNORMAL_ITEMS","FQ4 2020","FQ4 2020","Currency=USD","Period=FQ","BEST_FPERIOD_OVERRIDE=FQ","FILING_STATUS=MR","SCALING_FORMAT=MLN","Sort=A","Dates=H","DateFormat=P","Fill=—","Direction=H","UseDPDF=Y")</f>
        <v>-0.63200000000000001</v>
      </c>
      <c r="K45" s="13" cm="1">
        <f t="array" ref="K45">_xll.BDH("PCAR US Equity","IS_NET_ABNORMAL_ITEMS","FQ1 2021","FQ1 2021","Currency=USD","Period=FQ","BEST_FPERIOD_OVERRIDE=FQ","FILING_STATUS=MR","SCALING_FORMAT=MLN","Sort=A","Dates=H","DateFormat=P","Fill=—","Direction=H","UseDPDF=Y")</f>
        <v>0</v>
      </c>
      <c r="L45" s="13" cm="1">
        <f t="array" ref="L45">_xll.BDH("PCAR US Equity","IS_NET_ABNORMAL_ITEMS","FQ2 2021","FQ2 2021","Currency=USD","Period=FQ","BEST_FPERIOD_OVERRIDE=FQ","FILING_STATUS=MR","SCALING_FORMAT=MLN","Sort=A","Dates=H","DateFormat=P","Fill=—","Direction=H","UseDPDF=Y")</f>
        <v>-0.316</v>
      </c>
      <c r="M45" s="13" cm="1">
        <f t="array" ref="M45">_xll.BDH("PCAR US Equity","IS_NET_ABNORMAL_ITEMS","FQ3 2021","FQ3 2021","Currency=USD","Period=FQ","BEST_FPERIOD_OVERRIDE=FQ","FILING_STATUS=MR","SCALING_FORMAT=MLN","Sort=A","Dates=H","DateFormat=P","Fill=—","Direction=H","UseDPDF=Y")</f>
        <v>0</v>
      </c>
      <c r="N45" s="13" cm="1">
        <f t="array" ref="N45">_xll.BDH("PCAR US Equity","IS_NET_ABNORMAL_ITEMS","FQ4 2021","FQ4 2021","Currency=USD","Period=FQ","BEST_FPERIOD_OVERRIDE=FQ","FILING_STATUS=MR","SCALING_FORMAT=MLN","Sort=A","Dates=H","DateFormat=P","Fill=—","Direction=H","UseDPDF=Y")</f>
        <v>0</v>
      </c>
      <c r="O45" s="13" cm="1">
        <f t="array" ref="O45">_xll.BDH("PCAR US Equity","IS_NET_ABNORMAL_ITEMS","FQ1 2022","FQ1 2022","Currency=USD","Period=FQ","BEST_FPERIOD_OVERRIDE=FQ","FILING_STATUS=MR","SCALING_FORMAT=MLN","Sort=A","Dates=H","DateFormat=P","Fill=—","Direction=H","UseDPDF=Y")</f>
        <v>0</v>
      </c>
      <c r="P45" s="13" cm="1">
        <f t="array" ref="P45">_xll.BDH("PCAR US Equity","IS_NET_ABNORMAL_ITEMS","FQ2 2022","FQ2 2022","Currency=USD","Period=FQ","BEST_FPERIOD_OVERRIDE=FQ","FILING_STATUS=MR","SCALING_FORMAT=MLN","Sort=A","Dates=H","DateFormat=P","Fill=—","Direction=H","UseDPDF=Y")</f>
        <v>0.39500000000000002</v>
      </c>
      <c r="Q45" s="13" cm="1">
        <f t="array" ref="Q45">_xll.BDH("PCAR US Equity","IS_NET_ABNORMAL_ITEMS","FQ3 2022","FQ3 2022","Currency=USD","Period=FQ","BEST_FPERIOD_OVERRIDE=FQ","FILING_STATUS=MR","SCALING_FORMAT=MLN","Sort=A","Dates=H","DateFormat=P","Fill=—","Direction=H","UseDPDF=Y")</f>
        <v>0</v>
      </c>
      <c r="R45" s="13" cm="1">
        <f t="array" ref="R45">_xll.BDH("PCAR US Equity","IS_NET_ABNORMAL_ITEMS","FQ4 2022","FQ4 2022","Currency=USD","Period=FQ","BEST_FPERIOD_OVERRIDE=FQ","FILING_STATUS=MR","SCALING_FORMAT=MLN","Sort=A","Dates=H","DateFormat=P","Fill=—","Direction=H","UseDPDF=Y")</f>
        <v>0</v>
      </c>
      <c r="S45" s="13" cm="1">
        <f t="array" ref="S45">_xll.BDH("PCAR US Equity","IS_NET_ABNORMAL_ITEMS","FQ1 2023","FQ1 2023","Currency=USD","Period=FQ","BEST_FPERIOD_OVERRIDE=FQ","FILING_STATUS=MR","SCALING_FORMAT=MLN","Sort=A","Dates=H","DateFormat=P","Fill=—","Direction=H","UseDPDF=Y")</f>
        <v>0</v>
      </c>
      <c r="T45" s="13" cm="1">
        <f t="array" ref="T45">_xll.BDH("PCAR US Equity","IS_NET_ABNORMAL_ITEMS","FQ2 2023","FQ2 2023","Currency=USD","Period=FQ","BEST_FPERIOD_OVERRIDE=FQ","FILING_STATUS=MR","SCALING_FORMAT=MLN","Sort=A","Dates=H","DateFormat=P","Fill=—","Direction=H","UseDPDF=Y")</f>
        <v>0</v>
      </c>
      <c r="U45" s="13" cm="1">
        <f t="array" ref="U45">_xll.BDH("PCAR US Equity","IS_NET_ABNORMAL_ITEMS","FQ3 2023","FQ3 2023","Currency=USD","Period=FQ","BEST_FPERIOD_OVERRIDE=FQ","FILING_STATUS=MR","SCALING_FORMAT=MLN","Sort=A","Dates=H","DateFormat=P","Fill=—","Direction=H","UseDPDF=Y")</f>
        <v>0</v>
      </c>
      <c r="V45" s="13" cm="1">
        <f t="array" ref="V45">_xll.BDH("PCAR US Equity","IS_NET_ABNORMAL_ITEMS","FQ4 2023","FQ4 2023","Currency=USD","Period=FQ","BEST_FPERIOD_OVERRIDE=FQ","FILING_STATUS=MR","SCALING_FORMAT=MLN","Sort=A","Dates=H","DateFormat=P","Fill=—","Direction=H","UseDPDF=Y")</f>
        <v>0</v>
      </c>
      <c r="W45" s="13" cm="1">
        <f t="array" ref="W45">_xll.BDH("PCAR US Equity","IS_NET_ABNORMAL_ITEMS","FQ1 2024","FQ1 2024","Currency=USD","Period=FQ","BEST_FPERIOD_OVERRIDE=FQ","FILING_STATUS=MR","SCALING_FORMAT=MLN","Sort=A","Dates=H","DateFormat=P","Fill=—","Direction=H","UseDPDF=Y")</f>
        <v>0</v>
      </c>
      <c r="X45" s="13" cm="1">
        <f t="array" ref="X45">_xll.BDH("PCAR US Equity","IS_NET_ABNORMAL_ITEMS","FQ2 2024","FQ2 2024","Currency=USD","Period=FQ","BEST_FPERIOD_OVERRIDE=FQ","FILING_STATUS=MR","SCALING_FORMAT=MLN","Sort=A","Dates=H","DateFormat=P","Fill=—","Direction=H","UseDPDF=Y")</f>
        <v>0</v>
      </c>
      <c r="Y45" s="13" cm="1">
        <f t="array" ref="Y45">_xll.BDH("PCAR US Equity","IS_NET_ABNORMAL_ITEMS","FQ3 2024","FQ3 2024","Currency=USD","Period=FQ","BEST_FPERIOD_OVERRIDE=FQ","FILING_STATUS=MR","SCALING_FORMAT=MLN","Sort=A","Dates=H","DateFormat=P","Fill=—","Direction=H","UseDPDF=Y")</f>
        <v>0</v>
      </c>
      <c r="Z45" s="13" cm="1">
        <f t="array" ref="Z45">_xll.BDH("PCAR US Equity","IS_NET_ABNORMAL_ITEMS","FQ4 2024","FQ4 2024","Currency=USD","Period=FQ","BEST_FPERIOD_OVERRIDE=FQ","FILING_STATUS=MR","SCALING_FORMAT=MLN","Sort=A","Dates=H","DateFormat=P","Fill=—","Direction=H","UseDPDF=Y")</f>
        <v>0</v>
      </c>
      <c r="AA45" s="13" cm="1">
        <f t="array" ref="AA45">_xll.BDH("PCAR US Equity","IS_NET_ABNORMAL_ITEMS","FQ1 2025","FQ1 2025","Currency=USD","Period=FQ","BEST_FPERIOD_OVERRIDE=FQ","FILING_STATUS=MR","SCALING_FORMAT=MLN","Sort=A","Dates=H","DateFormat=P","Fill=—","Direction=H","UseDPDF=Y")</f>
        <v>0</v>
      </c>
      <c r="AB45" s="13" cm="1">
        <f t="array" ref="AB45">_xll.BDH("PCAR US Equity","IS_NET_ABNORMAL_ITEMS","FQ2 2025","FQ2 2025","Currency=USD","Period=FQ","BEST_FPERIOD_OVERRIDE=FQ","FILING_STATUS=MR","SCALING_FORMAT=MLN","Sort=A","Dates=H","DateFormat=P","Fill=—","Direction=H","UseDPDF=Y")</f>
        <v>0</v>
      </c>
      <c r="AC45" s="13" cm="1">
        <f t="array" ref="AC45">_xll.BDH("PCAR US Equity","IS_NET_ABNORMAL_ITEMS","FQ3 2025","FQ3 2025","Currency=USD","Period=FQ","BEST_FPERIOD_OVERRIDE=FQ","FILING_STATUS=MR","SCALING_FORMAT=MLN","Sort=A","Dates=H","DateFormat=P","Fill=—","Direction=H","UseDPDF=Y")</f>
        <v>0</v>
      </c>
      <c r="AD45" s="13" cm="1">
        <f t="array" ref="AD45">_xll.BDH("PCAR US Equity","IS_NET_ABNORMAL_ITEMS","FQ4 2025","FQ4 2025","Currency=USD","Period=FQ","BEST_FPERIOD_OVERRIDE=FQ","FILING_STATUS=MR","SCALING_FORMAT=MLN","Sort=A","Dates=H","DateFormat=P","Fill=—","Direction=H","UseDPDF=Y")</f>
        <v>0</v>
      </c>
      <c r="AE45" s="13"/>
      <c r="AF45" s="13"/>
    </row>
    <row r="46" spans="1:32" x14ac:dyDescent="0.25">
      <c r="A46" s="10" t="s">
        <v>141</v>
      </c>
      <c r="B46" s="10" t="s">
        <v>121</v>
      </c>
      <c r="C46" s="13" cm="1">
        <f t="array" ref="C46">_xll.BDH("PCAR US Equity","XO_GL_NET_OF_TAX","FQ1 2019","FQ1 2019","Currency=USD","Period=FQ","BEST_FPERIOD_OVERRIDE=FQ","FILING_STATUS=MR","SCALING_FORMAT=MLN","Sort=A","Dates=H","DateFormat=P","Fill=—","Direction=H","UseDPDF=Y")</f>
        <v>0</v>
      </c>
      <c r="D46" s="13" cm="1">
        <f t="array" ref="D46">_xll.BDH("PCAR US Equity","XO_GL_NET_OF_TAX","FQ2 2019","FQ2 2019","Currency=USD","Period=FQ","BEST_FPERIOD_OVERRIDE=FQ","FILING_STATUS=MR","SCALING_FORMAT=MLN","Sort=A","Dates=H","DateFormat=P","Fill=—","Direction=H","UseDPDF=Y")</f>
        <v>0</v>
      </c>
      <c r="E46" s="13" cm="1">
        <f t="array" ref="E46">_xll.BDH("PCAR US Equity","XO_GL_NET_OF_TAX","FQ3 2019","FQ3 2019","Currency=USD","Period=FQ","BEST_FPERIOD_OVERRIDE=FQ","FILING_STATUS=MR","SCALING_FORMAT=MLN","Sort=A","Dates=H","DateFormat=P","Fill=—","Direction=H","UseDPDF=Y")</f>
        <v>0</v>
      </c>
      <c r="F46" s="13" cm="1">
        <f t="array" ref="F46">_xll.BDH("PCAR US Equity","XO_GL_NET_OF_TAX","FQ4 2019","FQ4 2019","Currency=USD","Period=FQ","BEST_FPERIOD_OVERRIDE=FQ","FILING_STATUS=MR","SCALING_FORMAT=MLN","Sort=A","Dates=H","DateFormat=P","Fill=—","Direction=H","UseDPDF=Y")</f>
        <v>0</v>
      </c>
      <c r="G46" s="13" cm="1">
        <f t="array" ref="G46">_xll.BDH("PCAR US Equity","XO_GL_NET_OF_TAX","FQ1 2020","FQ1 2020","Currency=USD","Period=FQ","BEST_FPERIOD_OVERRIDE=FQ","FILING_STATUS=MR","SCALING_FORMAT=MLN","Sort=A","Dates=H","DateFormat=P","Fill=—","Direction=H","UseDPDF=Y")</f>
        <v>0</v>
      </c>
      <c r="H46" s="13" cm="1">
        <f t="array" ref="H46">_xll.BDH("PCAR US Equity","XO_GL_NET_OF_TAX","FQ2 2020","FQ2 2020","Currency=USD","Period=FQ","BEST_FPERIOD_OVERRIDE=FQ","FILING_STATUS=MR","SCALING_FORMAT=MLN","Sort=A","Dates=H","DateFormat=P","Fill=—","Direction=H","UseDPDF=Y")</f>
        <v>0</v>
      </c>
      <c r="I46" s="13" cm="1">
        <f t="array" ref="I46">_xll.BDH("PCAR US Equity","XO_GL_NET_OF_TAX","FQ3 2020","FQ3 2020","Currency=USD","Period=FQ","BEST_FPERIOD_OVERRIDE=FQ","FILING_STATUS=MR","SCALING_FORMAT=MLN","Sort=A","Dates=H","DateFormat=P","Fill=—","Direction=H","UseDPDF=Y")</f>
        <v>0</v>
      </c>
      <c r="J46" s="13" cm="1">
        <f t="array" ref="J46">_xll.BDH("PCAR US Equity","XO_GL_NET_OF_TAX","FQ4 2020","FQ4 2020","Currency=USD","Period=FQ","BEST_FPERIOD_OVERRIDE=FQ","FILING_STATUS=MR","SCALING_FORMAT=MLN","Sort=A","Dates=H","DateFormat=P","Fill=—","Direction=H","UseDPDF=Y")</f>
        <v>0</v>
      </c>
      <c r="K46" s="13" cm="1">
        <f t="array" ref="K46">_xll.BDH("PCAR US Equity","XO_GL_NET_OF_TAX","FQ1 2021","FQ1 2021","Currency=USD","Period=FQ","BEST_FPERIOD_OVERRIDE=FQ","FILING_STATUS=MR","SCALING_FORMAT=MLN","Sort=A","Dates=H","DateFormat=P","Fill=—","Direction=H","UseDPDF=Y")</f>
        <v>0</v>
      </c>
      <c r="L46" s="13" cm="1">
        <f t="array" ref="L46">_xll.BDH("PCAR US Equity","XO_GL_NET_OF_TAX","FQ2 2021","FQ2 2021","Currency=USD","Period=FQ","BEST_FPERIOD_OVERRIDE=FQ","FILING_STATUS=MR","SCALING_FORMAT=MLN","Sort=A","Dates=H","DateFormat=P","Fill=—","Direction=H","UseDPDF=Y")</f>
        <v>0</v>
      </c>
      <c r="M46" s="13" cm="1">
        <f t="array" ref="M46">_xll.BDH("PCAR US Equity","XO_GL_NET_OF_TAX","FQ3 2021","FQ3 2021","Currency=USD","Period=FQ","BEST_FPERIOD_OVERRIDE=FQ","FILING_STATUS=MR","SCALING_FORMAT=MLN","Sort=A","Dates=H","DateFormat=P","Fill=—","Direction=H","UseDPDF=Y")</f>
        <v>0</v>
      </c>
      <c r="N46" s="13" cm="1">
        <f t="array" ref="N46">_xll.BDH("PCAR US Equity","XO_GL_NET_OF_TAX","FQ4 2021","FQ4 2021","Currency=USD","Period=FQ","BEST_FPERIOD_OVERRIDE=FQ","FILING_STATUS=MR","SCALING_FORMAT=MLN","Sort=A","Dates=H","DateFormat=P","Fill=—","Direction=H","UseDPDF=Y")</f>
        <v>0</v>
      </c>
      <c r="O46" s="13" cm="1">
        <f t="array" ref="O46">_xll.BDH("PCAR US Equity","XO_GL_NET_OF_TAX","FQ1 2022","FQ1 2022","Currency=USD","Period=FQ","BEST_FPERIOD_OVERRIDE=FQ","FILING_STATUS=MR","SCALING_FORMAT=MLN","Sort=A","Dates=H","DateFormat=P","Fill=—","Direction=H","UseDPDF=Y")</f>
        <v>0</v>
      </c>
      <c r="P46" s="13" cm="1">
        <f t="array" ref="P46">_xll.BDH("PCAR US Equity","XO_GL_NET_OF_TAX","FQ2 2022","FQ2 2022","Currency=USD","Period=FQ","BEST_FPERIOD_OVERRIDE=FQ","FILING_STATUS=MR","SCALING_FORMAT=MLN","Sort=A","Dates=H","DateFormat=P","Fill=—","Direction=H","UseDPDF=Y")</f>
        <v>0</v>
      </c>
      <c r="Q46" s="13" cm="1">
        <f t="array" ref="Q46">_xll.BDH("PCAR US Equity","XO_GL_NET_OF_TAX","FQ3 2022","FQ3 2022","Currency=USD","Period=FQ","BEST_FPERIOD_OVERRIDE=FQ","FILING_STATUS=MR","SCALING_FORMAT=MLN","Sort=A","Dates=H","DateFormat=P","Fill=—","Direction=H","UseDPDF=Y")</f>
        <v>0</v>
      </c>
      <c r="R46" s="13" cm="1">
        <f t="array" ref="R46">_xll.BDH("PCAR US Equity","XO_GL_NET_OF_TAX","FQ4 2022","FQ4 2022","Currency=USD","Period=FQ","BEST_FPERIOD_OVERRIDE=FQ","FILING_STATUS=MR","SCALING_FORMAT=MLN","Sort=A","Dates=H","DateFormat=P","Fill=—","Direction=H","UseDPDF=Y")</f>
        <v>0</v>
      </c>
      <c r="S46" s="13" cm="1">
        <f t="array" ref="S46">_xll.BDH("PCAR US Equity","XO_GL_NET_OF_TAX","FQ1 2023","FQ1 2023","Currency=USD","Period=FQ","BEST_FPERIOD_OVERRIDE=FQ","FILING_STATUS=MR","SCALING_FORMAT=MLN","Sort=A","Dates=H","DateFormat=P","Fill=—","Direction=H","UseDPDF=Y")</f>
        <v>0</v>
      </c>
      <c r="T46" s="13" cm="1">
        <f t="array" ref="T46">_xll.BDH("PCAR US Equity","XO_GL_NET_OF_TAX","FQ2 2023","FQ2 2023","Currency=USD","Period=FQ","BEST_FPERIOD_OVERRIDE=FQ","FILING_STATUS=MR","SCALING_FORMAT=MLN","Sort=A","Dates=H","DateFormat=P","Fill=—","Direction=H","UseDPDF=Y")</f>
        <v>0</v>
      </c>
      <c r="U46" s="13" cm="1">
        <f t="array" ref="U46">_xll.BDH("PCAR US Equity","XO_GL_NET_OF_TAX","FQ3 2023","FQ3 2023","Currency=USD","Period=FQ","BEST_FPERIOD_OVERRIDE=FQ","FILING_STATUS=MR","SCALING_FORMAT=MLN","Sort=A","Dates=H","DateFormat=P","Fill=—","Direction=H","UseDPDF=Y")</f>
        <v>0</v>
      </c>
      <c r="V46" s="13" cm="1">
        <f t="array" ref="V46">_xll.BDH("PCAR US Equity","XO_GL_NET_OF_TAX","FQ4 2023","FQ4 2023","Currency=USD","Period=FQ","BEST_FPERIOD_OVERRIDE=FQ","FILING_STATUS=MR","SCALING_FORMAT=MLN","Sort=A","Dates=H","DateFormat=P","Fill=—","Direction=H","UseDPDF=Y")</f>
        <v>0</v>
      </c>
      <c r="W46" s="13" cm="1">
        <f t="array" ref="W46">_xll.BDH("PCAR US Equity","XO_GL_NET_OF_TAX","FQ1 2024","FQ1 2024","Currency=USD","Period=FQ","BEST_FPERIOD_OVERRIDE=FQ","FILING_STATUS=MR","SCALING_FORMAT=MLN","Sort=A","Dates=H","DateFormat=P","Fill=—","Direction=H","UseDPDF=Y")</f>
        <v>0</v>
      </c>
      <c r="X46" s="13" cm="1">
        <f t="array" ref="X46">_xll.BDH("PCAR US Equity","XO_GL_NET_OF_TAX","FQ2 2024","FQ2 2024","Currency=USD","Period=FQ","BEST_FPERIOD_OVERRIDE=FQ","FILING_STATUS=MR","SCALING_FORMAT=MLN","Sort=A","Dates=H","DateFormat=P","Fill=—","Direction=H","UseDPDF=Y")</f>
        <v>0</v>
      </c>
      <c r="Y46" s="13" cm="1">
        <f t="array" ref="Y46">_xll.BDH("PCAR US Equity","XO_GL_NET_OF_TAX","FQ3 2024","FQ3 2024","Currency=USD","Period=FQ","BEST_FPERIOD_OVERRIDE=FQ","FILING_STATUS=MR","SCALING_FORMAT=MLN","Sort=A","Dates=H","DateFormat=P","Fill=—","Direction=H","UseDPDF=Y")</f>
        <v>0</v>
      </c>
      <c r="Z46" s="13" cm="1">
        <f t="array" ref="Z46">_xll.BDH("PCAR US Equity","XO_GL_NET_OF_TAX","FQ4 2024","FQ4 2024","Currency=USD","Period=FQ","BEST_FPERIOD_OVERRIDE=FQ","FILING_STATUS=MR","SCALING_FORMAT=MLN","Sort=A","Dates=H","DateFormat=P","Fill=—","Direction=H","UseDPDF=Y")</f>
        <v>0</v>
      </c>
      <c r="AA46" s="13" cm="1">
        <f t="array" ref="AA46">_xll.BDH("PCAR US Equity","XO_GL_NET_OF_TAX","FQ1 2025","FQ1 2025","Currency=USD","Period=FQ","BEST_FPERIOD_OVERRIDE=FQ","FILING_STATUS=MR","SCALING_FORMAT=MLN","Sort=A","Dates=H","DateFormat=P","Fill=—","Direction=H","UseDPDF=Y")</f>
        <v>0</v>
      </c>
      <c r="AB46" s="13" cm="1">
        <f t="array" ref="AB46">_xll.BDH("PCAR US Equity","XO_GL_NET_OF_TAX","FQ2 2025","FQ2 2025","Currency=USD","Period=FQ","BEST_FPERIOD_OVERRIDE=FQ","FILING_STATUS=MR","SCALING_FORMAT=MLN","Sort=A","Dates=H","DateFormat=P","Fill=—","Direction=H","UseDPDF=Y")</f>
        <v>0</v>
      </c>
      <c r="AC46" s="13" cm="1">
        <f t="array" ref="AC46">_xll.BDH("PCAR US Equity","XO_GL_NET_OF_TAX","FQ3 2025","FQ3 2025","Currency=USD","Period=FQ","BEST_FPERIOD_OVERRIDE=FQ","FILING_STATUS=MR","SCALING_FORMAT=MLN","Sort=A","Dates=H","DateFormat=P","Fill=—","Direction=H","UseDPDF=Y")</f>
        <v>0</v>
      </c>
      <c r="AD46" s="13" cm="1">
        <f t="array" ref="AD46">_xll.BDH("PCAR US Equity","XO_GL_NET_OF_TAX","FQ4 2025","FQ4 2025","Currency=USD","Period=FQ","BEST_FPERIOD_OVERRIDE=FQ","FILING_STATUS=MR","SCALING_FORMAT=MLN","Sort=A","Dates=H","DateFormat=P","Fill=—","Direction=H","UseDPDF=Y")</f>
        <v>0</v>
      </c>
      <c r="AE46" s="13"/>
      <c r="AF46" s="13"/>
    </row>
    <row r="47" spans="1:32" x14ac:dyDescent="0.25">
      <c r="A47" s="6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spans="1:32" x14ac:dyDescent="0.25">
      <c r="A48" s="10" t="s">
        <v>142</v>
      </c>
      <c r="B48" s="10" t="s">
        <v>143</v>
      </c>
      <c r="C48" s="13" cm="1">
        <f t="array" ref="C48">_xll.BDH("PCAR US Equity","IS_AVG_NUM_SH_FOR_EPS","FQ1 2019","FQ1 2019","Currency=USD","Period=FQ","BEST_FPERIOD_OVERRIDE=FQ","FILING_STATUS=MR","Sort=A","Dates=H","DateFormat=P","Fill=—","Direction=H","UseDPDF=Y")</f>
        <v>520.79999999999995</v>
      </c>
      <c r="D48" s="13" cm="1">
        <f t="array" ref="D48">_xll.BDH("PCAR US Equity","IS_AVG_NUM_SH_FOR_EPS","FQ2 2019","FQ2 2019","Currency=USD","Period=FQ","BEST_FPERIOD_OVERRIDE=FQ","FILING_STATUS=MR","Sort=A","Dates=H","DateFormat=P","Fill=—","Direction=H","UseDPDF=Y")</f>
        <v>520.5</v>
      </c>
      <c r="E48" s="13" cm="1">
        <f t="array" ref="E48">_xll.BDH("PCAR US Equity","IS_AVG_NUM_SH_FOR_EPS","FQ3 2019","FQ3 2019","Currency=USD","Period=FQ","BEST_FPERIOD_OVERRIDE=FQ","FILING_STATUS=MR","Sort=A","Dates=H","DateFormat=P","Fill=—","Direction=H","UseDPDF=Y")</f>
        <v>519.9</v>
      </c>
      <c r="F48" s="13" cm="1">
        <f t="array" ref="F48">_xll.BDH("PCAR US Equity","IS_AVG_NUM_SH_FOR_EPS","FQ4 2019","FQ4 2019","Currency=USD","Period=FQ","BEST_FPERIOD_OVERRIDE=FQ","FILING_STATUS=MR","Sort=A","Dates=H","DateFormat=P","Fill=—","Direction=H","UseDPDF=Y")</f>
        <v>520.04999999999995</v>
      </c>
      <c r="G48" s="13" cm="1">
        <f t="array" ref="G48">_xll.BDH("PCAR US Equity","IS_AVG_NUM_SH_FOR_EPS","FQ1 2020","FQ1 2020","Currency=USD","Period=FQ","BEST_FPERIOD_OVERRIDE=FQ","FILING_STATUS=MR","Sort=A","Dates=H","DateFormat=P","Fill=—","Direction=H","UseDPDF=Y")</f>
        <v>520.35</v>
      </c>
      <c r="H48" s="13" cm="1">
        <f t="array" ref="H48">_xll.BDH("PCAR US Equity","IS_AVG_NUM_SH_FOR_EPS","FQ2 2020","FQ2 2020","Currency=USD","Period=FQ","BEST_FPERIOD_OVERRIDE=FQ","FILING_STATUS=MR","Sort=A","Dates=H","DateFormat=P","Fill=—","Direction=H","UseDPDF=Y")</f>
        <v>519.6</v>
      </c>
      <c r="I48" s="13" cm="1">
        <f t="array" ref="I48">_xll.BDH("PCAR US Equity","IS_AVG_NUM_SH_FOR_EPS","FQ3 2020","FQ3 2020","Currency=USD","Period=FQ","BEST_FPERIOD_OVERRIDE=FQ","FILING_STATUS=MR","Sort=A","Dates=H","DateFormat=P","Fill=—","Direction=H","UseDPDF=Y")</f>
        <v>520.20000000000005</v>
      </c>
      <c r="J48" s="13" cm="1">
        <f t="array" ref="J48">_xll.BDH("PCAR US Equity","IS_AVG_NUM_SH_FOR_EPS","FQ4 2020","FQ4 2020","Currency=USD","Period=FQ","BEST_FPERIOD_OVERRIDE=FQ","FILING_STATUS=MR","Sort=A","Dates=H","DateFormat=P","Fill=—","Direction=H","UseDPDF=Y")</f>
        <v>520.79999999999995</v>
      </c>
      <c r="K48" s="13" cm="1">
        <f t="array" ref="K48">_xll.BDH("PCAR US Equity","IS_AVG_NUM_SH_FOR_EPS","FQ1 2021","FQ1 2021","Currency=USD","Period=FQ","BEST_FPERIOD_OVERRIDE=FQ","FILING_STATUS=MR","Sort=A","Dates=H","DateFormat=P","Fill=—","Direction=H","UseDPDF=Y")</f>
        <v>521.4</v>
      </c>
      <c r="L48" s="13" cm="1">
        <f t="array" ref="L48">_xll.BDH("PCAR US Equity","IS_AVG_NUM_SH_FOR_EPS","FQ2 2021","FQ2 2021","Currency=USD","Period=FQ","BEST_FPERIOD_OVERRIDE=FQ","FILING_STATUS=MR","Sort=A","Dates=H","DateFormat=P","Fill=—","Direction=H","UseDPDF=Y")</f>
        <v>521.70000000000005</v>
      </c>
      <c r="M48" s="13" cm="1">
        <f t="array" ref="M48">_xll.BDH("PCAR US Equity","IS_AVG_NUM_SH_FOR_EPS","FQ3 2021","FQ3 2021","Currency=USD","Period=FQ","BEST_FPERIOD_OVERRIDE=FQ","FILING_STATUS=MR","Sort=A","Dates=H","DateFormat=P","Fill=—","Direction=H","UseDPDF=Y")</f>
        <v>521.70000000000005</v>
      </c>
      <c r="N48" s="13" cm="1">
        <f t="array" ref="N48">_xll.BDH("PCAR US Equity","IS_AVG_NUM_SH_FOR_EPS","FQ4 2021","FQ4 2021","Currency=USD","Period=FQ","BEST_FPERIOD_OVERRIDE=FQ","FILING_STATUS=MR","Sort=A","Dates=H","DateFormat=P","Fill=—","Direction=H","UseDPDF=Y")</f>
        <v>521.85</v>
      </c>
      <c r="O48" s="13" cm="1">
        <f t="array" ref="O48">_xll.BDH("PCAR US Equity","IS_AVG_NUM_SH_FOR_EPS","FQ1 2022","FQ1 2022","Currency=USD","Period=FQ","BEST_FPERIOD_OVERRIDE=FQ","FILING_STATUS=MR","Sort=A","Dates=H","DateFormat=P","Fill=—","Direction=H","UseDPDF=Y")</f>
        <v>522.45000000000005</v>
      </c>
      <c r="P48" s="13" cm="1">
        <f t="array" ref="P48">_xll.BDH("PCAR US Equity","IS_AVG_NUM_SH_FOR_EPS","FQ2 2022","FQ2 2022","Currency=USD","Period=FQ","BEST_FPERIOD_OVERRIDE=FQ","FILING_STATUS=MR","Sort=A","Dates=H","DateFormat=P","Fill=—","Direction=H","UseDPDF=Y")</f>
        <v>522.6</v>
      </c>
      <c r="Q48" s="13" cm="1">
        <f t="array" ref="Q48">_xll.BDH("PCAR US Equity","IS_AVG_NUM_SH_FOR_EPS","FQ3 2022","FQ3 2022","Currency=USD","Period=FQ","BEST_FPERIOD_OVERRIDE=FQ","FILING_STATUS=MR","Sort=A","Dates=H","DateFormat=P","Fill=—","Direction=H","UseDPDF=Y")</f>
        <v>522.6</v>
      </c>
      <c r="R48" s="13" cm="1">
        <f t="array" ref="R48">_xll.BDH("PCAR US Equity","IS_AVG_NUM_SH_FOR_EPS","FQ4 2022","FQ4 2022","Currency=USD","Period=FQ","BEST_FPERIOD_OVERRIDE=FQ","FILING_STATUS=MR","Sort=A","Dates=H","DateFormat=P","Fill=—","Direction=H","UseDPDF=Y")</f>
        <v>522.9</v>
      </c>
      <c r="S48" s="13" cm="1">
        <f t="array" ref="S48">_xll.BDH("PCAR US Equity","IS_AVG_NUM_SH_FOR_EPS","FQ1 2023","FQ1 2023","Currency=USD","Period=FQ","BEST_FPERIOD_OVERRIDE=FQ","FILING_STATUS=MR","Sort=A","Dates=H","DateFormat=P","Fill=—","Direction=H","UseDPDF=Y")</f>
        <v>523.5</v>
      </c>
      <c r="T48" s="13" cm="1">
        <f t="array" ref="T48">_xll.BDH("PCAR US Equity","IS_AVG_NUM_SH_FOR_EPS","FQ2 2023","FQ2 2023","Currency=USD","Period=FQ","BEST_FPERIOD_OVERRIDE=FQ","FILING_STATUS=MR","Sort=A","Dates=H","DateFormat=P","Fill=—","Direction=H","UseDPDF=Y")</f>
        <v>523.79999999999995</v>
      </c>
      <c r="U48" s="13" cm="1">
        <f t="array" ref="U48">_xll.BDH("PCAR US Equity","IS_AVG_NUM_SH_FOR_EPS","FQ3 2023","FQ3 2023","Currency=USD","Period=FQ","BEST_FPERIOD_OVERRIDE=FQ","FILING_STATUS=MR","Sort=A","Dates=H","DateFormat=P","Fill=—","Direction=H","UseDPDF=Y")</f>
        <v>524.1</v>
      </c>
      <c r="V48" s="13" cm="1">
        <f t="array" ref="V48">_xll.BDH("PCAR US Equity","IS_AVG_NUM_SH_FOR_EPS","FQ4 2023","FQ4 2023","Currency=USD","Period=FQ","BEST_FPERIOD_OVERRIDE=FQ","FILING_STATUS=MR","Sort=A","Dates=H","DateFormat=P","Fill=—","Direction=H","UseDPDF=Y")</f>
        <v>524.29999999999995</v>
      </c>
      <c r="W48" s="13" cm="1">
        <f t="array" ref="W48">_xll.BDH("PCAR US Equity","IS_AVG_NUM_SH_FOR_EPS","FQ1 2024","FQ1 2024","Currency=USD","Period=FQ","BEST_FPERIOD_OVERRIDE=FQ","FILING_STATUS=MR","Sort=A","Dates=H","DateFormat=P","Fill=—","Direction=H","UseDPDF=Y")</f>
        <v>524.9</v>
      </c>
      <c r="X48" s="13" cm="1">
        <f t="array" ref="X48">_xll.BDH("PCAR US Equity","IS_AVG_NUM_SH_FOR_EPS","FQ2 2024","FQ2 2024","Currency=USD","Period=FQ","BEST_FPERIOD_OVERRIDE=FQ","FILING_STATUS=MR","Sort=A","Dates=H","DateFormat=P","Fill=—","Direction=H","UseDPDF=Y")</f>
        <v>525.29999999999995</v>
      </c>
      <c r="Y48" s="13" cm="1">
        <f t="array" ref="Y48">_xll.BDH("PCAR US Equity","IS_AVG_NUM_SH_FOR_EPS","FQ3 2024","FQ3 2024","Currency=USD","Period=FQ","BEST_FPERIOD_OVERRIDE=FQ","FILING_STATUS=MR","Sort=A","Dates=H","DateFormat=P","Fill=—","Direction=H","UseDPDF=Y")</f>
        <v>525.4</v>
      </c>
      <c r="Z48" s="13" cm="1">
        <f t="array" ref="Z48">_xll.BDH("PCAR US Equity","IS_AVG_NUM_SH_FOR_EPS","FQ4 2024","FQ4 2024","Currency=USD","Period=FQ","BEST_FPERIOD_OVERRIDE=FQ","FILING_STATUS=MR","Sort=A","Dates=H","DateFormat=P","Fill=—","Direction=H","UseDPDF=Y")</f>
        <v>525.5</v>
      </c>
      <c r="AA48" s="13" cm="1">
        <f t="array" ref="AA48">_xll.BDH("PCAR US Equity","IS_AVG_NUM_SH_FOR_EPS","FQ1 2025","FQ1 2025","Currency=USD","Period=FQ","BEST_FPERIOD_OVERRIDE=FQ","FILING_STATUS=MR","Sort=A","Dates=H","DateFormat=P","Fill=—","Direction=H","UseDPDF=Y")</f>
        <v>525.9</v>
      </c>
      <c r="AB48" s="13" cm="1">
        <f t="array" ref="AB48">_xll.BDH("PCAR US Equity","IS_AVG_NUM_SH_FOR_EPS","FQ2 2025","FQ2 2025","Currency=USD","Period=FQ","BEST_FPERIOD_OVERRIDE=FQ","FILING_STATUS=MR","Sort=A","Dates=H","DateFormat=P","Fill=—","Direction=H","UseDPDF=Y")</f>
        <v>525.9</v>
      </c>
      <c r="AC48" s="13" cm="1">
        <f t="array" ref="AC48">_xll.BDH("PCAR US Equity","IS_AVG_NUM_SH_FOR_EPS","FQ3 2025","FQ3 2025","Currency=USD","Period=FQ","BEST_FPERIOD_OVERRIDE=FQ","FILING_STATUS=MR","Sort=A","Dates=H","DateFormat=P","Fill=—","Direction=H","UseDPDF=Y")</f>
        <v>525.9</v>
      </c>
      <c r="AD48" s="13" cm="1">
        <f t="array" ref="AD48">_xll.BDH("PCAR US Equity","IS_AVG_NUM_SH_FOR_EPS","FQ4 2025","FQ4 2025","Currency=USD","Period=FQ","BEST_FPERIOD_OVERRIDE=FQ","FILING_STATUS=MR","Sort=A","Dates=H","DateFormat=P","Fill=—","Direction=H","UseDPDF=Y")</f>
        <v>526</v>
      </c>
      <c r="AE48" s="13"/>
      <c r="AF48" s="13"/>
    </row>
    <row r="49" spans="1:32" x14ac:dyDescent="0.25">
      <c r="A49" s="6" t="s">
        <v>144</v>
      </c>
      <c r="B49" s="6" t="s">
        <v>145</v>
      </c>
      <c r="C49" s="17" cm="1">
        <f t="array" ref="C49">_xll.BDH("PCAR US Equity","IS_EPS","FQ1 2019","FQ1 2019","Currency=USD","Period=FQ","BEST_FPERIOD_OVERRIDE=FQ","FILING_STATUS=MR","FA_ADJUSTED=GAAP","Sort=A","Dates=H","DateFormat=P","Fill=—","Direction=H","UseDPDF=Y")</f>
        <v>1.2067000000000001</v>
      </c>
      <c r="D49" s="17" cm="1">
        <f t="array" ref="D49">_xll.BDH("PCAR US Equity","IS_EPS","FQ2 2019","FQ2 2019","Currency=USD","Period=FQ","BEST_FPERIOD_OVERRIDE=FQ","FILING_STATUS=MR","FA_ADJUSTED=GAAP","Sort=A","Dates=H","DateFormat=P","Fill=—","Direction=H","UseDPDF=Y")</f>
        <v>1.1933</v>
      </c>
      <c r="E49" s="17" cm="1">
        <f t="array" ref="E49">_xll.BDH("PCAR US Equity","IS_EPS","FQ3 2019","FQ3 2019","Currency=USD","Period=FQ","BEST_FPERIOD_OVERRIDE=FQ","FILING_STATUS=MR","FA_ADJUSTED=GAAP","Sort=A","Dates=H","DateFormat=P","Fill=—","Direction=H","UseDPDF=Y")</f>
        <v>1.1667000000000001</v>
      </c>
      <c r="F49" s="17" cm="1">
        <f t="array" ref="F49">_xll.BDH("PCAR US Equity","IS_EPS","FQ4 2019","FQ4 2019","Currency=USD","Period=FQ","BEST_FPERIOD_OVERRIDE=FQ","FILING_STATUS=MR","FA_ADJUSTED=GAAP","Sort=A","Dates=H","DateFormat=P","Fill=—","Direction=H","UseDPDF=Y")</f>
        <v>1.02</v>
      </c>
      <c r="G49" s="17" cm="1">
        <f t="array" ref="G49">_xll.BDH("PCAR US Equity","IS_EPS","FQ1 2020","FQ1 2020","Currency=USD","Period=FQ","BEST_FPERIOD_OVERRIDE=FQ","FILING_STATUS=MR","FA_ADJUSTED=GAAP","Sort=A","Dates=H","DateFormat=P","Fill=—","Direction=H","UseDPDF=Y")</f>
        <v>0.69330000000000003</v>
      </c>
      <c r="H49" s="17" cm="1">
        <f t="array" ref="H49">_xll.BDH("PCAR US Equity","IS_EPS","FQ2 2020","FQ2 2020","Currency=USD","Period=FQ","BEST_FPERIOD_OVERRIDE=FQ","FILING_STATUS=MR","FA_ADJUSTED=GAAP","Sort=A","Dates=H","DateFormat=P","Fill=—","Direction=H","UseDPDF=Y")</f>
        <v>0.28670000000000001</v>
      </c>
      <c r="I49" s="17" cm="1">
        <f t="array" ref="I49">_xll.BDH("PCAR US Equity","IS_EPS","FQ3 2020","FQ3 2020","Currency=USD","Period=FQ","BEST_FPERIOD_OVERRIDE=FQ","FILING_STATUS=MR","FA_ADJUSTED=GAAP","Sort=A","Dates=H","DateFormat=P","Fill=—","Direction=H","UseDPDF=Y")</f>
        <v>0.74</v>
      </c>
      <c r="J49" s="17" cm="1">
        <f t="array" ref="J49">_xll.BDH("PCAR US Equity","IS_EPS","FQ4 2020","FQ4 2020","Currency=USD","Period=FQ","BEST_FPERIOD_OVERRIDE=FQ","FILING_STATUS=MR","FA_ADJUSTED=GAAP","Sort=A","Dates=H","DateFormat=P","Fill=—","Direction=H","UseDPDF=Y")</f>
        <v>0.78</v>
      </c>
      <c r="K49" s="17" cm="1">
        <f t="array" ref="K49">_xll.BDH("PCAR US Equity","IS_EPS","FQ1 2021","FQ1 2021","Currency=USD","Period=FQ","BEST_FPERIOD_OVERRIDE=FQ","FILING_STATUS=MR","FA_ADJUSTED=GAAP","Sort=A","Dates=H","DateFormat=P","Fill=—","Direction=H","UseDPDF=Y")</f>
        <v>0.9</v>
      </c>
      <c r="L49" s="17" cm="1">
        <f t="array" ref="L49">_xll.BDH("PCAR US Equity","IS_EPS","FQ2 2021","FQ2 2021","Currency=USD","Period=FQ","BEST_FPERIOD_OVERRIDE=FQ","FILING_STATUS=MR","FA_ADJUSTED=GAAP","Sort=A","Dates=H","DateFormat=P","Fill=—","Direction=H","UseDPDF=Y")</f>
        <v>0.94669999999999999</v>
      </c>
      <c r="M49" s="17" cm="1">
        <f t="array" ref="M49">_xll.BDH("PCAR US Equity","IS_EPS","FQ3 2021","FQ3 2021","Currency=USD","Period=FQ","BEST_FPERIOD_OVERRIDE=FQ","FILING_STATUS=MR","FA_ADJUSTED=GAAP","Sort=A","Dates=H","DateFormat=P","Fill=—","Direction=H","UseDPDF=Y")</f>
        <v>0.72670000000000001</v>
      </c>
      <c r="N49" s="17" cm="1">
        <f t="array" ref="N49">_xll.BDH("PCAR US Equity","IS_EPS","FQ4 2021","FQ4 2021","Currency=USD","Period=FQ","BEST_FPERIOD_OVERRIDE=FQ","FILING_STATUS=MR","FA_ADJUSTED=GAAP","Sort=A","Dates=H","DateFormat=P","Fill=—","Direction=H","UseDPDF=Y")</f>
        <v>0.99329999999999996</v>
      </c>
      <c r="O49" s="17" cm="1">
        <f t="array" ref="O49">_xll.BDH("PCAR US Equity","IS_EPS","FQ1 2022","FQ1 2022","Currency=USD","Period=FQ","BEST_FPERIOD_OVERRIDE=FQ","FILING_STATUS=MR","FA_ADJUSTED=GAAP","Sort=A","Dates=H","DateFormat=P","Fill=—","Direction=H","UseDPDF=Y")</f>
        <v>1.1467000000000001</v>
      </c>
      <c r="P49" s="17" cm="1">
        <f t="array" ref="P49">_xll.BDH("PCAR US Equity","IS_EPS","FQ2 2022","FQ2 2022","Currency=USD","Period=FQ","BEST_FPERIOD_OVERRIDE=FQ","FILING_STATUS=MR","FA_ADJUSTED=GAAP","Sort=A","Dates=H","DateFormat=P","Fill=—","Direction=H","UseDPDF=Y")</f>
        <v>1.38</v>
      </c>
      <c r="Q49" s="17" cm="1">
        <f t="array" ref="Q49">_xll.BDH("PCAR US Equity","IS_EPS","FQ3 2022","FQ3 2022","Currency=USD","Period=FQ","BEST_FPERIOD_OVERRIDE=FQ","FILING_STATUS=MR","FA_ADJUSTED=GAAP","Sort=A","Dates=H","DateFormat=P","Fill=—","Direction=H","UseDPDF=Y")</f>
        <v>1.4733000000000001</v>
      </c>
      <c r="R49" s="17" cm="1">
        <f t="array" ref="R49">_xll.BDH("PCAR US Equity","IS_EPS","FQ4 2022","FQ4 2022","Currency=USD","Period=FQ","BEST_FPERIOD_OVERRIDE=FQ","FILING_STATUS=MR","FA_ADJUSTED=GAAP","Sort=A","Dates=H","DateFormat=P","Fill=—","Direction=H","UseDPDF=Y")</f>
        <v>1.76</v>
      </c>
      <c r="S49" s="17" cm="1">
        <f t="array" ref="S49">_xll.BDH("PCAR US Equity","IS_EPS","FQ1 2023","FQ1 2023","Currency=USD","Period=FQ","BEST_FPERIOD_OVERRIDE=FQ","FILING_STATUS=MR","FA_ADJUSTED=GAAP","Sort=A","Dates=H","DateFormat=P","Fill=—","Direction=H","UseDPDF=Y")</f>
        <v>1.4</v>
      </c>
      <c r="T49" s="17" cm="1">
        <f t="array" ref="T49">_xll.BDH("PCAR US Equity","IS_EPS","FQ2 2023","FQ2 2023","Currency=USD","Period=FQ","BEST_FPERIOD_OVERRIDE=FQ","FILING_STATUS=MR","FA_ADJUSTED=GAAP","Sort=A","Dates=H","DateFormat=P","Fill=—","Direction=H","UseDPDF=Y")</f>
        <v>2.33</v>
      </c>
      <c r="U49" s="17" cm="1">
        <f t="array" ref="U49">_xll.BDH("PCAR US Equity","IS_EPS","FQ3 2023","FQ3 2023","Currency=USD","Period=FQ","BEST_FPERIOD_OVERRIDE=FQ","FILING_STATUS=MR","FA_ADJUSTED=GAAP","Sort=A","Dates=H","DateFormat=P","Fill=—","Direction=H","UseDPDF=Y")</f>
        <v>2.35</v>
      </c>
      <c r="V49" s="17" cm="1">
        <f t="array" ref="V49">_xll.BDH("PCAR US Equity","IS_EPS","FQ4 2023","FQ4 2023","Currency=USD","Period=FQ","BEST_FPERIOD_OVERRIDE=FQ","FILING_STATUS=MR","FA_ADJUSTED=GAAP","Sort=A","Dates=H","DateFormat=P","Fill=—","Direction=H","UseDPDF=Y")</f>
        <v>2.7</v>
      </c>
      <c r="W49" s="17" cm="1">
        <f t="array" ref="W49">_xll.BDH("PCAR US Equity","IS_EPS","FQ1 2024","FQ1 2024","Currency=USD","Period=FQ","BEST_FPERIOD_OVERRIDE=FQ","FILING_STATUS=MR","FA_ADJUSTED=GAAP","Sort=A","Dates=H","DateFormat=P","Fill=—","Direction=H","UseDPDF=Y")</f>
        <v>2.2799999999999998</v>
      </c>
      <c r="X49" s="17" cm="1">
        <f t="array" ref="X49">_xll.BDH("PCAR US Equity","IS_EPS","FQ2 2024","FQ2 2024","Currency=USD","Period=FQ","BEST_FPERIOD_OVERRIDE=FQ","FILING_STATUS=MR","FA_ADJUSTED=GAAP","Sort=A","Dates=H","DateFormat=P","Fill=—","Direction=H","UseDPDF=Y")</f>
        <v>2.14</v>
      </c>
      <c r="Y49" s="17" cm="1">
        <f t="array" ref="Y49">_xll.BDH("PCAR US Equity","IS_EPS","FQ3 2024","FQ3 2024","Currency=USD","Period=FQ","BEST_FPERIOD_OVERRIDE=FQ","FILING_STATUS=MR","FA_ADJUSTED=GAAP","Sort=A","Dates=H","DateFormat=P","Fill=—","Direction=H","UseDPDF=Y")</f>
        <v>1.85</v>
      </c>
      <c r="Z49" s="17" cm="1">
        <f t="array" ref="Z49">_xll.BDH("PCAR US Equity","IS_EPS","FQ4 2024","FQ4 2024","Currency=USD","Period=FQ","BEST_FPERIOD_OVERRIDE=FQ","FILING_STATUS=MR","FA_ADJUSTED=GAAP","Sort=A","Dates=H","DateFormat=P","Fill=—","Direction=H","UseDPDF=Y")</f>
        <v>1.66</v>
      </c>
      <c r="AA49" s="17" cm="1">
        <f t="array" ref="AA49">_xll.BDH("PCAR US Equity","IS_EPS","FQ1 2025","FQ1 2025","Currency=USD","Period=FQ","BEST_FPERIOD_OVERRIDE=FQ","FILING_STATUS=MR","FA_ADJUSTED=GAAP","Sort=A","Dates=H","DateFormat=P","Fill=—","Direction=H","UseDPDF=Y")</f>
        <v>0.96</v>
      </c>
      <c r="AB49" s="17" cm="1">
        <f t="array" ref="AB49">_xll.BDH("PCAR US Equity","IS_EPS","FQ2 2025","FQ2 2025","Currency=USD","Period=FQ","BEST_FPERIOD_OVERRIDE=FQ","FILING_STATUS=MR","FA_ADJUSTED=GAAP","Sort=A","Dates=H","DateFormat=P","Fill=—","Direction=H","UseDPDF=Y")</f>
        <v>1.38</v>
      </c>
      <c r="AC49" s="17" cm="1">
        <f t="array" ref="AC49">_xll.BDH("PCAR US Equity","IS_EPS","FQ3 2025","FQ3 2025","Currency=USD","Period=FQ","BEST_FPERIOD_OVERRIDE=FQ","FILING_STATUS=MR","FA_ADJUSTED=GAAP","Sort=A","Dates=H","DateFormat=P","Fill=—","Direction=H","UseDPDF=Y")</f>
        <v>1.1200000000000001</v>
      </c>
      <c r="AD49" s="17" cm="1">
        <f t="array" ref="AD49">_xll.BDH("PCAR US Equity","IS_EPS","FQ4 2025","FQ4 2025","Currency=USD","Period=FQ","BEST_FPERIOD_OVERRIDE=FQ","FILING_STATUS=MR","FA_ADJUSTED=GAAP","Sort=A","Dates=H","DateFormat=P","Fill=—","Direction=H","UseDPDF=Y")</f>
        <v>1.06</v>
      </c>
      <c r="AE49" s="17">
        <v>1.1539999999999999</v>
      </c>
      <c r="AF49" s="17">
        <v>1.3149999999999999</v>
      </c>
    </row>
    <row r="50" spans="1:32" x14ac:dyDescent="0.25">
      <c r="A50" s="6" t="s">
        <v>146</v>
      </c>
      <c r="B50" s="6" t="s">
        <v>147</v>
      </c>
      <c r="C50" s="17" cm="1">
        <f t="array" ref="C50">_xll.BDH("PCAR US Equity","IS_EARN_BEF_XO_ITEMS_PER_SH","FQ1 2019","FQ1 2019","Currency=USD","Period=FQ","BEST_FPERIOD_OVERRIDE=FQ","FILING_STATUS=MR","Sort=A","Dates=H","DateFormat=P","Fill=—","Direction=H","UseDPDF=Y")</f>
        <v>1.2067000000000001</v>
      </c>
      <c r="D50" s="17" cm="1">
        <f t="array" ref="D50">_xll.BDH("PCAR US Equity","IS_EARN_BEF_XO_ITEMS_PER_SH","FQ2 2019","FQ2 2019","Currency=USD","Period=FQ","BEST_FPERIOD_OVERRIDE=FQ","FILING_STATUS=MR","Sort=A","Dates=H","DateFormat=P","Fill=—","Direction=H","UseDPDF=Y")</f>
        <v>1.1933</v>
      </c>
      <c r="E50" s="17" cm="1">
        <f t="array" ref="E50">_xll.BDH("PCAR US Equity","IS_EARN_BEF_XO_ITEMS_PER_SH","FQ3 2019","FQ3 2019","Currency=USD","Period=FQ","BEST_FPERIOD_OVERRIDE=FQ","FILING_STATUS=MR","Sort=A","Dates=H","DateFormat=P","Fill=—","Direction=H","UseDPDF=Y")</f>
        <v>1.1667000000000001</v>
      </c>
      <c r="F50" s="17" cm="1">
        <f t="array" ref="F50">_xll.BDH("PCAR US Equity","IS_EARN_BEF_XO_ITEMS_PER_SH","FQ4 2019","FQ4 2019","Currency=USD","Period=FQ","BEST_FPERIOD_OVERRIDE=FQ","FILING_STATUS=MR","Sort=A","Dates=H","DateFormat=P","Fill=—","Direction=H","UseDPDF=Y")</f>
        <v>1.02</v>
      </c>
      <c r="G50" s="17" cm="1">
        <f t="array" ref="G50">_xll.BDH("PCAR US Equity","IS_EARN_BEF_XO_ITEMS_PER_SH","FQ1 2020","FQ1 2020","Currency=USD","Period=FQ","BEST_FPERIOD_OVERRIDE=FQ","FILING_STATUS=MR","Sort=A","Dates=H","DateFormat=P","Fill=—","Direction=H","UseDPDF=Y")</f>
        <v>0.69330000000000003</v>
      </c>
      <c r="H50" s="17" cm="1">
        <f t="array" ref="H50">_xll.BDH("PCAR US Equity","IS_EARN_BEF_XO_ITEMS_PER_SH","FQ2 2020","FQ2 2020","Currency=USD","Period=FQ","BEST_FPERIOD_OVERRIDE=FQ","FILING_STATUS=MR","Sort=A","Dates=H","DateFormat=P","Fill=—","Direction=H","UseDPDF=Y")</f>
        <v>0.28670000000000001</v>
      </c>
      <c r="I50" s="17" cm="1">
        <f t="array" ref="I50">_xll.BDH("PCAR US Equity","IS_EARN_BEF_XO_ITEMS_PER_SH","FQ3 2020","FQ3 2020","Currency=USD","Period=FQ","BEST_FPERIOD_OVERRIDE=FQ","FILING_STATUS=MR","Sort=A","Dates=H","DateFormat=P","Fill=—","Direction=H","UseDPDF=Y")</f>
        <v>0.74</v>
      </c>
      <c r="J50" s="17" cm="1">
        <f t="array" ref="J50">_xll.BDH("PCAR US Equity","IS_EARN_BEF_XO_ITEMS_PER_SH","FQ4 2020","FQ4 2020","Currency=USD","Period=FQ","BEST_FPERIOD_OVERRIDE=FQ","FILING_STATUS=MR","Sort=A","Dates=H","DateFormat=P","Fill=—","Direction=H","UseDPDF=Y")</f>
        <v>0.78</v>
      </c>
      <c r="K50" s="17" cm="1">
        <f t="array" ref="K50">_xll.BDH("PCAR US Equity","IS_EARN_BEF_XO_ITEMS_PER_SH","FQ1 2021","FQ1 2021","Currency=USD","Period=FQ","BEST_FPERIOD_OVERRIDE=FQ","FILING_STATUS=MR","Sort=A","Dates=H","DateFormat=P","Fill=—","Direction=H","UseDPDF=Y")</f>
        <v>0.9</v>
      </c>
      <c r="L50" s="17" cm="1">
        <f t="array" ref="L50">_xll.BDH("PCAR US Equity","IS_EARN_BEF_XO_ITEMS_PER_SH","FQ2 2021","FQ2 2021","Currency=USD","Period=FQ","BEST_FPERIOD_OVERRIDE=FQ","FILING_STATUS=MR","Sort=A","Dates=H","DateFormat=P","Fill=—","Direction=H","UseDPDF=Y")</f>
        <v>0.94669999999999999</v>
      </c>
      <c r="M50" s="17" cm="1">
        <f t="array" ref="M50">_xll.BDH("PCAR US Equity","IS_EARN_BEF_XO_ITEMS_PER_SH","FQ3 2021","FQ3 2021","Currency=USD","Period=FQ","BEST_FPERIOD_OVERRIDE=FQ","FILING_STATUS=MR","Sort=A","Dates=H","DateFormat=P","Fill=—","Direction=H","UseDPDF=Y")</f>
        <v>0.72670000000000001</v>
      </c>
      <c r="N50" s="17" cm="1">
        <f t="array" ref="N50">_xll.BDH("PCAR US Equity","IS_EARN_BEF_XO_ITEMS_PER_SH","FQ4 2021","FQ4 2021","Currency=USD","Period=FQ","BEST_FPERIOD_OVERRIDE=FQ","FILING_STATUS=MR","Sort=A","Dates=H","DateFormat=P","Fill=—","Direction=H","UseDPDF=Y")</f>
        <v>0.99329999999999996</v>
      </c>
      <c r="O50" s="17" cm="1">
        <f t="array" ref="O50">_xll.BDH("PCAR US Equity","IS_EARN_BEF_XO_ITEMS_PER_SH","FQ1 2022","FQ1 2022","Currency=USD","Period=FQ","BEST_FPERIOD_OVERRIDE=FQ","FILING_STATUS=MR","Sort=A","Dates=H","DateFormat=P","Fill=—","Direction=H","UseDPDF=Y")</f>
        <v>1.1467000000000001</v>
      </c>
      <c r="P50" s="17" cm="1">
        <f t="array" ref="P50">_xll.BDH("PCAR US Equity","IS_EARN_BEF_XO_ITEMS_PER_SH","FQ2 2022","FQ2 2022","Currency=USD","Period=FQ","BEST_FPERIOD_OVERRIDE=FQ","FILING_STATUS=MR","Sort=A","Dates=H","DateFormat=P","Fill=—","Direction=H","UseDPDF=Y")</f>
        <v>1.38</v>
      </c>
      <c r="Q50" s="17" cm="1">
        <f t="array" ref="Q50">_xll.BDH("PCAR US Equity","IS_EARN_BEF_XO_ITEMS_PER_SH","FQ3 2022","FQ3 2022","Currency=USD","Period=FQ","BEST_FPERIOD_OVERRIDE=FQ","FILING_STATUS=MR","Sort=A","Dates=H","DateFormat=P","Fill=—","Direction=H","UseDPDF=Y")</f>
        <v>1.4733000000000001</v>
      </c>
      <c r="R50" s="17" cm="1">
        <f t="array" ref="R50">_xll.BDH("PCAR US Equity","IS_EARN_BEF_XO_ITEMS_PER_SH","FQ4 2022","FQ4 2022","Currency=USD","Period=FQ","BEST_FPERIOD_OVERRIDE=FQ","FILING_STATUS=MR","Sort=A","Dates=H","DateFormat=P","Fill=—","Direction=H","UseDPDF=Y")</f>
        <v>1.76</v>
      </c>
      <c r="S50" s="17" cm="1">
        <f t="array" ref="S50">_xll.BDH("PCAR US Equity","IS_EARN_BEF_XO_ITEMS_PER_SH","FQ1 2023","FQ1 2023","Currency=USD","Period=FQ","BEST_FPERIOD_OVERRIDE=FQ","FILING_STATUS=MR","Sort=A","Dates=H","DateFormat=P","Fill=—","Direction=H","UseDPDF=Y")</f>
        <v>1.4</v>
      </c>
      <c r="T50" s="17" cm="1">
        <f t="array" ref="T50">_xll.BDH("PCAR US Equity","IS_EARN_BEF_XO_ITEMS_PER_SH","FQ2 2023","FQ2 2023","Currency=USD","Period=FQ","BEST_FPERIOD_OVERRIDE=FQ","FILING_STATUS=MR","Sort=A","Dates=H","DateFormat=P","Fill=—","Direction=H","UseDPDF=Y")</f>
        <v>2.33</v>
      </c>
      <c r="U50" s="17" cm="1">
        <f t="array" ref="U50">_xll.BDH("PCAR US Equity","IS_EARN_BEF_XO_ITEMS_PER_SH","FQ3 2023","FQ3 2023","Currency=USD","Period=FQ","BEST_FPERIOD_OVERRIDE=FQ","FILING_STATUS=MR","Sort=A","Dates=H","DateFormat=P","Fill=—","Direction=H","UseDPDF=Y")</f>
        <v>2.35</v>
      </c>
      <c r="V50" s="17" cm="1">
        <f t="array" ref="V50">_xll.BDH("PCAR US Equity","IS_EARN_BEF_XO_ITEMS_PER_SH","FQ4 2023","FQ4 2023","Currency=USD","Period=FQ","BEST_FPERIOD_OVERRIDE=FQ","FILING_STATUS=MR","Sort=A","Dates=H","DateFormat=P","Fill=—","Direction=H","UseDPDF=Y")</f>
        <v>2.7</v>
      </c>
      <c r="W50" s="17" cm="1">
        <f t="array" ref="W50">_xll.BDH("PCAR US Equity","IS_EARN_BEF_XO_ITEMS_PER_SH","FQ1 2024","FQ1 2024","Currency=USD","Period=FQ","BEST_FPERIOD_OVERRIDE=FQ","FILING_STATUS=MR","Sort=A","Dates=H","DateFormat=P","Fill=—","Direction=H","UseDPDF=Y")</f>
        <v>2.2799999999999998</v>
      </c>
      <c r="X50" s="17" cm="1">
        <f t="array" ref="X50">_xll.BDH("PCAR US Equity","IS_EARN_BEF_XO_ITEMS_PER_SH","FQ2 2024","FQ2 2024","Currency=USD","Period=FQ","BEST_FPERIOD_OVERRIDE=FQ","FILING_STATUS=MR","Sort=A","Dates=H","DateFormat=P","Fill=—","Direction=H","UseDPDF=Y")</f>
        <v>2.14</v>
      </c>
      <c r="Y50" s="17" cm="1">
        <f t="array" ref="Y50">_xll.BDH("PCAR US Equity","IS_EARN_BEF_XO_ITEMS_PER_SH","FQ3 2024","FQ3 2024","Currency=USD","Period=FQ","BEST_FPERIOD_OVERRIDE=FQ","FILING_STATUS=MR","Sort=A","Dates=H","DateFormat=P","Fill=—","Direction=H","UseDPDF=Y")</f>
        <v>1.85</v>
      </c>
      <c r="Z50" s="17" cm="1">
        <f t="array" ref="Z50">_xll.BDH("PCAR US Equity","IS_EARN_BEF_XO_ITEMS_PER_SH","FQ4 2024","FQ4 2024","Currency=USD","Period=FQ","BEST_FPERIOD_OVERRIDE=FQ","FILING_STATUS=MR","Sort=A","Dates=H","DateFormat=P","Fill=—","Direction=H","UseDPDF=Y")</f>
        <v>1.66</v>
      </c>
      <c r="AA50" s="17" cm="1">
        <f t="array" ref="AA50">_xll.BDH("PCAR US Equity","IS_EARN_BEF_XO_ITEMS_PER_SH","FQ1 2025","FQ1 2025","Currency=USD","Period=FQ","BEST_FPERIOD_OVERRIDE=FQ","FILING_STATUS=MR","Sort=A","Dates=H","DateFormat=P","Fill=—","Direction=H","UseDPDF=Y")</f>
        <v>0.96</v>
      </c>
      <c r="AB50" s="17" cm="1">
        <f t="array" ref="AB50">_xll.BDH("PCAR US Equity","IS_EARN_BEF_XO_ITEMS_PER_SH","FQ2 2025","FQ2 2025","Currency=USD","Period=FQ","BEST_FPERIOD_OVERRIDE=FQ","FILING_STATUS=MR","Sort=A","Dates=H","DateFormat=P","Fill=—","Direction=H","UseDPDF=Y")</f>
        <v>1.38</v>
      </c>
      <c r="AC50" s="17" cm="1">
        <f t="array" ref="AC50">_xll.BDH("PCAR US Equity","IS_EARN_BEF_XO_ITEMS_PER_SH","FQ3 2025","FQ3 2025","Currency=USD","Period=FQ","BEST_FPERIOD_OVERRIDE=FQ","FILING_STATUS=MR","Sort=A","Dates=H","DateFormat=P","Fill=—","Direction=H","UseDPDF=Y")</f>
        <v>1.1200000000000001</v>
      </c>
      <c r="AD50" s="17" cm="1">
        <f t="array" ref="AD50">_xll.BDH("PCAR US Equity","IS_EARN_BEF_XO_ITEMS_PER_SH","FQ4 2025","FQ4 2025","Currency=USD","Period=FQ","BEST_FPERIOD_OVERRIDE=FQ","FILING_STATUS=MR","Sort=A","Dates=H","DateFormat=P","Fill=—","Direction=H","UseDPDF=Y")</f>
        <v>1.06</v>
      </c>
      <c r="AE50" s="17">
        <v>1.1539999999999999</v>
      </c>
      <c r="AF50" s="17">
        <v>1.3149999999999999</v>
      </c>
    </row>
    <row r="51" spans="1:32" x14ac:dyDescent="0.25">
      <c r="A51" s="6" t="s">
        <v>148</v>
      </c>
      <c r="B51" s="6" t="s">
        <v>149</v>
      </c>
      <c r="C51" s="17" cm="1">
        <f t="array" ref="C51">_xll.BDH("PCAR US Equity","IS_BASIC_EPS_CONT_OPS","FQ1 2019","FQ1 2019","Currency=USD","Period=FQ","BEST_FPERIOD_OVERRIDE=FQ","FILING_STATUS=MR","Sort=A","Dates=H","DateFormat=P","Fill=—","Direction=H","UseDPDF=Y")</f>
        <v>1.2076</v>
      </c>
      <c r="D51" s="17" cm="1">
        <f t="array" ref="D51">_xll.BDH("PCAR US Equity","IS_BASIC_EPS_CONT_OPS","FQ2 2019","FQ2 2019","Currency=USD","Period=FQ","BEST_FPERIOD_OVERRIDE=FQ","FILING_STATUS=MR","Sort=A","Dates=H","DateFormat=P","Fill=—","Direction=H","UseDPDF=Y")</f>
        <v>1.1903999999999999</v>
      </c>
      <c r="E51" s="17" cm="1">
        <f t="array" ref="E51">_xll.BDH("PCAR US Equity","IS_BASIC_EPS_CONT_OPS","FQ3 2019","FQ3 2019","Currency=USD","Period=FQ","BEST_FPERIOD_OVERRIDE=FQ","FILING_STATUS=MR","Sort=A","Dates=H","DateFormat=P","Fill=—","Direction=H","UseDPDF=Y")</f>
        <v>1.1687000000000001</v>
      </c>
      <c r="F51" s="17" cm="1">
        <f t="array" ref="F51">_xll.BDH("PCAR US Equity","IS_BASIC_EPS_CONT_OPS","FQ4 2019","FQ4 2019","Currency=USD","Period=FQ","BEST_FPERIOD_OVERRIDE=FQ","FILING_STATUS=MR","Sort=A","Dates=H","DateFormat=P","Fill=—","Direction=H","UseDPDF=Y")</f>
        <v>1.0212000000000001</v>
      </c>
      <c r="G51" s="17" cm="1">
        <f t="array" ref="G51">_xll.BDH("PCAR US Equity","IS_BASIC_EPS_CONT_OPS","FQ1 2020","FQ1 2020","Currency=USD","Period=FQ","BEST_FPERIOD_OVERRIDE=FQ","FILING_STATUS=MR","Sort=A","Dates=H","DateFormat=P","Fill=—","Direction=H","UseDPDF=Y")</f>
        <v>0.68959999999999999</v>
      </c>
      <c r="H51" s="17" cm="1">
        <f t="array" ref="H51">_xll.BDH("PCAR US Equity","IS_BASIC_EPS_CONT_OPS","FQ2 2020","FQ2 2020","Currency=USD","Period=FQ","BEST_FPERIOD_OVERRIDE=FQ","FILING_STATUS=MR","Sort=A","Dates=H","DateFormat=P","Fill=—","Direction=H","UseDPDF=Y")</f>
        <v>0.2833</v>
      </c>
      <c r="I51" s="17" cm="1">
        <f t="array" ref="I51">_xll.BDH("PCAR US Equity","IS_BASIC_EPS_CONT_OPS","FQ3 2020","FQ3 2020","Currency=USD","Period=FQ","BEST_FPERIOD_OVERRIDE=FQ","FILING_STATUS=MR","Sort=A","Dates=H","DateFormat=P","Fill=—","Direction=H","UseDPDF=Y")</f>
        <v>0.74</v>
      </c>
      <c r="J51" s="17" cm="1">
        <f t="array" ref="J51">_xll.BDH("PCAR US Equity","IS_BASIC_EPS_CONT_OPS","FQ4 2020","FQ4 2020","Currency=USD","Period=FQ","BEST_FPERIOD_OVERRIDE=FQ","FILING_STATUS=MR","Sort=A","Dates=H","DateFormat=P","Fill=—","Direction=H","UseDPDF=Y")</f>
        <v>0.77800000000000002</v>
      </c>
      <c r="K51" s="17" cm="1">
        <f t="array" ref="K51">_xll.BDH("PCAR US Equity","IS_BASIC_EPS_CONT_OPS","FQ1 2021","FQ1 2021","Currency=USD","Period=FQ","BEST_FPERIOD_OVERRIDE=FQ","FILING_STATUS=MR","Sort=A","Dates=H","DateFormat=P","Fill=—","Direction=H","UseDPDF=Y")</f>
        <v>0.9</v>
      </c>
      <c r="L51" s="17" cm="1">
        <f t="array" ref="L51">_xll.BDH("PCAR US Equity","IS_BASIC_EPS_CONT_OPS","FQ2 2021","FQ2 2021","Currency=USD","Period=FQ","BEST_FPERIOD_OVERRIDE=FQ","FILING_STATUS=MR","Sort=A","Dates=H","DateFormat=P","Fill=—","Direction=H","UseDPDF=Y")</f>
        <v>0.94920000000000004</v>
      </c>
      <c r="M51" s="17" cm="1">
        <f t="array" ref="M51">_xll.BDH("PCAR US Equity","IS_BASIC_EPS_CONT_OPS","FQ3 2021","FQ3 2021","Currency=USD","Period=FQ","BEST_FPERIOD_OVERRIDE=FQ","FILING_STATUS=MR","Sort=A","Dates=H","DateFormat=P","Fill=—","Direction=H","UseDPDF=Y")</f>
        <v>0.72670000000000001</v>
      </c>
      <c r="N51" s="17" cm="1">
        <f t="array" ref="N51">_xll.BDH("PCAR US Equity","IS_BASIC_EPS_CONT_OPS","FQ4 2021","FQ4 2021","Currency=USD","Period=FQ","BEST_FPERIOD_OVERRIDE=FQ","FILING_STATUS=MR","Sort=A","Dates=H","DateFormat=P","Fill=—","Direction=H","UseDPDF=Y")</f>
        <v>0.99329999999999996</v>
      </c>
      <c r="O51" s="17" cm="1">
        <f t="array" ref="O51">_xll.BDH("PCAR US Equity","IS_BASIC_EPS_CONT_OPS","FQ1 2022","FQ1 2022","Currency=USD","Period=FQ","BEST_FPERIOD_OVERRIDE=FQ","FILING_STATUS=MR","Sort=A","Dates=H","DateFormat=P","Fill=—","Direction=H","UseDPDF=Y")</f>
        <v>1.1467000000000001</v>
      </c>
      <c r="P51" s="17" cm="1">
        <f t="array" ref="P51">_xll.BDH("PCAR US Equity","IS_BASIC_EPS_CONT_OPS","FQ2 2022","FQ2 2022","Currency=USD","Period=FQ","BEST_FPERIOD_OVERRIDE=FQ","FILING_STATUS=MR","Sort=A","Dates=H","DateFormat=P","Fill=—","Direction=H","UseDPDF=Y")</f>
        <v>1.3792</v>
      </c>
      <c r="Q51" s="17" cm="1">
        <f t="array" ref="Q51">_xll.BDH("PCAR US Equity","IS_BASIC_EPS_CONT_OPS","FQ3 2022","FQ3 2022","Currency=USD","Period=FQ","BEST_FPERIOD_OVERRIDE=FQ","FILING_STATUS=MR","Sort=A","Dates=H","DateFormat=P","Fill=—","Direction=H","UseDPDF=Y")</f>
        <v>1.4733000000000001</v>
      </c>
      <c r="R51" s="17" cm="1">
        <f t="array" ref="R51">_xll.BDH("PCAR US Equity","IS_BASIC_EPS_CONT_OPS","FQ4 2022","FQ4 2022","Currency=USD","Period=FQ","BEST_FPERIOD_OVERRIDE=FQ","FILING_STATUS=MR","Sort=A","Dates=H","DateFormat=P","Fill=—","Direction=H","UseDPDF=Y")</f>
        <v>1.76</v>
      </c>
      <c r="S51" s="17" cm="1">
        <f t="array" ref="S51">_xll.BDH("PCAR US Equity","IS_BASIC_EPS_CONT_OPS","FQ1 2023","FQ1 2023","Currency=USD","Period=FQ","BEST_FPERIOD_OVERRIDE=FQ","FILING_STATUS=MR","Sort=A","Dates=H","DateFormat=P","Fill=—","Direction=H","UseDPDF=Y")</f>
        <v>1.4</v>
      </c>
      <c r="T51" s="17" cm="1">
        <f t="array" ref="T51">_xll.BDH("PCAR US Equity","IS_BASIC_EPS_CONT_OPS","FQ2 2023","FQ2 2023","Currency=USD","Period=FQ","BEST_FPERIOD_OVERRIDE=FQ","FILING_STATUS=MR","Sort=A","Dates=H","DateFormat=P","Fill=—","Direction=H","UseDPDF=Y")</f>
        <v>2.33</v>
      </c>
      <c r="U51" s="17" cm="1">
        <f t="array" ref="U51">_xll.BDH("PCAR US Equity","IS_BASIC_EPS_CONT_OPS","FQ3 2023","FQ3 2023","Currency=USD","Period=FQ","BEST_FPERIOD_OVERRIDE=FQ","FILING_STATUS=MR","Sort=A","Dates=H","DateFormat=P","Fill=—","Direction=H","UseDPDF=Y")</f>
        <v>2.35</v>
      </c>
      <c r="V51" s="17" cm="1">
        <f t="array" ref="V51">_xll.BDH("PCAR US Equity","IS_BASIC_EPS_CONT_OPS","FQ4 2023","FQ4 2023","Currency=USD","Period=FQ","BEST_FPERIOD_OVERRIDE=FQ","FILING_STATUS=MR","Sort=A","Dates=H","DateFormat=P","Fill=—","Direction=H","UseDPDF=Y")</f>
        <v>2.7</v>
      </c>
      <c r="W51" s="17" cm="1">
        <f t="array" ref="W51">_xll.BDH("PCAR US Equity","IS_BASIC_EPS_CONT_OPS","FQ1 2024","FQ1 2024","Currency=USD","Period=FQ","BEST_FPERIOD_OVERRIDE=FQ","FILING_STATUS=MR","Sort=A","Dates=H","DateFormat=P","Fill=—","Direction=H","UseDPDF=Y")</f>
        <v>2.2799999999999998</v>
      </c>
      <c r="X51" s="17" cm="1">
        <f t="array" ref="X51">_xll.BDH("PCAR US Equity","IS_BASIC_EPS_CONT_OPS","FQ2 2024","FQ2 2024","Currency=USD","Period=FQ","BEST_FPERIOD_OVERRIDE=FQ","FILING_STATUS=MR","Sort=A","Dates=H","DateFormat=P","Fill=—","Direction=H","UseDPDF=Y")</f>
        <v>2.14</v>
      </c>
      <c r="Y51" s="17" cm="1">
        <f t="array" ref="Y51">_xll.BDH("PCAR US Equity","IS_BASIC_EPS_CONT_OPS","FQ3 2024","FQ3 2024","Currency=USD","Period=FQ","BEST_FPERIOD_OVERRIDE=FQ","FILING_STATUS=MR","Sort=A","Dates=H","DateFormat=P","Fill=—","Direction=H","UseDPDF=Y")</f>
        <v>1.85</v>
      </c>
      <c r="Z51" s="17" cm="1">
        <f t="array" ref="Z51">_xll.BDH("PCAR US Equity","IS_BASIC_EPS_CONT_OPS","FQ4 2024","FQ4 2024","Currency=USD","Period=FQ","BEST_FPERIOD_OVERRIDE=FQ","FILING_STATUS=MR","Sort=A","Dates=H","DateFormat=P","Fill=—","Direction=H","UseDPDF=Y")</f>
        <v>1.66</v>
      </c>
      <c r="AA51" s="17" cm="1">
        <f t="array" ref="AA51">_xll.BDH("PCAR US Equity","IS_BASIC_EPS_CONT_OPS","FQ1 2025","FQ1 2025","Currency=USD","Period=FQ","BEST_FPERIOD_OVERRIDE=FQ","FILING_STATUS=MR","Sort=A","Dates=H","DateFormat=P","Fill=—","Direction=H","UseDPDF=Y")</f>
        <v>0.96</v>
      </c>
      <c r="AB51" s="17" cm="1">
        <f t="array" ref="AB51">_xll.BDH("PCAR US Equity","IS_BASIC_EPS_CONT_OPS","FQ2 2025","FQ2 2025","Currency=USD","Period=FQ","BEST_FPERIOD_OVERRIDE=FQ","FILING_STATUS=MR","Sort=A","Dates=H","DateFormat=P","Fill=—","Direction=H","UseDPDF=Y")</f>
        <v>1.38</v>
      </c>
      <c r="AC51" s="17" cm="1">
        <f t="array" ref="AC51">_xll.BDH("PCAR US Equity","IS_BASIC_EPS_CONT_OPS","FQ3 2025","FQ3 2025","Currency=USD","Period=FQ","BEST_FPERIOD_OVERRIDE=FQ","FILING_STATUS=MR","Sort=A","Dates=H","DateFormat=P","Fill=—","Direction=H","UseDPDF=Y")</f>
        <v>1.1200000000000001</v>
      </c>
      <c r="AD51" s="17" cm="1">
        <f t="array" ref="AD51">_xll.BDH("PCAR US Equity","IS_BASIC_EPS_CONT_OPS","FQ4 2025","FQ4 2025","Currency=USD","Period=FQ","BEST_FPERIOD_OVERRIDE=FQ","FILING_STATUS=MR","Sort=A","Dates=H","DateFormat=P","Fill=—","Direction=H","UseDPDF=Y")</f>
        <v>1.06</v>
      </c>
      <c r="AE51" s="17">
        <v>1.1599999999999999</v>
      </c>
      <c r="AF51" s="17">
        <v>1.329</v>
      </c>
    </row>
    <row r="52" spans="1:32" x14ac:dyDescent="0.25">
      <c r="A52" s="6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spans="1:32" x14ac:dyDescent="0.25">
      <c r="A53" s="10" t="s">
        <v>150</v>
      </c>
      <c r="B53" s="10" t="s">
        <v>151</v>
      </c>
      <c r="C53" s="13" cm="1">
        <f t="array" ref="C53">_xll.BDH("PCAR US Equity","IS_SH_FOR_DILUTED_EPS","FQ1 2019","FQ1 2019","Currency=USD","Period=FQ","BEST_FPERIOD_OVERRIDE=FQ","FILING_STATUS=MR","Sort=A","Dates=H","DateFormat=P","Fill=—","Direction=H","UseDPDF=Y")</f>
        <v>521.70000000000005</v>
      </c>
      <c r="D53" s="13" cm="1">
        <f t="array" ref="D53">_xll.BDH("PCAR US Equity","IS_SH_FOR_DILUTED_EPS","FQ2 2019","FQ2 2019","Currency=USD","Period=FQ","BEST_FPERIOD_OVERRIDE=FQ","FILING_STATUS=MR","Sort=A","Dates=H","DateFormat=P","Fill=—","Direction=H","UseDPDF=Y")</f>
        <v>521.54999999999995</v>
      </c>
      <c r="E53" s="13" cm="1">
        <f t="array" ref="E53">_xll.BDH("PCAR US Equity","IS_SH_FOR_DILUTED_EPS","FQ3 2019","FQ3 2019","Currency=USD","Period=FQ","BEST_FPERIOD_OVERRIDE=FQ","FILING_STATUS=MR","Sort=A","Dates=H","DateFormat=P","Fill=—","Direction=H","UseDPDF=Y")</f>
        <v>520.79999999999995</v>
      </c>
      <c r="F53" s="13" cm="1">
        <f t="array" ref="F53">_xll.BDH("PCAR US Equity","IS_SH_FOR_DILUTED_EPS","FQ4 2019","FQ4 2019","Currency=USD","Period=FQ","BEST_FPERIOD_OVERRIDE=FQ","FILING_STATUS=MR","Sort=A","Dates=H","DateFormat=P","Fill=—","Direction=H","UseDPDF=Y")</f>
        <v>521.1</v>
      </c>
      <c r="G53" s="13" cm="1">
        <f t="array" ref="G53">_xll.BDH("PCAR US Equity","IS_SH_FOR_DILUTED_EPS","FQ1 2020","FQ1 2020","Currency=USD","Period=FQ","BEST_FPERIOD_OVERRIDE=FQ","FILING_STATUS=MR","Sort=A","Dates=H","DateFormat=P","Fill=—","Direction=H","UseDPDF=Y")</f>
        <v>520.95000000000005</v>
      </c>
      <c r="H53" s="13" cm="1">
        <f t="array" ref="H53">_xll.BDH("PCAR US Equity","IS_SH_FOR_DILUTED_EPS","FQ2 2020","FQ2 2020","Currency=USD","Period=FQ","BEST_FPERIOD_OVERRIDE=FQ","FILING_STATUS=MR","Sort=A","Dates=H","DateFormat=P","Fill=—","Direction=H","UseDPDF=Y")</f>
        <v>520.20000000000005</v>
      </c>
      <c r="I53" s="13" cm="1">
        <f t="array" ref="I53">_xll.BDH("PCAR US Equity","IS_SH_FOR_DILUTED_EPS","FQ3 2020","FQ3 2020","Currency=USD","Period=FQ","BEST_FPERIOD_OVERRIDE=FQ","FILING_STATUS=MR","Sort=A","Dates=H","DateFormat=P","Fill=—","Direction=H","UseDPDF=Y")</f>
        <v>521.4</v>
      </c>
      <c r="J53" s="13" cm="1">
        <f t="array" ref="J53">_xll.BDH("PCAR US Equity","IS_SH_FOR_DILUTED_EPS","FQ4 2020","FQ4 2020","Currency=USD","Period=FQ","BEST_FPERIOD_OVERRIDE=FQ","FILING_STATUS=MR","Sort=A","Dates=H","DateFormat=P","Fill=—","Direction=H","UseDPDF=Y")</f>
        <v>522</v>
      </c>
      <c r="K53" s="13" cm="1">
        <f t="array" ref="K53">_xll.BDH("PCAR US Equity","IS_SH_FOR_DILUTED_EPS","FQ1 2021","FQ1 2021","Currency=USD","Period=FQ","BEST_FPERIOD_OVERRIDE=FQ","FILING_STATUS=MR","Sort=A","Dates=H","DateFormat=P","Fill=—","Direction=H","UseDPDF=Y")</f>
        <v>522.6</v>
      </c>
      <c r="L53" s="13" cm="1">
        <f t="array" ref="L53">_xll.BDH("PCAR US Equity","IS_SH_FOR_DILUTED_EPS","FQ2 2021","FQ2 2021","Currency=USD","Period=FQ","BEST_FPERIOD_OVERRIDE=FQ","FILING_STATUS=MR","Sort=A","Dates=H","DateFormat=P","Fill=—","Direction=H","UseDPDF=Y")</f>
        <v>522.75</v>
      </c>
      <c r="M53" s="13" cm="1">
        <f t="array" ref="M53">_xll.BDH("PCAR US Equity","IS_SH_FOR_DILUTED_EPS","FQ3 2021","FQ3 2021","Currency=USD","Period=FQ","BEST_FPERIOD_OVERRIDE=FQ","FILING_STATUS=MR","Sort=A","Dates=H","DateFormat=P","Fill=—","Direction=H","UseDPDF=Y")</f>
        <v>522.45000000000005</v>
      </c>
      <c r="N53" s="13" cm="1">
        <f t="array" ref="N53">_xll.BDH("PCAR US Equity","IS_SH_FOR_DILUTED_EPS","FQ4 2021","FQ4 2021","Currency=USD","Period=FQ","BEST_FPERIOD_OVERRIDE=FQ","FILING_STATUS=MR","Sort=A","Dates=H","DateFormat=P","Fill=—","Direction=H","UseDPDF=Y")</f>
        <v>522.75</v>
      </c>
      <c r="O53" s="13" cm="1">
        <f t="array" ref="O53">_xll.BDH("PCAR US Equity","IS_SH_FOR_DILUTED_EPS","FQ1 2022","FQ1 2022","Currency=USD","Period=FQ","BEST_FPERIOD_OVERRIDE=FQ","FILING_STATUS=MR","Sort=A","Dates=H","DateFormat=P","Fill=—","Direction=H","UseDPDF=Y")</f>
        <v>523.20000000000005</v>
      </c>
      <c r="P53" s="13" cm="1">
        <f t="array" ref="P53">_xll.BDH("PCAR US Equity","IS_SH_FOR_DILUTED_EPS","FQ2 2022","FQ2 2022","Currency=USD","Period=FQ","BEST_FPERIOD_OVERRIDE=FQ","FILING_STATUS=MR","Sort=A","Dates=H","DateFormat=P","Fill=—","Direction=H","UseDPDF=Y")</f>
        <v>523.20000000000005</v>
      </c>
      <c r="Q53" s="13" cm="1">
        <f t="array" ref="Q53">_xll.BDH("PCAR US Equity","IS_SH_FOR_DILUTED_EPS","FQ3 2022","FQ3 2022","Currency=USD","Period=FQ","BEST_FPERIOD_OVERRIDE=FQ","FILING_STATUS=MR","Sort=A","Dates=H","DateFormat=P","Fill=—","Direction=H","UseDPDF=Y")</f>
        <v>523.35</v>
      </c>
      <c r="R53" s="13" cm="1">
        <f t="array" ref="R53">_xll.BDH("PCAR US Equity","IS_SH_FOR_DILUTED_EPS","FQ4 2022","FQ4 2022","Currency=USD","Period=FQ","BEST_FPERIOD_OVERRIDE=FQ","FILING_STATUS=MR","Sort=A","Dates=H","DateFormat=P","Fill=—","Direction=H","UseDPDF=Y")</f>
        <v>523.79999999999995</v>
      </c>
      <c r="S53" s="13" cm="1">
        <f t="array" ref="S53">_xll.BDH("PCAR US Equity","IS_SH_FOR_DILUTED_EPS","FQ1 2023","FQ1 2023","Currency=USD","Period=FQ","BEST_FPERIOD_OVERRIDE=FQ","FILING_STATUS=MR","Sort=A","Dates=H","DateFormat=P","Fill=—","Direction=H","UseDPDF=Y")</f>
        <v>524.4</v>
      </c>
      <c r="T53" s="13" cm="1">
        <f t="array" ref="T53">_xll.BDH("PCAR US Equity","IS_SH_FOR_DILUTED_EPS","FQ2 2023","FQ2 2023","Currency=USD","Period=FQ","BEST_FPERIOD_OVERRIDE=FQ","FILING_STATUS=MR","Sort=A","Dates=H","DateFormat=P","Fill=—","Direction=H","UseDPDF=Y")</f>
        <v>524.79999999999995</v>
      </c>
      <c r="U53" s="13" cm="1">
        <f t="array" ref="U53">_xll.BDH("PCAR US Equity","IS_SH_FOR_DILUTED_EPS","FQ3 2023","FQ3 2023","Currency=USD","Period=FQ","BEST_FPERIOD_OVERRIDE=FQ","FILING_STATUS=MR","Sort=A","Dates=H","DateFormat=P","Fill=—","Direction=H","UseDPDF=Y")</f>
        <v>525.29999999999995</v>
      </c>
      <c r="V53" s="13" cm="1">
        <f t="array" ref="V53">_xll.BDH("PCAR US Equity","IS_SH_FOR_DILUTED_EPS","FQ4 2023","FQ4 2023","Currency=USD","Period=FQ","BEST_FPERIOD_OVERRIDE=FQ","FILING_STATUS=MR","Sort=A","Dates=H","DateFormat=P","Fill=—","Direction=H","UseDPDF=Y")</f>
        <v>525.6</v>
      </c>
      <c r="W53" s="13" cm="1">
        <f t="array" ref="W53">_xll.BDH("PCAR US Equity","IS_SH_FOR_DILUTED_EPS","FQ1 2024","FQ1 2024","Currency=USD","Period=FQ","BEST_FPERIOD_OVERRIDE=FQ","FILING_STATUS=MR","Sort=A","Dates=H","DateFormat=P","Fill=—","Direction=H","UseDPDF=Y")</f>
        <v>526.29999999999995</v>
      </c>
      <c r="X53" s="13" cm="1">
        <f t="array" ref="X53">_xll.BDH("PCAR US Equity","IS_SH_FOR_DILUTED_EPS","FQ2 2024","FQ2 2024","Currency=USD","Period=FQ","BEST_FPERIOD_OVERRIDE=FQ","FILING_STATUS=MR","Sort=A","Dates=H","DateFormat=P","Fill=—","Direction=H","UseDPDF=Y")</f>
        <v>526.6</v>
      </c>
      <c r="Y53" s="13" cm="1">
        <f t="array" ref="Y53">_xll.BDH("PCAR US Equity","IS_SH_FOR_DILUTED_EPS","FQ3 2024","FQ3 2024","Currency=USD","Period=FQ","BEST_FPERIOD_OVERRIDE=FQ","FILING_STATUS=MR","Sort=A","Dates=H","DateFormat=P","Fill=—","Direction=H","UseDPDF=Y")</f>
        <v>526.5</v>
      </c>
      <c r="Z53" s="13" cm="1">
        <f t="array" ref="Z53">_xll.BDH("PCAR US Equity","IS_SH_FOR_DILUTED_EPS","FQ4 2024","FQ4 2024","Currency=USD","Period=FQ","BEST_FPERIOD_OVERRIDE=FQ","FILING_STATUS=MR","Sort=A","Dates=H","DateFormat=P","Fill=—","Direction=H","UseDPDF=Y")</f>
        <v>526.70000000000005</v>
      </c>
      <c r="AA53" s="13" cm="1">
        <f t="array" ref="AA53">_xll.BDH("PCAR US Equity","IS_SH_FOR_DILUTED_EPS","FQ1 2025","FQ1 2025","Currency=USD","Period=FQ","BEST_FPERIOD_OVERRIDE=FQ","FILING_STATUS=MR","Sort=A","Dates=H","DateFormat=P","Fill=—","Direction=H","UseDPDF=Y")</f>
        <v>526.9</v>
      </c>
      <c r="AB53" s="13" cm="1">
        <f t="array" ref="AB53">_xll.BDH("PCAR US Equity","IS_SH_FOR_DILUTED_EPS","FQ2 2025","FQ2 2025","Currency=USD","Period=FQ","BEST_FPERIOD_OVERRIDE=FQ","FILING_STATUS=MR","Sort=A","Dates=H","DateFormat=P","Fill=—","Direction=H","UseDPDF=Y")</f>
        <v>526.70000000000005</v>
      </c>
      <c r="AC53" s="13" cm="1">
        <f t="array" ref="AC53">_xll.BDH("PCAR US Equity","IS_SH_FOR_DILUTED_EPS","FQ3 2025","FQ3 2025","Currency=USD","Period=FQ","BEST_FPERIOD_OVERRIDE=FQ","FILING_STATUS=MR","Sort=A","Dates=H","DateFormat=P","Fill=—","Direction=H","UseDPDF=Y")</f>
        <v>526.70000000000005</v>
      </c>
      <c r="AD53" s="13" cm="1">
        <f t="array" ref="AD53">_xll.BDH("PCAR US Equity","IS_SH_FOR_DILUTED_EPS","FQ4 2025","FQ4 2025","Currency=USD","Period=FQ","BEST_FPERIOD_OVERRIDE=FQ","FILING_STATUS=MR","Sort=A","Dates=H","DateFormat=P","Fill=—","Direction=H","UseDPDF=Y")</f>
        <v>526.79999999999995</v>
      </c>
      <c r="AE53" s="13"/>
      <c r="AF53" s="13"/>
    </row>
    <row r="54" spans="1:32" x14ac:dyDescent="0.25">
      <c r="A54" s="6" t="s">
        <v>152</v>
      </c>
      <c r="B54" s="6" t="s">
        <v>153</v>
      </c>
      <c r="C54" s="17" cm="1">
        <f t="array" ref="C54">_xll.BDH("PCAR US Equity","IS_DILUTED_EPS","FQ1 2019","FQ1 2019","Currency=USD","Period=FQ","BEST_FPERIOD_OVERRIDE=FQ","FILING_STATUS=MR","FA_ADJUSTED=GAAP","Sort=A","Dates=H","DateFormat=P","Fill=—","Direction=H","UseDPDF=Y")</f>
        <v>1.2067000000000001</v>
      </c>
      <c r="D54" s="17" cm="1">
        <f t="array" ref="D54">_xll.BDH("PCAR US Equity","IS_DILUTED_EPS","FQ2 2019","FQ2 2019","Currency=USD","Period=FQ","BEST_FPERIOD_OVERRIDE=FQ","FILING_STATUS=MR","FA_ADJUSTED=GAAP","Sort=A","Dates=H","DateFormat=P","Fill=—","Direction=H","UseDPDF=Y")</f>
        <v>1.1867000000000001</v>
      </c>
      <c r="E54" s="17" cm="1">
        <f t="array" ref="E54">_xll.BDH("PCAR US Equity","IS_DILUTED_EPS","FQ3 2019","FQ3 2019","Currency=USD","Period=FQ","BEST_FPERIOD_OVERRIDE=FQ","FILING_STATUS=MR","FA_ADJUSTED=GAAP","Sort=A","Dates=H","DateFormat=P","Fill=—","Direction=H","UseDPDF=Y")</f>
        <v>1.1667000000000001</v>
      </c>
      <c r="F54" s="17" cm="1">
        <f t="array" ref="F54">_xll.BDH("PCAR US Equity","IS_DILUTED_EPS","FQ4 2019","FQ4 2019","Currency=USD","Period=FQ","BEST_FPERIOD_OVERRIDE=FQ","FILING_STATUS=MR","FA_ADJUSTED=GAAP","Sort=A","Dates=H","DateFormat=P","Fill=—","Direction=H","UseDPDF=Y")</f>
        <v>1.02</v>
      </c>
      <c r="G54" s="17" cm="1">
        <f t="array" ref="G54">_xll.BDH("PCAR US Equity","IS_DILUTED_EPS","FQ1 2020","FQ1 2020","Currency=USD","Period=FQ","BEST_FPERIOD_OVERRIDE=FQ","FILING_STATUS=MR","FA_ADJUSTED=GAAP","Sort=A","Dates=H","DateFormat=P","Fill=—","Direction=H","UseDPDF=Y")</f>
        <v>0.68669999999999998</v>
      </c>
      <c r="H54" s="17" cm="1">
        <f t="array" ref="H54">_xll.BDH("PCAR US Equity","IS_DILUTED_EPS","FQ2 2020","FQ2 2020","Currency=USD","Period=FQ","BEST_FPERIOD_OVERRIDE=FQ","FILING_STATUS=MR","FA_ADJUSTED=GAAP","Sort=A","Dates=H","DateFormat=P","Fill=—","Direction=H","UseDPDF=Y")</f>
        <v>0.28670000000000001</v>
      </c>
      <c r="I54" s="17" cm="1">
        <f t="array" ref="I54">_xll.BDH("PCAR US Equity","IS_DILUTED_EPS","FQ3 2020","FQ3 2020","Currency=USD","Period=FQ","BEST_FPERIOD_OVERRIDE=FQ","FILING_STATUS=MR","FA_ADJUSTED=GAAP","Sort=A","Dates=H","DateFormat=P","Fill=—","Direction=H","UseDPDF=Y")</f>
        <v>0.74</v>
      </c>
      <c r="J54" s="17" cm="1">
        <f t="array" ref="J54">_xll.BDH("PCAR US Equity","IS_DILUTED_EPS","FQ4 2020","FQ4 2020","Currency=USD","Period=FQ","BEST_FPERIOD_OVERRIDE=FQ","FILING_STATUS=MR","FA_ADJUSTED=GAAP","Sort=A","Dates=H","DateFormat=P","Fill=—","Direction=H","UseDPDF=Y")</f>
        <v>0.78</v>
      </c>
      <c r="K54" s="17" cm="1">
        <f t="array" ref="K54">_xll.BDH("PCAR US Equity","IS_DILUTED_EPS","FQ1 2021","FQ1 2021","Currency=USD","Period=FQ","BEST_FPERIOD_OVERRIDE=FQ","FILING_STATUS=MR","FA_ADJUSTED=GAAP","Sort=A","Dates=H","DateFormat=P","Fill=—","Direction=H","UseDPDF=Y")</f>
        <v>0.9</v>
      </c>
      <c r="L54" s="17" cm="1">
        <f t="array" ref="L54">_xll.BDH("PCAR US Equity","IS_DILUTED_EPS","FQ2 2021","FQ2 2021","Currency=USD","Period=FQ","BEST_FPERIOD_OVERRIDE=FQ","FILING_STATUS=MR","FA_ADJUSTED=GAAP","Sort=A","Dates=H","DateFormat=P","Fill=—","Direction=H","UseDPDF=Y")</f>
        <v>0.94669999999999999</v>
      </c>
      <c r="M54" s="17" cm="1">
        <f t="array" ref="M54">_xll.BDH("PCAR US Equity","IS_DILUTED_EPS","FQ3 2021","FQ3 2021","Currency=USD","Period=FQ","BEST_FPERIOD_OVERRIDE=FQ","FILING_STATUS=MR","FA_ADJUSTED=GAAP","Sort=A","Dates=H","DateFormat=P","Fill=—","Direction=H","UseDPDF=Y")</f>
        <v>0.72670000000000001</v>
      </c>
      <c r="N54" s="17" cm="1">
        <f t="array" ref="N54">_xll.BDH("PCAR US Equity","IS_DILUTED_EPS","FQ4 2021","FQ4 2021","Currency=USD","Period=FQ","BEST_FPERIOD_OVERRIDE=FQ","FILING_STATUS=MR","FA_ADJUSTED=GAAP","Sort=A","Dates=H","DateFormat=P","Fill=—","Direction=H","UseDPDF=Y")</f>
        <v>0.99329999999999996</v>
      </c>
      <c r="O54" s="17" cm="1">
        <f t="array" ref="O54">_xll.BDH("PCAR US Equity","IS_DILUTED_EPS","FQ1 2022","FQ1 2022","Currency=USD","Period=FQ","BEST_FPERIOD_OVERRIDE=FQ","FILING_STATUS=MR","FA_ADJUSTED=GAAP","Sort=A","Dates=H","DateFormat=P","Fill=—","Direction=H","UseDPDF=Y")</f>
        <v>1.1467000000000001</v>
      </c>
      <c r="P54" s="17" cm="1">
        <f t="array" ref="P54">_xll.BDH("PCAR US Equity","IS_DILUTED_EPS","FQ2 2022","FQ2 2022","Currency=USD","Period=FQ","BEST_FPERIOD_OVERRIDE=FQ","FILING_STATUS=MR","FA_ADJUSTED=GAAP","Sort=A","Dates=H","DateFormat=P","Fill=—","Direction=H","UseDPDF=Y")</f>
        <v>1.38</v>
      </c>
      <c r="Q54" s="17" cm="1">
        <f t="array" ref="Q54">_xll.BDH("PCAR US Equity","IS_DILUTED_EPS","FQ3 2022","FQ3 2022","Currency=USD","Period=FQ","BEST_FPERIOD_OVERRIDE=FQ","FILING_STATUS=MR","FA_ADJUSTED=GAAP","Sort=A","Dates=H","DateFormat=P","Fill=—","Direction=H","UseDPDF=Y")</f>
        <v>1.4733000000000001</v>
      </c>
      <c r="R54" s="17" cm="1">
        <f t="array" ref="R54">_xll.BDH("PCAR US Equity","IS_DILUTED_EPS","FQ4 2022","FQ4 2022","Currency=USD","Period=FQ","BEST_FPERIOD_OVERRIDE=FQ","FILING_STATUS=MR","FA_ADJUSTED=GAAP","Sort=A","Dates=H","DateFormat=P","Fill=—","Direction=H","UseDPDF=Y")</f>
        <v>1.76</v>
      </c>
      <c r="S54" s="17" cm="1">
        <f t="array" ref="S54">_xll.BDH("PCAR US Equity","IS_DILUTED_EPS","FQ1 2023","FQ1 2023","Currency=USD","Period=FQ","BEST_FPERIOD_OVERRIDE=FQ","FILING_STATUS=MR","FA_ADJUSTED=GAAP","Sort=A","Dates=H","DateFormat=P","Fill=—","Direction=H","UseDPDF=Y")</f>
        <v>1.4</v>
      </c>
      <c r="T54" s="17" cm="1">
        <f t="array" ref="T54">_xll.BDH("PCAR US Equity","IS_DILUTED_EPS","FQ2 2023","FQ2 2023","Currency=USD","Period=FQ","BEST_FPERIOD_OVERRIDE=FQ","FILING_STATUS=MR","FA_ADJUSTED=GAAP","Sort=A","Dates=H","DateFormat=P","Fill=—","Direction=H","UseDPDF=Y")</f>
        <v>2.33</v>
      </c>
      <c r="U54" s="17" cm="1">
        <f t="array" ref="U54">_xll.BDH("PCAR US Equity","IS_DILUTED_EPS","FQ3 2023","FQ3 2023","Currency=USD","Period=FQ","BEST_FPERIOD_OVERRIDE=FQ","FILING_STATUS=MR","FA_ADJUSTED=GAAP","Sort=A","Dates=H","DateFormat=P","Fill=—","Direction=H","UseDPDF=Y")</f>
        <v>2.34</v>
      </c>
      <c r="V54" s="17" cm="1">
        <f t="array" ref="V54">_xll.BDH("PCAR US Equity","IS_DILUTED_EPS","FQ4 2023","FQ4 2023","Currency=USD","Period=FQ","BEST_FPERIOD_OVERRIDE=FQ","FILING_STATUS=MR","FA_ADJUSTED=GAAP","Sort=A","Dates=H","DateFormat=P","Fill=—","Direction=H","UseDPDF=Y")</f>
        <v>2.7</v>
      </c>
      <c r="W54" s="17" cm="1">
        <f t="array" ref="W54">_xll.BDH("PCAR US Equity","IS_DILUTED_EPS","FQ1 2024","FQ1 2024","Currency=USD","Period=FQ","BEST_FPERIOD_OVERRIDE=FQ","FILING_STATUS=MR","FA_ADJUSTED=GAAP","Sort=A","Dates=H","DateFormat=P","Fill=—","Direction=H","UseDPDF=Y")</f>
        <v>2.27</v>
      </c>
      <c r="X54" s="17" cm="1">
        <f t="array" ref="X54">_xll.BDH("PCAR US Equity","IS_DILUTED_EPS","FQ2 2024","FQ2 2024","Currency=USD","Period=FQ","BEST_FPERIOD_OVERRIDE=FQ","FILING_STATUS=MR","FA_ADJUSTED=GAAP","Sort=A","Dates=H","DateFormat=P","Fill=—","Direction=H","UseDPDF=Y")</f>
        <v>2.13</v>
      </c>
      <c r="Y54" s="17" cm="1">
        <f t="array" ref="Y54">_xll.BDH("PCAR US Equity","IS_DILUTED_EPS","FQ3 2024","FQ3 2024","Currency=USD","Period=FQ","BEST_FPERIOD_OVERRIDE=FQ","FILING_STATUS=MR","FA_ADJUSTED=GAAP","Sort=A","Dates=H","DateFormat=P","Fill=—","Direction=H","UseDPDF=Y")</f>
        <v>1.85</v>
      </c>
      <c r="Z54" s="17" cm="1">
        <f t="array" ref="Z54">_xll.BDH("PCAR US Equity","IS_DILUTED_EPS","FQ4 2024","FQ4 2024","Currency=USD","Period=FQ","BEST_FPERIOD_OVERRIDE=FQ","FILING_STATUS=MR","FA_ADJUSTED=GAAP","Sort=A","Dates=H","DateFormat=P","Fill=—","Direction=H","UseDPDF=Y")</f>
        <v>1.66</v>
      </c>
      <c r="AA54" s="17" cm="1">
        <f t="array" ref="AA54">_xll.BDH("PCAR US Equity","IS_DILUTED_EPS","FQ1 2025","FQ1 2025","Currency=USD","Period=FQ","BEST_FPERIOD_OVERRIDE=FQ","FILING_STATUS=MR","FA_ADJUSTED=GAAP","Sort=A","Dates=H","DateFormat=P","Fill=—","Direction=H","UseDPDF=Y")</f>
        <v>0.96</v>
      </c>
      <c r="AB54" s="17" cm="1">
        <f t="array" ref="AB54">_xll.BDH("PCAR US Equity","IS_DILUTED_EPS","FQ2 2025","FQ2 2025","Currency=USD","Period=FQ","BEST_FPERIOD_OVERRIDE=FQ","FILING_STATUS=MR","FA_ADJUSTED=GAAP","Sort=A","Dates=H","DateFormat=P","Fill=—","Direction=H","UseDPDF=Y")</f>
        <v>1.37</v>
      </c>
      <c r="AC54" s="17" cm="1">
        <f t="array" ref="AC54">_xll.BDH("PCAR US Equity","IS_DILUTED_EPS","FQ3 2025","FQ3 2025","Currency=USD","Period=FQ","BEST_FPERIOD_OVERRIDE=FQ","FILING_STATUS=MR","FA_ADJUSTED=GAAP","Sort=A","Dates=H","DateFormat=P","Fill=—","Direction=H","UseDPDF=Y")</f>
        <v>1.1200000000000001</v>
      </c>
      <c r="AD54" s="17" cm="1">
        <f t="array" ref="AD54">_xll.BDH("PCAR US Equity","IS_DILUTED_EPS","FQ4 2025","FQ4 2025","Currency=USD","Period=FQ","BEST_FPERIOD_OVERRIDE=FQ","FILING_STATUS=MR","FA_ADJUSTED=GAAP","Sort=A","Dates=H","DateFormat=P","Fill=—","Direction=H","UseDPDF=Y")</f>
        <v>1.06</v>
      </c>
      <c r="AE54" s="17">
        <v>1.1539999999999999</v>
      </c>
      <c r="AF54" s="17">
        <v>1.3149999999999999</v>
      </c>
    </row>
    <row r="55" spans="1:32" x14ac:dyDescent="0.25">
      <c r="A55" s="6" t="s">
        <v>154</v>
      </c>
      <c r="B55" s="6" t="s">
        <v>155</v>
      </c>
      <c r="C55" s="17" cm="1">
        <f t="array" ref="C55">_xll.BDH("PCAR US Equity","IS_DIL_EPS_BEF_XO","FQ1 2019","FQ1 2019","Currency=USD","Period=FQ","BEST_FPERIOD_OVERRIDE=FQ","FILING_STATUS=MR","Sort=A","Dates=H","DateFormat=P","Fill=—","Direction=H","UseDPDF=Y")</f>
        <v>1.2067000000000001</v>
      </c>
      <c r="D55" s="17" cm="1">
        <f t="array" ref="D55">_xll.BDH("PCAR US Equity","IS_DIL_EPS_BEF_XO","FQ2 2019","FQ2 2019","Currency=USD","Period=FQ","BEST_FPERIOD_OVERRIDE=FQ","FILING_STATUS=MR","Sort=A","Dates=H","DateFormat=P","Fill=—","Direction=H","UseDPDF=Y")</f>
        <v>1.1867000000000001</v>
      </c>
      <c r="E55" s="17" cm="1">
        <f t="array" ref="E55">_xll.BDH("PCAR US Equity","IS_DIL_EPS_BEF_XO","FQ3 2019","FQ3 2019","Currency=USD","Period=FQ","BEST_FPERIOD_OVERRIDE=FQ","FILING_STATUS=MR","Sort=A","Dates=H","DateFormat=P","Fill=—","Direction=H","UseDPDF=Y")</f>
        <v>1.1667000000000001</v>
      </c>
      <c r="F55" s="17" cm="1">
        <f t="array" ref="F55">_xll.BDH("PCAR US Equity","IS_DIL_EPS_BEF_XO","FQ4 2019","FQ4 2019","Currency=USD","Period=FQ","BEST_FPERIOD_OVERRIDE=FQ","FILING_STATUS=MR","Sort=A","Dates=H","DateFormat=P","Fill=—","Direction=H","UseDPDF=Y")</f>
        <v>1.02</v>
      </c>
      <c r="G55" s="17" cm="1">
        <f t="array" ref="G55">_xll.BDH("PCAR US Equity","IS_DIL_EPS_BEF_XO","FQ1 2020","FQ1 2020","Currency=USD","Period=FQ","BEST_FPERIOD_OVERRIDE=FQ","FILING_STATUS=MR","Sort=A","Dates=H","DateFormat=P","Fill=—","Direction=H","UseDPDF=Y")</f>
        <v>0.68669999999999998</v>
      </c>
      <c r="H55" s="17" cm="1">
        <f t="array" ref="H55">_xll.BDH("PCAR US Equity","IS_DIL_EPS_BEF_XO","FQ2 2020","FQ2 2020","Currency=USD","Period=FQ","BEST_FPERIOD_OVERRIDE=FQ","FILING_STATUS=MR","Sort=A","Dates=H","DateFormat=P","Fill=—","Direction=H","UseDPDF=Y")</f>
        <v>0.28670000000000001</v>
      </c>
      <c r="I55" s="17" cm="1">
        <f t="array" ref="I55">_xll.BDH("PCAR US Equity","IS_DIL_EPS_BEF_XO","FQ3 2020","FQ3 2020","Currency=USD","Period=FQ","BEST_FPERIOD_OVERRIDE=FQ","FILING_STATUS=MR","Sort=A","Dates=H","DateFormat=P","Fill=—","Direction=H","UseDPDF=Y")</f>
        <v>0.74</v>
      </c>
      <c r="J55" s="17" cm="1">
        <f t="array" ref="J55">_xll.BDH("PCAR US Equity","IS_DIL_EPS_BEF_XO","FQ4 2020","FQ4 2020","Currency=USD","Period=FQ","BEST_FPERIOD_OVERRIDE=FQ","FILING_STATUS=MR","Sort=A","Dates=H","DateFormat=P","Fill=—","Direction=H","UseDPDF=Y")</f>
        <v>0.78</v>
      </c>
      <c r="K55" s="17" cm="1">
        <f t="array" ref="K55">_xll.BDH("PCAR US Equity","IS_DIL_EPS_BEF_XO","FQ1 2021","FQ1 2021","Currency=USD","Period=FQ","BEST_FPERIOD_OVERRIDE=FQ","FILING_STATUS=MR","Sort=A","Dates=H","DateFormat=P","Fill=—","Direction=H","UseDPDF=Y")</f>
        <v>0.9</v>
      </c>
      <c r="L55" s="17" cm="1">
        <f t="array" ref="L55">_xll.BDH("PCAR US Equity","IS_DIL_EPS_BEF_XO","FQ2 2021","FQ2 2021","Currency=USD","Period=FQ","BEST_FPERIOD_OVERRIDE=FQ","FILING_STATUS=MR","Sort=A","Dates=H","DateFormat=P","Fill=—","Direction=H","UseDPDF=Y")</f>
        <v>0.94669999999999999</v>
      </c>
      <c r="M55" s="17" cm="1">
        <f t="array" ref="M55">_xll.BDH("PCAR US Equity","IS_DIL_EPS_BEF_XO","FQ3 2021","FQ3 2021","Currency=USD","Period=FQ","BEST_FPERIOD_OVERRIDE=FQ","FILING_STATUS=MR","Sort=A","Dates=H","DateFormat=P","Fill=—","Direction=H","UseDPDF=Y")</f>
        <v>0.72670000000000001</v>
      </c>
      <c r="N55" s="17" cm="1">
        <f t="array" ref="N55">_xll.BDH("PCAR US Equity","IS_DIL_EPS_BEF_XO","FQ4 2021","FQ4 2021","Currency=USD","Period=FQ","BEST_FPERIOD_OVERRIDE=FQ","FILING_STATUS=MR","Sort=A","Dates=H","DateFormat=P","Fill=—","Direction=H","UseDPDF=Y")</f>
        <v>0.99329999999999996</v>
      </c>
      <c r="O55" s="17" cm="1">
        <f t="array" ref="O55">_xll.BDH("PCAR US Equity","IS_DIL_EPS_BEF_XO","FQ1 2022","FQ1 2022","Currency=USD","Period=FQ","BEST_FPERIOD_OVERRIDE=FQ","FILING_STATUS=MR","Sort=A","Dates=H","DateFormat=P","Fill=—","Direction=H","UseDPDF=Y")</f>
        <v>1.1467000000000001</v>
      </c>
      <c r="P55" s="17" cm="1">
        <f t="array" ref="P55">_xll.BDH("PCAR US Equity","IS_DIL_EPS_BEF_XO","FQ2 2022","FQ2 2022","Currency=USD","Period=FQ","BEST_FPERIOD_OVERRIDE=FQ","FILING_STATUS=MR","Sort=A","Dates=H","DateFormat=P","Fill=—","Direction=H","UseDPDF=Y")</f>
        <v>1.38</v>
      </c>
      <c r="Q55" s="17" cm="1">
        <f t="array" ref="Q55">_xll.BDH("PCAR US Equity","IS_DIL_EPS_BEF_XO","FQ3 2022","FQ3 2022","Currency=USD","Period=FQ","BEST_FPERIOD_OVERRIDE=FQ","FILING_STATUS=MR","Sort=A","Dates=H","DateFormat=P","Fill=—","Direction=H","UseDPDF=Y")</f>
        <v>1.4733000000000001</v>
      </c>
      <c r="R55" s="17" cm="1">
        <f t="array" ref="R55">_xll.BDH("PCAR US Equity","IS_DIL_EPS_BEF_XO","FQ4 2022","FQ4 2022","Currency=USD","Period=FQ","BEST_FPERIOD_OVERRIDE=FQ","FILING_STATUS=MR","Sort=A","Dates=H","DateFormat=P","Fill=—","Direction=H","UseDPDF=Y")</f>
        <v>1.76</v>
      </c>
      <c r="S55" s="17" cm="1">
        <f t="array" ref="S55">_xll.BDH("PCAR US Equity","IS_DIL_EPS_BEF_XO","FQ1 2023","FQ1 2023","Currency=USD","Period=FQ","BEST_FPERIOD_OVERRIDE=FQ","FILING_STATUS=MR","Sort=A","Dates=H","DateFormat=P","Fill=—","Direction=H","UseDPDF=Y")</f>
        <v>1.4</v>
      </c>
      <c r="T55" s="17" cm="1">
        <f t="array" ref="T55">_xll.BDH("PCAR US Equity","IS_DIL_EPS_BEF_XO","FQ2 2023","FQ2 2023","Currency=USD","Period=FQ","BEST_FPERIOD_OVERRIDE=FQ","FILING_STATUS=MR","Sort=A","Dates=H","DateFormat=P","Fill=—","Direction=H","UseDPDF=Y")</f>
        <v>2.33</v>
      </c>
      <c r="U55" s="17" cm="1">
        <f t="array" ref="U55">_xll.BDH("PCAR US Equity","IS_DIL_EPS_BEF_XO","FQ3 2023","FQ3 2023","Currency=USD","Period=FQ","BEST_FPERIOD_OVERRIDE=FQ","FILING_STATUS=MR","Sort=A","Dates=H","DateFormat=P","Fill=—","Direction=H","UseDPDF=Y")</f>
        <v>2.34</v>
      </c>
      <c r="V55" s="17" cm="1">
        <f t="array" ref="V55">_xll.BDH("PCAR US Equity","IS_DIL_EPS_BEF_XO","FQ4 2023","FQ4 2023","Currency=USD","Period=FQ","BEST_FPERIOD_OVERRIDE=FQ","FILING_STATUS=MR","Sort=A","Dates=H","DateFormat=P","Fill=—","Direction=H","UseDPDF=Y")</f>
        <v>2.7</v>
      </c>
      <c r="W55" s="17" cm="1">
        <f t="array" ref="W55">_xll.BDH("PCAR US Equity","IS_DIL_EPS_BEF_XO","FQ1 2024","FQ1 2024","Currency=USD","Period=FQ","BEST_FPERIOD_OVERRIDE=FQ","FILING_STATUS=MR","Sort=A","Dates=H","DateFormat=P","Fill=—","Direction=H","UseDPDF=Y")</f>
        <v>2.27</v>
      </c>
      <c r="X55" s="17" cm="1">
        <f t="array" ref="X55">_xll.BDH("PCAR US Equity","IS_DIL_EPS_BEF_XO","FQ2 2024","FQ2 2024","Currency=USD","Period=FQ","BEST_FPERIOD_OVERRIDE=FQ","FILING_STATUS=MR","Sort=A","Dates=H","DateFormat=P","Fill=—","Direction=H","UseDPDF=Y")</f>
        <v>2.13</v>
      </c>
      <c r="Y55" s="17" cm="1">
        <f t="array" ref="Y55">_xll.BDH("PCAR US Equity","IS_DIL_EPS_BEF_XO","FQ3 2024","FQ3 2024","Currency=USD","Period=FQ","BEST_FPERIOD_OVERRIDE=FQ","FILING_STATUS=MR","Sort=A","Dates=H","DateFormat=P","Fill=—","Direction=H","UseDPDF=Y")</f>
        <v>1.85</v>
      </c>
      <c r="Z55" s="17" cm="1">
        <f t="array" ref="Z55">_xll.BDH("PCAR US Equity","IS_DIL_EPS_BEF_XO","FQ4 2024","FQ4 2024","Currency=USD","Period=FQ","BEST_FPERIOD_OVERRIDE=FQ","FILING_STATUS=MR","Sort=A","Dates=H","DateFormat=P","Fill=—","Direction=H","UseDPDF=Y")</f>
        <v>1.66</v>
      </c>
      <c r="AA55" s="17" cm="1">
        <f t="array" ref="AA55">_xll.BDH("PCAR US Equity","IS_DIL_EPS_BEF_XO","FQ1 2025","FQ1 2025","Currency=USD","Period=FQ","BEST_FPERIOD_OVERRIDE=FQ","FILING_STATUS=MR","Sort=A","Dates=H","DateFormat=P","Fill=—","Direction=H","UseDPDF=Y")</f>
        <v>0.96</v>
      </c>
      <c r="AB55" s="17" cm="1">
        <f t="array" ref="AB55">_xll.BDH("PCAR US Equity","IS_DIL_EPS_BEF_XO","FQ2 2025","FQ2 2025","Currency=USD","Period=FQ","BEST_FPERIOD_OVERRIDE=FQ","FILING_STATUS=MR","Sort=A","Dates=H","DateFormat=P","Fill=—","Direction=H","UseDPDF=Y")</f>
        <v>1.37</v>
      </c>
      <c r="AC55" s="17" cm="1">
        <f t="array" ref="AC55">_xll.BDH("PCAR US Equity","IS_DIL_EPS_BEF_XO","FQ3 2025","FQ3 2025","Currency=USD","Period=FQ","BEST_FPERIOD_OVERRIDE=FQ","FILING_STATUS=MR","Sort=A","Dates=H","DateFormat=P","Fill=—","Direction=H","UseDPDF=Y")</f>
        <v>1.1200000000000001</v>
      </c>
      <c r="AD55" s="17" cm="1">
        <f t="array" ref="AD55">_xll.BDH("PCAR US Equity","IS_DIL_EPS_BEF_XO","FQ4 2025","FQ4 2025","Currency=USD","Period=FQ","BEST_FPERIOD_OVERRIDE=FQ","FILING_STATUS=MR","Sort=A","Dates=H","DateFormat=P","Fill=—","Direction=H","UseDPDF=Y")</f>
        <v>1.06</v>
      </c>
      <c r="AE55" s="17">
        <v>1.1539999999999999</v>
      </c>
      <c r="AF55" s="17">
        <v>1.3149999999999999</v>
      </c>
    </row>
    <row r="56" spans="1:32" x14ac:dyDescent="0.25">
      <c r="A56" s="6" t="s">
        <v>156</v>
      </c>
      <c r="B56" s="6" t="s">
        <v>157</v>
      </c>
      <c r="C56" s="17" cm="1">
        <f t="array" ref="C56">_xll.BDH("PCAR US Equity","IS_DIL_EPS_CONT_OPS","FQ1 2019","FQ1 2019","Currency=USD","Period=FQ","BEST_FPERIOD_OVERRIDE=FQ","FILING_STATUS=MR","Sort=A","Dates=H","DateFormat=P","Fill=—","Direction=H","UseDPDF=Y")</f>
        <v>1.2064999999999999</v>
      </c>
      <c r="D56" s="17" cm="1">
        <f t="array" ref="D56">_xll.BDH("PCAR US Equity","IS_DIL_EPS_CONT_OPS","FQ2 2019","FQ2 2019","Currency=USD","Period=FQ","BEST_FPERIOD_OVERRIDE=FQ","FILING_STATUS=MR","Sort=A","Dates=H","DateFormat=P","Fill=—","Direction=H","UseDPDF=Y")</f>
        <v>1.1865000000000001</v>
      </c>
      <c r="E56" s="17" cm="1">
        <f t="array" ref="E56">_xll.BDH("PCAR US Equity","IS_DIL_EPS_CONT_OPS","FQ3 2019","FQ3 2019","Currency=USD","Period=FQ","BEST_FPERIOD_OVERRIDE=FQ","FILING_STATUS=MR","Sort=A","Dates=H","DateFormat=P","Fill=—","Direction=H","UseDPDF=Y")</f>
        <v>1.1660999999999999</v>
      </c>
      <c r="F56" s="17" cm="1">
        <f t="array" ref="F56">_xll.BDH("PCAR US Equity","IS_DIL_EPS_CONT_OPS","FQ4 2019","FQ4 2019","Currency=USD","Period=FQ","BEST_FPERIOD_OVERRIDE=FQ","FILING_STATUS=MR","Sort=A","Dates=H","DateFormat=P","Fill=—","Direction=H","UseDPDF=Y")</f>
        <v>1.0195000000000001</v>
      </c>
      <c r="G56" s="17" cm="1">
        <f t="array" ref="G56">_xll.BDH("PCAR US Equity","IS_DIL_EPS_CONT_OPS","FQ1 2020","FQ1 2020","Currency=USD","Period=FQ","BEST_FPERIOD_OVERRIDE=FQ","FILING_STATUS=MR","Sort=A","Dates=H","DateFormat=P","Fill=—","Direction=H","UseDPDF=Y")</f>
        <v>0.68559999999999999</v>
      </c>
      <c r="H56" s="17" cm="1">
        <f t="array" ref="H56">_xll.BDH("PCAR US Equity","IS_DIL_EPS_CONT_OPS","FQ2 2020","FQ2 2020","Currency=USD","Period=FQ","BEST_FPERIOD_OVERRIDE=FQ","FILING_STATUS=MR","Sort=A","Dates=H","DateFormat=P","Fill=—","Direction=H","UseDPDF=Y")</f>
        <v>0.2833</v>
      </c>
      <c r="I56" s="17" cm="1">
        <f t="array" ref="I56">_xll.BDH("PCAR US Equity","IS_DIL_EPS_CONT_OPS","FQ3 2020","FQ3 2020","Currency=USD","Period=FQ","BEST_FPERIOD_OVERRIDE=FQ","FILING_STATUS=MR","Sort=A","Dates=H","DateFormat=P","Fill=—","Direction=H","UseDPDF=Y")</f>
        <v>0.74</v>
      </c>
      <c r="J56" s="17" cm="1">
        <f t="array" ref="J56">_xll.BDH("PCAR US Equity","IS_DIL_EPS_CONT_OPS","FQ4 2020","FQ4 2020","Currency=USD","Period=FQ","BEST_FPERIOD_OVERRIDE=FQ","FILING_STATUS=MR","Sort=A","Dates=H","DateFormat=P","Fill=—","Direction=H","UseDPDF=Y")</f>
        <v>0.77800000000000002</v>
      </c>
      <c r="K56" s="17" cm="1">
        <f t="array" ref="K56">_xll.BDH("PCAR US Equity","IS_DIL_EPS_CONT_OPS","FQ1 2021","FQ1 2021","Currency=USD","Period=FQ","BEST_FPERIOD_OVERRIDE=FQ","FILING_STATUS=MR","Sort=A","Dates=H","DateFormat=P","Fill=—","Direction=H","UseDPDF=Y")</f>
        <v>0.9</v>
      </c>
      <c r="L56" s="17" cm="1">
        <f t="array" ref="L56">_xll.BDH("PCAR US Equity","IS_DIL_EPS_CONT_OPS","FQ2 2021","FQ2 2021","Currency=USD","Period=FQ","BEST_FPERIOD_OVERRIDE=FQ","FILING_STATUS=MR","Sort=A","Dates=H","DateFormat=P","Fill=—","Direction=H","UseDPDF=Y")</f>
        <v>0.94610000000000005</v>
      </c>
      <c r="M56" s="17" cm="1">
        <f t="array" ref="M56">_xll.BDH("PCAR US Equity","IS_DIL_EPS_CONT_OPS","FQ3 2021","FQ3 2021","Currency=USD","Period=FQ","BEST_FPERIOD_OVERRIDE=FQ","FILING_STATUS=MR","Sort=A","Dates=H","DateFormat=P","Fill=—","Direction=H","UseDPDF=Y")</f>
        <v>0.72670000000000001</v>
      </c>
      <c r="N56" s="17" cm="1">
        <f t="array" ref="N56">_xll.BDH("PCAR US Equity","IS_DIL_EPS_CONT_OPS","FQ4 2021","FQ4 2021","Currency=USD","Period=FQ","BEST_FPERIOD_OVERRIDE=FQ","FILING_STATUS=MR","Sort=A","Dates=H","DateFormat=P","Fill=—","Direction=H","UseDPDF=Y")</f>
        <v>0.99329999999999996</v>
      </c>
      <c r="O56" s="17" cm="1">
        <f t="array" ref="O56">_xll.BDH("PCAR US Equity","IS_DIL_EPS_CONT_OPS","FQ1 2022","FQ1 2022","Currency=USD","Period=FQ","BEST_FPERIOD_OVERRIDE=FQ","FILING_STATUS=MR","Sort=A","Dates=H","DateFormat=P","Fill=—","Direction=H","UseDPDF=Y")</f>
        <v>1.1467000000000001</v>
      </c>
      <c r="P56" s="17" cm="1">
        <f t="array" ref="P56">_xll.BDH("PCAR US Equity","IS_DIL_EPS_CONT_OPS","FQ2 2022","FQ2 2022","Currency=USD","Period=FQ","BEST_FPERIOD_OVERRIDE=FQ","FILING_STATUS=MR","Sort=A","Dates=H","DateFormat=P","Fill=—","Direction=H","UseDPDF=Y")</f>
        <v>1.3792</v>
      </c>
      <c r="Q56" s="17" cm="1">
        <f t="array" ref="Q56">_xll.BDH("PCAR US Equity","IS_DIL_EPS_CONT_OPS","FQ3 2022","FQ3 2022","Currency=USD","Period=FQ","BEST_FPERIOD_OVERRIDE=FQ","FILING_STATUS=MR","Sort=A","Dates=H","DateFormat=P","Fill=—","Direction=H","UseDPDF=Y")</f>
        <v>1.4733000000000001</v>
      </c>
      <c r="R56" s="17" cm="1">
        <f t="array" ref="R56">_xll.BDH("PCAR US Equity","IS_DIL_EPS_CONT_OPS","FQ4 2022","FQ4 2022","Currency=USD","Period=FQ","BEST_FPERIOD_OVERRIDE=FQ","FILING_STATUS=MR","Sort=A","Dates=H","DateFormat=P","Fill=—","Direction=H","UseDPDF=Y")</f>
        <v>1.76</v>
      </c>
      <c r="S56" s="17" cm="1">
        <f t="array" ref="S56">_xll.BDH("PCAR US Equity","IS_DIL_EPS_CONT_OPS","FQ1 2023","FQ1 2023","Currency=USD","Period=FQ","BEST_FPERIOD_OVERRIDE=FQ","FILING_STATUS=MR","Sort=A","Dates=H","DateFormat=P","Fill=—","Direction=H","UseDPDF=Y")</f>
        <v>1.4</v>
      </c>
      <c r="T56" s="17" cm="1">
        <f t="array" ref="T56">_xll.BDH("PCAR US Equity","IS_DIL_EPS_CONT_OPS","FQ2 2023","FQ2 2023","Currency=USD","Period=FQ","BEST_FPERIOD_OVERRIDE=FQ","FILING_STATUS=MR","Sort=A","Dates=H","DateFormat=P","Fill=—","Direction=H","UseDPDF=Y")</f>
        <v>2.33</v>
      </c>
      <c r="U56" s="17" cm="1">
        <f t="array" ref="U56">_xll.BDH("PCAR US Equity","IS_DIL_EPS_CONT_OPS","FQ3 2023","FQ3 2023","Currency=USD","Period=FQ","BEST_FPERIOD_OVERRIDE=FQ","FILING_STATUS=MR","Sort=A","Dates=H","DateFormat=P","Fill=—","Direction=H","UseDPDF=Y")</f>
        <v>2.34</v>
      </c>
      <c r="V56" s="17" cm="1">
        <f t="array" ref="V56">_xll.BDH("PCAR US Equity","IS_DIL_EPS_CONT_OPS","FQ4 2023","FQ4 2023","Currency=USD","Period=FQ","BEST_FPERIOD_OVERRIDE=FQ","FILING_STATUS=MR","Sort=A","Dates=H","DateFormat=P","Fill=—","Direction=H","UseDPDF=Y")</f>
        <v>2.7</v>
      </c>
      <c r="W56" s="17" cm="1">
        <f t="array" ref="W56">_xll.BDH("PCAR US Equity","IS_DIL_EPS_CONT_OPS","FQ1 2024","FQ1 2024","Currency=USD","Period=FQ","BEST_FPERIOD_OVERRIDE=FQ","FILING_STATUS=MR","Sort=A","Dates=H","DateFormat=P","Fill=—","Direction=H","UseDPDF=Y")</f>
        <v>2.27</v>
      </c>
      <c r="X56" s="17" cm="1">
        <f t="array" ref="X56">_xll.BDH("PCAR US Equity","IS_DIL_EPS_CONT_OPS","FQ2 2024","FQ2 2024","Currency=USD","Period=FQ","BEST_FPERIOD_OVERRIDE=FQ","FILING_STATUS=MR","Sort=A","Dates=H","DateFormat=P","Fill=—","Direction=H","UseDPDF=Y")</f>
        <v>2.13</v>
      </c>
      <c r="Y56" s="17" cm="1">
        <f t="array" ref="Y56">_xll.BDH("PCAR US Equity","IS_DIL_EPS_CONT_OPS","FQ3 2024","FQ3 2024","Currency=USD","Period=FQ","BEST_FPERIOD_OVERRIDE=FQ","FILING_STATUS=MR","Sort=A","Dates=H","DateFormat=P","Fill=—","Direction=H","UseDPDF=Y")</f>
        <v>1.85</v>
      </c>
      <c r="Z56" s="17" cm="1">
        <f t="array" ref="Z56">_xll.BDH("PCAR US Equity","IS_DIL_EPS_CONT_OPS","FQ4 2024","FQ4 2024","Currency=USD","Period=FQ","BEST_FPERIOD_OVERRIDE=FQ","FILING_STATUS=MR","Sort=A","Dates=H","DateFormat=P","Fill=—","Direction=H","UseDPDF=Y")</f>
        <v>1.66</v>
      </c>
      <c r="AA56" s="17" cm="1">
        <f t="array" ref="AA56">_xll.BDH("PCAR US Equity","IS_DIL_EPS_CONT_OPS","FQ1 2025","FQ1 2025","Currency=USD","Period=FQ","BEST_FPERIOD_OVERRIDE=FQ","FILING_STATUS=MR","Sort=A","Dates=H","DateFormat=P","Fill=—","Direction=H","UseDPDF=Y")</f>
        <v>0.96</v>
      </c>
      <c r="AB56" s="17" cm="1">
        <f t="array" ref="AB56">_xll.BDH("PCAR US Equity","IS_DIL_EPS_CONT_OPS","FQ2 2025","FQ2 2025","Currency=USD","Period=FQ","BEST_FPERIOD_OVERRIDE=FQ","FILING_STATUS=MR","Sort=A","Dates=H","DateFormat=P","Fill=—","Direction=H","UseDPDF=Y")</f>
        <v>1.37</v>
      </c>
      <c r="AC56" s="17" cm="1">
        <f t="array" ref="AC56">_xll.BDH("PCAR US Equity","IS_DIL_EPS_CONT_OPS","FQ3 2025","FQ3 2025","Currency=USD","Period=FQ","BEST_FPERIOD_OVERRIDE=FQ","FILING_STATUS=MR","Sort=A","Dates=H","DateFormat=P","Fill=—","Direction=H","UseDPDF=Y")</f>
        <v>1.1200000000000001</v>
      </c>
      <c r="AD56" s="17" cm="1">
        <f t="array" ref="AD56">_xll.BDH("PCAR US Equity","IS_DIL_EPS_CONT_OPS","FQ4 2025","FQ4 2025","Currency=USD","Period=FQ","BEST_FPERIOD_OVERRIDE=FQ","FILING_STATUS=MR","Sort=A","Dates=H","DateFormat=P","Fill=—","Direction=H","UseDPDF=Y")</f>
        <v>1.06</v>
      </c>
      <c r="AE56" s="17">
        <v>1.1599999999999999</v>
      </c>
      <c r="AF56" s="17">
        <v>1.329</v>
      </c>
    </row>
    <row r="57" spans="1:32" x14ac:dyDescent="0.25">
      <c r="A57" s="6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1:32" x14ac:dyDescent="0.25">
      <c r="A58" s="6" t="s">
        <v>2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 spans="1:32" x14ac:dyDescent="0.25">
      <c r="A59" s="10" t="s">
        <v>158</v>
      </c>
      <c r="B59" s="10" t="s">
        <v>159</v>
      </c>
      <c r="C59" s="12" t="s">
        <v>160</v>
      </c>
      <c r="D59" s="12" t="s">
        <v>160</v>
      </c>
      <c r="E59" s="12" t="s">
        <v>160</v>
      </c>
      <c r="F59" s="12" t="s">
        <v>160</v>
      </c>
      <c r="G59" s="12" t="s">
        <v>160</v>
      </c>
      <c r="H59" s="12" t="s">
        <v>160</v>
      </c>
      <c r="I59" s="12" t="s">
        <v>160</v>
      </c>
      <c r="J59" s="12" t="s">
        <v>160</v>
      </c>
      <c r="K59" s="12" t="s">
        <v>160</v>
      </c>
      <c r="L59" s="12" t="s">
        <v>160</v>
      </c>
      <c r="M59" s="12" t="s">
        <v>160</v>
      </c>
      <c r="N59" s="12" t="s">
        <v>160</v>
      </c>
      <c r="O59" s="12" t="s">
        <v>160</v>
      </c>
      <c r="P59" s="12" t="s">
        <v>160</v>
      </c>
      <c r="Q59" s="12" t="s">
        <v>160</v>
      </c>
      <c r="R59" s="12" t="s">
        <v>160</v>
      </c>
      <c r="S59" s="12" t="s">
        <v>160</v>
      </c>
      <c r="T59" s="12" t="s">
        <v>160</v>
      </c>
      <c r="U59" s="12" t="s">
        <v>160</v>
      </c>
      <c r="V59" s="12" t="s">
        <v>160</v>
      </c>
      <c r="W59" s="12" t="s">
        <v>160</v>
      </c>
      <c r="X59" s="12" t="s">
        <v>160</v>
      </c>
      <c r="Y59" s="12" t="s">
        <v>160</v>
      </c>
      <c r="Z59" s="12" t="s">
        <v>160</v>
      </c>
      <c r="AA59" s="12" t="s">
        <v>160</v>
      </c>
      <c r="AB59" s="12" t="s">
        <v>160</v>
      </c>
      <c r="AC59" s="12" t="s">
        <v>160</v>
      </c>
      <c r="AD59" s="12" t="s">
        <v>160</v>
      </c>
      <c r="AE59" s="12"/>
      <c r="AF59" s="12"/>
    </row>
    <row r="60" spans="1:32" x14ac:dyDescent="0.25">
      <c r="A60" s="10" t="s">
        <v>161</v>
      </c>
      <c r="B60" s="10" t="s">
        <v>161</v>
      </c>
      <c r="C60" s="13" cm="1">
        <f t="array" ref="C60">_xll.BDH("PCAR US Equity","EBITDA","FQ1 2019","FQ1 2019","Currency=USD","Period=FQ","BEST_FPERIOD_OVERRIDE=FQ","FILING_STATUS=MR","SCALING_FORMAT=MLN","FA_ADJUSTED=Adjusted","Sort=A","Dates=H","DateFormat=P","Fill=—","Direction=H","UseDPDF=Y")</f>
        <v>875.3</v>
      </c>
      <c r="D60" s="13" cm="1">
        <f t="array" ref="D60">_xll.BDH("PCAR US Equity","EBITDA","FQ2 2019","FQ2 2019","Currency=USD","Period=FQ","BEST_FPERIOD_OVERRIDE=FQ","FILING_STATUS=MR","SCALING_FORMAT=MLN","FA_ADJUSTED=Adjusted","Sort=A","Dates=H","DateFormat=P","Fill=—","Direction=H","UseDPDF=Y")</f>
        <v>868.2</v>
      </c>
      <c r="E60" s="13" cm="1">
        <f t="array" ref="E60">_xll.BDH("PCAR US Equity","EBITDA","FQ3 2019","FQ3 2019","Currency=USD","Period=FQ","BEST_FPERIOD_OVERRIDE=FQ","FILING_STATUS=MR","SCALING_FORMAT=MLN","FA_ADJUSTED=Adjusted","Sort=A","Dates=H","DateFormat=P","Fill=—","Direction=H","UseDPDF=Y")</f>
        <v>829.3</v>
      </c>
      <c r="F60" s="13" cm="1">
        <f t="array" ref="F60">_xll.BDH("PCAR US Equity","EBITDA","FQ4 2019","FQ4 2019","Currency=USD","Period=FQ","BEST_FPERIOD_OVERRIDE=FQ","FILING_STATUS=MR","SCALING_FORMAT=MLN","FA_ADJUSTED=Adjusted","Sort=A","Dates=H","DateFormat=P","Fill=—","Direction=H","UseDPDF=Y")</f>
        <v>741.2</v>
      </c>
      <c r="G60" s="13" cm="1">
        <f t="array" ref="G60">_xll.BDH("PCAR US Equity","EBITDA","FQ1 2020","FQ1 2020","Currency=USD","Period=FQ","BEST_FPERIOD_OVERRIDE=FQ","FILING_STATUS=MR","SCALING_FORMAT=MLN","FA_ADJUSTED=Adjusted","Sort=A","Dates=H","DateFormat=P","Fill=—","Direction=H","UseDPDF=Y")</f>
        <v>504.3</v>
      </c>
      <c r="H60" s="13" cm="1">
        <f t="array" ref="H60">_xll.BDH("PCAR US Equity","EBITDA","FQ2 2020","FQ2 2020","Currency=USD","Period=FQ","BEST_FPERIOD_OVERRIDE=FQ","FILING_STATUS=MR","SCALING_FORMAT=MLN","FA_ADJUSTED=Adjusted","Sort=A","Dates=H","DateFormat=P","Fill=—","Direction=H","UseDPDF=Y")</f>
        <v>207.9</v>
      </c>
      <c r="I60" s="13" cm="1">
        <f t="array" ref="I60">_xll.BDH("PCAR US Equity","EBITDA","FQ3 2020","FQ3 2020","Currency=USD","Period=FQ","BEST_FPERIOD_OVERRIDE=FQ","FILING_STATUS=MR","SCALING_FORMAT=MLN","FA_ADJUSTED=Adjusted","Sort=A","Dates=H","DateFormat=P","Fill=—","Direction=H","UseDPDF=Y")</f>
        <v>534.1</v>
      </c>
      <c r="J60" s="13" cm="1">
        <f t="array" ref="J60">_xll.BDH("PCAR US Equity","EBITDA","FQ4 2020","FQ4 2020","Currency=USD","Period=FQ","BEST_FPERIOD_OVERRIDE=FQ","FILING_STATUS=MR","SCALING_FORMAT=MLN","FA_ADJUSTED=Adjusted","Sort=A","Dates=H","DateFormat=P","Fill=—","Direction=H","UseDPDF=Y")</f>
        <v>571.20000000000005</v>
      </c>
      <c r="K60" s="13" cm="1">
        <f t="array" ref="K60">_xll.BDH("PCAR US Equity","EBITDA","FQ1 2021","FQ1 2021","Currency=USD","Period=FQ","BEST_FPERIOD_OVERRIDE=FQ","FILING_STATUS=MR","SCALING_FORMAT=MLN","FA_ADJUSTED=Adjusted","Sort=A","Dates=H","DateFormat=P","Fill=—","Direction=H","UseDPDF=Y")</f>
        <v>657.1</v>
      </c>
      <c r="L60" s="13" cm="1">
        <f t="array" ref="L60">_xll.BDH("PCAR US Equity","EBITDA","FQ2 2021","FQ2 2021","Currency=USD","Period=FQ","BEST_FPERIOD_OVERRIDE=FQ","FILING_STATUS=MR","SCALING_FORMAT=MLN","FA_ADJUSTED=Adjusted","Sort=A","Dates=H","DateFormat=P","Fill=—","Direction=H","UseDPDF=Y")</f>
        <v>685</v>
      </c>
      <c r="M60" s="13" cm="1">
        <f t="array" ref="M60">_xll.BDH("PCAR US Equity","EBITDA","FQ3 2021","FQ3 2021","Currency=USD","Period=FQ","BEST_FPERIOD_OVERRIDE=FQ","FILING_STATUS=MR","SCALING_FORMAT=MLN","FA_ADJUSTED=Adjusted","Sort=A","Dates=H","DateFormat=P","Fill=—","Direction=H","UseDPDF=Y")</f>
        <v>538.1</v>
      </c>
      <c r="N60" s="13" cm="1">
        <f t="array" ref="N60">_xll.BDH("PCAR US Equity","EBITDA","FQ4 2021","FQ4 2021","Currency=USD","Period=FQ","BEST_FPERIOD_OVERRIDE=FQ","FILING_STATUS=MR","SCALING_FORMAT=MLN","FA_ADJUSTED=Adjusted","Sort=A","Dates=H","DateFormat=P","Fill=—","Direction=H","UseDPDF=Y")</f>
        <v>698</v>
      </c>
      <c r="O60" s="13" cm="1">
        <f t="array" ref="O60">_xll.BDH("PCAR US Equity","EBITDA","FQ1 2022","FQ1 2022","Currency=USD","Period=FQ","BEST_FPERIOD_OVERRIDE=FQ","FILING_STATUS=MR","SCALING_FORMAT=MLN","FA_ADJUSTED=Adjusted","Sort=A","Dates=H","DateFormat=P","Fill=—","Direction=H","UseDPDF=Y")</f>
        <v>815.9</v>
      </c>
      <c r="P60" s="13" cm="1">
        <f t="array" ref="P60">_xll.BDH("PCAR US Equity","EBITDA","FQ2 2022","FQ2 2022","Currency=USD","Period=FQ","BEST_FPERIOD_OVERRIDE=FQ","FILING_STATUS=MR","SCALING_FORMAT=MLN","FA_ADJUSTED=Adjusted","Sort=A","Dates=H","DateFormat=P","Fill=—","Direction=H","UseDPDF=Y")</f>
        <v>975.6</v>
      </c>
      <c r="Q60" s="13" cm="1">
        <f t="array" ref="Q60">_xll.BDH("PCAR US Equity","EBITDA","FQ3 2022","FQ3 2022","Currency=USD","Period=FQ","BEST_FPERIOD_OVERRIDE=FQ","FILING_STATUS=MR","SCALING_FORMAT=MLN","FA_ADJUSTED=Adjusted","Sort=A","Dates=H","DateFormat=P","Fill=—","Direction=H","UseDPDF=Y")</f>
        <v>1007.7</v>
      </c>
      <c r="R60" s="13" cm="1">
        <f t="array" ref="R60">_xll.BDH("PCAR US Equity","EBITDA","FQ4 2022","FQ4 2022","Currency=USD","Period=FQ","BEST_FPERIOD_OVERRIDE=FQ","FILING_STATUS=MR","SCALING_FORMAT=MLN","FA_ADJUSTED=Adjusted","Sort=A","Dates=H","DateFormat=P","Fill=—","Direction=H","UseDPDF=Y")</f>
        <v>1211.5999999999999</v>
      </c>
      <c r="S60" s="13" cm="1">
        <f t="array" ref="S60">_xll.BDH("PCAR US Equity","EBITDA","FQ1 2023","FQ1 2023","Currency=USD","Period=FQ","BEST_FPERIOD_OVERRIDE=FQ","FILING_STATUS=MR","SCALING_FORMAT=MLN","FA_ADJUSTED=Adjusted","Sort=A","Dates=H","DateFormat=P","Fill=—","Direction=H","UseDPDF=Y")</f>
        <v>1551.8</v>
      </c>
      <c r="T60" s="13" cm="1">
        <f t="array" ref="T60">_xll.BDH("PCAR US Equity","EBITDA","FQ2 2023","FQ2 2023","Currency=USD","Period=FQ","BEST_FPERIOD_OVERRIDE=FQ","FILING_STATUS=MR","SCALING_FORMAT=MLN","FA_ADJUSTED=Adjusted","Sort=A","Dates=H","DateFormat=P","Fill=—","Direction=H","UseDPDF=Y")</f>
        <v>1590.3</v>
      </c>
      <c r="U60" s="13" cm="1">
        <f t="array" ref="U60">_xll.BDH("PCAR US Equity","EBITDA","FQ3 2023","FQ3 2023","Currency=USD","Period=FQ","BEST_FPERIOD_OVERRIDE=FQ","FILING_STATUS=MR","SCALING_FORMAT=MLN","FA_ADJUSTED=Adjusted","Sort=A","Dates=H","DateFormat=P","Fill=—","Direction=H","UseDPDF=Y")</f>
        <v>1595.3</v>
      </c>
      <c r="V60" s="13" cm="1">
        <f t="array" ref="V60">_xll.BDH("PCAR US Equity","EBITDA","FQ4 2023","FQ4 2023","Currency=USD","Period=FQ","BEST_FPERIOD_OVERRIDE=FQ","FILING_STATUS=MR","SCALING_FORMAT=MLN","FA_ADJUSTED=Adjusted","Sort=A","Dates=H","DateFormat=P","Fill=—","Direction=H","UseDPDF=Y")</f>
        <v>1624</v>
      </c>
      <c r="W60" s="13" cm="1">
        <f t="array" ref="W60">_xll.BDH("PCAR US Equity","EBITDA","FQ1 2024","FQ1 2024","Currency=USD","Period=FQ","BEST_FPERIOD_OVERRIDE=FQ","FILING_STATUS=MR","SCALING_FORMAT=MLN","FA_ADJUSTED=Adjusted","Sort=A","Dates=H","DateFormat=P","Fill=—","Direction=H","UseDPDF=Y")</f>
        <v>1526.2</v>
      </c>
      <c r="X60" s="13" cm="1">
        <f t="array" ref="X60">_xll.BDH("PCAR US Equity","EBITDA","FQ2 2024","FQ2 2024","Currency=USD","Period=FQ","BEST_FPERIOD_OVERRIDE=FQ","FILING_STATUS=MR","SCALING_FORMAT=MLN","FA_ADJUSTED=Adjusted","Sort=A","Dates=H","DateFormat=P","Fill=—","Direction=H","UseDPDF=Y")</f>
        <v>1441.5</v>
      </c>
      <c r="Y60" s="13" cm="1">
        <f t="array" ref="Y60">_xll.BDH("PCAR US Equity","EBITDA","FQ3 2024","FQ3 2024","Currency=USD","Period=FQ","BEST_FPERIOD_OVERRIDE=FQ","FILING_STATUS=MR","SCALING_FORMAT=MLN","FA_ADJUSTED=Adjusted","Sort=A","Dates=H","DateFormat=P","Fill=—","Direction=H","UseDPDF=Y")</f>
        <v>1219.2</v>
      </c>
      <c r="Z60" s="13" cm="1">
        <f t="array" ref="Z60">_xll.BDH("PCAR US Equity","EBITDA","FQ4 2024","FQ4 2024","Currency=USD","Period=FQ","BEST_FPERIOD_OVERRIDE=FQ","FILING_STATUS=MR","SCALING_FORMAT=MLN","FA_ADJUSTED=Adjusted","Sort=A","Dates=H","DateFormat=P","Fill=—","Direction=H","UseDPDF=Y")</f>
        <v>1103.9000000000001</v>
      </c>
      <c r="AA60" s="13" cm="1">
        <f t="array" ref="AA60">_xll.BDH("PCAR US Equity","EBITDA","FQ1 2025","FQ1 2025","Currency=USD","Period=FQ","BEST_FPERIOD_OVERRIDE=FQ","FILING_STATUS=MR","SCALING_FORMAT=MLN","FA_ADJUSTED=Adjusted","Sort=A","Dates=H","DateFormat=P","Fill=—","Direction=H","UseDPDF=Y")</f>
        <v>984.8</v>
      </c>
      <c r="AB60" s="13" cm="1">
        <f t="array" ref="AB60">_xll.BDH("PCAR US Equity","EBITDA","FQ2 2025","FQ2 2025","Currency=USD","Period=FQ","BEST_FPERIOD_OVERRIDE=FQ","FILING_STATUS=MR","SCALING_FORMAT=MLN","FA_ADJUSTED=Adjusted","Sort=A","Dates=H","DateFormat=P","Fill=—","Direction=H","UseDPDF=Y")</f>
        <v>938.3</v>
      </c>
      <c r="AC60" s="13" cm="1">
        <f t="array" ref="AC60">_xll.BDH("PCAR US Equity","EBITDA","FQ3 2025","FQ3 2025","Currency=USD","Period=FQ","BEST_FPERIOD_OVERRIDE=FQ","FILING_STATUS=MR","SCALING_FORMAT=MLN","FA_ADJUSTED=Adjusted","Sort=A","Dates=H","DateFormat=P","Fill=—","Direction=H","UseDPDF=Y")</f>
        <v>733.8</v>
      </c>
      <c r="AD60" s="13" cm="1">
        <f t="array" ref="AD60">_xll.BDH("PCAR US Equity","EBITDA","FQ4 2025","FQ4 2025","Currency=USD","Period=FQ","BEST_FPERIOD_OVERRIDE=FQ","FILING_STATUS=MR","SCALING_FORMAT=MLN","FA_ADJUSTED=Adjusted","Sort=A","Dates=H","DateFormat=P","Fill=—","Direction=H","UseDPDF=Y")</f>
        <v>703</v>
      </c>
      <c r="AE60" s="13">
        <v>710.7</v>
      </c>
      <c r="AF60" s="13">
        <v>838.45454545454504</v>
      </c>
    </row>
    <row r="61" spans="1:32" x14ac:dyDescent="0.25">
      <c r="A61" s="10" t="s">
        <v>162</v>
      </c>
      <c r="B61" s="10" t="s">
        <v>163</v>
      </c>
      <c r="C61" s="14" cm="1">
        <f t="array" ref="C61">_xll.BDH("PCAR US Equity","EBITDA_MARGIN","FQ1 2019","FQ1 2019","Currency=USD","Period=FQ","BEST_FPERIOD_OVERRIDE=FQ","FILING_STATUS=MR","FA_ADJUSTED=Adjusted","Sort=A","Dates=H","DateFormat=P","Fill=—","Direction=H","UseDPDF=Y")</f>
        <v>13.0176</v>
      </c>
      <c r="D61" s="14" cm="1">
        <f t="array" ref="D61">_xll.BDH("PCAR US Equity","EBITDA_MARGIN","FQ2 2019","FQ2 2019","Currency=USD","Period=FQ","BEST_FPERIOD_OVERRIDE=FQ","FILING_STATUS=MR","FA_ADJUSTED=Adjusted","Sort=A","Dates=H","DateFormat=P","Fill=—","Direction=H","UseDPDF=Y")</f>
        <v>12.963200000000001</v>
      </c>
      <c r="E61" s="14" cm="1">
        <f t="array" ref="E61">_xll.BDH("PCAR US Equity","EBITDA_MARGIN","FQ3 2019","FQ3 2019","Currency=USD","Period=FQ","BEST_FPERIOD_OVERRIDE=FQ","FILING_STATUS=MR","FA_ADJUSTED=Adjusted","Sort=A","Dates=H","DateFormat=P","Fill=—","Direction=H","UseDPDF=Y")</f>
        <v>13.077299999999999</v>
      </c>
      <c r="F61" s="14" cm="1">
        <f t="array" ref="F61">_xll.BDH("PCAR US Equity","EBITDA_MARGIN","FQ4 2019","FQ4 2019","Currency=USD","Period=FQ","BEST_FPERIOD_OVERRIDE=FQ","FILING_STATUS=MR","FA_ADJUSTED=Adjusted","Sort=A","Dates=H","DateFormat=P","Fill=—","Direction=H","UseDPDF=Y")</f>
        <v>12.945499999999999</v>
      </c>
      <c r="G61" s="14" cm="1">
        <f t="array" ref="G61">_xll.BDH("PCAR US Equity","EBITDA_MARGIN","FQ1 2020","FQ1 2020","Currency=USD","Period=FQ","BEST_FPERIOD_OVERRIDE=FQ","FILING_STATUS=MR","FA_ADJUSTED=Adjusted","Sort=A","Dates=H","DateFormat=P","Fill=—","Direction=H","UseDPDF=Y")</f>
        <v>12.1242</v>
      </c>
      <c r="H61" s="14" cm="1">
        <f t="array" ref="H61">_xll.BDH("PCAR US Equity","EBITDA_MARGIN","FQ2 2020","FQ2 2020","Currency=USD","Period=FQ","BEST_FPERIOD_OVERRIDE=FQ","FILING_STATUS=MR","FA_ADJUSTED=Adjusted","Sort=A","Dates=H","DateFormat=P","Fill=—","Direction=H","UseDPDF=Y")</f>
        <v>11.023199999999999</v>
      </c>
      <c r="I61" s="14" cm="1">
        <f t="array" ref="I61">_xll.BDH("PCAR US Equity","EBITDA_MARGIN","FQ3 2020","FQ3 2020","Currency=USD","Period=FQ","BEST_FPERIOD_OVERRIDE=FQ","FILING_STATUS=MR","FA_ADJUSTED=Adjusted","Sort=A","Dates=H","DateFormat=P","Fill=—","Direction=H","UseDPDF=Y")</f>
        <v>10.3102</v>
      </c>
      <c r="J61" s="14" cm="1">
        <f t="array" ref="J61">_xll.BDH("PCAR US Equity","EBITDA_MARGIN","FQ4 2020","FQ4 2020","Currency=USD","Period=FQ","BEST_FPERIOD_OVERRIDE=FQ","FILING_STATUS=MR","FA_ADJUSTED=Adjusted","Sort=A","Dates=H","DateFormat=P","Fill=—","Direction=H","UseDPDF=Y")</f>
        <v>9.7044999999999995</v>
      </c>
      <c r="K61" s="14" cm="1">
        <f t="array" ref="K61">_xll.BDH("PCAR US Equity","EBITDA_MARGIN","FQ1 2021","FQ1 2021","Currency=USD","Period=FQ","BEST_FPERIOD_OVERRIDE=FQ","FILING_STATUS=MR","FA_ADJUSTED=Adjusted","Sort=A","Dates=H","DateFormat=P","Fill=—","Direction=H","UseDPDF=Y")</f>
        <v>10.149800000000001</v>
      </c>
      <c r="L61" s="14" cm="1">
        <f t="array" ref="L61">_xll.BDH("PCAR US Equity","EBITDA_MARGIN","FQ2 2021","FQ2 2021","Currency=USD","Period=FQ","BEST_FPERIOD_OVERRIDE=FQ","FILING_STATUS=MR","FA_ADJUSTED=Adjusted","Sort=A","Dates=H","DateFormat=P","Fill=—","Direction=H","UseDPDF=Y")</f>
        <v>11.0273</v>
      </c>
      <c r="M61" s="14" cm="1">
        <f t="array" ref="M61">_xll.BDH("PCAR US Equity","EBITDA_MARGIN","FQ3 2021","FQ3 2021","Currency=USD","Period=FQ","BEST_FPERIOD_OVERRIDE=FQ","FILING_STATUS=MR","FA_ADJUSTED=Adjusted","Sort=A","Dates=H","DateFormat=P","Fill=—","Direction=H","UseDPDF=Y")</f>
        <v>10.9414</v>
      </c>
      <c r="N61" s="14" cm="1">
        <f t="array" ref="N61">_xll.BDH("PCAR US Equity","EBITDA_MARGIN","FQ4 2021","FQ4 2021","Currency=USD","Period=FQ","BEST_FPERIOD_OVERRIDE=FQ","FILING_STATUS=MR","FA_ADJUSTED=Adjusted","Sort=A","Dates=H","DateFormat=P","Fill=—","Direction=H","UseDPDF=Y")</f>
        <v>10.960699999999999</v>
      </c>
      <c r="O61" s="14" cm="1">
        <f t="array" ref="O61">_xll.BDH("PCAR US Equity","EBITDA_MARGIN","FQ1 2022","FQ1 2022","Currency=USD","Period=FQ","BEST_FPERIOD_OVERRIDE=FQ","FILING_STATUS=MR","FA_ADJUSTED=Adjusted","Sort=A","Dates=H","DateFormat=P","Fill=—","Direction=H","UseDPDF=Y")</f>
        <v>11.333600000000001</v>
      </c>
      <c r="P61" s="14" cm="1">
        <f t="array" ref="P61">_xll.BDH("PCAR US Equity","EBITDA_MARGIN","FQ2 2022","FQ2 2022","Currency=USD","Period=FQ","BEST_FPERIOD_OVERRIDE=FQ","FILING_STATUS=MR","FA_ADJUSTED=Adjusted","Sort=A","Dates=H","DateFormat=P","Fill=—","Direction=H","UseDPDF=Y")</f>
        <v>11.8896</v>
      </c>
      <c r="Q61" s="14" cm="1">
        <f t="array" ref="Q61">_xll.BDH("PCAR US Equity","EBITDA_MARGIN","FQ3 2022","FQ3 2022","Currency=USD","Period=FQ","BEST_FPERIOD_OVERRIDE=FQ","FILING_STATUS=MR","FA_ADJUSTED=Adjusted","Sort=A","Dates=H","DateFormat=P","Fill=—","Direction=H","UseDPDF=Y")</f>
        <v>12.7746</v>
      </c>
      <c r="R61" s="14" cm="1">
        <f t="array" ref="R61">_xll.BDH("PCAR US Equity","EBITDA_MARGIN","FQ4 2022","FQ4 2022","Currency=USD","Period=FQ","BEST_FPERIOD_OVERRIDE=FQ","FILING_STATUS=MR","FA_ADJUSTED=Adjusted","Sort=A","Dates=H","DateFormat=P","Fill=—","Direction=H","UseDPDF=Y")</f>
        <v>13.9169</v>
      </c>
      <c r="S61" s="14" cm="1">
        <f t="array" ref="S61">_xll.BDH("PCAR US Equity","EBITDA_MARGIN","FQ1 2023","FQ1 2023","Currency=USD","Period=FQ","BEST_FPERIOD_OVERRIDE=FQ","FILING_STATUS=MR","FA_ADJUSTED=Adjusted","Sort=A","Dates=H","DateFormat=P","Fill=—","Direction=H","UseDPDF=Y")</f>
        <v>15.401199999999999</v>
      </c>
      <c r="T61" s="14" cm="1">
        <f t="array" ref="T61">_xll.BDH("PCAR US Equity","EBITDA_MARGIN","FQ2 2023","FQ2 2023","Currency=USD","Period=FQ","BEST_FPERIOD_OVERRIDE=FQ","FILING_STATUS=MR","FA_ADJUSTED=Adjusted","Sort=A","Dates=H","DateFormat=P","Fill=—","Direction=H","UseDPDF=Y")</f>
        <v>16.474900000000002</v>
      </c>
      <c r="U61" s="14" cm="1">
        <f t="array" ref="U61">_xll.BDH("PCAR US Equity","EBITDA_MARGIN","FQ3 2023","FQ3 2023","Currency=USD","Period=FQ","BEST_FPERIOD_OVERRIDE=FQ","FILING_STATUS=MR","FA_ADJUSTED=Adjusted","Sort=A","Dates=H","DateFormat=P","Fill=—","Direction=H","UseDPDF=Y")</f>
        <v>17.404800000000002</v>
      </c>
      <c r="V61" s="14" cm="1">
        <f t="array" ref="V61">_xll.BDH("PCAR US Equity","EBITDA_MARGIN","FQ4 2023","FQ4 2023","Currency=USD","Period=FQ","BEST_FPERIOD_OVERRIDE=FQ","FILING_STATUS=MR","FA_ADJUSTED=Adjusted","Sort=A","Dates=H","DateFormat=P","Fill=—","Direction=H","UseDPDF=Y")</f>
        <v>18.109500000000001</v>
      </c>
      <c r="W61" s="14" cm="1">
        <f t="array" ref="W61">_xll.BDH("PCAR US Equity","EBITDA_MARGIN","FQ1 2024","FQ1 2024","Currency=USD","Period=FQ","BEST_FPERIOD_OVERRIDE=FQ","FILING_STATUS=MR","FA_ADJUSTED=Adjusted","Sort=A","Dates=H","DateFormat=P","Fill=—","Direction=H","UseDPDF=Y")</f>
        <v>17.898499999999999</v>
      </c>
      <c r="X61" s="14" cm="1">
        <f t="array" ref="X61">_xll.BDH("PCAR US Equity","EBITDA_MARGIN","FQ2 2024","FQ2 2024","Currency=USD","Period=FQ","BEST_FPERIOD_OVERRIDE=FQ","FILING_STATUS=MR","FA_ADJUSTED=Adjusted","Sort=A","Dates=H","DateFormat=P","Fill=—","Direction=H","UseDPDF=Y")</f>
        <v>17.5322</v>
      </c>
      <c r="Y61" s="14" cm="1">
        <f t="array" ref="Y61">_xll.BDH("PCAR US Equity","EBITDA_MARGIN","FQ3 2024","FQ3 2024","Currency=USD","Period=FQ","BEST_FPERIOD_OVERRIDE=FQ","FILING_STATUS=MR","FA_ADJUSTED=Adjusted","Sort=A","Dates=H","DateFormat=P","Fill=—","Direction=H","UseDPDF=Y")</f>
        <v>16.682200000000002</v>
      </c>
      <c r="Z61" s="14" cm="1">
        <f t="array" ref="Z61">_xll.BDH("PCAR US Equity","EBITDA_MARGIN","FQ4 2024","FQ4 2024","Currency=USD","Period=FQ","BEST_FPERIOD_OVERRIDE=FQ","FILING_STATUS=MR","FA_ADJUSTED=Adjusted","Sort=A","Dates=H","DateFormat=P","Fill=—","Direction=H","UseDPDF=Y")</f>
        <v>15.7166</v>
      </c>
      <c r="AA61" s="14" cm="1">
        <f t="array" ref="AA61">_xll.BDH("PCAR US Equity","EBITDA_MARGIN","FQ1 2025","FQ1 2025","Currency=USD","Period=FQ","BEST_FPERIOD_OVERRIDE=FQ","FILING_STATUS=MR","FA_ADJUSTED=Adjusted","Sort=A","Dates=H","DateFormat=P","Fill=—","Direction=H","UseDPDF=Y")</f>
        <v>14.6762</v>
      </c>
      <c r="AB61" s="14" cm="1">
        <f t="array" ref="AB61">_xll.BDH("PCAR US Equity","EBITDA_MARGIN","FQ2 2025","FQ2 2025","Currency=USD","Period=FQ","BEST_FPERIOD_OVERRIDE=FQ","FILING_STATUS=MR","FA_ADJUSTED=Adjusted","Sort=A","Dates=H","DateFormat=P","Fill=—","Direction=H","UseDPDF=Y")</f>
        <v>13.653600000000001</v>
      </c>
      <c r="AC61" s="14" cm="1">
        <f t="array" ref="AC61">_xll.BDH("PCAR US Equity","EBITDA_MARGIN","FQ3 2025","FQ3 2025","Currency=USD","Period=FQ","BEST_FPERIOD_OVERRIDE=FQ","FILING_STATUS=MR","FA_ADJUSTED=Adjusted","Sort=A","Dates=H","DateFormat=P","Fill=—","Direction=H","UseDPDF=Y")</f>
        <v>12.7349</v>
      </c>
      <c r="AD61" s="14" cm="1">
        <f t="array" ref="AD61">_xll.BDH("PCAR US Equity","EBITDA_MARGIN","FQ4 2025","FQ4 2025","Currency=USD","Period=FQ","BEST_FPERIOD_OVERRIDE=FQ","FILING_STATUS=MR","FA_ADJUSTED=Adjusted","Sort=A","Dates=H","DateFormat=P","Fill=—","Direction=H","UseDPDF=Y")</f>
        <v>11.811999999999999</v>
      </c>
      <c r="AE61" s="14">
        <v>12.3351031055705</v>
      </c>
      <c r="AF61" s="14">
        <v>12.916164824226</v>
      </c>
    </row>
    <row r="62" spans="1:32" x14ac:dyDescent="0.25">
      <c r="A62" s="10" t="s">
        <v>164</v>
      </c>
      <c r="B62" s="10" t="s">
        <v>164</v>
      </c>
      <c r="C62" s="13" cm="1">
        <f t="array" ref="C62">_xll.BDH("PCAR US Equity","EBITA","FQ1 2019","FQ1 2019","Currency=USD","Period=FQ","BEST_FPERIOD_OVERRIDE=FQ","FILING_STATUS=MR","SCALING_FORMAT=MLN","FA_ADJUSTED=Adjusted","Sort=A","Dates=H","DateFormat=P","Fill=—","Direction=H","UseDPDF=Y")</f>
        <v>793.9</v>
      </c>
      <c r="D62" s="13" cm="1">
        <f t="array" ref="D62">_xll.BDH("PCAR US Equity","EBITA","FQ2 2019","FQ2 2019","Currency=USD","Period=FQ","BEST_FPERIOD_OVERRIDE=FQ","FILING_STATUS=MR","SCALING_FORMAT=MLN","FA_ADJUSTED=Adjusted","Sort=A","Dates=H","DateFormat=P","Fill=—","Direction=H","UseDPDF=Y")</f>
        <v>787</v>
      </c>
      <c r="E62" s="13" cm="1">
        <f t="array" ref="E62">_xll.BDH("PCAR US Equity","EBITA","FQ3 2019","FQ3 2019","Currency=USD","Period=FQ","BEST_FPERIOD_OVERRIDE=FQ","FILING_STATUS=MR","SCALING_FORMAT=MLN","FA_ADJUSTED=Adjusted","Sort=A","Dates=H","DateFormat=P","Fill=—","Direction=H","UseDPDF=Y")</f>
        <v>748.8</v>
      </c>
      <c r="F62" s="13" cm="1">
        <f t="array" ref="F62">_xll.BDH("PCAR US Equity","EBITA","FQ4 2019","FQ4 2019","Currency=USD","Period=FQ","BEST_FPERIOD_OVERRIDE=FQ","FILING_STATUS=MR","SCALING_FORMAT=MLN","FA_ADJUSTED=Adjusted","Sort=A","Dates=H","DateFormat=P","Fill=—","Direction=H","UseDPDF=Y")</f>
        <v>662.1</v>
      </c>
      <c r="G62" s="13" cm="1">
        <f t="array" ref="G62">_xll.BDH("PCAR US Equity","EBITA","FQ1 2020","FQ1 2020","Currency=USD","Period=FQ","BEST_FPERIOD_OVERRIDE=FQ","FILING_STATUS=MR","SCALING_FORMAT=MLN","FA_ADJUSTED=Adjusted","Sort=A","Dates=H","DateFormat=P","Fill=—","Direction=H","UseDPDF=Y")</f>
        <v>434.3</v>
      </c>
      <c r="H62" s="13" cm="1">
        <f t="array" ref="H62">_xll.BDH("PCAR US Equity","EBITA","FQ2 2020","FQ2 2020","Currency=USD","Period=FQ","BEST_FPERIOD_OVERRIDE=FQ","FILING_STATUS=MR","SCALING_FORMAT=MLN","FA_ADJUSTED=Adjusted","Sort=A","Dates=H","DateFormat=P","Fill=—","Direction=H","UseDPDF=Y")</f>
        <v>-33.4</v>
      </c>
      <c r="I62" s="13" cm="1">
        <f t="array" ref="I62">_xll.BDH("PCAR US Equity","EBITA","FQ3 2020","FQ3 2020","Currency=USD","Period=FQ","BEST_FPERIOD_OVERRIDE=FQ","FILING_STATUS=MR","SCALING_FORMAT=MLN","FA_ADJUSTED=Adjusted","Sort=A","Dates=H","DateFormat=P","Fill=—","Direction=H","UseDPDF=Y")</f>
        <v>470.5</v>
      </c>
      <c r="J62" s="13" cm="1">
        <f t="array" ref="J62">_xll.BDH("PCAR US Equity","EBITA","FQ4 2020","FQ4 2020","Currency=USD","Period=FQ","BEST_FPERIOD_OVERRIDE=FQ","FILING_STATUS=MR","SCALING_FORMAT=MLN","FA_ADJUSTED=Adjusted","Sort=A","Dates=H","DateFormat=P","Fill=—","Direction=H","UseDPDF=Y")</f>
        <v>301.7</v>
      </c>
      <c r="K62" s="13" cm="1">
        <f t="array" ref="K62">_xll.BDH("PCAR US Equity","EBITA","FQ1 2021","FQ1 2021","Currency=USD","Period=FQ","BEST_FPERIOD_OVERRIDE=FQ","FILING_STATUS=MR","SCALING_FORMAT=MLN","FA_ADJUSTED=Adjusted","Sort=A","Dates=H","DateFormat=P","Fill=—","Direction=H","UseDPDF=Y")</f>
        <v>590.20000000000005</v>
      </c>
      <c r="L62" s="13" cm="1">
        <f t="array" ref="L62">_xll.BDH("PCAR US Equity","EBITA","FQ2 2021","FQ2 2021","Currency=USD","Period=FQ","BEST_FPERIOD_OVERRIDE=FQ","FILING_STATUS=MR","SCALING_FORMAT=MLN","FA_ADJUSTED=Adjusted","Sort=A","Dates=H","DateFormat=P","Fill=—","Direction=H","UseDPDF=Y")</f>
        <v>618.1</v>
      </c>
      <c r="M62" s="13" cm="1">
        <f t="array" ref="M62">_xll.BDH("PCAR US Equity","EBITA","FQ3 2021","FQ3 2021","Currency=USD","Period=FQ","BEST_FPERIOD_OVERRIDE=FQ","FILING_STATUS=MR","SCALING_FORMAT=MLN","FA_ADJUSTED=Adjusted","Sort=A","Dates=H","DateFormat=P","Fill=—","Direction=H","UseDPDF=Y")</f>
        <v>474.4</v>
      </c>
      <c r="N62" s="13" cm="1">
        <f t="array" ref="N62">_xll.BDH("PCAR US Equity","EBITA","FQ4 2021","FQ4 2021","Currency=USD","Period=FQ","BEST_FPERIOD_OVERRIDE=FQ","FILING_STATUS=MR","SCALING_FORMAT=MLN","FA_ADJUSTED=Adjusted","Sort=A","Dates=H","DateFormat=P","Fill=—","Direction=H","UseDPDF=Y")</f>
        <v>625.5</v>
      </c>
      <c r="O62" s="13" cm="1">
        <f t="array" ref="O62">_xll.BDH("PCAR US Equity","EBITA","FQ1 2022","FQ1 2022","Currency=USD","Period=FQ","BEST_FPERIOD_OVERRIDE=FQ","FILING_STATUS=MR","SCALING_FORMAT=MLN","FA_ADJUSTED=Adjusted","Sort=A","Dates=H","DateFormat=P","Fill=—","Direction=H","UseDPDF=Y")</f>
        <v>741.9</v>
      </c>
      <c r="P62" s="13" cm="1">
        <f t="array" ref="P62">_xll.BDH("PCAR US Equity","EBITA","FQ2 2022","FQ2 2022","Currency=USD","Period=FQ","BEST_FPERIOD_OVERRIDE=FQ","FILING_STATUS=MR","SCALING_FORMAT=MLN","FA_ADJUSTED=Adjusted","Sort=A","Dates=H","DateFormat=P","Fill=—","Direction=H","UseDPDF=Y")</f>
        <v>894.3</v>
      </c>
      <c r="Q62" s="13" cm="1">
        <f t="array" ref="Q62">_xll.BDH("PCAR US Equity","EBITA","FQ3 2022","FQ3 2022","Currency=USD","Period=FQ","BEST_FPERIOD_OVERRIDE=FQ","FILING_STATUS=MR","SCALING_FORMAT=MLN","FA_ADJUSTED=Adjusted","Sort=A","Dates=H","DateFormat=P","Fill=—","Direction=H","UseDPDF=Y")</f>
        <v>923.3</v>
      </c>
      <c r="R62" s="13" cm="1">
        <f t="array" ref="R62">_xll.BDH("PCAR US Equity","EBITA","FQ4 2022","FQ4 2022","Currency=USD","Period=FQ","BEST_FPERIOD_OVERRIDE=FQ","FILING_STATUS=MR","SCALING_FORMAT=MLN","FA_ADJUSTED=Adjusted","Sort=A","Dates=H","DateFormat=P","Fill=—","Direction=H","UseDPDF=Y")</f>
        <v>1119.0999999999999</v>
      </c>
      <c r="S62" s="13" cm="1">
        <f t="array" ref="S62">_xll.BDH("PCAR US Equity","EBITA","FQ1 2023","FQ1 2023","Currency=USD","Period=FQ","BEST_FPERIOD_OVERRIDE=FQ","FILING_STATUS=MR","SCALING_FORMAT=MLN","FA_ADJUSTED=Adjusted","Sort=A","Dates=H","DateFormat=P","Fill=—","Direction=H","UseDPDF=Y")</f>
        <v>1448.8</v>
      </c>
      <c r="T62" s="13" cm="1">
        <f t="array" ref="T62">_xll.BDH("PCAR US Equity","EBITA","FQ2 2023","FQ2 2023","Currency=USD","Period=FQ","BEST_FPERIOD_OVERRIDE=FQ","FILING_STATUS=MR","SCALING_FORMAT=MLN","FA_ADJUSTED=Adjusted","Sort=A","Dates=H","DateFormat=P","Fill=—","Direction=H","UseDPDF=Y")</f>
        <v>1488.1</v>
      </c>
      <c r="U62" s="13" cm="1">
        <f t="array" ref="U62">_xll.BDH("PCAR US Equity","EBITA","FQ3 2023","FQ3 2023","Currency=USD","Period=FQ","BEST_FPERIOD_OVERRIDE=FQ","FILING_STATUS=MR","SCALING_FORMAT=MLN","FA_ADJUSTED=Adjusted","Sort=A","Dates=H","DateFormat=P","Fill=—","Direction=H","UseDPDF=Y")</f>
        <v>1492.3</v>
      </c>
      <c r="V62" s="13" cm="1">
        <f t="array" ref="V62">_xll.BDH("PCAR US Equity","EBITA","FQ4 2023","FQ4 2023","Currency=USD","Period=FQ","BEST_FPERIOD_OVERRIDE=FQ","FILING_STATUS=MR","SCALING_FORMAT=MLN","FA_ADJUSTED=Adjusted","Sort=A","Dates=H","DateFormat=P","Fill=—","Direction=H","UseDPDF=Y")</f>
        <v>1517.2</v>
      </c>
      <c r="W62" s="13" cm="1">
        <f t="array" ref="W62">_xll.BDH("PCAR US Equity","EBITA","FQ1 2024","FQ1 2024","Currency=USD","Period=FQ","BEST_FPERIOD_OVERRIDE=FQ","FILING_STATUS=MR","SCALING_FORMAT=MLN","FA_ADJUSTED=Adjusted","Sort=A","Dates=H","DateFormat=P","Fill=—","Direction=H","UseDPDF=Y")</f>
        <v>1422</v>
      </c>
      <c r="X62" s="13" cm="1">
        <f t="array" ref="X62">_xll.BDH("PCAR US Equity","EBITA","FQ2 2024","FQ2 2024","Currency=USD","Period=FQ","BEST_FPERIOD_OVERRIDE=FQ","FILING_STATUS=MR","SCALING_FORMAT=MLN","FA_ADJUSTED=Adjusted","Sort=A","Dates=H","DateFormat=P","Fill=—","Direction=H","UseDPDF=Y")</f>
        <v>1341.4</v>
      </c>
      <c r="Y62" s="13" cm="1">
        <f t="array" ref="Y62">_xll.BDH("PCAR US Equity","EBITA","FQ3 2024","FQ3 2024","Currency=USD","Period=FQ","BEST_FPERIOD_OVERRIDE=FQ","FILING_STATUS=MR","SCALING_FORMAT=MLN","FA_ADJUSTED=Adjusted","Sort=A","Dates=H","DateFormat=P","Fill=—","Direction=H","UseDPDF=Y")</f>
        <v>1123.3</v>
      </c>
      <c r="Z62" s="13" cm="1">
        <f t="array" ref="Z62">_xll.BDH("PCAR US Equity","EBITA","FQ4 2024","FQ4 2024","Currency=USD","Period=FQ","BEST_FPERIOD_OVERRIDE=FQ","FILING_STATUS=MR","SCALING_FORMAT=MLN","FA_ADJUSTED=Adjusted","Sort=A","Dates=H","DateFormat=P","Fill=—","Direction=H","UseDPDF=Y")</f>
        <v>1005.7</v>
      </c>
      <c r="AA62" s="13" cm="1">
        <f t="array" ref="AA62">_xll.BDH("PCAR US Equity","EBITA","FQ1 2025","FQ1 2025","Currency=USD","Period=FQ","BEST_FPERIOD_OVERRIDE=FQ","FILING_STATUS=MR","SCALING_FORMAT=MLN","FA_ADJUSTED=Adjusted","Sort=A","Dates=H","DateFormat=P","Fill=—","Direction=H","UseDPDF=Y")</f>
        <v>885.1</v>
      </c>
      <c r="AB62" s="13" cm="1">
        <f t="array" ref="AB62">_xll.BDH("PCAR US Equity","EBITA","FQ2 2025","FQ2 2025","Currency=USD","Period=FQ","BEST_FPERIOD_OVERRIDE=FQ","FILING_STATUS=MR","SCALING_FORMAT=MLN","FA_ADJUSTED=Adjusted","Sort=A","Dates=H","DateFormat=P","Fill=—","Direction=H","UseDPDF=Y")</f>
        <v>838.5</v>
      </c>
      <c r="AC62" s="13" cm="1">
        <f t="array" ref="AC62">_xll.BDH("PCAR US Equity","EBITA","FQ3 2025","FQ3 2025","Currency=USD","Period=FQ","BEST_FPERIOD_OVERRIDE=FQ","FILING_STATUS=MR","SCALING_FORMAT=MLN","FA_ADJUSTED=Adjusted","Sort=A","Dates=H","DateFormat=P","Fill=—","Direction=H","UseDPDF=Y")</f>
        <v>636</v>
      </c>
      <c r="AD62" s="13" cm="1">
        <f t="array" ref="AD62">_xll.BDH("PCAR US Equity","EBITA","FQ4 2025","FQ4 2025","Currency=USD","Period=FQ","BEST_FPERIOD_OVERRIDE=FQ","FILING_STATUS=MR","SCALING_FORMAT=MLN","FA_ADJUSTED=Adjusted","Sort=A","Dates=H","DateFormat=P","Fill=—","Direction=H","UseDPDF=Y")</f>
        <v>602.1</v>
      </c>
      <c r="AE62" s="13"/>
      <c r="AF62" s="13"/>
    </row>
    <row r="63" spans="1:32" x14ac:dyDescent="0.25">
      <c r="A63" s="10" t="s">
        <v>165</v>
      </c>
      <c r="B63" s="10" t="s">
        <v>165</v>
      </c>
      <c r="C63" s="13" cm="1">
        <f t="array" ref="C63">_xll.BDH("PCAR US Equity","EBIT","FQ1 2019","FQ1 2019","Currency=USD","Period=FQ","BEST_FPERIOD_OVERRIDE=FQ","FILING_STATUS=MR","SCALING_FORMAT=MLN","FA_ADJUSTED=Adjusted","Sort=A","Dates=H","DateFormat=P","Fill=—","Direction=H","UseDPDF=Y")</f>
        <v>789.8</v>
      </c>
      <c r="D63" s="13" cm="1">
        <f t="array" ref="D63">_xll.BDH("PCAR US Equity","EBIT","FQ2 2019","FQ2 2019","Currency=USD","Period=FQ","BEST_FPERIOD_OVERRIDE=FQ","FILING_STATUS=MR","SCALING_FORMAT=MLN","FA_ADJUSTED=Adjusted","Sort=A","Dates=H","DateFormat=P","Fill=—","Direction=H","UseDPDF=Y")</f>
        <v>782.8</v>
      </c>
      <c r="E63" s="13" cm="1">
        <f t="array" ref="E63">_xll.BDH("PCAR US Equity","EBIT","FQ3 2019","FQ3 2019","Currency=USD","Period=FQ","BEST_FPERIOD_OVERRIDE=FQ","FILING_STATUS=MR","SCALING_FORMAT=MLN","FA_ADJUSTED=Adjusted","Sort=A","Dates=H","DateFormat=P","Fill=—","Direction=H","UseDPDF=Y")</f>
        <v>744.9</v>
      </c>
      <c r="F63" s="13" cm="1">
        <f t="array" ref="F63">_xll.BDH("PCAR US Equity","EBIT","FQ4 2019","FQ4 2019","Currency=USD","Period=FQ","BEST_FPERIOD_OVERRIDE=FQ","FILING_STATUS=MR","SCALING_FORMAT=MLN","FA_ADJUSTED=Adjusted","Sort=A","Dates=H","DateFormat=P","Fill=—","Direction=H","UseDPDF=Y")</f>
        <v>657.4</v>
      </c>
      <c r="G63" s="13" cm="1">
        <f t="array" ref="G63">_xll.BDH("PCAR US Equity","EBIT","FQ1 2020","FQ1 2020","Currency=USD","Period=FQ","BEST_FPERIOD_OVERRIDE=FQ","FILING_STATUS=MR","SCALING_FORMAT=MLN","FA_ADJUSTED=Adjusted","Sort=A","Dates=H","DateFormat=P","Fill=—","Direction=H","UseDPDF=Y")</f>
        <v>434.3</v>
      </c>
      <c r="H63" s="13" cm="1">
        <f t="array" ref="H63">_xll.BDH("PCAR US Equity","EBIT","FQ2 2020","FQ2 2020","Currency=USD","Period=FQ","BEST_FPERIOD_OVERRIDE=FQ","FILING_STATUS=MR","SCALING_FORMAT=MLN","FA_ADJUSTED=Adjusted","Sort=A","Dates=H","DateFormat=P","Fill=—","Direction=H","UseDPDF=Y")</f>
        <v>155.5</v>
      </c>
      <c r="I63" s="13" cm="1">
        <f t="array" ref="I63">_xll.BDH("PCAR US Equity","EBIT","FQ3 2020","FQ3 2020","Currency=USD","Period=FQ","BEST_FPERIOD_OVERRIDE=FQ","FILING_STATUS=MR","SCALING_FORMAT=MLN","FA_ADJUSTED=Adjusted","Sort=A","Dates=H","DateFormat=P","Fill=—","Direction=H","UseDPDF=Y")</f>
        <v>470.5</v>
      </c>
      <c r="J63" s="13" cm="1">
        <f t="array" ref="J63">_xll.BDH("PCAR US Equity","EBIT","FQ4 2020","FQ4 2020","Currency=USD","Period=FQ","BEST_FPERIOD_OVERRIDE=FQ","FILING_STATUS=MR","SCALING_FORMAT=MLN","FA_ADJUSTED=Adjusted","Sort=A","Dates=H","DateFormat=P","Fill=—","Direction=H","UseDPDF=Y")</f>
        <v>507.6</v>
      </c>
      <c r="K63" s="13" cm="1">
        <f t="array" ref="K63">_xll.BDH("PCAR US Equity","EBIT","FQ1 2021","FQ1 2021","Currency=USD","Period=FQ","BEST_FPERIOD_OVERRIDE=FQ","FILING_STATUS=MR","SCALING_FORMAT=MLN","FA_ADJUSTED=Adjusted","Sort=A","Dates=H","DateFormat=P","Fill=—","Direction=H","UseDPDF=Y")</f>
        <v>590.20000000000005</v>
      </c>
      <c r="L63" s="13" cm="1">
        <f t="array" ref="L63">_xll.BDH("PCAR US Equity","EBIT","FQ2 2021","FQ2 2021","Currency=USD","Period=FQ","BEST_FPERIOD_OVERRIDE=FQ","FILING_STATUS=MR","SCALING_FORMAT=MLN","FA_ADJUSTED=Adjusted","Sort=A","Dates=H","DateFormat=P","Fill=—","Direction=H","UseDPDF=Y")</f>
        <v>618.1</v>
      </c>
      <c r="M63" s="13" cm="1">
        <f t="array" ref="M63">_xll.BDH("PCAR US Equity","EBIT","FQ3 2021","FQ3 2021","Currency=USD","Period=FQ","BEST_FPERIOD_OVERRIDE=FQ","FILING_STATUS=MR","SCALING_FORMAT=MLN","FA_ADJUSTED=Adjusted","Sort=A","Dates=H","DateFormat=P","Fill=—","Direction=H","UseDPDF=Y")</f>
        <v>474.4</v>
      </c>
      <c r="N63" s="13" cm="1">
        <f t="array" ref="N63">_xll.BDH("PCAR US Equity","EBIT","FQ4 2021","FQ4 2021","Currency=USD","Period=FQ","BEST_FPERIOD_OVERRIDE=FQ","FILING_STATUS=MR","SCALING_FORMAT=MLN","FA_ADJUSTED=Adjusted","Sort=A","Dates=H","DateFormat=P","Fill=—","Direction=H","UseDPDF=Y")</f>
        <v>625.5</v>
      </c>
      <c r="O63" s="13" cm="1">
        <f t="array" ref="O63">_xll.BDH("PCAR US Equity","EBIT","FQ1 2022","FQ1 2022","Currency=USD","Period=FQ","BEST_FPERIOD_OVERRIDE=FQ","FILING_STATUS=MR","SCALING_FORMAT=MLN","FA_ADJUSTED=Adjusted","Sort=A","Dates=H","DateFormat=P","Fill=—","Direction=H","UseDPDF=Y")</f>
        <v>741.9</v>
      </c>
      <c r="P63" s="13" cm="1">
        <f t="array" ref="P63">_xll.BDH("PCAR US Equity","EBIT","FQ2 2022","FQ2 2022","Currency=USD","Period=FQ","BEST_FPERIOD_OVERRIDE=FQ","FILING_STATUS=MR","SCALING_FORMAT=MLN","FA_ADJUSTED=Adjusted","Sort=A","Dates=H","DateFormat=P","Fill=—","Direction=H","UseDPDF=Y")</f>
        <v>894.3</v>
      </c>
      <c r="Q63" s="13" cm="1">
        <f t="array" ref="Q63">_xll.BDH("PCAR US Equity","EBIT","FQ3 2022","FQ3 2022","Currency=USD","Period=FQ","BEST_FPERIOD_OVERRIDE=FQ","FILING_STATUS=MR","SCALING_FORMAT=MLN","FA_ADJUSTED=Adjusted","Sort=A","Dates=H","DateFormat=P","Fill=—","Direction=H","UseDPDF=Y")</f>
        <v>923.3</v>
      </c>
      <c r="R63" s="13" cm="1">
        <f t="array" ref="R63">_xll.BDH("PCAR US Equity","EBIT","FQ4 2022","FQ4 2022","Currency=USD","Period=FQ","BEST_FPERIOD_OVERRIDE=FQ","FILING_STATUS=MR","SCALING_FORMAT=MLN","FA_ADJUSTED=Adjusted","Sort=A","Dates=H","DateFormat=P","Fill=—","Direction=H","UseDPDF=Y")</f>
        <v>1119.0999999999999</v>
      </c>
      <c r="S63" s="13" cm="1">
        <f t="array" ref="S63">_xll.BDH("PCAR US Equity","EBIT","FQ1 2023","FQ1 2023","Currency=USD","Period=FQ","BEST_FPERIOD_OVERRIDE=FQ","FILING_STATUS=MR","SCALING_FORMAT=MLN","FA_ADJUSTED=Adjusted","Sort=A","Dates=H","DateFormat=P","Fill=—","Direction=H","UseDPDF=Y")</f>
        <v>1448.8</v>
      </c>
      <c r="T63" s="13" cm="1">
        <f t="array" ref="T63">_xll.BDH("PCAR US Equity","EBIT","FQ2 2023","FQ2 2023","Currency=USD","Period=FQ","BEST_FPERIOD_OVERRIDE=FQ","FILING_STATUS=MR","SCALING_FORMAT=MLN","FA_ADJUSTED=Adjusted","Sort=A","Dates=H","DateFormat=P","Fill=—","Direction=H","UseDPDF=Y")</f>
        <v>1488.1</v>
      </c>
      <c r="U63" s="13" cm="1">
        <f t="array" ref="U63">_xll.BDH("PCAR US Equity","EBIT","FQ3 2023","FQ3 2023","Currency=USD","Period=FQ","BEST_FPERIOD_OVERRIDE=FQ","FILING_STATUS=MR","SCALING_FORMAT=MLN","FA_ADJUSTED=Adjusted","Sort=A","Dates=H","DateFormat=P","Fill=—","Direction=H","UseDPDF=Y")</f>
        <v>1492.3</v>
      </c>
      <c r="V63" s="13" cm="1">
        <f t="array" ref="V63">_xll.BDH("PCAR US Equity","EBIT","FQ4 2023","FQ4 2023","Currency=USD","Period=FQ","BEST_FPERIOD_OVERRIDE=FQ","FILING_STATUS=MR","SCALING_FORMAT=MLN","FA_ADJUSTED=Adjusted","Sort=A","Dates=H","DateFormat=P","Fill=—","Direction=H","UseDPDF=Y")</f>
        <v>1517.2</v>
      </c>
      <c r="W63" s="13" cm="1">
        <f t="array" ref="W63">_xll.BDH("PCAR US Equity","EBIT","FQ1 2024","FQ1 2024","Currency=USD","Period=FQ","BEST_FPERIOD_OVERRIDE=FQ","FILING_STATUS=MR","SCALING_FORMAT=MLN","FA_ADJUSTED=Adjusted","Sort=A","Dates=H","DateFormat=P","Fill=—","Direction=H","UseDPDF=Y")</f>
        <v>1422</v>
      </c>
      <c r="X63" s="13" cm="1">
        <f t="array" ref="X63">_xll.BDH("PCAR US Equity","EBIT","FQ2 2024","FQ2 2024","Currency=USD","Period=FQ","BEST_FPERIOD_OVERRIDE=FQ","FILING_STATUS=MR","SCALING_FORMAT=MLN","FA_ADJUSTED=Adjusted","Sort=A","Dates=H","DateFormat=P","Fill=—","Direction=H","UseDPDF=Y")</f>
        <v>1341.4</v>
      </c>
      <c r="Y63" s="13" cm="1">
        <f t="array" ref="Y63">_xll.BDH("PCAR US Equity","EBIT","FQ3 2024","FQ3 2024","Currency=USD","Period=FQ","BEST_FPERIOD_OVERRIDE=FQ","FILING_STATUS=MR","SCALING_FORMAT=MLN","FA_ADJUSTED=Adjusted","Sort=A","Dates=H","DateFormat=P","Fill=—","Direction=H","UseDPDF=Y")</f>
        <v>1123.3</v>
      </c>
      <c r="Z63" s="13" cm="1">
        <f t="array" ref="Z63">_xll.BDH("PCAR US Equity","EBIT","FQ4 2024","FQ4 2024","Currency=USD","Period=FQ","BEST_FPERIOD_OVERRIDE=FQ","FILING_STATUS=MR","SCALING_FORMAT=MLN","FA_ADJUSTED=Adjusted","Sort=A","Dates=H","DateFormat=P","Fill=—","Direction=H","UseDPDF=Y")</f>
        <v>1005.7</v>
      </c>
      <c r="AA63" s="13" cm="1">
        <f t="array" ref="AA63">_xll.BDH("PCAR US Equity","EBIT","FQ1 2025","FQ1 2025","Currency=USD","Period=FQ","BEST_FPERIOD_OVERRIDE=FQ","FILING_STATUS=MR","SCALING_FORMAT=MLN","FA_ADJUSTED=Adjusted","Sort=A","Dates=H","DateFormat=P","Fill=—","Direction=H","UseDPDF=Y")</f>
        <v>885.1</v>
      </c>
      <c r="AB63" s="13" cm="1">
        <f t="array" ref="AB63">_xll.BDH("PCAR US Equity","EBIT","FQ2 2025","FQ2 2025","Currency=USD","Period=FQ","BEST_FPERIOD_OVERRIDE=FQ","FILING_STATUS=MR","SCALING_FORMAT=MLN","FA_ADJUSTED=Adjusted","Sort=A","Dates=H","DateFormat=P","Fill=—","Direction=H","UseDPDF=Y")</f>
        <v>838.5</v>
      </c>
      <c r="AC63" s="13" cm="1">
        <f t="array" ref="AC63">_xll.BDH("PCAR US Equity","EBIT","FQ3 2025","FQ3 2025","Currency=USD","Period=FQ","BEST_FPERIOD_OVERRIDE=FQ","FILING_STATUS=MR","SCALING_FORMAT=MLN","FA_ADJUSTED=Adjusted","Sort=A","Dates=H","DateFormat=P","Fill=—","Direction=H","UseDPDF=Y")</f>
        <v>636</v>
      </c>
      <c r="AD63" s="13" cm="1">
        <f t="array" ref="AD63">_xll.BDH("PCAR US Equity","EBIT","FQ4 2025","FQ4 2025","Currency=USD","Period=FQ","BEST_FPERIOD_OVERRIDE=FQ","FILING_STATUS=MR","SCALING_FORMAT=MLN","FA_ADJUSTED=Adjusted","Sort=A","Dates=H","DateFormat=P","Fill=—","Direction=H","UseDPDF=Y")</f>
        <v>602.1</v>
      </c>
      <c r="AE63" s="13">
        <v>555.555555555556</v>
      </c>
      <c r="AF63" s="13">
        <v>659.33333333333303</v>
      </c>
    </row>
    <row r="64" spans="1:32" x14ac:dyDescent="0.25">
      <c r="A64" s="10" t="s">
        <v>166</v>
      </c>
      <c r="B64" s="10" t="s">
        <v>167</v>
      </c>
      <c r="C64" s="14" cm="1">
        <f t="array" ref="C64">_xll.BDH("PCAR US Equity","GROSS_MARGIN","FQ1 2019","FQ1 2019","Currency=USD","Period=FQ","BEST_FPERIOD_OVERRIDE=FQ","FILING_STATUS=MR","FA_ADJUSTED=Adjusted","Sort=A","Dates=H","DateFormat=P","Fill=—","Direction=H","UseDPDF=Y")</f>
        <v>18.760400000000001</v>
      </c>
      <c r="D64" s="14" cm="1">
        <f t="array" ref="D64">_xll.BDH("PCAR US Equity","GROSS_MARGIN","FQ2 2019","FQ2 2019","Currency=USD","Period=FQ","BEST_FPERIOD_OVERRIDE=FQ","FILING_STATUS=MR","FA_ADJUSTED=Adjusted","Sort=A","Dates=H","DateFormat=P","Fill=—","Direction=H","UseDPDF=Y")</f>
        <v>18.500599999999999</v>
      </c>
      <c r="E64" s="14" cm="1">
        <f t="array" ref="E64">_xll.BDH("PCAR US Equity","GROSS_MARGIN","FQ3 2019","FQ3 2019","Currency=USD","Period=FQ","BEST_FPERIOD_OVERRIDE=FQ","FILING_STATUS=MR","FA_ADJUSTED=Adjusted","Sort=A","Dates=H","DateFormat=P","Fill=—","Direction=H","UseDPDF=Y")</f>
        <v>18.8566</v>
      </c>
      <c r="F64" s="14" cm="1">
        <f t="array" ref="F64">_xll.BDH("PCAR US Equity","GROSS_MARGIN","FQ4 2019","FQ4 2019","Currency=USD","Period=FQ","BEST_FPERIOD_OVERRIDE=FQ","FILING_STATUS=MR","FA_ADJUSTED=Adjusted","Sort=A","Dates=H","DateFormat=P","Fill=—","Direction=H","UseDPDF=Y")</f>
        <v>19.121500000000001</v>
      </c>
      <c r="G64" s="14" cm="1">
        <f t="array" ref="G64">_xll.BDH("PCAR US Equity","GROSS_MARGIN","FQ1 2020","FQ1 2020","Currency=USD","Period=FQ","BEST_FPERIOD_OVERRIDE=FQ","FILING_STATUS=MR","FA_ADJUSTED=Adjusted","Sort=A","Dates=H","DateFormat=P","Fill=—","Direction=H","UseDPDF=Y")</f>
        <v>17.740300000000001</v>
      </c>
      <c r="H64" s="14" cm="1">
        <f t="array" ref="H64">_xll.BDH("PCAR US Equity","GROSS_MARGIN","FQ2 2020","FQ2 2020","Currency=USD","Period=FQ","BEST_FPERIOD_OVERRIDE=FQ","FILING_STATUS=MR","FA_ADJUSTED=Adjusted","Sort=A","Dates=H","DateFormat=P","Fill=—","Direction=H","UseDPDF=Y")</f>
        <v>18.738199999999999</v>
      </c>
      <c r="I64" s="14" cm="1">
        <f t="array" ref="I64">_xll.BDH("PCAR US Equity","GROSS_MARGIN","FQ3 2020","FQ3 2020","Currency=USD","Period=FQ","BEST_FPERIOD_OVERRIDE=FQ","FILING_STATUS=MR","FA_ADJUSTED=Adjusted","Sort=A","Dates=H","DateFormat=P","Fill=—","Direction=H","UseDPDF=Y")</f>
        <v>18.8918</v>
      </c>
      <c r="J64" s="14" cm="1">
        <f t="array" ref="J64">_xll.BDH("PCAR US Equity","GROSS_MARGIN","FQ4 2020","FQ4 2020","Currency=USD","Period=FQ","BEST_FPERIOD_OVERRIDE=FQ","FILING_STATUS=MR","FA_ADJUSTED=Adjusted","Sort=A","Dates=H","DateFormat=P","Fill=—","Direction=H","UseDPDF=Y")</f>
        <v>18.6402</v>
      </c>
      <c r="K64" s="14" cm="1">
        <f t="array" ref="K64">_xll.BDH("PCAR US Equity","GROSS_MARGIN","FQ1 2021","FQ1 2021","Currency=USD","Period=FQ","BEST_FPERIOD_OVERRIDE=FQ","FILING_STATUS=MR","FA_ADJUSTED=Adjusted","Sort=A","Dates=H","DateFormat=P","Fill=—","Direction=H","UseDPDF=Y")</f>
        <v>19.053999999999998</v>
      </c>
      <c r="L64" s="14" cm="1">
        <f t="array" ref="L64">_xll.BDH("PCAR US Equity","GROSS_MARGIN","FQ2 2021","FQ2 2021","Currency=USD","Period=FQ","BEST_FPERIOD_OVERRIDE=FQ","FILING_STATUS=MR","FA_ADJUSTED=Adjusted","Sort=A","Dates=H","DateFormat=P","Fill=—","Direction=H","UseDPDF=Y")</f>
        <v>19.625599999999999</v>
      </c>
      <c r="M64" s="14" cm="1">
        <f t="array" ref="M64">_xll.BDH("PCAR US Equity","GROSS_MARGIN","FQ3 2021","FQ3 2021","Currency=USD","Period=FQ","BEST_FPERIOD_OVERRIDE=FQ","FILING_STATUS=MR","FA_ADJUSTED=Adjusted","Sort=A","Dates=H","DateFormat=P","Fill=—","Direction=H","UseDPDF=Y")</f>
        <v>18.172499999999999</v>
      </c>
      <c r="N64" s="14" cm="1">
        <f t="array" ref="N64">_xll.BDH("PCAR US Equity","GROSS_MARGIN","FQ4 2021","FQ4 2021","Currency=USD","Period=FQ","BEST_FPERIOD_OVERRIDE=FQ","FILING_STATUS=MR","FA_ADJUSTED=Adjusted","Sort=A","Dates=H","DateFormat=P","Fill=—","Direction=H","UseDPDF=Y")</f>
        <v>13.350099999999999</v>
      </c>
      <c r="O64" s="14" cm="1">
        <f t="array" ref="O64">_xll.BDH("PCAR US Equity","GROSS_MARGIN","FQ1 2022","FQ1 2022","Currency=USD","Period=FQ","BEST_FPERIOD_OVERRIDE=FQ","FILING_STATUS=MR","FA_ADJUSTED=Adjusted","Sort=A","Dates=H","DateFormat=P","Fill=—","Direction=H","UseDPDF=Y")</f>
        <v>17.7255</v>
      </c>
      <c r="P64" s="14" cm="1">
        <f t="array" ref="P64">_xll.BDH("PCAR US Equity","GROSS_MARGIN","FQ2 2022","FQ2 2022","Currency=USD","Period=FQ","BEST_FPERIOD_OVERRIDE=FQ","FILING_STATUS=MR","FA_ADJUSTED=Adjusted","Sort=A","Dates=H","DateFormat=P","Fill=—","Direction=H","UseDPDF=Y")</f>
        <v>18.177900000000001</v>
      </c>
      <c r="Q64" s="14" cm="1">
        <f t="array" ref="Q64">_xll.BDH("PCAR US Equity","GROSS_MARGIN","FQ3 2022","FQ3 2022","Currency=USD","Period=FQ","BEST_FPERIOD_OVERRIDE=FQ","FILING_STATUS=MR","FA_ADJUSTED=Adjusted","Sort=A","Dates=H","DateFormat=P","Fill=—","Direction=H","UseDPDF=Y")</f>
        <v>18.611999999999998</v>
      </c>
      <c r="R64" s="14" cm="1">
        <f t="array" ref="R64">_xll.BDH("PCAR US Equity","GROSS_MARGIN","FQ4 2022","FQ4 2022","Currency=USD","Period=FQ","BEST_FPERIOD_OVERRIDE=FQ","FILING_STATUS=MR","FA_ADJUSTED=Adjusted","Sort=A","Dates=H","DateFormat=P","Fill=—","Direction=H","UseDPDF=Y")</f>
        <v>17.411899999999999</v>
      </c>
      <c r="S64" s="14" cm="1">
        <f t="array" ref="S64">_xll.BDH("PCAR US Equity","GROSS_MARGIN","FQ1 2023","FQ1 2023","Currency=USD","Period=FQ","BEST_FPERIOD_OVERRIDE=FQ","FILING_STATUS=MR","FA_ADJUSTED=Adjusted","Sort=A","Dates=H","DateFormat=P","Fill=—","Direction=H","UseDPDF=Y")</f>
        <v>22.262899999999998</v>
      </c>
      <c r="T64" s="14" cm="1">
        <f t="array" ref="T64">_xll.BDH("PCAR US Equity","GROSS_MARGIN","FQ2 2023","FQ2 2023","Currency=USD","Period=FQ","BEST_FPERIOD_OVERRIDE=FQ","FILING_STATUS=MR","FA_ADJUSTED=Adjusted","Sort=A","Dates=H","DateFormat=P","Fill=—","Direction=H","UseDPDF=Y")</f>
        <v>21.5503</v>
      </c>
      <c r="U64" s="14" cm="1">
        <f t="array" ref="U64">_xll.BDH("PCAR US Equity","GROSS_MARGIN","FQ3 2023","FQ3 2023","Currency=USD","Period=FQ","BEST_FPERIOD_OVERRIDE=FQ","FILING_STATUS=MR","FA_ADJUSTED=Adjusted","Sort=A","Dates=H","DateFormat=P","Fill=—","Direction=H","UseDPDF=Y")</f>
        <v>22.206900000000001</v>
      </c>
      <c r="V64" s="14" cm="1">
        <f t="array" ref="V64">_xll.BDH("PCAR US Equity","GROSS_MARGIN","FQ4 2023","FQ4 2023","Currency=USD","Period=FQ","BEST_FPERIOD_OVERRIDE=FQ","FILING_STATUS=MR","FA_ADJUSTED=Adjusted","Sort=A","Dates=H","DateFormat=P","Fill=—","Direction=H","UseDPDF=Y")</f>
        <v>20.243300000000001</v>
      </c>
      <c r="W64" s="14" cm="1">
        <f t="array" ref="W64">_xll.BDH("PCAR US Equity","GROSS_MARGIN","FQ1 2024","FQ1 2024","Currency=USD","Period=FQ","BEST_FPERIOD_OVERRIDE=FQ","FILING_STATUS=MR","FA_ADJUSTED=Adjusted","Sort=A","Dates=H","DateFormat=P","Fill=—","Direction=H","UseDPDF=Y")</f>
        <v>21.848500000000001</v>
      </c>
      <c r="X64" s="14" cm="1">
        <f t="array" ref="X64">_xll.BDH("PCAR US Equity","GROSS_MARGIN","FQ2 2024","FQ2 2024","Currency=USD","Period=FQ","BEST_FPERIOD_OVERRIDE=FQ","FILING_STATUS=MR","FA_ADJUSTED=Adjusted","Sort=A","Dates=H","DateFormat=P","Fill=—","Direction=H","UseDPDF=Y")</f>
        <v>20.8308</v>
      </c>
      <c r="Y64" s="14" cm="1">
        <f t="array" ref="Y64">_xll.BDH("PCAR US Equity","GROSS_MARGIN","FQ3 2024","FQ3 2024","Currency=USD","Period=FQ","BEST_FPERIOD_OVERRIDE=FQ","FILING_STATUS=MR","FA_ADJUSTED=Adjusted","Sort=A","Dates=H","DateFormat=P","Fill=—","Direction=H","UseDPDF=Y")</f>
        <v>19.706499999999998</v>
      </c>
      <c r="Z64" s="14" cm="1">
        <f t="array" ref="Z64">_xll.BDH("PCAR US Equity","GROSS_MARGIN","FQ4 2024","FQ4 2024","Currency=USD","Period=FQ","BEST_FPERIOD_OVERRIDE=FQ","FILING_STATUS=MR","FA_ADJUSTED=Adjusted","Sort=A","Dates=H","DateFormat=P","Fill=—","Direction=H","UseDPDF=Y")</f>
        <v>16.8675</v>
      </c>
      <c r="AA64" s="14" cm="1">
        <f t="array" ref="AA64">_xll.BDH("PCAR US Equity","GROSS_MARGIN","FQ1 2025","FQ1 2025","Currency=USD","Period=FQ","BEST_FPERIOD_OVERRIDE=FQ","FILING_STATUS=MR","FA_ADJUSTED=Adjusted","Sort=A","Dates=H","DateFormat=P","Fill=—","Direction=H","UseDPDF=Y")</f>
        <v>18.276700000000002</v>
      </c>
      <c r="AB64" s="14" cm="1">
        <f t="array" ref="AB64">_xll.BDH("PCAR US Equity","GROSS_MARGIN","FQ2 2025","FQ2 2025","Currency=USD","Period=FQ","BEST_FPERIOD_OVERRIDE=FQ","FILING_STATUS=MR","FA_ADJUSTED=Adjusted","Sort=A","Dates=H","DateFormat=P","Fill=—","Direction=H","UseDPDF=Y")</f>
        <v>17.5062</v>
      </c>
      <c r="AC64" s="14" cm="1">
        <f t="array" ref="AC64">_xll.BDH("PCAR US Equity","GROSS_MARGIN","FQ3 2025","FQ3 2025","Currency=USD","Period=FQ","BEST_FPERIOD_OVERRIDE=FQ","FILING_STATUS=MR","FA_ADJUSTED=Adjusted","Sort=A","Dates=H","DateFormat=P","Fill=—","Direction=H","UseDPDF=Y")</f>
        <v>16.867999999999999</v>
      </c>
      <c r="AD64" s="14" cm="1">
        <f t="array" ref="AD64">_xll.BDH("PCAR US Equity","GROSS_MARGIN","FQ4 2025","FQ4 2025","Currency=USD","Period=FQ","BEST_FPERIOD_OVERRIDE=FQ","FILING_STATUS=MR","FA_ADJUSTED=Adjusted","Sort=A","Dates=H","DateFormat=P","Fill=—","Direction=H","UseDPDF=Y")</f>
        <v>13.832700000000001</v>
      </c>
      <c r="AE64" s="14">
        <v>12.797000000000001</v>
      </c>
      <c r="AF64" s="14">
        <v>13.414</v>
      </c>
    </row>
    <row r="65" spans="1:32" x14ac:dyDescent="0.25">
      <c r="A65" s="10" t="s">
        <v>168</v>
      </c>
      <c r="B65" s="10" t="s">
        <v>169</v>
      </c>
      <c r="C65" s="14" cm="1">
        <f t="array" ref="C65">_xll.BDH("PCAR US Equity","OPER_MARGIN","FQ1 2019","FQ1 2019","Currency=USD","Period=FQ","BEST_FPERIOD_OVERRIDE=FQ","FILING_STATUS=MR","FA_ADJUSTED=Adjusted","Sort=A","Dates=H","DateFormat=P","Fill=—","Direction=H","UseDPDF=Y")</f>
        <v>12.173999999999999</v>
      </c>
      <c r="D65" s="14" cm="1">
        <f t="array" ref="D65">_xll.BDH("PCAR US Equity","OPER_MARGIN","FQ2 2019","FQ2 2019","Currency=USD","Period=FQ","BEST_FPERIOD_OVERRIDE=FQ","FILING_STATUS=MR","FA_ADJUSTED=Adjusted","Sort=A","Dates=H","DateFormat=P","Fill=—","Direction=H","UseDPDF=Y")</f>
        <v>11.810700000000001</v>
      </c>
      <c r="E65" s="14" cm="1">
        <f t="array" ref="E65">_xll.BDH("PCAR US Equity","OPER_MARGIN","FQ3 2019","FQ3 2019","Currency=USD","Period=FQ","BEST_FPERIOD_OVERRIDE=FQ","FILING_STATUS=MR","FA_ADJUSTED=Adjusted","Sort=A","Dates=H","DateFormat=P","Fill=—","Direction=H","UseDPDF=Y")</f>
        <v>11.699400000000001</v>
      </c>
      <c r="F65" s="14" cm="1">
        <f t="array" ref="F65">_xll.BDH("PCAR US Equity","OPER_MARGIN","FQ4 2019","FQ4 2019","Currency=USD","Period=FQ","BEST_FPERIOD_OVERRIDE=FQ","FILING_STATUS=MR","FA_ADJUSTED=Adjusted","Sort=A","Dates=H","DateFormat=P","Fill=—","Direction=H","UseDPDF=Y")</f>
        <v>10.746700000000001</v>
      </c>
      <c r="G65" s="14" cm="1">
        <f t="array" ref="G65">_xll.BDH("PCAR US Equity","OPER_MARGIN","FQ1 2020","FQ1 2020","Currency=USD","Period=FQ","BEST_FPERIOD_OVERRIDE=FQ","FILING_STATUS=MR","FA_ADJUSTED=Adjusted","Sort=A","Dates=H","DateFormat=P","Fill=—","Direction=H","UseDPDF=Y")</f>
        <v>8.4138999999999999</v>
      </c>
      <c r="H65" s="14" cm="1">
        <f t="array" ref="H65">_xll.BDH("PCAR US Equity","OPER_MARGIN","FQ2 2020","FQ2 2020","Currency=USD","Period=FQ","BEST_FPERIOD_OVERRIDE=FQ","FILING_STATUS=MR","FA_ADJUSTED=Adjusted","Sort=A","Dates=H","DateFormat=P","Fill=—","Direction=H","UseDPDF=Y")</f>
        <v>5.0780000000000003</v>
      </c>
      <c r="I65" s="14" cm="1">
        <f t="array" ref="I65">_xll.BDH("PCAR US Equity","OPER_MARGIN","FQ3 2020","FQ3 2020","Currency=USD","Period=FQ","BEST_FPERIOD_OVERRIDE=FQ","FILING_STATUS=MR","FA_ADJUSTED=Adjusted","Sort=A","Dates=H","DateFormat=P","Fill=—","Direction=H","UseDPDF=Y")</f>
        <v>9.532</v>
      </c>
      <c r="J65" s="14" cm="1">
        <f t="array" ref="J65">_xll.BDH("PCAR US Equity","OPER_MARGIN","FQ4 2020","FQ4 2020","Currency=USD","Period=FQ","BEST_FPERIOD_OVERRIDE=FQ","FILING_STATUS=MR","FA_ADJUSTED=Adjusted","Sort=A","Dates=H","DateFormat=P","Fill=—","Direction=H","UseDPDF=Y")</f>
        <v>9.1153999999999993</v>
      </c>
      <c r="K65" s="14" cm="1">
        <f t="array" ref="K65">_xll.BDH("PCAR US Equity","OPER_MARGIN","FQ1 2021","FQ1 2021","Currency=USD","Period=FQ","BEST_FPERIOD_OVERRIDE=FQ","FILING_STATUS=MR","FA_ADJUSTED=Adjusted","Sort=A","Dates=H","DateFormat=P","Fill=—","Direction=H","UseDPDF=Y")</f>
        <v>10.0967</v>
      </c>
      <c r="L65" s="14" cm="1">
        <f t="array" ref="L65">_xll.BDH("PCAR US Equity","OPER_MARGIN","FQ2 2021","FQ2 2021","Currency=USD","Period=FQ","BEST_FPERIOD_OVERRIDE=FQ","FILING_STATUS=MR","FA_ADJUSTED=Adjusted","Sort=A","Dates=H","DateFormat=P","Fill=—","Direction=H","UseDPDF=Y")</f>
        <v>10.5768</v>
      </c>
      <c r="M65" s="14" cm="1">
        <f t="array" ref="M65">_xll.BDH("PCAR US Equity","OPER_MARGIN","FQ3 2021","FQ3 2021","Currency=USD","Period=FQ","BEST_FPERIOD_OVERRIDE=FQ","FILING_STATUS=MR","FA_ADJUSTED=Adjusted","Sort=A","Dates=H","DateFormat=P","Fill=—","Direction=H","UseDPDF=Y")</f>
        <v>9.2173999999999996</v>
      </c>
      <c r="N65" s="14" cm="1">
        <f t="array" ref="N65">_xll.BDH("PCAR US Equity","OPER_MARGIN","FQ4 2021","FQ4 2021","Currency=USD","Period=FQ","BEST_FPERIOD_OVERRIDE=FQ","FILING_STATUS=MR","FA_ADJUSTED=Adjusted","Sort=A","Dates=H","DateFormat=P","Fill=—","Direction=H","UseDPDF=Y")</f>
        <v>9.3552</v>
      </c>
      <c r="O65" s="14" cm="1">
        <f t="array" ref="O65">_xll.BDH("PCAR US Equity","OPER_MARGIN","FQ1 2022","FQ1 2022","Currency=USD","Period=FQ","BEST_FPERIOD_OVERRIDE=FQ","FILING_STATUS=MR","FA_ADJUSTED=Adjusted","Sort=A","Dates=H","DateFormat=P","Fill=—","Direction=H","UseDPDF=Y")</f>
        <v>11.462199999999999</v>
      </c>
      <c r="P65" s="14" cm="1">
        <f t="array" ref="P65">_xll.BDH("PCAR US Equity","OPER_MARGIN","FQ2 2022","FQ2 2022","Currency=USD","Period=FQ","BEST_FPERIOD_OVERRIDE=FQ","FILING_STATUS=MR","FA_ADJUSTED=Adjusted","Sort=A","Dates=H","DateFormat=P","Fill=—","Direction=H","UseDPDF=Y")</f>
        <v>12.4925</v>
      </c>
      <c r="Q65" s="14" cm="1">
        <f t="array" ref="Q65">_xll.BDH("PCAR US Equity","OPER_MARGIN","FQ3 2022","FQ3 2022","Currency=USD","Period=FQ","BEST_FPERIOD_OVERRIDE=FQ","FILING_STATUS=MR","FA_ADJUSTED=Adjusted","Sort=A","Dates=H","DateFormat=P","Fill=—","Direction=H","UseDPDF=Y")</f>
        <v>13.0799</v>
      </c>
      <c r="R65" s="14" cm="1">
        <f t="array" ref="R65">_xll.BDH("PCAR US Equity","OPER_MARGIN","FQ4 2022","FQ4 2022","Currency=USD","Period=FQ","BEST_FPERIOD_OVERRIDE=FQ","FILING_STATUS=MR","FA_ADJUSTED=Adjusted","Sort=A","Dates=H","DateFormat=P","Fill=—","Direction=H","UseDPDF=Y")</f>
        <v>13.7659</v>
      </c>
      <c r="S65" s="14" cm="1">
        <f t="array" ref="S65">_xll.BDH("PCAR US Equity","OPER_MARGIN","FQ1 2023","FQ1 2023","Currency=USD","Period=FQ","BEST_FPERIOD_OVERRIDE=FQ","FILING_STATUS=MR","FA_ADJUSTED=Adjusted","Sort=A","Dates=H","DateFormat=P","Fill=—","Direction=H","UseDPDF=Y")</f>
        <v>17.098400000000002</v>
      </c>
      <c r="T65" s="14" cm="1">
        <f t="array" ref="T65">_xll.BDH("PCAR US Equity","OPER_MARGIN","FQ2 2023","FQ2 2023","Currency=USD","Period=FQ","BEST_FPERIOD_OVERRIDE=FQ","FILING_STATUS=MR","FA_ADJUSTED=Adjusted","Sort=A","Dates=H","DateFormat=P","Fill=—","Direction=H","UseDPDF=Y")</f>
        <v>16.755800000000001</v>
      </c>
      <c r="U65" s="14" cm="1">
        <f t="array" ref="U65">_xll.BDH("PCAR US Equity","OPER_MARGIN","FQ3 2023","FQ3 2023","Currency=USD","Period=FQ","BEST_FPERIOD_OVERRIDE=FQ","FILING_STATUS=MR","FA_ADJUSTED=Adjusted","Sort=A","Dates=H","DateFormat=P","Fill=—","Direction=H","UseDPDF=Y")</f>
        <v>17.16</v>
      </c>
      <c r="V65" s="14" cm="1">
        <f t="array" ref="V65">_xll.BDH("PCAR US Equity","OPER_MARGIN","FQ4 2023","FQ4 2023","Currency=USD","Period=FQ","BEST_FPERIOD_OVERRIDE=FQ","FILING_STATUS=MR","FA_ADJUSTED=Adjusted","Sort=A","Dates=H","DateFormat=P","Fill=—","Direction=H","UseDPDF=Y")</f>
        <v>16.715499999999999</v>
      </c>
      <c r="W65" s="14" cm="1">
        <f t="array" ref="W65">_xll.BDH("PCAR US Equity","OPER_MARGIN","FQ1 2024","FQ1 2024","Currency=USD","Period=FQ","BEST_FPERIOD_OVERRIDE=FQ","FILING_STATUS=MR","FA_ADJUSTED=Adjusted","Sort=A","Dates=H","DateFormat=P","Fill=—","Direction=H","UseDPDF=Y")</f>
        <v>16.262</v>
      </c>
      <c r="X65" s="14" cm="1">
        <f t="array" ref="X65">_xll.BDH("PCAR US Equity","OPER_MARGIN","FQ2 2024","FQ2 2024","Currency=USD","Period=FQ","BEST_FPERIOD_OVERRIDE=FQ","FILING_STATUS=MR","FA_ADJUSTED=Adjusted","Sort=A","Dates=H","DateFormat=P","Fill=—","Direction=H","UseDPDF=Y")</f>
        <v>15.291700000000001</v>
      </c>
      <c r="Y65" s="14" cm="1">
        <f t="array" ref="Y65">_xll.BDH("PCAR US Equity","OPER_MARGIN","FQ3 2024","FQ3 2024","Currency=USD","Period=FQ","BEST_FPERIOD_OVERRIDE=FQ","FILING_STATUS=MR","FA_ADJUSTED=Adjusted","Sort=A","Dates=H","DateFormat=P","Fill=—","Direction=H","UseDPDF=Y")</f>
        <v>13.632400000000001</v>
      </c>
      <c r="Z65" s="14" cm="1">
        <f t="array" ref="Z65">_xll.BDH("PCAR US Equity","OPER_MARGIN","FQ4 2024","FQ4 2024","Currency=USD","Period=FQ","BEST_FPERIOD_OVERRIDE=FQ","FILING_STATUS=MR","FA_ADJUSTED=Adjusted","Sort=A","Dates=H","DateFormat=P","Fill=—","Direction=H","UseDPDF=Y")</f>
        <v>12.718299999999999</v>
      </c>
      <c r="AA65" s="14" cm="1">
        <f t="array" ref="AA65">_xll.BDH("PCAR US Equity","OPER_MARGIN","FQ1 2025","FQ1 2025","Currency=USD","Period=FQ","BEST_FPERIOD_OVERRIDE=FQ","FILING_STATUS=MR","FA_ADJUSTED=Adjusted","Sort=A","Dates=H","DateFormat=P","Fill=—","Direction=H","UseDPDF=Y")</f>
        <v>11.893800000000001</v>
      </c>
      <c r="AB65" s="14" cm="1">
        <f t="array" ref="AB65">_xll.BDH("PCAR US Equity","OPER_MARGIN","FQ2 2025","FQ2 2025","Currency=USD","Period=FQ","BEST_FPERIOD_OVERRIDE=FQ","FILING_STATUS=MR","FA_ADJUSTED=Adjusted","Sort=A","Dates=H","DateFormat=P","Fill=—","Direction=H","UseDPDF=Y")</f>
        <v>11.164400000000001</v>
      </c>
      <c r="AC65" s="14" cm="1">
        <f t="array" ref="AC65">_xll.BDH("PCAR US Equity","OPER_MARGIN","FQ3 2025","FQ3 2025","Currency=USD","Period=FQ","BEST_FPERIOD_OVERRIDE=FQ","FILING_STATUS=MR","FA_ADJUSTED=Adjusted","Sort=A","Dates=H","DateFormat=P","Fill=—","Direction=H","UseDPDF=Y")</f>
        <v>9.5327000000000002</v>
      </c>
      <c r="AD65" s="14" cm="1">
        <f t="array" ref="AD65">_xll.BDH("PCAR US Equity","OPER_MARGIN","FQ4 2025","FQ4 2025","Currency=USD","Period=FQ","BEST_FPERIOD_OVERRIDE=FQ","FILING_STATUS=MR","FA_ADJUSTED=Adjusted","Sort=A","Dates=H","DateFormat=P","Fill=—","Direction=H","UseDPDF=Y")</f>
        <v>8.8274000000000008</v>
      </c>
      <c r="AE65" s="14">
        <v>8.5844753938571294</v>
      </c>
      <c r="AF65" s="14">
        <v>9.3973189407002309</v>
      </c>
    </row>
    <row r="66" spans="1:32" x14ac:dyDescent="0.25">
      <c r="A66" s="10" t="s">
        <v>170</v>
      </c>
      <c r="B66" s="10" t="s">
        <v>171</v>
      </c>
      <c r="C66" s="14" cm="1">
        <f t="array" ref="C66">_xll.BDH("PCAR US Equity","PROF_MARGIN","FQ1 2019","FQ1 2019","Currency=USD","Period=FQ","BEST_FPERIOD_OVERRIDE=FQ","FILING_STATUS=MR","FA_ADJUSTED=Adjusted","Sort=A","Dates=H","DateFormat=P","Fill=—","Direction=H","UseDPDF=Y")</f>
        <v>9.6942000000000004</v>
      </c>
      <c r="D66" s="14" cm="1">
        <f t="array" ref="D66">_xll.BDH("PCAR US Equity","PROF_MARGIN","FQ2 2019","FQ2 2019","Currency=USD","Period=FQ","BEST_FPERIOD_OVERRIDE=FQ","FILING_STATUS=MR","FA_ADJUSTED=Adjusted","Sort=A","Dates=H","DateFormat=P","Fill=—","Direction=H","UseDPDF=Y")</f>
        <v>9.3486999999999991</v>
      </c>
      <c r="E66" s="14" cm="1">
        <f t="array" ref="E66">_xll.BDH("PCAR US Equity","PROF_MARGIN","FQ3 2019","FQ3 2019","Currency=USD","Period=FQ","BEST_FPERIOD_OVERRIDE=FQ","FILING_STATUS=MR","FA_ADJUSTED=Adjusted","Sort=A","Dates=H","DateFormat=P","Fill=—","Direction=H","UseDPDF=Y")</f>
        <v>9.5427</v>
      </c>
      <c r="F66" s="14" cm="1">
        <f t="array" ref="F66">_xll.BDH("PCAR US Equity","PROF_MARGIN","FQ4 2019","FQ4 2019","Currency=USD","Period=FQ","BEST_FPERIOD_OVERRIDE=FQ","FILING_STATUS=MR","FA_ADJUSTED=Adjusted","Sort=A","Dates=H","DateFormat=P","Fill=—","Direction=H","UseDPDF=Y")</f>
        <v>8.6814999999999998</v>
      </c>
      <c r="G66" s="14" cm="1">
        <f t="array" ref="G66">_xll.BDH("PCAR US Equity","PROF_MARGIN","FQ1 2020","FQ1 2020","Currency=USD","Period=FQ","BEST_FPERIOD_OVERRIDE=FQ","FILING_STATUS=MR","FA_ADJUSTED=Adjusted","Sort=A","Dates=H","DateFormat=P","Fill=—","Direction=H","UseDPDF=Y")</f>
        <v>6.9520999999999997</v>
      </c>
      <c r="H66" s="14" cm="1">
        <f t="array" ref="H66">_xll.BDH("PCAR US Equity","PROF_MARGIN","FQ2 2020","FQ2 2020","Currency=USD","Period=FQ","BEST_FPERIOD_OVERRIDE=FQ","FILING_STATUS=MR","FA_ADJUSTED=Adjusted","Sort=A","Dates=H","DateFormat=P","Fill=—","Direction=H","UseDPDF=Y")</f>
        <v>4.8079000000000001</v>
      </c>
      <c r="I66" s="14" cm="1">
        <f t="array" ref="I66">_xll.BDH("PCAR US Equity","PROF_MARGIN","FQ3 2020","FQ3 2020","Currency=USD","Period=FQ","BEST_FPERIOD_OVERRIDE=FQ","FILING_STATUS=MR","FA_ADJUSTED=Adjusted","Sort=A","Dates=H","DateFormat=P","Fill=—","Direction=H","UseDPDF=Y")</f>
        <v>7.81</v>
      </c>
      <c r="J66" s="14" cm="1">
        <f t="array" ref="J66">_xll.BDH("PCAR US Equity","PROF_MARGIN","FQ4 2020","FQ4 2020","Currency=USD","Period=FQ","BEST_FPERIOD_OVERRIDE=FQ","FILING_STATUS=MR","FA_ADJUSTED=Adjusted","Sort=A","Dates=H","DateFormat=P","Fill=—","Direction=H","UseDPDF=Y")</f>
        <v>7.2759</v>
      </c>
      <c r="K66" s="14" cm="1">
        <f t="array" ref="K66">_xll.BDH("PCAR US Equity","PROF_MARGIN","FQ1 2021","FQ1 2021","Currency=USD","Period=FQ","BEST_FPERIOD_OVERRIDE=FQ","FILING_STATUS=MR","FA_ADJUSTED=Adjusted","Sort=A","Dates=H","DateFormat=P","Fill=—","Direction=H","UseDPDF=Y")</f>
        <v>8.0541</v>
      </c>
      <c r="L66" s="14" cm="1">
        <f t="array" ref="L66">_xll.BDH("PCAR US Equity","PROF_MARGIN","FQ2 2021","FQ2 2021","Currency=USD","Period=FQ","BEST_FPERIOD_OVERRIDE=FQ","FILING_STATUS=MR","FA_ADJUSTED=Adjusted","Sort=A","Dates=H","DateFormat=P","Fill=—","Direction=H","UseDPDF=Y")</f>
        <v>8.4734999999999996</v>
      </c>
      <c r="M66" s="14" cm="1">
        <f t="array" ref="M66">_xll.BDH("PCAR US Equity","PROF_MARGIN","FQ3 2021","FQ3 2021","Currency=USD","Period=FQ","BEST_FPERIOD_OVERRIDE=FQ","FILING_STATUS=MR","FA_ADJUSTED=Adjusted","Sort=A","Dates=H","DateFormat=P","Fill=—","Direction=H","UseDPDF=Y")</f>
        <v>7.3929</v>
      </c>
      <c r="N66" s="14" cm="1">
        <f t="array" ref="N66">_xll.BDH("PCAR US Equity","PROF_MARGIN","FQ4 2021","FQ4 2021","Currency=USD","Period=FQ","BEST_FPERIOD_OVERRIDE=FQ","FILING_STATUS=MR","FA_ADJUSTED=Adjusted","Sort=A","Dates=H","DateFormat=P","Fill=—","Direction=H","UseDPDF=Y")</f>
        <v>7.7579000000000002</v>
      </c>
      <c r="O66" s="14" cm="1">
        <f t="array" ref="O66">_xll.BDH("PCAR US Equity","PROF_MARGIN","FQ1 2022","FQ1 2022","Currency=USD","Period=FQ","BEST_FPERIOD_OVERRIDE=FQ","FILING_STATUS=MR","FA_ADJUSTED=Adjusted","Sort=A","Dates=H","DateFormat=P","Fill=—","Direction=H","UseDPDF=Y")</f>
        <v>9.2775999999999996</v>
      </c>
      <c r="P66" s="14" cm="1">
        <f t="array" ref="P66">_xll.BDH("PCAR US Equity","PROF_MARGIN","FQ2 2022","FQ2 2022","Currency=USD","Period=FQ","BEST_FPERIOD_OVERRIDE=FQ","FILING_STATUS=MR","FA_ADJUSTED=Adjusted","Sort=A","Dates=H","DateFormat=P","Fill=—","Direction=H","UseDPDF=Y")</f>
        <v>10.0688</v>
      </c>
      <c r="Q66" s="14" cm="1">
        <f t="array" ref="Q66">_xll.BDH("PCAR US Equity","PROF_MARGIN","FQ3 2022","FQ3 2022","Currency=USD","Period=FQ","BEST_FPERIOD_OVERRIDE=FQ","FILING_STATUS=MR","FA_ADJUSTED=Adjusted","Sort=A","Dates=H","DateFormat=P","Fill=—","Direction=H","UseDPDF=Y")</f>
        <v>10.899699999999999</v>
      </c>
      <c r="R66" s="14" cm="1">
        <f t="array" ref="R66">_xll.BDH("PCAR US Equity","PROF_MARGIN","FQ4 2022","FQ4 2022","Currency=USD","Period=FQ","BEST_FPERIOD_OVERRIDE=FQ","FILING_STATUS=MR","FA_ADJUSTED=Adjusted","Sort=A","Dates=H","DateFormat=P","Fill=—","Direction=H","UseDPDF=Y")</f>
        <v>11.332800000000001</v>
      </c>
      <c r="S66" s="14" cm="1">
        <f t="array" ref="S66">_xll.BDH("PCAR US Equity","PROF_MARGIN","FQ1 2023","FQ1 2023","Currency=USD","Period=FQ","BEST_FPERIOD_OVERRIDE=FQ","FILING_STATUS=MR","FA_ADJUSTED=Adjusted","Sort=A","Dates=H","DateFormat=P","Fill=—","Direction=H","UseDPDF=Y")</f>
        <v>8.6613000000000007</v>
      </c>
      <c r="T66" s="14" cm="1">
        <f t="array" ref="T66">_xll.BDH("PCAR US Equity","PROF_MARGIN","FQ2 2023","FQ2 2023","Currency=USD","Period=FQ","BEST_FPERIOD_OVERRIDE=FQ","FILING_STATUS=MR","FA_ADJUSTED=Adjusted","Sort=A","Dates=H","DateFormat=P","Fill=—","Direction=H","UseDPDF=Y")</f>
        <v>13.7494</v>
      </c>
      <c r="U66" s="14" cm="1">
        <f t="array" ref="U66">_xll.BDH("PCAR US Equity","PROF_MARGIN","FQ3 2023","FQ3 2023","Currency=USD","Period=FQ","BEST_FPERIOD_OVERRIDE=FQ","FILING_STATUS=MR","FA_ADJUSTED=Adjusted","Sort=A","Dates=H","DateFormat=P","Fill=—","Direction=H","UseDPDF=Y")</f>
        <v>14.1265</v>
      </c>
      <c r="V66" s="14" cm="1">
        <f t="array" ref="V66">_xll.BDH("PCAR US Equity","PROF_MARGIN","FQ4 2023","FQ4 2023","Currency=USD","Period=FQ","BEST_FPERIOD_OVERRIDE=FQ","FILING_STATUS=MR","FA_ADJUSTED=Adjusted","Sort=A","Dates=H","DateFormat=P","Fill=—","Direction=H","UseDPDF=Y")</f>
        <v>15.6149</v>
      </c>
      <c r="W66" s="14" cm="1">
        <f t="array" ref="W66">_xll.BDH("PCAR US Equity","PROF_MARGIN","FQ1 2024","FQ1 2024","Currency=USD","Period=FQ","BEST_FPERIOD_OVERRIDE=FQ","FILING_STATUS=MR","FA_ADJUSTED=Adjusted","Sort=A","Dates=H","DateFormat=P","Fill=—","Direction=H","UseDPDF=Y")</f>
        <v>13.669499999999999</v>
      </c>
      <c r="X66" s="14" cm="1">
        <f t="array" ref="X66">_xll.BDH("PCAR US Equity","PROF_MARGIN","FQ2 2024","FQ2 2024","Currency=USD","Period=FQ","BEST_FPERIOD_OVERRIDE=FQ","FILING_STATUS=MR","FA_ADJUSTED=Adjusted","Sort=A","Dates=H","DateFormat=P","Fill=—","Direction=H","UseDPDF=Y")</f>
        <v>12.7974</v>
      </c>
      <c r="Y66" s="14" cm="1">
        <f t="array" ref="Y66">_xll.BDH("PCAR US Equity","PROF_MARGIN","FQ3 2024","FQ3 2024","Currency=USD","Period=FQ","BEST_FPERIOD_OVERRIDE=FQ","FILING_STATUS=MR","FA_ADJUSTED=Adjusted","Sort=A","Dates=H","DateFormat=P","Fill=—","Direction=H","UseDPDF=Y")</f>
        <v>11.797499999999999</v>
      </c>
      <c r="Z66" s="14" cm="1">
        <f t="array" ref="Z66">_xll.BDH("PCAR US Equity","PROF_MARGIN","FQ4 2024","FQ4 2024","Currency=USD","Period=FQ","BEST_FPERIOD_OVERRIDE=FQ","FILING_STATUS=MR","FA_ADJUSTED=Adjusted","Sort=A","Dates=H","DateFormat=P","Fill=—","Direction=H","UseDPDF=Y")</f>
        <v>11.0275</v>
      </c>
      <c r="AA66" s="14" cm="1">
        <f t="array" ref="AA66">_xll.BDH("PCAR US Equity","PROF_MARGIN","FQ1 2025","FQ1 2025","Currency=USD","Period=FQ","BEST_FPERIOD_OVERRIDE=FQ","FILING_STATUS=MR","FA_ADJUSTED=Adjusted","Sort=A","Dates=H","DateFormat=P","Fill=—","Direction=H","UseDPDF=Y")</f>
        <v>6.7873999999999999</v>
      </c>
      <c r="AB66" s="14" cm="1">
        <f t="array" ref="AB66">_xll.BDH("PCAR US Equity","PROF_MARGIN","FQ2 2025","FQ2 2025","Currency=USD","Period=FQ","BEST_FPERIOD_OVERRIDE=FQ","FILING_STATUS=MR","FA_ADJUSTED=Adjusted","Sort=A","Dates=H","DateFormat=P","Fill=—","Direction=H","UseDPDF=Y")</f>
        <v>9.6372</v>
      </c>
      <c r="AC66" s="14" cm="1">
        <f t="array" ref="AC66">_xll.BDH("PCAR US Equity","PROF_MARGIN","FQ3 2025","FQ3 2025","Currency=USD","Period=FQ","BEST_FPERIOD_OVERRIDE=FQ","FILING_STATUS=MR","FA_ADJUSTED=Adjusted","Sort=A","Dates=H","DateFormat=P","Fill=—","Direction=H","UseDPDF=Y")</f>
        <v>8.8431999999999995</v>
      </c>
      <c r="AD66" s="14" cm="1">
        <f t="array" ref="AD66">_xll.BDH("PCAR US Equity","PROF_MARGIN","FQ4 2025","FQ4 2025","Currency=USD","Period=FQ","BEST_FPERIOD_OVERRIDE=FQ","FILING_STATUS=MR","FA_ADJUSTED=Adjusted","Sort=A","Dates=H","DateFormat=P","Fill=—","Direction=H","UseDPDF=Y")</f>
        <v>8.1646999999999998</v>
      </c>
      <c r="AE66" s="14">
        <v>9.3613577772297401</v>
      </c>
      <c r="AF66" s="14">
        <v>9.8902365987655401</v>
      </c>
    </row>
    <row r="67" spans="1:32" x14ac:dyDescent="0.25">
      <c r="A67" s="10" t="s">
        <v>172</v>
      </c>
      <c r="B67" s="10" t="s">
        <v>173</v>
      </c>
      <c r="C67" s="14" t="str" cm="1">
        <f t="array" ref="C67">_xll.BDH("PCAR US Equity","ACTUAL_SALES_PER_EMPL","FQ1 2019","FQ1 2019","Currency=USD","Period=FQ","BEST_FPERIOD_OVERRIDE=FQ","FILING_STATUS=MR","FA_ADJUSTED=Adjusted","Sort=A","Dates=H","DateFormat=P","Fill=—","Direction=H","UseDPDF=Y")</f>
        <v>—</v>
      </c>
      <c r="D67" s="14" t="str" cm="1">
        <f t="array" ref="D67">_xll.BDH("PCAR US Equity","ACTUAL_SALES_PER_EMPL","FQ2 2019","FQ2 2019","Currency=USD","Period=FQ","BEST_FPERIOD_OVERRIDE=FQ","FILING_STATUS=MR","FA_ADJUSTED=Adjusted","Sort=A","Dates=H","DateFormat=P","Fill=—","Direction=H","UseDPDF=Y")</f>
        <v>—</v>
      </c>
      <c r="E67" s="14" t="str" cm="1">
        <f t="array" ref="E67">_xll.BDH("PCAR US Equity","ACTUAL_SALES_PER_EMPL","FQ3 2019","FQ3 2019","Currency=USD","Period=FQ","BEST_FPERIOD_OVERRIDE=FQ","FILING_STATUS=MR","FA_ADJUSTED=Adjusted","Sort=A","Dates=H","DateFormat=P","Fill=—","Direction=H","UseDPDF=Y")</f>
        <v>—</v>
      </c>
      <c r="F67" s="14" cm="1">
        <f t="array" ref="F67">_xll.BDH("PCAR US Equity","ACTUAL_SALES_PER_EMPL","FQ4 2019","FQ4 2019","Currency=USD","Period=FQ","BEST_FPERIOD_OVERRIDE=FQ","FILING_STATUS=MR","FA_ADJUSTED=Adjusted","Sort=A","Dates=H","DateFormat=P","Fill=—","Direction=H","UseDPDF=Y")</f>
        <v>226562.96299999999</v>
      </c>
      <c r="G67" s="14" t="str" cm="1">
        <f t="array" ref="G67">_xll.BDH("PCAR US Equity","ACTUAL_SALES_PER_EMPL","FQ1 2020","FQ1 2020","Currency=USD","Period=FQ","BEST_FPERIOD_OVERRIDE=FQ","FILING_STATUS=MR","FA_ADJUSTED=Adjusted","Sort=A","Dates=H","DateFormat=P","Fill=—","Direction=H","UseDPDF=Y")</f>
        <v>—</v>
      </c>
      <c r="H67" s="14" t="str" cm="1">
        <f t="array" ref="H67">_xll.BDH("PCAR US Equity","ACTUAL_SALES_PER_EMPL","FQ2 2020","FQ2 2020","Currency=USD","Period=FQ","BEST_FPERIOD_OVERRIDE=FQ","FILING_STATUS=MR","FA_ADJUSTED=Adjusted","Sort=A","Dates=H","DateFormat=P","Fill=—","Direction=H","UseDPDF=Y")</f>
        <v>—</v>
      </c>
      <c r="I67" s="14" t="str" cm="1">
        <f t="array" ref="I67">_xll.BDH("PCAR US Equity","ACTUAL_SALES_PER_EMPL","FQ3 2020","FQ3 2020","Currency=USD","Period=FQ","BEST_FPERIOD_OVERRIDE=FQ","FILING_STATUS=MR","FA_ADJUSTED=Adjusted","Sort=A","Dates=H","DateFormat=P","Fill=—","Direction=H","UseDPDF=Y")</f>
        <v>—</v>
      </c>
      <c r="J67" s="14" cm="1">
        <f t="array" ref="J67">_xll.BDH("PCAR US Equity","ACTUAL_SALES_PER_EMPL","FQ4 2020","FQ4 2020","Currency=USD","Period=FQ","BEST_FPERIOD_OVERRIDE=FQ","FILING_STATUS=MR","FA_ADJUSTED=Adjusted","Sort=A","Dates=H","DateFormat=P","Fill=—","Direction=H","UseDPDF=Y")</f>
        <v>214176.92310000001</v>
      </c>
      <c r="K67" s="14" t="str" cm="1">
        <f t="array" ref="K67">_xll.BDH("PCAR US Equity","ACTUAL_SALES_PER_EMPL","FQ1 2021","FQ1 2021","Currency=USD","Period=FQ","BEST_FPERIOD_OVERRIDE=FQ","FILING_STATUS=MR","FA_ADJUSTED=Adjusted","Sort=A","Dates=H","DateFormat=P","Fill=—","Direction=H","UseDPDF=Y")</f>
        <v>—</v>
      </c>
      <c r="L67" s="14" t="str" cm="1">
        <f t="array" ref="L67">_xll.BDH("PCAR US Equity","ACTUAL_SALES_PER_EMPL","FQ2 2021","FQ2 2021","Currency=USD","Period=FQ","BEST_FPERIOD_OVERRIDE=FQ","FILING_STATUS=MR","FA_ADJUSTED=Adjusted","Sort=A","Dates=H","DateFormat=P","Fill=—","Direction=H","UseDPDF=Y")</f>
        <v>—</v>
      </c>
      <c r="M67" s="14" t="str" cm="1">
        <f t="array" ref="M67">_xll.BDH("PCAR US Equity","ACTUAL_SALES_PER_EMPL","FQ3 2021","FQ3 2021","Currency=USD","Period=FQ","BEST_FPERIOD_OVERRIDE=FQ","FILING_STATUS=MR","FA_ADJUSTED=Adjusted","Sort=A","Dates=H","DateFormat=P","Fill=—","Direction=H","UseDPDF=Y")</f>
        <v>—</v>
      </c>
      <c r="N67" s="14" cm="1">
        <f t="array" ref="N67">_xll.BDH("PCAR US Equity","ACTUAL_SALES_PER_EMPL","FQ4 2021","FQ4 2021","Currency=USD","Period=FQ","BEST_FPERIOD_OVERRIDE=FQ","FILING_STATUS=MR","FA_ADJUSTED=Adjusted","Sort=A","Dates=H","DateFormat=P","Fill=—","Direction=H","UseDPDF=Y")</f>
        <v>234600</v>
      </c>
      <c r="O67" s="14" t="str" cm="1">
        <f t="array" ref="O67">_xll.BDH("PCAR US Equity","ACTUAL_SALES_PER_EMPL","FQ1 2022","FQ1 2022","Currency=USD","Period=FQ","BEST_FPERIOD_OVERRIDE=FQ","FILING_STATUS=MR","FA_ADJUSTED=Adjusted","Sort=A","Dates=H","DateFormat=P","Fill=—","Direction=H","UseDPDF=Y")</f>
        <v>—</v>
      </c>
      <c r="P67" s="14" t="str" cm="1">
        <f t="array" ref="P67">_xll.BDH("PCAR US Equity","ACTUAL_SALES_PER_EMPL","FQ2 2022","FQ2 2022","Currency=USD","Period=FQ","BEST_FPERIOD_OVERRIDE=FQ","FILING_STATUS=MR","FA_ADJUSTED=Adjusted","Sort=A","Dates=H","DateFormat=P","Fill=—","Direction=H","UseDPDF=Y")</f>
        <v>—</v>
      </c>
      <c r="Q67" s="14" t="str" cm="1">
        <f t="array" ref="Q67">_xll.BDH("PCAR US Equity","ACTUAL_SALES_PER_EMPL","FQ3 2022","FQ3 2022","Currency=USD","Period=FQ","BEST_FPERIOD_OVERRIDE=FQ","FILING_STATUS=MR","FA_ADJUSTED=Adjusted","Sort=A","Dates=H","DateFormat=P","Fill=—","Direction=H","UseDPDF=Y")</f>
        <v>—</v>
      </c>
      <c r="R67" s="14" cm="1">
        <f t="array" ref="R67">_xll.BDH("PCAR US Equity","ACTUAL_SALES_PER_EMPL","FQ4 2022","FQ4 2022","Currency=USD","Period=FQ","BEST_FPERIOD_OVERRIDE=FQ","FILING_STATUS=MR","FA_ADJUSTED=Adjusted","Sort=A","Dates=H","DateFormat=P","Fill=—","Direction=H","UseDPDF=Y")</f>
        <v>261398.7138</v>
      </c>
      <c r="S67" s="14" t="str" cm="1">
        <f t="array" ref="S67">_xll.BDH("PCAR US Equity","ACTUAL_SALES_PER_EMPL","FQ1 2023","FQ1 2023","Currency=USD","Period=FQ","BEST_FPERIOD_OVERRIDE=FQ","FILING_STATUS=MR","FA_ADJUSTED=Adjusted","Sort=A","Dates=H","DateFormat=P","Fill=—","Direction=H","UseDPDF=Y")</f>
        <v>—</v>
      </c>
      <c r="T67" s="14" t="str" cm="1">
        <f t="array" ref="T67">_xll.BDH("PCAR US Equity","ACTUAL_SALES_PER_EMPL","FQ2 2023","FQ2 2023","Currency=USD","Period=FQ","BEST_FPERIOD_OVERRIDE=FQ","FILING_STATUS=MR","FA_ADJUSTED=Adjusted","Sort=A","Dates=H","DateFormat=P","Fill=—","Direction=H","UseDPDF=Y")</f>
        <v>—</v>
      </c>
      <c r="U67" s="14" t="str" cm="1">
        <f t="array" ref="U67">_xll.BDH("PCAR US Equity","ACTUAL_SALES_PER_EMPL","FQ3 2023","FQ3 2023","Currency=USD","Period=FQ","BEST_FPERIOD_OVERRIDE=FQ","FILING_STATUS=MR","FA_ADJUSTED=Adjusted","Sort=A","Dates=H","DateFormat=P","Fill=—","Direction=H","UseDPDF=Y")</f>
        <v>—</v>
      </c>
      <c r="V67" s="14" cm="1">
        <f t="array" ref="V67">_xll.BDH("PCAR US Equity","ACTUAL_SALES_PER_EMPL","FQ4 2023","FQ4 2023","Currency=USD","Period=FQ","BEST_FPERIOD_OVERRIDE=FQ","FILING_STATUS=MR","FA_ADJUSTED=Adjusted","Sort=A","Dates=H","DateFormat=P","Fill=—","Direction=H","UseDPDF=Y")</f>
        <v>280141.97529999999</v>
      </c>
      <c r="W67" s="14" t="str" cm="1">
        <f t="array" ref="W67">_xll.BDH("PCAR US Equity","ACTUAL_SALES_PER_EMPL","FQ1 2024","FQ1 2024","Currency=USD","Period=FQ","BEST_FPERIOD_OVERRIDE=FQ","FILING_STATUS=MR","FA_ADJUSTED=Adjusted","Sort=A","Dates=H","DateFormat=P","Fill=—","Direction=H","UseDPDF=Y")</f>
        <v>—</v>
      </c>
      <c r="X67" s="14" t="str" cm="1">
        <f t="array" ref="X67">_xll.BDH("PCAR US Equity","ACTUAL_SALES_PER_EMPL","FQ2 2024","FQ2 2024","Currency=USD","Period=FQ","BEST_FPERIOD_OVERRIDE=FQ","FILING_STATUS=MR","FA_ADJUSTED=Adjusted","Sort=A","Dates=H","DateFormat=P","Fill=—","Direction=H","UseDPDF=Y")</f>
        <v>—</v>
      </c>
      <c r="Y67" s="14" t="str" cm="1">
        <f t="array" ref="Y67">_xll.BDH("PCAR US Equity","ACTUAL_SALES_PER_EMPL","FQ3 2024","FQ3 2024","Currency=USD","Period=FQ","BEST_FPERIOD_OVERRIDE=FQ","FILING_STATUS=MR","FA_ADJUSTED=Adjusted","Sort=A","Dates=H","DateFormat=P","Fill=—","Direction=H","UseDPDF=Y")</f>
        <v>—</v>
      </c>
      <c r="Z67" s="14" cm="1">
        <f t="array" ref="Z67">_xll.BDH("PCAR US Equity","ACTUAL_SALES_PER_EMPL","FQ4 2024","FQ4 2024","Currency=USD","Period=FQ","BEST_FPERIOD_OVERRIDE=FQ","FILING_STATUS=MR","FA_ADJUSTED=Adjusted","Sort=A","Dates=H","DateFormat=P","Fill=—","Direction=H","UseDPDF=Y")</f>
        <v>262707.64120000001</v>
      </c>
      <c r="AA67" s="14" t="str" cm="1">
        <f t="array" ref="AA67">_xll.BDH("PCAR US Equity","ACTUAL_SALES_PER_EMPL","FQ1 2025","FQ1 2025","Currency=USD","Period=FQ","BEST_FPERIOD_OVERRIDE=FQ","FILING_STATUS=MR","FA_ADJUSTED=Adjusted","Sort=A","Dates=H","DateFormat=P","Fill=—","Direction=H","UseDPDF=Y")</f>
        <v>—</v>
      </c>
      <c r="AB67" s="14" t="str" cm="1">
        <f t="array" ref="AB67">_xll.BDH("PCAR US Equity","ACTUAL_SALES_PER_EMPL","FQ2 2025","FQ2 2025","Currency=USD","Period=FQ","BEST_FPERIOD_OVERRIDE=FQ","FILING_STATUS=MR","FA_ADJUSTED=Adjusted","Sort=A","Dates=H","DateFormat=P","Fill=—","Direction=H","UseDPDF=Y")</f>
        <v>—</v>
      </c>
      <c r="AC67" s="14" t="str" cm="1">
        <f t="array" ref="AC67">_xll.BDH("PCAR US Equity","ACTUAL_SALES_PER_EMPL","FQ3 2025","FQ3 2025","Currency=USD","Period=FQ","BEST_FPERIOD_OVERRIDE=FQ","FILING_STATUS=MR","FA_ADJUSTED=Adjusted","Sort=A","Dates=H","DateFormat=P","Fill=—","Direction=H","UseDPDF=Y")</f>
        <v>—</v>
      </c>
      <c r="AD67" s="14" t="str" cm="1">
        <f t="array" ref="AD67">_xll.BDH("PCAR US Equity","ACTUAL_SALES_PER_EMPL","FQ4 2025","FQ4 2025","Currency=USD","Period=FQ","BEST_FPERIOD_OVERRIDE=FQ","FILING_STATUS=MR","FA_ADJUSTED=Adjusted","Sort=A","Dates=H","DateFormat=P","Fill=—","Direction=H","UseDPDF=Y")</f>
        <v>—</v>
      </c>
      <c r="AE67" s="14"/>
      <c r="AF67" s="14"/>
    </row>
    <row r="68" spans="1:32" x14ac:dyDescent="0.25">
      <c r="A68" s="10" t="s">
        <v>174</v>
      </c>
      <c r="B68" s="10" t="s">
        <v>175</v>
      </c>
      <c r="C68" s="14" cm="1">
        <f t="array" ref="C68">_xll.BDH("PCAR US Equity","EQY_DPS","FQ1 2019","FQ1 2019","Currency=USD","Period=FQ","BEST_FPERIOD_OVERRIDE=FQ","FILING_STATUS=MR","Sort=A","Dates=H","DateFormat=P","Fill=—","Direction=H","UseDPDF=Y")</f>
        <v>0.21329999999999999</v>
      </c>
      <c r="D68" s="14" cm="1">
        <f t="array" ref="D68">_xll.BDH("PCAR US Equity","EQY_DPS","FQ2 2019","FQ2 2019","Currency=USD","Period=FQ","BEST_FPERIOD_OVERRIDE=FQ","FILING_STATUS=MR","Sort=A","Dates=H","DateFormat=P","Fill=—","Direction=H","UseDPDF=Y")</f>
        <v>0.21329999999999999</v>
      </c>
      <c r="E68" s="14" cm="1">
        <f t="array" ref="E68">_xll.BDH("PCAR US Equity","EQY_DPS","FQ3 2019","FQ3 2019","Currency=USD","Period=FQ","BEST_FPERIOD_OVERRIDE=FQ","FILING_STATUS=MR","Sort=A","Dates=H","DateFormat=P","Fill=—","Direction=H","UseDPDF=Y")</f>
        <v>0.21329999999999999</v>
      </c>
      <c r="F68" s="14" cm="1">
        <f t="array" ref="F68">_xll.BDH("PCAR US Equity","EQY_DPS","FQ4 2019","FQ4 2019","Currency=USD","Period=FQ","BEST_FPERIOD_OVERRIDE=FQ","FILING_STATUS=MR","Sort=A","Dates=H","DateFormat=P","Fill=—","Direction=H","UseDPDF=Y")</f>
        <v>1.7466999999999999</v>
      </c>
      <c r="G68" s="14" cm="1">
        <f t="array" ref="G68">_xll.BDH("PCAR US Equity","EQY_DPS","FQ1 2020","FQ1 2020","Currency=USD","Period=FQ","BEST_FPERIOD_OVERRIDE=FQ","FILING_STATUS=MR","Sort=A","Dates=H","DateFormat=P","Fill=—","Direction=H","UseDPDF=Y")</f>
        <v>0.21329999999999999</v>
      </c>
      <c r="H68" s="14" cm="1">
        <f t="array" ref="H68">_xll.BDH("PCAR US Equity","EQY_DPS","FQ2 2020","FQ2 2020","Currency=USD","Period=FQ","BEST_FPERIOD_OVERRIDE=FQ","FILING_STATUS=MR","Sort=A","Dates=H","DateFormat=P","Fill=—","Direction=H","UseDPDF=Y")</f>
        <v>0.21329999999999999</v>
      </c>
      <c r="I68" s="14" cm="1">
        <f t="array" ref="I68">_xll.BDH("PCAR US Equity","EQY_DPS","FQ3 2020","FQ3 2020","Currency=USD","Period=FQ","BEST_FPERIOD_OVERRIDE=FQ","FILING_STATUS=MR","Sort=A","Dates=H","DateFormat=P","Fill=—","Direction=H","UseDPDF=Y")</f>
        <v>0.21329999999999999</v>
      </c>
      <c r="J68" s="14" cm="1">
        <f t="array" ref="J68">_xll.BDH("PCAR US Equity","EQY_DPS","FQ4 2020","FQ4 2020","Currency=USD","Period=FQ","BEST_FPERIOD_OVERRIDE=FQ","FILING_STATUS=MR","Sort=A","Dates=H","DateFormat=P","Fill=—","Direction=H","UseDPDF=Y")</f>
        <v>0.68</v>
      </c>
      <c r="K68" s="14" cm="1">
        <f t="array" ref="K68">_xll.BDH("PCAR US Equity","EQY_DPS","FQ1 2021","FQ1 2021","Currency=USD","Period=FQ","BEST_FPERIOD_OVERRIDE=FQ","FILING_STATUS=MR","Sort=A","Dates=H","DateFormat=P","Fill=—","Direction=H","UseDPDF=Y")</f>
        <v>0.21329999999999999</v>
      </c>
      <c r="L68" s="14" cm="1">
        <f t="array" ref="L68">_xll.BDH("PCAR US Equity","EQY_DPS","FQ2 2021","FQ2 2021","Currency=USD","Period=FQ","BEST_FPERIOD_OVERRIDE=FQ","FILING_STATUS=MR","Sort=A","Dates=H","DateFormat=P","Fill=—","Direction=H","UseDPDF=Y")</f>
        <v>0.22670000000000001</v>
      </c>
      <c r="M68" s="14" cm="1">
        <f t="array" ref="M68">_xll.BDH("PCAR US Equity","EQY_DPS","FQ3 2021","FQ3 2021","Currency=USD","Period=FQ","BEST_FPERIOD_OVERRIDE=FQ","FILING_STATUS=MR","Sort=A","Dates=H","DateFormat=P","Fill=—","Direction=H","UseDPDF=Y")</f>
        <v>0.22670000000000001</v>
      </c>
      <c r="N68" s="14" cm="1">
        <f t="array" ref="N68">_xll.BDH("PCAR US Equity","EQY_DPS","FQ4 2021","FQ4 2021","Currency=USD","Period=FQ","BEST_FPERIOD_OVERRIDE=FQ","FILING_STATUS=MR","Sort=A","Dates=H","DateFormat=P","Fill=—","Direction=H","UseDPDF=Y")</f>
        <v>1.2266999999999999</v>
      </c>
      <c r="O68" s="14" cm="1">
        <f t="array" ref="O68">_xll.BDH("PCAR US Equity","EQY_DPS","FQ1 2022","FQ1 2022","Currency=USD","Period=FQ","BEST_FPERIOD_OVERRIDE=FQ","FILING_STATUS=MR","Sort=A","Dates=H","DateFormat=P","Fill=—","Direction=H","UseDPDF=Y")</f>
        <v>0.22670000000000001</v>
      </c>
      <c r="P68" s="14" cm="1">
        <f t="array" ref="P68">_xll.BDH("PCAR US Equity","EQY_DPS","FQ2 2022","FQ2 2022","Currency=USD","Period=FQ","BEST_FPERIOD_OVERRIDE=FQ","FILING_STATUS=MR","Sort=A","Dates=H","DateFormat=P","Fill=—","Direction=H","UseDPDF=Y")</f>
        <v>0.22670000000000001</v>
      </c>
      <c r="Q68" s="14" cm="1">
        <f t="array" ref="Q68">_xll.BDH("PCAR US Equity","EQY_DPS","FQ3 2022","FQ3 2022","Currency=USD","Period=FQ","BEST_FPERIOD_OVERRIDE=FQ","FILING_STATUS=MR","Sort=A","Dates=H","DateFormat=P","Fill=—","Direction=H","UseDPDF=Y")</f>
        <v>0.22670000000000001</v>
      </c>
      <c r="R68" s="14" cm="1">
        <f t="array" ref="R68">_xll.BDH("PCAR US Equity","EQY_DPS","FQ4 2022","FQ4 2022","Currency=USD","Period=FQ","BEST_FPERIOD_OVERRIDE=FQ","FILING_STATUS=MR","Sort=A","Dates=H","DateFormat=P","Fill=—","Direction=H","UseDPDF=Y")</f>
        <v>2.1133000000000002</v>
      </c>
      <c r="S68" s="14" cm="1">
        <f t="array" ref="S68">_xll.BDH("PCAR US Equity","EQY_DPS","FQ1 2023","FQ1 2023","Currency=USD","Period=FQ","BEST_FPERIOD_OVERRIDE=FQ","FILING_STATUS=MR","Sort=A","Dates=H","DateFormat=P","Fill=—","Direction=H","UseDPDF=Y")</f>
        <v>0.25</v>
      </c>
      <c r="T68" s="14" cm="1">
        <f t="array" ref="T68">_xll.BDH("PCAR US Equity","EQY_DPS","FQ2 2023","FQ2 2023","Currency=USD","Period=FQ","BEST_FPERIOD_OVERRIDE=FQ","FILING_STATUS=MR","Sort=A","Dates=H","DateFormat=P","Fill=—","Direction=H","UseDPDF=Y")</f>
        <v>0.25</v>
      </c>
      <c r="U68" s="14" cm="1">
        <f t="array" ref="U68">_xll.BDH("PCAR US Equity","EQY_DPS","FQ3 2023","FQ3 2023","Currency=USD","Period=FQ","BEST_FPERIOD_OVERRIDE=FQ","FILING_STATUS=MR","Sort=A","Dates=H","DateFormat=P","Fill=—","Direction=H","UseDPDF=Y")</f>
        <v>0.27</v>
      </c>
      <c r="V68" s="14" cm="1">
        <f t="array" ref="V68">_xll.BDH("PCAR US Equity","EQY_DPS","FQ4 2023","FQ4 2023","Currency=USD","Period=FQ","BEST_FPERIOD_OVERRIDE=FQ","FILING_STATUS=MR","Sort=A","Dates=H","DateFormat=P","Fill=—","Direction=H","UseDPDF=Y")</f>
        <v>3.47</v>
      </c>
      <c r="W68" s="14" cm="1">
        <f t="array" ref="W68">_xll.BDH("PCAR US Equity","EQY_DPS","FQ1 2024","FQ1 2024","Currency=USD","Period=FQ","BEST_FPERIOD_OVERRIDE=FQ","FILING_STATUS=MR","Sort=A","Dates=H","DateFormat=P","Fill=—","Direction=H","UseDPDF=Y")</f>
        <v>0.27</v>
      </c>
      <c r="X68" s="14" cm="1">
        <f t="array" ref="X68">_xll.BDH("PCAR US Equity","EQY_DPS","FQ2 2024","FQ2 2024","Currency=USD","Period=FQ","BEST_FPERIOD_OVERRIDE=FQ","FILING_STATUS=MR","Sort=A","Dates=H","DateFormat=P","Fill=—","Direction=H","UseDPDF=Y")</f>
        <v>0.3</v>
      </c>
      <c r="Y68" s="14" cm="1">
        <f t="array" ref="Y68">_xll.BDH("PCAR US Equity","EQY_DPS","FQ3 2024","FQ3 2024","Currency=USD","Period=FQ","BEST_FPERIOD_OVERRIDE=FQ","FILING_STATUS=MR","Sort=A","Dates=H","DateFormat=P","Fill=—","Direction=H","UseDPDF=Y")</f>
        <v>0.3</v>
      </c>
      <c r="Z68" s="14" cm="1">
        <f t="array" ref="Z68">_xll.BDH("PCAR US Equity","EQY_DPS","FQ4 2024","FQ4 2024","Currency=USD","Period=FQ","BEST_FPERIOD_OVERRIDE=FQ","FILING_STATUS=MR","Sort=A","Dates=H","DateFormat=P","Fill=—","Direction=H","UseDPDF=Y")</f>
        <v>3.3</v>
      </c>
      <c r="AA68" s="14" cm="1">
        <f t="array" ref="AA68">_xll.BDH("PCAR US Equity","EQY_DPS","FQ1 2025","FQ1 2025","Currency=USD","Period=FQ","BEST_FPERIOD_OVERRIDE=FQ","FILING_STATUS=MR","Sort=A","Dates=H","DateFormat=P","Fill=—","Direction=H","UseDPDF=Y")</f>
        <v>0.33</v>
      </c>
      <c r="AB68" s="14" cm="1">
        <f t="array" ref="AB68">_xll.BDH("PCAR US Equity","EQY_DPS","FQ2 2025","FQ2 2025","Currency=USD","Period=FQ","BEST_FPERIOD_OVERRIDE=FQ","FILING_STATUS=MR","Sort=A","Dates=H","DateFormat=P","Fill=—","Direction=H","UseDPDF=Y")</f>
        <v>0.33</v>
      </c>
      <c r="AC68" s="14" cm="1">
        <f t="array" ref="AC68">_xll.BDH("PCAR US Equity","EQY_DPS","FQ3 2025","FQ3 2025","Currency=USD","Period=FQ","BEST_FPERIOD_OVERRIDE=FQ","FILING_STATUS=MR","Sort=A","Dates=H","DateFormat=P","Fill=—","Direction=H","UseDPDF=Y")</f>
        <v>0.33</v>
      </c>
      <c r="AD68" s="14" cm="1">
        <f t="array" ref="AD68">_xll.BDH("PCAR US Equity","EQY_DPS","FQ4 2025","FQ4 2025","Currency=USD","Period=FQ","BEST_FPERIOD_OVERRIDE=FQ","FILING_STATUS=MR","Sort=A","Dates=H","DateFormat=P","Fill=—","Direction=H","UseDPDF=Y")</f>
        <v>1.73</v>
      </c>
      <c r="AE68" s="14">
        <v>0.32800000000000001</v>
      </c>
      <c r="AF68" s="14">
        <v>0.33200000000000002</v>
      </c>
    </row>
    <row r="69" spans="1:32" x14ac:dyDescent="0.25">
      <c r="A69" s="10" t="s">
        <v>176</v>
      </c>
      <c r="B69" s="10" t="s">
        <v>177</v>
      </c>
      <c r="C69" s="13" cm="1">
        <f t="array" ref="C69">_xll.BDH("PCAR US Equity","IS_TOT_CASH_COM_DVD","FQ1 2019","FQ1 2019","Currency=USD","Period=FQ","BEST_FPERIOD_OVERRIDE=FQ","FILING_STATUS=MR","SCALING_FORMAT=MLN","Sort=A","Dates=H","DateFormat=P","Fill=—","Direction=H","UseDPDF=Y")</f>
        <v>111.104</v>
      </c>
      <c r="D69" s="13" cm="1">
        <f t="array" ref="D69">_xll.BDH("PCAR US Equity","IS_TOT_CASH_COM_DVD","FQ2 2019","FQ2 2019","Currency=USD","Period=FQ","BEST_FPERIOD_OVERRIDE=FQ","FILING_STATUS=MR","SCALING_FORMAT=MLN","Sort=A","Dates=H","DateFormat=P","Fill=—","Direction=H","UseDPDF=Y")</f>
        <v>111.04</v>
      </c>
      <c r="E69" s="13" cm="1">
        <f t="array" ref="E69">_xll.BDH("PCAR US Equity","IS_TOT_CASH_COM_DVD","FQ3 2019","FQ3 2019","Currency=USD","Period=FQ","BEST_FPERIOD_OVERRIDE=FQ","FILING_STATUS=MR","SCALING_FORMAT=MLN","Sort=A","Dates=H","DateFormat=P","Fill=—","Direction=H","UseDPDF=Y")</f>
        <v>110.91200000000001</v>
      </c>
      <c r="F69" s="13" cm="1">
        <f t="array" ref="F69">_xll.BDH("PCAR US Equity","IS_TOT_CASH_COM_DVD","FQ4 2019","FQ4 2019","Currency=USD","Period=FQ","BEST_FPERIOD_OVERRIDE=FQ","FILING_STATUS=MR","SCALING_FORMAT=MLN","Sort=A","Dates=H","DateFormat=P","Fill=—","Direction=H","UseDPDF=Y")</f>
        <v>908.35400000000004</v>
      </c>
      <c r="G69" s="13" cm="1">
        <f t="array" ref="G69">_xll.BDH("PCAR US Equity","IS_TOT_CASH_COM_DVD","FQ1 2020","FQ1 2020","Currency=USD","Period=FQ","BEST_FPERIOD_OVERRIDE=FQ","FILING_STATUS=MR","SCALING_FORMAT=MLN","Sort=A","Dates=H","DateFormat=P","Fill=—","Direction=H","UseDPDF=Y")</f>
        <v>111.008</v>
      </c>
      <c r="H69" s="13" cm="1">
        <f t="array" ref="H69">_xll.BDH("PCAR US Equity","IS_TOT_CASH_COM_DVD","FQ2 2020","FQ2 2020","Currency=USD","Period=FQ","BEST_FPERIOD_OVERRIDE=FQ","FILING_STATUS=MR","SCALING_FORMAT=MLN","Sort=A","Dates=H","DateFormat=P","Fill=—","Direction=H","UseDPDF=Y")</f>
        <v>110.848</v>
      </c>
      <c r="I69" s="13" cm="1">
        <f t="array" ref="I69">_xll.BDH("PCAR US Equity","IS_TOT_CASH_COM_DVD","FQ3 2020","FQ3 2020","Currency=USD","Period=FQ","BEST_FPERIOD_OVERRIDE=FQ","FILING_STATUS=MR","SCALING_FORMAT=MLN","Sort=A","Dates=H","DateFormat=P","Fill=—","Direction=H","UseDPDF=Y")</f>
        <v>110.976</v>
      </c>
      <c r="J69" s="13" cm="1">
        <f t="array" ref="J69">_xll.BDH("PCAR US Equity","IS_TOT_CASH_COM_DVD","FQ4 2020","FQ4 2020","Currency=USD","Period=FQ","BEST_FPERIOD_OVERRIDE=FQ","FILING_STATUS=MR","SCALING_FORMAT=MLN","Sort=A","Dates=H","DateFormat=P","Fill=—","Direction=H","UseDPDF=Y")</f>
        <v>354.14400000000001</v>
      </c>
      <c r="K69" s="13" cm="1">
        <f t="array" ref="K69">_xll.BDH("PCAR US Equity","IS_TOT_CASH_COM_DVD","FQ1 2021","FQ1 2021","Currency=USD","Period=FQ","BEST_FPERIOD_OVERRIDE=FQ","FILING_STATUS=MR","SCALING_FORMAT=MLN","Sort=A","Dates=H","DateFormat=P","Fill=—","Direction=H","UseDPDF=Y")</f>
        <v>111.232</v>
      </c>
      <c r="L69" s="13" cm="1">
        <f t="array" ref="L69">_xll.BDH("PCAR US Equity","IS_TOT_CASH_COM_DVD","FQ2 2021","FQ2 2021","Currency=USD","Period=FQ","BEST_FPERIOD_OVERRIDE=FQ","FILING_STATUS=MR","SCALING_FORMAT=MLN","Sort=A","Dates=H","DateFormat=P","Fill=—","Direction=H","UseDPDF=Y")</f>
        <v>118.252</v>
      </c>
      <c r="M69" s="13" cm="1">
        <f t="array" ref="M69">_xll.BDH("PCAR US Equity","IS_TOT_CASH_COM_DVD","FQ3 2021","FQ3 2021","Currency=USD","Period=FQ","BEST_FPERIOD_OVERRIDE=FQ","FILING_STATUS=MR","SCALING_FORMAT=MLN","Sort=A","Dates=H","DateFormat=P","Fill=—","Direction=H","UseDPDF=Y")</f>
        <v>118.252</v>
      </c>
      <c r="N69" s="13" cm="1">
        <f t="array" ref="N69">_xll.BDH("PCAR US Equity","IS_TOT_CASH_COM_DVD","FQ4 2021","FQ4 2021","Currency=USD","Period=FQ","BEST_FPERIOD_OVERRIDE=FQ","FILING_STATUS=MR","SCALING_FORMAT=MLN","Sort=A","Dates=H","DateFormat=P","Fill=—","Direction=H","UseDPDF=Y")</f>
        <v>640.13599999999997</v>
      </c>
      <c r="O69" s="13" cm="1">
        <f t="array" ref="O69">_xll.BDH("PCAR US Equity","IS_TOT_CASH_COM_DVD","FQ1 2022","FQ1 2022","Currency=USD","Period=FQ","BEST_FPERIOD_OVERRIDE=FQ","FILING_STATUS=MR","SCALING_FORMAT=MLN","Sort=A","Dates=H","DateFormat=P","Fill=—","Direction=H","UseDPDF=Y")</f>
        <v>118.422</v>
      </c>
      <c r="P69" s="13" cm="1">
        <f t="array" ref="P69">_xll.BDH("PCAR US Equity","IS_TOT_CASH_COM_DVD","FQ2 2022","FQ2 2022","Currency=USD","Period=FQ","BEST_FPERIOD_OVERRIDE=FQ","FILING_STATUS=MR","SCALING_FORMAT=MLN","Sort=A","Dates=H","DateFormat=P","Fill=—","Direction=H","UseDPDF=Y")</f>
        <v>118.456</v>
      </c>
      <c r="Q69" s="13" cm="1">
        <f t="array" ref="Q69">_xll.BDH("PCAR US Equity","IS_TOT_CASH_COM_DVD","FQ3 2022","FQ3 2022","Currency=USD","Period=FQ","BEST_FPERIOD_OVERRIDE=FQ","FILING_STATUS=MR","SCALING_FORMAT=MLN","Sort=A","Dates=H","DateFormat=P","Fill=—","Direction=H","UseDPDF=Y")</f>
        <v>118.456</v>
      </c>
      <c r="R69" s="13" cm="1">
        <f t="array" ref="R69">_xll.BDH("PCAR US Equity","IS_TOT_CASH_COM_DVD","FQ4 2022","FQ4 2022","Currency=USD","Period=FQ","BEST_FPERIOD_OVERRIDE=FQ","FILING_STATUS=MR","SCALING_FORMAT=MLN","Sort=A","Dates=H","DateFormat=P","Fill=—","Direction=H","UseDPDF=Y")</f>
        <v>1105.0619999999999</v>
      </c>
      <c r="S69" s="13" cm="1">
        <f t="array" ref="S69">_xll.BDH("PCAR US Equity","IS_TOT_CASH_COM_DVD","FQ1 2023","FQ1 2023","Currency=USD","Period=FQ","BEST_FPERIOD_OVERRIDE=FQ","FILING_STATUS=MR","SCALING_FORMAT=MLN","Sort=A","Dates=H","DateFormat=P","Fill=—","Direction=H","UseDPDF=Y")</f>
        <v>130.875</v>
      </c>
      <c r="T69" s="13" cm="1">
        <f t="array" ref="T69">_xll.BDH("PCAR US Equity","IS_TOT_CASH_COM_DVD","FQ2 2023","FQ2 2023","Currency=USD","Period=FQ","BEST_FPERIOD_OVERRIDE=FQ","FILING_STATUS=MR","SCALING_FORMAT=MLN","Sort=A","Dates=H","DateFormat=P","Fill=—","Direction=H","UseDPDF=Y")</f>
        <v>130.94999999999999</v>
      </c>
      <c r="U69" s="13" cm="1">
        <f t="array" ref="U69">_xll.BDH("PCAR US Equity","IS_TOT_CASH_COM_DVD","FQ3 2023","FQ3 2023","Currency=USD","Period=FQ","BEST_FPERIOD_OVERRIDE=FQ","FILING_STATUS=MR","SCALING_FORMAT=MLN","Sort=A","Dates=H","DateFormat=P","Fill=—","Direction=H","UseDPDF=Y")</f>
        <v>141.50700000000001</v>
      </c>
      <c r="V69" s="13" cm="1">
        <f t="array" ref="V69">_xll.BDH("PCAR US Equity","IS_TOT_CASH_COM_DVD","FQ4 2023","FQ4 2023","Currency=USD","Period=FQ","BEST_FPERIOD_OVERRIDE=FQ","FILING_STATUS=MR","SCALING_FORMAT=MLN","Sort=A","Dates=H","DateFormat=P","Fill=—","Direction=H","UseDPDF=Y")</f>
        <v>1819.3209999999999</v>
      </c>
      <c r="W69" s="13" cm="1">
        <f t="array" ref="W69">_xll.BDH("PCAR US Equity","IS_TOT_CASH_COM_DVD","FQ1 2024","FQ1 2024","Currency=USD","Period=FQ","BEST_FPERIOD_OVERRIDE=FQ","FILING_STATUS=MR","SCALING_FORMAT=MLN","Sort=A","Dates=H","DateFormat=P","Fill=—","Direction=H","UseDPDF=Y")</f>
        <v>141.72300000000001</v>
      </c>
      <c r="X69" s="13" cm="1">
        <f t="array" ref="X69">_xll.BDH("PCAR US Equity","IS_TOT_CASH_COM_DVD","FQ2 2024","FQ2 2024","Currency=USD","Period=FQ","BEST_FPERIOD_OVERRIDE=FQ","FILING_STATUS=MR","SCALING_FORMAT=MLN","Sort=A","Dates=H","DateFormat=P","Fill=—","Direction=H","UseDPDF=Y")</f>
        <v>157.59</v>
      </c>
      <c r="Y69" s="13" cm="1">
        <f t="array" ref="Y69">_xll.BDH("PCAR US Equity","IS_TOT_CASH_COM_DVD","FQ3 2024","FQ3 2024","Currency=USD","Period=FQ","BEST_FPERIOD_OVERRIDE=FQ","FILING_STATUS=MR","SCALING_FORMAT=MLN","Sort=A","Dates=H","DateFormat=P","Fill=—","Direction=H","UseDPDF=Y")</f>
        <v>157.62</v>
      </c>
      <c r="Z69" s="13" cm="1">
        <f t="array" ref="Z69">_xll.BDH("PCAR US Equity","IS_TOT_CASH_COM_DVD","FQ4 2024","FQ4 2024","Currency=USD","Period=FQ","BEST_FPERIOD_OVERRIDE=FQ","FILING_STATUS=MR","SCALING_FORMAT=MLN","Sort=A","Dates=H","DateFormat=P","Fill=—","Direction=H","UseDPDF=Y")</f>
        <v>1734.15</v>
      </c>
      <c r="AA69" s="13" cm="1">
        <f t="array" ref="AA69">_xll.BDH("PCAR US Equity","IS_TOT_CASH_COM_DVD","FQ1 2025","FQ1 2025","Currency=USD","Period=FQ","BEST_FPERIOD_OVERRIDE=FQ","FILING_STATUS=MR","SCALING_FORMAT=MLN","Sort=A","Dates=H","DateFormat=P","Fill=—","Direction=H","UseDPDF=Y")</f>
        <v>173.547</v>
      </c>
      <c r="AB69" s="13" cm="1">
        <f t="array" ref="AB69">_xll.BDH("PCAR US Equity","IS_TOT_CASH_COM_DVD","FQ2 2025","FQ2 2025","Currency=USD","Period=FQ","BEST_FPERIOD_OVERRIDE=FQ","FILING_STATUS=MR","SCALING_FORMAT=MLN","Sort=A","Dates=H","DateFormat=P","Fill=—","Direction=H","UseDPDF=Y")</f>
        <v>173.547</v>
      </c>
      <c r="AC69" s="13" cm="1">
        <f t="array" ref="AC69">_xll.BDH("PCAR US Equity","IS_TOT_CASH_COM_DVD","FQ3 2025","FQ3 2025","Currency=USD","Period=FQ","BEST_FPERIOD_OVERRIDE=FQ","FILING_STATUS=MR","SCALING_FORMAT=MLN","Sort=A","Dates=H","DateFormat=P","Fill=—","Direction=H","UseDPDF=Y")</f>
        <v>173.547</v>
      </c>
      <c r="AD69" s="13" cm="1">
        <f t="array" ref="AD69">_xll.BDH("PCAR US Equity","IS_TOT_CASH_COM_DVD","FQ4 2025","FQ4 2025","Currency=USD","Period=FQ","BEST_FPERIOD_OVERRIDE=FQ","FILING_STATUS=MR","SCALING_FORMAT=MLN","Sort=A","Dates=H","DateFormat=P","Fill=—","Direction=H","UseDPDF=Y")</f>
        <v>909.98</v>
      </c>
      <c r="AE69" s="13"/>
      <c r="AF69" s="13"/>
    </row>
    <row r="70" spans="1:32" x14ac:dyDescent="0.25">
      <c r="A70" s="10" t="s">
        <v>178</v>
      </c>
      <c r="B70" s="10" t="s">
        <v>179</v>
      </c>
      <c r="C70" s="13" cm="1">
        <f t="array" ref="C70">_xll.BDH("PCAR US Equity","IS_DEPR_EXP","FQ1 2019","FQ1 2019","Currency=USD","Period=FQ","BEST_FPERIOD_OVERRIDE=FQ","FILING_STATUS=MR","SCALING_FORMAT=MLN","Sort=A","Dates=H","DateFormat=P","Fill=—","Direction=H","UseDPDF=Y")</f>
        <v>81.400000000000006</v>
      </c>
      <c r="D70" s="13" cm="1">
        <f t="array" ref="D70">_xll.BDH("PCAR US Equity","IS_DEPR_EXP","FQ2 2019","FQ2 2019","Currency=USD","Period=FQ","BEST_FPERIOD_OVERRIDE=FQ","FILING_STATUS=MR","SCALING_FORMAT=MLN","Sort=A","Dates=H","DateFormat=P","Fill=—","Direction=H","UseDPDF=Y")</f>
        <v>81.2</v>
      </c>
      <c r="E70" s="13" cm="1">
        <f t="array" ref="E70">_xll.BDH("PCAR US Equity","IS_DEPR_EXP","FQ3 2019","FQ3 2019","Currency=USD","Period=FQ","BEST_FPERIOD_OVERRIDE=FQ","FILING_STATUS=MR","SCALING_FORMAT=MLN","Sort=A","Dates=H","DateFormat=P","Fill=—","Direction=H","UseDPDF=Y")</f>
        <v>80.5</v>
      </c>
      <c r="F70" s="13" cm="1">
        <f t="array" ref="F70">_xll.BDH("PCAR US Equity","IS_DEPR_EXP","FQ4 2019","FQ4 2019","Currency=USD","Period=FQ","BEST_FPERIOD_OVERRIDE=FQ","FILING_STATUS=MR","SCALING_FORMAT=MLN","Sort=A","Dates=H","DateFormat=P","Fill=—","Direction=H","UseDPDF=Y")</f>
        <v>79.099999999999994</v>
      </c>
      <c r="G70" s="13" cm="1">
        <f t="array" ref="G70">_xll.BDH("PCAR US Equity","IS_DEPR_EXP","FQ1 2020","FQ1 2020","Currency=USD","Period=FQ","BEST_FPERIOD_OVERRIDE=FQ","FILING_STATUS=MR","SCALING_FORMAT=MLN","Sort=A","Dates=H","DateFormat=P","Fill=—","Direction=H","UseDPDF=Y")</f>
        <v>70</v>
      </c>
      <c r="H70" s="13" cm="1">
        <f t="array" ref="H70">_xll.BDH("PCAR US Equity","IS_DEPR_EXP","FQ2 2020","FQ2 2020","Currency=USD","Period=FQ","BEST_FPERIOD_OVERRIDE=FQ","FILING_STATUS=MR","SCALING_FORMAT=MLN","Sort=A","Dates=H","DateFormat=P","Fill=—","Direction=H","UseDPDF=Y")</f>
        <v>241.3</v>
      </c>
      <c r="I70" s="13" cm="1">
        <f t="array" ref="I70">_xll.BDH("PCAR US Equity","IS_DEPR_EXP","FQ3 2020","FQ3 2020","Currency=USD","Period=FQ","BEST_FPERIOD_OVERRIDE=FQ","FILING_STATUS=MR","SCALING_FORMAT=MLN","Sort=A","Dates=H","DateFormat=P","Fill=—","Direction=H","UseDPDF=Y")</f>
        <v>63.6</v>
      </c>
      <c r="J70" s="13" cm="1">
        <f t="array" ref="J70">_xll.BDH("PCAR US Equity","IS_DEPR_EXP","FQ4 2020","FQ4 2020","Currency=USD","Period=FQ","BEST_FPERIOD_OVERRIDE=FQ","FILING_STATUS=MR","SCALING_FORMAT=MLN","Sort=A","Dates=H","DateFormat=P","Fill=—","Direction=H","UseDPDF=Y")</f>
        <v>269.5</v>
      </c>
      <c r="K70" s="13" cm="1">
        <f t="array" ref="K70">_xll.BDH("PCAR US Equity","IS_DEPR_EXP","FQ1 2021","FQ1 2021","Currency=USD","Period=FQ","BEST_FPERIOD_OVERRIDE=FQ","FILING_STATUS=MR","SCALING_FORMAT=MLN","Sort=A","Dates=H","DateFormat=P","Fill=—","Direction=H","UseDPDF=Y")</f>
        <v>66.900000000000006</v>
      </c>
      <c r="L70" s="13" cm="1">
        <f t="array" ref="L70">_xll.BDH("PCAR US Equity","IS_DEPR_EXP","FQ2 2021","FQ2 2021","Currency=USD","Period=FQ","BEST_FPERIOD_OVERRIDE=FQ","FILING_STATUS=MR","SCALING_FORMAT=MLN","Sort=A","Dates=H","DateFormat=P","Fill=—","Direction=H","UseDPDF=Y")</f>
        <v>66.900000000000006</v>
      </c>
      <c r="M70" s="13" cm="1">
        <f t="array" ref="M70">_xll.BDH("PCAR US Equity","IS_DEPR_EXP","FQ3 2021","FQ3 2021","Currency=USD","Period=FQ","BEST_FPERIOD_OVERRIDE=FQ","FILING_STATUS=MR","SCALING_FORMAT=MLN","Sort=A","Dates=H","DateFormat=P","Fill=—","Direction=H","UseDPDF=Y")</f>
        <v>63.7</v>
      </c>
      <c r="N70" s="13" cm="1">
        <f t="array" ref="N70">_xll.BDH("PCAR US Equity","IS_DEPR_EXP","FQ4 2021","FQ4 2021","Currency=USD","Period=FQ","BEST_FPERIOD_OVERRIDE=FQ","FILING_STATUS=MR","SCALING_FORMAT=MLN","Sort=A","Dates=H","DateFormat=P","Fill=—","Direction=H","UseDPDF=Y")</f>
        <v>72.5</v>
      </c>
      <c r="O70" s="13" cm="1">
        <f t="array" ref="O70">_xll.BDH("PCAR US Equity","IS_DEPR_EXP","FQ1 2022","FQ1 2022","Currency=USD","Period=FQ","BEST_FPERIOD_OVERRIDE=FQ","FILING_STATUS=MR","SCALING_FORMAT=MLN","Sort=A","Dates=H","DateFormat=P","Fill=—","Direction=H","UseDPDF=Y")</f>
        <v>74</v>
      </c>
      <c r="P70" s="13" cm="1">
        <f t="array" ref="P70">_xll.BDH("PCAR US Equity","IS_DEPR_EXP","FQ2 2022","FQ2 2022","Currency=USD","Period=FQ","BEST_FPERIOD_OVERRIDE=FQ","FILING_STATUS=MR","SCALING_FORMAT=MLN","Sort=A","Dates=H","DateFormat=P","Fill=—","Direction=H","UseDPDF=Y")</f>
        <v>81.3</v>
      </c>
      <c r="Q70" s="13" cm="1">
        <f t="array" ref="Q70">_xll.BDH("PCAR US Equity","IS_DEPR_EXP","FQ3 2022","FQ3 2022","Currency=USD","Period=FQ","BEST_FPERIOD_OVERRIDE=FQ","FILING_STATUS=MR","SCALING_FORMAT=MLN","Sort=A","Dates=H","DateFormat=P","Fill=—","Direction=H","UseDPDF=Y")</f>
        <v>84.4</v>
      </c>
      <c r="R70" s="13" cm="1">
        <f t="array" ref="R70">_xll.BDH("PCAR US Equity","IS_DEPR_EXP","FQ4 2022","FQ4 2022","Currency=USD","Period=FQ","BEST_FPERIOD_OVERRIDE=FQ","FILING_STATUS=MR","SCALING_FORMAT=MLN","Sort=A","Dates=H","DateFormat=P","Fill=—","Direction=H","UseDPDF=Y")</f>
        <v>92.5</v>
      </c>
      <c r="S70" s="13" cm="1">
        <f t="array" ref="S70">_xll.BDH("PCAR US Equity","IS_DEPR_EXP","FQ1 2023","FQ1 2023","Currency=USD","Period=FQ","BEST_FPERIOD_OVERRIDE=FQ","FILING_STATUS=MR","SCALING_FORMAT=MLN","Sort=A","Dates=H","DateFormat=P","Fill=—","Direction=H","UseDPDF=Y")</f>
        <v>103</v>
      </c>
      <c r="T70" s="13" cm="1">
        <f t="array" ref="T70">_xll.BDH("PCAR US Equity","IS_DEPR_EXP","FQ2 2023","FQ2 2023","Currency=USD","Period=FQ","BEST_FPERIOD_OVERRIDE=FQ","FILING_STATUS=MR","SCALING_FORMAT=MLN","Sort=A","Dates=H","DateFormat=P","Fill=—","Direction=H","UseDPDF=Y")</f>
        <v>102.2</v>
      </c>
      <c r="U70" s="13" cm="1">
        <f t="array" ref="U70">_xll.BDH("PCAR US Equity","IS_DEPR_EXP","FQ3 2023","FQ3 2023","Currency=USD","Period=FQ","BEST_FPERIOD_OVERRIDE=FQ","FILING_STATUS=MR","SCALING_FORMAT=MLN","Sort=A","Dates=H","DateFormat=P","Fill=—","Direction=H","UseDPDF=Y")</f>
        <v>103</v>
      </c>
      <c r="V70" s="13" cm="1">
        <f t="array" ref="V70">_xll.BDH("PCAR US Equity","IS_DEPR_EXP","FQ4 2023","FQ4 2023","Currency=USD","Period=FQ","BEST_FPERIOD_OVERRIDE=FQ","FILING_STATUS=MR","SCALING_FORMAT=MLN","Sort=A","Dates=H","DateFormat=P","Fill=—","Direction=H","UseDPDF=Y")</f>
        <v>106.8</v>
      </c>
      <c r="W70" s="13" cm="1">
        <f t="array" ref="W70">_xll.BDH("PCAR US Equity","IS_DEPR_EXP","FQ1 2024","FQ1 2024","Currency=USD","Period=FQ","BEST_FPERIOD_OVERRIDE=FQ","FILING_STATUS=MR","SCALING_FORMAT=MLN","Sort=A","Dates=H","DateFormat=P","Fill=—","Direction=H","UseDPDF=Y")</f>
        <v>104.2</v>
      </c>
      <c r="X70" s="13" cm="1">
        <f t="array" ref="X70">_xll.BDH("PCAR US Equity","IS_DEPR_EXP","FQ2 2024","FQ2 2024","Currency=USD","Period=FQ","BEST_FPERIOD_OVERRIDE=FQ","FILING_STATUS=MR","SCALING_FORMAT=MLN","Sort=A","Dates=H","DateFormat=P","Fill=—","Direction=H","UseDPDF=Y")</f>
        <v>100.1</v>
      </c>
      <c r="Y70" s="13" cm="1">
        <f t="array" ref="Y70">_xll.BDH("PCAR US Equity","IS_DEPR_EXP","FQ3 2024","FQ3 2024","Currency=USD","Period=FQ","BEST_FPERIOD_OVERRIDE=FQ","FILING_STATUS=MR","SCALING_FORMAT=MLN","Sort=A","Dates=H","DateFormat=P","Fill=—","Direction=H","UseDPDF=Y")</f>
        <v>95.9</v>
      </c>
      <c r="Z70" s="13" cm="1">
        <f t="array" ref="Z70">_xll.BDH("PCAR US Equity","IS_DEPR_EXP","FQ4 2024","FQ4 2024","Currency=USD","Period=FQ","BEST_FPERIOD_OVERRIDE=FQ","FILING_STATUS=MR","SCALING_FORMAT=MLN","Sort=A","Dates=H","DateFormat=P","Fill=—","Direction=H","UseDPDF=Y")</f>
        <v>98.2</v>
      </c>
      <c r="AA70" s="13" cm="1">
        <f t="array" ref="AA70">_xll.BDH("PCAR US Equity","IS_DEPR_EXP","FQ1 2025","FQ1 2025","Currency=USD","Period=FQ","BEST_FPERIOD_OVERRIDE=FQ","FILING_STATUS=MR","SCALING_FORMAT=MLN","Sort=A","Dates=H","DateFormat=P","Fill=—","Direction=H","UseDPDF=Y")</f>
        <v>99.7</v>
      </c>
      <c r="AB70" s="13" cm="1">
        <f t="array" ref="AB70">_xll.BDH("PCAR US Equity","IS_DEPR_EXP","FQ2 2025","FQ2 2025","Currency=USD","Period=FQ","BEST_FPERIOD_OVERRIDE=FQ","FILING_STATUS=MR","SCALING_FORMAT=MLN","Sort=A","Dates=H","DateFormat=P","Fill=—","Direction=H","UseDPDF=Y")</f>
        <v>99.8</v>
      </c>
      <c r="AC70" s="13" cm="1">
        <f t="array" ref="AC70">_xll.BDH("PCAR US Equity","IS_DEPR_EXP","FQ3 2025","FQ3 2025","Currency=USD","Period=FQ","BEST_FPERIOD_OVERRIDE=FQ","FILING_STATUS=MR","SCALING_FORMAT=MLN","Sort=A","Dates=H","DateFormat=P","Fill=—","Direction=H","UseDPDF=Y")</f>
        <v>97.8</v>
      </c>
      <c r="AD70" s="13" cm="1">
        <f t="array" ref="AD70">_xll.BDH("PCAR US Equity","IS_DEPR_EXP","FQ4 2025","FQ4 2025","Currency=USD","Period=FQ","BEST_FPERIOD_OVERRIDE=FQ","FILING_STATUS=MR","SCALING_FORMAT=MLN","Sort=A","Dates=H","DateFormat=P","Fill=—","Direction=H","UseDPDF=Y")</f>
        <v>100.9</v>
      </c>
      <c r="AE70" s="13"/>
      <c r="AF70" s="13"/>
    </row>
    <row r="71" spans="1:32" x14ac:dyDescent="0.25">
      <c r="A71" s="10" t="s">
        <v>180</v>
      </c>
      <c r="B71" s="10" t="s">
        <v>181</v>
      </c>
      <c r="C71" s="13" cm="1">
        <f t="array" ref="C71">_xll.BDH("PCAR US Equity","BS_CURR_RENTAL_EXPENSE","FQ1 2019","FQ1 2019","Currency=USD","Period=FQ","BEST_FPERIOD_OVERRIDE=FQ","FILING_STATUS=MR","SCALING_FORMAT=MLN","Sort=A","Dates=H","DateFormat=P","Fill=—","Direction=H","UseDPDF=Y")</f>
        <v>4.7</v>
      </c>
      <c r="D71" s="13" cm="1">
        <f t="array" ref="D71">_xll.BDH("PCAR US Equity","BS_CURR_RENTAL_EXPENSE","FQ2 2019","FQ2 2019","Currency=USD","Period=FQ","BEST_FPERIOD_OVERRIDE=FQ","FILING_STATUS=MR","SCALING_FORMAT=MLN","Sort=A","Dates=H","DateFormat=P","Fill=—","Direction=H","UseDPDF=Y")</f>
        <v>4.8</v>
      </c>
      <c r="E71" s="13" cm="1">
        <f t="array" ref="E71">_xll.BDH("PCAR US Equity","BS_CURR_RENTAL_EXPENSE","FQ3 2019","FQ3 2019","Currency=USD","Period=FQ","BEST_FPERIOD_OVERRIDE=FQ","FILING_STATUS=MR","SCALING_FORMAT=MLN","Sort=A","Dates=H","DateFormat=P","Fill=—","Direction=H","UseDPDF=Y")</f>
        <v>4.5999999999999996</v>
      </c>
      <c r="F71" s="13" cm="1">
        <f t="array" ref="F71">_xll.BDH("PCAR US Equity","BS_CURR_RENTAL_EXPENSE","FQ4 2019","FQ4 2019","Currency=USD","Period=FQ","BEST_FPERIOD_OVERRIDE=FQ","FILING_STATUS=MR","SCALING_FORMAT=MLN","Sort=A","Dates=H","DateFormat=P","Fill=—","Direction=H","UseDPDF=Y")</f>
        <v>5.3</v>
      </c>
      <c r="G71" s="13" t="str" cm="1">
        <f t="array" ref="G71">_xll.BDH("PCAR US Equity","BS_CURR_RENTAL_EXPENSE","FQ1 2020","FQ1 2020","Currency=USD","Period=FQ","BEST_FPERIOD_OVERRIDE=FQ","FILING_STATUS=MR","SCALING_FORMAT=MLN","Sort=A","Dates=H","DateFormat=P","Fill=—","Direction=H","UseDPDF=Y")</f>
        <v>—</v>
      </c>
      <c r="H71" s="13" t="str" cm="1">
        <f t="array" ref="H71">_xll.BDH("PCAR US Equity","BS_CURR_RENTAL_EXPENSE","FQ2 2020","FQ2 2020","Currency=USD","Period=FQ","BEST_FPERIOD_OVERRIDE=FQ","FILING_STATUS=MR","SCALING_FORMAT=MLN","Sort=A","Dates=H","DateFormat=P","Fill=—","Direction=H","UseDPDF=Y")</f>
        <v>—</v>
      </c>
      <c r="I71" s="13" t="str" cm="1">
        <f t="array" ref="I71">_xll.BDH("PCAR US Equity","BS_CURR_RENTAL_EXPENSE","FQ3 2020","FQ3 2020","Currency=USD","Period=FQ","BEST_FPERIOD_OVERRIDE=FQ","FILING_STATUS=MR","SCALING_FORMAT=MLN","Sort=A","Dates=H","DateFormat=P","Fill=—","Direction=H","UseDPDF=Y")</f>
        <v>—</v>
      </c>
      <c r="J71" s="13" t="str" cm="1">
        <f t="array" ref="J71">_xll.BDH("PCAR US Equity","BS_CURR_RENTAL_EXPENSE","FQ4 2020","FQ4 2020","Currency=USD","Period=FQ","BEST_FPERIOD_OVERRIDE=FQ","FILING_STATUS=MR","SCALING_FORMAT=MLN","Sort=A","Dates=H","DateFormat=P","Fill=—","Direction=H","UseDPDF=Y")</f>
        <v>—</v>
      </c>
      <c r="K71" s="13" t="str" cm="1">
        <f t="array" ref="K71">_xll.BDH("PCAR US Equity","BS_CURR_RENTAL_EXPENSE","FQ1 2021","FQ1 2021","Currency=USD","Period=FQ","BEST_FPERIOD_OVERRIDE=FQ","FILING_STATUS=MR","SCALING_FORMAT=MLN","Sort=A","Dates=H","DateFormat=P","Fill=—","Direction=H","UseDPDF=Y")</f>
        <v>—</v>
      </c>
      <c r="L71" s="13" t="str" cm="1">
        <f t="array" ref="L71">_xll.BDH("PCAR US Equity","BS_CURR_RENTAL_EXPENSE","FQ2 2021","FQ2 2021","Currency=USD","Period=FQ","BEST_FPERIOD_OVERRIDE=FQ","FILING_STATUS=MR","SCALING_FORMAT=MLN","Sort=A","Dates=H","DateFormat=P","Fill=—","Direction=H","UseDPDF=Y")</f>
        <v>—</v>
      </c>
      <c r="M71" s="13" t="str" cm="1">
        <f t="array" ref="M71">_xll.BDH("PCAR US Equity","BS_CURR_RENTAL_EXPENSE","FQ3 2021","FQ3 2021","Currency=USD","Period=FQ","BEST_FPERIOD_OVERRIDE=FQ","FILING_STATUS=MR","SCALING_FORMAT=MLN","Sort=A","Dates=H","DateFormat=P","Fill=—","Direction=H","UseDPDF=Y")</f>
        <v>—</v>
      </c>
      <c r="N71" s="13" t="str" cm="1">
        <f t="array" ref="N71">_xll.BDH("PCAR US Equity","BS_CURR_RENTAL_EXPENSE","FQ4 2021","FQ4 2021","Currency=USD","Period=FQ","BEST_FPERIOD_OVERRIDE=FQ","FILING_STATUS=MR","SCALING_FORMAT=MLN","Sort=A","Dates=H","DateFormat=P","Fill=—","Direction=H","UseDPDF=Y")</f>
        <v>—</v>
      </c>
      <c r="O71" s="13" t="str" cm="1">
        <f t="array" ref="O71">_xll.BDH("PCAR US Equity","BS_CURR_RENTAL_EXPENSE","FQ1 2022","FQ1 2022","Currency=USD","Period=FQ","BEST_FPERIOD_OVERRIDE=FQ","FILING_STATUS=MR","SCALING_FORMAT=MLN","Sort=A","Dates=H","DateFormat=P","Fill=—","Direction=H","UseDPDF=Y")</f>
        <v>—</v>
      </c>
      <c r="P71" s="13" t="str" cm="1">
        <f t="array" ref="P71">_xll.BDH("PCAR US Equity","BS_CURR_RENTAL_EXPENSE","FQ2 2022","FQ2 2022","Currency=USD","Period=FQ","BEST_FPERIOD_OVERRIDE=FQ","FILING_STATUS=MR","SCALING_FORMAT=MLN","Sort=A","Dates=H","DateFormat=P","Fill=—","Direction=H","UseDPDF=Y")</f>
        <v>—</v>
      </c>
      <c r="Q71" s="13" t="str" cm="1">
        <f t="array" ref="Q71">_xll.BDH("PCAR US Equity","BS_CURR_RENTAL_EXPENSE","FQ3 2022","FQ3 2022","Currency=USD","Period=FQ","BEST_FPERIOD_OVERRIDE=FQ","FILING_STATUS=MR","SCALING_FORMAT=MLN","Sort=A","Dates=H","DateFormat=P","Fill=—","Direction=H","UseDPDF=Y")</f>
        <v>—</v>
      </c>
      <c r="R71" s="13" t="str" cm="1">
        <f t="array" ref="R71">_xll.BDH("PCAR US Equity","BS_CURR_RENTAL_EXPENSE","FQ4 2022","FQ4 2022","Currency=USD","Period=FQ","BEST_FPERIOD_OVERRIDE=FQ","FILING_STATUS=MR","SCALING_FORMAT=MLN","Sort=A","Dates=H","DateFormat=P","Fill=—","Direction=H","UseDPDF=Y")</f>
        <v>—</v>
      </c>
      <c r="S71" s="13" t="str" cm="1">
        <f t="array" ref="S71">_xll.BDH("PCAR US Equity","BS_CURR_RENTAL_EXPENSE","FQ1 2023","FQ1 2023","Currency=USD","Period=FQ","BEST_FPERIOD_OVERRIDE=FQ","FILING_STATUS=MR","SCALING_FORMAT=MLN","Sort=A","Dates=H","DateFormat=P","Fill=—","Direction=H","UseDPDF=Y")</f>
        <v>—</v>
      </c>
      <c r="T71" s="13" t="str" cm="1">
        <f t="array" ref="T71">_xll.BDH("PCAR US Equity","BS_CURR_RENTAL_EXPENSE","FQ2 2023","FQ2 2023","Currency=USD","Period=FQ","BEST_FPERIOD_OVERRIDE=FQ","FILING_STATUS=MR","SCALING_FORMAT=MLN","Sort=A","Dates=H","DateFormat=P","Fill=—","Direction=H","UseDPDF=Y")</f>
        <v>—</v>
      </c>
      <c r="U71" s="13" t="str" cm="1">
        <f t="array" ref="U71">_xll.BDH("PCAR US Equity","BS_CURR_RENTAL_EXPENSE","FQ3 2023","FQ3 2023","Currency=USD","Period=FQ","BEST_FPERIOD_OVERRIDE=FQ","FILING_STATUS=MR","SCALING_FORMAT=MLN","Sort=A","Dates=H","DateFormat=P","Fill=—","Direction=H","UseDPDF=Y")</f>
        <v>—</v>
      </c>
      <c r="V71" s="13" t="str" cm="1">
        <f t="array" ref="V71">_xll.BDH("PCAR US Equity","BS_CURR_RENTAL_EXPENSE","FQ4 2023","FQ4 2023","Currency=USD","Period=FQ","BEST_FPERIOD_OVERRIDE=FQ","FILING_STATUS=MR","SCALING_FORMAT=MLN","Sort=A","Dates=H","DateFormat=P","Fill=—","Direction=H","UseDPDF=Y")</f>
        <v>—</v>
      </c>
      <c r="W71" s="13" t="str" cm="1">
        <f t="array" ref="W71">_xll.BDH("PCAR US Equity","BS_CURR_RENTAL_EXPENSE","FQ1 2024","FQ1 2024","Currency=USD","Period=FQ","BEST_FPERIOD_OVERRIDE=FQ","FILING_STATUS=MR","SCALING_FORMAT=MLN","Sort=A","Dates=H","DateFormat=P","Fill=—","Direction=H","UseDPDF=Y")</f>
        <v>—</v>
      </c>
      <c r="X71" s="13" t="str" cm="1">
        <f t="array" ref="X71">_xll.BDH("PCAR US Equity","BS_CURR_RENTAL_EXPENSE","FQ2 2024","FQ2 2024","Currency=USD","Period=FQ","BEST_FPERIOD_OVERRIDE=FQ","FILING_STATUS=MR","SCALING_FORMAT=MLN","Sort=A","Dates=H","DateFormat=P","Fill=—","Direction=H","UseDPDF=Y")</f>
        <v>—</v>
      </c>
      <c r="Y71" s="13" t="str" cm="1">
        <f t="array" ref="Y71">_xll.BDH("PCAR US Equity","BS_CURR_RENTAL_EXPENSE","FQ3 2024","FQ3 2024","Currency=USD","Period=FQ","BEST_FPERIOD_OVERRIDE=FQ","FILING_STATUS=MR","SCALING_FORMAT=MLN","Sort=A","Dates=H","DateFormat=P","Fill=—","Direction=H","UseDPDF=Y")</f>
        <v>—</v>
      </c>
      <c r="Z71" s="13" t="str" cm="1">
        <f t="array" ref="Z71">_xll.BDH("PCAR US Equity","BS_CURR_RENTAL_EXPENSE","FQ4 2024","FQ4 2024","Currency=USD","Period=FQ","BEST_FPERIOD_OVERRIDE=FQ","FILING_STATUS=MR","SCALING_FORMAT=MLN","Sort=A","Dates=H","DateFormat=P","Fill=—","Direction=H","UseDPDF=Y")</f>
        <v>—</v>
      </c>
      <c r="AA71" s="13" t="str" cm="1">
        <f t="array" ref="AA71">_xll.BDH("PCAR US Equity","BS_CURR_RENTAL_EXPENSE","FQ1 2025","FQ1 2025","Currency=USD","Period=FQ","BEST_FPERIOD_OVERRIDE=FQ","FILING_STATUS=MR","SCALING_FORMAT=MLN","Sort=A","Dates=H","DateFormat=P","Fill=—","Direction=H","UseDPDF=Y")</f>
        <v>—</v>
      </c>
      <c r="AB71" s="13" t="str" cm="1">
        <f t="array" ref="AB71">_xll.BDH("PCAR US Equity","BS_CURR_RENTAL_EXPENSE","FQ2 2025","FQ2 2025","Currency=USD","Period=FQ","BEST_FPERIOD_OVERRIDE=FQ","FILING_STATUS=MR","SCALING_FORMAT=MLN","Sort=A","Dates=H","DateFormat=P","Fill=—","Direction=H","UseDPDF=Y")</f>
        <v>—</v>
      </c>
      <c r="AC71" s="13" t="str" cm="1">
        <f t="array" ref="AC71">_xll.BDH("PCAR US Equity","BS_CURR_RENTAL_EXPENSE","FQ3 2025","FQ3 2025","Currency=USD","Period=FQ","BEST_FPERIOD_OVERRIDE=FQ","FILING_STATUS=MR","SCALING_FORMAT=MLN","Sort=A","Dates=H","DateFormat=P","Fill=—","Direction=H","UseDPDF=Y")</f>
        <v>—</v>
      </c>
      <c r="AD71" s="13" t="str" cm="1">
        <f t="array" ref="AD71">_xll.BDH("PCAR US Equity","BS_CURR_RENTAL_EXPENSE","FQ4 2025","FQ4 2025","Currency=USD","Period=FQ","BEST_FPERIOD_OVERRIDE=FQ","FILING_STATUS=MR","SCALING_FORMAT=MLN","Sort=A","Dates=H","DateFormat=P","Fill=—","Direction=H","UseDPDF=Y")</f>
        <v>—</v>
      </c>
      <c r="AE71" s="13"/>
      <c r="AF71" s="13"/>
    </row>
    <row r="72" spans="1:32" x14ac:dyDescent="0.25">
      <c r="A72" s="7" t="s">
        <v>182</v>
      </c>
      <c r="B72" s="7"/>
      <c r="C72" s="7" t="s">
        <v>3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 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2026-02-19T01:58:54Z</dcterms:modified>
</cp:coreProperties>
</file>