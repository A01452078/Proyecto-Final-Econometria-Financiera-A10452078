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E9A9F4EA-FBDC-48D5-BC66-EEE6E385F2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sh Flow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4" i="2" l="1" a="1"/>
  <c r="J11" i="2" a="1"/>
  <c r="I36" i="2" a="1"/>
  <c r="P7" i="2" a="1"/>
  <c r="V48" i="2" a="1"/>
  <c r="S19" i="2" a="1"/>
  <c r="P35" i="2" a="1"/>
  <c r="P41" i="2" a="1"/>
  <c r="P43" i="2" a="1"/>
  <c r="W22" i="2" a="1"/>
  <c r="L11" i="2" a="1"/>
  <c r="AC51" i="2" a="1"/>
  <c r="AC10" i="2" a="1"/>
  <c r="AC19" i="2" a="1"/>
  <c r="AC25" i="2" a="1"/>
  <c r="O45" i="2" a="1"/>
  <c r="O47" i="2" a="1"/>
  <c r="O7" i="2" a="1"/>
  <c r="O11" i="2" a="1"/>
  <c r="D41" i="2" a="1"/>
  <c r="D45" i="2" a="1"/>
  <c r="D8" i="2" a="1"/>
  <c r="R7" i="2" a="1"/>
  <c r="U44" i="2" a="1"/>
  <c r="I46" i="2" a="1"/>
  <c r="V34" i="2" a="1"/>
  <c r="P15" i="2" a="1"/>
  <c r="P51" i="2" a="1"/>
  <c r="L8" i="2" a="1"/>
  <c r="AC41" i="2" a="1"/>
  <c r="AC23" i="2" a="1"/>
  <c r="O64" i="2" a="1"/>
  <c r="O13" i="2" a="1"/>
  <c r="D15" i="2" a="1"/>
  <c r="D33" i="2" a="1"/>
  <c r="G25" i="2" a="1"/>
  <c r="P33" i="2" a="1"/>
  <c r="P8" i="2" a="1"/>
  <c r="AC31" i="2" a="1"/>
  <c r="K26" i="2" a="1"/>
  <c r="D19" i="2" a="1"/>
  <c r="D62" i="2" a="1"/>
  <c r="D9" i="2" a="1"/>
  <c r="AC49" i="2" a="1"/>
  <c r="AC35" i="2" a="1"/>
  <c r="R8" i="2" a="1"/>
  <c r="P47" i="2" a="1"/>
  <c r="O37" i="2" a="1"/>
  <c r="P64" i="2" a="1"/>
  <c r="W10" i="2" a="1"/>
  <c r="AC12" i="2" a="1"/>
  <c r="O25" i="2" a="1"/>
  <c r="I63" i="2" a="1"/>
  <c r="O49" i="2" a="1"/>
  <c r="Q12" i="2" a="1"/>
  <c r="D23" i="2" a="1"/>
  <c r="C43" i="2" a="1"/>
  <c r="O55" i="2" a="1"/>
  <c r="M12" i="2" a="1"/>
  <c r="O27" i="2" a="1"/>
  <c r="D13" i="2" a="1"/>
  <c r="P25" i="2" a="1"/>
  <c r="P37" i="2" a="1"/>
  <c r="AC33" i="2" a="1"/>
  <c r="AC27" i="2" a="1"/>
  <c r="O51" i="2" a="1"/>
  <c r="O23" i="2" a="1"/>
  <c r="D35" i="2" a="1"/>
  <c r="D29" i="2" a="1"/>
  <c r="AE23" i="2" a="1"/>
  <c r="P55" i="2" a="1"/>
  <c r="D31" i="2" a="1"/>
  <c r="C33" i="2" a="1"/>
  <c r="O41" i="2" a="1"/>
  <c r="Y28" i="2" a="1"/>
  <c r="G17" i="2" a="1"/>
  <c r="M26" i="2" a="1"/>
  <c r="P45" i="2" a="1"/>
  <c r="P17" i="2" a="1"/>
  <c r="Q9" i="2" a="1"/>
  <c r="AC15" i="2" a="1"/>
  <c r="AC17" i="2" a="1"/>
  <c r="K13" i="2" a="1"/>
  <c r="O43" i="2" a="1"/>
  <c r="D64" i="2" a="1"/>
  <c r="D12" i="2" a="1"/>
  <c r="I59" i="2" a="1"/>
  <c r="AD7" i="2" a="1"/>
  <c r="P29" i="2" a="1"/>
  <c r="O29" i="2" a="1"/>
  <c r="AD8" i="2" a="1"/>
  <c r="P11" i="2" a="1"/>
  <c r="F7" i="2" a="1"/>
  <c r="AC9" i="2" a="1"/>
  <c r="AC47" i="2" a="1"/>
  <c r="O17" i="2" a="1"/>
  <c r="O33" i="2" a="1"/>
  <c r="D37" i="2" a="1"/>
  <c r="D43" i="2" a="1"/>
  <c r="AB7" i="2" a="1"/>
  <c r="AC29" i="2" a="1"/>
  <c r="AC45" i="2" a="1"/>
  <c r="D10" i="2" a="1"/>
  <c r="AB8" i="2" a="1"/>
  <c r="AA37" i="2" a="1"/>
  <c r="AE15" i="2" a="1"/>
  <c r="P49" i="2" a="1"/>
  <c r="P23" i="2" a="1"/>
  <c r="P13" i="2" a="1"/>
  <c r="AC13" i="2" a="1"/>
  <c r="AC7" i="2" a="1"/>
  <c r="O19" i="2" a="1"/>
  <c r="O62" i="2" a="1"/>
  <c r="D51" i="2" a="1"/>
  <c r="D47" i="2" a="1"/>
  <c r="AA11" i="2" a="1"/>
  <c r="F10" i="2" a="1"/>
  <c r="D27" i="2" a="1"/>
  <c r="D7" i="2" a="1"/>
  <c r="O31" i="2" a="1"/>
  <c r="J8" i="2" a="1"/>
  <c r="P31" i="2" a="1"/>
  <c r="S27" i="2" a="1"/>
  <c r="P62" i="2" a="1"/>
  <c r="AC8" i="2" a="1"/>
  <c r="AC43" i="2" a="1"/>
  <c r="O35" i="2" a="1"/>
  <c r="O15" i="2" a="1"/>
  <c r="D11" i="2" a="1"/>
  <c r="Y14" i="2" a="1"/>
  <c r="P10" i="2" a="1"/>
  <c r="AC11" i="2" a="1"/>
  <c r="AC37" i="2" a="1"/>
  <c r="D49" i="2" a="1"/>
  <c r="P9" i="2" a="1"/>
  <c r="O9" i="2" a="1"/>
  <c r="Q17" i="2" a="1"/>
  <c r="Q64" i="2" a="1"/>
  <c r="Q10" i="2" a="1"/>
  <c r="Q41" i="2" a="1"/>
  <c r="J44" i="2" a="1"/>
  <c r="J32" i="2" a="1"/>
  <c r="J26" i="2" a="1"/>
  <c r="J16" i="2" a="1"/>
  <c r="E13" i="2" a="1"/>
  <c r="C37" i="2" a="1"/>
  <c r="C64" i="2" a="1"/>
  <c r="C47" i="2" a="1"/>
  <c r="V63" i="2" a="1"/>
  <c r="AB51" i="2" a="1"/>
  <c r="AB11" i="2" a="1"/>
  <c r="AB17" i="2" a="1"/>
  <c r="V28" i="2" a="1"/>
  <c r="V46" i="2" a="1"/>
  <c r="V18" i="2" a="1"/>
  <c r="V44" i="2" a="1"/>
  <c r="AA23" i="2" a="1"/>
  <c r="AA62" i="2" a="1"/>
  <c r="AA49" i="2" a="1"/>
  <c r="AA29" i="2" a="1"/>
  <c r="W38" i="2" a="1"/>
  <c r="W48" i="2" a="1"/>
  <c r="W36" i="2" a="1"/>
  <c r="X9" i="2" a="1"/>
  <c r="L22" i="2" a="1"/>
  <c r="L50" i="2" a="1"/>
  <c r="L36" i="2" a="1"/>
  <c r="S9" i="2" a="1"/>
  <c r="S7" i="2" a="1"/>
  <c r="S13" i="2" a="1"/>
  <c r="S35" i="2" a="1"/>
  <c r="E8" i="2" a="1"/>
  <c r="E23" i="2" a="1"/>
  <c r="E17" i="2" a="1"/>
  <c r="E37" i="2" a="1"/>
  <c r="K32" i="2" a="1"/>
  <c r="K16" i="2" a="1"/>
  <c r="K36" i="2" a="1"/>
  <c r="K38" i="2" a="1"/>
  <c r="AD31" i="2" a="1"/>
  <c r="AD23" i="2" a="1"/>
  <c r="AE13" i="2" a="1"/>
  <c r="AE55" i="2" a="1"/>
  <c r="AE17" i="2" a="1"/>
  <c r="AE10" i="2" a="1"/>
  <c r="F35" i="2" a="1"/>
  <c r="R23" i="2" a="1"/>
  <c r="R49" i="2" a="1"/>
  <c r="M38" i="2" a="1"/>
  <c r="M10" i="2" a="1"/>
  <c r="X13" i="2" a="1"/>
  <c r="X34" i="2" a="1"/>
  <c r="G23" i="2" a="1"/>
  <c r="G15" i="2" a="1"/>
  <c r="X50" i="2" a="1"/>
  <c r="G37" i="2" a="1"/>
  <c r="AD12" i="2" a="1"/>
  <c r="F37" i="2" a="1"/>
  <c r="R27" i="2" a="1"/>
  <c r="M18" i="2" a="1"/>
  <c r="G7" i="2" a="1"/>
  <c r="H7" i="2" a="1"/>
  <c r="AD41" i="2" a="1"/>
  <c r="F14" i="2" a="1"/>
  <c r="M32" i="2" a="1"/>
  <c r="G51" i="2" a="1"/>
  <c r="S29" i="2" a="1"/>
  <c r="K11" i="2" a="1"/>
  <c r="F17" i="2" a="1"/>
  <c r="AE31" i="2" a="1"/>
  <c r="F19" i="2" a="1"/>
  <c r="F13" i="2" a="1"/>
  <c r="R17" i="2" a="1"/>
  <c r="R31" i="2" a="1"/>
  <c r="M30" i="2" a="1"/>
  <c r="M24" i="2" a="1"/>
  <c r="X16" i="2" a="1"/>
  <c r="G11" i="2" a="1"/>
  <c r="AD33" i="2" a="1"/>
  <c r="AE11" i="2" a="1"/>
  <c r="M48" i="2" a="1"/>
  <c r="G29" i="2" a="1"/>
  <c r="E19" i="2" a="1"/>
  <c r="AE25" i="2" a="1"/>
  <c r="R10" i="2" a="1"/>
  <c r="X18" i="2" a="1"/>
  <c r="L42" i="2" a="1"/>
  <c r="K50" i="2" a="1"/>
  <c r="Q15" i="2" a="1"/>
  <c r="Q19" i="2" a="1"/>
  <c r="Q27" i="2" a="1"/>
  <c r="Q11" i="2" a="1"/>
  <c r="J61" i="2" a="1"/>
  <c r="J36" i="2" a="1"/>
  <c r="J34" i="2" a="1"/>
  <c r="J9" i="2" a="1"/>
  <c r="E25" i="2" a="1"/>
  <c r="C15" i="2" a="1"/>
  <c r="C31" i="2" a="1"/>
  <c r="C7" i="2" a="1"/>
  <c r="V59" i="2" a="1"/>
  <c r="AB29" i="2" a="1"/>
  <c r="AB19" i="2" a="1"/>
  <c r="AB37" i="2" a="1"/>
  <c r="V24" i="2" a="1"/>
  <c r="V7" i="2" a="1"/>
  <c r="V32" i="2" a="1"/>
  <c r="V14" i="2" a="1"/>
  <c r="AA43" i="2" a="1"/>
  <c r="AA15" i="2" a="1"/>
  <c r="AA31" i="2" a="1"/>
  <c r="AA35" i="2" a="1"/>
  <c r="W13" i="2" a="1"/>
  <c r="W7" i="2" a="1"/>
  <c r="W26" i="2" a="1"/>
  <c r="X7" i="2" a="1"/>
  <c r="L16" i="2" a="1"/>
  <c r="L30" i="2" a="1"/>
  <c r="L13" i="2" a="1"/>
  <c r="S49" i="2" a="1"/>
  <c r="S33" i="2" a="1"/>
  <c r="S23" i="2" a="1"/>
  <c r="S37" i="2" a="1"/>
  <c r="E41" i="2" a="1"/>
  <c r="E27" i="2" a="1"/>
  <c r="E35" i="2" a="1"/>
  <c r="E31" i="2" a="1"/>
  <c r="K42" i="2" a="1"/>
  <c r="K28" i="2" a="1"/>
  <c r="K7" i="2" a="1"/>
  <c r="K10" i="2" a="1"/>
  <c r="AD11" i="2" a="1"/>
  <c r="AD55" i="2" a="1"/>
  <c r="AD17" i="2" a="1"/>
  <c r="AE29" i="2" a="1"/>
  <c r="AE41" i="2" a="1"/>
  <c r="AE49" i="2" a="1"/>
  <c r="F33" i="2" a="1"/>
  <c r="F8" i="2" a="1"/>
  <c r="R43" i="2" a="1"/>
  <c r="M44" i="2" a="1"/>
  <c r="M16" i="2" a="1"/>
  <c r="X11" i="2" a="1"/>
  <c r="X8" i="2" a="1"/>
  <c r="K59" i="2" a="1"/>
  <c r="AD10" i="2" a="1"/>
  <c r="F15" i="2" a="1"/>
  <c r="R12" i="2" a="1"/>
  <c r="M8" i="2" a="1"/>
  <c r="X32" i="2" a="1"/>
  <c r="G10" i="2" a="1"/>
  <c r="E10" i="2" a="1"/>
  <c r="AE35" i="2" a="1"/>
  <c r="R9" i="2" a="1"/>
  <c r="X36" i="2" a="1"/>
  <c r="W63" i="2" a="1"/>
  <c r="S45" i="2" a="1"/>
  <c r="K8" i="2" a="1"/>
  <c r="AD45" i="2" a="1"/>
  <c r="V53" i="2" a="1"/>
  <c r="W46" i="2" a="1"/>
  <c r="W34" i="2" a="1"/>
  <c r="L44" i="2" a="1"/>
  <c r="L24" i="2" a="1"/>
  <c r="S10" i="2" a="1"/>
  <c r="S8" i="2" a="1"/>
  <c r="E11" i="2" a="1"/>
  <c r="H8" i="2" a="1"/>
  <c r="AD13" i="2" a="1"/>
  <c r="AE7" i="2" a="1"/>
  <c r="R29" i="2" a="1"/>
  <c r="X44" i="2" a="1"/>
  <c r="W59" i="2" a="1"/>
  <c r="K48" i="2" a="1"/>
  <c r="AD19" i="2" a="1"/>
  <c r="F31" i="2" a="1"/>
  <c r="M28" i="2" a="1"/>
  <c r="L7" i="2" a="1"/>
  <c r="K30" i="2" a="1"/>
  <c r="AE8" i="2" a="1"/>
  <c r="Q45" i="2" a="1"/>
  <c r="Q43" i="2" a="1"/>
  <c r="Q31" i="2" a="1"/>
  <c r="Q7" i="2" a="1"/>
  <c r="J42" i="2" a="1"/>
  <c r="J22" i="2" a="1"/>
  <c r="J24" i="2" a="1"/>
  <c r="J28" i="2" a="1"/>
  <c r="C11" i="2" a="1"/>
  <c r="C45" i="2" a="1"/>
  <c r="C9" i="2" a="1"/>
  <c r="C55" i="2" a="1"/>
  <c r="AB10" i="2" a="1"/>
  <c r="AB47" i="2" a="1"/>
  <c r="AB23" i="2" a="1"/>
  <c r="AB49" i="2" a="1"/>
  <c r="V16" i="2" a="1"/>
  <c r="V10" i="2" a="1"/>
  <c r="V61" i="2" a="1"/>
  <c r="AA13" i="2" a="1"/>
  <c r="AA64" i="2" a="1"/>
  <c r="AA27" i="2" a="1"/>
  <c r="W14" i="2" a="1"/>
  <c r="W28" i="2" a="1"/>
  <c r="L18" i="2" a="1"/>
  <c r="L32" i="2" a="1"/>
  <c r="S12" i="2" a="1"/>
  <c r="S31" i="2" a="1"/>
  <c r="E9" i="2" a="1"/>
  <c r="E33" i="2" a="1"/>
  <c r="K14" i="2" a="1"/>
  <c r="K18" i="2" a="1"/>
  <c r="AE9" i="2" a="1"/>
  <c r="F23" i="2" a="1"/>
  <c r="R51" i="2" a="1"/>
  <c r="X28" i="2" a="1"/>
  <c r="S11" i="2" a="1"/>
  <c r="AE43" i="2" a="1"/>
  <c r="R33" i="2" a="1"/>
  <c r="G49" i="2" a="1"/>
  <c r="L28" i="2" a="1"/>
  <c r="AD15" i="2" a="1"/>
  <c r="AB43" i="2" a="1"/>
  <c r="V12" i="2" a="1"/>
  <c r="AA7" i="2" a="1"/>
  <c r="W50" i="2" a="1"/>
  <c r="W44" i="2" a="1"/>
  <c r="W16" i="2" a="1"/>
  <c r="L38" i="2" a="1"/>
  <c r="L14" i="2" a="1"/>
  <c r="S25" i="2" a="1"/>
  <c r="K44" i="2" a="1"/>
  <c r="AE19" i="2" a="1"/>
  <c r="M42" i="2" a="1"/>
  <c r="G27" i="2" a="1"/>
  <c r="E55" i="2" a="1"/>
  <c r="AE12" i="2" a="1"/>
  <c r="Q8" i="2" a="1"/>
  <c r="Q35" i="2" a="1"/>
  <c r="Q13" i="2" a="1"/>
  <c r="Q29" i="2" a="1"/>
  <c r="J10" i="2" a="1"/>
  <c r="J18" i="2" a="1"/>
  <c r="J38" i="2" a="1"/>
  <c r="J46" i="2" a="1"/>
  <c r="C49" i="2" a="1"/>
  <c r="C8" i="2" a="1"/>
  <c r="C62" i="2" a="1"/>
  <c r="C27" i="2" a="1"/>
  <c r="AB31" i="2" a="1"/>
  <c r="AB55" i="2" a="1"/>
  <c r="AB9" i="2" a="1"/>
  <c r="V22" i="2" a="1"/>
  <c r="V8" i="2" a="1"/>
  <c r="V11" i="2" a="1"/>
  <c r="AA9" i="2" a="1"/>
  <c r="AA47" i="2" a="1"/>
  <c r="W30" i="2" a="1"/>
  <c r="L12" i="2" a="1"/>
  <c r="L9" i="2" a="1"/>
  <c r="S43" i="2" a="1"/>
  <c r="S41" i="2" a="1"/>
  <c r="K22" i="2" a="1"/>
  <c r="AD27" i="2" a="1"/>
  <c r="F12" i="2" a="1"/>
  <c r="M9" i="2" a="1"/>
  <c r="G8" i="2" a="1"/>
  <c r="E47" i="2" a="1"/>
  <c r="AD49" i="2" a="1"/>
  <c r="Q47" i="2" a="1"/>
  <c r="Q23" i="2" a="1"/>
  <c r="J59" i="2" a="1"/>
  <c r="J14" i="2" a="1"/>
  <c r="J7" i="2" a="1"/>
  <c r="U59" i="2" a="1"/>
  <c r="C17" i="2" a="1"/>
  <c r="C29" i="2" a="1"/>
  <c r="C35" i="2" a="1"/>
  <c r="AB25" i="2" a="1"/>
  <c r="AB13" i="2" a="1"/>
  <c r="AB45" i="2" a="1"/>
  <c r="V42" i="2" a="1"/>
  <c r="V9" i="2" a="1"/>
  <c r="V38" i="2" a="1"/>
  <c r="AA51" i="2" a="1"/>
  <c r="AA17" i="2" a="1"/>
  <c r="AA19" i="2" a="1"/>
  <c r="W9" i="2" a="1"/>
  <c r="W8" i="2" a="1"/>
  <c r="W32" i="2" a="1"/>
  <c r="L26" i="2" a="1"/>
  <c r="E15" i="2" a="1"/>
  <c r="Q49" i="2" a="1"/>
  <c r="J50" i="2" a="1"/>
  <c r="C19" i="2" a="1"/>
  <c r="AB35" i="2" a="1"/>
  <c r="AA55" i="2" a="1"/>
  <c r="W11" i="2" a="1"/>
  <c r="Q25" i="2" a="1"/>
  <c r="Q33" i="2" a="1"/>
  <c r="J63" i="2" a="1"/>
  <c r="J12" i="2" a="1"/>
  <c r="J53" i="2" a="1"/>
  <c r="U63" i="2" a="1"/>
  <c r="C41" i="2" a="1"/>
  <c r="C25" i="2" a="1"/>
  <c r="C51" i="2" a="1"/>
  <c r="AB41" i="2" a="1"/>
  <c r="AB27" i="2" a="1"/>
  <c r="AB33" i="2" a="1"/>
  <c r="V36" i="2" a="1"/>
  <c r="V26" i="2" a="1"/>
  <c r="V30" i="2" a="1"/>
  <c r="AA45" i="2" a="1"/>
  <c r="AA41" i="2" a="1"/>
  <c r="AA33" i="2" a="1"/>
  <c r="W12" i="2" a="1"/>
  <c r="W24" i="2" a="1"/>
  <c r="W42" i="2" a="1"/>
  <c r="L48" i="2" a="1"/>
  <c r="L34" i="2" a="1"/>
  <c r="L10" i="2" a="1"/>
  <c r="S51" i="2" a="1"/>
  <c r="Q37" i="2" a="1"/>
  <c r="J30" i="2" a="1"/>
  <c r="C23" i="2" a="1"/>
  <c r="AB64" i="2" a="1"/>
  <c r="AA25" i="2" a="1"/>
  <c r="W18" i="2" a="1"/>
  <c r="L46" i="2" a="1"/>
  <c r="AD43" i="2" a="1"/>
  <c r="AE27" i="2" a="1"/>
  <c r="F45" i="2" a="1"/>
  <c r="F43" i="2" a="1"/>
  <c r="R19" i="2" a="1"/>
  <c r="M34" i="2" a="1"/>
  <c r="M22" i="2" a="1"/>
  <c r="X48" i="2" a="1"/>
  <c r="X26" i="2" a="1"/>
  <c r="G47" i="2" a="1"/>
  <c r="K63" i="2" a="1"/>
  <c r="G9" i="2" a="1"/>
  <c r="K34" i="2" a="1"/>
  <c r="F11" i="2" a="1"/>
  <c r="M46" i="2" a="1"/>
  <c r="G35" i="2" a="1"/>
  <c r="E12" i="2" a="1"/>
  <c r="AD25" i="2" a="1"/>
  <c r="R35" i="2" a="1"/>
  <c r="X12" i="2" a="1"/>
  <c r="S15" i="2" a="1"/>
  <c r="AD35" i="2" a="1"/>
  <c r="F41" i="2" a="1"/>
  <c r="S47" i="2" a="1"/>
  <c r="AD47" i="2" a="1"/>
  <c r="F47" i="2" a="1"/>
  <c r="M14" i="2" a="1"/>
  <c r="G12" i="2" a="1"/>
  <c r="M13" i="2" a="1"/>
  <c r="R11" i="2" a="1"/>
  <c r="R41" i="2" a="1"/>
  <c r="E45" i="2" a="1"/>
  <c r="X42" i="2" a="1"/>
  <c r="R47" i="2" a="1"/>
  <c r="F25" i="2" a="1"/>
  <c r="S17" i="2" a="1"/>
  <c r="AD37" i="2" a="1"/>
  <c r="R15" i="2" a="1"/>
  <c r="G33" i="2" a="1"/>
  <c r="E49" i="2" a="1"/>
  <c r="G45" i="2" a="1"/>
  <c r="R45" i="2" a="1"/>
  <c r="G41" i="2" a="1"/>
  <c r="G31" i="2" a="1"/>
  <c r="X30" i="2" a="1"/>
  <c r="X46" i="2" a="1"/>
  <c r="M36" i="2" a="1"/>
  <c r="G43" i="2" a="1"/>
  <c r="E43" i="2" a="1"/>
  <c r="AD9" i="2" a="1"/>
  <c r="M50" i="2" a="1"/>
  <c r="G19" i="2" a="1"/>
  <c r="AE33" i="2" a="1"/>
  <c r="X14" i="2" a="1"/>
  <c r="AE37" i="2" a="1"/>
  <c r="X38" i="2" a="1"/>
  <c r="X22" i="2" a="1"/>
  <c r="G13" i="2" a="1"/>
  <c r="K12" i="2" a="1"/>
  <c r="M11" i="2" a="1"/>
  <c r="E29" i="2" a="1"/>
  <c r="AE47" i="2" a="1"/>
  <c r="R13" i="2" a="1"/>
  <c r="F9" i="2" a="1"/>
  <c r="K24" i="2" a="1"/>
  <c r="F29" i="2" a="1"/>
  <c r="E7" i="2" a="1"/>
  <c r="AE45" i="2" a="1"/>
  <c r="R25" i="2" a="1"/>
  <c r="K9" i="2" a="1"/>
  <c r="X24" i="2" a="1"/>
  <c r="AD29" i="2" a="1"/>
  <c r="K46" i="2" a="1"/>
  <c r="F51" i="2" a="1"/>
  <c r="R37" i="2" a="1"/>
  <c r="F27" i="2" a="1"/>
  <c r="X10" i="2" a="1"/>
  <c r="M7" i="2" a="1"/>
  <c r="Y7" i="2" a="1"/>
  <c r="Y10" i="2" a="1"/>
  <c r="Y9" i="2" a="1"/>
  <c r="Y26" i="2" a="1"/>
  <c r="X63" i="2" a="1"/>
  <c r="AF13" i="2" a="1"/>
  <c r="AF49" i="2" a="1"/>
  <c r="AF23" i="2" a="1"/>
  <c r="I50" i="2" a="1"/>
  <c r="I28" i="2" a="1"/>
  <c r="I38" i="2" a="1"/>
  <c r="I10" i="2" a="1"/>
  <c r="H37" i="2" a="1"/>
  <c r="H29" i="2" a="1"/>
  <c r="H25" i="2" a="1"/>
  <c r="H49" i="2" a="1"/>
  <c r="T19" i="2" a="1"/>
  <c r="T11" i="2" a="1"/>
  <c r="T27" i="2" a="1"/>
  <c r="T43" i="2" a="1"/>
  <c r="U12" i="2" a="1"/>
  <c r="U18" i="2" a="1"/>
  <c r="U26" i="2" a="1"/>
  <c r="U38" i="2" a="1"/>
  <c r="O36" i="2" a="1"/>
  <c r="O28" i="2" a="1"/>
  <c r="O50" i="2" a="1"/>
  <c r="O12" i="2" a="1"/>
  <c r="AA48" i="2" a="1"/>
  <c r="AA42" i="2" a="1"/>
  <c r="AA14" i="2" a="1"/>
  <c r="AA30" i="2" a="1"/>
  <c r="AF9" i="2" a="1"/>
  <c r="C53" i="2" a="1"/>
  <c r="C28" i="2" a="1"/>
  <c r="C44" i="2" a="1"/>
  <c r="I33" i="2" a="1"/>
  <c r="I25" i="2" a="1"/>
  <c r="I15" i="2" a="1"/>
  <c r="I41" i="2" a="1"/>
  <c r="Y11" i="2" a="1"/>
  <c r="Y46" i="2" a="1"/>
  <c r="Y50" i="2" a="1"/>
  <c r="AF19" i="2" a="1"/>
  <c r="AF15" i="2" a="1"/>
  <c r="I61" i="2" a="1"/>
  <c r="I8" i="2" a="1"/>
  <c r="H55" i="2" a="1"/>
  <c r="H31" i="2" a="1"/>
  <c r="T23" i="2" a="1"/>
  <c r="T49" i="2" a="1"/>
  <c r="U14" i="2" a="1"/>
  <c r="U36" i="2" a="1"/>
  <c r="O61" i="2" a="1"/>
  <c r="O14" i="2" a="1"/>
  <c r="AA10" i="2" a="1"/>
  <c r="AA36" i="2" a="1"/>
  <c r="C30" i="2" a="1"/>
  <c r="C16" i="2" a="1"/>
  <c r="I49" i="2" a="1"/>
  <c r="I55" i="2" a="1"/>
  <c r="Y24" i="2" a="1"/>
  <c r="X59" i="2" a="1"/>
  <c r="AF17" i="2" a="1"/>
  <c r="I9" i="2" a="1"/>
  <c r="I32" i="2" a="1"/>
  <c r="H9" i="2" a="1"/>
  <c r="H17" i="2" a="1"/>
  <c r="T37" i="2" a="1"/>
  <c r="T62" i="2" a="1"/>
  <c r="U48" i="2" a="1"/>
  <c r="U9" i="2" a="1"/>
  <c r="O38" i="2" a="1"/>
  <c r="O16" i="2" a="1"/>
  <c r="AA32" i="2" a="1"/>
  <c r="AA12" i="2" a="1"/>
  <c r="AF7" i="2" a="1"/>
  <c r="C36" i="2" a="1"/>
  <c r="I47" i="2" a="1"/>
  <c r="I29" i="2" a="1"/>
  <c r="O22" i="2" a="1"/>
  <c r="N7" i="2" a="1"/>
  <c r="I19" i="2" a="1"/>
  <c r="I23" i="2" a="1"/>
  <c r="C38" i="2" a="1"/>
  <c r="I45" i="2" a="1"/>
  <c r="L63" i="2" a="1"/>
  <c r="T9" i="2" a="1"/>
  <c r="AA46" i="2" a="1"/>
  <c r="Y38" i="2" a="1"/>
  <c r="Y18" i="2" a="1"/>
  <c r="I7" i="2" a="1"/>
  <c r="I12" i="2" a="1"/>
  <c r="H51" i="2" a="1"/>
  <c r="H13" i="2" a="1"/>
  <c r="U42" i="2" a="1"/>
  <c r="U61" i="2" a="1"/>
  <c r="AA26" i="2" a="1"/>
  <c r="I37" i="2" a="1"/>
  <c r="C24" i="2" a="1"/>
  <c r="AA50" i="2" a="1"/>
  <c r="L59" i="2" a="1"/>
  <c r="AF33" i="2" a="1"/>
  <c r="AF11" i="2" a="1"/>
  <c r="I14" i="2" a="1"/>
  <c r="Y59" i="2" a="1"/>
  <c r="T45" i="2" a="1"/>
  <c r="T33" i="2" a="1"/>
  <c r="U28" i="2" a="1"/>
  <c r="O32" i="2" a="1"/>
  <c r="O24" i="2" a="1"/>
  <c r="Z8" i="2" a="1"/>
  <c r="AA8" i="2" a="1"/>
  <c r="N8" i="2" a="1"/>
  <c r="C34" i="2" a="1"/>
  <c r="I27" i="2" a="1"/>
  <c r="C50" i="2" a="1"/>
  <c r="Y44" i="2" a="1"/>
  <c r="Y36" i="2" a="1"/>
  <c r="AF62" i="2" a="1"/>
  <c r="I22" i="2" a="1"/>
  <c r="H19" i="2" a="1"/>
  <c r="H33" i="2" a="1"/>
  <c r="T41" i="2" a="1"/>
  <c r="U32" i="2" a="1"/>
  <c r="AA61" i="2" a="1"/>
  <c r="AA44" i="2" a="1"/>
  <c r="I43" i="2" a="1"/>
  <c r="I31" i="2" a="1"/>
  <c r="AF45" i="2" a="1"/>
  <c r="AF31" i="2" a="1"/>
  <c r="I30" i="2" a="1"/>
  <c r="I24" i="2" a="1"/>
  <c r="T51" i="2" a="1"/>
  <c r="C59" i="2" a="1"/>
  <c r="U50" i="2" a="1"/>
  <c r="U46" i="2" a="1"/>
  <c r="O8" i="2" a="1"/>
  <c r="O34" i="2" a="1"/>
  <c r="AA34" i="2" a="1"/>
  <c r="C22" i="2" a="1"/>
  <c r="I62" i="2" a="1"/>
  <c r="I11" i="2" a="1"/>
  <c r="Y16" i="2" a="1"/>
  <c r="Y32" i="2" a="1"/>
  <c r="AF29" i="2" a="1"/>
  <c r="AF55" i="2" a="1"/>
  <c r="H23" i="2" a="1"/>
  <c r="H62" i="2" a="1"/>
  <c r="T31" i="2" a="1"/>
  <c r="T17" i="2" a="1"/>
  <c r="AA28" i="2" a="1"/>
  <c r="C32" i="2" a="1"/>
  <c r="Y13" i="2" a="1"/>
  <c r="AF64" i="2" a="1"/>
  <c r="I34" i="2" a="1"/>
  <c r="I18" i="2" a="1"/>
  <c r="H47" i="2" a="1"/>
  <c r="C63" i="2" a="1"/>
  <c r="U24" i="2" a="1"/>
  <c r="U30" i="2" a="1"/>
  <c r="O46" i="2" a="1"/>
  <c r="O44" i="2" a="1"/>
  <c r="AA22" i="2" a="1"/>
  <c r="Y30" i="2" a="1"/>
  <c r="AF51" i="2" a="1"/>
  <c r="AF27" i="2" a="1"/>
  <c r="I53" i="2" a="1"/>
  <c r="H11" i="2" a="1"/>
  <c r="T64" i="2" a="1"/>
  <c r="T47" i="2" a="1"/>
  <c r="U22" i="2" a="1"/>
  <c r="AA53" i="2" a="1"/>
  <c r="T13" i="2" a="1"/>
  <c r="C42" i="2" a="1"/>
  <c r="I51" i="2" a="1"/>
  <c r="Y34" i="2" a="1"/>
  <c r="Y22" i="2" a="1"/>
  <c r="I16" i="2" a="1"/>
  <c r="M63" i="2" a="1"/>
  <c r="H43" i="2" a="1"/>
  <c r="H41" i="2" a="1"/>
  <c r="U7" i="2" a="1"/>
  <c r="O26" i="2" a="1"/>
  <c r="O30" i="2" a="1"/>
  <c r="O10" i="2" a="1"/>
  <c r="AA38" i="2" a="1"/>
  <c r="C10" i="2" a="1"/>
  <c r="C48" i="2" a="1"/>
  <c r="AF47" i="2" a="1"/>
  <c r="AF35" i="2" a="1"/>
  <c r="I44" i="2" a="1"/>
  <c r="I26" i="2" a="1"/>
  <c r="T29" i="2" a="1"/>
  <c r="T25" i="2" a="1"/>
  <c r="U8" i="2" a="1"/>
  <c r="U16" i="2" a="1"/>
  <c r="Y48" i="2" a="1"/>
  <c r="Y42" i="2" a="1"/>
  <c r="AF25" i="2" a="1"/>
  <c r="M59" i="2" a="1"/>
  <c r="H35" i="2" a="1"/>
  <c r="H27" i="2" a="1"/>
  <c r="T15" i="2" a="1"/>
  <c r="O48" i="2" a="1"/>
  <c r="O18" i="2" a="1"/>
  <c r="O53" i="2" a="1"/>
  <c r="AA16" i="2" a="1"/>
  <c r="AA18" i="2" a="1"/>
  <c r="T7" i="2" a="1"/>
  <c r="C26" i="2" a="1"/>
  <c r="C61" i="2" a="1"/>
  <c r="C46" i="2" a="1"/>
  <c r="I13" i="2" a="1"/>
  <c r="I35" i="2" a="1"/>
  <c r="Y12" i="2" a="1"/>
  <c r="AF41" i="2" a="1"/>
  <c r="I42" i="2" a="1"/>
  <c r="I48" i="2" a="1"/>
  <c r="H45" i="2" a="1"/>
  <c r="T55" i="2" a="1"/>
  <c r="U53" i="2" a="1"/>
  <c r="U10" i="2" a="1"/>
  <c r="Y8" i="2" a="1"/>
  <c r="AF43" i="2" a="1"/>
  <c r="AF37" i="2" a="1"/>
  <c r="H15" i="2" a="1"/>
  <c r="Y63" i="2" a="1"/>
  <c r="T35" i="2" a="1"/>
  <c r="O42" i="2" a="1"/>
  <c r="Z7" i="2" a="1"/>
  <c r="AA24" i="2" a="1"/>
  <c r="C18" i="2" a="1"/>
  <c r="C14" i="2" a="1"/>
  <c r="I17" i="2" a="1"/>
  <c r="C13" i="2" a="1"/>
  <c r="I64" i="2" a="1"/>
  <c r="C12" i="2" a="1"/>
  <c r="U51" i="2" a="1"/>
  <c r="U41" i="2" a="1"/>
  <c r="U19" i="2" a="1"/>
  <c r="U47" i="2" a="1"/>
  <c r="N63" i="2" a="1"/>
  <c r="AA63" i="2" a="1"/>
  <c r="U65" i="2" a="1"/>
  <c r="C67" i="2" a="1"/>
  <c r="AB46" i="2" a="1"/>
  <c r="AB16" i="2" a="1"/>
  <c r="AB38" i="2" a="1"/>
  <c r="AB36" i="2" a="1"/>
  <c r="D30" i="2" a="1"/>
  <c r="D32" i="2" a="1"/>
  <c r="D34" i="2" a="1"/>
  <c r="D61" i="2" a="1"/>
  <c r="P42" i="2" a="1"/>
  <c r="P12" i="2" a="1"/>
  <c r="P16" i="2" a="1"/>
  <c r="Q51" i="2" a="1"/>
  <c r="Q46" i="2" a="1"/>
  <c r="Q26" i="2" a="1"/>
  <c r="Q16" i="2" a="1"/>
  <c r="J35" i="2" a="1"/>
  <c r="J15" i="2" a="1"/>
  <c r="J37" i="2" a="1"/>
  <c r="J13" i="2" a="1"/>
  <c r="U55" i="2" a="1"/>
  <c r="U29" i="2" a="1"/>
  <c r="AA59" i="2" a="1"/>
  <c r="C60" i="2" a="1"/>
  <c r="AB12" i="2" a="1"/>
  <c r="D50" i="2" a="1"/>
  <c r="D44" i="2" a="1"/>
  <c r="P30" i="2" a="1"/>
  <c r="Q48" i="2" a="1"/>
  <c r="J48" i="2" a="1"/>
  <c r="J55" i="2" a="1"/>
  <c r="U31" i="2" a="1"/>
  <c r="AB44" i="2" a="1"/>
  <c r="P32" i="2" a="1"/>
  <c r="P22" i="2" a="1"/>
  <c r="Q62" i="2" a="1"/>
  <c r="P28" i="2" a="1"/>
  <c r="Q30" i="2" a="1"/>
  <c r="AB62" i="2" a="1"/>
  <c r="AB32" i="2" a="1"/>
  <c r="U33" i="2" a="1"/>
  <c r="O65" i="2" a="1"/>
  <c r="U37" i="2" a="1"/>
  <c r="AB15" i="2" a="1"/>
  <c r="AB50" i="2" a="1"/>
  <c r="D16" i="2" a="1"/>
  <c r="D42" i="2" a="1"/>
  <c r="P19" i="2" a="1"/>
  <c r="P44" i="2" a="1"/>
  <c r="U27" i="2" a="1"/>
  <c r="U15" i="2" a="1"/>
  <c r="U35" i="2" a="1"/>
  <c r="Z59" i="2" a="1"/>
  <c r="AA65" i="2" a="1"/>
  <c r="O66" i="2" a="1"/>
  <c r="I66" i="2" a="1"/>
  <c r="AB28" i="2" a="1"/>
  <c r="O60" i="2" a="1"/>
  <c r="D26" i="2" a="1"/>
  <c r="P34" i="2" a="1"/>
  <c r="J49" i="2" a="1"/>
  <c r="I67" i="2" a="1"/>
  <c r="AB53" i="2" a="1"/>
  <c r="AB26" i="2" a="1"/>
  <c r="AB34" i="2" a="1"/>
  <c r="D17" i="2" a="1"/>
  <c r="D55" i="2" a="1"/>
  <c r="P61" i="2" a="1"/>
  <c r="P38" i="2" a="1"/>
  <c r="Q55" i="2" a="1"/>
  <c r="Q61" i="2" a="1"/>
  <c r="J25" i="2" a="1"/>
  <c r="J29" i="2" a="1"/>
  <c r="Q22" i="2" a="1"/>
  <c r="J43" i="2" a="1"/>
  <c r="AA66" i="2" a="1"/>
  <c r="I65" i="2" a="1"/>
  <c r="D24" i="2" a="1"/>
  <c r="P14" i="2" a="1"/>
  <c r="Q28" i="2" a="1"/>
  <c r="J47" i="2" a="1"/>
  <c r="Q53" i="2" a="1"/>
  <c r="J33" i="2" a="1"/>
  <c r="U25" i="2" a="1"/>
  <c r="U13" i="2" a="1"/>
  <c r="U45" i="2" a="1"/>
  <c r="U60" i="2" a="1"/>
  <c r="O63" i="2" a="1"/>
  <c r="C65" i="2" a="1"/>
  <c r="AB24" i="2" a="1"/>
  <c r="D48" i="2" a="1"/>
  <c r="D25" i="2" a="1"/>
  <c r="P26" i="2" a="1"/>
  <c r="P24" i="2" a="1"/>
  <c r="Q32" i="2" a="1"/>
  <c r="J17" i="2" a="1"/>
  <c r="J64" i="2" a="1"/>
  <c r="J27" i="2" a="1"/>
  <c r="N59" i="2" a="1"/>
  <c r="O67" i="2" a="1"/>
  <c r="P36" i="2" a="1"/>
  <c r="Q44" i="2" a="1"/>
  <c r="J41" i="2" a="1"/>
  <c r="Q14" i="2" a="1"/>
  <c r="U43" i="2" a="1"/>
  <c r="D14" i="2" a="1"/>
  <c r="Q18" i="2" a="1"/>
  <c r="U23" i="2" a="1"/>
  <c r="D53" i="2" a="1"/>
  <c r="U64" i="2" a="1"/>
  <c r="U17" i="2" a="1"/>
  <c r="U49" i="2" a="1"/>
  <c r="U67" i="2" a="1"/>
  <c r="I60" i="2" a="1"/>
  <c r="O59" i="2" a="1"/>
  <c r="C66" i="2" a="1"/>
  <c r="AB61" i="2" a="1"/>
  <c r="AB48" i="2" a="1"/>
  <c r="AB42" i="2" a="1"/>
  <c r="AB30" i="2" a="1"/>
  <c r="D46" i="2" a="1"/>
  <c r="D18" i="2" a="1"/>
  <c r="D28" i="2" a="1"/>
  <c r="D22" i="2" a="1"/>
  <c r="P50" i="2" a="1"/>
  <c r="P48" i="2" a="1"/>
  <c r="P18" i="2" a="1"/>
  <c r="P53" i="2" a="1"/>
  <c r="Q38" i="2" a="1"/>
  <c r="Q42" i="2" a="1"/>
  <c r="Q24" i="2" a="1"/>
  <c r="J31" i="2" a="1"/>
  <c r="J19" i="2" a="1"/>
  <c r="J45" i="2" a="1"/>
  <c r="J62" i="2" a="1"/>
  <c r="U62" i="2" a="1"/>
  <c r="Z63" i="2" a="1"/>
  <c r="U66" i="2" a="1"/>
  <c r="AB22" i="2" a="1"/>
  <c r="AB14" i="2" a="1"/>
  <c r="D36" i="2" a="1"/>
  <c r="P27" i="2" a="1"/>
  <c r="P46" i="2" a="1"/>
  <c r="Q34" i="2" a="1"/>
  <c r="U11" i="2" a="1"/>
  <c r="AB18" i="2" a="1"/>
  <c r="D38" i="2" a="1"/>
  <c r="Q50" i="2" a="1"/>
  <c r="J23" i="2" a="1"/>
  <c r="Q36" i="2" a="1"/>
  <c r="J51" i="2" a="1"/>
  <c r="AA67" i="2" a="1"/>
  <c r="V13" i="2" a="1"/>
  <c r="V37" i="2" a="1"/>
  <c r="V50" i="2" a="1"/>
  <c r="V67" i="2" a="1"/>
  <c r="AC42" i="2" a="1"/>
  <c r="AC62" i="2" a="1"/>
  <c r="AC18" i="2" a="1"/>
  <c r="AC36" i="2" a="1"/>
  <c r="AB59" i="2" a="1"/>
  <c r="E38" i="2" a="1"/>
  <c r="E42" i="2" a="1"/>
  <c r="E28" i="2" a="1"/>
  <c r="P65" i="2" a="1"/>
  <c r="K61" i="2" a="1"/>
  <c r="K49" i="2" a="1"/>
  <c r="K55" i="2" a="1"/>
  <c r="K43" i="2" a="1"/>
  <c r="V65" i="2" a="1"/>
  <c r="E63" i="2" a="1"/>
  <c r="W60" i="2" a="1"/>
  <c r="AD67" i="2" a="1"/>
  <c r="W25" i="2" a="1"/>
  <c r="W37" i="2" a="1"/>
  <c r="W31" i="2" a="1"/>
  <c r="W35" i="2" a="1"/>
  <c r="X53" i="2" a="1"/>
  <c r="X49" i="2" a="1"/>
  <c r="E48" i="2" a="1"/>
  <c r="E34" i="2" a="1"/>
  <c r="K37" i="2" a="1"/>
  <c r="K62" i="2" a="1"/>
  <c r="E59" i="2" a="1"/>
  <c r="AD60" i="2" a="1"/>
  <c r="W47" i="2" a="1"/>
  <c r="W64" i="2" a="1"/>
  <c r="X43" i="2" a="1"/>
  <c r="V47" i="2" a="1"/>
  <c r="J67" i="2" a="1"/>
  <c r="AC30" i="2" a="1"/>
  <c r="E51" i="2" a="1"/>
  <c r="E22" i="2" a="1"/>
  <c r="K53" i="2" a="1"/>
  <c r="K47" i="2" a="1"/>
  <c r="K64" i="2" a="1"/>
  <c r="AC63" i="2" a="1"/>
  <c r="W33" i="2" a="1"/>
  <c r="X25" i="2" a="1"/>
  <c r="X33" i="2" a="1"/>
  <c r="V29" i="2" a="1"/>
  <c r="V15" i="2" a="1"/>
  <c r="AC64" i="2" a="1"/>
  <c r="D59" i="2" a="1"/>
  <c r="E26" i="2" a="1"/>
  <c r="AB65" i="2" a="1"/>
  <c r="K29" i="2" a="1"/>
  <c r="D67" i="2" a="1"/>
  <c r="W23" i="2" a="1"/>
  <c r="W61" i="2" a="1"/>
  <c r="W15" i="2" a="1"/>
  <c r="X15" i="2" a="1"/>
  <c r="AC44" i="2" a="1"/>
  <c r="X23" i="2" a="1"/>
  <c r="V43" i="2" a="1"/>
  <c r="E64" i="2" a="1"/>
  <c r="W19" i="2" a="1"/>
  <c r="V17" i="2" a="1"/>
  <c r="K41" i="2" a="1"/>
  <c r="X64" i="2" a="1"/>
  <c r="AA60" i="2" a="1"/>
  <c r="V27" i="2" a="1"/>
  <c r="V49" i="2" a="1"/>
  <c r="V62" i="2" a="1"/>
  <c r="V60" i="2" a="1"/>
  <c r="AC53" i="2" a="1"/>
  <c r="AC48" i="2" a="1"/>
  <c r="AC38" i="2" a="1"/>
  <c r="AB63" i="2" a="1"/>
  <c r="K17" i="2" a="1"/>
  <c r="W55" i="2" a="1"/>
  <c r="AC28" i="2" a="1"/>
  <c r="D60" i="2" a="1"/>
  <c r="AC46" i="2" a="1"/>
  <c r="K15" i="2" a="1"/>
  <c r="X19" i="2" a="1"/>
  <c r="X41" i="2" a="1"/>
  <c r="E46" i="2" a="1"/>
  <c r="P66" i="2" a="1"/>
  <c r="K31" i="2" a="1"/>
  <c r="V66" i="2" a="1"/>
  <c r="W67" i="2" a="1"/>
  <c r="W27" i="2" a="1"/>
  <c r="X61" i="2" a="1"/>
  <c r="V45" i="2" a="1"/>
  <c r="V33" i="2" a="1"/>
  <c r="AC34" i="2" a="1"/>
  <c r="D63" i="2" a="1"/>
  <c r="E61" i="2" a="1"/>
  <c r="AB66" i="2" a="1"/>
  <c r="K33" i="2" a="1"/>
  <c r="P67" i="2" a="1"/>
  <c r="E60" i="2" a="1"/>
  <c r="W43" i="2" a="1"/>
  <c r="X37" i="2" a="1"/>
  <c r="X17" i="2" a="1"/>
  <c r="V35" i="2" a="1"/>
  <c r="J60" i="2" a="1"/>
  <c r="AC14" i="2" a="1"/>
  <c r="E36" i="2" a="1"/>
  <c r="E53" i="2" a="1"/>
  <c r="E14" i="2" a="1"/>
  <c r="K23" i="2" a="1"/>
  <c r="P60" i="2" a="1"/>
  <c r="AC59" i="2" a="1"/>
  <c r="W51" i="2" a="1"/>
  <c r="X47" i="2" a="1"/>
  <c r="V23" i="2" a="1"/>
  <c r="AC16" i="2" a="1"/>
  <c r="P59" i="2" a="1"/>
  <c r="E50" i="2" a="1"/>
  <c r="K35" i="2" a="1"/>
  <c r="AB60" i="2" a="1"/>
  <c r="W53" i="2" a="1"/>
  <c r="X31" i="2" a="1"/>
  <c r="X45" i="2" a="1"/>
  <c r="V64" i="2" a="1"/>
  <c r="AC50" i="2" a="1"/>
  <c r="P63" i="2" a="1"/>
  <c r="E30" i="2" a="1"/>
  <c r="K25" i="2" a="1"/>
  <c r="V41" i="2" a="1"/>
  <c r="AC32" i="2" a="1"/>
  <c r="E18" i="2" a="1"/>
  <c r="K60" i="2" a="1"/>
  <c r="J66" i="2" a="1"/>
  <c r="W41" i="2" a="1"/>
  <c r="AC22" i="2" a="1"/>
  <c r="E24" i="2" a="1"/>
  <c r="J65" i="2" a="1"/>
  <c r="W45" i="2" a="1"/>
  <c r="AC24" i="2" a="1"/>
  <c r="K19" i="2" a="1"/>
  <c r="E67" i="2" a="1"/>
  <c r="X27" i="2" a="1"/>
  <c r="AC26" i="2" a="1"/>
  <c r="K45" i="2" a="1"/>
  <c r="AC61" i="2" a="1"/>
  <c r="D66" i="2" a="1"/>
  <c r="W17" i="2" a="1"/>
  <c r="V51" i="2" a="1"/>
  <c r="AC55" i="2" a="1"/>
  <c r="E32" i="2" a="1"/>
  <c r="K27" i="2" a="1"/>
  <c r="AB67" i="2" a="1"/>
  <c r="W49" i="2" a="1"/>
  <c r="X29" i="2" a="1"/>
  <c r="X55" i="2" a="1"/>
  <c r="Q63" i="2" a="1"/>
  <c r="X62" i="2" a="1"/>
  <c r="V19" i="2" a="1"/>
  <c r="K67" i="2" a="1"/>
  <c r="Q59" i="2" a="1"/>
  <c r="X35" i="2" a="1"/>
  <c r="V55" i="2" a="1"/>
  <c r="E16" i="2" a="1"/>
  <c r="D65" i="2" a="1"/>
  <c r="W29" i="2" a="1"/>
  <c r="V31" i="2" a="1"/>
  <c r="E44" i="2" a="1"/>
  <c r="V25" i="2" a="1"/>
  <c r="E62" i="2" a="1"/>
  <c r="K51" i="2" a="1"/>
  <c r="W62" i="2" a="1"/>
  <c r="X51" i="2" a="1"/>
  <c r="E65" i="2" a="1"/>
  <c r="F32" i="2" a="1"/>
  <c r="F55" i="2" a="1"/>
  <c r="F48" i="2" a="1"/>
  <c r="F65" i="2" a="1"/>
  <c r="G26" i="2" a="1"/>
  <c r="G55" i="2" a="1"/>
  <c r="G44" i="2" a="1"/>
  <c r="AC65" i="2" a="1"/>
  <c r="S53" i="2" a="1"/>
  <c r="S28" i="2" a="1"/>
  <c r="S55" i="2" a="1"/>
  <c r="AE36" i="2" a="1"/>
  <c r="AE34" i="2" a="1"/>
  <c r="AE61" i="2" a="1"/>
  <c r="AE64" i="2" a="1"/>
  <c r="R42" i="2" a="1"/>
  <c r="R24" i="2" a="1"/>
  <c r="R64" i="2" a="1"/>
  <c r="R38" i="2" a="1"/>
  <c r="L15" i="2" a="1"/>
  <c r="L31" i="2" a="1"/>
  <c r="L25" i="2" a="1"/>
  <c r="L51" i="2" a="1"/>
  <c r="N30" i="2" a="1"/>
  <c r="N32" i="2" a="1"/>
  <c r="N28" i="2" a="1"/>
  <c r="N12" i="2" a="1"/>
  <c r="AD42" i="2" a="1"/>
  <c r="AD34" i="2" a="1"/>
  <c r="AD32" i="2" a="1"/>
  <c r="R65" i="2" a="1"/>
  <c r="R50" i="2" a="1"/>
  <c r="N11" i="2" a="1"/>
  <c r="AD24" i="2" a="1"/>
  <c r="X66" i="2" a="1"/>
  <c r="L53" i="2" a="1"/>
  <c r="N22" i="2" a="1"/>
  <c r="AD26" i="2" a="1"/>
  <c r="E66" i="2" a="1"/>
  <c r="F26" i="2" a="1"/>
  <c r="F30" i="2" a="1"/>
  <c r="F24" i="2" a="1"/>
  <c r="F66" i="2" a="1"/>
  <c r="G34" i="2" a="1"/>
  <c r="G22" i="2" a="1"/>
  <c r="G30" i="2" a="1"/>
  <c r="AC66" i="2" a="1"/>
  <c r="S44" i="2" a="1"/>
  <c r="S46" i="2" a="1"/>
  <c r="S42" i="2" a="1"/>
  <c r="AE51" i="2" a="1"/>
  <c r="AE42" i="2" a="1"/>
  <c r="AE32" i="2" a="1"/>
  <c r="AE22" i="2" a="1"/>
  <c r="R55" i="2" a="1"/>
  <c r="R36" i="2" a="1"/>
  <c r="R44" i="2" a="1"/>
  <c r="R62" i="2" a="1"/>
  <c r="L43" i="2" a="1"/>
  <c r="L49" i="2" a="1"/>
  <c r="L33" i="2" a="1"/>
  <c r="L64" i="2" a="1"/>
  <c r="N38" i="2" a="1"/>
  <c r="N48" i="2" a="1"/>
  <c r="N24" i="2" a="1"/>
  <c r="N16" i="2" a="1"/>
  <c r="AD44" i="2" a="1"/>
  <c r="AD48" i="2" a="1"/>
  <c r="AD64" i="2" a="1"/>
  <c r="AD30" i="2" a="1"/>
  <c r="F59" i="2" a="1"/>
  <c r="R59" i="2" a="1"/>
  <c r="L66" i="2" a="1"/>
  <c r="R18" i="2" a="1"/>
  <c r="L35" i="2" a="1"/>
  <c r="L62" i="2" a="1"/>
  <c r="K65" i="2" a="1"/>
  <c r="N46" i="2" a="1"/>
  <c r="AD28" i="2" a="1"/>
  <c r="AC67" i="2" a="1"/>
  <c r="Q65" i="2" a="1"/>
  <c r="N53" i="2" a="1"/>
  <c r="L67" i="2" a="1"/>
  <c r="F63" i="2" a="1"/>
  <c r="AE16" i="2" a="1"/>
  <c r="AD46" i="2" a="1"/>
  <c r="AD16" i="2" a="1"/>
  <c r="X65" i="2" a="1"/>
  <c r="F44" i="2" a="1"/>
  <c r="F64" i="2" a="1"/>
  <c r="F16" i="2" a="1"/>
  <c r="F22" i="2" a="1"/>
  <c r="G28" i="2" a="1"/>
  <c r="G50" i="2" a="1"/>
  <c r="G46" i="2" a="1"/>
  <c r="G62" i="2" a="1"/>
  <c r="S50" i="2" a="1"/>
  <c r="S22" i="2" a="1"/>
  <c r="S61" i="2" a="1"/>
  <c r="S26" i="2" a="1"/>
  <c r="AE53" i="2" a="1"/>
  <c r="AE62" i="2" a="1"/>
  <c r="AE28" i="2" a="1"/>
  <c r="R46" i="2" a="1"/>
  <c r="Q66" i="2" a="1"/>
  <c r="L27" i="2" a="1"/>
  <c r="N34" i="2" a="1"/>
  <c r="N18" i="2" a="1"/>
  <c r="W66" i="2" a="1"/>
  <c r="L60" i="2" a="1"/>
  <c r="L45" i="2" a="1"/>
  <c r="N36" i="2" a="1"/>
  <c r="W65" i="2" a="1"/>
  <c r="G16" i="2" a="1"/>
  <c r="S14" i="2" a="1"/>
  <c r="AE48" i="2" a="1"/>
  <c r="AE18" i="2" a="1"/>
  <c r="R22" i="2" a="1"/>
  <c r="R14" i="2" a="1"/>
  <c r="K66" i="2" a="1"/>
  <c r="AD18" i="2" a="1"/>
  <c r="R66" i="2" a="1"/>
  <c r="F42" i="2" a="1"/>
  <c r="F50" i="2" a="1"/>
  <c r="F46" i="2" a="1"/>
  <c r="F62" i="2" a="1"/>
  <c r="G64" i="2" a="1"/>
  <c r="G18" i="2" a="1"/>
  <c r="G53" i="2" a="1"/>
  <c r="S36" i="2" a="1"/>
  <c r="S62" i="2" a="1"/>
  <c r="S32" i="2" a="1"/>
  <c r="AE24" i="2" a="1"/>
  <c r="AE30" i="2" a="1"/>
  <c r="R32" i="2" a="1"/>
  <c r="L23" i="2" a="1"/>
  <c r="N14" i="2" a="1"/>
  <c r="AC60" i="2" a="1"/>
  <c r="AD53" i="2" a="1"/>
  <c r="F36" i="2" a="1"/>
  <c r="F61" i="2" a="1"/>
  <c r="F49" i="2" a="1"/>
  <c r="F53" i="2" a="1"/>
  <c r="G61" i="2" a="1"/>
  <c r="G38" i="2" a="1"/>
  <c r="G24" i="2" a="1"/>
  <c r="G32" i="2" a="1"/>
  <c r="S38" i="2" a="1"/>
  <c r="S16" i="2" a="1"/>
  <c r="S18" i="2" a="1"/>
  <c r="S34" i="2" a="1"/>
  <c r="AE26" i="2" a="1"/>
  <c r="AE44" i="2" a="1"/>
  <c r="AE46" i="2" a="1"/>
  <c r="R30" i="2" a="1"/>
  <c r="R48" i="2" a="1"/>
  <c r="R53" i="2" a="1"/>
  <c r="R34" i="2" a="1"/>
  <c r="L19" i="2" a="1"/>
  <c r="L61" i="2" a="1"/>
  <c r="L41" i="2" a="1"/>
  <c r="L37" i="2" a="1"/>
  <c r="Q67" i="2" a="1"/>
  <c r="N42" i="2" a="1"/>
  <c r="N26" i="2" a="1"/>
  <c r="N50" i="2" a="1"/>
  <c r="AD51" i="2" a="1"/>
  <c r="AD61" i="2" a="1"/>
  <c r="AD22" i="2" a="1"/>
  <c r="AD50" i="2" a="1"/>
  <c r="AD63" i="2" a="1"/>
  <c r="X60" i="2" a="1"/>
  <c r="R67" i="2" a="1"/>
  <c r="F60" i="2" a="1"/>
  <c r="F38" i="2" a="1"/>
  <c r="F18" i="2" a="1"/>
  <c r="F28" i="2" a="1"/>
  <c r="G48" i="2" a="1"/>
  <c r="G14" i="2" a="1"/>
  <c r="S24" i="2" a="1"/>
  <c r="S30" i="2" a="1"/>
  <c r="AE14" i="2" a="1"/>
  <c r="R61" i="2" a="1"/>
  <c r="R28" i="2" a="1"/>
  <c r="R16" i="2" a="1"/>
  <c r="L55" i="2" a="1"/>
  <c r="L29" i="2" a="1"/>
  <c r="Q60" i="2" a="1"/>
  <c r="N61" i="2" a="1"/>
  <c r="AD14" i="2" a="1"/>
  <c r="AD38" i="2" a="1"/>
  <c r="X67" i="2" a="1"/>
  <c r="F67" i="2" a="1"/>
  <c r="L65" i="2" a="1"/>
  <c r="F34" i="2" a="1"/>
  <c r="G36" i="2" a="1"/>
  <c r="G42" i="2" a="1"/>
  <c r="S64" i="2" a="1"/>
  <c r="S48" i="2" a="1"/>
  <c r="AE50" i="2" a="1"/>
  <c r="AE38" i="2" a="1"/>
  <c r="R26" i="2" a="1"/>
  <c r="L17" i="2" a="1"/>
  <c r="L47" i="2" a="1"/>
  <c r="N44" i="2" a="1"/>
  <c r="N10" i="2" a="1"/>
  <c r="AD62" i="2" a="1"/>
  <c r="AD36" i="2" a="1"/>
  <c r="AD59" i="2" a="1"/>
  <c r="R60" i="2" a="1"/>
  <c r="R63" i="2" a="1"/>
  <c r="AD65" i="2" a="1"/>
  <c r="AF61" i="2" a="1"/>
  <c r="AF24" i="2" a="1"/>
  <c r="AF36" i="2" a="1"/>
  <c r="AF22" i="2" a="1"/>
  <c r="N9" i="2" a="1"/>
  <c r="N27" i="2" a="1"/>
  <c r="N13" i="2" a="1"/>
  <c r="N35" i="2" a="1"/>
  <c r="Z9" i="2" a="1"/>
  <c r="Z28" i="2" a="1"/>
  <c r="Z38" i="2" a="1"/>
  <c r="T14" i="2" a="1"/>
  <c r="T48" i="2" a="1"/>
  <c r="T12" i="2" a="1"/>
  <c r="T36" i="2" a="1"/>
  <c r="M41" i="2" a="1"/>
  <c r="M51" i="2" a="1"/>
  <c r="M64" i="2" a="1"/>
  <c r="M19" i="2" a="1"/>
  <c r="H42" i="2" a="1"/>
  <c r="H61" i="2" a="1"/>
  <c r="H36" i="2" a="1"/>
  <c r="AF38" i="2" a="1"/>
  <c r="AF34" i="2" a="1"/>
  <c r="N55" i="2" a="1"/>
  <c r="Z48" i="2" a="1"/>
  <c r="T24" i="2" a="1"/>
  <c r="T26" i="2" a="1"/>
  <c r="M31" i="2" a="1"/>
  <c r="H22" i="2" a="1"/>
  <c r="AF28" i="2" a="1"/>
  <c r="Z44" i="2" a="1"/>
  <c r="T50" i="2" a="1"/>
  <c r="T53" i="2" a="1"/>
  <c r="M53" i="2" a="1"/>
  <c r="N29" i="2" a="1"/>
  <c r="M15" i="2" a="1"/>
  <c r="M67" i="2" a="1"/>
  <c r="AF48" i="2" a="1"/>
  <c r="N33" i="2" a="1"/>
  <c r="T28" i="2" a="1"/>
  <c r="AF46" i="2" a="1"/>
  <c r="N41" i="2" a="1"/>
  <c r="Z22" i="2" a="1"/>
  <c r="Z36" i="2" a="1"/>
  <c r="T61" i="2" a="1"/>
  <c r="T46" i="2" a="1"/>
  <c r="M37" i="2" a="1"/>
  <c r="H48" i="2" a="1"/>
  <c r="H12" i="2" a="1"/>
  <c r="AF26" i="2" a="1"/>
  <c r="N51" i="2" a="1"/>
  <c r="Z53" i="2" a="1"/>
  <c r="T8" i="2" a="1"/>
  <c r="M27" i="2" a="1"/>
  <c r="H10" i="2" a="1"/>
  <c r="M60" i="2" a="1"/>
  <c r="AF53" i="2" a="1"/>
  <c r="AF44" i="2" a="1"/>
  <c r="AF42" i="2" a="1"/>
  <c r="N49" i="2" a="1"/>
  <c r="N15" i="2" a="1"/>
  <c r="Z26" i="2" a="1"/>
  <c r="Z61" i="2" a="1"/>
  <c r="T38" i="2" a="1"/>
  <c r="T22" i="2" a="1"/>
  <c r="M49" i="2" a="1"/>
  <c r="M35" i="2" a="1"/>
  <c r="H26" i="2" a="1"/>
  <c r="H46" i="2" a="1"/>
  <c r="AF10" i="2" a="1"/>
  <c r="N19" i="2" a="1"/>
  <c r="Z32" i="2" a="1"/>
  <c r="Z16" i="2" a="1"/>
  <c r="T34" i="2" a="1"/>
  <c r="M61" i="2" a="1"/>
  <c r="M45" i="2" a="1"/>
  <c r="H50" i="2" a="1"/>
  <c r="H28" i="2" a="1"/>
  <c r="N45" i="2" a="1"/>
  <c r="M25" i="2" a="1"/>
  <c r="H32" i="2" a="1"/>
  <c r="H16" i="2" a="1"/>
  <c r="Y67" i="2" a="1"/>
  <c r="AF50" i="2" a="1"/>
  <c r="N47" i="2" a="1"/>
  <c r="Z30" i="2" a="1"/>
  <c r="T16" i="2" a="1"/>
  <c r="H38" i="2" a="1"/>
  <c r="H64" i="2" a="1"/>
  <c r="AD66" i="2" a="1"/>
  <c r="N31" i="2" a="1"/>
  <c r="T44" i="2" a="1"/>
  <c r="H14" i="2" a="1"/>
  <c r="AF30" i="2" a="1"/>
  <c r="N17" i="2" a="1"/>
  <c r="Z42" i="2" a="1"/>
  <c r="T18" i="2" a="1"/>
  <c r="M43" i="2" a="1"/>
  <c r="Y60" i="2" a="1"/>
  <c r="AF8" i="2" a="1"/>
  <c r="AF14" i="2" a="1"/>
  <c r="AF16" i="2" a="1"/>
  <c r="N23" i="2" a="1"/>
  <c r="N37" i="2" a="1"/>
  <c r="N43" i="2" a="1"/>
  <c r="N62" i="2" a="1"/>
  <c r="Z50" i="2" a="1"/>
  <c r="Z14" i="2" a="1"/>
  <c r="Z46" i="2" a="1"/>
  <c r="Z10" i="2" a="1"/>
  <c r="T32" i="2" a="1"/>
  <c r="T42" i="2" a="1"/>
  <c r="T10" i="2" a="1"/>
  <c r="M23" i="2" a="1"/>
  <c r="M33" i="2" a="1"/>
  <c r="M47" i="2" a="1"/>
  <c r="M29" i="2" a="1"/>
  <c r="H34" i="2" a="1"/>
  <c r="H18" i="2" a="1"/>
  <c r="H24" i="2" a="1"/>
  <c r="H44" i="2" a="1"/>
  <c r="AF12" i="2" a="1"/>
  <c r="AF32" i="2" a="1"/>
  <c r="N64" i="2" a="1"/>
  <c r="N25" i="2" a="1"/>
  <c r="Z34" i="2" a="1"/>
  <c r="Z12" i="2" a="1"/>
  <c r="T30" i="2" a="1"/>
  <c r="M17" i="2" a="1"/>
  <c r="M62" i="2" a="1"/>
  <c r="H53" i="2" a="1"/>
  <c r="AF18" i="2" a="1"/>
  <c r="Z18" i="2" a="1"/>
  <c r="Z24" i="2" a="1"/>
  <c r="M55" i="2" a="1"/>
  <c r="H30" i="2" a="1"/>
  <c r="Z41" i="2" a="1"/>
  <c r="Z35" i="2" a="1"/>
  <c r="Z27" i="2" a="1"/>
  <c r="Z43" i="2" a="1"/>
  <c r="Y25" i="2" a="1"/>
  <c r="Y47" i="2" a="1"/>
  <c r="Y17" i="2" a="1"/>
  <c r="Y43" i="2" a="1"/>
  <c r="H67" i="2" a="1"/>
  <c r="G59" i="2" a="1"/>
  <c r="T59" i="2" a="1"/>
  <c r="Z67" i="2" a="1"/>
  <c r="G67" i="2" a="1"/>
  <c r="AE63" i="2" a="1"/>
  <c r="Z25" i="2" a="1"/>
  <c r="Z15" i="2" a="1"/>
  <c r="Y15" i="2" a="1"/>
  <c r="G63" i="2" a="1"/>
  <c r="T63" i="2" a="1"/>
  <c r="G60" i="2" a="1"/>
  <c r="Z11" i="2" a="1"/>
  <c r="Z29" i="2" a="1"/>
  <c r="Y19" i="2" a="1"/>
  <c r="S65" i="2" a="1"/>
  <c r="N60" i="2" a="1"/>
  <c r="AE59" i="2" a="1"/>
  <c r="Z33" i="2" a="1"/>
  <c r="Z37" i="2" a="1"/>
  <c r="Y41" i="2" a="1"/>
  <c r="AE67" i="2" a="1"/>
  <c r="AE65" i="2" a="1"/>
  <c r="Z64" i="2" a="1"/>
  <c r="Y49" i="2" a="1"/>
  <c r="S63" i="2" a="1"/>
  <c r="Z31" i="2" a="1"/>
  <c r="Z13" i="2" a="1"/>
  <c r="Y62" i="2" a="1"/>
  <c r="G65" i="2" a="1"/>
  <c r="T60" i="2" a="1"/>
  <c r="Y37" i="2" a="1"/>
  <c r="Y45" i="2" a="1"/>
  <c r="N65" i="2" a="1"/>
  <c r="AF63" i="2" a="1"/>
  <c r="Z23" i="2" a="1"/>
  <c r="Y53" i="2" a="1"/>
  <c r="H59" i="2" a="1"/>
  <c r="Z17" i="2" a="1"/>
  <c r="Y31" i="2" a="1"/>
  <c r="S59" i="2" a="1"/>
  <c r="AE66" i="2" a="1"/>
  <c r="N67" i="2" a="1"/>
  <c r="G66" i="2" a="1"/>
  <c r="Y61" i="2" a="1"/>
  <c r="Z55" i="2" a="1"/>
  <c r="Y27" i="2" a="1"/>
  <c r="H63" i="2" a="1"/>
  <c r="AF60" i="2" a="1"/>
  <c r="Y51" i="2" a="1"/>
  <c r="T67" i="2" a="1"/>
  <c r="Z49" i="2" a="1"/>
  <c r="Y33" i="2" a="1"/>
  <c r="Z51" i="2" a="1"/>
  <c r="Y23" i="2" a="1"/>
  <c r="H60" i="2" a="1"/>
  <c r="Z60" i="2" a="1"/>
  <c r="S67" i="2" a="1"/>
  <c r="Z62" i="2" a="1"/>
  <c r="Y35" i="2" a="1"/>
  <c r="AE60" i="2" a="1"/>
  <c r="AF65" i="2" a="1"/>
  <c r="Z45" i="2" a="1"/>
  <c r="Y55" i="2" a="1"/>
  <c r="S66" i="2" a="1"/>
  <c r="AF66" i="2" a="1"/>
  <c r="S60" i="2" a="1"/>
  <c r="Z47" i="2" a="1"/>
  <c r="Y29" i="2" a="1"/>
  <c r="AF59" i="2" a="1"/>
  <c r="Z19" i="2" a="1"/>
  <c r="Y64" i="2" a="1"/>
  <c r="N66" i="2" a="1"/>
  <c r="AF67" i="2" a="1"/>
  <c r="M66" i="2" a="1"/>
  <c r="T65" i="2" a="1"/>
  <c r="T66" i="2" a="1"/>
  <c r="Y65" i="2" a="1"/>
  <c r="Y66" i="2" a="1"/>
  <c r="Z66" i="2" a="1"/>
  <c r="H66" i="2" a="1"/>
  <c r="H65" i="2" a="1"/>
  <c r="Z65" i="2" a="1"/>
  <c r="M65" i="2" a="1"/>
  <c r="O9" i="2" l="1"/>
  <c r="P9" i="2"/>
  <c r="D49" i="2"/>
  <c r="AC37" i="2"/>
  <c r="AC11" i="2"/>
  <c r="P10" i="2"/>
  <c r="Y14" i="2"/>
  <c r="D11" i="2"/>
  <c r="O15" i="2"/>
  <c r="O35" i="2"/>
  <c r="AC43" i="2"/>
  <c r="AC8" i="2"/>
  <c r="P62" i="2"/>
  <c r="S27" i="2"/>
  <c r="P31" i="2"/>
  <c r="J8" i="2"/>
  <c r="O31" i="2"/>
  <c r="D7" i="2"/>
  <c r="D27" i="2"/>
  <c r="F10" i="2"/>
  <c r="AA11" i="2"/>
  <c r="D47" i="2"/>
  <c r="D51" i="2"/>
  <c r="O62" i="2"/>
  <c r="O19" i="2"/>
  <c r="AC7" i="2"/>
  <c r="AC13" i="2"/>
  <c r="P13" i="2"/>
  <c r="P23" i="2"/>
  <c r="P49" i="2"/>
  <c r="AE15" i="2"/>
  <c r="AA37" i="2"/>
  <c r="AB8" i="2"/>
  <c r="D10" i="2"/>
  <c r="AC45" i="2"/>
  <c r="AC29" i="2"/>
  <c r="AB7" i="2"/>
  <c r="D43" i="2"/>
  <c r="D37" i="2"/>
  <c r="O33" i="2"/>
  <c r="O17" i="2"/>
  <c r="AC47" i="2"/>
  <c r="AC9" i="2"/>
  <c r="F7" i="2"/>
  <c r="P11" i="2"/>
  <c r="AD8" i="2"/>
  <c r="O29" i="2"/>
  <c r="P29" i="2"/>
  <c r="AD7" i="2"/>
  <c r="I59" i="2"/>
  <c r="D12" i="2"/>
  <c r="D64" i="2"/>
  <c r="O43" i="2"/>
  <c r="K13" i="2"/>
  <c r="AC17" i="2"/>
  <c r="AC15" i="2"/>
  <c r="Q9" i="2"/>
  <c r="P17" i="2"/>
  <c r="P45" i="2"/>
  <c r="M26" i="2"/>
  <c r="G17" i="2"/>
  <c r="Y28" i="2"/>
  <c r="O41" i="2"/>
  <c r="C33" i="2"/>
  <c r="D31" i="2"/>
  <c r="P55" i="2"/>
  <c r="AE23" i="2"/>
  <c r="D29" i="2"/>
  <c r="D35" i="2"/>
  <c r="O23" i="2"/>
  <c r="O51" i="2"/>
  <c r="AC27" i="2"/>
  <c r="AC33" i="2"/>
  <c r="P37" i="2"/>
  <c r="P25" i="2"/>
  <c r="D13" i="2"/>
  <c r="O27" i="2"/>
  <c r="M12" i="2"/>
  <c r="O55" i="2"/>
  <c r="C43" i="2"/>
  <c r="D23" i="2"/>
  <c r="Q12" i="2"/>
  <c r="O49" i="2"/>
  <c r="I63" i="2"/>
  <c r="O25" i="2"/>
  <c r="AC12" i="2"/>
  <c r="W10" i="2"/>
  <c r="P64" i="2"/>
  <c r="O37" i="2"/>
  <c r="P47" i="2"/>
  <c r="R8" i="2"/>
  <c r="AC35" i="2"/>
  <c r="AC49" i="2"/>
  <c r="D9" i="2"/>
  <c r="D62" i="2"/>
  <c r="D19" i="2"/>
  <c r="K26" i="2"/>
  <c r="AC31" i="2"/>
  <c r="P8" i="2"/>
  <c r="P33" i="2"/>
  <c r="G25" i="2"/>
  <c r="D33" i="2"/>
  <c r="D15" i="2"/>
  <c r="O13" i="2"/>
  <c r="O64" i="2"/>
  <c r="AC23" i="2"/>
  <c r="AC41" i="2"/>
  <c r="L8" i="2"/>
  <c r="P51" i="2"/>
  <c r="P15" i="2"/>
  <c r="V34" i="2"/>
  <c r="I46" i="2"/>
  <c r="U44" i="2"/>
  <c r="R7" i="2"/>
  <c r="D8" i="2"/>
  <c r="D45" i="2"/>
  <c r="D41" i="2"/>
  <c r="O11" i="2"/>
  <c r="O7" i="2"/>
  <c r="O47" i="2"/>
  <c r="O45" i="2"/>
  <c r="AC25" i="2"/>
  <c r="AC19" i="2"/>
  <c r="AC10" i="2"/>
  <c r="AC51" i="2"/>
  <c r="L11" i="2"/>
  <c r="W22" i="2"/>
  <c r="P43" i="2"/>
  <c r="P41" i="2"/>
  <c r="P35" i="2"/>
  <c r="S19" i="2"/>
  <c r="V48" i="2"/>
  <c r="P7" i="2"/>
  <c r="I36" i="2"/>
  <c r="J11" i="2"/>
  <c r="U34" i="2"/>
  <c r="M7" i="2"/>
  <c r="X10" i="2"/>
  <c r="F27" i="2"/>
  <c r="R37" i="2"/>
  <c r="F51" i="2"/>
  <c r="K46" i="2"/>
  <c r="AD29" i="2"/>
  <c r="X24" i="2"/>
  <c r="K9" i="2"/>
  <c r="R25" i="2"/>
  <c r="AE45" i="2"/>
  <c r="E7" i="2"/>
  <c r="F29" i="2"/>
  <c r="K24" i="2"/>
  <c r="F9" i="2"/>
  <c r="R13" i="2"/>
  <c r="AE47" i="2"/>
  <c r="E29" i="2"/>
  <c r="M11" i="2"/>
  <c r="K12" i="2"/>
  <c r="G13" i="2"/>
  <c r="X22" i="2"/>
  <c r="X38" i="2"/>
  <c r="AE37" i="2"/>
  <c r="X14" i="2"/>
  <c r="AE33" i="2"/>
  <c r="G19" i="2"/>
  <c r="M50" i="2"/>
  <c r="AD9" i="2"/>
  <c r="E43" i="2"/>
  <c r="G43" i="2"/>
  <c r="M36" i="2"/>
  <c r="X46" i="2"/>
  <c r="X30" i="2"/>
  <c r="G31" i="2"/>
  <c r="G41" i="2"/>
  <c r="R45" i="2"/>
  <c r="G45" i="2"/>
  <c r="E49" i="2"/>
  <c r="G33" i="2"/>
  <c r="R15" i="2"/>
  <c r="AD37" i="2"/>
  <c r="S17" i="2"/>
  <c r="F25" i="2"/>
  <c r="R47" i="2"/>
  <c r="X42" i="2"/>
  <c r="E45" i="2"/>
  <c r="R41" i="2"/>
  <c r="R11" i="2"/>
  <c r="M13" i="2"/>
  <c r="G12" i="2"/>
  <c r="M14" i="2"/>
  <c r="F47" i="2"/>
  <c r="AD47" i="2"/>
  <c r="S47" i="2"/>
  <c r="F41" i="2"/>
  <c r="AD35" i="2"/>
  <c r="S15" i="2"/>
  <c r="X12" i="2"/>
  <c r="R35" i="2"/>
  <c r="AD25" i="2"/>
  <c r="E12" i="2"/>
  <c r="G35" i="2"/>
  <c r="M46" i="2"/>
  <c r="F11" i="2"/>
  <c r="K34" i="2"/>
  <c r="G9" i="2"/>
  <c r="K63" i="2"/>
  <c r="G47" i="2"/>
  <c r="X26" i="2"/>
  <c r="X48" i="2"/>
  <c r="M22" i="2"/>
  <c r="M34" i="2"/>
  <c r="R19" i="2"/>
  <c r="F43" i="2"/>
  <c r="F45" i="2"/>
  <c r="AE27" i="2"/>
  <c r="AD43" i="2"/>
  <c r="L46" i="2"/>
  <c r="W18" i="2"/>
  <c r="AA25" i="2"/>
  <c r="AB64" i="2"/>
  <c r="C23" i="2"/>
  <c r="J30" i="2"/>
  <c r="Q37" i="2"/>
  <c r="S51" i="2"/>
  <c r="L10" i="2"/>
  <c r="L34" i="2"/>
  <c r="L48" i="2"/>
  <c r="W42" i="2"/>
  <c r="W24" i="2"/>
  <c r="W12" i="2"/>
  <c r="AA33" i="2"/>
  <c r="AA41" i="2"/>
  <c r="AA45" i="2"/>
  <c r="V30" i="2"/>
  <c r="V26" i="2"/>
  <c r="V36" i="2"/>
  <c r="AB33" i="2"/>
  <c r="AB27" i="2"/>
  <c r="AB41" i="2"/>
  <c r="C51" i="2"/>
  <c r="C25" i="2"/>
  <c r="C41" i="2"/>
  <c r="U63" i="2"/>
  <c r="J53" i="2"/>
  <c r="J12" i="2"/>
  <c r="J63" i="2"/>
  <c r="Q33" i="2"/>
  <c r="Q25" i="2"/>
  <c r="W11" i="2"/>
  <c r="AA55" i="2"/>
  <c r="AB35" i="2"/>
  <c r="C19" i="2"/>
  <c r="J50" i="2"/>
  <c r="Q49" i="2"/>
  <c r="E15" i="2"/>
  <c r="L26" i="2"/>
  <c r="W32" i="2"/>
  <c r="W8" i="2"/>
  <c r="W9" i="2"/>
  <c r="AA19" i="2"/>
  <c r="AA17" i="2"/>
  <c r="AA51" i="2"/>
  <c r="V38" i="2"/>
  <c r="V9" i="2"/>
  <c r="V42" i="2"/>
  <c r="AB45" i="2"/>
  <c r="AB13" i="2"/>
  <c r="AB25" i="2"/>
  <c r="C35" i="2"/>
  <c r="C29" i="2"/>
  <c r="C17" i="2"/>
  <c r="U59" i="2"/>
  <c r="J7" i="2"/>
  <c r="J14" i="2"/>
  <c r="J59" i="2"/>
  <c r="Q23" i="2"/>
  <c r="Q47" i="2"/>
  <c r="AD49" i="2"/>
  <c r="E47" i="2"/>
  <c r="G8" i="2"/>
  <c r="M9" i="2"/>
  <c r="F12" i="2"/>
  <c r="AD27" i="2"/>
  <c r="K22" i="2"/>
  <c r="S41" i="2"/>
  <c r="S43" i="2"/>
  <c r="L9" i="2"/>
  <c r="L12" i="2"/>
  <c r="W30" i="2"/>
  <c r="AA47" i="2"/>
  <c r="AA9" i="2"/>
  <c r="V11" i="2"/>
  <c r="V8" i="2"/>
  <c r="V22" i="2"/>
  <c r="AB9" i="2"/>
  <c r="AB55" i="2"/>
  <c r="AB31" i="2"/>
  <c r="C27" i="2"/>
  <c r="C62" i="2"/>
  <c r="C8" i="2"/>
  <c r="C49" i="2"/>
  <c r="J46" i="2"/>
  <c r="J38" i="2"/>
  <c r="J18" i="2"/>
  <c r="J10" i="2"/>
  <c r="Q29" i="2"/>
  <c r="Q13" i="2"/>
  <c r="Q35" i="2"/>
  <c r="Q8" i="2"/>
  <c r="AE12" i="2"/>
  <c r="E55" i="2"/>
  <c r="G27" i="2"/>
  <c r="M42" i="2"/>
  <c r="AE19" i="2"/>
  <c r="K44" i="2"/>
  <c r="S25" i="2"/>
  <c r="L14" i="2"/>
  <c r="L38" i="2"/>
  <c r="W16" i="2"/>
  <c r="W44" i="2"/>
  <c r="W50" i="2"/>
  <c r="AA7" i="2"/>
  <c r="V12" i="2"/>
  <c r="AB43" i="2"/>
  <c r="AD15" i="2"/>
  <c r="L28" i="2"/>
  <c r="G49" i="2"/>
  <c r="R33" i="2"/>
  <c r="AE43" i="2"/>
  <c r="S11" i="2"/>
  <c r="X28" i="2"/>
  <c r="R51" i="2"/>
  <c r="F23" i="2"/>
  <c r="AE9" i="2"/>
  <c r="K18" i="2"/>
  <c r="K14" i="2"/>
  <c r="E33" i="2"/>
  <c r="E9" i="2"/>
  <c r="S31" i="2"/>
  <c r="S12" i="2"/>
  <c r="L32" i="2"/>
  <c r="L18" i="2"/>
  <c r="W28" i="2"/>
  <c r="W14" i="2"/>
  <c r="AA27" i="2"/>
  <c r="AA64" i="2"/>
  <c r="AA13" i="2"/>
  <c r="V61" i="2"/>
  <c r="V10" i="2"/>
  <c r="V16" i="2"/>
  <c r="AB49" i="2"/>
  <c r="AB23" i="2"/>
  <c r="AB47" i="2"/>
  <c r="AB10" i="2"/>
  <c r="C55" i="2"/>
  <c r="C9" i="2"/>
  <c r="C45" i="2"/>
  <c r="C11" i="2"/>
  <c r="J28" i="2"/>
  <c r="J24" i="2"/>
  <c r="J22" i="2"/>
  <c r="J42" i="2"/>
  <c r="Q7" i="2"/>
  <c r="Q31" i="2"/>
  <c r="Q43" i="2"/>
  <c r="Q45" i="2"/>
  <c r="AE8" i="2"/>
  <c r="K30" i="2"/>
  <c r="L7" i="2"/>
  <c r="M28" i="2"/>
  <c r="F31" i="2"/>
  <c r="AD19" i="2"/>
  <c r="K48" i="2"/>
  <c r="W59" i="2"/>
  <c r="X44" i="2"/>
  <c r="R29" i="2"/>
  <c r="AE7" i="2"/>
  <c r="AD13" i="2"/>
  <c r="H8" i="2"/>
  <c r="E11" i="2"/>
  <c r="S8" i="2"/>
  <c r="S10" i="2"/>
  <c r="L24" i="2"/>
  <c r="L44" i="2"/>
  <c r="W34" i="2"/>
  <c r="W46" i="2"/>
  <c r="V53" i="2"/>
  <c r="AD45" i="2"/>
  <c r="K8" i="2"/>
  <c r="S45" i="2"/>
  <c r="W63" i="2"/>
  <c r="X36" i="2"/>
  <c r="R9" i="2"/>
  <c r="AE35" i="2"/>
  <c r="E10" i="2"/>
  <c r="G10" i="2"/>
  <c r="X32" i="2"/>
  <c r="M8" i="2"/>
  <c r="R12" i="2"/>
  <c r="F15" i="2"/>
  <c r="AD10" i="2"/>
  <c r="K59" i="2"/>
  <c r="X8" i="2"/>
  <c r="X11" i="2"/>
  <c r="M16" i="2"/>
  <c r="M44" i="2"/>
  <c r="R43" i="2"/>
  <c r="F8" i="2"/>
  <c r="F33" i="2"/>
  <c r="AE49" i="2"/>
  <c r="AE41" i="2"/>
  <c r="AE29" i="2"/>
  <c r="AD17" i="2"/>
  <c r="AD55" i="2"/>
  <c r="AD11" i="2"/>
  <c r="K10" i="2"/>
  <c r="K7" i="2"/>
  <c r="K28" i="2"/>
  <c r="K42" i="2"/>
  <c r="E31" i="2"/>
  <c r="E35" i="2"/>
  <c r="E27" i="2"/>
  <c r="E41" i="2"/>
  <c r="S37" i="2"/>
  <c r="S23" i="2"/>
  <c r="S33" i="2"/>
  <c r="S49" i="2"/>
  <c r="L13" i="2"/>
  <c r="L30" i="2"/>
  <c r="L16" i="2"/>
  <c r="X7" i="2"/>
  <c r="W26" i="2"/>
  <c r="W7" i="2"/>
  <c r="W13" i="2"/>
  <c r="AA35" i="2"/>
  <c r="AA31" i="2"/>
  <c r="AA15" i="2"/>
  <c r="AA43" i="2"/>
  <c r="V14" i="2"/>
  <c r="V32" i="2"/>
  <c r="V7" i="2"/>
  <c r="V24" i="2"/>
  <c r="AB37" i="2"/>
  <c r="AB19" i="2"/>
  <c r="AB29" i="2"/>
  <c r="V59" i="2"/>
  <c r="C7" i="2"/>
  <c r="C31" i="2"/>
  <c r="C15" i="2"/>
  <c r="E25" i="2"/>
  <c r="J9" i="2"/>
  <c r="J34" i="2"/>
  <c r="J36" i="2"/>
  <c r="J61" i="2"/>
  <c r="Q11" i="2"/>
  <c r="Q27" i="2"/>
  <c r="Q19" i="2"/>
  <c r="Q15" i="2"/>
  <c r="K50" i="2"/>
  <c r="L42" i="2"/>
  <c r="X18" i="2"/>
  <c r="R10" i="2"/>
  <c r="AE25" i="2"/>
  <c r="E19" i="2"/>
  <c r="G29" i="2"/>
  <c r="M48" i="2"/>
  <c r="AE11" i="2"/>
  <c r="AD33" i="2"/>
  <c r="G11" i="2"/>
  <c r="X16" i="2"/>
  <c r="M24" i="2"/>
  <c r="M30" i="2"/>
  <c r="R31" i="2"/>
  <c r="R17" i="2"/>
  <c r="F13" i="2"/>
  <c r="F19" i="2"/>
  <c r="AE31" i="2"/>
  <c r="F17" i="2"/>
  <c r="K11" i="2"/>
  <c r="S29" i="2"/>
  <c r="G51" i="2"/>
  <c r="M32" i="2"/>
  <c r="F14" i="2"/>
  <c r="AD41" i="2"/>
  <c r="H7" i="2"/>
  <c r="G7" i="2"/>
  <c r="M18" i="2"/>
  <c r="R27" i="2"/>
  <c r="F37" i="2"/>
  <c r="AD12" i="2"/>
  <c r="G37" i="2"/>
  <c r="X50" i="2"/>
  <c r="G15" i="2"/>
  <c r="G23" i="2"/>
  <c r="X34" i="2"/>
  <c r="X13" i="2"/>
  <c r="M10" i="2"/>
  <c r="M38" i="2"/>
  <c r="R49" i="2"/>
  <c r="R23" i="2"/>
  <c r="F35" i="2"/>
  <c r="AE10" i="2"/>
  <c r="AE17" i="2"/>
  <c r="AE55" i="2"/>
  <c r="AE13" i="2"/>
  <c r="AD23" i="2"/>
  <c r="AD31" i="2"/>
  <c r="K38" i="2"/>
  <c r="K36" i="2"/>
  <c r="K16" i="2"/>
  <c r="K32" i="2"/>
  <c r="E37" i="2"/>
  <c r="E17" i="2"/>
  <c r="E23" i="2"/>
  <c r="E8" i="2"/>
  <c r="S35" i="2"/>
  <c r="S13" i="2"/>
  <c r="S7" i="2"/>
  <c r="S9" i="2"/>
  <c r="L36" i="2"/>
  <c r="L50" i="2"/>
  <c r="L22" i="2"/>
  <c r="X9" i="2"/>
  <c r="W36" i="2"/>
  <c r="W48" i="2"/>
  <c r="W38" i="2"/>
  <c r="AA29" i="2"/>
  <c r="AA49" i="2"/>
  <c r="AA62" i="2"/>
  <c r="AA23" i="2"/>
  <c r="V44" i="2"/>
  <c r="V18" i="2"/>
  <c r="V46" i="2"/>
  <c r="V28" i="2"/>
  <c r="AB17" i="2"/>
  <c r="AB11" i="2"/>
  <c r="AB51" i="2"/>
  <c r="V63" i="2"/>
  <c r="C47" i="2"/>
  <c r="C64" i="2"/>
  <c r="C37" i="2"/>
  <c r="E13" i="2"/>
  <c r="J16" i="2"/>
  <c r="J26" i="2"/>
  <c r="J32" i="2"/>
  <c r="J44" i="2"/>
  <c r="Q41" i="2"/>
  <c r="Q10" i="2"/>
  <c r="Q64" i="2"/>
  <c r="Q17" i="2"/>
  <c r="C12" i="2"/>
  <c r="I64" i="2"/>
  <c r="C13" i="2"/>
  <c r="I17" i="2"/>
  <c r="C14" i="2"/>
  <c r="C18" i="2"/>
  <c r="AA24" i="2"/>
  <c r="Z7" i="2"/>
  <c r="O42" i="2"/>
  <c r="T35" i="2"/>
  <c r="Y63" i="2"/>
  <c r="H15" i="2"/>
  <c r="AF37" i="2"/>
  <c r="AF43" i="2"/>
  <c r="Y8" i="2"/>
  <c r="U10" i="2"/>
  <c r="U53" i="2"/>
  <c r="T55" i="2"/>
  <c r="H45" i="2"/>
  <c r="I48" i="2"/>
  <c r="I42" i="2"/>
  <c r="AF41" i="2"/>
  <c r="Y12" i="2"/>
  <c r="I35" i="2"/>
  <c r="I13" i="2"/>
  <c r="C46" i="2"/>
  <c r="C61" i="2"/>
  <c r="C26" i="2"/>
  <c r="T7" i="2"/>
  <c r="AA18" i="2"/>
  <c r="AA16" i="2"/>
  <c r="O53" i="2"/>
  <c r="O18" i="2"/>
  <c r="O48" i="2"/>
  <c r="T15" i="2"/>
  <c r="H27" i="2"/>
  <c r="H35" i="2"/>
  <c r="M59" i="2"/>
  <c r="AF25" i="2"/>
  <c r="Y42" i="2"/>
  <c r="Y48" i="2"/>
  <c r="U16" i="2"/>
  <c r="U8" i="2"/>
  <c r="T25" i="2"/>
  <c r="T29" i="2"/>
  <c r="I26" i="2"/>
  <c r="I44" i="2"/>
  <c r="AF35" i="2"/>
  <c r="AF47" i="2"/>
  <c r="C48" i="2"/>
  <c r="C10" i="2"/>
  <c r="AA38" i="2"/>
  <c r="O10" i="2"/>
  <c r="O30" i="2"/>
  <c r="O26" i="2"/>
  <c r="U7" i="2"/>
  <c r="H41" i="2"/>
  <c r="H43" i="2"/>
  <c r="M63" i="2"/>
  <c r="I16" i="2"/>
  <c r="Y22" i="2"/>
  <c r="Y34" i="2"/>
  <c r="I51" i="2"/>
  <c r="C42" i="2"/>
  <c r="T13" i="2"/>
  <c r="AA53" i="2"/>
  <c r="U22" i="2"/>
  <c r="T47" i="2"/>
  <c r="T64" i="2"/>
  <c r="H11" i="2"/>
  <c r="I53" i="2"/>
  <c r="AF27" i="2"/>
  <c r="AF51" i="2"/>
  <c r="Y30" i="2"/>
  <c r="AA22" i="2"/>
  <c r="O44" i="2"/>
  <c r="O46" i="2"/>
  <c r="U30" i="2"/>
  <c r="U24" i="2"/>
  <c r="C63" i="2"/>
  <c r="H47" i="2"/>
  <c r="I18" i="2"/>
  <c r="I34" i="2"/>
  <c r="AF64" i="2"/>
  <c r="Y13" i="2"/>
  <c r="C32" i="2"/>
  <c r="AA28" i="2"/>
  <c r="T17" i="2"/>
  <c r="T31" i="2"/>
  <c r="H62" i="2"/>
  <c r="H23" i="2"/>
  <c r="AF55" i="2"/>
  <c r="AF29" i="2"/>
  <c r="Y32" i="2"/>
  <c r="Y16" i="2"/>
  <c r="I11" i="2"/>
  <c r="I62" i="2"/>
  <c r="C22" i="2"/>
  <c r="AA34" i="2"/>
  <c r="O34" i="2"/>
  <c r="O8" i="2"/>
  <c r="U46" i="2"/>
  <c r="U50" i="2"/>
  <c r="C59" i="2"/>
  <c r="T51" i="2"/>
  <c r="I24" i="2"/>
  <c r="I30" i="2"/>
  <c r="AF31" i="2"/>
  <c r="AF45" i="2"/>
  <c r="I31" i="2"/>
  <c r="I43" i="2"/>
  <c r="AA44" i="2"/>
  <c r="AA61" i="2"/>
  <c r="U32" i="2"/>
  <c r="T41" i="2"/>
  <c r="H33" i="2"/>
  <c r="H19" i="2"/>
  <c r="I22" i="2"/>
  <c r="AF62" i="2"/>
  <c r="Y36" i="2"/>
  <c r="Y44" i="2"/>
  <c r="C50" i="2"/>
  <c r="I27" i="2"/>
  <c r="C34" i="2"/>
  <c r="N8" i="2"/>
  <c r="AA8" i="2"/>
  <c r="Z8" i="2"/>
  <c r="O24" i="2"/>
  <c r="O32" i="2"/>
  <c r="U28" i="2"/>
  <c r="T33" i="2"/>
  <c r="T45" i="2"/>
  <c r="Y59" i="2"/>
  <c r="I14" i="2"/>
  <c r="AF11" i="2"/>
  <c r="AF33" i="2"/>
  <c r="L59" i="2"/>
  <c r="AA50" i="2"/>
  <c r="C24" i="2"/>
  <c r="I37" i="2"/>
  <c r="AA26" i="2"/>
  <c r="U61" i="2"/>
  <c r="U42" i="2"/>
  <c r="H13" i="2"/>
  <c r="H51" i="2"/>
  <c r="I12" i="2"/>
  <c r="I7" i="2"/>
  <c r="Y18" i="2"/>
  <c r="Y38" i="2"/>
  <c r="AA46" i="2"/>
  <c r="T9" i="2"/>
  <c r="L63" i="2"/>
  <c r="I45" i="2"/>
  <c r="C38" i="2"/>
  <c r="I23" i="2"/>
  <c r="I19" i="2"/>
  <c r="N7" i="2"/>
  <c r="O22" i="2"/>
  <c r="I29" i="2"/>
  <c r="I47" i="2"/>
  <c r="C36" i="2"/>
  <c r="AF7" i="2"/>
  <c r="AA12" i="2"/>
  <c r="AA32" i="2"/>
  <c r="O16" i="2"/>
  <c r="O38" i="2"/>
  <c r="U9" i="2"/>
  <c r="U48" i="2"/>
  <c r="T62" i="2"/>
  <c r="T37" i="2"/>
  <c r="H17" i="2"/>
  <c r="H9" i="2"/>
  <c r="I32" i="2"/>
  <c r="I9" i="2"/>
  <c r="AF17" i="2"/>
  <c r="X59" i="2"/>
  <c r="Y24" i="2"/>
  <c r="I55" i="2"/>
  <c r="I49" i="2"/>
  <c r="C16" i="2"/>
  <c r="C30" i="2"/>
  <c r="AA36" i="2"/>
  <c r="AA10" i="2"/>
  <c r="O14" i="2"/>
  <c r="O61" i="2"/>
  <c r="U36" i="2"/>
  <c r="U14" i="2"/>
  <c r="T49" i="2"/>
  <c r="T23" i="2"/>
  <c r="H31" i="2"/>
  <c r="H55" i="2"/>
  <c r="I8" i="2"/>
  <c r="I61" i="2"/>
  <c r="AF15" i="2"/>
  <c r="AF19" i="2"/>
  <c r="Y50" i="2"/>
  <c r="Y46" i="2"/>
  <c r="Y11" i="2"/>
  <c r="I41" i="2"/>
  <c r="I15" i="2"/>
  <c r="I25" i="2"/>
  <c r="I33" i="2"/>
  <c r="C44" i="2"/>
  <c r="C28" i="2"/>
  <c r="C53" i="2"/>
  <c r="AF9" i="2"/>
  <c r="AA30" i="2"/>
  <c r="AA14" i="2"/>
  <c r="AA42" i="2"/>
  <c r="AA48" i="2"/>
  <c r="O12" i="2"/>
  <c r="O50" i="2"/>
  <c r="O28" i="2"/>
  <c r="O36" i="2"/>
  <c r="U38" i="2"/>
  <c r="U26" i="2"/>
  <c r="U18" i="2"/>
  <c r="U12" i="2"/>
  <c r="T43" i="2"/>
  <c r="T27" i="2"/>
  <c r="T11" i="2"/>
  <c r="T19" i="2"/>
  <c r="H49" i="2"/>
  <c r="H25" i="2"/>
  <c r="H29" i="2"/>
  <c r="H37" i="2"/>
  <c r="I10" i="2"/>
  <c r="I38" i="2"/>
  <c r="I28" i="2"/>
  <c r="I50" i="2"/>
  <c r="AF23" i="2"/>
  <c r="AF49" i="2"/>
  <c r="AF13" i="2"/>
  <c r="X63" i="2"/>
  <c r="Y26" i="2"/>
  <c r="Y9" i="2"/>
  <c r="Y10" i="2"/>
  <c r="Y7" i="2"/>
  <c r="J51" i="2"/>
  <c r="Q36" i="2"/>
  <c r="J23" i="2"/>
  <c r="Q50" i="2"/>
  <c r="D38" i="2"/>
  <c r="AB18" i="2"/>
  <c r="U11" i="2"/>
  <c r="Q34" i="2"/>
  <c r="P46" i="2"/>
  <c r="P27" i="2"/>
  <c r="D36" i="2"/>
  <c r="AB14" i="2"/>
  <c r="AB22" i="2"/>
  <c r="U66" i="2"/>
  <c r="Z63" i="2"/>
  <c r="U62" i="2"/>
  <c r="J62" i="2"/>
  <c r="J45" i="2"/>
  <c r="J19" i="2"/>
  <c r="J31" i="2"/>
  <c r="Q24" i="2"/>
  <c r="Q42" i="2"/>
  <c r="Q38" i="2"/>
  <c r="P53" i="2"/>
  <c r="P18" i="2"/>
  <c r="P48" i="2"/>
  <c r="P50" i="2"/>
  <c r="D22" i="2"/>
  <c r="D28" i="2"/>
  <c r="D18" i="2"/>
  <c r="D46" i="2"/>
  <c r="AB30" i="2"/>
  <c r="AB42" i="2"/>
  <c r="AB48" i="2"/>
  <c r="AB61" i="2"/>
  <c r="C66" i="2"/>
  <c r="O59" i="2"/>
  <c r="I60" i="2"/>
  <c r="U67" i="2"/>
  <c r="U49" i="2"/>
  <c r="U17" i="2"/>
  <c r="U64" i="2"/>
  <c r="D53" i="2"/>
  <c r="U23" i="2"/>
  <c r="Q18" i="2"/>
  <c r="D14" i="2"/>
  <c r="U43" i="2"/>
  <c r="Q14" i="2"/>
  <c r="J41" i="2"/>
  <c r="Q44" i="2"/>
  <c r="P36" i="2"/>
  <c r="O67" i="2"/>
  <c r="N59" i="2"/>
  <c r="J27" i="2"/>
  <c r="J64" i="2"/>
  <c r="J17" i="2"/>
  <c r="Q32" i="2"/>
  <c r="P24" i="2"/>
  <c r="P26" i="2"/>
  <c r="D25" i="2"/>
  <c r="D48" i="2"/>
  <c r="AB24" i="2"/>
  <c r="C65" i="2"/>
  <c r="O63" i="2"/>
  <c r="U60" i="2"/>
  <c r="U45" i="2"/>
  <c r="U13" i="2"/>
  <c r="U25" i="2"/>
  <c r="J33" i="2"/>
  <c r="Q53" i="2"/>
  <c r="J47" i="2"/>
  <c r="Q28" i="2"/>
  <c r="P14" i="2"/>
  <c r="D24" i="2"/>
  <c r="I65" i="2"/>
  <c r="AA66" i="2"/>
  <c r="J43" i="2"/>
  <c r="Q22" i="2"/>
  <c r="J29" i="2"/>
  <c r="J25" i="2"/>
  <c r="Q61" i="2"/>
  <c r="Q55" i="2"/>
  <c r="P38" i="2"/>
  <c r="P61" i="2"/>
  <c r="D55" i="2"/>
  <c r="D17" i="2"/>
  <c r="AB34" i="2"/>
  <c r="AB26" i="2"/>
  <c r="AB53" i="2"/>
  <c r="I67" i="2"/>
  <c r="J49" i="2"/>
  <c r="P34" i="2"/>
  <c r="D26" i="2"/>
  <c r="O60" i="2"/>
  <c r="AB28" i="2"/>
  <c r="I66" i="2"/>
  <c r="O66" i="2"/>
  <c r="AA65" i="2"/>
  <c r="Z59" i="2"/>
  <c r="U35" i="2"/>
  <c r="U15" i="2"/>
  <c r="U27" i="2"/>
  <c r="P44" i="2"/>
  <c r="P19" i="2"/>
  <c r="D42" i="2"/>
  <c r="D16" i="2"/>
  <c r="AB50" i="2"/>
  <c r="AB15" i="2"/>
  <c r="U37" i="2"/>
  <c r="O65" i="2"/>
  <c r="U33" i="2"/>
  <c r="AB32" i="2"/>
  <c r="AB62" i="2"/>
  <c r="Q30" i="2"/>
  <c r="P28" i="2"/>
  <c r="Q62" i="2"/>
  <c r="P22" i="2"/>
  <c r="P32" i="2"/>
  <c r="AB44" i="2"/>
  <c r="U31" i="2"/>
  <c r="J55" i="2"/>
  <c r="J48" i="2"/>
  <c r="Q48" i="2"/>
  <c r="P30" i="2"/>
  <c r="D44" i="2"/>
  <c r="D50" i="2"/>
  <c r="AB12" i="2"/>
  <c r="C60" i="2"/>
  <c r="AA59" i="2"/>
  <c r="U29" i="2"/>
  <c r="U55" i="2"/>
  <c r="J13" i="2"/>
  <c r="J37" i="2"/>
  <c r="J15" i="2"/>
  <c r="J35" i="2"/>
  <c r="Q16" i="2"/>
  <c r="Q26" i="2"/>
  <c r="Q46" i="2"/>
  <c r="Q51" i="2"/>
  <c r="P16" i="2"/>
  <c r="P12" i="2"/>
  <c r="P42" i="2"/>
  <c r="D61" i="2"/>
  <c r="D34" i="2"/>
  <c r="D32" i="2"/>
  <c r="D30" i="2"/>
  <c r="AB36" i="2"/>
  <c r="AB38" i="2"/>
  <c r="AB16" i="2"/>
  <c r="AB46" i="2"/>
  <c r="C67" i="2"/>
  <c r="U65" i="2"/>
  <c r="AA63" i="2"/>
  <c r="N63" i="2"/>
  <c r="U47" i="2"/>
  <c r="U19" i="2"/>
  <c r="U41" i="2"/>
  <c r="U51" i="2"/>
  <c r="X51" i="2"/>
  <c r="W62" i="2"/>
  <c r="K51" i="2"/>
  <c r="E62" i="2"/>
  <c r="V25" i="2"/>
  <c r="E44" i="2"/>
  <c r="V31" i="2"/>
  <c r="W29" i="2"/>
  <c r="D65" i="2"/>
  <c r="E16" i="2"/>
  <c r="V55" i="2"/>
  <c r="X35" i="2"/>
  <c r="Q59" i="2"/>
  <c r="K67" i="2"/>
  <c r="V19" i="2"/>
  <c r="X62" i="2"/>
  <c r="Q63" i="2"/>
  <c r="X55" i="2"/>
  <c r="X29" i="2"/>
  <c r="W49" i="2"/>
  <c r="AB67" i="2"/>
  <c r="K27" i="2"/>
  <c r="E32" i="2"/>
  <c r="AC55" i="2"/>
  <c r="V51" i="2"/>
  <c r="W17" i="2"/>
  <c r="D66" i="2"/>
  <c r="AC61" i="2"/>
  <c r="K45" i="2"/>
  <c r="AC26" i="2"/>
  <c r="X27" i="2"/>
  <c r="E67" i="2"/>
  <c r="K19" i="2"/>
  <c r="AC24" i="2"/>
  <c r="W45" i="2"/>
  <c r="J65" i="2"/>
  <c r="E24" i="2"/>
  <c r="AC22" i="2"/>
  <c r="W41" i="2"/>
  <c r="J66" i="2"/>
  <c r="K60" i="2"/>
  <c r="E18" i="2"/>
  <c r="AC32" i="2"/>
  <c r="V41" i="2"/>
  <c r="K25" i="2"/>
  <c r="E30" i="2"/>
  <c r="P63" i="2"/>
  <c r="AC50" i="2"/>
  <c r="V64" i="2"/>
  <c r="X45" i="2"/>
  <c r="X31" i="2"/>
  <c r="W53" i="2"/>
  <c r="AB60" i="2"/>
  <c r="K35" i="2"/>
  <c r="E50" i="2"/>
  <c r="P59" i="2"/>
  <c r="AC16" i="2"/>
  <c r="V23" i="2"/>
  <c r="X47" i="2"/>
  <c r="W51" i="2"/>
  <c r="AC59" i="2"/>
  <c r="P60" i="2"/>
  <c r="K23" i="2"/>
  <c r="E14" i="2"/>
  <c r="E53" i="2"/>
  <c r="E36" i="2"/>
  <c r="AC14" i="2"/>
  <c r="J60" i="2"/>
  <c r="V35" i="2"/>
  <c r="X17" i="2"/>
  <c r="X37" i="2"/>
  <c r="W43" i="2"/>
  <c r="E60" i="2"/>
  <c r="P67" i="2"/>
  <c r="K33" i="2"/>
  <c r="AB66" i="2"/>
  <c r="E61" i="2"/>
  <c r="D63" i="2"/>
  <c r="AC34" i="2"/>
  <c r="V33" i="2"/>
  <c r="V45" i="2"/>
  <c r="X61" i="2"/>
  <c r="W27" i="2"/>
  <c r="W67" i="2"/>
  <c r="V66" i="2"/>
  <c r="K31" i="2"/>
  <c r="P66" i="2"/>
  <c r="E46" i="2"/>
  <c r="X41" i="2"/>
  <c r="X19" i="2"/>
  <c r="K15" i="2"/>
  <c r="AC46" i="2"/>
  <c r="D60" i="2"/>
  <c r="AC28" i="2"/>
  <c r="W55" i="2"/>
  <c r="K17" i="2"/>
  <c r="AB63" i="2"/>
  <c r="AC38" i="2"/>
  <c r="AC48" i="2"/>
  <c r="AC53" i="2"/>
  <c r="V60" i="2"/>
  <c r="V62" i="2"/>
  <c r="V49" i="2"/>
  <c r="V27" i="2"/>
  <c r="AA60" i="2"/>
  <c r="X64" i="2"/>
  <c r="K41" i="2"/>
  <c r="V17" i="2"/>
  <c r="W19" i="2"/>
  <c r="E64" i="2"/>
  <c r="V43" i="2"/>
  <c r="X23" i="2"/>
  <c r="AC44" i="2"/>
  <c r="X15" i="2"/>
  <c r="W15" i="2"/>
  <c r="W61" i="2"/>
  <c r="W23" i="2"/>
  <c r="D67" i="2"/>
  <c r="K29" i="2"/>
  <c r="AB65" i="2"/>
  <c r="E26" i="2"/>
  <c r="D59" i="2"/>
  <c r="AC64" i="2"/>
  <c r="V15" i="2"/>
  <c r="V29" i="2"/>
  <c r="X33" i="2"/>
  <c r="X25" i="2"/>
  <c r="W33" i="2"/>
  <c r="AC63" i="2"/>
  <c r="K64" i="2"/>
  <c r="K47" i="2"/>
  <c r="K53" i="2"/>
  <c r="E22" i="2"/>
  <c r="E51" i="2"/>
  <c r="AC30" i="2"/>
  <c r="J67" i="2"/>
  <c r="V47" i="2"/>
  <c r="X43" i="2"/>
  <c r="W64" i="2"/>
  <c r="W47" i="2"/>
  <c r="AD60" i="2"/>
  <c r="E59" i="2"/>
  <c r="K62" i="2"/>
  <c r="K37" i="2"/>
  <c r="E34" i="2"/>
  <c r="E48" i="2"/>
  <c r="X49" i="2"/>
  <c r="X53" i="2"/>
  <c r="W35" i="2"/>
  <c r="W31" i="2"/>
  <c r="W37" i="2"/>
  <c r="W25" i="2"/>
  <c r="AD67" i="2"/>
  <c r="W60" i="2"/>
  <c r="E63" i="2"/>
  <c r="V65" i="2"/>
  <c r="K43" i="2"/>
  <c r="K55" i="2"/>
  <c r="K49" i="2"/>
  <c r="K61" i="2"/>
  <c r="P65" i="2"/>
  <c r="E28" i="2"/>
  <c r="E42" i="2"/>
  <c r="E38" i="2"/>
  <c r="AB59" i="2"/>
  <c r="AC36" i="2"/>
  <c r="AC18" i="2"/>
  <c r="AC62" i="2"/>
  <c r="AC42" i="2"/>
  <c r="V67" i="2"/>
  <c r="V50" i="2"/>
  <c r="V37" i="2"/>
  <c r="V13" i="2"/>
  <c r="AA67" i="2"/>
  <c r="R63" i="2"/>
  <c r="R60" i="2"/>
  <c r="AD59" i="2"/>
  <c r="AD36" i="2"/>
  <c r="AD62" i="2"/>
  <c r="N10" i="2"/>
  <c r="N44" i="2"/>
  <c r="L47" i="2"/>
  <c r="L17" i="2"/>
  <c r="R26" i="2"/>
  <c r="AE38" i="2"/>
  <c r="AE50" i="2"/>
  <c r="S48" i="2"/>
  <c r="S64" i="2"/>
  <c r="G42" i="2"/>
  <c r="G36" i="2"/>
  <c r="F34" i="2"/>
  <c r="L65" i="2"/>
  <c r="F67" i="2"/>
  <c r="X67" i="2"/>
  <c r="AD38" i="2"/>
  <c r="AD14" i="2"/>
  <c r="N61" i="2"/>
  <c r="Q60" i="2"/>
  <c r="L29" i="2"/>
  <c r="L55" i="2"/>
  <c r="R16" i="2"/>
  <c r="R28" i="2"/>
  <c r="R61" i="2"/>
  <c r="AE14" i="2"/>
  <c r="S30" i="2"/>
  <c r="S24" i="2"/>
  <c r="G14" i="2"/>
  <c r="G48" i="2"/>
  <c r="F28" i="2"/>
  <c r="F18" i="2"/>
  <c r="F38" i="2"/>
  <c r="F60" i="2"/>
  <c r="R67" i="2"/>
  <c r="X60" i="2"/>
  <c r="AD63" i="2"/>
  <c r="AD50" i="2"/>
  <c r="AD22" i="2"/>
  <c r="AD61" i="2"/>
  <c r="AD51" i="2"/>
  <c r="N50" i="2"/>
  <c r="N26" i="2"/>
  <c r="N42" i="2"/>
  <c r="Q67" i="2"/>
  <c r="L37" i="2"/>
  <c r="L41" i="2"/>
  <c r="L61" i="2"/>
  <c r="L19" i="2"/>
  <c r="R34" i="2"/>
  <c r="R53" i="2"/>
  <c r="R48" i="2"/>
  <c r="R30" i="2"/>
  <c r="AE46" i="2"/>
  <c r="AE44" i="2"/>
  <c r="AE26" i="2"/>
  <c r="S34" i="2"/>
  <c r="S18" i="2"/>
  <c r="S16" i="2"/>
  <c r="S38" i="2"/>
  <c r="G32" i="2"/>
  <c r="G24" i="2"/>
  <c r="G38" i="2"/>
  <c r="G61" i="2"/>
  <c r="F53" i="2"/>
  <c r="F49" i="2"/>
  <c r="F61" i="2"/>
  <c r="F36" i="2"/>
  <c r="AD53" i="2"/>
  <c r="AC60" i="2"/>
  <c r="N14" i="2"/>
  <c r="L23" i="2"/>
  <c r="R32" i="2"/>
  <c r="AE30" i="2"/>
  <c r="AE24" i="2"/>
  <c r="S32" i="2"/>
  <c r="S62" i="2"/>
  <c r="S36" i="2"/>
  <c r="G53" i="2"/>
  <c r="G18" i="2"/>
  <c r="G64" i="2"/>
  <c r="F62" i="2"/>
  <c r="F46" i="2"/>
  <c r="F50" i="2"/>
  <c r="F42" i="2"/>
  <c r="R66" i="2"/>
  <c r="AD18" i="2"/>
  <c r="K66" i="2"/>
  <c r="R14" i="2"/>
  <c r="R22" i="2"/>
  <c r="AE18" i="2"/>
  <c r="AE48" i="2"/>
  <c r="S14" i="2"/>
  <c r="G16" i="2"/>
  <c r="W65" i="2"/>
  <c r="N36" i="2"/>
  <c r="L45" i="2"/>
  <c r="L60" i="2"/>
  <c r="W66" i="2"/>
  <c r="N18" i="2"/>
  <c r="N34" i="2"/>
  <c r="L27" i="2"/>
  <c r="Q66" i="2"/>
  <c r="R46" i="2"/>
  <c r="AE28" i="2"/>
  <c r="AE62" i="2"/>
  <c r="AE53" i="2"/>
  <c r="S26" i="2"/>
  <c r="S61" i="2"/>
  <c r="S22" i="2"/>
  <c r="S50" i="2"/>
  <c r="G62" i="2"/>
  <c r="G46" i="2"/>
  <c r="G50" i="2"/>
  <c r="G28" i="2"/>
  <c r="F22" i="2"/>
  <c r="F16" i="2"/>
  <c r="F64" i="2"/>
  <c r="F44" i="2"/>
  <c r="X65" i="2"/>
  <c r="AD16" i="2"/>
  <c r="AD46" i="2"/>
  <c r="AE16" i="2"/>
  <c r="F63" i="2"/>
  <c r="L67" i="2"/>
  <c r="N53" i="2"/>
  <c r="Q65" i="2"/>
  <c r="AC67" i="2"/>
  <c r="AD28" i="2"/>
  <c r="N46" i="2"/>
  <c r="K65" i="2"/>
  <c r="L62" i="2"/>
  <c r="L35" i="2"/>
  <c r="R18" i="2"/>
  <c r="L66" i="2"/>
  <c r="R59" i="2"/>
  <c r="F59" i="2"/>
  <c r="AD30" i="2"/>
  <c r="AD64" i="2"/>
  <c r="AD48" i="2"/>
  <c r="AD44" i="2"/>
  <c r="N16" i="2"/>
  <c r="N24" i="2"/>
  <c r="N48" i="2"/>
  <c r="N38" i="2"/>
  <c r="L64" i="2"/>
  <c r="L33" i="2"/>
  <c r="L49" i="2"/>
  <c r="L43" i="2"/>
  <c r="R62" i="2"/>
  <c r="R44" i="2"/>
  <c r="R36" i="2"/>
  <c r="R55" i="2"/>
  <c r="AE22" i="2"/>
  <c r="AE32" i="2"/>
  <c r="AE42" i="2"/>
  <c r="AE51" i="2"/>
  <c r="S42" i="2"/>
  <c r="S46" i="2"/>
  <c r="S44" i="2"/>
  <c r="AC66" i="2"/>
  <c r="G30" i="2"/>
  <c r="G22" i="2"/>
  <c r="G34" i="2"/>
  <c r="F66" i="2"/>
  <c r="F24" i="2"/>
  <c r="F30" i="2"/>
  <c r="F26" i="2"/>
  <c r="E66" i="2"/>
  <c r="AD26" i="2"/>
  <c r="N22" i="2"/>
  <c r="L53" i="2"/>
  <c r="X66" i="2"/>
  <c r="AD24" i="2"/>
  <c r="N11" i="2"/>
  <c r="R50" i="2"/>
  <c r="R65" i="2"/>
  <c r="AD32" i="2"/>
  <c r="AD34" i="2"/>
  <c r="AD42" i="2"/>
  <c r="N12" i="2"/>
  <c r="N28" i="2"/>
  <c r="N32" i="2"/>
  <c r="N30" i="2"/>
  <c r="L51" i="2"/>
  <c r="L25" i="2"/>
  <c r="L31" i="2"/>
  <c r="L15" i="2"/>
  <c r="R38" i="2"/>
  <c r="R64" i="2"/>
  <c r="R24" i="2"/>
  <c r="R42" i="2"/>
  <c r="AE64" i="2"/>
  <c r="AE61" i="2"/>
  <c r="AE34" i="2"/>
  <c r="AE36" i="2"/>
  <c r="S55" i="2"/>
  <c r="S28" i="2"/>
  <c r="S53" i="2"/>
  <c r="AC65" i="2"/>
  <c r="G44" i="2"/>
  <c r="G55" i="2"/>
  <c r="G26" i="2"/>
  <c r="F65" i="2"/>
  <c r="F48" i="2"/>
  <c r="F55" i="2"/>
  <c r="F32" i="2"/>
  <c r="E65" i="2"/>
  <c r="H30" i="2"/>
  <c r="M55" i="2"/>
  <c r="Z24" i="2"/>
  <c r="Z18" i="2"/>
  <c r="AF18" i="2"/>
  <c r="H53" i="2"/>
  <c r="M62" i="2"/>
  <c r="M17" i="2"/>
  <c r="T30" i="2"/>
  <c r="Z12" i="2"/>
  <c r="Z34" i="2"/>
  <c r="N25" i="2"/>
  <c r="N64" i="2"/>
  <c r="AF32" i="2"/>
  <c r="AF12" i="2"/>
  <c r="H44" i="2"/>
  <c r="H24" i="2"/>
  <c r="H18" i="2"/>
  <c r="H34" i="2"/>
  <c r="M29" i="2"/>
  <c r="M47" i="2"/>
  <c r="M33" i="2"/>
  <c r="M23" i="2"/>
  <c r="T10" i="2"/>
  <c r="T42" i="2"/>
  <c r="T32" i="2"/>
  <c r="Z10" i="2"/>
  <c r="Z46" i="2"/>
  <c r="Z14" i="2"/>
  <c r="Z50" i="2"/>
  <c r="N62" i="2"/>
  <c r="N43" i="2"/>
  <c r="N37" i="2"/>
  <c r="N23" i="2"/>
  <c r="AF16" i="2"/>
  <c r="AF14" i="2"/>
  <c r="AF8" i="2"/>
  <c r="Y60" i="2"/>
  <c r="M43" i="2"/>
  <c r="T18" i="2"/>
  <c r="Z42" i="2"/>
  <c r="N17" i="2"/>
  <c r="AF30" i="2"/>
  <c r="H14" i="2"/>
  <c r="T44" i="2"/>
  <c r="N31" i="2"/>
  <c r="AD66" i="2"/>
  <c r="H64" i="2"/>
  <c r="H38" i="2"/>
  <c r="T16" i="2"/>
  <c r="Z30" i="2"/>
  <c r="N47" i="2"/>
  <c r="AF50" i="2"/>
  <c r="Y67" i="2"/>
  <c r="H16" i="2"/>
  <c r="H32" i="2"/>
  <c r="M25" i="2"/>
  <c r="N45" i="2"/>
  <c r="H28" i="2"/>
  <c r="H50" i="2"/>
  <c r="M45" i="2"/>
  <c r="M61" i="2"/>
  <c r="T34" i="2"/>
  <c r="Z16" i="2"/>
  <c r="Z32" i="2"/>
  <c r="N19" i="2"/>
  <c r="AF10" i="2"/>
  <c r="H46" i="2"/>
  <c r="H26" i="2"/>
  <c r="M35" i="2"/>
  <c r="M49" i="2"/>
  <c r="T22" i="2"/>
  <c r="T38" i="2"/>
  <c r="Z61" i="2"/>
  <c r="Z26" i="2"/>
  <c r="N15" i="2"/>
  <c r="N49" i="2"/>
  <c r="AF42" i="2"/>
  <c r="AF44" i="2"/>
  <c r="AF53" i="2"/>
  <c r="M60" i="2"/>
  <c r="H10" i="2"/>
  <c r="M27" i="2"/>
  <c r="T8" i="2"/>
  <c r="Z53" i="2"/>
  <c r="N51" i="2"/>
  <c r="AF26" i="2"/>
  <c r="H12" i="2"/>
  <c r="H48" i="2"/>
  <c r="M37" i="2"/>
  <c r="T46" i="2"/>
  <c r="T61" i="2"/>
  <c r="Z36" i="2"/>
  <c r="Z22" i="2"/>
  <c r="N41" i="2"/>
  <c r="AF46" i="2"/>
  <c r="T28" i="2"/>
  <c r="N33" i="2"/>
  <c r="AF48" i="2"/>
  <c r="M67" i="2"/>
  <c r="M15" i="2"/>
  <c r="N29" i="2"/>
  <c r="M53" i="2"/>
  <c r="T53" i="2"/>
  <c r="T50" i="2"/>
  <c r="Z44" i="2"/>
  <c r="AF28" i="2"/>
  <c r="H22" i="2"/>
  <c r="M31" i="2"/>
  <c r="T26" i="2"/>
  <c r="T24" i="2"/>
  <c r="Z48" i="2"/>
  <c r="N55" i="2"/>
  <c r="AF34" i="2"/>
  <c r="AF38" i="2"/>
  <c r="H36" i="2"/>
  <c r="H61" i="2"/>
  <c r="H42" i="2"/>
  <c r="M19" i="2"/>
  <c r="M64" i="2"/>
  <c r="M51" i="2"/>
  <c r="M41" i="2"/>
  <c r="T36" i="2"/>
  <c r="T12" i="2"/>
  <c r="T48" i="2"/>
  <c r="T14" i="2"/>
  <c r="Z38" i="2"/>
  <c r="Z28" i="2"/>
  <c r="Z9" i="2"/>
  <c r="N35" i="2"/>
  <c r="N13" i="2"/>
  <c r="N27" i="2"/>
  <c r="N9" i="2"/>
  <c r="AF22" i="2"/>
  <c r="AF36" i="2"/>
  <c r="AF24" i="2"/>
  <c r="AF61" i="2"/>
  <c r="AD65" i="2"/>
  <c r="AF67" i="2"/>
  <c r="N66" i="2"/>
  <c r="Y64" i="2"/>
  <c r="Z19" i="2"/>
  <c r="AF59" i="2"/>
  <c r="Y29" i="2"/>
  <c r="Z47" i="2"/>
  <c r="S60" i="2"/>
  <c r="AF66" i="2"/>
  <c r="S66" i="2"/>
  <c r="Y55" i="2"/>
  <c r="Z45" i="2"/>
  <c r="AF65" i="2"/>
  <c r="AE60" i="2"/>
  <c r="Y35" i="2"/>
  <c r="Z62" i="2"/>
  <c r="S67" i="2"/>
  <c r="Z60" i="2"/>
  <c r="H60" i="2"/>
  <c r="Y23" i="2"/>
  <c r="Z51" i="2"/>
  <c r="Y33" i="2"/>
  <c r="Z49" i="2"/>
  <c r="T67" i="2"/>
  <c r="Y51" i="2"/>
  <c r="AF60" i="2"/>
  <c r="H63" i="2"/>
  <c r="Y27" i="2"/>
  <c r="Z55" i="2"/>
  <c r="Y61" i="2"/>
  <c r="G66" i="2"/>
  <c r="N67" i="2"/>
  <c r="AE66" i="2"/>
  <c r="S59" i="2"/>
  <c r="Y31" i="2"/>
  <c r="Z17" i="2"/>
  <c r="H59" i="2"/>
  <c r="Y53" i="2"/>
  <c r="Z23" i="2"/>
  <c r="AF63" i="2"/>
  <c r="N65" i="2"/>
  <c r="Y45" i="2"/>
  <c r="Y37" i="2"/>
  <c r="T60" i="2"/>
  <c r="G65" i="2"/>
  <c r="Y62" i="2"/>
  <c r="Z13" i="2"/>
  <c r="Z31" i="2"/>
  <c r="S63" i="2"/>
  <c r="Y49" i="2"/>
  <c r="Z64" i="2"/>
  <c r="AE65" i="2"/>
  <c r="AE67" i="2"/>
  <c r="Y41" i="2"/>
  <c r="Z37" i="2"/>
  <c r="Z33" i="2"/>
  <c r="AE59" i="2"/>
  <c r="N60" i="2"/>
  <c r="S65" i="2"/>
  <c r="Y19" i="2"/>
  <c r="Z29" i="2"/>
  <c r="Z11" i="2"/>
  <c r="G60" i="2"/>
  <c r="T63" i="2"/>
  <c r="G63" i="2"/>
  <c r="Y15" i="2"/>
  <c r="Z15" i="2"/>
  <c r="Z25" i="2"/>
  <c r="AE63" i="2"/>
  <c r="G67" i="2"/>
  <c r="Z67" i="2"/>
  <c r="T59" i="2"/>
  <c r="G59" i="2"/>
  <c r="H67" i="2"/>
  <c r="Y43" i="2"/>
  <c r="Y17" i="2"/>
  <c r="Y47" i="2"/>
  <c r="Y25" i="2"/>
  <c r="Z43" i="2"/>
  <c r="Z27" i="2"/>
  <c r="Z35" i="2"/>
  <c r="Z41" i="2"/>
  <c r="M65" i="2"/>
  <c r="Z65" i="2"/>
  <c r="H65" i="2"/>
  <c r="H66" i="2"/>
  <c r="Z66" i="2"/>
  <c r="Y66" i="2"/>
  <c r="Y65" i="2"/>
  <c r="T66" i="2"/>
  <c r="T65" i="2"/>
  <c r="M6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<sst xmlns="http://schemas.openxmlformats.org/spreadsheetml/2006/main" count="173" uniqueCount="167">
  <si>
    <t>Reference Items</t>
  </si>
  <si>
    <t>Right click to show data transparency (not supported for all values)</t>
  </si>
  <si>
    <t>Parker-Hannifin Corp (PH US) - Standardized</t>
  </si>
  <si>
    <t>In Millions of USD except Per Share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</si>
  <si>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</si>
  <si>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</si>
  <si>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</si>
  <si>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</si>
  <si>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</si>
  <si>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</si>
  <si>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</si>
  <si>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</si>
  <si>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</si>
  <si>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</si>
  <si>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</si>
  <si>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</si>
  <si>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</si>
  <si>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</si>
  <si>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</si>
  <si>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</si>
  <si>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</si>
  <si>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</si>
  <si>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</si>
  <si>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</si>
  <si>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</si>
  <si>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</si>
  <si>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</si>
  <si>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</si>
  <si>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</si>
  <si>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</si>
  <si>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</si>
  <si>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</si>
  <si>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</si>
  <si>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</si>
  <si>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3 Months Ending</t>
  </si>
  <si>
    <t>09/30/2018</t>
  </si>
  <si>
    <t>12/31/2018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</si>
  <si>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</si>
  <si>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</si>
  <si>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</si>
  <si>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</si>
  <si>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</si>
  <si>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</si>
  <si>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</si>
  <si>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</si>
  <si>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</si>
  <si>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</si>
  <si>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</si>
  <si>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</si>
  <si>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</si>
  <si>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</si>
  <si>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</si>
  <si>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</si>
  <si>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</si>
  <si>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</si>
  <si>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</si>
  <si>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</si>
  <si>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</si>
  <si>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</si>
  <si>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</si>
  <si>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</si>
  <si>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</si>
  <si>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</si>
  <si>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</si>
  <si>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</si>
  <si>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</si>
  <si>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</si>
  <si>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</si>
  <si>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</si>
  <si>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</si>
  <si>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</si>
  <si>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</si>
  <si>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Stock-Based Compensation</t>
  </si>
  <si>
    <t>CF_STOCK_BASED_COMPENSATION</t>
  </si>
  <si>
    <t xml:space="preserve">    + Deferred Income Taxes</t>
  </si>
  <si>
    <t>CF_DEF_INC_TAX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</si>
  <si>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</si>
  <si>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</si>
  <si>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</si>
  <si>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</si>
  <si>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</si>
  <si>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</si>
  <si>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</si>
  <si>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</si>
  <si>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Accts Payable</t>
  </si>
  <si>
    <t>CF_CHANGE_IN_ACCOUNTS_PAYABLE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</si>
  <si>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</si>
  <si>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</si>
  <si>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</si>
  <si>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</si>
  <si>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CF_CASH_FROM_OPER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</si>
  <si>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</si>
  <si>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</si>
  <si>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</si>
  <si>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</si>
  <si>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</si>
  <si>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</si>
  <si>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</si>
  <si>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</si>
  <si>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</si>
  <si>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</si>
  <si>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</si>
  <si>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</si>
  <si>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</si>
  <si>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</si>
  <si>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</si>
  <si>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</si>
  <si>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</si>
  <si>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</si>
  <si>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</si>
  <si>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</si>
  <si>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</si>
  <si>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</si>
  <si>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</si>
  <si>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</si>
  <si>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</si>
  <si>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</si>
  <si>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</si>
  <si>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</si>
  <si>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</si>
  <si>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</si>
  <si>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</si>
  <si>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</si>
  <si>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</si>
  <si>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</si>
  <si>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</si>
  <si>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</si>
  <si>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</si>
  <si>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</si>
  <si>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</si>
  <si>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</si>
  <si>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</si>
  <si>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</si>
  <si>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</si>
  <si>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</si>
  <si>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</si>
  <si>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</si>
  <si>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</si>
  <si>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</si>
  <si>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</si>
  <si>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</si>
  <si>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</si>
  <si>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</si>
  <si>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</si>
  <si>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</si>
  <si>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</si>
  <si>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</si>
  <si>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</si>
  <si>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</si>
  <si>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EBITDA</t>
  </si>
  <si>
    <t>Trailing 12M EBITDA Margin</t>
  </si>
  <si>
    <t>EBITDA_MARGIN</t>
  </si>
  <si>
    <t>Net Cash Paid for Acquisitions</t>
  </si>
  <si>
    <t>CF_NET_CASH_PAID_FOR_AQUIS</t>
  </si>
  <si>
    <t>Free Cash Flow</t>
  </si>
  <si>
    <t>CF_FREE_CASH_FLOW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</si>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</sst>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171" fontId="11" fillId="34" borderId="2">
      <alignment horizontal="right"/>
    </xf>
  </cellStyleXfs>
  <cellXfs count="17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4" fontId="1" fillId="34" borderId="2" xfId="54" applyNumberFormat="1" applyFont="1" applyFill="1" applyBorder="1" applyAlignment="1" applyProtection="1">
      <alignment horizontal="right"/>
    </xf>
    <xf numFmtId="3" fontId="8" fillId="34" borderId="2" xfId="55" applyNumberFormat="1" applyFont="1" applyFill="1" applyBorder="1" applyAlignment="1" applyProtection="1">
      <alignment horizontal="right"/>
    </xf>
    <xf numFmtId="171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5" xr:uid="{00000000-0005-0000-0000-000023000000}"/>
    <cellStyle name="fa_data_bold_1_grouped" xfId="56" xr:uid="{00000000-0005-0000-0000-000024000000}"/>
    <cellStyle name="fa_data_italic_1_grouped" xfId="57" xr:uid="{00000000-0005-0000-0000-000025000000}"/>
    <cellStyle name="fa_data_standard_1_grouped" xfId="53" xr:uid="{00000000-0005-0000-0000-000026000000}"/>
    <cellStyle name="fa_data_standard_2_grouped" xfId="54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BDH|10669600908528902462</stp>
        <tr r="AB11" s="2"/>
      </tp>
      <tp t="s">
        <v>#N/A N/A</v>
        <stp/>
        <stp>BDH|16637259286331419711</stp>
        <tr r="W9" s="2"/>
      </tp>
      <tp t="s">
        <v>#N/A N/A</v>
        <stp/>
        <stp>BDH|10541805633831341050</stp>
        <tr r="U28" s="2"/>
      </tp>
      <tp t="s">
        <v>#N/A N/A</v>
        <stp/>
        <stp>BDH|10552913434676171615</stp>
        <tr r="M51" s="2"/>
      </tp>
      <tp t="s">
        <v>#N/A N/A</v>
        <stp/>
        <stp>BDH|16077587387333869274</stp>
        <tr r="L43" s="2"/>
      </tp>
      <tp t="s">
        <v>#N/A N/A</v>
        <stp/>
        <stp>BDH|13337939614773548219</stp>
        <tr r="Y15" s="2"/>
      </tp>
      <tp t="s">
        <v>#N/A N/A</v>
        <stp/>
        <stp>BDH|15590872606254408309</stp>
        <tr r="AE12" s="2"/>
      </tp>
      <tp t="s">
        <v>#N/A N/A</v>
        <stp/>
        <stp>BDH|17140070195443664768</stp>
        <tr r="AA67" s="2"/>
      </tp>
      <tp t="s">
        <v>#N/A N/A</v>
        <stp/>
        <stp>BDH|16496911129354667391</stp>
        <tr r="N44" s="2"/>
      </tp>
      <tp t="s">
        <v>#N/A N/A</v>
        <stp/>
        <stp>BDH|15671360341368250002</stp>
        <tr r="F34" s="2"/>
      </tp>
      <tp t="s">
        <v>#N/A N/A</v>
        <stp/>
        <stp>BDH|11034561874138718160</stp>
        <tr r="C25" s="2"/>
      </tp>
      <tp t="s">
        <v>#N/A N/A</v>
        <stp/>
        <stp>BDH|15661433221249407031</stp>
        <tr r="AE67" s="2"/>
      </tp>
      <tp t="s">
        <v>#N/A N/A</v>
        <stp/>
        <stp>BDH|16008884949521171130</stp>
        <tr r="F37" s="2"/>
      </tp>
      <tp t="s">
        <v>#N/A N/A</v>
        <stp/>
        <stp>BDH|11351217027458089377</stp>
        <tr r="H14" s="2"/>
      </tp>
      <tp t="s">
        <v>#N/A N/A</v>
        <stp/>
        <stp>BDH|14405918260883277256</stp>
        <tr r="AA9" s="2"/>
      </tp>
      <tp t="s">
        <v>#N/A N/A</v>
        <stp/>
        <stp>BDH|17671128260838600202</stp>
        <tr r="AE51" s="2"/>
      </tp>
      <tp t="s">
        <v>#N/A N/A</v>
        <stp/>
        <stp>BDH|15864178749329341304</stp>
        <tr r="O27" s="2"/>
      </tp>
      <tp t="s">
        <v>#N/A N/A</v>
        <stp/>
        <stp>BDH|10995688485874635076</stp>
        <tr r="AC31" s="2"/>
      </tp>
      <tp t="s">
        <v>#N/A N/A</v>
        <stp/>
        <stp>BDH|11933758679968927392</stp>
        <tr r="Z67" s="2"/>
      </tp>
      <tp t="s">
        <v>#N/A N/A</v>
        <stp/>
        <stp>BDH|16780946857134043407</stp>
        <tr r="C26" s="2"/>
      </tp>
      <tp t="s">
        <v>#N/A N/A</v>
        <stp/>
        <stp>BDH|13944220517753829902</stp>
        <tr r="E65" s="2"/>
      </tp>
      <tp t="s">
        <v>#N/A N/A</v>
        <stp/>
        <stp>BDH|13816976348060719441</stp>
        <tr r="P50" s="2"/>
      </tp>
      <tp t="s">
        <v>#N/A N/A</v>
        <stp/>
        <stp>BDH|15695861151963028155</stp>
        <tr r="K19" s="2"/>
      </tp>
      <tp t="s">
        <v>#N/A N/A</v>
        <stp/>
        <stp>BDH|15734064037469647579</stp>
        <tr r="AB59" s="2"/>
      </tp>
      <tp t="s">
        <v>#N/A N/A</v>
        <stp/>
        <stp>BDH|11696423265029745018</stp>
        <tr r="X28" s="2"/>
      </tp>
      <tp t="s">
        <v>#N/A N/A</v>
        <stp/>
        <stp>BDH|11708856755233391538</stp>
        <tr r="R7" s="2"/>
      </tp>
      <tp t="s">
        <v>#N/A N/A</v>
        <stp/>
        <stp>BDH|12333954994169469114</stp>
        <tr r="Q61" s="2"/>
      </tp>
      <tp t="s">
        <v>#N/A N/A</v>
        <stp/>
        <stp>BDH|10148738359478802053</stp>
        <tr r="K29" s="2"/>
      </tp>
      <tp t="s">
        <v>#N/A N/A</v>
        <stp/>
        <stp>BDH|13141721005716054809</stp>
        <tr r="Q28" s="2"/>
      </tp>
      <tp t="s">
        <v>#N/A N/A</v>
        <stp/>
        <stp>BDH|12338832887258835060</stp>
        <tr r="R26" s="2"/>
      </tp>
      <tp t="s">
        <v>#N/A N/A</v>
        <stp/>
        <stp>BDH|14410845522446905226</stp>
        <tr r="I42" s="2"/>
      </tp>
      <tp t="s">
        <v>#N/A N/A</v>
        <stp/>
        <stp>BDH|12830751107167486866</stp>
        <tr r="S24" s="2"/>
      </tp>
      <tp t="s">
        <v>#N/A N/A</v>
        <stp/>
        <stp>BDH|18340083878727938224</stp>
        <tr r="U48" s="2"/>
      </tp>
      <tp t="s">
        <v>#N/A N/A</v>
        <stp/>
        <stp>BDH|11527579247852913844</stp>
        <tr r="Q42" s="2"/>
      </tp>
      <tp t="s">
        <v>#N/A N/A</v>
        <stp/>
        <stp>BDH|13553822531505878760</stp>
        <tr r="H18" s="2"/>
      </tp>
      <tp t="s">
        <v>#N/A N/A</v>
        <stp/>
        <stp>BDH|11234162180423684197</stp>
        <tr r="G55" s="2"/>
      </tp>
      <tp t="s">
        <v>#N/A N/A</v>
        <stp/>
        <stp>BDH|15007401188155180629</stp>
        <tr r="D53" s="2"/>
      </tp>
      <tp t="s">
        <v>#N/A N/A</v>
        <stp/>
        <stp>BDH|17857668588612591195</stp>
        <tr r="C22" s="2"/>
      </tp>
      <tp t="s">
        <v>#N/A N/A</v>
        <stp/>
        <stp>BDH|13813854402839703856</stp>
        <tr r="AC63" s="2"/>
      </tp>
      <tp t="s">
        <v>#N/A N/A</v>
        <stp/>
        <stp>BDH|18065007129466282664</stp>
        <tr r="O17" s="2"/>
      </tp>
      <tp t="s">
        <v>#N/A N/A</v>
        <stp/>
        <stp>BDH|12268578489686659373</stp>
        <tr r="W19" s="2"/>
      </tp>
      <tp t="s">
        <v>#N/A N/A</v>
        <stp/>
        <stp>BDH|10722280513308242131</stp>
        <tr r="AE16" s="2"/>
      </tp>
      <tp t="s">
        <v>#N/A N/A</v>
        <stp/>
        <stp>BDH|15312959748653148133</stp>
        <tr r="S60" s="2"/>
      </tp>
      <tp t="s">
        <v>#N/A N/A</v>
        <stp/>
        <stp>BDH|13982512305465070917</stp>
        <tr r="R11" s="2"/>
      </tp>
      <tp t="s">
        <v>#N/A N/A</v>
        <stp/>
        <stp>BDH|14009775698934764449</stp>
        <tr r="R22" s="2"/>
      </tp>
      <tp t="s">
        <v>#N/A N/A</v>
        <stp/>
        <stp>BDH|18407280395100374960</stp>
        <tr r="X25" s="2"/>
      </tp>
      <tp t="s">
        <v>#N/A N/A</v>
        <stp/>
        <stp>BDH|10048474219439785667</stp>
        <tr r="AB16" s="2"/>
      </tp>
      <tp t="s">
        <v>#N/A N/A</v>
        <stp/>
        <stp>BDH|14177518278188632416</stp>
        <tr r="Y10" s="2"/>
      </tp>
      <tp t="s">
        <v>#N/A N/A</v>
        <stp/>
        <stp>BDH|16648776623221897850</stp>
        <tr r="F10" s="2"/>
      </tp>
      <tp t="s">
        <v>#N/A N/A</v>
        <stp/>
        <stp>BDH|11937097018709096373</stp>
        <tr r="E61" s="2"/>
      </tp>
      <tp t="s">
        <v>#N/A N/A</v>
        <stp/>
        <stp>BDH|13227321351229904679</stp>
        <tr r="U62" s="2"/>
      </tp>
      <tp t="s">
        <v>#N/A N/A</v>
        <stp/>
        <stp>BDH|11812265810931717960</stp>
        <tr r="Z49" s="2"/>
      </tp>
      <tp t="s">
        <v>#N/A N/A</v>
        <stp/>
        <stp>BDH|10097396383204767527</stp>
        <tr r="J36" s="2"/>
      </tp>
      <tp t="s">
        <v>#N/A N/A</v>
        <stp/>
        <stp>BDH|14354754099717717770</stp>
        <tr r="AE24" s="2"/>
      </tp>
      <tp t="s">
        <v>#N/A N/A</v>
        <stp/>
        <stp>BDH|15049769816551770895</stp>
        <tr r="Z66" s="2"/>
      </tp>
      <tp t="s">
        <v>#N/A N/A</v>
        <stp/>
        <stp>BDH|15069698363528251769</stp>
        <tr r="I11" s="2"/>
      </tp>
      <tp t="s">
        <v>#N/A N/A</v>
        <stp/>
        <stp>BDH|12004944118805481563</stp>
        <tr r="Y14" s="2"/>
      </tp>
      <tp t="s">
        <v>#N/A N/A</v>
        <stp/>
        <stp>BDH|17250867360890558207</stp>
        <tr r="U33" s="2"/>
      </tp>
      <tp t="s">
        <v>#N/A N/A</v>
        <stp/>
        <stp>BDH|10007004930149122109</stp>
        <tr r="M11" s="2"/>
      </tp>
      <tp t="s">
        <v>#N/A N/A</v>
        <stp/>
        <stp>BDH|16720709226578936093</stp>
        <tr r="Q38" s="2"/>
      </tp>
      <tp t="s">
        <v>#N/A N/A</v>
        <stp/>
        <stp>BDH|13131943615543546345</stp>
        <tr r="S51" s="2"/>
      </tp>
      <tp t="s">
        <v>#N/A N/A</v>
        <stp/>
        <stp>BDH|17371761156948515661</stp>
        <tr r="AA28" s="2"/>
      </tp>
      <tp t="s">
        <v>#N/A N/A</v>
        <stp/>
        <stp>BDH|13122325333780018802</stp>
        <tr r="AA62" s="2"/>
      </tp>
      <tp t="s">
        <v>#N/A N/A</v>
        <stp/>
        <stp>BDH|14124641182138624910</stp>
        <tr r="G17" s="2"/>
      </tp>
      <tp t="s">
        <v>#N/A N/A</v>
        <stp/>
        <stp>BDH|10688552086007426124</stp>
        <tr r="F45" s="2"/>
      </tp>
      <tp t="s">
        <v>#N/A N/A</v>
        <stp/>
        <stp>BDH|18192172901996479406</stp>
        <tr r="L66" s="2"/>
      </tp>
      <tp t="s">
        <v>#N/A N/A</v>
        <stp/>
        <stp>BDH|13036623939764931912</stp>
        <tr r="K12" s="2"/>
      </tp>
      <tp t="s">
        <v>#N/A N/A</v>
        <stp/>
        <stp>BDH|13269153482420319155</stp>
        <tr r="Q46" s="2"/>
      </tp>
      <tp t="s">
        <v>#N/A N/A</v>
        <stp/>
        <stp>BDH|17771734547359952690</stp>
        <tr r="W23" s="2"/>
      </tp>
      <tp t="s">
        <v>#N/A N/A</v>
        <stp/>
        <stp>BDH|17746544040455319831</stp>
        <tr r="AF13" s="2"/>
      </tp>
      <tp t="s">
        <v>#N/A N/A</v>
        <stp/>
        <stp>BDH|12370504044960702822</stp>
        <tr r="J65" s="2"/>
      </tp>
      <tp t="s">
        <v>#N/A N/A</v>
        <stp/>
        <stp>BDH|18366134260226404260</stp>
        <tr r="M12" s="2"/>
      </tp>
      <tp t="s">
        <v>#N/A N/A</v>
        <stp/>
        <stp>BDH|10825998701020199236</stp>
        <tr r="C28" s="2"/>
      </tp>
      <tp t="s">
        <v>#N/A N/A</v>
        <stp/>
        <stp>BDH|10959539512098838751</stp>
        <tr r="W31" s="2"/>
      </tp>
      <tp t="s">
        <v>#N/A N/A</v>
        <stp/>
        <stp>BDH|15134001248999451382</stp>
        <tr r="F51" s="2"/>
      </tp>
      <tp t="s">
        <v>#N/A N/A</v>
        <stp/>
        <stp>BDH|13872803278775613230</stp>
        <tr r="K34" s="2"/>
      </tp>
      <tp t="s">
        <v>#N/A N/A</v>
        <stp/>
        <stp>BDH|15526684568799462755</stp>
        <tr r="AA53" s="2"/>
      </tp>
      <tp t="s">
        <v>#N/A N/A</v>
        <stp/>
        <stp>BDH|10977475674531484995</stp>
        <tr r="S61" s="2"/>
      </tp>
      <tp t="s">
        <v>#N/A N/A</v>
        <stp/>
        <stp>BDH|18069569215056376171</stp>
        <tr r="Y7" s="2"/>
      </tp>
      <tp t="s">
        <v>#N/A N/A</v>
        <stp/>
        <stp>BDH|10987739329338503612</stp>
        <tr r="Z30" s="2"/>
      </tp>
      <tp t="s">
        <v>#N/A N/A</v>
        <stp/>
        <stp>BDH|18166323546433353712</stp>
        <tr r="P32" s="2"/>
      </tp>
      <tp t="s">
        <v>#N/A N/A</v>
        <stp/>
        <stp>BDH|16870424914631815904</stp>
        <tr r="D60" s="2"/>
      </tp>
      <tp t="s">
        <v>#N/A N/A</v>
        <stp/>
        <stp>BDH|15810736790468818852</stp>
        <tr r="E36" s="2"/>
      </tp>
      <tp t="s">
        <v>#N/A N/A</v>
        <stp/>
        <stp>BDH|14041486793045669745</stp>
        <tr r="K28" s="2"/>
      </tp>
      <tp t="s">
        <v>#N/A N/A</v>
        <stp/>
        <stp>BDH|17125438499312366301</stp>
        <tr r="Z41" s="2"/>
      </tp>
      <tp t="s">
        <v>#N/A N/A</v>
        <stp/>
        <stp>BDH|15627221716615875820</stp>
        <tr r="S53" s="2"/>
      </tp>
      <tp t="s">
        <v>#N/A N/A</v>
        <stp/>
        <stp>BDH|14152649198006337669</stp>
        <tr r="F67" s="2"/>
      </tp>
      <tp t="s">
        <v>#N/A N/A</v>
        <stp/>
        <stp>BDH|17114858278274286765</stp>
        <tr r="K8" s="2"/>
      </tp>
      <tp t="s">
        <v>#N/A N/A</v>
        <stp/>
        <stp>BDH|14850857363102127346</stp>
        <tr r="W55" s="2"/>
      </tp>
      <tp t="s">
        <v>#N/A N/A</v>
        <stp/>
        <stp>BDH|18381493882838243704</stp>
        <tr r="K61" s="2"/>
      </tp>
      <tp t="s">
        <v>#N/A N/A</v>
        <stp/>
        <stp>BDH|12165734981322798493</stp>
        <tr r="AF12" s="2"/>
      </tp>
      <tp t="s">
        <v>#N/A N/A</v>
        <stp/>
        <stp>BDH|17908356356512217851</stp>
        <tr r="AF29" s="2"/>
      </tp>
      <tp t="s">
        <v>#N/A N/A</v>
        <stp/>
        <stp>BDH|11504656724128143680</stp>
        <tr r="S46" s="2"/>
      </tp>
      <tp t="s">
        <v>#N/A N/A</v>
        <stp/>
        <stp>BDH|15887237677563700868</stp>
        <tr r="F36" s="2"/>
      </tp>
      <tp t="s">
        <v>#N/A N/A</v>
        <stp/>
        <stp>BDH|11651302062418124781</stp>
        <tr r="AC41" s="2"/>
      </tp>
      <tp t="s">
        <v>#N/A N/A</v>
        <stp/>
        <stp>BDH|17430923869617708450</stp>
        <tr r="M61" s="2"/>
      </tp>
      <tp t="s">
        <v>#N/A N/A</v>
        <stp/>
        <stp>BDH|10400670027017850810</stp>
        <tr r="F32" s="2"/>
      </tp>
      <tp t="s">
        <v>#N/A N/A</v>
        <stp/>
        <stp>BDH|18207787262224111659</stp>
        <tr r="AD63" s="2"/>
      </tp>
      <tp t="s">
        <v>#N/A N/A</v>
        <stp/>
        <stp>BDH|10323727135366811906</stp>
        <tr r="S32" s="2"/>
      </tp>
      <tp t="s">
        <v>#N/A N/A</v>
        <stp/>
        <stp>BDH|10008781090183363677</stp>
        <tr r="AE42" s="2"/>
      </tp>
      <tp t="s">
        <v>#N/A N/A</v>
        <stp/>
        <stp>BDH|10501611885354926146</stp>
        <tr r="C36" s="2"/>
      </tp>
      <tp t="s">
        <v>#N/A N/A</v>
        <stp/>
        <stp>BDH|10258858039569451969</stp>
        <tr r="Q19" s="2"/>
      </tp>
      <tp t="s">
        <v>#N/A N/A</v>
        <stp/>
        <stp>BDH|18228817597212024081</stp>
        <tr r="S9" s="2"/>
      </tp>
      <tp t="s">
        <v>#N/A N/A</v>
        <stp/>
        <stp>BDH|12242714361418598081</stp>
        <tr r="J14" s="2"/>
      </tp>
      <tp t="s">
        <v>#N/A N/A</v>
        <stp/>
        <stp>BDH|13647487581090306431</stp>
        <tr r="L55" s="2"/>
      </tp>
      <tp t="s">
        <v>#N/A N/A</v>
        <stp/>
        <stp>BDH|13487091253665386826</stp>
        <tr r="C38" s="2"/>
      </tp>
      <tp t="s">
        <v>#N/A N/A</v>
        <stp/>
        <stp>BDH|11867244258959986427</stp>
        <tr r="P45" s="2"/>
      </tp>
      <tp t="s">
        <v>#N/A N/A</v>
        <stp/>
        <stp>BDH|15820820132020000563</stp>
        <tr r="U34" s="2"/>
      </tp>
      <tp t="s">
        <v>#N/A N/A</v>
        <stp/>
        <stp>BDH|17020905060736936575</stp>
        <tr r="K53" s="2"/>
      </tp>
      <tp t="s">
        <v>#N/A N/A</v>
        <stp/>
        <stp>BDH|18084618035937675236</stp>
        <tr r="Y60" s="2"/>
      </tp>
      <tp t="s">
        <v>#N/A N/A</v>
        <stp/>
        <stp>BDH|14122151307508631546</stp>
        <tr r="M7" s="2"/>
      </tp>
      <tp t="s">
        <v>#N/A N/A</v>
        <stp/>
        <stp>BDH|17150981789158708667</stp>
        <tr r="R42" s="2"/>
      </tp>
      <tp t="s">
        <v>#N/A N/A</v>
        <stp/>
        <stp>BDH|15494950624926732034</stp>
        <tr r="F17" s="2"/>
      </tp>
      <tp t="s">
        <v>#N/A N/A</v>
        <stp/>
        <stp>BDH|13947301908389706173</stp>
        <tr r="AE26" s="2"/>
      </tp>
      <tp t="s">
        <v>#N/A N/A</v>
        <stp/>
        <stp>BDH|18093343360566635325</stp>
        <tr r="H30" s="2"/>
      </tp>
      <tp t="s">
        <v>#N/A N/A</v>
        <stp/>
        <stp>BDH|16094267124069732755</stp>
        <tr r="I53" s="2"/>
      </tp>
      <tp t="s">
        <v>#N/A N/A</v>
        <stp/>
        <stp>BDH|15403820668817897458</stp>
        <tr r="G65" s="2"/>
      </tp>
      <tp t="s">
        <v>#N/A N/A</v>
        <stp/>
        <stp>BDH|16689675656588047543</stp>
        <tr r="W14" s="2"/>
      </tp>
      <tp t="s">
        <v>#N/A N/A</v>
        <stp/>
        <stp>BDH|17385564246406176818</stp>
        <tr r="L12" s="2"/>
      </tp>
      <tp t="s">
        <v>#N/A N/A</v>
        <stp/>
        <stp>BDH|15855735482961989334</stp>
        <tr r="J66" s="2"/>
      </tp>
      <tp t="s">
        <v>#N/A N/A</v>
        <stp/>
        <stp>BDH|15649415191589372966</stp>
        <tr r="W25" s="2"/>
      </tp>
      <tp t="s">
        <v>#N/A N/A</v>
        <stp/>
        <stp>BDH|11008272465908800586</stp>
        <tr r="N22" s="2"/>
      </tp>
      <tp t="s">
        <v>#N/A N/A</v>
        <stp/>
        <stp>BDH|10318922649756352392</stp>
        <tr r="AD12" s="2"/>
      </tp>
      <tp t="s">
        <v>#N/A N/A</v>
        <stp/>
        <stp>BDH|16428201075068648356</stp>
        <tr r="Q45" s="2"/>
      </tp>
      <tp t="s">
        <v>#N/A N/A</v>
        <stp/>
        <stp>BDH|13198414176321312904</stp>
        <tr r="G50" s="2"/>
      </tp>
      <tp t="s">
        <v>#N/A N/A</v>
        <stp/>
        <stp>BDH|13708329314368560113</stp>
        <tr r="W13" s="2"/>
      </tp>
      <tp t="s">
        <v>#N/A N/A</v>
        <stp/>
        <stp>BDH|12239940556803455510</stp>
        <tr r="W51" s="2"/>
      </tp>
      <tp t="s">
        <v>#N/A N/A</v>
        <stp/>
        <stp>BDH|10099658452903545862</stp>
        <tr r="AB26" s="2"/>
      </tp>
      <tp t="s">
        <v>#N/A N/A</v>
        <stp/>
        <stp>BDH|13283021141247767821</stp>
        <tr r="G26" s="2"/>
      </tp>
      <tp t="s">
        <v>#N/A N/A</v>
        <stp/>
        <stp>BDH|15196848882435376800</stp>
        <tr r="AC50" s="2"/>
      </tp>
      <tp t="s">
        <v>#N/A N/A</v>
        <stp/>
        <stp>BDH|12580721123456622954</stp>
        <tr r="N45" s="2"/>
      </tp>
      <tp t="s">
        <v>#N/A N/A</v>
        <stp/>
        <stp>BDH|13766987529025936583</stp>
        <tr r="T30" s="2"/>
      </tp>
      <tp t="s">
        <v>#N/A N/A</v>
        <stp/>
        <stp>BDH|11930443999335001136</stp>
        <tr r="S28" s="2"/>
      </tp>
      <tp t="s">
        <v>#N/A N/A</v>
        <stp/>
        <stp>BDH|17656721555484056961</stp>
        <tr r="D37" s="2"/>
      </tp>
      <tp t="s">
        <v>#N/A N/A</v>
        <stp/>
        <stp>BDH|17165379307329433530</stp>
        <tr r="V47" s="2"/>
      </tp>
      <tp t="s">
        <v>#N/A N/A</v>
        <stp/>
        <stp>BDH|15763025955200696805</stp>
        <tr r="O51" s="2"/>
      </tp>
      <tp t="s">
        <v>#N/A N/A</v>
        <stp/>
        <stp>BDH|15241562586127439708</stp>
        <tr r="F63" s="2"/>
      </tp>
      <tp t="s">
        <v>#N/A N/A</v>
        <stp/>
        <stp>BDH|15869900358930966105</stp>
        <tr r="S12" s="2"/>
      </tp>
      <tp t="s">
        <v>#N/A N/A</v>
        <stp/>
        <stp>BDH|13854633532718534657</stp>
        <tr r="W59" s="2"/>
      </tp>
      <tp t="s">
        <v>#N/A N/A</v>
        <stp/>
        <stp>BDH|11344949646931039599</stp>
        <tr r="M34" s="2"/>
      </tp>
      <tp t="s">
        <v>#N/A N/A</v>
        <stp/>
        <stp>BDH|11830077795310641047</stp>
        <tr r="D31" s="2"/>
      </tp>
      <tp t="s">
        <v>#N/A N/A</v>
        <stp/>
        <stp>BDH|10195194333572571855</stp>
        <tr r="AF44" s="2"/>
      </tp>
      <tp t="s">
        <v>#N/A N/A</v>
        <stp/>
        <stp>BDH|11749874219084299404</stp>
        <tr r="H43" s="2"/>
      </tp>
      <tp t="s">
        <v>#N/A N/A</v>
        <stp/>
        <stp>BDH|12235081599143075088</stp>
        <tr r="AF17" s="2"/>
      </tp>
      <tp t="s">
        <v>#N/A N/A</v>
        <stp/>
        <stp>BDH|13239102206658711287</stp>
        <tr r="AE23" s="2"/>
      </tp>
      <tp t="s">
        <v>#N/A N/A</v>
        <stp/>
        <stp>BDH|17945640743245709820</stp>
        <tr r="E43" s="2"/>
      </tp>
      <tp t="s">
        <v>#N/A N/A</v>
        <stp/>
        <stp>BDH|17236888716811217745</stp>
        <tr r="Q50" s="2"/>
      </tp>
      <tp t="s">
        <v>#N/A N/A</v>
        <stp/>
        <stp>BDH|15806300395581176619</stp>
        <tr r="T34" s="2"/>
      </tp>
      <tp t="s">
        <v>#N/A N/A</v>
        <stp/>
        <stp>BDH|16869098064810161891</stp>
        <tr r="H67" s="2"/>
      </tp>
      <tp t="s">
        <v>#N/A N/A</v>
        <stp/>
        <stp>BDH|17435854629732437713</stp>
        <tr r="V16" s="2"/>
      </tp>
      <tp t="s">
        <v>#N/A N/A</v>
        <stp/>
        <stp>BDH|14519716925778411184</stp>
        <tr r="Y63" s="2"/>
      </tp>
      <tp t="s">
        <v>#N/A N/A</v>
        <stp/>
        <stp>BDH|10762660420009953557</stp>
        <tr r="S41" s="2"/>
      </tp>
      <tp t="s">
        <v>#N/A N/A</v>
        <stp/>
        <stp>BDH|14984676242087084905</stp>
        <tr r="AF49" s="2"/>
      </tp>
      <tp t="s">
        <v>#N/A N/A</v>
        <stp/>
        <stp>BDH|13711260159199548517</stp>
        <tr r="I51" s="2"/>
      </tp>
      <tp t="s">
        <v>#N/A N/A</v>
        <stp/>
        <stp>BDH|17961915597467472875</stp>
        <tr r="AB10" s="2"/>
      </tp>
      <tp t="s">
        <v>#N/A N/A</v>
        <stp/>
        <stp>BDH|14342850315190473587</stp>
        <tr r="AF53" s="2"/>
      </tp>
      <tp t="s">
        <v>#N/A N/A</v>
        <stp/>
        <stp>BDH|13987229410081185943</stp>
        <tr r="E38" s="2"/>
      </tp>
      <tp t="s">
        <v>#N/A N/A</v>
        <stp/>
        <stp>BDH|18253385148884491388</stp>
        <tr r="R30" s="2"/>
      </tp>
      <tp t="s">
        <v>#N/A N/A</v>
        <stp/>
        <stp>BDH|14541841325065919330</stp>
        <tr r="W10" s="2"/>
      </tp>
      <tp t="s">
        <v>#N/A N/A</v>
        <stp/>
        <stp>BDH|13555073487897018547</stp>
        <tr r="Q47" s="2"/>
      </tp>
      <tp t="s">
        <v>#N/A N/A</v>
        <stp/>
        <stp>BDH|14168674536401335926</stp>
        <tr r="Z32" s="2"/>
      </tp>
      <tp t="s">
        <v>#N/A N/A</v>
        <stp/>
        <stp>BDH|12696860401900505353</stp>
        <tr r="AE50" s="2"/>
      </tp>
      <tp t="s">
        <v>#N/A N/A</v>
        <stp/>
        <stp>BDH|17194766498899620983</stp>
        <tr r="T14" s="2"/>
      </tp>
      <tp t="s">
        <v>#N/A N/A</v>
        <stp/>
        <stp>BDH|12762408327655802883</stp>
        <tr r="T13" s="2"/>
      </tp>
      <tp t="s">
        <v>#N/A N/A</v>
        <stp/>
        <stp>BDH|10394077194054927490</stp>
        <tr r="H7" s="2"/>
      </tp>
      <tp t="s">
        <v>#N/A N/A</v>
        <stp/>
        <stp>BDH|13416033595467686472</stp>
        <tr r="G12" s="2"/>
      </tp>
      <tp t="s">
        <v>#N/A N/A</v>
        <stp/>
        <stp>BDH|17550242712628946594</stp>
        <tr r="AE9" s="2"/>
      </tp>
      <tp t="s">
        <v>#N/A N/A</v>
        <stp/>
        <stp>BDH|18072078123715661619</stp>
        <tr r="C11" s="2"/>
      </tp>
      <tp t="s">
        <v>#N/A N/A</v>
        <stp/>
        <stp>BDH|17777628781791421123</stp>
        <tr r="P19" s="2"/>
      </tp>
      <tp t="s">
        <v>#N/A N/A</v>
        <stp/>
        <stp>BDH|16827104644689901378</stp>
        <tr r="N23" s="2"/>
      </tp>
      <tp t="s">
        <v>#N/A N/A</v>
        <stp/>
        <stp>BDH|16292226459609903126</stp>
        <tr r="Y12" s="2"/>
      </tp>
      <tp t="s">
        <v>#N/A N/A</v>
        <stp/>
        <stp>BDH|12342748556620663951</stp>
        <tr r="G27" s="2"/>
      </tp>
      <tp t="s">
        <v>#N/A N/A</v>
        <stp/>
        <stp>BDH|10029743266668319031</stp>
        <tr r="K18" s="2"/>
      </tp>
      <tp t="s">
        <v>#N/A N/A</v>
        <stp/>
        <stp>BDH|17744736057419634506</stp>
        <tr r="F44" s="2"/>
      </tp>
      <tp t="s">
        <v>#N/A N/A</v>
        <stp/>
        <stp>BDH|16628842106032643566</stp>
        <tr r="S67" s="2"/>
      </tp>
      <tp t="s">
        <v>#N/A N/A</v>
        <stp/>
        <stp>BDH|12990817238914365470</stp>
        <tr r="AF55" s="2"/>
      </tp>
      <tp t="s">
        <v>#N/A N/A</v>
        <stp/>
        <stp>BDH|16028138264581362909</stp>
        <tr r="K30" s="2"/>
      </tp>
      <tp t="s">
        <v>#N/A N/A</v>
        <stp/>
        <stp>BDH|16508827140190446342</stp>
        <tr r="V35" s="2"/>
      </tp>
      <tp t="s">
        <v>#N/A N/A</v>
        <stp/>
        <stp>BDH|15770354590722157446</stp>
        <tr r="AC12" s="2"/>
      </tp>
      <tp t="s">
        <v>#N/A N/A</v>
        <stp/>
        <stp>BDH|10239882979532092457</stp>
        <tr r="J23" s="2"/>
      </tp>
      <tp t="s">
        <v>#N/A N/A</v>
        <stp/>
        <stp>BDH|14173456956919370584</stp>
        <tr r="AA51" s="2"/>
      </tp>
      <tp t="s">
        <v>#N/A N/A</v>
        <stp/>
        <stp>BDH|11191382692764748656</stp>
        <tr r="Y46" s="2"/>
      </tp>
      <tp t="s">
        <v>#N/A N/A</v>
        <stp/>
        <stp>BDH|15199239619337530871</stp>
        <tr r="R55" s="2"/>
      </tp>
      <tp t="s">
        <v>#N/A N/A</v>
        <stp/>
        <stp>BDH|11876531202868733567</stp>
        <tr r="D18" s="2"/>
      </tp>
      <tp t="s">
        <v>#N/A N/A</v>
        <stp/>
        <stp>BDH|11986334037901170942</stp>
        <tr r="J10" s="2"/>
      </tp>
      <tp t="s">
        <v>#N/A N/A</v>
        <stp/>
        <stp>BDH|13243591626874762916</stp>
        <tr r="AB43" s="2"/>
      </tp>
      <tp t="s">
        <v>#N/A N/A</v>
        <stp/>
        <stp>BDH|17522641297458428994</stp>
        <tr r="V24" s="2"/>
      </tp>
      <tp t="s">
        <v>#N/A N/A</v>
        <stp/>
        <stp>BDH|12860461727118313513</stp>
        <tr r="AB13" s="2"/>
      </tp>
      <tp t="s">
        <v>#N/A N/A</v>
        <stp/>
        <stp>BDH|15919564597530615049</stp>
        <tr r="U27" s="2"/>
      </tp>
      <tp t="s">
        <v>#N/A N/A</v>
        <stp/>
        <stp>BDH|12179297941519244419</stp>
        <tr r="AA64" s="2"/>
      </tp>
      <tp t="s">
        <v>#N/A N/A</v>
        <stp/>
        <stp>BDH|12811830659337822105</stp>
        <tr r="K47" s="2"/>
      </tp>
      <tp t="s">
        <v>#N/A N/A</v>
        <stp/>
        <stp>BDH|13053617087052915628</stp>
        <tr r="U42" s="2"/>
      </tp>
      <tp t="s">
        <v>#N/A N/A</v>
        <stp/>
        <stp>BDH|16462150319179644631</stp>
        <tr r="D41" s="2"/>
      </tp>
      <tp t="s">
        <v>#N/A N/A</v>
        <stp/>
        <stp>BDH|17664747093770417080</stp>
        <tr r="AA55" s="2"/>
      </tp>
      <tp t="s">
        <v>#N/A N/A</v>
        <stp/>
        <stp>BDH|14357128485285096188</stp>
        <tr r="E18" s="2"/>
      </tp>
      <tp t="s">
        <v>#N/A N/A</v>
        <stp/>
        <stp>BDH|12805813520052074358</stp>
        <tr r="K60" s="2"/>
      </tp>
      <tp t="s">
        <v>#N/A N/A</v>
        <stp/>
        <stp>BDH|14471930433880080785</stp>
        <tr r="M48" s="2"/>
      </tp>
      <tp t="s">
        <v>#N/A N/A</v>
        <stp/>
        <stp>BDH|16068096929705555892</stp>
        <tr r="I19" s="2"/>
      </tp>
      <tp t="s">
        <v>#N/A N/A</v>
        <stp/>
        <stp>BDH|15608464961997740993</stp>
        <tr r="P67" s="2"/>
      </tp>
      <tp t="s">
        <v>#N/A N/A</v>
        <stp/>
        <stp>BDH|16511904125595736180</stp>
        <tr r="E9" s="2"/>
      </tp>
      <tp t="s">
        <v>#N/A N/A</v>
        <stp/>
        <stp>BDH|12490824714940921245</stp>
        <tr r="O65" s="2"/>
      </tp>
      <tp t="s">
        <v>#N/A N/A</v>
        <stp/>
        <stp>BDH|15284707328300782925</stp>
        <tr r="X53" s="2"/>
      </tp>
      <tp t="s">
        <v>#N/A N/A</v>
        <stp/>
        <stp>BDH|11701318394386845446</stp>
        <tr r="AD24" s="2"/>
      </tp>
      <tp t="s">
        <v>#N/A N/A</v>
        <stp/>
        <stp>BDH|12483505300497200988</stp>
        <tr r="O37" s="2"/>
      </tp>
      <tp t="s">
        <v>#N/A N/A</v>
        <stp/>
        <stp>BDH|12771206350178419320</stp>
        <tr r="AC64" s="2"/>
      </tp>
      <tp t="s">
        <v>#N/A N/A</v>
        <stp/>
        <stp>BDH|17282554036446845989</stp>
        <tr r="AB53" s="2"/>
      </tp>
      <tp t="s">
        <v>#N/A N/A</v>
        <stp/>
        <stp>BDH|17075044934798238233</stp>
        <tr r="AA32" s="2"/>
      </tp>
      <tp t="s">
        <v>#N/A N/A</v>
        <stp/>
        <stp>BDH|11366050787363052419</stp>
        <tr r="L41" s="2"/>
      </tp>
      <tp t="s">
        <v>#N/A N/A</v>
        <stp/>
        <stp>BDH|12864309899924145200</stp>
        <tr r="E63" s="2"/>
      </tp>
      <tp t="s">
        <v>#N/A N/A</v>
        <stp/>
        <stp>BDH|12278213383101560752</stp>
        <tr r="G48" s="2"/>
      </tp>
      <tp t="s">
        <v>#N/A N/A</v>
        <stp/>
        <stp>BDH|15775857044662269541</stp>
        <tr r="AA13" s="2"/>
      </tp>
      <tp t="s">
        <v>#N/A N/A</v>
        <stp/>
        <stp>BDH|13662266674248201064</stp>
        <tr r="X42" s="2"/>
      </tp>
      <tp t="s">
        <v>#N/A N/A</v>
        <stp/>
        <stp>BDH|11100240681956447309</stp>
        <tr r="Q12" s="2"/>
      </tp>
      <tp t="s">
        <v>#N/A N/A</v>
        <stp/>
        <stp>BDH|12712263184123276559</stp>
        <tr r="AF8" s="2"/>
      </tp>
      <tp t="s">
        <v>#N/A N/A</v>
        <stp/>
        <stp>BDH|18100666032625718605</stp>
        <tr r="E51" s="2"/>
      </tp>
      <tp t="s">
        <v>#N/A N/A</v>
        <stp/>
        <stp>BDH|18174564047763402414</stp>
        <tr r="D64" s="2"/>
      </tp>
      <tp t="s">
        <v>#N/A N/A</v>
        <stp/>
        <stp>BDH|17213244603042990985</stp>
        <tr r="AA48" s="2"/>
      </tp>
      <tp t="s">
        <v>#N/A N/A</v>
        <stp/>
        <stp>BDH|12460836130375285219</stp>
        <tr r="N60" s="2"/>
      </tp>
      <tp t="s">
        <v>#N/A N/A</v>
        <stp/>
        <stp>BDH|14375955851452230410</stp>
        <tr r="N7" s="2"/>
      </tp>
      <tp t="s">
        <v>#N/A N/A</v>
        <stp/>
        <stp>BDH|10758643420338070249</stp>
        <tr r="U65" s="2"/>
      </tp>
      <tp t="s">
        <v>#N/A N/A</v>
        <stp/>
        <stp>BDH|12327862500551199536</stp>
        <tr r="AB27" s="2"/>
      </tp>
      <tp t="s">
        <v>#N/A N/A</v>
        <stp/>
        <stp>BDH|14154837926533769349</stp>
        <tr r="X61" s="2"/>
      </tp>
      <tp t="s">
        <v>#N/A N/A</v>
        <stp/>
        <stp>BDH|11216613183629444838</stp>
        <tr r="V9" s="2"/>
      </tp>
      <tp t="s">
        <v>#N/A N/A</v>
        <stp/>
        <stp>BDH|18333861931454368902</stp>
        <tr r="K37" s="2"/>
      </tp>
      <tp t="s">
        <v>#N/A N/A</v>
        <stp/>
        <stp>BDH|10611756701459225060</stp>
        <tr r="J67" s="2"/>
      </tp>
      <tp t="s">
        <v>#N/A N/A</v>
        <stp/>
        <stp>BDH|13896021836367399992</stp>
        <tr r="S44" s="2"/>
      </tp>
      <tp t="s">
        <v>#N/A N/A</v>
        <stp/>
        <stp>BDH|15232856051567605191</stp>
        <tr r="M44" s="2"/>
      </tp>
      <tp t="s">
        <v>#N/A N/A</v>
        <stp/>
        <stp>BDH|14500509316826998838</stp>
        <tr r="K45" s="2"/>
      </tp>
      <tp t="s">
        <v>#N/A N/A</v>
        <stp/>
        <stp>BDH|16593058481718119885</stp>
        <tr r="I65" s="2"/>
      </tp>
      <tp t="s">
        <v>#N/A N/A</v>
        <stp/>
        <stp>BDH|12210621109568114200</stp>
        <tr r="O60" s="2"/>
      </tp>
      <tp t="s">
        <v>#N/A N/A</v>
        <stp/>
        <stp>BDH|15019085576348526405</stp>
        <tr r="L48" s="2"/>
      </tp>
      <tp t="s">
        <v>#N/A N/A</v>
        <stp/>
        <stp>BDH|11352490732400071830</stp>
        <tr r="F59" s="2"/>
      </tp>
      <tp t="s">
        <v>#N/A N/A</v>
        <stp/>
        <stp>BDH|15903321488576960608</stp>
        <tr r="S38" s="2"/>
      </tp>
      <tp t="s">
        <v>#N/A N/A</v>
        <stp/>
        <stp>BDH|10976037975080019959</stp>
        <tr r="O43" s="2"/>
      </tp>
      <tp t="s">
        <v>#N/A N/A</v>
        <stp/>
        <stp>BDH|11217380389510048493</stp>
        <tr r="X30" s="2"/>
      </tp>
      <tp t="s">
        <v>#N/A N/A</v>
        <stp/>
        <stp>BDH|15899704947020764850</stp>
        <tr r="X31" s="2"/>
      </tp>
      <tp t="s">
        <v>#N/A N/A</v>
        <stp/>
        <stp>BDH|16187027488268320857</stp>
        <tr r="G59" s="2"/>
      </tp>
      <tp t="s">
        <v>#N/A N/A</v>
        <stp/>
        <stp>BDH|11951693078418119641</stp>
        <tr r="L62" s="2"/>
      </tp>
      <tp t="s">
        <v>#N/A N/A</v>
        <stp/>
        <stp>BDH|17650499143350007918</stp>
        <tr r="H8" s="2"/>
      </tp>
      <tp t="s">
        <v>#N/A N/A</v>
        <stp/>
        <stp>BDH|12141963134973618597</stp>
        <tr r="C29" s="2"/>
      </tp>
      <tp t="s">
        <v>#N/A N/A</v>
        <stp/>
        <stp>BDH|14005093399585967655</stp>
        <tr r="S64" s="2"/>
      </tp>
      <tp t="s">
        <v>#N/A N/A</v>
        <stp/>
        <stp>BDH|11377967798997128834</stp>
        <tr r="AD7" s="2"/>
      </tp>
      <tp t="s">
        <v>#N/A N/A</v>
        <stp/>
        <stp>BDH|15651778188575554132</stp>
        <tr r="W62" s="2"/>
      </tp>
      <tp t="s">
        <v>#N/A N/A</v>
        <stp/>
        <stp>BDH|14484515634724752892</stp>
        <tr r="X60" s="2"/>
      </tp>
      <tp t="s">
        <v>#N/A N/A</v>
        <stp/>
        <stp>BDH|12701841853069626892</stp>
        <tr r="AD14" s="2"/>
      </tp>
      <tp t="s">
        <v>#N/A N/A</v>
        <stp/>
        <stp>BDH|16941937177110723654</stp>
        <tr r="P61" s="2"/>
      </tp>
      <tp t="s">
        <v>#N/A N/A</v>
        <stp/>
        <stp>BDH|14228476394827647099</stp>
        <tr r="I28" s="2"/>
      </tp>
      <tp t="s">
        <v>#N/A N/A</v>
        <stp/>
        <stp>BDH|11985831640477963521</stp>
        <tr r="O46" s="2"/>
      </tp>
      <tp t="s">
        <v>#N/A N/A</v>
        <stp/>
        <stp>BDH|10720891436971877505</stp>
        <tr r="I60" s="2"/>
      </tp>
      <tp t="s">
        <v>#N/A N/A</v>
        <stp/>
        <stp>BDH|11627946860414661548</stp>
        <tr r="I32" s="2"/>
      </tp>
      <tp t="s">
        <v>#N/A N/A</v>
        <stp/>
        <stp>BDH|15300361266848322706</stp>
        <tr r="AB22" s="2"/>
      </tp>
      <tp t="s">
        <v>#N/A N/A</v>
        <stp/>
        <stp>BDH|13815140148298436102</stp>
        <tr r="M60" s="2"/>
      </tp>
      <tp t="s">
        <v>#N/A N/A</v>
        <stp/>
        <stp>BDH|11903106768238911185</stp>
        <tr r="P10" s="2"/>
      </tp>
      <tp t="s">
        <v>#N/A N/A</v>
        <stp/>
        <stp>BDH|17694110487044624551</stp>
        <tr r="U8" s="2"/>
      </tp>
      <tp t="s">
        <v>#N/A N/A</v>
        <stp/>
        <stp>BDH|14350710965559399375</stp>
        <tr r="E55" s="2"/>
      </tp>
      <tp t="s">
        <v>#N/A N/A</v>
        <stp/>
        <stp>BDH|12283665950427081974</stp>
        <tr r="T38" s="2"/>
      </tp>
      <tp t="s">
        <v>#N/A N/A</v>
        <stp/>
        <stp>BDH|11118572595094835691</stp>
        <tr r="AC59" s="2"/>
      </tp>
      <tp t="s">
        <v>#N/A N/A</v>
        <stp/>
        <stp>BDH|18091265637751213763</stp>
        <tr r="E47" s="2"/>
      </tp>
      <tp t="s">
        <v>#N/A N/A</v>
        <stp/>
        <stp>BDH|18075747956234447134</stp>
        <tr r="Q17" s="2"/>
      </tp>
      <tp t="s">
        <v>#N/A N/A</v>
        <stp/>
        <stp>BDH|12075102881602352670</stp>
        <tr r="D35" s="2"/>
      </tp>
      <tp t="s">
        <v>#N/A N/A</v>
        <stp/>
        <stp>BDH|15063976765564060164</stp>
        <tr r="AC33" s="2"/>
      </tp>
      <tp t="s">
        <v>#N/A N/A</v>
        <stp/>
        <stp>BDH|14312139385706332405</stp>
        <tr r="M42" s="2"/>
      </tp>
      <tp t="s">
        <v>#N/A N/A</v>
        <stp/>
        <stp>BDH|18442412050891442788</stp>
        <tr r="L18" s="2"/>
      </tp>
      <tp t="s">
        <v>#N/A N/A</v>
        <stp/>
        <stp>BDH|11138965466010107190</stp>
        <tr r="L44" s="2"/>
      </tp>
      <tp t="s">
        <v>#N/A N/A</v>
        <stp/>
        <stp>BDH|12121392485862099444</stp>
        <tr r="N37" s="2"/>
      </tp>
      <tp t="s">
        <v>#N/A N/A</v>
        <stp/>
        <stp>BDH|13226530918451360934</stp>
        <tr r="F65" s="2"/>
      </tp>
      <tp t="s">
        <v>#N/A N/A</v>
        <stp/>
        <stp>BDH|12728444150345259984</stp>
        <tr r="S33" s="2"/>
      </tp>
      <tp t="s">
        <v>#N/A N/A</v>
        <stp/>
        <stp>BDH|14261526080835947312</stp>
        <tr r="I7" s="2"/>
      </tp>
      <tp t="s">
        <v>#N/A N/A</v>
        <stp/>
        <stp>BDH|11584919058961322379</stp>
        <tr r="T42" s="2"/>
      </tp>
      <tp t="s">
        <v>#N/A N/A</v>
        <stp/>
        <stp>BDH|18233079593037959956</stp>
        <tr r="AC9" s="2"/>
      </tp>
      <tp t="s">
        <v>#N/A N/A</v>
        <stp/>
        <stp>BDH|13664058933808895750</stp>
        <tr r="X22" s="2"/>
      </tp>
      <tp t="s">
        <v>#N/A N/A</v>
        <stp/>
        <stp>BDH|16919608170980634838</stp>
        <tr r="N42" s="2"/>
      </tp>
      <tp t="s">
        <v>#N/A N/A</v>
        <stp/>
        <stp>BDH|17060388745058637772</stp>
        <tr r="AE36" s="2"/>
      </tp>
      <tp t="s">
        <v>#N/A N/A</v>
        <stp/>
        <stp>BDH|10840447061579549445</stp>
        <tr r="Y41" s="2"/>
      </tp>
      <tp t="s">
        <v>#N/A N/A</v>
        <stp/>
        <stp>BDH|13691632986094854647</stp>
        <tr r="X62" s="2"/>
      </tp>
      <tp t="s">
        <v>#N/A N/A</v>
        <stp/>
        <stp>BDH|11250984713442262459</stp>
        <tr r="R66" s="2"/>
      </tp>
      <tp t="s">
        <v>#N/A N/A</v>
        <stp/>
        <stp>BDH|13103899694468716558</stp>
        <tr r="AC53" s="2"/>
      </tp>
      <tp t="s">
        <v>#N/A N/A</v>
        <stp/>
        <stp>BDH|15970840675267193278</stp>
        <tr r="Y24" s="2"/>
      </tp>
      <tp t="s">
        <v>#N/A N/A</v>
        <stp/>
        <stp>BDH|15846636180570987737</stp>
        <tr r="E10" s="2"/>
      </tp>
      <tp t="s">
        <v>#N/A N/A</v>
        <stp/>
        <stp>BDH|16335392135509988365</stp>
        <tr r="AD27" s="2"/>
      </tp>
      <tp t="s">
        <v>#N/A N/A</v>
        <stp/>
        <stp>BDH|10151446986666132624</stp>
        <tr r="X34" s="2"/>
      </tp>
      <tp t="s">
        <v>#N/A N/A</v>
        <stp/>
        <stp>BDH|10536763718182213891</stp>
        <tr r="P48" s="2"/>
      </tp>
      <tp t="s">
        <v>#N/A N/A</v>
        <stp/>
        <stp>BDH|16840773079479705315</stp>
        <tr r="AF25" s="2"/>
      </tp>
      <tp t="s">
        <v>#N/A N/A</v>
        <stp/>
        <stp>BDH|16102664214684653952</stp>
        <tr r="H23" s="2"/>
      </tp>
      <tp t="s">
        <v>#N/A N/A</v>
        <stp/>
        <stp>BDH|13530392591537777298</stp>
        <tr r="K48" s="2"/>
      </tp>
      <tp t="s">
        <v>#N/A N/A</v>
        <stp/>
        <stp>BDH|16079916852250402640</stp>
        <tr r="AC16" s="2"/>
      </tp>
      <tp t="s">
        <v>#N/A N/A</v>
        <stp/>
        <stp>BDH|13751627351154675806</stp>
        <tr r="H28" s="2"/>
      </tp>
      <tp t="s">
        <v>#N/A N/A</v>
        <stp/>
        <stp>BDH|12946593986473238061</stp>
        <tr r="O32" s="2"/>
      </tp>
      <tp t="s">
        <v>#N/A N/A</v>
        <stp/>
        <stp>BDH|15219269117512441823</stp>
        <tr r="L42" s="2"/>
      </tp>
      <tp t="s">
        <v>#N/A N/A</v>
        <stp/>
        <stp>BDH|16808438779309353046</stp>
        <tr r="Y25" s="2"/>
      </tp>
      <tp t="s">
        <v>#N/A N/A</v>
        <stp/>
        <stp>BDH|16740926175174034051</stp>
        <tr r="AB66" s="2"/>
      </tp>
      <tp t="s">
        <v>#N/A N/A</v>
        <stp/>
        <stp>BDH|10193291512449823661</stp>
        <tr r="M65" s="2"/>
      </tp>
      <tp t="s">
        <v>#N/A N/A</v>
        <stp/>
        <stp>BDH|13754998530106350394</stp>
        <tr r="AA8" s="2"/>
      </tp>
      <tp t="s">
        <v>#N/A N/A</v>
        <stp/>
        <stp>BDH|10280822365024704666</stp>
        <tr r="E33" s="2"/>
      </tp>
      <tp t="s">
        <v>#N/A N/A</v>
        <stp/>
        <stp>BDH|14796516086673492602</stp>
        <tr r="AC42" s="2"/>
      </tp>
      <tp t="s">
        <v>#N/A N/A</v>
        <stp/>
        <stp>BDH|14344120436742426870</stp>
        <tr r="W61" s="2"/>
      </tp>
      <tp t="s">
        <v>#N/A N/A</v>
        <stp/>
        <stp>BDH|14914669523044218893</stp>
        <tr r="S15" s="2"/>
      </tp>
      <tp t="s">
        <v>#N/A N/A</v>
        <stp/>
        <stp>BDH|14543859970350599720</stp>
        <tr r="J25" s="2"/>
      </tp>
      <tp t="s">
        <v>#N/A N/A</v>
        <stp/>
        <stp>BDH|13839647236183874949</stp>
        <tr r="S63" s="2"/>
      </tp>
      <tp t="s">
        <v>#N/A N/A</v>
        <stp/>
        <stp>BDH|11472666580255467606</stp>
        <tr r="M33" s="2"/>
      </tp>
      <tp t="s">
        <v>#N/A N/A</v>
        <stp/>
        <stp>BDH|11072085508248438526</stp>
        <tr r="V45" s="2"/>
      </tp>
      <tp t="s">
        <v>#N/A N/A</v>
        <stp/>
        <stp>BDH|13204804206290401797</stp>
        <tr r="W37" s="2"/>
      </tp>
      <tp t="s">
        <v>#N/A N/A</v>
        <stp/>
        <stp>BDH|12579433604133399989</stp>
        <tr r="Y27" s="2"/>
      </tp>
      <tp t="s">
        <v>#N/A N/A</v>
        <stp/>
        <stp>BDH|15174937048851233536</stp>
        <tr r="AC11" s="2"/>
      </tp>
      <tp t="s">
        <v>#N/A N/A</v>
        <stp/>
        <stp>BDH|11865909675714155765</stp>
        <tr r="T60" s="2"/>
      </tp>
      <tp t="s">
        <v>#N/A N/A</v>
        <stp/>
        <stp>BDH|13236938402722159488</stp>
        <tr r="AB47" s="2"/>
      </tp>
      <tp t="s">
        <v>#N/A N/A</v>
        <stp/>
        <stp>BDH|16585756518025665925</stp>
        <tr r="AB61" s="2"/>
      </tp>
      <tp t="s">
        <v>#N/A N/A</v>
        <stp/>
        <stp>BDH|14012059278347656873</stp>
        <tr r="Y55" s="2"/>
      </tp>
      <tp t="s">
        <v>#N/A N/A</v>
        <stp/>
        <stp>BDH|16792914106345587696</stp>
        <tr r="G64" s="2"/>
      </tp>
      <tp t="s">
        <v>#N/A N/A</v>
        <stp/>
        <stp>BDH|17845824220720507130</stp>
        <tr r="V28" s="2"/>
      </tp>
      <tp t="s">
        <v>#N/A N/A</v>
        <stp/>
        <stp>BDH|14142186595859050909</stp>
        <tr r="H29" s="2"/>
      </tp>
      <tp t="s">
        <v>#N/A N/A</v>
        <stp/>
        <stp>BDH|12896880115015858224</stp>
        <tr r="D16" s="2"/>
      </tp>
      <tp t="s">
        <v>#N/A N/A</v>
        <stp/>
        <stp>BDH|16982775131197247929</stp>
        <tr r="E41" s="2"/>
      </tp>
      <tp t="s">
        <v>#N/A N/A</v>
        <stp/>
        <stp>BDH|17903178555748521704</stp>
        <tr r="U22" s="2"/>
      </tp>
      <tp t="s">
        <v>#N/A N/A</v>
        <stp/>
        <stp>BDH|11779163022307915944</stp>
        <tr r="T16" s="2"/>
      </tp>
      <tp t="s">
        <v>#N/A N/A</v>
        <stp/>
        <stp>BDH|11660575375176932930</stp>
        <tr r="X18" s="2"/>
      </tp>
      <tp t="s">
        <v>#N/A N/A</v>
        <stp/>
        <stp>BDH|15583789102747555943</stp>
        <tr r="Y44" s="2"/>
      </tp>
      <tp t="s">
        <v>#N/A N/A</v>
        <stp/>
        <stp>BDH|11082243042629929218</stp>
        <tr r="W45" s="2"/>
      </tp>
      <tp t="s">
        <v>#N/A N/A</v>
        <stp/>
        <stp>BDH|13880057857608953327</stp>
        <tr r="V64" s="2"/>
      </tp>
      <tp t="s">
        <v>#N/A N/A</v>
        <stp/>
        <stp>BDH|14224522872428562361</stp>
        <tr r="AA16" s="2"/>
      </tp>
      <tp t="s">
        <v>#N/A N/A</v>
        <stp/>
        <stp>BDH|16374066222099038075</stp>
        <tr r="AA60" s="2"/>
      </tp>
      <tp t="s">
        <v>#N/A N/A</v>
        <stp/>
        <stp>BDH|14036465865873338836</stp>
        <tr r="AC10" s="2"/>
      </tp>
      <tp t="s">
        <v>#N/A N/A</v>
        <stp/>
        <stp>BDH|15550979877210527632</stp>
        <tr r="P9" s="2"/>
      </tp>
      <tp t="s">
        <v>#N/A N/A</v>
        <stp/>
        <stp>BDH|10221143561489300374</stp>
        <tr r="H35" s="2"/>
      </tp>
      <tp t="s">
        <v>#N/A N/A</v>
        <stp/>
        <stp>BDH|13795125392114426211</stp>
        <tr r="N29" s="2"/>
      </tp>
      <tp t="s">
        <v>#N/A N/A</v>
        <stp/>
        <stp>BDH|16426234290016547601</stp>
        <tr r="G29" s="2"/>
      </tp>
      <tp t="s">
        <v>#N/A N/A</v>
        <stp/>
        <stp>BDH|10402165844711246963</stp>
        <tr r="AB19" s="2"/>
      </tp>
      <tp t="s">
        <v>#N/A N/A</v>
        <stp/>
        <stp>BDH|16296911351976618110</stp>
        <tr r="C41" s="2"/>
      </tp>
      <tp t="s">
        <v>#N/A N/A</v>
        <stp/>
        <stp>BDH|12731547487463778161</stp>
        <tr r="I30" s="2"/>
      </tp>
      <tp t="s">
        <v>#N/A N/A</v>
        <stp/>
        <stp>BDH|14531290429741997885</stp>
        <tr r="AA59" s="2"/>
      </tp>
      <tp t="s">
        <v>#N/A N/A</v>
        <stp/>
        <stp>BDH|15283130431009210368</stp>
        <tr r="Q8" s="2"/>
      </tp>
      <tp t="s">
        <v>#N/A N/A</v>
        <stp/>
        <stp>BDH|13448721703420528944</stp>
        <tr r="AB67" s="2"/>
      </tp>
      <tp t="s">
        <v>#N/A N/A</v>
        <stp/>
        <stp>BDH|15049504165002156935</stp>
        <tr r="U25" s="2"/>
      </tp>
      <tp t="s">
        <v>#N/A N/A</v>
        <stp/>
        <stp>BDH|18412012470063700149</stp>
        <tr r="AE31" s="2"/>
      </tp>
      <tp t="s">
        <v>#N/A N/A</v>
        <stp/>
        <stp>BDH|15907234189012156040</stp>
        <tr r="N19" s="2"/>
      </tp>
      <tp t="s">
        <v>#N/A N/A</v>
        <stp/>
        <stp>BDH|15630580338227068907</stp>
        <tr r="N9" s="2"/>
      </tp>
      <tp t="s">
        <v>#N/A N/A</v>
        <stp/>
        <stp>BDH|18281938840930018881</stp>
        <tr r="AE63" s="2"/>
      </tp>
      <tp t="s">
        <v>#N/A N/A</v>
        <stp/>
        <stp>BDH|15182186025358241371</stp>
        <tr r="O19" s="2"/>
      </tp>
      <tp t="s">
        <v>#N/A N/A</v>
        <stp/>
        <stp>BDH|14644050160229826627</stp>
        <tr r="T61" s="2"/>
      </tp>
      <tp t="s">
        <v>#N/A N/A</v>
        <stp/>
        <stp>BDH|12968015783140484779</stp>
        <tr r="D51" s="2"/>
      </tp>
      <tp t="s">
        <v>#N/A N/A</v>
        <stp/>
        <stp>BDH|13840603387822113255</stp>
        <tr r="X15" s="2"/>
      </tp>
      <tp t="s">
        <v>#N/A N/A</v>
        <stp/>
        <stp>BDH|18327610659691669762</stp>
        <tr r="N38" s="2"/>
      </tp>
      <tp t="s">
        <v>#N/A N/A</v>
        <stp/>
        <stp>BDH|12701790813150516936</stp>
        <tr r="Q25" s="2"/>
      </tp>
      <tp t="s">
        <v>#N/A N/A</v>
        <stp/>
        <stp>BDH|10950563203539367156</stp>
        <tr r="AC32" s="2"/>
      </tp>
      <tp t="s">
        <v>#N/A N/A</v>
        <stp/>
        <stp>BDH|13088338999324821083</stp>
        <tr r="C8" s="2"/>
      </tp>
      <tp t="s">
        <v>#N/A N/A</v>
        <stp/>
        <stp>BDH|14979619385377397045</stp>
        <tr r="K9" s="2"/>
      </tp>
      <tp t="s">
        <v>#N/A N/A</v>
        <stp/>
        <stp>BDH|14316394694492294113</stp>
        <tr r="F15" s="2"/>
      </tp>
      <tp t="s">
        <v>#N/A N/A</v>
        <stp/>
        <stp>BDH|16448980571242055708</stp>
        <tr r="K42" s="2"/>
      </tp>
      <tp t="s">
        <v>#N/A N/A</v>
        <stp/>
        <stp>BDH|15694518098477691347</stp>
        <tr r="AB44" s="2"/>
      </tp>
      <tp t="s">
        <v>#N/A N/A</v>
        <stp/>
        <stp>BDH|10121589096624358512</stp>
        <tr r="L29" s="2"/>
      </tp>
      <tp t="s">
        <v>#N/A N/A</v>
        <stp/>
        <stp>BDH|12631836698696797866</stp>
        <tr r="M25" s="2"/>
      </tp>
      <tp t="s">
        <v>#N/A N/A</v>
        <stp/>
        <stp>BDH|18282761348524700270</stp>
        <tr r="D19" s="2"/>
      </tp>
      <tp t="s">
        <v>#N/A N/A</v>
        <stp/>
        <stp>BDH|11198790061785709829</stp>
        <tr r="Q53" s="2"/>
      </tp>
      <tp t="s">
        <v>#N/A N/A</v>
        <stp/>
        <stp>BDH|13539630350569823420</stp>
        <tr r="T67" s="2"/>
      </tp>
      <tp t="s">
        <v>#N/A N/A</v>
        <stp/>
        <stp>BDH|13894216542988001072</stp>
        <tr r="AA46" s="2"/>
      </tp>
      <tp t="s">
        <v>#N/A N/A</v>
        <stp/>
        <stp>BDH|13587791294219741906</stp>
        <tr r="I61" s="2"/>
      </tp>
      <tp t="s">
        <v>#N/A N/A</v>
        <stp/>
        <stp>BDH|16518288162268755771</stp>
        <tr r="Q15" s="2"/>
      </tp>
      <tp t="s">
        <v>#N/A N/A</v>
        <stp/>
        <stp>BDH|13842945714467755106</stp>
        <tr r="L11" s="2"/>
      </tp>
      <tp t="s">
        <v>#N/A N/A</v>
        <stp/>
        <stp>BDH|12063859307602462585</stp>
        <tr r="C45" s="2"/>
      </tp>
      <tp t="s">
        <v>#N/A N/A</v>
        <stp/>
        <stp>BDH|15950774212758397613</stp>
        <tr r="O36" s="2"/>
      </tp>
      <tp t="s">
        <v>#N/A N/A</v>
        <stp/>
        <stp>BDH|14216446040405487330</stp>
        <tr r="G43" s="2"/>
      </tp>
      <tp t="s">
        <v>#N/A N/A</v>
        <stp/>
        <stp>BDH|17400605223662575338</stp>
        <tr r="P25" s="2"/>
      </tp>
      <tp t="s">
        <v>#N/A N/A</v>
        <stp/>
        <stp>BDH|15945315509526440242</stp>
        <tr r="AD16" s="2"/>
      </tp>
      <tp t="s">
        <v>#N/A N/A</v>
        <stp/>
        <stp>BDH|13062512214010166554</stp>
        <tr r="AD15" s="2"/>
      </tp>
      <tp t="s">
        <v>#N/A N/A</v>
        <stp/>
        <stp>BDH|13372037766730392755</stp>
        <tr r="P15" s="2"/>
      </tp>
      <tp t="s">
        <v>#N/A N/A</v>
        <stp/>
        <stp>BDH|16772889494473866632</stp>
        <tr r="K46" s="2"/>
      </tp>
      <tp t="s">
        <v>#N/A N/A</v>
        <stp/>
        <stp>BDH|15900449709333746032</stp>
        <tr r="AB25" s="2"/>
      </tp>
      <tp t="s">
        <v>#N/A N/A</v>
        <stp/>
        <stp>BDH|13684038892520670812</stp>
        <tr r="K59" s="2"/>
      </tp>
      <tp t="s">
        <v>#N/A N/A</v>
        <stp/>
        <stp>BDH|17788310406895012330</stp>
        <tr r="AF47" s="2"/>
      </tp>
      <tp t="s">
        <v>#N/A N/A</v>
        <stp/>
        <stp>BDH|10157395842100079596</stp>
        <tr r="E44" s="2"/>
      </tp>
      <tp t="s">
        <v>#N/A N/A</v>
        <stp/>
        <stp>BDH|13670486950796944646</stp>
        <tr r="AD19" s="2"/>
      </tp>
      <tp t="s">
        <v>#N/A N/A</v>
        <stp/>
        <stp>BDH|11282765803463460719</stp>
        <tr r="Z22" s="2"/>
      </tp>
      <tp t="s">
        <v>#N/A N/A</v>
        <stp/>
        <stp>BDH|11574358117650276100</stp>
        <tr r="E25" s="2"/>
      </tp>
      <tp t="s">
        <v>#N/A N/A</v>
        <stp/>
        <stp>BDH|14082696262247600180</stp>
        <tr r="AB29" s="2"/>
      </tp>
      <tp t="s">
        <v>#N/A N/A</v>
        <stp/>
        <stp>BDH|18173938965952784759</stp>
        <tr r="U12" s="2"/>
      </tp>
      <tp t="s">
        <v>#N/A N/A</v>
        <stp/>
        <stp>BDH|12159137714481695159</stp>
        <tr r="L8" s="2"/>
      </tp>
      <tp t="s">
        <v>#N/A N/A</v>
        <stp/>
        <stp>BDH|14553014863971714147</stp>
        <tr r="W33" s="2"/>
      </tp>
      <tp t="s">
        <v>#N/A N/A</v>
        <stp/>
        <stp>BDH|16665812245239499114</stp>
        <tr r="C53" s="2"/>
      </tp>
      <tp t="s">
        <v>#N/A N/A</v>
        <stp/>
        <stp>BDH|17565281271524856432</stp>
        <tr r="C12" s="2"/>
      </tp>
      <tp t="s">
        <v>#N/A N/A</v>
        <stp/>
        <stp>BDH|12338070634724045769</stp>
        <tr r="AD47" s="2"/>
      </tp>
      <tp t="s">
        <v>#N/A N/A</v>
        <stp/>
        <stp>BDH|18208372897119009942</stp>
        <tr r="D48" s="2"/>
      </tp>
      <tp t="s">
        <v>#N/A N/A</v>
        <stp/>
        <stp>BDH|14279063241466519461</stp>
        <tr r="AD67" s="2"/>
      </tp>
      <tp t="s">
        <v>#N/A N/A</v>
        <stp/>
        <stp>BDH|14069061023053132722</stp>
        <tr r="O31" s="2"/>
      </tp>
      <tp t="s">
        <v>#N/A N/A</v>
        <stp/>
        <stp>BDH|10786487131842599727</stp>
        <tr r="E53" s="2"/>
      </tp>
      <tp t="s">
        <v>#N/A N/A</v>
        <stp/>
        <stp>BDH|12281254074166803323</stp>
        <tr r="O8" s="2"/>
      </tp>
      <tp t="s">
        <v>#N/A N/A</v>
        <stp/>
        <stp>BDH|10846661744347202714</stp>
        <tr r="AE34" s="2"/>
      </tp>
      <tp t="s">
        <v>#N/A N/A</v>
        <stp/>
        <stp>BDH|11722597337072497749</stp>
        <tr r="Z63" s="2"/>
      </tp>
      <tp t="s">
        <v>#N/A N/A</v>
        <stp/>
        <stp>BDH|15479444527378926960</stp>
        <tr r="C60" s="2"/>
      </tp>
      <tp t="s">
        <v>#N/A N/A</v>
        <stp/>
        <stp>BDH|15983957857242693954</stp>
        <tr r="N32" s="2"/>
      </tp>
      <tp t="s">
        <v>#N/A N/A</v>
        <stp/>
        <stp>BDH|12591148512183874304</stp>
        <tr r="V13" s="2"/>
      </tp>
      <tp t="s">
        <v>#N/A N/A</v>
        <stp/>
        <stp>BDH|10187484655453288050</stp>
        <tr r="Q43" s="2"/>
      </tp>
      <tp t="s">
        <v>#N/A N/A</v>
        <stp/>
        <stp>BDH|16231882783604341015</stp>
        <tr r="AB46" s="2"/>
      </tp>
      <tp t="s">
        <v>#N/A N/A</v>
        <stp/>
        <stp>BDH|16375254449187377570</stp>
        <tr r="K14" s="2"/>
      </tp>
      <tp t="s">
        <v>#N/A N/A</v>
        <stp/>
        <stp>BDH|11954406801533681441</stp>
        <tr r="J35" s="2"/>
      </tp>
      <tp t="s">
        <v>#N/A N/A</v>
        <stp/>
        <stp>BDH|15412777526500720285</stp>
        <tr r="G34" s="2"/>
      </tp>
      <tp t="s">
        <v>#N/A N/A</v>
        <stp/>
        <stp>BDH|13898180573466819167</stp>
        <tr r="H22" s="2"/>
      </tp>
      <tp t="s">
        <v>#N/A N/A</v>
        <stp/>
        <stp>BDH|13616691260496695747</stp>
        <tr r="N49" s="2"/>
      </tp>
      <tp t="s">
        <v>#N/A N/A</v>
        <stp/>
        <stp>BDH|16305075805487438380</stp>
        <tr r="AC8" s="2"/>
      </tp>
      <tp t="s">
        <v>#N/A N/A</v>
        <stp/>
        <stp>BDH|16503853559420045942</stp>
        <tr r="AE53" s="2"/>
      </tp>
      <tp t="s">
        <v>#N/A N/A</v>
        <stp/>
        <stp>BDH|16763963687224858122</stp>
        <tr r="Z7" s="2"/>
      </tp>
      <tp t="s">
        <v>#N/A N/A</v>
        <stp/>
        <stp>BDH|13141593305050609473</stp>
        <tr r="V48" s="2"/>
      </tp>
      <tp t="s">
        <v>#N/A N/A</v>
        <stp/>
        <stp>BDH|14304001249120379268</stp>
        <tr r="T32" s="2"/>
      </tp>
      <tp t="s">
        <v>#N/A N/A</v>
        <stp/>
        <stp>BDH|11278512325994875017</stp>
        <tr r="J12" s="2"/>
      </tp>
      <tp t="s">
        <v>#N/A N/A</v>
        <stp/>
        <stp>BDH|13298023078964109266</stp>
        <tr r="H50" s="2"/>
      </tp>
      <tp t="s">
        <v>#N/A N/A</v>
        <stp/>
        <stp>BDH|17099541534065613686</stp>
        <tr r="D30" s="2"/>
      </tp>
      <tp t="s">
        <v>#N/A N/A</v>
        <stp/>
        <stp>BDH|14884589725043949220</stp>
        <tr r="V42" s="2"/>
      </tp>
      <tp t="s">
        <v>#N/A N/A</v>
        <stp/>
        <stp>BDH|13398941287273569241</stp>
        <tr r="M30" s="2"/>
      </tp>
      <tp t="s">
        <v>#N/A N/A</v>
        <stp/>
        <stp>BDH|11051490451951820212</stp>
        <tr r="Y9" s="2"/>
      </tp>
      <tp t="s">
        <v>#N/A N/A</v>
        <stp/>
        <stp>BDH|16973190794019044453</stp>
        <tr r="Q55" s="2"/>
      </tp>
      <tp t="s">
        <v>#N/A N/A</v>
        <stp/>
        <stp>BDH|12997938614970657986</stp>
        <tr r="E48" s="2"/>
      </tp>
      <tp t="s">
        <v>#N/A N/A</v>
        <stp/>
        <stp>BDH|10500049723070585179</stp>
        <tr r="J32" s="2"/>
      </tp>
      <tp t="s">
        <v>#N/A N/A</v>
        <stp/>
        <stp>BDH|13366485313902835707</stp>
        <tr r="G23" s="2"/>
      </tp>
      <tp t="s">
        <v>#N/A N/A</v>
        <stp/>
        <stp>BDH|16593133053507724616</stp>
        <tr r="H51" s="2"/>
      </tp>
      <tp t="s">
        <v>#N/A N/A</v>
        <stp/>
        <stp>BDH|17179430534626750529</stp>
        <tr r="O67" s="2"/>
      </tp>
      <tp t="s">
        <v>#N/A N/A</v>
        <stp/>
        <stp>BDH|10773500421917615327</stp>
        <tr r="O28" s="2"/>
      </tp>
      <tp t="s">
        <v>#N/A N/A</v>
        <stp/>
        <stp>BDH|14948579019614039726</stp>
        <tr r="L63" s="2"/>
      </tp>
      <tp t="s">
        <v>#N/A N/A</v>
        <stp/>
        <stp>BDH|17143418352492299753</stp>
        <tr r="Q36" s="2"/>
      </tp>
      <tp t="s">
        <v>#N/A N/A</v>
        <stp/>
        <stp>BDH|12399379675573786620</stp>
        <tr r="Q64" s="2"/>
      </tp>
      <tp t="s">
        <v>#N/A N/A</v>
        <stp/>
        <stp>BDH|17015028431164087372</stp>
        <tr r="F60" s="2"/>
      </tp>
      <tp t="s">
        <v>#N/A N/A</v>
        <stp/>
        <stp>BDH|17001103962766565533</stp>
        <tr r="F42" s="2"/>
      </tp>
      <tp t="s">
        <v>#N/A N/A</v>
        <stp/>
        <stp>BDH|14715978489306987042</stp>
        <tr r="AB41" s="2"/>
      </tp>
      <tp t="s">
        <v>#N/A N/A</v>
        <stp/>
        <stp>BDH|14644144826655609161</stp>
        <tr r="F26" s="2"/>
      </tp>
      <tp t="s">
        <v>#N/A N/A</v>
        <stp/>
        <stp>BDH|12621427163516332507</stp>
        <tr r="J42" s="2"/>
      </tp>
      <tp t="s">
        <v>#N/A N/A</v>
        <stp/>
        <stp>BDH|14526023175249004949</stp>
        <tr r="L23" s="2"/>
      </tp>
      <tp t="s">
        <v>#N/A N/A</v>
        <stp/>
        <stp>BDH|12892176858033367626</stp>
        <tr r="AD33" s="2"/>
      </tp>
      <tp t="s">
        <v>#N/A N/A</v>
        <stp/>
        <stp>BDH|10611848701873272874</stp>
        <tr r="E16" s="2"/>
      </tp>
      <tp t="s">
        <v>#N/A N/A</v>
        <stp/>
        <stp>BDH|15632727337511429312</stp>
        <tr r="AF48" s="2"/>
      </tp>
      <tp t="s">
        <v>#N/A N/A</v>
        <stp/>
        <stp>BDH|10644603970871166319</stp>
        <tr r="F23" s="2"/>
      </tp>
      <tp t="s">
        <v>#N/A N/A</v>
        <stp/>
        <stp>BDH|13231123100846553739</stp>
        <tr r="X48" s="2"/>
      </tp>
      <tp t="s">
        <v>#N/A N/A</v>
        <stp/>
        <stp>BDH|12017202919235611773</stp>
        <tr r="F41" s="2"/>
      </tp>
      <tp t="s">
        <v>#N/A N/A</v>
        <stp/>
        <stp>BDH|13318049651790861553</stp>
        <tr r="V67" s="2"/>
      </tp>
      <tp t="s">
        <v>#N/A N/A</v>
        <stp/>
        <stp>BDH|14784181353981010273</stp>
        <tr r="M55" s="2"/>
      </tp>
      <tp t="s">
        <v>#N/A N/A</v>
        <stp/>
        <stp>BDH|13542922023719744287</stp>
        <tr r="L61" s="2"/>
      </tp>
      <tp t="s">
        <v>#N/A N/A</v>
        <stp/>
        <stp>BDH|10601888742477512836</stp>
        <tr r="F33" s="2"/>
      </tp>
      <tp t="s">
        <v>#N/A N/A</v>
        <stp/>
        <stp>BDH|17330372125417218290</stp>
        <tr r="Q51" s="2"/>
      </tp>
      <tp t="s">
        <v>#N/A N/A</v>
        <stp/>
        <stp>BDH|12472874184138294982</stp>
        <tr r="S65" s="2"/>
      </tp>
      <tp t="s">
        <v>#N/A N/A</v>
        <stp/>
        <stp>BDH|14164568483169850303</stp>
        <tr r="W38" s="2"/>
      </tp>
      <tp t="s">
        <v>#N/A N/A</v>
        <stp/>
        <stp>BDH|13630544458739420926</stp>
        <tr r="Y61" s="2"/>
      </tp>
      <tp t="s">
        <v>#N/A N/A</v>
        <stp/>
        <stp>BDH|15723683313383025239</stp>
        <tr r="E24" s="2"/>
      </tp>
      <tp t="s">
        <v>#N/A N/A</v>
        <stp/>
        <stp>BDH|17726551853990819463</stp>
        <tr r="E8" s="2"/>
      </tp>
      <tp t="s">
        <v>#N/A N/A</v>
        <stp/>
        <stp>BDH|16089361849353135115</stp>
        <tr r="T24" s="2"/>
      </tp>
      <tp t="s">
        <v>#N/A N/A</v>
        <stp/>
        <stp>BDH|10826997451749731680</stp>
        <tr r="T26" s="2"/>
      </tp>
      <tp t="s">
        <v>#N/A N/A</v>
        <stp/>
        <stp>BDH|15647450565553826714</stp>
        <tr r="Y38" s="2"/>
      </tp>
      <tp t="s">
        <v>#N/A N/A</v>
        <stp/>
        <stp>BDH|17999393834341901533</stp>
        <tr r="N14" s="2"/>
      </tp>
      <tp t="s">
        <v>#N/A N/A</v>
        <stp/>
        <stp>BDH|15316936933135801954</stp>
        <tr r="V22" s="2"/>
      </tp>
      <tp t="s">
        <v>#N/A N/A</v>
        <stp/>
        <stp>BDH|17668953746140805935</stp>
        <tr r="AD51" s="2"/>
      </tp>
      <tp t="s">
        <v>#N/A N/A</v>
        <stp/>
        <stp>BDH|15702838452248414032</stp>
        <tr r="I44" s="2"/>
      </tp>
      <tp t="s">
        <v>#N/A N/A</v>
        <stp/>
        <stp>BDH|11404222348585601296</stp>
        <tr r="P23" s="2"/>
      </tp>
      <tp t="s">
        <v>#N/A N/A</v>
        <stp/>
        <stp>BDH|13801959500448491285</stp>
        <tr r="S62" s="2"/>
      </tp>
      <tp t="s">
        <v>#N/A N/A</v>
        <stp/>
        <stp>BDH|12662380547763917610</stp>
        <tr r="AE29" s="2"/>
      </tp>
      <tp t="s">
        <v>#N/A N/A</v>
        <stp/>
        <stp>BDH|14667534740484302171</stp>
        <tr r="Q66" s="2"/>
      </tp>
      <tp t="s">
        <v>#N/A N/A</v>
        <stp/>
        <stp>BDH|15722252869552957336</stp>
        <tr r="G49" s="2"/>
      </tp>
      <tp t="s">
        <v>#N/A N/A</v>
        <stp/>
        <stp>BDH|10849593725597114045</stp>
        <tr r="O66" s="2"/>
      </tp>
      <tp t="s">
        <v>#N/A N/A</v>
        <stp/>
        <stp>BDH|12086141249344940345</stp>
        <tr r="V27" s="2"/>
      </tp>
      <tp t="s">
        <v>#N/A N/A</v>
        <stp/>
        <stp>BDH|12808038517101706286</stp>
        <tr r="H26" s="2"/>
      </tp>
      <tp t="s">
        <v>#N/A N/A</v>
        <stp/>
        <stp>BDH|11540121750571648422</stp>
        <tr r="AD34" s="2"/>
      </tp>
      <tp t="s">
        <v>#N/A N/A</v>
        <stp/>
        <stp>BDH|17784309740518191848</stp>
        <tr r="R61" s="2"/>
      </tp>
      <tp t="s">
        <v>#N/A N/A</v>
        <stp/>
        <stp>BDH|16249926518808521683</stp>
        <tr r="R15" s="2"/>
      </tp>
      <tp t="s">
        <v>#N/A N/A</v>
        <stp/>
        <stp>BDH|15250379546142367050</stp>
        <tr r="M38" s="2"/>
      </tp>
      <tp t="s">
        <v>#N/A N/A</v>
        <stp/>
        <stp>BDH|10569789576652753292</stp>
        <tr r="AF18" s="2"/>
      </tp>
      <tp t="s">
        <v>#N/A N/A</v>
        <stp/>
        <stp>BDH|17244391119655568028</stp>
        <tr r="E60" s="2"/>
      </tp>
      <tp t="s">
        <v>#N/A N/A</v>
        <stp/>
        <stp>BDH|17621054012921409703</stp>
        <tr r="AD62" s="2"/>
      </tp>
      <tp t="s">
        <v>#N/A N/A</v>
        <stp/>
        <stp>BDH|13022757166667775516</stp>
        <tr r="R23" s="2"/>
      </tp>
      <tp t="s">
        <v>#N/A N/A</v>
        <stp/>
        <stp>BDH|13744188058087227015</stp>
        <tr r="AF10" s="2"/>
      </tp>
      <tp t="s">
        <v>#N/A N/A</v>
        <stp/>
        <stp>BDH|15425058045259168814</stp>
        <tr r="G36" s="2"/>
      </tp>
      <tp t="s">
        <v>#N/A N/A</v>
        <stp/>
        <stp>BDH|10891750549693725075</stp>
        <tr r="C32" s="2"/>
      </tp>
      <tp t="s">
        <v>#N/A N/A</v>
        <stp/>
        <stp>BDH|12859698795265736873</stp>
        <tr r="L22" s="2"/>
      </tp>
      <tp t="s">
        <v>#N/A N/A</v>
        <stp/>
        <stp>BDH|10293141463494718360</stp>
        <tr r="M9" s="2"/>
      </tp>
      <tp t="s">
        <v>#N/A N/A</v>
        <stp/>
        <stp>BDH|11451022993201217936</stp>
        <tr r="Y48" s="2"/>
      </tp>
      <tp t="s">
        <v>#N/A N/A</v>
        <stp/>
        <stp>BDH|11579454222520031765</stp>
        <tr r="V8" s="2"/>
      </tp>
      <tp t="s">
        <v>#N/A N/A</v>
        <stp/>
        <stp>BDH|16544320022387816092</stp>
        <tr r="J11" s="2"/>
      </tp>
      <tp t="s">
        <v>#N/A N/A</v>
        <stp/>
        <stp>BDH|12600702130552241438</stp>
        <tr r="G7" s="2"/>
      </tp>
      <tp t="s">
        <v>#N/A N/A</v>
        <stp/>
        <stp>BDH|11159569331301866696</stp>
        <tr r="T64" s="2"/>
      </tp>
      <tp t="s">
        <v>#N/A N/A</v>
        <stp/>
        <stp>BDH|12849123742887607090</stp>
        <tr r="S7" s="2"/>
      </tp>
      <tp t="s">
        <v>#N/A N/A</v>
        <stp/>
        <stp>BDH|16686580049081685673</stp>
        <tr r="AD42" s="2"/>
      </tp>
      <tp t="s">
        <v>#N/A N/A</v>
        <stp/>
        <stp>BDH|15916334869160778027</stp>
        <tr r="O48" s="2"/>
      </tp>
      <tp t="s">
        <v>#N/A N/A</v>
        <stp/>
        <stp>BDH|14641391595889669750</stp>
        <tr r="R59" s="2"/>
      </tp>
      <tp t="s">
        <v>#N/A N/A</v>
        <stp/>
        <stp>BDH|12421484545513166119</stp>
        <tr r="I34" s="2"/>
      </tp>
      <tp t="s">
        <v>#N/A N/A</v>
        <stp/>
        <stp>BDH|10369401310424949134</stp>
        <tr r="Y17" s="2"/>
      </tp>
      <tp t="s">
        <v>#N/A N/A</v>
        <stp/>
        <stp>BDH|13661424614090908600</stp>
        <tr r="Z50" s="2"/>
      </tp>
      <tp t="s">
        <v>#N/A N/A</v>
        <stp/>
        <stp>BDH|11856277730233464327</stp>
        <tr r="L45" s="2"/>
      </tp>
      <tp t="s">
        <v>#N/A N/A</v>
        <stp/>
        <stp>BDH|10671295736387721676</stp>
        <tr r="D14" s="2"/>
      </tp>
      <tp t="s">
        <v>#N/A N/A</v>
        <stp/>
        <stp>BDH|11879052034897416564</stp>
        <tr r="W41" s="2"/>
      </tp>
      <tp t="s">
        <v>#N/A N/A</v>
        <stp/>
        <stp>BDH|16361540707464825731</stp>
        <tr r="C17" s="2"/>
      </tp>
      <tp t="s">
        <v>#N/A N/A</v>
        <stp/>
        <stp>BDH|10860190220062337192</stp>
        <tr r="Q9" s="2"/>
      </tp>
      <tp t="s">
        <v>#N/A N/A</v>
        <stp/>
        <stp>BDH|15251045468055675628</stp>
        <tr r="W12" s="2"/>
      </tp>
      <tp t="s">
        <v>#N/A N/A</v>
        <stp/>
        <stp>BDH|17274515418810257338</stp>
        <tr r="C10" s="2"/>
      </tp>
      <tp t="s">
        <v>#N/A N/A</v>
        <stp/>
        <stp>BDH|15710794031244002553</stp>
        <tr r="C30" s="2"/>
      </tp>
      <tp t="s">
        <v>#N/A N/A</v>
        <stp/>
        <stp>BDH|15053007031551377784</stp>
        <tr r="Y16" s="2"/>
      </tp>
      <tp t="s">
        <v>#N/A N/A</v>
        <stp/>
        <stp>BDH|15361726048987236162</stp>
        <tr r="Z18" s="2"/>
      </tp>
      <tp t="s">
        <v>#N/A N/A</v>
        <stp/>
        <stp>BDH|12785362199238155042</stp>
        <tr r="T28" s="2"/>
      </tp>
      <tp t="s">
        <v>#N/A N/A</v>
        <stp/>
        <stp>BDH|16769695869706876023</stp>
        <tr r="N30" s="2"/>
      </tp>
      <tp t="s">
        <v>#N/A N/A</v>
        <stp/>
        <stp>BDH|16187062459785229605</stp>
        <tr r="AF33" s="2"/>
      </tp>
      <tp t="s">
        <v>#N/A N/A</v>
        <stp/>
        <stp>BDH|15152550322831205384</stp>
        <tr r="J44" s="2"/>
      </tp>
      <tp t="s">
        <v>#N/A N/A</v>
        <stp/>
        <stp>BDH|14563863769932110870</stp>
        <tr r="Y65" s="2"/>
      </tp>
      <tp t="s">
        <v>#N/A N/A</v>
        <stp/>
        <stp>BDH|16677630508793104303</stp>
        <tr r="AE15" s="2"/>
      </tp>
      <tp t="s">
        <v>#N/A N/A</v>
        <stp/>
        <stp>BDH|13991865100328699357</stp>
        <tr r="AD61" s="2"/>
      </tp>
      <tp t="s">
        <v>#N/A N/A</v>
        <stp/>
        <stp>BDH|12324481378091747087</stp>
        <tr r="W47" s="2"/>
      </tp>
      <tp t="s">
        <v>#N/A N/A</v>
        <stp/>
        <stp>BDH|17688296545712143378</stp>
        <tr r="L17" s="2"/>
      </tp>
      <tp t="s">
        <v>#N/A N/A</v>
        <stp/>
        <stp>BDH|11760141939454307756</stp>
        <tr r="H61" s="2"/>
      </tp>
      <tp t="s">
        <v>#N/A N/A</v>
        <stp/>
        <stp>BDH|14217393040235338647</stp>
        <tr r="AD11" s="2"/>
      </tp>
      <tp t="s">
        <v>#N/A N/A</v>
        <stp/>
        <stp>BDH|13896148633914198518</stp>
        <tr r="T48" s="2"/>
      </tp>
      <tp t="s">
        <v>#N/A N/A</v>
        <stp/>
        <stp>BDH|13714018363056377393</stp>
        <tr r="C37" s="2"/>
      </tp>
      <tp t="s">
        <v>#N/A N/A</v>
        <stp/>
        <stp>BDH|14799446144464837004</stp>
        <tr r="H34" s="2"/>
      </tp>
      <tp t="s">
        <v>#N/A N/A</v>
        <stp/>
        <stp>BDH|10960111603113270263</stp>
        <tr r="W65" s="2"/>
      </tp>
      <tp t="s">
        <v>#N/A N/A</v>
        <stp/>
        <stp>BDH|17043417250425667384</stp>
        <tr r="G28" s="2"/>
      </tp>
      <tp t="s">
        <v>#N/A N/A</v>
        <stp/>
        <stp>BDH|16559831158783692861</stp>
        <tr r="AC51" s="2"/>
      </tp>
      <tp t="s">
        <v>#N/A N/A</v>
        <stp/>
        <stp>BDH|12259994941017339878</stp>
        <tr r="P36" s="2"/>
      </tp>
      <tp t="s">
        <v>#N/A N/A</v>
        <stp/>
        <stp>BDH|18010191566998075713</stp>
        <tr r="Y33" s="2"/>
      </tp>
      <tp t="s">
        <v>#N/A N/A</v>
        <stp/>
        <stp>BDH|10707277826000021086</stp>
        <tr r="F64" s="2"/>
      </tp>
      <tp t="s">
        <v>#N/A N/A</v>
        <stp/>
        <stp>BDH|11999256921380975050</stp>
        <tr r="AE7" s="2"/>
      </tp>
      <tp t="s">
        <v>#N/A N/A</v>
        <stp/>
        <stp>BDH|14689111873425509602</stp>
        <tr r="AD8" s="2"/>
      </tp>
      <tp t="s">
        <v>#N/A N/A</v>
        <stp/>
        <stp>BDH|12804093266325100070</stp>
        <tr r="W46" s="2"/>
      </tp>
      <tp t="s">
        <v>#N/A N/A</v>
        <stp/>
        <stp>BDH|14269642299243701993</stp>
        <tr r="AC49" s="2"/>
      </tp>
      <tp t="s">
        <v>#N/A N/A</v>
        <stp/>
        <stp>BDH|11137108424422599109</stp>
        <tr r="S10" s="2"/>
      </tp>
      <tp t="s">
        <v>#N/A N/A</v>
        <stp/>
        <stp>BDH|11922525699184075822</stp>
        <tr r="U18" s="2"/>
      </tp>
      <tp t="s">
        <v>#N/A N/A</v>
        <stp/>
        <stp>BDH|16598726556735791063</stp>
        <tr r="AF61" s="2"/>
      </tp>
      <tp t="s">
        <v>#N/A N/A</v>
        <stp/>
        <stp>BDH|16412264250963707359</stp>
        <tr r="N8" s="2"/>
      </tp>
      <tp t="s">
        <v>#N/A N/A</v>
        <stp/>
        <stp>BDH|11111179849423579695</stp>
        <tr r="AA42" s="2"/>
      </tp>
      <tp t="s">
        <v>#N/A N/A</v>
        <stp/>
        <stp>BDH|17977561311441476398</stp>
        <tr r="X47" s="2"/>
      </tp>
      <tp t="s">
        <v>#N/A N/A</v>
        <stp/>
        <stp>BDH|14523055542362152306</stp>
        <tr r="AD31" s="2"/>
      </tp>
      <tp t="s">
        <v>#N/A N/A</v>
        <stp/>
        <stp>BDH|16186397191258995530</stp>
        <tr r="G61" s="2"/>
      </tp>
      <tp t="s">
        <v>#N/A N/A</v>
        <stp/>
        <stp>BDH|10618934880985445530</stp>
        <tr r="U17" s="2"/>
      </tp>
      <tp t="s">
        <v>#N/A N/A</v>
        <stp/>
        <stp>BDH|10321424532974423221</stp>
        <tr r="K36" s="2"/>
      </tp>
      <tp t="s">
        <v>#N/A N/A</v>
        <stp/>
        <stp>BDH|17607341351720023060</stp>
        <tr r="D27" s="2"/>
      </tp>
      <tp t="s">
        <v>#N/A N/A</v>
        <stp/>
        <stp>BDH|12536972381905000772</stp>
        <tr r="AA11" s="2"/>
      </tp>
      <tp t="s">
        <v>#N/A N/A</v>
        <stp/>
        <stp>BDH|14315560396900022972</stp>
        <tr r="X37" s="2"/>
      </tp>
      <tp t="s">
        <v>#N/A N/A</v>
        <stp/>
        <stp>BDH|11854521458607239746</stp>
        <tr r="U15" s="2"/>
      </tp>
      <tp t="s">
        <v>#N/A N/A</v>
        <stp/>
        <stp>BDH|10306030574983512566</stp>
        <tr r="G33" s="2"/>
      </tp>
      <tp t="s">
        <v>#N/A N/A</v>
        <stp/>
        <stp>BDH|11197866717181776810</stp>
        <tr r="W66" s="2"/>
      </tp>
      <tp t="s">
        <v>#N/A N/A</v>
        <stp/>
        <stp>BDH|11528435241977659776</stp>
        <tr r="U13" s="2"/>
      </tp>
      <tp t="s">
        <v>#N/A N/A</v>
        <stp/>
        <stp>BDH|16059672615854147458</stp>
        <tr r="W50" s="2"/>
      </tp>
      <tp t="s">
        <v>#N/A N/A</v>
        <stp/>
        <stp>BDH|17995659324196614487</stp>
        <tr r="AE60" s="2"/>
      </tp>
      <tp t="s">
        <v>#N/A N/A</v>
        <stp/>
        <stp>BDH|17674736882090465952</stp>
        <tr r="X13" s="2"/>
      </tp>
      <tp t="s">
        <v>#N/A N/A</v>
        <stp/>
        <stp>BDH|16700287672826350475</stp>
        <tr r="H9" s="2"/>
      </tp>
      <tp t="s">
        <v>#N/A N/A</v>
        <stp/>
        <stp>BDH|15019884687124117070</stp>
        <tr r="I25" s="2"/>
      </tp>
      <tp t="s">
        <v>#N/A N/A</v>
        <stp/>
        <stp>BDH|13391365969284276362</stp>
        <tr r="S16" s="2"/>
      </tp>
      <tp t="s">
        <v>#N/A N/A</v>
        <stp/>
        <stp>BDH|11963532025037531027</stp>
        <tr r="X35" s="2"/>
      </tp>
      <tp t="s">
        <v>#N/A N/A</v>
        <stp/>
        <stp>BDH|13377065733404942574</stp>
        <tr r="Y11" s="2"/>
      </tp>
      <tp t="s">
        <v>#N/A N/A</v>
        <stp/>
        <stp>BDH|14589704581909466386</stp>
        <tr r="M37" s="2"/>
      </tp>
      <tp t="s">
        <v>#N/A N/A</v>
        <stp/>
        <stp>BDH|17683257868235400746</stp>
        <tr r="AA37" s="2"/>
      </tp>
      <tp t="s">
        <v>#N/A N/A</v>
        <stp/>
        <stp>BDH|12839600688879276496</stp>
        <tr r="U60" s="2"/>
      </tp>
      <tp t="s">
        <v>#N/A N/A</v>
        <stp/>
        <stp>BDH|11326758462303702288</stp>
        <tr r="S66" s="2"/>
      </tp>
      <tp t="s">
        <v>#N/A N/A</v>
        <stp/>
        <stp>BDH|18211603574539418190</stp>
        <tr r="AC66" s="2"/>
      </tp>
      <tp t="s">
        <v>#N/A N/A</v>
        <stp/>
        <stp>BDH|18279956503951769197</stp>
        <tr r="I33" s="2"/>
      </tp>
      <tp t="s">
        <v>#N/A N/A</v>
        <stp/>
        <stp>BDH|12593123224603105382</stp>
        <tr r="V10" s="2"/>
      </tp>
      <tp t="s">
        <v>#N/A N/A</v>
        <stp/>
        <stp>BDH|11690894290800011153</stp>
        <tr r="Z60" s="2"/>
      </tp>
      <tp t="s">
        <v>#N/A N/A</v>
        <stp/>
        <stp>BDH|18222989647042351634</stp>
        <tr r="N11" s="2"/>
      </tp>
      <tp t="s">
        <v>#N/A N/A</v>
        <stp/>
        <stp>BDH|12493636151519829930</stp>
        <tr r="Y34" s="2"/>
      </tp>
      <tp t="s">
        <v>#N/A N/A</v>
        <stp/>
        <stp>BDH|10664097703241930084</stp>
        <tr r="R17" s="2"/>
      </tp>
      <tp t="s">
        <v>#N/A N/A</v>
        <stp/>
        <stp>BDH|16679689568331261680</stp>
        <tr r="V23" s="2"/>
      </tp>
      <tp t="s">
        <v>#N/A N/A</v>
        <stp/>
        <stp>BDH|13612840759786115966</stp>
        <tr r="D17" s="2"/>
      </tp>
      <tp t="s">
        <v>#N/A N/A</v>
        <stp/>
        <stp>BDH|13333596475314102418</stp>
        <tr r="N34" s="2"/>
      </tp>
      <tp t="s">
        <v>#N/A N/A</v>
        <stp/>
        <stp>BDH|13943858478229383488</stp>
        <tr r="U44" s="2"/>
      </tp>
      <tp t="s">
        <v>#N/A N/A</v>
        <stp/>
        <stp>BDH|15303423289288030070</stp>
        <tr r="I43" s="2"/>
      </tp>
      <tp t="s">
        <v>#N/A N/A</v>
        <stp/>
        <stp>BDH|13906335639991517383</stp>
        <tr r="Y35" s="2"/>
      </tp>
      <tp t="s">
        <v>#N/A N/A</v>
        <stp/>
        <stp>BDH|15508393242585624669</stp>
        <tr r="I37" s="2"/>
      </tp>
      <tp t="s">
        <v>#N/A N/A</v>
        <stp/>
        <stp>BDH|17000984347869223232</stp>
        <tr r="O29" s="2"/>
      </tp>
      <tp t="s">
        <v>#N/A N/A</v>
        <stp/>
        <stp>BDH|16751729256947518283</stp>
        <tr r="AF43" s="2"/>
      </tp>
      <tp t="s">
        <v>#N/A N/A</v>
        <stp/>
        <stp>BDH|18120380899316254230</stp>
        <tr r="S36" s="2"/>
      </tp>
      <tp t="s">
        <v>#N/A N/A</v>
        <stp/>
        <stp>BDH|12546410761170606638</stp>
        <tr r="O47" s="2"/>
      </tp>
      <tp t="s">
        <v>#N/A N/A</v>
        <stp/>
        <stp>BDH|12692005777087240438</stp>
        <tr r="P27" s="2"/>
      </tp>
      <tp t="s">
        <v>#N/A N/A</v>
        <stp/>
        <stp>BDH|12959586829460958317</stp>
        <tr r="R48" s="2"/>
      </tp>
      <tp t="s">
        <v>#N/A N/A</v>
        <stp/>
        <stp>BDH|12914491220906282424</stp>
        <tr r="V46" s="2"/>
      </tp>
      <tp t="s">
        <v>#N/A N/A</v>
        <stp/>
        <stp>BDH|17767362322166892687</stp>
        <tr r="P47" s="2"/>
      </tp>
      <tp t="s">
        <v>#N/A N/A</v>
        <stp/>
        <stp>BDH|12675539728731914277</stp>
        <tr r="W63" s="2"/>
      </tp>
      <tp t="s">
        <v>#N/A N/A</v>
        <stp/>
        <stp>BDH|18161786747035885842</stp>
        <tr r="I47" s="2"/>
      </tp>
      <tp t="s">
        <v>#N/A N/A</v>
        <stp/>
        <stp>BDH|10606151812462146428</stp>
        <tr r="P64" s="2"/>
      </tp>
      <tp t="s">
        <v>#N/A N/A</v>
        <stp/>
        <stp>BDH|10578656724476245449</stp>
        <tr r="AD23" s="2"/>
      </tp>
      <tp t="s">
        <v>#N/A N/A</v>
        <stp/>
        <stp>BDH|16301730128794336196</stp>
        <tr r="H19" s="2"/>
      </tp>
      <tp t="s">
        <v>#N/A N/A</v>
        <stp/>
        <stp>BDH|13927279113590016686</stp>
        <tr r="K49" s="2"/>
      </tp>
      <tp t="s">
        <v>#N/A N/A</v>
        <stp/>
        <stp>BDH|18378515204793386805</stp>
        <tr r="U43" s="2"/>
      </tp>
      <tp t="s">
        <v>#N/A N/A</v>
        <stp/>
        <stp>BDH|14738313217490137054</stp>
        <tr r="X44" s="2"/>
      </tp>
      <tp t="s">
        <v>#N/A N/A</v>
        <stp/>
        <stp>BDH|12034623726133221329</stp>
        <tr r="U59" s="2"/>
      </tp>
      <tp t="s">
        <v>#N/A N/A</v>
        <stp/>
        <stp>BDH|13470027570412389015</stp>
        <tr r="C15" s="2"/>
      </tp>
      <tp t="s">
        <v>#N/A N/A</v>
        <stp/>
        <stp>BDH|17251609675486766646</stp>
        <tr r="Q48" s="2"/>
      </tp>
      <tp t="s">
        <v>#N/A N/A</v>
        <stp/>
        <stp>BDH|13226128044956820689</stp>
        <tr r="D62" s="2"/>
      </tp>
      <tp t="s">
        <v>#N/A N/A</v>
        <stp/>
        <stp>BDH|17210597312596961349</stp>
        <tr r="T19" s="2"/>
      </tp>
      <tp t="s">
        <v>#N/A N/A</v>
        <stp/>
        <stp>BDH|12703845127168402647</stp>
        <tr r="G18" s="2"/>
      </tp>
      <tp t="s">
        <v>#N/A N/A</v>
        <stp/>
        <stp>BDH|17580168155364651140</stp>
        <tr r="U51" s="2"/>
      </tp>
      <tp t="s">
        <v>#N/A N/A</v>
        <stp/>
        <stp>BDH|17524384579415351033</stp>
        <tr r="H37" s="2"/>
      </tp>
      <tp t="s">
        <v>#N/A N/A</v>
        <stp/>
        <stp>BDH|14401938982076313511</stp>
        <tr r="J61" s="2"/>
      </tp>
      <tp t="s">
        <v>#N/A N/A</v>
        <stp/>
        <stp>BDH|14059485012863574488</stp>
        <tr r="W49" s="2"/>
      </tp>
      <tp t="s">
        <v>#N/A N/A</v>
        <stp/>
        <stp>BDH|13256280014122924401</stp>
        <tr r="I14" s="2"/>
      </tp>
      <tp t="s">
        <v>#N/A N/A</v>
        <stp/>
        <stp>BDH|12312512197829212115</stp>
        <tr r="G38" s="2"/>
      </tp>
      <tp t="s">
        <v>#N/A N/A</v>
        <stp/>
        <stp>BDH|15038715458852661396</stp>
        <tr r="L35" s="2"/>
      </tp>
      <tp t="s">
        <v>#N/A N/A</v>
        <stp/>
        <stp>BDH|18192894279522864308</stp>
        <tr r="AC29" s="2"/>
      </tp>
      <tp t="s">
        <v>#N/A N/A</v>
        <stp/>
        <stp>BDH|15673407258053460133</stp>
        <tr r="M15" s="2"/>
      </tp>
      <tp t="s">
        <v>#N/A N/A</v>
        <stp/>
        <stp>BDH|14371290493888375123</stp>
        <tr r="K16" s="2"/>
      </tp>
      <tp t="s">
        <v>#N/A N/A</v>
        <stp/>
        <stp>BDH|14838125371163316709</stp>
        <tr r="I9" s="2"/>
      </tp>
      <tp t="s">
        <v>#N/A N/A</v>
        <stp/>
        <stp>BDH|15352084673893704740</stp>
        <tr r="Y53" s="2"/>
      </tp>
      <tp t="s">
        <v>#N/A N/A</v>
        <stp/>
        <stp>BDH|11510598871073339655</stp>
        <tr r="N27" s="2"/>
      </tp>
      <tp t="s">
        <v>#N/A N/A</v>
        <stp/>
        <stp>BDH|12183012320493942527</stp>
        <tr r="G63" s="2"/>
      </tp>
      <tp t="s">
        <v>#N/A N/A</v>
        <stp/>
        <stp>BDH|16268198876916215046</stp>
        <tr r="Z65" s="2"/>
      </tp>
      <tp t="s">
        <v>#N/A N/A</v>
        <stp/>
        <stp>BDH|10381182673733291312</stp>
        <tr r="P26" s="2"/>
      </tp>
      <tp t="s">
        <v>#N/A N/A</v>
        <stp/>
        <stp>BDH|13446925267569297389</stp>
        <tr r="K17" s="2"/>
      </tp>
      <tp t="s">
        <v>#N/A N/A</v>
        <stp/>
        <stp>BDH|17977388789702697843</stp>
        <tr r="D46" s="2"/>
      </tp>
      <tp t="s">
        <v>#N/A N/A</v>
        <stp/>
        <stp>BDH|13336694403111458272</stp>
        <tr r="Z9" s="2"/>
      </tp>
      <tp t="s">
        <v>#N/A N/A</v>
        <stp/>
        <stp>BDH|10022497573633754670</stp>
        <tr r="J60" s="2"/>
      </tp>
      <tp t="s">
        <v>#N/A N/A</v>
        <stp/>
        <stp>BDH|15296889580366271521</stp>
        <tr r="AD35" s="2"/>
      </tp>
      <tp t="s">
        <v>#N/A N/A</v>
        <stp/>
        <stp>BDH|15845743616561589425</stp>
        <tr r="T37" s="2"/>
      </tp>
      <tp t="s">
        <v>#N/A N/A</v>
        <stp/>
        <stp>BDH|11382282736492141417</stp>
        <tr r="P34" s="2"/>
      </tp>
      <tp t="s">
        <v>#N/A N/A</v>
        <stp/>
        <stp>BDH|16746792565608191966</stp>
        <tr r="K32" s="2"/>
      </tp>
      <tp t="s">
        <v>#N/A N/A</v>
        <stp/>
        <stp>BDH|10901227047651861189</stp>
        <tr r="N25" s="2"/>
      </tp>
      <tp t="s">
        <v>#N/A N/A</v>
        <stp/>
        <stp>BDH|16729211516013822041</stp>
        <tr r="Z26" s="2"/>
      </tp>
      <tp t="s">
        <v>#N/A N/A</v>
        <stp/>
        <stp>BDH|13626624305116517580</stp>
        <tr r="V36" s="2"/>
      </tp>
      <tp t="s">
        <v>#N/A N/A</v>
        <stp/>
        <stp>BDH|12535474262686806072</stp>
        <tr r="H47" s="2"/>
      </tp>
      <tp t="s">
        <v>#N/A N/A</v>
        <stp/>
        <stp>BDH|13401837210605999918</stp>
        <tr r="H59" s="2"/>
      </tp>
      <tp t="s">
        <v>#N/A N/A</v>
        <stp/>
        <stp>BDH|14279856928698541040</stp>
        <tr r="R35" s="2"/>
      </tp>
      <tp t="s">
        <v>#N/A N/A</v>
        <stp/>
        <stp>BDH|11728118393919627728</stp>
        <tr r="P59" s="2"/>
      </tp>
      <tp t="s">
        <v>#N/A N/A</v>
        <stp/>
        <stp>BDH|17940986481657081610</stp>
        <tr r="AF51" s="2"/>
      </tp>
      <tp t="s">
        <v>#N/A N/A</v>
        <stp/>
        <stp>BDH|16203200656790748624</stp>
        <tr r="AD44" s="2"/>
      </tp>
      <tp t="s">
        <v>#N/A N/A</v>
        <stp/>
        <stp>BDH|14604076448641848602</stp>
        <tr r="Q67" s="2"/>
      </tp>
      <tp t="s">
        <v>#N/A N/A</v>
        <stp/>
        <stp>BDH|14463147171251664463</stp>
        <tr r="C13" s="2"/>
      </tp>
      <tp t="s">
        <v>#N/A N/A</v>
        <stp/>
        <stp>BDH|10646140429484342091</stp>
        <tr r="M8" s="2"/>
      </tp>
      <tp t="s">
        <v>#N/A N/A</v>
        <stp/>
        <stp>BDH|10114922691756689142</stp>
        <tr r="U19" s="2"/>
      </tp>
      <tp t="s">
        <v>#N/A N/A</v>
        <stp/>
        <stp>BDH|17254263612333123076</stp>
        <tr r="AF19" s="2"/>
      </tp>
      <tp t="s">
        <v>#N/A N/A</v>
        <stp/>
        <stp>BDH|14092337988389986125</stp>
        <tr r="X36" s="2"/>
      </tp>
      <tp t="s">
        <v>#N/A N/A</v>
        <stp/>
        <stp>BDH|11364015533894656179</stp>
        <tr r="C67" s="2"/>
      </tp>
      <tp t="s">
        <v>#N/A N/A</v>
        <stp/>
        <stp>BDH|11354119090237877982</stp>
        <tr r="D32" s="2"/>
      </tp>
      <tp t="s">
        <v>#N/A N/A</v>
        <stp/>
        <stp>BDH|13346056077983735042</stp>
        <tr r="U53" s="2"/>
      </tp>
      <tp t="s">
        <v>#N/A N/A</v>
        <stp/>
        <stp>BDH|13719903380066717329</stp>
        <tr r="M36" s="2"/>
      </tp>
      <tp t="s">
        <v>#N/A N/A</v>
        <stp/>
        <stp>BDH|11442523042310659708</stp>
        <tr r="D45" s="2"/>
      </tp>
      <tp t="s">
        <v>#N/A N/A</v>
        <stp/>
        <stp>BDH|11440320419026444298</stp>
        <tr r="I49" s="2"/>
      </tp>
      <tp t="s">
        <v>#N/A N/A</v>
        <stp/>
        <stp>BDH|17336304468287076293</stp>
        <tr r="O63" s="2"/>
      </tp>
      <tp t="s">
        <v>#N/A N/A</v>
        <stp/>
        <stp>BDH|11035237355968380974</stp>
        <tr r="U14" s="2"/>
      </tp>
      <tp t="s">
        <v>#N/A N/A</v>
        <stp/>
        <stp>BDH|12358417852010430467</stp>
        <tr r="V7" s="2"/>
      </tp>
      <tp t="s">
        <v>#N/A N/A</v>
        <stp/>
        <stp>BDH|11061550612880012222</stp>
        <tr r="Q26" s="2"/>
      </tp>
      <tp t="s">
        <v>#N/A N/A</v>
        <stp/>
        <stp>BDH|15772892438988494170</stp>
        <tr r="T50" s="2"/>
      </tp>
      <tp t="s">
        <v>#N/A N/A</v>
        <stp/>
        <stp>BDH|10309454036247647721</stp>
        <tr r="O33" s="2"/>
      </tp>
      <tp t="s">
        <v>#N/A N/A</v>
        <stp/>
        <stp>BDH|15035611527474562270</stp>
        <tr r="H38" s="2"/>
      </tp>
      <tp t="s">
        <v>#N/A N/A</v>
        <stp/>
        <stp>BDH|15724105191082125831</stp>
        <tr r="S43" s="2"/>
      </tp>
      <tp t="s">
        <v>#N/A N/A</v>
        <stp/>
        <stp>BDH|15374443812593186431</stp>
        <tr r="AA43" s="2"/>
      </tp>
      <tp t="s">
        <v>#N/A N/A</v>
        <stp/>
        <stp>BDH|13530394748184181721</stp>
        <tr r="AA10" s="2"/>
      </tp>
      <tp t="s">
        <v>#N/A N/A</v>
        <stp/>
        <stp>BDH|16273773831677777244</stp>
        <tr r="O45" s="2"/>
      </tp>
      <tp t="s">
        <v>#N/A N/A</v>
        <stp/>
        <stp>BDH|13820971650711040999</stp>
        <tr r="Z23" s="2"/>
      </tp>
      <tp t="s">
        <v>#N/A N/A</v>
        <stp/>
        <stp>BDH|10319065572043297330</stp>
        <tr r="AC67" s="2"/>
      </tp>
      <tp t="s">
        <v>#N/A N/A</v>
        <stp/>
        <stp>BDH|10651374154512509361</stp>
        <tr r="I16" s="2"/>
      </tp>
      <tp t="s">
        <v>#N/A N/A</v>
        <stp/>
        <stp>BDH|16593133758672132772</stp>
        <tr r="H45" s="2"/>
      </tp>
      <tp t="s">
        <v>#N/A N/A</v>
        <stp/>
        <stp>BDH|17670739329995221065</stp>
        <tr r="AB31" s="2"/>
      </tp>
      <tp t="s">
        <v>#N/A N/A</v>
        <stp/>
        <stp>BDH|14030302608325030504</stp>
        <tr r="N48" s="2"/>
      </tp>
      <tp t="s">
        <v>#N/A N/A</v>
        <stp/>
        <stp>BDH|16937016117464732438</stp>
        <tr r="AA45" s="2"/>
      </tp>
      <tp t="s">
        <v>#N/A N/A</v>
        <stp/>
        <stp>BDH|16299223464561896475</stp>
        <tr r="R63" s="2"/>
      </tp>
      <tp t="s">
        <v>#N/A N/A</v>
        <stp/>
        <stp>BDH|17435234949016469010</stp>
        <tr r="L15" s="2"/>
      </tp>
      <tp t="s">
        <v>#N/A N/A</v>
        <stp/>
        <stp>BDH|16944039173086634059</stp>
        <tr r="X66" s="2"/>
      </tp>
      <tp t="s">
        <v>#N/A N/A</v>
        <stp/>
        <stp>BDH|13948378651670009235</stp>
        <tr r="H42" s="2"/>
      </tp>
      <tp t="s">
        <v>#N/A N/A</v>
        <stp/>
        <stp>BDH|11117747548287612276</stp>
        <tr r="Z19" s="2"/>
      </tp>
      <tp t="s">
        <v>#N/A N/A</v>
        <stp/>
        <stp>BDH|13499038946382974242</stp>
        <tr r="S22" s="2"/>
      </tp>
      <tp t="s">
        <v>#N/A N/A</v>
        <stp/>
        <stp>BDH|13996523561455581230</stp>
        <tr r="Y13" s="2"/>
      </tp>
      <tp t="s">
        <v>#N/A N/A</v>
        <stp/>
        <stp>BDH|11034107479862373252</stp>
        <tr r="AD48" s="2"/>
      </tp>
      <tp t="s">
        <v>#N/A N/A</v>
        <stp/>
        <stp>BDH|12633035585468851579</stp>
        <tr r="G11" s="2"/>
      </tp>
      <tp t="s">
        <v>#N/A N/A</v>
        <stp/>
        <stp>BDH|18203925942261424399</stp>
        <tr r="W22" s="2"/>
      </tp>
      <tp t="s">
        <v>#N/A N/A</v>
        <stp/>
        <stp>BDH|17738590420492427549</stp>
        <tr r="AE13" s="2"/>
      </tp>
      <tp t="s">
        <v>#N/A N/A</v>
        <stp/>
        <stp>BDH|12927767536426045770</stp>
        <tr r="V65" s="2"/>
      </tp>
      <tp t="s">
        <v>#N/A N/A</v>
        <stp/>
        <stp>BDH|10612549403171534053</stp>
        <tr r="S29" s="2"/>
      </tp>
      <tp t="s">
        <v>#N/A N/A</v>
        <stp/>
        <stp>BDH|14580819702769189161</stp>
        <tr r="N64" s="2"/>
      </tp>
      <tp t="s">
        <v>#N/A N/A</v>
        <stp/>
        <stp>BDH|10487010942128783816</stp>
        <tr r="H16" s="2"/>
      </tp>
      <tp t="s">
        <v>#N/A N/A</v>
        <stp/>
        <stp>BDH|15024682022816141384</stp>
        <tr r="U41" s="2"/>
      </tp>
      <tp t="s">
        <v>#N/A N/A</v>
        <stp/>
        <stp>BDH|13689466160002480779</stp>
        <tr r="Y29" s="2"/>
      </tp>
      <tp t="s">
        <v>#N/A N/A</v>
        <stp/>
        <stp>BDH|17793077138941237193</stp>
        <tr r="X38" s="2"/>
      </tp>
      <tp t="s">
        <v>#N/A N/A</v>
        <stp/>
        <stp>BDH|15455535133912794504</stp>
        <tr r="U64" s="2"/>
      </tp>
      <tp t="s">
        <v>#N/A N/A</v>
        <stp/>
        <stp>BDH|17474483419951374741</stp>
        <tr r="I67" s="2"/>
      </tp>
      <tp t="s">
        <v>#N/A N/A</v>
        <stp/>
        <stp>BDH|11922168374720063394</stp>
        <tr r="X41" s="2"/>
      </tp>
      <tp t="s">
        <v>#N/A N/A</v>
        <stp/>
        <stp>BDH|12943357802241898433</stp>
        <tr r="D10" s="2"/>
      </tp>
      <tp t="s">
        <v>#N/A N/A</v>
        <stp/>
        <stp>BDH|18340513917890743875</stp>
        <tr r="L19" s="2"/>
      </tp>
      <tp t="s">
        <v>#N/A N/A</v>
        <stp/>
        <stp>BDH|10718245209804840278</stp>
        <tr r="J51" s="2"/>
      </tp>
      <tp t="s">
        <v>#N/A N/A</v>
        <stp/>
        <stp>BDH|15668879372008180673</stp>
        <tr r="AE33" s="2"/>
      </tp>
      <tp t="s">
        <v>#N/A N/A</v>
        <stp/>
        <stp>BDH|16703335964474401309</stp>
        <tr r="Z55" s="2"/>
      </tp>
      <tp t="s">
        <v>#N/A N/A</v>
        <stp/>
        <stp>BDH|18274522298853833342</stp>
        <tr r="AF62" s="2"/>
      </tp>
      <tp t="s">
        <v>#N/A N/A</v>
        <stp/>
        <stp>BDH|12181210870856622521</stp>
        <tr r="X16" s="2"/>
      </tp>
      <tp t="s">
        <v>#N/A N/A</v>
        <stp/>
        <stp>BDH|14092104575664350229</stp>
        <tr r="AB51" s="2"/>
      </tp>
      <tp t="s">
        <v>#N/A N/A</v>
        <stp/>
        <stp>BDH|12560605117134579531</stp>
        <tr r="F12" s="2"/>
      </tp>
      <tp t="s">
        <v>#N/A N/A</v>
        <stp/>
        <stp>BDH|16452857807603619972</stp>
        <tr r="C49" s="2"/>
      </tp>
      <tp t="s">
        <v>#N/A N/A</v>
        <stp/>
        <stp>BDH|13246261806561361460</stp>
        <tr r="O42" s="2"/>
      </tp>
      <tp t="s">
        <v>#N/A N/A</v>
        <stp/>
        <stp>BDH|17475241260132396556</stp>
        <tr r="O55" s="2"/>
      </tp>
      <tp t="s">
        <v>#N/A N/A</v>
        <stp/>
        <stp>BDH|12906636633931919269</stp>
        <tr r="AC34" s="2"/>
      </tp>
      <tp t="s">
        <v>#N/A N/A</v>
        <stp/>
        <stp>BDH|13220943467659086178</stp>
        <tr r="E27" s="2"/>
      </tp>
      <tp t="s">
        <v>#N/A N/A</v>
        <stp/>
        <stp>BDH|14057103252035445105</stp>
        <tr r="AB15" s="2"/>
      </tp>
      <tp t="s">
        <v>#N/A N/A</v>
        <stp/>
        <stp>BDH|16133795668404078761</stp>
        <tr r="AF38" s="2"/>
      </tp>
      <tp t="s">
        <v>#N/A N/A</v>
        <stp/>
        <stp>BDH|16885517677911756103</stp>
        <tr r="AA23" s="2"/>
      </tp>
      <tp t="s">
        <v>#N/A N/A</v>
        <stp/>
        <stp>BDH|10937719936260106071</stp>
        <tr r="AF65" s="2"/>
      </tp>
      <tp t="s">
        <v>#N/A N/A</v>
        <stp/>
        <stp>BDH|17481566832436932314</stp>
        <tr r="S49" s="2"/>
      </tp>
      <tp t="s">
        <v>#N/A N/A</v>
        <stp/>
        <stp>BDH|11365732468376211225</stp>
        <tr r="L16" s="2"/>
      </tp>
      <tp t="s">
        <v>#N/A N/A</v>
        <stp/>
        <stp>BDH|11362492780320715954</stp>
        <tr r="Y8" s="2"/>
      </tp>
      <tp t="s">
        <v>#N/A N/A</v>
        <stp/>
        <stp>BDH|12256755110658748887</stp>
        <tr r="J31" s="2"/>
      </tp>
      <tp t="s">
        <v>#N/A N/A</v>
        <stp/>
        <stp>BDH|10336093373774652776</stp>
        <tr r="M17" s="2"/>
      </tp>
      <tp t="s">
        <v>#N/A N/A</v>
        <stp/>
        <stp>BDH|14206204529256391637</stp>
        <tr r="G25" s="2"/>
      </tp>
      <tp t="s">
        <v>#N/A N/A</v>
        <stp/>
        <stp>BDH|18125830486798849471</stp>
        <tr r="I50" s="2"/>
      </tp>
      <tp t="s">
        <v>#N/A N/A</v>
        <stp/>
        <stp>BDH|10921307162142204322</stp>
        <tr r="L38" s="2"/>
      </tp>
      <tp t="s">
        <v>#N/A N/A</v>
        <stp/>
        <stp>BDH|17868801889510949327</stp>
        <tr r="M23" s="2"/>
      </tp>
      <tp t="s">
        <v>#N/A N/A</v>
        <stp/>
        <stp>BDH|11861137306792644614</stp>
        <tr r="P66" s="2"/>
      </tp>
      <tp t="s">
        <v>#N/A N/A</v>
        <stp/>
        <stp>BDH|17456574818936751114</stp>
        <tr r="AE25" s="2"/>
      </tp>
      <tp t="s">
        <v>#N/A N/A</v>
        <stp/>
        <stp>BDH|14981424933573415411</stp>
        <tr r="F19" s="2"/>
      </tp>
      <tp t="s">
        <v>#N/A N/A</v>
        <stp/>
        <stp>BDH|15481058475653947502</stp>
        <tr r="D15" s="2"/>
      </tp>
      <tp t="s">
        <v>#N/A N/A</v>
        <stp/>
        <stp>BDH|17818923583904627636</stp>
        <tr r="L65" s="2"/>
      </tp>
      <tp t="s">
        <v>#N/A N/A</v>
        <stp/>
        <stp>BDH|13439000312980267680</stp>
        <tr r="L31" s="2"/>
      </tp>
      <tp t="s">
        <v>#N/A N/A</v>
        <stp/>
        <stp>BDH|17844065662267411243</stp>
        <tr r="AA61" s="2"/>
      </tp>
      <tp t="s">
        <v>#N/A N/A</v>
        <stp/>
        <stp>BDH|12265420469670426417</stp>
        <tr r="L49" s="2"/>
      </tp>
      <tp t="s">
        <v>#N/A N/A</v>
        <stp/>
        <stp>BDH|17087159904623756199</stp>
        <tr r="R29" s="2"/>
      </tp>
      <tp t="s">
        <v>#N/A N/A</v>
        <stp/>
        <stp>BDH|13895710416877717679</stp>
        <tr r="T41" s="2"/>
      </tp>
      <tp t="s">
        <v>#N/A N/A</v>
        <stp/>
        <stp>BDH|16250236831035912666</stp>
        <tr r="M41" s="2"/>
      </tp>
      <tp t="s">
        <v>#N/A N/A</v>
        <stp/>
        <stp>BDH|12849871916807483839</stp>
        <tr r="H66" s="2"/>
      </tp>
      <tp t="s">
        <v>#N/A N/A</v>
        <stp/>
        <stp>BDH|16477732349047952693</stp>
        <tr r="S50" s="2"/>
      </tp>
      <tp t="s">
        <v>#N/A N/A</v>
        <stp/>
        <stp>BDH|15410023065166894158</stp>
        <tr r="C65" s="2"/>
      </tp>
      <tp t="s">
        <v>#N/A N/A</v>
        <stp/>
        <stp>BDH|13571711626185804742</stp>
        <tr r="P42" s="2"/>
      </tp>
      <tp t="s">
        <v>#N/A N/A</v>
        <stp/>
        <stp>BDH|13837414067055533051</stp>
        <tr r="AD65" s="2"/>
      </tp>
      <tp t="s">
        <v>#N/A N/A</v>
        <stp/>
        <stp>BDH|12446468454854667219</stp>
        <tr r="U23" s="2"/>
      </tp>
      <tp t="s">
        <v>#N/A N/A</v>
        <stp/>
        <stp>BDH|12577408493343265953</stp>
        <tr r="AF24" s="2"/>
      </tp>
      <tp t="s">
        <v>#N/A N/A</v>
        <stp/>
        <stp>BDH|10420837987144245138</stp>
        <tr r="AD46" s="2"/>
      </tp>
      <tp t="s">
        <v>#N/A N/A</v>
        <stp/>
        <stp>BDH|17238368547966714350</stp>
        <tr r="AD13" s="2"/>
      </tp>
      <tp t="s">
        <v>#N/A N/A</v>
        <stp/>
        <stp>BDH|16095620581665480860</stp>
        <tr r="K22" s="2"/>
      </tp>
      <tp t="s">
        <v>#N/A N/A</v>
        <stp/>
        <stp>BDH|17675425635390100507</stp>
        <tr r="H48" s="2"/>
      </tp>
      <tp t="s">
        <v>#N/A N/A</v>
        <stp/>
        <stp>BDH|11769454909644135498</stp>
        <tr r="G67" s="2"/>
      </tp>
      <tp t="s">
        <v>#N/A N/A</v>
        <stp/>
        <stp>BDH|13459569250164458258</stp>
        <tr r="W53" s="2"/>
      </tp>
      <tp t="s">
        <v>#N/A N/A</v>
        <stp/>
        <stp>BDH|17297032906375560705</stp>
        <tr r="D65" s="2"/>
      </tp>
      <tp t="s">
        <v>#N/A N/A</v>
        <stp/>
        <stp>BDH|15819725133314392087</stp>
        <tr r="AF45" s="2"/>
      </tp>
      <tp t="s">
        <v>#N/A N/A</v>
        <stp/>
        <stp>BDH|17360127614784017678</stp>
        <tr r="Y64" s="2"/>
      </tp>
      <tp t="s">
        <v>#N/A N/A</v>
        <stp/>
        <stp>BDH|15189715871575575560</stp>
        <tr r="AD29" s="2"/>
      </tp>
      <tp t="s">
        <v>#N/A N/A</v>
        <stp/>
        <stp>BDH|17638658442117380705</stp>
        <tr r="AF9" s="2"/>
      </tp>
      <tp t="s">
        <v>#N/A N/A</v>
        <stp/>
        <stp>BDH|14761228024646312776</stp>
        <tr r="AC13" s="2"/>
      </tp>
      <tp t="s">
        <v>#N/A N/A</v>
        <stp/>
        <stp>BDH|10608775541331659731</stp>
        <tr r="R24" s="2"/>
      </tp>
      <tp t="s">
        <v>#N/A N/A</v>
        <stp/>
        <stp>BDH|15032528546814050513</stp>
        <tr r="R18" s="2"/>
      </tp>
      <tp t="s">
        <v>#N/A N/A</v>
        <stp/>
        <stp>BDH|12705520331208055905</stp>
        <tr r="Z45" s="2"/>
      </tp>
      <tp t="s">
        <v>#N/A N/A</v>
        <stp/>
        <stp>BDH|13001244741374268430</stp>
        <tr r="T31" s="2"/>
      </tp>
      <tp t="s">
        <v>#N/A N/A</v>
        <stp/>
        <stp>BDH|17039384452383646785</stp>
        <tr r="X29" s="2"/>
      </tp>
      <tp t="s">
        <v>#N/A N/A</v>
        <stp/>
        <stp>BDH|16661384409305940599</stp>
        <tr r="O26" s="2"/>
      </tp>
      <tp t="s">
        <v>#N/A N/A</v>
        <stp/>
        <stp>BDH|14070448351351271108</stp>
        <tr r="D50" s="2"/>
      </tp>
      <tp t="s">
        <v>#N/A N/A</v>
        <stp/>
        <stp>BDH|14397655001221186604</stp>
        <tr r="O38" s="2"/>
      </tp>
      <tp t="s">
        <v>#N/A N/A</v>
        <stp/>
        <stp>BDH|15494167218857502791</stp>
        <tr r="C18" s="2"/>
      </tp>
      <tp t="s">
        <v>#N/A N/A</v>
        <stp/>
        <stp>BDH|16626433924861770408</stp>
        <tr r="AE55" s="2"/>
      </tp>
      <tp t="s">
        <v>#N/A N/A</v>
        <stp/>
        <stp>BDH|12195090385967594817</stp>
        <tr r="Z44" s="2"/>
      </tp>
      <tp t="s">
        <v>#N/A N/A</v>
        <stp/>
        <stp>BDH|16412468554710878274</stp>
        <tr r="AA66" s="2"/>
      </tp>
      <tp t="s">
        <v>#N/A N/A</v>
        <stp/>
        <stp>BDH|13622015840132816064</stp>
        <tr r="E23" s="2"/>
      </tp>
      <tp t="s">
        <v>#N/A N/A</v>
        <stp/>
        <stp>BDH|13984241017434744149</stp>
        <tr r="AA25" s="2"/>
      </tp>
      <tp t="s">
        <v>#N/A N/A</v>
        <stp/>
        <stp>BDH|12390139605396914054</stp>
        <tr r="J59" s="2"/>
      </tp>
      <tp t="s">
        <v>#N/A N/A</v>
        <stp/>
        <stp>BDH|17206838699210944394</stp>
        <tr r="X11" s="2"/>
      </tp>
      <tp t="s">
        <v>#N/A N/A</v>
        <stp/>
        <stp>BDH|16217076501195510699</stp>
        <tr r="P49" s="2"/>
      </tp>
      <tp t="s">
        <v>#N/A N/A</v>
        <stp/>
        <stp>BDH|12263323818727969293</stp>
        <tr r="O64" s="2"/>
      </tp>
      <tp t="s">
        <v>#N/A N/A</v>
        <stp/>
        <stp>BDH|18288265046129875213</stp>
        <tr r="X14" s="2"/>
      </tp>
      <tp t="s">
        <v>#N/A N/A</v>
        <stp/>
        <stp>BDH|15964163784419561054</stp>
        <tr r="J8" s="2"/>
      </tp>
      <tp t="s">
        <v>#N/A N/A</v>
        <stp/>
        <stp>BDH|14905275403237615407</stp>
        <tr r="P35" s="2"/>
      </tp>
      <tp t="s">
        <v>#N/A N/A</v>
        <stp/>
        <stp>BDH|12297815549848015313</stp>
        <tr r="Z34" s="2"/>
      </tp>
      <tp t="s">
        <v>#N/A N/A</v>
        <stp/>
        <stp>BDH|12307026702463861401</stp>
        <tr r="T59" s="2"/>
      </tp>
      <tp t="s">
        <v>#N/A N/A</v>
        <stp/>
        <stp>BDH|15314521936580818650</stp>
        <tr r="E49" s="2"/>
      </tp>
      <tp t="s">
        <v>#N/A N/A</v>
        <stp/>
        <stp>BDH|16075285524117401459</stp>
        <tr r="O35" s="2"/>
      </tp>
      <tp t="s">
        <v>#N/A N/A</v>
        <stp/>
        <stp>BDH|12258688172802534402</stp>
        <tr r="AA63" s="2"/>
      </tp>
      <tp t="s">
        <v>#N/A N/A</v>
        <stp/>
        <stp>BDH|13854833115238224709</stp>
        <tr r="H55" s="2"/>
      </tp>
      <tp t="s">
        <v>#N/A N/A</v>
        <stp/>
        <stp>BDH|12251679634346857456</stp>
        <tr r="J48" s="2"/>
      </tp>
      <tp t="s">
        <v>#N/A N/A</v>
        <stp/>
        <stp>BDH|10450859939547052948</stp>
        <tr r="AD55" s="2"/>
      </tp>
      <tp t="s">
        <v>#N/A N/A</v>
        <stp/>
        <stp>BDH|16009077100433345083</stp>
        <tr r="K23" s="2"/>
      </tp>
      <tp t="s">
        <v>#N/A N/A</v>
        <stp/>
        <stp>BDH|13516673433143826068</stp>
        <tr r="R67" s="2"/>
      </tp>
      <tp t="s">
        <v>#N/A N/A</v>
        <stp/>
        <stp>BDH|10320009983238676593</stp>
        <tr r="M43" s="2"/>
      </tp>
      <tp t="s">
        <v>#N/A N/A</v>
        <stp/>
        <stp>BDH|13478461622311777180</stp>
        <tr r="Y47" s="2"/>
      </tp>
      <tp t="s">
        <v>#N/A N/A</v>
        <stp/>
        <stp>BDH|11675742230436485698</stp>
        <tr r="F9" s="2"/>
      </tp>
      <tp t="s">
        <v>#N/A N/A</v>
        <stp/>
        <stp>BDH|13287569828682184332</stp>
        <tr r="Q18" s="2"/>
      </tp>
    </main>
    <main first="bofaddin.rtdserver">
      <tp t="s">
        <v>#N/A N/A</v>
        <stp/>
        <stp>BDH|6448303092952442</stp>
        <tr r="AB14" s="2"/>
      </tp>
      <tp t="s">
        <v>#N/A N/A</v>
        <stp/>
        <stp>BDH|2815987539746718241</stp>
        <tr r="J53" s="2"/>
      </tp>
      <tp t="s">
        <v>#N/A N/A</v>
        <stp/>
        <stp>BDH|7160083590273217110</stp>
        <tr r="K43" s="2"/>
      </tp>
      <tp t="s">
        <v>#N/A N/A</v>
        <stp/>
        <stp>BDH|6697388816999133137</stp>
        <tr r="L67" s="2"/>
      </tp>
      <tp t="s">
        <v>#N/A N/A</v>
        <stp/>
        <stp>BDH|5542480206008145516</stp>
        <tr r="M13" s="2"/>
      </tp>
      <tp t="s">
        <v>#N/A N/A</v>
        <stp/>
        <stp>BDH|8057639537364507599</stp>
        <tr r="L46" s="2"/>
      </tp>
      <tp t="s">
        <v>#N/A N/A</v>
        <stp/>
        <stp>BDH|9101416248513602673</stp>
        <tr r="C31" s="2"/>
      </tp>
      <tp t="s">
        <v>#N/A N/A</v>
        <stp/>
        <stp>BDH|9575188925130424650</stp>
        <tr r="O9" s="2"/>
      </tp>
      <tp t="s">
        <v>#N/A N/A</v>
        <stp/>
        <stp>BDH|5990278741968481752</stp>
        <tr r="E35" s="2"/>
      </tp>
      <tp t="s">
        <v>#N/A N/A</v>
        <stp/>
        <stp>BDH|6436127225081930843</stp>
        <tr r="AC7" s="2"/>
      </tp>
      <tp t="s">
        <v>#N/A N/A</v>
        <stp/>
        <stp>BDH|5750197125779283374</stp>
        <tr r="Z64" s="2"/>
      </tp>
      <tp t="s">
        <v>#N/A N/A</v>
        <stp/>
        <stp>BDH|7540649306688993528</stp>
        <tr r="K41" s="2"/>
      </tp>
      <tp t="s">
        <v>#N/A N/A</v>
        <stp/>
        <stp>BDH|7901704703604643816</stp>
        <tr r="AA17" s="2"/>
      </tp>
      <tp t="s">
        <v>#N/A N/A</v>
        <stp/>
        <stp>BDH|5054441583875083054</stp>
        <tr r="H11" s="2"/>
      </tp>
      <tp t="s">
        <v>#N/A N/A</v>
        <stp/>
        <stp>BDH|7244586676621960877</stp>
        <tr r="G46" s="2"/>
      </tp>
      <tp t="s">
        <v>#N/A N/A</v>
        <stp/>
        <stp>BDH|8493155382274696965</stp>
        <tr r="AA41" s="2"/>
      </tp>
      <tp t="s">
        <v>#N/A N/A</v>
        <stp/>
        <stp>BDH|6705180128230538913</stp>
        <tr r="C44" s="2"/>
      </tp>
      <tp t="s">
        <v>#N/A N/A</v>
        <stp/>
        <stp>BDH|1138972801271659521</stp>
        <tr r="V17" s="2"/>
      </tp>
      <tp t="s">
        <v>#N/A N/A</v>
        <stp/>
        <stp>BDH|6536862833772610367</stp>
        <tr r="M35" s="2"/>
      </tp>
      <tp t="s">
        <v>#N/A N/A</v>
        <stp/>
        <stp>BDH|9178720500834187627</stp>
        <tr r="H25" s="2"/>
      </tp>
      <tp t="s">
        <v>#N/A N/A</v>
        <stp/>
        <stp>BDH|4264815842483946780</stp>
        <tr r="K24" s="2"/>
      </tp>
      <tp t="s">
        <v>#N/A N/A</v>
        <stp/>
        <stp>BDH|1762058492546762278</stp>
        <tr r="AA50" s="2"/>
      </tp>
      <tp t="s">
        <v>#N/A N/A</v>
        <stp/>
        <stp>BDH|1473309602569148775</stp>
        <tr r="V60" s="2"/>
      </tp>
      <tp t="s">
        <v>#N/A N/A</v>
        <stp/>
        <stp>BDH|8271736627557444632</stp>
        <tr r="F27" s="2"/>
      </tp>
      <tp t="s">
        <v>#N/A N/A</v>
        <stp/>
        <stp>BDH|3276638380229501850</stp>
        <tr r="N12" s="2"/>
      </tp>
      <tp t="s">
        <v>#N/A N/A</v>
        <stp/>
        <stp>BDH|6230354919529968114</stp>
        <tr r="H33" s="2"/>
      </tp>
      <tp t="s">
        <v>#N/A N/A</v>
        <stp/>
        <stp>BDH|8391525203544341579</stp>
        <tr r="O22" s="2"/>
      </tp>
      <tp t="s">
        <v>#N/A N/A</v>
        <stp/>
        <stp>BDH|9398217952433610128</stp>
        <tr r="T29" s="2"/>
      </tp>
      <tp t="s">
        <v>#N/A N/A</v>
        <stp/>
        <stp>BDH|5950211886585263684</stp>
        <tr r="Z42" s="2"/>
      </tp>
      <tp t="s">
        <v>#N/A N/A</v>
        <stp/>
        <stp>BDH|3920714304511188999</stp>
        <tr r="V31" s="2"/>
      </tp>
      <tp t="s">
        <v>#N/A N/A</v>
        <stp/>
        <stp>BDH|1779479435093005918</stp>
        <tr r="M46" s="2"/>
      </tp>
      <tp t="s">
        <v>#N/A N/A</v>
        <stp/>
        <stp>BDH|1335768062098638440</stp>
        <tr r="M66" s="2"/>
      </tp>
      <tp t="s">
        <v>#N/A N/A</v>
        <stp/>
        <stp>BDH|8537326770582484395</stp>
        <tr r="X12" s="2"/>
      </tp>
      <tp t="s">
        <v>#N/A N/A</v>
        <stp/>
        <stp>BDH|2882634783757118636</stp>
        <tr r="V61" s="2"/>
      </tp>
      <tp t="s">
        <v>#N/A N/A</v>
        <stp/>
        <stp>BDH|5253029292749184880</stp>
        <tr r="X63" s="2"/>
      </tp>
      <tp t="s">
        <v>#N/A N/A</v>
        <stp/>
        <stp>BDH|1546877390195865811</stp>
        <tr r="I55" s="2"/>
      </tp>
      <tp t="s">
        <v>#N/A N/A</v>
        <stp/>
        <stp>BDH|6440136612989862269</stp>
        <tr r="V34" s="2"/>
      </tp>
      <tp t="s">
        <v>#N/A N/A</v>
        <stp/>
        <stp>BDH|5457191715839649150</stp>
        <tr r="T17" s="2"/>
      </tp>
      <tp t="s">
        <v>#N/A N/A</v>
        <stp/>
        <stp>BDH|7970464624318109422</stp>
        <tr r="K67" s="2"/>
      </tp>
      <tp t="s">
        <v>#N/A N/A</v>
        <stp/>
        <stp>BDH|3859769687518965991</stp>
        <tr r="AA49" s="2"/>
      </tp>
      <tp t="s">
        <v>#N/A N/A</v>
        <stp/>
        <stp>BDH|2324252359271966987</stp>
        <tr r="F24" s="2"/>
      </tp>
      <tp t="s">
        <v>#N/A N/A</v>
        <stp/>
        <stp>BDH|7329931259033117566</stp>
        <tr r="Y28" s="2"/>
      </tp>
      <tp t="s">
        <v>#N/A N/A</v>
        <stp/>
        <stp>BDH|5674720488750063735</stp>
        <tr r="I31" s="2"/>
      </tp>
      <tp t="s">
        <v>#N/A N/A</v>
        <stp/>
        <stp>BDH|8869911696073920690</stp>
        <tr r="T15" s="2"/>
      </tp>
      <tp t="s">
        <v>#N/A N/A</v>
        <stp/>
        <stp>BDH|8859152873046457575</stp>
        <tr r="I13" s="2"/>
      </tp>
      <tp t="s">
        <v>#N/A N/A</v>
        <stp/>
        <stp>BDH|5508578177708133293</stp>
        <tr r="AB42" s="2"/>
      </tp>
      <tp t="s">
        <v>#N/A N/A</v>
        <stp/>
        <stp>BDH|1248213032429777444</stp>
        <tr r="L14" s="2"/>
      </tp>
      <tp t="s">
        <v>#N/A N/A</v>
        <stp/>
        <stp>BDH|7957247286285105589</stp>
        <tr r="E45" s="2"/>
      </tp>
      <tp t="s">
        <v>#N/A N/A</v>
        <stp/>
        <stp>BDH|7277323886211740039</stp>
        <tr r="Q34" s="2"/>
      </tp>
      <tp t="s">
        <v>#N/A N/A</v>
        <stp/>
        <stp>BDH|7232871757481591650</stp>
        <tr r="M53" s="2"/>
      </tp>
      <tp t="s">
        <v>#N/A N/A</v>
        <stp/>
        <stp>BDH|2062070184296249121</stp>
        <tr r="X55" s="2"/>
      </tp>
      <tp t="s">
        <v>#N/A N/A</v>
        <stp/>
        <stp>BDH|6524858363991706475</stp>
        <tr r="AF60" s="2"/>
      </tp>
      <tp t="s">
        <v>#N/A N/A</v>
        <stp/>
        <stp>BDH|3771874367973555317</stp>
        <tr r="J24" s="2"/>
      </tp>
      <tp t="s">
        <v>#N/A N/A</v>
        <stp/>
        <stp>BDH|6396952918007538486</stp>
        <tr r="AD36" s="2"/>
      </tp>
      <tp t="s">
        <v>#N/A N/A</v>
        <stp/>
        <stp>BDH|1015500373768413674</stp>
        <tr r="E64" s="2"/>
      </tp>
      <tp t="s">
        <v>#N/A N/A</v>
        <stp/>
        <stp>BDH|4553370970868445561</stp>
        <tr r="X51" s="2"/>
      </tp>
      <tp t="s">
        <v>#N/A N/A</v>
        <stp/>
        <stp>BDH|2219828121404923183</stp>
        <tr r="M22" s="2"/>
      </tp>
      <tp t="s">
        <v>#N/A N/A</v>
        <stp/>
        <stp>BDH|8008670106352896195</stp>
        <tr r="K31" s="2"/>
      </tp>
      <tp t="s">
        <v>#N/A N/A</v>
        <stp/>
        <stp>BDH|8430285186236944921</stp>
        <tr r="H12" s="2"/>
      </tp>
      <tp t="s">
        <v>#N/A N/A</v>
        <stp/>
        <stp>BDH|8397513443745030103</stp>
        <tr r="C62" s="2"/>
      </tp>
      <tp t="s">
        <v>#N/A N/A</v>
        <stp/>
        <stp>BDH|9956199364985081653</stp>
        <tr r="O61" s="2"/>
      </tp>
      <tp t="s">
        <v>#N/A N/A</v>
        <stp/>
        <stp>BDH|9419241906703647560</stp>
        <tr r="Q37" s="2"/>
      </tp>
      <tp t="s">
        <v>#N/A N/A</v>
        <stp/>
        <stp>BDH|2453860136136661257</stp>
        <tr r="J62" s="2"/>
      </tp>
      <tp t="s">
        <v>#N/A N/A</v>
        <stp/>
        <stp>BDH|3931237533146951975</stp>
        <tr r="Q7" s="2"/>
      </tp>
      <tp t="s">
        <v>#N/A N/A</v>
        <stp/>
        <stp>BDH|2689343481400494400</stp>
        <tr r="N53" s="2"/>
      </tp>
      <tp t="s">
        <v>#N/A N/A</v>
        <stp/>
        <stp>BDH|6141258981929598875</stp>
        <tr r="W7" s="2"/>
      </tp>
      <tp t="s">
        <v>#N/A N/A</v>
        <stp/>
        <stp>BDH|6907253866698497797</stp>
        <tr r="Z28" s="2"/>
      </tp>
      <tp t="s">
        <v>#N/A N/A</v>
        <stp/>
        <stp>BDH|1300060625129576717</stp>
        <tr r="U29" s="2"/>
      </tp>
      <tp t="s">
        <v>#N/A N/A</v>
        <stp/>
        <stp>BDH|5610215311999280206</stp>
        <tr r="C43" s="2"/>
      </tp>
      <tp t="s">
        <v>#N/A N/A</v>
        <stp/>
        <stp>BDH|1139910613920388440</stp>
        <tr r="AF31" s="2"/>
      </tp>
      <tp t="s">
        <v>#N/A N/A</v>
        <stp/>
        <stp>BDH|6035842527545693419</stp>
        <tr r="P65" s="2"/>
      </tp>
      <tp t="s">
        <v>#N/A N/A</v>
        <stp/>
        <stp>BDH|6055255135589155354</stp>
        <tr r="C59" s="2"/>
      </tp>
      <tp t="s">
        <v>#N/A N/A</v>
        <stp/>
        <stp>BDH|1972491019240561991</stp>
        <tr r="AA33" s="2"/>
      </tp>
      <tp t="s">
        <v>#N/A N/A</v>
        <stp/>
        <stp>BDH|8881229042472929145</stp>
        <tr r="AB35" s="2"/>
      </tp>
      <tp t="s">
        <v>#N/A N/A</v>
        <stp/>
        <stp>BDH|4533859782301670819</stp>
        <tr r="N50" s="2"/>
      </tp>
      <tp t="s">
        <v>#N/A N/A</v>
        <stp/>
        <stp>BDH|7275520796142518460</stp>
        <tr r="Z33" s="2"/>
      </tp>
      <tp t="s">
        <v>#N/A N/A</v>
        <stp/>
        <stp>BDH|1671924602211682453</stp>
        <tr r="AE49" s="2"/>
      </tp>
      <tp t="s">
        <v>#N/A N/A</v>
        <stp/>
        <stp>BDH|4199747832025557877</stp>
        <tr r="AC14" s="2"/>
      </tp>
      <tp t="s">
        <v>#N/A N/A</v>
        <stp/>
        <stp>BDH|20582732265309350</stp>
        <tr r="T22" s="2"/>
      </tp>
      <tp t="s">
        <v>#N/A N/A</v>
        <stp/>
        <stp>BDH|9923288502247940208</stp>
        <tr r="V19" s="2"/>
      </tp>
      <tp t="s">
        <v>#N/A N/A</v>
        <stp/>
        <stp>BDH|8922598165302614791</stp>
        <tr r="D12" s="2"/>
      </tp>
      <tp t="s">
        <v>#N/A N/A</v>
        <stp/>
        <stp>BDH|4643348890201154192</stp>
        <tr r="O34" s="2"/>
      </tp>
      <tp t="s">
        <v>#N/A N/A</v>
        <stp/>
        <stp>BDH|9135243732464989247</stp>
        <tr r="D49" s="2"/>
      </tp>
      <tp t="s">
        <v>#N/A N/A</v>
        <stp/>
        <stp>BDH|9117383515352468728</stp>
        <tr r="K50" s="2"/>
      </tp>
      <tp t="s">
        <v>#N/A N/A</v>
        <stp/>
        <stp>BDH|6526981769980601784</stp>
        <tr r="AE18" s="2"/>
      </tp>
      <tp t="s">
        <v>#N/A N/A</v>
        <stp/>
        <stp>BDH|4003148851888612682</stp>
        <tr r="P16" s="2"/>
      </tp>
      <tp t="s">
        <v>#N/A N/A</v>
        <stp/>
        <stp>BDH|8417580893409474307</stp>
        <tr r="L7" s="2"/>
      </tp>
      <tp t="s">
        <v>#N/A N/A</v>
        <stp/>
        <stp>BDH|8185486837233550202</stp>
        <tr r="M64" s="2"/>
      </tp>
      <tp t="s">
        <v>#N/A N/A</v>
        <stp/>
        <stp>BDH|8770790001655444408</stp>
        <tr r="W60" s="2"/>
      </tp>
      <tp t="s">
        <v>#N/A N/A</v>
        <stp/>
        <stp>BDH|5890971270536121353</stp>
        <tr r="T43" s="2"/>
      </tp>
      <tp t="s">
        <v>#N/A N/A</v>
        <stp/>
        <stp>BDH|2490845708561702578</stp>
        <tr r="I18" s="2"/>
      </tp>
      <tp t="s">
        <v>#N/A N/A</v>
        <stp/>
        <stp>BDH|1772782521743436921</stp>
        <tr r="F43" s="2"/>
      </tp>
      <tp t="s">
        <v>#N/A N/A</v>
        <stp/>
        <stp>BDH|8968735404029459825</stp>
        <tr r="AC47" s="2"/>
      </tp>
      <tp t="s">
        <v>#N/A N/A</v>
        <stp/>
        <stp>BDH|6870408514279799439</stp>
        <tr r="K35" s="2"/>
      </tp>
      <tp t="s">
        <v>#N/A N/A</v>
        <stp/>
        <stp>BDH|9760773609937157705</stp>
        <tr r="V18" s="2"/>
      </tp>
      <tp t="s">
        <v>#N/A N/A</v>
        <stp/>
        <stp>BDH|5085659085953923603</stp>
        <tr r="AC19" s="2"/>
      </tp>
      <tp t="s">
        <v>#N/A N/A</v>
        <stp/>
        <stp>BDH|7629580834487468803</stp>
        <tr r="Q10" s="2"/>
      </tp>
      <tp t="s">
        <v>#N/A N/A</v>
        <stp/>
        <stp>BDH|3505979063450726284</stp>
        <tr r="J64" s="2"/>
      </tp>
      <tp t="s">
        <v>#N/A N/A</v>
        <stp/>
        <stp>BDH|2510912824364947379</stp>
        <tr r="L60" s="2"/>
      </tp>
      <tp t="s">
        <v>#N/A N/A</v>
        <stp/>
        <stp>BDH|2412705000992887935</stp>
        <tr r="AA44" s="2"/>
      </tp>
      <tp t="s">
        <v>#N/A N/A</v>
        <stp/>
        <stp>BDH|6191113580321965064</stp>
        <tr r="X65" s="2"/>
      </tp>
      <tp t="s">
        <v>#N/A N/A</v>
        <stp/>
        <stp>BDH|3820423389678753985</stp>
        <tr r="Y30" s="2"/>
      </tp>
      <tp t="s">
        <v>#N/A N/A</v>
        <stp/>
        <stp>BDH|9172539055811324695</stp>
        <tr r="F31" s="2"/>
      </tp>
      <tp t="s">
        <v>#N/A N/A</v>
        <stp/>
        <stp>BDH|5249786381185072166</stp>
        <tr r="D8" s="2"/>
      </tp>
      <tp t="s">
        <v>#N/A N/A</v>
        <stp/>
        <stp>BDH|7911820929063974095</stp>
        <tr r="E46" s="2"/>
      </tp>
      <tp t="s">
        <v>#N/A N/A</v>
        <stp/>
        <stp>BDH|4638436462159117147</stp>
        <tr r="G60" s="2"/>
      </tp>
      <tp t="s">
        <v>#N/A N/A</v>
        <stp/>
        <stp>BDH|6176835454630595516</stp>
        <tr r="K44" s="2"/>
      </tp>
      <tp t="s">
        <v>#N/A N/A</v>
        <stp/>
        <stp>BDH|6420963751756613266</stp>
        <tr r="T12" s="2"/>
      </tp>
      <tp t="s">
        <v>#N/A N/A</v>
        <stp/>
        <stp>BDH|1033069243689737217</stp>
        <tr r="AD26" s="2"/>
      </tp>
      <tp t="s">
        <v>#N/A N/A</v>
        <stp/>
        <stp>BDH|8916623372550131784</stp>
        <tr r="AD37" s="2"/>
      </tp>
      <tp t="s">
        <v>#N/A N/A</v>
        <stp/>
        <stp>BDH|3517363554052557936</stp>
        <tr r="N59" s="2"/>
      </tp>
      <tp t="s">
        <v>#N/A N/A</v>
        <stp/>
        <stp>BDH|8980352911445480183</stp>
        <tr r="M59" s="2"/>
      </tp>
      <tp t="s">
        <v>#N/A N/A</v>
        <stp/>
        <stp>BDH|2346020670013765875</stp>
        <tr r="AE45" s="2"/>
      </tp>
      <tp t="s">
        <v>#N/A N/A</v>
        <stp/>
        <stp>BDH|8051611395968710124</stp>
        <tr r="U50" s="2"/>
      </tp>
      <tp t="s">
        <v>#N/A N/A</v>
        <stp/>
        <stp>BDH|1149967228994659080</stp>
        <tr r="Z24" s="2"/>
      </tp>
      <tp t="s">
        <v>#N/A N/A</v>
        <stp/>
        <stp>BDH|3663242911608512602</stp>
        <tr r="E17" s="2"/>
      </tp>
      <tp t="s">
        <v>#N/A N/A</v>
        <stp/>
        <stp>BDH|7207167346658018441</stp>
        <tr r="N47" s="2"/>
      </tp>
      <tp t="s">
        <v>#N/A N/A</v>
        <stp/>
        <stp>BDH|5207508455939488259</stp>
        <tr r="AD32" s="2"/>
      </tp>
      <tp t="s">
        <v>#N/A N/A</v>
        <stp/>
        <stp>BDH|8625042271962126343</stp>
        <tr r="AD41" s="2"/>
      </tp>
      <tp t="s">
        <v>#N/A N/A</v>
        <stp/>
        <stp>BDH|3355039153819040142</stp>
        <tr r="P43" s="2"/>
      </tp>
      <tp t="s">
        <v>#N/A N/A</v>
        <stp/>
        <stp>BDH|8848420022760458084</stp>
        <tr r="D63" s="2"/>
      </tp>
      <tp t="s">
        <v>#N/A N/A</v>
        <stp/>
        <stp>BDH|4472959762552475727</stp>
        <tr r="Y36" s="2"/>
      </tp>
      <tp t="s">
        <v>#N/A N/A</v>
        <stp/>
        <stp>BDH|6301835742952724605</stp>
        <tr r="H65" s="2"/>
      </tp>
      <tp t="s">
        <v>#N/A N/A</v>
        <stp/>
        <stp>BDH|4145995677931961534</stp>
        <tr r="U47" s="2"/>
      </tp>
      <tp t="s">
        <v>#N/A N/A</v>
        <stp/>
        <stp>BDH|11474386018469770</stp>
        <tr r="AB49" s="2"/>
      </tp>
      <tp t="s">
        <v>#N/A N/A</v>
        <stp/>
        <stp>BDH|8272936707469853749</stp>
        <tr r="AE66" s="2"/>
      </tp>
      <tp t="s">
        <v>#N/A N/A</v>
        <stp/>
        <stp>BDH|9306911649939556257</stp>
        <tr r="F61" s="2"/>
      </tp>
      <tp t="s">
        <v>#N/A N/A</v>
        <stp/>
        <stp>BDH|5223116186526552584</stp>
        <tr r="AB24" s="2"/>
      </tp>
      <tp t="s">
        <v>#N/A N/A</v>
        <stp/>
        <stp>BDH|2033055519135125950</stp>
        <tr r="M62" s="2"/>
      </tp>
      <tp t="s">
        <v>#N/A N/A</v>
        <stp/>
        <stp>BDH|4803642046769015021</stp>
        <tr r="J63" s="2"/>
      </tp>
      <tp t="s">
        <v>#N/A N/A</v>
        <stp/>
        <stp>BDH|9893593240947884012</stp>
        <tr r="K51" s="2"/>
      </tp>
      <tp t="s">
        <v>#N/A N/A</v>
        <stp/>
        <stp>BDH|3155967804833263697</stp>
        <tr r="E67" s="2"/>
      </tp>
      <tp t="s">
        <v>#N/A N/A</v>
        <stp/>
        <stp>BDH|7076031892808911902</stp>
        <tr r="U16" s="2"/>
      </tp>
      <tp t="s">
        <v>#N/A N/A</v>
        <stp/>
        <stp>BDH|1623021069930021837</stp>
        <tr r="G51" s="2"/>
      </tp>
      <tp t="s">
        <v>#N/A N/A</v>
        <stp/>
        <stp>BDH|9976770843481617443</stp>
        <tr r="N33" s="2"/>
      </tp>
      <tp t="s">
        <v>#N/A N/A</v>
        <stp/>
        <stp>BDH|6888349363749120520</stp>
        <tr r="T27" s="2"/>
      </tp>
      <tp t="s">
        <v>#N/A N/A</v>
        <stp/>
        <stp>BDH|3370386204968640757</stp>
        <tr r="G30" s="2"/>
      </tp>
      <tp t="s">
        <v>#N/A N/A</v>
        <stp/>
        <stp>BDH|6568759529918379480</stp>
        <tr r="J47" s="2"/>
      </tp>
      <tp t="s">
        <v>#N/A N/A</v>
        <stp/>
        <stp>BDH|7280150054048867492</stp>
        <tr r="M31" s="2"/>
      </tp>
      <tp t="s">
        <v>#N/A N/A</v>
        <stp/>
        <stp>BDH|3985598585541132073</stp>
        <tr r="C24" s="2"/>
      </tp>
      <tp t="s">
        <v>#N/A N/A</v>
        <stp/>
        <stp>BDH|8412830685895621271</stp>
        <tr r="Z35" s="2"/>
      </tp>
      <tp t="s">
        <v>#N/A N/A</v>
        <stp/>
        <stp>BDH|4746178191194273700</stp>
        <tr r="V63" s="2"/>
      </tp>
      <tp t="s">
        <v>#N/A N/A</v>
        <stp/>
        <stp>BDH|3458683069768376460</stp>
        <tr r="Z36" s="2"/>
      </tp>
      <tp t="s">
        <v>#N/A N/A</v>
        <stp/>
        <stp>BDH|8971251605632159789</stp>
        <tr r="S13" s="2"/>
      </tp>
      <tp t="s">
        <v>#N/A N/A</v>
        <stp/>
        <stp>BDH|5771965042410763750</stp>
        <tr r="AB60" s="2"/>
      </tp>
      <tp t="s">
        <v>#N/A N/A</v>
        <stp/>
        <stp>BDH|2498866940362136327</stp>
        <tr r="Q59" s="2"/>
      </tp>
      <tp t="s">
        <v>#N/A N/A</v>
        <stp/>
        <stp>BDH|6906489533118648629</stp>
        <tr r="J50" s="2"/>
      </tp>
      <tp t="s">
        <v>#N/A N/A</v>
        <stp/>
        <stp>BDH|2368287583705946275</stp>
        <tr r="Z13" s="2"/>
      </tp>
      <tp t="s">
        <v>#N/A N/A</v>
        <stp/>
        <stp>BDH|8677637112968124802</stp>
        <tr r="C9" s="2"/>
      </tp>
      <tp t="s">
        <v>#N/A N/A</v>
        <stp/>
        <stp>BDH|8332778757001432408</stp>
        <tr r="AD45" s="2"/>
      </tp>
      <tp t="s">
        <v>#N/A N/A</v>
        <stp/>
        <stp>BDH|9684073830782084767</stp>
        <tr r="AF26" s="2"/>
      </tp>
      <tp t="s">
        <v>#N/A N/A</v>
        <stp/>
        <stp>BDH|8905771473430232782</stp>
        <tr r="D66" s="2"/>
      </tp>
      <tp t="s">
        <v>#N/A N/A</v>
        <stp/>
        <stp>BDH|5427971759413506588</stp>
        <tr r="AF46" s="2"/>
      </tp>
      <tp t="s">
        <v>#N/A N/A</v>
        <stp/>
        <stp>BDH|5297358353844650860</stp>
        <tr r="U61" s="2"/>
      </tp>
      <tp t="s">
        <v>#N/A N/A</v>
        <stp/>
        <stp>BDH|7552320662054882991</stp>
        <tr r="I66" s="2"/>
      </tp>
      <tp t="s">
        <v>#N/A N/A</v>
        <stp/>
        <stp>BDH|8236303662842758033</stp>
        <tr r="AB12" s="2"/>
      </tp>
      <tp t="s">
        <v>#N/A N/A</v>
        <stp/>
        <stp>BDH|9066508000141409219</stp>
        <tr r="N28" s="2"/>
      </tp>
      <tp t="s">
        <v>#N/A N/A</v>
        <stp/>
        <stp>BDH|6792969154220611290</stp>
        <tr r="O23" s="2"/>
      </tp>
      <tp t="s">
        <v>#N/A N/A</v>
        <stp/>
        <stp>BDH|1708692379971542989</stp>
        <tr r="K10" s="2"/>
      </tp>
      <tp t="s">
        <v>#N/A N/A</v>
        <stp/>
        <stp>BDH|3093362329422603832</stp>
        <tr r="E28" s="2"/>
      </tp>
      <tp t="s">
        <v>#N/A N/A</v>
        <stp/>
        <stp>BDH|5111854844127936638</stp>
        <tr r="AD28" s="2"/>
      </tp>
      <tp t="s">
        <v>#N/A N/A</v>
        <stp/>
        <stp>BDH|4989214317239286667</stp>
        <tr r="L28" s="2"/>
      </tp>
      <tp t="s">
        <v>#N/A N/A</v>
        <stp/>
        <stp>BDH|6203920621413369692</stp>
        <tr r="AB33" s="2"/>
      </tp>
      <tp t="s">
        <v>#N/A N/A</v>
        <stp/>
        <stp>BDH|7453924408754311254</stp>
        <tr r="AE14" s="2"/>
      </tp>
      <tp t="s">
        <v>#N/A N/A</v>
        <stp/>
        <stp>BDH|1880948262267104177</stp>
        <tr r="R31" s="2"/>
      </tp>
      <tp t="s">
        <v>#N/A N/A</v>
        <stp/>
        <stp>BDH|6532177959423322906</stp>
        <tr r="F49" s="2"/>
      </tp>
      <tp t="s">
        <v>#N/A N/A</v>
        <stp/>
        <stp>BDH|1453187695271637074</stp>
        <tr r="R16" s="2"/>
      </tp>
      <tp t="s">
        <v>#N/A N/A</v>
        <stp/>
        <stp>BDH|5049436899248205810</stp>
        <tr r="L30" s="2"/>
      </tp>
      <tp t="s">
        <v>#N/A N/A</v>
        <stp/>
        <stp>BDH|2925235161996289800</stp>
        <tr r="V59" s="2"/>
      </tp>
      <tp t="s">
        <v>#N/A N/A</v>
        <stp/>
        <stp>BDH|1869925407325762530</stp>
        <tr r="T9" s="2"/>
      </tp>
      <tp t="s">
        <v>#N/A N/A</v>
        <stp/>
        <stp>BDH|4975909650075154516</stp>
        <tr r="T55" s="2"/>
      </tp>
      <tp t="s">
        <v>#N/A N/A</v>
        <stp/>
        <stp>BDH|5640789640388687663</stp>
        <tr r="X32" s="2"/>
      </tp>
      <tp t="s">
        <v>#N/A N/A</v>
        <stp/>
        <stp>BDH|5574303698880132726</stp>
        <tr r="J45" s="2"/>
      </tp>
      <tp t="s">
        <v>#N/A N/A</v>
        <stp/>
        <stp>BDH|7910756682878959895</stp>
        <tr r="V43" s="2"/>
      </tp>
      <tp t="s">
        <v>#N/A N/A</v>
        <stp/>
        <stp>BDH|9774999139239963204</stp>
        <tr r="K27" s="2"/>
      </tp>
      <tp t="s">
        <v>#N/A N/A</v>
        <stp/>
        <stp>BDH|4805418716628127116</stp>
        <tr r="E11" s="2"/>
      </tp>
      <tp t="s">
        <v>#N/A N/A</v>
        <stp/>
        <stp>BDH|1023435694445985129</stp>
        <tr r="K62" s="2"/>
      </tp>
      <tp t="s">
        <v>#N/A N/A</v>
        <stp/>
        <stp>BDH|9018651928680778566</stp>
        <tr r="O59" s="2"/>
      </tp>
      <tp t="s">
        <v>#N/A N/A</v>
        <stp/>
        <stp>BDH|7131893873979207945</stp>
        <tr r="I12" s="2"/>
      </tp>
      <tp t="s">
        <v>#N/A N/A</v>
        <stp/>
        <stp>BDH|2342880508410178200</stp>
        <tr r="V62" s="2"/>
      </tp>
      <tp t="s">
        <v>#N/A N/A</v>
        <stp/>
        <stp>BDH|5221525311379241018</stp>
        <tr r="X23" s="2"/>
      </tp>
      <tp t="s">
        <v>#N/A N/A</v>
        <stp/>
        <stp>BDH|8810078276395869231</stp>
        <tr r="U31" s="2"/>
      </tp>
      <tp t="s">
        <v>#N/A N/A</v>
        <stp/>
        <stp>BDH|9063319502767625575</stp>
        <tr r="K11" s="2"/>
      </tp>
      <tp t="s">
        <v>#N/A N/A</v>
        <stp/>
        <stp>BDH|3046828742027755057</stp>
        <tr r="W36" s="2"/>
      </tp>
      <tp t="s">
        <v>#N/A N/A</v>
        <stp/>
        <stp>BDH|2670377560468517774</stp>
        <tr r="V14" s="2"/>
      </tp>
      <tp t="s">
        <v>#N/A N/A</v>
        <stp/>
        <stp>BDH|4264459184031198113</stp>
        <tr r="Z62" s="2"/>
      </tp>
      <tp t="s">
        <v>#N/A N/A</v>
        <stp/>
        <stp>BDH|6204694219461023814</stp>
        <tr r="S25" s="2"/>
      </tp>
      <tp t="s">
        <v>#N/A N/A</v>
        <stp/>
        <stp>BDH|8491729132342731636</stp>
        <tr r="T18" s="2"/>
      </tp>
      <tp t="s">
        <v>#N/A N/A</v>
        <stp/>
        <stp>BDH|2042932978020389486</stp>
        <tr r="C33" s="2"/>
      </tp>
      <tp t="s">
        <v>#N/A N/A</v>
        <stp/>
        <stp>BDH|5917639588482051125</stp>
        <tr r="D34" s="2"/>
      </tp>
      <tp t="s">
        <v>#N/A N/A</v>
        <stp/>
        <stp>BDH|8441263265551796504</stp>
        <tr r="AB23" s="2"/>
      </tp>
      <tp t="s">
        <v>#N/A N/A</v>
        <stp/>
        <stp>BDH|1997078576339957706</stp>
        <tr r="AB50" s="2"/>
      </tp>
      <tp t="s">
        <v>#N/A N/A</v>
        <stp/>
        <stp>BDH|9100022845895557026</stp>
        <tr r="R10" s="2"/>
      </tp>
      <tp t="s">
        <v>#N/A N/A</v>
        <stp/>
        <stp>BDH|2481854239337955679</stp>
        <tr r="C48" s="2"/>
      </tp>
      <tp t="s">
        <v>#N/A N/A</v>
        <stp/>
        <stp>BDH|1365427899205974176</stp>
        <tr r="Z12" s="2"/>
      </tp>
      <tp t="s">
        <v>#N/A N/A</v>
        <stp/>
        <stp>BDH|1655959623310617206</stp>
        <tr r="W26" s="2"/>
      </tp>
      <tp t="s">
        <v>#N/A N/A</v>
        <stp/>
        <stp>BDH|1489942162792352472</stp>
        <tr r="AC44" s="2"/>
      </tp>
      <tp t="s">
        <v>#N/A N/A</v>
        <stp/>
        <stp>BDH|8268225976064261129</stp>
        <tr r="AB48" s="2"/>
      </tp>
      <tp t="s">
        <v>#N/A N/A</v>
        <stp/>
        <stp>BDH|5189325190781355661</stp>
        <tr r="E59" s="2"/>
      </tp>
      <tp t="s">
        <v>#N/A N/A</v>
        <stp/>
        <stp>BDH|6412343655471327916</stp>
        <tr r="M16" s="2"/>
      </tp>
      <tp t="s">
        <v>#N/A N/A</v>
        <stp/>
        <stp>BDH|6665397909689751442</stp>
        <tr r="L32" s="2"/>
      </tp>
      <tp t="s">
        <v>#N/A N/A</v>
        <stp/>
        <stp>BDH|5972848342746361797</stp>
        <tr r="E32" s="2"/>
      </tp>
      <tp t="s">
        <v>#N/A N/A</v>
        <stp/>
        <stp>BDH|31918690884864197</stp>
        <tr r="P53" s="2"/>
      </tp>
      <tp t="s">
        <v>#N/A N/A</v>
        <stp/>
        <stp>BDH|72343975223174284</stp>
        <tr r="W42" s="2"/>
      </tp>
      <tp t="s">
        <v>#N/A N/A</v>
        <stp/>
        <stp>BDH|73139490634208986</stp>
        <tr r="T53" s="2"/>
      </tp>
      <tp t="s">
        <v>#N/A N/A</v>
        <stp/>
        <stp>BDH|7524454965665920960</stp>
        <tr r="N15" s="2"/>
      </tp>
      <tp t="s">
        <v>#N/A N/A</v>
        <stp/>
        <stp>BDH|1830326331929149101</stp>
        <tr r="J9" s="2"/>
      </tp>
      <tp t="s">
        <v>#N/A N/A</v>
        <stp/>
        <stp>BDH|5891908064834594723</stp>
        <tr r="H62" s="2"/>
      </tp>
      <tp t="s">
        <v>#N/A N/A</v>
        <stp/>
        <stp>BDH|9490183716129006919</stp>
        <tr r="V32" s="2"/>
      </tp>
      <tp t="s">
        <v>#N/A N/A</v>
        <stp/>
        <stp>BDH|8221513912894955136</stp>
        <tr r="J19" s="2"/>
      </tp>
      <tp t="s">
        <v>#N/A N/A</v>
        <stp/>
        <stp>BDH|3991269312748071158</stp>
        <tr r="N65" s="2"/>
      </tp>
      <tp t="s">
        <v>#N/A N/A</v>
        <stp/>
        <stp>BDH|8519791541687550512</stp>
        <tr r="F50" s="2"/>
      </tp>
      <tp t="s">
        <v>#N/A N/A</v>
        <stp/>
        <stp>BDH|2591619808364232975</stp>
        <tr r="AE43" s="2"/>
      </tp>
      <tp t="s">
        <v>#N/A N/A</v>
        <stp/>
        <stp>BDH|4790086143458012123</stp>
        <tr r="F30" s="2"/>
      </tp>
      <tp t="s">
        <v>#N/A N/A</v>
        <stp/>
        <stp>BDH|6910961017253315447</stp>
        <tr r="E29" s="2"/>
      </tp>
      <tp t="s">
        <v>#N/A N/A</v>
        <stp/>
        <stp>BDH|6155874669519063804</stp>
        <tr r="U26" s="2"/>
      </tp>
      <tp t="s">
        <v>#N/A N/A</v>
        <stp/>
        <stp>BDH|2428374982772833268</stp>
        <tr r="S55" s="2"/>
      </tp>
      <tp t="s">
        <v>#N/A N/A</v>
        <stp/>
        <stp>BDH|9278037858072038755</stp>
        <tr r="H15" s="2"/>
      </tp>
      <tp t="s">
        <v>#N/A N/A</v>
        <stp/>
        <stp>BDH|6600320549118612079</stp>
        <tr r="AB28" s="2"/>
      </tp>
      <tp t="s">
        <v>#N/A N/A</v>
        <stp/>
        <stp>BDH|6192570344078688690</stp>
        <tr r="C23" s="2"/>
      </tp>
      <tp t="s">
        <v>#N/A N/A</v>
        <stp/>
        <stp>BDH|4600891901050457577</stp>
        <tr r="AF41" s="2"/>
      </tp>
      <tp t="s">
        <v>#N/A N/A</v>
        <stp/>
        <stp>BDH|8818276575164518025</stp>
        <tr r="AE19" s="2"/>
      </tp>
      <tp t="s">
        <v>#N/A N/A</v>
        <stp/>
        <stp>BDH|8141408081914940948</stp>
        <tr r="T7" s="2"/>
      </tp>
      <tp t="s">
        <v>#N/A N/A</v>
        <stp/>
        <stp>BDH|6245180686445286334</stp>
        <tr r="I8" s="2"/>
      </tp>
      <tp t="s">
        <v>#N/A N/A</v>
        <stp/>
        <stp>BDH|4759523699841843060</stp>
        <tr r="I24" s="2"/>
      </tp>
      <tp t="s">
        <v>#N/A N/A</v>
        <stp/>
        <stp>BDH|6765602151919308570</stp>
        <tr r="P44" s="2"/>
      </tp>
      <tp t="s">
        <v>#N/A N/A</v>
        <stp/>
        <stp>BDH|5833612028261616949</stp>
        <tr r="AD25" s="2"/>
      </tp>
      <tp t="s">
        <v>#N/A N/A</v>
        <stp/>
        <stp>BDH|8421369632572308304</stp>
        <tr r="N24" s="2"/>
      </tp>
      <tp t="s">
        <v>#N/A N/A</v>
        <stp/>
        <stp>BDH|8115934709810157895</stp>
        <tr r="AE37" s="2"/>
      </tp>
      <tp t="s">
        <v>#N/A N/A</v>
        <stp/>
        <stp>BDH|7708989134647116390</stp>
        <tr r="N46" s="2"/>
      </tp>
      <tp t="s">
        <v>#N/A N/A</v>
        <stp/>
        <stp>BDH|6824155237678811527</stp>
        <tr r="S17" s="2"/>
      </tp>
      <tp t="s">
        <v>#N/A N/A</v>
        <stp/>
        <stp>BDH|3532421640508283259</stp>
        <tr r="M27" s="2"/>
      </tp>
      <tp t="s">
        <v>#N/A N/A</v>
        <stp/>
        <stp>BDH|3951310693095215592</stp>
        <tr r="C50" s="2"/>
      </tp>
      <tp t="s">
        <v>#N/A N/A</v>
        <stp/>
        <stp>BDH|8285754061777152777</stp>
        <tr r="M14" s="2"/>
      </tp>
      <tp t="s">
        <v>#N/A N/A</v>
        <stp/>
        <stp>BDH|7799342387952339779</stp>
        <tr r="AB55" s="2"/>
      </tp>
      <tp t="s">
        <v>#N/A N/A</v>
        <stp/>
        <stp>BDH|3613826010304536706</stp>
        <tr r="J27" s="2"/>
      </tp>
      <tp t="s">
        <v>#N/A N/A</v>
        <stp/>
        <stp>BDH|8756011167204820384</stp>
        <tr r="D59" s="2"/>
      </tp>
      <tp t="s">
        <v>#N/A N/A</v>
        <stp/>
        <stp>BDH|2533426164779115030</stp>
        <tr r="L34" s="2"/>
      </tp>
      <tp t="s">
        <v>#N/A N/A</v>
        <stp/>
        <stp>BDH|9607802312109595008</stp>
        <tr r="AC62" s="2"/>
      </tp>
      <tp t="s">
        <v>#N/A N/A</v>
        <stp/>
        <stp>BDH|9893801998964568540</stp>
        <tr r="AC60" s="2"/>
      </tp>
      <tp t="s">
        <v>#N/A N/A</v>
        <stp/>
        <stp>BDH|9297935192566416660</stp>
        <tr r="M45" s="2"/>
      </tp>
      <tp t="s">
        <v>#N/A N/A</v>
        <stp/>
        <stp>BDH|7576823181528363632</stp>
        <tr r="F35" s="2"/>
      </tp>
      <tp t="s">
        <v>#N/A N/A</v>
        <stp/>
        <stp>BDH|5077730276155545964</stp>
        <tr r="N10" s="2"/>
      </tp>
      <tp t="s">
        <v>#N/A N/A</v>
        <stp/>
        <stp>BDH|4579230831988171400</stp>
        <tr r="Y18" s="2"/>
      </tp>
      <tp t="s">
        <v>#N/A N/A</v>
        <stp/>
        <stp>BDH|2982071092560890229</stp>
        <tr r="N17" s="2"/>
      </tp>
      <tp t="s">
        <v>#N/A N/A</v>
        <stp/>
        <stp>BDH|6495588313348842307</stp>
        <tr r="N36" s="2"/>
      </tp>
      <tp t="s">
        <v>#N/A N/A</v>
        <stp/>
        <stp>BDH|1537958610456172661</stp>
        <tr r="AE28" s="2"/>
      </tp>
      <tp t="s">
        <v>#N/A N/A</v>
        <stp/>
        <stp>BDH|3613137109258282396</stp>
        <tr r="O62" s="2"/>
      </tp>
      <tp t="s">
        <v>#N/A N/A</v>
        <stp/>
        <stp>BDH|6038438082920703318</stp>
        <tr r="C47" s="2"/>
      </tp>
      <tp t="s">
        <v>#N/A N/A</v>
        <stp/>
        <stp>BDH|7302768291725124517</stp>
        <tr r="AE32" s="2"/>
      </tp>
      <tp t="s">
        <v>#N/A N/A</v>
        <stp/>
        <stp>BDH|2688250051904420829</stp>
        <tr r="L9" s="2"/>
      </tp>
      <tp t="s">
        <v>#N/A N/A</v>
        <stp/>
        <stp>BDH|4597717980586460440</stp>
        <tr r="V30" s="2"/>
      </tp>
      <tp t="s">
        <v>#N/A N/A</v>
        <stp/>
        <stp>BDH|1623137708548943115</stp>
        <tr r="F62" s="2"/>
      </tp>
      <tp t="s">
        <v>#N/A N/A</v>
        <stp/>
        <stp>BDH|6660504421160032825</stp>
        <tr r="H10" s="2"/>
      </tp>
      <tp t="s">
        <v>#N/A N/A</v>
        <stp/>
        <stp>BDH|7371829584208632668</stp>
        <tr r="AA34" s="2"/>
      </tp>
      <tp t="s">
        <v>#N/A N/A</v>
        <stp/>
        <stp>BDH|1970255464924576886</stp>
        <tr r="Q65" s="2"/>
      </tp>
      <tp t="s">
        <v>#N/A N/A</v>
        <stp/>
        <stp>BDH|6600822145799909924</stp>
        <tr r="N61" s="2"/>
      </tp>
      <tp t="s">
        <v>#N/A N/A</v>
        <stp/>
        <stp>BDH|6967329280594649379</stp>
        <tr r="AB62" s="2"/>
      </tp>
      <tp t="s">
        <v>#N/A N/A</v>
        <stp/>
        <stp>BDH|7978831291929428557</stp>
        <tr r="V38" s="2"/>
      </tp>
      <tp t="s">
        <v>#N/A N/A</v>
        <stp/>
        <stp>BDH|4013511812119920314</stp>
        <tr r="H63" s="2"/>
      </tp>
      <tp t="s">
        <v>#N/A N/A</v>
        <stp/>
        <stp>BDH|9631371774717822061</stp>
        <tr r="K55" s="2"/>
      </tp>
      <tp t="s">
        <v>#N/A N/A</v>
        <stp/>
        <stp>BDH|4685567990837365589</stp>
        <tr r="AB38" s="2"/>
      </tp>
      <tp t="s">
        <v>#N/A N/A</v>
        <stp/>
        <stp>BDH|7788250299512912490</stp>
        <tr r="Y49" s="2"/>
      </tp>
      <tp t="s">
        <v>#N/A N/A</v>
        <stp/>
        <stp>BDH|4192012734089862449</stp>
        <tr r="H31" s="2"/>
      </tp>
      <tp t="s">
        <v>#N/A N/A</v>
        <stp/>
        <stp>BDH|7556940359124159517</stp>
        <tr r="M26" s="2"/>
      </tp>
      <tp t="s">
        <v>#N/A N/A</v>
        <stp/>
        <stp>BDH|3826974046616091208</stp>
        <tr r="P46" s="2"/>
      </tp>
      <tp t="s">
        <v>#N/A N/A</v>
        <stp/>
        <stp>BDH|1447987909296953453</stp>
        <tr r="AB34" s="2"/>
      </tp>
      <tp t="s">
        <v>#N/A N/A</v>
        <stp/>
        <stp>BDH|9230305022326653481</stp>
        <tr r="C61" s="2"/>
      </tp>
      <tp t="s">
        <v>#N/A N/A</v>
        <stp/>
        <stp>BDH|6728943038556134044</stp>
        <tr r="C19" s="2"/>
      </tp>
      <tp t="s">
        <v>#N/A N/A</v>
        <stp/>
        <stp>BDH|6106526083762924374</stp>
        <tr r="T25" s="2"/>
      </tp>
      <tp t="s">
        <v>#N/A N/A</v>
        <stp/>
        <stp>BDH|7273574178239525671</stp>
        <tr r="I17" s="2"/>
      </tp>
      <tp t="s">
        <v>#N/A N/A</v>
        <stp/>
        <stp>BDH|2367668575010610994</stp>
        <tr r="P37" s="2"/>
      </tp>
      <tp t="s">
        <v>#N/A N/A</v>
        <stp/>
        <stp>BDH|9222223134557333588</stp>
        <tr r="J18" s="2"/>
      </tp>
      <tp t="s">
        <v>#N/A N/A</v>
        <stp/>
        <stp>BDH|9567322405616897654</stp>
        <tr r="J17" s="2"/>
      </tp>
      <tp t="s">
        <v>#N/A N/A</v>
        <stp/>
        <stp>BDH|5871835673709478903</stp>
        <tr r="I62" s="2"/>
      </tp>
      <tp t="s">
        <v>#N/A N/A</v>
        <stp/>
        <stp>BDH|9586897480051382231</stp>
        <tr r="J22" s="2"/>
      </tp>
      <tp t="s">
        <v>#N/A N/A</v>
        <stp/>
        <stp>BDH|7870131497581092405</stp>
        <tr r="AE47" s="2"/>
      </tp>
      <tp t="s">
        <v>#N/A N/A</v>
        <stp/>
        <stp>BDH|7662824533193903532</stp>
        <tr r="U24" s="2"/>
      </tp>
      <tp t="s">
        <v>#N/A N/A</v>
        <stp/>
        <stp>BDH|8856064314595133666</stp>
        <tr r="I48" s="2"/>
      </tp>
      <tp t="s">
        <v>#N/A N/A</v>
        <stp/>
        <stp>BDH|3558936148805752144</stp>
        <tr r="AB32" s="2"/>
      </tp>
      <tp t="s">
        <v>#N/A N/A</v>
        <stp/>
        <stp>BDH|9172177110976040549</stp>
        <tr r="AE48" s="2"/>
      </tp>
      <tp t="s">
        <v>#N/A N/A</v>
        <stp/>
        <stp>BDH|1876358218468683117</stp>
        <tr r="AD66" s="2"/>
      </tp>
      <tp t="s">
        <v>#N/A N/A</v>
        <stp/>
        <stp>BDH|2368550407669424475</stp>
        <tr r="G10" s="2"/>
      </tp>
      <tp t="s">
        <v>#N/A N/A</v>
        <stp/>
        <stp>BDH|6953832958271097004</stp>
        <tr r="Y23" s="2"/>
      </tp>
      <tp t="s">
        <v>#N/A N/A</v>
        <stp/>
        <stp>BDH|1371036045569076664</stp>
        <tr r="M24" s="2"/>
      </tp>
      <tp t="s">
        <v>#N/A N/A</v>
        <stp/>
        <stp>BDH|4444967770181929186</stp>
        <tr r="X67" s="2"/>
      </tp>
      <tp t="s">
        <v>#N/A N/A</v>
        <stp/>
        <stp>BDH|8025212706271436132</stp>
        <tr r="G22" s="2"/>
      </tp>
      <tp t="s">
        <v>#N/A N/A</v>
        <stp/>
        <stp>BDH|8596008840657206174</stp>
        <tr r="AF36" s="2"/>
      </tp>
      <tp t="s">
        <v>#N/A N/A</v>
        <stp/>
        <stp>BDH|6085132487710446502</stp>
        <tr r="R64" s="2"/>
      </tp>
      <tp t="s">
        <v>#N/A N/A</v>
        <stp/>
        <stp>BDH|5074142382285355358</stp>
        <tr r="C55" s="2"/>
      </tp>
      <tp t="s">
        <v>#N/A N/A</v>
        <stp/>
        <stp>BDH|5474929055042166125</stp>
        <tr r="E13" s="2"/>
      </tp>
      <tp t="s">
        <v>#N/A N/A</v>
        <stp/>
        <stp>BDH|7725765225649141142</stp>
        <tr r="Q14" s="2"/>
      </tp>
      <tp t="s">
        <v>#N/A N/A</v>
        <stp/>
        <stp>BDH|9890809797282790093</stp>
        <tr r="S47" s="2"/>
      </tp>
      <tp t="s">
        <v>#N/A N/A</v>
        <stp/>
        <stp>BDH|4234848237333659619</stp>
        <tr r="AB8" s="2"/>
      </tp>
      <tp t="s">
        <v>#N/A N/A</v>
        <stp/>
        <stp>BDH|8450696065023982173</stp>
        <tr r="K13" s="2"/>
      </tp>
      <tp t="s">
        <v>#N/A N/A</v>
        <stp/>
        <stp>BDH|1621841944870857784</stp>
        <tr r="P8" s="2"/>
      </tp>
      <tp t="s">
        <v>#N/A N/A</v>
        <stp/>
        <stp>BDH|9760552046865033721</stp>
        <tr r="U67" s="2"/>
      </tp>
      <tp t="s">
        <v>#N/A N/A</v>
        <stp/>
        <stp>BDH|1060972412122281107</stp>
        <tr r="N35" s="2"/>
      </tp>
      <tp t="s">
        <v>#N/A N/A</v>
        <stp/>
        <stp>BDH|4911295639929812663</stp>
        <tr r="Z27" s="2"/>
      </tp>
      <tp t="s">
        <v>#N/A N/A</v>
        <stp/>
        <stp>BDH|3403810107106532737</stp>
        <tr r="F29" s="2"/>
      </tp>
      <tp t="s">
        <v>#N/A N/A</v>
        <stp/>
        <stp>BDH|2294754786585781231</stp>
        <tr r="M19" s="2"/>
      </tp>
      <tp t="s">
        <v>#N/A N/A</v>
        <stp/>
        <stp>BDH|3293452096683572719</stp>
        <tr r="AF27" s="2"/>
      </tp>
      <tp t="s">
        <v>#N/A N/A</v>
        <stp/>
        <stp>BDH|1186701827647439971</stp>
        <tr r="AD9" s="2"/>
      </tp>
      <tp t="s">
        <v>#N/A N/A</v>
        <stp/>
        <stp>BDH|31568021714584452</stp>
        <tr r="R47" s="2"/>
      </tp>
      <tp t="s">
        <v>#N/A N/A</v>
        <stp/>
        <stp>BDH|48955422775533962</stp>
        <tr r="E30" s="2"/>
      </tp>
      <tp t="s">
        <v>#N/A N/A</v>
        <stp/>
        <stp>BDH|3592088897850483146</stp>
        <tr r="AC45" s="2"/>
      </tp>
      <tp t="s">
        <v>#N/A N/A</v>
        <stp/>
        <stp>BDH|1440865434257914659</stp>
        <tr r="AF50" s="2"/>
      </tp>
      <tp t="s">
        <v>#N/A N/A</v>
        <stp/>
        <stp>BDH|3395227393430096388</stp>
        <tr r="AF67" s="2"/>
      </tp>
      <tp t="s">
        <v>#N/A N/A</v>
        <stp/>
        <stp>BDH|3769323457317999913</stp>
        <tr r="AA27" s="2"/>
      </tp>
      <tp t="s">
        <v>#N/A N/A</v>
        <stp/>
        <stp>BDH|8881260664192088516</stp>
        <tr r="O18" s="2"/>
      </tp>
      <tp t="s">
        <v>#N/A N/A</v>
        <stp/>
        <stp>BDH|1540837769760784434</stp>
        <tr r="H32" s="2"/>
      </tp>
      <tp t="s">
        <v>#N/A N/A</v>
        <stp/>
        <stp>BDH|4235805731601880502</stp>
        <tr r="J41" s="2"/>
      </tp>
      <tp t="s">
        <v>#N/A N/A</v>
        <stp/>
        <stp>BDH|8290376119140037148</stp>
        <tr r="AC17" s="2"/>
      </tp>
      <tp t="s">
        <v>#N/A N/A</v>
        <stp/>
        <stp>BDH|9302560901913823444</stp>
        <tr r="E19" s="2"/>
      </tp>
      <tp t="s">
        <v>#N/A N/A</v>
        <stp/>
        <stp>BDH|8530331921211768397</stp>
        <tr r="V53" s="2"/>
      </tp>
      <tp t="s">
        <v>#N/A N/A</v>
        <stp/>
        <stp>BDH|7981624398753498097</stp>
        <tr r="P14" s="2"/>
      </tp>
      <tp t="s">
        <v>#N/A N/A</v>
        <stp/>
        <stp>BDH|9174144439487448767</stp>
        <tr r="W27" s="2"/>
      </tp>
      <tp t="s">
        <v>#N/A N/A</v>
        <stp/>
        <stp>BDH|1055914512092964041</stp>
        <tr r="O12" s="2"/>
      </tp>
      <tp t="s">
        <v>#N/A N/A</v>
        <stp/>
        <stp>BDH|5279255867839759396</stp>
        <tr r="N63" s="2"/>
      </tp>
      <tp t="s">
        <v>#N/A N/A</v>
        <stp/>
        <stp>BDH|2380351217169918261</stp>
        <tr r="V50" s="2"/>
      </tp>
      <tp t="s">
        <v>#N/A N/A</v>
        <stp/>
        <stp>BDH|9015462710697062095</stp>
        <tr r="AA7" s="2"/>
      </tp>
      <tp t="s">
        <v>#N/A N/A</v>
        <stp/>
        <stp>BDH|4877870862579103807</stp>
        <tr r="AB45" s="2"/>
      </tp>
      <tp t="s">
        <v>#N/A N/A</v>
        <stp/>
        <stp>BDH|2795701069249128130</stp>
        <tr r="N41" s="2"/>
      </tp>
      <tp t="s">
        <v>#N/A N/A</v>
        <stp/>
        <stp>BDH|3107253758357624874</stp>
        <tr r="N16" s="2"/>
      </tp>
      <tp t="s">
        <v>#N/A N/A</v>
        <stp/>
        <stp>BDH|4659727172638366770</stp>
        <tr r="H24" s="2"/>
      </tp>
      <tp t="s">
        <v>#N/A N/A</v>
        <stp/>
        <stp>BDH|4437210197601579559</stp>
        <tr r="AF28" s="2"/>
      </tp>
      <tp t="s">
        <v>#N/A N/A</v>
        <stp/>
        <stp>BDH|4717175282085891380</stp>
        <tr r="P55" s="2"/>
      </tp>
      <tp t="s">
        <v>#N/A N/A</v>
        <stp/>
        <stp>BDH|2029094519628024039</stp>
        <tr r="U46" s="2"/>
      </tp>
      <tp t="s">
        <v>#N/A N/A</v>
        <stp/>
        <stp>BDH|4114445088366469585</stp>
        <tr r="C16" s="2"/>
      </tp>
      <tp t="s">
        <v>#N/A N/A</v>
        <stp/>
        <stp>BDH|4150301444989414101</stp>
        <tr r="D47" s="2"/>
      </tp>
      <tp t="s">
        <v>#N/A N/A</v>
        <stp/>
        <stp>BDH|7427007235087507828</stp>
        <tr r="G35" s="2"/>
      </tp>
      <tp t="s">
        <v>#N/A N/A</v>
        <stp/>
        <stp>BDH|2023679326154077965</stp>
        <tr r="I46" s="2"/>
      </tp>
      <tp t="s">
        <v>#N/A N/A</v>
        <stp/>
        <stp>BDH|1089579436405297947</stp>
        <tr r="L47" s="2"/>
      </tp>
      <tp t="s">
        <v>#N/A N/A</v>
        <stp/>
        <stp>BDH|9104382892358947071</stp>
        <tr r="E42" s="2"/>
      </tp>
      <tp t="s">
        <v>#N/A N/A</v>
        <stp/>
        <stp>BDH|1849920574500351482</stp>
        <tr r="U30" s="2"/>
      </tp>
      <tp t="s">
        <v>#N/A N/A</v>
        <stp/>
        <stp>BDH|2253940053096580353</stp>
        <tr r="L24" s="2"/>
      </tp>
      <tp t="s">
        <v>#N/A N/A</v>
        <stp/>
        <stp>BDH|64710570790868609</stp>
        <tr r="H44" s="2"/>
      </tp>
      <tp t="s">
        <v>#N/A N/A</v>
        <stp/>
        <stp>BDH|7956187444324608299</stp>
        <tr r="U49" s="2"/>
      </tp>
      <tp t="s">
        <v>#N/A N/A</v>
        <stp/>
        <stp>BDH|3968763014469399825</stp>
        <tr r="F7" s="2"/>
      </tp>
      <tp t="s">
        <v>#N/A N/A</v>
        <stp/>
        <stp>BDH|5071564792904836964</stp>
        <tr r="AB65" s="2"/>
      </tp>
      <tp t="s">
        <v>#N/A N/A</v>
        <stp/>
        <stp>BDH|5140326219102576140</stp>
        <tr r="AA18" s="2"/>
      </tp>
      <tp t="s">
        <v>#N/A N/A</v>
        <stp/>
        <stp>BDH|9647545689581981195</stp>
        <tr r="AF14" s="2"/>
      </tp>
      <tp t="s">
        <v>#N/A N/A</v>
        <stp/>
        <stp>BDH|1177754569165038169</stp>
        <tr r="C46" s="2"/>
      </tp>
      <tp t="s">
        <v>#N/A N/A</v>
        <stp/>
        <stp>BDH|9728564460027994932</stp>
        <tr r="C42" s="2"/>
      </tp>
      <tp t="s">
        <v>#N/A N/A</v>
        <stp/>
        <stp>BDH|7024016619324774670</stp>
        <tr r="G16" s="2"/>
      </tp>
      <tp t="s">
        <v>#N/A N/A</v>
        <stp/>
        <stp>BDH|7905547621542363674</stp>
        <tr r="P7" s="2"/>
      </tp>
      <tp t="s">
        <v>#N/A N/A</v>
        <stp/>
        <stp>BDH|6856467462217261765</stp>
        <tr r="Q31" s="2"/>
      </tp>
      <tp t="s">
        <v>#N/A N/A</v>
        <stp/>
        <stp>BDH|1084894871392528852</stp>
        <tr r="M67" s="2"/>
      </tp>
      <tp t="s">
        <v>#N/A N/A</v>
        <stp/>
        <stp>BDH|1121814429698667767</stp>
        <tr r="AF7" s="2"/>
      </tp>
      <tp t="s">
        <v>#N/A N/A</v>
        <stp/>
        <stp>BDH|1087906307529936578</stp>
        <tr r="G32" s="2"/>
      </tp>
      <tp t="s">
        <v>#N/A N/A</v>
        <stp/>
        <stp>BDH|4290340840626644193</stp>
        <tr r="F66" s="2"/>
      </tp>
      <tp t="s">
        <v>#N/A N/A</v>
        <stp/>
        <stp>BDH|5188088045077536209</stp>
        <tr r="V15" s="2"/>
      </tp>
      <tp t="s">
        <v>#N/A N/A</v>
        <stp/>
        <stp>BDH|6124578089158307728</stp>
        <tr r="J30" s="2"/>
      </tp>
      <tp t="s">
        <v>#N/A N/A</v>
        <stp/>
        <stp>BDH|4498445769940176265</stp>
        <tr r="Y31" s="2"/>
      </tp>
      <tp t="s">
        <v>#N/A N/A</v>
        <stp/>
        <stp>BDH|4274111243626894362</stp>
        <tr r="AC30" s="2"/>
      </tp>
      <tp t="s">
        <v>#N/A N/A</v>
        <stp/>
        <stp>BDH|1198372528256534254</stp>
        <tr r="Y37" s="2"/>
      </tp>
      <tp t="s">
        <v>#N/A N/A</v>
        <stp/>
        <stp>BDH|3295998887142147424</stp>
        <tr r="X43" s="2"/>
      </tp>
      <tp t="s">
        <v>#N/A N/A</v>
        <stp/>
        <stp>BDH|8858828341760345075</stp>
        <tr r="Q22" s="2"/>
      </tp>
      <tp t="s">
        <v>#N/A N/A</v>
        <stp/>
        <stp>BDH|4446324677635983147</stp>
        <tr r="Y66" s="2"/>
      </tp>
      <tp t="s">
        <v>#N/A N/A</v>
        <stp/>
        <stp>BDH|1932546452731387419</stp>
        <tr r="AE27" s="2"/>
      </tp>
      <tp t="s">
        <v>#N/A N/A</v>
        <stp/>
        <stp>BDH|2944597170716555284</stp>
        <tr r="AE8" s="2"/>
      </tp>
      <tp t="s">
        <v>#N/A N/A</v>
        <stp/>
        <stp>BDH|6740062755457607006</stp>
        <tr r="F25" s="2"/>
      </tp>
      <tp t="s">
        <v>#N/A N/A</v>
        <stp/>
        <stp>BDH|9960541972879833658</stp>
        <tr r="Q63" s="2"/>
      </tp>
      <tp t="s">
        <v>#N/A N/A</v>
        <stp/>
        <stp>BDH|2965659804842892227</stp>
        <tr r="AC25" s="2"/>
      </tp>
      <tp t="s">
        <v>#N/A N/A</v>
        <stp/>
        <stp>BDH|1116372364893912380</stp>
        <tr r="X45" s="2"/>
      </tp>
      <tp t="s">
        <v>#N/A N/A</v>
        <stp/>
        <stp>BDH|1695150933402390535</stp>
        <tr r="R51" s="2"/>
      </tp>
      <tp t="s">
        <v>#N/A N/A</v>
        <stp/>
        <stp>BDH|4440517640932592307</stp>
        <tr r="D9" s="2"/>
      </tp>
      <tp t="s">
        <v>#N/A N/A</v>
        <stp/>
        <stp>BDH|9196564371698424725</stp>
        <tr r="V37" s="2"/>
      </tp>
      <tp t="s">
        <v>#N/A N/A</v>
        <stp/>
        <stp>BDH|1233689349871301613</stp>
        <tr r="AB7" s="2"/>
      </tp>
      <tp t="s">
        <v>#N/A N/A</v>
        <stp/>
        <stp>BDH|9816024140558254194</stp>
        <tr r="V41" s="2"/>
      </tp>
      <tp t="s">
        <v>#N/A N/A</v>
        <stp/>
        <stp>BDH|8351492991465277485</stp>
        <tr r="Z14" s="2"/>
      </tp>
      <tp t="s">
        <v>#N/A N/A</v>
        <stp/>
        <stp>BDH|5665423542977108666</stp>
        <tr r="S35" s="2"/>
      </tp>
      <tp t="s">
        <v>#N/A N/A</v>
        <stp/>
        <stp>BDH|3551949099901917609</stp>
        <tr r="L36" s="2"/>
      </tp>
      <tp t="s">
        <v>#N/A N/A</v>
        <stp/>
        <stp>BDH|5311509943899357955</stp>
        <tr r="S48" s="2"/>
      </tp>
      <tp t="s">
        <v>#N/A N/A</v>
        <stp/>
        <stp>BDH|4717672837525187008</stp>
        <tr r="U35" s="2"/>
      </tp>
      <tp t="s">
        <v>#N/A N/A</v>
        <stp/>
        <stp>BDH|4827121858881725530</stp>
        <tr r="I45" s="2"/>
      </tp>
      <tp t="s">
        <v>#N/A N/A</v>
        <stp/>
        <stp>BDH|8915548244649966464</stp>
        <tr r="AE44" s="2"/>
      </tp>
      <tp t="s">
        <v>#N/A N/A</v>
        <stp/>
        <stp>BDH|9258008072728044261</stp>
        <tr r="AA15" s="2"/>
      </tp>
      <tp t="s">
        <v>#N/A N/A</v>
        <stp/>
        <stp>BDH|3858228553171863165</stp>
        <tr r="K63" s="2"/>
      </tp>
      <tp t="s">
        <v>#N/A N/A</v>
        <stp/>
        <stp>BDH|1232016842185631436</stp>
        <tr r="O11" s="2"/>
      </tp>
      <tp t="s">
        <v>#N/A N/A</v>
        <stp/>
        <stp>BDH|9321640652286994889</stp>
        <tr r="R46" s="2"/>
      </tp>
      <tp t="s">
        <v>#N/A N/A</v>
        <stp/>
        <stp>BDH|7541674393804488817</stp>
        <tr r="G9" s="2"/>
      </tp>
      <tp t="s">
        <v>#N/A N/A</v>
        <stp/>
        <stp>BDH|4413298305372824046</stp>
        <tr r="H49" s="2"/>
      </tp>
      <tp t="s">
        <v>#N/A N/A</v>
        <stp/>
        <stp>BDH|94350186824376615</stp>
        <tr r="AC65" s="2"/>
      </tp>
      <tp t="s">
        <v>#N/A N/A</v>
        <stp/>
        <stp>BDH|1973803902038313424</stp>
        <tr r="S42" s="2"/>
      </tp>
      <tp t="s">
        <v>#N/A N/A</v>
        <stp/>
        <stp>BDH|5967845610761409833</stp>
        <tr r="AD17" s="2"/>
      </tp>
      <tp t="s">
        <v>#N/A N/A</v>
        <stp/>
        <stp>BDH|2999807826069369473</stp>
        <tr r="AF37" s="2"/>
      </tp>
      <tp t="s">
        <v>#N/A N/A</v>
        <stp/>
        <stp>BDH|4135645167450225195</stp>
        <tr r="O44" s="2"/>
      </tp>
      <tp t="s">
        <v>#N/A N/A</v>
        <stp/>
        <stp>BDH|7141621470770481397</stp>
        <tr r="W67" s="2"/>
      </tp>
      <tp t="s">
        <v>#N/A N/A</v>
        <stp/>
        <stp>BDH|9410931262144346798</stp>
        <tr r="I36" s="2"/>
      </tp>
      <tp t="s">
        <v>#N/A N/A</v>
        <stp/>
        <stp>BDH|9304943209806859391</stp>
        <tr r="C64" s="2"/>
      </tp>
      <tp t="s">
        <v>#N/A N/A</v>
        <stp/>
        <stp>BDH|2714891250533125909</stp>
        <tr r="F16" s="2"/>
      </tp>
      <tp t="s">
        <v>#N/A N/A</v>
        <stp/>
        <stp>BDH|1725269638871050450</stp>
        <tr r="K38" s="2"/>
      </tp>
      <tp t="s">
        <v>#N/A N/A</v>
        <stp/>
        <stp>BDH|5133518736576282080</stp>
        <tr r="AC18" s="2"/>
      </tp>
      <tp t="s">
        <v>#N/A N/A</v>
        <stp/>
        <stp>BDH|1618068785874023895</stp>
        <tr r="G44" s="2"/>
      </tp>
      <tp t="s">
        <v>#N/A N/A</v>
        <stp/>
        <stp>BDH|7680459362777584795</stp>
        <tr r="W18" s="2"/>
      </tp>
      <tp t="s">
        <v>#N/A N/A</v>
        <stp/>
        <stp>BDH|6670897194464572639</stp>
        <tr r="T65" s="2"/>
      </tp>
      <tp t="s">
        <v>#N/A N/A</v>
        <stp/>
        <stp>BDH|7512580830852548650</stp>
        <tr r="AF59" s="2"/>
      </tp>
      <tp t="s">
        <v>#N/A N/A</v>
        <stp/>
        <stp>BDH|7815342162610924755</stp>
        <tr r="V11" s="2"/>
      </tp>
      <tp t="s">
        <v>#N/A N/A</v>
        <stp/>
        <stp>BDH|4009471244919625871</stp>
        <tr r="J34" s="2"/>
      </tp>
      <tp t="s">
        <v>#N/A N/A</v>
        <stp/>
        <stp>BDH|7792358354077458308</stp>
        <tr r="R53" s="2"/>
      </tp>
      <tp t="s">
        <v>#N/A N/A</v>
        <stp/>
        <stp>BDH|9713771294912043063</stp>
        <tr r="W43" s="2"/>
      </tp>
      <tp t="s">
        <v>#N/A N/A</v>
        <stp/>
        <stp>BDH|6562501786717195910</stp>
        <tr r="R43" s="2"/>
      </tp>
      <tp t="s">
        <v>#N/A N/A</v>
        <stp/>
        <stp>BDH|7582434726515600169</stp>
        <tr r="D42" s="2"/>
      </tp>
      <tp t="s">
        <v>#N/A N/A</v>
        <stp/>
        <stp>BDH|2589728303266319661</stp>
        <tr r="N62" s="2"/>
      </tp>
      <tp t="s">
        <v>#N/A N/A</v>
        <stp/>
        <stp>BDH|6274459725365249010</stp>
        <tr r="Q13" s="2"/>
      </tp>
      <tp t="s">
        <v>#N/A N/A</v>
        <stp/>
        <stp>BDH|9969652395537013489</stp>
        <tr r="V29" s="2"/>
      </tp>
      <tp t="s">
        <v>#N/A N/A</v>
        <stp/>
        <stp>BDH|5300341128180982171</stp>
        <tr r="W28" s="2"/>
      </tp>
      <tp t="s">
        <v>#N/A N/A</v>
        <stp/>
        <stp>BDH|7602025432966671711</stp>
        <tr r="O25" s="2"/>
      </tp>
      <tp t="s">
        <v>#N/A N/A</v>
        <stp/>
        <stp>BDH|2098473117714861691</stp>
        <tr r="T36" s="2"/>
      </tp>
      <tp t="s">
        <v>#N/A N/A</v>
        <stp/>
        <stp>BDH|2930623689460404978</stp>
        <tr r="AB9" s="2"/>
      </tp>
      <tp t="s">
        <v>#N/A N/A</v>
        <stp/>
        <stp>BDH|6492274442162111711</stp>
        <tr r="AC38" s="2"/>
      </tp>
      <tp t="s">
        <v>#N/A N/A</v>
        <stp/>
        <stp>BDH|5008476475901260216</stp>
        <tr r="K66" s="2"/>
      </tp>
      <tp t="s">
        <v>#N/A N/A</v>
        <stp/>
        <stp>BDH|4056178961623556520</stp>
        <tr r="X7" s="2"/>
      </tp>
      <tp t="s">
        <v>#N/A N/A</v>
        <stp/>
        <stp>BDH|7426987222291163891</stp>
        <tr r="Y51" s="2"/>
      </tp>
      <tp t="s">
        <v>#N/A N/A</v>
        <stp/>
        <stp>BDH|1801807898652654703</stp>
        <tr r="C35" s="2"/>
      </tp>
      <tp t="s">
        <v>#N/A N/A</v>
        <stp/>
        <stp>BDH|2985891564560235906</stp>
        <tr r="L13" s="2"/>
      </tp>
      <tp t="s">
        <v>#N/A N/A</v>
        <stp/>
        <stp>BDH|2018075175620716038</stp>
        <tr r="H64" s="2"/>
      </tp>
      <tp t="s">
        <v>#N/A N/A</v>
        <stp/>
        <stp>BDH|7723361652337698333</stp>
        <tr r="S23" s="2"/>
      </tp>
      <tp t="s">
        <v>#N/A N/A</v>
        <stp/>
        <stp>BDH|6039056042495388224</stp>
        <tr r="L59" s="2"/>
      </tp>
      <tp t="s">
        <v>#N/A N/A</v>
        <stp/>
        <stp>BDH|7277102483569140272</stp>
        <tr r="U9" s="2"/>
      </tp>
      <tp t="s">
        <v>#N/A N/A</v>
        <stp/>
        <stp>BDH|4093213154700366612</stp>
        <tr r="AA14" s="2"/>
      </tp>
      <tp t="s">
        <v>#N/A N/A</v>
        <stp/>
        <stp>BDH|6425724517637182273</stp>
        <tr r="E62" s="2"/>
      </tp>
      <tp t="s">
        <v>#N/A N/A</v>
        <stp/>
        <stp>BDH|3572087680317816910</stp>
        <tr r="AA12" s="2"/>
      </tp>
      <tp t="s">
        <v>#N/A N/A</v>
        <stp/>
        <stp>BDH|3579043667277063727</stp>
        <tr r="D26" s="2"/>
      </tp>
      <tp t="s">
        <v>#N/A N/A</v>
        <stp/>
        <stp>BDH|6426881153287982924</stp>
        <tr r="G15" s="2"/>
      </tp>
      <tp t="s">
        <v>#N/A N/A</v>
        <stp/>
        <stp>BDH|6912077538122653256</stp>
        <tr r="AC26" s="2"/>
      </tp>
      <tp t="s">
        <v>#N/A N/A</v>
        <stp/>
        <stp>BDH|8359936132612538528</stp>
        <tr r="W11" s="2"/>
      </tp>
      <tp t="s">
        <v>#N/A N/A</v>
        <stp/>
        <stp>BDH|4596398250065569126</stp>
        <tr r="Q11" s="2"/>
      </tp>
      <tp t="s">
        <v>#N/A N/A</v>
        <stp/>
        <stp>BDH|6232001878377007012</stp>
        <tr r="G37" s="2"/>
      </tp>
      <tp t="s">
        <v>#N/A N/A</v>
        <stp/>
        <stp>BDH|5464707206330811414</stp>
        <tr r="X10" s="2"/>
      </tp>
      <tp t="s">
        <v>#N/A N/A</v>
        <stp/>
        <stp>BDH|6385319858477062114</stp>
        <tr r="Z11" s="2"/>
      </tp>
      <tp t="s">
        <v>#N/A N/A</v>
        <stp/>
        <stp>BDH|4987554810540328641</stp>
        <tr r="W8" s="2"/>
      </tp>
      <tp t="s">
        <v>#N/A N/A</v>
        <stp/>
        <stp>BDH|2338698864900484416</stp>
        <tr r="H41" s="2"/>
      </tp>
      <tp t="s">
        <v>#N/A N/A</v>
        <stp/>
        <stp>BDH|5330447511961562784</stp>
        <tr r="P38" s="2"/>
      </tp>
      <tp t="s">
        <v>#N/A N/A</v>
        <stp/>
        <stp>BDH|8566009797174946304</stp>
        <tr r="Q32" s="2"/>
      </tp>
      <tp t="s">
        <v>#N/A N/A</v>
        <stp/>
        <stp>BDH|6652549906186405388</stp>
        <tr r="O16" s="2"/>
      </tp>
      <tp t="s">
        <v>#N/A N/A</v>
        <stp/>
        <stp>BDH|3028072636811003795</stp>
        <tr r="W35" s="2"/>
      </tp>
      <tp t="s">
        <v>#N/A N/A</v>
        <stp/>
        <stp>BDH|7596037700878772983</stp>
        <tr r="AE61" s="2"/>
      </tp>
      <tp t="s">
        <v>#N/A N/A</v>
        <stp/>
        <stp>BDH|2275471101429322991</stp>
        <tr r="X19" s="2"/>
      </tp>
      <tp t="s">
        <v>#N/A N/A</v>
        <stp/>
        <stp>BDH|6221430147163958315</stp>
        <tr r="AD64" s="2"/>
      </tp>
      <tp t="s">
        <v>#N/A N/A</v>
        <stp/>
        <stp>BDH|9653259067618994331</stp>
        <tr r="AC48" s="2"/>
      </tp>
      <tp t="s">
        <v>#N/A N/A</v>
        <stp/>
        <stp>BDH|7017866868116218937</stp>
        <tr r="W29" s="2"/>
      </tp>
      <tp t="s">
        <v>#N/A N/A</v>
        <stp/>
        <stp>BDH|1958726303565479534</stp>
        <tr r="Z16" s="2"/>
      </tp>
      <tp t="s">
        <v>#N/A N/A</v>
        <stp/>
        <stp>BDH|6437100637867454589</stp>
        <tr r="I22" s="2"/>
      </tp>
      <tp t="s">
        <v>#N/A N/A</v>
        <stp/>
        <stp>BDH|4048676357517805671</stp>
        <tr r="G24" s="2"/>
      </tp>
      <tp t="s">
        <v>#N/A N/A</v>
        <stp/>
        <stp>BDH|2999733924077860695</stp>
        <tr r="G62" s="2"/>
      </tp>
      <tp t="s">
        <v>#N/A N/A</v>
        <stp/>
        <stp>BDH|6970128029912580186</stp>
        <tr r="N43" s="2"/>
      </tp>
      <tp t="s">
        <v>#N/A N/A</v>
        <stp/>
        <stp>BDH|9595131624309784595</stp>
        <tr r="K7" s="2"/>
      </tp>
      <tp t="s">
        <v>#N/A N/A</v>
        <stp/>
        <stp>BDH|7413673697987072986</stp>
        <tr r="R45" s="2"/>
      </tp>
      <tp t="s">
        <v>#N/A N/A</v>
        <stp/>
        <stp>BDH|5249459636843899751</stp>
        <tr r="X27" s="2"/>
      </tp>
      <tp t="s">
        <v>#N/A N/A</v>
        <stp/>
        <stp>BDH|2073853556519959074</stp>
        <tr r="U66" s="2"/>
      </tp>
      <tp t="s">
        <v>#N/A N/A</v>
        <stp/>
        <stp>BDH|4869033044510425661</stp>
        <tr r="R50" s="2"/>
      </tp>
      <tp t="s">
        <v>#N/A N/A</v>
        <stp/>
        <stp>BDH|9584384897297004273</stp>
        <tr r="P30" s="2"/>
      </tp>
      <tp t="s">
        <v>#N/A N/A</v>
        <stp/>
        <stp>BDH|8563844999877179842</stp>
        <tr r="H60" s="2"/>
      </tp>
      <tp t="s">
        <v>#N/A N/A</v>
        <stp/>
        <stp>BDH|5210686441210133186</stp>
        <tr r="R25" s="2"/>
      </tp>
      <tp t="s">
        <v>#N/A N/A</v>
        <stp/>
        <stp>BDH|3436917525129021724</stp>
        <tr r="J16" s="2"/>
      </tp>
      <tp t="s">
        <v>#N/A N/A</v>
        <stp/>
        <stp>BDH|4854845099382208159</stp>
        <tr r="C63" s="2"/>
      </tp>
      <tp t="s">
        <v>#N/A N/A</v>
        <stp/>
        <stp>BDH|9199349248518701088</stp>
        <tr r="U55" s="2"/>
      </tp>
      <tp t="s">
        <v>#N/A N/A</v>
        <stp/>
        <stp>BDH|4649714995698089402</stp>
        <tr r="Q41" s="2"/>
      </tp>
      <tp t="s">
        <v>#N/A N/A</v>
        <stp/>
        <stp>BDH|7293610840707491458</stp>
        <tr r="L27" s="2"/>
      </tp>
      <tp t="s">
        <v>#N/A N/A</v>
        <stp/>
        <stp>BDH|7645117031306769526</stp>
        <tr r="E22" s="2"/>
      </tp>
      <tp t="s">
        <v>#N/A N/A</v>
        <stp/>
        <stp>BDH|2802581483309410040</stp>
        <tr r="F47" s="2"/>
      </tp>
      <tp t="s">
        <v>#N/A N/A</v>
        <stp/>
        <stp>BDH|7202334357927614031</stp>
        <tr r="J43" s="2"/>
      </tp>
      <tp t="s">
        <v>#N/A N/A</v>
        <stp/>
        <stp>BDH|2263511073364792242</stp>
        <tr r="F18" s="2"/>
      </tp>
      <tp t="s">
        <v>#N/A N/A</v>
        <stp/>
        <stp>BDH|1412149941894448657</stp>
        <tr r="R60" s="2"/>
      </tp>
      <tp t="s">
        <v>#N/A N/A</v>
        <stp/>
        <stp>BDH|1298445825704477578</stp>
        <tr r="W34" s="2"/>
      </tp>
      <tp t="s">
        <v>#N/A N/A</v>
        <stp/>
        <stp>BDH|5592996299134775726</stp>
        <tr r="Z31" s="2"/>
      </tp>
      <tp t="s">
        <v>#N/A N/A</v>
        <stp/>
        <stp>BDH|4699353377286456014</stp>
        <tr r="X24" s="2"/>
      </tp>
      <tp t="s">
        <v>#N/A N/A</v>
        <stp/>
        <stp>BDH|8273930162586239708</stp>
        <tr r="AA65" s="2"/>
      </tp>
      <tp t="s">
        <v>#N/A N/A</v>
        <stp/>
        <stp>BDH|1652797437073625085</stp>
        <tr r="Z43" s="2"/>
      </tp>
      <tp t="s">
        <v>#N/A N/A</v>
        <stp/>
        <stp>BDH|7553529336132410539</stp>
        <tr r="Z25" s="2"/>
      </tp>
      <tp t="s">
        <v>#N/A N/A</v>
        <stp/>
        <stp>BDH|3370460645724687103</stp>
        <tr r="J33" s="2"/>
      </tp>
      <tp t="s">
        <v>#N/A N/A</v>
        <stp/>
        <stp>BDH|4532105005125336646</stp>
        <tr r="Y32" s="2"/>
      </tp>
      <tp t="s">
        <v>#N/A N/A</v>
        <stp/>
        <stp>BDH|6549883532202082988</stp>
        <tr r="I64" s="2"/>
      </tp>
      <tp t="s">
        <v>#N/A N/A</v>
        <stp/>
        <stp>BDH|5690090647835930254</stp>
        <tr r="R27" s="2"/>
      </tp>
      <tp t="s">
        <v>#N/A N/A</v>
        <stp/>
        <stp>BDH|2162173745071624018</stp>
        <tr r="T8" s="2"/>
      </tp>
      <tp t="s">
        <v>#N/A N/A</v>
        <stp/>
        <stp>BDH|5581116332812076333</stp>
        <tr r="H53" s="2"/>
      </tp>
      <tp t="s">
        <v>#N/A N/A</v>
        <stp/>
        <stp>BDH|4855979301298313385</stp>
        <tr r="V55" s="2"/>
      </tp>
      <tp t="s">
        <v>#N/A N/A</v>
        <stp/>
        <stp>BDH|6881770084957870869</stp>
        <tr r="L50" s="2"/>
      </tp>
      <tp t="s">
        <v>#N/A N/A</v>
        <stp/>
        <stp>BDH|8455109651262536852</stp>
        <tr r="C34" s="2"/>
      </tp>
      <tp t="s">
        <v>#N/A N/A</v>
        <stp/>
        <stp>BDH|69551994821171620</stp>
        <tr r="I27" s="2"/>
      </tp>
      <tp t="s">
        <v>#N/A N/A</v>
        <stp/>
        <stp>BDH|5634888597286492574</stp>
        <tr r="AE11" s="2"/>
      </tp>
      <tp t="s">
        <v>#N/A N/A</v>
        <stp/>
        <stp>BDH|7972609475797788616</stp>
        <tr r="D43" s="2"/>
      </tp>
      <tp t="s">
        <v>#N/A N/A</v>
        <stp/>
        <stp>BDH|8895357411384489929</stp>
        <tr r="L25" s="2"/>
      </tp>
      <tp t="s">
        <v>#N/A N/A</v>
        <stp/>
        <stp>BDH|9540023485397133198</stp>
        <tr r="P41" s="2"/>
      </tp>
      <tp t="s">
        <v>#N/A N/A</v>
        <stp/>
        <stp>BDH|3998670395259844284</stp>
        <tr r="AD50" s="2"/>
      </tp>
      <tp t="s">
        <v>#N/A N/A</v>
        <stp/>
        <stp>BDH|1995970747623655846</stp>
        <tr r="AC35" s="2"/>
      </tp>
      <tp t="s">
        <v>#N/A N/A</v>
        <stp/>
        <stp>BDH|2120573404613994330</stp>
        <tr r="F22" s="2"/>
      </tp>
      <tp t="s">
        <v>#N/A N/A</v>
        <stp/>
        <stp>BDH|3360839668439596348</stp>
        <tr r="W24" s="2"/>
      </tp>
      <tp t="s">
        <v>#N/A N/A</v>
        <stp/>
        <stp>BDH|1337118438487383376</stp>
        <tr r="S34" s="2"/>
      </tp>
      <tp t="s">
        <v>#N/A N/A</v>
        <stp/>
        <stp>BDH|3831963776482248844</stp>
        <tr r="X49" s="2"/>
      </tp>
      <tp t="s">
        <v>#N/A N/A</v>
        <stp/>
        <stp>BDH|2006568864317925152</stp>
        <tr r="I41" s="2"/>
      </tp>
      <tp t="s">
        <v>#N/A N/A</v>
        <stp/>
        <stp>BDH|2077242916467419193</stp>
        <tr r="R34" s="2"/>
      </tp>
      <tp t="s">
        <v>#N/A N/A</v>
        <stp/>
        <stp>BDH|5541435241227082582</stp>
        <tr r="I10" s="2"/>
      </tp>
      <tp t="s">
        <v>#N/A N/A</v>
        <stp/>
        <stp>BDH|4283348144076895251</stp>
        <tr r="R13" s="2"/>
      </tp>
      <tp t="s">
        <v>#N/A N/A</v>
        <stp/>
        <stp>BDH|7602936188964275504</stp>
        <tr r="E26" s="2"/>
      </tp>
      <tp t="s">
        <v>#N/A N/A</v>
        <stp/>
        <stp>BDH|9187760466479909672</stp>
        <tr r="D24" s="2"/>
      </tp>
      <tp t="s">
        <v>#N/A N/A</v>
        <stp/>
        <stp>BDH|6426432563434865702</stp>
        <tr r="I29" s="2"/>
      </tp>
      <tp t="s">
        <v>#N/A N/A</v>
        <stp/>
        <stp>BDH|2718262106602865538</stp>
        <tr r="I35" s="2"/>
      </tp>
      <tp t="s">
        <v>#N/A N/A</v>
        <stp/>
        <stp>BDH|9007401979438259563</stp>
        <tr r="T23" s="2"/>
      </tp>
      <tp t="s">
        <v>#N/A N/A</v>
        <stp/>
        <stp>BDH|8668935811344044390</stp>
        <tr r="AC24" s="2"/>
      </tp>
      <tp t="s">
        <v>#N/A N/A</v>
        <stp/>
        <stp>BDH|2822806650341511909</stp>
        <tr r="E12" s="2"/>
      </tp>
      <tp t="s">
        <v>#N/A N/A</v>
        <stp/>
        <stp>BDH|3059499140383302770</stp>
        <tr r="N18" s="2"/>
      </tp>
      <tp t="s">
        <v>#N/A N/A</v>
        <stp/>
        <stp>BDH|4415527023007062372</stp>
        <tr r="R8" s="2"/>
      </tp>
      <tp t="s">
        <v>#N/A N/A</v>
        <stp/>
        <stp>BDH|7963157321782610191</stp>
        <tr r="J15" s="2"/>
      </tp>
      <tp t="s">
        <v>#N/A N/A</v>
        <stp/>
        <stp>BDH|9546855370786601749</stp>
        <tr r="V26" s="2"/>
      </tp>
      <tp t="s">
        <v>#N/A N/A</v>
        <stp/>
        <stp>BDH|6796640449591047286</stp>
        <tr r="X50" s="2"/>
      </tp>
      <tp t="s">
        <v>#N/A N/A</v>
        <stp/>
        <stp>BDH|6143030902227232613</stp>
        <tr r="V44" s="2"/>
      </tp>
      <tp t="s">
        <v>#N/A N/A</v>
        <stp/>
        <stp>BDH|9793701214899615144</stp>
        <tr r="D11" s="2"/>
      </tp>
      <tp t="s">
        <v>#N/A N/A</v>
        <stp/>
        <stp>BDH|4986703565460952240</stp>
        <tr r="D67" s="2"/>
      </tp>
      <tp t="s">
        <v>#N/A N/A</v>
        <stp/>
        <stp>BDH|2024723905654188672</stp>
        <tr r="O10" s="2"/>
      </tp>
      <tp t="s">
        <v>#N/A N/A</v>
        <stp/>
        <stp>BDH|3726089949740689064</stp>
        <tr r="Y43" s="2"/>
      </tp>
      <tp t="s">
        <v>#N/A N/A</v>
        <stp/>
        <stp>BDH|5599248002187300762</stp>
        <tr r="W15" s="2"/>
      </tp>
      <tp t="s">
        <v>#N/A N/A</v>
        <stp/>
        <stp>BDH|2721538793441446854</stp>
        <tr r="L37" s="2"/>
      </tp>
      <tp t="s">
        <v>#N/A N/A</v>
        <stp/>
        <stp>BDH|4304604366065206632</stp>
        <tr r="R14" s="2"/>
      </tp>
      <tp t="s">
        <v>#N/A N/A</v>
        <stp/>
        <stp>BDH|2969247279905093513</stp>
        <tr r="Y26" s="2"/>
      </tp>
      <tp t="s">
        <v>#N/A N/A</v>
        <stp/>
        <stp>BDH|1740231601811209524</stp>
        <tr r="N66" s="2"/>
      </tp>
      <tp t="s">
        <v>#N/A N/A</v>
        <stp/>
        <stp>BDH|4119446743120594367</stp>
        <tr r="N55" s="2"/>
      </tp>
      <tp t="s">
        <v>#N/A N/A</v>
        <stp/>
        <stp>BDH|7575025905246589624</stp>
        <tr r="AE17" s="2"/>
      </tp>
      <tp t="s">
        <v>#N/A N/A</v>
        <stp/>
        <stp>BDH|9539194119959429742</stp>
        <tr r="N26" s="2"/>
      </tp>
      <tp t="s">
        <v>#N/A N/A</v>
        <stp/>
        <stp>BDH|4205433017455483489</stp>
        <tr r="D38" s="2"/>
      </tp>
      <tp t="s">
        <v>#N/A N/A</v>
        <stp/>
        <stp>BDH|7037027869250694177</stp>
        <tr r="H17" s="2"/>
      </tp>
      <tp t="s">
        <v>#N/A N/A</v>
        <stp/>
        <stp>BDH|1373516124080523682</stp>
        <tr r="P22" s="2"/>
      </tp>
      <tp t="s">
        <v>#N/A N/A</v>
        <stp/>
        <stp>BDH|9067858227274183783</stp>
        <tr r="O13" s="2"/>
      </tp>
      <tp t="s">
        <v>#N/A N/A</v>
        <stp/>
        <stp>BDH|7726680133923398148</stp>
        <tr r="T63" s="2"/>
      </tp>
      <tp t="s">
        <v>#N/A N/A</v>
        <stp/>
        <stp>BDH|2874955012682095840</stp>
        <tr r="Z8" s="2"/>
      </tp>
      <tp t="s">
        <v>#N/A N/A</v>
        <stp/>
        <stp>BDH|8339965258844060066</stp>
        <tr r="R32" s="2"/>
      </tp>
      <tp t="s">
        <v>#N/A N/A</v>
        <stp/>
        <stp>BDH|5944226363581226025</stp>
        <tr r="H13" s="2"/>
      </tp>
      <tp t="s">
        <v>#N/A N/A</v>
        <stp/>
        <stp>BDH|3736571569428460859</stp>
        <tr r="J38" s="2"/>
      </tp>
      <tp t="s">
        <v>#N/A N/A</v>
        <stp/>
        <stp>BDH|3575498237302660652</stp>
        <tr r="Y59" s="2"/>
      </tp>
      <tp t="s">
        <v>#N/A N/A</v>
        <stp/>
        <stp>BDH|5006463408221203050</stp>
        <tr r="J37" s="2"/>
      </tp>
      <tp t="s">
        <v>#N/A N/A</v>
        <stp/>
        <stp>BDH|2017576074193816326</stp>
        <tr r="AB63" s="2"/>
      </tp>
      <tp t="s">
        <v>#N/A N/A</v>
        <stp/>
        <stp>BDH|1520317559234719338</stp>
        <tr r="AF15" s="2"/>
      </tp>
      <tp t="s">
        <v>#N/A N/A</v>
        <stp/>
        <stp>BDH|2919284711154809563</stp>
        <tr r="S19" s="2"/>
      </tp>
      <tp t="s">
        <v>#N/A N/A</v>
        <stp/>
        <stp>BDH|2398684601625084148</stp>
        <tr r="Z47" s="2"/>
      </tp>
      <tp t="s">
        <v>#N/A N/A</v>
        <stp/>
        <stp>BDH|6151497563907418314</stp>
        <tr r="D28" s="2"/>
      </tp>
      <tp t="s">
        <v>#N/A N/A</v>
        <stp/>
        <stp>BDH|1050645871184263487</stp>
        <tr r="O15" s="2"/>
      </tp>
      <tp t="s">
        <v>#N/A N/A</v>
        <stp/>
        <stp>BDH|3880171275217794221</stp>
        <tr r="P11" s="2"/>
      </tp>
      <tp t="s">
        <v>#N/A N/A</v>
        <stp/>
        <stp>BDH|3837639202433776611</stp>
        <tr r="X33" s="2"/>
      </tp>
      <tp t="s">
        <v>#N/A N/A</v>
        <stp/>
        <stp>BDH|4411967184787834223</stp>
        <tr r="T62" s="2"/>
      </tp>
      <tp t="s">
        <v>#N/A N/A</v>
        <stp/>
        <stp>BDH|2813871524578044074</stp>
        <tr r="J7" s="2"/>
      </tp>
      <tp t="s">
        <v>#N/A N/A</v>
        <stp/>
        <stp>BDH|2573732427146438192</stp>
        <tr r="O49" s="2"/>
      </tp>
      <tp t="s">
        <v>#N/A N/A</v>
        <stp/>
        <stp>BDH|2463103706277752486</stp>
        <tr r="AE59" s="2"/>
      </tp>
      <tp t="s">
        <v>#N/A N/A</v>
        <stp/>
        <stp>BDH|4964640072246639340</stp>
        <tr r="D29" s="2"/>
      </tp>
      <tp t="s">
        <v>#N/A N/A</v>
        <stp/>
        <stp>BDH|8545396094891746326</stp>
        <tr r="U45" s="2"/>
      </tp>
      <tp t="s">
        <v>#N/A N/A</v>
        <stp/>
        <stp>BDH|1488204234718974846</stp>
        <tr r="Q29" s="2"/>
      </tp>
      <tp t="s">
        <v>#N/A N/A</v>
        <stp/>
        <stp>BDH|1668162571354894342</stp>
        <tr r="I59" s="2"/>
      </tp>
      <tp t="s">
        <v>#N/A N/A</v>
        <stp/>
        <stp>BDH|2035072947770063620</stp>
        <tr r="AC36" s="2"/>
      </tp>
      <tp t="s">
        <v>#N/A N/A</v>
        <stp/>
        <stp>BDH|9217624958853392990</stp>
        <tr r="M47" s="2"/>
      </tp>
      <tp t="s">
        <v>#N/A N/A</v>
        <stp/>
        <stp>BDH|3879210578470379603</stp>
        <tr r="K25" s="2"/>
      </tp>
      <tp t="s">
        <v>#N/A N/A</v>
        <stp/>
        <stp>BDH|6365578532915498509</stp>
        <tr r="AE62" s="2"/>
      </tp>
      <tp t="s">
        <v>#N/A N/A</v>
        <stp/>
        <stp>BDH|9234334310989522265</stp>
        <tr r="T11" s="2"/>
      </tp>
      <tp t="s">
        <v>#N/A N/A</v>
        <stp/>
        <stp>BDH|7027520970342563747</stp>
        <tr r="F46" s="2"/>
      </tp>
      <tp t="s">
        <v>#N/A N/A</v>
        <stp/>
        <stp>BDH|1660009011276674625</stp>
        <tr r="V66" s="2"/>
      </tp>
      <tp t="s">
        <v>#N/A N/A</v>
        <stp/>
        <stp>BDH|9513348197877593439</stp>
        <tr r="R12" s="2"/>
      </tp>
      <tp t="s">
        <v>#N/A N/A</v>
        <stp/>
        <stp>BDH|2026188582199284283</stp>
        <tr r="AE64" s="2"/>
      </tp>
      <tp t="s">
        <v>#N/A N/A</v>
        <stp/>
        <stp>BDH|7607371161303588159</stp>
        <tr r="AF35" s="2"/>
      </tp>
      <tp t="s">
        <v>#N/A N/A</v>
        <stp/>
        <stp>BDH|6984926435678781492</stp>
        <tr r="AF66" s="2"/>
      </tp>
      <tp t="s">
        <v>#N/A N/A</v>
        <stp/>
        <stp>BDH|8058545422517219855</stp>
        <tr r="L33" s="2"/>
      </tp>
      <tp t="s">
        <v>#N/A N/A</v>
        <stp/>
        <stp>BDH|5571579961686602049</stp>
        <tr r="R33" s="2"/>
      </tp>
      <tp t="s">
        <v>#N/A N/A</v>
        <stp/>
        <stp>BDH|2137135963925976098</stp>
        <tr r="AC61" s="2"/>
      </tp>
      <tp t="s">
        <v>#N/A N/A</v>
        <stp/>
        <stp>BDH|8364435495225153057</stp>
        <tr r="W30" s="2"/>
      </tp>
      <tp t="s">
        <v>#N/A N/A</v>
        <stp/>
        <stp>BDH|3984381909593800317</stp>
        <tr r="Z17" s="2"/>
      </tp>
      <tp t="s">
        <v>#N/A N/A</v>
        <stp/>
        <stp>BDH|4493420266932146408</stp>
        <tr r="N13" s="2"/>
      </tp>
      <tp t="s">
        <v>#N/A N/A</v>
        <stp/>
        <stp>BDH|1082220527820387177</stp>
        <tr r="R9" s="2"/>
      </tp>
      <tp t="s">
        <v>#N/A N/A</v>
        <stp/>
        <stp>BDH|9398406046281374801</stp>
        <tr r="U63" s="2"/>
      </tp>
      <tp t="s">
        <v>#N/A N/A</v>
        <stp/>
        <stp>BDH|7197642015240387047</stp>
        <tr r="F55" s="2"/>
      </tp>
      <tp t="s">
        <v>#N/A N/A</v>
        <stp/>
        <stp>BDH|7328258155374026442</stp>
        <tr r="F38" s="2"/>
      </tp>
      <tp t="s">
        <v>#N/A N/A</v>
        <stp/>
        <stp>BDH|5315650065340454508</stp>
        <tr r="U10" s="2"/>
      </tp>
      <tp t="s">
        <v>#N/A N/A</v>
        <stp/>
        <stp>BDH|8384070495003492218</stp>
        <tr r="Q27" s="2"/>
      </tp>
      <tp t="s">
        <v>#N/A N/A</v>
        <stp/>
        <stp>BDH|3553310741496616278</stp>
        <tr r="U32" s="2"/>
      </tp>
      <tp t="s">
        <v>#N/A N/A</v>
        <stp/>
        <stp>BDH|2401649834301554648</stp>
        <tr r="M50" s="2"/>
      </tp>
      <tp t="s">
        <v>#N/A N/A</v>
        <stp/>
        <stp>BDH|5112934643079567115</stp>
        <tr r="Q33" s="2"/>
      </tp>
      <tp t="s">
        <v>#N/A N/A</v>
        <stp/>
        <stp>BDH|9716732671000765979</stp>
        <tr r="P12" s="2"/>
      </tp>
      <tp t="s">
        <v>#N/A N/A</v>
        <stp/>
        <stp>BDH|77953106130682437</stp>
        <tr r="Q30" s="2"/>
      </tp>
      <tp t="s">
        <v>#N/A N/A</v>
        <stp/>
        <stp>BDH|47496997732194277</stp>
        <tr r="D7" s="2"/>
      </tp>
      <tp t="s">
        <v>#N/A N/A</v>
        <stp/>
        <stp>BDH|14982518356827309</stp>
        <tr r="AE10" s="2"/>
      </tp>
      <tp t="s">
        <v>#N/A N/A</v>
        <stp/>
        <stp>BDH|3066473529627594313</stp>
        <tr r="X8" s="2"/>
      </tp>
      <tp t="s">
        <v>#N/A N/A</v>
        <stp/>
        <stp>BDH|5625892299106977342</stp>
        <tr r="R44" s="2"/>
      </tp>
      <tp t="s">
        <v>#N/A N/A</v>
        <stp/>
        <stp>BDH|3828918587031016253</stp>
        <tr r="D44" s="2"/>
      </tp>
      <tp t="s">
        <v>#N/A N/A</v>
        <stp/>
        <stp>BDH|5670764926538436999</stp>
        <tr r="J29" s="2"/>
      </tp>
      <tp t="s">
        <v>#N/A N/A</v>
        <stp/>
        <stp>BDH|9614399394297680556</stp>
        <tr r="AF32" s="2"/>
      </tp>
      <tp t="s">
        <v>#N/A N/A</v>
        <stp/>
        <stp>BDH|5035153525066935114</stp>
        <tr r="AB37" s="2"/>
      </tp>
      <tp t="s">
        <v>#N/A N/A</v>
        <stp/>
        <stp>BDH|6494934849502358847</stp>
        <tr r="J49" s="2"/>
      </tp>
      <tp t="s">
        <v>#N/A N/A</v>
        <stp/>
        <stp>BDH|2747439478822394266</stp>
        <tr r="Y22" s="2"/>
      </tp>
      <tp t="s">
        <v>#N/A N/A</v>
        <stp/>
        <stp>BDH|3954299723327952534</stp>
        <tr r="F13" s="2"/>
      </tp>
      <tp t="s">
        <v>#N/A N/A</v>
        <stp/>
        <stp>BDH|6097132549303600128</stp>
        <tr r="R28" s="2"/>
      </tp>
      <tp t="s">
        <v>#N/A N/A</v>
        <stp/>
        <stp>BDH|7140119578777298743</stp>
        <tr r="D25" s="2"/>
      </tp>
      <tp t="s">
        <v>#N/A N/A</v>
        <stp/>
        <stp>BDH|1285213797549947238</stp>
        <tr r="P28" s="2"/>
      </tp>
      <tp t="s">
        <v>#N/A N/A</v>
        <stp/>
        <stp>BDH|4124310012793865449</stp>
        <tr r="AC27" s="2"/>
      </tp>
      <tp t="s">
        <v>#N/A N/A</v>
        <stp/>
        <stp>BDH|7619680557390480535</stp>
        <tr r="K33" s="2"/>
      </tp>
      <tp t="s">
        <v>#N/A N/A</v>
        <stp/>
        <stp>BDH|6356667623887806419</stp>
        <tr r="W48" s="2"/>
      </tp>
      <tp t="s">
        <v>#N/A N/A</v>
        <stp/>
        <stp>BDH|3869375024425512626</stp>
        <tr r="U38" s="2"/>
      </tp>
      <tp t="s">
        <v>#N/A N/A</v>
        <stp/>
        <stp>BDH|2363637699688229479</stp>
        <tr r="D22" s="2"/>
      </tp>
      <tp t="s">
        <v>#N/A N/A</v>
        <stp/>
        <stp>BDH|7017194610131563717</stp>
        <tr r="AC37" s="2"/>
      </tp>
      <tp t="s">
        <v>#N/A N/A</v>
        <stp/>
        <stp>BDH|5317967393234908023</stp>
        <tr r="AE46" s="2"/>
      </tp>
      <tp t="s">
        <v>#N/A N/A</v>
        <stp/>
        <stp>BDH|8650740958398482337</stp>
        <tr r="T35" s="2"/>
      </tp>
      <tp t="s">
        <v>#N/A N/A</v>
        <stp/>
        <stp>BDH|7979369115823324749</stp>
        <tr r="R65" s="2"/>
      </tp>
      <tp t="s">
        <v>#N/A N/A</v>
        <stp/>
        <stp>BDH|7929145470258857875</stp>
        <tr r="T45" s="2"/>
      </tp>
      <tp t="s">
        <v>#N/A N/A</v>
        <stp/>
        <stp>BDH|3284905696880464232</stp>
        <tr r="AA24" s="2"/>
      </tp>
      <tp t="s">
        <v>#N/A N/A</v>
        <stp/>
        <stp>BDH|6288527762831811594</stp>
        <tr r="O50" s="2"/>
      </tp>
      <tp t="s">
        <v>#N/A N/A</v>
        <stp/>
        <stp>BDH|1309440166570619243</stp>
        <tr r="Z15" s="2"/>
      </tp>
      <tp t="s">
        <v>#N/A N/A</v>
        <stp/>
        <stp>BDH|1959604279231809087</stp>
        <tr r="AF23" s="2"/>
      </tp>
      <tp t="s">
        <v>#N/A N/A</v>
        <stp/>
        <stp>BDH|6902165978285004467</stp>
        <tr r="P17" s="2"/>
      </tp>
      <tp t="s">
        <v>#N/A N/A</v>
        <stp/>
        <stp>BDH|5705453450864387107</stp>
        <tr r="F11" s="2"/>
      </tp>
      <tp t="s">
        <v>#N/A N/A</v>
        <stp/>
        <stp>BDH|6698604837807107518</stp>
        <tr r="X9" s="2"/>
      </tp>
      <tp t="s">
        <v>#N/A N/A</v>
        <stp/>
        <stp>BDH|5073613621765335555</stp>
        <tr r="AD49" s="2"/>
      </tp>
      <tp t="s">
        <v>#N/A N/A</v>
        <stp/>
        <stp>BDH|2007189617391163282</stp>
        <tr r="J55" s="2"/>
      </tp>
      <tp t="s">
        <v>#N/A N/A</v>
        <stp/>
        <stp>BDH|7953031134894997104</stp>
        <tr r="AE65" s="2"/>
      </tp>
      <tp t="s">
        <v>#N/A N/A</v>
        <stp/>
        <stp>BDH|5965142046930550197</stp>
        <tr r="Z48" s="2"/>
      </tp>
      <tp t="s">
        <v>#N/A N/A</v>
        <stp/>
        <stp>BDH|6594294926352690580</stp>
        <tr r="AA22" s="2"/>
      </tp>
      <tp t="s">
        <v>#N/A N/A</v>
        <stp/>
        <stp>BDH|1951036547060189480</stp>
        <tr r="C27" s="2"/>
      </tp>
      <tp t="s">
        <v>#N/A N/A</v>
        <stp/>
        <stp>BDH|4537349400500382669</stp>
        <tr r="W44" s="2"/>
      </tp>
      <tp t="s">
        <v>#N/A N/A</v>
        <stp/>
        <stp>BDH|4806410528470041340</stp>
        <tr r="P31" s="2"/>
      </tp>
      <tp t="s">
        <v>#N/A N/A</v>
        <stp/>
        <stp>BDH|9533153491123470302</stp>
        <tr r="X46" s="2"/>
      </tp>
      <tp t="s">
        <v>#N/A N/A</v>
        <stp/>
        <stp>BDH|1445617367583204352</stp>
        <tr r="AA47" s="2"/>
      </tp>
      <tp t="s">
        <v>#N/A N/A</v>
        <stp/>
        <stp>BDH|1604564774340005210</stp>
        <tr r="Y42" s="2"/>
      </tp>
      <tp t="s">
        <v>#N/A N/A</v>
        <stp/>
        <stp>BDH|1597106253917776349</stp>
        <tr r="AD22" s="2"/>
      </tp>
      <tp t="s">
        <v>#N/A N/A</v>
        <stp/>
        <stp>BDH|5855789165603062600</stp>
        <tr r="J26" s="2"/>
      </tp>
      <tp t="s">
        <v>#N/A N/A</v>
        <stp/>
        <stp>BDH|2889269281401921839</stp>
        <tr r="M29" s="2"/>
      </tp>
      <tp t="s">
        <v>#N/A N/A</v>
        <stp/>
        <stp>BDH|8882248051839777406</stp>
        <tr r="AC46" s="2"/>
      </tp>
      <tp t="s">
        <v>#N/A N/A</v>
        <stp/>
        <stp>BDH|9318601214338963449</stp>
        <tr r="M49" s="2"/>
      </tp>
      <tp t="s">
        <v>#N/A N/A</v>
        <stp/>
        <stp>BDH|2994700108211124683</stp>
        <tr r="H46" s="2"/>
      </tp>
      <tp t="s">
        <v>#N/A N/A</v>
        <stp/>
        <stp>BDH|1900020506495397661</stp>
        <tr r="S26" s="2"/>
      </tp>
      <tp t="s">
        <v>#N/A N/A</v>
        <stp/>
        <stp>BDH|2851376444645455267</stp>
        <tr r="R49" s="2"/>
      </tp>
      <tp t="s">
        <v>#N/A N/A</v>
        <stp/>
        <stp>BDH|3425698952810129205</stp>
        <tr r="AA19" s="2"/>
      </tp>
      <tp t="s">
        <v>#N/A N/A</v>
        <stp/>
        <stp>BDH|6977450928806994430</stp>
        <tr r="T51" s="2"/>
      </tp>
      <tp t="s">
        <v>#N/A N/A</v>
        <stp/>
        <stp>BDH|2958851315841760807</stp>
        <tr r="T49" s="2"/>
      </tp>
      <tp t="s">
        <v>#N/A N/A</v>
        <stp/>
        <stp>BDH|7232914985192951604</stp>
        <tr r="R19" s="2"/>
      </tp>
      <tp t="s">
        <v>#N/A N/A</v>
        <stp/>
        <stp>BDH|5972587354954303392</stp>
        <tr r="M18" s="2"/>
      </tp>
      <tp t="s">
        <v>#N/A N/A</v>
        <stp/>
        <stp>BDH|6015388500681203663</stp>
        <tr r="AD10" s="2"/>
      </tp>
      <tp t="s">
        <v>#N/A N/A</v>
        <stp/>
        <stp>BDH|6694312786958880755</stp>
        <tr r="S18" s="2"/>
      </tp>
      <tp t="s">
        <v>#N/A N/A</v>
        <stp/>
        <stp>BDH|7973745370874413149</stp>
        <tr r="O24" s="2"/>
      </tp>
      <tp t="s">
        <v>#N/A N/A</v>
        <stp/>
        <stp>BDH|1245688040112656316</stp>
        <tr r="W16" s="2"/>
      </tp>
      <tp t="s">
        <v>#N/A N/A</v>
        <stp/>
        <stp>BDH|1789877074669333558</stp>
        <tr r="S14" s="2"/>
      </tp>
      <tp t="s">
        <v>#N/A N/A</v>
        <stp/>
        <stp>BDH|4507130732905203140</stp>
        <tr r="M32" s="2"/>
      </tp>
      <tp t="s">
        <v>#N/A N/A</v>
        <stp/>
        <stp>BDH|4994367021481983658</stp>
        <tr r="D33" s="2"/>
      </tp>
      <tp t="s">
        <v>#N/A N/A</v>
        <stp/>
        <stp>BDH|9189684191502810627</stp>
        <tr r="Y67" s="2"/>
      </tp>
      <tp t="s">
        <v>#N/A N/A</v>
        <stp/>
        <stp>BDH|6697920571769180371</stp>
        <tr r="G41" s="2"/>
      </tp>
      <tp t="s">
        <v>#N/A N/A</v>
        <stp/>
        <stp>BDH|7756789728758258869</stp>
        <tr r="I26" s="2"/>
      </tp>
      <tp t="s">
        <v>#N/A N/A</v>
        <stp/>
        <stp>BDH|8377595296767808179</stp>
        <tr r="T46" s="2"/>
      </tp>
      <tp t="s">
        <v>#N/A N/A</v>
        <stp/>
        <stp>BDH|2993706795196494886</stp>
        <tr r="P51" s="2"/>
      </tp>
      <tp t="s">
        <v>#N/A N/A</v>
        <stp/>
        <stp>BDH|6541252361492158204</stp>
        <tr r="I15" s="2"/>
      </tp>
      <tp t="s">
        <v>#N/A N/A</v>
        <stp/>
        <stp>BDH|5049303033244558365</stp>
        <tr r="T66" s="2"/>
      </tp>
      <tp t="s">
        <v>#N/A N/A</v>
        <stp/>
        <stp>BDH|7896731511456349589</stp>
        <tr r="G47" s="2"/>
      </tp>
      <tp t="s">
        <v>#N/A N/A</v>
        <stp/>
        <stp>BDH|5896678596029941119</stp>
        <tr r="Y19" s="2"/>
      </tp>
      <tp t="s">
        <v>#N/A N/A</v>
        <stp/>
        <stp>BDH|1218349331287097412</stp>
        <tr r="P13" s="2"/>
      </tp>
      <tp t="s">
        <v>#N/A N/A</v>
        <stp/>
        <stp>BDH|9838951652781861616</stp>
        <tr r="O30" s="2"/>
      </tp>
      <tp t="s">
        <v>#N/A N/A</v>
        <stp/>
        <stp>BDH|1664233429063850030</stp>
        <tr r="D23" s="2"/>
      </tp>
      <tp t="s">
        <v>#N/A N/A</v>
        <stp/>
        <stp>BDH|6624538619266397681</stp>
        <tr r="D13" s="2"/>
      </tp>
      <tp t="s">
        <v>#N/A N/A</v>
        <stp/>
        <stp>BDH|1302919784577086518</stp>
        <tr r="O41" s="2"/>
      </tp>
      <tp t="s">
        <v>#N/A N/A</v>
        <stp/>
        <stp>BDH|5726095463364237588</stp>
        <tr r="Y62" s="2"/>
      </tp>
      <tp t="s">
        <v>#N/A N/A</v>
        <stp/>
        <stp>BDH|1710915769438827435</stp>
        <tr r="AE22" s="2"/>
      </tp>
      <tp t="s">
        <v>#N/A N/A</v>
        <stp/>
        <stp>BDH|1253684170896956471</stp>
        <tr r="D61" s="2"/>
      </tp>
      <tp t="s">
        <v>#N/A N/A</v>
        <stp/>
        <stp>BDH|6973515329845790632</stp>
        <tr r="AA38" s="2"/>
      </tp>
      <tp t="s">
        <v>#N/A N/A</v>
        <stp/>
        <stp>BDH|3505415453111603141</stp>
        <tr r="AD60" s="2"/>
      </tp>
      <tp t="s">
        <v>#N/A N/A</v>
        <stp/>
        <stp>BDH|9011570262039635166</stp>
        <tr r="S59" s="2"/>
      </tp>
      <tp t="s">
        <v>#N/A N/A</v>
        <stp/>
        <stp>BDH|3657341532264010559</stp>
        <tr r="X26" s="2"/>
      </tp>
      <tp t="s">
        <v>#N/A N/A</v>
        <stp/>
        <stp>BDH|92598929040910893</stp>
        <tr r="S11" s="2"/>
      </tp>
      <tp t="s">
        <v>#N/A N/A</v>
        <stp/>
        <stp>BDH|9759065777059539495</stp>
        <tr r="AC22" s="2"/>
      </tp>
      <tp t="s">
        <v>#N/A N/A</v>
        <stp/>
        <stp>BDH|5972009901814390211</stp>
        <tr r="G42" s="2"/>
      </tp>
      <tp t="s">
        <v>#N/A N/A</v>
        <stp/>
        <stp>BDH|5274788866410483736</stp>
        <tr r="I63" s="2"/>
      </tp>
      <tp t="s">
        <v>#N/A N/A</v>
        <stp/>
        <stp>BDH|8704073229731346819</stp>
        <tr r="Q44" s="2"/>
      </tp>
      <tp t="s">
        <v>#N/A N/A</v>
        <stp/>
        <stp>BDH|9069043463658421488</stp>
        <tr r="C14" s="2"/>
      </tp>
      <tp t="s">
        <v>#N/A N/A</v>
        <stp/>
        <stp>BDH|4753798704619199908</stp>
        <tr r="U36" s="2"/>
      </tp>
      <tp t="s">
        <v>#N/A N/A</v>
        <stp/>
        <stp>BDH|1630761893738257492</stp>
        <tr r="Z46" s="2"/>
      </tp>
      <tp t="s">
        <v>#N/A N/A</v>
        <stp/>
        <stp>BDH|2561750516215660292</stp>
        <tr r="AC55" s="2"/>
      </tp>
      <tp t="s">
        <v>#N/A N/A</v>
        <stp/>
        <stp>BDH|8957097775738462487</stp>
        <tr r="Z59" s="2"/>
      </tp>
      <tp t="s">
        <v>#N/A N/A</v>
        <stp/>
        <stp>BDH|7744781241585226259</stp>
        <tr r="AD43" s="2"/>
      </tp>
      <tp t="s">
        <v>#N/A N/A</v>
        <stp/>
        <stp>BDH|1820255536211513278</stp>
        <tr r="AF16" s="2"/>
      </tp>
      <tp t="s">
        <v>#N/A N/A</v>
        <stp/>
        <stp>BDH|4521275640377513690</stp>
        <tr r="Z51" s="2"/>
      </tp>
      <tp t="s">
        <v>#N/A N/A</v>
        <stp/>
        <stp>BDH|9509850440833970576</stp>
        <tr r="Q49" s="2"/>
      </tp>
      <tp t="s">
        <v>#N/A N/A</v>
        <stp/>
        <stp>BDH|8239961002921003381</stp>
        <tr r="AD18" s="2"/>
      </tp>
      <tp t="s">
        <v>#N/A N/A</v>
        <stp/>
        <stp>BDH|9956825547586487063</stp>
        <tr r="Q35" s="2"/>
      </tp>
      <tp t="s">
        <v>#N/A N/A</v>
        <stp/>
        <stp>BDH|6129055439087640142</stp>
        <tr r="T47" s="2"/>
      </tp>
      <tp t="s">
        <v>#N/A N/A</v>
        <stp/>
        <stp>BDH|4413670518032550214</stp>
        <tr r="P18" s="2"/>
      </tp>
      <tp t="s">
        <v>#N/A N/A</v>
        <stp/>
        <stp>BDH|4984689132522801043</stp>
        <tr r="M63" s="2"/>
      </tp>
      <tp t="s">
        <v>#N/A N/A</v>
        <stp/>
        <stp>BDH|1635032860741251589</stp>
        <tr r="T10" s="2"/>
      </tp>
      <tp t="s">
        <v>#N/A N/A</v>
        <stp/>
        <stp>BDH|2993623378585554596</stp>
        <tr r="X17" s="2"/>
      </tp>
      <tp t="s">
        <v>#N/A N/A</v>
        <stp/>
        <stp>BDH|4933671936261615323</stp>
        <tr r="F14" s="2"/>
      </tp>
      <tp t="s">
        <v>#N/A N/A</v>
        <stp/>
        <stp>BDH|5823221734892603547</stp>
        <tr r="K65" s="2"/>
      </tp>
      <tp t="s">
        <v>#N/A N/A</v>
        <stp/>
        <stp>BDH|3329111892561401995</stp>
        <tr r="D55" s="2"/>
      </tp>
      <tp t="s">
        <v>#N/A N/A</v>
        <stp/>
        <stp>BDH|2286391207801949386</stp>
        <tr r="AE38" s="2"/>
      </tp>
      <tp t="s">
        <v>#N/A N/A</v>
        <stp/>
        <stp>BDH|9364508196896874006</stp>
        <tr r="P33" s="2"/>
      </tp>
      <tp t="s">
        <v>#N/A N/A</v>
        <stp/>
        <stp>BDH|6210386661930770014</stp>
        <tr r="S31" s="2"/>
      </tp>
      <tp t="s">
        <v>#N/A N/A</v>
        <stp/>
        <stp>BDH|9622589415649863719</stp>
        <tr r="G19" s="2"/>
      </tp>
      <tp t="s">
        <v>#N/A N/A</v>
        <stp/>
        <stp>BDH|5537827076419529067</stp>
        <tr r="Q16" s="2"/>
      </tp>
      <tp t="s">
        <v>#N/A N/A</v>
        <stp/>
        <stp>BDH|6043209619857331181</stp>
        <tr r="Q23" s="2"/>
      </tp>
      <tp t="s">
        <v>#N/A N/A</v>
        <stp/>
        <stp>BDH|7593721337792513279</stp>
        <tr r="P62" s="2"/>
      </tp>
      <tp t="s">
        <v>#N/A N/A</v>
        <stp/>
        <stp>BDH|8908778001759874554</stp>
        <tr r="I38" s="2"/>
      </tp>
      <tp t="s">
        <v>#N/A N/A</v>
        <stp/>
        <stp>BDH|7511761227376101766</stp>
        <tr r="V49" s="2"/>
      </tp>
      <tp t="s">
        <v>#N/A N/A</v>
        <stp/>
        <stp>BDH|1771382404217905612</stp>
        <tr r="AA29" s="2"/>
      </tp>
      <tp t="s">
        <v>#N/A N/A</v>
        <stp/>
        <stp>BDH|2749375372632300723</stp>
        <tr r="Y50" s="2"/>
      </tp>
      <tp t="s">
        <v>#N/A N/A</v>
        <stp/>
        <stp>BDH|4209989288274580245</stp>
        <tr r="N51" s="2"/>
      </tp>
      <tp t="s">
        <v>#N/A N/A</v>
        <stp/>
        <stp>BDH|9118368657149244511</stp>
        <tr r="C66" s="2"/>
      </tp>
      <tp t="s">
        <v>#N/A N/A</v>
        <stp/>
        <stp>BDH|5769538681038367357</stp>
        <tr r="Y45" s="2"/>
      </tp>
      <tp t="s">
        <v>#N/A N/A</v>
        <stp/>
        <stp>BDH|7188246624210770455</stp>
        <tr r="X64" s="2"/>
      </tp>
      <tp t="s">
        <v>#N/A N/A</v>
        <stp/>
        <stp>BDH|7355677266664552071</stp>
        <tr r="U7" s="2"/>
      </tp>
      <tp t="s">
        <v>#N/A N/A</v>
        <stp/>
        <stp>BDH|3032754147955545678</stp>
        <tr r="AB18" s="2"/>
      </tp>
      <tp t="s">
        <v>#N/A N/A</v>
        <stp/>
        <stp>BDH|9256669895252294733</stp>
        <tr r="O7" s="2"/>
      </tp>
      <tp t="s">
        <v>#N/A N/A</v>
        <stp/>
        <stp>BDH|2579257363954070134</stp>
        <tr r="N67" s="2"/>
      </tp>
      <tp t="s">
        <v>#N/A N/A</v>
        <stp/>
        <stp>BDH|9502794888716072352</stp>
        <tr r="AC28" s="2"/>
      </tp>
      <tp t="s">
        <v>#N/A N/A</v>
        <stp/>
        <stp>BDH|1527519150881291376</stp>
        <tr r="E34" s="2"/>
      </tp>
      <tp t="s">
        <v>#N/A N/A</v>
        <stp/>
        <stp>BDH|7283472485268334025</stp>
        <tr r="G45" s="2"/>
      </tp>
      <tp t="s">
        <v>#N/A N/A</v>
        <stp/>
        <stp>BDH|9626951183172604900</stp>
        <tr r="M10" s="2"/>
      </tp>
      <tp t="s">
        <v>#N/A N/A</v>
        <stp/>
        <stp>BDH|8731121057649697628</stp>
        <tr r="R41" s="2"/>
      </tp>
      <tp t="s">
        <v>#N/A N/A</v>
        <stp/>
        <stp>BDH|7254468240503286707</stp>
        <tr r="AE41" s="2"/>
      </tp>
      <tp t="s">
        <v>#N/A N/A</v>
        <stp/>
        <stp>BDH|1714124120820318102</stp>
        <tr r="F48" s="2"/>
      </tp>
      <tp t="s">
        <v>#N/A N/A</v>
        <stp/>
        <stp>BDH|5963100709125625216</stp>
        <tr r="H36" s="2"/>
      </tp>
      <tp t="s">
        <v>#N/A N/A</v>
        <stp/>
        <stp>BDH|8712639499942334697</stp>
        <tr r="Q24" s="2"/>
      </tp>
      <tp t="s">
        <v>#N/A N/A</v>
        <stp/>
        <stp>BDH|9343820294373296809</stp>
        <tr r="R36" s="2"/>
      </tp>
      <tp t="s">
        <v>#N/A N/A</v>
        <stp/>
        <stp>BDH|5225348025667280062</stp>
        <tr r="AA31" s="2"/>
      </tp>
      <tp t="s">
        <v>#N/A N/A</v>
        <stp/>
        <stp>BDH|1415699828934217209</stp>
        <tr r="G53" s="2"/>
      </tp>
      <tp t="s">
        <v>#N/A N/A</v>
        <stp/>
        <stp>BDH|7319501140304327179</stp>
        <tr r="G8" s="2"/>
      </tp>
      <tp t="s">
        <v>#N/A N/A</v>
        <stp/>
        <stp>BDH|6541217662591537048</stp>
        <tr r="L53" s="2"/>
      </tp>
      <tp t="s">
        <v>#N/A N/A</v>
        <stp/>
        <stp>BDH|3371425611710155557</stp>
        <tr r="AB17" s="2"/>
      </tp>
      <tp t="s">
        <v>#N/A N/A</v>
        <stp/>
        <stp>BDH|2839377674262881779</stp>
        <tr r="K26" s="2"/>
      </tp>
      <tp t="s">
        <v>#N/A N/A</v>
        <stp/>
        <stp>BDH|7061990009998755533</stp>
        <tr r="S45" s="2"/>
      </tp>
      <tp t="s">
        <v>#N/A N/A</v>
        <stp/>
        <stp>BDH|6075504235707780460</stp>
        <tr r="G66" s="2"/>
      </tp>
      <tp t="s">
        <v>#N/A N/A</v>
        <stp/>
        <stp>BDH|2634245868715790088</stp>
        <tr r="AA26" s="2"/>
      </tp>
      <tp t="s">
        <v>#N/A N/A</v>
        <stp/>
        <stp>BDH|3597183509162016317</stp>
        <tr r="AC43" s="2"/>
      </tp>
      <tp t="s">
        <v>#N/A N/A</v>
        <stp/>
        <stp>BDH|601728618310741373</stp>
        <tr r="Z53" s="2"/>
      </tp>
      <tp t="s">
        <v>#N/A N/A</v>
        <stp/>
        <stp>BDH|122387058537576498</stp>
        <tr r="O14" s="2"/>
      </tp>
      <tp t="s">
        <v>#N/A N/A</v>
        <stp/>
        <stp>BDH|446753479614251140</stp>
        <tr r="AB36" s="2"/>
      </tp>
      <tp t="s">
        <v>#N/A N/A</v>
        <stp/>
        <stp>BDH|159483428085425628</stp>
        <tr r="M28" s="2"/>
      </tp>
      <tp t="s">
        <v>#N/A N/A</v>
        <stp/>
        <stp>BDH|916236638245376103</stp>
        <tr r="V33" s="2"/>
      </tp>
      <tp t="s">
        <v>#N/A N/A</v>
        <stp/>
        <stp>BDH|757800485106455375</stp>
        <tr r="G31" s="2"/>
      </tp>
      <tp t="s">
        <v>#N/A N/A</v>
        <stp/>
        <stp>BDH|363731708873735035</stp>
        <tr r="C51" s="2"/>
      </tp>
      <tp t="s">
        <v>#N/A N/A</v>
        <stp/>
        <stp>BDH|393094454146724744</stp>
        <tr r="U11" s="2"/>
      </tp>
      <tp t="s">
        <v>#N/A N/A</v>
        <stp/>
        <stp>BDH|246971388036992399</stp>
        <tr r="W64" s="2"/>
      </tp>
      <tp t="s">
        <v>#N/A N/A</v>
        <stp/>
        <stp>BDH|644213879940867128</stp>
        <tr r="R37" s="2"/>
      </tp>
      <tp t="s">
        <v>#N/A N/A</v>
        <stp/>
        <stp>BDH|504537311517134736</stp>
        <tr r="AB30" s="2"/>
      </tp>
      <tp t="s">
        <v>#N/A N/A</v>
        <stp/>
        <stp>BDH|947402152506888351</stp>
        <tr r="X59" s="2"/>
      </tp>
      <tp t="s">
        <v>#N/A N/A</v>
        <stp/>
        <stp>BDH|557165623194782317</stp>
        <tr r="AD53" s="2"/>
      </tp>
      <tp t="s">
        <v>#N/A N/A</v>
        <stp/>
        <stp>BDH|865242758527431470</stp>
        <tr r="E14" s="2"/>
      </tp>
      <tp t="s">
        <v>#N/A N/A</v>
        <stp/>
        <stp>BDH|223508647165089054</stp>
        <tr r="AC15" s="2"/>
      </tp>
      <tp t="s">
        <v>#N/A N/A</v>
        <stp/>
        <stp>BDH|433676051924333304</stp>
        <tr r="W17" s="2"/>
      </tp>
      <tp t="s">
        <v>#N/A N/A</v>
        <stp/>
        <stp>BDH|567976808708946526</stp>
        <tr r="D36" s="2"/>
      </tp>
      <tp t="s">
        <v>#N/A N/A</v>
        <stp/>
        <stp>BDH|587266257514370740</stp>
        <tr r="AF63" s="2"/>
      </tp>
      <tp t="s">
        <v>#N/A N/A</v>
        <stp/>
        <stp>BDH|133597345802888768</stp>
        <tr r="E66" s="2"/>
      </tp>
      <tp t="s">
        <v>#N/A N/A</v>
        <stp/>
        <stp>BDH|311293447286003708</stp>
        <tr r="AC23" s="2"/>
      </tp>
      <tp t="s">
        <v>#N/A N/A</v>
        <stp/>
        <stp>BDH|551087256352147077</stp>
        <tr r="E37" s="2"/>
      </tp>
      <tp t="s">
        <v>#N/A N/A</v>
        <stp/>
        <stp>BDH|718892412727515947</stp>
        <tr r="P60" s="2"/>
      </tp>
      <tp t="s">
        <v>#N/A N/A</v>
        <stp/>
        <stp>BDH|906979444723118937</stp>
        <tr r="AF22" s="2"/>
      </tp>
      <tp t="s">
        <v>#N/A N/A</v>
        <stp/>
        <stp>BDH|532488233551541136</stp>
        <tr r="S8" s="2"/>
      </tp>
      <tp t="s">
        <v>#N/A N/A</v>
        <stp/>
        <stp>BDH|428680142574359170</stp>
        <tr r="J46" s="2"/>
      </tp>
      <tp t="s">
        <v>#N/A N/A</v>
        <stp/>
        <stp>BDH|440791155517404298</stp>
        <tr r="AA30" s="2"/>
      </tp>
      <tp t="s">
        <v>#N/A N/A</v>
        <stp/>
        <stp>BDH|911560936667969608</stp>
        <tr r="E7" s="2"/>
      </tp>
      <tp t="s">
        <v>#N/A N/A</v>
        <stp/>
        <stp>BDH|669217712403529721</stp>
        <tr r="C7" s="2"/>
      </tp>
      <tp t="s">
        <v>#N/A N/A</v>
        <stp/>
        <stp>BDH|955239068804989656</stp>
        <tr r="AD59" s="2"/>
      </tp>
      <tp t="s">
        <v>#N/A N/A</v>
        <stp/>
        <stp>BDH|235294750268479963</stp>
        <tr r="O53" s="2"/>
      </tp>
      <tp t="s">
        <v>#N/A N/A</v>
        <stp/>
        <stp>BDH|613193904126689193</stp>
        <tr r="V25" s="2"/>
      </tp>
      <tp t="s">
        <v>#N/A N/A</v>
        <stp/>
        <stp>BDH|200939735874440860</stp>
        <tr r="Z61" s="2"/>
      </tp>
      <tp t="s">
        <v>#N/A N/A</v>
        <stp/>
        <stp>BDH|226729738586052379</stp>
        <tr r="P29" s="2"/>
      </tp>
      <tp t="s">
        <v>#N/A N/A</v>
        <stp/>
        <stp>BDH|481566286419421584</stp>
        <tr r="AB64" s="2"/>
      </tp>
      <tp t="s">
        <v>#N/A N/A</v>
        <stp/>
        <stp>BDH|381191012812952395</stp>
        <tr r="R38" s="2"/>
      </tp>
      <tp t="s">
        <v>#N/A N/A</v>
        <stp/>
        <stp>BDH|258497713130345482</stp>
        <tr r="AE30" s="2"/>
      </tp>
      <tp t="s">
        <v>#N/A N/A</v>
        <stp/>
        <stp>BDH|111995085007086636</stp>
        <tr r="T44" s="2"/>
      </tp>
      <tp t="s">
        <v>#N/A N/A</v>
        <stp/>
        <stp>BDH|770614371596141780</stp>
        <tr r="AF11" s="2"/>
      </tp>
      <tp t="s">
        <v>#N/A N/A</v>
        <stp/>
        <stp>BDH|426044053861859448</stp>
        <tr r="H27" s="2"/>
      </tp>
      <tp t="s">
        <v>#N/A N/A</v>
        <stp/>
        <stp>BDH|927176090521204953</stp>
        <tr r="V12" s="2"/>
      </tp>
      <tp t="s">
        <v>#N/A N/A</v>
        <stp/>
        <stp>BDH|122223007032316009</stp>
        <tr r="J13" s="2"/>
      </tp>
      <tp t="s">
        <v>#N/A N/A</v>
        <stp/>
        <stp>BDH|762374337716123617</stp>
        <tr r="L10" s="2"/>
      </tp>
      <tp t="s">
        <v>#N/A N/A</v>
        <stp/>
        <stp>BDH|862181400455591451</stp>
        <tr r="AE35" s="2"/>
      </tp>
      <tp t="s">
        <v>#N/A N/A</v>
        <stp/>
        <stp>BDH|959365292172986849</stp>
        <tr r="E50" s="2"/>
      </tp>
      <tp t="s">
        <v>#N/A N/A</v>
        <stp/>
        <stp>BDH|723140809511765312</stp>
        <tr r="T33" s="2"/>
      </tp>
      <tp t="s">
        <v>#N/A N/A</v>
        <stp/>
        <stp>BDH|541097927173229285</stp>
        <tr r="G14" s="2"/>
      </tp>
      <tp t="s">
        <v>#N/A N/A</v>
        <stp/>
        <stp>BDH|323271316022326223</stp>
        <tr r="F28" s="2"/>
      </tp>
      <tp t="s">
        <v>#N/A N/A</v>
        <stp/>
        <stp>BDH|534810156737906870</stp>
        <tr r="Q60" s="2"/>
      </tp>
      <tp t="s">
        <v>#N/A N/A</v>
        <stp/>
        <stp>BDH|510255623244436695</stp>
        <tr r="L51" s="2"/>
      </tp>
      <tp t="s">
        <v>#N/A N/A</v>
        <stp/>
        <stp>BDH|631128877587894350</stp>
        <tr r="I23" s="2"/>
      </tp>
      <tp t="s">
        <v>#N/A N/A</v>
        <stp/>
        <stp>BDH|425384141384005154</stp>
        <tr r="AF42" s="2"/>
      </tp>
      <tp t="s">
        <v>#N/A N/A</v>
        <stp/>
        <stp>BDH|322586407922715513</stp>
        <tr r="S27" s="2"/>
      </tp>
      <tp t="s">
        <v>#N/A N/A</v>
        <stp/>
        <stp>BDH|323186667303911600</stp>
        <tr r="R62" s="2"/>
      </tp>
      <tp t="s">
        <v>#N/A N/A</v>
        <stp/>
        <stp>BDH|491578717760099622</stp>
        <tr r="S30" s="2"/>
      </tp>
      <tp t="s">
        <v>#N/A N/A</v>
        <stp/>
        <stp>BDH|300411263208494828</stp>
        <tr r="AD30" s="2"/>
      </tp>
      <tp t="s">
        <v>#N/A N/A</v>
        <stp/>
        <stp>BDH|955322839526404457</stp>
        <tr r="L26" s="2"/>
      </tp>
      <tp t="s">
        <v>#N/A N/A</v>
        <stp/>
        <stp>BDH|391967741712779272</stp>
        <tr r="Z37" s="2"/>
      </tp>
      <tp t="s">
        <v>#N/A N/A</v>
        <stp/>
        <stp>BDH|177235029474313991</stp>
        <tr r="K64" s="2"/>
      </tp>
      <tp t="s">
        <v>#N/A N/A</v>
        <stp/>
        <stp>BDH|629968344878454993</stp>
        <tr r="S37" s="2"/>
      </tp>
      <tp t="s">
        <v>#N/A N/A</v>
        <stp/>
        <stp>BDH|491821491048988541</stp>
        <tr r="AF64" s="2"/>
      </tp>
      <tp t="s">
        <v>#N/A N/A</v>
        <stp/>
        <stp>BDH|618966264893118037</stp>
        <tr r="Z29" s="2"/>
      </tp>
      <tp t="s">
        <v>#N/A N/A</v>
        <stp/>
        <stp>BDH|306434192446125751</stp>
        <tr r="V51" s="2"/>
      </tp>
      <tp t="s">
        <v>#N/A N/A</v>
        <stp/>
        <stp>BDH|308366024936493893</stp>
        <tr r="Q62" s="2"/>
      </tp>
      <tp t="s">
        <v>#N/A N/A</v>
        <stp/>
        <stp>BDH|464952039947853243</stp>
        <tr r="AF30" s="2"/>
      </tp>
      <tp t="s">
        <v>#N/A N/A</v>
        <stp/>
        <stp>BDH|979713293119991845</stp>
        <tr r="Z38" s="2"/>
      </tp>
      <tp t="s">
        <v>#N/A N/A</v>
        <stp/>
        <stp>BDH|969419353137814949</stp>
        <tr r="K15" s="2"/>
      </tp>
      <tp t="s">
        <v>#N/A N/A</v>
        <stp/>
        <stp>BDH|327214762409961292</stp>
        <tr r="P24" s="2"/>
      </tp>
      <tp t="s">
        <v>#N/A N/A</v>
        <stp/>
        <stp>BDH|250452768954735852</stp>
        <tr r="G13" s="2"/>
      </tp>
      <tp t="s">
        <v>#N/A N/A</v>
        <stp/>
        <stp>BDH|624764401031978809</stp>
        <tr r="AF34" s="2"/>
      </tp>
      <tp t="s">
        <v>#N/A N/A</v>
        <stp/>
        <stp>BDH|123222871113055840</stp>
        <tr r="L64" s="2"/>
      </tp>
      <tp t="s">
        <v>#N/A N/A</v>
        <stp/>
        <stp>BDH|488575864494099975</stp>
        <tr r="E31" s="2"/>
      </tp>
      <tp t="s">
        <v>#N/A N/A</v>
        <stp/>
        <stp>BDH|599450948941734871</stp>
        <tr r="F8" s="2"/>
      </tp>
      <tp t="s">
        <v>#N/A N/A</v>
        <stp/>
        <stp>BDH|726350759008002700</stp>
        <tr r="E15" s="2"/>
      </tp>
      <tp t="s">
        <v>#N/A N/A</v>
        <stp/>
        <stp>BDH|585022827172413968</stp>
        <tr r="AA35" s="2"/>
      </tp>
      <tp t="s">
        <v>#N/A N/A</v>
        <stp/>
        <stp>BDH|518814658107498206</stp>
        <tr r="Z10" s="2"/>
      </tp>
      <tp t="s">
        <v>#N/A N/A</v>
        <stp/>
        <stp>BDH|800359196894281697</stp>
        <tr r="U37" s="2"/>
      </tp>
      <tp t="s">
        <v>#N/A N/A</v>
        <stp/>
        <stp>BDH|865107201930929927</stp>
        <tr r="J28" s="2"/>
      </tp>
      <tp t="s">
        <v>#N/A N/A</v>
        <stp/>
        <stp>BDH|498187895086087512</stp>
        <tr r="AD38" s="2"/>
      </tp>
      <tp t="s">
        <v>#N/A N/A</v>
        <stp/>
        <stp>BDH|337972154793502417</stp>
        <tr r="N31" s="2"/>
      </tp>
      <tp t="s">
        <v>#N/A N/A</v>
        <stp/>
        <stp>BDH|868434211669763608</stp>
        <tr r="W32" s="2"/>
      </tp>
      <tp t="s">
        <v>#N/A N/A</v>
        <stp/>
        <stp>BDH|344449598333389458</stp>
        <tr r="P63" s="2"/>
      </tp>
      <tp t="s">
        <v>#N/A N/A</v>
        <stp/>
        <stp>BDH|984651495996505391</stp>
        <tr r="F53" s="2"/>
      </tp>
      <tp t="s">
        <v>#N/A N/A</v>
        <stp/>
        <stp>BDH|729125914188695228</stp>
        <tr r="AA36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8"/>
  <sheetViews>
    <sheetView tabSelected="1" workbookViewId="0">
      <selection activeCell="A8" sqref="A8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65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x14ac:dyDescent="0.25">
      <c r="A7" s="10" t="s">
        <v>66</v>
      </c>
      <c r="B7" s="10" t="s">
        <v>67</v>
      </c>
      <c r="C7" s="12" cm="1">
        <f t="array" ref="C7">_xll.BDH("PH US Equity","CF_NET_INC","FQ1 2019","FQ1 2019","Currency=USD","Period=FQ","BEST_FPERIOD_OVERRIDE=FQ","FILING_STATUS=MR","SCALING_FORMAT=MLN","Sort=A","Dates=H","DateFormat=P","Fill=—","Direction=H","UseDPDF=Y")</f>
        <v>375.71100000000001</v>
      </c>
      <c r="D7" s="12" cm="1">
        <f t="array" ref="D7">_xll.BDH("PH US Equity","CF_NET_INC","FQ2 2019","FQ2 2019","Currency=USD","Period=FQ","BEST_FPERIOD_OVERRIDE=FQ","FILING_STATUS=MR","SCALING_FORMAT=MLN","Sort=A","Dates=H","DateFormat=P","Fill=—","Direction=H","UseDPDF=Y")</f>
        <v>311.73700000000002</v>
      </c>
      <c r="E7" s="12" cm="1">
        <f t="array" ref="E7">_xll.BDH("PH US Equity","CF_NET_INC","FQ3 2019","FQ3 2019","Currency=USD","Period=FQ","BEST_FPERIOD_OVERRIDE=FQ","FILING_STATUS=MR","SCALING_FORMAT=MLN","Sort=A","Dates=H","DateFormat=P","Fill=—","Direction=H","UseDPDF=Y")</f>
        <v>411.24799999999999</v>
      </c>
      <c r="F7" s="12" cm="1">
        <f t="array" ref="F7">_xll.BDH("PH US Equity","CF_NET_INC","FQ4 2019","FQ4 2019","Currency=USD","Period=FQ","BEST_FPERIOD_OVERRIDE=FQ","FILING_STATUS=MR","SCALING_FORMAT=MLN","Sort=A","Dates=H","DateFormat=P","Fill=—","Direction=H","UseDPDF=Y")</f>
        <v>413.66800000000001</v>
      </c>
      <c r="G7" s="12" cm="1">
        <f t="array" ref="G7">_xll.BDH("PH US Equity","CF_NET_INC","FQ1 2020","FQ1 2020","Currency=USD","Period=FQ","BEST_FPERIOD_OVERRIDE=FQ","FILING_STATUS=MR","SCALING_FORMAT=MLN","Sort=A","Dates=H","DateFormat=P","Fill=—","Direction=H","UseDPDF=Y")</f>
        <v>338.89800000000002</v>
      </c>
      <c r="H7" s="12" cm="1">
        <f t="array" ref="H7">_xll.BDH("PH US Equity","CF_NET_INC","FQ2 2020","FQ2 2020","Currency=USD","Period=FQ","BEST_FPERIOD_OVERRIDE=FQ","FILING_STATUS=MR","SCALING_FORMAT=MLN","Sort=A","Dates=H","DateFormat=P","Fill=—","Direction=H","UseDPDF=Y")</f>
        <v>204.47399999999999</v>
      </c>
      <c r="I7" s="12" cm="1">
        <f t="array" ref="I7">_xll.BDH("PH US Equity","CF_NET_INC","FQ3 2020","FQ3 2020","Currency=USD","Period=FQ","BEST_FPERIOD_OVERRIDE=FQ","FILING_STATUS=MR","SCALING_FORMAT=MLN","Sort=A","Dates=H","DateFormat=P","Fill=—","Direction=H","UseDPDF=Y")</f>
        <v>367.25299999999999</v>
      </c>
      <c r="J7" s="12" cm="1">
        <f t="array" ref="J7">_xll.BDH("PH US Equity","CF_NET_INC","FQ4 2020","FQ4 2020","Currency=USD","Period=FQ","BEST_FPERIOD_OVERRIDE=FQ","FILING_STATUS=MR","SCALING_FORMAT=MLN","Sort=A","Dates=H","DateFormat=P","Fill=—","Direction=H","UseDPDF=Y")</f>
        <v>289.49799999999999</v>
      </c>
      <c r="K7" s="12" cm="1">
        <f t="array" ref="K7">_xll.BDH("PH US Equity","CF_NET_INC","FQ1 2021","FQ1 2021","Currency=USD","Period=FQ","BEST_FPERIOD_OVERRIDE=FQ","FILING_STATUS=MR","SCALING_FORMAT=MLN","Sort=A","Dates=H","DateFormat=P","Fill=—","Direction=H","UseDPDF=Y")</f>
        <v>319.803</v>
      </c>
      <c r="L7" s="12" cm="1">
        <f t="array" ref="L7">_xll.BDH("PH US Equity","CF_NET_INC","FQ2 2021","FQ2 2021","Currency=USD","Period=FQ","BEST_FPERIOD_OVERRIDE=FQ","FILING_STATUS=MR","SCALING_FORMAT=MLN","Sort=A","Dates=H","DateFormat=P","Fill=—","Direction=H","UseDPDF=Y")</f>
        <v>448.351</v>
      </c>
      <c r="M7" s="12" cm="1">
        <f t="array" ref="M7">_xll.BDH("PH US Equity","CF_NET_INC","FQ3 2021","FQ3 2021","Currency=USD","Period=FQ","BEST_FPERIOD_OVERRIDE=FQ","FILING_STATUS=MR","SCALING_FORMAT=MLN","Sort=A","Dates=H","DateFormat=P","Fill=—","Direction=H","UseDPDF=Y")</f>
        <v>473.15300000000002</v>
      </c>
      <c r="N7" s="12" cm="1">
        <f t="array" ref="N7">_xll.BDH("PH US Equity","CF_NET_INC","FQ4 2021","FQ4 2021","Currency=USD","Period=FQ","BEST_FPERIOD_OVERRIDE=FQ","FILING_STATUS=MR","SCALING_FORMAT=MLN","Sort=A","Dates=H","DateFormat=P","Fill=—","Direction=H","UseDPDF=Y")</f>
        <v>504.79300000000001</v>
      </c>
      <c r="O7" s="12" cm="1">
        <f t="array" ref="O7">_xll.BDH("PH US Equity","CF_NET_INC","FQ1 2022","FQ1 2022","Currency=USD","Period=FQ","BEST_FPERIOD_OVERRIDE=FQ","FILING_STATUS=MR","SCALING_FORMAT=MLN","Sort=A","Dates=H","DateFormat=P","Fill=—","Direction=H","UseDPDF=Y")</f>
        <v>451.15699999999998</v>
      </c>
      <c r="P7" s="12" cm="1">
        <f t="array" ref="P7">_xll.BDH("PH US Equity","CF_NET_INC","FQ2 2022","FQ2 2022","Currency=USD","Period=FQ","BEST_FPERIOD_OVERRIDE=FQ","FILING_STATUS=MR","SCALING_FORMAT=MLN","Sort=A","Dates=H","DateFormat=P","Fill=—","Direction=H","UseDPDF=Y")</f>
        <v>387.6</v>
      </c>
      <c r="Q7" s="12" cm="1">
        <f t="array" ref="Q7">_xll.BDH("PH US Equity","CF_NET_INC","FQ3 2022","FQ3 2022","Currency=USD","Period=FQ","BEST_FPERIOD_OVERRIDE=FQ","FILING_STATUS=MR","SCALING_FORMAT=MLN","Sort=A","Dates=H","DateFormat=P","Fill=—","Direction=H","UseDPDF=Y")</f>
        <v>348.017</v>
      </c>
      <c r="R7" s="12" cm="1">
        <f t="array" ref="R7">_xll.BDH("PH US Equity","CF_NET_INC","FQ4 2022","FQ4 2022","Currency=USD","Period=FQ","BEST_FPERIOD_OVERRIDE=FQ","FILING_STATUS=MR","SCALING_FORMAT=MLN","Sort=A","Dates=H","DateFormat=P","Fill=—","Direction=H","UseDPDF=Y")</f>
        <v>128.83099999999999</v>
      </c>
      <c r="S7" s="12" cm="1">
        <f t="array" ref="S7">_xll.BDH("PH US Equity","CF_NET_INC","FQ1 2023","FQ1 2023","Currency=USD","Period=FQ","BEST_FPERIOD_OVERRIDE=FQ","FILING_STATUS=MR","SCALING_FORMAT=MLN","Sort=A","Dates=H","DateFormat=P","Fill=—","Direction=H","UseDPDF=Y")</f>
        <v>387.85399999999998</v>
      </c>
      <c r="T7" s="12" cm="1">
        <f t="array" ref="T7">_xll.BDH("PH US Equity","CF_NET_INC","FQ2 2023","FQ2 2023","Currency=USD","Period=FQ","BEST_FPERIOD_OVERRIDE=FQ","FILING_STATUS=MR","SCALING_FORMAT=MLN","Sort=A","Dates=H","DateFormat=P","Fill=—","Direction=H","UseDPDF=Y")</f>
        <v>395.23700000000002</v>
      </c>
      <c r="U7" s="12" cm="1">
        <f t="array" ref="U7">_xll.BDH("PH US Equity","CF_NET_INC","FQ3 2023","FQ3 2023","Currency=USD","Period=FQ","BEST_FPERIOD_OVERRIDE=FQ","FILING_STATUS=MR","SCALING_FORMAT=MLN","Sort=A","Dates=H","DateFormat=P","Fill=—","Direction=H","UseDPDF=Y")</f>
        <v>590.88900000000001</v>
      </c>
      <c r="V7" s="12" cm="1">
        <f t="array" ref="V7">_xll.BDH("PH US Equity","CF_NET_INC","FQ4 2023","FQ4 2023","Currency=USD","Period=FQ","BEST_FPERIOD_OVERRIDE=FQ","FILING_STATUS=MR","SCALING_FORMAT=MLN","Sort=A","Dates=H","DateFormat=P","Fill=—","Direction=H","UseDPDF=Y")</f>
        <v>708.95600000000002</v>
      </c>
      <c r="W7" s="12" cm="1">
        <f t="array" ref="W7">_xll.BDH("PH US Equity","CF_NET_INC","FQ1 2024","FQ1 2024","Currency=USD","Period=FQ","BEST_FPERIOD_OVERRIDE=FQ","FILING_STATUS=MR","SCALING_FORMAT=MLN","Sort=A","Dates=H","DateFormat=P","Fill=—","Direction=H","UseDPDF=Y")</f>
        <v>650.827</v>
      </c>
      <c r="X7" s="12" cm="1">
        <f t="array" ref="X7">_xll.BDH("PH US Equity","CF_NET_INC","FQ2 2024","FQ2 2024","Currency=USD","Period=FQ","BEST_FPERIOD_OVERRIDE=FQ","FILING_STATUS=MR","SCALING_FORMAT=MLN","Sort=A","Dates=H","DateFormat=P","Fill=—","Direction=H","UseDPDF=Y")</f>
        <v>681.851</v>
      </c>
      <c r="Y7" s="12" cm="1">
        <f t="array" ref="Y7">_xll.BDH("PH US Equity","CF_NET_INC","FQ3 2024","FQ3 2024","Currency=USD","Period=FQ","BEST_FPERIOD_OVERRIDE=FQ","FILING_STATUS=MR","SCALING_FORMAT=MLN","Sort=A","Dates=H","DateFormat=P","Fill=—","Direction=H","UseDPDF=Y")</f>
        <v>726.57399999999996</v>
      </c>
      <c r="Z7" s="12" cm="1">
        <f t="array" ref="Z7">_xll.BDH("PH US Equity","CF_NET_INC","FQ4 2024","FQ4 2024","Currency=USD","Period=FQ","BEST_FPERIOD_OVERRIDE=FQ","FILING_STATUS=MR","SCALING_FORMAT=MLN","Sort=A","Dates=H","DateFormat=P","Fill=—","Direction=H","UseDPDF=Y")</f>
        <v>784.96299999999997</v>
      </c>
      <c r="AA7" s="12" cm="1">
        <f t="array" ref="AA7">_xll.BDH("PH US Equity","CF_NET_INC","FQ1 2025","FQ1 2025","Currency=USD","Period=FQ","BEST_FPERIOD_OVERRIDE=FQ","FILING_STATUS=MR","SCALING_FORMAT=MLN","Sort=A","Dates=H","DateFormat=P","Fill=—","Direction=H","UseDPDF=Y")</f>
        <v>698.42</v>
      </c>
      <c r="AB7" s="12" cm="1">
        <f t="array" ref="AB7">_xll.BDH("PH US Equity","CF_NET_INC","FQ2 2025","FQ2 2025","Currency=USD","Period=FQ","BEST_FPERIOD_OVERRIDE=FQ","FILING_STATUS=MR","SCALING_FORMAT=MLN","Sort=A","Dates=H","DateFormat=P","Fill=—","Direction=H","UseDPDF=Y")</f>
        <v>948.54200000000003</v>
      </c>
      <c r="AC7" s="12" cm="1">
        <f t="array" ref="AC7">_xll.BDH("PH US Equity","CF_NET_INC","FQ3 2025","FQ3 2025","Currency=USD","Period=FQ","BEST_FPERIOD_OVERRIDE=FQ","FILING_STATUS=MR","SCALING_FORMAT=MLN","Sort=A","Dates=H","DateFormat=P","Fill=—","Direction=H","UseDPDF=Y")</f>
        <v>960.86599999999999</v>
      </c>
      <c r="AD7" s="12" cm="1">
        <f t="array" ref="AD7">_xll.BDH("PH US Equity","CF_NET_INC","FQ4 2025","FQ4 2025","Currency=USD","Period=FQ","BEST_FPERIOD_OVERRIDE=FQ","FILING_STATUS=MR","SCALING_FORMAT=MLN","Sort=A","Dates=H","DateFormat=P","Fill=—","Direction=H","UseDPDF=Y")</f>
        <v>923</v>
      </c>
      <c r="AE7" s="12" cm="1">
        <f t="array" ref="AE7">_xll.BDH("PH US Equity","CF_NET_INC","FQ1 2026","FQ1 2026","Currency=USD","Period=FQ","BEST_FPERIOD_OVERRIDE=FQ","FILING_STATUS=MR","SCALING_FORMAT=MLN","Sort=A","Dates=H","DateFormat=P","Fill=—","Direction=H","UseDPDF=Y")</f>
        <v>808</v>
      </c>
      <c r="AF7" s="12" cm="1">
        <f t="array" ref="AF7">_xll.BDH("PH US Equity","CF_NET_INC","FQ2 2026","FQ2 2026","Currency=USD","Period=FQ","BEST_FPERIOD_OVERRIDE=FQ","FILING_STATUS=MR","SCALING_FORMAT=MLN","Sort=A","Dates=H","DateFormat=P","Fill=—","Direction=H","UseDPDF=Y")</f>
        <v>845</v>
      </c>
    </row>
    <row r="8" spans="1:32" x14ac:dyDescent="0.25">
      <c r="A8" s="10" t="s">
        <v>68</v>
      </c>
      <c r="B8" s="10" t="s">
        <v>69</v>
      </c>
      <c r="C8" s="12" cm="1">
        <f t="array" ref="C8">_xll.BDH("PH US Equity","CF_DEPR_AMORT","FQ1 2019","FQ1 2019","Currency=USD","Period=FQ","BEST_FPERIOD_OVERRIDE=FQ","FILING_STATUS=MR","SCALING_FORMAT=MLN","Sort=A","Dates=H","DateFormat=P","Fill=—","Direction=H","UseDPDF=Y")</f>
        <v>112.491</v>
      </c>
      <c r="D8" s="12" cm="1">
        <f t="array" ref="D8">_xll.BDH("PH US Equity","CF_DEPR_AMORT","FQ2 2019","FQ2 2019","Currency=USD","Period=FQ","BEST_FPERIOD_OVERRIDE=FQ","FILING_STATUS=MR","SCALING_FORMAT=MLN","Sort=A","Dates=H","DateFormat=P","Fill=—","Direction=H","UseDPDF=Y")</f>
        <v>110.05200000000001</v>
      </c>
      <c r="E8" s="12" cm="1">
        <f t="array" ref="E8">_xll.BDH("PH US Equity","CF_DEPR_AMORT","FQ3 2019","FQ3 2019","Currency=USD","Period=FQ","BEST_FPERIOD_OVERRIDE=FQ","FILING_STATUS=MR","SCALING_FORMAT=MLN","Sort=A","Dates=H","DateFormat=P","Fill=—","Direction=H","UseDPDF=Y")</f>
        <v>108.258</v>
      </c>
      <c r="F8" s="12" cm="1">
        <f t="array" ref="F8">_xll.BDH("PH US Equity","CF_DEPR_AMORT","FQ4 2019","FQ4 2019","Currency=USD","Period=FQ","BEST_FPERIOD_OVERRIDE=FQ","FILING_STATUS=MR","SCALING_FORMAT=MLN","Sort=A","Dates=H","DateFormat=P","Fill=—","Direction=H","UseDPDF=Y")</f>
        <v>105.38800000000001</v>
      </c>
      <c r="G8" s="12" cm="1">
        <f t="array" ref="G8">_xll.BDH("PH US Equity","CF_DEPR_AMORT","FQ1 2020","FQ1 2020","Currency=USD","Period=FQ","BEST_FPERIOD_OVERRIDE=FQ","FILING_STATUS=MR","SCALING_FORMAT=MLN","Sort=A","Dates=H","DateFormat=P","Fill=—","Direction=H","UseDPDF=Y")</f>
        <v>109.071</v>
      </c>
      <c r="H8" s="12" cm="1">
        <f t="array" ref="H8">_xll.BDH("PH US Equity","CF_DEPR_AMORT","FQ2 2020","FQ2 2020","Currency=USD","Period=FQ","BEST_FPERIOD_OVERRIDE=FQ","FILING_STATUS=MR","SCALING_FORMAT=MLN","Sort=A","Dates=H","DateFormat=P","Fill=—","Direction=H","UseDPDF=Y")</f>
        <v>144.22900000000001</v>
      </c>
      <c r="I8" s="12" cm="1">
        <f t="array" ref="I8">_xll.BDH("PH US Equity","CF_DEPR_AMORT","FQ3 2020","FQ3 2020","Currency=USD","Period=FQ","BEST_FPERIOD_OVERRIDE=FQ","FILING_STATUS=MR","SCALING_FORMAT=MLN","Sort=A","Dates=H","DateFormat=P","Fill=—","Direction=H","UseDPDF=Y")</f>
        <v>137.649</v>
      </c>
      <c r="J8" s="12" cm="1">
        <f t="array" ref="J8">_xll.BDH("PH US Equity","CF_DEPR_AMORT","FQ4 2020","FQ4 2020","Currency=USD","Period=FQ","BEST_FPERIOD_OVERRIDE=FQ","FILING_STATUS=MR","SCALING_FORMAT=MLN","Sort=A","Dates=H","DateFormat=P","Fill=—","Direction=H","UseDPDF=Y")</f>
        <v>146.58199999999999</v>
      </c>
      <c r="K8" s="12" cm="1">
        <f t="array" ref="K8">_xll.BDH("PH US Equity","CF_DEPR_AMORT","FQ1 2021","FQ1 2021","Currency=USD","Period=FQ","BEST_FPERIOD_OVERRIDE=FQ","FILING_STATUS=MR","SCALING_FORMAT=MLN","Sort=A","Dates=H","DateFormat=P","Fill=—","Direction=H","UseDPDF=Y")</f>
        <v>148.44200000000001</v>
      </c>
      <c r="L8" s="12" cm="1">
        <f t="array" ref="L8">_xll.BDH("PH US Equity","CF_DEPR_AMORT","FQ2 2021","FQ2 2021","Currency=USD","Period=FQ","BEST_FPERIOD_OVERRIDE=FQ","FILING_STATUS=MR","SCALING_FORMAT=MLN","Sort=A","Dates=H","DateFormat=P","Fill=—","Direction=H","UseDPDF=Y")</f>
        <v>149.81800000000001</v>
      </c>
      <c r="M8" s="12" cm="1">
        <f t="array" ref="M8">_xll.BDH("PH US Equity","CF_DEPR_AMORT","FQ3 2021","FQ3 2021","Currency=USD","Period=FQ","BEST_FPERIOD_OVERRIDE=FQ","FILING_STATUS=MR","SCALING_FORMAT=MLN","Sort=A","Dates=H","DateFormat=P","Fill=—","Direction=H","UseDPDF=Y")</f>
        <v>150.548</v>
      </c>
      <c r="N8" s="12" cm="1">
        <f t="array" ref="N8">_xll.BDH("PH US Equity","CF_DEPR_AMORT","FQ4 2021","FQ4 2021","Currency=USD","Period=FQ","BEST_FPERIOD_OVERRIDE=FQ","FILING_STATUS=MR","SCALING_FORMAT=MLN","Sort=A","Dates=H","DateFormat=P","Fill=—","Direction=H","UseDPDF=Y")</f>
        <v>146.58199999999999</v>
      </c>
      <c r="O8" s="12" cm="1">
        <f t="array" ref="O8">_xll.BDH("PH US Equity","CF_DEPR_AMORT","FQ1 2022","FQ1 2022","Currency=USD","Period=FQ","BEST_FPERIOD_OVERRIDE=FQ","FILING_STATUS=MR","SCALING_FORMAT=MLN","Sort=A","Dates=H","DateFormat=P","Fill=—","Direction=H","UseDPDF=Y")</f>
        <v>145.52199999999999</v>
      </c>
      <c r="P8" s="12" cm="1">
        <f t="array" ref="P8">_xll.BDH("PH US Equity","CF_DEPR_AMORT","FQ2 2022","FQ2 2022","Currency=USD","Period=FQ","BEST_FPERIOD_OVERRIDE=FQ","FILING_STATUS=MR","SCALING_FORMAT=MLN","Sort=A","Dates=H","DateFormat=P","Fill=—","Direction=H","UseDPDF=Y")</f>
        <v>144.10300000000001</v>
      </c>
      <c r="Q8" s="12" cm="1">
        <f t="array" ref="Q8">_xll.BDH("PH US Equity","CF_DEPR_AMORT","FQ3 2022","FQ3 2022","Currency=USD","Period=FQ","BEST_FPERIOD_OVERRIDE=FQ","FILING_STATUS=MR","SCALING_FORMAT=MLN","Sort=A","Dates=H","DateFormat=P","Fill=—","Direction=H","UseDPDF=Y")</f>
        <v>142.697</v>
      </c>
      <c r="R8" s="12" cm="1">
        <f t="array" ref="R8">_xll.BDH("PH US Equity","CF_DEPR_AMORT","FQ4 2022","FQ4 2022","Currency=USD","Period=FQ","BEST_FPERIOD_OVERRIDE=FQ","FILING_STATUS=MR","SCALING_FORMAT=MLN","Sort=A","Dates=H","DateFormat=P","Fill=—","Direction=H","UseDPDF=Y")</f>
        <v>139.44200000000001</v>
      </c>
      <c r="S8" s="12" cm="1">
        <f t="array" ref="S8">_xll.BDH("PH US Equity","CF_DEPR_AMORT","FQ1 2023","FQ1 2023","Currency=USD","Period=FQ","BEST_FPERIOD_OVERRIDE=FQ","FILING_STATUS=MR","SCALING_FORMAT=MLN","Sort=A","Dates=H","DateFormat=P","Fill=—","Direction=H","UseDPDF=Y")</f>
        <v>153.98099999999999</v>
      </c>
      <c r="T8" s="12" cm="1">
        <f t="array" ref="T8">_xll.BDH("PH US Equity","CF_DEPR_AMORT","FQ2 2023","FQ2 2023","Currency=USD","Period=FQ","BEST_FPERIOD_OVERRIDE=FQ","FILING_STATUS=MR","SCALING_FORMAT=MLN","Sort=A","Dates=H","DateFormat=P","Fill=—","Direction=H","UseDPDF=Y")</f>
        <v>229.744</v>
      </c>
      <c r="U8" s="12" cm="1">
        <f t="array" ref="U8">_xll.BDH("PH US Equity","CF_DEPR_AMORT","FQ3 2023","FQ3 2023","Currency=USD","Period=FQ","BEST_FPERIOD_OVERRIDE=FQ","FILING_STATUS=MR","SCALING_FORMAT=MLN","Sort=A","Dates=H","DateFormat=P","Fill=—","Direction=H","UseDPDF=Y")</f>
        <v>225.34100000000001</v>
      </c>
      <c r="V8" s="12" cm="1">
        <f t="array" ref="V8">_xll.BDH("PH US Equity","CF_DEPR_AMORT","FQ4 2023","FQ4 2023","Currency=USD","Period=FQ","BEST_FPERIOD_OVERRIDE=FQ","FILING_STATUS=MR","SCALING_FORMAT=MLN","Sort=A","Dates=H","DateFormat=P","Fill=—","Direction=H","UseDPDF=Y")</f>
        <v>209.06299999999999</v>
      </c>
      <c r="W8" s="12" cm="1">
        <f t="array" ref="W8">_xll.BDH("PH US Equity","CF_DEPR_AMORT","FQ1 2024","FQ1 2024","Currency=USD","Period=FQ","BEST_FPERIOD_OVERRIDE=FQ","FILING_STATUS=MR","SCALING_FORMAT=MLN","Sort=A","Dates=H","DateFormat=P","Fill=—","Direction=H","UseDPDF=Y")</f>
        <v>240.387</v>
      </c>
      <c r="X8" s="12" cm="1">
        <f t="array" ref="X8">_xll.BDH("PH US Equity","CF_DEPR_AMORT","FQ2 2024","FQ2 2024","Currency=USD","Period=FQ","BEST_FPERIOD_OVERRIDE=FQ","FILING_STATUS=MR","SCALING_FORMAT=MLN","Sort=A","Dates=H","DateFormat=P","Fill=—","Direction=H","UseDPDF=Y")</f>
        <v>227.77799999999999</v>
      </c>
      <c r="Y8" s="12" cm="1">
        <f t="array" ref="Y8">_xll.BDH("PH US Equity","CF_DEPR_AMORT","FQ3 2024","FQ3 2024","Currency=USD","Period=FQ","BEST_FPERIOD_OVERRIDE=FQ","FILING_STATUS=MR","SCALING_FORMAT=MLN","Sort=A","Dates=H","DateFormat=P","Fill=—","Direction=H","UseDPDF=Y")</f>
        <v>228.298</v>
      </c>
      <c r="Z8" s="12" cm="1">
        <f t="array" ref="Z8">_xll.BDH("PH US Equity","CF_DEPR_AMORT","FQ4 2024","FQ4 2024","Currency=USD","Period=FQ","BEST_FPERIOD_OVERRIDE=FQ","FILING_STATUS=MR","SCALING_FORMAT=MLN","Sort=A","Dates=H","DateFormat=P","Fill=—","Direction=H","UseDPDF=Y")</f>
        <v>230.66800000000001</v>
      </c>
      <c r="AA8" s="12" cm="1">
        <f t="array" ref="AA8">_xll.BDH("PH US Equity","CF_DEPR_AMORT","FQ1 2025","FQ1 2025","Currency=USD","Period=FQ","BEST_FPERIOD_OVERRIDE=FQ","FILING_STATUS=MR","SCALING_FORMAT=MLN","Sort=A","Dates=H","DateFormat=P","Fill=—","Direction=H","UseDPDF=Y")</f>
        <v>229.04599999999999</v>
      </c>
      <c r="AB8" s="12" cm="1">
        <f t="array" ref="AB8">_xll.BDH("PH US Equity","CF_DEPR_AMORT","FQ2 2025","FQ2 2025","Currency=USD","Period=FQ","BEST_FPERIOD_OVERRIDE=FQ","FILING_STATUS=MR","SCALING_FORMAT=MLN","Sort=A","Dates=H","DateFormat=P","Fill=—","Direction=H","UseDPDF=Y")</f>
        <v>225.82300000000001</v>
      </c>
      <c r="AC8" s="12" cm="1">
        <f t="array" ref="AC8">_xll.BDH("PH US Equity","CF_DEPR_AMORT","FQ3 2025","FQ3 2025","Currency=USD","Period=FQ","BEST_FPERIOD_OVERRIDE=FQ","FILING_STATUS=MR","SCALING_FORMAT=MLN","Sort=A","Dates=H","DateFormat=P","Fill=—","Direction=H","UseDPDF=Y")</f>
        <v>222.79599999999999</v>
      </c>
      <c r="AD8" s="12" cm="1">
        <f t="array" ref="AD8">_xll.BDH("PH US Equity","CF_DEPR_AMORT","FQ4 2025","FQ4 2025","Currency=USD","Period=FQ","BEST_FPERIOD_OVERRIDE=FQ","FILING_STATUS=MR","SCALING_FORMAT=MLN","Sort=A","Dates=H","DateFormat=P","Fill=—","Direction=H","UseDPDF=Y")</f>
        <v>229.33500000000001</v>
      </c>
      <c r="AE8" s="12" cm="1">
        <f t="array" ref="AE8">_xll.BDH("PH US Equity","CF_DEPR_AMORT","FQ1 2026","FQ1 2026","Currency=USD","Period=FQ","BEST_FPERIOD_OVERRIDE=FQ","FILING_STATUS=MR","SCALING_FORMAT=MLN","Sort=A","Dates=H","DateFormat=P","Fill=—","Direction=H","UseDPDF=Y")</f>
        <v>232</v>
      </c>
      <c r="AF8" s="12" cm="1">
        <f t="array" ref="AF8">_xll.BDH("PH US Equity","CF_DEPR_AMORT","FQ2 2026","FQ2 2026","Currency=USD","Period=FQ","BEST_FPERIOD_OVERRIDE=FQ","FILING_STATUS=MR","SCALING_FORMAT=MLN","Sort=A","Dates=H","DateFormat=P","Fill=—","Direction=H","UseDPDF=Y")</f>
        <v>233</v>
      </c>
    </row>
    <row r="9" spans="1:32" x14ac:dyDescent="0.25">
      <c r="A9" s="10" t="s">
        <v>70</v>
      </c>
      <c r="B9" s="10" t="s">
        <v>71</v>
      </c>
      <c r="C9" s="12" cm="1">
        <f t="array" ref="C9">_xll.BDH("PH US Equity","NON_CASH_ITEMS_DETAILED","FQ1 2019","FQ1 2019","Currency=USD","Period=FQ","BEST_FPERIOD_OVERRIDE=FQ","FILING_STATUS=MR","SCALING_FORMAT=MLN","Sort=A","Dates=H","DateFormat=P","Fill=—","Direction=H","UseDPDF=Y")</f>
        <v>-193.69200000000001</v>
      </c>
      <c r="D9" s="12" cm="1">
        <f t="array" ref="D9">_xll.BDH("PH US Equity","NON_CASH_ITEMS_DETAILED","FQ2 2019","FQ2 2019","Currency=USD","Period=FQ","BEST_FPERIOD_OVERRIDE=FQ","FILING_STATUS=MR","SCALING_FORMAT=MLN","Sort=A","Dates=H","DateFormat=P","Fill=—","Direction=H","UseDPDF=Y")</f>
        <v>76.528999999999996</v>
      </c>
      <c r="E9" s="12" cm="1">
        <f t="array" ref="E9">_xll.BDH("PH US Equity","NON_CASH_ITEMS_DETAILED","FQ3 2019","FQ3 2019","Currency=USD","Period=FQ","BEST_FPERIOD_OVERRIDE=FQ","FILING_STATUS=MR","SCALING_FORMAT=MLN","Sort=A","Dates=H","DateFormat=P","Fill=—","Direction=H","UseDPDF=Y")</f>
        <v>-19.966000000000001</v>
      </c>
      <c r="F9" s="12" cm="1">
        <f t="array" ref="F9">_xll.BDH("PH US Equity","NON_CASH_ITEMS_DETAILED","FQ4 2019","FQ4 2019","Currency=USD","Period=FQ","BEST_FPERIOD_OVERRIDE=FQ","FILING_STATUS=MR","SCALING_FORMAT=MLN","Sort=A","Dates=H","DateFormat=P","Fill=—","Direction=H","UseDPDF=Y")</f>
        <v>25.62</v>
      </c>
      <c r="G9" s="12" cm="1">
        <f t="array" ref="G9">_xll.BDH("PH US Equity","NON_CASH_ITEMS_DETAILED","FQ1 2020","FQ1 2020","Currency=USD","Period=FQ","BEST_FPERIOD_OVERRIDE=FQ","FILING_STATUS=MR","SCALING_FORMAT=MLN","Sort=A","Dates=H","DateFormat=P","Fill=—","Direction=H","UseDPDF=Y")</f>
        <v>7.173</v>
      </c>
      <c r="H9" s="12" cm="1">
        <f t="array" ref="H9">_xll.BDH("PH US Equity","NON_CASH_ITEMS_DETAILED","FQ2 2020","FQ2 2020","Currency=USD","Period=FQ","BEST_FPERIOD_OVERRIDE=FQ","FILING_STATUS=MR","SCALING_FORMAT=MLN","Sort=A","Dates=H","DateFormat=P","Fill=—","Direction=H","UseDPDF=Y")</f>
        <v>47.225999999999999</v>
      </c>
      <c r="I9" s="12" cm="1">
        <f t="array" ref="I9">_xll.BDH("PH US Equity","NON_CASH_ITEMS_DETAILED","FQ3 2020","FQ3 2020","Currency=USD","Period=FQ","BEST_FPERIOD_OVERRIDE=FQ","FILING_STATUS=MR","SCALING_FORMAT=MLN","Sort=A","Dates=H","DateFormat=P","Fill=—","Direction=H","UseDPDF=Y")</f>
        <v>-27.341000000000001</v>
      </c>
      <c r="J9" s="12" cm="1">
        <f t="array" ref="J9">_xll.BDH("PH US Equity","NON_CASH_ITEMS_DETAILED","FQ4 2020","FQ4 2020","Currency=USD","Period=FQ","BEST_FPERIOD_OVERRIDE=FQ","FILING_STATUS=MR","SCALING_FORMAT=MLN","Sort=A","Dates=H","DateFormat=P","Fill=—","Direction=H","UseDPDF=Y")</f>
        <v>80.852000000000004</v>
      </c>
      <c r="K9" s="12" cm="1">
        <f t="array" ref="K9">_xll.BDH("PH US Equity","NON_CASH_ITEMS_DETAILED","FQ1 2021","FQ1 2021","Currency=USD","Period=FQ","BEST_FPERIOD_OVERRIDE=FQ","FILING_STATUS=MR","SCALING_FORMAT=MLN","Sort=A","Dates=H","DateFormat=P","Fill=—","Direction=H","UseDPDF=Y")</f>
        <v>85.466999999999999</v>
      </c>
      <c r="L9" s="12" cm="1">
        <f t="array" ref="L9">_xll.BDH("PH US Equity","NON_CASH_ITEMS_DETAILED","FQ2 2021","FQ2 2021","Currency=USD","Period=FQ","BEST_FPERIOD_OVERRIDE=FQ","FILING_STATUS=MR","SCALING_FORMAT=MLN","Sort=A","Dates=H","DateFormat=P","Fill=—","Direction=H","UseDPDF=Y")</f>
        <v>-72.072000000000003</v>
      </c>
      <c r="M9" s="12" cm="1">
        <f t="array" ref="M9">_xll.BDH("PH US Equity","NON_CASH_ITEMS_DETAILED","FQ3 2021","FQ3 2021","Currency=USD","Period=FQ","BEST_FPERIOD_OVERRIDE=FQ","FILING_STATUS=MR","SCALING_FORMAT=MLN","Sort=A","Dates=H","DateFormat=P","Fill=—","Direction=H","UseDPDF=Y")</f>
        <v>7.7030000000000003</v>
      </c>
      <c r="N9" s="12" cm="1">
        <f t="array" ref="N9">_xll.BDH("PH US Equity","NON_CASH_ITEMS_DETAILED","FQ4 2021","FQ4 2021","Currency=USD","Period=FQ","BEST_FPERIOD_OVERRIDE=FQ","FILING_STATUS=MR","SCALING_FORMAT=MLN","Sort=A","Dates=H","DateFormat=P","Fill=—","Direction=H","UseDPDF=Y")</f>
        <v>-25.113</v>
      </c>
      <c r="O9" s="12" cm="1">
        <f t="array" ref="O9">_xll.BDH("PH US Equity","NON_CASH_ITEMS_DETAILED","FQ1 2022","FQ1 2022","Currency=USD","Period=FQ","BEST_FPERIOD_OVERRIDE=FQ","FILING_STATUS=MR","SCALING_FORMAT=MLN","Sort=A","Dates=H","DateFormat=P","Fill=—","Direction=H","UseDPDF=Y")</f>
        <v>5.6710000000000003</v>
      </c>
      <c r="P9" s="12" cm="1">
        <f t="array" ref="P9">_xll.BDH("PH US Equity","NON_CASH_ITEMS_DETAILED","FQ2 2022","FQ2 2022","Currency=USD","Period=FQ","BEST_FPERIOD_OVERRIDE=FQ","FILING_STATUS=MR","SCALING_FORMAT=MLN","Sort=A","Dates=H","DateFormat=P","Fill=—","Direction=H","UseDPDF=Y")</f>
        <v>3.3090000000000002</v>
      </c>
      <c r="Q9" s="12" cm="1">
        <f t="array" ref="Q9">_xll.BDH("PH US Equity","NON_CASH_ITEMS_DETAILED","FQ3 2022","FQ3 2022","Currency=USD","Period=FQ","BEST_FPERIOD_OVERRIDE=FQ","FILING_STATUS=MR","SCALING_FORMAT=MLN","Sort=A","Dates=H","DateFormat=P","Fill=—","Direction=H","UseDPDF=Y")</f>
        <v>-92.887</v>
      </c>
      <c r="R9" s="12" cm="1">
        <f t="array" ref="R9">_xll.BDH("PH US Equity","NON_CASH_ITEMS_DETAILED","FQ4 2022","FQ4 2022","Currency=USD","Period=FQ","BEST_FPERIOD_OVERRIDE=FQ","FILING_STATUS=MR","SCALING_FORMAT=MLN","Sort=A","Dates=H","DateFormat=P","Fill=—","Direction=H","UseDPDF=Y")</f>
        <v>-156.30699999999999</v>
      </c>
      <c r="S9" s="12" cm="1">
        <f t="array" ref="S9">_xll.BDH("PH US Equity","NON_CASH_ITEMS_DETAILED","FQ1 2023","FQ1 2023","Currency=USD","Period=FQ","BEST_FPERIOD_OVERRIDE=FQ","FILING_STATUS=MR","SCALING_FORMAT=MLN","Sort=A","Dates=H","DateFormat=P","Fill=—","Direction=H","UseDPDF=Y")</f>
        <v>-122.142</v>
      </c>
      <c r="T9" s="12" cm="1">
        <f t="array" ref="T9">_xll.BDH("PH US Equity","NON_CASH_ITEMS_DETAILED","FQ2 2023","FQ2 2023","Currency=USD","Period=FQ","BEST_FPERIOD_OVERRIDE=FQ","FILING_STATUS=MR","SCALING_FORMAT=MLN","Sort=A","Dates=H","DateFormat=P","Fill=—","Direction=H","UseDPDF=Y")</f>
        <v>-68.097999999999999</v>
      </c>
      <c r="U9" s="12" cm="1">
        <f t="array" ref="U9">_xll.BDH("PH US Equity","NON_CASH_ITEMS_DETAILED","FQ3 2023","FQ3 2023","Currency=USD","Period=FQ","BEST_FPERIOD_OVERRIDE=FQ","FILING_STATUS=MR","SCALING_FORMAT=MLN","Sort=A","Dates=H","DateFormat=P","Fill=—","Direction=H","UseDPDF=Y")</f>
        <v>-73.251999999999995</v>
      </c>
      <c r="V9" s="12" cm="1">
        <f t="array" ref="V9">_xll.BDH("PH US Equity","NON_CASH_ITEMS_DETAILED","FQ4 2023","FQ4 2023","Currency=USD","Period=FQ","BEST_FPERIOD_OVERRIDE=FQ","FILING_STATUS=MR","SCALING_FORMAT=MLN","Sort=A","Dates=H","DateFormat=P","Fill=—","Direction=H","UseDPDF=Y")</f>
        <v>-89.866</v>
      </c>
      <c r="W9" s="12" cm="1">
        <f t="array" ref="W9">_xll.BDH("PH US Equity","NON_CASH_ITEMS_DETAILED","FQ1 2024","FQ1 2024","Currency=USD","Period=FQ","BEST_FPERIOD_OVERRIDE=FQ","FILING_STATUS=MR","SCALING_FORMAT=MLN","Sort=A","Dates=H","DateFormat=P","Fill=—","Direction=H","UseDPDF=Y")</f>
        <v>-156.91300000000001</v>
      </c>
      <c r="X9" s="12" cm="1">
        <f t="array" ref="X9">_xll.BDH("PH US Equity","NON_CASH_ITEMS_DETAILED","FQ2 2024","FQ2 2024","Currency=USD","Period=FQ","BEST_FPERIOD_OVERRIDE=FQ","FILING_STATUS=MR","SCALING_FORMAT=MLN","Sort=A","Dates=H","DateFormat=P","Fill=—","Direction=H","UseDPDF=Y")</f>
        <v>-12.733000000000001</v>
      </c>
      <c r="Y9" s="12" cm="1">
        <f t="array" ref="Y9">_xll.BDH("PH US Equity","NON_CASH_ITEMS_DETAILED","FQ3 2024","FQ3 2024","Currency=USD","Period=FQ","BEST_FPERIOD_OVERRIDE=FQ","FILING_STATUS=MR","SCALING_FORMAT=MLN","Sort=A","Dates=H","DateFormat=P","Fill=—","Direction=H","UseDPDF=Y")</f>
        <v>-59.823999999999998</v>
      </c>
      <c r="Z9" s="12" cm="1">
        <f t="array" ref="Z9">_xll.BDH("PH US Equity","NON_CASH_ITEMS_DETAILED","FQ4 2024","FQ4 2024","Currency=USD","Period=FQ","BEST_FPERIOD_OVERRIDE=FQ","FILING_STATUS=MR","SCALING_FORMAT=MLN","Sort=A","Dates=H","DateFormat=P","Fill=—","Direction=H","UseDPDF=Y")</f>
        <v>43.991999999999997</v>
      </c>
      <c r="AA9" s="12" cm="1">
        <f t="array" ref="AA9">_xll.BDH("PH US Equity","NON_CASH_ITEMS_DETAILED","FQ1 2025","FQ1 2025","Currency=USD","Period=FQ","BEST_FPERIOD_OVERRIDE=FQ","FILING_STATUS=MR","SCALING_FORMAT=MLN","Sort=A","Dates=H","DateFormat=P","Fill=—","Direction=H","UseDPDF=Y")</f>
        <v>-8.1769999999999996</v>
      </c>
      <c r="AB9" s="12" cm="1">
        <f t="array" ref="AB9">_xll.BDH("PH US Equity","NON_CASH_ITEMS_DETAILED","FQ2 2025","FQ2 2025","Currency=USD","Period=FQ","BEST_FPERIOD_OVERRIDE=FQ","FILING_STATUS=MR","SCALING_FORMAT=MLN","Sort=A","Dates=H","DateFormat=P","Fill=—","Direction=H","UseDPDF=Y")</f>
        <v>-196.417</v>
      </c>
      <c r="AC9" s="12" cm="1">
        <f t="array" ref="AC9">_xll.BDH("PH US Equity","NON_CASH_ITEMS_DETAILED","FQ3 2025","FQ3 2025","Currency=USD","Period=FQ","BEST_FPERIOD_OVERRIDE=FQ","FILING_STATUS=MR","SCALING_FORMAT=MLN","Sort=A","Dates=H","DateFormat=P","Fill=—","Direction=H","UseDPDF=Y")</f>
        <v>-238.23699999999999</v>
      </c>
      <c r="AD9" s="12" cm="1">
        <f t="array" ref="AD9">_xll.BDH("PH US Equity","NON_CASH_ITEMS_DETAILED","FQ4 2025","FQ4 2025","Currency=USD","Period=FQ","BEST_FPERIOD_OVERRIDE=FQ","FILING_STATUS=MR","SCALING_FORMAT=MLN","Sort=A","Dates=H","DateFormat=P","Fill=—","Direction=H","UseDPDF=Y")</f>
        <v>-40.997</v>
      </c>
      <c r="AE9" s="12" cm="1">
        <f t="array" ref="AE9">_xll.BDH("PH US Equity","NON_CASH_ITEMS_DETAILED","FQ1 2026","FQ1 2026","Currency=USD","Period=FQ","BEST_FPERIOD_OVERRIDE=FQ","FILING_STATUS=MR","SCALING_FORMAT=MLN","Sort=A","Dates=H","DateFormat=P","Fill=—","Direction=H","UseDPDF=Y")</f>
        <v>34</v>
      </c>
      <c r="AF9" s="12" cm="1">
        <f t="array" ref="AF9">_xll.BDH("PH US Equity","NON_CASH_ITEMS_DETAILED","FQ2 2026","FQ2 2026","Currency=USD","Period=FQ","BEST_FPERIOD_OVERRIDE=FQ","FILING_STATUS=MR","SCALING_FORMAT=MLN","Sort=A","Dates=H","DateFormat=P","Fill=—","Direction=H","UseDPDF=Y")</f>
        <v>-27</v>
      </c>
    </row>
    <row r="10" spans="1:32" x14ac:dyDescent="0.25">
      <c r="A10" s="10" t="s">
        <v>72</v>
      </c>
      <c r="B10" s="10" t="s">
        <v>73</v>
      </c>
      <c r="C10" s="12" cm="1">
        <f t="array" ref="C10">_xll.BDH("PH US Equity","CF_STOCK_BASED_COMPENSATION","FQ1 2019","FQ1 2019","Currency=USD","Period=FQ","BEST_FPERIOD_OVERRIDE=FQ","FILING_STATUS=MR","SCALING_FORMAT=MLN","Sort=A","Dates=H","DateFormat=P","Fill=—","Direction=H","UseDPDF=Y")</f>
        <v>42.941000000000003</v>
      </c>
      <c r="D10" s="12" cm="1">
        <f t="array" ref="D10">_xll.BDH("PH US Equity","CF_STOCK_BASED_COMPENSATION","FQ2 2019","FQ2 2019","Currency=USD","Period=FQ","BEST_FPERIOD_OVERRIDE=FQ","FILING_STATUS=MR","SCALING_FORMAT=MLN","Sort=A","Dates=H","DateFormat=P","Fill=—","Direction=H","UseDPDF=Y")</f>
        <v>21.673999999999999</v>
      </c>
      <c r="E10" s="12" cm="1">
        <f t="array" ref="E10">_xll.BDH("PH US Equity","CF_STOCK_BASED_COMPENSATION","FQ3 2019","FQ3 2019","Currency=USD","Period=FQ","BEST_FPERIOD_OVERRIDE=FQ","FILING_STATUS=MR","SCALING_FORMAT=MLN","Sort=A","Dates=H","DateFormat=P","Fill=—","Direction=H","UseDPDF=Y")</f>
        <v>19.91</v>
      </c>
      <c r="F10" s="12" cm="1">
        <f t="array" ref="F10">_xll.BDH("PH US Equity","CF_STOCK_BASED_COMPENSATION","FQ4 2019","FQ4 2019","Currency=USD","Period=FQ","BEST_FPERIOD_OVERRIDE=FQ","FILING_STATUS=MR","SCALING_FORMAT=MLN","Sort=A","Dates=H","DateFormat=P","Fill=—","Direction=H","UseDPDF=Y")</f>
        <v>19.553000000000001</v>
      </c>
      <c r="G10" s="12" cm="1">
        <f t="array" ref="G10">_xll.BDH("PH US Equity","CF_STOCK_BASED_COMPENSATION","FQ1 2020","FQ1 2020","Currency=USD","Period=FQ","BEST_FPERIOD_OVERRIDE=FQ","FILING_STATUS=MR","SCALING_FORMAT=MLN","Sort=A","Dates=H","DateFormat=P","Fill=—","Direction=H","UseDPDF=Y")</f>
        <v>52.633000000000003</v>
      </c>
      <c r="H10" s="12" cm="1">
        <f t="array" ref="H10">_xll.BDH("PH US Equity","CF_STOCK_BASED_COMPENSATION","FQ2 2020","FQ2 2020","Currency=USD","Period=FQ","BEST_FPERIOD_OVERRIDE=FQ","FILING_STATUS=MR","SCALING_FORMAT=MLN","Sort=A","Dates=H","DateFormat=P","Fill=—","Direction=H","UseDPDF=Y")</f>
        <v>20.436</v>
      </c>
      <c r="I10" s="12" cm="1">
        <f t="array" ref="I10">_xll.BDH("PH US Equity","CF_STOCK_BASED_COMPENSATION","FQ3 2020","FQ3 2020","Currency=USD","Period=FQ","BEST_FPERIOD_OVERRIDE=FQ","FILING_STATUS=MR","SCALING_FORMAT=MLN","Sort=A","Dates=H","DateFormat=P","Fill=—","Direction=H","UseDPDF=Y")</f>
        <v>18.788</v>
      </c>
      <c r="J10" s="12" cm="1">
        <f t="array" ref="J10">_xll.BDH("PH US Equity","CF_STOCK_BASED_COMPENSATION","FQ4 2020","FQ4 2020","Currency=USD","Period=FQ","BEST_FPERIOD_OVERRIDE=FQ","FILING_STATUS=MR","SCALING_FORMAT=MLN","Sort=A","Dates=H","DateFormat=P","Fill=—","Direction=H","UseDPDF=Y")</f>
        <v>19.518000000000001</v>
      </c>
      <c r="K10" s="12" cm="1">
        <f t="array" ref="K10">_xll.BDH("PH US Equity","CF_STOCK_BASED_COMPENSATION","FQ1 2021","FQ1 2021","Currency=USD","Period=FQ","BEST_FPERIOD_OVERRIDE=FQ","FILING_STATUS=MR","SCALING_FORMAT=MLN","Sort=A","Dates=H","DateFormat=P","Fill=—","Direction=H","UseDPDF=Y")</f>
        <v>58.460999999999999</v>
      </c>
      <c r="L10" s="12" cm="1">
        <f t="array" ref="L10">_xll.BDH("PH US Equity","CF_STOCK_BASED_COMPENSATION","FQ2 2021","FQ2 2021","Currency=USD","Period=FQ","BEST_FPERIOD_OVERRIDE=FQ","FILING_STATUS=MR","SCALING_FORMAT=MLN","Sort=A","Dates=H","DateFormat=P","Fill=—","Direction=H","UseDPDF=Y")</f>
        <v>21.372</v>
      </c>
      <c r="M10" s="12" cm="1">
        <f t="array" ref="M10">_xll.BDH("PH US Equity","CF_STOCK_BASED_COMPENSATION","FQ3 2021","FQ3 2021","Currency=USD","Period=FQ","BEST_FPERIOD_OVERRIDE=FQ","FILING_STATUS=MR","SCALING_FORMAT=MLN","Sort=A","Dates=H","DateFormat=P","Fill=—","Direction=H","UseDPDF=Y")</f>
        <v>22.074000000000002</v>
      </c>
      <c r="N10" s="12" cm="1">
        <f t="array" ref="N10">_xll.BDH("PH US Equity","CF_STOCK_BASED_COMPENSATION","FQ4 2021","FQ4 2021","Currency=USD","Period=FQ","BEST_FPERIOD_OVERRIDE=FQ","FILING_STATUS=MR","SCALING_FORMAT=MLN","Sort=A","Dates=H","DateFormat=P","Fill=—","Direction=H","UseDPDF=Y")</f>
        <v>19.576000000000001</v>
      </c>
      <c r="O10" s="12" cm="1">
        <f t="array" ref="O10">_xll.BDH("PH US Equity","CF_STOCK_BASED_COMPENSATION","FQ1 2022","FQ1 2022","Currency=USD","Period=FQ","BEST_FPERIOD_OVERRIDE=FQ","FILING_STATUS=MR","SCALING_FORMAT=MLN","Sort=A","Dates=H","DateFormat=P","Fill=—","Direction=H","UseDPDF=Y")</f>
        <v>57.665999999999997</v>
      </c>
      <c r="P10" s="12" cm="1">
        <f t="array" ref="P10">_xll.BDH("PH US Equity","CF_STOCK_BASED_COMPENSATION","FQ2 2022","FQ2 2022","Currency=USD","Period=FQ","BEST_FPERIOD_OVERRIDE=FQ","FILING_STATUS=MR","SCALING_FORMAT=MLN","Sort=A","Dates=H","DateFormat=P","Fill=—","Direction=H","UseDPDF=Y")</f>
        <v>21.719000000000001</v>
      </c>
      <c r="Q10" s="12" cm="1">
        <f t="array" ref="Q10">_xll.BDH("PH US Equity","CF_STOCK_BASED_COMPENSATION","FQ3 2022","FQ3 2022","Currency=USD","Period=FQ","BEST_FPERIOD_OVERRIDE=FQ","FILING_STATUS=MR","SCALING_FORMAT=MLN","Sort=A","Dates=H","DateFormat=P","Fill=—","Direction=H","UseDPDF=Y")</f>
        <v>30.396000000000001</v>
      </c>
      <c r="R10" s="12" cm="1">
        <f t="array" ref="R10">_xll.BDH("PH US Equity","CF_STOCK_BASED_COMPENSATION","FQ4 2022","FQ4 2022","Currency=USD","Period=FQ","BEST_FPERIOD_OVERRIDE=FQ","FILING_STATUS=MR","SCALING_FORMAT=MLN","Sort=A","Dates=H","DateFormat=P","Fill=—","Direction=H","UseDPDF=Y")</f>
        <v>27.312000000000001</v>
      </c>
      <c r="S10" s="12" cm="1">
        <f t="array" ref="S10">_xll.BDH("PH US Equity","CF_STOCK_BASED_COMPENSATION","FQ1 2023","FQ1 2023","Currency=USD","Period=FQ","BEST_FPERIOD_OVERRIDE=FQ","FILING_STATUS=MR","SCALING_FORMAT=MLN","Sort=A","Dates=H","DateFormat=P","Fill=—","Direction=H","UseDPDF=Y")</f>
        <v>65.018000000000001</v>
      </c>
      <c r="T10" s="12" cm="1">
        <f t="array" ref="T10">_xll.BDH("PH US Equity","CF_STOCK_BASED_COMPENSATION","FQ2 2023","FQ2 2023","Currency=USD","Period=FQ","BEST_FPERIOD_OVERRIDE=FQ","FILING_STATUS=MR","SCALING_FORMAT=MLN","Sort=A","Dates=H","DateFormat=P","Fill=—","Direction=H","UseDPDF=Y")</f>
        <v>24.690999999999999</v>
      </c>
      <c r="U10" s="12" cm="1">
        <f t="array" ref="U10">_xll.BDH("PH US Equity","CF_STOCK_BASED_COMPENSATION","FQ3 2023","FQ3 2023","Currency=USD","Period=FQ","BEST_FPERIOD_OVERRIDE=FQ","FILING_STATUS=MR","SCALING_FORMAT=MLN","Sort=A","Dates=H","DateFormat=P","Fill=—","Direction=H","UseDPDF=Y")</f>
        <v>27.827000000000002</v>
      </c>
      <c r="V10" s="12" cm="1">
        <f t="array" ref="V10">_xll.BDH("PH US Equity","CF_STOCK_BASED_COMPENSATION","FQ4 2023","FQ4 2023","Currency=USD","Period=FQ","BEST_FPERIOD_OVERRIDE=FQ","FILING_STATUS=MR","SCALING_FORMAT=MLN","Sort=A","Dates=H","DateFormat=P","Fill=—","Direction=H","UseDPDF=Y")</f>
        <v>25.184000000000001</v>
      </c>
      <c r="W10" s="12" cm="1">
        <f t="array" ref="W10">_xll.BDH("PH US Equity","CF_STOCK_BASED_COMPENSATION","FQ1 2024","FQ1 2024","Currency=USD","Period=FQ","BEST_FPERIOD_OVERRIDE=FQ","FILING_STATUS=MR","SCALING_FORMAT=MLN","Sort=A","Dates=H","DateFormat=P","Fill=—","Direction=H","UseDPDF=Y")</f>
        <v>77.894000000000005</v>
      </c>
      <c r="X10" s="12" cm="1">
        <f t="array" ref="X10">_xll.BDH("PH US Equity","CF_STOCK_BASED_COMPENSATION","FQ2 2024","FQ2 2024","Currency=USD","Period=FQ","BEST_FPERIOD_OVERRIDE=FQ","FILING_STATUS=MR","SCALING_FORMAT=MLN","Sort=A","Dates=H","DateFormat=P","Fill=—","Direction=H","UseDPDF=Y")</f>
        <v>30.167000000000002</v>
      </c>
      <c r="Y10" s="12" cm="1">
        <f t="array" ref="Y10">_xll.BDH("PH US Equity","CF_STOCK_BASED_COMPENSATION","FQ3 2024","FQ3 2024","Currency=USD","Period=FQ","BEST_FPERIOD_OVERRIDE=FQ","FILING_STATUS=MR","SCALING_FORMAT=MLN","Sort=A","Dates=H","DateFormat=P","Fill=—","Direction=H","UseDPDF=Y")</f>
        <v>20.620999999999999</v>
      </c>
      <c r="Z10" s="12" cm="1">
        <f t="array" ref="Z10">_xll.BDH("PH US Equity","CF_STOCK_BASED_COMPENSATION","FQ4 2024","FQ4 2024","Currency=USD","Period=FQ","BEST_FPERIOD_OVERRIDE=FQ","FILING_STATUS=MR","SCALING_FORMAT=MLN","Sort=A","Dates=H","DateFormat=P","Fill=—","Direction=H","UseDPDF=Y")</f>
        <v>26.492999999999999</v>
      </c>
      <c r="AA10" s="12" cm="1">
        <f t="array" ref="AA10">_xll.BDH("PH US Equity","CF_STOCK_BASED_COMPENSATION","FQ1 2025","FQ1 2025","Currency=USD","Period=FQ","BEST_FPERIOD_OVERRIDE=FQ","FILING_STATUS=MR","SCALING_FORMAT=MLN","Sort=A","Dates=H","DateFormat=P","Fill=—","Direction=H","UseDPDF=Y")</f>
        <v>75.841999999999999</v>
      </c>
      <c r="AB10" s="12" cm="1">
        <f t="array" ref="AB10">_xll.BDH("PH US Equity","CF_STOCK_BASED_COMPENSATION","FQ2 2025","FQ2 2025","Currency=USD","Period=FQ","BEST_FPERIOD_OVERRIDE=FQ","FILING_STATUS=MR","SCALING_FORMAT=MLN","Sort=A","Dates=H","DateFormat=P","Fill=—","Direction=H","UseDPDF=Y")</f>
        <v>30.63</v>
      </c>
      <c r="AC10" s="12" cm="1">
        <f t="array" ref="AC10">_xll.BDH("PH US Equity","CF_STOCK_BASED_COMPENSATION","FQ3 2025","FQ3 2025","Currency=USD","Period=FQ","BEST_FPERIOD_OVERRIDE=FQ","FILING_STATUS=MR","SCALING_FORMAT=MLN","Sort=A","Dates=H","DateFormat=P","Fill=—","Direction=H","UseDPDF=Y")</f>
        <v>23.294</v>
      </c>
      <c r="AD10" s="12" cm="1">
        <f t="array" ref="AD10">_xll.BDH("PH US Equity","CF_STOCK_BASED_COMPENSATION","FQ4 2025","FQ4 2025","Currency=USD","Period=FQ","BEST_FPERIOD_OVERRIDE=FQ","FILING_STATUS=MR","SCALING_FORMAT=MLN","Sort=A","Dates=H","DateFormat=P","Fill=—","Direction=H","UseDPDF=Y")</f>
        <v>29.234000000000002</v>
      </c>
      <c r="AE10" s="12" cm="1">
        <f t="array" ref="AE10">_xll.BDH("PH US Equity","CF_STOCK_BASED_COMPENSATION","FQ1 2026","FQ1 2026","Currency=USD","Period=FQ","BEST_FPERIOD_OVERRIDE=FQ","FILING_STATUS=MR","SCALING_FORMAT=MLN","Sort=A","Dates=H","DateFormat=P","Fill=—","Direction=H","UseDPDF=Y")</f>
        <v>80</v>
      </c>
      <c r="AF10" s="12" cm="1">
        <f t="array" ref="AF10">_xll.BDH("PH US Equity","CF_STOCK_BASED_COMPENSATION","FQ2 2026","FQ2 2026","Currency=USD","Period=FQ","BEST_FPERIOD_OVERRIDE=FQ","FILING_STATUS=MR","SCALING_FORMAT=MLN","Sort=A","Dates=H","DateFormat=P","Fill=—","Direction=H","UseDPDF=Y")</f>
        <v>28</v>
      </c>
    </row>
    <row r="11" spans="1:32" x14ac:dyDescent="0.25">
      <c r="A11" s="10" t="s">
        <v>74</v>
      </c>
      <c r="B11" s="10" t="s">
        <v>75</v>
      </c>
      <c r="C11" s="12" cm="1">
        <f t="array" ref="C11">_xll.BDH("PH US Equity","CF_DEF_INC_TAX","FQ1 2019","FQ1 2019","Currency=USD","Period=FQ","BEST_FPERIOD_OVERRIDE=FQ","FILING_STATUS=MR","SCALING_FORMAT=MLN","Sort=A","Dates=H","DateFormat=P","Fill=—","Direction=H","UseDPDF=Y")</f>
        <v>31.765000000000001</v>
      </c>
      <c r="D11" s="12" cm="1">
        <f t="array" ref="D11">_xll.BDH("PH US Equity","CF_DEF_INC_TAX","FQ2 2019","FQ2 2019","Currency=USD","Period=FQ","BEST_FPERIOD_OVERRIDE=FQ","FILING_STATUS=MR","SCALING_FORMAT=MLN","Sort=A","Dates=H","DateFormat=P","Fill=—","Direction=H","UseDPDF=Y")</f>
        <v>15.635999999999999</v>
      </c>
      <c r="E11" s="12" cm="1">
        <f t="array" ref="E11">_xll.BDH("PH US Equity","CF_DEF_INC_TAX","FQ3 2019","FQ3 2019","Currency=USD","Period=FQ","BEST_FPERIOD_OVERRIDE=FQ","FILING_STATUS=MR","SCALING_FORMAT=MLN","Sort=A","Dates=H","DateFormat=P","Fill=—","Direction=H","UseDPDF=Y")</f>
        <v>-14.122</v>
      </c>
      <c r="F11" s="12" cm="1">
        <f t="array" ref="F11">_xll.BDH("PH US Equity","CF_DEF_INC_TAX","FQ4 2019","FQ4 2019","Currency=USD","Period=FQ","BEST_FPERIOD_OVERRIDE=FQ","FILING_STATUS=MR","SCALING_FORMAT=MLN","Sort=A","Dates=H","DateFormat=P","Fill=—","Direction=H","UseDPDF=Y")</f>
        <v>-0.74199999999999999</v>
      </c>
      <c r="G11" s="12" cm="1">
        <f t="array" ref="G11">_xll.BDH("PH US Equity","CF_DEF_INC_TAX","FQ1 2020","FQ1 2020","Currency=USD","Period=FQ","BEST_FPERIOD_OVERRIDE=FQ","FILING_STATUS=MR","SCALING_FORMAT=MLN","Sort=A","Dates=H","DateFormat=P","Fill=—","Direction=H","UseDPDF=Y")</f>
        <v>-15.548</v>
      </c>
      <c r="H11" s="12" cm="1">
        <f t="array" ref="H11">_xll.BDH("PH US Equity","CF_DEF_INC_TAX","FQ2 2020","FQ2 2020","Currency=USD","Period=FQ","BEST_FPERIOD_OVERRIDE=FQ","FILING_STATUS=MR","SCALING_FORMAT=MLN","Sort=A","Dates=H","DateFormat=P","Fill=—","Direction=H","UseDPDF=Y")</f>
        <v>24.155999999999999</v>
      </c>
      <c r="I11" s="12" cm="1">
        <f t="array" ref="I11">_xll.BDH("PH US Equity","CF_DEF_INC_TAX","FQ3 2020","FQ3 2020","Currency=USD","Period=FQ","BEST_FPERIOD_OVERRIDE=FQ","FILING_STATUS=MR","SCALING_FORMAT=MLN","Sort=A","Dates=H","DateFormat=P","Fill=—","Direction=H","UseDPDF=Y")</f>
        <v>1.3460000000000001</v>
      </c>
      <c r="J11" s="12" cm="1">
        <f t="array" ref="J11">_xll.BDH("PH US Equity","CF_DEF_INC_TAX","FQ4 2020","FQ4 2020","Currency=USD","Period=FQ","BEST_FPERIOD_OVERRIDE=FQ","FILING_STATUS=MR","SCALING_FORMAT=MLN","Sort=A","Dates=H","DateFormat=P","Fill=—","Direction=H","UseDPDF=Y")</f>
        <v>2.3359999999999999</v>
      </c>
      <c r="K11" s="12" cm="1">
        <f t="array" ref="K11">_xll.BDH("PH US Equity","CF_DEF_INC_TAX","FQ1 2021","FQ1 2021","Currency=USD","Period=FQ","BEST_FPERIOD_OVERRIDE=FQ","FILING_STATUS=MR","SCALING_FORMAT=MLN","Sort=A","Dates=H","DateFormat=P","Fill=—","Direction=H","UseDPDF=Y")</f>
        <v>11.042999999999999</v>
      </c>
      <c r="L11" s="12" cm="1">
        <f t="array" ref="L11">_xll.BDH("PH US Equity","CF_DEF_INC_TAX","FQ2 2021","FQ2 2021","Currency=USD","Period=FQ","BEST_FPERIOD_OVERRIDE=FQ","FILING_STATUS=MR","SCALING_FORMAT=MLN","Sort=A","Dates=H","DateFormat=P","Fill=—","Direction=H","UseDPDF=Y")</f>
        <v>-14.257</v>
      </c>
      <c r="M11" s="12" cm="1">
        <f t="array" ref="M11">_xll.BDH("PH US Equity","CF_DEF_INC_TAX","FQ3 2021","FQ3 2021","Currency=USD","Period=FQ","BEST_FPERIOD_OVERRIDE=FQ","FILING_STATUS=MR","SCALING_FORMAT=MLN","Sort=A","Dates=H","DateFormat=P","Fill=—","Direction=H","UseDPDF=Y")</f>
        <v>-8.61</v>
      </c>
      <c r="N11" s="12" cm="1">
        <f t="array" ref="N11">_xll.BDH("PH US Equity","CF_DEF_INC_TAX","FQ4 2021","FQ4 2021","Currency=USD","Period=FQ","BEST_FPERIOD_OVERRIDE=FQ","FILING_STATUS=MR","SCALING_FORMAT=MLN","Sort=A","Dates=H","DateFormat=P","Fill=—","Direction=H","UseDPDF=Y")</f>
        <v>-39.676000000000002</v>
      </c>
      <c r="O11" s="12" cm="1">
        <f t="array" ref="O11">_xll.BDH("PH US Equity","CF_DEF_INC_TAX","FQ1 2022","FQ1 2022","Currency=USD","Period=FQ","BEST_FPERIOD_OVERRIDE=FQ","FILING_STATUS=MR","SCALING_FORMAT=MLN","Sort=A","Dates=H","DateFormat=P","Fill=—","Direction=H","UseDPDF=Y")</f>
        <v>-40.027000000000001</v>
      </c>
      <c r="P11" s="12" cm="1">
        <f t="array" ref="P11">_xll.BDH("PH US Equity","CF_DEF_INC_TAX","FQ2 2022","FQ2 2022","Currency=USD","Period=FQ","BEST_FPERIOD_OVERRIDE=FQ","FILING_STATUS=MR","SCALING_FORMAT=MLN","Sort=A","Dates=H","DateFormat=P","Fill=—","Direction=H","UseDPDF=Y")</f>
        <v>-20.901</v>
      </c>
      <c r="Q11" s="12" cm="1">
        <f t="array" ref="Q11">_xll.BDH("PH US Equity","CF_DEF_INC_TAX","FQ3 2022","FQ3 2022","Currency=USD","Period=FQ","BEST_FPERIOD_OVERRIDE=FQ","FILING_STATUS=MR","SCALING_FORMAT=MLN","Sort=A","Dates=H","DateFormat=P","Fill=—","Direction=H","UseDPDF=Y")</f>
        <v>-113.342</v>
      </c>
      <c r="R11" s="12" cm="1">
        <f t="array" ref="R11">_xll.BDH("PH US Equity","CF_DEF_INC_TAX","FQ4 2022","FQ4 2022","Currency=USD","Period=FQ","BEST_FPERIOD_OVERRIDE=FQ","FILING_STATUS=MR","SCALING_FORMAT=MLN","Sort=A","Dates=H","DateFormat=P","Fill=—","Direction=H","UseDPDF=Y")</f>
        <v>-176.93100000000001</v>
      </c>
      <c r="S11" s="12" cm="1">
        <f t="array" ref="S11">_xll.BDH("PH US Equity","CF_DEF_INC_TAX","FQ1 2023","FQ1 2023","Currency=USD","Period=FQ","BEST_FPERIOD_OVERRIDE=FQ","FILING_STATUS=MR","SCALING_FORMAT=MLN","Sort=A","Dates=H","DateFormat=P","Fill=—","Direction=H","UseDPDF=Y")</f>
        <v>193.62</v>
      </c>
      <c r="T11" s="12" cm="1">
        <f t="array" ref="T11">_xll.BDH("PH US Equity","CF_DEF_INC_TAX","FQ2 2023","FQ2 2023","Currency=USD","Period=FQ","BEST_FPERIOD_OVERRIDE=FQ","FILING_STATUS=MR","SCALING_FORMAT=MLN","Sort=A","Dates=H","DateFormat=P","Fill=—","Direction=H","UseDPDF=Y")</f>
        <v>-62.140999999999998</v>
      </c>
      <c r="U11" s="12" cm="1">
        <f t="array" ref="U11">_xll.BDH("PH US Equity","CF_DEF_INC_TAX","FQ3 2023","FQ3 2023","Currency=USD","Period=FQ","BEST_FPERIOD_OVERRIDE=FQ","FILING_STATUS=MR","SCALING_FORMAT=MLN","Sort=A","Dates=H","DateFormat=P","Fill=—","Direction=H","UseDPDF=Y")</f>
        <v>-41.673999999999999</v>
      </c>
      <c r="V11" s="12" cm="1">
        <f t="array" ref="V11">_xll.BDH("PH US Equity","CF_DEF_INC_TAX","FQ4 2023","FQ4 2023","Currency=USD","Period=FQ","BEST_FPERIOD_OVERRIDE=FQ","FILING_STATUS=MR","SCALING_FORMAT=MLN","Sort=A","Dates=H","DateFormat=P","Fill=—","Direction=H","UseDPDF=Y")</f>
        <v>2.06</v>
      </c>
      <c r="W11" s="12" cm="1">
        <f t="array" ref="W11">_xll.BDH("PH US Equity","CF_DEF_INC_TAX","FQ1 2024","FQ1 2024","Currency=USD","Period=FQ","BEST_FPERIOD_OVERRIDE=FQ","FILING_STATUS=MR","SCALING_FORMAT=MLN","Sort=A","Dates=H","DateFormat=P","Fill=—","Direction=H","UseDPDF=Y")</f>
        <v>-56.027000000000001</v>
      </c>
      <c r="X11" s="12" cm="1">
        <f t="array" ref="X11">_xll.BDH("PH US Equity","CF_DEF_INC_TAX","FQ2 2024","FQ2 2024","Currency=USD","Period=FQ","BEST_FPERIOD_OVERRIDE=FQ","FILING_STATUS=MR","SCALING_FORMAT=MLN","Sort=A","Dates=H","DateFormat=P","Fill=—","Direction=H","UseDPDF=Y")</f>
        <v>-25.565000000000001</v>
      </c>
      <c r="Y11" s="12" cm="1">
        <f t="array" ref="Y11">_xll.BDH("PH US Equity","CF_DEF_INC_TAX","FQ3 2024","FQ3 2024","Currency=USD","Period=FQ","BEST_FPERIOD_OVERRIDE=FQ","FILING_STATUS=MR","SCALING_FORMAT=MLN","Sort=A","Dates=H","DateFormat=P","Fill=—","Direction=H","UseDPDF=Y")</f>
        <v>43.91</v>
      </c>
      <c r="Z11" s="12" cm="1">
        <f t="array" ref="Z11">_xll.BDH("PH US Equity","CF_DEF_INC_TAX","FQ4 2024","FQ4 2024","Currency=USD","Period=FQ","BEST_FPERIOD_OVERRIDE=FQ","FILING_STATUS=MR","SCALING_FORMAT=MLN","Sort=A","Dates=H","DateFormat=P","Fill=—","Direction=H","UseDPDF=Y")</f>
        <v>70.158000000000001</v>
      </c>
      <c r="AA11" s="12" cm="1">
        <f t="array" ref="AA11">_xll.BDH("PH US Equity","CF_DEF_INC_TAX","FQ1 2025","FQ1 2025","Currency=USD","Period=FQ","BEST_FPERIOD_OVERRIDE=FQ","FILING_STATUS=MR","SCALING_FORMAT=MLN","Sort=A","Dates=H","DateFormat=P","Fill=—","Direction=H","UseDPDF=Y")</f>
        <v>-27.254999999999999</v>
      </c>
      <c r="AB11" s="12" cm="1">
        <f t="array" ref="AB11">_xll.BDH("PH US Equity","CF_DEF_INC_TAX","FQ2 2025","FQ2 2025","Currency=USD","Period=FQ","BEST_FPERIOD_OVERRIDE=FQ","FILING_STATUS=MR","SCALING_FORMAT=MLN","Sort=A","Dates=H","DateFormat=P","Fill=—","Direction=H","UseDPDF=Y")</f>
        <v>77.405000000000001</v>
      </c>
      <c r="AC11" s="12" cm="1">
        <f t="array" ref="AC11">_xll.BDH("PH US Equity","CF_DEF_INC_TAX","FQ3 2025","FQ3 2025","Currency=USD","Period=FQ","BEST_FPERIOD_OVERRIDE=FQ","FILING_STATUS=MR","SCALING_FORMAT=MLN","Sort=A","Dates=H","DateFormat=P","Fill=—","Direction=H","UseDPDF=Y")</f>
        <v>-304.18599999999998</v>
      </c>
      <c r="AD11" s="12" cm="1">
        <f t="array" ref="AD11">_xll.BDH("PH US Equity","CF_DEF_INC_TAX","FQ4 2025","FQ4 2025","Currency=USD","Period=FQ","BEST_FPERIOD_OVERRIDE=FQ","FILING_STATUS=MR","SCALING_FORMAT=MLN","Sort=A","Dates=H","DateFormat=P","Fill=—","Direction=H","UseDPDF=Y")</f>
        <v>-49.963999999999999</v>
      </c>
      <c r="AE11" s="12" cm="1">
        <f t="array" ref="AE11">_xll.BDH("PH US Equity","CF_DEF_INC_TAX","FQ1 2026","FQ1 2026","Currency=USD","Period=FQ","BEST_FPERIOD_OVERRIDE=FQ","FILING_STATUS=MR","SCALING_FORMAT=MLN","Sort=A","Dates=H","DateFormat=P","Fill=—","Direction=H","UseDPDF=Y")</f>
        <v>3</v>
      </c>
      <c r="AF11" s="12" cm="1">
        <f t="array" ref="AF11">_xll.BDH("PH US Equity","CF_DEF_INC_TAX","FQ2 2026","FQ2 2026","Currency=USD","Period=FQ","BEST_FPERIOD_OVERRIDE=FQ","FILING_STATUS=MR","SCALING_FORMAT=MLN","Sort=A","Dates=H","DateFormat=P","Fill=—","Direction=H","UseDPDF=Y")</f>
        <v>-12</v>
      </c>
    </row>
    <row r="12" spans="1:32" x14ac:dyDescent="0.25">
      <c r="A12" s="10" t="s">
        <v>76</v>
      </c>
      <c r="B12" s="10" t="s">
        <v>77</v>
      </c>
      <c r="C12" s="12" cm="1">
        <f t="array" ref="C12">_xll.BDH("PH US Equity","OTHER_NON_CASH_ADJ_LESS_DETAILED","FQ1 2019","FQ1 2019","Currency=USD","Period=FQ","BEST_FPERIOD_OVERRIDE=FQ","FILING_STATUS=MR","SCALING_FORMAT=MLN","Sort=A","Dates=H","DateFormat=P","Fill=—","Direction=H","UseDPDF=Y")</f>
        <v>-268.39800000000002</v>
      </c>
      <c r="D12" s="12" cm="1">
        <f t="array" ref="D12">_xll.BDH("PH US Equity","OTHER_NON_CASH_ADJ_LESS_DETAILED","FQ2 2019","FQ2 2019","Currency=USD","Period=FQ","BEST_FPERIOD_OVERRIDE=FQ","FILING_STATUS=MR","SCALING_FORMAT=MLN","Sort=A","Dates=H","DateFormat=P","Fill=—","Direction=H","UseDPDF=Y")</f>
        <v>39.219000000000001</v>
      </c>
      <c r="E12" s="12" cm="1">
        <f t="array" ref="E12">_xll.BDH("PH US Equity","OTHER_NON_CASH_ADJ_LESS_DETAILED","FQ3 2019","FQ3 2019","Currency=USD","Period=FQ","BEST_FPERIOD_OVERRIDE=FQ","FILING_STATUS=MR","SCALING_FORMAT=MLN","Sort=A","Dates=H","DateFormat=P","Fill=—","Direction=H","UseDPDF=Y")</f>
        <v>-25.754000000000001</v>
      </c>
      <c r="F12" s="12" cm="1">
        <f t="array" ref="F12">_xll.BDH("PH US Equity","OTHER_NON_CASH_ADJ_LESS_DETAILED","FQ4 2019","FQ4 2019","Currency=USD","Period=FQ","BEST_FPERIOD_OVERRIDE=FQ","FILING_STATUS=MR","SCALING_FORMAT=MLN","Sort=A","Dates=H","DateFormat=P","Fill=—","Direction=H","UseDPDF=Y")</f>
        <v>6.8090000000000002</v>
      </c>
      <c r="G12" s="12" cm="1">
        <f t="array" ref="G12">_xll.BDH("PH US Equity","OTHER_NON_CASH_ADJ_LESS_DETAILED","FQ1 2020","FQ1 2020","Currency=USD","Period=FQ","BEST_FPERIOD_OVERRIDE=FQ","FILING_STATUS=MR","SCALING_FORMAT=MLN","Sort=A","Dates=H","DateFormat=P","Fill=—","Direction=H","UseDPDF=Y")</f>
        <v>-29.911999999999999</v>
      </c>
      <c r="H12" s="12" cm="1">
        <f t="array" ref="H12">_xll.BDH("PH US Equity","OTHER_NON_CASH_ADJ_LESS_DETAILED","FQ2 2020","FQ2 2020","Currency=USD","Period=FQ","BEST_FPERIOD_OVERRIDE=FQ","FILING_STATUS=MR","SCALING_FORMAT=MLN","Sort=A","Dates=H","DateFormat=P","Fill=—","Direction=H","UseDPDF=Y")</f>
        <v>2.6339999999999999</v>
      </c>
      <c r="I12" s="12" cm="1">
        <f t="array" ref="I12">_xll.BDH("PH US Equity","OTHER_NON_CASH_ADJ_LESS_DETAILED","FQ3 2020","FQ3 2020","Currency=USD","Period=FQ","BEST_FPERIOD_OVERRIDE=FQ","FILING_STATUS=MR","SCALING_FORMAT=MLN","Sort=A","Dates=H","DateFormat=P","Fill=—","Direction=H","UseDPDF=Y")</f>
        <v>-47.475000000000001</v>
      </c>
      <c r="J12" s="12" cm="1">
        <f t="array" ref="J12">_xll.BDH("PH US Equity","OTHER_NON_CASH_ADJ_LESS_DETAILED","FQ4 2020","FQ4 2020","Currency=USD","Period=FQ","BEST_FPERIOD_OVERRIDE=FQ","FILING_STATUS=MR","SCALING_FORMAT=MLN","Sort=A","Dates=H","DateFormat=P","Fill=—","Direction=H","UseDPDF=Y")</f>
        <v>58.997999999999998</v>
      </c>
      <c r="K12" s="12" cm="1">
        <f t="array" ref="K12">_xll.BDH("PH US Equity","OTHER_NON_CASH_ADJ_LESS_DETAILED","FQ1 2021","FQ1 2021","Currency=USD","Period=FQ","BEST_FPERIOD_OVERRIDE=FQ","FILING_STATUS=MR","SCALING_FORMAT=MLN","Sort=A","Dates=H","DateFormat=P","Fill=—","Direction=H","UseDPDF=Y")</f>
        <v>15.962999999999999</v>
      </c>
      <c r="L12" s="12" cm="1">
        <f t="array" ref="L12">_xll.BDH("PH US Equity","OTHER_NON_CASH_ADJ_LESS_DETAILED","FQ2 2021","FQ2 2021","Currency=USD","Period=FQ","BEST_FPERIOD_OVERRIDE=FQ","FILING_STATUS=MR","SCALING_FORMAT=MLN","Sort=A","Dates=H","DateFormat=P","Fill=—","Direction=H","UseDPDF=Y")</f>
        <v>-79.186999999999998</v>
      </c>
      <c r="M12" s="12" cm="1">
        <f t="array" ref="M12">_xll.BDH("PH US Equity","OTHER_NON_CASH_ADJ_LESS_DETAILED","FQ3 2021","FQ3 2021","Currency=USD","Period=FQ","BEST_FPERIOD_OVERRIDE=FQ","FILING_STATUS=MR","SCALING_FORMAT=MLN","Sort=A","Dates=H","DateFormat=P","Fill=—","Direction=H","UseDPDF=Y")</f>
        <v>-5.7610000000000001</v>
      </c>
      <c r="N12" s="12" cm="1">
        <f t="array" ref="N12">_xll.BDH("PH US Equity","OTHER_NON_CASH_ADJ_LESS_DETAILED","FQ4 2021","FQ4 2021","Currency=USD","Period=FQ","BEST_FPERIOD_OVERRIDE=FQ","FILING_STATUS=MR","SCALING_FORMAT=MLN","Sort=A","Dates=H","DateFormat=P","Fill=—","Direction=H","UseDPDF=Y")</f>
        <v>-5.0129999999999999</v>
      </c>
      <c r="O12" s="12" cm="1">
        <f t="array" ref="O12">_xll.BDH("PH US Equity","OTHER_NON_CASH_ADJ_LESS_DETAILED","FQ1 2022","FQ1 2022","Currency=USD","Period=FQ","BEST_FPERIOD_OVERRIDE=FQ","FILING_STATUS=MR","SCALING_FORMAT=MLN","Sort=A","Dates=H","DateFormat=P","Fill=—","Direction=H","UseDPDF=Y")</f>
        <v>-11.968</v>
      </c>
      <c r="P12" s="12" cm="1">
        <f t="array" ref="P12">_xll.BDH("PH US Equity","OTHER_NON_CASH_ADJ_LESS_DETAILED","FQ2 2022","FQ2 2022","Currency=USD","Period=FQ","BEST_FPERIOD_OVERRIDE=FQ","FILING_STATUS=MR","SCALING_FORMAT=MLN","Sort=A","Dates=H","DateFormat=P","Fill=—","Direction=H","UseDPDF=Y")</f>
        <v>2.4910000000000001</v>
      </c>
      <c r="Q12" s="12" cm="1">
        <f t="array" ref="Q12">_xll.BDH("PH US Equity","OTHER_NON_CASH_ADJ_LESS_DETAILED","FQ3 2022","FQ3 2022","Currency=USD","Period=FQ","BEST_FPERIOD_OVERRIDE=FQ","FILING_STATUS=MR","SCALING_FORMAT=MLN","Sort=A","Dates=H","DateFormat=P","Fill=—","Direction=H","UseDPDF=Y")</f>
        <v>-9.9410000000000007</v>
      </c>
      <c r="R12" s="12" cm="1">
        <f t="array" ref="R12">_xll.BDH("PH US Equity","OTHER_NON_CASH_ADJ_LESS_DETAILED","FQ4 2022","FQ4 2022","Currency=USD","Period=FQ","BEST_FPERIOD_OVERRIDE=FQ","FILING_STATUS=MR","SCALING_FORMAT=MLN","Sort=A","Dates=H","DateFormat=P","Fill=—","Direction=H","UseDPDF=Y")</f>
        <v>-6.6879999999999997</v>
      </c>
      <c r="S12" s="12" cm="1">
        <f t="array" ref="S12">_xll.BDH("PH US Equity","OTHER_NON_CASH_ADJ_LESS_DETAILED","FQ1 2023","FQ1 2023","Currency=USD","Period=FQ","BEST_FPERIOD_OVERRIDE=FQ","FILING_STATUS=MR","SCALING_FORMAT=MLN","Sort=A","Dates=H","DateFormat=P","Fill=—","Direction=H","UseDPDF=Y")</f>
        <v>-380.78</v>
      </c>
      <c r="T12" s="12" cm="1">
        <f t="array" ref="T12">_xll.BDH("PH US Equity","OTHER_NON_CASH_ADJ_LESS_DETAILED","FQ2 2023","FQ2 2023","Currency=USD","Period=FQ","BEST_FPERIOD_OVERRIDE=FQ","FILING_STATUS=MR","SCALING_FORMAT=MLN","Sort=A","Dates=H","DateFormat=P","Fill=—","Direction=H","UseDPDF=Y")</f>
        <v>-30.648</v>
      </c>
      <c r="U12" s="12" cm="1">
        <f t="array" ref="U12">_xll.BDH("PH US Equity","OTHER_NON_CASH_ADJ_LESS_DETAILED","FQ3 2023","FQ3 2023","Currency=USD","Period=FQ","BEST_FPERIOD_OVERRIDE=FQ","FILING_STATUS=MR","SCALING_FORMAT=MLN","Sort=A","Dates=H","DateFormat=P","Fill=—","Direction=H","UseDPDF=Y")</f>
        <v>-59.405000000000001</v>
      </c>
      <c r="V12" s="12" cm="1">
        <f t="array" ref="V12">_xll.BDH("PH US Equity","OTHER_NON_CASH_ADJ_LESS_DETAILED","FQ4 2023","FQ4 2023","Currency=USD","Period=FQ","BEST_FPERIOD_OVERRIDE=FQ","FILING_STATUS=MR","SCALING_FORMAT=MLN","Sort=A","Dates=H","DateFormat=P","Fill=—","Direction=H","UseDPDF=Y")</f>
        <v>-117.11</v>
      </c>
      <c r="W12" s="12" cm="1">
        <f t="array" ref="W12">_xll.BDH("PH US Equity","OTHER_NON_CASH_ADJ_LESS_DETAILED","FQ1 2024","FQ1 2024","Currency=USD","Period=FQ","BEST_FPERIOD_OVERRIDE=FQ","FILING_STATUS=MR","SCALING_FORMAT=MLN","Sort=A","Dates=H","DateFormat=P","Fill=—","Direction=H","UseDPDF=Y")</f>
        <v>-178.78</v>
      </c>
      <c r="X12" s="12" cm="1">
        <f t="array" ref="X12">_xll.BDH("PH US Equity","OTHER_NON_CASH_ADJ_LESS_DETAILED","FQ2 2024","FQ2 2024","Currency=USD","Period=FQ","BEST_FPERIOD_OVERRIDE=FQ","FILING_STATUS=MR","SCALING_FORMAT=MLN","Sort=A","Dates=H","DateFormat=P","Fill=—","Direction=H","UseDPDF=Y")</f>
        <v>-17.335000000000001</v>
      </c>
      <c r="Y12" s="12" cm="1">
        <f t="array" ref="Y12">_xll.BDH("PH US Equity","OTHER_NON_CASH_ADJ_LESS_DETAILED","FQ3 2024","FQ3 2024","Currency=USD","Period=FQ","BEST_FPERIOD_OVERRIDE=FQ","FILING_STATUS=MR","SCALING_FORMAT=MLN","Sort=A","Dates=H","DateFormat=P","Fill=—","Direction=H","UseDPDF=Y")</f>
        <v>-124.355</v>
      </c>
      <c r="Z12" s="12" cm="1">
        <f t="array" ref="Z12">_xll.BDH("PH US Equity","OTHER_NON_CASH_ADJ_LESS_DETAILED","FQ4 2024","FQ4 2024","Currency=USD","Period=FQ","BEST_FPERIOD_OVERRIDE=FQ","FILING_STATUS=MR","SCALING_FORMAT=MLN","Sort=A","Dates=H","DateFormat=P","Fill=—","Direction=H","UseDPDF=Y")</f>
        <v>-52.658999999999999</v>
      </c>
      <c r="AA12" s="12" cm="1">
        <f t="array" ref="AA12">_xll.BDH("PH US Equity","OTHER_NON_CASH_ADJ_LESS_DETAILED","FQ1 2025","FQ1 2025","Currency=USD","Period=FQ","BEST_FPERIOD_OVERRIDE=FQ","FILING_STATUS=MR","SCALING_FORMAT=MLN","Sort=A","Dates=H","DateFormat=P","Fill=—","Direction=H","UseDPDF=Y")</f>
        <v>-56.764000000000003</v>
      </c>
      <c r="AB12" s="12" cm="1">
        <f t="array" ref="AB12">_xll.BDH("PH US Equity","OTHER_NON_CASH_ADJ_LESS_DETAILED","FQ2 2025","FQ2 2025","Currency=USD","Period=FQ","BEST_FPERIOD_OVERRIDE=FQ","FILING_STATUS=MR","SCALING_FORMAT=MLN","Sort=A","Dates=H","DateFormat=P","Fill=—","Direction=H","UseDPDF=Y")</f>
        <v>-304.452</v>
      </c>
      <c r="AC12" s="12" cm="1">
        <f t="array" ref="AC12">_xll.BDH("PH US Equity","OTHER_NON_CASH_ADJ_LESS_DETAILED","FQ3 2025","FQ3 2025","Currency=USD","Period=FQ","BEST_FPERIOD_OVERRIDE=FQ","FILING_STATUS=MR","SCALING_FORMAT=MLN","Sort=A","Dates=H","DateFormat=P","Fill=—","Direction=H","UseDPDF=Y")</f>
        <v>42.655000000000001</v>
      </c>
      <c r="AD12" s="12" cm="1">
        <f t="array" ref="AD12">_xll.BDH("PH US Equity","OTHER_NON_CASH_ADJ_LESS_DETAILED","FQ4 2025","FQ4 2025","Currency=USD","Period=FQ","BEST_FPERIOD_OVERRIDE=FQ","FILING_STATUS=MR","SCALING_FORMAT=MLN","Sort=A","Dates=H","DateFormat=P","Fill=—","Direction=H","UseDPDF=Y")</f>
        <v>-20.266999999999999</v>
      </c>
      <c r="AE12" s="12" cm="1">
        <f t="array" ref="AE12">_xll.BDH("PH US Equity","OTHER_NON_CASH_ADJ_LESS_DETAILED","FQ1 2026","FQ1 2026","Currency=USD","Period=FQ","BEST_FPERIOD_OVERRIDE=FQ","FILING_STATUS=MR","SCALING_FORMAT=MLN","Sort=A","Dates=H","DateFormat=P","Fill=—","Direction=H","UseDPDF=Y")</f>
        <v>-49</v>
      </c>
      <c r="AF12" s="12" cm="1">
        <f t="array" ref="AF12">_xll.BDH("PH US Equity","OTHER_NON_CASH_ADJ_LESS_DETAILED","FQ2 2026","FQ2 2026","Currency=USD","Period=FQ","BEST_FPERIOD_OVERRIDE=FQ","FILING_STATUS=MR","SCALING_FORMAT=MLN","Sort=A","Dates=H","DateFormat=P","Fill=—","Direction=H","UseDPDF=Y")</f>
        <v>-43</v>
      </c>
    </row>
    <row r="13" spans="1:32" x14ac:dyDescent="0.25">
      <c r="A13" s="10" t="s">
        <v>78</v>
      </c>
      <c r="B13" s="10" t="s">
        <v>79</v>
      </c>
      <c r="C13" s="12" cm="1">
        <f t="array" ref="C13">_xll.BDH("PH US Equity","CF_CHNG_NON_CASH_WORK_CAP","FQ1 2019","FQ1 2019","Currency=USD","Period=FQ","BEST_FPERIOD_OVERRIDE=FQ","FILING_STATUS=MR","SCALING_FORMAT=MLN","Sort=A","Dates=H","DateFormat=P","Fill=—","Direction=H","UseDPDF=Y")</f>
        <v>-135.12200000000001</v>
      </c>
      <c r="D13" s="12" cm="1">
        <f t="array" ref="D13">_xll.BDH("PH US Equity","CF_CHNG_NON_CASH_WORK_CAP","FQ2 2019","FQ2 2019","Currency=USD","Period=FQ","BEST_FPERIOD_OVERRIDE=FQ","FILING_STATUS=MR","SCALING_FORMAT=MLN","Sort=A","Dates=H","DateFormat=P","Fill=—","Direction=H","UseDPDF=Y")</f>
        <v>-116.666</v>
      </c>
      <c r="E13" s="12" cm="1">
        <f t="array" ref="E13">_xll.BDH("PH US Equity","CF_CHNG_NON_CASH_WORK_CAP","FQ3 2019","FQ3 2019","Currency=USD","Period=FQ","BEST_FPERIOD_OVERRIDE=FQ","FILING_STATUS=MR","SCALING_FORMAT=MLN","Sort=A","Dates=H","DateFormat=P","Fill=—","Direction=H","UseDPDF=Y")</f>
        <v>52.017000000000003</v>
      </c>
      <c r="F13" s="12" cm="1">
        <f t="array" ref="F13">_xll.BDH("PH US Equity","CF_CHNG_NON_CASH_WORK_CAP","FQ4 2019","FQ4 2019","Currency=USD","Period=FQ","BEST_FPERIOD_OVERRIDE=FQ","FILING_STATUS=MR","SCALING_FORMAT=MLN","Sort=A","Dates=H","DateFormat=P","Fill=—","Direction=H","UseDPDF=Y")</f>
        <v>92.867000000000004</v>
      </c>
      <c r="G13" s="12" cm="1">
        <f t="array" ref="G13">_xll.BDH("PH US Equity","CF_CHNG_NON_CASH_WORK_CAP","FQ1 2020","FQ1 2020","Currency=USD","Period=FQ","BEST_FPERIOD_OVERRIDE=FQ","FILING_STATUS=MR","SCALING_FORMAT=MLN","Sort=A","Dates=H","DateFormat=P","Fill=—","Direction=H","UseDPDF=Y")</f>
        <v>-6.0110000000000001</v>
      </c>
      <c r="H13" s="12" cm="1">
        <f t="array" ref="H13">_xll.BDH("PH US Equity","CF_CHNG_NON_CASH_WORK_CAP","FQ2 2020","FQ2 2020","Currency=USD","Period=FQ","BEST_FPERIOD_OVERRIDE=FQ","FILING_STATUS=MR","SCALING_FORMAT=MLN","Sort=A","Dates=H","DateFormat=P","Fill=—","Direction=H","UseDPDF=Y")</f>
        <v>-19.091999999999999</v>
      </c>
      <c r="I13" s="12" cm="1">
        <f t="array" ref="I13">_xll.BDH("PH US Equity","CF_CHNG_NON_CASH_WORK_CAP","FQ3 2020","FQ3 2020","Currency=USD","Period=FQ","BEST_FPERIOD_OVERRIDE=FQ","FILING_STATUS=MR","SCALING_FORMAT=MLN","Sort=A","Dates=H","DateFormat=P","Fill=—","Direction=H","UseDPDF=Y")</f>
        <v>-12.67</v>
      </c>
      <c r="J13" s="12" cm="1">
        <f t="array" ref="J13">_xll.BDH("PH US Equity","CF_CHNG_NON_CASH_WORK_CAP","FQ4 2020","FQ4 2020","Currency=USD","Period=FQ","BEST_FPERIOD_OVERRIDE=FQ","FILING_STATUS=MR","SCALING_FORMAT=MLN","Sort=A","Dates=H","DateFormat=P","Fill=—","Direction=H","UseDPDF=Y")</f>
        <v>263.15800000000002</v>
      </c>
      <c r="K13" s="12" cm="1">
        <f t="array" ref="K13">_xll.BDH("PH US Equity","CF_CHNG_NON_CASH_WORK_CAP","FQ1 2021","FQ1 2021","Currency=USD","Period=FQ","BEST_FPERIOD_OVERRIDE=FQ","FILING_STATUS=MR","SCALING_FORMAT=MLN","Sort=A","Dates=H","DateFormat=P","Fill=—","Direction=H","UseDPDF=Y")</f>
        <v>183.66200000000001</v>
      </c>
      <c r="L13" s="12" cm="1">
        <f t="array" ref="L13">_xll.BDH("PH US Equity","CF_CHNG_NON_CASH_WORK_CAP","FQ2 2021","FQ2 2021","Currency=USD","Period=FQ","BEST_FPERIOD_OVERRIDE=FQ","FILING_STATUS=MR","SCALING_FORMAT=MLN","Sort=A","Dates=H","DateFormat=P","Fill=—","Direction=H","UseDPDF=Y")</f>
        <v>90.516999999999996</v>
      </c>
      <c r="M13" s="12" cm="1">
        <f t="array" ref="M13">_xll.BDH("PH US Equity","CF_CHNG_NON_CASH_WORK_CAP","FQ3 2021","FQ3 2021","Currency=USD","Period=FQ","BEST_FPERIOD_OVERRIDE=FQ","FILING_STATUS=MR","SCALING_FORMAT=MLN","Sort=A","Dates=H","DateFormat=P","Fill=—","Direction=H","UseDPDF=Y")</f>
        <v>-103.98699999999999</v>
      </c>
      <c r="N13" s="12" cm="1">
        <f t="array" ref="N13">_xll.BDH("PH US Equity","CF_CHNG_NON_CASH_WORK_CAP","FQ4 2021","FQ4 2021","Currency=USD","Period=FQ","BEST_FPERIOD_OVERRIDE=FQ","FILING_STATUS=MR","SCALING_FORMAT=MLN","Sort=A","Dates=H","DateFormat=P","Fill=—","Direction=H","UseDPDF=Y")</f>
        <v>67.334000000000003</v>
      </c>
      <c r="O13" s="12" cm="1">
        <f t="array" ref="O13">_xll.BDH("PH US Equity","CF_CHNG_NON_CASH_WORK_CAP","FQ1 2022","FQ1 2022","Currency=USD","Period=FQ","BEST_FPERIOD_OVERRIDE=FQ","FILING_STATUS=MR","SCALING_FORMAT=MLN","Sort=A","Dates=H","DateFormat=P","Fill=—","Direction=H","UseDPDF=Y")</f>
        <v>-177.99100000000001</v>
      </c>
      <c r="P13" s="12" cm="1">
        <f t="array" ref="P13">_xll.BDH("PH US Equity","CF_CHNG_NON_CASH_WORK_CAP","FQ2 2022","FQ2 2022","Currency=USD","Period=FQ","BEST_FPERIOD_OVERRIDE=FQ","FILING_STATUS=MR","SCALING_FORMAT=MLN","Sort=A","Dates=H","DateFormat=P","Fill=—","Direction=H","UseDPDF=Y")</f>
        <v>46.097999999999999</v>
      </c>
      <c r="Q13" s="12" cm="1">
        <f t="array" ref="Q13">_xll.BDH("PH US Equity","CF_CHNG_NON_CASH_WORK_CAP","FQ3 2022","FQ3 2022","Currency=USD","Period=FQ","BEST_FPERIOD_OVERRIDE=FQ","FILING_STATUS=MR","SCALING_FORMAT=MLN","Sort=A","Dates=H","DateFormat=P","Fill=—","Direction=H","UseDPDF=Y")</f>
        <v>145.142</v>
      </c>
      <c r="R13" s="12" cm="1">
        <f t="array" ref="R13">_xll.BDH("PH US Equity","CF_CHNG_NON_CASH_WORK_CAP","FQ4 2022","FQ4 2022","Currency=USD","Period=FQ","BEST_FPERIOD_OVERRIDE=FQ","FILING_STATUS=MR","SCALING_FORMAT=MLN","Sort=A","Dates=H","DateFormat=P","Fill=—","Direction=H","UseDPDF=Y")</f>
        <v>781.32600000000002</v>
      </c>
      <c r="S13" s="12" cm="1">
        <f t="array" ref="S13">_xll.BDH("PH US Equity","CF_CHNG_NON_CASH_WORK_CAP","FQ1 2023","FQ1 2023","Currency=USD","Period=FQ","BEST_FPERIOD_OVERRIDE=FQ","FILING_STATUS=MR","SCALING_FORMAT=MLN","Sort=A","Dates=H","DateFormat=P","Fill=—","Direction=H","UseDPDF=Y")</f>
        <v>37.664999999999999</v>
      </c>
      <c r="T13" s="12" cm="1">
        <f t="array" ref="T13">_xll.BDH("PH US Equity","CF_CHNG_NON_CASH_WORK_CAP","FQ2 2023","FQ2 2023","Currency=USD","Period=FQ","BEST_FPERIOD_OVERRIDE=FQ","FILING_STATUS=MR","SCALING_FORMAT=MLN","Sort=A","Dates=H","DateFormat=P","Fill=—","Direction=H","UseDPDF=Y")</f>
        <v>61.893000000000001</v>
      </c>
      <c r="U13" s="12" cm="1">
        <f t="array" ref="U13">_xll.BDH("PH US Equity","CF_CHNG_NON_CASH_WORK_CAP","FQ3 2023","FQ3 2023","Currency=USD","Period=FQ","BEST_FPERIOD_OVERRIDE=FQ","FILING_STATUS=MR","SCALING_FORMAT=MLN","Sort=A","Dates=H","DateFormat=P","Fill=—","Direction=H","UseDPDF=Y")</f>
        <v>-24.218</v>
      </c>
      <c r="V13" s="12" cm="1">
        <f t="array" ref="V13">_xll.BDH("PH US Equity","CF_CHNG_NON_CASH_WORK_CAP","FQ4 2023","FQ4 2023","Currency=USD","Period=FQ","BEST_FPERIOD_OVERRIDE=FQ","FILING_STATUS=MR","SCALING_FORMAT=MLN","Sort=A","Dates=H","DateFormat=P","Fill=—","Direction=H","UseDPDF=Y")</f>
        <v>356.88299999999998</v>
      </c>
      <c r="W13" s="12" cm="1">
        <f t="array" ref="W13">_xll.BDH("PH US Equity","CF_CHNG_NON_CASH_WORK_CAP","FQ1 2024","FQ1 2024","Currency=USD","Period=FQ","BEST_FPERIOD_OVERRIDE=FQ","FILING_STATUS=MR","SCALING_FORMAT=MLN","Sort=A","Dates=H","DateFormat=P","Fill=—","Direction=H","UseDPDF=Y")</f>
        <v>-84.341999999999999</v>
      </c>
      <c r="X13" s="12" cm="1">
        <f t="array" ref="X13">_xll.BDH("PH US Equity","CF_CHNG_NON_CASH_WORK_CAP","FQ2 2024","FQ2 2024","Currency=USD","Period=FQ","BEST_FPERIOD_OVERRIDE=FQ","FILING_STATUS=MR","SCALING_FORMAT=MLN","Sort=A","Dates=H","DateFormat=P","Fill=—","Direction=H","UseDPDF=Y")</f>
        <v>-194.86799999999999</v>
      </c>
      <c r="Y13" s="12" cm="1">
        <f t="array" ref="Y13">_xll.BDH("PH US Equity","CF_CHNG_NON_CASH_WORK_CAP","FQ3 2024","FQ3 2024","Currency=USD","Period=FQ","BEST_FPERIOD_OVERRIDE=FQ","FILING_STATUS=MR","SCALING_FORMAT=MLN","Sort=A","Dates=H","DateFormat=P","Fill=—","Direction=H","UseDPDF=Y")</f>
        <v>-99.957999999999998</v>
      </c>
      <c r="Z13" s="12" cm="1">
        <f t="array" ref="Z13">_xll.BDH("PH US Equity","CF_CHNG_NON_CASH_WORK_CAP","FQ4 2024","FQ4 2024","Currency=USD","Period=FQ","BEST_FPERIOD_OVERRIDE=FQ","FILING_STATUS=MR","SCALING_FORMAT=MLN","Sort=A","Dates=H","DateFormat=P","Fill=—","Direction=H","UseDPDF=Y")</f>
        <v>177.62899999999999</v>
      </c>
      <c r="AA13" s="12" cm="1">
        <f t="array" ref="AA13">_xll.BDH("PH US Equity","CF_CHNG_NON_CASH_WORK_CAP","FQ1 2025","FQ1 2025","Currency=USD","Period=FQ","BEST_FPERIOD_OVERRIDE=FQ","FILING_STATUS=MR","SCALING_FORMAT=MLN","Sort=A","Dates=H","DateFormat=P","Fill=—","Direction=H","UseDPDF=Y")</f>
        <v>-175.31399999999999</v>
      </c>
      <c r="AB13" s="12" cm="1">
        <f t="array" ref="AB13">_xll.BDH("PH US Equity","CF_CHNG_NON_CASH_WORK_CAP","FQ2 2025","FQ2 2025","Currency=USD","Period=FQ","BEST_FPERIOD_OVERRIDE=FQ","FILING_STATUS=MR","SCALING_FORMAT=MLN","Sort=A","Dates=H","DateFormat=P","Fill=—","Direction=H","UseDPDF=Y")</f>
        <v>-43.19</v>
      </c>
      <c r="AC13" s="12" cm="1">
        <f t="array" ref="AC13">_xll.BDH("PH US Equity","CF_CHNG_NON_CASH_WORK_CAP","FQ3 2025","FQ3 2025","Currency=USD","Period=FQ","BEST_FPERIOD_OVERRIDE=FQ","FILING_STATUS=MR","SCALING_FORMAT=MLN","Sort=A","Dates=H","DateFormat=P","Fill=—","Direction=H","UseDPDF=Y")</f>
        <v>-315.39699999999999</v>
      </c>
      <c r="AD13" s="12" cm="1">
        <f t="array" ref="AD13">_xll.BDH("PH US Equity","CF_CHNG_NON_CASH_WORK_CAP","FQ4 2025","FQ4 2025","Currency=USD","Period=FQ","BEST_FPERIOD_OVERRIDE=FQ","FILING_STATUS=MR","SCALING_FORMAT=MLN","Sort=A","Dates=H","DateFormat=P","Fill=—","Direction=H","UseDPDF=Y")</f>
        <v>355.90100000000001</v>
      </c>
      <c r="AE13" s="12" cm="1">
        <f t="array" ref="AE13">_xll.BDH("PH US Equity","CF_CHNG_NON_CASH_WORK_CAP","FQ1 2026","FQ1 2026","Currency=USD","Period=FQ","BEST_FPERIOD_OVERRIDE=FQ","FILING_STATUS=MR","SCALING_FORMAT=MLN","Sort=A","Dates=H","DateFormat=P","Fill=—","Direction=H","UseDPDF=Y")</f>
        <v>-292</v>
      </c>
      <c r="AF13" s="12" cm="1">
        <f t="array" ref="AF13">_xll.BDH("PH US Equity","CF_CHNG_NON_CASH_WORK_CAP","FQ2 2026","FQ2 2026","Currency=USD","Period=FQ","BEST_FPERIOD_OVERRIDE=FQ","FILING_STATUS=MR","SCALING_FORMAT=MLN","Sort=A","Dates=H","DateFormat=P","Fill=—","Direction=H","UseDPDF=Y")</f>
        <v>-189</v>
      </c>
    </row>
    <row r="14" spans="1:32" x14ac:dyDescent="0.25">
      <c r="A14" s="10" t="s">
        <v>80</v>
      </c>
      <c r="B14" s="10" t="s">
        <v>81</v>
      </c>
      <c r="C14" s="12" cm="1">
        <f t="array" ref="C14">_xll.BDH("PH US Equity","CF_ACCT_RCV_UNBILLED_REV","FQ1 2019","FQ1 2019","Currency=USD","Period=FQ","BEST_FPERIOD_OVERRIDE=FQ","FILING_STATUS=MR","SCALING_FORMAT=MLN","Sort=A","Dates=H","DateFormat=P","Fill=—","Direction=H","UseDPDF=Y")</f>
        <v>78.369</v>
      </c>
      <c r="D14" s="12" cm="1">
        <f t="array" ref="D14">_xll.BDH("PH US Equity","CF_ACCT_RCV_UNBILLED_REV","FQ2 2019","FQ2 2019","Currency=USD","Period=FQ","BEST_FPERIOD_OVERRIDE=FQ","FILING_STATUS=MR","SCALING_FORMAT=MLN","Sort=A","Dates=H","DateFormat=P","Fill=—","Direction=H","UseDPDF=Y")</f>
        <v>107.26900000000001</v>
      </c>
      <c r="E14" s="12" cm="1">
        <f t="array" ref="E14">_xll.BDH("PH US Equity","CF_ACCT_RCV_UNBILLED_REV","FQ3 2019","FQ3 2019","Currency=USD","Period=FQ","BEST_FPERIOD_OVERRIDE=FQ","FILING_STATUS=MR","SCALING_FORMAT=MLN","Sort=A","Dates=H","DateFormat=P","Fill=—","Direction=H","UseDPDF=Y")</f>
        <v>-177.494</v>
      </c>
      <c r="F14" s="12" cm="1">
        <f t="array" ref="F14">_xll.BDH("PH US Equity","CF_ACCT_RCV_UNBILLED_REV","FQ4 2019","FQ4 2019","Currency=USD","Period=FQ","BEST_FPERIOD_OVERRIDE=FQ","FILING_STATUS=MR","SCALING_FORMAT=MLN","Sort=A","Dates=H","DateFormat=P","Fill=—","Direction=H","UseDPDF=Y")</f>
        <v>-5.6920000000000002</v>
      </c>
      <c r="G14" s="12" cm="1">
        <f t="array" ref="G14">_xll.BDH("PH US Equity","CF_ACCT_RCV_UNBILLED_REV","FQ1 2020","FQ1 2020","Currency=USD","Period=FQ","BEST_FPERIOD_OVERRIDE=FQ","FILING_STATUS=MR","SCALING_FORMAT=MLN","Sort=A","Dates=H","DateFormat=P","Fill=—","Direction=H","UseDPDF=Y")</f>
        <v>213.203</v>
      </c>
      <c r="H14" s="12" cm="1">
        <f t="array" ref="H14">_xll.BDH("PH US Equity","CF_ACCT_RCV_UNBILLED_REV","FQ2 2020","FQ2 2020","Currency=USD","Period=FQ","BEST_FPERIOD_OVERRIDE=FQ","FILING_STATUS=MR","SCALING_FORMAT=MLN","Sort=A","Dates=H","DateFormat=P","Fill=—","Direction=H","UseDPDF=Y")</f>
        <v>166.333</v>
      </c>
      <c r="I14" s="12" cm="1">
        <f t="array" ref="I14">_xll.BDH("PH US Equity","CF_ACCT_RCV_UNBILLED_REV","FQ3 2020","FQ3 2020","Currency=USD","Period=FQ","BEST_FPERIOD_OVERRIDE=FQ","FILING_STATUS=MR","SCALING_FORMAT=MLN","Sort=A","Dates=H","DateFormat=P","Fill=—","Direction=H","UseDPDF=Y")</f>
        <v>-206.226</v>
      </c>
      <c r="J14" s="12" cm="1">
        <f t="array" ref="J14">_xll.BDH("PH US Equity","CF_ACCT_RCV_UNBILLED_REV","FQ4 2020","FQ4 2020","Currency=USD","Period=FQ","BEST_FPERIOD_OVERRIDE=FQ","FILING_STATUS=MR","SCALING_FORMAT=MLN","Sort=A","Dates=H","DateFormat=P","Fill=—","Direction=H","UseDPDF=Y")</f>
        <v>405.54300000000001</v>
      </c>
      <c r="K14" s="12" cm="1">
        <f t="array" ref="K14">_xll.BDH("PH US Equity","CF_ACCT_RCV_UNBILLED_REV","FQ1 2021","FQ1 2021","Currency=USD","Period=FQ","BEST_FPERIOD_OVERRIDE=FQ","FILING_STATUS=MR","SCALING_FORMAT=MLN","Sort=A","Dates=H","DateFormat=P","Fill=—","Direction=H","UseDPDF=Y")</f>
        <v>15.532</v>
      </c>
      <c r="L14" s="12" cm="1">
        <f t="array" ref="L14">_xll.BDH("PH US Equity","CF_ACCT_RCV_UNBILLED_REV","FQ2 2021","FQ2 2021","Currency=USD","Period=FQ","BEST_FPERIOD_OVERRIDE=FQ","FILING_STATUS=MR","SCALING_FORMAT=MLN","Sort=A","Dates=H","DateFormat=P","Fill=—","Direction=H","UseDPDF=Y")</f>
        <v>64.153000000000006</v>
      </c>
      <c r="M14" s="12" cm="1">
        <f t="array" ref="M14">_xll.BDH("PH US Equity","CF_ACCT_RCV_UNBILLED_REV","FQ3 2021","FQ3 2021","Currency=USD","Period=FQ","BEST_FPERIOD_OVERRIDE=FQ","FILING_STATUS=MR","SCALING_FORMAT=MLN","Sort=A","Dates=H","DateFormat=P","Fill=—","Direction=H","UseDPDF=Y")</f>
        <v>-318.56700000000001</v>
      </c>
      <c r="N14" s="12" cm="1">
        <f t="array" ref="N14">_xll.BDH("PH US Equity","CF_ACCT_RCV_UNBILLED_REV","FQ4 2021","FQ4 2021","Currency=USD","Period=FQ","BEST_FPERIOD_OVERRIDE=FQ","FILING_STATUS=MR","SCALING_FORMAT=MLN","Sort=A","Dates=H","DateFormat=P","Fill=—","Direction=H","UseDPDF=Y")</f>
        <v>-59.628999999999998</v>
      </c>
      <c r="O14" s="12" cm="1">
        <f t="array" ref="O14">_xll.BDH("PH US Equity","CF_ACCT_RCV_UNBILLED_REV","FQ1 2022","FQ1 2022","Currency=USD","Period=FQ","BEST_FPERIOD_OVERRIDE=FQ","FILING_STATUS=MR","SCALING_FORMAT=MLN","Sort=A","Dates=H","DateFormat=P","Fill=—","Direction=H","UseDPDF=Y")</f>
        <v>74.069999999999993</v>
      </c>
      <c r="P14" s="12" cm="1">
        <f t="array" ref="P14">_xll.BDH("PH US Equity","CF_ACCT_RCV_UNBILLED_REV","FQ2 2022","FQ2 2022","Currency=USD","Period=FQ","BEST_FPERIOD_OVERRIDE=FQ","FILING_STATUS=MR","SCALING_FORMAT=MLN","Sort=A","Dates=H","DateFormat=P","Fill=—","Direction=H","UseDPDF=Y")</f>
        <v>75.084999999999994</v>
      </c>
      <c r="Q14" s="12" cm="1">
        <f t="array" ref="Q14">_xll.BDH("PH US Equity","CF_ACCT_RCV_UNBILLED_REV","FQ3 2022","FQ3 2022","Currency=USD","Period=FQ","BEST_FPERIOD_OVERRIDE=FQ","FILING_STATUS=MR","SCALING_FORMAT=MLN","Sort=A","Dates=H","DateFormat=P","Fill=—","Direction=H","UseDPDF=Y")</f>
        <v>-313.05500000000001</v>
      </c>
      <c r="R14" s="12" cm="1">
        <f t="array" ref="R14">_xll.BDH("PH US Equity","CF_ACCT_RCV_UNBILLED_REV","FQ4 2022","FQ4 2022","Currency=USD","Period=FQ","BEST_FPERIOD_OVERRIDE=FQ","FILING_STATUS=MR","SCALING_FORMAT=MLN","Sort=A","Dates=H","DateFormat=P","Fill=—","Direction=H","UseDPDF=Y")</f>
        <v>-15.226000000000001</v>
      </c>
      <c r="S14" s="12" cm="1">
        <f t="array" ref="S14">_xll.BDH("PH US Equity","CF_ACCT_RCV_UNBILLED_REV","FQ1 2023","FQ1 2023","Currency=USD","Period=FQ","BEST_FPERIOD_OVERRIDE=FQ","FILING_STATUS=MR","SCALING_FORMAT=MLN","Sort=A","Dates=H","DateFormat=P","Fill=—","Direction=H","UseDPDF=Y")</f>
        <v>-1.228</v>
      </c>
      <c r="T14" s="12" cm="1">
        <f t="array" ref="T14">_xll.BDH("PH US Equity","CF_ACCT_RCV_UNBILLED_REV","FQ2 2023","FQ2 2023","Currency=USD","Period=FQ","BEST_FPERIOD_OVERRIDE=FQ","FILING_STATUS=MR","SCALING_FORMAT=MLN","Sort=A","Dates=H","DateFormat=P","Fill=—","Direction=H","UseDPDF=Y")</f>
        <v>160.804</v>
      </c>
      <c r="U14" s="12" cm="1">
        <f t="array" ref="U14">_xll.BDH("PH US Equity","CF_ACCT_RCV_UNBILLED_REV","FQ3 2023","FQ3 2023","Currency=USD","Period=FQ","BEST_FPERIOD_OVERRIDE=FQ","FILING_STATUS=MR","SCALING_FORMAT=MLN","Sort=A","Dates=H","DateFormat=P","Fill=—","Direction=H","UseDPDF=Y")</f>
        <v>-269.89299999999997</v>
      </c>
      <c r="V14" s="12" cm="1">
        <f t="array" ref="V14">_xll.BDH("PH US Equity","CF_ACCT_RCV_UNBILLED_REV","FQ4 2023","FQ4 2023","Currency=USD","Period=FQ","BEST_FPERIOD_OVERRIDE=FQ","FILING_STATUS=MR","SCALING_FORMAT=MLN","Sort=A","Dates=H","DateFormat=P","Fill=—","Direction=H","UseDPDF=Y")</f>
        <v>93.641999999999996</v>
      </c>
      <c r="W14" s="12" cm="1">
        <f t="array" ref="W14">_xll.BDH("PH US Equity","CF_ACCT_RCV_UNBILLED_REV","FQ1 2024","FQ1 2024","Currency=USD","Period=FQ","BEST_FPERIOD_OVERRIDE=FQ","FILING_STATUS=MR","SCALING_FORMAT=MLN","Sort=A","Dates=H","DateFormat=P","Fill=—","Direction=H","UseDPDF=Y")</f>
        <v>63.947000000000003</v>
      </c>
      <c r="X14" s="12" cm="1">
        <f t="array" ref="X14">_xll.BDH("PH US Equity","CF_ACCT_RCV_UNBILLED_REV","FQ2 2024","FQ2 2024","Currency=USD","Period=FQ","BEST_FPERIOD_OVERRIDE=FQ","FILING_STATUS=MR","SCALING_FORMAT=MLN","Sort=A","Dates=H","DateFormat=P","Fill=—","Direction=H","UseDPDF=Y")</f>
        <v>149.489</v>
      </c>
      <c r="Y14" s="12" cm="1">
        <f t="array" ref="Y14">_xll.BDH("PH US Equity","CF_ACCT_RCV_UNBILLED_REV","FQ3 2024","FQ3 2024","Currency=USD","Period=FQ","BEST_FPERIOD_OVERRIDE=FQ","FILING_STATUS=MR","SCALING_FORMAT=MLN","Sort=A","Dates=H","DateFormat=P","Fill=—","Direction=H","UseDPDF=Y")</f>
        <v>-309.82600000000002</v>
      </c>
      <c r="Z14" s="12" cm="1">
        <f t="array" ref="Z14">_xll.BDH("PH US Equity","CF_ACCT_RCV_UNBILLED_REV","FQ4 2024","FQ4 2024","Currency=USD","Period=FQ","BEST_FPERIOD_OVERRIDE=FQ","FILING_STATUS=MR","SCALING_FORMAT=MLN","Sort=A","Dates=H","DateFormat=P","Fill=—","Direction=H","UseDPDF=Y")</f>
        <v>11.298999999999999</v>
      </c>
      <c r="AA14" s="12" cm="1">
        <f t="array" ref="AA14">_xll.BDH("PH US Equity","CF_ACCT_RCV_UNBILLED_REV","FQ1 2025","FQ1 2025","Currency=USD","Period=FQ","BEST_FPERIOD_OVERRIDE=FQ","FILING_STATUS=MR","SCALING_FORMAT=MLN","Sort=A","Dates=H","DateFormat=P","Fill=—","Direction=H","UseDPDF=Y")</f>
        <v>137.55500000000001</v>
      </c>
      <c r="AB14" s="12" cm="1">
        <f t="array" ref="AB14">_xll.BDH("PH US Equity","CF_ACCT_RCV_UNBILLED_REV","FQ2 2025","FQ2 2025","Currency=USD","Period=FQ","BEST_FPERIOD_OVERRIDE=FQ","FILING_STATUS=MR","SCALING_FORMAT=MLN","Sort=A","Dates=H","DateFormat=P","Fill=—","Direction=H","UseDPDF=Y")</f>
        <v>224.751</v>
      </c>
      <c r="AC14" s="12" cm="1">
        <f t="array" ref="AC14">_xll.BDH("PH US Equity","CF_ACCT_RCV_UNBILLED_REV","FQ3 2025","FQ3 2025","Currency=USD","Period=FQ","BEST_FPERIOD_OVERRIDE=FQ","FILING_STATUS=MR","SCALING_FORMAT=MLN","Sort=A","Dates=H","DateFormat=P","Fill=—","Direction=H","UseDPDF=Y")</f>
        <v>-347.43900000000002</v>
      </c>
      <c r="AD14" s="12" cm="1">
        <f t="array" ref="AD14">_xll.BDH("PH US Equity","CF_ACCT_RCV_UNBILLED_REV","FQ4 2025","FQ4 2025","Currency=USD","Period=FQ","BEST_FPERIOD_OVERRIDE=FQ","FILING_STATUS=MR","SCALING_FORMAT=MLN","Sort=A","Dates=H","DateFormat=P","Fill=—","Direction=H","UseDPDF=Y")</f>
        <v>-8.8670000000000009</v>
      </c>
      <c r="AE14" s="12" cm="1">
        <f t="array" ref="AE14">_xll.BDH("PH US Equity","CF_ACCT_RCV_UNBILLED_REV","FQ1 2026","FQ1 2026","Currency=USD","Period=FQ","BEST_FPERIOD_OVERRIDE=FQ","FILING_STATUS=MR","SCALING_FORMAT=MLN","Sort=A","Dates=H","DateFormat=P","Fill=—","Direction=H","UseDPDF=Y")</f>
        <v>76</v>
      </c>
      <c r="AF14" s="12" cm="1">
        <f t="array" ref="AF14">_xll.BDH("PH US Equity","CF_ACCT_RCV_UNBILLED_REV","FQ2 2026","FQ2 2026","Currency=USD","Period=FQ","BEST_FPERIOD_OVERRIDE=FQ","FILING_STATUS=MR","SCALING_FORMAT=MLN","Sort=A","Dates=H","DateFormat=P","Fill=—","Direction=H","UseDPDF=Y")</f>
        <v>154</v>
      </c>
    </row>
    <row r="15" spans="1:32" x14ac:dyDescent="0.25">
      <c r="A15" s="10" t="s">
        <v>82</v>
      </c>
      <c r="B15" s="10" t="s">
        <v>83</v>
      </c>
      <c r="C15" s="12" cm="1">
        <f t="array" ref="C15">_xll.BDH("PH US Equity","CF_CHANGE_IN_INVENTORIES","FQ1 2019","FQ1 2019","Currency=USD","Period=FQ","BEST_FPERIOD_OVERRIDE=FQ","FILING_STATUS=MR","SCALING_FORMAT=MLN","Sort=A","Dates=H","DateFormat=P","Fill=—","Direction=H","UseDPDF=Y")</f>
        <v>-124.995</v>
      </c>
      <c r="D15" s="12" cm="1">
        <f t="array" ref="D15">_xll.BDH("PH US Equity","CF_CHANGE_IN_INVENTORIES","FQ2 2019","FQ2 2019","Currency=USD","Period=FQ","BEST_FPERIOD_OVERRIDE=FQ","FILING_STATUS=MR","SCALING_FORMAT=MLN","Sort=A","Dates=H","DateFormat=P","Fill=—","Direction=H","UseDPDF=Y")</f>
        <v>-51.098999999999997</v>
      </c>
      <c r="E15" s="12" cm="1">
        <f t="array" ref="E15">_xll.BDH("PH US Equity","CF_CHANGE_IN_INVENTORIES","FQ3 2019","FQ3 2019","Currency=USD","Period=FQ","BEST_FPERIOD_OVERRIDE=FQ","FILING_STATUS=MR","SCALING_FORMAT=MLN","Sort=A","Dates=H","DateFormat=P","Fill=—","Direction=H","UseDPDF=Y")</f>
        <v>43.957000000000001</v>
      </c>
      <c r="F15" s="12" cm="1">
        <f t="array" ref="F15">_xll.BDH("PH US Equity","CF_CHANGE_IN_INVENTORIES","FQ4 2019","FQ4 2019","Currency=USD","Period=FQ","BEST_FPERIOD_OVERRIDE=FQ","FILING_STATUS=MR","SCALING_FORMAT=MLN","Sort=A","Dates=H","DateFormat=P","Fill=—","Direction=H","UseDPDF=Y")</f>
        <v>80.319999999999993</v>
      </c>
      <c r="G15" s="12" cm="1">
        <f t="array" ref="G15">_xll.BDH("PH US Equity","CF_CHANGE_IN_INVENTORIES","FQ1 2020","FQ1 2020","Currency=USD","Period=FQ","BEST_FPERIOD_OVERRIDE=FQ","FILING_STATUS=MR","SCALING_FORMAT=MLN","Sort=A","Dates=H","DateFormat=P","Fill=—","Direction=H","UseDPDF=Y")</f>
        <v>-24.108000000000001</v>
      </c>
      <c r="H15" s="12" cm="1">
        <f t="array" ref="H15">_xll.BDH("PH US Equity","CF_CHANGE_IN_INVENTORIES","FQ2 2020","FQ2 2020","Currency=USD","Period=FQ","BEST_FPERIOD_OVERRIDE=FQ","FILING_STATUS=MR","SCALING_FORMAT=MLN","Sort=A","Dates=H","DateFormat=P","Fill=—","Direction=H","UseDPDF=Y")</f>
        <v>49.832000000000001</v>
      </c>
      <c r="I15" s="12" cm="1">
        <f t="array" ref="I15">_xll.BDH("PH US Equity","CF_CHANGE_IN_INVENTORIES","FQ3 2020","FQ3 2020","Currency=USD","Period=FQ","BEST_FPERIOD_OVERRIDE=FQ","FILING_STATUS=MR","SCALING_FORMAT=MLN","Sort=A","Dates=H","DateFormat=P","Fill=—","Direction=H","UseDPDF=Y")</f>
        <v>-33.743000000000002</v>
      </c>
      <c r="J15" s="12" cm="1">
        <f t="array" ref="J15">_xll.BDH("PH US Equity","CF_CHANGE_IN_INVENTORIES","FQ4 2020","FQ4 2020","Currency=USD","Period=FQ","BEST_FPERIOD_OVERRIDE=FQ","FILING_STATUS=MR","SCALING_FORMAT=MLN","Sort=A","Dates=H","DateFormat=P","Fill=—","Direction=H","UseDPDF=Y")</f>
        <v>214.95599999999999</v>
      </c>
      <c r="K15" s="12" cm="1">
        <f t="array" ref="K15">_xll.BDH("PH US Equity","CF_CHANGE_IN_INVENTORIES","FQ1 2021","FQ1 2021","Currency=USD","Period=FQ","BEST_FPERIOD_OVERRIDE=FQ","FILING_STATUS=MR","SCALING_FORMAT=MLN","Sort=A","Dates=H","DateFormat=P","Fill=—","Direction=H","UseDPDF=Y")</f>
        <v>42.039000000000001</v>
      </c>
      <c r="L15" s="12" cm="1">
        <f t="array" ref="L15">_xll.BDH("PH US Equity","CF_CHANGE_IN_INVENTORIES","FQ2 2021","FQ2 2021","Currency=USD","Period=FQ","BEST_FPERIOD_OVERRIDE=FQ","FILING_STATUS=MR","SCALING_FORMAT=MLN","Sort=A","Dates=H","DateFormat=P","Fill=—","Direction=H","UseDPDF=Y")</f>
        <v>-45.561999999999998</v>
      </c>
      <c r="M15" s="12" cm="1">
        <f t="array" ref="M15">_xll.BDH("PH US Equity","CF_CHANGE_IN_INVENTORIES","FQ3 2021","FQ3 2021","Currency=USD","Period=FQ","BEST_FPERIOD_OVERRIDE=FQ","FILING_STATUS=MR","SCALING_FORMAT=MLN","Sort=A","Dates=H","DateFormat=P","Fill=—","Direction=H","UseDPDF=Y")</f>
        <v>-48.875</v>
      </c>
      <c r="N15" s="12" cm="1">
        <f t="array" ref="N15">_xll.BDH("PH US Equity","CF_CHANGE_IN_INVENTORIES","FQ4 2021","FQ4 2021","Currency=USD","Period=FQ","BEST_FPERIOD_OVERRIDE=FQ","FILING_STATUS=MR","SCALING_FORMAT=MLN","Sort=A","Dates=H","DateFormat=P","Fill=—","Direction=H","UseDPDF=Y")</f>
        <v>-33.198999999999998</v>
      </c>
      <c r="O15" s="12" cm="1">
        <f t="array" ref="O15">_xll.BDH("PH US Equity","CF_CHANGE_IN_INVENTORIES","FQ1 2022","FQ1 2022","Currency=USD","Period=FQ","BEST_FPERIOD_OVERRIDE=FQ","FILING_STATUS=MR","SCALING_FORMAT=MLN","Sort=A","Dates=H","DateFormat=P","Fill=—","Direction=H","UseDPDF=Y")</f>
        <v>-190.779</v>
      </c>
      <c r="P15" s="12" cm="1">
        <f t="array" ref="P15">_xll.BDH("PH US Equity","CF_CHANGE_IN_INVENTORIES","FQ2 2022","FQ2 2022","Currency=USD","Period=FQ","BEST_FPERIOD_OVERRIDE=FQ","FILING_STATUS=MR","SCALING_FORMAT=MLN","Sort=A","Dates=H","DateFormat=P","Fill=—","Direction=H","UseDPDF=Y")</f>
        <v>-52.53</v>
      </c>
      <c r="Q15" s="12" cm="1">
        <f t="array" ref="Q15">_xll.BDH("PH US Equity","CF_CHANGE_IN_INVENTORIES","FQ3 2022","FQ3 2022","Currency=USD","Period=FQ","BEST_FPERIOD_OVERRIDE=FQ","FILING_STATUS=MR","SCALING_FORMAT=MLN","Sort=A","Dates=H","DateFormat=P","Fill=—","Direction=H","UseDPDF=Y")</f>
        <v>-31.408000000000001</v>
      </c>
      <c r="R15" s="12" cm="1">
        <f t="array" ref="R15">_xll.BDH("PH US Equity","CF_CHANGE_IN_INVENTORIES","FQ4 2022","FQ4 2022","Currency=USD","Period=FQ","BEST_FPERIOD_OVERRIDE=FQ","FILING_STATUS=MR","SCALING_FORMAT=MLN","Sort=A","Dates=H","DateFormat=P","Fill=—","Direction=H","UseDPDF=Y")</f>
        <v>62.582999999999998</v>
      </c>
      <c r="S15" s="12" cm="1">
        <f t="array" ref="S15">_xll.BDH("PH US Equity","CF_CHANGE_IN_INVENTORIES","FQ1 2023","FQ1 2023","Currency=USD","Period=FQ","BEST_FPERIOD_OVERRIDE=FQ","FILING_STATUS=MR","SCALING_FORMAT=MLN","Sort=A","Dates=H","DateFormat=P","Fill=—","Direction=H","UseDPDF=Y")</f>
        <v>-137.143</v>
      </c>
      <c r="T15" s="12" cm="1">
        <f t="array" ref="T15">_xll.BDH("PH US Equity","CF_CHANGE_IN_INVENTORIES","FQ2 2023","FQ2 2023","Currency=USD","Period=FQ","BEST_FPERIOD_OVERRIDE=FQ","FILING_STATUS=MR","SCALING_FORMAT=MLN","Sort=A","Dates=H","DateFormat=P","Fill=—","Direction=H","UseDPDF=Y")</f>
        <v>80.679000000000002</v>
      </c>
      <c r="U15" s="12" cm="1">
        <f t="array" ref="U15">_xll.BDH("PH US Equity","CF_CHANGE_IN_INVENTORIES","FQ3 2023","FQ3 2023","Currency=USD","Period=FQ","BEST_FPERIOD_OVERRIDE=FQ","FILING_STATUS=MR","SCALING_FORMAT=MLN","Sort=A","Dates=H","DateFormat=P","Fill=—","Direction=H","UseDPDF=Y")</f>
        <v>28.972999999999999</v>
      </c>
      <c r="V15" s="12" cm="1">
        <f t="array" ref="V15">_xll.BDH("PH US Equity","CF_CHANGE_IN_INVENTORIES","FQ4 2023","FQ4 2023","Currency=USD","Period=FQ","BEST_FPERIOD_OVERRIDE=FQ","FILING_STATUS=MR","SCALING_FORMAT=MLN","Sort=A","Dates=H","DateFormat=P","Fill=—","Direction=H","UseDPDF=Y")</f>
        <v>80.614999999999995</v>
      </c>
      <c r="W15" s="12" cm="1">
        <f t="array" ref="W15">_xll.BDH("PH US Equity","CF_CHANGE_IN_INVENTORIES","FQ1 2024","FQ1 2024","Currency=USD","Period=FQ","BEST_FPERIOD_OVERRIDE=FQ","FILING_STATUS=MR","SCALING_FORMAT=MLN","Sort=A","Dates=H","DateFormat=P","Fill=—","Direction=H","UseDPDF=Y")</f>
        <v>-137.995</v>
      </c>
      <c r="X15" s="12" cm="1">
        <f t="array" ref="X15">_xll.BDH("PH US Equity","CF_CHANGE_IN_INVENTORIES","FQ2 2024","FQ2 2024","Currency=USD","Period=FQ","BEST_FPERIOD_OVERRIDE=FQ","FILING_STATUS=MR","SCALING_FORMAT=MLN","Sort=A","Dates=H","DateFormat=P","Fill=—","Direction=H","UseDPDF=Y")</f>
        <v>-32.036999999999999</v>
      </c>
      <c r="Y15" s="12" cm="1">
        <f t="array" ref="Y15">_xll.BDH("PH US Equity","CF_CHANGE_IN_INVENTORIES","FQ3 2024","FQ3 2024","Currency=USD","Period=FQ","BEST_FPERIOD_OVERRIDE=FQ","FILING_STATUS=MR","SCALING_FORMAT=MLN","Sort=A","Dates=H","DateFormat=P","Fill=—","Direction=H","UseDPDF=Y")</f>
        <v>100.60599999999999</v>
      </c>
      <c r="Z15" s="12" cm="1">
        <f t="array" ref="Z15">_xll.BDH("PH US Equity","CF_CHANGE_IN_INVENTORIES","FQ4 2024","FQ4 2024","Currency=USD","Period=FQ","BEST_FPERIOD_OVERRIDE=FQ","FILING_STATUS=MR","SCALING_FORMAT=MLN","Sort=A","Dates=H","DateFormat=P","Fill=—","Direction=H","UseDPDF=Y")</f>
        <v>170.81100000000001</v>
      </c>
      <c r="AA15" s="12" cm="1">
        <f t="array" ref="AA15">_xll.BDH("PH US Equity","CF_CHANGE_IN_INVENTORIES","FQ1 2025","FQ1 2025","Currency=USD","Period=FQ","BEST_FPERIOD_OVERRIDE=FQ","FILING_STATUS=MR","SCALING_FORMAT=MLN","Sort=A","Dates=H","DateFormat=P","Fill=—","Direction=H","UseDPDF=Y")</f>
        <v>-135.649</v>
      </c>
      <c r="AB15" s="12" cm="1">
        <f t="array" ref="AB15">_xll.BDH("PH US Equity","CF_CHANGE_IN_INVENTORIES","FQ2 2025","FQ2 2025","Currency=USD","Period=FQ","BEST_FPERIOD_OVERRIDE=FQ","FILING_STATUS=MR","SCALING_FORMAT=MLN","Sort=A","Dates=H","DateFormat=P","Fill=—","Direction=H","UseDPDF=Y")</f>
        <v>-2.6309999999999998</v>
      </c>
      <c r="AC15" s="12" cm="1">
        <f t="array" ref="AC15">_xll.BDH("PH US Equity","CF_CHANGE_IN_INVENTORIES","FQ3 2025","FQ3 2025","Currency=USD","Period=FQ","BEST_FPERIOD_OVERRIDE=FQ","FILING_STATUS=MR","SCALING_FORMAT=MLN","Sort=A","Dates=H","DateFormat=P","Fill=—","Direction=H","UseDPDF=Y")</f>
        <v>8.6609999999999996</v>
      </c>
      <c r="AD15" s="12" cm="1">
        <f t="array" ref="AD15">_xll.BDH("PH US Equity","CF_CHANGE_IN_INVENTORIES","FQ4 2025","FQ4 2025","Currency=USD","Period=FQ","BEST_FPERIOD_OVERRIDE=FQ","FILING_STATUS=MR","SCALING_FORMAT=MLN","Sort=A","Dates=H","DateFormat=P","Fill=—","Direction=H","UseDPDF=Y")</f>
        <v>35.619</v>
      </c>
      <c r="AE15" s="12" cm="1">
        <f t="array" ref="AE15">_xll.BDH("PH US Equity","CF_CHANGE_IN_INVENTORIES","FQ1 2026","FQ1 2026","Currency=USD","Period=FQ","BEST_FPERIOD_OVERRIDE=FQ","FILING_STATUS=MR","SCALING_FORMAT=MLN","Sort=A","Dates=H","DateFormat=P","Fill=—","Direction=H","UseDPDF=Y")</f>
        <v>-163</v>
      </c>
      <c r="AF15" s="12" cm="1">
        <f t="array" ref="AF15">_xll.BDH("PH US Equity","CF_CHANGE_IN_INVENTORIES","FQ2 2026","FQ2 2026","Currency=USD","Period=FQ","BEST_FPERIOD_OVERRIDE=FQ","FILING_STATUS=MR","SCALING_FORMAT=MLN","Sort=A","Dates=H","DateFormat=P","Fill=—","Direction=H","UseDPDF=Y")</f>
        <v>-73</v>
      </c>
    </row>
    <row r="16" spans="1:32" x14ac:dyDescent="0.25">
      <c r="A16" s="10" t="s">
        <v>84</v>
      </c>
      <c r="B16" s="10" t="s">
        <v>85</v>
      </c>
      <c r="C16" s="12" cm="1">
        <f t="array" ref="C16">_xll.BDH("PH US Equity","CF_CHANGE_IN_ACCOUNTS_PAYABLE","FQ1 2019","FQ1 2019","Currency=USD","Period=FQ","BEST_FPERIOD_OVERRIDE=FQ","FILING_STATUS=MR","SCALING_FORMAT=MLN","Sort=A","Dates=H","DateFormat=P","Fill=—","Direction=H","UseDPDF=Y")</f>
        <v>-24.347000000000001</v>
      </c>
      <c r="D16" s="12" cm="1">
        <f t="array" ref="D16">_xll.BDH("PH US Equity","CF_CHANGE_IN_ACCOUNTS_PAYABLE","FQ2 2019","FQ2 2019","Currency=USD","Period=FQ","BEST_FPERIOD_OVERRIDE=FQ","FILING_STATUS=MR","SCALING_FORMAT=MLN","Sort=A","Dates=H","DateFormat=P","Fill=—","Direction=H","UseDPDF=Y")</f>
        <v>-95.906000000000006</v>
      </c>
      <c r="E16" s="12" cm="1">
        <f t="array" ref="E16">_xll.BDH("PH US Equity","CF_CHANGE_IN_ACCOUNTS_PAYABLE","FQ3 2019","FQ3 2019","Currency=USD","Period=FQ","BEST_FPERIOD_OVERRIDE=FQ","FILING_STATUS=MR","SCALING_FORMAT=MLN","Sort=A","Dates=H","DateFormat=P","Fill=—","Direction=H","UseDPDF=Y")</f>
        <v>119.304</v>
      </c>
      <c r="F16" s="12" cm="1">
        <f t="array" ref="F16">_xll.BDH("PH US Equity","CF_CHANGE_IN_ACCOUNTS_PAYABLE","FQ4 2019","FQ4 2019","Currency=USD","Period=FQ","BEST_FPERIOD_OVERRIDE=FQ","FILING_STATUS=MR","SCALING_FORMAT=MLN","Sort=A","Dates=H","DateFormat=P","Fill=—","Direction=H","UseDPDF=Y")</f>
        <v>-11.448</v>
      </c>
      <c r="G16" s="12" cm="1">
        <f t="array" ref="G16">_xll.BDH("PH US Equity","CF_CHANGE_IN_ACCOUNTS_PAYABLE","FQ1 2020","FQ1 2020","Currency=USD","Period=FQ","BEST_FPERIOD_OVERRIDE=FQ","FILING_STATUS=MR","SCALING_FORMAT=MLN","Sort=A","Dates=H","DateFormat=P","Fill=—","Direction=H","UseDPDF=Y")</f>
        <v>-135.56899999999999</v>
      </c>
      <c r="H16" s="12" cm="1">
        <f t="array" ref="H16">_xll.BDH("PH US Equity","CF_CHANGE_IN_ACCOUNTS_PAYABLE","FQ2 2020","FQ2 2020","Currency=USD","Period=FQ","BEST_FPERIOD_OVERRIDE=FQ","FILING_STATUS=MR","SCALING_FORMAT=MLN","Sort=A","Dates=H","DateFormat=P","Fill=—","Direction=H","UseDPDF=Y")</f>
        <v>-42.444000000000003</v>
      </c>
      <c r="I16" s="12" cm="1">
        <f t="array" ref="I16">_xll.BDH("PH US Equity","CF_CHANGE_IN_ACCOUNTS_PAYABLE","FQ3 2020","FQ3 2020","Currency=USD","Period=FQ","BEST_FPERIOD_OVERRIDE=FQ","FILING_STATUS=MR","SCALING_FORMAT=MLN","Sort=A","Dates=H","DateFormat=P","Fill=—","Direction=H","UseDPDF=Y")</f>
        <v>124.13800000000001</v>
      </c>
      <c r="J16" s="12" cm="1">
        <f t="array" ref="J16">_xll.BDH("PH US Equity","CF_CHANGE_IN_ACCOUNTS_PAYABLE","FQ4 2020","FQ4 2020","Currency=USD","Period=FQ","BEST_FPERIOD_OVERRIDE=FQ","FILING_STATUS=MR","SCALING_FORMAT=MLN","Sort=A","Dates=H","DateFormat=P","Fill=—","Direction=H","UseDPDF=Y")</f>
        <v>-316.89</v>
      </c>
      <c r="K16" s="12" cm="1">
        <f t="array" ref="K16">_xll.BDH("PH US Equity","CF_CHANGE_IN_ACCOUNTS_PAYABLE","FQ1 2021","FQ1 2021","Currency=USD","Period=FQ","BEST_FPERIOD_OVERRIDE=FQ","FILING_STATUS=MR","SCALING_FORMAT=MLN","Sort=A","Dates=H","DateFormat=P","Fill=—","Direction=H","UseDPDF=Y")</f>
        <v>138.9</v>
      </c>
      <c r="L16" s="12" cm="1">
        <f t="array" ref="L16">_xll.BDH("PH US Equity","CF_CHANGE_IN_ACCOUNTS_PAYABLE","FQ2 2021","FQ2 2021","Currency=USD","Period=FQ","BEST_FPERIOD_OVERRIDE=FQ","FILING_STATUS=MR","SCALING_FORMAT=MLN","Sort=A","Dates=H","DateFormat=P","Fill=—","Direction=H","UseDPDF=Y")</f>
        <v>55.000999999999998</v>
      </c>
      <c r="M16" s="12" cm="1">
        <f t="array" ref="M16">_xll.BDH("PH US Equity","CF_CHANGE_IN_ACCOUNTS_PAYABLE","FQ3 2021","FQ3 2021","Currency=USD","Period=FQ","BEST_FPERIOD_OVERRIDE=FQ","FILING_STATUS=MR","SCALING_FORMAT=MLN","Sort=A","Dates=H","DateFormat=P","Fill=—","Direction=H","UseDPDF=Y")</f>
        <v>223.29499999999999</v>
      </c>
      <c r="N16" s="12" cm="1">
        <f t="array" ref="N16">_xll.BDH("PH US Equity","CF_CHANGE_IN_ACCOUNTS_PAYABLE","FQ4 2021","FQ4 2021","Currency=USD","Period=FQ","BEST_FPERIOD_OVERRIDE=FQ","FILING_STATUS=MR","SCALING_FORMAT=MLN","Sort=A","Dates=H","DateFormat=P","Fill=—","Direction=H","UseDPDF=Y")</f>
        <v>109.58499999999999</v>
      </c>
      <c r="O16" s="12" cm="1">
        <f t="array" ref="O16">_xll.BDH("PH US Equity","CF_CHANGE_IN_ACCOUNTS_PAYABLE","FQ1 2022","FQ1 2022","Currency=USD","Period=FQ","BEST_FPERIOD_OVERRIDE=FQ","FILING_STATUS=MR","SCALING_FORMAT=MLN","Sort=A","Dates=H","DateFormat=P","Fill=—","Direction=H","UseDPDF=Y")</f>
        <v>-20.364999999999998</v>
      </c>
      <c r="P16" s="12" cm="1">
        <f t="array" ref="P16">_xll.BDH("PH US Equity","CF_CHANGE_IN_ACCOUNTS_PAYABLE","FQ2 2022","FQ2 2022","Currency=USD","Period=FQ","BEST_FPERIOD_OVERRIDE=FQ","FILING_STATUS=MR","SCALING_FORMAT=MLN","Sort=A","Dates=H","DateFormat=P","Fill=—","Direction=H","UseDPDF=Y")</f>
        <v>-32.962000000000003</v>
      </c>
      <c r="Q16" s="12" cm="1">
        <f t="array" ref="Q16">_xll.BDH("PH US Equity","CF_CHANGE_IN_ACCOUNTS_PAYABLE","FQ3 2022","FQ3 2022","Currency=USD","Period=FQ","BEST_FPERIOD_OVERRIDE=FQ","FILING_STATUS=MR","SCALING_FORMAT=MLN","Sort=A","Dates=H","DateFormat=P","Fill=—","Direction=H","UseDPDF=Y")</f>
        <v>144.858</v>
      </c>
      <c r="R16" s="12" cm="1">
        <f t="array" ref="R16">_xll.BDH("PH US Equity","CF_CHANGE_IN_ACCOUNTS_PAYABLE","FQ4 2022","FQ4 2022","Currency=USD","Period=FQ","BEST_FPERIOD_OVERRIDE=FQ","FILING_STATUS=MR","SCALING_FORMAT=MLN","Sort=A","Dates=H","DateFormat=P","Fill=—","Direction=H","UseDPDF=Y")</f>
        <v>39.853000000000002</v>
      </c>
      <c r="S16" s="12" cm="1">
        <f t="array" ref="S16">_xll.BDH("PH US Equity","CF_CHANGE_IN_ACCOUNTS_PAYABLE","FQ1 2023","FQ1 2023","Currency=USD","Period=FQ","BEST_FPERIOD_OVERRIDE=FQ","FILING_STATUS=MR","SCALING_FORMAT=MLN","Sort=A","Dates=H","DateFormat=P","Fill=—","Direction=H","UseDPDF=Y")</f>
        <v>107.57899999999999</v>
      </c>
      <c r="T16" s="12" cm="1">
        <f t="array" ref="T16">_xll.BDH("PH US Equity","CF_CHANGE_IN_ACCOUNTS_PAYABLE","FQ2 2023","FQ2 2023","Currency=USD","Period=FQ","BEST_FPERIOD_OVERRIDE=FQ","FILING_STATUS=MR","SCALING_FORMAT=MLN","Sort=A","Dates=H","DateFormat=P","Fill=—","Direction=H","UseDPDF=Y")</f>
        <v>-98.474999999999994</v>
      </c>
      <c r="U16" s="12" cm="1">
        <f t="array" ref="U16">_xll.BDH("PH US Equity","CF_CHANGE_IN_ACCOUNTS_PAYABLE","FQ3 2023","FQ3 2023","Currency=USD","Period=FQ","BEST_FPERIOD_OVERRIDE=FQ","FILING_STATUS=MR","SCALING_FORMAT=MLN","Sort=A","Dates=H","DateFormat=P","Fill=—","Direction=H","UseDPDF=Y")</f>
        <v>109.652</v>
      </c>
      <c r="V16" s="12" cm="1">
        <f t="array" ref="V16">_xll.BDH("PH US Equity","CF_CHANGE_IN_ACCOUNTS_PAYABLE","FQ4 2023","FQ4 2023","Currency=USD","Period=FQ","BEST_FPERIOD_OVERRIDE=FQ","FILING_STATUS=MR","SCALING_FORMAT=MLN","Sort=A","Dates=H","DateFormat=P","Fill=—","Direction=H","UseDPDF=Y")</f>
        <v>-27.204999999999998</v>
      </c>
      <c r="W16" s="12" cm="1">
        <f t="array" ref="W16">_xll.BDH("PH US Equity","CF_CHANGE_IN_ACCOUNTS_PAYABLE","FQ1 2024","FQ1 2024","Currency=USD","Period=FQ","BEST_FPERIOD_OVERRIDE=FQ","FILING_STATUS=MR","SCALING_FORMAT=MLN","Sort=A","Dates=H","DateFormat=P","Fill=—","Direction=H","UseDPDF=Y")</f>
        <v>4.7679999999999998</v>
      </c>
      <c r="X16" s="12" cm="1">
        <f t="array" ref="X16">_xll.BDH("PH US Equity","CF_CHANGE_IN_ACCOUNTS_PAYABLE","FQ2 2024","FQ2 2024","Currency=USD","Period=FQ","BEST_FPERIOD_OVERRIDE=FQ","FILING_STATUS=MR","SCALING_FORMAT=MLN","Sort=A","Dates=H","DateFormat=P","Fill=—","Direction=H","UseDPDF=Y")</f>
        <v>-90.975999999999999</v>
      </c>
      <c r="Y16" s="12" cm="1">
        <f t="array" ref="Y16">_xll.BDH("PH US Equity","CF_CHANGE_IN_ACCOUNTS_PAYABLE","FQ3 2024","FQ3 2024","Currency=USD","Period=FQ","BEST_FPERIOD_OVERRIDE=FQ","FILING_STATUS=MR","SCALING_FORMAT=MLN","Sort=A","Dates=H","DateFormat=P","Fill=—","Direction=H","UseDPDF=Y")</f>
        <v>7.7560000000000002</v>
      </c>
      <c r="Z16" s="12" cm="1">
        <f t="array" ref="Z16">_xll.BDH("PH US Equity","CF_CHANGE_IN_ACCOUNTS_PAYABLE","FQ4 2024","FQ4 2024","Currency=USD","Period=FQ","BEST_FPERIOD_OVERRIDE=FQ","FILING_STATUS=MR","SCALING_FORMAT=MLN","Sort=A","Dates=H","DateFormat=P","Fill=—","Direction=H","UseDPDF=Y")</f>
        <v>34.023000000000003</v>
      </c>
      <c r="AA16" s="12" cm="1">
        <f t="array" ref="AA16">_xll.BDH("PH US Equity","CF_CHANGE_IN_ACCOUNTS_PAYABLE","FQ1 2025","FQ1 2025","Currency=USD","Period=FQ","BEST_FPERIOD_OVERRIDE=FQ","FILING_STATUS=MR","SCALING_FORMAT=MLN","Sort=A","Dates=H","DateFormat=P","Fill=—","Direction=H","UseDPDF=Y")</f>
        <v>-42.335999999999999</v>
      </c>
      <c r="AB16" s="12" cm="1">
        <f t="array" ref="AB16">_xll.BDH("PH US Equity","CF_CHANGE_IN_ACCOUNTS_PAYABLE","FQ2 2025","FQ2 2025","Currency=USD","Period=FQ","BEST_FPERIOD_OVERRIDE=FQ","FILING_STATUS=MR","SCALING_FORMAT=MLN","Sort=A","Dates=H","DateFormat=P","Fill=—","Direction=H","UseDPDF=Y")</f>
        <v>-110.709</v>
      </c>
      <c r="AC16" s="12" cm="1">
        <f t="array" ref="AC16">_xll.BDH("PH US Equity","CF_CHANGE_IN_ACCOUNTS_PAYABLE","FQ3 2025","FQ3 2025","Currency=USD","Period=FQ","BEST_FPERIOD_OVERRIDE=FQ","FILING_STATUS=MR","SCALING_FORMAT=MLN","Sort=A","Dates=H","DateFormat=P","Fill=—","Direction=H","UseDPDF=Y")</f>
        <v>166.446</v>
      </c>
      <c r="AD16" s="12" cm="1">
        <f t="array" ref="AD16">_xll.BDH("PH US Equity","CF_CHANGE_IN_ACCOUNTS_PAYABLE","FQ4 2025","FQ4 2025","Currency=USD","Period=FQ","BEST_FPERIOD_OVERRIDE=FQ","FILING_STATUS=MR","SCALING_FORMAT=MLN","Sort=A","Dates=H","DateFormat=P","Fill=—","Direction=H","UseDPDF=Y")</f>
        <v>105.599</v>
      </c>
      <c r="AE16" s="12" cm="1">
        <f t="array" ref="AE16">_xll.BDH("PH US Equity","CF_CHANGE_IN_ACCOUNTS_PAYABLE","FQ1 2026","FQ1 2026","Currency=USD","Period=FQ","BEST_FPERIOD_OVERRIDE=FQ","FILING_STATUS=MR","SCALING_FORMAT=MLN","Sort=A","Dates=H","DateFormat=P","Fill=—","Direction=H","UseDPDF=Y")</f>
        <v>-6</v>
      </c>
      <c r="AF16" s="12" cm="1">
        <f t="array" ref="AF16">_xll.BDH("PH US Equity","CF_CHANGE_IN_ACCOUNTS_PAYABLE","FQ2 2026","FQ2 2026","Currency=USD","Period=FQ","BEST_FPERIOD_OVERRIDE=FQ","FILING_STATUS=MR","SCALING_FORMAT=MLN","Sort=A","Dates=H","DateFormat=P","Fill=—","Direction=H","UseDPDF=Y")</f>
        <v>-97</v>
      </c>
    </row>
    <row r="17" spans="1:32" x14ac:dyDescent="0.25">
      <c r="A17" s="10" t="s">
        <v>86</v>
      </c>
      <c r="B17" s="10" t="s">
        <v>87</v>
      </c>
      <c r="C17" s="12" cm="1">
        <f t="array" ref="C17">_xll.BDH("PH US Equity","INC_DEC_IN_OT_OP_AST_LIAB_DETAIL","FQ1 2019","FQ1 2019","Currency=USD","Period=FQ","BEST_FPERIOD_OVERRIDE=FQ","FILING_STATUS=MR","SCALING_FORMAT=MLN","Sort=A","Dates=H","DateFormat=P","Fill=—","Direction=H","UseDPDF=Y")</f>
        <v>-64.149000000000001</v>
      </c>
      <c r="D17" s="12" cm="1">
        <f t="array" ref="D17">_xll.BDH("PH US Equity","INC_DEC_IN_OT_OP_AST_LIAB_DETAIL","FQ2 2019","FQ2 2019","Currency=USD","Period=FQ","BEST_FPERIOD_OVERRIDE=FQ","FILING_STATUS=MR","SCALING_FORMAT=MLN","Sort=A","Dates=H","DateFormat=P","Fill=—","Direction=H","UseDPDF=Y")</f>
        <v>-76.930000000000007</v>
      </c>
      <c r="E17" s="12" cm="1">
        <f t="array" ref="E17">_xll.BDH("PH US Equity","INC_DEC_IN_OT_OP_AST_LIAB_DETAIL","FQ3 2019","FQ3 2019","Currency=USD","Period=FQ","BEST_FPERIOD_OVERRIDE=FQ","FILING_STATUS=MR","SCALING_FORMAT=MLN","Sort=A","Dates=H","DateFormat=P","Fill=—","Direction=H","UseDPDF=Y")</f>
        <v>66.25</v>
      </c>
      <c r="F17" s="12" cm="1">
        <f t="array" ref="F17">_xll.BDH("PH US Equity","INC_DEC_IN_OT_OP_AST_LIAB_DETAIL","FQ4 2019","FQ4 2019","Currency=USD","Period=FQ","BEST_FPERIOD_OVERRIDE=FQ","FILING_STATUS=MR","SCALING_FORMAT=MLN","Sort=A","Dates=H","DateFormat=P","Fill=—","Direction=H","UseDPDF=Y")</f>
        <v>29.687000000000001</v>
      </c>
      <c r="G17" s="12" cm="1">
        <f t="array" ref="G17">_xll.BDH("PH US Equity","INC_DEC_IN_OT_OP_AST_LIAB_DETAIL","FQ1 2020","FQ1 2020","Currency=USD","Period=FQ","BEST_FPERIOD_OVERRIDE=FQ","FILING_STATUS=MR","SCALING_FORMAT=MLN","Sort=A","Dates=H","DateFormat=P","Fill=—","Direction=H","UseDPDF=Y")</f>
        <v>-59.536999999999999</v>
      </c>
      <c r="H17" s="12" cm="1">
        <f t="array" ref="H17">_xll.BDH("PH US Equity","INC_DEC_IN_OT_OP_AST_LIAB_DETAIL","FQ2 2020","FQ2 2020","Currency=USD","Period=FQ","BEST_FPERIOD_OVERRIDE=FQ","FILING_STATUS=MR","SCALING_FORMAT=MLN","Sort=A","Dates=H","DateFormat=P","Fill=—","Direction=H","UseDPDF=Y")</f>
        <v>-192.81299999999999</v>
      </c>
      <c r="I17" s="12" cm="1">
        <f t="array" ref="I17">_xll.BDH("PH US Equity","INC_DEC_IN_OT_OP_AST_LIAB_DETAIL","FQ3 2020","FQ3 2020","Currency=USD","Period=FQ","BEST_FPERIOD_OVERRIDE=FQ","FILING_STATUS=MR","SCALING_FORMAT=MLN","Sort=A","Dates=H","DateFormat=P","Fill=—","Direction=H","UseDPDF=Y")</f>
        <v>103.161</v>
      </c>
      <c r="J17" s="12" cm="1">
        <f t="array" ref="J17">_xll.BDH("PH US Equity","INC_DEC_IN_OT_OP_AST_LIAB_DETAIL","FQ4 2020","FQ4 2020","Currency=USD","Period=FQ","BEST_FPERIOD_OVERRIDE=FQ","FILING_STATUS=MR","SCALING_FORMAT=MLN","Sort=A","Dates=H","DateFormat=P","Fill=—","Direction=H","UseDPDF=Y")</f>
        <v>-40.451000000000001</v>
      </c>
      <c r="K17" s="12" cm="1">
        <f t="array" ref="K17">_xll.BDH("PH US Equity","INC_DEC_IN_OT_OP_AST_LIAB_DETAIL","FQ1 2021","FQ1 2021","Currency=USD","Period=FQ","BEST_FPERIOD_OVERRIDE=FQ","FILING_STATUS=MR","SCALING_FORMAT=MLN","Sort=A","Dates=H","DateFormat=P","Fill=—","Direction=H","UseDPDF=Y")</f>
        <v>-12.808999999999999</v>
      </c>
      <c r="L17" s="12" cm="1">
        <f t="array" ref="L17">_xll.BDH("PH US Equity","INC_DEC_IN_OT_OP_AST_LIAB_DETAIL","FQ2 2021","FQ2 2021","Currency=USD","Period=FQ","BEST_FPERIOD_OVERRIDE=FQ","FILING_STATUS=MR","SCALING_FORMAT=MLN","Sort=A","Dates=H","DateFormat=P","Fill=—","Direction=H","UseDPDF=Y")</f>
        <v>16.925000000000001</v>
      </c>
      <c r="M17" s="12" cm="1">
        <f t="array" ref="M17">_xll.BDH("PH US Equity","INC_DEC_IN_OT_OP_AST_LIAB_DETAIL","FQ3 2021","FQ3 2021","Currency=USD","Period=FQ","BEST_FPERIOD_OVERRIDE=FQ","FILING_STATUS=MR","SCALING_FORMAT=MLN","Sort=A","Dates=H","DateFormat=P","Fill=—","Direction=H","UseDPDF=Y")</f>
        <v>40.159999999999997</v>
      </c>
      <c r="N17" s="12" cm="1">
        <f t="array" ref="N17">_xll.BDH("PH US Equity","INC_DEC_IN_OT_OP_AST_LIAB_DETAIL","FQ4 2021","FQ4 2021","Currency=USD","Period=FQ","BEST_FPERIOD_OVERRIDE=FQ","FILING_STATUS=MR","SCALING_FORMAT=MLN","Sort=A","Dates=H","DateFormat=P","Fill=—","Direction=H","UseDPDF=Y")</f>
        <v>50.576999999999998</v>
      </c>
      <c r="O17" s="12" cm="1">
        <f t="array" ref="O17">_xll.BDH("PH US Equity","INC_DEC_IN_OT_OP_AST_LIAB_DETAIL","FQ1 2022","FQ1 2022","Currency=USD","Period=FQ","BEST_FPERIOD_OVERRIDE=FQ","FILING_STATUS=MR","SCALING_FORMAT=MLN","Sort=A","Dates=H","DateFormat=P","Fill=—","Direction=H","UseDPDF=Y")</f>
        <v>-40.917000000000002</v>
      </c>
      <c r="P17" s="12" cm="1">
        <f t="array" ref="P17">_xll.BDH("PH US Equity","INC_DEC_IN_OT_OP_AST_LIAB_DETAIL","FQ2 2022","FQ2 2022","Currency=USD","Period=FQ","BEST_FPERIOD_OVERRIDE=FQ","FILING_STATUS=MR","SCALING_FORMAT=MLN","Sort=A","Dates=H","DateFormat=P","Fill=—","Direction=H","UseDPDF=Y")</f>
        <v>56.505000000000003</v>
      </c>
      <c r="Q17" s="12" cm="1">
        <f t="array" ref="Q17">_xll.BDH("PH US Equity","INC_DEC_IN_OT_OP_AST_LIAB_DETAIL","FQ3 2022","FQ3 2022","Currency=USD","Period=FQ","BEST_FPERIOD_OVERRIDE=FQ","FILING_STATUS=MR","SCALING_FORMAT=MLN","Sort=A","Dates=H","DateFormat=P","Fill=—","Direction=H","UseDPDF=Y")</f>
        <v>344.74700000000001</v>
      </c>
      <c r="R17" s="12" cm="1">
        <f t="array" ref="R17">_xll.BDH("PH US Equity","INC_DEC_IN_OT_OP_AST_LIAB_DETAIL","FQ4 2022","FQ4 2022","Currency=USD","Period=FQ","BEST_FPERIOD_OVERRIDE=FQ","FILING_STATUS=MR","SCALING_FORMAT=MLN","Sort=A","Dates=H","DateFormat=P","Fill=—","Direction=H","UseDPDF=Y")</f>
        <v>694.11599999999999</v>
      </c>
      <c r="S17" s="12" cm="1">
        <f t="array" ref="S17">_xll.BDH("PH US Equity","INC_DEC_IN_OT_OP_AST_LIAB_DETAIL","FQ1 2023","FQ1 2023","Currency=USD","Period=FQ","BEST_FPERIOD_OVERRIDE=FQ","FILING_STATUS=MR","SCALING_FORMAT=MLN","Sort=A","Dates=H","DateFormat=P","Fill=—","Direction=H","UseDPDF=Y")</f>
        <v>68.456999999999994</v>
      </c>
      <c r="T17" s="12" cm="1">
        <f t="array" ref="T17">_xll.BDH("PH US Equity","INC_DEC_IN_OT_OP_AST_LIAB_DETAIL","FQ2 2023","FQ2 2023","Currency=USD","Period=FQ","BEST_FPERIOD_OVERRIDE=FQ","FILING_STATUS=MR","SCALING_FORMAT=MLN","Sort=A","Dates=H","DateFormat=P","Fill=—","Direction=H","UseDPDF=Y")</f>
        <v>-81.114999999999995</v>
      </c>
      <c r="U17" s="12" cm="1">
        <f t="array" ref="U17">_xll.BDH("PH US Equity","INC_DEC_IN_OT_OP_AST_LIAB_DETAIL","FQ3 2023","FQ3 2023","Currency=USD","Period=FQ","BEST_FPERIOD_OVERRIDE=FQ","FILING_STATUS=MR","SCALING_FORMAT=MLN","Sort=A","Dates=H","DateFormat=P","Fill=—","Direction=H","UseDPDF=Y")</f>
        <v>107.05</v>
      </c>
      <c r="V17" s="12" cm="1">
        <f t="array" ref="V17">_xll.BDH("PH US Equity","INC_DEC_IN_OT_OP_AST_LIAB_DETAIL","FQ4 2023","FQ4 2023","Currency=USD","Period=FQ","BEST_FPERIOD_OVERRIDE=FQ","FILING_STATUS=MR","SCALING_FORMAT=MLN","Sort=A","Dates=H","DateFormat=P","Fill=—","Direction=H","UseDPDF=Y")</f>
        <v>209.83099999999999</v>
      </c>
      <c r="W17" s="12" cm="1">
        <f t="array" ref="W17">_xll.BDH("PH US Equity","INC_DEC_IN_OT_OP_AST_LIAB_DETAIL","FQ1 2024","FQ1 2024","Currency=USD","Period=FQ","BEST_FPERIOD_OVERRIDE=FQ","FILING_STATUS=MR","SCALING_FORMAT=MLN","Sort=A","Dates=H","DateFormat=P","Fill=—","Direction=H","UseDPDF=Y")</f>
        <v>-15.061999999999999</v>
      </c>
      <c r="X17" s="12" cm="1">
        <f t="array" ref="X17">_xll.BDH("PH US Equity","INC_DEC_IN_OT_OP_AST_LIAB_DETAIL","FQ2 2024","FQ2 2024","Currency=USD","Period=FQ","BEST_FPERIOD_OVERRIDE=FQ","FILING_STATUS=MR","SCALING_FORMAT=MLN","Sort=A","Dates=H","DateFormat=P","Fill=—","Direction=H","UseDPDF=Y")</f>
        <v>-221.34399999999999</v>
      </c>
      <c r="Y17" s="12" cm="1">
        <f t="array" ref="Y17">_xll.BDH("PH US Equity","INC_DEC_IN_OT_OP_AST_LIAB_DETAIL","FQ3 2024","FQ3 2024","Currency=USD","Period=FQ","BEST_FPERIOD_OVERRIDE=FQ","FILING_STATUS=MR","SCALING_FORMAT=MLN","Sort=A","Dates=H","DateFormat=P","Fill=—","Direction=H","UseDPDF=Y")</f>
        <v>101.506</v>
      </c>
      <c r="Z17" s="12" cm="1">
        <f t="array" ref="Z17">_xll.BDH("PH US Equity","INC_DEC_IN_OT_OP_AST_LIAB_DETAIL","FQ4 2024","FQ4 2024","Currency=USD","Period=FQ","BEST_FPERIOD_OVERRIDE=FQ","FILING_STATUS=MR","SCALING_FORMAT=MLN","Sort=A","Dates=H","DateFormat=P","Fill=—","Direction=H","UseDPDF=Y")</f>
        <v>-38.503999999999998</v>
      </c>
      <c r="AA17" s="12" cm="1">
        <f t="array" ref="AA17">_xll.BDH("PH US Equity","INC_DEC_IN_OT_OP_AST_LIAB_DETAIL","FQ1 2025","FQ1 2025","Currency=USD","Period=FQ","BEST_FPERIOD_OVERRIDE=FQ","FILING_STATUS=MR","SCALING_FORMAT=MLN","Sort=A","Dates=H","DateFormat=P","Fill=—","Direction=H","UseDPDF=Y")</f>
        <v>-134.88399999999999</v>
      </c>
      <c r="AB17" s="12" cm="1">
        <f t="array" ref="AB17">_xll.BDH("PH US Equity","INC_DEC_IN_OT_OP_AST_LIAB_DETAIL","FQ2 2025","FQ2 2025","Currency=USD","Period=FQ","BEST_FPERIOD_OVERRIDE=FQ","FILING_STATUS=MR","SCALING_FORMAT=MLN","Sort=A","Dates=H","DateFormat=P","Fill=—","Direction=H","UseDPDF=Y")</f>
        <v>-154.601</v>
      </c>
      <c r="AC17" s="12" cm="1">
        <f t="array" ref="AC17">_xll.BDH("PH US Equity","INC_DEC_IN_OT_OP_AST_LIAB_DETAIL","FQ3 2025","FQ3 2025","Currency=USD","Period=FQ","BEST_FPERIOD_OVERRIDE=FQ","FILING_STATUS=MR","SCALING_FORMAT=MLN","Sort=A","Dates=H","DateFormat=P","Fill=—","Direction=H","UseDPDF=Y")</f>
        <v>-143.065</v>
      </c>
      <c r="AD17" s="12" cm="1">
        <f t="array" ref="AD17">_xll.BDH("PH US Equity","INC_DEC_IN_OT_OP_AST_LIAB_DETAIL","FQ4 2025","FQ4 2025","Currency=USD","Period=FQ","BEST_FPERIOD_OVERRIDE=FQ","FILING_STATUS=MR","SCALING_FORMAT=MLN","Sort=A","Dates=H","DateFormat=P","Fill=—","Direction=H","UseDPDF=Y")</f>
        <v>223.55</v>
      </c>
      <c r="AE17" s="12" cm="1">
        <f t="array" ref="AE17">_xll.BDH("PH US Equity","INC_DEC_IN_OT_OP_AST_LIAB_DETAIL","FQ1 2026","FQ1 2026","Currency=USD","Period=FQ","BEST_FPERIOD_OVERRIDE=FQ","FILING_STATUS=MR","SCALING_FORMAT=MLN","Sort=A","Dates=H","DateFormat=P","Fill=—","Direction=H","UseDPDF=Y")</f>
        <v>-199</v>
      </c>
      <c r="AF17" s="12" cm="1">
        <f t="array" ref="AF17">_xll.BDH("PH US Equity","INC_DEC_IN_OT_OP_AST_LIAB_DETAIL","FQ2 2026","FQ2 2026","Currency=USD","Period=FQ","BEST_FPERIOD_OVERRIDE=FQ","FILING_STATUS=MR","SCALING_FORMAT=MLN","Sort=A","Dates=H","DateFormat=P","Fill=—","Direction=H","UseDPDF=Y")</f>
        <v>-173</v>
      </c>
    </row>
    <row r="18" spans="1:32" x14ac:dyDescent="0.25">
      <c r="A18" s="10" t="s">
        <v>88</v>
      </c>
      <c r="B18" s="10" t="s">
        <v>89</v>
      </c>
      <c r="C18" s="12" cm="1">
        <f t="array" ref="C18">_xll.BDH("PH US Equity","CF_NET_CASH_DISCONT_OPS_OPER","FQ1 2019","FQ1 2019","Currency=USD","Period=FQ","BEST_FPERIOD_OVERRIDE=FQ","FILING_STATUS=MR","SCALING_FORMAT=MLN","Sort=A","Dates=H","DateFormat=P","Fill=—","Direction=H","UseDPDF=Y")</f>
        <v>0</v>
      </c>
      <c r="D18" s="12" cm="1">
        <f t="array" ref="D18">_xll.BDH("PH US Equity","CF_NET_CASH_DISCONT_OPS_OPER","FQ2 2019","FQ2 2019","Currency=USD","Period=FQ","BEST_FPERIOD_OVERRIDE=FQ","FILING_STATUS=MR","SCALING_FORMAT=MLN","Sort=A","Dates=H","DateFormat=P","Fill=—","Direction=H","UseDPDF=Y")</f>
        <v>0</v>
      </c>
      <c r="E18" s="12" cm="1">
        <f t="array" ref="E18">_xll.BDH("PH US Equity","CF_NET_CASH_DISCONT_OPS_OPER","FQ3 2019","FQ3 2019","Currency=USD","Period=FQ","BEST_FPERIOD_OVERRIDE=FQ","FILING_STATUS=MR","SCALING_FORMAT=MLN","Sort=A","Dates=H","DateFormat=P","Fill=—","Direction=H","UseDPDF=Y")</f>
        <v>0</v>
      </c>
      <c r="F18" s="12" cm="1">
        <f t="array" ref="F18">_xll.BDH("PH US Equity","CF_NET_CASH_DISCONT_OPS_OPER","FQ4 2019","FQ4 2019","Currency=USD","Period=FQ","BEST_FPERIOD_OVERRIDE=FQ","FILING_STATUS=MR","SCALING_FORMAT=MLN","Sort=A","Dates=H","DateFormat=P","Fill=—","Direction=H","UseDPDF=Y")</f>
        <v>0</v>
      </c>
      <c r="G18" s="12" cm="1">
        <f t="array" ref="G18">_xll.BDH("PH US Equity","CF_NET_CASH_DISCONT_OPS_OPER","FQ1 2020","FQ1 2020","Currency=USD","Period=FQ","BEST_FPERIOD_OVERRIDE=FQ","FILING_STATUS=MR","SCALING_FORMAT=MLN","Sort=A","Dates=H","DateFormat=P","Fill=—","Direction=H","UseDPDF=Y")</f>
        <v>0</v>
      </c>
      <c r="H18" s="12" cm="1">
        <f t="array" ref="H18">_xll.BDH("PH US Equity","CF_NET_CASH_DISCONT_OPS_OPER","FQ2 2020","FQ2 2020","Currency=USD","Period=FQ","BEST_FPERIOD_OVERRIDE=FQ","FILING_STATUS=MR","SCALING_FORMAT=MLN","Sort=A","Dates=H","DateFormat=P","Fill=—","Direction=H","UseDPDF=Y")</f>
        <v>0</v>
      </c>
      <c r="I18" s="12" cm="1">
        <f t="array" ref="I18">_xll.BDH("PH US Equity","CF_NET_CASH_DISCONT_OPS_OPER","FQ3 2020","FQ3 2020","Currency=USD","Period=FQ","BEST_FPERIOD_OVERRIDE=FQ","FILING_STATUS=MR","SCALING_FORMAT=MLN","Sort=A","Dates=H","DateFormat=P","Fill=—","Direction=H","UseDPDF=Y")</f>
        <v>0</v>
      </c>
      <c r="J18" s="12" cm="1">
        <f t="array" ref="J18">_xll.BDH("PH US Equity","CF_NET_CASH_DISCONT_OPS_OPER","FQ4 2020","FQ4 2020","Currency=USD","Period=FQ","BEST_FPERIOD_OVERRIDE=FQ","FILING_STATUS=MR","SCALING_FORMAT=MLN","Sort=A","Dates=H","DateFormat=P","Fill=—","Direction=H","UseDPDF=Y")</f>
        <v>0</v>
      </c>
      <c r="K18" s="12" cm="1">
        <f t="array" ref="K18">_xll.BDH("PH US Equity","CF_NET_CASH_DISCONT_OPS_OPER","FQ1 2021","FQ1 2021","Currency=USD","Period=FQ","BEST_FPERIOD_OVERRIDE=FQ","FILING_STATUS=MR","SCALING_FORMAT=MLN","Sort=A","Dates=H","DateFormat=P","Fill=—","Direction=H","UseDPDF=Y")</f>
        <v>0</v>
      </c>
      <c r="L18" s="12" cm="1">
        <f t="array" ref="L18">_xll.BDH("PH US Equity","CF_NET_CASH_DISCONT_OPS_OPER","FQ2 2021","FQ2 2021","Currency=USD","Period=FQ","BEST_FPERIOD_OVERRIDE=FQ","FILING_STATUS=MR","SCALING_FORMAT=MLN","Sort=A","Dates=H","DateFormat=P","Fill=—","Direction=H","UseDPDF=Y")</f>
        <v>0</v>
      </c>
      <c r="M18" s="12" cm="1">
        <f t="array" ref="M18">_xll.BDH("PH US Equity","CF_NET_CASH_DISCONT_OPS_OPER","FQ3 2021","FQ3 2021","Currency=USD","Period=FQ","BEST_FPERIOD_OVERRIDE=FQ","FILING_STATUS=MR","SCALING_FORMAT=MLN","Sort=A","Dates=H","DateFormat=P","Fill=—","Direction=H","UseDPDF=Y")</f>
        <v>0</v>
      </c>
      <c r="N18" s="12" cm="1">
        <f t="array" ref="N18">_xll.BDH("PH US Equity","CF_NET_CASH_DISCONT_OPS_OPER","FQ4 2021","FQ4 2021","Currency=USD","Period=FQ","BEST_FPERIOD_OVERRIDE=FQ","FILING_STATUS=MR","SCALING_FORMAT=MLN","Sort=A","Dates=H","DateFormat=P","Fill=—","Direction=H","UseDPDF=Y")</f>
        <v>0</v>
      </c>
      <c r="O18" s="12" cm="1">
        <f t="array" ref="O18">_xll.BDH("PH US Equity","CF_NET_CASH_DISCONT_OPS_OPER","FQ1 2022","FQ1 2022","Currency=USD","Period=FQ","BEST_FPERIOD_OVERRIDE=FQ","FILING_STATUS=MR","SCALING_FORMAT=MLN","Sort=A","Dates=H","DateFormat=P","Fill=—","Direction=H","UseDPDF=Y")</f>
        <v>0</v>
      </c>
      <c r="P18" s="12" cm="1">
        <f t="array" ref="P18">_xll.BDH("PH US Equity","CF_NET_CASH_DISCONT_OPS_OPER","FQ2 2022","FQ2 2022","Currency=USD","Period=FQ","BEST_FPERIOD_OVERRIDE=FQ","FILING_STATUS=MR","SCALING_FORMAT=MLN","Sort=A","Dates=H","DateFormat=P","Fill=—","Direction=H","UseDPDF=Y")</f>
        <v>0</v>
      </c>
      <c r="Q18" s="12" cm="1">
        <f t="array" ref="Q18">_xll.BDH("PH US Equity","CF_NET_CASH_DISCONT_OPS_OPER","FQ3 2022","FQ3 2022","Currency=USD","Period=FQ","BEST_FPERIOD_OVERRIDE=FQ","FILING_STATUS=MR","SCALING_FORMAT=MLN","Sort=A","Dates=H","DateFormat=P","Fill=—","Direction=H","UseDPDF=Y")</f>
        <v>0</v>
      </c>
      <c r="R18" s="12" cm="1">
        <f t="array" ref="R18">_xll.BDH("PH US Equity","CF_NET_CASH_DISCONT_OPS_OPER","FQ4 2022","FQ4 2022","Currency=USD","Period=FQ","BEST_FPERIOD_OVERRIDE=FQ","FILING_STATUS=MR","SCALING_FORMAT=MLN","Sort=A","Dates=H","DateFormat=P","Fill=—","Direction=H","UseDPDF=Y")</f>
        <v>0</v>
      </c>
      <c r="S18" s="12" cm="1">
        <f t="array" ref="S18">_xll.BDH("PH US Equity","CF_NET_CASH_DISCONT_OPS_OPER","FQ1 2023","FQ1 2023","Currency=USD","Period=FQ","BEST_FPERIOD_OVERRIDE=FQ","FILING_STATUS=MR","SCALING_FORMAT=MLN","Sort=A","Dates=H","DateFormat=P","Fill=—","Direction=H","UseDPDF=Y")</f>
        <v>0</v>
      </c>
      <c r="T18" s="12" cm="1">
        <f t="array" ref="T18">_xll.BDH("PH US Equity","CF_NET_CASH_DISCONT_OPS_OPER","FQ2 2023","FQ2 2023","Currency=USD","Period=FQ","BEST_FPERIOD_OVERRIDE=FQ","FILING_STATUS=MR","SCALING_FORMAT=MLN","Sort=A","Dates=H","DateFormat=P","Fill=—","Direction=H","UseDPDF=Y")</f>
        <v>0</v>
      </c>
      <c r="U18" s="12" cm="1">
        <f t="array" ref="U18">_xll.BDH("PH US Equity","CF_NET_CASH_DISCONT_OPS_OPER","FQ3 2023","FQ3 2023","Currency=USD","Period=FQ","BEST_FPERIOD_OVERRIDE=FQ","FILING_STATUS=MR","SCALING_FORMAT=MLN","Sort=A","Dates=H","DateFormat=P","Fill=—","Direction=H","UseDPDF=Y")</f>
        <v>0</v>
      </c>
      <c r="V18" s="12" cm="1">
        <f t="array" ref="V18">_xll.BDH("PH US Equity","CF_NET_CASH_DISCONT_OPS_OPER","FQ4 2023","FQ4 2023","Currency=USD","Period=FQ","BEST_FPERIOD_OVERRIDE=FQ","FILING_STATUS=MR","SCALING_FORMAT=MLN","Sort=A","Dates=H","DateFormat=P","Fill=—","Direction=H","UseDPDF=Y")</f>
        <v>0</v>
      </c>
      <c r="W18" s="12" cm="1">
        <f t="array" ref="W18">_xll.BDH("PH US Equity","CF_NET_CASH_DISCONT_OPS_OPER","FQ1 2024","FQ1 2024","Currency=USD","Period=FQ","BEST_FPERIOD_OVERRIDE=FQ","FILING_STATUS=MR","SCALING_FORMAT=MLN","Sort=A","Dates=H","DateFormat=P","Fill=—","Direction=H","UseDPDF=Y")</f>
        <v>0</v>
      </c>
      <c r="X18" s="12" cm="1">
        <f t="array" ref="X18">_xll.BDH("PH US Equity","CF_NET_CASH_DISCONT_OPS_OPER","FQ2 2024","FQ2 2024","Currency=USD","Period=FQ","BEST_FPERIOD_OVERRIDE=FQ","FILING_STATUS=MR","SCALING_FORMAT=MLN","Sort=A","Dates=H","DateFormat=P","Fill=—","Direction=H","UseDPDF=Y")</f>
        <v>0</v>
      </c>
      <c r="Y18" s="12" cm="1">
        <f t="array" ref="Y18">_xll.BDH("PH US Equity","CF_NET_CASH_DISCONT_OPS_OPER","FQ3 2024","FQ3 2024","Currency=USD","Period=FQ","BEST_FPERIOD_OVERRIDE=FQ","FILING_STATUS=MR","SCALING_FORMAT=MLN","Sort=A","Dates=H","DateFormat=P","Fill=—","Direction=H","UseDPDF=Y")</f>
        <v>0</v>
      </c>
      <c r="Z18" s="12" cm="1">
        <f t="array" ref="Z18">_xll.BDH("PH US Equity","CF_NET_CASH_DISCONT_OPS_OPER","FQ4 2024","FQ4 2024","Currency=USD","Period=FQ","BEST_FPERIOD_OVERRIDE=FQ","FILING_STATUS=MR","SCALING_FORMAT=MLN","Sort=A","Dates=H","DateFormat=P","Fill=—","Direction=H","UseDPDF=Y")</f>
        <v>0</v>
      </c>
      <c r="AA18" s="12" cm="1">
        <f t="array" ref="AA18">_xll.BDH("PH US Equity","CF_NET_CASH_DISCONT_OPS_OPER","FQ1 2025","FQ1 2025","Currency=USD","Period=FQ","BEST_FPERIOD_OVERRIDE=FQ","FILING_STATUS=MR","SCALING_FORMAT=MLN","Sort=A","Dates=H","DateFormat=P","Fill=—","Direction=H","UseDPDF=Y")</f>
        <v>0</v>
      </c>
      <c r="AB18" s="12" cm="1">
        <f t="array" ref="AB18">_xll.BDH("PH US Equity","CF_NET_CASH_DISCONT_OPS_OPER","FQ2 2025","FQ2 2025","Currency=USD","Period=FQ","BEST_FPERIOD_OVERRIDE=FQ","FILING_STATUS=MR","SCALING_FORMAT=MLN","Sort=A","Dates=H","DateFormat=P","Fill=—","Direction=H","UseDPDF=Y")</f>
        <v>0</v>
      </c>
      <c r="AC18" s="12" cm="1">
        <f t="array" ref="AC18">_xll.BDH("PH US Equity","CF_NET_CASH_DISCONT_OPS_OPER","FQ3 2025","FQ3 2025","Currency=USD","Period=FQ","BEST_FPERIOD_OVERRIDE=FQ","FILING_STATUS=MR","SCALING_FORMAT=MLN","Sort=A","Dates=H","DateFormat=P","Fill=—","Direction=H","UseDPDF=Y")</f>
        <v>0</v>
      </c>
      <c r="AD18" s="12" cm="1">
        <f t="array" ref="AD18">_xll.BDH("PH US Equity","CF_NET_CASH_DISCONT_OPS_OPER","FQ4 2025","FQ4 2025","Currency=USD","Period=FQ","BEST_FPERIOD_OVERRIDE=FQ","FILING_STATUS=MR","SCALING_FORMAT=MLN","Sort=A","Dates=H","DateFormat=P","Fill=—","Direction=H","UseDPDF=Y")</f>
        <v>0</v>
      </c>
      <c r="AE18" s="12" cm="1">
        <f t="array" ref="AE18">_xll.BDH("PH US Equity","CF_NET_CASH_DISCONT_OPS_OPER","FQ1 2026","FQ1 2026","Currency=USD","Period=FQ","BEST_FPERIOD_OVERRIDE=FQ","FILING_STATUS=MR","SCALING_FORMAT=MLN","Sort=A","Dates=H","DateFormat=P","Fill=—","Direction=H","UseDPDF=Y")</f>
        <v>0</v>
      </c>
      <c r="AF18" s="12" cm="1">
        <f t="array" ref="AF18">_xll.BDH("PH US Equity","CF_NET_CASH_DISCONT_OPS_OPER","FQ2 2026","FQ2 2026","Currency=USD","Period=FQ","BEST_FPERIOD_OVERRIDE=FQ","FILING_STATUS=MR","SCALING_FORMAT=MLN","Sort=A","Dates=H","DateFormat=P","Fill=—","Direction=H","UseDPDF=Y")</f>
        <v>0</v>
      </c>
    </row>
    <row r="19" spans="1:32" x14ac:dyDescent="0.25">
      <c r="A19" s="6" t="s">
        <v>65</v>
      </c>
      <c r="B19" s="6" t="s">
        <v>90</v>
      </c>
      <c r="C19" s="15" cm="1">
        <f t="array" ref="C19">_xll.BDH("PH US Equity","CF_CASH_FROM_OPER","FQ1 2019","FQ1 2019","Currency=USD","Period=FQ","BEST_FPERIOD_OVERRIDE=FQ","FILING_STATUS=MR","SCALING_FORMAT=MLN","Sort=A","Dates=H","DateFormat=P","Fill=—","Direction=H","UseDPDF=Y")</f>
        <v>159.38800000000001</v>
      </c>
      <c r="D19" s="15" cm="1">
        <f t="array" ref="D19">_xll.BDH("PH US Equity","CF_CASH_FROM_OPER","FQ2 2019","FQ2 2019","Currency=USD","Period=FQ","BEST_FPERIOD_OVERRIDE=FQ","FILING_STATUS=MR","SCALING_FORMAT=MLN","Sort=A","Dates=H","DateFormat=P","Fill=—","Direction=H","UseDPDF=Y")</f>
        <v>381.65199999999999</v>
      </c>
      <c r="E19" s="15" cm="1">
        <f t="array" ref="E19">_xll.BDH("PH US Equity","CF_CASH_FROM_OPER","FQ3 2019","FQ3 2019","Currency=USD","Period=FQ","BEST_FPERIOD_OVERRIDE=FQ","FILING_STATUS=MR","SCALING_FORMAT=MLN","Sort=A","Dates=H","DateFormat=P","Fill=—","Direction=H","UseDPDF=Y")</f>
        <v>551.55700000000002</v>
      </c>
      <c r="F19" s="15" cm="1">
        <f t="array" ref="F19">_xll.BDH("PH US Equity","CF_CASH_FROM_OPER","FQ4 2019","FQ4 2019","Currency=USD","Period=FQ","BEST_FPERIOD_OVERRIDE=FQ","FILING_STATUS=MR","SCALING_FORMAT=MLN","Sort=A","Dates=H","DateFormat=P","Fill=—","Direction=H","UseDPDF=Y")</f>
        <v>637.54300000000001</v>
      </c>
      <c r="G19" s="15" cm="1">
        <f t="array" ref="G19">_xll.BDH("PH US Equity","CF_CASH_FROM_OPER","FQ1 2020","FQ1 2020","Currency=USD","Period=FQ","BEST_FPERIOD_OVERRIDE=FQ","FILING_STATUS=MR","SCALING_FORMAT=MLN","Sort=A","Dates=H","DateFormat=P","Fill=—","Direction=H","UseDPDF=Y")</f>
        <v>449.13099999999997</v>
      </c>
      <c r="H19" s="15" cm="1">
        <f t="array" ref="H19">_xll.BDH("PH US Equity","CF_CASH_FROM_OPER","FQ2 2020","FQ2 2020","Currency=USD","Period=FQ","BEST_FPERIOD_OVERRIDE=FQ","FILING_STATUS=MR","SCALING_FORMAT=MLN","Sort=A","Dates=H","DateFormat=P","Fill=—","Direction=H","UseDPDF=Y")</f>
        <v>376.83699999999999</v>
      </c>
      <c r="I19" s="15" cm="1">
        <f t="array" ref="I19">_xll.BDH("PH US Equity","CF_CASH_FROM_OPER","FQ3 2020","FQ3 2020","Currency=USD","Period=FQ","BEST_FPERIOD_OVERRIDE=FQ","FILING_STATUS=MR","SCALING_FORMAT=MLN","Sort=A","Dates=H","DateFormat=P","Fill=—","Direction=H","UseDPDF=Y")</f>
        <v>464.89100000000002</v>
      </c>
      <c r="J19" s="15" cm="1">
        <f t="array" ref="J19">_xll.BDH("PH US Equity","CF_CASH_FROM_OPER","FQ4 2020","FQ4 2020","Currency=USD","Period=FQ","BEST_FPERIOD_OVERRIDE=FQ","FILING_STATUS=MR","SCALING_FORMAT=MLN","Sort=A","Dates=H","DateFormat=P","Fill=—","Direction=H","UseDPDF=Y")</f>
        <v>780.09</v>
      </c>
      <c r="K19" s="15" cm="1">
        <f t="array" ref="K19">_xll.BDH("PH US Equity","CF_CASH_FROM_OPER","FQ1 2021","FQ1 2021","Currency=USD","Period=FQ","BEST_FPERIOD_OVERRIDE=FQ","FILING_STATUS=MR","SCALING_FORMAT=MLN","Sort=A","Dates=H","DateFormat=P","Fill=—","Direction=H","UseDPDF=Y")</f>
        <v>737.37400000000002</v>
      </c>
      <c r="L19" s="15" cm="1">
        <f t="array" ref="L19">_xll.BDH("PH US Equity","CF_CASH_FROM_OPER","FQ2 2021","FQ2 2021","Currency=USD","Period=FQ","BEST_FPERIOD_OVERRIDE=FQ","FILING_STATUS=MR","SCALING_FORMAT=MLN","Sort=A","Dates=H","DateFormat=P","Fill=—","Direction=H","UseDPDF=Y")</f>
        <v>616.61400000000003</v>
      </c>
      <c r="M19" s="15" cm="1">
        <f t="array" ref="M19">_xll.BDH("PH US Equity","CF_CASH_FROM_OPER","FQ3 2021","FQ3 2021","Currency=USD","Period=FQ","BEST_FPERIOD_OVERRIDE=FQ","FILING_STATUS=MR","SCALING_FORMAT=MLN","Sort=A","Dates=H","DateFormat=P","Fill=—","Direction=H","UseDPDF=Y")</f>
        <v>527.41700000000003</v>
      </c>
      <c r="N19" s="15" cm="1">
        <f t="array" ref="N19">_xll.BDH("PH US Equity","CF_CASH_FROM_OPER","FQ4 2021","FQ4 2021","Currency=USD","Period=FQ","BEST_FPERIOD_OVERRIDE=FQ","FILING_STATUS=MR","SCALING_FORMAT=MLN","Sort=A","Dates=H","DateFormat=P","Fill=—","Direction=H","UseDPDF=Y")</f>
        <v>693.596</v>
      </c>
      <c r="O19" s="15" cm="1">
        <f t="array" ref="O19">_xll.BDH("PH US Equity","CF_CASH_FROM_OPER","FQ1 2022","FQ1 2022","Currency=USD","Period=FQ","BEST_FPERIOD_OVERRIDE=FQ","FILING_STATUS=MR","SCALING_FORMAT=MLN","Sort=A","Dates=H","DateFormat=P","Fill=—","Direction=H","UseDPDF=Y")</f>
        <v>424.35899999999998</v>
      </c>
      <c r="P19" s="15" cm="1">
        <f t="array" ref="P19">_xll.BDH("PH US Equity","CF_CASH_FROM_OPER","FQ2 2022","FQ2 2022","Currency=USD","Period=FQ","BEST_FPERIOD_OVERRIDE=FQ","FILING_STATUS=MR","SCALING_FORMAT=MLN","Sort=A","Dates=H","DateFormat=P","Fill=—","Direction=H","UseDPDF=Y")</f>
        <v>581.11</v>
      </c>
      <c r="Q19" s="15" cm="1">
        <f t="array" ref="Q19">_xll.BDH("PH US Equity","CF_CASH_FROM_OPER","FQ3 2022","FQ3 2022","Currency=USD","Period=FQ","BEST_FPERIOD_OVERRIDE=FQ","FILING_STATUS=MR","SCALING_FORMAT=MLN","Sort=A","Dates=H","DateFormat=P","Fill=—","Direction=H","UseDPDF=Y")</f>
        <v>542.96900000000005</v>
      </c>
      <c r="R19" s="15" cm="1">
        <f t="array" ref="R19">_xll.BDH("PH US Equity","CF_CASH_FROM_OPER","FQ4 2022","FQ4 2022","Currency=USD","Period=FQ","BEST_FPERIOD_OVERRIDE=FQ","FILING_STATUS=MR","SCALING_FORMAT=MLN","Sort=A","Dates=H","DateFormat=P","Fill=—","Direction=H","UseDPDF=Y")</f>
        <v>893.29200000000003</v>
      </c>
      <c r="S19" s="15" cm="1">
        <f t="array" ref="S19">_xll.BDH("PH US Equity","CF_CASH_FROM_OPER","FQ1 2023","FQ1 2023","Currency=USD","Period=FQ","BEST_FPERIOD_OVERRIDE=FQ","FILING_STATUS=MR","SCALING_FORMAT=MLN","Sort=A","Dates=H","DateFormat=P","Fill=—","Direction=H","UseDPDF=Y")</f>
        <v>457.358</v>
      </c>
      <c r="T19" s="15" cm="1">
        <f t="array" ref="T19">_xll.BDH("PH US Equity","CF_CASH_FROM_OPER","FQ2 2023","FQ2 2023","Currency=USD","Period=FQ","BEST_FPERIOD_OVERRIDE=FQ","FILING_STATUS=MR","SCALING_FORMAT=MLN","Sort=A","Dates=H","DateFormat=P","Fill=—","Direction=H","UseDPDF=Y")</f>
        <v>618.77599999999995</v>
      </c>
      <c r="U19" s="15" cm="1">
        <f t="array" ref="U19">_xll.BDH("PH US Equity","CF_CASH_FROM_OPER","FQ3 2023","FQ3 2023","Currency=USD","Period=FQ","BEST_FPERIOD_OVERRIDE=FQ","FILING_STATUS=MR","SCALING_FORMAT=MLN","Sort=A","Dates=H","DateFormat=P","Fill=—","Direction=H","UseDPDF=Y")</f>
        <v>718.76</v>
      </c>
      <c r="V19" s="15" cm="1">
        <f t="array" ref="V19">_xll.BDH("PH US Equity","CF_CASH_FROM_OPER","FQ4 2023","FQ4 2023","Currency=USD","Period=FQ","BEST_FPERIOD_OVERRIDE=FQ","FILING_STATUS=MR","SCALING_FORMAT=MLN","Sort=A","Dates=H","DateFormat=P","Fill=—","Direction=H","UseDPDF=Y")</f>
        <v>1185.0360000000001</v>
      </c>
      <c r="W19" s="15" cm="1">
        <f t="array" ref="W19">_xll.BDH("PH US Equity","CF_CASH_FROM_OPER","FQ1 2024","FQ1 2024","Currency=USD","Period=FQ","BEST_FPERIOD_OVERRIDE=FQ","FILING_STATUS=MR","SCALING_FORMAT=MLN","Sort=A","Dates=H","DateFormat=P","Fill=—","Direction=H","UseDPDF=Y")</f>
        <v>649.95899999999995</v>
      </c>
      <c r="X19" s="15" cm="1">
        <f t="array" ref="X19">_xll.BDH("PH US Equity","CF_CASH_FROM_OPER","FQ2 2024","FQ2 2024","Currency=USD","Period=FQ","BEST_FPERIOD_OVERRIDE=FQ","FILING_STATUS=MR","SCALING_FORMAT=MLN","Sort=A","Dates=H","DateFormat=P","Fill=—","Direction=H","UseDPDF=Y")</f>
        <v>702.02800000000002</v>
      </c>
      <c r="Y19" s="15" cm="1">
        <f t="array" ref="Y19">_xll.BDH("PH US Equity","CF_CASH_FROM_OPER","FQ3 2024","FQ3 2024","Currency=USD","Period=FQ","BEST_FPERIOD_OVERRIDE=FQ","FILING_STATUS=MR","SCALING_FORMAT=MLN","Sort=A","Dates=H","DateFormat=P","Fill=—","Direction=H","UseDPDF=Y")</f>
        <v>795.09</v>
      </c>
      <c r="Z19" s="15" cm="1">
        <f t="array" ref="Z19">_xll.BDH("PH US Equity","CF_CASH_FROM_OPER","FQ4 2024","FQ4 2024","Currency=USD","Period=FQ","BEST_FPERIOD_OVERRIDE=FQ","FILING_STATUS=MR","SCALING_FORMAT=MLN","Sort=A","Dates=H","DateFormat=P","Fill=—","Direction=H","UseDPDF=Y")</f>
        <v>1237.252</v>
      </c>
      <c r="AA19" s="15" cm="1">
        <f t="array" ref="AA19">_xll.BDH("PH US Equity","CF_CASH_FROM_OPER","FQ1 2025","FQ1 2025","Currency=USD","Period=FQ","BEST_FPERIOD_OVERRIDE=FQ","FILING_STATUS=MR","SCALING_FORMAT=MLN","Sort=A","Dates=H","DateFormat=P","Fill=—","Direction=H","UseDPDF=Y")</f>
        <v>743.97500000000002</v>
      </c>
      <c r="AB19" s="15" cm="1">
        <f t="array" ref="AB19">_xll.BDH("PH US Equity","CF_CASH_FROM_OPER","FQ2 2025","FQ2 2025","Currency=USD","Period=FQ","BEST_FPERIOD_OVERRIDE=FQ","FILING_STATUS=MR","SCALING_FORMAT=MLN","Sort=A","Dates=H","DateFormat=P","Fill=—","Direction=H","UseDPDF=Y")</f>
        <v>934.75800000000004</v>
      </c>
      <c r="AC19" s="15" cm="1">
        <f t="array" ref="AC19">_xll.BDH("PH US Equity","CF_CASH_FROM_OPER","FQ3 2025","FQ3 2025","Currency=USD","Period=FQ","BEST_FPERIOD_OVERRIDE=FQ","FILING_STATUS=MR","SCALING_FORMAT=MLN","Sort=A","Dates=H","DateFormat=P","Fill=—","Direction=H","UseDPDF=Y")</f>
        <v>630.02800000000002</v>
      </c>
      <c r="AD19" s="15" cm="1">
        <f t="array" ref="AD19">_xll.BDH("PH US Equity","CF_CASH_FROM_OPER","FQ4 2025","FQ4 2025","Currency=USD","Period=FQ","BEST_FPERIOD_OVERRIDE=FQ","FILING_STATUS=MR","SCALING_FORMAT=MLN","Sort=A","Dates=H","DateFormat=P","Fill=—","Direction=H","UseDPDF=Y")</f>
        <v>1467.239</v>
      </c>
      <c r="AE19" s="15" cm="1">
        <f t="array" ref="AE19">_xll.BDH("PH US Equity","CF_CASH_FROM_OPER","FQ1 2026","FQ1 2026","Currency=USD","Period=FQ","BEST_FPERIOD_OVERRIDE=FQ","FILING_STATUS=MR","SCALING_FORMAT=MLN","Sort=A","Dates=H","DateFormat=P","Fill=—","Direction=H","UseDPDF=Y")</f>
        <v>782</v>
      </c>
      <c r="AF19" s="15" cm="1">
        <f t="array" ref="AF19">_xll.BDH("PH US Equity","CF_CASH_FROM_OPER","FQ2 2026","FQ2 2026","Currency=USD","Period=FQ","BEST_FPERIOD_OVERRIDE=FQ","FILING_STATUS=MR","SCALING_FORMAT=MLN","Sort=A","Dates=H","DateFormat=P","Fill=—","Direction=H","UseDPDF=Y")</f>
        <v>862</v>
      </c>
    </row>
    <row r="20" spans="1:32" x14ac:dyDescent="0.25">
      <c r="A20" s="6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x14ac:dyDescent="0.25">
      <c r="A21" s="6" t="s">
        <v>91</v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x14ac:dyDescent="0.25">
      <c r="A22" s="10" t="s">
        <v>92</v>
      </c>
      <c r="B22" s="10" t="s">
        <v>93</v>
      </c>
      <c r="C22" s="12" cm="1">
        <f t="array" ref="C22">_xll.BDH("PH US Equity","FIXED_INTANG_ASST_CHANGE","FQ1 2019","FQ1 2019","Currency=USD","Period=FQ","BEST_FPERIOD_OVERRIDE=FQ","FILING_STATUS=MR","SCALING_FORMAT=MLN","Sort=A","Dates=H","DateFormat=P","Fill=—","Direction=H","UseDPDF=Y")</f>
        <v>-31.137</v>
      </c>
      <c r="D22" s="12" cm="1">
        <f t="array" ref="D22">_xll.BDH("PH US Equity","FIXED_INTANG_ASST_CHANGE","FQ2 2019","FQ2 2019","Currency=USD","Period=FQ","BEST_FPERIOD_OVERRIDE=FQ","FILING_STATUS=MR","SCALING_FORMAT=MLN","Sort=A","Dates=H","DateFormat=P","Fill=—","Direction=H","UseDPDF=Y")</f>
        <v>-29.167999999999999</v>
      </c>
      <c r="E22" s="12" cm="1">
        <f t="array" ref="E22">_xll.BDH("PH US Equity","FIXED_INTANG_ASST_CHANGE","FQ3 2019","FQ3 2019","Currency=USD","Period=FQ","BEST_FPERIOD_OVERRIDE=FQ","FILING_STATUS=MR","SCALING_FORMAT=MLN","Sort=A","Dates=H","DateFormat=P","Fill=—","Direction=H","UseDPDF=Y")</f>
        <v>-47.607999999999997</v>
      </c>
      <c r="F22" s="12" cm="1">
        <f t="array" ref="F22">_xll.BDH("PH US Equity","FIXED_INTANG_ASST_CHANGE","FQ4 2019","FQ4 2019","Currency=USD","Period=FQ","BEST_FPERIOD_OVERRIDE=FQ","FILING_STATUS=MR","SCALING_FORMAT=MLN","Sort=A","Dates=H","DateFormat=P","Fill=—","Direction=H","UseDPDF=Y")</f>
        <v>-40.584000000000003</v>
      </c>
      <c r="G22" s="12" cm="1">
        <f t="array" ref="G22">_xll.BDH("PH US Equity","FIXED_INTANG_ASST_CHANGE","FQ1 2020","FQ1 2020","Currency=USD","Period=FQ","BEST_FPERIOD_OVERRIDE=FQ","FILING_STATUS=MR","SCALING_FORMAT=MLN","Sort=A","Dates=H","DateFormat=P","Fill=—","Direction=H","UseDPDF=Y")</f>
        <v>-31.061</v>
      </c>
      <c r="H22" s="12" cm="1">
        <f t="array" ref="H22">_xll.BDH("PH US Equity","FIXED_INTANG_ASST_CHANGE","FQ2 2020","FQ2 2020","Currency=USD","Period=FQ","BEST_FPERIOD_OVERRIDE=FQ","FILING_STATUS=MR","SCALING_FORMAT=MLN","Sort=A","Dates=H","DateFormat=P","Fill=—","Direction=H","UseDPDF=Y")</f>
        <v>-66.539000000000001</v>
      </c>
      <c r="I22" s="12" cm="1">
        <f t="array" ref="I22">_xll.BDH("PH US Equity","FIXED_INTANG_ASST_CHANGE","FQ3 2020","FQ3 2020","Currency=USD","Period=FQ","BEST_FPERIOD_OVERRIDE=FQ","FILING_STATUS=MR","SCALING_FORMAT=MLN","Sort=A","Dates=H","DateFormat=P","Fill=—","Direction=H","UseDPDF=Y")</f>
        <v>-59.503999999999998</v>
      </c>
      <c r="J22" s="12" cm="1">
        <f t="array" ref="J22">_xll.BDH("PH US Equity","FIXED_INTANG_ASST_CHANGE","FQ4 2020","FQ4 2020","Currency=USD","Period=FQ","BEST_FPERIOD_OVERRIDE=FQ","FILING_STATUS=MR","SCALING_FORMAT=MLN","Sort=A","Dates=H","DateFormat=P","Fill=—","Direction=H","UseDPDF=Y")</f>
        <v>-49.142000000000003</v>
      </c>
      <c r="K22" s="12" cm="1">
        <f t="array" ref="K22">_xll.BDH("PH US Equity","FIXED_INTANG_ASST_CHANGE","FQ1 2021","FQ1 2021","Currency=USD","Period=FQ","BEST_FPERIOD_OVERRIDE=FQ","FILING_STATUS=MR","SCALING_FORMAT=MLN","Sort=A","Dates=H","DateFormat=P","Fill=—","Direction=H","UseDPDF=Y")</f>
        <v>-35.527000000000001</v>
      </c>
      <c r="L22" s="12" cm="1">
        <f t="array" ref="L22">_xll.BDH("PH US Equity","FIXED_INTANG_ASST_CHANGE","FQ2 2021","FQ2 2021","Currency=USD","Period=FQ","BEST_FPERIOD_OVERRIDE=FQ","FILING_STATUS=MR","SCALING_FORMAT=MLN","Sort=A","Dates=H","DateFormat=P","Fill=—","Direction=H","UseDPDF=Y")</f>
        <v>67.048000000000002</v>
      </c>
      <c r="M22" s="12" cm="1">
        <f t="array" ref="M22">_xll.BDH("PH US Equity","FIXED_INTANG_ASST_CHANGE","FQ3 2021","FQ3 2021","Currency=USD","Period=FQ","BEST_FPERIOD_OVERRIDE=FQ","FILING_STATUS=MR","SCALING_FORMAT=MLN","Sort=A","Dates=H","DateFormat=P","Fill=—","Direction=H","UseDPDF=Y")</f>
        <v>-34.844999999999999</v>
      </c>
      <c r="N22" s="12" cm="1">
        <f t="array" ref="N22">_xll.BDH("PH US Equity","FIXED_INTANG_ASST_CHANGE","FQ4 2021","FQ4 2021","Currency=USD","Period=FQ","BEST_FPERIOD_OVERRIDE=FQ","FILING_STATUS=MR","SCALING_FORMAT=MLN","Sort=A","Dates=H","DateFormat=P","Fill=—","Direction=H","UseDPDF=Y")</f>
        <v>-66.043000000000006</v>
      </c>
      <c r="O22" s="12" cm="1">
        <f t="array" ref="O22">_xll.BDH("PH US Equity","FIXED_INTANG_ASST_CHANGE","FQ1 2022","FQ1 2022","Currency=USD","Period=FQ","BEST_FPERIOD_OVERRIDE=FQ","FILING_STATUS=MR","SCALING_FORMAT=MLN","Sort=A","Dates=H","DateFormat=P","Fill=—","Direction=H","UseDPDF=Y")</f>
        <v>-40.451999999999998</v>
      </c>
      <c r="P22" s="12" cm="1">
        <f t="array" ref="P22">_xll.BDH("PH US Equity","FIXED_INTANG_ASST_CHANGE","FQ2 2022","FQ2 2022","Currency=USD","Period=FQ","BEST_FPERIOD_OVERRIDE=FQ","FILING_STATUS=MR","SCALING_FORMAT=MLN","Sort=A","Dates=H","DateFormat=P","Fill=—","Direction=H","UseDPDF=Y")</f>
        <v>-42.762</v>
      </c>
      <c r="Q22" s="12" cm="1">
        <f t="array" ref="Q22">_xll.BDH("PH US Equity","FIXED_INTANG_ASST_CHANGE","FQ3 2022","FQ3 2022","Currency=USD","Period=FQ","BEST_FPERIOD_OVERRIDE=FQ","FILING_STATUS=MR","SCALING_FORMAT=MLN","Sort=A","Dates=H","DateFormat=P","Fill=—","Direction=H","UseDPDF=Y")</f>
        <v>-46.33</v>
      </c>
      <c r="R22" s="12" cm="1">
        <f t="array" ref="R22">_xll.BDH("PH US Equity","FIXED_INTANG_ASST_CHANGE","FQ4 2022","FQ4 2022","Currency=USD","Period=FQ","BEST_FPERIOD_OVERRIDE=FQ","FILING_STATUS=MR","SCALING_FORMAT=MLN","Sort=A","Dates=H","DateFormat=P","Fill=—","Direction=H","UseDPDF=Y")</f>
        <v>-61.146999999999998</v>
      </c>
      <c r="S22" s="12" cm="1">
        <f t="array" ref="S22">_xll.BDH("PH US Equity","FIXED_INTANG_ASST_CHANGE","FQ1 2023","FQ1 2023","Currency=USD","Period=FQ","BEST_FPERIOD_OVERRIDE=FQ","FILING_STATUS=MR","SCALING_FORMAT=MLN","Sort=A","Dates=H","DateFormat=P","Fill=—","Direction=H","UseDPDF=Y")</f>
        <v>-72.447999999999993</v>
      </c>
      <c r="T22" s="12" cm="1">
        <f t="array" ref="T22">_xll.BDH("PH US Equity","FIXED_INTANG_ASST_CHANGE","FQ2 2023","FQ2 2023","Currency=USD","Period=FQ","BEST_FPERIOD_OVERRIDE=FQ","FILING_STATUS=MR","SCALING_FORMAT=MLN","Sort=A","Dates=H","DateFormat=P","Fill=—","Direction=H","UseDPDF=Y")</f>
        <v>-101.624</v>
      </c>
      <c r="U22" s="12" cm="1">
        <f t="array" ref="U22">_xll.BDH("PH US Equity","FIXED_INTANG_ASST_CHANGE","FQ3 2023","FQ3 2023","Currency=USD","Period=FQ","BEST_FPERIOD_OVERRIDE=FQ","FILING_STATUS=MR","SCALING_FORMAT=MLN","Sort=A","Dates=H","DateFormat=P","Fill=—","Direction=H","UseDPDF=Y")</f>
        <v>-86.71</v>
      </c>
      <c r="V22" s="12" cm="1">
        <f t="array" ref="V22">_xll.BDH("PH US Equity","FIXED_INTANG_ASST_CHANGE","FQ4 2023","FQ4 2023","Currency=USD","Period=FQ","BEST_FPERIOD_OVERRIDE=FQ","FILING_STATUS=MR","SCALING_FORMAT=MLN","Sort=A","Dates=H","DateFormat=P","Fill=—","Direction=H","UseDPDF=Y")</f>
        <v>-106.721</v>
      </c>
      <c r="W22" s="12" cm="1">
        <f t="array" ref="W22">_xll.BDH("PH US Equity","FIXED_INTANG_ASST_CHANGE","FQ1 2024","FQ1 2024","Currency=USD","Period=FQ","BEST_FPERIOD_OVERRIDE=FQ","FILING_STATUS=MR","SCALING_FORMAT=MLN","Sort=A","Dates=H","DateFormat=P","Fill=—","Direction=H","UseDPDF=Y")</f>
        <v>-97.036000000000001</v>
      </c>
      <c r="X22" s="12" cm="1">
        <f t="array" ref="X22">_xll.BDH("PH US Equity","FIXED_INTANG_ASST_CHANGE","FQ2 2024","FQ2 2024","Currency=USD","Period=FQ","BEST_FPERIOD_OVERRIDE=FQ","FILING_STATUS=MR","SCALING_FORMAT=MLN","Sort=A","Dates=H","DateFormat=P","Fill=—","Direction=H","UseDPDF=Y")</f>
        <v>-105.721</v>
      </c>
      <c r="Y22" s="12" cm="1">
        <f t="array" ref="Y22">_xll.BDH("PH US Equity","FIXED_INTANG_ASST_CHANGE","FQ3 2024","FQ3 2024","Currency=USD","Period=FQ","BEST_FPERIOD_OVERRIDE=FQ","FILING_STATUS=MR","SCALING_FORMAT=MLN","Sort=A","Dates=H","DateFormat=P","Fill=—","Direction=H","UseDPDF=Y")</f>
        <v>-71.665999999999997</v>
      </c>
      <c r="Z22" s="12" cm="1">
        <f t="array" ref="Z22">_xll.BDH("PH US Equity","FIXED_INTANG_ASST_CHANGE","FQ4 2024","FQ4 2024","Currency=USD","Period=FQ","BEST_FPERIOD_OVERRIDE=FQ","FILING_STATUS=MR","SCALING_FORMAT=MLN","Sort=A","Dates=H","DateFormat=P","Fill=—","Direction=H","UseDPDF=Y")</f>
        <v>-116.624</v>
      </c>
      <c r="AA22" s="12" cm="1">
        <f t="array" ref="AA22">_xll.BDH("PH US Equity","FIXED_INTANG_ASST_CHANGE","FQ1 2025","FQ1 2025","Currency=USD","Period=FQ","BEST_FPERIOD_OVERRIDE=FQ","FILING_STATUS=MR","SCALING_FORMAT=MLN","Sort=A","Dates=H","DateFormat=P","Fill=—","Direction=H","UseDPDF=Y")</f>
        <v>-82.031000000000006</v>
      </c>
      <c r="AB22" s="12" cm="1">
        <f t="array" ref="AB22">_xll.BDH("PH US Equity","FIXED_INTANG_ASST_CHANGE","FQ2 2025","FQ2 2025","Currency=USD","Period=FQ","BEST_FPERIOD_OVERRIDE=FQ","FILING_STATUS=MR","SCALING_FORMAT=MLN","Sort=A","Dates=H","DateFormat=P","Fill=—","Direction=H","UseDPDF=Y")</f>
        <v>-121.203</v>
      </c>
      <c r="AC22" s="12" cm="1">
        <f t="array" ref="AC22">_xll.BDH("PH US Equity","FIXED_INTANG_ASST_CHANGE","FQ3 2025","FQ3 2025","Currency=USD","Period=FQ","BEST_FPERIOD_OVERRIDE=FQ","FILING_STATUS=MR","SCALING_FORMAT=MLN","Sort=A","Dates=H","DateFormat=P","Fill=—","Direction=H","UseDPDF=Y")</f>
        <v>-69.048000000000002</v>
      </c>
      <c r="AD22" s="12" cm="1">
        <f t="array" ref="AD22">_xll.BDH("PH US Equity","FIXED_INTANG_ASST_CHANGE","FQ4 2025","FQ4 2025","Currency=USD","Period=FQ","BEST_FPERIOD_OVERRIDE=FQ","FILING_STATUS=MR","SCALING_FORMAT=MLN","Sort=A","Dates=H","DateFormat=P","Fill=—","Direction=H","UseDPDF=Y")</f>
        <v>-130.71799999999999</v>
      </c>
      <c r="AE22" s="12" cm="1">
        <f t="array" ref="AE22">_xll.BDH("PH US Equity","FIXED_INTANG_ASST_CHANGE","FQ1 2026","FQ1 2026","Currency=USD","Period=FQ","BEST_FPERIOD_OVERRIDE=FQ","FILING_STATUS=MR","SCALING_FORMAT=MLN","Sort=A","Dates=H","DateFormat=P","Fill=—","Direction=H","UseDPDF=Y")</f>
        <v>-83</v>
      </c>
      <c r="AF22" s="12" cm="1">
        <f t="array" ref="AF22">_xll.BDH("PH US Equity","FIXED_INTANG_ASST_CHANGE","FQ2 2026","FQ2 2026","Currency=USD","Period=FQ","BEST_FPERIOD_OVERRIDE=FQ","FILING_STATUS=MR","SCALING_FORMAT=MLN","Sort=A","Dates=H","DateFormat=P","Fill=—","Direction=H","UseDPDF=Y")</f>
        <v>-68</v>
      </c>
    </row>
    <row r="23" spans="1:32" x14ac:dyDescent="0.25">
      <c r="A23" s="10" t="s">
        <v>94</v>
      </c>
      <c r="B23" s="10" t="s">
        <v>95</v>
      </c>
      <c r="C23" s="12" cm="1">
        <f t="array" ref="C23">_xll.BDH("PH US Equity","DISPOSAL_OF_FIXED_INTANG","FQ1 2019","FQ1 2019","Currency=USD","Period=FQ","BEST_FPERIOD_OVERRIDE=FQ","FILING_STATUS=MR","SCALING_FORMAT=MLN","Sort=A","Dates=H","DateFormat=P","Fill=—","Direction=H","UseDPDF=Y")</f>
        <v>10.968999999999999</v>
      </c>
      <c r="D23" s="12" cm="1">
        <f t="array" ref="D23">_xll.BDH("PH US Equity","DISPOSAL_OF_FIXED_INTANG","FQ2 2019","FQ2 2019","Currency=USD","Period=FQ","BEST_FPERIOD_OVERRIDE=FQ","FILING_STATUS=MR","SCALING_FORMAT=MLN","Sort=A","Dates=H","DateFormat=P","Fill=—","Direction=H","UseDPDF=Y")</f>
        <v>23.152000000000001</v>
      </c>
      <c r="E23" s="12" cm="1">
        <f t="array" ref="E23">_xll.BDH("PH US Equity","DISPOSAL_OF_FIXED_INTANG","FQ3 2019","FQ3 2019","Currency=USD","Period=FQ","BEST_FPERIOD_OVERRIDE=FQ","FILING_STATUS=MR","SCALING_FORMAT=MLN","Sort=A","Dates=H","DateFormat=P","Fill=—","Direction=H","UseDPDF=Y")</f>
        <v>3.0369999999999999</v>
      </c>
      <c r="F23" s="12" cm="1">
        <f t="array" ref="F23">_xll.BDH("PH US Equity","DISPOSAL_OF_FIXED_INTANG","FQ4 2019","FQ4 2019","Currency=USD","Period=FQ","BEST_FPERIOD_OVERRIDE=FQ","FILING_STATUS=MR","SCALING_FORMAT=MLN","Sort=A","Dates=H","DateFormat=P","Fill=—","Direction=H","UseDPDF=Y")</f>
        <v>9.4339999999999993</v>
      </c>
      <c r="G23" s="12" cm="1">
        <f t="array" ref="G23">_xll.BDH("PH US Equity","DISPOSAL_OF_FIXED_INTANG","FQ1 2020","FQ1 2020","Currency=USD","Period=FQ","BEST_FPERIOD_OVERRIDE=FQ","FILING_STATUS=MR","SCALING_FORMAT=MLN","Sort=A","Dates=H","DateFormat=P","Fill=—","Direction=H","UseDPDF=Y")</f>
        <v>19.283999999999999</v>
      </c>
      <c r="H23" s="12" cm="1">
        <f t="array" ref="H23">_xll.BDH("PH US Equity","DISPOSAL_OF_FIXED_INTANG","FQ2 2020","FQ2 2020","Currency=USD","Period=FQ","BEST_FPERIOD_OVERRIDE=FQ","FILING_STATUS=MR","SCALING_FORMAT=MLN","Sort=A","Dates=H","DateFormat=P","Fill=—","Direction=H","UseDPDF=Y")</f>
        <v>1.7090000000000001</v>
      </c>
      <c r="I23" s="12" cm="1">
        <f t="array" ref="I23">_xll.BDH("PH US Equity","DISPOSAL_OF_FIXED_INTANG","FQ3 2020","FQ3 2020","Currency=USD","Period=FQ","BEST_FPERIOD_OVERRIDE=FQ","FILING_STATUS=MR","SCALING_FORMAT=MLN","Sort=A","Dates=H","DateFormat=P","Fill=—","Direction=H","UseDPDF=Y")</f>
        <v>4.4050000000000002</v>
      </c>
      <c r="J23" s="12" cm="1">
        <f t="array" ref="J23">_xll.BDH("PH US Equity","DISPOSAL_OF_FIXED_INTANG","FQ4 2020","FQ4 2020","Currency=USD","Period=FQ","BEST_FPERIOD_OVERRIDE=FQ","FILING_STATUS=MR","SCALING_FORMAT=MLN","Sort=A","Dates=H","DateFormat=P","Fill=—","Direction=H","UseDPDF=Y")</f>
        <v>0.94699999999999995</v>
      </c>
      <c r="K23" s="12" cm="1">
        <f t="array" ref="K23">_xll.BDH("PH US Equity","DISPOSAL_OF_FIXED_INTANG","FQ1 2021","FQ1 2021","Currency=USD","Period=FQ","BEST_FPERIOD_OVERRIDE=FQ","FILING_STATUS=MR","SCALING_FORMAT=MLN","Sort=A","Dates=H","DateFormat=P","Fill=—","Direction=H","UseDPDF=Y")</f>
        <v>6.59</v>
      </c>
      <c r="L23" s="12" cm="1">
        <f t="array" ref="L23">_xll.BDH("PH US Equity","DISPOSAL_OF_FIXED_INTANG","FQ2 2021","FQ2 2021","Currency=USD","Period=FQ","BEST_FPERIOD_OVERRIDE=FQ","FILING_STATUS=MR","SCALING_FORMAT=MLN","Sort=A","Dates=H","DateFormat=P","Fill=—","Direction=H","UseDPDF=Y")</f>
        <v>117.83799999999999</v>
      </c>
      <c r="M23" s="12" cm="1">
        <f t="array" ref="M23">_xll.BDH("PH US Equity","DISPOSAL_OF_FIXED_INTANG","FQ3 2021","FQ3 2021","Currency=USD","Period=FQ","BEST_FPERIOD_OVERRIDE=FQ","FILING_STATUS=MR","SCALING_FORMAT=MLN","Sort=A","Dates=H","DateFormat=P","Fill=—","Direction=H","UseDPDF=Y")</f>
        <v>8.3119999999999994</v>
      </c>
      <c r="N23" s="12" cm="1">
        <f t="array" ref="N23">_xll.BDH("PH US Equity","DISPOSAL_OF_FIXED_INTANG","FQ4 2021","FQ4 2021","Currency=USD","Period=FQ","BEST_FPERIOD_OVERRIDE=FQ","FILING_STATUS=MR","SCALING_FORMAT=MLN","Sort=A","Dates=H","DateFormat=P","Fill=—","Direction=H","UseDPDF=Y")</f>
        <v>7.85</v>
      </c>
      <c r="O23" s="12" cm="1">
        <f t="array" ref="O23">_xll.BDH("PH US Equity","DISPOSAL_OF_FIXED_INTANG","FQ1 2022","FQ1 2022","Currency=USD","Period=FQ","BEST_FPERIOD_OVERRIDE=FQ","FILING_STATUS=MR","SCALING_FORMAT=MLN","Sort=A","Dates=H","DateFormat=P","Fill=—","Direction=H","UseDPDF=Y")</f>
        <v>7.7510000000000003</v>
      </c>
      <c r="P23" s="12" cm="1">
        <f t="array" ref="P23">_xll.BDH("PH US Equity","DISPOSAL_OF_FIXED_INTANG","FQ2 2022","FQ2 2022","Currency=USD","Period=FQ","BEST_FPERIOD_OVERRIDE=FQ","FILING_STATUS=MR","SCALING_FORMAT=MLN","Sort=A","Dates=H","DateFormat=P","Fill=—","Direction=H","UseDPDF=Y")</f>
        <v>14.641</v>
      </c>
      <c r="Q23" s="12" cm="1">
        <f t="array" ref="Q23">_xll.BDH("PH US Equity","DISPOSAL_OF_FIXED_INTANG","FQ3 2022","FQ3 2022","Currency=USD","Period=FQ","BEST_FPERIOD_OVERRIDE=FQ","FILING_STATUS=MR","SCALING_FORMAT=MLN","Sort=A","Dates=H","DateFormat=P","Fill=—","Direction=H","UseDPDF=Y")</f>
        <v>6.9279999999999999</v>
      </c>
      <c r="R23" s="12" cm="1">
        <f t="array" ref="R23">_xll.BDH("PH US Equity","DISPOSAL_OF_FIXED_INTANG","FQ4 2022","FQ4 2022","Currency=USD","Period=FQ","BEST_FPERIOD_OVERRIDE=FQ","FILING_STATUS=MR","SCALING_FORMAT=MLN","Sort=A","Dates=H","DateFormat=P","Fill=—","Direction=H","UseDPDF=Y")</f>
        <v>10.032999999999999</v>
      </c>
      <c r="S23" s="12" cm="1">
        <f t="array" ref="S23">_xll.BDH("PH US Equity","DISPOSAL_OF_FIXED_INTANG","FQ1 2023","FQ1 2023","Currency=USD","Period=FQ","BEST_FPERIOD_OVERRIDE=FQ","FILING_STATUS=MR","SCALING_FORMAT=MLN","Sort=A","Dates=H","DateFormat=P","Fill=—","Direction=H","UseDPDF=Y")</f>
        <v>11.106999999999999</v>
      </c>
      <c r="T23" s="12" cm="1">
        <f t="array" ref="T23">_xll.BDH("PH US Equity","DISPOSAL_OF_FIXED_INTANG","FQ2 2023","FQ2 2023","Currency=USD","Period=FQ","BEST_FPERIOD_OVERRIDE=FQ","FILING_STATUS=MR","SCALING_FORMAT=MLN","Sort=A","Dates=H","DateFormat=P","Fill=—","Direction=H","UseDPDF=Y")</f>
        <v>0.52500000000000002</v>
      </c>
      <c r="U23" s="12" cm="1">
        <f t="array" ref="U23">_xll.BDH("PH US Equity","DISPOSAL_OF_FIXED_INTANG","FQ3 2023","FQ3 2023","Currency=USD","Period=FQ","BEST_FPERIOD_OVERRIDE=FQ","FILING_STATUS=MR","SCALING_FORMAT=MLN","Sort=A","Dates=H","DateFormat=P","Fill=—","Direction=H","UseDPDF=Y")</f>
        <v>0.189</v>
      </c>
      <c r="V23" s="12" cm="1">
        <f t="array" ref="V23">_xll.BDH("PH US Equity","DISPOSAL_OF_FIXED_INTANG","FQ4 2023","FQ4 2023","Currency=USD","Period=FQ","BEST_FPERIOD_OVERRIDE=FQ","FILING_STATUS=MR","SCALING_FORMAT=MLN","Sort=A","Dates=H","DateFormat=P","Fill=—","Direction=H","UseDPDF=Y")</f>
        <v>1.423</v>
      </c>
      <c r="W23" s="12" cm="1">
        <f t="array" ref="W23">_xll.BDH("PH US Equity","DISPOSAL_OF_FIXED_INTANG","FQ1 2024","FQ1 2024","Currency=USD","Period=FQ","BEST_FPERIOD_OVERRIDE=FQ","FILING_STATUS=MR","SCALING_FORMAT=MLN","Sort=A","Dates=H","DateFormat=P","Fill=—","Direction=H","UseDPDF=Y")</f>
        <v>0.71</v>
      </c>
      <c r="X23" s="12" cm="1">
        <f t="array" ref="X23">_xll.BDH("PH US Equity","DISPOSAL_OF_FIXED_INTANG","FQ2 2024","FQ2 2024","Currency=USD","Period=FQ","BEST_FPERIOD_OVERRIDE=FQ","FILING_STATUS=MR","SCALING_FORMAT=MLN","Sort=A","Dates=H","DateFormat=P","Fill=—","Direction=H","UseDPDF=Y")</f>
        <v>0.65</v>
      </c>
      <c r="Y23" s="12" cm="1">
        <f t="array" ref="Y23">_xll.BDH("PH US Equity","DISPOSAL_OF_FIXED_INTANG","FQ3 2024","FQ3 2024","Currency=USD","Period=FQ","BEST_FPERIOD_OVERRIDE=FQ","FILING_STATUS=MR","SCALING_FORMAT=MLN","Sort=A","Dates=H","DateFormat=P","Fill=—","Direction=H","UseDPDF=Y")</f>
        <v>7.5449999999999999</v>
      </c>
      <c r="Z23" s="12" cm="1">
        <f t="array" ref="Z23">_xll.BDH("PH US Equity","DISPOSAL_OF_FIXED_INTANG","FQ4 2024","FQ4 2024","Currency=USD","Period=FQ","BEST_FPERIOD_OVERRIDE=FQ","FILING_STATUS=MR","SCALING_FORMAT=MLN","Sort=A","Dates=H","DateFormat=P","Fill=—","Direction=H","UseDPDF=Y")</f>
        <v>0.16</v>
      </c>
      <c r="AA23" s="12" cm="1">
        <f t="array" ref="AA23">_xll.BDH("PH US Equity","DISPOSAL_OF_FIXED_INTANG","FQ1 2025","FQ1 2025","Currency=USD","Period=FQ","BEST_FPERIOD_OVERRIDE=FQ","FILING_STATUS=MR","SCALING_FORMAT=MLN","Sort=A","Dates=H","DateFormat=P","Fill=—","Direction=H","UseDPDF=Y")</f>
        <v>13.271000000000001</v>
      </c>
      <c r="AB23" s="12" cm="1">
        <f t="array" ref="AB23">_xll.BDH("PH US Equity","DISPOSAL_OF_FIXED_INTANG","FQ2 2025","FQ2 2025","Currency=USD","Period=FQ","BEST_FPERIOD_OVERRIDE=FQ","FILING_STATUS=MR","SCALING_FORMAT=MLN","Sort=A","Dates=H","DateFormat=P","Fill=—","Direction=H","UseDPDF=Y")</f>
        <v>0</v>
      </c>
      <c r="AC23" s="12" cm="1">
        <f t="array" ref="AC23">_xll.BDH("PH US Equity","DISPOSAL_OF_FIXED_INTANG","FQ3 2025","FQ3 2025","Currency=USD","Period=FQ","BEST_FPERIOD_OVERRIDE=FQ","FILING_STATUS=MR","SCALING_FORMAT=MLN","Sort=A","Dates=H","DateFormat=P","Fill=—","Direction=H","UseDPDF=Y")</f>
        <v>18.600000000000001</v>
      </c>
      <c r="AD23" s="12" cm="1">
        <f t="array" ref="AD23">_xll.BDH("PH US Equity","DISPOSAL_OF_FIXED_INTANG","FQ4 2025","FQ4 2025","Currency=USD","Period=FQ","BEST_FPERIOD_OVERRIDE=FQ","FILING_STATUS=MR","SCALING_FORMAT=MLN","Sort=A","Dates=H","DateFormat=P","Fill=—","Direction=H","UseDPDF=Y")</f>
        <v>0.129</v>
      </c>
      <c r="AE23" s="12" cm="1">
        <f t="array" ref="AE23">_xll.BDH("PH US Equity","DISPOSAL_OF_FIXED_INTANG","FQ1 2026","FQ1 2026","Currency=USD","Period=FQ","BEST_FPERIOD_OVERRIDE=FQ","FILING_STATUS=MR","SCALING_FORMAT=MLN","Sort=A","Dates=H","DateFormat=P","Fill=—","Direction=H","UseDPDF=Y")</f>
        <v>6</v>
      </c>
      <c r="AF23" s="12" cm="1">
        <f t="array" ref="AF23">_xll.BDH("PH US Equity","DISPOSAL_OF_FIXED_INTANG","FQ2 2026","FQ2 2026","Currency=USD","Period=FQ","BEST_FPERIOD_OVERRIDE=FQ","FILING_STATUS=MR","SCALING_FORMAT=MLN","Sort=A","Dates=H","DateFormat=P","Fill=—","Direction=H","UseDPDF=Y")</f>
        <v>26</v>
      </c>
    </row>
    <row r="24" spans="1:32" x14ac:dyDescent="0.25">
      <c r="A24" s="11" t="s">
        <v>96</v>
      </c>
      <c r="B24" s="11" t="s">
        <v>97</v>
      </c>
      <c r="C24" s="16" cm="1">
        <f t="array" ref="C24">_xll.BDH("PH US Equity","CF_DISPOSAL_OF_FIXED_PROD_ASSETS","FQ1 2019","FQ1 2019","Currency=USD","Period=FQ","BEST_FPERIOD_OVERRIDE=FQ","FILING_STATUS=MR","SCALING_FORMAT=MLN","Sort=A","Dates=H","DateFormat=P","Fill=—","Direction=H","UseDPDF=Y")</f>
        <v>10.968999999999999</v>
      </c>
      <c r="D24" s="16" cm="1">
        <f t="array" ref="D24">_xll.BDH("PH US Equity","CF_DISPOSAL_OF_FIXED_PROD_ASSETS","FQ2 2019","FQ2 2019","Currency=USD","Period=FQ","BEST_FPERIOD_OVERRIDE=FQ","FILING_STATUS=MR","SCALING_FORMAT=MLN","Sort=A","Dates=H","DateFormat=P","Fill=—","Direction=H","UseDPDF=Y")</f>
        <v>23.152000000000001</v>
      </c>
      <c r="E24" s="16" cm="1">
        <f t="array" ref="E24">_xll.BDH("PH US Equity","CF_DISPOSAL_OF_FIXED_PROD_ASSETS","FQ3 2019","FQ3 2019","Currency=USD","Period=FQ","BEST_FPERIOD_OVERRIDE=FQ","FILING_STATUS=MR","SCALING_FORMAT=MLN","Sort=A","Dates=H","DateFormat=P","Fill=—","Direction=H","UseDPDF=Y")</f>
        <v>3.0369999999999999</v>
      </c>
      <c r="F24" s="16" cm="1">
        <f t="array" ref="F24">_xll.BDH("PH US Equity","CF_DISPOSAL_OF_FIXED_PROD_ASSETS","FQ4 2019","FQ4 2019","Currency=USD","Period=FQ","BEST_FPERIOD_OVERRIDE=FQ","FILING_STATUS=MR","SCALING_FORMAT=MLN","Sort=A","Dates=H","DateFormat=P","Fill=—","Direction=H","UseDPDF=Y")</f>
        <v>9.4339999999999993</v>
      </c>
      <c r="G24" s="16" cm="1">
        <f t="array" ref="G24">_xll.BDH("PH US Equity","CF_DISPOSAL_OF_FIXED_PROD_ASSETS","FQ1 2020","FQ1 2020","Currency=USD","Period=FQ","BEST_FPERIOD_OVERRIDE=FQ","FILING_STATUS=MR","SCALING_FORMAT=MLN","Sort=A","Dates=H","DateFormat=P","Fill=—","Direction=H","UseDPDF=Y")</f>
        <v>19.283999999999999</v>
      </c>
      <c r="H24" s="16" cm="1">
        <f t="array" ref="H24">_xll.BDH("PH US Equity","CF_DISPOSAL_OF_FIXED_PROD_ASSETS","FQ2 2020","FQ2 2020","Currency=USD","Period=FQ","BEST_FPERIOD_OVERRIDE=FQ","FILING_STATUS=MR","SCALING_FORMAT=MLN","Sort=A","Dates=H","DateFormat=P","Fill=—","Direction=H","UseDPDF=Y")</f>
        <v>1.7090000000000001</v>
      </c>
      <c r="I24" s="16" cm="1">
        <f t="array" ref="I24">_xll.BDH("PH US Equity","CF_DISPOSAL_OF_FIXED_PROD_ASSETS","FQ3 2020","FQ3 2020","Currency=USD","Period=FQ","BEST_FPERIOD_OVERRIDE=FQ","FILING_STATUS=MR","SCALING_FORMAT=MLN","Sort=A","Dates=H","DateFormat=P","Fill=—","Direction=H","UseDPDF=Y")</f>
        <v>4.4050000000000002</v>
      </c>
      <c r="J24" s="16" cm="1">
        <f t="array" ref="J24">_xll.BDH("PH US Equity","CF_DISPOSAL_OF_FIXED_PROD_ASSETS","FQ4 2020","FQ4 2020","Currency=USD","Period=FQ","BEST_FPERIOD_OVERRIDE=FQ","FILING_STATUS=MR","SCALING_FORMAT=MLN","Sort=A","Dates=H","DateFormat=P","Fill=—","Direction=H","UseDPDF=Y")</f>
        <v>0.94699999999999995</v>
      </c>
      <c r="K24" s="16" cm="1">
        <f t="array" ref="K24">_xll.BDH("PH US Equity","CF_DISPOSAL_OF_FIXED_PROD_ASSETS","FQ1 2021","FQ1 2021","Currency=USD","Period=FQ","BEST_FPERIOD_OVERRIDE=FQ","FILING_STATUS=MR","SCALING_FORMAT=MLN","Sort=A","Dates=H","DateFormat=P","Fill=—","Direction=H","UseDPDF=Y")</f>
        <v>6.59</v>
      </c>
      <c r="L24" s="16" cm="1">
        <f t="array" ref="L24">_xll.BDH("PH US Equity","CF_DISPOSAL_OF_FIXED_PROD_ASSETS","FQ2 2021","FQ2 2021","Currency=USD","Period=FQ","BEST_FPERIOD_OVERRIDE=FQ","FILING_STATUS=MR","SCALING_FORMAT=MLN","Sort=A","Dates=H","DateFormat=P","Fill=—","Direction=H","UseDPDF=Y")</f>
        <v>117.83799999999999</v>
      </c>
      <c r="M24" s="16" cm="1">
        <f t="array" ref="M24">_xll.BDH("PH US Equity","CF_DISPOSAL_OF_FIXED_PROD_ASSETS","FQ3 2021","FQ3 2021","Currency=USD","Period=FQ","BEST_FPERIOD_OVERRIDE=FQ","FILING_STATUS=MR","SCALING_FORMAT=MLN","Sort=A","Dates=H","DateFormat=P","Fill=—","Direction=H","UseDPDF=Y")</f>
        <v>8.3119999999999994</v>
      </c>
      <c r="N24" s="16" cm="1">
        <f t="array" ref="N24">_xll.BDH("PH US Equity","CF_DISPOSAL_OF_FIXED_PROD_ASSETS","FQ4 2021","FQ4 2021","Currency=USD","Period=FQ","BEST_FPERIOD_OVERRIDE=FQ","FILING_STATUS=MR","SCALING_FORMAT=MLN","Sort=A","Dates=H","DateFormat=P","Fill=—","Direction=H","UseDPDF=Y")</f>
        <v>7.85</v>
      </c>
      <c r="O24" s="16" cm="1">
        <f t="array" ref="O24">_xll.BDH("PH US Equity","CF_DISPOSAL_OF_FIXED_PROD_ASSETS","FQ1 2022","FQ1 2022","Currency=USD","Period=FQ","BEST_FPERIOD_OVERRIDE=FQ","FILING_STATUS=MR","SCALING_FORMAT=MLN","Sort=A","Dates=H","DateFormat=P","Fill=—","Direction=H","UseDPDF=Y")</f>
        <v>7.7510000000000003</v>
      </c>
      <c r="P24" s="16" cm="1">
        <f t="array" ref="P24">_xll.BDH("PH US Equity","CF_DISPOSAL_OF_FIXED_PROD_ASSETS","FQ2 2022","FQ2 2022","Currency=USD","Period=FQ","BEST_FPERIOD_OVERRIDE=FQ","FILING_STATUS=MR","SCALING_FORMAT=MLN","Sort=A","Dates=H","DateFormat=P","Fill=—","Direction=H","UseDPDF=Y")</f>
        <v>14.641</v>
      </c>
      <c r="Q24" s="16" cm="1">
        <f t="array" ref="Q24">_xll.BDH("PH US Equity","CF_DISPOSAL_OF_FIXED_PROD_ASSETS","FQ3 2022","FQ3 2022","Currency=USD","Period=FQ","BEST_FPERIOD_OVERRIDE=FQ","FILING_STATUS=MR","SCALING_FORMAT=MLN","Sort=A","Dates=H","DateFormat=P","Fill=—","Direction=H","UseDPDF=Y")</f>
        <v>6.9279999999999999</v>
      </c>
      <c r="R24" s="16" cm="1">
        <f t="array" ref="R24">_xll.BDH("PH US Equity","CF_DISPOSAL_OF_FIXED_PROD_ASSETS","FQ4 2022","FQ4 2022","Currency=USD","Period=FQ","BEST_FPERIOD_OVERRIDE=FQ","FILING_STATUS=MR","SCALING_FORMAT=MLN","Sort=A","Dates=H","DateFormat=P","Fill=—","Direction=H","UseDPDF=Y")</f>
        <v>10.032999999999999</v>
      </c>
      <c r="S24" s="16" cm="1">
        <f t="array" ref="S24">_xll.BDH("PH US Equity","CF_DISPOSAL_OF_FIXED_PROD_ASSETS","FQ1 2023","FQ1 2023","Currency=USD","Period=FQ","BEST_FPERIOD_OVERRIDE=FQ","FILING_STATUS=MR","SCALING_FORMAT=MLN","Sort=A","Dates=H","DateFormat=P","Fill=—","Direction=H","UseDPDF=Y")</f>
        <v>11.106999999999999</v>
      </c>
      <c r="T24" s="16" cm="1">
        <f t="array" ref="T24">_xll.BDH("PH US Equity","CF_DISPOSAL_OF_FIXED_PROD_ASSETS","FQ2 2023","FQ2 2023","Currency=USD","Period=FQ","BEST_FPERIOD_OVERRIDE=FQ","FILING_STATUS=MR","SCALING_FORMAT=MLN","Sort=A","Dates=H","DateFormat=P","Fill=—","Direction=H","UseDPDF=Y")</f>
        <v>0.52500000000000002</v>
      </c>
      <c r="U24" s="16" cm="1">
        <f t="array" ref="U24">_xll.BDH("PH US Equity","CF_DISPOSAL_OF_FIXED_PROD_ASSETS","FQ3 2023","FQ3 2023","Currency=USD","Period=FQ","BEST_FPERIOD_OVERRIDE=FQ","FILING_STATUS=MR","SCALING_FORMAT=MLN","Sort=A","Dates=H","DateFormat=P","Fill=—","Direction=H","UseDPDF=Y")</f>
        <v>0.189</v>
      </c>
      <c r="V24" s="16" cm="1">
        <f t="array" ref="V24">_xll.BDH("PH US Equity","CF_DISPOSAL_OF_FIXED_PROD_ASSETS","FQ4 2023","FQ4 2023","Currency=USD","Period=FQ","BEST_FPERIOD_OVERRIDE=FQ","FILING_STATUS=MR","SCALING_FORMAT=MLN","Sort=A","Dates=H","DateFormat=P","Fill=—","Direction=H","UseDPDF=Y")</f>
        <v>1.423</v>
      </c>
      <c r="W24" s="16" cm="1">
        <f t="array" ref="W24">_xll.BDH("PH US Equity","CF_DISPOSAL_OF_FIXED_PROD_ASSETS","FQ1 2024","FQ1 2024","Currency=USD","Period=FQ","BEST_FPERIOD_OVERRIDE=FQ","FILING_STATUS=MR","SCALING_FORMAT=MLN","Sort=A","Dates=H","DateFormat=P","Fill=—","Direction=H","UseDPDF=Y")</f>
        <v>0.71</v>
      </c>
      <c r="X24" s="16" cm="1">
        <f t="array" ref="X24">_xll.BDH("PH US Equity","CF_DISPOSAL_OF_FIXED_PROD_ASSETS","FQ2 2024","FQ2 2024","Currency=USD","Period=FQ","BEST_FPERIOD_OVERRIDE=FQ","FILING_STATUS=MR","SCALING_FORMAT=MLN","Sort=A","Dates=H","DateFormat=P","Fill=—","Direction=H","UseDPDF=Y")</f>
        <v>0.65</v>
      </c>
      <c r="Y24" s="16" cm="1">
        <f t="array" ref="Y24">_xll.BDH("PH US Equity","CF_DISPOSAL_OF_FIXED_PROD_ASSETS","FQ3 2024","FQ3 2024","Currency=USD","Period=FQ","BEST_FPERIOD_OVERRIDE=FQ","FILING_STATUS=MR","SCALING_FORMAT=MLN","Sort=A","Dates=H","DateFormat=P","Fill=—","Direction=H","UseDPDF=Y")</f>
        <v>7.5449999999999999</v>
      </c>
      <c r="Z24" s="16" cm="1">
        <f t="array" ref="Z24">_xll.BDH("PH US Equity","CF_DISPOSAL_OF_FIXED_PROD_ASSETS","FQ4 2024","FQ4 2024","Currency=USD","Period=FQ","BEST_FPERIOD_OVERRIDE=FQ","FILING_STATUS=MR","SCALING_FORMAT=MLN","Sort=A","Dates=H","DateFormat=P","Fill=—","Direction=H","UseDPDF=Y")</f>
        <v>0.16</v>
      </c>
      <c r="AA24" s="16" cm="1">
        <f t="array" ref="AA24">_xll.BDH("PH US Equity","CF_DISPOSAL_OF_FIXED_PROD_ASSETS","FQ1 2025","FQ1 2025","Currency=USD","Period=FQ","BEST_FPERIOD_OVERRIDE=FQ","FILING_STATUS=MR","SCALING_FORMAT=MLN","Sort=A","Dates=H","DateFormat=P","Fill=—","Direction=H","UseDPDF=Y")</f>
        <v>13.271000000000001</v>
      </c>
      <c r="AB24" s="16" cm="1">
        <f t="array" ref="AB24">_xll.BDH("PH US Equity","CF_DISPOSAL_OF_FIXED_PROD_ASSETS","FQ2 2025","FQ2 2025","Currency=USD","Period=FQ","BEST_FPERIOD_OVERRIDE=FQ","FILING_STATUS=MR","SCALING_FORMAT=MLN","Sort=A","Dates=H","DateFormat=P","Fill=—","Direction=H","UseDPDF=Y")</f>
        <v>0</v>
      </c>
      <c r="AC24" s="16" cm="1">
        <f t="array" ref="AC24">_xll.BDH("PH US Equity","CF_DISPOSAL_OF_FIXED_PROD_ASSETS","FQ3 2025","FQ3 2025","Currency=USD","Period=FQ","BEST_FPERIOD_OVERRIDE=FQ","FILING_STATUS=MR","SCALING_FORMAT=MLN","Sort=A","Dates=H","DateFormat=P","Fill=—","Direction=H","UseDPDF=Y")</f>
        <v>18.600000000000001</v>
      </c>
      <c r="AD24" s="16" cm="1">
        <f t="array" ref="AD24">_xll.BDH("PH US Equity","CF_DISPOSAL_OF_FIXED_PROD_ASSETS","FQ4 2025","FQ4 2025","Currency=USD","Period=FQ","BEST_FPERIOD_OVERRIDE=FQ","FILING_STATUS=MR","SCALING_FORMAT=MLN","Sort=A","Dates=H","DateFormat=P","Fill=—","Direction=H","UseDPDF=Y")</f>
        <v>0.129</v>
      </c>
      <c r="AE24" s="16" cm="1">
        <f t="array" ref="AE24">_xll.BDH("PH US Equity","CF_DISPOSAL_OF_FIXED_PROD_ASSETS","FQ1 2026","FQ1 2026","Currency=USD","Period=FQ","BEST_FPERIOD_OVERRIDE=FQ","FILING_STATUS=MR","SCALING_FORMAT=MLN","Sort=A","Dates=H","DateFormat=P","Fill=—","Direction=H","UseDPDF=Y")</f>
        <v>6</v>
      </c>
      <c r="AF24" s="16" cm="1">
        <f t="array" ref="AF24">_xll.BDH("PH US Equity","CF_DISPOSAL_OF_FIXED_PROD_ASSETS","FQ2 2026","FQ2 2026","Currency=USD","Period=FQ","BEST_FPERIOD_OVERRIDE=FQ","FILING_STATUS=MR","SCALING_FORMAT=MLN","Sort=A","Dates=H","DateFormat=P","Fill=—","Direction=H","UseDPDF=Y")</f>
        <v>26</v>
      </c>
    </row>
    <row r="25" spans="1:32" x14ac:dyDescent="0.25">
      <c r="A25" s="11" t="s">
        <v>98</v>
      </c>
      <c r="B25" s="11" t="s">
        <v>99</v>
      </c>
      <c r="C25" s="16" cm="1">
        <f t="array" ref="C25">_xll.BDH("PH US Equity","CF_DISPOSAL_OF_INTANGIBLE_ASSETS","FQ1 2019","FQ1 2019","Currency=USD","Period=FQ","BEST_FPERIOD_OVERRIDE=FQ","FILING_STATUS=MR","SCALING_FORMAT=MLN","Sort=A","Dates=H","DateFormat=P","Fill=—","Direction=H","UseDPDF=Y")</f>
        <v>0</v>
      </c>
      <c r="D25" s="16" cm="1">
        <f t="array" ref="D25">_xll.BDH("PH US Equity","CF_DISPOSAL_OF_INTANGIBLE_ASSETS","FQ2 2019","FQ2 2019","Currency=USD","Period=FQ","BEST_FPERIOD_OVERRIDE=FQ","FILING_STATUS=MR","SCALING_FORMAT=MLN","Sort=A","Dates=H","DateFormat=P","Fill=—","Direction=H","UseDPDF=Y")</f>
        <v>0</v>
      </c>
      <c r="E25" s="16" cm="1">
        <f t="array" ref="E25">_xll.BDH("PH US Equity","CF_DISPOSAL_OF_INTANGIBLE_ASSETS","FQ3 2019","FQ3 2019","Currency=USD","Period=FQ","BEST_FPERIOD_OVERRIDE=FQ","FILING_STATUS=MR","SCALING_FORMAT=MLN","Sort=A","Dates=H","DateFormat=P","Fill=—","Direction=H","UseDPDF=Y")</f>
        <v>0</v>
      </c>
      <c r="F25" s="16" cm="1">
        <f t="array" ref="F25">_xll.BDH("PH US Equity","CF_DISPOSAL_OF_INTANGIBLE_ASSETS","FQ4 2019","FQ4 2019","Currency=USD","Period=FQ","BEST_FPERIOD_OVERRIDE=FQ","FILING_STATUS=MR","SCALING_FORMAT=MLN","Sort=A","Dates=H","DateFormat=P","Fill=—","Direction=H","UseDPDF=Y")</f>
        <v>0</v>
      </c>
      <c r="G25" s="16" cm="1">
        <f t="array" ref="G25">_xll.BDH("PH US Equity","CF_DISPOSAL_OF_INTANGIBLE_ASSETS","FQ1 2020","FQ1 2020","Currency=USD","Period=FQ","BEST_FPERIOD_OVERRIDE=FQ","FILING_STATUS=MR","SCALING_FORMAT=MLN","Sort=A","Dates=H","DateFormat=P","Fill=—","Direction=H","UseDPDF=Y")</f>
        <v>0</v>
      </c>
      <c r="H25" s="16" cm="1">
        <f t="array" ref="H25">_xll.BDH("PH US Equity","CF_DISPOSAL_OF_INTANGIBLE_ASSETS","FQ2 2020","FQ2 2020","Currency=USD","Period=FQ","BEST_FPERIOD_OVERRIDE=FQ","FILING_STATUS=MR","SCALING_FORMAT=MLN","Sort=A","Dates=H","DateFormat=P","Fill=—","Direction=H","UseDPDF=Y")</f>
        <v>0</v>
      </c>
      <c r="I25" s="16" cm="1">
        <f t="array" ref="I25">_xll.BDH("PH US Equity","CF_DISPOSAL_OF_INTANGIBLE_ASSETS","FQ3 2020","FQ3 2020","Currency=USD","Period=FQ","BEST_FPERIOD_OVERRIDE=FQ","FILING_STATUS=MR","SCALING_FORMAT=MLN","Sort=A","Dates=H","DateFormat=P","Fill=—","Direction=H","UseDPDF=Y")</f>
        <v>0</v>
      </c>
      <c r="J25" s="16" cm="1">
        <f t="array" ref="J25">_xll.BDH("PH US Equity","CF_DISPOSAL_OF_INTANGIBLE_ASSETS","FQ4 2020","FQ4 2020","Currency=USD","Period=FQ","BEST_FPERIOD_OVERRIDE=FQ","FILING_STATUS=MR","SCALING_FORMAT=MLN","Sort=A","Dates=H","DateFormat=P","Fill=—","Direction=H","UseDPDF=Y")</f>
        <v>0</v>
      </c>
      <c r="K25" s="16" cm="1">
        <f t="array" ref="K25">_xll.BDH("PH US Equity","CF_DISPOSAL_OF_INTANGIBLE_ASSETS","FQ1 2021","FQ1 2021","Currency=USD","Period=FQ","BEST_FPERIOD_OVERRIDE=FQ","FILING_STATUS=MR","SCALING_FORMAT=MLN","Sort=A","Dates=H","DateFormat=P","Fill=—","Direction=H","UseDPDF=Y")</f>
        <v>0</v>
      </c>
      <c r="L25" s="16" cm="1">
        <f t="array" ref="L25">_xll.BDH("PH US Equity","CF_DISPOSAL_OF_INTANGIBLE_ASSETS","FQ2 2021","FQ2 2021","Currency=USD","Period=FQ","BEST_FPERIOD_OVERRIDE=FQ","FILING_STATUS=MR","SCALING_FORMAT=MLN","Sort=A","Dates=H","DateFormat=P","Fill=—","Direction=H","UseDPDF=Y")</f>
        <v>0</v>
      </c>
      <c r="M25" s="16" cm="1">
        <f t="array" ref="M25">_xll.BDH("PH US Equity","CF_DISPOSAL_OF_INTANGIBLE_ASSETS","FQ3 2021","FQ3 2021","Currency=USD","Period=FQ","BEST_FPERIOD_OVERRIDE=FQ","FILING_STATUS=MR","SCALING_FORMAT=MLN","Sort=A","Dates=H","DateFormat=P","Fill=—","Direction=H","UseDPDF=Y")</f>
        <v>0</v>
      </c>
      <c r="N25" s="16" cm="1">
        <f t="array" ref="N25">_xll.BDH("PH US Equity","CF_DISPOSAL_OF_INTANGIBLE_ASSETS","FQ4 2021","FQ4 2021","Currency=USD","Period=FQ","BEST_FPERIOD_OVERRIDE=FQ","FILING_STATUS=MR","SCALING_FORMAT=MLN","Sort=A","Dates=H","DateFormat=P","Fill=—","Direction=H","UseDPDF=Y")</f>
        <v>0</v>
      </c>
      <c r="O25" s="16" cm="1">
        <f t="array" ref="O25">_xll.BDH("PH US Equity","CF_DISPOSAL_OF_INTANGIBLE_ASSETS","FQ1 2022","FQ1 2022","Currency=USD","Period=FQ","BEST_FPERIOD_OVERRIDE=FQ","FILING_STATUS=MR","SCALING_FORMAT=MLN","Sort=A","Dates=H","DateFormat=P","Fill=—","Direction=H","UseDPDF=Y")</f>
        <v>0</v>
      </c>
      <c r="P25" s="16" cm="1">
        <f t="array" ref="P25">_xll.BDH("PH US Equity","CF_DISPOSAL_OF_INTANGIBLE_ASSETS","FQ2 2022","FQ2 2022","Currency=USD","Period=FQ","BEST_FPERIOD_OVERRIDE=FQ","FILING_STATUS=MR","SCALING_FORMAT=MLN","Sort=A","Dates=H","DateFormat=P","Fill=—","Direction=H","UseDPDF=Y")</f>
        <v>0</v>
      </c>
      <c r="Q25" s="16" cm="1">
        <f t="array" ref="Q25">_xll.BDH("PH US Equity","CF_DISPOSAL_OF_INTANGIBLE_ASSETS","FQ3 2022","FQ3 2022","Currency=USD","Period=FQ","BEST_FPERIOD_OVERRIDE=FQ","FILING_STATUS=MR","SCALING_FORMAT=MLN","Sort=A","Dates=H","DateFormat=P","Fill=—","Direction=H","UseDPDF=Y")</f>
        <v>0</v>
      </c>
      <c r="R25" s="16" cm="1">
        <f t="array" ref="R25">_xll.BDH("PH US Equity","CF_DISPOSAL_OF_INTANGIBLE_ASSETS","FQ4 2022","FQ4 2022","Currency=USD","Period=FQ","BEST_FPERIOD_OVERRIDE=FQ","FILING_STATUS=MR","SCALING_FORMAT=MLN","Sort=A","Dates=H","DateFormat=P","Fill=—","Direction=H","UseDPDF=Y")</f>
        <v>0</v>
      </c>
      <c r="S25" s="16" cm="1">
        <f t="array" ref="S25">_xll.BDH("PH US Equity","CF_DISPOSAL_OF_INTANGIBLE_ASSETS","FQ1 2023","FQ1 2023","Currency=USD","Period=FQ","BEST_FPERIOD_OVERRIDE=FQ","FILING_STATUS=MR","SCALING_FORMAT=MLN","Sort=A","Dates=H","DateFormat=P","Fill=—","Direction=H","UseDPDF=Y")</f>
        <v>0</v>
      </c>
      <c r="T25" s="16" cm="1">
        <f t="array" ref="T25">_xll.BDH("PH US Equity","CF_DISPOSAL_OF_INTANGIBLE_ASSETS","FQ2 2023","FQ2 2023","Currency=USD","Period=FQ","BEST_FPERIOD_OVERRIDE=FQ","FILING_STATUS=MR","SCALING_FORMAT=MLN","Sort=A","Dates=H","DateFormat=P","Fill=—","Direction=H","UseDPDF=Y")</f>
        <v>0</v>
      </c>
      <c r="U25" s="16" cm="1">
        <f t="array" ref="U25">_xll.BDH("PH US Equity","CF_DISPOSAL_OF_INTANGIBLE_ASSETS","FQ3 2023","FQ3 2023","Currency=USD","Period=FQ","BEST_FPERIOD_OVERRIDE=FQ","FILING_STATUS=MR","SCALING_FORMAT=MLN","Sort=A","Dates=H","DateFormat=P","Fill=—","Direction=H","UseDPDF=Y")</f>
        <v>0</v>
      </c>
      <c r="V25" s="16" cm="1">
        <f t="array" ref="V25">_xll.BDH("PH US Equity","CF_DISPOSAL_OF_INTANGIBLE_ASSETS","FQ4 2023","FQ4 2023","Currency=USD","Period=FQ","BEST_FPERIOD_OVERRIDE=FQ","FILING_STATUS=MR","SCALING_FORMAT=MLN","Sort=A","Dates=H","DateFormat=P","Fill=—","Direction=H","UseDPDF=Y")</f>
        <v>0</v>
      </c>
      <c r="W25" s="16" cm="1">
        <f t="array" ref="W25">_xll.BDH("PH US Equity","CF_DISPOSAL_OF_INTANGIBLE_ASSETS","FQ1 2024","FQ1 2024","Currency=USD","Period=FQ","BEST_FPERIOD_OVERRIDE=FQ","FILING_STATUS=MR","SCALING_FORMAT=MLN","Sort=A","Dates=H","DateFormat=P","Fill=—","Direction=H","UseDPDF=Y")</f>
        <v>0</v>
      </c>
      <c r="X25" s="16" cm="1">
        <f t="array" ref="X25">_xll.BDH("PH US Equity","CF_DISPOSAL_OF_INTANGIBLE_ASSETS","FQ2 2024","FQ2 2024","Currency=USD","Period=FQ","BEST_FPERIOD_OVERRIDE=FQ","FILING_STATUS=MR","SCALING_FORMAT=MLN","Sort=A","Dates=H","DateFormat=P","Fill=—","Direction=H","UseDPDF=Y")</f>
        <v>0</v>
      </c>
      <c r="Y25" s="16" cm="1">
        <f t="array" ref="Y25">_xll.BDH("PH US Equity","CF_DISPOSAL_OF_INTANGIBLE_ASSETS","FQ3 2024","FQ3 2024","Currency=USD","Period=FQ","BEST_FPERIOD_OVERRIDE=FQ","FILING_STATUS=MR","SCALING_FORMAT=MLN","Sort=A","Dates=H","DateFormat=P","Fill=—","Direction=H","UseDPDF=Y")</f>
        <v>0</v>
      </c>
      <c r="Z25" s="16" cm="1">
        <f t="array" ref="Z25">_xll.BDH("PH US Equity","CF_DISPOSAL_OF_INTANGIBLE_ASSETS","FQ4 2024","FQ4 2024","Currency=USD","Period=FQ","BEST_FPERIOD_OVERRIDE=FQ","FILING_STATUS=MR","SCALING_FORMAT=MLN","Sort=A","Dates=H","DateFormat=P","Fill=—","Direction=H","UseDPDF=Y")</f>
        <v>0</v>
      </c>
      <c r="AA25" s="16" cm="1">
        <f t="array" ref="AA25">_xll.BDH("PH US Equity","CF_DISPOSAL_OF_INTANGIBLE_ASSETS","FQ1 2025","FQ1 2025","Currency=USD","Period=FQ","BEST_FPERIOD_OVERRIDE=FQ","FILING_STATUS=MR","SCALING_FORMAT=MLN","Sort=A","Dates=H","DateFormat=P","Fill=—","Direction=H","UseDPDF=Y")</f>
        <v>0</v>
      </c>
      <c r="AB25" s="16" cm="1">
        <f t="array" ref="AB25">_xll.BDH("PH US Equity","CF_DISPOSAL_OF_INTANGIBLE_ASSETS","FQ2 2025","FQ2 2025","Currency=USD","Period=FQ","BEST_FPERIOD_OVERRIDE=FQ","FILING_STATUS=MR","SCALING_FORMAT=MLN","Sort=A","Dates=H","DateFormat=P","Fill=—","Direction=H","UseDPDF=Y")</f>
        <v>0</v>
      </c>
      <c r="AC25" s="16" cm="1">
        <f t="array" ref="AC25">_xll.BDH("PH US Equity","CF_DISPOSAL_OF_INTANGIBLE_ASSETS","FQ3 2025","FQ3 2025","Currency=USD","Period=FQ","BEST_FPERIOD_OVERRIDE=FQ","FILING_STATUS=MR","SCALING_FORMAT=MLN","Sort=A","Dates=H","DateFormat=P","Fill=—","Direction=H","UseDPDF=Y")</f>
        <v>0</v>
      </c>
      <c r="AD25" s="16" cm="1">
        <f t="array" ref="AD25">_xll.BDH("PH US Equity","CF_DISPOSAL_OF_INTANGIBLE_ASSETS","FQ4 2025","FQ4 2025","Currency=USD","Period=FQ","BEST_FPERIOD_OVERRIDE=FQ","FILING_STATUS=MR","SCALING_FORMAT=MLN","Sort=A","Dates=H","DateFormat=P","Fill=—","Direction=H","UseDPDF=Y")</f>
        <v>0</v>
      </c>
      <c r="AE25" s="16" cm="1">
        <f t="array" ref="AE25">_xll.BDH("PH US Equity","CF_DISPOSAL_OF_INTANGIBLE_ASSETS","FQ1 2026","FQ1 2026","Currency=USD","Period=FQ","BEST_FPERIOD_OVERRIDE=FQ","FILING_STATUS=MR","SCALING_FORMAT=MLN","Sort=A","Dates=H","DateFormat=P","Fill=—","Direction=H","UseDPDF=Y")</f>
        <v>0</v>
      </c>
      <c r="AF25" s="16" cm="1">
        <f t="array" ref="AF25">_xll.BDH("PH US Equity","CF_DISPOSAL_OF_INTANGIBLE_ASSETS","FQ2 2026","FQ2 2026","Currency=USD","Period=FQ","BEST_FPERIOD_OVERRIDE=FQ","FILING_STATUS=MR","SCALING_FORMAT=MLN","Sort=A","Dates=H","DateFormat=P","Fill=—","Direction=H","UseDPDF=Y")</f>
        <v>0</v>
      </c>
    </row>
    <row r="26" spans="1:32" x14ac:dyDescent="0.25">
      <c r="A26" s="10" t="s">
        <v>100</v>
      </c>
      <c r="B26" s="10" t="s">
        <v>101</v>
      </c>
      <c r="C26" s="12" cm="1">
        <f t="array" ref="C26">_xll.BDH("PH US Equity","ACQUIS_OF_FIXED_INTANG","FQ1 2019","FQ1 2019","Currency=USD","Period=FQ","BEST_FPERIOD_OVERRIDE=FQ","FILING_STATUS=MR","SCALING_FORMAT=MLN","Sort=A","Dates=H","DateFormat=P","Fill=—","Direction=H","UseDPDF=Y")</f>
        <v>-42.106000000000002</v>
      </c>
      <c r="D26" s="12" cm="1">
        <f t="array" ref="D26">_xll.BDH("PH US Equity","ACQUIS_OF_FIXED_INTANG","FQ2 2019","FQ2 2019","Currency=USD","Period=FQ","BEST_FPERIOD_OVERRIDE=FQ","FILING_STATUS=MR","SCALING_FORMAT=MLN","Sort=A","Dates=H","DateFormat=P","Fill=—","Direction=H","UseDPDF=Y")</f>
        <v>-52.32</v>
      </c>
      <c r="E26" s="12" cm="1">
        <f t="array" ref="E26">_xll.BDH("PH US Equity","ACQUIS_OF_FIXED_INTANG","FQ3 2019","FQ3 2019","Currency=USD","Period=FQ","BEST_FPERIOD_OVERRIDE=FQ","FILING_STATUS=MR","SCALING_FORMAT=MLN","Sort=A","Dates=H","DateFormat=P","Fill=—","Direction=H","UseDPDF=Y")</f>
        <v>-50.645000000000003</v>
      </c>
      <c r="F26" s="12" cm="1">
        <f t="array" ref="F26">_xll.BDH("PH US Equity","ACQUIS_OF_FIXED_INTANG","FQ4 2019","FQ4 2019","Currency=USD","Period=FQ","BEST_FPERIOD_OVERRIDE=FQ","FILING_STATUS=MR","SCALING_FORMAT=MLN","Sort=A","Dates=H","DateFormat=P","Fill=—","Direction=H","UseDPDF=Y")</f>
        <v>-50.018000000000001</v>
      </c>
      <c r="G26" s="12" cm="1">
        <f t="array" ref="G26">_xll.BDH("PH US Equity","ACQUIS_OF_FIXED_INTANG","FQ1 2020","FQ1 2020","Currency=USD","Period=FQ","BEST_FPERIOD_OVERRIDE=FQ","FILING_STATUS=MR","SCALING_FORMAT=MLN","Sort=A","Dates=H","DateFormat=P","Fill=—","Direction=H","UseDPDF=Y")</f>
        <v>-50.344999999999999</v>
      </c>
      <c r="H26" s="12" cm="1">
        <f t="array" ref="H26">_xll.BDH("PH US Equity","ACQUIS_OF_FIXED_INTANG","FQ2 2020","FQ2 2020","Currency=USD","Period=FQ","BEST_FPERIOD_OVERRIDE=FQ","FILING_STATUS=MR","SCALING_FORMAT=MLN","Sort=A","Dates=H","DateFormat=P","Fill=—","Direction=H","UseDPDF=Y")</f>
        <v>-68.248000000000005</v>
      </c>
      <c r="I26" s="12" cm="1">
        <f t="array" ref="I26">_xll.BDH("PH US Equity","ACQUIS_OF_FIXED_INTANG","FQ3 2020","FQ3 2020","Currency=USD","Period=FQ","BEST_FPERIOD_OVERRIDE=FQ","FILING_STATUS=MR","SCALING_FORMAT=MLN","Sort=A","Dates=H","DateFormat=P","Fill=—","Direction=H","UseDPDF=Y")</f>
        <v>-63.908999999999999</v>
      </c>
      <c r="J26" s="12" cm="1">
        <f t="array" ref="J26">_xll.BDH("PH US Equity","ACQUIS_OF_FIXED_INTANG","FQ4 2020","FQ4 2020","Currency=USD","Period=FQ","BEST_FPERIOD_OVERRIDE=FQ","FILING_STATUS=MR","SCALING_FORMAT=MLN","Sort=A","Dates=H","DateFormat=P","Fill=—","Direction=H","UseDPDF=Y")</f>
        <v>-50.088999999999999</v>
      </c>
      <c r="K26" s="12" cm="1">
        <f t="array" ref="K26">_xll.BDH("PH US Equity","ACQUIS_OF_FIXED_INTANG","FQ1 2021","FQ1 2021","Currency=USD","Period=FQ","BEST_FPERIOD_OVERRIDE=FQ","FILING_STATUS=MR","SCALING_FORMAT=MLN","Sort=A","Dates=H","DateFormat=P","Fill=—","Direction=H","UseDPDF=Y")</f>
        <v>-42.116999999999997</v>
      </c>
      <c r="L26" s="12" cm="1">
        <f t="array" ref="L26">_xll.BDH("PH US Equity","ACQUIS_OF_FIXED_INTANG","FQ2 2021","FQ2 2021","Currency=USD","Period=FQ","BEST_FPERIOD_OVERRIDE=FQ","FILING_STATUS=MR","SCALING_FORMAT=MLN","Sort=A","Dates=H","DateFormat=P","Fill=—","Direction=H","UseDPDF=Y")</f>
        <v>-50.79</v>
      </c>
      <c r="M26" s="12" cm="1">
        <f t="array" ref="M26">_xll.BDH("PH US Equity","ACQUIS_OF_FIXED_INTANG","FQ3 2021","FQ3 2021","Currency=USD","Period=FQ","BEST_FPERIOD_OVERRIDE=FQ","FILING_STATUS=MR","SCALING_FORMAT=MLN","Sort=A","Dates=H","DateFormat=P","Fill=—","Direction=H","UseDPDF=Y")</f>
        <v>-43.156999999999996</v>
      </c>
      <c r="N26" s="12" cm="1">
        <f t="array" ref="N26">_xll.BDH("PH US Equity","ACQUIS_OF_FIXED_INTANG","FQ4 2021","FQ4 2021","Currency=USD","Period=FQ","BEST_FPERIOD_OVERRIDE=FQ","FILING_STATUS=MR","SCALING_FORMAT=MLN","Sort=A","Dates=H","DateFormat=P","Fill=—","Direction=H","UseDPDF=Y")</f>
        <v>-73.893000000000001</v>
      </c>
      <c r="O26" s="12" cm="1">
        <f t="array" ref="O26">_xll.BDH("PH US Equity","ACQUIS_OF_FIXED_INTANG","FQ1 2022","FQ1 2022","Currency=USD","Period=FQ","BEST_FPERIOD_OVERRIDE=FQ","FILING_STATUS=MR","SCALING_FORMAT=MLN","Sort=A","Dates=H","DateFormat=P","Fill=—","Direction=H","UseDPDF=Y")</f>
        <v>-48.203000000000003</v>
      </c>
      <c r="P26" s="12" cm="1">
        <f t="array" ref="P26">_xll.BDH("PH US Equity","ACQUIS_OF_FIXED_INTANG","FQ2 2022","FQ2 2022","Currency=USD","Period=FQ","BEST_FPERIOD_OVERRIDE=FQ","FILING_STATUS=MR","SCALING_FORMAT=MLN","Sort=A","Dates=H","DateFormat=P","Fill=—","Direction=H","UseDPDF=Y")</f>
        <v>-57.402999999999999</v>
      </c>
      <c r="Q26" s="12" cm="1">
        <f t="array" ref="Q26">_xll.BDH("PH US Equity","ACQUIS_OF_FIXED_INTANG","FQ3 2022","FQ3 2022","Currency=USD","Period=FQ","BEST_FPERIOD_OVERRIDE=FQ","FILING_STATUS=MR","SCALING_FORMAT=MLN","Sort=A","Dates=H","DateFormat=P","Fill=—","Direction=H","UseDPDF=Y")</f>
        <v>-53.258000000000003</v>
      </c>
      <c r="R26" s="12" cm="1">
        <f t="array" ref="R26">_xll.BDH("PH US Equity","ACQUIS_OF_FIXED_INTANG","FQ4 2022","FQ4 2022","Currency=USD","Period=FQ","BEST_FPERIOD_OVERRIDE=FQ","FILING_STATUS=MR","SCALING_FORMAT=MLN","Sort=A","Dates=H","DateFormat=P","Fill=—","Direction=H","UseDPDF=Y")</f>
        <v>-71.180000000000007</v>
      </c>
      <c r="S26" s="12" cm="1">
        <f t="array" ref="S26">_xll.BDH("PH US Equity","ACQUIS_OF_FIXED_INTANG","FQ1 2023","FQ1 2023","Currency=USD","Period=FQ","BEST_FPERIOD_OVERRIDE=FQ","FILING_STATUS=MR","SCALING_FORMAT=MLN","Sort=A","Dates=H","DateFormat=P","Fill=—","Direction=H","UseDPDF=Y")</f>
        <v>-83.555000000000007</v>
      </c>
      <c r="T26" s="12" cm="1">
        <f t="array" ref="T26">_xll.BDH("PH US Equity","ACQUIS_OF_FIXED_INTANG","FQ2 2023","FQ2 2023","Currency=USD","Period=FQ","BEST_FPERIOD_OVERRIDE=FQ","FILING_STATUS=MR","SCALING_FORMAT=MLN","Sort=A","Dates=H","DateFormat=P","Fill=—","Direction=H","UseDPDF=Y")</f>
        <v>-102.149</v>
      </c>
      <c r="U26" s="12" cm="1">
        <f t="array" ref="U26">_xll.BDH("PH US Equity","ACQUIS_OF_FIXED_INTANG","FQ3 2023","FQ3 2023","Currency=USD","Period=FQ","BEST_FPERIOD_OVERRIDE=FQ","FILING_STATUS=MR","SCALING_FORMAT=MLN","Sort=A","Dates=H","DateFormat=P","Fill=—","Direction=H","UseDPDF=Y")</f>
        <v>-86.899000000000001</v>
      </c>
      <c r="V26" s="12" cm="1">
        <f t="array" ref="V26">_xll.BDH("PH US Equity","ACQUIS_OF_FIXED_INTANG","FQ4 2023","FQ4 2023","Currency=USD","Period=FQ","BEST_FPERIOD_OVERRIDE=FQ","FILING_STATUS=MR","SCALING_FORMAT=MLN","Sort=A","Dates=H","DateFormat=P","Fill=—","Direction=H","UseDPDF=Y")</f>
        <v>-108.14400000000001</v>
      </c>
      <c r="W26" s="12" cm="1">
        <f t="array" ref="W26">_xll.BDH("PH US Equity","ACQUIS_OF_FIXED_INTANG","FQ1 2024","FQ1 2024","Currency=USD","Period=FQ","BEST_FPERIOD_OVERRIDE=FQ","FILING_STATUS=MR","SCALING_FORMAT=MLN","Sort=A","Dates=H","DateFormat=P","Fill=—","Direction=H","UseDPDF=Y")</f>
        <v>-97.745999999999995</v>
      </c>
      <c r="X26" s="12" cm="1">
        <f t="array" ref="X26">_xll.BDH("PH US Equity","ACQUIS_OF_FIXED_INTANG","FQ2 2024","FQ2 2024","Currency=USD","Period=FQ","BEST_FPERIOD_OVERRIDE=FQ","FILING_STATUS=MR","SCALING_FORMAT=MLN","Sort=A","Dates=H","DateFormat=P","Fill=—","Direction=H","UseDPDF=Y")</f>
        <v>-106.371</v>
      </c>
      <c r="Y26" s="12" cm="1">
        <f t="array" ref="Y26">_xll.BDH("PH US Equity","ACQUIS_OF_FIXED_INTANG","FQ3 2024","FQ3 2024","Currency=USD","Period=FQ","BEST_FPERIOD_OVERRIDE=FQ","FILING_STATUS=MR","SCALING_FORMAT=MLN","Sort=A","Dates=H","DateFormat=P","Fill=—","Direction=H","UseDPDF=Y")</f>
        <v>-79.210999999999999</v>
      </c>
      <c r="Z26" s="12" cm="1">
        <f t="array" ref="Z26">_xll.BDH("PH US Equity","ACQUIS_OF_FIXED_INTANG","FQ4 2024","FQ4 2024","Currency=USD","Period=FQ","BEST_FPERIOD_OVERRIDE=FQ","FILING_STATUS=MR","SCALING_FORMAT=MLN","Sort=A","Dates=H","DateFormat=P","Fill=—","Direction=H","UseDPDF=Y")</f>
        <v>-116.78400000000001</v>
      </c>
      <c r="AA26" s="12" cm="1">
        <f t="array" ref="AA26">_xll.BDH("PH US Equity","ACQUIS_OF_FIXED_INTANG","FQ1 2025","FQ1 2025","Currency=USD","Period=FQ","BEST_FPERIOD_OVERRIDE=FQ","FILING_STATUS=MR","SCALING_FORMAT=MLN","Sort=A","Dates=H","DateFormat=P","Fill=—","Direction=H","UseDPDF=Y")</f>
        <v>-95.302000000000007</v>
      </c>
      <c r="AB26" s="12" cm="1">
        <f t="array" ref="AB26">_xll.BDH("PH US Equity","ACQUIS_OF_FIXED_INTANG","FQ2 2025","FQ2 2025","Currency=USD","Period=FQ","BEST_FPERIOD_OVERRIDE=FQ","FILING_STATUS=MR","SCALING_FORMAT=MLN","Sort=A","Dates=H","DateFormat=P","Fill=—","Direction=H","UseDPDF=Y")</f>
        <v>-121.203</v>
      </c>
      <c r="AC26" s="12" cm="1">
        <f t="array" ref="AC26">_xll.BDH("PH US Equity","ACQUIS_OF_FIXED_INTANG","FQ3 2025","FQ3 2025","Currency=USD","Period=FQ","BEST_FPERIOD_OVERRIDE=FQ","FILING_STATUS=MR","SCALING_FORMAT=MLN","Sort=A","Dates=H","DateFormat=P","Fill=—","Direction=H","UseDPDF=Y")</f>
        <v>-87.647999999999996</v>
      </c>
      <c r="AD26" s="12" cm="1">
        <f t="array" ref="AD26">_xll.BDH("PH US Equity","ACQUIS_OF_FIXED_INTANG","FQ4 2025","FQ4 2025","Currency=USD","Period=FQ","BEST_FPERIOD_OVERRIDE=FQ","FILING_STATUS=MR","SCALING_FORMAT=MLN","Sort=A","Dates=H","DateFormat=P","Fill=—","Direction=H","UseDPDF=Y")</f>
        <v>-130.84700000000001</v>
      </c>
      <c r="AE26" s="12" cm="1">
        <f t="array" ref="AE26">_xll.BDH("PH US Equity","ACQUIS_OF_FIXED_INTANG","FQ1 2026","FQ1 2026","Currency=USD","Period=FQ","BEST_FPERIOD_OVERRIDE=FQ","FILING_STATUS=MR","SCALING_FORMAT=MLN","Sort=A","Dates=H","DateFormat=P","Fill=—","Direction=H","UseDPDF=Y")</f>
        <v>-89</v>
      </c>
      <c r="AF26" s="12" cm="1">
        <f t="array" ref="AF26">_xll.BDH("PH US Equity","ACQUIS_OF_FIXED_INTANG","FQ2 2026","FQ2 2026","Currency=USD","Period=FQ","BEST_FPERIOD_OVERRIDE=FQ","FILING_STATUS=MR","SCALING_FORMAT=MLN","Sort=A","Dates=H","DateFormat=P","Fill=—","Direction=H","UseDPDF=Y")</f>
        <v>-94</v>
      </c>
    </row>
    <row r="27" spans="1:32" x14ac:dyDescent="0.25">
      <c r="A27" s="11" t="s">
        <v>102</v>
      </c>
      <c r="B27" s="11" t="s">
        <v>103</v>
      </c>
      <c r="C27" s="16" cm="1">
        <f t="array" ref="C27">_xll.BDH("PH US Equity","CF_PURCHASE_OF_FIXED_PROD_ASSETS","FQ1 2019","FQ1 2019","Currency=USD","Period=FQ","BEST_FPERIOD_OVERRIDE=FQ","FILING_STATUS=MR","SCALING_FORMAT=MLN","Sort=A","Dates=H","DateFormat=P","Fill=—","Direction=H","UseDPDF=Y")</f>
        <v>-42.106000000000002</v>
      </c>
      <c r="D27" s="16" cm="1">
        <f t="array" ref="D27">_xll.BDH("PH US Equity","CF_PURCHASE_OF_FIXED_PROD_ASSETS","FQ2 2019","FQ2 2019","Currency=USD","Period=FQ","BEST_FPERIOD_OVERRIDE=FQ","FILING_STATUS=MR","SCALING_FORMAT=MLN","Sort=A","Dates=H","DateFormat=P","Fill=—","Direction=H","UseDPDF=Y")</f>
        <v>-52.32</v>
      </c>
      <c r="E27" s="16" cm="1">
        <f t="array" ref="E27">_xll.BDH("PH US Equity","CF_PURCHASE_OF_FIXED_PROD_ASSETS","FQ3 2019","FQ3 2019","Currency=USD","Period=FQ","BEST_FPERIOD_OVERRIDE=FQ","FILING_STATUS=MR","SCALING_FORMAT=MLN","Sort=A","Dates=H","DateFormat=P","Fill=—","Direction=H","UseDPDF=Y")</f>
        <v>-50.645000000000003</v>
      </c>
      <c r="F27" s="16" cm="1">
        <f t="array" ref="F27">_xll.BDH("PH US Equity","CF_PURCHASE_OF_FIXED_PROD_ASSETS","FQ4 2019","FQ4 2019","Currency=USD","Period=FQ","BEST_FPERIOD_OVERRIDE=FQ","FILING_STATUS=MR","SCALING_FORMAT=MLN","Sort=A","Dates=H","DateFormat=P","Fill=—","Direction=H","UseDPDF=Y")</f>
        <v>-50.018000000000001</v>
      </c>
      <c r="G27" s="16" cm="1">
        <f t="array" ref="G27">_xll.BDH("PH US Equity","CF_PURCHASE_OF_FIXED_PROD_ASSETS","FQ1 2020","FQ1 2020","Currency=USD","Period=FQ","BEST_FPERIOD_OVERRIDE=FQ","FILING_STATUS=MR","SCALING_FORMAT=MLN","Sort=A","Dates=H","DateFormat=P","Fill=—","Direction=H","UseDPDF=Y")</f>
        <v>-50.344999999999999</v>
      </c>
      <c r="H27" s="16" cm="1">
        <f t="array" ref="H27">_xll.BDH("PH US Equity","CF_PURCHASE_OF_FIXED_PROD_ASSETS","FQ2 2020","FQ2 2020","Currency=USD","Period=FQ","BEST_FPERIOD_OVERRIDE=FQ","FILING_STATUS=MR","SCALING_FORMAT=MLN","Sort=A","Dates=H","DateFormat=P","Fill=—","Direction=H","UseDPDF=Y")</f>
        <v>-68.248000000000005</v>
      </c>
      <c r="I27" s="16" cm="1">
        <f t="array" ref="I27">_xll.BDH("PH US Equity","CF_PURCHASE_OF_FIXED_PROD_ASSETS","FQ3 2020","FQ3 2020","Currency=USD","Period=FQ","BEST_FPERIOD_OVERRIDE=FQ","FILING_STATUS=MR","SCALING_FORMAT=MLN","Sort=A","Dates=H","DateFormat=P","Fill=—","Direction=H","UseDPDF=Y")</f>
        <v>-63.908999999999999</v>
      </c>
      <c r="J27" s="16" cm="1">
        <f t="array" ref="J27">_xll.BDH("PH US Equity","CF_PURCHASE_OF_FIXED_PROD_ASSETS","FQ4 2020","FQ4 2020","Currency=USD","Period=FQ","BEST_FPERIOD_OVERRIDE=FQ","FILING_STATUS=MR","SCALING_FORMAT=MLN","Sort=A","Dates=H","DateFormat=P","Fill=—","Direction=H","UseDPDF=Y")</f>
        <v>-50.088999999999999</v>
      </c>
      <c r="K27" s="16" cm="1">
        <f t="array" ref="K27">_xll.BDH("PH US Equity","CF_PURCHASE_OF_FIXED_PROD_ASSETS","FQ1 2021","FQ1 2021","Currency=USD","Period=FQ","BEST_FPERIOD_OVERRIDE=FQ","FILING_STATUS=MR","SCALING_FORMAT=MLN","Sort=A","Dates=H","DateFormat=P","Fill=—","Direction=H","UseDPDF=Y")</f>
        <v>-42.116999999999997</v>
      </c>
      <c r="L27" s="16" cm="1">
        <f t="array" ref="L27">_xll.BDH("PH US Equity","CF_PURCHASE_OF_FIXED_PROD_ASSETS","FQ2 2021","FQ2 2021","Currency=USD","Period=FQ","BEST_FPERIOD_OVERRIDE=FQ","FILING_STATUS=MR","SCALING_FORMAT=MLN","Sort=A","Dates=H","DateFormat=P","Fill=—","Direction=H","UseDPDF=Y")</f>
        <v>-50.79</v>
      </c>
      <c r="M27" s="16" cm="1">
        <f t="array" ref="M27">_xll.BDH("PH US Equity","CF_PURCHASE_OF_FIXED_PROD_ASSETS","FQ3 2021","FQ3 2021","Currency=USD","Period=FQ","BEST_FPERIOD_OVERRIDE=FQ","FILING_STATUS=MR","SCALING_FORMAT=MLN","Sort=A","Dates=H","DateFormat=P","Fill=—","Direction=H","UseDPDF=Y")</f>
        <v>-43.156999999999996</v>
      </c>
      <c r="N27" s="16" cm="1">
        <f t="array" ref="N27">_xll.BDH("PH US Equity","CF_PURCHASE_OF_FIXED_PROD_ASSETS","FQ4 2021","FQ4 2021","Currency=USD","Period=FQ","BEST_FPERIOD_OVERRIDE=FQ","FILING_STATUS=MR","SCALING_FORMAT=MLN","Sort=A","Dates=H","DateFormat=P","Fill=—","Direction=H","UseDPDF=Y")</f>
        <v>-73.893000000000001</v>
      </c>
      <c r="O27" s="16" cm="1">
        <f t="array" ref="O27">_xll.BDH("PH US Equity","CF_PURCHASE_OF_FIXED_PROD_ASSETS","FQ1 2022","FQ1 2022","Currency=USD","Period=FQ","BEST_FPERIOD_OVERRIDE=FQ","FILING_STATUS=MR","SCALING_FORMAT=MLN","Sort=A","Dates=H","DateFormat=P","Fill=—","Direction=H","UseDPDF=Y")</f>
        <v>-48.203000000000003</v>
      </c>
      <c r="P27" s="16" cm="1">
        <f t="array" ref="P27">_xll.BDH("PH US Equity","CF_PURCHASE_OF_FIXED_PROD_ASSETS","FQ2 2022","FQ2 2022","Currency=USD","Period=FQ","BEST_FPERIOD_OVERRIDE=FQ","FILING_STATUS=MR","SCALING_FORMAT=MLN","Sort=A","Dates=H","DateFormat=P","Fill=—","Direction=H","UseDPDF=Y")</f>
        <v>-57.402999999999999</v>
      </c>
      <c r="Q27" s="16" cm="1">
        <f t="array" ref="Q27">_xll.BDH("PH US Equity","CF_PURCHASE_OF_FIXED_PROD_ASSETS","FQ3 2022","FQ3 2022","Currency=USD","Period=FQ","BEST_FPERIOD_OVERRIDE=FQ","FILING_STATUS=MR","SCALING_FORMAT=MLN","Sort=A","Dates=H","DateFormat=P","Fill=—","Direction=H","UseDPDF=Y")</f>
        <v>-53.258000000000003</v>
      </c>
      <c r="R27" s="16" cm="1">
        <f t="array" ref="R27">_xll.BDH("PH US Equity","CF_PURCHASE_OF_FIXED_PROD_ASSETS","FQ4 2022","FQ4 2022","Currency=USD","Period=FQ","BEST_FPERIOD_OVERRIDE=FQ","FILING_STATUS=MR","SCALING_FORMAT=MLN","Sort=A","Dates=H","DateFormat=P","Fill=—","Direction=H","UseDPDF=Y")</f>
        <v>-71.180000000000007</v>
      </c>
      <c r="S27" s="16" cm="1">
        <f t="array" ref="S27">_xll.BDH("PH US Equity","CF_PURCHASE_OF_FIXED_PROD_ASSETS","FQ1 2023","FQ1 2023","Currency=USD","Period=FQ","BEST_FPERIOD_OVERRIDE=FQ","FILING_STATUS=MR","SCALING_FORMAT=MLN","Sort=A","Dates=H","DateFormat=P","Fill=—","Direction=H","UseDPDF=Y")</f>
        <v>-83.555000000000007</v>
      </c>
      <c r="T27" s="16" cm="1">
        <f t="array" ref="T27">_xll.BDH("PH US Equity","CF_PURCHASE_OF_FIXED_PROD_ASSETS","FQ2 2023","FQ2 2023","Currency=USD","Period=FQ","BEST_FPERIOD_OVERRIDE=FQ","FILING_STATUS=MR","SCALING_FORMAT=MLN","Sort=A","Dates=H","DateFormat=P","Fill=—","Direction=H","UseDPDF=Y")</f>
        <v>-102.149</v>
      </c>
      <c r="U27" s="16" cm="1">
        <f t="array" ref="U27">_xll.BDH("PH US Equity","CF_PURCHASE_OF_FIXED_PROD_ASSETS","FQ3 2023","FQ3 2023","Currency=USD","Period=FQ","BEST_FPERIOD_OVERRIDE=FQ","FILING_STATUS=MR","SCALING_FORMAT=MLN","Sort=A","Dates=H","DateFormat=P","Fill=—","Direction=H","UseDPDF=Y")</f>
        <v>-86.899000000000001</v>
      </c>
      <c r="V27" s="16" cm="1">
        <f t="array" ref="V27">_xll.BDH("PH US Equity","CF_PURCHASE_OF_FIXED_PROD_ASSETS","FQ4 2023","FQ4 2023","Currency=USD","Period=FQ","BEST_FPERIOD_OVERRIDE=FQ","FILING_STATUS=MR","SCALING_FORMAT=MLN","Sort=A","Dates=H","DateFormat=P","Fill=—","Direction=H","UseDPDF=Y")</f>
        <v>-108.14400000000001</v>
      </c>
      <c r="W27" s="16" cm="1">
        <f t="array" ref="W27">_xll.BDH("PH US Equity","CF_PURCHASE_OF_FIXED_PROD_ASSETS","FQ1 2024","FQ1 2024","Currency=USD","Period=FQ","BEST_FPERIOD_OVERRIDE=FQ","FILING_STATUS=MR","SCALING_FORMAT=MLN","Sort=A","Dates=H","DateFormat=P","Fill=—","Direction=H","UseDPDF=Y")</f>
        <v>-97.745999999999995</v>
      </c>
      <c r="X27" s="16" cm="1">
        <f t="array" ref="X27">_xll.BDH("PH US Equity","CF_PURCHASE_OF_FIXED_PROD_ASSETS","FQ2 2024","FQ2 2024","Currency=USD","Period=FQ","BEST_FPERIOD_OVERRIDE=FQ","FILING_STATUS=MR","SCALING_FORMAT=MLN","Sort=A","Dates=H","DateFormat=P","Fill=—","Direction=H","UseDPDF=Y")</f>
        <v>-106.371</v>
      </c>
      <c r="Y27" s="16" cm="1">
        <f t="array" ref="Y27">_xll.BDH("PH US Equity","CF_PURCHASE_OF_FIXED_PROD_ASSETS","FQ3 2024","FQ3 2024","Currency=USD","Period=FQ","BEST_FPERIOD_OVERRIDE=FQ","FILING_STATUS=MR","SCALING_FORMAT=MLN","Sort=A","Dates=H","DateFormat=P","Fill=—","Direction=H","UseDPDF=Y")</f>
        <v>-79.210999999999999</v>
      </c>
      <c r="Z27" s="16" cm="1">
        <f t="array" ref="Z27">_xll.BDH("PH US Equity","CF_PURCHASE_OF_FIXED_PROD_ASSETS","FQ4 2024","FQ4 2024","Currency=USD","Period=FQ","BEST_FPERIOD_OVERRIDE=FQ","FILING_STATUS=MR","SCALING_FORMAT=MLN","Sort=A","Dates=H","DateFormat=P","Fill=—","Direction=H","UseDPDF=Y")</f>
        <v>-116.78400000000001</v>
      </c>
      <c r="AA27" s="16" cm="1">
        <f t="array" ref="AA27">_xll.BDH("PH US Equity","CF_PURCHASE_OF_FIXED_PROD_ASSETS","FQ1 2025","FQ1 2025","Currency=USD","Period=FQ","BEST_FPERIOD_OVERRIDE=FQ","FILING_STATUS=MR","SCALING_FORMAT=MLN","Sort=A","Dates=H","DateFormat=P","Fill=—","Direction=H","UseDPDF=Y")</f>
        <v>-95.302000000000007</v>
      </c>
      <c r="AB27" s="16" cm="1">
        <f t="array" ref="AB27">_xll.BDH("PH US Equity","CF_PURCHASE_OF_FIXED_PROD_ASSETS","FQ2 2025","FQ2 2025","Currency=USD","Period=FQ","BEST_FPERIOD_OVERRIDE=FQ","FILING_STATUS=MR","SCALING_FORMAT=MLN","Sort=A","Dates=H","DateFormat=P","Fill=—","Direction=H","UseDPDF=Y")</f>
        <v>-121.203</v>
      </c>
      <c r="AC27" s="16" cm="1">
        <f t="array" ref="AC27">_xll.BDH("PH US Equity","CF_PURCHASE_OF_FIXED_PROD_ASSETS","FQ3 2025","FQ3 2025","Currency=USD","Period=FQ","BEST_FPERIOD_OVERRIDE=FQ","FILING_STATUS=MR","SCALING_FORMAT=MLN","Sort=A","Dates=H","DateFormat=P","Fill=—","Direction=H","UseDPDF=Y")</f>
        <v>-87.647999999999996</v>
      </c>
      <c r="AD27" s="16" cm="1">
        <f t="array" ref="AD27">_xll.BDH("PH US Equity","CF_PURCHASE_OF_FIXED_PROD_ASSETS","FQ4 2025","FQ4 2025","Currency=USD","Period=FQ","BEST_FPERIOD_OVERRIDE=FQ","FILING_STATUS=MR","SCALING_FORMAT=MLN","Sort=A","Dates=H","DateFormat=P","Fill=—","Direction=H","UseDPDF=Y")</f>
        <v>-130.84700000000001</v>
      </c>
      <c r="AE27" s="16" cm="1">
        <f t="array" ref="AE27">_xll.BDH("PH US Equity","CF_PURCHASE_OF_FIXED_PROD_ASSETS","FQ1 2026","FQ1 2026","Currency=USD","Period=FQ","BEST_FPERIOD_OVERRIDE=FQ","FILING_STATUS=MR","SCALING_FORMAT=MLN","Sort=A","Dates=H","DateFormat=P","Fill=—","Direction=H","UseDPDF=Y")</f>
        <v>-89</v>
      </c>
      <c r="AF27" s="16" cm="1">
        <f t="array" ref="AF27">_xll.BDH("PH US Equity","CF_PURCHASE_OF_FIXED_PROD_ASSETS","FQ2 2026","FQ2 2026","Currency=USD","Period=FQ","BEST_FPERIOD_OVERRIDE=FQ","FILING_STATUS=MR","SCALING_FORMAT=MLN","Sort=A","Dates=H","DateFormat=P","Fill=—","Direction=H","UseDPDF=Y")</f>
        <v>-94</v>
      </c>
    </row>
    <row r="28" spans="1:32" x14ac:dyDescent="0.25">
      <c r="A28" s="11" t="s">
        <v>104</v>
      </c>
      <c r="B28" s="11" t="s">
        <v>105</v>
      </c>
      <c r="C28" s="16" cm="1">
        <f t="array" ref="C28">_xll.BDH("PH US Equity","CF_ACQUISITION_OF_INTANG_ASSETS","FQ1 2019","FQ1 2019","Currency=USD","Period=FQ","BEST_FPERIOD_OVERRIDE=FQ","FILING_STATUS=MR","SCALING_FORMAT=MLN","Sort=A","Dates=H","DateFormat=P","Fill=—","Direction=H","UseDPDF=Y")</f>
        <v>0</v>
      </c>
      <c r="D28" s="16" cm="1">
        <f t="array" ref="D28">_xll.BDH("PH US Equity","CF_ACQUISITION_OF_INTANG_ASSETS","FQ2 2019","FQ2 2019","Currency=USD","Period=FQ","BEST_FPERIOD_OVERRIDE=FQ","FILING_STATUS=MR","SCALING_FORMAT=MLN","Sort=A","Dates=H","DateFormat=P","Fill=—","Direction=H","UseDPDF=Y")</f>
        <v>0</v>
      </c>
      <c r="E28" s="16" cm="1">
        <f t="array" ref="E28">_xll.BDH("PH US Equity","CF_ACQUISITION_OF_INTANG_ASSETS","FQ3 2019","FQ3 2019","Currency=USD","Period=FQ","BEST_FPERIOD_OVERRIDE=FQ","FILING_STATUS=MR","SCALING_FORMAT=MLN","Sort=A","Dates=H","DateFormat=P","Fill=—","Direction=H","UseDPDF=Y")</f>
        <v>0</v>
      </c>
      <c r="F28" s="16" cm="1">
        <f t="array" ref="F28">_xll.BDH("PH US Equity","CF_ACQUISITION_OF_INTANG_ASSETS","FQ4 2019","FQ4 2019","Currency=USD","Period=FQ","BEST_FPERIOD_OVERRIDE=FQ","FILING_STATUS=MR","SCALING_FORMAT=MLN","Sort=A","Dates=H","DateFormat=P","Fill=—","Direction=H","UseDPDF=Y")</f>
        <v>0</v>
      </c>
      <c r="G28" s="16" cm="1">
        <f t="array" ref="G28">_xll.BDH("PH US Equity","CF_ACQUISITION_OF_INTANG_ASSETS","FQ1 2020","FQ1 2020","Currency=USD","Period=FQ","BEST_FPERIOD_OVERRIDE=FQ","FILING_STATUS=MR","SCALING_FORMAT=MLN","Sort=A","Dates=H","DateFormat=P","Fill=—","Direction=H","UseDPDF=Y")</f>
        <v>0</v>
      </c>
      <c r="H28" s="16" cm="1">
        <f t="array" ref="H28">_xll.BDH("PH US Equity","CF_ACQUISITION_OF_INTANG_ASSETS","FQ2 2020","FQ2 2020","Currency=USD","Period=FQ","BEST_FPERIOD_OVERRIDE=FQ","FILING_STATUS=MR","SCALING_FORMAT=MLN","Sort=A","Dates=H","DateFormat=P","Fill=—","Direction=H","UseDPDF=Y")</f>
        <v>0</v>
      </c>
      <c r="I28" s="16" cm="1">
        <f t="array" ref="I28">_xll.BDH("PH US Equity","CF_ACQUISITION_OF_INTANG_ASSETS","FQ3 2020","FQ3 2020","Currency=USD","Period=FQ","BEST_FPERIOD_OVERRIDE=FQ","FILING_STATUS=MR","SCALING_FORMAT=MLN","Sort=A","Dates=H","DateFormat=P","Fill=—","Direction=H","UseDPDF=Y")</f>
        <v>0</v>
      </c>
      <c r="J28" s="16" cm="1">
        <f t="array" ref="J28">_xll.BDH("PH US Equity","CF_ACQUISITION_OF_INTANG_ASSETS","FQ4 2020","FQ4 2020","Currency=USD","Period=FQ","BEST_FPERIOD_OVERRIDE=FQ","FILING_STATUS=MR","SCALING_FORMAT=MLN","Sort=A","Dates=H","DateFormat=P","Fill=—","Direction=H","UseDPDF=Y")</f>
        <v>0</v>
      </c>
      <c r="K28" s="16" cm="1">
        <f t="array" ref="K28">_xll.BDH("PH US Equity","CF_ACQUISITION_OF_INTANG_ASSETS","FQ1 2021","FQ1 2021","Currency=USD","Period=FQ","BEST_FPERIOD_OVERRIDE=FQ","FILING_STATUS=MR","SCALING_FORMAT=MLN","Sort=A","Dates=H","DateFormat=P","Fill=—","Direction=H","UseDPDF=Y")</f>
        <v>0</v>
      </c>
      <c r="L28" s="16" cm="1">
        <f t="array" ref="L28">_xll.BDH("PH US Equity","CF_ACQUISITION_OF_INTANG_ASSETS","FQ2 2021","FQ2 2021","Currency=USD","Period=FQ","BEST_FPERIOD_OVERRIDE=FQ","FILING_STATUS=MR","SCALING_FORMAT=MLN","Sort=A","Dates=H","DateFormat=P","Fill=—","Direction=H","UseDPDF=Y")</f>
        <v>0</v>
      </c>
      <c r="M28" s="16" cm="1">
        <f t="array" ref="M28">_xll.BDH("PH US Equity","CF_ACQUISITION_OF_INTANG_ASSETS","FQ3 2021","FQ3 2021","Currency=USD","Period=FQ","BEST_FPERIOD_OVERRIDE=FQ","FILING_STATUS=MR","SCALING_FORMAT=MLN","Sort=A","Dates=H","DateFormat=P","Fill=—","Direction=H","UseDPDF=Y")</f>
        <v>0</v>
      </c>
      <c r="N28" s="16" cm="1">
        <f t="array" ref="N28">_xll.BDH("PH US Equity","CF_ACQUISITION_OF_INTANG_ASSETS","FQ4 2021","FQ4 2021","Currency=USD","Period=FQ","BEST_FPERIOD_OVERRIDE=FQ","FILING_STATUS=MR","SCALING_FORMAT=MLN","Sort=A","Dates=H","DateFormat=P","Fill=—","Direction=H","UseDPDF=Y")</f>
        <v>0</v>
      </c>
      <c r="O28" s="16" cm="1">
        <f t="array" ref="O28">_xll.BDH("PH US Equity","CF_ACQUISITION_OF_INTANG_ASSETS","FQ1 2022","FQ1 2022","Currency=USD","Period=FQ","BEST_FPERIOD_OVERRIDE=FQ","FILING_STATUS=MR","SCALING_FORMAT=MLN","Sort=A","Dates=H","DateFormat=P","Fill=—","Direction=H","UseDPDF=Y")</f>
        <v>0</v>
      </c>
      <c r="P28" s="16" cm="1">
        <f t="array" ref="P28">_xll.BDH("PH US Equity","CF_ACQUISITION_OF_INTANG_ASSETS","FQ2 2022","FQ2 2022","Currency=USD","Period=FQ","BEST_FPERIOD_OVERRIDE=FQ","FILING_STATUS=MR","SCALING_FORMAT=MLN","Sort=A","Dates=H","DateFormat=P","Fill=—","Direction=H","UseDPDF=Y")</f>
        <v>0</v>
      </c>
      <c r="Q28" s="16" cm="1">
        <f t="array" ref="Q28">_xll.BDH("PH US Equity","CF_ACQUISITION_OF_INTANG_ASSETS","FQ3 2022","FQ3 2022","Currency=USD","Period=FQ","BEST_FPERIOD_OVERRIDE=FQ","FILING_STATUS=MR","SCALING_FORMAT=MLN","Sort=A","Dates=H","DateFormat=P","Fill=—","Direction=H","UseDPDF=Y")</f>
        <v>0</v>
      </c>
      <c r="R28" s="16" cm="1">
        <f t="array" ref="R28">_xll.BDH("PH US Equity","CF_ACQUISITION_OF_INTANG_ASSETS","FQ4 2022","FQ4 2022","Currency=USD","Period=FQ","BEST_FPERIOD_OVERRIDE=FQ","FILING_STATUS=MR","SCALING_FORMAT=MLN","Sort=A","Dates=H","DateFormat=P","Fill=—","Direction=H","UseDPDF=Y")</f>
        <v>0</v>
      </c>
      <c r="S28" s="16" cm="1">
        <f t="array" ref="S28">_xll.BDH("PH US Equity","CF_ACQUISITION_OF_INTANG_ASSETS","FQ1 2023","FQ1 2023","Currency=USD","Period=FQ","BEST_FPERIOD_OVERRIDE=FQ","FILING_STATUS=MR","SCALING_FORMAT=MLN","Sort=A","Dates=H","DateFormat=P","Fill=—","Direction=H","UseDPDF=Y")</f>
        <v>0</v>
      </c>
      <c r="T28" s="16" cm="1">
        <f t="array" ref="T28">_xll.BDH("PH US Equity","CF_ACQUISITION_OF_INTANG_ASSETS","FQ2 2023","FQ2 2023","Currency=USD","Period=FQ","BEST_FPERIOD_OVERRIDE=FQ","FILING_STATUS=MR","SCALING_FORMAT=MLN","Sort=A","Dates=H","DateFormat=P","Fill=—","Direction=H","UseDPDF=Y")</f>
        <v>0</v>
      </c>
      <c r="U28" s="16" cm="1">
        <f t="array" ref="U28">_xll.BDH("PH US Equity","CF_ACQUISITION_OF_INTANG_ASSETS","FQ3 2023","FQ3 2023","Currency=USD","Period=FQ","BEST_FPERIOD_OVERRIDE=FQ","FILING_STATUS=MR","SCALING_FORMAT=MLN","Sort=A","Dates=H","DateFormat=P","Fill=—","Direction=H","UseDPDF=Y")</f>
        <v>0</v>
      </c>
      <c r="V28" s="16" cm="1">
        <f t="array" ref="V28">_xll.BDH("PH US Equity","CF_ACQUISITION_OF_INTANG_ASSETS","FQ4 2023","FQ4 2023","Currency=USD","Period=FQ","BEST_FPERIOD_OVERRIDE=FQ","FILING_STATUS=MR","SCALING_FORMAT=MLN","Sort=A","Dates=H","DateFormat=P","Fill=—","Direction=H","UseDPDF=Y")</f>
        <v>0</v>
      </c>
      <c r="W28" s="16" cm="1">
        <f t="array" ref="W28">_xll.BDH("PH US Equity","CF_ACQUISITION_OF_INTANG_ASSETS","FQ1 2024","FQ1 2024","Currency=USD","Period=FQ","BEST_FPERIOD_OVERRIDE=FQ","FILING_STATUS=MR","SCALING_FORMAT=MLN","Sort=A","Dates=H","DateFormat=P","Fill=—","Direction=H","UseDPDF=Y")</f>
        <v>0</v>
      </c>
      <c r="X28" s="16" cm="1">
        <f t="array" ref="X28">_xll.BDH("PH US Equity","CF_ACQUISITION_OF_INTANG_ASSETS","FQ2 2024","FQ2 2024","Currency=USD","Period=FQ","BEST_FPERIOD_OVERRIDE=FQ","FILING_STATUS=MR","SCALING_FORMAT=MLN","Sort=A","Dates=H","DateFormat=P","Fill=—","Direction=H","UseDPDF=Y")</f>
        <v>0</v>
      </c>
      <c r="Y28" s="16" cm="1">
        <f t="array" ref="Y28">_xll.BDH("PH US Equity","CF_ACQUISITION_OF_INTANG_ASSETS","FQ3 2024","FQ3 2024","Currency=USD","Period=FQ","BEST_FPERIOD_OVERRIDE=FQ","FILING_STATUS=MR","SCALING_FORMAT=MLN","Sort=A","Dates=H","DateFormat=P","Fill=—","Direction=H","UseDPDF=Y")</f>
        <v>0</v>
      </c>
      <c r="Z28" s="16" cm="1">
        <f t="array" ref="Z28">_xll.BDH("PH US Equity","CF_ACQUISITION_OF_INTANG_ASSETS","FQ4 2024","FQ4 2024","Currency=USD","Period=FQ","BEST_FPERIOD_OVERRIDE=FQ","FILING_STATUS=MR","SCALING_FORMAT=MLN","Sort=A","Dates=H","DateFormat=P","Fill=—","Direction=H","UseDPDF=Y")</f>
        <v>0</v>
      </c>
      <c r="AA28" s="16" cm="1">
        <f t="array" ref="AA28">_xll.BDH("PH US Equity","CF_ACQUISITION_OF_INTANG_ASSETS","FQ1 2025","FQ1 2025","Currency=USD","Period=FQ","BEST_FPERIOD_OVERRIDE=FQ","FILING_STATUS=MR","SCALING_FORMAT=MLN","Sort=A","Dates=H","DateFormat=P","Fill=—","Direction=H","UseDPDF=Y")</f>
        <v>0</v>
      </c>
      <c r="AB28" s="16" cm="1">
        <f t="array" ref="AB28">_xll.BDH("PH US Equity","CF_ACQUISITION_OF_INTANG_ASSETS","FQ2 2025","FQ2 2025","Currency=USD","Period=FQ","BEST_FPERIOD_OVERRIDE=FQ","FILING_STATUS=MR","SCALING_FORMAT=MLN","Sort=A","Dates=H","DateFormat=P","Fill=—","Direction=H","UseDPDF=Y")</f>
        <v>0</v>
      </c>
      <c r="AC28" s="16" cm="1">
        <f t="array" ref="AC28">_xll.BDH("PH US Equity","CF_ACQUISITION_OF_INTANG_ASSETS","FQ3 2025","FQ3 2025","Currency=USD","Period=FQ","BEST_FPERIOD_OVERRIDE=FQ","FILING_STATUS=MR","SCALING_FORMAT=MLN","Sort=A","Dates=H","DateFormat=P","Fill=—","Direction=H","UseDPDF=Y")</f>
        <v>0</v>
      </c>
      <c r="AD28" s="16" cm="1">
        <f t="array" ref="AD28">_xll.BDH("PH US Equity","CF_ACQUISITION_OF_INTANG_ASSETS","FQ4 2025","FQ4 2025","Currency=USD","Period=FQ","BEST_FPERIOD_OVERRIDE=FQ","FILING_STATUS=MR","SCALING_FORMAT=MLN","Sort=A","Dates=H","DateFormat=P","Fill=—","Direction=H","UseDPDF=Y")</f>
        <v>0</v>
      </c>
      <c r="AE28" s="16" cm="1">
        <f t="array" ref="AE28">_xll.BDH("PH US Equity","CF_ACQUISITION_OF_INTANG_ASSETS","FQ1 2026","FQ1 2026","Currency=USD","Period=FQ","BEST_FPERIOD_OVERRIDE=FQ","FILING_STATUS=MR","SCALING_FORMAT=MLN","Sort=A","Dates=H","DateFormat=P","Fill=—","Direction=H","UseDPDF=Y")</f>
        <v>0</v>
      </c>
      <c r="AF28" s="16" cm="1">
        <f t="array" ref="AF28">_xll.BDH("PH US Equity","CF_ACQUISITION_OF_INTANG_ASSETS","FQ2 2026","FQ2 2026","Currency=USD","Period=FQ","BEST_FPERIOD_OVERRIDE=FQ","FILING_STATUS=MR","SCALING_FORMAT=MLN","Sort=A","Dates=H","DateFormat=P","Fill=—","Direction=H","UseDPDF=Y")</f>
        <v>0</v>
      </c>
    </row>
    <row r="29" spans="1:32" x14ac:dyDescent="0.25">
      <c r="A29" s="10" t="s">
        <v>106</v>
      </c>
      <c r="B29" s="10" t="s">
        <v>107</v>
      </c>
      <c r="C29" s="12" cm="1">
        <f t="array" ref="C29">_xll.BDH("PH US Equity","NET_CHG_IN_LT_INVEST_DETAILED","FQ1 2019","FQ1 2019","Currency=USD","Period=FQ","BEST_FPERIOD_OVERRIDE=FQ","FILING_STATUS=MR","SCALING_FORMAT=MLN","Sort=A","Dates=H","DateFormat=P","Fill=—","Direction=H","UseDPDF=Y")</f>
        <v>0</v>
      </c>
      <c r="D29" s="12" cm="1">
        <f t="array" ref="D29">_xll.BDH("PH US Equity","NET_CHG_IN_LT_INVEST_DETAILED","FQ2 2019","FQ2 2019","Currency=USD","Period=FQ","BEST_FPERIOD_OVERRIDE=FQ","FILING_STATUS=MR","SCALING_FORMAT=MLN","Sort=A","Dates=H","DateFormat=P","Fill=—","Direction=H","UseDPDF=Y")</f>
        <v>0</v>
      </c>
      <c r="E29" s="12" cm="1">
        <f t="array" ref="E29">_xll.BDH("PH US Equity","NET_CHG_IN_LT_INVEST_DETAILED","FQ3 2019","FQ3 2019","Currency=USD","Period=FQ","BEST_FPERIOD_OVERRIDE=FQ","FILING_STATUS=MR","SCALING_FORMAT=MLN","Sort=A","Dates=H","DateFormat=P","Fill=—","Direction=H","UseDPDF=Y")</f>
        <v>0</v>
      </c>
      <c r="F29" s="12" cm="1">
        <f t="array" ref="F29">_xll.BDH("PH US Equity","NET_CHG_IN_LT_INVEST_DETAILED","FQ4 2019","FQ4 2019","Currency=USD","Period=FQ","BEST_FPERIOD_OVERRIDE=FQ","FILING_STATUS=MR","SCALING_FORMAT=MLN","Sort=A","Dates=H","DateFormat=P","Fill=—","Direction=H","UseDPDF=Y")</f>
        <v>0</v>
      </c>
      <c r="G29" s="12" cm="1">
        <f t="array" ref="G29">_xll.BDH("PH US Equity","NET_CHG_IN_LT_INVEST_DETAILED","FQ1 2020","FQ1 2020","Currency=USD","Period=FQ","BEST_FPERIOD_OVERRIDE=FQ","FILING_STATUS=MR","SCALING_FORMAT=MLN","Sort=A","Dates=H","DateFormat=P","Fill=—","Direction=H","UseDPDF=Y")</f>
        <v>0</v>
      </c>
      <c r="H29" s="12" cm="1">
        <f t="array" ref="H29">_xll.BDH("PH US Equity","NET_CHG_IN_LT_INVEST_DETAILED","FQ2 2020","FQ2 2020","Currency=USD","Period=FQ","BEST_FPERIOD_OVERRIDE=FQ","FILING_STATUS=MR","SCALING_FORMAT=MLN","Sort=A","Dates=H","DateFormat=P","Fill=—","Direction=H","UseDPDF=Y")</f>
        <v>0</v>
      </c>
      <c r="I29" s="12" cm="1">
        <f t="array" ref="I29">_xll.BDH("PH US Equity","NET_CHG_IN_LT_INVEST_DETAILED","FQ3 2020","FQ3 2020","Currency=USD","Period=FQ","BEST_FPERIOD_OVERRIDE=FQ","FILING_STATUS=MR","SCALING_FORMAT=MLN","Sort=A","Dates=H","DateFormat=P","Fill=—","Direction=H","UseDPDF=Y")</f>
        <v>0</v>
      </c>
      <c r="J29" s="12" cm="1">
        <f t="array" ref="J29">_xll.BDH("PH US Equity","NET_CHG_IN_LT_INVEST_DETAILED","FQ4 2020","FQ4 2020","Currency=USD","Period=FQ","BEST_FPERIOD_OVERRIDE=FQ","FILING_STATUS=MR","SCALING_FORMAT=MLN","Sort=A","Dates=H","DateFormat=P","Fill=—","Direction=H","UseDPDF=Y")</f>
        <v>0</v>
      </c>
      <c r="K29" s="12" cm="1">
        <f t="array" ref="K29">_xll.BDH("PH US Equity","NET_CHG_IN_LT_INVEST_DETAILED","FQ1 2021","FQ1 2021","Currency=USD","Period=FQ","BEST_FPERIOD_OVERRIDE=FQ","FILING_STATUS=MR","SCALING_FORMAT=MLN","Sort=A","Dates=H","DateFormat=P","Fill=—","Direction=H","UseDPDF=Y")</f>
        <v>0</v>
      </c>
      <c r="L29" s="12" cm="1">
        <f t="array" ref="L29">_xll.BDH("PH US Equity","NET_CHG_IN_LT_INVEST_DETAILED","FQ2 2021","FQ2 2021","Currency=USD","Period=FQ","BEST_FPERIOD_OVERRIDE=FQ","FILING_STATUS=MR","SCALING_FORMAT=MLN","Sort=A","Dates=H","DateFormat=P","Fill=—","Direction=H","UseDPDF=Y")</f>
        <v>0</v>
      </c>
      <c r="M29" s="12" cm="1">
        <f t="array" ref="M29">_xll.BDH("PH US Equity","NET_CHG_IN_LT_INVEST_DETAILED","FQ3 2021","FQ3 2021","Currency=USD","Period=FQ","BEST_FPERIOD_OVERRIDE=FQ","FILING_STATUS=MR","SCALING_FORMAT=MLN","Sort=A","Dates=H","DateFormat=P","Fill=—","Direction=H","UseDPDF=Y")</f>
        <v>0</v>
      </c>
      <c r="N29" s="12" cm="1">
        <f t="array" ref="N29">_xll.BDH("PH US Equity","NET_CHG_IN_LT_INVEST_DETAILED","FQ4 2021","FQ4 2021","Currency=USD","Period=FQ","BEST_FPERIOD_OVERRIDE=FQ","FILING_STATUS=MR","SCALING_FORMAT=MLN","Sort=A","Dates=H","DateFormat=P","Fill=—","Direction=H","UseDPDF=Y")</f>
        <v>0</v>
      </c>
      <c r="O29" s="12" cm="1">
        <f t="array" ref="O29">_xll.BDH("PH US Equity","NET_CHG_IN_LT_INVEST_DETAILED","FQ1 2022","FQ1 2022","Currency=USD","Period=FQ","BEST_FPERIOD_OVERRIDE=FQ","FILING_STATUS=MR","SCALING_FORMAT=MLN","Sort=A","Dates=H","DateFormat=P","Fill=—","Direction=H","UseDPDF=Y")</f>
        <v>0</v>
      </c>
      <c r="P29" s="12" cm="1">
        <f t="array" ref="P29">_xll.BDH("PH US Equity","NET_CHG_IN_LT_INVEST_DETAILED","FQ2 2022","FQ2 2022","Currency=USD","Period=FQ","BEST_FPERIOD_OVERRIDE=FQ","FILING_STATUS=MR","SCALING_FORMAT=MLN","Sort=A","Dates=H","DateFormat=P","Fill=—","Direction=H","UseDPDF=Y")</f>
        <v>0</v>
      </c>
      <c r="Q29" s="12" cm="1">
        <f t="array" ref="Q29">_xll.BDH("PH US Equity","NET_CHG_IN_LT_INVEST_DETAILED","FQ3 2022","FQ3 2022","Currency=USD","Period=FQ","BEST_FPERIOD_OVERRIDE=FQ","FILING_STATUS=MR","SCALING_FORMAT=MLN","Sort=A","Dates=H","DateFormat=P","Fill=—","Direction=H","UseDPDF=Y")</f>
        <v>0</v>
      </c>
      <c r="R29" s="12" cm="1">
        <f t="array" ref="R29">_xll.BDH("PH US Equity","NET_CHG_IN_LT_INVEST_DETAILED","FQ4 2022","FQ4 2022","Currency=USD","Period=FQ","BEST_FPERIOD_OVERRIDE=FQ","FILING_STATUS=MR","SCALING_FORMAT=MLN","Sort=A","Dates=H","DateFormat=P","Fill=—","Direction=H","UseDPDF=Y")</f>
        <v>0</v>
      </c>
      <c r="S29" s="12" cm="1">
        <f t="array" ref="S29">_xll.BDH("PH US Equity","NET_CHG_IN_LT_INVEST_DETAILED","FQ1 2023","FQ1 2023","Currency=USD","Period=FQ","BEST_FPERIOD_OVERRIDE=FQ","FILING_STATUS=MR","SCALING_FORMAT=MLN","Sort=A","Dates=H","DateFormat=P","Fill=—","Direction=H","UseDPDF=Y")</f>
        <v>0</v>
      </c>
      <c r="T29" s="12" cm="1">
        <f t="array" ref="T29">_xll.BDH("PH US Equity","NET_CHG_IN_LT_INVEST_DETAILED","FQ2 2023","FQ2 2023","Currency=USD","Period=FQ","BEST_FPERIOD_OVERRIDE=FQ","FILING_STATUS=MR","SCALING_FORMAT=MLN","Sort=A","Dates=H","DateFormat=P","Fill=—","Direction=H","UseDPDF=Y")</f>
        <v>0</v>
      </c>
      <c r="U29" s="12" cm="1">
        <f t="array" ref="U29">_xll.BDH("PH US Equity","NET_CHG_IN_LT_INVEST_DETAILED","FQ3 2023","FQ3 2023","Currency=USD","Period=FQ","BEST_FPERIOD_OVERRIDE=FQ","FILING_STATUS=MR","SCALING_FORMAT=MLN","Sort=A","Dates=H","DateFormat=P","Fill=—","Direction=H","UseDPDF=Y")</f>
        <v>0</v>
      </c>
      <c r="V29" s="12" cm="1">
        <f t="array" ref="V29">_xll.BDH("PH US Equity","NET_CHG_IN_LT_INVEST_DETAILED","FQ4 2023","FQ4 2023","Currency=USD","Period=FQ","BEST_FPERIOD_OVERRIDE=FQ","FILING_STATUS=MR","SCALING_FORMAT=MLN","Sort=A","Dates=H","DateFormat=P","Fill=—","Direction=H","UseDPDF=Y")</f>
        <v>0</v>
      </c>
      <c r="W29" s="12" cm="1">
        <f t="array" ref="W29">_xll.BDH("PH US Equity","NET_CHG_IN_LT_INVEST_DETAILED","FQ1 2024","FQ1 2024","Currency=USD","Period=FQ","BEST_FPERIOD_OVERRIDE=FQ","FILING_STATUS=MR","SCALING_FORMAT=MLN","Sort=A","Dates=H","DateFormat=P","Fill=—","Direction=H","UseDPDF=Y")</f>
        <v>0</v>
      </c>
      <c r="X29" s="12" cm="1">
        <f t="array" ref="X29">_xll.BDH("PH US Equity","NET_CHG_IN_LT_INVEST_DETAILED","FQ2 2024","FQ2 2024","Currency=USD","Period=FQ","BEST_FPERIOD_OVERRIDE=FQ","FILING_STATUS=MR","SCALING_FORMAT=MLN","Sort=A","Dates=H","DateFormat=P","Fill=—","Direction=H","UseDPDF=Y")</f>
        <v>0</v>
      </c>
      <c r="Y29" s="12" cm="1">
        <f t="array" ref="Y29">_xll.BDH("PH US Equity","NET_CHG_IN_LT_INVEST_DETAILED","FQ3 2024","FQ3 2024","Currency=USD","Period=FQ","BEST_FPERIOD_OVERRIDE=FQ","FILING_STATUS=MR","SCALING_FORMAT=MLN","Sort=A","Dates=H","DateFormat=P","Fill=—","Direction=H","UseDPDF=Y")</f>
        <v>0</v>
      </c>
      <c r="Z29" s="12" cm="1">
        <f t="array" ref="Z29">_xll.BDH("PH US Equity","NET_CHG_IN_LT_INVEST_DETAILED","FQ4 2024","FQ4 2024","Currency=USD","Period=FQ","BEST_FPERIOD_OVERRIDE=FQ","FILING_STATUS=MR","SCALING_FORMAT=MLN","Sort=A","Dates=H","DateFormat=P","Fill=—","Direction=H","UseDPDF=Y")</f>
        <v>0</v>
      </c>
      <c r="AA29" s="12" cm="1">
        <f t="array" ref="AA29">_xll.BDH("PH US Equity","NET_CHG_IN_LT_INVEST_DETAILED","FQ1 2025","FQ1 2025","Currency=USD","Period=FQ","BEST_FPERIOD_OVERRIDE=FQ","FILING_STATUS=MR","SCALING_FORMAT=MLN","Sort=A","Dates=H","DateFormat=P","Fill=—","Direction=H","UseDPDF=Y")</f>
        <v>0</v>
      </c>
      <c r="AB29" s="12" cm="1">
        <f t="array" ref="AB29">_xll.BDH("PH US Equity","NET_CHG_IN_LT_INVEST_DETAILED","FQ2 2025","FQ2 2025","Currency=USD","Period=FQ","BEST_FPERIOD_OVERRIDE=FQ","FILING_STATUS=MR","SCALING_FORMAT=MLN","Sort=A","Dates=H","DateFormat=P","Fill=—","Direction=H","UseDPDF=Y")</f>
        <v>0</v>
      </c>
      <c r="AC29" s="12" cm="1">
        <f t="array" ref="AC29">_xll.BDH("PH US Equity","NET_CHG_IN_LT_INVEST_DETAILED","FQ3 2025","FQ3 2025","Currency=USD","Period=FQ","BEST_FPERIOD_OVERRIDE=FQ","FILING_STATUS=MR","SCALING_FORMAT=MLN","Sort=A","Dates=H","DateFormat=P","Fill=—","Direction=H","UseDPDF=Y")</f>
        <v>0</v>
      </c>
      <c r="AD29" s="12" cm="1">
        <f t="array" ref="AD29">_xll.BDH("PH US Equity","NET_CHG_IN_LT_INVEST_DETAILED","FQ4 2025","FQ4 2025","Currency=USD","Period=FQ","BEST_FPERIOD_OVERRIDE=FQ","FILING_STATUS=MR","SCALING_FORMAT=MLN","Sort=A","Dates=H","DateFormat=P","Fill=—","Direction=H","UseDPDF=Y")</f>
        <v>0</v>
      </c>
      <c r="AE29" s="12" cm="1">
        <f t="array" ref="AE29">_xll.BDH("PH US Equity","NET_CHG_IN_LT_INVEST_DETAILED","FQ1 2026","FQ1 2026","Currency=USD","Period=FQ","BEST_FPERIOD_OVERRIDE=FQ","FILING_STATUS=MR","SCALING_FORMAT=MLN","Sort=A","Dates=H","DateFormat=P","Fill=—","Direction=H","UseDPDF=Y")</f>
        <v>0</v>
      </c>
      <c r="AF29" s="12" cm="1">
        <f t="array" ref="AF29">_xll.BDH("PH US Equity","NET_CHG_IN_LT_INVEST_DETAILED","FQ2 2026","FQ2 2026","Currency=USD","Period=FQ","BEST_FPERIOD_OVERRIDE=FQ","FILING_STATUS=MR","SCALING_FORMAT=MLN","Sort=A","Dates=H","DateFormat=P","Fill=—","Direction=H","UseDPDF=Y")</f>
        <v>0</v>
      </c>
    </row>
    <row r="30" spans="1:32" x14ac:dyDescent="0.25">
      <c r="A30" s="10" t="s">
        <v>108</v>
      </c>
      <c r="B30" s="10" t="s">
        <v>109</v>
      </c>
      <c r="C30" s="12" cm="1">
        <f t="array" ref="C30">_xll.BDH("PH US Equity","CF_DECR_INVEST","FQ1 2019","FQ1 2019","Currency=USD","Period=FQ","BEST_FPERIOD_OVERRIDE=FQ","FILING_STATUS=MR","SCALING_FORMAT=MLN","Sort=A","Dates=H","DateFormat=P","Fill=—","Direction=H","UseDPDF=Y")</f>
        <v>0</v>
      </c>
      <c r="D30" s="12" cm="1">
        <f t="array" ref="D30">_xll.BDH("PH US Equity","CF_DECR_INVEST","FQ2 2019","FQ2 2019","Currency=USD","Period=FQ","BEST_FPERIOD_OVERRIDE=FQ","FILING_STATUS=MR","SCALING_FORMAT=MLN","Sort=A","Dates=H","DateFormat=P","Fill=—","Direction=H","UseDPDF=Y")</f>
        <v>0</v>
      </c>
      <c r="E30" s="12" cm="1">
        <f t="array" ref="E30">_xll.BDH("PH US Equity","CF_DECR_INVEST","FQ3 2019","FQ3 2019","Currency=USD","Period=FQ","BEST_FPERIOD_OVERRIDE=FQ","FILING_STATUS=MR","SCALING_FORMAT=MLN","Sort=A","Dates=H","DateFormat=P","Fill=—","Direction=H","UseDPDF=Y")</f>
        <v>0</v>
      </c>
      <c r="F30" s="12" cm="1">
        <f t="array" ref="F30">_xll.BDH("PH US Equity","CF_DECR_INVEST","FQ4 2019","FQ4 2019","Currency=USD","Period=FQ","BEST_FPERIOD_OVERRIDE=FQ","FILING_STATUS=MR","SCALING_FORMAT=MLN","Sort=A","Dates=H","DateFormat=P","Fill=—","Direction=H","UseDPDF=Y")</f>
        <v>0</v>
      </c>
      <c r="G30" s="12" cm="1">
        <f t="array" ref="G30">_xll.BDH("PH US Equity","CF_DECR_INVEST","FQ1 2020","FQ1 2020","Currency=USD","Period=FQ","BEST_FPERIOD_OVERRIDE=FQ","FILING_STATUS=MR","SCALING_FORMAT=MLN","Sort=A","Dates=H","DateFormat=P","Fill=—","Direction=H","UseDPDF=Y")</f>
        <v>0</v>
      </c>
      <c r="H30" s="12" cm="1">
        <f t="array" ref="H30">_xll.BDH("PH US Equity","CF_DECR_INVEST","FQ2 2020","FQ2 2020","Currency=USD","Period=FQ","BEST_FPERIOD_OVERRIDE=FQ","FILING_STATUS=MR","SCALING_FORMAT=MLN","Sort=A","Dates=H","DateFormat=P","Fill=—","Direction=H","UseDPDF=Y")</f>
        <v>0</v>
      </c>
      <c r="I30" s="12" cm="1">
        <f t="array" ref="I30">_xll.BDH("PH US Equity","CF_DECR_INVEST","FQ3 2020","FQ3 2020","Currency=USD","Period=FQ","BEST_FPERIOD_OVERRIDE=FQ","FILING_STATUS=MR","SCALING_FORMAT=MLN","Sort=A","Dates=H","DateFormat=P","Fill=—","Direction=H","UseDPDF=Y")</f>
        <v>0</v>
      </c>
      <c r="J30" s="12" cm="1">
        <f t="array" ref="J30">_xll.BDH("PH US Equity","CF_DECR_INVEST","FQ4 2020","FQ4 2020","Currency=USD","Period=FQ","BEST_FPERIOD_OVERRIDE=FQ","FILING_STATUS=MR","SCALING_FORMAT=MLN","Sort=A","Dates=H","DateFormat=P","Fill=—","Direction=H","UseDPDF=Y")</f>
        <v>0</v>
      </c>
      <c r="K30" s="12" cm="1">
        <f t="array" ref="K30">_xll.BDH("PH US Equity","CF_DECR_INVEST","FQ1 2021","FQ1 2021","Currency=USD","Period=FQ","BEST_FPERIOD_OVERRIDE=FQ","FILING_STATUS=MR","SCALING_FORMAT=MLN","Sort=A","Dates=H","DateFormat=P","Fill=—","Direction=H","UseDPDF=Y")</f>
        <v>0</v>
      </c>
      <c r="L30" s="12" cm="1">
        <f t="array" ref="L30">_xll.BDH("PH US Equity","CF_DECR_INVEST","FQ2 2021","FQ2 2021","Currency=USD","Period=FQ","BEST_FPERIOD_OVERRIDE=FQ","FILING_STATUS=MR","SCALING_FORMAT=MLN","Sort=A","Dates=H","DateFormat=P","Fill=—","Direction=H","UseDPDF=Y")</f>
        <v>0</v>
      </c>
      <c r="M30" s="12" cm="1">
        <f t="array" ref="M30">_xll.BDH("PH US Equity","CF_DECR_INVEST","FQ3 2021","FQ3 2021","Currency=USD","Period=FQ","BEST_FPERIOD_OVERRIDE=FQ","FILING_STATUS=MR","SCALING_FORMAT=MLN","Sort=A","Dates=H","DateFormat=P","Fill=—","Direction=H","UseDPDF=Y")</f>
        <v>0</v>
      </c>
      <c r="N30" s="12" cm="1">
        <f t="array" ref="N30">_xll.BDH("PH US Equity","CF_DECR_INVEST","FQ4 2021","FQ4 2021","Currency=USD","Period=FQ","BEST_FPERIOD_OVERRIDE=FQ","FILING_STATUS=MR","SCALING_FORMAT=MLN","Sort=A","Dates=H","DateFormat=P","Fill=—","Direction=H","UseDPDF=Y")</f>
        <v>0</v>
      </c>
      <c r="O30" s="12" cm="1">
        <f t="array" ref="O30">_xll.BDH("PH US Equity","CF_DECR_INVEST","FQ1 2022","FQ1 2022","Currency=USD","Period=FQ","BEST_FPERIOD_OVERRIDE=FQ","FILING_STATUS=MR","SCALING_FORMAT=MLN","Sort=A","Dates=H","DateFormat=P","Fill=—","Direction=H","UseDPDF=Y")</f>
        <v>0</v>
      </c>
      <c r="P30" s="12" cm="1">
        <f t="array" ref="P30">_xll.BDH("PH US Equity","CF_DECR_INVEST","FQ2 2022","FQ2 2022","Currency=USD","Period=FQ","BEST_FPERIOD_OVERRIDE=FQ","FILING_STATUS=MR","SCALING_FORMAT=MLN","Sort=A","Dates=H","DateFormat=P","Fill=—","Direction=H","UseDPDF=Y")</f>
        <v>0</v>
      </c>
      <c r="Q30" s="12" cm="1">
        <f t="array" ref="Q30">_xll.BDH("PH US Equity","CF_DECR_INVEST","FQ3 2022","FQ3 2022","Currency=USD","Period=FQ","BEST_FPERIOD_OVERRIDE=FQ","FILING_STATUS=MR","SCALING_FORMAT=MLN","Sort=A","Dates=H","DateFormat=P","Fill=—","Direction=H","UseDPDF=Y")</f>
        <v>0</v>
      </c>
      <c r="R30" s="12" cm="1">
        <f t="array" ref="R30">_xll.BDH("PH US Equity","CF_DECR_INVEST","FQ4 2022","FQ4 2022","Currency=USD","Period=FQ","BEST_FPERIOD_OVERRIDE=FQ","FILING_STATUS=MR","SCALING_FORMAT=MLN","Sort=A","Dates=H","DateFormat=P","Fill=—","Direction=H","UseDPDF=Y")</f>
        <v>0</v>
      </c>
      <c r="S30" s="12" cm="1">
        <f t="array" ref="S30">_xll.BDH("PH US Equity","CF_DECR_INVEST","FQ1 2023","FQ1 2023","Currency=USD","Period=FQ","BEST_FPERIOD_OVERRIDE=FQ","FILING_STATUS=MR","SCALING_FORMAT=MLN","Sort=A","Dates=H","DateFormat=P","Fill=—","Direction=H","UseDPDF=Y")</f>
        <v>0</v>
      </c>
      <c r="T30" s="12" cm="1">
        <f t="array" ref="T30">_xll.BDH("PH US Equity","CF_DECR_INVEST","FQ2 2023","FQ2 2023","Currency=USD","Period=FQ","BEST_FPERIOD_OVERRIDE=FQ","FILING_STATUS=MR","SCALING_FORMAT=MLN","Sort=A","Dates=H","DateFormat=P","Fill=—","Direction=H","UseDPDF=Y")</f>
        <v>0</v>
      </c>
      <c r="U30" s="12" cm="1">
        <f t="array" ref="U30">_xll.BDH("PH US Equity","CF_DECR_INVEST","FQ3 2023","FQ3 2023","Currency=USD","Period=FQ","BEST_FPERIOD_OVERRIDE=FQ","FILING_STATUS=MR","SCALING_FORMAT=MLN","Sort=A","Dates=H","DateFormat=P","Fill=—","Direction=H","UseDPDF=Y")</f>
        <v>0</v>
      </c>
      <c r="V30" s="12" cm="1">
        <f t="array" ref="V30">_xll.BDH("PH US Equity","CF_DECR_INVEST","FQ4 2023","FQ4 2023","Currency=USD","Period=FQ","BEST_FPERIOD_OVERRIDE=FQ","FILING_STATUS=MR","SCALING_FORMAT=MLN","Sort=A","Dates=H","DateFormat=P","Fill=—","Direction=H","UseDPDF=Y")</f>
        <v>0</v>
      </c>
      <c r="W30" s="12" cm="1">
        <f t="array" ref="W30">_xll.BDH("PH US Equity","CF_DECR_INVEST","FQ1 2024","FQ1 2024","Currency=USD","Period=FQ","BEST_FPERIOD_OVERRIDE=FQ","FILING_STATUS=MR","SCALING_FORMAT=MLN","Sort=A","Dates=H","DateFormat=P","Fill=—","Direction=H","UseDPDF=Y")</f>
        <v>0</v>
      </c>
      <c r="X30" s="12" cm="1">
        <f t="array" ref="X30">_xll.BDH("PH US Equity","CF_DECR_INVEST","FQ2 2024","FQ2 2024","Currency=USD","Period=FQ","BEST_FPERIOD_OVERRIDE=FQ","FILING_STATUS=MR","SCALING_FORMAT=MLN","Sort=A","Dates=H","DateFormat=P","Fill=—","Direction=H","UseDPDF=Y")</f>
        <v>0</v>
      </c>
      <c r="Y30" s="12" cm="1">
        <f t="array" ref="Y30">_xll.BDH("PH US Equity","CF_DECR_INVEST","FQ3 2024","FQ3 2024","Currency=USD","Period=FQ","BEST_FPERIOD_OVERRIDE=FQ","FILING_STATUS=MR","SCALING_FORMAT=MLN","Sort=A","Dates=H","DateFormat=P","Fill=—","Direction=H","UseDPDF=Y")</f>
        <v>0</v>
      </c>
      <c r="Z30" s="12" cm="1">
        <f t="array" ref="Z30">_xll.BDH("PH US Equity","CF_DECR_INVEST","FQ4 2024","FQ4 2024","Currency=USD","Period=FQ","BEST_FPERIOD_OVERRIDE=FQ","FILING_STATUS=MR","SCALING_FORMAT=MLN","Sort=A","Dates=H","DateFormat=P","Fill=—","Direction=H","UseDPDF=Y")</f>
        <v>0</v>
      </c>
      <c r="AA30" s="12" cm="1">
        <f t="array" ref="AA30">_xll.BDH("PH US Equity","CF_DECR_INVEST","FQ1 2025","FQ1 2025","Currency=USD","Period=FQ","BEST_FPERIOD_OVERRIDE=FQ","FILING_STATUS=MR","SCALING_FORMAT=MLN","Sort=A","Dates=H","DateFormat=P","Fill=—","Direction=H","UseDPDF=Y")</f>
        <v>0</v>
      </c>
      <c r="AB30" s="12" cm="1">
        <f t="array" ref="AB30">_xll.BDH("PH US Equity","CF_DECR_INVEST","FQ2 2025","FQ2 2025","Currency=USD","Period=FQ","BEST_FPERIOD_OVERRIDE=FQ","FILING_STATUS=MR","SCALING_FORMAT=MLN","Sort=A","Dates=H","DateFormat=P","Fill=—","Direction=H","UseDPDF=Y")</f>
        <v>0</v>
      </c>
      <c r="AC30" s="12" cm="1">
        <f t="array" ref="AC30">_xll.BDH("PH US Equity","CF_DECR_INVEST","FQ3 2025","FQ3 2025","Currency=USD","Period=FQ","BEST_FPERIOD_OVERRIDE=FQ","FILING_STATUS=MR","SCALING_FORMAT=MLN","Sort=A","Dates=H","DateFormat=P","Fill=—","Direction=H","UseDPDF=Y")</f>
        <v>0</v>
      </c>
      <c r="AD30" s="12" cm="1">
        <f t="array" ref="AD30">_xll.BDH("PH US Equity","CF_DECR_INVEST","FQ4 2025","FQ4 2025","Currency=USD","Period=FQ","BEST_FPERIOD_OVERRIDE=FQ","FILING_STATUS=MR","SCALING_FORMAT=MLN","Sort=A","Dates=H","DateFormat=P","Fill=—","Direction=H","UseDPDF=Y")</f>
        <v>0</v>
      </c>
      <c r="AE30" s="12" cm="1">
        <f t="array" ref="AE30">_xll.BDH("PH US Equity","CF_DECR_INVEST","FQ1 2026","FQ1 2026","Currency=USD","Period=FQ","BEST_FPERIOD_OVERRIDE=FQ","FILING_STATUS=MR","SCALING_FORMAT=MLN","Sort=A","Dates=H","DateFormat=P","Fill=—","Direction=H","UseDPDF=Y")</f>
        <v>0</v>
      </c>
      <c r="AF30" s="12" cm="1">
        <f t="array" ref="AF30">_xll.BDH("PH US Equity","CF_DECR_INVEST","FQ2 2026","FQ2 2026","Currency=USD","Period=FQ","BEST_FPERIOD_OVERRIDE=FQ","FILING_STATUS=MR","SCALING_FORMAT=MLN","Sort=A","Dates=H","DateFormat=P","Fill=—","Direction=H","UseDPDF=Y")</f>
        <v>0</v>
      </c>
    </row>
    <row r="31" spans="1:32" x14ac:dyDescent="0.25">
      <c r="A31" s="10" t="s">
        <v>110</v>
      </c>
      <c r="B31" s="10" t="s">
        <v>111</v>
      </c>
      <c r="C31" s="12" cm="1">
        <f t="array" ref="C31">_xll.BDH("PH US Equity","CF_INCR_INVEST","FQ1 2019","FQ1 2019","Currency=USD","Period=FQ","BEST_FPERIOD_OVERRIDE=FQ","FILING_STATUS=MR","SCALING_FORMAT=MLN","Sort=A","Dates=H","DateFormat=P","Fill=—","Direction=H","UseDPDF=Y")</f>
        <v>0</v>
      </c>
      <c r="D31" s="12" cm="1">
        <f t="array" ref="D31">_xll.BDH("PH US Equity","CF_INCR_INVEST","FQ2 2019","FQ2 2019","Currency=USD","Period=FQ","BEST_FPERIOD_OVERRIDE=FQ","FILING_STATUS=MR","SCALING_FORMAT=MLN","Sort=A","Dates=H","DateFormat=P","Fill=—","Direction=H","UseDPDF=Y")</f>
        <v>0</v>
      </c>
      <c r="E31" s="12" cm="1">
        <f t="array" ref="E31">_xll.BDH("PH US Equity","CF_INCR_INVEST","FQ3 2019","FQ3 2019","Currency=USD","Period=FQ","BEST_FPERIOD_OVERRIDE=FQ","FILING_STATUS=MR","SCALING_FORMAT=MLN","Sort=A","Dates=H","DateFormat=P","Fill=—","Direction=H","UseDPDF=Y")</f>
        <v>0</v>
      </c>
      <c r="F31" s="12" cm="1">
        <f t="array" ref="F31">_xll.BDH("PH US Equity","CF_INCR_INVEST","FQ4 2019","FQ4 2019","Currency=USD","Period=FQ","BEST_FPERIOD_OVERRIDE=FQ","FILING_STATUS=MR","SCALING_FORMAT=MLN","Sort=A","Dates=H","DateFormat=P","Fill=—","Direction=H","UseDPDF=Y")</f>
        <v>0</v>
      </c>
      <c r="G31" s="12" cm="1">
        <f t="array" ref="G31">_xll.BDH("PH US Equity","CF_INCR_INVEST","FQ1 2020","FQ1 2020","Currency=USD","Period=FQ","BEST_FPERIOD_OVERRIDE=FQ","FILING_STATUS=MR","SCALING_FORMAT=MLN","Sort=A","Dates=H","DateFormat=P","Fill=—","Direction=H","UseDPDF=Y")</f>
        <v>0</v>
      </c>
      <c r="H31" s="12" cm="1">
        <f t="array" ref="H31">_xll.BDH("PH US Equity","CF_INCR_INVEST","FQ2 2020","FQ2 2020","Currency=USD","Period=FQ","BEST_FPERIOD_OVERRIDE=FQ","FILING_STATUS=MR","SCALING_FORMAT=MLN","Sort=A","Dates=H","DateFormat=P","Fill=—","Direction=H","UseDPDF=Y")</f>
        <v>0</v>
      </c>
      <c r="I31" s="12" cm="1">
        <f t="array" ref="I31">_xll.BDH("PH US Equity","CF_INCR_INVEST","FQ3 2020","FQ3 2020","Currency=USD","Period=FQ","BEST_FPERIOD_OVERRIDE=FQ","FILING_STATUS=MR","SCALING_FORMAT=MLN","Sort=A","Dates=H","DateFormat=P","Fill=—","Direction=H","UseDPDF=Y")</f>
        <v>0</v>
      </c>
      <c r="J31" s="12" cm="1">
        <f t="array" ref="J31">_xll.BDH("PH US Equity","CF_INCR_INVEST","FQ4 2020","FQ4 2020","Currency=USD","Period=FQ","BEST_FPERIOD_OVERRIDE=FQ","FILING_STATUS=MR","SCALING_FORMAT=MLN","Sort=A","Dates=H","DateFormat=P","Fill=—","Direction=H","UseDPDF=Y")</f>
        <v>0</v>
      </c>
      <c r="K31" s="12" cm="1">
        <f t="array" ref="K31">_xll.BDH("PH US Equity","CF_INCR_INVEST","FQ1 2021","FQ1 2021","Currency=USD","Period=FQ","BEST_FPERIOD_OVERRIDE=FQ","FILING_STATUS=MR","SCALING_FORMAT=MLN","Sort=A","Dates=H","DateFormat=P","Fill=—","Direction=H","UseDPDF=Y")</f>
        <v>0</v>
      </c>
      <c r="L31" s="12" cm="1">
        <f t="array" ref="L31">_xll.BDH("PH US Equity","CF_INCR_INVEST","FQ2 2021","FQ2 2021","Currency=USD","Period=FQ","BEST_FPERIOD_OVERRIDE=FQ","FILING_STATUS=MR","SCALING_FORMAT=MLN","Sort=A","Dates=H","DateFormat=P","Fill=—","Direction=H","UseDPDF=Y")</f>
        <v>0</v>
      </c>
      <c r="M31" s="12" cm="1">
        <f t="array" ref="M31">_xll.BDH("PH US Equity","CF_INCR_INVEST","FQ3 2021","FQ3 2021","Currency=USD","Period=FQ","BEST_FPERIOD_OVERRIDE=FQ","FILING_STATUS=MR","SCALING_FORMAT=MLN","Sort=A","Dates=H","DateFormat=P","Fill=—","Direction=H","UseDPDF=Y")</f>
        <v>0</v>
      </c>
      <c r="N31" s="12" cm="1">
        <f t="array" ref="N31">_xll.BDH("PH US Equity","CF_INCR_INVEST","FQ4 2021","FQ4 2021","Currency=USD","Period=FQ","BEST_FPERIOD_OVERRIDE=FQ","FILING_STATUS=MR","SCALING_FORMAT=MLN","Sort=A","Dates=H","DateFormat=P","Fill=—","Direction=H","UseDPDF=Y")</f>
        <v>0</v>
      </c>
      <c r="O31" s="12" cm="1">
        <f t="array" ref="O31">_xll.BDH("PH US Equity","CF_INCR_INVEST","FQ1 2022","FQ1 2022","Currency=USD","Period=FQ","BEST_FPERIOD_OVERRIDE=FQ","FILING_STATUS=MR","SCALING_FORMAT=MLN","Sort=A","Dates=H","DateFormat=P","Fill=—","Direction=H","UseDPDF=Y")</f>
        <v>0</v>
      </c>
      <c r="P31" s="12" cm="1">
        <f t="array" ref="P31">_xll.BDH("PH US Equity","CF_INCR_INVEST","FQ2 2022","FQ2 2022","Currency=USD","Period=FQ","BEST_FPERIOD_OVERRIDE=FQ","FILING_STATUS=MR","SCALING_FORMAT=MLN","Sort=A","Dates=H","DateFormat=P","Fill=—","Direction=H","UseDPDF=Y")</f>
        <v>0</v>
      </c>
      <c r="Q31" s="12" cm="1">
        <f t="array" ref="Q31">_xll.BDH("PH US Equity","CF_INCR_INVEST","FQ3 2022","FQ3 2022","Currency=USD","Period=FQ","BEST_FPERIOD_OVERRIDE=FQ","FILING_STATUS=MR","SCALING_FORMAT=MLN","Sort=A","Dates=H","DateFormat=P","Fill=—","Direction=H","UseDPDF=Y")</f>
        <v>0</v>
      </c>
      <c r="R31" s="12" cm="1">
        <f t="array" ref="R31">_xll.BDH("PH US Equity","CF_INCR_INVEST","FQ4 2022","FQ4 2022","Currency=USD","Period=FQ","BEST_FPERIOD_OVERRIDE=FQ","FILING_STATUS=MR","SCALING_FORMAT=MLN","Sort=A","Dates=H","DateFormat=P","Fill=—","Direction=H","UseDPDF=Y")</f>
        <v>0</v>
      </c>
      <c r="S31" s="12" cm="1">
        <f t="array" ref="S31">_xll.BDH("PH US Equity","CF_INCR_INVEST","FQ1 2023","FQ1 2023","Currency=USD","Period=FQ","BEST_FPERIOD_OVERRIDE=FQ","FILING_STATUS=MR","SCALING_FORMAT=MLN","Sort=A","Dates=H","DateFormat=P","Fill=—","Direction=H","UseDPDF=Y")</f>
        <v>0</v>
      </c>
      <c r="T31" s="12" cm="1">
        <f t="array" ref="T31">_xll.BDH("PH US Equity","CF_INCR_INVEST","FQ2 2023","FQ2 2023","Currency=USD","Period=FQ","BEST_FPERIOD_OVERRIDE=FQ","FILING_STATUS=MR","SCALING_FORMAT=MLN","Sort=A","Dates=H","DateFormat=P","Fill=—","Direction=H","UseDPDF=Y")</f>
        <v>0</v>
      </c>
      <c r="U31" s="12" cm="1">
        <f t="array" ref="U31">_xll.BDH("PH US Equity","CF_INCR_INVEST","FQ3 2023","FQ3 2023","Currency=USD","Period=FQ","BEST_FPERIOD_OVERRIDE=FQ","FILING_STATUS=MR","SCALING_FORMAT=MLN","Sort=A","Dates=H","DateFormat=P","Fill=—","Direction=H","UseDPDF=Y")</f>
        <v>0</v>
      </c>
      <c r="V31" s="12" cm="1">
        <f t="array" ref="V31">_xll.BDH("PH US Equity","CF_INCR_INVEST","FQ4 2023","FQ4 2023","Currency=USD","Period=FQ","BEST_FPERIOD_OVERRIDE=FQ","FILING_STATUS=MR","SCALING_FORMAT=MLN","Sort=A","Dates=H","DateFormat=P","Fill=—","Direction=H","UseDPDF=Y")</f>
        <v>0</v>
      </c>
      <c r="W31" s="12" cm="1">
        <f t="array" ref="W31">_xll.BDH("PH US Equity","CF_INCR_INVEST","FQ1 2024","FQ1 2024","Currency=USD","Period=FQ","BEST_FPERIOD_OVERRIDE=FQ","FILING_STATUS=MR","SCALING_FORMAT=MLN","Sort=A","Dates=H","DateFormat=P","Fill=—","Direction=H","UseDPDF=Y")</f>
        <v>0</v>
      </c>
      <c r="X31" s="12" cm="1">
        <f t="array" ref="X31">_xll.BDH("PH US Equity","CF_INCR_INVEST","FQ2 2024","FQ2 2024","Currency=USD","Period=FQ","BEST_FPERIOD_OVERRIDE=FQ","FILING_STATUS=MR","SCALING_FORMAT=MLN","Sort=A","Dates=H","DateFormat=P","Fill=—","Direction=H","UseDPDF=Y")</f>
        <v>0</v>
      </c>
      <c r="Y31" s="12" cm="1">
        <f t="array" ref="Y31">_xll.BDH("PH US Equity","CF_INCR_INVEST","FQ3 2024","FQ3 2024","Currency=USD","Period=FQ","BEST_FPERIOD_OVERRIDE=FQ","FILING_STATUS=MR","SCALING_FORMAT=MLN","Sort=A","Dates=H","DateFormat=P","Fill=—","Direction=H","UseDPDF=Y")</f>
        <v>0</v>
      </c>
      <c r="Z31" s="12" cm="1">
        <f t="array" ref="Z31">_xll.BDH("PH US Equity","CF_INCR_INVEST","FQ4 2024","FQ4 2024","Currency=USD","Period=FQ","BEST_FPERIOD_OVERRIDE=FQ","FILING_STATUS=MR","SCALING_FORMAT=MLN","Sort=A","Dates=H","DateFormat=P","Fill=—","Direction=H","UseDPDF=Y")</f>
        <v>0</v>
      </c>
      <c r="AA31" s="12" cm="1">
        <f t="array" ref="AA31">_xll.BDH("PH US Equity","CF_INCR_INVEST","FQ1 2025","FQ1 2025","Currency=USD","Period=FQ","BEST_FPERIOD_OVERRIDE=FQ","FILING_STATUS=MR","SCALING_FORMAT=MLN","Sort=A","Dates=H","DateFormat=P","Fill=—","Direction=H","UseDPDF=Y")</f>
        <v>0</v>
      </c>
      <c r="AB31" s="12" cm="1">
        <f t="array" ref="AB31">_xll.BDH("PH US Equity","CF_INCR_INVEST","FQ2 2025","FQ2 2025","Currency=USD","Period=FQ","BEST_FPERIOD_OVERRIDE=FQ","FILING_STATUS=MR","SCALING_FORMAT=MLN","Sort=A","Dates=H","DateFormat=P","Fill=—","Direction=H","UseDPDF=Y")</f>
        <v>0</v>
      </c>
      <c r="AC31" s="12" cm="1">
        <f t="array" ref="AC31">_xll.BDH("PH US Equity","CF_INCR_INVEST","FQ3 2025","FQ3 2025","Currency=USD","Period=FQ","BEST_FPERIOD_OVERRIDE=FQ","FILING_STATUS=MR","SCALING_FORMAT=MLN","Sort=A","Dates=H","DateFormat=P","Fill=—","Direction=H","UseDPDF=Y")</f>
        <v>0</v>
      </c>
      <c r="AD31" s="12" cm="1">
        <f t="array" ref="AD31">_xll.BDH("PH US Equity","CF_INCR_INVEST","FQ4 2025","FQ4 2025","Currency=USD","Period=FQ","BEST_FPERIOD_OVERRIDE=FQ","FILING_STATUS=MR","SCALING_FORMAT=MLN","Sort=A","Dates=H","DateFormat=P","Fill=—","Direction=H","UseDPDF=Y")</f>
        <v>0</v>
      </c>
      <c r="AE31" s="12" cm="1">
        <f t="array" ref="AE31">_xll.BDH("PH US Equity","CF_INCR_INVEST","FQ1 2026","FQ1 2026","Currency=USD","Period=FQ","BEST_FPERIOD_OVERRIDE=FQ","FILING_STATUS=MR","SCALING_FORMAT=MLN","Sort=A","Dates=H","DateFormat=P","Fill=—","Direction=H","UseDPDF=Y")</f>
        <v>0</v>
      </c>
      <c r="AF31" s="12" cm="1">
        <f t="array" ref="AF31">_xll.BDH("PH US Equity","CF_INCR_INVEST","FQ2 2026","FQ2 2026","Currency=USD","Period=FQ","BEST_FPERIOD_OVERRIDE=FQ","FILING_STATUS=MR","SCALING_FORMAT=MLN","Sort=A","Dates=H","DateFormat=P","Fill=—","Direction=H","UseDPDF=Y")</f>
        <v>0</v>
      </c>
    </row>
    <row r="32" spans="1:32" x14ac:dyDescent="0.25">
      <c r="A32" s="10" t="s">
        <v>112</v>
      </c>
      <c r="B32" s="10" t="s">
        <v>113</v>
      </c>
      <c r="C32" s="12" cm="1">
        <f t="array" ref="C32">_xll.BDH("PH US Equity","CF_NT_CSH_RCVD_PD_FOR_ACQUIS_DIV","FQ1 2019","FQ1 2019","Currency=USD","Period=FQ","BEST_FPERIOD_OVERRIDE=FQ","FILING_STATUS=MR","SCALING_FORMAT=MLN","Sort=A","Dates=H","DateFormat=P","Fill=—","Direction=H","UseDPDF=Y")</f>
        <v>2.4729999999999999</v>
      </c>
      <c r="D32" s="12" cm="1">
        <f t="array" ref="D32">_xll.BDH("PH US Equity","CF_NT_CSH_RCVD_PD_FOR_ACQUIS_DIV","FQ2 2019","FQ2 2019","Currency=USD","Period=FQ","BEST_FPERIOD_OVERRIDE=FQ","FILING_STATUS=MR","SCALING_FORMAT=MLN","Sort=A","Dates=H","DateFormat=P","Fill=—","Direction=H","UseDPDF=Y")</f>
        <v>15.025</v>
      </c>
      <c r="E32" s="12" cm="1">
        <f t="array" ref="E32">_xll.BDH("PH US Equity","CF_NT_CSH_RCVD_PD_FOR_ACQUIS_DIV","FQ3 2019","FQ3 2019","Currency=USD","Period=FQ","BEST_FPERIOD_OVERRIDE=FQ","FILING_STATUS=MR","SCALING_FORMAT=MLN","Sort=A","Dates=H","DateFormat=P","Fill=—","Direction=H","UseDPDF=Y")</f>
        <v>0</v>
      </c>
      <c r="F32" s="12" cm="1">
        <f t="array" ref="F32">_xll.BDH("PH US Equity","CF_NT_CSH_RCVD_PD_FOR_ACQUIS_DIV","FQ4 2019","FQ4 2019","Currency=USD","Period=FQ","BEST_FPERIOD_OVERRIDE=FQ","FILING_STATUS=MR","SCALING_FORMAT=MLN","Sort=A","Dates=H","DateFormat=P","Fill=—","Direction=H","UseDPDF=Y")</f>
        <v>0.13800000000000001</v>
      </c>
      <c r="G32" s="12" cm="1">
        <f t="array" ref="G32">_xll.BDH("PH US Equity","CF_NT_CSH_RCVD_PD_FOR_ACQUIS_DIV","FQ1 2020","FQ1 2020","Currency=USD","Period=FQ","BEST_FPERIOD_OVERRIDE=FQ","FILING_STATUS=MR","SCALING_FORMAT=MLN","Sort=A","Dates=H","DateFormat=P","Fill=—","Direction=H","UseDPDF=Y")</f>
        <v>-1696.4559999999999</v>
      </c>
      <c r="H32" s="12" cm="1">
        <f t="array" ref="H32">_xll.BDH("PH US Equity","CF_NT_CSH_RCVD_PD_FOR_ACQUIS_DIV","FQ2 2020","FQ2 2020","Currency=USD","Period=FQ","BEST_FPERIOD_OVERRIDE=FQ","FILING_STATUS=MR","SCALING_FORMAT=MLN","Sort=A","Dates=H","DateFormat=P","Fill=—","Direction=H","UseDPDF=Y")</f>
        <v>-3379.1489999999999</v>
      </c>
      <c r="I32" s="12" cm="1">
        <f t="array" ref="I32">_xll.BDH("PH US Equity","CF_NT_CSH_RCVD_PD_FOR_ACQUIS_DIV","FQ3 2020","FQ3 2020","Currency=USD","Period=FQ","BEST_FPERIOD_OVERRIDE=FQ","FILING_STATUS=MR","SCALING_FORMAT=MLN","Sort=A","Dates=H","DateFormat=P","Fill=—","Direction=H","UseDPDF=Y")</f>
        <v>-0.45900000000000002</v>
      </c>
      <c r="J32" s="12" cm="1">
        <f t="array" ref="J32">_xll.BDH("PH US Equity","CF_NT_CSH_RCVD_PD_FOR_ACQUIS_DIV","FQ4 2020","FQ4 2020","Currency=USD","Period=FQ","BEST_FPERIOD_OVERRIDE=FQ","FILING_STATUS=MR","SCALING_FORMAT=MLN","Sort=A","Dates=H","DateFormat=P","Fill=—","Direction=H","UseDPDF=Y")</f>
        <v>0</v>
      </c>
      <c r="K32" s="12" cm="1">
        <f t="array" ref="K32">_xll.BDH("PH US Equity","CF_NT_CSH_RCVD_PD_FOR_ACQUIS_DIV","FQ1 2021","FQ1 2021","Currency=USD","Period=FQ","BEST_FPERIOD_OVERRIDE=FQ","FILING_STATUS=MR","SCALING_FORMAT=MLN","Sort=A","Dates=H","DateFormat=P","Fill=—","Direction=H","UseDPDF=Y")</f>
        <v>0</v>
      </c>
      <c r="L32" s="12" cm="1">
        <f t="array" ref="L32">_xll.BDH("PH US Equity","CF_NT_CSH_RCVD_PD_FOR_ACQUIS_DIV","FQ2 2021","FQ2 2021","Currency=USD","Period=FQ","BEST_FPERIOD_OVERRIDE=FQ","FILING_STATUS=MR","SCALING_FORMAT=MLN","Sort=A","Dates=H","DateFormat=P","Fill=—","Direction=H","UseDPDF=Y")</f>
        <v>0</v>
      </c>
      <c r="M32" s="12" cm="1">
        <f t="array" ref="M32">_xll.BDH("PH US Equity","CF_NT_CSH_RCVD_PD_FOR_ACQUIS_DIV","FQ3 2021","FQ3 2021","Currency=USD","Period=FQ","BEST_FPERIOD_OVERRIDE=FQ","FILING_STATUS=MR","SCALING_FORMAT=MLN","Sort=A","Dates=H","DateFormat=P","Fill=—","Direction=H","UseDPDF=Y")</f>
        <v>0</v>
      </c>
      <c r="N32" s="12" cm="1">
        <f t="array" ref="N32">_xll.BDH("PH US Equity","CF_NT_CSH_RCVD_PD_FOR_ACQUIS_DIV","FQ4 2021","FQ4 2021","Currency=USD","Period=FQ","BEST_FPERIOD_OVERRIDE=FQ","FILING_STATUS=MR","SCALING_FORMAT=MLN","Sort=A","Dates=H","DateFormat=P","Fill=—","Direction=H","UseDPDF=Y")</f>
        <v>0</v>
      </c>
      <c r="O32" s="12" cm="1">
        <f t="array" ref="O32">_xll.BDH("PH US Equity","CF_NT_CSH_RCVD_PD_FOR_ACQUIS_DIV","FQ1 2022","FQ1 2022","Currency=USD","Period=FQ","BEST_FPERIOD_OVERRIDE=FQ","FILING_STATUS=MR","SCALING_FORMAT=MLN","Sort=A","Dates=H","DateFormat=P","Fill=—","Direction=H","UseDPDF=Y")</f>
        <v>0</v>
      </c>
      <c r="P32" s="12" cm="1">
        <f t="array" ref="P32">_xll.BDH("PH US Equity","CF_NT_CSH_RCVD_PD_FOR_ACQUIS_DIV","FQ2 2022","FQ2 2022","Currency=USD","Period=FQ","BEST_FPERIOD_OVERRIDE=FQ","FILING_STATUS=MR","SCALING_FORMAT=MLN","Sort=A","Dates=H","DateFormat=P","Fill=—","Direction=H","UseDPDF=Y")</f>
        <v>2.4660000000000002</v>
      </c>
      <c r="Q32" s="12" cm="1">
        <f t="array" ref="Q32">_xll.BDH("PH US Equity","CF_NT_CSH_RCVD_PD_FOR_ACQUIS_DIV","FQ3 2022","FQ3 2022","Currency=USD","Period=FQ","BEST_FPERIOD_OVERRIDE=FQ","FILING_STATUS=MR","SCALING_FORMAT=MLN","Sort=A","Dates=H","DateFormat=P","Fill=—","Direction=H","UseDPDF=Y")</f>
        <v>0.9</v>
      </c>
      <c r="R32" s="12" cm="1">
        <f t="array" ref="R32">_xll.BDH("PH US Equity","CF_NT_CSH_RCVD_PD_FOR_ACQUIS_DIV","FQ4 2022","FQ4 2022","Currency=USD","Period=FQ","BEST_FPERIOD_OVERRIDE=FQ","FILING_STATUS=MR","SCALING_FORMAT=MLN","Sort=A","Dates=H","DateFormat=P","Fill=—","Direction=H","UseDPDF=Y")</f>
        <v>0</v>
      </c>
      <c r="S32" s="12" cm="1">
        <f t="array" ref="S32">_xll.BDH("PH US Equity","CF_NT_CSH_RCVD_PD_FOR_ACQUIS_DIV","FQ1 2023","FQ1 2023","Currency=USD","Period=FQ","BEST_FPERIOD_OVERRIDE=FQ","FILING_STATUS=MR","SCALING_FORMAT=MLN","Sort=A","Dates=H","DateFormat=P","Fill=—","Direction=H","UseDPDF=Y")</f>
        <v>-6704.77</v>
      </c>
      <c r="T32" s="12" cm="1">
        <f t="array" ref="T32">_xll.BDH("PH US Equity","CF_NT_CSH_RCVD_PD_FOR_ACQUIS_DIV","FQ2 2023","FQ2 2023","Currency=USD","Period=FQ","BEST_FPERIOD_OVERRIDE=FQ","FILING_STATUS=MR","SCALING_FORMAT=MLN","Sort=A","Dates=H","DateFormat=P","Fill=—","Direction=H","UseDPDF=Y")</f>
        <v>5.96</v>
      </c>
      <c r="U32" s="12" cm="1">
        <f t="array" ref="U32">_xll.BDH("PH US Equity","CF_NT_CSH_RCVD_PD_FOR_ACQUIS_DIV","FQ3 2023","FQ3 2023","Currency=USD","Period=FQ","BEST_FPERIOD_OVERRIDE=FQ","FILING_STATUS=MR","SCALING_FORMAT=MLN","Sort=A","Dates=H","DateFormat=P","Fill=—","Direction=H","UseDPDF=Y")</f>
        <v>24.42</v>
      </c>
      <c r="V32" s="12" cm="1">
        <f t="array" ref="V32">_xll.BDH("PH US Equity","CF_NT_CSH_RCVD_PD_FOR_ACQUIS_DIV","FQ4 2023","FQ4 2023","Currency=USD","Period=FQ","BEST_FPERIOD_OVERRIDE=FQ","FILING_STATUS=MR","SCALING_FORMAT=MLN","Sort=A","Dates=H","DateFormat=P","Fill=—","Direction=H","UseDPDF=Y")</f>
        <v>1.4870000000000001</v>
      </c>
      <c r="W32" s="12" cm="1">
        <f t="array" ref="W32">_xll.BDH("PH US Equity","CF_NT_CSH_RCVD_PD_FOR_ACQUIS_DIV","FQ1 2024","FQ1 2024","Currency=USD","Period=FQ","BEST_FPERIOD_OVERRIDE=FQ","FILING_STATUS=MR","SCALING_FORMAT=MLN","Sort=A","Dates=H","DateFormat=P","Fill=—","Direction=H","UseDPDF=Y")</f>
        <v>36.691000000000003</v>
      </c>
      <c r="X32" s="12" cm="1">
        <f t="array" ref="X32">_xll.BDH("PH US Equity","CF_NT_CSH_RCVD_PD_FOR_ACQUIS_DIV","FQ2 2024","FQ2 2024","Currency=USD","Period=FQ","BEST_FPERIOD_OVERRIDE=FQ","FILING_STATUS=MR","SCALING_FORMAT=MLN","Sort=A","Dates=H","DateFormat=P","Fill=—","Direction=H","UseDPDF=Y")</f>
        <v>37.904000000000003</v>
      </c>
      <c r="Y32" s="12" cm="1">
        <f t="array" ref="Y32">_xll.BDH("PH US Equity","CF_NT_CSH_RCVD_PD_FOR_ACQUIS_DIV","FQ3 2024","FQ3 2024","Currency=USD","Period=FQ","BEST_FPERIOD_OVERRIDE=FQ","FILING_STATUS=MR","SCALING_FORMAT=MLN","Sort=A","Dates=H","DateFormat=P","Fill=—","Direction=H","UseDPDF=Y")</f>
        <v>0.96599999999999997</v>
      </c>
      <c r="Z32" s="12" cm="1">
        <f t="array" ref="Z32">_xll.BDH("PH US Equity","CF_NT_CSH_RCVD_PD_FOR_ACQUIS_DIV","FQ4 2024","FQ4 2024","Currency=USD","Period=FQ","BEST_FPERIOD_OVERRIDE=FQ","FILING_STATUS=MR","SCALING_FORMAT=MLN","Sort=A","Dates=H","DateFormat=P","Fill=—","Direction=H","UseDPDF=Y")</f>
        <v>2.105</v>
      </c>
      <c r="AA32" s="12" cm="1">
        <f t="array" ref="AA32">_xll.BDH("PH US Equity","CF_NT_CSH_RCVD_PD_FOR_ACQUIS_DIV","FQ1 2025","FQ1 2025","Currency=USD","Period=FQ","BEST_FPERIOD_OVERRIDE=FQ","FILING_STATUS=MR","SCALING_FORMAT=MLN","Sort=A","Dates=H","DateFormat=P","Fill=—","Direction=H","UseDPDF=Y")</f>
        <v>0.88400000000000001</v>
      </c>
      <c r="AB32" s="12" cm="1">
        <f t="array" ref="AB32">_xll.BDH("PH US Equity","CF_NT_CSH_RCVD_PD_FOR_ACQUIS_DIV","FQ2 2025","FQ2 2025","Currency=USD","Period=FQ","BEST_FPERIOD_OVERRIDE=FQ","FILING_STATUS=MR","SCALING_FORMAT=MLN","Sort=A","Dates=H","DateFormat=P","Fill=—","Direction=H","UseDPDF=Y")</f>
        <v>621.298</v>
      </c>
      <c r="AC32" s="12" cm="1">
        <f t="array" ref="AC32">_xll.BDH("PH US Equity","CF_NT_CSH_RCVD_PD_FOR_ACQUIS_DIV","FQ3 2025","FQ3 2025","Currency=USD","Period=FQ","BEST_FPERIOD_OVERRIDE=FQ","FILING_STATUS=MR","SCALING_FORMAT=MLN","Sort=A","Dates=H","DateFormat=P","Fill=—","Direction=H","UseDPDF=Y")</f>
        <v>0.51500000000000001</v>
      </c>
      <c r="AD32" s="12" cm="1">
        <f t="array" ref="AD32">_xll.BDH("PH US Equity","CF_NT_CSH_RCVD_PD_FOR_ACQUIS_DIV","FQ4 2025","FQ4 2025","Currency=USD","Period=FQ","BEST_FPERIOD_OVERRIDE=FQ","FILING_STATUS=MR","SCALING_FORMAT=MLN","Sort=A","Dates=H","DateFormat=P","Fill=—","Direction=H","UseDPDF=Y")</f>
        <v>0.30299999999999999</v>
      </c>
      <c r="AE32" s="12" cm="1">
        <f t="array" ref="AE32">_xll.BDH("PH US Equity","CF_NT_CSH_RCVD_PD_FOR_ACQUIS_DIV","FQ1 2026","FQ1 2026","Currency=USD","Period=FQ","BEST_FPERIOD_OVERRIDE=FQ","FILING_STATUS=MR","SCALING_FORMAT=MLN","Sort=A","Dates=H","DateFormat=P","Fill=—","Direction=H","UseDPDF=Y")</f>
        <v>-1013</v>
      </c>
      <c r="AF32" s="12" cm="1">
        <f t="array" ref="AF32">_xll.BDH("PH US Equity","CF_NT_CSH_RCVD_PD_FOR_ACQUIS_DIV","FQ2 2026","FQ2 2026","Currency=USD","Period=FQ","BEST_FPERIOD_OVERRIDE=FQ","FILING_STATUS=MR","SCALING_FORMAT=MLN","Sort=A","Dates=H","DateFormat=P","Fill=—","Direction=H","UseDPDF=Y")</f>
        <v>1</v>
      </c>
    </row>
    <row r="33" spans="1:32" x14ac:dyDescent="0.25">
      <c r="A33" s="10" t="s">
        <v>114</v>
      </c>
      <c r="B33" s="10" t="s">
        <v>115</v>
      </c>
      <c r="C33" s="12" cm="1">
        <f t="array" ref="C33">_xll.BDH("PH US Equity","CF_CASH_FOR_DIVESTITURES","FQ1 2019","FQ1 2019","Currency=USD","Period=FQ","BEST_FPERIOD_OVERRIDE=FQ","FILING_STATUS=MR","SCALING_FORMAT=MLN","Sort=A","Dates=H","DateFormat=P","Fill=—","Direction=H","UseDPDF=Y")</f>
        <v>4.5149999999999997</v>
      </c>
      <c r="D33" s="12" cm="1">
        <f t="array" ref="D33">_xll.BDH("PH US Equity","CF_CASH_FOR_DIVESTITURES","FQ2 2019","FQ2 2019","Currency=USD","Period=FQ","BEST_FPERIOD_OVERRIDE=FQ","FILING_STATUS=MR","SCALING_FORMAT=MLN","Sort=A","Dates=H","DateFormat=P","Fill=—","Direction=H","UseDPDF=Y")</f>
        <v>15.025</v>
      </c>
      <c r="E33" s="12" cm="1">
        <f t="array" ref="E33">_xll.BDH("PH US Equity","CF_CASH_FOR_DIVESTITURES","FQ3 2019","FQ3 2019","Currency=USD","Period=FQ","BEST_FPERIOD_OVERRIDE=FQ","FILING_STATUS=MR","SCALING_FORMAT=MLN","Sort=A","Dates=H","DateFormat=P","Fill=—","Direction=H","UseDPDF=Y")</f>
        <v>0</v>
      </c>
      <c r="F33" s="12" cm="1">
        <f t="array" ref="F33">_xll.BDH("PH US Equity","CF_CASH_FOR_DIVESTITURES","FQ4 2019","FQ4 2019","Currency=USD","Period=FQ","BEST_FPERIOD_OVERRIDE=FQ","FILING_STATUS=MR","SCALING_FORMAT=MLN","Sort=A","Dates=H","DateFormat=P","Fill=—","Direction=H","UseDPDF=Y")</f>
        <v>0.13800000000000001</v>
      </c>
      <c r="G33" s="12" cm="1">
        <f t="array" ref="G33">_xll.BDH("PH US Equity","CF_CASH_FOR_DIVESTITURES","FQ1 2020","FQ1 2020","Currency=USD","Period=FQ","BEST_FPERIOD_OVERRIDE=FQ","FILING_STATUS=MR","SCALING_FORMAT=MLN","Sort=A","Dates=H","DateFormat=P","Fill=—","Direction=H","UseDPDF=Y")</f>
        <v>0</v>
      </c>
      <c r="H33" s="12" cm="1">
        <f t="array" ref="H33">_xll.BDH("PH US Equity","CF_CASH_FOR_DIVESTITURES","FQ2 2020","FQ2 2020","Currency=USD","Period=FQ","BEST_FPERIOD_OVERRIDE=FQ","FILING_STATUS=MR","SCALING_FORMAT=MLN","Sort=A","Dates=H","DateFormat=P","Fill=—","Direction=H","UseDPDF=Y")</f>
        <v>0</v>
      </c>
      <c r="I33" s="12" cm="1">
        <f t="array" ref="I33">_xll.BDH("PH US Equity","CF_CASH_FOR_DIVESTITURES","FQ3 2020","FQ3 2020","Currency=USD","Period=FQ","BEST_FPERIOD_OVERRIDE=FQ","FILING_STATUS=MR","SCALING_FORMAT=MLN","Sort=A","Dates=H","DateFormat=P","Fill=—","Direction=H","UseDPDF=Y")</f>
        <v>0</v>
      </c>
      <c r="J33" s="12" cm="1">
        <f t="array" ref="J33">_xll.BDH("PH US Equity","CF_CASH_FOR_DIVESTITURES","FQ4 2020","FQ4 2020","Currency=USD","Period=FQ","BEST_FPERIOD_OVERRIDE=FQ","FILING_STATUS=MR","SCALING_FORMAT=MLN","Sort=A","Dates=H","DateFormat=P","Fill=—","Direction=H","UseDPDF=Y")</f>
        <v>0</v>
      </c>
      <c r="K33" s="12" cm="1">
        <f t="array" ref="K33">_xll.BDH("PH US Equity","CF_CASH_FOR_DIVESTITURES","FQ1 2021","FQ1 2021","Currency=USD","Period=FQ","BEST_FPERIOD_OVERRIDE=FQ","FILING_STATUS=MR","SCALING_FORMAT=MLN","Sort=A","Dates=H","DateFormat=P","Fill=—","Direction=H","UseDPDF=Y")</f>
        <v>0</v>
      </c>
      <c r="L33" s="12" cm="1">
        <f t="array" ref="L33">_xll.BDH("PH US Equity","CF_CASH_FOR_DIVESTITURES","FQ2 2021","FQ2 2021","Currency=USD","Period=FQ","BEST_FPERIOD_OVERRIDE=FQ","FILING_STATUS=MR","SCALING_FORMAT=MLN","Sort=A","Dates=H","DateFormat=P","Fill=—","Direction=H","UseDPDF=Y")</f>
        <v>0</v>
      </c>
      <c r="M33" s="12" cm="1">
        <f t="array" ref="M33">_xll.BDH("PH US Equity","CF_CASH_FOR_DIVESTITURES","FQ3 2021","FQ3 2021","Currency=USD","Period=FQ","BEST_FPERIOD_OVERRIDE=FQ","FILING_STATUS=MR","SCALING_FORMAT=MLN","Sort=A","Dates=H","DateFormat=P","Fill=—","Direction=H","UseDPDF=Y")</f>
        <v>0</v>
      </c>
      <c r="N33" s="12" cm="1">
        <f t="array" ref="N33">_xll.BDH("PH US Equity","CF_CASH_FOR_DIVESTITURES","FQ4 2021","FQ4 2021","Currency=USD","Period=FQ","BEST_FPERIOD_OVERRIDE=FQ","FILING_STATUS=MR","SCALING_FORMAT=MLN","Sort=A","Dates=H","DateFormat=P","Fill=—","Direction=H","UseDPDF=Y")</f>
        <v>0</v>
      </c>
      <c r="O33" s="12" cm="1">
        <f t="array" ref="O33">_xll.BDH("PH US Equity","CF_CASH_FOR_DIVESTITURES","FQ1 2022","FQ1 2022","Currency=USD","Period=FQ","BEST_FPERIOD_OVERRIDE=FQ","FILING_STATUS=MR","SCALING_FORMAT=MLN","Sort=A","Dates=H","DateFormat=P","Fill=—","Direction=H","UseDPDF=Y")</f>
        <v>0</v>
      </c>
      <c r="P33" s="12" cm="1">
        <f t="array" ref="P33">_xll.BDH("PH US Equity","CF_CASH_FOR_DIVESTITURES","FQ2 2022","FQ2 2022","Currency=USD","Period=FQ","BEST_FPERIOD_OVERRIDE=FQ","FILING_STATUS=MR","SCALING_FORMAT=MLN","Sort=A","Dates=H","DateFormat=P","Fill=—","Direction=H","UseDPDF=Y")</f>
        <v>2.4660000000000002</v>
      </c>
      <c r="Q33" s="12" cm="1">
        <f t="array" ref="Q33">_xll.BDH("PH US Equity","CF_CASH_FOR_DIVESTITURES","FQ3 2022","FQ3 2022","Currency=USD","Period=FQ","BEST_FPERIOD_OVERRIDE=FQ","FILING_STATUS=MR","SCALING_FORMAT=MLN","Sort=A","Dates=H","DateFormat=P","Fill=—","Direction=H","UseDPDF=Y")</f>
        <v>0.9</v>
      </c>
      <c r="R33" s="12" cm="1">
        <f t="array" ref="R33">_xll.BDH("PH US Equity","CF_CASH_FOR_DIVESTITURES","FQ4 2022","FQ4 2022","Currency=USD","Period=FQ","BEST_FPERIOD_OVERRIDE=FQ","FILING_STATUS=MR","SCALING_FORMAT=MLN","Sort=A","Dates=H","DateFormat=P","Fill=—","Direction=H","UseDPDF=Y")</f>
        <v>0</v>
      </c>
      <c r="S33" s="12" cm="1">
        <f t="array" ref="S33">_xll.BDH("PH US Equity","CF_CASH_FOR_DIVESTITURES","FQ1 2023","FQ1 2023","Currency=USD","Period=FQ","BEST_FPERIOD_OVERRIDE=FQ","FILING_STATUS=MR","SCALING_FORMAT=MLN","Sort=A","Dates=H","DateFormat=P","Fill=—","Direction=H","UseDPDF=Y")</f>
        <v>441.34</v>
      </c>
      <c r="T33" s="12" cm="1">
        <f t="array" ref="T33">_xll.BDH("PH US Equity","CF_CASH_FOR_DIVESTITURES","FQ2 2023","FQ2 2023","Currency=USD","Period=FQ","BEST_FPERIOD_OVERRIDE=FQ","FILING_STATUS=MR","SCALING_FORMAT=MLN","Sort=A","Dates=H","DateFormat=P","Fill=—","Direction=H","UseDPDF=Y")</f>
        <v>5.96</v>
      </c>
      <c r="U33" s="12" cm="1">
        <f t="array" ref="U33">_xll.BDH("PH US Equity","CF_CASH_FOR_DIVESTITURES","FQ3 2023","FQ3 2023","Currency=USD","Period=FQ","BEST_FPERIOD_OVERRIDE=FQ","FILING_STATUS=MR","SCALING_FORMAT=MLN","Sort=A","Dates=H","DateFormat=P","Fill=—","Direction=H","UseDPDF=Y")</f>
        <v>24.42</v>
      </c>
      <c r="V33" s="12" cm="1">
        <f t="array" ref="V33">_xll.BDH("PH US Equity","CF_CASH_FOR_DIVESTITURES","FQ4 2023","FQ4 2023","Currency=USD","Period=FQ","BEST_FPERIOD_OVERRIDE=FQ","FILING_STATUS=MR","SCALING_FORMAT=MLN","Sort=A","Dates=H","DateFormat=P","Fill=—","Direction=H","UseDPDF=Y")</f>
        <v>1.4870000000000001</v>
      </c>
      <c r="W33" s="12" cm="1">
        <f t="array" ref="W33">_xll.BDH("PH US Equity","CF_CASH_FOR_DIVESTITURES","FQ1 2024","FQ1 2024","Currency=USD","Period=FQ","BEST_FPERIOD_OVERRIDE=FQ","FILING_STATUS=MR","SCALING_FORMAT=MLN","Sort=A","Dates=H","DateFormat=P","Fill=—","Direction=H","UseDPDF=Y")</f>
        <v>36.691000000000003</v>
      </c>
      <c r="X33" s="12" cm="1">
        <f t="array" ref="X33">_xll.BDH("PH US Equity","CF_CASH_FOR_DIVESTITURES","FQ2 2024","FQ2 2024","Currency=USD","Period=FQ","BEST_FPERIOD_OVERRIDE=FQ","FILING_STATUS=MR","SCALING_FORMAT=MLN","Sort=A","Dates=H","DateFormat=P","Fill=—","Direction=H","UseDPDF=Y")</f>
        <v>37.904000000000003</v>
      </c>
      <c r="Y33" s="12" cm="1">
        <f t="array" ref="Y33">_xll.BDH("PH US Equity","CF_CASH_FOR_DIVESTITURES","FQ3 2024","FQ3 2024","Currency=USD","Period=FQ","BEST_FPERIOD_OVERRIDE=FQ","FILING_STATUS=MR","SCALING_FORMAT=MLN","Sort=A","Dates=H","DateFormat=P","Fill=—","Direction=H","UseDPDF=Y")</f>
        <v>0.96599999999999997</v>
      </c>
      <c r="Z33" s="12" cm="1">
        <f t="array" ref="Z33">_xll.BDH("PH US Equity","CF_CASH_FOR_DIVESTITURES","FQ4 2024","FQ4 2024","Currency=USD","Period=FQ","BEST_FPERIOD_OVERRIDE=FQ","FILING_STATUS=MR","SCALING_FORMAT=MLN","Sort=A","Dates=H","DateFormat=P","Fill=—","Direction=H","UseDPDF=Y")</f>
        <v>2.105</v>
      </c>
      <c r="AA33" s="12" cm="1">
        <f t="array" ref="AA33">_xll.BDH("PH US Equity","CF_CASH_FOR_DIVESTITURES","FQ1 2025","FQ1 2025","Currency=USD","Period=FQ","BEST_FPERIOD_OVERRIDE=FQ","FILING_STATUS=MR","SCALING_FORMAT=MLN","Sort=A","Dates=H","DateFormat=P","Fill=—","Direction=H","UseDPDF=Y")</f>
        <v>0.88400000000000001</v>
      </c>
      <c r="AB33" s="12" cm="1">
        <f t="array" ref="AB33">_xll.BDH("PH US Equity","CF_CASH_FOR_DIVESTITURES","FQ2 2025","FQ2 2025","Currency=USD","Period=FQ","BEST_FPERIOD_OVERRIDE=FQ","FILING_STATUS=MR","SCALING_FORMAT=MLN","Sort=A","Dates=H","DateFormat=P","Fill=—","Direction=H","UseDPDF=Y")</f>
        <v>621.298</v>
      </c>
      <c r="AC33" s="12" cm="1">
        <f t="array" ref="AC33">_xll.BDH("PH US Equity","CF_CASH_FOR_DIVESTITURES","FQ3 2025","FQ3 2025","Currency=USD","Period=FQ","BEST_FPERIOD_OVERRIDE=FQ","FILING_STATUS=MR","SCALING_FORMAT=MLN","Sort=A","Dates=H","DateFormat=P","Fill=—","Direction=H","UseDPDF=Y")</f>
        <v>0.51500000000000001</v>
      </c>
      <c r="AD33" s="12" cm="1">
        <f t="array" ref="AD33">_xll.BDH("PH US Equity","CF_CASH_FOR_DIVESTITURES","FQ4 2025","FQ4 2025","Currency=USD","Period=FQ","BEST_FPERIOD_OVERRIDE=FQ","FILING_STATUS=MR","SCALING_FORMAT=MLN","Sort=A","Dates=H","DateFormat=P","Fill=—","Direction=H","UseDPDF=Y")</f>
        <v>0.30299999999999999</v>
      </c>
      <c r="AE33" s="12" cm="1">
        <f t="array" ref="AE33">_xll.BDH("PH US Equity","CF_CASH_FOR_DIVESTITURES","FQ1 2026","FQ1 2026","Currency=USD","Period=FQ","BEST_FPERIOD_OVERRIDE=FQ","FILING_STATUS=MR","SCALING_FORMAT=MLN","Sort=A","Dates=H","DateFormat=P","Fill=—","Direction=H","UseDPDF=Y")</f>
        <v>0</v>
      </c>
      <c r="AF33" s="12" cm="1">
        <f t="array" ref="AF33">_xll.BDH("PH US Equity","CF_CASH_FOR_DIVESTITURES","FQ2 2026","FQ2 2026","Currency=USD","Period=FQ","BEST_FPERIOD_OVERRIDE=FQ","FILING_STATUS=MR","SCALING_FORMAT=MLN","Sort=A","Dates=H","DateFormat=P","Fill=—","Direction=H","UseDPDF=Y")</f>
        <v>1</v>
      </c>
    </row>
    <row r="34" spans="1:32" x14ac:dyDescent="0.25">
      <c r="A34" s="10" t="s">
        <v>116</v>
      </c>
      <c r="B34" s="10" t="s">
        <v>117</v>
      </c>
      <c r="C34" s="12" cm="1">
        <f t="array" ref="C34">_xll.BDH("PH US Equity","CF_CASH_FOR_ACQUIS_SUBSIDIARIES","FQ1 2019","FQ1 2019","Currency=USD","Period=FQ","BEST_FPERIOD_OVERRIDE=FQ","FILING_STATUS=MR","SCALING_FORMAT=MLN","Sort=A","Dates=H","DateFormat=P","Fill=—","Direction=H","UseDPDF=Y")</f>
        <v>-2.0419999999999998</v>
      </c>
      <c r="D34" s="12" cm="1">
        <f t="array" ref="D34">_xll.BDH("PH US Equity","CF_CASH_FOR_ACQUIS_SUBSIDIARIES","FQ2 2019","FQ2 2019","Currency=USD","Period=FQ","BEST_FPERIOD_OVERRIDE=FQ","FILING_STATUS=MR","SCALING_FORMAT=MLN","Sort=A","Dates=H","DateFormat=P","Fill=—","Direction=H","UseDPDF=Y")</f>
        <v>0</v>
      </c>
      <c r="E34" s="12" cm="1">
        <f t="array" ref="E34">_xll.BDH("PH US Equity","CF_CASH_FOR_ACQUIS_SUBSIDIARIES","FQ3 2019","FQ3 2019","Currency=USD","Period=FQ","BEST_FPERIOD_OVERRIDE=FQ","FILING_STATUS=MR","SCALING_FORMAT=MLN","Sort=A","Dates=H","DateFormat=P","Fill=—","Direction=H","UseDPDF=Y")</f>
        <v>0</v>
      </c>
      <c r="F34" s="12" cm="1">
        <f t="array" ref="F34">_xll.BDH("PH US Equity","CF_CASH_FOR_ACQUIS_SUBSIDIARIES","FQ4 2019","FQ4 2019","Currency=USD","Period=FQ","BEST_FPERIOD_OVERRIDE=FQ","FILING_STATUS=MR","SCALING_FORMAT=MLN","Sort=A","Dates=H","DateFormat=P","Fill=—","Direction=H","UseDPDF=Y")</f>
        <v>0</v>
      </c>
      <c r="G34" s="12" cm="1">
        <f t="array" ref="G34">_xll.BDH("PH US Equity","CF_CASH_FOR_ACQUIS_SUBSIDIARIES","FQ1 2020","FQ1 2020","Currency=USD","Period=FQ","BEST_FPERIOD_OVERRIDE=FQ","FILING_STATUS=MR","SCALING_FORMAT=MLN","Sort=A","Dates=H","DateFormat=P","Fill=—","Direction=H","UseDPDF=Y")</f>
        <v>-1696.4559999999999</v>
      </c>
      <c r="H34" s="12" cm="1">
        <f t="array" ref="H34">_xll.BDH("PH US Equity","CF_CASH_FOR_ACQUIS_SUBSIDIARIES","FQ2 2020","FQ2 2020","Currency=USD","Period=FQ","BEST_FPERIOD_OVERRIDE=FQ","FILING_STATUS=MR","SCALING_FORMAT=MLN","Sort=A","Dates=H","DateFormat=P","Fill=—","Direction=H","UseDPDF=Y")</f>
        <v>-3379.1489999999999</v>
      </c>
      <c r="I34" s="12" cm="1">
        <f t="array" ref="I34">_xll.BDH("PH US Equity","CF_CASH_FOR_ACQUIS_SUBSIDIARIES","FQ3 2020","FQ3 2020","Currency=USD","Period=FQ","BEST_FPERIOD_OVERRIDE=FQ","FILING_STATUS=MR","SCALING_FORMAT=MLN","Sort=A","Dates=H","DateFormat=P","Fill=—","Direction=H","UseDPDF=Y")</f>
        <v>-0.45900000000000002</v>
      </c>
      <c r="J34" s="12" cm="1">
        <f t="array" ref="J34">_xll.BDH("PH US Equity","CF_CASH_FOR_ACQUIS_SUBSIDIARIES","FQ4 2020","FQ4 2020","Currency=USD","Period=FQ","BEST_FPERIOD_OVERRIDE=FQ","FILING_STATUS=MR","SCALING_FORMAT=MLN","Sort=A","Dates=H","DateFormat=P","Fill=—","Direction=H","UseDPDF=Y")</f>
        <v>0</v>
      </c>
      <c r="K34" s="12" cm="1">
        <f t="array" ref="K34">_xll.BDH("PH US Equity","CF_CASH_FOR_ACQUIS_SUBSIDIARIES","FQ1 2021","FQ1 2021","Currency=USD","Period=FQ","BEST_FPERIOD_OVERRIDE=FQ","FILING_STATUS=MR","SCALING_FORMAT=MLN","Sort=A","Dates=H","DateFormat=P","Fill=—","Direction=H","UseDPDF=Y")</f>
        <v>0</v>
      </c>
      <c r="L34" s="12" cm="1">
        <f t="array" ref="L34">_xll.BDH("PH US Equity","CF_CASH_FOR_ACQUIS_SUBSIDIARIES","FQ2 2021","FQ2 2021","Currency=USD","Period=FQ","BEST_FPERIOD_OVERRIDE=FQ","FILING_STATUS=MR","SCALING_FORMAT=MLN","Sort=A","Dates=H","DateFormat=P","Fill=—","Direction=H","UseDPDF=Y")</f>
        <v>0</v>
      </c>
      <c r="M34" s="12" cm="1">
        <f t="array" ref="M34">_xll.BDH("PH US Equity","CF_CASH_FOR_ACQUIS_SUBSIDIARIES","FQ3 2021","FQ3 2021","Currency=USD","Period=FQ","BEST_FPERIOD_OVERRIDE=FQ","FILING_STATUS=MR","SCALING_FORMAT=MLN","Sort=A","Dates=H","DateFormat=P","Fill=—","Direction=H","UseDPDF=Y")</f>
        <v>0</v>
      </c>
      <c r="N34" s="12" cm="1">
        <f t="array" ref="N34">_xll.BDH("PH US Equity","CF_CASH_FOR_ACQUIS_SUBSIDIARIES","FQ4 2021","FQ4 2021","Currency=USD","Period=FQ","BEST_FPERIOD_OVERRIDE=FQ","FILING_STATUS=MR","SCALING_FORMAT=MLN","Sort=A","Dates=H","DateFormat=P","Fill=—","Direction=H","UseDPDF=Y")</f>
        <v>0</v>
      </c>
      <c r="O34" s="12" cm="1">
        <f t="array" ref="O34">_xll.BDH("PH US Equity","CF_CASH_FOR_ACQUIS_SUBSIDIARIES","FQ1 2022","FQ1 2022","Currency=USD","Period=FQ","BEST_FPERIOD_OVERRIDE=FQ","FILING_STATUS=MR","SCALING_FORMAT=MLN","Sort=A","Dates=H","DateFormat=P","Fill=—","Direction=H","UseDPDF=Y")</f>
        <v>0</v>
      </c>
      <c r="P34" s="12" cm="1">
        <f t="array" ref="P34">_xll.BDH("PH US Equity","CF_CASH_FOR_ACQUIS_SUBSIDIARIES","FQ2 2022","FQ2 2022","Currency=USD","Period=FQ","BEST_FPERIOD_OVERRIDE=FQ","FILING_STATUS=MR","SCALING_FORMAT=MLN","Sort=A","Dates=H","DateFormat=P","Fill=—","Direction=H","UseDPDF=Y")</f>
        <v>0</v>
      </c>
      <c r="Q34" s="12" cm="1">
        <f t="array" ref="Q34">_xll.BDH("PH US Equity","CF_CASH_FOR_ACQUIS_SUBSIDIARIES","FQ3 2022","FQ3 2022","Currency=USD","Period=FQ","BEST_FPERIOD_OVERRIDE=FQ","FILING_STATUS=MR","SCALING_FORMAT=MLN","Sort=A","Dates=H","DateFormat=P","Fill=—","Direction=H","UseDPDF=Y")</f>
        <v>0</v>
      </c>
      <c r="R34" s="12" cm="1">
        <f t="array" ref="R34">_xll.BDH("PH US Equity","CF_CASH_FOR_ACQUIS_SUBSIDIARIES","FQ4 2022","FQ4 2022","Currency=USD","Period=FQ","BEST_FPERIOD_OVERRIDE=FQ","FILING_STATUS=MR","SCALING_FORMAT=MLN","Sort=A","Dates=H","DateFormat=P","Fill=—","Direction=H","UseDPDF=Y")</f>
        <v>0</v>
      </c>
      <c r="S34" s="12" cm="1">
        <f t="array" ref="S34">_xll.BDH("PH US Equity","CF_CASH_FOR_ACQUIS_SUBSIDIARIES","FQ1 2023","FQ1 2023","Currency=USD","Period=FQ","BEST_FPERIOD_OVERRIDE=FQ","FILING_STATUS=MR","SCALING_FORMAT=MLN","Sort=A","Dates=H","DateFormat=P","Fill=—","Direction=H","UseDPDF=Y")</f>
        <v>-7146.11</v>
      </c>
      <c r="T34" s="12" cm="1">
        <f t="array" ref="T34">_xll.BDH("PH US Equity","CF_CASH_FOR_ACQUIS_SUBSIDIARIES","FQ2 2023","FQ2 2023","Currency=USD","Period=FQ","BEST_FPERIOD_OVERRIDE=FQ","FILING_STATUS=MR","SCALING_FORMAT=MLN","Sort=A","Dates=H","DateFormat=P","Fill=—","Direction=H","UseDPDF=Y")</f>
        <v>0</v>
      </c>
      <c r="U34" s="12" cm="1">
        <f t="array" ref="U34">_xll.BDH("PH US Equity","CF_CASH_FOR_ACQUIS_SUBSIDIARIES","FQ3 2023","FQ3 2023","Currency=USD","Period=FQ","BEST_FPERIOD_OVERRIDE=FQ","FILING_STATUS=MR","SCALING_FORMAT=MLN","Sort=A","Dates=H","DateFormat=P","Fill=—","Direction=H","UseDPDF=Y")</f>
        <v>0</v>
      </c>
      <c r="V34" s="12" cm="1">
        <f t="array" ref="V34">_xll.BDH("PH US Equity","CF_CASH_FOR_ACQUIS_SUBSIDIARIES","FQ4 2023","FQ4 2023","Currency=USD","Period=FQ","BEST_FPERIOD_OVERRIDE=FQ","FILING_STATUS=MR","SCALING_FORMAT=MLN","Sort=A","Dates=H","DateFormat=P","Fill=—","Direction=H","UseDPDF=Y")</f>
        <v>0</v>
      </c>
      <c r="W34" s="12" cm="1">
        <f t="array" ref="W34">_xll.BDH("PH US Equity","CF_CASH_FOR_ACQUIS_SUBSIDIARIES","FQ1 2024","FQ1 2024","Currency=USD","Period=FQ","BEST_FPERIOD_OVERRIDE=FQ","FILING_STATUS=MR","SCALING_FORMAT=MLN","Sort=A","Dates=H","DateFormat=P","Fill=—","Direction=H","UseDPDF=Y")</f>
        <v>0</v>
      </c>
      <c r="X34" s="12" cm="1">
        <f t="array" ref="X34">_xll.BDH("PH US Equity","CF_CASH_FOR_ACQUIS_SUBSIDIARIES","FQ2 2024","FQ2 2024","Currency=USD","Period=FQ","BEST_FPERIOD_OVERRIDE=FQ","FILING_STATUS=MR","SCALING_FORMAT=MLN","Sort=A","Dates=H","DateFormat=P","Fill=—","Direction=H","UseDPDF=Y")</f>
        <v>0</v>
      </c>
      <c r="Y34" s="12" cm="1">
        <f t="array" ref="Y34">_xll.BDH("PH US Equity","CF_CASH_FOR_ACQUIS_SUBSIDIARIES","FQ3 2024","FQ3 2024","Currency=USD","Period=FQ","BEST_FPERIOD_OVERRIDE=FQ","FILING_STATUS=MR","SCALING_FORMAT=MLN","Sort=A","Dates=H","DateFormat=P","Fill=—","Direction=H","UseDPDF=Y")</f>
        <v>0</v>
      </c>
      <c r="Z34" s="12" cm="1">
        <f t="array" ref="Z34">_xll.BDH("PH US Equity","CF_CASH_FOR_ACQUIS_SUBSIDIARIES","FQ4 2024","FQ4 2024","Currency=USD","Period=FQ","BEST_FPERIOD_OVERRIDE=FQ","FILING_STATUS=MR","SCALING_FORMAT=MLN","Sort=A","Dates=H","DateFormat=P","Fill=—","Direction=H","UseDPDF=Y")</f>
        <v>0</v>
      </c>
      <c r="AA34" s="12" cm="1">
        <f t="array" ref="AA34">_xll.BDH("PH US Equity","CF_CASH_FOR_ACQUIS_SUBSIDIARIES","FQ1 2025","FQ1 2025","Currency=USD","Period=FQ","BEST_FPERIOD_OVERRIDE=FQ","FILING_STATUS=MR","SCALING_FORMAT=MLN","Sort=A","Dates=H","DateFormat=P","Fill=—","Direction=H","UseDPDF=Y")</f>
        <v>0</v>
      </c>
      <c r="AB34" s="12" cm="1">
        <f t="array" ref="AB34">_xll.BDH("PH US Equity","CF_CASH_FOR_ACQUIS_SUBSIDIARIES","FQ2 2025","FQ2 2025","Currency=USD","Period=FQ","BEST_FPERIOD_OVERRIDE=FQ","FILING_STATUS=MR","SCALING_FORMAT=MLN","Sort=A","Dates=H","DateFormat=P","Fill=—","Direction=H","UseDPDF=Y")</f>
        <v>0</v>
      </c>
      <c r="AC34" s="12" cm="1">
        <f t="array" ref="AC34">_xll.BDH("PH US Equity","CF_CASH_FOR_ACQUIS_SUBSIDIARIES","FQ3 2025","FQ3 2025","Currency=USD","Period=FQ","BEST_FPERIOD_OVERRIDE=FQ","FILING_STATUS=MR","SCALING_FORMAT=MLN","Sort=A","Dates=H","DateFormat=P","Fill=—","Direction=H","UseDPDF=Y")</f>
        <v>0</v>
      </c>
      <c r="AD34" s="12" cm="1">
        <f t="array" ref="AD34">_xll.BDH("PH US Equity","CF_CASH_FOR_ACQUIS_SUBSIDIARIES","FQ4 2025","FQ4 2025","Currency=USD","Period=FQ","BEST_FPERIOD_OVERRIDE=FQ","FILING_STATUS=MR","SCALING_FORMAT=MLN","Sort=A","Dates=H","DateFormat=P","Fill=—","Direction=H","UseDPDF=Y")</f>
        <v>0</v>
      </c>
      <c r="AE34" s="12" cm="1">
        <f t="array" ref="AE34">_xll.BDH("PH US Equity","CF_CASH_FOR_ACQUIS_SUBSIDIARIES","FQ1 2026","FQ1 2026","Currency=USD","Period=FQ","BEST_FPERIOD_OVERRIDE=FQ","FILING_STATUS=MR","SCALING_FORMAT=MLN","Sort=A","Dates=H","DateFormat=P","Fill=—","Direction=H","UseDPDF=Y")</f>
        <v>-1013</v>
      </c>
      <c r="AF34" s="12" cm="1">
        <f t="array" ref="AF34">_xll.BDH("PH US Equity","CF_CASH_FOR_ACQUIS_SUBSIDIARIES","FQ2 2026","FQ2 2026","Currency=USD","Period=FQ","BEST_FPERIOD_OVERRIDE=FQ","FILING_STATUS=MR","SCALING_FORMAT=MLN","Sort=A","Dates=H","DateFormat=P","Fill=—","Direction=H","UseDPDF=Y")</f>
        <v>0</v>
      </c>
    </row>
    <row r="35" spans="1:32" x14ac:dyDescent="0.25">
      <c r="A35" s="10" t="s">
        <v>118</v>
      </c>
      <c r="B35" s="10" t="s">
        <v>119</v>
      </c>
      <c r="C35" s="12" cm="1">
        <f t="array" ref="C35">_xll.BDH("PH US Equity","CF_CASH_FOR_JOINT_VENTURES_ASSOC","FQ1 2019","FQ1 2019","Currency=USD","Period=FQ","BEST_FPERIOD_OVERRIDE=FQ","FILING_STATUS=MR","SCALING_FORMAT=MLN","Sort=A","Dates=H","DateFormat=P","Fill=—","Direction=H","UseDPDF=Y")</f>
        <v>0</v>
      </c>
      <c r="D35" s="12" cm="1">
        <f t="array" ref="D35">_xll.BDH("PH US Equity","CF_CASH_FOR_JOINT_VENTURES_ASSOC","FQ2 2019","FQ2 2019","Currency=USD","Period=FQ","BEST_FPERIOD_OVERRIDE=FQ","FILING_STATUS=MR","SCALING_FORMAT=MLN","Sort=A","Dates=H","DateFormat=P","Fill=—","Direction=H","UseDPDF=Y")</f>
        <v>0</v>
      </c>
      <c r="E35" s="12" cm="1">
        <f t="array" ref="E35">_xll.BDH("PH US Equity","CF_CASH_FOR_JOINT_VENTURES_ASSOC","FQ3 2019","FQ3 2019","Currency=USD","Period=FQ","BEST_FPERIOD_OVERRIDE=FQ","FILING_STATUS=MR","SCALING_FORMAT=MLN","Sort=A","Dates=H","DateFormat=P","Fill=—","Direction=H","UseDPDF=Y")</f>
        <v>0</v>
      </c>
      <c r="F35" s="12" cm="1">
        <f t="array" ref="F35">_xll.BDH("PH US Equity","CF_CASH_FOR_JOINT_VENTURES_ASSOC","FQ4 2019","FQ4 2019","Currency=USD","Period=FQ","BEST_FPERIOD_OVERRIDE=FQ","FILING_STATUS=MR","SCALING_FORMAT=MLN","Sort=A","Dates=H","DateFormat=P","Fill=—","Direction=H","UseDPDF=Y")</f>
        <v>0</v>
      </c>
      <c r="G35" s="12" cm="1">
        <f t="array" ref="G35">_xll.BDH("PH US Equity","CF_CASH_FOR_JOINT_VENTURES_ASSOC","FQ1 2020","FQ1 2020","Currency=USD","Period=FQ","BEST_FPERIOD_OVERRIDE=FQ","FILING_STATUS=MR","SCALING_FORMAT=MLN","Sort=A","Dates=H","DateFormat=P","Fill=—","Direction=H","UseDPDF=Y")</f>
        <v>0</v>
      </c>
      <c r="H35" s="12" cm="1">
        <f t="array" ref="H35">_xll.BDH("PH US Equity","CF_CASH_FOR_JOINT_VENTURES_ASSOC","FQ2 2020","FQ2 2020","Currency=USD","Period=FQ","BEST_FPERIOD_OVERRIDE=FQ","FILING_STATUS=MR","SCALING_FORMAT=MLN","Sort=A","Dates=H","DateFormat=P","Fill=—","Direction=H","UseDPDF=Y")</f>
        <v>0</v>
      </c>
      <c r="I35" s="12" cm="1">
        <f t="array" ref="I35">_xll.BDH("PH US Equity","CF_CASH_FOR_JOINT_VENTURES_ASSOC","FQ3 2020","FQ3 2020","Currency=USD","Period=FQ","BEST_FPERIOD_OVERRIDE=FQ","FILING_STATUS=MR","SCALING_FORMAT=MLN","Sort=A","Dates=H","DateFormat=P","Fill=—","Direction=H","UseDPDF=Y")</f>
        <v>0</v>
      </c>
      <c r="J35" s="12" cm="1">
        <f t="array" ref="J35">_xll.BDH("PH US Equity","CF_CASH_FOR_JOINT_VENTURES_ASSOC","FQ4 2020","FQ4 2020","Currency=USD","Period=FQ","BEST_FPERIOD_OVERRIDE=FQ","FILING_STATUS=MR","SCALING_FORMAT=MLN","Sort=A","Dates=H","DateFormat=P","Fill=—","Direction=H","UseDPDF=Y")</f>
        <v>0</v>
      </c>
      <c r="K35" s="12" cm="1">
        <f t="array" ref="K35">_xll.BDH("PH US Equity","CF_CASH_FOR_JOINT_VENTURES_ASSOC","FQ1 2021","FQ1 2021","Currency=USD","Period=FQ","BEST_FPERIOD_OVERRIDE=FQ","FILING_STATUS=MR","SCALING_FORMAT=MLN","Sort=A","Dates=H","DateFormat=P","Fill=—","Direction=H","UseDPDF=Y")</f>
        <v>0</v>
      </c>
      <c r="L35" s="12" cm="1">
        <f t="array" ref="L35">_xll.BDH("PH US Equity","CF_CASH_FOR_JOINT_VENTURES_ASSOC","FQ2 2021","FQ2 2021","Currency=USD","Period=FQ","BEST_FPERIOD_OVERRIDE=FQ","FILING_STATUS=MR","SCALING_FORMAT=MLN","Sort=A","Dates=H","DateFormat=P","Fill=—","Direction=H","UseDPDF=Y")</f>
        <v>0</v>
      </c>
      <c r="M35" s="12" cm="1">
        <f t="array" ref="M35">_xll.BDH("PH US Equity","CF_CASH_FOR_JOINT_VENTURES_ASSOC","FQ3 2021","FQ3 2021","Currency=USD","Period=FQ","BEST_FPERIOD_OVERRIDE=FQ","FILING_STATUS=MR","SCALING_FORMAT=MLN","Sort=A","Dates=H","DateFormat=P","Fill=—","Direction=H","UseDPDF=Y")</f>
        <v>0</v>
      </c>
      <c r="N35" s="12" cm="1">
        <f t="array" ref="N35">_xll.BDH("PH US Equity","CF_CASH_FOR_JOINT_VENTURES_ASSOC","FQ4 2021","FQ4 2021","Currency=USD","Period=FQ","BEST_FPERIOD_OVERRIDE=FQ","FILING_STATUS=MR","SCALING_FORMAT=MLN","Sort=A","Dates=H","DateFormat=P","Fill=—","Direction=H","UseDPDF=Y")</f>
        <v>0</v>
      </c>
      <c r="O35" s="12" cm="1">
        <f t="array" ref="O35">_xll.BDH("PH US Equity","CF_CASH_FOR_JOINT_VENTURES_ASSOC","FQ1 2022","FQ1 2022","Currency=USD","Period=FQ","BEST_FPERIOD_OVERRIDE=FQ","FILING_STATUS=MR","SCALING_FORMAT=MLN","Sort=A","Dates=H","DateFormat=P","Fill=—","Direction=H","UseDPDF=Y")</f>
        <v>0</v>
      </c>
      <c r="P35" s="12" cm="1">
        <f t="array" ref="P35">_xll.BDH("PH US Equity","CF_CASH_FOR_JOINT_VENTURES_ASSOC","FQ2 2022","FQ2 2022","Currency=USD","Period=FQ","BEST_FPERIOD_OVERRIDE=FQ","FILING_STATUS=MR","SCALING_FORMAT=MLN","Sort=A","Dates=H","DateFormat=P","Fill=—","Direction=H","UseDPDF=Y")</f>
        <v>0</v>
      </c>
      <c r="Q35" s="12" cm="1">
        <f t="array" ref="Q35">_xll.BDH("PH US Equity","CF_CASH_FOR_JOINT_VENTURES_ASSOC","FQ3 2022","FQ3 2022","Currency=USD","Period=FQ","BEST_FPERIOD_OVERRIDE=FQ","FILING_STATUS=MR","SCALING_FORMAT=MLN","Sort=A","Dates=H","DateFormat=P","Fill=—","Direction=H","UseDPDF=Y")</f>
        <v>0</v>
      </c>
      <c r="R35" s="12" cm="1">
        <f t="array" ref="R35">_xll.BDH("PH US Equity","CF_CASH_FOR_JOINT_VENTURES_ASSOC","FQ4 2022","FQ4 2022","Currency=USD","Period=FQ","BEST_FPERIOD_OVERRIDE=FQ","FILING_STATUS=MR","SCALING_FORMAT=MLN","Sort=A","Dates=H","DateFormat=P","Fill=—","Direction=H","UseDPDF=Y")</f>
        <v>0</v>
      </c>
      <c r="S35" s="12" cm="1">
        <f t="array" ref="S35">_xll.BDH("PH US Equity","CF_CASH_FOR_JOINT_VENTURES_ASSOC","FQ1 2023","FQ1 2023","Currency=USD","Period=FQ","BEST_FPERIOD_OVERRIDE=FQ","FILING_STATUS=MR","SCALING_FORMAT=MLN","Sort=A","Dates=H","DateFormat=P","Fill=—","Direction=H","UseDPDF=Y")</f>
        <v>0</v>
      </c>
      <c r="T35" s="12" cm="1">
        <f t="array" ref="T35">_xll.BDH("PH US Equity","CF_CASH_FOR_JOINT_VENTURES_ASSOC","FQ2 2023","FQ2 2023","Currency=USD","Period=FQ","BEST_FPERIOD_OVERRIDE=FQ","FILING_STATUS=MR","SCALING_FORMAT=MLN","Sort=A","Dates=H","DateFormat=P","Fill=—","Direction=H","UseDPDF=Y")</f>
        <v>0</v>
      </c>
      <c r="U35" s="12" cm="1">
        <f t="array" ref="U35">_xll.BDH("PH US Equity","CF_CASH_FOR_JOINT_VENTURES_ASSOC","FQ3 2023","FQ3 2023","Currency=USD","Period=FQ","BEST_FPERIOD_OVERRIDE=FQ","FILING_STATUS=MR","SCALING_FORMAT=MLN","Sort=A","Dates=H","DateFormat=P","Fill=—","Direction=H","UseDPDF=Y")</f>
        <v>0</v>
      </c>
      <c r="V35" s="12" cm="1">
        <f t="array" ref="V35">_xll.BDH("PH US Equity","CF_CASH_FOR_JOINT_VENTURES_ASSOC","FQ4 2023","FQ4 2023","Currency=USD","Period=FQ","BEST_FPERIOD_OVERRIDE=FQ","FILING_STATUS=MR","SCALING_FORMAT=MLN","Sort=A","Dates=H","DateFormat=P","Fill=—","Direction=H","UseDPDF=Y")</f>
        <v>0</v>
      </c>
      <c r="W35" s="12" cm="1">
        <f t="array" ref="W35">_xll.BDH("PH US Equity","CF_CASH_FOR_JOINT_VENTURES_ASSOC","FQ1 2024","FQ1 2024","Currency=USD","Period=FQ","BEST_FPERIOD_OVERRIDE=FQ","FILING_STATUS=MR","SCALING_FORMAT=MLN","Sort=A","Dates=H","DateFormat=P","Fill=—","Direction=H","UseDPDF=Y")</f>
        <v>0</v>
      </c>
      <c r="X35" s="12" cm="1">
        <f t="array" ref="X35">_xll.BDH("PH US Equity","CF_CASH_FOR_JOINT_VENTURES_ASSOC","FQ2 2024","FQ2 2024","Currency=USD","Period=FQ","BEST_FPERIOD_OVERRIDE=FQ","FILING_STATUS=MR","SCALING_FORMAT=MLN","Sort=A","Dates=H","DateFormat=P","Fill=—","Direction=H","UseDPDF=Y")</f>
        <v>0</v>
      </c>
      <c r="Y35" s="12" cm="1">
        <f t="array" ref="Y35">_xll.BDH("PH US Equity","CF_CASH_FOR_JOINT_VENTURES_ASSOC","FQ3 2024","FQ3 2024","Currency=USD","Period=FQ","BEST_FPERIOD_OVERRIDE=FQ","FILING_STATUS=MR","SCALING_FORMAT=MLN","Sort=A","Dates=H","DateFormat=P","Fill=—","Direction=H","UseDPDF=Y")</f>
        <v>0</v>
      </c>
      <c r="Z35" s="12" cm="1">
        <f t="array" ref="Z35">_xll.BDH("PH US Equity","CF_CASH_FOR_JOINT_VENTURES_ASSOC","FQ4 2024","FQ4 2024","Currency=USD","Period=FQ","BEST_FPERIOD_OVERRIDE=FQ","FILING_STATUS=MR","SCALING_FORMAT=MLN","Sort=A","Dates=H","DateFormat=P","Fill=—","Direction=H","UseDPDF=Y")</f>
        <v>0</v>
      </c>
      <c r="AA35" s="12" cm="1">
        <f t="array" ref="AA35">_xll.BDH("PH US Equity","CF_CASH_FOR_JOINT_VENTURES_ASSOC","FQ1 2025","FQ1 2025","Currency=USD","Period=FQ","BEST_FPERIOD_OVERRIDE=FQ","FILING_STATUS=MR","SCALING_FORMAT=MLN","Sort=A","Dates=H","DateFormat=P","Fill=—","Direction=H","UseDPDF=Y")</f>
        <v>0</v>
      </c>
      <c r="AB35" s="12" cm="1">
        <f t="array" ref="AB35">_xll.BDH("PH US Equity","CF_CASH_FOR_JOINT_VENTURES_ASSOC","FQ2 2025","FQ2 2025","Currency=USD","Period=FQ","BEST_FPERIOD_OVERRIDE=FQ","FILING_STATUS=MR","SCALING_FORMAT=MLN","Sort=A","Dates=H","DateFormat=P","Fill=—","Direction=H","UseDPDF=Y")</f>
        <v>0</v>
      </c>
      <c r="AC35" s="12" cm="1">
        <f t="array" ref="AC35">_xll.BDH("PH US Equity","CF_CASH_FOR_JOINT_VENTURES_ASSOC","FQ3 2025","FQ3 2025","Currency=USD","Period=FQ","BEST_FPERIOD_OVERRIDE=FQ","FILING_STATUS=MR","SCALING_FORMAT=MLN","Sort=A","Dates=H","DateFormat=P","Fill=—","Direction=H","UseDPDF=Y")</f>
        <v>0</v>
      </c>
      <c r="AD35" s="12" cm="1">
        <f t="array" ref="AD35">_xll.BDH("PH US Equity","CF_CASH_FOR_JOINT_VENTURES_ASSOC","FQ4 2025","FQ4 2025","Currency=USD","Period=FQ","BEST_FPERIOD_OVERRIDE=FQ","FILING_STATUS=MR","SCALING_FORMAT=MLN","Sort=A","Dates=H","DateFormat=P","Fill=—","Direction=H","UseDPDF=Y")</f>
        <v>0</v>
      </c>
      <c r="AE35" s="12" cm="1">
        <f t="array" ref="AE35">_xll.BDH("PH US Equity","CF_CASH_FOR_JOINT_VENTURES_ASSOC","FQ1 2026","FQ1 2026","Currency=USD","Period=FQ","BEST_FPERIOD_OVERRIDE=FQ","FILING_STATUS=MR","SCALING_FORMAT=MLN","Sort=A","Dates=H","DateFormat=P","Fill=—","Direction=H","UseDPDF=Y")</f>
        <v>0</v>
      </c>
      <c r="AF35" s="12" cm="1">
        <f t="array" ref="AF35">_xll.BDH("PH US Equity","CF_CASH_FOR_JOINT_VENTURES_ASSOC","FQ2 2026","FQ2 2026","Currency=USD","Period=FQ","BEST_FPERIOD_OVERRIDE=FQ","FILING_STATUS=MR","SCALING_FORMAT=MLN","Sort=A","Dates=H","DateFormat=P","Fill=—","Direction=H","UseDPDF=Y")</f>
        <v>0</v>
      </c>
    </row>
    <row r="36" spans="1:32" x14ac:dyDescent="0.25">
      <c r="A36" s="10" t="s">
        <v>120</v>
      </c>
      <c r="B36" s="10" t="s">
        <v>121</v>
      </c>
      <c r="C36" s="12" cm="1">
        <f t="array" ref="C36">_xll.BDH("PH US Equity","OTHER_INVESTING_ACT_DETAILED","FQ1 2019","FQ1 2019","Currency=USD","Period=FQ","BEST_FPERIOD_OVERRIDE=FQ","FILING_STATUS=MR","SCALING_FORMAT=MLN","Sort=A","Dates=H","DateFormat=P","Fill=—","Direction=H","UseDPDF=Y")</f>
        <v>13.601000000000001</v>
      </c>
      <c r="D36" s="12" cm="1">
        <f t="array" ref="D36">_xll.BDH("PH US Equity","OTHER_INVESTING_ACT_DETAILED","FQ2 2019","FQ2 2019","Currency=USD","Period=FQ","BEST_FPERIOD_OVERRIDE=FQ","FILING_STATUS=MR","SCALING_FORMAT=MLN","Sort=A","Dates=H","DateFormat=P","Fill=—","Direction=H","UseDPDF=Y")</f>
        <v>-2.1040000000000001</v>
      </c>
      <c r="E36" s="12" cm="1">
        <f t="array" ref="E36">_xll.BDH("PH US Equity","OTHER_INVESTING_ACT_DETAILED","FQ3 2019","FQ3 2019","Currency=USD","Period=FQ","BEST_FPERIOD_OVERRIDE=FQ","FILING_STATUS=MR","SCALING_FORMAT=MLN","Sort=A","Dates=H","DateFormat=P","Fill=—","Direction=H","UseDPDF=Y")</f>
        <v>-37.177</v>
      </c>
      <c r="F36" s="12" cm="1">
        <f t="array" ref="F36">_xll.BDH("PH US Equity","OTHER_INVESTING_ACT_DETAILED","FQ4 2019","FQ4 2019","Currency=USD","Period=FQ","BEST_FPERIOD_OVERRIDE=FQ","FILING_STATUS=MR","SCALING_FORMAT=MLN","Sort=A","Dates=H","DateFormat=P","Fill=—","Direction=H","UseDPDF=Y")</f>
        <v>-61.969000000000001</v>
      </c>
      <c r="G36" s="12" cm="1">
        <f t="array" ref="G36">_xll.BDH("PH US Equity","OTHER_INVESTING_ACT_DETAILED","FQ1 2020","FQ1 2020","Currency=USD","Period=FQ","BEST_FPERIOD_OVERRIDE=FQ","FILING_STATUS=MR","SCALING_FORMAT=MLN","Sort=A","Dates=H","DateFormat=P","Fill=—","Direction=H","UseDPDF=Y")</f>
        <v>-125.437</v>
      </c>
      <c r="H36" s="12" cm="1">
        <f t="array" ref="H36">_xll.BDH("PH US Equity","OTHER_INVESTING_ACT_DETAILED","FQ2 2020","FQ2 2020","Currency=USD","Period=FQ","BEST_FPERIOD_OVERRIDE=FQ","FILING_STATUS=MR","SCALING_FORMAT=MLN","Sort=A","Dates=H","DateFormat=P","Fill=—","Direction=H","UseDPDF=Y")</f>
        <v>143.554</v>
      </c>
      <c r="I36" s="12" cm="1">
        <f t="array" ref="I36">_xll.BDH("PH US Equity","OTHER_INVESTING_ACT_DETAILED","FQ3 2020","FQ3 2020","Currency=USD","Period=FQ","BEST_FPERIOD_OVERRIDE=FQ","FILING_STATUS=MR","SCALING_FORMAT=MLN","Sort=A","Dates=H","DateFormat=P","Fill=—","Direction=H","UseDPDF=Y")</f>
        <v>169.85</v>
      </c>
      <c r="J36" s="12" cm="1">
        <f t="array" ref="J36">_xll.BDH("PH US Equity","OTHER_INVESTING_ACT_DETAILED","FQ4 2020","FQ4 2020","Currency=USD","Period=FQ","BEST_FPERIOD_OVERRIDE=FQ","FILING_STATUS=MR","SCALING_FORMAT=MLN","Sort=A","Dates=H","DateFormat=P","Fill=—","Direction=H","UseDPDF=Y")</f>
        <v>70.349999999999994</v>
      </c>
      <c r="K36" s="12" cm="1">
        <f t="array" ref="K36">_xll.BDH("PH US Equity","OTHER_INVESTING_ACT_DETAILED","FQ1 2021","FQ1 2021","Currency=USD","Period=FQ","BEST_FPERIOD_OVERRIDE=FQ","FILING_STATUS=MR","SCALING_FORMAT=MLN","Sort=A","Dates=H","DateFormat=P","Fill=—","Direction=H","UseDPDF=Y")</f>
        <v>39.435000000000002</v>
      </c>
      <c r="L36" s="12" cm="1">
        <f t="array" ref="L36">_xll.BDH("PH US Equity","OTHER_INVESTING_ACT_DETAILED","FQ2 2021","FQ2 2021","Currency=USD","Period=FQ","BEST_FPERIOD_OVERRIDE=FQ","FILING_STATUS=MR","SCALING_FORMAT=MLN","Sort=A","Dates=H","DateFormat=P","Fill=—","Direction=H","UseDPDF=Y")</f>
        <v>7.7380000000000004</v>
      </c>
      <c r="M36" s="12" cm="1">
        <f t="array" ref="M36">_xll.BDH("PH US Equity","OTHER_INVESTING_ACT_DETAILED","FQ3 2021","FQ3 2021","Currency=USD","Period=FQ","BEST_FPERIOD_OVERRIDE=FQ","FILING_STATUS=MR","SCALING_FORMAT=MLN","Sort=A","Dates=H","DateFormat=P","Fill=—","Direction=H","UseDPDF=Y")</f>
        <v>7.5640000000000001</v>
      </c>
      <c r="N36" s="12" cm="1">
        <f t="array" ref="N36">_xll.BDH("PH US Equity","OTHER_INVESTING_ACT_DETAILED","FQ4 2021","FQ4 2021","Currency=USD","Period=FQ","BEST_FPERIOD_OVERRIDE=FQ","FILING_STATUS=MR","SCALING_FORMAT=MLN","Sort=A","Dates=H","DateFormat=P","Fill=—","Direction=H","UseDPDF=Y")</f>
        <v>14.617000000000001</v>
      </c>
      <c r="O36" s="12" cm="1">
        <f t="array" ref="O36">_xll.BDH("PH US Equity","OTHER_INVESTING_ACT_DETAILED","FQ1 2022","FQ1 2022","Currency=USD","Period=FQ","BEST_FPERIOD_OVERRIDE=FQ","FILING_STATUS=MR","SCALING_FORMAT=MLN","Sort=A","Dates=H","DateFormat=P","Fill=—","Direction=H","UseDPDF=Y")</f>
        <v>-1.4950000000000001</v>
      </c>
      <c r="P36" s="12" cm="1">
        <f t="array" ref="P36">_xll.BDH("PH US Equity","OTHER_INVESTING_ACT_DETAILED","FQ2 2022","FQ2 2022","Currency=USD","Period=FQ","BEST_FPERIOD_OVERRIDE=FQ","FILING_STATUS=MR","SCALING_FORMAT=MLN","Sort=A","Dates=H","DateFormat=P","Fill=—","Direction=H","UseDPDF=Y")</f>
        <v>7.8760000000000003</v>
      </c>
      <c r="Q36" s="12" cm="1">
        <f t="array" ref="Q36">_xll.BDH("PH US Equity","OTHER_INVESTING_ACT_DETAILED","FQ3 2022","FQ3 2022","Currency=USD","Period=FQ","BEST_FPERIOD_OVERRIDE=FQ","FILING_STATUS=MR","SCALING_FORMAT=MLN","Sort=A","Dates=H","DateFormat=P","Fill=—","Direction=H","UseDPDF=Y")</f>
        <v>-5.9649999999999999</v>
      </c>
      <c r="R36" s="12" cm="1">
        <f t="array" ref="R36">_xll.BDH("PH US Equity","OTHER_INVESTING_ACT_DETAILED","FQ4 2022","FQ4 2022","Currency=USD","Period=FQ","BEST_FPERIOD_OVERRIDE=FQ","FILING_STATUS=MR","SCALING_FORMAT=MLN","Sort=A","Dates=H","DateFormat=P","Fill=—","Direction=H","UseDPDF=Y")</f>
        <v>-231.928</v>
      </c>
      <c r="S36" s="12" cm="1">
        <f t="array" ref="S36">_xll.BDH("PH US Equity","OTHER_INVESTING_ACT_DETAILED","FQ1 2023","FQ1 2023","Currency=USD","Period=FQ","BEST_FPERIOD_OVERRIDE=FQ","FILING_STATUS=MR","SCALING_FORMAT=MLN","Sort=A","Dates=H","DateFormat=P","Fill=—","Direction=H","UseDPDF=Y")</f>
        <v>-1150.2</v>
      </c>
      <c r="T36" s="12" cm="1">
        <f t="array" ref="T36">_xll.BDH("PH US Equity","OTHER_INVESTING_ACT_DETAILED","FQ2 2023","FQ2 2023","Currency=USD","Period=FQ","BEST_FPERIOD_OVERRIDE=FQ","FILING_STATUS=MR","SCALING_FORMAT=MLN","Sort=A","Dates=H","DateFormat=P","Fill=—","Direction=H","UseDPDF=Y")</f>
        <v>1.3520000000000001</v>
      </c>
      <c r="U36" s="12" cm="1">
        <f t="array" ref="U36">_xll.BDH("PH US Equity","OTHER_INVESTING_ACT_DETAILED","FQ3 2023","FQ3 2023","Currency=USD","Period=FQ","BEST_FPERIOD_OVERRIDE=FQ","FILING_STATUS=MR","SCALING_FORMAT=MLN","Sort=A","Dates=H","DateFormat=P","Fill=—","Direction=H","UseDPDF=Y")</f>
        <v>-0.89500000000000002</v>
      </c>
      <c r="V36" s="12" cm="1">
        <f t="array" ref="V36">_xll.BDH("PH US Equity","OTHER_INVESTING_ACT_DETAILED","FQ4 2023","FQ4 2023","Currency=USD","Period=FQ","BEST_FPERIOD_OVERRIDE=FQ","FILING_STATUS=MR","SCALING_FORMAT=MLN","Sort=A","Dates=H","DateFormat=P","Fill=—","Direction=H","UseDPDF=Y")</f>
        <v>13.337</v>
      </c>
      <c r="W36" s="12" cm="1">
        <f t="array" ref="W36">_xll.BDH("PH US Equity","OTHER_INVESTING_ACT_DETAILED","FQ1 2024","FQ1 2024","Currency=USD","Period=FQ","BEST_FPERIOD_OVERRIDE=FQ","FILING_STATUS=MR","SCALING_FORMAT=MLN","Sort=A","Dates=H","DateFormat=P","Fill=—","Direction=H","UseDPDF=Y")</f>
        <v>4.351</v>
      </c>
      <c r="X36" s="12" cm="1">
        <f t="array" ref="X36">_xll.BDH("PH US Equity","OTHER_INVESTING_ACT_DETAILED","FQ2 2024","FQ2 2024","Currency=USD","Period=FQ","BEST_FPERIOD_OVERRIDE=FQ","FILING_STATUS=MR","SCALING_FORMAT=MLN","Sort=A","Dates=H","DateFormat=P","Fill=—","Direction=H","UseDPDF=Y")</f>
        <v>-7.3049999999999997</v>
      </c>
      <c r="Y36" s="12" cm="1">
        <f t="array" ref="Y36">_xll.BDH("PH US Equity","OTHER_INVESTING_ACT_DETAILED","FQ3 2024","FQ3 2024","Currency=USD","Period=FQ","BEST_FPERIOD_OVERRIDE=FQ","FILING_STATUS=MR","SCALING_FORMAT=MLN","Sort=A","Dates=H","DateFormat=P","Fill=—","Direction=H","UseDPDF=Y")</f>
        <v>7.5149999999999997</v>
      </c>
      <c r="Z36" s="12" cm="1">
        <f t="array" ref="Z36">_xll.BDH("PH US Equity","OTHER_INVESTING_ACT_DETAILED","FQ4 2024","FQ4 2024","Currency=USD","Period=FQ","BEST_FPERIOD_OVERRIDE=FQ","FILING_STATUS=MR","SCALING_FORMAT=MLN","Sort=A","Dates=H","DateFormat=P","Fill=—","Direction=H","UseDPDF=Y")</f>
        <v>10.231999999999999</v>
      </c>
      <c r="AA36" s="12" cm="1">
        <f t="array" ref="AA36">_xll.BDH("PH US Equity","OTHER_INVESTING_ACT_DETAILED","FQ1 2025","FQ1 2025","Currency=USD","Period=FQ","BEST_FPERIOD_OVERRIDE=FQ","FILING_STATUS=MR","SCALING_FORMAT=MLN","Sort=A","Dates=H","DateFormat=P","Fill=—","Direction=H","UseDPDF=Y")</f>
        <v>-5.4610000000000003</v>
      </c>
      <c r="AB36" s="12" cm="1">
        <f t="array" ref="AB36">_xll.BDH("PH US Equity","OTHER_INVESTING_ACT_DETAILED","FQ2 2025","FQ2 2025","Currency=USD","Period=FQ","BEST_FPERIOD_OVERRIDE=FQ","FILING_STATUS=MR","SCALING_FORMAT=MLN","Sort=A","Dates=H","DateFormat=P","Fill=—","Direction=H","UseDPDF=Y")</f>
        <v>-1.48</v>
      </c>
      <c r="AC36" s="12" cm="1">
        <f t="array" ref="AC36">_xll.BDH("PH US Equity","OTHER_INVESTING_ACT_DETAILED","FQ3 2025","FQ3 2025","Currency=USD","Period=FQ","BEST_FPERIOD_OVERRIDE=FQ","FILING_STATUS=MR","SCALING_FORMAT=MLN","Sort=A","Dates=H","DateFormat=P","Fill=—","Direction=H","UseDPDF=Y")</f>
        <v>1.196</v>
      </c>
      <c r="AD36" s="12" cm="1">
        <f t="array" ref="AD36">_xll.BDH("PH US Equity","OTHER_INVESTING_ACT_DETAILED","FQ4 2025","FQ4 2025","Currency=USD","Period=FQ","BEST_FPERIOD_OVERRIDE=FQ","FILING_STATUS=MR","SCALING_FORMAT=MLN","Sort=A","Dates=H","DateFormat=P","Fill=—","Direction=H","UseDPDF=Y")</f>
        <v>9.7449999999999992</v>
      </c>
      <c r="AE36" s="12" cm="1">
        <f t="array" ref="AE36">_xll.BDH("PH US Equity","OTHER_INVESTING_ACT_DETAILED","FQ1 2026","FQ1 2026","Currency=USD","Period=FQ","BEST_FPERIOD_OVERRIDE=FQ","FILING_STATUS=MR","SCALING_FORMAT=MLN","Sort=A","Dates=H","DateFormat=P","Fill=—","Direction=H","UseDPDF=Y")</f>
        <v>18</v>
      </c>
      <c r="AF36" s="12" cm="1">
        <f t="array" ref="AF36">_xll.BDH("PH US Equity","OTHER_INVESTING_ACT_DETAILED","FQ2 2026","FQ2 2026","Currency=USD","Period=FQ","BEST_FPERIOD_OVERRIDE=FQ","FILING_STATUS=MR","SCALING_FORMAT=MLN","Sort=A","Dates=H","DateFormat=P","Fill=—","Direction=H","UseDPDF=Y")</f>
        <v>-1</v>
      </c>
    </row>
    <row r="37" spans="1:32" x14ac:dyDescent="0.25">
      <c r="A37" s="10" t="s">
        <v>88</v>
      </c>
      <c r="B37" s="10" t="s">
        <v>122</v>
      </c>
      <c r="C37" s="12" cm="1">
        <f t="array" ref="C37">_xll.BDH("PH US Equity","CF_NET_CASH_DISCONTINUED_OPS_INV","FQ1 2019","FQ1 2019","Currency=USD","Period=FQ","BEST_FPERIOD_OVERRIDE=FQ","FILING_STATUS=MR","SCALING_FORMAT=MLN","Sort=A","Dates=H","DateFormat=P","Fill=—","Direction=H","UseDPDF=Y")</f>
        <v>0</v>
      </c>
      <c r="D37" s="12" cm="1">
        <f t="array" ref="D37">_xll.BDH("PH US Equity","CF_NET_CASH_DISCONTINUED_OPS_INV","FQ2 2019","FQ2 2019","Currency=USD","Period=FQ","BEST_FPERIOD_OVERRIDE=FQ","FILING_STATUS=MR","SCALING_FORMAT=MLN","Sort=A","Dates=H","DateFormat=P","Fill=—","Direction=H","UseDPDF=Y")</f>
        <v>0</v>
      </c>
      <c r="E37" s="12" cm="1">
        <f t="array" ref="E37">_xll.BDH("PH US Equity","CF_NET_CASH_DISCONTINUED_OPS_INV","FQ3 2019","FQ3 2019","Currency=USD","Period=FQ","BEST_FPERIOD_OVERRIDE=FQ","FILING_STATUS=MR","SCALING_FORMAT=MLN","Sort=A","Dates=H","DateFormat=P","Fill=—","Direction=H","UseDPDF=Y")</f>
        <v>0</v>
      </c>
      <c r="F37" s="12" cm="1">
        <f t="array" ref="F37">_xll.BDH("PH US Equity","CF_NET_CASH_DISCONTINUED_OPS_INV","FQ4 2019","FQ4 2019","Currency=USD","Period=FQ","BEST_FPERIOD_OVERRIDE=FQ","FILING_STATUS=MR","SCALING_FORMAT=MLN","Sort=A","Dates=H","DateFormat=P","Fill=—","Direction=H","UseDPDF=Y")</f>
        <v>0</v>
      </c>
      <c r="G37" s="12" cm="1">
        <f t="array" ref="G37">_xll.BDH("PH US Equity","CF_NET_CASH_DISCONTINUED_OPS_INV","FQ1 2020","FQ1 2020","Currency=USD","Period=FQ","BEST_FPERIOD_OVERRIDE=FQ","FILING_STATUS=MR","SCALING_FORMAT=MLN","Sort=A","Dates=H","DateFormat=P","Fill=—","Direction=H","UseDPDF=Y")</f>
        <v>0</v>
      </c>
      <c r="H37" s="12" cm="1">
        <f t="array" ref="H37">_xll.BDH("PH US Equity","CF_NET_CASH_DISCONTINUED_OPS_INV","FQ2 2020","FQ2 2020","Currency=USD","Period=FQ","BEST_FPERIOD_OVERRIDE=FQ","FILING_STATUS=MR","SCALING_FORMAT=MLN","Sort=A","Dates=H","DateFormat=P","Fill=—","Direction=H","UseDPDF=Y")</f>
        <v>0</v>
      </c>
      <c r="I37" s="12" cm="1">
        <f t="array" ref="I37">_xll.BDH("PH US Equity","CF_NET_CASH_DISCONTINUED_OPS_INV","FQ3 2020","FQ3 2020","Currency=USD","Period=FQ","BEST_FPERIOD_OVERRIDE=FQ","FILING_STATUS=MR","SCALING_FORMAT=MLN","Sort=A","Dates=H","DateFormat=P","Fill=—","Direction=H","UseDPDF=Y")</f>
        <v>0</v>
      </c>
      <c r="J37" s="12" cm="1">
        <f t="array" ref="J37">_xll.BDH("PH US Equity","CF_NET_CASH_DISCONTINUED_OPS_INV","FQ4 2020","FQ4 2020","Currency=USD","Period=FQ","BEST_FPERIOD_OVERRIDE=FQ","FILING_STATUS=MR","SCALING_FORMAT=MLN","Sort=A","Dates=H","DateFormat=P","Fill=—","Direction=H","UseDPDF=Y")</f>
        <v>0</v>
      </c>
      <c r="K37" s="12" cm="1">
        <f t="array" ref="K37">_xll.BDH("PH US Equity","CF_NET_CASH_DISCONTINUED_OPS_INV","FQ1 2021","FQ1 2021","Currency=USD","Period=FQ","BEST_FPERIOD_OVERRIDE=FQ","FILING_STATUS=MR","SCALING_FORMAT=MLN","Sort=A","Dates=H","DateFormat=P","Fill=—","Direction=H","UseDPDF=Y")</f>
        <v>0</v>
      </c>
      <c r="L37" s="12" cm="1">
        <f t="array" ref="L37">_xll.BDH("PH US Equity","CF_NET_CASH_DISCONTINUED_OPS_INV","FQ2 2021","FQ2 2021","Currency=USD","Period=FQ","BEST_FPERIOD_OVERRIDE=FQ","FILING_STATUS=MR","SCALING_FORMAT=MLN","Sort=A","Dates=H","DateFormat=P","Fill=—","Direction=H","UseDPDF=Y")</f>
        <v>0</v>
      </c>
      <c r="M37" s="12" cm="1">
        <f t="array" ref="M37">_xll.BDH("PH US Equity","CF_NET_CASH_DISCONTINUED_OPS_INV","FQ3 2021","FQ3 2021","Currency=USD","Period=FQ","BEST_FPERIOD_OVERRIDE=FQ","FILING_STATUS=MR","SCALING_FORMAT=MLN","Sort=A","Dates=H","DateFormat=P","Fill=—","Direction=H","UseDPDF=Y")</f>
        <v>0</v>
      </c>
      <c r="N37" s="12" cm="1">
        <f t="array" ref="N37">_xll.BDH("PH US Equity","CF_NET_CASH_DISCONTINUED_OPS_INV","FQ4 2021","FQ4 2021","Currency=USD","Period=FQ","BEST_FPERIOD_OVERRIDE=FQ","FILING_STATUS=MR","SCALING_FORMAT=MLN","Sort=A","Dates=H","DateFormat=P","Fill=—","Direction=H","UseDPDF=Y")</f>
        <v>0</v>
      </c>
      <c r="O37" s="12" cm="1">
        <f t="array" ref="O37">_xll.BDH("PH US Equity","CF_NET_CASH_DISCONTINUED_OPS_INV","FQ1 2022","FQ1 2022","Currency=USD","Period=FQ","BEST_FPERIOD_OVERRIDE=FQ","FILING_STATUS=MR","SCALING_FORMAT=MLN","Sort=A","Dates=H","DateFormat=P","Fill=—","Direction=H","UseDPDF=Y")</f>
        <v>0</v>
      </c>
      <c r="P37" s="12" cm="1">
        <f t="array" ref="P37">_xll.BDH("PH US Equity","CF_NET_CASH_DISCONTINUED_OPS_INV","FQ2 2022","FQ2 2022","Currency=USD","Period=FQ","BEST_FPERIOD_OVERRIDE=FQ","FILING_STATUS=MR","SCALING_FORMAT=MLN","Sort=A","Dates=H","DateFormat=P","Fill=—","Direction=H","UseDPDF=Y")</f>
        <v>0</v>
      </c>
      <c r="Q37" s="12" cm="1">
        <f t="array" ref="Q37">_xll.BDH("PH US Equity","CF_NET_CASH_DISCONTINUED_OPS_INV","FQ3 2022","FQ3 2022","Currency=USD","Period=FQ","BEST_FPERIOD_OVERRIDE=FQ","FILING_STATUS=MR","SCALING_FORMAT=MLN","Sort=A","Dates=H","DateFormat=P","Fill=—","Direction=H","UseDPDF=Y")</f>
        <v>0</v>
      </c>
      <c r="R37" s="12" cm="1">
        <f t="array" ref="R37">_xll.BDH("PH US Equity","CF_NET_CASH_DISCONTINUED_OPS_INV","FQ4 2022","FQ4 2022","Currency=USD","Period=FQ","BEST_FPERIOD_OVERRIDE=FQ","FILING_STATUS=MR","SCALING_FORMAT=MLN","Sort=A","Dates=H","DateFormat=P","Fill=—","Direction=H","UseDPDF=Y")</f>
        <v>0</v>
      </c>
      <c r="S37" s="12" cm="1">
        <f t="array" ref="S37">_xll.BDH("PH US Equity","CF_NET_CASH_DISCONTINUED_OPS_INV","FQ1 2023","FQ1 2023","Currency=USD","Period=FQ","BEST_FPERIOD_OVERRIDE=FQ","FILING_STATUS=MR","SCALING_FORMAT=MLN","Sort=A","Dates=H","DateFormat=P","Fill=—","Direction=H","UseDPDF=Y")</f>
        <v>0</v>
      </c>
      <c r="T37" s="12" cm="1">
        <f t="array" ref="T37">_xll.BDH("PH US Equity","CF_NET_CASH_DISCONTINUED_OPS_INV","FQ2 2023","FQ2 2023","Currency=USD","Period=FQ","BEST_FPERIOD_OVERRIDE=FQ","FILING_STATUS=MR","SCALING_FORMAT=MLN","Sort=A","Dates=H","DateFormat=P","Fill=—","Direction=H","UseDPDF=Y")</f>
        <v>0</v>
      </c>
      <c r="U37" s="12" cm="1">
        <f t="array" ref="U37">_xll.BDH("PH US Equity","CF_NET_CASH_DISCONTINUED_OPS_INV","FQ3 2023","FQ3 2023","Currency=USD","Period=FQ","BEST_FPERIOD_OVERRIDE=FQ","FILING_STATUS=MR","SCALING_FORMAT=MLN","Sort=A","Dates=H","DateFormat=P","Fill=—","Direction=H","UseDPDF=Y")</f>
        <v>0</v>
      </c>
      <c r="V37" s="12" cm="1">
        <f t="array" ref="V37">_xll.BDH("PH US Equity","CF_NET_CASH_DISCONTINUED_OPS_INV","FQ4 2023","FQ4 2023","Currency=USD","Period=FQ","BEST_FPERIOD_OVERRIDE=FQ","FILING_STATUS=MR","SCALING_FORMAT=MLN","Sort=A","Dates=H","DateFormat=P","Fill=—","Direction=H","UseDPDF=Y")</f>
        <v>0</v>
      </c>
      <c r="W37" s="12" cm="1">
        <f t="array" ref="W37">_xll.BDH("PH US Equity","CF_NET_CASH_DISCONTINUED_OPS_INV","FQ1 2024","FQ1 2024","Currency=USD","Period=FQ","BEST_FPERIOD_OVERRIDE=FQ","FILING_STATUS=MR","SCALING_FORMAT=MLN","Sort=A","Dates=H","DateFormat=P","Fill=—","Direction=H","UseDPDF=Y")</f>
        <v>0</v>
      </c>
      <c r="X37" s="12" cm="1">
        <f t="array" ref="X37">_xll.BDH("PH US Equity","CF_NET_CASH_DISCONTINUED_OPS_INV","FQ2 2024","FQ2 2024","Currency=USD","Period=FQ","BEST_FPERIOD_OVERRIDE=FQ","FILING_STATUS=MR","SCALING_FORMAT=MLN","Sort=A","Dates=H","DateFormat=P","Fill=—","Direction=H","UseDPDF=Y")</f>
        <v>0</v>
      </c>
      <c r="Y37" s="12" cm="1">
        <f t="array" ref="Y37">_xll.BDH("PH US Equity","CF_NET_CASH_DISCONTINUED_OPS_INV","FQ3 2024","FQ3 2024","Currency=USD","Period=FQ","BEST_FPERIOD_OVERRIDE=FQ","FILING_STATUS=MR","SCALING_FORMAT=MLN","Sort=A","Dates=H","DateFormat=P","Fill=—","Direction=H","UseDPDF=Y")</f>
        <v>0</v>
      </c>
      <c r="Z37" s="12" cm="1">
        <f t="array" ref="Z37">_xll.BDH("PH US Equity","CF_NET_CASH_DISCONTINUED_OPS_INV","FQ4 2024","FQ4 2024","Currency=USD","Period=FQ","BEST_FPERIOD_OVERRIDE=FQ","FILING_STATUS=MR","SCALING_FORMAT=MLN","Sort=A","Dates=H","DateFormat=P","Fill=—","Direction=H","UseDPDF=Y")</f>
        <v>0</v>
      </c>
      <c r="AA37" s="12" cm="1">
        <f t="array" ref="AA37">_xll.BDH("PH US Equity","CF_NET_CASH_DISCONTINUED_OPS_INV","FQ1 2025","FQ1 2025","Currency=USD","Period=FQ","BEST_FPERIOD_OVERRIDE=FQ","FILING_STATUS=MR","SCALING_FORMAT=MLN","Sort=A","Dates=H","DateFormat=P","Fill=—","Direction=H","UseDPDF=Y")</f>
        <v>0</v>
      </c>
      <c r="AB37" s="12" cm="1">
        <f t="array" ref="AB37">_xll.BDH("PH US Equity","CF_NET_CASH_DISCONTINUED_OPS_INV","FQ2 2025","FQ2 2025","Currency=USD","Period=FQ","BEST_FPERIOD_OVERRIDE=FQ","FILING_STATUS=MR","SCALING_FORMAT=MLN","Sort=A","Dates=H","DateFormat=P","Fill=—","Direction=H","UseDPDF=Y")</f>
        <v>0</v>
      </c>
      <c r="AC37" s="12" cm="1">
        <f t="array" ref="AC37">_xll.BDH("PH US Equity","CF_NET_CASH_DISCONTINUED_OPS_INV","FQ3 2025","FQ3 2025","Currency=USD","Period=FQ","BEST_FPERIOD_OVERRIDE=FQ","FILING_STATUS=MR","SCALING_FORMAT=MLN","Sort=A","Dates=H","DateFormat=P","Fill=—","Direction=H","UseDPDF=Y")</f>
        <v>0</v>
      </c>
      <c r="AD37" s="12" cm="1">
        <f t="array" ref="AD37">_xll.BDH("PH US Equity","CF_NET_CASH_DISCONTINUED_OPS_INV","FQ4 2025","FQ4 2025","Currency=USD","Period=FQ","BEST_FPERIOD_OVERRIDE=FQ","FILING_STATUS=MR","SCALING_FORMAT=MLN","Sort=A","Dates=H","DateFormat=P","Fill=—","Direction=H","UseDPDF=Y")</f>
        <v>0</v>
      </c>
      <c r="AE37" s="12" cm="1">
        <f t="array" ref="AE37">_xll.BDH("PH US Equity","CF_NET_CASH_DISCONTINUED_OPS_INV","FQ1 2026","FQ1 2026","Currency=USD","Period=FQ","BEST_FPERIOD_OVERRIDE=FQ","FILING_STATUS=MR","SCALING_FORMAT=MLN","Sort=A","Dates=H","DateFormat=P","Fill=—","Direction=H","UseDPDF=Y")</f>
        <v>0</v>
      </c>
      <c r="AF37" s="12" cm="1">
        <f t="array" ref="AF37">_xll.BDH("PH US Equity","CF_NET_CASH_DISCONTINUED_OPS_INV","FQ2 2026","FQ2 2026","Currency=USD","Period=FQ","BEST_FPERIOD_OVERRIDE=FQ","FILING_STATUS=MR","SCALING_FORMAT=MLN","Sort=A","Dates=H","DateFormat=P","Fill=—","Direction=H","UseDPDF=Y")</f>
        <v>0</v>
      </c>
    </row>
    <row r="38" spans="1:32" x14ac:dyDescent="0.25">
      <c r="A38" s="6" t="s">
        <v>91</v>
      </c>
      <c r="B38" s="6" t="s">
        <v>123</v>
      </c>
      <c r="C38" s="15" cm="1">
        <f t="array" ref="C38">_xll.BDH("PH US Equity","CF_CASH_FROM_INV_ACT","FQ1 2019","FQ1 2019","Currency=USD","Period=FQ","BEST_FPERIOD_OVERRIDE=FQ","FILING_STATUS=MR","SCALING_FORMAT=MLN","Sort=A","Dates=H","DateFormat=P","Fill=—","Direction=H","UseDPDF=Y")</f>
        <v>-15.063000000000001</v>
      </c>
      <c r="D38" s="15" cm="1">
        <f t="array" ref="D38">_xll.BDH("PH US Equity","CF_CASH_FROM_INV_ACT","FQ2 2019","FQ2 2019","Currency=USD","Period=FQ","BEST_FPERIOD_OVERRIDE=FQ","FILING_STATUS=MR","SCALING_FORMAT=MLN","Sort=A","Dates=H","DateFormat=P","Fill=—","Direction=H","UseDPDF=Y")</f>
        <v>-16.247</v>
      </c>
      <c r="E38" s="15" cm="1">
        <f t="array" ref="E38">_xll.BDH("PH US Equity","CF_CASH_FROM_INV_ACT","FQ3 2019","FQ3 2019","Currency=USD","Period=FQ","BEST_FPERIOD_OVERRIDE=FQ","FILING_STATUS=MR","SCALING_FORMAT=MLN","Sort=A","Dates=H","DateFormat=P","Fill=—","Direction=H","UseDPDF=Y")</f>
        <v>-84.784999999999997</v>
      </c>
      <c r="F38" s="15" cm="1">
        <f t="array" ref="F38">_xll.BDH("PH US Equity","CF_CASH_FROM_INV_ACT","FQ4 2019","FQ4 2019","Currency=USD","Period=FQ","BEST_FPERIOD_OVERRIDE=FQ","FILING_STATUS=MR","SCALING_FORMAT=MLN","Sort=A","Dates=H","DateFormat=P","Fill=—","Direction=H","UseDPDF=Y")</f>
        <v>-102.41500000000001</v>
      </c>
      <c r="G38" s="15" cm="1">
        <f t="array" ref="G38">_xll.BDH("PH US Equity","CF_CASH_FROM_INV_ACT","FQ1 2020","FQ1 2020","Currency=USD","Period=FQ","BEST_FPERIOD_OVERRIDE=FQ","FILING_STATUS=MR","SCALING_FORMAT=MLN","Sort=A","Dates=H","DateFormat=P","Fill=—","Direction=H","UseDPDF=Y")</f>
        <v>-1852.954</v>
      </c>
      <c r="H38" s="15" cm="1">
        <f t="array" ref="H38">_xll.BDH("PH US Equity","CF_CASH_FROM_INV_ACT","FQ2 2020","FQ2 2020","Currency=USD","Period=FQ","BEST_FPERIOD_OVERRIDE=FQ","FILING_STATUS=MR","SCALING_FORMAT=MLN","Sort=A","Dates=H","DateFormat=P","Fill=—","Direction=H","UseDPDF=Y")</f>
        <v>-3302.134</v>
      </c>
      <c r="I38" s="15" cm="1">
        <f t="array" ref="I38">_xll.BDH("PH US Equity","CF_CASH_FROM_INV_ACT","FQ3 2020","FQ3 2020","Currency=USD","Period=FQ","BEST_FPERIOD_OVERRIDE=FQ","FILING_STATUS=MR","SCALING_FORMAT=MLN","Sort=A","Dates=H","DateFormat=P","Fill=—","Direction=H","UseDPDF=Y")</f>
        <v>109.887</v>
      </c>
      <c r="J38" s="15" cm="1">
        <f t="array" ref="J38">_xll.BDH("PH US Equity","CF_CASH_FROM_INV_ACT","FQ4 2020","FQ4 2020","Currency=USD","Period=FQ","BEST_FPERIOD_OVERRIDE=FQ","FILING_STATUS=MR","SCALING_FORMAT=MLN","Sort=A","Dates=H","DateFormat=P","Fill=—","Direction=H","UseDPDF=Y")</f>
        <v>21.207999999999998</v>
      </c>
      <c r="K38" s="15" cm="1">
        <f t="array" ref="K38">_xll.BDH("PH US Equity","CF_CASH_FROM_INV_ACT","FQ1 2021","FQ1 2021","Currency=USD","Period=FQ","BEST_FPERIOD_OVERRIDE=FQ","FILING_STATUS=MR","SCALING_FORMAT=MLN","Sort=A","Dates=H","DateFormat=P","Fill=—","Direction=H","UseDPDF=Y")</f>
        <v>3.9079999999999999</v>
      </c>
      <c r="L38" s="15" cm="1">
        <f t="array" ref="L38">_xll.BDH("PH US Equity","CF_CASH_FROM_INV_ACT","FQ2 2021","FQ2 2021","Currency=USD","Period=FQ","BEST_FPERIOD_OVERRIDE=FQ","FILING_STATUS=MR","SCALING_FORMAT=MLN","Sort=A","Dates=H","DateFormat=P","Fill=—","Direction=H","UseDPDF=Y")</f>
        <v>74.786000000000001</v>
      </c>
      <c r="M38" s="15" cm="1">
        <f t="array" ref="M38">_xll.BDH("PH US Equity","CF_CASH_FROM_INV_ACT","FQ3 2021","FQ3 2021","Currency=USD","Period=FQ","BEST_FPERIOD_OVERRIDE=FQ","FILING_STATUS=MR","SCALING_FORMAT=MLN","Sort=A","Dates=H","DateFormat=P","Fill=—","Direction=H","UseDPDF=Y")</f>
        <v>-27.280999999999999</v>
      </c>
      <c r="N38" s="15" cm="1">
        <f t="array" ref="N38">_xll.BDH("PH US Equity","CF_CASH_FROM_INV_ACT","FQ4 2021","FQ4 2021","Currency=USD","Period=FQ","BEST_FPERIOD_OVERRIDE=FQ","FILING_STATUS=MR","SCALING_FORMAT=MLN","Sort=A","Dates=H","DateFormat=P","Fill=—","Direction=H","UseDPDF=Y")</f>
        <v>-51.426000000000002</v>
      </c>
      <c r="O38" s="15" cm="1">
        <f t="array" ref="O38">_xll.BDH("PH US Equity","CF_CASH_FROM_INV_ACT","FQ1 2022","FQ1 2022","Currency=USD","Period=FQ","BEST_FPERIOD_OVERRIDE=FQ","FILING_STATUS=MR","SCALING_FORMAT=MLN","Sort=A","Dates=H","DateFormat=P","Fill=—","Direction=H","UseDPDF=Y")</f>
        <v>-41.947000000000003</v>
      </c>
      <c r="P38" s="15" cm="1">
        <f t="array" ref="P38">_xll.BDH("PH US Equity","CF_CASH_FROM_INV_ACT","FQ2 2022","FQ2 2022","Currency=USD","Period=FQ","BEST_FPERIOD_OVERRIDE=FQ","FILING_STATUS=MR","SCALING_FORMAT=MLN","Sort=A","Dates=H","DateFormat=P","Fill=—","Direction=H","UseDPDF=Y")</f>
        <v>-32.42</v>
      </c>
      <c r="Q38" s="15" cm="1">
        <f t="array" ref="Q38">_xll.BDH("PH US Equity","CF_CASH_FROM_INV_ACT","FQ3 2022","FQ3 2022","Currency=USD","Period=FQ","BEST_FPERIOD_OVERRIDE=FQ","FILING_STATUS=MR","SCALING_FORMAT=MLN","Sort=A","Dates=H","DateFormat=P","Fill=—","Direction=H","UseDPDF=Y")</f>
        <v>-51.395000000000003</v>
      </c>
      <c r="R38" s="15" cm="1">
        <f t="array" ref="R38">_xll.BDH("PH US Equity","CF_CASH_FROM_INV_ACT","FQ4 2022","FQ4 2022","Currency=USD","Period=FQ","BEST_FPERIOD_OVERRIDE=FQ","FILING_STATUS=MR","SCALING_FORMAT=MLN","Sort=A","Dates=H","DateFormat=P","Fill=—","Direction=H","UseDPDF=Y")</f>
        <v>-293.07499999999999</v>
      </c>
      <c r="S38" s="15" cm="1">
        <f t="array" ref="S38">_xll.BDH("PH US Equity","CF_CASH_FROM_INV_ACT","FQ1 2023","FQ1 2023","Currency=USD","Period=FQ","BEST_FPERIOD_OVERRIDE=FQ","FILING_STATUS=MR","SCALING_FORMAT=MLN","Sort=A","Dates=H","DateFormat=P","Fill=—","Direction=H","UseDPDF=Y")</f>
        <v>-7927.4179999999997</v>
      </c>
      <c r="T38" s="15" cm="1">
        <f t="array" ref="T38">_xll.BDH("PH US Equity","CF_CASH_FROM_INV_ACT","FQ2 2023","FQ2 2023","Currency=USD","Period=FQ","BEST_FPERIOD_OVERRIDE=FQ","FILING_STATUS=MR","SCALING_FORMAT=MLN","Sort=A","Dates=H","DateFormat=P","Fill=—","Direction=H","UseDPDF=Y")</f>
        <v>-94.311999999999998</v>
      </c>
      <c r="U38" s="15" cm="1">
        <f t="array" ref="U38">_xll.BDH("PH US Equity","CF_CASH_FROM_INV_ACT","FQ3 2023","FQ3 2023","Currency=USD","Period=FQ","BEST_FPERIOD_OVERRIDE=FQ","FILING_STATUS=MR","SCALING_FORMAT=MLN","Sort=A","Dates=H","DateFormat=P","Fill=—","Direction=H","UseDPDF=Y")</f>
        <v>-63.185000000000002</v>
      </c>
      <c r="V38" s="15" cm="1">
        <f t="array" ref="V38">_xll.BDH("PH US Equity","CF_CASH_FROM_INV_ACT","FQ4 2023","FQ4 2023","Currency=USD","Period=FQ","BEST_FPERIOD_OVERRIDE=FQ","FILING_STATUS=MR","SCALING_FORMAT=MLN","Sort=A","Dates=H","DateFormat=P","Fill=—","Direction=H","UseDPDF=Y")</f>
        <v>-91.897000000000006</v>
      </c>
      <c r="W38" s="15" cm="1">
        <f t="array" ref="W38">_xll.BDH("PH US Equity","CF_CASH_FROM_INV_ACT","FQ1 2024","FQ1 2024","Currency=USD","Period=FQ","BEST_FPERIOD_OVERRIDE=FQ","FILING_STATUS=MR","SCALING_FORMAT=MLN","Sort=A","Dates=H","DateFormat=P","Fill=—","Direction=H","UseDPDF=Y")</f>
        <v>-55.994</v>
      </c>
      <c r="X38" s="15" cm="1">
        <f t="array" ref="X38">_xll.BDH("PH US Equity","CF_CASH_FROM_INV_ACT","FQ2 2024","FQ2 2024","Currency=USD","Period=FQ","BEST_FPERIOD_OVERRIDE=FQ","FILING_STATUS=MR","SCALING_FORMAT=MLN","Sort=A","Dates=H","DateFormat=P","Fill=—","Direction=H","UseDPDF=Y")</f>
        <v>-75.122</v>
      </c>
      <c r="Y38" s="15" cm="1">
        <f t="array" ref="Y38">_xll.BDH("PH US Equity","CF_CASH_FROM_INV_ACT","FQ3 2024","FQ3 2024","Currency=USD","Period=FQ","BEST_FPERIOD_OVERRIDE=FQ","FILING_STATUS=MR","SCALING_FORMAT=MLN","Sort=A","Dates=H","DateFormat=P","Fill=—","Direction=H","UseDPDF=Y")</f>
        <v>-63.185000000000002</v>
      </c>
      <c r="Z38" s="15" cm="1">
        <f t="array" ref="Z38">_xll.BDH("PH US Equity","CF_CASH_FROM_INV_ACT","FQ4 2024","FQ4 2024","Currency=USD","Period=FQ","BEST_FPERIOD_OVERRIDE=FQ","FILING_STATUS=MR","SCALING_FORMAT=MLN","Sort=A","Dates=H","DateFormat=P","Fill=—","Direction=H","UseDPDF=Y")</f>
        <v>-104.28700000000001</v>
      </c>
      <c r="AA38" s="15" cm="1">
        <f t="array" ref="AA38">_xll.BDH("PH US Equity","CF_CASH_FROM_INV_ACT","FQ1 2025","FQ1 2025","Currency=USD","Period=FQ","BEST_FPERIOD_OVERRIDE=FQ","FILING_STATUS=MR","SCALING_FORMAT=MLN","Sort=A","Dates=H","DateFormat=P","Fill=—","Direction=H","UseDPDF=Y")</f>
        <v>-86.608000000000004</v>
      </c>
      <c r="AB38" s="15" cm="1">
        <f t="array" ref="AB38">_xll.BDH("PH US Equity","CF_CASH_FROM_INV_ACT","FQ2 2025","FQ2 2025","Currency=USD","Period=FQ","BEST_FPERIOD_OVERRIDE=FQ","FILING_STATUS=MR","SCALING_FORMAT=MLN","Sort=A","Dates=H","DateFormat=P","Fill=—","Direction=H","UseDPDF=Y")</f>
        <v>498.61500000000001</v>
      </c>
      <c r="AC38" s="15" cm="1">
        <f t="array" ref="AC38">_xll.BDH("PH US Equity","CF_CASH_FROM_INV_ACT","FQ3 2025","FQ3 2025","Currency=USD","Period=FQ","BEST_FPERIOD_OVERRIDE=FQ","FILING_STATUS=MR","SCALING_FORMAT=MLN","Sort=A","Dates=H","DateFormat=P","Fill=—","Direction=H","UseDPDF=Y")</f>
        <v>-67.337000000000003</v>
      </c>
      <c r="AD38" s="15" cm="1">
        <f t="array" ref="AD38">_xll.BDH("PH US Equity","CF_CASH_FROM_INV_ACT","FQ4 2025","FQ4 2025","Currency=USD","Period=FQ","BEST_FPERIOD_OVERRIDE=FQ","FILING_STATUS=MR","SCALING_FORMAT=MLN","Sort=A","Dates=H","DateFormat=P","Fill=—","Direction=H","UseDPDF=Y")</f>
        <v>-120.67</v>
      </c>
      <c r="AE38" s="15" cm="1">
        <f t="array" ref="AE38">_xll.BDH("PH US Equity","CF_CASH_FROM_INV_ACT","FQ1 2026","FQ1 2026","Currency=USD","Period=FQ","BEST_FPERIOD_OVERRIDE=FQ","FILING_STATUS=MR","SCALING_FORMAT=MLN","Sort=A","Dates=H","DateFormat=P","Fill=—","Direction=H","UseDPDF=Y")</f>
        <v>-1078</v>
      </c>
      <c r="AF38" s="15" cm="1">
        <f t="array" ref="AF38">_xll.BDH("PH US Equity","CF_CASH_FROM_INV_ACT","FQ2 2026","FQ2 2026","Currency=USD","Period=FQ","BEST_FPERIOD_OVERRIDE=FQ","FILING_STATUS=MR","SCALING_FORMAT=MLN","Sort=A","Dates=H","DateFormat=P","Fill=—","Direction=H","UseDPDF=Y")</f>
        <v>-68</v>
      </c>
    </row>
    <row r="39" spans="1:32" x14ac:dyDescent="0.25">
      <c r="A39" s="6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x14ac:dyDescent="0.25">
      <c r="A40" s="6" t="s">
        <v>124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x14ac:dyDescent="0.25">
      <c r="A41" s="10" t="s">
        <v>125</v>
      </c>
      <c r="B41" s="10" t="s">
        <v>126</v>
      </c>
      <c r="C41" s="12" cm="1">
        <f t="array" ref="C41">_xll.BDH("PH US Equity","CF_DVD_PAID","FQ1 2019","FQ1 2019","Currency=USD","Period=FQ","BEST_FPERIOD_OVERRIDE=FQ","FILING_STATUS=MR","SCALING_FORMAT=MLN","Sort=A","Dates=H","DateFormat=P","Fill=—","Direction=H","UseDPDF=Y")</f>
        <v>-100.869</v>
      </c>
      <c r="D41" s="12" cm="1">
        <f t="array" ref="D41">_xll.BDH("PH US Equity","CF_DVD_PAID","FQ2 2019","FQ2 2019","Currency=USD","Period=FQ","BEST_FPERIOD_OVERRIDE=FQ","FILING_STATUS=MR","SCALING_FORMAT=MLN","Sort=A","Dates=H","DateFormat=P","Fill=—","Direction=H","UseDPDF=Y")</f>
        <v>-99.59</v>
      </c>
      <c r="E41" s="12" cm="1">
        <f t="array" ref="E41">_xll.BDH("PH US Equity","CF_DVD_PAID","FQ3 2019","FQ3 2019","Currency=USD","Period=FQ","BEST_FPERIOD_OVERRIDE=FQ","FILING_STATUS=MR","SCALING_FORMAT=MLN","Sort=A","Dates=H","DateFormat=P","Fill=—","Direction=H","UseDPDF=Y")</f>
        <v>-98.546999999999997</v>
      </c>
      <c r="F41" s="12" cm="1">
        <f t="array" ref="F41">_xll.BDH("PH US Equity","CF_DVD_PAID","FQ4 2019","FQ4 2019","Currency=USD","Period=FQ","BEST_FPERIOD_OVERRIDE=FQ","FILING_STATUS=MR","SCALING_FORMAT=MLN","Sort=A","Dates=H","DateFormat=P","Fill=—","Direction=H","UseDPDF=Y")</f>
        <v>-113.462</v>
      </c>
      <c r="G41" s="12" cm="1">
        <f t="array" ref="G41">_xll.BDH("PH US Equity","CF_DVD_PAID","FQ1 2020","FQ1 2020","Currency=USD","Period=FQ","BEST_FPERIOD_OVERRIDE=FQ","FILING_STATUS=MR","SCALING_FORMAT=MLN","Sort=A","Dates=H","DateFormat=P","Fill=—","Direction=H","UseDPDF=Y")</f>
        <v>-113.352</v>
      </c>
      <c r="H41" s="12" cm="1">
        <f t="array" ref="H41">_xll.BDH("PH US Equity","CF_DVD_PAID","FQ2 2020","FQ2 2020","Currency=USD","Period=FQ","BEST_FPERIOD_OVERRIDE=FQ","FILING_STATUS=MR","SCALING_FORMAT=MLN","Sort=A","Dates=H","DateFormat=P","Fill=—","Direction=H","UseDPDF=Y")</f>
        <v>-113.673</v>
      </c>
      <c r="I41" s="12" cm="1">
        <f t="array" ref="I41">_xll.BDH("PH US Equity","CF_DVD_PAID","FQ3 2020","FQ3 2020","Currency=USD","Period=FQ","BEST_FPERIOD_OVERRIDE=FQ","FILING_STATUS=MR","SCALING_FORMAT=MLN","Sort=A","Dates=H","DateFormat=P","Fill=—","Direction=H","UseDPDF=Y")</f>
        <v>-113.26600000000001</v>
      </c>
      <c r="J41" s="12" cm="1">
        <f t="array" ref="J41">_xll.BDH("PH US Equity","CF_DVD_PAID","FQ4 2020","FQ4 2020","Currency=USD","Period=FQ","BEST_FPERIOD_OVERRIDE=FQ","FILING_STATUS=MR","SCALING_FORMAT=MLN","Sort=A","Dates=H","DateFormat=P","Fill=—","Direction=H","UseDPDF=Y")</f>
        <v>-113.547</v>
      </c>
      <c r="K41" s="12" cm="1">
        <f t="array" ref="K41">_xll.BDH("PH US Equity","CF_DVD_PAID","FQ1 2021","FQ1 2021","Currency=USD","Period=FQ","BEST_FPERIOD_OVERRIDE=FQ","FILING_STATUS=MR","SCALING_FORMAT=MLN","Sort=A","Dates=H","DateFormat=P","Fill=—","Direction=H","UseDPDF=Y")</f>
        <v>-113.542</v>
      </c>
      <c r="L41" s="12" cm="1">
        <f t="array" ref="L41">_xll.BDH("PH US Equity","CF_DVD_PAID","FQ2 2021","FQ2 2021","Currency=USD","Period=FQ","BEST_FPERIOD_OVERRIDE=FQ","FILING_STATUS=MR","SCALING_FORMAT=MLN","Sort=A","Dates=H","DateFormat=P","Fill=—","Direction=H","UseDPDF=Y")</f>
        <v>-113.68600000000001</v>
      </c>
      <c r="M41" s="12" cm="1">
        <f t="array" ref="M41">_xll.BDH("PH US Equity","CF_DVD_PAID","FQ3 2021","FQ3 2021","Currency=USD","Period=FQ","BEST_FPERIOD_OVERRIDE=FQ","FILING_STATUS=MR","SCALING_FORMAT=MLN","Sort=A","Dates=H","DateFormat=P","Fill=—","Direction=H","UseDPDF=Y")</f>
        <v>-114.105</v>
      </c>
      <c r="N41" s="12" cm="1">
        <f t="array" ref="N41">_xll.BDH("PH US Equity","CF_DVD_PAID","FQ4 2021","FQ4 2021","Currency=USD","Period=FQ","BEST_FPERIOD_OVERRIDE=FQ","FILING_STATUS=MR","SCALING_FORMAT=MLN","Sort=A","Dates=H","DateFormat=P","Fill=—","Direction=H","UseDPDF=Y")</f>
        <v>-133.84100000000001</v>
      </c>
      <c r="O41" s="12" cm="1">
        <f t="array" ref="O41">_xll.BDH("PH US Equity","CF_DVD_PAID","FQ1 2022","FQ1 2022","Currency=USD","Period=FQ","BEST_FPERIOD_OVERRIDE=FQ","FILING_STATUS=MR","SCALING_FORMAT=MLN","Sort=A","Dates=H","DateFormat=P","Fill=—","Direction=H","UseDPDF=Y")</f>
        <v>-132.92099999999999</v>
      </c>
      <c r="P41" s="12" cm="1">
        <f t="array" ref="P41">_xll.BDH("PH US Equity","CF_DVD_PAID","FQ2 2022","FQ2 2022","Currency=USD","Period=FQ","BEST_FPERIOD_OVERRIDE=FQ","FILING_STATUS=MR","SCALING_FORMAT=MLN","Sort=A","Dates=H","DateFormat=P","Fill=—","Direction=H","UseDPDF=Y")</f>
        <v>-132.63499999999999</v>
      </c>
      <c r="Q41" s="12" cm="1">
        <f t="array" ref="Q41">_xll.BDH("PH US Equity","CF_DVD_PAID","FQ3 2022","FQ3 2022","Currency=USD","Period=FQ","BEST_FPERIOD_OVERRIDE=FQ","FILING_STATUS=MR","SCALING_FORMAT=MLN","Sort=A","Dates=H","DateFormat=P","Fill=—","Direction=H","UseDPDF=Y")</f>
        <v>-132.54300000000001</v>
      </c>
      <c r="R41" s="12" cm="1">
        <f t="array" ref="R41">_xll.BDH("PH US Equity","CF_DVD_PAID","FQ4 2022","FQ4 2022","Currency=USD","Period=FQ","BEST_FPERIOD_OVERRIDE=FQ","FILING_STATUS=MR","SCALING_FORMAT=MLN","Sort=A","Dates=H","DateFormat=P","Fill=—","Direction=H","UseDPDF=Y")</f>
        <v>-171.756</v>
      </c>
      <c r="S41" s="12" cm="1">
        <f t="array" ref="S41">_xll.BDH("PH US Equity","CF_DVD_PAID","FQ1 2023","FQ1 2023","Currency=USD","Period=FQ","BEST_FPERIOD_OVERRIDE=FQ","FILING_STATUS=MR","SCALING_FORMAT=MLN","Sort=A","Dates=H","DateFormat=P","Fill=—","Direction=H","UseDPDF=Y")</f>
        <v>-171.17599999999999</v>
      </c>
      <c r="T41" s="12" cm="1">
        <f t="array" ref="T41">_xll.BDH("PH US Equity","CF_DVD_PAID","FQ2 2023","FQ2 2023","Currency=USD","Period=FQ","BEST_FPERIOD_OVERRIDE=FQ","FILING_STATUS=MR","SCALING_FORMAT=MLN","Sort=A","Dates=H","DateFormat=P","Fill=—","Direction=H","UseDPDF=Y")</f>
        <v>-171.184</v>
      </c>
      <c r="U41" s="12" cm="1">
        <f t="array" ref="U41">_xll.BDH("PH US Equity","CF_DVD_PAID","FQ3 2023","FQ3 2023","Currency=USD","Period=FQ","BEST_FPERIOD_OVERRIDE=FQ","FILING_STATUS=MR","SCALING_FORMAT=MLN","Sort=A","Dates=H","DateFormat=P","Fill=—","Direction=H","UseDPDF=Y")</f>
        <v>-170.87200000000001</v>
      </c>
      <c r="V41" s="12" cm="1">
        <f t="array" ref="V41">_xll.BDH("PH US Equity","CF_DVD_PAID","FQ4 2023","FQ4 2023","Currency=USD","Period=FQ","BEST_FPERIOD_OVERRIDE=FQ","FILING_STATUS=MR","SCALING_FORMAT=MLN","Sort=A","Dates=H","DateFormat=P","Fill=—","Direction=H","UseDPDF=Y")</f>
        <v>-190.822</v>
      </c>
      <c r="W41" s="12" cm="1">
        <f t="array" ref="W41">_xll.BDH("PH US Equity","CF_DVD_PAID","FQ1 2024","FQ1 2024","Currency=USD","Period=FQ","BEST_FPERIOD_OVERRIDE=FQ","FILING_STATUS=MR","SCALING_FORMAT=MLN","Sort=A","Dates=H","DateFormat=P","Fill=—","Direction=H","UseDPDF=Y")</f>
        <v>-190.42</v>
      </c>
      <c r="X41" s="12" cm="1">
        <f t="array" ref="X41">_xll.BDH("PH US Equity","CF_DVD_PAID","FQ2 2024","FQ2 2024","Currency=USD","Period=FQ","BEST_FPERIOD_OVERRIDE=FQ","FILING_STATUS=MR","SCALING_FORMAT=MLN","Sort=A","Dates=H","DateFormat=P","Fill=—","Direction=H","UseDPDF=Y")</f>
        <v>-190.69499999999999</v>
      </c>
      <c r="Y41" s="12" cm="1">
        <f t="array" ref="Y41">_xll.BDH("PH US Equity","CF_DVD_PAID","FQ3 2024","FQ3 2024","Currency=USD","Period=FQ","BEST_FPERIOD_OVERRIDE=FQ","FILING_STATUS=MR","SCALING_FORMAT=MLN","Sort=A","Dates=H","DateFormat=P","Fill=—","Direction=H","UseDPDF=Y")</f>
        <v>-190.46799999999999</v>
      </c>
      <c r="Z41" s="12" cm="1">
        <f t="array" ref="Z41">_xll.BDH("PH US Equity","CF_DVD_PAID","FQ4 2024","FQ4 2024","Currency=USD","Period=FQ","BEST_FPERIOD_OVERRIDE=FQ","FILING_STATUS=MR","SCALING_FORMAT=MLN","Sort=A","Dates=H","DateFormat=P","Fill=—","Direction=H","UseDPDF=Y")</f>
        <v>-210.465</v>
      </c>
      <c r="AA41" s="12" cm="1">
        <f t="array" ref="AA41">_xll.BDH("PH US Equity","CF_DVD_PAID","FQ1 2025","FQ1 2025","Currency=USD","Period=FQ","BEST_FPERIOD_OVERRIDE=FQ","FILING_STATUS=MR","SCALING_FORMAT=MLN","Sort=A","Dates=H","DateFormat=P","Fill=—","Direction=H","UseDPDF=Y")</f>
        <v>-209.93700000000001</v>
      </c>
      <c r="AB41" s="12" cm="1">
        <f t="array" ref="AB41">_xll.BDH("PH US Equity","CF_DVD_PAID","FQ2 2025","FQ2 2025","Currency=USD","Period=FQ","BEST_FPERIOD_OVERRIDE=FQ","FILING_STATUS=MR","SCALING_FORMAT=MLN","Sort=A","Dates=H","DateFormat=P","Fill=—","Direction=H","UseDPDF=Y")</f>
        <v>-210.124</v>
      </c>
      <c r="AC41" s="12" cm="1">
        <f t="array" ref="AC41">_xll.BDH("PH US Equity","CF_DVD_PAID","FQ3 2025","FQ3 2025","Currency=USD","Period=FQ","BEST_FPERIOD_OVERRIDE=FQ","FILING_STATUS=MR","SCALING_FORMAT=MLN","Sort=A","Dates=H","DateFormat=P","Fill=—","Direction=H","UseDPDF=Y")</f>
        <v>-210.107</v>
      </c>
      <c r="AD41" s="12" cm="1">
        <f t="array" ref="AD41">_xll.BDH("PH US Equity","CF_DVD_PAID","FQ4 2025","FQ4 2025","Currency=USD","Period=FQ","BEST_FPERIOD_OVERRIDE=FQ","FILING_STATUS=MR","SCALING_FORMAT=MLN","Sort=A","Dates=H","DateFormat=P","Fill=—","Direction=H","UseDPDF=Y")</f>
        <v>-230.83199999999999</v>
      </c>
      <c r="AE41" s="12" cm="1">
        <f t="array" ref="AE41">_xll.BDH("PH US Equity","CF_DVD_PAID","FQ1 2026","FQ1 2026","Currency=USD","Period=FQ","BEST_FPERIOD_OVERRIDE=FQ","FILING_STATUS=MR","SCALING_FORMAT=MLN","Sort=A","Dates=H","DateFormat=P","Fill=—","Direction=H","UseDPDF=Y")</f>
        <v>-228</v>
      </c>
      <c r="AF41" s="12" cm="1">
        <f t="array" ref="AF41">_xll.BDH("PH US Equity","CF_DVD_PAID","FQ2 2026","FQ2 2026","Currency=USD","Period=FQ","BEST_FPERIOD_OVERRIDE=FQ","FILING_STATUS=MR","SCALING_FORMAT=MLN","Sort=A","Dates=H","DateFormat=P","Fill=—","Direction=H","UseDPDF=Y")</f>
        <v>-228</v>
      </c>
    </row>
    <row r="42" spans="1:32" x14ac:dyDescent="0.25">
      <c r="A42" s="10" t="s">
        <v>127</v>
      </c>
      <c r="B42" s="10" t="s">
        <v>128</v>
      </c>
      <c r="C42" s="12" cm="1">
        <f t="array" ref="C42">_xll.BDH("PH US Equity","PROC_FR_REPAYMNTS_BOR_DETAILED","FQ1 2019","FQ1 2019","Currency=USD","Period=FQ","BEST_FPERIOD_OVERRIDE=FQ","FILING_STATUS=MR","SCALING_FORMAT=MLN","Sort=A","Dates=H","DateFormat=P","Fill=—","Direction=H","UseDPDF=Y")</f>
        <v>158.477</v>
      </c>
      <c r="D42" s="12" cm="1">
        <f t="array" ref="D42">_xll.BDH("PH US Equity","PROC_FR_REPAYMNTS_BOR_DETAILED","FQ2 2019","FQ2 2019","Currency=USD","Period=FQ","BEST_FPERIOD_OVERRIDE=FQ","FILING_STATUS=MR","SCALING_FORMAT=MLN","Sort=A","Dates=H","DateFormat=P","Fill=—","Direction=H","UseDPDF=Y")</f>
        <v>505.81099999999998</v>
      </c>
      <c r="E42" s="12" cm="1">
        <f t="array" ref="E42">_xll.BDH("PH US Equity","PROC_FR_REPAYMNTS_BOR_DETAILED","FQ3 2019","FQ3 2019","Currency=USD","Period=FQ","BEST_FPERIOD_OVERRIDE=FQ","FILING_STATUS=MR","SCALING_FORMAT=MLN","Sort=A","Dates=H","DateFormat=P","Fill=—","Direction=H","UseDPDF=Y")</f>
        <v>-127.169</v>
      </c>
      <c r="F42" s="12" cm="1">
        <f t="array" ref="F42">_xll.BDH("PH US Equity","PROC_FR_REPAYMNTS_BOR_DETAILED","FQ4 2019","FQ4 2019","Currency=USD","Period=FQ","BEST_FPERIOD_OVERRIDE=FQ","FILING_STATUS=MR","SCALING_FORMAT=MLN","Sort=A","Dates=H","DateFormat=P","Fill=—","Direction=H","UseDPDF=Y")</f>
        <v>1793.7090000000001</v>
      </c>
      <c r="G42" s="12" cm="1">
        <f t="array" ref="G42">_xll.BDH("PH US Equity","PROC_FR_REPAYMNTS_BOR_DETAILED","FQ1 2020","FQ1 2020","Currency=USD","Period=FQ","BEST_FPERIOD_OVERRIDE=FQ","FILING_STATUS=MR","SCALING_FORMAT=MLN","Sort=A","Dates=H","DateFormat=P","Fill=—","Direction=H","UseDPDF=Y")</f>
        <v>2023.7139999999999</v>
      </c>
      <c r="H42" s="12" cm="1">
        <f t="array" ref="H42">_xll.BDH("PH US Equity","PROC_FR_REPAYMNTS_BOR_DETAILED","FQ2 2020","FQ2 2020","Currency=USD","Period=FQ","BEST_FPERIOD_OVERRIDE=FQ","FILING_STATUS=MR","SCALING_FORMAT=MLN","Sort=A","Dates=H","DateFormat=P","Fill=—","Direction=H","UseDPDF=Y")</f>
        <v>392.50799999999998</v>
      </c>
      <c r="I42" s="12" cm="1">
        <f t="array" ref="I42">_xll.BDH("PH US Equity","PROC_FR_REPAYMNTS_BOR_DETAILED","FQ3 2020","FQ3 2020","Currency=USD","Period=FQ","BEST_FPERIOD_OVERRIDE=FQ","FILING_STATUS=MR","SCALING_FORMAT=MLN","Sort=A","Dates=H","DateFormat=P","Fill=—","Direction=H","UseDPDF=Y")</f>
        <v>-611.01199999999994</v>
      </c>
      <c r="J42" s="12" cm="1">
        <f t="array" ref="J42">_xll.BDH("PH US Equity","PROC_FR_REPAYMNTS_BOR_DETAILED","FQ4 2020","FQ4 2020","Currency=USD","Period=FQ","BEST_FPERIOD_OVERRIDE=FQ","FILING_STATUS=MR","SCALING_FORMAT=MLN","Sort=A","Dates=H","DateFormat=P","Fill=—","Direction=H","UseDPDF=Y")</f>
        <v>-687.43600000000004</v>
      </c>
      <c r="K42" s="12" cm="1">
        <f t="array" ref="K42">_xll.BDH("PH US Equity","PROC_FR_REPAYMNTS_BOR_DETAILED","FQ1 2021","FQ1 2021","Currency=USD","Period=FQ","BEST_FPERIOD_OVERRIDE=FQ","FILING_STATUS=MR","SCALING_FORMAT=MLN","Sort=A","Dates=H","DateFormat=P","Fill=—","Direction=H","UseDPDF=Y")</f>
        <v>-557.44200000000001</v>
      </c>
      <c r="L42" s="12" cm="1">
        <f t="array" ref="L42">_xll.BDH("PH US Equity","PROC_FR_REPAYMNTS_BOR_DETAILED","FQ2 2021","FQ2 2021","Currency=USD","Period=FQ","BEST_FPERIOD_OVERRIDE=FQ","FILING_STATUS=MR","SCALING_FORMAT=MLN","Sort=A","Dates=H","DateFormat=P","Fill=—","Direction=H","UseDPDF=Y")</f>
        <v>-766.90599999999995</v>
      </c>
      <c r="M42" s="12" cm="1">
        <f t="array" ref="M42">_xll.BDH("PH US Equity","PROC_FR_REPAYMNTS_BOR_DETAILED","FQ3 2021","FQ3 2021","Currency=USD","Period=FQ","BEST_FPERIOD_OVERRIDE=FQ","FILING_STATUS=MR","SCALING_FORMAT=MLN","Sort=A","Dates=H","DateFormat=P","Fill=—","Direction=H","UseDPDF=Y")</f>
        <v>-424.47</v>
      </c>
      <c r="N42" s="12" cm="1">
        <f t="array" ref="N42">_xll.BDH("PH US Equity","PROC_FR_REPAYMNTS_BOR_DETAILED","FQ4 2021","FQ4 2021","Currency=USD","Period=FQ","BEST_FPERIOD_OVERRIDE=FQ","FILING_STATUS=MR","SCALING_FORMAT=MLN","Sort=A","Dates=H","DateFormat=P","Fill=—","Direction=H","UseDPDF=Y")</f>
        <v>-185.21299999999999</v>
      </c>
      <c r="O42" s="12" cm="1">
        <f t="array" ref="O42">_xll.BDH("PH US Equity","PROC_FR_REPAYMNTS_BOR_DETAILED","FQ1 2022","FQ1 2022","Currency=USD","Period=FQ","BEST_FPERIOD_OVERRIDE=FQ","FILING_STATUS=MR","SCALING_FORMAT=MLN","Sort=A","Dates=H","DateFormat=P","Fill=—","Direction=H","UseDPDF=Y")</f>
        <v>-0.59499999999999997</v>
      </c>
      <c r="P42" s="12" cm="1">
        <f t="array" ref="P42">_xll.BDH("PH US Equity","PROC_FR_REPAYMNTS_BOR_DETAILED","FQ2 2022","FQ2 2022","Currency=USD","Period=FQ","BEST_FPERIOD_OVERRIDE=FQ","FILING_STATUS=MR","SCALING_FORMAT=MLN","Sort=A","Dates=H","DateFormat=P","Fill=—","Direction=H","UseDPDF=Y")</f>
        <v>1901.4390000000001</v>
      </c>
      <c r="Q42" s="12" cm="1">
        <f t="array" ref="Q42">_xll.BDH("PH US Equity","PROC_FR_REPAYMNTS_BOR_DETAILED","FQ3 2022","FQ3 2022","Currency=USD","Period=FQ","BEST_FPERIOD_OVERRIDE=FQ","FILING_STATUS=MR","SCALING_FORMAT=MLN","Sort=A","Dates=H","DateFormat=P","Fill=—","Direction=H","UseDPDF=Y")</f>
        <v>-278.40199999999999</v>
      </c>
      <c r="R42" s="12" cm="1">
        <f t="array" ref="R42">_xll.BDH("PH US Equity","PROC_FR_REPAYMNTS_BOR_DETAILED","FQ4 2022","FQ4 2022","Currency=USD","Period=FQ","BEST_FPERIOD_OVERRIDE=FQ","FILING_STATUS=MR","SCALING_FORMAT=MLN","Sort=A","Dates=H","DateFormat=P","Fill=—","Direction=H","UseDPDF=Y")</f>
        <v>3378.9029999999998</v>
      </c>
      <c r="S42" s="12" cm="1">
        <f t="array" ref="S42">_xll.BDH("PH US Equity","PROC_FR_REPAYMNTS_BOR_DETAILED","FQ1 2023","FQ1 2023","Currency=USD","Period=FQ","BEST_FPERIOD_OVERRIDE=FQ","FILING_STATUS=MR","SCALING_FORMAT=MLN","Sort=A","Dates=H","DateFormat=P","Fill=—","Direction=H","UseDPDF=Y")</f>
        <v>1586.181</v>
      </c>
      <c r="T42" s="12" cm="1">
        <f t="array" ref="T42">_xll.BDH("PH US Equity","PROC_FR_REPAYMNTS_BOR_DETAILED","FQ2 2023","FQ2 2023","Currency=USD","Period=FQ","BEST_FPERIOD_OVERRIDE=FQ","FILING_STATUS=MR","SCALING_FORMAT=MLN","Sort=A","Dates=H","DateFormat=P","Fill=—","Direction=H","UseDPDF=Y")</f>
        <v>-49.97</v>
      </c>
      <c r="U42" s="12" cm="1">
        <f t="array" ref="U42">_xll.BDH("PH US Equity","PROC_FR_REPAYMNTS_BOR_DETAILED","FQ3 2023","FQ3 2023","Currency=USD","Period=FQ","BEST_FPERIOD_OVERRIDE=FQ","FILING_STATUS=MR","SCALING_FORMAT=MLN","Sort=A","Dates=H","DateFormat=P","Fill=—","Direction=H","UseDPDF=Y")</f>
        <v>-629.4</v>
      </c>
      <c r="V42" s="12" cm="1">
        <f t="array" ref="V42">_xll.BDH("PH US Equity","PROC_FR_REPAYMNTS_BOR_DETAILED","FQ4 2023","FQ4 2023","Currency=USD","Period=FQ","BEST_FPERIOD_OVERRIDE=FQ","FILING_STATUS=MR","SCALING_FORMAT=MLN","Sort=A","Dates=H","DateFormat=P","Fill=—","Direction=H","UseDPDF=Y")</f>
        <v>-866.34100000000001</v>
      </c>
      <c r="W42" s="12" cm="1">
        <f t="array" ref="W42">_xll.BDH("PH US Equity","PROC_FR_REPAYMNTS_BOR_DETAILED","FQ1 2024","FQ1 2024","Currency=USD","Period=FQ","BEST_FPERIOD_OVERRIDE=FQ","FILING_STATUS=MR","SCALING_FORMAT=MLN","Sort=A","Dates=H","DateFormat=P","Fill=—","Direction=H","UseDPDF=Y")</f>
        <v>-346.411</v>
      </c>
      <c r="X42" s="12" cm="1">
        <f t="array" ref="X42">_xll.BDH("PH US Equity","PROC_FR_REPAYMNTS_BOR_DETAILED","FQ2 2024","FQ2 2024","Currency=USD","Period=FQ","BEST_FPERIOD_OVERRIDE=FQ","FILING_STATUS=MR","SCALING_FORMAT=MLN","Sort=A","Dates=H","DateFormat=P","Fill=—","Direction=H","UseDPDF=Y")</f>
        <v>-438.43599999999998</v>
      </c>
      <c r="Y42" s="12" cm="1">
        <f t="array" ref="Y42">_xll.BDH("PH US Equity","PROC_FR_REPAYMNTS_BOR_DETAILED","FQ3 2024","FQ3 2024","Currency=USD","Period=FQ","BEST_FPERIOD_OVERRIDE=FQ","FILING_STATUS=MR","SCALING_FORMAT=MLN","Sort=A","Dates=H","DateFormat=P","Fill=—","Direction=H","UseDPDF=Y")</f>
        <v>-408.52600000000001</v>
      </c>
      <c r="Z42" s="12" cm="1">
        <f t="array" ref="Z42">_xll.BDH("PH US Equity","PROC_FR_REPAYMNTS_BOR_DETAILED","FQ4 2024","FQ4 2024","Currency=USD","Period=FQ","BEST_FPERIOD_OVERRIDE=FQ","FILING_STATUS=MR","SCALING_FORMAT=MLN","Sort=A","Dates=H","DateFormat=P","Fill=—","Direction=H","UseDPDF=Y")</f>
        <v>-808.14599999999996</v>
      </c>
      <c r="AA42" s="12" cm="1">
        <f t="array" ref="AA42">_xll.BDH("PH US Equity","PROC_FR_REPAYMNTS_BOR_DETAILED","FQ1 2025","FQ1 2025","Currency=USD","Period=FQ","BEST_FPERIOD_OVERRIDE=FQ","FILING_STATUS=MR","SCALING_FORMAT=MLN","Sort=A","Dates=H","DateFormat=P","Fill=—","Direction=H","UseDPDF=Y")</f>
        <v>-408.92899999999997</v>
      </c>
      <c r="AB42" s="12" cm="1">
        <f t="array" ref="AB42">_xll.BDH("PH US Equity","PROC_FR_REPAYMNTS_BOR_DETAILED","FQ2 2025","FQ2 2025","Currency=USD","Period=FQ","BEST_FPERIOD_OVERRIDE=FQ","FILING_STATUS=MR","SCALING_FORMAT=MLN","Sort=A","Dates=H","DateFormat=P","Fill=—","Direction=H","UseDPDF=Y")</f>
        <v>-1085.5550000000001</v>
      </c>
      <c r="AC42" s="12" cm="1">
        <f t="array" ref="AC42">_xll.BDH("PH US Equity","PROC_FR_REPAYMNTS_BOR_DETAILED","FQ3 2025","FQ3 2025","Currency=USD","Period=FQ","BEST_FPERIOD_OVERRIDE=FQ","FILING_STATUS=MR","SCALING_FORMAT=MLN","Sort=A","Dates=H","DateFormat=P","Fill=—","Direction=H","UseDPDF=Y")</f>
        <v>300.53199999999998</v>
      </c>
      <c r="AD42" s="12" cm="1">
        <f t="array" ref="AD42">_xll.BDH("PH US Equity","PROC_FR_REPAYMNTS_BOR_DETAILED","FQ4 2025","FQ4 2025","Currency=USD","Period=FQ","BEST_FPERIOD_OVERRIDE=FQ","FILING_STATUS=MR","SCALING_FORMAT=MLN","Sort=A","Dates=H","DateFormat=P","Fill=—","Direction=H","UseDPDF=Y")</f>
        <v>-160.048</v>
      </c>
      <c r="AE42" s="12" cm="1">
        <f t="array" ref="AE42">_xll.BDH("PH US Equity","PROC_FR_REPAYMNTS_BOR_DETAILED","FQ1 2026","FQ1 2026","Currency=USD","Period=FQ","BEST_FPERIOD_OVERRIDE=FQ","FILING_STATUS=MR","SCALING_FORMAT=MLN","Sort=A","Dates=H","DateFormat=P","Fill=—","Direction=H","UseDPDF=Y")</f>
        <v>1056</v>
      </c>
      <c r="AF42" s="12" cm="1">
        <f t="array" ref="AF42">_xll.BDH("PH US Equity","PROC_FR_REPAYMNTS_BOR_DETAILED","FQ2 2026","FQ2 2026","Currency=USD","Period=FQ","BEST_FPERIOD_OVERRIDE=FQ","FILING_STATUS=MR","SCALING_FORMAT=MLN","Sort=A","Dates=H","DateFormat=P","Fill=—","Direction=H","UseDPDF=Y")</f>
        <v>-461</v>
      </c>
    </row>
    <row r="43" spans="1:32" x14ac:dyDescent="0.25">
      <c r="A43" s="10" t="s">
        <v>129</v>
      </c>
      <c r="B43" s="10" t="s">
        <v>130</v>
      </c>
      <c r="C43" s="12" cm="1">
        <f t="array" ref="C43">_xll.BDH("PH US Equity","CF_NET_CHG_ST_DEBT_CPTL_LEAS","FQ1 2019","FQ1 2019","Currency=USD","Period=FQ","BEST_FPERIOD_OVERRIDE=FQ","FILING_STATUS=MR","SCALING_FORMAT=MLN","Sort=A","Dates=H","DateFormat=P","Fill=—","Direction=H","UseDPDF=Y")</f>
        <v>258.54000000000002</v>
      </c>
      <c r="D43" s="12" cm="1">
        <f t="array" ref="D43">_xll.BDH("PH US Equity","CF_NET_CHG_ST_DEBT_CPTL_LEAS","FQ2 2019","FQ2 2019","Currency=USD","Period=FQ","BEST_FPERIOD_OVERRIDE=FQ","FILING_STATUS=MR","SCALING_FORMAT=MLN","Sort=A","Dates=H","DateFormat=P","Fill=—","Direction=H","UseDPDF=Y")</f>
        <v>0</v>
      </c>
      <c r="E43" s="12" cm="1">
        <f t="array" ref="E43">_xll.BDH("PH US Equity","CF_NET_CHG_ST_DEBT_CPTL_LEAS","FQ3 2019","FQ3 2019","Currency=USD","Period=FQ","BEST_FPERIOD_OVERRIDE=FQ","FILING_STATUS=MR","SCALING_FORMAT=MLN","Sort=A","Dates=H","DateFormat=P","Fill=—","Direction=H","UseDPDF=Y")</f>
        <v>-127.06699999999999</v>
      </c>
      <c r="F43" s="12" cm="1">
        <f t="array" ref="F43">_xll.BDH("PH US Equity","CF_NET_CHG_ST_DEBT_CPTL_LEAS","FQ4 2019","FQ4 2019","Currency=USD","Period=FQ","BEST_FPERIOD_OVERRIDE=FQ","FILING_STATUS=MR","SCALING_FORMAT=MLN","Sort=A","Dates=H","DateFormat=P","Fill=—","Direction=H","UseDPDF=Y")</f>
        <v>0</v>
      </c>
      <c r="G43" s="12" cm="1">
        <f t="array" ref="G43">_xll.BDH("PH US Equity","CF_NET_CHG_ST_DEBT_CPTL_LEAS","FQ1 2020","FQ1 2020","Currency=USD","Period=FQ","BEST_FPERIOD_OVERRIDE=FQ","FILING_STATUS=MR","SCALING_FORMAT=MLN","Sort=A","Dates=H","DateFormat=P","Fill=—","Direction=H","UseDPDF=Y")</f>
        <v>1104.2460000000001</v>
      </c>
      <c r="H43" s="12" cm="1">
        <f t="array" ref="H43">_xll.BDH("PH US Equity","CF_NET_CHG_ST_DEBT_CPTL_LEAS","FQ2 2020","FQ2 2020","Currency=USD","Period=FQ","BEST_FPERIOD_OVERRIDE=FQ","FILING_STATUS=MR","SCALING_FORMAT=MLN","Sort=A","Dates=H","DateFormat=P","Fill=—","Direction=H","UseDPDF=Y")</f>
        <v>-172.7</v>
      </c>
      <c r="I43" s="12" cm="1">
        <f t="array" ref="I43">_xll.BDH("PH US Equity","CF_NET_CHG_ST_DEBT_CPTL_LEAS","FQ3 2020","FQ3 2020","Currency=USD","Period=FQ","BEST_FPERIOD_OVERRIDE=FQ","FILING_STATUS=MR","SCALING_FORMAT=MLN","Sort=A","Dates=H","DateFormat=P","Fill=—","Direction=H","UseDPDF=Y")</f>
        <v>-569.20000000000005</v>
      </c>
      <c r="J43" s="12" cm="1">
        <f t="array" ref="J43">_xll.BDH("PH US Equity","CF_NET_CHG_ST_DEBT_CPTL_LEAS","FQ4 2020","FQ4 2020","Currency=USD","Period=FQ","BEST_FPERIOD_OVERRIDE=FQ","FILING_STATUS=MR","SCALING_FORMAT=MLN","Sort=A","Dates=H","DateFormat=P","Fill=—","Direction=H","UseDPDF=Y")</f>
        <v>-225.602</v>
      </c>
      <c r="K43" s="12" cm="1">
        <f t="array" ref="K43">_xll.BDH("PH US Equity","CF_NET_CHG_ST_DEBT_CPTL_LEAS","FQ1 2021","FQ1 2021","Currency=USD","Period=FQ","BEST_FPERIOD_OVERRIDE=FQ","FILING_STATUS=MR","SCALING_FORMAT=MLN","Sort=A","Dates=H","DateFormat=P","Fill=—","Direction=H","UseDPDF=Y")</f>
        <v>114.4</v>
      </c>
      <c r="L43" s="12" cm="1">
        <f t="array" ref="L43">_xll.BDH("PH US Equity","CF_NET_CHG_ST_DEBT_CPTL_LEAS","FQ2 2021","FQ2 2021","Currency=USD","Period=FQ","BEST_FPERIOD_OVERRIDE=FQ","FILING_STATUS=MR","SCALING_FORMAT=MLN","Sort=A","Dates=H","DateFormat=P","Fill=—","Direction=H","UseDPDF=Y")</f>
        <v>-227.9</v>
      </c>
      <c r="M43" s="12" cm="1">
        <f t="array" ref="M43">_xll.BDH("PH US Equity","CF_NET_CHG_ST_DEBT_CPTL_LEAS","FQ3 2021","FQ3 2021","Currency=USD","Period=FQ","BEST_FPERIOD_OVERRIDE=FQ","FILING_STATUS=MR","SCALING_FORMAT=MLN","Sort=A","Dates=H","DateFormat=P","Fill=—","Direction=H","UseDPDF=Y")</f>
        <v>-426</v>
      </c>
      <c r="N43" s="12" t="str" cm="1">
        <f t="array" ref="N43">_xll.BDH("PH US Equity","CF_NET_CHG_ST_DEBT_CPTL_LEAS","FQ4 2021","FQ4 2021","Currency=USD","Period=FQ","BEST_FPERIOD_OVERRIDE=FQ","FILING_STATUS=MR","SCALING_FORMAT=MLN","Sort=A","Dates=H","DateFormat=P","Fill=—","Direction=H","UseDPDF=Y")</f>
        <v>—</v>
      </c>
      <c r="O43" s="12" cm="1">
        <f t="array" ref="O43">_xll.BDH("PH US Equity","CF_NET_CHG_ST_DEBT_CPTL_LEAS","FQ1 2022","FQ1 2022","Currency=USD","Period=FQ","BEST_FPERIOD_OVERRIDE=FQ","FILING_STATUS=MR","SCALING_FORMAT=MLN","Sort=A","Dates=H","DateFormat=P","Fill=—","Direction=H","UseDPDF=Y")</f>
        <v>-4.0000000000000001E-3</v>
      </c>
      <c r="P43" s="12" cm="1">
        <f t="array" ref="P43">_xll.BDH("PH US Equity","CF_NET_CHG_ST_DEBT_CPTL_LEAS","FQ2 2022","FQ2 2022","Currency=USD","Period=FQ","BEST_FPERIOD_OVERRIDE=FQ","FILING_STATUS=MR","SCALING_FORMAT=MLN","Sort=A","Dates=H","DateFormat=P","Fill=—","Direction=H","UseDPDF=Y")</f>
        <v>1899.251</v>
      </c>
      <c r="Q43" s="12" cm="1">
        <f t="array" ref="Q43">_xll.BDH("PH US Equity","CF_NET_CHG_ST_DEBT_CPTL_LEAS","FQ3 2022","FQ3 2022","Currency=USD","Period=FQ","BEST_FPERIOD_OVERRIDE=FQ","FILING_STATUS=MR","SCALING_FORMAT=MLN","Sort=A","Dates=H","DateFormat=P","Fill=—","Direction=H","UseDPDF=Y")</f>
        <v>-277.76400000000001</v>
      </c>
      <c r="R43" s="12" cm="1">
        <f t="array" ref="R43">_xll.BDH("PH US Equity","CF_NET_CHG_ST_DEBT_CPTL_LEAS","FQ4 2022","FQ4 2022","Currency=USD","Period=FQ","BEST_FPERIOD_OVERRIDE=FQ","FILING_STATUS=MR","SCALING_FORMAT=MLN","Sort=A","Dates=H","DateFormat=P","Fill=—","Direction=H","UseDPDF=Y")</f>
        <v>-199.45699999999999</v>
      </c>
      <c r="S43" s="12" cm="1">
        <f t="array" ref="S43">_xll.BDH("PH US Equity","CF_NET_CHG_ST_DEBT_CPTL_LEAS","FQ1 2023","FQ1 2023","Currency=USD","Period=FQ","BEST_FPERIOD_OVERRIDE=FQ","FILING_STATUS=MR","SCALING_FORMAT=MLN","Sort=A","Dates=H","DateFormat=P","Fill=—","Direction=H","UseDPDF=Y")</f>
        <v>-112.43</v>
      </c>
      <c r="T43" s="12" cm="1">
        <f t="array" ref="T43">_xll.BDH("PH US Equity","CF_NET_CHG_ST_DEBT_CPTL_LEAS","FQ2 2023","FQ2 2023","Currency=USD","Period=FQ","BEST_FPERIOD_OVERRIDE=FQ","FILING_STATUS=MR","SCALING_FORMAT=MLN","Sort=A","Dates=H","DateFormat=P","Fill=—","Direction=H","UseDPDF=Y")</f>
        <v>347.48200000000003</v>
      </c>
      <c r="U43" s="12" cm="1">
        <f t="array" ref="U43">_xll.BDH("PH US Equity","CF_NET_CHG_ST_DEBT_CPTL_LEAS","FQ3 2023","FQ3 2023","Currency=USD","Period=FQ","BEST_FPERIOD_OVERRIDE=FQ","FILING_STATUS=MR","SCALING_FORMAT=MLN","Sort=A","Dates=H","DateFormat=P","Fill=—","Direction=H","UseDPDF=Y")</f>
        <v>23.405999999999999</v>
      </c>
      <c r="V43" s="12" cm="1">
        <f t="array" ref="V43">_xll.BDH("PH US Equity","CF_NET_CHG_ST_DEBT_CPTL_LEAS","FQ4 2023","FQ4 2023","Currency=USD","Period=FQ","BEST_FPERIOD_OVERRIDE=FQ","FILING_STATUS=MR","SCALING_FORMAT=MLN","Sort=A","Dates=H","DateFormat=P","Fill=—","Direction=H","UseDPDF=Y")</f>
        <v>99.177999999999997</v>
      </c>
      <c r="W43" s="12" cm="1">
        <f t="array" ref="W43">_xll.BDH("PH US Equity","CF_NET_CHG_ST_DEBT_CPTL_LEAS","FQ1 2024","FQ1 2024","Currency=USD","Period=FQ","BEST_FPERIOD_OVERRIDE=FQ","FILING_STATUS=MR","SCALING_FORMAT=MLN","Sort=A","Dates=H","DateFormat=P","Fill=—","Direction=H","UseDPDF=Y")</f>
        <v>-169.785</v>
      </c>
      <c r="X43" s="12" cm="1">
        <f t="array" ref="X43">_xll.BDH("PH US Equity","CF_NET_CHG_ST_DEBT_CPTL_LEAS","FQ2 2024","FQ2 2024","Currency=USD","Period=FQ","BEST_FPERIOD_OVERRIDE=FQ","FILING_STATUS=MR","SCALING_FORMAT=MLN","Sort=A","Dates=H","DateFormat=P","Fill=—","Direction=H","UseDPDF=Y")</f>
        <v>-414.42200000000003</v>
      </c>
      <c r="Y43" s="12" cm="1">
        <f t="array" ref="Y43">_xll.BDH("PH US Equity","CF_NET_CHG_ST_DEBT_CPTL_LEAS","FQ3 2024","FQ3 2024","Currency=USD","Period=FQ","BEST_FPERIOD_OVERRIDE=FQ","FILING_STATUS=MR","SCALING_FORMAT=MLN","Sort=A","Dates=H","DateFormat=P","Fill=—","Direction=H","UseDPDF=Y")</f>
        <v>-356.928</v>
      </c>
      <c r="Z43" s="12" cm="1">
        <f t="array" ref="Z43">_xll.BDH("PH US Equity","CF_NET_CHG_ST_DEBT_CPTL_LEAS","FQ4 2024","FQ4 2024","Currency=USD","Period=FQ","BEST_FPERIOD_OVERRIDE=FQ","FILING_STATUS=MR","SCALING_FORMAT=MLN","Sort=A","Dates=H","DateFormat=P","Fill=—","Direction=H","UseDPDF=Y")</f>
        <v>1300.4100000000001</v>
      </c>
      <c r="AA43" s="12" cm="1">
        <f t="array" ref="AA43">_xll.BDH("PH US Equity","CF_NET_CHG_ST_DEBT_CPTL_LEAS","FQ1 2025","FQ1 2025","Currency=USD","Period=FQ","BEST_FPERIOD_OVERRIDE=FQ","FILING_STATUS=MR","SCALING_FORMAT=MLN","Sort=A","Dates=H","DateFormat=P","Fill=—","Direction=H","UseDPDF=Y")</f>
        <v>-367.43400000000003</v>
      </c>
      <c r="AB43" s="12" cm="1">
        <f t="array" ref="AB43">_xll.BDH("PH US Equity","CF_NET_CHG_ST_DEBT_CPTL_LEAS","FQ2 2025","FQ2 2025","Currency=USD","Period=FQ","BEST_FPERIOD_OVERRIDE=FQ","FILING_STATUS=MR","SCALING_FORMAT=MLN","Sort=A","Dates=H","DateFormat=P","Fill=—","Direction=H","UseDPDF=Y")</f>
        <v>-138.01300000000001</v>
      </c>
      <c r="AC43" s="12" cm="1">
        <f t="array" ref="AC43">_xll.BDH("PH US Equity","CF_NET_CHG_ST_DEBT_CPTL_LEAS","FQ3 2025","FQ3 2025","Currency=USD","Period=FQ","BEST_FPERIOD_OVERRIDE=FQ","FILING_STATUS=MR","SCALING_FORMAT=MLN","Sort=A","Dates=H","DateFormat=P","Fill=—","Direction=H","UseDPDF=Y")</f>
        <v>302.77300000000002</v>
      </c>
      <c r="AD43" s="12" cm="1">
        <f t="array" ref="AD43">_xll.BDH("PH US Equity","CF_NET_CHG_ST_DEBT_CPTL_LEAS","FQ4 2025","FQ4 2025","Currency=USD","Period=FQ","BEST_FPERIOD_OVERRIDE=FQ","FILING_STATUS=MR","SCALING_FORMAT=MLN","Sort=A","Dates=H","DateFormat=P","Fill=—","Direction=H","UseDPDF=Y")</f>
        <v>-161.32599999999999</v>
      </c>
      <c r="AE43" s="12" t="str" cm="1">
        <f t="array" ref="AE43">_xll.BDH("PH US Equity","CF_NET_CHG_ST_DEBT_CPTL_LEAS","FQ1 2026","FQ1 2026","Currency=USD","Period=FQ","BEST_FPERIOD_OVERRIDE=FQ","FILING_STATUS=MR","SCALING_FORMAT=MLN","Sort=A","Dates=H","DateFormat=P","Fill=—","Direction=H","UseDPDF=Y")</f>
        <v>—</v>
      </c>
      <c r="AF43" s="12" t="str" cm="1">
        <f t="array" ref="AF43">_xll.BDH("PH US Equity","CF_NET_CHG_ST_DEBT_CPTL_LEAS","FQ2 2026","FQ2 2026","Currency=USD","Period=FQ","BEST_FPERIOD_OVERRIDE=FQ","FILING_STATUS=MR","SCALING_FORMAT=MLN","Sort=A","Dates=H","DateFormat=P","Fill=—","Direction=H","UseDPDF=Y")</f>
        <v>—</v>
      </c>
    </row>
    <row r="44" spans="1:32" x14ac:dyDescent="0.25">
      <c r="A44" s="10" t="s">
        <v>131</v>
      </c>
      <c r="B44" s="10" t="s">
        <v>132</v>
      </c>
      <c r="C44" s="12" cm="1">
        <f t="array" ref="C44">_xll.BDH("PH US Equity","CF_LT_DEBT_CAP_LEAS_PROCEEDS","FQ1 2019","FQ1 2019","Currency=USD","Period=FQ","BEST_FPERIOD_OVERRIDE=FQ","FILING_STATUS=MR","SCALING_FORMAT=MLN","Sort=A","Dates=H","DateFormat=P","Fill=—","Direction=H","UseDPDF=Y")</f>
        <v>4.3999999999999997E-2</v>
      </c>
      <c r="D44" s="12" cm="1">
        <f t="array" ref="D44">_xll.BDH("PH US Equity","CF_LT_DEBT_CAP_LEAS_PROCEEDS","FQ2 2019","FQ2 2019","Currency=USD","Period=FQ","BEST_FPERIOD_OVERRIDE=FQ","FILING_STATUS=MR","SCALING_FORMAT=MLN","Sort=A","Dates=H","DateFormat=P","Fill=—","Direction=H","UseDPDF=Y")</f>
        <v>505.81099999999998</v>
      </c>
      <c r="E44" s="12" cm="1">
        <f t="array" ref="E44">_xll.BDH("PH US Equity","CF_LT_DEBT_CAP_LEAS_PROCEEDS","FQ3 2019","FQ3 2019","Currency=USD","Period=FQ","BEST_FPERIOD_OVERRIDE=FQ","FILING_STATUS=MR","SCALING_FORMAT=MLN","Sort=A","Dates=H","DateFormat=P","Fill=—","Direction=H","UseDPDF=Y")</f>
        <v>0</v>
      </c>
      <c r="F44" s="12" cm="1">
        <f t="array" ref="F44">_xll.BDH("PH US Equity","CF_LT_DEBT_CAP_LEAS_PROCEEDS","FQ4 2019","FQ4 2019","Currency=USD","Period=FQ","BEST_FPERIOD_OVERRIDE=FQ","FILING_STATUS=MR","SCALING_FORMAT=MLN","Sort=A","Dates=H","DateFormat=P","Fill=—","Direction=H","UseDPDF=Y")</f>
        <v>1793.7090000000001</v>
      </c>
      <c r="G44" s="12" cm="1">
        <f t="array" ref="G44">_xll.BDH("PH US Equity","CF_LT_DEBT_CAP_LEAS_PROCEEDS","FQ1 2020","FQ1 2020","Currency=USD","Period=FQ","BEST_FPERIOD_OVERRIDE=FQ","FILING_STATUS=MR","SCALING_FORMAT=MLN","Sort=A","Dates=H","DateFormat=P","Fill=—","Direction=H","UseDPDF=Y")</f>
        <v>922.93399999999997</v>
      </c>
      <c r="H44" s="12" cm="1">
        <f t="array" ref="H44">_xll.BDH("PH US Equity","CF_LT_DEBT_CAP_LEAS_PROCEEDS","FQ2 2020","FQ2 2020","Currency=USD","Period=FQ","BEST_FPERIOD_OVERRIDE=FQ","FILING_STATUS=MR","SCALING_FORMAT=MLN","Sort=A","Dates=H","DateFormat=P","Fill=—","Direction=H","UseDPDF=Y")</f>
        <v>798.24699999999996</v>
      </c>
      <c r="I44" s="12" cm="1">
        <f t="array" ref="I44">_xll.BDH("PH US Equity","CF_LT_DEBT_CAP_LEAS_PROCEEDS","FQ3 2020","FQ3 2020","Currency=USD","Period=FQ","BEST_FPERIOD_OVERRIDE=FQ","FILING_STATUS=MR","SCALING_FORMAT=MLN","Sort=A","Dates=H","DateFormat=P","Fill=—","Direction=H","UseDPDF=Y")</f>
        <v>0.03</v>
      </c>
      <c r="J44" s="12" cm="1">
        <f t="array" ref="J44">_xll.BDH("PH US Equity","CF_LT_DEBT_CAP_LEAS_PROCEEDS","FQ4 2020","FQ4 2020","Currency=USD","Period=FQ","BEST_FPERIOD_OVERRIDE=FQ","FILING_STATUS=MR","SCALING_FORMAT=MLN","Sort=A","Dates=H","DateFormat=P","Fill=—","Direction=H","UseDPDF=Y")</f>
        <v>0</v>
      </c>
      <c r="K44" s="12" cm="1">
        <f t="array" ref="K44">_xll.BDH("PH US Equity","CF_LT_DEBT_CAP_LEAS_PROCEEDS","FQ1 2021","FQ1 2021","Currency=USD","Period=FQ","BEST_FPERIOD_OVERRIDE=FQ","FILING_STATUS=MR","SCALING_FORMAT=MLN","Sort=A","Dates=H","DateFormat=P","Fill=—","Direction=H","UseDPDF=Y")</f>
        <v>0</v>
      </c>
      <c r="L44" s="12" cm="1">
        <f t="array" ref="L44">_xll.BDH("PH US Equity","CF_LT_DEBT_CAP_LEAS_PROCEEDS","FQ2 2021","FQ2 2021","Currency=USD","Period=FQ","BEST_FPERIOD_OVERRIDE=FQ","FILING_STATUS=MR","SCALING_FORMAT=MLN","Sort=A","Dates=H","DateFormat=P","Fill=—","Direction=H","UseDPDF=Y")</f>
        <v>0</v>
      </c>
      <c r="M44" s="12" cm="1">
        <f t="array" ref="M44">_xll.BDH("PH US Equity","CF_LT_DEBT_CAP_LEAS_PROCEEDS","FQ3 2021","FQ3 2021","Currency=USD","Period=FQ","BEST_FPERIOD_OVERRIDE=FQ","FILING_STATUS=MR","SCALING_FORMAT=MLN","Sort=A","Dates=H","DateFormat=P","Fill=—","Direction=H","UseDPDF=Y")</f>
        <v>2.016</v>
      </c>
      <c r="N44" s="12" t="str" cm="1">
        <f t="array" ref="N44">_xll.BDH("PH US Equity","CF_LT_DEBT_CAP_LEAS_PROCEEDS","FQ4 2021","FQ4 2021","Currency=USD","Period=FQ","BEST_FPERIOD_OVERRIDE=FQ","FILING_STATUS=MR","SCALING_FORMAT=MLN","Sort=A","Dates=H","DateFormat=P","Fill=—","Direction=H","UseDPDF=Y")</f>
        <v>—</v>
      </c>
      <c r="O44" s="12" cm="1">
        <f t="array" ref="O44">_xll.BDH("PH US Equity","CF_LT_DEBT_CAP_LEAS_PROCEEDS","FQ1 2022","FQ1 2022","Currency=USD","Period=FQ","BEST_FPERIOD_OVERRIDE=FQ","FILING_STATUS=MR","SCALING_FORMAT=MLN","Sort=A","Dates=H","DateFormat=P","Fill=—","Direction=H","UseDPDF=Y")</f>
        <v>1E-3</v>
      </c>
      <c r="P44" s="12" cm="1">
        <f t="array" ref="P44">_xll.BDH("PH US Equity","CF_LT_DEBT_CAP_LEAS_PROCEEDS","FQ2 2022","FQ2 2022","Currency=USD","Period=FQ","BEST_FPERIOD_OVERRIDE=FQ","FILING_STATUS=MR","SCALING_FORMAT=MLN","Sort=A","Dates=H","DateFormat=P","Fill=—","Direction=H","UseDPDF=Y")</f>
        <v>10.664999999999999</v>
      </c>
      <c r="Q44" s="12" cm="1">
        <f t="array" ref="Q44">_xll.BDH("PH US Equity","CF_LT_DEBT_CAP_LEAS_PROCEEDS","FQ3 2022","FQ3 2022","Currency=USD","Period=FQ","BEST_FPERIOD_OVERRIDE=FQ","FILING_STATUS=MR","SCALING_FORMAT=MLN","Sort=A","Dates=H","DateFormat=P","Fill=—","Direction=H","UseDPDF=Y")</f>
        <v>1E-3</v>
      </c>
      <c r="R44" s="12" cm="1">
        <f t="array" ref="R44">_xll.BDH("PH US Equity","CF_LT_DEBT_CAP_LEAS_PROCEEDS","FQ4 2022","FQ4 2022","Currency=USD","Period=FQ","BEST_FPERIOD_OVERRIDE=FQ","FILING_STATUS=MR","SCALING_FORMAT=MLN","Sort=A","Dates=H","DateFormat=P","Fill=—","Direction=H","UseDPDF=Y")</f>
        <v>3587.3890000000001</v>
      </c>
      <c r="S44" s="12" cm="1">
        <f t="array" ref="S44">_xll.BDH("PH US Equity","CF_LT_DEBT_CAP_LEAS_PROCEEDS","FQ1 2023","FQ1 2023","Currency=USD","Period=FQ","BEST_FPERIOD_OVERRIDE=FQ","FILING_STATUS=MR","SCALING_FORMAT=MLN","Sort=A","Dates=H","DateFormat=P","Fill=—","Direction=H","UseDPDF=Y")</f>
        <v>2000</v>
      </c>
      <c r="T44" s="12" cm="1">
        <f t="array" ref="T44">_xll.BDH("PH US Equity","CF_LT_DEBT_CAP_LEAS_PROCEEDS","FQ2 2023","FQ2 2023","Currency=USD","Period=FQ","BEST_FPERIOD_OVERRIDE=FQ","FILING_STATUS=MR","SCALING_FORMAT=MLN","Sort=A","Dates=H","DateFormat=P","Fill=—","Direction=H","UseDPDF=Y")</f>
        <v>11.948</v>
      </c>
      <c r="U44" s="12" cm="1">
        <f t="array" ref="U44">_xll.BDH("PH US Equity","CF_LT_DEBT_CAP_LEAS_PROCEEDS","FQ3 2023","FQ3 2023","Currency=USD","Period=FQ","BEST_FPERIOD_OVERRIDE=FQ","FILING_STATUS=MR","SCALING_FORMAT=MLN","Sort=A","Dates=H","DateFormat=P","Fill=—","Direction=H","UseDPDF=Y")</f>
        <v>1E-3</v>
      </c>
      <c r="V44" s="12" cm="1">
        <f t="array" ref="V44">_xll.BDH("PH US Equity","CF_LT_DEBT_CAP_LEAS_PROCEEDS","FQ4 2023","FQ4 2023","Currency=USD","Period=FQ","BEST_FPERIOD_OVERRIDE=FQ","FILING_STATUS=MR","SCALING_FORMAT=MLN","Sort=A","Dates=H","DateFormat=P","Fill=—","Direction=H","UseDPDF=Y")</f>
        <v>11.451000000000001</v>
      </c>
      <c r="W44" s="12" cm="1">
        <f t="array" ref="W44">_xll.BDH("PH US Equity","CF_LT_DEBT_CAP_LEAS_PROCEEDS","FQ1 2024","FQ1 2024","Currency=USD","Period=FQ","BEST_FPERIOD_OVERRIDE=FQ","FILING_STATUS=MR","SCALING_FORMAT=MLN","Sort=A","Dates=H","DateFormat=P","Fill=—","Direction=H","UseDPDF=Y")</f>
        <v>0</v>
      </c>
      <c r="X44" s="12" cm="1">
        <f t="array" ref="X44">_xll.BDH("PH US Equity","CF_LT_DEBT_CAP_LEAS_PROCEEDS","FQ2 2024","FQ2 2024","Currency=USD","Period=FQ","BEST_FPERIOD_OVERRIDE=FQ","FILING_STATUS=MR","SCALING_FORMAT=MLN","Sort=A","Dates=H","DateFormat=P","Fill=—","Direction=H","UseDPDF=Y")</f>
        <v>11.839</v>
      </c>
      <c r="Y44" s="12" cm="1">
        <f t="array" ref="Y44">_xll.BDH("PH US Equity","CF_LT_DEBT_CAP_LEAS_PROCEEDS","FQ3 2024","FQ3 2024","Currency=USD","Period=FQ","BEST_FPERIOD_OVERRIDE=FQ","FILING_STATUS=MR","SCALING_FORMAT=MLN","Sort=A","Dates=H","DateFormat=P","Fill=—","Direction=H","UseDPDF=Y")</f>
        <v>0.33400000000000002</v>
      </c>
      <c r="Z44" s="12" cm="1">
        <f t="array" ref="Z44">_xll.BDH("PH US Equity","CF_LT_DEBT_CAP_LEAS_PROCEEDS","FQ4 2024","FQ4 2024","Currency=USD","Period=FQ","BEST_FPERIOD_OVERRIDE=FQ","FILING_STATUS=MR","SCALING_FORMAT=MLN","Sort=A","Dates=H","DateFormat=P","Fill=—","Direction=H","UseDPDF=Y")</f>
        <v>11.837999999999999</v>
      </c>
      <c r="AA44" s="12" cm="1">
        <f t="array" ref="AA44">_xll.BDH("PH US Equity","CF_LT_DEBT_CAP_LEAS_PROCEEDS","FQ1 2025","FQ1 2025","Currency=USD","Period=FQ","BEST_FPERIOD_OVERRIDE=FQ","FILING_STATUS=MR","SCALING_FORMAT=MLN","Sort=A","Dates=H","DateFormat=P","Fill=—","Direction=H","UseDPDF=Y")</f>
        <v>0</v>
      </c>
      <c r="AB44" s="12" cm="1">
        <f t="array" ref="AB44">_xll.BDH("PH US Equity","CF_LT_DEBT_CAP_LEAS_PROCEEDS","FQ2 2025","FQ2 2025","Currency=USD","Period=FQ","BEST_FPERIOD_OVERRIDE=FQ","FILING_STATUS=MR","SCALING_FORMAT=MLN","Sort=A","Dates=H","DateFormat=P","Fill=—","Direction=H","UseDPDF=Y")</f>
        <v>11.839</v>
      </c>
      <c r="AC44" s="12" cm="1">
        <f t="array" ref="AC44">_xll.BDH("PH US Equity","CF_LT_DEBT_CAP_LEAS_PROCEEDS","FQ3 2025","FQ3 2025","Currency=USD","Period=FQ","BEST_FPERIOD_OVERRIDE=FQ","FILING_STATUS=MR","SCALING_FORMAT=MLN","Sort=A","Dates=H","DateFormat=P","Fill=—","Direction=H","UseDPDF=Y")</f>
        <v>727.39300000000003</v>
      </c>
      <c r="AD44" s="12" cm="1">
        <f t="array" ref="AD44">_xll.BDH("PH US Equity","CF_LT_DEBT_CAP_LEAS_PROCEEDS","FQ4 2025","FQ4 2025","Currency=USD","Period=FQ","BEST_FPERIOD_OVERRIDE=FQ","FILING_STATUS=MR","SCALING_FORMAT=MLN","Sort=A","Dates=H","DateFormat=P","Fill=—","Direction=H","UseDPDF=Y")</f>
        <v>11.768000000000001</v>
      </c>
      <c r="AE44" s="12" cm="1">
        <f t="array" ref="AE44">_xll.BDH("PH US Equity","CF_LT_DEBT_CAP_LEAS_PROCEEDS","FQ1 2026","FQ1 2026","Currency=USD","Period=FQ","BEST_FPERIOD_OVERRIDE=FQ","FILING_STATUS=MR","SCALING_FORMAT=MLN","Sort=A","Dates=H","DateFormat=P","Fill=—","Direction=H","UseDPDF=Y")</f>
        <v>1057</v>
      </c>
      <c r="AF44" s="12" t="str" cm="1">
        <f t="array" ref="AF44">_xll.BDH("PH US Equity","CF_LT_DEBT_CAP_LEAS_PROCEEDS","FQ2 2026","FQ2 2026","Currency=USD","Period=FQ","BEST_FPERIOD_OVERRIDE=FQ","FILING_STATUS=MR","SCALING_FORMAT=MLN","Sort=A","Dates=H","DateFormat=P","Fill=—","Direction=H","UseDPDF=Y")</f>
        <v>—</v>
      </c>
    </row>
    <row r="45" spans="1:32" x14ac:dyDescent="0.25">
      <c r="A45" s="10" t="s">
        <v>133</v>
      </c>
      <c r="B45" s="10" t="s">
        <v>134</v>
      </c>
      <c r="C45" s="12" cm="1">
        <f t="array" ref="C45">_xll.BDH("PH US Equity","CF_LT_DEBT_CAP_LEAS_PAYMENT","FQ1 2019","FQ1 2019","Currency=USD","Period=FQ","BEST_FPERIOD_OVERRIDE=FQ","FILING_STATUS=MR","SCALING_FORMAT=MLN","Sort=A","Dates=H","DateFormat=P","Fill=—","Direction=H","UseDPDF=Y")</f>
        <v>-100.107</v>
      </c>
      <c r="D45" s="12" cm="1">
        <f t="array" ref="D45">_xll.BDH("PH US Equity","CF_LT_DEBT_CAP_LEAS_PAYMENT","FQ2 2019","FQ2 2019","Currency=USD","Period=FQ","BEST_FPERIOD_OVERRIDE=FQ","FILING_STATUS=MR","SCALING_FORMAT=MLN","Sort=A","Dates=H","DateFormat=P","Fill=—","Direction=H","UseDPDF=Y")</f>
        <v>0</v>
      </c>
      <c r="E45" s="12" cm="1">
        <f t="array" ref="E45">_xll.BDH("PH US Equity","CF_LT_DEBT_CAP_LEAS_PAYMENT","FQ3 2019","FQ3 2019","Currency=USD","Period=FQ","BEST_FPERIOD_OVERRIDE=FQ","FILING_STATUS=MR","SCALING_FORMAT=MLN","Sort=A","Dates=H","DateFormat=P","Fill=—","Direction=H","UseDPDF=Y")</f>
        <v>-0.10199999999999999</v>
      </c>
      <c r="F45" s="12" cm="1">
        <f t="array" ref="F45">_xll.BDH("PH US Equity","CF_LT_DEBT_CAP_LEAS_PAYMENT","FQ4 2019","FQ4 2019","Currency=USD","Period=FQ","BEST_FPERIOD_OVERRIDE=FQ","FILING_STATUS=MR","SCALING_FORMAT=MLN","Sort=A","Dates=H","DateFormat=P","Fill=—","Direction=H","UseDPDF=Y")</f>
        <v>0</v>
      </c>
      <c r="G45" s="12" cm="1">
        <f t="array" ref="G45">_xll.BDH("PH US Equity","CF_LT_DEBT_CAP_LEAS_PAYMENT","FQ1 2020","FQ1 2020","Currency=USD","Period=FQ","BEST_FPERIOD_OVERRIDE=FQ","FILING_STATUS=MR","SCALING_FORMAT=MLN","Sort=A","Dates=H","DateFormat=P","Fill=—","Direction=H","UseDPDF=Y")</f>
        <v>-3.4660000000000002</v>
      </c>
      <c r="H45" s="12" cm="1">
        <f t="array" ref="H45">_xll.BDH("PH US Equity","CF_LT_DEBT_CAP_LEAS_PAYMENT","FQ2 2020","FQ2 2020","Currency=USD","Period=FQ","BEST_FPERIOD_OVERRIDE=FQ","FILING_STATUS=MR","SCALING_FORMAT=MLN","Sort=A","Dates=H","DateFormat=P","Fill=—","Direction=H","UseDPDF=Y")</f>
        <v>-233.03899999999999</v>
      </c>
      <c r="I45" s="12" cm="1">
        <f t="array" ref="I45">_xll.BDH("PH US Equity","CF_LT_DEBT_CAP_LEAS_PAYMENT","FQ3 2020","FQ3 2020","Currency=USD","Period=FQ","BEST_FPERIOD_OVERRIDE=FQ","FILING_STATUS=MR","SCALING_FORMAT=MLN","Sort=A","Dates=H","DateFormat=P","Fill=—","Direction=H","UseDPDF=Y")</f>
        <v>-41.841999999999999</v>
      </c>
      <c r="J45" s="12" cm="1">
        <f t="array" ref="J45">_xll.BDH("PH US Equity","CF_LT_DEBT_CAP_LEAS_PAYMENT","FQ4 2020","FQ4 2020","Currency=USD","Period=FQ","BEST_FPERIOD_OVERRIDE=FQ","FILING_STATUS=MR","SCALING_FORMAT=MLN","Sort=A","Dates=H","DateFormat=P","Fill=—","Direction=H","UseDPDF=Y")</f>
        <v>-461.834</v>
      </c>
      <c r="K45" s="12" cm="1">
        <f t="array" ref="K45">_xll.BDH("PH US Equity","CF_LT_DEBT_CAP_LEAS_PAYMENT","FQ1 2021","FQ1 2021","Currency=USD","Period=FQ","BEST_FPERIOD_OVERRIDE=FQ","FILING_STATUS=MR","SCALING_FORMAT=MLN","Sort=A","Dates=H","DateFormat=P","Fill=—","Direction=H","UseDPDF=Y")</f>
        <v>-671.84199999999998</v>
      </c>
      <c r="L45" s="12" cm="1">
        <f t="array" ref="L45">_xll.BDH("PH US Equity","CF_LT_DEBT_CAP_LEAS_PAYMENT","FQ2 2021","FQ2 2021","Currency=USD","Period=FQ","BEST_FPERIOD_OVERRIDE=FQ","FILING_STATUS=MR","SCALING_FORMAT=MLN","Sort=A","Dates=H","DateFormat=P","Fill=—","Direction=H","UseDPDF=Y")</f>
        <v>-539.00599999999997</v>
      </c>
      <c r="M45" s="12" cm="1">
        <f t="array" ref="M45">_xll.BDH("PH US Equity","CF_LT_DEBT_CAP_LEAS_PAYMENT","FQ3 2021","FQ3 2021","Currency=USD","Period=FQ","BEST_FPERIOD_OVERRIDE=FQ","FILING_STATUS=MR","SCALING_FORMAT=MLN","Sort=A","Dates=H","DateFormat=P","Fill=—","Direction=H","UseDPDF=Y")</f>
        <v>-0.48599999999999999</v>
      </c>
      <c r="N45" s="12" t="str" cm="1">
        <f t="array" ref="N45">_xll.BDH("PH US Equity","CF_LT_DEBT_CAP_LEAS_PAYMENT","FQ4 2021","FQ4 2021","Currency=USD","Period=FQ","BEST_FPERIOD_OVERRIDE=FQ","FILING_STATUS=MR","SCALING_FORMAT=MLN","Sort=A","Dates=H","DateFormat=P","Fill=—","Direction=H","UseDPDF=Y")</f>
        <v>—</v>
      </c>
      <c r="O45" s="12" cm="1">
        <f t="array" ref="O45">_xll.BDH("PH US Equity","CF_LT_DEBT_CAP_LEAS_PAYMENT","FQ1 2022","FQ1 2022","Currency=USD","Period=FQ","BEST_FPERIOD_OVERRIDE=FQ","FILING_STATUS=MR","SCALING_FORMAT=MLN","Sort=A","Dates=H","DateFormat=P","Fill=—","Direction=H","UseDPDF=Y")</f>
        <v>-0.59199999999999997</v>
      </c>
      <c r="P45" s="12" cm="1">
        <f t="array" ref="P45">_xll.BDH("PH US Equity","CF_LT_DEBT_CAP_LEAS_PAYMENT","FQ2 2022","FQ2 2022","Currency=USD","Period=FQ","BEST_FPERIOD_OVERRIDE=FQ","FILING_STATUS=MR","SCALING_FORMAT=MLN","Sort=A","Dates=H","DateFormat=P","Fill=—","Direction=H","UseDPDF=Y")</f>
        <v>-8.4770000000000003</v>
      </c>
      <c r="Q45" s="12" cm="1">
        <f t="array" ref="Q45">_xll.BDH("PH US Equity","CF_LT_DEBT_CAP_LEAS_PAYMENT","FQ3 2022","FQ3 2022","Currency=USD","Period=FQ","BEST_FPERIOD_OVERRIDE=FQ","FILING_STATUS=MR","SCALING_FORMAT=MLN","Sort=A","Dates=H","DateFormat=P","Fill=—","Direction=H","UseDPDF=Y")</f>
        <v>-0.63900000000000001</v>
      </c>
      <c r="R45" s="12" cm="1">
        <f t="array" ref="R45">_xll.BDH("PH US Equity","CF_LT_DEBT_CAP_LEAS_PAYMENT","FQ4 2022","FQ4 2022","Currency=USD","Period=FQ","BEST_FPERIOD_OVERRIDE=FQ","FILING_STATUS=MR","SCALING_FORMAT=MLN","Sort=A","Dates=H","DateFormat=P","Fill=—","Direction=H","UseDPDF=Y")</f>
        <v>-9.0289999999999999</v>
      </c>
      <c r="S45" s="12" cm="1">
        <f t="array" ref="S45">_xll.BDH("PH US Equity","CF_LT_DEBT_CAP_LEAS_PAYMENT","FQ1 2023","FQ1 2023","Currency=USD","Period=FQ","BEST_FPERIOD_OVERRIDE=FQ","FILING_STATUS=MR","SCALING_FORMAT=MLN","Sort=A","Dates=H","DateFormat=P","Fill=—","Direction=H","UseDPDF=Y")</f>
        <v>-301.38900000000001</v>
      </c>
      <c r="T45" s="12" cm="1">
        <f t="array" ref="T45">_xll.BDH("PH US Equity","CF_LT_DEBT_CAP_LEAS_PAYMENT","FQ2 2023","FQ2 2023","Currency=USD","Period=FQ","BEST_FPERIOD_OVERRIDE=FQ","FILING_STATUS=MR","SCALING_FORMAT=MLN","Sort=A","Dates=H","DateFormat=P","Fill=—","Direction=H","UseDPDF=Y")</f>
        <v>-409.4</v>
      </c>
      <c r="U45" s="12" cm="1">
        <f t="array" ref="U45">_xll.BDH("PH US Equity","CF_LT_DEBT_CAP_LEAS_PAYMENT","FQ3 2023","FQ3 2023","Currency=USD","Period=FQ","BEST_FPERIOD_OVERRIDE=FQ","FILING_STATUS=MR","SCALING_FORMAT=MLN","Sort=A","Dates=H","DateFormat=P","Fill=—","Direction=H","UseDPDF=Y")</f>
        <v>-652.80700000000002</v>
      </c>
      <c r="V45" s="12" cm="1">
        <f t="array" ref="V45">_xll.BDH("PH US Equity","CF_LT_DEBT_CAP_LEAS_PAYMENT","FQ4 2023","FQ4 2023","Currency=USD","Period=FQ","BEST_FPERIOD_OVERRIDE=FQ","FILING_STATUS=MR","SCALING_FORMAT=MLN","Sort=A","Dates=H","DateFormat=P","Fill=—","Direction=H","UseDPDF=Y")</f>
        <v>-976.97</v>
      </c>
      <c r="W45" s="12" cm="1">
        <f t="array" ref="W45">_xll.BDH("PH US Equity","CF_LT_DEBT_CAP_LEAS_PAYMENT","FQ1 2024","FQ1 2024","Currency=USD","Period=FQ","BEST_FPERIOD_OVERRIDE=FQ","FILING_STATUS=MR","SCALING_FORMAT=MLN","Sort=A","Dates=H","DateFormat=P","Fill=—","Direction=H","UseDPDF=Y")</f>
        <v>-176.626</v>
      </c>
      <c r="X45" s="12" cm="1">
        <f t="array" ref="X45">_xll.BDH("PH US Equity","CF_LT_DEBT_CAP_LEAS_PAYMENT","FQ2 2024","FQ2 2024","Currency=USD","Period=FQ","BEST_FPERIOD_OVERRIDE=FQ","FILING_STATUS=MR","SCALING_FORMAT=MLN","Sort=A","Dates=H","DateFormat=P","Fill=—","Direction=H","UseDPDF=Y")</f>
        <v>-35.853000000000002</v>
      </c>
      <c r="Y45" s="12" cm="1">
        <f t="array" ref="Y45">_xll.BDH("PH US Equity","CF_LT_DEBT_CAP_LEAS_PAYMENT","FQ3 2024","FQ3 2024","Currency=USD","Period=FQ","BEST_FPERIOD_OVERRIDE=FQ","FILING_STATUS=MR","SCALING_FORMAT=MLN","Sort=A","Dates=H","DateFormat=P","Fill=—","Direction=H","UseDPDF=Y")</f>
        <v>-51.932000000000002</v>
      </c>
      <c r="Z45" s="12" cm="1">
        <f t="array" ref="Z45">_xll.BDH("PH US Equity","CF_LT_DEBT_CAP_LEAS_PAYMENT","FQ4 2024","FQ4 2024","Currency=USD","Period=FQ","BEST_FPERIOD_OVERRIDE=FQ","FILING_STATUS=MR","SCALING_FORMAT=MLN","Sort=A","Dates=H","DateFormat=P","Fill=—","Direction=H","UseDPDF=Y")</f>
        <v>-2120.3939999999998</v>
      </c>
      <c r="AA45" s="12" cm="1">
        <f t="array" ref="AA45">_xll.BDH("PH US Equity","CF_LT_DEBT_CAP_LEAS_PAYMENT","FQ1 2025","FQ1 2025","Currency=USD","Period=FQ","BEST_FPERIOD_OVERRIDE=FQ","FILING_STATUS=MR","SCALING_FORMAT=MLN","Sort=A","Dates=H","DateFormat=P","Fill=—","Direction=H","UseDPDF=Y")</f>
        <v>-41.494999999999997</v>
      </c>
      <c r="AB45" s="12" cm="1">
        <f t="array" ref="AB45">_xll.BDH("PH US Equity","CF_LT_DEBT_CAP_LEAS_PAYMENT","FQ2 2025","FQ2 2025","Currency=USD","Period=FQ","BEST_FPERIOD_OVERRIDE=FQ","FILING_STATUS=MR","SCALING_FORMAT=MLN","Sort=A","Dates=H","DateFormat=P","Fill=—","Direction=H","UseDPDF=Y")</f>
        <v>-959.38099999999997</v>
      </c>
      <c r="AC45" s="12" cm="1">
        <f t="array" ref="AC45">_xll.BDH("PH US Equity","CF_LT_DEBT_CAP_LEAS_PAYMENT","FQ3 2025","FQ3 2025","Currency=USD","Period=FQ","BEST_FPERIOD_OVERRIDE=FQ","FILING_STATUS=MR","SCALING_FORMAT=MLN","Sort=A","Dates=H","DateFormat=P","Fill=—","Direction=H","UseDPDF=Y")</f>
        <v>-729.63400000000001</v>
      </c>
      <c r="AD45" s="12" cm="1">
        <f t="array" ref="AD45">_xll.BDH("PH US Equity","CF_LT_DEBT_CAP_LEAS_PAYMENT","FQ4 2025","FQ4 2025","Currency=USD","Period=FQ","BEST_FPERIOD_OVERRIDE=FQ","FILING_STATUS=MR","SCALING_FORMAT=MLN","Sort=A","Dates=H","DateFormat=P","Fill=—","Direction=H","UseDPDF=Y")</f>
        <v>-10.49</v>
      </c>
      <c r="AE45" s="12" cm="1">
        <f t="array" ref="AE45">_xll.BDH("PH US Equity","CF_LT_DEBT_CAP_LEAS_PAYMENT","FQ1 2026","FQ1 2026","Currency=USD","Period=FQ","BEST_FPERIOD_OVERRIDE=FQ","FILING_STATUS=MR","SCALING_FORMAT=MLN","Sort=A","Dates=H","DateFormat=P","Fill=—","Direction=H","UseDPDF=Y")</f>
        <v>-1</v>
      </c>
      <c r="AF45" s="12" t="str" cm="1">
        <f t="array" ref="AF45">_xll.BDH("PH US Equity","CF_LT_DEBT_CAP_LEAS_PAYMENT","FQ2 2026","FQ2 2026","Currency=USD","Period=FQ","BEST_FPERIOD_OVERRIDE=FQ","FILING_STATUS=MR","SCALING_FORMAT=MLN","Sort=A","Dates=H","DateFormat=P","Fill=—","Direction=H","UseDPDF=Y")</f>
        <v>—</v>
      </c>
    </row>
    <row r="46" spans="1:32" x14ac:dyDescent="0.25">
      <c r="A46" s="10" t="s">
        <v>135</v>
      </c>
      <c r="B46" s="10" t="s">
        <v>136</v>
      </c>
      <c r="C46" s="12" cm="1">
        <f t="array" ref="C46">_xll.BDH("PH US Equity","PROC_FR_REPURCH_EQTY_DETAILED","FQ1 2019","FQ1 2019","Currency=USD","Period=FQ","BEST_FPERIOD_OVERRIDE=FQ","FILING_STATUS=MR","SCALING_FORMAT=MLN","Sort=A","Dates=H","DateFormat=P","Fill=—","Direction=H","UseDPDF=Y")</f>
        <v>-64.855000000000004</v>
      </c>
      <c r="D46" s="12" cm="1">
        <f t="array" ref="D46">_xll.BDH("PH US Equity","PROC_FR_REPURCH_EQTY_DETAILED","FQ2 2019","FQ2 2019","Currency=USD","Period=FQ","BEST_FPERIOD_OVERRIDE=FQ","FILING_STATUS=MR","SCALING_FORMAT=MLN","Sort=A","Dates=H","DateFormat=P","Fill=—","Direction=H","UseDPDF=Y")</f>
        <v>-500.48</v>
      </c>
      <c r="E46" s="12" cm="1">
        <f t="array" ref="E46">_xll.BDH("PH US Equity","PROC_FR_REPURCH_EQTY_DETAILED","FQ3 2019","FQ3 2019","Currency=USD","Period=FQ","BEST_FPERIOD_OVERRIDE=FQ","FILING_STATUS=MR","SCALING_FORMAT=MLN","Sort=A","Dates=H","DateFormat=P","Fill=—","Direction=H","UseDPDF=Y")</f>
        <v>-204.48500000000001</v>
      </c>
      <c r="F46" s="12" cm="1">
        <f t="array" ref="F46">_xll.BDH("PH US Equity","PROC_FR_REPURCH_EQTY_DETAILED","FQ4 2019","FQ4 2019","Currency=USD","Period=FQ","BEST_FPERIOD_OVERRIDE=FQ","FILING_STATUS=MR","SCALING_FORMAT=MLN","Sort=A","Dates=H","DateFormat=P","Fill=—","Direction=H","UseDPDF=Y")</f>
        <v>-87.757000000000005</v>
      </c>
      <c r="G46" s="12" cm="1">
        <f t="array" ref="G46">_xll.BDH("PH US Equity","PROC_FR_REPURCH_EQTY_DETAILED","FQ1 2020","FQ1 2020","Currency=USD","Period=FQ","BEST_FPERIOD_OVERRIDE=FQ","FILING_STATUS=MR","SCALING_FORMAT=MLN","Sort=A","Dates=H","DateFormat=P","Fill=—","Direction=H","UseDPDF=Y")</f>
        <v>-71.984999999999999</v>
      </c>
      <c r="H46" s="12" cm="1">
        <f t="array" ref="H46">_xll.BDH("PH US Equity","PROC_FR_REPURCH_EQTY_DETAILED","FQ2 2020","FQ2 2020","Currency=USD","Period=FQ","BEST_FPERIOD_OVERRIDE=FQ","FILING_STATUS=MR","SCALING_FORMAT=MLN","Sort=A","Dates=H","DateFormat=P","Fill=—","Direction=H","UseDPDF=Y")</f>
        <v>-62.906999999999996</v>
      </c>
      <c r="I46" s="12" cm="1">
        <f t="array" ref="I46">_xll.BDH("PH US Equity","PROC_FR_REPURCH_EQTY_DETAILED","FQ3 2020","FQ3 2020","Currency=USD","Period=FQ","BEST_FPERIOD_OVERRIDE=FQ","FILING_STATUS=MR","SCALING_FORMAT=MLN","Sort=A","Dates=H","DateFormat=P","Fill=—","Direction=H","UseDPDF=Y")</f>
        <v>-57.281999999999996</v>
      </c>
      <c r="J46" s="12" cm="1">
        <f t="array" ref="J46">_xll.BDH("PH US Equity","PROC_FR_REPURCH_EQTY_DETAILED","FQ4 2020","FQ4 2020","Currency=USD","Period=FQ","BEST_FPERIOD_OVERRIDE=FQ","FILING_STATUS=MR","SCALING_FORMAT=MLN","Sort=A","Dates=H","DateFormat=P","Fill=—","Direction=H","UseDPDF=Y")</f>
        <v>-21.251999999999999</v>
      </c>
      <c r="K46" s="12" cm="1">
        <f t="array" ref="K46">_xll.BDH("PH US Equity","PROC_FR_REPURCH_EQTY_DETAILED","FQ1 2021","FQ1 2021","Currency=USD","Period=FQ","BEST_FPERIOD_OVERRIDE=FQ","FILING_STATUS=MR","SCALING_FORMAT=MLN","Sort=A","Dates=H","DateFormat=P","Fill=—","Direction=H","UseDPDF=Y")</f>
        <v>-21.75</v>
      </c>
      <c r="L46" s="12" cm="1">
        <f t="array" ref="L46">_xll.BDH("PH US Equity","PROC_FR_REPURCH_EQTY_DETAILED","FQ2 2021","FQ2 2021","Currency=USD","Period=FQ","BEST_FPERIOD_OVERRIDE=FQ","FILING_STATUS=MR","SCALING_FORMAT=MLN","Sort=A","Dates=H","DateFormat=P","Fill=—","Direction=H","UseDPDF=Y")</f>
        <v>-35.938000000000002</v>
      </c>
      <c r="M46" s="12" cm="1">
        <f t="array" ref="M46">_xll.BDH("PH US Equity","PROC_FR_REPURCH_EQTY_DETAILED","FQ3 2021","FQ3 2021","Currency=USD","Period=FQ","BEST_FPERIOD_OVERRIDE=FQ","FILING_STATUS=MR","SCALING_FORMAT=MLN","Sort=A","Dates=H","DateFormat=P","Fill=—","Direction=H","UseDPDF=Y")</f>
        <v>-67.831000000000003</v>
      </c>
      <c r="N46" s="12" cm="1">
        <f t="array" ref="N46">_xll.BDH("PH US Equity","PROC_FR_REPURCH_EQTY_DETAILED","FQ4 2021","FQ4 2021","Currency=USD","Period=FQ","BEST_FPERIOD_OVERRIDE=FQ","FILING_STATUS=MR","SCALING_FORMAT=MLN","Sort=A","Dates=H","DateFormat=P","Fill=—","Direction=H","UseDPDF=Y")</f>
        <v>-88.614999999999995</v>
      </c>
      <c r="O46" s="12" cm="1">
        <f t="array" ref="O46">_xll.BDH("PH US Equity","PROC_FR_REPURCH_EQTY_DETAILED","FQ1 2022","FQ1 2022","Currency=USD","Period=FQ","BEST_FPERIOD_OVERRIDE=FQ","FILING_STATUS=MR","SCALING_FORMAT=MLN","Sort=A","Dates=H","DateFormat=P","Fill=—","Direction=H","UseDPDF=Y")</f>
        <v>-244.73099999999999</v>
      </c>
      <c r="P46" s="12" cm="1">
        <f t="array" ref="P46">_xll.BDH("PH US Equity","PROC_FR_REPURCH_EQTY_DETAILED","FQ2 2022","FQ2 2022","Currency=USD","Period=FQ","BEST_FPERIOD_OVERRIDE=FQ","FILING_STATUS=MR","SCALING_FORMAT=MLN","Sort=A","Dates=H","DateFormat=P","Fill=—","Direction=H","UseDPDF=Y")</f>
        <v>-72.781000000000006</v>
      </c>
      <c r="Q46" s="12" cm="1">
        <f t="array" ref="Q46">_xll.BDH("PH US Equity","PROC_FR_REPURCH_EQTY_DETAILED","FQ3 2022","FQ3 2022","Currency=USD","Period=FQ","BEST_FPERIOD_OVERRIDE=FQ","FILING_STATUS=MR","SCALING_FORMAT=MLN","Sort=A","Dates=H","DateFormat=P","Fill=—","Direction=H","UseDPDF=Y")</f>
        <v>-54.917999999999999</v>
      </c>
      <c r="R46" s="12" cm="1">
        <f t="array" ref="R46">_xll.BDH("PH US Equity","PROC_FR_REPURCH_EQTY_DETAILED","FQ4 2022","FQ4 2022","Currency=USD","Period=FQ","BEST_FPERIOD_OVERRIDE=FQ","FILING_STATUS=MR","SCALING_FORMAT=MLN","Sort=A","Dates=H","DateFormat=P","Fill=—","Direction=H","UseDPDF=Y")</f>
        <v>-84.795000000000002</v>
      </c>
      <c r="S46" s="12" cm="1">
        <f t="array" ref="S46">_xll.BDH("PH US Equity","PROC_FR_REPURCH_EQTY_DETAILED","FQ1 2023","FQ1 2023","Currency=USD","Period=FQ","BEST_FPERIOD_OVERRIDE=FQ","FILING_STATUS=MR","SCALING_FORMAT=MLN","Sort=A","Dates=H","DateFormat=P","Fill=—","Direction=H","UseDPDF=Y")</f>
        <v>-66.682000000000002</v>
      </c>
      <c r="T46" s="12" cm="1">
        <f t="array" ref="T46">_xll.BDH("PH US Equity","PROC_FR_REPURCH_EQTY_DETAILED","FQ2 2023","FQ2 2023","Currency=USD","Period=FQ","BEST_FPERIOD_OVERRIDE=FQ","FILING_STATUS=MR","SCALING_FORMAT=MLN","Sort=A","Dates=H","DateFormat=P","Fill=—","Direction=H","UseDPDF=Y")</f>
        <v>-53.262</v>
      </c>
      <c r="U46" s="12" cm="1">
        <f t="array" ref="U46">_xll.BDH("PH US Equity","PROC_FR_REPURCH_EQTY_DETAILED","FQ3 2023","FQ3 2023","Currency=USD","Period=FQ","BEST_FPERIOD_OVERRIDE=FQ","FILING_STATUS=MR","SCALING_FORMAT=MLN","Sort=A","Dates=H","DateFormat=P","Fill=—","Direction=H","UseDPDF=Y")</f>
        <v>-79.966999999999999</v>
      </c>
      <c r="V46" s="12" cm="1">
        <f t="array" ref="V46">_xll.BDH("PH US Equity","PROC_FR_REPURCH_EQTY_DETAILED","FQ4 2023","FQ4 2023","Currency=USD","Period=FQ","BEST_FPERIOD_OVERRIDE=FQ","FILING_STATUS=MR","SCALING_FORMAT=MLN","Sort=A","Dates=H","DateFormat=P","Fill=—","Direction=H","UseDPDF=Y")</f>
        <v>-93.936000000000007</v>
      </c>
      <c r="W46" s="12" cm="1">
        <f t="array" ref="W46">_xll.BDH("PH US Equity","PROC_FR_REPURCH_EQTY_DETAILED","FQ1 2024","FQ1 2024","Currency=USD","Period=FQ","BEST_FPERIOD_OVERRIDE=FQ","FILING_STATUS=MR","SCALING_FORMAT=MLN","Sort=A","Dates=H","DateFormat=P","Fill=—","Direction=H","UseDPDF=Y")</f>
        <v>-78.147999999999996</v>
      </c>
      <c r="X46" s="12" cm="1">
        <f t="array" ref="X46">_xll.BDH("PH US Equity","PROC_FR_REPURCH_EQTY_DETAILED","FQ2 2024","FQ2 2024","Currency=USD","Period=FQ","BEST_FPERIOD_OVERRIDE=FQ","FILING_STATUS=MR","SCALING_FORMAT=MLN","Sort=A","Dates=H","DateFormat=P","Fill=—","Direction=H","UseDPDF=Y")</f>
        <v>-58.246000000000002</v>
      </c>
      <c r="Y46" s="12" cm="1">
        <f t="array" ref="Y46">_xll.BDH("PH US Equity","PROC_FR_REPURCH_EQTY_DETAILED","FQ3 2024","FQ3 2024","Currency=USD","Period=FQ","BEST_FPERIOD_OVERRIDE=FQ","FILING_STATUS=MR","SCALING_FORMAT=MLN","Sort=A","Dates=H","DateFormat=P","Fill=—","Direction=H","UseDPDF=Y")</f>
        <v>-101.295</v>
      </c>
      <c r="Z46" s="12" cm="1">
        <f t="array" ref="Z46">_xll.BDH("PH US Equity","PROC_FR_REPURCH_EQTY_DETAILED","FQ4 2024","FQ4 2024","Currency=USD","Period=FQ","BEST_FPERIOD_OVERRIDE=FQ","FILING_STATUS=MR","SCALING_FORMAT=MLN","Sort=A","Dates=H","DateFormat=P","Fill=—","Direction=H","UseDPDF=Y")</f>
        <v>-90.76</v>
      </c>
      <c r="AA46" s="12" cm="1">
        <f t="array" ref="AA46">_xll.BDH("PH US Equity","PROC_FR_REPURCH_EQTY_DETAILED","FQ1 2025","FQ1 2025","Currency=USD","Period=FQ","BEST_FPERIOD_OVERRIDE=FQ","FILING_STATUS=MR","SCALING_FORMAT=MLN","Sort=A","Dates=H","DateFormat=P","Fill=—","Direction=H","UseDPDF=Y")</f>
        <v>-92.088999999999999</v>
      </c>
      <c r="AB46" s="12" cm="1">
        <f t="array" ref="AB46">_xll.BDH("PH US Equity","PROC_FR_REPURCH_EQTY_DETAILED","FQ2 2025","FQ2 2025","Currency=USD","Period=FQ","BEST_FPERIOD_OVERRIDE=FQ","FILING_STATUS=MR","SCALING_FORMAT=MLN","Sort=A","Dates=H","DateFormat=P","Fill=—","Direction=H","UseDPDF=Y")</f>
        <v>-97.591999999999999</v>
      </c>
      <c r="AC46" s="12" cm="1">
        <f t="array" ref="AC46">_xll.BDH("PH US Equity","PROC_FR_REPURCH_EQTY_DETAILED","FQ3 2025","FQ3 2025","Currency=USD","Period=FQ","BEST_FPERIOD_OVERRIDE=FQ","FILING_STATUS=MR","SCALING_FORMAT=MLN","Sort=A","Dates=H","DateFormat=P","Fill=—","Direction=H","UseDPDF=Y")</f>
        <v>-667.24400000000003</v>
      </c>
      <c r="AD46" s="12" cm="1">
        <f t="array" ref="AD46">_xll.BDH("PH US Equity","PROC_FR_REPURCH_EQTY_DETAILED","FQ4 2025","FQ4 2025","Currency=USD","Period=FQ","BEST_FPERIOD_OVERRIDE=FQ","FILING_STATUS=MR","SCALING_FORMAT=MLN","Sort=A","Dates=H","DateFormat=P","Fill=—","Direction=H","UseDPDF=Y")</f>
        <v>-905.07500000000005</v>
      </c>
      <c r="AE46" s="12" cm="1">
        <f t="array" ref="AE46">_xll.BDH("PH US Equity","PROC_FR_REPURCH_EQTY_DETAILED","FQ1 2026","FQ1 2026","Currency=USD","Period=FQ","BEST_FPERIOD_OVERRIDE=FQ","FILING_STATUS=MR","SCALING_FORMAT=MLN","Sort=A","Dates=H","DateFormat=P","Fill=—","Direction=H","UseDPDF=Y")</f>
        <v>-522</v>
      </c>
      <c r="AF46" s="12" cm="1">
        <f t="array" ref="AF46">_xll.BDH("PH US Equity","PROC_FR_REPURCH_EQTY_DETAILED","FQ2 2026","FQ2 2026","Currency=USD","Period=FQ","BEST_FPERIOD_OVERRIDE=FQ","FILING_STATUS=MR","SCALING_FORMAT=MLN","Sort=A","Dates=H","DateFormat=P","Fill=—","Direction=H","UseDPDF=Y")</f>
        <v>-145</v>
      </c>
    </row>
    <row r="47" spans="1:32" x14ac:dyDescent="0.25">
      <c r="A47" s="10" t="s">
        <v>137</v>
      </c>
      <c r="B47" s="10" t="s">
        <v>138</v>
      </c>
      <c r="C47" s="12" cm="1">
        <f t="array" ref="C47">_xll.BDH("PH US Equity","CF_INCR_CAP_STOCK","FQ1 2019","FQ1 2019","Currency=USD","Period=FQ","BEST_FPERIOD_OVERRIDE=FQ","FILING_STATUS=MR","SCALING_FORMAT=MLN","Sort=A","Dates=H","DateFormat=P","Fill=—","Direction=H","UseDPDF=Y")</f>
        <v>0.496</v>
      </c>
      <c r="D47" s="12" cm="1">
        <f t="array" ref="D47">_xll.BDH("PH US Equity","CF_INCR_CAP_STOCK","FQ2 2019","FQ2 2019","Currency=USD","Period=FQ","BEST_FPERIOD_OVERRIDE=FQ","FILING_STATUS=MR","SCALING_FORMAT=MLN","Sort=A","Dates=H","DateFormat=P","Fill=—","Direction=H","UseDPDF=Y")</f>
        <v>0.13900000000000001</v>
      </c>
      <c r="E47" s="12" cm="1">
        <f t="array" ref="E47">_xll.BDH("PH US Equity","CF_INCR_CAP_STOCK","FQ3 2019","FQ3 2019","Currency=USD","Period=FQ","BEST_FPERIOD_OVERRIDE=FQ","FILING_STATUS=MR","SCALING_FORMAT=MLN","Sort=A","Dates=H","DateFormat=P","Fill=—","Direction=H","UseDPDF=Y")</f>
        <v>0.45400000000000001</v>
      </c>
      <c r="F47" s="12" cm="1">
        <f t="array" ref="F47">_xll.BDH("PH US Equity","CF_INCR_CAP_STOCK","FQ4 2019","FQ4 2019","Currency=USD","Period=FQ","BEST_FPERIOD_OVERRIDE=FQ","FILING_STATUS=MR","SCALING_FORMAT=MLN","Sort=A","Dates=H","DateFormat=P","Fill=—","Direction=H","UseDPDF=Y")</f>
        <v>1.3859999999999999</v>
      </c>
      <c r="G47" s="12" cm="1">
        <f t="array" ref="G47">_xll.BDH("PH US Equity","CF_INCR_CAP_STOCK","FQ1 2020","FQ1 2020","Currency=USD","Period=FQ","BEST_FPERIOD_OVERRIDE=FQ","FILING_STATUS=MR","SCALING_FORMAT=MLN","Sort=A","Dates=H","DateFormat=P","Fill=—","Direction=H","UseDPDF=Y")</f>
        <v>0.91200000000000003</v>
      </c>
      <c r="H47" s="12" cm="1">
        <f t="array" ref="H47">_xll.BDH("PH US Equity","CF_INCR_CAP_STOCK","FQ2 2020","FQ2 2020","Currency=USD","Period=FQ","BEST_FPERIOD_OVERRIDE=FQ","FILING_STATUS=MR","SCALING_FORMAT=MLN","Sort=A","Dates=H","DateFormat=P","Fill=—","Direction=H","UseDPDF=Y")</f>
        <v>1.0109999999999999</v>
      </c>
      <c r="I47" s="12" cm="1">
        <f t="array" ref="I47">_xll.BDH("PH US Equity","CF_INCR_CAP_STOCK","FQ3 2020","FQ3 2020","Currency=USD","Period=FQ","BEST_FPERIOD_OVERRIDE=FQ","FILING_STATUS=MR","SCALING_FORMAT=MLN","Sort=A","Dates=H","DateFormat=P","Fill=—","Direction=H","UseDPDF=Y")</f>
        <v>0.53600000000000003</v>
      </c>
      <c r="J47" s="12" cm="1">
        <f t="array" ref="J47">_xll.BDH("PH US Equity","CF_INCR_CAP_STOCK","FQ4 2020","FQ4 2020","Currency=USD","Period=FQ","BEST_FPERIOD_OVERRIDE=FQ","FILING_STATUS=MR","SCALING_FORMAT=MLN","Sort=A","Dates=H","DateFormat=P","Fill=—","Direction=H","UseDPDF=Y")</f>
        <v>0.16400000000000001</v>
      </c>
      <c r="K47" s="12" cm="1">
        <f t="array" ref="K47">_xll.BDH("PH US Equity","CF_INCR_CAP_STOCK","FQ1 2021","FQ1 2021","Currency=USD","Period=FQ","BEST_FPERIOD_OVERRIDE=FQ","FILING_STATUS=MR","SCALING_FORMAT=MLN","Sort=A","Dates=H","DateFormat=P","Fill=—","Direction=H","UseDPDF=Y")</f>
        <v>0.98899999999999999</v>
      </c>
      <c r="L47" s="12" cm="1">
        <f t="array" ref="L47">_xll.BDH("PH US Equity","CF_INCR_CAP_STOCK","FQ2 2021","FQ2 2021","Currency=USD","Period=FQ","BEST_FPERIOD_OVERRIDE=FQ","FILING_STATUS=MR","SCALING_FORMAT=MLN","Sort=A","Dates=H","DateFormat=P","Fill=—","Direction=H","UseDPDF=Y")</f>
        <v>2.1480000000000001</v>
      </c>
      <c r="M47" s="12" cm="1">
        <f t="array" ref="M47">_xll.BDH("PH US Equity","CF_INCR_CAP_STOCK","FQ3 2021","FQ3 2021","Currency=USD","Period=FQ","BEST_FPERIOD_OVERRIDE=FQ","FILING_STATUS=MR","SCALING_FORMAT=MLN","Sort=A","Dates=H","DateFormat=P","Fill=—","Direction=H","UseDPDF=Y")</f>
        <v>0.875</v>
      </c>
      <c r="N47" s="12" cm="1">
        <f t="array" ref="N47">_xll.BDH("PH US Equity","CF_INCR_CAP_STOCK","FQ4 2021","FQ4 2021","Currency=USD","Period=FQ","BEST_FPERIOD_OVERRIDE=FQ","FILING_STATUS=MR","SCALING_FORMAT=MLN","Sort=A","Dates=H","DateFormat=P","Fill=—","Direction=H","UseDPDF=Y")</f>
        <v>0.67200000000000004</v>
      </c>
      <c r="O47" s="12" cm="1">
        <f t="array" ref="O47">_xll.BDH("PH US Equity","CF_INCR_CAP_STOCK","FQ1 2022","FQ1 2022","Currency=USD","Period=FQ","BEST_FPERIOD_OVERRIDE=FQ","FILING_STATUS=MR","SCALING_FORMAT=MLN","Sort=A","Dates=H","DateFormat=P","Fill=—","Direction=H","UseDPDF=Y")</f>
        <v>1.089</v>
      </c>
      <c r="P47" s="12" cm="1">
        <f t="array" ref="P47">_xll.BDH("PH US Equity","CF_INCR_CAP_STOCK","FQ2 2022","FQ2 2022","Currency=USD","Period=FQ","BEST_FPERIOD_OVERRIDE=FQ","FILING_STATUS=MR","SCALING_FORMAT=MLN","Sort=A","Dates=H","DateFormat=P","Fill=—","Direction=H","UseDPDF=Y")</f>
        <v>1.1120000000000001</v>
      </c>
      <c r="Q47" s="12" cm="1">
        <f t="array" ref="Q47">_xll.BDH("PH US Equity","CF_INCR_CAP_STOCK","FQ3 2022","FQ3 2022","Currency=USD","Period=FQ","BEST_FPERIOD_OVERRIDE=FQ","FILING_STATUS=MR","SCALING_FORMAT=MLN","Sort=A","Dates=H","DateFormat=P","Fill=—","Direction=H","UseDPDF=Y")</f>
        <v>0.36499999999999999</v>
      </c>
      <c r="R47" s="12" cm="1">
        <f t="array" ref="R47">_xll.BDH("PH US Equity","CF_INCR_CAP_STOCK","FQ4 2022","FQ4 2022","Currency=USD","Period=FQ","BEST_FPERIOD_OVERRIDE=FQ","FILING_STATUS=MR","SCALING_FORMAT=MLN","Sort=A","Dates=H","DateFormat=P","Fill=—","Direction=H","UseDPDF=Y")</f>
        <v>0.26500000000000001</v>
      </c>
      <c r="S47" s="12" cm="1">
        <f t="array" ref="S47">_xll.BDH("PH US Equity","CF_INCR_CAP_STOCK","FQ1 2023","FQ1 2023","Currency=USD","Period=FQ","BEST_FPERIOD_OVERRIDE=FQ","FILING_STATUS=MR","SCALING_FORMAT=MLN","Sort=A","Dates=H","DateFormat=P","Fill=—","Direction=H","UseDPDF=Y")</f>
        <v>0.55900000000000005</v>
      </c>
      <c r="T47" s="12" cm="1">
        <f t="array" ref="T47">_xll.BDH("PH US Equity","CF_INCR_CAP_STOCK","FQ2 2023","FQ2 2023","Currency=USD","Period=FQ","BEST_FPERIOD_OVERRIDE=FQ","FILING_STATUS=MR","SCALING_FORMAT=MLN","Sort=A","Dates=H","DateFormat=P","Fill=—","Direction=H","UseDPDF=Y")</f>
        <v>0.56499999999999995</v>
      </c>
      <c r="U47" s="12" cm="1">
        <f t="array" ref="U47">_xll.BDH("PH US Equity","CF_INCR_CAP_STOCK","FQ3 2023","FQ3 2023","Currency=USD","Period=FQ","BEST_FPERIOD_OVERRIDE=FQ","FILING_STATUS=MR","SCALING_FORMAT=MLN","Sort=A","Dates=H","DateFormat=P","Fill=—","Direction=H","UseDPDF=Y")</f>
        <v>1.696</v>
      </c>
      <c r="V47" s="12" cm="1">
        <f t="array" ref="V47">_xll.BDH("PH US Equity","CF_INCR_CAP_STOCK","FQ4 2023","FQ4 2023","Currency=USD","Period=FQ","BEST_FPERIOD_OVERRIDE=FQ","FILING_STATUS=MR","SCALING_FORMAT=MLN","Sort=A","Dates=H","DateFormat=P","Fill=—","Direction=H","UseDPDF=Y")</f>
        <v>0.65600000000000003</v>
      </c>
      <c r="W47" s="12" cm="1">
        <f t="array" ref="W47">_xll.BDH("PH US Equity","CF_INCR_CAP_STOCK","FQ1 2024","FQ1 2024","Currency=USD","Period=FQ","BEST_FPERIOD_OVERRIDE=FQ","FILING_STATUS=MR","SCALING_FORMAT=MLN","Sort=A","Dates=H","DateFormat=P","Fill=—","Direction=H","UseDPDF=Y")</f>
        <v>1.1819999999999999</v>
      </c>
      <c r="X47" s="12" cm="1">
        <f t="array" ref="X47">_xll.BDH("PH US Equity","CF_INCR_CAP_STOCK","FQ2 2024","FQ2 2024","Currency=USD","Period=FQ","BEST_FPERIOD_OVERRIDE=FQ","FILING_STATUS=MR","SCALING_FORMAT=MLN","Sort=A","Dates=H","DateFormat=P","Fill=—","Direction=H","UseDPDF=Y")</f>
        <v>0.746</v>
      </c>
      <c r="Y47" s="12" cm="1">
        <f t="array" ref="Y47">_xll.BDH("PH US Equity","CF_INCR_CAP_STOCK","FQ3 2024","FQ3 2024","Currency=USD","Period=FQ","BEST_FPERIOD_OVERRIDE=FQ","FILING_STATUS=MR","SCALING_FORMAT=MLN","Sort=A","Dates=H","DateFormat=P","Fill=—","Direction=H","UseDPDF=Y")</f>
        <v>1.268</v>
      </c>
      <c r="Z47" s="12" cm="1">
        <f t="array" ref="Z47">_xll.BDH("PH US Equity","CF_INCR_CAP_STOCK","FQ4 2024","FQ4 2024","Currency=USD","Period=FQ","BEST_FPERIOD_OVERRIDE=FQ","FILING_STATUS=MR","SCALING_FORMAT=MLN","Sort=A","Dates=H","DateFormat=P","Fill=—","Direction=H","UseDPDF=Y")</f>
        <v>0.41</v>
      </c>
      <c r="AA47" s="12" cm="1">
        <f t="array" ref="AA47">_xll.BDH("PH US Equity","CF_INCR_CAP_STOCK","FQ1 2025","FQ1 2025","Currency=USD","Period=FQ","BEST_FPERIOD_OVERRIDE=FQ","FILING_STATUS=MR","SCALING_FORMAT=MLN","Sort=A","Dates=H","DateFormat=P","Fill=—","Direction=H","UseDPDF=Y")</f>
        <v>1.6970000000000001</v>
      </c>
      <c r="AB47" s="12" cm="1">
        <f t="array" ref="AB47">_xll.BDH("PH US Equity","CF_INCR_CAP_STOCK","FQ2 2025","FQ2 2025","Currency=USD","Period=FQ","BEST_FPERIOD_OVERRIDE=FQ","FILING_STATUS=MR","SCALING_FORMAT=MLN","Sort=A","Dates=H","DateFormat=P","Fill=—","Direction=H","UseDPDF=Y")</f>
        <v>0.93899999999999995</v>
      </c>
      <c r="AC47" s="12" cm="1">
        <f t="array" ref="AC47">_xll.BDH("PH US Equity","CF_INCR_CAP_STOCK","FQ3 2025","FQ3 2025","Currency=USD","Period=FQ","BEST_FPERIOD_OVERRIDE=FQ","FILING_STATUS=MR","SCALING_FORMAT=MLN","Sort=A","Dates=H","DateFormat=P","Fill=—","Direction=H","UseDPDF=Y")</f>
        <v>0.33900000000000002</v>
      </c>
      <c r="AD47" s="12" cm="1">
        <f t="array" ref="AD47">_xll.BDH("PH US Equity","CF_INCR_CAP_STOCK","FQ4 2025","FQ4 2025","Currency=USD","Period=FQ","BEST_FPERIOD_OVERRIDE=FQ","FILING_STATUS=MR","SCALING_FORMAT=MLN","Sort=A","Dates=H","DateFormat=P","Fill=—","Direction=H","UseDPDF=Y")</f>
        <v>1.0249999999999999</v>
      </c>
      <c r="AE47" s="12" cm="1">
        <f t="array" ref="AE47">_xll.BDH("PH US Equity","CF_INCR_CAP_STOCK","FQ1 2026","FQ1 2026","Currency=USD","Period=FQ","BEST_FPERIOD_OVERRIDE=FQ","FILING_STATUS=MR","SCALING_FORMAT=MLN","Sort=A","Dates=H","DateFormat=P","Fill=—","Direction=H","UseDPDF=Y")</f>
        <v>0</v>
      </c>
      <c r="AF47" s="12" cm="1">
        <f t="array" ref="AF47">_xll.BDH("PH US Equity","CF_INCR_CAP_STOCK","FQ2 2026","FQ2 2026","Currency=USD","Period=FQ","BEST_FPERIOD_OVERRIDE=FQ","FILING_STATUS=MR","SCALING_FORMAT=MLN","Sort=A","Dates=H","DateFormat=P","Fill=—","Direction=H","UseDPDF=Y")</f>
        <v>0</v>
      </c>
    </row>
    <row r="48" spans="1:32" x14ac:dyDescent="0.25">
      <c r="A48" s="10" t="s">
        <v>139</v>
      </c>
      <c r="B48" s="10" t="s">
        <v>140</v>
      </c>
      <c r="C48" s="12" cm="1">
        <f t="array" ref="C48">_xll.BDH("PH US Equity","CF_DECR_CAP_STOCK","FQ1 2019","FQ1 2019","Currency=USD","Period=FQ","BEST_FPERIOD_OVERRIDE=FQ","FILING_STATUS=MR","SCALING_FORMAT=MLN","Sort=A","Dates=H","DateFormat=P","Fill=—","Direction=H","UseDPDF=Y")</f>
        <v>-65.350999999999999</v>
      </c>
      <c r="D48" s="12" cm="1">
        <f t="array" ref="D48">_xll.BDH("PH US Equity","CF_DECR_CAP_STOCK","FQ2 2019","FQ2 2019","Currency=USD","Period=FQ","BEST_FPERIOD_OVERRIDE=FQ","FILING_STATUS=MR","SCALING_FORMAT=MLN","Sort=A","Dates=H","DateFormat=P","Fill=—","Direction=H","UseDPDF=Y")</f>
        <v>-500.61900000000003</v>
      </c>
      <c r="E48" s="12" cm="1">
        <f t="array" ref="E48">_xll.BDH("PH US Equity","CF_DECR_CAP_STOCK","FQ3 2019","FQ3 2019","Currency=USD","Period=FQ","BEST_FPERIOD_OVERRIDE=FQ","FILING_STATUS=MR","SCALING_FORMAT=MLN","Sort=A","Dates=H","DateFormat=P","Fill=—","Direction=H","UseDPDF=Y")</f>
        <v>-204.93899999999999</v>
      </c>
      <c r="F48" s="12" cm="1">
        <f t="array" ref="F48">_xll.BDH("PH US Equity","CF_DECR_CAP_STOCK","FQ4 2019","FQ4 2019","Currency=USD","Period=FQ","BEST_FPERIOD_OVERRIDE=FQ","FILING_STATUS=MR","SCALING_FORMAT=MLN","Sort=A","Dates=H","DateFormat=P","Fill=—","Direction=H","UseDPDF=Y")</f>
        <v>-89.143000000000001</v>
      </c>
      <c r="G48" s="12" cm="1">
        <f t="array" ref="G48">_xll.BDH("PH US Equity","CF_DECR_CAP_STOCK","FQ1 2020","FQ1 2020","Currency=USD","Period=FQ","BEST_FPERIOD_OVERRIDE=FQ","FILING_STATUS=MR","SCALING_FORMAT=MLN","Sort=A","Dates=H","DateFormat=P","Fill=—","Direction=H","UseDPDF=Y")</f>
        <v>-72.897000000000006</v>
      </c>
      <c r="H48" s="12" cm="1">
        <f t="array" ref="H48">_xll.BDH("PH US Equity","CF_DECR_CAP_STOCK","FQ2 2020","FQ2 2020","Currency=USD","Period=FQ","BEST_FPERIOD_OVERRIDE=FQ","FILING_STATUS=MR","SCALING_FORMAT=MLN","Sort=A","Dates=H","DateFormat=P","Fill=—","Direction=H","UseDPDF=Y")</f>
        <v>-63.917999999999999</v>
      </c>
      <c r="I48" s="12" cm="1">
        <f t="array" ref="I48">_xll.BDH("PH US Equity","CF_DECR_CAP_STOCK","FQ3 2020","FQ3 2020","Currency=USD","Period=FQ","BEST_FPERIOD_OVERRIDE=FQ","FILING_STATUS=MR","SCALING_FORMAT=MLN","Sort=A","Dates=H","DateFormat=P","Fill=—","Direction=H","UseDPDF=Y")</f>
        <v>-57.817999999999998</v>
      </c>
      <c r="J48" s="12" cm="1">
        <f t="array" ref="J48">_xll.BDH("PH US Equity","CF_DECR_CAP_STOCK","FQ4 2020","FQ4 2020","Currency=USD","Period=FQ","BEST_FPERIOD_OVERRIDE=FQ","FILING_STATUS=MR","SCALING_FORMAT=MLN","Sort=A","Dates=H","DateFormat=P","Fill=—","Direction=H","UseDPDF=Y")</f>
        <v>-21.416</v>
      </c>
      <c r="K48" s="12" cm="1">
        <f t="array" ref="K48">_xll.BDH("PH US Equity","CF_DECR_CAP_STOCK","FQ1 2021","FQ1 2021","Currency=USD","Period=FQ","BEST_FPERIOD_OVERRIDE=FQ","FILING_STATUS=MR","SCALING_FORMAT=MLN","Sort=A","Dates=H","DateFormat=P","Fill=—","Direction=H","UseDPDF=Y")</f>
        <v>-22.739000000000001</v>
      </c>
      <c r="L48" s="12" cm="1">
        <f t="array" ref="L48">_xll.BDH("PH US Equity","CF_DECR_CAP_STOCK","FQ2 2021","FQ2 2021","Currency=USD","Period=FQ","BEST_FPERIOD_OVERRIDE=FQ","FILING_STATUS=MR","SCALING_FORMAT=MLN","Sort=A","Dates=H","DateFormat=P","Fill=—","Direction=H","UseDPDF=Y")</f>
        <v>-38.085999999999999</v>
      </c>
      <c r="M48" s="12" cm="1">
        <f t="array" ref="M48">_xll.BDH("PH US Equity","CF_DECR_CAP_STOCK","FQ3 2021","FQ3 2021","Currency=USD","Period=FQ","BEST_FPERIOD_OVERRIDE=FQ","FILING_STATUS=MR","SCALING_FORMAT=MLN","Sort=A","Dates=H","DateFormat=P","Fill=—","Direction=H","UseDPDF=Y")</f>
        <v>-68.706000000000003</v>
      </c>
      <c r="N48" s="12" cm="1">
        <f t="array" ref="N48">_xll.BDH("PH US Equity","CF_DECR_CAP_STOCK","FQ4 2021","FQ4 2021","Currency=USD","Period=FQ","BEST_FPERIOD_OVERRIDE=FQ","FILING_STATUS=MR","SCALING_FORMAT=MLN","Sort=A","Dates=H","DateFormat=P","Fill=—","Direction=H","UseDPDF=Y")</f>
        <v>-89.287000000000006</v>
      </c>
      <c r="O48" s="12" cm="1">
        <f t="array" ref="O48">_xll.BDH("PH US Equity","CF_DECR_CAP_STOCK","FQ1 2022","FQ1 2022","Currency=USD","Period=FQ","BEST_FPERIOD_OVERRIDE=FQ","FILING_STATUS=MR","SCALING_FORMAT=MLN","Sort=A","Dates=H","DateFormat=P","Fill=—","Direction=H","UseDPDF=Y")</f>
        <v>-245.82</v>
      </c>
      <c r="P48" s="12" cm="1">
        <f t="array" ref="P48">_xll.BDH("PH US Equity","CF_DECR_CAP_STOCK","FQ2 2022","FQ2 2022","Currency=USD","Period=FQ","BEST_FPERIOD_OVERRIDE=FQ","FILING_STATUS=MR","SCALING_FORMAT=MLN","Sort=A","Dates=H","DateFormat=P","Fill=—","Direction=H","UseDPDF=Y")</f>
        <v>-73.893000000000001</v>
      </c>
      <c r="Q48" s="12" cm="1">
        <f t="array" ref="Q48">_xll.BDH("PH US Equity","CF_DECR_CAP_STOCK","FQ3 2022","FQ3 2022","Currency=USD","Period=FQ","BEST_FPERIOD_OVERRIDE=FQ","FILING_STATUS=MR","SCALING_FORMAT=MLN","Sort=A","Dates=H","DateFormat=P","Fill=—","Direction=H","UseDPDF=Y")</f>
        <v>-55.283000000000001</v>
      </c>
      <c r="R48" s="12" cm="1">
        <f t="array" ref="R48">_xll.BDH("PH US Equity","CF_DECR_CAP_STOCK","FQ4 2022","FQ4 2022","Currency=USD","Period=FQ","BEST_FPERIOD_OVERRIDE=FQ","FILING_STATUS=MR","SCALING_FORMAT=MLN","Sort=A","Dates=H","DateFormat=P","Fill=—","Direction=H","UseDPDF=Y")</f>
        <v>-85.06</v>
      </c>
      <c r="S48" s="12" cm="1">
        <f t="array" ref="S48">_xll.BDH("PH US Equity","CF_DECR_CAP_STOCK","FQ1 2023","FQ1 2023","Currency=USD","Period=FQ","BEST_FPERIOD_OVERRIDE=FQ","FILING_STATUS=MR","SCALING_FORMAT=MLN","Sort=A","Dates=H","DateFormat=P","Fill=—","Direction=H","UseDPDF=Y")</f>
        <v>-67.241</v>
      </c>
      <c r="T48" s="12" cm="1">
        <f t="array" ref="T48">_xll.BDH("PH US Equity","CF_DECR_CAP_STOCK","FQ2 2023","FQ2 2023","Currency=USD","Period=FQ","BEST_FPERIOD_OVERRIDE=FQ","FILING_STATUS=MR","SCALING_FORMAT=MLN","Sort=A","Dates=H","DateFormat=P","Fill=—","Direction=H","UseDPDF=Y")</f>
        <v>-53.826999999999998</v>
      </c>
      <c r="U48" s="12" cm="1">
        <f t="array" ref="U48">_xll.BDH("PH US Equity","CF_DECR_CAP_STOCK","FQ3 2023","FQ3 2023","Currency=USD","Period=FQ","BEST_FPERIOD_OVERRIDE=FQ","FILING_STATUS=MR","SCALING_FORMAT=MLN","Sort=A","Dates=H","DateFormat=P","Fill=—","Direction=H","UseDPDF=Y")</f>
        <v>-81.662999999999997</v>
      </c>
      <c r="V48" s="12" cm="1">
        <f t="array" ref="V48">_xll.BDH("PH US Equity","CF_DECR_CAP_STOCK","FQ4 2023","FQ4 2023","Currency=USD","Period=FQ","BEST_FPERIOD_OVERRIDE=FQ","FILING_STATUS=MR","SCALING_FORMAT=MLN","Sort=A","Dates=H","DateFormat=P","Fill=—","Direction=H","UseDPDF=Y")</f>
        <v>-94.591999999999999</v>
      </c>
      <c r="W48" s="12" cm="1">
        <f t="array" ref="W48">_xll.BDH("PH US Equity","CF_DECR_CAP_STOCK","FQ1 2024","FQ1 2024","Currency=USD","Period=FQ","BEST_FPERIOD_OVERRIDE=FQ","FILING_STATUS=MR","SCALING_FORMAT=MLN","Sort=A","Dates=H","DateFormat=P","Fill=—","Direction=H","UseDPDF=Y")</f>
        <v>-79.33</v>
      </c>
      <c r="X48" s="12" cm="1">
        <f t="array" ref="X48">_xll.BDH("PH US Equity","CF_DECR_CAP_STOCK","FQ2 2024","FQ2 2024","Currency=USD","Period=FQ","BEST_FPERIOD_OVERRIDE=FQ","FILING_STATUS=MR","SCALING_FORMAT=MLN","Sort=A","Dates=H","DateFormat=P","Fill=—","Direction=H","UseDPDF=Y")</f>
        <v>-58.991999999999997</v>
      </c>
      <c r="Y48" s="12" cm="1">
        <f t="array" ref="Y48">_xll.BDH("PH US Equity","CF_DECR_CAP_STOCK","FQ3 2024","FQ3 2024","Currency=USD","Period=FQ","BEST_FPERIOD_OVERRIDE=FQ","FILING_STATUS=MR","SCALING_FORMAT=MLN","Sort=A","Dates=H","DateFormat=P","Fill=—","Direction=H","UseDPDF=Y")</f>
        <v>-102.563</v>
      </c>
      <c r="Z48" s="12" cm="1">
        <f t="array" ref="Z48">_xll.BDH("PH US Equity","CF_DECR_CAP_STOCK","FQ4 2024","FQ4 2024","Currency=USD","Period=FQ","BEST_FPERIOD_OVERRIDE=FQ","FILING_STATUS=MR","SCALING_FORMAT=MLN","Sort=A","Dates=H","DateFormat=P","Fill=—","Direction=H","UseDPDF=Y")</f>
        <v>-91.17</v>
      </c>
      <c r="AA48" s="12" cm="1">
        <f t="array" ref="AA48">_xll.BDH("PH US Equity","CF_DECR_CAP_STOCK","FQ1 2025","FQ1 2025","Currency=USD","Period=FQ","BEST_FPERIOD_OVERRIDE=FQ","FILING_STATUS=MR","SCALING_FORMAT=MLN","Sort=A","Dates=H","DateFormat=P","Fill=—","Direction=H","UseDPDF=Y")</f>
        <v>-93.786000000000001</v>
      </c>
      <c r="AB48" s="12" cm="1">
        <f t="array" ref="AB48">_xll.BDH("PH US Equity","CF_DECR_CAP_STOCK","FQ2 2025","FQ2 2025","Currency=USD","Period=FQ","BEST_FPERIOD_OVERRIDE=FQ","FILING_STATUS=MR","SCALING_FORMAT=MLN","Sort=A","Dates=H","DateFormat=P","Fill=—","Direction=H","UseDPDF=Y")</f>
        <v>-98.531000000000006</v>
      </c>
      <c r="AC48" s="12" cm="1">
        <f t="array" ref="AC48">_xll.BDH("PH US Equity","CF_DECR_CAP_STOCK","FQ3 2025","FQ3 2025","Currency=USD","Period=FQ","BEST_FPERIOD_OVERRIDE=FQ","FILING_STATUS=MR","SCALING_FORMAT=MLN","Sort=A","Dates=H","DateFormat=P","Fill=—","Direction=H","UseDPDF=Y")</f>
        <v>-667.58299999999997</v>
      </c>
      <c r="AD48" s="12" cm="1">
        <f t="array" ref="AD48">_xll.BDH("PH US Equity","CF_DECR_CAP_STOCK","FQ4 2025","FQ4 2025","Currency=USD","Period=FQ","BEST_FPERIOD_OVERRIDE=FQ","FILING_STATUS=MR","SCALING_FORMAT=MLN","Sort=A","Dates=H","DateFormat=P","Fill=—","Direction=H","UseDPDF=Y")</f>
        <v>-906.1</v>
      </c>
      <c r="AE48" s="12" cm="1">
        <f t="array" ref="AE48">_xll.BDH("PH US Equity","CF_DECR_CAP_STOCK","FQ1 2026","FQ1 2026","Currency=USD","Period=FQ","BEST_FPERIOD_OVERRIDE=FQ","FILING_STATUS=MR","SCALING_FORMAT=MLN","Sort=A","Dates=H","DateFormat=P","Fill=—","Direction=H","UseDPDF=Y")</f>
        <v>-522</v>
      </c>
      <c r="AF48" s="12" cm="1">
        <f t="array" ref="AF48">_xll.BDH("PH US Equity","CF_DECR_CAP_STOCK","FQ2 2026","FQ2 2026","Currency=USD","Period=FQ","BEST_FPERIOD_OVERRIDE=FQ","FILING_STATUS=MR","SCALING_FORMAT=MLN","Sort=A","Dates=H","DateFormat=P","Fill=—","Direction=H","UseDPDF=Y")</f>
        <v>-145</v>
      </c>
    </row>
    <row r="49" spans="1:32" x14ac:dyDescent="0.25">
      <c r="A49" s="10" t="s">
        <v>141</v>
      </c>
      <c r="B49" s="10" t="s">
        <v>142</v>
      </c>
      <c r="C49" s="12" cm="1">
        <f t="array" ref="C49">_xll.BDH("PH US Equity","OTHER_FIN_AND_DEC_CAP","FQ1 2019","FQ1 2019","Currency=USD","Period=FQ","BEST_FPERIOD_OVERRIDE=FQ","FILING_STATUS=MR","SCALING_FORMAT=MLN","Sort=A","Dates=H","DateFormat=P","Fill=—","Direction=H","UseDPDF=Y")</f>
        <v>0</v>
      </c>
      <c r="D49" s="12" cm="1">
        <f t="array" ref="D49">_xll.BDH("PH US Equity","OTHER_FIN_AND_DEC_CAP","FQ2 2019","FQ2 2019","Currency=USD","Period=FQ","BEST_FPERIOD_OVERRIDE=FQ","FILING_STATUS=MR","SCALING_FORMAT=MLN","Sort=A","Dates=H","DateFormat=P","Fill=—","Direction=H","UseDPDF=Y")</f>
        <v>0</v>
      </c>
      <c r="E49" s="12" cm="1">
        <f t="array" ref="E49">_xll.BDH("PH US Equity","OTHER_FIN_AND_DEC_CAP","FQ3 2019","FQ3 2019","Currency=USD","Period=FQ","BEST_FPERIOD_OVERRIDE=FQ","FILING_STATUS=MR","SCALING_FORMAT=MLN","Sort=A","Dates=H","DateFormat=P","Fill=—","Direction=H","UseDPDF=Y")</f>
        <v>0</v>
      </c>
      <c r="F49" s="12" cm="1">
        <f t="array" ref="F49">_xll.BDH("PH US Equity","OTHER_FIN_AND_DEC_CAP","FQ4 2019","FQ4 2019","Currency=USD","Period=FQ","BEST_FPERIOD_OVERRIDE=FQ","FILING_STATUS=MR","SCALING_FORMAT=MLN","Sort=A","Dates=H","DateFormat=P","Fill=—","Direction=H","UseDPDF=Y")</f>
        <v>0</v>
      </c>
      <c r="G49" s="12" cm="1">
        <f t="array" ref="G49">_xll.BDH("PH US Equity","OTHER_FIN_AND_DEC_CAP","FQ1 2020","FQ1 2020","Currency=USD","Period=FQ","BEST_FPERIOD_OVERRIDE=FQ","FILING_STATUS=MR","SCALING_FORMAT=MLN","Sort=A","Dates=H","DateFormat=P","Fill=—","Direction=H","UseDPDF=Y")</f>
        <v>0</v>
      </c>
      <c r="H49" s="12" cm="1">
        <f t="array" ref="H49">_xll.BDH("PH US Equity","OTHER_FIN_AND_DEC_CAP","FQ2 2020","FQ2 2020","Currency=USD","Period=FQ","BEST_FPERIOD_OVERRIDE=FQ","FILING_STATUS=MR","SCALING_FORMAT=MLN","Sort=A","Dates=H","DateFormat=P","Fill=—","Direction=H","UseDPDF=Y")</f>
        <v>0</v>
      </c>
      <c r="I49" s="12" cm="1">
        <f t="array" ref="I49">_xll.BDH("PH US Equity","OTHER_FIN_AND_DEC_CAP","FQ3 2020","FQ3 2020","Currency=USD","Period=FQ","BEST_FPERIOD_OVERRIDE=FQ","FILING_STATUS=MR","SCALING_FORMAT=MLN","Sort=A","Dates=H","DateFormat=P","Fill=—","Direction=H","UseDPDF=Y")</f>
        <v>0</v>
      </c>
      <c r="J49" s="12" cm="1">
        <f t="array" ref="J49">_xll.BDH("PH US Equity","OTHER_FIN_AND_DEC_CAP","FQ4 2020","FQ4 2020","Currency=USD","Period=FQ","BEST_FPERIOD_OVERRIDE=FQ","FILING_STATUS=MR","SCALING_FORMAT=MLN","Sort=A","Dates=H","DateFormat=P","Fill=—","Direction=H","UseDPDF=Y")</f>
        <v>-1.2</v>
      </c>
      <c r="K49" s="12" cm="1">
        <f t="array" ref="K49">_xll.BDH("PH US Equity","OTHER_FIN_AND_DEC_CAP","FQ1 2021","FQ1 2021","Currency=USD","Period=FQ","BEST_FPERIOD_OVERRIDE=FQ","FILING_STATUS=MR","SCALING_FORMAT=MLN","Sort=A","Dates=H","DateFormat=P","Fill=—","Direction=H","UseDPDF=Y")</f>
        <v>0</v>
      </c>
      <c r="L49" s="12" cm="1">
        <f t="array" ref="L49">_xll.BDH("PH US Equity","OTHER_FIN_AND_DEC_CAP","FQ2 2021","FQ2 2021","Currency=USD","Period=FQ","BEST_FPERIOD_OVERRIDE=FQ","FILING_STATUS=MR","SCALING_FORMAT=MLN","Sort=A","Dates=H","DateFormat=P","Fill=—","Direction=H","UseDPDF=Y")</f>
        <v>0</v>
      </c>
      <c r="M49" s="12" cm="1">
        <f t="array" ref="M49">_xll.BDH("PH US Equity","OTHER_FIN_AND_DEC_CAP","FQ3 2021","FQ3 2021","Currency=USD","Period=FQ","BEST_FPERIOD_OVERRIDE=FQ","FILING_STATUS=MR","SCALING_FORMAT=MLN","Sort=A","Dates=H","DateFormat=P","Fill=—","Direction=H","UseDPDF=Y")</f>
        <v>0</v>
      </c>
      <c r="N49" s="12" cm="1">
        <f t="array" ref="N49">_xll.BDH("PH US Equity","OTHER_FIN_AND_DEC_CAP","FQ4 2021","FQ4 2021","Currency=USD","Period=FQ","BEST_FPERIOD_OVERRIDE=FQ","FILING_STATUS=MR","SCALING_FORMAT=MLN","Sort=A","Dates=H","DateFormat=P","Fill=—","Direction=H","UseDPDF=Y")</f>
        <v>0</v>
      </c>
      <c r="O49" s="12" cm="1">
        <f t="array" ref="O49">_xll.BDH("PH US Equity","OTHER_FIN_AND_DEC_CAP","FQ1 2022","FQ1 2022","Currency=USD","Period=FQ","BEST_FPERIOD_OVERRIDE=FQ","FILING_STATUS=MR","SCALING_FORMAT=MLN","Sort=A","Dates=H","DateFormat=P","Fill=—","Direction=H","UseDPDF=Y")</f>
        <v>-42.703000000000003</v>
      </c>
      <c r="P49" s="12" cm="1">
        <f t="array" ref="P49">_xll.BDH("PH US Equity","OTHER_FIN_AND_DEC_CAP","FQ2 2022","FQ2 2022","Currency=USD","Period=FQ","BEST_FPERIOD_OVERRIDE=FQ","FILING_STATUS=MR","SCALING_FORMAT=MLN","Sort=A","Dates=H","DateFormat=P","Fill=—","Direction=H","UseDPDF=Y")</f>
        <v>-9.4049999999999994</v>
      </c>
      <c r="Q49" s="12" cm="1">
        <f t="array" ref="Q49">_xll.BDH("PH US Equity","OTHER_FIN_AND_DEC_CAP","FQ3 2022","FQ3 2022","Currency=USD","Period=FQ","BEST_FPERIOD_OVERRIDE=FQ","FILING_STATUS=MR","SCALING_FORMAT=MLN","Sort=A","Dates=H","DateFormat=P","Fill=—","Direction=H","UseDPDF=Y")</f>
        <v>-0.54700000000000004</v>
      </c>
      <c r="R49" s="12" cm="1">
        <f t="array" ref="R49">_xll.BDH("PH US Equity","OTHER_FIN_AND_DEC_CAP","FQ4 2022","FQ4 2022","Currency=USD","Period=FQ","BEST_FPERIOD_OVERRIDE=FQ","FILING_STATUS=MR","SCALING_FORMAT=MLN","Sort=A","Dates=H","DateFormat=P","Fill=—","Direction=H","UseDPDF=Y")</f>
        <v>-5.9740000000000002</v>
      </c>
      <c r="S49" s="12" cm="1">
        <f t="array" ref="S49">_xll.BDH("PH US Equity","OTHER_FIN_AND_DEC_CAP","FQ1 2023","FQ1 2023","Currency=USD","Period=FQ","BEST_FPERIOD_OVERRIDE=FQ","FILING_STATUS=MR","SCALING_FORMAT=MLN","Sort=A","Dates=H","DateFormat=P","Fill=—","Direction=H","UseDPDF=Y")</f>
        <v>-8.7539999999999996</v>
      </c>
      <c r="T49" s="12" cm="1">
        <f t="array" ref="T49">_xll.BDH("PH US Equity","OTHER_FIN_AND_DEC_CAP","FQ2 2023","FQ2 2023","Currency=USD","Period=FQ","BEST_FPERIOD_OVERRIDE=FQ","FILING_STATUS=MR","SCALING_FORMAT=MLN","Sort=A","Dates=H","DateFormat=P","Fill=—","Direction=H","UseDPDF=Y")</f>
        <v>-0.157</v>
      </c>
      <c r="U49" s="12" cm="1">
        <f t="array" ref="U49">_xll.BDH("PH US Equity","OTHER_FIN_AND_DEC_CAP","FQ3 2023","FQ3 2023","Currency=USD","Period=FQ","BEST_FPERIOD_OVERRIDE=FQ","FILING_STATUS=MR","SCALING_FORMAT=MLN","Sort=A","Dates=H","DateFormat=P","Fill=—","Direction=H","UseDPDF=Y")</f>
        <v>0</v>
      </c>
      <c r="V49" s="12" cm="1">
        <f t="array" ref="V49">_xll.BDH("PH US Equity","OTHER_FIN_AND_DEC_CAP","FQ4 2023","FQ4 2023","Currency=USD","Period=FQ","BEST_FPERIOD_OVERRIDE=FQ","FILING_STATUS=MR","SCALING_FORMAT=MLN","Sort=A","Dates=H","DateFormat=P","Fill=—","Direction=H","UseDPDF=Y")</f>
        <v>-4.694</v>
      </c>
      <c r="W49" s="12" cm="1">
        <f t="array" ref="W49">_xll.BDH("PH US Equity","OTHER_FIN_AND_DEC_CAP","FQ1 2024","FQ1 2024","Currency=USD","Period=FQ","BEST_FPERIOD_OVERRIDE=FQ","FILING_STATUS=MR","SCALING_FORMAT=MLN","Sort=A","Dates=H","DateFormat=P","Fill=—","Direction=H","UseDPDF=Y")</f>
        <v>-2.883</v>
      </c>
      <c r="X49" s="12" cm="1">
        <f t="array" ref="X49">_xll.BDH("PH US Equity","OTHER_FIN_AND_DEC_CAP","FQ2 2024","FQ2 2024","Currency=USD","Period=FQ","BEST_FPERIOD_OVERRIDE=FQ","FILING_STATUS=MR","SCALING_FORMAT=MLN","Sort=A","Dates=H","DateFormat=P","Fill=—","Direction=H","UseDPDF=Y")</f>
        <v>0</v>
      </c>
      <c r="Y49" s="12" cm="1">
        <f t="array" ref="Y49">_xll.BDH("PH US Equity","OTHER_FIN_AND_DEC_CAP","FQ3 2024","FQ3 2024","Currency=USD","Period=FQ","BEST_FPERIOD_OVERRIDE=FQ","FILING_STATUS=MR","SCALING_FORMAT=MLN","Sort=A","Dates=H","DateFormat=P","Fill=—","Direction=H","UseDPDF=Y")</f>
        <v>0</v>
      </c>
      <c r="Z49" s="12" cm="1">
        <f t="array" ref="Z49">_xll.BDH("PH US Equity","OTHER_FIN_AND_DEC_CAP","FQ4 2024","FQ4 2024","Currency=USD","Period=FQ","BEST_FPERIOD_OVERRIDE=FQ","FILING_STATUS=MR","SCALING_FORMAT=MLN","Sort=A","Dates=H","DateFormat=P","Fill=—","Direction=H","UseDPDF=Y")</f>
        <v>0</v>
      </c>
      <c r="AA49" s="12" cm="1">
        <f t="array" ref="AA49">_xll.BDH("PH US Equity","OTHER_FIN_AND_DEC_CAP","FQ1 2025","FQ1 2025","Currency=USD","Period=FQ","BEST_FPERIOD_OVERRIDE=FQ","FILING_STATUS=MR","SCALING_FORMAT=MLN","Sort=A","Dates=H","DateFormat=P","Fill=—","Direction=H","UseDPDF=Y")</f>
        <v>0</v>
      </c>
      <c r="AB49" s="12" cm="1">
        <f t="array" ref="AB49">_xll.BDH("PH US Equity","OTHER_FIN_AND_DEC_CAP","FQ2 2025","FQ2 2025","Currency=USD","Period=FQ","BEST_FPERIOD_OVERRIDE=FQ","FILING_STATUS=MR","SCALING_FORMAT=MLN","Sort=A","Dates=H","DateFormat=P","Fill=—","Direction=H","UseDPDF=Y")</f>
        <v>0</v>
      </c>
      <c r="AC49" s="12" cm="1">
        <f t="array" ref="AC49">_xll.BDH("PH US Equity","OTHER_FIN_AND_DEC_CAP","FQ3 2025","FQ3 2025","Currency=USD","Period=FQ","BEST_FPERIOD_OVERRIDE=FQ","FILING_STATUS=MR","SCALING_FORMAT=MLN","Sort=A","Dates=H","DateFormat=P","Fill=—","Direction=H","UseDPDF=Y")</f>
        <v>0</v>
      </c>
      <c r="AD49" s="12" cm="1">
        <f t="array" ref="AD49">_xll.BDH("PH US Equity","OTHER_FIN_AND_DEC_CAP","FQ4 2025","FQ4 2025","Currency=USD","Period=FQ","BEST_FPERIOD_OVERRIDE=FQ","FILING_STATUS=MR","SCALING_FORMAT=MLN","Sort=A","Dates=H","DateFormat=P","Fill=—","Direction=H","UseDPDF=Y")</f>
        <v>0</v>
      </c>
      <c r="AE49" s="12" cm="1">
        <f t="array" ref="AE49">_xll.BDH("PH US Equity","OTHER_FIN_AND_DEC_CAP","FQ1 2026","FQ1 2026","Currency=USD","Period=FQ","BEST_FPERIOD_OVERRIDE=FQ","FILING_STATUS=MR","SCALING_FORMAT=MLN","Sort=A","Dates=H","DateFormat=P","Fill=—","Direction=H","UseDPDF=Y")</f>
        <v>0</v>
      </c>
      <c r="AF49" s="12" cm="1">
        <f t="array" ref="AF49">_xll.BDH("PH US Equity","OTHER_FIN_AND_DEC_CAP","FQ2 2026","FQ2 2026","Currency=USD","Period=FQ","BEST_FPERIOD_OVERRIDE=FQ","FILING_STATUS=MR","SCALING_FORMAT=MLN","Sort=A","Dates=H","DateFormat=P","Fill=—","Direction=H","UseDPDF=Y")</f>
        <v>-1</v>
      </c>
    </row>
    <row r="50" spans="1:32" x14ac:dyDescent="0.25">
      <c r="A50" s="10" t="s">
        <v>88</v>
      </c>
      <c r="B50" s="10" t="s">
        <v>143</v>
      </c>
      <c r="C50" s="12" cm="1">
        <f t="array" ref="C50">_xll.BDH("PH US Equity","CF_NET_CASH_DISCONTINUED_OPS_FIN","FQ1 2019","FQ1 2019","Currency=USD","Period=FQ","BEST_FPERIOD_OVERRIDE=FQ","FILING_STATUS=MR","SCALING_FORMAT=MLN","Sort=A","Dates=H","DateFormat=P","Fill=—","Direction=H","UseDPDF=Y")</f>
        <v>0</v>
      </c>
      <c r="D50" s="12" cm="1">
        <f t="array" ref="D50">_xll.BDH("PH US Equity","CF_NET_CASH_DISCONTINUED_OPS_FIN","FQ2 2019","FQ2 2019","Currency=USD","Period=FQ","BEST_FPERIOD_OVERRIDE=FQ","FILING_STATUS=MR","SCALING_FORMAT=MLN","Sort=A","Dates=H","DateFormat=P","Fill=—","Direction=H","UseDPDF=Y")</f>
        <v>0</v>
      </c>
      <c r="E50" s="12" cm="1">
        <f t="array" ref="E50">_xll.BDH("PH US Equity","CF_NET_CASH_DISCONTINUED_OPS_FIN","FQ3 2019","FQ3 2019","Currency=USD","Period=FQ","BEST_FPERIOD_OVERRIDE=FQ","FILING_STATUS=MR","SCALING_FORMAT=MLN","Sort=A","Dates=H","DateFormat=P","Fill=—","Direction=H","UseDPDF=Y")</f>
        <v>0</v>
      </c>
      <c r="F50" s="12" cm="1">
        <f t="array" ref="F50">_xll.BDH("PH US Equity","CF_NET_CASH_DISCONTINUED_OPS_FIN","FQ4 2019","FQ4 2019","Currency=USD","Period=FQ","BEST_FPERIOD_OVERRIDE=FQ","FILING_STATUS=MR","SCALING_FORMAT=MLN","Sort=A","Dates=H","DateFormat=P","Fill=—","Direction=H","UseDPDF=Y")</f>
        <v>0</v>
      </c>
      <c r="G50" s="12" cm="1">
        <f t="array" ref="G50">_xll.BDH("PH US Equity","CF_NET_CASH_DISCONTINUED_OPS_FIN","FQ1 2020","FQ1 2020","Currency=USD","Period=FQ","BEST_FPERIOD_OVERRIDE=FQ","FILING_STATUS=MR","SCALING_FORMAT=MLN","Sort=A","Dates=H","DateFormat=P","Fill=—","Direction=H","UseDPDF=Y")</f>
        <v>0</v>
      </c>
      <c r="H50" s="12" cm="1">
        <f t="array" ref="H50">_xll.BDH("PH US Equity","CF_NET_CASH_DISCONTINUED_OPS_FIN","FQ2 2020","FQ2 2020","Currency=USD","Period=FQ","BEST_FPERIOD_OVERRIDE=FQ","FILING_STATUS=MR","SCALING_FORMAT=MLN","Sort=A","Dates=H","DateFormat=P","Fill=—","Direction=H","UseDPDF=Y")</f>
        <v>0</v>
      </c>
      <c r="I50" s="12" cm="1">
        <f t="array" ref="I50">_xll.BDH("PH US Equity","CF_NET_CASH_DISCONTINUED_OPS_FIN","FQ3 2020","FQ3 2020","Currency=USD","Period=FQ","BEST_FPERIOD_OVERRIDE=FQ","FILING_STATUS=MR","SCALING_FORMAT=MLN","Sort=A","Dates=H","DateFormat=P","Fill=—","Direction=H","UseDPDF=Y")</f>
        <v>0</v>
      </c>
      <c r="J50" s="12" cm="1">
        <f t="array" ref="J50">_xll.BDH("PH US Equity","CF_NET_CASH_DISCONTINUED_OPS_FIN","FQ4 2020","FQ4 2020","Currency=USD","Period=FQ","BEST_FPERIOD_OVERRIDE=FQ","FILING_STATUS=MR","SCALING_FORMAT=MLN","Sort=A","Dates=H","DateFormat=P","Fill=—","Direction=H","UseDPDF=Y")</f>
        <v>0</v>
      </c>
      <c r="K50" s="12" cm="1">
        <f t="array" ref="K50">_xll.BDH("PH US Equity","CF_NET_CASH_DISCONTINUED_OPS_FIN","FQ1 2021","FQ1 2021","Currency=USD","Period=FQ","BEST_FPERIOD_OVERRIDE=FQ","FILING_STATUS=MR","SCALING_FORMAT=MLN","Sort=A","Dates=H","DateFormat=P","Fill=—","Direction=H","UseDPDF=Y")</f>
        <v>0</v>
      </c>
      <c r="L50" s="12" cm="1">
        <f t="array" ref="L50">_xll.BDH("PH US Equity","CF_NET_CASH_DISCONTINUED_OPS_FIN","FQ2 2021","FQ2 2021","Currency=USD","Period=FQ","BEST_FPERIOD_OVERRIDE=FQ","FILING_STATUS=MR","SCALING_FORMAT=MLN","Sort=A","Dates=H","DateFormat=P","Fill=—","Direction=H","UseDPDF=Y")</f>
        <v>0</v>
      </c>
      <c r="M50" s="12" cm="1">
        <f t="array" ref="M50">_xll.BDH("PH US Equity","CF_NET_CASH_DISCONTINUED_OPS_FIN","FQ3 2021","FQ3 2021","Currency=USD","Period=FQ","BEST_FPERIOD_OVERRIDE=FQ","FILING_STATUS=MR","SCALING_FORMAT=MLN","Sort=A","Dates=H","DateFormat=P","Fill=—","Direction=H","UseDPDF=Y")</f>
        <v>0</v>
      </c>
      <c r="N50" s="12" cm="1">
        <f t="array" ref="N50">_xll.BDH("PH US Equity","CF_NET_CASH_DISCONTINUED_OPS_FIN","FQ4 2021","FQ4 2021","Currency=USD","Period=FQ","BEST_FPERIOD_OVERRIDE=FQ","FILING_STATUS=MR","SCALING_FORMAT=MLN","Sort=A","Dates=H","DateFormat=P","Fill=—","Direction=H","UseDPDF=Y")</f>
        <v>0</v>
      </c>
      <c r="O50" s="12" cm="1">
        <f t="array" ref="O50">_xll.BDH("PH US Equity","CF_NET_CASH_DISCONTINUED_OPS_FIN","FQ1 2022","FQ1 2022","Currency=USD","Period=FQ","BEST_FPERIOD_OVERRIDE=FQ","FILING_STATUS=MR","SCALING_FORMAT=MLN","Sort=A","Dates=H","DateFormat=P","Fill=—","Direction=H","UseDPDF=Y")</f>
        <v>0</v>
      </c>
      <c r="P50" s="12" cm="1">
        <f t="array" ref="P50">_xll.BDH("PH US Equity","CF_NET_CASH_DISCONTINUED_OPS_FIN","FQ2 2022","FQ2 2022","Currency=USD","Period=FQ","BEST_FPERIOD_OVERRIDE=FQ","FILING_STATUS=MR","SCALING_FORMAT=MLN","Sort=A","Dates=H","DateFormat=P","Fill=—","Direction=H","UseDPDF=Y")</f>
        <v>0</v>
      </c>
      <c r="Q50" s="12" cm="1">
        <f t="array" ref="Q50">_xll.BDH("PH US Equity","CF_NET_CASH_DISCONTINUED_OPS_FIN","FQ3 2022","FQ3 2022","Currency=USD","Period=FQ","BEST_FPERIOD_OVERRIDE=FQ","FILING_STATUS=MR","SCALING_FORMAT=MLN","Sort=A","Dates=H","DateFormat=P","Fill=—","Direction=H","UseDPDF=Y")</f>
        <v>0</v>
      </c>
      <c r="R50" s="12" cm="1">
        <f t="array" ref="R50">_xll.BDH("PH US Equity","CF_NET_CASH_DISCONTINUED_OPS_FIN","FQ4 2022","FQ4 2022","Currency=USD","Period=FQ","BEST_FPERIOD_OVERRIDE=FQ","FILING_STATUS=MR","SCALING_FORMAT=MLN","Sort=A","Dates=H","DateFormat=P","Fill=—","Direction=H","UseDPDF=Y")</f>
        <v>0</v>
      </c>
      <c r="S50" s="12" cm="1">
        <f t="array" ref="S50">_xll.BDH("PH US Equity","CF_NET_CASH_DISCONTINUED_OPS_FIN","FQ1 2023","FQ1 2023","Currency=USD","Period=FQ","BEST_FPERIOD_OVERRIDE=FQ","FILING_STATUS=MR","SCALING_FORMAT=MLN","Sort=A","Dates=H","DateFormat=P","Fill=—","Direction=H","UseDPDF=Y")</f>
        <v>0</v>
      </c>
      <c r="T50" s="12" cm="1">
        <f t="array" ref="T50">_xll.BDH("PH US Equity","CF_NET_CASH_DISCONTINUED_OPS_FIN","FQ2 2023","FQ2 2023","Currency=USD","Period=FQ","BEST_FPERIOD_OVERRIDE=FQ","FILING_STATUS=MR","SCALING_FORMAT=MLN","Sort=A","Dates=H","DateFormat=P","Fill=—","Direction=H","UseDPDF=Y")</f>
        <v>0</v>
      </c>
      <c r="U50" s="12" cm="1">
        <f t="array" ref="U50">_xll.BDH("PH US Equity","CF_NET_CASH_DISCONTINUED_OPS_FIN","FQ3 2023","FQ3 2023","Currency=USD","Period=FQ","BEST_FPERIOD_OVERRIDE=FQ","FILING_STATUS=MR","SCALING_FORMAT=MLN","Sort=A","Dates=H","DateFormat=P","Fill=—","Direction=H","UseDPDF=Y")</f>
        <v>0</v>
      </c>
      <c r="V50" s="12" cm="1">
        <f t="array" ref="V50">_xll.BDH("PH US Equity","CF_NET_CASH_DISCONTINUED_OPS_FIN","FQ4 2023","FQ4 2023","Currency=USD","Period=FQ","BEST_FPERIOD_OVERRIDE=FQ","FILING_STATUS=MR","SCALING_FORMAT=MLN","Sort=A","Dates=H","DateFormat=P","Fill=—","Direction=H","UseDPDF=Y")</f>
        <v>0</v>
      </c>
      <c r="W50" s="12" cm="1">
        <f t="array" ref="W50">_xll.BDH("PH US Equity","CF_NET_CASH_DISCONTINUED_OPS_FIN","FQ1 2024","FQ1 2024","Currency=USD","Period=FQ","BEST_FPERIOD_OVERRIDE=FQ","FILING_STATUS=MR","SCALING_FORMAT=MLN","Sort=A","Dates=H","DateFormat=P","Fill=—","Direction=H","UseDPDF=Y")</f>
        <v>0</v>
      </c>
      <c r="X50" s="12" cm="1">
        <f t="array" ref="X50">_xll.BDH("PH US Equity","CF_NET_CASH_DISCONTINUED_OPS_FIN","FQ2 2024","FQ2 2024","Currency=USD","Period=FQ","BEST_FPERIOD_OVERRIDE=FQ","FILING_STATUS=MR","SCALING_FORMAT=MLN","Sort=A","Dates=H","DateFormat=P","Fill=—","Direction=H","UseDPDF=Y")</f>
        <v>0</v>
      </c>
      <c r="Y50" s="12" cm="1">
        <f t="array" ref="Y50">_xll.BDH("PH US Equity","CF_NET_CASH_DISCONTINUED_OPS_FIN","FQ3 2024","FQ3 2024","Currency=USD","Period=FQ","BEST_FPERIOD_OVERRIDE=FQ","FILING_STATUS=MR","SCALING_FORMAT=MLN","Sort=A","Dates=H","DateFormat=P","Fill=—","Direction=H","UseDPDF=Y")</f>
        <v>0</v>
      </c>
      <c r="Z50" s="12" cm="1">
        <f t="array" ref="Z50">_xll.BDH("PH US Equity","CF_NET_CASH_DISCONTINUED_OPS_FIN","FQ4 2024","FQ4 2024","Currency=USD","Period=FQ","BEST_FPERIOD_OVERRIDE=FQ","FILING_STATUS=MR","SCALING_FORMAT=MLN","Sort=A","Dates=H","DateFormat=P","Fill=—","Direction=H","UseDPDF=Y")</f>
        <v>0</v>
      </c>
      <c r="AA50" s="12" cm="1">
        <f t="array" ref="AA50">_xll.BDH("PH US Equity","CF_NET_CASH_DISCONTINUED_OPS_FIN","FQ1 2025","FQ1 2025","Currency=USD","Period=FQ","BEST_FPERIOD_OVERRIDE=FQ","FILING_STATUS=MR","SCALING_FORMAT=MLN","Sort=A","Dates=H","DateFormat=P","Fill=—","Direction=H","UseDPDF=Y")</f>
        <v>0</v>
      </c>
      <c r="AB50" s="12" cm="1">
        <f t="array" ref="AB50">_xll.BDH("PH US Equity","CF_NET_CASH_DISCONTINUED_OPS_FIN","FQ2 2025","FQ2 2025","Currency=USD","Period=FQ","BEST_FPERIOD_OVERRIDE=FQ","FILING_STATUS=MR","SCALING_FORMAT=MLN","Sort=A","Dates=H","DateFormat=P","Fill=—","Direction=H","UseDPDF=Y")</f>
        <v>0</v>
      </c>
      <c r="AC50" s="12" cm="1">
        <f t="array" ref="AC50">_xll.BDH("PH US Equity","CF_NET_CASH_DISCONTINUED_OPS_FIN","FQ3 2025","FQ3 2025","Currency=USD","Period=FQ","BEST_FPERIOD_OVERRIDE=FQ","FILING_STATUS=MR","SCALING_FORMAT=MLN","Sort=A","Dates=H","DateFormat=P","Fill=—","Direction=H","UseDPDF=Y")</f>
        <v>0</v>
      </c>
      <c r="AD50" s="12" cm="1">
        <f t="array" ref="AD50">_xll.BDH("PH US Equity","CF_NET_CASH_DISCONTINUED_OPS_FIN","FQ4 2025","FQ4 2025","Currency=USD","Period=FQ","BEST_FPERIOD_OVERRIDE=FQ","FILING_STATUS=MR","SCALING_FORMAT=MLN","Sort=A","Dates=H","DateFormat=P","Fill=—","Direction=H","UseDPDF=Y")</f>
        <v>0</v>
      </c>
      <c r="AE50" s="12" cm="1">
        <f t="array" ref="AE50">_xll.BDH("PH US Equity","CF_NET_CASH_DISCONTINUED_OPS_FIN","FQ1 2026","FQ1 2026","Currency=USD","Period=FQ","BEST_FPERIOD_OVERRIDE=FQ","FILING_STATUS=MR","SCALING_FORMAT=MLN","Sort=A","Dates=H","DateFormat=P","Fill=—","Direction=H","UseDPDF=Y")</f>
        <v>0</v>
      </c>
      <c r="AF50" s="12" cm="1">
        <f t="array" ref="AF50">_xll.BDH("PH US Equity","CF_NET_CASH_DISCONTINUED_OPS_FIN","FQ2 2026","FQ2 2026","Currency=USD","Period=FQ","BEST_FPERIOD_OVERRIDE=FQ","FILING_STATUS=MR","SCALING_FORMAT=MLN","Sort=A","Dates=H","DateFormat=P","Fill=—","Direction=H","UseDPDF=Y")</f>
        <v>0</v>
      </c>
    </row>
    <row r="51" spans="1:32" x14ac:dyDescent="0.25">
      <c r="A51" s="6" t="s">
        <v>124</v>
      </c>
      <c r="B51" s="6" t="s">
        <v>144</v>
      </c>
      <c r="C51" s="15" cm="1">
        <f t="array" ref="C51">_xll.BDH("PH US Equity","CFF_ACTIVITIES_DETAILED","FQ1 2019","FQ1 2019","Currency=USD","Period=FQ","BEST_FPERIOD_OVERRIDE=FQ","FILING_STATUS=MR","SCALING_FORMAT=MLN","Sort=A","Dates=H","DateFormat=P","Fill=—","Direction=H","UseDPDF=Y")</f>
        <v>-7.2469999999999999</v>
      </c>
      <c r="D51" s="15" cm="1">
        <f t="array" ref="D51">_xll.BDH("PH US Equity","CFF_ACTIVITIES_DETAILED","FQ2 2019","FQ2 2019","Currency=USD","Period=FQ","BEST_FPERIOD_OVERRIDE=FQ","FILING_STATUS=MR","SCALING_FORMAT=MLN","Sort=A","Dates=H","DateFormat=P","Fill=—","Direction=H","UseDPDF=Y")</f>
        <v>-252.73599999999999</v>
      </c>
      <c r="E51" s="15" cm="1">
        <f t="array" ref="E51">_xll.BDH("PH US Equity","CFF_ACTIVITIES_DETAILED","FQ3 2019","FQ3 2019","Currency=USD","Period=FQ","BEST_FPERIOD_OVERRIDE=FQ","FILING_STATUS=MR","SCALING_FORMAT=MLN","Sort=A","Dates=H","DateFormat=P","Fill=—","Direction=H","UseDPDF=Y")</f>
        <v>-430.20100000000002</v>
      </c>
      <c r="F51" s="15" cm="1">
        <f t="array" ref="F51">_xll.BDH("PH US Equity","CFF_ACTIVITIES_DETAILED","FQ4 2019","FQ4 2019","Currency=USD","Period=FQ","BEST_FPERIOD_OVERRIDE=FQ","FILING_STATUS=MR","SCALING_FORMAT=MLN","Sort=A","Dates=H","DateFormat=P","Fill=—","Direction=H","UseDPDF=Y")</f>
        <v>1592.49</v>
      </c>
      <c r="G51" s="15" cm="1">
        <f t="array" ref="G51">_xll.BDH("PH US Equity","CFF_ACTIVITIES_DETAILED","FQ1 2020","FQ1 2020","Currency=USD","Period=FQ","BEST_FPERIOD_OVERRIDE=FQ","FILING_STATUS=MR","SCALING_FORMAT=MLN","Sort=A","Dates=H","DateFormat=P","Fill=—","Direction=H","UseDPDF=Y")</f>
        <v>1838.377</v>
      </c>
      <c r="H51" s="15" cm="1">
        <f t="array" ref="H51">_xll.BDH("PH US Equity","CFF_ACTIVITIES_DETAILED","FQ2 2020","FQ2 2020","Currency=USD","Period=FQ","BEST_FPERIOD_OVERRIDE=FQ","FILING_STATUS=MR","SCALING_FORMAT=MLN","Sort=A","Dates=H","DateFormat=P","Fill=—","Direction=H","UseDPDF=Y")</f>
        <v>215.928</v>
      </c>
      <c r="I51" s="15" cm="1">
        <f t="array" ref="I51">_xll.BDH("PH US Equity","CFF_ACTIVITIES_DETAILED","FQ3 2020","FQ3 2020","Currency=USD","Period=FQ","BEST_FPERIOD_OVERRIDE=FQ","FILING_STATUS=MR","SCALING_FORMAT=MLN","Sort=A","Dates=H","DateFormat=P","Fill=—","Direction=H","UseDPDF=Y")</f>
        <v>-781.56</v>
      </c>
      <c r="J51" s="15" cm="1">
        <f t="array" ref="J51">_xll.BDH("PH US Equity","CFF_ACTIVITIES_DETAILED","FQ4 2020","FQ4 2020","Currency=USD","Period=FQ","BEST_FPERIOD_OVERRIDE=FQ","FILING_STATUS=MR","SCALING_FORMAT=MLN","Sort=A","Dates=H","DateFormat=P","Fill=—","Direction=H","UseDPDF=Y")</f>
        <v>-823.43499999999995</v>
      </c>
      <c r="K51" s="15" cm="1">
        <f t="array" ref="K51">_xll.BDH("PH US Equity","CFF_ACTIVITIES_DETAILED","FQ1 2021","FQ1 2021","Currency=USD","Period=FQ","BEST_FPERIOD_OVERRIDE=FQ","FILING_STATUS=MR","SCALING_FORMAT=MLN","Sort=A","Dates=H","DateFormat=P","Fill=—","Direction=H","UseDPDF=Y")</f>
        <v>-692.73400000000004</v>
      </c>
      <c r="L51" s="15" cm="1">
        <f t="array" ref="L51">_xll.BDH("PH US Equity","CFF_ACTIVITIES_DETAILED","FQ2 2021","FQ2 2021","Currency=USD","Period=FQ","BEST_FPERIOD_OVERRIDE=FQ","FILING_STATUS=MR","SCALING_FORMAT=MLN","Sort=A","Dates=H","DateFormat=P","Fill=—","Direction=H","UseDPDF=Y")</f>
        <v>-916.53</v>
      </c>
      <c r="M51" s="15" cm="1">
        <f t="array" ref="M51">_xll.BDH("PH US Equity","CFF_ACTIVITIES_DETAILED","FQ3 2021","FQ3 2021","Currency=USD","Period=FQ","BEST_FPERIOD_OVERRIDE=FQ","FILING_STATUS=MR","SCALING_FORMAT=MLN","Sort=A","Dates=H","DateFormat=P","Fill=—","Direction=H","UseDPDF=Y")</f>
        <v>-606.40599999999995</v>
      </c>
      <c r="N51" s="15" cm="1">
        <f t="array" ref="N51">_xll.BDH("PH US Equity","CFF_ACTIVITIES_DETAILED","FQ4 2021","FQ4 2021","Currency=USD","Period=FQ","BEST_FPERIOD_OVERRIDE=FQ","FILING_STATUS=MR","SCALING_FORMAT=MLN","Sort=A","Dates=H","DateFormat=P","Fill=—","Direction=H","UseDPDF=Y")</f>
        <v>-407.66899999999998</v>
      </c>
      <c r="O51" s="15" cm="1">
        <f t="array" ref="O51">_xll.BDH("PH US Equity","CFF_ACTIVITIES_DETAILED","FQ1 2022","FQ1 2022","Currency=USD","Period=FQ","BEST_FPERIOD_OVERRIDE=FQ","FILING_STATUS=MR","SCALING_FORMAT=MLN","Sort=A","Dates=H","DateFormat=P","Fill=—","Direction=H","UseDPDF=Y")</f>
        <v>-420.95</v>
      </c>
      <c r="P51" s="15" cm="1">
        <f t="array" ref="P51">_xll.BDH("PH US Equity","CFF_ACTIVITIES_DETAILED","FQ2 2022","FQ2 2022","Currency=USD","Period=FQ","BEST_FPERIOD_OVERRIDE=FQ","FILING_STATUS=MR","SCALING_FORMAT=MLN","Sort=A","Dates=H","DateFormat=P","Fill=—","Direction=H","UseDPDF=Y")</f>
        <v>1686.6179999999999</v>
      </c>
      <c r="Q51" s="15" cm="1">
        <f t="array" ref="Q51">_xll.BDH("PH US Equity","CFF_ACTIVITIES_DETAILED","FQ3 2022","FQ3 2022","Currency=USD","Period=FQ","BEST_FPERIOD_OVERRIDE=FQ","FILING_STATUS=MR","SCALING_FORMAT=MLN","Sort=A","Dates=H","DateFormat=P","Fill=—","Direction=H","UseDPDF=Y")</f>
        <v>-466.41</v>
      </c>
      <c r="R51" s="15" cm="1">
        <f t="array" ref="R51">_xll.BDH("PH US Equity","CFF_ACTIVITIES_DETAILED","FQ4 2022","FQ4 2022","Currency=USD","Period=FQ","BEST_FPERIOD_OVERRIDE=FQ","FILING_STATUS=MR","SCALING_FORMAT=MLN","Sort=A","Dates=H","DateFormat=P","Fill=—","Direction=H","UseDPDF=Y")</f>
        <v>3116.3780000000002</v>
      </c>
      <c r="S51" s="15" cm="1">
        <f t="array" ref="S51">_xll.BDH("PH US Equity","CFF_ACTIVITIES_DETAILED","FQ1 2023","FQ1 2023","Currency=USD","Period=FQ","BEST_FPERIOD_OVERRIDE=FQ","FILING_STATUS=MR","SCALING_FORMAT=MLN","Sort=A","Dates=H","DateFormat=P","Fill=—","Direction=H","UseDPDF=Y")</f>
        <v>1339.569</v>
      </c>
      <c r="T51" s="15" cm="1">
        <f t="array" ref="T51">_xll.BDH("PH US Equity","CFF_ACTIVITIES_DETAILED","FQ2 2023","FQ2 2023","Currency=USD","Period=FQ","BEST_FPERIOD_OVERRIDE=FQ","FILING_STATUS=MR","SCALING_FORMAT=MLN","Sort=A","Dates=H","DateFormat=P","Fill=—","Direction=H","UseDPDF=Y")</f>
        <v>-274.57299999999998</v>
      </c>
      <c r="U51" s="15" cm="1">
        <f t="array" ref="U51">_xll.BDH("PH US Equity","CFF_ACTIVITIES_DETAILED","FQ3 2023","FQ3 2023","Currency=USD","Period=FQ","BEST_FPERIOD_OVERRIDE=FQ","FILING_STATUS=MR","SCALING_FORMAT=MLN","Sort=A","Dates=H","DateFormat=P","Fill=—","Direction=H","UseDPDF=Y")</f>
        <v>-880.23900000000003</v>
      </c>
      <c r="V51" s="15" cm="1">
        <f t="array" ref="V51">_xll.BDH("PH US Equity","CFF_ACTIVITIES_DETAILED","FQ4 2023","FQ4 2023","Currency=USD","Period=FQ","BEST_FPERIOD_OVERRIDE=FQ","FILING_STATUS=MR","SCALING_FORMAT=MLN","Sort=A","Dates=H","DateFormat=P","Fill=—","Direction=H","UseDPDF=Y")</f>
        <v>-1155.7929999999999</v>
      </c>
      <c r="W51" s="15" cm="1">
        <f t="array" ref="W51">_xll.BDH("PH US Equity","CFF_ACTIVITIES_DETAILED","FQ1 2024","FQ1 2024","Currency=USD","Period=FQ","BEST_FPERIOD_OVERRIDE=FQ","FILING_STATUS=MR","SCALING_FORMAT=MLN","Sort=A","Dates=H","DateFormat=P","Fill=—","Direction=H","UseDPDF=Y")</f>
        <v>-617.86199999999997</v>
      </c>
      <c r="X51" s="15" cm="1">
        <f t="array" ref="X51">_xll.BDH("PH US Equity","CFF_ACTIVITIES_DETAILED","FQ2 2024","FQ2 2024","Currency=USD","Period=FQ","BEST_FPERIOD_OVERRIDE=FQ","FILING_STATUS=MR","SCALING_FORMAT=MLN","Sort=A","Dates=H","DateFormat=P","Fill=—","Direction=H","UseDPDF=Y")</f>
        <v>-687.37699999999995</v>
      </c>
      <c r="Y51" s="15" cm="1">
        <f t="array" ref="Y51">_xll.BDH("PH US Equity","CFF_ACTIVITIES_DETAILED","FQ3 2024","FQ3 2024","Currency=USD","Period=FQ","BEST_FPERIOD_OVERRIDE=FQ","FILING_STATUS=MR","SCALING_FORMAT=MLN","Sort=A","Dates=H","DateFormat=P","Fill=—","Direction=H","UseDPDF=Y")</f>
        <v>-700.28899999999999</v>
      </c>
      <c r="Z51" s="15" cm="1">
        <f t="array" ref="Z51">_xll.BDH("PH US Equity","CFF_ACTIVITIES_DETAILED","FQ4 2024","FQ4 2024","Currency=USD","Period=FQ","BEST_FPERIOD_OVERRIDE=FQ","FILING_STATUS=MR","SCALING_FORMAT=MLN","Sort=A","Dates=H","DateFormat=P","Fill=—","Direction=H","UseDPDF=Y")</f>
        <v>-1109.3710000000001</v>
      </c>
      <c r="AA51" s="15" cm="1">
        <f t="array" ref="AA51">_xll.BDH("PH US Equity","CFF_ACTIVITIES_DETAILED","FQ1 2025","FQ1 2025","Currency=USD","Period=FQ","BEST_FPERIOD_OVERRIDE=FQ","FILING_STATUS=MR","SCALING_FORMAT=MLN","Sort=A","Dates=H","DateFormat=P","Fill=—","Direction=H","UseDPDF=Y")</f>
        <v>-710.95500000000004</v>
      </c>
      <c r="AB51" s="15" cm="1">
        <f t="array" ref="AB51">_xll.BDH("PH US Equity","CFF_ACTIVITIES_DETAILED","FQ2 2025","FQ2 2025","Currency=USD","Period=FQ","BEST_FPERIOD_OVERRIDE=FQ","FILING_STATUS=MR","SCALING_FORMAT=MLN","Sort=A","Dates=H","DateFormat=P","Fill=—","Direction=H","UseDPDF=Y")</f>
        <v>-1393.271</v>
      </c>
      <c r="AC51" s="15" cm="1">
        <f t="array" ref="AC51">_xll.BDH("PH US Equity","CFF_ACTIVITIES_DETAILED","FQ3 2025","FQ3 2025","Currency=USD","Period=FQ","BEST_FPERIOD_OVERRIDE=FQ","FILING_STATUS=MR","SCALING_FORMAT=MLN","Sort=A","Dates=H","DateFormat=P","Fill=—","Direction=H","UseDPDF=Y")</f>
        <v>-576.81899999999996</v>
      </c>
      <c r="AD51" s="15" cm="1">
        <f t="array" ref="AD51">_xll.BDH("PH US Equity","CFF_ACTIVITIES_DETAILED","FQ4 2025","FQ4 2025","Currency=USD","Period=FQ","BEST_FPERIOD_OVERRIDE=FQ","FILING_STATUS=MR","SCALING_FORMAT=MLN","Sort=A","Dates=H","DateFormat=P","Fill=—","Direction=H","UseDPDF=Y")</f>
        <v>-1295.9549999999999</v>
      </c>
      <c r="AE51" s="15" cm="1">
        <f t="array" ref="AE51">_xll.BDH("PH US Equity","CFF_ACTIVITIES_DETAILED","FQ1 2026","FQ1 2026","Currency=USD","Period=FQ","BEST_FPERIOD_OVERRIDE=FQ","FILING_STATUS=MR","SCALING_FORMAT=MLN","Sort=A","Dates=H","DateFormat=P","Fill=—","Direction=H","UseDPDF=Y")</f>
        <v>306</v>
      </c>
      <c r="AF51" s="15" cm="1">
        <f t="array" ref="AF51">_xll.BDH("PH US Equity","CFF_ACTIVITIES_DETAILED","FQ2 2026","FQ2 2026","Currency=USD","Period=FQ","BEST_FPERIOD_OVERRIDE=FQ","FILING_STATUS=MR","SCALING_FORMAT=MLN","Sort=A","Dates=H","DateFormat=P","Fill=—","Direction=H","UseDPDF=Y")</f>
        <v>-835</v>
      </c>
    </row>
    <row r="52" spans="1:32" x14ac:dyDescent="0.25">
      <c r="A52" s="6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x14ac:dyDescent="0.25">
      <c r="A53" s="10" t="s">
        <v>145</v>
      </c>
      <c r="B53" s="10" t="s">
        <v>146</v>
      </c>
      <c r="C53" s="12" cm="1">
        <f t="array" ref="C53">_xll.BDH("PH US Equity","CF_EFFECT_FOREIGN_EXCHANGES","FQ1 2019","FQ1 2019","Currency=USD","Period=FQ","BEST_FPERIOD_OVERRIDE=FQ","FILING_STATUS=MR","SCALING_FORMAT=MLN","Sort=A","Dates=H","DateFormat=P","Fill=—","Direction=H","UseDPDF=Y")</f>
        <v>-7.093</v>
      </c>
      <c r="D53" s="12" cm="1">
        <f t="array" ref="D53">_xll.BDH("PH US Equity","CF_EFFECT_FOREIGN_EXCHANGES","FQ2 2019","FQ2 2019","Currency=USD","Period=FQ","BEST_FPERIOD_OVERRIDE=FQ","FILING_STATUS=MR","SCALING_FORMAT=MLN","Sort=A","Dates=H","DateFormat=P","Fill=—","Direction=H","UseDPDF=Y")</f>
        <v>-17.405999999999999</v>
      </c>
      <c r="E53" s="12" cm="1">
        <f t="array" ref="E53">_xll.BDH("PH US Equity","CF_EFFECT_FOREIGN_EXCHANGES","FQ3 2019","FQ3 2019","Currency=USD","Period=FQ","BEST_FPERIOD_OVERRIDE=FQ","FILING_STATUS=MR","SCALING_FORMAT=MLN","Sort=A","Dates=H","DateFormat=P","Fill=—","Direction=H","UseDPDF=Y")</f>
        <v>14.773</v>
      </c>
      <c r="F53" s="12" cm="1">
        <f t="array" ref="F53">_xll.BDH("PH US Equity","CF_EFFECT_FOREIGN_EXCHANGES","FQ4 2019","FQ4 2019","Currency=USD","Period=FQ","BEST_FPERIOD_OVERRIDE=FQ","FILING_STATUS=MR","SCALING_FORMAT=MLN","Sort=A","Dates=H","DateFormat=P","Fill=—","Direction=H","UseDPDF=Y")</f>
        <v>-6.58</v>
      </c>
      <c r="G53" s="12" cm="1">
        <f t="array" ref="G53">_xll.BDH("PH US Equity","CF_EFFECT_FOREIGN_EXCHANGES","FQ1 2020","FQ1 2020","Currency=USD","Period=FQ","BEST_FPERIOD_OVERRIDE=FQ","FILING_STATUS=MR","SCALING_FORMAT=MLN","Sort=A","Dates=H","DateFormat=P","Fill=—","Direction=H","UseDPDF=Y")</f>
        <v>-26.928000000000001</v>
      </c>
      <c r="H53" s="12" cm="1">
        <f t="array" ref="H53">_xll.BDH("PH US Equity","CF_EFFECT_FOREIGN_EXCHANGES","FQ2 2020","FQ2 2020","Currency=USD","Period=FQ","BEST_FPERIOD_OVERRIDE=FQ","FILING_STATUS=MR","SCALING_FORMAT=MLN","Sort=A","Dates=H","DateFormat=P","Fill=—","Direction=H","UseDPDF=Y")</f>
        <v>30.331</v>
      </c>
      <c r="I53" s="12" cm="1">
        <f t="array" ref="I53">_xll.BDH("PH US Equity","CF_EFFECT_FOREIGN_EXCHANGES","FQ3 2020","FQ3 2020","Currency=USD","Period=FQ","BEST_FPERIOD_OVERRIDE=FQ","FILING_STATUS=MR","SCALING_FORMAT=MLN","Sort=A","Dates=H","DateFormat=P","Fill=—","Direction=H","UseDPDF=Y")</f>
        <v>-43.956000000000003</v>
      </c>
      <c r="J53" s="12" cm="1">
        <f t="array" ref="J53">_xll.BDH("PH US Equity","CF_EFFECT_FOREIGN_EXCHANGES","FQ4 2020","FQ4 2020","Currency=USD","Period=FQ","BEST_FPERIOD_OVERRIDE=FQ","FILING_STATUS=MR","SCALING_FORMAT=MLN","Sort=A","Dates=H","DateFormat=P","Fill=—","Direction=H","UseDPDF=Y")</f>
        <v>10.034000000000001</v>
      </c>
      <c r="K53" s="12" cm="1">
        <f t="array" ref="K53">_xll.BDH("PH US Equity","CF_EFFECT_FOREIGN_EXCHANGES","FQ1 2021","FQ1 2021","Currency=USD","Period=FQ","BEST_FPERIOD_OVERRIDE=FQ","FILING_STATUS=MR","SCALING_FORMAT=MLN","Sort=A","Dates=H","DateFormat=P","Fill=—","Direction=H","UseDPDF=Y")</f>
        <v>8.3320000000000007</v>
      </c>
      <c r="L53" s="12" cm="1">
        <f t="array" ref="L53">_xll.BDH("PH US Equity","CF_EFFECT_FOREIGN_EXCHANGES","FQ2 2021","FQ2 2021","Currency=USD","Period=FQ","BEST_FPERIOD_OVERRIDE=FQ","FILING_STATUS=MR","SCALING_FORMAT=MLN","Sort=A","Dates=H","DateFormat=P","Fill=—","Direction=H","UseDPDF=Y")</f>
        <v>47.47</v>
      </c>
      <c r="M53" s="12" cm="1">
        <f t="array" ref="M53">_xll.BDH("PH US Equity","CF_EFFECT_FOREIGN_EXCHANGES","FQ3 2021","FQ3 2021","Currency=USD","Period=FQ","BEST_FPERIOD_OVERRIDE=FQ","FILING_STATUS=MR","SCALING_FORMAT=MLN","Sort=A","Dates=H","DateFormat=P","Fill=—","Direction=H","UseDPDF=Y")</f>
        <v>31.135999999999999</v>
      </c>
      <c r="N53" s="12" cm="1">
        <f t="array" ref="N53">_xll.BDH("PH US Equity","CF_EFFECT_FOREIGN_EXCHANGES","FQ4 2021","FQ4 2021","Currency=USD","Period=FQ","BEST_FPERIOD_OVERRIDE=FQ","FILING_STATUS=MR","SCALING_FORMAT=MLN","Sort=A","Dates=H","DateFormat=P","Fill=—","Direction=H","UseDPDF=Y")</f>
        <v>9.016</v>
      </c>
      <c r="O53" s="12" cm="1">
        <f t="array" ref="O53">_xll.BDH("PH US Equity","CF_EFFECT_FOREIGN_EXCHANGES","FQ1 2022","FQ1 2022","Currency=USD","Period=FQ","BEST_FPERIOD_OVERRIDE=FQ","FILING_STATUS=MR","SCALING_FORMAT=MLN","Sort=A","Dates=H","DateFormat=P","Fill=—","Direction=H","UseDPDF=Y")</f>
        <v>-0.997</v>
      </c>
      <c r="P53" s="12" cm="1">
        <f t="array" ref="P53">_xll.BDH("PH US Equity","CF_EFFECT_FOREIGN_EXCHANGES","FQ2 2022","FQ2 2022","Currency=USD","Period=FQ","BEST_FPERIOD_OVERRIDE=FQ","FILING_STATUS=MR","SCALING_FORMAT=MLN","Sort=A","Dates=H","DateFormat=P","Fill=—","Direction=H","UseDPDF=Y")</f>
        <v>7.9749999999999996</v>
      </c>
      <c r="Q53" s="12" cm="1">
        <f t="array" ref="Q53">_xll.BDH("PH US Equity","CF_EFFECT_FOREIGN_EXCHANGES","FQ3 2022","FQ3 2022","Currency=USD","Period=FQ","BEST_FPERIOD_OVERRIDE=FQ","FILING_STATUS=MR","SCALING_FORMAT=MLN","Sort=A","Dates=H","DateFormat=P","Fill=—","Direction=H","UseDPDF=Y")</f>
        <v>-6.8719999999999999</v>
      </c>
      <c r="R53" s="12" cm="1">
        <f t="array" ref="R53">_xll.BDH("PH US Equity","CF_EFFECT_FOREIGN_EXCHANGES","FQ4 2022","FQ4 2022","Currency=USD","Period=FQ","BEST_FPERIOD_OVERRIDE=FQ","FILING_STATUS=MR","SCALING_FORMAT=MLN","Sort=A","Dates=H","DateFormat=P","Fill=—","Direction=H","UseDPDF=Y")</f>
        <v>-23.876000000000001</v>
      </c>
      <c r="S53" s="12" cm="1">
        <f t="array" ref="S53">_xll.BDH("PH US Equity","CF_EFFECT_FOREIGN_EXCHANGES","FQ1 2023","FQ1 2023","Currency=USD","Period=FQ","BEST_FPERIOD_OVERRIDE=FQ","FILING_STATUS=MR","SCALING_FORMAT=MLN","Sort=A","Dates=H","DateFormat=P","Fill=—","Direction=H","UseDPDF=Y")</f>
        <v>-15.077999999999999</v>
      </c>
      <c r="T53" s="12" cm="1">
        <f t="array" ref="T53">_xll.BDH("PH US Equity","CF_EFFECT_FOREIGN_EXCHANGES","FQ2 2023","FQ2 2023","Currency=USD","Period=FQ","BEST_FPERIOD_OVERRIDE=FQ","FILING_STATUS=MR","SCALING_FORMAT=MLN","Sort=A","Dates=H","DateFormat=P","Fill=—","Direction=H","UseDPDF=Y")</f>
        <v>3.8570000000000002</v>
      </c>
      <c r="U53" s="12" cm="1">
        <f t="array" ref="U53">_xll.BDH("PH US Equity","CF_EFFECT_FOREIGN_EXCHANGES","FQ3 2023","FQ3 2023","Currency=USD","Period=FQ","BEST_FPERIOD_OVERRIDE=FQ","FILING_STATUS=MR","SCALING_FORMAT=MLN","Sort=A","Dates=H","DateFormat=P","Fill=—","Direction=H","UseDPDF=Y")</f>
        <v>3.44</v>
      </c>
      <c r="V53" s="12" cm="1">
        <f t="array" ref="V53">_xll.BDH("PH US Equity","CF_EFFECT_FOREIGN_EXCHANGES","FQ4 2023","FQ4 2023","Currency=USD","Period=FQ","BEST_FPERIOD_OVERRIDE=FQ","FILING_STATUS=MR","SCALING_FORMAT=MLN","Sort=A","Dates=H","DateFormat=P","Fill=—","Direction=H","UseDPDF=Y")</f>
        <v>3.0049999999999999</v>
      </c>
      <c r="W53" s="12" cm="1">
        <f t="array" ref="W53">_xll.BDH("PH US Equity","CF_EFFECT_FOREIGN_EXCHANGES","FQ1 2024","FQ1 2024","Currency=USD","Period=FQ","BEST_FPERIOD_OVERRIDE=FQ","FILING_STATUS=MR","SCALING_FORMAT=MLN","Sort=A","Dates=H","DateFormat=P","Fill=—","Direction=H","UseDPDF=Y")</f>
        <v>-2.359</v>
      </c>
      <c r="X53" s="12" cm="1">
        <f t="array" ref="X53">_xll.BDH("PH US Equity","CF_EFFECT_FOREIGN_EXCHANGES","FQ2 2024","FQ2 2024","Currency=USD","Period=FQ","BEST_FPERIOD_OVERRIDE=FQ","FILING_STATUS=MR","SCALING_FORMAT=MLN","Sort=A","Dates=H","DateFormat=P","Fill=—","Direction=H","UseDPDF=Y")</f>
        <v>-5.64</v>
      </c>
      <c r="Y53" s="12" cm="1">
        <f t="array" ref="Y53">_xll.BDH("PH US Equity","CF_EFFECT_FOREIGN_EXCHANGES","FQ3 2024","FQ3 2024","Currency=USD","Period=FQ","BEST_FPERIOD_OVERRIDE=FQ","FILING_STATUS=MR","SCALING_FORMAT=MLN","Sort=A","Dates=H","DateFormat=P","Fill=—","Direction=H","UseDPDF=Y")</f>
        <v>-8.9469999999999992</v>
      </c>
      <c r="Z53" s="12" cm="1">
        <f t="array" ref="Z53">_xll.BDH("PH US Equity","CF_EFFECT_FOREIGN_EXCHANGES","FQ4 2024","FQ4 2024","Currency=USD","Period=FQ","BEST_FPERIOD_OVERRIDE=FQ","FILING_STATUS=MR","SCALING_FORMAT=MLN","Sort=A","Dates=H","DateFormat=P","Fill=—","Direction=H","UseDPDF=Y")</f>
        <v>-7.0510000000000002</v>
      </c>
      <c r="AA53" s="12" cm="1">
        <f t="array" ref="AA53">_xll.BDH("PH US Equity","CF_EFFECT_FOREIGN_EXCHANGES","FQ1 2025","FQ1 2025","Currency=USD","Period=FQ","BEST_FPERIOD_OVERRIDE=FQ","FILING_STATUS=MR","SCALING_FORMAT=MLN","Sort=A","Dates=H","DateFormat=P","Fill=—","Direction=H","UseDPDF=Y")</f>
        <v>2.629</v>
      </c>
      <c r="AB53" s="12" cm="1">
        <f t="array" ref="AB53">_xll.BDH("PH US Equity","CF_EFFECT_FOREIGN_EXCHANGES","FQ2 2025","FQ2 2025","Currency=USD","Period=FQ","BEST_FPERIOD_OVERRIDE=FQ","FILING_STATUS=MR","SCALING_FORMAT=MLN","Sort=A","Dates=H","DateFormat=P","Fill=—","Direction=H","UseDPDF=Y")</f>
        <v>-15.663</v>
      </c>
      <c r="AC53" s="12" cm="1">
        <f t="array" ref="AC53">_xll.BDH("PH US Equity","CF_EFFECT_FOREIGN_EXCHANGES","FQ3 2025","FQ3 2025","Currency=USD","Period=FQ","BEST_FPERIOD_OVERRIDE=FQ","FILING_STATUS=MR","SCALING_FORMAT=MLN","Sort=A","Dates=H","DateFormat=P","Fill=—","Direction=H","UseDPDF=Y")</f>
        <v>27.356000000000002</v>
      </c>
      <c r="AD53" s="12" cm="1">
        <f t="array" ref="AD53">_xll.BDH("PH US Equity","CF_EFFECT_FOREIGN_EXCHANGES","FQ4 2025","FQ4 2025","Currency=USD","Period=FQ","BEST_FPERIOD_OVERRIDE=FQ","FILING_STATUS=MR","SCALING_FORMAT=MLN","Sort=A","Dates=H","DateFormat=P","Fill=—","Direction=H","UseDPDF=Y")</f>
        <v>7.6779999999999999</v>
      </c>
      <c r="AE53" s="12" cm="1">
        <f t="array" ref="AE53">_xll.BDH("PH US Equity","CF_EFFECT_FOREIGN_EXCHANGES","FQ1 2026","FQ1 2026","Currency=USD","Period=FQ","BEST_FPERIOD_OVERRIDE=FQ","FILING_STATUS=MR","SCALING_FORMAT=MLN","Sort=A","Dates=H","DateFormat=P","Fill=—","Direction=H","UseDPDF=Y")</f>
        <v>-4</v>
      </c>
      <c r="AF53" s="12" cm="1">
        <f t="array" ref="AF53">_xll.BDH("PH US Equity","CF_EFFECT_FOREIGN_EXCHANGES","FQ2 2026","FQ2 2026","Currency=USD","Period=FQ","BEST_FPERIOD_OVERRIDE=FQ","FILING_STATUS=MR","SCALING_FORMAT=MLN","Sort=A","Dates=H","DateFormat=P","Fill=—","Direction=H","UseDPDF=Y")</f>
        <v>-5</v>
      </c>
    </row>
    <row r="54" spans="1:32" x14ac:dyDescent="0.25">
      <c r="A54" s="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x14ac:dyDescent="0.25">
      <c r="A55" s="6" t="s">
        <v>147</v>
      </c>
      <c r="B55" s="6" t="s">
        <v>148</v>
      </c>
      <c r="C55" s="15" cm="1">
        <f t="array" ref="C55">_xll.BDH("PH US Equity","CF_NET_CHNG_CASH","FQ1 2019","FQ1 2019","Currency=USD","Period=FQ","BEST_FPERIOD_OVERRIDE=FQ","FILING_STATUS=MR","SCALING_FORMAT=MLN","Sort=A","Dates=H","DateFormat=P","Fill=—","Direction=H","UseDPDF=Y")</f>
        <v>129.98500000000001</v>
      </c>
      <c r="D55" s="15" cm="1">
        <f t="array" ref="D55">_xll.BDH("PH US Equity","CF_NET_CHNG_CASH","FQ2 2019","FQ2 2019","Currency=USD","Period=FQ","BEST_FPERIOD_OVERRIDE=FQ","FILING_STATUS=MR","SCALING_FORMAT=MLN","Sort=A","Dates=H","DateFormat=P","Fill=—","Direction=H","UseDPDF=Y")</f>
        <v>95.263000000000005</v>
      </c>
      <c r="E55" s="15" cm="1">
        <f t="array" ref="E55">_xll.BDH("PH US Equity","CF_NET_CHNG_CASH","FQ3 2019","FQ3 2019","Currency=USD","Period=FQ","BEST_FPERIOD_OVERRIDE=FQ","FILING_STATUS=MR","SCALING_FORMAT=MLN","Sort=A","Dates=H","DateFormat=P","Fill=—","Direction=H","UseDPDF=Y")</f>
        <v>51.344000000000001</v>
      </c>
      <c r="F55" s="15" cm="1">
        <f t="array" ref="F55">_xll.BDH("PH US Equity","CF_NET_CHNG_CASH","FQ4 2019","FQ4 2019","Currency=USD","Period=FQ","BEST_FPERIOD_OVERRIDE=FQ","FILING_STATUS=MR","SCALING_FORMAT=MLN","Sort=A","Dates=H","DateFormat=P","Fill=—","Direction=H","UseDPDF=Y")</f>
        <v>2121.038</v>
      </c>
      <c r="G55" s="15" cm="1">
        <f t="array" ref="G55">_xll.BDH("PH US Equity","CF_NET_CHNG_CASH","FQ1 2020","FQ1 2020","Currency=USD","Period=FQ","BEST_FPERIOD_OVERRIDE=FQ","FILING_STATUS=MR","SCALING_FORMAT=MLN","Sort=A","Dates=H","DateFormat=P","Fill=—","Direction=H","UseDPDF=Y")</f>
        <v>407.62599999999998</v>
      </c>
      <c r="H55" s="15" cm="1">
        <f t="array" ref="H55">_xll.BDH("PH US Equity","CF_NET_CHNG_CASH","FQ2 2020","FQ2 2020","Currency=USD","Period=FQ","BEST_FPERIOD_OVERRIDE=FQ","FILING_STATUS=MR","SCALING_FORMAT=MLN","Sort=A","Dates=H","DateFormat=P","Fill=—","Direction=H","UseDPDF=Y")</f>
        <v>-2679.038</v>
      </c>
      <c r="I55" s="15" cm="1">
        <f t="array" ref="I55">_xll.BDH("PH US Equity","CF_NET_CHNG_CASH","FQ3 2020","FQ3 2020","Currency=USD","Period=FQ","BEST_FPERIOD_OVERRIDE=FQ","FILING_STATUS=MR","SCALING_FORMAT=MLN","Sort=A","Dates=H","DateFormat=P","Fill=—","Direction=H","UseDPDF=Y")</f>
        <v>-250.738</v>
      </c>
      <c r="J55" s="15" cm="1">
        <f t="array" ref="J55">_xll.BDH("PH US Equity","CF_NET_CHNG_CASH","FQ4 2020","FQ4 2020","Currency=USD","Period=FQ","BEST_FPERIOD_OVERRIDE=FQ","FILING_STATUS=MR","SCALING_FORMAT=MLN","Sort=A","Dates=H","DateFormat=P","Fill=—","Direction=H","UseDPDF=Y")</f>
        <v>-12.103</v>
      </c>
      <c r="K55" s="15" cm="1">
        <f t="array" ref="K55">_xll.BDH("PH US Equity","CF_NET_CHNG_CASH","FQ1 2021","FQ1 2021","Currency=USD","Period=FQ","BEST_FPERIOD_OVERRIDE=FQ","FILING_STATUS=MR","SCALING_FORMAT=MLN","Sort=A","Dates=H","DateFormat=P","Fill=—","Direction=H","UseDPDF=Y")</f>
        <v>56.88</v>
      </c>
      <c r="L55" s="15" cm="1">
        <f t="array" ref="L55">_xll.BDH("PH US Equity","CF_NET_CHNG_CASH","FQ2 2021","FQ2 2021","Currency=USD","Period=FQ","BEST_FPERIOD_OVERRIDE=FQ","FILING_STATUS=MR","SCALING_FORMAT=MLN","Sort=A","Dates=H","DateFormat=P","Fill=—","Direction=H","UseDPDF=Y")</f>
        <v>-177.66</v>
      </c>
      <c r="M55" s="15" cm="1">
        <f t="array" ref="M55">_xll.BDH("PH US Equity","CF_NET_CHNG_CASH","FQ3 2021","FQ3 2021","Currency=USD","Period=FQ","BEST_FPERIOD_OVERRIDE=FQ","FILING_STATUS=MR","SCALING_FORMAT=MLN","Sort=A","Dates=H","DateFormat=P","Fill=—","Direction=H","UseDPDF=Y")</f>
        <v>-75.134</v>
      </c>
      <c r="N55" s="15" cm="1">
        <f t="array" ref="N55">_xll.BDH("PH US Equity","CF_NET_CHNG_CASH","FQ4 2021","FQ4 2021","Currency=USD","Period=FQ","BEST_FPERIOD_OVERRIDE=FQ","FILING_STATUS=MR","SCALING_FORMAT=MLN","Sort=A","Dates=H","DateFormat=P","Fill=—","Direction=H","UseDPDF=Y")</f>
        <v>243.517</v>
      </c>
      <c r="O55" s="15" cm="1">
        <f t="array" ref="O55">_xll.BDH("PH US Equity","CF_NET_CHNG_CASH","FQ1 2022","FQ1 2022","Currency=USD","Period=FQ","BEST_FPERIOD_OVERRIDE=FQ","FILING_STATUS=MR","SCALING_FORMAT=MLN","Sort=A","Dates=H","DateFormat=P","Fill=—","Direction=H","UseDPDF=Y")</f>
        <v>-39.534999999999997</v>
      </c>
      <c r="P55" s="15" cm="1">
        <f t="array" ref="P55">_xll.BDH("PH US Equity","CF_NET_CHNG_CASH","FQ2 2022","FQ2 2022","Currency=USD","Period=FQ","BEST_FPERIOD_OVERRIDE=FQ","FILING_STATUS=MR","SCALING_FORMAT=MLN","Sort=A","Dates=H","DateFormat=P","Fill=—","Direction=H","UseDPDF=Y")</f>
        <v>2243.2829999999999</v>
      </c>
      <c r="Q55" s="15" cm="1">
        <f t="array" ref="Q55">_xll.BDH("PH US Equity","CF_NET_CHNG_CASH","FQ3 2022","FQ3 2022","Currency=USD","Period=FQ","BEST_FPERIOD_OVERRIDE=FQ","FILING_STATUS=MR","SCALING_FORMAT=MLN","Sort=A","Dates=H","DateFormat=P","Fill=—","Direction=H","UseDPDF=Y")</f>
        <v>18.292000000000002</v>
      </c>
      <c r="R55" s="15" cm="1">
        <f t="array" ref="R55">_xll.BDH("PH US Equity","CF_NET_CHNG_CASH","FQ4 2022","FQ4 2022","Currency=USD","Period=FQ","BEST_FPERIOD_OVERRIDE=FQ","FILING_STATUS=MR","SCALING_FORMAT=MLN","Sort=A","Dates=H","DateFormat=P","Fill=—","Direction=H","UseDPDF=Y")</f>
        <v>3692.7190000000001</v>
      </c>
      <c r="S55" s="15" cm="1">
        <f t="array" ref="S55">_xll.BDH("PH US Equity","CF_NET_CHNG_CASH","FQ1 2023","FQ1 2023","Currency=USD","Period=FQ","BEST_FPERIOD_OVERRIDE=FQ","FILING_STATUS=MR","SCALING_FORMAT=MLN","Sort=A","Dates=H","DateFormat=P","Fill=—","Direction=H","UseDPDF=Y")</f>
        <v>-6145.5690000000004</v>
      </c>
      <c r="T55" s="15" cm="1">
        <f t="array" ref="T55">_xll.BDH("PH US Equity","CF_NET_CHNG_CASH","FQ2 2023","FQ2 2023","Currency=USD","Period=FQ","BEST_FPERIOD_OVERRIDE=FQ","FILING_STATUS=MR","SCALING_FORMAT=MLN","Sort=A","Dates=H","DateFormat=P","Fill=—","Direction=H","UseDPDF=Y")</f>
        <v>253.74799999999999</v>
      </c>
      <c r="U55" s="15" cm="1">
        <f t="array" ref="U55">_xll.BDH("PH US Equity","CF_NET_CHNG_CASH","FQ3 2023","FQ3 2023","Currency=USD","Period=FQ","BEST_FPERIOD_OVERRIDE=FQ","FILING_STATUS=MR","SCALING_FORMAT=MLN","Sort=A","Dates=H","DateFormat=P","Fill=—","Direction=H","UseDPDF=Y")</f>
        <v>-221.22399999999999</v>
      </c>
      <c r="V55" s="15" cm="1">
        <f t="array" ref="V55">_xll.BDH("PH US Equity","CF_NET_CHNG_CASH","FQ4 2023","FQ4 2023","Currency=USD","Period=FQ","BEST_FPERIOD_OVERRIDE=FQ","FILING_STATUS=MR","SCALING_FORMAT=MLN","Sort=A","Dates=H","DateFormat=P","Fill=—","Direction=H","UseDPDF=Y")</f>
        <v>-59.649000000000001</v>
      </c>
      <c r="W55" s="15" cm="1">
        <f t="array" ref="W55">_xll.BDH("PH US Equity","CF_NET_CHNG_CASH","FQ1 2024","FQ1 2024","Currency=USD","Period=FQ","BEST_FPERIOD_OVERRIDE=FQ","FILING_STATUS=MR","SCALING_FORMAT=MLN","Sort=A","Dates=H","DateFormat=P","Fill=—","Direction=H","UseDPDF=Y")</f>
        <v>-26.256</v>
      </c>
      <c r="X55" s="15" cm="1">
        <f t="array" ref="X55">_xll.BDH("PH US Equity","CF_NET_CHNG_CASH","FQ2 2024","FQ2 2024","Currency=USD","Period=FQ","BEST_FPERIOD_OVERRIDE=FQ","FILING_STATUS=MR","SCALING_FORMAT=MLN","Sort=A","Dates=H","DateFormat=P","Fill=—","Direction=H","UseDPDF=Y")</f>
        <v>-66.111000000000004</v>
      </c>
      <c r="Y55" s="15" cm="1">
        <f t="array" ref="Y55">_xll.BDH("PH US Equity","CF_NET_CHNG_CASH","FQ3 2024","FQ3 2024","Currency=USD","Period=FQ","BEST_FPERIOD_OVERRIDE=FQ","FILING_STATUS=MR","SCALING_FORMAT=MLN","Sort=A","Dates=H","DateFormat=P","Fill=—","Direction=H","UseDPDF=Y")</f>
        <v>22.669</v>
      </c>
      <c r="Z55" s="15" cm="1">
        <f t="array" ref="Z55">_xll.BDH("PH US Equity","CF_NET_CHNG_CASH","FQ4 2024","FQ4 2024","Currency=USD","Period=FQ","BEST_FPERIOD_OVERRIDE=FQ","FILING_STATUS=MR","SCALING_FORMAT=MLN","Sort=A","Dates=H","DateFormat=P","Fill=—","Direction=H","UseDPDF=Y")</f>
        <v>16.542999999999999</v>
      </c>
      <c r="AA55" s="15" cm="1">
        <f t="array" ref="AA55">_xll.BDH("PH US Equity","CF_NET_CHNG_CASH","FQ1 2025","FQ1 2025","Currency=USD","Period=FQ","BEST_FPERIOD_OVERRIDE=FQ","FILING_STATUS=MR","SCALING_FORMAT=MLN","Sort=A","Dates=H","DateFormat=P","Fill=—","Direction=H","UseDPDF=Y")</f>
        <v>-50.959000000000003</v>
      </c>
      <c r="AB55" s="15" cm="1">
        <f t="array" ref="AB55">_xll.BDH("PH US Equity","CF_NET_CHNG_CASH","FQ2 2025","FQ2 2025","Currency=USD","Period=FQ","BEST_FPERIOD_OVERRIDE=FQ","FILING_STATUS=MR","SCALING_FORMAT=MLN","Sort=A","Dates=H","DateFormat=P","Fill=—","Direction=H","UseDPDF=Y")</f>
        <v>24.439</v>
      </c>
      <c r="AC55" s="15" cm="1">
        <f t="array" ref="AC55">_xll.BDH("PH US Equity","CF_NET_CHNG_CASH","FQ3 2025","FQ3 2025","Currency=USD","Period=FQ","BEST_FPERIOD_OVERRIDE=FQ","FILING_STATUS=MR","SCALING_FORMAT=MLN","Sort=A","Dates=H","DateFormat=P","Fill=—","Direction=H","UseDPDF=Y")</f>
        <v>13.228</v>
      </c>
      <c r="AD55" s="15" cm="1">
        <f t="array" ref="AD55">_xll.BDH("PH US Equity","CF_NET_CHNG_CASH","FQ4 2025","FQ4 2025","Currency=USD","Period=FQ","BEST_FPERIOD_OVERRIDE=FQ","FILING_STATUS=MR","SCALING_FORMAT=MLN","Sort=A","Dates=H","DateFormat=P","Fill=—","Direction=H","UseDPDF=Y")</f>
        <v>58.292000000000002</v>
      </c>
      <c r="AE55" s="15" cm="1">
        <f t="array" ref="AE55">_xll.BDH("PH US Equity","CF_NET_CHNG_CASH","FQ1 2026","FQ1 2026","Currency=USD","Period=FQ","BEST_FPERIOD_OVERRIDE=FQ","FILING_STATUS=MR","SCALING_FORMAT=MLN","Sort=A","Dates=H","DateFormat=P","Fill=—","Direction=H","UseDPDF=Y")</f>
        <v>6</v>
      </c>
      <c r="AF55" s="15" cm="1">
        <f t="array" ref="AF55">_xll.BDH("PH US Equity","CF_NET_CHNG_CASH","FQ2 2026","FQ2 2026","Currency=USD","Period=FQ","BEST_FPERIOD_OVERRIDE=FQ","FILING_STATUS=MR","SCALING_FORMAT=MLN","Sort=A","Dates=H","DateFormat=P","Fill=—","Direction=H","UseDPDF=Y")</f>
        <v>-46</v>
      </c>
    </row>
    <row r="56" spans="1:32" x14ac:dyDescent="0.25">
      <c r="A56" s="6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x14ac:dyDescent="0.25">
      <c r="A57" s="6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x14ac:dyDescent="0.25">
      <c r="A58" s="6" t="s"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x14ac:dyDescent="0.25">
      <c r="A59" s="10" t="s">
        <v>149</v>
      </c>
      <c r="B59" s="10" t="s">
        <v>149</v>
      </c>
      <c r="C59" s="12" cm="1">
        <f t="array" ref="C59">_xll.BDH("PH US Equity","EBITDA","FQ1 2019","FQ1 2019","Currency=USD","Period=FQ","BEST_FPERIOD_OVERRIDE=FQ","FILING_STATUS=MR","SCALING_FORMAT=MLN","FA_ADJUSTED=GAAP","Sort=A","Dates=H","DateFormat=P","Fill=—","Direction=H","UseDPDF=Y")</f>
        <v>602.64</v>
      </c>
      <c r="D59" s="12" cm="1">
        <f t="array" ref="D59">_xll.BDH("PH US Equity","EBITDA","FQ2 2019","FQ2 2019","Currency=USD","Period=FQ","BEST_FPERIOD_OVERRIDE=FQ","FILING_STATUS=MR","SCALING_FORMAT=MLN","FA_ADJUSTED=GAAP","Sort=A","Dates=H","DateFormat=P","Fill=—","Direction=H","UseDPDF=Y")</f>
        <v>582.49900000000002</v>
      </c>
      <c r="E59" s="12" cm="1">
        <f t="array" ref="E59">_xll.BDH("PH US Equity","EBITDA","FQ3 2019","FQ3 2019","Currency=USD","Period=FQ","BEST_FPERIOD_OVERRIDE=FQ","FILING_STATUS=MR","SCALING_FORMAT=MLN","FA_ADJUSTED=GAAP","Sort=A","Dates=H","DateFormat=P","Fill=—","Direction=H","UseDPDF=Y")</f>
        <v>668.16700000000003</v>
      </c>
      <c r="F59" s="12" cm="1">
        <f t="array" ref="F59">_xll.BDH("PH US Equity","EBITDA","FQ4 2019","FQ4 2019","Currency=USD","Period=FQ","BEST_FPERIOD_OVERRIDE=FQ","FILING_STATUS=MR","SCALING_FORMAT=MLN","FA_ADJUSTED=GAAP","Sort=A","Dates=H","DateFormat=P","Fill=—","Direction=H","UseDPDF=Y")</f>
        <v>655.78399999999999</v>
      </c>
      <c r="G59" s="12" cm="1">
        <f t="array" ref="G59">_xll.BDH("PH US Equity","EBITDA","FQ1 2020","FQ1 2020","Currency=USD","Period=FQ","BEST_FPERIOD_OVERRIDE=FQ","FILING_STATUS=MR","SCALING_FORMAT=MLN","FA_ADJUSTED=GAAP","Sort=A","Dates=H","DateFormat=P","Fill=—","Direction=H","UseDPDF=Y")</f>
        <v>576.61300000000006</v>
      </c>
      <c r="H59" s="12" cm="1">
        <f t="array" ref="H59">_xll.BDH("PH US Equity","EBITDA","FQ2 2020","FQ2 2020","Currency=USD","Period=FQ","BEST_FPERIOD_OVERRIDE=FQ","FILING_STATUS=MR","SCALING_FORMAT=MLN","FA_ADJUSTED=GAAP","Sort=A","Dates=H","DateFormat=P","Fill=—","Direction=H","UseDPDF=Y")</f>
        <v>481.19600000000003</v>
      </c>
      <c r="I59" s="12" cm="1">
        <f t="array" ref="I59">_xll.BDH("PH US Equity","EBITDA","FQ3 2020","FQ3 2020","Currency=USD","Period=FQ","BEST_FPERIOD_OVERRIDE=FQ","FILING_STATUS=MR","SCALING_FORMAT=MLN","FA_ADJUSTED=GAAP","Sort=A","Dates=H","DateFormat=P","Fill=—","Direction=H","UseDPDF=Y")</f>
        <v>673.14599999999996</v>
      </c>
      <c r="J59" s="12" cm="1">
        <f t="array" ref="J59">_xll.BDH("PH US Equity","EBITDA","FQ4 2020","FQ4 2020","Currency=USD","Period=FQ","BEST_FPERIOD_OVERRIDE=FQ","FILING_STATUS=MR","SCALING_FORMAT=MLN","FA_ADJUSTED=GAAP","Sort=A","Dates=H","DateFormat=P","Fill=—","Direction=H","UseDPDF=Y")</f>
        <v>601.08000000000004</v>
      </c>
      <c r="K59" s="12" cm="1">
        <f t="array" ref="K59">_xll.BDH("PH US Equity","EBITDA","FQ1 2021","FQ1 2021","Currency=USD","Period=FQ","BEST_FPERIOD_OVERRIDE=FQ","FILING_STATUS=MR","SCALING_FORMAT=MLN","FA_ADJUSTED=GAAP","Sort=A","Dates=H","DateFormat=P","Fill=—","Direction=H","UseDPDF=Y")</f>
        <v>622.68200000000002</v>
      </c>
      <c r="L59" s="12" cm="1">
        <f t="array" ref="L59">_xll.BDH("PH US Equity","EBITDA","FQ2 2021","FQ2 2021","Currency=USD","Period=FQ","BEST_FPERIOD_OVERRIDE=FQ","FILING_STATUS=MR","SCALING_FORMAT=MLN","FA_ADJUSTED=GAAP","Sort=A","Dates=H","DateFormat=P","Fill=—","Direction=H","UseDPDF=Y")</f>
        <v>686.98599999999999</v>
      </c>
      <c r="M59" s="12" cm="1">
        <f t="array" ref="M59">_xll.BDH("PH US Equity","EBITDA","FQ3 2021","FQ3 2021","Currency=USD","Period=FQ","BEST_FPERIOD_OVERRIDE=FQ","FILING_STATUS=MR","SCALING_FORMAT=MLN","FA_ADJUSTED=GAAP","Sort=A","Dates=H","DateFormat=P","Fill=—","Direction=H","UseDPDF=Y")</f>
        <v>797.25800000000004</v>
      </c>
      <c r="N59" s="12" cm="1">
        <f t="array" ref="N59">_xll.BDH("PH US Equity","EBITDA","FQ4 2021","FQ4 2021","Currency=USD","Period=FQ","BEST_FPERIOD_OVERRIDE=FQ","FILING_STATUS=MR","SCALING_FORMAT=MLN","FA_ADJUSTED=GAAP","Sort=A","Dates=H","DateFormat=P","Fill=—","Direction=H","UseDPDF=Y")</f>
        <v>859.12199999999996</v>
      </c>
      <c r="O59" s="12" cm="1">
        <f t="array" ref="O59">_xll.BDH("PH US Equity","EBITDA","FQ1 2022","FQ1 2022","Currency=USD","Period=FQ","BEST_FPERIOD_OVERRIDE=FQ","FILING_STATUS=MR","SCALING_FORMAT=MLN","FA_ADJUSTED=GAAP","Sort=A","Dates=H","DateFormat=P","Fill=—","Direction=H","UseDPDF=Y")</f>
        <v>777.2</v>
      </c>
      <c r="P59" s="12" cm="1">
        <f t="array" ref="P59">_xll.BDH("PH US Equity","EBITDA","FQ2 2022","FQ2 2022","Currency=USD","Period=FQ","BEST_FPERIOD_OVERRIDE=FQ","FILING_STATUS=MR","SCALING_FORMAT=MLN","FA_ADJUSTED=GAAP","Sort=A","Dates=H","DateFormat=P","Fill=—","Direction=H","UseDPDF=Y")</f>
        <v>815.23</v>
      </c>
      <c r="Q59" s="12" cm="1">
        <f t="array" ref="Q59">_xll.BDH("PH US Equity","EBITDA","FQ3 2022","FQ3 2022","Currency=USD","Period=FQ","BEST_FPERIOD_OVERRIDE=FQ","FILING_STATUS=MR","SCALING_FORMAT=MLN","FA_ADJUSTED=GAAP","Sort=A","Dates=H","DateFormat=P","Fill=—","Direction=H","UseDPDF=Y")</f>
        <v>888.66200000000003</v>
      </c>
      <c r="R59" s="12" cm="1">
        <f t="array" ref="R59">_xll.BDH("PH US Equity","EBITDA","FQ4 2022","FQ4 2022","Currency=USD","Period=FQ","BEST_FPERIOD_OVERRIDE=FQ","FILING_STATUS=MR","SCALING_FORMAT=MLN","FA_ADJUSTED=GAAP","Sort=A","Dates=H","DateFormat=P","Fill=—","Direction=H","UseDPDF=Y")</f>
        <v>907.39300000000003</v>
      </c>
      <c r="S59" s="12" cm="1">
        <f t="array" ref="S59">_xll.BDH("PH US Equity","EBITDA","FQ1 2023","FQ1 2023","Currency=USD","Period=FQ","BEST_FPERIOD_OVERRIDE=FQ","FILING_STATUS=MR","SCALING_FORMAT=MLN","FA_ADJUSTED=GAAP","Sort=A","Dates=H","DateFormat=P","Fill=—","Direction=H","UseDPDF=Y")</f>
        <v>755.49599999999998</v>
      </c>
      <c r="T59" s="12" cm="1">
        <f t="array" ref="T59">_xll.BDH("PH US Equity","EBITDA","FQ2 2023","FQ2 2023","Currency=USD","Period=FQ","BEST_FPERIOD_OVERRIDE=FQ","FILING_STATUS=MR","SCALING_FORMAT=MLN","FA_ADJUSTED=GAAP","Sort=A","Dates=H","DateFormat=P","Fill=—","Direction=H","UseDPDF=Y")</f>
        <v>852.77700000000004</v>
      </c>
      <c r="U59" s="12" cm="1">
        <f t="array" ref="U59">_xll.BDH("PH US Equity","EBITDA","FQ3 2023","FQ3 2023","Currency=USD","Period=FQ","BEST_FPERIOD_OVERRIDE=FQ","FILING_STATUS=MR","SCALING_FORMAT=MLN","FA_ADJUSTED=GAAP","Sort=A","Dates=H","DateFormat=P","Fill=—","Direction=H","UseDPDF=Y")</f>
        <v>1077.8489999999999</v>
      </c>
      <c r="V59" s="12" cm="1">
        <f t="array" ref="V59">_xll.BDH("PH US Equity","EBITDA","FQ4 2023","FQ4 2023","Currency=USD","Period=FQ","BEST_FPERIOD_OVERRIDE=FQ","FILING_STATUS=MR","SCALING_FORMAT=MLN","FA_ADJUSTED=GAAP","Sort=A","Dates=H","DateFormat=P","Fill=—","Direction=H","UseDPDF=Y")</f>
        <v>1207.2059999999999</v>
      </c>
      <c r="W59" s="12" cm="1">
        <f t="array" ref="W59">_xll.BDH("PH US Equity","EBITDA","FQ1 2024","FQ1 2024","Currency=USD","Period=FQ","BEST_FPERIOD_OVERRIDE=FQ","FILING_STATUS=MR","SCALING_FORMAT=MLN","FA_ADJUSTED=GAAP","Sort=A","Dates=H","DateFormat=P","Fill=—","Direction=H","UseDPDF=Y")</f>
        <v>1116.835</v>
      </c>
      <c r="X59" s="12" cm="1">
        <f t="array" ref="X59">_xll.BDH("PH US Equity","EBITDA","FQ2 2024","FQ2 2024","Currency=USD","Period=FQ","BEST_FPERIOD_OVERRIDE=FQ","FILING_STATUS=MR","SCALING_FORMAT=MLN","FA_ADJUSTED=GAAP","Sort=A","Dates=H","DateFormat=P","Fill=—","Direction=H","UseDPDF=Y")</f>
        <v>1139.961</v>
      </c>
      <c r="Y59" s="12" cm="1">
        <f t="array" ref="Y59">_xll.BDH("PH US Equity","EBITDA","FQ3 2024","FQ3 2024","Currency=USD","Period=FQ","BEST_FPERIOD_OVERRIDE=FQ","FILING_STATUS=MR","SCALING_FORMAT=MLN","FA_ADJUSTED=GAAP","Sort=A","Dates=H","DateFormat=P","Fill=—","Direction=H","UseDPDF=Y")</f>
        <v>1206.6669999999999</v>
      </c>
      <c r="Z59" s="12" cm="1">
        <f t="array" ref="Z59">_xll.BDH("PH US Equity","EBITDA","FQ4 2024","FQ4 2024","Currency=USD","Period=FQ","BEST_FPERIOD_OVERRIDE=FQ","FILING_STATUS=MR","SCALING_FORMAT=MLN","FA_ADJUSTED=GAAP","Sort=A","Dates=H","DateFormat=P","Fill=—","Direction=H","UseDPDF=Y")</f>
        <v>1276.2809999999999</v>
      </c>
      <c r="AA59" s="12" cm="1">
        <f t="array" ref="AA59">_xll.BDH("PH US Equity","EBITDA","FQ1 2025","FQ1 2025","Currency=USD","Period=FQ","BEST_FPERIOD_OVERRIDE=FQ","FILING_STATUS=MR","SCALING_FORMAT=MLN","FA_ADJUSTED=GAAP","Sort=A","Dates=H","DateFormat=P","Fill=—","Direction=H","UseDPDF=Y")</f>
        <v>1186.5219999999999</v>
      </c>
      <c r="AB59" s="12" cm="1">
        <f t="array" ref="AB59">_xll.BDH("PH US Equity","EBITDA","FQ2 2025","FQ2 2025","Currency=USD","Period=FQ","BEST_FPERIOD_OVERRIDE=FQ","FILING_STATUS=MR","SCALING_FORMAT=MLN","FA_ADJUSTED=GAAP","Sort=A","Dates=H","DateFormat=P","Fill=—","Direction=H","UseDPDF=Y")</f>
        <v>1163.7660000000001</v>
      </c>
      <c r="AC59" s="12" cm="1">
        <f t="array" ref="AC59">_xll.BDH("PH US Equity","EBITDA","FQ3 2025","FQ3 2025","Currency=USD","Period=FQ","BEST_FPERIOD_OVERRIDE=FQ","FILING_STATUS=MR","SCALING_FORMAT=MLN","FA_ADJUSTED=GAAP","Sort=A","Dates=H","DateFormat=P","Fill=—","Direction=H","UseDPDF=Y")</f>
        <v>1268.8389999999999</v>
      </c>
      <c r="AD59" s="12" cm="1">
        <f t="array" ref="AD59">_xll.BDH("PH US Equity","EBITDA","FQ4 2025","FQ4 2025","Currency=USD","Period=FQ","BEST_FPERIOD_OVERRIDE=FQ","FILING_STATUS=MR","SCALING_FORMAT=MLN","FA_ADJUSTED=GAAP","Sort=A","Dates=H","DateFormat=P","Fill=—","Direction=H","UseDPDF=Y")</f>
        <v>1348.335</v>
      </c>
      <c r="AE59" s="12" cm="1">
        <f t="array" ref="AE59">_xll.BDH("PH US Equity","EBITDA","FQ1 2026","FQ1 2026","Currency=USD","Period=FQ","BEST_FPERIOD_OVERRIDE=FQ","FILING_STATUS=MR","SCALING_FORMAT=MLN","FA_ADJUSTED=GAAP","Sort=A","Dates=H","DateFormat=P","Fill=—","Direction=H","UseDPDF=Y")</f>
        <v>1266</v>
      </c>
      <c r="AF59" s="12" cm="1">
        <f t="array" ref="AF59">_xll.BDH("PH US Equity","EBITDA","FQ2 2026","FQ2 2026","Currency=USD","Period=FQ","BEST_FPERIOD_OVERRIDE=FQ","FILING_STATUS=MR","SCALING_FORMAT=MLN","FA_ADJUSTED=GAAP","Sort=A","Dates=H","DateFormat=P","Fill=—","Direction=H","UseDPDF=Y")</f>
        <v>1327</v>
      </c>
    </row>
    <row r="60" spans="1:32" x14ac:dyDescent="0.25">
      <c r="A60" s="10" t="s">
        <v>150</v>
      </c>
      <c r="B60" s="10" t="s">
        <v>151</v>
      </c>
      <c r="C60" s="13" cm="1">
        <f t="array" ref="C60">_xll.BDH("PH US Equity","EBITDA_MARGIN","FQ1 2019","FQ1 2019","Currency=USD","Period=FQ","BEST_FPERIOD_OVERRIDE=FQ","FILING_STATUS=MR","FA_ADJUSTED=GAAP","Sort=A","Dates=H","DateFormat=P","Fill=—","Direction=H","UseDPDF=Y")</f>
        <v>16.8752</v>
      </c>
      <c r="D60" s="13" cm="1">
        <f t="array" ref="D60">_xll.BDH("PH US Equity","EBITDA_MARGIN","FQ2 2019","FQ2 2019","Currency=USD","Period=FQ","BEST_FPERIOD_OVERRIDE=FQ","FILING_STATUS=MR","FA_ADJUSTED=GAAP","Sort=A","Dates=H","DateFormat=P","Fill=—","Direction=H","UseDPDF=Y")</f>
        <v>17.215399999999999</v>
      </c>
      <c r="E60" s="13" cm="1">
        <f t="array" ref="E60">_xll.BDH("PH US Equity","EBITDA_MARGIN","FQ3 2019","FQ3 2019","Currency=USD","Period=FQ","BEST_FPERIOD_OVERRIDE=FQ","FILING_STATUS=MR","FA_ADJUSTED=GAAP","Sort=A","Dates=H","DateFormat=P","Fill=—","Direction=H","UseDPDF=Y")</f>
        <v>17.5504</v>
      </c>
      <c r="F60" s="13" cm="1">
        <f t="array" ref="F60">_xll.BDH("PH US Equity","EBITDA_MARGIN","FQ4 2019","FQ4 2019","Currency=USD","Period=FQ","BEST_FPERIOD_OVERRIDE=FQ","FILING_STATUS=MR","FA_ADJUSTED=GAAP","Sort=A","Dates=H","DateFormat=P","Fill=—","Direction=H","UseDPDF=Y")</f>
        <v>17.5212</v>
      </c>
      <c r="G60" s="13" cm="1">
        <f t="array" ref="G60">_xll.BDH("PH US Equity","EBITDA_MARGIN","FQ1 2020","FQ1 2020","Currency=USD","Period=FQ","BEST_FPERIOD_OVERRIDE=FQ","FILING_STATUS=MR","FA_ADJUSTED=GAAP","Sort=A","Dates=H","DateFormat=P","Fill=—","Direction=H","UseDPDF=Y")</f>
        <v>17.516500000000001</v>
      </c>
      <c r="H60" s="13" cm="1">
        <f t="array" ref="H60">_xll.BDH("PH US Equity","EBITDA_MARGIN","FQ2 2020","FQ2 2020","Currency=USD","Period=FQ","BEST_FPERIOD_OVERRIDE=FQ","FILING_STATUS=MR","FA_ADJUSTED=GAAP","Sort=A","Dates=H","DateFormat=P","Fill=—","Direction=H","UseDPDF=Y")</f>
        <v>16.7712</v>
      </c>
      <c r="I60" s="13" cm="1">
        <f t="array" ref="I60">_xll.BDH("PH US Equity","EBITDA_MARGIN","FQ3 2020","FQ3 2020","Currency=USD","Period=FQ","BEST_FPERIOD_OVERRIDE=FQ","FILING_STATUS=MR","FA_ADJUSTED=GAAP","Sort=A","Dates=H","DateFormat=P","Fill=—","Direction=H","UseDPDF=Y")</f>
        <v>16.788699999999999</v>
      </c>
      <c r="J60" s="13" cm="1">
        <f t="array" ref="J60">_xll.BDH("PH US Equity","EBITDA_MARGIN","FQ4 2020","FQ4 2020","Currency=USD","Period=FQ","BEST_FPERIOD_OVERRIDE=FQ","FILING_STATUS=MR","FA_ADJUSTED=GAAP","Sort=A","Dates=H","DateFormat=P","Fill=—","Direction=H","UseDPDF=Y")</f>
        <v>17.027699999999999</v>
      </c>
      <c r="K60" s="13" cm="1">
        <f t="array" ref="K60">_xll.BDH("PH US Equity","EBITDA_MARGIN","FQ1 2021","FQ1 2021","Currency=USD","Period=FQ","BEST_FPERIOD_OVERRIDE=FQ","FILING_STATUS=MR","FA_ADJUSTED=GAAP","Sort=A","Dates=H","DateFormat=P","Fill=—","Direction=H","UseDPDF=Y")</f>
        <v>17.4969</v>
      </c>
      <c r="L60" s="13" cm="1">
        <f t="array" ref="L60">_xll.BDH("PH US Equity","EBITDA_MARGIN","FQ2 2021","FQ2 2021","Currency=USD","Period=FQ","BEST_FPERIOD_OVERRIDE=FQ","FILING_STATUS=MR","FA_ADJUSTED=GAAP","Sort=A","Dates=H","DateFormat=P","Fill=—","Direction=H","UseDPDF=Y")</f>
        <v>19.132200000000001</v>
      </c>
      <c r="M60" s="13" cm="1">
        <f t="array" ref="M60">_xll.BDH("PH US Equity","EBITDA_MARGIN","FQ3 2021","FQ3 2021","Currency=USD","Period=FQ","BEST_FPERIOD_OVERRIDE=FQ","FILING_STATUS=MR","FA_ADJUSTED=GAAP","Sort=A","Dates=H","DateFormat=P","Fill=—","Direction=H","UseDPDF=Y")</f>
        <v>19.9862</v>
      </c>
      <c r="N60" s="13" cm="1">
        <f t="array" ref="N60">_xll.BDH("PH US Equity","EBITDA_MARGIN","FQ4 2021","FQ4 2021","Currency=USD","Period=FQ","BEST_FPERIOD_OVERRIDE=FQ","FILING_STATUS=MR","FA_ADJUSTED=GAAP","Sort=A","Dates=H","DateFormat=P","Fill=—","Direction=H","UseDPDF=Y")</f>
        <v>20.672699999999999</v>
      </c>
      <c r="O60" s="13" cm="1">
        <f t="array" ref="O60">_xll.BDH("PH US Equity","EBITDA_MARGIN","FQ1 2022","FQ1 2022","Currency=USD","Period=FQ","BEST_FPERIOD_OVERRIDE=FQ","FILING_STATUS=MR","FA_ADJUSTED=GAAP","Sort=A","Dates=H","DateFormat=P","Fill=—","Direction=H","UseDPDF=Y")</f>
        <v>20.971699999999998</v>
      </c>
      <c r="P60" s="13" cm="1">
        <f t="array" ref="P60">_xll.BDH("PH US Equity","EBITDA_MARGIN","FQ2 2022","FQ2 2022","Currency=USD","Period=FQ","BEST_FPERIOD_OVERRIDE=FQ","FILING_STATUS=MR","FA_ADJUSTED=GAAP","Sort=A","Dates=H","DateFormat=P","Fill=—","Direction=H","UseDPDF=Y")</f>
        <v>21.244299999999999</v>
      </c>
      <c r="Q60" s="13" cm="1">
        <f t="array" ref="Q60">_xll.BDH("PH US Equity","EBITDA_MARGIN","FQ3 2022","FQ3 2022","Currency=USD","Period=FQ","BEST_FPERIOD_OVERRIDE=FQ","FILING_STATUS=MR","FA_ADJUSTED=GAAP","Sort=A","Dates=H","DateFormat=P","Fill=—","Direction=H","UseDPDF=Y")</f>
        <v>21.366900000000001</v>
      </c>
      <c r="R60" s="13" cm="1">
        <f t="array" ref="R60">_xll.BDH("PH US Equity","EBITDA_MARGIN","FQ4 2022","FQ4 2022","Currency=USD","Period=FQ","BEST_FPERIOD_OVERRIDE=FQ","FILING_STATUS=MR","FA_ADJUSTED=GAAP","Sort=A","Dates=H","DateFormat=P","Fill=—","Direction=H","UseDPDF=Y")</f>
        <v>21.3628</v>
      </c>
      <c r="S60" s="13" cm="1">
        <f t="array" ref="S60">_xll.BDH("PH US Equity","EBITDA_MARGIN","FQ1 2023","FQ1 2023","Currency=USD","Period=FQ","BEST_FPERIOD_OVERRIDE=FQ","FILING_STATUS=MR","FA_ADJUSTED=GAAP","Sort=A","Dates=H","DateFormat=P","Fill=—","Direction=H","UseDPDF=Y")</f>
        <v>20.615200000000002</v>
      </c>
      <c r="T60" s="13" cm="1">
        <f t="array" ref="T60">_xll.BDH("PH US Equity","EBITDA_MARGIN","FQ2 2023","FQ2 2023","Currency=USD","Period=FQ","BEST_FPERIOD_OVERRIDE=FQ","FILING_STATUS=MR","FA_ADJUSTED=GAAP","Sort=A","Dates=H","DateFormat=P","Fill=—","Direction=H","UseDPDF=Y")</f>
        <v>19.813600000000001</v>
      </c>
      <c r="U60" s="13" cm="1">
        <f t="array" ref="U60">_xll.BDH("PH US Equity","EBITDA_MARGIN","FQ3 2023","FQ3 2023","Currency=USD","Period=FQ","BEST_FPERIOD_OVERRIDE=FQ","FILING_STATUS=MR","FA_ADJUSTED=GAAP","Sort=A","Dates=H","DateFormat=P","Fill=—","Direction=H","UseDPDF=Y")</f>
        <v>19.7913</v>
      </c>
      <c r="V60" s="13" cm="1">
        <f t="array" ref="V60">_xll.BDH("PH US Equity","EBITDA_MARGIN","FQ4 2023","FQ4 2023","Currency=USD","Period=FQ","BEST_FPERIOD_OVERRIDE=FQ","FILING_STATUS=MR","FA_ADJUSTED=GAAP","Sort=A","Dates=H","DateFormat=P","Fill=—","Direction=H","UseDPDF=Y")</f>
        <v>20.421099999999999</v>
      </c>
      <c r="W60" s="13" cm="1">
        <f t="array" ref="W60">_xll.BDH("PH US Equity","EBITDA_MARGIN","FQ1 2024","FQ1 2024","Currency=USD","Period=FQ","BEST_FPERIOD_OVERRIDE=FQ","FILING_STATUS=MR","FA_ADJUSTED=GAAP","Sort=A","Dates=H","DateFormat=P","Fill=—","Direction=H","UseDPDF=Y")</f>
        <v>21.619299999999999</v>
      </c>
      <c r="X60" s="13" cm="1">
        <f t="array" ref="X60">_xll.BDH("PH US Equity","EBITDA_MARGIN","FQ2 2024","FQ2 2024","Currency=USD","Period=FQ","BEST_FPERIOD_OVERRIDE=FQ","FILING_STATUS=MR","FA_ADJUSTED=GAAP","Sort=A","Dates=H","DateFormat=P","Fill=—","Direction=H","UseDPDF=Y")</f>
        <v>22.9085</v>
      </c>
      <c r="Y60" s="13" cm="1">
        <f t="array" ref="Y60">_xll.BDH("PH US Equity","EBITDA_MARGIN","FQ3 2024","FQ3 2024","Currency=USD","Period=FQ","BEST_FPERIOD_OVERRIDE=FQ","FILING_STATUS=MR","FA_ADJUSTED=GAAP","Sort=A","Dates=H","DateFormat=P","Fill=—","Direction=H","UseDPDF=Y")</f>
        <v>23.543199999999999</v>
      </c>
      <c r="Z60" s="13" cm="1">
        <f t="array" ref="Z60">_xll.BDH("PH US Equity","EBITDA_MARGIN","FQ4 2024","FQ4 2024","Currency=USD","Period=FQ","BEST_FPERIOD_OVERRIDE=FQ","FILING_STATUS=MR","FA_ADJUSTED=GAAP","Sort=A","Dates=H","DateFormat=P","Fill=—","Direction=H","UseDPDF=Y")</f>
        <v>23.782399999999999</v>
      </c>
      <c r="AA60" s="13" cm="1">
        <f t="array" ref="AA60">_xll.BDH("PH US Equity","EBITDA_MARGIN","FQ1 2025","FQ1 2025","Currency=USD","Period=FQ","BEST_FPERIOD_OVERRIDE=FQ","FILING_STATUS=MR","FA_ADJUSTED=GAAP","Sort=A","Dates=H","DateFormat=P","Fill=—","Direction=H","UseDPDF=Y")</f>
        <v>24.0639</v>
      </c>
      <c r="AB60" s="13" cm="1">
        <f t="array" ref="AB60">_xll.BDH("PH US Equity","EBITDA_MARGIN","FQ2 2025","FQ2 2025","Currency=USD","Period=FQ","BEST_FPERIOD_OVERRIDE=FQ","FILING_STATUS=MR","FA_ADJUSTED=GAAP","Sort=A","Dates=H","DateFormat=P","Fill=—","Direction=H","UseDPDF=Y")</f>
        <v>24.278199999999998</v>
      </c>
      <c r="AC60" s="13" cm="1">
        <f t="array" ref="AC60">_xll.BDH("PH US Equity","EBITDA_MARGIN","FQ3 2025","FQ3 2025","Currency=USD","Period=FQ","BEST_FPERIOD_OVERRIDE=FQ","FILING_STATUS=MR","FA_ADJUSTED=GAAP","Sort=A","Dates=H","DateFormat=P","Fill=—","Direction=H","UseDPDF=Y")</f>
        <v>24.732099999999999</v>
      </c>
      <c r="AD60" s="13" cm="1">
        <f t="array" ref="AD60">_xll.BDH("PH US Equity","EBITDA_MARGIN","FQ4 2025","FQ4 2025","Currency=USD","Period=FQ","BEST_FPERIOD_OVERRIDE=FQ","FILING_STATUS=MR","FA_ADJUSTED=GAAP","Sort=A","Dates=H","DateFormat=P","Fill=—","Direction=H","UseDPDF=Y")</f>
        <v>25.025099999999998</v>
      </c>
      <c r="AE60" s="13" cm="1">
        <f t="array" ref="AE60">_xll.BDH("PH US Equity","EBITDA_MARGIN","FQ1 2026","FQ1 2026","Currency=USD","Period=FQ","BEST_FPERIOD_OVERRIDE=FQ","FILING_STATUS=MR","FA_ADJUSTED=GAAP","Sort=A","Dates=H","DateFormat=P","Fill=—","Direction=H","UseDPDF=Y")</f>
        <v>25.196999999999999</v>
      </c>
      <c r="AF60" s="13" cm="1">
        <f t="array" ref="AF60">_xll.BDH("PH US Equity","EBITDA_MARGIN","FQ2 2026","FQ2 2026","Currency=USD","Period=FQ","BEST_FPERIOD_OVERRIDE=FQ","FILING_STATUS=MR","FA_ADJUSTED=GAAP","Sort=A","Dates=H","DateFormat=P","Fill=—","Direction=H","UseDPDF=Y")</f>
        <v>25.4635</v>
      </c>
    </row>
    <row r="61" spans="1:32" x14ac:dyDescent="0.25">
      <c r="A61" s="10" t="s">
        <v>152</v>
      </c>
      <c r="B61" s="10" t="s">
        <v>153</v>
      </c>
      <c r="C61" s="12" cm="1">
        <f t="array" ref="C61">_xll.BDH("PH US Equity","CF_NET_CASH_PAID_FOR_AQUIS","FQ1 2019","FQ1 2019","Currency=USD","Period=FQ","BEST_FPERIOD_OVERRIDE=FQ","FILING_STATUS=MR","SCALING_FORMAT=MLN","Sort=A","Dates=H","DateFormat=P","Fill=—","Direction=H","UseDPDF=Y")</f>
        <v>2.0419999999999998</v>
      </c>
      <c r="D61" s="12" cm="1">
        <f t="array" ref="D61">_xll.BDH("PH US Equity","CF_NET_CASH_PAID_FOR_AQUIS","FQ2 2019","FQ2 2019","Currency=USD","Period=FQ","BEST_FPERIOD_OVERRIDE=FQ","FILING_STATUS=MR","SCALING_FORMAT=MLN","Sort=A","Dates=H","DateFormat=P","Fill=—","Direction=H","UseDPDF=Y")</f>
        <v>0</v>
      </c>
      <c r="E61" s="12" cm="1">
        <f t="array" ref="E61">_xll.BDH("PH US Equity","CF_NET_CASH_PAID_FOR_AQUIS","FQ3 2019","FQ3 2019","Currency=USD","Period=FQ","BEST_FPERIOD_OVERRIDE=FQ","FILING_STATUS=MR","SCALING_FORMAT=MLN","Sort=A","Dates=H","DateFormat=P","Fill=—","Direction=H","UseDPDF=Y")</f>
        <v>0</v>
      </c>
      <c r="F61" s="12" cm="1">
        <f t="array" ref="F61">_xll.BDH("PH US Equity","CF_NET_CASH_PAID_FOR_AQUIS","FQ4 2019","FQ4 2019","Currency=USD","Period=FQ","BEST_FPERIOD_OVERRIDE=FQ","FILING_STATUS=MR","SCALING_FORMAT=MLN","Sort=A","Dates=H","DateFormat=P","Fill=—","Direction=H","UseDPDF=Y")</f>
        <v>0</v>
      </c>
      <c r="G61" s="12" cm="1">
        <f t="array" ref="G61">_xll.BDH("PH US Equity","CF_NET_CASH_PAID_FOR_AQUIS","FQ1 2020","FQ1 2020","Currency=USD","Period=FQ","BEST_FPERIOD_OVERRIDE=FQ","FILING_STATUS=MR","SCALING_FORMAT=MLN","Sort=A","Dates=H","DateFormat=P","Fill=—","Direction=H","UseDPDF=Y")</f>
        <v>1696.4559999999999</v>
      </c>
      <c r="H61" s="12" cm="1">
        <f t="array" ref="H61">_xll.BDH("PH US Equity","CF_NET_CASH_PAID_FOR_AQUIS","FQ2 2020","FQ2 2020","Currency=USD","Period=FQ","BEST_FPERIOD_OVERRIDE=FQ","FILING_STATUS=MR","SCALING_FORMAT=MLN","Sort=A","Dates=H","DateFormat=P","Fill=—","Direction=H","UseDPDF=Y")</f>
        <v>3379.1489999999999</v>
      </c>
      <c r="I61" s="12" cm="1">
        <f t="array" ref="I61">_xll.BDH("PH US Equity","CF_NET_CASH_PAID_FOR_AQUIS","FQ3 2020","FQ3 2020","Currency=USD","Period=FQ","BEST_FPERIOD_OVERRIDE=FQ","FILING_STATUS=MR","SCALING_FORMAT=MLN","Sort=A","Dates=H","DateFormat=P","Fill=—","Direction=H","UseDPDF=Y")</f>
        <v>0.45900000000000002</v>
      </c>
      <c r="J61" s="12" cm="1">
        <f t="array" ref="J61">_xll.BDH("PH US Equity","CF_NET_CASH_PAID_FOR_AQUIS","FQ4 2020","FQ4 2020","Currency=USD","Period=FQ","BEST_FPERIOD_OVERRIDE=FQ","FILING_STATUS=MR","SCALING_FORMAT=MLN","Sort=A","Dates=H","DateFormat=P","Fill=—","Direction=H","UseDPDF=Y")</f>
        <v>0</v>
      </c>
      <c r="K61" s="12" t="str" cm="1">
        <f t="array" ref="K61">_xll.BDH("PH US Equity","CF_NET_CASH_PAID_FOR_AQUIS","FQ1 2021","FQ1 2021","Currency=USD","Period=FQ","BEST_FPERIOD_OVERRIDE=FQ","FILING_STATUS=MR","SCALING_FORMAT=MLN","Sort=A","Dates=H","DateFormat=P","Fill=—","Direction=H","UseDPDF=Y")</f>
        <v>—</v>
      </c>
      <c r="L61" s="12" cm="1">
        <f t="array" ref="L61">_xll.BDH("PH US Equity","CF_NET_CASH_PAID_FOR_AQUIS","FQ2 2021","FQ2 2021","Currency=USD","Period=FQ","BEST_FPERIOD_OVERRIDE=FQ","FILING_STATUS=MR","SCALING_FORMAT=MLN","Sort=A","Dates=H","DateFormat=P","Fill=—","Direction=H","UseDPDF=Y")</f>
        <v>0</v>
      </c>
      <c r="M61" s="12" cm="1">
        <f t="array" ref="M61">_xll.BDH("PH US Equity","CF_NET_CASH_PAID_FOR_AQUIS","FQ3 2021","FQ3 2021","Currency=USD","Period=FQ","BEST_FPERIOD_OVERRIDE=FQ","FILING_STATUS=MR","SCALING_FORMAT=MLN","Sort=A","Dates=H","DateFormat=P","Fill=—","Direction=H","UseDPDF=Y")</f>
        <v>0</v>
      </c>
      <c r="N61" s="12" cm="1">
        <f t="array" ref="N61">_xll.BDH("PH US Equity","CF_NET_CASH_PAID_FOR_AQUIS","FQ4 2021","FQ4 2021","Currency=USD","Period=FQ","BEST_FPERIOD_OVERRIDE=FQ","FILING_STATUS=MR","SCALING_FORMAT=MLN","Sort=A","Dates=H","DateFormat=P","Fill=—","Direction=H","UseDPDF=Y")</f>
        <v>0</v>
      </c>
      <c r="O61" s="12" t="str" cm="1">
        <f t="array" ref="O61">_xll.BDH("PH US Equity","CF_NET_CASH_PAID_FOR_AQUIS","FQ1 2022","FQ1 2022","Currency=USD","Period=FQ","BEST_FPERIOD_OVERRIDE=FQ","FILING_STATUS=MR","SCALING_FORMAT=MLN","Sort=A","Dates=H","DateFormat=P","Fill=—","Direction=H","UseDPDF=Y")</f>
        <v>—</v>
      </c>
      <c r="P61" s="12" t="str" cm="1">
        <f t="array" ref="P61">_xll.BDH("PH US Equity","CF_NET_CASH_PAID_FOR_AQUIS","FQ2 2022","FQ2 2022","Currency=USD","Period=FQ","BEST_FPERIOD_OVERRIDE=FQ","FILING_STATUS=MR","SCALING_FORMAT=MLN","Sort=A","Dates=H","DateFormat=P","Fill=—","Direction=H","UseDPDF=Y")</f>
        <v>—</v>
      </c>
      <c r="Q61" s="12" t="str" cm="1">
        <f t="array" ref="Q61">_xll.BDH("PH US Equity","CF_NET_CASH_PAID_FOR_AQUIS","FQ3 2022","FQ3 2022","Currency=USD","Period=FQ","BEST_FPERIOD_OVERRIDE=FQ","FILING_STATUS=MR","SCALING_FORMAT=MLN","Sort=A","Dates=H","DateFormat=P","Fill=—","Direction=H","UseDPDF=Y")</f>
        <v>—</v>
      </c>
      <c r="R61" s="12" t="str" cm="1">
        <f t="array" ref="R61">_xll.BDH("PH US Equity","CF_NET_CASH_PAID_FOR_AQUIS","FQ4 2022","FQ4 2022","Currency=USD","Period=FQ","BEST_FPERIOD_OVERRIDE=FQ","FILING_STATUS=MR","SCALING_FORMAT=MLN","Sort=A","Dates=H","DateFormat=P","Fill=—","Direction=H","UseDPDF=Y")</f>
        <v>—</v>
      </c>
      <c r="S61" s="12" cm="1">
        <f t="array" ref="S61">_xll.BDH("PH US Equity","CF_NET_CASH_PAID_FOR_AQUIS","FQ1 2023","FQ1 2023","Currency=USD","Period=FQ","BEST_FPERIOD_OVERRIDE=FQ","FILING_STATUS=MR","SCALING_FORMAT=MLN","Sort=A","Dates=H","DateFormat=P","Fill=—","Direction=H","UseDPDF=Y")</f>
        <v>7146.11</v>
      </c>
      <c r="T61" s="12" cm="1">
        <f t="array" ref="T61">_xll.BDH("PH US Equity","CF_NET_CASH_PAID_FOR_AQUIS","FQ2 2023","FQ2 2023","Currency=USD","Period=FQ","BEST_FPERIOD_OVERRIDE=FQ","FILING_STATUS=MR","SCALING_FORMAT=MLN","Sort=A","Dates=H","DateFormat=P","Fill=—","Direction=H","UseDPDF=Y")</f>
        <v>0</v>
      </c>
      <c r="U61" s="12" cm="1">
        <f t="array" ref="U61">_xll.BDH("PH US Equity","CF_NET_CASH_PAID_FOR_AQUIS","FQ3 2023","FQ3 2023","Currency=USD","Period=FQ","BEST_FPERIOD_OVERRIDE=FQ","FILING_STATUS=MR","SCALING_FORMAT=MLN","Sort=A","Dates=H","DateFormat=P","Fill=—","Direction=H","UseDPDF=Y")</f>
        <v>0</v>
      </c>
      <c r="V61" s="12" cm="1">
        <f t="array" ref="V61">_xll.BDH("PH US Equity","CF_NET_CASH_PAID_FOR_AQUIS","FQ4 2023","FQ4 2023","Currency=USD","Period=FQ","BEST_FPERIOD_OVERRIDE=FQ","FILING_STATUS=MR","SCALING_FORMAT=MLN","Sort=A","Dates=H","DateFormat=P","Fill=—","Direction=H","UseDPDF=Y")</f>
        <v>0</v>
      </c>
      <c r="W61" s="12" cm="1">
        <f t="array" ref="W61">_xll.BDH("PH US Equity","CF_NET_CASH_PAID_FOR_AQUIS","FQ1 2024","FQ1 2024","Currency=USD","Period=FQ","BEST_FPERIOD_OVERRIDE=FQ","FILING_STATUS=MR","SCALING_FORMAT=MLN","Sort=A","Dates=H","DateFormat=P","Fill=—","Direction=H","UseDPDF=Y")</f>
        <v>0</v>
      </c>
      <c r="X61" s="12" cm="1">
        <f t="array" ref="X61">_xll.BDH("PH US Equity","CF_NET_CASH_PAID_FOR_AQUIS","FQ2 2024","FQ2 2024","Currency=USD","Period=FQ","BEST_FPERIOD_OVERRIDE=FQ","FILING_STATUS=MR","SCALING_FORMAT=MLN","Sort=A","Dates=H","DateFormat=P","Fill=—","Direction=H","UseDPDF=Y")</f>
        <v>0</v>
      </c>
      <c r="Y61" s="12" cm="1">
        <f t="array" ref="Y61">_xll.BDH("PH US Equity","CF_NET_CASH_PAID_FOR_AQUIS","FQ3 2024","FQ3 2024","Currency=USD","Period=FQ","BEST_FPERIOD_OVERRIDE=FQ","FILING_STATUS=MR","SCALING_FORMAT=MLN","Sort=A","Dates=H","DateFormat=P","Fill=—","Direction=H","UseDPDF=Y")</f>
        <v>0</v>
      </c>
      <c r="Z61" s="12" cm="1">
        <f t="array" ref="Z61">_xll.BDH("PH US Equity","CF_NET_CASH_PAID_FOR_AQUIS","FQ4 2024","FQ4 2024","Currency=USD","Period=FQ","BEST_FPERIOD_OVERRIDE=FQ","FILING_STATUS=MR","SCALING_FORMAT=MLN","Sort=A","Dates=H","DateFormat=P","Fill=—","Direction=H","UseDPDF=Y")</f>
        <v>0</v>
      </c>
      <c r="AA61" s="12" t="str" cm="1">
        <f t="array" ref="AA61">_xll.BDH("PH US Equity","CF_NET_CASH_PAID_FOR_AQUIS","FQ1 2025","FQ1 2025","Currency=USD","Period=FQ","BEST_FPERIOD_OVERRIDE=FQ","FILING_STATUS=MR","SCALING_FORMAT=MLN","Sort=A","Dates=H","DateFormat=P","Fill=—","Direction=H","UseDPDF=Y")</f>
        <v>—</v>
      </c>
      <c r="AB61" s="12" t="str" cm="1">
        <f t="array" ref="AB61">_xll.BDH("PH US Equity","CF_NET_CASH_PAID_FOR_AQUIS","FQ2 2025","FQ2 2025","Currency=USD","Period=FQ","BEST_FPERIOD_OVERRIDE=FQ","FILING_STATUS=MR","SCALING_FORMAT=MLN","Sort=A","Dates=H","DateFormat=P","Fill=—","Direction=H","UseDPDF=Y")</f>
        <v>—</v>
      </c>
      <c r="AC61" s="12" t="str" cm="1">
        <f t="array" ref="AC61">_xll.BDH("PH US Equity","CF_NET_CASH_PAID_FOR_AQUIS","FQ3 2025","FQ3 2025","Currency=USD","Period=FQ","BEST_FPERIOD_OVERRIDE=FQ","FILING_STATUS=MR","SCALING_FORMAT=MLN","Sort=A","Dates=H","DateFormat=P","Fill=—","Direction=H","UseDPDF=Y")</f>
        <v>—</v>
      </c>
      <c r="AD61" s="12" t="str" cm="1">
        <f t="array" ref="AD61">_xll.BDH("PH US Equity","CF_NET_CASH_PAID_FOR_AQUIS","FQ4 2025","FQ4 2025","Currency=USD","Period=FQ","BEST_FPERIOD_OVERRIDE=FQ","FILING_STATUS=MR","SCALING_FORMAT=MLN","Sort=A","Dates=H","DateFormat=P","Fill=—","Direction=H","UseDPDF=Y")</f>
        <v>—</v>
      </c>
      <c r="AE61" s="12" cm="1">
        <f t="array" ref="AE61">_xll.BDH("PH US Equity","CF_NET_CASH_PAID_FOR_AQUIS","FQ1 2026","FQ1 2026","Currency=USD","Period=FQ","BEST_FPERIOD_OVERRIDE=FQ","FILING_STATUS=MR","SCALING_FORMAT=MLN","Sort=A","Dates=H","DateFormat=P","Fill=—","Direction=H","UseDPDF=Y")</f>
        <v>1013</v>
      </c>
      <c r="AF61" s="12" cm="1">
        <f t="array" ref="AF61">_xll.BDH("PH US Equity","CF_NET_CASH_PAID_FOR_AQUIS","FQ2 2026","FQ2 2026","Currency=USD","Period=FQ","BEST_FPERIOD_OVERRIDE=FQ","FILING_STATUS=MR","SCALING_FORMAT=MLN","Sort=A","Dates=H","DateFormat=P","Fill=—","Direction=H","UseDPDF=Y")</f>
        <v>0</v>
      </c>
    </row>
    <row r="62" spans="1:32" x14ac:dyDescent="0.25">
      <c r="A62" s="10" t="s">
        <v>154</v>
      </c>
      <c r="B62" s="10" t="s">
        <v>155</v>
      </c>
      <c r="C62" s="12" cm="1">
        <f t="array" ref="C62">_xll.BDH("PH US Equity","CF_FREE_CASH_FLOW","FQ1 2019","FQ1 2019","Currency=USD","Period=FQ","BEST_FPERIOD_OVERRIDE=FQ","FILING_STATUS=MR","SCALING_FORMAT=MLN","Sort=A","Dates=H","DateFormat=P","Fill=—","Direction=H","UseDPDF=Y")</f>
        <v>117.282</v>
      </c>
      <c r="D62" s="12" cm="1">
        <f t="array" ref="D62">_xll.BDH("PH US Equity","CF_FREE_CASH_FLOW","FQ2 2019","FQ2 2019","Currency=USD","Period=FQ","BEST_FPERIOD_OVERRIDE=FQ","FILING_STATUS=MR","SCALING_FORMAT=MLN","Sort=A","Dates=H","DateFormat=P","Fill=—","Direction=H","UseDPDF=Y")</f>
        <v>329.33199999999999</v>
      </c>
      <c r="E62" s="12" cm="1">
        <f t="array" ref="E62">_xll.BDH("PH US Equity","CF_FREE_CASH_FLOW","FQ3 2019","FQ3 2019","Currency=USD","Period=FQ","BEST_FPERIOD_OVERRIDE=FQ","FILING_STATUS=MR","SCALING_FORMAT=MLN","Sort=A","Dates=H","DateFormat=P","Fill=—","Direction=H","UseDPDF=Y")</f>
        <v>500.91199999999998</v>
      </c>
      <c r="F62" s="12" cm="1">
        <f t="array" ref="F62">_xll.BDH("PH US Equity","CF_FREE_CASH_FLOW","FQ4 2019","FQ4 2019","Currency=USD","Period=FQ","BEST_FPERIOD_OVERRIDE=FQ","FILING_STATUS=MR","SCALING_FORMAT=MLN","Sort=A","Dates=H","DateFormat=P","Fill=—","Direction=H","UseDPDF=Y")</f>
        <v>587.52499999999998</v>
      </c>
      <c r="G62" s="12" cm="1">
        <f t="array" ref="G62">_xll.BDH("PH US Equity","CF_FREE_CASH_FLOW","FQ1 2020","FQ1 2020","Currency=USD","Period=FQ","BEST_FPERIOD_OVERRIDE=FQ","FILING_STATUS=MR","SCALING_FORMAT=MLN","Sort=A","Dates=H","DateFormat=P","Fill=—","Direction=H","UseDPDF=Y")</f>
        <v>398.786</v>
      </c>
      <c r="H62" s="12" cm="1">
        <f t="array" ref="H62">_xll.BDH("PH US Equity","CF_FREE_CASH_FLOW","FQ2 2020","FQ2 2020","Currency=USD","Period=FQ","BEST_FPERIOD_OVERRIDE=FQ","FILING_STATUS=MR","SCALING_FORMAT=MLN","Sort=A","Dates=H","DateFormat=P","Fill=—","Direction=H","UseDPDF=Y")</f>
        <v>308.589</v>
      </c>
      <c r="I62" s="12" cm="1">
        <f t="array" ref="I62">_xll.BDH("PH US Equity","CF_FREE_CASH_FLOW","FQ3 2020","FQ3 2020","Currency=USD","Period=FQ","BEST_FPERIOD_OVERRIDE=FQ","FILING_STATUS=MR","SCALING_FORMAT=MLN","Sort=A","Dates=H","DateFormat=P","Fill=—","Direction=H","UseDPDF=Y")</f>
        <v>400.98200000000003</v>
      </c>
      <c r="J62" s="12" cm="1">
        <f t="array" ref="J62">_xll.BDH("PH US Equity","CF_FREE_CASH_FLOW","FQ4 2020","FQ4 2020","Currency=USD","Period=FQ","BEST_FPERIOD_OVERRIDE=FQ","FILING_STATUS=MR","SCALING_FORMAT=MLN","Sort=A","Dates=H","DateFormat=P","Fill=—","Direction=H","UseDPDF=Y")</f>
        <v>730.00099999999998</v>
      </c>
      <c r="K62" s="12" cm="1">
        <f t="array" ref="K62">_xll.BDH("PH US Equity","CF_FREE_CASH_FLOW","FQ1 2021","FQ1 2021","Currency=USD","Period=FQ","BEST_FPERIOD_OVERRIDE=FQ","FILING_STATUS=MR","SCALING_FORMAT=MLN","Sort=A","Dates=H","DateFormat=P","Fill=—","Direction=H","UseDPDF=Y")</f>
        <v>695.25699999999995</v>
      </c>
      <c r="L62" s="12" cm="1">
        <f t="array" ref="L62">_xll.BDH("PH US Equity","CF_FREE_CASH_FLOW","FQ2 2021","FQ2 2021","Currency=USD","Period=FQ","BEST_FPERIOD_OVERRIDE=FQ","FILING_STATUS=MR","SCALING_FORMAT=MLN","Sort=A","Dates=H","DateFormat=P","Fill=—","Direction=H","UseDPDF=Y")</f>
        <v>565.82399999999996</v>
      </c>
      <c r="M62" s="12" cm="1">
        <f t="array" ref="M62">_xll.BDH("PH US Equity","CF_FREE_CASH_FLOW","FQ3 2021","FQ3 2021","Currency=USD","Period=FQ","BEST_FPERIOD_OVERRIDE=FQ","FILING_STATUS=MR","SCALING_FORMAT=MLN","Sort=A","Dates=H","DateFormat=P","Fill=—","Direction=H","UseDPDF=Y")</f>
        <v>484.26</v>
      </c>
      <c r="N62" s="12" cm="1">
        <f t="array" ref="N62">_xll.BDH("PH US Equity","CF_FREE_CASH_FLOW","FQ4 2021","FQ4 2021","Currency=USD","Period=FQ","BEST_FPERIOD_OVERRIDE=FQ","FILING_STATUS=MR","SCALING_FORMAT=MLN","Sort=A","Dates=H","DateFormat=P","Fill=—","Direction=H","UseDPDF=Y")</f>
        <v>619.70299999999997</v>
      </c>
      <c r="O62" s="12" cm="1">
        <f t="array" ref="O62">_xll.BDH("PH US Equity","CF_FREE_CASH_FLOW","FQ1 2022","FQ1 2022","Currency=USD","Period=FQ","BEST_FPERIOD_OVERRIDE=FQ","FILING_STATUS=MR","SCALING_FORMAT=MLN","Sort=A","Dates=H","DateFormat=P","Fill=—","Direction=H","UseDPDF=Y")</f>
        <v>376.15600000000001</v>
      </c>
      <c r="P62" s="12" cm="1">
        <f t="array" ref="P62">_xll.BDH("PH US Equity","CF_FREE_CASH_FLOW","FQ2 2022","FQ2 2022","Currency=USD","Period=FQ","BEST_FPERIOD_OVERRIDE=FQ","FILING_STATUS=MR","SCALING_FORMAT=MLN","Sort=A","Dates=H","DateFormat=P","Fill=—","Direction=H","UseDPDF=Y")</f>
        <v>523.70699999999999</v>
      </c>
      <c r="Q62" s="12" cm="1">
        <f t="array" ref="Q62">_xll.BDH("PH US Equity","CF_FREE_CASH_FLOW","FQ3 2022","FQ3 2022","Currency=USD","Period=FQ","BEST_FPERIOD_OVERRIDE=FQ","FILING_STATUS=MR","SCALING_FORMAT=MLN","Sort=A","Dates=H","DateFormat=P","Fill=—","Direction=H","UseDPDF=Y")</f>
        <v>489.71100000000001</v>
      </c>
      <c r="R62" s="12" cm="1">
        <f t="array" ref="R62">_xll.BDH("PH US Equity","CF_FREE_CASH_FLOW","FQ4 2022","FQ4 2022","Currency=USD","Period=FQ","BEST_FPERIOD_OVERRIDE=FQ","FILING_STATUS=MR","SCALING_FORMAT=MLN","Sort=A","Dates=H","DateFormat=P","Fill=—","Direction=H","UseDPDF=Y")</f>
        <v>822.11199999999997</v>
      </c>
      <c r="S62" s="12" cm="1">
        <f t="array" ref="S62">_xll.BDH("PH US Equity","CF_FREE_CASH_FLOW","FQ1 2023","FQ1 2023","Currency=USD","Period=FQ","BEST_FPERIOD_OVERRIDE=FQ","FILING_STATUS=MR","SCALING_FORMAT=MLN","Sort=A","Dates=H","DateFormat=P","Fill=—","Direction=H","UseDPDF=Y")</f>
        <v>373.803</v>
      </c>
      <c r="T62" s="12" cm="1">
        <f t="array" ref="T62">_xll.BDH("PH US Equity","CF_FREE_CASH_FLOW","FQ2 2023","FQ2 2023","Currency=USD","Period=FQ","BEST_FPERIOD_OVERRIDE=FQ","FILING_STATUS=MR","SCALING_FORMAT=MLN","Sort=A","Dates=H","DateFormat=P","Fill=—","Direction=H","UseDPDF=Y")</f>
        <v>516.62699999999995</v>
      </c>
      <c r="U62" s="12" cm="1">
        <f t="array" ref="U62">_xll.BDH("PH US Equity","CF_FREE_CASH_FLOW","FQ3 2023","FQ3 2023","Currency=USD","Period=FQ","BEST_FPERIOD_OVERRIDE=FQ","FILING_STATUS=MR","SCALING_FORMAT=MLN","Sort=A","Dates=H","DateFormat=P","Fill=—","Direction=H","UseDPDF=Y")</f>
        <v>631.86099999999999</v>
      </c>
      <c r="V62" s="12" cm="1">
        <f t="array" ref="V62">_xll.BDH("PH US Equity","CF_FREE_CASH_FLOW","FQ4 2023","FQ4 2023","Currency=USD","Period=FQ","BEST_FPERIOD_OVERRIDE=FQ","FILING_STATUS=MR","SCALING_FORMAT=MLN","Sort=A","Dates=H","DateFormat=P","Fill=—","Direction=H","UseDPDF=Y")</f>
        <v>1076.8920000000001</v>
      </c>
      <c r="W62" s="12" cm="1">
        <f t="array" ref="W62">_xll.BDH("PH US Equity","CF_FREE_CASH_FLOW","FQ1 2024","FQ1 2024","Currency=USD","Period=FQ","BEST_FPERIOD_OVERRIDE=FQ","FILING_STATUS=MR","SCALING_FORMAT=MLN","Sort=A","Dates=H","DateFormat=P","Fill=—","Direction=H","UseDPDF=Y")</f>
        <v>552.21299999999997</v>
      </c>
      <c r="X62" s="12" cm="1">
        <f t="array" ref="X62">_xll.BDH("PH US Equity","CF_FREE_CASH_FLOW","FQ2 2024","FQ2 2024","Currency=USD","Period=FQ","BEST_FPERIOD_OVERRIDE=FQ","FILING_STATUS=MR","SCALING_FORMAT=MLN","Sort=A","Dates=H","DateFormat=P","Fill=—","Direction=H","UseDPDF=Y")</f>
        <v>595.65700000000004</v>
      </c>
      <c r="Y62" s="12" cm="1">
        <f t="array" ref="Y62">_xll.BDH("PH US Equity","CF_FREE_CASH_FLOW","FQ3 2024","FQ3 2024","Currency=USD","Period=FQ","BEST_FPERIOD_OVERRIDE=FQ","FILING_STATUS=MR","SCALING_FORMAT=MLN","Sort=A","Dates=H","DateFormat=P","Fill=—","Direction=H","UseDPDF=Y")</f>
        <v>715.87900000000002</v>
      </c>
      <c r="Z62" s="12" cm="1">
        <f t="array" ref="Z62">_xll.BDH("PH US Equity","CF_FREE_CASH_FLOW","FQ4 2024","FQ4 2024","Currency=USD","Period=FQ","BEST_FPERIOD_OVERRIDE=FQ","FILING_STATUS=MR","SCALING_FORMAT=MLN","Sort=A","Dates=H","DateFormat=P","Fill=—","Direction=H","UseDPDF=Y")</f>
        <v>1120.4680000000001</v>
      </c>
      <c r="AA62" s="12" cm="1">
        <f t="array" ref="AA62">_xll.BDH("PH US Equity","CF_FREE_CASH_FLOW","FQ1 2025","FQ1 2025","Currency=USD","Period=FQ","BEST_FPERIOD_OVERRIDE=FQ","FILING_STATUS=MR","SCALING_FORMAT=MLN","Sort=A","Dates=H","DateFormat=P","Fill=—","Direction=H","UseDPDF=Y")</f>
        <v>648.673</v>
      </c>
      <c r="AB62" s="12" cm="1">
        <f t="array" ref="AB62">_xll.BDH("PH US Equity","CF_FREE_CASH_FLOW","FQ2 2025","FQ2 2025","Currency=USD","Period=FQ","BEST_FPERIOD_OVERRIDE=FQ","FILING_STATUS=MR","SCALING_FORMAT=MLN","Sort=A","Dates=H","DateFormat=P","Fill=—","Direction=H","UseDPDF=Y")</f>
        <v>813.55499999999995</v>
      </c>
      <c r="AC62" s="12" cm="1">
        <f t="array" ref="AC62">_xll.BDH("PH US Equity","CF_FREE_CASH_FLOW","FQ3 2025","FQ3 2025","Currency=USD","Period=FQ","BEST_FPERIOD_OVERRIDE=FQ","FILING_STATUS=MR","SCALING_FORMAT=MLN","Sort=A","Dates=H","DateFormat=P","Fill=—","Direction=H","UseDPDF=Y")</f>
        <v>542.38</v>
      </c>
      <c r="AD62" s="12" cm="1">
        <f t="array" ref="AD62">_xll.BDH("PH US Equity","CF_FREE_CASH_FLOW","FQ4 2025","FQ4 2025","Currency=USD","Period=FQ","BEST_FPERIOD_OVERRIDE=FQ","FILING_STATUS=MR","SCALING_FORMAT=MLN","Sort=A","Dates=H","DateFormat=P","Fill=—","Direction=H","UseDPDF=Y")</f>
        <v>1336.3920000000001</v>
      </c>
      <c r="AE62" s="12" cm="1">
        <f t="array" ref="AE62">_xll.BDH("PH US Equity","CF_FREE_CASH_FLOW","FQ1 2026","FQ1 2026","Currency=USD","Period=FQ","BEST_FPERIOD_OVERRIDE=FQ","FILING_STATUS=MR","SCALING_FORMAT=MLN","Sort=A","Dates=H","DateFormat=P","Fill=—","Direction=H","UseDPDF=Y")</f>
        <v>693</v>
      </c>
      <c r="AF62" s="12" cm="1">
        <f t="array" ref="AF62">_xll.BDH("PH US Equity","CF_FREE_CASH_FLOW","FQ2 2026","FQ2 2026","Currency=USD","Period=FQ","BEST_FPERIOD_OVERRIDE=FQ","FILING_STATUS=MR","SCALING_FORMAT=MLN","Sort=A","Dates=H","DateFormat=P","Fill=—","Direction=H","UseDPDF=Y")</f>
        <v>768</v>
      </c>
    </row>
    <row r="63" spans="1:32" x14ac:dyDescent="0.25">
      <c r="A63" s="10" t="s">
        <v>156</v>
      </c>
      <c r="B63" s="10" t="s">
        <v>157</v>
      </c>
      <c r="C63" s="12" cm="1">
        <f t="array" ref="C63">_xll.BDH("PH US Equity","CF_FREE_CASH_FLOW_FIRM","FQ1 2019","FQ1 2019","Currency=USD","Period=FQ","BEST_FPERIOD_OVERRIDE=FQ","FILING_STATUS=MR","SCALING_FORMAT=MLN","FA_ADJUSTED=GAAP","Sort=A","Dates=H","DateFormat=P","Fill=—","Direction=H","UseDPDF=Y")</f>
        <v>153.53639999999999</v>
      </c>
      <c r="D63" s="12" cm="1">
        <f t="array" ref="D63">_xll.BDH("PH US Equity","CF_FREE_CASH_FLOW_FIRM","FQ2 2019","FQ2 2019","Currency=USD","Period=FQ","BEST_FPERIOD_OVERRIDE=FQ","FILING_STATUS=MR","SCALING_FORMAT=MLN","FA_ADJUSTED=GAAP","Sort=A","Dates=H","DateFormat=P","Fill=—","Direction=H","UseDPDF=Y")</f>
        <v>363.70830000000001</v>
      </c>
      <c r="E63" s="12" cm="1">
        <f t="array" ref="E63">_xll.BDH("PH US Equity","CF_FREE_CASH_FLOW_FIRM","FQ3 2019","FQ3 2019","Currency=USD","Period=FQ","BEST_FPERIOD_OVERRIDE=FQ","FILING_STATUS=MR","SCALING_FORMAT=MLN","FA_ADJUSTED=GAAP","Sort=A","Dates=H","DateFormat=P","Fill=—","Direction=H","UseDPDF=Y")</f>
        <v>538.38789999999995</v>
      </c>
      <c r="F63" s="12" cm="1">
        <f t="array" ref="F63">_xll.BDH("PH US Equity","CF_FREE_CASH_FLOW_FIRM","FQ4 2019","FQ4 2019","Currency=USD","Period=FQ","BEST_FPERIOD_OVERRIDE=FQ","FILING_STATUS=MR","SCALING_FORMAT=MLN","FA_ADJUSTED=GAAP","Sort=A","Dates=H","DateFormat=P","Fill=—","Direction=H","UseDPDF=Y")</f>
        <v>627.88099999999997</v>
      </c>
      <c r="G63" s="12" cm="1">
        <f t="array" ref="G63">_xll.BDH("PH US Equity","CF_FREE_CASH_FLOW_FIRM","FQ1 2020","FQ1 2020","Currency=USD","Period=FQ","BEST_FPERIOD_OVERRIDE=FQ","FILING_STATUS=MR","SCALING_FORMAT=MLN","FA_ADJUSTED=GAAP","Sort=A","Dates=H","DateFormat=P","Fill=—","Direction=H","UseDPDF=Y")</f>
        <v>453.5421</v>
      </c>
      <c r="H63" s="12" cm="1">
        <f t="array" ref="H63">_xll.BDH("PH US Equity","CF_FREE_CASH_FLOW_FIRM","FQ2 2020","FQ2 2020","Currency=USD","Period=FQ","BEST_FPERIOD_OVERRIDE=FQ","FILING_STATUS=MR","SCALING_FORMAT=MLN","FA_ADJUSTED=GAAP","Sort=A","Dates=H","DateFormat=P","Fill=—","Direction=H","UseDPDF=Y")</f>
        <v>375.16250000000002</v>
      </c>
      <c r="I63" s="12" cm="1">
        <f t="array" ref="I63">_xll.BDH("PH US Equity","CF_FREE_CASH_FLOW_FIRM","FQ3 2020","FQ3 2020","Currency=USD","Period=FQ","BEST_FPERIOD_OVERRIDE=FQ","FILING_STATUS=MR","SCALING_FORMAT=MLN","FA_ADJUSTED=GAAP","Sort=A","Dates=H","DateFormat=P","Fill=—","Direction=H","UseDPDF=Y")</f>
        <v>466.31310000000002</v>
      </c>
      <c r="J63" s="12" cm="1">
        <f t="array" ref="J63">_xll.BDH("PH US Equity","CF_FREE_CASH_FLOW_FIRM","FQ4 2020","FQ4 2020","Currency=USD","Period=FQ","BEST_FPERIOD_OVERRIDE=FQ","FILING_STATUS=MR","SCALING_FORMAT=MLN","FA_ADJUSTED=GAAP","Sort=A","Dates=H","DateFormat=P","Fill=—","Direction=H","UseDPDF=Y")</f>
        <v>789.55629999999996</v>
      </c>
      <c r="K63" s="12" cm="1">
        <f t="array" ref="K63">_xll.BDH("PH US Equity","CF_FREE_CASH_FLOW_FIRM","FQ1 2021","FQ1 2021","Currency=USD","Period=FQ","BEST_FPERIOD_OVERRIDE=FQ","FILING_STATUS=MR","SCALING_FORMAT=MLN","FA_ADJUSTED=GAAP","Sort=A","Dates=H","DateFormat=P","Fill=—","Direction=H","UseDPDF=Y")</f>
        <v>746.3587</v>
      </c>
      <c r="L63" s="12" cm="1">
        <f t="array" ref="L63">_xll.BDH("PH US Equity","CF_FREE_CASH_FLOW_FIRM","FQ2 2021","FQ2 2021","Currency=USD","Period=FQ","BEST_FPERIOD_OVERRIDE=FQ","FILING_STATUS=MR","SCALING_FORMAT=MLN","FA_ADJUSTED=GAAP","Sort=A","Dates=H","DateFormat=P","Fill=—","Direction=H","UseDPDF=Y")</f>
        <v>614.71489999999994</v>
      </c>
      <c r="M63" s="12" cm="1">
        <f t="array" ref="M63">_xll.BDH("PH US Equity","CF_FREE_CASH_FLOW_FIRM","FQ3 2021","FQ3 2021","Currency=USD","Period=FQ","BEST_FPERIOD_OVERRIDE=FQ","FILING_STATUS=MR","SCALING_FORMAT=MLN","FA_ADJUSTED=GAAP","Sort=A","Dates=H","DateFormat=P","Fill=—","Direction=H","UseDPDF=Y")</f>
        <v>532.29139999999995</v>
      </c>
      <c r="N63" s="12" cm="1">
        <f t="array" ref="N63">_xll.BDH("PH US Equity","CF_FREE_CASH_FLOW_FIRM","FQ4 2021","FQ4 2021","Currency=USD","Period=FQ","BEST_FPERIOD_OVERRIDE=FQ","FILING_STATUS=MR","SCALING_FORMAT=MLN","FA_ADJUSTED=GAAP","Sort=A","Dates=H","DateFormat=P","Fill=—","Direction=H","UseDPDF=Y")</f>
        <v>666.0489</v>
      </c>
      <c r="O63" s="12" cm="1">
        <f t="array" ref="O63">_xll.BDH("PH US Equity","CF_FREE_CASH_FLOW_FIRM","FQ1 2022","FQ1 2022","Currency=USD","Period=FQ","BEST_FPERIOD_OVERRIDE=FQ","FILING_STATUS=MR","SCALING_FORMAT=MLN","FA_ADJUSTED=GAAP","Sort=A","Dates=H","DateFormat=P","Fill=—","Direction=H","UseDPDF=Y")</f>
        <v>423.02010000000001</v>
      </c>
      <c r="P63" s="12" cm="1">
        <f t="array" ref="P63">_xll.BDH("PH US Equity","CF_FREE_CASH_FLOW_FIRM","FQ2 2022","FQ2 2022","Currency=USD","Period=FQ","BEST_FPERIOD_OVERRIDE=FQ","FILING_STATUS=MR","SCALING_FORMAT=MLN","FA_ADJUSTED=GAAP","Sort=A","Dates=H","DateFormat=P","Fill=—","Direction=H","UseDPDF=Y")</f>
        <v>572.22810000000004</v>
      </c>
      <c r="Q63" s="12" cm="1">
        <f t="array" ref="Q63">_xll.BDH("PH US Equity","CF_FREE_CASH_FLOW_FIRM","FQ3 2022","FQ3 2022","Currency=USD","Period=FQ","BEST_FPERIOD_OVERRIDE=FQ","FILING_STATUS=MR","SCALING_FORMAT=MLN","FA_ADJUSTED=GAAP","Sort=A","Dates=H","DateFormat=P","Fill=—","Direction=H","UseDPDF=Y")</f>
        <v>540.45929999999998</v>
      </c>
      <c r="R63" s="12" cm="1">
        <f t="array" ref="R63">_xll.BDH("PH US Equity","CF_FREE_CASH_FLOW_FIRM","FQ4 2022","FQ4 2022","Currency=USD","Period=FQ","BEST_FPERIOD_OVERRIDE=FQ","FILING_STATUS=MR","SCALING_FORMAT=MLN","FA_ADJUSTED=GAAP","Sort=A","Dates=H","DateFormat=P","Fill=—","Direction=H","UseDPDF=Y")</f>
        <v>880.22320000000002</v>
      </c>
      <c r="S63" s="12" cm="1">
        <f t="array" ref="S63">_xll.BDH("PH US Equity","CF_FREE_CASH_FLOW_FIRM","FQ1 2023","FQ1 2023","Currency=USD","Period=FQ","BEST_FPERIOD_OVERRIDE=FQ","FILING_STATUS=MR","SCALING_FORMAT=MLN","FA_ADJUSTED=GAAP","Sort=A","Dates=H","DateFormat=P","Fill=—","Direction=H","UseDPDF=Y")</f>
        <v>464.6123</v>
      </c>
      <c r="T63" s="12" cm="1">
        <f t="array" ref="T63">_xll.BDH("PH US Equity","CF_FREE_CASH_FLOW_FIRM","FQ2 2023","FQ2 2023","Currency=USD","Period=FQ","BEST_FPERIOD_OVERRIDE=FQ","FILING_STATUS=MR","SCALING_FORMAT=MLN","FA_ADJUSTED=GAAP","Sort=A","Dates=H","DateFormat=P","Fill=—","Direction=H","UseDPDF=Y")</f>
        <v>629.07259999999997</v>
      </c>
      <c r="U63" s="12" cm="1">
        <f t="array" ref="U63">_xll.BDH("PH US Equity","CF_FREE_CASH_FLOW_FIRM","FQ3 2023","FQ3 2023","Currency=USD","Period=FQ","BEST_FPERIOD_OVERRIDE=FQ","FILING_STATUS=MR","SCALING_FORMAT=MLN","FA_ADJUSTED=GAAP","Sort=A","Dates=H","DateFormat=P","Fill=—","Direction=H","UseDPDF=Y")</f>
        <v>750.61300000000006</v>
      </c>
      <c r="V63" s="12" cm="1">
        <f t="array" ref="V63">_xll.BDH("PH US Equity","CF_FREE_CASH_FLOW_FIRM","FQ4 2023","FQ4 2023","Currency=USD","Period=FQ","BEST_FPERIOD_OVERRIDE=FQ","FILING_STATUS=MR","SCALING_FORMAT=MLN","FA_ADJUSTED=GAAP","Sort=A","Dates=H","DateFormat=P","Fill=—","Direction=H","UseDPDF=Y")</f>
        <v>1200.2873</v>
      </c>
      <c r="W63" s="12" cm="1">
        <f t="array" ref="W63">_xll.BDH("PH US Equity","CF_FREE_CASH_FLOW_FIRM","FQ1 2024","FQ1 2024","Currency=USD","Period=FQ","BEST_FPERIOD_OVERRIDE=FQ","FILING_STATUS=MR","SCALING_FORMAT=MLN","FA_ADJUSTED=GAAP","Sort=A","Dates=H","DateFormat=P","Fill=—","Direction=H","UseDPDF=Y")</f>
        <v>658.92269999999996</v>
      </c>
      <c r="X63" s="12" cm="1">
        <f t="array" ref="X63">_xll.BDH("PH US Equity","CF_FREE_CASH_FLOW_FIRM","FQ2 2024","FQ2 2024","Currency=USD","Period=FQ","BEST_FPERIOD_OVERRIDE=FQ","FILING_STATUS=MR","SCALING_FORMAT=MLN","FA_ADJUSTED=GAAP","Sort=A","Dates=H","DateFormat=P","Fill=—","Direction=H","UseDPDF=Y")</f>
        <v>697.02610000000004</v>
      </c>
      <c r="Y63" s="12" cm="1">
        <f t="array" ref="Y63">_xll.BDH("PH US Equity","CF_FREE_CASH_FLOW_FIRM","FQ3 2024","FQ3 2024","Currency=USD","Period=FQ","BEST_FPERIOD_OVERRIDE=FQ","FILING_STATUS=MR","SCALING_FORMAT=MLN","FA_ADJUSTED=GAAP","Sort=A","Dates=H","DateFormat=P","Fill=—","Direction=H","UseDPDF=Y")</f>
        <v>813.61379999999997</v>
      </c>
      <c r="Z63" s="12" cm="1">
        <f t="array" ref="Z63">_xll.BDH("PH US Equity","CF_FREE_CASH_FLOW_FIRM","FQ4 2024","FQ4 2024","Currency=USD","Period=FQ","BEST_FPERIOD_OVERRIDE=FQ","FILING_STATUS=MR","SCALING_FORMAT=MLN","FA_ADJUSTED=GAAP","Sort=A","Dates=H","DateFormat=P","Fill=—","Direction=H","UseDPDF=Y")</f>
        <v>1215.4338</v>
      </c>
      <c r="AA63" s="12" cm="1">
        <f t="array" ref="AA63">_xll.BDH("PH US Equity","CF_FREE_CASH_FLOW_FIRM","FQ1 2025","FQ1 2025","Currency=USD","Period=FQ","BEST_FPERIOD_OVERRIDE=FQ","FILING_STATUS=MR","SCALING_FORMAT=MLN","FA_ADJUSTED=GAAP","Sort=A","Dates=H","DateFormat=P","Fill=—","Direction=H","UseDPDF=Y")</f>
        <v>738.93640000000005</v>
      </c>
      <c r="AB63" s="12" cm="1">
        <f t="array" ref="AB63">_xll.BDH("PH US Equity","CF_FREE_CASH_FLOW_FIRM","FQ2 2025","FQ2 2025","Currency=USD","Period=FQ","BEST_FPERIOD_OVERRIDE=FQ","FILING_STATUS=MR","SCALING_FORMAT=MLN","FA_ADJUSTED=GAAP","Sort=A","Dates=H","DateFormat=P","Fill=—","Direction=H","UseDPDF=Y")</f>
        <v>895.57680000000005</v>
      </c>
      <c r="AC63" s="12" cm="1">
        <f t="array" ref="AC63">_xll.BDH("PH US Equity","CF_FREE_CASH_FLOW_FIRM","FQ3 2025","FQ3 2025","Currency=USD","Period=FQ","BEST_FPERIOD_OVERRIDE=FQ","FILING_STATUS=MR","SCALING_FORMAT=MLN","FA_ADJUSTED=GAAP","Sort=A","Dates=H","DateFormat=P","Fill=—","Direction=H","UseDPDF=Y")</f>
        <v>635.0788</v>
      </c>
      <c r="AD63" s="12" cm="1">
        <f t="array" ref="AD63">_xll.BDH("PH US Equity","CF_FREE_CASH_FLOW_FIRM","FQ4 2025","FQ4 2025","Currency=USD","Period=FQ","BEST_FPERIOD_OVERRIDE=FQ","FILING_STATUS=MR","SCALING_FORMAT=MLN","FA_ADJUSTED=GAAP","Sort=A","Dates=H","DateFormat=P","Fill=—","Direction=H","UseDPDF=Y")</f>
        <v>1421.7112999999999</v>
      </c>
      <c r="AE63" s="12" cm="1">
        <f t="array" ref="AE63">_xll.BDH("PH US Equity","CF_FREE_CASH_FLOW_FIRM","FQ1 2026","FQ1 2026","Currency=USD","Period=FQ","BEST_FPERIOD_OVERRIDE=FQ","FILING_STATUS=MR","SCALING_FORMAT=MLN","FA_ADJUSTED=GAAP","Sort=A","Dates=H","DateFormat=P","Fill=—","Direction=H","UseDPDF=Y")</f>
        <v>771.4692</v>
      </c>
      <c r="AF63" s="12" cm="1">
        <f t="array" ref="AF63">_xll.BDH("PH US Equity","CF_FREE_CASH_FLOW_FIRM","FQ2 2026","FQ2 2026","Currency=USD","Period=FQ","BEST_FPERIOD_OVERRIDE=FQ","FILING_STATUS=MR","SCALING_FORMAT=MLN","FA_ADJUSTED=GAAP","Sort=A","Dates=H","DateFormat=P","Fill=—","Direction=H","UseDPDF=Y")</f>
        <v>852.18230000000005</v>
      </c>
    </row>
    <row r="64" spans="1:32" x14ac:dyDescent="0.25">
      <c r="A64" s="10" t="s">
        <v>158</v>
      </c>
      <c r="B64" s="10" t="s">
        <v>159</v>
      </c>
      <c r="C64" s="12" cm="1">
        <f t="array" ref="C64">_xll.BDH("PH US Equity","FREE_CASH_FLOW_EQUITY","FQ1 2019","FQ1 2019","Currency=USD","Period=FQ","BEST_FPERIOD_OVERRIDE=FQ","FILING_STATUS=MR","SCALING_FORMAT=MLN","Sort=A","Dates=H","DateFormat=P","Fill=—","Direction=H","UseDPDF=Y")</f>
        <v>286.72800000000001</v>
      </c>
      <c r="D64" s="12" cm="1">
        <f t="array" ref="D64">_xll.BDH("PH US Equity","FREE_CASH_FLOW_EQUITY","FQ2 2019","FQ2 2019","Currency=USD","Period=FQ","BEST_FPERIOD_OVERRIDE=FQ","FILING_STATUS=MR","SCALING_FORMAT=MLN","Sort=A","Dates=H","DateFormat=P","Fill=—","Direction=H","UseDPDF=Y")</f>
        <v>858.29499999999996</v>
      </c>
      <c r="E64" s="12" cm="1">
        <f t="array" ref="E64">_xll.BDH("PH US Equity","FREE_CASH_FLOW_EQUITY","FQ3 2019","FQ3 2019","Currency=USD","Period=FQ","BEST_FPERIOD_OVERRIDE=FQ","FILING_STATUS=MR","SCALING_FORMAT=MLN","Sort=A","Dates=H","DateFormat=P","Fill=—","Direction=H","UseDPDF=Y")</f>
        <v>376.78</v>
      </c>
      <c r="F64" s="12" cm="1">
        <f t="array" ref="F64">_xll.BDH("PH US Equity","FREE_CASH_FLOW_EQUITY","FQ4 2019","FQ4 2019","Currency=USD","Period=FQ","BEST_FPERIOD_OVERRIDE=FQ","FILING_STATUS=MR","SCALING_FORMAT=MLN","Sort=A","Dates=H","DateFormat=P","Fill=—","Direction=H","UseDPDF=Y")</f>
        <v>2390.6680000000001</v>
      </c>
      <c r="G64" s="12" cm="1">
        <f t="array" ref="G64">_xll.BDH("PH US Equity","FREE_CASH_FLOW_EQUITY","FQ1 2020","FQ1 2020","Currency=USD","Period=FQ","BEST_FPERIOD_OVERRIDE=FQ","FILING_STATUS=MR","SCALING_FORMAT=MLN","Sort=A","Dates=H","DateFormat=P","Fill=—","Direction=H","UseDPDF=Y")</f>
        <v>2441.7840000000001</v>
      </c>
      <c r="H64" s="12" cm="1">
        <f t="array" ref="H64">_xll.BDH("PH US Equity","FREE_CASH_FLOW_EQUITY","FQ2 2020","FQ2 2020","Currency=USD","Period=FQ","BEST_FPERIOD_OVERRIDE=FQ","FILING_STATUS=MR","SCALING_FORMAT=MLN","Sort=A","Dates=H","DateFormat=P","Fill=—","Direction=H","UseDPDF=Y")</f>
        <v>702.80600000000004</v>
      </c>
      <c r="I64" s="12" cm="1">
        <f t="array" ref="I64">_xll.BDH("PH US Equity","FREE_CASH_FLOW_EQUITY","FQ3 2020","FQ3 2020","Currency=USD","Period=FQ","BEST_FPERIOD_OVERRIDE=FQ","FILING_STATUS=MR","SCALING_FORMAT=MLN","Sort=A","Dates=H","DateFormat=P","Fill=—","Direction=H","UseDPDF=Y")</f>
        <v>-205.625</v>
      </c>
      <c r="J64" s="12" cm="1">
        <f t="array" ref="J64">_xll.BDH("PH US Equity","FREE_CASH_FLOW_EQUITY","FQ4 2020","FQ4 2020","Currency=USD","Period=FQ","BEST_FPERIOD_OVERRIDE=FQ","FILING_STATUS=MR","SCALING_FORMAT=MLN","Sort=A","Dates=H","DateFormat=P","Fill=—","Direction=H","UseDPDF=Y")</f>
        <v>43.512</v>
      </c>
      <c r="K64" s="12" cm="1">
        <f t="array" ref="K64">_xll.BDH("PH US Equity","FREE_CASH_FLOW_EQUITY","FQ1 2021","FQ1 2021","Currency=USD","Period=FQ","BEST_FPERIOD_OVERRIDE=FQ","FILING_STATUS=MR","SCALING_FORMAT=MLN","Sort=A","Dates=H","DateFormat=P","Fill=—","Direction=H","UseDPDF=Y")</f>
        <v>144.405</v>
      </c>
      <c r="L64" s="12" cm="1">
        <f t="array" ref="L64">_xll.BDH("PH US Equity","FREE_CASH_FLOW_EQUITY","FQ2 2021","FQ2 2021","Currency=USD","Period=FQ","BEST_FPERIOD_OVERRIDE=FQ","FILING_STATUS=MR","SCALING_FORMAT=MLN","Sort=A","Dates=H","DateFormat=P","Fill=—","Direction=H","UseDPDF=Y")</f>
        <v>-83.244</v>
      </c>
      <c r="M64" s="12" cm="1">
        <f t="array" ref="M64">_xll.BDH("PH US Equity","FREE_CASH_FLOW_EQUITY","FQ3 2021","FQ3 2021","Currency=USD","Period=FQ","BEST_FPERIOD_OVERRIDE=FQ","FILING_STATUS=MR","SCALING_FORMAT=MLN","Sort=A","Dates=H","DateFormat=P","Fill=—","Direction=H","UseDPDF=Y")</f>
        <v>68.102000000000004</v>
      </c>
      <c r="N64" s="12" cm="1">
        <f t="array" ref="N64">_xll.BDH("PH US Equity","FREE_CASH_FLOW_EQUITY","FQ4 2021","FQ4 2021","Currency=USD","Period=FQ","BEST_FPERIOD_OVERRIDE=FQ","FILING_STATUS=MR","SCALING_FORMAT=MLN","Sort=A","Dates=H","DateFormat=P","Fill=—","Direction=H","UseDPDF=Y")</f>
        <v>442.34</v>
      </c>
      <c r="O64" s="12" cm="1">
        <f t="array" ref="O64">_xll.BDH("PH US Equity","FREE_CASH_FLOW_EQUITY","FQ1 2022","FQ1 2022","Currency=USD","Period=FQ","BEST_FPERIOD_OVERRIDE=FQ","FILING_STATUS=MR","SCALING_FORMAT=MLN","Sort=A","Dates=H","DateFormat=P","Fill=—","Direction=H","UseDPDF=Y")</f>
        <v>383.31200000000001</v>
      </c>
      <c r="P64" s="12" cm="1">
        <f t="array" ref="P64">_xll.BDH("PH US Equity","FREE_CASH_FLOW_EQUITY","FQ2 2022","FQ2 2022","Currency=USD","Period=FQ","BEST_FPERIOD_OVERRIDE=FQ","FILING_STATUS=MR","SCALING_FORMAT=MLN","Sort=A","Dates=H","DateFormat=P","Fill=—","Direction=H","UseDPDF=Y")</f>
        <v>2439.7869999999998</v>
      </c>
      <c r="Q64" s="12" cm="1">
        <f t="array" ref="Q64">_xll.BDH("PH US Equity","FREE_CASH_FLOW_EQUITY","FQ3 2022","FQ3 2022","Currency=USD","Period=FQ","BEST_FPERIOD_OVERRIDE=FQ","FILING_STATUS=MR","SCALING_FORMAT=MLN","Sort=A","Dates=H","DateFormat=P","Fill=—","Direction=H","UseDPDF=Y")</f>
        <v>218.23699999999999</v>
      </c>
      <c r="R64" s="12" cm="1">
        <f t="array" ref="R64">_xll.BDH("PH US Equity","FREE_CASH_FLOW_EQUITY","FQ4 2022","FQ4 2022","Currency=USD","Period=FQ","BEST_FPERIOD_OVERRIDE=FQ","FILING_STATUS=MR","SCALING_FORMAT=MLN","Sort=A","Dates=H","DateFormat=P","Fill=—","Direction=H","UseDPDF=Y")</f>
        <v>4211.0479999999998</v>
      </c>
      <c r="S64" s="12" cm="1">
        <f t="array" ref="S64">_xll.BDH("PH US Equity","FREE_CASH_FLOW_EQUITY","FQ1 2023","FQ1 2023","Currency=USD","Period=FQ","BEST_FPERIOD_OVERRIDE=FQ","FILING_STATUS=MR","SCALING_FORMAT=MLN","Sort=A","Dates=H","DateFormat=P","Fill=—","Direction=H","UseDPDF=Y")</f>
        <v>1971.0909999999999</v>
      </c>
      <c r="T64" s="12" cm="1">
        <f t="array" ref="T64">_xll.BDH("PH US Equity","FREE_CASH_FLOW_EQUITY","FQ2 2023","FQ2 2023","Currency=USD","Period=FQ","BEST_FPERIOD_OVERRIDE=FQ","FILING_STATUS=MR","SCALING_FORMAT=MLN","Sort=A","Dates=H","DateFormat=P","Fill=—","Direction=H","UseDPDF=Y")</f>
        <v>467.18200000000002</v>
      </c>
      <c r="U64" s="12" cm="1">
        <f t="array" ref="U64">_xll.BDH("PH US Equity","FREE_CASH_FLOW_EQUITY","FQ3 2023","FQ3 2023","Currency=USD","Period=FQ","BEST_FPERIOD_OVERRIDE=FQ","FILING_STATUS=MR","SCALING_FORMAT=MLN","Sort=A","Dates=H","DateFormat=P","Fill=—","Direction=H","UseDPDF=Y")</f>
        <v>2.65</v>
      </c>
      <c r="V64" s="12" cm="1">
        <f t="array" ref="V64">_xll.BDH("PH US Equity","FREE_CASH_FLOW_EQUITY","FQ4 2023","FQ4 2023","Currency=USD","Period=FQ","BEST_FPERIOD_OVERRIDE=FQ","FILING_STATUS=MR","SCALING_FORMAT=MLN","Sort=A","Dates=H","DateFormat=P","Fill=—","Direction=H","UseDPDF=Y")</f>
        <v>211.97399999999999</v>
      </c>
      <c r="W64" s="12" cm="1">
        <f t="array" ref="W64">_xll.BDH("PH US Equity","FREE_CASH_FLOW_EQUITY","FQ1 2024","FQ1 2024","Currency=USD","Period=FQ","BEST_FPERIOD_OVERRIDE=FQ","FILING_STATUS=MR","SCALING_FORMAT=MLN","Sort=A","Dates=H","DateFormat=P","Fill=—","Direction=H","UseDPDF=Y")</f>
        <v>206.512</v>
      </c>
      <c r="X64" s="12" cm="1">
        <f t="array" ref="X64">_xll.BDH("PH US Equity","FREE_CASH_FLOW_EQUITY","FQ2 2024","FQ2 2024","Currency=USD","Period=FQ","BEST_FPERIOD_OVERRIDE=FQ","FILING_STATUS=MR","SCALING_FORMAT=MLN","Sort=A","Dates=H","DateFormat=P","Fill=—","Direction=H","UseDPDF=Y")</f>
        <v>157.87100000000001</v>
      </c>
      <c r="Y64" s="12" cm="1">
        <f t="array" ref="Y64">_xll.BDH("PH US Equity","FREE_CASH_FLOW_EQUITY","FQ3 2024","FQ3 2024","Currency=USD","Period=FQ","BEST_FPERIOD_OVERRIDE=FQ","FILING_STATUS=MR","SCALING_FORMAT=MLN","Sort=A","Dates=H","DateFormat=P","Fill=—","Direction=H","UseDPDF=Y")</f>
        <v>314.89800000000002</v>
      </c>
      <c r="Z64" s="12" cm="1">
        <f t="array" ref="Z64">_xll.BDH("PH US Equity","FREE_CASH_FLOW_EQUITY","FQ4 2024","FQ4 2024","Currency=USD","Period=FQ","BEST_FPERIOD_OVERRIDE=FQ","FILING_STATUS=MR","SCALING_FORMAT=MLN","Sort=A","Dates=H","DateFormat=P","Fill=—","Direction=H","UseDPDF=Y")</f>
        <v>312.48200000000003</v>
      </c>
      <c r="AA64" s="12" cm="1">
        <f t="array" ref="AA64">_xll.BDH("PH US Equity","FREE_CASH_FLOW_EQUITY","FQ1 2025","FQ1 2025","Currency=USD","Period=FQ","BEST_FPERIOD_OVERRIDE=FQ","FILING_STATUS=MR","SCALING_FORMAT=MLN","Sort=A","Dates=H","DateFormat=P","Fill=—","Direction=H","UseDPDF=Y")</f>
        <v>253.01499999999999</v>
      </c>
      <c r="AB64" s="12" cm="1">
        <f t="array" ref="AB64">_xll.BDH("PH US Equity","FREE_CASH_FLOW_EQUITY","FQ2 2025","FQ2 2025","Currency=USD","Period=FQ","BEST_FPERIOD_OVERRIDE=FQ","FILING_STATUS=MR","SCALING_FORMAT=MLN","Sort=A","Dates=H","DateFormat=P","Fill=—","Direction=H","UseDPDF=Y")</f>
        <v>-272</v>
      </c>
      <c r="AC64" s="12" cm="1">
        <f t="array" ref="AC64">_xll.BDH("PH US Equity","FREE_CASH_FLOW_EQUITY","FQ3 2025","FQ3 2025","Currency=USD","Period=FQ","BEST_FPERIOD_OVERRIDE=FQ","FILING_STATUS=MR","SCALING_FORMAT=MLN","Sort=A","Dates=H","DateFormat=P","Fill=—","Direction=H","UseDPDF=Y")</f>
        <v>861.51199999999994</v>
      </c>
      <c r="AD64" s="12" cm="1">
        <f t="array" ref="AD64">_xll.BDH("PH US Equity","FREE_CASH_FLOW_EQUITY","FQ4 2025","FQ4 2025","Currency=USD","Period=FQ","BEST_FPERIOD_OVERRIDE=FQ","FILING_STATUS=MR","SCALING_FORMAT=MLN","Sort=A","Dates=H","DateFormat=P","Fill=—","Direction=H","UseDPDF=Y")</f>
        <v>1176.473</v>
      </c>
      <c r="AE64" s="12" cm="1">
        <f t="array" ref="AE64">_xll.BDH("PH US Equity","FREE_CASH_FLOW_EQUITY","FQ1 2026","FQ1 2026","Currency=USD","Period=FQ","BEST_FPERIOD_OVERRIDE=FQ","FILING_STATUS=MR","SCALING_FORMAT=MLN","Sort=A","Dates=H","DateFormat=P","Fill=—","Direction=H","UseDPDF=Y")</f>
        <v>1755</v>
      </c>
      <c r="AF64" s="12" cm="1">
        <f t="array" ref="AF64">_xll.BDH("PH US Equity","FREE_CASH_FLOW_EQUITY","FQ2 2026","FQ2 2026","Currency=USD","Period=FQ","BEST_FPERIOD_OVERRIDE=FQ","FILING_STATUS=MR","SCALING_FORMAT=MLN","Sort=A","Dates=H","DateFormat=P","Fill=—","Direction=H","UseDPDF=Y")</f>
        <v>333</v>
      </c>
    </row>
    <row r="65" spans="1:32" x14ac:dyDescent="0.25">
      <c r="A65" s="10" t="s">
        <v>160</v>
      </c>
      <c r="B65" s="10" t="s">
        <v>161</v>
      </c>
      <c r="C65" s="13" cm="1">
        <f t="array" ref="C65">_xll.BDH("PH US Equity","FREE_CASH_FLOW_PER_SH","FQ1 2019","FQ1 2019","Currency=USD","Period=FQ","BEST_FPERIOD_OVERRIDE=FQ","FILING_STATUS=MR","Sort=A","Dates=H","DateFormat=P","Fill=—","Direction=H","UseDPDF=Y")</f>
        <v>0.8861</v>
      </c>
      <c r="D65" s="13" cm="1">
        <f t="array" ref="D65">_xll.BDH("PH US Equity","FREE_CASH_FLOW_PER_SH","FQ2 2019","FQ2 2019","Currency=USD","Period=FQ","BEST_FPERIOD_OVERRIDE=FQ","FILING_STATUS=MR","Sort=A","Dates=H","DateFormat=P","Fill=—","Direction=H","UseDPDF=Y")</f>
        <v>2.5263</v>
      </c>
      <c r="E65" s="13" cm="1">
        <f t="array" ref="E65">_xll.BDH("PH US Equity","FREE_CASH_FLOW_PER_SH","FQ3 2019","FQ3 2019","Currency=USD","Period=FQ","BEST_FPERIOD_OVERRIDE=FQ","FILING_STATUS=MR","Sort=A","Dates=H","DateFormat=P","Fill=—","Direction=H","UseDPDF=Y")</f>
        <v>3.8919000000000001</v>
      </c>
      <c r="F65" s="13" cm="1">
        <f t="array" ref="F65">_xll.BDH("PH US Equity","FREE_CASH_FLOW_PER_SH","FQ4 2019","FQ4 2019","Currency=USD","Period=FQ","BEST_FPERIOD_OVERRIDE=FQ","FILING_STATUS=MR","Sort=A","Dates=H","DateFormat=P","Fill=—","Direction=H","UseDPDF=Y")</f>
        <v>4.57</v>
      </c>
      <c r="G65" s="13" cm="1">
        <f t="array" ref="G65">_xll.BDH("PH US Equity","FREE_CASH_FLOW_PER_SH","FQ1 2020","FQ1 2020","Currency=USD","Period=FQ","BEST_FPERIOD_OVERRIDE=FQ","FILING_STATUS=MR","Sort=A","Dates=H","DateFormat=P","Fill=—","Direction=H","UseDPDF=Y")</f>
        <v>3.1042999999999998</v>
      </c>
      <c r="H65" s="13" cm="1">
        <f t="array" ref="H65">_xll.BDH("PH US Equity","FREE_CASH_FLOW_PER_SH","FQ2 2020","FQ2 2020","Currency=USD","Period=FQ","BEST_FPERIOD_OVERRIDE=FQ","FILING_STATUS=MR","Sort=A","Dates=H","DateFormat=P","Fill=—","Direction=H","UseDPDF=Y")</f>
        <v>2.4034</v>
      </c>
      <c r="I65" s="13" cm="1">
        <f t="array" ref="I65">_xll.BDH("PH US Equity","FREE_CASH_FLOW_PER_SH","FQ3 2020","FQ3 2020","Currency=USD","Period=FQ","BEST_FPERIOD_OVERRIDE=FQ","FILING_STATUS=MR","Sort=A","Dates=H","DateFormat=P","Fill=—","Direction=H","UseDPDF=Y")</f>
        <v>3.1255999999999999</v>
      </c>
      <c r="J65" s="13" cm="1">
        <f t="array" ref="J65">_xll.BDH("PH US Equity","FREE_CASH_FLOW_PER_SH","FQ4 2020","FQ4 2020","Currency=USD","Period=FQ","BEST_FPERIOD_OVERRIDE=FQ","FILING_STATUS=MR","Sort=A","Dates=H","DateFormat=P","Fill=—","Direction=H","UseDPDF=Y")</f>
        <v>5.6798999999999999</v>
      </c>
      <c r="K65" s="13" cm="1">
        <f t="array" ref="K65">_xll.BDH("PH US Equity","FREE_CASH_FLOW_PER_SH","FQ1 2021","FQ1 2021","Currency=USD","Period=FQ","BEST_FPERIOD_OVERRIDE=FQ","FILING_STATUS=MR","Sort=A","Dates=H","DateFormat=P","Fill=—","Direction=H","UseDPDF=Y")</f>
        <v>5.4017999999999997</v>
      </c>
      <c r="L65" s="13" cm="1">
        <f t="array" ref="L65">_xll.BDH("PH US Equity","FREE_CASH_FLOW_PER_SH","FQ2 2021","FQ2 2021","Currency=USD","Period=FQ","BEST_FPERIOD_OVERRIDE=FQ","FILING_STATUS=MR","Sort=A","Dates=H","DateFormat=P","Fill=—","Direction=H","UseDPDF=Y")</f>
        <v>4.3857999999999997</v>
      </c>
      <c r="M65" s="13" cm="1">
        <f t="array" ref="M65">_xll.BDH("PH US Equity","FREE_CASH_FLOW_PER_SH","FQ3 2021","FQ3 2021","Currency=USD","Period=FQ","BEST_FPERIOD_OVERRIDE=FQ","FILING_STATUS=MR","Sort=A","Dates=H","DateFormat=P","Fill=—","Direction=H","UseDPDF=Y")</f>
        <v>3.7515000000000001</v>
      </c>
      <c r="N65" s="13" cm="1">
        <f t="array" ref="N65">_xll.BDH("PH US Equity","FREE_CASH_FLOW_PER_SH","FQ4 2021","FQ4 2021","Currency=USD","Period=FQ","BEST_FPERIOD_OVERRIDE=FQ","FILING_STATUS=MR","Sort=A","Dates=H","DateFormat=P","Fill=—","Direction=H","UseDPDF=Y")</f>
        <v>4.7967000000000004</v>
      </c>
      <c r="O65" s="13" cm="1">
        <f t="array" ref="O65">_xll.BDH("PH US Equity","FREE_CASH_FLOW_PER_SH","FQ1 2022","FQ1 2022","Currency=USD","Period=FQ","BEST_FPERIOD_OVERRIDE=FQ","FILING_STATUS=MR","Sort=A","Dates=H","DateFormat=P","Fill=—","Direction=H","UseDPDF=Y")</f>
        <v>2.9220999999999999</v>
      </c>
      <c r="P65" s="13" cm="1">
        <f t="array" ref="P65">_xll.BDH("PH US Equity","FREE_CASH_FLOW_PER_SH","FQ2 2022","FQ2 2022","Currency=USD","Period=FQ","BEST_FPERIOD_OVERRIDE=FQ","FILING_STATUS=MR","Sort=A","Dates=H","DateFormat=P","Fill=—","Direction=H","UseDPDF=Y")</f>
        <v>4.0757000000000003</v>
      </c>
      <c r="Q65" s="13" cm="1">
        <f t="array" ref="Q65">_xll.BDH("PH US Equity","FREE_CASH_FLOW_PER_SH","FQ3 2022","FQ3 2022","Currency=USD","Period=FQ","BEST_FPERIOD_OVERRIDE=FQ","FILING_STATUS=MR","Sort=A","Dates=H","DateFormat=P","Fill=—","Direction=H","UseDPDF=Y")</f>
        <v>3.8132000000000001</v>
      </c>
      <c r="R65" s="13" cm="1">
        <f t="array" ref="R65">_xll.BDH("PH US Equity","FREE_CASH_FLOW_PER_SH","FQ4 2022","FQ4 2022","Currency=USD","Period=FQ","BEST_FPERIOD_OVERRIDE=FQ","FILING_STATUS=MR","Sort=A","Dates=H","DateFormat=P","Fill=—","Direction=H","UseDPDF=Y")</f>
        <v>6.3971999999999998</v>
      </c>
      <c r="S65" s="13" cm="1">
        <f t="array" ref="S65">_xll.BDH("PH US Equity","FREE_CASH_FLOW_PER_SH","FQ1 2023","FQ1 2023","Currency=USD","Period=FQ","BEST_FPERIOD_OVERRIDE=FQ","FILING_STATUS=MR","Sort=A","Dates=H","DateFormat=P","Fill=—","Direction=H","UseDPDF=Y")</f>
        <v>2.9106999999999998</v>
      </c>
      <c r="T65" s="13" cm="1">
        <f t="array" ref="T65">_xll.BDH("PH US Equity","FREE_CASH_FLOW_PER_SH","FQ2 2023","FQ2 2023","Currency=USD","Period=FQ","BEST_FPERIOD_OVERRIDE=FQ","FILING_STATUS=MR","Sort=A","Dates=H","DateFormat=P","Fill=—","Direction=H","UseDPDF=Y")</f>
        <v>4.0263</v>
      </c>
      <c r="U65" s="13" cm="1">
        <f t="array" ref="U65">_xll.BDH("PH US Equity","FREE_CASH_FLOW_PER_SH","FQ3 2023","FQ3 2023","Currency=USD","Period=FQ","BEST_FPERIOD_OVERRIDE=FQ","FILING_STATUS=MR","Sort=A","Dates=H","DateFormat=P","Fill=—","Direction=H","UseDPDF=Y")</f>
        <v>4.9250999999999996</v>
      </c>
      <c r="V65" s="13" cm="1">
        <f t="array" ref="V65">_xll.BDH("PH US Equity","FREE_CASH_FLOW_PER_SH","FQ4 2023","FQ4 2023","Currency=USD","Period=FQ","BEST_FPERIOD_OVERRIDE=FQ","FILING_STATUS=MR","Sort=A","Dates=H","DateFormat=P","Fill=—","Direction=H","UseDPDF=Y")</f>
        <v>8.3843999999999994</v>
      </c>
      <c r="W65" s="13" cm="1">
        <f t="array" ref="W65">_xll.BDH("PH US Equity","FREE_CASH_FLOW_PER_SH","FQ1 2024","FQ1 2024","Currency=USD","Period=FQ","BEST_FPERIOD_OVERRIDE=FQ","FILING_STATUS=MR","Sort=A","Dates=H","DateFormat=P","Fill=—","Direction=H","UseDPDF=Y")</f>
        <v>4.2983000000000002</v>
      </c>
      <c r="X65" s="13" cm="1">
        <f t="array" ref="X65">_xll.BDH("PH US Equity","FREE_CASH_FLOW_PER_SH","FQ2 2024","FQ2 2024","Currency=USD","Period=FQ","BEST_FPERIOD_OVERRIDE=FQ","FILING_STATUS=MR","Sort=A","Dates=H","DateFormat=P","Fill=—","Direction=H","UseDPDF=Y")</f>
        <v>4.6380999999999997</v>
      </c>
      <c r="Y65" s="13" cm="1">
        <f t="array" ref="Y65">_xll.BDH("PH US Equity","FREE_CASH_FLOW_PER_SH","FQ3 2024","FQ3 2024","Currency=USD","Period=FQ","BEST_FPERIOD_OVERRIDE=FQ","FILING_STATUS=MR","Sort=A","Dates=H","DateFormat=P","Fill=—","Direction=H","UseDPDF=Y")</f>
        <v>5.5709</v>
      </c>
      <c r="Z65" s="13" cm="1">
        <f t="array" ref="Z65">_xll.BDH("PH US Equity","FREE_CASH_FLOW_PER_SH","FQ4 2024","FQ4 2024","Currency=USD","Period=FQ","BEST_FPERIOD_OVERRIDE=FQ","FILING_STATUS=MR","Sort=A","Dates=H","DateFormat=P","Fill=—","Direction=H","UseDPDF=Y")</f>
        <v>8.7109000000000005</v>
      </c>
      <c r="AA65" s="13" cm="1">
        <f t="array" ref="AA65">_xll.BDH("PH US Equity","FREE_CASH_FLOW_PER_SH","FQ1 2025","FQ1 2025","Currency=USD","Period=FQ","BEST_FPERIOD_OVERRIDE=FQ","FILING_STATUS=MR","Sort=A","Dates=H","DateFormat=P","Fill=—","Direction=H","UseDPDF=Y")</f>
        <v>5.0415999999999999</v>
      </c>
      <c r="AB65" s="13" cm="1">
        <f t="array" ref="AB65">_xll.BDH("PH US Equity","FREE_CASH_FLOW_PER_SH","FQ2 2025","FQ2 2025","Currency=USD","Period=FQ","BEST_FPERIOD_OVERRIDE=FQ","FILING_STATUS=MR","Sort=A","Dates=H","DateFormat=P","Fill=—","Direction=H","UseDPDF=Y")</f>
        <v>6.3186999999999998</v>
      </c>
      <c r="AC65" s="13" cm="1">
        <f t="array" ref="AC65">_xll.BDH("PH US Equity","FREE_CASH_FLOW_PER_SH","FQ3 2025","FQ3 2025","Currency=USD","Period=FQ","BEST_FPERIOD_OVERRIDE=FQ","FILING_STATUS=MR","Sort=A","Dates=H","DateFormat=P","Fill=—","Direction=H","UseDPDF=Y")</f>
        <v>4.2226999999999997</v>
      </c>
      <c r="AD65" s="13" cm="1">
        <f t="array" ref="AD65">_xll.BDH("PH US Equity","FREE_CASH_FLOW_PER_SH","FQ4 2025","FQ4 2025","Currency=USD","Period=FQ","BEST_FPERIOD_OVERRIDE=FQ","FILING_STATUS=MR","Sort=A","Dates=H","DateFormat=P","Fill=—","Direction=H","UseDPDF=Y")</f>
        <v>10.5062</v>
      </c>
      <c r="AE65" s="13" cm="1">
        <f t="array" ref="AE65">_xll.BDH("PH US Equity","FREE_CASH_FLOW_PER_SH","FQ1 2026","FQ1 2026","Currency=USD","Period=FQ","BEST_FPERIOD_OVERRIDE=FQ","FILING_STATUS=MR","Sort=A","Dates=H","DateFormat=P","Fill=—","Direction=H","UseDPDF=Y")</f>
        <v>5.4782999999999999</v>
      </c>
      <c r="AF65" s="13" cm="1">
        <f t="array" ref="AF65">_xll.BDH("PH US Equity","FREE_CASH_FLOW_PER_SH","FQ2 2026","FQ2 2026","Currency=USD","Period=FQ","BEST_FPERIOD_OVERRIDE=FQ","FILING_STATUS=MR","Sort=A","Dates=H","DateFormat=P","Fill=—","Direction=H","UseDPDF=Y")</f>
        <v>6.0856000000000003</v>
      </c>
    </row>
    <row r="66" spans="1:32" x14ac:dyDescent="0.25">
      <c r="A66" s="10" t="s">
        <v>162</v>
      </c>
      <c r="B66" s="10" t="s">
        <v>163</v>
      </c>
      <c r="C66" s="13" cm="1">
        <f t="array" ref="C66">_xll.BDH("PH US Equity","PX_TO_FREE_CASH_FLOW","FQ1 2019","FQ1 2019","Currency=USD","Period=FQ","BEST_FPERIOD_OVERRIDE=FQ","FILING_STATUS=MR","Sort=A","Dates=H","DateFormat=P","Fill=—","Direction=H","UseDPDF=Y")</f>
        <v>18.6815</v>
      </c>
      <c r="D66" s="13" cm="1">
        <f t="array" ref="D66">_xll.BDH("PH US Equity","PX_TO_FREE_CASH_FLOW","FQ2 2019","FQ2 2019","Currency=USD","Period=FQ","BEST_FPERIOD_OVERRIDE=FQ","FILING_STATUS=MR","Sort=A","Dates=H","DateFormat=P","Fill=—","Direction=H","UseDPDF=Y")</f>
        <v>13.292400000000001</v>
      </c>
      <c r="E66" s="13" cm="1">
        <f t="array" ref="E66">_xll.BDH("PH US Equity","PX_TO_FREE_CASH_FLOW","FQ3 2019","FQ3 2019","Currency=USD","Period=FQ","BEST_FPERIOD_OVERRIDE=FQ","FILING_STATUS=MR","Sort=A","Dates=H","DateFormat=P","Fill=—","Direction=H","UseDPDF=Y")</f>
        <v>14.133100000000001</v>
      </c>
      <c r="F66" s="13" cm="1">
        <f t="array" ref="F66">_xll.BDH("PH US Equity","PX_TO_FREE_CASH_FLOW","FQ4 2019","FQ4 2019","Currency=USD","Period=FQ","BEST_FPERIOD_OVERRIDE=FQ","FILING_STATUS=MR","Sort=A","Dates=H","DateFormat=P","Fill=—","Direction=H","UseDPDF=Y")</f>
        <v>14.317500000000001</v>
      </c>
      <c r="G66" s="13" cm="1">
        <f t="array" ref="G66">_xll.BDH("PH US Equity","PX_TO_FREE_CASH_FLOW","FQ1 2020","FQ1 2020","Currency=USD","Period=FQ","BEST_FPERIOD_OVERRIDE=FQ","FILING_STATUS=MR","Sort=A","Dates=H","DateFormat=P","Fill=—","Direction=H","UseDPDF=Y")</f>
        <v>12.8161</v>
      </c>
      <c r="H66" s="13" cm="1">
        <f t="array" ref="H66">_xll.BDH("PH US Equity","PX_TO_FREE_CASH_FLOW","FQ2 2020","FQ2 2020","Currency=USD","Period=FQ","BEST_FPERIOD_OVERRIDE=FQ","FILING_STATUS=MR","Sort=A","Dates=H","DateFormat=P","Fill=—","Direction=H","UseDPDF=Y")</f>
        <v>14.733499999999999</v>
      </c>
      <c r="I66" s="13" cm="1">
        <f t="array" ref="I66">_xll.BDH("PH US Equity","PX_TO_FREE_CASH_FLOW","FQ3 2020","FQ3 2020","Currency=USD","Period=FQ","BEST_FPERIOD_OVERRIDE=FQ","FILING_STATUS=MR","Sort=A","Dates=H","DateFormat=P","Fill=—","Direction=H","UseDPDF=Y")</f>
        <v>9.8255999999999997</v>
      </c>
      <c r="J66" s="13" cm="1">
        <f t="array" ref="J66">_xll.BDH("PH US Equity","PX_TO_FREE_CASH_FLOW","FQ4 2020","FQ4 2020","Currency=USD","Period=FQ","BEST_FPERIOD_OVERRIDE=FQ","FILING_STATUS=MR","Sort=A","Dates=H","DateFormat=P","Fill=—","Direction=H","UseDPDF=Y")</f>
        <v>12.8043</v>
      </c>
      <c r="K66" s="13" cm="1">
        <f t="array" ref="K66">_xll.BDH("PH US Equity","PX_TO_FREE_CASH_FLOW","FQ1 2021","FQ1 2021","Currency=USD","Period=FQ","BEST_FPERIOD_OVERRIDE=FQ","FILING_STATUS=MR","Sort=A","Dates=H","DateFormat=P","Fill=—","Direction=H","UseDPDF=Y")</f>
        <v>12.1813</v>
      </c>
      <c r="L66" s="13" cm="1">
        <f t="array" ref="L66">_xll.BDH("PH US Equity","PX_TO_FREE_CASH_FLOW","FQ2 2021","FQ2 2021","Currency=USD","Period=FQ","BEST_FPERIOD_OVERRIDE=FQ","FILING_STATUS=MR","Sort=A","Dates=H","DateFormat=P","Fill=—","Direction=H","UseDPDF=Y")</f>
        <v>14.6511</v>
      </c>
      <c r="M66" s="13" cm="1">
        <f t="array" ref="M66">_xll.BDH("PH US Equity","PX_TO_FREE_CASH_FLOW","FQ3 2021","FQ3 2021","Currency=USD","Period=FQ","BEST_FPERIOD_OVERRIDE=FQ","FILING_STATUS=MR","Sort=A","Dates=H","DateFormat=P","Fill=—","Direction=H","UseDPDF=Y")</f>
        <v>16.412400000000002</v>
      </c>
      <c r="N66" s="13" cm="1">
        <f t="array" ref="N66">_xll.BDH("PH US Equity","PX_TO_FREE_CASH_FLOW","FQ4 2021","FQ4 2021","Currency=USD","Period=FQ","BEST_FPERIOD_OVERRIDE=FQ","FILING_STATUS=MR","Sort=A","Dates=H","DateFormat=P","Fill=—","Direction=H","UseDPDF=Y")</f>
        <v>16.749199999999998</v>
      </c>
      <c r="O66" s="13" cm="1">
        <f t="array" ref="O66">_xll.BDH("PH US Equity","PX_TO_FREE_CASH_FLOW","FQ1 2022","FQ1 2022","Currency=USD","Period=FQ","BEST_FPERIOD_OVERRIDE=FQ","FILING_STATUS=MR","Sort=A","Dates=H","DateFormat=P","Fill=—","Direction=H","UseDPDF=Y")</f>
        <v>17.634899999999998</v>
      </c>
      <c r="P66" s="13" cm="1">
        <f t="array" ref="P66">_xll.BDH("PH US Equity","PX_TO_FREE_CASH_FLOW","FQ2 2022","FQ2 2022","Currency=USD","Period=FQ","BEST_FPERIOD_OVERRIDE=FQ","FILING_STATUS=MR","Sort=A","Dates=H","DateFormat=P","Fill=—","Direction=H","UseDPDF=Y")</f>
        <v>20.463000000000001</v>
      </c>
      <c r="Q66" s="13" cm="1">
        <f t="array" ref="Q66">_xll.BDH("PH US Equity","PX_TO_FREE_CASH_FLOW","FQ3 2022","FQ3 2022","Currency=USD","Period=FQ","BEST_FPERIOD_OVERRIDE=FQ","FILING_STATUS=MR","Sort=A","Dates=H","DateFormat=P","Fill=—","Direction=H","UseDPDF=Y")</f>
        <v>18.180700000000002</v>
      </c>
      <c r="R66" s="13" cm="1">
        <f t="array" ref="R66">_xll.BDH("PH US Equity","PX_TO_FREE_CASH_FLOW","FQ4 2022","FQ4 2022","Currency=USD","Period=FQ","BEST_FPERIOD_OVERRIDE=FQ","FILING_STATUS=MR","Sort=A","Dates=H","DateFormat=P","Fill=—","Direction=H","UseDPDF=Y")</f>
        <v>14.298400000000001</v>
      </c>
      <c r="S66" s="13" cm="1">
        <f t="array" ref="S66">_xll.BDH("PH US Equity","PX_TO_FREE_CASH_FLOW","FQ1 2023","FQ1 2023","Currency=USD","Period=FQ","BEST_FPERIOD_OVERRIDE=FQ","FILING_STATUS=MR","Sort=A","Dates=H","DateFormat=P","Fill=—","Direction=H","UseDPDF=Y")</f>
        <v>14.090400000000001</v>
      </c>
      <c r="T66" s="13" cm="1">
        <f t="array" ref="T66">_xll.BDH("PH US Equity","PX_TO_FREE_CASH_FLOW","FQ2 2023","FQ2 2023","Currency=USD","Period=FQ","BEST_FPERIOD_OVERRIDE=FQ","FILING_STATUS=MR","Sort=A","Dates=H","DateFormat=P","Fill=—","Direction=H","UseDPDF=Y")</f>
        <v>16.970500000000001</v>
      </c>
      <c r="U66" s="13" cm="1">
        <f t="array" ref="U66">_xll.BDH("PH US Equity","PX_TO_FREE_CASH_FLOW","FQ3 2023","FQ3 2023","Currency=USD","Period=FQ","BEST_FPERIOD_OVERRIDE=FQ","FILING_STATUS=MR","Sort=A","Dates=H","DateFormat=P","Fill=—","Direction=H","UseDPDF=Y")</f>
        <v>18.407599999999999</v>
      </c>
      <c r="V66" s="13" cm="1">
        <f t="array" ref="V66">_xll.BDH("PH US Equity","PX_TO_FREE_CASH_FLOW","FQ4 2023","FQ4 2023","Currency=USD","Period=FQ","BEST_FPERIOD_OVERRIDE=FQ","FILING_STATUS=MR","Sort=A","Dates=H","DateFormat=P","Fill=—","Direction=H","UseDPDF=Y")</f>
        <v>19.264600000000002</v>
      </c>
      <c r="W66" s="13" cm="1">
        <f t="array" ref="W66">_xll.BDH("PH US Equity","PX_TO_FREE_CASH_FLOW","FQ1 2024","FQ1 2024","Currency=USD","Period=FQ","BEST_FPERIOD_OVERRIDE=FQ","FILING_STATUS=MR","Sort=A","Dates=H","DateFormat=P","Fill=—","Direction=H","UseDPDF=Y")</f>
        <v>18.004899999999999</v>
      </c>
      <c r="X66" s="13" cm="1">
        <f t="array" ref="X66">_xll.BDH("PH US Equity","PX_TO_FREE_CASH_FLOW","FQ2 2024","FQ2 2024","Currency=USD","Period=FQ","BEST_FPERIOD_OVERRIDE=FQ","FILING_STATUS=MR","Sort=A","Dates=H","DateFormat=P","Fill=—","Direction=H","UseDPDF=Y")</f>
        <v>20.709399999999999</v>
      </c>
      <c r="Y66" s="13" cm="1">
        <f t="array" ref="Y66">_xll.BDH("PH US Equity","PX_TO_FREE_CASH_FLOW","FQ3 2024","FQ3 2024","Currency=USD","Period=FQ","BEST_FPERIOD_OVERRIDE=FQ","FILING_STATUS=MR","Sort=A","Dates=H","DateFormat=P","Fill=—","Direction=H","UseDPDF=Y")</f>
        <v>24.2791</v>
      </c>
      <c r="Z66" s="13" cm="1">
        <f t="array" ref="Z66">_xll.BDH("PH US Equity","PX_TO_FREE_CASH_FLOW","FQ4 2024","FQ4 2024","Currency=USD","Period=FQ","BEST_FPERIOD_OVERRIDE=FQ","FILING_STATUS=MR","Sort=A","Dates=H","DateFormat=P","Fill=—","Direction=H","UseDPDF=Y")</f>
        <v>21.785</v>
      </c>
      <c r="AA66" s="13" cm="1">
        <f t="array" ref="AA66">_xll.BDH("PH US Equity","PX_TO_FREE_CASH_FLOW","FQ1 2025","FQ1 2025","Currency=USD","Period=FQ","BEST_FPERIOD_OVERRIDE=FQ","FILING_STATUS=MR","Sort=A","Dates=H","DateFormat=P","Fill=—","Direction=H","UseDPDF=Y")</f>
        <v>26.367999999999999</v>
      </c>
      <c r="AB66" s="13" cm="1">
        <f t="array" ref="AB66">_xll.BDH("PH US Equity","PX_TO_FREE_CASH_FLOW","FQ2 2025","FQ2 2025","Currency=USD","Period=FQ","BEST_FPERIOD_OVERRIDE=FQ","FILING_STATUS=MR","Sort=A","Dates=H","DateFormat=P","Fill=—","Direction=H","UseDPDF=Y")</f>
        <v>24.803999999999998</v>
      </c>
      <c r="AC66" s="13" cm="1">
        <f t="array" ref="AC66">_xll.BDH("PH US Equity","PX_TO_FREE_CASH_FLOW","FQ3 2025","FQ3 2025","Currency=USD","Period=FQ","BEST_FPERIOD_OVERRIDE=FQ","FILING_STATUS=MR","Sort=A","Dates=H","DateFormat=P","Fill=—","Direction=H","UseDPDF=Y")</f>
        <v>25.020499999999998</v>
      </c>
      <c r="AD66" s="13" cm="1">
        <f t="array" ref="AD66">_xll.BDH("PH US Equity","PX_TO_FREE_CASH_FLOW","FQ4 2025","FQ4 2025","Currency=USD","Period=FQ","BEST_FPERIOD_OVERRIDE=FQ","FILING_STATUS=MR","Sort=A","Dates=H","DateFormat=P","Fill=—","Direction=H","UseDPDF=Y")</f>
        <v>26.772200000000002</v>
      </c>
      <c r="AE66" s="13" cm="1">
        <f t="array" ref="AE66">_xll.BDH("PH US Equity","PX_TO_FREE_CASH_FLOW","FQ1 2026","FQ1 2026","Currency=USD","Period=FQ","BEST_FPERIOD_OVERRIDE=FQ","FILING_STATUS=MR","Sort=A","Dates=H","DateFormat=P","Fill=—","Direction=H","UseDPDF=Y")</f>
        <v>28.581399999999999</v>
      </c>
      <c r="AF66" s="13" cm="1">
        <f t="array" ref="AF66">_xll.BDH("PH US Equity","PX_TO_FREE_CASH_FLOW","FQ2 2026","FQ2 2026","Currency=USD","Period=FQ","BEST_FPERIOD_OVERRIDE=FQ","FILING_STATUS=MR","Sort=A","Dates=H","DateFormat=P","Fill=—","Direction=H","UseDPDF=Y")</f>
        <v>33.429699999999997</v>
      </c>
    </row>
    <row r="67" spans="1:32" x14ac:dyDescent="0.25">
      <c r="A67" s="10" t="s">
        <v>164</v>
      </c>
      <c r="B67" s="10" t="s">
        <v>165</v>
      </c>
      <c r="C67" s="13" cm="1">
        <f t="array" ref="C67">_xll.BDH("PH US Equity","CASH_FLOW_TO_NET_INC","FQ1 2019","FQ1 2019","Currency=USD","Period=FQ","BEST_FPERIOD_OVERRIDE=FQ","FILING_STATUS=MR","FA_ADJUSTED=GAAP","Sort=A","Dates=H","DateFormat=P","Fill=—","Direction=H","UseDPDF=Y")</f>
        <v>0.42420000000000002</v>
      </c>
      <c r="D67" s="13" cm="1">
        <f t="array" ref="D67">_xll.BDH("PH US Equity","CASH_FLOW_TO_NET_INC","FQ2 2019","FQ2 2019","Currency=USD","Period=FQ","BEST_FPERIOD_OVERRIDE=FQ","FILING_STATUS=MR","FA_ADJUSTED=GAAP","Sort=A","Dates=H","DateFormat=P","Fill=—","Direction=H","UseDPDF=Y")</f>
        <v>1.2242999999999999</v>
      </c>
      <c r="E67" s="13" cm="1">
        <f t="array" ref="E67">_xll.BDH("PH US Equity","CASH_FLOW_TO_NET_INC","FQ3 2019","FQ3 2019","Currency=USD","Period=FQ","BEST_FPERIOD_OVERRIDE=FQ","FILING_STATUS=MR","FA_ADJUSTED=GAAP","Sort=A","Dates=H","DateFormat=P","Fill=—","Direction=H","UseDPDF=Y")</f>
        <v>1.3411999999999999</v>
      </c>
      <c r="F67" s="13" cm="1">
        <f t="array" ref="F67">_xll.BDH("PH US Equity","CASH_FLOW_TO_NET_INC","FQ4 2019","FQ4 2019","Currency=USD","Period=FQ","BEST_FPERIOD_OVERRIDE=FQ","FILING_STATUS=MR","FA_ADJUSTED=GAAP","Sort=A","Dates=H","DateFormat=P","Fill=—","Direction=H","UseDPDF=Y")</f>
        <v>1.5411999999999999</v>
      </c>
      <c r="G67" s="13" cm="1">
        <f t="array" ref="G67">_xll.BDH("PH US Equity","CASH_FLOW_TO_NET_INC","FQ1 2020","FQ1 2020","Currency=USD","Period=FQ","BEST_FPERIOD_OVERRIDE=FQ","FILING_STATUS=MR","FA_ADJUSTED=GAAP","Sort=A","Dates=H","DateFormat=P","Fill=—","Direction=H","UseDPDF=Y")</f>
        <v>1.3252999999999999</v>
      </c>
      <c r="H67" s="13" cm="1">
        <f t="array" ref="H67">_xll.BDH("PH US Equity","CASH_FLOW_TO_NET_INC","FQ2 2020","FQ2 2020","Currency=USD","Period=FQ","BEST_FPERIOD_OVERRIDE=FQ","FILING_STATUS=MR","FA_ADJUSTED=GAAP","Sort=A","Dates=H","DateFormat=P","Fill=—","Direction=H","UseDPDF=Y")</f>
        <v>1.843</v>
      </c>
      <c r="I67" s="13" cm="1">
        <f t="array" ref="I67">_xll.BDH("PH US Equity","CASH_FLOW_TO_NET_INC","FQ3 2020","FQ3 2020","Currency=USD","Period=FQ","BEST_FPERIOD_OVERRIDE=FQ","FILING_STATUS=MR","FA_ADJUSTED=GAAP","Sort=A","Dates=H","DateFormat=P","Fill=—","Direction=H","UseDPDF=Y")</f>
        <v>1.2659</v>
      </c>
      <c r="J67" s="13" cm="1">
        <f t="array" ref="J67">_xll.BDH("PH US Equity","CASH_FLOW_TO_NET_INC","FQ4 2020","FQ4 2020","Currency=USD","Period=FQ","BEST_FPERIOD_OVERRIDE=FQ","FILING_STATUS=MR","FA_ADJUSTED=GAAP","Sort=A","Dates=H","DateFormat=P","Fill=—","Direction=H","UseDPDF=Y")</f>
        <v>2.6945999999999999</v>
      </c>
      <c r="K67" s="13" cm="1">
        <f t="array" ref="K67">_xll.BDH("PH US Equity","CASH_FLOW_TO_NET_INC","FQ1 2021","FQ1 2021","Currency=USD","Period=FQ","BEST_FPERIOD_OVERRIDE=FQ","FILING_STATUS=MR","FA_ADJUSTED=GAAP","Sort=A","Dates=H","DateFormat=P","Fill=—","Direction=H","UseDPDF=Y")</f>
        <v>2.3056999999999999</v>
      </c>
      <c r="L67" s="13" cm="1">
        <f t="array" ref="L67">_xll.BDH("PH US Equity","CASH_FLOW_TO_NET_INC","FQ2 2021","FQ2 2021","Currency=USD","Period=FQ","BEST_FPERIOD_OVERRIDE=FQ","FILING_STATUS=MR","FA_ADJUSTED=GAAP","Sort=A","Dates=H","DateFormat=P","Fill=—","Direction=H","UseDPDF=Y")</f>
        <v>1.3753</v>
      </c>
      <c r="M67" s="13" cm="1">
        <f t="array" ref="M67">_xll.BDH("PH US Equity","CASH_FLOW_TO_NET_INC","FQ3 2021","FQ3 2021","Currency=USD","Period=FQ","BEST_FPERIOD_OVERRIDE=FQ","FILING_STATUS=MR","FA_ADJUSTED=GAAP","Sort=A","Dates=H","DateFormat=P","Fill=—","Direction=H","UseDPDF=Y")</f>
        <v>1.1147</v>
      </c>
      <c r="N67" s="13" cm="1">
        <f t="array" ref="N67">_xll.BDH("PH US Equity","CASH_FLOW_TO_NET_INC","FQ4 2021","FQ4 2021","Currency=USD","Period=FQ","BEST_FPERIOD_OVERRIDE=FQ","FILING_STATUS=MR","FA_ADJUSTED=GAAP","Sort=A","Dates=H","DateFormat=P","Fill=—","Direction=H","UseDPDF=Y")</f>
        <v>1.3740000000000001</v>
      </c>
      <c r="O67" s="13" cm="1">
        <f t="array" ref="O67">_xll.BDH("PH US Equity","CASH_FLOW_TO_NET_INC","FQ1 2022","FQ1 2022","Currency=USD","Period=FQ","BEST_FPERIOD_OVERRIDE=FQ","FILING_STATUS=MR","FA_ADJUSTED=GAAP","Sort=A","Dates=H","DateFormat=P","Fill=—","Direction=H","UseDPDF=Y")</f>
        <v>0.94059999999999999</v>
      </c>
      <c r="P67" s="13" cm="1">
        <f t="array" ref="P67">_xll.BDH("PH US Equity","CASH_FLOW_TO_NET_INC","FQ2 2022","FQ2 2022","Currency=USD","Period=FQ","BEST_FPERIOD_OVERRIDE=FQ","FILING_STATUS=MR","FA_ADJUSTED=GAAP","Sort=A","Dates=H","DateFormat=P","Fill=—","Direction=H","UseDPDF=Y")</f>
        <v>1.4993000000000001</v>
      </c>
      <c r="Q67" s="13" cm="1">
        <f t="array" ref="Q67">_xll.BDH("PH US Equity","CASH_FLOW_TO_NET_INC","FQ3 2022","FQ3 2022","Currency=USD","Period=FQ","BEST_FPERIOD_OVERRIDE=FQ","FILING_STATUS=MR","FA_ADJUSTED=GAAP","Sort=A","Dates=H","DateFormat=P","Fill=—","Direction=H","UseDPDF=Y")</f>
        <v>1.5602</v>
      </c>
      <c r="R67" s="13" cm="1">
        <f t="array" ref="R67">_xll.BDH("PH US Equity","CASH_FLOW_TO_NET_INC","FQ4 2022","FQ4 2022","Currency=USD","Period=FQ","BEST_FPERIOD_OVERRIDE=FQ","FILING_STATUS=MR","FA_ADJUSTED=GAAP","Sort=A","Dates=H","DateFormat=P","Fill=—","Direction=H","UseDPDF=Y")</f>
        <v>6.9337999999999997</v>
      </c>
      <c r="S67" s="13" cm="1">
        <f t="array" ref="S67">_xll.BDH("PH US Equity","CASH_FLOW_TO_NET_INC","FQ1 2023","FQ1 2023","Currency=USD","Period=FQ","BEST_FPERIOD_OVERRIDE=FQ","FILING_STATUS=MR","FA_ADJUSTED=GAAP","Sort=A","Dates=H","DateFormat=P","Fill=—","Direction=H","UseDPDF=Y")</f>
        <v>1.1792</v>
      </c>
      <c r="T67" s="13" cm="1">
        <f t="array" ref="T67">_xll.BDH("PH US Equity","CASH_FLOW_TO_NET_INC","FQ2 2023","FQ2 2023","Currency=USD","Period=FQ","BEST_FPERIOD_OVERRIDE=FQ","FILING_STATUS=MR","FA_ADJUSTED=GAAP","Sort=A","Dates=H","DateFormat=P","Fill=—","Direction=H","UseDPDF=Y")</f>
        <v>1.5656000000000001</v>
      </c>
      <c r="U67" s="13" cm="1">
        <f t="array" ref="U67">_xll.BDH("PH US Equity","CASH_FLOW_TO_NET_INC","FQ3 2023","FQ3 2023","Currency=USD","Period=FQ","BEST_FPERIOD_OVERRIDE=FQ","FILING_STATUS=MR","FA_ADJUSTED=GAAP","Sort=A","Dates=H","DateFormat=P","Fill=—","Direction=H","UseDPDF=Y")</f>
        <v>1.2163999999999999</v>
      </c>
      <c r="V67" s="13" cm="1">
        <f t="array" ref="V67">_xll.BDH("PH US Equity","CASH_FLOW_TO_NET_INC","FQ4 2023","FQ4 2023","Currency=USD","Period=FQ","BEST_FPERIOD_OVERRIDE=FQ","FILING_STATUS=MR","FA_ADJUSTED=GAAP","Sort=A","Dates=H","DateFormat=P","Fill=—","Direction=H","UseDPDF=Y")</f>
        <v>1.6715</v>
      </c>
      <c r="W67" s="13" cm="1">
        <f t="array" ref="W67">_xll.BDH("PH US Equity","CASH_FLOW_TO_NET_INC","FQ1 2024","FQ1 2024","Currency=USD","Period=FQ","BEST_FPERIOD_OVERRIDE=FQ","FILING_STATUS=MR","FA_ADJUSTED=GAAP","Sort=A","Dates=H","DateFormat=P","Fill=—","Direction=H","UseDPDF=Y")</f>
        <v>0.99870000000000003</v>
      </c>
      <c r="X67" s="13" cm="1">
        <f t="array" ref="X67">_xll.BDH("PH US Equity","CASH_FLOW_TO_NET_INC","FQ2 2024","FQ2 2024","Currency=USD","Period=FQ","BEST_FPERIOD_OVERRIDE=FQ","FILING_STATUS=MR","FA_ADJUSTED=GAAP","Sort=A","Dates=H","DateFormat=P","Fill=—","Direction=H","UseDPDF=Y")</f>
        <v>1.0296000000000001</v>
      </c>
      <c r="Y67" s="13" cm="1">
        <f t="array" ref="Y67">_xll.BDH("PH US Equity","CASH_FLOW_TO_NET_INC","FQ3 2024","FQ3 2024","Currency=USD","Period=FQ","BEST_FPERIOD_OVERRIDE=FQ","FILING_STATUS=MR","FA_ADJUSTED=GAAP","Sort=A","Dates=H","DateFormat=P","Fill=—","Direction=H","UseDPDF=Y")</f>
        <v>1.0943000000000001</v>
      </c>
      <c r="Z67" s="13" cm="1">
        <f t="array" ref="Z67">_xll.BDH("PH US Equity","CASH_FLOW_TO_NET_INC","FQ4 2024","FQ4 2024","Currency=USD","Period=FQ","BEST_FPERIOD_OVERRIDE=FQ","FILING_STATUS=MR","FA_ADJUSTED=GAAP","Sort=A","Dates=H","DateFormat=P","Fill=—","Direction=H","UseDPDF=Y")</f>
        <v>1.5762</v>
      </c>
      <c r="AA67" s="13" cm="1">
        <f t="array" ref="AA67">_xll.BDH("PH US Equity","CASH_FLOW_TO_NET_INC","FQ1 2025","FQ1 2025","Currency=USD","Period=FQ","BEST_FPERIOD_OVERRIDE=FQ","FILING_STATUS=MR","FA_ADJUSTED=GAAP","Sort=A","Dates=H","DateFormat=P","Fill=—","Direction=H","UseDPDF=Y")</f>
        <v>1.0651999999999999</v>
      </c>
      <c r="AB67" s="13" cm="1">
        <f t="array" ref="AB67">_xll.BDH("PH US Equity","CASH_FLOW_TO_NET_INC","FQ2 2025","FQ2 2025","Currency=USD","Period=FQ","BEST_FPERIOD_OVERRIDE=FQ","FILING_STATUS=MR","FA_ADJUSTED=GAAP","Sort=A","Dates=H","DateFormat=P","Fill=—","Direction=H","UseDPDF=Y")</f>
        <v>0.98550000000000004</v>
      </c>
      <c r="AC67" s="13" cm="1">
        <f t="array" ref="AC67">_xll.BDH("PH US Equity","CASH_FLOW_TO_NET_INC","FQ3 2025","FQ3 2025","Currency=USD","Period=FQ","BEST_FPERIOD_OVERRIDE=FQ","FILING_STATUS=MR","FA_ADJUSTED=GAAP","Sort=A","Dates=H","DateFormat=P","Fill=—","Direction=H","UseDPDF=Y")</f>
        <v>0.65569999999999995</v>
      </c>
      <c r="AD67" s="13" cm="1">
        <f t="array" ref="AD67">_xll.BDH("PH US Equity","CASH_FLOW_TO_NET_INC","FQ4 2025","FQ4 2025","Currency=USD","Period=FQ","BEST_FPERIOD_OVERRIDE=FQ","FILING_STATUS=MR","FA_ADJUSTED=GAAP","Sort=A","Dates=H","DateFormat=P","Fill=—","Direction=H","UseDPDF=Y")</f>
        <v>1.5895999999999999</v>
      </c>
      <c r="AE67" s="13" cm="1">
        <f t="array" ref="AE67">_xll.BDH("PH US Equity","CASH_FLOW_TO_NET_INC","FQ1 2026","FQ1 2026","Currency=USD","Period=FQ","BEST_FPERIOD_OVERRIDE=FQ","FILING_STATUS=MR","FA_ADJUSTED=GAAP","Sort=A","Dates=H","DateFormat=P","Fill=—","Direction=H","UseDPDF=Y")</f>
        <v>0.96779999999999999</v>
      </c>
      <c r="AF67" s="13" cm="1">
        <f t="array" ref="AF67">_xll.BDH("PH US Equity","CASH_FLOW_TO_NET_INC","FQ2 2026","FQ2 2026","Currency=USD","Period=FQ","BEST_FPERIOD_OVERRIDE=FQ","FILING_STATUS=MR","FA_ADJUSTED=GAAP","Sort=A","Dates=H","DateFormat=P","Fill=—","Direction=H","UseDPDF=Y")</f>
        <v>1.0201</v>
      </c>
    </row>
    <row r="68" spans="1:32" x14ac:dyDescent="0.25">
      <c r="A68" s="7" t="s">
        <v>166</v>
      </c>
      <c r="B68" s="7"/>
      <c r="C68" s="7" t="s">
        <v>1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2026-02-19T03:33:09Z</dcterms:modified>
</cp:coreProperties>
</file>