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Bloomberg\Mariann\FA Excel\"/>
    </mc:Choice>
  </mc:AlternateContent>
  <xr:revisionPtr revIDLastSave="0" documentId="8_{8491DC3C-D1C7-49BB-A58C-C4B2227FF8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BG Adjust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3" i="2" l="1" a="1"/>
  <c r="V18" i="2" a="1"/>
  <c r="V64" i="2" a="1"/>
  <c r="V25" i="2" a="1"/>
  <c r="V11" i="2" a="1"/>
  <c r="N43" i="2" a="1"/>
  <c r="N46" i="2" a="1"/>
  <c r="R34" i="2" a="1"/>
  <c r="Z46" i="2" a="1"/>
  <c r="Z34" i="2" a="1"/>
  <c r="F35" i="2" a="1"/>
  <c r="AA46" i="2" a="1"/>
  <c r="AD46" i="2" a="1"/>
  <c r="C34" i="2" a="1"/>
  <c r="V36" i="2" a="1"/>
  <c r="J42" i="2" a="1"/>
  <c r="J41" i="2" a="1"/>
  <c r="G36" i="2" a="1"/>
  <c r="G20" i="2" a="1"/>
  <c r="J15" i="2" a="1"/>
  <c r="G22" i="2" a="1"/>
  <c r="G67" i="2" a="1"/>
  <c r="J24" i="2" a="1"/>
  <c r="J9" i="2" a="1"/>
  <c r="G18" i="2" a="1"/>
  <c r="S42" i="2" a="1"/>
  <c r="S43" i="2" a="1"/>
  <c r="S59" i="2" a="1"/>
  <c r="O46" i="2" a="1"/>
  <c r="S10" i="2" a="1"/>
  <c r="S64" i="2" a="1"/>
  <c r="S15" i="2" a="1"/>
  <c r="S9" i="2" a="1"/>
  <c r="W35" i="2" a="1"/>
  <c r="K35" i="2" a="1"/>
  <c r="K46" i="2" a="1"/>
  <c r="W7" i="2" a="1"/>
  <c r="W11" i="2" a="1"/>
  <c r="W6" i="2" a="1"/>
  <c r="C23" i="2" a="1"/>
  <c r="C6" i="2" a="1"/>
  <c r="C12" i="2" a="1"/>
  <c r="C17" i="2" a="1"/>
  <c r="W72" i="2" a="1"/>
  <c r="K54" i="2" a="1"/>
  <c r="K55" i="2" a="1"/>
  <c r="O23" i="2" a="1"/>
  <c r="O11" i="2" a="1"/>
  <c r="O9" i="2" a="1"/>
  <c r="O12" i="2" a="1"/>
  <c r="AA11" i="2" a="1"/>
  <c r="AA14" i="2" a="1"/>
  <c r="AA22" i="2" a="1"/>
  <c r="G55" i="2" a="1"/>
  <c r="K21" i="2" a="1"/>
  <c r="K11" i="2" a="1"/>
  <c r="K7" i="2" a="1"/>
  <c r="K6" i="2" a="1"/>
  <c r="K53" i="2" a="1"/>
  <c r="AA69" i="2" a="1"/>
  <c r="W32" i="2" a="1"/>
  <c r="W45" i="2" a="1"/>
  <c r="W26" i="2" a="1"/>
  <c r="K68" i="2" a="1"/>
  <c r="K50" i="2" a="1"/>
  <c r="K39" i="2" a="1"/>
  <c r="K44" i="2" a="1"/>
  <c r="C57" i="2" a="1"/>
  <c r="C60" i="2" a="1"/>
  <c r="O69" i="2" a="1"/>
  <c r="W69" i="2" a="1"/>
  <c r="G69" i="2" a="1"/>
  <c r="C45" i="2" a="1"/>
  <c r="C26" i="2" a="1"/>
  <c r="C8" i="2" a="1"/>
  <c r="G16" i="2" a="1"/>
  <c r="G50" i="2" a="1"/>
  <c r="G75" i="2" a="1"/>
  <c r="G26" i="2" a="1"/>
  <c r="T64" i="2" a="1"/>
  <c r="T20" i="2" a="1"/>
  <c r="T24" i="2" a="1"/>
  <c r="T9" i="2" a="1"/>
  <c r="G58" i="2" a="1"/>
  <c r="V7" i="2" a="1"/>
  <c r="V66" i="2" a="1"/>
  <c r="V21" i="2" a="1"/>
  <c r="V10" i="2" a="1"/>
  <c r="N42" i="2" a="1"/>
  <c r="H58" i="2" a="1"/>
  <c r="V22" i="2" a="1"/>
  <c r="V17" i="2" a="1"/>
  <c r="V48" i="2" a="1"/>
  <c r="V12" i="2" a="1"/>
  <c r="N35" i="2" a="1"/>
  <c r="S58" i="2" a="1"/>
  <c r="R42" i="2" a="1"/>
  <c r="Z42" i="2" a="1"/>
  <c r="H53" i="2" a="1"/>
  <c r="I53" i="2" a="1"/>
  <c r="V23" i="2" a="1"/>
  <c r="V20" i="2" a="1"/>
  <c r="V14" i="2" a="1"/>
  <c r="I58" i="2" a="1"/>
  <c r="R36" i="2" a="1"/>
  <c r="Z43" i="2" a="1"/>
  <c r="AA35" i="2" a="1"/>
  <c r="AD43" i="2" a="1"/>
  <c r="C46" i="2" a="1"/>
  <c r="G41" i="2" a="1"/>
  <c r="J12" i="2" a="1"/>
  <c r="J18" i="2" a="1"/>
  <c r="J67" i="2" a="1"/>
  <c r="S41" i="2" a="1"/>
  <c r="S48" i="2" a="1"/>
  <c r="S7" i="2" a="1"/>
  <c r="W41" i="2" a="1"/>
  <c r="W9" i="2" a="1"/>
  <c r="V9" i="2" a="1"/>
  <c r="J53" i="2" a="1"/>
  <c r="J11" i="2" a="1"/>
  <c r="S13" i="2" a="1"/>
  <c r="S6" i="2" a="1"/>
  <c r="W18" i="2" a="1"/>
  <c r="W19" i="2" a="1"/>
  <c r="C64" i="2" a="1"/>
  <c r="C15" i="2" a="1"/>
  <c r="W52" i="2" a="1"/>
  <c r="O25" i="2" a="1"/>
  <c r="AA19" i="2" a="1"/>
  <c r="K67" i="2" a="1"/>
  <c r="W58" i="2" a="1"/>
  <c r="W31" i="2" a="1"/>
  <c r="K30" i="2" a="1"/>
  <c r="K16" i="2" a="1"/>
  <c r="O71" i="2" a="1"/>
  <c r="C28" i="2" a="1"/>
  <c r="G45" i="2" a="1"/>
  <c r="G27" i="2" a="1"/>
  <c r="T7" i="2" a="1"/>
  <c r="W39" i="2" a="1"/>
  <c r="C37" i="2" a="1"/>
  <c r="C11" i="2" a="1"/>
  <c r="K31" i="2" a="1"/>
  <c r="W27" i="2" a="1"/>
  <c r="G37" i="2" a="1"/>
  <c r="V67" i="2" a="1"/>
  <c r="R41" i="2" a="1"/>
  <c r="Z36" i="2" a="1"/>
  <c r="AD35" i="2" a="1"/>
  <c r="J34" i="2" a="1"/>
  <c r="J23" i="2" a="1"/>
  <c r="G12" i="2" a="1"/>
  <c r="S57" i="2" a="1"/>
  <c r="K42" i="2" a="1"/>
  <c r="W23" i="2" a="1"/>
  <c r="C7" i="2" a="1"/>
  <c r="K52" i="2" a="1"/>
  <c r="O15" i="2" a="1"/>
  <c r="O21" i="2" a="1"/>
  <c r="AA66" i="2" a="1"/>
  <c r="AA23" i="2" a="1"/>
  <c r="G59" i="2" a="1"/>
  <c r="K23" i="2" a="1"/>
  <c r="K15" i="2" a="1"/>
  <c r="AA68" i="2" a="1"/>
  <c r="W38" i="2" a="1"/>
  <c r="W29" i="2" a="1"/>
  <c r="K40" i="2" a="1"/>
  <c r="C72" i="2" a="1"/>
  <c r="C65" i="2" a="1"/>
  <c r="G65" i="2" a="1"/>
  <c r="C32" i="2" a="1"/>
  <c r="C44" i="2" a="1"/>
  <c r="G8" i="2" a="1"/>
  <c r="T23" i="2" a="1"/>
  <c r="T18" i="2" a="1"/>
  <c r="K12" i="2" a="1"/>
  <c r="C55" i="2" a="1"/>
  <c r="T10" i="2" a="1"/>
  <c r="W59" i="2" a="1"/>
  <c r="AA48" i="2" a="1"/>
  <c r="K65" i="2" a="1"/>
  <c r="G39" i="2" a="1"/>
  <c r="O14" i="2" a="1"/>
  <c r="K8" i="2" a="1"/>
  <c r="T19" i="2" a="1"/>
  <c r="T58" i="2" a="1"/>
  <c r="AA34" i="2" a="1"/>
  <c r="AD34" i="2" a="1"/>
  <c r="V46" i="2" a="1"/>
  <c r="J36" i="2" a="1"/>
  <c r="G10" i="2" a="1"/>
  <c r="J19" i="2" a="1"/>
  <c r="G25" i="2" a="1"/>
  <c r="S36" i="2" a="1"/>
  <c r="O35" i="2" a="1"/>
  <c r="S19" i="2" a="1"/>
  <c r="W43" i="2" a="1"/>
  <c r="W53" i="2" a="1"/>
  <c r="K70" i="2" a="1"/>
  <c r="K75" i="2" a="1"/>
  <c r="C52" i="2" a="1"/>
  <c r="W65" i="2" a="1"/>
  <c r="C73" i="2" a="1"/>
  <c r="G73" i="2" a="1"/>
  <c r="T21" i="2" a="1"/>
  <c r="T48" i="2" a="1"/>
  <c r="O13" i="2" a="1"/>
  <c r="K13" i="2" a="1"/>
  <c r="K73" i="2" a="1"/>
  <c r="G71" i="2" a="1"/>
  <c r="T12" i="2" a="1"/>
  <c r="C22" i="2" a="1"/>
  <c r="G72" i="2" a="1"/>
  <c r="W33" i="2" a="1"/>
  <c r="C38" i="2" a="1"/>
  <c r="AA7" i="2" a="1"/>
  <c r="K29" i="2" a="1"/>
  <c r="V13" i="2" a="1"/>
  <c r="R43" i="2" a="1"/>
  <c r="Z35" i="2" a="1"/>
  <c r="AA42" i="2" a="1"/>
  <c r="V34" i="2" a="1"/>
  <c r="J58" i="2" a="1"/>
  <c r="G7" i="2" a="1"/>
  <c r="J13" i="2" a="1"/>
  <c r="J25" i="2" a="1"/>
  <c r="V58" i="2" a="1"/>
  <c r="S21" i="2" a="1"/>
  <c r="S67" i="2" a="1"/>
  <c r="K41" i="2" a="1"/>
  <c r="W48" i="2" a="1"/>
  <c r="W13" i="2" a="1"/>
  <c r="W25" i="2" a="1"/>
  <c r="C18" i="2" a="1"/>
  <c r="C9" i="2" a="1"/>
  <c r="C10" i="2" a="1"/>
  <c r="W55" i="2" a="1"/>
  <c r="K60" i="2" a="1"/>
  <c r="O17" i="2" a="1"/>
  <c r="O19" i="2" a="1"/>
  <c r="O7" i="2" a="1"/>
  <c r="AA9" i="2" a="1"/>
  <c r="AA67" i="2" a="1"/>
  <c r="AA21" i="2" a="1"/>
  <c r="G57" i="2" a="1"/>
  <c r="K48" i="2" a="1"/>
  <c r="K17" i="2" a="1"/>
  <c r="K25" i="2" a="1"/>
  <c r="W37" i="2" a="1"/>
  <c r="W28" i="2" a="1"/>
  <c r="W49" i="2" a="1"/>
  <c r="K27" i="2" a="1"/>
  <c r="K37" i="2" a="1"/>
  <c r="C71" i="2" a="1"/>
  <c r="G70" i="2" a="1"/>
  <c r="C49" i="2" a="1"/>
  <c r="C75" i="2" a="1"/>
  <c r="G74" i="2" a="1"/>
  <c r="G33" i="2" a="1"/>
  <c r="T67" i="2" a="1"/>
  <c r="AA58" i="2" a="1"/>
  <c r="AA10" i="2" a="1"/>
  <c r="K24" i="2" a="1"/>
  <c r="W74" i="2" a="1"/>
  <c r="K38" i="2" a="1"/>
  <c r="C68" i="2" a="1"/>
  <c r="C50" i="2" a="1"/>
  <c r="G28" i="2" a="1"/>
  <c r="C66" i="2" a="1"/>
  <c r="O18" i="2" a="1"/>
  <c r="K9" i="2" a="1"/>
  <c r="K22" i="2" a="1"/>
  <c r="K28" i="2" a="1"/>
  <c r="W70" i="2" a="1"/>
  <c r="G44" i="2" a="1"/>
  <c r="T17" i="2" a="1"/>
  <c r="AA15" i="2" a="1"/>
  <c r="W8" i="2" a="1"/>
  <c r="K33" i="2" a="1"/>
  <c r="G30" i="2" a="1"/>
  <c r="T53" i="2" a="1"/>
  <c r="R35" i="2" a="1"/>
  <c r="F42" i="2" a="1"/>
  <c r="AD42" i="2" a="1"/>
  <c r="V43" i="2" a="1"/>
  <c r="J43" i="2" a="1"/>
  <c r="G15" i="2" a="1"/>
  <c r="G24" i="2" a="1"/>
  <c r="G9" i="2" a="1"/>
  <c r="V53" i="2" a="1"/>
  <c r="O36" i="2" a="1"/>
  <c r="S20" i="2" a="1"/>
  <c r="C53" i="2" a="1"/>
  <c r="W46" i="2" a="1"/>
  <c r="W17" i="2" a="1"/>
  <c r="J7" i="2" a="1"/>
  <c r="G48" i="2" a="1"/>
  <c r="G66" i="2" a="1"/>
  <c r="O43" i="2" a="1"/>
  <c r="S12" i="2" a="1"/>
  <c r="S14" i="2" a="1"/>
  <c r="W66" i="2" a="1"/>
  <c r="W12" i="2" a="1"/>
  <c r="C25" i="2" a="1"/>
  <c r="C21" i="2" a="1"/>
  <c r="W57" i="2" a="1"/>
  <c r="K57" i="2" a="1"/>
  <c r="O22" i="2" a="1"/>
  <c r="AA12" i="2" a="1"/>
  <c r="AA17" i="2" a="1"/>
  <c r="G54" i="2" a="1"/>
  <c r="K58" i="2" a="1"/>
  <c r="K69" i="2" a="1"/>
  <c r="K45" i="2" a="1"/>
  <c r="W71" i="2" a="1"/>
  <c r="G38" i="2" a="1"/>
  <c r="T66" i="2" a="1"/>
  <c r="W20" i="2" a="1"/>
  <c r="O67" i="2" a="1"/>
  <c r="K66" i="2" a="1"/>
  <c r="W44" i="2" a="1"/>
  <c r="K32" i="2" a="1"/>
  <c r="C40" i="2" a="1"/>
  <c r="T14" i="2" a="1"/>
  <c r="T25" i="2" a="1"/>
  <c r="O48" i="2" a="1"/>
  <c r="K71" i="2" a="1"/>
  <c r="C70" i="2" a="1"/>
  <c r="T13" i="2" a="1"/>
  <c r="V6" i="2" a="1"/>
  <c r="F34" i="2" a="1"/>
  <c r="AA36" i="2" a="1"/>
  <c r="C41" i="2" a="1"/>
  <c r="G46" i="2" a="1"/>
  <c r="J48" i="2" a="1"/>
  <c r="C14" i="2" a="1"/>
  <c r="O10" i="2" a="1"/>
  <c r="W73" i="2" a="1"/>
  <c r="C29" i="2" a="1"/>
  <c r="O6" i="2" a="1"/>
  <c r="W75" i="2" a="1"/>
  <c r="C33" i="2" a="1"/>
  <c r="AA18" i="2" a="1"/>
  <c r="W68" i="2" a="1"/>
  <c r="N41" i="2" a="1"/>
  <c r="R46" i="2" a="1"/>
  <c r="AA41" i="2" a="1"/>
  <c r="V35" i="2" a="1"/>
  <c r="G34" i="2" a="1"/>
  <c r="G64" i="2" a="1"/>
  <c r="J10" i="2" a="1"/>
  <c r="J14" i="2" a="1"/>
  <c r="S72" i="2" a="1"/>
  <c r="O42" i="2" a="1"/>
  <c r="C58" i="2" a="1"/>
  <c r="W36" i="2" a="1"/>
  <c r="W15" i="2" a="1"/>
  <c r="O58" i="2" a="1"/>
  <c r="AA65" i="2" a="1"/>
  <c r="G40" i="2" a="1"/>
  <c r="G60" i="2" a="1"/>
  <c r="O68" i="2" a="1"/>
  <c r="V19" i="2" a="1"/>
  <c r="N36" i="2" a="1"/>
  <c r="U53" i="2" a="1"/>
  <c r="F36" i="2" a="1"/>
  <c r="AA43" i="2" a="1"/>
  <c r="C35" i="2" a="1"/>
  <c r="V42" i="2" a="1"/>
  <c r="G19" i="2" a="1"/>
  <c r="J66" i="2" a="1"/>
  <c r="G6" i="2" a="1"/>
  <c r="G11" i="2" a="1"/>
  <c r="S52" i="2" a="1"/>
  <c r="S24" i="2" a="1"/>
  <c r="S22" i="2" a="1"/>
  <c r="K43" i="2" a="1"/>
  <c r="W67" i="2" a="1"/>
  <c r="AA53" i="2" a="1"/>
  <c r="AA20" i="2" a="1"/>
  <c r="C54" i="2" a="1"/>
  <c r="AA71" i="2" a="1"/>
  <c r="C27" i="2" a="1"/>
  <c r="F43" i="2" a="1"/>
  <c r="C36" i="2" a="1"/>
  <c r="G42" i="2" a="1"/>
  <c r="J20" i="2" a="1"/>
  <c r="G17" i="2" a="1"/>
  <c r="G23" i="2" a="1"/>
  <c r="S35" i="2" a="1"/>
  <c r="O41" i="2" a="1"/>
  <c r="S11" i="2" a="1"/>
  <c r="W34" i="2" a="1"/>
  <c r="W24" i="2" a="1"/>
  <c r="K10" i="2" a="1"/>
  <c r="C31" i="2" a="1"/>
  <c r="V24" i="2" a="1"/>
  <c r="N34" i="2" a="1"/>
  <c r="U58" i="2" a="1"/>
  <c r="AD36" i="2" a="1"/>
  <c r="C42" i="2" a="1"/>
  <c r="V41" i="2" a="1"/>
  <c r="G35" i="2" a="1"/>
  <c r="J22" i="2" a="1"/>
  <c r="J21" i="2" a="1"/>
  <c r="S34" i="2" a="1"/>
  <c r="S54" i="2" a="1"/>
  <c r="O34" i="2" a="1"/>
  <c r="S17" i="2" a="1"/>
  <c r="S18" i="2" a="1"/>
  <c r="K34" i="2" a="1"/>
  <c r="W22" i="2" a="1"/>
  <c r="W10" i="2" a="1"/>
  <c r="C20" i="2" a="1"/>
  <c r="C67" i="2" a="1"/>
  <c r="C48" i="2" a="1"/>
  <c r="W54" i="2" a="1"/>
  <c r="K59" i="2" a="1"/>
  <c r="O53" i="2" a="1"/>
  <c r="O24" i="2" a="1"/>
  <c r="K20" i="2" a="1"/>
  <c r="C30" i="2" a="1"/>
  <c r="S53" i="2" a="1"/>
  <c r="Z41" i="2" a="1"/>
  <c r="F41" i="2" a="1"/>
  <c r="AD41" i="2" a="1"/>
  <c r="J35" i="2" a="1"/>
  <c r="G14" i="2" a="1"/>
  <c r="J64" i="2" a="1"/>
  <c r="J6" i="2" a="1"/>
  <c r="J17" i="2" a="1"/>
  <c r="S55" i="2" a="1"/>
  <c r="W42" i="2" a="1"/>
  <c r="W64" i="2" a="1"/>
  <c r="K64" i="2" a="1"/>
  <c r="T15" i="2" a="1"/>
  <c r="V15" i="2" a="1"/>
  <c r="F46" i="2" a="1"/>
  <c r="C43" i="2" a="1"/>
  <c r="J46" i="2" a="1"/>
  <c r="G43" i="2" a="1"/>
  <c r="G21" i="2" a="1"/>
  <c r="G13" i="2" a="1"/>
  <c r="S46" i="2" a="1"/>
  <c r="S60" i="2" a="1"/>
  <c r="S66" i="2" a="1"/>
  <c r="S23" i="2" a="1"/>
  <c r="S25" i="2" a="1"/>
  <c r="K36" i="2" a="1"/>
  <c r="W14" i="2" a="1"/>
  <c r="W21" i="2" a="1"/>
  <c r="C19" i="2" a="1"/>
  <c r="C24" i="2" a="1"/>
  <c r="C13" i="2" a="1"/>
  <c r="W60" i="2" a="1"/>
  <c r="K72" i="2" a="1"/>
  <c r="O66" i="2" a="1"/>
  <c r="O20" i="2" a="1"/>
  <c r="O64" i="2" a="1"/>
  <c r="AA24" i="2" a="1"/>
  <c r="AA25" i="2" a="1"/>
  <c r="AA13" i="2" a="1"/>
  <c r="AA64" i="2" a="1"/>
  <c r="G52" i="2" a="1"/>
  <c r="K14" i="2" a="1"/>
  <c r="K18" i="2" a="1"/>
  <c r="K19" i="2" a="1"/>
  <c r="AA70" i="2" a="1"/>
  <c r="W16" i="2" a="1"/>
  <c r="W50" i="2" a="1"/>
  <c r="W40" i="2" a="1"/>
  <c r="K49" i="2" a="1"/>
  <c r="K26" i="2" a="1"/>
  <c r="K74" i="2" a="1"/>
  <c r="C59" i="2" a="1"/>
  <c r="C69" i="2" a="1"/>
  <c r="O70" i="2" a="1"/>
  <c r="G68" i="2" a="1"/>
  <c r="C16" i="2" a="1"/>
  <c r="C74" i="2" a="1"/>
  <c r="C39" i="2" a="1"/>
  <c r="G29" i="2" a="1"/>
  <c r="G31" i="2" a="1"/>
  <c r="G32" i="2" a="1"/>
  <c r="T6" i="2" a="1"/>
  <c r="T11" i="2" a="1"/>
  <c r="T22" i="2" a="1"/>
  <c r="AA6" i="2" a="1"/>
  <c r="O65" i="2" a="1"/>
  <c r="W30" i="2" a="1"/>
  <c r="G49" i="2" a="1"/>
  <c r="S73" i="2" a="1"/>
  <c r="S75" i="2" a="1"/>
  <c r="S30" i="2" a="1"/>
  <c r="S50" i="2" a="1"/>
  <c r="O55" i="2" a="1"/>
  <c r="S70" i="2" a="1"/>
  <c r="H7" i="2" a="1"/>
  <c r="O8" i="2" a="1"/>
  <c r="O31" i="2" a="1"/>
  <c r="O33" i="2" a="1"/>
  <c r="H64" i="2" a="1"/>
  <c r="H10" i="2" a="1"/>
  <c r="O50" i="2" a="1"/>
  <c r="AA32" i="2" a="1"/>
  <c r="AA73" i="2" a="1"/>
  <c r="AA16" i="2" a="1"/>
  <c r="AA45" i="2" a="1"/>
  <c r="D36" i="2" a="1"/>
  <c r="L42" i="2" a="1"/>
  <c r="X43" i="2" a="1"/>
  <c r="AA72" i="2" a="1"/>
  <c r="H43" i="2" a="1"/>
  <c r="AB41" i="2" a="1"/>
  <c r="AB42" i="2" a="1"/>
  <c r="T46" i="2" a="1"/>
  <c r="P35" i="2" a="1"/>
  <c r="X52" i="2" a="1"/>
  <c r="AB58" i="2" a="1"/>
  <c r="L52" i="2" a="1"/>
  <c r="P65" i="2" a="1"/>
  <c r="X22" i="2" a="1"/>
  <c r="X11" i="2" a="1"/>
  <c r="X64" i="2" a="1"/>
  <c r="X10" i="2" a="1"/>
  <c r="P9" i="2" a="1"/>
  <c r="P17" i="2" a="1"/>
  <c r="P15" i="2" a="1"/>
  <c r="P10" i="2" a="1"/>
  <c r="H60" i="2" a="1"/>
  <c r="P32" i="2" a="1"/>
  <c r="P49" i="2" a="1"/>
  <c r="P29" i="2" a="1"/>
  <c r="T72" i="2" a="1"/>
  <c r="T57" i="2" a="1"/>
  <c r="D11" i="2" a="1"/>
  <c r="D13" i="2" a="1"/>
  <c r="D12" i="2" a="1"/>
  <c r="D66" i="2" a="1"/>
  <c r="X28" i="2" a="1"/>
  <c r="X49" i="2" a="1"/>
  <c r="X38" i="2" a="1"/>
  <c r="D72" i="2" a="1"/>
  <c r="L13" i="2" a="1"/>
  <c r="L21" i="2" a="1"/>
  <c r="L66" i="2" a="1"/>
  <c r="L18" i="2" a="1"/>
  <c r="AB13" i="2" a="1"/>
  <c r="AB19" i="2" a="1"/>
  <c r="AB11" i="2" a="1"/>
  <c r="AB9" i="2" a="1"/>
  <c r="L39" i="2" a="1"/>
  <c r="L8" i="2" a="1"/>
  <c r="L26" i="2" a="1"/>
  <c r="H27" i="2" a="1"/>
  <c r="H29" i="2" a="1"/>
  <c r="H40" i="2" a="1"/>
  <c r="H33" i="2" a="1"/>
  <c r="D33" i="2" a="1"/>
  <c r="D32" i="2" a="1"/>
  <c r="D49" i="2" a="1"/>
  <c r="AB57" i="2" a="1"/>
  <c r="S32" i="2" a="1"/>
  <c r="S74" i="2" a="1"/>
  <c r="S44" i="2" a="1"/>
  <c r="S38" i="2" a="1"/>
  <c r="O72" i="2" a="1"/>
  <c r="S71" i="2" a="1"/>
  <c r="H24" i="2" a="1"/>
  <c r="H12" i="2" a="1"/>
  <c r="H18" i="2" a="1"/>
  <c r="O39" i="2" a="1"/>
  <c r="O49" i="2" a="1"/>
  <c r="O37" i="2" a="1"/>
  <c r="O38" i="2" a="1"/>
  <c r="AA27" i="2" a="1"/>
  <c r="AA75" i="2" a="1"/>
  <c r="AA74" i="2" a="1"/>
  <c r="D34" i="2" a="1"/>
  <c r="D41" i="2" a="1"/>
  <c r="L34" i="2" a="1"/>
  <c r="X34" i="2" a="1"/>
  <c r="AA54" i="2" a="1"/>
  <c r="H35" i="2" a="1"/>
  <c r="AB43" i="2" a="1"/>
  <c r="T42" i="2" a="1"/>
  <c r="T41" i="2" a="1"/>
  <c r="P34" i="2" a="1"/>
  <c r="X59" i="2" a="1"/>
  <c r="AB53" i="2" a="1"/>
  <c r="L57" i="2" a="1"/>
  <c r="P69" i="2" a="1"/>
  <c r="X12" i="2" a="1"/>
  <c r="X13" i="2" a="1"/>
  <c r="X9" i="2" a="1"/>
  <c r="X67" i="2" a="1"/>
  <c r="P19" i="2" a="1"/>
  <c r="P67" i="2" a="1"/>
  <c r="P7" i="2" a="1"/>
  <c r="P48" i="2" a="1"/>
  <c r="H57" i="2" a="1"/>
  <c r="S39" i="2" a="1"/>
  <c r="S33" i="2" a="1"/>
  <c r="S40" i="2" a="1"/>
  <c r="S49" i="2" a="1"/>
  <c r="O60" i="2" a="1"/>
  <c r="S68" i="2" a="1"/>
  <c r="H22" i="2" a="1"/>
  <c r="O30" i="2" a="1"/>
  <c r="O28" i="2" a="1"/>
  <c r="H21" i="2" a="1"/>
  <c r="O74" i="2" a="1"/>
  <c r="O27" i="2" a="1"/>
  <c r="O73" i="2" a="1"/>
  <c r="AA33" i="2" a="1"/>
  <c r="AA26" i="2" a="1"/>
  <c r="AA50" i="2" a="1"/>
  <c r="D43" i="2" a="1"/>
  <c r="L36" i="2" a="1"/>
  <c r="L41" i="2" a="1"/>
  <c r="X46" i="2" a="1"/>
  <c r="AA59" i="2" a="1"/>
  <c r="H36" i="2" a="1"/>
  <c r="AB46" i="2" a="1"/>
  <c r="T35" i="2" a="1"/>
  <c r="P43" i="2" a="1"/>
  <c r="P41" i="2" a="1"/>
  <c r="X57" i="2" a="1"/>
  <c r="D53" i="2" a="1"/>
  <c r="L55" i="2" a="1"/>
  <c r="P71" i="2" a="1"/>
  <c r="X23" i="2" a="1"/>
  <c r="X48" i="2" a="1"/>
  <c r="X20" i="2" a="1"/>
  <c r="X58" i="2" a="1"/>
  <c r="P23" i="2" a="1"/>
  <c r="P22" i="2" a="1"/>
  <c r="P20" i="2" a="1"/>
  <c r="H72" i="2" a="1"/>
  <c r="H59" i="2" a="1"/>
  <c r="P27" i="2" a="1"/>
  <c r="P45" i="2" a="1"/>
  <c r="P74" i="2" a="1"/>
  <c r="T60" i="2" a="1"/>
  <c r="L53" i="2" a="1"/>
  <c r="D17" i="2" a="1"/>
  <c r="D10" i="2" a="1"/>
  <c r="D14" i="2" a="1"/>
  <c r="X31" i="2" a="1"/>
  <c r="X26" i="2" a="1"/>
  <c r="X27" i="2" a="1"/>
  <c r="X73" i="2" a="1"/>
  <c r="D57" i="2" a="1"/>
  <c r="L14" i="2" a="1"/>
  <c r="L15" i="2" a="1"/>
  <c r="L7" i="2" a="1"/>
  <c r="L6" i="2" a="1"/>
  <c r="AB23" i="2" a="1"/>
  <c r="AB10" i="2" a="1"/>
  <c r="AB64" i="2" a="1"/>
  <c r="L31" i="2" a="1"/>
  <c r="L73" i="2" a="1"/>
  <c r="L27" i="2" a="1"/>
  <c r="L44" i="2" a="1"/>
  <c r="H49" i="2" a="1"/>
  <c r="H74" i="2" a="1"/>
  <c r="H8" i="2" a="1"/>
  <c r="AB69" i="2" a="1"/>
  <c r="D45" i="2" a="1"/>
  <c r="D44" i="2" a="1"/>
  <c r="S26" i="2" a="1"/>
  <c r="S37" i="2" a="1"/>
  <c r="S27" i="2" a="1"/>
  <c r="O59" i="2" a="1"/>
  <c r="O57" i="2" a="1"/>
  <c r="H17" i="2" a="1"/>
  <c r="H48" i="2" a="1"/>
  <c r="H15" i="2" a="1"/>
  <c r="O32" i="2" a="1"/>
  <c r="O40" i="2" a="1"/>
  <c r="H11" i="2" a="1"/>
  <c r="O16" i="2" a="1"/>
  <c r="O45" i="2" a="1"/>
  <c r="AA39" i="2" a="1"/>
  <c r="AA40" i="2" a="1"/>
  <c r="AA38" i="2" a="1"/>
  <c r="D42" i="2" a="1"/>
  <c r="L43" i="2" a="1"/>
  <c r="X36" i="2" a="1"/>
  <c r="X35" i="2" a="1"/>
  <c r="AA57" i="2" a="1"/>
  <c r="H41" i="2" a="1"/>
  <c r="AB34" i="2" a="1"/>
  <c r="T34" i="2" a="1"/>
  <c r="P42" i="2" a="1"/>
  <c r="P58" i="2" a="1"/>
  <c r="X60" i="2" a="1"/>
  <c r="D58" i="2" a="1"/>
  <c r="L72" i="2" a="1"/>
  <c r="P68" i="2" a="1"/>
  <c r="X19" i="2" a="1"/>
  <c r="X18" i="2" a="1"/>
  <c r="X7" i="2" a="1"/>
  <c r="X53" i="2" a="1"/>
  <c r="P66" i="2" a="1"/>
  <c r="P13" i="2" a="1"/>
  <c r="P14" i="2" a="1"/>
  <c r="H52" i="2" a="1"/>
  <c r="P40" i="2" a="1"/>
  <c r="P50" i="2" a="1"/>
  <c r="P26" i="2" a="1"/>
  <c r="P16" i="2" a="1"/>
  <c r="T52" i="2" a="1"/>
  <c r="D23" i="2" a="1"/>
  <c r="D22" i="2" a="1"/>
  <c r="D20" i="2" a="1"/>
  <c r="D21" i="2" a="1"/>
  <c r="X37" i="2" a="1"/>
  <c r="X40" i="2" a="1"/>
  <c r="X8" i="2" a="1"/>
  <c r="X32" i="2" a="1"/>
  <c r="D54" i="2" a="1"/>
  <c r="L25" i="2" a="1"/>
  <c r="L12" i="2" a="1"/>
  <c r="L24" i="2" a="1"/>
  <c r="AB24" i="2" a="1"/>
  <c r="AB7" i="2" a="1"/>
  <c r="AB6" i="2" a="1"/>
  <c r="AB14" i="2" a="1"/>
  <c r="L50" i="2" a="1"/>
  <c r="L40" i="2" a="1"/>
  <c r="L16" i="2" a="1"/>
  <c r="L75" i="2" a="1"/>
  <c r="H73" i="2" a="1"/>
  <c r="H50" i="2" a="1"/>
  <c r="H44" i="2" a="1"/>
  <c r="AB65" i="2" a="1"/>
  <c r="D28" i="2" a="1"/>
  <c r="D31" i="2" a="1"/>
  <c r="AB60" i="2" a="1"/>
  <c r="AB59" i="2" a="1"/>
  <c r="D38" i="2" a="1"/>
  <c r="E36" i="2" a="1"/>
  <c r="P59" i="2" a="1"/>
  <c r="T71" i="2" a="1"/>
  <c r="AB45" i="2" a="1"/>
  <c r="AB50" i="2" a="1"/>
  <c r="AB28" i="2" a="1"/>
  <c r="D65" i="2" a="1"/>
  <c r="S29" i="2" a="1"/>
  <c r="S28" i="2" a="1"/>
  <c r="S16" i="2" a="1"/>
  <c r="O52" i="2" a="1"/>
  <c r="S65" i="2" a="1"/>
  <c r="H23" i="2" a="1"/>
  <c r="H20" i="2" a="1"/>
  <c r="O26" i="2" a="1"/>
  <c r="H9" i="2" a="1"/>
  <c r="H13" i="2" a="1"/>
  <c r="H66" i="2" a="1"/>
  <c r="O44" i="2" a="1"/>
  <c r="AA49" i="2" a="1"/>
  <c r="AA8" i="2" a="1"/>
  <c r="AA37" i="2" a="1"/>
  <c r="AA44" i="2" a="1"/>
  <c r="D46" i="2" a="1"/>
  <c r="L46" i="2" a="1"/>
  <c r="X41" i="2" a="1"/>
  <c r="AA55" i="2" a="1"/>
  <c r="AA60" i="2" a="1"/>
  <c r="H46" i="2" a="1"/>
  <c r="AB35" i="2" a="1"/>
  <c r="T43" i="2" a="1"/>
  <c r="P46" i="2" a="1"/>
  <c r="P53" i="2" a="1"/>
  <c r="X54" i="2" a="1"/>
  <c r="L59" i="2" a="1"/>
  <c r="S31" i="2" a="1"/>
  <c r="H25" i="2" a="1"/>
  <c r="AA29" i="2" a="1"/>
  <c r="X42" i="2" a="1"/>
  <c r="P36" i="2" a="1"/>
  <c r="X15" i="2" a="1"/>
  <c r="P64" i="2" a="1"/>
  <c r="H54" i="2" a="1"/>
  <c r="D73" i="2" a="1"/>
  <c r="E34" i="2" a="1"/>
  <c r="T68" i="2" a="1"/>
  <c r="AB38" i="2" a="1"/>
  <c r="D71" i="2" a="1"/>
  <c r="X68" i="2" a="1"/>
  <c r="T8" i="2" a="1"/>
  <c r="T75" i="2" a="1"/>
  <c r="L74" i="2" a="1"/>
  <c r="H31" i="2" a="1"/>
  <c r="D30" i="2" a="1"/>
  <c r="P60" i="2" a="1"/>
  <c r="AB30" i="2" a="1"/>
  <c r="AB73" i="2" a="1"/>
  <c r="X65" i="2" a="1"/>
  <c r="T33" i="2" a="1"/>
  <c r="AB49" i="2" a="1"/>
  <c r="T45" i="2" a="1"/>
  <c r="H32" i="2" a="1"/>
  <c r="H69" i="2" a="1"/>
  <c r="AB12" i="2" a="1"/>
  <c r="AB44" i="2" a="1"/>
  <c r="D18" i="2" a="1"/>
  <c r="E43" i="2" a="1"/>
  <c r="T73" i="2" a="1"/>
  <c r="P28" i="2" a="1"/>
  <c r="D6" i="2" a="1"/>
  <c r="X29" i="2" a="1"/>
  <c r="X30" i="2" a="1"/>
  <c r="L64" i="2" a="1"/>
  <c r="AB67" i="2" a="1"/>
  <c r="L49" i="2" a="1"/>
  <c r="D16" i="2" a="1"/>
  <c r="D70" i="2" a="1"/>
  <c r="E41" i="2" a="1"/>
  <c r="AB72" i="2" a="1"/>
  <c r="P44" i="2" a="1"/>
  <c r="S8" i="2" a="1"/>
  <c r="H67" i="2" a="1"/>
  <c r="AA28" i="2" a="1"/>
  <c r="AA52" i="2" a="1"/>
  <c r="X55" i="2" a="1"/>
  <c r="X6" i="2" a="1"/>
  <c r="P18" i="2" a="1"/>
  <c r="P37" i="2" a="1"/>
  <c r="P39" i="2" a="1"/>
  <c r="D25" i="2" a="1"/>
  <c r="X74" i="2" a="1"/>
  <c r="D55" i="2" a="1"/>
  <c r="L67" i="2" a="1"/>
  <c r="AB20" i="2" a="1"/>
  <c r="L38" i="2" a="1"/>
  <c r="H45" i="2" a="1"/>
  <c r="H30" i="2" a="1"/>
  <c r="D26" i="2" a="1"/>
  <c r="X69" i="2" a="1"/>
  <c r="T27" i="2" a="1"/>
  <c r="T39" i="2" a="1"/>
  <c r="H37" i="2" a="1"/>
  <c r="AB55" i="2" a="1"/>
  <c r="P55" i="2" a="1"/>
  <c r="D69" i="2" a="1"/>
  <c r="T74" i="2" a="1"/>
  <c r="AB75" i="2" a="1"/>
  <c r="T49" i="2" a="1"/>
  <c r="AB48" i="2" a="1"/>
  <c r="T37" i="2" a="1"/>
  <c r="AB22" i="2" a="1"/>
  <c r="X14" i="2" a="1"/>
  <c r="P12" i="2" a="1"/>
  <c r="P8" i="2" a="1"/>
  <c r="P33" i="2" a="1"/>
  <c r="D64" i="2" a="1"/>
  <c r="X39" i="2" a="1"/>
  <c r="D52" i="2" a="1"/>
  <c r="L48" i="2" a="1"/>
  <c r="AB18" i="2" a="1"/>
  <c r="L30" i="2" a="1"/>
  <c r="H75" i="2" a="1"/>
  <c r="D8" i="2" a="1"/>
  <c r="AB31" i="2" a="1"/>
  <c r="T31" i="2" a="1"/>
  <c r="D67" i="2" a="1"/>
  <c r="D37" i="2" a="1"/>
  <c r="S45" i="2" a="1"/>
  <c r="H19" i="2" a="1"/>
  <c r="AA31" i="2" a="1"/>
  <c r="H34" i="2" a="1"/>
  <c r="X72" i="2" a="1"/>
  <c r="AB54" i="2" a="1"/>
  <c r="P57" i="2" a="1"/>
  <c r="AB27" i="2" a="1"/>
  <c r="AB37" i="2" a="1"/>
  <c r="L71" i="2" a="1"/>
  <c r="T40" i="2" a="1"/>
  <c r="H68" i="2" a="1"/>
  <c r="AB17" i="2" a="1"/>
  <c r="AB68" i="2" a="1"/>
  <c r="D50" i="2" a="1"/>
  <c r="AB39" i="2" a="1"/>
  <c r="L65" i="2" a="1"/>
  <c r="T32" i="2" a="1"/>
  <c r="H70" i="2" a="1"/>
  <c r="AB15" i="2" a="1"/>
  <c r="T26" i="2" a="1"/>
  <c r="L32" i="2" a="1"/>
  <c r="X71" i="2" a="1"/>
  <c r="X21" i="2" a="1"/>
  <c r="L28" i="2" a="1"/>
  <c r="X25" i="2" a="1"/>
  <c r="P24" i="2" a="1"/>
  <c r="P73" i="2" a="1"/>
  <c r="T55" i="2" a="1"/>
  <c r="D15" i="2" a="1"/>
  <c r="X16" i="2" a="1"/>
  <c r="D60" i="2" a="1"/>
  <c r="L11" i="2" a="1"/>
  <c r="L29" i="2" a="1"/>
  <c r="H16" i="2" a="1"/>
  <c r="D74" i="2" a="1"/>
  <c r="P54" i="2" a="1"/>
  <c r="AB29" i="2" a="1"/>
  <c r="T16" i="2" a="1"/>
  <c r="T44" i="2" a="1"/>
  <c r="AB8" i="2" a="1"/>
  <c r="L22" i="2" a="1"/>
  <c r="T30" i="2" a="1"/>
  <c r="H55" i="2" a="1"/>
  <c r="AB21" i="2" a="1"/>
  <c r="AB26" i="2" a="1"/>
  <c r="O54" i="2" a="1"/>
  <c r="H14" i="2" a="1"/>
  <c r="AA30" i="2" a="1"/>
  <c r="H42" i="2" a="1"/>
  <c r="L54" i="2" a="1"/>
  <c r="X66" i="2" a="1"/>
  <c r="P6" i="2" a="1"/>
  <c r="P38" i="2" a="1"/>
  <c r="T54" i="2" a="1"/>
  <c r="D24" i="2" a="1"/>
  <c r="X33" i="2" a="1"/>
  <c r="D59" i="2" a="1"/>
  <c r="L9" i="2" a="1"/>
  <c r="AB25" i="2" a="1"/>
  <c r="L33" i="2" a="1"/>
  <c r="H39" i="2" a="1"/>
  <c r="AB71" i="2" a="1"/>
  <c r="D27" i="2" a="1"/>
  <c r="E35" i="2" a="1"/>
  <c r="P72" i="2" a="1"/>
  <c r="AB32" i="2" a="1"/>
  <c r="AB16" i="2" a="1"/>
  <c r="L69" i="2" a="1"/>
  <c r="T50" i="2" a="1"/>
  <c r="H71" i="2" a="1"/>
  <c r="AB40" i="2" a="1"/>
  <c r="L68" i="2" a="1"/>
  <c r="T38" i="2" a="1"/>
  <c r="T29" i="2" a="1"/>
  <c r="T28" i="2" a="1"/>
  <c r="T70" i="2" a="1"/>
  <c r="D19" i="2" a="1"/>
  <c r="AB74" i="2" a="1"/>
  <c r="D48" i="2" a="1"/>
  <c r="T69" i="2" a="1"/>
  <c r="X70" i="2" a="1"/>
  <c r="P75" i="2" a="1"/>
  <c r="T59" i="2" a="1"/>
  <c r="D7" i="2" a="1"/>
  <c r="X44" i="2" a="1"/>
  <c r="L10" i="2" a="1"/>
  <c r="L17" i="2" a="1"/>
  <c r="AB66" i="2" a="1"/>
  <c r="L37" i="2" a="1"/>
  <c r="H26" i="2" a="1"/>
  <c r="AB70" i="2" a="1"/>
  <c r="AB52" i="2" a="1"/>
  <c r="E42" i="2" a="1"/>
  <c r="P52" i="2" a="1"/>
  <c r="AB33" i="2" a="1"/>
  <c r="H65" i="2" a="1"/>
  <c r="L45" i="2" a="1"/>
  <c r="D40" i="2" a="1"/>
  <c r="H28" i="2" a="1"/>
  <c r="S69" i="2" a="1"/>
  <c r="O75" i="2" a="1"/>
  <c r="D35" i="2" a="1"/>
  <c r="AB36" i="2" a="1"/>
  <c r="L60" i="2" a="1"/>
  <c r="X17" i="2" a="1"/>
  <c r="P25" i="2" a="1"/>
  <c r="D39" i="2" a="1"/>
  <c r="L70" i="2" a="1"/>
  <c r="H38" i="2" a="1"/>
  <c r="L19" i="2" a="1"/>
  <c r="P70" i="2" a="1"/>
  <c r="X24" i="2" a="1"/>
  <c r="P11" i="2" a="1"/>
  <c r="P31" i="2" a="1"/>
  <c r="L58" i="2" a="1"/>
  <c r="D9" i="2" a="1"/>
  <c r="X75" i="2" a="1"/>
  <c r="L20" i="2" a="1"/>
  <c r="L23" i="2" a="1"/>
  <c r="D75" i="2" a="1"/>
  <c r="T65" i="2" a="1"/>
  <c r="X50" i="2" a="1"/>
  <c r="H6" i="2" a="1"/>
  <c r="O29" i="2" a="1"/>
  <c r="L35" i="2" a="1"/>
  <c r="T36" i="2" a="1"/>
  <c r="P30" i="2" a="1"/>
  <c r="X45" i="2" a="1"/>
  <c r="E46" i="2" a="1"/>
  <c r="P21" i="2" a="1"/>
  <c r="D29" i="2" a="1"/>
  <c r="D68" i="2" a="1"/>
  <c r="Q36" i="2" a="1"/>
  <c r="Q41" i="2" a="1"/>
  <c r="I42" i="2" a="1"/>
  <c r="U34" i="2" a="1"/>
  <c r="AC42" i="2" a="1"/>
  <c r="Y42" i="2" a="1"/>
  <c r="M41" i="2" a="1"/>
  <c r="M59" i="2" a="1"/>
  <c r="M55" i="2" a="1"/>
  <c r="U20" i="2" a="1"/>
  <c r="U14" i="2" a="1"/>
  <c r="U25" i="2" a="1"/>
  <c r="I7" i="2" a="1"/>
  <c r="I64" i="2" a="1"/>
  <c r="I14" i="2" a="1"/>
  <c r="I24" i="2" a="1"/>
  <c r="AC66" i="2" a="1"/>
  <c r="AC9" i="2" a="1"/>
  <c r="AC67" i="2" a="1"/>
  <c r="AC24" i="2" a="1"/>
  <c r="Y73" i="2" a="1"/>
  <c r="Y27" i="2" a="1"/>
  <c r="Y28" i="2" a="1"/>
  <c r="E15" i="2" a="1"/>
  <c r="E66" i="2" a="1"/>
  <c r="E18" i="2" a="1"/>
  <c r="E25" i="2" a="1"/>
  <c r="Y9" i="2" a="1"/>
  <c r="Y25" i="2" a="1"/>
  <c r="Y64" i="2" a="1"/>
  <c r="Y12" i="2" a="1"/>
  <c r="M67" i="2" a="1"/>
  <c r="M19" i="2" a="1"/>
  <c r="M20" i="2" a="1"/>
  <c r="U52" i="2" a="1"/>
  <c r="U57" i="2" a="1"/>
  <c r="I72" i="2" a="1"/>
  <c r="M37" i="2" a="1"/>
  <c r="M73" i="2" a="1"/>
  <c r="M31" i="2" a="1"/>
  <c r="M30" i="2" a="1"/>
  <c r="Y52" i="2" a="1"/>
  <c r="Q8" i="2" a="1"/>
  <c r="Q74" i="2" a="1"/>
  <c r="Q73" i="2" a="1"/>
  <c r="Q53" i="2" a="1"/>
  <c r="Q20" i="2" a="1"/>
  <c r="Q67" i="2" a="1"/>
  <c r="Q66" i="2" a="1"/>
  <c r="I16" i="2" a="1"/>
  <c r="I26" i="2" a="1"/>
  <c r="I29" i="2" a="1"/>
  <c r="I75" i="2" a="1"/>
  <c r="E55" i="2" a="1"/>
  <c r="M58" i="2" a="1"/>
  <c r="AC69" i="2" a="1"/>
  <c r="E70" i="2" a="1"/>
  <c r="M69" i="2" a="1"/>
  <c r="Y65" i="2" a="1"/>
  <c r="U70" i="2" a="1"/>
  <c r="Y10" i="2" a="1"/>
  <c r="M7" i="2" a="1"/>
  <c r="M49" i="2" a="1"/>
  <c r="Y72" i="2" a="1"/>
  <c r="Q6" i="2" a="1"/>
  <c r="I32" i="2" a="1"/>
  <c r="E54" i="2" a="1"/>
  <c r="M68" i="2" a="1"/>
  <c r="Q12" i="2" a="1"/>
  <c r="E59" i="2" a="1"/>
  <c r="I65" i="2" a="1"/>
  <c r="AC34" i="2" a="1"/>
  <c r="U24" i="2" a="1"/>
  <c r="AC22" i="2" a="1"/>
  <c r="Y49" i="2" a="1"/>
  <c r="Y11" i="2" a="1"/>
  <c r="U55" i="2" a="1"/>
  <c r="M29" i="2" a="1"/>
  <c r="Q15" i="2" a="1"/>
  <c r="Q71" i="2" a="1"/>
  <c r="E10" i="2" a="1"/>
  <c r="Y60" i="2" a="1"/>
  <c r="Q11" i="2" a="1"/>
  <c r="Y58" i="2" a="1"/>
  <c r="Y19" i="2" a="1"/>
  <c r="M28" i="2" a="1"/>
  <c r="Q29" i="2" a="1"/>
  <c r="Q19" i="2" a="1"/>
  <c r="I45" i="2" a="1"/>
  <c r="AC71" i="2" a="1"/>
  <c r="I69" i="2" a="1"/>
  <c r="I39" i="2" a="1"/>
  <c r="E65" i="2" a="1"/>
  <c r="U42" i="2" a="1"/>
  <c r="I13" i="2" a="1"/>
  <c r="Y40" i="2" a="1"/>
  <c r="E9" i="2" a="1"/>
  <c r="M13" i="2" a="1"/>
  <c r="M16" i="2" a="1"/>
  <c r="Q64" i="2" a="1"/>
  <c r="I44" i="2" a="1"/>
  <c r="U68" i="2" a="1"/>
  <c r="Y48" i="2" a="1"/>
  <c r="M75" i="2" a="1"/>
  <c r="Q14" i="2" a="1"/>
  <c r="AC65" i="2" a="1"/>
  <c r="Q43" i="2" a="1"/>
  <c r="I46" i="2" a="1"/>
  <c r="I34" i="2" a="1"/>
  <c r="U35" i="2" a="1"/>
  <c r="AC43" i="2" a="1"/>
  <c r="Y34" i="2" a="1"/>
  <c r="M35" i="2" a="1"/>
  <c r="M54" i="2" a="1"/>
  <c r="U15" i="2" a="1"/>
  <c r="U7" i="2" a="1"/>
  <c r="U66" i="2" a="1"/>
  <c r="U18" i="2" a="1"/>
  <c r="I6" i="2" a="1"/>
  <c r="I15" i="2" a="1"/>
  <c r="I19" i="2" a="1"/>
  <c r="I10" i="2" a="1"/>
  <c r="AC7" i="2" a="1"/>
  <c r="AC11" i="2" a="1"/>
  <c r="AC19" i="2" a="1"/>
  <c r="Y29" i="2" a="1"/>
  <c r="Y50" i="2" a="1"/>
  <c r="Y45" i="2" a="1"/>
  <c r="Y33" i="2" a="1"/>
  <c r="E20" i="2" a="1"/>
  <c r="E11" i="2" a="1"/>
  <c r="E14" i="2" a="1"/>
  <c r="E23" i="2" a="1"/>
  <c r="Y18" i="2" a="1"/>
  <c r="M25" i="2" a="1"/>
  <c r="M17" i="2" a="1"/>
  <c r="U72" i="2" a="1"/>
  <c r="I55" i="2" a="1"/>
  <c r="M45" i="2" a="1"/>
  <c r="Q28" i="2" a="1"/>
  <c r="Q17" i="2" a="1"/>
  <c r="I40" i="2" a="1"/>
  <c r="Q70" i="2" a="1"/>
  <c r="Y68" i="2" a="1"/>
  <c r="I8" i="2" a="1"/>
  <c r="AC68" i="2" a="1"/>
  <c r="Q34" i="2" a="1"/>
  <c r="U64" i="2" a="1"/>
  <c r="Y39" i="2" a="1"/>
  <c r="Y14" i="2" a="1"/>
  <c r="M15" i="2" a="1"/>
  <c r="M50" i="2" a="1"/>
  <c r="Q32" i="2" a="1"/>
  <c r="E60" i="2" a="1"/>
  <c r="I71" i="2" a="1"/>
  <c r="Y66" i="2" a="1"/>
  <c r="M38" i="2" a="1"/>
  <c r="Q23" i="2" a="1"/>
  <c r="Q69" i="2" a="1"/>
  <c r="E53" i="2" a="1"/>
  <c r="M9" i="2" a="1"/>
  <c r="M24" i="2" a="1"/>
  <c r="AC53" i="2" a="1"/>
  <c r="M74" i="2" a="1"/>
  <c r="Y54" i="2" a="1"/>
  <c r="Q50" i="2" a="1"/>
  <c r="Q37" i="2" a="1"/>
  <c r="Q10" i="2" a="1"/>
  <c r="I28" i="2" a="1"/>
  <c r="M71" i="2" a="1"/>
  <c r="AC46" i="2" a="1"/>
  <c r="U22" i="2" a="1"/>
  <c r="I12" i="2" a="1"/>
  <c r="AC21" i="2" a="1"/>
  <c r="Y30" i="2" a="1"/>
  <c r="Y15" i="2" a="1"/>
  <c r="AC58" i="2" a="1"/>
  <c r="Q31" i="2" a="1"/>
  <c r="I50" i="2" a="1"/>
  <c r="E68" i="2" a="1"/>
  <c r="E48" i="2" a="1"/>
  <c r="I60" i="2" a="1"/>
  <c r="Q49" i="2" a="1"/>
  <c r="E52" i="2" a="1"/>
  <c r="Q42" i="2" a="1"/>
  <c r="I43" i="2" a="1"/>
  <c r="U41" i="2" a="1"/>
  <c r="U36" i="2" a="1"/>
  <c r="AC36" i="2" a="1"/>
  <c r="Y46" i="2" a="1"/>
  <c r="M43" i="2" a="1"/>
  <c r="M72" i="2" a="1"/>
  <c r="U13" i="2" a="1"/>
  <c r="U48" i="2" a="1"/>
  <c r="U23" i="2" a="1"/>
  <c r="U10" i="2" a="1"/>
  <c r="I21" i="2" a="1"/>
  <c r="I17" i="2" a="1"/>
  <c r="I11" i="2" a="1"/>
  <c r="I67" i="2" a="1"/>
  <c r="AC6" i="2" a="1"/>
  <c r="AC13" i="2" a="1"/>
  <c r="AC64" i="2" a="1"/>
  <c r="Y31" i="2" a="1"/>
  <c r="Y38" i="2" a="1"/>
  <c r="Y74" i="2" a="1"/>
  <c r="Y75" i="2" a="1"/>
  <c r="E24" i="2" a="1"/>
  <c r="E64" i="2" a="1"/>
  <c r="E7" i="2" a="1"/>
  <c r="Y7" i="2" a="1"/>
  <c r="Y22" i="2" a="1"/>
  <c r="Y6" i="2" a="1"/>
  <c r="M11" i="2" a="1"/>
  <c r="M66" i="2" a="1"/>
  <c r="U54" i="2" a="1"/>
  <c r="I59" i="2" a="1"/>
  <c r="M44" i="2" a="1"/>
  <c r="M33" i="2" a="1"/>
  <c r="Q44" i="2" a="1"/>
  <c r="Q30" i="2" a="1"/>
  <c r="Q21" i="2" a="1"/>
  <c r="E72" i="2" a="1"/>
  <c r="U65" i="2" a="1"/>
  <c r="Y41" i="2" a="1"/>
  <c r="M57" i="2" a="1"/>
  <c r="I20" i="2" a="1"/>
  <c r="AC18" i="2" a="1"/>
  <c r="E22" i="2" a="1"/>
  <c r="M12" i="2" a="1"/>
  <c r="I52" i="2" a="1"/>
  <c r="Q38" i="2" a="1"/>
  <c r="Q18" i="2" a="1"/>
  <c r="I73" i="2" a="1"/>
  <c r="Y69" i="2" a="1"/>
  <c r="E67" i="2" a="1"/>
  <c r="M39" i="2" a="1"/>
  <c r="Q7" i="2" a="1"/>
  <c r="Y70" i="2" a="1"/>
  <c r="U71" i="2" a="1"/>
  <c r="M46" i="2" a="1"/>
  <c r="E19" i="2" a="1"/>
  <c r="Q40" i="2" a="1"/>
  <c r="Y53" i="2" a="1"/>
  <c r="M6" i="2" a="1"/>
  <c r="Q39" i="2" a="1"/>
  <c r="I30" i="2" a="1"/>
  <c r="I68" i="2" a="1"/>
  <c r="Y71" i="2" a="1"/>
  <c r="U12" i="2" a="1"/>
  <c r="AC48" i="2" a="1"/>
  <c r="AC14" i="2" a="1"/>
  <c r="Y37" i="2" a="1"/>
  <c r="E13" i="2" a="1"/>
  <c r="M48" i="2" a="1"/>
  <c r="M18" i="2" a="1"/>
  <c r="Y59" i="2" a="1"/>
  <c r="I38" i="2" a="1"/>
  <c r="U69" i="2" a="1"/>
  <c r="Q35" i="2" a="1"/>
  <c r="I35" i="2" a="1"/>
  <c r="U43" i="2" a="1"/>
  <c r="AC41" i="2" a="1"/>
  <c r="Y35" i="2" a="1"/>
  <c r="Y43" i="2" a="1"/>
  <c r="M42" i="2" a="1"/>
  <c r="M52" i="2" a="1"/>
  <c r="U6" i="2" a="1"/>
  <c r="U67" i="2" a="1"/>
  <c r="U17" i="2" a="1"/>
  <c r="I18" i="2" a="1"/>
  <c r="I23" i="2" a="1"/>
  <c r="I66" i="2" a="1"/>
  <c r="AC10" i="2" a="1"/>
  <c r="AC15" i="2" a="1"/>
  <c r="Y44" i="2" a="1"/>
  <c r="Y26" i="2" a="1"/>
  <c r="Y24" i="2" a="1"/>
  <c r="M23" i="2" a="1"/>
  <c r="Q75" i="2" a="1"/>
  <c r="I74" i="2" a="1"/>
  <c r="U21" i="2" a="1"/>
  <c r="I9" i="2" a="1"/>
  <c r="AC20" i="2" a="1"/>
  <c r="Y32" i="2" a="1"/>
  <c r="Y16" i="2" a="1"/>
  <c r="E6" i="2" a="1"/>
  <c r="E12" i="2" a="1"/>
  <c r="Y17" i="2" a="1"/>
  <c r="Y23" i="2" a="1"/>
  <c r="M21" i="2" a="1"/>
  <c r="M64" i="2" a="1"/>
  <c r="U60" i="2" a="1"/>
  <c r="M40" i="2" a="1"/>
  <c r="M26" i="2" a="1"/>
  <c r="M8" i="2" a="1"/>
  <c r="Q45" i="2" a="1"/>
  <c r="Q58" i="2" a="1"/>
  <c r="Q24" i="2" a="1"/>
  <c r="I33" i="2" a="1"/>
  <c r="I37" i="2" a="1"/>
  <c r="E57" i="2" a="1"/>
  <c r="Q65" i="2" a="1"/>
  <c r="M70" i="2" a="1"/>
  <c r="Q46" i="2" a="1"/>
  <c r="I36" i="2" a="1"/>
  <c r="U46" i="2" a="1"/>
  <c r="AC35" i="2" a="1"/>
  <c r="Y36" i="2" a="1"/>
  <c r="M34" i="2" a="1"/>
  <c r="M36" i="2" a="1"/>
  <c r="M60" i="2" a="1"/>
  <c r="U19" i="2" a="1"/>
  <c r="U9" i="2" a="1"/>
  <c r="I22" i="2" a="1"/>
  <c r="I48" i="2" a="1"/>
  <c r="I25" i="2" a="1"/>
  <c r="AC25" i="2" a="1"/>
  <c r="AC23" i="2" a="1"/>
  <c r="AC17" i="2" a="1"/>
  <c r="Y8" i="2" a="1"/>
  <c r="E21" i="2" a="1"/>
  <c r="E17" i="2" a="1"/>
  <c r="Y21" i="2" a="1"/>
  <c r="Y20" i="2" a="1"/>
  <c r="M22" i="2" a="1"/>
  <c r="M10" i="2" a="1"/>
  <c r="I57" i="2" a="1"/>
  <c r="M32" i="2" a="1"/>
  <c r="Y55" i="2" a="1"/>
  <c r="Q33" i="2" a="1"/>
  <c r="Q16" i="2" a="1"/>
  <c r="Q9" i="2" a="1"/>
  <c r="Q13" i="2" a="1"/>
  <c r="I31" i="2" a="1"/>
  <c r="I27" i="2" a="1"/>
  <c r="M53" i="2" a="1"/>
  <c r="E69" i="2" a="1"/>
  <c r="I70" i="2" a="1"/>
  <c r="Y13" i="2" a="1"/>
  <c r="I54" i="2" a="1"/>
  <c r="Y57" i="2" a="1"/>
  <c r="Q26" i="2" a="1"/>
  <c r="Q25" i="2" a="1"/>
  <c r="I49" i="2" a="1"/>
  <c r="E71" i="2" a="1"/>
  <c r="Q22" i="2" a="1"/>
  <c r="Q68" i="2" a="1"/>
  <c r="I41" i="2" a="1"/>
  <c r="U11" i="2" a="1"/>
  <c r="AC12" i="2" a="1"/>
  <c r="E58" i="2" a="1"/>
  <c r="M14" i="2" a="1"/>
  <c r="M27" i="2" a="1"/>
  <c r="Q48" i="2" a="1"/>
  <c r="AC70" i="2" a="1"/>
  <c r="Y67" i="2" a="1"/>
  <c r="U59" i="2" a="1"/>
  <c r="Q27" i="2" a="1"/>
  <c r="M65" i="2" a="1"/>
  <c r="Q55" i="2" a="1"/>
  <c r="Q59" i="2" a="1"/>
  <c r="AC55" i="2" a="1"/>
  <c r="AD15" i="2" a="1"/>
  <c r="AD13" i="2" a="1"/>
  <c r="AD14" i="2" a="1"/>
  <c r="AD6" i="2" a="1"/>
  <c r="Z14" i="2" a="1"/>
  <c r="Z19" i="2" a="1"/>
  <c r="Z18" i="2" a="1"/>
  <c r="Z9" i="2" a="1"/>
  <c r="E45" i="2" a="1"/>
  <c r="E37" i="2" a="1"/>
  <c r="E40" i="2" a="1"/>
  <c r="AD74" i="2" a="1"/>
  <c r="AD38" i="2" a="1"/>
  <c r="AD45" i="2" a="1"/>
  <c r="AD30" i="2" a="1"/>
  <c r="N6" i="2" a="1"/>
  <c r="N7" i="2" a="1"/>
  <c r="AC37" i="2" a="1"/>
  <c r="AC30" i="2" a="1"/>
  <c r="AC38" i="2" a="1"/>
  <c r="AC44" i="2" a="1"/>
  <c r="AC26" i="2" a="1"/>
  <c r="F19" i="2" a="1"/>
  <c r="F12" i="2" a="1"/>
  <c r="F67" i="2" a="1"/>
  <c r="F10" i="2" a="1"/>
  <c r="Z32" i="2" a="1"/>
  <c r="Z75" i="2" a="1"/>
  <c r="Z45" i="2" a="1"/>
  <c r="V60" i="2" a="1"/>
  <c r="F28" i="2" a="1"/>
  <c r="F40" i="2" a="1"/>
  <c r="F16" i="2" a="1"/>
  <c r="F31" i="2" a="1"/>
  <c r="R48" i="2" a="1"/>
  <c r="R9" i="2" a="1"/>
  <c r="R17" i="2" a="1"/>
  <c r="U39" i="2" a="1"/>
  <c r="U33" i="2" a="1"/>
  <c r="U16" i="2" a="1"/>
  <c r="U27" i="2" a="1"/>
  <c r="V27" i="2" a="1"/>
  <c r="V73" i="2" a="1"/>
  <c r="AD48" i="2" a="1"/>
  <c r="Z17" i="2" a="1"/>
  <c r="Z22" i="2" a="1"/>
  <c r="AD73" i="2" a="1"/>
  <c r="AD49" i="2" a="1"/>
  <c r="N25" i="2" a="1"/>
  <c r="N13" i="2" a="1"/>
  <c r="F25" i="2" a="1"/>
  <c r="Z26" i="2" a="1"/>
  <c r="F75" i="2" a="1"/>
  <c r="R66" i="2" a="1"/>
  <c r="U44" i="2" a="1"/>
  <c r="U45" i="2" a="1"/>
  <c r="V38" i="2" a="1"/>
  <c r="F64" i="2" a="1"/>
  <c r="F44" i="2" a="1"/>
  <c r="V26" i="2" a="1"/>
  <c r="R13" i="2" a="1"/>
  <c r="E39" i="2" a="1"/>
  <c r="N22" i="2" a="1"/>
  <c r="F7" i="2" a="1"/>
  <c r="Z49" i="2" a="1"/>
  <c r="F50" i="2" a="1"/>
  <c r="R23" i="2" a="1"/>
  <c r="V8" i="2" a="1"/>
  <c r="F66" i="2" a="1"/>
  <c r="F39" i="2" a="1"/>
  <c r="U73" i="2" a="1"/>
  <c r="Q52" i="2" a="1"/>
  <c r="AC52" i="2" a="1"/>
  <c r="AC57" i="2" a="1"/>
  <c r="AD11" i="2" a="1"/>
  <c r="AD18" i="2" a="1"/>
  <c r="Z21" i="2" a="1"/>
  <c r="E74" i="2" a="1"/>
  <c r="N23" i="2" a="1"/>
  <c r="AC39" i="2" a="1"/>
  <c r="F48" i="2" a="1"/>
  <c r="V55" i="2" a="1"/>
  <c r="F49" i="2" a="1"/>
  <c r="U8" i="2" a="1"/>
  <c r="F17" i="2" a="1"/>
  <c r="R20" i="2" a="1"/>
  <c r="V31" i="2" a="1"/>
  <c r="N21" i="2" a="1"/>
  <c r="AC74" i="2" a="1"/>
  <c r="AC33" i="2" a="1"/>
  <c r="F13" i="2" a="1"/>
  <c r="F9" i="2" a="1"/>
  <c r="Z33" i="2" a="1"/>
  <c r="Z28" i="2" a="1"/>
  <c r="V52" i="2" a="1"/>
  <c r="F29" i="2" a="1"/>
  <c r="R18" i="2" a="1"/>
  <c r="R6" i="2" a="1"/>
  <c r="U30" i="2" a="1"/>
  <c r="U49" i="2" a="1"/>
  <c r="V29" i="2" a="1"/>
  <c r="U37" i="2" a="1"/>
  <c r="V40" i="2" a="1"/>
  <c r="E73" i="2" a="1"/>
  <c r="F15" i="2" a="1"/>
  <c r="R24" i="2" a="1"/>
  <c r="Q72" i="2" a="1"/>
  <c r="AC72" i="2" a="1"/>
  <c r="Z53" i="2" a="1"/>
  <c r="AD12" i="2" a="1"/>
  <c r="AD20" i="2" a="1"/>
  <c r="AD24" i="2" a="1"/>
  <c r="AD23" i="2" a="1"/>
  <c r="Z20" i="2" a="1"/>
  <c r="Z11" i="2" a="1"/>
  <c r="Z67" i="2" a="1"/>
  <c r="E28" i="2" a="1"/>
  <c r="E26" i="2" a="1"/>
  <c r="E30" i="2" a="1"/>
  <c r="E50" i="2" a="1"/>
  <c r="AD37" i="2" a="1"/>
  <c r="AD39" i="2" a="1"/>
  <c r="AD28" i="2" a="1"/>
  <c r="N9" i="2" a="1"/>
  <c r="N17" i="2" a="1"/>
  <c r="AC32" i="2" a="1"/>
  <c r="AC75" i="2" a="1"/>
  <c r="AC28" i="2" a="1"/>
  <c r="F11" i="2" a="1"/>
  <c r="Z31" i="2" a="1"/>
  <c r="Z40" i="2" a="1"/>
  <c r="F33" i="2" a="1"/>
  <c r="F38" i="2" a="1"/>
  <c r="R64" i="2" a="1"/>
  <c r="R22" i="2" a="1"/>
  <c r="U31" i="2" a="1"/>
  <c r="U75" i="2" a="1"/>
  <c r="V30" i="2" a="1"/>
  <c r="V28" i="2" a="1"/>
  <c r="V39" i="2" a="1"/>
  <c r="E44" i="2" a="1"/>
  <c r="AC8" i="2" a="1"/>
  <c r="V54" i="2" a="1"/>
  <c r="U50" i="2" a="1"/>
  <c r="AD8" i="2" a="1"/>
  <c r="N48" i="2" a="1"/>
  <c r="AC40" i="2" a="1"/>
  <c r="AC31" i="2" a="1"/>
  <c r="F22" i="2" a="1"/>
  <c r="F6" i="2" a="1"/>
  <c r="Z39" i="2" a="1"/>
  <c r="Z37" i="2" a="1"/>
  <c r="Z16" i="2" a="1"/>
  <c r="F26" i="2" a="1"/>
  <c r="F32" i="2" a="1"/>
  <c r="R67" i="2" a="1"/>
  <c r="R14" i="2" a="1"/>
  <c r="U26" i="2" a="1"/>
  <c r="U32" i="2" a="1"/>
  <c r="V44" i="2" a="1"/>
  <c r="AD26" i="2" a="1"/>
  <c r="N20" i="2" a="1"/>
  <c r="Z74" i="2" a="1"/>
  <c r="U74" i="2" a="1"/>
  <c r="Q57" i="2" a="1"/>
  <c r="AC59" i="2" a="1"/>
  <c r="Z58" i="2" a="1"/>
  <c r="AD22" i="2" a="1"/>
  <c r="AD19" i="2" a="1"/>
  <c r="AD21" i="2" a="1"/>
  <c r="AD66" i="2" a="1"/>
  <c r="Z7" i="2" a="1"/>
  <c r="Z48" i="2" a="1"/>
  <c r="Z24" i="2" a="1"/>
  <c r="E49" i="2" a="1"/>
  <c r="E8" i="2" a="1"/>
  <c r="E75" i="2" a="1"/>
  <c r="E38" i="2" a="1"/>
  <c r="AD75" i="2" a="1"/>
  <c r="AD32" i="2" a="1"/>
  <c r="N18" i="2" a="1"/>
  <c r="N12" i="2" a="1"/>
  <c r="N64" i="2" a="1"/>
  <c r="AC49" i="2" a="1"/>
  <c r="F21" i="2" a="1"/>
  <c r="F20" i="2" a="1"/>
  <c r="Z27" i="2" a="1"/>
  <c r="V72" i="2" a="1"/>
  <c r="F74" i="2" a="1"/>
  <c r="R15" i="2" a="1"/>
  <c r="R19" i="2" a="1"/>
  <c r="V45" i="2" a="1"/>
  <c r="E29" i="2" a="1"/>
  <c r="AC45" i="2" a="1"/>
  <c r="Z50" i="2" a="1"/>
  <c r="R21" i="2" a="1"/>
  <c r="Z66" i="2" a="1"/>
  <c r="AD40" i="2" a="1"/>
  <c r="N19" i="2" a="1"/>
  <c r="Z44" i="2" a="1"/>
  <c r="R10" i="2" a="1"/>
  <c r="Q60" i="2" a="1"/>
  <c r="AC60" i="2" a="1"/>
  <c r="AD58" i="2" a="1"/>
  <c r="AD10" i="2" a="1"/>
  <c r="AD64" i="2" a="1"/>
  <c r="AD25" i="2" a="1"/>
  <c r="Z25" i="2" a="1"/>
  <c r="Z13" i="2" a="1"/>
  <c r="Z6" i="2" a="1"/>
  <c r="E31" i="2" a="1"/>
  <c r="AD44" i="2" a="1"/>
  <c r="N67" i="2" a="1"/>
  <c r="AC16" i="2" a="1"/>
  <c r="V59" i="2" a="1"/>
  <c r="V16" i="2" a="1"/>
  <c r="Q54" i="2" a="1"/>
  <c r="AC54" i="2" a="1"/>
  <c r="AD53" i="2" a="1"/>
  <c r="AD17" i="2" a="1"/>
  <c r="AD9" i="2" a="1"/>
  <c r="AD67" i="2" a="1"/>
  <c r="Z12" i="2" a="1"/>
  <c r="Z64" i="2" a="1"/>
  <c r="Z10" i="2" a="1"/>
  <c r="Z23" i="2" a="1"/>
  <c r="E32" i="2" a="1"/>
  <c r="E33" i="2" a="1"/>
  <c r="E16" i="2" a="1"/>
  <c r="AD16" i="2" a="1"/>
  <c r="AD50" i="2" a="1"/>
  <c r="AD27" i="2" a="1"/>
  <c r="AD33" i="2" a="1"/>
  <c r="N66" i="2" a="1"/>
  <c r="N11" i="2" a="1"/>
  <c r="AC27" i="2" a="1"/>
  <c r="N10" i="2" a="1"/>
  <c r="AC50" i="2" a="1"/>
  <c r="N14" i="2" a="1"/>
  <c r="AC29" i="2" a="1"/>
  <c r="F14" i="2" a="1"/>
  <c r="F18" i="2" a="1"/>
  <c r="F23" i="2" a="1"/>
  <c r="F24" i="2" a="1"/>
  <c r="Z8" i="2" a="1"/>
  <c r="Z38" i="2" a="1"/>
  <c r="Z30" i="2" a="1"/>
  <c r="V57" i="2" a="1"/>
  <c r="F8" i="2" a="1"/>
  <c r="F30" i="2" a="1"/>
  <c r="F37" i="2" a="1"/>
  <c r="F27" i="2" a="1"/>
  <c r="V50" i="2" a="1"/>
  <c r="AD7" i="2" a="1"/>
  <c r="Z15" i="2" a="1"/>
  <c r="E27" i="2" a="1"/>
  <c r="AD29" i="2" a="1"/>
  <c r="AD31" i="2" a="1"/>
  <c r="N15" i="2" a="1"/>
  <c r="AC73" i="2" a="1"/>
  <c r="Z73" i="2" a="1"/>
  <c r="Z29" i="2" a="1"/>
  <c r="F73" i="2" a="1"/>
  <c r="R25" i="2" a="1"/>
  <c r="U40" i="2" a="1"/>
  <c r="V33" i="2" a="1"/>
  <c r="N24" i="2" a="1"/>
  <c r="F45" i="2" a="1"/>
  <c r="V74" i="2" a="1"/>
  <c r="R12" i="2" a="1"/>
  <c r="R11" i="2" a="1"/>
  <c r="R7" i="2" a="1"/>
  <c r="U28" i="2" a="1"/>
  <c r="V37" i="2" a="1"/>
  <c r="U29" i="2" a="1"/>
  <c r="U38" i="2" a="1"/>
  <c r="V32" i="2" a="1"/>
  <c r="V75" i="2" a="1"/>
  <c r="V49" i="2" a="1"/>
  <c r="N55" i="2" a="1"/>
  <c r="N54" i="2" a="1"/>
  <c r="J29" i="2" a="1"/>
  <c r="J75" i="2" a="1"/>
  <c r="J74" i="2" a="1"/>
  <c r="R38" i="2" a="1"/>
  <c r="R45" i="2" a="1"/>
  <c r="N40" i="2" a="1"/>
  <c r="J55" i="2" a="1"/>
  <c r="F65" i="2" a="1"/>
  <c r="V71" i="2" a="1"/>
  <c r="J65" i="2" a="1"/>
  <c r="N74" i="2" a="1"/>
  <c r="AD55" i="2" a="1"/>
  <c r="Z52" i="2" a="1"/>
  <c r="N49" i="2" a="1"/>
  <c r="J39" i="2" a="1"/>
  <c r="V68" i="2" a="1"/>
  <c r="Z57" i="2" a="1"/>
  <c r="N57" i="2" a="1"/>
  <c r="J31" i="2" a="1"/>
  <c r="R49" i="2" a="1"/>
  <c r="R59" i="2" a="1"/>
  <c r="J40" i="2" a="1"/>
  <c r="R57" i="2" a="1"/>
  <c r="V69" i="2" a="1"/>
  <c r="Z72" i="2" a="1"/>
  <c r="N31" i="2" a="1"/>
  <c r="N60" i="2" a="1"/>
  <c r="R26" i="2" a="1"/>
  <c r="AD68" i="2" a="1"/>
  <c r="F58" i="2" a="1"/>
  <c r="N52" i="2" a="1"/>
  <c r="J30" i="2" a="1"/>
  <c r="J32" i="2" a="1"/>
  <c r="J44" i="2" a="1"/>
  <c r="R75" i="2" a="1"/>
  <c r="R39" i="2" a="1"/>
  <c r="R16" i="2" a="1"/>
  <c r="R27" i="2" a="1"/>
  <c r="N26" i="2" a="1"/>
  <c r="N8" i="2" a="1"/>
  <c r="N33" i="2" a="1"/>
  <c r="N32" i="2" a="1"/>
  <c r="J59" i="2" a="1"/>
  <c r="J72" i="2" a="1"/>
  <c r="R72" i="2" a="1"/>
  <c r="R60" i="2" a="1"/>
  <c r="Z60" i="2" a="1"/>
  <c r="Z68" i="2" a="1"/>
  <c r="AD59" i="2" a="1"/>
  <c r="N69" i="2" a="1"/>
  <c r="J69" i="2" a="1"/>
  <c r="F52" i="2" a="1"/>
  <c r="F71" i="2" a="1"/>
  <c r="J73" i="2" a="1"/>
  <c r="R54" i="2" a="1"/>
  <c r="N44" i="2" a="1"/>
  <c r="F57" i="2" a="1"/>
  <c r="N72" i="2" a="1"/>
  <c r="J27" i="2" a="1"/>
  <c r="J49" i="2" a="1"/>
  <c r="J50" i="2" a="1"/>
  <c r="R28" i="2" a="1"/>
  <c r="R37" i="2" a="1"/>
  <c r="J71" i="2" a="1"/>
  <c r="R44" i="2" a="1"/>
  <c r="R55" i="2" a="1"/>
  <c r="Z59" i="2" a="1"/>
  <c r="F53" i="2" a="1"/>
  <c r="N68" i="2" a="1"/>
  <c r="F60" i="2" a="1"/>
  <c r="N30" i="2" a="1"/>
  <c r="R32" i="2" a="1"/>
  <c r="AD71" i="2" a="1"/>
  <c r="R52" i="2" a="1"/>
  <c r="Z65" i="2" a="1"/>
  <c r="AD54" i="2" a="1"/>
  <c r="J70" i="2" a="1"/>
  <c r="N58" i="2" a="1"/>
  <c r="J8" i="2" a="1"/>
  <c r="J45" i="2" a="1"/>
  <c r="R33" i="2" a="1"/>
  <c r="N27" i="2" a="1"/>
  <c r="AD65" i="2" a="1"/>
  <c r="Z55" i="2" a="1"/>
  <c r="N71" i="2" a="1"/>
  <c r="F70" i="2" a="1"/>
  <c r="J16" i="2" a="1"/>
  <c r="N16" i="2" a="1"/>
  <c r="N38" i="2" a="1"/>
  <c r="N73" i="2" a="1"/>
  <c r="Z70" i="2" a="1"/>
  <c r="J68" i="2" a="1"/>
  <c r="F72" i="2" a="1"/>
  <c r="R8" i="2" a="1"/>
  <c r="J57" i="2" a="1"/>
  <c r="AD72" i="2" a="1"/>
  <c r="N59" i="2" a="1"/>
  <c r="J33" i="2" a="1"/>
  <c r="J37" i="2" a="1"/>
  <c r="J38" i="2" a="1"/>
  <c r="R50" i="2" a="1"/>
  <c r="N75" i="2" a="1"/>
  <c r="N29" i="2" a="1"/>
  <c r="R40" i="2" a="1"/>
  <c r="N28" i="2" a="1"/>
  <c r="R29" i="2" a="1"/>
  <c r="AD70" i="2" a="1"/>
  <c r="J52" i="2" a="1"/>
  <c r="V65" i="2" a="1"/>
  <c r="Z71" i="2" a="1"/>
  <c r="AD52" i="2" a="1"/>
  <c r="F59" i="2" a="1"/>
  <c r="N53" i="2" a="1"/>
  <c r="N37" i="2" a="1"/>
  <c r="N45" i="2" a="1"/>
  <c r="V70" i="2" a="1"/>
  <c r="Z54" i="2" a="1"/>
  <c r="AD60" i="2" a="1"/>
  <c r="F55" i="2" a="1"/>
  <c r="J28" i="2" a="1"/>
  <c r="R74" i="2" a="1"/>
  <c r="N39" i="2" a="1"/>
  <c r="N50" i="2" a="1"/>
  <c r="J54" i="2" a="1"/>
  <c r="Z69" i="2" a="1"/>
  <c r="AD57" i="2" a="1"/>
  <c r="F54" i="2" a="1"/>
  <c r="J26" i="2" a="1"/>
  <c r="R73" i="2" a="1"/>
  <c r="R31" i="2" a="1"/>
  <c r="J60" i="2" a="1"/>
  <c r="N65" i="2" a="1"/>
  <c r="F68" i="2" a="1"/>
  <c r="R30" i="2" a="1"/>
  <c r="AD69" i="2" a="1"/>
  <c r="N70" i="2" a="1"/>
  <c r="F69" i="2" a="1"/>
  <c r="R70" i="2" a="1"/>
  <c r="R53" i="2" a="1"/>
  <c r="R68" i="2" a="1"/>
  <c r="R69" i="2" a="1"/>
  <c r="R71" i="2" a="1"/>
  <c r="R65" i="2" a="1"/>
  <c r="R58" i="2" a="1"/>
  <c r="G49" i="2" l="1"/>
  <c r="W30" i="2"/>
  <c r="O65" i="2"/>
  <c r="AA6" i="2"/>
  <c r="T22" i="2"/>
  <c r="T11" i="2"/>
  <c r="T6" i="2"/>
  <c r="G32" i="2"/>
  <c r="G31" i="2"/>
  <c r="G29" i="2"/>
  <c r="C39" i="2"/>
  <c r="C74" i="2"/>
  <c r="C16" i="2"/>
  <c r="G68" i="2"/>
  <c r="O70" i="2"/>
  <c r="C69" i="2"/>
  <c r="C59" i="2"/>
  <c r="K74" i="2"/>
  <c r="K26" i="2"/>
  <c r="K49" i="2"/>
  <c r="W40" i="2"/>
  <c r="W50" i="2"/>
  <c r="W16" i="2"/>
  <c r="AA70" i="2"/>
  <c r="K19" i="2"/>
  <c r="K18" i="2"/>
  <c r="K14" i="2"/>
  <c r="G52" i="2"/>
  <c r="AA64" i="2"/>
  <c r="AA13" i="2"/>
  <c r="AA25" i="2"/>
  <c r="AA24" i="2"/>
  <c r="O64" i="2"/>
  <c r="O20" i="2"/>
  <c r="O66" i="2"/>
  <c r="K72" i="2"/>
  <c r="W60" i="2"/>
  <c r="C13" i="2"/>
  <c r="C24" i="2"/>
  <c r="C19" i="2"/>
  <c r="W21" i="2"/>
  <c r="W14" i="2"/>
  <c r="K36" i="2"/>
  <c r="S25" i="2"/>
  <c r="S23" i="2"/>
  <c r="S66" i="2"/>
  <c r="S60" i="2"/>
  <c r="S46" i="2"/>
  <c r="G13" i="2"/>
  <c r="G21" i="2"/>
  <c r="G43" i="2"/>
  <c r="J46" i="2"/>
  <c r="C43" i="2"/>
  <c r="F46" i="2"/>
  <c r="V15" i="2"/>
  <c r="T15" i="2"/>
  <c r="K64" i="2"/>
  <c r="W64" i="2"/>
  <c r="W42" i="2"/>
  <c r="S55" i="2"/>
  <c r="J17" i="2"/>
  <c r="J6" i="2"/>
  <c r="J64" i="2"/>
  <c r="G14" i="2"/>
  <c r="J35" i="2"/>
  <c r="AD41" i="2"/>
  <c r="F41" i="2"/>
  <c r="Z41" i="2"/>
  <c r="S53" i="2"/>
  <c r="C30" i="2"/>
  <c r="K20" i="2"/>
  <c r="O24" i="2"/>
  <c r="O53" i="2"/>
  <c r="K59" i="2"/>
  <c r="W54" i="2"/>
  <c r="C48" i="2"/>
  <c r="C67" i="2"/>
  <c r="C20" i="2"/>
  <c r="W10" i="2"/>
  <c r="W22" i="2"/>
  <c r="K34" i="2"/>
  <c r="S18" i="2"/>
  <c r="S17" i="2"/>
  <c r="O34" i="2"/>
  <c r="S54" i="2"/>
  <c r="S34" i="2"/>
  <c r="J21" i="2"/>
  <c r="J22" i="2"/>
  <c r="G35" i="2"/>
  <c r="V41" i="2"/>
  <c r="C42" i="2"/>
  <c r="AD36" i="2"/>
  <c r="U58" i="2"/>
  <c r="N34" i="2"/>
  <c r="V24" i="2"/>
  <c r="C31" i="2"/>
  <c r="K10" i="2"/>
  <c r="W24" i="2"/>
  <c r="W34" i="2"/>
  <c r="S11" i="2"/>
  <c r="O41" i="2"/>
  <c r="S35" i="2"/>
  <c r="G23" i="2"/>
  <c r="G17" i="2"/>
  <c r="J20" i="2"/>
  <c r="G42" i="2"/>
  <c r="C36" i="2"/>
  <c r="F43" i="2"/>
  <c r="C27" i="2"/>
  <c r="AA71" i="2"/>
  <c r="C54" i="2"/>
  <c r="AA20" i="2"/>
  <c r="AA53" i="2"/>
  <c r="W67" i="2"/>
  <c r="K43" i="2"/>
  <c r="S22" i="2"/>
  <c r="S24" i="2"/>
  <c r="S52" i="2"/>
  <c r="G11" i="2"/>
  <c r="G6" i="2"/>
  <c r="J66" i="2"/>
  <c r="G19" i="2"/>
  <c r="V42" i="2"/>
  <c r="C35" i="2"/>
  <c r="AA43" i="2"/>
  <c r="F36" i="2"/>
  <c r="U53" i="2"/>
  <c r="N36" i="2"/>
  <c r="V19" i="2"/>
  <c r="O68" i="2"/>
  <c r="G60" i="2"/>
  <c r="G40" i="2"/>
  <c r="AA65" i="2"/>
  <c r="O58" i="2"/>
  <c r="W15" i="2"/>
  <c r="W36" i="2"/>
  <c r="C58" i="2"/>
  <c r="O42" i="2"/>
  <c r="S72" i="2"/>
  <c r="J14" i="2"/>
  <c r="J10" i="2"/>
  <c r="G64" i="2"/>
  <c r="G34" i="2"/>
  <c r="V35" i="2"/>
  <c r="AA41" i="2"/>
  <c r="R46" i="2"/>
  <c r="N41" i="2"/>
  <c r="W68" i="2"/>
  <c r="AA18" i="2"/>
  <c r="C33" i="2"/>
  <c r="W75" i="2"/>
  <c r="O6" i="2"/>
  <c r="C29" i="2"/>
  <c r="W73" i="2"/>
  <c r="O10" i="2"/>
  <c r="C14" i="2"/>
  <c r="J48" i="2"/>
  <c r="G46" i="2"/>
  <c r="C41" i="2"/>
  <c r="AA36" i="2"/>
  <c r="F34" i="2"/>
  <c r="V6" i="2"/>
  <c r="T13" i="2"/>
  <c r="C70" i="2"/>
  <c r="K71" i="2"/>
  <c r="O48" i="2"/>
  <c r="T25" i="2"/>
  <c r="T14" i="2"/>
  <c r="C40" i="2"/>
  <c r="K32" i="2"/>
  <c r="W44" i="2"/>
  <c r="K66" i="2"/>
  <c r="O67" i="2"/>
  <c r="W20" i="2"/>
  <c r="T66" i="2"/>
  <c r="G38" i="2"/>
  <c r="W71" i="2"/>
  <c r="K45" i="2"/>
  <c r="K69" i="2"/>
  <c r="K58" i="2"/>
  <c r="G54" i="2"/>
  <c r="AA17" i="2"/>
  <c r="AA12" i="2"/>
  <c r="O22" i="2"/>
  <c r="K57" i="2"/>
  <c r="W57" i="2"/>
  <c r="C21" i="2"/>
  <c r="C25" i="2"/>
  <c r="W12" i="2"/>
  <c r="W66" i="2"/>
  <c r="S14" i="2"/>
  <c r="S12" i="2"/>
  <c r="O43" i="2"/>
  <c r="G66" i="2"/>
  <c r="G48" i="2"/>
  <c r="J7" i="2"/>
  <c r="W17" i="2"/>
  <c r="W46" i="2"/>
  <c r="C53" i="2"/>
  <c r="S20" i="2"/>
  <c r="O36" i="2"/>
  <c r="V53" i="2"/>
  <c r="G9" i="2"/>
  <c r="G24" i="2"/>
  <c r="G15" i="2"/>
  <c r="J43" i="2"/>
  <c r="V43" i="2"/>
  <c r="AD42" i="2"/>
  <c r="F42" i="2"/>
  <c r="R35" i="2"/>
  <c r="T53" i="2"/>
  <c r="G30" i="2"/>
  <c r="K33" i="2"/>
  <c r="W8" i="2"/>
  <c r="AA15" i="2"/>
  <c r="T17" i="2"/>
  <c r="G44" i="2"/>
  <c r="W70" i="2"/>
  <c r="K28" i="2"/>
  <c r="K22" i="2"/>
  <c r="K9" i="2"/>
  <c r="O18" i="2"/>
  <c r="C66" i="2"/>
  <c r="G28" i="2"/>
  <c r="C50" i="2"/>
  <c r="C68" i="2"/>
  <c r="K38" i="2"/>
  <c r="W74" i="2"/>
  <c r="K24" i="2"/>
  <c r="AA10" i="2"/>
  <c r="AA58" i="2"/>
  <c r="T67" i="2"/>
  <c r="G33" i="2"/>
  <c r="G74" i="2"/>
  <c r="C75" i="2"/>
  <c r="C49" i="2"/>
  <c r="G70" i="2"/>
  <c r="C71" i="2"/>
  <c r="K37" i="2"/>
  <c r="K27" i="2"/>
  <c r="W49" i="2"/>
  <c r="W28" i="2"/>
  <c r="W37" i="2"/>
  <c r="K25" i="2"/>
  <c r="K17" i="2"/>
  <c r="K48" i="2"/>
  <c r="G57" i="2"/>
  <c r="AA21" i="2"/>
  <c r="AA67" i="2"/>
  <c r="AA9" i="2"/>
  <c r="O7" i="2"/>
  <c r="O19" i="2"/>
  <c r="O17" i="2"/>
  <c r="K60" i="2"/>
  <c r="W55" i="2"/>
  <c r="C10" i="2"/>
  <c r="C9" i="2"/>
  <c r="C18" i="2"/>
  <c r="W25" i="2"/>
  <c r="W13" i="2"/>
  <c r="W48" i="2"/>
  <c r="K41" i="2"/>
  <c r="S67" i="2"/>
  <c r="S21" i="2"/>
  <c r="V58" i="2"/>
  <c r="J25" i="2"/>
  <c r="J13" i="2"/>
  <c r="G7" i="2"/>
  <c r="J58" i="2"/>
  <c r="V34" i="2"/>
  <c r="AA42" i="2"/>
  <c r="Z35" i="2"/>
  <c r="R43" i="2"/>
  <c r="V13" i="2"/>
  <c r="K29" i="2"/>
  <c r="AA7" i="2"/>
  <c r="C38" i="2"/>
  <c r="W33" i="2"/>
  <c r="G72" i="2"/>
  <c r="C22" i="2"/>
  <c r="T12" i="2"/>
  <c r="G71" i="2"/>
  <c r="K73" i="2"/>
  <c r="K13" i="2"/>
  <c r="O13" i="2"/>
  <c r="T48" i="2"/>
  <c r="T21" i="2"/>
  <c r="G73" i="2"/>
  <c r="C73" i="2"/>
  <c r="W65" i="2"/>
  <c r="C52" i="2"/>
  <c r="K75" i="2"/>
  <c r="K70" i="2"/>
  <c r="W53" i="2"/>
  <c r="W43" i="2"/>
  <c r="S19" i="2"/>
  <c r="O35" i="2"/>
  <c r="S36" i="2"/>
  <c r="G25" i="2"/>
  <c r="J19" i="2"/>
  <c r="G10" i="2"/>
  <c r="J36" i="2"/>
  <c r="V46" i="2"/>
  <c r="AD34" i="2"/>
  <c r="AA34" i="2"/>
  <c r="T58" i="2"/>
  <c r="T19" i="2"/>
  <c r="K8" i="2"/>
  <c r="O14" i="2"/>
  <c r="G39" i="2"/>
  <c r="K65" i="2"/>
  <c r="AA48" i="2"/>
  <c r="W59" i="2"/>
  <c r="T10" i="2"/>
  <c r="C55" i="2"/>
  <c r="K12" i="2"/>
  <c r="T18" i="2"/>
  <c r="T23" i="2"/>
  <c r="G8" i="2"/>
  <c r="C44" i="2"/>
  <c r="C32" i="2"/>
  <c r="G65" i="2"/>
  <c r="C65" i="2"/>
  <c r="C72" i="2"/>
  <c r="K40" i="2"/>
  <c r="W29" i="2"/>
  <c r="W38" i="2"/>
  <c r="AA68" i="2"/>
  <c r="K15" i="2"/>
  <c r="K23" i="2"/>
  <c r="G59" i="2"/>
  <c r="AA23" i="2"/>
  <c r="AA66" i="2"/>
  <c r="O21" i="2"/>
  <c r="O15" i="2"/>
  <c r="K52" i="2"/>
  <c r="C7" i="2"/>
  <c r="W23" i="2"/>
  <c r="K42" i="2"/>
  <c r="S57" i="2"/>
  <c r="G12" i="2"/>
  <c r="J23" i="2"/>
  <c r="J34" i="2"/>
  <c r="AD35" i="2"/>
  <c r="Z36" i="2"/>
  <c r="R41" i="2"/>
  <c r="V67" i="2"/>
  <c r="G37" i="2"/>
  <c r="W27" i="2"/>
  <c r="K31" i="2"/>
  <c r="C11" i="2"/>
  <c r="C37" i="2"/>
  <c r="W39" i="2"/>
  <c r="T7" i="2"/>
  <c r="G27" i="2"/>
  <c r="G45" i="2"/>
  <c r="C28" i="2"/>
  <c r="O71" i="2"/>
  <c r="K16" i="2"/>
  <c r="K30" i="2"/>
  <c r="W31" i="2"/>
  <c r="W58" i="2"/>
  <c r="K67" i="2"/>
  <c r="AA19" i="2"/>
  <c r="O25" i="2"/>
  <c r="W52" i="2"/>
  <c r="C15" i="2"/>
  <c r="C64" i="2"/>
  <c r="W19" i="2"/>
  <c r="W18" i="2"/>
  <c r="S6" i="2"/>
  <c r="S13" i="2"/>
  <c r="J11" i="2"/>
  <c r="J53" i="2"/>
  <c r="V9" i="2"/>
  <c r="W9" i="2"/>
  <c r="W41" i="2"/>
  <c r="S7" i="2"/>
  <c r="S48" i="2"/>
  <c r="S41" i="2"/>
  <c r="J67" i="2"/>
  <c r="J18" i="2"/>
  <c r="J12" i="2"/>
  <c r="G41" i="2"/>
  <c r="C46" i="2"/>
  <c r="AD43" i="2"/>
  <c r="AA35" i="2"/>
  <c r="Z43" i="2"/>
  <c r="R36" i="2"/>
  <c r="I58" i="2"/>
  <c r="V14" i="2"/>
  <c r="V20" i="2"/>
  <c r="V23" i="2"/>
  <c r="I53" i="2"/>
  <c r="H53" i="2"/>
  <c r="Z42" i="2"/>
  <c r="R42" i="2"/>
  <c r="S58" i="2"/>
  <c r="N35" i="2"/>
  <c r="V12" i="2"/>
  <c r="V48" i="2"/>
  <c r="V17" i="2"/>
  <c r="V22" i="2"/>
  <c r="H58" i="2"/>
  <c r="N42" i="2"/>
  <c r="V10" i="2"/>
  <c r="V21" i="2"/>
  <c r="V66" i="2"/>
  <c r="V7" i="2"/>
  <c r="G58" i="2"/>
  <c r="T9" i="2"/>
  <c r="T24" i="2"/>
  <c r="T20" i="2"/>
  <c r="T64" i="2"/>
  <c r="G26" i="2"/>
  <c r="G75" i="2"/>
  <c r="G50" i="2"/>
  <c r="G16" i="2"/>
  <c r="C8" i="2"/>
  <c r="C26" i="2"/>
  <c r="C45" i="2"/>
  <c r="G69" i="2"/>
  <c r="W69" i="2"/>
  <c r="O69" i="2"/>
  <c r="C60" i="2"/>
  <c r="C57" i="2"/>
  <c r="K44" i="2"/>
  <c r="K39" i="2"/>
  <c r="K50" i="2"/>
  <c r="K68" i="2"/>
  <c r="W26" i="2"/>
  <c r="W45" i="2"/>
  <c r="W32" i="2"/>
  <c r="AA69" i="2"/>
  <c r="K53" i="2"/>
  <c r="K6" i="2"/>
  <c r="K7" i="2"/>
  <c r="K11" i="2"/>
  <c r="K21" i="2"/>
  <c r="G55" i="2"/>
  <c r="AA22" i="2"/>
  <c r="AA14" i="2"/>
  <c r="AA11" i="2"/>
  <c r="O12" i="2"/>
  <c r="O9" i="2"/>
  <c r="O11" i="2"/>
  <c r="O23" i="2"/>
  <c r="K55" i="2"/>
  <c r="K54" i="2"/>
  <c r="W72" i="2"/>
  <c r="C17" i="2"/>
  <c r="C12" i="2"/>
  <c r="C6" i="2"/>
  <c r="C23" i="2"/>
  <c r="W6" i="2"/>
  <c r="W11" i="2"/>
  <c r="W7" i="2"/>
  <c r="K46" i="2"/>
  <c r="K35" i="2"/>
  <c r="W35" i="2"/>
  <c r="S9" i="2"/>
  <c r="S15" i="2"/>
  <c r="S64" i="2"/>
  <c r="S10" i="2"/>
  <c r="O46" i="2"/>
  <c r="S59" i="2"/>
  <c r="S43" i="2"/>
  <c r="S42" i="2"/>
  <c r="G18" i="2"/>
  <c r="J9" i="2"/>
  <c r="J24" i="2"/>
  <c r="G67" i="2"/>
  <c r="G22" i="2"/>
  <c r="J15" i="2"/>
  <c r="G20" i="2"/>
  <c r="G36" i="2"/>
  <c r="J41" i="2"/>
  <c r="J42" i="2"/>
  <c r="V36" i="2"/>
  <c r="C34" i="2"/>
  <c r="AD46" i="2"/>
  <c r="AA46" i="2"/>
  <c r="F35" i="2"/>
  <c r="Z34" i="2"/>
  <c r="Z46" i="2"/>
  <c r="R34" i="2"/>
  <c r="N46" i="2"/>
  <c r="N43" i="2"/>
  <c r="V11" i="2"/>
  <c r="V25" i="2"/>
  <c r="V64" i="2"/>
  <c r="V18" i="2"/>
  <c r="G53" i="2"/>
  <c r="D68" i="2"/>
  <c r="D29" i="2"/>
  <c r="P21" i="2"/>
  <c r="E46" i="2"/>
  <c r="X45" i="2"/>
  <c r="P30" i="2"/>
  <c r="T36" i="2"/>
  <c r="L35" i="2"/>
  <c r="O29" i="2"/>
  <c r="H6" i="2"/>
  <c r="X50" i="2"/>
  <c r="T65" i="2"/>
  <c r="D75" i="2"/>
  <c r="L23" i="2"/>
  <c r="L20" i="2"/>
  <c r="X75" i="2"/>
  <c r="D9" i="2"/>
  <c r="L58" i="2"/>
  <c r="P31" i="2"/>
  <c r="P11" i="2"/>
  <c r="X24" i="2"/>
  <c r="P70" i="2"/>
  <c r="L19" i="2"/>
  <c r="H38" i="2"/>
  <c r="L70" i="2"/>
  <c r="D39" i="2"/>
  <c r="P25" i="2"/>
  <c r="X17" i="2"/>
  <c r="L60" i="2"/>
  <c r="AB36" i="2"/>
  <c r="D35" i="2"/>
  <c r="O75" i="2"/>
  <c r="S69" i="2"/>
  <c r="H28" i="2"/>
  <c r="D40" i="2"/>
  <c r="L45" i="2"/>
  <c r="H65" i="2"/>
  <c r="AB33" i="2"/>
  <c r="P52" i="2"/>
  <c r="E42" i="2"/>
  <c r="AB52" i="2"/>
  <c r="AB70" i="2"/>
  <c r="H26" i="2"/>
  <c r="L37" i="2"/>
  <c r="AB66" i="2"/>
  <c r="L17" i="2"/>
  <c r="L10" i="2"/>
  <c r="X44" i="2"/>
  <c r="D7" i="2"/>
  <c r="T59" i="2"/>
  <c r="P75" i="2"/>
  <c r="X70" i="2"/>
  <c r="T69" i="2"/>
  <c r="D48" i="2"/>
  <c r="AB74" i="2"/>
  <c r="D19" i="2"/>
  <c r="T70" i="2"/>
  <c r="T28" i="2"/>
  <c r="T29" i="2"/>
  <c r="T38" i="2"/>
  <c r="L68" i="2"/>
  <c r="AB40" i="2"/>
  <c r="H71" i="2"/>
  <c r="T50" i="2"/>
  <c r="L69" i="2"/>
  <c r="AB16" i="2"/>
  <c r="AB32" i="2"/>
  <c r="P72" i="2"/>
  <c r="E35" i="2"/>
  <c r="D27" i="2"/>
  <c r="AB71" i="2"/>
  <c r="H39" i="2"/>
  <c r="L33" i="2"/>
  <c r="AB25" i="2"/>
  <c r="L9" i="2"/>
  <c r="D59" i="2"/>
  <c r="X33" i="2"/>
  <c r="D24" i="2"/>
  <c r="T54" i="2"/>
  <c r="P38" i="2"/>
  <c r="P6" i="2"/>
  <c r="X66" i="2"/>
  <c r="L54" i="2"/>
  <c r="H42" i="2"/>
  <c r="AA30" i="2"/>
  <c r="H14" i="2"/>
  <c r="O54" i="2"/>
  <c r="AB26" i="2"/>
  <c r="AB21" i="2"/>
  <c r="H55" i="2"/>
  <c r="T30" i="2"/>
  <c r="L22" i="2"/>
  <c r="AB8" i="2"/>
  <c r="T44" i="2"/>
  <c r="T16" i="2"/>
  <c r="AB29" i="2"/>
  <c r="P54" i="2"/>
  <c r="D74" i="2"/>
  <c r="H16" i="2"/>
  <c r="L29" i="2"/>
  <c r="L11" i="2"/>
  <c r="D60" i="2"/>
  <c r="X16" i="2"/>
  <c r="D15" i="2"/>
  <c r="T55" i="2"/>
  <c r="P73" i="2"/>
  <c r="P24" i="2"/>
  <c r="X25" i="2"/>
  <c r="L28" i="2"/>
  <c r="X21" i="2"/>
  <c r="X71" i="2"/>
  <c r="L32" i="2"/>
  <c r="T26" i="2"/>
  <c r="AB15" i="2"/>
  <c r="H70" i="2"/>
  <c r="T32" i="2"/>
  <c r="L65" i="2"/>
  <c r="AB39" i="2"/>
  <c r="D50" i="2"/>
  <c r="AB68" i="2"/>
  <c r="AB17" i="2"/>
  <c r="H68" i="2"/>
  <c r="T40" i="2"/>
  <c r="L71" i="2"/>
  <c r="AB37" i="2"/>
  <c r="AB27" i="2"/>
  <c r="P57" i="2"/>
  <c r="AB54" i="2"/>
  <c r="X72" i="2"/>
  <c r="H34" i="2"/>
  <c r="AA31" i="2"/>
  <c r="H19" i="2"/>
  <c r="S45" i="2"/>
  <c r="D37" i="2"/>
  <c r="D67" i="2"/>
  <c r="T31" i="2"/>
  <c r="AB31" i="2"/>
  <c r="D8" i="2"/>
  <c r="H75" i="2"/>
  <c r="L30" i="2"/>
  <c r="AB18" i="2"/>
  <c r="L48" i="2"/>
  <c r="D52" i="2"/>
  <c r="X39" i="2"/>
  <c r="D64" i="2"/>
  <c r="P33" i="2"/>
  <c r="P8" i="2"/>
  <c r="P12" i="2"/>
  <c r="X14" i="2"/>
  <c r="AB22" i="2"/>
  <c r="T37" i="2"/>
  <c r="AB48" i="2"/>
  <c r="T49" i="2"/>
  <c r="AB75" i="2"/>
  <c r="T74" i="2"/>
  <c r="D69" i="2"/>
  <c r="P55" i="2"/>
  <c r="AB55" i="2"/>
  <c r="H37" i="2"/>
  <c r="T39" i="2"/>
  <c r="T27" i="2"/>
  <c r="X69" i="2"/>
  <c r="D26" i="2"/>
  <c r="H30" i="2"/>
  <c r="H45" i="2"/>
  <c r="L38" i="2"/>
  <c r="AB20" i="2"/>
  <c r="L67" i="2"/>
  <c r="D55" i="2"/>
  <c r="X74" i="2"/>
  <c r="D25" i="2"/>
  <c r="P39" i="2"/>
  <c r="P37" i="2"/>
  <c r="P18" i="2"/>
  <c r="X6" i="2"/>
  <c r="X55" i="2"/>
  <c r="AA52" i="2"/>
  <c r="AA28" i="2"/>
  <c r="H67" i="2"/>
  <c r="S8" i="2"/>
  <c r="P44" i="2"/>
  <c r="AB72" i="2"/>
  <c r="E41" i="2"/>
  <c r="D70" i="2"/>
  <c r="D16" i="2"/>
  <c r="L49" i="2"/>
  <c r="AB67" i="2"/>
  <c r="L64" i="2"/>
  <c r="X30" i="2"/>
  <c r="X29" i="2"/>
  <c r="D6" i="2"/>
  <c r="P28" i="2"/>
  <c r="T73" i="2"/>
  <c r="E43" i="2"/>
  <c r="D18" i="2"/>
  <c r="AB44" i="2"/>
  <c r="AB12" i="2"/>
  <c r="H69" i="2"/>
  <c r="H32" i="2"/>
  <c r="T45" i="2"/>
  <c r="AB49" i="2"/>
  <c r="T33" i="2"/>
  <c r="X65" i="2"/>
  <c r="AB73" i="2"/>
  <c r="AB30" i="2"/>
  <c r="P60" i="2"/>
  <c r="D30" i="2"/>
  <c r="H31" i="2"/>
  <c r="L74" i="2"/>
  <c r="T75" i="2"/>
  <c r="T8" i="2"/>
  <c r="X68" i="2"/>
  <c r="D71" i="2"/>
  <c r="AB38" i="2"/>
  <c r="T68" i="2"/>
  <c r="E34" i="2"/>
  <c r="D73" i="2"/>
  <c r="H54" i="2"/>
  <c r="P64" i="2"/>
  <c r="X15" i="2"/>
  <c r="P36" i="2"/>
  <c r="X42" i="2"/>
  <c r="AA29" i="2"/>
  <c r="H25" i="2"/>
  <c r="S31" i="2"/>
  <c r="L59" i="2"/>
  <c r="X54" i="2"/>
  <c r="P53" i="2"/>
  <c r="P46" i="2"/>
  <c r="T43" i="2"/>
  <c r="AB35" i="2"/>
  <c r="H46" i="2"/>
  <c r="AA60" i="2"/>
  <c r="AA55" i="2"/>
  <c r="X41" i="2"/>
  <c r="L46" i="2"/>
  <c r="D46" i="2"/>
  <c r="AA44" i="2"/>
  <c r="AA37" i="2"/>
  <c r="AA8" i="2"/>
  <c r="AA49" i="2"/>
  <c r="O44" i="2"/>
  <c r="H66" i="2"/>
  <c r="H13" i="2"/>
  <c r="H9" i="2"/>
  <c r="O26" i="2"/>
  <c r="H20" i="2"/>
  <c r="H23" i="2"/>
  <c r="S65" i="2"/>
  <c r="O52" i="2"/>
  <c r="S16" i="2"/>
  <c r="S28" i="2"/>
  <c r="S29" i="2"/>
  <c r="D65" i="2"/>
  <c r="AB28" i="2"/>
  <c r="AB50" i="2"/>
  <c r="AB45" i="2"/>
  <c r="T71" i="2"/>
  <c r="P59" i="2"/>
  <c r="E36" i="2"/>
  <c r="D38" i="2"/>
  <c r="AB59" i="2"/>
  <c r="AB60" i="2"/>
  <c r="D31" i="2"/>
  <c r="D28" i="2"/>
  <c r="AB65" i="2"/>
  <c r="H44" i="2"/>
  <c r="H50" i="2"/>
  <c r="H73" i="2"/>
  <c r="L75" i="2"/>
  <c r="L16" i="2"/>
  <c r="L40" i="2"/>
  <c r="L50" i="2"/>
  <c r="AB14" i="2"/>
  <c r="AB6" i="2"/>
  <c r="AB7" i="2"/>
  <c r="AB24" i="2"/>
  <c r="L24" i="2"/>
  <c r="L12" i="2"/>
  <c r="L25" i="2"/>
  <c r="D54" i="2"/>
  <c r="X32" i="2"/>
  <c r="X8" i="2"/>
  <c r="X40" i="2"/>
  <c r="X37" i="2"/>
  <c r="D21" i="2"/>
  <c r="D20" i="2"/>
  <c r="D22" i="2"/>
  <c r="D23" i="2"/>
  <c r="T52" i="2"/>
  <c r="P16" i="2"/>
  <c r="P26" i="2"/>
  <c r="P50" i="2"/>
  <c r="P40" i="2"/>
  <c r="H52" i="2"/>
  <c r="P14" i="2"/>
  <c r="P13" i="2"/>
  <c r="P66" i="2"/>
  <c r="X53" i="2"/>
  <c r="X7" i="2"/>
  <c r="X18" i="2"/>
  <c r="X19" i="2"/>
  <c r="P68" i="2"/>
  <c r="L72" i="2"/>
  <c r="D58" i="2"/>
  <c r="X60" i="2"/>
  <c r="P58" i="2"/>
  <c r="P42" i="2"/>
  <c r="T34" i="2"/>
  <c r="AB34" i="2"/>
  <c r="H41" i="2"/>
  <c r="AA57" i="2"/>
  <c r="X35" i="2"/>
  <c r="X36" i="2"/>
  <c r="L43" i="2"/>
  <c r="D42" i="2"/>
  <c r="AA38" i="2"/>
  <c r="AA40" i="2"/>
  <c r="AA39" i="2"/>
  <c r="O45" i="2"/>
  <c r="O16" i="2"/>
  <c r="H11" i="2"/>
  <c r="O40" i="2"/>
  <c r="O32" i="2"/>
  <c r="H15" i="2"/>
  <c r="H48" i="2"/>
  <c r="H17" i="2"/>
  <c r="O57" i="2"/>
  <c r="O59" i="2"/>
  <c r="S27" i="2"/>
  <c r="S37" i="2"/>
  <c r="S26" i="2"/>
  <c r="D44" i="2"/>
  <c r="D45" i="2"/>
  <c r="AB69" i="2"/>
  <c r="H8" i="2"/>
  <c r="H74" i="2"/>
  <c r="H49" i="2"/>
  <c r="L44" i="2"/>
  <c r="L27" i="2"/>
  <c r="L73" i="2"/>
  <c r="L31" i="2"/>
  <c r="AB64" i="2"/>
  <c r="AB10" i="2"/>
  <c r="AB23" i="2"/>
  <c r="L6" i="2"/>
  <c r="L7" i="2"/>
  <c r="L15" i="2"/>
  <c r="L14" i="2"/>
  <c r="D57" i="2"/>
  <c r="X73" i="2"/>
  <c r="X27" i="2"/>
  <c r="X26" i="2"/>
  <c r="X31" i="2"/>
  <c r="D14" i="2"/>
  <c r="D10" i="2"/>
  <c r="D17" i="2"/>
  <c r="L53" i="2"/>
  <c r="T60" i="2"/>
  <c r="P74" i="2"/>
  <c r="P45" i="2"/>
  <c r="P27" i="2"/>
  <c r="H59" i="2"/>
  <c r="H72" i="2"/>
  <c r="P20" i="2"/>
  <c r="P22" i="2"/>
  <c r="P23" i="2"/>
  <c r="X58" i="2"/>
  <c r="X20" i="2"/>
  <c r="X48" i="2"/>
  <c r="X23" i="2"/>
  <c r="P71" i="2"/>
  <c r="L55" i="2"/>
  <c r="D53" i="2"/>
  <c r="X57" i="2"/>
  <c r="P41" i="2"/>
  <c r="P43" i="2"/>
  <c r="T35" i="2"/>
  <c r="AB46" i="2"/>
  <c r="H36" i="2"/>
  <c r="AA59" i="2"/>
  <c r="X46" i="2"/>
  <c r="L41" i="2"/>
  <c r="L36" i="2"/>
  <c r="D43" i="2"/>
  <c r="AA50" i="2"/>
  <c r="AA26" i="2"/>
  <c r="AA33" i="2"/>
  <c r="O73" i="2"/>
  <c r="O27" i="2"/>
  <c r="O74" i="2"/>
  <c r="H21" i="2"/>
  <c r="O28" i="2"/>
  <c r="O30" i="2"/>
  <c r="H22" i="2"/>
  <c r="S68" i="2"/>
  <c r="O60" i="2"/>
  <c r="S49" i="2"/>
  <c r="S40" i="2"/>
  <c r="S33" i="2"/>
  <c r="S39" i="2"/>
  <c r="H57" i="2"/>
  <c r="P48" i="2"/>
  <c r="P7" i="2"/>
  <c r="P67" i="2"/>
  <c r="P19" i="2"/>
  <c r="X67" i="2"/>
  <c r="X9" i="2"/>
  <c r="X13" i="2"/>
  <c r="X12" i="2"/>
  <c r="P69" i="2"/>
  <c r="L57" i="2"/>
  <c r="AB53" i="2"/>
  <c r="X59" i="2"/>
  <c r="P34" i="2"/>
  <c r="T41" i="2"/>
  <c r="T42" i="2"/>
  <c r="AB43" i="2"/>
  <c r="H35" i="2"/>
  <c r="AA54" i="2"/>
  <c r="X34" i="2"/>
  <c r="L34" i="2"/>
  <c r="D41" i="2"/>
  <c r="D34" i="2"/>
  <c r="AA74" i="2"/>
  <c r="AA75" i="2"/>
  <c r="AA27" i="2"/>
  <c r="O38" i="2"/>
  <c r="O37" i="2"/>
  <c r="O49" i="2"/>
  <c r="O39" i="2"/>
  <c r="H18" i="2"/>
  <c r="H12" i="2"/>
  <c r="H24" i="2"/>
  <c r="S71" i="2"/>
  <c r="O72" i="2"/>
  <c r="S38" i="2"/>
  <c r="S44" i="2"/>
  <c r="S74" i="2"/>
  <c r="S32" i="2"/>
  <c r="AB57" i="2"/>
  <c r="D49" i="2"/>
  <c r="D32" i="2"/>
  <c r="D33" i="2"/>
  <c r="H33" i="2"/>
  <c r="H40" i="2"/>
  <c r="H29" i="2"/>
  <c r="H27" i="2"/>
  <c r="L26" i="2"/>
  <c r="L8" i="2"/>
  <c r="L39" i="2"/>
  <c r="AB9" i="2"/>
  <c r="AB11" i="2"/>
  <c r="AB19" i="2"/>
  <c r="AB13" i="2"/>
  <c r="L18" i="2"/>
  <c r="L66" i="2"/>
  <c r="L21" i="2"/>
  <c r="L13" i="2"/>
  <c r="D72" i="2"/>
  <c r="X38" i="2"/>
  <c r="X49" i="2"/>
  <c r="X28" i="2"/>
  <c r="D66" i="2"/>
  <c r="D12" i="2"/>
  <c r="D13" i="2"/>
  <c r="D11" i="2"/>
  <c r="T57" i="2"/>
  <c r="T72" i="2"/>
  <c r="P29" i="2"/>
  <c r="P49" i="2"/>
  <c r="P32" i="2"/>
  <c r="H60" i="2"/>
  <c r="P10" i="2"/>
  <c r="P15" i="2"/>
  <c r="P17" i="2"/>
  <c r="P9" i="2"/>
  <c r="X10" i="2"/>
  <c r="X64" i="2"/>
  <c r="X11" i="2"/>
  <c r="X22" i="2"/>
  <c r="P65" i="2"/>
  <c r="L52" i="2"/>
  <c r="AB58" i="2"/>
  <c r="X52" i="2"/>
  <c r="P35" i="2"/>
  <c r="T46" i="2"/>
  <c r="AB42" i="2"/>
  <c r="AB41" i="2"/>
  <c r="H43" i="2"/>
  <c r="AA72" i="2"/>
  <c r="X43" i="2"/>
  <c r="L42" i="2"/>
  <c r="D36" i="2"/>
  <c r="AA45" i="2"/>
  <c r="AA16" i="2"/>
  <c r="AA73" i="2"/>
  <c r="AA32" i="2"/>
  <c r="O50" i="2"/>
  <c r="H10" i="2"/>
  <c r="H64" i="2"/>
  <c r="O33" i="2"/>
  <c r="O31" i="2"/>
  <c r="O8" i="2"/>
  <c r="H7" i="2"/>
  <c r="S70" i="2"/>
  <c r="O55" i="2"/>
  <c r="S50" i="2"/>
  <c r="S30" i="2"/>
  <c r="S75" i="2"/>
  <c r="S73" i="2"/>
  <c r="M65" i="2"/>
  <c r="Q27" i="2"/>
  <c r="U59" i="2"/>
  <c r="Y67" i="2"/>
  <c r="AC70" i="2"/>
  <c r="Q48" i="2"/>
  <c r="M27" i="2"/>
  <c r="M14" i="2"/>
  <c r="E58" i="2"/>
  <c r="AC12" i="2"/>
  <c r="U11" i="2"/>
  <c r="I41" i="2"/>
  <c r="Q68" i="2"/>
  <c r="Q22" i="2"/>
  <c r="E71" i="2"/>
  <c r="I49" i="2"/>
  <c r="Q25" i="2"/>
  <c r="Q26" i="2"/>
  <c r="Y57" i="2"/>
  <c r="I54" i="2"/>
  <c r="Y13" i="2"/>
  <c r="I70" i="2"/>
  <c r="E69" i="2"/>
  <c r="M53" i="2"/>
  <c r="I27" i="2"/>
  <c r="I31" i="2"/>
  <c r="Q13" i="2"/>
  <c r="Q9" i="2"/>
  <c r="Q16" i="2"/>
  <c r="Q33" i="2"/>
  <c r="Y55" i="2"/>
  <c r="M32" i="2"/>
  <c r="I57" i="2"/>
  <c r="M10" i="2"/>
  <c r="M22" i="2"/>
  <c r="Y20" i="2"/>
  <c r="Y21" i="2"/>
  <c r="E17" i="2"/>
  <c r="E21" i="2"/>
  <c r="Y8" i="2"/>
  <c r="AC17" i="2"/>
  <c r="AC23" i="2"/>
  <c r="AC25" i="2"/>
  <c r="I25" i="2"/>
  <c r="I48" i="2"/>
  <c r="I22" i="2"/>
  <c r="U9" i="2"/>
  <c r="U19" i="2"/>
  <c r="M60" i="2"/>
  <c r="M36" i="2"/>
  <c r="M34" i="2"/>
  <c r="Y36" i="2"/>
  <c r="AC35" i="2"/>
  <c r="U46" i="2"/>
  <c r="I36" i="2"/>
  <c r="Q46" i="2"/>
  <c r="M70" i="2"/>
  <c r="Q65" i="2"/>
  <c r="E57" i="2"/>
  <c r="I37" i="2"/>
  <c r="I33" i="2"/>
  <c r="Q24" i="2"/>
  <c r="Q58" i="2"/>
  <c r="Q45" i="2"/>
  <c r="M8" i="2"/>
  <c r="M26" i="2"/>
  <c r="M40" i="2"/>
  <c r="U60" i="2"/>
  <c r="M64" i="2"/>
  <c r="M21" i="2"/>
  <c r="Y23" i="2"/>
  <c r="Y17" i="2"/>
  <c r="E12" i="2"/>
  <c r="E6" i="2"/>
  <c r="Y16" i="2"/>
  <c r="Y32" i="2"/>
  <c r="AC20" i="2"/>
  <c r="I9" i="2"/>
  <c r="U21" i="2"/>
  <c r="I74" i="2"/>
  <c r="Q75" i="2"/>
  <c r="M23" i="2"/>
  <c r="Y24" i="2"/>
  <c r="Y26" i="2"/>
  <c r="Y44" i="2"/>
  <c r="AC15" i="2"/>
  <c r="AC10" i="2"/>
  <c r="I66" i="2"/>
  <c r="I23" i="2"/>
  <c r="I18" i="2"/>
  <c r="U17" i="2"/>
  <c r="U67" i="2"/>
  <c r="U6" i="2"/>
  <c r="M52" i="2"/>
  <c r="M42" i="2"/>
  <c r="Y43" i="2"/>
  <c r="Y35" i="2"/>
  <c r="AC41" i="2"/>
  <c r="U43" i="2"/>
  <c r="I35" i="2"/>
  <c r="Q35" i="2"/>
  <c r="U69" i="2"/>
  <c r="I38" i="2"/>
  <c r="Y59" i="2"/>
  <c r="M18" i="2"/>
  <c r="M48" i="2"/>
  <c r="E13" i="2"/>
  <c r="Y37" i="2"/>
  <c r="AC14" i="2"/>
  <c r="AC48" i="2"/>
  <c r="U12" i="2"/>
  <c r="Y71" i="2"/>
  <c r="I68" i="2"/>
  <c r="I30" i="2"/>
  <c r="Q39" i="2"/>
  <c r="M6" i="2"/>
  <c r="Y53" i="2"/>
  <c r="Q40" i="2"/>
  <c r="E19" i="2"/>
  <c r="M46" i="2"/>
  <c r="U71" i="2"/>
  <c r="Y70" i="2"/>
  <c r="Q7" i="2"/>
  <c r="M39" i="2"/>
  <c r="E67" i="2"/>
  <c r="Y69" i="2"/>
  <c r="I73" i="2"/>
  <c r="Q18" i="2"/>
  <c r="Q38" i="2"/>
  <c r="I52" i="2"/>
  <c r="M12" i="2"/>
  <c r="E22" i="2"/>
  <c r="AC18" i="2"/>
  <c r="I20" i="2"/>
  <c r="M57" i="2"/>
  <c r="Y41" i="2"/>
  <c r="U65" i="2"/>
  <c r="E72" i="2"/>
  <c r="Q21" i="2"/>
  <c r="Q30" i="2"/>
  <c r="Q44" i="2"/>
  <c r="M33" i="2"/>
  <c r="M44" i="2"/>
  <c r="I59" i="2"/>
  <c r="U54" i="2"/>
  <c r="M66" i="2"/>
  <c r="M11" i="2"/>
  <c r="Y6" i="2"/>
  <c r="Y22" i="2"/>
  <c r="Y7" i="2"/>
  <c r="E7" i="2"/>
  <c r="E64" i="2"/>
  <c r="E24" i="2"/>
  <c r="Y75" i="2"/>
  <c r="Y74" i="2"/>
  <c r="Y38" i="2"/>
  <c r="Y31" i="2"/>
  <c r="AC64" i="2"/>
  <c r="AC13" i="2"/>
  <c r="AC6" i="2"/>
  <c r="I67" i="2"/>
  <c r="I11" i="2"/>
  <c r="I17" i="2"/>
  <c r="I21" i="2"/>
  <c r="U10" i="2"/>
  <c r="U23" i="2"/>
  <c r="U48" i="2"/>
  <c r="U13" i="2"/>
  <c r="M72" i="2"/>
  <c r="M43" i="2"/>
  <c r="Y46" i="2"/>
  <c r="AC36" i="2"/>
  <c r="U36" i="2"/>
  <c r="U41" i="2"/>
  <c r="I43" i="2"/>
  <c r="Q42" i="2"/>
  <c r="E52" i="2"/>
  <c r="Q49" i="2"/>
  <c r="I60" i="2"/>
  <c r="E48" i="2"/>
  <c r="E68" i="2"/>
  <c r="I50" i="2"/>
  <c r="Q31" i="2"/>
  <c r="AC58" i="2"/>
  <c r="Y15" i="2"/>
  <c r="Y30" i="2"/>
  <c r="AC21" i="2"/>
  <c r="I12" i="2"/>
  <c r="U22" i="2"/>
  <c r="AC46" i="2"/>
  <c r="M71" i="2"/>
  <c r="I28" i="2"/>
  <c r="Q10" i="2"/>
  <c r="Q37" i="2"/>
  <c r="Q50" i="2"/>
  <c r="Y54" i="2"/>
  <c r="M74" i="2"/>
  <c r="AC53" i="2"/>
  <c r="M24" i="2"/>
  <c r="M9" i="2"/>
  <c r="E53" i="2"/>
  <c r="Q69" i="2"/>
  <c r="Q23" i="2"/>
  <c r="M38" i="2"/>
  <c r="Y66" i="2"/>
  <c r="I71" i="2"/>
  <c r="E60" i="2"/>
  <c r="Q32" i="2"/>
  <c r="M50" i="2"/>
  <c r="M15" i="2"/>
  <c r="Y14" i="2"/>
  <c r="Y39" i="2"/>
  <c r="U64" i="2"/>
  <c r="Q34" i="2"/>
  <c r="AC68" i="2"/>
  <c r="I8" i="2"/>
  <c r="Y68" i="2"/>
  <c r="Q70" i="2"/>
  <c r="I40" i="2"/>
  <c r="Q17" i="2"/>
  <c r="Q28" i="2"/>
  <c r="M45" i="2"/>
  <c r="I55" i="2"/>
  <c r="U72" i="2"/>
  <c r="M17" i="2"/>
  <c r="M25" i="2"/>
  <c r="Y18" i="2"/>
  <c r="E23" i="2"/>
  <c r="E14" i="2"/>
  <c r="E11" i="2"/>
  <c r="E20" i="2"/>
  <c r="Y33" i="2"/>
  <c r="Y45" i="2"/>
  <c r="Y50" i="2"/>
  <c r="Y29" i="2"/>
  <c r="AC19" i="2"/>
  <c r="AC11" i="2"/>
  <c r="AC7" i="2"/>
  <c r="I10" i="2"/>
  <c r="I19" i="2"/>
  <c r="I15" i="2"/>
  <c r="I6" i="2"/>
  <c r="U18" i="2"/>
  <c r="U66" i="2"/>
  <c r="U7" i="2"/>
  <c r="U15" i="2"/>
  <c r="M54" i="2"/>
  <c r="M35" i="2"/>
  <c r="Y34" i="2"/>
  <c r="AC43" i="2"/>
  <c r="U35" i="2"/>
  <c r="I34" i="2"/>
  <c r="I46" i="2"/>
  <c r="Q43" i="2"/>
  <c r="AC65" i="2"/>
  <c r="Q14" i="2"/>
  <c r="M75" i="2"/>
  <c r="Y48" i="2"/>
  <c r="U68" i="2"/>
  <c r="I44" i="2"/>
  <c r="Q64" i="2"/>
  <c r="M16" i="2"/>
  <c r="M13" i="2"/>
  <c r="E9" i="2"/>
  <c r="Y40" i="2"/>
  <c r="I13" i="2"/>
  <c r="U42" i="2"/>
  <c r="E65" i="2"/>
  <c r="I39" i="2"/>
  <c r="I69" i="2"/>
  <c r="AC71" i="2"/>
  <c r="I45" i="2"/>
  <c r="Q19" i="2"/>
  <c r="Q29" i="2"/>
  <c r="M28" i="2"/>
  <c r="Y19" i="2"/>
  <c r="Y58" i="2"/>
  <c r="Q11" i="2"/>
  <c r="Y60" i="2"/>
  <c r="E10" i="2"/>
  <c r="Q71" i="2"/>
  <c r="Q15" i="2"/>
  <c r="M29" i="2"/>
  <c r="U55" i="2"/>
  <c r="Y11" i="2"/>
  <c r="Y49" i="2"/>
  <c r="AC22" i="2"/>
  <c r="U24" i="2"/>
  <c r="AC34" i="2"/>
  <c r="I65" i="2"/>
  <c r="E59" i="2"/>
  <c r="Q12" i="2"/>
  <c r="M68" i="2"/>
  <c r="E54" i="2"/>
  <c r="I32" i="2"/>
  <c r="Q6" i="2"/>
  <c r="Y72" i="2"/>
  <c r="M49" i="2"/>
  <c r="M7" i="2"/>
  <c r="Y10" i="2"/>
  <c r="U70" i="2"/>
  <c r="Y65" i="2"/>
  <c r="M69" i="2"/>
  <c r="E70" i="2"/>
  <c r="AC69" i="2"/>
  <c r="M58" i="2"/>
  <c r="E55" i="2"/>
  <c r="I75" i="2"/>
  <c r="I29" i="2"/>
  <c r="I26" i="2"/>
  <c r="I16" i="2"/>
  <c r="Q66" i="2"/>
  <c r="Q67" i="2"/>
  <c r="Q20" i="2"/>
  <c r="Q53" i="2"/>
  <c r="Q73" i="2"/>
  <c r="Q74" i="2"/>
  <c r="Q8" i="2"/>
  <c r="Y52" i="2"/>
  <c r="M30" i="2"/>
  <c r="M31" i="2"/>
  <c r="M73" i="2"/>
  <c r="M37" i="2"/>
  <c r="I72" i="2"/>
  <c r="U57" i="2"/>
  <c r="U52" i="2"/>
  <c r="M20" i="2"/>
  <c r="M19" i="2"/>
  <c r="M67" i="2"/>
  <c r="Y12" i="2"/>
  <c r="Y64" i="2"/>
  <c r="Y25" i="2"/>
  <c r="Y9" i="2"/>
  <c r="E25" i="2"/>
  <c r="E18" i="2"/>
  <c r="E66" i="2"/>
  <c r="E15" i="2"/>
  <c r="Y28" i="2"/>
  <c r="Y27" i="2"/>
  <c r="Y73" i="2"/>
  <c r="AC24" i="2"/>
  <c r="AC67" i="2"/>
  <c r="AC9" i="2"/>
  <c r="AC66" i="2"/>
  <c r="I24" i="2"/>
  <c r="I14" i="2"/>
  <c r="I64" i="2"/>
  <c r="I7" i="2"/>
  <c r="U25" i="2"/>
  <c r="U14" i="2"/>
  <c r="U20" i="2"/>
  <c r="M55" i="2"/>
  <c r="M59" i="2"/>
  <c r="M41" i="2"/>
  <c r="Y42" i="2"/>
  <c r="AC42" i="2"/>
  <c r="U34" i="2"/>
  <c r="I42" i="2"/>
  <c r="Q41" i="2"/>
  <c r="Q36" i="2"/>
  <c r="V49" i="2"/>
  <c r="V75" i="2"/>
  <c r="V32" i="2"/>
  <c r="U38" i="2"/>
  <c r="U29" i="2"/>
  <c r="V37" i="2"/>
  <c r="U28" i="2"/>
  <c r="R7" i="2"/>
  <c r="R11" i="2"/>
  <c r="R12" i="2"/>
  <c r="V74" i="2"/>
  <c r="F45" i="2"/>
  <c r="N24" i="2"/>
  <c r="V33" i="2"/>
  <c r="U40" i="2"/>
  <c r="R25" i="2"/>
  <c r="F73" i="2"/>
  <c r="Z29" i="2"/>
  <c r="Z73" i="2"/>
  <c r="AC73" i="2"/>
  <c r="N15" i="2"/>
  <c r="AD31" i="2"/>
  <c r="AD29" i="2"/>
  <c r="E27" i="2"/>
  <c r="Z15" i="2"/>
  <c r="AD7" i="2"/>
  <c r="V50" i="2"/>
  <c r="F27" i="2"/>
  <c r="F37" i="2"/>
  <c r="F30" i="2"/>
  <c r="F8" i="2"/>
  <c r="V57" i="2"/>
  <c r="Z30" i="2"/>
  <c r="Z38" i="2"/>
  <c r="Z8" i="2"/>
  <c r="F24" i="2"/>
  <c r="F23" i="2"/>
  <c r="F18" i="2"/>
  <c r="F14" i="2"/>
  <c r="AC29" i="2"/>
  <c r="N14" i="2"/>
  <c r="AC50" i="2"/>
  <c r="N10" i="2"/>
  <c r="AC27" i="2"/>
  <c r="N11" i="2"/>
  <c r="N66" i="2"/>
  <c r="AD33" i="2"/>
  <c r="AD27" i="2"/>
  <c r="AD50" i="2"/>
  <c r="AD16" i="2"/>
  <c r="E16" i="2"/>
  <c r="E33" i="2"/>
  <c r="E32" i="2"/>
  <c r="Z23" i="2"/>
  <c r="Z10" i="2"/>
  <c r="Z64" i="2"/>
  <c r="Z12" i="2"/>
  <c r="AD67" i="2"/>
  <c r="AD9" i="2"/>
  <c r="AD17" i="2"/>
  <c r="AD53" i="2"/>
  <c r="AC54" i="2"/>
  <c r="Q54" i="2"/>
  <c r="V16" i="2"/>
  <c r="V59" i="2"/>
  <c r="AC16" i="2"/>
  <c r="N67" i="2"/>
  <c r="AD44" i="2"/>
  <c r="E31" i="2"/>
  <c r="Z6" i="2"/>
  <c r="Z13" i="2"/>
  <c r="Z25" i="2"/>
  <c r="AD25" i="2"/>
  <c r="AD64" i="2"/>
  <c r="AD10" i="2"/>
  <c r="AD58" i="2"/>
  <c r="AC60" i="2"/>
  <c r="Q60" i="2"/>
  <c r="R10" i="2"/>
  <c r="Z44" i="2"/>
  <c r="N19" i="2"/>
  <c r="AD40" i="2"/>
  <c r="Z66" i="2"/>
  <c r="R21" i="2"/>
  <c r="Z50" i="2"/>
  <c r="AC45" i="2"/>
  <c r="E29" i="2"/>
  <c r="V45" i="2"/>
  <c r="R19" i="2"/>
  <c r="R15" i="2"/>
  <c r="F74" i="2"/>
  <c r="V72" i="2"/>
  <c r="Z27" i="2"/>
  <c r="F20" i="2"/>
  <c r="F21" i="2"/>
  <c r="AC49" i="2"/>
  <c r="N64" i="2"/>
  <c r="N12" i="2"/>
  <c r="N18" i="2"/>
  <c r="AD32" i="2"/>
  <c r="AD75" i="2"/>
  <c r="E38" i="2"/>
  <c r="E75" i="2"/>
  <c r="E8" i="2"/>
  <c r="E49" i="2"/>
  <c r="Z24" i="2"/>
  <c r="Z48" i="2"/>
  <c r="Z7" i="2"/>
  <c r="AD66" i="2"/>
  <c r="AD21" i="2"/>
  <c r="AD19" i="2"/>
  <c r="AD22" i="2"/>
  <c r="Z58" i="2"/>
  <c r="AC59" i="2"/>
  <c r="Q57" i="2"/>
  <c r="U74" i="2"/>
  <c r="Z74" i="2"/>
  <c r="N20" i="2"/>
  <c r="AD26" i="2"/>
  <c r="V44" i="2"/>
  <c r="U32" i="2"/>
  <c r="U26" i="2"/>
  <c r="R14" i="2"/>
  <c r="R67" i="2"/>
  <c r="F32" i="2"/>
  <c r="F26" i="2"/>
  <c r="Z16" i="2"/>
  <c r="Z37" i="2"/>
  <c r="Z39" i="2"/>
  <c r="F6" i="2"/>
  <c r="F22" i="2"/>
  <c r="AC31" i="2"/>
  <c r="AC40" i="2"/>
  <c r="N48" i="2"/>
  <c r="AD8" i="2"/>
  <c r="U50" i="2"/>
  <c r="V54" i="2"/>
  <c r="AC8" i="2"/>
  <c r="E44" i="2"/>
  <c r="V39" i="2"/>
  <c r="V28" i="2"/>
  <c r="V30" i="2"/>
  <c r="U75" i="2"/>
  <c r="U31" i="2"/>
  <c r="R22" i="2"/>
  <c r="R64" i="2"/>
  <c r="F38" i="2"/>
  <c r="F33" i="2"/>
  <c r="Z40" i="2"/>
  <c r="Z31" i="2"/>
  <c r="F11" i="2"/>
  <c r="AC28" i="2"/>
  <c r="AC75" i="2"/>
  <c r="AC32" i="2"/>
  <c r="N17" i="2"/>
  <c r="N9" i="2"/>
  <c r="AD28" i="2"/>
  <c r="AD39" i="2"/>
  <c r="AD37" i="2"/>
  <c r="E50" i="2"/>
  <c r="E30" i="2"/>
  <c r="E26" i="2"/>
  <c r="E28" i="2"/>
  <c r="Z67" i="2"/>
  <c r="Z11" i="2"/>
  <c r="Z20" i="2"/>
  <c r="AD23" i="2"/>
  <c r="AD24" i="2"/>
  <c r="AD20" i="2"/>
  <c r="AD12" i="2"/>
  <c r="Z53" i="2"/>
  <c r="AC72" i="2"/>
  <c r="Q72" i="2"/>
  <c r="R24" i="2"/>
  <c r="F15" i="2"/>
  <c r="E73" i="2"/>
  <c r="V40" i="2"/>
  <c r="U37" i="2"/>
  <c r="V29" i="2"/>
  <c r="U49" i="2"/>
  <c r="U30" i="2"/>
  <c r="R6" i="2"/>
  <c r="R18" i="2"/>
  <c r="F29" i="2"/>
  <c r="V52" i="2"/>
  <c r="Z28" i="2"/>
  <c r="Z33" i="2"/>
  <c r="F9" i="2"/>
  <c r="F13" i="2"/>
  <c r="AC33" i="2"/>
  <c r="AC74" i="2"/>
  <c r="N21" i="2"/>
  <c r="V31" i="2"/>
  <c r="R20" i="2"/>
  <c r="F17" i="2"/>
  <c r="U8" i="2"/>
  <c r="F49" i="2"/>
  <c r="V55" i="2"/>
  <c r="F48" i="2"/>
  <c r="AC39" i="2"/>
  <c r="N23" i="2"/>
  <c r="E74" i="2"/>
  <c r="Z21" i="2"/>
  <c r="AD18" i="2"/>
  <c r="AD11" i="2"/>
  <c r="AC57" i="2"/>
  <c r="AC52" i="2"/>
  <c r="Q52" i="2"/>
  <c r="U73" i="2"/>
  <c r="F39" i="2"/>
  <c r="F66" i="2"/>
  <c r="V8" i="2"/>
  <c r="R23" i="2"/>
  <c r="F50" i="2"/>
  <c r="Z49" i="2"/>
  <c r="F7" i="2"/>
  <c r="N22" i="2"/>
  <c r="E39" i="2"/>
  <c r="R13" i="2"/>
  <c r="V26" i="2"/>
  <c r="F44" i="2"/>
  <c r="F64" i="2"/>
  <c r="V38" i="2"/>
  <c r="U45" i="2"/>
  <c r="U44" i="2"/>
  <c r="R66" i="2"/>
  <c r="F75" i="2"/>
  <c r="Z26" i="2"/>
  <c r="F25" i="2"/>
  <c r="N13" i="2"/>
  <c r="N25" i="2"/>
  <c r="AD49" i="2"/>
  <c r="AD73" i="2"/>
  <c r="Z22" i="2"/>
  <c r="Z17" i="2"/>
  <c r="AD48" i="2"/>
  <c r="V73" i="2"/>
  <c r="V27" i="2"/>
  <c r="U27" i="2"/>
  <c r="U16" i="2"/>
  <c r="U33" i="2"/>
  <c r="U39" i="2"/>
  <c r="R17" i="2"/>
  <c r="R9" i="2"/>
  <c r="R48" i="2"/>
  <c r="F31" i="2"/>
  <c r="F16" i="2"/>
  <c r="F40" i="2"/>
  <c r="F28" i="2"/>
  <c r="V60" i="2"/>
  <c r="Z45" i="2"/>
  <c r="Z75" i="2"/>
  <c r="Z32" i="2"/>
  <c r="F10" i="2"/>
  <c r="F67" i="2"/>
  <c r="F12" i="2"/>
  <c r="F19" i="2"/>
  <c r="AC26" i="2"/>
  <c r="AC44" i="2"/>
  <c r="AC38" i="2"/>
  <c r="AC30" i="2"/>
  <c r="AC37" i="2"/>
  <c r="N7" i="2"/>
  <c r="N6" i="2"/>
  <c r="AD30" i="2"/>
  <c r="AD45" i="2"/>
  <c r="AD38" i="2"/>
  <c r="AD74" i="2"/>
  <c r="E40" i="2"/>
  <c r="E37" i="2"/>
  <c r="E45" i="2"/>
  <c r="Z9" i="2"/>
  <c r="Z18" i="2"/>
  <c r="Z19" i="2"/>
  <c r="Z14" i="2"/>
  <c r="AD6" i="2"/>
  <c r="AD14" i="2"/>
  <c r="AD13" i="2"/>
  <c r="AD15" i="2"/>
  <c r="AC55" i="2"/>
  <c r="Q59" i="2"/>
  <c r="Q55" i="2"/>
  <c r="F69" i="2"/>
  <c r="N70" i="2"/>
  <c r="AD69" i="2"/>
  <c r="R30" i="2"/>
  <c r="F68" i="2"/>
  <c r="N65" i="2"/>
  <c r="J60" i="2"/>
  <c r="R31" i="2"/>
  <c r="R73" i="2"/>
  <c r="J26" i="2"/>
  <c r="F54" i="2"/>
  <c r="AD57" i="2"/>
  <c r="Z69" i="2"/>
  <c r="J54" i="2"/>
  <c r="N50" i="2"/>
  <c r="N39" i="2"/>
  <c r="R74" i="2"/>
  <c r="J28" i="2"/>
  <c r="F55" i="2"/>
  <c r="AD60" i="2"/>
  <c r="Z54" i="2"/>
  <c r="V70" i="2"/>
  <c r="N45" i="2"/>
  <c r="N37" i="2"/>
  <c r="N53" i="2"/>
  <c r="F59" i="2"/>
  <c r="AD52" i="2"/>
  <c r="Z71" i="2"/>
  <c r="V65" i="2"/>
  <c r="J52" i="2"/>
  <c r="AD70" i="2"/>
  <c r="R29" i="2"/>
  <c r="N28" i="2"/>
  <c r="R40" i="2"/>
  <c r="N29" i="2"/>
  <c r="N75" i="2"/>
  <c r="R50" i="2"/>
  <c r="J38" i="2"/>
  <c r="J37" i="2"/>
  <c r="J33" i="2"/>
  <c r="N59" i="2"/>
  <c r="AD72" i="2"/>
  <c r="J57" i="2"/>
  <c r="R8" i="2"/>
  <c r="F72" i="2"/>
  <c r="J68" i="2"/>
  <c r="Z70" i="2"/>
  <c r="N73" i="2"/>
  <c r="N38" i="2"/>
  <c r="N16" i="2"/>
  <c r="J16" i="2"/>
  <c r="F70" i="2"/>
  <c r="N71" i="2"/>
  <c r="Z55" i="2"/>
  <c r="AD65" i="2"/>
  <c r="N27" i="2"/>
  <c r="R33" i="2"/>
  <c r="J45" i="2"/>
  <c r="J8" i="2"/>
  <c r="N58" i="2"/>
  <c r="J70" i="2"/>
  <c r="AD54" i="2"/>
  <c r="Z65" i="2"/>
  <c r="R52" i="2"/>
  <c r="AD71" i="2"/>
  <c r="R32" i="2"/>
  <c r="N30" i="2"/>
  <c r="F60" i="2"/>
  <c r="N68" i="2"/>
  <c r="F53" i="2"/>
  <c r="Z59" i="2"/>
  <c r="R55" i="2"/>
  <c r="R44" i="2"/>
  <c r="J71" i="2"/>
  <c r="R37" i="2"/>
  <c r="R28" i="2"/>
  <c r="J50" i="2"/>
  <c r="J49" i="2"/>
  <c r="J27" i="2"/>
  <c r="N72" i="2"/>
  <c r="F57" i="2"/>
  <c r="N44" i="2"/>
  <c r="R54" i="2"/>
  <c r="J73" i="2"/>
  <c r="F71" i="2"/>
  <c r="F52" i="2"/>
  <c r="J69" i="2"/>
  <c r="N69" i="2"/>
  <c r="AD59" i="2"/>
  <c r="Z68" i="2"/>
  <c r="Z60" i="2"/>
  <c r="R60" i="2"/>
  <c r="R72" i="2"/>
  <c r="J72" i="2"/>
  <c r="J59" i="2"/>
  <c r="N32" i="2"/>
  <c r="N33" i="2"/>
  <c r="N8" i="2"/>
  <c r="N26" i="2"/>
  <c r="R27" i="2"/>
  <c r="R16" i="2"/>
  <c r="R39" i="2"/>
  <c r="R75" i="2"/>
  <c r="J44" i="2"/>
  <c r="J32" i="2"/>
  <c r="J30" i="2"/>
  <c r="N52" i="2"/>
  <c r="F58" i="2"/>
  <c r="AD68" i="2"/>
  <c r="R26" i="2"/>
  <c r="N60" i="2"/>
  <c r="N31" i="2"/>
  <c r="Z72" i="2"/>
  <c r="V69" i="2"/>
  <c r="R57" i="2"/>
  <c r="J40" i="2"/>
  <c r="R59" i="2"/>
  <c r="R49" i="2"/>
  <c r="J31" i="2"/>
  <c r="N57" i="2"/>
  <c r="Z57" i="2"/>
  <c r="V68" i="2"/>
  <c r="J39" i="2"/>
  <c r="N49" i="2"/>
  <c r="Z52" i="2"/>
  <c r="AD55" i="2"/>
  <c r="N74" i="2"/>
  <c r="J65" i="2"/>
  <c r="V71" i="2"/>
  <c r="F65" i="2"/>
  <c r="J55" i="2"/>
  <c r="N40" i="2"/>
  <c r="R45" i="2"/>
  <c r="R38" i="2"/>
  <c r="J74" i="2"/>
  <c r="J75" i="2"/>
  <c r="J29" i="2"/>
  <c r="N54" i="2"/>
  <c r="N55" i="2"/>
  <c r="R58" i="2"/>
  <c r="R65" i="2"/>
  <c r="R71" i="2"/>
  <c r="R69" i="2"/>
  <c r="R68" i="2"/>
  <c r="R53" i="2"/>
  <c r="R7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<sst xmlns="http://schemas.openxmlformats.org/spreadsheetml/2006/main" count="224" uniqueCount="191">
  <si>
    <t>Revenue</t>
  </si>
  <si>
    <t>Gross Profit</t>
  </si>
  <si>
    <t>Reference Items</t>
  </si>
  <si>
    <t>Right click to show data transparency (not supported for all values)</t>
  </si>
  <si>
    <t>Caterpillar Inc (CAT US) - BBG Adjusted</t>
  </si>
  <si>
    <t>In Millions of USD except Per Share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</si>
  <si>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</si>
  <si>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</si>
  <si>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</si>
  <si>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</si>
  <si>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</si>
  <si>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</si>
  <si>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</si>
  <si>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</si>
  <si>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</si>
  <si>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</si>
  <si>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</si>
  <si>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</si>
  <si>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</si>
  <si>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</si>
  <si>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</si>
  <si>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</si>
  <si>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</si>
  <si>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</si>
  <si>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</si>
  <si>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</si>
  <si>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</si>
  <si>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</si>
  <si>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</si>
  <si>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</si>
  <si>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</si>
  <si>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</si>
  <si>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</si>
  <si>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</si>
  <si>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</si>
  <si>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</si>
  <si>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Months Ending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</si>
  <si>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</si>
  <si>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</si>
  <si>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</si>
  <si>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</si>
  <si>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</si>
  <si>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</si>
  <si>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</si>
  <si>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</si>
  <si>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</si>
  <si>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</si>
  <si>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</si>
  <si>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</si>
  <si>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</si>
  <si>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</si>
  <si>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</si>
  <si>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</si>
  <si>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</si>
  <si>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</si>
  <si>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</si>
  <si>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</si>
  <si>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</si>
  <si>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</si>
  <si>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</si>
  <si>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</si>
  <si>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</si>
  <si>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</si>
  <si>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</si>
  <si>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</si>
  <si>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03/31/2026</t>
  </si>
  <si>
    <t>06/30/2026</t>
  </si>
  <si>
    <t>SALES_REV_TURN</t>
  </si>
  <si>
    <t xml:space="preserve">    + Sales &amp; Services Revenue</t>
  </si>
  <si>
    <t>IS_SALES_AND_SERVICES_REVENUES</t>
  </si>
  <si>
    <t xml:space="preserve">    + Financing Revenue</t>
  </si>
  <si>
    <t>IS_ADJUSTED_FIN_SUBSIDIARY_REV</t>
  </si>
  <si>
    <t xml:space="preserve">  - Cost of Revenue</t>
  </si>
  <si>
    <t>IS_COGS_TO_FE_AND_PP_AND_G</t>
  </si>
  <si>
    <t xml:space="preserve">    + Cost of Goods &amp; Services</t>
  </si>
  <si>
    <t>IS_COG_AND_SERVICES_SOLD</t>
  </si>
  <si>
    <t xml:space="preserve">    + Cost of Financing Revenue</t>
  </si>
  <si>
    <t>IS_COST_OF_FINANCING_REVENUE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</si>
  <si>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</si>
  <si>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</si>
  <si>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</si>
  <si>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</si>
  <si>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</si>
  <si>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</si>
  <si>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</si>
  <si>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Research &amp; Development</t>
  </si>
  <si>
    <t>IS_OPERATING_EXPENSES_RD</t>
  </si>
  <si>
    <t xml:space="preserve">    + Other Operating Expense</t>
  </si>
  <si>
    <t>IS_OTHER_OPERATING_EXPENSES</t>
  </si>
  <si>
    <t>Operating Income (Loss)</t>
  </si>
  <si>
    <t>IS_OPER_INC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</si>
  <si>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</si>
  <si>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</si>
  <si>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</si>
  <si>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</si>
  <si>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</si>
  <si>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</si>
  <si>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</si>
  <si>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</si>
  <si>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</si>
  <si>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</si>
  <si>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</si>
  <si>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</si>
  <si>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</si>
  <si>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</si>
  <si>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</si>
  <si>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</si>
  <si>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Abnormal Derivatives</t>
  </si>
  <si>
    <t>IS_DERIVATIVES_HEDGING</t>
  </si>
  <si>
    <t xml:space="preserve">    + Asset Write-Down</t>
  </si>
  <si>
    <t>IS_IMPAIRMENT_ASSETS</t>
  </si>
  <si>
    <t xml:space="preserve">    + Impairment of Goodwill</t>
  </si>
  <si>
    <t>IS_IMPAIRMENT_GOODWILL_INTANGIBL</t>
  </si>
  <si>
    <t xml:space="preserve">    + Gain/Loss on Sale/Acquisition of Business</t>
  </si>
  <si>
    <t>IS_SALE_OF_BUSINESS</t>
  </si>
  <si>
    <t xml:space="preserve">    + Restructuring</t>
  </si>
  <si>
    <t>IS_RESTRUCTURING_EXPENSES</t>
  </si>
  <si>
    <t xml:space="preserve">    + Sale of Investments</t>
  </si>
  <si>
    <t>IS_GAIN_LOSS_ON_INVESTMENTS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</si>
  <si>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</si>
  <si>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</si>
  <si>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</si>
  <si>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</si>
  <si>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</si>
  <si>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 xml:space="preserve">  - (Income) Loss from Affiliates</t>
  </si>
  <si>
    <t>IS_SH_PRO_EQY_MT_INV_NET_OF_TAX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</si>
  <si>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</si>
  <si>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</si>
  <si>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</si>
  <si>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</si>
  <si>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</si>
  <si>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</si>
  <si>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</si>
  <si>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</si>
  <si>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</si>
  <si>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</si>
  <si>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</si>
  <si>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</si>
  <si>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</si>
  <si>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</si>
  <si>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</si>
  <si>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</si>
  <si>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</si>
  <si>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</si>
  <si>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</si>
  <si>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</si>
  <si>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</si>
  <si>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</si>
  <si>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</si>
  <si>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</si>
  <si>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</si>
  <si>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</si>
  <si>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</si>
  <si>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</si>
  <si>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</si>
  <si>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</si>
  <si>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</si>
  <si>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</si>
  <si>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</si>
  <si>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</si>
  <si>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</si>
  <si>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</si>
  <si>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</si>
  <si>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</si>
  <si>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</si>
  <si>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</si>
  <si>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</si>
  <si>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</si>
  <si>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US GAAP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</si>
  <si>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</si>
  <si>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</si>
  <si>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</si>
  <si>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</si>
  <si>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</si>
  <si>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</si>
  <si>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</si>
  <si>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</si>
  <si>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</si>
  <si>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</si>
  <si>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</si>
  <si>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</si>
  <si>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</si>
  <si>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</si>
  <si>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</si>
  <si>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</si>
  <si>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</si>
  <si>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Depreciation Expense</t>
  </si>
  <si>
    <t>IS_DEPR_EXP</t>
  </si>
  <si>
    <t>Rental Expense</t>
  </si>
  <si>
    <t>BS_CURR_RENTAL_EXPENSE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</si>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</sst>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0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</cellStyleXfs>
  <cellXfs count="19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71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8" fillId="34" borderId="2" xfId="56" applyNumberFormat="1" applyFont="1" applyFill="1" applyBorder="1" applyAlignment="1" applyProtection="1">
      <alignment horizontal="right"/>
    </xf>
    <xf numFmtId="171" fontId="8" fillId="34" borderId="2" xfId="57" applyNumberFormat="1" applyFont="1" applyFill="1" applyBorder="1" applyAlignment="1" applyProtection="1">
      <alignment horizontal="right"/>
    </xf>
    <xf numFmtId="4" fontId="8" fillId="34" borderId="2" xfId="58" applyNumberFormat="1" applyFont="1" applyFill="1" applyBorder="1" applyAlignment="1" applyProtection="1">
      <alignment horizontal="right"/>
    </xf>
    <xf numFmtId="171" fontId="11" fillId="34" borderId="2" xfId="59" applyNumberFormat="1" applyFont="1" applyFill="1" applyBorder="1" applyAlignment="1" applyProtection="1">
      <alignment horizontal="right"/>
    </xf>
  </cellXfs>
  <cellStyles count="6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6" xr:uid="{00000000-0005-0000-0000-000023000000}"/>
    <cellStyle name="fa_data_bold_1_grouped" xfId="57" xr:uid="{00000000-0005-0000-0000-000024000000}"/>
    <cellStyle name="fa_data_bold_2_grouped" xfId="58" xr:uid="{00000000-0005-0000-0000-000025000000}"/>
    <cellStyle name="fa_data_italic_1_grouped" xfId="59" xr:uid="{00000000-0005-0000-0000-000026000000}"/>
    <cellStyle name="fa_data_standard_0_grouped" xfId="53" xr:uid="{00000000-0005-0000-0000-000027000000}"/>
    <cellStyle name="fa_data_standard_1_grouped" xfId="54" xr:uid="{00000000-0005-0000-0000-000028000000}"/>
    <cellStyle name="fa_data_standard_2_grouped" xfId="55" xr:uid="{00000000-0005-0000-0000-000029000000}"/>
    <cellStyle name="fa_footer_italic" xfId="34" xr:uid="{00000000-0005-0000-0000-00002A000000}"/>
    <cellStyle name="fa_row_header_bold" xfId="35" xr:uid="{00000000-0005-0000-0000-00002B000000}"/>
    <cellStyle name="fa_row_header_italic" xfId="36" xr:uid="{00000000-0005-0000-0000-00002C000000}"/>
    <cellStyle name="fa_row_header_standard" xfId="37" xr:uid="{00000000-0005-0000-0000-00002D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BDH|13108558305025370935</stp>
        <tr r="AB59" s="2"/>
      </tp>
      <tp t="s">
        <v>#N/A N/A</v>
        <stp/>
        <stp>BDH|18306547022352792734</stp>
        <tr r="AA34" s="2"/>
      </tp>
      <tp t="s">
        <v>#N/A N/A</v>
        <stp/>
        <stp>BDH|16618779365914028953</stp>
        <tr r="G29" s="2"/>
      </tp>
      <tp t="s">
        <v>#N/A N/A</v>
        <stp/>
        <stp>BDH|16349648890253017077</stp>
        <tr r="U15" s="2"/>
      </tp>
      <tp t="s">
        <v>#N/A N/A</v>
        <stp/>
        <stp>BDH|10537306381640481106</stp>
        <tr r="J66" s="2"/>
      </tp>
      <tp t="s">
        <v>#N/A N/A</v>
        <stp/>
        <stp>BDH|15830488551577420951</stp>
        <tr r="T12" s="2"/>
      </tp>
      <tp t="s">
        <v>#N/A N/A</v>
        <stp/>
        <stp>BDH|10739563493734218200</stp>
        <tr r="D43" s="2"/>
      </tp>
      <tp t="s">
        <v>#N/A N/A</v>
        <stp/>
        <stp>BDH|12308042969276851859</stp>
        <tr r="AB65" s="2"/>
      </tp>
      <tp t="s">
        <v>#N/A N/A</v>
        <stp/>
        <stp>BDH|17718205183345506221</stp>
        <tr r="K48" s="2"/>
      </tp>
      <tp t="s">
        <v>#N/A N/A</v>
        <stp/>
        <stp>BDH|16843704947638944748</stp>
        <tr r="Q55" s="2"/>
      </tp>
      <tp t="s">
        <v>#N/A N/A</v>
        <stp/>
        <stp>BDH|14044341448311686887</stp>
        <tr r="S31" s="2"/>
      </tp>
      <tp t="s">
        <v>#N/A N/A</v>
        <stp/>
        <stp>BDH|10884082045218098675</stp>
        <tr r="W28" s="2"/>
      </tp>
      <tp t="s">
        <v>#N/A N/A</v>
        <stp/>
        <stp>BDH|14067965694687519950</stp>
        <tr r="J65" s="2"/>
      </tp>
      <tp t="s">
        <v>#N/A N/A</v>
        <stp/>
        <stp>BDH|11426911575420308567</stp>
        <tr r="Q38" s="2"/>
        <tr r="Q50" s="2"/>
      </tp>
      <tp t="s">
        <v>#N/A N/A</v>
        <stp/>
        <stp>BDH|10434939334648073871</stp>
        <tr r="S69" s="2"/>
      </tp>
      <tp t="s">
        <v>#N/A N/A</v>
        <stp/>
        <stp>BDH|12626758389076847160</stp>
        <tr r="Z32" s="2"/>
      </tp>
      <tp t="s">
        <v>#N/A N/A</v>
        <stp/>
        <stp>BDH|14015461425750751828</stp>
        <tr r="S11" s="2"/>
      </tp>
      <tp t="s">
        <v>#N/A N/A</v>
        <stp/>
        <stp>BDH|16405136316284446830</stp>
        <tr r="X22" s="2"/>
      </tp>
      <tp t="s">
        <v>#N/A N/A</v>
        <stp/>
        <stp>BDH|10918795284004414197</stp>
        <tr r="C49" s="2"/>
      </tp>
      <tp t="s">
        <v>#N/A N/A</v>
        <stp/>
        <stp>BDH|12102758076081977928</stp>
        <tr r="F40" s="2"/>
      </tp>
      <tp t="s">
        <v>#N/A N/A</v>
        <stp/>
        <stp>BDH|11993310711489436051</stp>
        <tr r="X25" s="2"/>
      </tp>
      <tp t="s">
        <v>#N/A N/A</v>
        <stp/>
        <stp>BDH|13221116326309817358</stp>
        <tr r="W66" s="2"/>
      </tp>
      <tp t="s">
        <v>#N/A N/A</v>
        <stp/>
        <stp>BDH|14052069643073966944</stp>
        <tr r="P73" s="2"/>
      </tp>
      <tp t="s">
        <v>#N/A N/A</v>
        <stp/>
        <stp>BDH|13859861564564268305</stp>
        <tr r="Y40" s="2"/>
      </tp>
      <tp t="s">
        <v>#N/A N/A</v>
        <stp/>
        <stp>BDH|16269774927558915137</stp>
        <tr r="J35" s="2"/>
      </tp>
      <tp t="s">
        <v>#N/A N/A</v>
        <stp/>
        <stp>BDH|15615201699997385346</stp>
        <tr r="K28" s="2"/>
      </tp>
      <tp t="s">
        <v>#N/A N/A</v>
        <stp/>
        <stp>BDH|15006647689831381062</stp>
        <tr r="J48" s="2"/>
      </tp>
      <tp t="s">
        <v>#N/A N/A</v>
        <stp/>
        <stp>BDH|12048865982709876179</stp>
        <tr r="K12" s="2"/>
      </tp>
      <tp t="s">
        <v>#N/A N/A</v>
        <stp/>
        <stp>BDH|13242546086913351781</stp>
        <tr r="Q64" s="2"/>
      </tp>
      <tp t="s">
        <v>#N/A N/A</v>
        <stp/>
        <stp>BDH|10933976148151918648</stp>
        <tr r="X42" s="2"/>
      </tp>
      <tp t="s">
        <v>#N/A N/A</v>
        <stp/>
        <stp>BDH|13869166417629102034</stp>
        <tr r="J31" s="2"/>
      </tp>
      <tp t="s">
        <v>#N/A N/A</v>
        <stp/>
        <stp>BDH|12617397698106807447</stp>
        <tr r="K39" s="2"/>
      </tp>
      <tp t="s">
        <v>#N/A N/A</v>
        <stp/>
        <stp>BDH|16394997010510297428</stp>
        <tr r="T21" s="2"/>
      </tp>
      <tp t="s">
        <v>#N/A N/A</v>
        <stp/>
        <stp>BDH|12208956109433077246</stp>
        <tr r="Y24" s="2"/>
      </tp>
      <tp t="s">
        <v>#N/A N/A</v>
        <stp/>
        <stp>BDH|15991504882754388624</stp>
        <tr r="G45" s="2"/>
      </tp>
      <tp t="s">
        <v>#N/A N/A</v>
        <stp/>
        <stp>BDH|15541018605646580988</stp>
        <tr r="S64" s="2"/>
      </tp>
      <tp t="s">
        <v>#N/A N/A</v>
        <stp/>
        <stp>BDH|12894409081091740526</stp>
        <tr r="Z8" s="2"/>
      </tp>
      <tp t="s">
        <v>#N/A N/A</v>
        <stp/>
        <stp>BDH|16153304081160779787</stp>
        <tr r="S12" s="2"/>
      </tp>
      <tp t="s">
        <v>#N/A N/A</v>
        <stp/>
        <stp>BDH|15663667909271036866</stp>
        <tr r="AC25" s="2"/>
      </tp>
      <tp t="s">
        <v>#N/A N/A</v>
        <stp/>
        <stp>BDH|11435621849778063113</stp>
        <tr r="K7" s="2"/>
      </tp>
      <tp t="s">
        <v>#N/A N/A</v>
        <stp/>
        <stp>BDH|18345867749327469963</stp>
        <tr r="E13" s="2"/>
      </tp>
      <tp t="s">
        <v>#N/A N/A</v>
        <stp/>
        <stp>BDH|12068761980916671011</stp>
        <tr r="C42" s="2"/>
      </tp>
      <tp t="s">
        <v>#N/A N/A</v>
        <stp/>
        <stp>BDH|10676957039166808734</stp>
        <tr r="AB17" s="2"/>
      </tp>
      <tp t="s">
        <v>#N/A N/A</v>
        <stp/>
        <stp>BDH|10216434863979141031</stp>
        <tr r="I8" s="2"/>
      </tp>
      <tp t="s">
        <v>#N/A N/A</v>
        <stp/>
        <stp>BDH|18406166119596908521</stp>
        <tr r="I33" s="2"/>
      </tp>
      <tp t="s">
        <v>#N/A N/A</v>
        <stp/>
        <stp>BDH|16170564617259158011</stp>
        <tr r="U13" s="2"/>
      </tp>
      <tp t="s">
        <v>#N/A N/A</v>
        <stp/>
        <stp>BDH|12036223397947750529</stp>
        <tr r="U33" s="2"/>
      </tp>
      <tp t="s">
        <v>#N/A N/A</v>
        <stp/>
        <stp>BDH|12050355606762420870</stp>
        <tr r="AC11" s="2"/>
      </tp>
      <tp t="s">
        <v>#N/A N/A</v>
        <stp/>
        <stp>BDH|10806944724665268598</stp>
        <tr r="D25" s="2"/>
      </tp>
      <tp t="s">
        <v>#N/A N/A</v>
        <stp/>
        <stp>BDH|18370079705511284202</stp>
        <tr r="P21" s="2"/>
      </tp>
      <tp t="s">
        <v>#N/A N/A</v>
        <stp/>
        <stp>BDH|10594744383252229626</stp>
        <tr r="AA10" s="2"/>
      </tp>
      <tp t="s">
        <v>#N/A N/A</v>
        <stp/>
        <stp>BDH|13482572582782561767</stp>
        <tr r="T37" s="2"/>
      </tp>
      <tp t="s">
        <v>#N/A N/A</v>
        <stp/>
        <stp>BDH|18199315165456443045</stp>
        <tr r="K21" s="2"/>
      </tp>
      <tp t="s">
        <v>#N/A N/A</v>
        <stp/>
        <stp>BDH|17908501260539511692</stp>
        <tr r="AD16" s="2"/>
      </tp>
      <tp t="s">
        <v>#N/A N/A</v>
        <stp/>
        <stp>BDH|11544305155529265577</stp>
        <tr r="AB7" s="2"/>
      </tp>
      <tp t="s">
        <v>#N/A N/A</v>
        <stp/>
        <stp>BDH|14009555691592872181</stp>
        <tr r="H48" s="2"/>
      </tp>
      <tp t="s">
        <v>#N/A N/A</v>
        <stp/>
        <stp>BDH|16211219042662562938</stp>
        <tr r="Q40" s="2"/>
      </tp>
      <tp t="s">
        <v>#N/A N/A</v>
        <stp/>
        <stp>BDH|11252793578362001845</stp>
        <tr r="X28" s="2"/>
      </tp>
      <tp t="s">
        <v>#N/A N/A</v>
        <stp/>
        <stp>BDH|11625946890109149344</stp>
        <tr r="J13" s="2"/>
      </tp>
      <tp t="s">
        <v>#N/A N/A</v>
        <stp/>
        <stp>BDH|10302858572106775252</stp>
        <tr r="C11" s="2"/>
      </tp>
      <tp t="s">
        <v>#N/A N/A</v>
        <stp/>
        <stp>BDH|17509872472730450327</stp>
        <tr r="S32" s="2"/>
      </tp>
      <tp t="s">
        <v>#N/A N/A</v>
        <stp/>
        <stp>BDH|10415942821174239457</stp>
        <tr r="M58" s="2"/>
      </tp>
      <tp t="s">
        <v>#N/A N/A</v>
        <stp/>
        <stp>BDH|15849544557926444867</stp>
        <tr r="C50" s="2"/>
        <tr r="C38" s="2"/>
      </tp>
      <tp t="s">
        <v>#N/A N/A</v>
        <stp/>
        <stp>BDH|17666449387479410980</stp>
        <tr r="G39" s="2"/>
      </tp>
      <tp t="s">
        <v>#N/A N/A</v>
        <stp/>
        <stp>BDH|10638385905328235009</stp>
        <tr r="E64" s="2"/>
      </tp>
      <tp t="s">
        <v>#N/A N/A</v>
        <stp/>
        <stp>BDH|12237605598563495578</stp>
        <tr r="W72" s="2"/>
      </tp>
      <tp t="s">
        <v>#N/A N/A</v>
        <stp/>
        <stp>BDH|10006367372268435791</stp>
        <tr r="G8" s="2"/>
      </tp>
      <tp t="s">
        <v>#N/A N/A</v>
        <stp/>
        <stp>BDH|12397031956848992475</stp>
        <tr r="Z38" s="2"/>
        <tr r="Z50" s="2"/>
      </tp>
      <tp t="s">
        <v>#N/A N/A</v>
        <stp/>
        <stp>BDH|16207870063432606188</stp>
        <tr r="S21" s="2"/>
      </tp>
      <tp t="s">
        <v>#N/A N/A</v>
        <stp/>
        <stp>BDH|12460314059717569812</stp>
        <tr r="AA25" s="2"/>
      </tp>
      <tp t="s">
        <v>#N/A N/A</v>
        <stp/>
        <stp>BDH|14602041280152901531</stp>
        <tr r="N48" s="2"/>
      </tp>
      <tp t="s">
        <v>#N/A N/A</v>
        <stp/>
        <stp>BDH|12114948572247637098</stp>
        <tr r="AB23" s="2"/>
      </tp>
      <tp t="s">
        <v>#N/A N/A</v>
        <stp/>
        <stp>BDH|11770571408336174925</stp>
        <tr r="P75" s="2"/>
      </tp>
      <tp t="s">
        <v>#N/A N/A</v>
        <stp/>
        <stp>BDH|18131164693852982963</stp>
        <tr r="F17" s="2"/>
      </tp>
      <tp t="s">
        <v>#N/A N/A</v>
        <stp/>
        <stp>BDH|10858957946223191502</stp>
        <tr r="P17" s="2"/>
      </tp>
      <tp t="s">
        <v>#N/A N/A</v>
        <stp/>
        <stp>BDH|13171318758986442866</stp>
        <tr r="AC50" s="2"/>
        <tr r="AC38" s="2"/>
      </tp>
      <tp t="s">
        <v>#N/A N/A</v>
        <stp/>
        <stp>BDH|12160656963221395893</stp>
        <tr r="E75" s="2"/>
      </tp>
      <tp t="s">
        <v>#N/A N/A</v>
        <stp/>
        <stp>BDH|10862817142980370757</stp>
        <tr r="H55" s="2"/>
      </tp>
      <tp t="s">
        <v>#N/A N/A</v>
        <stp/>
        <stp>BDH|11324536520354597986</stp>
        <tr r="R68" s="2"/>
      </tp>
      <tp t="s">
        <v>#N/A N/A</v>
        <stp/>
        <stp>BDH|12923449135729760729</stp>
        <tr r="K40" s="2"/>
      </tp>
      <tp t="s">
        <v>#N/A N/A</v>
        <stp/>
        <stp>BDH|16151279682264878302</stp>
        <tr r="AA58" s="2"/>
      </tp>
      <tp t="s">
        <v>#N/A N/A</v>
        <stp/>
        <stp>BDH|13223866146077817366</stp>
        <tr r="Y54" s="2"/>
      </tp>
      <tp t="s">
        <v>#N/A N/A</v>
        <stp/>
        <stp>BDH|12111722565610002898</stp>
        <tr r="Y59" s="2"/>
      </tp>
      <tp t="s">
        <v>#N/A N/A</v>
        <stp/>
        <stp>BDH|18235795411615760031</stp>
        <tr r="E41" s="2"/>
      </tp>
      <tp t="s">
        <v>#N/A N/A</v>
        <stp/>
        <stp>BDH|11662792092021274516</stp>
        <tr r="AD29" s="2"/>
      </tp>
      <tp t="s">
        <v>#N/A N/A</v>
        <stp/>
        <stp>BDH|13867412848318134316</stp>
        <tr r="AB71" s="2"/>
      </tp>
      <tp t="s">
        <v>#N/A N/A</v>
        <stp/>
        <stp>BDH|11035346575365815885</stp>
        <tr r="D68" s="2"/>
      </tp>
      <tp t="s">
        <v>#N/A N/A</v>
        <stp/>
        <stp>BDH|15734591566627903903</stp>
        <tr r="I13" s="2"/>
      </tp>
      <tp t="s">
        <v>#N/A N/A</v>
        <stp/>
        <stp>BDH|10494718004676518941</stp>
        <tr r="J6" s="2"/>
      </tp>
      <tp t="s">
        <v>#N/A N/A</v>
        <stp/>
        <stp>BDH|16929121332499898524</stp>
        <tr r="I55" s="2"/>
      </tp>
      <tp t="s">
        <v>#N/A N/A</v>
        <stp/>
        <stp>BDH|18062142677517082104</stp>
        <tr r="V45" s="2"/>
      </tp>
      <tp t="s">
        <v>#N/A N/A</v>
        <stp/>
        <stp>BDH|13043026740506079912</stp>
        <tr r="W67" s="2"/>
      </tp>
      <tp t="s">
        <v>#N/A N/A</v>
        <stp/>
        <stp>BDH|17618705087265416579</stp>
        <tr r="AA49" s="2"/>
      </tp>
      <tp t="s">
        <v>#N/A N/A</v>
        <stp/>
        <stp>BDH|16840414688461550367</stp>
        <tr r="F33" s="2"/>
      </tp>
      <tp t="s">
        <v>#N/A N/A</v>
        <stp/>
        <stp>BDH|15024040391465051177</stp>
        <tr r="AC74" s="2"/>
      </tp>
      <tp t="s">
        <v>#N/A N/A</v>
        <stp/>
        <stp>BDH|13408829206745562603</stp>
        <tr r="W18" s="2"/>
      </tp>
      <tp t="s">
        <v>#N/A N/A</v>
        <stp/>
        <stp>BDH|17372963617325677211</stp>
        <tr r="W69" s="2"/>
      </tp>
      <tp t="s">
        <v>#N/A N/A</v>
        <stp/>
        <stp>BDH|15677104360982496876</stp>
        <tr r="P42" s="2"/>
      </tp>
      <tp t="s">
        <v>#N/A N/A</v>
        <stp/>
        <stp>BDH|17858846051454048687</stp>
        <tr r="AC34" s="2"/>
      </tp>
      <tp t="s">
        <v>#N/A N/A</v>
        <stp/>
        <stp>BDH|11750887217245563599</stp>
        <tr r="H6" s="2"/>
      </tp>
      <tp t="s">
        <v>#N/A N/A</v>
        <stp/>
        <stp>BDH|18233510958404988460</stp>
        <tr r="C25" s="2"/>
      </tp>
      <tp t="s">
        <v>#N/A N/A</v>
        <stp/>
        <stp>BDH|14244352301316277905</stp>
        <tr r="P46" s="2"/>
      </tp>
      <tp t="s">
        <v>#N/A N/A</v>
        <stp/>
        <stp>BDH|13741630194074358077</stp>
        <tr r="Y57" s="2"/>
      </tp>
      <tp t="s">
        <v>#N/A N/A</v>
        <stp/>
        <stp>BDH|18404448406144644049</stp>
        <tr r="AA24" s="2"/>
      </tp>
      <tp t="s">
        <v>#N/A N/A</v>
        <stp/>
        <stp>BDH|18278361121996498768</stp>
        <tr r="AA42" s="2"/>
      </tp>
      <tp t="s">
        <v>#N/A N/A</v>
        <stp/>
        <stp>BDH|12278823348793684595</stp>
        <tr r="P12" s="2"/>
      </tp>
      <tp t="s">
        <v>#N/A N/A</v>
        <stp/>
        <stp>BDH|16791572800323547820</stp>
        <tr r="I6" s="2"/>
      </tp>
      <tp t="s">
        <v>#N/A N/A</v>
        <stp/>
        <stp>BDH|12467972884588882388</stp>
        <tr r="O68" s="2"/>
      </tp>
      <tp t="s">
        <v>#N/A N/A</v>
        <stp/>
        <stp>BDH|12887891518570939378</stp>
        <tr r="C53" s="2"/>
      </tp>
      <tp t="s">
        <v>#N/A N/A</v>
        <stp/>
        <stp>BDH|17004322222188059670</stp>
        <tr r="F14" s="2"/>
      </tp>
      <tp t="s">
        <v>#N/A N/A</v>
        <stp/>
        <stp>BDH|13137262391772178204</stp>
        <tr r="AC72" s="2"/>
      </tp>
      <tp t="s">
        <v>#N/A N/A</v>
        <stp/>
        <stp>BDH|15552469407089651041</stp>
        <tr r="N19" s="2"/>
      </tp>
      <tp t="s">
        <v>#N/A N/A</v>
        <stp/>
        <stp>BDH|12045364171817218938</stp>
        <tr r="Z75" s="2"/>
      </tp>
      <tp t="s">
        <v>#N/A N/A</v>
        <stp/>
        <stp>BDH|15524520457895911809</stp>
        <tr r="N40" s="2"/>
      </tp>
      <tp t="s">
        <v>#N/A N/A</v>
        <stp/>
        <stp>BDH|16683199135774573861</stp>
        <tr r="M54" s="2"/>
      </tp>
      <tp t="s">
        <v>#N/A N/A</v>
        <stp/>
        <stp>BDH|15820722144636573831</stp>
        <tr r="E20" s="2"/>
      </tp>
      <tp t="s">
        <v>#N/A N/A</v>
        <stp/>
        <stp>BDH|10416467899103362605</stp>
        <tr r="AD43" s="2"/>
      </tp>
      <tp t="s">
        <v>#N/A N/A</v>
        <stp/>
        <stp>BDH|18189465071215852652</stp>
        <tr r="AB30" s="2"/>
      </tp>
      <tp t="s">
        <v>#N/A N/A</v>
        <stp/>
        <stp>BDH|16226830139616339309</stp>
        <tr r="AB46" s="2"/>
      </tp>
      <tp t="s">
        <v>#N/A N/A</v>
        <stp/>
        <stp>BDH|13599868230921946107</stp>
        <tr r="P23" s="2"/>
      </tp>
      <tp t="s">
        <v>#N/A N/A</v>
        <stp/>
        <stp>BDH|15417888313424680031</stp>
        <tr r="W64" s="2"/>
      </tp>
      <tp t="s">
        <v>#N/A N/A</v>
        <stp/>
        <stp>BDH|10084685903278094669</stp>
        <tr r="G31" s="2"/>
      </tp>
      <tp t="s">
        <v>#N/A N/A</v>
        <stp/>
        <stp>BDH|13597151055297074882</stp>
        <tr r="D6" s="2"/>
      </tp>
      <tp t="s">
        <v>#N/A N/A</v>
        <stp/>
        <stp>BDH|13687824033730374092</stp>
        <tr r="K26" s="2"/>
      </tp>
      <tp t="s">
        <v>#N/A N/A</v>
        <stp/>
        <stp>BDH|12979560074290344846</stp>
        <tr r="Y70" s="2"/>
      </tp>
      <tp t="s">
        <v>#N/A N/A</v>
        <stp/>
        <stp>BDH|13005329999012565329</stp>
        <tr r="F36" s="2"/>
      </tp>
      <tp t="s">
        <v>#N/A N/A</v>
        <stp/>
        <stp>BDH|17106810078825029571</stp>
        <tr r="AA52" s="2"/>
      </tp>
      <tp t="s">
        <v>#N/A N/A</v>
        <stp/>
        <stp>BDH|14890846141317419764</stp>
        <tr r="W30" s="2"/>
      </tp>
      <tp t="s">
        <v>#N/A N/A</v>
        <stp/>
        <stp>BDH|12775730081925335098</stp>
        <tr r="AC59" s="2"/>
      </tp>
      <tp t="s">
        <v>#N/A N/A</v>
        <stp/>
        <stp>BDH|13730668088244072171</stp>
        <tr r="S75" s="2"/>
      </tp>
      <tp t="s">
        <v>#N/A N/A</v>
        <stp/>
        <stp>BDH|15465980408811399594</stp>
        <tr r="AA72" s="2"/>
      </tp>
      <tp t="s">
        <v>#N/A N/A</v>
        <stp/>
        <stp>BDH|14343146892424375084</stp>
        <tr r="X6" s="2"/>
      </tp>
      <tp t="s">
        <v>#N/A N/A</v>
        <stp/>
        <stp>BDH|12421852153936378007</stp>
        <tr r="Z37" s="2"/>
      </tp>
      <tp t="s">
        <v>#N/A N/A</v>
        <stp/>
        <stp>BDH|13701858396433749826</stp>
        <tr r="O35" s="2"/>
      </tp>
      <tp t="s">
        <v>#N/A N/A</v>
        <stp/>
        <stp>BDH|12013219592649760956</stp>
        <tr r="R64" s="2"/>
      </tp>
      <tp t="s">
        <v>#N/A N/A</v>
        <stp/>
        <stp>BDH|10792590768292439834</stp>
        <tr r="G40" s="2"/>
      </tp>
      <tp t="s">
        <v>#N/A N/A</v>
        <stp/>
        <stp>BDH|15862932413971085593</stp>
        <tr r="N29" s="2"/>
      </tp>
      <tp t="s">
        <v>#N/A N/A</v>
        <stp/>
        <stp>BDH|15173416290998409941</stp>
        <tr r="S72" s="2"/>
      </tp>
      <tp t="s">
        <v>#N/A N/A</v>
        <stp/>
        <stp>BDH|14582250313807573968</stp>
        <tr r="D29" s="2"/>
      </tp>
      <tp t="s">
        <v>#N/A N/A</v>
        <stp/>
        <stp>BDH|11647629367811310909</stp>
        <tr r="Z55" s="2"/>
      </tp>
      <tp t="s">
        <v>#N/A N/A</v>
        <stp/>
        <stp>BDH|10290251800908528320</stp>
        <tr r="W65" s="2"/>
      </tp>
      <tp t="s">
        <v>#N/A N/A</v>
        <stp/>
        <stp>BDH|13755457685336579021</stp>
        <tr r="X59" s="2"/>
      </tp>
      <tp t="s">
        <v>#N/A N/A</v>
        <stp/>
        <stp>BDH|10342008259039919539</stp>
        <tr r="Z11" s="2"/>
      </tp>
      <tp t="s">
        <v>#N/A N/A</v>
        <stp/>
        <stp>BDH|15797452698347067696</stp>
        <tr r="AD73" s="2"/>
      </tp>
      <tp t="s">
        <v>#N/A N/A</v>
        <stp/>
        <stp>BDH|15401437592419668809</stp>
        <tr r="S24" s="2"/>
      </tp>
      <tp t="s">
        <v>#N/A N/A</v>
        <stp/>
        <stp>BDH|15677739662509098443</stp>
        <tr r="D45" s="2"/>
      </tp>
      <tp t="s">
        <v>#N/A N/A</v>
        <stp/>
        <stp>BDH|17880886424373083773</stp>
        <tr r="V74" s="2"/>
      </tp>
      <tp t="s">
        <v>#N/A N/A</v>
        <stp/>
        <stp>BDH|15686314512977634966</stp>
        <tr r="AC10" s="2"/>
      </tp>
      <tp t="s">
        <v>#N/A N/A</v>
        <stp/>
        <stp>BDH|17344109667561767876</stp>
        <tr r="W15" s="2"/>
      </tp>
      <tp t="s">
        <v>#N/A N/A</v>
        <stp/>
        <stp>BDH|12610502686957261164</stp>
        <tr r="J11" s="2"/>
      </tp>
      <tp t="s">
        <v>#N/A N/A</v>
        <stp/>
        <stp>BDH|12111905009773871145</stp>
        <tr r="G67" s="2"/>
      </tp>
      <tp t="s">
        <v>#N/A N/A</v>
        <stp/>
        <stp>BDH|11363278592904048727</stp>
        <tr r="K36" s="2"/>
      </tp>
      <tp t="s">
        <v>#N/A N/A</v>
        <stp/>
        <stp>BDH|10781537848238228094</stp>
        <tr r="AD41" s="2"/>
      </tp>
      <tp t="s">
        <v>#N/A N/A</v>
        <stp/>
        <stp>BDH|16515950607945057304</stp>
        <tr r="O30" s="2"/>
      </tp>
      <tp t="s">
        <v>#N/A N/A</v>
        <stp/>
        <stp>BDH|12964974445204494284</stp>
        <tr r="Q72" s="2"/>
      </tp>
      <tp t="s">
        <v>#N/A N/A</v>
        <stp/>
        <stp>BDH|12002443193545228338</stp>
        <tr r="T11" s="2"/>
      </tp>
      <tp t="s">
        <v>#N/A N/A</v>
        <stp/>
        <stp>BDH|10017468601948135505</stp>
        <tr r="E72" s="2"/>
      </tp>
      <tp t="s">
        <v>#N/A N/A</v>
        <stp/>
        <stp>BDH|17631610397654090568</stp>
        <tr r="AD60" s="2"/>
      </tp>
      <tp t="s">
        <v>#N/A N/A</v>
        <stp/>
        <stp>BDH|15715834747950866021</stp>
        <tr r="T17" s="2"/>
      </tp>
      <tp t="s">
        <v>#N/A N/A</v>
        <stp/>
        <stp>BDH|10009834394980844863</stp>
        <tr r="N53" s="2"/>
      </tp>
      <tp t="s">
        <v>#N/A N/A</v>
        <stp/>
        <stp>BDH|11237918830293259185</stp>
        <tr r="O23" s="2"/>
      </tp>
      <tp t="s">
        <v>#N/A N/A</v>
        <stp/>
        <stp>BDH|16370272588880479517</stp>
        <tr r="F19" s="2"/>
      </tp>
      <tp t="s">
        <v>#N/A N/A</v>
        <stp/>
        <stp>BDH|17804883738610313529</stp>
        <tr r="K67" s="2"/>
      </tp>
      <tp t="s">
        <v>#N/A N/A</v>
        <stp/>
        <stp>BDH|14256846940628878972</stp>
        <tr r="S26" s="2"/>
      </tp>
      <tp t="s">
        <v>#N/A N/A</v>
        <stp/>
        <stp>BDH|10003576438169645606</stp>
        <tr r="L46" s="2"/>
      </tp>
      <tp t="s">
        <v>#N/A N/A</v>
        <stp/>
        <stp>BDH|16168439938758563075</stp>
        <tr r="I43" s="2"/>
      </tp>
      <tp t="s">
        <v>#N/A N/A</v>
        <stp/>
        <stp>BDH|15778828376694336789</stp>
        <tr r="AC22" s="2"/>
      </tp>
      <tp t="s">
        <v>#N/A N/A</v>
        <stp/>
        <stp>BDH|18078583994724609919</stp>
        <tr r="F65" s="2"/>
      </tp>
      <tp t="s">
        <v>#N/A N/A</v>
        <stp/>
        <stp>BDH|10161567260478598298</stp>
        <tr r="G37" s="2"/>
      </tp>
      <tp t="s">
        <v>#N/A N/A</v>
        <stp/>
        <stp>BDH|12939849369654727194</stp>
        <tr r="V60" s="2"/>
      </tp>
      <tp t="s">
        <v>#N/A N/A</v>
        <stp/>
        <stp>BDH|13649229603369527184</stp>
        <tr r="E8" s="2"/>
      </tp>
      <tp t="s">
        <v>#N/A N/A</v>
        <stp/>
        <stp>BDH|12816258184420520161</stp>
        <tr r="AB21" s="2"/>
      </tp>
      <tp t="s">
        <v>#N/A N/A</v>
        <stp/>
        <stp>BDH|12164797905709799502</stp>
        <tr r="P58" s="2"/>
      </tp>
      <tp t="s">
        <v>#N/A N/A</v>
        <stp/>
        <stp>BDH|14313560185144242488</stp>
        <tr r="U68" s="2"/>
      </tp>
      <tp t="s">
        <v>#N/A N/A</v>
        <stp/>
        <stp>BDH|10520760825508953454</stp>
        <tr r="D42" s="2"/>
      </tp>
      <tp t="s">
        <v>#N/A N/A</v>
        <stp/>
        <stp>BDH|14353034471183243991</stp>
        <tr r="I64" s="2"/>
      </tp>
      <tp t="s">
        <v>#N/A N/A</v>
        <stp/>
        <stp>BDH|17670368491555908151</stp>
        <tr r="U39" s="2"/>
      </tp>
      <tp t="s">
        <v>#N/A N/A</v>
        <stp/>
        <stp>BDH|12804479532648044401</stp>
        <tr r="U42" s="2"/>
      </tp>
      <tp t="s">
        <v>#N/A N/A</v>
        <stp/>
        <stp>BDH|12471923207833882149</stp>
        <tr r="E21" s="2"/>
      </tp>
      <tp t="s">
        <v>#N/A N/A</v>
        <stp/>
        <stp>BDH|14332707629519232152</stp>
        <tr r="O26" s="2"/>
      </tp>
      <tp t="s">
        <v>#N/A N/A</v>
        <stp/>
        <stp>BDH|12591687400395139801</stp>
        <tr r="X48" s="2"/>
      </tp>
      <tp t="s">
        <v>#N/A N/A</v>
        <stp/>
        <stp>BDH|14044886454110380036</stp>
        <tr r="Y73" s="2"/>
      </tp>
      <tp t="s">
        <v>#N/A N/A</v>
        <stp/>
        <stp>BDH|11421309094390950261</stp>
        <tr r="D22" s="2"/>
      </tp>
      <tp t="s">
        <v>#N/A N/A</v>
        <stp/>
        <stp>BDH|13631911559405348323</stp>
        <tr r="AC41" s="2"/>
      </tp>
      <tp t="s">
        <v>#N/A N/A</v>
        <stp/>
        <stp>BDH|13912278033108214309</stp>
        <tr r="Y38" s="2"/>
        <tr r="Y50" s="2"/>
      </tp>
      <tp t="s">
        <v>#N/A N/A</v>
        <stp/>
        <stp>BDH|12987800206390664375</stp>
        <tr r="Y14" s="2"/>
      </tp>
      <tp t="s">
        <v>#N/A N/A</v>
        <stp/>
        <stp>BDH|10987655176890143853</stp>
        <tr r="U7" s="2"/>
      </tp>
      <tp t="s">
        <v>#N/A N/A</v>
        <stp/>
        <stp>BDH|15826902562782255163</stp>
        <tr r="AD22" s="2"/>
      </tp>
      <tp t="s">
        <v>#N/A N/A</v>
        <stp/>
        <stp>BDH|10036857174674857588</stp>
        <tr r="AC18" s="2"/>
      </tp>
      <tp t="s">
        <v>#N/A N/A</v>
        <stp/>
        <stp>BDH|11976412892772346085</stp>
        <tr r="AD26" s="2"/>
      </tp>
      <tp t="s">
        <v>#N/A N/A</v>
        <stp/>
        <stp>BDH|12004123825568618706</stp>
        <tr r="R52" s="2"/>
      </tp>
      <tp t="s">
        <v>#N/A N/A</v>
        <stp/>
        <stp>BDH|16606847800635054523</stp>
        <tr r="AB43" s="2"/>
      </tp>
      <tp t="s">
        <v>#N/A N/A</v>
        <stp/>
        <stp>BDH|15361519057783149848</stp>
        <tr r="C45" s="2"/>
      </tp>
      <tp t="s">
        <v>#N/A N/A</v>
        <stp/>
        <stp>BDH|14178485702308012688</stp>
        <tr r="Y32" s="2"/>
      </tp>
      <tp t="s">
        <v>#N/A N/A</v>
        <stp/>
        <stp>BDH|18142585548277280004</stp>
        <tr r="Q44" s="2"/>
      </tp>
      <tp t="s">
        <v>#N/A N/A</v>
        <stp/>
        <stp>BDH|13149433071197925995</stp>
        <tr r="Q43" s="2"/>
      </tp>
      <tp t="s">
        <v>#N/A N/A</v>
        <stp/>
        <stp>BDH|12211984621850865712</stp>
        <tr r="AD71" s="2"/>
      </tp>
      <tp t="s">
        <v>#N/A N/A</v>
        <stp/>
        <stp>BDH|16501741726045294876</stp>
        <tr r="F59" s="2"/>
      </tp>
      <tp t="s">
        <v>#N/A N/A</v>
        <stp/>
        <stp>BDH|16946997307118317961</stp>
        <tr r="M41" s="2"/>
      </tp>
      <tp t="s">
        <v>#N/A N/A</v>
        <stp/>
        <stp>BDH|13765883744121001091</stp>
        <tr r="F30" s="2"/>
      </tp>
      <tp t="s">
        <v>#N/A N/A</v>
        <stp/>
        <stp>BDH|15406390038833448841</stp>
        <tr r="S39" s="2"/>
      </tp>
      <tp t="s">
        <v>#N/A N/A</v>
        <stp/>
        <stp>BDH|10074275222669699761</stp>
        <tr r="O36" s="2"/>
      </tp>
      <tp t="s">
        <v>#N/A N/A</v>
        <stp/>
        <stp>BDH|11773231733936421872</stp>
        <tr r="E30" s="2"/>
      </tp>
      <tp t="s">
        <v>#N/A N/A</v>
        <stp/>
        <stp>BDH|12027824434585372220</stp>
        <tr r="V9" s="2"/>
      </tp>
      <tp t="s">
        <v>#N/A N/A</v>
        <stp/>
        <stp>BDH|17657792729209381534</stp>
        <tr r="I38" s="2"/>
        <tr r="I50" s="2"/>
      </tp>
      <tp t="s">
        <v>#N/A N/A</v>
        <stp/>
        <stp>BDH|14803066088563951198</stp>
        <tr r="F21" s="2"/>
      </tp>
      <tp t="s">
        <v>#N/A N/A</v>
        <stp/>
        <stp>BDH|18273682728136534412</stp>
        <tr r="J42" s="2"/>
      </tp>
      <tp t="s">
        <v>#N/A N/A</v>
        <stp/>
        <stp>BDH|17282587281222647643</stp>
        <tr r="AB24" s="2"/>
      </tp>
      <tp t="s">
        <v>#N/A N/A</v>
        <stp/>
        <stp>BDH|12839034501269018535</stp>
        <tr r="AB55" s="2"/>
      </tp>
      <tp t="s">
        <v>#N/A N/A</v>
        <stp/>
        <stp>BDH|12109760647466840910</stp>
        <tr r="AC16" s="2"/>
      </tp>
      <tp t="s">
        <v>#N/A N/A</v>
        <stp/>
        <stp>BDH|13698759488686311400</stp>
        <tr r="U41" s="2"/>
      </tp>
      <tp t="s">
        <v>#N/A N/A</v>
        <stp/>
        <stp>BDH|17670456403254215990</stp>
        <tr r="AA36" s="2"/>
      </tp>
      <tp t="s">
        <v>#N/A N/A</v>
        <stp/>
        <stp>BDH|15328751144708095099</stp>
        <tr r="F34" s="2"/>
      </tp>
      <tp t="s">
        <v>#N/A N/A</v>
        <stp/>
        <stp>BDH|16967094800809800128</stp>
        <tr r="Q6" s="2"/>
      </tp>
      <tp t="s">
        <v>#N/A N/A</v>
        <stp/>
        <stp>BDH|18327152458343023146</stp>
        <tr r="AD57" s="2"/>
      </tp>
      <tp t="s">
        <v>#N/A N/A</v>
        <stp/>
        <stp>BDH|10389898402910741659</stp>
        <tr r="N30" s="2"/>
      </tp>
      <tp t="s">
        <v>#N/A N/A</v>
        <stp/>
        <stp>BDH|10386696793684453506</stp>
        <tr r="N55" s="2"/>
      </tp>
      <tp t="s">
        <v>#N/A N/A</v>
        <stp/>
        <stp>BDH|10407052951429945242</stp>
        <tr r="Q33" s="2"/>
      </tp>
      <tp t="s">
        <v>#N/A N/A</v>
        <stp/>
        <stp>BDH|16203869908811198119</stp>
        <tr r="T16" s="2"/>
      </tp>
      <tp t="s">
        <v>#N/A N/A</v>
        <stp/>
        <stp>BDH|14039086161938514432</stp>
        <tr r="K14" s="2"/>
      </tp>
      <tp t="s">
        <v>#N/A N/A</v>
        <stp/>
        <stp>BDH|17708554621696486886</stp>
        <tr r="AD11" s="2"/>
      </tp>
      <tp t="s">
        <v>#N/A N/A</v>
        <stp/>
        <stp>BDH|10995837113173143477</stp>
        <tr r="G38" s="2"/>
        <tr r="G50" s="2"/>
      </tp>
      <tp t="s">
        <v>#N/A N/A</v>
        <stp/>
        <stp>BDH|14488331463159885628</stp>
        <tr r="H71" s="2"/>
      </tp>
      <tp t="s">
        <v>#N/A N/A</v>
        <stp/>
        <stp>BDH|13112581405008310016</stp>
        <tr r="C19" s="2"/>
      </tp>
      <tp t="s">
        <v>#N/A N/A</v>
        <stp/>
        <stp>BDH|10333330553980469899</stp>
        <tr r="G46" s="2"/>
      </tp>
      <tp t="s">
        <v>#N/A N/A</v>
        <stp/>
        <stp>BDH|15400513289314016225</stp>
        <tr r="Z73" s="2"/>
      </tp>
      <tp t="s">
        <v>#N/A N/A</v>
        <stp/>
        <stp>BDH|16517030737143853871</stp>
        <tr r="M72" s="2"/>
      </tp>
      <tp t="s">
        <v>#N/A N/A</v>
        <stp/>
        <stp>BDH|15479309729733886840</stp>
        <tr r="AC66" s="2"/>
      </tp>
      <tp t="s">
        <v>#N/A N/A</v>
        <stp/>
        <stp>BDH|14833885000540300325</stp>
        <tr r="M35" s="2"/>
      </tp>
      <tp t="s">
        <v>#N/A N/A</v>
        <stp/>
        <stp>BDH|15209702726968443705</stp>
        <tr r="R12" s="2"/>
      </tp>
      <tp t="s">
        <v>#N/A N/A</v>
        <stp/>
        <stp>BDH|10458244430376427844</stp>
        <tr r="R43" s="2"/>
      </tp>
      <tp t="s">
        <v>#N/A N/A</v>
        <stp/>
        <stp>BDH|12490913366455058703</stp>
        <tr r="S23" s="2"/>
      </tp>
      <tp t="s">
        <v>#N/A N/A</v>
        <stp/>
        <stp>BDH|12162051106395930886</stp>
        <tr r="E11" s="2"/>
      </tp>
      <tp t="s">
        <v>#N/A N/A</v>
        <stp/>
        <stp>BDH|14885499656138303269</stp>
        <tr r="AB32" s="2"/>
      </tp>
      <tp t="s">
        <v>#N/A N/A</v>
        <stp/>
        <stp>BDH|10167823671128690865</stp>
        <tr r="T74" s="2"/>
      </tp>
      <tp t="s">
        <v>#N/A N/A</v>
        <stp/>
        <stp>BDH|10937276498845536113</stp>
        <tr r="R72" s="2"/>
      </tp>
      <tp t="s">
        <v>#N/A N/A</v>
        <stp/>
        <stp>BDH|12139965508216996236</stp>
        <tr r="S6" s="2"/>
      </tp>
      <tp t="s">
        <v>#N/A N/A</v>
        <stp/>
        <stp>BDH|13328125261488190341</stp>
        <tr r="AC69" s="2"/>
      </tp>
      <tp t="s">
        <v>#N/A N/A</v>
        <stp/>
        <stp>BDH|17405805693850448967</stp>
        <tr r="I31" s="2"/>
      </tp>
      <tp t="s">
        <v>#N/A N/A</v>
        <stp/>
        <stp>BDH|15790951870364193065</stp>
        <tr r="V22" s="2"/>
      </tp>
      <tp t="s">
        <v>#N/A N/A</v>
        <stp/>
        <stp>BDH|12992814306904856135</stp>
        <tr r="Y37" s="2"/>
      </tp>
      <tp t="s">
        <v>#N/A N/A</v>
        <stp/>
        <stp>BDH|14389655920316352911</stp>
        <tr r="R24" s="2"/>
      </tp>
      <tp t="s">
        <v>#N/A N/A</v>
        <stp/>
        <stp>BDH|17187392481131467293</stp>
        <tr r="M12" s="2"/>
      </tp>
      <tp t="s">
        <v>#N/A N/A</v>
        <stp/>
        <stp>BDH|14076934144096737040</stp>
        <tr r="F72" s="2"/>
      </tp>
      <tp t="s">
        <v>#N/A N/A</v>
        <stp/>
        <stp>BDH|10872965334262822757</stp>
        <tr r="V30" s="2"/>
      </tp>
      <tp t="s">
        <v>#N/A N/A</v>
        <stp/>
        <stp>BDH|17248550890914416049</stp>
        <tr r="V27" s="2"/>
      </tp>
      <tp t="s">
        <v>#N/A N/A</v>
        <stp/>
        <stp>BDH|16131306034848517168</stp>
        <tr r="U72" s="2"/>
      </tp>
      <tp t="s">
        <v>#N/A N/A</v>
        <stp/>
        <stp>BDH|18171676222910847359</stp>
        <tr r="Z52" s="2"/>
      </tp>
      <tp t="s">
        <v>#N/A N/A</v>
        <stp/>
        <stp>BDH|11198417997350860343</stp>
        <tr r="S65" s="2"/>
      </tp>
      <tp t="s">
        <v>#N/A N/A</v>
        <stp/>
        <stp>BDH|18415794154807752259</stp>
        <tr r="E28" s="2"/>
      </tp>
      <tp t="s">
        <v>#N/A N/A</v>
        <stp/>
        <stp>BDH|10936981463239123982</stp>
        <tr r="L43" s="2"/>
      </tp>
      <tp t="s">
        <v>#N/A N/A</v>
        <stp/>
        <stp>BDH|15791686898303552684</stp>
        <tr r="U22" s="2"/>
      </tp>
      <tp t="s">
        <v>#N/A N/A</v>
        <stp/>
        <stp>BDH|16409334507612889826</stp>
        <tr r="AD58" s="2"/>
      </tp>
      <tp t="s">
        <v>#N/A N/A</v>
        <stp/>
        <stp>BDH|10948945699206712991</stp>
        <tr r="H16" s="2"/>
      </tp>
      <tp t="s">
        <v>#N/A N/A</v>
        <stp/>
        <stp>BDH|11613767694435600586</stp>
        <tr r="L29" s="2"/>
      </tp>
      <tp t="s">
        <v>#N/A N/A</v>
        <stp/>
        <stp>BDH|14428961027193088387</stp>
        <tr r="G7" s="2"/>
      </tp>
      <tp t="s">
        <v>#N/A N/A</v>
        <stp/>
        <stp>BDH|18011478044694981376</stp>
        <tr r="K49" s="2"/>
      </tp>
      <tp t="s">
        <v>#N/A N/A</v>
        <stp/>
        <stp>BDH|14968408486305640256</stp>
        <tr r="K29" s="2"/>
      </tp>
      <tp t="s">
        <v>#N/A N/A</v>
        <stp/>
        <stp>BDH|16091072121938309396</stp>
        <tr r="M74" s="2"/>
      </tp>
      <tp t="s">
        <v>#N/A N/A</v>
        <stp/>
        <stp>BDH|18363334699388595530</stp>
        <tr r="E35" s="2"/>
      </tp>
      <tp t="s">
        <v>#N/A N/A</v>
        <stp/>
        <stp>BDH|18030836589675707224</stp>
        <tr r="R74" s="2"/>
      </tp>
      <tp t="s">
        <v>#N/A N/A</v>
        <stp/>
        <stp>BDH|17760494183455309112</stp>
        <tr r="M11" s="2"/>
      </tp>
      <tp t="s">
        <v>#N/A N/A</v>
        <stp/>
        <stp>BDH|12510915535124791384</stp>
        <tr r="I12" s="2"/>
      </tp>
      <tp t="s">
        <v>#N/A N/A</v>
        <stp/>
        <stp>BDH|10938230737548625656</stp>
        <tr r="C14" s="2"/>
      </tp>
      <tp t="s">
        <v>#N/A N/A</v>
        <stp/>
        <stp>BDH|13757066716705814815</stp>
        <tr r="E42" s="2"/>
      </tp>
      <tp t="s">
        <v>#N/A N/A</v>
        <stp/>
        <stp>BDH|15233374854706189913</stp>
        <tr r="AC30" s="2"/>
      </tp>
      <tp t="s">
        <v>#N/A N/A</v>
        <stp/>
        <stp>BDH|12979886757981100262</stp>
        <tr r="Q8" s="2"/>
      </tp>
      <tp t="s">
        <v>#N/A N/A</v>
        <stp/>
        <stp>BDH|16478973731626257611</stp>
        <tr r="N42" s="2"/>
      </tp>
      <tp t="s">
        <v>#N/A N/A</v>
        <stp/>
        <stp>BDH|10700950734286510032</stp>
        <tr r="P67" s="2"/>
      </tp>
      <tp t="s">
        <v>#N/A N/A</v>
        <stp/>
        <stp>BDH|18000744243065622229</stp>
        <tr r="D34" s="2"/>
      </tp>
      <tp t="s">
        <v>#N/A N/A</v>
        <stp/>
        <stp>BDH|10748498628972638838</stp>
        <tr r="L65" s="2"/>
      </tp>
      <tp t="s">
        <v>#N/A N/A</v>
        <stp/>
        <stp>BDH|12396749480987781630</stp>
        <tr r="Q45" s="2"/>
      </tp>
      <tp t="s">
        <v>#N/A N/A</v>
        <stp/>
        <stp>BDH|12082008177948258172</stp>
        <tr r="G24" s="2"/>
      </tp>
      <tp t="s">
        <v>#N/A N/A</v>
        <stp/>
        <stp>BDH|16151759019174603891</stp>
        <tr r="V29" s="2"/>
      </tp>
      <tp t="s">
        <v>#N/A N/A</v>
        <stp/>
        <stp>BDH|14983852480871849914</stp>
        <tr r="K59" s="2"/>
      </tp>
      <tp t="s">
        <v>#N/A N/A</v>
        <stp/>
        <stp>BDH|11380829905512373721</stp>
        <tr r="D30" s="2"/>
      </tp>
      <tp t="s">
        <v>#N/A N/A</v>
        <stp/>
        <stp>BDH|16338233881056163657</stp>
        <tr r="R39" s="2"/>
      </tp>
      <tp t="s">
        <v>#N/A N/A</v>
        <stp/>
        <stp>BDH|10956682620640055842</stp>
        <tr r="AA67" s="2"/>
      </tp>
      <tp t="s">
        <v>#N/A N/A</v>
        <stp/>
        <stp>BDH|14157444446808316043</stp>
        <tr r="Y69" s="2"/>
      </tp>
      <tp t="s">
        <v>#N/A N/A</v>
        <stp/>
        <stp>BDH|13285135699966999157</stp>
        <tr r="F73" s="2"/>
      </tp>
      <tp t="s">
        <v>#N/A N/A</v>
        <stp/>
        <stp>BDH|18396312525261515461</stp>
        <tr r="O8" s="2"/>
      </tp>
      <tp t="s">
        <v>#N/A N/A</v>
        <stp/>
        <stp>BDH|11235500630703182873</stp>
        <tr r="I45" s="2"/>
      </tp>
      <tp t="s">
        <v>#N/A N/A</v>
        <stp/>
        <stp>BDH|12379759861688469746</stp>
        <tr r="G65" s="2"/>
      </tp>
      <tp t="s">
        <v>#N/A N/A</v>
        <stp/>
        <stp>BDH|15278953978612166594</stp>
        <tr r="G21" s="2"/>
      </tp>
      <tp t="s">
        <v>#N/A N/A</v>
        <stp/>
        <stp>BDH|11064236803556438930</stp>
        <tr r="M28" s="2"/>
      </tp>
      <tp t="s">
        <v>#N/A N/A</v>
        <stp/>
        <stp>BDH|10679451285094221432</stp>
        <tr r="Q60" s="2"/>
      </tp>
      <tp t="s">
        <v>#N/A N/A</v>
        <stp/>
        <stp>BDH|18075905217929018514</stp>
        <tr r="M59" s="2"/>
      </tp>
      <tp t="s">
        <v>#N/A N/A</v>
        <stp/>
        <stp>BDH|10927360389072923567</stp>
        <tr r="M69" s="2"/>
      </tp>
      <tp t="s">
        <v>#N/A N/A</v>
        <stp/>
        <stp>BDH|15842075730753011961</stp>
        <tr r="N23" s="2"/>
      </tp>
      <tp t="s">
        <v>#N/A N/A</v>
        <stp/>
        <stp>BDH|16050811549012631469</stp>
        <tr r="J70" s="2"/>
      </tp>
      <tp t="s">
        <v>#N/A N/A</v>
        <stp/>
        <stp>BDH|16884034329240997837</stp>
        <tr r="R18" s="2"/>
      </tp>
      <tp t="s">
        <v>#N/A N/A</v>
        <stp/>
        <stp>BDH|12336819633110932508</stp>
        <tr r="C16" s="2"/>
      </tp>
      <tp t="s">
        <v>#N/A N/A</v>
        <stp/>
        <stp>BDH|15599846950036255285</stp>
        <tr r="Z14" s="2"/>
      </tp>
      <tp t="s">
        <v>#N/A N/A</v>
        <stp/>
        <stp>BDH|17916527556078318359</stp>
        <tr r="J46" s="2"/>
      </tp>
      <tp t="s">
        <v>#N/A N/A</v>
        <stp/>
        <stp>BDH|13987964067732669240</stp>
        <tr r="D11" s="2"/>
      </tp>
      <tp t="s">
        <v>#N/A N/A</v>
        <stp/>
        <stp>BDH|17940627925219234662</stp>
        <tr r="D55" s="2"/>
      </tp>
      <tp t="s">
        <v>#N/A N/A</v>
        <stp/>
        <stp>BDH|11285652709018184355</stp>
        <tr r="U20" s="2"/>
      </tp>
      <tp t="s">
        <v>#N/A N/A</v>
        <stp/>
        <stp>BDH|17436650551869838143</stp>
        <tr r="L31" s="2"/>
      </tp>
      <tp t="s">
        <v>#N/A N/A</v>
        <stp/>
        <stp>BDH|15497099593897134733</stp>
        <tr r="AA6" s="2"/>
      </tp>
      <tp t="s">
        <v>#N/A N/A</v>
        <stp/>
        <stp>BDH|18290028970540427389</stp>
        <tr r="I69" s="2"/>
      </tp>
      <tp t="s">
        <v>#N/A N/A</v>
        <stp/>
        <stp>BDH|12815248597882550720</stp>
        <tr r="X52" s="2"/>
      </tp>
      <tp t="s">
        <v>#N/A N/A</v>
        <stp/>
        <stp>BDH|18091296627621142503</stp>
        <tr r="X21" s="2"/>
      </tp>
      <tp t="s">
        <v>#N/A N/A</v>
        <stp/>
        <stp>BDH|18366081117704151128</stp>
        <tr r="H17" s="2"/>
      </tp>
      <tp t="s">
        <v>#N/A N/A</v>
        <stp/>
        <stp>BDH|14203344738781417951</stp>
        <tr r="R16" s="2"/>
      </tp>
      <tp t="s">
        <v>#N/A N/A</v>
        <stp/>
        <stp>BDH|11218470099326485678</stp>
        <tr r="H27" s="2"/>
      </tp>
      <tp t="s">
        <v>#N/A N/A</v>
        <stp/>
        <stp>BDH|16645099587947015574</stp>
        <tr r="R67" s="2"/>
      </tp>
      <tp t="s">
        <v>#N/A N/A</v>
        <stp/>
        <stp>BDH|13424351439188758702</stp>
        <tr r="AC52" s="2"/>
      </tp>
      <tp t="s">
        <v>#N/A N/A</v>
        <stp/>
        <stp>BDH|10637751980220971348</stp>
        <tr r="W31" s="2"/>
      </tp>
      <tp t="s">
        <v>#N/A N/A</v>
        <stp/>
        <stp>BDH|17992097467344723815</stp>
        <tr r="V36" s="2"/>
      </tp>
      <tp t="s">
        <v>#N/A N/A</v>
        <stp/>
        <stp>BDH|15603321882265014672</stp>
        <tr r="O69" s="2"/>
      </tp>
      <tp t="s">
        <v>#N/A N/A</v>
        <stp/>
        <stp>BDH|10716977600592518645</stp>
        <tr r="AB70" s="2"/>
      </tp>
      <tp t="s">
        <v>#N/A N/A</v>
        <stp/>
        <stp>BDH|15411834212923496216</stp>
        <tr r="F26" s="2"/>
      </tp>
      <tp t="s">
        <v>#N/A N/A</v>
        <stp/>
        <stp>BDH|10211718765264306869</stp>
        <tr r="D64" s="2"/>
      </tp>
      <tp t="s">
        <v>#N/A N/A</v>
        <stp/>
        <stp>BDH|17293320635143761907</stp>
        <tr r="AA29" s="2"/>
      </tp>
      <tp t="s">
        <v>#N/A N/A</v>
        <stp/>
        <stp>BDH|10604370994677644010</stp>
        <tr r="L64" s="2"/>
      </tp>
      <tp t="s">
        <v>#N/A N/A</v>
        <stp/>
        <stp>BDH|12728338572872075945</stp>
        <tr r="E74" s="2"/>
      </tp>
      <tp t="s">
        <v>#N/A N/A</v>
        <stp/>
        <stp>BDH|17005105051747319978</stp>
        <tr r="X55" s="2"/>
      </tp>
      <tp t="s">
        <v>#N/A N/A</v>
        <stp/>
        <stp>BDH|13995092330388437515</stp>
        <tr r="AB68" s="2"/>
      </tp>
      <tp t="s">
        <v>#N/A N/A</v>
        <stp/>
        <stp>BDH|17142362630143214908</stp>
        <tr r="F75" s="2"/>
      </tp>
      <tp t="s">
        <v>#N/A N/A</v>
        <stp/>
        <stp>BDH|12642444150176136864</stp>
        <tr r="N7" s="2"/>
      </tp>
      <tp t="s">
        <v>#N/A N/A</v>
        <stp/>
        <stp>BDH|16383566993466202102</stp>
        <tr r="T38" s="2"/>
        <tr r="T50" s="2"/>
      </tp>
      <tp t="s">
        <v>#N/A N/A</v>
        <stp/>
        <stp>BDH|16742595189260626656</stp>
        <tr r="AD12" s="2"/>
      </tp>
      <tp t="s">
        <v>#N/A N/A</v>
        <stp/>
        <stp>BDH|17680839161437460360</stp>
        <tr r="Y17" s="2"/>
      </tp>
      <tp t="s">
        <v>#N/A N/A</v>
        <stp/>
        <stp>BDH|10538812419734519018</stp>
        <tr r="Z19" s="2"/>
      </tp>
      <tp t="s">
        <v>#N/A N/A</v>
        <stp/>
        <stp>BDH|11075880411762846789</stp>
        <tr r="H25" s="2"/>
      </tp>
      <tp t="s">
        <v>#N/A N/A</v>
        <stp/>
        <stp>BDH|18022113979206226536</stp>
        <tr r="Q52" s="2"/>
      </tp>
      <tp t="s">
        <v>#N/A N/A</v>
        <stp/>
        <stp>BDH|14979064985506483779</stp>
        <tr r="F42" s="2"/>
      </tp>
      <tp t="s">
        <v>#N/A N/A</v>
        <stp/>
        <stp>BDH|16171158224449138192</stp>
        <tr r="D28" s="2"/>
      </tp>
      <tp t="s">
        <v>#N/A N/A</v>
        <stp/>
        <stp>BDH|10071122473058072393</stp>
        <tr r="R13" s="2"/>
      </tp>
      <tp t="s">
        <v>#N/A N/A</v>
        <stp/>
        <stp>BDH|12887464770828662405</stp>
        <tr r="AA15" s="2"/>
      </tp>
      <tp t="s">
        <v>#N/A N/A</v>
        <stp/>
        <stp>BDH|12729894541657046471</stp>
        <tr r="X13" s="2"/>
      </tp>
      <tp t="s">
        <v>#N/A N/A</v>
        <stp/>
        <stp>BDH|13927882233367928200</stp>
        <tr r="K23" s="2"/>
      </tp>
      <tp t="s">
        <v>#N/A N/A</v>
        <stp/>
        <stp>BDH|16134211080866831739</stp>
        <tr r="W24" s="2"/>
      </tp>
      <tp t="s">
        <v>#N/A N/A</v>
        <stp/>
        <stp>BDH|17345376829968192376</stp>
        <tr r="T10" s="2"/>
      </tp>
      <tp t="s">
        <v>#N/A N/A</v>
        <stp/>
        <stp>BDH|18431459818734777441</stp>
        <tr r="N58" s="2"/>
      </tp>
      <tp t="s">
        <v>#N/A N/A</v>
        <stp/>
        <stp>BDH|16796836708023799014</stp>
        <tr r="W74" s="2"/>
      </tp>
      <tp t="s">
        <v>#N/A N/A</v>
        <stp/>
        <stp>BDH|10568250672280916811</stp>
        <tr r="V34" s="2"/>
      </tp>
      <tp t="s">
        <v>#N/A N/A</v>
        <stp/>
        <stp>BDH|16171128209553444924</stp>
        <tr r="T64" s="2"/>
      </tp>
      <tp t="s">
        <v>#N/A N/A</v>
        <stp/>
        <stp>BDH|18156750630475861409</stp>
        <tr r="I40" s="2"/>
      </tp>
      <tp t="s">
        <v>#N/A N/A</v>
        <stp/>
        <stp>BDH|15217859678737785044</stp>
        <tr r="AB45" s="2"/>
      </tp>
      <tp t="s">
        <v>#N/A N/A</v>
        <stp/>
        <stp>BDH|14362216749919057678</stp>
        <tr r="V26" s="2"/>
      </tp>
      <tp t="s">
        <v>#N/A N/A</v>
        <stp/>
        <stp>BDH|12621970577537194680</stp>
        <tr r="AC48" s="2"/>
      </tp>
      <tp t="s">
        <v>#N/A N/A</v>
        <stp/>
        <stp>BDH|12519352897554894114</stp>
        <tr r="S17" s="2"/>
      </tp>
      <tp t="s">
        <v>#N/A N/A</v>
        <stp/>
        <stp>BDH|12161187493933655428</stp>
        <tr r="E58" s="2"/>
      </tp>
      <tp t="s">
        <v>#N/A N/A</v>
        <stp/>
        <stp>BDH|16790088939231673615</stp>
        <tr r="AB69" s="2"/>
      </tp>
      <tp t="s">
        <v>#N/A N/A</v>
        <stp/>
        <stp>BDH|15339273232573137567</stp>
        <tr r="U29" s="2"/>
      </tp>
      <tp t="s">
        <v>#N/A N/A</v>
        <stp/>
        <stp>BDH|11357001466215365076</stp>
        <tr r="AD50" s="2"/>
        <tr r="AD38" s="2"/>
      </tp>
      <tp t="s">
        <v>#N/A N/A</v>
        <stp/>
        <stp>BDH|15570729552844207163</stp>
        <tr r="E32" s="2"/>
      </tp>
      <tp t="s">
        <v>#N/A N/A</v>
        <stp/>
        <stp>BDH|16573197239724106249</stp>
        <tr r="K11" s="2"/>
      </tp>
      <tp t="s">
        <v>#N/A N/A</v>
        <stp/>
        <stp>BDH|14280180939666351209</stp>
        <tr r="D23" s="2"/>
      </tp>
      <tp t="s">
        <v>#N/A N/A</v>
        <stp/>
        <stp>BDH|10463315913571464127</stp>
        <tr r="U24" s="2"/>
      </tp>
      <tp t="s">
        <v>#N/A N/A</v>
        <stp/>
        <stp>BDH|14886097932461253419</stp>
        <tr r="K70" s="2"/>
      </tp>
      <tp t="s">
        <v>#N/A N/A</v>
        <stp/>
        <stp>BDH|15599708556830385504</stp>
        <tr r="AC40" s="2"/>
      </tp>
      <tp t="s">
        <v>#N/A N/A</v>
        <stp/>
        <stp>BDH|18151813722008989884</stp>
        <tr r="AB60" s="2"/>
      </tp>
      <tp t="s">
        <v>#N/A N/A</v>
        <stp/>
        <stp>BDH|18185255381065635503</stp>
        <tr r="C40" s="2"/>
      </tp>
      <tp t="s">
        <v>#N/A N/A</v>
        <stp/>
        <stp>BDH|11765099629454700537</stp>
        <tr r="M9" s="2"/>
      </tp>
      <tp t="s">
        <v>#N/A N/A</v>
        <stp/>
        <stp>BDH|10157629631925430252</stp>
        <tr r="X54" s="2"/>
      </tp>
      <tp t="s">
        <v>#N/A N/A</v>
        <stp/>
        <stp>BDH|18339916127801469032</stp>
        <tr r="I16" s="2"/>
      </tp>
      <tp t="s">
        <v>#N/A N/A</v>
        <stp/>
        <stp>BDH|18283605065599218371</stp>
        <tr r="M65" s="2"/>
      </tp>
      <tp t="s">
        <v>#N/A N/A</v>
        <stp/>
        <stp>BDH|18391768066348360325</stp>
        <tr r="E49" s="2"/>
      </tp>
      <tp t="s">
        <v>#N/A N/A</v>
        <stp/>
        <stp>BDH|18319013128108865005</stp>
        <tr r="Y35" s="2"/>
      </tp>
      <tp t="s">
        <v>#N/A N/A</v>
        <stp/>
        <stp>BDH|11035309823177394525</stp>
        <tr r="L21" s="2"/>
      </tp>
      <tp t="s">
        <v>#N/A N/A</v>
        <stp/>
        <stp>BDH|17235562695088234117</stp>
        <tr r="J23" s="2"/>
      </tp>
      <tp t="s">
        <v>#N/A N/A</v>
        <stp/>
        <stp>BDH|16430133087599656444</stp>
        <tr r="W57" s="2"/>
      </tp>
      <tp t="s">
        <v>#N/A N/A</v>
        <stp/>
        <stp>BDH|10460300632013540116</stp>
        <tr r="S28" s="2"/>
      </tp>
      <tp t="s">
        <v>#N/A N/A</v>
        <stp/>
        <stp>BDH|12986225709080543221</stp>
        <tr r="J64" s="2"/>
      </tp>
      <tp t="s">
        <v>#N/A N/A</v>
        <stp/>
        <stp>BDH|13098109722020313242</stp>
        <tr r="Q75" s="2"/>
      </tp>
      <tp t="s">
        <v>#N/A N/A</v>
        <stp/>
        <stp>BDH|13105120042607159353</stp>
        <tr r="AB12" s="2"/>
      </tp>
      <tp t="s">
        <v>#N/A N/A</v>
        <stp/>
        <stp>BDH|13820930724202813825</stp>
        <tr r="E27" s="2"/>
      </tp>
      <tp t="s">
        <v>#N/A N/A</v>
        <stp/>
        <stp>BDH|15776113923836436256</stp>
        <tr r="X23" s="2"/>
      </tp>
      <tp t="s">
        <v>#N/A N/A</v>
        <stp/>
        <stp>BDH|18189856874983287662</stp>
        <tr r="Y29" s="2"/>
      </tp>
      <tp t="s">
        <v>#N/A N/A</v>
        <stp/>
        <stp>BDH|10267098145996935038</stp>
        <tr r="R8" s="2"/>
      </tp>
      <tp t="s">
        <v>#N/A N/A</v>
        <stp/>
        <stp>BDH|14546576217107493559</stp>
        <tr r="Q36" s="2"/>
      </tp>
      <tp t="s">
        <v>#N/A N/A</v>
        <stp/>
        <stp>BDH|10062283268723513512</stp>
        <tr r="S67" s="2"/>
      </tp>
      <tp t="s">
        <v>#N/A N/A</v>
        <stp/>
        <stp>BDH|11967221806747876617</stp>
        <tr r="P60" s="2"/>
      </tp>
      <tp t="s">
        <v>#N/A N/A</v>
        <stp/>
        <stp>BDH|15397803045089332219</stp>
        <tr r="M40" s="2"/>
      </tp>
      <tp t="s">
        <v>#N/A N/A</v>
        <stp/>
        <stp>BDH|12583901280804674571</stp>
        <tr r="AB58" s="2"/>
      </tp>
      <tp t="s">
        <v>#N/A N/A</v>
        <stp/>
        <stp>BDH|10556526761828397915</stp>
        <tr r="N43" s="2"/>
      </tp>
      <tp t="s">
        <v>#N/A N/A</v>
        <stp/>
        <stp>BDH|14034582034425135591</stp>
        <tr r="Z7" s="2"/>
      </tp>
      <tp t="s">
        <v>#N/A N/A</v>
        <stp/>
        <stp>BDH|12710297148143474566</stp>
        <tr r="T15" s="2"/>
      </tp>
      <tp t="s">
        <v>#N/A N/A</v>
        <stp/>
        <stp>BDH|15873036059023767113</stp>
        <tr r="O59" s="2"/>
      </tp>
      <tp t="s">
        <v>#N/A N/A</v>
        <stp/>
        <stp>BDH|15021913291996006170</stp>
        <tr r="AD8" s="2"/>
      </tp>
      <tp t="s">
        <v>#N/A N/A</v>
        <stp/>
        <stp>BDH|17234452115279414911</stp>
        <tr r="AD69" s="2"/>
      </tp>
      <tp t="s">
        <v>#N/A N/A</v>
        <stp/>
        <stp>BDH|11763840206778129331</stp>
        <tr r="W32" s="2"/>
      </tp>
      <tp t="s">
        <v>#N/A N/A</v>
        <stp/>
        <stp>BDH|17990417344470880532</stp>
        <tr r="P64" s="2"/>
      </tp>
      <tp t="s">
        <v>#N/A N/A</v>
        <stp/>
        <stp>BDH|16399021202962396664</stp>
        <tr r="N74" s="2"/>
      </tp>
      <tp t="s">
        <v>#N/A N/A</v>
        <stp/>
        <stp>BDH|18209604172399238240</stp>
        <tr r="R50" s="2"/>
        <tr r="R38" s="2"/>
      </tp>
      <tp t="s">
        <v>#N/A N/A</v>
        <stp/>
        <stp>BDH|17981075677461296329</stp>
        <tr r="AC27" s="2"/>
      </tp>
      <tp t="s">
        <v>#N/A N/A</v>
        <stp/>
        <stp>BDH|11884599118275899287</stp>
        <tr r="P27" s="2"/>
      </tp>
      <tp t="s">
        <v>#N/A N/A</v>
        <stp/>
        <stp>BDH|14275601964452797488</stp>
        <tr r="Z41" s="2"/>
      </tp>
      <tp t="s">
        <v>#N/A N/A</v>
        <stp/>
        <stp>BDH|10019431008644510277</stp>
        <tr r="F6" s="2"/>
      </tp>
      <tp t="s">
        <v>#N/A N/A</v>
        <stp/>
        <stp>BDH|10456775031115886326</stp>
        <tr r="AD54" s="2"/>
      </tp>
      <tp t="s">
        <v>#N/A N/A</v>
        <stp/>
        <stp>BDH|14154340710800499495</stp>
        <tr r="Z71" s="2"/>
      </tp>
      <tp t="s">
        <v>#N/A N/A</v>
        <stp/>
        <stp>BDH|10776087126281102105</stp>
        <tr r="L15" s="2"/>
      </tp>
      <tp t="s">
        <v>#N/A N/A</v>
        <stp/>
        <stp>BDH|10959996549147951882</stp>
        <tr r="R33" s="2"/>
      </tp>
      <tp t="s">
        <v>#N/A N/A</v>
        <stp/>
        <stp>BDH|15493777215399508887</stp>
        <tr r="C59" s="2"/>
      </tp>
      <tp t="s">
        <v>#N/A N/A</v>
        <stp/>
        <stp>BDH|10668953438911828987</stp>
        <tr r="N66" s="2"/>
      </tp>
      <tp t="s">
        <v>#N/A N/A</v>
        <stp/>
        <stp>BDH|15978143291469593626</stp>
        <tr r="K38" s="2"/>
        <tr r="K50" s="2"/>
      </tp>
      <tp t="s">
        <v>#N/A N/A</v>
        <stp/>
        <stp>BDH|10497746270190301282</stp>
        <tr r="Y25" s="2"/>
      </tp>
      <tp t="s">
        <v>#N/A N/A</v>
        <stp/>
        <stp>BDH|16253025999704650944</stp>
        <tr r="O65" s="2"/>
      </tp>
      <tp t="s">
        <v>#N/A N/A</v>
        <stp/>
        <stp>BDH|10868068180889523300</stp>
        <tr r="J68" s="2"/>
      </tp>
      <tp t="s">
        <v>#N/A N/A</v>
        <stp/>
        <stp>BDH|11651626999955433933</stp>
        <tr r="C36" s="2"/>
      </tp>
      <tp t="s">
        <v>#N/A N/A</v>
        <stp/>
        <stp>BDH|15145695413486877698</stp>
        <tr r="S34" s="2"/>
      </tp>
      <tp t="s">
        <v>#N/A N/A</v>
        <stp/>
        <stp>BDH|17042826579818473252</stp>
        <tr r="H35" s="2"/>
      </tp>
      <tp t="s">
        <v>#N/A N/A</v>
        <stp/>
        <stp>BDH|12927738243872423100</stp>
        <tr r="E24" s="2"/>
      </tp>
      <tp t="s">
        <v>#N/A N/A</v>
        <stp/>
        <stp>BDH|14718905892251994705</stp>
        <tr r="S73" s="2"/>
      </tp>
      <tp t="s">
        <v>#N/A N/A</v>
        <stp/>
        <stp>BDH|12358382433414085448</stp>
        <tr r="X39" s="2"/>
      </tp>
      <tp t="s">
        <v>#N/A N/A</v>
        <stp/>
        <stp>BDH|15447728452091864408</stp>
        <tr r="P8" s="2"/>
      </tp>
      <tp t="s">
        <v>#N/A N/A</v>
        <stp/>
        <stp>BDH|17673972720756961840</stp>
        <tr r="N44" s="2"/>
      </tp>
      <tp t="s">
        <v>#N/A N/A</v>
        <stp/>
        <stp>BDH|14760362540651818069</stp>
        <tr r="F58" s="2"/>
      </tp>
      <tp t="s">
        <v>#N/A N/A</v>
        <stp/>
        <stp>BDH|10509096398062235997</stp>
        <tr r="Y21" s="2"/>
      </tp>
      <tp t="s">
        <v>#N/A N/A</v>
        <stp/>
        <stp>BDH|11104564858077178414</stp>
        <tr r="AB36" s="2"/>
      </tp>
      <tp t="s">
        <v>#N/A N/A</v>
        <stp/>
        <stp>BDH|17116354045650979272</stp>
        <tr r="Q53" s="2"/>
      </tp>
      <tp t="s">
        <v>#N/A N/A</v>
        <stp/>
        <stp>BDH|13866467821465051205</stp>
        <tr r="R55" s="2"/>
      </tp>
      <tp t="s">
        <v>#N/A N/A</v>
        <stp/>
        <stp>BDH|15017740459506781343</stp>
        <tr r="L19" s="2"/>
      </tp>
      <tp t="s">
        <v>#N/A N/A</v>
        <stp/>
        <stp>BDH|10331284405810017000</stp>
        <tr r="D70" s="2"/>
      </tp>
      <tp t="s">
        <v>#N/A N/A</v>
        <stp/>
        <stp>BDH|18177423422379751587</stp>
        <tr r="G15" s="2"/>
      </tp>
      <tp t="s">
        <v>#N/A N/A</v>
        <stp/>
        <stp>BDH|13241079812716375753</stp>
        <tr r="G17" s="2"/>
      </tp>
      <tp t="s">
        <v>#N/A N/A</v>
        <stp/>
        <stp>BDH|16437962631166388901</stp>
        <tr r="AA27" s="2"/>
      </tp>
      <tp t="s">
        <v>#N/A N/A</v>
        <stp/>
        <stp>BDH|15562405825845136511</stp>
        <tr r="M38" s="2"/>
        <tr r="M50" s="2"/>
      </tp>
      <tp t="s">
        <v>#N/A N/A</v>
        <stp/>
        <stp>BDH|16478186518745295067</stp>
        <tr r="V18" s="2"/>
      </tp>
      <tp t="s">
        <v>#N/A N/A</v>
        <stp/>
        <stp>BDH|17293138738387164186</stp>
        <tr r="AA66" s="2"/>
      </tp>
      <tp t="s">
        <v>#N/A N/A</v>
        <stp/>
        <stp>BDH|11139561153410307271</stp>
        <tr r="O28" s="2"/>
      </tp>
      <tp t="s">
        <v>#N/A N/A</v>
        <stp/>
        <stp>BDH|11140575804484071326</stp>
        <tr r="C18" s="2"/>
      </tp>
      <tp t="s">
        <v>#N/A N/A</v>
        <stp/>
        <stp>BDH|10320963564219156537</stp>
        <tr r="AC13" s="2"/>
      </tp>
      <tp t="s">
        <v>#N/A N/A</v>
        <stp/>
        <stp>BDH|17479136060576070545</stp>
        <tr r="J59" s="2"/>
      </tp>
      <tp t="s">
        <v>#N/A N/A</v>
        <stp/>
        <stp>BDH|17274651931762281362</stp>
        <tr r="Y31" s="2"/>
      </tp>
      <tp t="s">
        <v>#N/A N/A</v>
        <stp/>
        <stp>BDH|15405160831623020713</stp>
        <tr r="G14" s="2"/>
      </tp>
      <tp t="s">
        <v>#N/A N/A</v>
        <stp/>
        <stp>BDH|14430768075376280174</stp>
        <tr r="J22" s="2"/>
      </tp>
      <tp t="s">
        <v>#N/A N/A</v>
        <stp/>
        <stp>BDH|11406272297960440955</stp>
        <tr r="N26" s="2"/>
      </tp>
      <tp t="s">
        <v>#N/A N/A</v>
        <stp/>
        <stp>BDH|12276612472856233660</stp>
        <tr r="L73" s="2"/>
      </tp>
      <tp t="s">
        <v>#N/A N/A</v>
        <stp/>
        <stp>BDH|11556779763624074743</stp>
        <tr r="V8" s="2"/>
      </tp>
      <tp t="s">
        <v>#N/A N/A</v>
        <stp/>
        <stp>BDH|15596131466912573308</stp>
        <tr r="I48" s="2"/>
      </tp>
      <tp t="s">
        <v>#N/A N/A</v>
        <stp/>
        <stp>BDH|11606175230229538916</stp>
        <tr r="AA39" s="2"/>
      </tp>
      <tp t="s">
        <v>#N/A N/A</v>
        <stp/>
        <stp>BDH|10106470647041504212</stp>
        <tr r="V40" s="2"/>
      </tp>
      <tp t="s">
        <v>#N/A N/A</v>
        <stp/>
        <stp>BDH|17283418540470667403</stp>
        <tr r="H72" s="2"/>
      </tp>
      <tp t="s">
        <v>#N/A N/A</v>
        <stp/>
        <stp>BDH|10735300787451558905</stp>
        <tr r="S37" s="2"/>
      </tp>
      <tp t="s">
        <v>#N/A N/A</v>
        <stp/>
        <stp>BDH|14079547975791352477</stp>
        <tr r="E45" s="2"/>
      </tp>
      <tp t="s">
        <v>#N/A N/A</v>
        <stp/>
        <stp>BDH|15881281341330600036</stp>
        <tr r="T35" s="2"/>
      </tp>
      <tp t="s">
        <v>#N/A N/A</v>
        <stp/>
        <stp>BDH|12668864326428517371</stp>
        <tr r="AB40" s="2"/>
      </tp>
      <tp t="s">
        <v>#N/A N/A</v>
        <stp/>
        <stp>BDH|11646657017571801480</stp>
        <tr r="V13" s="2"/>
      </tp>
      <tp t="s">
        <v>#N/A N/A</v>
        <stp/>
        <stp>BDH|17324056087415105946</stp>
        <tr r="R75" s="2"/>
      </tp>
      <tp t="s">
        <v>#N/A N/A</v>
        <stp/>
        <stp>BDH|15697333433451394713</stp>
        <tr r="AA55" s="2"/>
      </tp>
      <tp t="s">
        <v>#N/A N/A</v>
        <stp/>
        <stp>BDH|12840987861888645604</stp>
        <tr r="P18" s="2"/>
      </tp>
      <tp t="s">
        <v>#N/A N/A</v>
        <stp/>
        <stp>BDH|15709187448246242528</stp>
        <tr r="K27" s="2"/>
      </tp>
      <tp t="s">
        <v>#N/A N/A</v>
        <stp/>
        <stp>BDH|14132879183060001725</stp>
        <tr r="Z44" s="2"/>
      </tp>
      <tp t="s">
        <v>#N/A N/A</v>
        <stp/>
        <stp>BDH|14289034927262579750</stp>
        <tr r="K68" s="2"/>
      </tp>
      <tp t="s">
        <v>#N/A N/A</v>
        <stp/>
        <stp>BDH|11653660875292591161</stp>
        <tr r="K75" s="2"/>
      </tp>
      <tp t="s">
        <v>#N/A N/A</v>
        <stp/>
        <stp>BDH|16902640236837091729</stp>
        <tr r="L13" s="2"/>
      </tp>
      <tp t="s">
        <v>#N/A N/A</v>
        <stp/>
        <stp>BDH|11839065744367124129</stp>
        <tr r="U43" s="2"/>
      </tp>
      <tp t="s">
        <v>#N/A N/A</v>
        <stp/>
        <stp>BDH|12746579199819997490</stp>
        <tr r="F43" s="2"/>
      </tp>
      <tp t="s">
        <v>#N/A N/A</v>
        <stp/>
        <stp>BDH|12007594654326094749</stp>
        <tr r="N9" s="2"/>
      </tp>
      <tp t="s">
        <v>#N/A N/A</v>
        <stp/>
        <stp>BDH|15969165167442800392</stp>
        <tr r="L14" s="2"/>
      </tp>
      <tp t="s">
        <v>#N/A N/A</v>
        <stp/>
        <stp>BDH|15224546165917296293</stp>
        <tr r="G10" s="2"/>
      </tp>
      <tp t="s">
        <v>#N/A N/A</v>
        <stp/>
        <stp>BDH|16875727820061132137</stp>
        <tr r="C28" s="2"/>
      </tp>
      <tp t="s">
        <v>#N/A N/A</v>
        <stp/>
        <stp>BDH|11795473873786872700</stp>
        <tr r="Y45" s="2"/>
      </tp>
      <tp t="s">
        <v>#N/A N/A</v>
        <stp/>
        <stp>BDH|14321608778771045706</stp>
        <tr r="N16" s="2"/>
      </tp>
      <tp t="s">
        <v>#N/A N/A</v>
        <stp/>
        <stp>BDH|14966389578852730158</stp>
        <tr r="O70" s="2"/>
      </tp>
      <tp t="s">
        <v>#N/A N/A</v>
        <stp/>
        <stp>BDH|14715654769277894089</stp>
        <tr r="D40" s="2"/>
      </tp>
      <tp t="s">
        <v>#N/A N/A</v>
        <stp/>
        <stp>BDH|11361575345180319396</stp>
        <tr r="S33" s="2"/>
      </tp>
      <tp t="s">
        <v>#N/A N/A</v>
        <stp/>
        <stp>BDH|15889729311894610472</stp>
        <tr r="F25" s="2"/>
      </tp>
      <tp t="s">
        <v>#N/A N/A</v>
        <stp/>
        <stp>BDH|17746664638432353308</stp>
        <tr r="V32" s="2"/>
      </tp>
      <tp t="s">
        <v>#N/A N/A</v>
        <stp/>
        <stp>BDH|17273776071467946372</stp>
        <tr r="AA32" s="2"/>
      </tp>
      <tp t="s">
        <v>#N/A N/A</v>
        <stp/>
        <stp>BDH|10817670005330928591</stp>
        <tr r="Y74" s="2"/>
      </tp>
      <tp t="s">
        <v>#N/A N/A</v>
        <stp/>
        <stp>BDH|11202012675234440185</stp>
        <tr r="R15" s="2"/>
      </tp>
      <tp t="s">
        <v>#N/A N/A</v>
        <stp/>
        <stp>BDH|17519429468290735629</stp>
        <tr r="F8" s="2"/>
      </tp>
      <tp t="s">
        <v>#N/A N/A</v>
        <stp/>
        <stp>BDH|15570024128506683244</stp>
        <tr r="I17" s="2"/>
      </tp>
      <tp t="s">
        <v>#N/A N/A</v>
        <stp/>
        <stp>BDH|16649220553433969135</stp>
        <tr r="X12" s="2"/>
      </tp>
      <tp t="s">
        <v>#N/A N/A</v>
        <stp/>
        <stp>BDH|14366086310310418624</stp>
        <tr r="Y44" s="2"/>
      </tp>
      <tp t="s">
        <v>#N/A N/A</v>
        <stp/>
        <stp>BDH|14978565590363220807</stp>
        <tr r="N6" s="2"/>
      </tp>
      <tp t="s">
        <v>#N/A N/A</v>
        <stp/>
        <stp>BDH|15611918885755711293</stp>
        <tr r="AA12" s="2"/>
      </tp>
      <tp t="s">
        <v>#N/A N/A</v>
        <stp/>
        <stp>BDH|14319182130183401632</stp>
        <tr r="Z20" s="2"/>
      </tp>
      <tp t="s">
        <v>#N/A N/A</v>
        <stp/>
        <stp>BDH|13890040911921567042</stp>
        <tr r="AC45" s="2"/>
      </tp>
      <tp t="s">
        <v>#N/A N/A</v>
        <stp/>
        <stp>BDH|11131083144423739563</stp>
        <tr r="G34" s="2"/>
      </tp>
      <tp t="s">
        <v>#N/A N/A</v>
        <stp/>
        <stp>BDH|11887020072977204255</stp>
        <tr r="G23" s="2"/>
      </tp>
      <tp t="s">
        <v>#N/A N/A</v>
        <stp/>
        <stp>BDH|17472170368980646334</stp>
        <tr r="D33" s="2"/>
      </tp>
      <tp t="s">
        <v>#N/A N/A</v>
        <stp/>
        <stp>BDH|11859477118052185584</stp>
        <tr r="F18" s="2"/>
      </tp>
      <tp t="s">
        <v>#N/A N/A</v>
        <stp/>
        <stp>BDH|11326266907580462089</stp>
        <tr r="V46" s="2"/>
      </tp>
      <tp t="s">
        <v>#N/A N/A</v>
        <stp/>
        <stp>BDH|16800412885948213108</stp>
        <tr r="G64" s="2"/>
      </tp>
      <tp t="s">
        <v>#N/A N/A</v>
        <stp/>
        <stp>BDH|15741371264210315394</stp>
        <tr r="F13" s="2"/>
      </tp>
      <tp t="s">
        <v>#N/A N/A</v>
        <stp/>
        <stp>BDH|16852220275283134304</stp>
        <tr r="G49" s="2"/>
      </tp>
      <tp t="s">
        <v>#N/A N/A</v>
        <stp/>
        <stp>BDH|11823788023760740455</stp>
        <tr r="O17" s="2"/>
      </tp>
      <tp t="s">
        <v>#N/A N/A</v>
        <stp/>
        <stp>BDH|16555629341504600019</stp>
        <tr r="G68" s="2"/>
      </tp>
      <tp t="s">
        <v>#N/A N/A</v>
        <stp/>
        <stp>BDH|12550176121599225819</stp>
        <tr r="E33" s="2"/>
      </tp>
      <tp t="s">
        <v>#N/A N/A</v>
        <stp/>
        <stp>BDH|17163504433447589678</stp>
        <tr r="T13" s="2"/>
      </tp>
      <tp t="s">
        <v>#N/A N/A</v>
        <stp/>
        <stp>BDH|12031524950235408759</stp>
        <tr r="Q23" s="2"/>
      </tp>
      <tp t="s">
        <v>#N/A N/A</v>
        <stp/>
        <stp>BDH|12091116938473883326</stp>
        <tr r="N37" s="2"/>
      </tp>
      <tp t="s">
        <v>#N/A N/A</v>
        <stp/>
        <stp>BDH|18179254360615393951</stp>
        <tr r="N18" s="2"/>
      </tp>
      <tp t="s">
        <v>#N/A N/A</v>
        <stp/>
        <stp>BDH|15585807716688100404</stp>
        <tr r="X19" s="2"/>
      </tp>
      <tp t="s">
        <v>#N/A N/A</v>
        <stp/>
        <stp>BDH|13361462700135675211</stp>
        <tr r="D32" s="2"/>
      </tp>
      <tp t="s">
        <v>#N/A N/A</v>
        <stp/>
        <stp>BDH|13670642844859498806</stp>
        <tr r="X36" s="2"/>
      </tp>
      <tp t="s">
        <v>#N/A N/A</v>
        <stp/>
        <stp>BDH|17038065917791016737</stp>
        <tr r="W54" s="2"/>
      </tp>
      <tp t="s">
        <v>#N/A N/A</v>
        <stp/>
        <stp>BDH|11262785464079891932</stp>
        <tr r="AD72" s="2"/>
      </tp>
      <tp t="s">
        <v>#N/A N/A</v>
        <stp/>
        <stp>BDH|12691781348627380605</stp>
        <tr r="I35" s="2"/>
      </tp>
      <tp t="s">
        <v>#N/A N/A</v>
        <stp/>
        <stp>BDH|12688258560474414220</stp>
        <tr r="G57" s="2"/>
      </tp>
      <tp t="s">
        <v>#N/A N/A</v>
        <stp/>
        <stp>BDH|15642274524137162213</stp>
        <tr r="AB57" s="2"/>
      </tp>
      <tp t="s">
        <v>#N/A N/A</v>
        <stp/>
        <stp>BDH|16548553767335225017</stp>
        <tr r="D75" s="2"/>
      </tp>
      <tp t="s">
        <v>#N/A N/A</v>
        <stp/>
        <stp>BDH|12438666659709877873</stp>
        <tr r="Z33" s="2"/>
      </tp>
      <tp t="s">
        <v>#N/A N/A</v>
        <stp/>
        <stp>BDH|11768720455124581725</stp>
        <tr r="D65" s="2"/>
      </tp>
      <tp t="s">
        <v>#N/A N/A</v>
        <stp/>
        <stp>BDH|12605349034486966482</stp>
        <tr r="Z26" s="2"/>
      </tp>
      <tp t="s">
        <v>#N/A N/A</v>
        <stp/>
        <stp>BDH|12669275466176985092</stp>
        <tr r="AC75" s="2"/>
      </tp>
      <tp t="s">
        <v>#N/A N/A</v>
        <stp/>
        <stp>BDH|11997170752422353784</stp>
        <tr r="T70" s="2"/>
      </tp>
      <tp t="s">
        <v>#N/A N/A</v>
        <stp/>
        <stp>BDH|17287579093039251236</stp>
        <tr r="N67" s="2"/>
      </tp>
      <tp t="s">
        <v>#N/A N/A</v>
        <stp/>
        <stp>BDH|12535015500982475079</stp>
        <tr r="T8" s="2"/>
      </tp>
      <tp t="s">
        <v>#N/A N/A</v>
        <stp/>
        <stp>BDH|10193233351494671329</stp>
        <tr r="AD19" s="2"/>
      </tp>
      <tp t="s">
        <v>#N/A N/A</v>
        <stp/>
        <stp>BDH|16433913712958213637</stp>
        <tr r="C20" s="2"/>
      </tp>
      <tp t="s">
        <v>#N/A N/A</v>
        <stp/>
        <stp>BDH|16050091559966738513</stp>
        <tr r="X71" s="2"/>
      </tp>
      <tp t="s">
        <v>#N/A N/A</v>
        <stp/>
        <stp>BDH|14965467922096251498</stp>
        <tr r="W9" s="2"/>
      </tp>
      <tp t="s">
        <v>#N/A N/A</v>
        <stp/>
        <stp>BDH|15408386300373994538</stp>
        <tr r="I57" s="2"/>
      </tp>
      <tp t="s">
        <v>#N/A N/A</v>
        <stp/>
        <stp>BDH|12847722096655336966</stp>
        <tr r="J12" s="2"/>
      </tp>
      <tp t="s">
        <v>#N/A N/A</v>
        <stp/>
        <stp>BDH|12396115746262431583</stp>
        <tr r="H7" s="2"/>
      </tp>
      <tp t="s">
        <v>#N/A N/A</v>
        <stp/>
        <stp>BDH|13501964781650391297</stp>
        <tr r="S52" s="2"/>
      </tp>
      <tp t="s">
        <v>#N/A N/A</v>
        <stp/>
        <stp>BDH|17869140914283363430</stp>
        <tr r="X29" s="2"/>
      </tp>
      <tp t="s">
        <v>#N/A N/A</v>
        <stp/>
        <stp>BDH|17224843773600772894</stp>
        <tr r="Z59" s="2"/>
      </tp>
      <tp t="s">
        <v>#N/A N/A</v>
        <stp/>
        <stp>BDH|17883470501107451405</stp>
        <tr r="C23" s="2"/>
      </tp>
      <tp t="s">
        <v>#N/A N/A</v>
        <stp/>
        <stp>BDH|18192766218718580603</stp>
        <tr r="I22" s="2"/>
      </tp>
      <tp t="s">
        <v>#N/A N/A</v>
        <stp/>
        <stp>BDH|11614740853156879530</stp>
        <tr r="E70" s="2"/>
      </tp>
      <tp t="s">
        <v>#N/A N/A</v>
        <stp/>
        <stp>BDH|14525467071794830307</stp>
        <tr r="Z54" s="2"/>
      </tp>
      <tp t="s">
        <v>#N/A N/A</v>
        <stp/>
        <stp>BDH|10352092656044397120</stp>
        <tr r="P69" s="2"/>
      </tp>
      <tp t="s">
        <v>#N/A N/A</v>
        <stp/>
        <stp>BDH|12004479271412303388</stp>
        <tr r="G53" s="2"/>
      </tp>
      <tp t="s">
        <v>#N/A N/A</v>
        <stp/>
        <stp>BDH|16700232424740823644</stp>
        <tr r="X31" s="2"/>
      </tp>
      <tp t="s">
        <v>#N/A N/A</v>
        <stp/>
        <stp>BDH|14113936985696321381</stp>
        <tr r="AA54" s="2"/>
      </tp>
      <tp t="s">
        <v>#N/A N/A</v>
        <stp/>
        <stp>BDH|12966542078402899218</stp>
        <tr r="N25" s="2"/>
      </tp>
      <tp t="s">
        <v>#N/A N/A</v>
        <stp/>
        <stp>BDH|10930402800530063469</stp>
        <tr r="K73" s="2"/>
      </tp>
      <tp t="s">
        <v>#N/A N/A</v>
        <stp/>
        <stp>BDH|12970179541526672165</stp>
        <tr r="Q29" s="2"/>
      </tp>
      <tp t="s">
        <v>#N/A N/A</v>
        <stp/>
        <stp>BDH|10658808599684351537</stp>
        <tr r="X66" s="2"/>
      </tp>
      <tp t="s">
        <v>#N/A N/A</v>
        <stp/>
        <stp>BDH|11567232770011869512</stp>
        <tr r="U19" s="2"/>
      </tp>
      <tp t="s">
        <v>#N/A N/A</v>
        <stp/>
        <stp>BDH|15897172440314201436</stp>
        <tr r="P70" s="2"/>
      </tp>
      <tp t="s">
        <v>#N/A N/A</v>
        <stp/>
        <stp>BDH|10919584223712191422</stp>
        <tr r="C6" s="2"/>
      </tp>
      <tp t="s">
        <v>#N/A N/A</v>
        <stp/>
        <stp>BDH|12258507044445050773</stp>
        <tr r="K72" s="2"/>
      </tp>
      <tp t="s">
        <v>#N/A N/A</v>
        <stp/>
        <stp>BDH|17515856300266547846</stp>
        <tr r="S10" s="2"/>
      </tp>
      <tp t="s">
        <v>#N/A N/A</v>
        <stp/>
        <stp>BDH|12970613307932768787</stp>
        <tr r="D17" s="2"/>
      </tp>
      <tp t="s">
        <v>#N/A N/A</v>
        <stp/>
        <stp>BDH|10333765054112404150</stp>
        <tr r="N35" s="2"/>
      </tp>
      <tp t="s">
        <v>#N/A N/A</v>
        <stp/>
        <stp>BDH|13289512799026849828</stp>
        <tr r="U6" s="2"/>
      </tp>
      <tp t="s">
        <v>#N/A N/A</v>
        <stp/>
        <stp>BDH|13641507053835627702</stp>
        <tr r="Y7" s="2"/>
      </tp>
      <tp t="s">
        <v>#N/A N/A</v>
        <stp/>
        <stp>BDH|13800860130710958948</stp>
        <tr r="V54" s="2"/>
      </tp>
      <tp t="s">
        <v>#N/A N/A</v>
        <stp/>
        <stp>BDH|10087847467967733877</stp>
        <tr r="U40" s="2"/>
      </tp>
      <tp t="s">
        <v>#N/A N/A</v>
        <stp/>
        <stp>BDH|16289417595999477316</stp>
        <tr r="S42" s="2"/>
      </tp>
      <tp t="s">
        <v>#N/A N/A</v>
        <stp/>
        <stp>BDH|11945748362057935659</stp>
        <tr r="Z49" s="2"/>
      </tp>
      <tp t="s">
        <v>#N/A N/A</v>
        <stp/>
        <stp>BDH|17681611871143498409</stp>
        <tr r="W37" s="2"/>
      </tp>
      <tp t="s">
        <v>#N/A N/A</v>
        <stp/>
        <stp>BDH|15691378235825036167</stp>
        <tr r="AC32" s="2"/>
      </tp>
      <tp t="s">
        <v>#N/A N/A</v>
        <stp/>
        <stp>BDH|17982295903944721065</stp>
        <tr r="L74" s="2"/>
      </tp>
      <tp t="s">
        <v>#N/A N/A</v>
        <stp/>
        <stp>BDH|13487816810503690810</stp>
        <tr r="AC53" s="2"/>
      </tp>
      <tp t="s">
        <v>#N/A N/A</v>
        <stp/>
        <stp>BDH|12054301851381360403</stp>
        <tr r="Q57" s="2"/>
      </tp>
      <tp t="s">
        <v>#N/A N/A</v>
        <stp/>
        <stp>BDH|17745820069211872964</stp>
        <tr r="Y67" s="2"/>
      </tp>
      <tp t="s">
        <v>#N/A N/A</v>
        <stp/>
        <stp>BDH|13392527264798934991</stp>
        <tr r="E37" s="2"/>
      </tp>
      <tp t="s">
        <v>#N/A N/A</v>
        <stp/>
        <stp>BDH|12505149496618405367</stp>
        <tr r="S59" s="2"/>
      </tp>
      <tp t="s">
        <v>#N/A N/A</v>
        <stp/>
        <stp>BDH|11931125339131681310</stp>
        <tr r="AA33" s="2"/>
      </tp>
      <tp t="s">
        <v>#N/A N/A</v>
        <stp/>
        <stp>BDH|10776265080148057341</stp>
        <tr r="H73" s="2"/>
      </tp>
      <tp t="s">
        <v>#N/A N/A</v>
        <stp/>
        <stp>BDH|12784614211965457167</stp>
        <tr r="X14" s="2"/>
      </tp>
      <tp t="s">
        <v>#N/A N/A</v>
        <stp/>
        <stp>BDH|12528546922481130575</stp>
        <tr r="C52" s="2"/>
      </tp>
      <tp t="s">
        <v>#N/A N/A</v>
        <stp/>
        <stp>BDH|10458618578059152983</stp>
        <tr r="T18" s="2"/>
      </tp>
      <tp t="s">
        <v>#N/A N/A</v>
        <stp/>
        <stp>BDH|10336888456239967500</stp>
        <tr r="P57" s="2"/>
      </tp>
      <tp t="s">
        <v>#N/A N/A</v>
        <stp/>
        <stp>BDH|15028734810975580726</stp>
        <tr r="P32" s="2"/>
      </tp>
      <tp t="s">
        <v>#N/A N/A</v>
        <stp/>
        <stp>BDH|17190031050650536305</stp>
        <tr r="H70" s="2"/>
      </tp>
      <tp t="s">
        <v>#N/A N/A</v>
        <stp/>
        <stp>BDH|11196609459130861375</stp>
        <tr r="T72" s="2"/>
      </tp>
      <tp t="s">
        <v>#N/A N/A</v>
        <stp/>
        <stp>BDH|17443611475044539327</stp>
        <tr r="AD55" s="2"/>
      </tp>
      <tp t="s">
        <v>#N/A N/A</v>
        <stp/>
        <stp>BDH|17135330340563429202</stp>
        <tr r="T45" s="2"/>
      </tp>
      <tp t="s">
        <v>#N/A N/A</v>
        <stp/>
        <stp>BDH|11852770772673093341</stp>
        <tr r="AA19" s="2"/>
      </tp>
      <tp t="s">
        <v>#N/A N/A</v>
        <stp/>
        <stp>BDH|12294882830519451171</stp>
        <tr r="C64" s="2"/>
      </tp>
      <tp t="s">
        <v>#N/A N/A</v>
        <stp/>
        <stp>BDH|10911231429692954337</stp>
        <tr r="X57" s="2"/>
      </tp>
      <tp t="s">
        <v>#N/A N/A</v>
        <stp/>
        <stp>BDH|14839227883809564649</stp>
        <tr r="W7" s="2"/>
      </tp>
      <tp t="s">
        <v>#N/A N/A</v>
        <stp/>
        <stp>BDH|10090487607330171569</stp>
        <tr r="G42" s="2"/>
      </tp>
      <tp t="s">
        <v>#N/A N/A</v>
        <stp/>
        <stp>BDH|11334383669307915232</stp>
        <tr r="R40" s="2"/>
      </tp>
      <tp t="s">
        <v>#N/A N/A</v>
        <stp/>
        <stp>BDH|17021382236003372550</stp>
        <tr r="N75" s="2"/>
      </tp>
      <tp t="s">
        <v>#N/A N/A</v>
        <stp/>
        <stp>BDH|16913122606574110240</stp>
        <tr r="Y9" s="2"/>
      </tp>
      <tp t="s">
        <v>#N/A N/A</v>
        <stp/>
        <stp>BDH|11994003372320961795</stp>
        <tr r="H75" s="2"/>
      </tp>
      <tp t="s">
        <v>#N/A N/A</v>
        <stp/>
        <stp>BDH|13452521121125519099</stp>
        <tr r="V23" s="2"/>
      </tp>
      <tp t="s">
        <v>#N/A N/A</v>
        <stp/>
        <stp>BDH|10902602642274468747</stp>
        <tr r="M6" s="2"/>
      </tp>
      <tp t="s">
        <v>#N/A N/A</v>
        <stp/>
        <stp>BDH|12046033051583038595</stp>
        <tr r="R66" s="2"/>
      </tp>
      <tp t="s">
        <v>#N/A N/A</v>
        <stp/>
        <stp>BDH|11231518615265468183</stp>
        <tr r="AB75" s="2"/>
      </tp>
      <tp t="s">
        <v>#N/A N/A</v>
        <stp/>
        <stp>BDH|11854013447122019640</stp>
        <tr r="H36" s="2"/>
      </tp>
      <tp t="s">
        <v>#N/A N/A</v>
        <stp/>
        <stp>BDH|10721770318543080456</stp>
        <tr r="R21" s="2"/>
      </tp>
      <tp t="s">
        <v>#N/A N/A</v>
        <stp/>
        <stp>BDH|14899964110044164924</stp>
        <tr r="R49" s="2"/>
      </tp>
      <tp t="s">
        <v>#N/A N/A</v>
        <stp/>
        <stp>BDH|13865615077613130029</stp>
        <tr r="P19" s="2"/>
      </tp>
      <tp t="s">
        <v>#N/A N/A</v>
        <stp/>
        <stp>BDH|10501826677439588787</stp>
        <tr r="T27" s="2"/>
      </tp>
      <tp t="s">
        <v>#N/A N/A</v>
        <stp/>
        <stp>BDH|14905962053309946089</stp>
        <tr r="M21" s="2"/>
      </tp>
      <tp t="s">
        <v>#N/A N/A</v>
        <stp/>
        <stp>BDH|10598294120517521648</stp>
        <tr r="R73" s="2"/>
      </tp>
      <tp t="s">
        <v>#N/A N/A</v>
        <stp/>
        <stp>BDH|15468122279685489768</stp>
        <tr r="L25" s="2"/>
      </tp>
      <tp t="s">
        <v>#N/A N/A</v>
        <stp/>
        <stp>BDH|11064552056244735493</stp>
        <tr r="V57" s="2"/>
      </tp>
      <tp t="s">
        <v>#N/A N/A</v>
        <stp/>
        <stp>BDH|13041005277801872435</stp>
        <tr r="R48" s="2"/>
      </tp>
      <tp t="s">
        <v>#N/A N/A</v>
        <stp/>
        <stp>BDH|13328337839990357267</stp>
        <tr r="Z65" s="2"/>
      </tp>
      <tp t="s">
        <v>#N/A N/A</v>
        <stp/>
        <stp>BDH|11185235271762812775</stp>
        <tr r="H20" s="2"/>
      </tp>
      <tp t="s">
        <v>#N/A N/A</v>
        <stp/>
        <stp>BDH|16382170931635174089</stp>
        <tr r="M48" s="2"/>
      </tp>
      <tp t="s">
        <v>#N/A N/A</v>
        <stp/>
        <stp>BDH|11825613735236944397</stp>
        <tr r="G73" s="2"/>
      </tp>
      <tp t="s">
        <v>#N/A N/A</v>
        <stp/>
        <stp>BDH|17587333408563091622</stp>
        <tr r="R70" s="2"/>
      </tp>
      <tp t="s">
        <v>#N/A N/A</v>
        <stp/>
        <stp>BDH|17124754242777013291</stp>
        <tr r="J20" s="2"/>
      </tp>
      <tp t="s">
        <v>#N/A N/A</v>
        <stp/>
        <stp>BDH|11367438692929466497</stp>
        <tr r="X68" s="2"/>
      </tp>
      <tp t="s">
        <v>#N/A N/A</v>
        <stp/>
        <stp>BDH|13515482032315024004</stp>
        <tr r="Z64" s="2"/>
      </tp>
      <tp t="s">
        <v>#N/A N/A</v>
        <stp/>
        <stp>BDH|14003037743785638489</stp>
        <tr r="E69" s="2"/>
      </tp>
      <tp t="s">
        <v>#N/A N/A</v>
        <stp/>
        <stp>BDH|14577613829045030435</stp>
        <tr r="S53" s="2"/>
      </tp>
      <tp t="s">
        <v>#N/A N/A</v>
        <stp/>
        <stp>BDH|15496645193829867250</stp>
        <tr r="K10" s="2"/>
      </tp>
      <tp t="s">
        <v>#N/A N/A</v>
        <stp/>
        <stp>BDH|15732850864944587929</stp>
        <tr r="G20" s="2"/>
      </tp>
      <tp t="s">
        <v>#N/A N/A</v>
        <stp/>
        <stp>BDH|10043409956297620012</stp>
        <tr r="P38" s="2"/>
        <tr r="P50" s="2"/>
      </tp>
      <tp t="s">
        <v>#N/A N/A</v>
        <stp/>
        <stp>BDH|12359401346850129453</stp>
        <tr r="I23" s="2"/>
      </tp>
      <tp t="s">
        <v>#N/A N/A</v>
        <stp/>
        <stp>BDH|15914284179624867218</stp>
        <tr r="AB39" s="2"/>
      </tp>
      <tp t="s">
        <v>#N/A N/A</v>
        <stp/>
        <stp>BDH|11930726468191401766</stp>
        <tr r="E16" s="2"/>
      </tp>
      <tp t="s">
        <v>#N/A N/A</v>
        <stp/>
        <stp>BDH|18047180078361213934</stp>
        <tr r="H22" s="2"/>
      </tp>
      <tp t="s">
        <v>#N/A N/A</v>
        <stp/>
        <stp>BDH|15453121487133564948</stp>
        <tr r="G19" s="2"/>
      </tp>
      <tp t="s">
        <v>#N/A N/A</v>
        <stp/>
        <stp>BDH|11140907592044796345</stp>
        <tr r="Q39" s="2"/>
      </tp>
      <tp t="s">
        <v>#N/A N/A</v>
        <stp/>
        <stp>BDH|11114462908284928761</stp>
        <tr r="X60" s="2"/>
      </tp>
      <tp t="s">
        <v>#N/A N/A</v>
        <stp/>
        <stp>BDH|11020652919605416587</stp>
        <tr r="T33" s="2"/>
      </tp>
      <tp t="s">
        <v>#N/A N/A</v>
        <stp/>
        <stp>BDH|10770500916523933185</stp>
        <tr r="AB20" s="2"/>
      </tp>
      <tp t="s">
        <v>#N/A N/A</v>
        <stp/>
        <stp>BDH|14347712193188490460</stp>
        <tr r="X37" s="2"/>
      </tp>
      <tp t="s">
        <v>#N/A N/A</v>
        <stp/>
        <stp>BDH|17050533955485796425</stp>
        <tr r="W59" s="2"/>
      </tp>
      <tp t="s">
        <v>#N/A N/A</v>
        <stp/>
        <stp>BDH|14910088249431872736</stp>
        <tr r="H52" s="2"/>
      </tp>
      <tp t="s">
        <v>#N/A N/A</v>
        <stp/>
        <stp>BDH|16334757819330956649</stp>
        <tr r="C57" s="2"/>
      </tp>
      <tp t="s">
        <v>#N/A N/A</v>
        <stp/>
        <stp>BDH|17477776317004167375</stp>
        <tr r="AB52" s="2"/>
      </tp>
      <tp t="s">
        <v>#N/A N/A</v>
        <stp/>
        <stp>BDH|12217383269258536945</stp>
        <tr r="D44" s="2"/>
      </tp>
      <tp t="s">
        <v>#N/A N/A</v>
        <stp/>
        <stp>BDH|11138260103671598442</stp>
        <tr r="M39" s="2"/>
      </tp>
      <tp t="s">
        <v>#N/A N/A</v>
        <stp/>
        <stp>BDH|17119219017864452668</stp>
        <tr r="C27" s="2"/>
      </tp>
      <tp t="s">
        <v>#N/A N/A</v>
        <stp/>
        <stp>BDH|15865893881126280570</stp>
        <tr r="L20" s="2"/>
      </tp>
      <tp t="s">
        <v>#N/A N/A</v>
        <stp/>
        <stp>BDH|14534637153998056909</stp>
        <tr r="M70" s="2"/>
      </tp>
      <tp t="s">
        <v>#N/A N/A</v>
        <stp/>
        <stp>BDH|13730313565120682008</stp>
        <tr r="E26" s="2"/>
      </tp>
      <tp t="s">
        <v>#N/A N/A</v>
        <stp/>
        <stp>BDH|14514385460237016087</stp>
        <tr r="K34" s="2"/>
      </tp>
      <tp t="s">
        <v>#N/A N/A</v>
        <stp/>
        <stp>BDH|17925599228167954151</stp>
        <tr r="X70" s="2"/>
      </tp>
      <tp t="s">
        <v>#N/A N/A</v>
        <stp/>
        <stp>BDH|11913297813725357148</stp>
        <tr r="AC44" s="2"/>
      </tp>
      <tp t="s">
        <v>#N/A N/A</v>
        <stp/>
        <stp>BDH|14205407927151544544</stp>
        <tr r="F54" s="2"/>
      </tp>
      <tp t="s">
        <v>#N/A N/A</v>
        <stp/>
        <stp>BDH|11566561255835731264</stp>
        <tr r="Q9" s="2"/>
      </tp>
      <tp t="s">
        <v>#N/A N/A</v>
        <stp/>
        <stp>BDH|17611969797273827280</stp>
        <tr r="K24" s="2"/>
      </tp>
      <tp t="s">
        <v>#N/A N/A</v>
        <stp/>
        <stp>BDH|14443873107412290817</stp>
        <tr r="U74" s="2"/>
      </tp>
      <tp t="s">
        <v>#N/A N/A</v>
        <stp/>
        <stp>BDH|14230665916955166048</stp>
        <tr r="T26" s="2"/>
      </tp>
      <tp t="s">
        <v>#N/A N/A</v>
        <stp/>
        <stp>BDH|16723967063306070954</stp>
        <tr r="C34" s="2"/>
      </tp>
      <tp t="s">
        <v>#N/A N/A</v>
        <stp/>
        <stp>BDH|17072415801677620205</stp>
        <tr r="P40" s="2"/>
      </tp>
      <tp t="s">
        <v>#N/A N/A</v>
        <stp/>
        <stp>BDH|10421036454684341765</stp>
        <tr r="F7" s="2"/>
      </tp>
      <tp t="s">
        <v>#N/A N/A</v>
        <stp/>
        <stp>BDH|13368756644757477101</stp>
        <tr r="W48" s="2"/>
      </tp>
      <tp t="s">
        <v>#N/A N/A</v>
        <stp/>
        <stp>BDH|14754916746628012765</stp>
        <tr r="I15" s="2"/>
      </tp>
      <tp t="s">
        <v>#N/A N/A</v>
        <stp/>
        <stp>BDH|14052437601200226664</stp>
        <tr r="V37" s="2"/>
      </tp>
      <tp t="s">
        <v>#N/A N/A</v>
        <stp/>
        <stp>BDH|14795469202002676433</stp>
        <tr r="Y19" s="2"/>
      </tp>
      <tp t="s">
        <v>#N/A N/A</v>
        <stp/>
        <stp>BDH|11886107378936067799</stp>
        <tr r="F41" s="2"/>
      </tp>
      <tp t="s">
        <v>#N/A N/A</v>
        <stp/>
        <stp>BDH|16181574977831923310</stp>
        <tr r="M37" s="2"/>
      </tp>
      <tp t="s">
        <v>#N/A N/A</v>
        <stp/>
        <stp>BDH|11056168679814599519</stp>
        <tr r="O6" s="2"/>
      </tp>
      <tp t="s">
        <v>#N/A N/A</v>
        <stp/>
        <stp>BDH|18076498935070574930</stp>
        <tr r="O66" s="2"/>
      </tp>
      <tp t="s">
        <v>#N/A N/A</v>
        <stp/>
        <stp>BDH|13997350069467972766</stp>
        <tr r="Z13" s="2"/>
      </tp>
      <tp t="s">
        <v>#N/A N/A</v>
        <stp/>
        <stp>BDH|13201015879735143715</stp>
        <tr r="S74" s="2"/>
      </tp>
      <tp t="s">
        <v>#N/A N/A</v>
        <stp/>
        <stp>BDH|12050415780269952124</stp>
        <tr r="Z21" s="2"/>
      </tp>
      <tp t="s">
        <v>#N/A N/A</v>
        <stp/>
        <stp>BDH|12649645678722696717</stp>
        <tr r="E10" s="2"/>
      </tp>
      <tp t="s">
        <v>#N/A N/A</v>
        <stp/>
        <stp>BDH|18437323588206471374</stp>
        <tr r="F22" s="2"/>
      </tp>
      <tp t="s">
        <v>#N/A N/A</v>
        <stp/>
        <stp>BDH|12018399973266440627</stp>
        <tr r="K52" s="2"/>
      </tp>
      <tp t="s">
        <v>#N/A N/A</v>
        <stp/>
        <stp>BDH|13162739070643817665</stp>
        <tr r="R28" s="2"/>
      </tp>
      <tp t="s">
        <v>#N/A N/A</v>
        <stp/>
        <stp>BDH|12293357076783893357</stp>
        <tr r="E66" s="2"/>
      </tp>
      <tp t="s">
        <v>#N/A N/A</v>
        <stp/>
        <stp>BDH|12878059878716219582</stp>
        <tr r="AD13" s="2"/>
      </tp>
      <tp t="s">
        <v>#N/A N/A</v>
        <stp/>
        <stp>BDH|15120566979514996588</stp>
        <tr r="Y39" s="2"/>
      </tp>
      <tp t="s">
        <v>#N/A N/A</v>
        <stp/>
        <stp>BDH|10837474360800289438</stp>
        <tr r="H49" s="2"/>
      </tp>
      <tp t="s">
        <v>#N/A N/A</v>
        <stp/>
        <stp>BDH|11518888907577663824</stp>
        <tr r="Q34" s="2"/>
      </tp>
      <tp t="s">
        <v>#N/A N/A</v>
        <stp/>
        <stp>BDH|15767536268754375410</stp>
        <tr r="I21" s="2"/>
      </tp>
      <tp t="s">
        <v>#N/A N/A</v>
        <stp/>
        <stp>BDH|16873125916286351615</stp>
        <tr r="K9" s="2"/>
      </tp>
      <tp t="s">
        <v>#N/A N/A</v>
        <stp/>
        <stp>BDH|16063632773096847699</stp>
        <tr r="P37" s="2"/>
      </tp>
      <tp t="s">
        <v>#N/A N/A</v>
        <stp/>
        <stp>BDH|10421118354456610567</stp>
        <tr r="K35" s="2"/>
      </tp>
      <tp t="s">
        <v>#N/A N/A</v>
        <stp/>
        <stp>BDH|13539454372843716441</stp>
        <tr r="AA11" s="2"/>
      </tp>
      <tp t="s">
        <v>#N/A N/A</v>
        <stp/>
        <stp>BDH|13809548958415439112</stp>
        <tr r="L39" s="2"/>
      </tp>
      <tp t="s">
        <v>#N/A N/A</v>
        <stp/>
        <stp>BDH|15327369272006332055</stp>
        <tr r="C35" s="2"/>
      </tp>
      <tp t="s">
        <v>#N/A N/A</v>
        <stp/>
        <stp>BDH|15034569741287587435</stp>
        <tr r="Q10" s="2"/>
      </tp>
      <tp t="s">
        <v>#N/A N/A</v>
        <stp/>
        <stp>BDH|16386198528012521067</stp>
        <tr r="S13" s="2"/>
      </tp>
      <tp t="s">
        <v>#N/A N/A</v>
        <stp/>
        <stp>BDH|17798754144692098176</stp>
        <tr r="AB31" s="2"/>
      </tp>
      <tp t="s">
        <v>#N/A N/A</v>
        <stp/>
        <stp>BDH|15710438344167919597</stp>
        <tr r="O15" s="2"/>
      </tp>
      <tp t="s">
        <v>#N/A N/A</v>
        <stp/>
        <stp>BDH|15469984867039818430</stp>
        <tr r="W44" s="2"/>
      </tp>
      <tp t="s">
        <v>#N/A N/A</v>
        <stp/>
        <stp>BDH|17015003929732106087</stp>
        <tr r="S48" s="2"/>
      </tp>
      <tp t="s">
        <v>#N/A N/A</v>
        <stp/>
        <stp>BDH|11778910034488190438</stp>
        <tr r="F55" s="2"/>
      </tp>
      <tp t="s">
        <v>#N/A N/A</v>
        <stp/>
        <stp>BDH|16770590441355852577</stp>
        <tr r="R26" s="2"/>
      </tp>
      <tp t="s">
        <v>#N/A N/A</v>
        <stp/>
        <stp>BDH|18062683623819067280</stp>
        <tr r="S66" s="2"/>
      </tp>
      <tp t="s">
        <v>#N/A N/A</v>
        <stp/>
        <stp>BDH|17050068570186018150</stp>
        <tr r="P9" s="2"/>
      </tp>
      <tp t="s">
        <v>#N/A N/A</v>
        <stp/>
        <stp>BDH|17416056372466998199</stp>
        <tr r="Z43" s="2"/>
      </tp>
      <tp t="s">
        <v>#N/A N/A</v>
        <stp/>
        <stp>BDH|12548265247605709607</stp>
        <tr r="AC20" s="2"/>
      </tp>
      <tp t="s">
        <v>#N/A N/A</v>
        <stp/>
        <stp>BDH|12132271938601961546</stp>
        <tr r="F64" s="2"/>
      </tp>
      <tp t="s">
        <v>#N/A N/A</v>
        <stp/>
        <stp>BDH|14508031827151611050</stp>
        <tr r="V39" s="2"/>
      </tp>
      <tp t="s">
        <v>#N/A N/A</v>
        <stp/>
        <stp>BDH|13298162326757614069</stp>
        <tr r="V73" s="2"/>
      </tp>
      <tp t="s">
        <v>#N/A N/A</v>
        <stp/>
        <stp>BDH|14740128070521318430</stp>
        <tr r="J10" s="2"/>
      </tp>
      <tp t="s">
        <v>#N/A N/A</v>
        <stp/>
        <stp>BDH|10191567856020593715</stp>
        <tr r="W42" s="2"/>
      </tp>
      <tp t="s">
        <v>#N/A N/A</v>
        <stp/>
        <stp>BDH|17942267767354984048</stp>
        <tr r="T34" s="2"/>
      </tp>
      <tp t="s">
        <v>#N/A N/A</v>
        <stp/>
        <stp>BDH|11411530368233308694</stp>
        <tr r="AA71" s="2"/>
      </tp>
      <tp t="s">
        <v>#N/A N/A</v>
        <stp/>
        <stp>BDH|12357336891478295772</stp>
        <tr r="R27" s="2"/>
      </tp>
      <tp t="s">
        <v>#N/A N/A</v>
        <stp/>
        <stp>BDH|12869929756871091889</stp>
        <tr r="L22" s="2"/>
      </tp>
      <tp t="s">
        <v>#N/A N/A</v>
        <stp/>
        <stp>BDH|13063877789150182486</stp>
        <tr r="K17" s="2"/>
      </tp>
      <tp t="s">
        <v>#N/A N/A</v>
        <stp/>
        <stp>BDH|17318760151313481176</stp>
        <tr r="X15" s="2"/>
      </tp>
      <tp t="s">
        <v>#N/A N/A</v>
        <stp/>
        <stp>BDH|16071733916053044421</stp>
        <tr r="I26" s="2"/>
      </tp>
      <tp t="s">
        <v>#N/A N/A</v>
        <stp/>
        <stp>BDH|13378741267256038371</stp>
        <tr r="H24" s="2"/>
      </tp>
      <tp t="s">
        <v>#N/A N/A</v>
        <stp/>
        <stp>BDH|13698393858717575547</stp>
        <tr r="C65" s="2"/>
      </tp>
      <tp t="s">
        <v>#N/A N/A</v>
        <stp/>
        <stp>BDH|15661009754224704330</stp>
        <tr r="E31" s="2"/>
      </tp>
      <tp t="s">
        <v>#N/A N/A</v>
        <stp/>
        <stp>BDH|17927746969788213901</stp>
        <tr r="J15" s="2"/>
      </tp>
      <tp t="s">
        <v>#N/A N/A</v>
        <stp/>
        <stp>BDH|10670449966606099322</stp>
        <tr r="J7" s="2"/>
      </tp>
      <tp t="s">
        <v>#N/A N/A</v>
        <stp/>
        <stp>BDH|11717556104422894170</stp>
        <tr r="Y55" s="2"/>
      </tp>
      <tp t="s">
        <v>#N/A N/A</v>
        <stp/>
        <stp>BDH|10786807119078477631</stp>
        <tr r="V16" s="2"/>
      </tp>
      <tp t="s">
        <v>#N/A N/A</v>
        <stp/>
        <stp>BDH|12117550354326846314</stp>
        <tr r="AC9" s="2"/>
      </tp>
      <tp t="s">
        <v>#N/A N/A</v>
        <stp/>
        <stp>BDH|15405087747174144232</stp>
        <tr r="N65" s="2"/>
      </tp>
      <tp t="s">
        <v>#N/A N/A</v>
        <stp/>
        <stp>BDH|16924764881249365759</stp>
        <tr r="E6" s="2"/>
      </tp>
      <tp t="s">
        <v>#N/A N/A</v>
        <stp/>
        <stp>BDH|11881120871146729640</stp>
        <tr r="AD7" s="2"/>
      </tp>
      <tp t="s">
        <v>#N/A N/A</v>
        <stp/>
        <stp>BDH|12992102470050542345</stp>
        <tr r="O31" s="2"/>
      </tp>
      <tp t="s">
        <v>#N/A N/A</v>
        <stp/>
        <stp>BDH|10958662674255024334</stp>
        <tr r="Y49" s="2"/>
      </tp>
      <tp t="s">
        <v>#N/A N/A</v>
        <stp/>
        <stp>BDH|10812477294688471277</stp>
        <tr r="J53" s="2"/>
      </tp>
      <tp t="s">
        <v>#N/A N/A</v>
        <stp/>
        <stp>BDH|12899554044676380218</stp>
        <tr r="E22" s="2"/>
      </tp>
      <tp t="s">
        <v>#N/A N/A</v>
        <stp/>
        <stp>BDH|16099022975064892243</stp>
        <tr r="AD74" s="2"/>
      </tp>
      <tp t="s">
        <v>#N/A N/A</v>
        <stp/>
        <stp>BDH|11710996181744155354</stp>
        <tr r="F12" s="2"/>
      </tp>
      <tp t="s">
        <v>#N/A N/A</v>
        <stp/>
        <stp>BDH|14538586525250325402</stp>
        <tr r="AD10" s="2"/>
      </tp>
      <tp t="s">
        <v>#N/A N/A</v>
        <stp/>
        <stp>BDH|16924647400947264051</stp>
        <tr r="K30" s="2"/>
      </tp>
      <tp t="s">
        <v>#N/A N/A</v>
        <stp/>
        <stp>BDH|12431545660315200388</stp>
        <tr r="AB67" s="2"/>
      </tp>
      <tp t="s">
        <v>#N/A N/A</v>
        <stp/>
        <stp>BDH|14889686575661669393</stp>
        <tr r="L30" s="2"/>
      </tp>
      <tp t="s">
        <v>#N/A N/A</v>
        <stp/>
        <stp>BDH|16359955334153127892</stp>
        <tr r="U44" s="2"/>
      </tp>
      <tp t="s">
        <v>#N/A N/A</v>
        <stp/>
        <stp>BDH|10257552310711456295</stp>
        <tr r="Y13" s="2"/>
      </tp>
      <tp t="s">
        <v>#N/A N/A</v>
        <stp/>
        <stp>BDH|14288082332841717129</stp>
        <tr r="F39" s="2"/>
      </tp>
      <tp t="s">
        <v>#N/A N/A</v>
        <stp/>
        <stp>BDH|12701779222277918763</stp>
        <tr r="AB13" s="2"/>
      </tp>
      <tp t="s">
        <v>#N/A N/A</v>
        <stp/>
        <stp>BDH|10728110894726980964</stp>
        <tr r="AB18" s="2"/>
      </tp>
      <tp t="s">
        <v>#N/A N/A</v>
        <stp/>
        <stp>BDH|14543364684558236089</stp>
        <tr r="N71" s="2"/>
      </tp>
      <tp t="s">
        <v>#N/A N/A</v>
        <stp/>
        <stp>BDH|14166989690652706135</stp>
        <tr r="AB72" s="2"/>
      </tp>
      <tp t="s">
        <v>#N/A N/A</v>
        <stp/>
        <stp>BDH|16982539878875988663</stp>
        <tr r="AD36" s="2"/>
      </tp>
      <tp t="s">
        <v>#N/A N/A</v>
        <stp/>
        <stp>BDH|10302331353426705794</stp>
        <tr r="Q28" s="2"/>
      </tp>
      <tp t="s">
        <v>#N/A N/A</v>
        <stp/>
        <stp>BDH|15501590791656695869</stp>
        <tr r="N21" s="2"/>
      </tp>
      <tp t="s">
        <v>#N/A N/A</v>
        <stp/>
        <stp>BDH|18079816671371477189</stp>
        <tr r="Z25" s="2"/>
      </tp>
      <tp t="s">
        <v>#N/A N/A</v>
        <stp/>
        <stp>BDH|10335067828033437651</stp>
        <tr r="F11" s="2"/>
      </tp>
      <tp t="s">
        <v>#N/A N/A</v>
        <stp/>
        <stp>BDH|12270203237793804717</stp>
        <tr r="AC31" s="2"/>
      </tp>
      <tp t="s">
        <v>#N/A N/A</v>
        <stp/>
        <stp>BDH|13481883617009171456</stp>
        <tr r="P66" s="2"/>
      </tp>
      <tp t="s">
        <v>#N/A N/A</v>
        <stp/>
        <stp>BDH|15314352064882531580</stp>
        <tr r="L38" s="2"/>
        <tr r="L50" s="2"/>
      </tp>
      <tp t="s">
        <v>#N/A N/A</v>
        <stp/>
        <stp>BDH|14340192806234642651</stp>
        <tr r="K54" s="2"/>
      </tp>
      <tp t="s">
        <v>#N/A N/A</v>
        <stp/>
        <stp>BDH|14061733221714477292</stp>
        <tr r="Y53" s="2"/>
      </tp>
      <tp t="s">
        <v>#N/A N/A</v>
        <stp/>
        <stp>BDH|15777372807523147291</stp>
        <tr r="G59" s="2"/>
      </tp>
      <tp t="s">
        <v>#N/A N/A</v>
        <stp/>
        <stp>BDH|17148098036791083216</stp>
        <tr r="D67" s="2"/>
      </tp>
      <tp t="s">
        <v>#N/A N/A</v>
        <stp/>
        <stp>BDH|11438508385489867275</stp>
        <tr r="E46" s="2"/>
      </tp>
      <tp t="s">
        <v>#N/A N/A</v>
        <stp/>
        <stp>BDH|16375020958056236254</stp>
        <tr r="L10" s="2"/>
      </tp>
      <tp t="s">
        <v>#N/A N/A</v>
        <stp/>
        <stp>BDH|13559280200274740246</stp>
        <tr r="AD37" s="2"/>
      </tp>
      <tp t="s">
        <v>#N/A N/A</v>
        <stp/>
        <stp>BDH|10583754082573164824</stp>
        <tr r="I14" s="2"/>
      </tp>
      <tp t="s">
        <v>#N/A N/A</v>
        <stp/>
        <stp>BDH|16149337502255738461</stp>
        <tr r="T44" s="2"/>
      </tp>
      <tp t="s">
        <v>#N/A N/A</v>
        <stp/>
        <stp>BDH|15986769859794211755</stp>
        <tr r="R45" s="2"/>
      </tp>
      <tp t="s">
        <v>#N/A N/A</v>
        <stp/>
        <stp>BDH|17035636525175612215</stp>
        <tr r="T6" s="2"/>
      </tp>
      <tp t="s">
        <v>#N/A N/A</v>
        <stp/>
        <stp>BDH|10187573674723360515</stp>
        <tr r="Q70" s="2"/>
      </tp>
      <tp t="s">
        <v>#N/A N/A</v>
        <stp/>
        <stp>BDH|10273060000637169356</stp>
        <tr r="AB10" s="2"/>
      </tp>
      <tp t="s">
        <v>#N/A N/A</v>
        <stp/>
        <stp>BDH|15248620477377451737</stp>
        <tr r="G54" s="2"/>
      </tp>
      <tp t="s">
        <v>#N/A N/A</v>
        <stp/>
        <stp>BDH|10066489635773850062</stp>
        <tr r="C67" s="2"/>
      </tp>
      <tp t="s">
        <v>#N/A N/A</v>
        <stp/>
        <stp>BDH|14545551410181411576</stp>
        <tr r="Z39" s="2"/>
      </tp>
      <tp t="s">
        <v>#N/A N/A</v>
        <stp/>
        <stp>BDH|12446242777410368373</stp>
        <tr r="V58" s="2"/>
      </tp>
      <tp t="s">
        <v>#N/A N/A</v>
        <stp/>
        <stp>BDH|10800947089101480435</stp>
        <tr r="AB19" s="2"/>
      </tp>
      <tp t="s">
        <v>#N/A N/A</v>
        <stp/>
        <stp>BDH|15846559172252843151</stp>
        <tr r="V7" s="2"/>
      </tp>
      <tp t="s">
        <v>#N/A N/A</v>
        <stp/>
        <stp>BDH|17047257626917587441</stp>
        <tr r="AA9" s="2"/>
      </tp>
      <tp t="s">
        <v>#N/A N/A</v>
        <stp/>
        <stp>BDH|17176761641742039243</stp>
        <tr r="T14" s="2"/>
      </tp>
      <tp t="s">
        <v>#N/A N/A</v>
        <stp/>
        <stp>BDH|11546605883283111852</stp>
        <tr r="AB35" s="2"/>
      </tp>
      <tp t="s">
        <v>#N/A N/A</v>
        <stp/>
        <stp>BDH|11674447730422765074</stp>
        <tr r="E43" s="2"/>
      </tp>
      <tp t="s">
        <v>#N/A N/A</v>
        <stp/>
        <stp>BDH|15883784565007451741</stp>
        <tr r="C70" s="2"/>
      </tp>
      <tp t="s">
        <v>#N/A N/A</v>
        <stp/>
        <stp>BDH|12821967202948893717</stp>
        <tr r="X74" s="2"/>
      </tp>
      <tp t="s">
        <v>#N/A N/A</v>
        <stp/>
        <stp>BDH|16270455543796959481</stp>
        <tr r="M49" s="2"/>
      </tp>
      <tp t="s">
        <v>#N/A N/A</v>
        <stp/>
        <stp>BDH|13085659321383814095</stp>
        <tr r="T20" s="2"/>
      </tp>
      <tp t="s">
        <v>#N/A N/A</v>
        <stp/>
        <stp>BDH|11134551940536817293</stp>
        <tr r="V64" s="2"/>
      </tp>
      <tp t="s">
        <v>#N/A N/A</v>
        <stp/>
        <stp>BDH|15774855189137943673</stp>
        <tr r="I59" s="2"/>
      </tp>
      <tp t="s">
        <v>#N/A N/A</v>
        <stp/>
        <stp>BDH|10232361082759324610</stp>
        <tr r="I46" s="2"/>
      </tp>
      <tp t="s">
        <v>#N/A N/A</v>
        <stp/>
        <stp>BDH|17994572779495452445</stp>
        <tr r="F68" s="2"/>
      </tp>
      <tp t="s">
        <v>#N/A N/A</v>
        <stp/>
        <stp>BDH|12565881369980765845</stp>
        <tr r="Q42" s="2"/>
      </tp>
      <tp t="s">
        <v>#N/A N/A</v>
        <stp/>
        <stp>BDH|14285719951984032657</stp>
        <tr r="R54" s="2"/>
      </tp>
      <tp t="s">
        <v>#N/A N/A</v>
        <stp/>
        <stp>BDH|17128643113074121000</stp>
        <tr r="Y60" s="2"/>
      </tp>
      <tp t="s">
        <v>#N/A N/A</v>
        <stp/>
        <stp>BDH|13582771306267004739</stp>
        <tr r="E73" s="2"/>
      </tp>
      <tp t="s">
        <v>#N/A N/A</v>
        <stp/>
        <stp>BDH|14442743731724110070</stp>
        <tr r="T42" s="2"/>
      </tp>
      <tp t="s">
        <v>#N/A N/A</v>
        <stp/>
        <stp>BDH|10928532258394214072</stp>
        <tr r="H15" s="2"/>
      </tp>
      <tp t="s">
        <v>#N/A N/A</v>
        <stp/>
        <stp>BDH|16659264236253144000</stp>
        <tr r="E15" s="2"/>
      </tp>
      <tp t="s">
        <v>#N/A N/A</v>
        <stp/>
        <stp>BDH|16515114356202003450</stp>
        <tr r="AC37" s="2"/>
      </tp>
      <tp t="s">
        <v>#N/A N/A</v>
        <stp/>
        <stp>BDH|16769617470172764163</stp>
        <tr r="U30" s="2"/>
      </tp>
      <tp t="s">
        <v>#N/A N/A</v>
        <stp/>
        <stp>BDH|12892887990166162177</stp>
        <tr r="F70" s="2"/>
      </tp>
      <tp t="s">
        <v>#N/A N/A</v>
        <stp/>
        <stp>BDH|12630052146522387000</stp>
        <tr r="I41" s="2"/>
      </tp>
      <tp t="s">
        <v>#N/A N/A</v>
        <stp/>
        <stp>BDH|13148575524560198051</stp>
        <tr r="J36" s="2"/>
      </tp>
      <tp t="s">
        <v>#N/A N/A</v>
        <stp/>
        <stp>BDH|10596012706513498704</stp>
        <tr r="D71" s="2"/>
      </tp>
      <tp t="s">
        <v>#N/A N/A</v>
        <stp/>
        <stp>BDH|15654999271186045989</stp>
        <tr r="J57" s="2"/>
      </tp>
      <tp t="s">
        <v>#N/A N/A</v>
        <stp/>
        <stp>BDH|10738364840813688013</stp>
        <tr r="I25" s="2"/>
      </tp>
      <tp t="s">
        <v>#N/A N/A</v>
        <stp/>
        <stp>BDH|11071108249198203826</stp>
        <tr r="Z46" s="2"/>
      </tp>
      <tp t="s">
        <v>#N/A N/A</v>
        <stp/>
        <stp>BDH|14998653013923228447</stp>
        <tr r="AC6" s="2"/>
      </tp>
      <tp t="s">
        <v>#N/A N/A</v>
        <stp/>
        <stp>BDH|12165761048795021079</stp>
        <tr r="F53" s="2"/>
      </tp>
      <tp t="s">
        <v>#N/A N/A</v>
        <stp/>
        <stp>BDH|11433289890618160653</stp>
        <tr r="O54" s="2"/>
      </tp>
      <tp t="s">
        <v>#N/A N/A</v>
        <stp/>
        <stp>BDH|14548121260334807377</stp>
        <tr r="AC21" s="2"/>
      </tp>
      <tp t="s">
        <v>#N/A N/A</v>
        <stp/>
        <stp>BDH|10515115075125102784</stp>
        <tr r="D46" s="2"/>
      </tp>
      <tp t="s">
        <v>#N/A N/A</v>
        <stp/>
        <stp>BDH|17870951972148385571</stp>
        <tr r="AD15" s="2"/>
      </tp>
      <tp t="s">
        <v>#N/A N/A</v>
        <stp/>
        <stp>BDH|10483755201851912228</stp>
        <tr r="O33" s="2"/>
      </tp>
      <tp t="s">
        <v>#N/A N/A</v>
        <stp/>
        <stp>BDH|13051392217600296579</stp>
        <tr r="G22" s="2"/>
      </tp>
      <tp t="s">
        <v>#N/A N/A</v>
        <stp/>
        <stp>BDH|17919194764861922568</stp>
        <tr r="G16" s="2"/>
      </tp>
      <tp t="s">
        <v>#N/A N/A</v>
        <stp/>
        <stp>BDH|12608666175332852566</stp>
        <tr r="O22" s="2"/>
      </tp>
      <tp t="s">
        <v>#N/A N/A</v>
        <stp/>
        <stp>BDH|14118783221033667650</stp>
        <tr r="Z17" s="2"/>
      </tp>
      <tp t="s">
        <v>#N/A N/A</v>
        <stp/>
        <stp>BDH|17492410733373515794</stp>
        <tr r="Q58" s="2"/>
      </tp>
      <tp t="s">
        <v>#N/A N/A</v>
        <stp/>
        <stp>BDH|11611434214359235991</stp>
        <tr r="S35" s="2"/>
      </tp>
      <tp t="s">
        <v>#N/A N/A</v>
        <stp/>
        <stp>BDH|14218384464234797146</stp>
        <tr r="S29" s="2"/>
      </tp>
      <tp t="s">
        <v>#N/A N/A</v>
        <stp/>
        <stp>BDH|11959589681338950052</stp>
        <tr r="Y8" s="2"/>
      </tp>
      <tp t="s">
        <v>#N/A N/A</v>
        <stp/>
        <stp>BDH|10491116539182549458</stp>
        <tr r="W73" s="2"/>
      </tp>
      <tp t="s">
        <v>#N/A N/A</v>
        <stp/>
        <stp>BDH|16519606169101255318</stp>
        <tr r="T23" s="2"/>
      </tp>
      <tp t="s">
        <v>#N/A N/A</v>
        <stp/>
        <stp>BDH|11713428722310125393</stp>
        <tr r="AB34" s="2"/>
      </tp>
      <tp t="s">
        <v>#N/A N/A</v>
        <stp/>
        <stp>BDH|12407079995937053895</stp>
        <tr r="J34" s="2"/>
      </tp>
      <tp t="s">
        <v>#N/A N/A</v>
        <stp/>
        <stp>BDH|15843297898689589325</stp>
        <tr r="M67" s="2"/>
      </tp>
      <tp t="s">
        <v>#N/A N/A</v>
        <stp/>
        <stp>BDH|16419375043260661478</stp>
        <tr r="T55" s="2"/>
      </tp>
      <tp t="s">
        <v>#N/A N/A</v>
        <stp/>
        <stp>BDH|17315991591037360592</stp>
        <tr r="AB27" s="2"/>
      </tp>
      <tp t="s">
        <v>#N/A N/A</v>
        <stp/>
        <stp>BDH|11770142053566265628</stp>
        <tr r="K66" s="2"/>
      </tp>
      <tp t="s">
        <v>#N/A N/A</v>
        <stp/>
        <stp>BDH|13056365672132303041</stp>
        <tr r="N39" s="2"/>
      </tp>
      <tp t="s">
        <v>#N/A N/A</v>
        <stp/>
        <stp>BDH|16990687122655305220</stp>
        <tr r="C66" s="2"/>
      </tp>
      <tp t="s">
        <v>#N/A N/A</v>
        <stp/>
        <stp>BDH|14319048283089223045</stp>
        <tr r="Z31" s="2"/>
      </tp>
      <tp t="s">
        <v>#N/A N/A</v>
        <stp/>
        <stp>BDH|18189440650805447935</stp>
        <tr r="H23" s="2"/>
      </tp>
      <tp t="s">
        <v>#N/A N/A</v>
        <stp/>
        <stp>BDH|15186730107693699410</stp>
        <tr r="R34" s="2"/>
      </tp>
      <tp t="s">
        <v>#N/A N/A</v>
        <stp/>
        <stp>BDH|17312495428291203520</stp>
        <tr r="F28" s="2"/>
      </tp>
      <tp t="s">
        <v>#N/A N/A</v>
        <stp/>
        <stp>BDH|11710435067994700216</stp>
        <tr r="AC39" s="2"/>
      </tp>
      <tp t="s">
        <v>#N/A N/A</v>
        <stp/>
        <stp>BDH|17697456284428704656</stp>
        <tr r="L36" s="2"/>
      </tp>
      <tp t="s">
        <v>#N/A N/A</v>
        <stp/>
        <stp>BDH|16209094728588554939</stp>
        <tr r="K43" s="2"/>
      </tp>
      <tp t="s">
        <v>#N/A N/A</v>
        <stp/>
        <stp>BDH|11535364676449055907</stp>
        <tr r="R30" s="2"/>
      </tp>
      <tp t="s">
        <v>#N/A N/A</v>
        <stp/>
        <stp>BDH|15321047826793046141</stp>
        <tr r="AD70" s="2"/>
      </tp>
      <tp t="s">
        <v>#N/A N/A</v>
        <stp/>
        <stp>BDH|15870629262378433899</stp>
        <tr r="Z12" s="2"/>
      </tp>
      <tp t="s">
        <v>#N/A N/A</v>
        <stp/>
        <stp>BDH|16923706578021011252</stp>
        <tr r="D18" s="2"/>
      </tp>
      <tp t="s">
        <v>#N/A N/A</v>
        <stp/>
        <stp>BDH|14249619973289440938</stp>
        <tr r="M73" s="2"/>
      </tp>
      <tp t="s">
        <v>#N/A N/A</v>
        <stp/>
        <stp>BDH|10602927272253637877</stp>
        <tr r="D31" s="2"/>
      </tp>
      <tp t="s">
        <v>#N/A N/A</v>
        <stp/>
        <stp>BDH|12636540136457657655</stp>
        <tr r="X58" s="2"/>
      </tp>
      <tp t="s">
        <v>#N/A N/A</v>
        <stp/>
        <stp>BDH|12172089779129567932</stp>
        <tr r="C41" s="2"/>
      </tp>
      <tp t="s">
        <v>#N/A N/A</v>
        <stp/>
        <stp>BDH|15275614257301381210</stp>
        <tr r="M26" s="2"/>
      </tp>
      <tp t="s">
        <v>#N/A N/A</v>
        <stp/>
        <stp>BDH|17961552805022803572</stp>
        <tr r="H45" s="2"/>
      </tp>
      <tp t="s">
        <v>#N/A N/A</v>
        <stp/>
        <stp>BDH|10182282941607761469</stp>
        <tr r="D26" s="2"/>
      </tp>
      <tp t="s">
        <v>#N/A N/A</v>
        <stp/>
        <stp>BDH|16542029925260363197</stp>
        <tr r="I65" s="2"/>
      </tp>
      <tp t="s">
        <v>#N/A N/A</v>
        <stp/>
        <stp>BDH|12513891773789021149</stp>
        <tr r="W16" s="2"/>
      </tp>
      <tp t="s">
        <v>#N/A N/A</v>
        <stp/>
        <stp>BDH|13656556924718896956</stp>
        <tr r="X11" s="2"/>
      </tp>
      <tp t="s">
        <v>#N/A N/A</v>
        <stp/>
        <stp>BDH|10394523245855994171</stp>
        <tr r="AD17" s="2"/>
      </tp>
      <tp t="s">
        <v>#N/A N/A</v>
        <stp/>
        <stp>BDH|17845269653022988799</stp>
        <tr r="I39" s="2"/>
      </tp>
      <tp t="s">
        <v>#N/A N/A</v>
        <stp/>
        <stp>BDH|17240575415640531686</stp>
        <tr r="I7" s="2"/>
      </tp>
      <tp t="s">
        <v>#N/A N/A</v>
        <stp/>
        <stp>BDH|10881747224972408211</stp>
        <tr r="W22" s="2"/>
      </tp>
      <tp t="s">
        <v>#N/A N/A</v>
        <stp/>
        <stp>BDH|14675304846312483485</stp>
        <tr r="M25" s="2"/>
      </tp>
      <tp t="s">
        <v>#N/A N/A</v>
        <stp/>
        <stp>BDH|11460757671161528591</stp>
        <tr r="L42" s="2"/>
      </tp>
      <tp t="s">
        <v>#N/A N/A</v>
        <stp/>
        <stp>BDH|15443331437957998754</stp>
        <tr r="AC7" s="2"/>
      </tp>
      <tp t="s">
        <v>#N/A N/A</v>
        <stp/>
        <stp>BDH|12241428269495268079</stp>
        <tr r="X18" s="2"/>
      </tp>
      <tp t="s">
        <v>#N/A N/A</v>
        <stp/>
        <stp>BDH|11875518273624008257</stp>
        <tr r="L54" s="2"/>
      </tp>
      <tp t="s">
        <v>#N/A N/A</v>
        <stp/>
        <stp>BDH|17060527678571328165</stp>
        <tr r="V33" s="2"/>
      </tp>
      <tp t="s">
        <v>#N/A N/A</v>
        <stp/>
        <stp>BDH|13907656175050663713</stp>
        <tr r="AA65" s="2"/>
      </tp>
      <tp t="s">
        <v>#N/A N/A</v>
        <stp/>
        <stp>BDH|15600790047010115371</stp>
        <tr r="I18" s="2"/>
      </tp>
      <tp t="s">
        <v>#N/A N/A</v>
        <stp/>
        <stp>BDH|15392148419243432345</stp>
        <tr r="U26" s="2"/>
      </tp>
    </main>
    <main first="bofaddin.rtdserver">
      <tp t="s">
        <v>#N/A N/A</v>
        <stp/>
        <stp>BDH|9048677345920121</stp>
        <tr r="E7" s="2"/>
      </tp>
      <tp t="s">
        <v>#N/A N/A</v>
        <stp/>
        <stp>BDH|9554294473915078554</stp>
        <tr r="Z42" s="2"/>
      </tp>
      <tp t="s">
        <v>#N/A N/A</v>
        <stp/>
        <stp>BDH|4984090521539960325</stp>
        <tr r="V48" s="2"/>
      </tp>
      <tp t="s">
        <v>#N/A N/A</v>
        <stp/>
        <stp>BDH|9536044651940888036</stp>
        <tr r="C30" s="2"/>
      </tp>
      <tp t="s">
        <v>#N/A N/A</v>
        <stp/>
        <stp>BDH|5101910946413946747</stp>
        <tr r="AD48" s="2"/>
      </tp>
      <tp t="s">
        <v>#N/A N/A</v>
        <stp/>
        <stp>BDH|7103728838589585663</stp>
        <tr r="K31" s="2"/>
      </tp>
      <tp t="s">
        <v>#N/A N/A</v>
        <stp/>
        <stp>BDH|8224498736074118753</stp>
        <tr r="L48" s="2"/>
      </tp>
      <tp t="s">
        <v>#N/A N/A</v>
        <stp/>
        <stp>BDH|5616662299933021502</stp>
        <tr r="H38" s="2"/>
        <tr r="H50" s="2"/>
      </tp>
      <tp t="s">
        <v>#N/A N/A</v>
        <stp/>
        <stp>BDH|6132516192846814033</stp>
        <tr r="AA16" s="2"/>
      </tp>
      <tp t="s">
        <v>#N/A N/A</v>
        <stp/>
        <stp>BDH|4956932072673777513</stp>
        <tr r="R11" s="2"/>
      </tp>
      <tp t="s">
        <v>#N/A N/A</v>
        <stp/>
        <stp>BDH|6891749090184607049</stp>
        <tr r="M71" s="2"/>
      </tp>
      <tp t="s">
        <v>#N/A N/A</v>
        <stp/>
        <stp>BDH|1673769404959273395</stp>
        <tr r="I27" s="2"/>
      </tp>
      <tp t="s">
        <v>#N/A N/A</v>
        <stp/>
        <stp>BDH|5026159699183118223</stp>
        <tr r="C9" s="2"/>
      </tp>
      <tp t="s">
        <v>#N/A N/A</v>
        <stp/>
        <stp>BDH|1008765868239605578</stp>
        <tr r="D41" s="2"/>
      </tp>
      <tp t="s">
        <v>#N/A N/A</v>
        <stp/>
        <stp>BDH|6005797794444117003</stp>
        <tr r="U8" s="2"/>
      </tp>
      <tp t="s">
        <v>#N/A N/A</v>
        <stp/>
        <stp>BDH|9512426852665156186</stp>
        <tr r="AC15" s="2"/>
      </tp>
      <tp t="s">
        <v>#N/A N/A</v>
        <stp/>
        <stp>BDH|1720774393254637790</stp>
        <tr r="AA45" s="2"/>
      </tp>
      <tp t="s">
        <v>#N/A N/A</v>
        <stp/>
        <stp>BDH|5243985816775986490</stp>
        <tr r="V14" s="2"/>
      </tp>
      <tp t="s">
        <v>#N/A N/A</v>
        <stp/>
        <stp>BDH|7379642997380420499</stp>
        <tr r="S15" s="2"/>
      </tp>
      <tp t="s">
        <v>#N/A N/A</v>
        <stp/>
        <stp>BDH|3493756998602256363</stp>
        <tr r="X45" s="2"/>
      </tp>
      <tp t="s">
        <v>#N/A N/A</v>
        <stp/>
        <stp>BDH|4080284496353525095</stp>
        <tr r="N72" s="2"/>
      </tp>
      <tp t="s">
        <v>#N/A N/A</v>
        <stp/>
        <stp>BDH|2493714981425444421</stp>
        <tr r="Y43" s="2"/>
      </tp>
      <tp t="s">
        <v>#N/A N/A</v>
        <stp/>
        <stp>BDH|2784378707988532504</stp>
        <tr r="Y41" s="2"/>
      </tp>
      <tp t="s">
        <v>#N/A N/A</v>
        <stp/>
        <stp>BDH|5400037989553896258</stp>
        <tr r="C22" s="2"/>
      </tp>
      <tp t="s">
        <v>#N/A N/A</v>
        <stp/>
        <stp>BDH|9184900031267688856</stp>
        <tr r="J24" s="2"/>
      </tp>
      <tp t="s">
        <v>#N/A N/A</v>
        <stp/>
        <stp>BDH|7739669862213144816</stp>
        <tr r="AB11" s="2"/>
      </tp>
      <tp t="s">
        <v>#N/A N/A</v>
        <stp/>
        <stp>BDH|9270827274672540828</stp>
        <tr r="O46" s="2"/>
      </tp>
      <tp t="s">
        <v>#N/A N/A</v>
        <stp/>
        <stp>BDH|1949720244879940754</stp>
        <tr r="P33" s="2"/>
      </tp>
      <tp t="s">
        <v>#N/A N/A</v>
        <stp/>
        <stp>BDH|7190400171940580859</stp>
        <tr r="M52" s="2"/>
      </tp>
      <tp t="s">
        <v>#N/A N/A</v>
        <stp/>
        <stp>BDH|7136622700068502564</stp>
        <tr r="M31" s="2"/>
      </tp>
      <tp t="s">
        <v>#N/A N/A</v>
        <stp/>
        <stp>BDH|1112574306189518152</stp>
        <tr r="M10" s="2"/>
      </tp>
      <tp t="s">
        <v>#N/A N/A</v>
        <stp/>
        <stp>BDH|8259249920274114070</stp>
        <tr r="S44" s="2"/>
      </tp>
      <tp t="s">
        <v>#N/A N/A</v>
        <stp/>
        <stp>BDH|6471890758751269664</stp>
        <tr r="R6" s="2"/>
      </tp>
      <tp t="s">
        <v>#N/A N/A</v>
        <stp/>
        <stp>BDH|5883294981092312128</stp>
        <tr r="AC42" s="2"/>
      </tp>
      <tp t="s">
        <v>#N/A N/A</v>
        <stp/>
        <stp>BDH|9564822793827666330</stp>
        <tr r="J43" s="2"/>
      </tp>
      <tp t="s">
        <v>#N/A N/A</v>
        <stp/>
        <stp>BDH|3878975716957008085</stp>
        <tr r="Q19" s="2"/>
      </tp>
      <tp t="s">
        <v>#N/A N/A</v>
        <stp/>
        <stp>BDH|6768512308059153697</stp>
        <tr r="D39" s="2"/>
      </tp>
      <tp t="s">
        <v>#N/A N/A</v>
        <stp/>
        <stp>BDH|1288965913410357539</stp>
        <tr r="O72" s="2"/>
      </tp>
      <tp t="s">
        <v>#N/A N/A</v>
        <stp/>
        <stp>BDH|5456912064836221049</stp>
        <tr r="S9" s="2"/>
      </tp>
      <tp t="s">
        <v>#N/A N/A</v>
        <stp/>
        <stp>BDH|4401173587010353102</stp>
        <tr r="O53" s="2"/>
      </tp>
      <tp t="s">
        <v>#N/A N/A</v>
        <stp/>
        <stp>BDH|9522037776417453530</stp>
        <tr r="X53" s="2"/>
      </tp>
      <tp t="s">
        <v>#N/A N/A</v>
        <stp/>
        <stp>BDH|7885307125148871220</stp>
        <tr r="H29" s="2"/>
      </tp>
      <tp t="s">
        <v>#N/A N/A</v>
        <stp/>
        <stp>BDH|5730090361439206697</stp>
        <tr r="T22" s="2"/>
      </tp>
      <tp t="s">
        <v>#N/A N/A</v>
        <stp/>
        <stp>BDH|5450707882801287700</stp>
        <tr r="O9" s="2"/>
      </tp>
      <tp t="s">
        <v>#N/A N/A</v>
        <stp/>
        <stp>BDH|7870317566649840737</stp>
        <tr r="Y27" s="2"/>
      </tp>
      <tp t="s">
        <v>#N/A N/A</v>
        <stp/>
        <stp>BDH|3921847673512338294</stp>
        <tr r="Z24" s="2"/>
      </tp>
      <tp t="s">
        <v>#N/A N/A</v>
        <stp/>
        <stp>BDH|5322809713872397271</stp>
        <tr r="T39" s="2"/>
      </tp>
      <tp t="s">
        <v>#N/A N/A</v>
        <stp/>
        <stp>BDH|2798813253031618274</stp>
        <tr r="M60" s="2"/>
      </tp>
      <tp t="s">
        <v>#N/A N/A</v>
        <stp/>
        <stp>BDH|9498571773335735237</stp>
        <tr r="U46" s="2"/>
      </tp>
      <tp t="s">
        <v>#N/A N/A</v>
        <stp/>
        <stp>BDH|1062036881204741107</stp>
        <tr r="W8" s="2"/>
      </tp>
      <tp t="s">
        <v>#N/A N/A</v>
        <stp/>
        <stp>BDH|9276395548653717115</stp>
        <tr r="K57" s="2"/>
      </tp>
      <tp t="s">
        <v>#N/A N/A</v>
        <stp/>
        <stp>BDH|3177341192610506572</stp>
        <tr r="Y33" s="2"/>
      </tp>
      <tp t="s">
        <v>#N/A N/A</v>
        <stp/>
        <stp>BDH|3553963512822788534</stp>
        <tr r="K44" s="2"/>
      </tp>
      <tp t="s">
        <v>#N/A N/A</v>
        <stp/>
        <stp>BDH|8485469241681080491</stp>
        <tr r="Q67" s="2"/>
      </tp>
      <tp t="s">
        <v>#N/A N/A</v>
        <stp/>
        <stp>BDH|6865831033723303303</stp>
        <tr r="Z35" s="2"/>
      </tp>
      <tp t="s">
        <v>#N/A N/A</v>
        <stp/>
        <stp>BDH|3703709840354962950</stp>
        <tr r="P28" s="2"/>
      </tp>
      <tp t="s">
        <v>#N/A N/A</v>
        <stp/>
        <stp>BDH|7472956070453225788</stp>
        <tr r="M32" s="2"/>
      </tp>
      <tp t="s">
        <v>#N/A N/A</v>
        <stp/>
        <stp>BDH|3126283044349146146</stp>
        <tr r="W34" s="2"/>
      </tp>
      <tp t="s">
        <v>#N/A N/A</v>
        <stp/>
        <stp>BDH|6860770948900954865</stp>
        <tr r="Y58" s="2"/>
      </tp>
      <tp t="s">
        <v>#N/A N/A</v>
        <stp/>
        <stp>BDH|1178371399573779517</stp>
        <tr r="H37" s="2"/>
      </tp>
      <tp t="s">
        <v>#N/A N/A</v>
        <stp/>
        <stp>BDH|5700986694340529872</stp>
        <tr r="H9" s="2"/>
      </tp>
      <tp t="s">
        <v>#N/A N/A</v>
        <stp/>
        <stp>BDH|3413678834919939275</stp>
        <tr r="AB8" s="2"/>
      </tp>
      <tp t="s">
        <v>#N/A N/A</v>
        <stp/>
        <stp>BDH|4177319780950880215</stp>
        <tr r="J69" s="2"/>
      </tp>
      <tp t="s">
        <v>#N/A N/A</v>
        <stp/>
        <stp>BDH|8640150080869558584</stp>
        <tr r="Z60" s="2"/>
      </tp>
      <tp t="s">
        <v>#N/A N/A</v>
        <stp/>
        <stp>BDH|3041989141860197360</stp>
        <tr r="AA48" s="2"/>
      </tp>
      <tp t="s">
        <v>#N/A N/A</v>
        <stp/>
        <stp>BDH|6704627639718241608</stp>
        <tr r="W70" s="2"/>
      </tp>
      <tp t="s">
        <v>#N/A N/A</v>
        <stp/>
        <stp>BDH|4733589555870199943</stp>
        <tr r="AB29" s="2"/>
      </tp>
      <tp t="s">
        <v>#N/A N/A</v>
        <stp/>
        <stp>BDH|2532818304072629592</stp>
        <tr r="Q27" s="2"/>
      </tp>
      <tp t="s">
        <v>#N/A N/A</v>
        <stp/>
        <stp>BDH|5115418586063137786</stp>
        <tr r="W58" s="2"/>
      </tp>
      <tp t="s">
        <v>#N/A N/A</v>
        <stp/>
        <stp>BDH|5041313071794840847</stp>
        <tr r="V42" s="2"/>
      </tp>
      <tp t="s">
        <v>#N/A N/A</v>
        <stp/>
        <stp>BDH|8652314128601510561</stp>
        <tr r="AA28" s="2"/>
      </tp>
      <tp t="s">
        <v>#N/A N/A</v>
        <stp/>
        <stp>BDH|5442054696047218696</stp>
        <tr r="T69" s="2"/>
      </tp>
      <tp t="s">
        <v>#N/A N/A</v>
        <stp/>
        <stp>BDH|3500240896364218198</stp>
        <tr r="F27" s="2"/>
      </tp>
      <tp t="s">
        <v>#N/A N/A</v>
        <stp/>
        <stp>BDH|8212409727237901405</stp>
        <tr r="J19" s="2"/>
      </tp>
      <tp t="s">
        <v>#N/A N/A</v>
        <stp/>
        <stp>BDH|9065491812814642509</stp>
        <tr r="X41" s="2"/>
      </tp>
      <tp t="s">
        <v>#N/A N/A</v>
        <stp/>
        <stp>BDH|6985048281277013416</stp>
        <tr r="X34" s="2"/>
      </tp>
      <tp t="s">
        <v>#N/A N/A</v>
        <stp/>
        <stp>BDH|2852666780186396706</stp>
        <tr r="Q7" s="2"/>
      </tp>
      <tp t="s">
        <v>#N/A N/A</v>
        <stp/>
        <stp>BDH|8470439482581129869</stp>
        <tr r="O32" s="2"/>
      </tp>
      <tp t="s">
        <v>#N/A N/A</v>
        <stp/>
        <stp>BDH|1644075607218395479</stp>
        <tr r="F49" s="2"/>
      </tp>
      <tp t="s">
        <v>#N/A N/A</v>
        <stp/>
        <stp>BDH|1024204982845955395</stp>
        <tr r="Q41" s="2"/>
      </tp>
      <tp t="s">
        <v>#N/A N/A</v>
        <stp/>
        <stp>BDH|5539826575661660675</stp>
        <tr r="Z27" s="2"/>
      </tp>
      <tp t="s">
        <v>#N/A N/A</v>
        <stp/>
        <stp>BDH|3648894875562060398</stp>
        <tr r="P34" s="2"/>
      </tp>
      <tp t="s">
        <v>#N/A N/A</v>
        <stp/>
        <stp>BDH|1035455269967651997</stp>
        <tr r="K19" s="2"/>
      </tp>
      <tp t="s">
        <v>#N/A N/A</v>
        <stp/>
        <stp>BDH|9138167332895094369</stp>
        <tr r="T43" s="2"/>
      </tp>
      <tp t="s">
        <v>#N/A N/A</v>
        <stp/>
        <stp>BDH|9637660510124064704</stp>
        <tr r="P13" s="2"/>
      </tp>
      <tp t="s">
        <v>#N/A N/A</v>
        <stp/>
        <stp>BDH|5386238945596362860</stp>
        <tr r="V35" s="2"/>
      </tp>
      <tp t="s">
        <v>#N/A N/A</v>
        <stp/>
        <stp>BDH|3505034582846025047</stp>
        <tr r="G9" s="2"/>
      </tp>
      <tp t="s">
        <v>#N/A N/A</v>
        <stp/>
        <stp>BDH|2509926733376042353</stp>
        <tr r="G26" s="2"/>
      </tp>
      <tp t="s">
        <v>#N/A N/A</v>
        <stp/>
        <stp>BDH|3414874800123784554</stp>
        <tr r="U58" s="2"/>
      </tp>
      <tp t="s">
        <v>#N/A N/A</v>
        <stp/>
        <stp>BDH|5962560097141888515</stp>
        <tr r="I37" s="2"/>
      </tp>
      <tp t="s">
        <v>#N/A N/A</v>
        <stp/>
        <stp>BDH|6277008932070884898</stp>
        <tr r="F35" s="2"/>
      </tp>
      <tp t="s">
        <v>#N/A N/A</v>
        <stp/>
        <stp>BDH|2128664987956685701</stp>
        <tr r="O16" s="2"/>
      </tp>
      <tp t="s">
        <v>#N/A N/A</v>
        <stp/>
        <stp>BDH|6645731269943371997</stp>
        <tr r="P44" s="2"/>
      </tp>
      <tp t="s">
        <v>#N/A N/A</v>
        <stp/>
        <stp>BDH|7535979256617662145</stp>
        <tr r="AA75" s="2"/>
      </tp>
      <tp t="s">
        <v>#N/A N/A</v>
        <stp/>
        <stp>BDH|9319762312855071712</stp>
        <tr r="Y26" s="2"/>
      </tp>
      <tp t="s">
        <v>#N/A N/A</v>
        <stp/>
        <stp>BDH|9254883282747786389</stp>
        <tr r="H58" s="2"/>
      </tp>
      <tp t="s">
        <v>#N/A N/A</v>
        <stp/>
        <stp>BDH|3161151837764077843</stp>
        <tr r="H44" s="2"/>
      </tp>
      <tp t="s">
        <v>#N/A N/A</v>
        <stp/>
        <stp>BDH|4622308063589691541</stp>
        <tr r="R32" s="2"/>
      </tp>
      <tp t="s">
        <v>#N/A N/A</v>
        <stp/>
        <stp>BDH|1017991354543288382</stp>
        <tr r="D66" s="2"/>
      </tp>
      <tp t="s">
        <v>#N/A N/A</v>
        <stp/>
        <stp>BDH|8095326561278521811</stp>
        <tr r="D15" s="2"/>
      </tp>
      <tp t="s">
        <v>#N/A N/A</v>
        <stp/>
        <stp>BDH|7902155994396863441</stp>
        <tr r="AB38" s="2"/>
        <tr r="AB50" s="2"/>
      </tp>
      <tp t="s">
        <v>#N/A N/A</v>
        <stp/>
        <stp>BDH|9601103964814628702</stp>
        <tr r="T40" s="2"/>
      </tp>
      <tp t="s">
        <v>#N/A N/A</v>
        <stp/>
        <stp>BDH|8750561046207535375</stp>
        <tr r="Q14" s="2"/>
      </tp>
      <tp t="s">
        <v>#N/A N/A</v>
        <stp/>
        <stp>BDH|9919206834296185399</stp>
        <tr r="M22" s="2"/>
      </tp>
      <tp t="s">
        <v>#N/A N/A</v>
        <stp/>
        <stp>BDH|8815041772424313682</stp>
        <tr r="S54" s="2"/>
      </tp>
      <tp t="s">
        <v>#N/A N/A</v>
        <stp/>
        <stp>BDH|7173909903744059777</stp>
        <tr r="AB73" s="2"/>
      </tp>
      <tp t="s">
        <v>#N/A N/A</v>
        <stp/>
        <stp>BDH|95189479980946660</stp>
        <tr r="V41" s="2"/>
      </tp>
      <tp t="s">
        <v>#N/A N/A</v>
        <stp/>
        <stp>BDH|86113319989428950</stp>
        <tr r="R65" s="2"/>
      </tp>
      <tp t="s">
        <v>#N/A N/A</v>
        <stp/>
        <stp>BDH|8715765636807542589</stp>
        <tr r="AB26" s="2"/>
      </tp>
      <tp t="s">
        <v>#N/A N/A</v>
        <stp/>
        <stp>BDH|9833582858516773150</stp>
        <tr r="L59" s="2"/>
      </tp>
      <tp t="s">
        <v>#N/A N/A</v>
        <stp/>
        <stp>BDH|5747669641638836124</stp>
        <tr r="U69" s="2"/>
      </tp>
      <tp t="s">
        <v>#N/A N/A</v>
        <stp/>
        <stp>BDH|8856103422071895480</stp>
        <tr r="V52" s="2"/>
      </tp>
      <tp t="s">
        <v>#N/A N/A</v>
        <stp/>
        <stp>BDH|1693466185423942061</stp>
        <tr r="N13" s="2"/>
      </tp>
      <tp t="s">
        <v>#N/A N/A</v>
        <stp/>
        <stp>BDH|4089950077893248787</stp>
        <tr r="N52" s="2"/>
      </tp>
      <tp t="s">
        <v>#N/A N/A</v>
        <stp/>
        <stp>BDH|8065723379782774447</stp>
        <tr r="R36" s="2"/>
      </tp>
      <tp t="s">
        <v>#N/A N/A</v>
        <stp/>
        <stp>BDH|2422380514586112810</stp>
        <tr r="M14" s="2"/>
      </tp>
      <tp t="s">
        <v>#N/A N/A</v>
        <stp/>
        <stp>BDH|1421951473180883123</stp>
        <tr r="I10" s="2"/>
      </tp>
      <tp t="s">
        <v>#N/A N/A</v>
        <stp/>
        <stp>BDH|1122770284235818535</stp>
        <tr r="Y48" s="2"/>
      </tp>
      <tp t="s">
        <v>#N/A N/A</v>
        <stp/>
        <stp>BDH|1590596280217718528</stp>
        <tr r="U10" s="2"/>
      </tp>
      <tp t="s">
        <v>#N/A N/A</v>
        <stp/>
        <stp>BDH|5384966107747973529</stp>
        <tr r="L8" s="2"/>
      </tp>
      <tp t="s">
        <v>#N/A N/A</v>
        <stp/>
        <stp>BDH|2038890121772444457</stp>
        <tr r="I24" s="2"/>
      </tp>
      <tp t="s">
        <v>#N/A N/A</v>
        <stp/>
        <stp>BDH|5799794724468084645</stp>
        <tr r="N33" s="2"/>
      </tp>
      <tp t="s">
        <v>#N/A N/A</v>
        <stp/>
        <stp>BDH|2703700379514309831</stp>
        <tr r="F31" s="2"/>
      </tp>
      <tp t="s">
        <v>#N/A N/A</v>
        <stp/>
        <stp>BDH|7613956674822823515</stp>
        <tr r="AD45" s="2"/>
      </tp>
      <tp t="s">
        <v>#N/A N/A</v>
        <stp/>
        <stp>BDH|6554346605312255996</stp>
        <tr r="Z36" s="2"/>
      </tp>
      <tp t="s">
        <v>#N/A N/A</v>
        <stp/>
        <stp>BDH|1910226904555415840</stp>
        <tr r="AB48" s="2"/>
      </tp>
      <tp t="s">
        <v>#N/A N/A</v>
        <stp/>
        <stp>BDH|1030996733797390262</stp>
        <tr r="AD42" s="2"/>
      </tp>
      <tp t="s">
        <v>#N/A N/A</v>
        <stp/>
        <stp>BDH|4329994070584734014</stp>
        <tr r="P53" s="2"/>
      </tp>
      <tp t="s">
        <v>#N/A N/A</v>
        <stp/>
        <stp>BDH|8108676910689228896</stp>
        <tr r="Q46" s="2"/>
      </tp>
      <tp t="s">
        <v>#N/A N/A</v>
        <stp/>
        <stp>BDH|7714937391309114090</stp>
        <tr r="P43" s="2"/>
      </tp>
      <tp t="s">
        <v>#N/A N/A</v>
        <stp/>
        <stp>BDH|3571656425971039882</stp>
        <tr r="Z68" s="2"/>
      </tp>
      <tp t="s">
        <v>#N/A N/A</v>
        <stp/>
        <stp>BDH|7898976137232247172</stp>
        <tr r="AD14" s="2"/>
      </tp>
      <tp t="s">
        <v>#N/A N/A</v>
        <stp/>
        <stp>BDH|8217919024688599503</stp>
        <tr r="W50" s="2"/>
        <tr r="W38" s="2"/>
      </tp>
      <tp t="s">
        <v>#N/A N/A</v>
        <stp/>
        <stp>BDH|4582527835689573554</stp>
        <tr r="AA41" s="2"/>
      </tp>
      <tp t="s">
        <v>#N/A N/A</v>
        <stp/>
        <stp>BDH|6398112042219752450</stp>
        <tr r="G28" s="2"/>
      </tp>
      <tp t="s">
        <v>#N/A N/A</v>
        <stp/>
        <stp>BDH|5415974833731347018</stp>
        <tr r="L7" s="2"/>
      </tp>
      <tp t="s">
        <v>#N/A N/A</v>
        <stp/>
        <stp>BDH|8444458663402611678</stp>
        <tr r="N24" s="2"/>
      </tp>
      <tp t="s">
        <v>#N/A N/A</v>
        <stp/>
        <stp>BDH|5408419854608376212</stp>
        <tr r="O74" s="2"/>
      </tp>
      <tp t="s">
        <v>#N/A N/A</v>
        <stp/>
        <stp>BDH|1301259727987099825</stp>
        <tr r="J21" s="2"/>
      </tp>
      <tp t="s">
        <v>#N/A N/A</v>
        <stp/>
        <stp>BDH|4390929449140394787</stp>
        <tr r="AC71" s="2"/>
      </tp>
      <tp t="s">
        <v>#N/A N/A</v>
        <stp/>
        <stp>BDH|5454859429296157798</stp>
        <tr r="AA13" s="2"/>
      </tp>
      <tp t="s">
        <v>#N/A N/A</v>
        <stp/>
        <stp>BDH|4049660650798073160</stp>
        <tr r="V75" s="2"/>
      </tp>
      <tp t="s">
        <v>#N/A N/A</v>
        <stp/>
        <stp>BDH|9905532923993912303</stp>
        <tr r="Y22" s="2"/>
      </tp>
      <tp t="s">
        <v>#N/A N/A</v>
        <stp/>
        <stp>BDH|8203897634708914575</stp>
        <tr r="AB15" s="2"/>
      </tp>
      <tp t="s">
        <v>#N/A N/A</v>
        <stp/>
        <stp>BDH|6029332084285810690</stp>
        <tr r="AB49" s="2"/>
      </tp>
      <tp t="s">
        <v>#N/A N/A</v>
        <stp/>
        <stp>BDH|4652017027588251048</stp>
        <tr r="I49" s="2"/>
      </tp>
      <tp t="s">
        <v>#N/A N/A</v>
        <stp/>
        <stp>BDH|9448265425855666272</stp>
        <tr r="D58" s="2"/>
      </tp>
      <tp t="s">
        <v>#N/A N/A</v>
        <stp/>
        <stp>BDH|9894460808164302735</stp>
        <tr r="V66" s="2"/>
      </tp>
      <tp t="s">
        <v>#N/A N/A</v>
        <stp/>
        <stp>BDH|8096847295301102661</stp>
        <tr r="O25" s="2"/>
      </tp>
      <tp t="s">
        <v>#N/A N/A</v>
        <stp/>
        <stp>BDH|8172640100413280302</stp>
        <tr r="AD44" s="2"/>
      </tp>
      <tp t="s">
        <v>#N/A N/A</v>
        <stp/>
        <stp>BDH|3544837451076955699</stp>
        <tr r="O29" s="2"/>
      </tp>
      <tp t="s">
        <v>#N/A N/A</v>
        <stp/>
        <stp>BDH|1468915695636406904</stp>
        <tr r="L72" s="2"/>
      </tp>
      <tp t="s">
        <v>#N/A N/A</v>
        <stp/>
        <stp>BDH|4657459554713396802</stp>
        <tr r="D57" s="2"/>
      </tp>
      <tp t="s">
        <v>#N/A N/A</v>
        <stp/>
        <stp>BDH|7826145978518195711</stp>
        <tr r="X43" s="2"/>
      </tp>
      <tp t="s">
        <v>#N/A N/A</v>
        <stp/>
        <stp>BDH|3127973333634013300</stp>
        <tr r="E57" s="2"/>
      </tp>
      <tp t="s">
        <v>#N/A N/A</v>
        <stp/>
        <stp>BDH|3694714224578652005</stp>
        <tr r="Y72" s="2"/>
      </tp>
      <tp t="s">
        <v>#N/A N/A</v>
        <stp/>
        <stp>BDH|5295096635360813836</stp>
        <tr r="W35" s="2"/>
      </tp>
      <tp t="s">
        <v>#N/A N/A</v>
        <stp/>
        <stp>BDH|1123638683251351072</stp>
        <tr r="AD40" s="2"/>
      </tp>
      <tp t="s">
        <v>#N/A N/A</v>
        <stp/>
        <stp>BDH|44267115278291803</stp>
        <tr r="H66" s="2"/>
      </tp>
      <tp t="s">
        <v>#N/A N/A</v>
        <stp/>
        <stp>BDH|1182352328766285940</stp>
        <tr r="U28" s="2"/>
      </tp>
      <tp t="s">
        <v>#N/A N/A</v>
        <stp/>
        <stp>BDH|1864264235919242633</stp>
        <tr r="K45" s="2"/>
      </tp>
      <tp t="s">
        <v>#N/A N/A</v>
        <stp/>
        <stp>BDH|5438177130669975111</stp>
        <tr r="R46" s="2"/>
      </tp>
      <tp t="s">
        <v>#N/A N/A</v>
        <stp/>
        <stp>BDH|4658116071405896858</stp>
        <tr r="H46" s="2"/>
      </tp>
      <tp t="s">
        <v>#N/A N/A</v>
        <stp/>
        <stp>BDH|3633844321137852136</stp>
        <tr r="R23" s="2"/>
      </tp>
      <tp t="s">
        <v>#N/A N/A</v>
        <stp/>
        <stp>BDH|4006296313061069925</stp>
        <tr r="AA21" s="2"/>
      </tp>
      <tp t="s">
        <v>#N/A N/A</v>
        <stp/>
        <stp>BDH|6567992375527590040</stp>
        <tr r="O18" s="2"/>
      </tp>
      <tp t="s">
        <v>#N/A N/A</v>
        <stp/>
        <stp>BDH|1959308807785202852</stp>
        <tr r="U64" s="2"/>
      </tp>
      <tp t="s">
        <v>#N/A N/A</v>
        <stp/>
        <stp>BDH|8236447108242228127</stp>
        <tr r="AA35" s="2"/>
      </tp>
      <tp t="s">
        <v>#N/A N/A</v>
        <stp/>
        <stp>BDH|6080962858392182719</stp>
        <tr r="X33" s="2"/>
      </tp>
      <tp t="s">
        <v>#N/A N/A</v>
        <stp/>
        <stp>BDH|5263399795353051303</stp>
        <tr r="AA68" s="2"/>
      </tp>
      <tp t="s">
        <v>#N/A N/A</v>
        <stp/>
        <stp>BDH|6587398170118155538</stp>
        <tr r="W12" s="2"/>
      </tp>
      <tp t="s">
        <v>#N/A N/A</v>
        <stp/>
        <stp>BDH|1551796385908533938</stp>
        <tr r="F66" s="2"/>
      </tp>
      <tp t="s">
        <v>#N/A N/A</v>
        <stp/>
        <stp>BDH|1234236083690815455</stp>
        <tr r="F71" s="2"/>
      </tp>
      <tp t="s">
        <v>#N/A N/A</v>
        <stp/>
        <stp>BDH|3860185879193787911</stp>
        <tr r="G36" s="2"/>
      </tp>
      <tp t="s">
        <v>#N/A N/A</v>
        <stp/>
        <stp>BDH|5921286508629482125</stp>
        <tr r="J58" s="2"/>
      </tp>
      <tp t="s">
        <v>#N/A N/A</v>
        <stp/>
        <stp>BDH|6879154020819334316</stp>
        <tr r="T60" s="2"/>
      </tp>
      <tp t="s">
        <v>#N/A N/A</v>
        <stp/>
        <stp>BDH|7145419829918179645</stp>
        <tr r="S46" s="2"/>
      </tp>
      <tp t="s">
        <v>#N/A N/A</v>
        <stp/>
        <stp>BDH|8028857821154199997</stp>
        <tr r="V72" s="2"/>
      </tp>
      <tp t="s">
        <v>#N/A N/A</v>
        <stp/>
        <stp>BDH|5615006721471292997</stp>
        <tr r="AD35" s="2"/>
      </tp>
      <tp t="s">
        <v>#N/A N/A</v>
        <stp/>
        <stp>BDH|2709549326742831810</stp>
        <tr r="C39" s="2"/>
      </tp>
      <tp t="s">
        <v>#N/A N/A</v>
        <stp/>
        <stp>BDH|6634993107813681339</stp>
        <tr r="S60" s="2"/>
      </tp>
      <tp t="s">
        <v>#N/A N/A</v>
        <stp/>
        <stp>BDH|3166166852210652813</stp>
        <tr r="D21" s="2"/>
      </tp>
      <tp t="s">
        <v>#N/A N/A</v>
        <stp/>
        <stp>BDH|9371689366511792785</stp>
        <tr r="M68" s="2"/>
      </tp>
      <tp t="s">
        <v>#N/A N/A</v>
        <stp/>
        <stp>BDH|8448988903938808652</stp>
        <tr r="AD75" s="2"/>
      </tp>
      <tp t="s">
        <v>#N/A N/A</v>
        <stp/>
        <stp>BDH|1674863707393192547</stp>
        <tr r="R20" s="2"/>
      </tp>
      <tp t="s">
        <v>#N/A N/A</v>
        <stp/>
        <stp>BDH|4315804350773416559</stp>
        <tr r="Q30" s="2"/>
      </tp>
      <tp t="s">
        <v>#N/A N/A</v>
        <stp/>
        <stp>BDH|4573550382520305638</stp>
        <tr r="U9" s="2"/>
      </tp>
      <tp t="s">
        <v>#N/A N/A</v>
        <stp/>
        <stp>BDH|8355444631350484000</stp>
        <tr r="D69" s="2"/>
      </tp>
      <tp t="s">
        <v>#N/A N/A</v>
        <stp/>
        <stp>BDH|3778907108553982647</stp>
        <tr r="I28" s="2"/>
      </tp>
      <tp t="s">
        <v>#N/A N/A</v>
        <stp/>
        <stp>BDH|9712187229886088349</stp>
        <tr r="AD39" s="2"/>
      </tp>
      <tp t="s">
        <v>#N/A N/A</v>
        <stp/>
        <stp>BDH|8748222556072949296</stp>
        <tr r="W41" s="2"/>
      </tp>
      <tp t="s">
        <v>#N/A N/A</v>
        <stp/>
        <stp>BDH|6341037183364731574</stp>
        <tr r="D52" s="2"/>
      </tp>
      <tp t="s">
        <v>#N/A N/A</v>
        <stp/>
        <stp>BDH|4220684888420385523</stp>
        <tr r="O37" s="2"/>
      </tp>
      <tp t="s">
        <v>#N/A N/A</v>
        <stp/>
        <stp>BDH|2853837118353334706</stp>
        <tr r="Q48" s="2"/>
      </tp>
      <tp t="s">
        <v>#N/A N/A</v>
        <stp/>
        <stp>BDH|4138303526539790308</stp>
        <tr r="E12" s="2"/>
      </tp>
      <tp t="s">
        <v>#N/A N/A</v>
        <stp/>
        <stp>BDH|7901312078864603863</stp>
        <tr r="I36" s="2"/>
      </tp>
      <tp t="s">
        <v>#N/A N/A</v>
        <stp/>
        <stp>BDH|1392008311956142934</stp>
        <tr r="AC24" s="2"/>
      </tp>
      <tp t="s">
        <v>#N/A N/A</v>
        <stp/>
        <stp>BDH|4319074587991108227</stp>
        <tr r="V70" s="2"/>
      </tp>
      <tp t="s">
        <v>#N/A N/A</v>
        <stp/>
        <stp>BDH|1546646173897128835</stp>
        <tr r="AB22" s="2"/>
      </tp>
      <tp t="s">
        <v>#N/A N/A</v>
        <stp/>
        <stp>BDH|2940195584675154141</stp>
        <tr r="S58" s="2"/>
      </tp>
      <tp t="s">
        <v>#N/A N/A</v>
        <stp/>
        <stp>BDH|4783519927209732577</stp>
        <tr r="R17" s="2"/>
      </tp>
      <tp t="s">
        <v>#N/A N/A</v>
        <stp/>
        <stp>BDH|4265853576410878481</stp>
        <tr r="G32" s="2"/>
      </tp>
      <tp t="s">
        <v>#N/A N/A</v>
        <stp/>
        <stp>BDH|8173707415153137244</stp>
        <tr r="S70" s="2"/>
      </tp>
      <tp t="s">
        <v>#N/A N/A</v>
        <stp/>
        <stp>BDH|6580601239795505981</stp>
        <tr r="P65" s="2"/>
      </tp>
      <tp t="s">
        <v>#N/A N/A</v>
        <stp/>
        <stp>BDH|3720852762075069766</stp>
        <tr r="I73" s="2"/>
      </tp>
      <tp t="s">
        <v>#N/A N/A</v>
        <stp/>
        <stp>BDH|7744006822083460977</stp>
        <tr r="U66" s="2"/>
      </tp>
      <tp t="s">
        <v>#N/A N/A</v>
        <stp/>
        <stp>BDH|9446180682657819800</stp>
        <tr r="T66" s="2"/>
      </tp>
      <tp t="s">
        <v>#N/A N/A</v>
        <stp/>
        <stp>BDH|2894508745569358591</stp>
        <tr r="J28" s="2"/>
      </tp>
      <tp t="s">
        <v>#N/A N/A</v>
        <stp/>
        <stp>BDH|6253130426828676268</stp>
        <tr r="F46" s="2"/>
      </tp>
      <tp t="s">
        <v>#N/A N/A</v>
        <stp/>
        <stp>BDH|8175552324360784009</stp>
        <tr r="T53" s="2"/>
      </tp>
      <tp t="s">
        <v>#N/A N/A</v>
        <stp/>
        <stp>BDH|1481986291699915731</stp>
        <tr r="I42" s="2"/>
      </tp>
      <tp t="s">
        <v>#N/A N/A</v>
        <stp/>
        <stp>BDH|7954505735687832910</stp>
        <tr r="I19" s="2"/>
      </tp>
      <tp t="s">
        <v>#N/A N/A</v>
        <stp/>
        <stp>BDH|6575738411448177733</stp>
        <tr r="F44" s="2"/>
      </tp>
      <tp t="s">
        <v>#N/A N/A</v>
        <stp/>
        <stp>BDH|3672303399999340869</stp>
        <tr r="M57" s="2"/>
      </tp>
      <tp t="s">
        <v>#N/A N/A</v>
        <stp/>
        <stp>BDH|4004488892290156112</stp>
        <tr r="S45" s="2"/>
      </tp>
      <tp t="s">
        <v>#N/A N/A</v>
        <stp/>
        <stp>BDH|7804932479367881606</stp>
        <tr r="O39" s="2"/>
      </tp>
      <tp t="s">
        <v>#N/A N/A</v>
        <stp/>
        <stp>BDH|5178994939450212783</stp>
        <tr r="C33" s="2"/>
      </tp>
      <tp t="s">
        <v>#N/A N/A</v>
        <stp/>
        <stp>BDH|9456563870571161282</stp>
        <tr r="R9" s="2"/>
      </tp>
      <tp t="s">
        <v>#N/A N/A</v>
        <stp/>
        <stp>BDH|8497737849343502006</stp>
        <tr r="K15" s="2"/>
      </tp>
      <tp t="s">
        <v>#N/A N/A</v>
        <stp/>
        <stp>BDH|8465585824814460371</stp>
        <tr r="Z40" s="2"/>
      </tp>
      <tp t="s">
        <v>#N/A N/A</v>
        <stp/>
        <stp>BDH|8064825483680166082</stp>
        <tr r="AD34" s="2"/>
      </tp>
      <tp t="s">
        <v>#N/A N/A</v>
        <stp/>
        <stp>BDH|5006355075751033889</stp>
        <tr r="K74" s="2"/>
      </tp>
      <tp t="s">
        <v>#N/A N/A</v>
        <stp/>
        <stp>BDH|6119733401921377884</stp>
        <tr r="L55" s="2"/>
      </tp>
      <tp t="s">
        <v>#N/A N/A</v>
        <stp/>
        <stp>BDH|2508998258025472385</stp>
        <tr r="Q13" s="2"/>
      </tp>
      <tp t="s">
        <v>#N/A N/A</v>
        <stp/>
        <stp>BDH|8034627403146817003</stp>
        <tr r="L37" s="2"/>
      </tp>
      <tp t="s">
        <v>#N/A N/A</v>
        <stp/>
        <stp>BDH|8276750799939588721</stp>
        <tr r="R35" s="2"/>
      </tp>
      <tp t="s">
        <v>#N/A N/A</v>
        <stp/>
        <stp>BDH|9435498346605502477</stp>
        <tr r="O20" s="2"/>
      </tp>
      <tp t="s">
        <v>#N/A N/A</v>
        <stp/>
        <stp>BDH|1543528638688598739</stp>
        <tr r="M36" s="2"/>
      </tp>
      <tp t="s">
        <v>#N/A N/A</v>
        <stp/>
        <stp>BDH|1534164108749120142</stp>
        <tr r="N22" s="2"/>
      </tp>
      <tp t="s">
        <v>#N/A N/A</v>
        <stp/>
        <stp>BDH|9108668243554885723</stp>
        <tr r="L12" s="2"/>
      </tp>
      <tp t="s">
        <v>#N/A N/A</v>
        <stp/>
        <stp>BDH|1140878389200102905</stp>
        <tr r="X35" s="2"/>
      </tp>
      <tp t="s">
        <v>#N/A N/A</v>
        <stp/>
        <stp>BDH|6134627793973784298</stp>
        <tr r="X40" s="2"/>
      </tp>
      <tp t="s">
        <v>#N/A N/A</v>
        <stp/>
        <stp>BDH|7985215560583167871</stp>
        <tr r="X16" s="2"/>
      </tp>
      <tp t="s">
        <v>#N/A N/A</v>
        <stp/>
        <stp>BDH|2643000489731551352</stp>
        <tr r="I9" s="2"/>
      </tp>
      <tp t="s">
        <v>#N/A N/A</v>
        <stp/>
        <stp>BDH|1852409572682262875</stp>
        <tr r="D36" s="2"/>
      </tp>
      <tp t="s">
        <v>#N/A N/A</v>
        <stp/>
        <stp>BDH|4040233128384075876</stp>
        <tr r="U60" s="2"/>
      </tp>
      <tp t="s">
        <v>#N/A N/A</v>
        <stp/>
        <stp>BDH|1088762219858731747</stp>
        <tr r="W21" s="2"/>
      </tp>
      <tp t="s">
        <v>#N/A N/A</v>
        <stp/>
        <stp>BDH|4083033262398520281</stp>
        <tr r="G43" s="2"/>
      </tp>
      <tp t="s">
        <v>#N/A N/A</v>
        <stp/>
        <stp>BDH|8948934290734647413</stp>
        <tr r="Q31" s="2"/>
      </tp>
      <tp t="s">
        <v>#N/A N/A</v>
        <stp/>
        <stp>BDH|1159941736153025014</stp>
        <tr r="Y20" s="2"/>
      </tp>
      <tp t="s">
        <v>#N/A N/A</v>
        <stp/>
        <stp>BDH|5388877559158981872</stp>
        <tr r="AC43" s="2"/>
      </tp>
      <tp t="s">
        <v>#N/A N/A</v>
        <stp/>
        <stp>BDH|5764845336795678305</stp>
        <tr r="U53" s="2"/>
      </tp>
      <tp t="s">
        <v>#N/A N/A</v>
        <stp/>
        <stp>BDH|9344058102508079973</stp>
        <tr r="AD53" s="2"/>
      </tp>
      <tp t="s">
        <v>#N/A N/A</v>
        <stp/>
        <stp>BDH|4996830834265827256</stp>
        <tr r="E48" s="2"/>
      </tp>
      <tp t="s">
        <v>#N/A N/A</v>
        <stp/>
        <stp>BDH|6258268595014228138</stp>
        <tr r="K18" s="2"/>
      </tp>
      <tp t="s">
        <v>#N/A N/A</v>
        <stp/>
        <stp>BDH|2057105224451434817</stp>
        <tr r="N49" s="2"/>
      </tp>
      <tp t="s">
        <v>#N/A N/A</v>
        <stp/>
        <stp>BDH|1845815892159354199</stp>
        <tr r="Z34" s="2"/>
      </tp>
      <tp t="s">
        <v>#N/A N/A</v>
        <stp/>
        <stp>BDH|3946595884844514207</stp>
        <tr r="Q22" s="2"/>
      </tp>
      <tp t="s">
        <v>#N/A N/A</v>
        <stp/>
        <stp>BDH|9459801986230189121</stp>
        <tr r="C26" s="2"/>
      </tp>
      <tp t="s">
        <v>#N/A N/A</v>
        <stp/>
        <stp>BDH|8629100158172642699</stp>
        <tr r="C24" s="2"/>
      </tp>
      <tp t="s">
        <v>#N/A N/A</v>
        <stp/>
        <stp>BDH|9583340239573879268</stp>
        <tr r="M44" s="2"/>
      </tp>
      <tp t="s">
        <v>#N/A N/A</v>
        <stp/>
        <stp>BDH|2691144975859316520</stp>
        <tr r="E34" s="2"/>
      </tp>
      <tp t="s">
        <v>#N/A N/A</v>
        <stp/>
        <stp>BDH|2449328684267774630</stp>
        <tr r="S19" s="2"/>
      </tp>
      <tp t="s">
        <v>#N/A N/A</v>
        <stp/>
        <stp>BDH|6688260925466645854</stp>
        <tr r="H32" s="2"/>
      </tp>
      <tp t="s">
        <v>#N/A N/A</v>
        <stp/>
        <stp>BDH|8889623028473166748</stp>
        <tr r="Y11" s="2"/>
      </tp>
      <tp t="s">
        <v>#N/A N/A</v>
        <stp/>
        <stp>BDH|8982859111571897821</stp>
        <tr r="U34" s="2"/>
      </tp>
      <tp t="s">
        <v>#N/A N/A</v>
        <stp/>
        <stp>BDH|7895081888123493482</stp>
        <tr r="U49" s="2"/>
      </tp>
      <tp t="s">
        <v>#N/A N/A</v>
        <stp/>
        <stp>BDH|3430387820343142996</stp>
        <tr r="H14" s="2"/>
      </tp>
      <tp t="s">
        <v>#N/A N/A</v>
        <stp/>
        <stp>BDH|4528109093680503476</stp>
        <tr r="M23" s="2"/>
      </tp>
      <tp t="s">
        <v>#N/A N/A</v>
        <stp/>
        <stp>BDH|7644274293627056369</stp>
        <tr r="AB54" s="2"/>
      </tp>
      <tp t="s">
        <v>#N/A N/A</v>
        <stp/>
        <stp>BDH|3929377528848556277</stp>
        <tr r="AC35" s="2"/>
      </tp>
      <tp t="s">
        <v>#N/A N/A</v>
        <stp/>
        <stp>BDH|3057184389865185758</stp>
        <tr r="W26" s="2"/>
      </tp>
      <tp t="s">
        <v>#N/A N/A</v>
        <stp/>
        <stp>BDH|9693251962657359385</stp>
        <tr r="E71" s="2"/>
      </tp>
      <tp t="s">
        <v>#N/A N/A</v>
        <stp/>
        <stp>BDH|9528484754494115533</stp>
        <tr r="H39" s="2"/>
      </tp>
      <tp t="s">
        <v>#N/A N/A</v>
        <stp/>
        <stp>BDH|5448563706650818974</stp>
        <tr r="V31" s="2"/>
      </tp>
      <tp t="s">
        <v>#N/A N/A</v>
        <stp/>
        <stp>BDH|7558996006483878499</stp>
        <tr r="G44" s="2"/>
      </tp>
      <tp t="s">
        <v>#N/A N/A</v>
        <stp/>
        <stp>BDH|1413112862647474888</stp>
        <tr r="L24" s="2"/>
      </tp>
      <tp t="s">
        <v>#N/A N/A</v>
        <stp/>
        <stp>BDH|2402046219203408953</stp>
        <tr r="Z23" s="2"/>
      </tp>
      <tp t="s">
        <v>#N/A N/A</v>
        <stp/>
        <stp>BDH|9382146079092100478</stp>
        <tr r="T32" s="2"/>
      </tp>
      <tp t="s">
        <v>#N/A N/A</v>
        <stp/>
        <stp>BDH|8895029189879384088</stp>
        <tr r="P55" s="2"/>
      </tp>
      <tp t="s">
        <v>#N/A N/A</v>
        <stp/>
        <stp>BDH|4311592784093691302</stp>
        <tr r="C58" s="2"/>
      </tp>
      <tp t="s">
        <v>#N/A N/A</v>
        <stp/>
        <stp>BDH|6705922369212499203</stp>
        <tr r="H34" s="2"/>
      </tp>
      <tp t="s">
        <v>#N/A N/A</v>
        <stp/>
        <stp>BDH|8593632429272743702</stp>
        <tr r="AC23" s="2"/>
      </tp>
      <tp t="s">
        <v>#N/A N/A</v>
        <stp/>
        <stp>BDH|8558001616757550787</stp>
        <tr r="K65" s="2"/>
      </tp>
      <tp t="s">
        <v>#N/A N/A</v>
        <stp/>
        <stp>BDH|7530065912977707883</stp>
        <tr r="L45" s="2"/>
      </tp>
      <tp t="s">
        <v>#N/A N/A</v>
        <stp/>
        <stp>BDH|7611262701658876460</stp>
        <tr r="Z66" s="2"/>
      </tp>
      <tp t="s">
        <v>#N/A N/A</v>
        <stp/>
        <stp>BDH|8951409019422933661</stp>
        <tr r="U21" s="2"/>
      </tp>
      <tp t="s">
        <v>#N/A N/A</v>
        <stp/>
        <stp>BDH|5002208835254915931</stp>
        <tr r="AC64" s="2"/>
      </tp>
      <tp t="s">
        <v>#N/A N/A</v>
        <stp/>
        <stp>BDH|9038304448616514111</stp>
        <tr r="G55" s="2"/>
      </tp>
      <tp t="s">
        <v>#N/A N/A</v>
        <stp/>
        <stp>BDH|3675510234355825975</stp>
        <tr r="P25" s="2"/>
      </tp>
      <tp t="s">
        <v>#N/A N/A</v>
        <stp/>
        <stp>BDH|7342953012337172191</stp>
        <tr r="I60" s="2"/>
      </tp>
      <tp t="s">
        <v>#N/A N/A</v>
        <stp/>
        <stp>BDH|5342816699185376846</stp>
        <tr r="U54" s="2"/>
      </tp>
      <tp t="s">
        <v>#N/A N/A</v>
        <stp/>
        <stp>BDH|2355995305887184524</stp>
        <tr r="L68" s="2"/>
      </tp>
      <tp t="s">
        <v>#N/A N/A</v>
        <stp/>
        <stp>BDH|9926169206706082743</stp>
        <tr r="X64" s="2"/>
      </tp>
      <tp t="s">
        <v>#N/A N/A</v>
        <stp/>
        <stp>BDH|2400680086362373742</stp>
        <tr r="AD18" s="2"/>
      </tp>
      <tp t="s">
        <v>#N/A N/A</v>
        <stp/>
        <stp>BDH|3568582443689757249</stp>
        <tr r="W60" s="2"/>
      </tp>
      <tp t="s">
        <v>#N/A N/A</v>
        <stp/>
        <stp>BDH|9016629062884718457</stp>
        <tr r="AB42" s="2"/>
      </tp>
      <tp t="s">
        <v>#N/A N/A</v>
        <stp/>
        <stp>BDH|9127472411233436619</stp>
        <tr r="R44" s="2"/>
      </tp>
      <tp t="s">
        <v>#N/A N/A</v>
        <stp/>
        <stp>BDH|8252980883672382298</stp>
        <tr r="H54" s="2"/>
      </tp>
      <tp t="s">
        <v>#N/A N/A</v>
        <stp/>
        <stp>BDH|5169038221596009808</stp>
        <tr r="Y52" s="2"/>
      </tp>
      <tp t="s">
        <v>#N/A N/A</v>
        <stp/>
        <stp>BDH|4813930249741273135</stp>
        <tr r="L69" s="2"/>
      </tp>
      <tp t="s">
        <v>#N/A N/A</v>
        <stp/>
        <stp>BDH|3827033987320801246</stp>
        <tr r="D54" s="2"/>
      </tp>
      <tp t="s">
        <v>#N/A N/A</v>
        <stp/>
        <stp>BDH|8288469666772040126</stp>
        <tr r="M16" s="2"/>
      </tp>
      <tp t="s">
        <v>#N/A N/A</v>
        <stp/>
        <stp>BDH|2274238562407063834</stp>
        <tr r="AA44" s="2"/>
      </tp>
      <tp t="s">
        <v>#N/A N/A</v>
        <stp/>
        <stp>BDH|5082412447589504537</stp>
        <tr r="K55" s="2"/>
      </tp>
      <tp t="s">
        <v>#N/A N/A</v>
        <stp/>
        <stp>BDH|3702058052486577949</stp>
        <tr r="R10" s="2"/>
      </tp>
      <tp t="s">
        <v>#N/A N/A</v>
        <stp/>
        <stp>BDH|6225726880122682275</stp>
        <tr r="AA31" s="2"/>
      </tp>
      <tp t="s">
        <v>#N/A N/A</v>
        <stp/>
        <stp>BDH|5122436876186485916</stp>
        <tr r="R14" s="2"/>
      </tp>
      <tp t="s">
        <v>#N/A N/A</v>
        <stp/>
        <stp>BDH|3834158634391935968</stp>
        <tr r="F67" s="2"/>
      </tp>
      <tp t="s">
        <v>#N/A N/A</v>
        <stp/>
        <stp>BDH|9089134827220437362</stp>
        <tr r="J18" s="2"/>
      </tp>
      <tp t="s">
        <v>#N/A N/A</v>
        <stp/>
        <stp>BDH|8150523335903888492</stp>
        <tr r="M75" s="2"/>
      </tp>
      <tp t="s">
        <v>#N/A N/A</v>
        <stp/>
        <stp>BDH|5040440880962091238</stp>
        <tr r="W53" s="2"/>
      </tp>
      <tp t="s">
        <v>#N/A N/A</v>
        <stp/>
        <stp>BDH|4247513092732476315</stp>
        <tr r="T46" s="2"/>
      </tp>
      <tp t="s">
        <v>#N/A N/A</v>
        <stp/>
        <stp>BDH|9338168975937238167</stp>
        <tr r="U16" s="2"/>
      </tp>
      <tp t="s">
        <v>#N/A N/A</v>
        <stp/>
        <stp>BDH|3154946167756490327</stp>
        <tr r="U37" s="2"/>
      </tp>
      <tp t="s">
        <v>#N/A N/A</v>
        <stp/>
        <stp>BDH|9108539196668666463</stp>
        <tr r="W11" s="2"/>
      </tp>
      <tp t="s">
        <v>#N/A N/A</v>
        <stp/>
        <stp>BDH|9392246110154106720</stp>
        <tr r="O24" s="2"/>
      </tp>
      <tp t="s">
        <v>#N/A N/A</v>
        <stp/>
        <stp>BDH|2760755694591000434</stp>
        <tr r="T71" s="2"/>
      </tp>
      <tp t="s">
        <v>#N/A N/A</v>
        <stp/>
        <stp>BDH|4816949684768558480</stp>
        <tr r="S16" s="2"/>
      </tp>
      <tp t="s">
        <v>#N/A N/A</v>
        <stp/>
        <stp>BDH|2371792139257482820</stp>
        <tr r="N59" s="2"/>
      </tp>
      <tp t="s">
        <v>#N/A N/A</v>
        <stp/>
        <stp>BDH|9363650718454795037</stp>
        <tr r="V55" s="2"/>
      </tp>
      <tp t="s">
        <v>#N/A N/A</v>
        <stp/>
        <stp>BDH|1669472061289265094</stp>
        <tr r="I75" s="2"/>
      </tp>
      <tp t="s">
        <v>#N/A N/A</v>
        <stp/>
        <stp>BDH|3983097866779995645</stp>
        <tr r="H57" s="2"/>
      </tp>
      <tp t="s">
        <v>#N/A N/A</v>
        <stp/>
        <stp>BDH|8442823858787342863</stp>
        <tr r="Q49" s="2"/>
      </tp>
      <tp t="s">
        <v>#N/A N/A</v>
        <stp/>
        <stp>BDH|1913813827506681726</stp>
        <tr r="E53" s="2"/>
      </tp>
      <tp t="s">
        <v>#N/A N/A</v>
        <stp/>
        <stp>BDH|4065174062350696982</stp>
        <tr r="S71" s="2"/>
      </tp>
      <tp t="s">
        <v>#N/A N/A</v>
        <stp/>
        <stp>BDH|9666525888058143654</stp>
        <tr r="AB6" s="2"/>
      </tp>
      <tp t="s">
        <v>#N/A N/A</v>
        <stp/>
        <stp>BDH|6766604722259557183</stp>
        <tr r="G35" s="2"/>
      </tp>
      <tp t="s">
        <v>#N/A N/A</v>
        <stp/>
        <stp>BDH|6606540980870244184</stp>
        <tr r="N34" s="2"/>
      </tp>
      <tp t="s">
        <v>#N/A N/A</v>
        <stp/>
        <stp>BDH|4193942233656766297</stp>
        <tr r="L28" s="2"/>
      </tp>
      <tp t="s">
        <v>#N/A N/A</v>
        <stp/>
        <stp>BDH|8453787111622254660</stp>
        <tr r="H26" s="2"/>
      </tp>
      <tp t="s">
        <v>#N/A N/A</v>
        <stp/>
        <stp>BDH|3422034289684823582</stp>
        <tr r="O48" s="2"/>
      </tp>
      <tp t="s">
        <v>#N/A N/A</v>
        <stp/>
        <stp>BDH|6672088271363075818</stp>
        <tr r="D37" s="2"/>
      </tp>
      <tp t="s">
        <v>#N/A N/A</v>
        <stp/>
        <stp>BDH|9316349902357999721</stp>
        <tr r="F52" s="2"/>
      </tp>
      <tp t="s">
        <v>#N/A N/A</v>
        <stp/>
        <stp>BDH|7173288667968976194</stp>
        <tr r="T65" s="2"/>
      </tp>
      <tp t="s">
        <v>#N/A N/A</v>
        <stp/>
        <stp>BDH|3526178776777981832</stp>
        <tr r="J71" s="2"/>
      </tp>
      <tp t="s">
        <v>#N/A N/A</v>
        <stp/>
        <stp>BDH|5444292863942931996</stp>
        <tr r="I70" s="2"/>
      </tp>
      <tp t="s">
        <v>#N/A N/A</v>
        <stp/>
        <stp>BDH|8487229476446905164</stp>
        <tr r="Q24" s="2"/>
      </tp>
      <tp t="s">
        <v>#N/A N/A</v>
        <stp/>
        <stp>BDH|1210396972329423622</stp>
        <tr r="H42" s="2"/>
      </tp>
      <tp t="s">
        <v>#N/A N/A</v>
        <stp/>
        <stp>BDH|4160783404799312020</stp>
        <tr r="M30" s="2"/>
      </tp>
      <tp t="s">
        <v>#N/A N/A</v>
        <stp/>
        <stp>BDH|9335047299489008329</stp>
        <tr r="Q74" s="2"/>
      </tp>
      <tp t="s">
        <v>#N/A N/A</v>
        <stp/>
        <stp>BDH|6619066688287783336</stp>
        <tr r="T19" s="2"/>
      </tp>
      <tp t="s">
        <v>#N/A N/A</v>
        <stp/>
        <stp>BDH|4142727427819129292</stp>
        <tr r="F57" s="2"/>
      </tp>
      <tp t="s">
        <v>#N/A N/A</v>
        <stp/>
        <stp>BDH|9978260265205512225</stp>
        <tr r="M15" s="2"/>
      </tp>
      <tp t="s">
        <v>#N/A N/A</v>
        <stp/>
        <stp>BDH|7435423082954845519</stp>
        <tr r="AA59" s="2"/>
      </tp>
      <tp t="s">
        <v>#N/A N/A</v>
        <stp/>
        <stp>BDH|3390841638721194332</stp>
        <tr r="K37" s="2"/>
      </tp>
      <tp t="s">
        <v>#N/A N/A</v>
        <stp/>
        <stp>BDH|7790419332132144883</stp>
        <tr r="D53" s="2"/>
      </tp>
      <tp t="s">
        <v>#N/A N/A</v>
        <stp/>
        <stp>BDH|8108724659310558024</stp>
        <tr r="R69" s="2"/>
      </tp>
      <tp t="s">
        <v>#N/A N/A</v>
        <stp/>
        <stp>BDH|4365694940449798502</stp>
        <tr r="AC68" s="2"/>
      </tp>
      <tp t="s">
        <v>#N/A N/A</v>
        <stp/>
        <stp>BDH|4803684883956907670</stp>
        <tr r="Z45" s="2"/>
      </tp>
      <tp t="s">
        <v>#N/A N/A</v>
        <stp/>
        <stp>BDH|3150806250990613455</stp>
        <tr r="V11" s="2"/>
      </tp>
      <tp t="s">
        <v>#N/A N/A</v>
        <stp/>
        <stp>BDH|2443803420362525027</stp>
        <tr r="R58" s="2"/>
      </tp>
      <tp t="s">
        <v>#N/A N/A</v>
        <stp/>
        <stp>BDH|3751728053503091857</stp>
        <tr r="O52" s="2"/>
      </tp>
      <tp t="s">
        <v>#N/A N/A</v>
        <stp/>
        <stp>BDH|2883021467359862760</stp>
        <tr r="P74" s="2"/>
      </tp>
      <tp t="s">
        <v>#N/A N/A</v>
        <stp/>
        <stp>BDH|3291428932698362614</stp>
        <tr r="H11" s="2"/>
      </tp>
      <tp t="s">
        <v>#N/A N/A</v>
        <stp/>
        <stp>BDH|5933349082527717385</stp>
        <tr r="I11" s="2"/>
      </tp>
      <tp t="s">
        <v>#N/A N/A</v>
        <stp/>
        <stp>BDH|9045763594188041537</stp>
        <tr r="T29" s="2"/>
      </tp>
      <tp t="s">
        <v>#N/A N/A</v>
        <stp/>
        <stp>BDH|5150374681865062167</stp>
        <tr r="C71" s="2"/>
      </tp>
      <tp t="s">
        <v>#N/A N/A</v>
        <stp/>
        <stp>BDH|5553529692947259411</stp>
        <tr r="E60" s="2"/>
      </tp>
      <tp t="s">
        <v>#N/A N/A</v>
        <stp/>
        <stp>BDH|3388516034218173710</stp>
        <tr r="S25" s="2"/>
      </tp>
      <tp t="s">
        <v>#N/A N/A</v>
        <stp/>
        <stp>BDH|3188711255483583874</stp>
        <tr r="K22" s="2"/>
      </tp>
      <tp t="s">
        <v>#N/A N/A</v>
        <stp/>
        <stp>BDH|2112813218930866178</stp>
        <tr r="N54" s="2"/>
      </tp>
      <tp t="s">
        <v>#N/A N/A</v>
        <stp/>
        <stp>BDH|1341878464083541612</stp>
        <tr r="C44" s="2"/>
      </tp>
      <tp t="s">
        <v>#N/A N/A</v>
        <stp/>
        <stp>BDH|4444639887254463405</stp>
        <tr r="X10" s="2"/>
      </tp>
      <tp t="s">
        <v>#N/A N/A</v>
        <stp/>
        <stp>BDH|6084646000789345332</stp>
        <tr r="O13" s="2"/>
      </tp>
      <tp t="s">
        <v>#N/A N/A</v>
        <stp/>
        <stp>BDH|3817253827520658993</stp>
        <tr r="U18" s="2"/>
      </tp>
      <tp t="s">
        <v>#N/A N/A</v>
        <stp/>
        <stp>BDH|5845787901728799034</stp>
        <tr r="AA74" s="2"/>
      </tp>
      <tp t="s">
        <v>#N/A N/A</v>
        <stp/>
        <stp>BDH|6719959422636577105</stp>
        <tr r="F29" s="2"/>
      </tp>
      <tp t="s">
        <v>#N/A N/A</v>
        <stp/>
        <stp>BDH|7914367101559779637</stp>
        <tr r="AD9" s="2"/>
      </tp>
      <tp t="s">
        <v>#N/A N/A</v>
        <stp/>
        <stp>BDH|4024616590329280990</stp>
        <tr r="U65" s="2"/>
      </tp>
      <tp t="s">
        <v>#N/A N/A</v>
        <stp/>
        <stp>BDH|9171189490152097817</stp>
        <tr r="R37" s="2"/>
      </tp>
      <tp t="s">
        <v>#N/A N/A</v>
        <stp/>
        <stp>BDH|6517200829064013941</stp>
        <tr r="K42" s="2"/>
      </tp>
      <tp t="s">
        <v>#N/A N/A</v>
        <stp/>
        <stp>BDH|9901175523563705225</stp>
        <tr r="N36" s="2"/>
      </tp>
      <tp t="s">
        <v>#N/A N/A</v>
        <stp/>
        <stp>BDH|5056645150645941843</stp>
        <tr r="Y64" s="2"/>
      </tp>
      <tp t="s">
        <v>#N/A N/A</v>
        <stp/>
        <stp>BDH|9365753489095138875</stp>
        <tr r="AB25" s="2"/>
      </tp>
      <tp t="s">
        <v>#N/A N/A</v>
        <stp/>
        <stp>BDH|4451083423689081410</stp>
        <tr r="C48" s="2"/>
      </tp>
      <tp t="s">
        <v>#N/A N/A</v>
        <stp/>
        <stp>BDH|9927418421031655514</stp>
        <tr r="T67" s="2"/>
      </tp>
      <tp t="s">
        <v>#N/A N/A</v>
        <stp/>
        <stp>BDH|5461819867030873042</stp>
        <tr r="X72" s="2"/>
      </tp>
      <tp t="s">
        <v>#N/A N/A</v>
        <stp/>
        <stp>BDH|1951900822144747512</stp>
        <tr r="K20" s="2"/>
      </tp>
      <tp t="s">
        <v>#N/A N/A</v>
        <stp/>
        <stp>BDH|4815872593409183703</stp>
        <tr r="N69" s="2"/>
      </tp>
      <tp t="s">
        <v>#N/A N/A</v>
        <stp/>
        <stp>BDH|8881939581730713208</stp>
        <tr r="AB66" s="2"/>
      </tp>
      <tp t="s">
        <v>#N/A N/A</v>
        <stp/>
        <stp>BDH|4369762361208220647</stp>
        <tr r="E52" s="2"/>
      </tp>
      <tp t="s">
        <v>#N/A N/A</v>
        <stp/>
        <stp>BDH|6945051107965894810</stp>
        <tr r="J33" s="2"/>
      </tp>
      <tp t="s">
        <v>#N/A N/A</v>
        <stp/>
        <stp>BDH|9860397318294229495</stp>
        <tr r="U48" s="2"/>
      </tp>
      <tp t="s">
        <v>#N/A N/A</v>
        <stp/>
        <stp>BDH|8101023000534332722</stp>
        <tr r="V28" s="2"/>
      </tp>
      <tp t="s">
        <v>#N/A N/A</v>
        <stp/>
        <stp>BDH|5738128694256089038</stp>
        <tr r="Z74" s="2"/>
      </tp>
      <tp t="s">
        <v>#N/A N/A</v>
        <stp/>
        <stp>BDH|4777833307353380427</stp>
        <tr r="AB41" s="2"/>
      </tp>
      <tp t="s">
        <v>#N/A N/A</v>
        <stp/>
        <stp>BDH|6920026070123967909</stp>
        <tr r="C74" s="2"/>
      </tp>
      <tp t="s">
        <v>#N/A N/A</v>
        <stp/>
        <stp>BDH|3646466982452411648</stp>
        <tr r="N10" s="2"/>
      </tp>
      <tp t="s">
        <v>#N/A N/A</v>
        <stp/>
        <stp>BDH|8312401214866199053</stp>
        <tr r="T24" s="2"/>
      </tp>
      <tp t="s">
        <v>#N/A N/A</v>
        <stp/>
        <stp>BDH|4259628307121361875</stp>
        <tr r="W10" s="2"/>
      </tp>
      <tp t="s">
        <v>#N/A N/A</v>
        <stp/>
        <stp>BDH|6522462768998906717</stp>
        <tr r="M20" s="2"/>
      </tp>
      <tp t="s">
        <v>#N/A N/A</v>
        <stp/>
        <stp>BDH|3946838118586203703</stp>
        <tr r="M53" s="2"/>
      </tp>
      <tp t="s">
        <v>#N/A N/A</v>
        <stp/>
        <stp>BDH|9613095195469835239</stp>
        <tr r="AC49" s="2"/>
      </tp>
      <tp t="s">
        <v>#N/A N/A</v>
        <stp/>
        <stp>BDH|1421047305728484207</stp>
        <tr r="P41" s="2"/>
      </tp>
      <tp t="s">
        <v>#N/A N/A</v>
        <stp/>
        <stp>BDH|4325357817898273524</stp>
        <tr r="AA69" s="2"/>
      </tp>
      <tp t="s">
        <v>#N/A N/A</v>
        <stp/>
        <stp>BDH|7329424476487242835</stp>
        <tr r="O40" s="2"/>
      </tp>
      <tp t="s">
        <v>#N/A N/A</v>
        <stp/>
        <stp>BDH|4768980649650611262</stp>
        <tr r="I29" s="2"/>
      </tp>
      <tp t="s">
        <v>#N/A N/A</v>
        <stp/>
        <stp>BDH|3191647766239767122</stp>
        <tr r="F9" s="2"/>
      </tp>
      <tp t="s">
        <v>#N/A N/A</v>
        <stp/>
        <stp>BDH|9431339349030962516</stp>
        <tr r="Q21" s="2"/>
      </tp>
      <tp t="s">
        <v>#N/A N/A</v>
        <stp/>
        <stp>BDH|1037567047703314853</stp>
        <tr r="H30" s="2"/>
      </tp>
      <tp t="s">
        <v>#N/A N/A</v>
        <stp/>
        <stp>BDH|2880863634087889559</stp>
        <tr r="AA53" s="2"/>
      </tp>
      <tp t="s">
        <v>#N/A N/A</v>
        <stp/>
        <stp>BDH|7267848946725591513</stp>
        <tr r="J27" s="2"/>
      </tp>
      <tp t="s">
        <v>#N/A N/A</v>
        <stp/>
        <stp>BDH|4939311925889016799</stp>
        <tr r="O55" s="2"/>
      </tp>
      <tp t="s">
        <v>#N/A N/A</v>
        <stp/>
        <stp>BDH|9735380248850797547</stp>
        <tr r="U55" s="2"/>
      </tp>
      <tp t="s">
        <v>#N/A N/A</v>
        <stp/>
        <stp>BDH|1756163290182791029</stp>
        <tr r="J74" s="2"/>
      </tp>
      <tp t="s">
        <v>#N/A N/A</v>
        <stp/>
        <stp>BDH|4423439203153676862</stp>
        <tr r="AC17" s="2"/>
      </tp>
      <tp t="s">
        <v>#N/A N/A</v>
        <stp/>
        <stp>BDH|8228269675980433601</stp>
        <tr r="W75" s="2"/>
      </tp>
      <tp t="s">
        <v>#N/A N/A</v>
        <stp/>
        <stp>BDH|6247924130093608432</stp>
        <tr r="H18" s="2"/>
      </tp>
      <tp t="s">
        <v>#N/A N/A</v>
        <stp/>
        <stp>BDH|1378220027262677859</stp>
        <tr r="S43" s="2"/>
      </tp>
      <tp t="s">
        <v>#N/A N/A</v>
        <stp/>
        <stp>BDH|3633381549388391717</stp>
        <tr r="AC36" s="2"/>
      </tp>
      <tp t="s">
        <v>#N/A N/A</v>
        <stp/>
        <stp>BDH|7945025603702352113</stp>
        <tr r="R25" s="2"/>
      </tp>
      <tp t="s">
        <v>#N/A N/A</v>
        <stp/>
        <stp>BDH|2407603586708008086</stp>
        <tr r="F20" s="2"/>
      </tp>
      <tp t="s">
        <v>#N/A N/A</v>
        <stp/>
        <stp>BDH|2980026484429371768</stp>
        <tr r="C31" s="2"/>
      </tp>
      <tp t="s">
        <v>#N/A N/A</v>
        <stp/>
        <stp>BDH|8048996716535591105</stp>
        <tr r="D27" s="2"/>
      </tp>
      <tp t="s">
        <v>#N/A N/A</v>
        <stp/>
        <stp>BDH|3555657549873124625</stp>
        <tr r="V10" s="2"/>
      </tp>
      <tp t="s">
        <v>#N/A N/A</v>
        <stp/>
        <stp>BDH|3973957902778568601</stp>
        <tr r="AA22" s="2"/>
      </tp>
      <tp t="s">
        <v>#N/A N/A</v>
        <stp/>
        <stp>BDH|9675396866198273005</stp>
        <tr r="Z48" s="2"/>
      </tp>
      <tp t="s">
        <v>#N/A N/A</v>
        <stp/>
        <stp>BDH|9153048899017682317</stp>
        <tr r="AC58" s="2"/>
      </tp>
      <tp t="s">
        <v>#N/A N/A</v>
        <stp/>
        <stp>BDH|2825061956490763371</stp>
        <tr r="U35" s="2"/>
      </tp>
      <tp t="s">
        <v>#N/A N/A</v>
        <stp/>
        <stp>BDH|9950237398483924534</stp>
        <tr r="K69" s="2"/>
      </tp>
      <tp t="s">
        <v>#N/A N/A</v>
        <stp/>
        <stp>BDH|2865732253071528551</stp>
        <tr r="D19" s="2"/>
      </tp>
      <tp t="s">
        <v>#N/A N/A</v>
        <stp/>
        <stp>BDH|9297588895945151466</stp>
        <tr r="X20" s="2"/>
      </tp>
      <tp t="s">
        <v>#N/A N/A</v>
        <stp/>
        <stp>BDH|3471880913046284855</stp>
        <tr r="H31" s="2"/>
      </tp>
      <tp t="s">
        <v>#N/A N/A</v>
        <stp/>
        <stp>BDH|4858470252352086354</stp>
        <tr r="AB37" s="2"/>
      </tp>
      <tp t="s">
        <v>#N/A N/A</v>
        <stp/>
        <stp>BDH|1006927282542034690</stp>
        <tr r="O44" s="2"/>
      </tp>
      <tp t="s">
        <v>#N/A N/A</v>
        <stp/>
        <stp>BDH|9502937171366613587</stp>
        <tr r="E19" s="2"/>
      </tp>
      <tp t="s">
        <v>#N/A N/A</v>
        <stp/>
        <stp>BDH|1449737139995586420</stp>
        <tr r="D48" s="2"/>
      </tp>
      <tp t="s">
        <v>#N/A N/A</v>
        <stp/>
        <stp>BDH|5944764271688314945</stp>
        <tr r="O14" s="2"/>
      </tp>
      <tp t="s">
        <v>#N/A N/A</v>
        <stp/>
        <stp>BDH|6238560710757301185</stp>
        <tr r="M17" s="2"/>
      </tp>
      <tp t="s">
        <v>#N/A N/A</v>
        <stp/>
        <stp>BDH|4955652422582971680</stp>
        <tr r="U12" s="2"/>
      </tp>
      <tp t="s">
        <v>#N/A N/A</v>
        <stp/>
        <stp>BDH|6408739944287835647</stp>
        <tr r="Y71" s="2"/>
      </tp>
      <tp t="s">
        <v>#N/A N/A</v>
        <stp/>
        <stp>BDH|2045776218204206410</stp>
        <tr r="S38" s="2"/>
        <tr r="S50" s="2"/>
      </tp>
      <tp t="s">
        <v>#N/A N/A</v>
        <stp/>
        <stp>BDH|3537249640616598785</stp>
        <tr r="AC55" s="2"/>
      </tp>
      <tp t="s">
        <v>#N/A N/A</v>
        <stp/>
        <stp>BDH|3130194853607449433</stp>
        <tr r="L44" s="2"/>
      </tp>
      <tp t="s">
        <v>#N/A N/A</v>
        <stp/>
        <stp>BDH|6670319153686916214</stp>
        <tr r="O58" s="2"/>
      </tp>
      <tp t="s">
        <v>#N/A N/A</v>
        <stp/>
        <stp>BDH|9812630521681459833</stp>
        <tr r="E44" s="2"/>
      </tp>
      <tp t="s">
        <v>#N/A N/A</v>
        <stp/>
        <stp>BDH|9123850978710988288</stp>
        <tr r="Q16" s="2"/>
      </tp>
      <tp t="s">
        <v>#N/A N/A</v>
        <stp/>
        <stp>BDH|4801950092157597770</stp>
        <tr r="M29" s="2"/>
      </tp>
      <tp t="s">
        <v>#N/A N/A</v>
        <stp/>
        <stp>BDH|7998073936438147841</stp>
        <tr r="T73" s="2"/>
      </tp>
      <tp t="s">
        <v>#N/A N/A</v>
        <stp/>
        <stp>BDH|5864642409141175698</stp>
        <tr r="D20" s="2"/>
      </tp>
      <tp t="s">
        <v>#N/A N/A</v>
        <stp/>
        <stp>BDH|3272340861833217183</stp>
        <tr r="J14" s="2"/>
      </tp>
      <tp t="s">
        <v>#N/A N/A</v>
        <stp/>
        <stp>BDH|1192902298986064348</stp>
        <tr r="AA60" s="2"/>
      </tp>
      <tp t="s">
        <v>#N/A N/A</v>
        <stp/>
        <stp>BDH|7794601774736018410</stp>
        <tr r="F37" s="2"/>
      </tp>
      <tp t="s">
        <v>#N/A N/A</v>
        <stp/>
        <stp>BDH|4047623451486766575</stp>
        <tr r="O10" s="2"/>
      </tp>
      <tp t="s">
        <v>#N/A N/A</v>
        <stp/>
        <stp>BDH|4474165536180343245</stp>
        <tr r="W33" s="2"/>
      </tp>
      <tp t="s">
        <v>#N/A N/A</v>
        <stp/>
        <stp>BDH|5892608121141980436</stp>
        <tr r="F38" s="2"/>
        <tr r="F50" s="2"/>
      </tp>
      <tp t="s">
        <v>#N/A N/A</v>
        <stp/>
        <stp>BDH|4269050318061812049</stp>
        <tr r="J60" s="2"/>
      </tp>
      <tp t="s">
        <v>#N/A N/A</v>
        <stp/>
        <stp>BDH|9965519059198870599</stp>
        <tr r="P22" s="2"/>
      </tp>
      <tp t="s">
        <v>#N/A N/A</v>
        <stp/>
        <stp>BDH|2746500926501265035</stp>
        <tr r="F48" s="2"/>
      </tp>
      <tp t="s">
        <v>#N/A N/A</v>
        <stp/>
        <stp>BDH|9265052188096787389</stp>
        <tr r="H12" s="2"/>
      </tp>
      <tp t="s">
        <v>#N/A N/A</v>
        <stp/>
        <stp>BDH|4481446728593120596</stp>
        <tr r="D12" s="2"/>
      </tp>
      <tp t="s">
        <v>#N/A N/A</v>
        <stp/>
        <stp>BDH|4448723674405456577</stp>
        <tr r="AB28" s="2"/>
      </tp>
      <tp t="s">
        <v>#N/A N/A</v>
        <stp/>
        <stp>BDH|6601332871677475111</stp>
        <tr r="AC12" s="2"/>
      </tp>
      <tp t="s">
        <v>#N/A N/A</v>
        <stp/>
        <stp>BDH|2710765315573260373</stp>
        <tr r="E67" s="2"/>
      </tp>
      <tp t="s">
        <v>#N/A N/A</v>
        <stp/>
        <stp>BDH|1821391137362051773</stp>
        <tr r="K58" s="2"/>
      </tp>
      <tp t="s">
        <v>#N/A N/A</v>
        <stp/>
        <stp>BDH|8667766801078581354</stp>
        <tr r="P31" s="2"/>
      </tp>
      <tp t="s">
        <v>#N/A N/A</v>
        <stp/>
        <stp>BDH|1421410343366974394</stp>
        <tr r="AC46" s="2"/>
      </tp>
      <tp t="s">
        <v>#N/A N/A</v>
        <stp/>
        <stp>BDH|1296779271534789159</stp>
        <tr r="L18" s="2"/>
      </tp>
      <tp t="s">
        <v>#N/A N/A</v>
        <stp/>
        <stp>BDH|6742483694046966947</stp>
        <tr r="J8" s="2"/>
      </tp>
      <tp t="s">
        <v>#N/A N/A</v>
        <stp/>
        <stp>BDH|5730473748262770399</stp>
        <tr r="R42" s="2"/>
      </tp>
      <tp t="s">
        <v>#N/A N/A</v>
        <stp/>
        <stp>BDH|5372546635614679330</stp>
        <tr r="W39" s="2"/>
      </tp>
      <tp t="s">
        <v>#N/A N/A</v>
        <stp/>
        <stp>BDH|8985134765042198991</stp>
        <tr r="S30" s="2"/>
      </tp>
      <tp t="s">
        <v>#N/A N/A</v>
        <stp/>
        <stp>BDH|1419232220135877082</stp>
        <tr r="X73" s="2"/>
      </tp>
      <tp t="s">
        <v>#N/A N/A</v>
        <stp/>
        <stp>BDH|3509225361812548143</stp>
        <tr r="O71" s="2"/>
      </tp>
      <tp t="s">
        <v>#N/A N/A</v>
        <stp/>
        <stp>BDH|5803148811101868022</stp>
        <tr r="S41" s="2"/>
      </tp>
      <tp t="s">
        <v>#N/A N/A</v>
        <stp/>
        <stp>BDH|4441408423201615761</stp>
        <tr r="G75" s="2"/>
      </tp>
      <tp t="s">
        <v>#N/A N/A</v>
        <stp/>
        <stp>BDH|1600125843044772447</stp>
        <tr r="T9" s="2"/>
      </tp>
      <tp t="s">
        <v>#N/A N/A</v>
        <stp/>
        <stp>BDH|8847238961829913170</stp>
        <tr r="V6" s="2"/>
      </tp>
      <tp t="s">
        <v>#N/A N/A</v>
        <stp/>
        <stp>BDH|4997033705031262198</stp>
        <tr r="D7" s="2"/>
      </tp>
      <tp t="s">
        <v>#N/A N/A</v>
        <stp/>
        <stp>BDH|6252679733105697254</stp>
        <tr r="Q69" s="2"/>
      </tp>
      <tp t="s">
        <v>#N/A N/A</v>
        <stp/>
        <stp>BDH|7466725831140453764</stp>
        <tr r="U52" s="2"/>
      </tp>
      <tp t="s">
        <v>#N/A N/A</v>
        <stp/>
        <stp>BDH|4657754674778328813</stp>
        <tr r="Q73" s="2"/>
      </tp>
      <tp t="s">
        <v>#N/A N/A</v>
        <stp/>
        <stp>BDH|8809325229289249445</stp>
        <tr r="K64" s="2"/>
      </tp>
      <tp t="s">
        <v>#N/A N/A</v>
        <stp/>
        <stp>BDH|1461617356444099265</stp>
        <tr r="V67" s="2"/>
      </tp>
      <tp t="s">
        <v>#N/A N/A</v>
        <stp/>
        <stp>BDH|5734015326771258384</stp>
        <tr r="X65" s="2"/>
      </tp>
      <tp t="s">
        <v>#N/A N/A</v>
        <stp/>
        <stp>BDH|5429897684501263119</stp>
        <tr r="V24" s="2"/>
      </tp>
      <tp t="s">
        <v>#N/A N/A</v>
        <stp/>
        <stp>BDH|8075082077953381974</stp>
        <tr r="AA73" s="2"/>
      </tp>
      <tp t="s">
        <v>#N/A N/A</v>
        <stp/>
        <stp>BDH|6280204713825322590</stp>
        <tr r="J32" s="2"/>
      </tp>
      <tp t="s">
        <v>#N/A N/A</v>
        <stp/>
        <stp>BDH|8229794883193670156</stp>
        <tr r="S40" s="2"/>
      </tp>
      <tp t="s">
        <v>#N/A N/A</v>
        <stp/>
        <stp>BDH|2174221936347752196</stp>
        <tr r="Z16" s="2"/>
      </tp>
      <tp t="s">
        <v>#N/A N/A</v>
        <stp/>
        <stp>BDH|3051601611863980201</stp>
        <tr r="Y75" s="2"/>
      </tp>
      <tp t="s">
        <v>#N/A N/A</v>
        <stp/>
        <stp>BDH|8821355614007024813</stp>
        <tr r="T28" s="2"/>
      </tp>
      <tp t="s">
        <v>#N/A N/A</v>
        <stp/>
        <stp>BDH|5968909886872059378</stp>
        <tr r="Q26" s="2"/>
      </tp>
      <tp t="s">
        <v>#N/A N/A</v>
        <stp/>
        <stp>BDH|9794047006095971944</stp>
        <tr r="N50" s="2"/>
        <tr r="N38" s="2"/>
      </tp>
      <tp t="s">
        <v>#N/A N/A</v>
        <stp/>
        <stp>BDH|4095791324770298479</stp>
        <tr r="F32" s="2"/>
      </tp>
      <tp t="s">
        <v>#N/A N/A</v>
        <stp/>
        <stp>BDH|6138429074466685698</stp>
        <tr r="V43" s="2"/>
      </tp>
      <tp t="s">
        <v>#N/A N/A</v>
        <stp/>
        <stp>BDH|8102521888307559771</stp>
        <tr r="AC33" s="2"/>
      </tp>
      <tp t="s">
        <v>#N/A N/A</v>
        <stp/>
        <stp>BDH|5738640437281379496</stp>
        <tr r="K41" s="2"/>
      </tp>
      <tp t="s">
        <v>#N/A N/A</v>
        <stp/>
        <stp>BDH|1064602944211904732</stp>
        <tr r="P10" s="2"/>
      </tp>
      <tp t="s">
        <v>#N/A N/A</v>
        <stp/>
        <stp>BDH|9353443889209834989</stp>
        <tr r="AD20" s="2"/>
      </tp>
      <tp t="s">
        <v>#N/A N/A</v>
        <stp/>
        <stp>BDH|1268442828662415052</stp>
        <tr r="E54" s="2"/>
      </tp>
      <tp t="s">
        <v>#N/A N/A</v>
        <stp/>
        <stp>BDH|1018462259240346536</stp>
        <tr r="L17" s="2"/>
      </tp>
      <tp t="s">
        <v>#N/A N/A</v>
        <stp/>
        <stp>BDH|9225537055079921520</stp>
        <tr r="C69" s="2"/>
      </tp>
      <tp t="s">
        <v>#N/A N/A</v>
        <stp/>
        <stp>BDH|4722722274292607389</stp>
        <tr r="X69" s="2"/>
      </tp>
      <tp t="s">
        <v>#N/A N/A</v>
        <stp/>
        <stp>BDH|7661509072412288298</stp>
        <tr r="W23" s="2"/>
      </tp>
      <tp t="s">
        <v>#N/A N/A</v>
        <stp/>
        <stp>BDH|9180594958284602892</stp>
        <tr r="E40" s="2"/>
      </tp>
      <tp t="s">
        <v>#N/A N/A</v>
        <stp/>
        <stp>BDH|5812661524381745528</stp>
        <tr r="O41" s="2"/>
      </tp>
      <tp t="s">
        <v>#N/A N/A</v>
        <stp/>
        <stp>BDH|3493579802307533481</stp>
        <tr r="H21" s="2"/>
      </tp>
      <tp t="s">
        <v>#N/A N/A</v>
        <stp/>
        <stp>BDH|4786617274556966671</stp>
        <tr r="W6" s="2"/>
      </tp>
      <tp t="s">
        <v>#N/A N/A</v>
        <stp/>
        <stp>BDH|8070054413275371984</stp>
        <tr r="M34" s="2"/>
      </tp>
      <tp t="s">
        <v>#N/A N/A</v>
        <stp/>
        <stp>BDH|4532504286325627982</stp>
        <tr r="Y15" s="2"/>
      </tp>
      <tp t="s">
        <v>#N/A N/A</v>
        <stp/>
        <stp>BDH|3599231149069379914</stp>
        <tr r="AB53" s="2"/>
      </tp>
      <tp t="s">
        <v>#N/A N/A</v>
        <stp/>
        <stp>BDH|8054286897926889055</stp>
        <tr r="N28" s="2"/>
      </tp>
      <tp t="s">
        <v>#N/A N/A</v>
        <stp/>
        <stp>BDH|2966966632368775583</stp>
        <tr r="E18" s="2"/>
      </tp>
      <tp t="s">
        <v>#N/A N/A</v>
        <stp/>
        <stp>BDH|3526159554022721014</stp>
        <tr r="U71" s="2"/>
      </tp>
      <tp t="s">
        <v>#N/A N/A</v>
        <stp/>
        <stp>BDH|9225909622675126230</stp>
        <tr r="D35" s="2"/>
      </tp>
      <tp t="s">
        <v>#N/A N/A</v>
        <stp/>
        <stp>BDH|4288530871573532063</stp>
        <tr r="S22" s="2"/>
      </tp>
      <tp t="s">
        <v>#N/A N/A</v>
        <stp/>
        <stp>BDH|5291512740167479641</stp>
        <tr r="U11" s="2"/>
      </tp>
      <tp t="s">
        <v>#N/A N/A</v>
        <stp/>
        <stp>BDH|5183466744028056804</stp>
        <tr r="O75" s="2"/>
      </tp>
      <tp t="s">
        <v>#N/A N/A</v>
        <stp/>
        <stp>BDH|7431056050057587073</stp>
        <tr r="Y16" s="2"/>
      </tp>
      <tp t="s">
        <v>#N/A N/A</v>
        <stp/>
        <stp>BDH|9033577354585798949</stp>
        <tr r="P45" s="2"/>
      </tp>
      <tp t="s">
        <v>#N/A N/A</v>
        <stp/>
        <stp>BDH|4958230153526005092</stp>
        <tr r="H8" s="2"/>
      </tp>
      <tp t="s">
        <v>#N/A N/A</v>
        <stp/>
        <stp>BDH|6196920625209068165</stp>
        <tr r="E38" s="2"/>
        <tr r="E50" s="2"/>
      </tp>
      <tp t="s">
        <v>#N/A N/A</v>
        <stp/>
        <stp>BDH|3471705940582530706</stp>
        <tr r="H13" s="2"/>
      </tp>
      <tp t="s">
        <v>#N/A N/A</v>
        <stp/>
        <stp>BDH|7255257600926557639</stp>
        <tr r="S20" s="2"/>
      </tp>
      <tp t="s">
        <v>#N/A N/A</v>
        <stp/>
        <stp>BDH|5125780199716079815</stp>
        <tr r="L27" s="2"/>
      </tp>
      <tp t="s">
        <v>#N/A N/A</v>
        <stp/>
        <stp>BDH|6713386876434910319</stp>
        <tr r="AA7" s="2"/>
      </tp>
      <tp t="s">
        <v>#N/A N/A</v>
        <stp/>
        <stp>BDH|6587491145116033585</stp>
        <tr r="G18" s="2"/>
      </tp>
      <tp t="s">
        <v>#N/A N/A</v>
        <stp/>
        <stp>BDH|4595664972451506129</stp>
        <tr r="J54" s="2"/>
      </tp>
      <tp t="s">
        <v>#N/A N/A</v>
        <stp/>
        <stp>BDH|8527433964098056747</stp>
        <tr r="N8" s="2"/>
      </tp>
      <tp t="s">
        <v>#N/A N/A</v>
        <stp/>
        <stp>BDH|5430565673324114663</stp>
        <tr r="P52" s="2"/>
      </tp>
      <tp t="s">
        <v>#N/A N/A</v>
        <stp/>
        <stp>BDH|3774755733802072072</stp>
        <tr r="L9" s="2"/>
      </tp>
      <tp t="s">
        <v>#N/A N/A</v>
        <stp/>
        <stp>BDH|7685422457980192344</stp>
        <tr r="L66" s="2"/>
      </tp>
      <tp t="s">
        <v>#N/A N/A</v>
        <stp/>
        <stp>BDH|3501120726426306355</stp>
        <tr r="X8" s="2"/>
      </tp>
      <tp t="s">
        <v>#N/A N/A</v>
        <stp/>
        <stp>BDH|6146039901936473503</stp>
        <tr r="J49" s="2"/>
      </tp>
      <tp t="s">
        <v>#N/A N/A</v>
        <stp/>
        <stp>BDH|7628536070538438861</stp>
        <tr r="AA14" s="2"/>
      </tp>
      <tp t="s">
        <v>#N/A N/A</v>
        <stp/>
        <stp>BDH|9492137635178399665</stp>
        <tr r="AB44" s="2"/>
      </tp>
      <tp t="s">
        <v>#N/A N/A</v>
        <stp/>
        <stp>BDH|7922391812155096551</stp>
        <tr r="X26" s="2"/>
      </tp>
      <tp t="s">
        <v>#N/A N/A</v>
        <stp/>
        <stp>BDH|8023862144335223446</stp>
        <tr r="Q68" s="2"/>
      </tp>
      <tp t="s">
        <v>#N/A N/A</v>
        <stp/>
        <stp>BDH|2680530725232284277</stp>
        <tr r="O60" s="2"/>
      </tp>
      <tp t="s">
        <v>#N/A N/A</v>
        <stp/>
        <stp>BDH|8019629085746159532</stp>
        <tr r="AC67" s="2"/>
      </tp>
      <tp t="s">
        <v>#N/A N/A</v>
        <stp/>
        <stp>BDH|2168715542451337549</stp>
        <tr r="M18" s="2"/>
      </tp>
      <tp t="s">
        <v>#N/A N/A</v>
        <stp/>
        <stp>BDH|5936700454841463039</stp>
        <tr r="X44" s="2"/>
      </tp>
      <tp t="s">
        <v>#N/A N/A</v>
        <stp/>
        <stp>BDH|5549540825903782791</stp>
        <tr r="Z15" s="2"/>
      </tp>
      <tp t="s">
        <v>#N/A N/A</v>
        <stp/>
        <stp>BDH|3479734389509712331</stp>
        <tr r="AC73" s="2"/>
      </tp>
      <tp t="s">
        <v>#N/A N/A</v>
        <stp/>
        <stp>BDH|7287014210528170883</stp>
        <tr r="U14" s="2"/>
      </tp>
      <tp t="s">
        <v>#N/A N/A</v>
        <stp/>
        <stp>BDH|6174130147864985168</stp>
        <tr r="F23" s="2"/>
      </tp>
      <tp t="s">
        <v>#N/A N/A</v>
        <stp/>
        <stp>BDH|7458732439523143642</stp>
        <tr r="Y28" s="2"/>
      </tp>
      <tp t="s">
        <v>#N/A N/A</v>
        <stp/>
        <stp>BDH|8175569887541371284</stp>
        <tr r="V20" s="2"/>
      </tp>
      <tp t="s">
        <v>#N/A N/A</v>
        <stp/>
        <stp>BDH|4425851167365469998</stp>
        <tr r="S27" s="2"/>
      </tp>
      <tp t="s">
        <v>#N/A N/A</v>
        <stp/>
        <stp>BDH|8094782084044782532</stp>
        <tr r="L33" s="2"/>
      </tp>
      <tp t="s">
        <v>#N/A N/A</v>
        <stp/>
        <stp>BDH|7328595895349773407</stp>
        <tr r="W52" s="2"/>
      </tp>
      <tp t="s">
        <v>#N/A N/A</v>
        <stp/>
        <stp>BDH|7661048507914423584</stp>
        <tr r="R31" s="2"/>
      </tp>
      <tp t="s">
        <v>#N/A N/A</v>
        <stp/>
        <stp>BDH|1439856485813492496</stp>
        <tr r="Z70" s="2"/>
      </tp>
      <tp t="s">
        <v>#N/A N/A</v>
        <stp/>
        <stp>BDH|2898793792728301295</stp>
        <tr r="S68" s="2"/>
      </tp>
      <tp t="s">
        <v>#N/A N/A</v>
        <stp/>
        <stp>BDH|3883824088717962223</stp>
        <tr r="X27" s="2"/>
      </tp>
      <tp t="s">
        <v>#N/A N/A</v>
        <stp/>
        <stp>BDH|2709620876137360299</stp>
        <tr r="Y46" s="2"/>
      </tp>
      <tp t="s">
        <v>#N/A N/A</v>
        <stp/>
        <stp>BDH|5932233564266224121</stp>
        <tr r="G25" s="2"/>
      </tp>
      <tp t="s">
        <v>#N/A N/A</v>
        <stp/>
        <stp>BDH|9922085742382902944</stp>
        <tr r="Q20" s="2"/>
      </tp>
      <tp t="s">
        <v>#N/A N/A</v>
        <stp/>
        <stp>BDH|1629795416318234955</stp>
        <tr r="AC70" s="2"/>
      </tp>
      <tp t="s">
        <v>#N/A N/A</v>
        <stp/>
        <stp>BDH|9928118885275012333</stp>
        <tr r="G13" s="2"/>
      </tp>
      <tp t="s">
        <v>#N/A N/A</v>
        <stp/>
        <stp>BDH|1558057233806817245</stp>
        <tr r="AA18" s="2"/>
      </tp>
      <tp t="s">
        <v>#N/A N/A</v>
        <stp/>
        <stp>BDH|3521003804920712597</stp>
        <tr r="O38" s="2"/>
        <tr r="O50" s="2"/>
      </tp>
      <tp t="s">
        <v>#N/A N/A</v>
        <stp/>
        <stp>BDH|1615022758194506653</stp>
        <tr r="AB14" s="2"/>
      </tp>
      <tp t="s">
        <v>#N/A N/A</v>
        <stp/>
        <stp>BDH|7677546064295361795</stp>
        <tr r="O43" s="2"/>
      </tp>
      <tp t="s">
        <v>#N/A N/A</v>
        <stp/>
        <stp>BDH|4005075720826388686</stp>
        <tr r="M42" s="2"/>
      </tp>
      <tp t="s">
        <v>#N/A N/A</v>
        <stp/>
        <stp>BDH|4255187712371728334</stp>
        <tr r="I20" s="2"/>
      </tp>
      <tp t="s">
        <v>#N/A N/A</v>
        <stp/>
        <stp>BDH|9455739268727189939</stp>
        <tr r="Q17" s="2"/>
      </tp>
      <tp t="s">
        <v>#N/A N/A</v>
        <stp/>
        <stp>BDH|3714427714193524360</stp>
        <tr r="N41" s="2"/>
      </tp>
      <tp t="s">
        <v>#N/A N/A</v>
        <stp/>
        <stp>BDH|7936884482076855798</stp>
        <tr r="N12" s="2"/>
      </tp>
      <tp t="s">
        <v>#N/A N/A</v>
        <stp/>
        <stp>BDH|7310715882726282807</stp>
        <tr r="AB64" s="2"/>
      </tp>
      <tp t="s">
        <v>#N/A N/A</v>
        <stp/>
        <stp>BDH|9493698385194348584</stp>
        <tr r="AC60" s="2"/>
      </tp>
      <tp t="s">
        <v>#N/A N/A</v>
        <stp/>
        <stp>BDH|9582733367479213702</stp>
        <tr r="P36" s="2"/>
      </tp>
      <tp t="s">
        <v>#N/A N/A</v>
        <stp/>
        <stp>BDH|3468419870421559704</stp>
        <tr r="V71" s="2"/>
      </tp>
      <tp t="s">
        <v>#N/A N/A</v>
        <stp/>
        <stp>BDH|9041891746331623281</stp>
        <tr r="Q15" s="2"/>
      </tp>
      <tp t="s">
        <v>#N/A N/A</v>
        <stp/>
        <stp>BDH|3401274941531666250</stp>
        <tr r="K16" s="2"/>
      </tp>
      <tp t="s">
        <v>#N/A N/A</v>
        <stp/>
        <stp>BDH|5854368638667157461</stp>
        <tr r="C12" s="2"/>
      </tp>
      <tp t="s">
        <v>#N/A N/A</v>
        <stp/>
        <stp>BDH|7699780119692873598</stp>
        <tr r="D74" s="2"/>
      </tp>
      <tp t="s">
        <v>#N/A N/A</v>
        <stp/>
        <stp>BDH|6334573428366277180</stp>
        <tr r="P20" s="2"/>
      </tp>
      <tp t="s">
        <v>#N/A N/A</v>
        <stp/>
        <stp>BDH|7171977734092260962</stp>
        <tr r="AA26" s="2"/>
      </tp>
      <tp t="s">
        <v>#N/A N/A</v>
        <stp/>
        <stp>BDH|6164974785214615537</stp>
        <tr r="L34" s="2"/>
      </tp>
      <tp t="s">
        <v>#N/A N/A</v>
        <stp/>
        <stp>BDH|5784539636265721038</stp>
        <tr r="P72" s="2"/>
      </tp>
      <tp t="s">
        <v>#N/A N/A</v>
        <stp/>
        <stp>BDH|6116258988809910321</stp>
        <tr r="J9" s="2"/>
      </tp>
      <tp t="s">
        <v>#N/A N/A</v>
        <stp/>
        <stp>BDH|7863671844734468785</stp>
        <tr r="M7" s="2"/>
      </tp>
      <tp t="s">
        <v>#N/A N/A</v>
        <stp/>
        <stp>BDH|5531227542767061227</stp>
        <tr r="AD49" s="2"/>
      </tp>
      <tp t="s">
        <v>#N/A N/A</v>
        <stp/>
        <stp>BDH|6141520959582800256</stp>
        <tr r="Z58" s="2"/>
      </tp>
      <tp t="s">
        <v>#N/A N/A</v>
        <stp/>
        <stp>BDH|3493812656310668829</stp>
        <tr r="S57" s="2"/>
      </tp>
      <tp t="s">
        <v>#N/A N/A</v>
        <stp/>
        <stp>BDH|3259253816273376559</stp>
        <tr r="X50" s="2"/>
        <tr r="X38" s="2"/>
      </tp>
      <tp t="s">
        <v>#N/A N/A</v>
        <stp/>
        <stp>BDH|6908844058885147835</stp>
        <tr r="O49" s="2"/>
      </tp>
      <tp t="s">
        <v>#N/A N/A</v>
        <stp/>
        <stp>BDH|3911720630388599994</stp>
        <tr r="Z57" s="2"/>
      </tp>
      <tp t="s">
        <v>#N/A N/A</v>
        <stp/>
        <stp>BDH|4432149239406815655</stp>
        <tr r="AC26" s="2"/>
      </tp>
      <tp t="s">
        <v>#N/A N/A</v>
        <stp/>
        <stp>BDH|4912734144576985736</stp>
        <tr r="O42" s="2"/>
      </tp>
      <tp t="s">
        <v>#N/A N/A</v>
        <stp/>
        <stp>BDH|1571339224480111675</stp>
        <tr r="G30" s="2"/>
      </tp>
      <tp t="s">
        <v>#N/A N/A</v>
        <stp/>
        <stp>BDH|5074268809968337996</stp>
        <tr r="P14" s="2"/>
      </tp>
      <tp t="s">
        <v>#N/A N/A</v>
        <stp/>
        <stp>BDH|6349435704256806297</stp>
        <tr r="Q71" s="2"/>
      </tp>
      <tp t="s">
        <v>#N/A N/A</v>
        <stp/>
        <stp>BDH|1574110223232311618</stp>
        <tr r="N45" s="2"/>
      </tp>
      <tp t="s">
        <v>#N/A N/A</v>
        <stp/>
        <stp>BDH|2080175080425006826</stp>
        <tr r="R71" s="2"/>
      </tp>
      <tp t="s">
        <v>#N/A N/A</v>
        <stp/>
        <stp>BDH|1745880403557710900</stp>
        <tr r="S36" s="2"/>
      </tp>
      <tp t="s">
        <v>#N/A N/A</v>
        <stp/>
        <stp>BDH|1435584125658678944</stp>
        <tr r="D50" s="2"/>
        <tr r="D38" s="2"/>
      </tp>
      <tp t="s">
        <v>#N/A N/A</v>
        <stp/>
        <stp>BDH|5456474331427996204</stp>
        <tr r="L11" s="2"/>
      </tp>
      <tp t="s">
        <v>#N/A N/A</v>
        <stp/>
        <stp>BDH|2408387541234131645</stp>
        <tr r="AD52" s="2"/>
      </tp>
      <tp t="s">
        <v>#N/A N/A</v>
        <stp/>
        <stp>BDH|8825834343483790073</stp>
        <tr r="F45" s="2"/>
      </tp>
      <tp t="s">
        <v>#N/A N/A</v>
        <stp/>
        <stp>BDH|2492659932954269490</stp>
        <tr r="E17" s="2"/>
      </tp>
      <tp t="s">
        <v>#N/A N/A</v>
        <stp/>
        <stp>BDH|2910469281608645119</stp>
        <tr r="AA17" s="2"/>
      </tp>
      <tp t="s">
        <v>#N/A N/A</v>
        <stp/>
        <stp>BDH|2977294274413816355</stp>
        <tr r="Z28" s="2"/>
      </tp>
      <tp t="s">
        <v>#N/A N/A</v>
        <stp/>
        <stp>BDH|2128089224646126152</stp>
        <tr r="Y68" s="2"/>
      </tp>
      <tp t="s">
        <v>#N/A N/A</v>
        <stp/>
        <stp>BDH|2555783791208725329</stp>
        <tr r="N31" s="2"/>
      </tp>
      <tp t="s">
        <v>#N/A N/A</v>
        <stp/>
        <stp>BDH|1018466497582852909</stp>
        <tr r="R59" s="2"/>
      </tp>
      <tp t="s">
        <v>#N/A N/A</v>
        <stp/>
        <stp>BDH|9098972579790610068</stp>
        <tr r="W14" s="2"/>
      </tp>
      <tp t="s">
        <v>#N/A N/A</v>
        <stp/>
        <stp>BDH|3878941405318422532</stp>
        <tr r="P29" s="2"/>
      </tp>
      <tp t="s">
        <v>#N/A N/A</v>
        <stp/>
        <stp>BDH|4998649072321347323</stp>
        <tr r="U59" s="2"/>
      </tp>
      <tp t="s">
        <v>#N/A N/A</v>
        <stp/>
        <stp>BDH|5736336140357392298</stp>
        <tr r="G66" s="2"/>
      </tp>
      <tp t="s">
        <v>#N/A N/A</v>
        <stp/>
        <stp>BDH|5051540949187280410</stp>
        <tr r="O21" s="2"/>
      </tp>
      <tp t="s">
        <v>#N/A N/A</v>
        <stp/>
        <stp>BDH|8353805623770932578</stp>
        <tr r="T49" s="2"/>
      </tp>
      <tp t="s">
        <v>#N/A N/A</v>
        <stp/>
        <stp>BDH|5824420707684442260</stp>
        <tr r="K71" s="2"/>
      </tp>
      <tp t="s">
        <v>#N/A N/A</v>
        <stp/>
        <stp>BDH|3649094292379531473</stp>
        <tr r="V15" s="2"/>
      </tp>
      <tp t="s">
        <v>#N/A N/A</v>
        <stp/>
        <stp>BDH|5433685999589264488</stp>
        <tr r="X49" s="2"/>
      </tp>
      <tp t="s">
        <v>#N/A N/A</v>
        <stp/>
        <stp>BDH|3939469670282737576</stp>
        <tr r="I54" s="2"/>
      </tp>
      <tp t="s">
        <v>#N/A N/A</v>
        <stp/>
        <stp>BDH|7081003037065976629</stp>
        <tr r="I72" s="2"/>
      </tp>
      <tp t="s">
        <v>#N/A N/A</v>
        <stp/>
        <stp>BDH|8053013599093192556</stp>
        <tr r="O11" s="2"/>
      </tp>
      <tp t="s">
        <v>#N/A N/A</v>
        <stp/>
        <stp>BDH|2905356775767001641</stp>
        <tr r="Z6" s="2"/>
      </tp>
      <tp t="s">
        <v>#N/A N/A</v>
        <stp/>
        <stp>BDH|4459331403938992807</stp>
        <tr r="O7" s="2"/>
      </tp>
      <tp t="s">
        <v>#N/A N/A</v>
        <stp/>
        <stp>BDH|2918637755640132630</stp>
        <tr r="AC28" s="2"/>
      </tp>
      <tp t="s">
        <v>#N/A N/A</v>
        <stp/>
        <stp>BDH|7723007448765309110</stp>
        <tr r="I52" s="2"/>
      </tp>
      <tp t="s">
        <v>#N/A N/A</v>
        <stp/>
        <stp>BDH|4322308200844907477</stp>
        <tr r="L32" s="2"/>
      </tp>
      <tp t="s">
        <v>#N/A N/A</v>
        <stp/>
        <stp>BDH|5262364339845448747</stp>
        <tr r="Y66" s="2"/>
      </tp>
      <tp t="s">
        <v>#N/A N/A</v>
        <stp/>
        <stp>BDH|1375430023910839061</stp>
        <tr r="I32" s="2"/>
      </tp>
      <tp t="s">
        <v>#N/A N/A</v>
        <stp/>
        <stp>BDH|1200941153419529324</stp>
        <tr r="I67" s="2"/>
      </tp>
      <tp t="s">
        <v>#N/A N/A</v>
        <stp/>
        <stp>BDH|7109938479277167983</stp>
        <tr r="J29" s="2"/>
      </tp>
      <tp t="s">
        <v>#N/A N/A</v>
        <stp/>
        <stp>BDH|3433552073844996281</stp>
        <tr r="X30" s="2"/>
      </tp>
      <tp t="s">
        <v>#N/A N/A</v>
        <stp/>
        <stp>BDH|2516579477647040063</stp>
        <tr r="C17" s="2"/>
      </tp>
      <tp t="s">
        <v>#N/A N/A</v>
        <stp/>
        <stp>BDH|4057529857345514636</stp>
        <tr r="D16" s="2"/>
      </tp>
      <tp t="s">
        <v>#N/A N/A</v>
        <stp/>
        <stp>BDH|7261580325986452180</stp>
        <tr r="I68" s="2"/>
      </tp>
      <tp t="s">
        <v>#N/A N/A</v>
        <stp/>
        <stp>BDH|6086597216094802142</stp>
        <tr r="AD65" s="2"/>
      </tp>
      <tp t="s">
        <v>#N/A N/A</v>
        <stp/>
        <stp>BDH|6542213006920419350</stp>
        <tr r="H41" s="2"/>
      </tp>
      <tp t="s">
        <v>#N/A N/A</v>
        <stp/>
        <stp>BDH|7427667064467520730</stp>
        <tr r="Y36" s="2"/>
      </tp>
      <tp t="s">
        <v>#N/A N/A</v>
        <stp/>
        <stp>BDH|8208141461660771802</stp>
        <tr r="H68" s="2"/>
      </tp>
      <tp t="s">
        <v>#N/A N/A</v>
        <stp/>
        <stp>BDH|8211904540174593679</stp>
        <tr r="L40" s="2"/>
      </tp>
      <tp t="s">
        <v>#N/A N/A</v>
        <stp/>
        <stp>BDH|5752964721221323838</stp>
        <tr r="J52" s="2"/>
      </tp>
      <tp t="s">
        <v>#N/A N/A</v>
        <stp/>
        <stp>BDH|5482204344732040603</stp>
        <tr r="D73" s="2"/>
      </tp>
      <tp t="s">
        <v>#N/A N/A</v>
        <stp/>
        <stp>BDH|2037921152679921084</stp>
        <tr r="C54" s="2"/>
      </tp>
      <tp t="s">
        <v>#N/A N/A</v>
        <stp/>
        <stp>BDH|5560665021351116728</stp>
        <tr r="K25" s="2"/>
      </tp>
      <tp t="s">
        <v>#N/A N/A</v>
        <stp/>
        <stp>BDH|7044199639187250532</stp>
        <tr r="C72" s="2"/>
      </tp>
      <tp t="s">
        <v>#N/A N/A</v>
        <stp/>
        <stp>BDH|1053628954087073275</stp>
        <tr r="V53" s="2"/>
      </tp>
      <tp t="s">
        <v>#N/A N/A</v>
        <stp/>
        <stp>BDH|9479744132018466202</stp>
        <tr r="U31" s="2"/>
      </tp>
      <tp t="s">
        <v>#N/A N/A</v>
        <stp/>
        <stp>BDH|6185820722308434331</stp>
        <tr r="C73" s="2"/>
      </tp>
      <tp t="s">
        <v>#N/A N/A</v>
        <stp/>
        <stp>BDH|4494258866973447455</stp>
        <tr r="H53" s="2"/>
      </tp>
      <tp t="s">
        <v>#N/A N/A</v>
        <stp/>
        <stp>BDH|7101299658890616709</stp>
        <tr r="M45" s="2"/>
      </tp>
      <tp t="s">
        <v>#N/A N/A</v>
        <stp/>
        <stp>BDH|4156353851447748249</stp>
        <tr r="Q32" s="2"/>
      </tp>
      <tp t="s">
        <v>#N/A N/A</v>
        <stp/>
        <stp>BDH|3741695438904727574</stp>
        <tr r="AC29" s="2"/>
      </tp>
      <tp t="s">
        <v>#N/A N/A</v>
        <stp/>
        <stp>BDH|7252213786823112933</stp>
        <tr r="G6" s="2"/>
      </tp>
      <tp t="s">
        <v>#N/A N/A</v>
        <stp/>
        <stp>BDH|8422417363629981487</stp>
        <tr r="W43" s="2"/>
      </tp>
      <tp t="s">
        <v>#N/A N/A</v>
        <stp/>
        <stp>BDH|8909377678679892297</stp>
        <tr r="L35" s="2"/>
      </tp>
      <tp t="s">
        <v>#N/A N/A</v>
        <stp/>
        <stp>BDH|8860078982811840617</stp>
        <tr r="I71" s="2"/>
      </tp>
      <tp t="s">
        <v>#N/A N/A</v>
        <stp/>
        <stp>BDH|9391643645399469525</stp>
        <tr r="S8" s="2"/>
      </tp>
      <tp t="s">
        <v>#N/A N/A</v>
        <stp/>
        <stp>BDH|3576822747696246981</stp>
        <tr r="Y23" s="2"/>
      </tp>
      <tp t="s">
        <v>#N/A N/A</v>
        <stp/>
        <stp>BDH|6564866583685333393</stp>
        <tr r="I74" s="2"/>
      </tp>
      <tp t="s">
        <v>#N/A N/A</v>
        <stp/>
        <stp>BDH|5946129500662315625</stp>
        <tr r="S14" s="2"/>
      </tp>
      <tp t="s">
        <v>#N/A N/A</v>
        <stp/>
        <stp>BDH|2708588862265112465</stp>
        <tr r="Y65" s="2"/>
      </tp>
      <tp t="s">
        <v>#N/A N/A</v>
        <stp/>
        <stp>BDH|6182499244342041475</stp>
        <tr r="J25" s="2"/>
      </tp>
      <tp t="s">
        <v>#N/A N/A</v>
        <stp/>
        <stp>BDH|3963407893737858997</stp>
        <tr r="K46" s="2"/>
      </tp>
      <tp t="s">
        <v>#N/A N/A</v>
        <stp/>
        <stp>BDH|6898529372447392304</stp>
        <tr r="AD25" s="2"/>
      </tp>
      <tp t="s">
        <v>#N/A N/A</v>
        <stp/>
        <stp>BDH|4705053344642764296</stp>
        <tr r="AC14" s="2"/>
      </tp>
      <tp t="s">
        <v>#N/A N/A</v>
        <stp/>
        <stp>BDH|1024621362814141598</stp>
        <tr r="J16" s="2"/>
      </tp>
      <tp t="s">
        <v>#N/A N/A</v>
        <stp/>
        <stp>BDH|8734281537401899885</stp>
        <tr r="H43" s="2"/>
      </tp>
      <tp t="s">
        <v>#N/A N/A</v>
        <stp/>
        <stp>BDH|1824750508864890247</stp>
        <tr r="J38" s="2"/>
        <tr r="J50" s="2"/>
      </tp>
      <tp t="s">
        <v>#N/A N/A</v>
        <stp/>
        <stp>BDH|2902229437492296179</stp>
        <tr r="R22" s="2"/>
      </tp>
      <tp t="s">
        <v>#N/A N/A</v>
        <stp/>
        <stp>BDH|2884120993942152818</stp>
        <tr r="E14" s="2"/>
      </tp>
      <tp t="s">
        <v>#N/A N/A</v>
        <stp/>
        <stp>BDH|4581274861201983139</stp>
        <tr r="E65" s="2"/>
      </tp>
      <tp t="s">
        <v>#N/A N/A</v>
        <stp/>
        <stp>BDH|8876879103109089926</stp>
        <tr r="C43" s="2"/>
      </tp>
      <tp t="s">
        <v>#N/A N/A</v>
        <stp/>
        <stp>BDH|6320494616484502770</stp>
        <tr r="T75" s="2"/>
      </tp>
      <tp t="s">
        <v>#N/A N/A</v>
        <stp/>
        <stp>BDH|6849110834105780148</stp>
        <tr r="H67" s="2"/>
      </tp>
      <tp t="s">
        <v>#N/A N/A</v>
        <stp/>
        <stp>BDH|1603385964052367676</stp>
        <tr r="U36" s="2"/>
      </tp>
      <tp t="s">
        <v>#N/A N/A</v>
        <stp/>
        <stp>BDH|2474352951982953677</stp>
        <tr r="J44" s="2"/>
      </tp>
      <tp t="s">
        <v>#N/A N/A</v>
        <stp/>
        <stp>BDH|6359448737295699490</stp>
        <tr r="X7" s="2"/>
      </tp>
      <tp t="s">
        <v>#N/A N/A</v>
        <stp/>
        <stp>BDH|2530029967257667396</stp>
        <tr r="AB33" s="2"/>
      </tp>
      <tp t="s">
        <v>#N/A N/A</v>
        <stp/>
        <stp>BDH|9154071865756958961</stp>
        <tr r="Q35" s="2"/>
      </tp>
      <tp t="s">
        <v>#N/A N/A</v>
        <stp/>
        <stp>BDH|5056386623272259652</stp>
        <tr r="AA20" s="2"/>
      </tp>
      <tp t="s">
        <v>#N/A N/A</v>
        <stp/>
        <stp>BDH|3084273115093941377</stp>
        <tr r="E55" s="2"/>
      </tp>
      <tp t="s">
        <v>#N/A N/A</v>
        <stp/>
        <stp>BDH|3103909098376498519</stp>
        <tr r="O57" s="2"/>
      </tp>
      <tp t="s">
        <v>#N/A N/A</v>
        <stp/>
        <stp>BDH|5071901518805491813</stp>
        <tr r="M66" s="2"/>
      </tp>
      <tp t="s">
        <v>#N/A N/A</v>
        <stp/>
        <stp>BDH|7433964069210655807</stp>
        <tr r="L58" s="2"/>
      </tp>
      <tp t="s">
        <v>#N/A N/A</v>
        <stp/>
        <stp>BDH|3636117344112647488</stp>
        <tr r="AB16" s="2"/>
      </tp>
      <tp t="s">
        <v>#N/A N/A</v>
        <stp/>
        <stp>BDH|5310230751432871049</stp>
        <tr r="O64" s="2"/>
      </tp>
      <tp t="s">
        <v>#N/A N/A</v>
        <stp/>
        <stp>BDH|7589482217550070276</stp>
        <tr r="D10" s="2"/>
      </tp>
      <tp t="s">
        <v>#N/A N/A</v>
        <stp/>
        <stp>BDH|6069185497768910644</stp>
        <tr r="C29" s="2"/>
      </tp>
      <tp t="s">
        <v>#N/A N/A</v>
        <stp/>
        <stp>BDH|5665150930274176303</stp>
        <tr r="D24" s="2"/>
      </tp>
      <tp t="s">
        <v>#N/A N/A</v>
        <stp/>
        <stp>BDH|5135827437856768815</stp>
        <tr r="C46" s="2"/>
      </tp>
      <tp t="s">
        <v>#N/A N/A</v>
        <stp/>
        <stp>BDH|1010875583477575627</stp>
        <tr r="O12" s="2"/>
      </tp>
      <tp t="s">
        <v>#N/A N/A</v>
        <stp/>
        <stp>BDH|9465689938298466432</stp>
        <tr r="J55" s="2"/>
      </tp>
      <tp t="s">
        <v>#N/A N/A</v>
        <stp/>
        <stp>BDH|7026677732947111547</stp>
        <tr r="AC19" s="2"/>
      </tp>
      <tp t="s">
        <v>#N/A N/A</v>
        <stp/>
        <stp>BDH|2113228589458232084</stp>
        <tr r="T68" s="2"/>
      </tp>
      <tp t="s">
        <v>#N/A N/A</v>
        <stp/>
        <stp>BDH|9723627002446091976</stp>
        <tr r="X9" s="2"/>
      </tp>
      <tp t="s">
        <v>#N/A N/A</v>
        <stp/>
        <stp>BDH|8202920958392824610</stp>
        <tr r="P54" s="2"/>
      </tp>
      <tp t="s">
        <v>#N/A N/A</v>
        <stp/>
        <stp>BDH|4347748614504570678</stp>
        <tr r="F16" s="2"/>
      </tp>
      <tp t="s">
        <v>#N/A N/A</v>
        <stp/>
        <stp>BDH|4048482140255058198</stp>
        <tr r="AD67" s="2"/>
      </tp>
      <tp t="s">
        <v>#N/A N/A</v>
        <stp/>
        <stp>BDH|7122851860129305069</stp>
        <tr r="R57" s="2"/>
      </tp>
      <tp t="s">
        <v>#N/A N/A</v>
        <stp/>
        <stp>BDH|3270098269605766042</stp>
        <tr r="T41" s="2"/>
      </tp>
      <tp t="s">
        <v>#N/A N/A</v>
        <stp/>
        <stp>BDH|7784358762992335059</stp>
        <tr r="L52" s="2"/>
      </tp>
      <tp t="s">
        <v>#N/A N/A</v>
        <stp/>
        <stp>BDH|5002233370942714223</stp>
        <tr r="W20" s="2"/>
      </tp>
      <tp t="s">
        <v>#N/A N/A</v>
        <stp/>
        <stp>BDH|9453567523687796903</stp>
        <tr r="P24" s="2"/>
      </tp>
      <tp t="s">
        <v>#N/A N/A</v>
        <stp/>
        <stp>BDH|4733014723293381518</stp>
        <tr r="AA23" s="2"/>
      </tp>
      <tp t="s">
        <v>#N/A N/A</v>
        <stp/>
        <stp>BDH|1895942985968659881</stp>
        <tr r="AD32" s="2"/>
      </tp>
      <tp t="s">
        <v>#N/A N/A</v>
        <stp/>
        <stp>BDH|8013361382666794542</stp>
        <tr r="F60" s="2"/>
      </tp>
      <tp t="s">
        <v>#N/A N/A</v>
        <stp/>
        <stp>BDH|1916967972546899919</stp>
        <tr r="P71" s="2"/>
      </tp>
      <tp t="s">
        <v>#N/A N/A</v>
        <stp/>
        <stp>BDH|5270652696659743335</stp>
        <tr r="AA57" s="2"/>
      </tp>
      <tp t="s">
        <v>#N/A N/A</v>
        <stp/>
        <stp>BDH|5260609955966195039</stp>
        <tr r="T31" s="2"/>
      </tp>
      <tp t="s">
        <v>#N/A N/A</v>
        <stp/>
        <stp>BDH|2050275142950207422</stp>
        <tr r="P39" s="2"/>
      </tp>
      <tp t="s">
        <v>#N/A N/A</v>
        <stp/>
        <stp>BDH|5586495699179216127</stp>
        <tr r="E36" s="2"/>
      </tp>
      <tp t="s">
        <v>#N/A N/A</v>
        <stp/>
        <stp>BDH|4463891115809554485</stp>
        <tr r="H19" s="2"/>
      </tp>
      <tp t="s">
        <v>#N/A N/A</v>
        <stp/>
        <stp>BDH|4779513244175422038</stp>
        <tr r="Z72" s="2"/>
      </tp>
      <tp t="s">
        <v>#N/A N/A</v>
        <stp/>
        <stp>BDH|28578634029653213</stp>
        <tr r="J73" s="2"/>
      </tp>
      <tp t="s">
        <v>#N/A N/A</v>
        <stp/>
        <stp>BDH|7663395025517024005</stp>
        <tr r="N15" s="2"/>
      </tp>
      <tp t="s">
        <v>#N/A N/A</v>
        <stp/>
        <stp>BDH|7222749115470190082</stp>
        <tr r="H65" s="2"/>
      </tp>
      <tp t="s">
        <v>#N/A N/A</v>
        <stp/>
        <stp>BDH|3347565479461032162</stp>
        <tr r="G60" s="2"/>
      </tp>
      <tp t="s">
        <v>#N/A N/A</v>
        <stp/>
        <stp>BDH|3959655758144783595</stp>
        <tr r="N70" s="2"/>
      </tp>
      <tp t="s">
        <v>#N/A N/A</v>
        <stp/>
        <stp>BDH|1729685425530652476</stp>
        <tr r="X46" s="2"/>
      </tp>
      <tp t="s">
        <v>#N/A N/A</v>
        <stp/>
        <stp>BDH|9229611577568665192</stp>
        <tr r="U67" s="2"/>
      </tp>
      <tp t="s">
        <v>#N/A N/A</v>
        <stp/>
        <stp>BDH|6239028729374721158</stp>
        <tr r="D72" s="2"/>
      </tp>
      <tp t="s">
        <v>#N/A N/A</v>
        <stp/>
        <stp>BDH|1803628013062902580</stp>
        <tr r="V12" s="2"/>
      </tp>
      <tp t="s">
        <v>#N/A N/A</v>
        <stp/>
        <stp>BDH|2605236962691621687</stp>
        <tr r="T52" s="2"/>
      </tp>
      <tp t="s">
        <v>#N/A N/A</v>
        <stp/>
        <stp>BDH|3575686427125755340</stp>
        <tr r="W55" s="2"/>
      </tp>
      <tp t="s">
        <v>#N/A N/A</v>
        <stp/>
        <stp>BDH|8625997812659376810</stp>
        <tr r="AA8" s="2"/>
      </tp>
      <tp t="s">
        <v>#N/A N/A</v>
        <stp/>
        <stp>BDH|3913358744503586629</stp>
        <tr r="AA43" s="2"/>
      </tp>
      <tp t="s">
        <v>#N/A N/A</v>
        <stp/>
        <stp>BDH|2963015241590310766</stp>
        <tr r="Y34" s="2"/>
      </tp>
      <tp t="s">
        <v>#N/A N/A</v>
        <stp/>
        <stp>BDH|4833961057441578807</stp>
        <tr r="K6" s="2"/>
      </tp>
      <tp t="s">
        <v>#N/A N/A</v>
        <stp/>
        <stp>BDH|8789062377226861825</stp>
        <tr r="V69" s="2"/>
      </tp>
      <tp t="s">
        <v>#N/A N/A</v>
        <stp/>
        <stp>BDH|3233636993814863967</stp>
        <tr r="S7" s="2"/>
      </tp>
      <tp t="s">
        <v>#N/A N/A</v>
        <stp/>
        <stp>BDH|5688201467462451294</stp>
        <tr r="M64" s="2"/>
      </tp>
      <tp t="s">
        <v>#N/A N/A</v>
        <stp/>
        <stp>BDH|3450689666075398744</stp>
        <tr r="M24" s="2"/>
      </tp>
      <tp t="s">
        <v>#N/A N/A</v>
        <stp/>
        <stp>BDH|3404716456454678487</stp>
        <tr r="H59" s="2"/>
      </tp>
      <tp t="s">
        <v>#N/A N/A</v>
        <stp/>
        <stp>BDH|6193403704912872101</stp>
        <tr r="G12" s="2"/>
      </tp>
      <tp t="s">
        <v>#N/A N/A</v>
        <stp/>
        <stp>BDH|5367082902143612721</stp>
        <tr r="I66" s="2"/>
      </tp>
      <tp t="s">
        <v>#N/A N/A</v>
        <stp/>
        <stp>BDH|5965604414067043402</stp>
        <tr r="L71" s="2"/>
      </tp>
      <tp t="s">
        <v>#N/A N/A</v>
        <stp/>
        <stp>BDH|6414216155300469095</stp>
        <tr r="AA40" s="2"/>
      </tp>
      <tp t="s">
        <v>#N/A N/A</v>
        <stp/>
        <stp>BDH|9734581700644434995</stp>
        <tr r="K60" s="2"/>
      </tp>
      <tp t="s">
        <v>#N/A N/A</v>
        <stp/>
        <stp>BDH|1131176915314798468</stp>
        <tr r="Q66" s="2"/>
      </tp>
      <tp t="s">
        <v>#N/A N/A</v>
        <stp/>
        <stp>BDH|8522906435827650441</stp>
        <tr r="J30" s="2"/>
      </tp>
      <tp t="s">
        <v>#N/A N/A</v>
        <stp/>
        <stp>BDH|4436357303037486159</stp>
        <tr r="M8" s="2"/>
      </tp>
      <tp t="s">
        <v>#N/A N/A</v>
        <stp/>
        <stp>BDH|8488644167149795039</stp>
        <tr r="N57" s="2"/>
      </tp>
      <tp t="s">
        <v>#N/A N/A</v>
        <stp/>
        <stp>BDH|1940175108989331865</stp>
        <tr r="M55" s="2"/>
      </tp>
      <tp t="s">
        <v>#N/A N/A</v>
        <stp/>
        <stp>BDH|8754516144109453166</stp>
        <tr r="P59" s="2"/>
      </tp>
      <tp t="s">
        <v>#N/A N/A</v>
        <stp/>
        <stp>BDH|5426156024325649237</stp>
        <tr r="C21" s="2"/>
      </tp>
      <tp t="s">
        <v>#N/A N/A</v>
        <stp/>
        <stp>BDH|4318149347952744272</stp>
        <tr r="M43" s="2"/>
      </tp>
      <tp t="s">
        <v>#N/A N/A</v>
        <stp/>
        <stp>BDH|8068192988193552347</stp>
        <tr r="W49" s="2"/>
      </tp>
      <tp t="s">
        <v>#N/A N/A</v>
        <stp/>
        <stp>BDH|8029975468293707583</stp>
        <tr r="P7" s="2"/>
      </tp>
      <tp t="s">
        <v>#N/A N/A</v>
        <stp/>
        <stp>BDH|2443123537178977990</stp>
        <tr r="D9" s="2"/>
      </tp>
      <tp t="s">
        <v>#N/A N/A</v>
        <stp/>
        <stp>BDH|5175028350714172536</stp>
        <tr r="E39" s="2"/>
      </tp>
      <tp t="s">
        <v>#N/A N/A</v>
        <stp/>
        <stp>BDH|5103030803390925499</stp>
        <tr r="AC54" s="2"/>
      </tp>
      <tp t="s">
        <v>#N/A N/A</v>
        <stp/>
        <stp>BDH|6287776613338428935</stp>
        <tr r="V65" s="2"/>
      </tp>
      <tp t="s">
        <v>#N/A N/A</v>
        <stp/>
        <stp>BDH|1542595510106458299</stp>
        <tr r="K32" s="2"/>
      </tp>
      <tp t="s">
        <v>#N/A N/A</v>
        <stp/>
        <stp>BDH|3417448476944410546</stp>
        <tr r="I30" s="2"/>
      </tp>
      <tp t="s">
        <v>#N/A N/A</v>
        <stp/>
        <stp>BDH|3198060435527739639</stp>
        <tr r="J72" s="2"/>
      </tp>
      <tp t="s">
        <v>#N/A N/A</v>
        <stp/>
        <stp>BDH|9819334509199618223</stp>
        <tr r="V17" s="2"/>
      </tp>
      <tp t="s">
        <v>#N/A N/A</v>
        <stp/>
        <stp>BDH|5040834975162735963</stp>
        <tr r="C8" s="2"/>
      </tp>
      <tp t="s">
        <v>#N/A N/A</v>
        <stp/>
        <stp>BDH|6949909755458813338</stp>
        <tr r="V19" s="2"/>
      </tp>
      <tp t="s">
        <v>#N/A N/A</v>
        <stp/>
        <stp>BDH|9464842016242425351</stp>
        <tr r="AA70" s="2"/>
      </tp>
      <tp t="s">
        <v>#N/A N/A</v>
        <stp/>
        <stp>BDH|7291639366566400042</stp>
        <tr r="V50" s="2"/>
        <tr r="V38" s="2"/>
      </tp>
      <tp t="s">
        <v>#N/A N/A</v>
        <stp/>
        <stp>BDH|6185772911441421046</stp>
        <tr r="H28" s="2"/>
      </tp>
      <tp t="s">
        <v>#N/A N/A</v>
        <stp/>
        <stp>BDH|8914832263892769591</stp>
        <tr r="AD64" s="2"/>
      </tp>
      <tp t="s">
        <v>#N/A N/A</v>
        <stp/>
        <stp>BDH|3534708533146592070</stp>
        <tr r="P16" s="2"/>
      </tp>
      <tp t="s">
        <v>#N/A N/A</v>
        <stp/>
        <stp>BDH|1553409161562982096</stp>
        <tr r="H69" s="2"/>
      </tp>
      <tp t="s">
        <v>#N/A N/A</v>
        <stp/>
        <stp>BDH|4169241475349162946</stp>
        <tr r="Z18" s="2"/>
      </tp>
      <tp t="s">
        <v>#N/A N/A</v>
        <stp/>
        <stp>BDH|2261172967707536326</stp>
        <tr r="D59" s="2"/>
      </tp>
      <tp t="s">
        <v>#N/A N/A</v>
        <stp/>
        <stp>BDH|6382350869280210287</stp>
        <tr r="S18" s="2"/>
      </tp>
      <tp t="s">
        <v>#N/A N/A</v>
        <stp/>
        <stp>BDH|6687447438136658568</stp>
        <tr r="U23" s="2"/>
      </tp>
      <tp t="s">
        <v>#N/A N/A</v>
        <stp/>
        <stp>BDH|3409707558211013277</stp>
        <tr r="G72" s="2"/>
      </tp>
      <tp t="s">
        <v>#N/A N/A</v>
        <stp/>
        <stp>BDH|1183820172029833523</stp>
        <tr r="N64" s="2"/>
      </tp>
      <tp t="s">
        <v>#N/A N/A</v>
        <stp/>
        <stp>BDH|6899924570703092918</stp>
        <tr r="T25" s="2"/>
      </tp>
      <tp t="s">
        <v>#N/A N/A</v>
        <stp/>
        <stp>BDH|4615055872058847915</stp>
        <tr r="Y6" s="2"/>
      </tp>
      <tp t="s">
        <v>#N/A N/A</v>
        <stp/>
        <stp>BDH|4979041424756205238</stp>
        <tr r="H40" s="2"/>
      </tp>
      <tp t="s">
        <v>#N/A N/A</v>
        <stp/>
        <stp>BDH|5033683080961608861</stp>
        <tr r="G69" s="2"/>
      </tp>
      <tp t="s">
        <v>#N/A N/A</v>
        <stp/>
        <stp>BDH|9251522772308869129</stp>
        <tr r="T58" s="2"/>
      </tp>
      <tp t="s">
        <v>#N/A N/A</v>
        <stp/>
        <stp>BDH|9478488188433407481</stp>
        <tr r="W27" s="2"/>
      </tp>
      <tp t="s">
        <v>#N/A N/A</v>
        <stp/>
        <stp>BDH|3028126564131915761</stp>
        <tr r="G11" s="2"/>
      </tp>
      <tp t="s">
        <v>#N/A N/A</v>
        <stp/>
        <stp>BDH|8018885475056496304</stp>
        <tr r="T30" s="2"/>
      </tp>
      <tp t="s">
        <v>#N/A N/A</v>
        <stp/>
        <stp>BDH|7159675820654005587</stp>
        <tr r="P26" s="2"/>
      </tp>
      <tp t="s">
        <v>#N/A N/A</v>
        <stp/>
        <stp>BDH|7233253657006956470</stp>
        <tr r="I44" s="2"/>
      </tp>
      <tp t="s">
        <v>#N/A N/A</v>
        <stp/>
        <stp>BDH|5408579559861456602</stp>
        <tr r="AD68" s="2"/>
      </tp>
      <tp t="s">
        <v>#N/A N/A</v>
        <stp/>
        <stp>BDH|7854421038060563298</stp>
        <tr r="K53" s="2"/>
      </tp>
      <tp t="s">
        <v>#N/A N/A</v>
        <stp/>
        <stp>BDH|4469694975965253243</stp>
        <tr r="D60" s="2"/>
      </tp>
      <tp t="s">
        <v>#N/A N/A</v>
        <stp/>
        <stp>BDH|3180448769302557178</stp>
        <tr r="Z29" s="2"/>
      </tp>
      <tp t="s">
        <v>#N/A N/A</v>
        <stp/>
        <stp>BDH|2058538177233968137</stp>
        <tr r="Y18" s="2"/>
      </tp>
      <tp t="s">
        <v>#N/A N/A</v>
        <stp/>
        <stp>BDH|6423480625075424725</stp>
        <tr r="W45" s="2"/>
      </tp>
      <tp t="s">
        <v>#N/A N/A</v>
        <stp/>
        <stp>BDH|2613522886709464496</stp>
        <tr r="J26" s="2"/>
      </tp>
      <tp t="s">
        <v>#N/A N/A</v>
        <stp/>
        <stp>BDH|8113863968943559754</stp>
        <tr r="M13" s="2"/>
      </tp>
      <tp t="s">
        <v>#N/A N/A</v>
        <stp/>
        <stp>BDH|6774406802229837916</stp>
        <tr r="O19" s="2"/>
      </tp>
      <tp t="s">
        <v>#N/A N/A</v>
        <stp/>
        <stp>BDH|6788258817502138593</stp>
        <tr r="Q37" s="2"/>
      </tp>
      <tp t="s">
        <v>#N/A N/A</v>
        <stp/>
        <stp>BDH|3344897243274647923</stp>
        <tr r="U57" s="2"/>
      </tp>
      <tp t="s">
        <v>#N/A N/A</v>
        <stp/>
        <stp>BDH|8058686306978730443</stp>
        <tr r="N11" s="2"/>
      </tp>
      <tp t="s">
        <v>#N/A N/A</v>
        <stp/>
        <stp>BDH|6088438034530380397</stp>
        <tr r="X17" s="2"/>
      </tp>
      <tp t="s">
        <v>#N/A N/A</v>
        <stp/>
        <stp>BDH|5280693202429722831</stp>
        <tr r="L57" s="2"/>
      </tp>
      <tp t="s">
        <v>#N/A N/A</v>
        <stp/>
        <stp>BDH|5387662367244654393</stp>
        <tr r="N60" s="2"/>
      </tp>
      <tp t="s">
        <v>#N/A N/A</v>
        <stp/>
        <stp>BDH|1566889890535794781</stp>
        <tr r="J45" s="2"/>
      </tp>
      <tp t="s">
        <v>#N/A N/A</v>
        <stp/>
        <stp>BDH|4440437073744540135</stp>
        <tr r="AD6" s="2"/>
      </tp>
      <tp t="s">
        <v>#N/A N/A</v>
        <stp/>
        <stp>BDH|9949670597674396082</stp>
        <tr r="D13" s="2"/>
      </tp>
      <tp t="s">
        <v>#N/A N/A</v>
        <stp/>
        <stp>BDH|8678793662519882275</stp>
        <tr r="N17" s="2"/>
      </tp>
      <tp t="s">
        <v>#N/A N/A</v>
        <stp/>
        <stp>BDH|4265645433866536539</stp>
        <tr r="R29" s="2"/>
      </tp>
      <tp t="s">
        <v>#N/A N/A</v>
        <stp/>
        <stp>BDH|9730815270094013052</stp>
        <tr r="V49" s="2"/>
      </tp>
      <tp t="s">
        <v>#N/A N/A</v>
        <stp/>
        <stp>BDH|6496150550507729757</stp>
        <tr r="C32" s="2"/>
      </tp>
      <tp t="s">
        <v>#N/A N/A</v>
        <stp/>
        <stp>BDH|8536909675685288119</stp>
        <tr r="P15" s="2"/>
      </tp>
      <tp t="s">
        <v>#N/A N/A</v>
        <stp/>
        <stp>BDH|4711259360735498761</stp>
        <tr r="H60" s="2"/>
      </tp>
      <tp t="s">
        <v>#N/A N/A</v>
        <stp/>
        <stp>BDH|6267215717266494101</stp>
        <tr r="N20" s="2"/>
      </tp>
      <tp t="s">
        <v>#N/A N/A</v>
        <stp/>
        <stp>BDH|3022066123957624437</stp>
        <tr r="AD28" s="2"/>
      </tp>
      <tp t="s">
        <v>#N/A N/A</v>
        <stp/>
        <stp>BDH|9471161994701139278</stp>
        <tr r="J39" s="2"/>
      </tp>
      <tp t="s">
        <v>#N/A N/A</v>
        <stp/>
        <stp>BDH|1665170137999359855</stp>
        <tr r="Q65" s="2"/>
      </tp>
      <tp t="s">
        <v>#N/A N/A</v>
        <stp/>
        <stp>BDH|8266043561164130874</stp>
        <tr r="L67" s="2"/>
      </tp>
      <tp t="s">
        <v>#N/A N/A</v>
        <stp/>
        <stp>BDH|9757112278975865802</stp>
        <tr r="D49" s="2"/>
      </tp>
      <tp t="s">
        <v>#N/A N/A</v>
        <stp/>
        <stp>BDH|7510462712830475032</stp>
        <tr r="N27" s="2"/>
      </tp>
      <tp t="s">
        <v>#N/A N/A</v>
        <stp/>
        <stp>BDH|6155640460280402467</stp>
        <tr r="T36" s="2"/>
      </tp>
      <tp t="s">
        <v>#N/A N/A</v>
        <stp/>
        <stp>BDH|4222405824947330722</stp>
        <tr r="P35" s="2"/>
      </tp>
      <tp t="s">
        <v>#N/A N/A</v>
        <stp/>
        <stp>BDH|1421660512584323074</stp>
        <tr r="L16" s="2"/>
      </tp>
      <tp t="s">
        <v>#N/A N/A</v>
        <stp/>
        <stp>BDH|8124612687472036637</stp>
        <tr r="F74" s="2"/>
      </tp>
      <tp t="s">
        <v>#N/A N/A</v>
        <stp/>
        <stp>BDH|6714544244607208210</stp>
        <tr r="Z10" s="2"/>
      </tp>
      <tp t="s">
        <v>#N/A N/A</v>
        <stp/>
        <stp>BDH|1733456607801834695</stp>
        <tr r="V59" s="2"/>
      </tp>
      <tp t="s">
        <v>#N/A N/A</v>
        <stp/>
        <stp>BDH|4084548413223588161</stp>
        <tr r="O27" s="2"/>
      </tp>
      <tp t="s">
        <v>#N/A N/A</v>
        <stp/>
        <stp>BDH|8696894724786736683</stp>
        <tr r="G48" s="2"/>
      </tp>
      <tp t="s">
        <v>#N/A N/A</v>
        <stp/>
        <stp>BDH|6991289755091029213</stp>
        <tr r="C15" s="2"/>
      </tp>
      <tp t="s">
        <v>#N/A N/A</v>
        <stp/>
        <stp>BDH|9767499134219881576</stp>
        <tr r="Q54" s="2"/>
      </tp>
      <tp t="s">
        <v>#N/A N/A</v>
        <stp/>
        <stp>BDH|7062162156730502106</stp>
        <tr r="AD24" s="2"/>
      </tp>
      <tp t="s">
        <v>#N/A N/A</v>
        <stp/>
        <stp>BDH|9846881233054152474</stp>
        <tr r="P49" s="2"/>
      </tp>
      <tp t="s">
        <v>#N/A N/A</v>
        <stp/>
        <stp>BDH|20121780545792324</stp>
        <tr r="L41" s="2"/>
      </tp>
      <tp t="s">
        <v>#N/A N/A</v>
        <stp/>
        <stp>BDH|46897906142361559</stp>
        <tr r="AD31" s="2"/>
      </tp>
      <tp t="s">
        <v>#N/A N/A</v>
        <stp/>
        <stp>BDH|9804006102932849889</stp>
        <tr r="D8" s="2"/>
      </tp>
      <tp t="s">
        <v>#N/A N/A</v>
        <stp/>
        <stp>BDH|4137323446697867775</stp>
        <tr r="X75" s="2"/>
      </tp>
      <tp t="s">
        <v>#N/A N/A</v>
        <stp/>
        <stp>BDH|6874939796923242655</stp>
        <tr r="W13" s="2"/>
      </tp>
      <tp t="s">
        <v>#N/A N/A</v>
        <stp/>
        <stp>BDH|2410797203761790733</stp>
        <tr r="W46" s="2"/>
      </tp>
      <tp t="s">
        <v>#N/A N/A</v>
        <stp/>
        <stp>BDH|4305995687756512032</stp>
        <tr r="Y42" s="2"/>
      </tp>
      <tp t="s">
        <v>#N/A N/A</v>
        <stp/>
        <stp>BDH|1327292720074332623</stp>
        <tr r="C13" s="2"/>
      </tp>
      <tp t="s">
        <v>#N/A N/A</v>
        <stp/>
        <stp>BDH|4234682865517571014</stp>
        <tr r="W17" s="2"/>
      </tp>
      <tp t="s">
        <v>#N/A N/A</v>
        <stp/>
        <stp>BDH|9845589519157536972</stp>
        <tr r="AD46" s="2"/>
      </tp>
      <tp t="s">
        <v>#N/A N/A</v>
        <stp/>
        <stp>BDH|6992185149312929294</stp>
        <tr r="J41" s="2"/>
      </tp>
      <tp t="s">
        <v>#N/A N/A</v>
        <stp/>
        <stp>BDH|6672564973903299498</stp>
        <tr r="V44" s="2"/>
      </tp>
      <tp t="s">
        <v>#N/A N/A</v>
        <stp/>
        <stp>BDH|4450528418045579631</stp>
        <tr r="T7" s="2"/>
      </tp>
      <tp t="s">
        <v>#N/A N/A</v>
        <stp/>
        <stp>BDH|2936467263457530404</stp>
        <tr r="Z67" s="2"/>
      </tp>
      <tp t="s">
        <v>#N/A N/A</v>
        <stp/>
        <stp>BDH|8542527825058516492</stp>
        <tr r="Z69" s="2"/>
      </tp>
      <tp t="s">
        <v>#N/A N/A</v>
        <stp/>
        <stp>BDH|7946128353646521634</stp>
        <tr r="S55" s="2"/>
      </tp>
      <tp t="s">
        <v>#N/A N/A</v>
        <stp/>
        <stp>BDH|5072494178626756390</stp>
        <tr r="I58" s="2"/>
      </tp>
      <tp t="s">
        <v>#N/A N/A</v>
        <stp/>
        <stp>BDH|1206576359736276418</stp>
        <tr r="G70" s="2"/>
      </tp>
      <tp t="s">
        <v>#N/A N/A</v>
        <stp/>
        <stp>BDH|3967680868413312364</stp>
        <tr r="L26" s="2"/>
      </tp>
      <tp t="s">
        <v>#N/A N/A</v>
        <stp/>
        <stp>BDH|6734887294982781608</stp>
        <tr r="P30" s="2"/>
      </tp>
      <tp t="s">
        <v>#N/A N/A</v>
        <stp/>
        <stp>BDH|7158259075360908150</stp>
        <tr r="AA37" s="2"/>
      </tp>
      <tp t="s">
        <v>#N/A N/A</v>
        <stp/>
        <stp>BDH|7606209897067689856</stp>
        <tr r="I53" s="2"/>
      </tp>
      <tp t="s">
        <v>#N/A N/A</v>
        <stp/>
        <stp>BDH|8209013970619415544</stp>
        <tr r="M19" s="2"/>
      </tp>
      <tp t="s">
        <v>#N/A N/A</v>
        <stp/>
        <stp>BDH|6932901198593374615</stp>
        <tr r="J40" s="2"/>
      </tp>
      <tp t="s">
        <v>#N/A N/A</v>
        <stp/>
        <stp>BDH|6178468465826866195</stp>
        <tr r="K13" s="2"/>
      </tp>
      <tp t="s">
        <v>#N/A N/A</v>
        <stp/>
        <stp>BDH|6553463346177500231</stp>
        <tr r="K8" s="2"/>
      </tp>
      <tp t="s">
        <v>#N/A N/A</v>
        <stp/>
        <stp>BDH|3962927398696064608</stp>
        <tr r="C55" s="2"/>
      </tp>
      <tp t="s">
        <v>#N/A N/A</v>
        <stp/>
        <stp>BDH|8980283866478293769</stp>
        <tr r="R41" s="2"/>
      </tp>
      <tp t="s">
        <v>#N/A N/A</v>
        <stp/>
        <stp>BDH|6036652147856643149</stp>
        <tr r="AC8" s="2"/>
      </tp>
      <tp t="s">
        <v>#N/A N/A</v>
        <stp/>
        <stp>BDH|4524152756385781611</stp>
        <tr r="AD21" s="2"/>
      </tp>
      <tp t="s">
        <v>#N/A N/A</v>
        <stp/>
        <stp>BDH|3354643600533386544</stp>
        <tr r="H64" s="2"/>
      </tp>
      <tp t="s">
        <v>#N/A N/A</v>
        <stp/>
        <stp>BDH|6149028069821238293</stp>
        <tr r="AD27" s="2"/>
      </tp>
      <tp t="s">
        <v>#N/A N/A</v>
        <stp/>
        <stp>BDH|8437387925249182399</stp>
        <tr r="P6" s="2"/>
      </tp>
      <tp t="s">
        <v>#N/A N/A</v>
        <stp/>
        <stp>BDH|7055864480661724503</stp>
        <tr r="AD59" s="2"/>
      </tp>
      <tp t="s">
        <v>#N/A N/A</v>
        <stp/>
        <stp>BDH|5969099655546000545</stp>
        <tr r="Q59" s="2"/>
      </tp>
      <tp t="s">
        <v>#N/A N/A</v>
        <stp/>
        <stp>BDH|5593314172327314541</stp>
        <tr r="T59" s="2"/>
      </tp>
      <tp t="s">
        <v>#N/A N/A</v>
        <stp/>
        <stp>BDH|4409431122796674752</stp>
        <tr r="D14" s="2"/>
      </tp>
      <tp t="s">
        <v>#N/A N/A</v>
        <stp/>
        <stp>BDH|5153960884531248676</stp>
        <tr r="X24" s="2"/>
      </tp>
      <tp t="s">
        <v>#N/A N/A</v>
        <stp/>
        <stp>BDH|4224157269669176999</stp>
        <tr r="O67" s="2"/>
      </tp>
      <tp t="s">
        <v>#N/A N/A</v>
        <stp/>
        <stp>BDH|9277944137672337257</stp>
        <tr r="G74" s="2"/>
      </tp>
      <tp t="s">
        <v>#N/A N/A</v>
        <stp/>
        <stp>BDH|3942791068031741087</stp>
        <tr r="J75" s="2"/>
      </tp>
      <tp t="s">
        <v>#N/A N/A</v>
        <stp/>
        <stp>BDH|6135060753299268918</stp>
        <tr r="U38" s="2"/>
        <tr r="U50" s="2"/>
      </tp>
      <tp t="s">
        <v>#N/A N/A</v>
        <stp/>
        <stp>BDH|6443322635590465530</stp>
        <tr r="V25" s="2"/>
      </tp>
      <tp t="s">
        <v>#N/A N/A</v>
        <stp/>
        <stp>BDH|4465745687470520861</stp>
        <tr r="Z30" s="2"/>
      </tp>
      <tp t="s">
        <v>#N/A N/A</v>
        <stp/>
        <stp>BDH|5734156258350764294</stp>
        <tr r="J37" s="2"/>
      </tp>
      <tp t="s">
        <v>#N/A N/A</v>
        <stp/>
        <stp>BDH|6555057926725549275</stp>
        <tr r="V21" s="2"/>
      </tp>
      <tp t="s">
        <v>#N/A N/A</v>
        <stp/>
        <stp>BDH|7031016761752448001</stp>
        <tr r="H74" s="2"/>
      </tp>
      <tp t="s">
        <v>#N/A N/A</v>
        <stp/>
        <stp>BDH|4038513507836126431</stp>
        <tr r="M46" s="2"/>
      </tp>
      <tp t="s">
        <v>#N/A N/A</v>
        <stp/>
        <stp>BDH|9140150456176798817</stp>
        <tr r="F15" s="2"/>
      </tp>
      <tp t="s">
        <v>#N/A N/A</v>
        <stp/>
        <stp>BDH|2844070169095175239</stp>
        <tr r="O34" s="2"/>
      </tp>
      <tp t="s">
        <v>#N/A N/A</v>
        <stp/>
        <stp>BDH|4677144957430915398</stp>
        <tr r="T54" s="2"/>
      </tp>
      <tp t="s">
        <v>#N/A N/A</v>
        <stp/>
        <stp>BDH|732059279236337444</stp>
        <tr r="N46" s="2"/>
      </tp>
      <tp t="s">
        <v>#N/A N/A</v>
        <stp/>
        <stp>BDH|218820009389262440</stp>
        <tr r="U70" s="2"/>
      </tp>
      <tp t="s">
        <v>#N/A N/A</v>
        <stp/>
        <stp>BDH|751899193220773425</stp>
        <tr r="X67" s="2"/>
      </tp>
      <tp t="s">
        <v>#N/A N/A</v>
        <stp/>
        <stp>BDH|939940610579568417</stp>
        <tr r="W19" s="2"/>
      </tp>
      <tp t="s">
        <v>#N/A N/A</v>
        <stp/>
        <stp>BDH|504559061334276283</stp>
        <tr r="N32" s="2"/>
      </tp>
      <tp t="s">
        <v>#N/A N/A</v>
        <stp/>
        <stp>BDH|980496261046715124</stp>
        <tr r="O73" s="2"/>
      </tp>
      <tp t="s">
        <v>#N/A N/A</v>
        <stp/>
        <stp>BDH|496761166041128579</stp>
        <tr r="AD66" s="2"/>
      </tp>
      <tp t="s">
        <v>#N/A N/A</v>
        <stp/>
        <stp>BDH|200912843991400888</stp>
        <tr r="R53" s="2"/>
      </tp>
      <tp t="s">
        <v>#N/A N/A</v>
        <stp/>
        <stp>BDH|293584867365395200</stp>
        <tr r="L6" s="2"/>
      </tp>
      <tp t="s">
        <v>#N/A N/A</v>
        <stp/>
        <stp>BDH|176621527003545392</stp>
        <tr r="W29" s="2"/>
      </tp>
      <tp t="s">
        <v>#N/A N/A</v>
        <stp/>
        <stp>BDH|495427190739484060</stp>
        <tr r="Q18" s="2"/>
      </tp>
      <tp t="s">
        <v>#N/A N/A</v>
        <stp/>
        <stp>BDH|271157940775889495</stp>
        <tr r="G33" s="2"/>
      </tp>
      <tp t="s">
        <v>#N/A N/A</v>
        <stp/>
        <stp>BDH|155704843831436661</stp>
        <tr r="R60" s="2"/>
      </tp>
      <tp t="s">
        <v>#N/A N/A</v>
        <stp/>
        <stp>BDH|432261512407537043</stp>
        <tr r="N14" s="2"/>
      </tp>
      <tp t="s">
        <v>#N/A N/A</v>
        <stp/>
        <stp>BDH|837746838041576126</stp>
        <tr r="Q25" s="2"/>
      </tp>
      <tp t="s">
        <v>#N/A N/A</v>
        <stp/>
        <stp>BDH|418624648823556641</stp>
        <tr r="C7" s="2"/>
      </tp>
      <tp t="s">
        <v>#N/A N/A</v>
        <stp/>
        <stp>BDH|525244056897441780</stp>
        <tr r="C37" s="2"/>
      </tp>
      <tp t="s">
        <v>#N/A N/A</v>
        <stp/>
        <stp>BDH|388736391821993899</stp>
        <tr r="W68" s="2"/>
      </tp>
      <tp t="s">
        <v>#N/A N/A</v>
        <stp/>
        <stp>BDH|613711112583418239</stp>
        <tr r="U17" s="2"/>
      </tp>
      <tp t="s">
        <v>#N/A N/A</v>
        <stp/>
        <stp>BDH|407371318010396458</stp>
        <tr r="L60" s="2"/>
      </tp>
      <tp t="s">
        <v>#N/A N/A</v>
        <stp/>
        <stp>BDH|327741001155938421</stp>
        <tr r="Z22" s="2"/>
      </tp>
      <tp t="s">
        <v>#N/A N/A</v>
        <stp/>
        <stp>BDH|247789504419319872</stp>
        <tr r="H10" s="2"/>
      </tp>
      <tp t="s">
        <v>#N/A N/A</v>
        <stp/>
        <stp>BDH|916471846110740651</stp>
        <tr r="U73" s="2"/>
      </tp>
      <tp t="s">
        <v>#N/A N/A</v>
        <stp/>
        <stp>BDH|883145632051633587</stp>
        <tr r="U25" s="2"/>
      </tp>
      <tp t="s">
        <v>#N/A N/A</v>
        <stp/>
        <stp>BDH|530717875877710152</stp>
        <tr r="AC57" s="2"/>
      </tp>
      <tp t="s">
        <v>#N/A N/A</v>
        <stp/>
        <stp>BDH|515286985109343274</stp>
        <tr r="J17" s="2"/>
      </tp>
      <tp t="s">
        <v>#N/A N/A</v>
        <stp/>
        <stp>BDH|722529539770469765</stp>
        <tr r="G27" s="2"/>
      </tp>
      <tp t="s">
        <v>#N/A N/A</v>
        <stp/>
        <stp>BDH|582090023886361525</stp>
        <tr r="E23" s="2"/>
      </tp>
      <tp t="s">
        <v>#N/A N/A</v>
        <stp/>
        <stp>BDH|242769688658183632</stp>
        <tr r="O45" s="2"/>
      </tp>
      <tp t="s">
        <v>#N/A N/A</v>
        <stp/>
        <stp>BDH|280177381588983020</stp>
        <tr r="V68" s="2"/>
      </tp>
      <tp t="s">
        <v>#N/A N/A</v>
        <stp/>
        <stp>BDH|872361892468763311</stp>
        <tr r="C10" s="2"/>
      </tp>
      <tp t="s">
        <v>#N/A N/A</v>
        <stp/>
        <stp>BDH|504230420920189103</stp>
        <tr r="AC65" s="2"/>
      </tp>
      <tp t="s">
        <v>#N/A N/A</v>
        <stp/>
        <stp>BDH|737759350335478676</stp>
        <tr r="P11" s="2"/>
      </tp>
      <tp t="s">
        <v>#N/A N/A</v>
        <stp/>
        <stp>BDH|192019072313561497</stp>
        <tr r="L53" s="2"/>
      </tp>
      <tp t="s">
        <v>#N/A N/A</v>
        <stp/>
        <stp>BDH|932430154475294428</stp>
        <tr r="E68" s="2"/>
      </tp>
      <tp t="s">
        <v>#N/A N/A</v>
        <stp/>
        <stp>BDH|601886525992677863</stp>
        <tr r="F24" s="2"/>
      </tp>
      <tp t="s">
        <v>#N/A N/A</v>
        <stp/>
        <stp>BDH|857246321329329951</stp>
        <tr r="N68" s="2"/>
      </tp>
      <tp t="s">
        <v>#N/A N/A</v>
        <stp/>
        <stp>BDH|622121635976254466</stp>
        <tr r="AD30" s="2"/>
      </tp>
      <tp t="s">
        <v>#N/A N/A</v>
        <stp/>
        <stp>BDH|218848825378128223</stp>
        <tr r="U75" s="2"/>
      </tp>
      <tp t="s">
        <v>#N/A N/A</v>
        <stp/>
        <stp>BDH|681396739963479303</stp>
        <tr r="R19" s="2"/>
      </tp>
      <tp t="s">
        <v>#N/A N/A</v>
        <stp/>
        <stp>BDH|527321281769914168</stp>
        <tr r="AA46" s="2"/>
      </tp>
      <tp t="s">
        <v>#N/A N/A</v>
        <stp/>
        <stp>BDH|390791055358367959</stp>
        <tr r="Y30" s="2"/>
      </tp>
      <tp t="s">
        <v>#N/A N/A</v>
        <stp/>
        <stp>BDH|182578538463066653</stp>
        <tr r="F10" s="2"/>
      </tp>
      <tp t="s">
        <v>#N/A N/A</v>
        <stp/>
        <stp>BDH|639760536751312603</stp>
        <tr r="T48" s="2"/>
      </tp>
      <tp t="s">
        <v>#N/A N/A</v>
        <stp/>
        <stp>BDH|358240781509156074</stp>
        <tr r="W40" s="2"/>
      </tp>
      <tp t="s">
        <v>#N/A N/A</v>
        <stp/>
        <stp>BDH|901273355581090592</stp>
        <tr r="L49" s="2"/>
      </tp>
      <tp t="s">
        <v>#N/A N/A</v>
        <stp/>
        <stp>BDH|766856979509248451</stp>
        <tr r="C68" s="2"/>
      </tp>
      <tp t="s">
        <v>#N/A N/A</v>
        <stp/>
        <stp>BDH|957100201257514411</stp>
        <tr r="E29" s="2"/>
      </tp>
      <tp t="s">
        <v>#N/A N/A</v>
        <stp/>
        <stp>BDH|274609295899456498</stp>
        <tr r="W25" s="2"/>
      </tp>
      <tp t="s">
        <v>#N/A N/A</v>
        <stp/>
        <stp>BDH|144617534321471603</stp>
        <tr r="Y10" s="2"/>
      </tp>
      <tp t="s">
        <v>#N/A N/A</v>
        <stp/>
        <stp>BDH|825152704235528919</stp>
        <tr r="U32" s="2"/>
      </tp>
      <tp t="s">
        <v>#N/A N/A</v>
        <stp/>
        <stp>BDH|892666822891653876</stp>
        <tr r="E25" s="2"/>
      </tp>
      <tp t="s">
        <v>#N/A N/A</v>
        <stp/>
        <stp>BDH|814387803267207992</stp>
        <tr r="X32" s="2"/>
      </tp>
      <tp t="s">
        <v>#N/A N/A</v>
        <stp/>
        <stp>BDH|945267079881654990</stp>
        <tr r="U27" s="2"/>
      </tp>
      <tp t="s">
        <v>#N/A N/A</v>
        <stp/>
        <stp>BDH|997078989060449582</stp>
        <tr r="W71" s="2"/>
      </tp>
      <tp t="s">
        <v>#N/A N/A</v>
        <stp/>
        <stp>BDH|591235450232974929</stp>
        <tr r="S49" s="2"/>
      </tp>
      <tp t="s">
        <v>#N/A N/A</v>
        <stp/>
        <stp>BDH|778636213058993339</stp>
        <tr r="F69" s="2"/>
      </tp>
      <tp t="s">
        <v>#N/A N/A</v>
        <stp/>
        <stp>BDH|986199258130487868</stp>
        <tr r="G52" s="2"/>
      </tp>
      <tp t="s">
        <v>#N/A N/A</v>
        <stp/>
        <stp>BDH|655621528259059192</stp>
        <tr r="G71" s="2"/>
      </tp>
      <tp t="s">
        <v>#N/A N/A</v>
        <stp/>
        <stp>BDH|672659180517775525</stp>
        <tr r="T57" s="2"/>
      </tp>
      <tp t="s">
        <v>#N/A N/A</v>
        <stp/>
        <stp>BDH|946505368597784871</stp>
        <tr r="H33" s="2"/>
      </tp>
      <tp t="s">
        <v>#N/A N/A</v>
        <stp/>
        <stp>BDH|540405929270197917</stp>
        <tr r="J67" s="2"/>
      </tp>
      <tp t="s">
        <v>#N/A N/A</v>
        <stp/>
        <stp>BDH|538073692091949744</stp>
        <tr r="I34" s="2"/>
      </tp>
      <tp t="s">
        <v>#N/A N/A</v>
        <stp/>
        <stp>BDH|393744405278336080</stp>
        <tr r="L70" s="2"/>
      </tp>
      <tp t="s">
        <v>#N/A N/A</v>
        <stp/>
        <stp>BDH|488499164454340900</stp>
        <tr r="Z9" s="2"/>
      </tp>
      <tp t="s">
        <v>#N/A N/A</v>
        <stp/>
        <stp>BDH|299882049120383319</stp>
        <tr r="P48" s="2"/>
      </tp>
      <tp t="s">
        <v>#N/A N/A</v>
        <stp/>
        <stp>BDH|654159515039701633</stp>
        <tr r="AD33" s="2"/>
      </tp>
      <tp t="s">
        <v>#N/A N/A</v>
        <stp/>
        <stp>BDH|746850900036957043</stp>
        <tr r="Q12" s="2"/>
      </tp>
      <tp t="s">
        <v>#N/A N/A</v>
        <stp/>
        <stp>BDH|612292300759725515</stp>
        <tr r="U45" s="2"/>
      </tp>
      <tp t="s">
        <v>#N/A N/A</v>
        <stp/>
        <stp>BDH|935302781080439551</stp>
        <tr r="C60" s="2"/>
      </tp>
      <tp t="s">
        <v>#N/A N/A</v>
        <stp/>
        <stp>BDH|950626323963220900</stp>
        <tr r="L23" s="2"/>
      </tp>
      <tp t="s">
        <v>#N/A N/A</v>
        <stp/>
        <stp>BDH|972827450683237030</stp>
        <tr r="AB74" s="2"/>
      </tp>
      <tp t="s">
        <v>#N/A N/A</v>
        <stp/>
        <stp>BDH|130970547111776265</stp>
        <tr r="AA38" s="2"/>
        <tr r="AA50" s="2"/>
      </tp>
      <tp t="s">
        <v>#N/A N/A</v>
        <stp/>
        <stp>BDH|583567083142594173</stp>
        <tr r="M33" s="2"/>
      </tp>
      <tp t="s">
        <v>#N/A N/A</v>
        <stp/>
        <stp>BDH|647455107528567226</stp>
        <tr r="AD23" s="2"/>
      </tp>
      <tp t="s">
        <v>#N/A N/A</v>
        <stp/>
        <stp>BDH|248625503647950874</stp>
        <tr r="P68" s="2"/>
      </tp>
      <tp t="s">
        <v>#N/A N/A</v>
        <stp/>
        <stp>BDH|820248451257023988</stp>
        <tr r="C75" s="2"/>
      </tp>
      <tp t="s">
        <v>#N/A N/A</v>
        <stp/>
        <stp>BDH|584413065209235247</stp>
        <tr r="L75" s="2"/>
      </tp>
      <tp t="s">
        <v>#N/A N/A</v>
        <stp/>
        <stp>BDH|788413694960745444</stp>
        <tr r="G41" s="2"/>
      </tp>
      <tp t="s">
        <v>#N/A N/A</v>
        <stp/>
        <stp>BDH|253716893014904268</stp>
        <tr r="E9" s="2"/>
      </tp>
      <tp t="s">
        <v>#N/A N/A</v>
        <stp/>
        <stp>BDH|435785168108244197</stp>
        <tr r="M27" s="2"/>
      </tp>
      <tp t="s">
        <v>#N/A N/A</v>
        <stp/>
        <stp>BDH|427830518211066062</stp>
        <tr r="G58" s="2"/>
      </tp>
      <tp t="s">
        <v>#N/A N/A</v>
        <stp/>
        <stp>BDH|687777817938885686</stp>
        <tr r="R7" s="2"/>
      </tp>
      <tp t="s">
        <v>#N/A N/A</v>
        <stp/>
        <stp>BDH|128715831108020409</stp>
        <tr r="AA64" s="2"/>
      </tp>
      <tp t="s">
        <v>#N/A N/A</v>
        <stp/>
        <stp>BDH|436594521207667898</stp>
        <tr r="Q11" s="2"/>
      </tp>
      <tp t="s">
        <v>#N/A N/A</v>
        <stp/>
        <stp>BDH|439097495103266173</stp>
        <tr r="K33" s="2"/>
      </tp>
      <tp t="s">
        <v>#N/A N/A</v>
        <stp/>
        <stp>BDH|722386720692578871</stp>
        <tr r="N73" s="2"/>
      </tp>
      <tp t="s">
        <v>#N/A N/A</v>
        <stp/>
        <stp>BDH|567103212538822395</stp>
        <tr r="Y12" s="2"/>
      </tp>
      <tp t="s">
        <v>#N/A N/A</v>
        <stp/>
        <stp>BDH|460310925542004839</stp>
        <tr r="AB9" s="2"/>
      </tp>
      <tp t="s">
        <v>#N/A N/A</v>
        <stp/>
        <stp>BDH|713222064757450985</stp>
        <tr r="AA30" s="2"/>
      </tp>
      <tp t="s">
        <v>#N/A N/A</v>
        <stp/>
        <stp>BDH|986724577969238355</stp>
        <tr r="E59" s="2"/>
      </tp>
      <tp t="s">
        <v>#N/A N/A</v>
        <stp/>
        <stp>BDH|513023394671477225</stp>
        <tr r="Z53" s="2"/>
      </tp>
      <tp t="s">
        <v>#N/A N/A</v>
        <stp/>
        <stp>BDH|215763911585143954</stp>
        <tr r="W36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6"/>
  <sheetViews>
    <sheetView tabSelected="1" workbookViewId="0"/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5</v>
      </c>
      <c r="B4" s="3"/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64</v>
      </c>
      <c r="AE5" s="5" t="s">
        <v>65</v>
      </c>
      <c r="AF5" s="5" t="s">
        <v>66</v>
      </c>
    </row>
    <row r="6" spans="1:32" x14ac:dyDescent="0.25">
      <c r="A6" s="6" t="s">
        <v>0</v>
      </c>
      <c r="B6" s="6" t="s">
        <v>67</v>
      </c>
      <c r="C6" s="16" cm="1">
        <f t="array" ref="C6">_xll.BDH("CAT US Equity","SALES_REV_TURN","FQ1 2019","FQ1 2019","Currency=USD","Period=FQ","BEST_FPERIOD_OVERRIDE=FQ","FILING_STATUS=MR","SCALING_FORMAT=MLN","FA_ADJUSTED=Adjusted","Sort=A","Dates=H","DateFormat=P","Fill=—","Direction=H","UseDPDF=Y")</f>
        <v>13466</v>
      </c>
      <c r="D6" s="16" cm="1">
        <f t="array" ref="D6">_xll.BDH("CAT US Equity","SALES_REV_TURN","FQ2 2019","FQ2 2019","Currency=USD","Period=FQ","BEST_FPERIOD_OVERRIDE=FQ","FILING_STATUS=MR","SCALING_FORMAT=MLN","FA_ADJUSTED=Adjusted","Sort=A","Dates=H","DateFormat=P","Fill=—","Direction=H","UseDPDF=Y")</f>
        <v>14432</v>
      </c>
      <c r="E6" s="16" cm="1">
        <f t="array" ref="E6">_xll.BDH("CAT US Equity","SALES_REV_TURN","FQ3 2019","FQ3 2019","Currency=USD","Period=FQ","BEST_FPERIOD_OVERRIDE=FQ","FILING_STATUS=MR","SCALING_FORMAT=MLN","FA_ADJUSTED=Adjusted","Sort=A","Dates=H","DateFormat=P","Fill=—","Direction=H","UseDPDF=Y")</f>
        <v>12758</v>
      </c>
      <c r="F6" s="16" cm="1">
        <f t="array" ref="F6">_xll.BDH("CAT US Equity","SALES_REV_TURN","FQ4 2019","FQ4 2019","Currency=USD","Period=FQ","BEST_FPERIOD_OVERRIDE=FQ","FILING_STATUS=MR","SCALING_FORMAT=MLN","FA_ADJUSTED=Adjusted","Sort=A","Dates=H","DateFormat=P","Fill=—","Direction=H","UseDPDF=Y")</f>
        <v>13144</v>
      </c>
      <c r="G6" s="16" cm="1">
        <f t="array" ref="G6">_xll.BDH("CAT US Equity","SALES_REV_TURN","FQ1 2020","FQ1 2020","Currency=USD","Period=FQ","BEST_FPERIOD_OVERRIDE=FQ","FILING_STATUS=MR","SCALING_FORMAT=MLN","FA_ADJUSTED=Adjusted","Sort=A","Dates=H","DateFormat=P","Fill=—","Direction=H","UseDPDF=Y")</f>
        <v>10635</v>
      </c>
      <c r="H6" s="16" cm="1">
        <f t="array" ref="H6">_xll.BDH("CAT US Equity","SALES_REV_TURN","FQ2 2020","FQ2 2020","Currency=USD","Period=FQ","BEST_FPERIOD_OVERRIDE=FQ","FILING_STATUS=MR","SCALING_FORMAT=MLN","FA_ADJUSTED=Adjusted","Sort=A","Dates=H","DateFormat=P","Fill=—","Direction=H","UseDPDF=Y")</f>
        <v>9997</v>
      </c>
      <c r="I6" s="16" cm="1">
        <f t="array" ref="I6">_xll.BDH("CAT US Equity","SALES_REV_TURN","FQ3 2020","FQ3 2020","Currency=USD","Period=FQ","BEST_FPERIOD_OVERRIDE=FQ","FILING_STATUS=MR","SCALING_FORMAT=MLN","FA_ADJUSTED=Adjusted","Sort=A","Dates=H","DateFormat=P","Fill=—","Direction=H","UseDPDF=Y")</f>
        <v>9881</v>
      </c>
      <c r="J6" s="16" cm="1">
        <f t="array" ref="J6">_xll.BDH("CAT US Equity","SALES_REV_TURN","FQ4 2020","FQ4 2020","Currency=USD","Period=FQ","BEST_FPERIOD_OVERRIDE=FQ","FILING_STATUS=MR","SCALING_FORMAT=MLN","FA_ADJUSTED=Adjusted","Sort=A","Dates=H","DateFormat=P","Fill=—","Direction=H","UseDPDF=Y")</f>
        <v>11235</v>
      </c>
      <c r="K6" s="16" cm="1">
        <f t="array" ref="K6">_xll.BDH("CAT US Equity","SALES_REV_TURN","FQ1 2021","FQ1 2021","Currency=USD","Period=FQ","BEST_FPERIOD_OVERRIDE=FQ","FILING_STATUS=MR","SCALING_FORMAT=MLN","FA_ADJUSTED=Adjusted","Sort=A","Dates=H","DateFormat=P","Fill=—","Direction=H","UseDPDF=Y")</f>
        <v>11887</v>
      </c>
      <c r="L6" s="16" cm="1">
        <f t="array" ref="L6">_xll.BDH("CAT US Equity","SALES_REV_TURN","FQ2 2021","FQ2 2021","Currency=USD","Period=FQ","BEST_FPERIOD_OVERRIDE=FQ","FILING_STATUS=MR","SCALING_FORMAT=MLN","FA_ADJUSTED=Adjusted","Sort=A","Dates=H","DateFormat=P","Fill=—","Direction=H","UseDPDF=Y")</f>
        <v>12889</v>
      </c>
      <c r="M6" s="16" cm="1">
        <f t="array" ref="M6">_xll.BDH("CAT US Equity","SALES_REV_TURN","FQ3 2021","FQ3 2021","Currency=USD","Period=FQ","BEST_FPERIOD_OVERRIDE=FQ","FILING_STATUS=MR","SCALING_FORMAT=MLN","FA_ADJUSTED=Adjusted","Sort=A","Dates=H","DateFormat=P","Fill=—","Direction=H","UseDPDF=Y")</f>
        <v>12397</v>
      </c>
      <c r="N6" s="16" cm="1">
        <f t="array" ref="N6">_xll.BDH("CAT US Equity","SALES_REV_TURN","FQ4 2021","FQ4 2021","Currency=USD","Period=FQ","BEST_FPERIOD_OVERRIDE=FQ","FILING_STATUS=MR","SCALING_FORMAT=MLN","FA_ADJUSTED=Adjusted","Sort=A","Dates=H","DateFormat=P","Fill=—","Direction=H","UseDPDF=Y")</f>
        <v>13798</v>
      </c>
      <c r="O6" s="16" cm="1">
        <f t="array" ref="O6">_xll.BDH("CAT US Equity","SALES_REV_TURN","FQ1 2022","FQ1 2022","Currency=USD","Period=FQ","BEST_FPERIOD_OVERRIDE=FQ","FILING_STATUS=MR","SCALING_FORMAT=MLN","FA_ADJUSTED=Adjusted","Sort=A","Dates=H","DateFormat=P","Fill=—","Direction=H","UseDPDF=Y")</f>
        <v>13589</v>
      </c>
      <c r="P6" s="16" cm="1">
        <f t="array" ref="P6">_xll.BDH("CAT US Equity","SALES_REV_TURN","FQ2 2022","FQ2 2022","Currency=USD","Period=FQ","BEST_FPERIOD_OVERRIDE=FQ","FILING_STATUS=MR","SCALING_FORMAT=MLN","FA_ADJUSTED=Adjusted","Sort=A","Dates=H","DateFormat=P","Fill=—","Direction=H","UseDPDF=Y")</f>
        <v>14247</v>
      </c>
      <c r="Q6" s="16" cm="1">
        <f t="array" ref="Q6">_xll.BDH("CAT US Equity","SALES_REV_TURN","FQ3 2022","FQ3 2022","Currency=USD","Period=FQ","BEST_FPERIOD_OVERRIDE=FQ","FILING_STATUS=MR","SCALING_FORMAT=MLN","FA_ADJUSTED=Adjusted","Sort=A","Dates=H","DateFormat=P","Fill=—","Direction=H","UseDPDF=Y")</f>
        <v>14994</v>
      </c>
      <c r="R6" s="16" cm="1">
        <f t="array" ref="R6">_xll.BDH("CAT US Equity","SALES_REV_TURN","FQ4 2022","FQ4 2022","Currency=USD","Period=FQ","BEST_FPERIOD_OVERRIDE=FQ","FILING_STATUS=MR","SCALING_FORMAT=MLN","FA_ADJUSTED=Adjusted","Sort=A","Dates=H","DateFormat=P","Fill=—","Direction=H","UseDPDF=Y")</f>
        <v>16597</v>
      </c>
      <c r="S6" s="16" cm="1">
        <f t="array" ref="S6">_xll.BDH("CAT US Equity","SALES_REV_TURN","FQ1 2023","FQ1 2023","Currency=USD","Period=FQ","BEST_FPERIOD_OVERRIDE=FQ","FILING_STATUS=MR","SCALING_FORMAT=MLN","FA_ADJUSTED=Adjusted","Sort=A","Dates=H","DateFormat=P","Fill=—","Direction=H","UseDPDF=Y")</f>
        <v>15862</v>
      </c>
      <c r="T6" s="16" cm="1">
        <f t="array" ref="T6">_xll.BDH("CAT US Equity","SALES_REV_TURN","FQ2 2023","FQ2 2023","Currency=USD","Period=FQ","BEST_FPERIOD_OVERRIDE=FQ","FILING_STATUS=MR","SCALING_FORMAT=MLN","FA_ADJUSTED=Adjusted","Sort=A","Dates=H","DateFormat=P","Fill=—","Direction=H","UseDPDF=Y")</f>
        <v>17318</v>
      </c>
      <c r="U6" s="16" cm="1">
        <f t="array" ref="U6">_xll.BDH("CAT US Equity","SALES_REV_TURN","FQ3 2023","FQ3 2023","Currency=USD","Period=FQ","BEST_FPERIOD_OVERRIDE=FQ","FILING_STATUS=MR","SCALING_FORMAT=MLN","FA_ADJUSTED=Adjusted","Sort=A","Dates=H","DateFormat=P","Fill=—","Direction=H","UseDPDF=Y")</f>
        <v>16810</v>
      </c>
      <c r="V6" s="16" cm="1">
        <f t="array" ref="V6">_xll.BDH("CAT US Equity","SALES_REV_TURN","FQ4 2023","FQ4 2023","Currency=USD","Period=FQ","BEST_FPERIOD_OVERRIDE=FQ","FILING_STATUS=MR","SCALING_FORMAT=MLN","FA_ADJUSTED=Adjusted","Sort=A","Dates=H","DateFormat=P","Fill=—","Direction=H","UseDPDF=Y")</f>
        <v>17070</v>
      </c>
      <c r="W6" s="16" cm="1">
        <f t="array" ref="W6">_xll.BDH("CAT US Equity","SALES_REV_TURN","FQ1 2024","FQ1 2024","Currency=USD","Period=FQ","BEST_FPERIOD_OVERRIDE=FQ","FILING_STATUS=MR","SCALING_FORMAT=MLN","FA_ADJUSTED=Adjusted","Sort=A","Dates=H","DateFormat=P","Fill=—","Direction=H","UseDPDF=Y")</f>
        <v>15799</v>
      </c>
      <c r="X6" s="16" cm="1">
        <f t="array" ref="X6">_xll.BDH("CAT US Equity","SALES_REV_TURN","FQ2 2024","FQ2 2024","Currency=USD","Period=FQ","BEST_FPERIOD_OVERRIDE=FQ","FILING_STATUS=MR","SCALING_FORMAT=MLN","FA_ADJUSTED=Adjusted","Sort=A","Dates=H","DateFormat=P","Fill=—","Direction=H","UseDPDF=Y")</f>
        <v>16689</v>
      </c>
      <c r="Y6" s="16" cm="1">
        <f t="array" ref="Y6">_xll.BDH("CAT US Equity","SALES_REV_TURN","FQ3 2024","FQ3 2024","Currency=USD","Period=FQ","BEST_FPERIOD_OVERRIDE=FQ","FILING_STATUS=MR","SCALING_FORMAT=MLN","FA_ADJUSTED=Adjusted","Sort=A","Dates=H","DateFormat=P","Fill=—","Direction=H","UseDPDF=Y")</f>
        <v>16106</v>
      </c>
      <c r="Z6" s="16" cm="1">
        <f t="array" ref="Z6">_xll.BDH("CAT US Equity","SALES_REV_TURN","FQ4 2024","FQ4 2024","Currency=USD","Period=FQ","BEST_FPERIOD_OVERRIDE=FQ","FILING_STATUS=MR","SCALING_FORMAT=MLN","FA_ADJUSTED=Adjusted","Sort=A","Dates=H","DateFormat=P","Fill=—","Direction=H","UseDPDF=Y")</f>
        <v>16215</v>
      </c>
      <c r="AA6" s="16" cm="1">
        <f t="array" ref="AA6">_xll.BDH("CAT US Equity","SALES_REV_TURN","FQ1 2025","FQ1 2025","Currency=USD","Period=FQ","BEST_FPERIOD_OVERRIDE=FQ","FILING_STATUS=MR","SCALING_FORMAT=MLN","FA_ADJUSTED=Adjusted","Sort=A","Dates=H","DateFormat=P","Fill=—","Direction=H","UseDPDF=Y")</f>
        <v>14249</v>
      </c>
      <c r="AB6" s="16" cm="1">
        <f t="array" ref="AB6">_xll.BDH("CAT US Equity","SALES_REV_TURN","FQ2 2025","FQ2 2025","Currency=USD","Period=FQ","BEST_FPERIOD_OVERRIDE=FQ","FILING_STATUS=MR","SCALING_FORMAT=MLN","FA_ADJUSTED=Adjusted","Sort=A","Dates=H","DateFormat=P","Fill=—","Direction=H","UseDPDF=Y")</f>
        <v>16569</v>
      </c>
      <c r="AC6" s="16" cm="1">
        <f t="array" ref="AC6">_xll.BDH("CAT US Equity","SALES_REV_TURN","FQ3 2025","FQ3 2025","Currency=USD","Period=FQ","BEST_FPERIOD_OVERRIDE=FQ","FILING_STATUS=MR","SCALING_FORMAT=MLN","FA_ADJUSTED=Adjusted","Sort=A","Dates=H","DateFormat=P","Fill=—","Direction=H","UseDPDF=Y")</f>
        <v>17638</v>
      </c>
      <c r="AD6" s="16" cm="1">
        <f t="array" ref="AD6">_xll.BDH("CAT US Equity","SALES_REV_TURN","FQ4 2025","FQ4 2025","Currency=USD","Period=FQ","BEST_FPERIOD_OVERRIDE=FQ","FILING_STATUS=MR","SCALING_FORMAT=MLN","FA_ADJUSTED=Adjusted","Sort=A","Dates=H","DateFormat=P","Fill=—","Direction=H","UseDPDF=Y")</f>
        <v>19133</v>
      </c>
      <c r="AE6" s="16">
        <v>15393.705882352901</v>
      </c>
      <c r="AF6" s="16">
        <v>17354.2352941176</v>
      </c>
    </row>
    <row r="7" spans="1:32" x14ac:dyDescent="0.25">
      <c r="A7" s="10" t="s">
        <v>68</v>
      </c>
      <c r="B7" s="10" t="s">
        <v>69</v>
      </c>
      <c r="C7" s="13" cm="1">
        <f t="array" ref="C7">_xll.BDH("CAT US Equity","IS_SALES_AND_SERVICES_REVENUES","FQ1 2019","FQ1 2019","Currency=USD","Period=FQ","BEST_FPERIOD_OVERRIDE=FQ","FILING_STATUS=MR","SCALING_FORMAT=MLN","FA_ADJUSTED=Adjusted","Sort=A","Dates=H","DateFormat=P","Fill=—","Direction=H","UseDPDF=Y")</f>
        <v>12724</v>
      </c>
      <c r="D7" s="13" cm="1">
        <f t="array" ref="D7">_xll.BDH("CAT US Equity","IS_SALES_AND_SERVICES_REVENUES","FQ2 2019","FQ2 2019","Currency=USD","Period=FQ","BEST_FPERIOD_OVERRIDE=FQ","FILING_STATUS=MR","SCALING_FORMAT=MLN","FA_ADJUSTED=Adjusted","Sort=A","Dates=H","DateFormat=P","Fill=—","Direction=H","UseDPDF=Y")</f>
        <v>13671</v>
      </c>
      <c r="E7" s="13" cm="1">
        <f t="array" ref="E7">_xll.BDH("CAT US Equity","IS_SALES_AND_SERVICES_REVENUES","FQ3 2019","FQ3 2019","Currency=USD","Period=FQ","BEST_FPERIOD_OVERRIDE=FQ","FILING_STATUS=MR","SCALING_FORMAT=MLN","FA_ADJUSTED=Adjusted","Sort=A","Dates=H","DateFormat=P","Fill=—","Direction=H","UseDPDF=Y")</f>
        <v>11974</v>
      </c>
      <c r="F7" s="13" cm="1">
        <f t="array" ref="F7">_xll.BDH("CAT US Equity","IS_SALES_AND_SERVICES_REVENUES","FQ4 2019","FQ4 2019","Currency=USD","Period=FQ","BEST_FPERIOD_OVERRIDE=FQ","FILING_STATUS=MR","SCALING_FORMAT=MLN","FA_ADJUSTED=Adjusted","Sort=A","Dates=H","DateFormat=P","Fill=—","Direction=H","UseDPDF=Y")</f>
        <v>12386</v>
      </c>
      <c r="G7" s="13" cm="1">
        <f t="array" ref="G7">_xll.BDH("CAT US Equity","IS_SALES_AND_SERVICES_REVENUES","FQ1 2020","FQ1 2020","Currency=USD","Period=FQ","BEST_FPERIOD_OVERRIDE=FQ","FILING_STATUS=MR","SCALING_FORMAT=MLN","FA_ADJUSTED=Adjusted","Sort=A","Dates=H","DateFormat=P","Fill=—","Direction=H","UseDPDF=Y")</f>
        <v>9914</v>
      </c>
      <c r="H7" s="13" cm="1">
        <f t="array" ref="H7">_xll.BDH("CAT US Equity","IS_SALES_AND_SERVICES_REVENUES","FQ2 2020","FQ2 2020","Currency=USD","Period=FQ","BEST_FPERIOD_OVERRIDE=FQ","FILING_STATUS=MR","SCALING_FORMAT=MLN","FA_ADJUSTED=Adjusted","Sort=A","Dates=H","DateFormat=P","Fill=—","Direction=H","UseDPDF=Y")</f>
        <v>9310</v>
      </c>
      <c r="I7" s="13" cm="1">
        <f t="array" ref="I7">_xll.BDH("CAT US Equity","IS_SALES_AND_SERVICES_REVENUES","FQ3 2020","FQ3 2020","Currency=USD","Period=FQ","BEST_FPERIOD_OVERRIDE=FQ","FILING_STATUS=MR","SCALING_FORMAT=MLN","FA_ADJUSTED=Adjusted","Sort=A","Dates=H","DateFormat=P","Fill=—","Direction=H","UseDPDF=Y")</f>
        <v>9228</v>
      </c>
      <c r="J7" s="13" cm="1">
        <f t="array" ref="J7">_xll.BDH("CAT US Equity","IS_SALES_AND_SERVICES_REVENUES","FQ4 2020","FQ4 2020","Currency=USD","Period=FQ","BEST_FPERIOD_OVERRIDE=FQ","FILING_STATUS=MR","SCALING_FORMAT=MLN","FA_ADJUSTED=Adjusted","Sort=A","Dates=H","DateFormat=P","Fill=—","Direction=H","UseDPDF=Y")</f>
        <v>10570</v>
      </c>
      <c r="K7" s="13" cm="1">
        <f t="array" ref="K7">_xll.BDH("CAT US Equity","IS_SALES_AND_SERVICES_REVENUES","FQ1 2021","FQ1 2021","Currency=USD","Period=FQ","BEST_FPERIOD_OVERRIDE=FQ","FILING_STATUS=MR","SCALING_FORMAT=MLN","FA_ADJUSTED=Adjusted","Sort=A","Dates=H","DateFormat=P","Fill=—","Direction=H","UseDPDF=Y")</f>
        <v>11191</v>
      </c>
      <c r="L7" s="13" cm="1">
        <f t="array" ref="L7">_xll.BDH("CAT US Equity","IS_SALES_AND_SERVICES_REVENUES","FQ2 2021","FQ2 2021","Currency=USD","Period=FQ","BEST_FPERIOD_OVERRIDE=FQ","FILING_STATUS=MR","SCALING_FORMAT=MLN","FA_ADJUSTED=Adjusted","Sort=A","Dates=H","DateFormat=P","Fill=—","Direction=H","UseDPDF=Y")</f>
        <v>12193</v>
      </c>
      <c r="M7" s="13" cm="1">
        <f t="array" ref="M7">_xll.BDH("CAT US Equity","IS_SALES_AND_SERVICES_REVENUES","FQ3 2021","FQ3 2021","Currency=USD","Period=FQ","BEST_FPERIOD_OVERRIDE=FQ","FILING_STATUS=MR","SCALING_FORMAT=MLN","FA_ADJUSTED=Adjusted","Sort=A","Dates=H","DateFormat=P","Fill=—","Direction=H","UseDPDF=Y")</f>
        <v>11707</v>
      </c>
      <c r="N7" s="13" cm="1">
        <f t="array" ref="N7">_xll.BDH("CAT US Equity","IS_SALES_AND_SERVICES_REVENUES","FQ4 2021","FQ4 2021","Currency=USD","Period=FQ","BEST_FPERIOD_OVERRIDE=FQ","FILING_STATUS=MR","SCALING_FORMAT=MLN","FA_ADJUSTED=Adjusted","Sort=A","Dates=H","DateFormat=P","Fill=—","Direction=H","UseDPDF=Y")</f>
        <v>13097</v>
      </c>
      <c r="O7" s="13" cm="1">
        <f t="array" ref="O7">_xll.BDH("CAT US Equity","IS_SALES_AND_SERVICES_REVENUES","FQ1 2022","FQ1 2022","Currency=USD","Period=FQ","BEST_FPERIOD_OVERRIDE=FQ","FILING_STATUS=MR","SCALING_FORMAT=MLN","FA_ADJUSTED=Adjusted","Sort=A","Dates=H","DateFormat=P","Fill=—","Direction=H","UseDPDF=Y")</f>
        <v>12886</v>
      </c>
      <c r="P7" s="13" cm="1">
        <f t="array" ref="P7">_xll.BDH("CAT US Equity","IS_SALES_AND_SERVICES_REVENUES","FQ2 2022","FQ2 2022","Currency=USD","Period=FQ","BEST_FPERIOD_OVERRIDE=FQ","FILING_STATUS=MR","SCALING_FORMAT=MLN","FA_ADJUSTED=Adjusted","Sort=A","Dates=H","DateFormat=P","Fill=—","Direction=H","UseDPDF=Y")</f>
        <v>13539</v>
      </c>
      <c r="Q7" s="13" cm="1">
        <f t="array" ref="Q7">_xll.BDH("CAT US Equity","IS_SALES_AND_SERVICES_REVENUES","FQ3 2022","FQ3 2022","Currency=USD","Period=FQ","BEST_FPERIOD_OVERRIDE=FQ","FILING_STATUS=MR","SCALING_FORMAT=MLN","FA_ADJUSTED=Adjusted","Sort=A","Dates=H","DateFormat=P","Fill=—","Direction=H","UseDPDF=Y")</f>
        <v>14278</v>
      </c>
      <c r="R7" s="13" cm="1">
        <f t="array" ref="R7">_xll.BDH("CAT US Equity","IS_SALES_AND_SERVICES_REVENUES","FQ4 2022","FQ4 2022","Currency=USD","Period=FQ","BEST_FPERIOD_OVERRIDE=FQ","FILING_STATUS=MR","SCALING_FORMAT=MLN","FA_ADJUSTED=Adjusted","Sort=A","Dates=H","DateFormat=P","Fill=—","Direction=H","UseDPDF=Y")</f>
        <v>15871</v>
      </c>
      <c r="S7" s="13" cm="1">
        <f t="array" ref="S7">_xll.BDH("CAT US Equity","IS_SALES_AND_SERVICES_REVENUES","FQ1 2023","FQ1 2023","Currency=USD","Period=FQ","BEST_FPERIOD_OVERRIDE=FQ","FILING_STATUS=MR","SCALING_FORMAT=MLN","FA_ADJUSTED=Adjusted","Sort=A","Dates=H","DateFormat=P","Fill=—","Direction=H","UseDPDF=Y")</f>
        <v>15099</v>
      </c>
      <c r="T7" s="13" cm="1">
        <f t="array" ref="T7">_xll.BDH("CAT US Equity","IS_SALES_AND_SERVICES_REVENUES","FQ2 2023","FQ2 2023","Currency=USD","Period=FQ","BEST_FPERIOD_OVERRIDE=FQ","FILING_STATUS=MR","SCALING_FORMAT=MLN","FA_ADJUSTED=Adjusted","Sort=A","Dates=H","DateFormat=P","Fill=—","Direction=H","UseDPDF=Y")</f>
        <v>16545</v>
      </c>
      <c r="U7" s="13" cm="1">
        <f t="array" ref="U7">_xll.BDH("CAT US Equity","IS_SALES_AND_SERVICES_REVENUES","FQ3 2023","FQ3 2023","Currency=USD","Period=FQ","BEST_FPERIOD_OVERRIDE=FQ","FILING_STATUS=MR","SCALING_FORMAT=MLN","FA_ADJUSTED=Adjusted","Sort=A","Dates=H","DateFormat=P","Fill=—","Direction=H","UseDPDF=Y")</f>
        <v>15988</v>
      </c>
      <c r="V7" s="13" cm="1">
        <f t="array" ref="V7">_xll.BDH("CAT US Equity","IS_SALES_AND_SERVICES_REVENUES","FQ4 2023","FQ4 2023","Currency=USD","Period=FQ","BEST_FPERIOD_OVERRIDE=FQ","FILING_STATUS=MR","SCALING_FORMAT=MLN","FA_ADJUSTED=Adjusted","Sort=A","Dates=H","DateFormat=P","Fill=—","Direction=H","UseDPDF=Y")</f>
        <v>16237</v>
      </c>
      <c r="W7" s="13" cm="1">
        <f t="array" ref="W7">_xll.BDH("CAT US Equity","IS_SALES_AND_SERVICES_REVENUES","FQ1 2024","FQ1 2024","Currency=USD","Period=FQ","BEST_FPERIOD_OVERRIDE=FQ","FILING_STATUS=MR","SCALING_FORMAT=MLN","FA_ADJUSTED=Adjusted","Sort=A","Dates=H","DateFormat=P","Fill=—","Direction=H","UseDPDF=Y")</f>
        <v>14960</v>
      </c>
      <c r="X7" s="13" cm="1">
        <f t="array" ref="X7">_xll.BDH("CAT US Equity","IS_SALES_AND_SERVICES_REVENUES","FQ2 2024","FQ2 2024","Currency=USD","Period=FQ","BEST_FPERIOD_OVERRIDE=FQ","FILING_STATUS=MR","SCALING_FORMAT=MLN","FA_ADJUSTED=Adjusted","Sort=A","Dates=H","DateFormat=P","Fill=—","Direction=H","UseDPDF=Y")</f>
        <v>15840</v>
      </c>
      <c r="Y7" s="13" cm="1">
        <f t="array" ref="Y7">_xll.BDH("CAT US Equity","IS_SALES_AND_SERVICES_REVENUES","FQ3 2024","FQ3 2024","Currency=USD","Period=FQ","BEST_FPERIOD_OVERRIDE=FQ","FILING_STATUS=MR","SCALING_FORMAT=MLN","FA_ADJUSTED=Adjusted","Sort=A","Dates=H","DateFormat=P","Fill=—","Direction=H","UseDPDF=Y")</f>
        <v>15231</v>
      </c>
      <c r="Z7" s="13" cm="1">
        <f t="array" ref="Z7">_xll.BDH("CAT US Equity","IS_SALES_AND_SERVICES_REVENUES","FQ4 2024","FQ4 2024","Currency=USD","Period=FQ","BEST_FPERIOD_OVERRIDE=FQ","FILING_STATUS=MR","SCALING_FORMAT=MLN","FA_ADJUSTED=Adjusted","Sort=A","Dates=H","DateFormat=P","Fill=—","Direction=H","UseDPDF=Y")</f>
        <v>15332</v>
      </c>
      <c r="AA7" s="13" cm="1">
        <f t="array" ref="AA7">_xll.BDH("CAT US Equity","IS_SALES_AND_SERVICES_REVENUES","FQ1 2025","FQ1 2025","Currency=USD","Period=FQ","BEST_FPERIOD_OVERRIDE=FQ","FILING_STATUS=MR","SCALING_FORMAT=MLN","FA_ADJUSTED=Adjusted","Sort=A","Dates=H","DateFormat=P","Fill=—","Direction=H","UseDPDF=Y")</f>
        <v>13378</v>
      </c>
      <c r="AB7" s="13" cm="1">
        <f t="array" ref="AB7">_xll.BDH("CAT US Equity","IS_SALES_AND_SERVICES_REVENUES","FQ2 2025","FQ2 2025","Currency=USD","Period=FQ","BEST_FPERIOD_OVERRIDE=FQ","FILING_STATUS=MR","SCALING_FORMAT=MLN","FA_ADJUSTED=Adjusted","Sort=A","Dates=H","DateFormat=P","Fill=—","Direction=H","UseDPDF=Y")</f>
        <v>15674</v>
      </c>
      <c r="AC7" s="13" cm="1">
        <f t="array" ref="AC7">_xll.BDH("CAT US Equity","IS_SALES_AND_SERVICES_REVENUES","FQ3 2025","FQ3 2025","Currency=USD","Period=FQ","BEST_FPERIOD_OVERRIDE=FQ","FILING_STATUS=MR","SCALING_FORMAT=MLN","FA_ADJUSTED=Adjusted","Sort=A","Dates=H","DateFormat=P","Fill=—","Direction=H","UseDPDF=Y")</f>
        <v>16726</v>
      </c>
      <c r="AD7" s="13" cm="1">
        <f t="array" ref="AD7">_xll.BDH("CAT US Equity","IS_SALES_AND_SERVICES_REVENUES","FQ4 2025","FQ4 2025","Currency=USD","Period=FQ","BEST_FPERIOD_OVERRIDE=FQ","FILING_STATUS=MR","SCALING_FORMAT=MLN","FA_ADJUSTED=Adjusted","Sort=A","Dates=H","DateFormat=P","Fill=—","Direction=H","UseDPDF=Y")</f>
        <v>18202</v>
      </c>
      <c r="AE7" s="13"/>
      <c r="AF7" s="13"/>
    </row>
    <row r="8" spans="1:32" x14ac:dyDescent="0.25">
      <c r="A8" s="10" t="s">
        <v>70</v>
      </c>
      <c r="B8" s="10" t="s">
        <v>71</v>
      </c>
      <c r="C8" s="13" cm="1">
        <f t="array" ref="C8">_xll.BDH("CAT US Equity","IS_ADJUSTED_FIN_SUBSIDIARY_REV","FQ1 2019","FQ1 2019","Currency=USD","Period=FQ","BEST_FPERIOD_OVERRIDE=FQ","FILING_STATUS=MR","SCALING_FORMAT=MLN","Sort=A","Dates=H","DateFormat=P","Fill=—","Direction=H","UseDPDF=Y")</f>
        <v>742</v>
      </c>
      <c r="D8" s="13" cm="1">
        <f t="array" ref="D8">_xll.BDH("CAT US Equity","IS_ADJUSTED_FIN_SUBSIDIARY_REV","FQ2 2019","FQ2 2019","Currency=USD","Period=FQ","BEST_FPERIOD_OVERRIDE=FQ","FILING_STATUS=MR","SCALING_FORMAT=MLN","Sort=A","Dates=H","DateFormat=P","Fill=—","Direction=H","UseDPDF=Y")</f>
        <v>761</v>
      </c>
      <c r="E8" s="13" cm="1">
        <f t="array" ref="E8">_xll.BDH("CAT US Equity","IS_ADJUSTED_FIN_SUBSIDIARY_REV","FQ3 2019","FQ3 2019","Currency=USD","Period=FQ","BEST_FPERIOD_OVERRIDE=FQ","FILING_STATUS=MR","SCALING_FORMAT=MLN","Sort=A","Dates=H","DateFormat=P","Fill=—","Direction=H","UseDPDF=Y")</f>
        <v>784</v>
      </c>
      <c r="F8" s="13" cm="1">
        <f t="array" ref="F8">_xll.BDH("CAT US Equity","IS_ADJUSTED_FIN_SUBSIDIARY_REV","FQ4 2019","FQ4 2019","Currency=USD","Period=FQ","BEST_FPERIOD_OVERRIDE=FQ","FILING_STATUS=MR","SCALING_FORMAT=MLN","Sort=A","Dates=H","DateFormat=P","Fill=—","Direction=H","UseDPDF=Y")</f>
        <v>758</v>
      </c>
      <c r="G8" s="13" cm="1">
        <f t="array" ref="G8">_xll.BDH("CAT US Equity","IS_ADJUSTED_FIN_SUBSIDIARY_REV","FQ1 2020","FQ1 2020","Currency=USD","Period=FQ","BEST_FPERIOD_OVERRIDE=FQ","FILING_STATUS=MR","SCALING_FORMAT=MLN","Sort=A","Dates=H","DateFormat=P","Fill=—","Direction=H","UseDPDF=Y")</f>
        <v>721</v>
      </c>
      <c r="H8" s="13" cm="1">
        <f t="array" ref="H8">_xll.BDH("CAT US Equity","IS_ADJUSTED_FIN_SUBSIDIARY_REV","FQ2 2020","FQ2 2020","Currency=USD","Period=FQ","BEST_FPERIOD_OVERRIDE=FQ","FILING_STATUS=MR","SCALING_FORMAT=MLN","Sort=A","Dates=H","DateFormat=P","Fill=—","Direction=H","UseDPDF=Y")</f>
        <v>687</v>
      </c>
      <c r="I8" s="13" cm="1">
        <f t="array" ref="I8">_xll.BDH("CAT US Equity","IS_ADJUSTED_FIN_SUBSIDIARY_REV","FQ3 2020","FQ3 2020","Currency=USD","Period=FQ","BEST_FPERIOD_OVERRIDE=FQ","FILING_STATUS=MR","SCALING_FORMAT=MLN","Sort=A","Dates=H","DateFormat=P","Fill=—","Direction=H","UseDPDF=Y")</f>
        <v>653</v>
      </c>
      <c r="J8" s="13" cm="1">
        <f t="array" ref="J8">_xll.BDH("CAT US Equity","IS_ADJUSTED_FIN_SUBSIDIARY_REV","FQ4 2020","FQ4 2020","Currency=USD","Period=FQ","BEST_FPERIOD_OVERRIDE=FQ","FILING_STATUS=MR","SCALING_FORMAT=MLN","Sort=A","Dates=H","DateFormat=P","Fill=—","Direction=H","UseDPDF=Y")</f>
        <v>665</v>
      </c>
      <c r="K8" s="13" cm="1">
        <f t="array" ref="K8">_xll.BDH("CAT US Equity","IS_ADJUSTED_FIN_SUBSIDIARY_REV","FQ1 2021","FQ1 2021","Currency=USD","Period=FQ","BEST_FPERIOD_OVERRIDE=FQ","FILING_STATUS=MR","SCALING_FORMAT=MLN","Sort=A","Dates=H","DateFormat=P","Fill=—","Direction=H","UseDPDF=Y")</f>
        <v>696</v>
      </c>
      <c r="L8" s="13" cm="1">
        <f t="array" ref="L8">_xll.BDH("CAT US Equity","IS_ADJUSTED_FIN_SUBSIDIARY_REV","FQ2 2021","FQ2 2021","Currency=USD","Period=FQ","BEST_FPERIOD_OVERRIDE=FQ","FILING_STATUS=MR","SCALING_FORMAT=MLN","Sort=A","Dates=H","DateFormat=P","Fill=—","Direction=H","UseDPDF=Y")</f>
        <v>696</v>
      </c>
      <c r="M8" s="13" cm="1">
        <f t="array" ref="M8">_xll.BDH("CAT US Equity","IS_ADJUSTED_FIN_SUBSIDIARY_REV","FQ3 2021","FQ3 2021","Currency=USD","Period=FQ","BEST_FPERIOD_OVERRIDE=FQ","FILING_STATUS=MR","SCALING_FORMAT=MLN","Sort=A","Dates=H","DateFormat=P","Fill=—","Direction=H","UseDPDF=Y")</f>
        <v>690</v>
      </c>
      <c r="N8" s="13" cm="1">
        <f t="array" ref="N8">_xll.BDH("CAT US Equity","IS_ADJUSTED_FIN_SUBSIDIARY_REV","FQ4 2021","FQ4 2021","Currency=USD","Period=FQ","BEST_FPERIOD_OVERRIDE=FQ","FILING_STATUS=MR","SCALING_FORMAT=MLN","Sort=A","Dates=H","DateFormat=P","Fill=—","Direction=H","UseDPDF=Y")</f>
        <v>701</v>
      </c>
      <c r="O8" s="13" cm="1">
        <f t="array" ref="O8">_xll.BDH("CAT US Equity","IS_ADJUSTED_FIN_SUBSIDIARY_REV","FQ1 2022","FQ1 2022","Currency=USD","Period=FQ","BEST_FPERIOD_OVERRIDE=FQ","FILING_STATUS=MR","SCALING_FORMAT=MLN","Sort=A","Dates=H","DateFormat=P","Fill=—","Direction=H","UseDPDF=Y")</f>
        <v>703</v>
      </c>
      <c r="P8" s="13" cm="1">
        <f t="array" ref="P8">_xll.BDH("CAT US Equity","IS_ADJUSTED_FIN_SUBSIDIARY_REV","FQ2 2022","FQ2 2022","Currency=USD","Period=FQ","BEST_FPERIOD_OVERRIDE=FQ","FILING_STATUS=MR","SCALING_FORMAT=MLN","Sort=A","Dates=H","DateFormat=P","Fill=—","Direction=H","UseDPDF=Y")</f>
        <v>708</v>
      </c>
      <c r="Q8" s="13" cm="1">
        <f t="array" ref="Q8">_xll.BDH("CAT US Equity","IS_ADJUSTED_FIN_SUBSIDIARY_REV","FQ3 2022","FQ3 2022","Currency=USD","Period=FQ","BEST_FPERIOD_OVERRIDE=FQ","FILING_STATUS=MR","SCALING_FORMAT=MLN","Sort=A","Dates=H","DateFormat=P","Fill=—","Direction=H","UseDPDF=Y")</f>
        <v>716</v>
      </c>
      <c r="R8" s="13" cm="1">
        <f t="array" ref="R8">_xll.BDH("CAT US Equity","IS_ADJUSTED_FIN_SUBSIDIARY_REV","FQ4 2022","FQ4 2022","Currency=USD","Period=FQ","BEST_FPERIOD_OVERRIDE=FQ","FILING_STATUS=MR","SCALING_FORMAT=MLN","Sort=A","Dates=H","DateFormat=P","Fill=—","Direction=H","UseDPDF=Y")</f>
        <v>726</v>
      </c>
      <c r="S8" s="13" cm="1">
        <f t="array" ref="S8">_xll.BDH("CAT US Equity","IS_ADJUSTED_FIN_SUBSIDIARY_REV","FQ1 2023","FQ1 2023","Currency=USD","Period=FQ","BEST_FPERIOD_OVERRIDE=FQ","FILING_STATUS=MR","SCALING_FORMAT=MLN","Sort=A","Dates=H","DateFormat=P","Fill=—","Direction=H","UseDPDF=Y")</f>
        <v>763</v>
      </c>
      <c r="T8" s="13" cm="1">
        <f t="array" ref="T8">_xll.BDH("CAT US Equity","IS_ADJUSTED_FIN_SUBSIDIARY_REV","FQ2 2023","FQ2 2023","Currency=USD","Period=FQ","BEST_FPERIOD_OVERRIDE=FQ","FILING_STATUS=MR","SCALING_FORMAT=MLN","Sort=A","Dates=H","DateFormat=P","Fill=—","Direction=H","UseDPDF=Y")</f>
        <v>773</v>
      </c>
      <c r="U8" s="13" cm="1">
        <f t="array" ref="U8">_xll.BDH("CAT US Equity","IS_ADJUSTED_FIN_SUBSIDIARY_REV","FQ3 2023","FQ3 2023","Currency=USD","Period=FQ","BEST_FPERIOD_OVERRIDE=FQ","FILING_STATUS=MR","SCALING_FORMAT=MLN","Sort=A","Dates=H","DateFormat=P","Fill=—","Direction=H","UseDPDF=Y")</f>
        <v>822</v>
      </c>
      <c r="V8" s="13" cm="1">
        <f t="array" ref="V8">_xll.BDH("CAT US Equity","IS_ADJUSTED_FIN_SUBSIDIARY_REV","FQ4 2023","FQ4 2023","Currency=USD","Period=FQ","BEST_FPERIOD_OVERRIDE=FQ","FILING_STATUS=MR","SCALING_FORMAT=MLN","Sort=A","Dates=H","DateFormat=P","Fill=—","Direction=H","UseDPDF=Y")</f>
        <v>833</v>
      </c>
      <c r="W8" s="13" cm="1">
        <f t="array" ref="W8">_xll.BDH("CAT US Equity","IS_ADJUSTED_FIN_SUBSIDIARY_REV","FQ1 2024","FQ1 2024","Currency=USD","Period=FQ","BEST_FPERIOD_OVERRIDE=FQ","FILING_STATUS=MR","SCALING_FORMAT=MLN","Sort=A","Dates=H","DateFormat=P","Fill=—","Direction=H","UseDPDF=Y")</f>
        <v>839</v>
      </c>
      <c r="X8" s="13" cm="1">
        <f t="array" ref="X8">_xll.BDH("CAT US Equity","IS_ADJUSTED_FIN_SUBSIDIARY_REV","FQ2 2024","FQ2 2024","Currency=USD","Period=FQ","BEST_FPERIOD_OVERRIDE=FQ","FILING_STATUS=MR","SCALING_FORMAT=MLN","Sort=A","Dates=H","DateFormat=P","Fill=—","Direction=H","UseDPDF=Y")</f>
        <v>849</v>
      </c>
      <c r="Y8" s="13" cm="1">
        <f t="array" ref="Y8">_xll.BDH("CAT US Equity","IS_ADJUSTED_FIN_SUBSIDIARY_REV","FQ3 2024","FQ3 2024","Currency=USD","Period=FQ","BEST_FPERIOD_OVERRIDE=FQ","FILING_STATUS=MR","SCALING_FORMAT=MLN","Sort=A","Dates=H","DateFormat=P","Fill=—","Direction=H","UseDPDF=Y")</f>
        <v>875</v>
      </c>
      <c r="Z8" s="13" cm="1">
        <f t="array" ref="Z8">_xll.BDH("CAT US Equity","IS_ADJUSTED_FIN_SUBSIDIARY_REV","FQ4 2024","FQ4 2024","Currency=USD","Period=FQ","BEST_FPERIOD_OVERRIDE=FQ","FILING_STATUS=MR","SCALING_FORMAT=MLN","Sort=A","Dates=H","DateFormat=P","Fill=—","Direction=H","UseDPDF=Y")</f>
        <v>883</v>
      </c>
      <c r="AA8" s="13" cm="1">
        <f t="array" ref="AA8">_xll.BDH("CAT US Equity","IS_ADJUSTED_FIN_SUBSIDIARY_REV","FQ1 2025","FQ1 2025","Currency=USD","Period=FQ","BEST_FPERIOD_OVERRIDE=FQ","FILING_STATUS=MR","SCALING_FORMAT=MLN","Sort=A","Dates=H","DateFormat=P","Fill=—","Direction=H","UseDPDF=Y")</f>
        <v>871</v>
      </c>
      <c r="AB8" s="13" cm="1">
        <f t="array" ref="AB8">_xll.BDH("CAT US Equity","IS_ADJUSTED_FIN_SUBSIDIARY_REV","FQ2 2025","FQ2 2025","Currency=USD","Period=FQ","BEST_FPERIOD_OVERRIDE=FQ","FILING_STATUS=MR","SCALING_FORMAT=MLN","Sort=A","Dates=H","DateFormat=P","Fill=—","Direction=H","UseDPDF=Y")</f>
        <v>895</v>
      </c>
      <c r="AC8" s="13" cm="1">
        <f t="array" ref="AC8">_xll.BDH("CAT US Equity","IS_ADJUSTED_FIN_SUBSIDIARY_REV","FQ3 2025","FQ3 2025","Currency=USD","Period=FQ","BEST_FPERIOD_OVERRIDE=FQ","FILING_STATUS=MR","SCALING_FORMAT=MLN","Sort=A","Dates=H","DateFormat=P","Fill=—","Direction=H","UseDPDF=Y")</f>
        <v>912</v>
      </c>
      <c r="AD8" s="13" cm="1">
        <f t="array" ref="AD8">_xll.BDH("CAT US Equity","IS_ADJUSTED_FIN_SUBSIDIARY_REV","FQ4 2025","FQ4 2025","Currency=USD","Period=FQ","BEST_FPERIOD_OVERRIDE=FQ","FILING_STATUS=MR","SCALING_FORMAT=MLN","Sort=A","Dates=H","DateFormat=P","Fill=—","Direction=H","UseDPDF=Y")</f>
        <v>931</v>
      </c>
      <c r="AE8" s="13"/>
      <c r="AF8" s="13"/>
    </row>
    <row r="9" spans="1:32" x14ac:dyDescent="0.25">
      <c r="A9" s="10" t="s">
        <v>72</v>
      </c>
      <c r="B9" s="10" t="s">
        <v>73</v>
      </c>
      <c r="C9" s="13" cm="1">
        <f t="array" ref="C9">_xll.BDH("CAT US Equity","IS_COGS_TO_FE_AND_PP_AND_G","FQ1 2019","FQ1 2019","Currency=USD","Period=FQ","BEST_FPERIOD_OVERRIDE=FQ","FILING_STATUS=MR","SCALING_FORMAT=MLN","FA_ADJUSTED=Adjusted","Sort=A","Dates=H","DateFormat=P","Fill=—","Direction=H","UseDPDF=Y")</f>
        <v>9167</v>
      </c>
      <c r="D9" s="13" cm="1">
        <f t="array" ref="D9">_xll.BDH("CAT US Equity","IS_COGS_TO_FE_AND_PP_AND_G","FQ2 2019","FQ2 2019","Currency=USD","Period=FQ","BEST_FPERIOD_OVERRIDE=FQ","FILING_STATUS=MR","SCALING_FORMAT=MLN","FA_ADJUSTED=Adjusted","Sort=A","Dates=H","DateFormat=P","Fill=—","Direction=H","UseDPDF=Y")</f>
        <v>10062</v>
      </c>
      <c r="E9" s="13" cm="1">
        <f t="array" ref="E9">_xll.BDH("CAT US Equity","IS_COGS_TO_FE_AND_PP_AND_G","FQ3 2019","FQ3 2019","Currency=USD","Period=FQ","BEST_FPERIOD_OVERRIDE=FQ","FILING_STATUS=MR","SCALING_FORMAT=MLN","FA_ADJUSTED=Adjusted","Sort=A","Dates=H","DateFormat=P","Fill=—","Direction=H","UseDPDF=Y")</f>
        <v>8745</v>
      </c>
      <c r="F9" s="13" cm="1">
        <f t="array" ref="F9">_xll.BDH("CAT US Equity","IS_COGS_TO_FE_AND_PP_AND_G","FQ4 2019","FQ4 2019","Currency=USD","Period=FQ","BEST_FPERIOD_OVERRIDE=FQ","FILING_STATUS=MR","SCALING_FORMAT=MLN","FA_ADJUSTED=Adjusted","Sort=A","Dates=H","DateFormat=P","Fill=—","Direction=H","UseDPDF=Y")</f>
        <v>9288</v>
      </c>
      <c r="G9" s="13" cm="1">
        <f t="array" ref="G9">_xll.BDH("CAT US Equity","IS_COGS_TO_FE_AND_PP_AND_G","FQ1 2020","FQ1 2020","Currency=USD","Period=FQ","BEST_FPERIOD_OVERRIDE=FQ","FILING_STATUS=MR","SCALING_FORMAT=MLN","FA_ADJUSTED=Adjusted","Sort=A","Dates=H","DateFormat=P","Fill=—","Direction=H","UseDPDF=Y")</f>
        <v>7425</v>
      </c>
      <c r="H9" s="13" cm="1">
        <f t="array" ref="H9">_xll.BDH("CAT US Equity","IS_COGS_TO_FE_AND_PP_AND_G","FQ2 2020","FQ2 2020","Currency=USD","Period=FQ","BEST_FPERIOD_OVERRIDE=FQ","FILING_STATUS=MR","SCALING_FORMAT=MLN","FA_ADJUSTED=Adjusted","Sort=A","Dates=H","DateFormat=P","Fill=—","Direction=H","UseDPDF=Y")</f>
        <v>7254</v>
      </c>
      <c r="I9" s="13" cm="1">
        <f t="array" ref="I9">_xll.BDH("CAT US Equity","IS_COGS_TO_FE_AND_PP_AND_G","FQ3 2020","FQ3 2020","Currency=USD","Period=FQ","BEST_FPERIOD_OVERRIDE=FQ","FILING_STATUS=MR","SCALING_FORMAT=MLN","FA_ADJUSTED=Adjusted","Sort=A","Dates=H","DateFormat=P","Fill=—","Direction=H","UseDPDF=Y")</f>
        <v>7044</v>
      </c>
      <c r="J9" s="13" cm="1">
        <f t="array" ref="J9">_xll.BDH("CAT US Equity","IS_COGS_TO_FE_AND_PP_AND_G","FQ4 2020","FQ4 2020","Currency=USD","Period=FQ","BEST_FPERIOD_OVERRIDE=FQ","FILING_STATUS=MR","SCALING_FORMAT=MLN","FA_ADJUSTED=Adjusted","Sort=A","Dates=H","DateFormat=P","Fill=—","Direction=H","UseDPDF=Y")</f>
        <v>7905</v>
      </c>
      <c r="K9" s="13" cm="1">
        <f t="array" ref="K9">_xll.BDH("CAT US Equity","IS_COGS_TO_FE_AND_PP_AND_G","FQ1 2021","FQ1 2021","Currency=USD","Period=FQ","BEST_FPERIOD_OVERRIDE=FQ","FILING_STATUS=MR","SCALING_FORMAT=MLN","FA_ADJUSTED=Adjusted","Sort=A","Dates=H","DateFormat=P","Fill=—","Direction=H","UseDPDF=Y")</f>
        <v>8129</v>
      </c>
      <c r="L9" s="13" cm="1">
        <f t="array" ref="L9">_xll.BDH("CAT US Equity","IS_COGS_TO_FE_AND_PP_AND_G","FQ2 2021","FQ2 2021","Currency=USD","Period=FQ","BEST_FPERIOD_OVERRIDE=FQ","FILING_STATUS=MR","SCALING_FORMAT=MLN","FA_ADJUSTED=Adjusted","Sort=A","Dates=H","DateFormat=P","Fill=—","Direction=H","UseDPDF=Y")</f>
        <v>8982</v>
      </c>
      <c r="M9" s="13" cm="1">
        <f t="array" ref="M9">_xll.BDH("CAT US Equity","IS_COGS_TO_FE_AND_PP_AND_G","FQ3 2021","FQ3 2021","Currency=USD","Period=FQ","BEST_FPERIOD_OVERRIDE=FQ","FILING_STATUS=MR","SCALING_FORMAT=MLN","FA_ADJUSTED=Adjusted","Sort=A","Dates=H","DateFormat=P","Fill=—","Direction=H","UseDPDF=Y")</f>
        <v>8719</v>
      </c>
      <c r="N9" s="13" cm="1">
        <f t="array" ref="N9">_xll.BDH("CAT US Equity","IS_COGS_TO_FE_AND_PP_AND_G","FQ4 2021","FQ4 2021","Currency=USD","Period=FQ","BEST_FPERIOD_OVERRIDE=FQ","FILING_STATUS=MR","SCALING_FORMAT=MLN","FA_ADJUSTED=Adjusted","Sort=A","Dates=H","DateFormat=P","Fill=—","Direction=H","UseDPDF=Y")</f>
        <v>10106</v>
      </c>
      <c r="O9" s="13" cm="1">
        <f t="array" ref="O9">_xll.BDH("CAT US Equity","IS_COGS_TO_FE_AND_PP_AND_G","FQ1 2022","FQ1 2022","Currency=USD","Period=FQ","BEST_FPERIOD_OVERRIDE=FQ","FILING_STATUS=MR","SCALING_FORMAT=MLN","FA_ADJUSTED=Adjusted","Sort=A","Dates=H","DateFormat=P","Fill=—","Direction=H","UseDPDF=Y")</f>
        <v>9657</v>
      </c>
      <c r="P9" s="13" cm="1">
        <f t="array" ref="P9">_xll.BDH("CAT US Equity","IS_COGS_TO_FE_AND_PP_AND_G","FQ2 2022","FQ2 2022","Currency=USD","Period=FQ","BEST_FPERIOD_OVERRIDE=FQ","FILING_STATUS=MR","SCALING_FORMAT=MLN","FA_ADJUSTED=Adjusted","Sort=A","Dates=H","DateFormat=P","Fill=—","Direction=H","UseDPDF=Y")</f>
        <v>10090</v>
      </c>
      <c r="Q9" s="13" cm="1">
        <f t="array" ref="Q9">_xll.BDH("CAT US Equity","IS_COGS_TO_FE_AND_PP_AND_G","FQ3 2022","FQ3 2022","Currency=USD","Period=FQ","BEST_FPERIOD_OVERRIDE=FQ","FILING_STATUS=MR","SCALING_FORMAT=MLN","FA_ADJUSTED=Adjusted","Sort=A","Dates=H","DateFormat=P","Fill=—","Direction=H","UseDPDF=Y")</f>
        <v>10340</v>
      </c>
      <c r="R9" s="13" cm="1">
        <f t="array" ref="R9">_xll.BDH("CAT US Equity","IS_COGS_TO_FE_AND_PP_AND_G","FQ4 2022","FQ4 2022","Currency=USD","Period=FQ","BEST_FPERIOD_OVERRIDE=FQ","FILING_STATUS=MR","SCALING_FORMAT=MLN","FA_ADJUSTED=Adjusted","Sort=A","Dates=H","DateFormat=P","Fill=—","Direction=H","UseDPDF=Y")</f>
        <v>11802</v>
      </c>
      <c r="S9" s="13" cm="1">
        <f t="array" ref="S9">_xll.BDH("CAT US Equity","IS_COGS_TO_FE_AND_PP_AND_G","FQ1 2023","FQ1 2023","Currency=USD","Period=FQ","BEST_FPERIOD_OVERRIDE=FQ","FILING_STATUS=MR","SCALING_FORMAT=MLN","FA_ADJUSTED=Adjusted","Sort=A","Dates=H","DateFormat=P","Fill=—","Direction=H","UseDPDF=Y")</f>
        <v>10307</v>
      </c>
      <c r="T9" s="13" cm="1">
        <f t="array" ref="T9">_xll.BDH("CAT US Equity","IS_COGS_TO_FE_AND_PP_AND_G","FQ2 2023","FQ2 2023","Currency=USD","Period=FQ","BEST_FPERIOD_OVERRIDE=FQ","FILING_STATUS=MR","SCALING_FORMAT=MLN","FA_ADJUSTED=Adjusted","Sort=A","Dates=H","DateFormat=P","Fill=—","Direction=H","UseDPDF=Y")</f>
        <v>11291</v>
      </c>
      <c r="U9" s="13" cm="1">
        <f t="array" ref="U9">_xll.BDH("CAT US Equity","IS_COGS_TO_FE_AND_PP_AND_G","FQ3 2023","FQ3 2023","Currency=USD","Period=FQ","BEST_FPERIOD_OVERRIDE=FQ","FILING_STATUS=MR","SCALING_FORMAT=MLN","FA_ADJUSTED=Adjusted","Sort=A","Dates=H","DateFormat=P","Fill=—","Direction=H","UseDPDF=Y")</f>
        <v>10863</v>
      </c>
      <c r="V9" s="13" cm="1">
        <f t="array" ref="V9">_xll.BDH("CAT US Equity","IS_COGS_TO_FE_AND_PP_AND_G","FQ4 2023","FQ4 2023","Currency=USD","Period=FQ","BEST_FPERIOD_OVERRIDE=FQ","FILING_STATUS=MR","SCALING_FORMAT=MLN","FA_ADJUSTED=Adjusted","Sort=A","Dates=H","DateFormat=P","Fill=—","Direction=H","UseDPDF=Y")</f>
        <v>11304</v>
      </c>
      <c r="W9" s="13" cm="1">
        <f t="array" ref="W9">_xll.BDH("CAT US Equity","IS_COGS_TO_FE_AND_PP_AND_G","FQ1 2024","FQ1 2024","Currency=USD","Period=FQ","BEST_FPERIOD_OVERRIDE=FQ","FILING_STATUS=MR","SCALING_FORMAT=MLN","FA_ADJUSTED=Adjusted","Sort=A","Dates=H","DateFormat=P","Fill=—","Direction=H","UseDPDF=Y")</f>
        <v>9960</v>
      </c>
      <c r="X9" s="13" cm="1">
        <f t="array" ref="X9">_xll.BDH("CAT US Equity","IS_COGS_TO_FE_AND_PP_AND_G","FQ2 2024","FQ2 2024","Currency=USD","Period=FQ","BEST_FPERIOD_OVERRIDE=FQ","FILING_STATUS=MR","SCALING_FORMAT=MLN","FA_ADJUSTED=Adjusted","Sort=A","Dates=H","DateFormat=P","Fill=—","Direction=H","UseDPDF=Y")</f>
        <v>10454</v>
      </c>
      <c r="Y9" s="13" cm="1">
        <f t="array" ref="Y9">_xll.BDH("CAT US Equity","IS_COGS_TO_FE_AND_PP_AND_G","FQ3 2024","FQ3 2024","Currency=USD","Period=FQ","BEST_FPERIOD_OVERRIDE=FQ","FILING_STATUS=MR","SCALING_FORMAT=MLN","FA_ADJUSTED=Adjusted","Sort=A","Dates=H","DateFormat=P","Fill=—","Direction=H","UseDPDF=Y")</f>
        <v>10402</v>
      </c>
      <c r="Z9" s="13" cm="1">
        <f t="array" ref="Z9">_xll.BDH("CAT US Equity","IS_COGS_TO_FE_AND_PP_AND_G","FQ4 2024","FQ4 2024","Currency=USD","Period=FQ","BEST_FPERIOD_OVERRIDE=FQ","FILING_STATUS=MR","SCALING_FORMAT=MLN","FA_ADJUSTED=Adjusted","Sort=A","Dates=H","DateFormat=P","Fill=—","Direction=H","UseDPDF=Y")</f>
        <v>10659</v>
      </c>
      <c r="AA9" s="13" cm="1">
        <f t="array" ref="AA9">_xll.BDH("CAT US Equity","IS_COGS_TO_FE_AND_PP_AND_G","FQ1 2025","FQ1 2025","Currency=USD","Period=FQ","BEST_FPERIOD_OVERRIDE=FQ","FILING_STATUS=MR","SCALING_FORMAT=MLN","FA_ADJUSTED=Adjusted","Sort=A","Dates=H","DateFormat=P","Fill=—","Direction=H","UseDPDF=Y")</f>
        <v>9291</v>
      </c>
      <c r="AB9" s="13" cm="1">
        <f t="array" ref="AB9">_xll.BDH("CAT US Equity","IS_COGS_TO_FE_AND_PP_AND_G","FQ2 2025","FQ2 2025","Currency=USD","Period=FQ","BEST_FPERIOD_OVERRIDE=FQ","FILING_STATUS=MR","SCALING_FORMAT=MLN","FA_ADJUSTED=Adjusted","Sort=A","Dates=H","DateFormat=P","Fill=—","Direction=H","UseDPDF=Y")</f>
        <v>11143</v>
      </c>
      <c r="AC9" s="13" cm="1">
        <f t="array" ref="AC9">_xll.BDH("CAT US Equity","IS_COGS_TO_FE_AND_PP_AND_G","FQ3 2025","FQ3 2025","Currency=USD","Period=FQ","BEST_FPERIOD_OVERRIDE=FQ","FILING_STATUS=MR","SCALING_FORMAT=MLN","FA_ADJUSTED=Adjusted","Sort=A","Dates=H","DateFormat=P","Fill=—","Direction=H","UseDPDF=Y")</f>
        <v>12019</v>
      </c>
      <c r="AD9" s="13" cm="1">
        <f t="array" ref="AD9">_xll.BDH("CAT US Equity","IS_COGS_TO_FE_AND_PP_AND_G","FQ4 2025","FQ4 2025","Currency=USD","Period=FQ","BEST_FPERIOD_OVERRIDE=FQ","FILING_STATUS=MR","SCALING_FORMAT=MLN","FA_ADJUSTED=Adjusted","Sort=A","Dates=H","DateFormat=P","Fill=—","Direction=H","UseDPDF=Y")</f>
        <v>13658</v>
      </c>
      <c r="AE9" s="13"/>
      <c r="AF9" s="13"/>
    </row>
    <row r="10" spans="1:32" x14ac:dyDescent="0.25">
      <c r="A10" s="10" t="s">
        <v>74</v>
      </c>
      <c r="B10" s="10" t="s">
        <v>75</v>
      </c>
      <c r="C10" s="13" cm="1">
        <f t="array" ref="C10">_xll.BDH("CAT US Equity","IS_COG_AND_SERVICES_SOLD","FQ1 2019","FQ1 2019","Currency=USD","Period=FQ","BEST_FPERIOD_OVERRIDE=FQ","FILING_STATUS=MR","SCALING_FORMAT=MLN","FA_ADJUSTED=Adjusted","Sort=A","Dates=H","DateFormat=P","Fill=—","Direction=H","UseDPDF=Y")</f>
        <v>8977</v>
      </c>
      <c r="D10" s="13" cm="1">
        <f t="array" ref="D10">_xll.BDH("CAT US Equity","IS_COG_AND_SERVICES_SOLD","FQ2 2019","FQ2 2019","Currency=USD","Period=FQ","BEST_FPERIOD_OVERRIDE=FQ","FILING_STATUS=MR","SCALING_FORMAT=MLN","FA_ADJUSTED=Adjusted","Sort=A","Dates=H","DateFormat=P","Fill=—","Direction=H","UseDPDF=Y")</f>
        <v>9870</v>
      </c>
      <c r="E10" s="13" cm="1">
        <f t="array" ref="E10">_xll.BDH("CAT US Equity","IS_COG_AND_SERVICES_SOLD","FQ3 2019","FQ3 2019","Currency=USD","Period=FQ","BEST_FPERIOD_OVERRIDE=FQ","FILING_STATUS=MR","SCALING_FORMAT=MLN","FA_ADJUSTED=Adjusted","Sort=A","Dates=H","DateFormat=P","Fill=—","Direction=H","UseDPDF=Y")</f>
        <v>8556</v>
      </c>
      <c r="F10" s="13" cm="1">
        <f t="array" ref="F10">_xll.BDH("CAT US Equity","IS_COG_AND_SERVICES_SOLD","FQ4 2019","FQ4 2019","Currency=USD","Period=FQ","BEST_FPERIOD_OVERRIDE=FQ","FILING_STATUS=MR","SCALING_FORMAT=MLN","FA_ADJUSTED=Adjusted","Sort=A","Dates=H","DateFormat=P","Fill=—","Direction=H","UseDPDF=Y")</f>
        <v>9105</v>
      </c>
      <c r="G10" s="13" cm="1">
        <f t="array" ref="G10">_xll.BDH("CAT US Equity","IS_COG_AND_SERVICES_SOLD","FQ1 2020","FQ1 2020","Currency=USD","Period=FQ","BEST_FPERIOD_OVERRIDE=FQ","FILING_STATUS=MR","SCALING_FORMAT=MLN","FA_ADJUSTED=Adjusted","Sort=A","Dates=H","DateFormat=P","Fill=—","Direction=H","UseDPDF=Y")</f>
        <v>7250</v>
      </c>
      <c r="H10" s="13" cm="1">
        <f t="array" ref="H10">_xll.BDH("CAT US Equity","IS_COG_AND_SERVICES_SOLD","FQ2 2020","FQ2 2020","Currency=USD","Period=FQ","BEST_FPERIOD_OVERRIDE=FQ","FILING_STATUS=MR","SCALING_FORMAT=MLN","FA_ADJUSTED=Adjusted","Sort=A","Dates=H","DateFormat=P","Fill=—","Direction=H","UseDPDF=Y")</f>
        <v>7105</v>
      </c>
      <c r="I10" s="13" cm="1">
        <f t="array" ref="I10">_xll.BDH("CAT US Equity","IS_COG_AND_SERVICES_SOLD","FQ3 2020","FQ3 2020","Currency=USD","Period=FQ","BEST_FPERIOD_OVERRIDE=FQ","FILING_STATUS=MR","SCALING_FORMAT=MLN","FA_ADJUSTED=Adjusted","Sort=A","Dates=H","DateFormat=P","Fill=—","Direction=H","UseDPDF=Y")</f>
        <v>6907</v>
      </c>
      <c r="J10" s="13" cm="1">
        <f t="array" ref="J10">_xll.BDH("CAT US Equity","IS_COG_AND_SERVICES_SOLD","FQ4 2020","FQ4 2020","Currency=USD","Period=FQ","BEST_FPERIOD_OVERRIDE=FQ","FILING_STATUS=MR","SCALING_FORMAT=MLN","FA_ADJUSTED=Adjusted","Sort=A","Dates=H","DateFormat=P","Fill=—","Direction=H","UseDPDF=Y")</f>
        <v>7777</v>
      </c>
      <c r="K10" s="13" cm="1">
        <f t="array" ref="K10">_xll.BDH("CAT US Equity","IS_COG_AND_SERVICES_SOLD","FQ1 2021","FQ1 2021","Currency=USD","Period=FQ","BEST_FPERIOD_OVERRIDE=FQ","FILING_STATUS=MR","SCALING_FORMAT=MLN","FA_ADJUSTED=Adjusted","Sort=A","Dates=H","DateFormat=P","Fill=—","Direction=H","UseDPDF=Y")</f>
        <v>8004</v>
      </c>
      <c r="L10" s="13" cm="1">
        <f t="array" ref="L10">_xll.BDH("CAT US Equity","IS_COG_AND_SERVICES_SOLD","FQ2 2021","FQ2 2021","Currency=USD","Period=FQ","BEST_FPERIOD_OVERRIDE=FQ","FILING_STATUS=MR","SCALING_FORMAT=MLN","FA_ADJUSTED=Adjusted","Sort=A","Dates=H","DateFormat=P","Fill=—","Direction=H","UseDPDF=Y")</f>
        <v>8866</v>
      </c>
      <c r="M10" s="13" cm="1">
        <f t="array" ref="M10">_xll.BDH("CAT US Equity","IS_COG_AND_SERVICES_SOLD","FQ3 2021","FQ3 2021","Currency=USD","Period=FQ","BEST_FPERIOD_OVERRIDE=FQ","FILING_STATUS=MR","SCALING_FORMAT=MLN","FA_ADJUSTED=Adjusted","Sort=A","Dates=H","DateFormat=P","Fill=—","Direction=H","UseDPDF=Y")</f>
        <v>8608</v>
      </c>
      <c r="N10" s="13" cm="1">
        <f t="array" ref="N10">_xll.BDH("CAT US Equity","IS_COG_AND_SERVICES_SOLD","FQ4 2021","FQ4 2021","Currency=USD","Period=FQ","BEST_FPERIOD_OVERRIDE=FQ","FILING_STATUS=MR","SCALING_FORMAT=MLN","FA_ADJUSTED=Adjusted","Sort=A","Dates=H","DateFormat=P","Fill=—","Direction=H","UseDPDF=Y")</f>
        <v>10003</v>
      </c>
      <c r="O10" s="13" cm="1">
        <f t="array" ref="O10">_xll.BDH("CAT US Equity","IS_COG_AND_SERVICES_SOLD","FQ1 2022","FQ1 2022","Currency=USD","Period=FQ","BEST_FPERIOD_OVERRIDE=FQ","FILING_STATUS=MR","SCALING_FORMAT=MLN","FA_ADJUSTED=Adjusted","Sort=A","Dates=H","DateFormat=P","Fill=—","Direction=H","UseDPDF=Y")</f>
        <v>9551</v>
      </c>
      <c r="P10" s="13" cm="1">
        <f t="array" ref="P10">_xll.BDH("CAT US Equity","IS_COG_AND_SERVICES_SOLD","FQ2 2022","FQ2 2022","Currency=USD","Period=FQ","BEST_FPERIOD_OVERRIDE=FQ","FILING_STATUS=MR","SCALING_FORMAT=MLN","FA_ADJUSTED=Adjusted","Sort=A","Dates=H","DateFormat=P","Fill=—","Direction=H","UseDPDF=Y")</f>
        <v>9970</v>
      </c>
      <c r="Q10" s="13" cm="1">
        <f t="array" ref="Q10">_xll.BDH("CAT US Equity","IS_COG_AND_SERVICES_SOLD","FQ3 2022","FQ3 2022","Currency=USD","Period=FQ","BEST_FPERIOD_OVERRIDE=FQ","FILING_STATUS=MR","SCALING_FORMAT=MLN","FA_ADJUSTED=Adjusted","Sort=A","Dates=H","DateFormat=P","Fill=—","Direction=H","UseDPDF=Y")</f>
        <v>10189</v>
      </c>
      <c r="R10" s="13" cm="1">
        <f t="array" ref="R10">_xll.BDH("CAT US Equity","IS_COG_AND_SERVICES_SOLD","FQ4 2022","FQ4 2022","Currency=USD","Period=FQ","BEST_FPERIOD_OVERRIDE=FQ","FILING_STATUS=MR","SCALING_FORMAT=MLN","FA_ADJUSTED=Adjusted","Sort=A","Dates=H","DateFormat=P","Fill=—","Direction=H","UseDPDF=Y")</f>
        <v>11614</v>
      </c>
      <c r="S10" s="13" cm="1">
        <f t="array" ref="S10">_xll.BDH("CAT US Equity","IS_COG_AND_SERVICES_SOLD","FQ1 2023","FQ1 2023","Currency=USD","Period=FQ","BEST_FPERIOD_OVERRIDE=FQ","FILING_STATUS=MR","SCALING_FORMAT=MLN","FA_ADJUSTED=Adjusted","Sort=A","Dates=H","DateFormat=P","Fill=—","Direction=H","UseDPDF=Y")</f>
        <v>10090</v>
      </c>
      <c r="T10" s="13" cm="1">
        <f t="array" ref="T10">_xll.BDH("CAT US Equity","IS_COG_AND_SERVICES_SOLD","FQ2 2023","FQ2 2023","Currency=USD","Period=FQ","BEST_FPERIOD_OVERRIDE=FQ","FILING_STATUS=MR","SCALING_FORMAT=MLN","FA_ADJUSTED=Adjusted","Sort=A","Dates=H","DateFormat=P","Fill=—","Direction=H","UseDPDF=Y")</f>
        <v>11046</v>
      </c>
      <c r="U10" s="13" cm="1">
        <f t="array" ref="U10">_xll.BDH("CAT US Equity","IS_COG_AND_SERVICES_SOLD","FQ3 2023","FQ3 2023","Currency=USD","Period=FQ","BEST_FPERIOD_OVERRIDE=FQ","FILING_STATUS=MR","SCALING_FORMAT=MLN","FA_ADJUSTED=Adjusted","Sort=A","Dates=H","DateFormat=P","Fill=—","Direction=H","UseDPDF=Y")</f>
        <v>10583</v>
      </c>
      <c r="V10" s="13" cm="1">
        <f t="array" ref="V10">_xll.BDH("CAT US Equity","IS_COG_AND_SERVICES_SOLD","FQ4 2023","FQ4 2023","Currency=USD","Period=FQ","BEST_FPERIOD_OVERRIDE=FQ","FILING_STATUS=MR","SCALING_FORMAT=MLN","FA_ADJUSTED=Adjusted","Sort=A","Dates=H","DateFormat=P","Fill=—","Direction=H","UseDPDF=Y")</f>
        <v>11016</v>
      </c>
      <c r="W10" s="13" cm="1">
        <f t="array" ref="W10">_xll.BDH("CAT US Equity","IS_COG_AND_SERVICES_SOLD","FQ1 2024","FQ1 2024","Currency=USD","Period=FQ","BEST_FPERIOD_OVERRIDE=FQ","FILING_STATUS=MR","SCALING_FORMAT=MLN","FA_ADJUSTED=Adjusted","Sort=A","Dates=H","DateFormat=P","Fill=—","Direction=H","UseDPDF=Y")</f>
        <v>9662</v>
      </c>
      <c r="X10" s="13" cm="1">
        <f t="array" ref="X10">_xll.BDH("CAT US Equity","IS_COG_AND_SERVICES_SOLD","FQ2 2024","FQ2 2024","Currency=USD","Period=FQ","BEST_FPERIOD_OVERRIDE=FQ","FILING_STATUS=MR","SCALING_FORMAT=MLN","FA_ADJUSTED=Adjusted","Sort=A","Dates=H","DateFormat=P","Fill=—","Direction=H","UseDPDF=Y")</f>
        <v>10140</v>
      </c>
      <c r="Y10" s="13" cm="1">
        <f t="array" ref="Y10">_xll.BDH("CAT US Equity","IS_COG_AND_SERVICES_SOLD","FQ3 2024","FQ3 2024","Currency=USD","Period=FQ","BEST_FPERIOD_OVERRIDE=FQ","FILING_STATUS=MR","SCALING_FORMAT=MLN","FA_ADJUSTED=Adjusted","Sort=A","Dates=H","DateFormat=P","Fill=—","Direction=H","UseDPDF=Y")</f>
        <v>10066</v>
      </c>
      <c r="Z10" s="13" cm="1">
        <f t="array" ref="Z10">_xll.BDH("CAT US Equity","IS_COG_AND_SERVICES_SOLD","FQ4 2024","FQ4 2024","Currency=USD","Period=FQ","BEST_FPERIOD_OVERRIDE=FQ","FILING_STATUS=MR","SCALING_FORMAT=MLN","FA_ADJUSTED=Adjusted","Sort=A","Dates=H","DateFormat=P","Fill=—","Direction=H","UseDPDF=Y")</f>
        <v>10321</v>
      </c>
      <c r="AA10" s="13" cm="1">
        <f t="array" ref="AA10">_xll.BDH("CAT US Equity","IS_COG_AND_SERVICES_SOLD","FQ1 2025","FQ1 2025","Currency=USD","Period=FQ","BEST_FPERIOD_OVERRIDE=FQ","FILING_STATUS=MR","SCALING_FORMAT=MLN","FA_ADJUSTED=Adjusted","Sort=A","Dates=H","DateFormat=P","Fill=—","Direction=H","UseDPDF=Y")</f>
        <v>8965</v>
      </c>
      <c r="AB10" s="13" cm="1">
        <f t="array" ref="AB10">_xll.BDH("CAT US Equity","IS_COG_AND_SERVICES_SOLD","FQ2 2025","FQ2 2025","Currency=USD","Period=FQ","BEST_FPERIOD_OVERRIDE=FQ","FILING_STATUS=MR","SCALING_FORMAT=MLN","FA_ADJUSTED=Adjusted","Sort=A","Dates=H","DateFormat=P","Fill=—","Direction=H","UseDPDF=Y")</f>
        <v>10807</v>
      </c>
      <c r="AC10" s="13" cm="1">
        <f t="array" ref="AC10">_xll.BDH("CAT US Equity","IS_COG_AND_SERVICES_SOLD","FQ3 2025","FQ3 2025","Currency=USD","Period=FQ","BEST_FPERIOD_OVERRIDE=FQ","FILING_STATUS=MR","SCALING_FORMAT=MLN","FA_ADJUSTED=Adjusted","Sort=A","Dates=H","DateFormat=P","Fill=—","Direction=H","UseDPDF=Y")</f>
        <v>11673</v>
      </c>
      <c r="AD10" s="13" cm="1">
        <f t="array" ref="AD10">_xll.BDH("CAT US Equity","IS_COG_AND_SERVICES_SOLD","FQ4 2025","FQ4 2025","Currency=USD","Period=FQ","BEST_FPERIOD_OVERRIDE=FQ","FILING_STATUS=MR","SCALING_FORMAT=MLN","FA_ADJUSTED=Adjusted","Sort=A","Dates=H","DateFormat=P","Fill=—","Direction=H","UseDPDF=Y")</f>
        <v>13307</v>
      </c>
      <c r="AE10" s="13"/>
      <c r="AF10" s="13"/>
    </row>
    <row r="11" spans="1:32" x14ac:dyDescent="0.25">
      <c r="A11" s="10" t="s">
        <v>76</v>
      </c>
      <c r="B11" s="10" t="s">
        <v>77</v>
      </c>
      <c r="C11" s="13" cm="1">
        <f t="array" ref="C11">_xll.BDH("CAT US Equity","IS_COST_OF_FINANCING_REVENUE","FQ1 2019","FQ1 2019","Currency=USD","Period=FQ","BEST_FPERIOD_OVERRIDE=FQ","FILING_STATUS=MR","SCALING_FORMAT=MLN","FA_ADJUSTED=Adjusted","Sort=A","Dates=H","DateFormat=P","Fill=—","Direction=H","UseDPDF=Y")</f>
        <v>190</v>
      </c>
      <c r="D11" s="13" cm="1">
        <f t="array" ref="D11">_xll.BDH("CAT US Equity","IS_COST_OF_FINANCING_REVENUE","FQ2 2019","FQ2 2019","Currency=USD","Period=FQ","BEST_FPERIOD_OVERRIDE=FQ","FILING_STATUS=MR","SCALING_FORMAT=MLN","FA_ADJUSTED=Adjusted","Sort=A","Dates=H","DateFormat=P","Fill=—","Direction=H","UseDPDF=Y")</f>
        <v>192</v>
      </c>
      <c r="E11" s="13" cm="1">
        <f t="array" ref="E11">_xll.BDH("CAT US Equity","IS_COST_OF_FINANCING_REVENUE","FQ3 2019","FQ3 2019","Currency=USD","Period=FQ","BEST_FPERIOD_OVERRIDE=FQ","FILING_STATUS=MR","SCALING_FORMAT=MLN","FA_ADJUSTED=Adjusted","Sort=A","Dates=H","DateFormat=P","Fill=—","Direction=H","UseDPDF=Y")</f>
        <v>189</v>
      </c>
      <c r="F11" s="13" cm="1">
        <f t="array" ref="F11">_xll.BDH("CAT US Equity","IS_COST_OF_FINANCING_REVENUE","FQ4 2019","FQ4 2019","Currency=USD","Period=FQ","BEST_FPERIOD_OVERRIDE=FQ","FILING_STATUS=MR","SCALING_FORMAT=MLN","FA_ADJUSTED=Adjusted","Sort=A","Dates=H","DateFormat=P","Fill=—","Direction=H","UseDPDF=Y")</f>
        <v>183</v>
      </c>
      <c r="G11" s="13" cm="1">
        <f t="array" ref="G11">_xll.BDH("CAT US Equity","IS_COST_OF_FINANCING_REVENUE","FQ1 2020","FQ1 2020","Currency=USD","Period=FQ","BEST_FPERIOD_OVERRIDE=FQ","FILING_STATUS=MR","SCALING_FORMAT=MLN","FA_ADJUSTED=Adjusted","Sort=A","Dates=H","DateFormat=P","Fill=—","Direction=H","UseDPDF=Y")</f>
        <v>175</v>
      </c>
      <c r="H11" s="13" cm="1">
        <f t="array" ref="H11">_xll.BDH("CAT US Equity","IS_COST_OF_FINANCING_REVENUE","FQ2 2020","FQ2 2020","Currency=USD","Period=FQ","BEST_FPERIOD_OVERRIDE=FQ","FILING_STATUS=MR","SCALING_FORMAT=MLN","FA_ADJUSTED=Adjusted","Sort=A","Dates=H","DateFormat=P","Fill=—","Direction=H","UseDPDF=Y")</f>
        <v>149</v>
      </c>
      <c r="I11" s="13" cm="1">
        <f t="array" ref="I11">_xll.BDH("CAT US Equity","IS_COST_OF_FINANCING_REVENUE","FQ3 2020","FQ3 2020","Currency=USD","Period=FQ","BEST_FPERIOD_OVERRIDE=FQ","FILING_STATUS=MR","SCALING_FORMAT=MLN","FA_ADJUSTED=Adjusted","Sort=A","Dates=H","DateFormat=P","Fill=—","Direction=H","UseDPDF=Y")</f>
        <v>137</v>
      </c>
      <c r="J11" s="13" cm="1">
        <f t="array" ref="J11">_xll.BDH("CAT US Equity","IS_COST_OF_FINANCING_REVENUE","FQ4 2020","FQ4 2020","Currency=USD","Period=FQ","BEST_FPERIOD_OVERRIDE=FQ","FILING_STATUS=MR","SCALING_FORMAT=MLN","FA_ADJUSTED=Adjusted","Sort=A","Dates=H","DateFormat=P","Fill=—","Direction=H","UseDPDF=Y")</f>
        <v>128</v>
      </c>
      <c r="K11" s="13" cm="1">
        <f t="array" ref="K11">_xll.BDH("CAT US Equity","IS_COST_OF_FINANCING_REVENUE","FQ1 2021","FQ1 2021","Currency=USD","Period=FQ","BEST_FPERIOD_OVERRIDE=FQ","FILING_STATUS=MR","SCALING_FORMAT=MLN","FA_ADJUSTED=Adjusted","Sort=A","Dates=H","DateFormat=P","Fill=—","Direction=H","UseDPDF=Y")</f>
        <v>125</v>
      </c>
      <c r="L11" s="13" cm="1">
        <f t="array" ref="L11">_xll.BDH("CAT US Equity","IS_COST_OF_FINANCING_REVENUE","FQ2 2021","FQ2 2021","Currency=USD","Period=FQ","BEST_FPERIOD_OVERRIDE=FQ","FILING_STATUS=MR","SCALING_FORMAT=MLN","FA_ADJUSTED=Adjusted","Sort=A","Dates=H","DateFormat=P","Fill=—","Direction=H","UseDPDF=Y")</f>
        <v>116</v>
      </c>
      <c r="M11" s="13" cm="1">
        <f t="array" ref="M11">_xll.BDH("CAT US Equity","IS_COST_OF_FINANCING_REVENUE","FQ3 2021","FQ3 2021","Currency=USD","Period=FQ","BEST_FPERIOD_OVERRIDE=FQ","FILING_STATUS=MR","SCALING_FORMAT=MLN","FA_ADJUSTED=Adjusted","Sort=A","Dates=H","DateFormat=P","Fill=—","Direction=H","UseDPDF=Y")</f>
        <v>111</v>
      </c>
      <c r="N11" s="13" cm="1">
        <f t="array" ref="N11">_xll.BDH("CAT US Equity","IS_COST_OF_FINANCING_REVENUE","FQ4 2021","FQ4 2021","Currency=USD","Period=FQ","BEST_FPERIOD_OVERRIDE=FQ","FILING_STATUS=MR","SCALING_FORMAT=MLN","FA_ADJUSTED=Adjusted","Sort=A","Dates=H","DateFormat=P","Fill=—","Direction=H","UseDPDF=Y")</f>
        <v>103</v>
      </c>
      <c r="O11" s="13" cm="1">
        <f t="array" ref="O11">_xll.BDH("CAT US Equity","IS_COST_OF_FINANCING_REVENUE","FQ1 2022","FQ1 2022","Currency=USD","Period=FQ","BEST_FPERIOD_OVERRIDE=FQ","FILING_STATUS=MR","SCALING_FORMAT=MLN","FA_ADJUSTED=Adjusted","Sort=A","Dates=H","DateFormat=P","Fill=—","Direction=H","UseDPDF=Y")</f>
        <v>106</v>
      </c>
      <c r="P11" s="13" cm="1">
        <f t="array" ref="P11">_xll.BDH("CAT US Equity","IS_COST_OF_FINANCING_REVENUE","FQ2 2022","FQ2 2022","Currency=USD","Period=FQ","BEST_FPERIOD_OVERRIDE=FQ","FILING_STATUS=MR","SCALING_FORMAT=MLN","FA_ADJUSTED=Adjusted","Sort=A","Dates=H","DateFormat=P","Fill=—","Direction=H","UseDPDF=Y")</f>
        <v>120</v>
      </c>
      <c r="Q11" s="13" cm="1">
        <f t="array" ref="Q11">_xll.BDH("CAT US Equity","IS_COST_OF_FINANCING_REVENUE","FQ3 2022","FQ3 2022","Currency=USD","Period=FQ","BEST_FPERIOD_OVERRIDE=FQ","FILING_STATUS=MR","SCALING_FORMAT=MLN","FA_ADJUSTED=Adjusted","Sort=A","Dates=H","DateFormat=P","Fill=—","Direction=H","UseDPDF=Y")</f>
        <v>151</v>
      </c>
      <c r="R11" s="13" cm="1">
        <f t="array" ref="R11">_xll.BDH("CAT US Equity","IS_COST_OF_FINANCING_REVENUE","FQ4 2022","FQ4 2022","Currency=USD","Period=FQ","BEST_FPERIOD_OVERRIDE=FQ","FILING_STATUS=MR","SCALING_FORMAT=MLN","FA_ADJUSTED=Adjusted","Sort=A","Dates=H","DateFormat=P","Fill=—","Direction=H","UseDPDF=Y")</f>
        <v>188</v>
      </c>
      <c r="S11" s="13" cm="1">
        <f t="array" ref="S11">_xll.BDH("CAT US Equity","IS_COST_OF_FINANCING_REVENUE","FQ1 2023","FQ1 2023","Currency=USD","Period=FQ","BEST_FPERIOD_OVERRIDE=FQ","FILING_STATUS=MR","SCALING_FORMAT=MLN","FA_ADJUSTED=Adjusted","Sort=A","Dates=H","DateFormat=P","Fill=—","Direction=H","UseDPDF=Y")</f>
        <v>217</v>
      </c>
      <c r="T11" s="13" cm="1">
        <f t="array" ref="T11">_xll.BDH("CAT US Equity","IS_COST_OF_FINANCING_REVENUE","FQ2 2023","FQ2 2023","Currency=USD","Period=FQ","BEST_FPERIOD_OVERRIDE=FQ","FILING_STATUS=MR","SCALING_FORMAT=MLN","FA_ADJUSTED=Adjusted","Sort=A","Dates=H","DateFormat=P","Fill=—","Direction=H","UseDPDF=Y")</f>
        <v>245</v>
      </c>
      <c r="U11" s="13" cm="1">
        <f t="array" ref="U11">_xll.BDH("CAT US Equity","IS_COST_OF_FINANCING_REVENUE","FQ3 2023","FQ3 2023","Currency=USD","Period=FQ","BEST_FPERIOD_OVERRIDE=FQ","FILING_STATUS=MR","SCALING_FORMAT=MLN","FA_ADJUSTED=Adjusted","Sort=A","Dates=H","DateFormat=P","Fill=—","Direction=H","UseDPDF=Y")</f>
        <v>280</v>
      </c>
      <c r="V11" s="13" cm="1">
        <f t="array" ref="V11">_xll.BDH("CAT US Equity","IS_COST_OF_FINANCING_REVENUE","FQ4 2023","FQ4 2023","Currency=USD","Period=FQ","BEST_FPERIOD_OVERRIDE=FQ","FILING_STATUS=MR","SCALING_FORMAT=MLN","FA_ADJUSTED=Adjusted","Sort=A","Dates=H","DateFormat=P","Fill=—","Direction=H","UseDPDF=Y")</f>
        <v>288</v>
      </c>
      <c r="W11" s="13" cm="1">
        <f t="array" ref="W11">_xll.BDH("CAT US Equity","IS_COST_OF_FINANCING_REVENUE","FQ1 2024","FQ1 2024","Currency=USD","Period=FQ","BEST_FPERIOD_OVERRIDE=FQ","FILING_STATUS=MR","SCALING_FORMAT=MLN","FA_ADJUSTED=Adjusted","Sort=A","Dates=H","DateFormat=P","Fill=—","Direction=H","UseDPDF=Y")</f>
        <v>298</v>
      </c>
      <c r="X11" s="13" cm="1">
        <f t="array" ref="X11">_xll.BDH("CAT US Equity","IS_COST_OF_FINANCING_REVENUE","FQ2 2024","FQ2 2024","Currency=USD","Period=FQ","BEST_FPERIOD_OVERRIDE=FQ","FILING_STATUS=MR","SCALING_FORMAT=MLN","FA_ADJUSTED=Adjusted","Sort=A","Dates=H","DateFormat=P","Fill=—","Direction=H","UseDPDF=Y")</f>
        <v>314</v>
      </c>
      <c r="Y11" s="13" cm="1">
        <f t="array" ref="Y11">_xll.BDH("CAT US Equity","IS_COST_OF_FINANCING_REVENUE","FQ3 2024","FQ3 2024","Currency=USD","Period=FQ","BEST_FPERIOD_OVERRIDE=FQ","FILING_STATUS=MR","SCALING_FORMAT=MLN","FA_ADJUSTED=Adjusted","Sort=A","Dates=H","DateFormat=P","Fill=—","Direction=H","UseDPDF=Y")</f>
        <v>336</v>
      </c>
      <c r="Z11" s="13" cm="1">
        <f t="array" ref="Z11">_xll.BDH("CAT US Equity","IS_COST_OF_FINANCING_REVENUE","FQ4 2024","FQ4 2024","Currency=USD","Period=FQ","BEST_FPERIOD_OVERRIDE=FQ","FILING_STATUS=MR","SCALING_FORMAT=MLN","FA_ADJUSTED=Adjusted","Sort=A","Dates=H","DateFormat=P","Fill=—","Direction=H","UseDPDF=Y")</f>
        <v>338</v>
      </c>
      <c r="AA11" s="13" cm="1">
        <f t="array" ref="AA11">_xll.BDH("CAT US Equity","IS_COST_OF_FINANCING_REVENUE","FQ1 2025","FQ1 2025","Currency=USD","Period=FQ","BEST_FPERIOD_OVERRIDE=FQ","FILING_STATUS=MR","SCALING_FORMAT=MLN","FA_ADJUSTED=Adjusted","Sort=A","Dates=H","DateFormat=P","Fill=—","Direction=H","UseDPDF=Y")</f>
        <v>326</v>
      </c>
      <c r="AB11" s="13" cm="1">
        <f t="array" ref="AB11">_xll.BDH("CAT US Equity","IS_COST_OF_FINANCING_REVENUE","FQ2 2025","FQ2 2025","Currency=USD","Period=FQ","BEST_FPERIOD_OVERRIDE=FQ","FILING_STATUS=MR","SCALING_FORMAT=MLN","FA_ADJUSTED=Adjusted","Sort=A","Dates=H","DateFormat=P","Fill=—","Direction=H","UseDPDF=Y")</f>
        <v>336</v>
      </c>
      <c r="AC11" s="13" cm="1">
        <f t="array" ref="AC11">_xll.BDH("CAT US Equity","IS_COST_OF_FINANCING_REVENUE","FQ3 2025","FQ3 2025","Currency=USD","Period=FQ","BEST_FPERIOD_OVERRIDE=FQ","FILING_STATUS=MR","SCALING_FORMAT=MLN","FA_ADJUSTED=Adjusted","Sort=A","Dates=H","DateFormat=P","Fill=—","Direction=H","UseDPDF=Y")</f>
        <v>346</v>
      </c>
      <c r="AD11" s="13" cm="1">
        <f t="array" ref="AD11">_xll.BDH("CAT US Equity","IS_COST_OF_FINANCING_REVENUE","FQ4 2025","FQ4 2025","Currency=USD","Period=FQ","BEST_FPERIOD_OVERRIDE=FQ","FILING_STATUS=MR","SCALING_FORMAT=MLN","FA_ADJUSTED=Adjusted","Sort=A","Dates=H","DateFormat=P","Fill=—","Direction=H","UseDPDF=Y")</f>
        <v>351</v>
      </c>
      <c r="AE11" s="13"/>
      <c r="AF11" s="13"/>
    </row>
    <row r="12" spans="1:32" x14ac:dyDescent="0.25">
      <c r="A12" s="6" t="s">
        <v>1</v>
      </c>
      <c r="B12" s="6" t="s">
        <v>78</v>
      </c>
      <c r="C12" s="16" cm="1">
        <f t="array" ref="C12">_xll.BDH("CAT US Equity","GROSS_PROFIT","FQ1 2019","FQ1 2019","Currency=USD","Period=FQ","BEST_FPERIOD_OVERRIDE=FQ","FILING_STATUS=MR","SCALING_FORMAT=MLN","FA_ADJUSTED=Adjusted","Sort=A","Dates=H","DateFormat=P","Fill=—","Direction=H","UseDPDF=Y")</f>
        <v>4299</v>
      </c>
      <c r="D12" s="16" cm="1">
        <f t="array" ref="D12">_xll.BDH("CAT US Equity","GROSS_PROFIT","FQ2 2019","FQ2 2019","Currency=USD","Period=FQ","BEST_FPERIOD_OVERRIDE=FQ","FILING_STATUS=MR","SCALING_FORMAT=MLN","FA_ADJUSTED=Adjusted","Sort=A","Dates=H","DateFormat=P","Fill=—","Direction=H","UseDPDF=Y")</f>
        <v>4370</v>
      </c>
      <c r="E12" s="16" cm="1">
        <f t="array" ref="E12">_xll.BDH("CAT US Equity","GROSS_PROFIT","FQ3 2019","FQ3 2019","Currency=USD","Period=FQ","BEST_FPERIOD_OVERRIDE=FQ","FILING_STATUS=MR","SCALING_FORMAT=MLN","FA_ADJUSTED=Adjusted","Sort=A","Dates=H","DateFormat=P","Fill=—","Direction=H","UseDPDF=Y")</f>
        <v>4013</v>
      </c>
      <c r="F12" s="16" cm="1">
        <f t="array" ref="F12">_xll.BDH("CAT US Equity","GROSS_PROFIT","FQ4 2019","FQ4 2019","Currency=USD","Period=FQ","BEST_FPERIOD_OVERRIDE=FQ","FILING_STATUS=MR","SCALING_FORMAT=MLN","FA_ADJUSTED=Adjusted","Sort=A","Dates=H","DateFormat=P","Fill=—","Direction=H","UseDPDF=Y")</f>
        <v>3856</v>
      </c>
      <c r="G12" s="16" cm="1">
        <f t="array" ref="G12">_xll.BDH("CAT US Equity","GROSS_PROFIT","FQ1 2020","FQ1 2020","Currency=USD","Period=FQ","BEST_FPERIOD_OVERRIDE=FQ","FILING_STATUS=MR","SCALING_FORMAT=MLN","FA_ADJUSTED=Adjusted","Sort=A","Dates=H","DateFormat=P","Fill=—","Direction=H","UseDPDF=Y")</f>
        <v>3210</v>
      </c>
      <c r="H12" s="16" cm="1">
        <f t="array" ref="H12">_xll.BDH("CAT US Equity","GROSS_PROFIT","FQ2 2020","FQ2 2020","Currency=USD","Period=FQ","BEST_FPERIOD_OVERRIDE=FQ","FILING_STATUS=MR","SCALING_FORMAT=MLN","FA_ADJUSTED=Adjusted","Sort=A","Dates=H","DateFormat=P","Fill=—","Direction=H","UseDPDF=Y")</f>
        <v>2743</v>
      </c>
      <c r="I12" s="16" cm="1">
        <f t="array" ref="I12">_xll.BDH("CAT US Equity","GROSS_PROFIT","FQ3 2020","FQ3 2020","Currency=USD","Period=FQ","BEST_FPERIOD_OVERRIDE=FQ","FILING_STATUS=MR","SCALING_FORMAT=MLN","FA_ADJUSTED=Adjusted","Sort=A","Dates=H","DateFormat=P","Fill=—","Direction=H","UseDPDF=Y")</f>
        <v>2837</v>
      </c>
      <c r="J12" s="16" cm="1">
        <f t="array" ref="J12">_xll.BDH("CAT US Equity","GROSS_PROFIT","FQ4 2020","FQ4 2020","Currency=USD","Period=FQ","BEST_FPERIOD_OVERRIDE=FQ","FILING_STATUS=MR","SCALING_FORMAT=MLN","FA_ADJUSTED=Adjusted","Sort=A","Dates=H","DateFormat=P","Fill=—","Direction=H","UseDPDF=Y")</f>
        <v>3330</v>
      </c>
      <c r="K12" s="16" cm="1">
        <f t="array" ref="K12">_xll.BDH("CAT US Equity","GROSS_PROFIT","FQ1 2021","FQ1 2021","Currency=USD","Period=FQ","BEST_FPERIOD_OVERRIDE=FQ","FILING_STATUS=MR","SCALING_FORMAT=MLN","FA_ADJUSTED=Adjusted","Sort=A","Dates=H","DateFormat=P","Fill=—","Direction=H","UseDPDF=Y")</f>
        <v>3758</v>
      </c>
      <c r="L12" s="16" cm="1">
        <f t="array" ref="L12">_xll.BDH("CAT US Equity","GROSS_PROFIT","FQ2 2021","FQ2 2021","Currency=USD","Period=FQ","BEST_FPERIOD_OVERRIDE=FQ","FILING_STATUS=MR","SCALING_FORMAT=MLN","FA_ADJUSTED=Adjusted","Sort=A","Dates=H","DateFormat=P","Fill=—","Direction=H","UseDPDF=Y")</f>
        <v>3907</v>
      </c>
      <c r="M12" s="16" cm="1">
        <f t="array" ref="M12">_xll.BDH("CAT US Equity","GROSS_PROFIT","FQ3 2021","FQ3 2021","Currency=USD","Period=FQ","BEST_FPERIOD_OVERRIDE=FQ","FILING_STATUS=MR","SCALING_FORMAT=MLN","FA_ADJUSTED=Adjusted","Sort=A","Dates=H","DateFormat=P","Fill=—","Direction=H","UseDPDF=Y")</f>
        <v>3678</v>
      </c>
      <c r="N12" s="16" cm="1">
        <f t="array" ref="N12">_xll.BDH("CAT US Equity","GROSS_PROFIT","FQ4 2021","FQ4 2021","Currency=USD","Period=FQ","BEST_FPERIOD_OVERRIDE=FQ","FILING_STATUS=MR","SCALING_FORMAT=MLN","FA_ADJUSTED=Adjusted","Sort=A","Dates=H","DateFormat=P","Fill=—","Direction=H","UseDPDF=Y")</f>
        <v>3692</v>
      </c>
      <c r="O12" s="16" cm="1">
        <f t="array" ref="O12">_xll.BDH("CAT US Equity","GROSS_PROFIT","FQ1 2022","FQ1 2022","Currency=USD","Period=FQ","BEST_FPERIOD_OVERRIDE=FQ","FILING_STATUS=MR","SCALING_FORMAT=MLN","FA_ADJUSTED=Adjusted","Sort=A","Dates=H","DateFormat=P","Fill=—","Direction=H","UseDPDF=Y")</f>
        <v>3932</v>
      </c>
      <c r="P12" s="16" cm="1">
        <f t="array" ref="P12">_xll.BDH("CAT US Equity","GROSS_PROFIT","FQ2 2022","FQ2 2022","Currency=USD","Period=FQ","BEST_FPERIOD_OVERRIDE=FQ","FILING_STATUS=MR","SCALING_FORMAT=MLN","FA_ADJUSTED=Adjusted","Sort=A","Dates=H","DateFormat=P","Fill=—","Direction=H","UseDPDF=Y")</f>
        <v>4157</v>
      </c>
      <c r="Q12" s="16" cm="1">
        <f t="array" ref="Q12">_xll.BDH("CAT US Equity","GROSS_PROFIT","FQ3 2022","FQ3 2022","Currency=USD","Period=FQ","BEST_FPERIOD_OVERRIDE=FQ","FILING_STATUS=MR","SCALING_FORMAT=MLN","FA_ADJUSTED=Adjusted","Sort=A","Dates=H","DateFormat=P","Fill=—","Direction=H","UseDPDF=Y")</f>
        <v>4654</v>
      </c>
      <c r="R12" s="16" cm="1">
        <f t="array" ref="R12">_xll.BDH("CAT US Equity","GROSS_PROFIT","FQ4 2022","FQ4 2022","Currency=USD","Period=FQ","BEST_FPERIOD_OVERRIDE=FQ","FILING_STATUS=MR","SCALING_FORMAT=MLN","FA_ADJUSTED=Adjusted","Sort=A","Dates=H","DateFormat=P","Fill=—","Direction=H","UseDPDF=Y")</f>
        <v>4795</v>
      </c>
      <c r="S12" s="16" cm="1">
        <f t="array" ref="S12">_xll.BDH("CAT US Equity","GROSS_PROFIT","FQ1 2023","FQ1 2023","Currency=USD","Period=FQ","BEST_FPERIOD_OVERRIDE=FQ","FILING_STATUS=MR","SCALING_FORMAT=MLN","FA_ADJUSTED=Adjusted","Sort=A","Dates=H","DateFormat=P","Fill=—","Direction=H","UseDPDF=Y")</f>
        <v>5555</v>
      </c>
      <c r="T12" s="16" cm="1">
        <f t="array" ref="T12">_xll.BDH("CAT US Equity","GROSS_PROFIT","FQ2 2023","FQ2 2023","Currency=USD","Period=FQ","BEST_FPERIOD_OVERRIDE=FQ","FILING_STATUS=MR","SCALING_FORMAT=MLN","FA_ADJUSTED=Adjusted","Sort=A","Dates=H","DateFormat=P","Fill=—","Direction=H","UseDPDF=Y")</f>
        <v>6027</v>
      </c>
      <c r="U12" s="16" cm="1">
        <f t="array" ref="U12">_xll.BDH("CAT US Equity","GROSS_PROFIT","FQ3 2023","FQ3 2023","Currency=USD","Period=FQ","BEST_FPERIOD_OVERRIDE=FQ","FILING_STATUS=MR","SCALING_FORMAT=MLN","FA_ADJUSTED=Adjusted","Sort=A","Dates=H","DateFormat=P","Fill=—","Direction=H","UseDPDF=Y")</f>
        <v>5947</v>
      </c>
      <c r="V12" s="16" cm="1">
        <f t="array" ref="V12">_xll.BDH("CAT US Equity","GROSS_PROFIT","FQ4 2023","FQ4 2023","Currency=USD","Period=FQ","BEST_FPERIOD_OVERRIDE=FQ","FILING_STATUS=MR","SCALING_FORMAT=MLN","FA_ADJUSTED=Adjusted","Sort=A","Dates=H","DateFormat=P","Fill=—","Direction=H","UseDPDF=Y")</f>
        <v>5766</v>
      </c>
      <c r="W12" s="16" cm="1">
        <f t="array" ref="W12">_xll.BDH("CAT US Equity","GROSS_PROFIT","FQ1 2024","FQ1 2024","Currency=USD","Period=FQ","BEST_FPERIOD_OVERRIDE=FQ","FILING_STATUS=MR","SCALING_FORMAT=MLN","FA_ADJUSTED=Adjusted","Sort=A","Dates=H","DateFormat=P","Fill=—","Direction=H","UseDPDF=Y")</f>
        <v>5839</v>
      </c>
      <c r="X12" s="16" cm="1">
        <f t="array" ref="X12">_xll.BDH("CAT US Equity","GROSS_PROFIT","FQ2 2024","FQ2 2024","Currency=USD","Period=FQ","BEST_FPERIOD_OVERRIDE=FQ","FILING_STATUS=MR","SCALING_FORMAT=MLN","FA_ADJUSTED=Adjusted","Sort=A","Dates=H","DateFormat=P","Fill=—","Direction=H","UseDPDF=Y")</f>
        <v>6235</v>
      </c>
      <c r="Y12" s="16" cm="1">
        <f t="array" ref="Y12">_xll.BDH("CAT US Equity","GROSS_PROFIT","FQ3 2024","FQ3 2024","Currency=USD","Period=FQ","BEST_FPERIOD_OVERRIDE=FQ","FILING_STATUS=MR","SCALING_FORMAT=MLN","FA_ADJUSTED=Adjusted","Sort=A","Dates=H","DateFormat=P","Fill=—","Direction=H","UseDPDF=Y")</f>
        <v>5704</v>
      </c>
      <c r="Z12" s="16" cm="1">
        <f t="array" ref="Z12">_xll.BDH("CAT US Equity","GROSS_PROFIT","FQ4 2024","FQ4 2024","Currency=USD","Period=FQ","BEST_FPERIOD_OVERRIDE=FQ","FILING_STATUS=MR","SCALING_FORMAT=MLN","FA_ADJUSTED=Adjusted","Sort=A","Dates=H","DateFormat=P","Fill=—","Direction=H","UseDPDF=Y")</f>
        <v>5556</v>
      </c>
      <c r="AA12" s="16" cm="1">
        <f t="array" ref="AA12">_xll.BDH("CAT US Equity","GROSS_PROFIT","FQ1 2025","FQ1 2025","Currency=USD","Period=FQ","BEST_FPERIOD_OVERRIDE=FQ","FILING_STATUS=MR","SCALING_FORMAT=MLN","FA_ADJUSTED=Adjusted","Sort=A","Dates=H","DateFormat=P","Fill=—","Direction=H","UseDPDF=Y")</f>
        <v>4958</v>
      </c>
      <c r="AB12" s="16" cm="1">
        <f t="array" ref="AB12">_xll.BDH("CAT US Equity","GROSS_PROFIT","FQ2 2025","FQ2 2025","Currency=USD","Period=FQ","BEST_FPERIOD_OVERRIDE=FQ","FILING_STATUS=MR","SCALING_FORMAT=MLN","FA_ADJUSTED=Adjusted","Sort=A","Dates=H","DateFormat=P","Fill=—","Direction=H","UseDPDF=Y")</f>
        <v>5426</v>
      </c>
      <c r="AC12" s="16" cm="1">
        <f t="array" ref="AC12">_xll.BDH("CAT US Equity","GROSS_PROFIT","FQ3 2025","FQ3 2025","Currency=USD","Period=FQ","BEST_FPERIOD_OVERRIDE=FQ","FILING_STATUS=MR","SCALING_FORMAT=MLN","FA_ADJUSTED=Adjusted","Sort=A","Dates=H","DateFormat=P","Fill=—","Direction=H","UseDPDF=Y")</f>
        <v>5619</v>
      </c>
      <c r="AD12" s="16" cm="1">
        <f t="array" ref="AD12">_xll.BDH("CAT US Equity","GROSS_PROFIT","FQ4 2025","FQ4 2025","Currency=USD","Period=FQ","BEST_FPERIOD_OVERRIDE=FQ","FILING_STATUS=MR","SCALING_FORMAT=MLN","FA_ADJUSTED=Adjusted","Sort=A","Dates=H","DateFormat=P","Fill=—","Direction=H","UseDPDF=Y")</f>
        <v>5475</v>
      </c>
      <c r="AE12" s="16">
        <v>4694.1566717647102</v>
      </c>
      <c r="AF12" s="16">
        <v>5468.4930835294099</v>
      </c>
    </row>
    <row r="13" spans="1:32" x14ac:dyDescent="0.25">
      <c r="A13" s="10" t="s">
        <v>79</v>
      </c>
      <c r="B13" s="10" t="s">
        <v>80</v>
      </c>
      <c r="C13" s="13" cm="1">
        <f t="array" ref="C13">_xll.BDH("CAT US Equity","IS_OTHER_OPER_INC","FQ1 2019","FQ1 2019","Currency=USD","Period=FQ","BEST_FPERIOD_OVERRIDE=FQ","FILING_STATUS=MR","SCALING_FORMAT=MLN","FA_ADJUSTED=Adjusted","Sort=A","Dates=H","DateFormat=P","Fill=—","Direction=H","UseDPDF=Y")</f>
        <v>0</v>
      </c>
      <c r="D13" s="13" cm="1">
        <f t="array" ref="D13">_xll.BDH("CAT US Equity","IS_OTHER_OPER_INC","FQ2 2019","FQ2 2019","Currency=USD","Period=FQ","BEST_FPERIOD_OVERRIDE=FQ","FILING_STATUS=MR","SCALING_FORMAT=MLN","FA_ADJUSTED=Adjusted","Sort=A","Dates=H","DateFormat=P","Fill=—","Direction=H","UseDPDF=Y")</f>
        <v>0</v>
      </c>
      <c r="E13" s="13" cm="1">
        <f t="array" ref="E13">_xll.BDH("CAT US Equity","IS_OTHER_OPER_INC","FQ3 2019","FQ3 2019","Currency=USD","Period=FQ","BEST_FPERIOD_OVERRIDE=FQ","FILING_STATUS=MR","SCALING_FORMAT=MLN","FA_ADJUSTED=Adjusted","Sort=A","Dates=H","DateFormat=P","Fill=—","Direction=H","UseDPDF=Y")</f>
        <v>0</v>
      </c>
      <c r="F13" s="13" cm="1">
        <f t="array" ref="F13">_xll.BDH("CAT US Equity","IS_OTHER_OPER_INC","FQ4 2019","FQ4 2019","Currency=USD","Period=FQ","BEST_FPERIOD_OVERRIDE=FQ","FILING_STATUS=MR","SCALING_FORMAT=MLN","FA_ADJUSTED=Adjusted","Sort=A","Dates=H","DateFormat=P","Fill=—","Direction=H","UseDPDF=Y")</f>
        <v>0</v>
      </c>
      <c r="G13" s="13" cm="1">
        <f t="array" ref="G13">_xll.BDH("CAT US Equity","IS_OTHER_OPER_INC","FQ1 2020","FQ1 2020","Currency=USD","Period=FQ","BEST_FPERIOD_OVERRIDE=FQ","FILING_STATUS=MR","SCALING_FORMAT=MLN","FA_ADJUSTED=Adjusted","Sort=A","Dates=H","DateFormat=P","Fill=—","Direction=H","UseDPDF=Y")</f>
        <v>0</v>
      </c>
      <c r="H13" s="13" cm="1">
        <f t="array" ref="H13">_xll.BDH("CAT US Equity","IS_OTHER_OPER_INC","FQ2 2020","FQ2 2020","Currency=USD","Period=FQ","BEST_FPERIOD_OVERRIDE=FQ","FILING_STATUS=MR","SCALING_FORMAT=MLN","FA_ADJUSTED=Adjusted","Sort=A","Dates=H","DateFormat=P","Fill=—","Direction=H","UseDPDF=Y")</f>
        <v>0</v>
      </c>
      <c r="I13" s="13" cm="1">
        <f t="array" ref="I13">_xll.BDH("CAT US Equity","IS_OTHER_OPER_INC","FQ3 2020","FQ3 2020","Currency=USD","Period=FQ","BEST_FPERIOD_OVERRIDE=FQ","FILING_STATUS=MR","SCALING_FORMAT=MLN","FA_ADJUSTED=Adjusted","Sort=A","Dates=H","DateFormat=P","Fill=—","Direction=H","UseDPDF=Y")</f>
        <v>0</v>
      </c>
      <c r="J13" s="13" cm="1">
        <f t="array" ref="J13">_xll.BDH("CAT US Equity","IS_OTHER_OPER_INC","FQ4 2020","FQ4 2020","Currency=USD","Period=FQ","BEST_FPERIOD_OVERRIDE=FQ","FILING_STATUS=MR","SCALING_FORMAT=MLN","FA_ADJUSTED=Adjusted","Sort=A","Dates=H","DateFormat=P","Fill=—","Direction=H","UseDPDF=Y")</f>
        <v>0</v>
      </c>
      <c r="K13" s="13" cm="1">
        <f t="array" ref="K13">_xll.BDH("CAT US Equity","IS_OTHER_OPER_INC","FQ1 2021","FQ1 2021","Currency=USD","Period=FQ","BEST_FPERIOD_OVERRIDE=FQ","FILING_STATUS=MR","SCALING_FORMAT=MLN","FA_ADJUSTED=Adjusted","Sort=A","Dates=H","DateFormat=P","Fill=—","Direction=H","UseDPDF=Y")</f>
        <v>0</v>
      </c>
      <c r="L13" s="13" cm="1">
        <f t="array" ref="L13">_xll.BDH("CAT US Equity","IS_OTHER_OPER_INC","FQ2 2021","FQ2 2021","Currency=USD","Period=FQ","BEST_FPERIOD_OVERRIDE=FQ","FILING_STATUS=MR","SCALING_FORMAT=MLN","FA_ADJUSTED=Adjusted","Sort=A","Dates=H","DateFormat=P","Fill=—","Direction=H","UseDPDF=Y")</f>
        <v>0</v>
      </c>
      <c r="M13" s="13" cm="1">
        <f t="array" ref="M13">_xll.BDH("CAT US Equity","IS_OTHER_OPER_INC","FQ3 2021","FQ3 2021","Currency=USD","Period=FQ","BEST_FPERIOD_OVERRIDE=FQ","FILING_STATUS=MR","SCALING_FORMAT=MLN","FA_ADJUSTED=Adjusted","Sort=A","Dates=H","DateFormat=P","Fill=—","Direction=H","UseDPDF=Y")</f>
        <v>0</v>
      </c>
      <c r="N13" s="13" cm="1">
        <f t="array" ref="N13">_xll.BDH("CAT US Equity","IS_OTHER_OPER_INC","FQ4 2021","FQ4 2021","Currency=USD","Period=FQ","BEST_FPERIOD_OVERRIDE=FQ","FILING_STATUS=MR","SCALING_FORMAT=MLN","FA_ADJUSTED=Adjusted","Sort=A","Dates=H","DateFormat=P","Fill=—","Direction=H","UseDPDF=Y")</f>
        <v>0</v>
      </c>
      <c r="O13" s="13" cm="1">
        <f t="array" ref="O13">_xll.BDH("CAT US Equity","IS_OTHER_OPER_INC","FQ1 2022","FQ1 2022","Currency=USD","Period=FQ","BEST_FPERIOD_OVERRIDE=FQ","FILING_STATUS=MR","SCALING_FORMAT=MLN","FA_ADJUSTED=Adjusted","Sort=A","Dates=H","DateFormat=P","Fill=—","Direction=H","UseDPDF=Y")</f>
        <v>0</v>
      </c>
      <c r="P13" s="13" cm="1">
        <f t="array" ref="P13">_xll.BDH("CAT US Equity","IS_OTHER_OPER_INC","FQ2 2022","FQ2 2022","Currency=USD","Period=FQ","BEST_FPERIOD_OVERRIDE=FQ","FILING_STATUS=MR","SCALING_FORMAT=MLN","FA_ADJUSTED=Adjusted","Sort=A","Dates=H","DateFormat=P","Fill=—","Direction=H","UseDPDF=Y")</f>
        <v>0</v>
      </c>
      <c r="Q13" s="13" cm="1">
        <f t="array" ref="Q13">_xll.BDH("CAT US Equity","IS_OTHER_OPER_INC","FQ3 2022","FQ3 2022","Currency=USD","Period=FQ","BEST_FPERIOD_OVERRIDE=FQ","FILING_STATUS=MR","SCALING_FORMAT=MLN","FA_ADJUSTED=Adjusted","Sort=A","Dates=H","DateFormat=P","Fill=—","Direction=H","UseDPDF=Y")</f>
        <v>0</v>
      </c>
      <c r="R13" s="13" cm="1">
        <f t="array" ref="R13">_xll.BDH("CAT US Equity","IS_OTHER_OPER_INC","FQ4 2022","FQ4 2022","Currency=USD","Period=FQ","BEST_FPERIOD_OVERRIDE=FQ","FILING_STATUS=MR","SCALING_FORMAT=MLN","FA_ADJUSTED=Adjusted","Sort=A","Dates=H","DateFormat=P","Fill=—","Direction=H","UseDPDF=Y")</f>
        <v>0</v>
      </c>
      <c r="S13" s="13" cm="1">
        <f t="array" ref="S13">_xll.BDH("CAT US Equity","IS_OTHER_OPER_INC","FQ1 2023","FQ1 2023","Currency=USD","Period=FQ","BEST_FPERIOD_OVERRIDE=FQ","FILING_STATUS=MR","SCALING_FORMAT=MLN","FA_ADJUSTED=Adjusted","Sort=A","Dates=H","DateFormat=P","Fill=—","Direction=H","UseDPDF=Y")</f>
        <v>0</v>
      </c>
      <c r="T13" s="13" cm="1">
        <f t="array" ref="T13">_xll.BDH("CAT US Equity","IS_OTHER_OPER_INC","FQ2 2023","FQ2 2023","Currency=USD","Period=FQ","BEST_FPERIOD_OVERRIDE=FQ","FILING_STATUS=MR","SCALING_FORMAT=MLN","FA_ADJUSTED=Adjusted","Sort=A","Dates=H","DateFormat=P","Fill=—","Direction=H","UseDPDF=Y")</f>
        <v>0</v>
      </c>
      <c r="U13" s="13" cm="1">
        <f t="array" ref="U13">_xll.BDH("CAT US Equity","IS_OTHER_OPER_INC","FQ3 2023","FQ3 2023","Currency=USD","Period=FQ","BEST_FPERIOD_OVERRIDE=FQ","FILING_STATUS=MR","SCALING_FORMAT=MLN","FA_ADJUSTED=Adjusted","Sort=A","Dates=H","DateFormat=P","Fill=—","Direction=H","UseDPDF=Y")</f>
        <v>0</v>
      </c>
      <c r="V13" s="13" cm="1">
        <f t="array" ref="V13">_xll.BDH("CAT US Equity","IS_OTHER_OPER_INC","FQ4 2023","FQ4 2023","Currency=USD","Period=FQ","BEST_FPERIOD_OVERRIDE=FQ","FILING_STATUS=MR","SCALING_FORMAT=MLN","FA_ADJUSTED=Adjusted","Sort=A","Dates=H","DateFormat=P","Fill=—","Direction=H","UseDPDF=Y")</f>
        <v>0</v>
      </c>
      <c r="W13" s="13" cm="1">
        <f t="array" ref="W13">_xll.BDH("CAT US Equity","IS_OTHER_OPER_INC","FQ1 2024","FQ1 2024","Currency=USD","Period=FQ","BEST_FPERIOD_OVERRIDE=FQ","FILING_STATUS=MR","SCALING_FORMAT=MLN","FA_ADJUSTED=Adjusted","Sort=A","Dates=H","DateFormat=P","Fill=—","Direction=H","UseDPDF=Y")</f>
        <v>0</v>
      </c>
      <c r="X13" s="13" cm="1">
        <f t="array" ref="X13">_xll.BDH("CAT US Equity","IS_OTHER_OPER_INC","FQ2 2024","FQ2 2024","Currency=USD","Period=FQ","BEST_FPERIOD_OVERRIDE=FQ","FILING_STATUS=MR","SCALING_FORMAT=MLN","FA_ADJUSTED=Adjusted","Sort=A","Dates=H","DateFormat=P","Fill=—","Direction=H","UseDPDF=Y")</f>
        <v>0</v>
      </c>
      <c r="Y13" s="13" cm="1">
        <f t="array" ref="Y13">_xll.BDH("CAT US Equity","IS_OTHER_OPER_INC","FQ3 2024","FQ3 2024","Currency=USD","Period=FQ","BEST_FPERIOD_OVERRIDE=FQ","FILING_STATUS=MR","SCALING_FORMAT=MLN","FA_ADJUSTED=Adjusted","Sort=A","Dates=H","DateFormat=P","Fill=—","Direction=H","UseDPDF=Y")</f>
        <v>0</v>
      </c>
      <c r="Z13" s="13" cm="1">
        <f t="array" ref="Z13">_xll.BDH("CAT US Equity","IS_OTHER_OPER_INC","FQ4 2024","FQ4 2024","Currency=USD","Period=FQ","BEST_FPERIOD_OVERRIDE=FQ","FILING_STATUS=MR","SCALING_FORMAT=MLN","FA_ADJUSTED=Adjusted","Sort=A","Dates=H","DateFormat=P","Fill=—","Direction=H","UseDPDF=Y")</f>
        <v>0</v>
      </c>
      <c r="AA13" s="13" cm="1">
        <f t="array" ref="AA13">_xll.BDH("CAT US Equity","IS_OTHER_OPER_INC","FQ1 2025","FQ1 2025","Currency=USD","Period=FQ","BEST_FPERIOD_OVERRIDE=FQ","FILING_STATUS=MR","SCALING_FORMAT=MLN","FA_ADJUSTED=Adjusted","Sort=A","Dates=H","DateFormat=P","Fill=—","Direction=H","UseDPDF=Y")</f>
        <v>0</v>
      </c>
      <c r="AB13" s="13" cm="1">
        <f t="array" ref="AB13">_xll.BDH("CAT US Equity","IS_OTHER_OPER_INC","FQ2 2025","FQ2 2025","Currency=USD","Period=FQ","BEST_FPERIOD_OVERRIDE=FQ","FILING_STATUS=MR","SCALING_FORMAT=MLN","FA_ADJUSTED=Adjusted","Sort=A","Dates=H","DateFormat=P","Fill=—","Direction=H","UseDPDF=Y")</f>
        <v>0</v>
      </c>
      <c r="AC13" s="13" cm="1">
        <f t="array" ref="AC13">_xll.BDH("CAT US Equity","IS_OTHER_OPER_INC","FQ3 2025","FQ3 2025","Currency=USD","Period=FQ","BEST_FPERIOD_OVERRIDE=FQ","FILING_STATUS=MR","SCALING_FORMAT=MLN","FA_ADJUSTED=Adjusted","Sort=A","Dates=H","DateFormat=P","Fill=—","Direction=H","UseDPDF=Y")</f>
        <v>0</v>
      </c>
      <c r="AD13" s="13" cm="1">
        <f t="array" ref="AD13">_xll.BDH("CAT US Equity","IS_OTHER_OPER_INC","FQ4 2025","FQ4 2025","Currency=USD","Period=FQ","BEST_FPERIOD_OVERRIDE=FQ","FILING_STATUS=MR","SCALING_FORMAT=MLN","FA_ADJUSTED=Adjusted","Sort=A","Dates=H","DateFormat=P","Fill=—","Direction=H","UseDPDF=Y")</f>
        <v>0</v>
      </c>
      <c r="AE13" s="13"/>
      <c r="AF13" s="13"/>
    </row>
    <row r="14" spans="1:32" x14ac:dyDescent="0.25">
      <c r="A14" s="10" t="s">
        <v>81</v>
      </c>
      <c r="B14" s="10" t="s">
        <v>82</v>
      </c>
      <c r="C14" s="13" cm="1">
        <f t="array" ref="C14">_xll.BDH("CAT US Equity","IS_OPERATING_EXPN","FQ1 2019","FQ1 2019","Currency=USD","Period=FQ","BEST_FPERIOD_OVERRIDE=FQ","FILING_STATUS=MR","SCALING_FORMAT=MLN","FA_ADJUSTED=Adjusted","Sort=A","Dates=H","DateFormat=P","Fill=—","Direction=H","UseDPDF=Y")</f>
        <v>2044</v>
      </c>
      <c r="D14" s="13" cm="1">
        <f t="array" ref="D14">_xll.BDH("CAT US Equity","IS_OPERATING_EXPN","FQ2 2019","FQ2 2019","Currency=USD","Period=FQ","BEST_FPERIOD_OVERRIDE=FQ","FILING_STATUS=MR","SCALING_FORMAT=MLN","FA_ADJUSTED=Adjusted","Sort=A","Dates=H","DateFormat=P","Fill=—","Direction=H","UseDPDF=Y")</f>
        <v>2047</v>
      </c>
      <c r="E14" s="13" cm="1">
        <f t="array" ref="E14">_xll.BDH("CAT US Equity","IS_OPERATING_EXPN","FQ3 2019","FQ3 2019","Currency=USD","Period=FQ","BEST_FPERIOD_OVERRIDE=FQ","FILING_STATUS=MR","SCALING_FORMAT=MLN","FA_ADJUSTED=Adjusted","Sort=A","Dates=H","DateFormat=P","Fill=—","Direction=H","UseDPDF=Y")</f>
        <v>1962</v>
      </c>
      <c r="F14" s="13" cm="1">
        <f t="array" ref="F14">_xll.BDH("CAT US Equity","IS_OPERATING_EXPN","FQ4 2019","FQ4 2019","Currency=USD","Period=FQ","BEST_FPERIOD_OVERRIDE=FQ","FILING_STATUS=MR","SCALING_FORMAT=MLN","FA_ADJUSTED=Adjusted","Sort=A","Dates=H","DateFormat=P","Fill=—","Direction=H","UseDPDF=Y")</f>
        <v>1952</v>
      </c>
      <c r="G14" s="13" cm="1">
        <f t="array" ref="G14">_xll.BDH("CAT US Equity","IS_OPERATING_EXPN","FQ1 2020","FQ1 2020","Currency=USD","Period=FQ","BEST_FPERIOD_OVERRIDE=FQ","FILING_STATUS=MR","SCALING_FORMAT=MLN","FA_ADJUSTED=Adjusted","Sort=A","Dates=H","DateFormat=P","Fill=—","Direction=H","UseDPDF=Y")</f>
        <v>1769</v>
      </c>
      <c r="H14" s="13" cm="1">
        <f t="array" ref="H14">_xll.BDH("CAT US Equity","IS_OPERATING_EXPN","FQ2 2020","FQ2 2020","Currency=USD","Period=FQ","BEST_FPERIOD_OVERRIDE=FQ","FILING_STATUS=MR","SCALING_FORMAT=MLN","FA_ADJUSTED=Adjusted","Sort=A","Dates=H","DateFormat=P","Fill=—","Direction=H","UseDPDF=Y")</f>
        <v>1812</v>
      </c>
      <c r="I14" s="13" cm="1">
        <f t="array" ref="I14">_xll.BDH("CAT US Equity","IS_OPERATING_EXPN","FQ3 2020","FQ3 2020","Currency=USD","Period=FQ","BEST_FPERIOD_OVERRIDE=FQ","FILING_STATUS=MR","SCALING_FORMAT=MLN","FA_ADJUSTED=Adjusted","Sort=A","Dates=H","DateFormat=P","Fill=—","Direction=H","UseDPDF=Y")</f>
        <v>1740</v>
      </c>
      <c r="J14" s="13" cm="1">
        <f t="array" ref="J14">_xll.BDH("CAT US Equity","IS_OPERATING_EXPN","FQ4 2020","FQ4 2020","Currency=USD","Period=FQ","BEST_FPERIOD_OVERRIDE=FQ","FILING_STATUS=MR","SCALING_FORMAT=MLN","FA_ADJUSTED=Adjusted","Sort=A","Dates=H","DateFormat=P","Fill=—","Direction=H","UseDPDF=Y")</f>
        <v>1892</v>
      </c>
      <c r="K14" s="13" cm="1">
        <f t="array" ref="K14">_xll.BDH("CAT US Equity","IS_OPERATING_EXPN","FQ1 2021","FQ1 2021","Currency=USD","Period=FQ","BEST_FPERIOD_OVERRIDE=FQ","FILING_STATUS=MR","SCALING_FORMAT=MLN","FA_ADJUSTED=Adjusted","Sort=A","Dates=H","DateFormat=P","Fill=—","Direction=H","UseDPDF=Y")</f>
        <v>1880</v>
      </c>
      <c r="L14" s="13" cm="1">
        <f t="array" ref="L14">_xll.BDH("CAT US Equity","IS_OPERATING_EXPN","FQ2 2021","FQ2 2021","Currency=USD","Period=FQ","BEST_FPERIOD_OVERRIDE=FQ","FILING_STATUS=MR","SCALING_FORMAT=MLN","FA_ADJUSTED=Adjusted","Sort=A","Dates=H","DateFormat=P","Fill=—","Direction=H","UseDPDF=Y")</f>
        <v>2093</v>
      </c>
      <c r="M14" s="13" cm="1">
        <f t="array" ref="M14">_xll.BDH("CAT US Equity","IS_OPERATING_EXPN","FQ3 2021","FQ3 2021","Currency=USD","Period=FQ","BEST_FPERIOD_OVERRIDE=FQ","FILING_STATUS=MR","SCALING_FORMAT=MLN","FA_ADJUSTED=Adjusted","Sort=A","Dates=H","DateFormat=P","Fill=—","Direction=H","UseDPDF=Y")</f>
        <v>1979</v>
      </c>
      <c r="N14" s="13" cm="1">
        <f t="array" ref="N14">_xll.BDH("CAT US Equity","IS_OPERATING_EXPN","FQ4 2021","FQ4 2021","Currency=USD","Period=FQ","BEST_FPERIOD_OVERRIDE=FQ","FILING_STATUS=MR","SCALING_FORMAT=MLN","FA_ADJUSTED=Adjusted","Sort=A","Dates=H","DateFormat=P","Fill=—","Direction=H","UseDPDF=Y")</f>
        <v>2115</v>
      </c>
      <c r="O14" s="13" cm="1">
        <f t="array" ref="O14">_xll.BDH("CAT US Equity","IS_OPERATING_EXPN","FQ1 2022","FQ1 2022","Currency=USD","Period=FQ","BEST_FPERIOD_OVERRIDE=FQ","FILING_STATUS=MR","SCALING_FORMAT=MLN","FA_ADJUSTED=Adjusted","Sort=A","Dates=H","DateFormat=P","Fill=—","Direction=H","UseDPDF=Y")</f>
        <v>2064</v>
      </c>
      <c r="P14" s="13" cm="1">
        <f t="array" ref="P14">_xll.BDH("CAT US Equity","IS_OPERATING_EXPN","FQ2 2022","FQ2 2022","Currency=USD","Period=FQ","BEST_FPERIOD_OVERRIDE=FQ","FILING_STATUS=MR","SCALING_FORMAT=MLN","FA_ADJUSTED=Adjusted","Sort=A","Dates=H","DateFormat=P","Fill=—","Direction=H","UseDPDF=Y")</f>
        <v>2185</v>
      </c>
      <c r="Q14" s="13" cm="1">
        <f t="array" ref="Q14">_xll.BDH("CAT US Equity","IS_OPERATING_EXPN","FQ3 2022","FQ3 2022","Currency=USD","Period=FQ","BEST_FPERIOD_OVERRIDE=FQ","FILING_STATUS=MR","SCALING_FORMAT=MLN","FA_ADJUSTED=Adjusted","Sort=A","Dates=H","DateFormat=P","Fill=—","Direction=H","UseDPDF=Y")</f>
        <v>2180</v>
      </c>
      <c r="R14" s="13" cm="1">
        <f t="array" ref="R14">_xll.BDH("CAT US Equity","IS_OPERATING_EXPN","FQ4 2022","FQ4 2022","Currency=USD","Period=FQ","BEST_FPERIOD_OVERRIDE=FQ","FILING_STATUS=MR","SCALING_FORMAT=MLN","FA_ADJUSTED=Adjusted","Sort=A","Dates=H","DateFormat=P","Fill=—","Direction=H","UseDPDF=Y")</f>
        <v>1981</v>
      </c>
      <c r="S14" s="13" cm="1">
        <f t="array" ref="S14">_xll.BDH("CAT US Equity","IS_OPERATING_EXPN","FQ1 2023","FQ1 2023","Currency=USD","Period=FQ","BEST_FPERIOD_OVERRIDE=FQ","FILING_STATUS=MR","SCALING_FORMAT=MLN","FA_ADJUSTED=Adjusted","Sort=A","Dates=H","DateFormat=P","Fill=—","Direction=H","UseDPDF=Y")</f>
        <v>1641</v>
      </c>
      <c r="T14" s="13" cm="1">
        <f t="array" ref="T14">_xll.BDH("CAT US Equity","IS_OPERATING_EXPN","FQ2 2023","FQ2 2023","Currency=USD","Period=FQ","BEST_FPERIOD_OVERRIDE=FQ","FILING_STATUS=MR","SCALING_FORMAT=MLN","FA_ADJUSTED=Adjusted","Sort=A","Dates=H","DateFormat=P","Fill=—","Direction=H","UseDPDF=Y")</f>
        <v>2344</v>
      </c>
      <c r="U14" s="13" cm="1">
        <f t="array" ref="U14">_xll.BDH("CAT US Equity","IS_OPERATING_EXPN","FQ3 2023","FQ3 2023","Currency=USD","Period=FQ","BEST_FPERIOD_OVERRIDE=FQ","FILING_STATUS=MR","SCALING_FORMAT=MLN","FA_ADJUSTED=Adjusted","Sort=A","Dates=H","DateFormat=P","Fill=—","Direction=H","UseDPDF=Y")</f>
        <v>2452</v>
      </c>
      <c r="V14" s="13" cm="1">
        <f t="array" ref="V14">_xll.BDH("CAT US Equity","IS_OPERATING_EXPN","FQ4 2023","FQ4 2023","Currency=USD","Period=FQ","BEST_FPERIOD_OVERRIDE=FQ","FILING_STATUS=MR","SCALING_FORMAT=MLN","FA_ADJUSTED=Adjusted","Sort=A","Dates=H","DateFormat=P","Fill=—","Direction=H","UseDPDF=Y")</f>
        <v>2540</v>
      </c>
      <c r="W14" s="13" cm="1">
        <f t="array" ref="W14">_xll.BDH("CAT US Equity","IS_OPERATING_EXPN","FQ1 2024","FQ1 2024","Currency=USD","Period=FQ","BEST_FPERIOD_OVERRIDE=FQ","FILING_STATUS=MR","SCALING_FORMAT=MLN","FA_ADJUSTED=Adjusted","Sort=A","Dates=H","DateFormat=P","Fill=—","Direction=H","UseDPDF=Y")</f>
        <v>2326</v>
      </c>
      <c r="X14" s="13" cm="1">
        <f t="array" ref="X14">_xll.BDH("CAT US Equity","IS_OPERATING_EXPN","FQ2 2024","FQ2 2024","Currency=USD","Period=FQ","BEST_FPERIOD_OVERRIDE=FQ","FILING_STATUS=MR","SCALING_FORMAT=MLN","FA_ADJUSTED=Adjusted","Sort=A","Dates=H","DateFormat=P","Fill=—","Direction=H","UseDPDF=Y")</f>
        <v>2267</v>
      </c>
      <c r="Y14" s="13" cm="1">
        <f t="array" ref="Y14">_xll.BDH("CAT US Equity","IS_OPERATING_EXPN","FQ3 2024","FQ3 2024","Currency=USD","Period=FQ","BEST_FPERIOD_OVERRIDE=FQ","FILING_STATUS=MR","SCALING_FORMAT=MLN","FA_ADJUSTED=Adjusted","Sort=A","Dates=H","DateFormat=P","Fill=—","Direction=H","UseDPDF=Y")</f>
        <v>2487</v>
      </c>
      <c r="Z14" s="13" cm="1">
        <f t="array" ref="Z14">_xll.BDH("CAT US Equity","IS_OPERATING_EXPN","FQ4 2024","FQ4 2024","Currency=USD","Period=FQ","BEST_FPERIOD_OVERRIDE=FQ","FILING_STATUS=MR","SCALING_FORMAT=MLN","FA_ADJUSTED=Adjusted","Sort=A","Dates=H","DateFormat=P","Fill=—","Direction=H","UseDPDF=Y")</f>
        <v>2595</v>
      </c>
      <c r="AA14" s="13" cm="1">
        <f t="array" ref="AA14">_xll.BDH("CAT US Equity","IS_OPERATING_EXPN","FQ1 2025","FQ1 2025","Currency=USD","Period=FQ","BEST_FPERIOD_OVERRIDE=FQ","FILING_STATUS=MR","SCALING_FORMAT=MLN","FA_ADJUSTED=Adjusted","Sort=A","Dates=H","DateFormat=P","Fill=—","Direction=H","UseDPDF=Y")</f>
        <v>2346</v>
      </c>
      <c r="AB14" s="13" cm="1">
        <f t="array" ref="AB14">_xll.BDH("CAT US Equity","IS_OPERATING_EXPN","FQ2 2025","FQ2 2025","Currency=USD","Period=FQ","BEST_FPERIOD_OVERRIDE=FQ","FILING_STATUS=MR","SCALING_FORMAT=MLN","FA_ADJUSTED=Adjusted","Sort=A","Dates=H","DateFormat=P","Fill=—","Direction=H","UseDPDF=Y")</f>
        <v>2510</v>
      </c>
      <c r="AC14" s="13" cm="1">
        <f t="array" ref="AC14">_xll.BDH("CAT US Equity","IS_OPERATING_EXPN","FQ3 2025","FQ3 2025","Currency=USD","Period=FQ","BEST_FPERIOD_OVERRIDE=FQ","FILING_STATUS=MR","SCALING_FORMAT=MLN","FA_ADJUSTED=Adjusted","Sort=A","Dates=H","DateFormat=P","Fill=—","Direction=H","UseDPDF=Y")</f>
        <v>2530</v>
      </c>
      <c r="AD14" s="13" cm="1">
        <f t="array" ref="AD14">_xll.BDH("CAT US Equity","IS_OPERATING_EXPN","FQ4 2025","FQ4 2025","Currency=USD","Period=FQ","BEST_FPERIOD_OVERRIDE=FQ","FILING_STATUS=MR","SCALING_FORMAT=MLN","FA_ADJUSTED=Adjusted","Sort=A","Dates=H","DateFormat=P","Fill=—","Direction=H","UseDPDF=Y")</f>
        <v>2496</v>
      </c>
      <c r="AE14" s="13"/>
      <c r="AF14" s="13"/>
    </row>
    <row r="15" spans="1:32" x14ac:dyDescent="0.25">
      <c r="A15" s="10" t="s">
        <v>83</v>
      </c>
      <c r="B15" s="10" t="s">
        <v>84</v>
      </c>
      <c r="C15" s="13" cm="1">
        <f t="array" ref="C15">_xll.BDH("CAT US Equity","IS_SGA_EXPENSE","FQ1 2019","FQ1 2019","Currency=USD","Period=FQ","BEST_FPERIOD_OVERRIDE=FQ","FILING_STATUS=MR","SCALING_FORMAT=MLN","FA_ADJUSTED=Adjusted","Sort=A","Dates=H","DateFormat=P","Fill=—","Direction=H","UseDPDF=Y")</f>
        <v>1319</v>
      </c>
      <c r="D15" s="13" cm="1">
        <f t="array" ref="D15">_xll.BDH("CAT US Equity","IS_SGA_EXPENSE","FQ2 2019","FQ2 2019","Currency=USD","Period=FQ","BEST_FPERIOD_OVERRIDE=FQ","FILING_STATUS=MR","SCALING_FORMAT=MLN","FA_ADJUSTED=Adjusted","Sort=A","Dates=H","DateFormat=P","Fill=—","Direction=H","UseDPDF=Y")</f>
        <v>1309</v>
      </c>
      <c r="E15" s="13" cm="1">
        <f t="array" ref="E15">_xll.BDH("CAT US Equity","IS_SGA_EXPENSE","FQ3 2019","FQ3 2019","Currency=USD","Period=FQ","BEST_FPERIOD_OVERRIDE=FQ","FILING_STATUS=MR","SCALING_FORMAT=MLN","FA_ADJUSTED=Adjusted","Sort=A","Dates=H","DateFormat=P","Fill=—","Direction=H","UseDPDF=Y")</f>
        <v>1251</v>
      </c>
      <c r="F15" s="13" cm="1">
        <f t="array" ref="F15">_xll.BDH("CAT US Equity","IS_SGA_EXPENSE","FQ4 2019","FQ4 2019","Currency=USD","Period=FQ","BEST_FPERIOD_OVERRIDE=FQ","FILING_STATUS=MR","SCALING_FORMAT=MLN","FA_ADJUSTED=Adjusted","Sort=A","Dates=H","DateFormat=P","Fill=—","Direction=H","UseDPDF=Y")</f>
        <v>1283</v>
      </c>
      <c r="G15" s="13" cm="1">
        <f t="array" ref="G15">_xll.BDH("CAT US Equity","IS_SGA_EXPENSE","FQ1 2020","FQ1 2020","Currency=USD","Period=FQ","BEST_FPERIOD_OVERRIDE=FQ","FILING_STATUS=MR","SCALING_FORMAT=MLN","FA_ADJUSTED=Adjusted","Sort=A","Dates=H","DateFormat=P","Fill=—","Direction=H","UseDPDF=Y")</f>
        <v>1121</v>
      </c>
      <c r="H15" s="13" cm="1">
        <f t="array" ref="H15">_xll.BDH("CAT US Equity","IS_SGA_EXPENSE","FQ2 2020","FQ2 2020","Currency=USD","Period=FQ","BEST_FPERIOD_OVERRIDE=FQ","FILING_STATUS=MR","SCALING_FORMAT=MLN","FA_ADJUSTED=Adjusted","Sort=A","Dates=H","DateFormat=P","Fill=—","Direction=H","UseDPDF=Y")</f>
        <v>1179</v>
      </c>
      <c r="I15" s="13" cm="1">
        <f t="array" ref="I15">_xll.BDH("CAT US Equity","IS_SGA_EXPENSE","FQ3 2020","FQ3 2020","Currency=USD","Period=FQ","BEST_FPERIOD_OVERRIDE=FQ","FILING_STATUS=MR","SCALING_FORMAT=MLN","FA_ADJUSTED=Adjusted","Sort=A","Dates=H","DateFormat=P","Fill=—","Direction=H","UseDPDF=Y")</f>
        <v>1126</v>
      </c>
      <c r="J15" s="13" cm="1">
        <f t="array" ref="J15">_xll.BDH("CAT US Equity","IS_SGA_EXPENSE","FQ4 2020","FQ4 2020","Currency=USD","Period=FQ","BEST_FPERIOD_OVERRIDE=FQ","FILING_STATUS=MR","SCALING_FORMAT=MLN","FA_ADJUSTED=Adjusted","Sort=A","Dates=H","DateFormat=P","Fill=—","Direction=H","UseDPDF=Y")</f>
        <v>1216</v>
      </c>
      <c r="K15" s="13" cm="1">
        <f t="array" ref="K15">_xll.BDH("CAT US Equity","IS_SGA_EXPENSE","FQ1 2021","FQ1 2021","Currency=USD","Period=FQ","BEST_FPERIOD_OVERRIDE=FQ","FILING_STATUS=MR","SCALING_FORMAT=MLN","FA_ADJUSTED=Adjusted","Sort=A","Dates=H","DateFormat=P","Fill=—","Direction=H","UseDPDF=Y")</f>
        <v>1239</v>
      </c>
      <c r="L15" s="13" cm="1">
        <f t="array" ref="L15">_xll.BDH("CAT US Equity","IS_SGA_EXPENSE","FQ2 2021","FQ2 2021","Currency=USD","Period=FQ","BEST_FPERIOD_OVERRIDE=FQ","FILING_STATUS=MR","SCALING_FORMAT=MLN","FA_ADJUSTED=Adjusted","Sort=A","Dates=H","DateFormat=P","Fill=—","Direction=H","UseDPDF=Y")</f>
        <v>1364</v>
      </c>
      <c r="M15" s="13" cm="1">
        <f t="array" ref="M15">_xll.BDH("CAT US Equity","IS_SGA_EXPENSE","FQ3 2021","FQ3 2021","Currency=USD","Period=FQ","BEST_FPERIOD_OVERRIDE=FQ","FILING_STATUS=MR","SCALING_FORMAT=MLN","FA_ADJUSTED=Adjusted","Sort=A","Dates=H","DateFormat=P","Fill=—","Direction=H","UseDPDF=Y")</f>
        <v>1340</v>
      </c>
      <c r="N15" s="13" cm="1">
        <f t="array" ref="N15">_xll.BDH("CAT US Equity","IS_SGA_EXPENSE","FQ4 2021","FQ4 2021","Currency=USD","Period=FQ","BEST_FPERIOD_OVERRIDE=FQ","FILING_STATUS=MR","SCALING_FORMAT=MLN","FA_ADJUSTED=Adjusted","Sort=A","Dates=H","DateFormat=P","Fill=—","Direction=H","UseDPDF=Y")</f>
        <v>1422</v>
      </c>
      <c r="O15" s="13" cm="1">
        <f t="array" ref="O15">_xll.BDH("CAT US Equity","IS_SGA_EXPENSE","FQ1 2022","FQ1 2022","Currency=USD","Period=FQ","BEST_FPERIOD_OVERRIDE=FQ","FILING_STATUS=MR","SCALING_FORMAT=MLN","FA_ADJUSTED=Adjusted","Sort=A","Dates=H","DateFormat=P","Fill=—","Direction=H","UseDPDF=Y")</f>
        <v>1346</v>
      </c>
      <c r="P15" s="13" cm="1">
        <f t="array" ref="P15">_xll.BDH("CAT US Equity","IS_SGA_EXPENSE","FQ2 2022","FQ2 2022","Currency=USD","Period=FQ","BEST_FPERIOD_OVERRIDE=FQ","FILING_STATUS=MR","SCALING_FORMAT=MLN","FA_ADJUSTED=Adjusted","Sort=A","Dates=H","DateFormat=P","Fill=—","Direction=H","UseDPDF=Y")</f>
        <v>1425</v>
      </c>
      <c r="Q15" s="13" cm="1">
        <f t="array" ref="Q15">_xll.BDH("CAT US Equity","IS_SGA_EXPENSE","FQ3 2022","FQ3 2022","Currency=USD","Period=FQ","BEST_FPERIOD_OVERRIDE=FQ","FILING_STATUS=MR","SCALING_FORMAT=MLN","FA_ADJUSTED=Adjusted","Sort=A","Dates=H","DateFormat=P","Fill=—","Direction=H","UseDPDF=Y")</f>
        <v>1401</v>
      </c>
      <c r="R15" s="13" cm="1">
        <f t="array" ref="R15">_xll.BDH("CAT US Equity","IS_SGA_EXPENSE","FQ4 2022","FQ4 2022","Currency=USD","Period=FQ","BEST_FPERIOD_OVERRIDE=FQ","FILING_STATUS=MR","SCALING_FORMAT=MLN","FA_ADJUSTED=Adjusted","Sort=A","Dates=H","DateFormat=P","Fill=—","Direction=H","UseDPDF=Y")</f>
        <v>1479</v>
      </c>
      <c r="S15" s="13" cm="1">
        <f t="array" ref="S15">_xll.BDH("CAT US Equity","IS_SGA_EXPENSE","FQ1 2023","FQ1 2023","Currency=USD","Period=FQ","BEST_FPERIOD_OVERRIDE=FQ","FILING_STATUS=MR","SCALING_FORMAT=MLN","FA_ADJUSTED=Adjusted","Sort=A","Dates=H","DateFormat=P","Fill=—","Direction=H","UseDPDF=Y")</f>
        <v>1463</v>
      </c>
      <c r="T15" s="13" cm="1">
        <f t="array" ref="T15">_xll.BDH("CAT US Equity","IS_SGA_EXPENSE","FQ2 2023","FQ2 2023","Currency=USD","Period=FQ","BEST_FPERIOD_OVERRIDE=FQ","FILING_STATUS=MR","SCALING_FORMAT=MLN","FA_ADJUSTED=Adjusted","Sort=A","Dates=H","DateFormat=P","Fill=—","Direction=H","UseDPDF=Y")</f>
        <v>1528</v>
      </c>
      <c r="U15" s="13" cm="1">
        <f t="array" ref="U15">_xll.BDH("CAT US Equity","IS_SGA_EXPENSE","FQ3 2023","FQ3 2023","Currency=USD","Period=FQ","BEST_FPERIOD_OVERRIDE=FQ","FILING_STATUS=MR","SCALING_FORMAT=MLN","FA_ADJUSTED=Adjusted","Sort=A","Dates=H","DateFormat=P","Fill=—","Direction=H","UseDPDF=Y")</f>
        <v>1624</v>
      </c>
      <c r="V15" s="13" cm="1">
        <f t="array" ref="V15">_xll.BDH("CAT US Equity","IS_SGA_EXPENSE","FQ4 2023","FQ4 2023","Currency=USD","Period=FQ","BEST_FPERIOD_OVERRIDE=FQ","FILING_STATUS=MR","SCALING_FORMAT=MLN","FA_ADJUSTED=Adjusted","Sort=A","Dates=H","DateFormat=P","Fill=—","Direction=H","UseDPDF=Y")</f>
        <v>1756</v>
      </c>
      <c r="W15" s="13" cm="1">
        <f t="array" ref="W15">_xll.BDH("CAT US Equity","IS_SGA_EXPENSE","FQ1 2024","FQ1 2024","Currency=USD","Period=FQ","BEST_FPERIOD_OVERRIDE=FQ","FILING_STATUS=MR","SCALING_FORMAT=MLN","FA_ADJUSTED=Adjusted","Sort=A","Dates=H","DateFormat=P","Fill=—","Direction=H","UseDPDF=Y")</f>
        <v>1577</v>
      </c>
      <c r="X15" s="13" cm="1">
        <f t="array" ref="X15">_xll.BDH("CAT US Equity","IS_SGA_EXPENSE","FQ2 2024","FQ2 2024","Currency=USD","Period=FQ","BEST_FPERIOD_OVERRIDE=FQ","FILING_STATUS=MR","SCALING_FORMAT=MLN","FA_ADJUSTED=Adjusted","Sort=A","Dates=H","DateFormat=P","Fill=—","Direction=H","UseDPDF=Y")</f>
        <v>1652</v>
      </c>
      <c r="Y15" s="13" cm="1">
        <f t="array" ref="Y15">_xll.BDH("CAT US Equity","IS_SGA_EXPENSE","FQ3 2024","FQ3 2024","Currency=USD","Period=FQ","BEST_FPERIOD_OVERRIDE=FQ","FILING_STATUS=MR","SCALING_FORMAT=MLN","FA_ADJUSTED=Adjusted","Sort=A","Dates=H","DateFormat=P","Fill=—","Direction=H","UseDPDF=Y")</f>
        <v>1669</v>
      </c>
      <c r="Z15" s="13" cm="1">
        <f t="array" ref="Z15">_xll.BDH("CAT US Equity","IS_SGA_EXPENSE","FQ4 2024","FQ4 2024","Currency=USD","Period=FQ","BEST_FPERIOD_OVERRIDE=FQ","FILING_STATUS=MR","SCALING_FORMAT=MLN","FA_ADJUSTED=Adjusted","Sort=A","Dates=H","DateFormat=P","Fill=—","Direction=H","UseDPDF=Y")</f>
        <v>1769</v>
      </c>
      <c r="AA15" s="13" cm="1">
        <f t="array" ref="AA15">_xll.BDH("CAT US Equity","IS_SGA_EXPENSE","FQ1 2025","FQ1 2025","Currency=USD","Period=FQ","BEST_FPERIOD_OVERRIDE=FQ","FILING_STATUS=MR","SCALING_FORMAT=MLN","FA_ADJUSTED=Adjusted","Sort=A","Dates=H","DateFormat=P","Fill=—","Direction=H","UseDPDF=Y")</f>
        <v>1593</v>
      </c>
      <c r="AB15" s="13" cm="1">
        <f t="array" ref="AB15">_xll.BDH("CAT US Equity","IS_SGA_EXPENSE","FQ2 2025","FQ2 2025","Currency=USD","Period=FQ","BEST_FPERIOD_OVERRIDE=FQ","FILING_STATUS=MR","SCALING_FORMAT=MLN","FA_ADJUSTED=Adjusted","Sort=A","Dates=H","DateFormat=P","Fill=—","Direction=H","UseDPDF=Y")</f>
        <v>1694</v>
      </c>
      <c r="AC15" s="13" cm="1">
        <f t="array" ref="AC15">_xll.BDH("CAT US Equity","IS_SGA_EXPENSE","FQ3 2025","FQ3 2025","Currency=USD","Period=FQ","BEST_FPERIOD_OVERRIDE=FQ","FILING_STATUS=MR","SCALING_FORMAT=MLN","FA_ADJUSTED=Adjusted","Sort=A","Dates=H","DateFormat=P","Fill=—","Direction=H","UseDPDF=Y")</f>
        <v>1822</v>
      </c>
      <c r="AD15" s="13" cm="1">
        <f t="array" ref="AD15">_xll.BDH("CAT US Equity","IS_SGA_EXPENSE","FQ4 2025","FQ4 2025","Currency=USD","Period=FQ","BEST_FPERIOD_OVERRIDE=FQ","FILING_STATUS=MR","SCALING_FORMAT=MLN","FA_ADJUSTED=Adjusted","Sort=A","Dates=H","DateFormat=P","Fill=—","Direction=H","UseDPDF=Y")</f>
        <v>1876</v>
      </c>
      <c r="AE15" s="13"/>
      <c r="AF15" s="13"/>
    </row>
    <row r="16" spans="1:32" x14ac:dyDescent="0.25">
      <c r="A16" s="10" t="s">
        <v>85</v>
      </c>
      <c r="B16" s="10" t="s">
        <v>86</v>
      </c>
      <c r="C16" s="13" cm="1">
        <f t="array" ref="C16">_xll.BDH("CAT US Equity","IS_OPERATING_EXPENSES_RD","FQ1 2019","FQ1 2019","Currency=USD","Period=FQ","BEST_FPERIOD_OVERRIDE=FQ","FILING_STATUS=MR","SCALING_FORMAT=MLN","Sort=A","Dates=H","DateFormat=P","Fill=—","Direction=H","UseDPDF=Y")</f>
        <v>435</v>
      </c>
      <c r="D16" s="13" cm="1">
        <f t="array" ref="D16">_xll.BDH("CAT US Equity","IS_OPERATING_EXPENSES_RD","FQ2 2019","FQ2 2019","Currency=USD","Period=FQ","BEST_FPERIOD_OVERRIDE=FQ","FILING_STATUS=MR","SCALING_FORMAT=MLN","Sort=A","Dates=H","DateFormat=P","Fill=—","Direction=H","UseDPDF=Y")</f>
        <v>441</v>
      </c>
      <c r="E16" s="13" cm="1">
        <f t="array" ref="E16">_xll.BDH("CAT US Equity","IS_OPERATING_EXPENSES_RD","FQ3 2019","FQ3 2019","Currency=USD","Period=FQ","BEST_FPERIOD_OVERRIDE=FQ","FILING_STATUS=MR","SCALING_FORMAT=MLN","Sort=A","Dates=H","DateFormat=P","Fill=—","Direction=H","UseDPDF=Y")</f>
        <v>431</v>
      </c>
      <c r="F16" s="13" cm="1">
        <f t="array" ref="F16">_xll.BDH("CAT US Equity","IS_OPERATING_EXPENSES_RD","FQ4 2019","FQ4 2019","Currency=USD","Period=FQ","BEST_FPERIOD_OVERRIDE=FQ","FILING_STATUS=MR","SCALING_FORMAT=MLN","Sort=A","Dates=H","DateFormat=P","Fill=—","Direction=H","UseDPDF=Y")</f>
        <v>386</v>
      </c>
      <c r="G16" s="13" cm="1">
        <f t="array" ref="G16">_xll.BDH("CAT US Equity","IS_OPERATING_EXPENSES_RD","FQ1 2020","FQ1 2020","Currency=USD","Period=FQ","BEST_FPERIOD_OVERRIDE=FQ","FILING_STATUS=MR","SCALING_FORMAT=MLN","Sort=A","Dates=H","DateFormat=P","Fill=—","Direction=H","UseDPDF=Y")</f>
        <v>356</v>
      </c>
      <c r="H16" s="13" cm="1">
        <f t="array" ref="H16">_xll.BDH("CAT US Equity","IS_OPERATING_EXPENSES_RD","FQ2 2020","FQ2 2020","Currency=USD","Period=FQ","BEST_FPERIOD_OVERRIDE=FQ","FILING_STATUS=MR","SCALING_FORMAT=MLN","Sort=A","Dates=H","DateFormat=P","Fill=—","Direction=H","UseDPDF=Y")</f>
        <v>341</v>
      </c>
      <c r="I16" s="13" cm="1">
        <f t="array" ref="I16">_xll.BDH("CAT US Equity","IS_OPERATING_EXPENSES_RD","FQ3 2020","FQ3 2020","Currency=USD","Period=FQ","BEST_FPERIOD_OVERRIDE=FQ","FILING_STATUS=MR","SCALING_FORMAT=MLN","Sort=A","Dates=H","DateFormat=P","Fill=—","Direction=H","UseDPDF=Y")</f>
        <v>344</v>
      </c>
      <c r="J16" s="13" cm="1">
        <f t="array" ref="J16">_xll.BDH("CAT US Equity","IS_OPERATING_EXPENSES_RD","FQ4 2020","FQ4 2020","Currency=USD","Period=FQ","BEST_FPERIOD_OVERRIDE=FQ","FILING_STATUS=MR","SCALING_FORMAT=MLN","Sort=A","Dates=H","DateFormat=P","Fill=—","Direction=H","UseDPDF=Y")</f>
        <v>374</v>
      </c>
      <c r="K16" s="13" cm="1">
        <f t="array" ref="K16">_xll.BDH("CAT US Equity","IS_OPERATING_EXPENSES_RD","FQ1 2021","FQ1 2021","Currency=USD","Period=FQ","BEST_FPERIOD_OVERRIDE=FQ","FILING_STATUS=MR","SCALING_FORMAT=MLN","Sort=A","Dates=H","DateFormat=P","Fill=—","Direction=H","UseDPDF=Y")</f>
        <v>374</v>
      </c>
      <c r="L16" s="13" cm="1">
        <f t="array" ref="L16">_xll.BDH("CAT US Equity","IS_OPERATING_EXPENSES_RD","FQ2 2021","FQ2 2021","Currency=USD","Period=FQ","BEST_FPERIOD_OVERRIDE=FQ","FILING_STATUS=MR","SCALING_FORMAT=MLN","Sort=A","Dates=H","DateFormat=P","Fill=—","Direction=H","UseDPDF=Y")</f>
        <v>446</v>
      </c>
      <c r="M16" s="13" cm="1">
        <f t="array" ref="M16">_xll.BDH("CAT US Equity","IS_OPERATING_EXPENSES_RD","FQ3 2021","FQ3 2021","Currency=USD","Period=FQ","BEST_FPERIOD_OVERRIDE=FQ","FILING_STATUS=MR","SCALING_FORMAT=MLN","Sort=A","Dates=H","DateFormat=P","Fill=—","Direction=H","UseDPDF=Y")</f>
        <v>427</v>
      </c>
      <c r="N16" s="13" cm="1">
        <f t="array" ref="N16">_xll.BDH("CAT US Equity","IS_OPERATING_EXPENSES_RD","FQ4 2021","FQ4 2021","Currency=USD","Period=FQ","BEST_FPERIOD_OVERRIDE=FQ","FILING_STATUS=MR","SCALING_FORMAT=MLN","Sort=A","Dates=H","DateFormat=P","Fill=—","Direction=H","UseDPDF=Y")</f>
        <v>439</v>
      </c>
      <c r="O16" s="13" cm="1">
        <f t="array" ref="O16">_xll.BDH("CAT US Equity","IS_OPERATING_EXPENSES_RD","FQ1 2022","FQ1 2022","Currency=USD","Period=FQ","BEST_FPERIOD_OVERRIDE=FQ","FILING_STATUS=MR","SCALING_FORMAT=MLN","Sort=A","Dates=H","DateFormat=P","Fill=—","Direction=H","UseDPDF=Y")</f>
        <v>457</v>
      </c>
      <c r="P16" s="13" cm="1">
        <f t="array" ref="P16">_xll.BDH("CAT US Equity","IS_OPERATING_EXPENSES_RD","FQ2 2022","FQ2 2022","Currency=USD","Period=FQ","BEST_FPERIOD_OVERRIDE=FQ","FILING_STATUS=MR","SCALING_FORMAT=MLN","Sort=A","Dates=H","DateFormat=P","Fill=—","Direction=H","UseDPDF=Y")</f>
        <v>480</v>
      </c>
      <c r="Q16" s="13" cm="1">
        <f t="array" ref="Q16">_xll.BDH("CAT US Equity","IS_OPERATING_EXPENSES_RD","FQ3 2022","FQ3 2022","Currency=USD","Period=FQ","BEST_FPERIOD_OVERRIDE=FQ","FILING_STATUS=MR","SCALING_FORMAT=MLN","Sort=A","Dates=H","DateFormat=P","Fill=—","Direction=H","UseDPDF=Y")</f>
        <v>476</v>
      </c>
      <c r="R16" s="13" cm="1">
        <f t="array" ref="R16">_xll.BDH("CAT US Equity","IS_OPERATING_EXPENSES_RD","FQ4 2022","FQ4 2022","Currency=USD","Period=FQ","BEST_FPERIOD_OVERRIDE=FQ","FILING_STATUS=MR","SCALING_FORMAT=MLN","Sort=A","Dates=H","DateFormat=P","Fill=—","Direction=H","UseDPDF=Y")</f>
        <v>401</v>
      </c>
      <c r="S16" s="13" cm="1">
        <f t="array" ref="S16">_xll.BDH("CAT US Equity","IS_OPERATING_EXPENSES_RD","FQ1 2023","FQ1 2023","Currency=USD","Period=FQ","BEST_FPERIOD_OVERRIDE=FQ","FILING_STATUS=MR","SCALING_FORMAT=MLN","Sort=A","Dates=H","DateFormat=P","Fill=—","Direction=H","UseDPDF=Y")</f>
        <v>472</v>
      </c>
      <c r="T16" s="13" cm="1">
        <f t="array" ref="T16">_xll.BDH("CAT US Equity","IS_OPERATING_EXPENSES_RD","FQ2 2023","FQ2 2023","Currency=USD","Period=FQ","BEST_FPERIOD_OVERRIDE=FQ","FILING_STATUS=MR","SCALING_FORMAT=MLN","Sort=A","Dates=H","DateFormat=P","Fill=—","Direction=H","UseDPDF=Y")</f>
        <v>528</v>
      </c>
      <c r="U16" s="13" cm="1">
        <f t="array" ref="U16">_xll.BDH("CAT US Equity","IS_OPERATING_EXPENSES_RD","FQ3 2023","FQ3 2023","Currency=USD","Period=FQ","BEST_FPERIOD_OVERRIDE=FQ","FILING_STATUS=MR","SCALING_FORMAT=MLN","Sort=A","Dates=H","DateFormat=P","Fill=—","Direction=H","UseDPDF=Y")</f>
        <v>554</v>
      </c>
      <c r="V16" s="13" cm="1">
        <f t="array" ref="V16">_xll.BDH("CAT US Equity","IS_OPERATING_EXPENSES_RD","FQ4 2023","FQ4 2023","Currency=USD","Period=FQ","BEST_FPERIOD_OVERRIDE=FQ","FILING_STATUS=MR","SCALING_FORMAT=MLN","Sort=A","Dates=H","DateFormat=P","Fill=—","Direction=H","UseDPDF=Y")</f>
        <v>554</v>
      </c>
      <c r="W16" s="13" cm="1">
        <f t="array" ref="W16">_xll.BDH("CAT US Equity","IS_OPERATING_EXPENSES_RD","FQ1 2024","FQ1 2024","Currency=USD","Period=FQ","BEST_FPERIOD_OVERRIDE=FQ","FILING_STATUS=MR","SCALING_FORMAT=MLN","Sort=A","Dates=H","DateFormat=P","Fill=—","Direction=H","UseDPDF=Y")</f>
        <v>520</v>
      </c>
      <c r="X16" s="13" cm="1">
        <f t="array" ref="X16">_xll.BDH("CAT US Equity","IS_OPERATING_EXPENSES_RD","FQ2 2024","FQ2 2024","Currency=USD","Period=FQ","BEST_FPERIOD_OVERRIDE=FQ","FILING_STATUS=MR","SCALING_FORMAT=MLN","Sort=A","Dates=H","DateFormat=P","Fill=—","Direction=H","UseDPDF=Y")</f>
        <v>535</v>
      </c>
      <c r="Y16" s="13" cm="1">
        <f t="array" ref="Y16">_xll.BDH("CAT US Equity","IS_OPERATING_EXPENSES_RD","FQ3 2024","FQ3 2024","Currency=USD","Period=FQ","BEST_FPERIOD_OVERRIDE=FQ","FILING_STATUS=MR","SCALING_FORMAT=MLN","Sort=A","Dates=H","DateFormat=P","Fill=—","Direction=H","UseDPDF=Y")</f>
        <v>533</v>
      </c>
      <c r="Z16" s="13" cm="1">
        <f t="array" ref="Z16">_xll.BDH("CAT US Equity","IS_OPERATING_EXPENSES_RD","FQ4 2024","FQ4 2024","Currency=USD","Period=FQ","BEST_FPERIOD_OVERRIDE=FQ","FILING_STATUS=MR","SCALING_FORMAT=MLN","Sort=A","Dates=H","DateFormat=P","Fill=—","Direction=H","UseDPDF=Y")</f>
        <v>519</v>
      </c>
      <c r="AA16" s="13" cm="1">
        <f t="array" ref="AA16">_xll.BDH("CAT US Equity","IS_OPERATING_EXPENSES_RD","FQ1 2025","FQ1 2025","Currency=USD","Period=FQ","BEST_FPERIOD_OVERRIDE=FQ","FILING_STATUS=MR","SCALING_FORMAT=MLN","Sort=A","Dates=H","DateFormat=P","Fill=—","Direction=H","UseDPDF=Y")</f>
        <v>480</v>
      </c>
      <c r="AB16" s="13" cm="1">
        <f t="array" ref="AB16">_xll.BDH("CAT US Equity","IS_OPERATING_EXPENSES_RD","FQ2 2025","FQ2 2025","Currency=USD","Period=FQ","BEST_FPERIOD_OVERRIDE=FQ","FILING_STATUS=MR","SCALING_FORMAT=MLN","Sort=A","Dates=H","DateFormat=P","Fill=—","Direction=H","UseDPDF=Y")</f>
        <v>551</v>
      </c>
      <c r="AC16" s="13" cm="1">
        <f t="array" ref="AC16">_xll.BDH("CAT US Equity","IS_OPERATING_EXPENSES_RD","FQ3 2025","FQ3 2025","Currency=USD","Period=FQ","BEST_FPERIOD_OVERRIDE=FQ","FILING_STATUS=MR","SCALING_FORMAT=MLN","Sort=A","Dates=H","DateFormat=P","Fill=—","Direction=H","UseDPDF=Y")</f>
        <v>555</v>
      </c>
      <c r="AD16" s="13" cm="1">
        <f t="array" ref="AD16">_xll.BDH("CAT US Equity","IS_OPERATING_EXPENSES_RD","FQ4 2025","FQ4 2025","Currency=USD","Period=FQ","BEST_FPERIOD_OVERRIDE=FQ","FILING_STATUS=MR","SCALING_FORMAT=MLN","Sort=A","Dates=H","DateFormat=P","Fill=—","Direction=H","UseDPDF=Y")</f>
        <v>562</v>
      </c>
      <c r="AE16" s="13"/>
      <c r="AF16" s="13"/>
    </row>
    <row r="17" spans="1:32" x14ac:dyDescent="0.25">
      <c r="A17" s="10" t="s">
        <v>87</v>
      </c>
      <c r="B17" s="10" t="s">
        <v>88</v>
      </c>
      <c r="C17" s="13" cm="1">
        <f t="array" ref="C17">_xll.BDH("CAT US Equity","IS_OTHER_OPERATING_EXPENSES","FQ1 2019","FQ1 2019","Currency=USD","Period=FQ","BEST_FPERIOD_OVERRIDE=FQ","FILING_STATUS=MR","SCALING_FORMAT=MLN","FA_ADJUSTED=Adjusted","Sort=A","Dates=H","DateFormat=P","Fill=—","Direction=H","UseDPDF=Y")</f>
        <v>290</v>
      </c>
      <c r="D17" s="13" cm="1">
        <f t="array" ref="D17">_xll.BDH("CAT US Equity","IS_OTHER_OPERATING_EXPENSES","FQ2 2019","FQ2 2019","Currency=USD","Period=FQ","BEST_FPERIOD_OVERRIDE=FQ","FILING_STATUS=MR","SCALING_FORMAT=MLN","FA_ADJUSTED=Adjusted","Sort=A","Dates=H","DateFormat=P","Fill=—","Direction=H","UseDPDF=Y")</f>
        <v>297</v>
      </c>
      <c r="E17" s="13" cm="1">
        <f t="array" ref="E17">_xll.BDH("CAT US Equity","IS_OTHER_OPERATING_EXPENSES","FQ3 2019","FQ3 2019","Currency=USD","Period=FQ","BEST_FPERIOD_OVERRIDE=FQ","FILING_STATUS=MR","SCALING_FORMAT=MLN","FA_ADJUSTED=Adjusted","Sort=A","Dates=H","DateFormat=P","Fill=—","Direction=H","UseDPDF=Y")</f>
        <v>280</v>
      </c>
      <c r="F17" s="13" cm="1">
        <f t="array" ref="F17">_xll.BDH("CAT US Equity","IS_OTHER_OPERATING_EXPENSES","FQ4 2019","FQ4 2019","Currency=USD","Period=FQ","BEST_FPERIOD_OVERRIDE=FQ","FILING_STATUS=MR","SCALING_FORMAT=MLN","FA_ADJUSTED=Adjusted","Sort=A","Dates=H","DateFormat=P","Fill=—","Direction=H","UseDPDF=Y")</f>
        <v>283</v>
      </c>
      <c r="G17" s="13" cm="1">
        <f t="array" ref="G17">_xll.BDH("CAT US Equity","IS_OTHER_OPERATING_EXPENSES","FQ1 2020","FQ1 2020","Currency=USD","Period=FQ","BEST_FPERIOD_OVERRIDE=FQ","FILING_STATUS=MR","SCALING_FORMAT=MLN","FA_ADJUSTED=Adjusted","Sort=A","Dates=H","DateFormat=P","Fill=—","Direction=H","UseDPDF=Y")</f>
        <v>292</v>
      </c>
      <c r="H17" s="13" cm="1">
        <f t="array" ref="H17">_xll.BDH("CAT US Equity","IS_OTHER_OPERATING_EXPENSES","FQ2 2020","FQ2 2020","Currency=USD","Period=FQ","BEST_FPERIOD_OVERRIDE=FQ","FILING_STATUS=MR","SCALING_FORMAT=MLN","FA_ADJUSTED=Adjusted","Sort=A","Dates=H","DateFormat=P","Fill=—","Direction=H","UseDPDF=Y")</f>
        <v>292</v>
      </c>
      <c r="I17" s="13" cm="1">
        <f t="array" ref="I17">_xll.BDH("CAT US Equity","IS_OTHER_OPERATING_EXPENSES","FQ3 2020","FQ3 2020","Currency=USD","Period=FQ","BEST_FPERIOD_OVERRIDE=FQ","FILING_STATUS=MR","SCALING_FORMAT=MLN","FA_ADJUSTED=Adjusted","Sort=A","Dates=H","DateFormat=P","Fill=—","Direction=H","UseDPDF=Y")</f>
        <v>270</v>
      </c>
      <c r="J17" s="13" cm="1">
        <f t="array" ref="J17">_xll.BDH("CAT US Equity","IS_OTHER_OPERATING_EXPENSES","FQ4 2020","FQ4 2020","Currency=USD","Period=FQ","BEST_FPERIOD_OVERRIDE=FQ","FILING_STATUS=MR","SCALING_FORMAT=MLN","FA_ADJUSTED=Adjusted","Sort=A","Dates=H","DateFormat=P","Fill=—","Direction=H","UseDPDF=Y")</f>
        <v>302</v>
      </c>
      <c r="K17" s="13" cm="1">
        <f t="array" ref="K17">_xll.BDH("CAT US Equity","IS_OTHER_OPERATING_EXPENSES","FQ1 2021","FQ1 2021","Currency=USD","Period=FQ","BEST_FPERIOD_OVERRIDE=FQ","FILING_STATUS=MR","SCALING_FORMAT=MLN","FA_ADJUSTED=Adjusted","Sort=A","Dates=H","DateFormat=P","Fill=—","Direction=H","UseDPDF=Y")</f>
        <v>267</v>
      </c>
      <c r="L17" s="13" cm="1">
        <f t="array" ref="L17">_xll.BDH("CAT US Equity","IS_OTHER_OPERATING_EXPENSES","FQ2 2021","FQ2 2021","Currency=USD","Period=FQ","BEST_FPERIOD_OVERRIDE=FQ","FILING_STATUS=MR","SCALING_FORMAT=MLN","FA_ADJUSTED=Adjusted","Sort=A","Dates=H","DateFormat=P","Fill=—","Direction=H","UseDPDF=Y")</f>
        <v>283</v>
      </c>
      <c r="M17" s="13" cm="1">
        <f t="array" ref="M17">_xll.BDH("CAT US Equity","IS_OTHER_OPERATING_EXPENSES","FQ3 2021","FQ3 2021","Currency=USD","Period=FQ","BEST_FPERIOD_OVERRIDE=FQ","FILING_STATUS=MR","SCALING_FORMAT=MLN","FA_ADJUSTED=Adjusted","Sort=A","Dates=H","DateFormat=P","Fill=—","Direction=H","UseDPDF=Y")</f>
        <v>212</v>
      </c>
      <c r="N17" s="13" cm="1">
        <f t="array" ref="N17">_xll.BDH("CAT US Equity","IS_OTHER_OPERATING_EXPENSES","FQ4 2021","FQ4 2021","Currency=USD","Period=FQ","BEST_FPERIOD_OVERRIDE=FQ","FILING_STATUS=MR","SCALING_FORMAT=MLN","FA_ADJUSTED=Adjusted","Sort=A","Dates=H","DateFormat=P","Fill=—","Direction=H","UseDPDF=Y")</f>
        <v>254</v>
      </c>
      <c r="O17" s="13" cm="1">
        <f t="array" ref="O17">_xll.BDH("CAT US Equity","IS_OTHER_OPERATING_EXPENSES","FQ1 2022","FQ1 2022","Currency=USD","Period=FQ","BEST_FPERIOD_OVERRIDE=FQ","FILING_STATUS=MR","SCALING_FORMAT=MLN","FA_ADJUSTED=Adjusted","Sort=A","Dates=H","DateFormat=P","Fill=—","Direction=H","UseDPDF=Y")</f>
        <v>261</v>
      </c>
      <c r="P17" s="13" cm="1">
        <f t="array" ref="P17">_xll.BDH("CAT US Equity","IS_OTHER_OPERATING_EXPENSES","FQ2 2022","FQ2 2022","Currency=USD","Period=FQ","BEST_FPERIOD_OVERRIDE=FQ","FILING_STATUS=MR","SCALING_FORMAT=MLN","FA_ADJUSTED=Adjusted","Sort=A","Dates=H","DateFormat=P","Fill=—","Direction=H","UseDPDF=Y")</f>
        <v>280</v>
      </c>
      <c r="Q17" s="13" cm="1">
        <f t="array" ref="Q17">_xll.BDH("CAT US Equity","IS_OTHER_OPERATING_EXPENSES","FQ3 2022","FQ3 2022","Currency=USD","Period=FQ","BEST_FPERIOD_OVERRIDE=FQ","FILING_STATUS=MR","SCALING_FORMAT=MLN","FA_ADJUSTED=Adjusted","Sort=A","Dates=H","DateFormat=P","Fill=—","Direction=H","UseDPDF=Y")</f>
        <v>303</v>
      </c>
      <c r="R17" s="13" cm="1">
        <f t="array" ref="R17">_xll.BDH("CAT US Equity","IS_OTHER_OPERATING_EXPENSES","FQ4 2022","FQ4 2022","Currency=USD","Period=FQ","BEST_FPERIOD_OVERRIDE=FQ","FILING_STATUS=MR","SCALING_FORMAT=MLN","FA_ADJUSTED=Adjusted","Sort=A","Dates=H","DateFormat=P","Fill=—","Direction=H","UseDPDF=Y")</f>
        <v>101</v>
      </c>
      <c r="S17" s="13" cm="1">
        <f t="array" ref="S17">_xll.BDH("CAT US Equity","IS_OTHER_OPERATING_EXPENSES","FQ1 2023","FQ1 2023","Currency=USD","Period=FQ","BEST_FPERIOD_OVERRIDE=FQ","FILING_STATUS=MR","SCALING_FORMAT=MLN","FA_ADJUSTED=Adjusted","Sort=A","Dates=H","DateFormat=P","Fill=—","Direction=H","UseDPDF=Y")</f>
        <v>-294</v>
      </c>
      <c r="T17" s="13" cm="1">
        <f t="array" ref="T17">_xll.BDH("CAT US Equity","IS_OTHER_OPERATING_EXPENSES","FQ2 2023","FQ2 2023","Currency=USD","Period=FQ","BEST_FPERIOD_OVERRIDE=FQ","FILING_STATUS=MR","SCALING_FORMAT=MLN","FA_ADJUSTED=Adjusted","Sort=A","Dates=H","DateFormat=P","Fill=—","Direction=H","UseDPDF=Y")</f>
        <v>288</v>
      </c>
      <c r="U17" s="13" cm="1">
        <f t="array" ref="U17">_xll.BDH("CAT US Equity","IS_OTHER_OPERATING_EXPENSES","FQ3 2023","FQ3 2023","Currency=USD","Period=FQ","BEST_FPERIOD_OVERRIDE=FQ","FILING_STATUS=MR","SCALING_FORMAT=MLN","FA_ADJUSTED=Adjusted","Sort=A","Dates=H","DateFormat=P","Fill=—","Direction=H","UseDPDF=Y")</f>
        <v>274</v>
      </c>
      <c r="V17" s="13" cm="1">
        <f t="array" ref="V17">_xll.BDH("CAT US Equity","IS_OTHER_OPERATING_EXPENSES","FQ4 2023","FQ4 2023","Currency=USD","Period=FQ","BEST_FPERIOD_OVERRIDE=FQ","FILING_STATUS=MR","SCALING_FORMAT=MLN","FA_ADJUSTED=Adjusted","Sort=A","Dates=H","DateFormat=P","Fill=—","Direction=H","UseDPDF=Y")</f>
        <v>230</v>
      </c>
      <c r="W17" s="13" cm="1">
        <f t="array" ref="W17">_xll.BDH("CAT US Equity","IS_OTHER_OPERATING_EXPENSES","FQ1 2024","FQ1 2024","Currency=USD","Period=FQ","BEST_FPERIOD_OVERRIDE=FQ","FILING_STATUS=MR","SCALING_FORMAT=MLN","FA_ADJUSTED=Adjusted","Sort=A","Dates=H","DateFormat=P","Fill=—","Direction=H","UseDPDF=Y")</f>
        <v>229</v>
      </c>
      <c r="X17" s="13" cm="1">
        <f t="array" ref="X17">_xll.BDH("CAT US Equity","IS_OTHER_OPERATING_EXPENSES","FQ2 2024","FQ2 2024","Currency=USD","Period=FQ","BEST_FPERIOD_OVERRIDE=FQ","FILING_STATUS=MR","SCALING_FORMAT=MLN","FA_ADJUSTED=Adjusted","Sort=A","Dates=H","DateFormat=P","Fill=—","Direction=H","UseDPDF=Y")</f>
        <v>80</v>
      </c>
      <c r="Y17" s="13" cm="1">
        <f t="array" ref="Y17">_xll.BDH("CAT US Equity","IS_OTHER_OPERATING_EXPENSES","FQ3 2024","FQ3 2024","Currency=USD","Period=FQ","BEST_FPERIOD_OVERRIDE=FQ","FILING_STATUS=MR","SCALING_FORMAT=MLN","FA_ADJUSTED=Adjusted","Sort=A","Dates=H","DateFormat=P","Fill=—","Direction=H","UseDPDF=Y")</f>
        <v>285</v>
      </c>
      <c r="Z17" s="13" cm="1">
        <f t="array" ref="Z17">_xll.BDH("CAT US Equity","IS_OTHER_OPERATING_EXPENSES","FQ4 2024","FQ4 2024","Currency=USD","Period=FQ","BEST_FPERIOD_OVERRIDE=FQ","FILING_STATUS=MR","SCALING_FORMAT=MLN","FA_ADJUSTED=Adjusted","Sort=A","Dates=H","DateFormat=P","Fill=—","Direction=H","UseDPDF=Y")</f>
        <v>307</v>
      </c>
      <c r="AA17" s="13" cm="1">
        <f t="array" ref="AA17">_xll.BDH("CAT US Equity","IS_OTHER_OPERATING_EXPENSES","FQ1 2025","FQ1 2025","Currency=USD","Period=FQ","BEST_FPERIOD_OVERRIDE=FQ","FILING_STATUS=MR","SCALING_FORMAT=MLN","FA_ADJUSTED=Adjusted","Sort=A","Dates=H","DateFormat=P","Fill=—","Direction=H","UseDPDF=Y")</f>
        <v>273</v>
      </c>
      <c r="AB17" s="13" cm="1">
        <f t="array" ref="AB17">_xll.BDH("CAT US Equity","IS_OTHER_OPERATING_EXPENSES","FQ2 2025","FQ2 2025","Currency=USD","Period=FQ","BEST_FPERIOD_OVERRIDE=FQ","FILING_STATUS=MR","SCALING_FORMAT=MLN","FA_ADJUSTED=Adjusted","Sort=A","Dates=H","DateFormat=P","Fill=—","Direction=H","UseDPDF=Y")</f>
        <v>265</v>
      </c>
      <c r="AC17" s="13" cm="1">
        <f t="array" ref="AC17">_xll.BDH("CAT US Equity","IS_OTHER_OPERATING_EXPENSES","FQ3 2025","FQ3 2025","Currency=USD","Period=FQ","BEST_FPERIOD_OVERRIDE=FQ","FILING_STATUS=MR","SCALING_FORMAT=MLN","FA_ADJUSTED=Adjusted","Sort=A","Dates=H","DateFormat=P","Fill=—","Direction=H","UseDPDF=Y")</f>
        <v>153</v>
      </c>
      <c r="AD17" s="13" cm="1">
        <f t="array" ref="AD17">_xll.BDH("CAT US Equity","IS_OTHER_OPERATING_EXPENSES","FQ4 2025","FQ4 2025","Currency=USD","Period=FQ","BEST_FPERIOD_OVERRIDE=FQ","FILING_STATUS=MR","SCALING_FORMAT=MLN","FA_ADJUSTED=Adjusted","Sort=A","Dates=H","DateFormat=P","Fill=—","Direction=H","UseDPDF=Y")</f>
        <v>58</v>
      </c>
      <c r="AE17" s="13"/>
      <c r="AF17" s="13"/>
    </row>
    <row r="18" spans="1:32" x14ac:dyDescent="0.25">
      <c r="A18" s="6" t="s">
        <v>89</v>
      </c>
      <c r="B18" s="6" t="s">
        <v>90</v>
      </c>
      <c r="C18" s="16" cm="1">
        <f t="array" ref="C18">_xll.BDH("CAT US Equity","IS_OPER_INC","FQ1 2019","FQ1 2019","Currency=USD","Period=FQ","BEST_FPERIOD_OVERRIDE=FQ","FILING_STATUS=MR","SCALING_FORMAT=MLN","FA_ADJUSTED=Adjusted","Sort=A","Dates=H","DateFormat=P","Fill=—","Direction=H","UseDPDF=Y")</f>
        <v>2255</v>
      </c>
      <c r="D18" s="16" cm="1">
        <f t="array" ref="D18">_xll.BDH("CAT US Equity","IS_OPER_INC","FQ2 2019","FQ2 2019","Currency=USD","Period=FQ","BEST_FPERIOD_OVERRIDE=FQ","FILING_STATUS=MR","SCALING_FORMAT=MLN","FA_ADJUSTED=Adjusted","Sort=A","Dates=H","DateFormat=P","Fill=—","Direction=H","UseDPDF=Y")</f>
        <v>2323</v>
      </c>
      <c r="E18" s="16" cm="1">
        <f t="array" ref="E18">_xll.BDH("CAT US Equity","IS_OPER_INC","FQ3 2019","FQ3 2019","Currency=USD","Period=FQ","BEST_FPERIOD_OVERRIDE=FQ","FILING_STATUS=MR","SCALING_FORMAT=MLN","FA_ADJUSTED=Adjusted","Sort=A","Dates=H","DateFormat=P","Fill=—","Direction=H","UseDPDF=Y")</f>
        <v>2051</v>
      </c>
      <c r="F18" s="16" cm="1">
        <f t="array" ref="F18">_xll.BDH("CAT US Equity","IS_OPER_INC","FQ4 2019","FQ4 2019","Currency=USD","Period=FQ","BEST_FPERIOD_OVERRIDE=FQ","FILING_STATUS=MR","SCALING_FORMAT=MLN","FA_ADJUSTED=Adjusted","Sort=A","Dates=H","DateFormat=P","Fill=—","Direction=H","UseDPDF=Y")</f>
        <v>1904</v>
      </c>
      <c r="G18" s="16" cm="1">
        <f t="array" ref="G18">_xll.BDH("CAT US Equity","IS_OPER_INC","FQ1 2020","FQ1 2020","Currency=USD","Period=FQ","BEST_FPERIOD_OVERRIDE=FQ","FILING_STATUS=MR","SCALING_FORMAT=MLN","FA_ADJUSTED=Adjusted","Sort=A","Dates=H","DateFormat=P","Fill=—","Direction=H","UseDPDF=Y")</f>
        <v>1441</v>
      </c>
      <c r="H18" s="16" cm="1">
        <f t="array" ref="H18">_xll.BDH("CAT US Equity","IS_OPER_INC","FQ2 2020","FQ2 2020","Currency=USD","Period=FQ","BEST_FPERIOD_OVERRIDE=FQ","FILING_STATUS=MR","SCALING_FORMAT=MLN","FA_ADJUSTED=Adjusted","Sort=A","Dates=H","DateFormat=P","Fill=—","Direction=H","UseDPDF=Y")</f>
        <v>931</v>
      </c>
      <c r="I18" s="16" cm="1">
        <f t="array" ref="I18">_xll.BDH("CAT US Equity","IS_OPER_INC","FQ3 2020","FQ3 2020","Currency=USD","Period=FQ","BEST_FPERIOD_OVERRIDE=FQ","FILING_STATUS=MR","SCALING_FORMAT=MLN","FA_ADJUSTED=Adjusted","Sort=A","Dates=H","DateFormat=P","Fill=—","Direction=H","UseDPDF=Y")</f>
        <v>1097</v>
      </c>
      <c r="J18" s="16" cm="1">
        <f t="array" ref="J18">_xll.BDH("CAT US Equity","IS_OPER_INC","FQ4 2020","FQ4 2020","Currency=USD","Period=FQ","BEST_FPERIOD_OVERRIDE=FQ","FILING_STATUS=MR","SCALING_FORMAT=MLN","FA_ADJUSTED=Adjusted","Sort=A","Dates=H","DateFormat=P","Fill=—","Direction=H","UseDPDF=Y")</f>
        <v>1438</v>
      </c>
      <c r="K18" s="16" cm="1">
        <f t="array" ref="K18">_xll.BDH("CAT US Equity","IS_OPER_INC","FQ1 2021","FQ1 2021","Currency=USD","Period=FQ","BEST_FPERIOD_OVERRIDE=FQ","FILING_STATUS=MR","SCALING_FORMAT=MLN","FA_ADJUSTED=Adjusted","Sort=A","Dates=H","DateFormat=P","Fill=—","Direction=H","UseDPDF=Y")</f>
        <v>1878</v>
      </c>
      <c r="L18" s="16" cm="1">
        <f t="array" ref="L18">_xll.BDH("CAT US Equity","IS_OPER_INC","FQ2 2021","FQ2 2021","Currency=USD","Period=FQ","BEST_FPERIOD_OVERRIDE=FQ","FILING_STATUS=MR","SCALING_FORMAT=MLN","FA_ADJUSTED=Adjusted","Sort=A","Dates=H","DateFormat=P","Fill=—","Direction=H","UseDPDF=Y")</f>
        <v>1814</v>
      </c>
      <c r="M18" s="16" cm="1">
        <f t="array" ref="M18">_xll.BDH("CAT US Equity","IS_OPER_INC","FQ3 2021","FQ3 2021","Currency=USD","Period=FQ","BEST_FPERIOD_OVERRIDE=FQ","FILING_STATUS=MR","SCALING_FORMAT=MLN","FA_ADJUSTED=Adjusted","Sort=A","Dates=H","DateFormat=P","Fill=—","Direction=H","UseDPDF=Y")</f>
        <v>1699</v>
      </c>
      <c r="N18" s="16" cm="1">
        <f t="array" ref="N18">_xll.BDH("CAT US Equity","IS_OPER_INC","FQ4 2021","FQ4 2021","Currency=USD","Period=FQ","BEST_FPERIOD_OVERRIDE=FQ","FILING_STATUS=MR","SCALING_FORMAT=MLN","FA_ADJUSTED=Adjusted","Sort=A","Dates=H","DateFormat=P","Fill=—","Direction=H","UseDPDF=Y")</f>
        <v>1577</v>
      </c>
      <c r="O18" s="16" cm="1">
        <f t="array" ref="O18">_xll.BDH("CAT US Equity","IS_OPER_INC","FQ1 2022","FQ1 2022","Currency=USD","Period=FQ","BEST_FPERIOD_OVERRIDE=FQ","FILING_STATUS=MR","SCALING_FORMAT=MLN","FA_ADJUSTED=Adjusted","Sort=A","Dates=H","DateFormat=P","Fill=—","Direction=H","UseDPDF=Y")</f>
        <v>1868</v>
      </c>
      <c r="P18" s="16" cm="1">
        <f t="array" ref="P18">_xll.BDH("CAT US Equity","IS_OPER_INC","FQ2 2022","FQ2 2022","Currency=USD","Period=FQ","BEST_FPERIOD_OVERRIDE=FQ","FILING_STATUS=MR","SCALING_FORMAT=MLN","FA_ADJUSTED=Adjusted","Sort=A","Dates=H","DateFormat=P","Fill=—","Direction=H","UseDPDF=Y")</f>
        <v>1972</v>
      </c>
      <c r="Q18" s="16" cm="1">
        <f t="array" ref="Q18">_xll.BDH("CAT US Equity","IS_OPER_INC","FQ3 2022","FQ3 2022","Currency=USD","Period=FQ","BEST_FPERIOD_OVERRIDE=FQ","FILING_STATUS=MR","SCALING_FORMAT=MLN","FA_ADJUSTED=Adjusted","Sort=A","Dates=H","DateFormat=P","Fill=—","Direction=H","UseDPDF=Y")</f>
        <v>2474</v>
      </c>
      <c r="R18" s="16" cm="1">
        <f t="array" ref="R18">_xll.BDH("CAT US Equity","IS_OPER_INC","FQ4 2022","FQ4 2022","Currency=USD","Period=FQ","BEST_FPERIOD_OVERRIDE=FQ","FILING_STATUS=MR","SCALING_FORMAT=MLN","FA_ADJUSTED=Adjusted","Sort=A","Dates=H","DateFormat=P","Fill=—","Direction=H","UseDPDF=Y")</f>
        <v>2814</v>
      </c>
      <c r="S18" s="16" cm="1">
        <f t="array" ref="S18">_xll.BDH("CAT US Equity","IS_OPER_INC","FQ1 2023","FQ1 2023","Currency=USD","Period=FQ","BEST_FPERIOD_OVERRIDE=FQ","FILING_STATUS=MR","SCALING_FORMAT=MLN","FA_ADJUSTED=Adjusted","Sort=A","Dates=H","DateFormat=P","Fill=—","Direction=H","UseDPDF=Y")</f>
        <v>3914</v>
      </c>
      <c r="T18" s="16" cm="1">
        <f t="array" ref="T18">_xll.BDH("CAT US Equity","IS_OPER_INC","FQ2 2023","FQ2 2023","Currency=USD","Period=FQ","BEST_FPERIOD_OVERRIDE=FQ","FILING_STATUS=MR","SCALING_FORMAT=MLN","FA_ADJUSTED=Adjusted","Sort=A","Dates=H","DateFormat=P","Fill=—","Direction=H","UseDPDF=Y")</f>
        <v>3683</v>
      </c>
      <c r="U18" s="16" cm="1">
        <f t="array" ref="U18">_xll.BDH("CAT US Equity","IS_OPER_INC","FQ3 2023","FQ3 2023","Currency=USD","Period=FQ","BEST_FPERIOD_OVERRIDE=FQ","FILING_STATUS=MR","SCALING_FORMAT=MLN","FA_ADJUSTED=Adjusted","Sort=A","Dates=H","DateFormat=P","Fill=—","Direction=H","UseDPDF=Y")</f>
        <v>3495</v>
      </c>
      <c r="V18" s="16" cm="1">
        <f t="array" ref="V18">_xll.BDH("CAT US Equity","IS_OPER_INC","FQ4 2023","FQ4 2023","Currency=USD","Period=FQ","BEST_FPERIOD_OVERRIDE=FQ","FILING_STATUS=MR","SCALING_FORMAT=MLN","FA_ADJUSTED=Adjusted","Sort=A","Dates=H","DateFormat=P","Fill=—","Direction=H","UseDPDF=Y")</f>
        <v>3226</v>
      </c>
      <c r="W18" s="16" cm="1">
        <f t="array" ref="W18">_xll.BDH("CAT US Equity","IS_OPER_INC","FQ1 2024","FQ1 2024","Currency=USD","Period=FQ","BEST_FPERIOD_OVERRIDE=FQ","FILING_STATUS=MR","SCALING_FORMAT=MLN","FA_ADJUSTED=Adjusted","Sort=A","Dates=H","DateFormat=P","Fill=—","Direction=H","UseDPDF=Y")</f>
        <v>3513</v>
      </c>
      <c r="X18" s="16" cm="1">
        <f t="array" ref="X18">_xll.BDH("CAT US Equity","IS_OPER_INC","FQ2 2024","FQ2 2024","Currency=USD","Period=FQ","BEST_FPERIOD_OVERRIDE=FQ","FILING_STATUS=MR","SCALING_FORMAT=MLN","FA_ADJUSTED=Adjusted","Sort=A","Dates=H","DateFormat=P","Fill=—","Direction=H","UseDPDF=Y")</f>
        <v>3968</v>
      </c>
      <c r="Y18" s="16" cm="1">
        <f t="array" ref="Y18">_xll.BDH("CAT US Equity","IS_OPER_INC","FQ3 2024","FQ3 2024","Currency=USD","Period=FQ","BEST_FPERIOD_OVERRIDE=FQ","FILING_STATUS=MR","SCALING_FORMAT=MLN","FA_ADJUSTED=Adjusted","Sort=A","Dates=H","DateFormat=P","Fill=—","Direction=H","UseDPDF=Y")</f>
        <v>3217</v>
      </c>
      <c r="Z18" s="16" cm="1">
        <f t="array" ref="Z18">_xll.BDH("CAT US Equity","IS_OPER_INC","FQ4 2024","FQ4 2024","Currency=USD","Period=FQ","BEST_FPERIOD_OVERRIDE=FQ","FILING_STATUS=MR","SCALING_FORMAT=MLN","FA_ADJUSTED=Adjusted","Sort=A","Dates=H","DateFormat=P","Fill=—","Direction=H","UseDPDF=Y")</f>
        <v>2961</v>
      </c>
      <c r="AA18" s="16" cm="1">
        <f t="array" ref="AA18">_xll.BDH("CAT US Equity","IS_OPER_INC","FQ1 2025","FQ1 2025","Currency=USD","Period=FQ","BEST_FPERIOD_OVERRIDE=FQ","FILING_STATUS=MR","SCALING_FORMAT=MLN","FA_ADJUSTED=Adjusted","Sort=A","Dates=H","DateFormat=P","Fill=—","Direction=H","UseDPDF=Y")</f>
        <v>2612</v>
      </c>
      <c r="AB18" s="16" cm="1">
        <f t="array" ref="AB18">_xll.BDH("CAT US Equity","IS_OPER_INC","FQ2 2025","FQ2 2025","Currency=USD","Period=FQ","BEST_FPERIOD_OVERRIDE=FQ","FILING_STATUS=MR","SCALING_FORMAT=MLN","FA_ADJUSTED=Adjusted","Sort=A","Dates=H","DateFormat=P","Fill=—","Direction=H","UseDPDF=Y")</f>
        <v>2916</v>
      </c>
      <c r="AC18" s="16" cm="1">
        <f t="array" ref="AC18">_xll.BDH("CAT US Equity","IS_OPER_INC","FQ3 2025","FQ3 2025","Currency=USD","Period=FQ","BEST_FPERIOD_OVERRIDE=FQ","FILING_STATUS=MR","SCALING_FORMAT=MLN","FA_ADJUSTED=Adjusted","Sort=A","Dates=H","DateFormat=P","Fill=—","Direction=H","UseDPDF=Y")</f>
        <v>3089</v>
      </c>
      <c r="AD18" s="16" cm="1">
        <f t="array" ref="AD18">_xll.BDH("CAT US Equity","IS_OPER_INC","FQ4 2025","FQ4 2025","Currency=USD","Period=FQ","BEST_FPERIOD_OVERRIDE=FQ","FILING_STATUS=MR","SCALING_FORMAT=MLN","FA_ADJUSTED=Adjusted","Sort=A","Dates=H","DateFormat=P","Fill=—","Direction=H","UseDPDF=Y")</f>
        <v>2979</v>
      </c>
      <c r="AE18" s="16">
        <v>2662.4210526315801</v>
      </c>
      <c r="AF18" s="16">
        <v>3313.21052631579</v>
      </c>
    </row>
    <row r="19" spans="1:32" x14ac:dyDescent="0.25">
      <c r="A19" s="10" t="s">
        <v>91</v>
      </c>
      <c r="B19" s="10" t="s">
        <v>92</v>
      </c>
      <c r="C19" s="13" cm="1">
        <f t="array" ref="C19">_xll.BDH("CAT US Equity","IS_NONOP_INCOME_LOSS","FQ1 2019","FQ1 2019","Currency=USD","Period=FQ","BEST_FPERIOD_OVERRIDE=FQ","FILING_STATUS=MR","SCALING_FORMAT=MLN","FA_ADJUSTED=Adjusted","Sort=A","Dates=H","DateFormat=P","Fill=—","Direction=H","UseDPDF=Y")</f>
        <v>-57</v>
      </c>
      <c r="D19" s="13" cm="1">
        <f t="array" ref="D19">_xll.BDH("CAT US Equity","IS_NONOP_INCOME_LOSS","FQ2 2019","FQ2 2019","Currency=USD","Period=FQ","BEST_FPERIOD_OVERRIDE=FQ","FILING_STATUS=MR","SCALING_FORMAT=MLN","FA_ADJUSTED=Adjusted","Sort=A","Dates=H","DateFormat=P","Fill=—","Direction=H","UseDPDF=Y")</f>
        <v>35</v>
      </c>
      <c r="E19" s="13" cm="1">
        <f t="array" ref="E19">_xll.BDH("CAT US Equity","IS_NONOP_INCOME_LOSS","FQ3 2019","FQ3 2019","Currency=USD","Period=FQ","BEST_FPERIOD_OVERRIDE=FQ","FILING_STATUS=MR","SCALING_FORMAT=MLN","FA_ADJUSTED=Adjusted","Sort=A","Dates=H","DateFormat=P","Fill=—","Direction=H","UseDPDF=Y")</f>
        <v>15</v>
      </c>
      <c r="F19" s="13" cm="1">
        <f t="array" ref="F19">_xll.BDH("CAT US Equity","IS_NONOP_INCOME_LOSS","FQ4 2019","FQ4 2019","Currency=USD","Period=FQ","BEST_FPERIOD_OVERRIDE=FQ","FILING_STATUS=MR","SCALING_FORMAT=MLN","FA_ADJUSTED=Adjusted","Sort=A","Dates=H","DateFormat=P","Fill=—","Direction=H","UseDPDF=Y")</f>
        <v>17</v>
      </c>
      <c r="G19" s="13" cm="1">
        <f t="array" ref="G19">_xll.BDH("CAT US Equity","IS_NONOP_INCOME_LOSS","FQ1 2020","FQ1 2020","Currency=USD","Period=FQ","BEST_FPERIOD_OVERRIDE=FQ","FILING_STATUS=MR","SCALING_FORMAT=MLN","FA_ADJUSTED=Adjusted","Sort=A","Dates=H","DateFormat=P","Fill=—","Direction=H","UseDPDF=Y")</f>
        <v>145</v>
      </c>
      <c r="H19" s="13" cm="1">
        <f t="array" ref="H19">_xll.BDH("CAT US Equity","IS_NONOP_INCOME_LOSS","FQ2 2020","FQ2 2020","Currency=USD","Period=FQ","BEST_FPERIOD_OVERRIDE=FQ","FILING_STATUS=MR","SCALING_FORMAT=MLN","FA_ADJUSTED=Adjusted","Sort=A","Dates=H","DateFormat=P","Fill=—","Direction=H","UseDPDF=Y")</f>
        <v>106</v>
      </c>
      <c r="I19" s="13" cm="1">
        <f t="array" ref="I19">_xll.BDH("CAT US Equity","IS_NONOP_INCOME_LOSS","FQ3 2020","FQ3 2020","Currency=USD","Period=FQ","BEST_FPERIOD_OVERRIDE=FQ","FILING_STATUS=MR","SCALING_FORMAT=MLN","FA_ADJUSTED=Adjusted","Sort=A","Dates=H","DateFormat=P","Fill=—","Direction=H","UseDPDF=Y")</f>
        <v>45</v>
      </c>
      <c r="J19" s="13" cm="1">
        <f t="array" ref="J19">_xll.BDH("CAT US Equity","IS_NONOP_INCOME_LOSS","FQ4 2020","FQ4 2020","Currency=USD","Period=FQ","BEST_FPERIOD_OVERRIDE=FQ","FILING_STATUS=MR","SCALING_FORMAT=MLN","FA_ADJUSTED=Adjusted","Sort=A","Dates=H","DateFormat=P","Fill=—","Direction=H","UseDPDF=Y")</f>
        <v>1</v>
      </c>
      <c r="K19" s="13" cm="1">
        <f t="array" ref="K19">_xll.BDH("CAT US Equity","IS_NONOP_INCOME_LOSS","FQ1 2021","FQ1 2021","Currency=USD","Period=FQ","BEST_FPERIOD_OVERRIDE=FQ","FILING_STATUS=MR","SCALING_FORMAT=MLN","FA_ADJUSTED=Adjusted","Sort=A","Dates=H","DateFormat=P","Fill=—","Direction=H","UseDPDF=Y")</f>
        <v>-183</v>
      </c>
      <c r="L19" s="13" cm="1">
        <f t="array" ref="L19">_xll.BDH("CAT US Equity","IS_NONOP_INCOME_LOSS","FQ2 2021","FQ2 2021","Currency=USD","Period=FQ","BEST_FPERIOD_OVERRIDE=FQ","FILING_STATUS=MR","SCALING_FORMAT=MLN","FA_ADJUSTED=Adjusted","Sort=A","Dates=H","DateFormat=P","Fill=—","Direction=H","UseDPDF=Y")</f>
        <v>-81</v>
      </c>
      <c r="M19" s="13" cm="1">
        <f t="array" ref="M19">_xll.BDH("CAT US Equity","IS_NONOP_INCOME_LOSS","FQ3 2021","FQ3 2021","Currency=USD","Period=FQ","BEST_FPERIOD_OVERRIDE=FQ","FILING_STATUS=MR","SCALING_FORMAT=MLN","FA_ADJUSTED=Adjusted","Sort=A","Dates=H","DateFormat=P","Fill=—","Direction=H","UseDPDF=Y")</f>
        <v>-111</v>
      </c>
      <c r="N19" s="13" cm="1">
        <f t="array" ref="N19">_xll.BDH("CAT US Equity","IS_NONOP_INCOME_LOSS","FQ4 2021","FQ4 2021","Currency=USD","Period=FQ","BEST_FPERIOD_OVERRIDE=FQ","FILING_STATUS=MR","SCALING_FORMAT=MLN","FA_ADJUSTED=Adjusted","Sort=A","Dates=H","DateFormat=P","Fill=—","Direction=H","UseDPDF=Y")</f>
        <v>-118</v>
      </c>
      <c r="O19" s="13" cm="1">
        <f t="array" ref="O19">_xll.BDH("CAT US Equity","IS_NONOP_INCOME_LOSS","FQ1 2022","FQ1 2022","Currency=USD","Period=FQ","BEST_FPERIOD_OVERRIDE=FQ","FILING_STATUS=MR","SCALING_FORMAT=MLN","FA_ADJUSTED=Adjusted","Sort=A","Dates=H","DateFormat=P","Fill=—","Direction=H","UseDPDF=Y")</f>
        <v>-144</v>
      </c>
      <c r="P19" s="13" cm="1">
        <f t="array" ref="P19">_xll.BDH("CAT US Equity","IS_NONOP_INCOME_LOSS","FQ2 2022","FQ2 2022","Currency=USD","Period=FQ","BEST_FPERIOD_OVERRIDE=FQ","FILING_STATUS=MR","SCALING_FORMAT=MLN","FA_ADJUSTED=Adjusted","Sort=A","Dates=H","DateFormat=P","Fill=—","Direction=H","UseDPDF=Y")</f>
        <v>-199</v>
      </c>
      <c r="Q19" s="13" cm="1">
        <f t="array" ref="Q19">_xll.BDH("CAT US Equity","IS_NONOP_INCOME_LOSS","FQ3 2022","FQ3 2022","Currency=USD","Period=FQ","BEST_FPERIOD_OVERRIDE=FQ","FILING_STATUS=MR","SCALING_FORMAT=MLN","FA_ADJUSTED=Adjusted","Sort=A","Dates=H","DateFormat=P","Fill=—","Direction=H","UseDPDF=Y")</f>
        <v>-133</v>
      </c>
      <c r="R19" s="13" cm="1">
        <f t="array" ref="R19">_xll.BDH("CAT US Equity","IS_NONOP_INCOME_LOSS","FQ4 2022","FQ4 2022","Currency=USD","Period=FQ","BEST_FPERIOD_OVERRIDE=FQ","FILING_STATUS=MR","SCALING_FORMAT=MLN","FA_ADJUSTED=Adjusted","Sort=A","Dates=H","DateFormat=P","Fill=—","Direction=H","UseDPDF=Y")</f>
        <v>187</v>
      </c>
      <c r="S19" s="13" cm="1">
        <f t="array" ref="S19">_xll.BDH("CAT US Equity","IS_NONOP_INCOME_LOSS","FQ1 2023","FQ1 2023","Currency=USD","Period=FQ","BEST_FPERIOD_OVERRIDE=FQ","FILING_STATUS=MR","SCALING_FORMAT=MLN","FA_ADJUSTED=Adjusted","Sort=A","Dates=H","DateFormat=P","Fill=—","Direction=H","UseDPDF=Y")</f>
        <v>97</v>
      </c>
      <c r="T19" s="13" cm="1">
        <f t="array" ref="T19">_xll.BDH("CAT US Equity","IS_NONOP_INCOME_LOSS","FQ2 2023","FQ2 2023","Currency=USD","Period=FQ","BEST_FPERIOD_OVERRIDE=FQ","FILING_STATUS=MR","SCALING_FORMAT=MLN","FA_ADJUSTED=Adjusted","Sort=A","Dates=H","DateFormat=P","Fill=—","Direction=H","UseDPDF=Y")</f>
        <v>0</v>
      </c>
      <c r="U19" s="13" cm="1">
        <f t="array" ref="U19">_xll.BDH("CAT US Equity","IS_NONOP_INCOME_LOSS","FQ3 2023","FQ3 2023","Currency=USD","Period=FQ","BEST_FPERIOD_OVERRIDE=FQ","FILING_STATUS=MR","SCALING_FORMAT=MLN","FA_ADJUSTED=Adjusted","Sort=A","Dates=H","DateFormat=P","Fill=—","Direction=H","UseDPDF=Y")</f>
        <v>-66</v>
      </c>
      <c r="V19" s="13" cm="1">
        <f t="array" ref="V19">_xll.BDH("CAT US Equity","IS_NONOP_INCOME_LOSS","FQ4 2023","FQ4 2023","Currency=USD","Period=FQ","BEST_FPERIOD_OVERRIDE=FQ","FILING_STATUS=MR","SCALING_FORMAT=MLN","FA_ADJUSTED=Adjusted","Sort=A","Dates=H","DateFormat=P","Fill=—","Direction=H","UseDPDF=Y")</f>
        <v>4.7847999999999997</v>
      </c>
      <c r="W19" s="13" cm="1">
        <f t="array" ref="W19">_xll.BDH("CAT US Equity","IS_NONOP_INCOME_LOSS","FQ1 2024","FQ1 2024","Currency=USD","Period=FQ","BEST_FPERIOD_OVERRIDE=FQ","FILING_STATUS=MR","SCALING_FORMAT=MLN","FA_ADJUSTED=Adjusted","Sort=A","Dates=H","DateFormat=P","Fill=—","Direction=H","UseDPDF=Y")</f>
        <v>-13</v>
      </c>
      <c r="X19" s="13" cm="1">
        <f t="array" ref="X19">_xll.BDH("CAT US Equity","IS_NONOP_INCOME_LOSS","FQ2 2024","FQ2 2024","Currency=USD","Period=FQ","BEST_FPERIOD_OVERRIDE=FQ","FILING_STATUS=MR","SCALING_FORMAT=MLN","FA_ADJUSTED=Adjusted","Sort=A","Dates=H","DateFormat=P","Fill=—","Direction=H","UseDPDF=Y")</f>
        <v>-18</v>
      </c>
      <c r="Y19" s="13" cm="1">
        <f t="array" ref="Y19">_xll.BDH("CAT US Equity","IS_NONOP_INCOME_LOSS","FQ3 2024","FQ3 2024","Currency=USD","Period=FQ","BEST_FPERIOD_OVERRIDE=FQ","FILING_STATUS=MR","SCALING_FORMAT=MLN","FA_ADJUSTED=Adjusted","Sort=A","Dates=H","DateFormat=P","Fill=—","Direction=H","UseDPDF=Y")</f>
        <v>49</v>
      </c>
      <c r="Z19" s="13" cm="1">
        <f t="array" ref="Z19">_xll.BDH("CAT US Equity","IS_NONOP_INCOME_LOSS","FQ4 2024","FQ4 2024","Currency=USD","Period=FQ","BEST_FPERIOD_OVERRIDE=FQ","FILING_STATUS=MR","SCALING_FORMAT=MLN","FA_ADJUSTED=Adjusted","Sort=A","Dates=H","DateFormat=P","Fill=—","Direction=H","UseDPDF=Y")</f>
        <v>118.54430000000001</v>
      </c>
      <c r="AA19" s="13" cm="1">
        <f t="array" ref="AA19">_xll.BDH("CAT US Equity","IS_NONOP_INCOME_LOSS","FQ1 2025","FQ1 2025","Currency=USD","Period=FQ","BEST_FPERIOD_OVERRIDE=FQ","FILING_STATUS=MR","SCALING_FORMAT=MLN","FA_ADJUSTED=Adjusted","Sort=A","Dates=H","DateFormat=P","Fill=—","Direction=H","UseDPDF=Y")</f>
        <v>9</v>
      </c>
      <c r="AB19" s="13" cm="1">
        <f t="array" ref="AB19">_xll.BDH("CAT US Equity","IS_NONOP_INCOME_LOSS","FQ2 2025","FQ2 2025","Currency=USD","Period=FQ","BEST_FPERIOD_OVERRIDE=FQ","FILING_STATUS=MR","SCALING_FORMAT=MLN","FA_ADJUSTED=Adjusted","Sort=A","Dates=H","DateFormat=P","Fill=—","Direction=H","UseDPDF=Y")</f>
        <v>42</v>
      </c>
      <c r="AC19" s="13" cm="1">
        <f t="array" ref="AC19">_xll.BDH("CAT US Equity","IS_NONOP_INCOME_LOSS","FQ3 2025","FQ3 2025","Currency=USD","Period=FQ","BEST_FPERIOD_OVERRIDE=FQ","FILING_STATUS=MR","SCALING_FORMAT=MLN","FA_ADJUSTED=Adjusted","Sort=A","Dates=H","DateFormat=P","Fill=—","Direction=H","UseDPDF=Y")</f>
        <v>-75</v>
      </c>
      <c r="AD19" s="13" cm="1">
        <f t="array" ref="AD19">_xll.BDH("CAT US Equity","IS_NONOP_INCOME_LOSS","FQ4 2025","FQ4 2025","Currency=USD","Period=FQ","BEST_FPERIOD_OVERRIDE=FQ","FILING_STATUS=MR","SCALING_FORMAT=MLN","FA_ADJUSTED=Adjusted","Sort=A","Dates=H","DateFormat=P","Fill=—","Direction=H","UseDPDF=Y")</f>
        <v>-72</v>
      </c>
      <c r="AE19" s="13"/>
      <c r="AF19" s="13"/>
    </row>
    <row r="20" spans="1:32" x14ac:dyDescent="0.25">
      <c r="A20" s="10" t="s">
        <v>93</v>
      </c>
      <c r="B20" s="10" t="s">
        <v>94</v>
      </c>
      <c r="C20" s="13" cm="1">
        <f t="array" ref="C20">_xll.BDH("CAT US Equity","IS_NET_INTEREST_EXPENSE","FQ1 2019","FQ1 2019","Currency=USD","Period=FQ","BEST_FPERIOD_OVERRIDE=FQ","FILING_STATUS=MR","SCALING_FORMAT=MLN","FA_ADJUSTED=Adjusted","Sort=A","Dates=H","DateFormat=P","Fill=—","Direction=H","UseDPDF=Y")</f>
        <v>51</v>
      </c>
      <c r="D20" s="13" cm="1">
        <f t="array" ref="D20">_xll.BDH("CAT US Equity","IS_NET_INTEREST_EXPENSE","FQ2 2019","FQ2 2019","Currency=USD","Period=FQ","BEST_FPERIOD_OVERRIDE=FQ","FILING_STATUS=MR","SCALING_FORMAT=MLN","FA_ADJUSTED=Adjusted","Sort=A","Dates=H","DateFormat=P","Fill=—","Direction=H","UseDPDF=Y")</f>
        <v>49</v>
      </c>
      <c r="E20" s="13" cm="1">
        <f t="array" ref="E20">_xll.BDH("CAT US Equity","IS_NET_INTEREST_EXPENSE","FQ3 2019","FQ3 2019","Currency=USD","Period=FQ","BEST_FPERIOD_OVERRIDE=FQ","FILING_STATUS=MR","SCALING_FORMAT=MLN","FA_ADJUSTED=Adjusted","Sort=A","Dates=H","DateFormat=P","Fill=—","Direction=H","UseDPDF=Y")</f>
        <v>53</v>
      </c>
      <c r="F20" s="13" cm="1">
        <f t="array" ref="F20">_xll.BDH("CAT US Equity","IS_NET_INTEREST_EXPENSE","FQ4 2019","FQ4 2019","Currency=USD","Period=FQ","BEST_FPERIOD_OVERRIDE=FQ","FILING_STATUS=MR","SCALING_FORMAT=MLN","FA_ADJUSTED=Adjusted","Sort=A","Dates=H","DateFormat=P","Fill=—","Direction=H","UseDPDF=Y")</f>
        <v>66</v>
      </c>
      <c r="G20" s="13" cm="1">
        <f t="array" ref="G20">_xll.BDH("CAT US Equity","IS_NET_INTEREST_EXPENSE","FQ1 2020","FQ1 2020","Currency=USD","Period=FQ","BEST_FPERIOD_OVERRIDE=FQ","FILING_STATUS=MR","SCALING_FORMAT=MLN","FA_ADJUSTED=Adjusted","Sort=A","Dates=H","DateFormat=P","Fill=—","Direction=H","UseDPDF=Y")</f>
        <v>70</v>
      </c>
      <c r="H20" s="13" cm="1">
        <f t="array" ref="H20">_xll.BDH("CAT US Equity","IS_NET_INTEREST_EXPENSE","FQ2 2020","FQ2 2020","Currency=USD","Period=FQ","BEST_FPERIOD_OVERRIDE=FQ","FILING_STATUS=MR","SCALING_FORMAT=MLN","FA_ADJUSTED=Adjusted","Sort=A","Dates=H","DateFormat=P","Fill=—","Direction=H","UseDPDF=Y")</f>
        <v>108</v>
      </c>
      <c r="I20" s="13" cm="1">
        <f t="array" ref="I20">_xll.BDH("CAT US Equity","IS_NET_INTEREST_EXPENSE","FQ3 2020","FQ3 2020","Currency=USD","Period=FQ","BEST_FPERIOD_OVERRIDE=FQ","FILING_STATUS=MR","SCALING_FORMAT=MLN","FA_ADJUSTED=Adjusted","Sort=A","Dates=H","DateFormat=P","Fill=—","Direction=H","UseDPDF=Y")</f>
        <v>115</v>
      </c>
      <c r="J20" s="13" cm="1">
        <f t="array" ref="J20">_xll.BDH("CAT US Equity","IS_NET_INTEREST_EXPENSE","FQ4 2020","FQ4 2020","Currency=USD","Period=FQ","BEST_FPERIOD_OVERRIDE=FQ","FILING_STATUS=MR","SCALING_FORMAT=MLN","FA_ADJUSTED=Adjusted","Sort=A","Dates=H","DateFormat=P","Fill=—","Direction=H","UseDPDF=Y")</f>
        <v>109</v>
      </c>
      <c r="K20" s="13" cm="1">
        <f t="array" ref="K20">_xll.BDH("CAT US Equity","IS_NET_INTEREST_EXPENSE","FQ1 2021","FQ1 2021","Currency=USD","Period=FQ","BEST_FPERIOD_OVERRIDE=FQ","FILING_STATUS=MR","SCALING_FORMAT=MLN","FA_ADJUSTED=Adjusted","Sort=A","Dates=H","DateFormat=P","Fill=—","Direction=H","UseDPDF=Y")</f>
        <v>119</v>
      </c>
      <c r="L20" s="13" cm="1">
        <f t="array" ref="L20">_xll.BDH("CAT US Equity","IS_NET_INTEREST_EXPENSE","FQ2 2021","FQ2 2021","Currency=USD","Period=FQ","BEST_FPERIOD_OVERRIDE=FQ","FILING_STATUS=MR","SCALING_FORMAT=MLN","FA_ADJUSTED=Adjusted","Sort=A","Dates=H","DateFormat=P","Fill=—","Direction=H","UseDPDF=Y")</f>
        <v>99</v>
      </c>
      <c r="M20" s="13" cm="1">
        <f t="array" ref="M20">_xll.BDH("CAT US Equity","IS_NET_INTEREST_EXPENSE","FQ3 2021","FQ3 2021","Currency=USD","Period=FQ","BEST_FPERIOD_OVERRIDE=FQ","FILING_STATUS=MR","SCALING_FORMAT=MLN","FA_ADJUSTED=Adjusted","Sort=A","Dates=H","DateFormat=P","Fill=—","Direction=H","UseDPDF=Y")</f>
        <v>94</v>
      </c>
      <c r="N20" s="13" cm="1">
        <f t="array" ref="N20">_xll.BDH("CAT US Equity","IS_NET_INTEREST_EXPENSE","FQ4 2021","FQ4 2021","Currency=USD","Period=FQ","BEST_FPERIOD_OVERRIDE=FQ","FILING_STATUS=MR","SCALING_FORMAT=MLN","FA_ADJUSTED=Adjusted","Sort=A","Dates=H","DateFormat=P","Fill=—","Direction=H","UseDPDF=Y")</f>
        <v>96</v>
      </c>
      <c r="O20" s="13" cm="1">
        <f t="array" ref="O20">_xll.BDH("CAT US Equity","IS_NET_INTEREST_EXPENSE","FQ1 2022","FQ1 2022","Currency=USD","Period=FQ","BEST_FPERIOD_OVERRIDE=FQ","FILING_STATUS=MR","SCALING_FORMAT=MLN","FA_ADJUSTED=Adjusted","Sort=A","Dates=H","DateFormat=P","Fill=—","Direction=H","UseDPDF=Y")</f>
        <v>88</v>
      </c>
      <c r="P20" s="13" cm="1">
        <f t="array" ref="P20">_xll.BDH("CAT US Equity","IS_NET_INTEREST_EXPENSE","FQ2 2022","FQ2 2022","Currency=USD","Period=FQ","BEST_FPERIOD_OVERRIDE=FQ","FILING_STATUS=MR","SCALING_FORMAT=MLN","FA_ADJUSTED=Adjusted","Sort=A","Dates=H","DateFormat=P","Fill=—","Direction=H","UseDPDF=Y")</f>
        <v>83</v>
      </c>
      <c r="Q20" s="13" cm="1">
        <f t="array" ref="Q20">_xll.BDH("CAT US Equity","IS_NET_INTEREST_EXPENSE","FQ3 2022","FQ3 2022","Currency=USD","Period=FQ","BEST_FPERIOD_OVERRIDE=FQ","FILING_STATUS=MR","SCALING_FORMAT=MLN","FA_ADJUSTED=Adjusted","Sort=A","Dates=H","DateFormat=P","Fill=—","Direction=H","UseDPDF=Y")</f>
        <v>57</v>
      </c>
      <c r="R20" s="13" cm="1">
        <f t="array" ref="R20">_xll.BDH("CAT US Equity","IS_NET_INTEREST_EXPENSE","FQ4 2022","FQ4 2022","Currency=USD","Period=FQ","BEST_FPERIOD_OVERRIDE=FQ","FILING_STATUS=MR","SCALING_FORMAT=MLN","FA_ADJUSTED=Adjusted","Sort=A","Dates=H","DateFormat=P","Fill=—","Direction=H","UseDPDF=Y")</f>
        <v>48</v>
      </c>
      <c r="S20" s="13" cm="1">
        <f t="array" ref="S20">_xll.BDH("CAT US Equity","IS_NET_INTEREST_EXPENSE","FQ1 2023","FQ1 2023","Currency=USD","Period=FQ","BEST_FPERIOD_OVERRIDE=FQ","FILING_STATUS=MR","SCALING_FORMAT=MLN","FA_ADJUSTED=Adjusted","Sort=A","Dates=H","DateFormat=P","Fill=—","Direction=H","UseDPDF=Y")</f>
        <v>36</v>
      </c>
      <c r="T20" s="13" cm="1">
        <f t="array" ref="T20">_xll.BDH("CAT US Equity","IS_NET_INTEREST_EXPENSE","FQ2 2023","FQ2 2023","Currency=USD","Period=FQ","BEST_FPERIOD_OVERRIDE=FQ","FILING_STATUS=MR","SCALING_FORMAT=MLN","FA_ADJUSTED=Adjusted","Sort=A","Dates=H","DateFormat=P","Fill=—","Direction=H","UseDPDF=Y")</f>
        <v>31</v>
      </c>
      <c r="U20" s="13" cm="1">
        <f t="array" ref="U20">_xll.BDH("CAT US Equity","IS_NET_INTEREST_EXPENSE","FQ3 2023","FQ3 2023","Currency=USD","Period=FQ","BEST_FPERIOD_OVERRIDE=FQ","FILING_STATUS=MR","SCALING_FORMAT=MLN","FA_ADJUSTED=Adjusted","Sort=A","Dates=H","DateFormat=P","Fill=—","Direction=H","UseDPDF=Y")</f>
        <v>-6</v>
      </c>
      <c r="V20" s="13" cm="1">
        <f t="array" ref="V20">_xll.BDH("CAT US Equity","IS_NET_INTEREST_EXPENSE","FQ4 2023","FQ4 2023","Currency=USD","Period=FQ","BEST_FPERIOD_OVERRIDE=FQ","FILING_STATUS=MR","SCALING_FORMAT=MLN","FA_ADJUSTED=Adjusted","Sort=A","Dates=H","DateFormat=P","Fill=—","Direction=H","UseDPDF=Y")</f>
        <v>126</v>
      </c>
      <c r="W20" s="13" cm="1">
        <f t="array" ref="W20">_xll.BDH("CAT US Equity","IS_NET_INTEREST_EXPENSE","FQ1 2024","FQ1 2024","Currency=USD","Period=FQ","BEST_FPERIOD_OVERRIDE=FQ","FILING_STATUS=MR","SCALING_FORMAT=MLN","FA_ADJUSTED=Adjusted","Sort=A","Dates=H","DateFormat=P","Fill=—","Direction=H","UseDPDF=Y")</f>
        <v>7</v>
      </c>
      <c r="X20" s="13" cm="1">
        <f t="array" ref="X20">_xll.BDH("CAT US Equity","IS_NET_INTEREST_EXPENSE","FQ2 2024","FQ2 2024","Currency=USD","Period=FQ","BEST_FPERIOD_OVERRIDE=FQ","FILING_STATUS=MR","SCALING_FORMAT=MLN","FA_ADJUSTED=Adjusted","Sort=A","Dates=H","DateFormat=P","Fill=—","Direction=H","UseDPDF=Y")</f>
        <v>19</v>
      </c>
      <c r="Y20" s="13" cm="1">
        <f t="array" ref="Y20">_xll.BDH("CAT US Equity","IS_NET_INTEREST_EXPENSE","FQ3 2024","FQ3 2024","Currency=USD","Period=FQ","BEST_FPERIOD_OVERRIDE=FQ","FILING_STATUS=MR","SCALING_FORMAT=MLN","FA_ADJUSTED=Adjusted","Sort=A","Dates=H","DateFormat=P","Fill=—","Direction=H","UseDPDF=Y")</f>
        <v>17</v>
      </c>
      <c r="Z20" s="13" cm="1">
        <f t="array" ref="Z20">_xll.BDH("CAT US Equity","IS_NET_INTEREST_EXPENSE","FQ4 2024","FQ4 2024","Currency=USD","Period=FQ","BEST_FPERIOD_OVERRIDE=FQ","FILING_STATUS=MR","SCALING_FORMAT=MLN","FA_ADJUSTED=Adjusted","Sort=A","Dates=H","DateFormat=P","Fill=—","Direction=H","UseDPDF=Y")</f>
        <v>107</v>
      </c>
      <c r="AA20" s="13" cm="1">
        <f t="array" ref="AA20">_xll.BDH("CAT US Equity","IS_NET_INTEREST_EXPENSE","FQ1 2025","FQ1 2025","Currency=USD","Period=FQ","BEST_FPERIOD_OVERRIDE=FQ","FILING_STATUS=MR","SCALING_FORMAT=MLN","FA_ADJUSTED=Adjusted","Sort=A","Dates=H","DateFormat=P","Fill=—","Direction=H","UseDPDF=Y")</f>
        <v>17</v>
      </c>
      <c r="AB20" s="13" cm="1">
        <f t="array" ref="AB20">_xll.BDH("CAT US Equity","IS_NET_INTEREST_EXPENSE","FQ2 2025","FQ2 2025","Currency=USD","Period=FQ","BEST_FPERIOD_OVERRIDE=FQ","FILING_STATUS=MR","SCALING_FORMAT=MLN","FA_ADJUSTED=Adjusted","Sort=A","Dates=H","DateFormat=P","Fill=—","Direction=H","UseDPDF=Y")</f>
        <v>45</v>
      </c>
      <c r="AC20" s="13" cm="1">
        <f t="array" ref="AC20">_xll.BDH("CAT US Equity","IS_NET_INTEREST_EXPENSE","FQ3 2025","FQ3 2025","Currency=USD","Period=FQ","BEST_FPERIOD_OVERRIDE=FQ","FILING_STATUS=MR","SCALING_FORMAT=MLN","FA_ADJUSTED=Adjusted","Sort=A","Dates=H","DateFormat=P","Fill=—","Direction=H","UseDPDF=Y")</f>
        <v>33</v>
      </c>
      <c r="AD20" s="13" cm="1">
        <f t="array" ref="AD20">_xll.BDH("CAT US Equity","IS_NET_INTEREST_EXPENSE","FQ4 2025","FQ4 2025","Currency=USD","Period=FQ","BEST_FPERIOD_OVERRIDE=FQ","FILING_STATUS=MR","SCALING_FORMAT=MLN","FA_ADJUSTED=Adjusted","Sort=A","Dates=H","DateFormat=P","Fill=—","Direction=H","UseDPDF=Y")</f>
        <v>-9</v>
      </c>
      <c r="AE20" s="13"/>
      <c r="AF20" s="13"/>
    </row>
    <row r="21" spans="1:32" x14ac:dyDescent="0.25">
      <c r="A21" s="11" t="s">
        <v>95</v>
      </c>
      <c r="B21" s="11" t="s">
        <v>96</v>
      </c>
      <c r="C21" s="18" cm="1">
        <f t="array" ref="C21">_xll.BDH("CAT US Equity","IS_INT_EXPENSE","FQ1 2019","FQ1 2019","Currency=USD","Period=FQ","BEST_FPERIOD_OVERRIDE=FQ","FILING_STATUS=MR","SCALING_FORMAT=MLN","FA_ADJUSTED=Adjusted","Sort=A","Dates=H","DateFormat=P","Fill=—","Direction=H","UseDPDF=Y")</f>
        <v>103</v>
      </c>
      <c r="D21" s="18" cm="1">
        <f t="array" ref="D21">_xll.BDH("CAT US Equity","IS_INT_EXPENSE","FQ2 2019","FQ2 2019","Currency=USD","Period=FQ","BEST_FPERIOD_OVERRIDE=FQ","FILING_STATUS=MR","SCALING_FORMAT=MLN","FA_ADJUSTED=Adjusted","Sort=A","Dates=H","DateFormat=P","Fill=—","Direction=H","UseDPDF=Y")</f>
        <v>103</v>
      </c>
      <c r="E21" s="18" cm="1">
        <f t="array" ref="E21">_xll.BDH("CAT US Equity","IS_INT_EXPENSE","FQ3 2019","FQ3 2019","Currency=USD","Period=FQ","BEST_FPERIOD_OVERRIDE=FQ","FILING_STATUS=MR","SCALING_FORMAT=MLN","FA_ADJUSTED=Adjusted","Sort=A","Dates=H","DateFormat=P","Fill=—","Direction=H","UseDPDF=Y")</f>
        <v>103</v>
      </c>
      <c r="F21" s="18" cm="1">
        <f t="array" ref="F21">_xll.BDH("CAT US Equity","IS_INT_EXPENSE","FQ4 2019","FQ4 2019","Currency=USD","Period=FQ","BEST_FPERIOD_OVERRIDE=FQ","FILING_STATUS=MR","SCALING_FORMAT=MLN","FA_ADJUSTED=Adjusted","Sort=A","Dates=H","DateFormat=P","Fill=—","Direction=H","UseDPDF=Y")</f>
        <v>112</v>
      </c>
      <c r="G21" s="18" cm="1">
        <f t="array" ref="G21">_xll.BDH("CAT US Equity","IS_INT_EXPENSE","FQ1 2020","FQ1 2020","Currency=USD","Period=FQ","BEST_FPERIOD_OVERRIDE=FQ","FILING_STATUS=MR","SCALING_FORMAT=MLN","FA_ADJUSTED=Adjusted","Sort=A","Dates=H","DateFormat=P","Fill=—","Direction=H","UseDPDF=Y")</f>
        <v>113</v>
      </c>
      <c r="H21" s="18" cm="1">
        <f t="array" ref="H21">_xll.BDH("CAT US Equity","IS_INT_EXPENSE","FQ2 2020","FQ2 2020","Currency=USD","Period=FQ","BEST_FPERIOD_OVERRIDE=FQ","FILING_STATUS=MR","SCALING_FORMAT=MLN","FA_ADJUSTED=Adjusted","Sort=A","Dates=H","DateFormat=P","Fill=—","Direction=H","UseDPDF=Y")</f>
        <v>135</v>
      </c>
      <c r="I21" s="18" cm="1">
        <f t="array" ref="I21">_xll.BDH("CAT US Equity","IS_INT_EXPENSE","FQ3 2020","FQ3 2020","Currency=USD","Period=FQ","BEST_FPERIOD_OVERRIDE=FQ","FILING_STATUS=MR","SCALING_FORMAT=MLN","FA_ADJUSTED=Adjusted","Sort=A","Dates=H","DateFormat=P","Fill=—","Direction=H","UseDPDF=Y")</f>
        <v>136</v>
      </c>
      <c r="J21" s="18" cm="1">
        <f t="array" ref="J21">_xll.BDH("CAT US Equity","IS_INT_EXPENSE","FQ4 2020","FQ4 2020","Currency=USD","Period=FQ","BEST_FPERIOD_OVERRIDE=FQ","FILING_STATUS=MR","SCALING_FORMAT=MLN","FA_ADJUSTED=Adjusted","Sort=A","Dates=H","DateFormat=P","Fill=—","Direction=H","UseDPDF=Y")</f>
        <v>130</v>
      </c>
      <c r="K21" s="18" cm="1">
        <f t="array" ref="K21">_xll.BDH("CAT US Equity","IS_INT_EXPENSE","FQ1 2021","FQ1 2021","Currency=USD","Period=FQ","BEST_FPERIOD_OVERRIDE=FQ","FILING_STATUS=MR","SCALING_FORMAT=MLN","FA_ADJUSTED=Adjusted","Sort=A","Dates=H","DateFormat=P","Fill=—","Direction=H","UseDPDF=Y")</f>
        <v>142</v>
      </c>
      <c r="L21" s="18" cm="1">
        <f t="array" ref="L21">_xll.BDH("CAT US Equity","IS_INT_EXPENSE","FQ2 2021","FQ2 2021","Currency=USD","Period=FQ","BEST_FPERIOD_OVERRIDE=FQ","FILING_STATUS=MR","SCALING_FORMAT=MLN","FA_ADJUSTED=Adjusted","Sort=A","Dates=H","DateFormat=P","Fill=—","Direction=H","UseDPDF=Y")</f>
        <v>120</v>
      </c>
      <c r="M21" s="18" cm="1">
        <f t="array" ref="M21">_xll.BDH("CAT US Equity","IS_INT_EXPENSE","FQ3 2021","FQ3 2021","Currency=USD","Period=FQ","BEST_FPERIOD_OVERRIDE=FQ","FILING_STATUS=MR","SCALING_FORMAT=MLN","FA_ADJUSTED=Adjusted","Sort=A","Dates=H","DateFormat=P","Fill=—","Direction=H","UseDPDF=Y")</f>
        <v>114</v>
      </c>
      <c r="N21" s="18" cm="1">
        <f t="array" ref="N21">_xll.BDH("CAT US Equity","IS_INT_EXPENSE","FQ4 2021","FQ4 2021","Currency=USD","Period=FQ","BEST_FPERIOD_OVERRIDE=FQ","FILING_STATUS=MR","SCALING_FORMAT=MLN","FA_ADJUSTED=Adjusted","Sort=A","Dates=H","DateFormat=P","Fill=—","Direction=H","UseDPDF=Y")</f>
        <v>112</v>
      </c>
      <c r="O21" s="18" cm="1">
        <f t="array" ref="O21">_xll.BDH("CAT US Equity","IS_INT_EXPENSE","FQ1 2022","FQ1 2022","Currency=USD","Period=FQ","BEST_FPERIOD_OVERRIDE=FQ","FILING_STATUS=MR","SCALING_FORMAT=MLN","FA_ADJUSTED=Adjusted","Sort=A","Dates=H","DateFormat=P","Fill=—","Direction=H","UseDPDF=Y")</f>
        <v>109</v>
      </c>
      <c r="P21" s="18" cm="1">
        <f t="array" ref="P21">_xll.BDH("CAT US Equity","IS_INT_EXPENSE","FQ2 2022","FQ2 2022","Currency=USD","Period=FQ","BEST_FPERIOD_OVERRIDE=FQ","FILING_STATUS=MR","SCALING_FORMAT=MLN","FA_ADJUSTED=Adjusted","Sort=A","Dates=H","DateFormat=P","Fill=—","Direction=H","UseDPDF=Y")</f>
        <v>108</v>
      </c>
      <c r="Q21" s="18" cm="1">
        <f t="array" ref="Q21">_xll.BDH("CAT US Equity","IS_INT_EXPENSE","FQ3 2022","FQ3 2022","Currency=USD","Period=FQ","BEST_FPERIOD_OVERRIDE=FQ","FILING_STATUS=MR","SCALING_FORMAT=MLN","FA_ADJUSTED=Adjusted","Sort=A","Dates=H","DateFormat=P","Fill=—","Direction=H","UseDPDF=Y")</f>
        <v>109</v>
      </c>
      <c r="R21" s="18" cm="1">
        <f t="array" ref="R21">_xll.BDH("CAT US Equity","IS_INT_EXPENSE","FQ4 2022","FQ4 2022","Currency=USD","Period=FQ","BEST_FPERIOD_OVERRIDE=FQ","FILING_STATUS=MR","SCALING_FORMAT=MLN","FA_ADJUSTED=Adjusted","Sort=A","Dates=H","DateFormat=P","Fill=—","Direction=H","UseDPDF=Y")</f>
        <v>117</v>
      </c>
      <c r="S21" s="18" cm="1">
        <f t="array" ref="S21">_xll.BDH("CAT US Equity","IS_INT_EXPENSE","FQ1 2023","FQ1 2023","Currency=USD","Period=FQ","BEST_FPERIOD_OVERRIDE=FQ","FILING_STATUS=MR","SCALING_FORMAT=MLN","FA_ADJUSTED=Adjusted","Sort=A","Dates=H","DateFormat=P","Fill=—","Direction=H","UseDPDF=Y")</f>
        <v>129</v>
      </c>
      <c r="T21" s="18" cm="1">
        <f t="array" ref="T21">_xll.BDH("CAT US Equity","IS_INT_EXPENSE","FQ2 2023","FQ2 2023","Currency=USD","Period=FQ","BEST_FPERIOD_OVERRIDE=FQ","FILING_STATUS=MR","SCALING_FORMAT=MLN","FA_ADJUSTED=Adjusted","Sort=A","Dates=H","DateFormat=P","Fill=—","Direction=H","UseDPDF=Y")</f>
        <v>127</v>
      </c>
      <c r="U21" s="18" cm="1">
        <f t="array" ref="U21">_xll.BDH("CAT US Equity","IS_INT_EXPENSE","FQ3 2023","FQ3 2023","Currency=USD","Period=FQ","BEST_FPERIOD_OVERRIDE=FQ","FILING_STATUS=MR","SCALING_FORMAT=MLN","FA_ADJUSTED=Adjusted","Sort=A","Dates=H","DateFormat=P","Fill=—","Direction=H","UseDPDF=Y")</f>
        <v>129</v>
      </c>
      <c r="V21" s="18" cm="1">
        <f t="array" ref="V21">_xll.BDH("CAT US Equity","IS_INT_EXPENSE","FQ4 2023","FQ4 2023","Currency=USD","Period=FQ","BEST_FPERIOD_OVERRIDE=FQ","FILING_STATUS=MR","SCALING_FORMAT=MLN","FA_ADJUSTED=Adjusted","Sort=A","Dates=H","DateFormat=P","Fill=—","Direction=H","UseDPDF=Y")</f>
        <v>126</v>
      </c>
      <c r="W21" s="18" cm="1">
        <f t="array" ref="W21">_xll.BDH("CAT US Equity","IS_INT_EXPENSE","FQ1 2024","FQ1 2024","Currency=USD","Period=FQ","BEST_FPERIOD_OVERRIDE=FQ","FILING_STATUS=MR","SCALING_FORMAT=MLN","FA_ADJUSTED=Adjusted","Sort=A","Dates=H","DateFormat=P","Fill=—","Direction=H","UseDPDF=Y")</f>
        <v>143</v>
      </c>
      <c r="X21" s="18" cm="1">
        <f t="array" ref="X21">_xll.BDH("CAT US Equity","IS_INT_EXPENSE","FQ2 2024","FQ2 2024","Currency=USD","Period=FQ","BEST_FPERIOD_OVERRIDE=FQ","FILING_STATUS=MR","SCALING_FORMAT=MLN","FA_ADJUSTED=Adjusted","Sort=A","Dates=H","DateFormat=P","Fill=—","Direction=H","UseDPDF=Y")</f>
        <v>137</v>
      </c>
      <c r="Y21" s="18" cm="1">
        <f t="array" ref="Y21">_xll.BDH("CAT US Equity","IS_INT_EXPENSE","FQ3 2024","FQ3 2024","Currency=USD","Period=FQ","BEST_FPERIOD_OVERRIDE=FQ","FILING_STATUS=MR","SCALING_FORMAT=MLN","FA_ADJUSTED=Adjusted","Sort=A","Dates=H","DateFormat=P","Fill=—","Direction=H","UseDPDF=Y")</f>
        <v>125</v>
      </c>
      <c r="Z21" s="18" cm="1">
        <f t="array" ref="Z21">_xll.BDH("CAT US Equity","IS_INT_EXPENSE","FQ4 2024","FQ4 2024","Currency=USD","Period=FQ","BEST_FPERIOD_OVERRIDE=FQ","FILING_STATUS=MR","SCALING_FORMAT=MLN","FA_ADJUSTED=Adjusted","Sort=A","Dates=H","DateFormat=P","Fill=—","Direction=H","UseDPDF=Y")</f>
        <v>107</v>
      </c>
      <c r="AA21" s="18" cm="1">
        <f t="array" ref="AA21">_xll.BDH("CAT US Equity","IS_INT_EXPENSE","FQ1 2025","FQ1 2025","Currency=USD","Period=FQ","BEST_FPERIOD_OVERRIDE=FQ","FILING_STATUS=MR","SCALING_FORMAT=MLN","FA_ADJUSTED=Adjusted","Sort=A","Dates=H","DateFormat=P","Fill=—","Direction=H","UseDPDF=Y")</f>
        <v>116</v>
      </c>
      <c r="AB21" s="18" cm="1">
        <f t="array" ref="AB21">_xll.BDH("CAT US Equity","IS_INT_EXPENSE","FQ2 2025","FQ2 2025","Currency=USD","Period=FQ","BEST_FPERIOD_OVERRIDE=FQ","FILING_STATUS=MR","SCALING_FORMAT=MLN","FA_ADJUSTED=Adjusted","Sort=A","Dates=H","DateFormat=P","Fill=—","Direction=H","UseDPDF=Y")</f>
        <v>126</v>
      </c>
      <c r="AC21" s="18" cm="1">
        <f t="array" ref="AC21">_xll.BDH("CAT US Equity","IS_INT_EXPENSE","FQ3 2025","FQ3 2025","Currency=USD","Period=FQ","BEST_FPERIOD_OVERRIDE=FQ","FILING_STATUS=MR","SCALING_FORMAT=MLN","FA_ADJUSTED=Adjusted","Sort=A","Dates=H","DateFormat=P","Fill=—","Direction=H","UseDPDF=Y")</f>
        <v>133</v>
      </c>
      <c r="AD21" s="18" cm="1">
        <f t="array" ref="AD21">_xll.BDH("CAT US Equity","IS_INT_EXPENSE","FQ4 2025","FQ4 2025","Currency=USD","Period=FQ","BEST_FPERIOD_OVERRIDE=FQ","FILING_STATUS=MR","SCALING_FORMAT=MLN","FA_ADJUSTED=Adjusted","Sort=A","Dates=H","DateFormat=P","Fill=—","Direction=H","UseDPDF=Y")</f>
        <v>127</v>
      </c>
      <c r="AE21" s="18"/>
      <c r="AF21" s="18"/>
    </row>
    <row r="22" spans="1:32" x14ac:dyDescent="0.25">
      <c r="A22" s="11" t="s">
        <v>97</v>
      </c>
      <c r="B22" s="11" t="s">
        <v>98</v>
      </c>
      <c r="C22" s="18" cm="1">
        <f t="array" ref="C22">_xll.BDH("CAT US Equity","IS_INT_INC","FQ1 2019","FQ1 2019","Currency=USD","Period=FQ","BEST_FPERIOD_OVERRIDE=FQ","FILING_STATUS=MR","SCALING_FORMAT=MLN","FA_ADJUSTED=Adjusted","Sort=A","Dates=H","DateFormat=P","Fill=—","Direction=H","UseDPDF=Y")</f>
        <v>52</v>
      </c>
      <c r="D22" s="18" cm="1">
        <f t="array" ref="D22">_xll.BDH("CAT US Equity","IS_INT_INC","FQ2 2019","FQ2 2019","Currency=USD","Period=FQ","BEST_FPERIOD_OVERRIDE=FQ","FILING_STATUS=MR","SCALING_FORMAT=MLN","FA_ADJUSTED=Adjusted","Sort=A","Dates=H","DateFormat=P","Fill=—","Direction=H","UseDPDF=Y")</f>
        <v>54</v>
      </c>
      <c r="E22" s="18" cm="1">
        <f t="array" ref="E22">_xll.BDH("CAT US Equity","IS_INT_INC","FQ3 2019","FQ3 2019","Currency=USD","Period=FQ","BEST_FPERIOD_OVERRIDE=FQ","FILING_STATUS=MR","SCALING_FORMAT=MLN","FA_ADJUSTED=Adjusted","Sort=A","Dates=H","DateFormat=P","Fill=—","Direction=H","UseDPDF=Y")</f>
        <v>50</v>
      </c>
      <c r="F22" s="18" cm="1">
        <f t="array" ref="F22">_xll.BDH("CAT US Equity","IS_INT_INC","FQ4 2019","FQ4 2019","Currency=USD","Period=FQ","BEST_FPERIOD_OVERRIDE=FQ","FILING_STATUS=MR","SCALING_FORMAT=MLN","FA_ADJUSTED=Adjusted","Sort=A","Dates=H","DateFormat=P","Fill=—","Direction=H","UseDPDF=Y")</f>
        <v>46</v>
      </c>
      <c r="G22" s="18" cm="1">
        <f t="array" ref="G22">_xll.BDH("CAT US Equity","IS_INT_INC","FQ1 2020","FQ1 2020","Currency=USD","Period=FQ","BEST_FPERIOD_OVERRIDE=FQ","FILING_STATUS=MR","SCALING_FORMAT=MLN","FA_ADJUSTED=Adjusted","Sort=A","Dates=H","DateFormat=P","Fill=—","Direction=H","UseDPDF=Y")</f>
        <v>43</v>
      </c>
      <c r="H22" s="18" cm="1">
        <f t="array" ref="H22">_xll.BDH("CAT US Equity","IS_INT_INC","FQ2 2020","FQ2 2020","Currency=USD","Period=FQ","BEST_FPERIOD_OVERRIDE=FQ","FILING_STATUS=MR","SCALING_FORMAT=MLN","FA_ADJUSTED=Adjusted","Sort=A","Dates=H","DateFormat=P","Fill=—","Direction=H","UseDPDF=Y")</f>
        <v>27</v>
      </c>
      <c r="I22" s="18" cm="1">
        <f t="array" ref="I22">_xll.BDH("CAT US Equity","IS_INT_INC","FQ3 2020","FQ3 2020","Currency=USD","Period=FQ","BEST_FPERIOD_OVERRIDE=FQ","FILING_STATUS=MR","SCALING_FORMAT=MLN","FA_ADJUSTED=Adjusted","Sort=A","Dates=H","DateFormat=P","Fill=—","Direction=H","UseDPDF=Y")</f>
        <v>21</v>
      </c>
      <c r="J22" s="18" cm="1">
        <f t="array" ref="J22">_xll.BDH("CAT US Equity","IS_INT_INC","FQ4 2020","FQ4 2020","Currency=USD","Period=FQ","BEST_FPERIOD_OVERRIDE=FQ","FILING_STATUS=MR","SCALING_FORMAT=MLN","FA_ADJUSTED=Adjusted","Sort=A","Dates=H","DateFormat=P","Fill=—","Direction=H","UseDPDF=Y")</f>
        <v>21</v>
      </c>
      <c r="K22" s="18" cm="1">
        <f t="array" ref="K22">_xll.BDH("CAT US Equity","IS_INT_INC","FQ1 2021","FQ1 2021","Currency=USD","Period=FQ","BEST_FPERIOD_OVERRIDE=FQ","FILING_STATUS=MR","SCALING_FORMAT=MLN","FA_ADJUSTED=Adjusted","Sort=A","Dates=H","DateFormat=P","Fill=—","Direction=H","UseDPDF=Y")</f>
        <v>23</v>
      </c>
      <c r="L22" s="18" cm="1">
        <f t="array" ref="L22">_xll.BDH("CAT US Equity","IS_INT_INC","FQ2 2021","FQ2 2021","Currency=USD","Period=FQ","BEST_FPERIOD_OVERRIDE=FQ","FILING_STATUS=MR","SCALING_FORMAT=MLN","FA_ADJUSTED=Adjusted","Sort=A","Dates=H","DateFormat=P","Fill=—","Direction=H","UseDPDF=Y")</f>
        <v>21</v>
      </c>
      <c r="M22" s="18" cm="1">
        <f t="array" ref="M22">_xll.BDH("CAT US Equity","IS_INT_INC","FQ3 2021","FQ3 2021","Currency=USD","Period=FQ","BEST_FPERIOD_OVERRIDE=FQ","FILING_STATUS=MR","SCALING_FORMAT=MLN","FA_ADJUSTED=Adjusted","Sort=A","Dates=H","DateFormat=P","Fill=—","Direction=H","UseDPDF=Y")</f>
        <v>20</v>
      </c>
      <c r="N22" s="18" cm="1">
        <f t="array" ref="N22">_xll.BDH("CAT US Equity","IS_INT_INC","FQ4 2021","FQ4 2021","Currency=USD","Period=FQ","BEST_FPERIOD_OVERRIDE=FQ","FILING_STATUS=MR","SCALING_FORMAT=MLN","FA_ADJUSTED=Adjusted","Sort=A","Dates=H","DateFormat=P","Fill=—","Direction=H","UseDPDF=Y")</f>
        <v>16</v>
      </c>
      <c r="O22" s="18" cm="1">
        <f t="array" ref="O22">_xll.BDH("CAT US Equity","IS_INT_INC","FQ1 2022","FQ1 2022","Currency=USD","Period=FQ","BEST_FPERIOD_OVERRIDE=FQ","FILING_STATUS=MR","SCALING_FORMAT=MLN","FA_ADJUSTED=Adjusted","Sort=A","Dates=H","DateFormat=P","Fill=—","Direction=H","UseDPDF=Y")</f>
        <v>21</v>
      </c>
      <c r="P22" s="18" cm="1">
        <f t="array" ref="P22">_xll.BDH("CAT US Equity","IS_INT_INC","FQ2 2022","FQ2 2022","Currency=USD","Period=FQ","BEST_FPERIOD_OVERRIDE=FQ","FILING_STATUS=MR","SCALING_FORMAT=MLN","FA_ADJUSTED=Adjusted","Sort=A","Dates=H","DateFormat=P","Fill=—","Direction=H","UseDPDF=Y")</f>
        <v>25</v>
      </c>
      <c r="Q22" s="18" cm="1">
        <f t="array" ref="Q22">_xll.BDH("CAT US Equity","IS_INT_INC","FQ3 2022","FQ3 2022","Currency=USD","Period=FQ","BEST_FPERIOD_OVERRIDE=FQ","FILING_STATUS=MR","SCALING_FORMAT=MLN","FA_ADJUSTED=Adjusted","Sort=A","Dates=H","DateFormat=P","Fill=—","Direction=H","UseDPDF=Y")</f>
        <v>52</v>
      </c>
      <c r="R22" s="18" cm="1">
        <f t="array" ref="R22">_xll.BDH("CAT US Equity","IS_INT_INC","FQ4 2022","FQ4 2022","Currency=USD","Period=FQ","BEST_FPERIOD_OVERRIDE=FQ","FILING_STATUS=MR","SCALING_FORMAT=MLN","FA_ADJUSTED=Adjusted","Sort=A","Dates=H","DateFormat=P","Fill=—","Direction=H","UseDPDF=Y")</f>
        <v>69</v>
      </c>
      <c r="S22" s="18" cm="1">
        <f t="array" ref="S22">_xll.BDH("CAT US Equity","IS_INT_INC","FQ1 2023","FQ1 2023","Currency=USD","Period=FQ","BEST_FPERIOD_OVERRIDE=FQ","FILING_STATUS=MR","SCALING_FORMAT=MLN","FA_ADJUSTED=Adjusted","Sort=A","Dates=H","DateFormat=P","Fill=—","Direction=H","UseDPDF=Y")</f>
        <v>93</v>
      </c>
      <c r="T22" s="18" cm="1">
        <f t="array" ref="T22">_xll.BDH("CAT US Equity","IS_INT_INC","FQ2 2023","FQ2 2023","Currency=USD","Period=FQ","BEST_FPERIOD_OVERRIDE=FQ","FILING_STATUS=MR","SCALING_FORMAT=MLN","FA_ADJUSTED=Adjusted","Sort=A","Dates=H","DateFormat=P","Fill=—","Direction=H","UseDPDF=Y")</f>
        <v>96</v>
      </c>
      <c r="U22" s="18" cm="1">
        <f t="array" ref="U22">_xll.BDH("CAT US Equity","IS_INT_INC","FQ3 2023","FQ3 2023","Currency=USD","Period=FQ","BEST_FPERIOD_OVERRIDE=FQ","FILING_STATUS=MR","SCALING_FORMAT=MLN","FA_ADJUSTED=Adjusted","Sort=A","Dates=H","DateFormat=P","Fill=—","Direction=H","UseDPDF=Y")</f>
        <v>135</v>
      </c>
      <c r="V22" s="18" cm="1">
        <f t="array" ref="V22">_xll.BDH("CAT US Equity","IS_INT_INC","FQ4 2023","FQ4 2023","Currency=USD","Period=FQ","BEST_FPERIOD_OVERRIDE=FQ","FILING_STATUS=MR","SCALING_FORMAT=MLN","FA_ADJUSTED=Adjusted","Sort=A","Dates=H","DateFormat=P","Fill=—","Direction=H","UseDPDF=Y")</f>
        <v>0</v>
      </c>
      <c r="W22" s="18" cm="1">
        <f t="array" ref="W22">_xll.BDH("CAT US Equity","IS_INT_INC","FQ1 2024","FQ1 2024","Currency=USD","Period=FQ","BEST_FPERIOD_OVERRIDE=FQ","FILING_STATUS=MR","SCALING_FORMAT=MLN","FA_ADJUSTED=Adjusted","Sort=A","Dates=H","DateFormat=P","Fill=—","Direction=H","UseDPDF=Y")</f>
        <v>136</v>
      </c>
      <c r="X22" s="18" cm="1">
        <f t="array" ref="X22">_xll.BDH("CAT US Equity","IS_INT_INC","FQ2 2024","FQ2 2024","Currency=USD","Period=FQ","BEST_FPERIOD_OVERRIDE=FQ","FILING_STATUS=MR","SCALING_FORMAT=MLN","FA_ADJUSTED=Adjusted","Sort=A","Dates=H","DateFormat=P","Fill=—","Direction=H","UseDPDF=Y")</f>
        <v>118</v>
      </c>
      <c r="Y22" s="18" cm="1">
        <f t="array" ref="Y22">_xll.BDH("CAT US Equity","IS_INT_INC","FQ3 2024","FQ3 2024","Currency=USD","Period=FQ","BEST_FPERIOD_OVERRIDE=FQ","FILING_STATUS=MR","SCALING_FORMAT=MLN","FA_ADJUSTED=Adjusted","Sort=A","Dates=H","DateFormat=P","Fill=—","Direction=H","UseDPDF=Y")</f>
        <v>108</v>
      </c>
      <c r="Z22" s="18" cm="1">
        <f t="array" ref="Z22">_xll.BDH("CAT US Equity","IS_INT_INC","FQ4 2024","FQ4 2024","Currency=USD","Period=FQ","BEST_FPERIOD_OVERRIDE=FQ","FILING_STATUS=MR","SCALING_FORMAT=MLN","FA_ADJUSTED=Adjusted","Sort=A","Dates=H","DateFormat=P","Fill=—","Direction=H","UseDPDF=Y")</f>
        <v>0</v>
      </c>
      <c r="AA22" s="18" cm="1">
        <f t="array" ref="AA22">_xll.BDH("CAT US Equity","IS_INT_INC","FQ1 2025","FQ1 2025","Currency=USD","Period=FQ","BEST_FPERIOD_OVERRIDE=FQ","FILING_STATUS=MR","SCALING_FORMAT=MLN","FA_ADJUSTED=Adjusted","Sort=A","Dates=H","DateFormat=P","Fill=—","Direction=H","UseDPDF=Y")</f>
        <v>99</v>
      </c>
      <c r="AB22" s="18" cm="1">
        <f t="array" ref="AB22">_xll.BDH("CAT US Equity","IS_INT_INC","FQ2 2025","FQ2 2025","Currency=USD","Period=FQ","BEST_FPERIOD_OVERRIDE=FQ","FILING_STATUS=MR","SCALING_FORMAT=MLN","FA_ADJUSTED=Adjusted","Sort=A","Dates=H","DateFormat=P","Fill=—","Direction=H","UseDPDF=Y")</f>
        <v>81</v>
      </c>
      <c r="AC22" s="18" cm="1">
        <f t="array" ref="AC22">_xll.BDH("CAT US Equity","IS_INT_INC","FQ3 2025","FQ3 2025","Currency=USD","Period=FQ","BEST_FPERIOD_OVERRIDE=FQ","FILING_STATUS=MR","SCALING_FORMAT=MLN","FA_ADJUSTED=Adjusted","Sort=A","Dates=H","DateFormat=P","Fill=—","Direction=H","UseDPDF=Y")</f>
        <v>100</v>
      </c>
      <c r="AD22" s="18" cm="1">
        <f t="array" ref="AD22">_xll.BDH("CAT US Equity","IS_INT_INC","FQ4 2025","FQ4 2025","Currency=USD","Period=FQ","BEST_FPERIOD_OVERRIDE=FQ","FILING_STATUS=MR","SCALING_FORMAT=MLN","FA_ADJUSTED=Adjusted","Sort=A","Dates=H","DateFormat=P","Fill=—","Direction=H","UseDPDF=Y")</f>
        <v>136</v>
      </c>
      <c r="AE22" s="18"/>
      <c r="AF22" s="18"/>
    </row>
    <row r="23" spans="1:32" x14ac:dyDescent="0.25">
      <c r="A23" s="10" t="s">
        <v>99</v>
      </c>
      <c r="B23" s="10" t="s">
        <v>100</v>
      </c>
      <c r="C23" s="13" cm="1">
        <f t="array" ref="C23">_xll.BDH("CAT US Equity","IS_FOREIGN_EXCH_LOSS","FQ1 2019","FQ1 2019","Currency=USD","Period=FQ","BEST_FPERIOD_OVERRIDE=FQ","FILING_STATUS=MR","SCALING_FORMAT=MLN","FA_ADJUSTED=Adjusted","Sort=A","Dates=H","DateFormat=P","Fill=—","Direction=H","UseDPDF=Y")</f>
        <v>-18</v>
      </c>
      <c r="D23" s="13" cm="1">
        <f t="array" ref="D23">_xll.BDH("CAT US Equity","IS_FOREIGN_EXCH_LOSS","FQ2 2019","FQ2 2019","Currency=USD","Period=FQ","BEST_FPERIOD_OVERRIDE=FQ","FILING_STATUS=MR","SCALING_FORMAT=MLN","FA_ADJUSTED=Adjusted","Sort=A","Dates=H","DateFormat=P","Fill=—","Direction=H","UseDPDF=Y")</f>
        <v>-47</v>
      </c>
      <c r="E23" s="13" cm="1">
        <f t="array" ref="E23">_xll.BDH("CAT US Equity","IS_FOREIGN_EXCH_LOSS","FQ3 2019","FQ3 2019","Currency=USD","Period=FQ","BEST_FPERIOD_OVERRIDE=FQ","FILING_STATUS=MR","SCALING_FORMAT=MLN","FA_ADJUSTED=Adjusted","Sort=A","Dates=H","DateFormat=P","Fill=—","Direction=H","UseDPDF=Y")</f>
        <v>5</v>
      </c>
      <c r="F23" s="13" cm="1">
        <f t="array" ref="F23">_xll.BDH("CAT US Equity","IS_FOREIGN_EXCH_LOSS","FQ4 2019","FQ4 2019","Currency=USD","Period=FQ","BEST_FPERIOD_OVERRIDE=FQ","FILING_STATUS=MR","SCALING_FORMAT=MLN","FA_ADJUSTED=Adjusted","Sort=A","Dates=H","DateFormat=P","Fill=—","Direction=H","UseDPDF=Y")</f>
        <v>33</v>
      </c>
      <c r="G23" s="13" cm="1">
        <f t="array" ref="G23">_xll.BDH("CAT US Equity","IS_FOREIGN_EXCH_LOSS","FQ1 2020","FQ1 2020","Currency=USD","Period=FQ","BEST_FPERIOD_OVERRIDE=FQ","FILING_STATUS=MR","SCALING_FORMAT=MLN","FA_ADJUSTED=Adjusted","Sort=A","Dates=H","DateFormat=P","Fill=—","Direction=H","UseDPDF=Y")</f>
        <v>75</v>
      </c>
      <c r="H23" s="13" cm="1">
        <f t="array" ref="H23">_xll.BDH("CAT US Equity","IS_FOREIGN_EXCH_LOSS","FQ2 2020","FQ2 2020","Currency=USD","Period=FQ","BEST_FPERIOD_OVERRIDE=FQ","FILING_STATUS=MR","SCALING_FORMAT=MLN","FA_ADJUSTED=Adjusted","Sort=A","Dates=H","DateFormat=P","Fill=—","Direction=H","UseDPDF=Y")</f>
        <v>-4</v>
      </c>
      <c r="I23" s="13" cm="1">
        <f t="array" ref="I23">_xll.BDH("CAT US Equity","IS_FOREIGN_EXCH_LOSS","FQ3 2020","FQ3 2020","Currency=USD","Period=FQ","BEST_FPERIOD_OVERRIDE=FQ","FILING_STATUS=MR","SCALING_FORMAT=MLN","FA_ADJUSTED=Adjusted","Sort=A","Dates=H","DateFormat=P","Fill=—","Direction=H","UseDPDF=Y")</f>
        <v>-43</v>
      </c>
      <c r="J23" s="13" cm="1">
        <f t="array" ref="J23">_xll.BDH("CAT US Equity","IS_FOREIGN_EXCH_LOSS","FQ4 2020","FQ4 2020","Currency=USD","Period=FQ","BEST_FPERIOD_OVERRIDE=FQ","FILING_STATUS=MR","SCALING_FORMAT=MLN","FA_ADJUSTED=Adjusted","Sort=A","Dates=H","DateFormat=P","Fill=—","Direction=H","UseDPDF=Y")</f>
        <v>71</v>
      </c>
      <c r="K23" s="13" cm="1">
        <f t="array" ref="K23">_xll.BDH("CAT US Equity","IS_FOREIGN_EXCH_LOSS","FQ1 2021","FQ1 2021","Currency=USD","Period=FQ","BEST_FPERIOD_OVERRIDE=FQ","FILING_STATUS=MR","SCALING_FORMAT=MLN","FA_ADJUSTED=Adjusted","Sort=A","Dates=H","DateFormat=P","Fill=—","Direction=H","UseDPDF=Y")</f>
        <v>-95</v>
      </c>
      <c r="L23" s="13" cm="1">
        <f t="array" ref="L23">_xll.BDH("CAT US Equity","IS_FOREIGN_EXCH_LOSS","FQ2 2021","FQ2 2021","Currency=USD","Period=FQ","BEST_FPERIOD_OVERRIDE=FQ","FILING_STATUS=MR","SCALING_FORMAT=MLN","FA_ADJUSTED=Adjusted","Sort=A","Dates=H","DateFormat=P","Fill=—","Direction=H","UseDPDF=Y")</f>
        <v>-32</v>
      </c>
      <c r="M23" s="13" cm="1">
        <f t="array" ref="M23">_xll.BDH("CAT US Equity","IS_FOREIGN_EXCH_LOSS","FQ3 2021","FQ3 2021","Currency=USD","Period=FQ","BEST_FPERIOD_OVERRIDE=FQ","FILING_STATUS=MR","SCALING_FORMAT=MLN","FA_ADJUSTED=Adjusted","Sort=A","Dates=H","DateFormat=P","Fill=—","Direction=H","UseDPDF=Y")</f>
        <v>47</v>
      </c>
      <c r="N23" s="13" cm="1">
        <f t="array" ref="N23">_xll.BDH("CAT US Equity","IS_FOREIGN_EXCH_LOSS","FQ4 2021","FQ4 2021","Currency=USD","Period=FQ","BEST_FPERIOD_OVERRIDE=FQ","FILING_STATUS=MR","SCALING_FORMAT=MLN","FA_ADJUSTED=Adjusted","Sort=A","Dates=H","DateFormat=P","Fill=—","Direction=H","UseDPDF=Y")</f>
        <v>0</v>
      </c>
      <c r="O23" s="13" cm="1">
        <f t="array" ref="O23">_xll.BDH("CAT US Equity","IS_FOREIGN_EXCH_LOSS","FQ1 2022","FQ1 2022","Currency=USD","Period=FQ","BEST_FPERIOD_OVERRIDE=FQ","FILING_STATUS=MR","SCALING_FORMAT=MLN","FA_ADJUSTED=Adjusted","Sort=A","Dates=H","DateFormat=P","Fill=—","Direction=H","UseDPDF=Y")</f>
        <v>-47</v>
      </c>
      <c r="P23" s="13" cm="1">
        <f t="array" ref="P23">_xll.BDH("CAT US Equity","IS_FOREIGN_EXCH_LOSS","FQ2 2022","FQ2 2022","Currency=USD","Period=FQ","BEST_FPERIOD_OVERRIDE=FQ","FILING_STATUS=MR","SCALING_FORMAT=MLN","FA_ADJUSTED=Adjusted","Sort=A","Dates=H","DateFormat=P","Fill=—","Direction=H","UseDPDF=Y")</f>
        <v>-224</v>
      </c>
      <c r="Q23" s="13" cm="1">
        <f t="array" ref="Q23">_xll.BDH("CAT US Equity","IS_FOREIGN_EXCH_LOSS","FQ3 2022","FQ3 2022","Currency=USD","Period=FQ","BEST_FPERIOD_OVERRIDE=FQ","FILING_STATUS=MR","SCALING_FORMAT=MLN","FA_ADJUSTED=Adjusted","Sort=A","Dates=H","DateFormat=P","Fill=—","Direction=H","UseDPDF=Y")</f>
        <v>134</v>
      </c>
      <c r="R23" s="13" cm="1">
        <f t="array" ref="R23">_xll.BDH("CAT US Equity","IS_FOREIGN_EXCH_LOSS","FQ4 2022","FQ4 2022","Currency=USD","Period=FQ","BEST_FPERIOD_OVERRIDE=FQ","FILING_STATUS=MR","SCALING_FORMAT=MLN","FA_ADJUSTED=Adjusted","Sort=A","Dates=H","DateFormat=P","Fill=—","Direction=H","UseDPDF=Y")</f>
        <v>-509</v>
      </c>
      <c r="S23" s="13" cm="1">
        <f t="array" ref="S23">_xll.BDH("CAT US Equity","IS_FOREIGN_EXCH_LOSS","FQ1 2023","FQ1 2023","Currency=USD","Period=FQ","BEST_FPERIOD_OVERRIDE=FQ","FILING_STATUS=MR","SCALING_FORMAT=MLN","FA_ADJUSTED=Adjusted","Sort=A","Dates=H","DateFormat=P","Fill=—","Direction=H","UseDPDF=Y")</f>
        <v>-72</v>
      </c>
      <c r="T23" s="13" cm="1">
        <f t="array" ref="T23">_xll.BDH("CAT US Equity","IS_FOREIGN_EXCH_LOSS","FQ2 2023","FQ2 2023","Currency=USD","Period=FQ","BEST_FPERIOD_OVERRIDE=FQ","FILING_STATUS=MR","SCALING_FORMAT=MLN","FA_ADJUSTED=Adjusted","Sort=A","Dates=H","DateFormat=P","Fill=—","Direction=H","UseDPDF=Y")</f>
        <v>40</v>
      </c>
      <c r="U23" s="13" cm="1">
        <f t="array" ref="U23">_xll.BDH("CAT US Equity","IS_FOREIGN_EXCH_LOSS","FQ3 2023","FQ3 2023","Currency=USD","Period=FQ","BEST_FPERIOD_OVERRIDE=FQ","FILING_STATUS=MR","SCALING_FORMAT=MLN","FA_ADJUSTED=Adjusted","Sort=A","Dates=H","DateFormat=P","Fill=—","Direction=H","UseDPDF=Y")</f>
        <v>17</v>
      </c>
      <c r="V23" s="13" cm="1">
        <f t="array" ref="V23">_xll.BDH("CAT US Equity","IS_FOREIGN_EXCH_LOSS","FQ4 2023","FQ4 2023","Currency=USD","Period=FQ","BEST_FPERIOD_OVERRIDE=FQ","FILING_STATUS=MR","SCALING_FORMAT=MLN","FA_ADJUSTED=Adjusted","Sort=A","Dates=H","DateFormat=P","Fill=—","Direction=H","UseDPDF=Y")</f>
        <v>0</v>
      </c>
      <c r="W23" s="13" cm="1">
        <f t="array" ref="W23">_xll.BDH("CAT US Equity","IS_FOREIGN_EXCH_LOSS","FQ1 2024","FQ1 2024","Currency=USD","Period=FQ","BEST_FPERIOD_OVERRIDE=FQ","FILING_STATUS=MR","SCALING_FORMAT=MLN","FA_ADJUSTED=Adjusted","Sort=A","Dates=H","DateFormat=P","Fill=—","Direction=H","UseDPDF=Y")</f>
        <v>42</v>
      </c>
      <c r="X23" s="13" cm="1">
        <f t="array" ref="X23">_xll.BDH("CAT US Equity","IS_FOREIGN_EXCH_LOSS","FQ2 2024","FQ2 2024","Currency=USD","Period=FQ","BEST_FPERIOD_OVERRIDE=FQ","FILING_STATUS=MR","SCALING_FORMAT=MLN","FA_ADJUSTED=Adjusted","Sort=A","Dates=H","DateFormat=P","Fill=—","Direction=H","UseDPDF=Y")</f>
        <v>17</v>
      </c>
      <c r="Y23" s="13" cm="1">
        <f t="array" ref="Y23">_xll.BDH("CAT US Equity","IS_FOREIGN_EXCH_LOSS","FQ3 2024","FQ3 2024","Currency=USD","Period=FQ","BEST_FPERIOD_OVERRIDE=FQ","FILING_STATUS=MR","SCALING_FORMAT=MLN","FA_ADJUSTED=Adjusted","Sort=A","Dates=H","DateFormat=P","Fill=—","Direction=H","UseDPDF=Y")</f>
        <v>-123</v>
      </c>
      <c r="Z23" s="13" t="str" cm="1">
        <f t="array" ref="Z23">_xll.BDH("CAT US Equity","IS_FOREIGN_EXCH_LOSS","FQ4 2024","FQ4 2024","Currency=USD","Period=FQ","BEST_FPERIOD_OVERRIDE=FQ","FILING_STATUS=MR","SCALING_FORMAT=MLN","FA_ADJUSTED=Adjusted","Sort=A","Dates=H","DateFormat=P","Fill=—","Direction=H","UseDPDF=Y")</f>
        <v>—</v>
      </c>
      <c r="AA23" s="13" cm="1">
        <f t="array" ref="AA23">_xll.BDH("CAT US Equity","IS_FOREIGN_EXCH_LOSS","FQ1 2025","FQ1 2025","Currency=USD","Period=FQ","BEST_FPERIOD_OVERRIDE=FQ","FILING_STATUS=MR","SCALING_FORMAT=MLN","FA_ADJUSTED=Adjusted","Sort=A","Dates=H","DateFormat=P","Fill=—","Direction=H","UseDPDF=Y")</f>
        <v>-18</v>
      </c>
      <c r="AB23" s="13" cm="1">
        <f t="array" ref="AB23">_xll.BDH("CAT US Equity","IS_FOREIGN_EXCH_LOSS","FQ2 2025","FQ2 2025","Currency=USD","Period=FQ","BEST_FPERIOD_OVERRIDE=FQ","FILING_STATUS=MR","SCALING_FORMAT=MLN","FA_ADJUSTED=Adjusted","Sort=A","Dates=H","DateFormat=P","Fill=—","Direction=H","UseDPDF=Y")</f>
        <v>-125</v>
      </c>
      <c r="AC23" s="13" cm="1">
        <f t="array" ref="AC23">_xll.BDH("CAT US Equity","IS_FOREIGN_EXCH_LOSS","FQ3 2025","FQ3 2025","Currency=USD","Period=FQ","BEST_FPERIOD_OVERRIDE=FQ","FILING_STATUS=MR","SCALING_FORMAT=MLN","FA_ADJUSTED=Adjusted","Sort=A","Dates=H","DateFormat=P","Fill=—","Direction=H","UseDPDF=Y")</f>
        <v>-18</v>
      </c>
      <c r="AD23" s="13" cm="1">
        <f t="array" ref="AD23">_xll.BDH("CAT US Equity","IS_FOREIGN_EXCH_LOSS","FQ4 2025","FQ4 2025","Currency=USD","Period=FQ","BEST_FPERIOD_OVERRIDE=FQ","FILING_STATUS=MR","SCALING_FORMAT=MLN","FA_ADJUSTED=Adjusted","Sort=A","Dates=H","DateFormat=P","Fill=—","Direction=H","UseDPDF=Y")</f>
        <v>-7</v>
      </c>
      <c r="AE23" s="13"/>
      <c r="AF23" s="13"/>
    </row>
    <row r="24" spans="1:32" x14ac:dyDescent="0.25">
      <c r="A24" s="10" t="s">
        <v>101</v>
      </c>
      <c r="B24" s="10" t="s">
        <v>102</v>
      </c>
      <c r="C24" s="13" cm="1">
        <f t="array" ref="C24">_xll.BDH("CAT US Equity","IS_OTHER_NON_OPERATING_INC_LOSS","FQ1 2019","FQ1 2019","Currency=USD","Period=FQ","BEST_FPERIOD_OVERRIDE=FQ","FILING_STATUS=MR","SCALING_FORMAT=MLN","FA_ADJUSTED=Adjusted","Sort=A","Dates=H","DateFormat=P","Fill=—","Direction=H","UseDPDF=Y")</f>
        <v>-90</v>
      </c>
      <c r="D24" s="13" cm="1">
        <f t="array" ref="D24">_xll.BDH("CAT US Equity","IS_OTHER_NON_OPERATING_INC_LOSS","FQ2 2019","FQ2 2019","Currency=USD","Period=FQ","BEST_FPERIOD_OVERRIDE=FQ","FILING_STATUS=MR","SCALING_FORMAT=MLN","FA_ADJUSTED=Adjusted","Sort=A","Dates=H","DateFormat=P","Fill=—","Direction=H","UseDPDF=Y")</f>
        <v>33</v>
      </c>
      <c r="E24" s="13" cm="1">
        <f t="array" ref="E24">_xll.BDH("CAT US Equity","IS_OTHER_NON_OPERATING_INC_LOSS","FQ3 2019","FQ3 2019","Currency=USD","Period=FQ","BEST_FPERIOD_OVERRIDE=FQ","FILING_STATUS=MR","SCALING_FORMAT=MLN","FA_ADJUSTED=Adjusted","Sort=A","Dates=H","DateFormat=P","Fill=—","Direction=H","UseDPDF=Y")</f>
        <v>-43</v>
      </c>
      <c r="F24" s="13" cm="1">
        <f t="array" ref="F24">_xll.BDH("CAT US Equity","IS_OTHER_NON_OPERATING_INC_LOSS","FQ4 2019","FQ4 2019","Currency=USD","Period=FQ","BEST_FPERIOD_OVERRIDE=FQ","FILING_STATUS=MR","SCALING_FORMAT=MLN","FA_ADJUSTED=Adjusted","Sort=A","Dates=H","DateFormat=P","Fill=—","Direction=H","UseDPDF=Y")</f>
        <v>-82</v>
      </c>
      <c r="G24" s="13" cm="1">
        <f t="array" ref="G24">_xll.BDH("CAT US Equity","IS_OTHER_NON_OPERATING_INC_LOSS","FQ1 2020","FQ1 2020","Currency=USD","Period=FQ","BEST_FPERIOD_OVERRIDE=FQ","FILING_STATUS=MR","SCALING_FORMAT=MLN","FA_ADJUSTED=Adjusted","Sort=A","Dates=H","DateFormat=P","Fill=—","Direction=H","UseDPDF=Y")</f>
        <v>0</v>
      </c>
      <c r="H24" s="13" cm="1">
        <f t="array" ref="H24">_xll.BDH("CAT US Equity","IS_OTHER_NON_OPERATING_INC_LOSS","FQ2 2020","FQ2 2020","Currency=USD","Period=FQ","BEST_FPERIOD_OVERRIDE=FQ","FILING_STATUS=MR","SCALING_FORMAT=MLN","FA_ADJUSTED=Adjusted","Sort=A","Dates=H","DateFormat=P","Fill=—","Direction=H","UseDPDF=Y")</f>
        <v>2</v>
      </c>
      <c r="I24" s="13" cm="1">
        <f t="array" ref="I24">_xll.BDH("CAT US Equity","IS_OTHER_NON_OPERATING_INC_LOSS","FQ3 2020","FQ3 2020","Currency=USD","Period=FQ","BEST_FPERIOD_OVERRIDE=FQ","FILING_STATUS=MR","SCALING_FORMAT=MLN","FA_ADJUSTED=Adjusted","Sort=A","Dates=H","DateFormat=P","Fill=—","Direction=H","UseDPDF=Y")</f>
        <v>-27</v>
      </c>
      <c r="J24" s="13" cm="1">
        <f t="array" ref="J24">_xll.BDH("CAT US Equity","IS_OTHER_NON_OPERATING_INC_LOSS","FQ4 2020","FQ4 2020","Currency=USD","Period=FQ","BEST_FPERIOD_OVERRIDE=FQ","FILING_STATUS=MR","SCALING_FORMAT=MLN","FA_ADJUSTED=Adjusted","Sort=A","Dates=H","DateFormat=P","Fill=—","Direction=H","UseDPDF=Y")</f>
        <v>-179</v>
      </c>
      <c r="K24" s="13" cm="1">
        <f t="array" ref="K24">_xll.BDH("CAT US Equity","IS_OTHER_NON_OPERATING_INC_LOSS","FQ1 2021","FQ1 2021","Currency=USD","Period=FQ","BEST_FPERIOD_OVERRIDE=FQ","FILING_STATUS=MR","SCALING_FORMAT=MLN","FA_ADJUSTED=Adjusted","Sort=A","Dates=H","DateFormat=P","Fill=—","Direction=H","UseDPDF=Y")</f>
        <v>-207</v>
      </c>
      <c r="L24" s="13" cm="1">
        <f t="array" ref="L24">_xll.BDH("CAT US Equity","IS_OTHER_NON_OPERATING_INC_LOSS","FQ2 2021","FQ2 2021","Currency=USD","Period=FQ","BEST_FPERIOD_OVERRIDE=FQ","FILING_STATUS=MR","SCALING_FORMAT=MLN","FA_ADJUSTED=Adjusted","Sort=A","Dates=H","DateFormat=P","Fill=—","Direction=H","UseDPDF=Y")</f>
        <v>-148</v>
      </c>
      <c r="M24" s="13" cm="1">
        <f t="array" ref="M24">_xll.BDH("CAT US Equity","IS_OTHER_NON_OPERATING_INC_LOSS","FQ3 2021","FQ3 2021","Currency=USD","Period=FQ","BEST_FPERIOD_OVERRIDE=FQ","FILING_STATUS=MR","SCALING_FORMAT=MLN","FA_ADJUSTED=Adjusted","Sort=A","Dates=H","DateFormat=P","Fill=—","Direction=H","UseDPDF=Y")</f>
        <v>-252</v>
      </c>
      <c r="N24" s="13" cm="1">
        <f t="array" ref="N24">_xll.BDH("CAT US Equity","IS_OTHER_NON_OPERATING_INC_LOSS","FQ4 2021","FQ4 2021","Currency=USD","Period=FQ","BEST_FPERIOD_OVERRIDE=FQ","FILING_STATUS=MR","SCALING_FORMAT=MLN","FA_ADJUSTED=Adjusted","Sort=A","Dates=H","DateFormat=P","Fill=—","Direction=H","UseDPDF=Y")</f>
        <v>-214</v>
      </c>
      <c r="O24" s="13" cm="1">
        <f t="array" ref="O24">_xll.BDH("CAT US Equity","IS_OTHER_NON_OPERATING_INC_LOSS","FQ1 2022","FQ1 2022","Currency=USD","Period=FQ","BEST_FPERIOD_OVERRIDE=FQ","FILING_STATUS=MR","SCALING_FORMAT=MLN","FA_ADJUSTED=Adjusted","Sort=A","Dates=H","DateFormat=P","Fill=—","Direction=H","UseDPDF=Y")</f>
        <v>-185</v>
      </c>
      <c r="P24" s="13" cm="1">
        <f t="array" ref="P24">_xll.BDH("CAT US Equity","IS_OTHER_NON_OPERATING_INC_LOSS","FQ2 2022","FQ2 2022","Currency=USD","Period=FQ","BEST_FPERIOD_OVERRIDE=FQ","FILING_STATUS=MR","SCALING_FORMAT=MLN","FA_ADJUSTED=Adjusted","Sort=A","Dates=H","DateFormat=P","Fill=—","Direction=H","UseDPDF=Y")</f>
        <v>-58</v>
      </c>
      <c r="Q24" s="13" cm="1">
        <f t="array" ref="Q24">_xll.BDH("CAT US Equity","IS_OTHER_NON_OPERATING_INC_LOSS","FQ3 2022","FQ3 2022","Currency=USD","Period=FQ","BEST_FPERIOD_OVERRIDE=FQ","FILING_STATUS=MR","SCALING_FORMAT=MLN","FA_ADJUSTED=Adjusted","Sort=A","Dates=H","DateFormat=P","Fill=—","Direction=H","UseDPDF=Y")</f>
        <v>-324</v>
      </c>
      <c r="R24" s="13" cm="1">
        <f t="array" ref="R24">_xll.BDH("CAT US Equity","IS_OTHER_NON_OPERATING_INC_LOSS","FQ4 2022","FQ4 2022","Currency=USD","Period=FQ","BEST_FPERIOD_OVERRIDE=FQ","FILING_STATUS=MR","SCALING_FORMAT=MLN","FA_ADJUSTED=Adjusted","Sort=A","Dates=H","DateFormat=P","Fill=—","Direction=H","UseDPDF=Y")</f>
        <v>648</v>
      </c>
      <c r="S24" s="13" cm="1">
        <f t="array" ref="S24">_xll.BDH("CAT US Equity","IS_OTHER_NON_OPERATING_INC_LOSS","FQ1 2023","FQ1 2023","Currency=USD","Period=FQ","BEST_FPERIOD_OVERRIDE=FQ","FILING_STATUS=MR","SCALING_FORMAT=MLN","FA_ADJUSTED=Adjusted","Sort=A","Dates=H","DateFormat=P","Fill=—","Direction=H","UseDPDF=Y")</f>
        <v>133</v>
      </c>
      <c r="T24" s="13" cm="1">
        <f t="array" ref="T24">_xll.BDH("CAT US Equity","IS_OTHER_NON_OPERATING_INC_LOSS","FQ2 2023","FQ2 2023","Currency=USD","Period=FQ","BEST_FPERIOD_OVERRIDE=FQ","FILING_STATUS=MR","SCALING_FORMAT=MLN","FA_ADJUSTED=Adjusted","Sort=A","Dates=H","DateFormat=P","Fill=—","Direction=H","UseDPDF=Y")</f>
        <v>-71</v>
      </c>
      <c r="U24" s="13" cm="1">
        <f t="array" ref="U24">_xll.BDH("CAT US Equity","IS_OTHER_NON_OPERATING_INC_LOSS","FQ3 2023","FQ3 2023","Currency=USD","Period=FQ","BEST_FPERIOD_OVERRIDE=FQ","FILING_STATUS=MR","SCALING_FORMAT=MLN","FA_ADJUSTED=Adjusted","Sort=A","Dates=H","DateFormat=P","Fill=—","Direction=H","UseDPDF=Y")</f>
        <v>-77</v>
      </c>
      <c r="V24" s="13" cm="1">
        <f t="array" ref="V24">_xll.BDH("CAT US Equity","IS_OTHER_NON_OPERATING_INC_LOSS","FQ4 2023","FQ4 2023","Currency=USD","Period=FQ","BEST_FPERIOD_OVERRIDE=FQ","FILING_STATUS=MR","SCALING_FORMAT=MLN","FA_ADJUSTED=Adjusted","Sort=A","Dates=H","DateFormat=P","Fill=—","Direction=H","UseDPDF=Y")</f>
        <v>-121.2152</v>
      </c>
      <c r="W24" s="13" cm="1">
        <f t="array" ref="W24">_xll.BDH("CAT US Equity","IS_OTHER_NON_OPERATING_INC_LOSS","FQ1 2024","FQ1 2024","Currency=USD","Period=FQ","BEST_FPERIOD_OVERRIDE=FQ","FILING_STATUS=MR","SCALING_FORMAT=MLN","FA_ADJUSTED=Adjusted","Sort=A","Dates=H","DateFormat=P","Fill=—","Direction=H","UseDPDF=Y")</f>
        <v>-62</v>
      </c>
      <c r="X24" s="13" cm="1">
        <f t="array" ref="X24">_xll.BDH("CAT US Equity","IS_OTHER_NON_OPERATING_INC_LOSS","FQ2 2024","FQ2 2024","Currency=USD","Period=FQ","BEST_FPERIOD_OVERRIDE=FQ","FILING_STATUS=MR","SCALING_FORMAT=MLN","FA_ADJUSTED=Adjusted","Sort=A","Dates=H","DateFormat=P","Fill=—","Direction=H","UseDPDF=Y")</f>
        <v>-54</v>
      </c>
      <c r="Y24" s="13" cm="1">
        <f t="array" ref="Y24">_xll.BDH("CAT US Equity","IS_OTHER_NON_OPERATING_INC_LOSS","FQ3 2024","FQ3 2024","Currency=USD","Period=FQ","BEST_FPERIOD_OVERRIDE=FQ","FILING_STATUS=MR","SCALING_FORMAT=MLN","FA_ADJUSTED=Adjusted","Sort=A","Dates=H","DateFormat=P","Fill=—","Direction=H","UseDPDF=Y")</f>
        <v>155</v>
      </c>
      <c r="Z24" s="13" cm="1">
        <f t="array" ref="Z24">_xll.BDH("CAT US Equity","IS_OTHER_NON_OPERATING_INC_LOSS","FQ4 2024","FQ4 2024","Currency=USD","Period=FQ","BEST_FPERIOD_OVERRIDE=FQ","FILING_STATUS=MR","SCALING_FORMAT=MLN","FA_ADJUSTED=Adjusted","Sort=A","Dates=H","DateFormat=P","Fill=—","Direction=H","UseDPDF=Y")</f>
        <v>11.5443</v>
      </c>
      <c r="AA24" s="13" cm="1">
        <f t="array" ref="AA24">_xll.BDH("CAT US Equity","IS_OTHER_NON_OPERATING_INC_LOSS","FQ1 2025","FQ1 2025","Currency=USD","Period=FQ","BEST_FPERIOD_OVERRIDE=FQ","FILING_STATUS=MR","SCALING_FORMAT=MLN","FA_ADJUSTED=Adjusted","Sort=A","Dates=H","DateFormat=P","Fill=—","Direction=H","UseDPDF=Y")</f>
        <v>10</v>
      </c>
      <c r="AB24" s="13" cm="1">
        <f t="array" ref="AB24">_xll.BDH("CAT US Equity","IS_OTHER_NON_OPERATING_INC_LOSS","FQ2 2025","FQ2 2025","Currency=USD","Period=FQ","BEST_FPERIOD_OVERRIDE=FQ","FILING_STATUS=MR","SCALING_FORMAT=MLN","FA_ADJUSTED=Adjusted","Sort=A","Dates=H","DateFormat=P","Fill=—","Direction=H","UseDPDF=Y")</f>
        <v>122</v>
      </c>
      <c r="AC24" s="13" cm="1">
        <f t="array" ref="AC24">_xll.BDH("CAT US Equity","IS_OTHER_NON_OPERATING_INC_LOSS","FQ3 2025","FQ3 2025","Currency=USD","Period=FQ","BEST_FPERIOD_OVERRIDE=FQ","FILING_STATUS=MR","SCALING_FORMAT=MLN","FA_ADJUSTED=Adjusted","Sort=A","Dates=H","DateFormat=P","Fill=—","Direction=H","UseDPDF=Y")</f>
        <v>-90</v>
      </c>
      <c r="AD24" s="13" cm="1">
        <f t="array" ref="AD24">_xll.BDH("CAT US Equity","IS_OTHER_NON_OPERATING_INC_LOSS","FQ4 2025","FQ4 2025","Currency=USD","Period=FQ","BEST_FPERIOD_OVERRIDE=FQ","FILING_STATUS=MR","SCALING_FORMAT=MLN","FA_ADJUSTED=Adjusted","Sort=A","Dates=H","DateFormat=P","Fill=—","Direction=H","UseDPDF=Y")</f>
        <v>-56</v>
      </c>
      <c r="AE24" s="13"/>
      <c r="AF24" s="13"/>
    </row>
    <row r="25" spans="1:32" x14ac:dyDescent="0.25">
      <c r="A25" s="6" t="s">
        <v>103</v>
      </c>
      <c r="B25" s="6" t="s">
        <v>104</v>
      </c>
      <c r="C25" s="16" cm="1">
        <f t="array" ref="C25">_xll.BDH("CAT US Equity","PRETAX_INC","FQ1 2019","FQ1 2019","Currency=USD","Period=FQ","BEST_FPERIOD_OVERRIDE=FQ","FILING_STATUS=MR","SCALING_FORMAT=MLN","FA_ADJUSTED=Adjusted","Sort=A","Dates=H","DateFormat=P","Fill=—","Direction=H","UseDPDF=Y")</f>
        <v>2312</v>
      </c>
      <c r="D25" s="16" cm="1">
        <f t="array" ref="D25">_xll.BDH("CAT US Equity","PRETAX_INC","FQ2 2019","FQ2 2019","Currency=USD","Period=FQ","BEST_FPERIOD_OVERRIDE=FQ","FILING_STATUS=MR","SCALING_FORMAT=MLN","FA_ADJUSTED=Adjusted","Sort=A","Dates=H","DateFormat=P","Fill=—","Direction=H","UseDPDF=Y")</f>
        <v>2288</v>
      </c>
      <c r="E25" s="16" cm="1">
        <f t="array" ref="E25">_xll.BDH("CAT US Equity","PRETAX_INC","FQ3 2019","FQ3 2019","Currency=USD","Period=FQ","BEST_FPERIOD_OVERRIDE=FQ","FILING_STATUS=MR","SCALING_FORMAT=MLN","FA_ADJUSTED=Adjusted","Sort=A","Dates=H","DateFormat=P","Fill=—","Direction=H","UseDPDF=Y")</f>
        <v>2036</v>
      </c>
      <c r="F25" s="16" cm="1">
        <f t="array" ref="F25">_xll.BDH("CAT US Equity","PRETAX_INC","FQ4 2019","FQ4 2019","Currency=USD","Period=FQ","BEST_FPERIOD_OVERRIDE=FQ","FILING_STATUS=MR","SCALING_FORMAT=MLN","FA_ADJUSTED=Adjusted","Sort=A","Dates=H","DateFormat=P","Fill=—","Direction=H","UseDPDF=Y")</f>
        <v>1887</v>
      </c>
      <c r="G25" s="16" cm="1">
        <f t="array" ref="G25">_xll.BDH("CAT US Equity","PRETAX_INC","FQ1 2020","FQ1 2020","Currency=USD","Period=FQ","BEST_FPERIOD_OVERRIDE=FQ","FILING_STATUS=MR","SCALING_FORMAT=MLN","FA_ADJUSTED=Adjusted","Sort=A","Dates=H","DateFormat=P","Fill=—","Direction=H","UseDPDF=Y")</f>
        <v>1296</v>
      </c>
      <c r="H25" s="16" cm="1">
        <f t="array" ref="H25">_xll.BDH("CAT US Equity","PRETAX_INC","FQ2 2020","FQ2 2020","Currency=USD","Period=FQ","BEST_FPERIOD_OVERRIDE=FQ","FILING_STATUS=MR","SCALING_FORMAT=MLN","FA_ADJUSTED=Adjusted","Sort=A","Dates=H","DateFormat=P","Fill=—","Direction=H","UseDPDF=Y")</f>
        <v>825</v>
      </c>
      <c r="I25" s="16" cm="1">
        <f t="array" ref="I25">_xll.BDH("CAT US Equity","PRETAX_INC","FQ3 2020","FQ3 2020","Currency=USD","Period=FQ","BEST_FPERIOD_OVERRIDE=FQ","FILING_STATUS=MR","SCALING_FORMAT=MLN","FA_ADJUSTED=Adjusted","Sort=A","Dates=H","DateFormat=P","Fill=—","Direction=H","UseDPDF=Y")</f>
        <v>1052</v>
      </c>
      <c r="J25" s="16" cm="1">
        <f t="array" ref="J25">_xll.BDH("CAT US Equity","PRETAX_INC","FQ4 2020","FQ4 2020","Currency=USD","Period=FQ","BEST_FPERIOD_OVERRIDE=FQ","FILING_STATUS=MR","SCALING_FORMAT=MLN","FA_ADJUSTED=Adjusted","Sort=A","Dates=H","DateFormat=P","Fill=—","Direction=H","UseDPDF=Y")</f>
        <v>1437</v>
      </c>
      <c r="K25" s="16" cm="1">
        <f t="array" ref="K25">_xll.BDH("CAT US Equity","PRETAX_INC","FQ1 2021","FQ1 2021","Currency=USD","Period=FQ","BEST_FPERIOD_OVERRIDE=FQ","FILING_STATUS=MR","SCALING_FORMAT=MLN","FA_ADJUSTED=Adjusted","Sort=A","Dates=H","DateFormat=P","Fill=—","Direction=H","UseDPDF=Y")</f>
        <v>2061</v>
      </c>
      <c r="L25" s="16" cm="1">
        <f t="array" ref="L25">_xll.BDH("CAT US Equity","PRETAX_INC","FQ2 2021","FQ2 2021","Currency=USD","Period=FQ","BEST_FPERIOD_OVERRIDE=FQ","FILING_STATUS=MR","SCALING_FORMAT=MLN","FA_ADJUSTED=Adjusted","Sort=A","Dates=H","DateFormat=P","Fill=—","Direction=H","UseDPDF=Y")</f>
        <v>1895</v>
      </c>
      <c r="M25" s="16" cm="1">
        <f t="array" ref="M25">_xll.BDH("CAT US Equity","PRETAX_INC","FQ3 2021","FQ3 2021","Currency=USD","Period=FQ","BEST_FPERIOD_OVERRIDE=FQ","FILING_STATUS=MR","SCALING_FORMAT=MLN","FA_ADJUSTED=Adjusted","Sort=A","Dates=H","DateFormat=P","Fill=—","Direction=H","UseDPDF=Y")</f>
        <v>1810</v>
      </c>
      <c r="N25" s="16" cm="1">
        <f t="array" ref="N25">_xll.BDH("CAT US Equity","PRETAX_INC","FQ4 2021","FQ4 2021","Currency=USD","Period=FQ","BEST_FPERIOD_OVERRIDE=FQ","FILING_STATUS=MR","SCALING_FORMAT=MLN","FA_ADJUSTED=Adjusted","Sort=A","Dates=H","DateFormat=P","Fill=—","Direction=H","UseDPDF=Y")</f>
        <v>1695</v>
      </c>
      <c r="O25" s="16" cm="1">
        <f t="array" ref="O25">_xll.BDH("CAT US Equity","PRETAX_INC","FQ1 2022","FQ1 2022","Currency=USD","Period=FQ","BEST_FPERIOD_OVERRIDE=FQ","FILING_STATUS=MR","SCALING_FORMAT=MLN","FA_ADJUSTED=Adjusted","Sort=A","Dates=H","DateFormat=P","Fill=—","Direction=H","UseDPDF=Y")</f>
        <v>2012</v>
      </c>
      <c r="P25" s="16" cm="1">
        <f t="array" ref="P25">_xll.BDH("CAT US Equity","PRETAX_INC","FQ2 2022","FQ2 2022","Currency=USD","Period=FQ","BEST_FPERIOD_OVERRIDE=FQ","FILING_STATUS=MR","SCALING_FORMAT=MLN","FA_ADJUSTED=Adjusted","Sort=A","Dates=H","DateFormat=P","Fill=—","Direction=H","UseDPDF=Y")</f>
        <v>2171</v>
      </c>
      <c r="Q25" s="16" cm="1">
        <f t="array" ref="Q25">_xll.BDH("CAT US Equity","PRETAX_INC","FQ3 2022","FQ3 2022","Currency=USD","Period=FQ","BEST_FPERIOD_OVERRIDE=FQ","FILING_STATUS=MR","SCALING_FORMAT=MLN","FA_ADJUSTED=Adjusted","Sort=A","Dates=H","DateFormat=P","Fill=—","Direction=H","UseDPDF=Y")</f>
        <v>2607</v>
      </c>
      <c r="R25" s="16" cm="1">
        <f t="array" ref="R25">_xll.BDH("CAT US Equity","PRETAX_INC","FQ4 2022","FQ4 2022","Currency=USD","Period=FQ","BEST_FPERIOD_OVERRIDE=FQ","FILING_STATUS=MR","SCALING_FORMAT=MLN","FA_ADJUSTED=Adjusted","Sort=A","Dates=H","DateFormat=P","Fill=—","Direction=H","UseDPDF=Y")</f>
        <v>2627</v>
      </c>
      <c r="S25" s="16" cm="1">
        <f t="array" ref="S25">_xll.BDH("CAT US Equity","PRETAX_INC","FQ1 2023","FQ1 2023","Currency=USD","Period=FQ","BEST_FPERIOD_OVERRIDE=FQ","FILING_STATUS=MR","SCALING_FORMAT=MLN","FA_ADJUSTED=Adjusted","Sort=A","Dates=H","DateFormat=P","Fill=—","Direction=H","UseDPDF=Y")</f>
        <v>3817</v>
      </c>
      <c r="T25" s="16" cm="1">
        <f t="array" ref="T25">_xll.BDH("CAT US Equity","PRETAX_INC","FQ2 2023","FQ2 2023","Currency=USD","Period=FQ","BEST_FPERIOD_OVERRIDE=FQ","FILING_STATUS=MR","SCALING_FORMAT=MLN","FA_ADJUSTED=Adjusted","Sort=A","Dates=H","DateFormat=P","Fill=—","Direction=H","UseDPDF=Y")</f>
        <v>3683</v>
      </c>
      <c r="U25" s="16" cm="1">
        <f t="array" ref="U25">_xll.BDH("CAT US Equity","PRETAX_INC","FQ3 2023","FQ3 2023","Currency=USD","Period=FQ","BEST_FPERIOD_OVERRIDE=FQ","FILING_STATUS=MR","SCALING_FORMAT=MLN","FA_ADJUSTED=Adjusted","Sort=A","Dates=H","DateFormat=P","Fill=—","Direction=H","UseDPDF=Y")</f>
        <v>3561</v>
      </c>
      <c r="V25" s="16" cm="1">
        <f t="array" ref="V25">_xll.BDH("CAT US Equity","PRETAX_INC","FQ4 2023","FQ4 2023","Currency=USD","Period=FQ","BEST_FPERIOD_OVERRIDE=FQ","FILING_STATUS=MR","SCALING_FORMAT=MLN","FA_ADJUSTED=Adjusted","Sort=A","Dates=H","DateFormat=P","Fill=—","Direction=H","UseDPDF=Y")</f>
        <v>3221.2152000000001</v>
      </c>
      <c r="W25" s="16" cm="1">
        <f t="array" ref="W25">_xll.BDH("CAT US Equity","PRETAX_INC","FQ1 2024","FQ1 2024","Currency=USD","Period=FQ","BEST_FPERIOD_OVERRIDE=FQ","FILING_STATUS=MR","SCALING_FORMAT=MLN","FA_ADJUSTED=Adjusted","Sort=A","Dates=H","DateFormat=P","Fill=—","Direction=H","UseDPDF=Y")</f>
        <v>3526</v>
      </c>
      <c r="X25" s="16" cm="1">
        <f t="array" ref="X25">_xll.BDH("CAT US Equity","PRETAX_INC","FQ2 2024","FQ2 2024","Currency=USD","Period=FQ","BEST_FPERIOD_OVERRIDE=FQ","FILING_STATUS=MR","SCALING_FORMAT=MLN","FA_ADJUSTED=Adjusted","Sort=A","Dates=H","DateFormat=P","Fill=—","Direction=H","UseDPDF=Y")</f>
        <v>3986</v>
      </c>
      <c r="Y25" s="16" cm="1">
        <f t="array" ref="Y25">_xll.BDH("CAT US Equity","PRETAX_INC","FQ3 2024","FQ3 2024","Currency=USD","Period=FQ","BEST_FPERIOD_OVERRIDE=FQ","FILING_STATUS=MR","SCALING_FORMAT=MLN","FA_ADJUSTED=Adjusted","Sort=A","Dates=H","DateFormat=P","Fill=—","Direction=H","UseDPDF=Y")</f>
        <v>3168</v>
      </c>
      <c r="Z25" s="16" cm="1">
        <f t="array" ref="Z25">_xll.BDH("CAT US Equity","PRETAX_INC","FQ4 2024","FQ4 2024","Currency=USD","Period=FQ","BEST_FPERIOD_OVERRIDE=FQ","FILING_STATUS=MR","SCALING_FORMAT=MLN","FA_ADJUSTED=Adjusted","Sort=A","Dates=H","DateFormat=P","Fill=—","Direction=H","UseDPDF=Y")</f>
        <v>2842.4557</v>
      </c>
      <c r="AA25" s="16" cm="1">
        <f t="array" ref="AA25">_xll.BDH("CAT US Equity","PRETAX_INC","FQ1 2025","FQ1 2025","Currency=USD","Period=FQ","BEST_FPERIOD_OVERRIDE=FQ","FILING_STATUS=MR","SCALING_FORMAT=MLN","FA_ADJUSTED=Adjusted","Sort=A","Dates=H","DateFormat=P","Fill=—","Direction=H","UseDPDF=Y")</f>
        <v>2603</v>
      </c>
      <c r="AB25" s="16" cm="1">
        <f t="array" ref="AB25">_xll.BDH("CAT US Equity","PRETAX_INC","FQ2 2025","FQ2 2025","Currency=USD","Period=FQ","BEST_FPERIOD_OVERRIDE=FQ","FILING_STATUS=MR","SCALING_FORMAT=MLN","FA_ADJUSTED=Adjusted","Sort=A","Dates=H","DateFormat=P","Fill=—","Direction=H","UseDPDF=Y")</f>
        <v>2874</v>
      </c>
      <c r="AC25" s="16" cm="1">
        <f t="array" ref="AC25">_xll.BDH("CAT US Equity","PRETAX_INC","FQ3 2025","FQ3 2025","Currency=USD","Period=FQ","BEST_FPERIOD_OVERRIDE=FQ","FILING_STATUS=MR","SCALING_FORMAT=MLN","FA_ADJUSTED=Adjusted","Sort=A","Dates=H","DateFormat=P","Fill=—","Direction=H","UseDPDF=Y")</f>
        <v>3164</v>
      </c>
      <c r="AD25" s="16" cm="1">
        <f t="array" ref="AD25">_xll.BDH("CAT US Equity","PRETAX_INC","FQ4 2025","FQ4 2025","Currency=USD","Period=FQ","BEST_FPERIOD_OVERRIDE=FQ","FILING_STATUS=MR","SCALING_FORMAT=MLN","FA_ADJUSTED=Adjusted","Sort=A","Dates=H","DateFormat=P","Fill=—","Direction=H","UseDPDF=Y")</f>
        <v>3051</v>
      </c>
      <c r="AE25" s="16">
        <v>2622.0770000000002</v>
      </c>
      <c r="AF25" s="16">
        <v>3291</v>
      </c>
    </row>
    <row r="26" spans="1:32" x14ac:dyDescent="0.25">
      <c r="A26" s="10" t="s">
        <v>105</v>
      </c>
      <c r="B26" s="10" t="s">
        <v>106</v>
      </c>
      <c r="C26" s="13" cm="1">
        <f t="array" ref="C26">_xll.BDH("CAT US Equity","IS_ABNORMAL_ITEM","FQ1 2019","FQ1 2019","Currency=USD","Period=FQ","BEST_FPERIOD_OVERRIDE=FQ","FILING_STATUS=MR","SCALING_FORMAT=MLN","Sort=A","Dates=H","DateFormat=P","Fill=—","Direction=H","UseDPDF=Y")</f>
        <v>48</v>
      </c>
      <c r="D26" s="13" cm="1">
        <f t="array" ref="D26">_xll.BDH("CAT US Equity","IS_ABNORMAL_ITEM","FQ2 2019","FQ2 2019","Currency=USD","Period=FQ","BEST_FPERIOD_OVERRIDE=FQ","FILING_STATUS=MR","SCALING_FORMAT=MLN","Sort=A","Dates=H","DateFormat=P","Fill=—","Direction=H","UseDPDF=Y")</f>
        <v>110</v>
      </c>
      <c r="E26" s="13" cm="1">
        <f t="array" ref="E26">_xll.BDH("CAT US Equity","IS_ABNORMAL_ITEM","FQ3 2019","FQ3 2019","Currency=USD","Period=FQ","BEST_FPERIOD_OVERRIDE=FQ","FILING_STATUS=MR","SCALING_FORMAT=MLN","Sort=A","Dates=H","DateFormat=P","Fill=—","Direction=H","UseDPDF=Y")</f>
        <v>31</v>
      </c>
      <c r="F26" s="13" cm="1">
        <f t="array" ref="F26">_xll.BDH("CAT US Equity","IS_ABNORMAL_ITEM","FQ4 2019","FQ4 2019","Currency=USD","Period=FQ","BEST_FPERIOD_OVERRIDE=FQ","FILING_STATUS=MR","SCALING_FORMAT=MLN","Sort=A","Dates=H","DateFormat=P","Fill=—","Direction=H","UseDPDF=Y")</f>
        <v>522</v>
      </c>
      <c r="G26" s="13" cm="1">
        <f t="array" ref="G26">_xll.BDH("CAT US Equity","IS_ABNORMAL_ITEM","FQ1 2020","FQ1 2020","Currency=USD","Period=FQ","BEST_FPERIOD_OVERRIDE=FQ","FILING_STATUS=MR","SCALING_FORMAT=MLN","Sort=A","Dates=H","DateFormat=P","Fill=—","Direction=H","UseDPDF=Y")</f>
        <v>-217</v>
      </c>
      <c r="H26" s="13" cm="1">
        <f t="array" ref="H26">_xll.BDH("CAT US Equity","IS_ABNORMAL_ITEM","FQ2 2020","FQ2 2020","Currency=USD","Period=FQ","BEST_FPERIOD_OVERRIDE=FQ","FILING_STATUS=MR","SCALING_FORMAT=MLN","Sort=A","Dates=H","DateFormat=P","Fill=—","Direction=H","UseDPDF=Y")</f>
        <v>147</v>
      </c>
      <c r="I26" s="13" cm="1">
        <f t="array" ref="I26">_xll.BDH("CAT US Equity","IS_ABNORMAL_ITEM","FQ3 2020","FQ3 2020","Currency=USD","Period=FQ","BEST_FPERIOD_OVERRIDE=FQ","FILING_STATUS=MR","SCALING_FORMAT=MLN","Sort=A","Dates=H","DateFormat=P","Fill=—","Direction=H","UseDPDF=Y")</f>
        <v>189</v>
      </c>
      <c r="J26" s="13" cm="1">
        <f t="array" ref="J26">_xll.BDH("CAT US Equity","IS_ABNORMAL_ITEM","FQ4 2020","FQ4 2020","Currency=USD","Period=FQ","BEST_FPERIOD_OVERRIDE=FQ","FILING_STATUS=MR","SCALING_FORMAT=MLN","Sort=A","Dates=H","DateFormat=P","Fill=—","Direction=H","UseDPDF=Y")</f>
        <v>496</v>
      </c>
      <c r="K26" s="13" cm="1">
        <f t="array" ref="K26">_xll.BDH("CAT US Equity","IS_ABNORMAL_ITEM","FQ1 2021","FQ1 2021","Currency=USD","Period=FQ","BEST_FPERIOD_OVERRIDE=FQ","FILING_STATUS=MR","SCALING_FORMAT=MLN","Sort=A","Dates=H","DateFormat=P","Fill=—","Direction=H","UseDPDF=Y")</f>
        <v>64</v>
      </c>
      <c r="L26" s="13" cm="1">
        <f t="array" ref="L26">_xll.BDH("CAT US Equity","IS_ABNORMAL_ITEM","FQ2 2021","FQ2 2021","Currency=USD","Period=FQ","BEST_FPERIOD_OVERRIDE=FQ","FILING_STATUS=MR","SCALING_FORMAT=MLN","Sort=A","Dates=H","DateFormat=P","Fill=—","Direction=H","UseDPDF=Y")</f>
        <v>25</v>
      </c>
      <c r="M26" s="13" cm="1">
        <f t="array" ref="M26">_xll.BDH("CAT US Equity","IS_ABNORMAL_ITEM","FQ3 2021","FQ3 2021","Currency=USD","Period=FQ","BEST_FPERIOD_OVERRIDE=FQ","FILING_STATUS=MR","SCALING_FORMAT=MLN","Sort=A","Dates=H","DateFormat=P","Fill=—","Direction=H","UseDPDF=Y")</f>
        <v>35</v>
      </c>
      <c r="N26" s="13" cm="1">
        <f t="array" ref="N26">_xll.BDH("CAT US Equity","IS_ABNORMAL_ITEM","FQ4 2021","FQ4 2021","Currency=USD","Period=FQ","BEST_FPERIOD_OVERRIDE=FQ","FILING_STATUS=MR","SCALING_FORMAT=MLN","Sort=A","Dates=H","DateFormat=P","Fill=—","Direction=H","UseDPDF=Y")</f>
        <v>-867</v>
      </c>
      <c r="O26" s="13" cm="1">
        <f t="array" ref="O26">_xll.BDH("CAT US Equity","IS_ABNORMAL_ITEM","FQ1 2022","FQ1 2022","Currency=USD","Period=FQ","BEST_FPERIOD_OVERRIDE=FQ","FILING_STATUS=MR","SCALING_FORMAT=MLN","Sort=A","Dates=H","DateFormat=P","Fill=—","Direction=H","UseDPDF=Y")</f>
        <v>13</v>
      </c>
      <c r="P26" s="13" cm="1">
        <f t="array" ref="P26">_xll.BDH("CAT US Equity","IS_ABNORMAL_ITEM","FQ2 2022","FQ2 2022","Currency=USD","Period=FQ","BEST_FPERIOD_OVERRIDE=FQ","FILING_STATUS=MR","SCALING_FORMAT=MLN","Sort=A","Dates=H","DateFormat=P","Fill=—","Direction=H","UseDPDF=Y")</f>
        <v>75</v>
      </c>
      <c r="Q26" s="13" cm="1">
        <f t="array" ref="Q26">_xll.BDH("CAT US Equity","IS_ABNORMAL_ITEM","FQ3 2022","FQ3 2022","Currency=USD","Period=FQ","BEST_FPERIOD_OVERRIDE=FQ","FILING_STATUS=MR","SCALING_FORMAT=MLN","Sort=A","Dates=H","DateFormat=P","Fill=—","Direction=H","UseDPDF=Y")</f>
        <v>49</v>
      </c>
      <c r="R26" s="13" cm="1">
        <f t="array" ref="R26">_xll.BDH("CAT US Equity","IS_ABNORMAL_ITEM","FQ4 2022","FQ4 2022","Currency=USD","Period=FQ","BEST_FPERIOD_OVERRIDE=FQ","FILING_STATUS=MR","SCALING_FORMAT=MLN","Sort=A","Dates=H","DateFormat=P","Fill=—","Direction=H","UseDPDF=Y")</f>
        <v>528</v>
      </c>
      <c r="S26" s="13" cm="1">
        <f t="array" ref="S26">_xll.BDH("CAT US Equity","IS_ABNORMAL_ITEM","FQ1 2023","FQ1 2023","Currency=USD","Period=FQ","BEST_FPERIOD_OVERRIDE=FQ","FILING_STATUS=MR","SCALING_FORMAT=MLN","Sort=A","Dates=H","DateFormat=P","Fill=—","Direction=H","UseDPDF=Y")</f>
        <v>1183</v>
      </c>
      <c r="T26" s="13" cm="1">
        <f t="array" ref="T26">_xll.BDH("CAT US Equity","IS_ABNORMAL_ITEM","FQ2 2023","FQ2 2023","Currency=USD","Period=FQ","BEST_FPERIOD_OVERRIDE=FQ","FILING_STATUS=MR","SCALING_FORMAT=MLN","Sort=A","Dates=H","DateFormat=P","Fill=—","Direction=H","UseDPDF=Y")</f>
        <v>31</v>
      </c>
      <c r="U26" s="13" cm="1">
        <f t="array" ref="U26">_xll.BDH("CAT US Equity","IS_ABNORMAL_ITEM","FQ3 2023","FQ3 2023","Currency=USD","Period=FQ","BEST_FPERIOD_OVERRIDE=FQ","FILING_STATUS=MR","SCALING_FORMAT=MLN","Sort=A","Dates=H","DateFormat=P","Fill=—","Direction=H","UseDPDF=Y")</f>
        <v>46</v>
      </c>
      <c r="V26" s="13" cm="1">
        <f t="array" ref="V26">_xll.BDH("CAT US Equity","IS_ABNORMAL_ITEM","FQ4 2023","FQ4 2023","Currency=USD","Period=FQ","BEST_FPERIOD_OVERRIDE=FQ","FILING_STATUS=MR","SCALING_FORMAT=MLN","Sort=A","Dates=H","DateFormat=P","Fill=—","Direction=H","UseDPDF=Y")</f>
        <v>-27.784800000000001</v>
      </c>
      <c r="W26" s="13" cm="1">
        <f t="array" ref="W26">_xll.BDH("CAT US Equity","IS_ABNORMAL_ITEM","FQ1 2024","FQ1 2024","Currency=USD","Period=FQ","BEST_FPERIOD_OVERRIDE=FQ","FILING_STATUS=MR","SCALING_FORMAT=MLN","Sort=A","Dates=H","DateFormat=P","Fill=—","Direction=H","UseDPDF=Y")</f>
        <v>-6</v>
      </c>
      <c r="X26" s="13" cm="1">
        <f t="array" ref="X26">_xll.BDH("CAT US Equity","IS_ABNORMAL_ITEM","FQ2 2024","FQ2 2024","Currency=USD","Period=FQ","BEST_FPERIOD_OVERRIDE=FQ","FILING_STATUS=MR","SCALING_FORMAT=MLN","Sort=A","Dates=H","DateFormat=P","Fill=—","Direction=H","UseDPDF=Y")</f>
        <v>486</v>
      </c>
      <c r="Y26" s="13" cm="1">
        <f t="array" ref="Y26">_xll.BDH("CAT US Equity","IS_ABNORMAL_ITEM","FQ3 2024","FQ3 2024","Currency=USD","Period=FQ","BEST_FPERIOD_OVERRIDE=FQ","FILING_STATUS=MR","SCALING_FORMAT=MLN","Sort=A","Dates=H","DateFormat=P","Fill=—","Direction=H","UseDPDF=Y")</f>
        <v>70</v>
      </c>
      <c r="Z26" s="13" cm="1">
        <f t="array" ref="Z26">_xll.BDH("CAT US Equity","IS_ABNORMAL_ITEM","FQ4 2024","FQ4 2024","Currency=USD","Period=FQ","BEST_FPERIOD_OVERRIDE=FQ","FILING_STATUS=MR","SCALING_FORMAT=MLN","Sort=A","Dates=H","DateFormat=P","Fill=—","Direction=H","UseDPDF=Y")</f>
        <v>-400.54430000000002</v>
      </c>
      <c r="AA26" s="13" cm="1">
        <f t="array" ref="AA26">_xll.BDH("CAT US Equity","IS_ABNORMAL_ITEM","FQ1 2025","FQ1 2025","Currency=USD","Period=FQ","BEST_FPERIOD_OVERRIDE=FQ","FILING_STATUS=MR","SCALING_FORMAT=MLN","Sort=A","Dates=H","DateFormat=P","Fill=—","Direction=H","UseDPDF=Y")</f>
        <v>33</v>
      </c>
      <c r="AB26" s="13" cm="1">
        <f t="array" ref="AB26">_xll.BDH("CAT US Equity","IS_ABNORMAL_ITEM","FQ2 2025","FQ2 2025","Currency=USD","Period=FQ","BEST_FPERIOD_OVERRIDE=FQ","FILING_STATUS=MR","SCALING_FORMAT=MLN","Sort=A","Dates=H","DateFormat=P","Fill=—","Direction=H","UseDPDF=Y")</f>
        <v>56</v>
      </c>
      <c r="AC26" s="13" cm="1">
        <f t="array" ref="AC26">_xll.BDH("CAT US Equity","IS_ABNORMAL_ITEM","FQ3 2025","FQ3 2025","Currency=USD","Period=FQ","BEST_FPERIOD_OVERRIDE=FQ","FILING_STATUS=MR","SCALING_FORMAT=MLN","Sort=A","Dates=H","DateFormat=P","Fill=—","Direction=H","UseDPDF=Y")</f>
        <v>37</v>
      </c>
      <c r="AD26" s="13" cm="1">
        <f t="array" ref="AD26">_xll.BDH("CAT US Equity","IS_ABNORMAL_ITEM","FQ4 2025","FQ4 2025","Currency=USD","Period=FQ","BEST_FPERIOD_OVERRIDE=FQ","FILING_STATUS=MR","SCALING_FORMAT=MLN","Sort=A","Dates=H","DateFormat=P","Fill=—","Direction=H","UseDPDF=Y")</f>
        <v>25</v>
      </c>
      <c r="AE26" s="13"/>
      <c r="AF26" s="13"/>
    </row>
    <row r="27" spans="1:32" x14ac:dyDescent="0.25">
      <c r="A27" s="10" t="s">
        <v>107</v>
      </c>
      <c r="B27" s="10" t="s">
        <v>108</v>
      </c>
      <c r="C27" s="13" t="str" cm="1">
        <f t="array" ref="C27">_xll.BDH("CAT US Equity","IS_DERIVATIVES_HEDGING","FQ1 2019","FQ1 2019","Currency=USD","Period=FQ","BEST_FPERIOD_OVERRIDE=FQ","FILING_STATUS=MR","SCALING_FORMAT=MLN","Sort=A","Dates=H","DateFormat=P","Fill=—","Direction=H","UseDPDF=Y")</f>
        <v>—</v>
      </c>
      <c r="D27" s="13" t="str" cm="1">
        <f t="array" ref="D27">_xll.BDH("CAT US Equity","IS_DERIVATIVES_HEDGING","FQ2 2019","FQ2 2019","Currency=USD","Period=FQ","BEST_FPERIOD_OVERRIDE=FQ","FILING_STATUS=MR","SCALING_FORMAT=MLN","Sort=A","Dates=H","DateFormat=P","Fill=—","Direction=H","UseDPDF=Y")</f>
        <v>—</v>
      </c>
      <c r="E27" s="13" t="str" cm="1">
        <f t="array" ref="E27">_xll.BDH("CAT US Equity","IS_DERIVATIVES_HEDGING","FQ3 2019","FQ3 2019","Currency=USD","Period=FQ","BEST_FPERIOD_OVERRIDE=FQ","FILING_STATUS=MR","SCALING_FORMAT=MLN","Sort=A","Dates=H","DateFormat=P","Fill=—","Direction=H","UseDPDF=Y")</f>
        <v>—</v>
      </c>
      <c r="F27" s="13" t="str" cm="1">
        <f t="array" ref="F27">_xll.BDH("CAT US Equity","IS_DERIVATIVES_HEDGING","FQ4 2019","FQ4 2019","Currency=USD","Period=FQ","BEST_FPERIOD_OVERRIDE=FQ","FILING_STATUS=MR","SCALING_FORMAT=MLN","Sort=A","Dates=H","DateFormat=P","Fill=—","Direction=H","UseDPDF=Y")</f>
        <v>—</v>
      </c>
      <c r="G27" s="13" t="str" cm="1">
        <f t="array" ref="G27">_xll.BDH("CAT US Equity","IS_DERIVATIVES_HEDGING","FQ1 2020","FQ1 2020","Currency=USD","Period=FQ","BEST_FPERIOD_OVERRIDE=FQ","FILING_STATUS=MR","SCALING_FORMAT=MLN","Sort=A","Dates=H","DateFormat=P","Fill=—","Direction=H","UseDPDF=Y")</f>
        <v>—</v>
      </c>
      <c r="H27" s="13" t="str" cm="1">
        <f t="array" ref="H27">_xll.BDH("CAT US Equity","IS_DERIVATIVES_HEDGING","FQ2 2020","FQ2 2020","Currency=USD","Period=FQ","BEST_FPERIOD_OVERRIDE=FQ","FILING_STATUS=MR","SCALING_FORMAT=MLN","Sort=A","Dates=H","DateFormat=P","Fill=—","Direction=H","UseDPDF=Y")</f>
        <v>—</v>
      </c>
      <c r="I27" s="13" t="str" cm="1">
        <f t="array" ref="I27">_xll.BDH("CAT US Equity","IS_DERIVATIVES_HEDGING","FQ3 2020","FQ3 2020","Currency=USD","Period=FQ","BEST_FPERIOD_OVERRIDE=FQ","FILING_STATUS=MR","SCALING_FORMAT=MLN","Sort=A","Dates=H","DateFormat=P","Fill=—","Direction=H","UseDPDF=Y")</f>
        <v>—</v>
      </c>
      <c r="J27" s="13" t="str" cm="1">
        <f t="array" ref="J27">_xll.BDH("CAT US Equity","IS_DERIVATIVES_HEDGING","FQ4 2020","FQ4 2020","Currency=USD","Period=FQ","BEST_FPERIOD_OVERRIDE=FQ","FILING_STATUS=MR","SCALING_FORMAT=MLN","Sort=A","Dates=H","DateFormat=P","Fill=—","Direction=H","UseDPDF=Y")</f>
        <v>—</v>
      </c>
      <c r="K27" s="13" t="str" cm="1">
        <f t="array" ref="K27">_xll.BDH("CAT US Equity","IS_DERIVATIVES_HEDGING","FQ1 2021","FQ1 2021","Currency=USD","Period=FQ","BEST_FPERIOD_OVERRIDE=FQ","FILING_STATUS=MR","SCALING_FORMAT=MLN","Sort=A","Dates=H","DateFormat=P","Fill=—","Direction=H","UseDPDF=Y")</f>
        <v>—</v>
      </c>
      <c r="L27" s="13" t="str" cm="1">
        <f t="array" ref="L27">_xll.BDH("CAT US Equity","IS_DERIVATIVES_HEDGING","FQ2 2021","FQ2 2021","Currency=USD","Period=FQ","BEST_FPERIOD_OVERRIDE=FQ","FILING_STATUS=MR","SCALING_FORMAT=MLN","Sort=A","Dates=H","DateFormat=P","Fill=—","Direction=H","UseDPDF=Y")</f>
        <v>—</v>
      </c>
      <c r="M27" s="13" t="str" cm="1">
        <f t="array" ref="M27">_xll.BDH("CAT US Equity","IS_DERIVATIVES_HEDGING","FQ3 2021","FQ3 2021","Currency=USD","Period=FQ","BEST_FPERIOD_OVERRIDE=FQ","FILING_STATUS=MR","SCALING_FORMAT=MLN","Sort=A","Dates=H","DateFormat=P","Fill=—","Direction=H","UseDPDF=Y")</f>
        <v>—</v>
      </c>
      <c r="N27" s="13" t="str" cm="1">
        <f t="array" ref="N27">_xll.BDH("CAT US Equity","IS_DERIVATIVES_HEDGING","FQ4 2021","FQ4 2021","Currency=USD","Period=FQ","BEST_FPERIOD_OVERRIDE=FQ","FILING_STATUS=MR","SCALING_FORMAT=MLN","Sort=A","Dates=H","DateFormat=P","Fill=—","Direction=H","UseDPDF=Y")</f>
        <v>—</v>
      </c>
      <c r="O27" s="13" t="str" cm="1">
        <f t="array" ref="O27">_xll.BDH("CAT US Equity","IS_DERIVATIVES_HEDGING","FQ1 2022","FQ1 2022","Currency=USD","Period=FQ","BEST_FPERIOD_OVERRIDE=FQ","FILING_STATUS=MR","SCALING_FORMAT=MLN","Sort=A","Dates=H","DateFormat=P","Fill=—","Direction=H","UseDPDF=Y")</f>
        <v>—</v>
      </c>
      <c r="P27" s="13" t="str" cm="1">
        <f t="array" ref="P27">_xll.BDH("CAT US Equity","IS_DERIVATIVES_HEDGING","FQ2 2022","FQ2 2022","Currency=USD","Period=FQ","BEST_FPERIOD_OVERRIDE=FQ","FILING_STATUS=MR","SCALING_FORMAT=MLN","Sort=A","Dates=H","DateFormat=P","Fill=—","Direction=H","UseDPDF=Y")</f>
        <v>—</v>
      </c>
      <c r="Q27" s="13" t="str" cm="1">
        <f t="array" ref="Q27">_xll.BDH("CAT US Equity","IS_DERIVATIVES_HEDGING","FQ3 2022","FQ3 2022","Currency=USD","Period=FQ","BEST_FPERIOD_OVERRIDE=FQ","FILING_STATUS=MR","SCALING_FORMAT=MLN","Sort=A","Dates=H","DateFormat=P","Fill=—","Direction=H","UseDPDF=Y")</f>
        <v>—</v>
      </c>
      <c r="R27" s="13" cm="1">
        <f t="array" ref="R27">_xll.BDH("CAT US Equity","IS_DERIVATIVES_HEDGING","FQ4 2022","FQ4 2022","Currency=USD","Period=FQ","BEST_FPERIOD_OVERRIDE=FQ","FILING_STATUS=MR","SCALING_FORMAT=MLN","Sort=A","Dates=H","DateFormat=P","Fill=—","Direction=H","UseDPDF=Y")</f>
        <v>-606</v>
      </c>
      <c r="S27" s="13" t="str" cm="1">
        <f t="array" ref="S27">_xll.BDH("CAT US Equity","IS_DERIVATIVES_HEDGING","FQ1 2023","FQ1 2023","Currency=USD","Period=FQ","BEST_FPERIOD_OVERRIDE=FQ","FILING_STATUS=MR","SCALING_FORMAT=MLN","Sort=A","Dates=H","DateFormat=P","Fill=—","Direction=H","UseDPDF=Y")</f>
        <v>—</v>
      </c>
      <c r="T27" s="13" t="str" cm="1">
        <f t="array" ref="T27">_xll.BDH("CAT US Equity","IS_DERIVATIVES_HEDGING","FQ2 2023","FQ2 2023","Currency=USD","Period=FQ","BEST_FPERIOD_OVERRIDE=FQ","FILING_STATUS=MR","SCALING_FORMAT=MLN","Sort=A","Dates=H","DateFormat=P","Fill=—","Direction=H","UseDPDF=Y")</f>
        <v>—</v>
      </c>
      <c r="U27" s="13" t="str" cm="1">
        <f t="array" ref="U27">_xll.BDH("CAT US Equity","IS_DERIVATIVES_HEDGING","FQ3 2023","FQ3 2023","Currency=USD","Period=FQ","BEST_FPERIOD_OVERRIDE=FQ","FILING_STATUS=MR","SCALING_FORMAT=MLN","Sort=A","Dates=H","DateFormat=P","Fill=—","Direction=H","UseDPDF=Y")</f>
        <v>—</v>
      </c>
      <c r="V27" s="13" cm="1">
        <f t="array" ref="V27">_xll.BDH("CAT US Equity","IS_DERIVATIVES_HEDGING","FQ4 2023","FQ4 2023","Currency=USD","Period=FQ","BEST_FPERIOD_OVERRIDE=FQ","FILING_STATUS=MR","SCALING_FORMAT=MLN","Sort=A","Dates=H","DateFormat=P","Fill=—","Direction=H","UseDPDF=Y")</f>
        <v>-22.784800000000001</v>
      </c>
      <c r="W27" s="13" t="str" cm="1">
        <f t="array" ref="W27">_xll.BDH("CAT US Equity","IS_DERIVATIVES_HEDGING","FQ1 2024","FQ1 2024","Currency=USD","Period=FQ","BEST_FPERIOD_OVERRIDE=FQ","FILING_STATUS=MR","SCALING_FORMAT=MLN","Sort=A","Dates=H","DateFormat=P","Fill=—","Direction=H","UseDPDF=Y")</f>
        <v>—</v>
      </c>
      <c r="X27" s="13" t="str" cm="1">
        <f t="array" ref="X27">_xll.BDH("CAT US Equity","IS_DERIVATIVES_HEDGING","FQ2 2024","FQ2 2024","Currency=USD","Period=FQ","BEST_FPERIOD_OVERRIDE=FQ","FILING_STATUS=MR","SCALING_FORMAT=MLN","Sort=A","Dates=H","DateFormat=P","Fill=—","Direction=H","UseDPDF=Y")</f>
        <v>—</v>
      </c>
      <c r="Y27" s="13" t="str" cm="1">
        <f t="array" ref="Y27">_xll.BDH("CAT US Equity","IS_DERIVATIVES_HEDGING","FQ3 2024","FQ3 2024","Currency=USD","Period=FQ","BEST_FPERIOD_OVERRIDE=FQ","FILING_STATUS=MR","SCALING_FORMAT=MLN","Sort=A","Dates=H","DateFormat=P","Fill=—","Direction=H","UseDPDF=Y")</f>
        <v>—</v>
      </c>
      <c r="Z27" s="13" cm="1">
        <f t="array" ref="Z27">_xll.BDH("CAT US Equity","IS_DERIVATIVES_HEDGING","FQ4 2024","FQ4 2024","Currency=USD","Period=FQ","BEST_FPERIOD_OVERRIDE=FQ","FILING_STATUS=MR","SCALING_FORMAT=MLN","Sort=A","Dates=H","DateFormat=P","Fill=—","Direction=H","UseDPDF=Y")</f>
        <v>-283.54430000000002</v>
      </c>
      <c r="AA27" s="13" t="str" cm="1">
        <f t="array" ref="AA27">_xll.BDH("CAT US Equity","IS_DERIVATIVES_HEDGING","FQ1 2025","FQ1 2025","Currency=USD","Period=FQ","BEST_FPERIOD_OVERRIDE=FQ","FILING_STATUS=MR","SCALING_FORMAT=MLN","Sort=A","Dates=H","DateFormat=P","Fill=—","Direction=H","UseDPDF=Y")</f>
        <v>—</v>
      </c>
      <c r="AB27" s="13" t="str" cm="1">
        <f t="array" ref="AB27">_xll.BDH("CAT US Equity","IS_DERIVATIVES_HEDGING","FQ2 2025","FQ2 2025","Currency=USD","Period=FQ","BEST_FPERIOD_OVERRIDE=FQ","FILING_STATUS=MR","SCALING_FORMAT=MLN","Sort=A","Dates=H","DateFormat=P","Fill=—","Direction=H","UseDPDF=Y")</f>
        <v>—</v>
      </c>
      <c r="AC27" s="13" t="str" cm="1">
        <f t="array" ref="AC27">_xll.BDH("CAT US Equity","IS_DERIVATIVES_HEDGING","FQ3 2025","FQ3 2025","Currency=USD","Period=FQ","BEST_FPERIOD_OVERRIDE=FQ","FILING_STATUS=MR","SCALING_FORMAT=MLN","Sort=A","Dates=H","DateFormat=P","Fill=—","Direction=H","UseDPDF=Y")</f>
        <v>—</v>
      </c>
      <c r="AD27" s="13" t="str" cm="1">
        <f t="array" ref="AD27">_xll.BDH("CAT US Equity","IS_DERIVATIVES_HEDGING","FQ4 2025","FQ4 2025","Currency=USD","Period=FQ","BEST_FPERIOD_OVERRIDE=FQ","FILING_STATUS=MR","SCALING_FORMAT=MLN","Sort=A","Dates=H","DateFormat=P","Fill=—","Direction=H","UseDPDF=Y")</f>
        <v>—</v>
      </c>
      <c r="AE27" s="13"/>
      <c r="AF27" s="13"/>
    </row>
    <row r="28" spans="1:32" x14ac:dyDescent="0.25">
      <c r="A28" s="10" t="s">
        <v>109</v>
      </c>
      <c r="B28" s="10" t="s">
        <v>110</v>
      </c>
      <c r="C28" s="13" t="str" cm="1">
        <f t="array" ref="C28">_xll.BDH("CAT US Equity","IS_IMPAIRMENT_ASSETS","FQ1 2019","FQ1 2019","Currency=USD","Period=FQ","BEST_FPERIOD_OVERRIDE=FQ","FILING_STATUS=MR","SCALING_FORMAT=MLN","Sort=A","Dates=H","DateFormat=P","Fill=—","Direction=H","UseDPDF=Y")</f>
        <v>—</v>
      </c>
      <c r="D28" s="13" t="str" cm="1">
        <f t="array" ref="D28">_xll.BDH("CAT US Equity","IS_IMPAIRMENT_ASSETS","FQ2 2019","FQ2 2019","Currency=USD","Period=FQ","BEST_FPERIOD_OVERRIDE=FQ","FILING_STATUS=MR","SCALING_FORMAT=MLN","Sort=A","Dates=H","DateFormat=P","Fill=—","Direction=H","UseDPDF=Y")</f>
        <v>—</v>
      </c>
      <c r="E28" s="13" t="str" cm="1">
        <f t="array" ref="E28">_xll.BDH("CAT US Equity","IS_IMPAIRMENT_ASSETS","FQ3 2019","FQ3 2019","Currency=USD","Period=FQ","BEST_FPERIOD_OVERRIDE=FQ","FILING_STATUS=MR","SCALING_FORMAT=MLN","Sort=A","Dates=H","DateFormat=P","Fill=—","Direction=H","UseDPDF=Y")</f>
        <v>—</v>
      </c>
      <c r="F28" s="13" t="str" cm="1">
        <f t="array" ref="F28">_xll.BDH("CAT US Equity","IS_IMPAIRMENT_ASSETS","FQ4 2019","FQ4 2019","Currency=USD","Period=FQ","BEST_FPERIOD_OVERRIDE=FQ","FILING_STATUS=MR","SCALING_FORMAT=MLN","Sort=A","Dates=H","DateFormat=P","Fill=—","Direction=H","UseDPDF=Y")</f>
        <v>—</v>
      </c>
      <c r="G28" s="13" t="str" cm="1">
        <f t="array" ref="G28">_xll.BDH("CAT US Equity","IS_IMPAIRMENT_ASSETS","FQ1 2020","FQ1 2020","Currency=USD","Period=FQ","BEST_FPERIOD_OVERRIDE=FQ","FILING_STATUS=MR","SCALING_FORMAT=MLN","Sort=A","Dates=H","DateFormat=P","Fill=—","Direction=H","UseDPDF=Y")</f>
        <v>—</v>
      </c>
      <c r="H28" s="13" t="str" cm="1">
        <f t="array" ref="H28">_xll.BDH("CAT US Equity","IS_IMPAIRMENT_ASSETS","FQ2 2020","FQ2 2020","Currency=USD","Period=FQ","BEST_FPERIOD_OVERRIDE=FQ","FILING_STATUS=MR","SCALING_FORMAT=MLN","Sort=A","Dates=H","DateFormat=P","Fill=—","Direction=H","UseDPDF=Y")</f>
        <v>—</v>
      </c>
      <c r="I28" s="13" t="str" cm="1">
        <f t="array" ref="I28">_xll.BDH("CAT US Equity","IS_IMPAIRMENT_ASSETS","FQ3 2020","FQ3 2020","Currency=USD","Period=FQ","BEST_FPERIOD_OVERRIDE=FQ","FILING_STATUS=MR","SCALING_FORMAT=MLN","Sort=A","Dates=H","DateFormat=P","Fill=—","Direction=H","UseDPDF=Y")</f>
        <v>—</v>
      </c>
      <c r="J28" s="13" t="str" cm="1">
        <f t="array" ref="J28">_xll.BDH("CAT US Equity","IS_IMPAIRMENT_ASSETS","FQ4 2020","FQ4 2020","Currency=USD","Period=FQ","BEST_FPERIOD_OVERRIDE=FQ","FILING_STATUS=MR","SCALING_FORMAT=MLN","Sort=A","Dates=H","DateFormat=P","Fill=—","Direction=H","UseDPDF=Y")</f>
        <v>—</v>
      </c>
      <c r="K28" s="13" t="str" cm="1">
        <f t="array" ref="K28">_xll.BDH("CAT US Equity","IS_IMPAIRMENT_ASSETS","FQ1 2021","FQ1 2021","Currency=USD","Period=FQ","BEST_FPERIOD_OVERRIDE=FQ","FILING_STATUS=MR","SCALING_FORMAT=MLN","Sort=A","Dates=H","DateFormat=P","Fill=—","Direction=H","UseDPDF=Y")</f>
        <v>—</v>
      </c>
      <c r="L28" s="13" cm="1">
        <f t="array" ref="L28">_xll.BDH("CAT US Equity","IS_IMPAIRMENT_ASSETS","FQ2 2021","FQ2 2021","Currency=USD","Period=FQ","BEST_FPERIOD_OVERRIDE=FQ","FILING_STATUS=MR","SCALING_FORMAT=MLN","Sort=A","Dates=H","DateFormat=P","Fill=—","Direction=H","UseDPDF=Y")</f>
        <v>-7</v>
      </c>
      <c r="M28" s="13" t="str" cm="1">
        <f t="array" ref="M28">_xll.BDH("CAT US Equity","IS_IMPAIRMENT_ASSETS","FQ3 2021","FQ3 2021","Currency=USD","Period=FQ","BEST_FPERIOD_OVERRIDE=FQ","FILING_STATUS=MR","SCALING_FORMAT=MLN","Sort=A","Dates=H","DateFormat=P","Fill=—","Direction=H","UseDPDF=Y")</f>
        <v>—</v>
      </c>
      <c r="N28" s="13" t="str" cm="1">
        <f t="array" ref="N28">_xll.BDH("CAT US Equity","IS_IMPAIRMENT_ASSETS","FQ4 2021","FQ4 2021","Currency=USD","Period=FQ","BEST_FPERIOD_OVERRIDE=FQ","FILING_STATUS=MR","SCALING_FORMAT=MLN","Sort=A","Dates=H","DateFormat=P","Fill=—","Direction=H","UseDPDF=Y")</f>
        <v>—</v>
      </c>
      <c r="O28" s="13" t="str" cm="1">
        <f t="array" ref="O28">_xll.BDH("CAT US Equity","IS_IMPAIRMENT_ASSETS","FQ1 2022","FQ1 2022","Currency=USD","Period=FQ","BEST_FPERIOD_OVERRIDE=FQ","FILING_STATUS=MR","SCALING_FORMAT=MLN","Sort=A","Dates=H","DateFormat=P","Fill=—","Direction=H","UseDPDF=Y")</f>
        <v>—</v>
      </c>
      <c r="P28" s="13" cm="1">
        <f t="array" ref="P28">_xll.BDH("CAT US Equity","IS_IMPAIRMENT_ASSETS","FQ2 2022","FQ2 2022","Currency=USD","Period=FQ","BEST_FPERIOD_OVERRIDE=FQ","FILING_STATUS=MR","SCALING_FORMAT=MLN","Sort=A","Dates=H","DateFormat=P","Fill=—","Direction=H","UseDPDF=Y")</f>
        <v>5</v>
      </c>
      <c r="Q28" s="13" t="str" cm="1">
        <f t="array" ref="Q28">_xll.BDH("CAT US Equity","IS_IMPAIRMENT_ASSETS","FQ3 2022","FQ3 2022","Currency=USD","Period=FQ","BEST_FPERIOD_OVERRIDE=FQ","FILING_STATUS=MR","SCALING_FORMAT=MLN","Sort=A","Dates=H","DateFormat=P","Fill=—","Direction=H","UseDPDF=Y")</f>
        <v>—</v>
      </c>
      <c r="R28" s="13" t="str" cm="1">
        <f t="array" ref="R28">_xll.BDH("CAT US Equity","IS_IMPAIRMENT_ASSETS","FQ4 2022","FQ4 2022","Currency=USD","Period=FQ","BEST_FPERIOD_OVERRIDE=FQ","FILING_STATUS=MR","SCALING_FORMAT=MLN","Sort=A","Dates=H","DateFormat=P","Fill=—","Direction=H","UseDPDF=Y")</f>
        <v>—</v>
      </c>
      <c r="S28" s="13" t="str" cm="1">
        <f t="array" ref="S28">_xll.BDH("CAT US Equity","IS_IMPAIRMENT_ASSETS","FQ1 2023","FQ1 2023","Currency=USD","Period=FQ","BEST_FPERIOD_OVERRIDE=FQ","FILING_STATUS=MR","SCALING_FORMAT=MLN","Sort=A","Dates=H","DateFormat=P","Fill=—","Direction=H","UseDPDF=Y")</f>
        <v>—</v>
      </c>
      <c r="T28" s="13" cm="1">
        <f t="array" ref="T28">_xll.BDH("CAT US Equity","IS_IMPAIRMENT_ASSETS","FQ2 2023","FQ2 2023","Currency=USD","Period=FQ","BEST_FPERIOD_OVERRIDE=FQ","FILING_STATUS=MR","SCALING_FORMAT=MLN","Sort=A","Dates=H","DateFormat=P","Fill=—","Direction=H","UseDPDF=Y")</f>
        <v>2</v>
      </c>
      <c r="U28" s="13" t="str" cm="1">
        <f t="array" ref="U28">_xll.BDH("CAT US Equity","IS_IMPAIRMENT_ASSETS","FQ3 2023","FQ3 2023","Currency=USD","Period=FQ","BEST_FPERIOD_OVERRIDE=FQ","FILING_STATUS=MR","SCALING_FORMAT=MLN","Sort=A","Dates=H","DateFormat=P","Fill=—","Direction=H","UseDPDF=Y")</f>
        <v>—</v>
      </c>
      <c r="V28" s="13" t="str" cm="1">
        <f t="array" ref="V28">_xll.BDH("CAT US Equity","IS_IMPAIRMENT_ASSETS","FQ4 2023","FQ4 2023","Currency=USD","Period=FQ","BEST_FPERIOD_OVERRIDE=FQ","FILING_STATUS=MR","SCALING_FORMAT=MLN","Sort=A","Dates=H","DateFormat=P","Fill=—","Direction=H","UseDPDF=Y")</f>
        <v>—</v>
      </c>
      <c r="W28" s="13" t="str" cm="1">
        <f t="array" ref="W28">_xll.BDH("CAT US Equity","IS_IMPAIRMENT_ASSETS","FQ1 2024","FQ1 2024","Currency=USD","Period=FQ","BEST_FPERIOD_OVERRIDE=FQ","FILING_STATUS=MR","SCALING_FORMAT=MLN","Sort=A","Dates=H","DateFormat=P","Fill=—","Direction=H","UseDPDF=Y")</f>
        <v>—</v>
      </c>
      <c r="X28" s="13" t="str" cm="1">
        <f t="array" ref="X28">_xll.BDH("CAT US Equity","IS_IMPAIRMENT_ASSETS","FQ2 2024","FQ2 2024","Currency=USD","Period=FQ","BEST_FPERIOD_OVERRIDE=FQ","FILING_STATUS=MR","SCALING_FORMAT=MLN","Sort=A","Dates=H","DateFormat=P","Fill=—","Direction=H","UseDPDF=Y")</f>
        <v>—</v>
      </c>
      <c r="Y28" s="13" t="str" cm="1">
        <f t="array" ref="Y28">_xll.BDH("CAT US Equity","IS_IMPAIRMENT_ASSETS","FQ3 2024","FQ3 2024","Currency=USD","Period=FQ","BEST_FPERIOD_OVERRIDE=FQ","FILING_STATUS=MR","SCALING_FORMAT=MLN","Sort=A","Dates=H","DateFormat=P","Fill=—","Direction=H","UseDPDF=Y")</f>
        <v>—</v>
      </c>
      <c r="Z28" s="13" t="str" cm="1">
        <f t="array" ref="Z28">_xll.BDH("CAT US Equity","IS_IMPAIRMENT_ASSETS","FQ4 2024","FQ4 2024","Currency=USD","Period=FQ","BEST_FPERIOD_OVERRIDE=FQ","FILING_STATUS=MR","SCALING_FORMAT=MLN","Sort=A","Dates=H","DateFormat=P","Fill=—","Direction=H","UseDPDF=Y")</f>
        <v>—</v>
      </c>
      <c r="AA28" s="13" t="str" cm="1">
        <f t="array" ref="AA28">_xll.BDH("CAT US Equity","IS_IMPAIRMENT_ASSETS","FQ1 2025","FQ1 2025","Currency=USD","Period=FQ","BEST_FPERIOD_OVERRIDE=FQ","FILING_STATUS=MR","SCALING_FORMAT=MLN","Sort=A","Dates=H","DateFormat=P","Fill=—","Direction=H","UseDPDF=Y")</f>
        <v>—</v>
      </c>
      <c r="AB28" s="13" t="str" cm="1">
        <f t="array" ref="AB28">_xll.BDH("CAT US Equity","IS_IMPAIRMENT_ASSETS","FQ2 2025","FQ2 2025","Currency=USD","Period=FQ","BEST_FPERIOD_OVERRIDE=FQ","FILING_STATUS=MR","SCALING_FORMAT=MLN","Sort=A","Dates=H","DateFormat=P","Fill=—","Direction=H","UseDPDF=Y")</f>
        <v>—</v>
      </c>
      <c r="AC28" s="13" t="str" cm="1">
        <f t="array" ref="AC28">_xll.BDH("CAT US Equity","IS_IMPAIRMENT_ASSETS","FQ3 2025","FQ3 2025","Currency=USD","Period=FQ","BEST_FPERIOD_OVERRIDE=FQ","FILING_STATUS=MR","SCALING_FORMAT=MLN","Sort=A","Dates=H","DateFormat=P","Fill=—","Direction=H","UseDPDF=Y")</f>
        <v>—</v>
      </c>
      <c r="AD28" s="13" t="str" cm="1">
        <f t="array" ref="AD28">_xll.BDH("CAT US Equity","IS_IMPAIRMENT_ASSETS","FQ4 2025","FQ4 2025","Currency=USD","Period=FQ","BEST_FPERIOD_OVERRIDE=FQ","FILING_STATUS=MR","SCALING_FORMAT=MLN","Sort=A","Dates=H","DateFormat=P","Fill=—","Direction=H","UseDPDF=Y")</f>
        <v>—</v>
      </c>
      <c r="AE28" s="13"/>
      <c r="AF28" s="13"/>
    </row>
    <row r="29" spans="1:32" x14ac:dyDescent="0.25">
      <c r="A29" s="10" t="s">
        <v>111</v>
      </c>
      <c r="B29" s="10" t="s">
        <v>112</v>
      </c>
      <c r="C29" s="13" t="str" cm="1">
        <f t="array" ref="C29">_xll.BDH("CAT US Equity","IS_IMPAIRMENT_GOODWILL_INTANGIBL","FQ1 2019","FQ1 2019","Currency=USD","Period=FQ","BEST_FPERIOD_OVERRIDE=FQ","FILING_STATUS=MR","SCALING_FORMAT=MLN","Sort=A","Dates=H","DateFormat=P","Fill=—","Direction=H","UseDPDF=Y")</f>
        <v>—</v>
      </c>
      <c r="D29" s="13" t="str" cm="1">
        <f t="array" ref="D29">_xll.BDH("CAT US Equity","IS_IMPAIRMENT_GOODWILL_INTANGIBL","FQ2 2019","FQ2 2019","Currency=USD","Period=FQ","BEST_FPERIOD_OVERRIDE=FQ","FILING_STATUS=MR","SCALING_FORMAT=MLN","Sort=A","Dates=H","DateFormat=P","Fill=—","Direction=H","UseDPDF=Y")</f>
        <v>—</v>
      </c>
      <c r="E29" s="13" t="str" cm="1">
        <f t="array" ref="E29">_xll.BDH("CAT US Equity","IS_IMPAIRMENT_GOODWILL_INTANGIBL","FQ3 2019","FQ3 2019","Currency=USD","Period=FQ","BEST_FPERIOD_OVERRIDE=FQ","FILING_STATUS=MR","SCALING_FORMAT=MLN","Sort=A","Dates=H","DateFormat=P","Fill=—","Direction=H","UseDPDF=Y")</f>
        <v>—</v>
      </c>
      <c r="F29" s="13" t="str" cm="1">
        <f t="array" ref="F29">_xll.BDH("CAT US Equity","IS_IMPAIRMENT_GOODWILL_INTANGIBL","FQ4 2019","FQ4 2019","Currency=USD","Period=FQ","BEST_FPERIOD_OVERRIDE=FQ","FILING_STATUS=MR","SCALING_FORMAT=MLN","Sort=A","Dates=H","DateFormat=P","Fill=—","Direction=H","UseDPDF=Y")</f>
        <v>—</v>
      </c>
      <c r="G29" s="13" t="str" cm="1">
        <f t="array" ref="G29">_xll.BDH("CAT US Equity","IS_IMPAIRMENT_GOODWILL_INTANGIBL","FQ1 2020","FQ1 2020","Currency=USD","Period=FQ","BEST_FPERIOD_OVERRIDE=FQ","FILING_STATUS=MR","SCALING_FORMAT=MLN","Sort=A","Dates=H","DateFormat=P","Fill=—","Direction=H","UseDPDF=Y")</f>
        <v>—</v>
      </c>
      <c r="H29" s="13" t="str" cm="1">
        <f t="array" ref="H29">_xll.BDH("CAT US Equity","IS_IMPAIRMENT_GOODWILL_INTANGIBL","FQ2 2020","FQ2 2020","Currency=USD","Period=FQ","BEST_FPERIOD_OVERRIDE=FQ","FILING_STATUS=MR","SCALING_FORMAT=MLN","Sort=A","Dates=H","DateFormat=P","Fill=—","Direction=H","UseDPDF=Y")</f>
        <v>—</v>
      </c>
      <c r="I29" s="13" t="str" cm="1">
        <f t="array" ref="I29">_xll.BDH("CAT US Equity","IS_IMPAIRMENT_GOODWILL_INTANGIBL","FQ3 2020","FQ3 2020","Currency=USD","Period=FQ","BEST_FPERIOD_OVERRIDE=FQ","FILING_STATUS=MR","SCALING_FORMAT=MLN","Sort=A","Dates=H","DateFormat=P","Fill=—","Direction=H","UseDPDF=Y")</f>
        <v>—</v>
      </c>
      <c r="J29" s="13" t="str" cm="1">
        <f t="array" ref="J29">_xll.BDH("CAT US Equity","IS_IMPAIRMENT_GOODWILL_INTANGIBL","FQ4 2020","FQ4 2020","Currency=USD","Period=FQ","BEST_FPERIOD_OVERRIDE=FQ","FILING_STATUS=MR","SCALING_FORMAT=MLN","Sort=A","Dates=H","DateFormat=P","Fill=—","Direction=H","UseDPDF=Y")</f>
        <v>—</v>
      </c>
      <c r="K29" s="13" t="str" cm="1">
        <f t="array" ref="K29">_xll.BDH("CAT US Equity","IS_IMPAIRMENT_GOODWILL_INTANGIBL","FQ1 2021","FQ1 2021","Currency=USD","Period=FQ","BEST_FPERIOD_OVERRIDE=FQ","FILING_STATUS=MR","SCALING_FORMAT=MLN","Sort=A","Dates=H","DateFormat=P","Fill=—","Direction=H","UseDPDF=Y")</f>
        <v>—</v>
      </c>
      <c r="L29" s="13" t="str" cm="1">
        <f t="array" ref="L29">_xll.BDH("CAT US Equity","IS_IMPAIRMENT_GOODWILL_INTANGIBL","FQ2 2021","FQ2 2021","Currency=USD","Period=FQ","BEST_FPERIOD_OVERRIDE=FQ","FILING_STATUS=MR","SCALING_FORMAT=MLN","Sort=A","Dates=H","DateFormat=P","Fill=—","Direction=H","UseDPDF=Y")</f>
        <v>—</v>
      </c>
      <c r="M29" s="13" t="str" cm="1">
        <f t="array" ref="M29">_xll.BDH("CAT US Equity","IS_IMPAIRMENT_GOODWILL_INTANGIBL","FQ3 2021","FQ3 2021","Currency=USD","Period=FQ","BEST_FPERIOD_OVERRIDE=FQ","FILING_STATUS=MR","SCALING_FORMAT=MLN","Sort=A","Dates=H","DateFormat=P","Fill=—","Direction=H","UseDPDF=Y")</f>
        <v>—</v>
      </c>
      <c r="N29" s="13" t="str" cm="1">
        <f t="array" ref="N29">_xll.BDH("CAT US Equity","IS_IMPAIRMENT_GOODWILL_INTANGIBL","FQ4 2021","FQ4 2021","Currency=USD","Period=FQ","BEST_FPERIOD_OVERRIDE=FQ","FILING_STATUS=MR","SCALING_FORMAT=MLN","Sort=A","Dates=H","DateFormat=P","Fill=—","Direction=H","UseDPDF=Y")</f>
        <v>—</v>
      </c>
      <c r="O29" s="13" t="str" cm="1">
        <f t="array" ref="O29">_xll.BDH("CAT US Equity","IS_IMPAIRMENT_GOODWILL_INTANGIBL","FQ1 2022","FQ1 2022","Currency=USD","Period=FQ","BEST_FPERIOD_OVERRIDE=FQ","FILING_STATUS=MR","SCALING_FORMAT=MLN","Sort=A","Dates=H","DateFormat=P","Fill=—","Direction=H","UseDPDF=Y")</f>
        <v>—</v>
      </c>
      <c r="P29" s="13" t="str" cm="1">
        <f t="array" ref="P29">_xll.BDH("CAT US Equity","IS_IMPAIRMENT_GOODWILL_INTANGIBL","FQ2 2022","FQ2 2022","Currency=USD","Period=FQ","BEST_FPERIOD_OVERRIDE=FQ","FILING_STATUS=MR","SCALING_FORMAT=MLN","Sort=A","Dates=H","DateFormat=P","Fill=—","Direction=H","UseDPDF=Y")</f>
        <v>—</v>
      </c>
      <c r="Q29" s="13" t="str" cm="1">
        <f t="array" ref="Q29">_xll.BDH("CAT US Equity","IS_IMPAIRMENT_GOODWILL_INTANGIBL","FQ3 2022","FQ3 2022","Currency=USD","Period=FQ","BEST_FPERIOD_OVERRIDE=FQ","FILING_STATUS=MR","SCALING_FORMAT=MLN","Sort=A","Dates=H","DateFormat=P","Fill=—","Direction=H","UseDPDF=Y")</f>
        <v>—</v>
      </c>
      <c r="R29" s="13" cm="1">
        <f t="array" ref="R29">_xll.BDH("CAT US Equity","IS_IMPAIRMENT_GOODWILL_INTANGIBL","FQ4 2022","FQ4 2022","Currency=USD","Period=FQ","BEST_FPERIOD_OVERRIDE=FQ","FILING_STATUS=MR","SCALING_FORMAT=MLN","Sort=A","Dates=H","DateFormat=P","Fill=—","Direction=H","UseDPDF=Y")</f>
        <v>925</v>
      </c>
      <c r="S29" s="13" t="str" cm="1">
        <f t="array" ref="S29">_xll.BDH("CAT US Equity","IS_IMPAIRMENT_GOODWILL_INTANGIBL","FQ1 2023","FQ1 2023","Currency=USD","Period=FQ","BEST_FPERIOD_OVERRIDE=FQ","FILING_STATUS=MR","SCALING_FORMAT=MLN","Sort=A","Dates=H","DateFormat=P","Fill=—","Direction=H","UseDPDF=Y")</f>
        <v>—</v>
      </c>
      <c r="T29" s="13" t="str" cm="1">
        <f t="array" ref="T29">_xll.BDH("CAT US Equity","IS_IMPAIRMENT_GOODWILL_INTANGIBL","FQ2 2023","FQ2 2023","Currency=USD","Period=FQ","BEST_FPERIOD_OVERRIDE=FQ","FILING_STATUS=MR","SCALING_FORMAT=MLN","Sort=A","Dates=H","DateFormat=P","Fill=—","Direction=H","UseDPDF=Y")</f>
        <v>—</v>
      </c>
      <c r="U29" s="13" t="str" cm="1">
        <f t="array" ref="U29">_xll.BDH("CAT US Equity","IS_IMPAIRMENT_GOODWILL_INTANGIBL","FQ3 2023","FQ3 2023","Currency=USD","Period=FQ","BEST_FPERIOD_OVERRIDE=FQ","FILING_STATUS=MR","SCALING_FORMAT=MLN","Sort=A","Dates=H","DateFormat=P","Fill=—","Direction=H","UseDPDF=Y")</f>
        <v>—</v>
      </c>
      <c r="V29" s="13" t="str" cm="1">
        <f t="array" ref="V29">_xll.BDH("CAT US Equity","IS_IMPAIRMENT_GOODWILL_INTANGIBL","FQ4 2023","FQ4 2023","Currency=USD","Period=FQ","BEST_FPERIOD_OVERRIDE=FQ","FILING_STATUS=MR","SCALING_FORMAT=MLN","Sort=A","Dates=H","DateFormat=P","Fill=—","Direction=H","UseDPDF=Y")</f>
        <v>—</v>
      </c>
      <c r="W29" s="13" t="str" cm="1">
        <f t="array" ref="W29">_xll.BDH("CAT US Equity","IS_IMPAIRMENT_GOODWILL_INTANGIBL","FQ1 2024","FQ1 2024","Currency=USD","Period=FQ","BEST_FPERIOD_OVERRIDE=FQ","FILING_STATUS=MR","SCALING_FORMAT=MLN","Sort=A","Dates=H","DateFormat=P","Fill=—","Direction=H","UseDPDF=Y")</f>
        <v>—</v>
      </c>
      <c r="X29" s="13" t="str" cm="1">
        <f t="array" ref="X29">_xll.BDH("CAT US Equity","IS_IMPAIRMENT_GOODWILL_INTANGIBL","FQ2 2024","FQ2 2024","Currency=USD","Period=FQ","BEST_FPERIOD_OVERRIDE=FQ","FILING_STATUS=MR","SCALING_FORMAT=MLN","Sort=A","Dates=H","DateFormat=P","Fill=—","Direction=H","UseDPDF=Y")</f>
        <v>—</v>
      </c>
      <c r="Y29" s="13" t="str" cm="1">
        <f t="array" ref="Y29">_xll.BDH("CAT US Equity","IS_IMPAIRMENT_GOODWILL_INTANGIBL","FQ3 2024","FQ3 2024","Currency=USD","Period=FQ","BEST_FPERIOD_OVERRIDE=FQ","FILING_STATUS=MR","SCALING_FORMAT=MLN","Sort=A","Dates=H","DateFormat=P","Fill=—","Direction=H","UseDPDF=Y")</f>
        <v>—</v>
      </c>
      <c r="Z29" s="13" t="str" cm="1">
        <f t="array" ref="Z29">_xll.BDH("CAT US Equity","IS_IMPAIRMENT_GOODWILL_INTANGIBL","FQ4 2024","FQ4 2024","Currency=USD","Period=FQ","BEST_FPERIOD_OVERRIDE=FQ","FILING_STATUS=MR","SCALING_FORMAT=MLN","Sort=A","Dates=H","DateFormat=P","Fill=—","Direction=H","UseDPDF=Y")</f>
        <v>—</v>
      </c>
      <c r="AA29" s="13" t="str" cm="1">
        <f t="array" ref="AA29">_xll.BDH("CAT US Equity","IS_IMPAIRMENT_GOODWILL_INTANGIBL","FQ1 2025","FQ1 2025","Currency=USD","Period=FQ","BEST_FPERIOD_OVERRIDE=FQ","FILING_STATUS=MR","SCALING_FORMAT=MLN","Sort=A","Dates=H","DateFormat=P","Fill=—","Direction=H","UseDPDF=Y")</f>
        <v>—</v>
      </c>
      <c r="AB29" s="13" t="str" cm="1">
        <f t="array" ref="AB29">_xll.BDH("CAT US Equity","IS_IMPAIRMENT_GOODWILL_INTANGIBL","FQ2 2025","FQ2 2025","Currency=USD","Period=FQ","BEST_FPERIOD_OVERRIDE=FQ","FILING_STATUS=MR","SCALING_FORMAT=MLN","Sort=A","Dates=H","DateFormat=P","Fill=—","Direction=H","UseDPDF=Y")</f>
        <v>—</v>
      </c>
      <c r="AC29" s="13" t="str" cm="1">
        <f t="array" ref="AC29">_xll.BDH("CAT US Equity","IS_IMPAIRMENT_GOODWILL_INTANGIBL","FQ3 2025","FQ3 2025","Currency=USD","Period=FQ","BEST_FPERIOD_OVERRIDE=FQ","FILING_STATUS=MR","SCALING_FORMAT=MLN","Sort=A","Dates=H","DateFormat=P","Fill=—","Direction=H","UseDPDF=Y")</f>
        <v>—</v>
      </c>
      <c r="AD29" s="13" t="str" cm="1">
        <f t="array" ref="AD29">_xll.BDH("CAT US Equity","IS_IMPAIRMENT_GOODWILL_INTANGIBL","FQ4 2025","FQ4 2025","Currency=USD","Period=FQ","BEST_FPERIOD_OVERRIDE=FQ","FILING_STATUS=MR","SCALING_FORMAT=MLN","Sort=A","Dates=H","DateFormat=P","Fill=—","Direction=H","UseDPDF=Y")</f>
        <v>—</v>
      </c>
      <c r="AE29" s="13"/>
      <c r="AF29" s="13"/>
    </row>
    <row r="30" spans="1:32" x14ac:dyDescent="0.25">
      <c r="A30" s="10" t="s">
        <v>113</v>
      </c>
      <c r="B30" s="10" t="s">
        <v>114</v>
      </c>
      <c r="C30" s="13" t="str" cm="1">
        <f t="array" ref="C30">_xll.BDH("CAT US Equity","IS_SALE_OF_BUSINESS","FQ1 2019","FQ1 2019","Currency=USD","Period=FQ","BEST_FPERIOD_OVERRIDE=FQ","FILING_STATUS=MR","SCALING_FORMAT=MLN","Sort=A","Dates=H","DateFormat=P","Fill=—","Direction=H","UseDPDF=Y")</f>
        <v>—</v>
      </c>
      <c r="D30" s="13" t="str" cm="1">
        <f t="array" ref="D30">_xll.BDH("CAT US Equity","IS_SALE_OF_BUSINESS","FQ2 2019","FQ2 2019","Currency=USD","Period=FQ","BEST_FPERIOD_OVERRIDE=FQ","FILING_STATUS=MR","SCALING_FORMAT=MLN","Sort=A","Dates=H","DateFormat=P","Fill=—","Direction=H","UseDPDF=Y")</f>
        <v>—</v>
      </c>
      <c r="E30" s="13" t="str" cm="1">
        <f t="array" ref="E30">_xll.BDH("CAT US Equity","IS_SALE_OF_BUSINESS","FQ3 2019","FQ3 2019","Currency=USD","Period=FQ","BEST_FPERIOD_OVERRIDE=FQ","FILING_STATUS=MR","SCALING_FORMAT=MLN","Sort=A","Dates=H","DateFormat=P","Fill=—","Direction=H","UseDPDF=Y")</f>
        <v>—</v>
      </c>
      <c r="F30" s="13" t="str" cm="1">
        <f t="array" ref="F30">_xll.BDH("CAT US Equity","IS_SALE_OF_BUSINESS","FQ4 2019","FQ4 2019","Currency=USD","Period=FQ","BEST_FPERIOD_OVERRIDE=FQ","FILING_STATUS=MR","SCALING_FORMAT=MLN","Sort=A","Dates=H","DateFormat=P","Fill=—","Direction=H","UseDPDF=Y")</f>
        <v>—</v>
      </c>
      <c r="G30" s="13" t="str" cm="1">
        <f t="array" ref="G30">_xll.BDH("CAT US Equity","IS_SALE_OF_BUSINESS","FQ1 2020","FQ1 2020","Currency=USD","Period=FQ","BEST_FPERIOD_OVERRIDE=FQ","FILING_STATUS=MR","SCALING_FORMAT=MLN","Sort=A","Dates=H","DateFormat=P","Fill=—","Direction=H","UseDPDF=Y")</f>
        <v>—</v>
      </c>
      <c r="H30" s="13" t="str" cm="1">
        <f t="array" ref="H30">_xll.BDH("CAT US Equity","IS_SALE_OF_BUSINESS","FQ2 2020","FQ2 2020","Currency=USD","Period=FQ","BEST_FPERIOD_OVERRIDE=FQ","FILING_STATUS=MR","SCALING_FORMAT=MLN","Sort=A","Dates=H","DateFormat=P","Fill=—","Direction=H","UseDPDF=Y")</f>
        <v>—</v>
      </c>
      <c r="I30" s="13" t="str" cm="1">
        <f t="array" ref="I30">_xll.BDH("CAT US Equity","IS_SALE_OF_BUSINESS","FQ3 2020","FQ3 2020","Currency=USD","Period=FQ","BEST_FPERIOD_OVERRIDE=FQ","FILING_STATUS=MR","SCALING_FORMAT=MLN","Sort=A","Dates=H","DateFormat=P","Fill=—","Direction=H","UseDPDF=Y")</f>
        <v>—</v>
      </c>
      <c r="J30" s="13" t="str" cm="1">
        <f t="array" ref="J30">_xll.BDH("CAT US Equity","IS_SALE_OF_BUSINESS","FQ4 2020","FQ4 2020","Currency=USD","Period=FQ","BEST_FPERIOD_OVERRIDE=FQ","FILING_STATUS=MR","SCALING_FORMAT=MLN","Sort=A","Dates=H","DateFormat=P","Fill=—","Direction=H","UseDPDF=Y")</f>
        <v>—</v>
      </c>
      <c r="K30" s="13" t="str" cm="1">
        <f t="array" ref="K30">_xll.BDH("CAT US Equity","IS_SALE_OF_BUSINESS","FQ1 2021","FQ1 2021","Currency=USD","Period=FQ","BEST_FPERIOD_OVERRIDE=FQ","FILING_STATUS=MR","SCALING_FORMAT=MLN","Sort=A","Dates=H","DateFormat=P","Fill=—","Direction=H","UseDPDF=Y")</f>
        <v>—</v>
      </c>
      <c r="L30" s="13" t="str" cm="1">
        <f t="array" ref="L30">_xll.BDH("CAT US Equity","IS_SALE_OF_BUSINESS","FQ2 2021","FQ2 2021","Currency=USD","Period=FQ","BEST_FPERIOD_OVERRIDE=FQ","FILING_STATUS=MR","SCALING_FORMAT=MLN","Sort=A","Dates=H","DateFormat=P","Fill=—","Direction=H","UseDPDF=Y")</f>
        <v>—</v>
      </c>
      <c r="M30" s="13" t="str" cm="1">
        <f t="array" ref="M30">_xll.BDH("CAT US Equity","IS_SALE_OF_BUSINESS","FQ3 2021","FQ3 2021","Currency=USD","Period=FQ","BEST_FPERIOD_OVERRIDE=FQ","FILING_STATUS=MR","SCALING_FORMAT=MLN","Sort=A","Dates=H","DateFormat=P","Fill=—","Direction=H","UseDPDF=Y")</f>
        <v>—</v>
      </c>
      <c r="N30" s="13" t="str" cm="1">
        <f t="array" ref="N30">_xll.BDH("CAT US Equity","IS_SALE_OF_BUSINESS","FQ4 2021","FQ4 2021","Currency=USD","Period=FQ","BEST_FPERIOD_OVERRIDE=FQ","FILING_STATUS=MR","SCALING_FORMAT=MLN","Sort=A","Dates=H","DateFormat=P","Fill=—","Direction=H","UseDPDF=Y")</f>
        <v>—</v>
      </c>
      <c r="O30" s="13" t="str" cm="1">
        <f t="array" ref="O30">_xll.BDH("CAT US Equity","IS_SALE_OF_BUSINESS","FQ1 2022","FQ1 2022","Currency=USD","Period=FQ","BEST_FPERIOD_OVERRIDE=FQ","FILING_STATUS=MR","SCALING_FORMAT=MLN","Sort=A","Dates=H","DateFormat=P","Fill=—","Direction=H","UseDPDF=Y")</f>
        <v>—</v>
      </c>
      <c r="P30" s="13" t="str" cm="1">
        <f t="array" ref="P30">_xll.BDH("CAT US Equity","IS_SALE_OF_BUSINESS","FQ2 2022","FQ2 2022","Currency=USD","Period=FQ","BEST_FPERIOD_OVERRIDE=FQ","FILING_STATUS=MR","SCALING_FORMAT=MLN","Sort=A","Dates=H","DateFormat=P","Fill=—","Direction=H","UseDPDF=Y")</f>
        <v>—</v>
      </c>
      <c r="Q30" s="13" t="str" cm="1">
        <f t="array" ref="Q30">_xll.BDH("CAT US Equity","IS_SALE_OF_BUSINESS","FQ3 2022","FQ3 2022","Currency=USD","Period=FQ","BEST_FPERIOD_OVERRIDE=FQ","FILING_STATUS=MR","SCALING_FORMAT=MLN","Sort=A","Dates=H","DateFormat=P","Fill=—","Direction=H","UseDPDF=Y")</f>
        <v>—</v>
      </c>
      <c r="R30" s="13" t="str" cm="1">
        <f t="array" ref="R30">_xll.BDH("CAT US Equity","IS_SALE_OF_BUSINESS","FQ4 2022","FQ4 2022","Currency=USD","Period=FQ","BEST_FPERIOD_OVERRIDE=FQ","FILING_STATUS=MR","SCALING_FORMAT=MLN","Sort=A","Dates=H","DateFormat=P","Fill=—","Direction=H","UseDPDF=Y")</f>
        <v>—</v>
      </c>
      <c r="S30" s="13" cm="1">
        <f t="array" ref="S30">_xll.BDH("CAT US Equity","IS_SALE_OF_BUSINESS","FQ1 2023","FQ1 2023","Currency=USD","Period=FQ","BEST_FPERIOD_OVERRIDE=FQ","FILING_STATUS=MR","SCALING_FORMAT=MLN","Sort=A","Dates=H","DateFormat=P","Fill=—","Direction=H","UseDPDF=Y")</f>
        <v>572</v>
      </c>
      <c r="T30" s="13" t="str" cm="1">
        <f t="array" ref="T30">_xll.BDH("CAT US Equity","IS_SALE_OF_BUSINESS","FQ2 2023","FQ2 2023","Currency=USD","Period=FQ","BEST_FPERIOD_OVERRIDE=FQ","FILING_STATUS=MR","SCALING_FORMAT=MLN","Sort=A","Dates=H","DateFormat=P","Fill=—","Direction=H","UseDPDF=Y")</f>
        <v>—</v>
      </c>
      <c r="U30" s="13" t="str" cm="1">
        <f t="array" ref="U30">_xll.BDH("CAT US Equity","IS_SALE_OF_BUSINESS","FQ3 2023","FQ3 2023","Currency=USD","Period=FQ","BEST_FPERIOD_OVERRIDE=FQ","FILING_STATUS=MR","SCALING_FORMAT=MLN","Sort=A","Dates=H","DateFormat=P","Fill=—","Direction=H","UseDPDF=Y")</f>
        <v>—</v>
      </c>
      <c r="V30" s="13" t="str" cm="1">
        <f t="array" ref="V30">_xll.BDH("CAT US Equity","IS_SALE_OF_BUSINESS","FQ4 2023","FQ4 2023","Currency=USD","Period=FQ","BEST_FPERIOD_OVERRIDE=FQ","FILING_STATUS=MR","SCALING_FORMAT=MLN","Sort=A","Dates=H","DateFormat=P","Fill=—","Direction=H","UseDPDF=Y")</f>
        <v>—</v>
      </c>
      <c r="W30" s="13" t="str" cm="1">
        <f t="array" ref="W30">_xll.BDH("CAT US Equity","IS_SALE_OF_BUSINESS","FQ1 2024","FQ1 2024","Currency=USD","Period=FQ","BEST_FPERIOD_OVERRIDE=FQ","FILING_STATUS=MR","SCALING_FORMAT=MLN","Sort=A","Dates=H","DateFormat=P","Fill=—","Direction=H","UseDPDF=Y")</f>
        <v>—</v>
      </c>
      <c r="X30" s="13" cm="1">
        <f t="array" ref="X30">_xll.BDH("CAT US Equity","IS_SALE_OF_BUSINESS","FQ2 2024","FQ2 2024","Currency=USD","Period=FQ","BEST_FPERIOD_OVERRIDE=FQ","FILING_STATUS=MR","SCALING_FORMAT=MLN","Sort=A","Dates=H","DateFormat=P","Fill=—","Direction=H","UseDPDF=Y")</f>
        <v>228</v>
      </c>
      <c r="Y30" s="13" t="str" cm="1">
        <f t="array" ref="Y30">_xll.BDH("CAT US Equity","IS_SALE_OF_BUSINESS","FQ3 2024","FQ3 2024","Currency=USD","Period=FQ","BEST_FPERIOD_OVERRIDE=FQ","FILING_STATUS=MR","SCALING_FORMAT=MLN","Sort=A","Dates=H","DateFormat=P","Fill=—","Direction=H","UseDPDF=Y")</f>
        <v>—</v>
      </c>
      <c r="Z30" s="13" t="str" cm="1">
        <f t="array" ref="Z30">_xll.BDH("CAT US Equity","IS_SALE_OF_BUSINESS","FQ4 2024","FQ4 2024","Currency=USD","Period=FQ","BEST_FPERIOD_OVERRIDE=FQ","FILING_STATUS=MR","SCALING_FORMAT=MLN","Sort=A","Dates=H","DateFormat=P","Fill=—","Direction=H","UseDPDF=Y")</f>
        <v>—</v>
      </c>
      <c r="AA30" s="13" t="str" cm="1">
        <f t="array" ref="AA30">_xll.BDH("CAT US Equity","IS_SALE_OF_BUSINESS","FQ1 2025","FQ1 2025","Currency=USD","Period=FQ","BEST_FPERIOD_OVERRIDE=FQ","FILING_STATUS=MR","SCALING_FORMAT=MLN","Sort=A","Dates=H","DateFormat=P","Fill=—","Direction=H","UseDPDF=Y")</f>
        <v>—</v>
      </c>
      <c r="AB30" s="13" t="str" cm="1">
        <f t="array" ref="AB30">_xll.BDH("CAT US Equity","IS_SALE_OF_BUSINESS","FQ2 2025","FQ2 2025","Currency=USD","Period=FQ","BEST_FPERIOD_OVERRIDE=FQ","FILING_STATUS=MR","SCALING_FORMAT=MLN","Sort=A","Dates=H","DateFormat=P","Fill=—","Direction=H","UseDPDF=Y")</f>
        <v>—</v>
      </c>
      <c r="AC30" s="13" t="str" cm="1">
        <f t="array" ref="AC30">_xll.BDH("CAT US Equity","IS_SALE_OF_BUSINESS","FQ3 2025","FQ3 2025","Currency=USD","Period=FQ","BEST_FPERIOD_OVERRIDE=FQ","FILING_STATUS=MR","SCALING_FORMAT=MLN","Sort=A","Dates=H","DateFormat=P","Fill=—","Direction=H","UseDPDF=Y")</f>
        <v>—</v>
      </c>
      <c r="AD30" s="13" t="str" cm="1">
        <f t="array" ref="AD30">_xll.BDH("CAT US Equity","IS_SALE_OF_BUSINESS","FQ4 2025","FQ4 2025","Currency=USD","Period=FQ","BEST_FPERIOD_OVERRIDE=FQ","FILING_STATUS=MR","SCALING_FORMAT=MLN","Sort=A","Dates=H","DateFormat=P","Fill=—","Direction=H","UseDPDF=Y")</f>
        <v>—</v>
      </c>
      <c r="AE30" s="13"/>
      <c r="AF30" s="13"/>
    </row>
    <row r="31" spans="1:32" x14ac:dyDescent="0.25">
      <c r="A31" s="10" t="s">
        <v>115</v>
      </c>
      <c r="B31" s="10" t="s">
        <v>116</v>
      </c>
      <c r="C31" s="13" cm="1">
        <f t="array" ref="C31">_xll.BDH("CAT US Equity","IS_RESTRUCTURING_EXPENSES","FQ1 2019","FQ1 2019","Currency=USD","Period=FQ","BEST_FPERIOD_OVERRIDE=FQ","FILING_STATUS=MR","SCALING_FORMAT=MLN","Sort=A","Dates=H","DateFormat=P","Fill=—","Direction=H","UseDPDF=Y")</f>
        <v>48</v>
      </c>
      <c r="D31" s="13" cm="1">
        <f t="array" ref="D31">_xll.BDH("CAT US Equity","IS_RESTRUCTURING_EXPENSES","FQ2 2019","FQ2 2019","Currency=USD","Period=FQ","BEST_FPERIOD_OVERRIDE=FQ","FILING_STATUS=MR","SCALING_FORMAT=MLN","Sort=A","Dates=H","DateFormat=P","Fill=—","Direction=H","UseDPDF=Y")</f>
        <v>110</v>
      </c>
      <c r="E31" s="13" cm="1">
        <f t="array" ref="E31">_xll.BDH("CAT US Equity","IS_RESTRUCTURING_EXPENSES","FQ3 2019","FQ3 2019","Currency=USD","Period=FQ","BEST_FPERIOD_OVERRIDE=FQ","FILING_STATUS=MR","SCALING_FORMAT=MLN","Sort=A","Dates=H","DateFormat=P","Fill=—","Direction=H","UseDPDF=Y")</f>
        <v>31</v>
      </c>
      <c r="F31" s="13" cm="1">
        <f t="array" ref="F31">_xll.BDH("CAT US Equity","IS_RESTRUCTURING_EXPENSES","FQ4 2019","FQ4 2019","Currency=USD","Period=FQ","BEST_FPERIOD_OVERRIDE=FQ","FILING_STATUS=MR","SCALING_FORMAT=MLN","Sort=A","Dates=H","DateFormat=P","Fill=—","Direction=H","UseDPDF=Y")</f>
        <v>54</v>
      </c>
      <c r="G31" s="13" cm="1">
        <f t="array" ref="G31">_xll.BDH("CAT US Equity","IS_RESTRUCTURING_EXPENSES","FQ1 2020","FQ1 2020","Currency=USD","Period=FQ","BEST_FPERIOD_OVERRIDE=FQ","FILING_STATUS=MR","SCALING_FORMAT=MLN","Sort=A","Dates=H","DateFormat=P","Fill=—","Direction=H","UseDPDF=Y")</f>
        <v>37</v>
      </c>
      <c r="H31" s="13" cm="1">
        <f t="array" ref="H31">_xll.BDH("CAT US Equity","IS_RESTRUCTURING_EXPENSES","FQ2 2020","FQ2 2020","Currency=USD","Period=FQ","BEST_FPERIOD_OVERRIDE=FQ","FILING_STATUS=MR","SCALING_FORMAT=MLN","Sort=A","Dates=H","DateFormat=P","Fill=—","Direction=H","UseDPDF=Y")</f>
        <v>147</v>
      </c>
      <c r="I31" s="13" cm="1">
        <f t="array" ref="I31">_xll.BDH("CAT US Equity","IS_RESTRUCTURING_EXPENSES","FQ3 2020","FQ3 2020","Currency=USD","Period=FQ","BEST_FPERIOD_OVERRIDE=FQ","FILING_STATUS=MR","SCALING_FORMAT=MLN","Sort=A","Dates=H","DateFormat=P","Fill=—","Direction=H","UseDPDF=Y")</f>
        <v>112</v>
      </c>
      <c r="J31" s="13" cm="1">
        <f t="array" ref="J31">_xll.BDH("CAT US Equity","IS_RESTRUCTURING_EXPENSES","FQ4 2020","FQ4 2020","Currency=USD","Period=FQ","BEST_FPERIOD_OVERRIDE=FQ","FILING_STATUS=MR","SCALING_FORMAT=MLN","Sort=A","Dates=H","DateFormat=P","Fill=—","Direction=H","UseDPDF=Y")</f>
        <v>58</v>
      </c>
      <c r="K31" s="13" cm="1">
        <f t="array" ref="K31">_xll.BDH("CAT US Equity","IS_RESTRUCTURING_EXPENSES","FQ1 2021","FQ1 2021","Currency=USD","Period=FQ","BEST_FPERIOD_OVERRIDE=FQ","FILING_STATUS=MR","SCALING_FORMAT=MLN","Sort=A","Dates=H","DateFormat=P","Fill=—","Direction=H","UseDPDF=Y")</f>
        <v>64</v>
      </c>
      <c r="L31" s="13" cm="1">
        <f t="array" ref="L31">_xll.BDH("CAT US Equity","IS_RESTRUCTURING_EXPENSES","FQ2 2021","FQ2 2021","Currency=USD","Period=FQ","BEST_FPERIOD_OVERRIDE=FQ","FILING_STATUS=MR","SCALING_FORMAT=MLN","Sort=A","Dates=H","DateFormat=P","Fill=—","Direction=H","UseDPDF=Y")</f>
        <v>32</v>
      </c>
      <c r="M31" s="13" cm="1">
        <f t="array" ref="M31">_xll.BDH("CAT US Equity","IS_RESTRUCTURING_EXPENSES","FQ3 2021","FQ3 2021","Currency=USD","Period=FQ","BEST_FPERIOD_OVERRIDE=FQ","FILING_STATUS=MR","SCALING_FORMAT=MLN","Sort=A","Dates=H","DateFormat=P","Fill=—","Direction=H","UseDPDF=Y")</f>
        <v>35</v>
      </c>
      <c r="N31" s="13" cm="1">
        <f t="array" ref="N31">_xll.BDH("CAT US Equity","IS_RESTRUCTURING_EXPENSES","FQ4 2021","FQ4 2021","Currency=USD","Period=FQ","BEST_FPERIOD_OVERRIDE=FQ","FILING_STATUS=MR","SCALING_FORMAT=MLN","Sort=A","Dates=H","DateFormat=P","Fill=—","Direction=H","UseDPDF=Y")</f>
        <v>-34</v>
      </c>
      <c r="O31" s="13" cm="1">
        <f t="array" ref="O31">_xll.BDH("CAT US Equity","IS_RESTRUCTURING_EXPENSES","FQ1 2022","FQ1 2022","Currency=USD","Period=FQ","BEST_FPERIOD_OVERRIDE=FQ","FILING_STATUS=MR","SCALING_FORMAT=MLN","Sort=A","Dates=H","DateFormat=P","Fill=—","Direction=H","UseDPDF=Y")</f>
        <v>13</v>
      </c>
      <c r="P31" s="13" cm="1">
        <f t="array" ref="P31">_xll.BDH("CAT US Equity","IS_RESTRUCTURING_EXPENSES","FQ2 2022","FQ2 2022","Currency=USD","Period=FQ","BEST_FPERIOD_OVERRIDE=FQ","FILING_STATUS=MR","SCALING_FORMAT=MLN","Sort=A","Dates=H","DateFormat=P","Fill=—","Direction=H","UseDPDF=Y")</f>
        <v>23</v>
      </c>
      <c r="Q31" s="13" cm="1">
        <f t="array" ref="Q31">_xll.BDH("CAT US Equity","IS_RESTRUCTURING_EXPENSES","FQ3 2022","FQ3 2022","Currency=USD","Period=FQ","BEST_FPERIOD_OVERRIDE=FQ","FILING_STATUS=MR","SCALING_FORMAT=MLN","Sort=A","Dates=H","DateFormat=P","Fill=—","Direction=H","UseDPDF=Y")</f>
        <v>49</v>
      </c>
      <c r="R31" s="13" cm="1">
        <f t="array" ref="R31">_xll.BDH("CAT US Equity","IS_RESTRUCTURING_EXPENSES","FQ4 2022","FQ4 2022","Currency=USD","Period=FQ","BEST_FPERIOD_OVERRIDE=FQ","FILING_STATUS=MR","SCALING_FORMAT=MLN","Sort=A","Dates=H","DateFormat=P","Fill=—","Direction=H","UseDPDF=Y")</f>
        <v>209</v>
      </c>
      <c r="S31" s="13" cm="1">
        <f t="array" ref="S31">_xll.BDH("CAT US Equity","IS_RESTRUCTURING_EXPENSES","FQ1 2023","FQ1 2023","Currency=USD","Period=FQ","BEST_FPERIOD_OVERRIDE=FQ","FILING_STATUS=MR","SCALING_FORMAT=MLN","Sort=A","Dates=H","DateFormat=P","Fill=—","Direction=H","UseDPDF=Y")</f>
        <v>611</v>
      </c>
      <c r="T31" s="13" cm="1">
        <f t="array" ref="T31">_xll.BDH("CAT US Equity","IS_RESTRUCTURING_EXPENSES","FQ2 2023","FQ2 2023","Currency=USD","Period=FQ","BEST_FPERIOD_OVERRIDE=FQ","FILING_STATUS=MR","SCALING_FORMAT=MLN","Sort=A","Dates=H","DateFormat=P","Fill=—","Direction=H","UseDPDF=Y")</f>
        <v>29</v>
      </c>
      <c r="U31" s="13" cm="1">
        <f t="array" ref="U31">_xll.BDH("CAT US Equity","IS_RESTRUCTURING_EXPENSES","FQ3 2023","FQ3 2023","Currency=USD","Period=FQ","BEST_FPERIOD_OVERRIDE=FQ","FILING_STATUS=MR","SCALING_FORMAT=MLN","Sort=A","Dates=H","DateFormat=P","Fill=—","Direction=H","UseDPDF=Y")</f>
        <v>46</v>
      </c>
      <c r="V31" s="13" cm="1">
        <f t="array" ref="V31">_xll.BDH("CAT US Equity","IS_RESTRUCTURING_EXPENSES","FQ4 2023","FQ4 2023","Currency=USD","Period=FQ","BEST_FPERIOD_OVERRIDE=FQ","FILING_STATUS=MR","SCALING_FORMAT=MLN","Sort=A","Dates=H","DateFormat=P","Fill=—","Direction=H","UseDPDF=Y")</f>
        <v>92</v>
      </c>
      <c r="W31" s="13" cm="1">
        <f t="array" ref="W31">_xll.BDH("CAT US Equity","IS_RESTRUCTURING_EXPENSES","FQ1 2024","FQ1 2024","Currency=USD","Period=FQ","BEST_FPERIOD_OVERRIDE=FQ","FILING_STATUS=MR","SCALING_FORMAT=MLN","Sort=A","Dates=H","DateFormat=P","Fill=—","Direction=H","UseDPDF=Y")</f>
        <v>-6</v>
      </c>
      <c r="X31" s="13" cm="1">
        <f t="array" ref="X31">_xll.BDH("CAT US Equity","IS_RESTRUCTURING_EXPENSES","FQ2 2024","FQ2 2024","Currency=USD","Period=FQ","BEST_FPERIOD_OVERRIDE=FQ","FILING_STATUS=MR","SCALING_FORMAT=MLN","Sort=A","Dates=H","DateFormat=P","Fill=—","Direction=H","UseDPDF=Y")</f>
        <v>258</v>
      </c>
      <c r="Y31" s="13" cm="1">
        <f t="array" ref="Y31">_xll.BDH("CAT US Equity","IS_RESTRUCTURING_EXPENSES","FQ3 2024","FQ3 2024","Currency=USD","Period=FQ","BEST_FPERIOD_OVERRIDE=FQ","FILING_STATUS=MR","SCALING_FORMAT=MLN","Sort=A","Dates=H","DateFormat=P","Fill=—","Direction=H","UseDPDF=Y")</f>
        <v>70</v>
      </c>
      <c r="Z31" s="13" cm="1">
        <f t="array" ref="Z31">_xll.BDH("CAT US Equity","IS_RESTRUCTURING_EXPENSES","FQ4 2024","FQ4 2024","Currency=USD","Period=FQ","BEST_FPERIOD_OVERRIDE=FQ","FILING_STATUS=MR","SCALING_FORMAT=MLN","Sort=A","Dates=H","DateFormat=P","Fill=—","Direction=H","UseDPDF=Y")</f>
        <v>37</v>
      </c>
      <c r="AA31" s="13" cm="1">
        <f t="array" ref="AA31">_xll.BDH("CAT US Equity","IS_RESTRUCTURING_EXPENSES","FQ1 2025","FQ1 2025","Currency=USD","Period=FQ","BEST_FPERIOD_OVERRIDE=FQ","FILING_STATUS=MR","SCALING_FORMAT=MLN","Sort=A","Dates=H","DateFormat=P","Fill=—","Direction=H","UseDPDF=Y")</f>
        <v>33</v>
      </c>
      <c r="AB31" s="13" cm="1">
        <f t="array" ref="AB31">_xll.BDH("CAT US Equity","IS_RESTRUCTURING_EXPENSES","FQ2 2025","FQ2 2025","Currency=USD","Period=FQ","BEST_FPERIOD_OVERRIDE=FQ","FILING_STATUS=MR","SCALING_FORMAT=MLN","Sort=A","Dates=H","DateFormat=P","Fill=—","Direction=H","UseDPDF=Y")</f>
        <v>56</v>
      </c>
      <c r="AC31" s="13" cm="1">
        <f t="array" ref="AC31">_xll.BDH("CAT US Equity","IS_RESTRUCTURING_EXPENSES","FQ3 2025","FQ3 2025","Currency=USD","Period=FQ","BEST_FPERIOD_OVERRIDE=FQ","FILING_STATUS=MR","SCALING_FORMAT=MLN","Sort=A","Dates=H","DateFormat=P","Fill=—","Direction=H","UseDPDF=Y")</f>
        <v>37</v>
      </c>
      <c r="AD31" s="13" cm="1">
        <f t="array" ref="AD31">_xll.BDH("CAT US Equity","IS_RESTRUCTURING_EXPENSES","FQ4 2025","FQ4 2025","Currency=USD","Period=FQ","BEST_FPERIOD_OVERRIDE=FQ","FILING_STATUS=MR","SCALING_FORMAT=MLN","Sort=A","Dates=H","DateFormat=P","Fill=—","Direction=H","UseDPDF=Y")</f>
        <v>319</v>
      </c>
      <c r="AE31" s="13"/>
      <c r="AF31" s="13"/>
    </row>
    <row r="32" spans="1:32" x14ac:dyDescent="0.25">
      <c r="A32" s="10" t="s">
        <v>117</v>
      </c>
      <c r="B32" s="10" t="s">
        <v>118</v>
      </c>
      <c r="C32" s="13" t="str" cm="1">
        <f t="array" ref="C32">_xll.BDH("CAT US Equity","IS_GAIN_LOSS_ON_INVESTMENTS","FQ1 2019","FQ1 2019","Currency=USD","Period=FQ","BEST_FPERIOD_OVERRIDE=FQ","FILING_STATUS=MR","SCALING_FORMAT=MLN","Sort=A","Dates=H","DateFormat=P","Fill=—","Direction=H","UseDPDF=Y")</f>
        <v>—</v>
      </c>
      <c r="D32" s="13" t="str" cm="1">
        <f t="array" ref="D32">_xll.BDH("CAT US Equity","IS_GAIN_LOSS_ON_INVESTMENTS","FQ2 2019","FQ2 2019","Currency=USD","Period=FQ","BEST_FPERIOD_OVERRIDE=FQ","FILING_STATUS=MR","SCALING_FORMAT=MLN","Sort=A","Dates=H","DateFormat=P","Fill=—","Direction=H","UseDPDF=Y")</f>
        <v>—</v>
      </c>
      <c r="E32" s="13" t="str" cm="1">
        <f t="array" ref="E32">_xll.BDH("CAT US Equity","IS_GAIN_LOSS_ON_INVESTMENTS","FQ3 2019","FQ3 2019","Currency=USD","Period=FQ","BEST_FPERIOD_OVERRIDE=FQ","FILING_STATUS=MR","SCALING_FORMAT=MLN","Sort=A","Dates=H","DateFormat=P","Fill=—","Direction=H","UseDPDF=Y")</f>
        <v>—</v>
      </c>
      <c r="F32" s="13" t="str" cm="1">
        <f t="array" ref="F32">_xll.BDH("CAT US Equity","IS_GAIN_LOSS_ON_INVESTMENTS","FQ4 2019","FQ4 2019","Currency=USD","Period=FQ","BEST_FPERIOD_OVERRIDE=FQ","FILING_STATUS=MR","SCALING_FORMAT=MLN","Sort=A","Dates=H","DateFormat=P","Fill=—","Direction=H","UseDPDF=Y")</f>
        <v>—</v>
      </c>
      <c r="G32" s="13" t="str" cm="1">
        <f t="array" ref="G32">_xll.BDH("CAT US Equity","IS_GAIN_LOSS_ON_INVESTMENTS","FQ1 2020","FQ1 2020","Currency=USD","Period=FQ","BEST_FPERIOD_OVERRIDE=FQ","FILING_STATUS=MR","SCALING_FORMAT=MLN","Sort=A","Dates=H","DateFormat=P","Fill=—","Direction=H","UseDPDF=Y")</f>
        <v>—</v>
      </c>
      <c r="H32" s="13" t="str" cm="1">
        <f t="array" ref="H32">_xll.BDH("CAT US Equity","IS_GAIN_LOSS_ON_INVESTMENTS","FQ2 2020","FQ2 2020","Currency=USD","Period=FQ","BEST_FPERIOD_OVERRIDE=FQ","FILING_STATUS=MR","SCALING_FORMAT=MLN","Sort=A","Dates=H","DateFormat=P","Fill=—","Direction=H","UseDPDF=Y")</f>
        <v>—</v>
      </c>
      <c r="I32" s="13" t="str" cm="1">
        <f t="array" ref="I32">_xll.BDH("CAT US Equity","IS_GAIN_LOSS_ON_INVESTMENTS","FQ3 2020","FQ3 2020","Currency=USD","Period=FQ","BEST_FPERIOD_OVERRIDE=FQ","FILING_STATUS=MR","SCALING_FORMAT=MLN","Sort=A","Dates=H","DateFormat=P","Fill=—","Direction=H","UseDPDF=Y")</f>
        <v>—</v>
      </c>
      <c r="J32" s="13" t="str" cm="1">
        <f t="array" ref="J32">_xll.BDH("CAT US Equity","IS_GAIN_LOSS_ON_INVESTMENTS","FQ4 2020","FQ4 2020","Currency=USD","Period=FQ","BEST_FPERIOD_OVERRIDE=FQ","FILING_STATUS=MR","SCALING_FORMAT=MLN","Sort=A","Dates=H","DateFormat=P","Fill=—","Direction=H","UseDPDF=Y")</f>
        <v>—</v>
      </c>
      <c r="K32" s="13" t="str" cm="1">
        <f t="array" ref="K32">_xll.BDH("CAT US Equity","IS_GAIN_LOSS_ON_INVESTMENTS","FQ1 2021","FQ1 2021","Currency=USD","Period=FQ","BEST_FPERIOD_OVERRIDE=FQ","FILING_STATUS=MR","SCALING_FORMAT=MLN","Sort=A","Dates=H","DateFormat=P","Fill=—","Direction=H","UseDPDF=Y")</f>
        <v>—</v>
      </c>
      <c r="L32" s="13" t="str" cm="1">
        <f t="array" ref="L32">_xll.BDH("CAT US Equity","IS_GAIN_LOSS_ON_INVESTMENTS","FQ2 2021","FQ2 2021","Currency=USD","Period=FQ","BEST_FPERIOD_OVERRIDE=FQ","FILING_STATUS=MR","SCALING_FORMAT=MLN","Sort=A","Dates=H","DateFormat=P","Fill=—","Direction=H","UseDPDF=Y")</f>
        <v>—</v>
      </c>
      <c r="M32" s="13" t="str" cm="1">
        <f t="array" ref="M32">_xll.BDH("CAT US Equity","IS_GAIN_LOSS_ON_INVESTMENTS","FQ3 2021","FQ3 2021","Currency=USD","Period=FQ","BEST_FPERIOD_OVERRIDE=FQ","FILING_STATUS=MR","SCALING_FORMAT=MLN","Sort=A","Dates=H","DateFormat=P","Fill=—","Direction=H","UseDPDF=Y")</f>
        <v>—</v>
      </c>
      <c r="N32" s="13" t="str" cm="1">
        <f t="array" ref="N32">_xll.BDH("CAT US Equity","IS_GAIN_LOSS_ON_INVESTMENTS","FQ4 2021","FQ4 2021","Currency=USD","Period=FQ","BEST_FPERIOD_OVERRIDE=FQ","FILING_STATUS=MR","SCALING_FORMAT=MLN","Sort=A","Dates=H","DateFormat=P","Fill=—","Direction=H","UseDPDF=Y")</f>
        <v>—</v>
      </c>
      <c r="O32" s="13" t="str" cm="1">
        <f t="array" ref="O32">_xll.BDH("CAT US Equity","IS_GAIN_LOSS_ON_INVESTMENTS","FQ1 2022","FQ1 2022","Currency=USD","Period=FQ","BEST_FPERIOD_OVERRIDE=FQ","FILING_STATUS=MR","SCALING_FORMAT=MLN","Sort=A","Dates=H","DateFormat=P","Fill=—","Direction=H","UseDPDF=Y")</f>
        <v>—</v>
      </c>
      <c r="P32" s="13" cm="1">
        <f t="array" ref="P32">_xll.BDH("CAT US Equity","IS_GAIN_LOSS_ON_INVESTMENTS","FQ2 2022","FQ2 2022","Currency=USD","Period=FQ","BEST_FPERIOD_OVERRIDE=FQ","FILING_STATUS=MR","SCALING_FORMAT=MLN","Sort=A","Dates=H","DateFormat=P","Fill=—","Direction=H","UseDPDF=Y")</f>
        <v>47</v>
      </c>
      <c r="Q32" s="13" t="str" cm="1">
        <f t="array" ref="Q32">_xll.BDH("CAT US Equity","IS_GAIN_LOSS_ON_INVESTMENTS","FQ3 2022","FQ3 2022","Currency=USD","Period=FQ","BEST_FPERIOD_OVERRIDE=FQ","FILING_STATUS=MR","SCALING_FORMAT=MLN","Sort=A","Dates=H","DateFormat=P","Fill=—","Direction=H","UseDPDF=Y")</f>
        <v>—</v>
      </c>
      <c r="R32" s="13" t="str" cm="1">
        <f t="array" ref="R32">_xll.BDH("CAT US Equity","IS_GAIN_LOSS_ON_INVESTMENTS","FQ4 2022","FQ4 2022","Currency=USD","Period=FQ","BEST_FPERIOD_OVERRIDE=FQ","FILING_STATUS=MR","SCALING_FORMAT=MLN","Sort=A","Dates=H","DateFormat=P","Fill=—","Direction=H","UseDPDF=Y")</f>
        <v>—</v>
      </c>
      <c r="S32" s="13" t="str" cm="1">
        <f t="array" ref="S32">_xll.BDH("CAT US Equity","IS_GAIN_LOSS_ON_INVESTMENTS","FQ1 2023","FQ1 2023","Currency=USD","Period=FQ","BEST_FPERIOD_OVERRIDE=FQ","FILING_STATUS=MR","SCALING_FORMAT=MLN","Sort=A","Dates=H","DateFormat=P","Fill=—","Direction=H","UseDPDF=Y")</f>
        <v>—</v>
      </c>
      <c r="T32" s="13" t="str" cm="1">
        <f t="array" ref="T32">_xll.BDH("CAT US Equity","IS_GAIN_LOSS_ON_INVESTMENTS","FQ2 2023","FQ2 2023","Currency=USD","Period=FQ","BEST_FPERIOD_OVERRIDE=FQ","FILING_STATUS=MR","SCALING_FORMAT=MLN","Sort=A","Dates=H","DateFormat=P","Fill=—","Direction=H","UseDPDF=Y")</f>
        <v>—</v>
      </c>
      <c r="U32" s="13" t="str" cm="1">
        <f t="array" ref="U32">_xll.BDH("CAT US Equity","IS_GAIN_LOSS_ON_INVESTMENTS","FQ3 2023","FQ3 2023","Currency=USD","Period=FQ","BEST_FPERIOD_OVERRIDE=FQ","FILING_STATUS=MR","SCALING_FORMAT=MLN","Sort=A","Dates=H","DateFormat=P","Fill=—","Direction=H","UseDPDF=Y")</f>
        <v>—</v>
      </c>
      <c r="V32" s="13" t="str" cm="1">
        <f t="array" ref="V32">_xll.BDH("CAT US Equity","IS_GAIN_LOSS_ON_INVESTMENTS","FQ4 2023","FQ4 2023","Currency=USD","Period=FQ","BEST_FPERIOD_OVERRIDE=FQ","FILING_STATUS=MR","SCALING_FORMAT=MLN","Sort=A","Dates=H","DateFormat=P","Fill=—","Direction=H","UseDPDF=Y")</f>
        <v>—</v>
      </c>
      <c r="W32" s="13" t="str" cm="1">
        <f t="array" ref="W32">_xll.BDH("CAT US Equity","IS_GAIN_LOSS_ON_INVESTMENTS","FQ1 2024","FQ1 2024","Currency=USD","Period=FQ","BEST_FPERIOD_OVERRIDE=FQ","FILING_STATUS=MR","SCALING_FORMAT=MLN","Sort=A","Dates=H","DateFormat=P","Fill=—","Direction=H","UseDPDF=Y")</f>
        <v>—</v>
      </c>
      <c r="X32" s="13" t="str" cm="1">
        <f t="array" ref="X32">_xll.BDH("CAT US Equity","IS_GAIN_LOSS_ON_INVESTMENTS","FQ2 2024","FQ2 2024","Currency=USD","Period=FQ","BEST_FPERIOD_OVERRIDE=FQ","FILING_STATUS=MR","SCALING_FORMAT=MLN","Sort=A","Dates=H","DateFormat=P","Fill=—","Direction=H","UseDPDF=Y")</f>
        <v>—</v>
      </c>
      <c r="Y32" s="13" t="str" cm="1">
        <f t="array" ref="Y32">_xll.BDH("CAT US Equity","IS_GAIN_LOSS_ON_INVESTMENTS","FQ3 2024","FQ3 2024","Currency=USD","Period=FQ","BEST_FPERIOD_OVERRIDE=FQ","FILING_STATUS=MR","SCALING_FORMAT=MLN","Sort=A","Dates=H","DateFormat=P","Fill=—","Direction=H","UseDPDF=Y")</f>
        <v>—</v>
      </c>
      <c r="Z32" s="13" t="str" cm="1">
        <f t="array" ref="Z32">_xll.BDH("CAT US Equity","IS_GAIN_LOSS_ON_INVESTMENTS","FQ4 2024","FQ4 2024","Currency=USD","Period=FQ","BEST_FPERIOD_OVERRIDE=FQ","FILING_STATUS=MR","SCALING_FORMAT=MLN","Sort=A","Dates=H","DateFormat=P","Fill=—","Direction=H","UseDPDF=Y")</f>
        <v>—</v>
      </c>
      <c r="AA32" s="13" t="str" cm="1">
        <f t="array" ref="AA32">_xll.BDH("CAT US Equity","IS_GAIN_LOSS_ON_INVESTMENTS","FQ1 2025","FQ1 2025","Currency=USD","Period=FQ","BEST_FPERIOD_OVERRIDE=FQ","FILING_STATUS=MR","SCALING_FORMAT=MLN","Sort=A","Dates=H","DateFormat=P","Fill=—","Direction=H","UseDPDF=Y")</f>
        <v>—</v>
      </c>
      <c r="AB32" s="13" t="str" cm="1">
        <f t="array" ref="AB32">_xll.BDH("CAT US Equity","IS_GAIN_LOSS_ON_INVESTMENTS","FQ2 2025","FQ2 2025","Currency=USD","Period=FQ","BEST_FPERIOD_OVERRIDE=FQ","FILING_STATUS=MR","SCALING_FORMAT=MLN","Sort=A","Dates=H","DateFormat=P","Fill=—","Direction=H","UseDPDF=Y")</f>
        <v>—</v>
      </c>
      <c r="AC32" s="13" t="str" cm="1">
        <f t="array" ref="AC32">_xll.BDH("CAT US Equity","IS_GAIN_LOSS_ON_INVESTMENTS","FQ3 2025","FQ3 2025","Currency=USD","Period=FQ","BEST_FPERIOD_OVERRIDE=FQ","FILING_STATUS=MR","SCALING_FORMAT=MLN","Sort=A","Dates=H","DateFormat=P","Fill=—","Direction=H","UseDPDF=Y")</f>
        <v>—</v>
      </c>
      <c r="AD32" s="13" t="str" cm="1">
        <f t="array" ref="AD32">_xll.BDH("CAT US Equity","IS_GAIN_LOSS_ON_INVESTMENTS","FQ4 2025","FQ4 2025","Currency=USD","Period=FQ","BEST_FPERIOD_OVERRIDE=FQ","FILING_STATUS=MR","SCALING_FORMAT=MLN","Sort=A","Dates=H","DateFormat=P","Fill=—","Direction=H","UseDPDF=Y")</f>
        <v>—</v>
      </c>
      <c r="AE32" s="13"/>
      <c r="AF32" s="13"/>
    </row>
    <row r="33" spans="1:32" x14ac:dyDescent="0.25">
      <c r="A33" s="10" t="s">
        <v>119</v>
      </c>
      <c r="B33" s="10" t="s">
        <v>120</v>
      </c>
      <c r="C33" s="13" t="str" cm="1">
        <f t="array" ref="C33">_xll.BDH("CAT US Equity","IS_OTHER_ONE_TIME_ITEMS","FQ1 2019","FQ1 2019","Currency=USD","Period=FQ","BEST_FPERIOD_OVERRIDE=FQ","FILING_STATUS=MR","SCALING_FORMAT=MLN","Sort=A","Dates=H","DateFormat=P","Fill=—","Direction=H","UseDPDF=Y")</f>
        <v>—</v>
      </c>
      <c r="D33" s="13" t="str" cm="1">
        <f t="array" ref="D33">_xll.BDH("CAT US Equity","IS_OTHER_ONE_TIME_ITEMS","FQ2 2019","FQ2 2019","Currency=USD","Period=FQ","BEST_FPERIOD_OVERRIDE=FQ","FILING_STATUS=MR","SCALING_FORMAT=MLN","Sort=A","Dates=H","DateFormat=P","Fill=—","Direction=H","UseDPDF=Y")</f>
        <v>—</v>
      </c>
      <c r="E33" s="13" t="str" cm="1">
        <f t="array" ref="E33">_xll.BDH("CAT US Equity","IS_OTHER_ONE_TIME_ITEMS","FQ3 2019","FQ3 2019","Currency=USD","Period=FQ","BEST_FPERIOD_OVERRIDE=FQ","FILING_STATUS=MR","SCALING_FORMAT=MLN","Sort=A","Dates=H","DateFormat=P","Fill=—","Direction=H","UseDPDF=Y")</f>
        <v>—</v>
      </c>
      <c r="F33" s="13" cm="1">
        <f t="array" ref="F33">_xll.BDH("CAT US Equity","IS_OTHER_ONE_TIME_ITEMS","FQ4 2019","FQ4 2019","Currency=USD","Period=FQ","BEST_FPERIOD_OVERRIDE=FQ","FILING_STATUS=MR","SCALING_FORMAT=MLN","Sort=A","Dates=H","DateFormat=P","Fill=—","Direction=H","UseDPDF=Y")</f>
        <v>468</v>
      </c>
      <c r="G33" s="13" cm="1">
        <f t="array" ref="G33">_xll.BDH("CAT US Equity","IS_OTHER_ONE_TIME_ITEMS","FQ1 2020","FQ1 2020","Currency=USD","Period=FQ","BEST_FPERIOD_OVERRIDE=FQ","FILING_STATUS=MR","SCALING_FORMAT=MLN","Sort=A","Dates=H","DateFormat=P","Fill=—","Direction=H","UseDPDF=Y")</f>
        <v>-254</v>
      </c>
      <c r="H33" s="13" t="str" cm="1">
        <f t="array" ref="H33">_xll.BDH("CAT US Equity","IS_OTHER_ONE_TIME_ITEMS","FQ2 2020","FQ2 2020","Currency=USD","Period=FQ","BEST_FPERIOD_OVERRIDE=FQ","FILING_STATUS=MR","SCALING_FORMAT=MLN","Sort=A","Dates=H","DateFormat=P","Fill=—","Direction=H","UseDPDF=Y")</f>
        <v>—</v>
      </c>
      <c r="I33" s="13" cm="1">
        <f t="array" ref="I33">_xll.BDH("CAT US Equity","IS_OTHER_ONE_TIME_ITEMS","FQ3 2020","FQ3 2020","Currency=USD","Period=FQ","BEST_FPERIOD_OVERRIDE=FQ","FILING_STATUS=MR","SCALING_FORMAT=MLN","Sort=A","Dates=H","DateFormat=P","Fill=—","Direction=H","UseDPDF=Y")</f>
        <v>77</v>
      </c>
      <c r="J33" s="13" cm="1">
        <f t="array" ref="J33">_xll.BDH("CAT US Equity","IS_OTHER_ONE_TIME_ITEMS","FQ4 2020","FQ4 2020","Currency=USD","Period=FQ","BEST_FPERIOD_OVERRIDE=FQ","FILING_STATUS=MR","SCALING_FORMAT=MLN","Sort=A","Dates=H","DateFormat=P","Fill=—","Direction=H","UseDPDF=Y")</f>
        <v>438</v>
      </c>
      <c r="K33" s="13" t="str" cm="1">
        <f t="array" ref="K33">_xll.BDH("CAT US Equity","IS_OTHER_ONE_TIME_ITEMS","FQ1 2021","FQ1 2021","Currency=USD","Period=FQ","BEST_FPERIOD_OVERRIDE=FQ","FILING_STATUS=MR","SCALING_FORMAT=MLN","Sort=A","Dates=H","DateFormat=P","Fill=—","Direction=H","UseDPDF=Y")</f>
        <v>—</v>
      </c>
      <c r="L33" s="13" t="str" cm="1">
        <f t="array" ref="L33">_xll.BDH("CAT US Equity","IS_OTHER_ONE_TIME_ITEMS","FQ2 2021","FQ2 2021","Currency=USD","Period=FQ","BEST_FPERIOD_OVERRIDE=FQ","FILING_STATUS=MR","SCALING_FORMAT=MLN","Sort=A","Dates=H","DateFormat=P","Fill=—","Direction=H","UseDPDF=Y")</f>
        <v>—</v>
      </c>
      <c r="M33" s="13" t="str" cm="1">
        <f t="array" ref="M33">_xll.BDH("CAT US Equity","IS_OTHER_ONE_TIME_ITEMS","FQ3 2021","FQ3 2021","Currency=USD","Period=FQ","BEST_FPERIOD_OVERRIDE=FQ","FILING_STATUS=MR","SCALING_FORMAT=MLN","Sort=A","Dates=H","DateFormat=P","Fill=—","Direction=H","UseDPDF=Y")</f>
        <v>—</v>
      </c>
      <c r="N33" s="13" cm="1">
        <f t="array" ref="N33">_xll.BDH("CAT US Equity","IS_OTHER_ONE_TIME_ITEMS","FQ4 2021","FQ4 2021","Currency=USD","Period=FQ","BEST_FPERIOD_OVERRIDE=FQ","FILING_STATUS=MR","SCALING_FORMAT=MLN","Sort=A","Dates=H","DateFormat=P","Fill=—","Direction=H","UseDPDF=Y")</f>
        <v>-833</v>
      </c>
      <c r="O33" s="13" t="str" cm="1">
        <f t="array" ref="O33">_xll.BDH("CAT US Equity","IS_OTHER_ONE_TIME_ITEMS","FQ1 2022","FQ1 2022","Currency=USD","Period=FQ","BEST_FPERIOD_OVERRIDE=FQ","FILING_STATUS=MR","SCALING_FORMAT=MLN","Sort=A","Dates=H","DateFormat=P","Fill=—","Direction=H","UseDPDF=Y")</f>
        <v>—</v>
      </c>
      <c r="P33" s="13" t="str" cm="1">
        <f t="array" ref="P33">_xll.BDH("CAT US Equity","IS_OTHER_ONE_TIME_ITEMS","FQ2 2022","FQ2 2022","Currency=USD","Period=FQ","BEST_FPERIOD_OVERRIDE=FQ","FILING_STATUS=MR","SCALING_FORMAT=MLN","Sort=A","Dates=H","DateFormat=P","Fill=—","Direction=H","UseDPDF=Y")</f>
        <v>—</v>
      </c>
      <c r="Q33" s="13" t="str" cm="1">
        <f t="array" ref="Q33">_xll.BDH("CAT US Equity","IS_OTHER_ONE_TIME_ITEMS","FQ3 2022","FQ3 2022","Currency=USD","Period=FQ","BEST_FPERIOD_OVERRIDE=FQ","FILING_STATUS=MR","SCALING_FORMAT=MLN","Sort=A","Dates=H","DateFormat=P","Fill=—","Direction=H","UseDPDF=Y")</f>
        <v>—</v>
      </c>
      <c r="R33" s="13" t="str" cm="1">
        <f t="array" ref="R33">_xll.BDH("CAT US Equity","IS_OTHER_ONE_TIME_ITEMS","FQ4 2022","FQ4 2022","Currency=USD","Period=FQ","BEST_FPERIOD_OVERRIDE=FQ","FILING_STATUS=MR","SCALING_FORMAT=MLN","Sort=A","Dates=H","DateFormat=P","Fill=—","Direction=H","UseDPDF=Y")</f>
        <v>—</v>
      </c>
      <c r="S33" s="13" t="str" cm="1">
        <f t="array" ref="S33">_xll.BDH("CAT US Equity","IS_OTHER_ONE_TIME_ITEMS","FQ1 2023","FQ1 2023","Currency=USD","Period=FQ","BEST_FPERIOD_OVERRIDE=FQ","FILING_STATUS=MR","SCALING_FORMAT=MLN","Sort=A","Dates=H","DateFormat=P","Fill=—","Direction=H","UseDPDF=Y")</f>
        <v>—</v>
      </c>
      <c r="T33" s="13" t="str" cm="1">
        <f t="array" ref="T33">_xll.BDH("CAT US Equity","IS_OTHER_ONE_TIME_ITEMS","FQ2 2023","FQ2 2023","Currency=USD","Period=FQ","BEST_FPERIOD_OVERRIDE=FQ","FILING_STATUS=MR","SCALING_FORMAT=MLN","Sort=A","Dates=H","DateFormat=P","Fill=—","Direction=H","UseDPDF=Y")</f>
        <v>—</v>
      </c>
      <c r="U33" s="13" t="str" cm="1">
        <f t="array" ref="U33">_xll.BDH("CAT US Equity","IS_OTHER_ONE_TIME_ITEMS","FQ3 2023","FQ3 2023","Currency=USD","Period=FQ","BEST_FPERIOD_OVERRIDE=FQ","FILING_STATUS=MR","SCALING_FORMAT=MLN","Sort=A","Dates=H","DateFormat=P","Fill=—","Direction=H","UseDPDF=Y")</f>
        <v>—</v>
      </c>
      <c r="V33" s="13" cm="1">
        <f t="array" ref="V33">_xll.BDH("CAT US Equity","IS_OTHER_ONE_TIME_ITEMS","FQ4 2023","FQ4 2023","Currency=USD","Period=FQ","BEST_FPERIOD_OVERRIDE=FQ","FILING_STATUS=MR","SCALING_FORMAT=MLN","Sort=A","Dates=H","DateFormat=P","Fill=—","Direction=H","UseDPDF=Y")</f>
        <v>-97</v>
      </c>
      <c r="W33" s="13" t="str" cm="1">
        <f t="array" ref="W33">_xll.BDH("CAT US Equity","IS_OTHER_ONE_TIME_ITEMS","FQ1 2024","FQ1 2024","Currency=USD","Period=FQ","BEST_FPERIOD_OVERRIDE=FQ","FILING_STATUS=MR","SCALING_FORMAT=MLN","Sort=A","Dates=H","DateFormat=P","Fill=—","Direction=H","UseDPDF=Y")</f>
        <v>—</v>
      </c>
      <c r="X33" s="13" t="str" cm="1">
        <f t="array" ref="X33">_xll.BDH("CAT US Equity","IS_OTHER_ONE_TIME_ITEMS","FQ2 2024","FQ2 2024","Currency=USD","Period=FQ","BEST_FPERIOD_OVERRIDE=FQ","FILING_STATUS=MR","SCALING_FORMAT=MLN","Sort=A","Dates=H","DateFormat=P","Fill=—","Direction=H","UseDPDF=Y")</f>
        <v>—</v>
      </c>
      <c r="Y33" s="13" t="str" cm="1">
        <f t="array" ref="Y33">_xll.BDH("CAT US Equity","IS_OTHER_ONE_TIME_ITEMS","FQ3 2024","FQ3 2024","Currency=USD","Period=FQ","BEST_FPERIOD_OVERRIDE=FQ","FILING_STATUS=MR","SCALING_FORMAT=MLN","Sort=A","Dates=H","DateFormat=P","Fill=—","Direction=H","UseDPDF=Y")</f>
        <v>—</v>
      </c>
      <c r="Z33" s="13" cm="1">
        <f t="array" ref="Z33">_xll.BDH("CAT US Equity","IS_OTHER_ONE_TIME_ITEMS","FQ4 2024","FQ4 2024","Currency=USD","Period=FQ","BEST_FPERIOD_OVERRIDE=FQ","FILING_STATUS=MR","SCALING_FORMAT=MLN","Sort=A","Dates=H","DateFormat=P","Fill=—","Direction=H","UseDPDF=Y")</f>
        <v>-154</v>
      </c>
      <c r="AA33" s="13" t="str" cm="1">
        <f t="array" ref="AA33">_xll.BDH("CAT US Equity","IS_OTHER_ONE_TIME_ITEMS","FQ1 2025","FQ1 2025","Currency=USD","Period=FQ","BEST_FPERIOD_OVERRIDE=FQ","FILING_STATUS=MR","SCALING_FORMAT=MLN","Sort=A","Dates=H","DateFormat=P","Fill=—","Direction=H","UseDPDF=Y")</f>
        <v>—</v>
      </c>
      <c r="AB33" s="13" t="str" cm="1">
        <f t="array" ref="AB33">_xll.BDH("CAT US Equity","IS_OTHER_ONE_TIME_ITEMS","FQ2 2025","FQ2 2025","Currency=USD","Period=FQ","BEST_FPERIOD_OVERRIDE=FQ","FILING_STATUS=MR","SCALING_FORMAT=MLN","Sort=A","Dates=H","DateFormat=P","Fill=—","Direction=H","UseDPDF=Y")</f>
        <v>—</v>
      </c>
      <c r="AC33" s="13" t="str" cm="1">
        <f t="array" ref="AC33">_xll.BDH("CAT US Equity","IS_OTHER_ONE_TIME_ITEMS","FQ3 2025","FQ3 2025","Currency=USD","Period=FQ","BEST_FPERIOD_OVERRIDE=FQ","FILING_STATUS=MR","SCALING_FORMAT=MLN","Sort=A","Dates=H","DateFormat=P","Fill=—","Direction=H","UseDPDF=Y")</f>
        <v>—</v>
      </c>
      <c r="AD33" s="13" cm="1">
        <f t="array" ref="AD33">_xll.BDH("CAT US Equity","IS_OTHER_ONE_TIME_ITEMS","FQ4 2025","FQ4 2025","Currency=USD","Period=FQ","BEST_FPERIOD_OVERRIDE=FQ","FILING_STATUS=MR","SCALING_FORMAT=MLN","Sort=A","Dates=H","DateFormat=P","Fill=—","Direction=H","UseDPDF=Y")</f>
        <v>-294</v>
      </c>
      <c r="AE33" s="13"/>
      <c r="AF33" s="13"/>
    </row>
    <row r="34" spans="1:32" x14ac:dyDescent="0.25">
      <c r="A34" s="6" t="s">
        <v>121</v>
      </c>
      <c r="B34" s="6" t="s">
        <v>104</v>
      </c>
      <c r="C34" s="16" cm="1">
        <f t="array" ref="C34">_xll.BDH("CAT US Equity","PRETAX_INC","FQ1 2019","FQ1 2019","Currency=USD","Period=FQ","BEST_FPERIOD_OVERRIDE=FQ","FILING_STATUS=MR","SCALING_FORMAT=MLN","FA_ADJUSTED=GAAP","Sort=A","Dates=H","DateFormat=P","Fill=—","Direction=H","UseDPDF=Y")</f>
        <v>2264</v>
      </c>
      <c r="D34" s="16" cm="1">
        <f t="array" ref="D34">_xll.BDH("CAT US Equity","PRETAX_INC","FQ2 2019","FQ2 2019","Currency=USD","Period=FQ","BEST_FPERIOD_OVERRIDE=FQ","FILING_STATUS=MR","SCALING_FORMAT=MLN","FA_ADJUSTED=GAAP","Sort=A","Dates=H","DateFormat=P","Fill=—","Direction=H","UseDPDF=Y")</f>
        <v>2178</v>
      </c>
      <c r="E34" s="16" cm="1">
        <f t="array" ref="E34">_xll.BDH("CAT US Equity","PRETAX_INC","FQ3 2019","FQ3 2019","Currency=USD","Period=FQ","BEST_FPERIOD_OVERRIDE=FQ","FILING_STATUS=MR","SCALING_FORMAT=MLN","FA_ADJUSTED=GAAP","Sort=A","Dates=H","DateFormat=P","Fill=—","Direction=H","UseDPDF=Y")</f>
        <v>2005</v>
      </c>
      <c r="F34" s="16" cm="1">
        <f t="array" ref="F34">_xll.BDH("CAT US Equity","PRETAX_INC","FQ4 2019","FQ4 2019","Currency=USD","Period=FQ","BEST_FPERIOD_OVERRIDE=FQ","FILING_STATUS=MR","SCALING_FORMAT=MLN","FA_ADJUSTED=GAAP","Sort=A","Dates=H","DateFormat=P","Fill=—","Direction=H","UseDPDF=Y")</f>
        <v>1365</v>
      </c>
      <c r="G34" s="16" cm="1">
        <f t="array" ref="G34">_xll.BDH("CAT US Equity","PRETAX_INC","FQ1 2020","FQ1 2020","Currency=USD","Period=FQ","BEST_FPERIOD_OVERRIDE=FQ","FILING_STATUS=MR","SCALING_FORMAT=MLN","FA_ADJUSTED=GAAP","Sort=A","Dates=H","DateFormat=P","Fill=—","Direction=H","UseDPDF=Y")</f>
        <v>1513</v>
      </c>
      <c r="H34" s="16" cm="1">
        <f t="array" ref="H34">_xll.BDH("CAT US Equity","PRETAX_INC","FQ2 2020","FQ2 2020","Currency=USD","Period=FQ","BEST_FPERIOD_OVERRIDE=FQ","FILING_STATUS=MR","SCALING_FORMAT=MLN","FA_ADJUSTED=GAAP","Sort=A","Dates=H","DateFormat=P","Fill=—","Direction=H","UseDPDF=Y")</f>
        <v>678</v>
      </c>
      <c r="I34" s="16" cm="1">
        <f t="array" ref="I34">_xll.BDH("CAT US Equity","PRETAX_INC","FQ3 2020","FQ3 2020","Currency=USD","Period=FQ","BEST_FPERIOD_OVERRIDE=FQ","FILING_STATUS=MR","SCALING_FORMAT=MLN","FA_ADJUSTED=GAAP","Sort=A","Dates=H","DateFormat=P","Fill=—","Direction=H","UseDPDF=Y")</f>
        <v>863</v>
      </c>
      <c r="J34" s="16" cm="1">
        <f t="array" ref="J34">_xll.BDH("CAT US Equity","PRETAX_INC","FQ4 2020","FQ4 2020","Currency=USD","Period=FQ","BEST_FPERIOD_OVERRIDE=FQ","FILING_STATUS=MR","SCALING_FORMAT=MLN","FA_ADJUSTED=GAAP","Sort=A","Dates=H","DateFormat=P","Fill=—","Direction=H","UseDPDF=Y")</f>
        <v>941</v>
      </c>
      <c r="K34" s="16" cm="1">
        <f t="array" ref="K34">_xll.BDH("CAT US Equity","PRETAX_INC","FQ1 2021","FQ1 2021","Currency=USD","Period=FQ","BEST_FPERIOD_OVERRIDE=FQ","FILING_STATUS=MR","SCALING_FORMAT=MLN","FA_ADJUSTED=GAAP","Sort=A","Dates=H","DateFormat=P","Fill=—","Direction=H","UseDPDF=Y")</f>
        <v>1997</v>
      </c>
      <c r="L34" s="16" cm="1">
        <f t="array" ref="L34">_xll.BDH("CAT US Equity","PRETAX_INC","FQ2 2021","FQ2 2021","Currency=USD","Period=FQ","BEST_FPERIOD_OVERRIDE=FQ","FILING_STATUS=MR","SCALING_FORMAT=MLN","FA_ADJUSTED=GAAP","Sort=A","Dates=H","DateFormat=P","Fill=—","Direction=H","UseDPDF=Y")</f>
        <v>1870</v>
      </c>
      <c r="M34" s="16" cm="1">
        <f t="array" ref="M34">_xll.BDH("CAT US Equity","PRETAX_INC","FQ3 2021","FQ3 2021","Currency=USD","Period=FQ","BEST_FPERIOD_OVERRIDE=FQ","FILING_STATUS=MR","SCALING_FORMAT=MLN","FA_ADJUSTED=GAAP","Sort=A","Dates=H","DateFormat=P","Fill=—","Direction=H","UseDPDF=Y")</f>
        <v>1775</v>
      </c>
      <c r="N34" s="16" cm="1">
        <f t="array" ref="N34">_xll.BDH("CAT US Equity","PRETAX_INC","FQ4 2021","FQ4 2021","Currency=USD","Period=FQ","BEST_FPERIOD_OVERRIDE=FQ","FILING_STATUS=MR","SCALING_FORMAT=MLN","FA_ADJUSTED=GAAP","Sort=A","Dates=H","DateFormat=P","Fill=—","Direction=H","UseDPDF=Y")</f>
        <v>2562</v>
      </c>
      <c r="O34" s="16" cm="1">
        <f t="array" ref="O34">_xll.BDH("CAT US Equity","PRETAX_INC","FQ1 2022","FQ1 2022","Currency=USD","Period=FQ","BEST_FPERIOD_OVERRIDE=FQ","FILING_STATUS=MR","SCALING_FORMAT=MLN","FA_ADJUSTED=GAAP","Sort=A","Dates=H","DateFormat=P","Fill=—","Direction=H","UseDPDF=Y")</f>
        <v>1999</v>
      </c>
      <c r="P34" s="16" cm="1">
        <f t="array" ref="P34">_xll.BDH("CAT US Equity","PRETAX_INC","FQ2 2022","FQ2 2022","Currency=USD","Period=FQ","BEST_FPERIOD_OVERRIDE=FQ","FILING_STATUS=MR","SCALING_FORMAT=MLN","FA_ADJUSTED=GAAP","Sort=A","Dates=H","DateFormat=P","Fill=—","Direction=H","UseDPDF=Y")</f>
        <v>2096</v>
      </c>
      <c r="Q34" s="16" cm="1">
        <f t="array" ref="Q34">_xll.BDH("CAT US Equity","PRETAX_INC","FQ3 2022","FQ3 2022","Currency=USD","Period=FQ","BEST_FPERIOD_OVERRIDE=FQ","FILING_STATUS=MR","SCALING_FORMAT=MLN","FA_ADJUSTED=GAAP","Sort=A","Dates=H","DateFormat=P","Fill=—","Direction=H","UseDPDF=Y")</f>
        <v>2558</v>
      </c>
      <c r="R34" s="16" cm="1">
        <f t="array" ref="R34">_xll.BDH("CAT US Equity","PRETAX_INC","FQ4 2022","FQ4 2022","Currency=USD","Period=FQ","BEST_FPERIOD_OVERRIDE=FQ","FILING_STATUS=MR","SCALING_FORMAT=MLN","FA_ADJUSTED=GAAP","Sort=A","Dates=H","DateFormat=P","Fill=—","Direction=H","UseDPDF=Y")</f>
        <v>2099</v>
      </c>
      <c r="S34" s="16" cm="1">
        <f t="array" ref="S34">_xll.BDH("CAT US Equity","PRETAX_INC","FQ1 2023","FQ1 2023","Currency=USD","Period=FQ","BEST_FPERIOD_OVERRIDE=FQ","FILING_STATUS=MR","SCALING_FORMAT=MLN","FA_ADJUSTED=GAAP","Sort=A","Dates=H","DateFormat=P","Fill=—","Direction=H","UseDPDF=Y")</f>
        <v>2634</v>
      </c>
      <c r="T34" s="16" cm="1">
        <f t="array" ref="T34">_xll.BDH("CAT US Equity","PRETAX_INC","FQ2 2023","FQ2 2023","Currency=USD","Period=FQ","BEST_FPERIOD_OVERRIDE=FQ","FILING_STATUS=MR","SCALING_FORMAT=MLN","FA_ADJUSTED=GAAP","Sort=A","Dates=H","DateFormat=P","Fill=—","Direction=H","UseDPDF=Y")</f>
        <v>3652</v>
      </c>
      <c r="U34" s="16" cm="1">
        <f t="array" ref="U34">_xll.BDH("CAT US Equity","PRETAX_INC","FQ3 2023","FQ3 2023","Currency=USD","Period=FQ","BEST_FPERIOD_OVERRIDE=FQ","FILING_STATUS=MR","SCALING_FORMAT=MLN","FA_ADJUSTED=GAAP","Sort=A","Dates=H","DateFormat=P","Fill=—","Direction=H","UseDPDF=Y")</f>
        <v>3515</v>
      </c>
      <c r="V34" s="16" cm="1">
        <f t="array" ref="V34">_xll.BDH("CAT US Equity","PRETAX_INC","FQ4 2023","FQ4 2023","Currency=USD","Period=FQ","BEST_FPERIOD_OVERRIDE=FQ","FILING_STATUS=MR","SCALING_FORMAT=MLN","FA_ADJUSTED=GAAP","Sort=A","Dates=H","DateFormat=P","Fill=—","Direction=H","UseDPDF=Y")</f>
        <v>3249</v>
      </c>
      <c r="W34" s="16" cm="1">
        <f t="array" ref="W34">_xll.BDH("CAT US Equity","PRETAX_INC","FQ1 2024","FQ1 2024","Currency=USD","Period=FQ","BEST_FPERIOD_OVERRIDE=FQ","FILING_STATUS=MR","SCALING_FORMAT=MLN","FA_ADJUSTED=GAAP","Sort=A","Dates=H","DateFormat=P","Fill=—","Direction=H","UseDPDF=Y")</f>
        <v>3532</v>
      </c>
      <c r="X34" s="16" cm="1">
        <f t="array" ref="X34">_xll.BDH("CAT US Equity","PRETAX_INC","FQ2 2024","FQ2 2024","Currency=USD","Period=FQ","BEST_FPERIOD_OVERRIDE=FQ","FILING_STATUS=MR","SCALING_FORMAT=MLN","FA_ADJUSTED=GAAP","Sort=A","Dates=H","DateFormat=P","Fill=—","Direction=H","UseDPDF=Y")</f>
        <v>3500</v>
      </c>
      <c r="Y34" s="16" cm="1">
        <f t="array" ref="Y34">_xll.BDH("CAT US Equity","PRETAX_INC","FQ3 2024","FQ3 2024","Currency=USD","Period=FQ","BEST_FPERIOD_OVERRIDE=FQ","FILING_STATUS=MR","SCALING_FORMAT=MLN","FA_ADJUSTED=GAAP","Sort=A","Dates=H","DateFormat=P","Fill=—","Direction=H","UseDPDF=Y")</f>
        <v>3098</v>
      </c>
      <c r="Z34" s="16" cm="1">
        <f t="array" ref="Z34">_xll.BDH("CAT US Equity","PRETAX_INC","FQ4 2024","FQ4 2024","Currency=USD","Period=FQ","BEST_FPERIOD_OVERRIDE=FQ","FILING_STATUS=MR","SCALING_FORMAT=MLN","FA_ADJUSTED=GAAP","Sort=A","Dates=H","DateFormat=P","Fill=—","Direction=H","UseDPDF=Y")</f>
        <v>3243</v>
      </c>
      <c r="AA34" s="16" cm="1">
        <f t="array" ref="AA34">_xll.BDH("CAT US Equity","PRETAX_INC","FQ1 2025","FQ1 2025","Currency=USD","Period=FQ","BEST_FPERIOD_OVERRIDE=FQ","FILING_STATUS=MR","SCALING_FORMAT=MLN","FA_ADJUSTED=GAAP","Sort=A","Dates=H","DateFormat=P","Fill=—","Direction=H","UseDPDF=Y")</f>
        <v>2570</v>
      </c>
      <c r="AB34" s="16" cm="1">
        <f t="array" ref="AB34">_xll.BDH("CAT US Equity","PRETAX_INC","FQ2 2025","FQ2 2025","Currency=USD","Period=FQ","BEST_FPERIOD_OVERRIDE=FQ","FILING_STATUS=MR","SCALING_FORMAT=MLN","FA_ADJUSTED=GAAP","Sort=A","Dates=H","DateFormat=P","Fill=—","Direction=H","UseDPDF=Y")</f>
        <v>2818</v>
      </c>
      <c r="AC34" s="16" cm="1">
        <f t="array" ref="AC34">_xll.BDH("CAT US Equity","PRETAX_INC","FQ3 2025","FQ3 2025","Currency=USD","Period=FQ","BEST_FPERIOD_OVERRIDE=FQ","FILING_STATUS=MR","SCALING_FORMAT=MLN","FA_ADJUSTED=GAAP","Sort=A","Dates=H","DateFormat=P","Fill=—","Direction=H","UseDPDF=Y")</f>
        <v>3127</v>
      </c>
      <c r="AD34" s="16" cm="1">
        <f t="array" ref="AD34">_xll.BDH("CAT US Equity","PRETAX_INC","FQ4 2025","FQ4 2025","Currency=USD","Period=FQ","BEST_FPERIOD_OVERRIDE=FQ","FILING_STATUS=MR","SCALING_FORMAT=MLN","FA_ADJUSTED=GAAP","Sort=A","Dates=H","DateFormat=P","Fill=—","Direction=H","UseDPDF=Y")</f>
        <v>3026</v>
      </c>
      <c r="AE34" s="16">
        <v>2622.0770000000002</v>
      </c>
      <c r="AF34" s="16">
        <v>3291</v>
      </c>
    </row>
    <row r="35" spans="1:32" x14ac:dyDescent="0.25">
      <c r="A35" s="10" t="s">
        <v>122</v>
      </c>
      <c r="B35" s="10" t="s">
        <v>123</v>
      </c>
      <c r="C35" s="13" cm="1">
        <f t="array" ref="C35">_xll.BDH("CAT US Equity","IS_INC_TAX_EXP","FQ1 2019","FQ1 2019","Currency=USD","Period=FQ","BEST_FPERIOD_OVERRIDE=FQ","FILING_STATUS=MR","SCALING_FORMAT=MLN","FA_ADJUSTED=GAAP","Sort=A","Dates=H","DateFormat=P","Fill=—","Direction=H","UseDPDF=Y")</f>
        <v>387</v>
      </c>
      <c r="D35" s="13" cm="1">
        <f t="array" ref="D35">_xll.BDH("CAT US Equity","IS_INC_TAX_EXP","FQ2 2019","FQ2 2019","Currency=USD","Period=FQ","BEST_FPERIOD_OVERRIDE=FQ","FILING_STATUS=MR","SCALING_FORMAT=MLN","FA_ADJUSTED=GAAP","Sort=A","Dates=H","DateFormat=P","Fill=—","Direction=H","UseDPDF=Y")</f>
        <v>565</v>
      </c>
      <c r="E35" s="13" cm="1">
        <f t="array" ref="E35">_xll.BDH("CAT US Equity","IS_INC_TAX_EXP","FQ3 2019","FQ3 2019","Currency=USD","Period=FQ","BEST_FPERIOD_OVERRIDE=FQ","FILING_STATUS=MR","SCALING_FORMAT=MLN","FA_ADJUSTED=GAAP","Sort=A","Dates=H","DateFormat=P","Fill=—","Direction=H","UseDPDF=Y")</f>
        <v>518</v>
      </c>
      <c r="F35" s="13" cm="1">
        <f t="array" ref="F35">_xll.BDH("CAT US Equity","IS_INC_TAX_EXP","FQ4 2019","FQ4 2019","Currency=USD","Period=FQ","BEST_FPERIOD_OVERRIDE=FQ","FILING_STATUS=MR","SCALING_FORMAT=MLN","FA_ADJUSTED=GAAP","Sort=A","Dates=H","DateFormat=P","Fill=—","Direction=H","UseDPDF=Y")</f>
        <v>276</v>
      </c>
      <c r="G35" s="13" cm="1">
        <f t="array" ref="G35">_xll.BDH("CAT US Equity","IS_INC_TAX_EXP","FQ1 2020","FQ1 2020","Currency=USD","Period=FQ","BEST_FPERIOD_OVERRIDE=FQ","FILING_STATUS=MR","SCALING_FORMAT=MLN","FA_ADJUSTED=GAAP","Sort=A","Dates=H","DateFormat=P","Fill=—","Direction=H","UseDPDF=Y")</f>
        <v>425</v>
      </c>
      <c r="H35" s="13" cm="1">
        <f t="array" ref="H35">_xll.BDH("CAT US Equity","IS_INC_TAX_EXP","FQ2 2020","FQ2 2020","Currency=USD","Period=FQ","BEST_FPERIOD_OVERRIDE=FQ","FILING_STATUS=MR","SCALING_FORMAT=MLN","FA_ADJUSTED=GAAP","Sort=A","Dates=H","DateFormat=P","Fill=—","Direction=H","UseDPDF=Y")</f>
        <v>227</v>
      </c>
      <c r="I35" s="13" cm="1">
        <f t="array" ref="I35">_xll.BDH("CAT US Equity","IS_INC_TAX_EXP","FQ3 2020","FQ3 2020","Currency=USD","Period=FQ","BEST_FPERIOD_OVERRIDE=FQ","FILING_STATUS=MR","SCALING_FORMAT=MLN","FA_ADJUSTED=GAAP","Sort=A","Dates=H","DateFormat=P","Fill=—","Direction=H","UseDPDF=Y")</f>
        <v>187</v>
      </c>
      <c r="J35" s="13" cm="1">
        <f t="array" ref="J35">_xll.BDH("CAT US Equity","IS_INC_TAX_EXP","FQ4 2020","FQ4 2020","Currency=USD","Period=FQ","BEST_FPERIOD_OVERRIDE=FQ","FILING_STATUS=MR","SCALING_FORMAT=MLN","FA_ADJUSTED=GAAP","Sort=A","Dates=H","DateFormat=P","Fill=—","Direction=H","UseDPDF=Y")</f>
        <v>167</v>
      </c>
      <c r="K35" s="13" cm="1">
        <f t="array" ref="K35">_xll.BDH("CAT US Equity","IS_INC_TAX_EXP","FQ1 2021","FQ1 2021","Currency=USD","Period=FQ","BEST_FPERIOD_OVERRIDE=FQ","FILING_STATUS=MR","SCALING_FORMAT=MLN","FA_ADJUSTED=GAAP","Sort=A","Dates=H","DateFormat=P","Fill=—","Direction=H","UseDPDF=Y")</f>
        <v>475</v>
      </c>
      <c r="L35" s="13" cm="1">
        <f t="array" ref="L35">_xll.BDH("CAT US Equity","IS_INC_TAX_EXP","FQ2 2021","FQ2 2021","Currency=USD","Period=FQ","BEST_FPERIOD_OVERRIDE=FQ","FILING_STATUS=MR","SCALING_FORMAT=MLN","FA_ADJUSTED=GAAP","Sort=A","Dates=H","DateFormat=P","Fill=—","Direction=H","UseDPDF=Y")</f>
        <v>470</v>
      </c>
      <c r="M35" s="13" cm="1">
        <f t="array" ref="M35">_xll.BDH("CAT US Equity","IS_INC_TAX_EXP","FQ3 2021","FQ3 2021","Currency=USD","Period=FQ","BEST_FPERIOD_OVERRIDE=FQ","FILING_STATUS=MR","SCALING_FORMAT=MLN","FA_ADJUSTED=GAAP","Sort=A","Dates=H","DateFormat=P","Fill=—","Direction=H","UseDPDF=Y")</f>
        <v>368</v>
      </c>
      <c r="N35" s="13" cm="1">
        <f t="array" ref="N35">_xll.BDH("CAT US Equity","IS_INC_TAX_EXP","FQ4 2021","FQ4 2021","Currency=USD","Period=FQ","BEST_FPERIOD_OVERRIDE=FQ","FILING_STATUS=MR","SCALING_FORMAT=MLN","FA_ADJUSTED=GAAP","Sort=A","Dates=H","DateFormat=P","Fill=—","Direction=H","UseDPDF=Y")</f>
        <v>429</v>
      </c>
      <c r="O35" s="13" cm="1">
        <f t="array" ref="O35">_xll.BDH("CAT US Equity","IS_INC_TAX_EXP","FQ1 2022","FQ1 2022","Currency=USD","Period=FQ","BEST_FPERIOD_OVERRIDE=FQ","FILING_STATUS=MR","SCALING_FORMAT=MLN","FA_ADJUSTED=GAAP","Sort=A","Dates=H","DateFormat=P","Fill=—","Direction=H","UseDPDF=Y")</f>
        <v>469</v>
      </c>
      <c r="P35" s="13" cm="1">
        <f t="array" ref="P35">_xll.BDH("CAT US Equity","IS_INC_TAX_EXP","FQ2 2022","FQ2 2022","Currency=USD","Period=FQ","BEST_FPERIOD_OVERRIDE=FQ","FILING_STATUS=MR","SCALING_FORMAT=MLN","FA_ADJUSTED=GAAP","Sort=A","Dates=H","DateFormat=P","Fill=—","Direction=H","UseDPDF=Y")</f>
        <v>427</v>
      </c>
      <c r="Q35" s="13" cm="1">
        <f t="array" ref="Q35">_xll.BDH("CAT US Equity","IS_INC_TAX_EXP","FQ3 2022","FQ3 2022","Currency=USD","Period=FQ","BEST_FPERIOD_OVERRIDE=FQ","FILING_STATUS=MR","SCALING_FORMAT=MLN","FA_ADJUSTED=GAAP","Sort=A","Dates=H","DateFormat=P","Fill=—","Direction=H","UseDPDF=Y")</f>
        <v>527</v>
      </c>
      <c r="R35" s="13" cm="1">
        <f t="array" ref="R35">_xll.BDH("CAT US Equity","IS_INC_TAX_EXP","FQ4 2022","FQ4 2022","Currency=USD","Period=FQ","BEST_FPERIOD_OVERRIDE=FQ","FILING_STATUS=MR","SCALING_FORMAT=MLN","FA_ADJUSTED=GAAP","Sort=A","Dates=H","DateFormat=P","Fill=—","Direction=H","UseDPDF=Y")</f>
        <v>644</v>
      </c>
      <c r="S35" s="13" cm="1">
        <f t="array" ref="S35">_xll.BDH("CAT US Equity","IS_INC_TAX_EXP","FQ1 2023","FQ1 2023","Currency=USD","Period=FQ","BEST_FPERIOD_OVERRIDE=FQ","FILING_STATUS=MR","SCALING_FORMAT=MLN","FA_ADJUSTED=GAAP","Sort=A","Dates=H","DateFormat=P","Fill=—","Direction=H","UseDPDF=Y")</f>
        <v>708</v>
      </c>
      <c r="T35" s="13" cm="1">
        <f t="array" ref="T35">_xll.BDH("CAT US Equity","IS_INC_TAX_EXP","FQ2 2023","FQ2 2023","Currency=USD","Period=FQ","BEST_FPERIOD_OVERRIDE=FQ","FILING_STATUS=MR","SCALING_FORMAT=MLN","FA_ADJUSTED=GAAP","Sort=A","Dates=H","DateFormat=P","Fill=—","Direction=H","UseDPDF=Y")</f>
        <v>752</v>
      </c>
      <c r="U35" s="13" cm="1">
        <f t="array" ref="U35">_xll.BDH("CAT US Equity","IS_INC_TAX_EXP","FQ3 2023","FQ3 2023","Currency=USD","Period=FQ","BEST_FPERIOD_OVERRIDE=FQ","FILING_STATUS=MR","SCALING_FORMAT=MLN","FA_ADJUSTED=GAAP","Sort=A","Dates=H","DateFormat=P","Fill=—","Direction=H","UseDPDF=Y")</f>
        <v>734</v>
      </c>
      <c r="V35" s="13" cm="1">
        <f t="array" ref="V35">_xll.BDH("CAT US Equity","IS_INC_TAX_EXP","FQ4 2023","FQ4 2023","Currency=USD","Period=FQ","BEST_FPERIOD_OVERRIDE=FQ","FILING_STATUS=MR","SCALING_FORMAT=MLN","FA_ADJUSTED=GAAP","Sort=A","Dates=H","DateFormat=P","Fill=—","Direction=H","UseDPDF=Y")</f>
        <v>587</v>
      </c>
      <c r="W35" s="13" cm="1">
        <f t="array" ref="W35">_xll.BDH("CAT US Equity","IS_INC_TAX_EXP","FQ1 2024","FQ1 2024","Currency=USD","Period=FQ","BEST_FPERIOD_OVERRIDE=FQ","FILING_STATUS=MR","SCALING_FORMAT=MLN","FA_ADJUSTED=GAAP","Sort=A","Dates=H","DateFormat=P","Fill=—","Direction=H","UseDPDF=Y")</f>
        <v>688</v>
      </c>
      <c r="X35" s="13" cm="1">
        <f t="array" ref="X35">_xll.BDH("CAT US Equity","IS_INC_TAX_EXP","FQ2 2024","FQ2 2024","Currency=USD","Period=FQ","BEST_FPERIOD_OVERRIDE=FQ","FILING_STATUS=MR","SCALING_FORMAT=MLN","FA_ADJUSTED=GAAP","Sort=A","Dates=H","DateFormat=P","Fill=—","Direction=H","UseDPDF=Y")</f>
        <v>836</v>
      </c>
      <c r="Y35" s="13" cm="1">
        <f t="array" ref="Y35">_xll.BDH("CAT US Equity","IS_INC_TAX_EXP","FQ3 2024","FQ3 2024","Currency=USD","Period=FQ","BEST_FPERIOD_OVERRIDE=FQ","FILING_STATUS=MR","SCALING_FORMAT=MLN","FA_ADJUSTED=GAAP","Sort=A","Dates=H","DateFormat=P","Fill=—","Direction=H","UseDPDF=Y")</f>
        <v>642</v>
      </c>
      <c r="Z35" s="13" cm="1">
        <f t="array" ref="Z35">_xll.BDH("CAT US Equity","IS_INC_TAX_EXP","FQ4 2024","FQ4 2024","Currency=USD","Period=FQ","BEST_FPERIOD_OVERRIDE=FQ","FILING_STATUS=MR","SCALING_FORMAT=MLN","FA_ADJUSTED=GAAP","Sort=A","Dates=H","DateFormat=P","Fill=—","Direction=H","UseDPDF=Y")</f>
        <v>463</v>
      </c>
      <c r="AA35" s="13" cm="1">
        <f t="array" ref="AA35">_xll.BDH("CAT US Equity","IS_INC_TAX_EXP","FQ1 2025","FQ1 2025","Currency=USD","Period=FQ","BEST_FPERIOD_OVERRIDE=FQ","FILING_STATUS=MR","SCALING_FORMAT=MLN","FA_ADJUSTED=GAAP","Sort=A","Dates=H","DateFormat=P","Fill=—","Direction=H","UseDPDF=Y")</f>
        <v>574</v>
      </c>
      <c r="AB35" s="13" cm="1">
        <f t="array" ref="AB35">_xll.BDH("CAT US Equity","IS_INC_TAX_EXP","FQ2 2025","FQ2 2025","Currency=USD","Period=FQ","BEST_FPERIOD_OVERRIDE=FQ","FILING_STATUS=MR","SCALING_FORMAT=MLN","FA_ADJUSTED=GAAP","Sort=A","Dates=H","DateFormat=P","Fill=—","Direction=H","UseDPDF=Y")</f>
        <v>646</v>
      </c>
      <c r="AC35" s="13" cm="1">
        <f t="array" ref="AC35">_xll.BDH("CAT US Equity","IS_INC_TAX_EXP","FQ3 2025","FQ3 2025","Currency=USD","Period=FQ","BEST_FPERIOD_OVERRIDE=FQ","FILING_STATUS=MR","SCALING_FORMAT=MLN","FA_ADJUSTED=GAAP","Sort=A","Dates=H","DateFormat=P","Fill=—","Direction=H","UseDPDF=Y")</f>
        <v>836</v>
      </c>
      <c r="AD35" s="13" cm="1">
        <f t="array" ref="AD35">_xll.BDH("CAT US Equity","IS_INC_TAX_EXP","FQ4 2025","FQ4 2025","Currency=USD","Period=FQ","BEST_FPERIOD_OVERRIDE=FQ","FILING_STATUS=MR","SCALING_FORMAT=MLN","FA_ADJUSTED=GAAP","Sort=A","Dates=H","DateFormat=P","Fill=—","Direction=H","UseDPDF=Y")</f>
        <v>712</v>
      </c>
      <c r="AE35" s="13"/>
      <c r="AF35" s="13"/>
    </row>
    <row r="36" spans="1:32" x14ac:dyDescent="0.25">
      <c r="A36" s="10" t="s">
        <v>124</v>
      </c>
      <c r="B36" s="10" t="s">
        <v>125</v>
      </c>
      <c r="C36" s="13" cm="1">
        <f t="array" ref="C36">_xll.BDH("CAT US Equity","IS_SH_PRO_EQY_MT_INV_NET_OF_TAX","FQ1 2019","FQ1 2019","Currency=USD","Period=FQ","BEST_FPERIOD_OVERRIDE=FQ","FILING_STATUS=MR","SCALING_FORMAT=MLN","FA_ADJUSTED=GAAP","Sort=A","Dates=H","DateFormat=P","Fill=—","Direction=H","UseDPDF=Y")</f>
        <v>-7</v>
      </c>
      <c r="D36" s="13" cm="1">
        <f t="array" ref="D36">_xll.BDH("CAT US Equity","IS_SH_PRO_EQY_MT_INV_NET_OF_TAX","FQ2 2019","FQ2 2019","Currency=USD","Period=FQ","BEST_FPERIOD_OVERRIDE=FQ","FILING_STATUS=MR","SCALING_FORMAT=MLN","FA_ADJUSTED=GAAP","Sort=A","Dates=H","DateFormat=P","Fill=—","Direction=H","UseDPDF=Y")</f>
        <v>-6</v>
      </c>
      <c r="E36" s="13" cm="1">
        <f t="array" ref="E36">_xll.BDH("CAT US Equity","IS_SH_PRO_EQY_MT_INV_NET_OF_TAX","FQ3 2019","FQ3 2019","Currency=USD","Period=FQ","BEST_FPERIOD_OVERRIDE=FQ","FILING_STATUS=MR","SCALING_FORMAT=MLN","FA_ADJUSTED=GAAP","Sort=A","Dates=H","DateFormat=P","Fill=—","Direction=H","UseDPDF=Y")</f>
        <v>-7</v>
      </c>
      <c r="F36" s="13" cm="1">
        <f t="array" ref="F36">_xll.BDH("CAT US Equity","IS_SH_PRO_EQY_MT_INV_NET_OF_TAX","FQ4 2019","FQ4 2019","Currency=USD","Period=FQ","BEST_FPERIOD_OVERRIDE=FQ","FILING_STATUS=MR","SCALING_FORMAT=MLN","FA_ADJUSTED=GAAP","Sort=A","Dates=H","DateFormat=P","Fill=—","Direction=H","UseDPDF=Y")</f>
        <v>-8</v>
      </c>
      <c r="G36" s="13" cm="1">
        <f t="array" ref="G36">_xll.BDH("CAT US Equity","IS_SH_PRO_EQY_MT_INV_NET_OF_TAX","FQ1 2020","FQ1 2020","Currency=USD","Period=FQ","BEST_FPERIOD_OVERRIDE=FQ","FILING_STATUS=MR","SCALING_FORMAT=MLN","FA_ADJUSTED=GAAP","Sort=A","Dates=H","DateFormat=P","Fill=—","Direction=H","UseDPDF=Y")</f>
        <v>-5</v>
      </c>
      <c r="H36" s="13" cm="1">
        <f t="array" ref="H36">_xll.BDH("CAT US Equity","IS_SH_PRO_EQY_MT_INV_NET_OF_TAX","FQ2 2020","FQ2 2020","Currency=USD","Period=FQ","BEST_FPERIOD_OVERRIDE=FQ","FILING_STATUS=MR","SCALING_FORMAT=MLN","FA_ADJUSTED=GAAP","Sort=A","Dates=H","DateFormat=P","Fill=—","Direction=H","UseDPDF=Y")</f>
        <v>-8</v>
      </c>
      <c r="I36" s="13" cm="1">
        <f t="array" ref="I36">_xll.BDH("CAT US Equity","IS_SH_PRO_EQY_MT_INV_NET_OF_TAX","FQ3 2020","FQ3 2020","Currency=USD","Period=FQ","BEST_FPERIOD_OVERRIDE=FQ","FILING_STATUS=MR","SCALING_FORMAT=MLN","FA_ADJUSTED=GAAP","Sort=A","Dates=H","DateFormat=P","Fill=—","Direction=H","UseDPDF=Y")</f>
        <v>5</v>
      </c>
      <c r="J36" s="13" cm="1">
        <f t="array" ref="J36">_xll.BDH("CAT US Equity","IS_SH_PRO_EQY_MT_INV_NET_OF_TAX","FQ4 2020","FQ4 2020","Currency=USD","Period=FQ","BEST_FPERIOD_OVERRIDE=FQ","FILING_STATUS=MR","SCALING_FORMAT=MLN","FA_ADJUSTED=GAAP","Sort=A","Dates=H","DateFormat=P","Fill=—","Direction=H","UseDPDF=Y")</f>
        <v>-6</v>
      </c>
      <c r="K36" s="13" cm="1">
        <f t="array" ref="K36">_xll.BDH("CAT US Equity","IS_SH_PRO_EQY_MT_INV_NET_OF_TAX","FQ1 2021","FQ1 2021","Currency=USD","Period=FQ","BEST_FPERIOD_OVERRIDE=FQ","FILING_STATUS=MR","SCALING_FORMAT=MLN","FA_ADJUSTED=GAAP","Sort=A","Dates=H","DateFormat=P","Fill=—","Direction=H","UseDPDF=Y")</f>
        <v>-9</v>
      </c>
      <c r="L36" s="13" cm="1">
        <f t="array" ref="L36">_xll.BDH("CAT US Equity","IS_SH_PRO_EQY_MT_INV_NET_OF_TAX","FQ2 2021","FQ2 2021","Currency=USD","Period=FQ","BEST_FPERIOD_OVERRIDE=FQ","FILING_STATUS=MR","SCALING_FORMAT=MLN","FA_ADJUSTED=GAAP","Sort=A","Dates=H","DateFormat=P","Fill=—","Direction=H","UseDPDF=Y")</f>
        <v>-14</v>
      </c>
      <c r="M36" s="13" cm="1">
        <f t="array" ref="M36">_xll.BDH("CAT US Equity","IS_SH_PRO_EQY_MT_INV_NET_OF_TAX","FQ3 2021","FQ3 2021","Currency=USD","Period=FQ","BEST_FPERIOD_OVERRIDE=FQ","FILING_STATUS=MR","SCALING_FORMAT=MLN","FA_ADJUSTED=GAAP","Sort=A","Dates=H","DateFormat=P","Fill=—","Direction=H","UseDPDF=Y")</f>
        <v>-21</v>
      </c>
      <c r="N36" s="13" cm="1">
        <f t="array" ref="N36">_xll.BDH("CAT US Equity","IS_SH_PRO_EQY_MT_INV_NET_OF_TAX","FQ4 2021","FQ4 2021","Currency=USD","Period=FQ","BEST_FPERIOD_OVERRIDE=FQ","FILING_STATUS=MR","SCALING_FORMAT=MLN","FA_ADJUSTED=GAAP","Sort=A","Dates=H","DateFormat=P","Fill=—","Direction=H","UseDPDF=Y")</f>
        <v>13</v>
      </c>
      <c r="O36" s="13" cm="1">
        <f t="array" ref="O36">_xll.BDH("CAT US Equity","IS_SH_PRO_EQY_MT_INV_NET_OF_TAX","FQ1 2022","FQ1 2022","Currency=USD","Period=FQ","BEST_FPERIOD_OVERRIDE=FQ","FILING_STATUS=MR","SCALING_FORMAT=MLN","FA_ADJUSTED=GAAP","Sort=A","Dates=H","DateFormat=P","Fill=—","Direction=H","UseDPDF=Y")</f>
        <v>-7</v>
      </c>
      <c r="P36" s="13" cm="1">
        <f t="array" ref="P36">_xll.BDH("CAT US Equity","IS_SH_PRO_EQY_MT_INV_NET_OF_TAX","FQ2 2022","FQ2 2022","Currency=USD","Period=FQ","BEST_FPERIOD_OVERRIDE=FQ","FILING_STATUS=MR","SCALING_FORMAT=MLN","FA_ADJUSTED=GAAP","Sort=A","Dates=H","DateFormat=P","Fill=—","Direction=H","UseDPDF=Y")</f>
        <v>-4</v>
      </c>
      <c r="Q36" s="13" cm="1">
        <f t="array" ref="Q36">_xll.BDH("CAT US Equity","IS_SH_PRO_EQY_MT_INV_NET_OF_TAX","FQ3 2022","FQ3 2022","Currency=USD","Period=FQ","BEST_FPERIOD_OVERRIDE=FQ","FILING_STATUS=MR","SCALING_FORMAT=MLN","FA_ADJUSTED=GAAP","Sort=A","Dates=H","DateFormat=P","Fill=—","Direction=H","UseDPDF=Y")</f>
        <v>-9</v>
      </c>
      <c r="R36" s="13" cm="1">
        <f t="array" ref="R36">_xll.BDH("CAT US Equity","IS_SH_PRO_EQY_MT_INV_NET_OF_TAX","FQ4 2022","FQ4 2022","Currency=USD","Period=FQ","BEST_FPERIOD_OVERRIDE=FQ","FILING_STATUS=MR","SCALING_FORMAT=MLN","FA_ADJUSTED=GAAP","Sort=A","Dates=H","DateFormat=P","Fill=—","Direction=H","UseDPDF=Y")</f>
        <v>1</v>
      </c>
      <c r="S36" s="13" cm="1">
        <f t="array" ref="S36">_xll.BDH("CAT US Equity","IS_SH_PRO_EQY_MT_INV_NET_OF_TAX","FQ1 2023","FQ1 2023","Currency=USD","Period=FQ","BEST_FPERIOD_OVERRIDE=FQ","FILING_STATUS=MR","SCALING_FORMAT=MLN","FA_ADJUSTED=GAAP","Sort=A","Dates=H","DateFormat=P","Fill=—","Direction=H","UseDPDF=Y")</f>
        <v>-16</v>
      </c>
      <c r="T36" s="13" cm="1">
        <f t="array" ref="T36">_xll.BDH("CAT US Equity","IS_SH_PRO_EQY_MT_INV_NET_OF_TAX","FQ2 2023","FQ2 2023","Currency=USD","Period=FQ","BEST_FPERIOD_OVERRIDE=FQ","FILING_STATUS=MR","SCALING_FORMAT=MLN","FA_ADJUSTED=GAAP","Sort=A","Dates=H","DateFormat=P","Fill=—","Direction=H","UseDPDF=Y")</f>
        <v>-24</v>
      </c>
      <c r="U36" s="13" cm="1">
        <f t="array" ref="U36">_xll.BDH("CAT US Equity","IS_SH_PRO_EQY_MT_INV_NET_OF_TAX","FQ3 2023","FQ3 2023","Currency=USD","Period=FQ","BEST_FPERIOD_OVERRIDE=FQ","FILING_STATUS=MR","SCALING_FORMAT=MLN","FA_ADJUSTED=GAAP","Sort=A","Dates=H","DateFormat=P","Fill=—","Direction=H","UseDPDF=Y")</f>
        <v>-12</v>
      </c>
      <c r="V36" s="13" cm="1">
        <f t="array" ref="V36">_xll.BDH("CAT US Equity","IS_SH_PRO_EQY_MT_INV_NET_OF_TAX","FQ4 2023","FQ4 2023","Currency=USD","Period=FQ","BEST_FPERIOD_OVERRIDE=FQ","FILING_STATUS=MR","SCALING_FORMAT=MLN","FA_ADJUSTED=GAAP","Sort=A","Dates=H","DateFormat=P","Fill=—","Direction=H","UseDPDF=Y")</f>
        <v>-11</v>
      </c>
      <c r="W36" s="13" cm="1">
        <f t="array" ref="W36">_xll.BDH("CAT US Equity","IS_SH_PRO_EQY_MT_INV_NET_OF_TAX","FQ1 2024","FQ1 2024","Currency=USD","Period=FQ","BEST_FPERIOD_OVERRIDE=FQ","FILING_STATUS=MR","SCALING_FORMAT=MLN","FA_ADJUSTED=GAAP","Sort=A","Dates=H","DateFormat=P","Fill=—","Direction=H","UseDPDF=Y")</f>
        <v>-10</v>
      </c>
      <c r="X36" s="13" cm="1">
        <f t="array" ref="X36">_xll.BDH("CAT US Equity","IS_SH_PRO_EQY_MT_INV_NET_OF_TAX","FQ2 2024","FQ2 2024","Currency=USD","Period=FQ","BEST_FPERIOD_OVERRIDE=FQ","FILING_STATUS=MR","SCALING_FORMAT=MLN","FA_ADJUSTED=GAAP","Sort=A","Dates=H","DateFormat=P","Fill=—","Direction=H","UseDPDF=Y")</f>
        <v>-17</v>
      </c>
      <c r="Y36" s="13" cm="1">
        <f t="array" ref="Y36">_xll.BDH("CAT US Equity","IS_SH_PRO_EQY_MT_INV_NET_OF_TAX","FQ3 2024","FQ3 2024","Currency=USD","Period=FQ","BEST_FPERIOD_OVERRIDE=FQ","FILING_STATUS=MR","SCALING_FORMAT=MLN","FA_ADJUSTED=GAAP","Sort=A","Dates=H","DateFormat=P","Fill=—","Direction=H","UseDPDF=Y")</f>
        <v>-7</v>
      </c>
      <c r="Z36" s="13" cm="1">
        <f t="array" ref="Z36">_xll.BDH("CAT US Equity","IS_SH_PRO_EQY_MT_INV_NET_OF_TAX","FQ4 2024","FQ4 2024","Currency=USD","Period=FQ","BEST_FPERIOD_OVERRIDE=FQ","FILING_STATUS=MR","SCALING_FORMAT=MLN","FA_ADJUSTED=GAAP","Sort=A","Dates=H","DateFormat=P","Fill=—","Direction=H","UseDPDF=Y")</f>
        <v>-10</v>
      </c>
      <c r="AA36" s="13" cm="1">
        <f t="array" ref="AA36">_xll.BDH("CAT US Equity","IS_SH_PRO_EQY_MT_INV_NET_OF_TAX","FQ1 2025","FQ1 2025","Currency=USD","Period=FQ","BEST_FPERIOD_OVERRIDE=FQ","FILING_STATUS=MR","SCALING_FORMAT=MLN","FA_ADJUSTED=GAAP","Sort=A","Dates=H","DateFormat=P","Fill=—","Direction=H","UseDPDF=Y")</f>
        <v>-7</v>
      </c>
      <c r="AB36" s="13" cm="1">
        <f t="array" ref="AB36">_xll.BDH("CAT US Equity","IS_SH_PRO_EQY_MT_INV_NET_OF_TAX","FQ2 2025","FQ2 2025","Currency=USD","Period=FQ","BEST_FPERIOD_OVERRIDE=FQ","FILING_STATUS=MR","SCALING_FORMAT=MLN","FA_ADJUSTED=GAAP","Sort=A","Dates=H","DateFormat=P","Fill=—","Direction=H","UseDPDF=Y")</f>
        <v>-7</v>
      </c>
      <c r="AC36" s="13" cm="1">
        <f t="array" ref="AC36">_xll.BDH("CAT US Equity","IS_SH_PRO_EQY_MT_INV_NET_OF_TAX","FQ3 2025","FQ3 2025","Currency=USD","Period=FQ","BEST_FPERIOD_OVERRIDE=FQ","FILING_STATUS=MR","SCALING_FORMAT=MLN","FA_ADJUSTED=GAAP","Sort=A","Dates=H","DateFormat=P","Fill=—","Direction=H","UseDPDF=Y")</f>
        <v>-8</v>
      </c>
      <c r="AD36" s="13" cm="1">
        <f t="array" ref="AD36">_xll.BDH("CAT US Equity","IS_SH_PRO_EQY_MT_INV_NET_OF_TAX","FQ4 2025","FQ4 2025","Currency=USD","Period=FQ","BEST_FPERIOD_OVERRIDE=FQ","FILING_STATUS=MR","SCALING_FORMAT=MLN","FA_ADJUSTED=GAAP","Sort=A","Dates=H","DateFormat=P","Fill=—","Direction=H","UseDPDF=Y")</f>
        <v>-87</v>
      </c>
      <c r="AE36" s="13"/>
      <c r="AF36" s="13"/>
    </row>
    <row r="37" spans="1:32" x14ac:dyDescent="0.25">
      <c r="A37" s="6" t="s">
        <v>126</v>
      </c>
      <c r="B37" s="6" t="s">
        <v>127</v>
      </c>
      <c r="C37" s="16" cm="1">
        <f t="array" ref="C37">_xll.BDH("CAT US Equity","IS_INC_BEF_XO_ITEM","FQ1 2019","FQ1 2019","Currency=USD","Period=FQ","BEST_FPERIOD_OVERRIDE=FQ","FILING_STATUS=MR","SCALING_FORMAT=MLN","Sort=A","Dates=H","DateFormat=P","Fill=—","Direction=H","UseDPDF=Y")</f>
        <v>1884</v>
      </c>
      <c r="D37" s="16" cm="1">
        <f t="array" ref="D37">_xll.BDH("CAT US Equity","IS_INC_BEF_XO_ITEM","FQ2 2019","FQ2 2019","Currency=USD","Period=FQ","BEST_FPERIOD_OVERRIDE=FQ","FILING_STATUS=MR","SCALING_FORMAT=MLN","Sort=A","Dates=H","DateFormat=P","Fill=—","Direction=H","UseDPDF=Y")</f>
        <v>1619</v>
      </c>
      <c r="E37" s="16" cm="1">
        <f t="array" ref="E37">_xll.BDH("CAT US Equity","IS_INC_BEF_XO_ITEM","FQ3 2019","FQ3 2019","Currency=USD","Period=FQ","BEST_FPERIOD_OVERRIDE=FQ","FILING_STATUS=MR","SCALING_FORMAT=MLN","Sort=A","Dates=H","DateFormat=P","Fill=—","Direction=H","UseDPDF=Y")</f>
        <v>1494</v>
      </c>
      <c r="F37" s="16" cm="1">
        <f t="array" ref="F37">_xll.BDH("CAT US Equity","IS_INC_BEF_XO_ITEM","FQ4 2019","FQ4 2019","Currency=USD","Period=FQ","BEST_FPERIOD_OVERRIDE=FQ","FILING_STATUS=MR","SCALING_FORMAT=MLN","Sort=A","Dates=H","DateFormat=P","Fill=—","Direction=H","UseDPDF=Y")</f>
        <v>1097</v>
      </c>
      <c r="G37" s="16" cm="1">
        <f t="array" ref="G37">_xll.BDH("CAT US Equity","IS_INC_BEF_XO_ITEM","FQ1 2020","FQ1 2020","Currency=USD","Period=FQ","BEST_FPERIOD_OVERRIDE=FQ","FILING_STATUS=MR","SCALING_FORMAT=MLN","Sort=A","Dates=H","DateFormat=P","Fill=—","Direction=H","UseDPDF=Y")</f>
        <v>1093</v>
      </c>
      <c r="H37" s="16" cm="1">
        <f t="array" ref="H37">_xll.BDH("CAT US Equity","IS_INC_BEF_XO_ITEM","FQ2 2020","FQ2 2020","Currency=USD","Period=FQ","BEST_FPERIOD_OVERRIDE=FQ","FILING_STATUS=MR","SCALING_FORMAT=MLN","Sort=A","Dates=H","DateFormat=P","Fill=—","Direction=H","UseDPDF=Y")</f>
        <v>459</v>
      </c>
      <c r="I37" s="16" cm="1">
        <f t="array" ref="I37">_xll.BDH("CAT US Equity","IS_INC_BEF_XO_ITEM","FQ3 2020","FQ3 2020","Currency=USD","Period=FQ","BEST_FPERIOD_OVERRIDE=FQ","FILING_STATUS=MR","SCALING_FORMAT=MLN","Sort=A","Dates=H","DateFormat=P","Fill=—","Direction=H","UseDPDF=Y")</f>
        <v>671</v>
      </c>
      <c r="J37" s="16" cm="1">
        <f t="array" ref="J37">_xll.BDH("CAT US Equity","IS_INC_BEF_XO_ITEM","FQ4 2020","FQ4 2020","Currency=USD","Period=FQ","BEST_FPERIOD_OVERRIDE=FQ","FILING_STATUS=MR","SCALING_FORMAT=MLN","Sort=A","Dates=H","DateFormat=P","Fill=—","Direction=H","UseDPDF=Y")</f>
        <v>780</v>
      </c>
      <c r="K37" s="16" cm="1">
        <f t="array" ref="K37">_xll.BDH("CAT US Equity","IS_INC_BEF_XO_ITEM","FQ1 2021","FQ1 2021","Currency=USD","Period=FQ","BEST_FPERIOD_OVERRIDE=FQ","FILING_STATUS=MR","SCALING_FORMAT=MLN","Sort=A","Dates=H","DateFormat=P","Fill=—","Direction=H","UseDPDF=Y")</f>
        <v>1531</v>
      </c>
      <c r="L37" s="16" cm="1">
        <f t="array" ref="L37">_xll.BDH("CAT US Equity","IS_INC_BEF_XO_ITEM","FQ2 2021","FQ2 2021","Currency=USD","Period=FQ","BEST_FPERIOD_OVERRIDE=FQ","FILING_STATUS=MR","SCALING_FORMAT=MLN","Sort=A","Dates=H","DateFormat=P","Fill=—","Direction=H","UseDPDF=Y")</f>
        <v>1414</v>
      </c>
      <c r="M37" s="16" cm="1">
        <f t="array" ref="M37">_xll.BDH("CAT US Equity","IS_INC_BEF_XO_ITEM","FQ3 2021","FQ3 2021","Currency=USD","Period=FQ","BEST_FPERIOD_OVERRIDE=FQ","FILING_STATUS=MR","SCALING_FORMAT=MLN","Sort=A","Dates=H","DateFormat=P","Fill=—","Direction=H","UseDPDF=Y")</f>
        <v>1428</v>
      </c>
      <c r="N37" s="16" cm="1">
        <f t="array" ref="N37">_xll.BDH("CAT US Equity","IS_INC_BEF_XO_ITEM","FQ4 2021","FQ4 2021","Currency=USD","Period=FQ","BEST_FPERIOD_OVERRIDE=FQ","FILING_STATUS=MR","SCALING_FORMAT=MLN","Sort=A","Dates=H","DateFormat=P","Fill=—","Direction=H","UseDPDF=Y")</f>
        <v>2120</v>
      </c>
      <c r="O37" s="16" cm="1">
        <f t="array" ref="O37">_xll.BDH("CAT US Equity","IS_INC_BEF_XO_ITEM","FQ1 2022","FQ1 2022","Currency=USD","Period=FQ","BEST_FPERIOD_OVERRIDE=FQ","FILING_STATUS=MR","SCALING_FORMAT=MLN","Sort=A","Dates=H","DateFormat=P","Fill=—","Direction=H","UseDPDF=Y")</f>
        <v>1537</v>
      </c>
      <c r="P37" s="16" cm="1">
        <f t="array" ref="P37">_xll.BDH("CAT US Equity","IS_INC_BEF_XO_ITEM","FQ2 2022","FQ2 2022","Currency=USD","Period=FQ","BEST_FPERIOD_OVERRIDE=FQ","FILING_STATUS=MR","SCALING_FORMAT=MLN","Sort=A","Dates=H","DateFormat=P","Fill=—","Direction=H","UseDPDF=Y")</f>
        <v>1673</v>
      </c>
      <c r="Q37" s="16" cm="1">
        <f t="array" ref="Q37">_xll.BDH("CAT US Equity","IS_INC_BEF_XO_ITEM","FQ3 2022","FQ3 2022","Currency=USD","Period=FQ","BEST_FPERIOD_OVERRIDE=FQ","FILING_STATUS=MR","SCALING_FORMAT=MLN","Sort=A","Dates=H","DateFormat=P","Fill=—","Direction=H","UseDPDF=Y")</f>
        <v>2040</v>
      </c>
      <c r="R37" s="16" cm="1">
        <f t="array" ref="R37">_xll.BDH("CAT US Equity","IS_INC_BEF_XO_ITEM","FQ4 2022","FQ4 2022","Currency=USD","Period=FQ","BEST_FPERIOD_OVERRIDE=FQ","FILING_STATUS=MR","SCALING_FORMAT=MLN","Sort=A","Dates=H","DateFormat=P","Fill=—","Direction=H","UseDPDF=Y")</f>
        <v>1454</v>
      </c>
      <c r="S37" s="16" cm="1">
        <f t="array" ref="S37">_xll.BDH("CAT US Equity","IS_INC_BEF_XO_ITEM","FQ1 2023","FQ1 2023","Currency=USD","Period=FQ","BEST_FPERIOD_OVERRIDE=FQ","FILING_STATUS=MR","SCALING_FORMAT=MLN","Sort=A","Dates=H","DateFormat=P","Fill=—","Direction=H","UseDPDF=Y")</f>
        <v>1942</v>
      </c>
      <c r="T37" s="16" cm="1">
        <f t="array" ref="T37">_xll.BDH("CAT US Equity","IS_INC_BEF_XO_ITEM","FQ2 2023","FQ2 2023","Currency=USD","Period=FQ","BEST_FPERIOD_OVERRIDE=FQ","FILING_STATUS=MR","SCALING_FORMAT=MLN","Sort=A","Dates=H","DateFormat=P","Fill=—","Direction=H","UseDPDF=Y")</f>
        <v>2924</v>
      </c>
      <c r="U37" s="16" cm="1">
        <f t="array" ref="U37">_xll.BDH("CAT US Equity","IS_INC_BEF_XO_ITEM","FQ3 2023","FQ3 2023","Currency=USD","Period=FQ","BEST_FPERIOD_OVERRIDE=FQ","FILING_STATUS=MR","SCALING_FORMAT=MLN","Sort=A","Dates=H","DateFormat=P","Fill=—","Direction=H","UseDPDF=Y")</f>
        <v>2793</v>
      </c>
      <c r="V37" s="16" cm="1">
        <f t="array" ref="V37">_xll.BDH("CAT US Equity","IS_INC_BEF_XO_ITEM","FQ4 2023","FQ4 2023","Currency=USD","Period=FQ","BEST_FPERIOD_OVERRIDE=FQ","FILING_STATUS=MR","SCALING_FORMAT=MLN","Sort=A","Dates=H","DateFormat=P","Fill=—","Direction=H","UseDPDF=Y")</f>
        <v>2673</v>
      </c>
      <c r="W37" s="16" cm="1">
        <f t="array" ref="W37">_xll.BDH("CAT US Equity","IS_INC_BEF_XO_ITEM","FQ1 2024","FQ1 2024","Currency=USD","Period=FQ","BEST_FPERIOD_OVERRIDE=FQ","FILING_STATUS=MR","SCALING_FORMAT=MLN","Sort=A","Dates=H","DateFormat=P","Fill=—","Direction=H","UseDPDF=Y")</f>
        <v>2854</v>
      </c>
      <c r="X37" s="16" cm="1">
        <f t="array" ref="X37">_xll.BDH("CAT US Equity","IS_INC_BEF_XO_ITEM","FQ2 2024","FQ2 2024","Currency=USD","Period=FQ","BEST_FPERIOD_OVERRIDE=FQ","FILING_STATUS=MR","SCALING_FORMAT=MLN","Sort=A","Dates=H","DateFormat=P","Fill=—","Direction=H","UseDPDF=Y")</f>
        <v>2681</v>
      </c>
      <c r="Y37" s="16" cm="1">
        <f t="array" ref="Y37">_xll.BDH("CAT US Equity","IS_INC_BEF_XO_ITEM","FQ3 2024","FQ3 2024","Currency=USD","Period=FQ","BEST_FPERIOD_OVERRIDE=FQ","FILING_STATUS=MR","SCALING_FORMAT=MLN","Sort=A","Dates=H","DateFormat=P","Fill=—","Direction=H","UseDPDF=Y")</f>
        <v>2463</v>
      </c>
      <c r="Z37" s="16" cm="1">
        <f t="array" ref="Z37">_xll.BDH("CAT US Equity","IS_INC_BEF_XO_ITEM","FQ4 2024","FQ4 2024","Currency=USD","Period=FQ","BEST_FPERIOD_OVERRIDE=FQ","FILING_STATUS=MR","SCALING_FORMAT=MLN","Sort=A","Dates=H","DateFormat=P","Fill=—","Direction=H","UseDPDF=Y")</f>
        <v>2790</v>
      </c>
      <c r="AA37" s="16" cm="1">
        <f t="array" ref="AA37">_xll.BDH("CAT US Equity","IS_INC_BEF_XO_ITEM","FQ1 2025","FQ1 2025","Currency=USD","Period=FQ","BEST_FPERIOD_OVERRIDE=FQ","FILING_STATUS=MR","SCALING_FORMAT=MLN","Sort=A","Dates=H","DateFormat=P","Fill=—","Direction=H","UseDPDF=Y")</f>
        <v>2003</v>
      </c>
      <c r="AB37" s="16" cm="1">
        <f t="array" ref="AB37">_xll.BDH("CAT US Equity","IS_INC_BEF_XO_ITEM","FQ2 2025","FQ2 2025","Currency=USD","Period=FQ","BEST_FPERIOD_OVERRIDE=FQ","FILING_STATUS=MR","SCALING_FORMAT=MLN","Sort=A","Dates=H","DateFormat=P","Fill=—","Direction=H","UseDPDF=Y")</f>
        <v>2179</v>
      </c>
      <c r="AC37" s="16" cm="1">
        <f t="array" ref="AC37">_xll.BDH("CAT US Equity","IS_INC_BEF_XO_ITEM","FQ3 2025","FQ3 2025","Currency=USD","Period=FQ","BEST_FPERIOD_OVERRIDE=FQ","FILING_STATUS=MR","SCALING_FORMAT=MLN","Sort=A","Dates=H","DateFormat=P","Fill=—","Direction=H","UseDPDF=Y")</f>
        <v>2299</v>
      </c>
      <c r="AD37" s="16" cm="1">
        <f t="array" ref="AD37">_xll.BDH("CAT US Equity","IS_INC_BEF_XO_ITEM","FQ4 2025","FQ4 2025","Currency=USD","Period=FQ","BEST_FPERIOD_OVERRIDE=FQ","FILING_STATUS=MR","SCALING_FORMAT=MLN","Sort=A","Dates=H","DateFormat=P","Fill=—","Direction=H","UseDPDF=Y")</f>
        <v>2401</v>
      </c>
      <c r="AE37" s="16">
        <v>2028</v>
      </c>
      <c r="AF37" s="16">
        <v>2571.4169999999999</v>
      </c>
    </row>
    <row r="38" spans="1:32" x14ac:dyDescent="0.25">
      <c r="A38" s="10" t="s">
        <v>128</v>
      </c>
      <c r="B38" s="10" t="s">
        <v>129</v>
      </c>
      <c r="C38" s="13" cm="1">
        <f t="array" ref="C38">_xll.BDH("CAT US Equity","XO_GL_NET_OF_TAX","FQ1 2019","FQ1 2019","Currency=USD","Period=FQ","BEST_FPERIOD_OVERRIDE=FQ","FILING_STATUS=MR","SCALING_FORMAT=MLN","Sort=A","Dates=H","DateFormat=P","Fill=—","Direction=H","UseDPDF=Y")</f>
        <v>0</v>
      </c>
      <c r="D38" s="13" cm="1">
        <f t="array" ref="D38">_xll.BDH("CAT US Equity","XO_GL_NET_OF_TAX","FQ2 2019","FQ2 2019","Currency=USD","Period=FQ","BEST_FPERIOD_OVERRIDE=FQ","FILING_STATUS=MR","SCALING_FORMAT=MLN","Sort=A","Dates=H","DateFormat=P","Fill=—","Direction=H","UseDPDF=Y")</f>
        <v>0</v>
      </c>
      <c r="E38" s="13" cm="1">
        <f t="array" ref="E38">_xll.BDH("CAT US Equity","XO_GL_NET_OF_TAX","FQ3 2019","FQ3 2019","Currency=USD","Period=FQ","BEST_FPERIOD_OVERRIDE=FQ","FILING_STATUS=MR","SCALING_FORMAT=MLN","Sort=A","Dates=H","DateFormat=P","Fill=—","Direction=H","UseDPDF=Y")</f>
        <v>0</v>
      </c>
      <c r="F38" s="13" cm="1">
        <f t="array" ref="F38">_xll.BDH("CAT US Equity","XO_GL_NET_OF_TAX","FQ4 2019","FQ4 2019","Currency=USD","Period=FQ","BEST_FPERIOD_OVERRIDE=FQ","FILING_STATUS=MR","SCALING_FORMAT=MLN","Sort=A","Dates=H","DateFormat=P","Fill=—","Direction=H","UseDPDF=Y")</f>
        <v>0</v>
      </c>
      <c r="G38" s="13" cm="1">
        <f t="array" ref="G38">_xll.BDH("CAT US Equity","XO_GL_NET_OF_TAX","FQ1 2020","FQ1 2020","Currency=USD","Period=FQ","BEST_FPERIOD_OVERRIDE=FQ","FILING_STATUS=MR","SCALING_FORMAT=MLN","Sort=A","Dates=H","DateFormat=P","Fill=—","Direction=H","UseDPDF=Y")</f>
        <v>0</v>
      </c>
      <c r="H38" s="13" cm="1">
        <f t="array" ref="H38">_xll.BDH("CAT US Equity","XO_GL_NET_OF_TAX","FQ2 2020","FQ2 2020","Currency=USD","Period=FQ","BEST_FPERIOD_OVERRIDE=FQ","FILING_STATUS=MR","SCALING_FORMAT=MLN","Sort=A","Dates=H","DateFormat=P","Fill=—","Direction=H","UseDPDF=Y")</f>
        <v>0</v>
      </c>
      <c r="I38" s="13" cm="1">
        <f t="array" ref="I38">_xll.BDH("CAT US Equity","XO_GL_NET_OF_TAX","FQ3 2020","FQ3 2020","Currency=USD","Period=FQ","BEST_FPERIOD_OVERRIDE=FQ","FILING_STATUS=MR","SCALING_FORMAT=MLN","Sort=A","Dates=H","DateFormat=P","Fill=—","Direction=H","UseDPDF=Y")</f>
        <v>0</v>
      </c>
      <c r="J38" s="13" cm="1">
        <f t="array" ref="J38">_xll.BDH("CAT US Equity","XO_GL_NET_OF_TAX","FQ4 2020","FQ4 2020","Currency=USD","Period=FQ","BEST_FPERIOD_OVERRIDE=FQ","FILING_STATUS=MR","SCALING_FORMAT=MLN","Sort=A","Dates=H","DateFormat=P","Fill=—","Direction=H","UseDPDF=Y")</f>
        <v>0</v>
      </c>
      <c r="K38" s="13" cm="1">
        <f t="array" ref="K38">_xll.BDH("CAT US Equity","XO_GL_NET_OF_TAX","FQ1 2021","FQ1 2021","Currency=USD","Period=FQ","BEST_FPERIOD_OVERRIDE=FQ","FILING_STATUS=MR","SCALING_FORMAT=MLN","Sort=A","Dates=H","DateFormat=P","Fill=—","Direction=H","UseDPDF=Y")</f>
        <v>0</v>
      </c>
      <c r="L38" s="13" cm="1">
        <f t="array" ref="L38">_xll.BDH("CAT US Equity","XO_GL_NET_OF_TAX","FQ2 2021","FQ2 2021","Currency=USD","Period=FQ","BEST_FPERIOD_OVERRIDE=FQ","FILING_STATUS=MR","SCALING_FORMAT=MLN","Sort=A","Dates=H","DateFormat=P","Fill=—","Direction=H","UseDPDF=Y")</f>
        <v>0</v>
      </c>
      <c r="M38" s="13" cm="1">
        <f t="array" ref="M38">_xll.BDH("CAT US Equity","XO_GL_NET_OF_TAX","FQ3 2021","FQ3 2021","Currency=USD","Period=FQ","BEST_FPERIOD_OVERRIDE=FQ","FILING_STATUS=MR","SCALING_FORMAT=MLN","Sort=A","Dates=H","DateFormat=P","Fill=—","Direction=H","UseDPDF=Y")</f>
        <v>0</v>
      </c>
      <c r="N38" s="13" cm="1">
        <f t="array" ref="N38">_xll.BDH("CAT US Equity","XO_GL_NET_OF_TAX","FQ4 2021","FQ4 2021","Currency=USD","Period=FQ","BEST_FPERIOD_OVERRIDE=FQ","FILING_STATUS=MR","SCALING_FORMAT=MLN","Sort=A","Dates=H","DateFormat=P","Fill=—","Direction=H","UseDPDF=Y")</f>
        <v>0</v>
      </c>
      <c r="O38" s="13" cm="1">
        <f t="array" ref="O38">_xll.BDH("CAT US Equity","XO_GL_NET_OF_TAX","FQ1 2022","FQ1 2022","Currency=USD","Period=FQ","BEST_FPERIOD_OVERRIDE=FQ","FILING_STATUS=MR","SCALING_FORMAT=MLN","Sort=A","Dates=H","DateFormat=P","Fill=—","Direction=H","UseDPDF=Y")</f>
        <v>0</v>
      </c>
      <c r="P38" s="13" cm="1">
        <f t="array" ref="P38">_xll.BDH("CAT US Equity","XO_GL_NET_OF_TAX","FQ2 2022","FQ2 2022","Currency=USD","Period=FQ","BEST_FPERIOD_OVERRIDE=FQ","FILING_STATUS=MR","SCALING_FORMAT=MLN","Sort=A","Dates=H","DateFormat=P","Fill=—","Direction=H","UseDPDF=Y")</f>
        <v>0</v>
      </c>
      <c r="Q38" s="13" cm="1">
        <f t="array" ref="Q38">_xll.BDH("CAT US Equity","XO_GL_NET_OF_TAX","FQ3 2022","FQ3 2022","Currency=USD","Period=FQ","BEST_FPERIOD_OVERRIDE=FQ","FILING_STATUS=MR","SCALING_FORMAT=MLN","Sort=A","Dates=H","DateFormat=P","Fill=—","Direction=H","UseDPDF=Y")</f>
        <v>0</v>
      </c>
      <c r="R38" s="13" cm="1">
        <f t="array" ref="R38">_xll.BDH("CAT US Equity","XO_GL_NET_OF_TAX","FQ4 2022","FQ4 2022","Currency=USD","Period=FQ","BEST_FPERIOD_OVERRIDE=FQ","FILING_STATUS=MR","SCALING_FORMAT=MLN","Sort=A","Dates=H","DateFormat=P","Fill=—","Direction=H","UseDPDF=Y")</f>
        <v>0</v>
      </c>
      <c r="S38" s="13" cm="1">
        <f t="array" ref="S38">_xll.BDH("CAT US Equity","XO_GL_NET_OF_TAX","FQ1 2023","FQ1 2023","Currency=USD","Period=FQ","BEST_FPERIOD_OVERRIDE=FQ","FILING_STATUS=MR","SCALING_FORMAT=MLN","Sort=A","Dates=H","DateFormat=P","Fill=—","Direction=H","UseDPDF=Y")</f>
        <v>0</v>
      </c>
      <c r="T38" s="13" cm="1">
        <f t="array" ref="T38">_xll.BDH("CAT US Equity","XO_GL_NET_OF_TAX","FQ2 2023","FQ2 2023","Currency=USD","Period=FQ","BEST_FPERIOD_OVERRIDE=FQ","FILING_STATUS=MR","SCALING_FORMAT=MLN","Sort=A","Dates=H","DateFormat=P","Fill=—","Direction=H","UseDPDF=Y")</f>
        <v>0</v>
      </c>
      <c r="U38" s="13" cm="1">
        <f t="array" ref="U38">_xll.BDH("CAT US Equity","XO_GL_NET_OF_TAX","FQ3 2023","FQ3 2023","Currency=USD","Period=FQ","BEST_FPERIOD_OVERRIDE=FQ","FILING_STATUS=MR","SCALING_FORMAT=MLN","Sort=A","Dates=H","DateFormat=P","Fill=—","Direction=H","UseDPDF=Y")</f>
        <v>0</v>
      </c>
      <c r="V38" s="13" cm="1">
        <f t="array" ref="V38">_xll.BDH("CAT US Equity","XO_GL_NET_OF_TAX","FQ4 2023","FQ4 2023","Currency=USD","Period=FQ","BEST_FPERIOD_OVERRIDE=FQ","FILING_STATUS=MR","SCALING_FORMAT=MLN","Sort=A","Dates=H","DateFormat=P","Fill=—","Direction=H","UseDPDF=Y")</f>
        <v>0</v>
      </c>
      <c r="W38" s="13" cm="1">
        <f t="array" ref="W38">_xll.BDH("CAT US Equity","XO_GL_NET_OF_TAX","FQ1 2024","FQ1 2024","Currency=USD","Period=FQ","BEST_FPERIOD_OVERRIDE=FQ","FILING_STATUS=MR","SCALING_FORMAT=MLN","Sort=A","Dates=H","DateFormat=P","Fill=—","Direction=H","UseDPDF=Y")</f>
        <v>0</v>
      </c>
      <c r="X38" s="13" cm="1">
        <f t="array" ref="X38">_xll.BDH("CAT US Equity","XO_GL_NET_OF_TAX","FQ2 2024","FQ2 2024","Currency=USD","Period=FQ","BEST_FPERIOD_OVERRIDE=FQ","FILING_STATUS=MR","SCALING_FORMAT=MLN","Sort=A","Dates=H","DateFormat=P","Fill=—","Direction=H","UseDPDF=Y")</f>
        <v>0</v>
      </c>
      <c r="Y38" s="13" cm="1">
        <f t="array" ref="Y38">_xll.BDH("CAT US Equity","XO_GL_NET_OF_TAX","FQ3 2024","FQ3 2024","Currency=USD","Period=FQ","BEST_FPERIOD_OVERRIDE=FQ","FILING_STATUS=MR","SCALING_FORMAT=MLN","Sort=A","Dates=H","DateFormat=P","Fill=—","Direction=H","UseDPDF=Y")</f>
        <v>0</v>
      </c>
      <c r="Z38" s="13" cm="1">
        <f t="array" ref="Z38">_xll.BDH("CAT US Equity","XO_GL_NET_OF_TAX","FQ4 2024","FQ4 2024","Currency=USD","Period=FQ","BEST_FPERIOD_OVERRIDE=FQ","FILING_STATUS=MR","SCALING_FORMAT=MLN","Sort=A","Dates=H","DateFormat=P","Fill=—","Direction=H","UseDPDF=Y")</f>
        <v>0</v>
      </c>
      <c r="AA38" s="13" cm="1">
        <f t="array" ref="AA38">_xll.BDH("CAT US Equity","XO_GL_NET_OF_TAX","FQ1 2025","FQ1 2025","Currency=USD","Period=FQ","BEST_FPERIOD_OVERRIDE=FQ","FILING_STATUS=MR","SCALING_FORMAT=MLN","Sort=A","Dates=H","DateFormat=P","Fill=—","Direction=H","UseDPDF=Y")</f>
        <v>0</v>
      </c>
      <c r="AB38" s="13" cm="1">
        <f t="array" ref="AB38">_xll.BDH("CAT US Equity","XO_GL_NET_OF_TAX","FQ2 2025","FQ2 2025","Currency=USD","Period=FQ","BEST_FPERIOD_OVERRIDE=FQ","FILING_STATUS=MR","SCALING_FORMAT=MLN","Sort=A","Dates=H","DateFormat=P","Fill=—","Direction=H","UseDPDF=Y")</f>
        <v>0</v>
      </c>
      <c r="AC38" s="13" cm="1">
        <f t="array" ref="AC38">_xll.BDH("CAT US Equity","XO_GL_NET_OF_TAX","FQ3 2025","FQ3 2025","Currency=USD","Period=FQ","BEST_FPERIOD_OVERRIDE=FQ","FILING_STATUS=MR","SCALING_FORMAT=MLN","Sort=A","Dates=H","DateFormat=P","Fill=—","Direction=H","UseDPDF=Y")</f>
        <v>0</v>
      </c>
      <c r="AD38" s="13" cm="1">
        <f t="array" ref="AD38">_xll.BDH("CAT US Equity","XO_GL_NET_OF_TAX","FQ4 2025","FQ4 2025","Currency=USD","Period=FQ","BEST_FPERIOD_OVERRIDE=FQ","FILING_STATUS=MR","SCALING_FORMAT=MLN","Sort=A","Dates=H","DateFormat=P","Fill=—","Direction=H","UseDPDF=Y")</f>
        <v>0</v>
      </c>
      <c r="AE38" s="13"/>
      <c r="AF38" s="13"/>
    </row>
    <row r="39" spans="1:32" x14ac:dyDescent="0.25">
      <c r="A39" s="10" t="s">
        <v>130</v>
      </c>
      <c r="B39" s="10" t="s">
        <v>131</v>
      </c>
      <c r="C39" s="13" cm="1">
        <f t="array" ref="C39">_xll.BDH("CAT US Equity","IS_DISCONTINUED_OPERATIONS","FQ1 2019","FQ1 2019","Currency=USD","Period=FQ","BEST_FPERIOD_OVERRIDE=FQ","FILING_STATUS=MR","SCALING_FORMAT=MLN","Sort=A","Dates=H","DateFormat=P","Fill=—","Direction=H","UseDPDF=Y")</f>
        <v>0</v>
      </c>
      <c r="D39" s="13" cm="1">
        <f t="array" ref="D39">_xll.BDH("CAT US Equity","IS_DISCONTINUED_OPERATIONS","FQ2 2019","FQ2 2019","Currency=USD","Period=FQ","BEST_FPERIOD_OVERRIDE=FQ","FILING_STATUS=MR","SCALING_FORMAT=MLN","Sort=A","Dates=H","DateFormat=P","Fill=—","Direction=H","UseDPDF=Y")</f>
        <v>0</v>
      </c>
      <c r="E39" s="13" cm="1">
        <f t="array" ref="E39">_xll.BDH("CAT US Equity","IS_DISCONTINUED_OPERATIONS","FQ3 2019","FQ3 2019","Currency=USD","Period=FQ","BEST_FPERIOD_OVERRIDE=FQ","FILING_STATUS=MR","SCALING_FORMAT=MLN","Sort=A","Dates=H","DateFormat=P","Fill=—","Direction=H","UseDPDF=Y")</f>
        <v>0</v>
      </c>
      <c r="F39" s="13" cm="1">
        <f t="array" ref="F39">_xll.BDH("CAT US Equity","IS_DISCONTINUED_OPERATIONS","FQ4 2019","FQ4 2019","Currency=USD","Period=FQ","BEST_FPERIOD_OVERRIDE=FQ","FILING_STATUS=MR","SCALING_FORMAT=MLN","Sort=A","Dates=H","DateFormat=P","Fill=—","Direction=H","UseDPDF=Y")</f>
        <v>0</v>
      </c>
      <c r="G39" s="13" cm="1">
        <f t="array" ref="G39">_xll.BDH("CAT US Equity","IS_DISCONTINUED_OPERATIONS","FQ1 2020","FQ1 2020","Currency=USD","Period=FQ","BEST_FPERIOD_OVERRIDE=FQ","FILING_STATUS=MR","SCALING_FORMAT=MLN","Sort=A","Dates=H","DateFormat=P","Fill=—","Direction=H","UseDPDF=Y")</f>
        <v>0</v>
      </c>
      <c r="H39" s="13" cm="1">
        <f t="array" ref="H39">_xll.BDH("CAT US Equity","IS_DISCONTINUED_OPERATIONS","FQ2 2020","FQ2 2020","Currency=USD","Period=FQ","BEST_FPERIOD_OVERRIDE=FQ","FILING_STATUS=MR","SCALING_FORMAT=MLN","Sort=A","Dates=H","DateFormat=P","Fill=—","Direction=H","UseDPDF=Y")</f>
        <v>0</v>
      </c>
      <c r="I39" s="13" cm="1">
        <f t="array" ref="I39">_xll.BDH("CAT US Equity","IS_DISCONTINUED_OPERATIONS","FQ3 2020","FQ3 2020","Currency=USD","Period=FQ","BEST_FPERIOD_OVERRIDE=FQ","FILING_STATUS=MR","SCALING_FORMAT=MLN","Sort=A","Dates=H","DateFormat=P","Fill=—","Direction=H","UseDPDF=Y")</f>
        <v>0</v>
      </c>
      <c r="J39" s="13" cm="1">
        <f t="array" ref="J39">_xll.BDH("CAT US Equity","IS_DISCONTINUED_OPERATIONS","FQ4 2020","FQ4 2020","Currency=USD","Period=FQ","BEST_FPERIOD_OVERRIDE=FQ","FILING_STATUS=MR","SCALING_FORMAT=MLN","Sort=A","Dates=H","DateFormat=P","Fill=—","Direction=H","UseDPDF=Y")</f>
        <v>0</v>
      </c>
      <c r="K39" s="13" cm="1">
        <f t="array" ref="K39">_xll.BDH("CAT US Equity","IS_DISCONTINUED_OPERATIONS","FQ1 2021","FQ1 2021","Currency=USD","Period=FQ","BEST_FPERIOD_OVERRIDE=FQ","FILING_STATUS=MR","SCALING_FORMAT=MLN","Sort=A","Dates=H","DateFormat=P","Fill=—","Direction=H","UseDPDF=Y")</f>
        <v>0</v>
      </c>
      <c r="L39" s="13" cm="1">
        <f t="array" ref="L39">_xll.BDH("CAT US Equity","IS_DISCONTINUED_OPERATIONS","FQ2 2021","FQ2 2021","Currency=USD","Period=FQ","BEST_FPERIOD_OVERRIDE=FQ","FILING_STATUS=MR","SCALING_FORMAT=MLN","Sort=A","Dates=H","DateFormat=P","Fill=—","Direction=H","UseDPDF=Y")</f>
        <v>0</v>
      </c>
      <c r="M39" s="13" cm="1">
        <f t="array" ref="M39">_xll.BDH("CAT US Equity","IS_DISCONTINUED_OPERATIONS","FQ3 2021","FQ3 2021","Currency=USD","Period=FQ","BEST_FPERIOD_OVERRIDE=FQ","FILING_STATUS=MR","SCALING_FORMAT=MLN","Sort=A","Dates=H","DateFormat=P","Fill=—","Direction=H","UseDPDF=Y")</f>
        <v>0</v>
      </c>
      <c r="N39" s="13" cm="1">
        <f t="array" ref="N39">_xll.BDH("CAT US Equity","IS_DISCONTINUED_OPERATIONS","FQ4 2021","FQ4 2021","Currency=USD","Period=FQ","BEST_FPERIOD_OVERRIDE=FQ","FILING_STATUS=MR","SCALING_FORMAT=MLN","Sort=A","Dates=H","DateFormat=P","Fill=—","Direction=H","UseDPDF=Y")</f>
        <v>0</v>
      </c>
      <c r="O39" s="13" cm="1">
        <f t="array" ref="O39">_xll.BDH("CAT US Equity","IS_DISCONTINUED_OPERATIONS","FQ1 2022","FQ1 2022","Currency=USD","Period=FQ","BEST_FPERIOD_OVERRIDE=FQ","FILING_STATUS=MR","SCALING_FORMAT=MLN","Sort=A","Dates=H","DateFormat=P","Fill=—","Direction=H","UseDPDF=Y")</f>
        <v>0</v>
      </c>
      <c r="P39" s="13" cm="1">
        <f t="array" ref="P39">_xll.BDH("CAT US Equity","IS_DISCONTINUED_OPERATIONS","FQ2 2022","FQ2 2022","Currency=USD","Period=FQ","BEST_FPERIOD_OVERRIDE=FQ","FILING_STATUS=MR","SCALING_FORMAT=MLN","Sort=A","Dates=H","DateFormat=P","Fill=—","Direction=H","UseDPDF=Y")</f>
        <v>0</v>
      </c>
      <c r="Q39" s="13" cm="1">
        <f t="array" ref="Q39">_xll.BDH("CAT US Equity","IS_DISCONTINUED_OPERATIONS","FQ3 2022","FQ3 2022","Currency=USD","Period=FQ","BEST_FPERIOD_OVERRIDE=FQ","FILING_STATUS=MR","SCALING_FORMAT=MLN","Sort=A","Dates=H","DateFormat=P","Fill=—","Direction=H","UseDPDF=Y")</f>
        <v>0</v>
      </c>
      <c r="R39" s="13" cm="1">
        <f t="array" ref="R39">_xll.BDH("CAT US Equity","IS_DISCONTINUED_OPERATIONS","FQ4 2022","FQ4 2022","Currency=USD","Period=FQ","BEST_FPERIOD_OVERRIDE=FQ","FILING_STATUS=MR","SCALING_FORMAT=MLN","Sort=A","Dates=H","DateFormat=P","Fill=—","Direction=H","UseDPDF=Y")</f>
        <v>0</v>
      </c>
      <c r="S39" s="13" cm="1">
        <f t="array" ref="S39">_xll.BDH("CAT US Equity","IS_DISCONTINUED_OPERATIONS","FQ1 2023","FQ1 2023","Currency=USD","Period=FQ","BEST_FPERIOD_OVERRIDE=FQ","FILING_STATUS=MR","SCALING_FORMAT=MLN","Sort=A","Dates=H","DateFormat=P","Fill=—","Direction=H","UseDPDF=Y")</f>
        <v>0</v>
      </c>
      <c r="T39" s="13" cm="1">
        <f t="array" ref="T39">_xll.BDH("CAT US Equity","IS_DISCONTINUED_OPERATIONS","FQ2 2023","FQ2 2023","Currency=USD","Period=FQ","BEST_FPERIOD_OVERRIDE=FQ","FILING_STATUS=MR","SCALING_FORMAT=MLN","Sort=A","Dates=H","DateFormat=P","Fill=—","Direction=H","UseDPDF=Y")</f>
        <v>0</v>
      </c>
      <c r="U39" s="13" cm="1">
        <f t="array" ref="U39">_xll.BDH("CAT US Equity","IS_DISCONTINUED_OPERATIONS","FQ3 2023","FQ3 2023","Currency=USD","Period=FQ","BEST_FPERIOD_OVERRIDE=FQ","FILING_STATUS=MR","SCALING_FORMAT=MLN","Sort=A","Dates=H","DateFormat=P","Fill=—","Direction=H","UseDPDF=Y")</f>
        <v>0</v>
      </c>
      <c r="V39" s="13" cm="1">
        <f t="array" ref="V39">_xll.BDH("CAT US Equity","IS_DISCONTINUED_OPERATIONS","FQ4 2023","FQ4 2023","Currency=USD","Period=FQ","BEST_FPERIOD_OVERRIDE=FQ","FILING_STATUS=MR","SCALING_FORMAT=MLN","Sort=A","Dates=H","DateFormat=P","Fill=—","Direction=H","UseDPDF=Y")</f>
        <v>0</v>
      </c>
      <c r="W39" s="13" cm="1">
        <f t="array" ref="W39">_xll.BDH("CAT US Equity","IS_DISCONTINUED_OPERATIONS","FQ1 2024","FQ1 2024","Currency=USD","Period=FQ","BEST_FPERIOD_OVERRIDE=FQ","FILING_STATUS=MR","SCALING_FORMAT=MLN","Sort=A","Dates=H","DateFormat=P","Fill=—","Direction=H","UseDPDF=Y")</f>
        <v>0</v>
      </c>
      <c r="X39" s="13" cm="1">
        <f t="array" ref="X39">_xll.BDH("CAT US Equity","IS_DISCONTINUED_OPERATIONS","FQ2 2024","FQ2 2024","Currency=USD","Period=FQ","BEST_FPERIOD_OVERRIDE=FQ","FILING_STATUS=MR","SCALING_FORMAT=MLN","Sort=A","Dates=H","DateFormat=P","Fill=—","Direction=H","UseDPDF=Y")</f>
        <v>0</v>
      </c>
      <c r="Y39" s="13" cm="1">
        <f t="array" ref="Y39">_xll.BDH("CAT US Equity","IS_DISCONTINUED_OPERATIONS","FQ3 2024","FQ3 2024","Currency=USD","Period=FQ","BEST_FPERIOD_OVERRIDE=FQ","FILING_STATUS=MR","SCALING_FORMAT=MLN","Sort=A","Dates=H","DateFormat=P","Fill=—","Direction=H","UseDPDF=Y")</f>
        <v>0</v>
      </c>
      <c r="Z39" s="13" cm="1">
        <f t="array" ref="Z39">_xll.BDH("CAT US Equity","IS_DISCONTINUED_OPERATIONS","FQ4 2024","FQ4 2024","Currency=USD","Period=FQ","BEST_FPERIOD_OVERRIDE=FQ","FILING_STATUS=MR","SCALING_FORMAT=MLN","Sort=A","Dates=H","DateFormat=P","Fill=—","Direction=H","UseDPDF=Y")</f>
        <v>0</v>
      </c>
      <c r="AA39" s="13" cm="1">
        <f t="array" ref="AA39">_xll.BDH("CAT US Equity","IS_DISCONTINUED_OPERATIONS","FQ1 2025","FQ1 2025","Currency=USD","Period=FQ","BEST_FPERIOD_OVERRIDE=FQ","FILING_STATUS=MR","SCALING_FORMAT=MLN","Sort=A","Dates=H","DateFormat=P","Fill=—","Direction=H","UseDPDF=Y")</f>
        <v>0</v>
      </c>
      <c r="AB39" s="13" cm="1">
        <f t="array" ref="AB39">_xll.BDH("CAT US Equity","IS_DISCONTINUED_OPERATIONS","FQ2 2025","FQ2 2025","Currency=USD","Period=FQ","BEST_FPERIOD_OVERRIDE=FQ","FILING_STATUS=MR","SCALING_FORMAT=MLN","Sort=A","Dates=H","DateFormat=P","Fill=—","Direction=H","UseDPDF=Y")</f>
        <v>0</v>
      </c>
      <c r="AC39" s="13" cm="1">
        <f t="array" ref="AC39">_xll.BDH("CAT US Equity","IS_DISCONTINUED_OPERATIONS","FQ3 2025","FQ3 2025","Currency=USD","Period=FQ","BEST_FPERIOD_OVERRIDE=FQ","FILING_STATUS=MR","SCALING_FORMAT=MLN","Sort=A","Dates=H","DateFormat=P","Fill=—","Direction=H","UseDPDF=Y")</f>
        <v>0</v>
      </c>
      <c r="AD39" s="13" cm="1">
        <f t="array" ref="AD39">_xll.BDH("CAT US Equity","IS_DISCONTINUED_OPERATIONS","FQ4 2025","FQ4 2025","Currency=USD","Period=FQ","BEST_FPERIOD_OVERRIDE=FQ","FILING_STATUS=MR","SCALING_FORMAT=MLN","Sort=A","Dates=H","DateFormat=P","Fill=—","Direction=H","UseDPDF=Y")</f>
        <v>0</v>
      </c>
      <c r="AE39" s="13"/>
      <c r="AF39" s="13"/>
    </row>
    <row r="40" spans="1:32" x14ac:dyDescent="0.25">
      <c r="A40" s="10" t="s">
        <v>132</v>
      </c>
      <c r="B40" s="10" t="s">
        <v>133</v>
      </c>
      <c r="C40" s="13" cm="1">
        <f t="array" ref="C40">_xll.BDH("CAT US Equity","EXTRAORD_ITEMS_ACCOUNTING_CHANGS","FQ1 2019","FQ1 2019","Currency=USD","Period=FQ","BEST_FPERIOD_OVERRIDE=FQ","FILING_STATUS=MR","SCALING_FORMAT=MLN","Sort=A","Dates=H","DateFormat=P","Fill=—","Direction=H","UseDPDF=Y")</f>
        <v>0</v>
      </c>
      <c r="D40" s="13" cm="1">
        <f t="array" ref="D40">_xll.BDH("CAT US Equity","EXTRAORD_ITEMS_ACCOUNTING_CHANGS","FQ2 2019","FQ2 2019","Currency=USD","Period=FQ","BEST_FPERIOD_OVERRIDE=FQ","FILING_STATUS=MR","SCALING_FORMAT=MLN","Sort=A","Dates=H","DateFormat=P","Fill=—","Direction=H","UseDPDF=Y")</f>
        <v>0</v>
      </c>
      <c r="E40" s="13" cm="1">
        <f t="array" ref="E40">_xll.BDH("CAT US Equity","EXTRAORD_ITEMS_ACCOUNTING_CHANGS","FQ3 2019","FQ3 2019","Currency=USD","Period=FQ","BEST_FPERIOD_OVERRIDE=FQ","FILING_STATUS=MR","SCALING_FORMAT=MLN","Sort=A","Dates=H","DateFormat=P","Fill=—","Direction=H","UseDPDF=Y")</f>
        <v>0</v>
      </c>
      <c r="F40" s="13" cm="1">
        <f t="array" ref="F40">_xll.BDH("CAT US Equity","EXTRAORD_ITEMS_ACCOUNTING_CHANGS","FQ4 2019","FQ4 2019","Currency=USD","Period=FQ","BEST_FPERIOD_OVERRIDE=FQ","FILING_STATUS=MR","SCALING_FORMAT=MLN","Sort=A","Dates=H","DateFormat=P","Fill=—","Direction=H","UseDPDF=Y")</f>
        <v>0</v>
      </c>
      <c r="G40" s="13" cm="1">
        <f t="array" ref="G40">_xll.BDH("CAT US Equity","EXTRAORD_ITEMS_ACCOUNTING_CHANGS","FQ1 2020","FQ1 2020","Currency=USD","Period=FQ","BEST_FPERIOD_OVERRIDE=FQ","FILING_STATUS=MR","SCALING_FORMAT=MLN","Sort=A","Dates=H","DateFormat=P","Fill=—","Direction=H","UseDPDF=Y")</f>
        <v>0</v>
      </c>
      <c r="H40" s="13" cm="1">
        <f t="array" ref="H40">_xll.BDH("CAT US Equity","EXTRAORD_ITEMS_ACCOUNTING_CHANGS","FQ2 2020","FQ2 2020","Currency=USD","Period=FQ","BEST_FPERIOD_OVERRIDE=FQ","FILING_STATUS=MR","SCALING_FORMAT=MLN","Sort=A","Dates=H","DateFormat=P","Fill=—","Direction=H","UseDPDF=Y")</f>
        <v>0</v>
      </c>
      <c r="I40" s="13" cm="1">
        <f t="array" ref="I40">_xll.BDH("CAT US Equity","EXTRAORD_ITEMS_ACCOUNTING_CHANGS","FQ3 2020","FQ3 2020","Currency=USD","Period=FQ","BEST_FPERIOD_OVERRIDE=FQ","FILING_STATUS=MR","SCALING_FORMAT=MLN","Sort=A","Dates=H","DateFormat=P","Fill=—","Direction=H","UseDPDF=Y")</f>
        <v>0</v>
      </c>
      <c r="J40" s="13" cm="1">
        <f t="array" ref="J40">_xll.BDH("CAT US Equity","EXTRAORD_ITEMS_ACCOUNTING_CHANGS","FQ4 2020","FQ4 2020","Currency=USD","Period=FQ","BEST_FPERIOD_OVERRIDE=FQ","FILING_STATUS=MR","SCALING_FORMAT=MLN","Sort=A","Dates=H","DateFormat=P","Fill=—","Direction=H","UseDPDF=Y")</f>
        <v>0</v>
      </c>
      <c r="K40" s="13" cm="1">
        <f t="array" ref="K40">_xll.BDH("CAT US Equity","EXTRAORD_ITEMS_ACCOUNTING_CHANGS","FQ1 2021","FQ1 2021","Currency=USD","Period=FQ","BEST_FPERIOD_OVERRIDE=FQ","FILING_STATUS=MR","SCALING_FORMAT=MLN","Sort=A","Dates=H","DateFormat=P","Fill=—","Direction=H","UseDPDF=Y")</f>
        <v>0</v>
      </c>
      <c r="L40" s="13" cm="1">
        <f t="array" ref="L40">_xll.BDH("CAT US Equity","EXTRAORD_ITEMS_ACCOUNTING_CHANGS","FQ2 2021","FQ2 2021","Currency=USD","Period=FQ","BEST_FPERIOD_OVERRIDE=FQ","FILING_STATUS=MR","SCALING_FORMAT=MLN","Sort=A","Dates=H","DateFormat=P","Fill=—","Direction=H","UseDPDF=Y")</f>
        <v>0</v>
      </c>
      <c r="M40" s="13" cm="1">
        <f t="array" ref="M40">_xll.BDH("CAT US Equity","EXTRAORD_ITEMS_ACCOUNTING_CHANGS","FQ3 2021","FQ3 2021","Currency=USD","Period=FQ","BEST_FPERIOD_OVERRIDE=FQ","FILING_STATUS=MR","SCALING_FORMAT=MLN","Sort=A","Dates=H","DateFormat=P","Fill=—","Direction=H","UseDPDF=Y")</f>
        <v>0</v>
      </c>
      <c r="N40" s="13" cm="1">
        <f t="array" ref="N40">_xll.BDH("CAT US Equity","EXTRAORD_ITEMS_ACCOUNTING_CHANGS","FQ4 2021","FQ4 2021","Currency=USD","Period=FQ","BEST_FPERIOD_OVERRIDE=FQ","FILING_STATUS=MR","SCALING_FORMAT=MLN","Sort=A","Dates=H","DateFormat=P","Fill=—","Direction=H","UseDPDF=Y")</f>
        <v>0</v>
      </c>
      <c r="O40" s="13" cm="1">
        <f t="array" ref="O40">_xll.BDH("CAT US Equity","EXTRAORD_ITEMS_ACCOUNTING_CHANGS","FQ1 2022","FQ1 2022","Currency=USD","Period=FQ","BEST_FPERIOD_OVERRIDE=FQ","FILING_STATUS=MR","SCALING_FORMAT=MLN","Sort=A","Dates=H","DateFormat=P","Fill=—","Direction=H","UseDPDF=Y")</f>
        <v>0</v>
      </c>
      <c r="P40" s="13" cm="1">
        <f t="array" ref="P40">_xll.BDH("CAT US Equity","EXTRAORD_ITEMS_ACCOUNTING_CHANGS","FQ2 2022","FQ2 2022","Currency=USD","Period=FQ","BEST_FPERIOD_OVERRIDE=FQ","FILING_STATUS=MR","SCALING_FORMAT=MLN","Sort=A","Dates=H","DateFormat=P","Fill=—","Direction=H","UseDPDF=Y")</f>
        <v>0</v>
      </c>
      <c r="Q40" s="13" cm="1">
        <f t="array" ref="Q40">_xll.BDH("CAT US Equity","EXTRAORD_ITEMS_ACCOUNTING_CHANGS","FQ3 2022","FQ3 2022","Currency=USD","Period=FQ","BEST_FPERIOD_OVERRIDE=FQ","FILING_STATUS=MR","SCALING_FORMAT=MLN","Sort=A","Dates=H","DateFormat=P","Fill=—","Direction=H","UseDPDF=Y")</f>
        <v>0</v>
      </c>
      <c r="R40" s="13" cm="1">
        <f t="array" ref="R40">_xll.BDH("CAT US Equity","EXTRAORD_ITEMS_ACCOUNTING_CHANGS","FQ4 2022","FQ4 2022","Currency=USD","Period=FQ","BEST_FPERIOD_OVERRIDE=FQ","FILING_STATUS=MR","SCALING_FORMAT=MLN","Sort=A","Dates=H","DateFormat=P","Fill=—","Direction=H","UseDPDF=Y")</f>
        <v>0</v>
      </c>
      <c r="S40" s="13" cm="1">
        <f t="array" ref="S40">_xll.BDH("CAT US Equity","EXTRAORD_ITEMS_ACCOUNTING_CHANGS","FQ1 2023","FQ1 2023","Currency=USD","Period=FQ","BEST_FPERIOD_OVERRIDE=FQ","FILING_STATUS=MR","SCALING_FORMAT=MLN","Sort=A","Dates=H","DateFormat=P","Fill=—","Direction=H","UseDPDF=Y")</f>
        <v>0</v>
      </c>
      <c r="T40" s="13" cm="1">
        <f t="array" ref="T40">_xll.BDH("CAT US Equity","EXTRAORD_ITEMS_ACCOUNTING_CHANGS","FQ2 2023","FQ2 2023","Currency=USD","Period=FQ","BEST_FPERIOD_OVERRIDE=FQ","FILING_STATUS=MR","SCALING_FORMAT=MLN","Sort=A","Dates=H","DateFormat=P","Fill=—","Direction=H","UseDPDF=Y")</f>
        <v>0</v>
      </c>
      <c r="U40" s="13" cm="1">
        <f t="array" ref="U40">_xll.BDH("CAT US Equity","EXTRAORD_ITEMS_ACCOUNTING_CHANGS","FQ3 2023","FQ3 2023","Currency=USD","Period=FQ","BEST_FPERIOD_OVERRIDE=FQ","FILING_STATUS=MR","SCALING_FORMAT=MLN","Sort=A","Dates=H","DateFormat=P","Fill=—","Direction=H","UseDPDF=Y")</f>
        <v>0</v>
      </c>
      <c r="V40" s="13" cm="1">
        <f t="array" ref="V40">_xll.BDH("CAT US Equity","EXTRAORD_ITEMS_ACCOUNTING_CHANGS","FQ4 2023","FQ4 2023","Currency=USD","Period=FQ","BEST_FPERIOD_OVERRIDE=FQ","FILING_STATUS=MR","SCALING_FORMAT=MLN","Sort=A","Dates=H","DateFormat=P","Fill=—","Direction=H","UseDPDF=Y")</f>
        <v>0</v>
      </c>
      <c r="W40" s="13" cm="1">
        <f t="array" ref="W40">_xll.BDH("CAT US Equity","EXTRAORD_ITEMS_ACCOUNTING_CHANGS","FQ1 2024","FQ1 2024","Currency=USD","Period=FQ","BEST_FPERIOD_OVERRIDE=FQ","FILING_STATUS=MR","SCALING_FORMAT=MLN","Sort=A","Dates=H","DateFormat=P","Fill=—","Direction=H","UseDPDF=Y")</f>
        <v>0</v>
      </c>
      <c r="X40" s="13" cm="1">
        <f t="array" ref="X40">_xll.BDH("CAT US Equity","EXTRAORD_ITEMS_ACCOUNTING_CHANGS","FQ2 2024","FQ2 2024","Currency=USD","Period=FQ","BEST_FPERIOD_OVERRIDE=FQ","FILING_STATUS=MR","SCALING_FORMAT=MLN","Sort=A","Dates=H","DateFormat=P","Fill=—","Direction=H","UseDPDF=Y")</f>
        <v>0</v>
      </c>
      <c r="Y40" s="13" cm="1">
        <f t="array" ref="Y40">_xll.BDH("CAT US Equity","EXTRAORD_ITEMS_ACCOUNTING_CHANGS","FQ3 2024","FQ3 2024","Currency=USD","Period=FQ","BEST_FPERIOD_OVERRIDE=FQ","FILING_STATUS=MR","SCALING_FORMAT=MLN","Sort=A","Dates=H","DateFormat=P","Fill=—","Direction=H","UseDPDF=Y")</f>
        <v>0</v>
      </c>
      <c r="Z40" s="13" cm="1">
        <f t="array" ref="Z40">_xll.BDH("CAT US Equity","EXTRAORD_ITEMS_ACCOUNTING_CHANGS","FQ4 2024","FQ4 2024","Currency=USD","Period=FQ","BEST_FPERIOD_OVERRIDE=FQ","FILING_STATUS=MR","SCALING_FORMAT=MLN","Sort=A","Dates=H","DateFormat=P","Fill=—","Direction=H","UseDPDF=Y")</f>
        <v>0</v>
      </c>
      <c r="AA40" s="13" cm="1">
        <f t="array" ref="AA40">_xll.BDH("CAT US Equity","EXTRAORD_ITEMS_ACCOUNTING_CHANGS","FQ1 2025","FQ1 2025","Currency=USD","Period=FQ","BEST_FPERIOD_OVERRIDE=FQ","FILING_STATUS=MR","SCALING_FORMAT=MLN","Sort=A","Dates=H","DateFormat=P","Fill=—","Direction=H","UseDPDF=Y")</f>
        <v>0</v>
      </c>
      <c r="AB40" s="13" cm="1">
        <f t="array" ref="AB40">_xll.BDH("CAT US Equity","EXTRAORD_ITEMS_ACCOUNTING_CHANGS","FQ2 2025","FQ2 2025","Currency=USD","Period=FQ","BEST_FPERIOD_OVERRIDE=FQ","FILING_STATUS=MR","SCALING_FORMAT=MLN","Sort=A","Dates=H","DateFormat=P","Fill=—","Direction=H","UseDPDF=Y")</f>
        <v>0</v>
      </c>
      <c r="AC40" s="13" cm="1">
        <f t="array" ref="AC40">_xll.BDH("CAT US Equity","EXTRAORD_ITEMS_ACCOUNTING_CHANGS","FQ3 2025","FQ3 2025","Currency=USD","Period=FQ","BEST_FPERIOD_OVERRIDE=FQ","FILING_STATUS=MR","SCALING_FORMAT=MLN","Sort=A","Dates=H","DateFormat=P","Fill=—","Direction=H","UseDPDF=Y")</f>
        <v>0</v>
      </c>
      <c r="AD40" s="13" cm="1">
        <f t="array" ref="AD40">_xll.BDH("CAT US Equity","EXTRAORD_ITEMS_ACCOUNTING_CHANGS","FQ4 2025","FQ4 2025","Currency=USD","Period=FQ","BEST_FPERIOD_OVERRIDE=FQ","FILING_STATUS=MR","SCALING_FORMAT=MLN","Sort=A","Dates=H","DateFormat=P","Fill=—","Direction=H","UseDPDF=Y")</f>
        <v>0</v>
      </c>
      <c r="AE40" s="13"/>
      <c r="AF40" s="13"/>
    </row>
    <row r="41" spans="1:32" x14ac:dyDescent="0.25">
      <c r="A41" s="6" t="s">
        <v>134</v>
      </c>
      <c r="B41" s="6" t="s">
        <v>135</v>
      </c>
      <c r="C41" s="16" cm="1">
        <f t="array" ref="C41">_xll.BDH("CAT US Equity","NI_INCLUDING_MINORITY_INT_RATIO","FQ1 2019","FQ1 2019","Currency=USD","Period=FQ","BEST_FPERIOD_OVERRIDE=FQ","FILING_STATUS=MR","SCALING_FORMAT=MLN","FA_ADJUSTED=GAAP","Sort=A","Dates=H","DateFormat=P","Fill=—","Direction=H","UseDPDF=Y")</f>
        <v>1884</v>
      </c>
      <c r="D41" s="16" cm="1">
        <f t="array" ref="D41">_xll.BDH("CAT US Equity","NI_INCLUDING_MINORITY_INT_RATIO","FQ2 2019","FQ2 2019","Currency=USD","Period=FQ","BEST_FPERIOD_OVERRIDE=FQ","FILING_STATUS=MR","SCALING_FORMAT=MLN","FA_ADJUSTED=GAAP","Sort=A","Dates=H","DateFormat=P","Fill=—","Direction=H","UseDPDF=Y")</f>
        <v>1619</v>
      </c>
      <c r="E41" s="16" cm="1">
        <f t="array" ref="E41">_xll.BDH("CAT US Equity","NI_INCLUDING_MINORITY_INT_RATIO","FQ3 2019","FQ3 2019","Currency=USD","Period=FQ","BEST_FPERIOD_OVERRIDE=FQ","FILING_STATUS=MR","SCALING_FORMAT=MLN","FA_ADJUSTED=GAAP","Sort=A","Dates=H","DateFormat=P","Fill=—","Direction=H","UseDPDF=Y")</f>
        <v>1494</v>
      </c>
      <c r="F41" s="16" cm="1">
        <f t="array" ref="F41">_xll.BDH("CAT US Equity","NI_INCLUDING_MINORITY_INT_RATIO","FQ4 2019","FQ4 2019","Currency=USD","Period=FQ","BEST_FPERIOD_OVERRIDE=FQ","FILING_STATUS=MR","SCALING_FORMAT=MLN","FA_ADJUSTED=GAAP","Sort=A","Dates=H","DateFormat=P","Fill=—","Direction=H","UseDPDF=Y")</f>
        <v>1097</v>
      </c>
      <c r="G41" s="16" cm="1">
        <f t="array" ref="G41">_xll.BDH("CAT US Equity","NI_INCLUDING_MINORITY_INT_RATIO","FQ1 2020","FQ1 2020","Currency=USD","Period=FQ","BEST_FPERIOD_OVERRIDE=FQ","FILING_STATUS=MR","SCALING_FORMAT=MLN","FA_ADJUSTED=GAAP","Sort=A","Dates=H","DateFormat=P","Fill=—","Direction=H","UseDPDF=Y")</f>
        <v>1093</v>
      </c>
      <c r="H41" s="16" cm="1">
        <f t="array" ref="H41">_xll.BDH("CAT US Equity","NI_INCLUDING_MINORITY_INT_RATIO","FQ2 2020","FQ2 2020","Currency=USD","Period=FQ","BEST_FPERIOD_OVERRIDE=FQ","FILING_STATUS=MR","SCALING_FORMAT=MLN","FA_ADJUSTED=GAAP","Sort=A","Dates=H","DateFormat=P","Fill=—","Direction=H","UseDPDF=Y")</f>
        <v>459</v>
      </c>
      <c r="I41" s="16" cm="1">
        <f t="array" ref="I41">_xll.BDH("CAT US Equity","NI_INCLUDING_MINORITY_INT_RATIO","FQ3 2020","FQ3 2020","Currency=USD","Period=FQ","BEST_FPERIOD_OVERRIDE=FQ","FILING_STATUS=MR","SCALING_FORMAT=MLN","FA_ADJUSTED=GAAP","Sort=A","Dates=H","DateFormat=P","Fill=—","Direction=H","UseDPDF=Y")</f>
        <v>671</v>
      </c>
      <c r="J41" s="16" cm="1">
        <f t="array" ref="J41">_xll.BDH("CAT US Equity","NI_INCLUDING_MINORITY_INT_RATIO","FQ4 2020","FQ4 2020","Currency=USD","Period=FQ","BEST_FPERIOD_OVERRIDE=FQ","FILING_STATUS=MR","SCALING_FORMAT=MLN","FA_ADJUSTED=GAAP","Sort=A","Dates=H","DateFormat=P","Fill=—","Direction=H","UseDPDF=Y")</f>
        <v>780</v>
      </c>
      <c r="K41" s="16" cm="1">
        <f t="array" ref="K41">_xll.BDH("CAT US Equity","NI_INCLUDING_MINORITY_INT_RATIO","FQ1 2021","FQ1 2021","Currency=USD","Period=FQ","BEST_FPERIOD_OVERRIDE=FQ","FILING_STATUS=MR","SCALING_FORMAT=MLN","FA_ADJUSTED=GAAP","Sort=A","Dates=H","DateFormat=P","Fill=—","Direction=H","UseDPDF=Y")</f>
        <v>1531</v>
      </c>
      <c r="L41" s="16" cm="1">
        <f t="array" ref="L41">_xll.BDH("CAT US Equity","NI_INCLUDING_MINORITY_INT_RATIO","FQ2 2021","FQ2 2021","Currency=USD","Period=FQ","BEST_FPERIOD_OVERRIDE=FQ","FILING_STATUS=MR","SCALING_FORMAT=MLN","FA_ADJUSTED=GAAP","Sort=A","Dates=H","DateFormat=P","Fill=—","Direction=H","UseDPDF=Y")</f>
        <v>1414</v>
      </c>
      <c r="M41" s="16" cm="1">
        <f t="array" ref="M41">_xll.BDH("CAT US Equity","NI_INCLUDING_MINORITY_INT_RATIO","FQ3 2021","FQ3 2021","Currency=USD","Period=FQ","BEST_FPERIOD_OVERRIDE=FQ","FILING_STATUS=MR","SCALING_FORMAT=MLN","FA_ADJUSTED=GAAP","Sort=A","Dates=H","DateFormat=P","Fill=—","Direction=H","UseDPDF=Y")</f>
        <v>1428</v>
      </c>
      <c r="N41" s="16" cm="1">
        <f t="array" ref="N41">_xll.BDH("CAT US Equity","NI_INCLUDING_MINORITY_INT_RATIO","FQ4 2021","FQ4 2021","Currency=USD","Period=FQ","BEST_FPERIOD_OVERRIDE=FQ","FILING_STATUS=MR","SCALING_FORMAT=MLN","FA_ADJUSTED=GAAP","Sort=A","Dates=H","DateFormat=P","Fill=—","Direction=H","UseDPDF=Y")</f>
        <v>2120</v>
      </c>
      <c r="O41" s="16" cm="1">
        <f t="array" ref="O41">_xll.BDH("CAT US Equity","NI_INCLUDING_MINORITY_INT_RATIO","FQ1 2022","FQ1 2022","Currency=USD","Period=FQ","BEST_FPERIOD_OVERRIDE=FQ","FILING_STATUS=MR","SCALING_FORMAT=MLN","FA_ADJUSTED=GAAP","Sort=A","Dates=H","DateFormat=P","Fill=—","Direction=H","UseDPDF=Y")</f>
        <v>1537</v>
      </c>
      <c r="P41" s="16" cm="1">
        <f t="array" ref="P41">_xll.BDH("CAT US Equity","NI_INCLUDING_MINORITY_INT_RATIO","FQ2 2022","FQ2 2022","Currency=USD","Period=FQ","BEST_FPERIOD_OVERRIDE=FQ","FILING_STATUS=MR","SCALING_FORMAT=MLN","FA_ADJUSTED=GAAP","Sort=A","Dates=H","DateFormat=P","Fill=—","Direction=H","UseDPDF=Y")</f>
        <v>1673</v>
      </c>
      <c r="Q41" s="16" cm="1">
        <f t="array" ref="Q41">_xll.BDH("CAT US Equity","NI_INCLUDING_MINORITY_INT_RATIO","FQ3 2022","FQ3 2022","Currency=USD","Period=FQ","BEST_FPERIOD_OVERRIDE=FQ","FILING_STATUS=MR","SCALING_FORMAT=MLN","FA_ADJUSTED=GAAP","Sort=A","Dates=H","DateFormat=P","Fill=—","Direction=H","UseDPDF=Y")</f>
        <v>2040</v>
      </c>
      <c r="R41" s="16" cm="1">
        <f t="array" ref="R41">_xll.BDH("CAT US Equity","NI_INCLUDING_MINORITY_INT_RATIO","FQ4 2022","FQ4 2022","Currency=USD","Period=FQ","BEST_FPERIOD_OVERRIDE=FQ","FILING_STATUS=MR","SCALING_FORMAT=MLN","FA_ADJUSTED=GAAP","Sort=A","Dates=H","DateFormat=P","Fill=—","Direction=H","UseDPDF=Y")</f>
        <v>1454</v>
      </c>
      <c r="S41" s="16" cm="1">
        <f t="array" ref="S41">_xll.BDH("CAT US Equity","NI_INCLUDING_MINORITY_INT_RATIO","FQ1 2023","FQ1 2023","Currency=USD","Period=FQ","BEST_FPERIOD_OVERRIDE=FQ","FILING_STATUS=MR","SCALING_FORMAT=MLN","FA_ADJUSTED=GAAP","Sort=A","Dates=H","DateFormat=P","Fill=—","Direction=H","UseDPDF=Y")</f>
        <v>1942</v>
      </c>
      <c r="T41" s="16" cm="1">
        <f t="array" ref="T41">_xll.BDH("CAT US Equity","NI_INCLUDING_MINORITY_INT_RATIO","FQ2 2023","FQ2 2023","Currency=USD","Period=FQ","BEST_FPERIOD_OVERRIDE=FQ","FILING_STATUS=MR","SCALING_FORMAT=MLN","FA_ADJUSTED=GAAP","Sort=A","Dates=H","DateFormat=P","Fill=—","Direction=H","UseDPDF=Y")</f>
        <v>2924</v>
      </c>
      <c r="U41" s="16" cm="1">
        <f t="array" ref="U41">_xll.BDH("CAT US Equity","NI_INCLUDING_MINORITY_INT_RATIO","FQ3 2023","FQ3 2023","Currency=USD","Period=FQ","BEST_FPERIOD_OVERRIDE=FQ","FILING_STATUS=MR","SCALING_FORMAT=MLN","FA_ADJUSTED=GAAP","Sort=A","Dates=H","DateFormat=P","Fill=—","Direction=H","UseDPDF=Y")</f>
        <v>2793</v>
      </c>
      <c r="V41" s="16" cm="1">
        <f t="array" ref="V41">_xll.BDH("CAT US Equity","NI_INCLUDING_MINORITY_INT_RATIO","FQ4 2023","FQ4 2023","Currency=USD","Period=FQ","BEST_FPERIOD_OVERRIDE=FQ","FILING_STATUS=MR","SCALING_FORMAT=MLN","FA_ADJUSTED=GAAP","Sort=A","Dates=H","DateFormat=P","Fill=—","Direction=H","UseDPDF=Y")</f>
        <v>2673</v>
      </c>
      <c r="W41" s="16" cm="1">
        <f t="array" ref="W41">_xll.BDH("CAT US Equity","NI_INCLUDING_MINORITY_INT_RATIO","FQ1 2024","FQ1 2024","Currency=USD","Period=FQ","BEST_FPERIOD_OVERRIDE=FQ","FILING_STATUS=MR","SCALING_FORMAT=MLN","FA_ADJUSTED=GAAP","Sort=A","Dates=H","DateFormat=P","Fill=—","Direction=H","UseDPDF=Y")</f>
        <v>2854</v>
      </c>
      <c r="X41" s="16" cm="1">
        <f t="array" ref="X41">_xll.BDH("CAT US Equity","NI_INCLUDING_MINORITY_INT_RATIO","FQ2 2024","FQ2 2024","Currency=USD","Period=FQ","BEST_FPERIOD_OVERRIDE=FQ","FILING_STATUS=MR","SCALING_FORMAT=MLN","FA_ADJUSTED=GAAP","Sort=A","Dates=H","DateFormat=P","Fill=—","Direction=H","UseDPDF=Y")</f>
        <v>2681</v>
      </c>
      <c r="Y41" s="16" cm="1">
        <f t="array" ref="Y41">_xll.BDH("CAT US Equity","NI_INCLUDING_MINORITY_INT_RATIO","FQ3 2024","FQ3 2024","Currency=USD","Period=FQ","BEST_FPERIOD_OVERRIDE=FQ","FILING_STATUS=MR","SCALING_FORMAT=MLN","FA_ADJUSTED=GAAP","Sort=A","Dates=H","DateFormat=P","Fill=—","Direction=H","UseDPDF=Y")</f>
        <v>2463</v>
      </c>
      <c r="Z41" s="16" cm="1">
        <f t="array" ref="Z41">_xll.BDH("CAT US Equity","NI_INCLUDING_MINORITY_INT_RATIO","FQ4 2024","FQ4 2024","Currency=USD","Period=FQ","BEST_FPERIOD_OVERRIDE=FQ","FILING_STATUS=MR","SCALING_FORMAT=MLN","FA_ADJUSTED=GAAP","Sort=A","Dates=H","DateFormat=P","Fill=—","Direction=H","UseDPDF=Y")</f>
        <v>2790</v>
      </c>
      <c r="AA41" s="16" cm="1">
        <f t="array" ref="AA41">_xll.BDH("CAT US Equity","NI_INCLUDING_MINORITY_INT_RATIO","FQ1 2025","FQ1 2025","Currency=USD","Period=FQ","BEST_FPERIOD_OVERRIDE=FQ","FILING_STATUS=MR","SCALING_FORMAT=MLN","FA_ADJUSTED=GAAP","Sort=A","Dates=H","DateFormat=P","Fill=—","Direction=H","UseDPDF=Y")</f>
        <v>2003</v>
      </c>
      <c r="AB41" s="16" cm="1">
        <f t="array" ref="AB41">_xll.BDH("CAT US Equity","NI_INCLUDING_MINORITY_INT_RATIO","FQ2 2025","FQ2 2025","Currency=USD","Period=FQ","BEST_FPERIOD_OVERRIDE=FQ","FILING_STATUS=MR","SCALING_FORMAT=MLN","FA_ADJUSTED=GAAP","Sort=A","Dates=H","DateFormat=P","Fill=—","Direction=H","UseDPDF=Y")</f>
        <v>2179</v>
      </c>
      <c r="AC41" s="16" cm="1">
        <f t="array" ref="AC41">_xll.BDH("CAT US Equity","NI_INCLUDING_MINORITY_INT_RATIO","FQ3 2025","FQ3 2025","Currency=USD","Period=FQ","BEST_FPERIOD_OVERRIDE=FQ","FILING_STATUS=MR","SCALING_FORMAT=MLN","FA_ADJUSTED=GAAP","Sort=A","Dates=H","DateFormat=P","Fill=—","Direction=H","UseDPDF=Y")</f>
        <v>2299</v>
      </c>
      <c r="AD41" s="16" cm="1">
        <f t="array" ref="AD41">_xll.BDH("CAT US Equity","NI_INCLUDING_MINORITY_INT_RATIO","FQ4 2025","FQ4 2025","Currency=USD","Period=FQ","BEST_FPERIOD_OVERRIDE=FQ","FILING_STATUS=MR","SCALING_FORMAT=MLN","FA_ADJUSTED=GAAP","Sort=A","Dates=H","DateFormat=P","Fill=—","Direction=H","UseDPDF=Y")</f>
        <v>2401</v>
      </c>
      <c r="AE41" s="16"/>
      <c r="AF41" s="16"/>
    </row>
    <row r="42" spans="1:32" x14ac:dyDescent="0.25">
      <c r="A42" s="10" t="s">
        <v>136</v>
      </c>
      <c r="B42" s="10" t="s">
        <v>137</v>
      </c>
      <c r="C42" s="13" cm="1">
        <f t="array" ref="C42">_xll.BDH("CAT US Equity","MIN_NONCONTROL_INTEREST_CREDITS","FQ1 2019","FQ1 2019","Currency=USD","Period=FQ","BEST_FPERIOD_OVERRIDE=FQ","FILING_STATUS=MR","SCALING_FORMAT=MLN","FA_ADJUSTED=GAAP","Sort=A","Dates=H","DateFormat=P","Fill=—","Direction=H","UseDPDF=Y")</f>
        <v>3</v>
      </c>
      <c r="D42" s="13" cm="1">
        <f t="array" ref="D42">_xll.BDH("CAT US Equity","MIN_NONCONTROL_INTEREST_CREDITS","FQ2 2019","FQ2 2019","Currency=USD","Period=FQ","BEST_FPERIOD_OVERRIDE=FQ","FILING_STATUS=MR","SCALING_FORMAT=MLN","FA_ADJUSTED=GAAP","Sort=A","Dates=H","DateFormat=P","Fill=—","Direction=H","UseDPDF=Y")</f>
        <v>-1</v>
      </c>
      <c r="E42" s="13" cm="1">
        <f t="array" ref="E42">_xll.BDH("CAT US Equity","MIN_NONCONTROL_INTEREST_CREDITS","FQ3 2019","FQ3 2019","Currency=USD","Period=FQ","BEST_FPERIOD_OVERRIDE=FQ","FILING_STATUS=MR","SCALING_FORMAT=MLN","FA_ADJUSTED=GAAP","Sort=A","Dates=H","DateFormat=P","Fill=—","Direction=H","UseDPDF=Y")</f>
        <v>0</v>
      </c>
      <c r="F42" s="13" cm="1">
        <f t="array" ref="F42">_xll.BDH("CAT US Equity","MIN_NONCONTROL_INTEREST_CREDITS","FQ4 2019","FQ4 2019","Currency=USD","Period=FQ","BEST_FPERIOD_OVERRIDE=FQ","FILING_STATUS=MR","SCALING_FORMAT=MLN","FA_ADJUSTED=GAAP","Sort=A","Dates=H","DateFormat=P","Fill=—","Direction=H","UseDPDF=Y")</f>
        <v>-1</v>
      </c>
      <c r="G42" s="13" cm="1">
        <f t="array" ref="G42">_xll.BDH("CAT US Equity","MIN_NONCONTROL_INTEREST_CREDITS","FQ1 2020","FQ1 2020","Currency=USD","Period=FQ","BEST_FPERIOD_OVERRIDE=FQ","FILING_STATUS=MR","SCALING_FORMAT=MLN","FA_ADJUSTED=GAAP","Sort=A","Dates=H","DateFormat=P","Fill=—","Direction=H","UseDPDF=Y")</f>
        <v>1</v>
      </c>
      <c r="H42" s="13" cm="1">
        <f t="array" ref="H42">_xll.BDH("CAT US Equity","MIN_NONCONTROL_INTEREST_CREDITS","FQ2 2020","FQ2 2020","Currency=USD","Period=FQ","BEST_FPERIOD_OVERRIDE=FQ","FILING_STATUS=MR","SCALING_FORMAT=MLN","FA_ADJUSTED=GAAP","Sort=A","Dates=H","DateFormat=P","Fill=—","Direction=H","UseDPDF=Y")</f>
        <v>1</v>
      </c>
      <c r="I42" s="13" cm="1">
        <f t="array" ref="I42">_xll.BDH("CAT US Equity","MIN_NONCONTROL_INTEREST_CREDITS","FQ3 2020","FQ3 2020","Currency=USD","Period=FQ","BEST_FPERIOD_OVERRIDE=FQ","FILING_STATUS=MR","SCALING_FORMAT=MLN","FA_ADJUSTED=GAAP","Sort=A","Dates=H","DateFormat=P","Fill=—","Direction=H","UseDPDF=Y")</f>
        <v>3</v>
      </c>
      <c r="J42" s="13" cm="1">
        <f t="array" ref="J42">_xll.BDH("CAT US Equity","MIN_NONCONTROL_INTEREST_CREDITS","FQ4 2020","FQ4 2020","Currency=USD","Period=FQ","BEST_FPERIOD_OVERRIDE=FQ","FILING_STATUS=MR","SCALING_FORMAT=MLN","FA_ADJUSTED=GAAP","Sort=A","Dates=H","DateFormat=P","Fill=—","Direction=H","UseDPDF=Y")</f>
        <v>0</v>
      </c>
      <c r="K42" s="13" cm="1">
        <f t="array" ref="K42">_xll.BDH("CAT US Equity","MIN_NONCONTROL_INTEREST_CREDITS","FQ1 2021","FQ1 2021","Currency=USD","Period=FQ","BEST_FPERIOD_OVERRIDE=FQ","FILING_STATUS=MR","SCALING_FORMAT=MLN","FA_ADJUSTED=GAAP","Sort=A","Dates=H","DateFormat=P","Fill=—","Direction=H","UseDPDF=Y")</f>
        <v>1</v>
      </c>
      <c r="L42" s="13" cm="1">
        <f t="array" ref="L42">_xll.BDH("CAT US Equity","MIN_NONCONTROL_INTEREST_CREDITS","FQ2 2021","FQ2 2021","Currency=USD","Period=FQ","BEST_FPERIOD_OVERRIDE=FQ","FILING_STATUS=MR","SCALING_FORMAT=MLN","FA_ADJUSTED=GAAP","Sort=A","Dates=H","DateFormat=P","Fill=—","Direction=H","UseDPDF=Y")</f>
        <v>1</v>
      </c>
      <c r="M42" s="13" cm="1">
        <f t="array" ref="M42">_xll.BDH("CAT US Equity","MIN_NONCONTROL_INTEREST_CREDITS","FQ3 2021","FQ3 2021","Currency=USD","Period=FQ","BEST_FPERIOD_OVERRIDE=FQ","FILING_STATUS=MR","SCALING_FORMAT=MLN","FA_ADJUSTED=GAAP","Sort=A","Dates=H","DateFormat=P","Fill=—","Direction=H","UseDPDF=Y")</f>
        <v>2</v>
      </c>
      <c r="N42" s="13" cm="1">
        <f t="array" ref="N42">_xll.BDH("CAT US Equity","MIN_NONCONTROL_INTEREST_CREDITS","FQ4 2021","FQ4 2021","Currency=USD","Period=FQ","BEST_FPERIOD_OVERRIDE=FQ","FILING_STATUS=MR","SCALING_FORMAT=MLN","FA_ADJUSTED=GAAP","Sort=A","Dates=H","DateFormat=P","Fill=—","Direction=H","UseDPDF=Y")</f>
        <v>0</v>
      </c>
      <c r="O42" s="13" cm="1">
        <f t="array" ref="O42">_xll.BDH("CAT US Equity","MIN_NONCONTROL_INTEREST_CREDITS","FQ1 2022","FQ1 2022","Currency=USD","Period=FQ","BEST_FPERIOD_OVERRIDE=FQ","FILING_STATUS=MR","SCALING_FORMAT=MLN","FA_ADJUSTED=GAAP","Sort=A","Dates=H","DateFormat=P","Fill=—","Direction=H","UseDPDF=Y")</f>
        <v>0</v>
      </c>
      <c r="P42" s="13" cm="1">
        <f t="array" ref="P42">_xll.BDH("CAT US Equity","MIN_NONCONTROL_INTEREST_CREDITS","FQ2 2022","FQ2 2022","Currency=USD","Period=FQ","BEST_FPERIOD_OVERRIDE=FQ","FILING_STATUS=MR","SCALING_FORMAT=MLN","FA_ADJUSTED=GAAP","Sort=A","Dates=H","DateFormat=P","Fill=—","Direction=H","UseDPDF=Y")</f>
        <v>0</v>
      </c>
      <c r="Q42" s="13" cm="1">
        <f t="array" ref="Q42">_xll.BDH("CAT US Equity","MIN_NONCONTROL_INTEREST_CREDITS","FQ3 2022","FQ3 2022","Currency=USD","Period=FQ","BEST_FPERIOD_OVERRIDE=FQ","FILING_STATUS=MR","SCALING_FORMAT=MLN","FA_ADJUSTED=GAAP","Sort=A","Dates=H","DateFormat=P","Fill=—","Direction=H","UseDPDF=Y")</f>
        <v>-1</v>
      </c>
      <c r="R42" s="13" cm="1">
        <f t="array" ref="R42">_xll.BDH("CAT US Equity","MIN_NONCONTROL_INTEREST_CREDITS","FQ4 2022","FQ4 2022","Currency=USD","Period=FQ","BEST_FPERIOD_OVERRIDE=FQ","FILING_STATUS=MR","SCALING_FORMAT=MLN","FA_ADJUSTED=GAAP","Sort=A","Dates=H","DateFormat=P","Fill=—","Direction=H","UseDPDF=Y")</f>
        <v>0</v>
      </c>
      <c r="S42" s="13" cm="1">
        <f t="array" ref="S42">_xll.BDH("CAT US Equity","MIN_NONCONTROL_INTEREST_CREDITS","FQ1 2023","FQ1 2023","Currency=USD","Period=FQ","BEST_FPERIOD_OVERRIDE=FQ","FILING_STATUS=MR","SCALING_FORMAT=MLN","FA_ADJUSTED=GAAP","Sort=A","Dates=H","DateFormat=P","Fill=—","Direction=H","UseDPDF=Y")</f>
        <v>-1</v>
      </c>
      <c r="T42" s="13" cm="1">
        <f t="array" ref="T42">_xll.BDH("CAT US Equity","MIN_NONCONTROL_INTEREST_CREDITS","FQ2 2023","FQ2 2023","Currency=USD","Period=FQ","BEST_FPERIOD_OVERRIDE=FQ","FILING_STATUS=MR","SCALING_FORMAT=MLN","FA_ADJUSTED=GAAP","Sort=A","Dates=H","DateFormat=P","Fill=—","Direction=H","UseDPDF=Y")</f>
        <v>2</v>
      </c>
      <c r="U42" s="13" cm="1">
        <f t="array" ref="U42">_xll.BDH("CAT US Equity","MIN_NONCONTROL_INTEREST_CREDITS","FQ3 2023","FQ3 2023","Currency=USD","Period=FQ","BEST_FPERIOD_OVERRIDE=FQ","FILING_STATUS=MR","SCALING_FORMAT=MLN","FA_ADJUSTED=GAAP","Sort=A","Dates=H","DateFormat=P","Fill=—","Direction=H","UseDPDF=Y")</f>
        <v>-1</v>
      </c>
      <c r="V42" s="13" cm="1">
        <f t="array" ref="V42">_xll.BDH("CAT US Equity","MIN_NONCONTROL_INTEREST_CREDITS","FQ4 2023","FQ4 2023","Currency=USD","Period=FQ","BEST_FPERIOD_OVERRIDE=FQ","FILING_STATUS=MR","SCALING_FORMAT=MLN","FA_ADJUSTED=GAAP","Sort=A","Dates=H","DateFormat=P","Fill=—","Direction=H","UseDPDF=Y")</f>
        <v>-3</v>
      </c>
      <c r="W42" s="13" cm="1">
        <f t="array" ref="W42">_xll.BDH("CAT US Equity","MIN_NONCONTROL_INTEREST_CREDITS","FQ1 2024","FQ1 2024","Currency=USD","Period=FQ","BEST_FPERIOD_OVERRIDE=FQ","FILING_STATUS=MR","SCALING_FORMAT=MLN","FA_ADJUSTED=GAAP","Sort=A","Dates=H","DateFormat=P","Fill=—","Direction=H","UseDPDF=Y")</f>
        <v>-2</v>
      </c>
      <c r="X42" s="13" cm="1">
        <f t="array" ref="X42">_xll.BDH("CAT US Equity","MIN_NONCONTROL_INTEREST_CREDITS","FQ2 2024","FQ2 2024","Currency=USD","Period=FQ","BEST_FPERIOD_OVERRIDE=FQ","FILING_STATUS=MR","SCALING_FORMAT=MLN","FA_ADJUSTED=GAAP","Sort=A","Dates=H","DateFormat=P","Fill=—","Direction=H","UseDPDF=Y")</f>
        <v>0</v>
      </c>
      <c r="Y42" s="13" cm="1">
        <f t="array" ref="Y42">_xll.BDH("CAT US Equity","MIN_NONCONTROL_INTEREST_CREDITS","FQ3 2024","FQ3 2024","Currency=USD","Period=FQ","BEST_FPERIOD_OVERRIDE=FQ","FILING_STATUS=MR","SCALING_FORMAT=MLN","FA_ADJUSTED=GAAP","Sort=A","Dates=H","DateFormat=P","Fill=—","Direction=H","UseDPDF=Y")</f>
        <v>-1</v>
      </c>
      <c r="Z42" s="13" cm="1">
        <f t="array" ref="Z42">_xll.BDH("CAT US Equity","MIN_NONCONTROL_INTEREST_CREDITS","FQ4 2024","FQ4 2024","Currency=USD","Period=FQ","BEST_FPERIOD_OVERRIDE=FQ","FILING_STATUS=MR","SCALING_FORMAT=MLN","FA_ADJUSTED=GAAP","Sort=A","Dates=H","DateFormat=P","Fill=—","Direction=H","UseDPDF=Y")</f>
        <v>-1</v>
      </c>
      <c r="AA42" s="13" cm="1">
        <f t="array" ref="AA42">_xll.BDH("CAT US Equity","MIN_NONCONTROL_INTEREST_CREDITS","FQ1 2025","FQ1 2025","Currency=USD","Period=FQ","BEST_FPERIOD_OVERRIDE=FQ","FILING_STATUS=MR","SCALING_FORMAT=MLN","FA_ADJUSTED=GAAP","Sort=A","Dates=H","DateFormat=P","Fill=—","Direction=H","UseDPDF=Y")</f>
        <v>0</v>
      </c>
      <c r="AB42" s="13" cm="1">
        <f t="array" ref="AB42">_xll.BDH("CAT US Equity","MIN_NONCONTROL_INTEREST_CREDITS","FQ2 2025","FQ2 2025","Currency=USD","Period=FQ","BEST_FPERIOD_OVERRIDE=FQ","FILING_STATUS=MR","SCALING_FORMAT=MLN","FA_ADJUSTED=GAAP","Sort=A","Dates=H","DateFormat=P","Fill=—","Direction=H","UseDPDF=Y")</f>
        <v>0</v>
      </c>
      <c r="AC42" s="13" cm="1">
        <f t="array" ref="AC42">_xll.BDH("CAT US Equity","MIN_NONCONTROL_INTEREST_CREDITS","FQ3 2025","FQ3 2025","Currency=USD","Period=FQ","BEST_FPERIOD_OVERRIDE=FQ","FILING_STATUS=MR","SCALING_FORMAT=MLN","FA_ADJUSTED=GAAP","Sort=A","Dates=H","DateFormat=P","Fill=—","Direction=H","UseDPDF=Y")</f>
        <v>-1</v>
      </c>
      <c r="AD42" s="13" cm="1">
        <f t="array" ref="AD42">_xll.BDH("CAT US Equity","MIN_NONCONTROL_INTEREST_CREDITS","FQ4 2025","FQ4 2025","Currency=USD","Period=FQ","BEST_FPERIOD_OVERRIDE=FQ","FILING_STATUS=MR","SCALING_FORMAT=MLN","FA_ADJUSTED=GAAP","Sort=A","Dates=H","DateFormat=P","Fill=—","Direction=H","UseDPDF=Y")</f>
        <v>-1</v>
      </c>
      <c r="AE42" s="13"/>
      <c r="AF42" s="13"/>
    </row>
    <row r="43" spans="1:32" x14ac:dyDescent="0.25">
      <c r="A43" s="6" t="s">
        <v>138</v>
      </c>
      <c r="B43" s="6" t="s">
        <v>139</v>
      </c>
      <c r="C43" s="16" cm="1">
        <f t="array" ref="C43">_xll.BDH("CAT US Equity","NET_INCOME","FQ1 2019","FQ1 2019","Currency=USD","Period=FQ","BEST_FPERIOD_OVERRIDE=FQ","FILING_STATUS=MR","SCALING_FORMAT=MLN","FA_ADJUSTED=GAAP","Sort=A","Dates=H","DateFormat=P","Fill=—","Direction=H","UseDPDF=Y")</f>
        <v>1881</v>
      </c>
      <c r="D43" s="16" cm="1">
        <f t="array" ref="D43">_xll.BDH("CAT US Equity","NET_INCOME","FQ2 2019","FQ2 2019","Currency=USD","Period=FQ","BEST_FPERIOD_OVERRIDE=FQ","FILING_STATUS=MR","SCALING_FORMAT=MLN","FA_ADJUSTED=GAAP","Sort=A","Dates=H","DateFormat=P","Fill=—","Direction=H","UseDPDF=Y")</f>
        <v>1620</v>
      </c>
      <c r="E43" s="16" cm="1">
        <f t="array" ref="E43">_xll.BDH("CAT US Equity","NET_INCOME","FQ3 2019","FQ3 2019","Currency=USD","Period=FQ","BEST_FPERIOD_OVERRIDE=FQ","FILING_STATUS=MR","SCALING_FORMAT=MLN","FA_ADJUSTED=GAAP","Sort=A","Dates=H","DateFormat=P","Fill=—","Direction=H","UseDPDF=Y")</f>
        <v>1494</v>
      </c>
      <c r="F43" s="16" cm="1">
        <f t="array" ref="F43">_xll.BDH("CAT US Equity","NET_INCOME","FQ4 2019","FQ4 2019","Currency=USD","Period=FQ","BEST_FPERIOD_OVERRIDE=FQ","FILING_STATUS=MR","SCALING_FORMAT=MLN","FA_ADJUSTED=GAAP","Sort=A","Dates=H","DateFormat=P","Fill=—","Direction=H","UseDPDF=Y")</f>
        <v>1098</v>
      </c>
      <c r="G43" s="16" cm="1">
        <f t="array" ref="G43">_xll.BDH("CAT US Equity","NET_INCOME","FQ1 2020","FQ1 2020","Currency=USD","Period=FQ","BEST_FPERIOD_OVERRIDE=FQ","FILING_STATUS=MR","SCALING_FORMAT=MLN","FA_ADJUSTED=GAAP","Sort=A","Dates=H","DateFormat=P","Fill=—","Direction=H","UseDPDF=Y")</f>
        <v>1092</v>
      </c>
      <c r="H43" s="16" cm="1">
        <f t="array" ref="H43">_xll.BDH("CAT US Equity","NET_INCOME","FQ2 2020","FQ2 2020","Currency=USD","Period=FQ","BEST_FPERIOD_OVERRIDE=FQ","FILING_STATUS=MR","SCALING_FORMAT=MLN","FA_ADJUSTED=GAAP","Sort=A","Dates=H","DateFormat=P","Fill=—","Direction=H","UseDPDF=Y")</f>
        <v>458</v>
      </c>
      <c r="I43" s="16" cm="1">
        <f t="array" ref="I43">_xll.BDH("CAT US Equity","NET_INCOME","FQ3 2020","FQ3 2020","Currency=USD","Period=FQ","BEST_FPERIOD_OVERRIDE=FQ","FILING_STATUS=MR","SCALING_FORMAT=MLN","FA_ADJUSTED=GAAP","Sort=A","Dates=H","DateFormat=P","Fill=—","Direction=H","UseDPDF=Y")</f>
        <v>668</v>
      </c>
      <c r="J43" s="16" cm="1">
        <f t="array" ref="J43">_xll.BDH("CAT US Equity","NET_INCOME","FQ4 2020","FQ4 2020","Currency=USD","Period=FQ","BEST_FPERIOD_OVERRIDE=FQ","FILING_STATUS=MR","SCALING_FORMAT=MLN","FA_ADJUSTED=GAAP","Sort=A","Dates=H","DateFormat=P","Fill=—","Direction=H","UseDPDF=Y")</f>
        <v>780</v>
      </c>
      <c r="K43" s="16" cm="1">
        <f t="array" ref="K43">_xll.BDH("CAT US Equity","NET_INCOME","FQ1 2021","FQ1 2021","Currency=USD","Period=FQ","BEST_FPERIOD_OVERRIDE=FQ","FILING_STATUS=MR","SCALING_FORMAT=MLN","FA_ADJUSTED=GAAP","Sort=A","Dates=H","DateFormat=P","Fill=—","Direction=H","UseDPDF=Y")</f>
        <v>1530</v>
      </c>
      <c r="L43" s="16" cm="1">
        <f t="array" ref="L43">_xll.BDH("CAT US Equity","NET_INCOME","FQ2 2021","FQ2 2021","Currency=USD","Period=FQ","BEST_FPERIOD_OVERRIDE=FQ","FILING_STATUS=MR","SCALING_FORMAT=MLN","FA_ADJUSTED=GAAP","Sort=A","Dates=H","DateFormat=P","Fill=—","Direction=H","UseDPDF=Y")</f>
        <v>1413</v>
      </c>
      <c r="M43" s="16" cm="1">
        <f t="array" ref="M43">_xll.BDH("CAT US Equity","NET_INCOME","FQ3 2021","FQ3 2021","Currency=USD","Period=FQ","BEST_FPERIOD_OVERRIDE=FQ","FILING_STATUS=MR","SCALING_FORMAT=MLN","FA_ADJUSTED=GAAP","Sort=A","Dates=H","DateFormat=P","Fill=—","Direction=H","UseDPDF=Y")</f>
        <v>1426</v>
      </c>
      <c r="N43" s="16" cm="1">
        <f t="array" ref="N43">_xll.BDH("CAT US Equity","NET_INCOME","FQ4 2021","FQ4 2021","Currency=USD","Period=FQ","BEST_FPERIOD_OVERRIDE=FQ","FILING_STATUS=MR","SCALING_FORMAT=MLN","FA_ADJUSTED=GAAP","Sort=A","Dates=H","DateFormat=P","Fill=—","Direction=H","UseDPDF=Y")</f>
        <v>2120</v>
      </c>
      <c r="O43" s="16" cm="1">
        <f t="array" ref="O43">_xll.BDH("CAT US Equity","NET_INCOME","FQ1 2022","FQ1 2022","Currency=USD","Period=FQ","BEST_FPERIOD_OVERRIDE=FQ","FILING_STATUS=MR","SCALING_FORMAT=MLN","FA_ADJUSTED=GAAP","Sort=A","Dates=H","DateFormat=P","Fill=—","Direction=H","UseDPDF=Y")</f>
        <v>1537</v>
      </c>
      <c r="P43" s="16" cm="1">
        <f t="array" ref="P43">_xll.BDH("CAT US Equity","NET_INCOME","FQ2 2022","FQ2 2022","Currency=USD","Period=FQ","BEST_FPERIOD_OVERRIDE=FQ","FILING_STATUS=MR","SCALING_FORMAT=MLN","FA_ADJUSTED=GAAP","Sort=A","Dates=H","DateFormat=P","Fill=—","Direction=H","UseDPDF=Y")</f>
        <v>1673</v>
      </c>
      <c r="Q43" s="16" cm="1">
        <f t="array" ref="Q43">_xll.BDH("CAT US Equity","NET_INCOME","FQ3 2022","FQ3 2022","Currency=USD","Period=FQ","BEST_FPERIOD_OVERRIDE=FQ","FILING_STATUS=MR","SCALING_FORMAT=MLN","FA_ADJUSTED=GAAP","Sort=A","Dates=H","DateFormat=P","Fill=—","Direction=H","UseDPDF=Y")</f>
        <v>2041</v>
      </c>
      <c r="R43" s="16" cm="1">
        <f t="array" ref="R43">_xll.BDH("CAT US Equity","NET_INCOME","FQ4 2022","FQ4 2022","Currency=USD","Period=FQ","BEST_FPERIOD_OVERRIDE=FQ","FILING_STATUS=MR","SCALING_FORMAT=MLN","FA_ADJUSTED=GAAP","Sort=A","Dates=H","DateFormat=P","Fill=—","Direction=H","UseDPDF=Y")</f>
        <v>1454</v>
      </c>
      <c r="S43" s="16" cm="1">
        <f t="array" ref="S43">_xll.BDH("CAT US Equity","NET_INCOME","FQ1 2023","FQ1 2023","Currency=USD","Period=FQ","BEST_FPERIOD_OVERRIDE=FQ","FILING_STATUS=MR","SCALING_FORMAT=MLN","FA_ADJUSTED=GAAP","Sort=A","Dates=H","DateFormat=P","Fill=—","Direction=H","UseDPDF=Y")</f>
        <v>1943</v>
      </c>
      <c r="T43" s="16" cm="1">
        <f t="array" ref="T43">_xll.BDH("CAT US Equity","NET_INCOME","FQ2 2023","FQ2 2023","Currency=USD","Period=FQ","BEST_FPERIOD_OVERRIDE=FQ","FILING_STATUS=MR","SCALING_FORMAT=MLN","FA_ADJUSTED=GAAP","Sort=A","Dates=H","DateFormat=P","Fill=—","Direction=H","UseDPDF=Y")</f>
        <v>2922</v>
      </c>
      <c r="U43" s="16" cm="1">
        <f t="array" ref="U43">_xll.BDH("CAT US Equity","NET_INCOME","FQ3 2023","FQ3 2023","Currency=USD","Period=FQ","BEST_FPERIOD_OVERRIDE=FQ","FILING_STATUS=MR","SCALING_FORMAT=MLN","FA_ADJUSTED=GAAP","Sort=A","Dates=H","DateFormat=P","Fill=—","Direction=H","UseDPDF=Y")</f>
        <v>2794</v>
      </c>
      <c r="V43" s="16" cm="1">
        <f t="array" ref="V43">_xll.BDH("CAT US Equity","NET_INCOME","FQ4 2023","FQ4 2023","Currency=USD","Period=FQ","BEST_FPERIOD_OVERRIDE=FQ","FILING_STATUS=MR","SCALING_FORMAT=MLN","FA_ADJUSTED=GAAP","Sort=A","Dates=H","DateFormat=P","Fill=—","Direction=H","UseDPDF=Y")</f>
        <v>2676</v>
      </c>
      <c r="W43" s="16" cm="1">
        <f t="array" ref="W43">_xll.BDH("CAT US Equity","NET_INCOME","FQ1 2024","FQ1 2024","Currency=USD","Period=FQ","BEST_FPERIOD_OVERRIDE=FQ","FILING_STATUS=MR","SCALING_FORMAT=MLN","FA_ADJUSTED=GAAP","Sort=A","Dates=H","DateFormat=P","Fill=—","Direction=H","UseDPDF=Y")</f>
        <v>2856</v>
      </c>
      <c r="X43" s="16" cm="1">
        <f t="array" ref="X43">_xll.BDH("CAT US Equity","NET_INCOME","FQ2 2024","FQ2 2024","Currency=USD","Period=FQ","BEST_FPERIOD_OVERRIDE=FQ","FILING_STATUS=MR","SCALING_FORMAT=MLN","FA_ADJUSTED=GAAP","Sort=A","Dates=H","DateFormat=P","Fill=—","Direction=H","UseDPDF=Y")</f>
        <v>2681</v>
      </c>
      <c r="Y43" s="16" cm="1">
        <f t="array" ref="Y43">_xll.BDH("CAT US Equity","NET_INCOME","FQ3 2024","FQ3 2024","Currency=USD","Period=FQ","BEST_FPERIOD_OVERRIDE=FQ","FILING_STATUS=MR","SCALING_FORMAT=MLN","FA_ADJUSTED=GAAP","Sort=A","Dates=H","DateFormat=P","Fill=—","Direction=H","UseDPDF=Y")</f>
        <v>2464</v>
      </c>
      <c r="Z43" s="16" cm="1">
        <f t="array" ref="Z43">_xll.BDH("CAT US Equity","NET_INCOME","FQ4 2024","FQ4 2024","Currency=USD","Period=FQ","BEST_FPERIOD_OVERRIDE=FQ","FILING_STATUS=MR","SCALING_FORMAT=MLN","FA_ADJUSTED=GAAP","Sort=A","Dates=H","DateFormat=P","Fill=—","Direction=H","UseDPDF=Y")</f>
        <v>2791</v>
      </c>
      <c r="AA43" s="16" cm="1">
        <f t="array" ref="AA43">_xll.BDH("CAT US Equity","NET_INCOME","FQ1 2025","FQ1 2025","Currency=USD","Period=FQ","BEST_FPERIOD_OVERRIDE=FQ","FILING_STATUS=MR","SCALING_FORMAT=MLN","FA_ADJUSTED=GAAP","Sort=A","Dates=H","DateFormat=P","Fill=—","Direction=H","UseDPDF=Y")</f>
        <v>2003</v>
      </c>
      <c r="AB43" s="16" cm="1">
        <f t="array" ref="AB43">_xll.BDH("CAT US Equity","NET_INCOME","FQ2 2025","FQ2 2025","Currency=USD","Period=FQ","BEST_FPERIOD_OVERRIDE=FQ","FILING_STATUS=MR","SCALING_FORMAT=MLN","FA_ADJUSTED=GAAP","Sort=A","Dates=H","DateFormat=P","Fill=—","Direction=H","UseDPDF=Y")</f>
        <v>2179</v>
      </c>
      <c r="AC43" s="16" cm="1">
        <f t="array" ref="AC43">_xll.BDH("CAT US Equity","NET_INCOME","FQ3 2025","FQ3 2025","Currency=USD","Period=FQ","BEST_FPERIOD_OVERRIDE=FQ","FILING_STATUS=MR","SCALING_FORMAT=MLN","FA_ADJUSTED=GAAP","Sort=A","Dates=H","DateFormat=P","Fill=—","Direction=H","UseDPDF=Y")</f>
        <v>2300</v>
      </c>
      <c r="AD43" s="16" cm="1">
        <f t="array" ref="AD43">_xll.BDH("CAT US Equity","NET_INCOME","FQ4 2025","FQ4 2025","Currency=USD","Period=FQ","BEST_FPERIOD_OVERRIDE=FQ","FILING_STATUS=MR","SCALING_FORMAT=MLN","FA_ADJUSTED=GAAP","Sort=A","Dates=H","DateFormat=P","Fill=—","Direction=H","UseDPDF=Y")</f>
        <v>2402</v>
      </c>
      <c r="AE43" s="16">
        <v>2028</v>
      </c>
      <c r="AF43" s="16">
        <v>2571.4169999999999</v>
      </c>
    </row>
    <row r="44" spans="1:32" x14ac:dyDescent="0.25">
      <c r="A44" s="10" t="s">
        <v>140</v>
      </c>
      <c r="B44" s="10" t="s">
        <v>141</v>
      </c>
      <c r="C44" s="13" cm="1">
        <f t="array" ref="C44">_xll.BDH("CAT US Equity","IS_TOT_CASH_PFD_DVD","FQ1 2019","FQ1 2019","Currency=USD","Period=FQ","BEST_FPERIOD_OVERRIDE=FQ","FILING_STATUS=MR","SCALING_FORMAT=MLN","Sort=A","Dates=H","DateFormat=P","Fill=—","Direction=H","UseDPDF=Y")</f>
        <v>0</v>
      </c>
      <c r="D44" s="13" cm="1">
        <f t="array" ref="D44">_xll.BDH("CAT US Equity","IS_TOT_CASH_PFD_DVD","FQ2 2019","FQ2 2019","Currency=USD","Period=FQ","BEST_FPERIOD_OVERRIDE=FQ","FILING_STATUS=MR","SCALING_FORMAT=MLN","Sort=A","Dates=H","DateFormat=P","Fill=—","Direction=H","UseDPDF=Y")</f>
        <v>0</v>
      </c>
      <c r="E44" s="13" cm="1">
        <f t="array" ref="E44">_xll.BDH("CAT US Equity","IS_TOT_CASH_PFD_DVD","FQ3 2019","FQ3 2019","Currency=USD","Period=FQ","BEST_FPERIOD_OVERRIDE=FQ","FILING_STATUS=MR","SCALING_FORMAT=MLN","Sort=A","Dates=H","DateFormat=P","Fill=—","Direction=H","UseDPDF=Y")</f>
        <v>0</v>
      </c>
      <c r="F44" s="13" cm="1">
        <f t="array" ref="F44">_xll.BDH("CAT US Equity","IS_TOT_CASH_PFD_DVD","FQ4 2019","FQ4 2019","Currency=USD","Period=FQ","BEST_FPERIOD_OVERRIDE=FQ","FILING_STATUS=MR","SCALING_FORMAT=MLN","Sort=A","Dates=H","DateFormat=P","Fill=—","Direction=H","UseDPDF=Y")</f>
        <v>0</v>
      </c>
      <c r="G44" s="13" cm="1">
        <f t="array" ref="G44">_xll.BDH("CAT US Equity","IS_TOT_CASH_PFD_DVD","FQ1 2020","FQ1 2020","Currency=USD","Period=FQ","BEST_FPERIOD_OVERRIDE=FQ","FILING_STATUS=MR","SCALING_FORMAT=MLN","Sort=A","Dates=H","DateFormat=P","Fill=—","Direction=H","UseDPDF=Y")</f>
        <v>0</v>
      </c>
      <c r="H44" s="13" cm="1">
        <f t="array" ref="H44">_xll.BDH("CAT US Equity","IS_TOT_CASH_PFD_DVD","FQ2 2020","FQ2 2020","Currency=USD","Period=FQ","BEST_FPERIOD_OVERRIDE=FQ","FILING_STATUS=MR","SCALING_FORMAT=MLN","Sort=A","Dates=H","DateFormat=P","Fill=—","Direction=H","UseDPDF=Y")</f>
        <v>0</v>
      </c>
      <c r="I44" s="13" cm="1">
        <f t="array" ref="I44">_xll.BDH("CAT US Equity","IS_TOT_CASH_PFD_DVD","FQ3 2020","FQ3 2020","Currency=USD","Period=FQ","BEST_FPERIOD_OVERRIDE=FQ","FILING_STATUS=MR","SCALING_FORMAT=MLN","Sort=A","Dates=H","DateFormat=P","Fill=—","Direction=H","UseDPDF=Y")</f>
        <v>0</v>
      </c>
      <c r="J44" s="13" cm="1">
        <f t="array" ref="J44">_xll.BDH("CAT US Equity","IS_TOT_CASH_PFD_DVD","FQ4 2020","FQ4 2020","Currency=USD","Period=FQ","BEST_FPERIOD_OVERRIDE=FQ","FILING_STATUS=MR","SCALING_FORMAT=MLN","Sort=A","Dates=H","DateFormat=P","Fill=—","Direction=H","UseDPDF=Y")</f>
        <v>0</v>
      </c>
      <c r="K44" s="13" cm="1">
        <f t="array" ref="K44">_xll.BDH("CAT US Equity","IS_TOT_CASH_PFD_DVD","FQ1 2021","FQ1 2021","Currency=USD","Period=FQ","BEST_FPERIOD_OVERRIDE=FQ","FILING_STATUS=MR","SCALING_FORMAT=MLN","Sort=A","Dates=H","DateFormat=P","Fill=—","Direction=H","UseDPDF=Y")</f>
        <v>0</v>
      </c>
      <c r="L44" s="13" cm="1">
        <f t="array" ref="L44">_xll.BDH("CAT US Equity","IS_TOT_CASH_PFD_DVD","FQ2 2021","FQ2 2021","Currency=USD","Period=FQ","BEST_FPERIOD_OVERRIDE=FQ","FILING_STATUS=MR","SCALING_FORMAT=MLN","Sort=A","Dates=H","DateFormat=P","Fill=—","Direction=H","UseDPDF=Y")</f>
        <v>0</v>
      </c>
      <c r="M44" s="13" cm="1">
        <f t="array" ref="M44">_xll.BDH("CAT US Equity","IS_TOT_CASH_PFD_DVD","FQ3 2021","FQ3 2021","Currency=USD","Period=FQ","BEST_FPERIOD_OVERRIDE=FQ","FILING_STATUS=MR","SCALING_FORMAT=MLN","Sort=A","Dates=H","DateFormat=P","Fill=—","Direction=H","UseDPDF=Y")</f>
        <v>0</v>
      </c>
      <c r="N44" s="13" cm="1">
        <f t="array" ref="N44">_xll.BDH("CAT US Equity","IS_TOT_CASH_PFD_DVD","FQ4 2021","FQ4 2021","Currency=USD","Period=FQ","BEST_FPERIOD_OVERRIDE=FQ","FILING_STATUS=MR","SCALING_FORMAT=MLN","Sort=A","Dates=H","DateFormat=P","Fill=—","Direction=H","UseDPDF=Y")</f>
        <v>0</v>
      </c>
      <c r="O44" s="13" cm="1">
        <f t="array" ref="O44">_xll.BDH("CAT US Equity","IS_TOT_CASH_PFD_DVD","FQ1 2022","FQ1 2022","Currency=USD","Period=FQ","BEST_FPERIOD_OVERRIDE=FQ","FILING_STATUS=MR","SCALING_FORMAT=MLN","Sort=A","Dates=H","DateFormat=P","Fill=—","Direction=H","UseDPDF=Y")</f>
        <v>0</v>
      </c>
      <c r="P44" s="13" cm="1">
        <f t="array" ref="P44">_xll.BDH("CAT US Equity","IS_TOT_CASH_PFD_DVD","FQ2 2022","FQ2 2022","Currency=USD","Period=FQ","BEST_FPERIOD_OVERRIDE=FQ","FILING_STATUS=MR","SCALING_FORMAT=MLN","Sort=A","Dates=H","DateFormat=P","Fill=—","Direction=H","UseDPDF=Y")</f>
        <v>0</v>
      </c>
      <c r="Q44" s="13" cm="1">
        <f t="array" ref="Q44">_xll.BDH("CAT US Equity","IS_TOT_CASH_PFD_DVD","FQ3 2022","FQ3 2022","Currency=USD","Period=FQ","BEST_FPERIOD_OVERRIDE=FQ","FILING_STATUS=MR","SCALING_FORMAT=MLN","Sort=A","Dates=H","DateFormat=P","Fill=—","Direction=H","UseDPDF=Y")</f>
        <v>0</v>
      </c>
      <c r="R44" s="13" cm="1">
        <f t="array" ref="R44">_xll.BDH("CAT US Equity","IS_TOT_CASH_PFD_DVD","FQ4 2022","FQ4 2022","Currency=USD","Period=FQ","BEST_FPERIOD_OVERRIDE=FQ","FILING_STATUS=MR","SCALING_FORMAT=MLN","Sort=A","Dates=H","DateFormat=P","Fill=—","Direction=H","UseDPDF=Y")</f>
        <v>0</v>
      </c>
      <c r="S44" s="13" cm="1">
        <f t="array" ref="S44">_xll.BDH("CAT US Equity","IS_TOT_CASH_PFD_DVD","FQ1 2023","FQ1 2023","Currency=USD","Period=FQ","BEST_FPERIOD_OVERRIDE=FQ","FILING_STATUS=MR","SCALING_FORMAT=MLN","Sort=A","Dates=H","DateFormat=P","Fill=—","Direction=H","UseDPDF=Y")</f>
        <v>0</v>
      </c>
      <c r="T44" s="13" cm="1">
        <f t="array" ref="T44">_xll.BDH("CAT US Equity","IS_TOT_CASH_PFD_DVD","FQ2 2023","FQ2 2023","Currency=USD","Period=FQ","BEST_FPERIOD_OVERRIDE=FQ","FILING_STATUS=MR","SCALING_FORMAT=MLN","Sort=A","Dates=H","DateFormat=P","Fill=—","Direction=H","UseDPDF=Y")</f>
        <v>0</v>
      </c>
      <c r="U44" s="13" cm="1">
        <f t="array" ref="U44">_xll.BDH("CAT US Equity","IS_TOT_CASH_PFD_DVD","FQ3 2023","FQ3 2023","Currency=USD","Period=FQ","BEST_FPERIOD_OVERRIDE=FQ","FILING_STATUS=MR","SCALING_FORMAT=MLN","Sort=A","Dates=H","DateFormat=P","Fill=—","Direction=H","UseDPDF=Y")</f>
        <v>0</v>
      </c>
      <c r="V44" s="13" cm="1">
        <f t="array" ref="V44">_xll.BDH("CAT US Equity","IS_TOT_CASH_PFD_DVD","FQ4 2023","FQ4 2023","Currency=USD","Period=FQ","BEST_FPERIOD_OVERRIDE=FQ","FILING_STATUS=MR","SCALING_FORMAT=MLN","Sort=A","Dates=H","DateFormat=P","Fill=—","Direction=H","UseDPDF=Y")</f>
        <v>0</v>
      </c>
      <c r="W44" s="13" cm="1">
        <f t="array" ref="W44">_xll.BDH("CAT US Equity","IS_TOT_CASH_PFD_DVD","FQ1 2024","FQ1 2024","Currency=USD","Period=FQ","BEST_FPERIOD_OVERRIDE=FQ","FILING_STATUS=MR","SCALING_FORMAT=MLN","Sort=A","Dates=H","DateFormat=P","Fill=—","Direction=H","UseDPDF=Y")</f>
        <v>0</v>
      </c>
      <c r="X44" s="13" cm="1">
        <f t="array" ref="X44">_xll.BDH("CAT US Equity","IS_TOT_CASH_PFD_DVD","FQ2 2024","FQ2 2024","Currency=USD","Period=FQ","BEST_FPERIOD_OVERRIDE=FQ","FILING_STATUS=MR","SCALING_FORMAT=MLN","Sort=A","Dates=H","DateFormat=P","Fill=—","Direction=H","UseDPDF=Y")</f>
        <v>0</v>
      </c>
      <c r="Y44" s="13" cm="1">
        <f t="array" ref="Y44">_xll.BDH("CAT US Equity","IS_TOT_CASH_PFD_DVD","FQ3 2024","FQ3 2024","Currency=USD","Period=FQ","BEST_FPERIOD_OVERRIDE=FQ","FILING_STATUS=MR","SCALING_FORMAT=MLN","Sort=A","Dates=H","DateFormat=P","Fill=—","Direction=H","UseDPDF=Y")</f>
        <v>0</v>
      </c>
      <c r="Z44" s="13" cm="1">
        <f t="array" ref="Z44">_xll.BDH("CAT US Equity","IS_TOT_CASH_PFD_DVD","FQ4 2024","FQ4 2024","Currency=USD","Period=FQ","BEST_FPERIOD_OVERRIDE=FQ","FILING_STATUS=MR","SCALING_FORMAT=MLN","Sort=A","Dates=H","DateFormat=P","Fill=—","Direction=H","UseDPDF=Y")</f>
        <v>0</v>
      </c>
      <c r="AA44" s="13" cm="1">
        <f t="array" ref="AA44">_xll.BDH("CAT US Equity","IS_TOT_CASH_PFD_DVD","FQ1 2025","FQ1 2025","Currency=USD","Period=FQ","BEST_FPERIOD_OVERRIDE=FQ","FILING_STATUS=MR","SCALING_FORMAT=MLN","Sort=A","Dates=H","DateFormat=P","Fill=—","Direction=H","UseDPDF=Y")</f>
        <v>0</v>
      </c>
      <c r="AB44" s="13" cm="1">
        <f t="array" ref="AB44">_xll.BDH("CAT US Equity","IS_TOT_CASH_PFD_DVD","FQ2 2025","FQ2 2025","Currency=USD","Period=FQ","BEST_FPERIOD_OVERRIDE=FQ","FILING_STATUS=MR","SCALING_FORMAT=MLN","Sort=A","Dates=H","DateFormat=P","Fill=—","Direction=H","UseDPDF=Y")</f>
        <v>0</v>
      </c>
      <c r="AC44" s="13" cm="1">
        <f t="array" ref="AC44">_xll.BDH("CAT US Equity","IS_TOT_CASH_PFD_DVD","FQ3 2025","FQ3 2025","Currency=USD","Period=FQ","BEST_FPERIOD_OVERRIDE=FQ","FILING_STATUS=MR","SCALING_FORMAT=MLN","Sort=A","Dates=H","DateFormat=P","Fill=—","Direction=H","UseDPDF=Y")</f>
        <v>0</v>
      </c>
      <c r="AD44" s="13" cm="1">
        <f t="array" ref="AD44">_xll.BDH("CAT US Equity","IS_TOT_CASH_PFD_DVD","FQ4 2025","FQ4 2025","Currency=USD","Period=FQ","BEST_FPERIOD_OVERRIDE=FQ","FILING_STATUS=MR","SCALING_FORMAT=MLN","Sort=A","Dates=H","DateFormat=P","Fill=—","Direction=H","UseDPDF=Y")</f>
        <v>0</v>
      </c>
      <c r="AE44" s="13"/>
      <c r="AF44" s="13"/>
    </row>
    <row r="45" spans="1:32" x14ac:dyDescent="0.25">
      <c r="A45" s="10" t="s">
        <v>142</v>
      </c>
      <c r="B45" s="10" t="s">
        <v>143</v>
      </c>
      <c r="C45" s="13" cm="1">
        <f t="array" ref="C45">_xll.BDH("CAT US Equity","OTHER_ADJUSTMENTS","FQ1 2019","FQ1 2019","Currency=USD","Period=FQ","BEST_FPERIOD_OVERRIDE=FQ","FILING_STATUS=MR","SCALING_FORMAT=MLN","Sort=A","Dates=H","DateFormat=P","Fill=—","Direction=H","UseDPDF=Y")</f>
        <v>0</v>
      </c>
      <c r="D45" s="13" cm="1">
        <f t="array" ref="D45">_xll.BDH("CAT US Equity","OTHER_ADJUSTMENTS","FQ2 2019","FQ2 2019","Currency=USD","Period=FQ","BEST_FPERIOD_OVERRIDE=FQ","FILING_STATUS=MR","SCALING_FORMAT=MLN","Sort=A","Dates=H","DateFormat=P","Fill=—","Direction=H","UseDPDF=Y")</f>
        <v>0</v>
      </c>
      <c r="E45" s="13" cm="1">
        <f t="array" ref="E45">_xll.BDH("CAT US Equity","OTHER_ADJUSTMENTS","FQ3 2019","FQ3 2019","Currency=USD","Period=FQ","BEST_FPERIOD_OVERRIDE=FQ","FILING_STATUS=MR","SCALING_FORMAT=MLN","Sort=A","Dates=H","DateFormat=P","Fill=—","Direction=H","UseDPDF=Y")</f>
        <v>0</v>
      </c>
      <c r="F45" s="13" cm="1">
        <f t="array" ref="F45">_xll.BDH("CAT US Equity","OTHER_ADJUSTMENTS","FQ4 2019","FQ4 2019","Currency=USD","Period=FQ","BEST_FPERIOD_OVERRIDE=FQ","FILING_STATUS=MR","SCALING_FORMAT=MLN","Sort=A","Dates=H","DateFormat=P","Fill=—","Direction=H","UseDPDF=Y")</f>
        <v>0</v>
      </c>
      <c r="G45" s="13" cm="1">
        <f t="array" ref="G45">_xll.BDH("CAT US Equity","OTHER_ADJUSTMENTS","FQ1 2020","FQ1 2020","Currency=USD","Period=FQ","BEST_FPERIOD_OVERRIDE=FQ","FILING_STATUS=MR","SCALING_FORMAT=MLN","Sort=A","Dates=H","DateFormat=P","Fill=—","Direction=H","UseDPDF=Y")</f>
        <v>0</v>
      </c>
      <c r="H45" s="13" cm="1">
        <f t="array" ref="H45">_xll.BDH("CAT US Equity","OTHER_ADJUSTMENTS","FQ2 2020","FQ2 2020","Currency=USD","Period=FQ","BEST_FPERIOD_OVERRIDE=FQ","FILING_STATUS=MR","SCALING_FORMAT=MLN","Sort=A","Dates=H","DateFormat=P","Fill=—","Direction=H","UseDPDF=Y")</f>
        <v>0</v>
      </c>
      <c r="I45" s="13" cm="1">
        <f t="array" ref="I45">_xll.BDH("CAT US Equity","OTHER_ADJUSTMENTS","FQ3 2020","FQ3 2020","Currency=USD","Period=FQ","BEST_FPERIOD_OVERRIDE=FQ","FILING_STATUS=MR","SCALING_FORMAT=MLN","Sort=A","Dates=H","DateFormat=P","Fill=—","Direction=H","UseDPDF=Y")</f>
        <v>0</v>
      </c>
      <c r="J45" s="13" cm="1">
        <f t="array" ref="J45">_xll.BDH("CAT US Equity","OTHER_ADJUSTMENTS","FQ4 2020","FQ4 2020","Currency=USD","Period=FQ","BEST_FPERIOD_OVERRIDE=FQ","FILING_STATUS=MR","SCALING_FORMAT=MLN","Sort=A","Dates=H","DateFormat=P","Fill=—","Direction=H","UseDPDF=Y")</f>
        <v>0</v>
      </c>
      <c r="K45" s="13" cm="1">
        <f t="array" ref="K45">_xll.BDH("CAT US Equity","OTHER_ADJUSTMENTS","FQ1 2021","FQ1 2021","Currency=USD","Period=FQ","BEST_FPERIOD_OVERRIDE=FQ","FILING_STATUS=MR","SCALING_FORMAT=MLN","Sort=A","Dates=H","DateFormat=P","Fill=—","Direction=H","UseDPDF=Y")</f>
        <v>0</v>
      </c>
      <c r="L45" s="13" cm="1">
        <f t="array" ref="L45">_xll.BDH("CAT US Equity","OTHER_ADJUSTMENTS","FQ2 2021","FQ2 2021","Currency=USD","Period=FQ","BEST_FPERIOD_OVERRIDE=FQ","FILING_STATUS=MR","SCALING_FORMAT=MLN","Sort=A","Dates=H","DateFormat=P","Fill=—","Direction=H","UseDPDF=Y")</f>
        <v>0</v>
      </c>
      <c r="M45" s="13" cm="1">
        <f t="array" ref="M45">_xll.BDH("CAT US Equity","OTHER_ADJUSTMENTS","FQ3 2021","FQ3 2021","Currency=USD","Period=FQ","BEST_FPERIOD_OVERRIDE=FQ","FILING_STATUS=MR","SCALING_FORMAT=MLN","Sort=A","Dates=H","DateFormat=P","Fill=—","Direction=H","UseDPDF=Y")</f>
        <v>0</v>
      </c>
      <c r="N45" s="13" cm="1">
        <f t="array" ref="N45">_xll.BDH("CAT US Equity","OTHER_ADJUSTMENTS","FQ4 2021","FQ4 2021","Currency=USD","Period=FQ","BEST_FPERIOD_OVERRIDE=FQ","FILING_STATUS=MR","SCALING_FORMAT=MLN","Sort=A","Dates=H","DateFormat=P","Fill=—","Direction=H","UseDPDF=Y")</f>
        <v>0</v>
      </c>
      <c r="O45" s="13" cm="1">
        <f t="array" ref="O45">_xll.BDH("CAT US Equity","OTHER_ADJUSTMENTS","FQ1 2022","FQ1 2022","Currency=USD","Period=FQ","BEST_FPERIOD_OVERRIDE=FQ","FILING_STATUS=MR","SCALING_FORMAT=MLN","Sort=A","Dates=H","DateFormat=P","Fill=—","Direction=H","UseDPDF=Y")</f>
        <v>0</v>
      </c>
      <c r="P45" s="13" cm="1">
        <f t="array" ref="P45">_xll.BDH("CAT US Equity","OTHER_ADJUSTMENTS","FQ2 2022","FQ2 2022","Currency=USD","Period=FQ","BEST_FPERIOD_OVERRIDE=FQ","FILING_STATUS=MR","SCALING_FORMAT=MLN","Sort=A","Dates=H","DateFormat=P","Fill=—","Direction=H","UseDPDF=Y")</f>
        <v>0</v>
      </c>
      <c r="Q45" s="13" cm="1">
        <f t="array" ref="Q45">_xll.BDH("CAT US Equity","OTHER_ADJUSTMENTS","FQ3 2022","FQ3 2022","Currency=USD","Period=FQ","BEST_FPERIOD_OVERRIDE=FQ","FILING_STATUS=MR","SCALING_FORMAT=MLN","Sort=A","Dates=H","DateFormat=P","Fill=—","Direction=H","UseDPDF=Y")</f>
        <v>0</v>
      </c>
      <c r="R45" s="13" cm="1">
        <f t="array" ref="R45">_xll.BDH("CAT US Equity","OTHER_ADJUSTMENTS","FQ4 2022","FQ4 2022","Currency=USD","Period=FQ","BEST_FPERIOD_OVERRIDE=FQ","FILING_STATUS=MR","SCALING_FORMAT=MLN","Sort=A","Dates=H","DateFormat=P","Fill=—","Direction=H","UseDPDF=Y")</f>
        <v>0</v>
      </c>
      <c r="S45" s="13" cm="1">
        <f t="array" ref="S45">_xll.BDH("CAT US Equity","OTHER_ADJUSTMENTS","FQ1 2023","FQ1 2023","Currency=USD","Period=FQ","BEST_FPERIOD_OVERRIDE=FQ","FILING_STATUS=MR","SCALING_FORMAT=MLN","Sort=A","Dates=H","DateFormat=P","Fill=—","Direction=H","UseDPDF=Y")</f>
        <v>0</v>
      </c>
      <c r="T45" s="13" cm="1">
        <f t="array" ref="T45">_xll.BDH("CAT US Equity","OTHER_ADJUSTMENTS","FQ2 2023","FQ2 2023","Currency=USD","Period=FQ","BEST_FPERIOD_OVERRIDE=FQ","FILING_STATUS=MR","SCALING_FORMAT=MLN","Sort=A","Dates=H","DateFormat=P","Fill=—","Direction=H","UseDPDF=Y")</f>
        <v>0</v>
      </c>
      <c r="U45" s="13" cm="1">
        <f t="array" ref="U45">_xll.BDH("CAT US Equity","OTHER_ADJUSTMENTS","FQ3 2023","FQ3 2023","Currency=USD","Period=FQ","BEST_FPERIOD_OVERRIDE=FQ","FILING_STATUS=MR","SCALING_FORMAT=MLN","Sort=A","Dates=H","DateFormat=P","Fill=—","Direction=H","UseDPDF=Y")</f>
        <v>0</v>
      </c>
      <c r="V45" s="13" cm="1">
        <f t="array" ref="V45">_xll.BDH("CAT US Equity","OTHER_ADJUSTMENTS","FQ4 2023","FQ4 2023","Currency=USD","Period=FQ","BEST_FPERIOD_OVERRIDE=FQ","FILING_STATUS=MR","SCALING_FORMAT=MLN","Sort=A","Dates=H","DateFormat=P","Fill=—","Direction=H","UseDPDF=Y")</f>
        <v>0</v>
      </c>
      <c r="W45" s="13" cm="1">
        <f t="array" ref="W45">_xll.BDH("CAT US Equity","OTHER_ADJUSTMENTS","FQ1 2024","FQ1 2024","Currency=USD","Period=FQ","BEST_FPERIOD_OVERRIDE=FQ","FILING_STATUS=MR","SCALING_FORMAT=MLN","Sort=A","Dates=H","DateFormat=P","Fill=—","Direction=H","UseDPDF=Y")</f>
        <v>0</v>
      </c>
      <c r="X45" s="13" cm="1">
        <f t="array" ref="X45">_xll.BDH("CAT US Equity","OTHER_ADJUSTMENTS","FQ2 2024","FQ2 2024","Currency=USD","Period=FQ","BEST_FPERIOD_OVERRIDE=FQ","FILING_STATUS=MR","SCALING_FORMAT=MLN","Sort=A","Dates=H","DateFormat=P","Fill=—","Direction=H","UseDPDF=Y")</f>
        <v>0</v>
      </c>
      <c r="Y45" s="13" cm="1">
        <f t="array" ref="Y45">_xll.BDH("CAT US Equity","OTHER_ADJUSTMENTS","FQ3 2024","FQ3 2024","Currency=USD","Period=FQ","BEST_FPERIOD_OVERRIDE=FQ","FILING_STATUS=MR","SCALING_FORMAT=MLN","Sort=A","Dates=H","DateFormat=P","Fill=—","Direction=H","UseDPDF=Y")</f>
        <v>0</v>
      </c>
      <c r="Z45" s="13" cm="1">
        <f t="array" ref="Z45">_xll.BDH("CAT US Equity","OTHER_ADJUSTMENTS","FQ4 2024","FQ4 2024","Currency=USD","Period=FQ","BEST_FPERIOD_OVERRIDE=FQ","FILING_STATUS=MR","SCALING_FORMAT=MLN","Sort=A","Dates=H","DateFormat=P","Fill=—","Direction=H","UseDPDF=Y")</f>
        <v>0</v>
      </c>
      <c r="AA45" s="13" cm="1">
        <f t="array" ref="AA45">_xll.BDH("CAT US Equity","OTHER_ADJUSTMENTS","FQ1 2025","FQ1 2025","Currency=USD","Period=FQ","BEST_FPERIOD_OVERRIDE=FQ","FILING_STATUS=MR","SCALING_FORMAT=MLN","Sort=A","Dates=H","DateFormat=P","Fill=—","Direction=H","UseDPDF=Y")</f>
        <v>0</v>
      </c>
      <c r="AB45" s="13" cm="1">
        <f t="array" ref="AB45">_xll.BDH("CAT US Equity","OTHER_ADJUSTMENTS","FQ2 2025","FQ2 2025","Currency=USD","Period=FQ","BEST_FPERIOD_OVERRIDE=FQ","FILING_STATUS=MR","SCALING_FORMAT=MLN","Sort=A","Dates=H","DateFormat=P","Fill=—","Direction=H","UseDPDF=Y")</f>
        <v>0</v>
      </c>
      <c r="AC45" s="13" cm="1">
        <f t="array" ref="AC45">_xll.BDH("CAT US Equity","OTHER_ADJUSTMENTS","FQ3 2025","FQ3 2025","Currency=USD","Period=FQ","BEST_FPERIOD_OVERRIDE=FQ","FILING_STATUS=MR","SCALING_FORMAT=MLN","Sort=A","Dates=H","DateFormat=P","Fill=—","Direction=H","UseDPDF=Y")</f>
        <v>0</v>
      </c>
      <c r="AD45" s="13" cm="1">
        <f t="array" ref="AD45">_xll.BDH("CAT US Equity","OTHER_ADJUSTMENTS","FQ4 2025","FQ4 2025","Currency=USD","Period=FQ","BEST_FPERIOD_OVERRIDE=FQ","FILING_STATUS=MR","SCALING_FORMAT=MLN","Sort=A","Dates=H","DateFormat=P","Fill=—","Direction=H","UseDPDF=Y")</f>
        <v>0</v>
      </c>
      <c r="AE45" s="13"/>
      <c r="AF45" s="13"/>
    </row>
    <row r="46" spans="1:32" x14ac:dyDescent="0.25">
      <c r="A46" s="6" t="s">
        <v>144</v>
      </c>
      <c r="B46" s="6" t="s">
        <v>145</v>
      </c>
      <c r="C46" s="16" cm="1">
        <f t="array" ref="C46">_xll.BDH("CAT US Equity","EARN_FOR_COMMON","FQ1 2019","FQ1 2019","Currency=USD","Period=FQ","BEST_FPERIOD_OVERRIDE=FQ","FILING_STATUS=MR","SCALING_FORMAT=MLN","FA_ADJUSTED=GAAP","Sort=A","Dates=H","DateFormat=P","Fill=—","Direction=H","UseDPDF=Y")</f>
        <v>1881</v>
      </c>
      <c r="D46" s="16" cm="1">
        <f t="array" ref="D46">_xll.BDH("CAT US Equity","EARN_FOR_COMMON","FQ2 2019","FQ2 2019","Currency=USD","Period=FQ","BEST_FPERIOD_OVERRIDE=FQ","FILING_STATUS=MR","SCALING_FORMAT=MLN","FA_ADJUSTED=GAAP","Sort=A","Dates=H","DateFormat=P","Fill=—","Direction=H","UseDPDF=Y")</f>
        <v>1620</v>
      </c>
      <c r="E46" s="16" cm="1">
        <f t="array" ref="E46">_xll.BDH("CAT US Equity","EARN_FOR_COMMON","FQ3 2019","FQ3 2019","Currency=USD","Period=FQ","BEST_FPERIOD_OVERRIDE=FQ","FILING_STATUS=MR","SCALING_FORMAT=MLN","FA_ADJUSTED=GAAP","Sort=A","Dates=H","DateFormat=P","Fill=—","Direction=H","UseDPDF=Y")</f>
        <v>1494</v>
      </c>
      <c r="F46" s="16" cm="1">
        <f t="array" ref="F46">_xll.BDH("CAT US Equity","EARN_FOR_COMMON","FQ4 2019","FQ4 2019","Currency=USD","Period=FQ","BEST_FPERIOD_OVERRIDE=FQ","FILING_STATUS=MR","SCALING_FORMAT=MLN","FA_ADJUSTED=GAAP","Sort=A","Dates=H","DateFormat=P","Fill=—","Direction=H","UseDPDF=Y")</f>
        <v>1098</v>
      </c>
      <c r="G46" s="16" cm="1">
        <f t="array" ref="G46">_xll.BDH("CAT US Equity","EARN_FOR_COMMON","FQ1 2020","FQ1 2020","Currency=USD","Period=FQ","BEST_FPERIOD_OVERRIDE=FQ","FILING_STATUS=MR","SCALING_FORMAT=MLN","FA_ADJUSTED=GAAP","Sort=A","Dates=H","DateFormat=P","Fill=—","Direction=H","UseDPDF=Y")</f>
        <v>1092</v>
      </c>
      <c r="H46" s="16" cm="1">
        <f t="array" ref="H46">_xll.BDH("CAT US Equity","EARN_FOR_COMMON","FQ2 2020","FQ2 2020","Currency=USD","Period=FQ","BEST_FPERIOD_OVERRIDE=FQ","FILING_STATUS=MR","SCALING_FORMAT=MLN","FA_ADJUSTED=GAAP","Sort=A","Dates=H","DateFormat=P","Fill=—","Direction=H","UseDPDF=Y")</f>
        <v>458</v>
      </c>
      <c r="I46" s="16" cm="1">
        <f t="array" ref="I46">_xll.BDH("CAT US Equity","EARN_FOR_COMMON","FQ3 2020","FQ3 2020","Currency=USD","Period=FQ","BEST_FPERIOD_OVERRIDE=FQ","FILING_STATUS=MR","SCALING_FORMAT=MLN","FA_ADJUSTED=GAAP","Sort=A","Dates=H","DateFormat=P","Fill=—","Direction=H","UseDPDF=Y")</f>
        <v>668</v>
      </c>
      <c r="J46" s="16" cm="1">
        <f t="array" ref="J46">_xll.BDH("CAT US Equity","EARN_FOR_COMMON","FQ4 2020","FQ4 2020","Currency=USD","Period=FQ","BEST_FPERIOD_OVERRIDE=FQ","FILING_STATUS=MR","SCALING_FORMAT=MLN","FA_ADJUSTED=GAAP","Sort=A","Dates=H","DateFormat=P","Fill=—","Direction=H","UseDPDF=Y")</f>
        <v>780</v>
      </c>
      <c r="K46" s="16" cm="1">
        <f t="array" ref="K46">_xll.BDH("CAT US Equity","EARN_FOR_COMMON","FQ1 2021","FQ1 2021","Currency=USD","Period=FQ","BEST_FPERIOD_OVERRIDE=FQ","FILING_STATUS=MR","SCALING_FORMAT=MLN","FA_ADJUSTED=GAAP","Sort=A","Dates=H","DateFormat=P","Fill=—","Direction=H","UseDPDF=Y")</f>
        <v>1530</v>
      </c>
      <c r="L46" s="16" cm="1">
        <f t="array" ref="L46">_xll.BDH("CAT US Equity","EARN_FOR_COMMON","FQ2 2021","FQ2 2021","Currency=USD","Period=FQ","BEST_FPERIOD_OVERRIDE=FQ","FILING_STATUS=MR","SCALING_FORMAT=MLN","FA_ADJUSTED=GAAP","Sort=A","Dates=H","DateFormat=P","Fill=—","Direction=H","UseDPDF=Y")</f>
        <v>1413</v>
      </c>
      <c r="M46" s="16" cm="1">
        <f t="array" ref="M46">_xll.BDH("CAT US Equity","EARN_FOR_COMMON","FQ3 2021","FQ3 2021","Currency=USD","Period=FQ","BEST_FPERIOD_OVERRIDE=FQ","FILING_STATUS=MR","SCALING_FORMAT=MLN","FA_ADJUSTED=GAAP","Sort=A","Dates=H","DateFormat=P","Fill=—","Direction=H","UseDPDF=Y")</f>
        <v>1426</v>
      </c>
      <c r="N46" s="16" cm="1">
        <f t="array" ref="N46">_xll.BDH("CAT US Equity","EARN_FOR_COMMON","FQ4 2021","FQ4 2021","Currency=USD","Period=FQ","BEST_FPERIOD_OVERRIDE=FQ","FILING_STATUS=MR","SCALING_FORMAT=MLN","FA_ADJUSTED=GAAP","Sort=A","Dates=H","DateFormat=P","Fill=—","Direction=H","UseDPDF=Y")</f>
        <v>2120</v>
      </c>
      <c r="O46" s="16" cm="1">
        <f t="array" ref="O46">_xll.BDH("CAT US Equity","EARN_FOR_COMMON","FQ1 2022","FQ1 2022","Currency=USD","Period=FQ","BEST_FPERIOD_OVERRIDE=FQ","FILING_STATUS=MR","SCALING_FORMAT=MLN","FA_ADJUSTED=GAAP","Sort=A","Dates=H","DateFormat=P","Fill=—","Direction=H","UseDPDF=Y")</f>
        <v>1537</v>
      </c>
      <c r="P46" s="16" cm="1">
        <f t="array" ref="P46">_xll.BDH("CAT US Equity","EARN_FOR_COMMON","FQ2 2022","FQ2 2022","Currency=USD","Period=FQ","BEST_FPERIOD_OVERRIDE=FQ","FILING_STATUS=MR","SCALING_FORMAT=MLN","FA_ADJUSTED=GAAP","Sort=A","Dates=H","DateFormat=P","Fill=—","Direction=H","UseDPDF=Y")</f>
        <v>1673</v>
      </c>
      <c r="Q46" s="16" cm="1">
        <f t="array" ref="Q46">_xll.BDH("CAT US Equity","EARN_FOR_COMMON","FQ3 2022","FQ3 2022","Currency=USD","Period=FQ","BEST_FPERIOD_OVERRIDE=FQ","FILING_STATUS=MR","SCALING_FORMAT=MLN","FA_ADJUSTED=GAAP","Sort=A","Dates=H","DateFormat=P","Fill=—","Direction=H","UseDPDF=Y")</f>
        <v>2041</v>
      </c>
      <c r="R46" s="16" cm="1">
        <f t="array" ref="R46">_xll.BDH("CAT US Equity","EARN_FOR_COMMON","FQ4 2022","FQ4 2022","Currency=USD","Period=FQ","BEST_FPERIOD_OVERRIDE=FQ","FILING_STATUS=MR","SCALING_FORMAT=MLN","FA_ADJUSTED=GAAP","Sort=A","Dates=H","DateFormat=P","Fill=—","Direction=H","UseDPDF=Y")</f>
        <v>1454</v>
      </c>
      <c r="S46" s="16" cm="1">
        <f t="array" ref="S46">_xll.BDH("CAT US Equity","EARN_FOR_COMMON","FQ1 2023","FQ1 2023","Currency=USD","Period=FQ","BEST_FPERIOD_OVERRIDE=FQ","FILING_STATUS=MR","SCALING_FORMAT=MLN","FA_ADJUSTED=GAAP","Sort=A","Dates=H","DateFormat=P","Fill=—","Direction=H","UseDPDF=Y")</f>
        <v>1943</v>
      </c>
      <c r="T46" s="16" cm="1">
        <f t="array" ref="T46">_xll.BDH("CAT US Equity","EARN_FOR_COMMON","FQ2 2023","FQ2 2023","Currency=USD","Period=FQ","BEST_FPERIOD_OVERRIDE=FQ","FILING_STATUS=MR","SCALING_FORMAT=MLN","FA_ADJUSTED=GAAP","Sort=A","Dates=H","DateFormat=P","Fill=—","Direction=H","UseDPDF=Y")</f>
        <v>2922</v>
      </c>
      <c r="U46" s="16" cm="1">
        <f t="array" ref="U46">_xll.BDH("CAT US Equity","EARN_FOR_COMMON","FQ3 2023","FQ3 2023","Currency=USD","Period=FQ","BEST_FPERIOD_OVERRIDE=FQ","FILING_STATUS=MR","SCALING_FORMAT=MLN","FA_ADJUSTED=GAAP","Sort=A","Dates=H","DateFormat=P","Fill=—","Direction=H","UseDPDF=Y")</f>
        <v>2794</v>
      </c>
      <c r="V46" s="16" cm="1">
        <f t="array" ref="V46">_xll.BDH("CAT US Equity","EARN_FOR_COMMON","FQ4 2023","FQ4 2023","Currency=USD","Period=FQ","BEST_FPERIOD_OVERRIDE=FQ","FILING_STATUS=MR","SCALING_FORMAT=MLN","FA_ADJUSTED=GAAP","Sort=A","Dates=H","DateFormat=P","Fill=—","Direction=H","UseDPDF=Y")</f>
        <v>2676</v>
      </c>
      <c r="W46" s="16" cm="1">
        <f t="array" ref="W46">_xll.BDH("CAT US Equity","EARN_FOR_COMMON","FQ1 2024","FQ1 2024","Currency=USD","Period=FQ","BEST_FPERIOD_OVERRIDE=FQ","FILING_STATUS=MR","SCALING_FORMAT=MLN","FA_ADJUSTED=GAAP","Sort=A","Dates=H","DateFormat=P","Fill=—","Direction=H","UseDPDF=Y")</f>
        <v>2856</v>
      </c>
      <c r="X46" s="16" cm="1">
        <f t="array" ref="X46">_xll.BDH("CAT US Equity","EARN_FOR_COMMON","FQ2 2024","FQ2 2024","Currency=USD","Period=FQ","BEST_FPERIOD_OVERRIDE=FQ","FILING_STATUS=MR","SCALING_FORMAT=MLN","FA_ADJUSTED=GAAP","Sort=A","Dates=H","DateFormat=P","Fill=—","Direction=H","UseDPDF=Y")</f>
        <v>2681</v>
      </c>
      <c r="Y46" s="16" cm="1">
        <f t="array" ref="Y46">_xll.BDH("CAT US Equity","EARN_FOR_COMMON","FQ3 2024","FQ3 2024","Currency=USD","Period=FQ","BEST_FPERIOD_OVERRIDE=FQ","FILING_STATUS=MR","SCALING_FORMAT=MLN","FA_ADJUSTED=GAAP","Sort=A","Dates=H","DateFormat=P","Fill=—","Direction=H","UseDPDF=Y")</f>
        <v>2464</v>
      </c>
      <c r="Z46" s="16" cm="1">
        <f t="array" ref="Z46">_xll.BDH("CAT US Equity","EARN_FOR_COMMON","FQ4 2024","FQ4 2024","Currency=USD","Period=FQ","BEST_FPERIOD_OVERRIDE=FQ","FILING_STATUS=MR","SCALING_FORMAT=MLN","FA_ADJUSTED=GAAP","Sort=A","Dates=H","DateFormat=P","Fill=—","Direction=H","UseDPDF=Y")</f>
        <v>2791</v>
      </c>
      <c r="AA46" s="16" cm="1">
        <f t="array" ref="AA46">_xll.BDH("CAT US Equity","EARN_FOR_COMMON","FQ1 2025","FQ1 2025","Currency=USD","Period=FQ","BEST_FPERIOD_OVERRIDE=FQ","FILING_STATUS=MR","SCALING_FORMAT=MLN","FA_ADJUSTED=GAAP","Sort=A","Dates=H","DateFormat=P","Fill=—","Direction=H","UseDPDF=Y")</f>
        <v>2003</v>
      </c>
      <c r="AB46" s="16" cm="1">
        <f t="array" ref="AB46">_xll.BDH("CAT US Equity","EARN_FOR_COMMON","FQ2 2025","FQ2 2025","Currency=USD","Period=FQ","BEST_FPERIOD_OVERRIDE=FQ","FILING_STATUS=MR","SCALING_FORMAT=MLN","FA_ADJUSTED=GAAP","Sort=A","Dates=H","DateFormat=P","Fill=—","Direction=H","UseDPDF=Y")</f>
        <v>2179</v>
      </c>
      <c r="AC46" s="16" cm="1">
        <f t="array" ref="AC46">_xll.BDH("CAT US Equity","EARN_FOR_COMMON","FQ3 2025","FQ3 2025","Currency=USD","Period=FQ","BEST_FPERIOD_OVERRIDE=FQ","FILING_STATUS=MR","SCALING_FORMAT=MLN","FA_ADJUSTED=GAAP","Sort=A","Dates=H","DateFormat=P","Fill=—","Direction=H","UseDPDF=Y")</f>
        <v>2300</v>
      </c>
      <c r="AD46" s="16" cm="1">
        <f t="array" ref="AD46">_xll.BDH("CAT US Equity","EARN_FOR_COMMON","FQ4 2025","FQ4 2025","Currency=USD","Period=FQ","BEST_FPERIOD_OVERRIDE=FQ","FILING_STATUS=MR","SCALING_FORMAT=MLN","FA_ADJUSTED=GAAP","Sort=A","Dates=H","DateFormat=P","Fill=—","Direction=H","UseDPDF=Y")</f>
        <v>2402</v>
      </c>
      <c r="AE46" s="16">
        <v>2028</v>
      </c>
      <c r="AF46" s="16">
        <v>2571.4169999999999</v>
      </c>
    </row>
    <row r="47" spans="1:32" x14ac:dyDescent="0.25">
      <c r="A47" s="6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</row>
    <row r="48" spans="1:32" x14ac:dyDescent="0.25">
      <c r="A48" s="6" t="s">
        <v>146</v>
      </c>
      <c r="B48" s="6" t="s">
        <v>145</v>
      </c>
      <c r="C48" s="16" cm="1">
        <f t="array" ref="C48">_xll.BDH("CAT US Equity","EARN_FOR_COMMON","FQ1 2019","FQ1 2019","Currency=USD","Period=FQ","BEST_FPERIOD_OVERRIDE=FQ","FILING_STATUS=MR","SCALING_FORMAT=MLN","FA_ADJUSTED=Adjusted","Sort=A","Dates=H","DateFormat=P","Fill=—","Direction=H","UseDPDF=Y")</f>
        <v>1740.92</v>
      </c>
      <c r="D48" s="16" cm="1">
        <f t="array" ref="D48">_xll.BDH("CAT US Equity","EARN_FOR_COMMON","FQ2 2019","FQ2 2019","Currency=USD","Period=FQ","BEST_FPERIOD_OVERRIDE=FQ","FILING_STATUS=MR","SCALING_FORMAT=MLN","FA_ADJUSTED=Adjusted","Sort=A","Dates=H","DateFormat=P","Fill=—","Direction=H","UseDPDF=Y")</f>
        <v>1680.9</v>
      </c>
      <c r="E48" s="16" cm="1">
        <f t="array" ref="E48">_xll.BDH("CAT US Equity","EARN_FOR_COMMON","FQ3 2019","FQ3 2019","Currency=USD","Period=FQ","BEST_FPERIOD_OVERRIDE=FQ","FILING_STATUS=MR","SCALING_FORMAT=MLN","FA_ADJUSTED=Adjusted","Sort=A","Dates=H","DateFormat=P","Fill=—","Direction=H","UseDPDF=Y")</f>
        <v>1516.49</v>
      </c>
      <c r="F48" s="16" cm="1">
        <f t="array" ref="F48">_xll.BDH("CAT US Equity","EARN_FOR_COMMON","FQ4 2019","FQ4 2019","Currency=USD","Period=FQ","BEST_FPERIOD_OVERRIDE=FQ","FILING_STATUS=MR","SCALING_FORMAT=MLN","FA_ADJUSTED=Adjusted","Sort=A","Dates=H","DateFormat=P","Fill=—","Direction=H","UseDPDF=Y")</f>
        <v>1620</v>
      </c>
      <c r="G48" s="16" cm="1">
        <f t="array" ref="G48">_xll.BDH("CAT US Equity","EARN_FOR_COMMON","FQ1 2020","FQ1 2020","Currency=USD","Period=FQ","BEST_FPERIOD_OVERRIDE=FQ","FILING_STATUS=MR","SCALING_FORMAT=MLN","FA_ADJUSTED=Adjusted","Sort=A","Dates=H","DateFormat=P","Fill=—","Direction=H","UseDPDF=Y")</f>
        <v>875</v>
      </c>
      <c r="H48" s="16" cm="1">
        <f t="array" ref="H48">_xll.BDH("CAT US Equity","EARN_FOR_COMMON","FQ2 2020","FQ2 2020","Currency=USD","Period=FQ","BEST_FPERIOD_OVERRIDE=FQ","FILING_STATUS=MR","SCALING_FORMAT=MLN","FA_ADJUSTED=Adjusted","Sort=A","Dates=H","DateFormat=P","Fill=—","Direction=H","UseDPDF=Y")</f>
        <v>610.13</v>
      </c>
      <c r="I48" s="16" cm="1">
        <f t="array" ref="I48">_xll.BDH("CAT US Equity","EARN_FOR_COMMON","FQ3 2020","FQ3 2020","Currency=USD","Period=FQ","BEST_FPERIOD_OVERRIDE=FQ","FILING_STATUS=MR","SCALING_FORMAT=MLN","FA_ADJUSTED=Adjusted","Sort=A","Dates=H","DateFormat=P","Fill=—","Direction=H","UseDPDF=Y")</f>
        <v>847.048</v>
      </c>
      <c r="J48" s="16" cm="1">
        <f t="array" ref="J48">_xll.BDH("CAT US Equity","EARN_FOR_COMMON","FQ4 2020","FQ4 2020","Currency=USD","Period=FQ","BEST_FPERIOD_OVERRIDE=FQ","FILING_STATUS=MR","SCALING_FORMAT=MLN","FA_ADJUSTED=Adjusted","Sort=A","Dates=H","DateFormat=P","Fill=—","Direction=H","UseDPDF=Y")</f>
        <v>1276</v>
      </c>
      <c r="K48" s="16" cm="1">
        <f t="array" ref="K48">_xll.BDH("CAT US Equity","EARN_FOR_COMMON","FQ1 2021","FQ1 2021","Currency=USD","Period=FQ","BEST_FPERIOD_OVERRIDE=FQ","FILING_STATUS=MR","SCALING_FORMAT=MLN","FA_ADJUSTED=Adjusted","Sort=A","Dates=H","DateFormat=P","Fill=—","Direction=H","UseDPDF=Y")</f>
        <v>1594</v>
      </c>
      <c r="L48" s="16" cm="1">
        <f t="array" ref="L48">_xll.BDH("CAT US Equity","EARN_FOR_COMMON","FQ2 2021","FQ2 2021","Currency=USD","Period=FQ","BEST_FPERIOD_OVERRIDE=FQ","FILING_STATUS=MR","SCALING_FORMAT=MLN","FA_ADJUSTED=Adjusted","Sort=A","Dates=H","DateFormat=P","Fill=—","Direction=H","UseDPDF=Y")</f>
        <v>1438.84</v>
      </c>
      <c r="M48" s="16" cm="1">
        <f t="array" ref="M48">_xll.BDH("CAT US Equity","EARN_FOR_COMMON","FQ3 2021","FQ3 2021","Currency=USD","Period=FQ","BEST_FPERIOD_OVERRIDE=FQ","FILING_STATUS=MR","SCALING_FORMAT=MLN","FA_ADJUSTED=Adjusted","Sort=A","Dates=H","DateFormat=P","Fill=—","Direction=H","UseDPDF=Y")</f>
        <v>1455</v>
      </c>
      <c r="N48" s="16" cm="1">
        <f t="array" ref="N48">_xll.BDH("CAT US Equity","EARN_FOR_COMMON","FQ4 2021","FQ4 2021","Currency=USD","Period=FQ","BEST_FPERIOD_OVERRIDE=FQ","FILING_STATUS=MR","SCALING_FORMAT=MLN","FA_ADJUSTED=Adjusted","Sort=A","Dates=H","DateFormat=P","Fill=—","Direction=H","UseDPDF=Y")</f>
        <v>1663</v>
      </c>
      <c r="O48" s="16" cm="1">
        <f t="array" ref="O48">_xll.BDH("CAT US Equity","EARN_FOR_COMMON","FQ1 2022","FQ1 2022","Currency=USD","Period=FQ","BEST_FPERIOD_OVERRIDE=FQ","FILING_STATUS=MR","SCALING_FORMAT=MLN","FA_ADJUSTED=Adjusted","Sort=A","Dates=H","DateFormat=P","Fill=—","Direction=H","UseDPDF=Y")</f>
        <v>1548</v>
      </c>
      <c r="P48" s="16" cm="1">
        <f t="array" ref="P48">_xll.BDH("CAT US Equity","EARN_FOR_COMMON","FQ2 2022","FQ2 2022","Currency=USD","Period=FQ","BEST_FPERIOD_OVERRIDE=FQ","FILING_STATUS=MR","SCALING_FORMAT=MLN","FA_ADJUSTED=Adjusted","Sort=A","Dates=H","DateFormat=P","Fill=—","Direction=H","UseDPDF=Y")</f>
        <v>1736.13</v>
      </c>
      <c r="Q48" s="16" cm="1">
        <f t="array" ref="Q48">_xll.BDH("CAT US Equity","EARN_FOR_COMMON","FQ3 2022","FQ3 2022","Currency=USD","Period=FQ","BEST_FPERIOD_OVERRIDE=FQ","FILING_STATUS=MR","SCALING_FORMAT=MLN","FA_ADJUSTED=Adjusted","Sort=A","Dates=H","DateFormat=P","Fill=—","Direction=H","UseDPDF=Y")</f>
        <v>2081</v>
      </c>
      <c r="R48" s="16" cm="1">
        <f t="array" ref="R48">_xll.BDH("CAT US Equity","EARN_FOR_COMMON","FQ4 2022","FQ4 2022","Currency=USD","Period=FQ","BEST_FPERIOD_OVERRIDE=FQ","FILING_STATUS=MR","SCALING_FORMAT=MLN","FA_ADJUSTED=Adjusted","Sort=A","Dates=H","DateFormat=P","Fill=—","Direction=H","UseDPDF=Y")</f>
        <v>2135</v>
      </c>
      <c r="S48" s="16" cm="1">
        <f t="array" ref="S48">_xll.BDH("CAT US Equity","EARN_FOR_COMMON","FQ1 2023","FQ1 2023","Currency=USD","Period=FQ","BEST_FPERIOD_OVERRIDE=FQ","FILING_STATUS=MR","SCALING_FORMAT=MLN","FA_ADJUSTED=Adjusted","Sort=A","Dates=H","DateFormat=P","Fill=—","Direction=H","UseDPDF=Y")</f>
        <v>3000.88</v>
      </c>
      <c r="T48" s="16" cm="1">
        <f t="array" ref="T48">_xll.BDH("CAT US Equity","EARN_FOR_COMMON","FQ2 2023","FQ2 2023","Currency=USD","Period=FQ","BEST_FPERIOD_OVERRIDE=FQ","FILING_STATUS=MR","SCALING_FORMAT=MLN","FA_ADJUSTED=Adjusted","Sort=A","Dates=H","DateFormat=P","Fill=—","Direction=H","UseDPDF=Y")</f>
        <v>2946.49</v>
      </c>
      <c r="U48" s="16" cm="1">
        <f t="array" ref="U48">_xll.BDH("CAT US Equity","EARN_FOR_COMMON","FQ3 2023","FQ3 2023","Currency=USD","Period=FQ","BEST_FPERIOD_OVERRIDE=FQ","FILING_STATUS=MR","SCALING_FORMAT=MLN","FA_ADJUSTED=Adjusted","Sort=A","Dates=H","DateFormat=P","Fill=—","Direction=H","UseDPDF=Y")</f>
        <v>2830</v>
      </c>
      <c r="V48" s="16" cm="1">
        <f t="array" ref="V48">_xll.BDH("CAT US Equity","EARN_FOR_COMMON","FQ4 2023","FQ4 2023","Currency=USD","Period=FQ","BEST_FPERIOD_OVERRIDE=FQ","FILING_STATUS=MR","SCALING_FORMAT=MLN","FA_ADJUSTED=Adjusted","Sort=A","Dates=H","DateFormat=P","Fill=—","Direction=H","UseDPDF=Y")</f>
        <v>2652</v>
      </c>
      <c r="W48" s="16" cm="1">
        <f t="array" ref="W48">_xll.BDH("CAT US Equity","EARN_FOR_COMMON","FQ1 2024","FQ1 2024","Currency=USD","Period=FQ","BEST_FPERIOD_OVERRIDE=FQ","FILING_STATUS=MR","SCALING_FORMAT=MLN","FA_ADJUSTED=Adjusted","Sort=A","Dates=H","DateFormat=P","Fill=—","Direction=H","UseDPDF=Y")</f>
        <v>2782</v>
      </c>
      <c r="X48" s="16" cm="1">
        <f t="array" ref="X48">_xll.BDH("CAT US Equity","EARN_FOR_COMMON","FQ2 2024","FQ2 2024","Currency=USD","Period=FQ","BEST_FPERIOD_OVERRIDE=FQ","FILING_STATUS=MR","SCALING_FORMAT=MLN","FA_ADJUSTED=Adjusted","Sort=A","Dates=H","DateFormat=P","Fill=—","Direction=H","UseDPDF=Y")</f>
        <v>3113.12</v>
      </c>
      <c r="Y48" s="16" cm="1">
        <f t="array" ref="Y48">_xll.BDH("CAT US Equity","EARN_FOR_COMMON","FQ3 2024","FQ3 2024","Currency=USD","Period=FQ","BEST_FPERIOD_OVERRIDE=FQ","FILING_STATUS=MR","SCALING_FORMAT=MLN","FA_ADJUSTED=Adjusted","Sort=A","Dates=H","DateFormat=P","Fill=—","Direction=H","UseDPDF=Y")</f>
        <v>2518</v>
      </c>
      <c r="Z48" s="16" cm="1">
        <f t="array" ref="Z48">_xll.BDH("CAT US Equity","EARN_FOR_COMMON","FQ4 2024","FQ4 2024","Currency=USD","Period=FQ","BEST_FPERIOD_OVERRIDE=FQ","FILING_STATUS=MR","SCALING_FORMAT=MLN","FA_ADJUSTED=Adjusted","Sort=A","Dates=H","DateFormat=P","Fill=—","Direction=H","UseDPDF=Y")</f>
        <v>2483</v>
      </c>
      <c r="AA48" s="16" cm="1">
        <f t="array" ref="AA48">_xll.BDH("CAT US Equity","EARN_FOR_COMMON","FQ1 2025","FQ1 2025","Currency=USD","Period=FQ","BEST_FPERIOD_OVERRIDE=FQ","FILING_STATUS=MR","SCALING_FORMAT=MLN","FA_ADJUSTED=Adjusted","Sort=A","Dates=H","DateFormat=P","Fill=—","Direction=H","UseDPDF=Y")</f>
        <v>2028</v>
      </c>
      <c r="AB48" s="16" cm="1">
        <f t="array" ref="AB48">_xll.BDH("CAT US Equity","EARN_FOR_COMMON","FQ2 2025","FQ2 2025","Currency=USD","Period=FQ","BEST_FPERIOD_OVERRIDE=FQ","FILING_STATUS=MR","SCALING_FORMAT=MLN","FA_ADJUSTED=Adjusted","Sort=A","Dates=H","DateFormat=P","Fill=—","Direction=H","UseDPDF=Y")</f>
        <v>2226</v>
      </c>
      <c r="AC48" s="16" cm="1">
        <f t="array" ref="AC48">_xll.BDH("CAT US Equity","EARN_FOR_COMMON","FQ3 2025","FQ3 2025","Currency=USD","Period=FQ","BEST_FPERIOD_OVERRIDE=FQ","FILING_STATUS=MR","SCALING_FORMAT=MLN","FA_ADJUSTED=Adjusted","Sort=A","Dates=H","DateFormat=P","Fill=—","Direction=H","UseDPDF=Y")</f>
        <v>2328</v>
      </c>
      <c r="AD48" s="16" cm="1">
        <f t="array" ref="AD48">_xll.BDH("CAT US Equity","EARN_FOR_COMMON","FQ4 2025","FQ4 2025","Currency=USD","Period=FQ","BEST_FPERIOD_OVERRIDE=FQ","FILING_STATUS=MR","SCALING_FORMAT=MLN","FA_ADJUSTED=Adjusted","Sort=A","Dates=H","DateFormat=P","Fill=—","Direction=H","UseDPDF=Y")</f>
        <v>2422</v>
      </c>
      <c r="AE48" s="16">
        <v>2126.2629999999999</v>
      </c>
      <c r="AF48" s="16">
        <v>2645.3679999999999</v>
      </c>
    </row>
    <row r="49" spans="1:32" x14ac:dyDescent="0.25">
      <c r="A49" s="10" t="s">
        <v>147</v>
      </c>
      <c r="B49" s="10" t="s">
        <v>148</v>
      </c>
      <c r="C49" s="13" cm="1">
        <f t="array" ref="C49">_xll.BDH("CAT US Equity","IS_NET_ABNORMAL_ITEMS","FQ1 2019","FQ1 2019","Currency=USD","Period=FQ","BEST_FPERIOD_OVERRIDE=FQ","FILING_STATUS=MR","SCALING_FORMAT=MLN","Sort=A","Dates=H","DateFormat=P","Fill=—","Direction=H","UseDPDF=Y")</f>
        <v>-140.08000000000001</v>
      </c>
      <c r="D49" s="13" cm="1">
        <f t="array" ref="D49">_xll.BDH("CAT US Equity","IS_NET_ABNORMAL_ITEMS","FQ2 2019","FQ2 2019","Currency=USD","Period=FQ","BEST_FPERIOD_OVERRIDE=FQ","FILING_STATUS=MR","SCALING_FORMAT=MLN","Sort=A","Dates=H","DateFormat=P","Fill=—","Direction=H","UseDPDF=Y")</f>
        <v>60.9</v>
      </c>
      <c r="E49" s="13" cm="1">
        <f t="array" ref="E49">_xll.BDH("CAT US Equity","IS_NET_ABNORMAL_ITEMS","FQ3 2019","FQ3 2019","Currency=USD","Period=FQ","BEST_FPERIOD_OVERRIDE=FQ","FILING_STATUS=MR","SCALING_FORMAT=MLN","Sort=A","Dates=H","DateFormat=P","Fill=—","Direction=H","UseDPDF=Y")</f>
        <v>22.49</v>
      </c>
      <c r="F49" s="13" cm="1">
        <f t="array" ref="F49">_xll.BDH("CAT US Equity","IS_NET_ABNORMAL_ITEMS","FQ4 2019","FQ4 2019","Currency=USD","Period=FQ","BEST_FPERIOD_OVERRIDE=FQ","FILING_STATUS=MR","SCALING_FORMAT=MLN","Sort=A","Dates=H","DateFormat=P","Fill=—","Direction=H","UseDPDF=Y")</f>
        <v>522</v>
      </c>
      <c r="G49" s="13" cm="1">
        <f t="array" ref="G49">_xll.BDH("CAT US Equity","IS_NET_ABNORMAL_ITEMS","FQ1 2020","FQ1 2020","Currency=USD","Period=FQ","BEST_FPERIOD_OVERRIDE=FQ","FILING_STATUS=MR","SCALING_FORMAT=MLN","Sort=A","Dates=H","DateFormat=P","Fill=—","Direction=H","UseDPDF=Y")</f>
        <v>-217</v>
      </c>
      <c r="H49" s="13" cm="1">
        <f t="array" ref="H49">_xll.BDH("CAT US Equity","IS_NET_ABNORMAL_ITEMS","FQ2 2020","FQ2 2020","Currency=USD","Period=FQ","BEST_FPERIOD_OVERRIDE=FQ","FILING_STATUS=MR","SCALING_FORMAT=MLN","Sort=A","Dates=H","DateFormat=P","Fill=—","Direction=H","UseDPDF=Y")</f>
        <v>152.13</v>
      </c>
      <c r="I49" s="13" cm="1">
        <f t="array" ref="I49">_xll.BDH("CAT US Equity","IS_NET_ABNORMAL_ITEMS","FQ3 2020","FQ3 2020","Currency=USD","Period=FQ","BEST_FPERIOD_OVERRIDE=FQ","FILING_STATUS=MR","SCALING_FORMAT=MLN","Sort=A","Dates=H","DateFormat=P","Fill=—","Direction=H","UseDPDF=Y")</f>
        <v>179.048</v>
      </c>
      <c r="J49" s="13" cm="1">
        <f t="array" ref="J49">_xll.BDH("CAT US Equity","IS_NET_ABNORMAL_ITEMS","FQ4 2020","FQ4 2020","Currency=USD","Period=FQ","BEST_FPERIOD_OVERRIDE=FQ","FILING_STATUS=MR","SCALING_FORMAT=MLN","Sort=A","Dates=H","DateFormat=P","Fill=—","Direction=H","UseDPDF=Y")</f>
        <v>496</v>
      </c>
      <c r="K49" s="13" cm="1">
        <f t="array" ref="K49">_xll.BDH("CAT US Equity","IS_NET_ABNORMAL_ITEMS","FQ1 2021","FQ1 2021","Currency=USD","Period=FQ","BEST_FPERIOD_OVERRIDE=FQ","FILING_STATUS=MR","SCALING_FORMAT=MLN","Sort=A","Dates=H","DateFormat=P","Fill=—","Direction=H","UseDPDF=Y")</f>
        <v>64</v>
      </c>
      <c r="L49" s="13" cm="1">
        <f t="array" ref="L49">_xll.BDH("CAT US Equity","IS_NET_ABNORMAL_ITEMS","FQ2 2021","FQ2 2021","Currency=USD","Period=FQ","BEST_FPERIOD_OVERRIDE=FQ","FILING_STATUS=MR","SCALING_FORMAT=MLN","Sort=A","Dates=H","DateFormat=P","Fill=—","Direction=H","UseDPDF=Y")</f>
        <v>25.84</v>
      </c>
      <c r="M49" s="13" cm="1">
        <f t="array" ref="M49">_xll.BDH("CAT US Equity","IS_NET_ABNORMAL_ITEMS","FQ3 2021","FQ3 2021","Currency=USD","Period=FQ","BEST_FPERIOD_OVERRIDE=FQ","FILING_STATUS=MR","SCALING_FORMAT=MLN","Sort=A","Dates=H","DateFormat=P","Fill=—","Direction=H","UseDPDF=Y")</f>
        <v>29</v>
      </c>
      <c r="N49" s="13" cm="1">
        <f t="array" ref="N49">_xll.BDH("CAT US Equity","IS_NET_ABNORMAL_ITEMS","FQ4 2021","FQ4 2021","Currency=USD","Period=FQ","BEST_FPERIOD_OVERRIDE=FQ","FILING_STATUS=MR","SCALING_FORMAT=MLN","Sort=A","Dates=H","DateFormat=P","Fill=—","Direction=H","UseDPDF=Y")</f>
        <v>-457</v>
      </c>
      <c r="O49" s="13" cm="1">
        <f t="array" ref="O49">_xll.BDH("CAT US Equity","IS_NET_ABNORMAL_ITEMS","FQ1 2022","FQ1 2022","Currency=USD","Period=FQ","BEST_FPERIOD_OVERRIDE=FQ","FILING_STATUS=MR","SCALING_FORMAT=MLN","Sort=A","Dates=H","DateFormat=P","Fill=—","Direction=H","UseDPDF=Y")</f>
        <v>11</v>
      </c>
      <c r="P49" s="13" cm="1">
        <f t="array" ref="P49">_xll.BDH("CAT US Equity","IS_NET_ABNORMAL_ITEMS","FQ2 2022","FQ2 2022","Currency=USD","Period=FQ","BEST_FPERIOD_OVERRIDE=FQ","FILING_STATUS=MR","SCALING_FORMAT=MLN","Sort=A","Dates=H","DateFormat=P","Fill=—","Direction=H","UseDPDF=Y")</f>
        <v>63.13</v>
      </c>
      <c r="Q49" s="13" cm="1">
        <f t="array" ref="Q49">_xll.BDH("CAT US Equity","IS_NET_ABNORMAL_ITEMS","FQ3 2022","FQ3 2022","Currency=USD","Period=FQ","BEST_FPERIOD_OVERRIDE=FQ","FILING_STATUS=MR","SCALING_FORMAT=MLN","Sort=A","Dates=H","DateFormat=P","Fill=—","Direction=H","UseDPDF=Y")</f>
        <v>40</v>
      </c>
      <c r="R49" s="13" cm="1">
        <f t="array" ref="R49">_xll.BDH("CAT US Equity","IS_NET_ABNORMAL_ITEMS","FQ4 2022","FQ4 2022","Currency=USD","Period=FQ","BEST_FPERIOD_OVERRIDE=FQ","FILING_STATUS=MR","SCALING_FORMAT=MLN","Sort=A","Dates=H","DateFormat=P","Fill=—","Direction=H","UseDPDF=Y")</f>
        <v>681</v>
      </c>
      <c r="S49" s="13" cm="1">
        <f t="array" ref="S49">_xll.BDH("CAT US Equity","IS_NET_ABNORMAL_ITEMS","FQ1 2023","FQ1 2023","Currency=USD","Period=FQ","BEST_FPERIOD_OVERRIDE=FQ","FILING_STATUS=MR","SCALING_FORMAT=MLN","Sort=A","Dates=H","DateFormat=P","Fill=—","Direction=H","UseDPDF=Y")</f>
        <v>1057.8800000000001</v>
      </c>
      <c r="T49" s="13" cm="1">
        <f t="array" ref="T49">_xll.BDH("CAT US Equity","IS_NET_ABNORMAL_ITEMS","FQ2 2023","FQ2 2023","Currency=USD","Period=FQ","BEST_FPERIOD_OVERRIDE=FQ","FILING_STATUS=MR","SCALING_FORMAT=MLN","Sort=A","Dates=H","DateFormat=P","Fill=—","Direction=H","UseDPDF=Y")</f>
        <v>24.49</v>
      </c>
      <c r="U49" s="13" cm="1">
        <f t="array" ref="U49">_xll.BDH("CAT US Equity","IS_NET_ABNORMAL_ITEMS","FQ3 2023","FQ3 2023","Currency=USD","Period=FQ","BEST_FPERIOD_OVERRIDE=FQ","FILING_STATUS=MR","SCALING_FORMAT=MLN","Sort=A","Dates=H","DateFormat=P","Fill=—","Direction=H","UseDPDF=Y")</f>
        <v>36</v>
      </c>
      <c r="V49" s="13" cm="1">
        <f t="array" ref="V49">_xll.BDH("CAT US Equity","IS_NET_ABNORMAL_ITEMS","FQ4 2023","FQ4 2023","Currency=USD","Period=FQ","BEST_FPERIOD_OVERRIDE=FQ","FILING_STATUS=MR","SCALING_FORMAT=MLN","Sort=A","Dates=H","DateFormat=P","Fill=—","Direction=H","UseDPDF=Y")</f>
        <v>-24</v>
      </c>
      <c r="W49" s="13" cm="1">
        <f t="array" ref="W49">_xll.BDH("CAT US Equity","IS_NET_ABNORMAL_ITEMS","FQ1 2024","FQ1 2024","Currency=USD","Period=FQ","BEST_FPERIOD_OVERRIDE=FQ","FILING_STATUS=MR","SCALING_FORMAT=MLN","Sort=A","Dates=H","DateFormat=P","Fill=—","Direction=H","UseDPDF=Y")</f>
        <v>-74</v>
      </c>
      <c r="X49" s="13" cm="1">
        <f t="array" ref="X49">_xll.BDH("CAT US Equity","IS_NET_ABNORMAL_ITEMS","FQ2 2024","FQ2 2024","Currency=USD","Period=FQ","BEST_FPERIOD_OVERRIDE=FQ","FILING_STATUS=MR","SCALING_FORMAT=MLN","Sort=A","Dates=H","DateFormat=P","Fill=—","Direction=H","UseDPDF=Y")</f>
        <v>432.12</v>
      </c>
      <c r="Y49" s="13" cm="1">
        <f t="array" ref="Y49">_xll.BDH("CAT US Equity","IS_NET_ABNORMAL_ITEMS","FQ3 2024","FQ3 2024","Currency=USD","Period=FQ","BEST_FPERIOD_OVERRIDE=FQ","FILING_STATUS=MR","SCALING_FORMAT=MLN","Sort=A","Dates=H","DateFormat=P","Fill=—","Direction=H","UseDPDF=Y")</f>
        <v>54</v>
      </c>
      <c r="Z49" s="13" cm="1">
        <f t="array" ref="Z49">_xll.BDH("CAT US Equity","IS_NET_ABNORMAL_ITEMS","FQ4 2024","FQ4 2024","Currency=USD","Period=FQ","BEST_FPERIOD_OVERRIDE=FQ","FILING_STATUS=MR","SCALING_FORMAT=MLN","Sort=A","Dates=H","DateFormat=P","Fill=—","Direction=H","UseDPDF=Y")</f>
        <v>-308</v>
      </c>
      <c r="AA49" s="13" cm="1">
        <f t="array" ref="AA49">_xll.BDH("CAT US Equity","IS_NET_ABNORMAL_ITEMS","FQ1 2025","FQ1 2025","Currency=USD","Period=FQ","BEST_FPERIOD_OVERRIDE=FQ","FILING_STATUS=MR","SCALING_FORMAT=MLN","Sort=A","Dates=H","DateFormat=P","Fill=—","Direction=H","UseDPDF=Y")</f>
        <v>25</v>
      </c>
      <c r="AB49" s="13" cm="1">
        <f t="array" ref="AB49">_xll.BDH("CAT US Equity","IS_NET_ABNORMAL_ITEMS","FQ2 2025","FQ2 2025","Currency=USD","Period=FQ","BEST_FPERIOD_OVERRIDE=FQ","FILING_STATUS=MR","SCALING_FORMAT=MLN","Sort=A","Dates=H","DateFormat=P","Fill=—","Direction=H","UseDPDF=Y")</f>
        <v>47</v>
      </c>
      <c r="AC49" s="13" cm="1">
        <f t="array" ref="AC49">_xll.BDH("CAT US Equity","IS_NET_ABNORMAL_ITEMS","FQ3 2025","FQ3 2025","Currency=USD","Period=FQ","BEST_FPERIOD_OVERRIDE=FQ","FILING_STATUS=MR","SCALING_FORMAT=MLN","Sort=A","Dates=H","DateFormat=P","Fill=—","Direction=H","UseDPDF=Y")</f>
        <v>28</v>
      </c>
      <c r="AD49" s="13" cm="1">
        <f t="array" ref="AD49">_xll.BDH("CAT US Equity","IS_NET_ABNORMAL_ITEMS","FQ4 2025","FQ4 2025","Currency=USD","Period=FQ","BEST_FPERIOD_OVERRIDE=FQ","FILING_STATUS=MR","SCALING_FORMAT=MLN","Sort=A","Dates=H","DateFormat=P","Fill=—","Direction=H","UseDPDF=Y")</f>
        <v>20</v>
      </c>
      <c r="AE49" s="13"/>
      <c r="AF49" s="13"/>
    </row>
    <row r="50" spans="1:32" x14ac:dyDescent="0.25">
      <c r="A50" s="10" t="s">
        <v>149</v>
      </c>
      <c r="B50" s="10" t="s">
        <v>129</v>
      </c>
      <c r="C50" s="13" cm="1">
        <f t="array" ref="C50">_xll.BDH("CAT US Equity","XO_GL_NET_OF_TAX","FQ1 2019","FQ1 2019","Currency=USD","Period=FQ","BEST_FPERIOD_OVERRIDE=FQ","FILING_STATUS=MR","SCALING_FORMAT=MLN","Sort=A","Dates=H","DateFormat=P","Fill=—","Direction=H","UseDPDF=Y")</f>
        <v>0</v>
      </c>
      <c r="D50" s="13" cm="1">
        <f t="array" ref="D50">_xll.BDH("CAT US Equity","XO_GL_NET_OF_TAX","FQ2 2019","FQ2 2019","Currency=USD","Period=FQ","BEST_FPERIOD_OVERRIDE=FQ","FILING_STATUS=MR","SCALING_FORMAT=MLN","Sort=A","Dates=H","DateFormat=P","Fill=—","Direction=H","UseDPDF=Y")</f>
        <v>0</v>
      </c>
      <c r="E50" s="13" cm="1">
        <f t="array" ref="E50">_xll.BDH("CAT US Equity","XO_GL_NET_OF_TAX","FQ3 2019","FQ3 2019","Currency=USD","Period=FQ","BEST_FPERIOD_OVERRIDE=FQ","FILING_STATUS=MR","SCALING_FORMAT=MLN","Sort=A","Dates=H","DateFormat=P","Fill=—","Direction=H","UseDPDF=Y")</f>
        <v>0</v>
      </c>
      <c r="F50" s="13" cm="1">
        <f t="array" ref="F50">_xll.BDH("CAT US Equity","XO_GL_NET_OF_TAX","FQ4 2019","FQ4 2019","Currency=USD","Period=FQ","BEST_FPERIOD_OVERRIDE=FQ","FILING_STATUS=MR","SCALING_FORMAT=MLN","Sort=A","Dates=H","DateFormat=P","Fill=—","Direction=H","UseDPDF=Y")</f>
        <v>0</v>
      </c>
      <c r="G50" s="13" cm="1">
        <f t="array" ref="G50">_xll.BDH("CAT US Equity","XO_GL_NET_OF_TAX","FQ1 2020","FQ1 2020","Currency=USD","Period=FQ","BEST_FPERIOD_OVERRIDE=FQ","FILING_STATUS=MR","SCALING_FORMAT=MLN","Sort=A","Dates=H","DateFormat=P","Fill=—","Direction=H","UseDPDF=Y")</f>
        <v>0</v>
      </c>
      <c r="H50" s="13" cm="1">
        <f t="array" ref="H50">_xll.BDH("CAT US Equity","XO_GL_NET_OF_TAX","FQ2 2020","FQ2 2020","Currency=USD","Period=FQ","BEST_FPERIOD_OVERRIDE=FQ","FILING_STATUS=MR","SCALING_FORMAT=MLN","Sort=A","Dates=H","DateFormat=P","Fill=—","Direction=H","UseDPDF=Y")</f>
        <v>0</v>
      </c>
      <c r="I50" s="13" cm="1">
        <f t="array" ref="I50">_xll.BDH("CAT US Equity","XO_GL_NET_OF_TAX","FQ3 2020","FQ3 2020","Currency=USD","Period=FQ","BEST_FPERIOD_OVERRIDE=FQ","FILING_STATUS=MR","SCALING_FORMAT=MLN","Sort=A","Dates=H","DateFormat=P","Fill=—","Direction=H","UseDPDF=Y")</f>
        <v>0</v>
      </c>
      <c r="J50" s="13" cm="1">
        <f t="array" ref="J50">_xll.BDH("CAT US Equity","XO_GL_NET_OF_TAX","FQ4 2020","FQ4 2020","Currency=USD","Period=FQ","BEST_FPERIOD_OVERRIDE=FQ","FILING_STATUS=MR","SCALING_FORMAT=MLN","Sort=A","Dates=H","DateFormat=P","Fill=—","Direction=H","UseDPDF=Y")</f>
        <v>0</v>
      </c>
      <c r="K50" s="13" cm="1">
        <f t="array" ref="K50">_xll.BDH("CAT US Equity","XO_GL_NET_OF_TAX","FQ1 2021","FQ1 2021","Currency=USD","Period=FQ","BEST_FPERIOD_OVERRIDE=FQ","FILING_STATUS=MR","SCALING_FORMAT=MLN","Sort=A","Dates=H","DateFormat=P","Fill=—","Direction=H","UseDPDF=Y")</f>
        <v>0</v>
      </c>
      <c r="L50" s="13" cm="1">
        <f t="array" ref="L50">_xll.BDH("CAT US Equity","XO_GL_NET_OF_TAX","FQ2 2021","FQ2 2021","Currency=USD","Period=FQ","BEST_FPERIOD_OVERRIDE=FQ","FILING_STATUS=MR","SCALING_FORMAT=MLN","Sort=A","Dates=H","DateFormat=P","Fill=—","Direction=H","UseDPDF=Y")</f>
        <v>0</v>
      </c>
      <c r="M50" s="13" cm="1">
        <f t="array" ref="M50">_xll.BDH("CAT US Equity","XO_GL_NET_OF_TAX","FQ3 2021","FQ3 2021","Currency=USD","Period=FQ","BEST_FPERIOD_OVERRIDE=FQ","FILING_STATUS=MR","SCALING_FORMAT=MLN","Sort=A","Dates=H","DateFormat=P","Fill=—","Direction=H","UseDPDF=Y")</f>
        <v>0</v>
      </c>
      <c r="N50" s="13" cm="1">
        <f t="array" ref="N50">_xll.BDH("CAT US Equity","XO_GL_NET_OF_TAX","FQ4 2021","FQ4 2021","Currency=USD","Period=FQ","BEST_FPERIOD_OVERRIDE=FQ","FILING_STATUS=MR","SCALING_FORMAT=MLN","Sort=A","Dates=H","DateFormat=P","Fill=—","Direction=H","UseDPDF=Y")</f>
        <v>0</v>
      </c>
      <c r="O50" s="13" cm="1">
        <f t="array" ref="O50">_xll.BDH("CAT US Equity","XO_GL_NET_OF_TAX","FQ1 2022","FQ1 2022","Currency=USD","Period=FQ","BEST_FPERIOD_OVERRIDE=FQ","FILING_STATUS=MR","SCALING_FORMAT=MLN","Sort=A","Dates=H","DateFormat=P","Fill=—","Direction=H","UseDPDF=Y")</f>
        <v>0</v>
      </c>
      <c r="P50" s="13" cm="1">
        <f t="array" ref="P50">_xll.BDH("CAT US Equity","XO_GL_NET_OF_TAX","FQ2 2022","FQ2 2022","Currency=USD","Period=FQ","BEST_FPERIOD_OVERRIDE=FQ","FILING_STATUS=MR","SCALING_FORMAT=MLN","Sort=A","Dates=H","DateFormat=P","Fill=—","Direction=H","UseDPDF=Y")</f>
        <v>0</v>
      </c>
      <c r="Q50" s="13" cm="1">
        <f t="array" ref="Q50">_xll.BDH("CAT US Equity","XO_GL_NET_OF_TAX","FQ3 2022","FQ3 2022","Currency=USD","Period=FQ","BEST_FPERIOD_OVERRIDE=FQ","FILING_STATUS=MR","SCALING_FORMAT=MLN","Sort=A","Dates=H","DateFormat=P","Fill=—","Direction=H","UseDPDF=Y")</f>
        <v>0</v>
      </c>
      <c r="R50" s="13" cm="1">
        <f t="array" ref="R50">_xll.BDH("CAT US Equity","XO_GL_NET_OF_TAX","FQ4 2022","FQ4 2022","Currency=USD","Period=FQ","BEST_FPERIOD_OVERRIDE=FQ","FILING_STATUS=MR","SCALING_FORMAT=MLN","Sort=A","Dates=H","DateFormat=P","Fill=—","Direction=H","UseDPDF=Y")</f>
        <v>0</v>
      </c>
      <c r="S50" s="13" cm="1">
        <f t="array" ref="S50">_xll.BDH("CAT US Equity","XO_GL_NET_OF_TAX","FQ1 2023","FQ1 2023","Currency=USD","Period=FQ","BEST_FPERIOD_OVERRIDE=FQ","FILING_STATUS=MR","SCALING_FORMAT=MLN","Sort=A","Dates=H","DateFormat=P","Fill=—","Direction=H","UseDPDF=Y")</f>
        <v>0</v>
      </c>
      <c r="T50" s="13" cm="1">
        <f t="array" ref="T50">_xll.BDH("CAT US Equity","XO_GL_NET_OF_TAX","FQ2 2023","FQ2 2023","Currency=USD","Period=FQ","BEST_FPERIOD_OVERRIDE=FQ","FILING_STATUS=MR","SCALING_FORMAT=MLN","Sort=A","Dates=H","DateFormat=P","Fill=—","Direction=H","UseDPDF=Y")</f>
        <v>0</v>
      </c>
      <c r="U50" s="13" cm="1">
        <f t="array" ref="U50">_xll.BDH("CAT US Equity","XO_GL_NET_OF_TAX","FQ3 2023","FQ3 2023","Currency=USD","Period=FQ","BEST_FPERIOD_OVERRIDE=FQ","FILING_STATUS=MR","SCALING_FORMAT=MLN","Sort=A","Dates=H","DateFormat=P","Fill=—","Direction=H","UseDPDF=Y")</f>
        <v>0</v>
      </c>
      <c r="V50" s="13" cm="1">
        <f t="array" ref="V50">_xll.BDH("CAT US Equity","XO_GL_NET_OF_TAX","FQ4 2023","FQ4 2023","Currency=USD","Period=FQ","BEST_FPERIOD_OVERRIDE=FQ","FILING_STATUS=MR","SCALING_FORMAT=MLN","Sort=A","Dates=H","DateFormat=P","Fill=—","Direction=H","UseDPDF=Y")</f>
        <v>0</v>
      </c>
      <c r="W50" s="13" cm="1">
        <f t="array" ref="W50">_xll.BDH("CAT US Equity","XO_GL_NET_OF_TAX","FQ1 2024","FQ1 2024","Currency=USD","Period=FQ","BEST_FPERIOD_OVERRIDE=FQ","FILING_STATUS=MR","SCALING_FORMAT=MLN","Sort=A","Dates=H","DateFormat=P","Fill=—","Direction=H","UseDPDF=Y")</f>
        <v>0</v>
      </c>
      <c r="X50" s="13" cm="1">
        <f t="array" ref="X50">_xll.BDH("CAT US Equity","XO_GL_NET_OF_TAX","FQ2 2024","FQ2 2024","Currency=USD","Period=FQ","BEST_FPERIOD_OVERRIDE=FQ","FILING_STATUS=MR","SCALING_FORMAT=MLN","Sort=A","Dates=H","DateFormat=P","Fill=—","Direction=H","UseDPDF=Y")</f>
        <v>0</v>
      </c>
      <c r="Y50" s="13" cm="1">
        <f t="array" ref="Y50">_xll.BDH("CAT US Equity","XO_GL_NET_OF_TAX","FQ3 2024","FQ3 2024","Currency=USD","Period=FQ","BEST_FPERIOD_OVERRIDE=FQ","FILING_STATUS=MR","SCALING_FORMAT=MLN","Sort=A","Dates=H","DateFormat=P","Fill=—","Direction=H","UseDPDF=Y")</f>
        <v>0</v>
      </c>
      <c r="Z50" s="13" cm="1">
        <f t="array" ref="Z50">_xll.BDH("CAT US Equity","XO_GL_NET_OF_TAX","FQ4 2024","FQ4 2024","Currency=USD","Period=FQ","BEST_FPERIOD_OVERRIDE=FQ","FILING_STATUS=MR","SCALING_FORMAT=MLN","Sort=A","Dates=H","DateFormat=P","Fill=—","Direction=H","UseDPDF=Y")</f>
        <v>0</v>
      </c>
      <c r="AA50" s="13" cm="1">
        <f t="array" ref="AA50">_xll.BDH("CAT US Equity","XO_GL_NET_OF_TAX","FQ1 2025","FQ1 2025","Currency=USD","Period=FQ","BEST_FPERIOD_OVERRIDE=FQ","FILING_STATUS=MR","SCALING_FORMAT=MLN","Sort=A","Dates=H","DateFormat=P","Fill=—","Direction=H","UseDPDF=Y")</f>
        <v>0</v>
      </c>
      <c r="AB50" s="13" cm="1">
        <f t="array" ref="AB50">_xll.BDH("CAT US Equity","XO_GL_NET_OF_TAX","FQ2 2025","FQ2 2025","Currency=USD","Period=FQ","BEST_FPERIOD_OVERRIDE=FQ","FILING_STATUS=MR","SCALING_FORMAT=MLN","Sort=A","Dates=H","DateFormat=P","Fill=—","Direction=H","UseDPDF=Y")</f>
        <v>0</v>
      </c>
      <c r="AC50" s="13" cm="1">
        <f t="array" ref="AC50">_xll.BDH("CAT US Equity","XO_GL_NET_OF_TAX","FQ3 2025","FQ3 2025","Currency=USD","Period=FQ","BEST_FPERIOD_OVERRIDE=FQ","FILING_STATUS=MR","SCALING_FORMAT=MLN","Sort=A","Dates=H","DateFormat=P","Fill=—","Direction=H","UseDPDF=Y")</f>
        <v>0</v>
      </c>
      <c r="AD50" s="13" cm="1">
        <f t="array" ref="AD50">_xll.BDH("CAT US Equity","XO_GL_NET_OF_TAX","FQ4 2025","FQ4 2025","Currency=USD","Period=FQ","BEST_FPERIOD_OVERRIDE=FQ","FILING_STATUS=MR","SCALING_FORMAT=MLN","Sort=A","Dates=H","DateFormat=P","Fill=—","Direction=H","UseDPDF=Y")</f>
        <v>0</v>
      </c>
      <c r="AE50" s="13"/>
      <c r="AF50" s="13"/>
    </row>
    <row r="51" spans="1:32" x14ac:dyDescent="0.25">
      <c r="A51" s="6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spans="1:32" x14ac:dyDescent="0.25">
      <c r="A52" s="10" t="s">
        <v>150</v>
      </c>
      <c r="B52" s="10" t="s">
        <v>151</v>
      </c>
      <c r="C52" s="13" cm="1">
        <f t="array" ref="C52">_xll.BDH("CAT US Equity","IS_AVG_NUM_SH_FOR_EPS","FQ1 2019","FQ1 2019","Currency=USD","Period=FQ","BEST_FPERIOD_OVERRIDE=FQ","FILING_STATUS=MR","Sort=A","Dates=H","DateFormat=P","Fill=—","Direction=H","UseDPDF=Y")</f>
        <v>572.4</v>
      </c>
      <c r="D52" s="13" cm="1">
        <f t="array" ref="D52">_xll.BDH("CAT US Equity","IS_AVG_NUM_SH_FOR_EPS","FQ2 2019","FQ2 2019","Currency=USD","Period=FQ","BEST_FPERIOD_OVERRIDE=FQ","FILING_STATUS=MR","Sort=A","Dates=H","DateFormat=P","Fill=—","Direction=H","UseDPDF=Y")</f>
        <v>567.79999999999995</v>
      </c>
      <c r="E52" s="13" cm="1">
        <f t="array" ref="E52">_xll.BDH("CAT US Equity","IS_AVG_NUM_SH_FOR_EPS","FQ3 2019","FQ3 2019","Currency=USD","Period=FQ","BEST_FPERIOD_OVERRIDE=FQ","FILING_STATUS=MR","Sort=A","Dates=H","DateFormat=P","Fill=—","Direction=H","UseDPDF=Y")</f>
        <v>556.29999999999995</v>
      </c>
      <c r="F52" s="13" cm="1">
        <f t="array" ref="F52">_xll.BDH("CAT US Equity","IS_AVG_NUM_SH_FOR_EPS","FQ4 2019","FQ4 2019","Currency=USD","Period=FQ","BEST_FPERIOD_OVERRIDE=FQ","FILING_STATUS=MR","Sort=A","Dates=H","DateFormat=P","Fill=—","Direction=H","UseDPDF=Y")</f>
        <v>550.29999999999995</v>
      </c>
      <c r="G52" s="13" cm="1">
        <f t="array" ref="G52">_xll.BDH("CAT US Equity","IS_AVG_NUM_SH_FOR_EPS","FQ1 2020","FQ1 2020","Currency=USD","Period=FQ","BEST_FPERIOD_OVERRIDE=FQ","FILING_STATUS=MR","Sort=A","Dates=H","DateFormat=P","Fill=—","Direction=H","UseDPDF=Y")</f>
        <v>546.79999999999995</v>
      </c>
      <c r="H52" s="13" cm="1">
        <f t="array" ref="H52">_xll.BDH("CAT US Equity","IS_AVG_NUM_SH_FOR_EPS","FQ2 2020","FQ2 2020","Currency=USD","Period=FQ","BEST_FPERIOD_OVERRIDE=FQ","FILING_STATUS=MR","Sort=A","Dates=H","DateFormat=P","Fill=—","Direction=H","UseDPDF=Y")</f>
        <v>541.5</v>
      </c>
      <c r="I52" s="13" cm="1">
        <f t="array" ref="I52">_xll.BDH("CAT US Equity","IS_AVG_NUM_SH_FOR_EPS","FQ3 2020","FQ3 2020","Currency=USD","Period=FQ","BEST_FPERIOD_OVERRIDE=FQ","FILING_STATUS=MR","Sort=A","Dates=H","DateFormat=P","Fill=—","Direction=H","UseDPDF=Y")</f>
        <v>542.29999999999995</v>
      </c>
      <c r="J52" s="13" cm="1">
        <f t="array" ref="J52">_xll.BDH("CAT US Equity","IS_AVG_NUM_SH_FOR_EPS","FQ4 2020","FQ4 2020","Currency=USD","Period=FQ","BEST_FPERIOD_OVERRIDE=FQ","FILING_STATUS=MR","Sort=A","Dates=H","DateFormat=P","Fill=—","Direction=H","UseDPDF=Y")</f>
        <v>544.5</v>
      </c>
      <c r="K52" s="13" cm="1">
        <f t="array" ref="K52">_xll.BDH("CAT US Equity","IS_AVG_NUM_SH_FOR_EPS","FQ1 2021","FQ1 2021","Currency=USD","Period=FQ","BEST_FPERIOD_OVERRIDE=FQ","FILING_STATUS=MR","Sort=A","Dates=H","DateFormat=P","Fill=—","Direction=H","UseDPDF=Y")</f>
        <v>546.4</v>
      </c>
      <c r="L52" s="13" cm="1">
        <f t="array" ref="L52">_xll.BDH("CAT US Equity","IS_AVG_NUM_SH_FOR_EPS","FQ2 2021","FQ2 2021","Currency=USD","Period=FQ","BEST_FPERIOD_OVERRIDE=FQ","FILING_STATUS=MR","Sort=A","Dates=H","DateFormat=P","Fill=—","Direction=H","UseDPDF=Y")</f>
        <v>547.9</v>
      </c>
      <c r="M52" s="13" cm="1">
        <f t="array" ref="M52">_xll.BDH("CAT US Equity","IS_AVG_NUM_SH_FOR_EPS","FQ3 2021","FQ3 2021","Currency=USD","Period=FQ","BEST_FPERIOD_OVERRIDE=FQ","FILING_STATUS=MR","Sort=A","Dates=H","DateFormat=P","Fill=—","Direction=H","UseDPDF=Y")</f>
        <v>544</v>
      </c>
      <c r="N52" s="13" cm="1">
        <f t="array" ref="N52">_xll.BDH("CAT US Equity","IS_AVG_NUM_SH_FOR_EPS","FQ4 2021","FQ4 2021","Currency=USD","Period=FQ","BEST_FPERIOD_OVERRIDE=FQ","FILING_STATUS=MR","Sort=A","Dates=H","DateFormat=P","Fill=—","Direction=H","UseDPDF=Y")</f>
        <v>538.70000000000005</v>
      </c>
      <c r="O52" s="13" cm="1">
        <f t="array" ref="O52">_xll.BDH("CAT US Equity","IS_AVG_NUM_SH_FOR_EPS","FQ1 2022","FQ1 2022","Currency=USD","Period=FQ","BEST_FPERIOD_OVERRIDE=FQ","FILING_STATUS=MR","Sort=A","Dates=H","DateFormat=P","Fill=—","Direction=H","UseDPDF=Y")</f>
        <v>534.5</v>
      </c>
      <c r="P52" s="13" cm="1">
        <f t="array" ref="P52">_xll.BDH("CAT US Equity","IS_AVG_NUM_SH_FOR_EPS","FQ2 2022","FQ2 2022","Currency=USD","Period=FQ","BEST_FPERIOD_OVERRIDE=FQ","FILING_STATUS=MR","Sort=A","Dates=H","DateFormat=P","Fill=—","Direction=H","UseDPDF=Y")</f>
        <v>531</v>
      </c>
      <c r="Q52" s="13" cm="1">
        <f t="array" ref="Q52">_xll.BDH("CAT US Equity","IS_AVG_NUM_SH_FOR_EPS","FQ3 2022","FQ3 2022","Currency=USD","Period=FQ","BEST_FPERIOD_OVERRIDE=FQ","FILING_STATUS=MR","Sort=A","Dates=H","DateFormat=P","Fill=—","Direction=H","UseDPDF=Y")</f>
        <v>525</v>
      </c>
      <c r="R52" s="13" cm="1">
        <f t="array" ref="R52">_xll.BDH("CAT US Equity","IS_AVG_NUM_SH_FOR_EPS","FQ4 2022","FQ4 2022","Currency=USD","Period=FQ","BEST_FPERIOD_OVERRIDE=FQ","FILING_STATUS=MR","Sort=A","Dates=H","DateFormat=P","Fill=—","Direction=H","UseDPDF=Y")</f>
        <v>517.4</v>
      </c>
      <c r="S52" s="13" cm="1">
        <f t="array" ref="S52">_xll.BDH("CAT US Equity","IS_AVG_NUM_SH_FOR_EPS","FQ1 2023","FQ1 2023","Currency=USD","Period=FQ","BEST_FPERIOD_OVERRIDE=FQ","FILING_STATUS=MR","Sort=A","Dates=H","DateFormat=P","Fill=—","Direction=H","UseDPDF=Y")</f>
        <v>516.20000000000005</v>
      </c>
      <c r="T52" s="13" cm="1">
        <f t="array" ref="T52">_xll.BDH("CAT US Equity","IS_AVG_NUM_SH_FOR_EPS","FQ2 2023","FQ2 2023","Currency=USD","Period=FQ","BEST_FPERIOD_OVERRIDE=FQ","FILING_STATUS=MR","Sort=A","Dates=H","DateFormat=P","Fill=—","Direction=H","UseDPDF=Y")</f>
        <v>512.9</v>
      </c>
      <c r="U52" s="13" cm="1">
        <f t="array" ref="U52">_xll.BDH("CAT US Equity","IS_AVG_NUM_SH_FOR_EPS","FQ3 2023","FQ3 2023","Currency=USD","Period=FQ","BEST_FPERIOD_OVERRIDE=FQ","FILING_STATUS=MR","Sort=A","Dates=H","DateFormat=P","Fill=—","Direction=H","UseDPDF=Y")</f>
        <v>509.8</v>
      </c>
      <c r="V52" s="13" cm="1">
        <f t="array" ref="V52">_xll.BDH("CAT US Equity","IS_AVG_NUM_SH_FOR_EPS","FQ4 2023","FQ4 2023","Currency=USD","Period=FQ","BEST_FPERIOD_OVERRIDE=FQ","FILING_STATUS=MR","Sort=A","Dates=H","DateFormat=P","Fill=—","Direction=H","UseDPDF=Y")</f>
        <v>504.4</v>
      </c>
      <c r="W52" s="13" cm="1">
        <f t="array" ref="W52">_xll.BDH("CAT US Equity","IS_AVG_NUM_SH_FOR_EPS","FQ1 2024","FQ1 2024","Currency=USD","Period=FQ","BEST_FPERIOD_OVERRIDE=FQ","FILING_STATUS=MR","Sort=A","Dates=H","DateFormat=P","Fill=—","Direction=H","UseDPDF=Y")</f>
        <v>493.9</v>
      </c>
      <c r="X52" s="13" cm="1">
        <f t="array" ref="X52">_xll.BDH("CAT US Equity","IS_AVG_NUM_SH_FOR_EPS","FQ2 2024","FQ2 2024","Currency=USD","Period=FQ","BEST_FPERIOD_OVERRIDE=FQ","FILING_STATUS=MR","Sort=A","Dates=H","DateFormat=P","Fill=—","Direction=H","UseDPDF=Y")</f>
        <v>487.2</v>
      </c>
      <c r="Y52" s="13" cm="1">
        <f t="array" ref="Y52">_xll.BDH("CAT US Equity","IS_AVG_NUM_SH_FOR_EPS","FQ3 2024","FQ3 2024","Currency=USD","Period=FQ","BEST_FPERIOD_OVERRIDE=FQ","FILING_STATUS=MR","Sort=A","Dates=H","DateFormat=P","Fill=—","Direction=H","UseDPDF=Y")</f>
        <v>484.2</v>
      </c>
      <c r="Z52" s="13" cm="1">
        <f t="array" ref="Z52">_xll.BDH("CAT US Equity","IS_AVG_NUM_SH_FOR_EPS","FQ4 2024","FQ4 2024","Currency=USD","Period=FQ","BEST_FPERIOD_OVERRIDE=FQ","FILING_STATUS=MR","Sort=A","Dates=H","DateFormat=P","Fill=—","Direction=H","UseDPDF=Y")</f>
        <v>480</v>
      </c>
      <c r="AA52" s="13" cm="1">
        <f t="array" ref="AA52">_xll.BDH("CAT US Equity","IS_AVG_NUM_SH_FOR_EPS","FQ1 2025","FQ1 2025","Currency=USD","Period=FQ","BEST_FPERIOD_OVERRIDE=FQ","FILING_STATUS=MR","Sort=A","Dates=H","DateFormat=P","Fill=—","Direction=H","UseDPDF=Y")</f>
        <v>474.9</v>
      </c>
      <c r="AB52" s="13" cm="1">
        <f t="array" ref="AB52">_xll.BDH("CAT US Equity","IS_AVG_NUM_SH_FOR_EPS","FQ2 2025","FQ2 2025","Currency=USD","Period=FQ","BEST_FPERIOD_OVERRIDE=FQ","FILING_STATUS=MR","Sort=A","Dates=H","DateFormat=P","Fill=—","Direction=H","UseDPDF=Y")</f>
        <v>469.7</v>
      </c>
      <c r="AC52" s="13" cm="1">
        <f t="array" ref="AC52">_xll.BDH("CAT US Equity","IS_AVG_NUM_SH_FOR_EPS","FQ3 2025","FQ3 2025","Currency=USD","Period=FQ","BEST_FPERIOD_OVERRIDE=FQ","FILING_STATUS=MR","Sort=A","Dates=H","DateFormat=P","Fill=—","Direction=H","UseDPDF=Y")</f>
        <v>468.6</v>
      </c>
      <c r="AD52" s="13" cm="1">
        <f t="array" ref="AD52">_xll.BDH("CAT US Equity","IS_AVG_NUM_SH_FOR_EPS","FQ4 2025","FQ4 2025","Currency=USD","Period=FQ","BEST_FPERIOD_OVERRIDE=FQ","FILING_STATUS=MR","Sort=A","Dates=H","DateFormat=P","Fill=—","Direction=H","UseDPDF=Y")</f>
        <v>466.5</v>
      </c>
      <c r="AE52" s="13"/>
      <c r="AF52" s="13"/>
    </row>
    <row r="53" spans="1:32" x14ac:dyDescent="0.25">
      <c r="A53" s="6" t="s">
        <v>152</v>
      </c>
      <c r="B53" s="6" t="s">
        <v>153</v>
      </c>
      <c r="C53" s="17" cm="1">
        <f t="array" ref="C53">_xll.BDH("CAT US Equity","IS_EPS","FQ1 2019","FQ1 2019","Currency=USD","Period=FQ","BEST_FPERIOD_OVERRIDE=FQ","FILING_STATUS=MR","FA_ADJUSTED=GAAP","Sort=A","Dates=H","DateFormat=P","Fill=—","Direction=H","UseDPDF=Y")</f>
        <v>3.29</v>
      </c>
      <c r="D53" s="17" cm="1">
        <f t="array" ref="D53">_xll.BDH("CAT US Equity","IS_EPS","FQ2 2019","FQ2 2019","Currency=USD","Period=FQ","BEST_FPERIOD_OVERRIDE=FQ","FILING_STATUS=MR","FA_ADJUSTED=GAAP","Sort=A","Dates=H","DateFormat=P","Fill=—","Direction=H","UseDPDF=Y")</f>
        <v>2.85</v>
      </c>
      <c r="E53" s="17" cm="1">
        <f t="array" ref="E53">_xll.BDH("CAT US Equity","IS_EPS","FQ3 2019","FQ3 2019","Currency=USD","Period=FQ","BEST_FPERIOD_OVERRIDE=FQ","FILING_STATUS=MR","FA_ADJUSTED=GAAP","Sort=A","Dates=H","DateFormat=P","Fill=—","Direction=H","UseDPDF=Y")</f>
        <v>2.69</v>
      </c>
      <c r="F53" s="17" cm="1">
        <f t="array" ref="F53">_xll.BDH("CAT US Equity","IS_EPS","FQ4 2019","FQ4 2019","Currency=USD","Period=FQ","BEST_FPERIOD_OVERRIDE=FQ","FILING_STATUS=MR","FA_ADJUSTED=GAAP","Sort=A","Dates=H","DateFormat=P","Fill=—","Direction=H","UseDPDF=Y")</f>
        <v>2</v>
      </c>
      <c r="G53" s="17" cm="1">
        <f t="array" ref="G53">_xll.BDH("CAT US Equity","IS_EPS","FQ1 2020","FQ1 2020","Currency=USD","Period=FQ","BEST_FPERIOD_OVERRIDE=FQ","FILING_STATUS=MR","FA_ADJUSTED=GAAP","Sort=A","Dates=H","DateFormat=P","Fill=—","Direction=H","UseDPDF=Y")</f>
        <v>2</v>
      </c>
      <c r="H53" s="17" cm="1">
        <f t="array" ref="H53">_xll.BDH("CAT US Equity","IS_EPS","FQ2 2020","FQ2 2020","Currency=USD","Period=FQ","BEST_FPERIOD_OVERRIDE=FQ","FILING_STATUS=MR","FA_ADJUSTED=GAAP","Sort=A","Dates=H","DateFormat=P","Fill=—","Direction=H","UseDPDF=Y")</f>
        <v>0.84</v>
      </c>
      <c r="I53" s="17" cm="1">
        <f t="array" ref="I53">_xll.BDH("CAT US Equity","IS_EPS","FQ3 2020","FQ3 2020","Currency=USD","Period=FQ","BEST_FPERIOD_OVERRIDE=FQ","FILING_STATUS=MR","FA_ADJUSTED=GAAP","Sort=A","Dates=H","DateFormat=P","Fill=—","Direction=H","UseDPDF=Y")</f>
        <v>1.23</v>
      </c>
      <c r="J53" s="17" cm="1">
        <f t="array" ref="J53">_xll.BDH("CAT US Equity","IS_EPS","FQ4 2020","FQ4 2020","Currency=USD","Period=FQ","BEST_FPERIOD_OVERRIDE=FQ","FILING_STATUS=MR","FA_ADJUSTED=GAAP","Sort=A","Dates=H","DateFormat=P","Fill=—","Direction=H","UseDPDF=Y")</f>
        <v>1.43</v>
      </c>
      <c r="K53" s="17" cm="1">
        <f t="array" ref="K53">_xll.BDH("CAT US Equity","IS_EPS","FQ1 2021","FQ1 2021","Currency=USD","Period=FQ","BEST_FPERIOD_OVERRIDE=FQ","FILING_STATUS=MR","FA_ADJUSTED=GAAP","Sort=A","Dates=H","DateFormat=P","Fill=—","Direction=H","UseDPDF=Y")</f>
        <v>2.8</v>
      </c>
      <c r="L53" s="17" cm="1">
        <f t="array" ref="L53">_xll.BDH("CAT US Equity","IS_EPS","FQ2 2021","FQ2 2021","Currency=USD","Period=FQ","BEST_FPERIOD_OVERRIDE=FQ","FILING_STATUS=MR","FA_ADJUSTED=GAAP","Sort=A","Dates=H","DateFormat=P","Fill=—","Direction=H","UseDPDF=Y")</f>
        <v>2.58</v>
      </c>
      <c r="M53" s="17" cm="1">
        <f t="array" ref="M53">_xll.BDH("CAT US Equity","IS_EPS","FQ3 2021","FQ3 2021","Currency=USD","Period=FQ","BEST_FPERIOD_OVERRIDE=FQ","FILING_STATUS=MR","FA_ADJUSTED=GAAP","Sort=A","Dates=H","DateFormat=P","Fill=—","Direction=H","UseDPDF=Y")</f>
        <v>2.62</v>
      </c>
      <c r="N53" s="17" cm="1">
        <f t="array" ref="N53">_xll.BDH("CAT US Equity","IS_EPS","FQ4 2021","FQ4 2021","Currency=USD","Period=FQ","BEST_FPERIOD_OVERRIDE=FQ","FILING_STATUS=MR","FA_ADJUSTED=GAAP","Sort=A","Dates=H","DateFormat=P","Fill=—","Direction=H","UseDPDF=Y")</f>
        <v>3.94</v>
      </c>
      <c r="O53" s="17" cm="1">
        <f t="array" ref="O53">_xll.BDH("CAT US Equity","IS_EPS","FQ1 2022","FQ1 2022","Currency=USD","Period=FQ","BEST_FPERIOD_OVERRIDE=FQ","FILING_STATUS=MR","FA_ADJUSTED=GAAP","Sort=A","Dates=H","DateFormat=P","Fill=—","Direction=H","UseDPDF=Y")</f>
        <v>2.88</v>
      </c>
      <c r="P53" s="17" cm="1">
        <f t="array" ref="P53">_xll.BDH("CAT US Equity","IS_EPS","FQ2 2022","FQ2 2022","Currency=USD","Period=FQ","BEST_FPERIOD_OVERRIDE=FQ","FILING_STATUS=MR","FA_ADJUSTED=GAAP","Sort=A","Dates=H","DateFormat=P","Fill=—","Direction=H","UseDPDF=Y")</f>
        <v>3.15</v>
      </c>
      <c r="Q53" s="17" cm="1">
        <f t="array" ref="Q53">_xll.BDH("CAT US Equity","IS_EPS","FQ3 2022","FQ3 2022","Currency=USD","Period=FQ","BEST_FPERIOD_OVERRIDE=FQ","FILING_STATUS=MR","FA_ADJUSTED=GAAP","Sort=A","Dates=H","DateFormat=P","Fill=—","Direction=H","UseDPDF=Y")</f>
        <v>3.89</v>
      </c>
      <c r="R53" s="17" cm="1">
        <f t="array" ref="R53">_xll.BDH("CAT US Equity","IS_EPS","FQ4 2022","FQ4 2022","Currency=USD","Period=FQ","BEST_FPERIOD_OVERRIDE=FQ","FILING_STATUS=MR","FA_ADJUSTED=GAAP","Sort=A","Dates=H","DateFormat=P","Fill=—","Direction=H","UseDPDF=Y")</f>
        <v>2.81</v>
      </c>
      <c r="S53" s="17" cm="1">
        <f t="array" ref="S53">_xll.BDH("CAT US Equity","IS_EPS","FQ1 2023","FQ1 2023","Currency=USD","Period=FQ","BEST_FPERIOD_OVERRIDE=FQ","FILING_STATUS=MR","FA_ADJUSTED=GAAP","Sort=A","Dates=H","DateFormat=P","Fill=—","Direction=H","UseDPDF=Y")</f>
        <v>3.76</v>
      </c>
      <c r="T53" s="17" cm="1">
        <f t="array" ref="T53">_xll.BDH("CAT US Equity","IS_EPS","FQ2 2023","FQ2 2023","Currency=USD","Period=FQ","BEST_FPERIOD_OVERRIDE=FQ","FILING_STATUS=MR","FA_ADJUSTED=GAAP","Sort=A","Dates=H","DateFormat=P","Fill=—","Direction=H","UseDPDF=Y")</f>
        <v>5.7</v>
      </c>
      <c r="U53" s="17" cm="1">
        <f t="array" ref="U53">_xll.BDH("CAT US Equity","IS_EPS","FQ3 2023","FQ3 2023","Currency=USD","Period=FQ","BEST_FPERIOD_OVERRIDE=FQ","FILING_STATUS=MR","FA_ADJUSTED=GAAP","Sort=A","Dates=H","DateFormat=P","Fill=—","Direction=H","UseDPDF=Y")</f>
        <v>5.48</v>
      </c>
      <c r="V53" s="17" cm="1">
        <f t="array" ref="V53">_xll.BDH("CAT US Equity","IS_EPS","FQ4 2023","FQ4 2023","Currency=USD","Period=FQ","BEST_FPERIOD_OVERRIDE=FQ","FILING_STATUS=MR","FA_ADJUSTED=GAAP","Sort=A","Dates=H","DateFormat=P","Fill=—","Direction=H","UseDPDF=Y")</f>
        <v>5.31</v>
      </c>
      <c r="W53" s="17" cm="1">
        <f t="array" ref="W53">_xll.BDH("CAT US Equity","IS_EPS","FQ1 2024","FQ1 2024","Currency=USD","Period=FQ","BEST_FPERIOD_OVERRIDE=FQ","FILING_STATUS=MR","FA_ADJUSTED=GAAP","Sort=A","Dates=H","DateFormat=P","Fill=—","Direction=H","UseDPDF=Y")</f>
        <v>5.78</v>
      </c>
      <c r="X53" s="17" cm="1">
        <f t="array" ref="X53">_xll.BDH("CAT US Equity","IS_EPS","FQ2 2024","FQ2 2024","Currency=USD","Period=FQ","BEST_FPERIOD_OVERRIDE=FQ","FILING_STATUS=MR","FA_ADJUSTED=GAAP","Sort=A","Dates=H","DateFormat=P","Fill=—","Direction=H","UseDPDF=Y")</f>
        <v>5.5</v>
      </c>
      <c r="Y53" s="17" cm="1">
        <f t="array" ref="Y53">_xll.BDH("CAT US Equity","IS_EPS","FQ3 2024","FQ3 2024","Currency=USD","Period=FQ","BEST_FPERIOD_OVERRIDE=FQ","FILING_STATUS=MR","FA_ADJUSTED=GAAP","Sort=A","Dates=H","DateFormat=P","Fill=—","Direction=H","UseDPDF=Y")</f>
        <v>5.09</v>
      </c>
      <c r="Z53" s="17" cm="1">
        <f t="array" ref="Z53">_xll.BDH("CAT US Equity","IS_EPS","FQ4 2024","FQ4 2024","Currency=USD","Period=FQ","BEST_FPERIOD_OVERRIDE=FQ","FILING_STATUS=MR","FA_ADJUSTED=GAAP","Sort=A","Dates=H","DateFormat=P","Fill=—","Direction=H","UseDPDF=Y")</f>
        <v>5.81</v>
      </c>
      <c r="AA53" s="17" cm="1">
        <f t="array" ref="AA53">_xll.BDH("CAT US Equity","IS_EPS","FQ1 2025","FQ1 2025","Currency=USD","Period=FQ","BEST_FPERIOD_OVERRIDE=FQ","FILING_STATUS=MR","FA_ADJUSTED=GAAP","Sort=A","Dates=H","DateFormat=P","Fill=—","Direction=H","UseDPDF=Y")</f>
        <v>4.22</v>
      </c>
      <c r="AB53" s="17" cm="1">
        <f t="array" ref="AB53">_xll.BDH("CAT US Equity","IS_EPS","FQ2 2025","FQ2 2025","Currency=USD","Period=FQ","BEST_FPERIOD_OVERRIDE=FQ","FILING_STATUS=MR","FA_ADJUSTED=GAAP","Sort=A","Dates=H","DateFormat=P","Fill=—","Direction=H","UseDPDF=Y")</f>
        <v>4.6399999999999997</v>
      </c>
      <c r="AC53" s="17" cm="1">
        <f t="array" ref="AC53">_xll.BDH("CAT US Equity","IS_EPS","FQ3 2025","FQ3 2025","Currency=USD","Period=FQ","BEST_FPERIOD_OVERRIDE=FQ","FILING_STATUS=MR","FA_ADJUSTED=GAAP","Sort=A","Dates=H","DateFormat=P","Fill=—","Direction=H","UseDPDF=Y")</f>
        <v>4.91</v>
      </c>
      <c r="AD53" s="17" cm="1">
        <f t="array" ref="AD53">_xll.BDH("CAT US Equity","IS_EPS","FQ4 2025","FQ4 2025","Currency=USD","Period=FQ","BEST_FPERIOD_OVERRIDE=FQ","FILING_STATUS=MR","FA_ADJUSTED=GAAP","Sort=A","Dates=H","DateFormat=P","Fill=—","Direction=H","UseDPDF=Y")</f>
        <v>5.15</v>
      </c>
      <c r="AE53" s="17">
        <v>4.548</v>
      </c>
      <c r="AF53" s="17">
        <v>5.7030000000000003</v>
      </c>
    </row>
    <row r="54" spans="1:32" x14ac:dyDescent="0.25">
      <c r="A54" s="6" t="s">
        <v>154</v>
      </c>
      <c r="B54" s="6" t="s">
        <v>155</v>
      </c>
      <c r="C54" s="17" cm="1">
        <f t="array" ref="C54">_xll.BDH("CAT US Equity","IS_EARN_BEF_XO_ITEMS_PER_SH","FQ1 2019","FQ1 2019","Currency=USD","Period=FQ","BEST_FPERIOD_OVERRIDE=FQ","FILING_STATUS=MR","Sort=A","Dates=H","DateFormat=P","Fill=—","Direction=H","UseDPDF=Y")</f>
        <v>3.29</v>
      </c>
      <c r="D54" s="17" cm="1">
        <f t="array" ref="D54">_xll.BDH("CAT US Equity","IS_EARN_BEF_XO_ITEMS_PER_SH","FQ2 2019","FQ2 2019","Currency=USD","Period=FQ","BEST_FPERIOD_OVERRIDE=FQ","FILING_STATUS=MR","Sort=A","Dates=H","DateFormat=P","Fill=—","Direction=H","UseDPDF=Y")</f>
        <v>2.85</v>
      </c>
      <c r="E54" s="17" cm="1">
        <f t="array" ref="E54">_xll.BDH("CAT US Equity","IS_EARN_BEF_XO_ITEMS_PER_SH","FQ3 2019","FQ3 2019","Currency=USD","Period=FQ","BEST_FPERIOD_OVERRIDE=FQ","FILING_STATUS=MR","Sort=A","Dates=H","DateFormat=P","Fill=—","Direction=H","UseDPDF=Y")</f>
        <v>2.69</v>
      </c>
      <c r="F54" s="17" cm="1">
        <f t="array" ref="F54">_xll.BDH("CAT US Equity","IS_EARN_BEF_XO_ITEMS_PER_SH","FQ4 2019","FQ4 2019","Currency=USD","Period=FQ","BEST_FPERIOD_OVERRIDE=FQ","FILING_STATUS=MR","Sort=A","Dates=H","DateFormat=P","Fill=—","Direction=H","UseDPDF=Y")</f>
        <v>2</v>
      </c>
      <c r="G54" s="17" cm="1">
        <f t="array" ref="G54">_xll.BDH("CAT US Equity","IS_EARN_BEF_XO_ITEMS_PER_SH","FQ1 2020","FQ1 2020","Currency=USD","Period=FQ","BEST_FPERIOD_OVERRIDE=FQ","FILING_STATUS=MR","Sort=A","Dates=H","DateFormat=P","Fill=—","Direction=H","UseDPDF=Y")</f>
        <v>2</v>
      </c>
      <c r="H54" s="17" cm="1">
        <f t="array" ref="H54">_xll.BDH("CAT US Equity","IS_EARN_BEF_XO_ITEMS_PER_SH","FQ2 2020","FQ2 2020","Currency=USD","Period=FQ","BEST_FPERIOD_OVERRIDE=FQ","FILING_STATUS=MR","Sort=A","Dates=H","DateFormat=P","Fill=—","Direction=H","UseDPDF=Y")</f>
        <v>0.84</v>
      </c>
      <c r="I54" s="17" cm="1">
        <f t="array" ref="I54">_xll.BDH("CAT US Equity","IS_EARN_BEF_XO_ITEMS_PER_SH","FQ3 2020","FQ3 2020","Currency=USD","Period=FQ","BEST_FPERIOD_OVERRIDE=FQ","FILING_STATUS=MR","Sort=A","Dates=H","DateFormat=P","Fill=—","Direction=H","UseDPDF=Y")</f>
        <v>1.23</v>
      </c>
      <c r="J54" s="17" cm="1">
        <f t="array" ref="J54">_xll.BDH("CAT US Equity","IS_EARN_BEF_XO_ITEMS_PER_SH","FQ4 2020","FQ4 2020","Currency=USD","Period=FQ","BEST_FPERIOD_OVERRIDE=FQ","FILING_STATUS=MR","Sort=A","Dates=H","DateFormat=P","Fill=—","Direction=H","UseDPDF=Y")</f>
        <v>1.43</v>
      </c>
      <c r="K54" s="17" cm="1">
        <f t="array" ref="K54">_xll.BDH("CAT US Equity","IS_EARN_BEF_XO_ITEMS_PER_SH","FQ1 2021","FQ1 2021","Currency=USD","Period=FQ","BEST_FPERIOD_OVERRIDE=FQ","FILING_STATUS=MR","Sort=A","Dates=H","DateFormat=P","Fill=—","Direction=H","UseDPDF=Y")</f>
        <v>2.8</v>
      </c>
      <c r="L54" s="17" cm="1">
        <f t="array" ref="L54">_xll.BDH("CAT US Equity","IS_EARN_BEF_XO_ITEMS_PER_SH","FQ2 2021","FQ2 2021","Currency=USD","Period=FQ","BEST_FPERIOD_OVERRIDE=FQ","FILING_STATUS=MR","Sort=A","Dates=H","DateFormat=P","Fill=—","Direction=H","UseDPDF=Y")</f>
        <v>2.58</v>
      </c>
      <c r="M54" s="17" cm="1">
        <f t="array" ref="M54">_xll.BDH("CAT US Equity","IS_EARN_BEF_XO_ITEMS_PER_SH","FQ3 2021","FQ3 2021","Currency=USD","Period=FQ","BEST_FPERIOD_OVERRIDE=FQ","FILING_STATUS=MR","Sort=A","Dates=H","DateFormat=P","Fill=—","Direction=H","UseDPDF=Y")</f>
        <v>2.62</v>
      </c>
      <c r="N54" s="17" cm="1">
        <f t="array" ref="N54">_xll.BDH("CAT US Equity","IS_EARN_BEF_XO_ITEMS_PER_SH","FQ4 2021","FQ4 2021","Currency=USD","Period=FQ","BEST_FPERIOD_OVERRIDE=FQ","FILING_STATUS=MR","Sort=A","Dates=H","DateFormat=P","Fill=—","Direction=H","UseDPDF=Y")</f>
        <v>3.94</v>
      </c>
      <c r="O54" s="17" cm="1">
        <f t="array" ref="O54">_xll.BDH("CAT US Equity","IS_EARN_BEF_XO_ITEMS_PER_SH","FQ1 2022","FQ1 2022","Currency=USD","Period=FQ","BEST_FPERIOD_OVERRIDE=FQ","FILING_STATUS=MR","Sort=A","Dates=H","DateFormat=P","Fill=—","Direction=H","UseDPDF=Y")</f>
        <v>2.88</v>
      </c>
      <c r="P54" s="17" cm="1">
        <f t="array" ref="P54">_xll.BDH("CAT US Equity","IS_EARN_BEF_XO_ITEMS_PER_SH","FQ2 2022","FQ2 2022","Currency=USD","Period=FQ","BEST_FPERIOD_OVERRIDE=FQ","FILING_STATUS=MR","Sort=A","Dates=H","DateFormat=P","Fill=—","Direction=H","UseDPDF=Y")</f>
        <v>3.15</v>
      </c>
      <c r="Q54" s="17" cm="1">
        <f t="array" ref="Q54">_xll.BDH("CAT US Equity","IS_EARN_BEF_XO_ITEMS_PER_SH","FQ3 2022","FQ3 2022","Currency=USD","Period=FQ","BEST_FPERIOD_OVERRIDE=FQ","FILING_STATUS=MR","Sort=A","Dates=H","DateFormat=P","Fill=—","Direction=H","UseDPDF=Y")</f>
        <v>3.89</v>
      </c>
      <c r="R54" s="17" cm="1">
        <f t="array" ref="R54">_xll.BDH("CAT US Equity","IS_EARN_BEF_XO_ITEMS_PER_SH","FQ4 2022","FQ4 2022","Currency=USD","Period=FQ","BEST_FPERIOD_OVERRIDE=FQ","FILING_STATUS=MR","Sort=A","Dates=H","DateFormat=P","Fill=—","Direction=H","UseDPDF=Y")</f>
        <v>2.81</v>
      </c>
      <c r="S54" s="17" cm="1">
        <f t="array" ref="S54">_xll.BDH("CAT US Equity","IS_EARN_BEF_XO_ITEMS_PER_SH","FQ1 2023","FQ1 2023","Currency=USD","Period=FQ","BEST_FPERIOD_OVERRIDE=FQ","FILING_STATUS=MR","Sort=A","Dates=H","DateFormat=P","Fill=—","Direction=H","UseDPDF=Y")</f>
        <v>3.76</v>
      </c>
      <c r="T54" s="17" cm="1">
        <f t="array" ref="T54">_xll.BDH("CAT US Equity","IS_EARN_BEF_XO_ITEMS_PER_SH","FQ2 2023","FQ2 2023","Currency=USD","Period=FQ","BEST_FPERIOD_OVERRIDE=FQ","FILING_STATUS=MR","Sort=A","Dates=H","DateFormat=P","Fill=—","Direction=H","UseDPDF=Y")</f>
        <v>5.7</v>
      </c>
      <c r="U54" s="17" cm="1">
        <f t="array" ref="U54">_xll.BDH("CAT US Equity","IS_EARN_BEF_XO_ITEMS_PER_SH","FQ3 2023","FQ3 2023","Currency=USD","Period=FQ","BEST_FPERIOD_OVERRIDE=FQ","FILING_STATUS=MR","Sort=A","Dates=H","DateFormat=P","Fill=—","Direction=H","UseDPDF=Y")</f>
        <v>5.48</v>
      </c>
      <c r="V54" s="17" cm="1">
        <f t="array" ref="V54">_xll.BDH("CAT US Equity","IS_EARN_BEF_XO_ITEMS_PER_SH","FQ4 2023","FQ4 2023","Currency=USD","Period=FQ","BEST_FPERIOD_OVERRIDE=FQ","FILING_STATUS=MR","Sort=A","Dates=H","DateFormat=P","Fill=—","Direction=H","UseDPDF=Y")</f>
        <v>5.31</v>
      </c>
      <c r="W54" s="17" cm="1">
        <f t="array" ref="W54">_xll.BDH("CAT US Equity","IS_EARN_BEF_XO_ITEMS_PER_SH","FQ1 2024","FQ1 2024","Currency=USD","Period=FQ","BEST_FPERIOD_OVERRIDE=FQ","FILING_STATUS=MR","Sort=A","Dates=H","DateFormat=P","Fill=—","Direction=H","UseDPDF=Y")</f>
        <v>5.78</v>
      </c>
      <c r="X54" s="17" cm="1">
        <f t="array" ref="X54">_xll.BDH("CAT US Equity","IS_EARN_BEF_XO_ITEMS_PER_SH","FQ2 2024","FQ2 2024","Currency=USD","Period=FQ","BEST_FPERIOD_OVERRIDE=FQ","FILING_STATUS=MR","Sort=A","Dates=H","DateFormat=P","Fill=—","Direction=H","UseDPDF=Y")</f>
        <v>5.5</v>
      </c>
      <c r="Y54" s="17" cm="1">
        <f t="array" ref="Y54">_xll.BDH("CAT US Equity","IS_EARN_BEF_XO_ITEMS_PER_SH","FQ3 2024","FQ3 2024","Currency=USD","Period=FQ","BEST_FPERIOD_OVERRIDE=FQ","FILING_STATUS=MR","Sort=A","Dates=H","DateFormat=P","Fill=—","Direction=H","UseDPDF=Y")</f>
        <v>5.09</v>
      </c>
      <c r="Z54" s="17" cm="1">
        <f t="array" ref="Z54">_xll.BDH("CAT US Equity","IS_EARN_BEF_XO_ITEMS_PER_SH","FQ4 2024","FQ4 2024","Currency=USD","Period=FQ","BEST_FPERIOD_OVERRIDE=FQ","FILING_STATUS=MR","Sort=A","Dates=H","DateFormat=P","Fill=—","Direction=H","UseDPDF=Y")</f>
        <v>5.81</v>
      </c>
      <c r="AA54" s="17" cm="1">
        <f t="array" ref="AA54">_xll.BDH("CAT US Equity","IS_EARN_BEF_XO_ITEMS_PER_SH","FQ1 2025","FQ1 2025","Currency=USD","Period=FQ","BEST_FPERIOD_OVERRIDE=FQ","FILING_STATUS=MR","Sort=A","Dates=H","DateFormat=P","Fill=—","Direction=H","UseDPDF=Y")</f>
        <v>4.22</v>
      </c>
      <c r="AB54" s="17" cm="1">
        <f t="array" ref="AB54">_xll.BDH("CAT US Equity","IS_EARN_BEF_XO_ITEMS_PER_SH","FQ2 2025","FQ2 2025","Currency=USD","Period=FQ","BEST_FPERIOD_OVERRIDE=FQ","FILING_STATUS=MR","Sort=A","Dates=H","DateFormat=P","Fill=—","Direction=H","UseDPDF=Y")</f>
        <v>4.6399999999999997</v>
      </c>
      <c r="AC54" s="17" cm="1">
        <f t="array" ref="AC54">_xll.BDH("CAT US Equity","IS_EARN_BEF_XO_ITEMS_PER_SH","FQ3 2025","FQ3 2025","Currency=USD","Period=FQ","BEST_FPERIOD_OVERRIDE=FQ","FILING_STATUS=MR","Sort=A","Dates=H","DateFormat=P","Fill=—","Direction=H","UseDPDF=Y")</f>
        <v>4.91</v>
      </c>
      <c r="AD54" s="17" cm="1">
        <f t="array" ref="AD54">_xll.BDH("CAT US Equity","IS_EARN_BEF_XO_ITEMS_PER_SH","FQ4 2025","FQ4 2025","Currency=USD","Period=FQ","BEST_FPERIOD_OVERRIDE=FQ","FILING_STATUS=MR","Sort=A","Dates=H","DateFormat=P","Fill=—","Direction=H","UseDPDF=Y")</f>
        <v>5.15</v>
      </c>
      <c r="AE54" s="17">
        <v>4.548</v>
      </c>
      <c r="AF54" s="17">
        <v>5.7030000000000003</v>
      </c>
    </row>
    <row r="55" spans="1:32" x14ac:dyDescent="0.25">
      <c r="A55" s="6" t="s">
        <v>156</v>
      </c>
      <c r="B55" s="6" t="s">
        <v>157</v>
      </c>
      <c r="C55" s="17" cm="1">
        <f t="array" ref="C55">_xll.BDH("CAT US Equity","IS_BASIC_EPS_CONT_OPS","FQ1 2019","FQ1 2019","Currency=USD","Period=FQ","BEST_FPERIOD_OVERRIDE=FQ","FILING_STATUS=MR","Sort=A","Dates=H","DateFormat=P","Fill=—","Direction=H","UseDPDF=Y")</f>
        <v>3.0413999999999999</v>
      </c>
      <c r="D55" s="17" cm="1">
        <f t="array" ref="D55">_xll.BDH("CAT US Equity","IS_BASIC_EPS_CONT_OPS","FQ2 2019","FQ2 2019","Currency=USD","Period=FQ","BEST_FPERIOD_OVERRIDE=FQ","FILING_STATUS=MR","Sort=A","Dates=H","DateFormat=P","Fill=—","Direction=H","UseDPDF=Y")</f>
        <v>2.9603999999999999</v>
      </c>
      <c r="E55" s="17" cm="1">
        <f t="array" ref="E55">_xll.BDH("CAT US Equity","IS_BASIC_EPS_CONT_OPS","FQ3 2019","FQ3 2019","Currency=USD","Period=FQ","BEST_FPERIOD_OVERRIDE=FQ","FILING_STATUS=MR","Sort=A","Dates=H","DateFormat=P","Fill=—","Direction=H","UseDPDF=Y")</f>
        <v>2.726</v>
      </c>
      <c r="F55" s="17" cm="1">
        <f t="array" ref="F55">_xll.BDH("CAT US Equity","IS_BASIC_EPS_CONT_OPS","FQ4 2019","FQ4 2019","Currency=USD","Period=FQ","BEST_FPERIOD_OVERRIDE=FQ","FILING_STATUS=MR","Sort=A","Dates=H","DateFormat=P","Fill=—","Direction=H","UseDPDF=Y")</f>
        <v>2.9438</v>
      </c>
      <c r="G55" s="17" cm="1">
        <f t="array" ref="G55">_xll.BDH("CAT US Equity","IS_BASIC_EPS_CONT_OPS","FQ1 2020","FQ1 2020","Currency=USD","Period=FQ","BEST_FPERIOD_OVERRIDE=FQ","FILING_STATUS=MR","Sort=A","Dates=H","DateFormat=P","Fill=—","Direction=H","UseDPDF=Y")</f>
        <v>1.6002000000000001</v>
      </c>
      <c r="H55" s="17" cm="1">
        <f t="array" ref="H55">_xll.BDH("CAT US Equity","IS_BASIC_EPS_CONT_OPS","FQ2 2020","FQ2 2020","Currency=USD","Period=FQ","BEST_FPERIOD_OVERRIDE=FQ","FILING_STATUS=MR","Sort=A","Dates=H","DateFormat=P","Fill=—","Direction=H","UseDPDF=Y")</f>
        <v>1.1267</v>
      </c>
      <c r="I55" s="17" cm="1">
        <f t="array" ref="I55">_xll.BDH("CAT US Equity","IS_BASIC_EPS_CONT_OPS","FQ3 2020","FQ3 2020","Currency=USD","Period=FQ","BEST_FPERIOD_OVERRIDE=FQ","FILING_STATUS=MR","Sort=A","Dates=H","DateFormat=P","Fill=—","Direction=H","UseDPDF=Y")</f>
        <v>1.5620000000000001</v>
      </c>
      <c r="J55" s="17" cm="1">
        <f t="array" ref="J55">_xll.BDH("CAT US Equity","IS_BASIC_EPS_CONT_OPS","FQ4 2020","FQ4 2020","Currency=USD","Period=FQ","BEST_FPERIOD_OVERRIDE=FQ","FILING_STATUS=MR","Sort=A","Dates=H","DateFormat=P","Fill=—","Direction=H","UseDPDF=Y")</f>
        <v>2.3433999999999999</v>
      </c>
      <c r="K55" s="17" cm="1">
        <f t="array" ref="K55">_xll.BDH("CAT US Equity","IS_BASIC_EPS_CONT_OPS","FQ1 2021","FQ1 2021","Currency=USD","Period=FQ","BEST_FPERIOD_OVERRIDE=FQ","FILING_STATUS=MR","Sort=A","Dates=H","DateFormat=P","Fill=—","Direction=H","UseDPDF=Y")</f>
        <v>2.9173</v>
      </c>
      <c r="L55" s="17" cm="1">
        <f t="array" ref="L55">_xll.BDH("CAT US Equity","IS_BASIC_EPS_CONT_OPS","FQ2 2021","FQ2 2021","Currency=USD","Period=FQ","BEST_FPERIOD_OVERRIDE=FQ","FILING_STATUS=MR","Sort=A","Dates=H","DateFormat=P","Fill=—","Direction=H","UseDPDF=Y")</f>
        <v>2.6261000000000001</v>
      </c>
      <c r="M55" s="17" cm="1">
        <f t="array" ref="M55">_xll.BDH("CAT US Equity","IS_BASIC_EPS_CONT_OPS","FQ3 2021","FQ3 2021","Currency=USD","Period=FQ","BEST_FPERIOD_OVERRIDE=FQ","FILING_STATUS=MR","Sort=A","Dates=H","DateFormat=P","Fill=—","Direction=H","UseDPDF=Y")</f>
        <v>2.6745999999999999</v>
      </c>
      <c r="N55" s="17" cm="1">
        <f t="array" ref="N55">_xll.BDH("CAT US Equity","IS_BASIC_EPS_CONT_OPS","FQ4 2021","FQ4 2021","Currency=USD","Period=FQ","BEST_FPERIOD_OVERRIDE=FQ","FILING_STATUS=MR","Sort=A","Dates=H","DateFormat=P","Fill=—","Direction=H","UseDPDF=Y")</f>
        <v>3.0871</v>
      </c>
      <c r="O55" s="17" cm="1">
        <f t="array" ref="O55">_xll.BDH("CAT US Equity","IS_BASIC_EPS_CONT_OPS","FQ1 2022","FQ1 2022","Currency=USD","Period=FQ","BEST_FPERIOD_OVERRIDE=FQ","FILING_STATUS=MR","Sort=A","Dates=H","DateFormat=P","Fill=—","Direction=H","UseDPDF=Y")</f>
        <v>2.8961999999999999</v>
      </c>
      <c r="P55" s="17" cm="1">
        <f t="array" ref="P55">_xll.BDH("CAT US Equity","IS_BASIC_EPS_CONT_OPS","FQ2 2022","FQ2 2022","Currency=USD","Period=FQ","BEST_FPERIOD_OVERRIDE=FQ","FILING_STATUS=MR","Sort=A","Dates=H","DateFormat=P","Fill=—","Direction=H","UseDPDF=Y")</f>
        <v>3.2694999999999999</v>
      </c>
      <c r="Q55" s="17" cm="1">
        <f t="array" ref="Q55">_xll.BDH("CAT US Equity","IS_BASIC_EPS_CONT_OPS","FQ3 2022","FQ3 2022","Currency=USD","Period=FQ","BEST_FPERIOD_OVERRIDE=FQ","FILING_STATUS=MR","Sort=A","Dates=H","DateFormat=P","Fill=—","Direction=H","UseDPDF=Y")</f>
        <v>3.9638</v>
      </c>
      <c r="R55" s="17" cm="1">
        <f t="array" ref="R55">_xll.BDH("CAT US Equity","IS_BASIC_EPS_CONT_OPS","FQ4 2022","FQ4 2022","Currency=USD","Period=FQ","BEST_FPERIOD_OVERRIDE=FQ","FILING_STATUS=MR","Sort=A","Dates=H","DateFormat=P","Fill=—","Direction=H","UseDPDF=Y")</f>
        <v>4.1264000000000003</v>
      </c>
      <c r="S55" s="17" cm="1">
        <f t="array" ref="S55">_xll.BDH("CAT US Equity","IS_BASIC_EPS_CONT_OPS","FQ1 2023","FQ1 2023","Currency=USD","Period=FQ","BEST_FPERIOD_OVERRIDE=FQ","FILING_STATUS=MR","Sort=A","Dates=H","DateFormat=P","Fill=—","Direction=H","UseDPDF=Y")</f>
        <v>5.8133999999999997</v>
      </c>
      <c r="T55" s="17" cm="1">
        <f t="array" ref="T55">_xll.BDH("CAT US Equity","IS_BASIC_EPS_CONT_OPS","FQ2 2023","FQ2 2023","Currency=USD","Period=FQ","BEST_FPERIOD_OVERRIDE=FQ","FILING_STATUS=MR","Sort=A","Dates=H","DateFormat=P","Fill=—","Direction=H","UseDPDF=Y")</f>
        <v>5.7447999999999997</v>
      </c>
      <c r="U55" s="17" cm="1">
        <f t="array" ref="U55">_xll.BDH("CAT US Equity","IS_BASIC_EPS_CONT_OPS","FQ3 2023","FQ3 2023","Currency=USD","Period=FQ","BEST_FPERIOD_OVERRIDE=FQ","FILING_STATUS=MR","Sort=A","Dates=H","DateFormat=P","Fill=—","Direction=H","UseDPDF=Y")</f>
        <v>5.5511999999999997</v>
      </c>
      <c r="V55" s="17" cm="1">
        <f t="array" ref="V55">_xll.BDH("CAT US Equity","IS_BASIC_EPS_CONT_OPS","FQ4 2023","FQ4 2023","Currency=USD","Period=FQ","BEST_FPERIOD_OVERRIDE=FQ","FILING_STATUS=MR","Sort=A","Dates=H","DateFormat=P","Fill=—","Direction=H","UseDPDF=Y")</f>
        <v>5.2576999999999998</v>
      </c>
      <c r="W55" s="17" cm="1">
        <f t="array" ref="W55">_xll.BDH("CAT US Equity","IS_BASIC_EPS_CONT_OPS","FQ1 2024","FQ1 2024","Currency=USD","Period=FQ","BEST_FPERIOD_OVERRIDE=FQ","FILING_STATUS=MR","Sort=A","Dates=H","DateFormat=P","Fill=—","Direction=H","UseDPDF=Y")</f>
        <v>5.6326999999999998</v>
      </c>
      <c r="X55" s="17" cm="1">
        <f t="array" ref="X55">_xll.BDH("CAT US Equity","IS_BASIC_EPS_CONT_OPS","FQ2 2024","FQ2 2024","Currency=USD","Period=FQ","BEST_FPERIOD_OVERRIDE=FQ","FILING_STATUS=MR","Sort=A","Dates=H","DateFormat=P","Fill=—","Direction=H","UseDPDF=Y")</f>
        <v>6.3898000000000001</v>
      </c>
      <c r="Y55" s="17" cm="1">
        <f t="array" ref="Y55">_xll.BDH("CAT US Equity","IS_BASIC_EPS_CONT_OPS","FQ3 2024","FQ3 2024","Currency=USD","Period=FQ","BEST_FPERIOD_OVERRIDE=FQ","FILING_STATUS=MR","Sort=A","Dates=H","DateFormat=P","Fill=—","Direction=H","UseDPDF=Y")</f>
        <v>5.2003000000000004</v>
      </c>
      <c r="Z55" s="17" cm="1">
        <f t="array" ref="Z55">_xll.BDH("CAT US Equity","IS_BASIC_EPS_CONT_OPS","FQ4 2024","FQ4 2024","Currency=USD","Period=FQ","BEST_FPERIOD_OVERRIDE=FQ","FILING_STATUS=MR","Sort=A","Dates=H","DateFormat=P","Fill=—","Direction=H","UseDPDF=Y")</f>
        <v>5.1729000000000003</v>
      </c>
      <c r="AA55" s="17" cm="1">
        <f t="array" ref="AA55">_xll.BDH("CAT US Equity","IS_BASIC_EPS_CONT_OPS","FQ1 2025","FQ1 2025","Currency=USD","Period=FQ","BEST_FPERIOD_OVERRIDE=FQ","FILING_STATUS=MR","Sort=A","Dates=H","DateFormat=P","Fill=—","Direction=H","UseDPDF=Y")</f>
        <v>4.2704000000000004</v>
      </c>
      <c r="AB55" s="17" cm="1">
        <f t="array" ref="AB55">_xll.BDH("CAT US Equity","IS_BASIC_EPS_CONT_OPS","FQ2 2025","FQ2 2025","Currency=USD","Period=FQ","BEST_FPERIOD_OVERRIDE=FQ","FILING_STATUS=MR","Sort=A","Dates=H","DateFormat=P","Fill=—","Direction=H","UseDPDF=Y")</f>
        <v>4.7392000000000003</v>
      </c>
      <c r="AC55" s="17" cm="1">
        <f t="array" ref="AC55">_xll.BDH("CAT US Equity","IS_BASIC_EPS_CONT_OPS","FQ3 2025","FQ3 2025","Currency=USD","Period=FQ","BEST_FPERIOD_OVERRIDE=FQ","FILING_STATUS=MR","Sort=A","Dates=H","DateFormat=P","Fill=—","Direction=H","UseDPDF=Y")</f>
        <v>4.968</v>
      </c>
      <c r="AD55" s="17" cm="1">
        <f t="array" ref="AD55">_xll.BDH("CAT US Equity","IS_BASIC_EPS_CONT_OPS","FQ4 2025","FQ4 2025","Currency=USD","Period=FQ","BEST_FPERIOD_OVERRIDE=FQ","FILING_STATUS=MR","Sort=A","Dates=H","DateFormat=P","Fill=—","Direction=H","UseDPDF=Y")</f>
        <v>5.1919000000000004</v>
      </c>
      <c r="AE55" s="17">
        <v>4.5810000000000004</v>
      </c>
      <c r="AF55" s="17">
        <v>5.6580000000000004</v>
      </c>
    </row>
    <row r="56" spans="1:32" x14ac:dyDescent="0.25">
      <c r="A56" s="6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1:32" x14ac:dyDescent="0.25">
      <c r="A57" s="10" t="s">
        <v>158</v>
      </c>
      <c r="B57" s="10" t="s">
        <v>159</v>
      </c>
      <c r="C57" s="13" cm="1">
        <f t="array" ref="C57">_xll.BDH("CAT US Equity","IS_SH_FOR_DILUTED_EPS","FQ1 2019","FQ1 2019","Currency=USD","Period=FQ","BEST_FPERIOD_OVERRIDE=FQ","FILING_STATUS=MR","Sort=A","Dates=H","DateFormat=P","Fill=—","Direction=H","UseDPDF=Y")</f>
        <v>578.79999999999995</v>
      </c>
      <c r="D57" s="13" cm="1">
        <f t="array" ref="D57">_xll.BDH("CAT US Equity","IS_SH_FOR_DILUTED_EPS","FQ2 2019","FQ2 2019","Currency=USD","Period=FQ","BEST_FPERIOD_OVERRIDE=FQ","FILING_STATUS=MR","Sort=A","Dates=H","DateFormat=P","Fill=—","Direction=H","UseDPDF=Y")</f>
        <v>573.1</v>
      </c>
      <c r="E57" s="13" cm="1">
        <f t="array" ref="E57">_xll.BDH("CAT US Equity","IS_SH_FOR_DILUTED_EPS","FQ3 2019","FQ3 2019","Currency=USD","Period=FQ","BEST_FPERIOD_OVERRIDE=FQ","FILING_STATUS=MR","Sort=A","Dates=H","DateFormat=P","Fill=—","Direction=H","UseDPDF=Y")</f>
        <v>561.20000000000005</v>
      </c>
      <c r="F57" s="13" cm="1">
        <f t="array" ref="F57">_xll.BDH("CAT US Equity","IS_SH_FOR_DILUTED_EPS","FQ4 2019","FQ4 2019","Currency=USD","Period=FQ","BEST_FPERIOD_OVERRIDE=FQ","FILING_STATUS=MR","Sort=A","Dates=H","DateFormat=P","Fill=—","Direction=H","UseDPDF=Y")</f>
        <v>556.1</v>
      </c>
      <c r="G57" s="13" cm="1">
        <f t="array" ref="G57">_xll.BDH("CAT US Equity","IS_SH_FOR_DILUTED_EPS","FQ1 2020","FQ1 2020","Currency=USD","Period=FQ","BEST_FPERIOD_OVERRIDE=FQ","FILING_STATUS=MR","Sort=A","Dates=H","DateFormat=P","Fill=—","Direction=H","UseDPDF=Y")</f>
        <v>551.1</v>
      </c>
      <c r="H57" s="13" cm="1">
        <f t="array" ref="H57">_xll.BDH("CAT US Equity","IS_SH_FOR_DILUTED_EPS","FQ2 2020","FQ2 2020","Currency=USD","Period=FQ","BEST_FPERIOD_OVERRIDE=FQ","FILING_STATUS=MR","Sort=A","Dates=H","DateFormat=P","Fill=—","Direction=H","UseDPDF=Y")</f>
        <v>544.5</v>
      </c>
      <c r="I57" s="13" cm="1">
        <f t="array" ref="I57">_xll.BDH("CAT US Equity","IS_SH_FOR_DILUTED_EPS","FQ3 2020","FQ3 2020","Currency=USD","Period=FQ","BEST_FPERIOD_OVERRIDE=FQ","FILING_STATUS=MR","Sort=A","Dates=H","DateFormat=P","Fill=—","Direction=H","UseDPDF=Y")</f>
        <v>546.4</v>
      </c>
      <c r="J57" s="13" cm="1">
        <f t="array" ref="J57">_xll.BDH("CAT US Equity","IS_SH_FOR_DILUTED_EPS","FQ4 2020","FQ4 2020","Currency=USD","Period=FQ","BEST_FPERIOD_OVERRIDE=FQ","FILING_STATUS=MR","Sort=A","Dates=H","DateFormat=P","Fill=—","Direction=H","UseDPDF=Y")</f>
        <v>549.5</v>
      </c>
      <c r="K57" s="13" cm="1">
        <f t="array" ref="K57">_xll.BDH("CAT US Equity","IS_SH_FOR_DILUTED_EPS","FQ1 2021","FQ1 2021","Currency=USD","Period=FQ","BEST_FPERIOD_OVERRIDE=FQ","FILING_STATUS=MR","Sort=A","Dates=H","DateFormat=P","Fill=—","Direction=H","UseDPDF=Y")</f>
        <v>551.4</v>
      </c>
      <c r="L57" s="13" cm="1">
        <f t="array" ref="L57">_xll.BDH("CAT US Equity","IS_SH_FOR_DILUTED_EPS","FQ2 2021","FQ2 2021","Currency=USD","Period=FQ","BEST_FPERIOD_OVERRIDE=FQ","FILING_STATUS=MR","Sort=A","Dates=H","DateFormat=P","Fill=—","Direction=H","UseDPDF=Y")</f>
        <v>552.1</v>
      </c>
      <c r="M57" s="13" cm="1">
        <f t="array" ref="M57">_xll.BDH("CAT US Equity","IS_SH_FOR_DILUTED_EPS","FQ3 2021","FQ3 2021","Currency=USD","Period=FQ","BEST_FPERIOD_OVERRIDE=FQ","FILING_STATUS=MR","Sort=A","Dates=H","DateFormat=P","Fill=—","Direction=H","UseDPDF=Y")</f>
        <v>547.6</v>
      </c>
      <c r="N57" s="13" cm="1">
        <f t="array" ref="N57">_xll.BDH("CAT US Equity","IS_SH_FOR_DILUTED_EPS","FQ4 2021","FQ4 2021","Currency=USD","Period=FQ","BEST_FPERIOD_OVERRIDE=FQ","FILING_STATUS=MR","Sort=A","Dates=H","DateFormat=P","Fill=—","Direction=H","UseDPDF=Y")</f>
        <v>542.6</v>
      </c>
      <c r="O57" s="13" cm="1">
        <f t="array" ref="O57">_xll.BDH("CAT US Equity","IS_SH_FOR_DILUTED_EPS","FQ1 2022","FQ1 2022","Currency=USD","Period=FQ","BEST_FPERIOD_OVERRIDE=FQ","FILING_STATUS=MR","Sort=A","Dates=H","DateFormat=P","Fill=—","Direction=H","UseDPDF=Y")</f>
        <v>538.29999999999995</v>
      </c>
      <c r="P57" s="13" cm="1">
        <f t="array" ref="P57">_xll.BDH("CAT US Equity","IS_SH_FOR_DILUTED_EPS","FQ2 2022","FQ2 2022","Currency=USD","Period=FQ","BEST_FPERIOD_OVERRIDE=FQ","FILING_STATUS=MR","Sort=A","Dates=H","DateFormat=P","Fill=—","Direction=H","UseDPDF=Y")</f>
        <v>534.1</v>
      </c>
      <c r="Q57" s="13" cm="1">
        <f t="array" ref="Q57">_xll.BDH("CAT US Equity","IS_SH_FOR_DILUTED_EPS","FQ3 2022","FQ3 2022","Currency=USD","Period=FQ","BEST_FPERIOD_OVERRIDE=FQ","FILING_STATUS=MR","Sort=A","Dates=H","DateFormat=P","Fill=—","Direction=H","UseDPDF=Y")</f>
        <v>527.6</v>
      </c>
      <c r="R57" s="13" cm="1">
        <f t="array" ref="R57">_xll.BDH("CAT US Equity","IS_SH_FOR_DILUTED_EPS","FQ4 2022","FQ4 2022","Currency=USD","Period=FQ","BEST_FPERIOD_OVERRIDE=FQ","FILING_STATUS=MR","Sort=A","Dates=H","DateFormat=P","Fill=—","Direction=H","UseDPDF=Y")</f>
        <v>520.9</v>
      </c>
      <c r="S57" s="13" cm="1">
        <f t="array" ref="S57">_xll.BDH("CAT US Equity","IS_SH_FOR_DILUTED_EPS","FQ1 2023","FQ1 2023","Currency=USD","Period=FQ","BEST_FPERIOD_OVERRIDE=FQ","FILING_STATUS=MR","Sort=A","Dates=H","DateFormat=P","Fill=—","Direction=H","UseDPDF=Y")</f>
        <v>519.4</v>
      </c>
      <c r="T57" s="13" cm="1">
        <f t="array" ref="T57">_xll.BDH("CAT US Equity","IS_SH_FOR_DILUTED_EPS","FQ2 2023","FQ2 2023","Currency=USD","Period=FQ","BEST_FPERIOD_OVERRIDE=FQ","FILING_STATUS=MR","Sort=A","Dates=H","DateFormat=P","Fill=—","Direction=H","UseDPDF=Y")</f>
        <v>515</v>
      </c>
      <c r="U57" s="13" cm="1">
        <f t="array" ref="U57">_xll.BDH("CAT US Equity","IS_SH_FOR_DILUTED_EPS","FQ3 2023","FQ3 2023","Currency=USD","Period=FQ","BEST_FPERIOD_OVERRIDE=FQ","FILING_STATUS=MR","Sort=A","Dates=H","DateFormat=P","Fill=—","Direction=H","UseDPDF=Y")</f>
        <v>512.6</v>
      </c>
      <c r="V57" s="13" cm="1">
        <f t="array" ref="V57">_xll.BDH("CAT US Equity","IS_SH_FOR_DILUTED_EPS","FQ4 2023","FQ4 2023","Currency=USD","Period=FQ","BEST_FPERIOD_OVERRIDE=FQ","FILING_STATUS=MR","Sort=A","Dates=H","DateFormat=P","Fill=—","Direction=H","UseDPDF=Y")</f>
        <v>507</v>
      </c>
      <c r="W57" s="13" cm="1">
        <f t="array" ref="W57">_xll.BDH("CAT US Equity","IS_SH_FOR_DILUTED_EPS","FQ1 2024","FQ1 2024","Currency=USD","Period=FQ","BEST_FPERIOD_OVERRIDE=FQ","FILING_STATUS=MR","Sort=A","Dates=H","DateFormat=P","Fill=—","Direction=H","UseDPDF=Y")</f>
        <v>496.9</v>
      </c>
      <c r="X57" s="13" cm="1">
        <f t="array" ref="X57">_xll.BDH("CAT US Equity","IS_SH_FOR_DILUTED_EPS","FQ2 2024","FQ2 2024","Currency=USD","Period=FQ","BEST_FPERIOD_OVERRIDE=FQ","FILING_STATUS=MR","Sort=A","Dates=H","DateFormat=P","Fill=—","Direction=H","UseDPDF=Y")</f>
        <v>489.5</v>
      </c>
      <c r="Y57" s="13" cm="1">
        <f t="array" ref="Y57">_xll.BDH("CAT US Equity","IS_SH_FOR_DILUTED_EPS","FQ3 2024","FQ3 2024","Currency=USD","Period=FQ","BEST_FPERIOD_OVERRIDE=FQ","FILING_STATUS=MR","Sort=A","Dates=H","DateFormat=P","Fill=—","Direction=H","UseDPDF=Y")</f>
        <v>486.7</v>
      </c>
      <c r="Z57" s="13" cm="1">
        <f t="array" ref="Z57">_xll.BDH("CAT US Equity","IS_SH_FOR_DILUTED_EPS","FQ4 2024","FQ4 2024","Currency=USD","Period=FQ","BEST_FPERIOD_OVERRIDE=FQ","FILING_STATUS=MR","Sort=A","Dates=H","DateFormat=P","Fill=—","Direction=H","UseDPDF=Y")</f>
        <v>482.6</v>
      </c>
      <c r="AA57" s="13" cm="1">
        <f t="array" ref="AA57">_xll.BDH("CAT US Equity","IS_SH_FOR_DILUTED_EPS","FQ1 2025","FQ1 2025","Currency=USD","Period=FQ","BEST_FPERIOD_OVERRIDE=FQ","FILING_STATUS=MR","Sort=A","Dates=H","DateFormat=P","Fill=—","Direction=H","UseDPDF=Y")</f>
        <v>477.1</v>
      </c>
      <c r="AB57" s="13" cm="1">
        <f t="array" ref="AB57">_xll.BDH("CAT US Equity","IS_SH_FOR_DILUTED_EPS","FQ2 2025","FQ2 2025","Currency=USD","Period=FQ","BEST_FPERIOD_OVERRIDE=FQ","FILING_STATUS=MR","Sort=A","Dates=H","DateFormat=P","Fill=—","Direction=H","UseDPDF=Y")</f>
        <v>471.5</v>
      </c>
      <c r="AC57" s="13" cm="1">
        <f t="array" ref="AC57">_xll.BDH("CAT US Equity","IS_SH_FOR_DILUTED_EPS","FQ3 2025","FQ3 2025","Currency=USD","Period=FQ","BEST_FPERIOD_OVERRIDE=FQ","FILING_STATUS=MR","Sort=A","Dates=H","DateFormat=P","Fill=—","Direction=H","UseDPDF=Y")</f>
        <v>470.8</v>
      </c>
      <c r="AD57" s="13" cm="1">
        <f t="array" ref="AD57">_xll.BDH("CAT US Equity","IS_SH_FOR_DILUTED_EPS","FQ4 2025","FQ4 2025","Currency=USD","Period=FQ","BEST_FPERIOD_OVERRIDE=FQ","FILING_STATUS=MR","Sort=A","Dates=H","DateFormat=P","Fill=—","Direction=H","UseDPDF=Y")</f>
        <v>469</v>
      </c>
      <c r="AE57" s="13"/>
      <c r="AF57" s="13"/>
    </row>
    <row r="58" spans="1:32" x14ac:dyDescent="0.25">
      <c r="A58" s="6" t="s">
        <v>160</v>
      </c>
      <c r="B58" s="6" t="s">
        <v>161</v>
      </c>
      <c r="C58" s="17" cm="1">
        <f t="array" ref="C58">_xll.BDH("CAT US Equity","IS_DILUTED_EPS","FQ1 2019","FQ1 2019","Currency=USD","Period=FQ","BEST_FPERIOD_OVERRIDE=FQ","FILING_STATUS=MR","FA_ADJUSTED=GAAP","Sort=A","Dates=H","DateFormat=P","Fill=—","Direction=H","UseDPDF=Y")</f>
        <v>3.25</v>
      </c>
      <c r="D58" s="17" cm="1">
        <f t="array" ref="D58">_xll.BDH("CAT US Equity","IS_DILUTED_EPS","FQ2 2019","FQ2 2019","Currency=USD","Period=FQ","BEST_FPERIOD_OVERRIDE=FQ","FILING_STATUS=MR","FA_ADJUSTED=GAAP","Sort=A","Dates=H","DateFormat=P","Fill=—","Direction=H","UseDPDF=Y")</f>
        <v>2.83</v>
      </c>
      <c r="E58" s="17" cm="1">
        <f t="array" ref="E58">_xll.BDH("CAT US Equity","IS_DILUTED_EPS","FQ3 2019","FQ3 2019","Currency=USD","Period=FQ","BEST_FPERIOD_OVERRIDE=FQ","FILING_STATUS=MR","FA_ADJUSTED=GAAP","Sort=A","Dates=H","DateFormat=P","Fill=—","Direction=H","UseDPDF=Y")</f>
        <v>2.66</v>
      </c>
      <c r="F58" s="17" cm="1">
        <f t="array" ref="F58">_xll.BDH("CAT US Equity","IS_DILUTED_EPS","FQ4 2019","FQ4 2019","Currency=USD","Period=FQ","BEST_FPERIOD_OVERRIDE=FQ","FILING_STATUS=MR","FA_ADJUSTED=GAAP","Sort=A","Dates=H","DateFormat=P","Fill=—","Direction=H","UseDPDF=Y")</f>
        <v>1.97</v>
      </c>
      <c r="G58" s="17" cm="1">
        <f t="array" ref="G58">_xll.BDH("CAT US Equity","IS_DILUTED_EPS","FQ1 2020","FQ1 2020","Currency=USD","Period=FQ","BEST_FPERIOD_OVERRIDE=FQ","FILING_STATUS=MR","FA_ADJUSTED=GAAP","Sort=A","Dates=H","DateFormat=P","Fill=—","Direction=H","UseDPDF=Y")</f>
        <v>1.98</v>
      </c>
      <c r="H58" s="17" cm="1">
        <f t="array" ref="H58">_xll.BDH("CAT US Equity","IS_DILUTED_EPS","FQ2 2020","FQ2 2020","Currency=USD","Period=FQ","BEST_FPERIOD_OVERRIDE=FQ","FILING_STATUS=MR","FA_ADJUSTED=GAAP","Sort=A","Dates=H","DateFormat=P","Fill=—","Direction=H","UseDPDF=Y")</f>
        <v>0.84</v>
      </c>
      <c r="I58" s="17" cm="1">
        <f t="array" ref="I58">_xll.BDH("CAT US Equity","IS_DILUTED_EPS","FQ3 2020","FQ3 2020","Currency=USD","Period=FQ","BEST_FPERIOD_OVERRIDE=FQ","FILING_STATUS=MR","FA_ADJUSTED=GAAP","Sort=A","Dates=H","DateFormat=P","Fill=—","Direction=H","UseDPDF=Y")</f>
        <v>1.22</v>
      </c>
      <c r="J58" s="17" cm="1">
        <f t="array" ref="J58">_xll.BDH("CAT US Equity","IS_DILUTED_EPS","FQ4 2020","FQ4 2020","Currency=USD","Period=FQ","BEST_FPERIOD_OVERRIDE=FQ","FILING_STATUS=MR","FA_ADJUSTED=GAAP","Sort=A","Dates=H","DateFormat=P","Fill=—","Direction=H","UseDPDF=Y")</f>
        <v>1.42</v>
      </c>
      <c r="K58" s="17" cm="1">
        <f t="array" ref="K58">_xll.BDH("CAT US Equity","IS_DILUTED_EPS","FQ1 2021","FQ1 2021","Currency=USD","Period=FQ","BEST_FPERIOD_OVERRIDE=FQ","FILING_STATUS=MR","FA_ADJUSTED=GAAP","Sort=A","Dates=H","DateFormat=P","Fill=—","Direction=H","UseDPDF=Y")</f>
        <v>2.77</v>
      </c>
      <c r="L58" s="17" cm="1">
        <f t="array" ref="L58">_xll.BDH("CAT US Equity","IS_DILUTED_EPS","FQ2 2021","FQ2 2021","Currency=USD","Period=FQ","BEST_FPERIOD_OVERRIDE=FQ","FILING_STATUS=MR","FA_ADJUSTED=GAAP","Sort=A","Dates=H","DateFormat=P","Fill=—","Direction=H","UseDPDF=Y")</f>
        <v>2.56</v>
      </c>
      <c r="M58" s="17" cm="1">
        <f t="array" ref="M58">_xll.BDH("CAT US Equity","IS_DILUTED_EPS","FQ3 2021","FQ3 2021","Currency=USD","Period=FQ","BEST_FPERIOD_OVERRIDE=FQ","FILING_STATUS=MR","FA_ADJUSTED=GAAP","Sort=A","Dates=H","DateFormat=P","Fill=—","Direction=H","UseDPDF=Y")</f>
        <v>2.6</v>
      </c>
      <c r="N58" s="17" cm="1">
        <f t="array" ref="N58">_xll.BDH("CAT US Equity","IS_DILUTED_EPS","FQ4 2021","FQ4 2021","Currency=USD","Period=FQ","BEST_FPERIOD_OVERRIDE=FQ","FILING_STATUS=MR","FA_ADJUSTED=GAAP","Sort=A","Dates=H","DateFormat=P","Fill=—","Direction=H","UseDPDF=Y")</f>
        <v>3.91</v>
      </c>
      <c r="O58" s="17" cm="1">
        <f t="array" ref="O58">_xll.BDH("CAT US Equity","IS_DILUTED_EPS","FQ1 2022","FQ1 2022","Currency=USD","Period=FQ","BEST_FPERIOD_OVERRIDE=FQ","FILING_STATUS=MR","FA_ADJUSTED=GAAP","Sort=A","Dates=H","DateFormat=P","Fill=—","Direction=H","UseDPDF=Y")</f>
        <v>2.86</v>
      </c>
      <c r="P58" s="17" cm="1">
        <f t="array" ref="P58">_xll.BDH("CAT US Equity","IS_DILUTED_EPS","FQ2 2022","FQ2 2022","Currency=USD","Period=FQ","BEST_FPERIOD_OVERRIDE=FQ","FILING_STATUS=MR","FA_ADJUSTED=GAAP","Sort=A","Dates=H","DateFormat=P","Fill=—","Direction=H","UseDPDF=Y")</f>
        <v>3.13</v>
      </c>
      <c r="Q58" s="17" cm="1">
        <f t="array" ref="Q58">_xll.BDH("CAT US Equity","IS_DILUTED_EPS","FQ3 2022","FQ3 2022","Currency=USD","Period=FQ","BEST_FPERIOD_OVERRIDE=FQ","FILING_STATUS=MR","FA_ADJUSTED=GAAP","Sort=A","Dates=H","DateFormat=P","Fill=—","Direction=H","UseDPDF=Y")</f>
        <v>3.87</v>
      </c>
      <c r="R58" s="17" cm="1">
        <f t="array" ref="R58">_xll.BDH("CAT US Equity","IS_DILUTED_EPS","FQ4 2022","FQ4 2022","Currency=USD","Period=FQ","BEST_FPERIOD_OVERRIDE=FQ","FILING_STATUS=MR","FA_ADJUSTED=GAAP","Sort=A","Dates=H","DateFormat=P","Fill=—","Direction=H","UseDPDF=Y")</f>
        <v>2.79</v>
      </c>
      <c r="S58" s="17" cm="1">
        <f t="array" ref="S58">_xll.BDH("CAT US Equity","IS_DILUTED_EPS","FQ1 2023","FQ1 2023","Currency=USD","Period=FQ","BEST_FPERIOD_OVERRIDE=FQ","FILING_STATUS=MR","FA_ADJUSTED=GAAP","Sort=A","Dates=H","DateFormat=P","Fill=—","Direction=H","UseDPDF=Y")</f>
        <v>3.74</v>
      </c>
      <c r="T58" s="17" cm="1">
        <f t="array" ref="T58">_xll.BDH("CAT US Equity","IS_DILUTED_EPS","FQ2 2023","FQ2 2023","Currency=USD","Period=FQ","BEST_FPERIOD_OVERRIDE=FQ","FILING_STATUS=MR","FA_ADJUSTED=GAAP","Sort=A","Dates=H","DateFormat=P","Fill=—","Direction=H","UseDPDF=Y")</f>
        <v>5.67</v>
      </c>
      <c r="U58" s="17" cm="1">
        <f t="array" ref="U58">_xll.BDH("CAT US Equity","IS_DILUTED_EPS","FQ3 2023","FQ3 2023","Currency=USD","Period=FQ","BEST_FPERIOD_OVERRIDE=FQ","FILING_STATUS=MR","FA_ADJUSTED=GAAP","Sort=A","Dates=H","DateFormat=P","Fill=—","Direction=H","UseDPDF=Y")</f>
        <v>5.45</v>
      </c>
      <c r="V58" s="17" cm="1">
        <f t="array" ref="V58">_xll.BDH("CAT US Equity","IS_DILUTED_EPS","FQ4 2023","FQ4 2023","Currency=USD","Period=FQ","BEST_FPERIOD_OVERRIDE=FQ","FILING_STATUS=MR","FA_ADJUSTED=GAAP","Sort=A","Dates=H","DateFormat=P","Fill=—","Direction=H","UseDPDF=Y")</f>
        <v>5.28</v>
      </c>
      <c r="W58" s="17" cm="1">
        <f t="array" ref="W58">_xll.BDH("CAT US Equity","IS_DILUTED_EPS","FQ1 2024","FQ1 2024","Currency=USD","Period=FQ","BEST_FPERIOD_OVERRIDE=FQ","FILING_STATUS=MR","FA_ADJUSTED=GAAP","Sort=A","Dates=H","DateFormat=P","Fill=—","Direction=H","UseDPDF=Y")</f>
        <v>5.75</v>
      </c>
      <c r="X58" s="17" cm="1">
        <f t="array" ref="X58">_xll.BDH("CAT US Equity","IS_DILUTED_EPS","FQ2 2024","FQ2 2024","Currency=USD","Period=FQ","BEST_FPERIOD_OVERRIDE=FQ","FILING_STATUS=MR","FA_ADJUSTED=GAAP","Sort=A","Dates=H","DateFormat=P","Fill=—","Direction=H","UseDPDF=Y")</f>
        <v>5.48</v>
      </c>
      <c r="Y58" s="17" cm="1">
        <f t="array" ref="Y58">_xll.BDH("CAT US Equity","IS_DILUTED_EPS","FQ3 2024","FQ3 2024","Currency=USD","Period=FQ","BEST_FPERIOD_OVERRIDE=FQ","FILING_STATUS=MR","FA_ADJUSTED=GAAP","Sort=A","Dates=H","DateFormat=P","Fill=—","Direction=H","UseDPDF=Y")</f>
        <v>5.0599999999999996</v>
      </c>
      <c r="Z58" s="17" cm="1">
        <f t="array" ref="Z58">_xll.BDH("CAT US Equity","IS_DILUTED_EPS","FQ4 2024","FQ4 2024","Currency=USD","Period=FQ","BEST_FPERIOD_OVERRIDE=FQ","FILING_STATUS=MR","FA_ADJUSTED=GAAP","Sort=A","Dates=H","DateFormat=P","Fill=—","Direction=H","UseDPDF=Y")</f>
        <v>5.78</v>
      </c>
      <c r="AA58" s="17" cm="1">
        <f t="array" ref="AA58">_xll.BDH("CAT US Equity","IS_DILUTED_EPS","FQ1 2025","FQ1 2025","Currency=USD","Period=FQ","BEST_FPERIOD_OVERRIDE=FQ","FILING_STATUS=MR","FA_ADJUSTED=GAAP","Sort=A","Dates=H","DateFormat=P","Fill=—","Direction=H","UseDPDF=Y")</f>
        <v>4.2</v>
      </c>
      <c r="AB58" s="17" cm="1">
        <f t="array" ref="AB58">_xll.BDH("CAT US Equity","IS_DILUTED_EPS","FQ2 2025","FQ2 2025","Currency=USD","Period=FQ","BEST_FPERIOD_OVERRIDE=FQ","FILING_STATUS=MR","FA_ADJUSTED=GAAP","Sort=A","Dates=H","DateFormat=P","Fill=—","Direction=H","UseDPDF=Y")</f>
        <v>4.62</v>
      </c>
      <c r="AC58" s="17" cm="1">
        <f t="array" ref="AC58">_xll.BDH("CAT US Equity","IS_DILUTED_EPS","FQ3 2025","FQ3 2025","Currency=USD","Period=FQ","BEST_FPERIOD_OVERRIDE=FQ","FILING_STATUS=MR","FA_ADJUSTED=GAAP","Sort=A","Dates=H","DateFormat=P","Fill=—","Direction=H","UseDPDF=Y")</f>
        <v>4.88</v>
      </c>
      <c r="AD58" s="17" cm="1">
        <f t="array" ref="AD58">_xll.BDH("CAT US Equity","IS_DILUTED_EPS","FQ4 2025","FQ4 2025","Currency=USD","Period=FQ","BEST_FPERIOD_OVERRIDE=FQ","FILING_STATUS=MR","FA_ADJUSTED=GAAP","Sort=A","Dates=H","DateFormat=P","Fill=—","Direction=H","UseDPDF=Y")</f>
        <v>5.12</v>
      </c>
      <c r="AE58" s="17">
        <v>4.548</v>
      </c>
      <c r="AF58" s="17">
        <v>5.7030000000000003</v>
      </c>
    </row>
    <row r="59" spans="1:32" x14ac:dyDescent="0.25">
      <c r="A59" s="6" t="s">
        <v>162</v>
      </c>
      <c r="B59" s="6" t="s">
        <v>163</v>
      </c>
      <c r="C59" s="17" cm="1">
        <f t="array" ref="C59">_xll.BDH("CAT US Equity","IS_DIL_EPS_BEF_XO","FQ1 2019","FQ1 2019","Currency=USD","Period=FQ","BEST_FPERIOD_OVERRIDE=FQ","FILING_STATUS=MR","Sort=A","Dates=H","DateFormat=P","Fill=—","Direction=H","UseDPDF=Y")</f>
        <v>3.25</v>
      </c>
      <c r="D59" s="17" cm="1">
        <f t="array" ref="D59">_xll.BDH("CAT US Equity","IS_DIL_EPS_BEF_XO","FQ2 2019","FQ2 2019","Currency=USD","Period=FQ","BEST_FPERIOD_OVERRIDE=FQ","FILING_STATUS=MR","Sort=A","Dates=H","DateFormat=P","Fill=—","Direction=H","UseDPDF=Y")</f>
        <v>2.83</v>
      </c>
      <c r="E59" s="17" cm="1">
        <f t="array" ref="E59">_xll.BDH("CAT US Equity","IS_DIL_EPS_BEF_XO","FQ3 2019","FQ3 2019","Currency=USD","Period=FQ","BEST_FPERIOD_OVERRIDE=FQ","FILING_STATUS=MR","Sort=A","Dates=H","DateFormat=P","Fill=—","Direction=H","UseDPDF=Y")</f>
        <v>2.66</v>
      </c>
      <c r="F59" s="17" cm="1">
        <f t="array" ref="F59">_xll.BDH("CAT US Equity","IS_DIL_EPS_BEF_XO","FQ4 2019","FQ4 2019","Currency=USD","Period=FQ","BEST_FPERIOD_OVERRIDE=FQ","FILING_STATUS=MR","Sort=A","Dates=H","DateFormat=P","Fill=—","Direction=H","UseDPDF=Y")</f>
        <v>1.97</v>
      </c>
      <c r="G59" s="17" cm="1">
        <f t="array" ref="G59">_xll.BDH("CAT US Equity","IS_DIL_EPS_BEF_XO","FQ1 2020","FQ1 2020","Currency=USD","Period=FQ","BEST_FPERIOD_OVERRIDE=FQ","FILING_STATUS=MR","Sort=A","Dates=H","DateFormat=P","Fill=—","Direction=H","UseDPDF=Y")</f>
        <v>1.98</v>
      </c>
      <c r="H59" s="17" cm="1">
        <f t="array" ref="H59">_xll.BDH("CAT US Equity","IS_DIL_EPS_BEF_XO","FQ2 2020","FQ2 2020","Currency=USD","Period=FQ","BEST_FPERIOD_OVERRIDE=FQ","FILING_STATUS=MR","Sort=A","Dates=H","DateFormat=P","Fill=—","Direction=H","UseDPDF=Y")</f>
        <v>0.84</v>
      </c>
      <c r="I59" s="17" cm="1">
        <f t="array" ref="I59">_xll.BDH("CAT US Equity","IS_DIL_EPS_BEF_XO","FQ3 2020","FQ3 2020","Currency=USD","Period=FQ","BEST_FPERIOD_OVERRIDE=FQ","FILING_STATUS=MR","Sort=A","Dates=H","DateFormat=P","Fill=—","Direction=H","UseDPDF=Y")</f>
        <v>1.22</v>
      </c>
      <c r="J59" s="17" cm="1">
        <f t="array" ref="J59">_xll.BDH("CAT US Equity","IS_DIL_EPS_BEF_XO","FQ4 2020","FQ4 2020","Currency=USD","Period=FQ","BEST_FPERIOD_OVERRIDE=FQ","FILING_STATUS=MR","Sort=A","Dates=H","DateFormat=P","Fill=—","Direction=H","UseDPDF=Y")</f>
        <v>1.42</v>
      </c>
      <c r="K59" s="17" cm="1">
        <f t="array" ref="K59">_xll.BDH("CAT US Equity","IS_DIL_EPS_BEF_XO","FQ1 2021","FQ1 2021","Currency=USD","Period=FQ","BEST_FPERIOD_OVERRIDE=FQ","FILING_STATUS=MR","Sort=A","Dates=H","DateFormat=P","Fill=—","Direction=H","UseDPDF=Y")</f>
        <v>2.77</v>
      </c>
      <c r="L59" s="17" cm="1">
        <f t="array" ref="L59">_xll.BDH("CAT US Equity","IS_DIL_EPS_BEF_XO","FQ2 2021","FQ2 2021","Currency=USD","Period=FQ","BEST_FPERIOD_OVERRIDE=FQ","FILING_STATUS=MR","Sort=A","Dates=H","DateFormat=P","Fill=—","Direction=H","UseDPDF=Y")</f>
        <v>2.56</v>
      </c>
      <c r="M59" s="17" cm="1">
        <f t="array" ref="M59">_xll.BDH("CAT US Equity","IS_DIL_EPS_BEF_XO","FQ3 2021","FQ3 2021","Currency=USD","Period=FQ","BEST_FPERIOD_OVERRIDE=FQ","FILING_STATUS=MR","Sort=A","Dates=H","DateFormat=P","Fill=—","Direction=H","UseDPDF=Y")</f>
        <v>2.6</v>
      </c>
      <c r="N59" s="17" cm="1">
        <f t="array" ref="N59">_xll.BDH("CAT US Equity","IS_DIL_EPS_BEF_XO","FQ4 2021","FQ4 2021","Currency=USD","Period=FQ","BEST_FPERIOD_OVERRIDE=FQ","FILING_STATUS=MR","Sort=A","Dates=H","DateFormat=P","Fill=—","Direction=H","UseDPDF=Y")</f>
        <v>3.91</v>
      </c>
      <c r="O59" s="17" cm="1">
        <f t="array" ref="O59">_xll.BDH("CAT US Equity","IS_DIL_EPS_BEF_XO","FQ1 2022","FQ1 2022","Currency=USD","Period=FQ","BEST_FPERIOD_OVERRIDE=FQ","FILING_STATUS=MR","Sort=A","Dates=H","DateFormat=P","Fill=—","Direction=H","UseDPDF=Y")</f>
        <v>2.86</v>
      </c>
      <c r="P59" s="17" cm="1">
        <f t="array" ref="P59">_xll.BDH("CAT US Equity","IS_DIL_EPS_BEF_XO","FQ2 2022","FQ2 2022","Currency=USD","Period=FQ","BEST_FPERIOD_OVERRIDE=FQ","FILING_STATUS=MR","Sort=A","Dates=H","DateFormat=P","Fill=—","Direction=H","UseDPDF=Y")</f>
        <v>3.13</v>
      </c>
      <c r="Q59" s="17" cm="1">
        <f t="array" ref="Q59">_xll.BDH("CAT US Equity","IS_DIL_EPS_BEF_XO","FQ3 2022","FQ3 2022","Currency=USD","Period=FQ","BEST_FPERIOD_OVERRIDE=FQ","FILING_STATUS=MR","Sort=A","Dates=H","DateFormat=P","Fill=—","Direction=H","UseDPDF=Y")</f>
        <v>3.87</v>
      </c>
      <c r="R59" s="17" cm="1">
        <f t="array" ref="R59">_xll.BDH("CAT US Equity","IS_DIL_EPS_BEF_XO","FQ4 2022","FQ4 2022","Currency=USD","Period=FQ","BEST_FPERIOD_OVERRIDE=FQ","FILING_STATUS=MR","Sort=A","Dates=H","DateFormat=P","Fill=—","Direction=H","UseDPDF=Y")</f>
        <v>2.79</v>
      </c>
      <c r="S59" s="17" cm="1">
        <f t="array" ref="S59">_xll.BDH("CAT US Equity","IS_DIL_EPS_BEF_XO","FQ1 2023","FQ1 2023","Currency=USD","Period=FQ","BEST_FPERIOD_OVERRIDE=FQ","FILING_STATUS=MR","Sort=A","Dates=H","DateFormat=P","Fill=—","Direction=H","UseDPDF=Y")</f>
        <v>3.74</v>
      </c>
      <c r="T59" s="17" cm="1">
        <f t="array" ref="T59">_xll.BDH("CAT US Equity","IS_DIL_EPS_BEF_XO","FQ2 2023","FQ2 2023","Currency=USD","Period=FQ","BEST_FPERIOD_OVERRIDE=FQ","FILING_STATUS=MR","Sort=A","Dates=H","DateFormat=P","Fill=—","Direction=H","UseDPDF=Y")</f>
        <v>5.67</v>
      </c>
      <c r="U59" s="17" cm="1">
        <f t="array" ref="U59">_xll.BDH("CAT US Equity","IS_DIL_EPS_BEF_XO","FQ3 2023","FQ3 2023","Currency=USD","Period=FQ","BEST_FPERIOD_OVERRIDE=FQ","FILING_STATUS=MR","Sort=A","Dates=H","DateFormat=P","Fill=—","Direction=H","UseDPDF=Y")</f>
        <v>5.45</v>
      </c>
      <c r="V59" s="17" cm="1">
        <f t="array" ref="V59">_xll.BDH("CAT US Equity","IS_DIL_EPS_BEF_XO","FQ4 2023","FQ4 2023","Currency=USD","Period=FQ","BEST_FPERIOD_OVERRIDE=FQ","FILING_STATUS=MR","Sort=A","Dates=H","DateFormat=P","Fill=—","Direction=H","UseDPDF=Y")</f>
        <v>5.28</v>
      </c>
      <c r="W59" s="17" cm="1">
        <f t="array" ref="W59">_xll.BDH("CAT US Equity","IS_DIL_EPS_BEF_XO","FQ1 2024","FQ1 2024","Currency=USD","Period=FQ","BEST_FPERIOD_OVERRIDE=FQ","FILING_STATUS=MR","Sort=A","Dates=H","DateFormat=P","Fill=—","Direction=H","UseDPDF=Y")</f>
        <v>5.75</v>
      </c>
      <c r="X59" s="17" cm="1">
        <f t="array" ref="X59">_xll.BDH("CAT US Equity","IS_DIL_EPS_BEF_XO","FQ2 2024","FQ2 2024","Currency=USD","Period=FQ","BEST_FPERIOD_OVERRIDE=FQ","FILING_STATUS=MR","Sort=A","Dates=H","DateFormat=P","Fill=—","Direction=H","UseDPDF=Y")</f>
        <v>5.48</v>
      </c>
      <c r="Y59" s="17" cm="1">
        <f t="array" ref="Y59">_xll.BDH("CAT US Equity","IS_DIL_EPS_BEF_XO","FQ3 2024","FQ3 2024","Currency=USD","Period=FQ","BEST_FPERIOD_OVERRIDE=FQ","FILING_STATUS=MR","Sort=A","Dates=H","DateFormat=P","Fill=—","Direction=H","UseDPDF=Y")</f>
        <v>5.0599999999999996</v>
      </c>
      <c r="Z59" s="17" cm="1">
        <f t="array" ref="Z59">_xll.BDH("CAT US Equity","IS_DIL_EPS_BEF_XO","FQ4 2024","FQ4 2024","Currency=USD","Period=FQ","BEST_FPERIOD_OVERRIDE=FQ","FILING_STATUS=MR","Sort=A","Dates=H","DateFormat=P","Fill=—","Direction=H","UseDPDF=Y")</f>
        <v>5.78</v>
      </c>
      <c r="AA59" s="17" cm="1">
        <f t="array" ref="AA59">_xll.BDH("CAT US Equity","IS_DIL_EPS_BEF_XO","FQ1 2025","FQ1 2025","Currency=USD","Period=FQ","BEST_FPERIOD_OVERRIDE=FQ","FILING_STATUS=MR","Sort=A","Dates=H","DateFormat=P","Fill=—","Direction=H","UseDPDF=Y")</f>
        <v>4.2</v>
      </c>
      <c r="AB59" s="17" cm="1">
        <f t="array" ref="AB59">_xll.BDH("CAT US Equity","IS_DIL_EPS_BEF_XO","FQ2 2025","FQ2 2025","Currency=USD","Period=FQ","BEST_FPERIOD_OVERRIDE=FQ","FILING_STATUS=MR","Sort=A","Dates=H","DateFormat=P","Fill=—","Direction=H","UseDPDF=Y")</f>
        <v>4.62</v>
      </c>
      <c r="AC59" s="17" cm="1">
        <f t="array" ref="AC59">_xll.BDH("CAT US Equity","IS_DIL_EPS_BEF_XO","FQ3 2025","FQ3 2025","Currency=USD","Period=FQ","BEST_FPERIOD_OVERRIDE=FQ","FILING_STATUS=MR","Sort=A","Dates=H","DateFormat=P","Fill=—","Direction=H","UseDPDF=Y")</f>
        <v>4.88</v>
      </c>
      <c r="AD59" s="17" cm="1">
        <f t="array" ref="AD59">_xll.BDH("CAT US Equity","IS_DIL_EPS_BEF_XO","FQ4 2025","FQ4 2025","Currency=USD","Period=FQ","BEST_FPERIOD_OVERRIDE=FQ","FILING_STATUS=MR","Sort=A","Dates=H","DateFormat=P","Fill=—","Direction=H","UseDPDF=Y")</f>
        <v>5.12</v>
      </c>
      <c r="AE59" s="17">
        <v>4.548</v>
      </c>
      <c r="AF59" s="17">
        <v>5.7030000000000003</v>
      </c>
    </row>
    <row r="60" spans="1:32" x14ac:dyDescent="0.25">
      <c r="A60" s="6" t="s">
        <v>164</v>
      </c>
      <c r="B60" s="6" t="s">
        <v>165</v>
      </c>
      <c r="C60" s="17" cm="1">
        <f t="array" ref="C60">_xll.BDH("CAT US Equity","IS_DIL_EPS_CONT_OPS","FQ1 2019","FQ1 2019","Currency=USD","Period=FQ","BEST_FPERIOD_OVERRIDE=FQ","FILING_STATUS=MR","Sort=A","Dates=H","DateFormat=P","Fill=—","Direction=H","UseDPDF=Y")</f>
        <v>3.008</v>
      </c>
      <c r="D60" s="17" cm="1">
        <f t="array" ref="D60">_xll.BDH("CAT US Equity","IS_DIL_EPS_CONT_OPS","FQ2 2019","FQ2 2019","Currency=USD","Period=FQ","BEST_FPERIOD_OVERRIDE=FQ","FILING_STATUS=MR","Sort=A","Dates=H","DateFormat=P","Fill=—","Direction=H","UseDPDF=Y")</f>
        <v>2.9363000000000001</v>
      </c>
      <c r="E60" s="17" cm="1">
        <f t="array" ref="E60">_xll.BDH("CAT US Equity","IS_DIL_EPS_CONT_OPS","FQ3 2019","FQ3 2019","Currency=USD","Period=FQ","BEST_FPERIOD_OVERRIDE=FQ","FILING_STATUS=MR","Sort=A","Dates=H","DateFormat=P","Fill=—","Direction=H","UseDPDF=Y")</f>
        <v>2.7000999999999999</v>
      </c>
      <c r="F60" s="17" cm="1">
        <f t="array" ref="F60">_xll.BDH("CAT US Equity","IS_DIL_EPS_CONT_OPS","FQ4 2019","FQ4 2019","Currency=USD","Period=FQ","BEST_FPERIOD_OVERRIDE=FQ","FILING_STATUS=MR","Sort=A","Dates=H","DateFormat=P","Fill=—","Direction=H","UseDPDF=Y")</f>
        <v>2.9087000000000001</v>
      </c>
      <c r="G60" s="17" cm="1">
        <f t="array" ref="G60">_xll.BDH("CAT US Equity","IS_DIL_EPS_CONT_OPS","FQ1 2020","FQ1 2020","Currency=USD","Period=FQ","BEST_FPERIOD_OVERRIDE=FQ","FILING_STATUS=MR","Sort=A","Dates=H","DateFormat=P","Fill=—","Direction=H","UseDPDF=Y")</f>
        <v>1.5862000000000001</v>
      </c>
      <c r="H60" s="17" cm="1">
        <f t="array" ref="H60">_xll.BDH("CAT US Equity","IS_DIL_EPS_CONT_OPS","FQ2 2020","FQ2 2020","Currency=USD","Period=FQ","BEST_FPERIOD_OVERRIDE=FQ","FILING_STATUS=MR","Sort=A","Dates=H","DateFormat=P","Fill=—","Direction=H","UseDPDF=Y")</f>
        <v>1.1194</v>
      </c>
      <c r="I60" s="17" cm="1">
        <f t="array" ref="I60">_xll.BDH("CAT US Equity","IS_DIL_EPS_CONT_OPS","FQ3 2020","FQ3 2020","Currency=USD","Period=FQ","BEST_FPERIOD_OVERRIDE=FQ","FILING_STATUS=MR","Sort=A","Dates=H","DateFormat=P","Fill=—","Direction=H","UseDPDF=Y")</f>
        <v>1.5477000000000001</v>
      </c>
      <c r="J60" s="17" cm="1">
        <f t="array" ref="J60">_xll.BDH("CAT US Equity","IS_DIL_EPS_CONT_OPS","FQ4 2020","FQ4 2020","Currency=USD","Period=FQ","BEST_FPERIOD_OVERRIDE=FQ","FILING_STATUS=MR","Sort=A","Dates=H","DateFormat=P","Fill=—","Direction=H","UseDPDF=Y")</f>
        <v>2.3226</v>
      </c>
      <c r="K60" s="17" cm="1">
        <f t="array" ref="K60">_xll.BDH("CAT US Equity","IS_DIL_EPS_CONT_OPS","FQ1 2021","FQ1 2021","Currency=USD","Period=FQ","BEST_FPERIOD_OVERRIDE=FQ","FILING_STATUS=MR","Sort=A","Dates=H","DateFormat=P","Fill=—","Direction=H","UseDPDF=Y")</f>
        <v>2.8860999999999999</v>
      </c>
      <c r="L60" s="17" cm="1">
        <f t="array" ref="L60">_xll.BDH("CAT US Equity","IS_DIL_EPS_CONT_OPS","FQ2 2021","FQ2 2021","Currency=USD","Period=FQ","BEST_FPERIOD_OVERRIDE=FQ","FILING_STATUS=MR","Sort=A","Dates=H","DateFormat=P","Fill=—","Direction=H","UseDPDF=Y")</f>
        <v>2.6067999999999998</v>
      </c>
      <c r="M60" s="17" cm="1">
        <f t="array" ref="M60">_xll.BDH("CAT US Equity","IS_DIL_EPS_CONT_OPS","FQ3 2021","FQ3 2021","Currency=USD","Period=FQ","BEST_FPERIOD_OVERRIDE=FQ","FILING_STATUS=MR","Sort=A","Dates=H","DateFormat=P","Fill=—","Direction=H","UseDPDF=Y")</f>
        <v>2.653</v>
      </c>
      <c r="N60" s="17" cm="1">
        <f t="array" ref="N60">_xll.BDH("CAT US Equity","IS_DIL_EPS_CONT_OPS","FQ4 2021","FQ4 2021","Currency=USD","Period=FQ","BEST_FPERIOD_OVERRIDE=FQ","FILING_STATUS=MR","Sort=A","Dates=H","DateFormat=P","Fill=—","Direction=H","UseDPDF=Y")</f>
        <v>3.0678000000000001</v>
      </c>
      <c r="O60" s="17" cm="1">
        <f t="array" ref="O60">_xll.BDH("CAT US Equity","IS_DIL_EPS_CONT_OPS","FQ1 2022","FQ1 2022","Currency=USD","Period=FQ","BEST_FPERIOD_OVERRIDE=FQ","FILING_STATUS=MR","Sort=A","Dates=H","DateFormat=P","Fill=—","Direction=H","UseDPDF=Y")</f>
        <v>2.8803999999999998</v>
      </c>
      <c r="P60" s="17" cm="1">
        <f t="array" ref="P60">_xll.BDH("CAT US Equity","IS_DIL_EPS_CONT_OPS","FQ2 2022","FQ2 2022","Currency=USD","Period=FQ","BEST_FPERIOD_OVERRIDE=FQ","FILING_STATUS=MR","Sort=A","Dates=H","DateFormat=P","Fill=—","Direction=H","UseDPDF=Y")</f>
        <v>3.2482000000000002</v>
      </c>
      <c r="Q60" s="17" cm="1">
        <f t="array" ref="Q60">_xll.BDH("CAT US Equity","IS_DIL_EPS_CONT_OPS","FQ3 2022","FQ3 2022","Currency=USD","Period=FQ","BEST_FPERIOD_OVERRIDE=FQ","FILING_STATUS=MR","Sort=A","Dates=H","DateFormat=P","Fill=—","Direction=H","UseDPDF=Y")</f>
        <v>3.9458000000000002</v>
      </c>
      <c r="R60" s="17" cm="1">
        <f t="array" ref="R60">_xll.BDH("CAT US Equity","IS_DIL_EPS_CONT_OPS","FQ4 2022","FQ4 2022","Currency=USD","Period=FQ","BEST_FPERIOD_OVERRIDE=FQ","FILING_STATUS=MR","Sort=A","Dates=H","DateFormat=P","Fill=—","Direction=H","UseDPDF=Y")</f>
        <v>4.0974000000000004</v>
      </c>
      <c r="S60" s="17" cm="1">
        <f t="array" ref="S60">_xll.BDH("CAT US Equity","IS_DIL_EPS_CONT_OPS","FQ1 2023","FQ1 2023","Currency=USD","Period=FQ","BEST_FPERIOD_OVERRIDE=FQ","FILING_STATUS=MR","Sort=A","Dates=H","DateFormat=P","Fill=—","Direction=H","UseDPDF=Y")</f>
        <v>5.7766999999999999</v>
      </c>
      <c r="T60" s="17" cm="1">
        <f t="array" ref="T60">_xll.BDH("CAT US Equity","IS_DIL_EPS_CONT_OPS","FQ2 2023","FQ2 2023","Currency=USD","Period=FQ","BEST_FPERIOD_OVERRIDE=FQ","FILING_STATUS=MR","Sort=A","Dates=H","DateFormat=P","Fill=—","Direction=H","UseDPDF=Y")</f>
        <v>5.7176</v>
      </c>
      <c r="U60" s="17" cm="1">
        <f t="array" ref="U60">_xll.BDH("CAT US Equity","IS_DIL_EPS_CONT_OPS","FQ3 2023","FQ3 2023","Currency=USD","Period=FQ","BEST_FPERIOD_OVERRIDE=FQ","FILING_STATUS=MR","Sort=A","Dates=H","DateFormat=P","Fill=—","Direction=H","UseDPDF=Y")</f>
        <v>5.5202</v>
      </c>
      <c r="V60" s="17" cm="1">
        <f t="array" ref="V60">_xll.BDH("CAT US Equity","IS_DIL_EPS_CONT_OPS","FQ4 2023","FQ4 2023","Currency=USD","Period=FQ","BEST_FPERIOD_OVERRIDE=FQ","FILING_STATUS=MR","Sort=A","Dates=H","DateFormat=P","Fill=—","Direction=H","UseDPDF=Y")</f>
        <v>5.2327000000000004</v>
      </c>
      <c r="W60" s="17" cm="1">
        <f t="array" ref="W60">_xll.BDH("CAT US Equity","IS_DIL_EPS_CONT_OPS","FQ1 2024","FQ1 2024","Currency=USD","Period=FQ","BEST_FPERIOD_OVERRIDE=FQ","FILING_STATUS=MR","Sort=A","Dates=H","DateFormat=P","Fill=—","Direction=H","UseDPDF=Y")</f>
        <v>5.6010999999999997</v>
      </c>
      <c r="X60" s="17" cm="1">
        <f t="array" ref="X60">_xll.BDH("CAT US Equity","IS_DIL_EPS_CONT_OPS","FQ2 2024","FQ2 2024","Currency=USD","Period=FQ","BEST_FPERIOD_OVERRIDE=FQ","FILING_STATUS=MR","Sort=A","Dates=H","DateFormat=P","Fill=—","Direction=H","UseDPDF=Y")</f>
        <v>6.3628</v>
      </c>
      <c r="Y60" s="17" cm="1">
        <f t="array" ref="Y60">_xll.BDH("CAT US Equity","IS_DIL_EPS_CONT_OPS","FQ3 2024","FQ3 2024","Currency=USD","Period=FQ","BEST_FPERIOD_OVERRIDE=FQ","FILING_STATUS=MR","Sort=A","Dates=H","DateFormat=P","Fill=—","Direction=H","UseDPDF=Y")</f>
        <v>5.1710000000000003</v>
      </c>
      <c r="Z60" s="17" cm="1">
        <f t="array" ref="Z60">_xll.BDH("CAT US Equity","IS_DIL_EPS_CONT_OPS","FQ4 2024","FQ4 2024","Currency=USD","Period=FQ","BEST_FPERIOD_OVERRIDE=FQ","FILING_STATUS=MR","Sort=A","Dates=H","DateFormat=P","Fill=—","Direction=H","UseDPDF=Y")</f>
        <v>5.1417999999999999</v>
      </c>
      <c r="AA60" s="17" cm="1">
        <f t="array" ref="AA60">_xll.BDH("CAT US Equity","IS_DIL_EPS_CONT_OPS","FQ1 2025","FQ1 2025","Currency=USD","Period=FQ","BEST_FPERIOD_OVERRIDE=FQ","FILING_STATUS=MR","Sort=A","Dates=H","DateFormat=P","Fill=—","Direction=H","UseDPDF=Y")</f>
        <v>4.2523999999999997</v>
      </c>
      <c r="AB60" s="17" cm="1">
        <f t="array" ref="AB60">_xll.BDH("CAT US Equity","IS_DIL_EPS_CONT_OPS","FQ2 2025","FQ2 2025","Currency=USD","Period=FQ","BEST_FPERIOD_OVERRIDE=FQ","FILING_STATUS=MR","Sort=A","Dates=H","DateFormat=P","Fill=—","Direction=H","UseDPDF=Y")</f>
        <v>4.7196999999999996</v>
      </c>
      <c r="AC60" s="17" cm="1">
        <f t="array" ref="AC60">_xll.BDH("CAT US Equity","IS_DIL_EPS_CONT_OPS","FQ3 2025","FQ3 2025","Currency=USD","Period=FQ","BEST_FPERIOD_OVERRIDE=FQ","FILING_STATUS=MR","Sort=A","Dates=H","DateFormat=P","Fill=—","Direction=H","UseDPDF=Y")</f>
        <v>4.9394999999999998</v>
      </c>
      <c r="AD60" s="17" cm="1">
        <f t="array" ref="AD60">_xll.BDH("CAT US Equity","IS_DIL_EPS_CONT_OPS","FQ4 2025","FQ4 2025","Currency=USD","Period=FQ","BEST_FPERIOD_OVERRIDE=FQ","FILING_STATUS=MR","Sort=A","Dates=H","DateFormat=P","Fill=—","Direction=H","UseDPDF=Y")</f>
        <v>5.1626000000000003</v>
      </c>
      <c r="AE60" s="17">
        <v>4.5810000000000004</v>
      </c>
      <c r="AF60" s="17">
        <v>5.6580000000000004</v>
      </c>
    </row>
    <row r="61" spans="1:32" x14ac:dyDescent="0.25">
      <c r="A61" s="6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</row>
    <row r="62" spans="1:32" x14ac:dyDescent="0.25">
      <c r="A62" s="6" t="s">
        <v>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</row>
    <row r="63" spans="1:32" x14ac:dyDescent="0.25">
      <c r="A63" s="10" t="s">
        <v>166</v>
      </c>
      <c r="B63" s="10" t="s">
        <v>167</v>
      </c>
      <c r="C63" s="12" t="s">
        <v>168</v>
      </c>
      <c r="D63" s="12" t="s">
        <v>168</v>
      </c>
      <c r="E63" s="12" t="s">
        <v>168</v>
      </c>
      <c r="F63" s="12" t="s">
        <v>168</v>
      </c>
      <c r="G63" s="12" t="s">
        <v>168</v>
      </c>
      <c r="H63" s="12" t="s">
        <v>168</v>
      </c>
      <c r="I63" s="12" t="s">
        <v>168</v>
      </c>
      <c r="J63" s="12" t="s">
        <v>168</v>
      </c>
      <c r="K63" s="12" t="s">
        <v>168</v>
      </c>
      <c r="L63" s="12" t="s">
        <v>168</v>
      </c>
      <c r="M63" s="12" t="s">
        <v>168</v>
      </c>
      <c r="N63" s="12" t="s">
        <v>168</v>
      </c>
      <c r="O63" s="12" t="s">
        <v>168</v>
      </c>
      <c r="P63" s="12" t="s">
        <v>168</v>
      </c>
      <c r="Q63" s="12" t="s">
        <v>168</v>
      </c>
      <c r="R63" s="12" t="s">
        <v>168</v>
      </c>
      <c r="S63" s="12" t="s">
        <v>168</v>
      </c>
      <c r="T63" s="12" t="s">
        <v>168</v>
      </c>
      <c r="U63" s="12" t="s">
        <v>168</v>
      </c>
      <c r="V63" s="12" t="s">
        <v>168</v>
      </c>
      <c r="W63" s="12" t="s">
        <v>168</v>
      </c>
      <c r="X63" s="12" t="s">
        <v>168</v>
      </c>
      <c r="Y63" s="12" t="s">
        <v>168</v>
      </c>
      <c r="Z63" s="12" t="s">
        <v>168</v>
      </c>
      <c r="AA63" s="12" t="s">
        <v>168</v>
      </c>
      <c r="AB63" s="12" t="s">
        <v>168</v>
      </c>
      <c r="AC63" s="12" t="s">
        <v>168</v>
      </c>
      <c r="AD63" s="12" t="s">
        <v>168</v>
      </c>
      <c r="AE63" s="12"/>
      <c r="AF63" s="12"/>
    </row>
    <row r="64" spans="1:32" x14ac:dyDescent="0.25">
      <c r="A64" s="10" t="s">
        <v>169</v>
      </c>
      <c r="B64" s="10" t="s">
        <v>169</v>
      </c>
      <c r="C64" s="13" cm="1">
        <f t="array" ref="C64">_xll.BDH("CAT US Equity","EBITDA","FQ1 2019","FQ1 2019","Currency=USD","Period=FQ","BEST_FPERIOD_OVERRIDE=FQ","FILING_STATUS=MR","SCALING_FORMAT=MLN","FA_ADJUSTED=Adjusted","Sort=A","Dates=H","DateFormat=P","Fill=—","Direction=H","UseDPDF=Y")</f>
        <v>2960</v>
      </c>
      <c r="D64" s="13" cm="1">
        <f t="array" ref="D64">_xll.BDH("CAT US Equity","EBITDA","FQ2 2019","FQ2 2019","Currency=USD","Period=FQ","BEST_FPERIOD_OVERRIDE=FQ","FILING_STATUS=MR","SCALING_FORMAT=MLN","FA_ADJUSTED=Adjusted","Sort=A","Dates=H","DateFormat=P","Fill=—","Direction=H","UseDPDF=Y")</f>
        <v>3024</v>
      </c>
      <c r="E64" s="13" cm="1">
        <f t="array" ref="E64">_xll.BDH("CAT US Equity","EBITDA","FQ3 2019","FQ3 2019","Currency=USD","Period=FQ","BEST_FPERIOD_OVERRIDE=FQ","FILING_STATUS=MR","SCALING_FORMAT=MLN","FA_ADJUSTED=Adjusted","Sort=A","Dates=H","DateFormat=P","Fill=—","Direction=H","UseDPDF=Y")</f>
        <v>2755</v>
      </c>
      <c r="F64" s="13" cm="1">
        <f t="array" ref="F64">_xll.BDH("CAT US Equity","EBITDA","FQ4 2019","FQ4 2019","Currency=USD","Period=FQ","BEST_FPERIOD_OVERRIDE=FQ","FILING_STATUS=MR","SCALING_FORMAT=MLN","FA_ADJUSTED=Adjusted","Sort=A","Dates=H","DateFormat=P","Fill=—","Direction=H","UseDPDF=Y")</f>
        <v>2603</v>
      </c>
      <c r="G64" s="13" cm="1">
        <f t="array" ref="G64">_xll.BDH("CAT US Equity","EBITDA","FQ1 2020","FQ1 2020","Currency=USD","Period=FQ","BEST_FPERIOD_OVERRIDE=FQ","FILING_STATUS=MR","SCALING_FORMAT=MLN","FA_ADJUSTED=Adjusted","Sort=A","Dates=H","DateFormat=P","Fill=—","Direction=H","UseDPDF=Y")</f>
        <v>2055</v>
      </c>
      <c r="H64" s="13" cm="1">
        <f t="array" ref="H64">_xll.BDH("CAT US Equity","EBITDA","FQ2 2020","FQ2 2020","Currency=USD","Period=FQ","BEST_FPERIOD_OVERRIDE=FQ","FILING_STATUS=MR","SCALING_FORMAT=MLN","FA_ADJUSTED=Adjusted","Sort=A","Dates=H","DateFormat=P","Fill=—","Direction=H","UseDPDF=Y")</f>
        <v>1539</v>
      </c>
      <c r="I64" s="13" cm="1">
        <f t="array" ref="I64">_xll.BDH("CAT US Equity","EBITDA","FQ3 2020","FQ3 2020","Currency=USD","Period=FQ","BEST_FPERIOD_OVERRIDE=FQ","FILING_STATUS=MR","SCALING_FORMAT=MLN","FA_ADJUSTED=Adjusted","Sort=A","Dates=H","DateFormat=P","Fill=—","Direction=H","UseDPDF=Y")</f>
        <v>1690</v>
      </c>
      <c r="J64" s="13" cm="1">
        <f t="array" ref="J64">_xll.BDH("CAT US Equity","EBITDA","FQ4 2020","FQ4 2020","Currency=USD","Period=FQ","BEST_FPERIOD_OVERRIDE=FQ","FILING_STATUS=MR","SCALING_FORMAT=MLN","FA_ADJUSTED=Adjusted","Sort=A","Dates=H","DateFormat=P","Fill=—","Direction=H","UseDPDF=Y")</f>
        <v>2055</v>
      </c>
      <c r="K64" s="13" cm="1">
        <f t="array" ref="K64">_xll.BDH("CAT US Equity","EBITDA","FQ1 2021","FQ1 2021","Currency=USD","Period=FQ","BEST_FPERIOD_OVERRIDE=FQ","FILING_STATUS=MR","SCALING_FORMAT=MLN","FA_ADJUSTED=Adjusted","Sort=A","Dates=H","DateFormat=P","Fill=—","Direction=H","UseDPDF=Y")</f>
        <v>2464</v>
      </c>
      <c r="L64" s="13" cm="1">
        <f t="array" ref="L64">_xll.BDH("CAT US Equity","EBITDA","FQ2 2021","FQ2 2021","Currency=USD","Period=FQ","BEST_FPERIOD_OVERRIDE=FQ","FILING_STATUS=MR","SCALING_FORMAT=MLN","FA_ADJUSTED=Adjusted","Sort=A","Dates=H","DateFormat=P","Fill=—","Direction=H","UseDPDF=Y")</f>
        <v>2401</v>
      </c>
      <c r="M64" s="13" cm="1">
        <f t="array" ref="M64">_xll.BDH("CAT US Equity","EBITDA","FQ3 2021","FQ3 2021","Currency=USD","Period=FQ","BEST_FPERIOD_OVERRIDE=FQ","FILING_STATUS=MR","SCALING_FORMAT=MLN","FA_ADJUSTED=Adjusted","Sort=A","Dates=H","DateFormat=P","Fill=—","Direction=H","UseDPDF=Y")</f>
        <v>2292</v>
      </c>
      <c r="N64" s="13" cm="1">
        <f t="array" ref="N64">_xll.BDH("CAT US Equity","EBITDA","FQ4 2021","FQ4 2021","Currency=USD","Period=FQ","BEST_FPERIOD_OVERRIDE=FQ","FILING_STATUS=MR","SCALING_FORMAT=MLN","FA_ADJUSTED=Adjusted","Sort=A","Dates=H","DateFormat=P","Fill=—","Direction=H","UseDPDF=Y")</f>
        <v>2163</v>
      </c>
      <c r="O64" s="13" cm="1">
        <f t="array" ref="O64">_xll.BDH("CAT US Equity","EBITDA","FQ1 2022","FQ1 2022","Currency=USD","Period=FQ","BEST_FPERIOD_OVERRIDE=FQ","FILING_STATUS=MR","SCALING_FORMAT=MLN","FA_ADJUSTED=Adjusted","Sort=A","Dates=H","DateFormat=P","Fill=—","Direction=H","UseDPDF=Y")</f>
        <v>2425</v>
      </c>
      <c r="P64" s="13" cm="1">
        <f t="array" ref="P64">_xll.BDH("CAT US Equity","EBITDA","FQ2 2022","FQ2 2022","Currency=USD","Period=FQ","BEST_FPERIOD_OVERRIDE=FQ","FILING_STATUS=MR","SCALING_FORMAT=MLN","FA_ADJUSTED=Adjusted","Sort=A","Dates=H","DateFormat=P","Fill=—","Direction=H","UseDPDF=Y")</f>
        <v>2525</v>
      </c>
      <c r="Q64" s="13" cm="1">
        <f t="array" ref="Q64">_xll.BDH("CAT US Equity","EBITDA","FQ3 2022","FQ3 2022","Currency=USD","Period=FQ","BEST_FPERIOD_OVERRIDE=FQ","FILING_STATUS=MR","SCALING_FORMAT=MLN","FA_ADJUSTED=Adjusted","Sort=A","Dates=H","DateFormat=P","Fill=—","Direction=H","UseDPDF=Y")</f>
        <v>3025</v>
      </c>
      <c r="R64" s="13" cm="1">
        <f t="array" ref="R64">_xll.BDH("CAT US Equity","EBITDA","FQ4 2022","FQ4 2022","Currency=USD","Period=FQ","BEST_FPERIOD_OVERRIDE=FQ","FILING_STATUS=MR","SCALING_FORMAT=MLN","FA_ADJUSTED=Adjusted","Sort=A","Dates=H","DateFormat=P","Fill=—","Direction=H","UseDPDF=Y")</f>
        <v>3372</v>
      </c>
      <c r="S64" s="13" cm="1">
        <f t="array" ref="S64">_xll.BDH("CAT US Equity","EBITDA","FQ1 2023","FQ1 2023","Currency=USD","Period=FQ","BEST_FPERIOD_OVERRIDE=FQ","FILING_STATUS=MR","SCALING_FORMAT=MLN","FA_ADJUSTED=Adjusted","Sort=A","Dates=H","DateFormat=P","Fill=—","Direction=H","UseDPDF=Y")</f>
        <v>4446</v>
      </c>
      <c r="T64" s="13" cm="1">
        <f t="array" ref="T64">_xll.BDH("CAT US Equity","EBITDA","FQ2 2023","FQ2 2023","Currency=USD","Period=FQ","BEST_FPERIOD_OVERRIDE=FQ","FILING_STATUS=MR","SCALING_FORMAT=MLN","FA_ADJUSTED=Adjusted","Sort=A","Dates=H","DateFormat=P","Fill=—","Direction=H","UseDPDF=Y")</f>
        <v>4225</v>
      </c>
      <c r="U64" s="13" cm="1">
        <f t="array" ref="U64">_xll.BDH("CAT US Equity","EBITDA","FQ3 2023","FQ3 2023","Currency=USD","Period=FQ","BEST_FPERIOD_OVERRIDE=FQ","FILING_STATUS=MR","SCALING_FORMAT=MLN","FA_ADJUSTED=Adjusted","Sort=A","Dates=H","DateFormat=P","Fill=—","Direction=H","UseDPDF=Y")</f>
        <v>4020</v>
      </c>
      <c r="V64" s="13" cm="1">
        <f t="array" ref="V64">_xll.BDH("CAT US Equity","EBITDA","FQ4 2023","FQ4 2023","Currency=USD","Period=FQ","BEST_FPERIOD_OVERRIDE=FQ","FILING_STATUS=MR","SCALING_FORMAT=MLN","FA_ADJUSTED=Adjusted","Sort=A","Dates=H","DateFormat=P","Fill=—","Direction=H","UseDPDF=Y")</f>
        <v>3771</v>
      </c>
      <c r="W64" s="13" cm="1">
        <f t="array" ref="W64">_xll.BDH("CAT US Equity","EBITDA","FQ1 2024","FQ1 2024","Currency=USD","Period=FQ","BEST_FPERIOD_OVERRIDE=FQ","FILING_STATUS=MR","SCALING_FORMAT=MLN","FA_ADJUSTED=Adjusted","Sort=A","Dates=H","DateFormat=P","Fill=—","Direction=H","UseDPDF=Y")</f>
        <v>4037</v>
      </c>
      <c r="X64" s="13" cm="1">
        <f t="array" ref="X64">_xll.BDH("CAT US Equity","EBITDA","FQ2 2024","FQ2 2024","Currency=USD","Period=FQ","BEST_FPERIOD_OVERRIDE=FQ","FILING_STATUS=MR","SCALING_FORMAT=MLN","FA_ADJUSTED=Adjusted","Sort=A","Dates=H","DateFormat=P","Fill=—","Direction=H","UseDPDF=Y")</f>
        <v>4499</v>
      </c>
      <c r="Y64" s="13" cm="1">
        <f t="array" ref="Y64">_xll.BDH("CAT US Equity","EBITDA","FQ3 2024","FQ3 2024","Currency=USD","Period=FQ","BEST_FPERIOD_OVERRIDE=FQ","FILING_STATUS=MR","SCALING_FORMAT=MLN","FA_ADJUSTED=Adjusted","Sort=A","Dates=H","DateFormat=P","Fill=—","Direction=H","UseDPDF=Y")</f>
        <v>3760</v>
      </c>
      <c r="Z64" s="13" cm="1">
        <f t="array" ref="Z64">_xll.BDH("CAT US Equity","EBITDA","FQ4 2024","FQ4 2024","Currency=USD","Period=FQ","BEST_FPERIOD_OVERRIDE=FQ","FILING_STATUS=MR","SCALING_FORMAT=MLN","FA_ADJUSTED=Adjusted","Sort=A","Dates=H","DateFormat=P","Fill=—","Direction=H","UseDPDF=Y")</f>
        <v>3516</v>
      </c>
      <c r="AA64" s="13" cm="1">
        <f t="array" ref="AA64">_xll.BDH("CAT US Equity","EBITDA","FQ1 2025","FQ1 2025","Currency=USD","Period=FQ","BEST_FPERIOD_OVERRIDE=FQ","FILING_STATUS=MR","SCALING_FORMAT=MLN","FA_ADJUSTED=Adjusted","Sort=A","Dates=H","DateFormat=P","Fill=—","Direction=H","UseDPDF=Y")</f>
        <v>3152</v>
      </c>
      <c r="AB64" s="13" cm="1">
        <f t="array" ref="AB64">_xll.BDH("CAT US Equity","EBITDA","FQ2 2025","FQ2 2025","Currency=USD","Period=FQ","BEST_FPERIOD_OVERRIDE=FQ","FILING_STATUS=MR","SCALING_FORMAT=MLN","FA_ADJUSTED=Adjusted","Sort=A","Dates=H","DateFormat=P","Fill=—","Direction=H","UseDPDF=Y")</f>
        <v>3470</v>
      </c>
      <c r="AC64" s="13" cm="1">
        <f t="array" ref="AC64">_xll.BDH("CAT US Equity","EBITDA","FQ3 2025","FQ3 2025","Currency=USD","Period=FQ","BEST_FPERIOD_OVERRIDE=FQ","FILING_STATUS=MR","SCALING_FORMAT=MLN","FA_ADJUSTED=Adjusted","Sort=A","Dates=H","DateFormat=P","Fill=—","Direction=H","UseDPDF=Y")</f>
        <v>3659</v>
      </c>
      <c r="AD64" s="13" cm="1">
        <f t="array" ref="AD64">_xll.BDH("CAT US Equity","EBITDA","FQ4 2025","FQ4 2025","Currency=USD","Period=FQ","BEST_FPERIOD_OVERRIDE=FQ","FILING_STATUS=MR","SCALING_FORMAT=MLN","FA_ADJUSTED=Adjusted","Sort=A","Dates=H","DateFormat=P","Fill=—","Direction=H","UseDPDF=Y")</f>
        <v>3577</v>
      </c>
      <c r="AE64" s="13">
        <v>3209.375</v>
      </c>
      <c r="AF64" s="13">
        <v>3864.5</v>
      </c>
    </row>
    <row r="65" spans="1:32" x14ac:dyDescent="0.25">
      <c r="A65" s="10" t="s">
        <v>170</v>
      </c>
      <c r="B65" s="10" t="s">
        <v>171</v>
      </c>
      <c r="C65" s="14" cm="1">
        <f t="array" ref="C65">_xll.BDH("CAT US Equity","EBITDA_MARGIN","FQ1 2019","FQ1 2019","Currency=USD","Period=FQ","BEST_FPERIOD_OVERRIDE=FQ","FILING_STATUS=MR","FA_ADJUSTED=Adjusted","Sort=A","Dates=H","DateFormat=P","Fill=—","Direction=H","UseDPDF=Y")</f>
        <v>20.869700000000002</v>
      </c>
      <c r="D65" s="14" cm="1">
        <f t="array" ref="D65">_xll.BDH("CAT US Equity","EBITDA_MARGIN","FQ2 2019","FQ2 2019","Currency=USD","Period=FQ","BEST_FPERIOD_OVERRIDE=FQ","FILING_STATUS=MR","FA_ADJUSTED=Adjusted","Sort=A","Dates=H","DateFormat=P","Fill=—","Direction=H","UseDPDF=Y")</f>
        <v>20.814299999999999</v>
      </c>
      <c r="E65" s="14" cm="1">
        <f t="array" ref="E65">_xll.BDH("CAT US Equity","EBITDA_MARGIN","FQ3 2019","FQ3 2019","Currency=USD","Period=FQ","BEST_FPERIOD_OVERRIDE=FQ","FILING_STATUS=MR","FA_ADJUSTED=Adjusted","Sort=A","Dates=H","DateFormat=P","Fill=—","Direction=H","UseDPDF=Y")</f>
        <v>20.757100000000001</v>
      </c>
      <c r="F65" s="14" cm="1">
        <f t="array" ref="F65">_xll.BDH("CAT US Equity","EBITDA_MARGIN","FQ4 2019","FQ4 2019","Currency=USD","Period=FQ","BEST_FPERIOD_OVERRIDE=FQ","FILING_STATUS=MR","FA_ADJUSTED=Adjusted","Sort=A","Dates=H","DateFormat=P","Fill=—","Direction=H","UseDPDF=Y")</f>
        <v>21.081800000000001</v>
      </c>
      <c r="G65" s="14" cm="1">
        <f t="array" ref="G65">_xll.BDH("CAT US Equity","EBITDA_MARGIN","FQ1 2020","FQ1 2020","Currency=USD","Period=FQ","BEST_FPERIOD_OVERRIDE=FQ","FILING_STATUS=MR","FA_ADJUSTED=Adjusted","Sort=A","Dates=H","DateFormat=P","Fill=—","Direction=H","UseDPDF=Y")</f>
        <v>20.4772</v>
      </c>
      <c r="H65" s="14" cm="1">
        <f t="array" ref="H65">_xll.BDH("CAT US Equity","EBITDA_MARGIN","FQ2 2020","FQ2 2020","Currency=USD","Period=FQ","BEST_FPERIOD_OVERRIDE=FQ","FILING_STATUS=MR","FA_ADJUSTED=Adjusted","Sort=A","Dates=H","DateFormat=P","Fill=—","Direction=H","UseDPDF=Y")</f>
        <v>19.237500000000001</v>
      </c>
      <c r="I65" s="14" cm="1">
        <f t="array" ref="I65">_xll.BDH("CAT US Equity","EBITDA_MARGIN","FQ3 2020","FQ3 2020","Currency=USD","Period=FQ","BEST_FPERIOD_OVERRIDE=FQ","FILING_STATUS=MR","FA_ADJUSTED=Adjusted","Sort=A","Dates=H","DateFormat=P","Fill=—","Direction=H","UseDPDF=Y")</f>
        <v>18.065799999999999</v>
      </c>
      <c r="J65" s="14" cm="1">
        <f t="array" ref="J65">_xll.BDH("CAT US Equity","EBITDA_MARGIN","FQ4 2020","FQ4 2020","Currency=USD","Period=FQ","BEST_FPERIOD_OVERRIDE=FQ","FILING_STATUS=MR","FA_ADJUSTED=Adjusted","Sort=A","Dates=H","DateFormat=P","Fill=—","Direction=H","UseDPDF=Y")</f>
        <v>17.5793</v>
      </c>
      <c r="K65" s="14" cm="1">
        <f t="array" ref="K65">_xll.BDH("CAT US Equity","EBITDA_MARGIN","FQ1 2021","FQ1 2021","Currency=USD","Period=FQ","BEST_FPERIOD_OVERRIDE=FQ","FILING_STATUS=MR","FA_ADJUSTED=Adjusted","Sort=A","Dates=H","DateFormat=P","Fill=—","Direction=H","UseDPDF=Y")</f>
        <v>18.018599999999999</v>
      </c>
      <c r="L65" s="14" cm="1">
        <f t="array" ref="L65">_xll.BDH("CAT US Equity","EBITDA_MARGIN","FQ2 2021","FQ2 2021","Currency=USD","Period=FQ","BEST_FPERIOD_OVERRIDE=FQ","FILING_STATUS=MR","FA_ADJUSTED=Adjusted","Sort=A","Dates=H","DateFormat=P","Fill=—","Direction=H","UseDPDF=Y")</f>
        <v>18.761399999999998</v>
      </c>
      <c r="M65" s="14" cm="1">
        <f t="array" ref="M65">_xll.BDH("CAT US Equity","EBITDA_MARGIN","FQ3 2021","FQ3 2021","Currency=USD","Period=FQ","BEST_FPERIOD_OVERRIDE=FQ","FILING_STATUS=MR","FA_ADJUSTED=Adjusted","Sort=A","Dates=H","DateFormat=P","Fill=—","Direction=H","UseDPDF=Y")</f>
        <v>19.029900000000001</v>
      </c>
      <c r="N65" s="14" cm="1">
        <f t="array" ref="N65">_xll.BDH("CAT US Equity","EBITDA_MARGIN","FQ4 2021","FQ4 2021","Currency=USD","Period=FQ","BEST_FPERIOD_OVERRIDE=FQ","FILING_STATUS=MR","FA_ADJUSTED=Adjusted","Sort=A","Dates=H","DateFormat=P","Fill=—","Direction=H","UseDPDF=Y")</f>
        <v>18.2849</v>
      </c>
      <c r="O65" s="14" cm="1">
        <f t="array" ref="O65">_xll.BDH("CAT US Equity","EBITDA_MARGIN","FQ1 2022","FQ1 2022","Currency=USD","Period=FQ","BEST_FPERIOD_OVERRIDE=FQ","FILING_STATUS=MR","FA_ADJUSTED=Adjusted","Sort=A","Dates=H","DateFormat=P","Fill=—","Direction=H","UseDPDF=Y")</f>
        <v>17.62</v>
      </c>
      <c r="P65" s="14" cm="1">
        <f t="array" ref="P65">_xll.BDH("CAT US Equity","EBITDA_MARGIN","FQ2 2022","FQ2 2022","Currency=USD","Period=FQ","BEST_FPERIOD_OVERRIDE=FQ","FILING_STATUS=MR","FA_ADJUSTED=Adjusted","Sort=A","Dates=H","DateFormat=P","Fill=—","Direction=H","UseDPDF=Y")</f>
        <v>17.406700000000001</v>
      </c>
      <c r="Q65" s="14" cm="1">
        <f t="array" ref="Q65">_xll.BDH("CAT US Equity","EBITDA_MARGIN","FQ3 2022","FQ3 2022","Currency=USD","Period=FQ","BEST_FPERIOD_OVERRIDE=FQ","FILING_STATUS=MR","FA_ADJUSTED=Adjusted","Sort=A","Dates=H","DateFormat=P","Fill=—","Direction=H","UseDPDF=Y")</f>
        <v>17.902799999999999</v>
      </c>
      <c r="R65" s="14" cm="1">
        <f t="array" ref="R65">_xll.BDH("CAT US Equity","EBITDA_MARGIN","FQ4 2022","FQ4 2022","Currency=USD","Period=FQ","BEST_FPERIOD_OVERRIDE=FQ","FILING_STATUS=MR","FA_ADJUSTED=Adjusted","Sort=A","Dates=H","DateFormat=P","Fill=—","Direction=H","UseDPDF=Y")</f>
        <v>19.094000000000001</v>
      </c>
      <c r="S65" s="14" cm="1">
        <f t="array" ref="S65">_xll.BDH("CAT US Equity","EBITDA_MARGIN","FQ1 2023","FQ1 2023","Currency=USD","Period=FQ","BEST_FPERIOD_OVERRIDE=FQ","FILING_STATUS=MR","FA_ADJUSTED=Adjusted","Sort=A","Dates=H","DateFormat=P","Fill=—","Direction=H","UseDPDF=Y")</f>
        <v>21.6661</v>
      </c>
      <c r="T65" s="14" cm="1">
        <f t="array" ref="T65">_xll.BDH("CAT US Equity","EBITDA_MARGIN","FQ2 2023","FQ2 2023","Currency=USD","Period=FQ","BEST_FPERIOD_OVERRIDE=FQ","FILING_STATUS=MR","FA_ADJUSTED=Adjusted","Sort=A","Dates=H","DateFormat=P","Fill=—","Direction=H","UseDPDF=Y")</f>
        <v>23.263500000000001</v>
      </c>
      <c r="U65" s="14" cm="1">
        <f t="array" ref="U65">_xll.BDH("CAT US Equity","EBITDA_MARGIN","FQ3 2023","FQ3 2023","Currency=USD","Period=FQ","BEST_FPERIOD_OVERRIDE=FQ","FILING_STATUS=MR","FA_ADJUSTED=Adjusted","Sort=A","Dates=H","DateFormat=P","Fill=—","Direction=H","UseDPDF=Y")</f>
        <v>24.1233</v>
      </c>
      <c r="V65" s="14" cm="1">
        <f t="array" ref="V65">_xll.BDH("CAT US Equity","EBITDA_MARGIN","FQ4 2023","FQ4 2023","Currency=USD","Period=FQ","BEST_FPERIOD_OVERRIDE=FQ","FILING_STATUS=MR","FA_ADJUSTED=Adjusted","Sort=A","Dates=H","DateFormat=P","Fill=—","Direction=H","UseDPDF=Y")</f>
        <v>24.548200000000001</v>
      </c>
      <c r="W65" s="14" cm="1">
        <f t="array" ref="W65">_xll.BDH("CAT US Equity","EBITDA_MARGIN","FQ1 2024","FQ1 2024","Currency=USD","Period=FQ","BEST_FPERIOD_OVERRIDE=FQ","FILING_STATUS=MR","FA_ADJUSTED=Adjusted","Sort=A","Dates=H","DateFormat=P","Fill=—","Direction=H","UseDPDF=Y")</f>
        <v>23.960799999999999</v>
      </c>
      <c r="X65" s="14" cm="1">
        <f t="array" ref="X65">_xll.BDH("CAT US Equity","EBITDA_MARGIN","FQ2 2024","FQ2 2024","Currency=USD","Period=FQ","BEST_FPERIOD_OVERRIDE=FQ","FILING_STATUS=MR","FA_ADJUSTED=Adjusted","Sort=A","Dates=H","DateFormat=P","Fill=—","Direction=H","UseDPDF=Y")</f>
        <v>24.6007</v>
      </c>
      <c r="Y65" s="14" cm="1">
        <f t="array" ref="Y65">_xll.BDH("CAT US Equity","EBITDA_MARGIN","FQ3 2024","FQ3 2024","Currency=USD","Period=FQ","BEST_FPERIOD_OVERRIDE=FQ","FILING_STATUS=MR","FA_ADJUSTED=Adjusted","Sort=A","Dates=H","DateFormat=P","Fill=—","Direction=H","UseDPDF=Y")</f>
        <v>24.468499999999999</v>
      </c>
      <c r="Z65" s="14" cm="1">
        <f t="array" ref="Z65">_xll.BDH("CAT US Equity","EBITDA_MARGIN","FQ4 2024","FQ4 2024","Currency=USD","Period=FQ","BEST_FPERIOD_OVERRIDE=FQ","FILING_STATUS=MR","FA_ADJUSTED=Adjusted","Sort=A","Dates=H","DateFormat=P","Fill=—","Direction=H","UseDPDF=Y")</f>
        <v>24.3978</v>
      </c>
      <c r="AA65" s="14" cm="1">
        <f t="array" ref="AA65">_xll.BDH("CAT US Equity","EBITDA_MARGIN","FQ1 2025","FQ1 2025","Currency=USD","Period=FQ","BEST_FPERIOD_OVERRIDE=FQ","FILING_STATUS=MR","FA_ADJUSTED=Adjusted","Sort=A","Dates=H","DateFormat=P","Fill=—","Direction=H","UseDPDF=Y")</f>
        <v>23.596599999999999</v>
      </c>
      <c r="AB65" s="14" cm="1">
        <f t="array" ref="AB65">_xll.BDH("CAT US Equity","EBITDA_MARGIN","FQ2 2025","FQ2 2025","Currency=USD","Period=FQ","BEST_FPERIOD_OVERRIDE=FQ","FILING_STATUS=MR","FA_ADJUSTED=Adjusted","Sort=A","Dates=H","DateFormat=P","Fill=—","Direction=H","UseDPDF=Y")</f>
        <v>22.011800000000001</v>
      </c>
      <c r="AC65" s="14" cm="1">
        <f t="array" ref="AC65">_xll.BDH("CAT US Equity","EBITDA_MARGIN","FQ3 2025","FQ3 2025","Currency=USD","Period=FQ","BEST_FPERIOD_OVERRIDE=FQ","FILING_STATUS=MR","FA_ADJUSTED=Adjusted","Sort=A","Dates=H","DateFormat=P","Fill=—","Direction=H","UseDPDF=Y")</f>
        <v>21.334099999999999</v>
      </c>
      <c r="AD65" s="14" cm="1">
        <f t="array" ref="AD65">_xll.BDH("CAT US Equity","EBITDA_MARGIN","FQ4 2025","FQ4 2025","Currency=USD","Period=FQ","BEST_FPERIOD_OVERRIDE=FQ","FILING_STATUS=MR","FA_ADJUSTED=Adjusted","Sort=A","Dates=H","DateFormat=P","Fill=—","Direction=H","UseDPDF=Y")</f>
        <v>20.503299999999999</v>
      </c>
      <c r="AE65" s="14">
        <v>22.228585873048701</v>
      </c>
      <c r="AF65" s="14">
        <v>22.930047817293701</v>
      </c>
    </row>
    <row r="66" spans="1:32" x14ac:dyDescent="0.25">
      <c r="A66" s="10" t="s">
        <v>172</v>
      </c>
      <c r="B66" s="10" t="s">
        <v>172</v>
      </c>
      <c r="C66" s="13" cm="1">
        <f t="array" ref="C66">_xll.BDH("CAT US Equity","EBITA","FQ1 2019","FQ1 2019","Currency=USD","Period=FQ","BEST_FPERIOD_OVERRIDE=FQ","FILING_STATUS=MR","SCALING_FORMAT=MLN","FA_ADJUSTED=Adjusted","Sort=A","Dates=H","DateFormat=P","Fill=—","Direction=H","UseDPDF=Y")</f>
        <v>2401</v>
      </c>
      <c r="D66" s="13" cm="1">
        <f t="array" ref="D66">_xll.BDH("CAT US Equity","EBITA","FQ2 2019","FQ2 2019","Currency=USD","Period=FQ","BEST_FPERIOD_OVERRIDE=FQ","FILING_STATUS=MR","SCALING_FORMAT=MLN","FA_ADJUSTED=Adjusted","Sort=A","Dates=H","DateFormat=P","Fill=—","Direction=H","UseDPDF=Y")</f>
        <v>2458</v>
      </c>
      <c r="E66" s="13" cm="1">
        <f t="array" ref="E66">_xll.BDH("CAT US Equity","EBITA","FQ3 2019","FQ3 2019","Currency=USD","Period=FQ","BEST_FPERIOD_OVERRIDE=FQ","FILING_STATUS=MR","SCALING_FORMAT=MLN","FA_ADJUSTED=Adjusted","Sort=A","Dates=H","DateFormat=P","Fill=—","Direction=H","UseDPDF=Y")</f>
        <v>2110</v>
      </c>
      <c r="F66" s="13" cm="1">
        <f t="array" ref="F66">_xll.BDH("CAT US Equity","EBITA","FQ4 2019","FQ4 2019","Currency=USD","Period=FQ","BEST_FPERIOD_OVERRIDE=FQ","FILING_STATUS=MR","SCALING_FORMAT=MLN","FA_ADJUSTED=Adjusted","Sort=A","Dates=H","DateFormat=P","Fill=—","Direction=H","UseDPDF=Y")</f>
        <v>2283</v>
      </c>
      <c r="G66" s="13" cm="1">
        <f t="array" ref="G66">_xll.BDH("CAT US Equity","EBITA","FQ1 2020","FQ1 2020","Currency=USD","Period=FQ","BEST_FPERIOD_OVERRIDE=FQ","FILING_STATUS=MR","SCALING_FORMAT=MLN","FA_ADJUSTED=Adjusted","Sort=A","Dates=H","DateFormat=P","Fill=—","Direction=H","UseDPDF=Y")</f>
        <v>1521</v>
      </c>
      <c r="H66" s="13" cm="1">
        <f t="array" ref="H66">_xll.BDH("CAT US Equity","EBITA","FQ2 2020","FQ2 2020","Currency=USD","Period=FQ","BEST_FPERIOD_OVERRIDE=FQ","FILING_STATUS=MR","SCALING_FORMAT=MLN","FA_ADJUSTED=Adjusted","Sort=A","Dates=H","DateFormat=P","Fill=—","Direction=H","UseDPDF=Y")</f>
        <v>1009</v>
      </c>
      <c r="I66" s="13" cm="1">
        <f t="array" ref="I66">_xll.BDH("CAT US Equity","EBITA","FQ3 2020","FQ3 2020","Currency=USD","Period=FQ","BEST_FPERIOD_OVERRIDE=FQ","FILING_STATUS=MR","SCALING_FORMAT=MLN","FA_ADJUSTED=Adjusted","Sort=A","Dates=H","DateFormat=P","Fill=—","Direction=H","UseDPDF=Y")</f>
        <v>1097</v>
      </c>
      <c r="J66" s="13" cm="1">
        <f t="array" ref="J66">_xll.BDH("CAT US Equity","EBITA","FQ4 2020","FQ4 2020","Currency=USD","Period=FQ","BEST_FPERIOD_OVERRIDE=FQ","FILING_STATUS=MR","SCALING_FORMAT=MLN","FA_ADJUSTED=Adjusted","Sort=A","Dates=H","DateFormat=P","Fill=—","Direction=H","UseDPDF=Y")</f>
        <v>1748</v>
      </c>
      <c r="K66" s="13" cm="1">
        <f t="array" ref="K66">_xll.BDH("CAT US Equity","EBITA","FQ1 2021","FQ1 2021","Currency=USD","Period=FQ","BEST_FPERIOD_OVERRIDE=FQ","FILING_STATUS=MR","SCALING_FORMAT=MLN","FA_ADJUSTED=Adjusted","Sort=A","Dates=H","DateFormat=P","Fill=—","Direction=H","UseDPDF=Y")</f>
        <v>1955</v>
      </c>
      <c r="L66" s="13" cm="1">
        <f t="array" ref="L66">_xll.BDH("CAT US Equity","EBITA","FQ2 2021","FQ2 2021","Currency=USD","Period=FQ","BEST_FPERIOD_OVERRIDE=FQ","FILING_STATUS=MR","SCALING_FORMAT=MLN","FA_ADJUSTED=Adjusted","Sort=A","Dates=H","DateFormat=P","Fill=—","Direction=H","UseDPDF=Y")</f>
        <v>1890</v>
      </c>
      <c r="M66" s="13" cm="1">
        <f t="array" ref="M66">_xll.BDH("CAT US Equity","EBITA","FQ3 2021","FQ3 2021","Currency=USD","Period=FQ","BEST_FPERIOD_OVERRIDE=FQ","FILING_STATUS=MR","SCALING_FORMAT=MLN","FA_ADJUSTED=Adjusted","Sort=A","Dates=H","DateFormat=P","Fill=—","Direction=H","UseDPDF=Y")</f>
        <v>1774</v>
      </c>
      <c r="N66" s="13" cm="1">
        <f t="array" ref="N66">_xll.BDH("CAT US Equity","EBITA","FQ4 2021","FQ4 2021","Currency=USD","Period=FQ","BEST_FPERIOD_OVERRIDE=FQ","FILING_STATUS=MR","SCALING_FORMAT=MLN","FA_ADJUSTED=Adjusted","Sort=A","Dates=H","DateFormat=P","Fill=—","Direction=H","UseDPDF=Y")</f>
        <v>1879</v>
      </c>
      <c r="O66" s="13" cm="1">
        <f t="array" ref="O66">_xll.BDH("CAT US Equity","EBITA","FQ1 2022","FQ1 2022","Currency=USD","Period=FQ","BEST_FPERIOD_OVERRIDE=FQ","FILING_STATUS=MR","SCALING_FORMAT=MLN","FA_ADJUSTED=Adjusted","Sort=A","Dates=H","DateFormat=P","Fill=—","Direction=H","UseDPDF=Y")</f>
        <v>1940</v>
      </c>
      <c r="P66" s="13" cm="1">
        <f t="array" ref="P66">_xll.BDH("CAT US Equity","EBITA","FQ2 2022","FQ2 2022","Currency=USD","Period=FQ","BEST_FPERIOD_OVERRIDE=FQ","FILING_STATUS=MR","SCALING_FORMAT=MLN","FA_ADJUSTED=Adjusted","Sort=A","Dates=H","DateFormat=P","Fill=—","Direction=H","UseDPDF=Y")</f>
        <v>2043</v>
      </c>
      <c r="Q66" s="13" cm="1">
        <f t="array" ref="Q66">_xll.BDH("CAT US Equity","EBITA","FQ3 2022","FQ3 2022","Currency=USD","Period=FQ","BEST_FPERIOD_OVERRIDE=FQ","FILING_STATUS=MR","SCALING_FORMAT=MLN","FA_ADJUSTED=Adjusted","Sort=A","Dates=H","DateFormat=P","Fill=—","Direction=H","UseDPDF=Y")</f>
        <v>2544</v>
      </c>
      <c r="R66" s="13" cm="1">
        <f t="array" ref="R66">_xll.BDH("CAT US Equity","EBITA","FQ4 2022","FQ4 2022","Currency=USD","Period=FQ","BEST_FPERIOD_OVERRIDE=FQ","FILING_STATUS=MR","SCALING_FORMAT=MLN","FA_ADJUSTED=Adjusted","Sort=A","Dates=H","DateFormat=P","Fill=—","Direction=H","UseDPDF=Y")</f>
        <v>3097</v>
      </c>
      <c r="S66" s="13" cm="1">
        <f t="array" ref="S66">_xll.BDH("CAT US Equity","EBITA","FQ1 2023","FQ1 2023","Currency=USD","Period=FQ","BEST_FPERIOD_OVERRIDE=FQ","FILING_STATUS=MR","SCALING_FORMAT=MLN","FA_ADJUSTED=Adjusted","Sort=A","Dates=H","DateFormat=P","Fill=—","Direction=H","UseDPDF=Y")</f>
        <v>3980</v>
      </c>
      <c r="T66" s="13" cm="1">
        <f t="array" ref="T66">_xll.BDH("CAT US Equity","EBITA","FQ2 2023","FQ2 2023","Currency=USD","Period=FQ","BEST_FPERIOD_OVERRIDE=FQ","FILING_STATUS=MR","SCALING_FORMAT=MLN","FA_ADJUSTED=Adjusted","Sort=A","Dates=H","DateFormat=P","Fill=—","Direction=H","UseDPDF=Y")</f>
        <v>3747</v>
      </c>
      <c r="U66" s="13" cm="1">
        <f t="array" ref="U66">_xll.BDH("CAT US Equity","EBITA","FQ3 2023","FQ3 2023","Currency=USD","Period=FQ","BEST_FPERIOD_OVERRIDE=FQ","FILING_STATUS=MR","SCALING_FORMAT=MLN","FA_ADJUSTED=Adjusted","Sort=A","Dates=H","DateFormat=P","Fill=—","Direction=H","UseDPDF=Y")</f>
        <v>3539</v>
      </c>
      <c r="V66" s="13" cm="1">
        <f t="array" ref="V66">_xll.BDH("CAT US Equity","EBITA","FQ4 2023","FQ4 2023","Currency=USD","Period=FQ","BEST_FPERIOD_OVERRIDE=FQ","FILING_STATUS=MR","SCALING_FORMAT=MLN","FA_ADJUSTED=Adjusted","Sort=A","Dates=H","DateFormat=P","Fill=—","Direction=H","UseDPDF=Y")</f>
        <v>3270</v>
      </c>
      <c r="W66" s="13" cm="1">
        <f t="array" ref="W66">_xll.BDH("CAT US Equity","EBITA","FQ1 2024","FQ1 2024","Currency=USD","Period=FQ","BEST_FPERIOD_OVERRIDE=FQ","FILING_STATUS=MR","SCALING_FORMAT=MLN","FA_ADJUSTED=Adjusted","Sort=A","Dates=H","DateFormat=P","Fill=—","Direction=H","UseDPDF=Y")</f>
        <v>3557</v>
      </c>
      <c r="X66" s="13" cm="1">
        <f t="array" ref="X66">_xll.BDH("CAT US Equity","EBITA","FQ2 2024","FQ2 2024","Currency=USD","Period=FQ","BEST_FPERIOD_OVERRIDE=FQ","FILING_STATUS=MR","SCALING_FORMAT=MLN","FA_ADJUSTED=Adjusted","Sort=A","Dates=H","DateFormat=P","Fill=—","Direction=H","UseDPDF=Y")</f>
        <v>4011</v>
      </c>
      <c r="Y66" s="13" cm="1">
        <f t="array" ref="Y66">_xll.BDH("CAT US Equity","EBITA","FQ3 2024","FQ3 2024","Currency=USD","Period=FQ","BEST_FPERIOD_OVERRIDE=FQ","FILING_STATUS=MR","SCALING_FORMAT=MLN","FA_ADJUSTED=Adjusted","Sort=A","Dates=H","DateFormat=P","Fill=—","Direction=H","UseDPDF=Y")</f>
        <v>3261</v>
      </c>
      <c r="Z66" s="13" cm="1">
        <f t="array" ref="Z66">_xll.BDH("CAT US Equity","EBITA","FQ4 2024","FQ4 2024","Currency=USD","Period=FQ","BEST_FPERIOD_OVERRIDE=FQ","FILING_STATUS=MR","SCALING_FORMAT=MLN","FA_ADJUSTED=Adjusted","Sort=A","Dates=H","DateFormat=P","Fill=—","Direction=H","UseDPDF=Y")</f>
        <v>3137</v>
      </c>
      <c r="AA66" s="13" cm="1">
        <f t="array" ref="AA66">_xll.BDH("CAT US Equity","EBITA","FQ1 2025","FQ1 2025","Currency=USD","Period=FQ","BEST_FPERIOD_OVERRIDE=FQ","FILING_STATUS=MR","SCALING_FORMAT=MLN","FA_ADJUSTED=Adjusted","Sort=A","Dates=H","DateFormat=P","Fill=—","Direction=H","UseDPDF=Y")</f>
        <v>2656</v>
      </c>
      <c r="AB66" s="13" cm="1">
        <f t="array" ref="AB66">_xll.BDH("CAT US Equity","EBITA","FQ2 2025","FQ2 2025","Currency=USD","Period=FQ","BEST_FPERIOD_OVERRIDE=FQ","FILING_STATUS=MR","SCALING_FORMAT=MLN","FA_ADJUSTED=Adjusted","Sort=A","Dates=H","DateFormat=P","Fill=—","Direction=H","UseDPDF=Y")</f>
        <v>2959</v>
      </c>
      <c r="AC66" s="13" cm="1">
        <f t="array" ref="AC66">_xll.BDH("CAT US Equity","EBITA","FQ3 2025","FQ3 2025","Currency=USD","Period=FQ","BEST_FPERIOD_OVERRIDE=FQ","FILING_STATUS=MR","SCALING_FORMAT=MLN","FA_ADJUSTED=Adjusted","Sort=A","Dates=H","DateFormat=P","Fill=—","Direction=H","UseDPDF=Y")</f>
        <v>3130</v>
      </c>
      <c r="AD66" s="13" cm="1">
        <f t="array" ref="AD66">_xll.BDH("CAT US Equity","EBITA","FQ4 2025","FQ4 2025","Currency=USD","Period=FQ","BEST_FPERIOD_OVERRIDE=FQ","FILING_STATUS=MR","SCALING_FORMAT=MLN","FA_ADJUSTED=Adjusted","Sort=A","Dates=H","DateFormat=P","Fill=—","Direction=H","UseDPDF=Y")</f>
        <v>3020</v>
      </c>
      <c r="AE66" s="13"/>
      <c r="AF66" s="13"/>
    </row>
    <row r="67" spans="1:32" x14ac:dyDescent="0.25">
      <c r="A67" s="10" t="s">
        <v>173</v>
      </c>
      <c r="B67" s="10" t="s">
        <v>173</v>
      </c>
      <c r="C67" s="13" cm="1">
        <f t="array" ref="C67">_xll.BDH("CAT US Equity","EBIT","FQ1 2019","FQ1 2019","Currency=USD","Period=FQ","BEST_FPERIOD_OVERRIDE=FQ","FILING_STATUS=MR","SCALING_FORMAT=MLN","FA_ADJUSTED=Adjusted","Sort=A","Dates=H","DateFormat=P","Fill=—","Direction=H","UseDPDF=Y")</f>
        <v>2255</v>
      </c>
      <c r="D67" s="13" cm="1">
        <f t="array" ref="D67">_xll.BDH("CAT US Equity","EBIT","FQ2 2019","FQ2 2019","Currency=USD","Period=FQ","BEST_FPERIOD_OVERRIDE=FQ","FILING_STATUS=MR","SCALING_FORMAT=MLN","FA_ADJUSTED=Adjusted","Sort=A","Dates=H","DateFormat=P","Fill=—","Direction=H","UseDPDF=Y")</f>
        <v>2323</v>
      </c>
      <c r="E67" s="13" cm="1">
        <f t="array" ref="E67">_xll.BDH("CAT US Equity","EBIT","FQ3 2019","FQ3 2019","Currency=USD","Period=FQ","BEST_FPERIOD_OVERRIDE=FQ","FILING_STATUS=MR","SCALING_FORMAT=MLN","FA_ADJUSTED=Adjusted","Sort=A","Dates=H","DateFormat=P","Fill=—","Direction=H","UseDPDF=Y")</f>
        <v>2051</v>
      </c>
      <c r="F67" s="13" cm="1">
        <f t="array" ref="F67">_xll.BDH("CAT US Equity","EBIT","FQ4 2019","FQ4 2019","Currency=USD","Period=FQ","BEST_FPERIOD_OVERRIDE=FQ","FILING_STATUS=MR","SCALING_FORMAT=MLN","FA_ADJUSTED=Adjusted","Sort=A","Dates=H","DateFormat=P","Fill=—","Direction=H","UseDPDF=Y")</f>
        <v>1904</v>
      </c>
      <c r="G67" s="13" cm="1">
        <f t="array" ref="G67">_xll.BDH("CAT US Equity","EBIT","FQ1 2020","FQ1 2020","Currency=USD","Period=FQ","BEST_FPERIOD_OVERRIDE=FQ","FILING_STATUS=MR","SCALING_FORMAT=MLN","FA_ADJUSTED=Adjusted","Sort=A","Dates=H","DateFormat=P","Fill=—","Direction=H","UseDPDF=Y")</f>
        <v>1441</v>
      </c>
      <c r="H67" s="13" cm="1">
        <f t="array" ref="H67">_xll.BDH("CAT US Equity","EBIT","FQ2 2020","FQ2 2020","Currency=USD","Period=FQ","BEST_FPERIOD_OVERRIDE=FQ","FILING_STATUS=MR","SCALING_FORMAT=MLN","FA_ADJUSTED=Adjusted","Sort=A","Dates=H","DateFormat=P","Fill=—","Direction=H","UseDPDF=Y")</f>
        <v>931</v>
      </c>
      <c r="I67" s="13" cm="1">
        <f t="array" ref="I67">_xll.BDH("CAT US Equity","EBIT","FQ3 2020","FQ3 2020","Currency=USD","Period=FQ","BEST_FPERIOD_OVERRIDE=FQ","FILING_STATUS=MR","SCALING_FORMAT=MLN","FA_ADJUSTED=Adjusted","Sort=A","Dates=H","DateFormat=P","Fill=—","Direction=H","UseDPDF=Y")</f>
        <v>1097</v>
      </c>
      <c r="J67" s="13" cm="1">
        <f t="array" ref="J67">_xll.BDH("CAT US Equity","EBIT","FQ4 2020","FQ4 2020","Currency=USD","Period=FQ","BEST_FPERIOD_OVERRIDE=FQ","FILING_STATUS=MR","SCALING_FORMAT=MLN","FA_ADJUSTED=Adjusted","Sort=A","Dates=H","DateFormat=P","Fill=—","Direction=H","UseDPDF=Y")</f>
        <v>1438</v>
      </c>
      <c r="K67" s="13" cm="1">
        <f t="array" ref="K67">_xll.BDH("CAT US Equity","EBIT","FQ1 2021","FQ1 2021","Currency=USD","Period=FQ","BEST_FPERIOD_OVERRIDE=FQ","FILING_STATUS=MR","SCALING_FORMAT=MLN","FA_ADJUSTED=Adjusted","Sort=A","Dates=H","DateFormat=P","Fill=—","Direction=H","UseDPDF=Y")</f>
        <v>1878</v>
      </c>
      <c r="L67" s="13" cm="1">
        <f t="array" ref="L67">_xll.BDH("CAT US Equity","EBIT","FQ2 2021","FQ2 2021","Currency=USD","Period=FQ","BEST_FPERIOD_OVERRIDE=FQ","FILING_STATUS=MR","SCALING_FORMAT=MLN","FA_ADJUSTED=Adjusted","Sort=A","Dates=H","DateFormat=P","Fill=—","Direction=H","UseDPDF=Y")</f>
        <v>1814</v>
      </c>
      <c r="M67" s="13" cm="1">
        <f t="array" ref="M67">_xll.BDH("CAT US Equity","EBIT","FQ3 2021","FQ3 2021","Currency=USD","Period=FQ","BEST_FPERIOD_OVERRIDE=FQ","FILING_STATUS=MR","SCALING_FORMAT=MLN","FA_ADJUSTED=Adjusted","Sort=A","Dates=H","DateFormat=P","Fill=—","Direction=H","UseDPDF=Y")</f>
        <v>1699</v>
      </c>
      <c r="N67" s="13" cm="1">
        <f t="array" ref="N67">_xll.BDH("CAT US Equity","EBIT","FQ4 2021","FQ4 2021","Currency=USD","Period=FQ","BEST_FPERIOD_OVERRIDE=FQ","FILING_STATUS=MR","SCALING_FORMAT=MLN","FA_ADJUSTED=Adjusted","Sort=A","Dates=H","DateFormat=P","Fill=—","Direction=H","UseDPDF=Y")</f>
        <v>1577</v>
      </c>
      <c r="O67" s="13" cm="1">
        <f t="array" ref="O67">_xll.BDH("CAT US Equity","EBIT","FQ1 2022","FQ1 2022","Currency=USD","Period=FQ","BEST_FPERIOD_OVERRIDE=FQ","FILING_STATUS=MR","SCALING_FORMAT=MLN","FA_ADJUSTED=Adjusted","Sort=A","Dates=H","DateFormat=P","Fill=—","Direction=H","UseDPDF=Y")</f>
        <v>1868</v>
      </c>
      <c r="P67" s="13" cm="1">
        <f t="array" ref="P67">_xll.BDH("CAT US Equity","EBIT","FQ2 2022","FQ2 2022","Currency=USD","Period=FQ","BEST_FPERIOD_OVERRIDE=FQ","FILING_STATUS=MR","SCALING_FORMAT=MLN","FA_ADJUSTED=Adjusted","Sort=A","Dates=H","DateFormat=P","Fill=—","Direction=H","UseDPDF=Y")</f>
        <v>1972</v>
      </c>
      <c r="Q67" s="13" cm="1">
        <f t="array" ref="Q67">_xll.BDH("CAT US Equity","EBIT","FQ3 2022","FQ3 2022","Currency=USD","Period=FQ","BEST_FPERIOD_OVERRIDE=FQ","FILING_STATUS=MR","SCALING_FORMAT=MLN","FA_ADJUSTED=Adjusted","Sort=A","Dates=H","DateFormat=P","Fill=—","Direction=H","UseDPDF=Y")</f>
        <v>2474</v>
      </c>
      <c r="R67" s="13" cm="1">
        <f t="array" ref="R67">_xll.BDH("CAT US Equity","EBIT","FQ4 2022","FQ4 2022","Currency=USD","Period=FQ","BEST_FPERIOD_OVERRIDE=FQ","FILING_STATUS=MR","SCALING_FORMAT=MLN","FA_ADJUSTED=Adjusted","Sort=A","Dates=H","DateFormat=P","Fill=—","Direction=H","UseDPDF=Y")</f>
        <v>2814</v>
      </c>
      <c r="S67" s="13" cm="1">
        <f t="array" ref="S67">_xll.BDH("CAT US Equity","EBIT","FQ1 2023","FQ1 2023","Currency=USD","Period=FQ","BEST_FPERIOD_OVERRIDE=FQ","FILING_STATUS=MR","SCALING_FORMAT=MLN","FA_ADJUSTED=Adjusted","Sort=A","Dates=H","DateFormat=P","Fill=—","Direction=H","UseDPDF=Y")</f>
        <v>3914</v>
      </c>
      <c r="T67" s="13" cm="1">
        <f t="array" ref="T67">_xll.BDH("CAT US Equity","EBIT","FQ2 2023","FQ2 2023","Currency=USD","Period=FQ","BEST_FPERIOD_OVERRIDE=FQ","FILING_STATUS=MR","SCALING_FORMAT=MLN","FA_ADJUSTED=Adjusted","Sort=A","Dates=H","DateFormat=P","Fill=—","Direction=H","UseDPDF=Y")</f>
        <v>3683</v>
      </c>
      <c r="U67" s="13" cm="1">
        <f t="array" ref="U67">_xll.BDH("CAT US Equity","EBIT","FQ3 2023","FQ3 2023","Currency=USD","Period=FQ","BEST_FPERIOD_OVERRIDE=FQ","FILING_STATUS=MR","SCALING_FORMAT=MLN","FA_ADJUSTED=Adjusted","Sort=A","Dates=H","DateFormat=P","Fill=—","Direction=H","UseDPDF=Y")</f>
        <v>3495</v>
      </c>
      <c r="V67" s="13" cm="1">
        <f t="array" ref="V67">_xll.BDH("CAT US Equity","EBIT","FQ4 2023","FQ4 2023","Currency=USD","Period=FQ","BEST_FPERIOD_OVERRIDE=FQ","FILING_STATUS=MR","SCALING_FORMAT=MLN","FA_ADJUSTED=Adjusted","Sort=A","Dates=H","DateFormat=P","Fill=—","Direction=H","UseDPDF=Y")</f>
        <v>3226</v>
      </c>
      <c r="W67" s="13" cm="1">
        <f t="array" ref="W67">_xll.BDH("CAT US Equity","EBIT","FQ1 2024","FQ1 2024","Currency=USD","Period=FQ","BEST_FPERIOD_OVERRIDE=FQ","FILING_STATUS=MR","SCALING_FORMAT=MLN","FA_ADJUSTED=Adjusted","Sort=A","Dates=H","DateFormat=P","Fill=—","Direction=H","UseDPDF=Y")</f>
        <v>3513</v>
      </c>
      <c r="X67" s="13" cm="1">
        <f t="array" ref="X67">_xll.BDH("CAT US Equity","EBIT","FQ2 2024","FQ2 2024","Currency=USD","Period=FQ","BEST_FPERIOD_OVERRIDE=FQ","FILING_STATUS=MR","SCALING_FORMAT=MLN","FA_ADJUSTED=Adjusted","Sort=A","Dates=H","DateFormat=P","Fill=—","Direction=H","UseDPDF=Y")</f>
        <v>3968</v>
      </c>
      <c r="Y67" s="13" cm="1">
        <f t="array" ref="Y67">_xll.BDH("CAT US Equity","EBIT","FQ3 2024","FQ3 2024","Currency=USD","Period=FQ","BEST_FPERIOD_OVERRIDE=FQ","FILING_STATUS=MR","SCALING_FORMAT=MLN","FA_ADJUSTED=Adjusted","Sort=A","Dates=H","DateFormat=P","Fill=—","Direction=H","UseDPDF=Y")</f>
        <v>3217</v>
      </c>
      <c r="Z67" s="13" cm="1">
        <f t="array" ref="Z67">_xll.BDH("CAT US Equity","EBIT","FQ4 2024","FQ4 2024","Currency=USD","Period=FQ","BEST_FPERIOD_OVERRIDE=FQ","FILING_STATUS=MR","SCALING_FORMAT=MLN","FA_ADJUSTED=Adjusted","Sort=A","Dates=H","DateFormat=P","Fill=—","Direction=H","UseDPDF=Y")</f>
        <v>2961</v>
      </c>
      <c r="AA67" s="13" cm="1">
        <f t="array" ref="AA67">_xll.BDH("CAT US Equity","EBIT","FQ1 2025","FQ1 2025","Currency=USD","Period=FQ","BEST_FPERIOD_OVERRIDE=FQ","FILING_STATUS=MR","SCALING_FORMAT=MLN","FA_ADJUSTED=Adjusted","Sort=A","Dates=H","DateFormat=P","Fill=—","Direction=H","UseDPDF=Y")</f>
        <v>2612</v>
      </c>
      <c r="AB67" s="13" cm="1">
        <f t="array" ref="AB67">_xll.BDH("CAT US Equity","EBIT","FQ2 2025","FQ2 2025","Currency=USD","Period=FQ","BEST_FPERIOD_OVERRIDE=FQ","FILING_STATUS=MR","SCALING_FORMAT=MLN","FA_ADJUSTED=Adjusted","Sort=A","Dates=H","DateFormat=P","Fill=—","Direction=H","UseDPDF=Y")</f>
        <v>2916</v>
      </c>
      <c r="AC67" s="13" cm="1">
        <f t="array" ref="AC67">_xll.BDH("CAT US Equity","EBIT","FQ3 2025","FQ3 2025","Currency=USD","Period=FQ","BEST_FPERIOD_OVERRIDE=FQ","FILING_STATUS=MR","SCALING_FORMAT=MLN","FA_ADJUSTED=Adjusted","Sort=A","Dates=H","DateFormat=P","Fill=—","Direction=H","UseDPDF=Y")</f>
        <v>3089</v>
      </c>
      <c r="AD67" s="13" cm="1">
        <f t="array" ref="AD67">_xll.BDH("CAT US Equity","EBIT","FQ4 2025","FQ4 2025","Currency=USD","Period=FQ","BEST_FPERIOD_OVERRIDE=FQ","FILING_STATUS=MR","SCALING_FORMAT=MLN","FA_ADJUSTED=Adjusted","Sort=A","Dates=H","DateFormat=P","Fill=—","Direction=H","UseDPDF=Y")</f>
        <v>2979</v>
      </c>
      <c r="AE67" s="13">
        <v>2662.4210526315801</v>
      </c>
      <c r="AF67" s="13">
        <v>3313.21052631579</v>
      </c>
    </row>
    <row r="68" spans="1:32" x14ac:dyDescent="0.25">
      <c r="A68" s="10" t="s">
        <v>174</v>
      </c>
      <c r="B68" s="10" t="s">
        <v>175</v>
      </c>
      <c r="C68" s="14" cm="1">
        <f t="array" ref="C68">_xll.BDH("CAT US Equity","GROSS_MARGIN","FQ1 2019","FQ1 2019","Currency=USD","Period=FQ","BEST_FPERIOD_OVERRIDE=FQ","FILING_STATUS=MR","FA_ADJUSTED=Adjusted","Sort=A","Dates=H","DateFormat=P","Fill=—","Direction=H","UseDPDF=Y")</f>
        <v>31.924800000000001</v>
      </c>
      <c r="D68" s="14" cm="1">
        <f t="array" ref="D68">_xll.BDH("CAT US Equity","GROSS_MARGIN","FQ2 2019","FQ2 2019","Currency=USD","Period=FQ","BEST_FPERIOD_OVERRIDE=FQ","FILING_STATUS=MR","FA_ADJUSTED=Adjusted","Sort=A","Dates=H","DateFormat=P","Fill=—","Direction=H","UseDPDF=Y")</f>
        <v>30.279900000000001</v>
      </c>
      <c r="E68" s="14" cm="1">
        <f t="array" ref="E68">_xll.BDH("CAT US Equity","GROSS_MARGIN","FQ3 2019","FQ3 2019","Currency=USD","Period=FQ","BEST_FPERIOD_OVERRIDE=FQ","FILING_STATUS=MR","FA_ADJUSTED=Adjusted","Sort=A","Dates=H","DateFormat=P","Fill=—","Direction=H","UseDPDF=Y")</f>
        <v>31.454799999999999</v>
      </c>
      <c r="F68" s="14" cm="1">
        <f t="array" ref="F68">_xll.BDH("CAT US Equity","GROSS_MARGIN","FQ4 2019","FQ4 2019","Currency=USD","Period=FQ","BEST_FPERIOD_OVERRIDE=FQ","FILING_STATUS=MR","FA_ADJUSTED=Adjusted","Sort=A","Dates=H","DateFormat=P","Fill=—","Direction=H","UseDPDF=Y")</f>
        <v>29.336600000000001</v>
      </c>
      <c r="G68" s="14" cm="1">
        <f t="array" ref="G68">_xll.BDH("CAT US Equity","GROSS_MARGIN","FQ1 2020","FQ1 2020","Currency=USD","Period=FQ","BEST_FPERIOD_OVERRIDE=FQ","FILING_STATUS=MR","FA_ADJUSTED=Adjusted","Sort=A","Dates=H","DateFormat=P","Fill=—","Direction=H","UseDPDF=Y")</f>
        <v>30.183399999999999</v>
      </c>
      <c r="H68" s="14" cm="1">
        <f t="array" ref="H68">_xll.BDH("CAT US Equity","GROSS_MARGIN","FQ2 2020","FQ2 2020","Currency=USD","Period=FQ","BEST_FPERIOD_OVERRIDE=FQ","FILING_STATUS=MR","FA_ADJUSTED=Adjusted","Sort=A","Dates=H","DateFormat=P","Fill=—","Direction=H","UseDPDF=Y")</f>
        <v>27.438199999999998</v>
      </c>
      <c r="I68" s="14" cm="1">
        <f t="array" ref="I68">_xll.BDH("CAT US Equity","GROSS_MARGIN","FQ3 2020","FQ3 2020","Currency=USD","Period=FQ","BEST_FPERIOD_OVERRIDE=FQ","FILING_STATUS=MR","FA_ADJUSTED=Adjusted","Sort=A","Dates=H","DateFormat=P","Fill=—","Direction=H","UseDPDF=Y")</f>
        <v>28.7117</v>
      </c>
      <c r="J68" s="14" cm="1">
        <f t="array" ref="J68">_xll.BDH("CAT US Equity","GROSS_MARGIN","FQ4 2020","FQ4 2020","Currency=USD","Period=FQ","BEST_FPERIOD_OVERRIDE=FQ","FILING_STATUS=MR","FA_ADJUSTED=Adjusted","Sort=A","Dates=H","DateFormat=P","Fill=—","Direction=H","UseDPDF=Y")</f>
        <v>29.639500000000002</v>
      </c>
      <c r="K68" s="14" cm="1">
        <f t="array" ref="K68">_xll.BDH("CAT US Equity","GROSS_MARGIN","FQ1 2021","FQ1 2021","Currency=USD","Period=FQ","BEST_FPERIOD_OVERRIDE=FQ","FILING_STATUS=MR","FA_ADJUSTED=Adjusted","Sort=A","Dates=H","DateFormat=P","Fill=—","Direction=H","UseDPDF=Y")</f>
        <v>31.6144</v>
      </c>
      <c r="L68" s="14" cm="1">
        <f t="array" ref="L68">_xll.BDH("CAT US Equity","GROSS_MARGIN","FQ2 2021","FQ2 2021","Currency=USD","Period=FQ","BEST_FPERIOD_OVERRIDE=FQ","FILING_STATUS=MR","FA_ADJUSTED=Adjusted","Sort=A","Dates=H","DateFormat=P","Fill=—","Direction=H","UseDPDF=Y")</f>
        <v>30.3127</v>
      </c>
      <c r="M68" s="14" cm="1">
        <f t="array" ref="M68">_xll.BDH("CAT US Equity","GROSS_MARGIN","FQ3 2021","FQ3 2021","Currency=USD","Period=FQ","BEST_FPERIOD_OVERRIDE=FQ","FILING_STATUS=MR","FA_ADJUSTED=Adjusted","Sort=A","Dates=H","DateFormat=P","Fill=—","Direction=H","UseDPDF=Y")</f>
        <v>29.668500000000002</v>
      </c>
      <c r="N68" s="14" cm="1">
        <f t="array" ref="N68">_xll.BDH("CAT US Equity","GROSS_MARGIN","FQ4 2021","FQ4 2021","Currency=USD","Period=FQ","BEST_FPERIOD_OVERRIDE=FQ","FILING_STATUS=MR","FA_ADJUSTED=Adjusted","Sort=A","Dates=H","DateFormat=P","Fill=—","Direction=H","UseDPDF=Y")</f>
        <v>26.7575</v>
      </c>
      <c r="O68" s="14" cm="1">
        <f t="array" ref="O68">_xll.BDH("CAT US Equity","GROSS_MARGIN","FQ1 2022","FQ1 2022","Currency=USD","Period=FQ","BEST_FPERIOD_OVERRIDE=FQ","FILING_STATUS=MR","FA_ADJUSTED=Adjusted","Sort=A","Dates=H","DateFormat=P","Fill=—","Direction=H","UseDPDF=Y")</f>
        <v>28.935199999999998</v>
      </c>
      <c r="P68" s="14" cm="1">
        <f t="array" ref="P68">_xll.BDH("CAT US Equity","GROSS_MARGIN","FQ2 2022","FQ2 2022","Currency=USD","Period=FQ","BEST_FPERIOD_OVERRIDE=FQ","FILING_STATUS=MR","FA_ADJUSTED=Adjusted","Sort=A","Dates=H","DateFormat=P","Fill=—","Direction=H","UseDPDF=Y")</f>
        <v>29.178100000000001</v>
      </c>
      <c r="Q68" s="14" cm="1">
        <f t="array" ref="Q68">_xll.BDH("CAT US Equity","GROSS_MARGIN","FQ3 2022","FQ3 2022","Currency=USD","Period=FQ","BEST_FPERIOD_OVERRIDE=FQ","FILING_STATUS=MR","FA_ADJUSTED=Adjusted","Sort=A","Dates=H","DateFormat=P","Fill=—","Direction=H","UseDPDF=Y")</f>
        <v>31.039100000000001</v>
      </c>
      <c r="R68" s="14" cm="1">
        <f t="array" ref="R68">_xll.BDH("CAT US Equity","GROSS_MARGIN","FQ4 2022","FQ4 2022","Currency=USD","Period=FQ","BEST_FPERIOD_OVERRIDE=FQ","FILING_STATUS=MR","FA_ADJUSTED=Adjusted","Sort=A","Dates=H","DateFormat=P","Fill=—","Direction=H","UseDPDF=Y")</f>
        <v>28.890799999999999</v>
      </c>
      <c r="S68" s="14" cm="1">
        <f t="array" ref="S68">_xll.BDH("CAT US Equity","GROSS_MARGIN","FQ1 2023","FQ1 2023","Currency=USD","Period=FQ","BEST_FPERIOD_OVERRIDE=FQ","FILING_STATUS=MR","FA_ADJUSTED=Adjusted","Sort=A","Dates=H","DateFormat=P","Fill=—","Direction=H","UseDPDF=Y")</f>
        <v>35.020800000000001</v>
      </c>
      <c r="T68" s="14" cm="1">
        <f t="array" ref="T68">_xll.BDH("CAT US Equity","GROSS_MARGIN","FQ2 2023","FQ2 2023","Currency=USD","Period=FQ","BEST_FPERIOD_OVERRIDE=FQ","FILING_STATUS=MR","FA_ADJUSTED=Adjusted","Sort=A","Dates=H","DateFormat=P","Fill=—","Direction=H","UseDPDF=Y")</f>
        <v>34.801900000000003</v>
      </c>
      <c r="U68" s="14" cm="1">
        <f t="array" ref="U68">_xll.BDH("CAT US Equity","GROSS_MARGIN","FQ3 2023","FQ3 2023","Currency=USD","Period=FQ","BEST_FPERIOD_OVERRIDE=FQ","FILING_STATUS=MR","FA_ADJUSTED=Adjusted","Sort=A","Dates=H","DateFormat=P","Fill=—","Direction=H","UseDPDF=Y")</f>
        <v>35.377800000000001</v>
      </c>
      <c r="V68" s="14" cm="1">
        <f t="array" ref="V68">_xll.BDH("CAT US Equity","GROSS_MARGIN","FQ4 2023","FQ4 2023","Currency=USD","Period=FQ","BEST_FPERIOD_OVERRIDE=FQ","FILING_STATUS=MR","FA_ADJUSTED=Adjusted","Sort=A","Dates=H","DateFormat=P","Fill=—","Direction=H","UseDPDF=Y")</f>
        <v>33.778599999999997</v>
      </c>
      <c r="W68" s="14" cm="1">
        <f t="array" ref="W68">_xll.BDH("CAT US Equity","GROSS_MARGIN","FQ1 2024","FQ1 2024","Currency=USD","Period=FQ","BEST_FPERIOD_OVERRIDE=FQ","FILING_STATUS=MR","FA_ADJUSTED=Adjusted","Sort=A","Dates=H","DateFormat=P","Fill=—","Direction=H","UseDPDF=Y")</f>
        <v>36.957999999999998</v>
      </c>
      <c r="X68" s="14" cm="1">
        <f t="array" ref="X68">_xll.BDH("CAT US Equity","GROSS_MARGIN","FQ2 2024","FQ2 2024","Currency=USD","Period=FQ","BEST_FPERIOD_OVERRIDE=FQ","FILING_STATUS=MR","FA_ADJUSTED=Adjusted","Sort=A","Dates=H","DateFormat=P","Fill=—","Direction=H","UseDPDF=Y")</f>
        <v>37.359900000000003</v>
      </c>
      <c r="Y68" s="14" cm="1">
        <f t="array" ref="Y68">_xll.BDH("CAT US Equity","GROSS_MARGIN","FQ3 2024","FQ3 2024","Currency=USD","Period=FQ","BEST_FPERIOD_OVERRIDE=FQ","FILING_STATUS=MR","FA_ADJUSTED=Adjusted","Sort=A","Dates=H","DateFormat=P","Fill=—","Direction=H","UseDPDF=Y")</f>
        <v>35.415399999999998</v>
      </c>
      <c r="Z68" s="14" cm="1">
        <f t="array" ref="Z68">_xll.BDH("CAT US Equity","GROSS_MARGIN","FQ4 2024","FQ4 2024","Currency=USD","Period=FQ","BEST_FPERIOD_OVERRIDE=FQ","FILING_STATUS=MR","FA_ADJUSTED=Adjusted","Sort=A","Dates=H","DateFormat=P","Fill=—","Direction=H","UseDPDF=Y")</f>
        <v>34.264600000000002</v>
      </c>
      <c r="AA68" s="14" cm="1">
        <f t="array" ref="AA68">_xll.BDH("CAT US Equity","GROSS_MARGIN","FQ1 2025","FQ1 2025","Currency=USD","Period=FQ","BEST_FPERIOD_OVERRIDE=FQ","FILING_STATUS=MR","FA_ADJUSTED=Adjusted","Sort=A","Dates=H","DateFormat=P","Fill=—","Direction=H","UseDPDF=Y")</f>
        <v>34.795400000000001</v>
      </c>
      <c r="AB68" s="14" cm="1">
        <f t="array" ref="AB68">_xll.BDH("CAT US Equity","GROSS_MARGIN","FQ2 2025","FQ2 2025","Currency=USD","Period=FQ","BEST_FPERIOD_OVERRIDE=FQ","FILING_STATUS=MR","FA_ADJUSTED=Adjusted","Sort=A","Dates=H","DateFormat=P","Fill=—","Direction=H","UseDPDF=Y")</f>
        <v>32.747900000000001</v>
      </c>
      <c r="AC68" s="14" cm="1">
        <f t="array" ref="AC68">_xll.BDH("CAT US Equity","GROSS_MARGIN","FQ3 2025","FQ3 2025","Currency=USD","Period=FQ","BEST_FPERIOD_OVERRIDE=FQ","FILING_STATUS=MR","FA_ADJUSTED=Adjusted","Sort=A","Dates=H","DateFormat=P","Fill=—","Direction=H","UseDPDF=Y")</f>
        <v>31.857399999999998</v>
      </c>
      <c r="AD68" s="14" cm="1">
        <f t="array" ref="AD68">_xll.BDH("CAT US Equity","GROSS_MARGIN","FQ4 2025","FQ4 2025","Currency=USD","Period=FQ","BEST_FPERIOD_OVERRIDE=FQ","FILING_STATUS=MR","FA_ADJUSTED=Adjusted","Sort=A","Dates=H","DateFormat=P","Fill=—","Direction=H","UseDPDF=Y")</f>
        <v>28.615500000000001</v>
      </c>
      <c r="AE68" s="14">
        <v>30.494</v>
      </c>
      <c r="AF68" s="14">
        <v>31.510999999999999</v>
      </c>
    </row>
    <row r="69" spans="1:32" x14ac:dyDescent="0.25">
      <c r="A69" s="10" t="s">
        <v>176</v>
      </c>
      <c r="B69" s="10" t="s">
        <v>177</v>
      </c>
      <c r="C69" s="14" cm="1">
        <f t="array" ref="C69">_xll.BDH("CAT US Equity","OPER_MARGIN","FQ1 2019","FQ1 2019","Currency=USD","Period=FQ","BEST_FPERIOD_OVERRIDE=FQ","FILING_STATUS=MR","FA_ADJUSTED=Adjusted","Sort=A","Dates=H","DateFormat=P","Fill=—","Direction=H","UseDPDF=Y")</f>
        <v>16.745899999999999</v>
      </c>
      <c r="D69" s="14" cm="1">
        <f t="array" ref="D69">_xll.BDH("CAT US Equity","OPER_MARGIN","FQ2 2019","FQ2 2019","Currency=USD","Period=FQ","BEST_FPERIOD_OVERRIDE=FQ","FILING_STATUS=MR","FA_ADJUSTED=Adjusted","Sort=A","Dates=H","DateFormat=P","Fill=—","Direction=H","UseDPDF=Y")</f>
        <v>16.0962</v>
      </c>
      <c r="E69" s="14" cm="1">
        <f t="array" ref="E69">_xll.BDH("CAT US Equity","OPER_MARGIN","FQ3 2019","FQ3 2019","Currency=USD","Period=FQ","BEST_FPERIOD_OVERRIDE=FQ","FILING_STATUS=MR","FA_ADJUSTED=Adjusted","Sort=A","Dates=H","DateFormat=P","Fill=—","Direction=H","UseDPDF=Y")</f>
        <v>16.0762</v>
      </c>
      <c r="F69" s="14" cm="1">
        <f t="array" ref="F69">_xll.BDH("CAT US Equity","OPER_MARGIN","FQ4 2019","FQ4 2019","Currency=USD","Period=FQ","BEST_FPERIOD_OVERRIDE=FQ","FILING_STATUS=MR","FA_ADJUSTED=Adjusted","Sort=A","Dates=H","DateFormat=P","Fill=—","Direction=H","UseDPDF=Y")</f>
        <v>14.4857</v>
      </c>
      <c r="G69" s="14" cm="1">
        <f t="array" ref="G69">_xll.BDH("CAT US Equity","OPER_MARGIN","FQ1 2020","FQ1 2020","Currency=USD","Period=FQ","BEST_FPERIOD_OVERRIDE=FQ","FILING_STATUS=MR","FA_ADJUSTED=Adjusted","Sort=A","Dates=H","DateFormat=P","Fill=—","Direction=H","UseDPDF=Y")</f>
        <v>13.5496</v>
      </c>
      <c r="H69" s="14" cm="1">
        <f t="array" ref="H69">_xll.BDH("CAT US Equity","OPER_MARGIN","FQ2 2020","FQ2 2020","Currency=USD","Period=FQ","BEST_FPERIOD_OVERRIDE=FQ","FILING_STATUS=MR","FA_ADJUSTED=Adjusted","Sort=A","Dates=H","DateFormat=P","Fill=—","Direction=H","UseDPDF=Y")</f>
        <v>9.3127999999999993</v>
      </c>
      <c r="I69" s="14" cm="1">
        <f t="array" ref="I69">_xll.BDH("CAT US Equity","OPER_MARGIN","FQ3 2020","FQ3 2020","Currency=USD","Period=FQ","BEST_FPERIOD_OVERRIDE=FQ","FILING_STATUS=MR","FA_ADJUSTED=Adjusted","Sort=A","Dates=H","DateFormat=P","Fill=—","Direction=H","UseDPDF=Y")</f>
        <v>11.1021</v>
      </c>
      <c r="J69" s="14" cm="1">
        <f t="array" ref="J69">_xll.BDH("CAT US Equity","OPER_MARGIN","FQ4 2020","FQ4 2020","Currency=USD","Period=FQ","BEST_FPERIOD_OVERRIDE=FQ","FILING_STATUS=MR","FA_ADJUSTED=Adjusted","Sort=A","Dates=H","DateFormat=P","Fill=—","Direction=H","UseDPDF=Y")</f>
        <v>12.799300000000001</v>
      </c>
      <c r="K69" s="14" cm="1">
        <f t="array" ref="K69">_xll.BDH("CAT US Equity","OPER_MARGIN","FQ1 2021","FQ1 2021","Currency=USD","Period=FQ","BEST_FPERIOD_OVERRIDE=FQ","FILING_STATUS=MR","FA_ADJUSTED=Adjusted","Sort=A","Dates=H","DateFormat=P","Fill=—","Direction=H","UseDPDF=Y")</f>
        <v>15.7988</v>
      </c>
      <c r="L69" s="14" cm="1">
        <f t="array" ref="L69">_xll.BDH("CAT US Equity","OPER_MARGIN","FQ2 2021","FQ2 2021","Currency=USD","Period=FQ","BEST_FPERIOD_OVERRIDE=FQ","FILING_STATUS=MR","FA_ADJUSTED=Adjusted","Sort=A","Dates=H","DateFormat=P","Fill=—","Direction=H","UseDPDF=Y")</f>
        <v>14.074</v>
      </c>
      <c r="M69" s="14" cm="1">
        <f t="array" ref="M69">_xll.BDH("CAT US Equity","OPER_MARGIN","FQ3 2021","FQ3 2021","Currency=USD","Period=FQ","BEST_FPERIOD_OVERRIDE=FQ","FILING_STATUS=MR","FA_ADJUSTED=Adjusted","Sort=A","Dates=H","DateFormat=P","Fill=—","Direction=H","UseDPDF=Y")</f>
        <v>13.7049</v>
      </c>
      <c r="N69" s="14" cm="1">
        <f t="array" ref="N69">_xll.BDH("CAT US Equity","OPER_MARGIN","FQ4 2021","FQ4 2021","Currency=USD","Period=FQ","BEST_FPERIOD_OVERRIDE=FQ","FILING_STATUS=MR","FA_ADJUSTED=Adjusted","Sort=A","Dates=H","DateFormat=P","Fill=—","Direction=H","UseDPDF=Y")</f>
        <v>11.4292</v>
      </c>
      <c r="O69" s="14" cm="1">
        <f t="array" ref="O69">_xll.BDH("CAT US Equity","OPER_MARGIN","FQ1 2022","FQ1 2022","Currency=USD","Period=FQ","BEST_FPERIOD_OVERRIDE=FQ","FILING_STATUS=MR","FA_ADJUSTED=Adjusted","Sort=A","Dates=H","DateFormat=P","Fill=—","Direction=H","UseDPDF=Y")</f>
        <v>13.7464</v>
      </c>
      <c r="P69" s="14" cm="1">
        <f t="array" ref="P69">_xll.BDH("CAT US Equity","OPER_MARGIN","FQ2 2022","FQ2 2022","Currency=USD","Period=FQ","BEST_FPERIOD_OVERRIDE=FQ","FILING_STATUS=MR","FA_ADJUSTED=Adjusted","Sort=A","Dates=H","DateFormat=P","Fill=—","Direction=H","UseDPDF=Y")</f>
        <v>13.8415</v>
      </c>
      <c r="Q69" s="14" cm="1">
        <f t="array" ref="Q69">_xll.BDH("CAT US Equity","OPER_MARGIN","FQ3 2022","FQ3 2022","Currency=USD","Period=FQ","BEST_FPERIOD_OVERRIDE=FQ","FILING_STATUS=MR","FA_ADJUSTED=Adjusted","Sort=A","Dates=H","DateFormat=P","Fill=—","Direction=H","UseDPDF=Y")</f>
        <v>16.4999</v>
      </c>
      <c r="R69" s="14" cm="1">
        <f t="array" ref="R69">_xll.BDH("CAT US Equity","OPER_MARGIN","FQ4 2022","FQ4 2022","Currency=USD","Period=FQ","BEST_FPERIOD_OVERRIDE=FQ","FILING_STATUS=MR","FA_ADJUSTED=Adjusted","Sort=A","Dates=H","DateFormat=P","Fill=—","Direction=H","UseDPDF=Y")</f>
        <v>16.954899999999999</v>
      </c>
      <c r="S69" s="14" cm="1">
        <f t="array" ref="S69">_xll.BDH("CAT US Equity","OPER_MARGIN","FQ1 2023","FQ1 2023","Currency=USD","Period=FQ","BEST_FPERIOD_OVERRIDE=FQ","FILING_STATUS=MR","FA_ADJUSTED=Adjusted","Sort=A","Dates=H","DateFormat=P","Fill=—","Direction=H","UseDPDF=Y")</f>
        <v>24.6753</v>
      </c>
      <c r="T69" s="14" cm="1">
        <f t="array" ref="T69">_xll.BDH("CAT US Equity","OPER_MARGIN","FQ2 2023","FQ2 2023","Currency=USD","Period=FQ","BEST_FPERIOD_OVERRIDE=FQ","FILING_STATUS=MR","FA_ADJUSTED=Adjusted","Sort=A","Dates=H","DateFormat=P","Fill=—","Direction=H","UseDPDF=Y")</f>
        <v>21.2669</v>
      </c>
      <c r="U69" s="14" cm="1">
        <f t="array" ref="U69">_xll.BDH("CAT US Equity","OPER_MARGIN","FQ3 2023","FQ3 2023","Currency=USD","Period=FQ","BEST_FPERIOD_OVERRIDE=FQ","FILING_STATUS=MR","FA_ADJUSTED=Adjusted","Sort=A","Dates=H","DateFormat=P","Fill=—","Direction=H","UseDPDF=Y")</f>
        <v>20.7912</v>
      </c>
      <c r="V69" s="14" cm="1">
        <f t="array" ref="V69">_xll.BDH("CAT US Equity","OPER_MARGIN","FQ4 2023","FQ4 2023","Currency=USD","Period=FQ","BEST_FPERIOD_OVERRIDE=FQ","FILING_STATUS=MR","FA_ADJUSTED=Adjusted","Sort=A","Dates=H","DateFormat=P","Fill=—","Direction=H","UseDPDF=Y")</f>
        <v>18.898700000000002</v>
      </c>
      <c r="W69" s="14" cm="1">
        <f t="array" ref="W69">_xll.BDH("CAT US Equity","OPER_MARGIN","FQ1 2024","FQ1 2024","Currency=USD","Period=FQ","BEST_FPERIOD_OVERRIDE=FQ","FILING_STATUS=MR","FA_ADJUSTED=Adjusted","Sort=A","Dates=H","DateFormat=P","Fill=—","Direction=H","UseDPDF=Y")</f>
        <v>22.235600000000002</v>
      </c>
      <c r="X69" s="14" cm="1">
        <f t="array" ref="X69">_xll.BDH("CAT US Equity","OPER_MARGIN","FQ2 2024","FQ2 2024","Currency=USD","Period=FQ","BEST_FPERIOD_OVERRIDE=FQ","FILING_STATUS=MR","FA_ADJUSTED=Adjusted","Sort=A","Dates=H","DateFormat=P","Fill=—","Direction=H","UseDPDF=Y")</f>
        <v>23.7761</v>
      </c>
      <c r="Y69" s="14" cm="1">
        <f t="array" ref="Y69">_xll.BDH("CAT US Equity","OPER_MARGIN","FQ3 2024","FQ3 2024","Currency=USD","Period=FQ","BEST_FPERIOD_OVERRIDE=FQ","FILING_STATUS=MR","FA_ADJUSTED=Adjusted","Sort=A","Dates=H","DateFormat=P","Fill=—","Direction=H","UseDPDF=Y")</f>
        <v>19.9739</v>
      </c>
      <c r="Z69" s="14" cm="1">
        <f t="array" ref="Z69">_xll.BDH("CAT US Equity","OPER_MARGIN","FQ4 2024","FQ4 2024","Currency=USD","Period=FQ","BEST_FPERIOD_OVERRIDE=FQ","FILING_STATUS=MR","FA_ADJUSTED=Adjusted","Sort=A","Dates=H","DateFormat=P","Fill=—","Direction=H","UseDPDF=Y")</f>
        <v>18.260899999999999</v>
      </c>
      <c r="AA69" s="14" cm="1">
        <f t="array" ref="AA69">_xll.BDH("CAT US Equity","OPER_MARGIN","FQ1 2025","FQ1 2025","Currency=USD","Period=FQ","BEST_FPERIOD_OVERRIDE=FQ","FILING_STATUS=MR","FA_ADJUSTED=Adjusted","Sort=A","Dates=H","DateFormat=P","Fill=—","Direction=H","UseDPDF=Y")</f>
        <v>18.331099999999999</v>
      </c>
      <c r="AB69" s="14" cm="1">
        <f t="array" ref="AB69">_xll.BDH("CAT US Equity","OPER_MARGIN","FQ2 2025","FQ2 2025","Currency=USD","Period=FQ","BEST_FPERIOD_OVERRIDE=FQ","FILING_STATUS=MR","FA_ADJUSTED=Adjusted","Sort=A","Dates=H","DateFormat=P","Fill=—","Direction=H","UseDPDF=Y")</f>
        <v>17.5991</v>
      </c>
      <c r="AC69" s="14" cm="1">
        <f t="array" ref="AC69">_xll.BDH("CAT US Equity","OPER_MARGIN","FQ3 2025","FQ3 2025","Currency=USD","Period=FQ","BEST_FPERIOD_OVERRIDE=FQ","FILING_STATUS=MR","FA_ADJUSTED=Adjusted","Sort=A","Dates=H","DateFormat=P","Fill=—","Direction=H","UseDPDF=Y")</f>
        <v>17.513300000000001</v>
      </c>
      <c r="AD69" s="14" cm="1">
        <f t="array" ref="AD69">_xll.BDH("CAT US Equity","OPER_MARGIN","FQ4 2025","FQ4 2025","Currency=USD","Period=FQ","BEST_FPERIOD_OVERRIDE=FQ","FILING_STATUS=MR","FA_ADJUSTED=Adjusted","Sort=A","Dates=H","DateFormat=P","Fill=—","Direction=H","UseDPDF=Y")</f>
        <v>15.57</v>
      </c>
      <c r="AE69" s="14">
        <v>17.295516752106298</v>
      </c>
      <c r="AF69" s="14">
        <v>19.091656877989699</v>
      </c>
    </row>
    <row r="70" spans="1:32" x14ac:dyDescent="0.25">
      <c r="A70" s="10" t="s">
        <v>178</v>
      </c>
      <c r="B70" s="10" t="s">
        <v>179</v>
      </c>
      <c r="C70" s="14" cm="1">
        <f t="array" ref="C70">_xll.BDH("CAT US Equity","PROF_MARGIN","FQ1 2019","FQ1 2019","Currency=USD","Period=FQ","BEST_FPERIOD_OVERRIDE=FQ","FILING_STATUS=MR","FA_ADJUSTED=Adjusted","Sort=A","Dates=H","DateFormat=P","Fill=—","Direction=H","UseDPDF=Y")</f>
        <v>12.9283</v>
      </c>
      <c r="D70" s="14" cm="1">
        <f t="array" ref="D70">_xll.BDH("CAT US Equity","PROF_MARGIN","FQ2 2019","FQ2 2019","Currency=USD","Period=FQ","BEST_FPERIOD_OVERRIDE=FQ","FILING_STATUS=MR","FA_ADJUSTED=Adjusted","Sort=A","Dates=H","DateFormat=P","Fill=—","Direction=H","UseDPDF=Y")</f>
        <v>11.647</v>
      </c>
      <c r="E70" s="14" cm="1">
        <f t="array" ref="E70">_xll.BDH("CAT US Equity","PROF_MARGIN","FQ3 2019","FQ3 2019","Currency=USD","Period=FQ","BEST_FPERIOD_OVERRIDE=FQ","FILING_STATUS=MR","FA_ADJUSTED=Adjusted","Sort=A","Dates=H","DateFormat=P","Fill=—","Direction=H","UseDPDF=Y")</f>
        <v>11.8866</v>
      </c>
      <c r="F70" s="14" cm="1">
        <f t="array" ref="F70">_xll.BDH("CAT US Equity","PROF_MARGIN","FQ4 2019","FQ4 2019","Currency=USD","Period=FQ","BEST_FPERIOD_OVERRIDE=FQ","FILING_STATUS=MR","FA_ADJUSTED=Adjusted","Sort=A","Dates=H","DateFormat=P","Fill=—","Direction=H","UseDPDF=Y")</f>
        <v>12.324999999999999</v>
      </c>
      <c r="G70" s="14" cm="1">
        <f t="array" ref="G70">_xll.BDH("CAT US Equity","PROF_MARGIN","FQ1 2020","FQ1 2020","Currency=USD","Period=FQ","BEST_FPERIOD_OVERRIDE=FQ","FILING_STATUS=MR","FA_ADJUSTED=Adjusted","Sort=A","Dates=H","DateFormat=P","Fill=—","Direction=H","UseDPDF=Y")</f>
        <v>8.2276000000000007</v>
      </c>
      <c r="H70" s="14" cm="1">
        <f t="array" ref="H70">_xll.BDH("CAT US Equity","PROF_MARGIN","FQ2 2020","FQ2 2020","Currency=USD","Period=FQ","BEST_FPERIOD_OVERRIDE=FQ","FILING_STATUS=MR","FA_ADJUSTED=Adjusted","Sort=A","Dates=H","DateFormat=P","Fill=—","Direction=H","UseDPDF=Y")</f>
        <v>6.1031000000000004</v>
      </c>
      <c r="I70" s="14" cm="1">
        <f t="array" ref="I70">_xll.BDH("CAT US Equity","PROF_MARGIN","FQ3 2020","FQ3 2020","Currency=USD","Period=FQ","BEST_FPERIOD_OVERRIDE=FQ","FILING_STATUS=MR","FA_ADJUSTED=Adjusted","Sort=A","Dates=H","DateFormat=P","Fill=—","Direction=H","UseDPDF=Y")</f>
        <v>8.5724999999999998</v>
      </c>
      <c r="J70" s="14" cm="1">
        <f t="array" ref="J70">_xll.BDH("CAT US Equity","PROF_MARGIN","FQ4 2020","FQ4 2020","Currency=USD","Period=FQ","BEST_FPERIOD_OVERRIDE=FQ","FILING_STATUS=MR","FA_ADJUSTED=Adjusted","Sort=A","Dates=H","DateFormat=P","Fill=—","Direction=H","UseDPDF=Y")</f>
        <v>11.3574</v>
      </c>
      <c r="K70" s="14" cm="1">
        <f t="array" ref="K70">_xll.BDH("CAT US Equity","PROF_MARGIN","FQ1 2021","FQ1 2021","Currency=USD","Period=FQ","BEST_FPERIOD_OVERRIDE=FQ","FILING_STATUS=MR","FA_ADJUSTED=Adjusted","Sort=A","Dates=H","DateFormat=P","Fill=—","Direction=H","UseDPDF=Y")</f>
        <v>13.409599999999999</v>
      </c>
      <c r="L70" s="14" cm="1">
        <f t="array" ref="L70">_xll.BDH("CAT US Equity","PROF_MARGIN","FQ2 2021","FQ2 2021","Currency=USD","Period=FQ","BEST_FPERIOD_OVERRIDE=FQ","FILING_STATUS=MR","FA_ADJUSTED=Adjusted","Sort=A","Dates=H","DateFormat=P","Fill=—","Direction=H","UseDPDF=Y")</f>
        <v>11.1633</v>
      </c>
      <c r="M70" s="14" cm="1">
        <f t="array" ref="M70">_xll.BDH("CAT US Equity","PROF_MARGIN","FQ3 2021","FQ3 2021","Currency=USD","Period=FQ","BEST_FPERIOD_OVERRIDE=FQ","FILING_STATUS=MR","FA_ADJUSTED=Adjusted","Sort=A","Dates=H","DateFormat=P","Fill=—","Direction=H","UseDPDF=Y")</f>
        <v>11.736700000000001</v>
      </c>
      <c r="N70" s="14" cm="1">
        <f t="array" ref="N70">_xll.BDH("CAT US Equity","PROF_MARGIN","FQ4 2021","FQ4 2021","Currency=USD","Period=FQ","BEST_FPERIOD_OVERRIDE=FQ","FILING_STATUS=MR","FA_ADJUSTED=Adjusted","Sort=A","Dates=H","DateFormat=P","Fill=—","Direction=H","UseDPDF=Y")</f>
        <v>12.0525</v>
      </c>
      <c r="O70" s="14" cm="1">
        <f t="array" ref="O70">_xll.BDH("CAT US Equity","PROF_MARGIN","FQ1 2022","FQ1 2022","Currency=USD","Period=FQ","BEST_FPERIOD_OVERRIDE=FQ","FILING_STATUS=MR","FA_ADJUSTED=Adjusted","Sort=A","Dates=H","DateFormat=P","Fill=—","Direction=H","UseDPDF=Y")</f>
        <v>11.3916</v>
      </c>
      <c r="P70" s="14" cm="1">
        <f t="array" ref="P70">_xll.BDH("CAT US Equity","PROF_MARGIN","FQ2 2022","FQ2 2022","Currency=USD","Period=FQ","BEST_FPERIOD_OVERRIDE=FQ","FILING_STATUS=MR","FA_ADJUSTED=Adjusted","Sort=A","Dates=H","DateFormat=P","Fill=—","Direction=H","UseDPDF=Y")</f>
        <v>12.1859</v>
      </c>
      <c r="Q70" s="14" cm="1">
        <f t="array" ref="Q70">_xll.BDH("CAT US Equity","PROF_MARGIN","FQ3 2022","FQ3 2022","Currency=USD","Period=FQ","BEST_FPERIOD_OVERRIDE=FQ","FILING_STATUS=MR","FA_ADJUSTED=Adjusted","Sort=A","Dates=H","DateFormat=P","Fill=—","Direction=H","UseDPDF=Y")</f>
        <v>13.8789</v>
      </c>
      <c r="R70" s="14" cm="1">
        <f t="array" ref="R70">_xll.BDH("CAT US Equity","PROF_MARGIN","FQ4 2022","FQ4 2022","Currency=USD","Period=FQ","BEST_FPERIOD_OVERRIDE=FQ","FILING_STATUS=MR","FA_ADJUSTED=Adjusted","Sort=A","Dates=H","DateFormat=P","Fill=—","Direction=H","UseDPDF=Y")</f>
        <v>12.863799999999999</v>
      </c>
      <c r="S70" s="14" cm="1">
        <f t="array" ref="S70">_xll.BDH("CAT US Equity","PROF_MARGIN","FQ1 2023","FQ1 2023","Currency=USD","Period=FQ","BEST_FPERIOD_OVERRIDE=FQ","FILING_STATUS=MR","FA_ADJUSTED=Adjusted","Sort=A","Dates=H","DateFormat=P","Fill=—","Direction=H","UseDPDF=Y")</f>
        <v>18.918700000000001</v>
      </c>
      <c r="T70" s="14" cm="1">
        <f t="array" ref="T70">_xll.BDH("CAT US Equity","PROF_MARGIN","FQ2 2023","FQ2 2023","Currency=USD","Period=FQ","BEST_FPERIOD_OVERRIDE=FQ","FILING_STATUS=MR","FA_ADJUSTED=Adjusted","Sort=A","Dates=H","DateFormat=P","Fill=—","Direction=H","UseDPDF=Y")</f>
        <v>17.013999999999999</v>
      </c>
      <c r="U70" s="14" cm="1">
        <f t="array" ref="U70">_xll.BDH("CAT US Equity","PROF_MARGIN","FQ3 2023","FQ3 2023","Currency=USD","Period=FQ","BEST_FPERIOD_OVERRIDE=FQ","FILING_STATUS=MR","FA_ADJUSTED=Adjusted","Sort=A","Dates=H","DateFormat=P","Fill=—","Direction=H","UseDPDF=Y")</f>
        <v>16.8352</v>
      </c>
      <c r="V70" s="14" cm="1">
        <f t="array" ref="V70">_xll.BDH("CAT US Equity","PROF_MARGIN","FQ4 2023","FQ4 2023","Currency=USD","Period=FQ","BEST_FPERIOD_OVERRIDE=FQ","FILING_STATUS=MR","FA_ADJUSTED=Adjusted","Sort=A","Dates=H","DateFormat=P","Fill=—","Direction=H","UseDPDF=Y")</f>
        <v>15.536</v>
      </c>
      <c r="W70" s="14" cm="1">
        <f t="array" ref="W70">_xll.BDH("CAT US Equity","PROF_MARGIN","FQ1 2024","FQ1 2024","Currency=USD","Period=FQ","BEST_FPERIOD_OVERRIDE=FQ","FILING_STATUS=MR","FA_ADJUSTED=Adjusted","Sort=A","Dates=H","DateFormat=P","Fill=—","Direction=H","UseDPDF=Y")</f>
        <v>17.608699999999999</v>
      </c>
      <c r="X70" s="14" cm="1">
        <f t="array" ref="X70">_xll.BDH("CAT US Equity","PROF_MARGIN","FQ2 2024","FQ2 2024","Currency=USD","Period=FQ","BEST_FPERIOD_OVERRIDE=FQ","FILING_STATUS=MR","FA_ADJUSTED=Adjusted","Sort=A","Dates=H","DateFormat=P","Fill=—","Direction=H","UseDPDF=Y")</f>
        <v>18.653700000000001</v>
      </c>
      <c r="Y70" s="14" cm="1">
        <f t="array" ref="Y70">_xll.BDH("CAT US Equity","PROF_MARGIN","FQ3 2024","FQ3 2024","Currency=USD","Period=FQ","BEST_FPERIOD_OVERRIDE=FQ","FILING_STATUS=MR","FA_ADJUSTED=Adjusted","Sort=A","Dates=H","DateFormat=P","Fill=—","Direction=H","UseDPDF=Y")</f>
        <v>15.633900000000001</v>
      </c>
      <c r="Z70" s="14" cm="1">
        <f t="array" ref="Z70">_xll.BDH("CAT US Equity","PROF_MARGIN","FQ4 2024","FQ4 2024","Currency=USD","Period=FQ","BEST_FPERIOD_OVERRIDE=FQ","FILING_STATUS=MR","FA_ADJUSTED=Adjusted","Sort=A","Dates=H","DateFormat=P","Fill=—","Direction=H","UseDPDF=Y")</f>
        <v>15.313000000000001</v>
      </c>
      <c r="AA70" s="14" cm="1">
        <f t="array" ref="AA70">_xll.BDH("CAT US Equity","PROF_MARGIN","FQ1 2025","FQ1 2025","Currency=USD","Period=FQ","BEST_FPERIOD_OVERRIDE=FQ","FILING_STATUS=MR","FA_ADJUSTED=Adjusted","Sort=A","Dates=H","DateFormat=P","Fill=—","Direction=H","UseDPDF=Y")</f>
        <v>14.2326</v>
      </c>
      <c r="AB70" s="14" cm="1">
        <f t="array" ref="AB70">_xll.BDH("CAT US Equity","PROF_MARGIN","FQ2 2025","FQ2 2025","Currency=USD","Period=FQ","BEST_FPERIOD_OVERRIDE=FQ","FILING_STATUS=MR","FA_ADJUSTED=Adjusted","Sort=A","Dates=H","DateFormat=P","Fill=—","Direction=H","UseDPDF=Y")</f>
        <v>13.434699999999999</v>
      </c>
      <c r="AC70" s="14" cm="1">
        <f t="array" ref="AC70">_xll.BDH("CAT US Equity","PROF_MARGIN","FQ3 2025","FQ3 2025","Currency=USD","Period=FQ","BEST_FPERIOD_OVERRIDE=FQ","FILING_STATUS=MR","FA_ADJUSTED=Adjusted","Sort=A","Dates=H","DateFormat=P","Fill=—","Direction=H","UseDPDF=Y")</f>
        <v>13.1988</v>
      </c>
      <c r="AD70" s="14" cm="1">
        <f t="array" ref="AD70">_xll.BDH("CAT US Equity","PROF_MARGIN","FQ4 2025","FQ4 2025","Currency=USD","Period=FQ","BEST_FPERIOD_OVERRIDE=FQ","FILING_STATUS=MR","FA_ADJUSTED=Adjusted","Sort=A","Dates=H","DateFormat=P","Fill=—","Direction=H","UseDPDF=Y")</f>
        <v>12.658799999999999</v>
      </c>
      <c r="AE70" s="14">
        <v>13.8125478036283</v>
      </c>
      <c r="AF70" s="14">
        <v>15.243357024956699</v>
      </c>
    </row>
    <row r="71" spans="1:32" x14ac:dyDescent="0.25">
      <c r="A71" s="10" t="s">
        <v>180</v>
      </c>
      <c r="B71" s="10" t="s">
        <v>181</v>
      </c>
      <c r="C71" s="14" cm="1">
        <f t="array" ref="C71">_xll.BDH("CAT US Equity","ACTUAL_SALES_PER_EMPL","FQ1 2019","FQ1 2019","Currency=USD","Period=FQ","BEST_FPERIOD_OVERRIDE=FQ","FILING_STATUS=MR","FA_ADJUSTED=Adjusted","Sort=A","Dates=H","DateFormat=P","Fill=—","Direction=H","UseDPDF=Y")</f>
        <v>129480.7692</v>
      </c>
      <c r="D71" s="14" t="str" cm="1">
        <f t="array" ref="D71">_xll.BDH("CAT US Equity","ACTUAL_SALES_PER_EMPL","FQ2 2019","FQ2 2019","Currency=USD","Period=FQ","BEST_FPERIOD_OVERRIDE=FQ","FILING_STATUS=MR","FA_ADJUSTED=Adjusted","Sort=A","Dates=H","DateFormat=P","Fill=—","Direction=H","UseDPDF=Y")</f>
        <v>—</v>
      </c>
      <c r="E71" s="14" t="str" cm="1">
        <f t="array" ref="E71">_xll.BDH("CAT US Equity","ACTUAL_SALES_PER_EMPL","FQ3 2019","FQ3 2019","Currency=USD","Period=FQ","BEST_FPERIOD_OVERRIDE=FQ","FILING_STATUS=MR","FA_ADJUSTED=Adjusted","Sort=A","Dates=H","DateFormat=P","Fill=—","Direction=H","UseDPDF=Y")</f>
        <v>—</v>
      </c>
      <c r="F71" s="14" cm="1">
        <f t="array" ref="F71">_xll.BDH("CAT US Equity","ACTUAL_SALES_PER_EMPL","FQ4 2019","FQ4 2019","Currency=USD","Period=FQ","BEST_FPERIOD_OVERRIDE=FQ","FILING_STATUS=MR","FA_ADJUSTED=Adjusted","Sort=A","Dates=H","DateFormat=P","Fill=—","Direction=H","UseDPDF=Y")</f>
        <v>128484.84849999999</v>
      </c>
      <c r="G71" s="14" t="str" cm="1">
        <f t="array" ref="G71">_xll.BDH("CAT US Equity","ACTUAL_SALES_PER_EMPL","FQ1 2020","FQ1 2020","Currency=USD","Period=FQ","BEST_FPERIOD_OVERRIDE=FQ","FILING_STATUS=MR","FA_ADJUSTED=Adjusted","Sort=A","Dates=H","DateFormat=P","Fill=—","Direction=H","UseDPDF=Y")</f>
        <v>—</v>
      </c>
      <c r="H71" s="14" t="str" cm="1">
        <f t="array" ref="H71">_xll.BDH("CAT US Equity","ACTUAL_SALES_PER_EMPL","FQ2 2020","FQ2 2020","Currency=USD","Period=FQ","BEST_FPERIOD_OVERRIDE=FQ","FILING_STATUS=MR","FA_ADJUSTED=Adjusted","Sort=A","Dates=H","DateFormat=P","Fill=—","Direction=H","UseDPDF=Y")</f>
        <v>—</v>
      </c>
      <c r="I71" s="14" t="str" cm="1">
        <f t="array" ref="I71">_xll.BDH("CAT US Equity","ACTUAL_SALES_PER_EMPL","FQ3 2020","FQ3 2020","Currency=USD","Period=FQ","BEST_FPERIOD_OVERRIDE=FQ","FILING_STATUS=MR","FA_ADJUSTED=Adjusted","Sort=A","Dates=H","DateFormat=P","Fill=—","Direction=H","UseDPDF=Y")</f>
        <v>—</v>
      </c>
      <c r="J71" s="14" cm="1">
        <f t="array" ref="J71">_xll.BDH("CAT US Equity","ACTUAL_SALES_PER_EMPL","FQ4 2020","FQ4 2020","Currency=USD","Period=FQ","BEST_FPERIOD_OVERRIDE=FQ","FILING_STATUS=MR","FA_ADJUSTED=Adjusted","Sort=A","Dates=H","DateFormat=P","Fill=—","Direction=H","UseDPDF=Y")</f>
        <v>115467.6259</v>
      </c>
      <c r="K71" s="14" t="str" cm="1">
        <f t="array" ref="K71">_xll.BDH("CAT US Equity","ACTUAL_SALES_PER_EMPL","FQ1 2021","FQ1 2021","Currency=USD","Period=FQ","BEST_FPERIOD_OVERRIDE=FQ","FILING_STATUS=MR","FA_ADJUSTED=Adjusted","Sort=A","Dates=H","DateFormat=P","Fill=—","Direction=H","UseDPDF=Y")</f>
        <v>—</v>
      </c>
      <c r="L71" s="14" t="str" cm="1">
        <f t="array" ref="L71">_xll.BDH("CAT US Equity","ACTUAL_SALES_PER_EMPL","FQ2 2021","FQ2 2021","Currency=USD","Period=FQ","BEST_FPERIOD_OVERRIDE=FQ","FILING_STATUS=MR","FA_ADJUSTED=Adjusted","Sort=A","Dates=H","DateFormat=P","Fill=—","Direction=H","UseDPDF=Y")</f>
        <v>—</v>
      </c>
      <c r="M71" s="14" t="str" cm="1">
        <f t="array" ref="M71">_xll.BDH("CAT US Equity","ACTUAL_SALES_PER_EMPL","FQ3 2021","FQ3 2021","Currency=USD","Period=FQ","BEST_FPERIOD_OVERRIDE=FQ","FILING_STATUS=MR","FA_ADJUSTED=Adjusted","Sort=A","Dates=H","DateFormat=P","Fill=—","Direction=H","UseDPDF=Y")</f>
        <v>—</v>
      </c>
      <c r="N71" s="14" cm="1">
        <f t="array" ref="N71">_xll.BDH("CAT US Equity","ACTUAL_SALES_PER_EMPL","FQ4 2021","FQ4 2021","Currency=USD","Period=FQ","BEST_FPERIOD_OVERRIDE=FQ","FILING_STATUS=MR","FA_ADJUSTED=Adjusted","Sort=A","Dates=H","DateFormat=P","Fill=—","Direction=H","UseDPDF=Y")</f>
        <v>128115.1346</v>
      </c>
      <c r="O71" s="14" t="str" cm="1">
        <f t="array" ref="O71">_xll.BDH("CAT US Equity","ACTUAL_SALES_PER_EMPL","FQ1 2022","FQ1 2022","Currency=USD","Period=FQ","BEST_FPERIOD_OVERRIDE=FQ","FILING_STATUS=MR","FA_ADJUSTED=Adjusted","Sort=A","Dates=H","DateFormat=P","Fill=—","Direction=H","UseDPDF=Y")</f>
        <v>—</v>
      </c>
      <c r="P71" s="14" t="str" cm="1">
        <f t="array" ref="P71">_xll.BDH("CAT US Equity","ACTUAL_SALES_PER_EMPL","FQ2 2022","FQ2 2022","Currency=USD","Period=FQ","BEST_FPERIOD_OVERRIDE=FQ","FILING_STATUS=MR","FA_ADJUSTED=Adjusted","Sort=A","Dates=H","DateFormat=P","Fill=—","Direction=H","UseDPDF=Y")</f>
        <v>—</v>
      </c>
      <c r="Q71" s="14" t="str" cm="1">
        <f t="array" ref="Q71">_xll.BDH("CAT US Equity","ACTUAL_SALES_PER_EMPL","FQ3 2022","FQ3 2022","Currency=USD","Period=FQ","BEST_FPERIOD_OVERRIDE=FQ","FILING_STATUS=MR","FA_ADJUSTED=Adjusted","Sort=A","Dates=H","DateFormat=P","Fill=—","Direction=H","UseDPDF=Y")</f>
        <v>—</v>
      </c>
      <c r="R71" s="14" cm="1">
        <f t="array" ref="R71">_xll.BDH("CAT US Equity","ACTUAL_SALES_PER_EMPL","FQ4 2022","FQ4 2022","Currency=USD","Period=FQ","BEST_FPERIOD_OVERRIDE=FQ","FILING_STATUS=MR","FA_ADJUSTED=Adjusted","Sort=A","Dates=H","DateFormat=P","Fill=—","Direction=H","UseDPDF=Y")</f>
        <v>152126.4895</v>
      </c>
      <c r="S71" s="14" t="str" cm="1">
        <f t="array" ref="S71">_xll.BDH("CAT US Equity","ACTUAL_SALES_PER_EMPL","FQ1 2023","FQ1 2023","Currency=USD","Period=FQ","BEST_FPERIOD_OVERRIDE=FQ","FILING_STATUS=MR","FA_ADJUSTED=Adjusted","Sort=A","Dates=H","DateFormat=P","Fill=—","Direction=H","UseDPDF=Y")</f>
        <v>—</v>
      </c>
      <c r="T71" s="14" t="str" cm="1">
        <f t="array" ref="T71">_xll.BDH("CAT US Equity","ACTUAL_SALES_PER_EMPL","FQ2 2023","FQ2 2023","Currency=USD","Period=FQ","BEST_FPERIOD_OVERRIDE=FQ","FILING_STATUS=MR","FA_ADJUSTED=Adjusted","Sort=A","Dates=H","DateFormat=P","Fill=—","Direction=H","UseDPDF=Y")</f>
        <v>—</v>
      </c>
      <c r="U71" s="14" t="str" cm="1">
        <f t="array" ref="U71">_xll.BDH("CAT US Equity","ACTUAL_SALES_PER_EMPL","FQ3 2023","FQ3 2023","Currency=USD","Period=FQ","BEST_FPERIOD_OVERRIDE=FQ","FILING_STATUS=MR","FA_ADJUSTED=Adjusted","Sort=A","Dates=H","DateFormat=P","Fill=—","Direction=H","UseDPDF=Y")</f>
        <v>—</v>
      </c>
      <c r="V71" s="14" t="str" cm="1">
        <f t="array" ref="V71">_xll.BDH("CAT US Equity","ACTUAL_SALES_PER_EMPL","FQ4 2023","FQ4 2023","Currency=USD","Period=FQ","BEST_FPERIOD_OVERRIDE=FQ","FILING_STATUS=MR","FA_ADJUSTED=Adjusted","Sort=A","Dates=H","DateFormat=P","Fill=—","Direction=H","UseDPDF=Y")</f>
        <v>—</v>
      </c>
      <c r="W71" s="14" t="str" cm="1">
        <f t="array" ref="W71">_xll.BDH("CAT US Equity","ACTUAL_SALES_PER_EMPL","FQ1 2024","FQ1 2024","Currency=USD","Period=FQ","BEST_FPERIOD_OVERRIDE=FQ","FILING_STATUS=MR","FA_ADJUSTED=Adjusted","Sort=A","Dates=H","DateFormat=P","Fill=—","Direction=H","UseDPDF=Y")</f>
        <v>—</v>
      </c>
      <c r="X71" s="14" t="str" cm="1">
        <f t="array" ref="X71">_xll.BDH("CAT US Equity","ACTUAL_SALES_PER_EMPL","FQ2 2024","FQ2 2024","Currency=USD","Period=FQ","BEST_FPERIOD_OVERRIDE=FQ","FILING_STATUS=MR","FA_ADJUSTED=Adjusted","Sort=A","Dates=H","DateFormat=P","Fill=—","Direction=H","UseDPDF=Y")</f>
        <v>—</v>
      </c>
      <c r="Y71" s="14" t="str" cm="1">
        <f t="array" ref="Y71">_xll.BDH("CAT US Equity","ACTUAL_SALES_PER_EMPL","FQ3 2024","FQ3 2024","Currency=USD","Period=FQ","BEST_FPERIOD_OVERRIDE=FQ","FILING_STATUS=MR","FA_ADJUSTED=Adjusted","Sort=A","Dates=H","DateFormat=P","Fill=—","Direction=H","UseDPDF=Y")</f>
        <v>—</v>
      </c>
      <c r="Z71" s="14" t="str" cm="1">
        <f t="array" ref="Z71">_xll.BDH("CAT US Equity","ACTUAL_SALES_PER_EMPL","FQ4 2024","FQ4 2024","Currency=USD","Period=FQ","BEST_FPERIOD_OVERRIDE=FQ","FILING_STATUS=MR","FA_ADJUSTED=Adjusted","Sort=A","Dates=H","DateFormat=P","Fill=—","Direction=H","UseDPDF=Y")</f>
        <v>—</v>
      </c>
      <c r="AA71" s="14" t="str" cm="1">
        <f t="array" ref="AA71">_xll.BDH("CAT US Equity","ACTUAL_SALES_PER_EMPL","FQ1 2025","FQ1 2025","Currency=USD","Period=FQ","BEST_FPERIOD_OVERRIDE=FQ","FILING_STATUS=MR","FA_ADJUSTED=Adjusted","Sort=A","Dates=H","DateFormat=P","Fill=—","Direction=H","UseDPDF=Y")</f>
        <v>—</v>
      </c>
      <c r="AB71" s="14" t="str" cm="1">
        <f t="array" ref="AB71">_xll.BDH("CAT US Equity","ACTUAL_SALES_PER_EMPL","FQ2 2025","FQ2 2025","Currency=USD","Period=FQ","BEST_FPERIOD_OVERRIDE=FQ","FILING_STATUS=MR","FA_ADJUSTED=Adjusted","Sort=A","Dates=H","DateFormat=P","Fill=—","Direction=H","UseDPDF=Y")</f>
        <v>—</v>
      </c>
      <c r="AC71" s="14" t="str" cm="1">
        <f t="array" ref="AC71">_xll.BDH("CAT US Equity","ACTUAL_SALES_PER_EMPL","FQ3 2025","FQ3 2025","Currency=USD","Period=FQ","BEST_FPERIOD_OVERRIDE=FQ","FILING_STATUS=MR","FA_ADJUSTED=Adjusted","Sort=A","Dates=H","DateFormat=P","Fill=—","Direction=H","UseDPDF=Y")</f>
        <v>—</v>
      </c>
      <c r="AD71" s="14" t="str" cm="1">
        <f t="array" ref="AD71">_xll.BDH("CAT US Equity","ACTUAL_SALES_PER_EMPL","FQ4 2025","FQ4 2025","Currency=USD","Period=FQ","BEST_FPERIOD_OVERRIDE=FQ","FILING_STATUS=MR","FA_ADJUSTED=Adjusted","Sort=A","Dates=H","DateFormat=P","Fill=—","Direction=H","UseDPDF=Y")</f>
        <v>—</v>
      </c>
      <c r="AE71" s="14"/>
      <c r="AF71" s="14"/>
    </row>
    <row r="72" spans="1:32" x14ac:dyDescent="0.25">
      <c r="A72" s="10" t="s">
        <v>182</v>
      </c>
      <c r="B72" s="10" t="s">
        <v>183</v>
      </c>
      <c r="C72" s="14" cm="1">
        <f t="array" ref="C72">_xll.BDH("CAT US Equity","EQY_DPS","FQ1 2019","FQ1 2019","Currency=USD","Period=FQ","BEST_FPERIOD_OVERRIDE=FQ","FILING_STATUS=MR","Sort=A","Dates=H","DateFormat=P","Fill=—","Direction=H","UseDPDF=Y")</f>
        <v>0.86</v>
      </c>
      <c r="D72" s="14" cm="1">
        <f t="array" ref="D72">_xll.BDH("CAT US Equity","EQY_DPS","FQ2 2019","FQ2 2019","Currency=USD","Period=FQ","BEST_FPERIOD_OVERRIDE=FQ","FILING_STATUS=MR","Sort=A","Dates=H","DateFormat=P","Fill=—","Direction=H","UseDPDF=Y")</f>
        <v>1.89</v>
      </c>
      <c r="E72" s="14" cm="1">
        <f t="array" ref="E72">_xll.BDH("CAT US Equity","EQY_DPS","FQ3 2019","FQ3 2019","Currency=USD","Period=FQ","BEST_FPERIOD_OVERRIDE=FQ","FILING_STATUS=MR","Sort=A","Dates=H","DateFormat=P","Fill=—","Direction=H","UseDPDF=Y")</f>
        <v>1.03</v>
      </c>
      <c r="F72" s="14" cm="1">
        <f t="array" ref="F72">_xll.BDH("CAT US Equity","EQY_DPS","FQ4 2019","FQ4 2019","Currency=USD","Period=FQ","BEST_FPERIOD_OVERRIDE=FQ","FILING_STATUS=MR","Sort=A","Dates=H","DateFormat=P","Fill=—","Direction=H","UseDPDF=Y")</f>
        <v>1.03</v>
      </c>
      <c r="G72" s="14" cm="1">
        <f t="array" ref="G72">_xll.BDH("CAT US Equity","EQY_DPS","FQ1 2020","FQ1 2020","Currency=USD","Period=FQ","BEST_FPERIOD_OVERRIDE=FQ","FILING_STATUS=MR","Sort=A","Dates=H","DateFormat=P","Fill=—","Direction=H","UseDPDF=Y")</f>
        <v>1.03</v>
      </c>
      <c r="H72" s="14" cm="1">
        <f t="array" ref="H72">_xll.BDH("CAT US Equity","EQY_DPS","FQ2 2020","FQ2 2020","Currency=USD","Period=FQ","BEST_FPERIOD_OVERRIDE=FQ","FILING_STATUS=MR","Sort=A","Dates=H","DateFormat=P","Fill=—","Direction=H","UseDPDF=Y")</f>
        <v>2.06</v>
      </c>
      <c r="I72" s="14" cm="1">
        <f t="array" ref="I72">_xll.BDH("CAT US Equity","EQY_DPS","FQ3 2020","FQ3 2020","Currency=USD","Period=FQ","BEST_FPERIOD_OVERRIDE=FQ","FILING_STATUS=MR","Sort=A","Dates=H","DateFormat=P","Fill=—","Direction=H","UseDPDF=Y")</f>
        <v>1.03</v>
      </c>
      <c r="J72" s="14" cm="1">
        <f t="array" ref="J72">_xll.BDH("CAT US Equity","EQY_DPS","FQ4 2020","FQ4 2020","Currency=USD","Period=FQ","BEST_FPERIOD_OVERRIDE=FQ","FILING_STATUS=MR","Sort=A","Dates=H","DateFormat=P","Fill=—","Direction=H","UseDPDF=Y")</f>
        <v>1.03</v>
      </c>
      <c r="K72" s="14" cm="1">
        <f t="array" ref="K72">_xll.BDH("CAT US Equity","EQY_DPS","FQ1 2021","FQ1 2021","Currency=USD","Period=FQ","BEST_FPERIOD_OVERRIDE=FQ","FILING_STATUS=MR","Sort=A","Dates=H","DateFormat=P","Fill=—","Direction=H","UseDPDF=Y")</f>
        <v>1.03</v>
      </c>
      <c r="L72" s="14" cm="1">
        <f t="array" ref="L72">_xll.BDH("CAT US Equity","EQY_DPS","FQ2 2021","FQ2 2021","Currency=USD","Period=FQ","BEST_FPERIOD_OVERRIDE=FQ","FILING_STATUS=MR","Sort=A","Dates=H","DateFormat=P","Fill=—","Direction=H","UseDPDF=Y")</f>
        <v>2.14</v>
      </c>
      <c r="M72" s="14" cm="1">
        <f t="array" ref="M72">_xll.BDH("CAT US Equity","EQY_DPS","FQ3 2021","FQ3 2021","Currency=USD","Period=FQ","BEST_FPERIOD_OVERRIDE=FQ","FILING_STATUS=MR","Sort=A","Dates=H","DateFormat=P","Fill=—","Direction=H","UseDPDF=Y")</f>
        <v>1.1100000000000001</v>
      </c>
      <c r="N72" s="14" cm="1">
        <f t="array" ref="N72">_xll.BDH("CAT US Equity","EQY_DPS","FQ4 2021","FQ4 2021","Currency=USD","Period=FQ","BEST_FPERIOD_OVERRIDE=FQ","FILING_STATUS=MR","Sort=A","Dates=H","DateFormat=P","Fill=—","Direction=H","UseDPDF=Y")</f>
        <v>1.1100000000000001</v>
      </c>
      <c r="O72" s="14" cm="1">
        <f t="array" ref="O72">_xll.BDH("CAT US Equity","EQY_DPS","FQ1 2022","FQ1 2022","Currency=USD","Period=FQ","BEST_FPERIOD_OVERRIDE=FQ","FILING_STATUS=MR","Sort=A","Dates=H","DateFormat=P","Fill=—","Direction=H","UseDPDF=Y")</f>
        <v>1.1100000000000001</v>
      </c>
      <c r="P72" s="14" cm="1">
        <f t="array" ref="P72">_xll.BDH("CAT US Equity","EQY_DPS","FQ2 2022","FQ2 2022","Currency=USD","Period=FQ","BEST_FPERIOD_OVERRIDE=FQ","FILING_STATUS=MR","Sort=A","Dates=H","DateFormat=P","Fill=—","Direction=H","UseDPDF=Y")</f>
        <v>1.2</v>
      </c>
      <c r="Q72" s="14" cm="1">
        <f t="array" ref="Q72">_xll.BDH("CAT US Equity","EQY_DPS","FQ3 2022","FQ3 2022","Currency=USD","Period=FQ","BEST_FPERIOD_OVERRIDE=FQ","FILING_STATUS=MR","Sort=A","Dates=H","DateFormat=P","Fill=—","Direction=H","UseDPDF=Y")</f>
        <v>1.2</v>
      </c>
      <c r="R72" s="14" cm="1">
        <f t="array" ref="R72">_xll.BDH("CAT US Equity","EQY_DPS","FQ4 2022","FQ4 2022","Currency=USD","Period=FQ","BEST_FPERIOD_OVERRIDE=FQ","FILING_STATUS=MR","Sort=A","Dates=H","DateFormat=P","Fill=—","Direction=H","UseDPDF=Y")</f>
        <v>1.2</v>
      </c>
      <c r="S72" s="14" cm="1">
        <f t="array" ref="S72">_xll.BDH("CAT US Equity","EQY_DPS","FQ1 2023","FQ1 2023","Currency=USD","Period=FQ","BEST_FPERIOD_OVERRIDE=FQ","FILING_STATUS=MR","Sort=A","Dates=H","DateFormat=P","Fill=—","Direction=H","UseDPDF=Y")</f>
        <v>1.2</v>
      </c>
      <c r="T72" s="14" cm="1">
        <f t="array" ref="T72">_xll.BDH("CAT US Equity","EQY_DPS","FQ2 2023","FQ2 2023","Currency=USD","Period=FQ","BEST_FPERIOD_OVERRIDE=FQ","FILING_STATUS=MR","Sort=A","Dates=H","DateFormat=P","Fill=—","Direction=H","UseDPDF=Y")</f>
        <v>1.3</v>
      </c>
      <c r="U72" s="14" cm="1">
        <f t="array" ref="U72">_xll.BDH("CAT US Equity","EQY_DPS","FQ3 2023","FQ3 2023","Currency=USD","Period=FQ","BEST_FPERIOD_OVERRIDE=FQ","FILING_STATUS=MR","Sort=A","Dates=H","DateFormat=P","Fill=—","Direction=H","UseDPDF=Y")</f>
        <v>1.3</v>
      </c>
      <c r="V72" s="14" cm="1">
        <f t="array" ref="V72">_xll.BDH("CAT US Equity","EQY_DPS","FQ4 2023","FQ4 2023","Currency=USD","Period=FQ","BEST_FPERIOD_OVERRIDE=FQ","FILING_STATUS=MR","Sort=A","Dates=H","DateFormat=P","Fill=—","Direction=H","UseDPDF=Y")</f>
        <v>1.3</v>
      </c>
      <c r="W72" s="14" cm="1">
        <f t="array" ref="W72">_xll.BDH("CAT US Equity","EQY_DPS","FQ1 2024","FQ1 2024","Currency=USD","Period=FQ","BEST_FPERIOD_OVERRIDE=FQ","FILING_STATUS=MR","Sort=A","Dates=H","DateFormat=P","Fill=—","Direction=H","UseDPDF=Y")</f>
        <v>1.3</v>
      </c>
      <c r="X72" s="14" cm="1">
        <f t="array" ref="X72">_xll.BDH("CAT US Equity","EQY_DPS","FQ2 2024","FQ2 2024","Currency=USD","Period=FQ","BEST_FPERIOD_OVERRIDE=FQ","FILING_STATUS=MR","Sort=A","Dates=H","DateFormat=P","Fill=—","Direction=H","UseDPDF=Y")</f>
        <v>1.41</v>
      </c>
      <c r="Y72" s="14" cm="1">
        <f t="array" ref="Y72">_xll.BDH("CAT US Equity","EQY_DPS","FQ3 2024","FQ3 2024","Currency=USD","Period=FQ","BEST_FPERIOD_OVERRIDE=FQ","FILING_STATUS=MR","Sort=A","Dates=H","DateFormat=P","Fill=—","Direction=H","UseDPDF=Y")</f>
        <v>1.41</v>
      </c>
      <c r="Z72" s="14" cm="1">
        <f t="array" ref="Z72">_xll.BDH("CAT US Equity","EQY_DPS","FQ4 2024","FQ4 2024","Currency=USD","Period=FQ","BEST_FPERIOD_OVERRIDE=FQ","FILING_STATUS=MR","Sort=A","Dates=H","DateFormat=P","Fill=—","Direction=H","UseDPDF=Y")</f>
        <v>1.41</v>
      </c>
      <c r="AA72" s="14" cm="1">
        <f t="array" ref="AA72">_xll.BDH("CAT US Equity","EQY_DPS","FQ1 2025","FQ1 2025","Currency=USD","Period=FQ","BEST_FPERIOD_OVERRIDE=FQ","FILING_STATUS=MR","Sort=A","Dates=H","DateFormat=P","Fill=—","Direction=H","UseDPDF=Y")</f>
        <v>1.41</v>
      </c>
      <c r="AB72" s="14" cm="1">
        <f t="array" ref="AB72">_xll.BDH("CAT US Equity","EQY_DPS","FQ2 2025","FQ2 2025","Currency=USD","Period=FQ","BEST_FPERIOD_OVERRIDE=FQ","FILING_STATUS=MR","Sort=A","Dates=H","DateFormat=P","Fill=—","Direction=H","UseDPDF=Y")</f>
        <v>1.41</v>
      </c>
      <c r="AC72" s="14" cm="1">
        <f t="array" ref="AC72">_xll.BDH("CAT US Equity","EQY_DPS","FQ3 2025","FQ3 2025","Currency=USD","Period=FQ","BEST_FPERIOD_OVERRIDE=FQ","FILING_STATUS=MR","Sort=A","Dates=H","DateFormat=P","Fill=—","Direction=H","UseDPDF=Y")</f>
        <v>1.51</v>
      </c>
      <c r="AD72" s="14" cm="1">
        <f t="array" ref="AD72">_xll.BDH("CAT US Equity","EQY_DPS","FQ4 2025","FQ4 2025","Currency=USD","Period=FQ","BEST_FPERIOD_OVERRIDE=FQ","FILING_STATUS=MR","Sort=A","Dates=H","DateFormat=P","Fill=—","Direction=H","UseDPDF=Y")</f>
        <v>1.51</v>
      </c>
      <c r="AE72" s="14">
        <v>1.504</v>
      </c>
      <c r="AF72" s="14">
        <v>1.631</v>
      </c>
    </row>
    <row r="73" spans="1:32" x14ac:dyDescent="0.25">
      <c r="A73" s="10" t="s">
        <v>184</v>
      </c>
      <c r="B73" s="10" t="s">
        <v>185</v>
      </c>
      <c r="C73" s="13" cm="1">
        <f t="array" ref="C73">_xll.BDH("CAT US Equity","IS_TOT_CASH_COM_DVD","FQ1 2019","FQ1 2019","Currency=USD","Period=FQ","BEST_FPERIOD_OVERRIDE=FQ","FILING_STATUS=MR","SCALING_FORMAT=MLN","Sort=A","Dates=H","DateFormat=P","Fill=—","Direction=H","UseDPDF=Y")</f>
        <v>494</v>
      </c>
      <c r="D73" s="13" cm="1">
        <f t="array" ref="D73">_xll.BDH("CAT US Equity","IS_TOT_CASH_COM_DVD","FQ2 2019","FQ2 2019","Currency=USD","Period=FQ","BEST_FPERIOD_OVERRIDE=FQ","FILING_STATUS=MR","SCALING_FORMAT=MLN","Sort=A","Dates=H","DateFormat=P","Fill=—","Direction=H","UseDPDF=Y")</f>
        <v>1074</v>
      </c>
      <c r="E73" s="13" cm="1">
        <f t="array" ref="E73">_xll.BDH("CAT US Equity","IS_TOT_CASH_COM_DVD","FQ3 2019","FQ3 2019","Currency=USD","Period=FQ","BEST_FPERIOD_OVERRIDE=FQ","FILING_STATUS=MR","SCALING_FORMAT=MLN","Sort=A","Dates=H","DateFormat=P","Fill=—","Direction=H","UseDPDF=Y")</f>
        <v>572.98900000000003</v>
      </c>
      <c r="F73" s="13" cm="1">
        <f t="array" ref="F73">_xll.BDH("CAT US Equity","IS_TOT_CASH_COM_DVD","FQ4 2019","FQ4 2019","Currency=USD","Period=FQ","BEST_FPERIOD_OVERRIDE=FQ","FILING_STATUS=MR","SCALING_FORMAT=MLN","Sort=A","Dates=H","DateFormat=P","Fill=—","Direction=H","UseDPDF=Y")</f>
        <v>568</v>
      </c>
      <c r="G73" s="13" cm="1">
        <f t="array" ref="G73">_xll.BDH("CAT US Equity","IS_TOT_CASH_COM_DVD","FQ1 2020","FQ1 2020","Currency=USD","Period=FQ","BEST_FPERIOD_OVERRIDE=FQ","FILING_STATUS=MR","SCALING_FORMAT=MLN","Sort=A","Dates=H","DateFormat=P","Fill=—","Direction=H","UseDPDF=Y")</f>
        <v>567</v>
      </c>
      <c r="H73" s="13" cm="1">
        <f t="array" ref="H73">_xll.BDH("CAT US Equity","IS_TOT_CASH_COM_DVD","FQ2 2020","FQ2 2020","Currency=USD","Period=FQ","BEST_FPERIOD_OVERRIDE=FQ","FILING_STATUS=MR","SCALING_FORMAT=MLN","Sort=A","Dates=H","DateFormat=P","Fill=—","Direction=H","UseDPDF=Y")</f>
        <v>1115.49</v>
      </c>
      <c r="I73" s="13" cm="1">
        <f t="array" ref="I73">_xll.BDH("CAT US Equity","IS_TOT_CASH_COM_DVD","FQ3 2020","FQ3 2020","Currency=USD","Period=FQ","BEST_FPERIOD_OVERRIDE=FQ","FILING_STATUS=MR","SCALING_FORMAT=MLN","Sort=A","Dates=H","DateFormat=P","Fill=—","Direction=H","UseDPDF=Y")</f>
        <v>558.56899999999996</v>
      </c>
      <c r="J73" s="13" cm="1">
        <f t="array" ref="J73">_xll.BDH("CAT US Equity","IS_TOT_CASH_COM_DVD","FQ4 2020","FQ4 2020","Currency=USD","Period=FQ","BEST_FPERIOD_OVERRIDE=FQ","FILING_STATUS=MR","SCALING_FORMAT=MLN","Sort=A","Dates=H","DateFormat=P","Fill=—","Direction=H","UseDPDF=Y")</f>
        <v>560.83500000000004</v>
      </c>
      <c r="K73" s="13" cm="1">
        <f t="array" ref="K73">_xll.BDH("CAT US Equity","IS_TOT_CASH_COM_DVD","FQ1 2021","FQ1 2021","Currency=USD","Period=FQ","BEST_FPERIOD_OVERRIDE=FQ","FILING_STATUS=MR","SCALING_FORMAT=MLN","Sort=A","Dates=H","DateFormat=P","Fill=—","Direction=H","UseDPDF=Y")</f>
        <v>562.79200000000003</v>
      </c>
      <c r="L73" s="13" cm="1">
        <f t="array" ref="L73">_xll.BDH("CAT US Equity","IS_TOT_CASH_COM_DVD","FQ2 2021","FQ2 2021","Currency=USD","Period=FQ","BEST_FPERIOD_OVERRIDE=FQ","FILING_STATUS=MR","SCALING_FORMAT=MLN","Sort=A","Dates=H","DateFormat=P","Fill=—","Direction=H","UseDPDF=Y")</f>
        <v>1172.5060000000001</v>
      </c>
      <c r="M73" s="13" cm="1">
        <f t="array" ref="M73">_xll.BDH("CAT US Equity","IS_TOT_CASH_COM_DVD","FQ3 2021","FQ3 2021","Currency=USD","Period=FQ","BEST_FPERIOD_OVERRIDE=FQ","FILING_STATUS=MR","SCALING_FORMAT=MLN","Sort=A","Dates=H","DateFormat=P","Fill=—","Direction=H","UseDPDF=Y")</f>
        <v>600</v>
      </c>
      <c r="N73" s="13" cm="1">
        <f t="array" ref="N73">_xll.BDH("CAT US Equity","IS_TOT_CASH_COM_DVD","FQ4 2021","FQ4 2021","Currency=USD","Period=FQ","BEST_FPERIOD_OVERRIDE=FQ","FILING_STATUS=MR","SCALING_FORMAT=MLN","Sort=A","Dates=H","DateFormat=P","Fill=—","Direction=H","UseDPDF=Y")</f>
        <v>597.95699999999999</v>
      </c>
      <c r="O73" s="13" cm="1">
        <f t="array" ref="O73">_xll.BDH("CAT US Equity","IS_TOT_CASH_COM_DVD","FQ1 2022","FQ1 2022","Currency=USD","Period=FQ","BEST_FPERIOD_OVERRIDE=FQ","FILING_STATUS=MR","SCALING_FORMAT=MLN","Sort=A","Dates=H","DateFormat=P","Fill=—","Direction=H","UseDPDF=Y")</f>
        <v>593.29499999999996</v>
      </c>
      <c r="P73" s="13" cm="1">
        <f t="array" ref="P73">_xll.BDH("CAT US Equity","IS_TOT_CASH_COM_DVD","FQ2 2022","FQ2 2022","Currency=USD","Period=FQ","BEST_FPERIOD_OVERRIDE=FQ","FILING_STATUS=MR","SCALING_FORMAT=MLN","Sort=A","Dates=H","DateFormat=P","Fill=—","Direction=H","UseDPDF=Y")</f>
        <v>637.20000000000005</v>
      </c>
      <c r="Q73" s="13" cm="1">
        <f t="array" ref="Q73">_xll.BDH("CAT US Equity","IS_TOT_CASH_COM_DVD","FQ3 2022","FQ3 2022","Currency=USD","Period=FQ","BEST_FPERIOD_OVERRIDE=FQ","FILING_STATUS=MR","SCALING_FORMAT=MLN","Sort=A","Dates=H","DateFormat=P","Fill=—","Direction=H","UseDPDF=Y")</f>
        <v>600</v>
      </c>
      <c r="R73" s="13" cm="1">
        <f t="array" ref="R73">_xll.BDH("CAT US Equity","IS_TOT_CASH_COM_DVD","FQ4 2022","FQ4 2022","Currency=USD","Period=FQ","BEST_FPERIOD_OVERRIDE=FQ","FILING_STATUS=MR","SCALING_FORMAT=MLN","Sort=A","Dates=H","DateFormat=P","Fill=—","Direction=H","UseDPDF=Y")</f>
        <v>620.88</v>
      </c>
      <c r="S73" s="13" cm="1">
        <f t="array" ref="S73">_xll.BDH("CAT US Equity","IS_TOT_CASH_COM_DVD","FQ1 2023","FQ1 2023","Currency=USD","Period=FQ","BEST_FPERIOD_OVERRIDE=FQ","FILING_STATUS=MR","SCALING_FORMAT=MLN","Sort=A","Dates=H","DateFormat=P","Fill=—","Direction=H","UseDPDF=Y")</f>
        <v>619.44000000000005</v>
      </c>
      <c r="T73" s="13" cm="1">
        <f t="array" ref="T73">_xll.BDH("CAT US Equity","IS_TOT_CASH_COM_DVD","FQ2 2023","FQ2 2023","Currency=USD","Period=FQ","BEST_FPERIOD_OVERRIDE=FQ","FILING_STATUS=MR","SCALING_FORMAT=MLN","Sort=A","Dates=H","DateFormat=P","Fill=—","Direction=H","UseDPDF=Y")</f>
        <v>666.77</v>
      </c>
      <c r="U73" s="13" cm="1">
        <f t="array" ref="U73">_xll.BDH("CAT US Equity","IS_TOT_CASH_COM_DVD","FQ3 2023","FQ3 2023","Currency=USD","Period=FQ","BEST_FPERIOD_OVERRIDE=FQ","FILING_STATUS=MR","SCALING_FORMAT=MLN","Sort=A","Dates=H","DateFormat=P","Fill=—","Direction=H","UseDPDF=Y")</f>
        <v>700</v>
      </c>
      <c r="V73" s="13" cm="1">
        <f t="array" ref="V73">_xll.BDH("CAT US Equity","IS_TOT_CASH_COM_DVD","FQ4 2023","FQ4 2023","Currency=USD","Period=FQ","BEST_FPERIOD_OVERRIDE=FQ","FILING_STATUS=MR","SCALING_FORMAT=MLN","Sort=A","Dates=H","DateFormat=P","Fill=—","Direction=H","UseDPDF=Y")</f>
        <v>655.72</v>
      </c>
      <c r="W73" s="13" cm="1">
        <f t="array" ref="W73">_xll.BDH("CAT US Equity","IS_TOT_CASH_COM_DVD","FQ1 2024","FQ1 2024","Currency=USD","Period=FQ","BEST_FPERIOD_OVERRIDE=FQ","FILING_STATUS=MR","SCALING_FORMAT=MLN","Sort=A","Dates=H","DateFormat=P","Fill=—","Direction=H","UseDPDF=Y")</f>
        <v>642.07000000000005</v>
      </c>
      <c r="X73" s="13" cm="1">
        <f t="array" ref="X73">_xll.BDH("CAT US Equity","IS_TOT_CASH_COM_DVD","FQ2 2024","FQ2 2024","Currency=USD","Period=FQ","BEST_FPERIOD_OVERRIDE=FQ","FILING_STATUS=MR","SCALING_FORMAT=MLN","Sort=A","Dates=H","DateFormat=P","Fill=—","Direction=H","UseDPDF=Y")</f>
        <v>686.952</v>
      </c>
      <c r="Y73" s="13" cm="1">
        <f t="array" ref="Y73">_xll.BDH("CAT US Equity","IS_TOT_CASH_COM_DVD","FQ3 2024","FQ3 2024","Currency=USD","Period=FQ","BEST_FPERIOD_OVERRIDE=FQ","FILING_STATUS=MR","SCALING_FORMAT=MLN","Sort=A","Dates=H","DateFormat=P","Fill=—","Direction=H","UseDPDF=Y")</f>
        <v>682.72199999999998</v>
      </c>
      <c r="Z73" s="13" cm="1">
        <f t="array" ref="Z73">_xll.BDH("CAT US Equity","IS_TOT_CASH_COM_DVD","FQ4 2024","FQ4 2024","Currency=USD","Period=FQ","BEST_FPERIOD_OVERRIDE=FQ","FILING_STATUS=MR","SCALING_FORMAT=MLN","Sort=A","Dates=H","DateFormat=P","Fill=—","Direction=H","UseDPDF=Y")</f>
        <v>676.8</v>
      </c>
      <c r="AA73" s="13" cm="1">
        <f t="array" ref="AA73">_xll.BDH("CAT US Equity","IS_TOT_CASH_COM_DVD","FQ1 2025","FQ1 2025","Currency=USD","Period=FQ","BEST_FPERIOD_OVERRIDE=FQ","FILING_STATUS=MR","SCALING_FORMAT=MLN","Sort=A","Dates=H","DateFormat=P","Fill=—","Direction=H","UseDPDF=Y")</f>
        <v>669.60900000000004</v>
      </c>
      <c r="AB73" s="13" cm="1">
        <f t="array" ref="AB73">_xll.BDH("CAT US Equity","IS_TOT_CASH_COM_DVD","FQ2 2025","FQ2 2025","Currency=USD","Period=FQ","BEST_FPERIOD_OVERRIDE=FQ","FILING_STATUS=MR","SCALING_FORMAT=MLN","Sort=A","Dates=H","DateFormat=P","Fill=—","Direction=H","UseDPDF=Y")</f>
        <v>662.27700000000004</v>
      </c>
      <c r="AC73" s="13" cm="1">
        <f t="array" ref="AC73">_xll.BDH("CAT US Equity","IS_TOT_CASH_COM_DVD","FQ3 2025","FQ3 2025","Currency=USD","Period=FQ","BEST_FPERIOD_OVERRIDE=FQ","FILING_STATUS=MR","SCALING_FORMAT=MLN","Sort=A","Dates=H","DateFormat=P","Fill=—","Direction=H","UseDPDF=Y")</f>
        <v>707.58600000000001</v>
      </c>
      <c r="AD73" s="13" cm="1">
        <f t="array" ref="AD73">_xll.BDH("CAT US Equity","IS_TOT_CASH_COM_DVD","FQ4 2025","FQ4 2025","Currency=USD","Period=FQ","BEST_FPERIOD_OVERRIDE=FQ","FILING_STATUS=MR","SCALING_FORMAT=MLN","Sort=A","Dates=H","DateFormat=P","Fill=—","Direction=H","UseDPDF=Y")</f>
        <v>704.41499999999996</v>
      </c>
      <c r="AE73" s="13"/>
      <c r="AF73" s="13"/>
    </row>
    <row r="74" spans="1:32" x14ac:dyDescent="0.25">
      <c r="A74" s="10" t="s">
        <v>186</v>
      </c>
      <c r="B74" s="10" t="s">
        <v>187</v>
      </c>
      <c r="C74" s="13" cm="1">
        <f t="array" ref="C74">_xll.BDH("CAT US Equity","IS_DEPR_EXP","FQ1 2019","FQ1 2019","Currency=USD","Period=FQ","BEST_FPERIOD_OVERRIDE=FQ","FILING_STATUS=MR","SCALING_FORMAT=MLN","Sort=A","Dates=H","DateFormat=P","Fill=—","Direction=H","UseDPDF=Y")</f>
        <v>559</v>
      </c>
      <c r="D74" s="13" cm="1">
        <f t="array" ref="D74">_xll.BDH("CAT US Equity","IS_DEPR_EXP","FQ2 2019","FQ2 2019","Currency=USD","Period=FQ","BEST_FPERIOD_OVERRIDE=FQ","FILING_STATUS=MR","SCALING_FORMAT=MLN","Sort=A","Dates=H","DateFormat=P","Fill=—","Direction=H","UseDPDF=Y")</f>
        <v>566</v>
      </c>
      <c r="E74" s="13" cm="1">
        <f t="array" ref="E74">_xll.BDH("CAT US Equity","IS_DEPR_EXP","FQ3 2019","FQ3 2019","Currency=USD","Period=FQ","BEST_FPERIOD_OVERRIDE=FQ","FILING_STATUS=MR","SCALING_FORMAT=MLN","Sort=A","Dates=H","DateFormat=P","Fill=—","Direction=H","UseDPDF=Y")</f>
        <v>645</v>
      </c>
      <c r="F74" s="13" cm="1">
        <f t="array" ref="F74">_xll.BDH("CAT US Equity","IS_DEPR_EXP","FQ4 2019","FQ4 2019","Currency=USD","Period=FQ","BEST_FPERIOD_OVERRIDE=FQ","FILING_STATUS=MR","SCALING_FORMAT=MLN","Sort=A","Dates=H","DateFormat=P","Fill=—","Direction=H","UseDPDF=Y")</f>
        <v>320</v>
      </c>
      <c r="G74" s="13" cm="1">
        <f t="array" ref="G74">_xll.BDH("CAT US Equity","IS_DEPR_EXP","FQ1 2020","FQ1 2020","Currency=USD","Period=FQ","BEST_FPERIOD_OVERRIDE=FQ","FILING_STATUS=MR","SCALING_FORMAT=MLN","Sort=A","Dates=H","DateFormat=P","Fill=—","Direction=H","UseDPDF=Y")</f>
        <v>534</v>
      </c>
      <c r="H74" s="13" cm="1">
        <f t="array" ref="H74">_xll.BDH("CAT US Equity","IS_DEPR_EXP","FQ2 2020","FQ2 2020","Currency=USD","Period=FQ","BEST_FPERIOD_OVERRIDE=FQ","FILING_STATUS=MR","SCALING_FORMAT=MLN","Sort=A","Dates=H","DateFormat=P","Fill=—","Direction=H","UseDPDF=Y")</f>
        <v>530</v>
      </c>
      <c r="I74" s="13" cm="1">
        <f t="array" ref="I74">_xll.BDH("CAT US Equity","IS_DEPR_EXP","FQ3 2020","FQ3 2020","Currency=USD","Period=FQ","BEST_FPERIOD_OVERRIDE=FQ","FILING_STATUS=MR","SCALING_FORMAT=MLN","Sort=A","Dates=H","DateFormat=P","Fill=—","Direction=H","UseDPDF=Y")</f>
        <v>593</v>
      </c>
      <c r="J74" s="13" cm="1">
        <f t="array" ref="J74">_xll.BDH("CAT US Equity","IS_DEPR_EXP","FQ4 2020","FQ4 2020","Currency=USD","Period=FQ","BEST_FPERIOD_OVERRIDE=FQ","FILING_STATUS=MR","SCALING_FORMAT=MLN","Sort=A","Dates=H","DateFormat=P","Fill=—","Direction=H","UseDPDF=Y")</f>
        <v>307</v>
      </c>
      <c r="K74" s="13" cm="1">
        <f t="array" ref="K74">_xll.BDH("CAT US Equity","IS_DEPR_EXP","FQ1 2021","FQ1 2021","Currency=USD","Period=FQ","BEST_FPERIOD_OVERRIDE=FQ","FILING_STATUS=MR","SCALING_FORMAT=MLN","Sort=A","Dates=H","DateFormat=P","Fill=—","Direction=H","UseDPDF=Y")</f>
        <v>509</v>
      </c>
      <c r="L74" s="13" cm="1">
        <f t="array" ref="L74">_xll.BDH("CAT US Equity","IS_DEPR_EXP","FQ2 2021","FQ2 2021","Currency=USD","Period=FQ","BEST_FPERIOD_OVERRIDE=FQ","FILING_STATUS=MR","SCALING_FORMAT=MLN","Sort=A","Dates=H","DateFormat=P","Fill=—","Direction=H","UseDPDF=Y")</f>
        <v>511</v>
      </c>
      <c r="M74" s="13" cm="1">
        <f t="array" ref="M74">_xll.BDH("CAT US Equity","IS_DEPR_EXP","FQ3 2021","FQ3 2021","Currency=USD","Period=FQ","BEST_FPERIOD_OVERRIDE=FQ","FILING_STATUS=MR","SCALING_FORMAT=MLN","Sort=A","Dates=H","DateFormat=P","Fill=—","Direction=H","UseDPDF=Y")</f>
        <v>518</v>
      </c>
      <c r="N74" s="13" cm="1">
        <f t="array" ref="N74">_xll.BDH("CAT US Equity","IS_DEPR_EXP","FQ4 2021","FQ4 2021","Currency=USD","Period=FQ","BEST_FPERIOD_OVERRIDE=FQ","FILING_STATUS=MR","SCALING_FORMAT=MLN","Sort=A","Dates=H","DateFormat=P","Fill=—","Direction=H","UseDPDF=Y")</f>
        <v>284</v>
      </c>
      <c r="O74" s="13" cm="1">
        <f t="array" ref="O74">_xll.BDH("CAT US Equity","IS_DEPR_EXP","FQ1 2022","FQ1 2022","Currency=USD","Period=FQ","BEST_FPERIOD_OVERRIDE=FQ","FILING_STATUS=MR","SCALING_FORMAT=MLN","Sort=A","Dates=H","DateFormat=P","Fill=—","Direction=H","UseDPDF=Y")</f>
        <v>485</v>
      </c>
      <c r="P74" s="13" cm="1">
        <f t="array" ref="P74">_xll.BDH("CAT US Equity","IS_DEPR_EXP","FQ2 2022","FQ2 2022","Currency=USD","Period=FQ","BEST_FPERIOD_OVERRIDE=FQ","FILING_STATUS=MR","SCALING_FORMAT=MLN","Sort=A","Dates=H","DateFormat=P","Fill=—","Direction=H","UseDPDF=Y")</f>
        <v>482</v>
      </c>
      <c r="Q74" s="13" cm="1">
        <f t="array" ref="Q74">_xll.BDH("CAT US Equity","IS_DEPR_EXP","FQ3 2022","FQ3 2022","Currency=USD","Period=FQ","BEST_FPERIOD_OVERRIDE=FQ","FILING_STATUS=MR","SCALING_FORMAT=MLN","Sort=A","Dates=H","DateFormat=P","Fill=—","Direction=H","UseDPDF=Y")</f>
        <v>481</v>
      </c>
      <c r="R74" s="13" cm="1">
        <f t="array" ref="R74">_xll.BDH("CAT US Equity","IS_DEPR_EXP","FQ4 2022","FQ4 2022","Currency=USD","Period=FQ","BEST_FPERIOD_OVERRIDE=FQ","FILING_STATUS=MR","SCALING_FORMAT=MLN","Sort=A","Dates=H","DateFormat=P","Fill=—","Direction=H","UseDPDF=Y")</f>
        <v>275</v>
      </c>
      <c r="S74" s="13" cm="1">
        <f t="array" ref="S74">_xll.BDH("CAT US Equity","IS_DEPR_EXP","FQ1 2023","FQ1 2023","Currency=USD","Period=FQ","BEST_FPERIOD_OVERRIDE=FQ","FILING_STATUS=MR","SCALING_FORMAT=MLN","Sort=A","Dates=H","DateFormat=P","Fill=—","Direction=H","UseDPDF=Y")</f>
        <v>466</v>
      </c>
      <c r="T74" s="13" cm="1">
        <f t="array" ref="T74">_xll.BDH("CAT US Equity","IS_DEPR_EXP","FQ2 2023","FQ2 2023","Currency=USD","Period=FQ","BEST_FPERIOD_OVERRIDE=FQ","FILING_STATUS=MR","SCALING_FORMAT=MLN","Sort=A","Dates=H","DateFormat=P","Fill=—","Direction=H","UseDPDF=Y")</f>
        <v>478</v>
      </c>
      <c r="U74" s="13" cm="1">
        <f t="array" ref="U74">_xll.BDH("CAT US Equity","IS_DEPR_EXP","FQ3 2023","FQ3 2023","Currency=USD","Period=FQ","BEST_FPERIOD_OVERRIDE=FQ","FILING_STATUS=MR","SCALING_FORMAT=MLN","Sort=A","Dates=H","DateFormat=P","Fill=—","Direction=H","UseDPDF=Y")</f>
        <v>481</v>
      </c>
      <c r="V74" s="13" cm="1">
        <f t="array" ref="V74">_xll.BDH("CAT US Equity","IS_DEPR_EXP","FQ4 2023","FQ4 2023","Currency=USD","Period=FQ","BEST_FPERIOD_OVERRIDE=FQ","FILING_STATUS=MR","SCALING_FORMAT=MLN","Sort=A","Dates=H","DateFormat=P","Fill=—","Direction=H","UseDPDF=Y")</f>
        <v>501</v>
      </c>
      <c r="W74" s="13" cm="1">
        <f t="array" ref="W74">_xll.BDH("CAT US Equity","IS_DEPR_EXP","FQ1 2024","FQ1 2024","Currency=USD","Period=FQ","BEST_FPERIOD_OVERRIDE=FQ","FILING_STATUS=MR","SCALING_FORMAT=MLN","Sort=A","Dates=H","DateFormat=P","Fill=—","Direction=H","UseDPDF=Y")</f>
        <v>480</v>
      </c>
      <c r="X74" s="13" cm="1">
        <f t="array" ref="X74">_xll.BDH("CAT US Equity","IS_DEPR_EXP","FQ2 2024","FQ2 2024","Currency=USD","Period=FQ","BEST_FPERIOD_OVERRIDE=FQ","FILING_STATUS=MR","SCALING_FORMAT=MLN","Sort=A","Dates=H","DateFormat=P","Fill=—","Direction=H","UseDPDF=Y")</f>
        <v>488</v>
      </c>
      <c r="Y74" s="13" cm="1">
        <f t="array" ref="Y74">_xll.BDH("CAT US Equity","IS_DEPR_EXP","FQ3 2024","FQ3 2024","Currency=USD","Period=FQ","BEST_FPERIOD_OVERRIDE=FQ","FILING_STATUS=MR","SCALING_FORMAT=MLN","Sort=A","Dates=H","DateFormat=P","Fill=—","Direction=H","UseDPDF=Y")</f>
        <v>499</v>
      </c>
      <c r="Z74" s="13" cm="1">
        <f t="array" ref="Z74">_xll.BDH("CAT US Equity","IS_DEPR_EXP","FQ4 2024","FQ4 2024","Currency=USD","Period=FQ","BEST_FPERIOD_OVERRIDE=FQ","FILING_STATUS=MR","SCALING_FORMAT=MLN","Sort=A","Dates=H","DateFormat=P","Fill=—","Direction=H","UseDPDF=Y")</f>
        <v>379</v>
      </c>
      <c r="AA74" s="13" cm="1">
        <f t="array" ref="AA74">_xll.BDH("CAT US Equity","IS_DEPR_EXP","FQ1 2025","FQ1 2025","Currency=USD","Period=FQ","BEST_FPERIOD_OVERRIDE=FQ","FILING_STATUS=MR","SCALING_FORMAT=MLN","Sort=A","Dates=H","DateFormat=P","Fill=—","Direction=H","UseDPDF=Y")</f>
        <v>496</v>
      </c>
      <c r="AB74" s="13" cm="1">
        <f t="array" ref="AB74">_xll.BDH("CAT US Equity","IS_DEPR_EXP","FQ2 2025","FQ2 2025","Currency=USD","Period=FQ","BEST_FPERIOD_OVERRIDE=FQ","FILING_STATUS=MR","SCALING_FORMAT=MLN","Sort=A","Dates=H","DateFormat=P","Fill=—","Direction=H","UseDPDF=Y")</f>
        <v>511</v>
      </c>
      <c r="AC74" s="13" cm="1">
        <f t="array" ref="AC74">_xll.BDH("CAT US Equity","IS_DEPR_EXP","FQ3 2025","FQ3 2025","Currency=USD","Period=FQ","BEST_FPERIOD_OVERRIDE=FQ","FILING_STATUS=MR","SCALING_FORMAT=MLN","Sort=A","Dates=H","DateFormat=P","Fill=—","Direction=H","UseDPDF=Y")</f>
        <v>529</v>
      </c>
      <c r="AD74" s="13" cm="1">
        <f t="array" ref="AD74">_xll.BDH("CAT US Equity","IS_DEPR_EXP","FQ4 2025","FQ4 2025","Currency=USD","Period=FQ","BEST_FPERIOD_OVERRIDE=FQ","FILING_STATUS=MR","SCALING_FORMAT=MLN","Sort=A","Dates=H","DateFormat=P","Fill=—","Direction=H","UseDPDF=Y")</f>
        <v>557</v>
      </c>
      <c r="AE74" s="13"/>
      <c r="AF74" s="13"/>
    </row>
    <row r="75" spans="1:32" x14ac:dyDescent="0.25">
      <c r="A75" s="10" t="s">
        <v>188</v>
      </c>
      <c r="B75" s="10" t="s">
        <v>189</v>
      </c>
      <c r="C75" s="13" cm="1">
        <f t="array" ref="C75">_xll.BDH("CAT US Equity","BS_CURR_RENTAL_EXPENSE","FQ1 2019","FQ1 2019","Currency=USD","Period=FQ","BEST_FPERIOD_OVERRIDE=FQ","FILING_STATUS=MR","SCALING_FORMAT=MLN","Sort=A","Dates=H","DateFormat=P","Fill=—","Direction=H","UseDPDF=Y")</f>
        <v>76</v>
      </c>
      <c r="D75" s="13" cm="1">
        <f t="array" ref="D75">_xll.BDH("CAT US Equity","BS_CURR_RENTAL_EXPENSE","FQ2 2019","FQ2 2019","Currency=USD","Period=FQ","BEST_FPERIOD_OVERRIDE=FQ","FILING_STATUS=MR","SCALING_FORMAT=MLN","Sort=A","Dates=H","DateFormat=P","Fill=—","Direction=H","UseDPDF=Y")</f>
        <v>74</v>
      </c>
      <c r="E75" s="13" cm="1">
        <f t="array" ref="E75">_xll.BDH("CAT US Equity","BS_CURR_RENTAL_EXPENSE","FQ3 2019","FQ3 2019","Currency=USD","Period=FQ","BEST_FPERIOD_OVERRIDE=FQ","FILING_STATUS=MR","SCALING_FORMAT=MLN","Sort=A","Dates=H","DateFormat=P","Fill=—","Direction=H","UseDPDF=Y")</f>
        <v>70</v>
      </c>
      <c r="F75" s="13" cm="1">
        <f t="array" ref="F75">_xll.BDH("CAT US Equity","BS_CURR_RENTAL_EXPENSE","FQ4 2019","FQ4 2019","Currency=USD","Period=FQ","BEST_FPERIOD_OVERRIDE=FQ","FILING_STATUS=MR","SCALING_FORMAT=MLN","Sort=A","Dates=H","DateFormat=P","Fill=—","Direction=H","UseDPDF=Y")</f>
        <v>69</v>
      </c>
      <c r="G75" s="13" t="str" cm="1">
        <f t="array" ref="G75">_xll.BDH("CAT US Equity","BS_CURR_RENTAL_EXPENSE","FQ1 2020","FQ1 2020","Currency=USD","Period=FQ","BEST_FPERIOD_OVERRIDE=FQ","FILING_STATUS=MR","SCALING_FORMAT=MLN","Sort=A","Dates=H","DateFormat=P","Fill=—","Direction=H","UseDPDF=Y")</f>
        <v>—</v>
      </c>
      <c r="H75" s="13" t="str" cm="1">
        <f t="array" ref="H75">_xll.BDH("CAT US Equity","BS_CURR_RENTAL_EXPENSE","FQ2 2020","FQ2 2020","Currency=USD","Period=FQ","BEST_FPERIOD_OVERRIDE=FQ","FILING_STATUS=MR","SCALING_FORMAT=MLN","Sort=A","Dates=H","DateFormat=P","Fill=—","Direction=H","UseDPDF=Y")</f>
        <v>—</v>
      </c>
      <c r="I75" s="13" t="str" cm="1">
        <f t="array" ref="I75">_xll.BDH("CAT US Equity","BS_CURR_RENTAL_EXPENSE","FQ3 2020","FQ3 2020","Currency=USD","Period=FQ","BEST_FPERIOD_OVERRIDE=FQ","FILING_STATUS=MR","SCALING_FORMAT=MLN","Sort=A","Dates=H","DateFormat=P","Fill=—","Direction=H","UseDPDF=Y")</f>
        <v>—</v>
      </c>
      <c r="J75" s="13" t="str" cm="1">
        <f t="array" ref="J75">_xll.BDH("CAT US Equity","BS_CURR_RENTAL_EXPENSE","FQ4 2020","FQ4 2020","Currency=USD","Period=FQ","BEST_FPERIOD_OVERRIDE=FQ","FILING_STATUS=MR","SCALING_FORMAT=MLN","Sort=A","Dates=H","DateFormat=P","Fill=—","Direction=H","UseDPDF=Y")</f>
        <v>—</v>
      </c>
      <c r="K75" s="13" t="str" cm="1">
        <f t="array" ref="K75">_xll.BDH("CAT US Equity","BS_CURR_RENTAL_EXPENSE","FQ1 2021","FQ1 2021","Currency=USD","Period=FQ","BEST_FPERIOD_OVERRIDE=FQ","FILING_STATUS=MR","SCALING_FORMAT=MLN","Sort=A","Dates=H","DateFormat=P","Fill=—","Direction=H","UseDPDF=Y")</f>
        <v>—</v>
      </c>
      <c r="L75" s="13" t="str" cm="1">
        <f t="array" ref="L75">_xll.BDH("CAT US Equity","BS_CURR_RENTAL_EXPENSE","FQ2 2021","FQ2 2021","Currency=USD","Period=FQ","BEST_FPERIOD_OVERRIDE=FQ","FILING_STATUS=MR","SCALING_FORMAT=MLN","Sort=A","Dates=H","DateFormat=P","Fill=—","Direction=H","UseDPDF=Y")</f>
        <v>—</v>
      </c>
      <c r="M75" s="13" t="str" cm="1">
        <f t="array" ref="M75">_xll.BDH("CAT US Equity","BS_CURR_RENTAL_EXPENSE","FQ3 2021","FQ3 2021","Currency=USD","Period=FQ","BEST_FPERIOD_OVERRIDE=FQ","FILING_STATUS=MR","SCALING_FORMAT=MLN","Sort=A","Dates=H","DateFormat=P","Fill=—","Direction=H","UseDPDF=Y")</f>
        <v>—</v>
      </c>
      <c r="N75" s="13" t="str" cm="1">
        <f t="array" ref="N75">_xll.BDH("CAT US Equity","BS_CURR_RENTAL_EXPENSE","FQ4 2021","FQ4 2021","Currency=USD","Period=FQ","BEST_FPERIOD_OVERRIDE=FQ","FILING_STATUS=MR","SCALING_FORMAT=MLN","Sort=A","Dates=H","DateFormat=P","Fill=—","Direction=H","UseDPDF=Y")</f>
        <v>—</v>
      </c>
      <c r="O75" s="13" t="str" cm="1">
        <f t="array" ref="O75">_xll.BDH("CAT US Equity","BS_CURR_RENTAL_EXPENSE","FQ1 2022","FQ1 2022","Currency=USD","Period=FQ","BEST_FPERIOD_OVERRIDE=FQ","FILING_STATUS=MR","SCALING_FORMAT=MLN","Sort=A","Dates=H","DateFormat=P","Fill=—","Direction=H","UseDPDF=Y")</f>
        <v>—</v>
      </c>
      <c r="P75" s="13" t="str" cm="1">
        <f t="array" ref="P75">_xll.BDH("CAT US Equity","BS_CURR_RENTAL_EXPENSE","FQ2 2022","FQ2 2022","Currency=USD","Period=FQ","BEST_FPERIOD_OVERRIDE=FQ","FILING_STATUS=MR","SCALING_FORMAT=MLN","Sort=A","Dates=H","DateFormat=P","Fill=—","Direction=H","UseDPDF=Y")</f>
        <v>—</v>
      </c>
      <c r="Q75" s="13" t="str" cm="1">
        <f t="array" ref="Q75">_xll.BDH("CAT US Equity","BS_CURR_RENTAL_EXPENSE","FQ3 2022","FQ3 2022","Currency=USD","Period=FQ","BEST_FPERIOD_OVERRIDE=FQ","FILING_STATUS=MR","SCALING_FORMAT=MLN","Sort=A","Dates=H","DateFormat=P","Fill=—","Direction=H","UseDPDF=Y")</f>
        <v>—</v>
      </c>
      <c r="R75" s="13" t="str" cm="1">
        <f t="array" ref="R75">_xll.BDH("CAT US Equity","BS_CURR_RENTAL_EXPENSE","FQ4 2022","FQ4 2022","Currency=USD","Period=FQ","BEST_FPERIOD_OVERRIDE=FQ","FILING_STATUS=MR","SCALING_FORMAT=MLN","Sort=A","Dates=H","DateFormat=P","Fill=—","Direction=H","UseDPDF=Y")</f>
        <v>—</v>
      </c>
      <c r="S75" s="13" t="str" cm="1">
        <f t="array" ref="S75">_xll.BDH("CAT US Equity","BS_CURR_RENTAL_EXPENSE","FQ1 2023","FQ1 2023","Currency=USD","Period=FQ","BEST_FPERIOD_OVERRIDE=FQ","FILING_STATUS=MR","SCALING_FORMAT=MLN","Sort=A","Dates=H","DateFormat=P","Fill=—","Direction=H","UseDPDF=Y")</f>
        <v>—</v>
      </c>
      <c r="T75" s="13" t="str" cm="1">
        <f t="array" ref="T75">_xll.BDH("CAT US Equity","BS_CURR_RENTAL_EXPENSE","FQ2 2023","FQ2 2023","Currency=USD","Period=FQ","BEST_FPERIOD_OVERRIDE=FQ","FILING_STATUS=MR","SCALING_FORMAT=MLN","Sort=A","Dates=H","DateFormat=P","Fill=—","Direction=H","UseDPDF=Y")</f>
        <v>—</v>
      </c>
      <c r="U75" s="13" t="str" cm="1">
        <f t="array" ref="U75">_xll.BDH("CAT US Equity","BS_CURR_RENTAL_EXPENSE","FQ3 2023","FQ3 2023","Currency=USD","Period=FQ","BEST_FPERIOD_OVERRIDE=FQ","FILING_STATUS=MR","SCALING_FORMAT=MLN","Sort=A","Dates=H","DateFormat=P","Fill=—","Direction=H","UseDPDF=Y")</f>
        <v>—</v>
      </c>
      <c r="V75" s="13" t="str" cm="1">
        <f t="array" ref="V75">_xll.BDH("CAT US Equity","BS_CURR_RENTAL_EXPENSE","FQ4 2023","FQ4 2023","Currency=USD","Period=FQ","BEST_FPERIOD_OVERRIDE=FQ","FILING_STATUS=MR","SCALING_FORMAT=MLN","Sort=A","Dates=H","DateFormat=P","Fill=—","Direction=H","UseDPDF=Y")</f>
        <v>—</v>
      </c>
      <c r="W75" s="13" t="str" cm="1">
        <f t="array" ref="W75">_xll.BDH("CAT US Equity","BS_CURR_RENTAL_EXPENSE","FQ1 2024","FQ1 2024","Currency=USD","Period=FQ","BEST_FPERIOD_OVERRIDE=FQ","FILING_STATUS=MR","SCALING_FORMAT=MLN","Sort=A","Dates=H","DateFormat=P","Fill=—","Direction=H","UseDPDF=Y")</f>
        <v>—</v>
      </c>
      <c r="X75" s="13" t="str" cm="1">
        <f t="array" ref="X75">_xll.BDH("CAT US Equity","BS_CURR_RENTAL_EXPENSE","FQ2 2024","FQ2 2024","Currency=USD","Period=FQ","BEST_FPERIOD_OVERRIDE=FQ","FILING_STATUS=MR","SCALING_FORMAT=MLN","Sort=A","Dates=H","DateFormat=P","Fill=—","Direction=H","UseDPDF=Y")</f>
        <v>—</v>
      </c>
      <c r="Y75" s="13" t="str" cm="1">
        <f t="array" ref="Y75">_xll.BDH("CAT US Equity","BS_CURR_RENTAL_EXPENSE","FQ3 2024","FQ3 2024","Currency=USD","Period=FQ","BEST_FPERIOD_OVERRIDE=FQ","FILING_STATUS=MR","SCALING_FORMAT=MLN","Sort=A","Dates=H","DateFormat=P","Fill=—","Direction=H","UseDPDF=Y")</f>
        <v>—</v>
      </c>
      <c r="Z75" s="13" t="str" cm="1">
        <f t="array" ref="Z75">_xll.BDH("CAT US Equity","BS_CURR_RENTAL_EXPENSE","FQ4 2024","FQ4 2024","Currency=USD","Period=FQ","BEST_FPERIOD_OVERRIDE=FQ","FILING_STATUS=MR","SCALING_FORMAT=MLN","Sort=A","Dates=H","DateFormat=P","Fill=—","Direction=H","UseDPDF=Y")</f>
        <v>—</v>
      </c>
      <c r="AA75" s="13" t="str" cm="1">
        <f t="array" ref="AA75">_xll.BDH("CAT US Equity","BS_CURR_RENTAL_EXPENSE","FQ1 2025","FQ1 2025","Currency=USD","Period=FQ","BEST_FPERIOD_OVERRIDE=FQ","FILING_STATUS=MR","SCALING_FORMAT=MLN","Sort=A","Dates=H","DateFormat=P","Fill=—","Direction=H","UseDPDF=Y")</f>
        <v>—</v>
      </c>
      <c r="AB75" s="13" t="str" cm="1">
        <f t="array" ref="AB75">_xll.BDH("CAT US Equity","BS_CURR_RENTAL_EXPENSE","FQ2 2025","FQ2 2025","Currency=USD","Period=FQ","BEST_FPERIOD_OVERRIDE=FQ","FILING_STATUS=MR","SCALING_FORMAT=MLN","Sort=A","Dates=H","DateFormat=P","Fill=—","Direction=H","UseDPDF=Y")</f>
        <v>—</v>
      </c>
      <c r="AC75" s="13" t="str" cm="1">
        <f t="array" ref="AC75">_xll.BDH("CAT US Equity","BS_CURR_RENTAL_EXPENSE","FQ3 2025","FQ3 2025","Currency=USD","Period=FQ","BEST_FPERIOD_OVERRIDE=FQ","FILING_STATUS=MR","SCALING_FORMAT=MLN","Sort=A","Dates=H","DateFormat=P","Fill=—","Direction=H","UseDPDF=Y")</f>
        <v>—</v>
      </c>
      <c r="AD75" s="13" t="str" cm="1">
        <f t="array" ref="AD75">_xll.BDH("CAT US Equity","BS_CURR_RENTAL_EXPENSE","FQ4 2025","FQ4 2025","Currency=USD","Period=FQ","BEST_FPERIOD_OVERRIDE=FQ","FILING_STATUS=MR","SCALING_FORMAT=MLN","Sort=A","Dates=H","DateFormat=P","Fill=—","Direction=H","UseDPDF=Y")</f>
        <v>—</v>
      </c>
      <c r="AE75" s="13"/>
      <c r="AF75" s="13"/>
    </row>
    <row r="76" spans="1:32" x14ac:dyDescent="0.25">
      <c r="A76" s="7" t="s">
        <v>190</v>
      </c>
      <c r="B76" s="7"/>
      <c r="C76" s="7" t="s">
        <v>3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 Adjusted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2026-02-19T01:55:06Z</dcterms:modified>
</cp:coreProperties>
</file>