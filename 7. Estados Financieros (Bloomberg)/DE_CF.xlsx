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79ACDF12-48DC-4E5A-8F96-315E548DC1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3" i="2" l="1" a="1"/>
  <c r="R24" i="2" a="1"/>
  <c r="C18" i="2" a="1"/>
  <c r="AA14" i="2" a="1"/>
  <c r="S7" i="2" a="1"/>
  <c r="AE8" i="2" a="1"/>
  <c r="J13" i="2" a="1"/>
  <c r="I29" i="2" a="1"/>
  <c r="I22" i="2" a="1"/>
  <c r="I11" i="2" a="1"/>
  <c r="I37" i="2" a="1"/>
  <c r="T7" i="2" a="1"/>
  <c r="K35" i="2" a="1"/>
  <c r="R14" i="2" a="1"/>
  <c r="C10" i="2" a="1"/>
  <c r="S9" i="2" a="1"/>
  <c r="J35" i="2" a="1"/>
  <c r="I46" i="2" a="1"/>
  <c r="T46" i="2" a="1"/>
  <c r="P36" i="2" a="1"/>
  <c r="H7" i="2" a="1"/>
  <c r="I38" i="2" a="1"/>
  <c r="W19" i="2" a="1"/>
  <c r="AD8" i="2" a="1"/>
  <c r="I34" i="2" a="1"/>
  <c r="W37" i="2" a="1"/>
  <c r="U11" i="2" a="1"/>
  <c r="U12" i="2" a="1"/>
  <c r="I27" i="2" a="1"/>
  <c r="AD16" i="2" a="1"/>
  <c r="L25" i="2" a="1"/>
  <c r="G11" i="2" a="1"/>
  <c r="V37" i="2" a="1"/>
  <c r="O27" i="2" a="1"/>
  <c r="X17" i="2" a="1"/>
  <c r="I32" i="2" a="1"/>
  <c r="F30" i="2" a="1"/>
  <c r="AF13" i="2" a="1"/>
  <c r="D18" i="2" a="1"/>
  <c r="I13" i="2" a="1"/>
  <c r="I53" i="2" a="1"/>
  <c r="I24" i="2" a="1"/>
  <c r="I14" i="2" a="1"/>
  <c r="AB14" i="2" a="1"/>
  <c r="I63" i="2" a="1"/>
  <c r="I30" i="2" a="1"/>
  <c r="P16" i="2" a="1"/>
  <c r="G12" i="2" a="1"/>
  <c r="M25" i="2" a="1"/>
  <c r="O33" i="2" a="1"/>
  <c r="X33" i="2" a="1"/>
  <c r="I23" i="2" a="1"/>
  <c r="F22" i="2" a="1"/>
  <c r="AF7" i="2" a="1"/>
  <c r="D10" i="2" a="1"/>
  <c r="I7" i="2" a="1"/>
  <c r="I19" i="2" a="1"/>
  <c r="I31" i="2" a="1"/>
  <c r="I61" i="2" a="1"/>
  <c r="AB38" i="2" a="1"/>
  <c r="I59" i="2" a="1"/>
  <c r="Y7" i="2" a="1"/>
  <c r="AA15" i="2" a="1"/>
  <c r="AE16" i="2" a="1"/>
  <c r="I44" i="2" a="1"/>
  <c r="I17" i="2" a="1"/>
  <c r="I10" i="2" a="1"/>
  <c r="K29" i="2" a="1"/>
  <c r="V19" i="2" a="1"/>
  <c r="I42" i="2" a="1"/>
  <c r="M24" i="2" a="1"/>
  <c r="L11" i="2" a="1"/>
  <c r="H9" i="2" a="1"/>
  <c r="I12" i="2" a="1"/>
  <c r="AC38" i="2" a="1"/>
  <c r="N62" i="2" a="1"/>
  <c r="N7" i="2" a="1"/>
  <c r="N10" i="2" a="1"/>
  <c r="N34" i="2" a="1"/>
  <c r="C28" i="2" a="1"/>
  <c r="C32" i="2" a="1"/>
  <c r="C37" i="2" a="1"/>
  <c r="N31" i="2" a="1"/>
  <c r="U44" i="2" a="1"/>
  <c r="U10" i="2" a="1"/>
  <c r="U46" i="2" a="1"/>
  <c r="U33" i="2" a="1"/>
  <c r="T33" i="2" a="1"/>
  <c r="T35" i="2" a="1"/>
  <c r="T18" i="2" a="1"/>
  <c r="E34" i="2" a="1"/>
  <c r="M8" i="2" a="1"/>
  <c r="M18" i="2" a="1"/>
  <c r="M23" i="2" a="1"/>
  <c r="U63" i="2" a="1"/>
  <c r="AA41" i="2" a="1"/>
  <c r="AA64" i="2" a="1"/>
  <c r="AA35" i="2" a="1"/>
  <c r="H11" i="2" a="1"/>
  <c r="H26" i="2" a="1"/>
  <c r="H50" i="2" a="1"/>
  <c r="H19" i="2" a="1"/>
  <c r="Z37" i="2" a="1"/>
  <c r="Z29" i="2" a="1"/>
  <c r="Z12" i="2" a="1"/>
  <c r="Z30" i="2" a="1"/>
  <c r="O47" i="2" a="1"/>
  <c r="O64" i="2" a="1"/>
  <c r="O55" i="2" a="1"/>
  <c r="AF37" i="2" a="1"/>
  <c r="AF16" i="2" a="1"/>
  <c r="AF29" i="2" a="1"/>
  <c r="AF35" i="2" a="1"/>
  <c r="AB26" i="2" a="1"/>
  <c r="AB8" i="2" a="1"/>
  <c r="AB23" i="2" a="1"/>
  <c r="AB30" i="2" a="1"/>
  <c r="S33" i="2" a="1"/>
  <c r="S22" i="2" a="1"/>
  <c r="S18" i="2" a="1"/>
  <c r="AE30" i="2" a="1"/>
  <c r="AE31" i="2" a="1"/>
  <c r="AE17" i="2" a="1"/>
  <c r="AE7" i="2" a="1"/>
  <c r="Y29" i="2" a="1"/>
  <c r="Y11" i="2" a="1"/>
  <c r="Y38" i="2" a="1"/>
  <c r="Y36" i="2" a="1"/>
  <c r="G7" i="2" a="1"/>
  <c r="G9" i="2" a="1"/>
  <c r="G35" i="2" a="1"/>
  <c r="V10" i="2" a="1"/>
  <c r="V18" i="2" a="1"/>
  <c r="V33" i="2" a="1"/>
  <c r="V31" i="2" a="1"/>
  <c r="D13" i="2" a="1"/>
  <c r="D7" i="2" a="1"/>
  <c r="D34" i="2" a="1"/>
  <c r="D22" i="2" a="1"/>
  <c r="J37" i="2" a="1"/>
  <c r="J24" i="2" a="1"/>
  <c r="J33" i="2" a="1"/>
  <c r="Q8" i="2" a="1"/>
  <c r="Q22" i="2" a="1"/>
  <c r="Q16" i="2" a="1"/>
  <c r="Q32" i="2" a="1"/>
  <c r="K24" i="2" a="1"/>
  <c r="K37" i="2" a="1"/>
  <c r="K8" i="2" a="1"/>
  <c r="K33" i="2" a="1"/>
  <c r="W29" i="2" a="1"/>
  <c r="W26" i="2" a="1"/>
  <c r="W7" i="2" a="1"/>
  <c r="H59" i="2" a="1"/>
  <c r="P17" i="2" a="1"/>
  <c r="AC32" i="2" a="1"/>
  <c r="N49" i="2" a="1"/>
  <c r="N18" i="2" a="1"/>
  <c r="N47" i="2" a="1"/>
  <c r="N15" i="2" a="1"/>
  <c r="C49" i="2" a="1"/>
  <c r="C36" i="2" a="1"/>
  <c r="Q24" i="2" a="1"/>
  <c r="N19" i="2" a="1"/>
  <c r="N23" i="2" a="1"/>
  <c r="N14" i="2" a="1"/>
  <c r="C29" i="2" a="1"/>
  <c r="C64" i="2" a="1"/>
  <c r="C62" i="2" a="1"/>
  <c r="C11" i="2" a="1"/>
  <c r="Z18" i="2" a="1"/>
  <c r="U27" i="2" a="1"/>
  <c r="U22" i="2" a="1"/>
  <c r="U29" i="2" a="1"/>
  <c r="T26" i="2" a="1"/>
  <c r="T15" i="2" a="1"/>
  <c r="Q36" i="2" a="1"/>
  <c r="N24" i="2" a="1"/>
  <c r="N37" i="2" a="1"/>
  <c r="N12" i="2" a="1"/>
  <c r="C33" i="2" a="1"/>
  <c r="C47" i="2" a="1"/>
  <c r="C41" i="2" a="1"/>
  <c r="C51" i="2" a="1"/>
  <c r="Z55" i="2" a="1"/>
  <c r="U42" i="2" a="1"/>
  <c r="U34" i="2" a="1"/>
  <c r="U41" i="2" a="1"/>
  <c r="T25" i="2" a="1"/>
  <c r="T14" i="2" a="1"/>
  <c r="T10" i="2" a="1"/>
  <c r="T41" i="2" a="1"/>
  <c r="N32" i="2" a="1"/>
  <c r="N51" i="2" a="1"/>
  <c r="T27" i="2" a="1"/>
  <c r="T13" i="2" a="1"/>
  <c r="M30" i="2" a="1"/>
  <c r="AA23" i="2" a="1"/>
  <c r="AA43" i="2" a="1"/>
  <c r="H12" i="2" a="1"/>
  <c r="H10" i="2" a="1"/>
  <c r="Z45" i="2" a="1"/>
  <c r="O49" i="2" a="1"/>
  <c r="AF8" i="2" a="1"/>
  <c r="AF32" i="2" a="1"/>
  <c r="AB7" i="2" a="1"/>
  <c r="AB18" i="2" a="1"/>
  <c r="S37" i="2" a="1"/>
  <c r="S8" i="2" a="1"/>
  <c r="S26" i="2" a="1"/>
  <c r="AE37" i="2" a="1"/>
  <c r="AE13" i="2" a="1"/>
  <c r="Y12" i="2" a="1"/>
  <c r="Y23" i="2" a="1"/>
  <c r="Y10" i="2" a="1"/>
  <c r="G28" i="2" a="1"/>
  <c r="G17" i="2" a="1"/>
  <c r="V14" i="2" a="1"/>
  <c r="V16" i="2" a="1"/>
  <c r="V23" i="2" a="1"/>
  <c r="D15" i="2" a="1"/>
  <c r="D11" i="2" a="1"/>
  <c r="D26" i="2" a="1"/>
  <c r="J11" i="2" a="1"/>
  <c r="J18" i="2" a="1"/>
  <c r="J19" i="2" a="1"/>
  <c r="Q15" i="2" a="1"/>
  <c r="Q18" i="2" a="1"/>
  <c r="Q28" i="2" a="1"/>
  <c r="K15" i="2" a="1"/>
  <c r="K31" i="2" a="1"/>
  <c r="K10" i="2" a="1"/>
  <c r="W41" i="2" a="1"/>
  <c r="W15" i="2" a="1"/>
  <c r="W23" i="2" a="1"/>
  <c r="H63" i="2" a="1"/>
  <c r="P8" i="2" a="1"/>
  <c r="P38" i="2" a="1"/>
  <c r="R18" i="2" a="1"/>
  <c r="N38" i="2" a="1"/>
  <c r="U19" i="2" a="1"/>
  <c r="M42" i="2" a="1"/>
  <c r="AA19" i="2" a="1"/>
  <c r="Z10" i="2" a="1"/>
  <c r="O35" i="2" a="1"/>
  <c r="AB17" i="2" a="1"/>
  <c r="Y26" i="2" a="1"/>
  <c r="G29" i="2" a="1"/>
  <c r="R34" i="2" a="1"/>
  <c r="R8" i="2" a="1"/>
  <c r="X29" i="2" a="1"/>
  <c r="E30" i="2" a="1"/>
  <c r="E13" i="2" a="1"/>
  <c r="F19" i="2" a="1"/>
  <c r="F23" i="2" a="1"/>
  <c r="AD15" i="2" a="1"/>
  <c r="AD11" i="2" a="1"/>
  <c r="T38" i="2" a="1"/>
  <c r="H34" i="2" a="1"/>
  <c r="Z49" i="2" a="1"/>
  <c r="AF38" i="2" a="1"/>
  <c r="AB15" i="2" a="1"/>
  <c r="N45" i="2" a="1"/>
  <c r="C14" i="2" a="1"/>
  <c r="U30" i="2" a="1"/>
  <c r="T17" i="2" a="1"/>
  <c r="M19" i="2" a="1"/>
  <c r="H22" i="2" a="1"/>
  <c r="AB9" i="2" a="1"/>
  <c r="N30" i="2" a="1"/>
  <c r="N35" i="2" a="1"/>
  <c r="C9" i="2" a="1"/>
  <c r="T16" i="2" a="1"/>
  <c r="E10" i="2" a="1"/>
  <c r="AA13" i="2" a="1"/>
  <c r="AA12" i="2" a="1"/>
  <c r="H28" i="2" a="1"/>
  <c r="H42" i="2" a="1"/>
  <c r="Z11" i="2" a="1"/>
  <c r="O41" i="2" a="1"/>
  <c r="O32" i="2" a="1"/>
  <c r="U48" i="2" a="1"/>
  <c r="U36" i="2" a="1"/>
  <c r="T28" i="2" a="1"/>
  <c r="M34" i="2" a="1"/>
  <c r="M10" i="2" a="1"/>
  <c r="M11" i="2" a="1"/>
  <c r="AA22" i="2" a="1"/>
  <c r="AA24" i="2" a="1"/>
  <c r="Z41" i="2" a="1"/>
  <c r="Z19" i="2" a="1"/>
  <c r="O17" i="2" a="1"/>
  <c r="O9" i="2" a="1"/>
  <c r="C16" i="2" a="1"/>
  <c r="C8" i="2" a="1"/>
  <c r="U61" i="2" a="1"/>
  <c r="T9" i="2" a="1"/>
  <c r="T42" i="2" a="1"/>
  <c r="M13" i="2" a="1"/>
  <c r="M22" i="2" a="1"/>
  <c r="AA30" i="2" a="1"/>
  <c r="AA34" i="2" a="1"/>
  <c r="H29" i="2" a="1"/>
  <c r="Z51" i="2" a="1"/>
  <c r="Z47" i="2" a="1"/>
  <c r="O24" i="2" a="1"/>
  <c r="O38" i="2" a="1"/>
  <c r="AB16" i="2" a="1"/>
  <c r="AB36" i="2" a="1"/>
  <c r="P26" i="2" a="1"/>
  <c r="R9" i="2" a="1"/>
  <c r="R26" i="2" a="1"/>
  <c r="J63" i="2" a="1"/>
  <c r="X23" i="2" a="1"/>
  <c r="X27" i="2" a="1"/>
  <c r="X11" i="2" a="1"/>
  <c r="E19" i="2" a="1"/>
  <c r="E16" i="2" a="1"/>
  <c r="E18" i="2" a="1"/>
  <c r="E7" i="2" a="1"/>
  <c r="F36" i="2" a="1"/>
  <c r="F13" i="2" a="1"/>
  <c r="F7" i="2" a="1"/>
  <c r="F18" i="2" a="1"/>
  <c r="AD18" i="2" a="1"/>
  <c r="AD12" i="2" a="1"/>
  <c r="AD9" i="2" a="1"/>
  <c r="C19" i="2" a="1"/>
  <c r="U17" i="2" a="1"/>
  <c r="M12" i="2" a="1"/>
  <c r="AA49" i="2" a="1"/>
  <c r="H53" i="2" a="1"/>
  <c r="Z62" i="2" a="1"/>
  <c r="O15" i="2" a="1"/>
  <c r="AF26" i="2" a="1"/>
  <c r="S35" i="2" a="1"/>
  <c r="AE18" i="2" a="1"/>
  <c r="G22" i="2" a="1"/>
  <c r="P22" i="2" a="1"/>
  <c r="J59" i="2" a="1"/>
  <c r="X22" i="2" a="1"/>
  <c r="E14" i="2" a="1"/>
  <c r="E11" i="2" a="1"/>
  <c r="F24" i="2" a="1"/>
  <c r="F12" i="2" a="1"/>
  <c r="AD19" i="2" a="1"/>
  <c r="M27" i="2" a="1"/>
  <c r="Z13" i="2" a="1"/>
  <c r="Z34" i="2" a="1"/>
  <c r="AF25" i="2" a="1"/>
  <c r="S17" i="2" a="1"/>
  <c r="N42" i="2" a="1"/>
  <c r="U35" i="2" a="1"/>
  <c r="T32" i="2" a="1"/>
  <c r="M7" i="2" a="1"/>
  <c r="AA31" i="2" a="1"/>
  <c r="H30" i="2" a="1"/>
  <c r="O8" i="2" a="1"/>
  <c r="AF44" i="2" a="1"/>
  <c r="AF12" i="2" a="1"/>
  <c r="AB24" i="2" a="1"/>
  <c r="S13" i="2" a="1"/>
  <c r="Y34" i="2" a="1"/>
  <c r="G25" i="2" a="1"/>
  <c r="D36" i="2" a="1"/>
  <c r="J8" i="2" a="1"/>
  <c r="Q30" i="2" a="1"/>
  <c r="W11" i="2" a="1"/>
  <c r="P24" i="2" a="1"/>
  <c r="R12" i="2" a="1"/>
  <c r="R30" i="2" a="1"/>
  <c r="X31" i="2" a="1"/>
  <c r="E15" i="2" a="1"/>
  <c r="F32" i="2" a="1"/>
  <c r="AD28" i="2" a="1"/>
  <c r="N25" i="2" a="1"/>
  <c r="U28" i="2" a="1"/>
  <c r="M36" i="2" a="1"/>
  <c r="H25" i="2" a="1"/>
  <c r="Z33" i="2" a="1"/>
  <c r="O16" i="2" a="1"/>
  <c r="AF15" i="2" a="1"/>
  <c r="AF22" i="2" a="1"/>
  <c r="S25" i="2" a="1"/>
  <c r="AE10" i="2" a="1"/>
  <c r="Y16" i="2" a="1"/>
  <c r="V15" i="2" a="1"/>
  <c r="D24" i="2" a="1"/>
  <c r="Q19" i="2" a="1"/>
  <c r="K13" i="2" a="1"/>
  <c r="W12" i="2" a="1"/>
  <c r="P28" i="2" a="1"/>
  <c r="R36" i="2" a="1"/>
  <c r="X16" i="2" a="1"/>
  <c r="E38" i="2" a="1"/>
  <c r="AD32" i="2" a="1"/>
  <c r="H17" i="2" a="1"/>
  <c r="AB28" i="2" a="1"/>
  <c r="S15" i="2" a="1"/>
  <c r="AE41" i="2" a="1"/>
  <c r="G16" i="2" a="1"/>
  <c r="V41" i="2" a="1"/>
  <c r="D25" i="2" a="1"/>
  <c r="Q23" i="2" a="1"/>
  <c r="W27" i="2" a="1"/>
  <c r="X37" i="2" a="1"/>
  <c r="AD7" i="2" a="1"/>
  <c r="M38" i="2" a="1"/>
  <c r="O14" i="2" a="1"/>
  <c r="S28" i="2" a="1"/>
  <c r="Y28" i="2" a="1"/>
  <c r="V13" i="2" a="1"/>
  <c r="Q38" i="2" a="1"/>
  <c r="X26" i="2" a="1"/>
  <c r="AD13" i="2" a="1"/>
  <c r="M32" i="2" a="1"/>
  <c r="H41" i="2" a="1"/>
  <c r="AB29" i="2" a="1"/>
  <c r="Y30" i="2" a="1"/>
  <c r="J16" i="2" a="1"/>
  <c r="K41" i="2" a="1"/>
  <c r="F28" i="2" a="1"/>
  <c r="AD30" i="2" a="1"/>
  <c r="Z31" i="2" a="1"/>
  <c r="S27" i="2" a="1"/>
  <c r="S12" i="2" a="1"/>
  <c r="Y31" i="2" a="1"/>
  <c r="J29" i="2" a="1"/>
  <c r="K23" i="2" a="1"/>
  <c r="X7" i="2" a="1"/>
  <c r="E12" i="2" a="1"/>
  <c r="AA55" i="2" a="1"/>
  <c r="AB10" i="2" a="1"/>
  <c r="D9" i="2" a="1"/>
  <c r="W35" i="2" a="1"/>
  <c r="F17" i="2" a="1"/>
  <c r="X15" i="2" a="1"/>
  <c r="AD27" i="2" a="1"/>
  <c r="AF42" i="2" a="1"/>
  <c r="V7" i="2" a="1"/>
  <c r="F26" i="2" a="1"/>
  <c r="H27" i="2" a="1"/>
  <c r="P32" i="2" a="1"/>
  <c r="R16" i="2" a="1"/>
  <c r="F11" i="2" a="1"/>
  <c r="T36" i="2" a="1"/>
  <c r="AF48" i="2" a="1"/>
  <c r="AE12" i="2" a="1"/>
  <c r="V29" i="2" a="1"/>
  <c r="Q29" i="2" a="1"/>
  <c r="W25" i="2" a="1"/>
  <c r="X19" i="2" a="1"/>
  <c r="F16" i="2" a="1"/>
  <c r="M31" i="2" a="1"/>
  <c r="AA37" i="2" a="1"/>
  <c r="AB11" i="2" a="1"/>
  <c r="G10" i="2" a="1"/>
  <c r="D17" i="2" a="1"/>
  <c r="Q17" i="2" a="1"/>
  <c r="P12" i="2" a="1"/>
  <c r="X25" i="2" a="1"/>
  <c r="C26" i="2" a="1"/>
  <c r="AF61" i="2" a="1"/>
  <c r="D16" i="2" a="1"/>
  <c r="X8" i="2" a="1"/>
  <c r="AB12" i="2" a="1"/>
  <c r="X41" i="2" a="1"/>
  <c r="K11" i="2" a="1"/>
  <c r="AD36" i="2" a="1"/>
  <c r="T61" i="2" a="1"/>
  <c r="AF46" i="2" a="1"/>
  <c r="Y8" i="2" a="1"/>
  <c r="J9" i="2" a="1"/>
  <c r="K7" i="2" a="1"/>
  <c r="P27" i="2" a="1"/>
  <c r="AA29" i="2" a="1"/>
  <c r="K14" i="2" a="1"/>
  <c r="R15" i="2" a="1"/>
  <c r="E22" i="2" a="1"/>
  <c r="U18" i="2" a="1"/>
  <c r="O23" i="2" a="1"/>
  <c r="V9" i="2" a="1"/>
  <c r="D12" i="2" a="1"/>
  <c r="K17" i="2" a="1"/>
  <c r="P34" i="2" a="1"/>
  <c r="E17" i="2" a="1"/>
  <c r="C17" i="2" a="1"/>
  <c r="H36" i="2" a="1"/>
  <c r="Y14" i="2" a="1"/>
  <c r="D28" i="2" a="1"/>
  <c r="W22" i="2" a="1"/>
  <c r="R11" i="2" a="1"/>
  <c r="F38" i="2" a="1"/>
  <c r="Z23" i="2" a="1"/>
  <c r="G37" i="2" a="1"/>
  <c r="P30" i="2" a="1"/>
  <c r="AD17" i="2" a="1"/>
  <c r="Q7" i="2" a="1"/>
  <c r="F34" i="2" a="1"/>
  <c r="E36" i="2" a="1"/>
  <c r="AE26" i="2" a="1"/>
  <c r="R42" i="2" a="1"/>
  <c r="Q12" i="2" a="1"/>
  <c r="AE14" i="2" a="1"/>
  <c r="K16" i="2" a="1"/>
  <c r="R38" i="2" a="1"/>
  <c r="E28" i="2" a="1"/>
  <c r="P19" i="2" a="1"/>
  <c r="F9" i="2" a="1"/>
  <c r="V26" i="2" a="1"/>
  <c r="P11" i="2" a="1"/>
  <c r="AD23" i="2" a="1"/>
  <c r="AE15" i="2" a="1"/>
  <c r="J25" i="2" a="1"/>
  <c r="W14" i="2" a="1"/>
  <c r="E9" i="2" a="1"/>
  <c r="AD14" i="2" a="1"/>
  <c r="Q10" i="2" a="1"/>
  <c r="R10" i="2" a="1"/>
  <c r="J23" i="2" a="1"/>
  <c r="P13" i="2" a="1"/>
  <c r="R13" i="2" a="1"/>
  <c r="E8" i="2" a="1"/>
  <c r="AD10" i="2" a="1"/>
  <c r="AD34" i="2" a="1"/>
  <c r="AB34" i="2" a="1"/>
  <c r="R32" i="2" a="1"/>
  <c r="AB22" i="2" a="1"/>
  <c r="D30" i="2" a="1"/>
  <c r="W31" i="2" a="1"/>
  <c r="E25" i="2" a="1"/>
  <c r="Y32" i="2" a="1"/>
  <c r="W16" i="2" a="1"/>
  <c r="C27" i="2" a="1"/>
  <c r="T44" i="2" a="1"/>
  <c r="M15" i="2" a="1"/>
  <c r="U59" i="2" a="1"/>
  <c r="H37" i="2" a="1"/>
  <c r="Z36" i="2" a="1"/>
  <c r="AB13" i="2" a="1"/>
  <c r="AB19" i="2" a="1"/>
  <c r="S23" i="2" a="1"/>
  <c r="AE19" i="2" a="1"/>
  <c r="Y18" i="2" a="1"/>
  <c r="Y22" i="2" a="1"/>
  <c r="G19" i="2" a="1"/>
  <c r="V35" i="2" a="1"/>
  <c r="D32" i="2" a="1"/>
  <c r="J27" i="2" a="1"/>
  <c r="K18" i="2" a="1"/>
  <c r="X14" i="2" a="1"/>
  <c r="G30" i="2" a="1"/>
  <c r="J17" i="2" a="1"/>
  <c r="E32" i="2" a="1"/>
  <c r="S16" i="2" a="1"/>
  <c r="G14" i="2" a="1"/>
  <c r="Q26" i="2" a="1"/>
  <c r="F15" i="2" a="1"/>
  <c r="AA10" i="2" a="1"/>
  <c r="AA51" i="2" a="1"/>
  <c r="H44" i="2" a="1"/>
  <c r="O30" i="2" a="1"/>
  <c r="AF53" i="2" a="1"/>
  <c r="S10" i="2" a="1"/>
  <c r="AE33" i="2" a="1"/>
  <c r="AE23" i="2" a="1"/>
  <c r="Y9" i="2" a="1"/>
  <c r="Y27" i="2" a="1"/>
  <c r="G24" i="2" a="1"/>
  <c r="G26" i="2" a="1"/>
  <c r="V11" i="2" a="1"/>
  <c r="D23" i="2" a="1"/>
  <c r="J10" i="2" a="1"/>
  <c r="J12" i="2" a="1"/>
  <c r="Q11" i="2" a="1"/>
  <c r="Q13" i="2" a="1"/>
  <c r="K9" i="2" a="1"/>
  <c r="W13" i="2" a="1"/>
  <c r="W18" i="2" a="1"/>
  <c r="P18" i="2" a="1"/>
  <c r="R28" i="2" a="1"/>
  <c r="O51" i="2" a="1"/>
  <c r="D38" i="2" a="1"/>
  <c r="K12" i="2" a="1"/>
  <c r="X18" i="2" a="1"/>
  <c r="S24" i="2" a="1"/>
  <c r="G41" i="2" a="1"/>
  <c r="P14" i="2" a="1"/>
  <c r="R7" i="2" a="1"/>
  <c r="U7" i="2" a="1"/>
  <c r="AA47" i="2" a="1"/>
  <c r="H61" i="2" a="1"/>
  <c r="O25" i="2" a="1"/>
  <c r="U9" i="2" a="1"/>
  <c r="T53" i="2" a="1"/>
  <c r="M14" i="2" a="1"/>
  <c r="AA25" i="2" a="1"/>
  <c r="Z22" i="2" a="1"/>
  <c r="O26" i="2" a="1"/>
  <c r="AF23" i="2" a="1"/>
  <c r="Y19" i="2" a="1"/>
  <c r="J15" i="2" a="1"/>
  <c r="F8" i="2" a="1"/>
  <c r="M9" i="2" a="1"/>
  <c r="H8" i="2" a="1"/>
  <c r="Z8" i="2" a="1"/>
  <c r="AF31" i="2" a="1"/>
  <c r="AF34" i="2" a="1"/>
  <c r="AB32" i="2" a="1"/>
  <c r="S19" i="2" a="1"/>
  <c r="AE29" i="2" a="1"/>
  <c r="AE24" i="2" a="1"/>
  <c r="Y17" i="2" a="1"/>
  <c r="G27" i="2" a="1"/>
  <c r="V27" i="2" a="1"/>
  <c r="V17" i="2" a="1"/>
  <c r="D8" i="2" a="1"/>
  <c r="J41" i="2" a="1"/>
  <c r="J31" i="2" a="1"/>
  <c r="Q14" i="2" a="1"/>
  <c r="K27" i="2" a="1"/>
  <c r="K22" i="2" a="1"/>
  <c r="W33" i="2" a="1"/>
  <c r="P7" i="2" a="1"/>
  <c r="P23" i="2" a="1"/>
  <c r="R19" i="2" a="1"/>
  <c r="X10" i="2" a="1"/>
  <c r="X35" i="2" a="1"/>
  <c r="F42" i="2" a="1"/>
  <c r="AD38" i="2" a="1"/>
  <c r="AE35" i="2" a="1"/>
  <c r="G15" i="2" a="1"/>
  <c r="V12" i="2" a="1"/>
  <c r="J14" i="2" a="1"/>
  <c r="Q34" i="2" a="1"/>
  <c r="K25" i="2" a="1"/>
  <c r="P10" i="2" a="1"/>
  <c r="P15" i="2" a="1"/>
  <c r="R25" i="2" a="1"/>
  <c r="X9" i="2" a="1"/>
  <c r="F14" i="2" a="1"/>
  <c r="AD24" i="2" a="1"/>
  <c r="AA36" i="2" a="1"/>
  <c r="O12" i="2" a="1"/>
  <c r="S31" i="2" a="1"/>
  <c r="AE25" i="2" a="1"/>
  <c r="G33" i="2" a="1"/>
  <c r="V22" i="2" a="1"/>
  <c r="D19" i="2" a="1"/>
  <c r="Q9" i="2" a="1"/>
  <c r="W17" i="2" a="1"/>
  <c r="E24" i="2" a="1"/>
  <c r="F10" i="2" a="1"/>
  <c r="N22" i="2" a="1"/>
  <c r="AF14" i="2" a="1"/>
  <c r="S11" i="2" a="1"/>
  <c r="AE22" i="2" a="1"/>
  <c r="G18" i="2" a="1"/>
  <c r="J7" i="2" a="1"/>
  <c r="P9" i="2" a="1"/>
  <c r="X13" i="2" a="1"/>
  <c r="C45" i="2" a="1"/>
  <c r="Z27" i="2" a="1"/>
  <c r="S41" i="2" a="1"/>
  <c r="G13" i="2" a="1"/>
  <c r="D14" i="2" a="1"/>
  <c r="W8" i="2" a="1"/>
  <c r="E23" i="2" a="1"/>
  <c r="AD26" i="2" a="1"/>
  <c r="U15" i="2" a="1"/>
  <c r="V25" i="2" a="1"/>
  <c r="J22" i="2" a="1"/>
  <c r="W10" i="2" a="1"/>
  <c r="R22" i="2" a="1"/>
  <c r="AD22" i="2" a="1"/>
  <c r="M29" i="2" a="1"/>
  <c r="O34" i="2" a="1"/>
  <c r="V8" i="2" a="1"/>
  <c r="K19" i="2" a="1"/>
  <c r="E26" i="2" a="1"/>
  <c r="W9" i="2" a="1"/>
  <c r="R23" i="2" a="1"/>
  <c r="AE9" i="2" a="1"/>
  <c r="X12" i="2" a="1"/>
  <c r="L29" i="2" a="1"/>
  <c r="L24" i="2" a="1"/>
  <c r="L27" i="2" a="1"/>
  <c r="L7" i="2" a="1"/>
  <c r="K59" i="2" a="1"/>
  <c r="AC13" i="2" a="1"/>
  <c r="AC7" i="2" a="1"/>
  <c r="AC22" i="2" a="1"/>
  <c r="W63" i="2" a="1"/>
  <c r="T47" i="2" a="1"/>
  <c r="T12" i="2" a="1"/>
  <c r="T37" i="2" a="1"/>
  <c r="T34" i="2" a="1"/>
  <c r="AA33" i="2" a="1"/>
  <c r="AA17" i="2" a="1"/>
  <c r="AA48" i="2" a="1"/>
  <c r="AA7" i="2" a="1"/>
  <c r="AF9" i="2" a="1"/>
  <c r="AF62" i="2" a="1"/>
  <c r="AF41" i="2" a="1"/>
  <c r="M63" i="2" a="1"/>
  <c r="C50" i="2" a="1"/>
  <c r="C43" i="2" a="1"/>
  <c r="C46" i="2" a="1"/>
  <c r="C44" i="2" a="1"/>
  <c r="H33" i="2" a="1"/>
  <c r="H45" i="2" a="1"/>
  <c r="Z63" i="2" a="1"/>
  <c r="O29" i="2" a="1"/>
  <c r="O48" i="2" a="1"/>
  <c r="N60" i="2" a="1"/>
  <c r="C63" i="2" a="1"/>
  <c r="I33" i="2" a="1"/>
  <c r="U14" i="2" a="1"/>
  <c r="U55" i="2" a="1"/>
  <c r="T30" i="2" a="1"/>
  <c r="C24" i="2" a="1"/>
  <c r="H13" i="2" a="1"/>
  <c r="O61" i="2" a="1"/>
  <c r="O60" i="2" a="1"/>
  <c r="O31" i="2" a="1"/>
  <c r="U53" i="2" a="1"/>
  <c r="W59" i="2" a="1"/>
  <c r="AA45" i="2" a="1"/>
  <c r="AF27" i="2" a="1"/>
  <c r="H64" i="2" a="1"/>
  <c r="N67" i="2" a="1"/>
  <c r="U37" i="2" a="1"/>
  <c r="I48" i="2" a="1"/>
  <c r="L33" i="2" a="1"/>
  <c r="L19" i="2" a="1"/>
  <c r="L12" i="2" a="1"/>
  <c r="L26" i="2" a="1"/>
  <c r="K63" i="2" a="1"/>
  <c r="AC36" i="2" a="1"/>
  <c r="AC34" i="2" a="1"/>
  <c r="AC19" i="2" a="1"/>
  <c r="T24" i="2" a="1"/>
  <c r="T55" i="2" a="1"/>
  <c r="AA26" i="2" a="1"/>
  <c r="AA61" i="2" a="1"/>
  <c r="AF50" i="2" a="1"/>
  <c r="C61" i="2" a="1"/>
  <c r="Z59" i="2" a="1"/>
  <c r="C59" i="2" a="1"/>
  <c r="U13" i="2" a="1"/>
  <c r="N63" i="2" a="1"/>
  <c r="AC28" i="2" a="1"/>
  <c r="T19" i="2" a="1"/>
  <c r="Y59" i="2" a="1"/>
  <c r="AA16" i="2" a="1"/>
  <c r="AF17" i="2" a="1"/>
  <c r="AF28" i="2" a="1"/>
  <c r="X59" i="2" a="1"/>
  <c r="C15" i="2" a="1"/>
  <c r="H31" i="2" a="1"/>
  <c r="H15" i="2" a="1"/>
  <c r="I25" i="2" a="1"/>
  <c r="L18" i="2" a="1"/>
  <c r="L13" i="2" a="1"/>
  <c r="L14" i="2" a="1"/>
  <c r="L35" i="2" a="1"/>
  <c r="AC8" i="2" a="1"/>
  <c r="AC30" i="2" a="1"/>
  <c r="AC14" i="2" a="1"/>
  <c r="L63" i="2" a="1"/>
  <c r="T62" i="2" a="1"/>
  <c r="T48" i="2" a="1"/>
  <c r="AA62" i="2" a="1"/>
  <c r="AA38" i="2" a="1"/>
  <c r="AF45" i="2" a="1"/>
  <c r="AF19" i="2" a="1"/>
  <c r="C30" i="2" a="1"/>
  <c r="C12" i="2" a="1"/>
  <c r="H62" i="2" a="1"/>
  <c r="O42" i="2" a="1"/>
  <c r="U8" i="2" a="1"/>
  <c r="T43" i="2" a="1"/>
  <c r="C42" i="2" a="1"/>
  <c r="H49" i="2" a="1"/>
  <c r="O46" i="2" a="1"/>
  <c r="Z67" i="2" a="1"/>
  <c r="I41" i="2" a="1"/>
  <c r="U50" i="2" a="1"/>
  <c r="I36" i="2" a="1"/>
  <c r="L10" i="2" a="1"/>
  <c r="L37" i="2" a="1"/>
  <c r="L23" i="2" a="1"/>
  <c r="L15" i="2" a="1"/>
  <c r="AC25" i="2" a="1"/>
  <c r="AC9" i="2" a="1"/>
  <c r="AC12" i="2" a="1"/>
  <c r="AC10" i="2" a="1"/>
  <c r="L59" i="2" a="1"/>
  <c r="T49" i="2" a="1"/>
  <c r="T31" i="2" a="1"/>
  <c r="T45" i="2" a="1"/>
  <c r="Y63" i="2" a="1"/>
  <c r="AA46" i="2" a="1"/>
  <c r="AA53" i="2" a="1"/>
  <c r="AA27" i="2" a="1"/>
  <c r="AF33" i="2" a="1"/>
  <c r="AF64" i="2" a="1"/>
  <c r="AF51" i="2" a="1"/>
  <c r="AF11" i="2" a="1"/>
  <c r="X63" i="2" a="1"/>
  <c r="C38" i="2" a="1"/>
  <c r="C55" i="2" a="1"/>
  <c r="C48" i="2" a="1"/>
  <c r="H51" i="2" a="1"/>
  <c r="H47" i="2" a="1"/>
  <c r="H46" i="2" a="1"/>
  <c r="H23" i="2" a="1"/>
  <c r="O18" i="2" a="1"/>
  <c r="O36" i="2" a="1"/>
  <c r="O37" i="2" a="1"/>
  <c r="O44" i="2" a="1"/>
  <c r="N59" i="2" a="1"/>
  <c r="U67" i="2" a="1"/>
  <c r="I28" i="2" a="1"/>
  <c r="I16" i="2" a="1"/>
  <c r="I55" i="2" a="1"/>
  <c r="I35" i="2" a="1"/>
  <c r="C60" i="2" a="1"/>
  <c r="U45" i="2" a="1"/>
  <c r="U49" i="2" a="1"/>
  <c r="U38" i="2" a="1"/>
  <c r="U16" i="2" a="1"/>
  <c r="AC23" i="2" a="1"/>
  <c r="T23" i="2" a="1"/>
  <c r="AA8" i="2" a="1"/>
  <c r="AA11" i="2" a="1"/>
  <c r="AF55" i="2" a="1"/>
  <c r="C53" i="2" a="1"/>
  <c r="O13" i="2" a="1"/>
  <c r="O50" i="2" a="1"/>
  <c r="I9" i="2" a="1"/>
  <c r="U32" i="2" a="1"/>
  <c r="O22" i="2" a="1"/>
  <c r="U47" i="2" a="1"/>
  <c r="T11" i="2" a="1"/>
  <c r="AF36" i="2" a="1"/>
  <c r="AF49" i="2" a="1"/>
  <c r="C25" i="2" a="1"/>
  <c r="H32" i="2" a="1"/>
  <c r="AA66" i="2" a="1"/>
  <c r="I18" i="2" a="1"/>
  <c r="U51" i="2" a="1"/>
  <c r="C67" i="2" a="1"/>
  <c r="L16" i="2" a="1"/>
  <c r="L31" i="2" a="1"/>
  <c r="L9" i="2" a="1"/>
  <c r="V63" i="2" a="1"/>
  <c r="AC26" i="2" a="1"/>
  <c r="AC16" i="2" a="1"/>
  <c r="AC17" i="2" a="1"/>
  <c r="T64" i="2" a="1"/>
  <c r="AA28" i="2" a="1"/>
  <c r="AA50" i="2" a="1"/>
  <c r="AF10" i="2" a="1"/>
  <c r="C34" i="2" a="1"/>
  <c r="H24" i="2" a="1"/>
  <c r="H18" i="2" a="1"/>
  <c r="O7" i="2" a="1"/>
  <c r="I64" i="2" a="1"/>
  <c r="AA59" i="2" a="1"/>
  <c r="U60" i="2" a="1"/>
  <c r="AA65" i="2" a="1"/>
  <c r="I49" i="2" a="1"/>
  <c r="U43" i="2" a="1"/>
  <c r="U23" i="2" a="1"/>
  <c r="C7" i="2" a="1"/>
  <c r="O11" i="2" a="1"/>
  <c r="I26" i="2" a="1"/>
  <c r="U25" i="2" a="1"/>
  <c r="I43" i="2" a="1"/>
  <c r="L41" i="2" a="1"/>
  <c r="L8" i="2" a="1"/>
  <c r="L17" i="2" a="1"/>
  <c r="V59" i="2" a="1"/>
  <c r="AC24" i="2" a="1"/>
  <c r="AC18" i="2" a="1"/>
  <c r="AC11" i="2" a="1"/>
  <c r="AC15" i="2" a="1"/>
  <c r="T50" i="2" a="1"/>
  <c r="T8" i="2" a="1"/>
  <c r="T22" i="2" a="1"/>
  <c r="T51" i="2" a="1"/>
  <c r="AA42" i="2" a="1"/>
  <c r="AA32" i="2" a="1"/>
  <c r="AA44" i="2" a="1"/>
  <c r="AA9" i="2" a="1"/>
  <c r="AF47" i="2" a="1"/>
  <c r="AF18" i="2" a="1"/>
  <c r="AF43" i="2" a="1"/>
  <c r="AF30" i="2" a="1"/>
  <c r="C22" i="2" a="1"/>
  <c r="C35" i="2" a="1"/>
  <c r="C23" i="2" a="1"/>
  <c r="C13" i="2" a="1"/>
  <c r="H48" i="2" a="1"/>
  <c r="H14" i="2" a="1"/>
  <c r="H35" i="2" a="1"/>
  <c r="H38" i="2" a="1"/>
  <c r="O43" i="2" a="1"/>
  <c r="O19" i="2" a="1"/>
  <c r="O10" i="2" a="1"/>
  <c r="O45" i="2" a="1"/>
  <c r="Z60" i="2" a="1"/>
  <c r="I45" i="2" a="1"/>
  <c r="I8" i="2" a="1"/>
  <c r="I47" i="2" a="1"/>
  <c r="AA63" i="2" a="1"/>
  <c r="U64" i="2" a="1"/>
  <c r="M59" i="2" a="1"/>
  <c r="H55" i="2" a="1"/>
  <c r="I67" i="2" a="1"/>
  <c r="I51" i="2" a="1"/>
  <c r="H16" i="2" a="1"/>
  <c r="U24" i="2" a="1"/>
  <c r="H43" i="2" a="1"/>
  <c r="O53" i="2" a="1"/>
  <c r="I60" i="2" a="1"/>
  <c r="I62" i="2" a="1"/>
  <c r="I50" i="2" a="1"/>
  <c r="O67" i="2" a="1"/>
  <c r="U31" i="2" a="1"/>
  <c r="U62" i="2" a="1"/>
  <c r="T29" i="2" a="1"/>
  <c r="AA18" i="2" a="1"/>
  <c r="AF24" i="2" a="1"/>
  <c r="C31" i="2" a="1"/>
  <c r="O28" i="2" a="1"/>
  <c r="I15" i="2" a="1"/>
  <c r="U26" i="2" a="1"/>
  <c r="O62" i="2" a="1"/>
  <c r="D49" i="2" a="1"/>
  <c r="D62" i="2" a="1"/>
  <c r="D61" i="2" a="1"/>
  <c r="D33" i="2" a="1"/>
  <c r="AB49" i="2" a="1"/>
  <c r="AB62" i="2" a="1"/>
  <c r="J34" i="2" a="1"/>
  <c r="AB27" i="2" a="1"/>
  <c r="AB46" i="2" a="1"/>
  <c r="J48" i="2" a="1"/>
  <c r="J51" i="2" a="1"/>
  <c r="J44" i="2" a="1"/>
  <c r="P35" i="2" a="1"/>
  <c r="P46" i="2" a="1"/>
  <c r="P61" i="2" a="1"/>
  <c r="P51" i="2" a="1"/>
  <c r="V47" i="2" a="1"/>
  <c r="V32" i="2" a="1"/>
  <c r="V36" i="2" a="1"/>
  <c r="V50" i="2" a="1"/>
  <c r="D63" i="2" a="1"/>
  <c r="Q37" i="2" a="1"/>
  <c r="Q44" i="2" a="1"/>
  <c r="Q25" i="2" a="1"/>
  <c r="J66" i="2" a="1"/>
  <c r="J60" i="2" a="1"/>
  <c r="P65" i="2" a="1"/>
  <c r="D65" i="2" a="1"/>
  <c r="K60" i="2" a="1"/>
  <c r="E48" i="2" a="1"/>
  <c r="E64" i="2" a="1"/>
  <c r="E50" i="2" a="1"/>
  <c r="E43" i="2" a="1"/>
  <c r="W55" i="2" a="1"/>
  <c r="W48" i="2" a="1"/>
  <c r="W24" i="2" a="1"/>
  <c r="W49" i="2" a="1"/>
  <c r="AC31" i="2" a="1"/>
  <c r="AC53" i="2" a="1"/>
  <c r="AC62" i="2" a="1"/>
  <c r="D41" i="2" a="1"/>
  <c r="D27" i="2" a="1"/>
  <c r="AB43" i="2" a="1"/>
  <c r="J61" i="2" a="1"/>
  <c r="J62" i="2" a="1"/>
  <c r="P47" i="2" a="1"/>
  <c r="V51" i="2" a="1"/>
  <c r="V64" i="2" a="1"/>
  <c r="D59" i="2" a="1"/>
  <c r="Q50" i="2" a="1"/>
  <c r="J67" i="2" a="1"/>
  <c r="P60" i="2" a="1"/>
  <c r="E27" i="2" a="1"/>
  <c r="W62" i="2" a="1"/>
  <c r="W34" i="2" a="1"/>
  <c r="J47" i="2" a="1"/>
  <c r="P25" i="2" a="1"/>
  <c r="V34" i="2" a="1"/>
  <c r="Q61" i="2" a="1"/>
  <c r="V67" i="2" a="1"/>
  <c r="E59" i="2" a="1"/>
  <c r="W38" i="2" a="1"/>
  <c r="AC44" i="2" a="1"/>
  <c r="P45" i="2" a="1"/>
  <c r="I66" i="2" a="1"/>
  <c r="D67" i="2" a="1"/>
  <c r="E41" i="2" a="1"/>
  <c r="AC51" i="2" a="1"/>
  <c r="AC33" i="2" a="1"/>
  <c r="J50" i="2" a="1"/>
  <c r="V45" i="2" a="1"/>
  <c r="Q41" i="2" a="1"/>
  <c r="W30" i="2" a="1"/>
  <c r="O65" i="2" a="1"/>
  <c r="AB63" i="2" a="1"/>
  <c r="W61" i="2" a="1"/>
  <c r="V42" i="2" a="1"/>
  <c r="E63" i="2" a="1"/>
  <c r="P48" i="2" a="1"/>
  <c r="D35" i="2" a="1"/>
  <c r="J28" i="2" a="1"/>
  <c r="P31" i="2" a="1"/>
  <c r="Q48" i="2" a="1"/>
  <c r="E62" i="2" a="1"/>
  <c r="AC45" i="2" a="1"/>
  <c r="P50" i="2" a="1"/>
  <c r="D60" i="2" a="1"/>
  <c r="AC42" i="2" a="1"/>
  <c r="AA67" i="2" a="1"/>
  <c r="E47" i="2" a="1"/>
  <c r="AC27" i="2" a="1"/>
  <c r="U66" i="2" a="1"/>
  <c r="J46" i="2" a="1"/>
  <c r="Q47" i="2" a="1"/>
  <c r="E55" i="2" a="1"/>
  <c r="AC47" i="2" a="1"/>
  <c r="Q43" i="2" a="1"/>
  <c r="W44" i="2" a="1"/>
  <c r="P43" i="2" a="1"/>
  <c r="D31" i="2" a="1"/>
  <c r="D64" i="2" a="1"/>
  <c r="D50" i="2" a="1"/>
  <c r="D45" i="2" a="1"/>
  <c r="J49" i="2" a="1"/>
  <c r="J36" i="2" a="1"/>
  <c r="AB44" i="2" a="1"/>
  <c r="J43" i="2" a="1"/>
  <c r="C66" i="2" a="1"/>
  <c r="V61" i="2" a="1"/>
  <c r="Q62" i="2" a="1"/>
  <c r="E46" i="2" a="1"/>
  <c r="V48" i="2" a="1"/>
  <c r="E53" i="2" a="1"/>
  <c r="AB31" i="2" a="1"/>
  <c r="J64" i="2" a="1"/>
  <c r="C65" i="2" a="1"/>
  <c r="O66" i="2" a="1"/>
  <c r="Q46" i="2" a="1"/>
  <c r="W64" i="2" a="1"/>
  <c r="D53" i="2" a="1"/>
  <c r="D37" i="2" a="1"/>
  <c r="D47" i="2" a="1"/>
  <c r="D46" i="2" a="1"/>
  <c r="AB47" i="2" a="1"/>
  <c r="AB64" i="2" a="1"/>
  <c r="J53" i="2" a="1"/>
  <c r="AB48" i="2" a="1"/>
  <c r="AB37" i="2" a="1"/>
  <c r="AB25" i="2" a="1"/>
  <c r="P49" i="2" a="1"/>
  <c r="P29" i="2" a="1"/>
  <c r="Q42" i="2" a="1"/>
  <c r="W32" i="2" a="1"/>
  <c r="D43" i="2" a="1"/>
  <c r="D42" i="2" a="1"/>
  <c r="D29" i="2" a="1"/>
  <c r="O59" i="2" a="1"/>
  <c r="J55" i="2" a="1"/>
  <c r="AB33" i="2" a="1"/>
  <c r="AB53" i="2" a="1"/>
  <c r="AB41" i="2" a="1"/>
  <c r="J32" i="2" a="1"/>
  <c r="P37" i="2" a="1"/>
  <c r="P42" i="2" a="1"/>
  <c r="V28" i="2" a="1"/>
  <c r="V46" i="2" a="1"/>
  <c r="Q31" i="2" a="1"/>
  <c r="Q33" i="2" a="1"/>
  <c r="Q53" i="2" a="1"/>
  <c r="P67" i="2" a="1"/>
  <c r="AB60" i="2" a="1"/>
  <c r="E33" i="2" a="1"/>
  <c r="W42" i="2" a="1"/>
  <c r="W50" i="2" a="1"/>
  <c r="AC48" i="2" a="1"/>
  <c r="AC50" i="2" a="1"/>
  <c r="D55" i="2" a="1"/>
  <c r="D44" i="2" a="1"/>
  <c r="D48" i="2" a="1"/>
  <c r="O63" i="2" a="1"/>
  <c r="J38" i="2" a="1"/>
  <c r="AB42" i="2" a="1"/>
  <c r="J45" i="2" a="1"/>
  <c r="AB50" i="2" a="1"/>
  <c r="AB51" i="2" a="1"/>
  <c r="AB35" i="2" a="1"/>
  <c r="P53" i="2" a="1"/>
  <c r="P41" i="2" a="1"/>
  <c r="V49" i="2" a="1"/>
  <c r="V43" i="2" a="1"/>
  <c r="U65" i="2" a="1"/>
  <c r="Q49" i="2" a="1"/>
  <c r="AB65" i="2" a="1"/>
  <c r="P63" i="2" a="1"/>
  <c r="V66" i="2" a="1"/>
  <c r="E45" i="2" a="1"/>
  <c r="E49" i="2" a="1"/>
  <c r="W46" i="2" a="1"/>
  <c r="W43" i="2" a="1"/>
  <c r="AC46" i="2" a="1"/>
  <c r="AC35" i="2" a="1"/>
  <c r="D51" i="2" a="1"/>
  <c r="J30" i="2" a="1"/>
  <c r="AB61" i="2" a="1"/>
  <c r="AB45" i="2" a="1"/>
  <c r="AB55" i="2" a="1"/>
  <c r="P33" i="2" a="1"/>
  <c r="P55" i="2" a="1"/>
  <c r="V55" i="2" a="1"/>
  <c r="V62" i="2" a="1"/>
  <c r="Q64" i="2" a="1"/>
  <c r="J65" i="2" a="1"/>
  <c r="P66" i="2" a="1"/>
  <c r="K67" i="2" a="1"/>
  <c r="E35" i="2" a="1"/>
  <c r="E51" i="2" a="1"/>
  <c r="W47" i="2" a="1"/>
  <c r="AC64" i="2" a="1"/>
  <c r="AC29" i="2" a="1"/>
  <c r="J26" i="2" a="1"/>
  <c r="P44" i="2" a="1"/>
  <c r="V38" i="2" a="1"/>
  <c r="AA60" i="2" a="1"/>
  <c r="Q45" i="2" a="1"/>
  <c r="I65" i="2" a="1"/>
  <c r="E37" i="2" a="1"/>
  <c r="E42" i="2" a="1"/>
  <c r="W28" i="2" a="1"/>
  <c r="AC43" i="2" a="1"/>
  <c r="V24" i="2" a="1"/>
  <c r="Q51" i="2" a="1"/>
  <c r="AB59" i="2" a="1"/>
  <c r="V60" i="2" a="1"/>
  <c r="E61" i="2" a="1"/>
  <c r="AC61" i="2" a="1"/>
  <c r="J42" i="2" a="1"/>
  <c r="V53" i="2" a="1"/>
  <c r="P64" i="2" a="1"/>
  <c r="E44" i="2" a="1"/>
  <c r="P62" i="2" a="1"/>
  <c r="E29" i="2" a="1"/>
  <c r="V30" i="2" a="1"/>
  <c r="E31" i="2" a="1"/>
  <c r="V44" i="2" a="1"/>
  <c r="W36" i="2" a="1"/>
  <c r="Q27" i="2" a="1"/>
  <c r="W51" i="2" a="1"/>
  <c r="Q55" i="2" a="1"/>
  <c r="W53" i="2" a="1"/>
  <c r="Q35" i="2" a="1"/>
  <c r="AB66" i="2" a="1"/>
  <c r="P59" i="2" a="1"/>
  <c r="D66" i="2" a="1"/>
  <c r="V65" i="2" a="1"/>
  <c r="AC49" i="2" a="1"/>
  <c r="AB67" i="2" a="1"/>
  <c r="W45" i="2" a="1"/>
  <c r="AC37" i="2" a="1"/>
  <c r="AC41" i="2" a="1"/>
  <c r="AC55" i="2" a="1"/>
  <c r="K45" i="2" a="1"/>
  <c r="K62" i="2" a="1"/>
  <c r="K46" i="2" a="1"/>
  <c r="K47" i="2" a="1"/>
  <c r="F50" i="2" a="1"/>
  <c r="F46" i="2" a="1"/>
  <c r="F41" i="2" a="1"/>
  <c r="F53" i="2" a="1"/>
  <c r="R17" i="2" a="1"/>
  <c r="R43" i="2" a="1"/>
  <c r="R49" i="2" a="1"/>
  <c r="R47" i="2" a="1"/>
  <c r="AD25" i="2" a="1"/>
  <c r="AD42" i="2" a="1"/>
  <c r="AD61" i="2" a="1"/>
  <c r="AD29" i="2" a="1"/>
  <c r="X48" i="2" a="1"/>
  <c r="X24" i="2" a="1"/>
  <c r="X46" i="2" a="1"/>
  <c r="X42" i="2" a="1"/>
  <c r="K65" i="2" a="1"/>
  <c r="L55" i="2" a="1"/>
  <c r="L50" i="2" a="1"/>
  <c r="L49" i="2" a="1"/>
  <c r="L30" i="2" a="1"/>
  <c r="F66" i="2" a="1"/>
  <c r="F67" i="2" a="1"/>
  <c r="L60" i="2" a="1"/>
  <c r="L66" i="2" a="1"/>
  <c r="R66" i="2" a="1"/>
  <c r="S34" i="2" a="1"/>
  <c r="S44" i="2" a="1"/>
  <c r="S32" i="2" a="1"/>
  <c r="K38" i="2" a="1"/>
  <c r="R35" i="2" a="1"/>
  <c r="R31" i="2" a="1"/>
  <c r="AD45" i="2" a="1"/>
  <c r="X47" i="2" a="1"/>
  <c r="L51" i="2" a="1"/>
  <c r="L67" i="2" a="1"/>
  <c r="S51" i="2" a="1"/>
  <c r="X43" i="2" a="1"/>
  <c r="Q60" i="2" a="1"/>
  <c r="S61" i="2" a="1"/>
  <c r="K51" i="2" a="1"/>
  <c r="X34" i="2" a="1"/>
  <c r="AC60" i="2" a="1"/>
  <c r="F45" i="2" a="1"/>
  <c r="AD50" i="2" a="1"/>
  <c r="X28" i="2" a="1"/>
  <c r="L22" i="2" a="1"/>
  <c r="L65" i="2" a="1"/>
  <c r="X45" i="2" a="1"/>
  <c r="Q65" i="2" a="1"/>
  <c r="S36" i="2" a="1"/>
  <c r="F48" i="2" a="1"/>
  <c r="Q63" i="2" a="1"/>
  <c r="L32" i="2" a="1"/>
  <c r="S29" i="2" a="1"/>
  <c r="K42" i="2" a="1"/>
  <c r="K64" i="2" a="1"/>
  <c r="K26" i="2" a="1"/>
  <c r="F29" i="2" a="1"/>
  <c r="F27" i="2" a="1"/>
  <c r="AD47" i="2" a="1"/>
  <c r="X64" i="2" a="1"/>
  <c r="E65" i="2" a="1"/>
  <c r="F65" i="2" a="1"/>
  <c r="S48" i="2" a="1"/>
  <c r="L62" i="2" a="1"/>
  <c r="S42" i="2" a="1"/>
  <c r="K61" i="2" a="1"/>
  <c r="AD53" i="2" a="1"/>
  <c r="L38" i="2" a="1"/>
  <c r="S62" i="2" a="1"/>
  <c r="F25" i="2" a="1"/>
  <c r="AC59" i="2" a="1"/>
  <c r="AD64" i="2" a="1"/>
  <c r="AD41" i="2" a="1"/>
  <c r="X51" i="2" a="1"/>
  <c r="W65" i="2" a="1"/>
  <c r="L34" i="2" a="1"/>
  <c r="S38" i="2" a="1"/>
  <c r="F31" i="2" a="1"/>
  <c r="X55" i="2" a="1"/>
  <c r="L64" i="2" a="1"/>
  <c r="S14" i="2" a="1"/>
  <c r="K53" i="2" a="1"/>
  <c r="K48" i="2" a="1"/>
  <c r="K50" i="2" a="1"/>
  <c r="K55" i="2" a="1"/>
  <c r="F33" i="2" a="1"/>
  <c r="F61" i="2" a="1"/>
  <c r="W67" i="2" a="1"/>
  <c r="R45" i="2" a="1"/>
  <c r="R61" i="2" a="1"/>
  <c r="R27" i="2" a="1"/>
  <c r="AD62" i="2" a="1"/>
  <c r="AD35" i="2" a="1"/>
  <c r="L36" i="2" a="1"/>
  <c r="AD59" i="2" a="1"/>
  <c r="F35" i="2" a="1"/>
  <c r="AD31" i="2" a="1"/>
  <c r="F63" i="2" a="1"/>
  <c r="F62" i="2" a="1"/>
  <c r="R46" i="2" a="1"/>
  <c r="AC63" i="2" a="1"/>
  <c r="AD46" i="2" a="1"/>
  <c r="X32" i="2" a="1"/>
  <c r="X36" i="2" a="1"/>
  <c r="W66" i="2" a="1"/>
  <c r="L44" i="2" a="1"/>
  <c r="L46" i="2" a="1"/>
  <c r="Q66" i="2" a="1"/>
  <c r="R63" i="2" a="1"/>
  <c r="AD63" i="2" a="1"/>
  <c r="S45" i="2" a="1"/>
  <c r="R44" i="2" a="1"/>
  <c r="AD43" i="2" a="1"/>
  <c r="AC66" i="2" a="1"/>
  <c r="AD65" i="2" a="1"/>
  <c r="K34" i="2" a="1"/>
  <c r="K49" i="2" a="1"/>
  <c r="K36" i="2" a="1"/>
  <c r="K44" i="2" a="1"/>
  <c r="F64" i="2" a="1"/>
  <c r="F47" i="2" a="1"/>
  <c r="W60" i="2" a="1"/>
  <c r="R37" i="2" a="1"/>
  <c r="R48" i="2" a="1"/>
  <c r="AD51" i="2" a="1"/>
  <c r="AD33" i="2" a="1"/>
  <c r="AD48" i="2" a="1"/>
  <c r="X53" i="2" a="1"/>
  <c r="E66" i="2" a="1"/>
  <c r="L53" i="2" a="1"/>
  <c r="L47" i="2" a="1"/>
  <c r="Q67" i="2" a="1"/>
  <c r="S30" i="2" a="1"/>
  <c r="S64" i="2" a="1"/>
  <c r="F55" i="2" a="1"/>
  <c r="R51" i="2" a="1"/>
  <c r="X44" i="2" a="1"/>
  <c r="X65" i="2" a="1"/>
  <c r="S43" i="2" a="1"/>
  <c r="R62" i="2" a="1"/>
  <c r="X50" i="2" a="1"/>
  <c r="L42" i="2" a="1"/>
  <c r="R65" i="2" a="1"/>
  <c r="K66" i="2" a="1"/>
  <c r="S55" i="2" a="1"/>
  <c r="R53" i="2" a="1"/>
  <c r="X61" i="2" a="1"/>
  <c r="X67" i="2" a="1"/>
  <c r="K28" i="2" a="1"/>
  <c r="K30" i="2" a="1"/>
  <c r="K32" i="2" a="1"/>
  <c r="F51" i="2" a="1"/>
  <c r="F44" i="2" a="1"/>
  <c r="F37" i="2" a="1"/>
  <c r="F49" i="2" a="1"/>
  <c r="R33" i="2" a="1"/>
  <c r="R29" i="2" a="1"/>
  <c r="R55" i="2" a="1"/>
  <c r="R41" i="2" a="1"/>
  <c r="Q59" i="2" a="1"/>
  <c r="AD49" i="2" a="1"/>
  <c r="AD44" i="2" a="1"/>
  <c r="AD55" i="2" a="1"/>
  <c r="X30" i="2" a="1"/>
  <c r="X62" i="2" a="1"/>
  <c r="X49" i="2" a="1"/>
  <c r="X38" i="2" a="1"/>
  <c r="AC65" i="2" a="1"/>
  <c r="E60" i="2" a="1"/>
  <c r="L61" i="2" a="1"/>
  <c r="L28" i="2" a="1"/>
  <c r="L48" i="2" a="1"/>
  <c r="F59" i="2" a="1"/>
  <c r="AC67" i="2" a="1"/>
  <c r="X60" i="2" a="1"/>
  <c r="AD66" i="2" a="1"/>
  <c r="X66" i="2" a="1"/>
  <c r="S47" i="2" a="1"/>
  <c r="S53" i="2" a="1"/>
  <c r="S50" i="2" a="1"/>
  <c r="F43" i="2" a="1"/>
  <c r="R64" i="2" a="1"/>
  <c r="AD37" i="2" a="1"/>
  <c r="L43" i="2" a="1"/>
  <c r="F60" i="2" a="1"/>
  <c r="S46" i="2" a="1"/>
  <c r="L45" i="2" a="1"/>
  <c r="R59" i="2" a="1"/>
  <c r="K43" i="2" a="1"/>
  <c r="R50" i="2" a="1"/>
  <c r="E67" i="2" a="1"/>
  <c r="S49" i="2" a="1"/>
  <c r="Z26" i="2" a="1"/>
  <c r="Z9" i="2" a="1"/>
  <c r="Z38" i="2" a="1"/>
  <c r="Z15" i="2" a="1"/>
  <c r="Y25" i="2" a="1"/>
  <c r="Y24" i="2" a="1"/>
  <c r="Y42" i="2" a="1"/>
  <c r="Y35" i="2" a="1"/>
  <c r="M43" i="2" a="1"/>
  <c r="M61" i="2" a="1"/>
  <c r="M64" i="2" a="1"/>
  <c r="N50" i="2" a="1"/>
  <c r="N43" i="2" a="1"/>
  <c r="N17" i="2" a="1"/>
  <c r="N26" i="2" a="1"/>
  <c r="Y67" i="2" a="1"/>
  <c r="G34" i="2" a="1"/>
  <c r="G62" i="2" a="1"/>
  <c r="G43" i="2" a="1"/>
  <c r="T66" i="2" a="1"/>
  <c r="AE55" i="2" a="1"/>
  <c r="AE46" i="2" a="1"/>
  <c r="AE38" i="2" a="1"/>
  <c r="Z44" i="2" a="1"/>
  <c r="Z43" i="2" a="1"/>
  <c r="Z28" i="2" a="1"/>
  <c r="Y55" i="2" a="1"/>
  <c r="Y64" i="2" a="1"/>
  <c r="M49" i="2" a="1"/>
  <c r="N16" i="2" a="1"/>
  <c r="N29" i="2" a="1"/>
  <c r="Y60" i="2" a="1"/>
  <c r="G23" i="2" a="1"/>
  <c r="T65" i="2" a="1"/>
  <c r="AE64" i="2" a="1"/>
  <c r="Z42" i="2" a="1"/>
  <c r="Z50" i="2" a="1"/>
  <c r="Y41" i="2" a="1"/>
  <c r="M47" i="2" a="1"/>
  <c r="M37" i="2" a="1"/>
  <c r="N55" i="2" a="1"/>
  <c r="N46" i="2" a="1"/>
  <c r="G55" i="2" a="1"/>
  <c r="G49" i="2" a="1"/>
  <c r="AE27" i="2" a="1"/>
  <c r="Z14" i="2" a="1"/>
  <c r="Z64" i="2" a="1"/>
  <c r="Y53" i="2" a="1"/>
  <c r="M44" i="2" a="1"/>
  <c r="M62" i="2" a="1"/>
  <c r="M28" i="2" a="1"/>
  <c r="N9" i="2" a="1"/>
  <c r="G31" i="2" a="1"/>
  <c r="AE34" i="2" a="1"/>
  <c r="M51" i="2" a="1"/>
  <c r="N33" i="2" a="1"/>
  <c r="AE62" i="2" a="1"/>
  <c r="N61" i="2" a="1"/>
  <c r="AE45" i="2" a="1"/>
  <c r="G38" i="2" a="1"/>
  <c r="G61" i="2" a="1"/>
  <c r="AE11" i="2" a="1"/>
  <c r="AE43" i="2" a="1"/>
  <c r="AE61" i="2" a="1"/>
  <c r="G46" i="2" a="1"/>
  <c r="Y46" i="2" a="1"/>
  <c r="Y62" i="2" a="1"/>
  <c r="M33" i="2" a="1"/>
  <c r="N44" i="2" a="1"/>
  <c r="G8" i="2" a="1"/>
  <c r="Z16" i="2" a="1"/>
  <c r="Z46" i="2" a="1"/>
  <c r="Z48" i="2" a="1"/>
  <c r="Y37" i="2" a="1"/>
  <c r="Y33" i="2" a="1"/>
  <c r="Y49" i="2" a="1"/>
  <c r="M46" i="2" a="1"/>
  <c r="M16" i="2" a="1"/>
  <c r="Y66" i="2" a="1"/>
  <c r="AE47" i="2" a="1"/>
  <c r="Z53" i="2" a="1"/>
  <c r="Y51" i="2" a="1"/>
  <c r="Y44" i="2" a="1"/>
  <c r="M45" i="2" a="1"/>
  <c r="M50" i="2" a="1"/>
  <c r="N36" i="2" a="1"/>
  <c r="N64" i="2" a="1"/>
  <c r="G47" i="2" a="1"/>
  <c r="G50" i="2" a="1"/>
  <c r="AE48" i="2" a="1"/>
  <c r="AE42" i="2" a="1"/>
  <c r="Z61" i="2" a="1"/>
  <c r="Z24" i="2" a="1"/>
  <c r="Y45" i="2" a="1"/>
  <c r="Y50" i="2" a="1"/>
  <c r="M48" i="2" a="1"/>
  <c r="M35" i="2" a="1"/>
  <c r="N28" i="2" a="1"/>
  <c r="N11" i="2" a="1"/>
  <c r="G48" i="2" a="1"/>
  <c r="G44" i="2" a="1"/>
  <c r="AE49" i="2" a="1"/>
  <c r="AE44" i="2" a="1"/>
  <c r="Z7" i="2" a="1"/>
  <c r="Z32" i="2" a="1"/>
  <c r="Y48" i="2" a="1"/>
  <c r="M53" i="2" a="1"/>
  <c r="N8" i="2" a="1"/>
  <c r="N48" i="2" a="1"/>
  <c r="G64" i="2" a="1"/>
  <c r="G36" i="2" a="1"/>
  <c r="AE32" i="2" a="1"/>
  <c r="N13" i="2" a="1"/>
  <c r="G45" i="2" a="1"/>
  <c r="AE50" i="2" a="1"/>
  <c r="AE28" i="2" a="1"/>
  <c r="G32" i="2" a="1"/>
  <c r="Y43" i="2" a="1"/>
  <c r="M41" i="2" a="1"/>
  <c r="M26" i="2" a="1"/>
  <c r="Z17" i="2" a="1"/>
  <c r="Y47" i="2" a="1"/>
  <c r="G53" i="2" a="1"/>
  <c r="G42" i="2" a="1"/>
  <c r="G51" i="2" a="1"/>
  <c r="M55" i="2" a="1"/>
  <c r="N41" i="2" a="1"/>
  <c r="AE36" i="2" a="1"/>
  <c r="Z35" i="2" a="1"/>
  <c r="N53" i="2" a="1"/>
  <c r="N27" i="2" a="1"/>
  <c r="Z25" i="2" a="1"/>
  <c r="Y65" i="2" a="1"/>
  <c r="AE51" i="2" a="1"/>
  <c r="Y61" i="2" a="1"/>
  <c r="AE53" i="2" a="1"/>
  <c r="Y15" i="2" a="1"/>
  <c r="M17" i="2" a="1"/>
  <c r="S65" i="2" a="1"/>
  <c r="M60" i="2" a="1"/>
  <c r="S63" i="2" a="1"/>
  <c r="H65" i="2" a="1"/>
  <c r="G63" i="2" a="1"/>
  <c r="AE63" i="2" a="1"/>
  <c r="T63" i="2" a="1"/>
  <c r="AF60" i="2" a="1"/>
  <c r="S59" i="2" a="1"/>
  <c r="H66" i="2" a="1"/>
  <c r="G59" i="2" a="1"/>
  <c r="AE59" i="2" a="1"/>
  <c r="AF67" i="2" a="1"/>
  <c r="AE67" i="2" a="1"/>
  <c r="T60" i="2" a="1"/>
  <c r="G66" i="2" a="1"/>
  <c r="AE60" i="2" a="1"/>
  <c r="G65" i="2" a="1"/>
  <c r="AE65" i="2" a="1"/>
  <c r="Z66" i="2" a="1"/>
  <c r="S60" i="2" a="1"/>
  <c r="T67" i="2" a="1"/>
  <c r="G67" i="2" a="1"/>
  <c r="AF66" i="2" a="1"/>
  <c r="AF63" i="2" a="1"/>
  <c r="S66" i="2" a="1"/>
  <c r="S67" i="2" a="1"/>
  <c r="G60" i="2" a="1"/>
  <c r="H60" i="2" a="1"/>
  <c r="R60" i="2" a="1"/>
  <c r="M65" i="2" a="1"/>
  <c r="AD60" i="2" a="1"/>
  <c r="AF65" i="2" a="1"/>
  <c r="R67" i="2" a="1"/>
  <c r="H67" i="2" a="1"/>
  <c r="M67" i="2" a="1"/>
  <c r="T59" i="2" a="1"/>
  <c r="AF59" i="2" a="1"/>
  <c r="N65" i="2" a="1"/>
  <c r="AD67" i="2" a="1"/>
  <c r="N66" i="2" a="1"/>
  <c r="M66" i="2" a="1"/>
  <c r="AE66" i="2" a="1"/>
  <c r="Z65" i="2" a="1"/>
  <c r="I12" i="2" l="1"/>
  <c r="H9" i="2"/>
  <c r="L11" i="2"/>
  <c r="M24" i="2"/>
  <c r="I42" i="2"/>
  <c r="V19" i="2"/>
  <c r="K29" i="2"/>
  <c r="I10" i="2"/>
  <c r="I17" i="2"/>
  <c r="I44" i="2"/>
  <c r="AE16" i="2"/>
  <c r="AA15" i="2"/>
  <c r="Y7" i="2"/>
  <c r="I59" i="2"/>
  <c r="AB38" i="2"/>
  <c r="I61" i="2"/>
  <c r="I31" i="2"/>
  <c r="I19" i="2"/>
  <c r="I7" i="2"/>
  <c r="D10" i="2"/>
  <c r="AF7" i="2"/>
  <c r="F22" i="2"/>
  <c r="I23" i="2"/>
  <c r="X33" i="2"/>
  <c r="O33" i="2"/>
  <c r="M25" i="2"/>
  <c r="G12" i="2"/>
  <c r="P16" i="2"/>
  <c r="I30" i="2"/>
  <c r="I63" i="2"/>
  <c r="AB14" i="2"/>
  <c r="I14" i="2"/>
  <c r="I24" i="2"/>
  <c r="I53" i="2"/>
  <c r="I13" i="2"/>
  <c r="D18" i="2"/>
  <c r="AF13" i="2"/>
  <c r="F30" i="2"/>
  <c r="I32" i="2"/>
  <c r="X17" i="2"/>
  <c r="O27" i="2"/>
  <c r="V37" i="2"/>
  <c r="G11" i="2"/>
  <c r="L25" i="2"/>
  <c r="AD16" i="2"/>
  <c r="I27" i="2"/>
  <c r="U12" i="2"/>
  <c r="U11" i="2"/>
  <c r="W37" i="2"/>
  <c r="I34" i="2"/>
  <c r="AD8" i="2"/>
  <c r="W19" i="2"/>
  <c r="I38" i="2"/>
  <c r="H7" i="2"/>
  <c r="P36" i="2"/>
  <c r="T46" i="2"/>
  <c r="I46" i="2"/>
  <c r="J35" i="2"/>
  <c r="S9" i="2"/>
  <c r="C10" i="2"/>
  <c r="R14" i="2"/>
  <c r="K35" i="2"/>
  <c r="T7" i="2"/>
  <c r="I37" i="2"/>
  <c r="I11" i="2"/>
  <c r="I22" i="2"/>
  <c r="I29" i="2"/>
  <c r="J13" i="2"/>
  <c r="AE8" i="2"/>
  <c r="S7" i="2"/>
  <c r="AA14" i="2"/>
  <c r="C18" i="2"/>
  <c r="R24" i="2"/>
  <c r="Y13" i="2"/>
  <c r="X12" i="2"/>
  <c r="AE9" i="2"/>
  <c r="R23" i="2"/>
  <c r="W9" i="2"/>
  <c r="E26" i="2"/>
  <c r="K19" i="2"/>
  <c r="V8" i="2"/>
  <c r="O34" i="2"/>
  <c r="M29" i="2"/>
  <c r="AD22" i="2"/>
  <c r="R22" i="2"/>
  <c r="W10" i="2"/>
  <c r="J22" i="2"/>
  <c r="V25" i="2"/>
  <c r="U15" i="2"/>
  <c r="AD26" i="2"/>
  <c r="E23" i="2"/>
  <c r="W8" i="2"/>
  <c r="D14" i="2"/>
  <c r="G13" i="2"/>
  <c r="S41" i="2"/>
  <c r="Z27" i="2"/>
  <c r="C45" i="2"/>
  <c r="X13" i="2"/>
  <c r="P9" i="2"/>
  <c r="J7" i="2"/>
  <c r="G18" i="2"/>
  <c r="AE22" i="2"/>
  <c r="S11" i="2"/>
  <c r="AF14" i="2"/>
  <c r="N22" i="2"/>
  <c r="F10" i="2"/>
  <c r="E24" i="2"/>
  <c r="W17" i="2"/>
  <c r="Q9" i="2"/>
  <c r="D19" i="2"/>
  <c r="V22" i="2"/>
  <c r="G33" i="2"/>
  <c r="AE25" i="2"/>
  <c r="S31" i="2"/>
  <c r="O12" i="2"/>
  <c r="AA36" i="2"/>
  <c r="AD24" i="2"/>
  <c r="F14" i="2"/>
  <c r="X9" i="2"/>
  <c r="R25" i="2"/>
  <c r="P15" i="2"/>
  <c r="P10" i="2"/>
  <c r="K25" i="2"/>
  <c r="Q34" i="2"/>
  <c r="J14" i="2"/>
  <c r="V12" i="2"/>
  <c r="G15" i="2"/>
  <c r="AE35" i="2"/>
  <c r="AD38" i="2"/>
  <c r="F42" i="2"/>
  <c r="X35" i="2"/>
  <c r="X10" i="2"/>
  <c r="R19" i="2"/>
  <c r="P23" i="2"/>
  <c r="P7" i="2"/>
  <c r="W33" i="2"/>
  <c r="K22" i="2"/>
  <c r="K27" i="2"/>
  <c r="Q14" i="2"/>
  <c r="J31" i="2"/>
  <c r="J41" i="2"/>
  <c r="D8" i="2"/>
  <c r="V17" i="2"/>
  <c r="V27" i="2"/>
  <c r="G27" i="2"/>
  <c r="Y17" i="2"/>
  <c r="AE24" i="2"/>
  <c r="AE29" i="2"/>
  <c r="S19" i="2"/>
  <c r="AB32" i="2"/>
  <c r="AF34" i="2"/>
  <c r="AF31" i="2"/>
  <c r="Z8" i="2"/>
  <c r="H8" i="2"/>
  <c r="M9" i="2"/>
  <c r="F8" i="2"/>
  <c r="J15" i="2"/>
  <c r="Y19" i="2"/>
  <c r="AF23" i="2"/>
  <c r="O26" i="2"/>
  <c r="Z22" i="2"/>
  <c r="AA25" i="2"/>
  <c r="M14" i="2"/>
  <c r="T53" i="2"/>
  <c r="U9" i="2"/>
  <c r="O25" i="2"/>
  <c r="H61" i="2"/>
  <c r="AA47" i="2"/>
  <c r="U7" i="2"/>
  <c r="R7" i="2"/>
  <c r="P14" i="2"/>
  <c r="G41" i="2"/>
  <c r="S24" i="2"/>
  <c r="X18" i="2"/>
  <c r="K12" i="2"/>
  <c r="D38" i="2"/>
  <c r="O51" i="2"/>
  <c r="R28" i="2"/>
  <c r="P18" i="2"/>
  <c r="W18" i="2"/>
  <c r="W13" i="2"/>
  <c r="K9" i="2"/>
  <c r="Q13" i="2"/>
  <c r="Q11" i="2"/>
  <c r="J12" i="2"/>
  <c r="J10" i="2"/>
  <c r="D23" i="2"/>
  <c r="V11" i="2"/>
  <c r="G26" i="2"/>
  <c r="G24" i="2"/>
  <c r="Y27" i="2"/>
  <c r="Y9" i="2"/>
  <c r="AE23" i="2"/>
  <c r="AE33" i="2"/>
  <c r="S10" i="2"/>
  <c r="AF53" i="2"/>
  <c r="O30" i="2"/>
  <c r="H44" i="2"/>
  <c r="AA51" i="2"/>
  <c r="AA10" i="2"/>
  <c r="F15" i="2"/>
  <c r="Q26" i="2"/>
  <c r="G14" i="2"/>
  <c r="S16" i="2"/>
  <c r="E32" i="2"/>
  <c r="J17" i="2"/>
  <c r="G30" i="2"/>
  <c r="X14" i="2"/>
  <c r="K18" i="2"/>
  <c r="J27" i="2"/>
  <c r="D32" i="2"/>
  <c r="V35" i="2"/>
  <c r="G19" i="2"/>
  <c r="Y22" i="2"/>
  <c r="Y18" i="2"/>
  <c r="AE19" i="2"/>
  <c r="S23" i="2"/>
  <c r="AB19" i="2"/>
  <c r="AB13" i="2"/>
  <c r="Z36" i="2"/>
  <c r="H37" i="2"/>
  <c r="U59" i="2"/>
  <c r="M15" i="2"/>
  <c r="T44" i="2"/>
  <c r="C27" i="2"/>
  <c r="W16" i="2"/>
  <c r="Y32" i="2"/>
  <c r="E25" i="2"/>
  <c r="W31" i="2"/>
  <c r="D30" i="2"/>
  <c r="AB22" i="2"/>
  <c r="R32" i="2"/>
  <c r="AB34" i="2"/>
  <c r="AD34" i="2"/>
  <c r="AD10" i="2"/>
  <c r="E8" i="2"/>
  <c r="R13" i="2"/>
  <c r="P13" i="2"/>
  <c r="J23" i="2"/>
  <c r="R10" i="2"/>
  <c r="Q10" i="2"/>
  <c r="AD14" i="2"/>
  <c r="E9" i="2"/>
  <c r="W14" i="2"/>
  <c r="J25" i="2"/>
  <c r="AE15" i="2"/>
  <c r="AD23" i="2"/>
  <c r="P11" i="2"/>
  <c r="V26" i="2"/>
  <c r="F9" i="2"/>
  <c r="P19" i="2"/>
  <c r="E28" i="2"/>
  <c r="R38" i="2"/>
  <c r="K16" i="2"/>
  <c r="AE14" i="2"/>
  <c r="Q12" i="2"/>
  <c r="R42" i="2"/>
  <c r="AE26" i="2"/>
  <c r="E36" i="2"/>
  <c r="F34" i="2"/>
  <c r="Q7" i="2"/>
  <c r="AD17" i="2"/>
  <c r="P30" i="2"/>
  <c r="G37" i="2"/>
  <c r="Z23" i="2"/>
  <c r="F38" i="2"/>
  <c r="R11" i="2"/>
  <c r="W22" i="2"/>
  <c r="D28" i="2"/>
  <c r="Y14" i="2"/>
  <c r="H36" i="2"/>
  <c r="C17" i="2"/>
  <c r="E17" i="2"/>
  <c r="P34" i="2"/>
  <c r="K17" i="2"/>
  <c r="D12" i="2"/>
  <c r="V9" i="2"/>
  <c r="O23" i="2"/>
  <c r="U18" i="2"/>
  <c r="E22" i="2"/>
  <c r="R15" i="2"/>
  <c r="K14" i="2"/>
  <c r="AA29" i="2"/>
  <c r="P27" i="2"/>
  <c r="K7" i="2"/>
  <c r="J9" i="2"/>
  <c r="Y8" i="2"/>
  <c r="AF46" i="2"/>
  <c r="T61" i="2"/>
  <c r="AD36" i="2"/>
  <c r="K11" i="2"/>
  <c r="X41" i="2"/>
  <c r="AB12" i="2"/>
  <c r="X8" i="2"/>
  <c r="D16" i="2"/>
  <c r="AF61" i="2"/>
  <c r="C26" i="2"/>
  <c r="X25" i="2"/>
  <c r="P12" i="2"/>
  <c r="Q17" i="2"/>
  <c r="D17" i="2"/>
  <c r="G10" i="2"/>
  <c r="AB11" i="2"/>
  <c r="AA37" i="2"/>
  <c r="M31" i="2"/>
  <c r="F16" i="2"/>
  <c r="X19" i="2"/>
  <c r="W25" i="2"/>
  <c r="Q29" i="2"/>
  <c r="V29" i="2"/>
  <c r="AE12" i="2"/>
  <c r="AF48" i="2"/>
  <c r="T36" i="2"/>
  <c r="F11" i="2"/>
  <c r="R16" i="2"/>
  <c r="P32" i="2"/>
  <c r="H27" i="2"/>
  <c r="F26" i="2"/>
  <c r="V7" i="2"/>
  <c r="AF42" i="2"/>
  <c r="AD27" i="2"/>
  <c r="X15" i="2"/>
  <c r="F17" i="2"/>
  <c r="W35" i="2"/>
  <c r="D9" i="2"/>
  <c r="AB10" i="2"/>
  <c r="AA55" i="2"/>
  <c r="E12" i="2"/>
  <c r="X7" i="2"/>
  <c r="K23" i="2"/>
  <c r="J29" i="2"/>
  <c r="Y31" i="2"/>
  <c r="S12" i="2"/>
  <c r="S27" i="2"/>
  <c r="Z31" i="2"/>
  <c r="AD30" i="2"/>
  <c r="F28" i="2"/>
  <c r="K41" i="2"/>
  <c r="J16" i="2"/>
  <c r="Y30" i="2"/>
  <c r="AB29" i="2"/>
  <c r="H41" i="2"/>
  <c r="M32" i="2"/>
  <c r="AD13" i="2"/>
  <c r="X26" i="2"/>
  <c r="Q38" i="2"/>
  <c r="V13" i="2"/>
  <c r="Y28" i="2"/>
  <c r="S28" i="2"/>
  <c r="O14" i="2"/>
  <c r="M38" i="2"/>
  <c r="AD7" i="2"/>
  <c r="X37" i="2"/>
  <c r="W27" i="2"/>
  <c r="Q23" i="2"/>
  <c r="D25" i="2"/>
  <c r="V41" i="2"/>
  <c r="G16" i="2"/>
  <c r="AE41" i="2"/>
  <c r="S15" i="2"/>
  <c r="AB28" i="2"/>
  <c r="H17" i="2"/>
  <c r="AD32" i="2"/>
  <c r="E38" i="2"/>
  <c r="X16" i="2"/>
  <c r="R36" i="2"/>
  <c r="P28" i="2"/>
  <c r="W12" i="2"/>
  <c r="K13" i="2"/>
  <c r="Q19" i="2"/>
  <c r="D24" i="2"/>
  <c r="V15" i="2"/>
  <c r="Y16" i="2"/>
  <c r="AE10" i="2"/>
  <c r="S25" i="2"/>
  <c r="AF22" i="2"/>
  <c r="AF15" i="2"/>
  <c r="O16" i="2"/>
  <c r="Z33" i="2"/>
  <c r="H25" i="2"/>
  <c r="M36" i="2"/>
  <c r="U28" i="2"/>
  <c r="N25" i="2"/>
  <c r="AD28" i="2"/>
  <c r="F32" i="2"/>
  <c r="E15" i="2"/>
  <c r="X31" i="2"/>
  <c r="R30" i="2"/>
  <c r="R12" i="2"/>
  <c r="P24" i="2"/>
  <c r="W11" i="2"/>
  <c r="Q30" i="2"/>
  <c r="J8" i="2"/>
  <c r="D36" i="2"/>
  <c r="G25" i="2"/>
  <c r="Y34" i="2"/>
  <c r="S13" i="2"/>
  <c r="AB24" i="2"/>
  <c r="AF12" i="2"/>
  <c r="AF44" i="2"/>
  <c r="O8" i="2"/>
  <c r="H30" i="2"/>
  <c r="AA31" i="2"/>
  <c r="M7" i="2"/>
  <c r="T32" i="2"/>
  <c r="U35" i="2"/>
  <c r="N42" i="2"/>
  <c r="S17" i="2"/>
  <c r="AF25" i="2"/>
  <c r="Z34" i="2"/>
  <c r="Z13" i="2"/>
  <c r="M27" i="2"/>
  <c r="AD19" i="2"/>
  <c r="F12" i="2"/>
  <c r="F24" i="2"/>
  <c r="E11" i="2"/>
  <c r="E14" i="2"/>
  <c r="X22" i="2"/>
  <c r="J59" i="2"/>
  <c r="P22" i="2"/>
  <c r="G22" i="2"/>
  <c r="AE18" i="2"/>
  <c r="S35" i="2"/>
  <c r="AF26" i="2"/>
  <c r="O15" i="2"/>
  <c r="Z62" i="2"/>
  <c r="H53" i="2"/>
  <c r="AA49" i="2"/>
  <c r="M12" i="2"/>
  <c r="U17" i="2"/>
  <c r="C19" i="2"/>
  <c r="AD9" i="2"/>
  <c r="AD12" i="2"/>
  <c r="AD18" i="2"/>
  <c r="F18" i="2"/>
  <c r="F7" i="2"/>
  <c r="F13" i="2"/>
  <c r="F36" i="2"/>
  <c r="E7" i="2"/>
  <c r="E18" i="2"/>
  <c r="E16" i="2"/>
  <c r="E19" i="2"/>
  <c r="X11" i="2"/>
  <c r="X27" i="2"/>
  <c r="X23" i="2"/>
  <c r="J63" i="2"/>
  <c r="R26" i="2"/>
  <c r="R9" i="2"/>
  <c r="P26" i="2"/>
  <c r="AB36" i="2"/>
  <c r="AB16" i="2"/>
  <c r="O38" i="2"/>
  <c r="O24" i="2"/>
  <c r="Z47" i="2"/>
  <c r="Z51" i="2"/>
  <c r="H29" i="2"/>
  <c r="AA34" i="2"/>
  <c r="AA30" i="2"/>
  <c r="M22" i="2"/>
  <c r="M13" i="2"/>
  <c r="T42" i="2"/>
  <c r="T9" i="2"/>
  <c r="U61" i="2"/>
  <c r="C8" i="2"/>
  <c r="C16" i="2"/>
  <c r="O9" i="2"/>
  <c r="O17" i="2"/>
  <c r="Z19" i="2"/>
  <c r="Z41" i="2"/>
  <c r="AA24" i="2"/>
  <c r="AA22" i="2"/>
  <c r="M11" i="2"/>
  <c r="M10" i="2"/>
  <c r="M34" i="2"/>
  <c r="T28" i="2"/>
  <c r="U36" i="2"/>
  <c r="U48" i="2"/>
  <c r="O32" i="2"/>
  <c r="O41" i="2"/>
  <c r="Z11" i="2"/>
  <c r="H42" i="2"/>
  <c r="H28" i="2"/>
  <c r="AA12" i="2"/>
  <c r="AA13" i="2"/>
  <c r="E10" i="2"/>
  <c r="T16" i="2"/>
  <c r="C9" i="2"/>
  <c r="N35" i="2"/>
  <c r="N30" i="2"/>
  <c r="AB9" i="2"/>
  <c r="H22" i="2"/>
  <c r="M19" i="2"/>
  <c r="T17" i="2"/>
  <c r="U30" i="2"/>
  <c r="C14" i="2"/>
  <c r="N45" i="2"/>
  <c r="AB15" i="2"/>
  <c r="AF38" i="2"/>
  <c r="Z49" i="2"/>
  <c r="H34" i="2"/>
  <c r="T38" i="2"/>
  <c r="AD11" i="2"/>
  <c r="AD15" i="2"/>
  <c r="F23" i="2"/>
  <c r="F19" i="2"/>
  <c r="E13" i="2"/>
  <c r="E30" i="2"/>
  <c r="X29" i="2"/>
  <c r="R8" i="2"/>
  <c r="R34" i="2"/>
  <c r="G29" i="2"/>
  <c r="Y26" i="2"/>
  <c r="AB17" i="2"/>
  <c r="O35" i="2"/>
  <c r="Z10" i="2"/>
  <c r="AA19" i="2"/>
  <c r="M42" i="2"/>
  <c r="U19" i="2"/>
  <c r="N38" i="2"/>
  <c r="R18" i="2"/>
  <c r="P38" i="2"/>
  <c r="P8" i="2"/>
  <c r="H63" i="2"/>
  <c r="W23" i="2"/>
  <c r="W15" i="2"/>
  <c r="W41" i="2"/>
  <c r="K10" i="2"/>
  <c r="K31" i="2"/>
  <c r="K15" i="2"/>
  <c r="Q28" i="2"/>
  <c r="Q18" i="2"/>
  <c r="Q15" i="2"/>
  <c r="J19" i="2"/>
  <c r="J18" i="2"/>
  <c r="J11" i="2"/>
  <c r="D26" i="2"/>
  <c r="D11" i="2"/>
  <c r="D15" i="2"/>
  <c r="V23" i="2"/>
  <c r="V16" i="2"/>
  <c r="V14" i="2"/>
  <c r="G17" i="2"/>
  <c r="G28" i="2"/>
  <c r="Y10" i="2"/>
  <c r="Y23" i="2"/>
  <c r="Y12" i="2"/>
  <c r="AE13" i="2"/>
  <c r="AE37" i="2"/>
  <c r="S26" i="2"/>
  <c r="S8" i="2"/>
  <c r="S37" i="2"/>
  <c r="AB18" i="2"/>
  <c r="AB7" i="2"/>
  <c r="AF32" i="2"/>
  <c r="AF8" i="2"/>
  <c r="O49" i="2"/>
  <c r="Z45" i="2"/>
  <c r="H10" i="2"/>
  <c r="H12" i="2"/>
  <c r="AA43" i="2"/>
  <c r="AA23" i="2"/>
  <c r="M30" i="2"/>
  <c r="T13" i="2"/>
  <c r="T27" i="2"/>
  <c r="N51" i="2"/>
  <c r="N32" i="2"/>
  <c r="T41" i="2"/>
  <c r="T10" i="2"/>
  <c r="T14" i="2"/>
  <c r="T25" i="2"/>
  <c r="U41" i="2"/>
  <c r="U34" i="2"/>
  <c r="U42" i="2"/>
  <c r="Z55" i="2"/>
  <c r="C51" i="2"/>
  <c r="C41" i="2"/>
  <c r="C47" i="2"/>
  <c r="C33" i="2"/>
  <c r="N12" i="2"/>
  <c r="N37" i="2"/>
  <c r="N24" i="2"/>
  <c r="Q36" i="2"/>
  <c r="T15" i="2"/>
  <c r="T26" i="2"/>
  <c r="U29" i="2"/>
  <c r="U22" i="2"/>
  <c r="U27" i="2"/>
  <c r="Z18" i="2"/>
  <c r="C11" i="2"/>
  <c r="C62" i="2"/>
  <c r="C64" i="2"/>
  <c r="C29" i="2"/>
  <c r="N14" i="2"/>
  <c r="N23" i="2"/>
  <c r="N19" i="2"/>
  <c r="Q24" i="2"/>
  <c r="C36" i="2"/>
  <c r="C49" i="2"/>
  <c r="N15" i="2"/>
  <c r="N47" i="2"/>
  <c r="N18" i="2"/>
  <c r="N49" i="2"/>
  <c r="AC32" i="2"/>
  <c r="P17" i="2"/>
  <c r="H59" i="2"/>
  <c r="W7" i="2"/>
  <c r="W26" i="2"/>
  <c r="W29" i="2"/>
  <c r="K33" i="2"/>
  <c r="K8" i="2"/>
  <c r="K37" i="2"/>
  <c r="K24" i="2"/>
  <c r="Q32" i="2"/>
  <c r="Q16" i="2"/>
  <c r="Q22" i="2"/>
  <c r="Q8" i="2"/>
  <c r="J33" i="2"/>
  <c r="J24" i="2"/>
  <c r="J37" i="2"/>
  <c r="D22" i="2"/>
  <c r="D34" i="2"/>
  <c r="D7" i="2"/>
  <c r="D13" i="2"/>
  <c r="V31" i="2"/>
  <c r="V33" i="2"/>
  <c r="V18" i="2"/>
  <c r="V10" i="2"/>
  <c r="G35" i="2"/>
  <c r="G9" i="2"/>
  <c r="G7" i="2"/>
  <c r="Y36" i="2"/>
  <c r="Y38" i="2"/>
  <c r="Y11" i="2"/>
  <c r="Y29" i="2"/>
  <c r="AE7" i="2"/>
  <c r="AE17" i="2"/>
  <c r="AE31" i="2"/>
  <c r="AE30" i="2"/>
  <c r="S18" i="2"/>
  <c r="S22" i="2"/>
  <c r="S33" i="2"/>
  <c r="AB30" i="2"/>
  <c r="AB23" i="2"/>
  <c r="AB8" i="2"/>
  <c r="AB26" i="2"/>
  <c r="AF35" i="2"/>
  <c r="AF29" i="2"/>
  <c r="AF16" i="2"/>
  <c r="AF37" i="2"/>
  <c r="O55" i="2"/>
  <c r="O64" i="2"/>
  <c r="O47" i="2"/>
  <c r="Z30" i="2"/>
  <c r="Z12" i="2"/>
  <c r="Z29" i="2"/>
  <c r="Z37" i="2"/>
  <c r="H19" i="2"/>
  <c r="H50" i="2"/>
  <c r="H26" i="2"/>
  <c r="H11" i="2"/>
  <c r="AA35" i="2"/>
  <c r="AA64" i="2"/>
  <c r="AA41" i="2"/>
  <c r="U63" i="2"/>
  <c r="M23" i="2"/>
  <c r="M18" i="2"/>
  <c r="M8" i="2"/>
  <c r="E34" i="2"/>
  <c r="T18" i="2"/>
  <c r="T35" i="2"/>
  <c r="T33" i="2"/>
  <c r="U33" i="2"/>
  <c r="U46" i="2"/>
  <c r="U10" i="2"/>
  <c r="U44" i="2"/>
  <c r="N31" i="2"/>
  <c r="C37" i="2"/>
  <c r="C32" i="2"/>
  <c r="C28" i="2"/>
  <c r="N34" i="2"/>
  <c r="N10" i="2"/>
  <c r="N7" i="2"/>
  <c r="N62" i="2"/>
  <c r="AC38" i="2"/>
  <c r="O62" i="2"/>
  <c r="U26" i="2"/>
  <c r="I15" i="2"/>
  <c r="O28" i="2"/>
  <c r="C31" i="2"/>
  <c r="AF24" i="2"/>
  <c r="AA18" i="2"/>
  <c r="T29" i="2"/>
  <c r="U62" i="2"/>
  <c r="U31" i="2"/>
  <c r="O67" i="2"/>
  <c r="I50" i="2"/>
  <c r="I62" i="2"/>
  <c r="I60" i="2"/>
  <c r="O53" i="2"/>
  <c r="H43" i="2"/>
  <c r="U24" i="2"/>
  <c r="H16" i="2"/>
  <c r="I51" i="2"/>
  <c r="I67" i="2"/>
  <c r="H55" i="2"/>
  <c r="M59" i="2"/>
  <c r="U64" i="2"/>
  <c r="AA63" i="2"/>
  <c r="I47" i="2"/>
  <c r="I8" i="2"/>
  <c r="I45" i="2"/>
  <c r="Z60" i="2"/>
  <c r="O45" i="2"/>
  <c r="O10" i="2"/>
  <c r="O19" i="2"/>
  <c r="O43" i="2"/>
  <c r="H38" i="2"/>
  <c r="H35" i="2"/>
  <c r="H14" i="2"/>
  <c r="H48" i="2"/>
  <c r="C13" i="2"/>
  <c r="C23" i="2"/>
  <c r="C35" i="2"/>
  <c r="C22" i="2"/>
  <c r="AF30" i="2"/>
  <c r="AF43" i="2"/>
  <c r="AF18" i="2"/>
  <c r="AF47" i="2"/>
  <c r="AA9" i="2"/>
  <c r="AA44" i="2"/>
  <c r="AA32" i="2"/>
  <c r="AA42" i="2"/>
  <c r="T51" i="2"/>
  <c r="T22" i="2"/>
  <c r="T8" i="2"/>
  <c r="T50" i="2"/>
  <c r="AC15" i="2"/>
  <c r="AC11" i="2"/>
  <c r="AC18" i="2"/>
  <c r="AC24" i="2"/>
  <c r="V59" i="2"/>
  <c r="L17" i="2"/>
  <c r="L8" i="2"/>
  <c r="L41" i="2"/>
  <c r="I43" i="2"/>
  <c r="U25" i="2"/>
  <c r="I26" i="2"/>
  <c r="O11" i="2"/>
  <c r="C7" i="2"/>
  <c r="U23" i="2"/>
  <c r="U43" i="2"/>
  <c r="I49" i="2"/>
  <c r="AA65" i="2"/>
  <c r="U60" i="2"/>
  <c r="AA59" i="2"/>
  <c r="I64" i="2"/>
  <c r="O7" i="2"/>
  <c r="H18" i="2"/>
  <c r="H24" i="2"/>
  <c r="C34" i="2"/>
  <c r="AF10" i="2"/>
  <c r="AA50" i="2"/>
  <c r="AA28" i="2"/>
  <c r="T64" i="2"/>
  <c r="AC17" i="2"/>
  <c r="AC16" i="2"/>
  <c r="AC26" i="2"/>
  <c r="V63" i="2"/>
  <c r="L9" i="2"/>
  <c r="L31" i="2"/>
  <c r="L16" i="2"/>
  <c r="C67" i="2"/>
  <c r="U51" i="2"/>
  <c r="I18" i="2"/>
  <c r="AA66" i="2"/>
  <c r="H32" i="2"/>
  <c r="C25" i="2"/>
  <c r="AF49" i="2"/>
  <c r="AF36" i="2"/>
  <c r="T11" i="2"/>
  <c r="U47" i="2"/>
  <c r="O22" i="2"/>
  <c r="U32" i="2"/>
  <c r="I9" i="2"/>
  <c r="O50" i="2"/>
  <c r="O13" i="2"/>
  <c r="C53" i="2"/>
  <c r="AF55" i="2"/>
  <c r="AA11" i="2"/>
  <c r="AA8" i="2"/>
  <c r="T23" i="2"/>
  <c r="AC23" i="2"/>
  <c r="U16" i="2"/>
  <c r="U38" i="2"/>
  <c r="U49" i="2"/>
  <c r="U45" i="2"/>
  <c r="C60" i="2"/>
  <c r="I35" i="2"/>
  <c r="I55" i="2"/>
  <c r="I16" i="2"/>
  <c r="I28" i="2"/>
  <c r="U67" i="2"/>
  <c r="N59" i="2"/>
  <c r="O44" i="2"/>
  <c r="O37" i="2"/>
  <c r="O36" i="2"/>
  <c r="O18" i="2"/>
  <c r="H23" i="2"/>
  <c r="H46" i="2"/>
  <c r="H47" i="2"/>
  <c r="H51" i="2"/>
  <c r="C48" i="2"/>
  <c r="C55" i="2"/>
  <c r="C38" i="2"/>
  <c r="X63" i="2"/>
  <c r="AF11" i="2"/>
  <c r="AF51" i="2"/>
  <c r="AF64" i="2"/>
  <c r="AF33" i="2"/>
  <c r="AA27" i="2"/>
  <c r="AA53" i="2"/>
  <c r="AA46" i="2"/>
  <c r="Y63" i="2"/>
  <c r="T45" i="2"/>
  <c r="T31" i="2"/>
  <c r="T49" i="2"/>
  <c r="L59" i="2"/>
  <c r="AC10" i="2"/>
  <c r="AC12" i="2"/>
  <c r="AC9" i="2"/>
  <c r="AC25" i="2"/>
  <c r="L15" i="2"/>
  <c r="L23" i="2"/>
  <c r="L37" i="2"/>
  <c r="L10" i="2"/>
  <c r="I36" i="2"/>
  <c r="U50" i="2"/>
  <c r="I41" i="2"/>
  <c r="Z67" i="2"/>
  <c r="O46" i="2"/>
  <c r="H49" i="2"/>
  <c r="C42" i="2"/>
  <c r="T43" i="2"/>
  <c r="U8" i="2"/>
  <c r="O42" i="2"/>
  <c r="H62" i="2"/>
  <c r="C12" i="2"/>
  <c r="C30" i="2"/>
  <c r="AF19" i="2"/>
  <c r="AF45" i="2"/>
  <c r="AA38" i="2"/>
  <c r="AA62" i="2"/>
  <c r="T48" i="2"/>
  <c r="T62" i="2"/>
  <c r="L63" i="2"/>
  <c r="AC14" i="2"/>
  <c r="AC30" i="2"/>
  <c r="AC8" i="2"/>
  <c r="L35" i="2"/>
  <c r="L14" i="2"/>
  <c r="L13" i="2"/>
  <c r="L18" i="2"/>
  <c r="I25" i="2"/>
  <c r="H15" i="2"/>
  <c r="H31" i="2"/>
  <c r="C15" i="2"/>
  <c r="X59" i="2"/>
  <c r="AF28" i="2"/>
  <c r="AF17" i="2"/>
  <c r="AA16" i="2"/>
  <c r="Y59" i="2"/>
  <c r="T19" i="2"/>
  <c r="AC28" i="2"/>
  <c r="N63" i="2"/>
  <c r="U13" i="2"/>
  <c r="C59" i="2"/>
  <c r="Z59" i="2"/>
  <c r="C61" i="2"/>
  <c r="AF50" i="2"/>
  <c r="AA61" i="2"/>
  <c r="AA26" i="2"/>
  <c r="T55" i="2"/>
  <c r="T24" i="2"/>
  <c r="AC19" i="2"/>
  <c r="AC34" i="2"/>
  <c r="AC36" i="2"/>
  <c r="K63" i="2"/>
  <c r="L26" i="2"/>
  <c r="L12" i="2"/>
  <c r="L19" i="2"/>
  <c r="L33" i="2"/>
  <c r="I48" i="2"/>
  <c r="U37" i="2"/>
  <c r="N67" i="2"/>
  <c r="H64" i="2"/>
  <c r="AF27" i="2"/>
  <c r="AA45" i="2"/>
  <c r="W59" i="2"/>
  <c r="U53" i="2"/>
  <c r="O31" i="2"/>
  <c r="O60" i="2"/>
  <c r="O61" i="2"/>
  <c r="H13" i="2"/>
  <c r="C24" i="2"/>
  <c r="T30" i="2"/>
  <c r="U55" i="2"/>
  <c r="U14" i="2"/>
  <c r="I33" i="2"/>
  <c r="C63" i="2"/>
  <c r="N60" i="2"/>
  <c r="O48" i="2"/>
  <c r="O29" i="2"/>
  <c r="Z63" i="2"/>
  <c r="H45" i="2"/>
  <c r="H33" i="2"/>
  <c r="C44" i="2"/>
  <c r="C46" i="2"/>
  <c r="C43" i="2"/>
  <c r="C50" i="2"/>
  <c r="M63" i="2"/>
  <c r="AF41" i="2"/>
  <c r="AF62" i="2"/>
  <c r="AF9" i="2"/>
  <c r="AA7" i="2"/>
  <c r="AA48" i="2"/>
  <c r="AA17" i="2"/>
  <c r="AA33" i="2"/>
  <c r="T34" i="2"/>
  <c r="T37" i="2"/>
  <c r="T12" i="2"/>
  <c r="T47" i="2"/>
  <c r="W63" i="2"/>
  <c r="AC22" i="2"/>
  <c r="AC7" i="2"/>
  <c r="AC13" i="2"/>
  <c r="K59" i="2"/>
  <c r="L7" i="2"/>
  <c r="L27" i="2"/>
  <c r="L24" i="2"/>
  <c r="L29" i="2"/>
  <c r="AC55" i="2"/>
  <c r="AC41" i="2"/>
  <c r="AC37" i="2"/>
  <c r="W45" i="2"/>
  <c r="AB67" i="2"/>
  <c r="AC49" i="2"/>
  <c r="V65" i="2"/>
  <c r="D66" i="2"/>
  <c r="P59" i="2"/>
  <c r="AB66" i="2"/>
  <c r="Q35" i="2"/>
  <c r="W53" i="2"/>
  <c r="Q55" i="2"/>
  <c r="W51" i="2"/>
  <c r="Q27" i="2"/>
  <c r="W36" i="2"/>
  <c r="V44" i="2"/>
  <c r="E31" i="2"/>
  <c r="V30" i="2"/>
  <c r="E29" i="2"/>
  <c r="P62" i="2"/>
  <c r="E44" i="2"/>
  <c r="P64" i="2"/>
  <c r="V53" i="2"/>
  <c r="J42" i="2"/>
  <c r="AC61" i="2"/>
  <c r="E61" i="2"/>
  <c r="V60" i="2"/>
  <c r="AB59" i="2"/>
  <c r="Q51" i="2"/>
  <c r="V24" i="2"/>
  <c r="AC43" i="2"/>
  <c r="W28" i="2"/>
  <c r="E42" i="2"/>
  <c r="E37" i="2"/>
  <c r="I65" i="2"/>
  <c r="Q45" i="2"/>
  <c r="AA60" i="2"/>
  <c r="V38" i="2"/>
  <c r="P44" i="2"/>
  <c r="J26" i="2"/>
  <c r="AC29" i="2"/>
  <c r="AC64" i="2"/>
  <c r="W47" i="2"/>
  <c r="E51" i="2"/>
  <c r="E35" i="2"/>
  <c r="K67" i="2"/>
  <c r="P66" i="2"/>
  <c r="J65" i="2"/>
  <c r="Q64" i="2"/>
  <c r="V62" i="2"/>
  <c r="V55" i="2"/>
  <c r="P55" i="2"/>
  <c r="P33" i="2"/>
  <c r="AB55" i="2"/>
  <c r="AB45" i="2"/>
  <c r="AB61" i="2"/>
  <c r="J30" i="2"/>
  <c r="D51" i="2"/>
  <c r="AC35" i="2"/>
  <c r="AC46" i="2"/>
  <c r="W43" i="2"/>
  <c r="W46" i="2"/>
  <c r="E49" i="2"/>
  <c r="E45" i="2"/>
  <c r="V66" i="2"/>
  <c r="P63" i="2"/>
  <c r="AB65" i="2"/>
  <c r="Q49" i="2"/>
  <c r="U65" i="2"/>
  <c r="V43" i="2"/>
  <c r="V49" i="2"/>
  <c r="P41" i="2"/>
  <c r="P53" i="2"/>
  <c r="AB35" i="2"/>
  <c r="AB51" i="2"/>
  <c r="AB50" i="2"/>
  <c r="J45" i="2"/>
  <c r="AB42" i="2"/>
  <c r="J38" i="2"/>
  <c r="O63" i="2"/>
  <c r="D48" i="2"/>
  <c r="D44" i="2"/>
  <c r="D55" i="2"/>
  <c r="AC50" i="2"/>
  <c r="AC48" i="2"/>
  <c r="W50" i="2"/>
  <c r="W42" i="2"/>
  <c r="E33" i="2"/>
  <c r="AB60" i="2"/>
  <c r="P67" i="2"/>
  <c r="Q53" i="2"/>
  <c r="Q33" i="2"/>
  <c r="Q31" i="2"/>
  <c r="V46" i="2"/>
  <c r="V28" i="2"/>
  <c r="P42" i="2"/>
  <c r="P37" i="2"/>
  <c r="J32" i="2"/>
  <c r="AB41" i="2"/>
  <c r="AB53" i="2"/>
  <c r="AB33" i="2"/>
  <c r="J55" i="2"/>
  <c r="O59" i="2"/>
  <c r="D29" i="2"/>
  <c r="D42" i="2"/>
  <c r="D43" i="2"/>
  <c r="W32" i="2"/>
  <c r="Q42" i="2"/>
  <c r="P29" i="2"/>
  <c r="P49" i="2"/>
  <c r="AB25" i="2"/>
  <c r="AB37" i="2"/>
  <c r="AB48" i="2"/>
  <c r="J53" i="2"/>
  <c r="AB64" i="2"/>
  <c r="AB47" i="2"/>
  <c r="D46" i="2"/>
  <c r="D47" i="2"/>
  <c r="D37" i="2"/>
  <c r="D53" i="2"/>
  <c r="W64" i="2"/>
  <c r="Q46" i="2"/>
  <c r="O66" i="2"/>
  <c r="C65" i="2"/>
  <c r="J64" i="2"/>
  <c r="AB31" i="2"/>
  <c r="E53" i="2"/>
  <c r="V48" i="2"/>
  <c r="E46" i="2"/>
  <c r="Q62" i="2"/>
  <c r="V61" i="2"/>
  <c r="C66" i="2"/>
  <c r="J43" i="2"/>
  <c r="AB44" i="2"/>
  <c r="J36" i="2"/>
  <c r="J49" i="2"/>
  <c r="D45" i="2"/>
  <c r="D50" i="2"/>
  <c r="D64" i="2"/>
  <c r="D31" i="2"/>
  <c r="P43" i="2"/>
  <c r="W44" i="2"/>
  <c r="Q43" i="2"/>
  <c r="AC47" i="2"/>
  <c r="E55" i="2"/>
  <c r="Q47" i="2"/>
  <c r="J46" i="2"/>
  <c r="U66" i="2"/>
  <c r="AC27" i="2"/>
  <c r="E47" i="2"/>
  <c r="AA67" i="2"/>
  <c r="AC42" i="2"/>
  <c r="D60" i="2"/>
  <c r="P50" i="2"/>
  <c r="AC45" i="2"/>
  <c r="E62" i="2"/>
  <c r="Q48" i="2"/>
  <c r="P31" i="2"/>
  <c r="J28" i="2"/>
  <c r="D35" i="2"/>
  <c r="P48" i="2"/>
  <c r="E63" i="2"/>
  <c r="V42" i="2"/>
  <c r="W61" i="2"/>
  <c r="AB63" i="2"/>
  <c r="O65" i="2"/>
  <c r="W30" i="2"/>
  <c r="Q41" i="2"/>
  <c r="V45" i="2"/>
  <c r="J50" i="2"/>
  <c r="AC33" i="2"/>
  <c r="AC51" i="2"/>
  <c r="E41" i="2"/>
  <c r="D67" i="2"/>
  <c r="I66" i="2"/>
  <c r="P45" i="2"/>
  <c r="AC44" i="2"/>
  <c r="W38" i="2"/>
  <c r="E59" i="2"/>
  <c r="V67" i="2"/>
  <c r="Q61" i="2"/>
  <c r="V34" i="2"/>
  <c r="P25" i="2"/>
  <c r="J47" i="2"/>
  <c r="W34" i="2"/>
  <c r="W62" i="2"/>
  <c r="E27" i="2"/>
  <c r="P60" i="2"/>
  <c r="J67" i="2"/>
  <c r="Q50" i="2"/>
  <c r="D59" i="2"/>
  <c r="V64" i="2"/>
  <c r="V51" i="2"/>
  <c r="P47" i="2"/>
  <c r="J62" i="2"/>
  <c r="J61" i="2"/>
  <c r="AB43" i="2"/>
  <c r="D27" i="2"/>
  <c r="D41" i="2"/>
  <c r="AC62" i="2"/>
  <c r="AC53" i="2"/>
  <c r="AC31" i="2"/>
  <c r="W49" i="2"/>
  <c r="W24" i="2"/>
  <c r="W48" i="2"/>
  <c r="W55" i="2"/>
  <c r="E43" i="2"/>
  <c r="E50" i="2"/>
  <c r="E64" i="2"/>
  <c r="E48" i="2"/>
  <c r="K60" i="2"/>
  <c r="D65" i="2"/>
  <c r="P65" i="2"/>
  <c r="J60" i="2"/>
  <c r="J66" i="2"/>
  <c r="Q25" i="2"/>
  <c r="Q44" i="2"/>
  <c r="Q37" i="2"/>
  <c r="D63" i="2"/>
  <c r="V50" i="2"/>
  <c r="V36" i="2"/>
  <c r="V32" i="2"/>
  <c r="V47" i="2"/>
  <c r="P51" i="2"/>
  <c r="P61" i="2"/>
  <c r="P46" i="2"/>
  <c r="P35" i="2"/>
  <c r="J44" i="2"/>
  <c r="J51" i="2"/>
  <c r="J48" i="2"/>
  <c r="AB46" i="2"/>
  <c r="AB27" i="2"/>
  <c r="J34" i="2"/>
  <c r="AB62" i="2"/>
  <c r="AB49" i="2"/>
  <c r="D33" i="2"/>
  <c r="D61" i="2"/>
  <c r="D62" i="2"/>
  <c r="D49" i="2"/>
  <c r="S49" i="2"/>
  <c r="E67" i="2"/>
  <c r="R50" i="2"/>
  <c r="K43" i="2"/>
  <c r="R59" i="2"/>
  <c r="L45" i="2"/>
  <c r="S46" i="2"/>
  <c r="F60" i="2"/>
  <c r="L43" i="2"/>
  <c r="AD37" i="2"/>
  <c r="R64" i="2"/>
  <c r="F43" i="2"/>
  <c r="S50" i="2"/>
  <c r="S53" i="2"/>
  <c r="S47" i="2"/>
  <c r="X66" i="2"/>
  <c r="AD66" i="2"/>
  <c r="X60" i="2"/>
  <c r="AC67" i="2"/>
  <c r="F59" i="2"/>
  <c r="L48" i="2"/>
  <c r="L28" i="2"/>
  <c r="L61" i="2"/>
  <c r="E60" i="2"/>
  <c r="AC65" i="2"/>
  <c r="X38" i="2"/>
  <c r="X49" i="2"/>
  <c r="X62" i="2"/>
  <c r="X30" i="2"/>
  <c r="AD55" i="2"/>
  <c r="AD44" i="2"/>
  <c r="AD49" i="2"/>
  <c r="Q59" i="2"/>
  <c r="R41" i="2"/>
  <c r="R55" i="2"/>
  <c r="R29" i="2"/>
  <c r="R33" i="2"/>
  <c r="F49" i="2"/>
  <c r="F37" i="2"/>
  <c r="F44" i="2"/>
  <c r="F51" i="2"/>
  <c r="K32" i="2"/>
  <c r="K30" i="2"/>
  <c r="K28" i="2"/>
  <c r="X67" i="2"/>
  <c r="X61" i="2"/>
  <c r="R53" i="2"/>
  <c r="S55" i="2"/>
  <c r="K66" i="2"/>
  <c r="R65" i="2"/>
  <c r="L42" i="2"/>
  <c r="X50" i="2"/>
  <c r="R62" i="2"/>
  <c r="S43" i="2"/>
  <c r="X65" i="2"/>
  <c r="X44" i="2"/>
  <c r="R51" i="2"/>
  <c r="F55" i="2"/>
  <c r="S64" i="2"/>
  <c r="S30" i="2"/>
  <c r="Q67" i="2"/>
  <c r="L47" i="2"/>
  <c r="L53" i="2"/>
  <c r="E66" i="2"/>
  <c r="X53" i="2"/>
  <c r="AD48" i="2"/>
  <c r="AD33" i="2"/>
  <c r="AD51" i="2"/>
  <c r="R48" i="2"/>
  <c r="R37" i="2"/>
  <c r="W60" i="2"/>
  <c r="F47" i="2"/>
  <c r="F64" i="2"/>
  <c r="K44" i="2"/>
  <c r="K36" i="2"/>
  <c r="K49" i="2"/>
  <c r="K34" i="2"/>
  <c r="AD65" i="2"/>
  <c r="AC66" i="2"/>
  <c r="AD43" i="2"/>
  <c r="R44" i="2"/>
  <c r="S45" i="2"/>
  <c r="AD63" i="2"/>
  <c r="R63" i="2"/>
  <c r="Q66" i="2"/>
  <c r="L46" i="2"/>
  <c r="L44" i="2"/>
  <c r="W66" i="2"/>
  <c r="X36" i="2"/>
  <c r="X32" i="2"/>
  <c r="AD46" i="2"/>
  <c r="AC63" i="2"/>
  <c r="R46" i="2"/>
  <c r="F62" i="2"/>
  <c r="F63" i="2"/>
  <c r="AD31" i="2"/>
  <c r="F35" i="2"/>
  <c r="AD59" i="2"/>
  <c r="L36" i="2"/>
  <c r="AD35" i="2"/>
  <c r="AD62" i="2"/>
  <c r="R27" i="2"/>
  <c r="R61" i="2"/>
  <c r="R45" i="2"/>
  <c r="W67" i="2"/>
  <c r="F61" i="2"/>
  <c r="F33" i="2"/>
  <c r="K55" i="2"/>
  <c r="K50" i="2"/>
  <c r="K48" i="2"/>
  <c r="K53" i="2"/>
  <c r="S14" i="2"/>
  <c r="L64" i="2"/>
  <c r="X55" i="2"/>
  <c r="F31" i="2"/>
  <c r="S38" i="2"/>
  <c r="L34" i="2"/>
  <c r="W65" i="2"/>
  <c r="X51" i="2"/>
  <c r="AD41" i="2"/>
  <c r="AD64" i="2"/>
  <c r="AC59" i="2"/>
  <c r="F25" i="2"/>
  <c r="S62" i="2"/>
  <c r="L38" i="2"/>
  <c r="AD53" i="2"/>
  <c r="K61" i="2"/>
  <c r="S42" i="2"/>
  <c r="L62" i="2"/>
  <c r="S48" i="2"/>
  <c r="F65" i="2"/>
  <c r="E65" i="2"/>
  <c r="X64" i="2"/>
  <c r="AD47" i="2"/>
  <c r="F27" i="2"/>
  <c r="F29" i="2"/>
  <c r="K26" i="2"/>
  <c r="K64" i="2"/>
  <c r="K42" i="2"/>
  <c r="S29" i="2"/>
  <c r="L32" i="2"/>
  <c r="Q63" i="2"/>
  <c r="F48" i="2"/>
  <c r="S36" i="2"/>
  <c r="Q65" i="2"/>
  <c r="X45" i="2"/>
  <c r="L65" i="2"/>
  <c r="L22" i="2"/>
  <c r="X28" i="2"/>
  <c r="AD50" i="2"/>
  <c r="F45" i="2"/>
  <c r="AC60" i="2"/>
  <c r="X34" i="2"/>
  <c r="K51" i="2"/>
  <c r="S61" i="2"/>
  <c r="Q60" i="2"/>
  <c r="X43" i="2"/>
  <c r="S51" i="2"/>
  <c r="L67" i="2"/>
  <c r="L51" i="2"/>
  <c r="X47" i="2"/>
  <c r="AD45" i="2"/>
  <c r="R31" i="2"/>
  <c r="R35" i="2"/>
  <c r="K38" i="2"/>
  <c r="S32" i="2"/>
  <c r="S44" i="2"/>
  <c r="S34" i="2"/>
  <c r="R66" i="2"/>
  <c r="L66" i="2"/>
  <c r="L60" i="2"/>
  <c r="F67" i="2"/>
  <c r="F66" i="2"/>
  <c r="L30" i="2"/>
  <c r="L49" i="2"/>
  <c r="L50" i="2"/>
  <c r="L55" i="2"/>
  <c r="K65" i="2"/>
  <c r="X42" i="2"/>
  <c r="X46" i="2"/>
  <c r="X24" i="2"/>
  <c r="X48" i="2"/>
  <c r="AD29" i="2"/>
  <c r="AD61" i="2"/>
  <c r="AD42" i="2"/>
  <c r="AD25" i="2"/>
  <c r="R47" i="2"/>
  <c r="R49" i="2"/>
  <c r="R43" i="2"/>
  <c r="R17" i="2"/>
  <c r="F53" i="2"/>
  <c r="F41" i="2"/>
  <c r="F46" i="2"/>
  <c r="F50" i="2"/>
  <c r="K47" i="2"/>
  <c r="K46" i="2"/>
  <c r="K62" i="2"/>
  <c r="K45" i="2"/>
  <c r="M17" i="2"/>
  <c r="Y15" i="2"/>
  <c r="AE53" i="2"/>
  <c r="Y61" i="2"/>
  <c r="AE51" i="2"/>
  <c r="Y65" i="2"/>
  <c r="Z25" i="2"/>
  <c r="N27" i="2"/>
  <c r="N53" i="2"/>
  <c r="Z35" i="2"/>
  <c r="AE36" i="2"/>
  <c r="N41" i="2"/>
  <c r="M55" i="2"/>
  <c r="G51" i="2"/>
  <c r="G42" i="2"/>
  <c r="G53" i="2"/>
  <c r="Y47" i="2"/>
  <c r="Z17" i="2"/>
  <c r="M26" i="2"/>
  <c r="M41" i="2"/>
  <c r="Y43" i="2"/>
  <c r="G32" i="2"/>
  <c r="AE28" i="2"/>
  <c r="AE50" i="2"/>
  <c r="G45" i="2"/>
  <c r="N13" i="2"/>
  <c r="AE32" i="2"/>
  <c r="G36" i="2"/>
  <c r="G64" i="2"/>
  <c r="N48" i="2"/>
  <c r="N8" i="2"/>
  <c r="M53" i="2"/>
  <c r="Y48" i="2"/>
  <c r="Z32" i="2"/>
  <c r="Z7" i="2"/>
  <c r="AE44" i="2"/>
  <c r="AE49" i="2"/>
  <c r="G44" i="2"/>
  <c r="G48" i="2"/>
  <c r="N11" i="2"/>
  <c r="N28" i="2"/>
  <c r="M35" i="2"/>
  <c r="M48" i="2"/>
  <c r="Y50" i="2"/>
  <c r="Y45" i="2"/>
  <c r="Z24" i="2"/>
  <c r="Z61" i="2"/>
  <c r="AE42" i="2"/>
  <c r="AE48" i="2"/>
  <c r="G50" i="2"/>
  <c r="G47" i="2"/>
  <c r="N64" i="2"/>
  <c r="N36" i="2"/>
  <c r="M50" i="2"/>
  <c r="M45" i="2"/>
  <c r="Y44" i="2"/>
  <c r="Y51" i="2"/>
  <c r="Z53" i="2"/>
  <c r="AE47" i="2"/>
  <c r="Y66" i="2"/>
  <c r="M16" i="2"/>
  <c r="M46" i="2"/>
  <c r="Y49" i="2"/>
  <c r="Y33" i="2"/>
  <c r="Y37" i="2"/>
  <c r="Z48" i="2"/>
  <c r="Z46" i="2"/>
  <c r="Z16" i="2"/>
  <c r="G8" i="2"/>
  <c r="N44" i="2"/>
  <c r="M33" i="2"/>
  <c r="Y62" i="2"/>
  <c r="Y46" i="2"/>
  <c r="G46" i="2"/>
  <c r="AE61" i="2"/>
  <c r="AE43" i="2"/>
  <c r="AE11" i="2"/>
  <c r="G61" i="2"/>
  <c r="G38" i="2"/>
  <c r="AE45" i="2"/>
  <c r="N61" i="2"/>
  <c r="AE62" i="2"/>
  <c r="N33" i="2"/>
  <c r="M51" i="2"/>
  <c r="AE34" i="2"/>
  <c r="G31" i="2"/>
  <c r="N9" i="2"/>
  <c r="M28" i="2"/>
  <c r="M62" i="2"/>
  <c r="M44" i="2"/>
  <c r="Y53" i="2"/>
  <c r="Z64" i="2"/>
  <c r="Z14" i="2"/>
  <c r="AE27" i="2"/>
  <c r="G49" i="2"/>
  <c r="G55" i="2"/>
  <c r="N46" i="2"/>
  <c r="N55" i="2"/>
  <c r="M37" i="2"/>
  <c r="M47" i="2"/>
  <c r="Y41" i="2"/>
  <c r="Z50" i="2"/>
  <c r="Z42" i="2"/>
  <c r="AE64" i="2"/>
  <c r="T65" i="2"/>
  <c r="G23" i="2"/>
  <c r="Y60" i="2"/>
  <c r="N29" i="2"/>
  <c r="N16" i="2"/>
  <c r="M49" i="2"/>
  <c r="Y64" i="2"/>
  <c r="Y55" i="2"/>
  <c r="Z28" i="2"/>
  <c r="Z43" i="2"/>
  <c r="Z44" i="2"/>
  <c r="AE38" i="2"/>
  <c r="AE46" i="2"/>
  <c r="AE55" i="2"/>
  <c r="T66" i="2"/>
  <c r="G43" i="2"/>
  <c r="G62" i="2"/>
  <c r="G34" i="2"/>
  <c r="Y67" i="2"/>
  <c r="N26" i="2"/>
  <c r="N17" i="2"/>
  <c r="N43" i="2"/>
  <c r="N50" i="2"/>
  <c r="M64" i="2"/>
  <c r="M61" i="2"/>
  <c r="M43" i="2"/>
  <c r="Y35" i="2"/>
  <c r="Y42" i="2"/>
  <c r="Y24" i="2"/>
  <c r="Y25" i="2"/>
  <c r="Z15" i="2"/>
  <c r="Z38" i="2"/>
  <c r="Z9" i="2"/>
  <c r="Z26" i="2"/>
  <c r="Z65" i="2"/>
  <c r="AE66" i="2"/>
  <c r="M66" i="2"/>
  <c r="N66" i="2"/>
  <c r="AD67" i="2"/>
  <c r="N65" i="2"/>
  <c r="AF59" i="2"/>
  <c r="T59" i="2"/>
  <c r="M67" i="2"/>
  <c r="H67" i="2"/>
  <c r="R67" i="2"/>
  <c r="AF65" i="2"/>
  <c r="AD60" i="2"/>
  <c r="M65" i="2"/>
  <c r="R60" i="2"/>
  <c r="H60" i="2"/>
  <c r="G60" i="2"/>
  <c r="S67" i="2"/>
  <c r="S66" i="2"/>
  <c r="AF63" i="2"/>
  <c r="AF66" i="2"/>
  <c r="G67" i="2"/>
  <c r="T67" i="2"/>
  <c r="S60" i="2"/>
  <c r="Z66" i="2"/>
  <c r="AE65" i="2"/>
  <c r="G65" i="2"/>
  <c r="AE60" i="2"/>
  <c r="G66" i="2"/>
  <c r="T60" i="2"/>
  <c r="AE67" i="2"/>
  <c r="AF67" i="2"/>
  <c r="AE59" i="2"/>
  <c r="G59" i="2"/>
  <c r="H66" i="2"/>
  <c r="S59" i="2"/>
  <c r="AF60" i="2"/>
  <c r="T63" i="2"/>
  <c r="AE63" i="2"/>
  <c r="G63" i="2"/>
  <c r="H65" i="2"/>
  <c r="S63" i="2"/>
  <c r="M60" i="2"/>
  <c r="S6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<sst xmlns="http://schemas.openxmlformats.org/spreadsheetml/2006/main" count="173" uniqueCount="167">
  <si>
    <t>Reference Items</t>
  </si>
  <si>
    <t>Right click to show data transparency (not supported for all values)</t>
  </si>
  <si>
    <t>Deere &amp; Co (DE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</si>
  <si>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</si>
  <si>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</si>
  <si>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</si>
  <si>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</si>
  <si>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</si>
  <si>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</si>
  <si>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</si>
  <si>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</si>
  <si>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</si>
  <si>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</si>
  <si>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</si>
  <si>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</si>
  <si>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</si>
  <si>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</si>
  <si>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</si>
  <si>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</si>
  <si>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</si>
  <si>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</si>
  <si>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</si>
  <si>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</si>
  <si>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</si>
  <si>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</si>
  <si>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</si>
  <si>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</si>
  <si>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</si>
  <si>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</si>
  <si>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</si>
  <si>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</si>
  <si>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</si>
  <si>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</si>
  <si>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</si>
  <si>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</si>
  <si>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07/29/2018</t>
  </si>
  <si>
    <t>10/28/2018</t>
  </si>
  <si>
    <t>01/27/2019</t>
  </si>
  <si>
    <t>04/28/2019</t>
  </si>
  <si>
    <t>07/28/2019</t>
  </si>
  <si>
    <t>11/03/2019</t>
  </si>
  <si>
    <t>02/02/2020</t>
  </si>
  <si>
    <t>05/03/2020</t>
  </si>
  <si>
    <t>08/02/2020</t>
  </si>
  <si>
    <t>11/01/2020</t>
  </si>
  <si>
    <t>01/30/2021</t>
  </si>
  <si>
    <t>05/02/2021</t>
  </si>
  <si>
    <t>08/01/2021</t>
  </si>
  <si>
    <t>10/31/2021</t>
  </si>
  <si>
    <t>01/30/2022</t>
  </si>
  <si>
    <t>05/01/2022</t>
  </si>
  <si>
    <t>07/31/2022</t>
  </si>
  <si>
    <t>10/30/2022</t>
  </si>
  <si>
    <t>01/29/2023</t>
  </si>
  <si>
    <t>04/30/2023</t>
  </si>
  <si>
    <t>07/30/2023</t>
  </si>
  <si>
    <t>10/29/2023</t>
  </si>
  <si>
    <t>01/28/2024</t>
  </si>
  <si>
    <t>04/28/2024</t>
  </si>
  <si>
    <t>07/28/2024</t>
  </si>
  <si>
    <t>10/27/2024</t>
  </si>
  <si>
    <t>01/26/2025</t>
  </si>
  <si>
    <t>04/27/2025</t>
  </si>
  <si>
    <t>07/27/2025</t>
  </si>
  <si>
    <t>11/02/2025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</si>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</sst>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BDH|13494296237918887036</stp>
        <tr r="I22" s="2"/>
      </tp>
      <tp t="s">
        <v>#N/A N/A</v>
        <stp/>
        <stp>BDH|13563616212268517627</stp>
        <tr r="I62" s="2"/>
      </tp>
      <tp t="s">
        <v>#N/A N/A</v>
        <stp/>
        <stp>BDH|12042159842608514520</stp>
        <tr r="D23" s="2"/>
      </tp>
      <tp t="s">
        <v>#N/A N/A</v>
        <stp/>
        <stp>BDH|16063651547666279808</stp>
        <tr r="F30" s="2"/>
      </tp>
      <tp t="s">
        <v>#N/A N/A</v>
        <stp/>
        <stp>BDH|15904695290630647053</stp>
        <tr r="AE34" s="2"/>
      </tp>
      <tp t="s">
        <v>#N/A N/A</v>
        <stp/>
        <stp>BDH|18250400410883608468</stp>
        <tr r="AF36" s="2"/>
      </tp>
      <tp t="s">
        <v>#N/A N/A</v>
        <stp/>
        <stp>BDH|18263162637982542236</stp>
        <tr r="AA28" s="2"/>
      </tp>
      <tp t="s">
        <v>#N/A N/A</v>
        <stp/>
        <stp>BDH|12243851114140101179</stp>
        <tr r="P64" s="2"/>
      </tp>
      <tp t="s">
        <v>#N/A N/A</v>
        <stp/>
        <stp>BDH|14956800319846509109</stp>
        <tr r="G38" s="2"/>
      </tp>
      <tp t="s">
        <v>#N/A N/A</v>
        <stp/>
        <stp>BDH|13603899315815851565</stp>
        <tr r="AD43" s="2"/>
      </tp>
      <tp t="s">
        <v>#N/A N/A</v>
        <stp/>
        <stp>BDH|13982812150320931464</stp>
        <tr r="P59" s="2"/>
      </tp>
      <tp t="s">
        <v>#N/A N/A</v>
        <stp/>
        <stp>BDH|10656040612018530320</stp>
        <tr r="AA16" s="2"/>
      </tp>
      <tp t="s">
        <v>#N/A N/A</v>
        <stp/>
        <stp>BDH|13730452423538456724</stp>
        <tr r="Z63" s="2"/>
      </tp>
      <tp t="s">
        <v>#N/A N/A</v>
        <stp/>
        <stp>BDH|18375071953091152617</stp>
        <tr r="D49" s="2"/>
      </tp>
      <tp t="s">
        <v>#N/A N/A</v>
        <stp/>
        <stp>BDH|12508867432916509528</stp>
        <tr r="F44" s="2"/>
      </tp>
      <tp t="s">
        <v>#N/A N/A</v>
        <stp/>
        <stp>BDH|17803819910723338736</stp>
        <tr r="M47" s="2"/>
      </tp>
      <tp t="s">
        <v>#N/A N/A</v>
        <stp/>
        <stp>BDH|11072263658928319445</stp>
        <tr r="R12" s="2"/>
      </tp>
      <tp t="s">
        <v>#N/A N/A</v>
        <stp/>
        <stp>BDH|14293735808519643065</stp>
        <tr r="V65" s="2"/>
      </tp>
      <tp t="s">
        <v>#N/A N/A</v>
        <stp/>
        <stp>BDH|15607080296200518643</stp>
        <tr r="AE55" s="2"/>
      </tp>
      <tp t="s">
        <v>#N/A N/A</v>
        <stp/>
        <stp>BDH|14068973865449325886</stp>
        <tr r="X45" s="2"/>
      </tp>
      <tp t="s">
        <v>#N/A N/A</v>
        <stp/>
        <stp>BDH|11360179977025802830</stp>
        <tr r="Q33" s="2"/>
      </tp>
      <tp t="s">
        <v>#N/A N/A</v>
        <stp/>
        <stp>BDH|15443312595682974733</stp>
        <tr r="M45" s="2"/>
      </tp>
      <tp t="s">
        <v>#N/A N/A</v>
        <stp/>
        <stp>BDH|10386213355858899525</stp>
        <tr r="AB60" s="2"/>
      </tp>
      <tp t="s">
        <v>#N/A N/A</v>
        <stp/>
        <stp>BDH|16153310710387816959</stp>
        <tr r="S34" s="2"/>
      </tp>
      <tp t="s">
        <v>#N/A N/A</v>
        <stp/>
        <stp>BDH|14149303171678548297</stp>
        <tr r="AF45" s="2"/>
      </tp>
      <tp t="s">
        <v>#N/A N/A</v>
        <stp/>
        <stp>BDH|11863366511390435970</stp>
        <tr r="AF9" s="2"/>
      </tp>
      <tp t="s">
        <v>#N/A N/A</v>
        <stp/>
        <stp>BDH|14476126954719996345</stp>
        <tr r="X8" s="2"/>
      </tp>
      <tp t="s">
        <v>#N/A N/A</v>
        <stp/>
        <stp>BDH|14304878431912961738</stp>
        <tr r="AA32" s="2"/>
      </tp>
      <tp t="s">
        <v>#N/A N/A</v>
        <stp/>
        <stp>BDH|17670780713698154332</stp>
        <tr r="AF33" s="2"/>
      </tp>
      <tp t="s">
        <v>#N/A N/A</v>
        <stp/>
        <stp>BDH|10082869267886335332</stp>
        <tr r="D36" s="2"/>
      </tp>
      <tp t="s">
        <v>#N/A N/A</v>
        <stp/>
        <stp>BDH|13336740219636656898</stp>
        <tr r="R60" s="2"/>
      </tp>
      <tp t="s">
        <v>#N/A N/A</v>
        <stp/>
        <stp>BDH|10318400316119232767</stp>
        <tr r="P28" s="2"/>
      </tp>
      <tp t="s">
        <v>#N/A N/A</v>
        <stp/>
        <stp>BDH|13307018385727556720</stp>
        <tr r="C28" s="2"/>
      </tp>
      <tp t="s">
        <v>#N/A N/A</v>
        <stp/>
        <stp>BDH|17052163266559097207</stp>
        <tr r="Y37" s="2"/>
      </tp>
      <tp t="s">
        <v>#N/A N/A</v>
        <stp/>
        <stp>BDH|12858089095211069161</stp>
        <tr r="G55" s="2"/>
      </tp>
      <tp t="s">
        <v>#N/A N/A</v>
        <stp/>
        <stp>BDH|17803910385105687891</stp>
        <tr r="E66" s="2"/>
      </tp>
      <tp t="s">
        <v>#N/A N/A</v>
        <stp/>
        <stp>BDH|16223726461244078821</stp>
        <tr r="Z16" s="2"/>
      </tp>
      <tp t="s">
        <v>#N/A N/A</v>
        <stp/>
        <stp>BDH|13497388133459852144</stp>
        <tr r="J35" s="2"/>
      </tp>
      <tp t="s">
        <v>#N/A N/A</v>
        <stp/>
        <stp>BDH|12953729779321227827</stp>
        <tr r="O16" s="2"/>
      </tp>
      <tp t="s">
        <v>#N/A N/A</v>
        <stp/>
        <stp>BDH|11724662722866838893</stp>
        <tr r="F59" s="2"/>
      </tp>
      <tp t="s">
        <v>#N/A N/A</v>
        <stp/>
        <stp>BDH|17616813587235306913</stp>
        <tr r="S17" s="2"/>
      </tp>
      <tp t="s">
        <v>#N/A N/A</v>
        <stp/>
        <stp>BDH|16213859711582794635</stp>
        <tr r="AA42" s="2"/>
      </tp>
      <tp t="s">
        <v>#N/A N/A</v>
        <stp/>
        <stp>BDH|11685872181808690233</stp>
        <tr r="W15" s="2"/>
      </tp>
      <tp t="s">
        <v>#N/A N/A</v>
        <stp/>
        <stp>BDH|16423449088185479490</stp>
        <tr r="J11" s="2"/>
      </tp>
      <tp t="s">
        <v>#N/A N/A</v>
        <stp/>
        <stp>BDH|11070160599624900630</stp>
        <tr r="U49" s="2"/>
      </tp>
      <tp t="s">
        <v>#N/A N/A</v>
        <stp/>
        <stp>BDH|12325339725911903993</stp>
        <tr r="G41" s="2"/>
      </tp>
      <tp t="s">
        <v>#N/A N/A</v>
        <stp/>
        <stp>BDH|10781536141113115934</stp>
        <tr r="AB53" s="2"/>
      </tp>
      <tp t="s">
        <v>#N/A N/A</v>
        <stp/>
        <stp>BDH|16486847211275770110</stp>
        <tr r="T60" s="2"/>
      </tp>
      <tp t="s">
        <v>#N/A N/A</v>
        <stp/>
        <stp>BDH|13045345925509514034</stp>
        <tr r="V66" s="2"/>
      </tp>
      <tp t="s">
        <v>#N/A N/A</v>
        <stp/>
        <stp>BDH|10008665790776144203</stp>
        <tr r="AC41" s="2"/>
      </tp>
      <tp t="s">
        <v>#N/A N/A</v>
        <stp/>
        <stp>BDH|17590573632402305854</stp>
        <tr r="R17" s="2"/>
      </tp>
      <tp t="s">
        <v>#N/A N/A</v>
        <stp/>
        <stp>BDH|14676116450822618975</stp>
        <tr r="U42" s="2"/>
      </tp>
      <tp t="s">
        <v>#N/A N/A</v>
        <stp/>
        <stp>BDH|10141971569935599132</stp>
        <tr r="Y53" s="2"/>
      </tp>
      <tp t="s">
        <v>#N/A N/A</v>
        <stp/>
        <stp>BDH|15986392892007304393</stp>
        <tr r="AE29" s="2"/>
      </tp>
      <tp t="s">
        <v>#N/A N/A</v>
        <stp/>
        <stp>BDH|15505412479679687430</stp>
        <tr r="N31" s="2"/>
      </tp>
      <tp t="s">
        <v>#N/A N/A</v>
        <stp/>
        <stp>BDH|11654058739400088926</stp>
        <tr r="C49" s="2"/>
      </tp>
      <tp t="s">
        <v>#N/A N/A</v>
        <stp/>
        <stp>BDH|11223573188584559306</stp>
        <tr r="C38" s="2"/>
      </tp>
      <tp t="s">
        <v>#N/A N/A</v>
        <stp/>
        <stp>BDH|13798877166867654186</stp>
        <tr r="E67" s="2"/>
      </tp>
      <tp t="s">
        <v>#N/A N/A</v>
        <stp/>
        <stp>BDH|11084101550317270997</stp>
        <tr r="H12" s="2"/>
      </tp>
      <tp t="s">
        <v>#N/A N/A</v>
        <stp/>
        <stp>BDH|12306319547137923973</stp>
        <tr r="I59" s="2"/>
      </tp>
      <tp t="s">
        <v>#N/A N/A</v>
        <stp/>
        <stp>BDH|10866731565279415318</stp>
        <tr r="J46" s="2"/>
      </tp>
      <tp t="s">
        <v>#N/A N/A</v>
        <stp/>
        <stp>BDH|14188908519397764044</stp>
        <tr r="W11" s="2"/>
      </tp>
      <tp t="s">
        <v>#N/A N/A</v>
        <stp/>
        <stp>BDH|13260015938402381920</stp>
        <tr r="P49" s="2"/>
      </tp>
      <tp t="s">
        <v>#N/A N/A</v>
        <stp/>
        <stp>BDH|10979887097103290993</stp>
        <tr r="M61" s="2"/>
      </tp>
      <tp t="s">
        <v>#N/A N/A</v>
        <stp/>
        <stp>BDH|15739807899789182624</stp>
        <tr r="N8" s="2"/>
      </tp>
      <tp t="s">
        <v>#N/A N/A</v>
        <stp/>
        <stp>BDH|14578270708789580437</stp>
        <tr r="AC32" s="2"/>
      </tp>
      <tp t="s">
        <v>#N/A N/A</v>
        <stp/>
        <stp>BDH|10097846479906257230</stp>
        <tr r="AC12" s="2"/>
      </tp>
      <tp t="s">
        <v>#N/A N/A</v>
        <stp/>
        <stp>BDH|17203990552665616533</stp>
        <tr r="Z42" s="2"/>
      </tp>
      <tp t="s">
        <v>#N/A N/A</v>
        <stp/>
        <stp>BDH|11620461572580935949</stp>
        <tr r="AF10" s="2"/>
      </tp>
      <tp t="s">
        <v>#N/A N/A</v>
        <stp/>
        <stp>BDH|14047164841988015291</stp>
        <tr r="E55" s="2"/>
      </tp>
      <tp t="s">
        <v>#N/A N/A</v>
        <stp/>
        <stp>BDH|16475452888081149066</stp>
        <tr r="P33" s="2"/>
      </tp>
      <tp t="s">
        <v>#N/A N/A</v>
        <stp/>
        <stp>BDH|11396043296388503850</stp>
        <tr r="L24" s="2"/>
      </tp>
      <tp t="s">
        <v>#N/A N/A</v>
        <stp/>
        <stp>BDH|10099310115819696338</stp>
        <tr r="Z41" s="2"/>
      </tp>
      <tp t="s">
        <v>#N/A N/A</v>
        <stp/>
        <stp>BDH|10469131384559643855</stp>
        <tr r="AA53" s="2"/>
      </tp>
      <tp t="s">
        <v>#N/A N/A</v>
        <stp/>
        <stp>BDH|18265851920828594221</stp>
        <tr r="AA10" s="2"/>
      </tp>
      <tp t="s">
        <v>#N/A N/A</v>
        <stp/>
        <stp>BDH|13445967250240079723</stp>
        <tr r="I45" s="2"/>
      </tp>
      <tp t="s">
        <v>#N/A N/A</v>
        <stp/>
        <stp>BDH|17780298031879474787</stp>
        <tr r="Y61" s="2"/>
      </tp>
      <tp t="s">
        <v>#N/A N/A</v>
        <stp/>
        <stp>BDH|11743384475514089985</stp>
        <tr r="X47" s="2"/>
      </tp>
      <tp t="s">
        <v>#N/A N/A</v>
        <stp/>
        <stp>BDH|12406339385964033507</stp>
        <tr r="AF16" s="2"/>
      </tp>
      <tp t="s">
        <v>#N/A N/A</v>
        <stp/>
        <stp>BDH|13230275794920543003</stp>
        <tr r="C30" s="2"/>
      </tp>
      <tp t="s">
        <v>#N/A N/A</v>
        <stp/>
        <stp>BDH|16608040314778641740</stp>
        <tr r="AC25" s="2"/>
      </tp>
      <tp t="s">
        <v>#N/A N/A</v>
        <stp/>
        <stp>BDH|10333951710883392313</stp>
        <tr r="T66" s="2"/>
      </tp>
      <tp t="s">
        <v>#N/A N/A</v>
        <stp/>
        <stp>BDH|12617748792986554213</stp>
        <tr r="N18" s="2"/>
      </tp>
      <tp t="s">
        <v>#N/A N/A</v>
        <stp/>
        <stp>BDH|18166832198003942275</stp>
        <tr r="C29" s="2"/>
      </tp>
      <tp t="s">
        <v>#N/A N/A</v>
        <stp/>
        <stp>BDH|14226580542879795488</stp>
        <tr r="AB67" s="2"/>
      </tp>
      <tp t="s">
        <v>#N/A N/A</v>
        <stp/>
        <stp>BDH|15026716432668798131</stp>
        <tr r="M13" s="2"/>
      </tp>
      <tp t="s">
        <v>#N/A N/A</v>
        <stp/>
        <stp>BDH|15387018839958845644</stp>
        <tr r="AB33" s="2"/>
      </tp>
      <tp t="s">
        <v>#N/A N/A</v>
        <stp/>
        <stp>BDH|14972732186062202199</stp>
        <tr r="H64" s="2"/>
      </tp>
      <tp t="s">
        <v>#N/A N/A</v>
        <stp/>
        <stp>BDH|17438535894702285168</stp>
        <tr r="E19" s="2"/>
      </tp>
      <tp t="s">
        <v>#N/A N/A</v>
        <stp/>
        <stp>BDH|18064047656342763722</stp>
        <tr r="S24" s="2"/>
      </tp>
      <tp t="s">
        <v>#N/A N/A</v>
        <stp/>
        <stp>BDH|13279134813903041847</stp>
        <tr r="Z44" s="2"/>
      </tp>
      <tp t="s">
        <v>#N/A N/A</v>
        <stp/>
        <stp>BDH|16856248502104838803</stp>
        <tr r="AB66" s="2"/>
      </tp>
      <tp t="s">
        <v>#N/A N/A</v>
        <stp/>
        <stp>BDH|11254459828568761711</stp>
        <tr r="R59" s="2"/>
      </tp>
      <tp t="s">
        <v>#N/A N/A</v>
        <stp/>
        <stp>BDH|14665852741911242198</stp>
        <tr r="Z37" s="2"/>
      </tp>
      <tp t="s">
        <v>#N/A N/A</v>
        <stp/>
        <stp>BDH|13909187359149350630</stp>
        <tr r="K48" s="2"/>
      </tp>
      <tp t="s">
        <v>#N/A N/A</v>
        <stp/>
        <stp>BDH|14037697632261738845</stp>
        <tr r="R32" s="2"/>
      </tp>
      <tp t="s">
        <v>#N/A N/A</v>
        <stp/>
        <stp>BDH|13486694165129139218</stp>
        <tr r="Q47" s="2"/>
      </tp>
      <tp t="s">
        <v>#N/A N/A</v>
        <stp/>
        <stp>BDH|17129896578171867132</stp>
        <tr r="X67" s="2"/>
      </tp>
      <tp t="s">
        <v>#N/A N/A</v>
        <stp/>
        <stp>BDH|12982468297566046131</stp>
        <tr r="L16" s="2"/>
      </tp>
      <tp t="s">
        <v>#N/A N/A</v>
        <stp/>
        <stp>BDH|11461986467435249330</stp>
        <tr r="C64" s="2"/>
      </tp>
      <tp t="s">
        <v>#N/A N/A</v>
        <stp/>
        <stp>BDH|15267156242200025887</stp>
        <tr r="T14" s="2"/>
      </tp>
      <tp t="s">
        <v>#N/A N/A</v>
        <stp/>
        <stp>BDH|17849159876338265151</stp>
        <tr r="Q19" s="2"/>
      </tp>
      <tp t="s">
        <v>#N/A N/A</v>
        <stp/>
        <stp>BDH|11487304686622696082</stp>
        <tr r="H30" s="2"/>
      </tp>
      <tp t="s">
        <v>#N/A N/A</v>
        <stp/>
        <stp>BDH|12232702493255683180</stp>
        <tr r="V27" s="2"/>
      </tp>
      <tp t="s">
        <v>#N/A N/A</v>
        <stp/>
        <stp>BDH|10900927013133340349</stp>
        <tr r="K37" s="2"/>
      </tp>
      <tp t="s">
        <v>#N/A N/A</v>
        <stp/>
        <stp>BDH|11307290737379370110</stp>
        <tr r="AA34" s="2"/>
      </tp>
      <tp t="s">
        <v>#N/A N/A</v>
        <stp/>
        <stp>BDH|13649655808839768427</stp>
        <tr r="S45" s="2"/>
      </tp>
      <tp t="s">
        <v>#N/A N/A</v>
        <stp/>
        <stp>BDH|13231074075848705492</stp>
        <tr r="F24" s="2"/>
      </tp>
      <tp t="s">
        <v>#N/A N/A</v>
        <stp/>
        <stp>BDH|11911220518852899857</stp>
        <tr r="I65" s="2"/>
      </tp>
      <tp t="s">
        <v>#N/A N/A</v>
        <stp/>
        <stp>BDH|15415435596409924967</stp>
        <tr r="AE63" s="2"/>
      </tp>
      <tp t="s">
        <v>#N/A N/A</v>
        <stp/>
        <stp>BDH|10322845917166573648</stp>
        <tr r="L45" s="2"/>
      </tp>
      <tp t="s">
        <v>#N/A N/A</v>
        <stp/>
        <stp>BDH|16624046384133190465</stp>
        <tr r="AB62" s="2"/>
      </tp>
      <tp t="s">
        <v>#N/A N/A</v>
        <stp/>
        <stp>BDH|13222339097904587428</stp>
        <tr r="Q11" s="2"/>
      </tp>
      <tp t="s">
        <v>#N/A N/A</v>
        <stp/>
        <stp>BDH|17372733505878147158</stp>
        <tr r="Y18" s="2"/>
      </tp>
      <tp t="s">
        <v>#N/A N/A</v>
        <stp/>
        <stp>BDH|15458652071759603477</stp>
        <tr r="J66" s="2"/>
      </tp>
      <tp t="s">
        <v>#N/A N/A</v>
        <stp/>
        <stp>BDH|10750917891408305153</stp>
        <tr r="M49" s="2"/>
      </tp>
      <tp t="s">
        <v>#N/A N/A</v>
        <stp/>
        <stp>BDH|18185074215843678347</stp>
        <tr r="J13" s="2"/>
      </tp>
      <tp t="s">
        <v>#N/A N/A</v>
        <stp/>
        <stp>BDH|17438532420119517035</stp>
        <tr r="AC61" s="2"/>
      </tp>
      <tp t="s">
        <v>#N/A N/A</v>
        <stp/>
        <stp>BDH|10639353493582390135</stp>
        <tr r="Y28" s="2"/>
      </tp>
      <tp t="s">
        <v>#N/A N/A</v>
        <stp/>
        <stp>BDH|13621820355833450452</stp>
        <tr r="T63" s="2"/>
      </tp>
      <tp t="s">
        <v>#N/A N/A</v>
        <stp/>
        <stp>BDH|17856648592586983777</stp>
        <tr r="F51" s="2"/>
      </tp>
      <tp t="s">
        <v>#N/A N/A</v>
        <stp/>
        <stp>BDH|11272990928975810686</stp>
        <tr r="F61" s="2"/>
      </tp>
      <tp t="s">
        <v>#N/A N/A</v>
        <stp/>
        <stp>BDH|11682956143427195220</stp>
        <tr r="Y24" s="2"/>
      </tp>
      <tp t="s">
        <v>#N/A N/A</v>
        <stp/>
        <stp>BDH|11189110695682388257</stp>
        <tr r="H17" s="2"/>
      </tp>
      <tp t="s">
        <v>#N/A N/A</v>
        <stp/>
        <stp>BDH|12368685295321401597</stp>
        <tr r="X13" s="2"/>
      </tp>
      <tp t="s">
        <v>#N/A N/A</v>
        <stp/>
        <stp>BDH|17156884198779170637</stp>
        <tr r="M59" s="2"/>
      </tp>
      <tp t="s">
        <v>#N/A N/A</v>
        <stp/>
        <stp>BDH|15927976631956443092</stp>
        <tr r="P67" s="2"/>
      </tp>
      <tp t="s">
        <v>#N/A N/A</v>
        <stp/>
        <stp>BDH|11754697997257995024</stp>
        <tr r="Z61" s="2"/>
      </tp>
      <tp t="s">
        <v>#N/A N/A</v>
        <stp/>
        <stp>BDH|18010901386157560713</stp>
        <tr r="AD64" s="2"/>
      </tp>
      <tp t="s">
        <v>#N/A N/A</v>
        <stp/>
        <stp>BDH|18204158751992213716</stp>
        <tr r="N50" s="2"/>
      </tp>
      <tp t="s">
        <v>#N/A N/A</v>
        <stp/>
        <stp>BDH|14795549087300070004</stp>
        <tr r="J10" s="2"/>
      </tp>
      <tp t="s">
        <v>#N/A N/A</v>
        <stp/>
        <stp>BDH|10379270486425340650</stp>
        <tr r="Z7" s="2"/>
      </tp>
      <tp t="s">
        <v>#N/A N/A</v>
        <stp/>
        <stp>BDH|15197926357303318302</stp>
        <tr r="Y59" s="2"/>
      </tp>
      <tp t="s">
        <v>#N/A N/A</v>
        <stp/>
        <stp>BDH|14290435427368398328</stp>
        <tr r="Z9" s="2"/>
      </tp>
      <tp t="s">
        <v>#N/A N/A</v>
        <stp/>
        <stp>BDH|13636501371891491941</stp>
        <tr r="AE43" s="2"/>
      </tp>
      <tp t="s">
        <v>#N/A N/A</v>
        <stp/>
        <stp>BDH|10546414389122817721</stp>
        <tr r="T16" s="2"/>
      </tp>
      <tp t="s">
        <v>#N/A N/A</v>
        <stp/>
        <stp>BDH|10820337069138538400</stp>
        <tr r="AE25" s="2"/>
      </tp>
      <tp t="s">
        <v>#N/A N/A</v>
        <stp/>
        <stp>BDH|11614476191110584533</stp>
        <tr r="C59" s="2"/>
      </tp>
      <tp t="s">
        <v>#N/A N/A</v>
        <stp/>
        <stp>BDH|17555770698988067835</stp>
        <tr r="AD51" s="2"/>
      </tp>
      <tp t="s">
        <v>#N/A N/A</v>
        <stp/>
        <stp>BDH|15793959744839929875</stp>
        <tr r="AF14" s="2"/>
      </tp>
      <tp t="s">
        <v>#N/A N/A</v>
        <stp/>
        <stp>BDH|10753472039598190630</stp>
        <tr r="I67" s="2"/>
      </tp>
      <tp t="s">
        <v>#N/A N/A</v>
        <stp/>
        <stp>BDH|16596436147026806925</stp>
        <tr r="H22" s="2"/>
      </tp>
      <tp t="s">
        <v>#N/A N/A</v>
        <stp/>
        <stp>BDH|18068330429289640966</stp>
        <tr r="U11" s="2"/>
      </tp>
      <tp t="s">
        <v>#N/A N/A</v>
        <stp/>
        <stp>BDH|18197099588860992937</stp>
        <tr r="Z18" s="2"/>
      </tp>
      <tp t="s">
        <v>#N/A N/A</v>
        <stp/>
        <stp>BDH|16858571916733003836</stp>
        <tr r="U44" s="2"/>
      </tp>
      <tp t="s">
        <v>#N/A N/A</v>
        <stp/>
        <stp>BDH|16339737819671327804</stp>
        <tr r="Q51" s="2"/>
      </tp>
      <tp t="s">
        <v>#N/A N/A</v>
        <stp/>
        <stp>BDH|11140617077701970834</stp>
        <tr r="U22" s="2"/>
      </tp>
      <tp t="s">
        <v>#N/A N/A</v>
        <stp/>
        <stp>BDH|12547921600212296096</stp>
        <tr r="AE32" s="2"/>
      </tp>
      <tp t="s">
        <v>#N/A N/A</v>
        <stp/>
        <stp>BDH|16690815165966789793</stp>
        <tr r="G13" s="2"/>
      </tp>
      <tp t="s">
        <v>#N/A N/A</v>
        <stp/>
        <stp>BDH|18387396779046860376</stp>
        <tr r="M63" s="2"/>
      </tp>
      <tp t="s">
        <v>#N/A N/A</v>
        <stp/>
        <stp>BDH|14649524189537068711</stp>
        <tr r="F64" s="2"/>
      </tp>
      <tp t="s">
        <v>#N/A N/A</v>
        <stp/>
        <stp>BDH|12508817522309826827</stp>
        <tr r="H26" s="2"/>
      </tp>
      <tp t="s">
        <v>#N/A N/A</v>
        <stp/>
        <stp>BDH|15866937222584468328</stp>
        <tr r="W13" s="2"/>
      </tp>
      <tp t="s">
        <v>#N/A N/A</v>
        <stp/>
        <stp>BDH|12759859671694515082</stp>
        <tr r="M66" s="2"/>
      </tp>
      <tp t="s">
        <v>#N/A N/A</v>
        <stp/>
        <stp>BDH|12131849547207462081</stp>
        <tr r="F67" s="2"/>
      </tp>
      <tp t="s">
        <v>#N/A N/A</v>
        <stp/>
        <stp>BDH|17990706417778037007</stp>
        <tr r="L25" s="2"/>
      </tp>
      <tp t="s">
        <v>#N/A N/A</v>
        <stp/>
        <stp>BDH|17777409081631607411</stp>
        <tr r="P7" s="2"/>
      </tp>
      <tp t="s">
        <v>#N/A N/A</v>
        <stp/>
        <stp>BDH|17538535973663475804</stp>
        <tr r="E48" s="2"/>
      </tp>
      <tp t="s">
        <v>#N/A N/A</v>
        <stp/>
        <stp>BDH|10121130015477153971</stp>
        <tr r="Q44" s="2"/>
      </tp>
      <tp t="s">
        <v>#N/A N/A</v>
        <stp/>
        <stp>BDH|18148830524504438833</stp>
        <tr r="V10" s="2"/>
      </tp>
      <tp t="s">
        <v>#N/A N/A</v>
        <stp/>
        <stp>BDH|13265335104788472603</stp>
        <tr r="V61" s="2"/>
      </tp>
      <tp t="s">
        <v>#N/A N/A</v>
        <stp/>
        <stp>BDH|15781537593242646518</stp>
        <tr r="U9" s="2"/>
      </tp>
      <tp t="s">
        <v>#N/A N/A</v>
        <stp/>
        <stp>BDH|15022252895377284710</stp>
        <tr r="F28" s="2"/>
      </tp>
      <tp t="s">
        <v>#N/A N/A</v>
        <stp/>
        <stp>BDH|15032921971633202628</stp>
        <tr r="Q27" s="2"/>
      </tp>
      <tp t="s">
        <v>#N/A N/A</v>
        <stp/>
        <stp>BDH|17541000282228225968</stp>
        <tr r="M46" s="2"/>
      </tp>
      <tp t="s">
        <v>#N/A N/A</v>
        <stp/>
        <stp>BDH|16595025583462785202</stp>
        <tr r="AF47" s="2"/>
      </tp>
      <tp t="s">
        <v>#N/A N/A</v>
        <stp/>
        <stp>BDH|17439956217970527109</stp>
        <tr r="K53" s="2"/>
      </tp>
      <tp t="s">
        <v>#N/A N/A</v>
        <stp/>
        <stp>BDH|12761769333378206039</stp>
        <tr r="S25" s="2"/>
      </tp>
      <tp t="s">
        <v>#N/A N/A</v>
        <stp/>
        <stp>BDH|15277648849439885058</stp>
        <tr r="G37" s="2"/>
      </tp>
      <tp t="s">
        <v>#N/A N/A</v>
        <stp/>
        <stp>BDH|13746926082814252874</stp>
        <tr r="Q64" s="2"/>
      </tp>
      <tp t="s">
        <v>#N/A N/A</v>
        <stp/>
        <stp>BDH|17990888503657082608</stp>
        <tr r="M60" s="2"/>
      </tp>
      <tp t="s">
        <v>#N/A N/A</v>
        <stp/>
        <stp>BDH|17249854486429089046</stp>
        <tr r="T47" s="2"/>
      </tp>
      <tp t="s">
        <v>#N/A N/A</v>
        <stp/>
        <stp>BDH|17966587593812206757</stp>
        <tr r="S19" s="2"/>
      </tp>
      <tp t="s">
        <v>#N/A N/A</v>
        <stp/>
        <stp>BDH|11896306117114307990</stp>
        <tr r="J45" s="2"/>
      </tp>
      <tp t="s">
        <v>#N/A N/A</v>
        <stp/>
        <stp>BDH|13262749080453753149</stp>
        <tr r="F15" s="2"/>
      </tp>
      <tp t="s">
        <v>#N/A N/A</v>
        <stp/>
        <stp>BDH|10287185537015907919</stp>
        <tr r="F31" s="2"/>
      </tp>
      <tp t="s">
        <v>#N/A N/A</v>
        <stp/>
        <stp>BDH|11074834760178685911</stp>
        <tr r="R37" s="2"/>
      </tp>
      <tp t="s">
        <v>#N/A N/A</v>
        <stp/>
        <stp>BDH|10201683802850572896</stp>
        <tr r="E33" s="2"/>
      </tp>
      <tp t="s">
        <v>#N/A N/A</v>
        <stp/>
        <stp>BDH|17124800331102269066</stp>
        <tr r="AC48" s="2"/>
      </tp>
      <tp t="s">
        <v>#N/A N/A</v>
        <stp/>
        <stp>BDH|15809941361636820216</stp>
        <tr r="U27" s="2"/>
      </tp>
      <tp t="s">
        <v>#N/A N/A</v>
        <stp/>
        <stp>BDH|13209735386644410674</stp>
        <tr r="AD49" s="2"/>
      </tp>
      <tp t="s">
        <v>#N/A N/A</v>
        <stp/>
        <stp>BDH|13990440879356777878</stp>
        <tr r="L10" s="2"/>
      </tp>
      <tp t="s">
        <v>#N/A N/A</v>
        <stp/>
        <stp>BDH|12205195010034676897</stp>
        <tr r="M12" s="2"/>
      </tp>
      <tp t="s">
        <v>#N/A N/A</v>
        <stp/>
        <stp>BDH|14596830324276236674</stp>
        <tr r="E25" s="2"/>
      </tp>
      <tp t="s">
        <v>#N/A N/A</v>
        <stp/>
        <stp>BDH|17057126255555807884</stp>
        <tr r="F63" s="2"/>
      </tp>
      <tp t="s">
        <v>#N/A N/A</v>
        <stp/>
        <stp>BDH|16814627662780666892</stp>
        <tr r="M34" s="2"/>
      </tp>
      <tp t="s">
        <v>#N/A N/A</v>
        <stp/>
        <stp>BDH|13146585030423958866</stp>
        <tr r="O8" s="2"/>
      </tp>
      <tp t="s">
        <v>#N/A N/A</v>
        <stp/>
        <stp>BDH|18309816727714500898</stp>
        <tr r="R53" s="2"/>
      </tp>
      <tp t="s">
        <v>#N/A N/A</v>
        <stp/>
        <stp>BDH|13237896628363316498</stp>
        <tr r="H8" s="2"/>
      </tp>
      <tp t="s">
        <v>#N/A N/A</v>
        <stp/>
        <stp>BDH|14201548187583139490</stp>
        <tr r="V63" s="2"/>
      </tp>
      <tp t="s">
        <v>#N/A N/A</v>
        <stp/>
        <stp>BDH|17543839926390147389</stp>
        <tr r="G33" s="2"/>
      </tp>
      <tp t="s">
        <v>#N/A N/A</v>
        <stp/>
        <stp>BDH|17592891454860456450</stp>
        <tr r="C22" s="2"/>
      </tp>
      <tp t="s">
        <v>#N/A N/A</v>
        <stp/>
        <stp>BDH|18424496304300579254</stp>
        <tr r="F48" s="2"/>
      </tp>
      <tp t="s">
        <v>#N/A N/A</v>
        <stp/>
        <stp>BDH|16852975325263746042</stp>
        <tr r="Q15" s="2"/>
      </tp>
      <tp t="s">
        <v>#N/A N/A</v>
        <stp/>
        <stp>BDH|15090349086534822428</stp>
        <tr r="E36" s="2"/>
      </tp>
      <tp t="s">
        <v>#N/A N/A</v>
        <stp/>
        <stp>BDH|10928752360478509718</stp>
        <tr r="O64" s="2"/>
      </tp>
      <tp t="s">
        <v>#N/A N/A</v>
        <stp/>
        <stp>BDH|10915307682954421142</stp>
        <tr r="AC44" s="2"/>
      </tp>
      <tp t="s">
        <v>#N/A N/A</v>
        <stp/>
        <stp>BDH|10529916944892876121</stp>
        <tr r="AE12" s="2"/>
      </tp>
      <tp t="s">
        <v>#N/A N/A</v>
        <stp/>
        <stp>BDH|15937491833159051599</stp>
        <tr r="I29" s="2"/>
      </tp>
      <tp t="s">
        <v>#N/A N/A</v>
        <stp/>
        <stp>BDH|17807315707508620224</stp>
        <tr r="G22" s="2"/>
      </tp>
      <tp t="s">
        <v>#N/A N/A</v>
        <stp/>
        <stp>BDH|15585508985896828052</stp>
        <tr r="T15" s="2"/>
      </tp>
      <tp t="s">
        <v>#N/A N/A</v>
        <stp/>
        <stp>BDH|18412656740155810146</stp>
        <tr r="J49" s="2"/>
      </tp>
      <tp t="s">
        <v>#N/A N/A</v>
        <stp/>
        <stp>BDH|15914292592753585386</stp>
        <tr r="X51" s="2"/>
      </tp>
      <tp t="s">
        <v>#N/A N/A</v>
        <stp/>
        <stp>BDH|16454589832269398729</stp>
        <tr r="AE9" s="2"/>
      </tp>
      <tp t="s">
        <v>#N/A N/A</v>
        <stp/>
        <stp>BDH|16364970127661872245</stp>
        <tr r="C19" s="2"/>
      </tp>
      <tp t="s">
        <v>#N/A N/A</v>
        <stp/>
        <stp>BDH|16798923587548524064</stp>
        <tr r="U14" s="2"/>
      </tp>
      <tp t="s">
        <v>#N/A N/A</v>
        <stp/>
        <stp>BDH|14601959697833622830</stp>
        <tr r="AC64" s="2"/>
      </tp>
      <tp t="s">
        <v>#N/A N/A</v>
        <stp/>
        <stp>BDH|11618090438879316459</stp>
        <tr r="AA17" s="2"/>
      </tp>
      <tp t="s">
        <v>#N/A N/A</v>
        <stp/>
        <stp>BDH|18314036260590255137</stp>
        <tr r="T11" s="2"/>
      </tp>
      <tp t="s">
        <v>#N/A N/A</v>
        <stp/>
        <stp>BDH|12333075286594624154</stp>
        <tr r="AC63" s="2"/>
      </tp>
      <tp t="s">
        <v>#N/A N/A</v>
        <stp/>
        <stp>BDH|18009140435035709068</stp>
        <tr r="R14" s="2"/>
      </tp>
      <tp t="s">
        <v>#N/A N/A</v>
        <stp/>
        <stp>BDH|17210869110222378378</stp>
        <tr r="E30" s="2"/>
      </tp>
      <tp t="s">
        <v>#N/A N/A</v>
        <stp/>
        <stp>BDH|16444213287171380220</stp>
        <tr r="S47" s="2"/>
      </tp>
      <tp t="s">
        <v>#N/A N/A</v>
        <stp/>
        <stp>BDH|14407437923204378959</stp>
        <tr r="AA65" s="2"/>
      </tp>
      <tp t="s">
        <v>#N/A N/A</v>
        <stp/>
        <stp>BDH|15486796790185773181</stp>
        <tr r="AD65" s="2"/>
      </tp>
      <tp t="s">
        <v>#N/A N/A</v>
        <stp/>
        <stp>BDH|11761006357413454869</stp>
        <tr r="U13" s="2"/>
      </tp>
      <tp t="s">
        <v>#N/A N/A</v>
        <stp/>
        <stp>BDH|14713601081514180120</stp>
        <tr r="X62" s="2"/>
      </tp>
      <tp t="s">
        <v>#N/A N/A</v>
        <stp/>
        <stp>BDH|12035313323444106867</stp>
        <tr r="F38" s="2"/>
      </tp>
      <tp t="s">
        <v>#N/A N/A</v>
        <stp/>
        <stp>BDH|16324882589329658017</stp>
        <tr r="L36" s="2"/>
      </tp>
      <tp t="s">
        <v>#N/A N/A</v>
        <stp/>
        <stp>BDH|16370941554054795107</stp>
        <tr r="M41" s="2"/>
      </tp>
      <tp t="s">
        <v>#N/A N/A</v>
        <stp/>
        <stp>BDH|17736437282826306212</stp>
        <tr r="T50" s="2"/>
      </tp>
      <tp t="s">
        <v>#N/A N/A</v>
        <stp/>
        <stp>BDH|17063349160558698561</stp>
        <tr r="I48" s="2"/>
      </tp>
      <tp t="s">
        <v>#N/A N/A</v>
        <stp/>
        <stp>BDH|11142147954263784928</stp>
        <tr r="C43" s="2"/>
      </tp>
      <tp t="s">
        <v>#N/A N/A</v>
        <stp/>
        <stp>BDH|10291027962851676804</stp>
        <tr r="M35" s="2"/>
      </tp>
      <tp t="s">
        <v>#N/A N/A</v>
        <stp/>
        <stp>BDH|11625854175298255939</stp>
        <tr r="I38" s="2"/>
      </tp>
      <tp t="s">
        <v>#N/A N/A</v>
        <stp/>
        <stp>BDH|11538171468688588192</stp>
        <tr r="F43" s="2"/>
      </tp>
      <tp t="s">
        <v>#N/A N/A</v>
        <stp/>
        <stp>BDH|11880644565708758677</stp>
        <tr r="T24" s="2"/>
      </tp>
      <tp t="s">
        <v>#N/A N/A</v>
        <stp/>
        <stp>BDH|16831039461049002633</stp>
        <tr r="AD38" s="2"/>
      </tp>
      <tp t="s">
        <v>#N/A N/A</v>
        <stp/>
        <stp>BDH|18306208004785621082</stp>
        <tr r="J30" s="2"/>
      </tp>
      <tp t="s">
        <v>#N/A N/A</v>
        <stp/>
        <stp>BDH|16919222921658395101</stp>
        <tr r="AC59" s="2"/>
      </tp>
      <tp t="s">
        <v>#N/A N/A</v>
        <stp/>
        <stp>BDH|10767226624799178690</stp>
        <tr r="K49" s="2"/>
      </tp>
      <tp t="s">
        <v>#N/A N/A</v>
        <stp/>
        <stp>BDH|12794877861740925304</stp>
        <tr r="N7" s="2"/>
      </tp>
      <tp t="s">
        <v>#N/A N/A</v>
        <stp/>
        <stp>BDH|18174071457432960002</stp>
        <tr r="N16" s="2"/>
      </tp>
      <tp t="s">
        <v>#N/A N/A</v>
        <stp/>
        <stp>BDH|15414021276885220897</stp>
        <tr r="L44" s="2"/>
      </tp>
      <tp t="s">
        <v>#N/A N/A</v>
        <stp/>
        <stp>BDH|17132185214489230145</stp>
        <tr r="S65" s="2"/>
      </tp>
      <tp t="s">
        <v>#N/A N/A</v>
        <stp/>
        <stp>BDH|12891603592283263125</stp>
        <tr r="Y46" s="2"/>
      </tp>
      <tp t="s">
        <v>#N/A N/A</v>
        <stp/>
        <stp>BDH|16495087686000534157</stp>
        <tr r="S49" s="2"/>
      </tp>
      <tp t="s">
        <v>#N/A N/A</v>
        <stp/>
        <stp>BDH|13273822450053821226</stp>
        <tr r="Z66" s="2"/>
      </tp>
      <tp t="s">
        <v>#N/A N/A</v>
        <stp/>
        <stp>BDH|10203995819150933710</stp>
        <tr r="S31" s="2"/>
      </tp>
      <tp t="s">
        <v>#N/A N/A</v>
        <stp/>
        <stp>BDH|12331700779298449542</stp>
        <tr r="L41" s="2"/>
      </tp>
      <tp t="s">
        <v>#N/A N/A</v>
        <stp/>
        <stp>BDH|10978455093535132741</stp>
        <tr r="AC23" s="2"/>
      </tp>
      <tp t="s">
        <v>#N/A N/A</v>
        <stp/>
        <stp>BDH|15077481326708529468</stp>
        <tr r="W51" s="2"/>
      </tp>
      <tp t="s">
        <v>#N/A N/A</v>
        <stp/>
        <stp>BDH|16039845607923784294</stp>
        <tr r="V14" s="2"/>
      </tp>
      <tp t="s">
        <v>#N/A N/A</v>
        <stp/>
        <stp>BDH|13045146138918877688</stp>
        <tr r="R67" s="2"/>
      </tp>
      <tp t="s">
        <v>#N/A N/A</v>
        <stp/>
        <stp>BDH|15814033085530424240</stp>
        <tr r="AC24" s="2"/>
      </tp>
      <tp t="s">
        <v>#N/A N/A</v>
        <stp/>
        <stp>BDH|13668157684822638400</stp>
        <tr r="AF60" s="2"/>
      </tp>
      <tp t="s">
        <v>#N/A N/A</v>
        <stp/>
        <stp>BDH|12339848523775615132</stp>
        <tr r="AE37" s="2"/>
      </tp>
      <tp t="s">
        <v>#N/A N/A</v>
        <stp/>
        <stp>BDH|17083927520584570461</stp>
        <tr r="H53" s="2"/>
      </tp>
      <tp t="s">
        <v>#N/A N/A</v>
        <stp/>
        <stp>BDH|13414271403658267529</stp>
        <tr r="I15" s="2"/>
      </tp>
      <tp t="s">
        <v>#N/A N/A</v>
        <stp/>
        <stp>BDH|10395415727669561304</stp>
        <tr r="R36" s="2"/>
      </tp>
      <tp t="s">
        <v>#N/A N/A</v>
        <stp/>
        <stp>BDH|16659069889783884117</stp>
        <tr r="X50" s="2"/>
      </tp>
      <tp t="s">
        <v>#N/A N/A</v>
        <stp/>
        <stp>BDH|15542815211257074750</stp>
        <tr r="AC13" s="2"/>
      </tp>
      <tp t="s">
        <v>#N/A N/A</v>
        <stp/>
        <stp>BDH|12942609245278818477</stp>
        <tr r="N36" s="2"/>
      </tp>
      <tp t="s">
        <v>#N/A N/A</v>
        <stp/>
        <stp>BDH|17211354857784496973</stp>
        <tr r="AB47" s="2"/>
      </tp>
      <tp t="s">
        <v>#N/A N/A</v>
        <stp/>
        <stp>BDH|12175898269638609846</stp>
        <tr r="AA64" s="2"/>
      </tp>
      <tp t="s">
        <v>#N/A N/A</v>
        <stp/>
        <stp>BDH|11731417386948136923</stp>
        <tr r="E27" s="2"/>
      </tp>
      <tp t="s">
        <v>#N/A N/A</v>
        <stp/>
        <stp>BDH|16139659166393032917</stp>
        <tr r="K15" s="2"/>
      </tp>
      <tp t="s">
        <v>#N/A N/A</v>
        <stp/>
        <stp>BDH|17513714369632859862</stp>
        <tr r="X26" s="2"/>
      </tp>
      <tp t="s">
        <v>#N/A N/A</v>
        <stp/>
        <stp>BDH|14209410999177996217</stp>
        <tr r="Q37" s="2"/>
      </tp>
      <tp t="s">
        <v>#N/A N/A</v>
        <stp/>
        <stp>BDH|14429128485573381220</stp>
        <tr r="F17" s="2"/>
      </tp>
      <tp t="s">
        <v>#N/A N/A</v>
        <stp/>
        <stp>BDH|14783197013009709189</stp>
        <tr r="W29" s="2"/>
      </tp>
      <tp t="s">
        <v>#N/A N/A</v>
        <stp/>
        <stp>BDH|14840361298835798731</stp>
        <tr r="O29" s="2"/>
      </tp>
      <tp t="s">
        <v>#N/A N/A</v>
        <stp/>
        <stp>BDH|14137828019419785885</stp>
        <tr r="V18" s="2"/>
      </tp>
      <tp t="s">
        <v>#N/A N/A</v>
        <stp/>
        <stp>BDH|15360716554432198929</stp>
        <tr r="M15" s="2"/>
      </tp>
      <tp t="s">
        <v>#N/A N/A</v>
        <stp/>
        <stp>BDH|10038999252753720385</stp>
        <tr r="J8" s="2"/>
      </tp>
      <tp t="s">
        <v>#N/A N/A</v>
        <stp/>
        <stp>BDH|11543062643468099142</stp>
        <tr r="O12" s="2"/>
      </tp>
      <tp t="s">
        <v>#N/A N/A</v>
        <stp/>
        <stp>BDH|11393991424815218385</stp>
        <tr r="U53" s="2"/>
      </tp>
      <tp t="s">
        <v>#N/A N/A</v>
        <stp/>
        <stp>BDH|12781666931108579329</stp>
        <tr r="AA31" s="2"/>
      </tp>
      <tp t="s">
        <v>#N/A N/A</v>
        <stp/>
        <stp>BDH|17094526697953022423</stp>
        <tr r="AB13" s="2"/>
      </tp>
      <tp t="s">
        <v>#N/A N/A</v>
        <stp/>
        <stp>BDH|10769654561769119553</stp>
        <tr r="U66" s="2"/>
      </tp>
      <tp t="s">
        <v>#N/A N/A</v>
        <stp/>
        <stp>BDH|17060503239419797487</stp>
        <tr r="AE19" s="2"/>
      </tp>
      <tp t="s">
        <v>#N/A N/A</v>
        <stp/>
        <stp>BDH|11444184213705915808</stp>
        <tr r="P24" s="2"/>
      </tp>
      <tp t="s">
        <v>#N/A N/A</v>
        <stp/>
        <stp>BDH|15976696282737052042</stp>
        <tr r="D53" s="2"/>
      </tp>
      <tp t="s">
        <v>#N/A N/A</v>
        <stp/>
        <stp>BDH|12987548367385647851</stp>
        <tr r="U28" s="2"/>
      </tp>
      <tp t="s">
        <v>#N/A N/A</v>
        <stp/>
        <stp>BDH|11401730450088621799</stp>
        <tr r="AA45" s="2"/>
      </tp>
      <tp t="s">
        <v>#N/A N/A</v>
        <stp/>
        <stp>BDH|10290738822131278899</stp>
        <tr r="K31" s="2"/>
      </tp>
      <tp t="s">
        <v>#N/A N/A</v>
        <stp/>
        <stp>BDH|15239513804464817871</stp>
        <tr r="AF27" s="2"/>
      </tp>
      <tp t="s">
        <v>#N/A N/A</v>
        <stp/>
        <stp>BDH|12832663291899263867</stp>
        <tr r="Y34" s="2"/>
      </tp>
      <tp t="s">
        <v>#N/A N/A</v>
        <stp/>
        <stp>BDH|11185593230132261914</stp>
        <tr r="G31" s="2"/>
      </tp>
      <tp t="s">
        <v>#N/A N/A</v>
        <stp/>
        <stp>BDH|12770798658179803556</stp>
        <tr r="J18" s="2"/>
      </tp>
      <tp t="s">
        <v>#N/A N/A</v>
        <stp/>
        <stp>BDH|10846913774443257146</stp>
        <tr r="R43" s="2"/>
      </tp>
      <tp t="s">
        <v>#N/A N/A</v>
        <stp/>
        <stp>BDH|13586881144554039728</stp>
        <tr r="X10" s="2"/>
      </tp>
      <tp t="s">
        <v>#N/A N/A</v>
        <stp/>
        <stp>BDH|16404913769400740506</stp>
        <tr r="C50" s="2"/>
      </tp>
      <tp t="s">
        <v>#N/A N/A</v>
        <stp/>
        <stp>BDH|10348171778778436228</stp>
        <tr r="F47" s="2"/>
      </tp>
      <tp t="s">
        <v>#N/A N/A</v>
        <stp/>
        <stp>BDH|18157758091113782987</stp>
        <tr r="AF17" s="2"/>
      </tp>
      <tp t="s">
        <v>#N/A N/A</v>
        <stp/>
        <stp>BDH|12540992107160916785</stp>
        <tr r="P19" s="2"/>
      </tp>
      <tp t="s">
        <v>#N/A N/A</v>
        <stp/>
        <stp>BDH|17373341627018866220</stp>
        <tr r="S30" s="2"/>
      </tp>
      <tp t="s">
        <v>#N/A N/A</v>
        <stp/>
        <stp>BDH|12288673793544337594</stp>
        <tr r="K59" s="2"/>
      </tp>
      <tp t="s">
        <v>#N/A N/A</v>
        <stp/>
        <stp>BDH|13871728385690751044</stp>
        <tr r="P8" s="2"/>
      </tp>
      <tp t="s">
        <v>#N/A N/A</v>
        <stp/>
        <stp>BDH|18432530131532977003</stp>
        <tr r="AD25" s="2"/>
      </tp>
      <tp t="s">
        <v>#N/A N/A</v>
        <stp/>
        <stp>BDH|13461068084704825301</stp>
        <tr r="O17" s="2"/>
      </tp>
      <tp t="s">
        <v>#N/A N/A</v>
        <stp/>
        <stp>BDH|16278990634112497250</stp>
        <tr r="F36" s="2"/>
      </tp>
      <tp t="s">
        <v>#N/A N/A</v>
        <stp/>
        <stp>BDH|15006389118222473854</stp>
        <tr r="W31" s="2"/>
      </tp>
      <tp t="s">
        <v>#N/A N/A</v>
        <stp/>
        <stp>BDH|14306348864875475966</stp>
        <tr r="AD59" s="2"/>
      </tp>
      <tp t="s">
        <v>#N/A N/A</v>
        <stp/>
        <stp>BDH|18267006870376750458</stp>
        <tr r="U17" s="2"/>
      </tp>
      <tp t="s">
        <v>#N/A N/A</v>
        <stp/>
        <stp>BDH|10354362747208042210</stp>
        <tr r="C10" s="2"/>
      </tp>
      <tp t="s">
        <v>#N/A N/A</v>
        <stp/>
        <stp>BDH|11297850219937896259</stp>
        <tr r="S51" s="2"/>
      </tp>
      <tp t="s">
        <v>#N/A N/A</v>
        <stp/>
        <stp>BDH|14443007872927681929</stp>
        <tr r="D41" s="2"/>
      </tp>
      <tp t="s">
        <v>#N/A N/A</v>
        <stp/>
        <stp>BDH|16454571641552604862</stp>
        <tr r="Q29" s="2"/>
      </tp>
      <tp t="s">
        <v>#N/A N/A</v>
        <stp/>
        <stp>BDH|15018459525979159732</stp>
        <tr r="K23" s="2"/>
      </tp>
      <tp t="s">
        <v>#N/A N/A</v>
        <stp/>
        <stp>BDH|10178206410866607827</stp>
        <tr r="AA29" s="2"/>
      </tp>
      <tp t="s">
        <v>#N/A N/A</v>
        <stp/>
        <stp>BDH|10219954748621283186</stp>
        <tr r="L53" s="2"/>
      </tp>
      <tp t="s">
        <v>#N/A N/A</v>
        <stp/>
        <stp>BDH|17204834180262035845</stp>
        <tr r="P12" s="2"/>
      </tp>
      <tp t="s">
        <v>#N/A N/A</v>
        <stp/>
        <stp>BDH|10777300302469771769</stp>
        <tr r="Y8" s="2"/>
      </tp>
      <tp t="s">
        <v>#N/A N/A</v>
        <stp/>
        <stp>BDH|15081720398335870357</stp>
        <tr r="V25" s="2"/>
      </tp>
      <tp t="s">
        <v>#N/A N/A</v>
        <stp/>
        <stp>BDH|14990068433798309284</stp>
        <tr r="AA26" s="2"/>
      </tp>
      <tp t="s">
        <v>#N/A N/A</v>
        <stp/>
        <stp>BDH|11162761422719792059</stp>
        <tr r="L42" s="2"/>
      </tp>
      <tp t="s">
        <v>#N/A N/A</v>
        <stp/>
        <stp>BDH|14744132711121401863</stp>
        <tr r="F33" s="2"/>
      </tp>
      <tp t="s">
        <v>#N/A N/A</v>
        <stp/>
        <stp>BDH|14491953522212216072</stp>
        <tr r="AA14" s="2"/>
      </tp>
      <tp t="s">
        <v>#N/A N/A</v>
        <stp/>
        <stp>BDH|17770969022144660539</stp>
        <tr r="AB29" s="2"/>
      </tp>
      <tp t="s">
        <v>#N/A N/A</v>
        <stp/>
        <stp>BDH|11475032300209696579</stp>
        <tr r="AB59" s="2"/>
      </tp>
      <tp t="s">
        <v>#N/A N/A</v>
        <stp/>
        <stp>BDH|13213387676358403216</stp>
        <tr r="N19" s="2"/>
      </tp>
      <tp t="s">
        <v>#N/A N/A</v>
        <stp/>
        <stp>BDH|13162737681435942433</stp>
        <tr r="U10" s="2"/>
      </tp>
      <tp t="s">
        <v>#N/A N/A</v>
        <stp/>
        <stp>BDH|14655620299295446304</stp>
        <tr r="O65" s="2"/>
      </tp>
      <tp t="s">
        <v>#N/A N/A</v>
        <stp/>
        <stp>BDH|12083833483008192798</stp>
        <tr r="Y62" s="2"/>
      </tp>
      <tp t="s">
        <v>#N/A N/A</v>
        <stp/>
        <stp>BDH|15925571163082303956</stp>
        <tr r="J41" s="2"/>
      </tp>
      <tp t="s">
        <v>#N/A N/A</v>
        <stp/>
        <stp>BDH|10407273078810039811</stp>
        <tr r="AC7" s="2"/>
      </tp>
      <tp t="s">
        <v>#N/A N/A</v>
        <stp/>
        <stp>BDH|12949714812378772175</stp>
        <tr r="T38" s="2"/>
      </tp>
      <tp t="s">
        <v>#N/A N/A</v>
        <stp/>
        <stp>BDH|12124174309486750854</stp>
        <tr r="AF38" s="2"/>
      </tp>
      <tp t="s">
        <v>#N/A N/A</v>
        <stp/>
        <stp>BDH|16444807717274859663</stp>
        <tr r="AB7" s="2"/>
      </tp>
      <tp t="s">
        <v>#N/A N/A</v>
        <stp/>
        <stp>BDH|11946673631381565865</stp>
        <tr r="M14" s="2"/>
      </tp>
      <tp t="s">
        <v>#N/A N/A</v>
        <stp/>
        <stp>BDH|10248974428110190630</stp>
        <tr r="T32" s="2"/>
      </tp>
      <tp t="s">
        <v>#N/A N/A</v>
        <stp/>
        <stp>BDH|13951593480065961668</stp>
        <tr r="X61" s="2"/>
      </tp>
      <tp t="s">
        <v>#N/A N/A</v>
        <stp/>
        <stp>BDH|11501080500948061423</stp>
        <tr r="F11" s="2"/>
      </tp>
      <tp t="s">
        <v>#N/A N/A</v>
        <stp/>
        <stp>BDH|16616089311662329827</stp>
        <tr r="AB16" s="2"/>
      </tp>
      <tp t="s">
        <v>#N/A N/A</v>
        <stp/>
        <stp>BDH|10366291786382789554</stp>
        <tr r="AC34" s="2"/>
      </tp>
      <tp t="s">
        <v>#N/A N/A</v>
        <stp/>
        <stp>BDH|10418479539363666923</stp>
        <tr r="AD36" s="2"/>
      </tp>
      <tp t="s">
        <v>#N/A N/A</v>
        <stp/>
        <stp>BDH|18307919382643661787</stp>
        <tr r="N32" s="2"/>
      </tp>
      <tp t="s">
        <v>#N/A N/A</v>
        <stp/>
        <stp>BDH|15525275164987596425</stp>
        <tr r="M43" s="2"/>
      </tp>
      <tp t="s">
        <v>#N/A N/A</v>
        <stp/>
        <stp>BDH|11430392638017419407</stp>
        <tr r="Q14" s="2"/>
      </tp>
      <tp t="s">
        <v>#N/A N/A</v>
        <stp/>
        <stp>BDH|13935732102606021092</stp>
        <tr r="K16" s="2"/>
      </tp>
      <tp t="s">
        <v>#N/A N/A</v>
        <stp/>
        <stp>BDH|14166843033404372941</stp>
        <tr r="AA66" s="2"/>
      </tp>
      <tp t="s">
        <v>#N/A N/A</v>
        <stp/>
        <stp>BDH|15687264576804691603</stp>
        <tr r="X32" s="2"/>
      </tp>
      <tp t="s">
        <v>#N/A N/A</v>
        <stp/>
        <stp>BDH|17783123167147175531</stp>
        <tr r="Z26" s="2"/>
      </tp>
      <tp t="s">
        <v>#N/A N/A</v>
        <stp/>
        <stp>BDH|16722374394206128867</stp>
        <tr r="T9" s="2"/>
      </tp>
      <tp t="s">
        <v>#N/A N/A</v>
        <stp/>
        <stp>BDH|11078797479596172522</stp>
        <tr r="V44" s="2"/>
      </tp>
      <tp t="s">
        <v>#N/A N/A</v>
        <stp/>
        <stp>BDH|17506729051116590118</stp>
        <tr r="F42" s="2"/>
      </tp>
      <tp t="s">
        <v>#N/A N/A</v>
        <stp/>
        <stp>BDH|13840747098078554734</stp>
        <tr r="U45" s="2"/>
      </tp>
      <tp t="s">
        <v>#N/A N/A</v>
        <stp/>
        <stp>BDH|14587605508969903964</stp>
        <tr r="AA41" s="2"/>
      </tp>
      <tp t="s">
        <v>#N/A N/A</v>
        <stp/>
        <stp>BDH|15512029093786163802</stp>
        <tr r="J63" s="2"/>
      </tp>
      <tp t="s">
        <v>#N/A N/A</v>
        <stp/>
        <stp>BDH|14206235694945816887</stp>
        <tr r="I34" s="2"/>
      </tp>
      <tp t="s">
        <v>#N/A N/A</v>
        <stp/>
        <stp>BDH|10207914196882318035</stp>
        <tr r="F34" s="2"/>
      </tp>
      <tp t="s">
        <v>#N/A N/A</v>
        <stp/>
        <stp>BDH|12411939173306604875</stp>
        <tr r="G30" s="2"/>
      </tp>
      <tp t="s">
        <v>#N/A N/A</v>
        <stp/>
        <stp>BDH|12324526966403001023</stp>
        <tr r="U31" s="2"/>
      </tp>
      <tp t="s">
        <v>#N/A N/A</v>
        <stp/>
        <stp>BDH|16996707107074926737</stp>
        <tr r="R45" s="2"/>
      </tp>
      <tp t="s">
        <v>#N/A N/A</v>
        <stp/>
        <stp>BDH|10282220806898163834</stp>
        <tr r="Q17" s="2"/>
      </tp>
      <tp t="s">
        <v>#N/A N/A</v>
        <stp/>
        <stp>BDH|13549789326856963259</stp>
        <tr r="AA13" s="2"/>
      </tp>
      <tp t="s">
        <v>#N/A N/A</v>
        <stp/>
        <stp>BDH|12601402553737140639</stp>
        <tr r="AF8" s="2"/>
      </tp>
      <tp t="s">
        <v>#N/A N/A</v>
        <stp/>
        <stp>BDH|13258309697722737946</stp>
        <tr r="R34" s="2"/>
      </tp>
      <tp t="s">
        <v>#N/A N/A</v>
        <stp/>
        <stp>BDH|12683464007822428657</stp>
        <tr r="T35" s="2"/>
      </tp>
      <tp t="s">
        <v>#N/A N/A</v>
        <stp/>
        <stp>BDH|17169458275810981619</stp>
        <tr r="AF44" s="2"/>
      </tp>
      <tp t="s">
        <v>#N/A N/A</v>
        <stp/>
        <stp>BDH|13236509338256176131</stp>
        <tr r="I16" s="2"/>
      </tp>
      <tp t="s">
        <v>#N/A N/A</v>
        <stp/>
        <stp>BDH|12527186119848917867</stp>
        <tr r="G24" s="2"/>
      </tp>
      <tp t="s">
        <v>#N/A N/A</v>
        <stp/>
        <stp>BDH|14852337949977827610</stp>
        <tr r="V35" s="2"/>
      </tp>
      <tp t="s">
        <v>#N/A N/A</v>
        <stp/>
        <stp>BDH|17844529165401025742</stp>
        <tr r="AD47" s="2"/>
      </tp>
      <tp t="s">
        <v>#N/A N/A</v>
        <stp/>
        <stp>BDH|13125426444041567090</stp>
        <tr r="AA46" s="2"/>
      </tp>
      <tp t="s">
        <v>#N/A N/A</v>
        <stp/>
        <stp>BDH|16370872037498850702</stp>
        <tr r="V47" s="2"/>
      </tp>
      <tp t="s">
        <v>#N/A N/A</v>
        <stp/>
        <stp>BDH|12577444079473669055</stp>
        <tr r="AB44" s="2"/>
      </tp>
      <tp t="s">
        <v>#N/A N/A</v>
        <stp/>
        <stp>BDH|15726364241903844324</stp>
        <tr r="X55" s="2"/>
      </tp>
      <tp t="s">
        <v>#N/A N/A</v>
        <stp/>
        <stp>BDH|18091877756391214698</stp>
        <tr r="I7" s="2"/>
      </tp>
      <tp t="s">
        <v>#N/A N/A</v>
        <stp/>
        <stp>BDH|11583595712942542514</stp>
        <tr r="G67" s="2"/>
      </tp>
      <tp t="s">
        <v>#N/A N/A</v>
        <stp/>
        <stp>BDH|15359183090947656803</stp>
        <tr r="H48" s="2"/>
      </tp>
      <tp t="s">
        <v>#N/A N/A</v>
        <stp/>
        <stp>BDH|11802108709694904651</stp>
        <tr r="W46" s="2"/>
      </tp>
      <tp t="s">
        <v>#N/A N/A</v>
        <stp/>
        <stp>BDH|16350472398750175909</stp>
        <tr r="Q22" s="2"/>
      </tp>
      <tp t="s">
        <v>#N/A N/A</v>
        <stp/>
        <stp>BDH|12440322509240303314</stp>
        <tr r="AD42" s="2"/>
      </tp>
      <tp t="s">
        <v>#N/A N/A</v>
        <stp/>
        <stp>BDH|18294719628118041763</stp>
        <tr r="K42" s="2"/>
      </tp>
      <tp t="s">
        <v>#N/A N/A</v>
        <stp/>
        <stp>BDH|11823724077271596259</stp>
        <tr r="Q63" s="2"/>
      </tp>
      <tp t="s">
        <v>#N/A N/A</v>
        <stp/>
        <stp>BDH|14694981803719181605</stp>
        <tr r="K62" s="2"/>
      </tp>
      <tp t="s">
        <v>#N/A N/A</v>
        <stp/>
        <stp>BDH|16132835168248503230</stp>
        <tr r="AB43" s="2"/>
      </tp>
      <tp t="s">
        <v>#N/A N/A</v>
        <stp/>
        <stp>BDH|16156602461881654594</stp>
        <tr r="F19" s="2"/>
      </tp>
      <tp t="s">
        <v>#N/A N/A</v>
        <stp/>
        <stp>BDH|12605977291832765284</stp>
        <tr r="I60" s="2"/>
      </tp>
      <tp t="s">
        <v>#N/A N/A</v>
        <stp/>
        <stp>BDH|11100976068485695978</stp>
        <tr r="O14" s="2"/>
      </tp>
      <tp t="s">
        <v>#N/A N/A</v>
        <stp/>
        <stp>BDH|17715352989498265662</stp>
        <tr r="P10" s="2"/>
      </tp>
      <tp t="s">
        <v>#N/A N/A</v>
        <stp/>
        <stp>BDH|12577317148602409574</stp>
        <tr r="O22" s="2"/>
      </tp>
      <tp t="s">
        <v>#N/A N/A</v>
        <stp/>
        <stp>BDH|16884555731654230618</stp>
        <tr r="W55" s="2"/>
      </tp>
      <tp t="s">
        <v>#N/A N/A</v>
        <stp/>
        <stp>BDH|11913406238876784297</stp>
        <tr r="C66" s="2"/>
      </tp>
      <tp t="s">
        <v>#N/A N/A</v>
        <stp/>
        <stp>BDH|12175182577806152008</stp>
        <tr r="Q18" s="2"/>
      </tp>
      <tp t="s">
        <v>#N/A N/A</v>
        <stp/>
        <stp>BDH|14853238037963173424</stp>
        <tr r="E44" s="2"/>
      </tp>
      <tp t="s">
        <v>#N/A N/A</v>
        <stp/>
        <stp>BDH|10569033153044913331</stp>
        <tr r="L11" s="2"/>
      </tp>
      <tp t="s">
        <v>#N/A N/A</v>
        <stp/>
        <stp>BDH|11519973480680990257</stp>
        <tr r="O53" s="2"/>
      </tp>
      <tp t="s">
        <v>#N/A N/A</v>
        <stp/>
        <stp>BDH|16997546595938192076</stp>
        <tr r="L43" s="2"/>
      </tp>
      <tp t="s">
        <v>#N/A N/A</v>
        <stp/>
        <stp>BDH|10274344431456428520</stp>
        <tr r="Z11" s="2"/>
      </tp>
      <tp t="s">
        <v>#N/A N/A</v>
        <stp/>
        <stp>BDH|16320044017203797769</stp>
        <tr r="AD60" s="2"/>
      </tp>
      <tp t="s">
        <v>#N/A N/A</v>
        <stp/>
        <stp>BDH|17184638883829451357</stp>
        <tr r="R11" s="2"/>
      </tp>
      <tp t="s">
        <v>#N/A N/A</v>
        <stp/>
        <stp>BDH|14217160757482731142</stp>
        <tr r="U48" s="2"/>
      </tp>
      <tp t="s">
        <v>#N/A N/A</v>
        <stp/>
        <stp>BDH|17968517196070489892</stp>
        <tr r="L55" s="2"/>
      </tp>
      <tp t="s">
        <v>#N/A N/A</v>
        <stp/>
        <stp>BDH|16399560410662537332</stp>
        <tr r="H31" s="2"/>
      </tp>
      <tp t="s">
        <v>#N/A N/A</v>
        <stp/>
        <stp>BDH|11137472545880100215</stp>
        <tr r="AD62" s="2"/>
      </tp>
      <tp t="s">
        <v>#N/A N/A</v>
        <stp/>
        <stp>BDH|10104351332927453418</stp>
        <tr r="C65" s="2"/>
      </tp>
      <tp t="s">
        <v>#N/A N/A</v>
        <stp/>
        <stp>BDH|12946008320715325683</stp>
        <tr r="N45" s="2"/>
      </tp>
      <tp t="s">
        <v>#N/A N/A</v>
        <stp/>
        <stp>BDH|15110536624814182556</stp>
        <tr r="N13" s="2"/>
      </tp>
      <tp t="s">
        <v>#N/A N/A</v>
        <stp/>
        <stp>BDH|18005457746912967988</stp>
        <tr r="K17" s="2"/>
      </tp>
      <tp t="s">
        <v>#N/A N/A</v>
        <stp/>
        <stp>BDH|13818198103393033261</stp>
        <tr r="AA25" s="2"/>
      </tp>
      <tp t="s">
        <v>#N/A N/A</v>
        <stp/>
        <stp>BDH|14257454224370767108</stp>
        <tr r="O46" s="2"/>
      </tp>
      <tp t="s">
        <v>#N/A N/A</v>
        <stp/>
        <stp>BDH|18007932715222715156</stp>
        <tr r="D32" s="2"/>
      </tp>
      <tp t="s">
        <v>#N/A N/A</v>
        <stp/>
        <stp>BDH|18316328847584205836</stp>
        <tr r="AE30" s="2"/>
      </tp>
      <tp t="s">
        <v>#N/A N/A</v>
        <stp/>
        <stp>BDH|13065599916124083087</stp>
        <tr r="W19" s="2"/>
      </tp>
      <tp t="s">
        <v>#N/A N/A</v>
        <stp/>
        <stp>BDH|12260317630715353473</stp>
        <tr r="Q26" s="2"/>
      </tp>
      <tp t="s">
        <v>#N/A N/A</v>
        <stp/>
        <stp>BDH|17981780916130536240</stp>
        <tr r="T25" s="2"/>
      </tp>
      <tp t="s">
        <v>#N/A N/A</v>
        <stp/>
        <stp>BDH|17631680001366069499</stp>
        <tr r="R33" s="2"/>
      </tp>
      <tp t="s">
        <v>#N/A N/A</v>
        <stp/>
        <stp>BDH|14112273035605031358</stp>
        <tr r="Q60" s="2"/>
      </tp>
      <tp t="s">
        <v>#N/A N/A</v>
        <stp/>
        <stp>BDH|15991132858114739639</stp>
        <tr r="W32" s="2"/>
      </tp>
      <tp t="s">
        <v>#N/A N/A</v>
        <stp/>
        <stp>BDH|13050648166548749838</stp>
        <tr r="F22" s="2"/>
      </tp>
      <tp t="s">
        <v>#N/A N/A</v>
        <stp/>
        <stp>BDH|14036033336146910252</stp>
        <tr r="X23" s="2"/>
      </tp>
      <tp t="s">
        <v>#N/A N/A</v>
        <stp/>
        <stp>BDH|12589553875393864050</stp>
        <tr r="M53" s="2"/>
      </tp>
      <tp t="s">
        <v>#N/A N/A</v>
        <stp/>
        <stp>BDH|12784173138111565250</stp>
        <tr r="E16" s="2"/>
      </tp>
      <tp t="s">
        <v>#N/A N/A</v>
        <stp/>
        <stp>BDH|10872194673775938035</stp>
        <tr r="AA23" s="2"/>
      </tp>
      <tp t="s">
        <v>#N/A N/A</v>
        <stp/>
        <stp>BDH|17074045820397585199</stp>
        <tr r="Q9" s="2"/>
      </tp>
      <tp t="s">
        <v>#N/A N/A</v>
        <stp/>
        <stp>BDH|10762283011661069162</stp>
        <tr r="L19" s="2"/>
      </tp>
      <tp t="s">
        <v>#N/A N/A</v>
        <stp/>
        <stp>BDH|17808340474148628864</stp>
        <tr r="AE45" s="2"/>
      </tp>
      <tp t="s">
        <v>#N/A N/A</v>
        <stp/>
        <stp>BDH|16559214302133721494</stp>
        <tr r="O13" s="2"/>
      </tp>
      <tp t="s">
        <v>#N/A N/A</v>
        <stp/>
        <stp>BDH|14862398246296611699</stp>
        <tr r="O26" s="2"/>
      </tp>
      <tp t="s">
        <v>#N/A N/A</v>
        <stp/>
        <stp>BDH|10215177625281884136</stp>
        <tr r="L13" s="2"/>
      </tp>
      <tp t="s">
        <v>#N/A N/A</v>
        <stp/>
        <stp>BDH|12161207678034040027</stp>
        <tr r="K12" s="2"/>
      </tp>
      <tp t="s">
        <v>#N/A N/A</v>
        <stp/>
        <stp>BDH|11656471723955816102</stp>
        <tr r="AE67" s="2"/>
      </tp>
      <tp t="s">
        <v>#N/A N/A</v>
        <stp/>
        <stp>BDH|13963303003317789473</stp>
        <tr r="L32" s="2"/>
      </tp>
      <tp t="s">
        <v>#N/A N/A</v>
        <stp/>
        <stp>BDH|14630580466580737459</stp>
        <tr r="D55" s="2"/>
      </tp>
      <tp t="s">
        <v>#N/A N/A</v>
        <stp/>
        <stp>BDH|13296052016852232393</stp>
        <tr r="P50" s="2"/>
      </tp>
      <tp t="s">
        <v>#N/A N/A</v>
        <stp/>
        <stp>BDH|11822277325881239328</stp>
        <tr r="AB22" s="2"/>
      </tp>
      <tp t="s">
        <v>#N/A N/A</v>
        <stp/>
        <stp>BDH|13335739307940938729</stp>
        <tr r="I25" s="2"/>
      </tp>
      <tp t="s">
        <v>#N/A N/A</v>
        <stp/>
        <stp>BDH|12199864112758230085</stp>
        <tr r="M19" s="2"/>
      </tp>
      <tp t="s">
        <v>#N/A N/A</v>
        <stp/>
        <stp>BDH|13583518874537907561</stp>
        <tr r="U43" s="2"/>
      </tp>
      <tp t="s">
        <v>#N/A N/A</v>
        <stp/>
        <stp>BDH|12389013798530377877</stp>
        <tr r="Q55" s="2"/>
      </tp>
      <tp t="s">
        <v>#N/A N/A</v>
        <stp/>
        <stp>BDH|15464105801461220695</stp>
        <tr r="AB8" s="2"/>
      </tp>
      <tp t="s">
        <v>#N/A N/A</v>
        <stp/>
        <stp>BDH|11111789321167615008</stp>
        <tr r="M33" s="2"/>
      </tp>
      <tp t="s">
        <v>#N/A N/A</v>
        <stp/>
        <stp>BDH|17216574993742374946</stp>
        <tr r="V59" s="2"/>
      </tp>
      <tp t="s">
        <v>#N/A N/A</v>
        <stp/>
        <stp>BDH|18202314786660535317</stp>
        <tr r="P48" s="2"/>
      </tp>
      <tp t="s">
        <v>#N/A N/A</v>
        <stp/>
        <stp>BDH|13660137226791781147</stp>
        <tr r="J28" s="2"/>
      </tp>
      <tp t="s">
        <v>#N/A N/A</v>
        <stp/>
        <stp>BDH|16872826990575993233</stp>
        <tr r="Y12" s="2"/>
      </tp>
      <tp t="s">
        <v>#N/A N/A</v>
        <stp/>
        <stp>BDH|17831607549430478555</stp>
        <tr r="W67" s="2"/>
      </tp>
      <tp t="s">
        <v>#N/A N/A</v>
        <stp/>
        <stp>BDH|13800976938448451137</stp>
        <tr r="H61" s="2"/>
      </tp>
      <tp t="s">
        <v>#N/A N/A</v>
        <stp/>
        <stp>BDH|14733493654103301691</stp>
        <tr r="Z22" s="2"/>
      </tp>
      <tp t="s">
        <v>#N/A N/A</v>
        <stp/>
        <stp>BDH|10026943787242272311</stp>
        <tr r="AB32" s="2"/>
      </tp>
      <tp t="s">
        <v>#N/A N/A</v>
        <stp/>
        <stp>BDH|11139929007211612910</stp>
        <tr r="I27" s="2"/>
      </tp>
      <tp t="s">
        <v>#N/A N/A</v>
        <stp/>
        <stp>BDH|16604732767877354027</stp>
        <tr r="O31" s="2"/>
      </tp>
      <tp t="s">
        <v>#N/A N/A</v>
        <stp/>
        <stp>BDH|15664392974376990710</stp>
        <tr r="R38" s="2"/>
      </tp>
      <tp t="s">
        <v>#N/A N/A</v>
        <stp/>
        <stp>BDH|13078708100656367209</stp>
        <tr r="Y45" s="2"/>
      </tp>
      <tp t="s">
        <v>#N/A N/A</v>
        <stp/>
        <stp>BDH|14935557042551497486</stp>
        <tr r="I63" s="2"/>
      </tp>
      <tp t="s">
        <v>#N/A N/A</v>
        <stp/>
        <stp>BDH|12395009780263678978</stp>
        <tr r="AE8" s="2"/>
      </tp>
      <tp t="s">
        <v>#N/A N/A</v>
        <stp/>
        <stp>BDH|10035550875525043758</stp>
        <tr r="G8" s="2"/>
      </tp>
      <tp t="s">
        <v>#N/A N/A</v>
        <stp/>
        <stp>BDH|10753356464987289218</stp>
        <tr r="D51" s="2"/>
      </tp>
      <tp t="s">
        <v>#N/A N/A</v>
        <stp/>
        <stp>BDH|16388108901252195568</stp>
        <tr r="AC26" s="2"/>
      </tp>
      <tp t="s">
        <v>#N/A N/A</v>
        <stp/>
        <stp>BDH|17044005853623367155</stp>
        <tr r="AE33" s="2"/>
      </tp>
      <tp t="s">
        <v>#N/A N/A</v>
        <stp/>
        <stp>BDH|17982704518118047952</stp>
        <tr r="AC42" s="2"/>
      </tp>
      <tp t="s">
        <v>#N/A N/A</v>
        <stp/>
        <stp>BDH|14389720966043732642</stp>
        <tr r="Y51" s="2"/>
      </tp>
      <tp t="s">
        <v>#N/A N/A</v>
        <stp/>
        <stp>BDH|13322646204747141258</stp>
        <tr r="AA22" s="2"/>
      </tp>
      <tp t="s">
        <v>#N/A N/A</v>
        <stp/>
        <stp>BDH|13588294978486352001</stp>
        <tr r="R9" s="2"/>
      </tp>
      <tp t="s">
        <v>#N/A N/A</v>
        <stp/>
        <stp>BDH|12782643917141765456</stp>
        <tr r="W47" s="2"/>
      </tp>
      <tp t="s">
        <v>#N/A N/A</v>
        <stp/>
        <stp>BDH|14719812197414393144</stp>
        <tr r="E45" s="2"/>
      </tp>
      <tp t="s">
        <v>#N/A N/A</v>
        <stp/>
        <stp>BDH|14679829463402216837</stp>
        <tr r="Y25" s="2"/>
      </tp>
      <tp t="s">
        <v>#N/A N/A</v>
        <stp/>
        <stp>BDH|14430651487823115917</stp>
        <tr r="I64" s="2"/>
      </tp>
      <tp t="s">
        <v>#N/A N/A</v>
        <stp/>
        <stp>BDH|14319159239477074177</stp>
        <tr r="F9" s="2"/>
      </tp>
      <tp t="s">
        <v>#N/A N/A</v>
        <stp/>
        <stp>BDH|12951456944910024233</stp>
        <tr r="Q42" s="2"/>
      </tp>
      <tp t="s">
        <v>#N/A N/A</v>
        <stp/>
        <stp>BDH|13813046773883324779</stp>
        <tr r="D37" s="2"/>
      </tp>
      <tp t="s">
        <v>#N/A N/A</v>
        <stp/>
        <stp>BDH|15911692158376215002</stp>
        <tr r="AC67" s="2"/>
      </tp>
      <tp t="s">
        <v>#N/A N/A</v>
        <stp/>
        <stp>BDH|12920356316255513555</stp>
        <tr r="T53" s="2"/>
      </tp>
      <tp t="s">
        <v>#N/A N/A</v>
        <stp/>
        <stp>BDH|14746267367360443086</stp>
        <tr r="S37" s="2"/>
      </tp>
      <tp t="s">
        <v>#N/A N/A</v>
        <stp/>
        <stp>BDH|14453515027865835676</stp>
        <tr r="X18" s="2"/>
      </tp>
      <tp t="s">
        <v>#N/A N/A</v>
        <stp/>
        <stp>BDH|13380489150100737212</stp>
        <tr r="W48" s="2"/>
      </tp>
      <tp t="s">
        <v>#N/A N/A</v>
        <stp/>
        <stp>BDH|17222245142400981110</stp>
        <tr r="AB10" s="2"/>
      </tp>
      <tp t="s">
        <v>#N/A N/A</v>
        <stp/>
        <stp>BDH|14558403152943991627</stp>
        <tr r="AD18" s="2"/>
      </tp>
      <tp t="s">
        <v>#N/A N/A</v>
        <stp/>
        <stp>BDH|16606604559473102621</stp>
        <tr r="K34" s="2"/>
      </tp>
      <tp t="s">
        <v>#N/A N/A</v>
        <stp/>
        <stp>BDH|13325812286662834102</stp>
        <tr r="AC30" s="2"/>
      </tp>
      <tp t="s">
        <v>#N/A N/A</v>
        <stp/>
        <stp>BDH|13618091100107130426</stp>
        <tr r="K25" s="2"/>
      </tp>
      <tp t="s">
        <v>#N/A N/A</v>
        <stp/>
        <stp>BDH|14814432846587677348</stp>
        <tr r="J37" s="2"/>
      </tp>
      <tp t="s">
        <v>#N/A N/A</v>
        <stp/>
        <stp>BDH|17508788121231495371</stp>
        <tr r="X34" s="2"/>
      </tp>
      <tp t="s">
        <v>#N/A N/A</v>
        <stp/>
        <stp>BDH|10607830298174749554</stp>
        <tr r="U46" s="2"/>
      </tp>
      <tp t="s">
        <v>#N/A N/A</v>
        <stp/>
        <stp>BDH|12700642759959318871</stp>
        <tr r="D13" s="2"/>
      </tp>
      <tp t="s">
        <v>#N/A N/A</v>
        <stp/>
        <stp>BDH|17866307657789780860</stp>
        <tr r="H65" s="2"/>
      </tp>
      <tp t="s">
        <v>#N/A N/A</v>
        <stp/>
        <stp>BDH|11252479128472177523</stp>
        <tr r="E38" s="2"/>
      </tp>
      <tp t="s">
        <v>#N/A N/A</v>
        <stp/>
        <stp>BDH|17795503313043370091</stp>
        <tr r="U7" s="2"/>
      </tp>
      <tp t="s">
        <v>#N/A N/A</v>
        <stp/>
        <stp>BDH|10090078790089045093</stp>
        <tr r="U12" s="2"/>
      </tp>
      <tp t="s">
        <v>#N/A N/A</v>
        <stp/>
        <stp>BDH|12772712911377862315</stp>
        <tr r="M8" s="2"/>
      </tp>
      <tp t="s">
        <v>#N/A N/A</v>
        <stp/>
        <stp>BDH|10482395463923977696</stp>
        <tr r="R62" s="2"/>
      </tp>
      <tp t="s">
        <v>#N/A N/A</v>
        <stp/>
        <stp>BDH|11447816780876108657</stp>
        <tr r="E53" s="2"/>
      </tp>
      <tp t="s">
        <v>#N/A N/A</v>
        <stp/>
        <stp>BDH|14877123958022720345</stp>
        <tr r="M30" s="2"/>
      </tp>
      <tp t="s">
        <v>#N/A N/A</v>
        <stp/>
        <stp>BDH|15063405570321994688</stp>
        <tr r="AA33" s="2"/>
      </tp>
      <tp t="s">
        <v>#N/A N/A</v>
        <stp/>
        <stp>BDH|12322525223021406577</stp>
        <tr r="AB27" s="2"/>
      </tp>
      <tp t="s">
        <v>#N/A N/A</v>
        <stp/>
        <stp>BDH|18436538774262452968</stp>
        <tr r="AF37" s="2"/>
      </tp>
      <tp t="s">
        <v>#N/A N/A</v>
        <stp/>
        <stp>BDH|12482908784022998092</stp>
        <tr r="J24" s="2"/>
      </tp>
      <tp t="s">
        <v>#N/A N/A</v>
        <stp/>
        <stp>BDH|17749626204470095015</stp>
        <tr r="W60" s="2"/>
      </tp>
      <tp t="s">
        <v>#N/A N/A</v>
        <stp/>
        <stp>BDH|15236912587924625122</stp>
        <tr r="C16" s="2"/>
      </tp>
      <tp t="s">
        <v>#N/A N/A</v>
        <stp/>
        <stp>BDH|13482313066861052639</stp>
        <tr r="AA8" s="2"/>
      </tp>
      <tp t="s">
        <v>#N/A N/A</v>
        <stp/>
        <stp>BDH|12804018723538370995</stp>
        <tr r="AA59" s="2"/>
      </tp>
      <tp t="s">
        <v>#N/A N/A</v>
        <stp/>
        <stp>BDH|16434482569233325661</stp>
        <tr r="K35" s="2"/>
      </tp>
      <tp t="s">
        <v>#N/A N/A</v>
        <stp/>
        <stp>BDH|10557463734223716502</stp>
        <tr r="E29" s="2"/>
      </tp>
      <tp t="s">
        <v>#N/A N/A</v>
        <stp/>
        <stp>BDH|17324722601947224611</stp>
        <tr r="V28" s="2"/>
      </tp>
      <tp t="s">
        <v>#N/A N/A</v>
        <stp/>
        <stp>BDH|11547445689468866433</stp>
        <tr r="AB61" s="2"/>
      </tp>
      <tp t="s">
        <v>#N/A N/A</v>
        <stp/>
        <stp>BDH|10753727580079104775</stp>
        <tr r="H50" s="2"/>
      </tp>
      <tp t="s">
        <v>#N/A N/A</v>
        <stp/>
        <stp>BDH|15377949490533176744</stp>
        <tr r="F65" s="2"/>
      </tp>
      <tp t="s">
        <v>#N/A N/A</v>
        <stp/>
        <stp>BDH|17642110357866033420</stp>
        <tr r="X30" s="2"/>
      </tp>
      <tp t="s">
        <v>#N/A N/A</v>
        <stp/>
        <stp>BDH|15302426924380628219</stp>
        <tr r="T62" s="2"/>
      </tp>
      <tp t="s">
        <v>#N/A N/A</v>
        <stp/>
        <stp>BDH|13314322972853196500</stp>
        <tr r="Y9" s="2"/>
      </tp>
      <tp t="s">
        <v>#N/A N/A</v>
        <stp/>
        <stp>BDH|13039785875837849578</stp>
        <tr r="U35" s="2"/>
      </tp>
      <tp t="s">
        <v>#N/A N/A</v>
        <stp/>
        <stp>BDH|10070520231692575541</stp>
        <tr r="Z8" s="2"/>
      </tp>
      <tp t="s">
        <v>#N/A N/A</v>
        <stp/>
        <stp>BDH|10440804896725169516</stp>
        <tr r="O41" s="2"/>
      </tp>
      <tp t="s">
        <v>#N/A N/A</v>
        <stp/>
        <stp>BDH|11565902192056596677</stp>
        <tr r="P63" s="2"/>
      </tp>
      <tp t="s">
        <v>#N/A N/A</v>
        <stp/>
        <stp>BDH|18343979581838597056</stp>
        <tr r="K45" s="2"/>
      </tp>
      <tp t="s">
        <v>#N/A N/A</v>
        <stp/>
        <stp>BDH|10406129750081769442</stp>
        <tr r="Y41" s="2"/>
      </tp>
      <tp t="s">
        <v>#N/A N/A</v>
        <stp/>
        <stp>BDH|13055373702350661163</stp>
        <tr r="G47" s="2"/>
      </tp>
      <tp t="s">
        <v>#N/A N/A</v>
        <stp/>
        <stp>BDH|13101837211992240956</stp>
        <tr r="AD16" s="2"/>
      </tp>
      <tp t="s">
        <v>#N/A N/A</v>
        <stp/>
        <stp>BDH|13294546173851574143</stp>
        <tr r="AA36" s="2"/>
      </tp>
      <tp t="s">
        <v>#N/A N/A</v>
        <stp/>
        <stp>BDH|12824698677853791158</stp>
        <tr r="J29" s="2"/>
      </tp>
      <tp t="s">
        <v>#N/A N/A</v>
        <stp/>
        <stp>BDH|11386812748058925445</stp>
        <tr r="Q34" s="2"/>
      </tp>
      <tp t="s">
        <v>#N/A N/A</v>
        <stp/>
        <stp>BDH|16697105402767266110</stp>
        <tr r="D65" s="2"/>
      </tp>
      <tp t="s">
        <v>#N/A N/A</v>
        <stp/>
        <stp>BDH|14612204199407807903</stp>
        <tr r="D62" s="2"/>
      </tp>
      <tp t="s">
        <v>#N/A N/A</v>
        <stp/>
        <stp>BDH|12780123168895920137</stp>
        <tr r="D42" s="2"/>
      </tp>
      <tp t="s">
        <v>#N/A N/A</v>
        <stp/>
        <stp>BDH|14322125691039104462</stp>
        <tr r="X64" s="2"/>
      </tp>
      <tp t="s">
        <v>#N/A N/A</v>
        <stp/>
        <stp>BDH|15734725426995423417</stp>
        <tr r="AE49" s="2"/>
      </tp>
      <tp t="s">
        <v>#N/A N/A</v>
        <stp/>
        <stp>BDH|10602416573074670649</stp>
        <tr r="Q16" s="2"/>
      </tp>
      <tp t="s">
        <v>#N/A N/A</v>
        <stp/>
        <stp>BDH|12185488464100842134</stp>
        <tr r="W8" s="2"/>
      </tp>
      <tp t="s">
        <v>#N/A N/A</v>
        <stp/>
        <stp>BDH|10664095853404631030</stp>
        <tr r="AE62" s="2"/>
      </tp>
      <tp t="s">
        <v>#N/A N/A</v>
        <stp/>
        <stp>BDH|17804567760491672410</stp>
        <tr r="O18" s="2"/>
      </tp>
      <tp t="s">
        <v>#N/A N/A</v>
        <stp/>
        <stp>BDH|15852865369853727980</stp>
        <tr r="W63" s="2"/>
      </tp>
      <tp t="s">
        <v>#N/A N/A</v>
        <stp/>
        <stp>BDH|12931152815096853598</stp>
        <tr r="F26" s="2"/>
      </tp>
      <tp t="s">
        <v>#N/A N/A</v>
        <stp/>
        <stp>BDH|17514085956533397032</stp>
        <tr r="T44" s="2"/>
      </tp>
      <tp t="s">
        <v>#N/A N/A</v>
        <stp/>
        <stp>BDH|17175445029898208857</stp>
        <tr r="N62" s="2"/>
      </tp>
      <tp t="s">
        <v>#N/A N/A</v>
        <stp/>
        <stp>BDH|17631508841690849757</stp>
        <tr r="O51" s="2"/>
      </tp>
      <tp t="s">
        <v>#N/A N/A</v>
        <stp/>
        <stp>BDH|18298970015932925331</stp>
        <tr r="F50" s="2"/>
      </tp>
      <tp t="s">
        <v>#N/A N/A</v>
        <stp/>
        <stp>BDH|13851221830162971195</stp>
        <tr r="O36" s="2"/>
      </tp>
      <tp t="s">
        <v>#N/A N/A</v>
        <stp/>
        <stp>BDH|17758381522101755607</stp>
        <tr r="D66" s="2"/>
      </tp>
      <tp t="s">
        <v>#N/A N/A</v>
        <stp/>
        <stp>BDH|17693004046706858454</stp>
        <tr r="S42" s="2"/>
      </tp>
      <tp t="s">
        <v>#N/A N/A</v>
        <stp/>
        <stp>BDH|13194543180179824607</stp>
        <tr r="AC9" s="2"/>
      </tp>
      <tp t="s">
        <v>#N/A N/A</v>
        <stp/>
        <stp>BDH|16660124392786890931</stp>
        <tr r="J36" s="2"/>
      </tp>
      <tp t="s">
        <v>#N/A N/A</v>
        <stp/>
        <stp>BDH|16027596946621787759</stp>
        <tr r="W61" s="2"/>
      </tp>
      <tp t="s">
        <v>#N/A N/A</v>
        <stp/>
        <stp>BDH|10880743080766902896</stp>
        <tr r="Y55" s="2"/>
      </tp>
      <tp t="s">
        <v>#N/A N/A</v>
        <stp/>
        <stp>BDH|10930725105906418062</stp>
        <tr r="W22" s="2"/>
      </tp>
      <tp t="s">
        <v>#N/A N/A</v>
        <stp/>
        <stp>BDH|13615591513940981693</stp>
        <tr r="I19" s="2"/>
      </tp>
      <tp t="s">
        <v>#N/A N/A</v>
        <stp/>
        <stp>BDH|10699592074631501210</stp>
        <tr r="J64" s="2"/>
      </tp>
      <tp t="s">
        <v>#N/A N/A</v>
        <stp/>
        <stp>BDH|12562137212010350384</stp>
        <tr r="C34" s="2"/>
      </tp>
      <tp t="s">
        <v>#N/A N/A</v>
        <stp/>
        <stp>BDH|16288349065863967159</stp>
        <tr r="E37" s="2"/>
      </tp>
      <tp t="s">
        <v>#N/A N/A</v>
        <stp/>
        <stp>BDH|10422562561516853444</stp>
        <tr r="AB41" s="2"/>
      </tp>
      <tp t="s">
        <v>#N/A N/A</v>
        <stp/>
        <stp>BDH|10742995817059588026</stp>
        <tr r="M18" s="2"/>
      </tp>
      <tp t="s">
        <v>#N/A N/A</v>
        <stp/>
        <stp>BDH|17478076774604965500</stp>
        <tr r="Q45" s="2"/>
      </tp>
      <tp t="s">
        <v>#N/A N/A</v>
        <stp/>
        <stp>BDH|18230930019070641100</stp>
        <tr r="C42" s="2"/>
      </tp>
      <tp t="s">
        <v>#N/A N/A</v>
        <stp/>
        <stp>BDH|12995323885321985994</stp>
        <tr r="Y66" s="2"/>
      </tp>
      <tp t="s">
        <v>#N/A N/A</v>
        <stp/>
        <stp>BDH|15764575377686514739</stp>
        <tr r="H51" s="2"/>
      </tp>
      <tp t="s">
        <v>#N/A N/A</v>
        <stp/>
        <stp>BDH|15133756059057870641</stp>
        <tr r="T27" s="2"/>
      </tp>
      <tp t="s">
        <v>#N/A N/A</v>
        <stp/>
        <stp>BDH|17373090249413173635</stp>
        <tr r="H11" s="2"/>
      </tp>
      <tp t="s">
        <v>#N/A N/A</v>
        <stp/>
        <stp>BDH|15761678905307525206</stp>
        <tr r="V51" s="2"/>
      </tp>
      <tp t="s">
        <v>#N/A N/A</v>
        <stp/>
        <stp>BDH|16682504756873745375</stp>
        <tr r="U24" s="2"/>
      </tp>
      <tp t="s">
        <v>#N/A N/A</v>
        <stp/>
        <stp>BDH|15964956354877886836</stp>
        <tr r="L18" s="2"/>
      </tp>
      <tp t="s">
        <v>#N/A N/A</v>
        <stp/>
        <stp>BDH|14036252201564451429</stp>
        <tr r="AB42" s="2"/>
      </tp>
      <tp t="s">
        <v>#N/A N/A</v>
        <stp/>
        <stp>BDH|11394112778182853303</stp>
        <tr r="G66" s="2"/>
      </tp>
      <tp t="s">
        <v>#N/A N/A</v>
        <stp/>
        <stp>BDH|11351561587412445848</stp>
        <tr r="AE18" s="2"/>
      </tp>
      <tp t="s">
        <v>#N/A N/A</v>
        <stp/>
        <stp>BDH|11078788407644893429</stp>
        <tr r="J12" s="2"/>
      </tp>
      <tp t="s">
        <v>#N/A N/A</v>
        <stp/>
        <stp>BDH|13830218741337950444</stp>
        <tr r="G34" s="2"/>
      </tp>
      <tp t="s">
        <v>#N/A N/A</v>
        <stp/>
        <stp>BDH|12799117263546253526</stp>
        <tr r="J53" s="2"/>
      </tp>
      <tp t="s">
        <v>#N/A N/A</v>
        <stp/>
        <stp>BDH|15991713810711967447</stp>
        <tr r="P13" s="2"/>
      </tp>
      <tp t="s">
        <v>#N/A N/A</v>
        <stp/>
        <stp>BDH|15821508516377951028</stp>
        <tr r="O43" s="2"/>
      </tp>
      <tp t="s">
        <v>#N/A N/A</v>
        <stp/>
        <stp>BDH|10522898694444821344</stp>
        <tr r="O23" s="2"/>
      </tp>
      <tp t="s">
        <v>#N/A N/A</v>
        <stp/>
        <stp>BDH|17186258017406560427</stp>
        <tr r="AB49" s="2"/>
      </tp>
      <tp t="s">
        <v>#N/A N/A</v>
        <stp/>
        <stp>BDH|15995991726048528042</stp>
        <tr r="L33" s="2"/>
      </tp>
      <tp t="s">
        <v>#N/A N/A</v>
        <stp/>
        <stp>BDH|11062749422016649477</stp>
        <tr r="N23" s="2"/>
      </tp>
      <tp t="s">
        <v>#N/A N/A</v>
        <stp/>
        <stp>BDH|10122637041660474403</stp>
        <tr r="K61" s="2"/>
      </tp>
      <tp t="s">
        <v>#N/A N/A</v>
        <stp/>
        <stp>BDH|12244839155701208808</stp>
        <tr r="O19" s="2"/>
      </tp>
      <tp t="s">
        <v>#N/A N/A</v>
        <stp/>
        <stp>BDH|11577399128180294600</stp>
        <tr r="AD50" s="2"/>
      </tp>
      <tp t="s">
        <v>#N/A N/A</v>
        <stp/>
        <stp>BDH|12942625451181879641</stp>
        <tr r="L50" s="2"/>
      </tp>
      <tp t="s">
        <v>#N/A N/A</v>
        <stp/>
        <stp>BDH|12954358036546480285</stp>
        <tr r="O47" s="2"/>
      </tp>
      <tp t="s">
        <v>#N/A N/A</v>
        <stp/>
        <stp>BDH|15533899713323445924</stp>
        <tr r="AD24" s="2"/>
      </tp>
      <tp t="s">
        <v>#N/A N/A</v>
        <stp/>
        <stp>BDH|14383736014711870556</stp>
        <tr r="X24" s="2"/>
      </tp>
      <tp t="s">
        <v>#N/A N/A</v>
        <stp/>
        <stp>BDH|15756900797934160797</stp>
        <tr r="H24" s="2"/>
      </tp>
      <tp t="s">
        <v>#N/A N/A</v>
        <stp/>
        <stp>BDH|12843219065796702638</stp>
        <tr r="U60" s="2"/>
      </tp>
      <tp t="s">
        <v>#N/A N/A</v>
        <stp/>
        <stp>BDH|16382581067860236353</stp>
        <tr r="D35" s="2"/>
      </tp>
      <tp t="s">
        <v>#N/A N/A</v>
        <stp/>
        <stp>BDH|10727801021498486498</stp>
        <tr r="S53" s="2"/>
      </tp>
      <tp t="s">
        <v>#N/A N/A</v>
        <stp/>
        <stp>BDH|15987250413949634925</stp>
        <tr r="T33" s="2"/>
      </tp>
      <tp t="s">
        <v>#N/A N/A</v>
        <stp/>
        <stp>BDH|15181303023173016184</stp>
        <tr r="D43" s="2"/>
      </tp>
      <tp t="s">
        <v>#N/A N/A</v>
        <stp/>
        <stp>BDH|14685067650855286282</stp>
        <tr r="K64" s="2"/>
      </tp>
      <tp t="s">
        <v>#N/A N/A</v>
        <stp/>
        <stp>BDH|12919757178187972370</stp>
        <tr r="N30" s="2"/>
      </tp>
      <tp t="s">
        <v>#N/A N/A</v>
        <stp/>
        <stp>BDH|10324177582427830844</stp>
        <tr r="P37" s="2"/>
      </tp>
      <tp t="s">
        <v>#N/A N/A</v>
        <stp/>
        <stp>BDH|16968776526901014453</stp>
        <tr r="AA49" s="2"/>
      </tp>
      <tp t="s">
        <v>#N/A N/A</v>
        <stp/>
        <stp>BDH|17275445589324095927</stp>
        <tr r="W10" s="2"/>
      </tp>
      <tp t="s">
        <v>#N/A N/A</v>
        <stp/>
        <stp>BDH|15545028940261925630</stp>
        <tr r="I44" s="2"/>
      </tp>
      <tp t="s">
        <v>#N/A N/A</v>
        <stp/>
        <stp>BDH|16383683625826676257</stp>
        <tr r="AF15" s="2"/>
      </tp>
      <tp t="s">
        <v>#N/A N/A</v>
        <stp/>
        <stp>BDH|17961171337347793422</stp>
        <tr r="W36" s="2"/>
      </tp>
      <tp t="s">
        <v>#N/A N/A</v>
        <stp/>
        <stp>BDH|14024790880395788827</stp>
        <tr r="J34" s="2"/>
      </tp>
      <tp t="s">
        <v>#N/A N/A</v>
        <stp/>
        <stp>BDH|14311270298511849884</stp>
        <tr r="D28" s="2"/>
      </tp>
      <tp t="s">
        <v>#N/A N/A</v>
        <stp/>
        <stp>BDH|12115771849243798471</stp>
        <tr r="T10" s="2"/>
      </tp>
      <tp t="s">
        <v>#N/A N/A</v>
        <stp/>
        <stp>BDH|12933488013609403894</stp>
        <tr r="AB64" s="2"/>
      </tp>
      <tp t="s">
        <v>#N/A N/A</v>
        <stp/>
        <stp>BDH|16150065581720918805</stp>
        <tr r="V9" s="2"/>
      </tp>
      <tp t="s">
        <v>#N/A N/A</v>
        <stp/>
        <stp>BDH|17543654678119213952</stp>
        <tr r="P32" s="2"/>
      </tp>
      <tp t="s">
        <v>#N/A N/A</v>
        <stp/>
        <stp>BDH|10637640068357411114</stp>
        <tr r="N63" s="2"/>
      </tp>
      <tp t="s">
        <v>#N/A N/A</v>
        <stp/>
        <stp>BDH|17730687165481533019</stp>
        <tr r="T26" s="2"/>
      </tp>
      <tp t="s">
        <v>#N/A N/A</v>
        <stp/>
        <stp>BDH|17935035373614282251</stp>
        <tr r="N38" s="2"/>
      </tp>
      <tp t="s">
        <v>#N/A N/A</v>
        <stp/>
        <stp>BDH|11195472542390604636</stp>
        <tr r="I9" s="2"/>
      </tp>
      <tp t="s">
        <v>#N/A N/A</v>
        <stp/>
        <stp>BDH|16141747967832424274</stp>
        <tr r="Z13" s="2"/>
      </tp>
      <tp t="s">
        <v>#N/A N/A</v>
        <stp/>
        <stp>BDH|14305170524171413151</stp>
        <tr r="AE36" s="2"/>
      </tp>
      <tp t="s">
        <v>#N/A N/A</v>
        <stp/>
        <stp>BDH|15015693790558819500</stp>
        <tr r="C63" s="2"/>
      </tp>
      <tp t="s">
        <v>#N/A N/A</v>
        <stp/>
        <stp>BDH|11893338042145136488</stp>
        <tr r="Y11" s="2"/>
      </tp>
      <tp t="s">
        <v>#N/A N/A</v>
        <stp/>
        <stp>BDH|18067867473816538602</stp>
        <tr r="R24" s="2"/>
      </tp>
      <tp t="s">
        <v>#N/A N/A</v>
        <stp/>
        <stp>BDH|18421746372216305925</stp>
        <tr r="I13" s="2"/>
      </tp>
      <tp t="s">
        <v>#N/A N/A</v>
        <stp/>
        <stp>BDH|13119050840861328149</stp>
        <tr r="F13" s="2"/>
      </tp>
      <tp t="s">
        <v>#N/A N/A</v>
        <stp/>
        <stp>BDH|12283517987861123963</stp>
        <tr r="W17" s="2"/>
      </tp>
      <tp t="s">
        <v>#N/A N/A</v>
        <stp/>
        <stp>BDH|18018567528191869955</stp>
        <tr r="W42" s="2"/>
      </tp>
      <tp t="s">
        <v>#N/A N/A</v>
        <stp/>
        <stp>BDH|13954276645942875009</stp>
        <tr r="AD15" s="2"/>
      </tp>
      <tp t="s">
        <v>#N/A N/A</v>
        <stp/>
        <stp>BDH|18119748946445752962</stp>
        <tr r="C67" s="2"/>
      </tp>
      <tp t="s">
        <v>#N/A N/A</v>
        <stp/>
        <stp>BDH|13903008534325824276</stp>
        <tr r="M48" s="2"/>
      </tp>
      <tp t="s">
        <v>#N/A N/A</v>
        <stp/>
        <stp>BDH|15174647471936043560</stp>
        <tr r="I42" s="2"/>
      </tp>
      <tp t="s">
        <v>#N/A N/A</v>
        <stp/>
        <stp>BDH|16434807019359999168</stp>
        <tr r="AA47" s="2"/>
      </tp>
      <tp t="s">
        <v>#N/A N/A</v>
        <stp/>
        <stp>BDH|14792665842479366855</stp>
        <tr r="AA62" s="2"/>
      </tp>
      <tp t="s">
        <v>#N/A N/A</v>
        <stp/>
        <stp>BDH|15832229079213233441</stp>
        <tr r="AB9" s="2"/>
      </tp>
      <tp t="s">
        <v>#N/A N/A</v>
        <stp/>
        <stp>BDH|16358350092328992387</stp>
        <tr r="Y29" s="2"/>
      </tp>
      <tp t="s">
        <v>#N/A N/A</v>
        <stp/>
        <stp>BDH|18132794289857119753</stp>
        <tr r="Y14" s="2"/>
      </tp>
      <tp t="s">
        <v>#N/A N/A</v>
        <stp/>
        <stp>BDH|17501324380082214907</stp>
        <tr r="N28" s="2"/>
      </tp>
      <tp t="s">
        <v>#N/A N/A</v>
        <stp/>
        <stp>BDH|14373731125400538657</stp>
        <tr r="W59" s="2"/>
      </tp>
      <tp t="s">
        <v>#N/A N/A</v>
        <stp/>
        <stp>BDH|10128967684163486534</stp>
        <tr r="K27" s="2"/>
      </tp>
      <tp t="s">
        <v>#N/A N/A</v>
        <stp/>
        <stp>BDH|15619843384390618243</stp>
        <tr r="S55" s="2"/>
      </tp>
      <tp t="s">
        <v>#N/A N/A</v>
        <stp/>
        <stp>BDH|13725847227289344732</stp>
        <tr r="P17" s="2"/>
      </tp>
      <tp t="s">
        <v>#N/A N/A</v>
        <stp/>
        <stp>BDH|11520008021201277514</stp>
        <tr r="O35" s="2"/>
      </tp>
      <tp t="s">
        <v>#N/A N/A</v>
        <stp/>
        <stp>BDH|17790823284616015667</stp>
        <tr r="M44" s="2"/>
      </tp>
      <tp t="s">
        <v>#N/A N/A</v>
        <stp/>
        <stp>BDH|10167757796088254179</stp>
        <tr r="X25" s="2"/>
      </tp>
      <tp t="s">
        <v>#N/A N/A</v>
        <stp/>
        <stp>BDH|15698810033440540964</stp>
        <tr r="K51" s="2"/>
      </tp>
      <tp t="s">
        <v>#N/A N/A</v>
        <stp/>
        <stp>BDH|17009650069344819431</stp>
        <tr r="L29" s="2"/>
      </tp>
      <tp t="s">
        <v>#N/A N/A</v>
        <stp/>
        <stp>BDH|12484766524465403558</stp>
        <tr r="V24" s="2"/>
      </tp>
      <tp t="s">
        <v>#N/A N/A</v>
        <stp/>
        <stp>BDH|15094405315964125332</stp>
        <tr r="N41" s="2"/>
      </tp>
      <tp t="s">
        <v>#N/A N/A</v>
        <stp/>
        <stp>BDH|12253778885602459821</stp>
        <tr r="AF26" s="2"/>
      </tp>
      <tp t="s">
        <v>#N/A N/A</v>
        <stp/>
        <stp>BDH|14512080634314976468</stp>
        <tr r="G32" s="2"/>
      </tp>
      <tp t="s">
        <v>#N/A N/A</v>
        <stp/>
        <stp>BDH|10644305703336425272</stp>
        <tr r="M9" s="2"/>
      </tp>
      <tp t="s">
        <v>#N/A N/A</v>
        <stp/>
        <stp>BDH|16467386438345223405</stp>
        <tr r="J55" s="2"/>
      </tp>
      <tp t="s">
        <v>#N/A N/A</v>
        <stp/>
        <stp>BDH|10727634412922760280</stp>
        <tr r="AC18" s="2"/>
      </tp>
      <tp t="s">
        <v>#N/A N/A</v>
        <stp/>
        <stp>BDH|17740010193989834049</stp>
        <tr r="AF31" s="2"/>
      </tp>
      <tp t="s">
        <v>#N/A N/A</v>
        <stp/>
        <stp>BDH|13955010261571460341</stp>
        <tr r="Y19" s="2"/>
      </tp>
      <tp t="s">
        <v>#N/A N/A</v>
        <stp/>
        <stp>BDH|13648755874811813573</stp>
        <tr r="U67" s="2"/>
      </tp>
      <tp t="s">
        <v>#N/A N/A</v>
        <stp/>
        <stp>BDH|11418857848518985284</stp>
        <tr r="O59" s="2"/>
      </tp>
      <tp t="s">
        <v>#N/A N/A</v>
        <stp/>
        <stp>BDH|14841068301530499330</stp>
        <tr r="AC36" s="2"/>
      </tp>
      <tp t="s">
        <v>#N/A N/A</v>
        <stp/>
        <stp>BDH|10271113332284083199</stp>
        <tr r="AD12" s="2"/>
      </tp>
      <tp t="s">
        <v>#N/A N/A</v>
        <stp/>
        <stp>BDH|11036079062159952949</stp>
        <tr r="C7" s="2"/>
      </tp>
      <tp t="s">
        <v>#N/A N/A</v>
        <stp/>
        <stp>BDH|13609083350571162075</stp>
        <tr r="O67" s="2"/>
      </tp>
      <tp t="s">
        <v>#N/A N/A</v>
        <stp/>
        <stp>BDH|16833916083533513340</stp>
        <tr r="AD23" s="2"/>
      </tp>
      <tp t="s">
        <v>#N/A N/A</v>
        <stp/>
        <stp>BDH|16944652059331603385</stp>
        <tr r="V22" s="2"/>
      </tp>
      <tp t="s">
        <v>#N/A N/A</v>
        <stp/>
        <stp>BDH|13839773525823951297</stp>
        <tr r="D64" s="2"/>
      </tp>
      <tp t="s">
        <v>#N/A N/A</v>
        <stp/>
        <stp>BDH|11876767511994212478</stp>
        <tr r="I46" s="2"/>
      </tp>
      <tp t="s">
        <v>#N/A N/A</v>
        <stp/>
        <stp>BDH|17122761264560780194</stp>
        <tr r="E23" s="2"/>
      </tp>
      <tp t="s">
        <v>#N/A N/A</v>
        <stp/>
        <stp>BDH|13274794763250618532</stp>
        <tr r="AD17" s="2"/>
      </tp>
      <tp t="s">
        <v>#N/A N/A</v>
        <stp/>
        <stp>BDH|11115369715442881673</stp>
        <tr r="M10" s="2"/>
      </tp>
      <tp t="s">
        <v>#N/A N/A</v>
        <stp/>
        <stp>BDH|13895962135818129664</stp>
        <tr r="AE48" s="2"/>
      </tp>
      <tp t="s">
        <v>#N/A N/A</v>
        <stp/>
        <stp>BDH|17885024083530215842</stp>
        <tr r="M31" s="2"/>
      </tp>
      <tp t="s">
        <v>#N/A N/A</v>
        <stp/>
        <stp>BDH|17546378676482251694</stp>
        <tr r="AB26" s="2"/>
      </tp>
      <tp t="s">
        <v>#N/A N/A</v>
        <stp/>
        <stp>BDH|17925531750234187441</stp>
        <tr r="Y13" s="2"/>
      </tp>
      <tp t="s">
        <v>#N/A N/A</v>
        <stp/>
        <stp>BDH|11909676302379635958</stp>
        <tr r="M17" s="2"/>
      </tp>
      <tp t="s">
        <v>#N/A N/A</v>
        <stp/>
        <stp>BDH|14765952918229329266</stp>
        <tr r="G45" s="2"/>
      </tp>
      <tp t="s">
        <v>#N/A N/A</v>
        <stp/>
        <stp>BDH|15972346926174746734</stp>
        <tr r="K28" s="2"/>
      </tp>
      <tp t="s">
        <v>#N/A N/A</v>
        <stp/>
        <stp>BDH|14588421779476483647</stp>
        <tr r="S33" s="2"/>
      </tp>
      <tp t="s">
        <v>#N/A N/A</v>
        <stp/>
        <stp>BDH|15109320442982059405</stp>
        <tr r="H33" s="2"/>
      </tp>
      <tp t="s">
        <v>#N/A N/A</v>
        <stp/>
        <stp>BDH|18436652195366434519</stp>
        <tr r="E59" s="2"/>
      </tp>
      <tp t="s">
        <v>#N/A N/A</v>
        <stp/>
        <stp>BDH|10648113577786778466</stp>
        <tr r="W26" s="2"/>
      </tp>
      <tp t="s">
        <v>#N/A N/A</v>
        <stp/>
        <stp>BDH|13644376727340546625</stp>
        <tr r="I53" s="2"/>
      </tp>
      <tp t="s">
        <v>#N/A N/A</v>
        <stp/>
        <stp>BDH|16110675373030203364</stp>
        <tr r="AC37" s="2"/>
      </tp>
      <tp t="s">
        <v>#N/A N/A</v>
        <stp/>
        <stp>BDH|15020767342924380663</stp>
        <tr r="R35" s="2"/>
      </tp>
      <tp t="s">
        <v>#N/A N/A</v>
        <stp/>
        <stp>BDH|14221224047581062772</stp>
        <tr r="R44" s="2"/>
      </tp>
      <tp t="s">
        <v>#N/A N/A</v>
        <stp/>
        <stp>BDH|12559427661764044065</stp>
        <tr r="AF63" s="2"/>
      </tp>
      <tp t="s">
        <v>#N/A N/A</v>
        <stp/>
        <stp>BDH|16821777594819927517</stp>
        <tr r="D31" s="2"/>
      </tp>
      <tp t="s">
        <v>#N/A N/A</v>
        <stp/>
        <stp>BDH|11590070422743461476</stp>
        <tr r="C47" s="2"/>
      </tp>
      <tp t="s">
        <v>#N/A N/A</v>
        <stp/>
        <stp>BDH|17116435971340075007</stp>
        <tr r="V30" s="2"/>
      </tp>
      <tp t="s">
        <v>#N/A N/A</v>
        <stp/>
        <stp>BDH|16208534716473077558</stp>
        <tr r="E35" s="2"/>
      </tp>
      <tp t="s">
        <v>#N/A N/A</v>
        <stp/>
        <stp>BDH|13289643664133066400</stp>
        <tr r="E14" s="2"/>
      </tp>
      <tp t="s">
        <v>#N/A N/A</v>
        <stp/>
        <stp>BDH|17329175936703753275</stp>
        <tr r="X48" s="2"/>
      </tp>
      <tp t="s">
        <v>#N/A N/A</v>
        <stp/>
        <stp>BDH|18380174490502455657</stp>
        <tr r="AC8" s="2"/>
      </tp>
      <tp t="s">
        <v>#N/A N/A</v>
        <stp/>
        <stp>BDH|10060416672681784614</stp>
        <tr r="AF48" s="2"/>
      </tp>
      <tp t="s">
        <v>#N/A N/A</v>
        <stp/>
        <stp>BDH|13259275320034970391</stp>
        <tr r="X16" s="2"/>
      </tp>
      <tp t="s">
        <v>#N/A N/A</v>
        <stp/>
        <stp>BDH|17574072515453250102</stp>
        <tr r="X7" s="2"/>
      </tp>
      <tp t="s">
        <v>#N/A N/A</v>
        <stp/>
        <stp>BDH|14176185108310663122</stp>
        <tr r="J7" s="2"/>
      </tp>
      <tp t="s">
        <v>#N/A N/A</v>
        <stp/>
        <stp>BDH|12562759030562119053</stp>
        <tr r="H62" s="2"/>
      </tp>
      <tp t="s">
        <v>#N/A N/A</v>
        <stp/>
        <stp>BDH|17730209123151167210</stp>
        <tr r="L60" s="2"/>
      </tp>
      <tp t="s">
        <v>#N/A N/A</v>
        <stp/>
        <stp>BDH|12339590653475941345</stp>
        <tr r="C35" s="2"/>
      </tp>
      <tp t="s">
        <v>#N/A N/A</v>
        <stp/>
        <stp>BDH|15894502342592861252</stp>
        <tr r="W41" s="2"/>
      </tp>
      <tp t="s">
        <v>#N/A N/A</v>
        <stp/>
        <stp>BDH|12028608755295458064</stp>
        <tr r="S62" s="2"/>
      </tp>
      <tp t="s">
        <v>#N/A N/A</v>
        <stp/>
        <stp>BDH|16996817905958804221</stp>
        <tr r="I28" s="2"/>
      </tp>
      <tp t="s">
        <v>#N/A N/A</v>
        <stp/>
        <stp>BDH|17009702837885077209</stp>
        <tr r="AD27" s="2"/>
      </tp>
      <tp t="s">
        <v>#N/A N/A</v>
        <stp/>
        <stp>BDH|12694159650366589401</stp>
        <tr r="Q10" s="2"/>
      </tp>
      <tp t="s">
        <v>#N/A N/A</v>
        <stp/>
        <stp>BDH|16510912036438182050</stp>
        <tr r="Z14" s="2"/>
      </tp>
      <tp t="s">
        <v>#N/A N/A</v>
        <stp/>
        <stp>BDH|13421823856032487829</stp>
        <tr r="F55" s="2"/>
      </tp>
      <tp t="s">
        <v>#N/A N/A</v>
        <stp/>
        <stp>BDH|14137754884536067963</stp>
        <tr r="AD30" s="2"/>
      </tp>
      <tp t="s">
        <v>#N/A N/A</v>
        <stp/>
        <stp>BDH|16315622657005006406</stp>
        <tr r="W62" s="2"/>
      </tp>
      <tp t="s">
        <v>#N/A N/A</v>
        <stp/>
        <stp>BDH|12911989689776754161</stp>
        <tr r="AC51" s="2"/>
      </tp>
      <tp t="s">
        <v>#N/A N/A</v>
        <stp/>
        <stp>BDH|14749280213550383360</stp>
        <tr r="N24" s="2"/>
      </tp>
      <tp t="s">
        <v>#N/A N/A</v>
        <stp/>
        <stp>BDH|15320487689579824437</stp>
        <tr r="C24" s="2"/>
      </tp>
      <tp t="s">
        <v>#N/A N/A</v>
        <stp/>
        <stp>BDH|14129591694465466909</stp>
        <tr r="E64" s="2"/>
      </tp>
      <tp t="s">
        <v>#N/A N/A</v>
        <stp/>
        <stp>BDH|10786392071448603812</stp>
        <tr r="H47" s="2"/>
      </tp>
      <tp t="s">
        <v>#N/A N/A</v>
        <stp/>
        <stp>BDH|12942631305451178165</stp>
        <tr r="H28" s="2"/>
      </tp>
      <tp t="s">
        <v>#N/A N/A</v>
        <stp/>
        <stp>BDH|16435483153577102460</stp>
        <tr r="Z35" s="2"/>
      </tp>
      <tp t="s">
        <v>#N/A N/A</v>
        <stp/>
        <stp>BDH|10452995380726686316</stp>
        <tr r="D15" s="2"/>
      </tp>
      <tp t="s">
        <v>#N/A N/A</v>
        <stp/>
        <stp>BDH|13737084126905642052</stp>
        <tr r="R29" s="2"/>
      </tp>
      <tp t="s">
        <v>#N/A N/A</v>
        <stp/>
        <stp>BDH|14569660942896820444</stp>
        <tr r="Q31" s="2"/>
      </tp>
      <tp t="s">
        <v>#N/A N/A</v>
        <stp/>
        <stp>BDH|13246403040854631398</stp>
        <tr r="AC31" s="2"/>
      </tp>
      <tp t="s">
        <v>#N/A N/A</v>
        <stp/>
        <stp>BDH|15985271469894338189</stp>
        <tr r="E47" s="2"/>
      </tp>
      <tp t="s">
        <v>#N/A N/A</v>
        <stp/>
        <stp>BDH|11551246503393676486</stp>
        <tr r="AD34" s="2"/>
      </tp>
      <tp t="s">
        <v>#N/A N/A</v>
        <stp/>
        <stp>BDH|18060183660358454305</stp>
        <tr r="Q8" s="2"/>
      </tp>
      <tp t="s">
        <v>#N/A N/A</v>
        <stp/>
        <stp>BDH|13820573625214709429</stp>
        <tr r="G7" s="2"/>
      </tp>
      <tp t="s">
        <v>#N/A N/A</v>
        <stp/>
        <stp>BDH|11193296790078639614</stp>
        <tr r="H25" s="2"/>
      </tp>
      <tp t="s">
        <v>#N/A N/A</v>
        <stp/>
        <stp>BDH|17664565765587999739</stp>
        <tr r="J38" s="2"/>
      </tp>
      <tp t="s">
        <v>#N/A N/A</v>
        <stp/>
        <stp>BDH|12658084100894361238</stp>
        <tr r="S60" s="2"/>
      </tp>
      <tp t="s">
        <v>#N/A N/A</v>
        <stp/>
        <stp>BDH|14153737403114356237</stp>
        <tr r="Y26" s="2"/>
      </tp>
      <tp t="s">
        <v>#N/A N/A</v>
        <stp/>
        <stp>BDH|18153284884621522693</stp>
        <tr r="T7" s="2"/>
      </tp>
      <tp t="s">
        <v>#N/A N/A</v>
        <stp/>
        <stp>BDH|10554765115266221554</stp>
        <tr r="AC38" s="2"/>
      </tp>
      <tp t="s">
        <v>#N/A N/A</v>
        <stp/>
        <stp>BDH|10576979870013545873</stp>
        <tr r="O66" s="2"/>
      </tp>
      <tp t="s">
        <v>#N/A N/A</v>
        <stp/>
        <stp>BDH|14677422393784629818</stp>
        <tr r="AE31" s="2"/>
      </tp>
      <tp t="s">
        <v>#N/A N/A</v>
        <stp/>
        <stp>BDH|15531168102790332122</stp>
        <tr r="U37" s="2"/>
      </tp>
      <tp t="s">
        <v>#N/A N/A</v>
        <stp/>
        <stp>BDH|11657131307617005224</stp>
        <tr r="V15" s="2"/>
      </tp>
      <tp t="s">
        <v>#N/A N/A</v>
        <stp/>
        <stp>BDH|17817664950136698789</stp>
        <tr r="D18" s="2"/>
      </tp>
      <tp t="s">
        <v>#N/A N/A</v>
        <stp/>
        <stp>BDH|12970433661365041089</stp>
        <tr r="L61" s="2"/>
      </tp>
      <tp t="s">
        <v>#N/A N/A</v>
        <stp/>
        <stp>BDH|17034266385511832984</stp>
        <tr r="F29" s="2"/>
      </tp>
      <tp t="s">
        <v>#N/A N/A</v>
        <stp/>
        <stp>BDH|12141123542765548766</stp>
        <tr r="P14" s="2"/>
      </tp>
      <tp t="s">
        <v>#N/A N/A</v>
        <stp/>
        <stp>BDH|16794519866901119147</stp>
        <tr r="P35" s="2"/>
      </tp>
      <tp t="s">
        <v>#N/A N/A</v>
        <stp/>
        <stp>BDH|14308051843450237525</stp>
        <tr r="J14" s="2"/>
      </tp>
      <tp t="s">
        <v>#N/A N/A</v>
        <stp/>
        <stp>BDH|17748766009841477499</stp>
        <tr r="C33" s="2"/>
      </tp>
      <tp t="s">
        <v>#N/A N/A</v>
        <stp/>
        <stp>BDH|12863191700864557201</stp>
        <tr r="P36" s="2"/>
      </tp>
      <tp t="s">
        <v>#N/A N/A</v>
        <stp/>
        <stp>BDH|13680550916706263437</stp>
        <tr r="G63" s="2"/>
      </tp>
      <tp t="s">
        <v>#N/A N/A</v>
        <stp/>
        <stp>BDH|18216643207943339859</stp>
        <tr r="G48" s="2"/>
      </tp>
      <tp t="s">
        <v>#N/A N/A</v>
        <stp/>
        <stp>BDH|16142065511917520556</stp>
        <tr r="N49" s="2"/>
      </tp>
      <tp t="s">
        <v>#N/A N/A</v>
        <stp/>
        <stp>BDH|14128332875384010117</stp>
        <tr r="AB63" s="2"/>
      </tp>
      <tp t="s">
        <v>#N/A N/A</v>
        <stp/>
        <stp>BDH|14850781540146081497</stp>
        <tr r="K24" s="2"/>
      </tp>
      <tp t="s">
        <v>#N/A N/A</v>
        <stp/>
        <stp>BDH|15924009510693766278</stp>
        <tr r="E26" s="2"/>
      </tp>
      <tp t="s">
        <v>#N/A N/A</v>
        <stp/>
        <stp>BDH|14547483553382316241</stp>
        <tr r="AE10" s="2"/>
      </tp>
      <tp t="s">
        <v>#N/A N/A</v>
        <stp/>
        <stp>BDH|12907174060965163578</stp>
        <tr r="AF13" s="2"/>
      </tp>
      <tp t="s">
        <v>#N/A N/A</v>
        <stp/>
        <stp>BDH|17899621274060071355</stp>
        <tr r="J25" s="2"/>
      </tp>
      <tp t="s">
        <v>#N/A N/A</v>
        <stp/>
        <stp>BDH|17067994635431259959</stp>
        <tr r="F14" s="2"/>
      </tp>
      <tp t="s">
        <v>#N/A N/A</v>
        <stp/>
        <stp>BDH|17168121273015339183</stp>
        <tr r="X33" s="2"/>
      </tp>
      <tp t="s">
        <v>#N/A N/A</v>
        <stp/>
        <stp>BDH|17418726519673089752</stp>
        <tr r="Z53" s="2"/>
      </tp>
      <tp t="s">
        <v>#N/A N/A</v>
        <stp/>
        <stp>BDH|17930237932853472066</stp>
        <tr r="P53" s="2"/>
      </tp>
      <tp t="s">
        <v>#N/A N/A</v>
        <stp/>
        <stp>BDH|15148211779475473075</stp>
        <tr r="AB12" s="2"/>
      </tp>
      <tp t="s">
        <v>#N/A N/A</v>
        <stp/>
        <stp>BDH|11569065118335353023</stp>
        <tr r="F46" s="2"/>
      </tp>
      <tp t="s">
        <v>#N/A N/A</v>
        <stp/>
        <stp>BDH|15755161417903307387</stp>
        <tr r="O28" s="2"/>
      </tp>
      <tp t="s">
        <v>#N/A N/A</v>
        <stp/>
        <stp>BDH|10088450464065498280</stp>
        <tr r="X49" s="2"/>
      </tp>
      <tp t="s">
        <v>#N/A N/A</v>
        <stp/>
        <stp>BDH|11943834271433694813</stp>
        <tr r="O24" s="2"/>
      </tp>
      <tp t="s">
        <v>#N/A N/A</v>
        <stp/>
        <stp>BDH|13878489346410857610</stp>
        <tr r="AA60" s="2"/>
      </tp>
      <tp t="s">
        <v>#N/A N/A</v>
        <stp/>
        <stp>BDH|12387180621560285476</stp>
        <tr r="U32" s="2"/>
      </tp>
      <tp t="s">
        <v>#N/A N/A</v>
        <stp/>
        <stp>BDH|10660210671491969101</stp>
        <tr r="AF18" s="2"/>
      </tp>
      <tp t="s">
        <v>#N/A N/A</v>
        <stp/>
        <stp>BDH|14767036479613099536</stp>
        <tr r="AF64" s="2"/>
      </tp>
      <tp t="s">
        <v>#N/A N/A</v>
        <stp/>
        <stp>BDH|17297512153773980175</stp>
        <tr r="AA30" s="2"/>
      </tp>
      <tp t="s">
        <v>#N/A N/A</v>
        <stp/>
        <stp>BDH|12900327143329334957</stp>
        <tr r="J23" s="2"/>
      </tp>
      <tp t="s">
        <v>#N/A N/A</v>
        <stp/>
        <stp>BDH|10154829126166881933</stp>
        <tr r="U50" s="2"/>
      </tp>
      <tp t="s">
        <v>#N/A N/A</v>
        <stp/>
        <stp>BDH|11837721512581663305</stp>
        <tr r="Y47" s="2"/>
      </tp>
      <tp t="s">
        <v>#N/A N/A</v>
        <stp/>
        <stp>BDH|13000443124628652884</stp>
        <tr r="V26" s="2"/>
      </tp>
    </main>
    <main first="bofaddin.rtdserver">
      <tp t="s">
        <v>#N/A N/A</v>
        <stp/>
        <stp>BDH|3630663216250709</stp>
        <tr r="X9" s="2"/>
      </tp>
      <tp t="s">
        <v>#N/A N/A</v>
        <stp/>
        <stp>BDH|4668230542495344</stp>
        <tr r="W14" s="2"/>
      </tp>
      <tp t="s">
        <v>#N/A N/A</v>
        <stp/>
        <stp>BDH|8743222327530842407</stp>
        <tr r="AF65" s="2"/>
      </tp>
      <tp t="s">
        <v>#N/A N/A</v>
        <stp/>
        <stp>BDH|6623206791739582882</stp>
        <tr r="I12" s="2"/>
      </tp>
      <tp t="s">
        <v>#N/A N/A</v>
        <stp/>
        <stp>BDH|1969818700663566675</stp>
        <tr r="S28" s="2"/>
      </tp>
      <tp t="s">
        <v>#N/A N/A</v>
        <stp/>
        <stp>BDH|5062972371465584289</stp>
        <tr r="Q30" s="2"/>
      </tp>
      <tp t="s">
        <v>#N/A N/A</v>
        <stp/>
        <stp>BDH|3979883805237970067</stp>
        <tr r="Q65" s="2"/>
      </tp>
      <tp t="s">
        <v>#N/A N/A</v>
        <stp/>
        <stp>BDH|6881809585082214875</stp>
        <tr r="Y50" s="2"/>
      </tp>
      <tp t="s">
        <v>#N/A N/A</v>
        <stp/>
        <stp>BDH|9985288302955989226</stp>
        <tr r="S48" s="2"/>
      </tp>
      <tp t="s">
        <v>#N/A N/A</v>
        <stp/>
        <stp>BDH|9840027649348942922</stp>
        <tr r="AC14" s="2"/>
      </tp>
      <tp t="s">
        <v>#N/A N/A</v>
        <stp/>
        <stp>BDH|6014965048301655604</stp>
        <tr r="N14" s="2"/>
      </tp>
      <tp t="s">
        <v>#N/A N/A</v>
        <stp/>
        <stp>BDH|8551415994579927011</stp>
        <tr r="N55" s="2"/>
      </tp>
      <tp t="s">
        <v>#N/A N/A</v>
        <stp/>
        <stp>BDH|7099868552445224384</stp>
        <tr r="F23" s="2"/>
      </tp>
      <tp t="s">
        <v>#N/A N/A</v>
        <stp/>
        <stp>BDH|1344989834940931780</stp>
        <tr r="S12" s="2"/>
      </tp>
      <tp t="s">
        <v>#N/A N/A</v>
        <stp/>
        <stp>BDH|7503995512566173518</stp>
        <tr r="M23" s="2"/>
      </tp>
      <tp t="s">
        <v>#N/A N/A</v>
        <stp/>
        <stp>BDH|3191768084666875672</stp>
        <tr r="AB19" s="2"/>
      </tp>
      <tp t="s">
        <v>#N/A N/A</v>
        <stp/>
        <stp>BDH|8031392555912973091</stp>
        <tr r="Q24" s="2"/>
      </tp>
      <tp t="s">
        <v>#N/A N/A</v>
        <stp/>
        <stp>BDH|7987332371279416628</stp>
        <tr r="Z45" s="2"/>
      </tp>
      <tp t="s">
        <v>#N/A N/A</v>
        <stp/>
        <stp>BDH|2747834765346416681</stp>
        <tr r="S26" s="2"/>
      </tp>
      <tp t="s">
        <v>#N/A N/A</v>
        <stp/>
        <stp>BDH|8225400538142520123</stp>
        <tr r="M65" s="2"/>
      </tp>
      <tp t="s">
        <v>#N/A N/A</v>
        <stp/>
        <stp>BDH|9252871669438825390</stp>
        <tr r="P65" s="2"/>
      </tp>
      <tp t="s">
        <v>#N/A N/A</v>
        <stp/>
        <stp>BDH|5757088483930792168</stp>
        <tr r="Q25" s="2"/>
      </tp>
      <tp t="s">
        <v>#N/A N/A</v>
        <stp/>
        <stp>BDH|2415680704049786123</stp>
        <tr r="AD26" s="2"/>
      </tp>
      <tp t="s">
        <v>#N/A N/A</v>
        <stp/>
        <stp>BDH|5268164678909417650</stp>
        <tr r="P61" s="2"/>
      </tp>
      <tp t="s">
        <v>#N/A N/A</v>
        <stp/>
        <stp>BDH|8685522638510261235</stp>
        <tr r="AF50" s="2"/>
      </tp>
      <tp t="s">
        <v>#N/A N/A</v>
        <stp/>
        <stp>BDH|8526454522054419644</stp>
        <tr r="J59" s="2"/>
      </tp>
      <tp t="s">
        <v>#N/A N/A</v>
        <stp/>
        <stp>BDH|8165109423113611465</stp>
        <tr r="AD53" s="2"/>
      </tp>
      <tp t="s">
        <v>#N/A N/A</v>
        <stp/>
        <stp>BDH|8397215111415460253</stp>
        <tr r="N60" s="2"/>
      </tp>
      <tp t="s">
        <v>#N/A N/A</v>
        <stp/>
        <stp>BDH|7460168384751728336</stp>
        <tr r="U47" s="2"/>
      </tp>
      <tp t="s">
        <v>#N/A N/A</v>
        <stp/>
        <stp>BDH|9468362571103020218</stp>
        <tr r="AD63" s="2"/>
      </tp>
      <tp t="s">
        <v>#N/A N/A</v>
        <stp/>
        <stp>BDH|9194248910444127272</stp>
        <tr r="I36" s="2"/>
      </tp>
      <tp t="s">
        <v>#N/A N/A</v>
        <stp/>
        <stp>BDH|5620902832073527029</stp>
        <tr r="F32" s="2"/>
      </tp>
      <tp t="s">
        <v>#N/A N/A</v>
        <stp/>
        <stp>BDH|5083265285251554257</stp>
        <tr r="R8" s="2"/>
      </tp>
      <tp t="s">
        <v>#N/A N/A</v>
        <stp/>
        <stp>BDH|8033456503333498313</stp>
        <tr r="AF55" s="2"/>
      </tp>
      <tp t="s">
        <v>#N/A N/A</v>
        <stp/>
        <stp>BDH|8292561320986284556</stp>
        <tr r="AD32" s="2"/>
      </tp>
      <tp t="s">
        <v>#N/A N/A</v>
        <stp/>
        <stp>BDH|9172174957424516549</stp>
        <tr r="AE46" s="2"/>
      </tp>
      <tp t="s">
        <v>#N/A N/A</v>
        <stp/>
        <stp>BDH|3458875802376756170</stp>
        <tr r="H16" s="2"/>
      </tp>
      <tp t="s">
        <v>#N/A N/A</v>
        <stp/>
        <stp>BDH|7401848095678641224</stp>
        <tr r="M64" s="2"/>
      </tp>
      <tp t="s">
        <v>#N/A N/A</v>
        <stp/>
        <stp>BDH|4124881789319653105</stp>
        <tr r="H66" s="2"/>
      </tp>
      <tp t="s">
        <v>#N/A N/A</v>
        <stp/>
        <stp>BDH|7844798734417165837</stp>
        <tr r="R16" s="2"/>
      </tp>
      <tp t="s">
        <v>#N/A N/A</v>
        <stp/>
        <stp>BDH|6866760942668894136</stp>
        <tr r="AB45" s="2"/>
      </tp>
      <tp t="s">
        <v>#N/A N/A</v>
        <stp/>
        <stp>BDH|1451877736325821394</stp>
        <tr r="N26" s="2"/>
      </tp>
      <tp t="s">
        <v>#N/A N/A</v>
        <stp/>
        <stp>BDH|3561915399539114680</stp>
        <tr r="L67" s="2"/>
      </tp>
      <tp t="s">
        <v>#N/A N/A</v>
        <stp/>
        <stp>BDH|9639339416943164477</stp>
        <tr r="C14" s="2"/>
      </tp>
      <tp t="s">
        <v>#N/A N/A</v>
        <stp/>
        <stp>BDH|1566742015152792895</stp>
        <tr r="AF35" s="2"/>
      </tp>
      <tp t="s">
        <v>#N/A N/A</v>
        <stp/>
        <stp>BDH|2812771605929154115</stp>
        <tr r="V23" s="2"/>
      </tp>
      <tp t="s">
        <v>#N/A N/A</v>
        <stp/>
        <stp>BDH|6506955812936112592</stp>
        <tr r="H15" s="2"/>
      </tp>
      <tp t="s">
        <v>#N/A N/A</v>
        <stp/>
        <stp>BDH|7973771860603345868</stp>
        <tr r="R13" s="2"/>
      </tp>
      <tp t="s">
        <v>#N/A N/A</v>
        <stp/>
        <stp>BDH|7923455317927657841</stp>
        <tr r="M26" s="2"/>
      </tp>
      <tp t="s">
        <v>#N/A N/A</v>
        <stp/>
        <stp>BDH|2696424981594971729</stp>
        <tr r="AC17" s="2"/>
      </tp>
      <tp t="s">
        <v>#N/A N/A</v>
        <stp/>
        <stp>BDH|3632816119154159317</stp>
        <tr r="T48" s="2"/>
      </tp>
      <tp t="s">
        <v>#N/A N/A</v>
        <stp/>
        <stp>BDH|6509693135427486932</stp>
        <tr r="AD41" s="2"/>
      </tp>
      <tp t="s">
        <v>#N/A N/A</v>
        <stp/>
        <stp>BDH|9960224856276453564</stp>
        <tr r="T8" s="2"/>
      </tp>
      <tp t="s">
        <v>#N/A N/A</v>
        <stp/>
        <stp>BDH|4313237163639541499</stp>
        <tr r="AF53" s="2"/>
      </tp>
      <tp t="s">
        <v>#N/A N/A</v>
        <stp/>
        <stp>BDH|6830921560646718214</stp>
        <tr r="L8" s="2"/>
      </tp>
      <tp t="s">
        <v>#N/A N/A</v>
        <stp/>
        <stp>BDH|2550893773124157421</stp>
        <tr r="H37" s="2"/>
      </tp>
      <tp t="s">
        <v>#N/A N/A</v>
        <stp/>
        <stp>BDH|8091347106614666288</stp>
        <tr r="P25" s="2"/>
      </tp>
      <tp t="s">
        <v>#N/A N/A</v>
        <stp/>
        <stp>BDH|1924703680294370768</stp>
        <tr r="H29" s="2"/>
      </tp>
      <tp t="s">
        <v>#N/A N/A</v>
        <stp/>
        <stp>BDH|8431109822314914229</stp>
        <tr r="F41" s="2"/>
      </tp>
      <tp t="s">
        <v>#N/A N/A</v>
        <stp/>
        <stp>BDH|4429389865828626425</stp>
        <tr r="W12" s="2"/>
      </tp>
      <tp t="s">
        <v>#N/A N/A</v>
        <stp/>
        <stp>BDH|9812823600025748900</stp>
        <tr r="E34" s="2"/>
      </tp>
      <tp t="s">
        <v>#N/A N/A</v>
        <stp/>
        <stp>BDH|8948374506136199045</stp>
        <tr r="Y7" s="2"/>
      </tp>
      <tp t="s">
        <v>#N/A N/A</v>
        <stp/>
        <stp>BDH|3342912038323058782</stp>
        <tr r="P38" s="2"/>
      </tp>
      <tp t="s">
        <v>#N/A N/A</v>
        <stp/>
        <stp>BDH|5693148567438156764</stp>
        <tr r="Q48" s="2"/>
      </tp>
      <tp t="s">
        <v>#N/A N/A</v>
        <stp/>
        <stp>BDH|8743832601298455525</stp>
        <tr r="E46" s="2"/>
      </tp>
      <tp t="s">
        <v>#N/A N/A</v>
        <stp/>
        <stp>BDH|4495665439635977910</stp>
        <tr r="V67" s="2"/>
      </tp>
      <tp t="s">
        <v>#N/A N/A</v>
        <stp/>
        <stp>BDH|4072937313418975993</stp>
        <tr r="AD14" s="2"/>
      </tp>
      <tp t="s">
        <v>#N/A N/A</v>
        <stp/>
        <stp>BDH|3424615036869702242</stp>
        <tr r="C11" s="2"/>
      </tp>
      <tp t="s">
        <v>#N/A N/A</v>
        <stp/>
        <stp>BDH|3442769990071394119</stp>
        <tr r="U18" s="2"/>
      </tp>
      <tp t="s">
        <v>#N/A N/A</v>
        <stp/>
        <stp>BDH|4347264570815227969</stp>
        <tr r="G50" s="2"/>
      </tp>
      <tp t="s">
        <v>#N/A N/A</v>
        <stp/>
        <stp>BDH|7016062950238529720</stp>
        <tr r="C23" s="2"/>
      </tp>
      <tp t="s">
        <v>#N/A N/A</v>
        <stp/>
        <stp>BDH|2384292872239834318</stp>
        <tr r="V48" s="2"/>
      </tp>
      <tp t="s">
        <v>#N/A N/A</v>
        <stp/>
        <stp>BDH|9668535067442306503</stp>
        <tr r="D44" s="2"/>
      </tp>
      <tp t="s">
        <v>#N/A N/A</v>
        <stp/>
        <stp>BDH|5900073299902393355</stp>
        <tr r="O33" s="2"/>
      </tp>
      <tp t="s">
        <v>#N/A N/A</v>
        <stp/>
        <stp>BDH|5961162066108182794</stp>
        <tr r="Q32" s="2"/>
      </tp>
      <tp t="s">
        <v>#N/A N/A</v>
        <stp/>
        <stp>BDH|7578489191084920344</stp>
        <tr r="E41" s="2"/>
      </tp>
      <tp t="s">
        <v>#N/A N/A</v>
        <stp/>
        <stp>BDH|3662574682082360164</stp>
        <tr r="N17" s="2"/>
      </tp>
      <tp t="s">
        <v>#N/A N/A</v>
        <stp/>
        <stp>BDH|5521002382650371027</stp>
        <tr r="AA38" s="2"/>
      </tp>
      <tp t="s">
        <v>#N/A N/A</v>
        <stp/>
        <stp>BDH|6349029977934012814</stp>
        <tr r="H18" s="2"/>
      </tp>
      <tp t="s">
        <v>#N/A N/A</v>
        <stp/>
        <stp>BDH|1990093314758118529</stp>
        <tr r="Y64" s="2"/>
      </tp>
      <tp t="s">
        <v>#N/A N/A</v>
        <stp/>
        <stp>BDH|4112990055884012198</stp>
        <tr r="Y15" s="2"/>
      </tp>
      <tp t="s">
        <v>#N/A N/A</v>
        <stp/>
        <stp>BDH|4771843654620323403</stp>
        <tr r="AA37" s="2"/>
      </tp>
      <tp t="s">
        <v>#N/A N/A</v>
        <stp/>
        <stp>BDH|5148260202108716267</stp>
        <tr r="H43" s="2"/>
      </tp>
      <tp t="s">
        <v>#N/A N/A</v>
        <stp/>
        <stp>BDH|8123703375752152715</stp>
        <tr r="AF59" s="2"/>
      </tp>
      <tp t="s">
        <v>#N/A N/A</v>
        <stp/>
        <stp>BDH|1345902200463331649</stp>
        <tr r="AA27" s="2"/>
      </tp>
      <tp t="s">
        <v>#N/A N/A</v>
        <stp/>
        <stp>BDH|8277332475647819689</stp>
        <tr r="I23" s="2"/>
      </tp>
      <tp t="s">
        <v>#N/A N/A</v>
        <stp/>
        <stp>BDH|2639738893334535574</stp>
        <tr r="C48" s="2"/>
      </tp>
      <tp t="s">
        <v>#N/A N/A</v>
        <stp/>
        <stp>BDH|4197782259992506900</stp>
        <tr r="R30" s="2"/>
      </tp>
      <tp t="s">
        <v>#N/A N/A</v>
        <stp/>
        <stp>BDH|7808690070778453309</stp>
        <tr r="AA18" s="2"/>
      </tp>
      <tp t="s">
        <v>#N/A N/A</v>
        <stp/>
        <stp>BDH|1034504487873310214</stp>
        <tr r="Z32" s="2"/>
      </tp>
      <tp t="s">
        <v>#N/A N/A</v>
        <stp/>
        <stp>BDH|9183357874166057656</stp>
        <tr r="Z29" s="2"/>
      </tp>
      <tp t="s">
        <v>#N/A N/A</v>
        <stp/>
        <stp>BDH|4839003472388844679</stp>
        <tr r="S36" s="2"/>
      </tp>
      <tp t="s">
        <v>#N/A N/A</v>
        <stp/>
        <stp>BDH|8692019644900054293</stp>
        <tr r="O11" s="2"/>
      </tp>
      <tp t="s">
        <v>#N/A N/A</v>
        <stp/>
        <stp>BDH|5173410667589995058</stp>
        <tr r="V36" s="2"/>
      </tp>
      <tp t="s">
        <v>#N/A N/A</v>
        <stp/>
        <stp>BDH|4830327580283158207</stp>
        <tr r="E15" s="2"/>
      </tp>
      <tp t="s">
        <v>#N/A N/A</v>
        <stp/>
        <stp>BDH|9058160268109617904</stp>
        <tr r="P46" s="2"/>
      </tp>
      <tp t="s">
        <v>#N/A N/A</v>
        <stp/>
        <stp>BDH|1419108485521994715</stp>
        <tr r="AE61" s="2"/>
      </tp>
      <tp t="s">
        <v>#N/A N/A</v>
        <stp/>
        <stp>BDH|4816707201478122512</stp>
        <tr r="V7" s="2"/>
      </tp>
      <tp t="s">
        <v>#N/A N/A</v>
        <stp/>
        <stp>BDH|9853380144525435597</stp>
        <tr r="AE15" s="2"/>
      </tp>
      <tp t="s">
        <v>#N/A N/A</v>
        <stp/>
        <stp>BDH|9187418274436866255</stp>
        <tr r="F7" s="2"/>
      </tp>
      <tp t="s">
        <v>#N/A N/A</v>
        <stp/>
        <stp>BDH|7885837972684918295</stp>
        <tr r="U34" s="2"/>
      </tp>
      <tp t="s">
        <v>#N/A N/A</v>
        <stp/>
        <stp>BDH|1904590488606609405</stp>
        <tr r="J51" s="2"/>
      </tp>
      <tp t="s">
        <v>#N/A N/A</v>
        <stp/>
        <stp>BDH|2353246389861745775</stp>
        <tr r="Q66" s="2"/>
      </tp>
      <tp t="s">
        <v>#N/A N/A</v>
        <stp/>
        <stp>BDH|1900635703621070860</stp>
        <tr r="V45" s="2"/>
      </tp>
      <tp t="s">
        <v>#N/A N/A</v>
        <stp/>
        <stp>BDH|3310274858073177926</stp>
        <tr r="U16" s="2"/>
      </tp>
      <tp t="s">
        <v>#N/A N/A</v>
        <stp/>
        <stp>BDH|8153210492799917447</stp>
        <tr r="G9" s="2"/>
      </tp>
      <tp t="s">
        <v>#N/A N/A</v>
        <stp/>
        <stp>BDH|8850025426495061104</stp>
        <tr r="Q50" s="2"/>
      </tp>
      <tp t="s">
        <v>#N/A N/A</v>
        <stp/>
        <stp>BDH|5695534683676322090</stp>
        <tr r="AD11" s="2"/>
      </tp>
      <tp t="s">
        <v>#N/A N/A</v>
        <stp/>
        <stp>BDH|5427990681058680265</stp>
        <tr r="K50" s="2"/>
      </tp>
      <tp t="s">
        <v>#N/A N/A</v>
        <stp/>
        <stp>BDH|2679357002088582799</stp>
        <tr r="N12" s="2"/>
      </tp>
      <tp t="s">
        <v>#N/A N/A</v>
        <stp/>
        <stp>BDH|9975676447222267761</stp>
        <tr r="S7" s="2"/>
      </tp>
      <tp t="s">
        <v>#N/A N/A</v>
        <stp/>
        <stp>BDH|2865382821075405880</stp>
        <tr r="Y35" s="2"/>
      </tp>
      <tp t="s">
        <v>#N/A N/A</v>
        <stp/>
        <stp>BDH|6172749788714834380</stp>
        <tr r="Z49" s="2"/>
      </tp>
      <tp t="s">
        <v>#N/A N/A</v>
        <stp/>
        <stp>BDH|2062983875866902469</stp>
        <tr r="L22" s="2"/>
      </tp>
      <tp t="s">
        <v>#N/A N/A</v>
        <stp/>
        <stp>BDH|6045826564416683028</stp>
        <tr r="Y49" s="2"/>
      </tp>
      <tp t="s">
        <v>#N/A N/A</v>
        <stp/>
        <stp>BDH|7160522227147258950</stp>
        <tr r="E31" s="2"/>
      </tp>
      <tp t="s">
        <v>#N/A N/A</v>
        <stp/>
        <stp>BDH|8854933985945929246</stp>
        <tr r="X46" s="2"/>
      </tp>
      <tp t="s">
        <v>#N/A N/A</v>
        <stp/>
        <stp>BDH|2108587058765180905</stp>
        <tr r="AC29" s="2"/>
      </tp>
      <tp t="s">
        <v>#N/A N/A</v>
        <stp/>
        <stp>BDH|6777850132561125206</stp>
        <tr r="N10" s="2"/>
      </tp>
      <tp t="s">
        <v>#N/A N/A</v>
        <stp/>
        <stp>BDH|9911374239645016268</stp>
        <tr r="X65" s="2"/>
      </tp>
      <tp t="s">
        <v>#N/A N/A</v>
        <stp/>
        <stp>BDH|8320282529457426104</stp>
        <tr r="Q61" s="2"/>
      </tp>
      <tp t="s">
        <v>#N/A N/A</v>
        <stp/>
        <stp>BDH|9288480231595505585</stp>
        <tr r="T23" s="2"/>
      </tp>
      <tp t="s">
        <v>#N/A N/A</v>
        <stp/>
        <stp>BDH|1801839108576665135</stp>
        <tr r="R50" s="2"/>
      </tp>
      <tp t="s">
        <v>#N/A N/A</v>
        <stp/>
        <stp>BDH|5247141245216431806</stp>
        <tr r="V46" s="2"/>
      </tp>
      <tp t="s">
        <v>#N/A N/A</v>
        <stp/>
        <stp>BDH|5776411696230456608</stp>
        <tr r="W43" s="2"/>
      </tp>
      <tp t="s">
        <v>#N/A N/A</v>
        <stp/>
        <stp>BDH|1362918984147501975</stp>
        <tr r="AE47" s="2"/>
      </tp>
      <tp t="s">
        <v>#N/A N/A</v>
        <stp/>
        <stp>BDH|7702444328059977673</stp>
        <tr r="I47" s="2"/>
      </tp>
      <tp t="s">
        <v>#N/A N/A</v>
        <stp/>
        <stp>BDH|7228914543383345763</stp>
        <tr r="P11" s="2"/>
      </tp>
      <tp t="s">
        <v>#N/A N/A</v>
        <stp/>
        <stp>BDH|7526731215999062668</stp>
        <tr r="N59" s="2"/>
      </tp>
      <tp t="s">
        <v>#N/A N/A</v>
        <stp/>
        <stp>BDH|7387365043766623855</stp>
        <tr r="C53" s="2"/>
      </tp>
      <tp t="s">
        <v>#N/A N/A</v>
        <stp/>
        <stp>BDH|6486082688027778762</stp>
        <tr r="S10" s="2"/>
      </tp>
      <tp t="s">
        <v>#N/A N/A</v>
        <stp/>
        <stp>BDH|5025456967191864901</stp>
        <tr r="E9" s="2"/>
      </tp>
      <tp t="s">
        <v>#N/A N/A</v>
        <stp/>
        <stp>BDH|7275728996980979656</stp>
        <tr r="M25" s="2"/>
      </tp>
      <tp t="s">
        <v>#N/A N/A</v>
        <stp/>
        <stp>BDH|1453843707537507189</stp>
        <tr r="G29" s="2"/>
      </tp>
      <tp t="s">
        <v>#N/A N/A</v>
        <stp/>
        <stp>BDH|8431881606937644865</stp>
        <tr r="P26" s="2"/>
      </tp>
      <tp t="s">
        <v>#N/A N/A</v>
        <stp/>
        <stp>BDH|9407321177307362595</stp>
        <tr r="V16" s="2"/>
      </tp>
      <tp t="s">
        <v>#N/A N/A</v>
        <stp/>
        <stp>BDH|5967882047333596580</stp>
        <tr r="D16" s="2"/>
      </tp>
      <tp t="s">
        <v>#N/A N/A</v>
        <stp/>
        <stp>BDH|4782409246209914218</stp>
        <tr r="Y67" s="2"/>
      </tp>
      <tp t="s">
        <v>#N/A N/A</v>
        <stp/>
        <stp>BDH|6644738323365767987</stp>
        <tr r="Z43" s="2"/>
      </tp>
      <tp t="s">
        <v>#N/A N/A</v>
        <stp/>
        <stp>BDH|9308494800626607423</stp>
        <tr r="C45" s="2"/>
      </tp>
      <tp t="s">
        <v>#N/A N/A</v>
        <stp/>
        <stp>BDH|5401840871687849273</stp>
        <tr r="I50" s="2"/>
      </tp>
      <tp t="s">
        <v>#N/A N/A</v>
        <stp/>
        <stp>BDH|9373496801774656637</stp>
        <tr r="AF61" s="2"/>
      </tp>
      <tp t="s">
        <v>#N/A N/A</v>
        <stp/>
        <stp>BDH|6168992136074256726</stp>
        <tr r="G44" s="2"/>
      </tp>
      <tp t="s">
        <v>#N/A N/A</v>
        <stp/>
        <stp>BDH|9192947724169778484</stp>
        <tr r="U26" s="2"/>
      </tp>
      <tp t="s">
        <v>#N/A N/A</v>
        <stp/>
        <stp>BDH|9618131812054190298</stp>
        <tr r="S27" s="2"/>
      </tp>
      <tp t="s">
        <v>#N/A N/A</v>
        <stp/>
        <stp>BDH|2478266167709245081</stp>
        <tr r="AD29" s="2"/>
      </tp>
      <tp t="s">
        <v>#N/A N/A</v>
        <stp/>
        <stp>BDH|9984727422863618005</stp>
        <tr r="H34" s="2"/>
      </tp>
      <tp t="s">
        <v>#N/A N/A</v>
        <stp/>
        <stp>BDH|9007370253079866933</stp>
        <tr r="Z38" s="2"/>
      </tp>
      <tp t="s">
        <v>#N/A N/A</v>
        <stp/>
        <stp>BDH|5069000195387397498</stp>
        <tr r="D25" s="2"/>
      </tp>
      <tp t="s">
        <v>#N/A N/A</v>
        <stp/>
        <stp>BDH|7772386077288110465</stp>
        <tr r="L49" s="2"/>
      </tp>
      <tp t="s">
        <v>#N/A N/A</v>
        <stp/>
        <stp>BDH|8420406300697837408</stp>
        <tr r="J61" s="2"/>
      </tp>
      <tp t="s">
        <v>#N/A N/A</v>
        <stp/>
        <stp>BDH|4685927888529177314</stp>
        <tr r="AB15" s="2"/>
      </tp>
      <tp t="s">
        <v>#N/A N/A</v>
        <stp/>
        <stp>BDH|3243397993687494103</stp>
        <tr r="D27" s="2"/>
      </tp>
      <tp t="s">
        <v>#N/A N/A</v>
        <stp/>
        <stp>BDH|8963447714697357580</stp>
        <tr r="AB24" s="2"/>
      </tp>
      <tp t="s">
        <v>#N/A N/A</v>
        <stp/>
        <stp>BDH|4670683306179949436</stp>
        <tr r="M37" s="2"/>
      </tp>
      <tp t="s">
        <v>#N/A N/A</v>
        <stp/>
        <stp>BDH|8251108345581519307</stp>
        <tr r="I11" s="2"/>
      </tp>
      <tp t="s">
        <v>#N/A N/A</v>
        <stp/>
        <stp>BDH|9379622923974368634</stp>
        <tr r="J60" s="2"/>
      </tp>
      <tp t="s">
        <v>#N/A N/A</v>
        <stp/>
        <stp>BDH|2828802309385135033</stp>
        <tr r="Z67" s="2"/>
      </tp>
      <tp t="s">
        <v>#N/A N/A</v>
        <stp/>
        <stp>BDH|6284053454328892482</stp>
        <tr r="K19" s="2"/>
      </tp>
      <tp t="s">
        <v>#N/A N/A</v>
        <stp/>
        <stp>BDH|7293739072771494942</stp>
        <tr r="AF51" s="2"/>
      </tp>
      <tp t="s">
        <v>#N/A N/A</v>
        <stp/>
        <stp>BDH|8232143400483324557</stp>
        <tr r="N9" s="2"/>
      </tp>
      <tp t="s">
        <v>#N/A N/A</v>
        <stp/>
        <stp>BDH|5490279472687936885</stp>
        <tr r="Z27" s="2"/>
      </tp>
      <tp t="s">
        <v>#N/A N/A</v>
        <stp/>
        <stp>BDH|6748299231989712186</stp>
        <tr r="O7" s="2"/>
      </tp>
      <tp t="s">
        <v>#N/A N/A</v>
        <stp/>
        <stp>BDH|7148934347956337366</stp>
        <tr r="AC16" s="2"/>
      </tp>
      <tp t="s">
        <v>#N/A N/A</v>
        <stp/>
        <stp>BDH|8442719506505263507</stp>
        <tr r="C32" s="2"/>
      </tp>
      <tp t="s">
        <v>#N/A N/A</v>
        <stp/>
        <stp>BDH|5804958189088712324</stp>
        <tr r="R27" s="2"/>
      </tp>
      <tp t="s">
        <v>#N/A N/A</v>
        <stp/>
        <stp>BDH|6268123511899353049</stp>
        <tr r="Z25" s="2"/>
      </tp>
      <tp t="s">
        <v>#N/A N/A</v>
        <stp/>
        <stp>BDH|9903205520703645597</stp>
        <tr r="H49" s="2"/>
      </tp>
      <tp t="s">
        <v>#N/A N/A</v>
        <stp/>
        <stp>BDH|5088658705359565535</stp>
        <tr r="L12" s="2"/>
      </tp>
      <tp t="s">
        <v>#N/A N/A</v>
        <stp/>
        <stp>BDH|5024994306056922509</stp>
        <tr r="W45" s="2"/>
      </tp>
      <tp t="s">
        <v>#N/A N/A</v>
        <stp/>
        <stp>BDH|8140605024243743054</stp>
        <tr r="AB48" s="2"/>
      </tp>
      <tp t="s">
        <v>#N/A N/A</v>
        <stp/>
        <stp>BDH|9109740535433412133</stp>
        <tr r="U63" s="2"/>
      </tp>
      <tp t="s">
        <v>#N/A N/A</v>
        <stp/>
        <stp>BDH|4407711183605111108</stp>
        <tr r="G49" s="2"/>
      </tp>
      <tp t="s">
        <v>#N/A N/A</v>
        <stp/>
        <stp>BDH|9722866358963555888</stp>
        <tr r="I32" s="2"/>
      </tp>
      <tp t="s">
        <v>#N/A N/A</v>
        <stp/>
        <stp>BDH|7243000565158347606</stp>
        <tr r="U38" s="2"/>
      </tp>
      <tp t="s">
        <v>#N/A N/A</v>
        <stp/>
        <stp>BDH|6715124597693707219</stp>
        <tr r="O9" s="2"/>
      </tp>
      <tp t="s">
        <v>#N/A N/A</v>
        <stp/>
        <stp>BDH|7368523997631765548</stp>
        <tr r="T42" s="2"/>
      </tp>
      <tp t="s">
        <v>#N/A N/A</v>
        <stp/>
        <stp>BDH|8979409006034841725</stp>
        <tr r="D60" s="2"/>
      </tp>
      <tp t="s">
        <v>#N/A N/A</v>
        <stp/>
        <stp>BDH|9034369536426837728</stp>
        <tr r="R22" s="2"/>
      </tp>
      <tp t="s">
        <v>#N/A N/A</v>
        <stp/>
        <stp>BDH|2725237786004104491</stp>
        <tr r="AC62" s="2"/>
      </tp>
      <tp t="s">
        <v>#N/A N/A</v>
        <stp/>
        <stp>BDH|4241232158278471377</stp>
        <tr r="X28" s="2"/>
      </tp>
      <tp t="s">
        <v>#N/A N/A</v>
        <stp/>
        <stp>BDH|5683588087966346601</stp>
        <tr r="G16" s="2"/>
      </tp>
      <tp t="s">
        <v>#N/A N/A</v>
        <stp/>
        <stp>BDH|9883733963766380634</stp>
        <tr r="AA48" s="2"/>
      </tp>
      <tp t="s">
        <v>#N/A N/A</v>
        <stp/>
        <stp>BDH|5617010907248939503</stp>
        <tr r="U23" s="2"/>
      </tp>
      <tp t="s">
        <v>#N/A N/A</v>
        <stp/>
        <stp>BDH|1763043363027870814</stp>
        <tr r="T64" s="2"/>
      </tp>
      <tp t="s">
        <v>#N/A N/A</v>
        <stp/>
        <stp>BDH|9869430021034246314</stp>
        <tr r="AE17" s="2"/>
      </tp>
      <tp t="s">
        <v>#N/A N/A</v>
        <stp/>
        <stp>BDH|4083906924572404592</stp>
        <tr r="W44" s="2"/>
      </tp>
      <tp t="s">
        <v>#N/A N/A</v>
        <stp/>
        <stp>BDH|3675048958848195626</stp>
        <tr r="E7" s="2"/>
      </tp>
      <tp t="s">
        <v>#N/A N/A</v>
        <stp/>
        <stp>BDH|2298888040281039742</stp>
        <tr r="H44" s="2"/>
      </tp>
      <tp t="s">
        <v>#N/A N/A</v>
        <stp/>
        <stp>BDH|7850867523767461262</stp>
        <tr r="V55" s="2"/>
      </tp>
      <tp t="s">
        <v>#N/A N/A</v>
        <stp/>
        <stp>BDH|5463397902959183713</stp>
        <tr r="S16" s="2"/>
      </tp>
      <tp t="s">
        <v>#N/A N/A</v>
        <stp/>
        <stp>BDH|1737227268705455857</stp>
        <tr r="D9" s="2"/>
      </tp>
      <tp t="s">
        <v>#N/A N/A</v>
        <stp/>
        <stp>BDH|5738919725327954160</stp>
        <tr r="S8" s="2"/>
      </tp>
      <tp t="s">
        <v>#N/A N/A</v>
        <stp/>
        <stp>BDH|9327868486954431553</stp>
        <tr r="AD33" s="2"/>
      </tp>
      <tp t="s">
        <v>#N/A N/A</v>
        <stp/>
        <stp>BDH|8303258434498663968</stp>
        <tr r="N44" s="2"/>
      </tp>
      <tp t="s">
        <v>#N/A N/A</v>
        <stp/>
        <stp>BDH|9840375653034843360</stp>
        <tr r="F60" s="2"/>
      </tp>
      <tp t="s">
        <v>#N/A N/A</v>
        <stp/>
        <stp>BDH|4166537590814213421</stp>
        <tr r="I61" s="2"/>
      </tp>
      <tp t="s">
        <v>#N/A N/A</v>
        <stp/>
        <stp>BDH|8481041897248245176</stp>
        <tr r="I41" s="2"/>
      </tp>
      <tp t="s">
        <v>#N/A N/A</v>
        <stp/>
        <stp>BDH|1474899324796219596</stp>
        <tr r="Z30" s="2"/>
      </tp>
      <tp t="s">
        <v>#N/A N/A</v>
        <stp/>
        <stp>BDH|4326100796176714213</stp>
        <tr r="H23" s="2"/>
      </tp>
      <tp t="s">
        <v>#N/A N/A</v>
        <stp/>
        <stp>BDH|8046044040085357143</stp>
        <tr r="Q28" s="2"/>
      </tp>
      <tp t="s">
        <v>#N/A N/A</v>
        <stp/>
        <stp>BDH|6202937774530400010</stp>
        <tr r="Q13" s="2"/>
      </tp>
      <tp t="s">
        <v>#N/A N/A</v>
        <stp/>
        <stp>BDH|7114718350489838498</stp>
        <tr r="J19" s="2"/>
      </tp>
      <tp t="s">
        <v>#N/A N/A</v>
        <stp/>
        <stp>BDH|4343151912875430913</stp>
        <tr r="AE7" s="2"/>
      </tp>
      <tp t="s">
        <v>#N/A N/A</v>
        <stp/>
        <stp>BDH|7897298493640203419</stp>
        <tr r="C36" s="2"/>
      </tp>
      <tp t="s">
        <v>#N/A N/A</v>
        <stp/>
        <stp>BDH|2014065297212045171</stp>
        <tr r="F35" s="2"/>
      </tp>
      <tp t="s">
        <v>#N/A N/A</v>
        <stp/>
        <stp>BDH|9829121408277586713</stp>
        <tr r="P9" s="2"/>
      </tp>
      <tp t="s">
        <v>#N/A N/A</v>
        <stp/>
        <stp>BDH|2105860520635952591</stp>
        <tr r="T59" s="2"/>
      </tp>
      <tp t="s">
        <v>#N/A N/A</v>
        <stp/>
        <stp>BDH|4578509088287899627</stp>
        <tr r="D12" s="2"/>
      </tp>
      <tp t="s">
        <v>#N/A N/A</v>
        <stp/>
        <stp>BDH|5135703130890571939</stp>
        <tr r="AE59" s="2"/>
      </tp>
      <tp t="s">
        <v>#N/A N/A</v>
        <stp/>
        <stp>BDH|4140971517432657609</stp>
        <tr r="J16" s="2"/>
      </tp>
      <tp t="s">
        <v>#N/A N/A</v>
        <stp/>
        <stp>BDH|8660393125799476898</stp>
        <tr r="S23" s="2"/>
      </tp>
      <tp t="s">
        <v>#N/A N/A</v>
        <stp/>
        <stp>BDH|2512996526087826658</stp>
        <tr r="N11" s="2"/>
      </tp>
      <tp t="s">
        <v>#N/A N/A</v>
        <stp/>
        <stp>BDH|8718997173527985935</stp>
        <tr r="G53" s="2"/>
      </tp>
      <tp t="s">
        <v>#N/A N/A</v>
        <stp/>
        <stp>BDH|9163668960304289516</stp>
        <tr r="O62" s="2"/>
      </tp>
      <tp t="s">
        <v>#N/A N/A</v>
        <stp/>
        <stp>BDH|2767473961919798121</stp>
        <tr r="AC50" s="2"/>
      </tp>
      <tp t="s">
        <v>#N/A N/A</v>
        <stp/>
        <stp>BDH|1744432251168744064</stp>
        <tr r="F18" s="2"/>
      </tp>
      <tp t="s">
        <v>#N/A N/A</v>
        <stp/>
        <stp>BDH|9579844021753093844</stp>
        <tr r="Z33" s="2"/>
      </tp>
      <tp t="s">
        <v>#N/A N/A</v>
        <stp/>
        <stp>BDH|5805183931739019644</stp>
        <tr r="R28" s="2"/>
      </tp>
      <tp t="s">
        <v>#N/A N/A</v>
        <stp/>
        <stp>BDH|9913745029767365321</stp>
        <tr r="I8" s="2"/>
      </tp>
      <tp t="s">
        <v>#N/A N/A</v>
        <stp/>
        <stp>BDH|1560045140344162951</stp>
        <tr r="Y27" s="2"/>
      </tp>
      <tp t="s">
        <v>#N/A N/A</v>
        <stp/>
        <stp>BDH|7578384169342918887</stp>
        <tr r="AC46" s="2"/>
      </tp>
      <tp t="s">
        <v>#N/A N/A</v>
        <stp/>
        <stp>BDH|2042868034551922115</stp>
        <tr r="E32" s="2"/>
      </tp>
      <tp t="s">
        <v>#N/A N/A</v>
        <stp/>
        <stp>BDH|4364490288844296594</stp>
        <tr r="H55" s="2"/>
      </tp>
      <tp t="s">
        <v>#N/A N/A</v>
        <stp/>
        <stp>BDH|5656162195357471387</stp>
        <tr r="K9" s="2"/>
      </tp>
      <tp t="s">
        <v>#N/A N/A</v>
        <stp/>
        <stp>BDH|4788883744619390812</stp>
        <tr r="R23" s="2"/>
      </tp>
      <tp t="s">
        <v>#N/A N/A</v>
        <stp/>
        <stp>BDH|3013164900103800879</stp>
        <tr r="AF19" s="2"/>
      </tp>
      <tp t="s">
        <v>#N/A N/A</v>
        <stp/>
        <stp>BDH|6901162059832865909</stp>
        <tr r="R51" s="2"/>
      </tp>
      <tp t="s">
        <v>#N/A N/A</v>
        <stp/>
        <stp>BDH|7039584640876697903</stp>
        <tr r="AF43" s="2"/>
      </tp>
      <tp t="s">
        <v>#N/A N/A</v>
        <stp/>
        <stp>BDH|5879965500493808681</stp>
        <tr r="S46" s="2"/>
      </tp>
      <tp t="s">
        <v>#N/A N/A</v>
        <stp/>
        <stp>BDH|2880038818782895847</stp>
        <tr r="V37" s="2"/>
      </tp>
      <tp t="s">
        <v>#N/A N/A</v>
        <stp/>
        <stp>BDH|9730786571858328818</stp>
        <tr r="S44" s="2"/>
      </tp>
      <tp t="s">
        <v>#N/A N/A</v>
        <stp/>
        <stp>BDH|1825635689945606397</stp>
        <tr r="C44" s="2"/>
      </tp>
      <tp t="s">
        <v>#N/A N/A</v>
        <stp/>
        <stp>BDH|4750812163693304042</stp>
        <tr r="O55" s="2"/>
      </tp>
      <tp t="s">
        <v>#N/A N/A</v>
        <stp/>
        <stp>BDH|4060731707988395255</stp>
        <tr r="E17" s="2"/>
      </tp>
      <tp t="s">
        <v>#N/A N/A</v>
        <stp/>
        <stp>BDH|3821456930038911568</stp>
        <tr r="AC45" s="2"/>
      </tp>
      <tp t="s">
        <v>#N/A N/A</v>
        <stp/>
        <stp>BDH|9173709217744773231</stp>
        <tr r="H45" s="2"/>
      </tp>
      <tp t="s">
        <v>#N/A N/A</v>
        <stp/>
        <stp>BDH|9307238679071303486</stp>
        <tr r="R66" s="2"/>
      </tp>
      <tp t="s">
        <v>#N/A N/A</v>
        <stp/>
        <stp>BDH|2248591646642756894</stp>
        <tr r="H67" s="2"/>
      </tp>
      <tp t="s">
        <v>#N/A N/A</v>
        <stp/>
        <stp>BDH|5426401391555786411</stp>
        <tr r="K47" s="2"/>
      </tp>
      <tp t="s">
        <v>#N/A N/A</v>
        <stp/>
        <stp>BDH|7178402395061649221</stp>
        <tr r="AA67" s="2"/>
      </tp>
      <tp t="s">
        <v>#N/A N/A</v>
        <stp/>
        <stp>BDH|5064185888630177516</stp>
        <tr r="Q36" s="2"/>
      </tp>
      <tp t="s">
        <v>#N/A N/A</v>
        <stp/>
        <stp>BDH|9118526403566963399</stp>
        <tr r="T55" s="2"/>
      </tp>
      <tp t="s">
        <v>#N/A N/A</v>
        <stp/>
        <stp>BDH|3770853756887145049</stp>
        <tr r="Y36" s="2"/>
      </tp>
      <tp t="s">
        <v>#N/A N/A</v>
        <stp/>
        <stp>BDH|7138729796391136158</stp>
        <tr r="L31" s="2"/>
      </tp>
      <tp t="s">
        <v>#N/A N/A</v>
        <stp/>
        <stp>BDH|3976101154499942752</stp>
        <tr r="Z28" s="2"/>
      </tp>
      <tp t="s">
        <v>#N/A N/A</v>
        <stp/>
        <stp>BDH|7024639173726097919</stp>
        <tr r="Z10" s="2"/>
      </tp>
      <tp t="s">
        <v>#N/A N/A</v>
        <stp/>
        <stp>BDH|2122125305928722200</stp>
        <tr r="M29" s="2"/>
      </tp>
      <tp t="s">
        <v>#N/A N/A</v>
        <stp/>
        <stp>BDH|1885236424901939978</stp>
        <tr r="G35" s="2"/>
      </tp>
      <tp t="s">
        <v>#N/A N/A</v>
        <stp/>
        <stp>BDH|7791474246227783909</stp>
        <tr r="AD10" s="2"/>
      </tp>
      <tp t="s">
        <v>#N/A N/A</v>
        <stp/>
        <stp>BDH|5104703374328134422</stp>
        <tr r="Z12" s="2"/>
      </tp>
      <tp t="s">
        <v>#N/A N/A</v>
        <stp/>
        <stp>BDH|9696275762695418119</stp>
        <tr r="E62" s="2"/>
      </tp>
      <tp t="s">
        <v>#N/A N/A</v>
        <stp/>
        <stp>BDH|5368545981142342317</stp>
        <tr r="Z19" s="2"/>
      </tp>
      <tp t="s">
        <v>#N/A N/A</v>
        <stp/>
        <stp>BDH|4792603386884525708</stp>
        <tr r="W28" s="2"/>
      </tp>
      <tp t="s">
        <v>#N/A N/A</v>
        <stp/>
        <stp>BDH|1482855082360189870</stp>
        <tr r="P15" s="2"/>
      </tp>
      <tp t="s">
        <v>#N/A N/A</v>
        <stp/>
        <stp>BDH|1885355797443706181</stp>
        <tr r="J26" s="2"/>
      </tp>
      <tp t="s">
        <v>#N/A N/A</v>
        <stp/>
        <stp>BDH|10782931774794415</stp>
        <tr r="AC65" s="2"/>
      </tp>
      <tp t="s">
        <v>#N/A N/A</v>
        <stp/>
        <stp>BDH|5717841372370364084</stp>
        <tr r="W65" s="2"/>
      </tp>
      <tp t="s">
        <v>#N/A N/A</v>
        <stp/>
        <stp>BDH|3230756754108007393</stp>
        <tr r="AC55" s="2"/>
      </tp>
      <tp t="s">
        <v>#N/A N/A</v>
        <stp/>
        <stp>BDH|5843060726705011833</stp>
        <tr r="S59" s="2"/>
      </tp>
      <tp t="s">
        <v>#N/A N/A</v>
        <stp/>
        <stp>BDH|3791309209638267277</stp>
        <tr r="N25" s="2"/>
      </tp>
      <tp t="s">
        <v>#N/A N/A</v>
        <stp/>
        <stp>BDH|8403464951514979721</stp>
        <tr r="X29" s="2"/>
      </tp>
      <tp t="s">
        <v>#N/A N/A</v>
        <stp/>
        <stp>BDH|4500267166223903943</stp>
        <tr r="AC10" s="2"/>
      </tp>
      <tp t="s">
        <v>#N/A N/A</v>
        <stp/>
        <stp>BDH|2672981651067391349</stp>
        <tr r="C61" s="2"/>
      </tp>
      <tp t="s">
        <v>#N/A N/A</v>
        <stp/>
        <stp>BDH|3504291702592493926</stp>
        <tr r="G19" s="2"/>
      </tp>
      <tp t="s">
        <v>#N/A N/A</v>
        <stp/>
        <stp>BDH|7031388968618953015</stp>
        <tr r="E49" s="2"/>
      </tp>
      <tp t="s">
        <v>#N/A N/A</v>
        <stp/>
        <stp>BDH|1786361046458923471</stp>
        <tr r="K33" s="2"/>
      </tp>
      <tp t="s">
        <v>#N/A N/A</v>
        <stp/>
        <stp>BDH|6976432785999278945</stp>
        <tr r="G23" s="2"/>
      </tp>
      <tp t="s">
        <v>#N/A N/A</v>
        <stp/>
        <stp>BDH|8127355687851934842</stp>
        <tr r="X53" s="2"/>
      </tp>
      <tp t="s">
        <v>#N/A N/A</v>
        <stp/>
        <stp>BDH|4755262409374532825</stp>
        <tr r="F10" s="2"/>
      </tp>
      <tp t="s">
        <v>#N/A N/A</v>
        <stp/>
        <stp>BDH|2590058819161057855</stp>
        <tr r="I43" s="2"/>
      </tp>
      <tp t="s">
        <v>#N/A N/A</v>
        <stp/>
        <stp>BDH|9452609778176600476</stp>
        <tr r="T28" s="2"/>
      </tp>
      <tp t="s">
        <v>#N/A N/A</v>
        <stp/>
        <stp>BDH|5427886348721514236</stp>
        <tr r="O61" s="2"/>
      </tp>
      <tp t="s">
        <v>#N/A N/A</v>
        <stp/>
        <stp>BDH|5037286257889894153</stp>
        <tr r="G59" s="2"/>
      </tp>
      <tp t="s">
        <v>#N/A N/A</v>
        <stp/>
        <stp>BDH|6785971615206418232</stp>
        <tr r="N51" s="2"/>
      </tp>
      <tp t="s">
        <v>#N/A N/A</v>
        <stp/>
        <stp>BDH|5444941247112106053</stp>
        <tr r="W33" s="2"/>
      </tp>
      <tp t="s">
        <v>#N/A N/A</v>
        <stp/>
        <stp>BDH|8022567406102283510</stp>
        <tr r="D61" s="2"/>
      </tp>
      <tp t="s">
        <v>#N/A N/A</v>
        <stp/>
        <stp>BDH|8502397843963415681</stp>
        <tr r="O34" s="2"/>
      </tp>
      <tp t="s">
        <v>#N/A N/A</v>
        <stp/>
        <stp>BDH|9217761335657246034</stp>
        <tr r="W38" s="2"/>
      </tp>
      <tp t="s">
        <v>#N/A N/A</v>
        <stp/>
        <stp>BDH|4701273225239033754</stp>
        <tr r="P31" s="2"/>
      </tp>
      <tp t="s">
        <v>#N/A N/A</v>
        <stp/>
        <stp>BDH|5042996219142183512</stp>
        <tr r="N47" s="2"/>
      </tp>
      <tp t="s">
        <v>#N/A N/A</v>
        <stp/>
        <stp>BDH|3535533846869503151</stp>
        <tr r="V64" s="2"/>
      </tp>
      <tp t="s">
        <v>#N/A N/A</v>
        <stp/>
        <stp>BDH|2632520018995867940</stp>
        <tr r="O25" s="2"/>
      </tp>
      <tp t="s">
        <v>#N/A N/A</v>
        <stp/>
        <stp>BDH|3293111707090247878</stp>
        <tr r="AD55" s="2"/>
      </tp>
      <tp t="s">
        <v>#N/A N/A</v>
        <stp/>
        <stp>BDH|6484916420233468407</stp>
        <tr r="R42" s="2"/>
      </tp>
      <tp t="s">
        <v>#N/A N/A</v>
        <stp/>
        <stp>BDH|9039560832615580075</stp>
        <tr r="S14" s="2"/>
      </tp>
      <tp t="s">
        <v>#N/A N/A</v>
        <stp/>
        <stp>BDH|6515376288697993056</stp>
        <tr r="Y65" s="2"/>
      </tp>
      <tp t="s">
        <v>#N/A N/A</v>
        <stp/>
        <stp>BDH|5254905457587442461</stp>
        <tr r="H35" s="2"/>
      </tp>
      <tp t="s">
        <v>#N/A N/A</v>
        <stp/>
        <stp>BDH|8759041081609606331</stp>
        <tr r="N65" s="2"/>
      </tp>
      <tp t="s">
        <v>#N/A N/A</v>
        <stp/>
        <stp>BDH|3909077061997002887</stp>
        <tr r="L64" s="2"/>
      </tp>
      <tp t="s">
        <v>#N/A N/A</v>
        <stp/>
        <stp>BDH|8687510110046704077</stp>
        <tr r="M7" s="2"/>
      </tp>
      <tp t="s">
        <v>#N/A N/A</v>
        <stp/>
        <stp>BDH|7205979154389781829</stp>
        <tr r="S22" s="2"/>
      </tp>
      <tp t="s">
        <v>#N/A N/A</v>
        <stp/>
        <stp>BDH|6718287228818314402</stp>
        <tr r="V53" s="2"/>
      </tp>
      <tp t="s">
        <v>#N/A N/A</v>
        <stp/>
        <stp>BDH|8293605622261274766</stp>
        <tr r="E12" s="2"/>
      </tp>
      <tp t="s">
        <v>#N/A N/A</v>
        <stp/>
        <stp>BDH|9816181173384121177</stp>
        <tr r="S11" s="2"/>
      </tp>
      <tp t="s">
        <v>#N/A N/A</v>
        <stp/>
        <stp>BDH|7225338082000610606</stp>
        <tr r="AF66" s="2"/>
      </tp>
      <tp t="s">
        <v>#N/A N/A</v>
        <stp/>
        <stp>BDH|8146006063412006783</stp>
        <tr r="Q46" s="2"/>
      </tp>
      <tp t="s">
        <v>#N/A N/A</v>
        <stp/>
        <stp>BDH|4163828001443911410</stp>
        <tr r="U8" s="2"/>
      </tp>
      <tp t="s">
        <v>#N/A N/A</v>
        <stp/>
        <stp>BDH|1073998585478289350</stp>
        <tr r="C8" s="2"/>
      </tp>
      <tp t="s">
        <v>#N/A N/A</v>
        <stp/>
        <stp>BDH|7175893736424388360</stp>
        <tr r="C18" s="2"/>
      </tp>
      <tp t="s">
        <v>#N/A N/A</v>
        <stp/>
        <stp>BDH|8995703237622724525</stp>
        <tr r="AB46" s="2"/>
      </tp>
      <tp t="s">
        <v>#N/A N/A</v>
        <stp/>
        <stp>BDH|3906993469471046608</stp>
        <tr r="Z36" s="2"/>
      </tp>
      <tp t="s">
        <v>#N/A N/A</v>
        <stp/>
        <stp>BDH|8163522843446935408</stp>
        <tr r="M22" s="2"/>
      </tp>
      <tp t="s">
        <v>#N/A N/A</v>
        <stp/>
        <stp>BDH|7505663417552363996</stp>
        <tr r="G62" s="2"/>
      </tp>
      <tp t="s">
        <v>#N/A N/A</v>
        <stp/>
        <stp>BDH|7489215712096001996</stp>
        <tr r="AE38" s="2"/>
      </tp>
      <tp t="s">
        <v>#N/A N/A</v>
        <stp/>
        <stp>BDH|6032083670448384241</stp>
        <tr r="C62" s="2"/>
      </tp>
      <tp t="s">
        <v>#N/A N/A</v>
        <stp/>
        <stp>BDH|5052338296597871320</stp>
        <tr r="AF67" s="2"/>
      </tp>
      <tp t="s">
        <v>#N/A N/A</v>
        <stp/>
        <stp>BDH|2638110659059044419</stp>
        <tr r="L59" s="2"/>
      </tp>
      <tp t="s">
        <v>#N/A N/A</v>
        <stp/>
        <stp>BDH|9893382836941368391</stp>
        <tr r="K7" s="2"/>
      </tp>
      <tp t="s">
        <v>#N/A N/A</v>
        <stp/>
        <stp>BDH|9046232445702975630</stp>
        <tr r="K46" s="2"/>
      </tp>
      <tp t="s">
        <v>#N/A N/A</v>
        <stp/>
        <stp>BDH|8158257057605912170</stp>
        <tr r="S43" s="2"/>
      </tp>
      <tp t="s">
        <v>#N/A N/A</v>
        <stp/>
        <stp>BDH|1257009496164022795</stp>
        <tr r="R31" s="2"/>
      </tp>
      <tp t="s">
        <v>#N/A N/A</v>
        <stp/>
        <stp>BDH|9276529156572232094</stp>
        <tr r="X27" s="2"/>
      </tp>
      <tp t="s">
        <v>#N/A N/A</v>
        <stp/>
        <stp>BDH|5002968273973611310</stp>
        <tr r="T41" s="2"/>
      </tp>
      <tp t="s">
        <v>#N/A N/A</v>
        <stp/>
        <stp>BDH|4621766071417035831</stp>
        <tr r="N42" s="2"/>
      </tp>
      <tp t="s">
        <v>#N/A N/A</v>
        <stp/>
        <stp>BDH|4654843936254470027</stp>
        <tr r="L46" s="2"/>
      </tp>
      <tp t="s">
        <v>#N/A N/A</v>
        <stp/>
        <stp>BDH|1283364963168716728</stp>
        <tr r="R41" s="2"/>
      </tp>
      <tp t="s">
        <v>#N/A N/A</v>
        <stp/>
        <stp>BDH|9305029431056292708</stp>
        <tr r="J33" s="2"/>
      </tp>
      <tp t="s">
        <v>#N/A N/A</v>
        <stp/>
        <stp>BDH|1550487741408652288</stp>
        <tr r="I35" s="2"/>
      </tp>
      <tp t="s">
        <v>#N/A N/A</v>
        <stp/>
        <stp>BDH|8342391972361953624</stp>
        <tr r="F45" s="2"/>
      </tp>
      <tp t="s">
        <v>#N/A N/A</v>
        <stp/>
        <stp>BDH|2659558904169211566</stp>
        <tr r="R48" s="2"/>
      </tp>
      <tp t="s">
        <v>#N/A N/A</v>
        <stp/>
        <stp>BDH|1617239886116494673</stp>
        <tr r="M50" s="2"/>
      </tp>
      <tp t="s">
        <v>#N/A N/A</v>
        <stp/>
        <stp>BDH|8557929056556184904</stp>
        <tr r="J9" s="2"/>
      </tp>
      <tp t="s">
        <v>#N/A N/A</v>
        <stp/>
        <stp>BDH|6257887933142172480</stp>
        <tr r="X31" s="2"/>
      </tp>
      <tp t="s">
        <v>#N/A N/A</v>
        <stp/>
        <stp>BDH|6432653706692410930</stp>
        <tr r="AC53" s="2"/>
      </tp>
      <tp t="s">
        <v>#N/A N/A</v>
        <stp/>
        <stp>BDH|8507117111124496717</stp>
        <tr r="I31" s="2"/>
      </tp>
      <tp t="s">
        <v>#N/A N/A</v>
        <stp/>
        <stp>BDH|9120124340276279103</stp>
        <tr r="V32" s="2"/>
      </tp>
      <tp t="s">
        <v>#N/A N/A</v>
        <stp/>
        <stp>BDH|8571257836780156261</stp>
        <tr r="M62" s="2"/>
      </tp>
      <tp t="s">
        <v>#N/A N/A</v>
        <stp/>
        <stp>BDH|8184922320560249801</stp>
        <tr r="I17" s="2"/>
      </tp>
      <tp t="s">
        <v>#N/A N/A</v>
        <stp/>
        <stp>BDH|1554640654989003039</stp>
        <tr r="M28" s="2"/>
      </tp>
      <tp t="s">
        <v>#N/A N/A</v>
        <stp/>
        <stp>BDH|1684276263929699729</stp>
        <tr r="AB35" s="2"/>
      </tp>
      <tp t="s">
        <v>#N/A N/A</v>
        <stp/>
        <stp>BDH|8253830825000493964</stp>
        <tr r="L28" s="2"/>
      </tp>
      <tp t="s">
        <v>#N/A N/A</v>
        <stp/>
        <stp>BDH|9374764513143266735</stp>
        <tr r="R61" s="2"/>
      </tp>
      <tp t="s">
        <v>#N/A N/A</v>
        <stp/>
        <stp>BDH|2903035367656353994</stp>
        <tr r="M67" s="2"/>
      </tp>
      <tp t="s">
        <v>#N/A N/A</v>
        <stp/>
        <stp>BDH|9362647641562263234</stp>
        <tr r="I33" s="2"/>
      </tp>
      <tp t="s">
        <v>#N/A N/A</v>
        <stp/>
        <stp>BDH|3067115686866307732</stp>
        <tr r="E43" s="2"/>
      </tp>
      <tp t="s">
        <v>#N/A N/A</v>
        <stp/>
        <stp>BDH|7098117197554599049</stp>
        <tr r="P43" s="2"/>
      </tp>
      <tp t="s">
        <v>#N/A N/A</v>
        <stp/>
        <stp>BDH|5116350582073381625</stp>
        <tr r="V8" s="2"/>
      </tp>
      <tp t="s">
        <v>#N/A N/A</v>
        <stp/>
        <stp>BDH|1992371306620825972</stp>
        <tr r="N27" s="2"/>
      </tp>
      <tp t="s">
        <v>#N/A N/A</v>
        <stp/>
        <stp>BDH|1357911793128267273</stp>
        <tr r="Z50" s="2"/>
      </tp>
      <tp t="s">
        <v>#N/A N/A</v>
        <stp/>
        <stp>BDH|9097821980015455728</stp>
        <tr r="Z46" s="2"/>
      </tp>
      <tp t="s">
        <v>#N/A N/A</v>
        <stp/>
        <stp>BDH|6461112192475051031</stp>
        <tr r="U30" s="2"/>
      </tp>
      <tp t="s">
        <v>#N/A N/A</v>
        <stp/>
        <stp>BDH|9315227215329130811</stp>
        <tr r="V49" s="2"/>
      </tp>
      <tp t="s">
        <v>#N/A N/A</v>
        <stp/>
        <stp>BDH|9617877999375445687</stp>
        <tr r="H14" s="2"/>
      </tp>
      <tp t="s">
        <v>#N/A N/A</v>
        <stp/>
        <stp>BDH|3371056824829740312</stp>
        <tr r="V11" s="2"/>
      </tp>
      <tp t="s">
        <v>#N/A N/A</v>
        <stp/>
        <stp>BDH|3862861247781983546</stp>
        <tr r="AF29" s="2"/>
      </tp>
      <tp t="s">
        <v>#N/A N/A</v>
        <stp/>
        <stp>BDH|7089279997443006453</stp>
        <tr r="AA35" s="2"/>
      </tp>
      <tp t="s">
        <v>#N/A N/A</v>
        <stp/>
        <stp>BDH|9854542785447993853</stp>
        <tr r="H7" s="2"/>
      </tp>
      <tp t="s">
        <v>#N/A N/A</v>
        <stp/>
        <stp>BDH|9056559313155077332</stp>
        <tr r="S64" s="2"/>
      </tp>
      <tp t="s">
        <v>#N/A N/A</v>
        <stp/>
        <stp>BDH|61428560197906367</stp>
        <tr r="AF46" s="2"/>
      </tp>
      <tp t="s">
        <v>#N/A N/A</v>
        <stp/>
        <stp>BDH|19407025177835761</stp>
        <tr r="U15" s="2"/>
      </tp>
      <tp t="s">
        <v>#N/A N/A</v>
        <stp/>
        <stp>BDH|6170998447259020655</stp>
        <tr r="AF24" s="2"/>
      </tp>
      <tp t="s">
        <v>#N/A N/A</v>
        <stp/>
        <stp>BDH|2002655295571856833</stp>
        <tr r="G10" s="2"/>
      </tp>
      <tp t="s">
        <v>#N/A N/A</v>
        <stp/>
        <stp>BDH|7052666338460023659</stp>
        <tr r="AC19" s="2"/>
      </tp>
      <tp t="s">
        <v>#N/A N/A</v>
        <stp/>
        <stp>BDH|7826901062814416856</stp>
        <tr r="J42" s="2"/>
      </tp>
      <tp t="s">
        <v>#N/A N/A</v>
        <stp/>
        <stp>BDH|1428386237804015103</stp>
        <tr r="D67" s="2"/>
      </tp>
      <tp t="s">
        <v>#N/A N/A</v>
        <stp/>
        <stp>BDH|1783895719569729581</stp>
        <tr r="AB38" s="2"/>
      </tp>
      <tp t="s">
        <v>#N/A N/A</v>
        <stp/>
        <stp>BDH|9497283788810503798</stp>
        <tr r="D30" s="2"/>
      </tp>
      <tp t="s">
        <v>#N/A N/A</v>
        <stp/>
        <stp>BDH|1495945384075955155</stp>
        <tr r="AD67" s="2"/>
      </tp>
      <tp t="s">
        <v>#N/A N/A</v>
        <stp/>
        <stp>BDH|5746270629385232438</stp>
        <tr r="H41" s="2"/>
      </tp>
      <tp t="s">
        <v>#N/A N/A</v>
        <stp/>
        <stp>BDH|2666267254541932045</stp>
        <tr r="F53" s="2"/>
      </tp>
      <tp t="s">
        <v>#N/A N/A</v>
        <stp/>
        <stp>BDH|4997307939914031491</stp>
        <tr r="D34" s="2"/>
      </tp>
      <tp t="s">
        <v>#N/A N/A</v>
        <stp/>
        <stp>BDH|2682294367463888197</stp>
        <tr r="S63" s="2"/>
      </tp>
      <tp t="s">
        <v>#N/A N/A</v>
        <stp/>
        <stp>BDH|7283984429619343196</stp>
        <tr r="Y43" s="2"/>
      </tp>
      <tp t="s">
        <v>#N/A N/A</v>
        <stp/>
        <stp>BDH|1135156472444152793</stp>
        <tr r="AE66" s="2"/>
      </tp>
      <tp t="s">
        <v>#N/A N/A</v>
        <stp/>
        <stp>BDH|6479329836981743394</stp>
        <tr r="Y63" s="2"/>
      </tp>
      <tp t="s">
        <v>#N/A N/A</v>
        <stp/>
        <stp>BDH|4063788664905486467</stp>
        <tr r="AF34" s="2"/>
      </tp>
      <tp t="s">
        <v>#N/A N/A</v>
        <stp/>
        <stp>BDH|2648611028055427743</stp>
        <tr r="AE44" s="2"/>
      </tp>
      <tp t="s">
        <v>#N/A N/A</v>
        <stp/>
        <stp>BDH|6042619357000878112</stp>
        <tr r="N67" s="2"/>
      </tp>
      <tp t="s">
        <v>#N/A N/A</v>
        <stp/>
        <stp>BDH|6826661075132112158</stp>
        <tr r="P42" s="2"/>
      </tp>
      <tp t="s">
        <v>#N/A N/A</v>
        <stp/>
        <stp>BDH|6259657657635681492</stp>
        <tr r="AA15" s="2"/>
      </tp>
      <tp t="s">
        <v>#N/A N/A</v>
        <stp/>
        <stp>BDH|8246609129970179864</stp>
        <tr r="Q7" s="2"/>
      </tp>
      <tp t="s">
        <v>#N/A N/A</v>
        <stp/>
        <stp>BDH|3457452018667542511</stp>
        <tr r="C37" s="2"/>
      </tp>
      <tp t="s">
        <v>#N/A N/A</v>
        <stp/>
        <stp>BDH|4287237957836339183</stp>
        <tr r="D63" s="2"/>
      </tp>
      <tp t="s">
        <v>#N/A N/A</v>
        <stp/>
        <stp>BDH|5945145190699530053</stp>
        <tr r="J48" s="2"/>
      </tp>
      <tp t="s">
        <v>#N/A N/A</v>
        <stp/>
        <stp>BDH|4390037002253978362</stp>
        <tr r="H36" s="2"/>
      </tp>
      <tp t="s">
        <v>#N/A N/A</v>
        <stp/>
        <stp>BDH|1836423087489956098</stp>
        <tr r="G17" s="2"/>
      </tp>
      <tp t="s">
        <v>#N/A N/A</v>
        <stp/>
        <stp>BDH|9211571381892900207</stp>
        <tr r="M36" s="2"/>
      </tp>
      <tp t="s">
        <v>#N/A N/A</v>
        <stp/>
        <stp>BDH|7365517549352125095</stp>
        <tr r="Q38" s="2"/>
      </tp>
      <tp t="s">
        <v>#N/A N/A</v>
        <stp/>
        <stp>BDH|2915703820316351593</stp>
        <tr r="W23" s="2"/>
      </tp>
      <tp t="s">
        <v>#N/A N/A</v>
        <stp/>
        <stp>BDH|2788138726233318625</stp>
        <tr r="S61" s="2"/>
      </tp>
      <tp t="s">
        <v>#N/A N/A</v>
        <stp/>
        <stp>BDH|6308677564047111512</stp>
        <tr r="E51" s="2"/>
      </tp>
      <tp t="s">
        <v>#N/A N/A</v>
        <stp/>
        <stp>BDH|5051438100424212110</stp>
        <tr r="K11" s="2"/>
      </tp>
      <tp t="s">
        <v>#N/A N/A</v>
        <stp/>
        <stp>BDH|1675021706825510072</stp>
        <tr r="E61" s="2"/>
      </tp>
      <tp t="s">
        <v>#N/A N/A</v>
        <stp/>
        <stp>BDH|8321301647139234275</stp>
        <tr r="T67" s="2"/>
      </tp>
      <tp t="s">
        <v>#N/A N/A</v>
        <stp/>
        <stp>BDH|8929551825778056387</stp>
        <tr r="Z51" s="2"/>
      </tp>
      <tp t="s">
        <v>#N/A N/A</v>
        <stp/>
        <stp>BDH|4401426871985725610</stp>
        <tr r="E18" s="2"/>
      </tp>
      <tp t="s">
        <v>#N/A N/A</v>
        <stp/>
        <stp>BDH|9840338971659575099</stp>
        <tr r="L38" s="2"/>
      </tp>
      <tp t="s">
        <v>#N/A N/A</v>
        <stp/>
        <stp>BDH|8121871113535452074</stp>
        <tr r="M51" s="2"/>
      </tp>
      <tp t="s">
        <v>#N/A N/A</v>
        <stp/>
        <stp>BDH|8579671790671307277</stp>
        <tr r="W64" s="2"/>
      </tp>
      <tp t="s">
        <v>#N/A N/A</v>
        <stp/>
        <stp>BDH|5874420458706747632</stp>
        <tr r="L14" s="2"/>
      </tp>
      <tp t="s">
        <v>#N/A N/A</v>
        <stp/>
        <stp>BDH|2528888468618790043</stp>
        <tr r="Q23" s="2"/>
      </tp>
      <tp t="s">
        <v>#N/A N/A</v>
        <stp/>
        <stp>BDH|1294414175004006201</stp>
        <tr r="C13" s="2"/>
      </tp>
      <tp t="s">
        <v>#N/A N/A</v>
        <stp/>
        <stp>BDH|7470055276604255020</stp>
        <tr r="Q67" s="2"/>
      </tp>
      <tp t="s">
        <v>#N/A N/A</v>
        <stp/>
        <stp>BDH|4179443963864684670</stp>
        <tr r="L17" s="2"/>
      </tp>
      <tp t="s">
        <v>#N/A N/A</v>
        <stp/>
        <stp>BDH|2141086573293525286</stp>
        <tr r="S41" s="2"/>
      </tp>
      <tp t="s">
        <v>#N/A N/A</v>
        <stp/>
        <stp>BDH|2035210456909479841</stp>
        <tr r="J65" s="2"/>
      </tp>
      <tp t="s">
        <v>#N/A N/A</v>
        <stp/>
        <stp>BDH|2208235746224309439</stp>
        <tr r="W7" s="2"/>
      </tp>
      <tp t="s">
        <v>#N/A N/A</v>
        <stp/>
        <stp>BDH|7747233140824675161</stp>
        <tr r="N37" s="2"/>
      </tp>
      <tp t="s">
        <v>#N/A N/A</v>
        <stp/>
        <stp>BDH|4850630358825312642</stp>
        <tr r="V29" s="2"/>
      </tp>
      <tp t="s">
        <v>#N/A N/A</v>
        <stp/>
        <stp>BDH|2665107670693114327</stp>
        <tr r="AB51" s="2"/>
      </tp>
      <tp t="s">
        <v>#N/A N/A</v>
        <stp/>
        <stp>BDH|4195324753871169746</stp>
        <tr r="M38" s="2"/>
      </tp>
      <tp t="s">
        <v>#N/A N/A</v>
        <stp/>
        <stp>BDH|9627338740613426945</stp>
        <tr r="X14" s="2"/>
      </tp>
      <tp t="s">
        <v>#N/A N/A</v>
        <stp/>
        <stp>BDH|3100756212184123529</stp>
        <tr r="X22" s="2"/>
      </tp>
      <tp t="s">
        <v>#N/A N/A</v>
        <stp/>
        <stp>BDH|5972777428397298315</stp>
        <tr r="R55" s="2"/>
      </tp>
      <tp t="s">
        <v>#N/A N/A</v>
        <stp/>
        <stp>BDH|93455212969859551</stp>
        <tr r="P55" s="2"/>
      </tp>
      <tp t="s">
        <v>#N/A N/A</v>
        <stp/>
        <stp>BDH|7674419821161825544</stp>
        <tr r="W50" s="2"/>
      </tp>
      <tp t="s">
        <v>#N/A N/A</v>
        <stp/>
        <stp>BDH|3675194183546530922</stp>
        <tr r="K32" s="2"/>
      </tp>
      <tp t="s">
        <v>#N/A N/A</v>
        <stp/>
        <stp>BDH|6797287486619481066</stp>
        <tr r="D38" s="2"/>
      </tp>
      <tp t="s">
        <v>#N/A N/A</v>
        <stp/>
        <stp>BDH|5001788220221656451</stp>
        <tr r="R26" s="2"/>
      </tp>
      <tp t="s">
        <v>#N/A N/A</v>
        <stp/>
        <stp>BDH|2182386469647994510</stp>
        <tr r="J50" s="2"/>
      </tp>
      <tp t="s">
        <v>#N/A N/A</v>
        <stp/>
        <stp>BDH|2007896898745906301</stp>
        <tr r="D22" s="2"/>
      </tp>
      <tp t="s">
        <v>#N/A N/A</v>
        <stp/>
        <stp>BDH|1316494875043611416</stp>
        <tr r="N64" s="2"/>
      </tp>
      <tp t="s">
        <v>#N/A N/A</v>
        <stp/>
        <stp>BDH|3227092745530363257</stp>
        <tr r="AD7" s="2"/>
      </tp>
      <tp t="s">
        <v>#N/A N/A</v>
        <stp/>
        <stp>BDH|4235137668644535245</stp>
        <tr r="K43" s="2"/>
      </tp>
      <tp t="s">
        <v>#N/A N/A</v>
        <stp/>
        <stp>BDH|7353294653777739276</stp>
        <tr r="G15" s="2"/>
      </tp>
      <tp t="s">
        <v>#N/A N/A</v>
        <stp/>
        <stp>BDH|4306280239778877832</stp>
        <tr r="Y17" s="2"/>
      </tp>
      <tp t="s">
        <v>#N/A N/A</v>
        <stp/>
        <stp>BDH|7107238511825425492</stp>
        <tr r="AC22" s="2"/>
      </tp>
      <tp t="s">
        <v>#N/A N/A</v>
        <stp/>
        <stp>BDH|9139340065729771099</stp>
        <tr r="T49" s="2"/>
      </tp>
      <tp t="s">
        <v>#N/A N/A</v>
        <stp/>
        <stp>BDH|6122074479676602265</stp>
        <tr r="L27" s="2"/>
      </tp>
      <tp t="s">
        <v>#N/A N/A</v>
        <stp/>
        <stp>BDH|1465875424779050787</stp>
        <tr r="V43" s="2"/>
      </tp>
      <tp t="s">
        <v>#N/A N/A</v>
        <stp/>
        <stp>BDH|2579124181917127982</stp>
        <tr r="V34" s="2"/>
      </tp>
      <tp t="s">
        <v>#N/A N/A</v>
        <stp/>
        <stp>BDH|9108762348938638764</stp>
        <tr r="O63" s="2"/>
      </tp>
      <tp t="s">
        <v>#N/A N/A</v>
        <stp/>
        <stp>BDH|1376654149664533267</stp>
        <tr r="N33" s="2"/>
      </tp>
      <tp t="s">
        <v>#N/A N/A</v>
        <stp/>
        <stp>BDH|6410064258090070660</stp>
        <tr r="Q49" s="2"/>
      </tp>
      <tp t="s">
        <v>#N/A N/A</v>
        <stp/>
        <stp>BDH|1659721753412859430</stp>
        <tr r="K18" s="2"/>
      </tp>
      <tp t="s">
        <v>#N/A N/A</v>
        <stp/>
        <stp>BDH|8988957070310229325</stp>
        <tr r="AB50" s="2"/>
      </tp>
      <tp t="s">
        <v>#N/A N/A</v>
        <stp/>
        <stp>BDH|1504237161591285197</stp>
        <tr r="L15" s="2"/>
      </tp>
      <tp t="s">
        <v>#N/A N/A</v>
        <stp/>
        <stp>BDH|2067064069353760254</stp>
        <tr r="Z62" s="2"/>
      </tp>
      <tp t="s">
        <v>#N/A N/A</v>
        <stp/>
        <stp>BDH|9404956452794929474</stp>
        <tr r="G27" s="2"/>
      </tp>
      <tp t="s">
        <v>#N/A N/A</v>
        <stp/>
        <stp>BDH|7938964977885124940</stp>
        <tr r="H13" s="2"/>
      </tp>
      <tp t="s">
        <v>#N/A N/A</v>
        <stp/>
        <stp>BDH|5777315878380088435</stp>
        <tr r="D8" s="2"/>
      </tp>
      <tp t="s">
        <v>#N/A N/A</v>
        <stp/>
        <stp>BDH|7948751646020388143</stp>
        <tr r="V33" s="2"/>
      </tp>
      <tp t="s">
        <v>#N/A N/A</v>
        <stp/>
        <stp>BDH|1371737050087543175</stp>
        <tr r="E10" s="2"/>
      </tp>
      <tp t="s">
        <v>#N/A N/A</v>
        <stp/>
        <stp>BDH|5685403357028189920</stp>
        <tr r="AB65" s="2"/>
      </tp>
      <tp t="s">
        <v>#N/A N/A</v>
        <stp/>
        <stp>BDH|7329703346177056677</stp>
        <tr r="U59" s="2"/>
      </tp>
      <tp t="s">
        <v>#N/A N/A</v>
        <stp/>
        <stp>BDH|6297562958890827379</stp>
        <tr r="AA24" s="2"/>
      </tp>
      <tp t="s">
        <v>#N/A N/A</v>
        <stp/>
        <stp>BDH|3716247563172505054</stp>
        <tr r="H60" s="2"/>
      </tp>
      <tp t="s">
        <v>#N/A N/A</v>
        <stp/>
        <stp>BDH|3087719844990236570</stp>
        <tr r="K67" s="2"/>
      </tp>
      <tp t="s">
        <v>#N/A N/A</v>
        <stp/>
        <stp>BDH|1731025071217150443</stp>
        <tr r="AB30" s="2"/>
      </tp>
      <tp t="s">
        <v>#N/A N/A</v>
        <stp/>
        <stp>BDH|5713403414593020622</stp>
        <tr r="C41" s="2"/>
      </tp>
      <tp t="s">
        <v>#N/A N/A</v>
        <stp/>
        <stp>BDH|3617612360712270436</stp>
        <tr r="K55" s="2"/>
      </tp>
      <tp t="s">
        <v>#N/A N/A</v>
        <stp/>
        <stp>BDH|8116669549007173899</stp>
        <tr r="X44" s="2"/>
      </tp>
      <tp t="s">
        <v>#N/A N/A</v>
        <stp/>
        <stp>BDH|1288237143715480709</stp>
        <tr r="AC49" s="2"/>
      </tp>
      <tp t="s">
        <v>#N/A N/A</v>
        <stp/>
        <stp>BDH|4352331256085883286</stp>
        <tr r="E24" s="2"/>
      </tp>
      <tp t="s">
        <v>#N/A N/A</v>
        <stp/>
        <stp>BDH|7959725009446409314</stp>
        <tr r="X59" s="2"/>
      </tp>
      <tp t="s">
        <v>#N/A N/A</v>
        <stp/>
        <stp>BDH|3004624946036739247</stp>
        <tr r="U33" s="2"/>
      </tp>
      <tp t="s">
        <v>#N/A N/A</v>
        <stp/>
        <stp>BDH|3639064720772109655</stp>
        <tr r="R65" s="2"/>
      </tp>
      <tp t="s">
        <v>#N/A N/A</v>
        <stp/>
        <stp>BDH|9681857577316390533</stp>
        <tr r="AD19" s="2"/>
      </tp>
      <tp t="s">
        <v>#N/A N/A</v>
        <stp/>
        <stp>BDH|6149721757639620869</stp>
        <tr r="Q59" s="2"/>
      </tp>
      <tp t="s">
        <v>#N/A N/A</v>
        <stp/>
        <stp>BDH|2232477005804493714</stp>
        <tr r="K22" s="2"/>
      </tp>
      <tp t="s">
        <v>#N/A N/A</v>
        <stp/>
        <stp>BDH|3779550941605185279</stp>
        <tr r="G60" s="2"/>
      </tp>
      <tp t="s">
        <v>#N/A N/A</v>
        <stp/>
        <stp>BDH|7264866078959188489</stp>
        <tr r="H9" s="2"/>
      </tp>
      <tp t="s">
        <v>#N/A N/A</v>
        <stp/>
        <stp>BDH|5551162733824067653</stp>
        <tr r="Q62" s="2"/>
      </tp>
      <tp t="s">
        <v>#N/A N/A</v>
        <stp/>
        <stp>BDH|4771178112902996018</stp>
        <tr r="K10" s="2"/>
      </tp>
      <tp t="s">
        <v>#N/A N/A</v>
        <stp/>
        <stp>BDH|6476767503765948224</stp>
        <tr r="Q12" s="2"/>
      </tp>
      <tp t="s">
        <v>#N/A N/A</v>
        <stp/>
        <stp>BDH|4739795315455261133</stp>
        <tr r="W66" s="2"/>
      </tp>
      <tp t="s">
        <v>#N/A N/A</v>
        <stp/>
        <stp>BDH|5367735879204678750</stp>
        <tr r="D26" s="2"/>
      </tp>
      <tp t="s">
        <v>#N/A N/A</v>
        <stp/>
        <stp>BDH|7124076265841013688</stp>
        <tr r="AD45" s="2"/>
      </tp>
      <tp t="s">
        <v>#N/A N/A</v>
        <stp/>
        <stp>BDH|6658362714807649591</stp>
        <tr r="AD61" s="2"/>
      </tp>
      <tp t="s">
        <v>#N/A N/A</v>
        <stp/>
        <stp>BDH|4339039368661481579</stp>
        <tr r="AE16" s="2"/>
      </tp>
      <tp t="s">
        <v>#N/A N/A</v>
        <stp/>
        <stp>BDH|6310378660143472688</stp>
        <tr r="F62" s="2"/>
      </tp>
      <tp t="s">
        <v>#N/A N/A</v>
        <stp/>
        <stp>BDH|2857715843432099526</stp>
        <tr r="AE11" s="2"/>
      </tp>
      <tp t="s">
        <v>#N/A N/A</v>
        <stp/>
        <stp>BDH|5126466391277861974</stp>
        <tr r="W16" s="2"/>
      </tp>
      <tp t="s">
        <v>#N/A N/A</v>
        <stp/>
        <stp>BDH|1559537553153436487</stp>
        <tr r="L35" s="2"/>
      </tp>
      <tp t="s">
        <v>#N/A N/A</v>
        <stp/>
        <stp>BDH|3823933820338763652</stp>
        <tr r="AC47" s="2"/>
      </tp>
      <tp t="s">
        <v>#N/A N/A</v>
        <stp/>
        <stp>BDH|1983489766905635085</stp>
        <tr r="T29" s="2"/>
      </tp>
      <tp t="s">
        <v>#N/A N/A</v>
        <stp/>
        <stp>BDH|1550863493762787499</stp>
        <tr r="T34" s="2"/>
      </tp>
      <tp t="s">
        <v>#N/A N/A</v>
        <stp/>
        <stp>BDH|5108745153172930313</stp>
        <tr r="M27" s="2"/>
      </tp>
      <tp t="s">
        <v>#N/A N/A</v>
        <stp/>
        <stp>BDH|1238289913242279656</stp>
        <tr r="J62" s="2"/>
      </tp>
      <tp t="s">
        <v>#N/A N/A</v>
        <stp/>
        <stp>BDH|4896374663473475465</stp>
        <tr r="U25" s="2"/>
      </tp>
      <tp t="s">
        <v>#N/A N/A</v>
        <stp/>
        <stp>BDH|7453215038147530775</stp>
        <tr r="W53" s="2"/>
      </tp>
      <tp t="s">
        <v>#N/A N/A</v>
        <stp/>
        <stp>BDH|9292759983811958120</stp>
        <tr r="T12" s="2"/>
      </tp>
      <tp t="s">
        <v>#N/A N/A</v>
        <stp/>
        <stp>BDH|8762976605126815116</stp>
        <tr r="AC11" s="2"/>
      </tp>
      <tp t="s">
        <v>#N/A N/A</v>
        <stp/>
        <stp>BDH|4671168292373743990</stp>
        <tr r="I51" s="2"/>
      </tp>
      <tp t="s">
        <v>#N/A N/A</v>
        <stp/>
        <stp>BDH|1812278872560804290</stp>
        <tr r="S29" s="2"/>
      </tp>
      <tp t="s">
        <v>#N/A N/A</v>
        <stp/>
        <stp>BDH|1497590256880565728</stp>
        <tr r="AC27" s="2"/>
      </tp>
      <tp t="s">
        <v>#N/A N/A</v>
        <stp/>
        <stp>BDH|3504102562322843023</stp>
        <tr r="X37" s="2"/>
      </tp>
      <tp t="s">
        <v>#N/A N/A</v>
        <stp/>
        <stp>BDH|6026583643946103775</stp>
        <tr r="Z48" s="2"/>
      </tp>
      <tp t="s">
        <v>#N/A N/A</v>
        <stp/>
        <stp>BDH|2464776634468345860</stp>
        <tr r="G36" s="2"/>
      </tp>
      <tp t="s">
        <v>#N/A N/A</v>
        <stp/>
        <stp>BDH|6331437213650146509</stp>
        <tr r="Y38" s="2"/>
      </tp>
      <tp t="s">
        <v>#N/A N/A</v>
        <stp/>
        <stp>BDH|8209618797242370352</stp>
        <tr r="J43" s="2"/>
      </tp>
      <tp t="s">
        <v>#N/A N/A</v>
        <stp/>
        <stp>BDH|3763008407220749548</stp>
        <tr r="AB11" s="2"/>
      </tp>
      <tp t="s">
        <v>#N/A N/A</v>
        <stp/>
        <stp>BDH|1443712075717273011</stp>
        <tr r="Q35" s="2"/>
      </tp>
      <tp t="s">
        <v>#N/A N/A</v>
        <stp/>
        <stp>BDH|3415075615377729323</stp>
        <tr r="AF49" s="2"/>
      </tp>
      <tp t="s">
        <v>#N/A N/A</v>
        <stp/>
        <stp>BDH|7335726517721175648</stp>
        <tr r="Q41" s="2"/>
      </tp>
      <tp t="s">
        <v>#N/A N/A</v>
        <stp/>
        <stp>BDH|7814505569545080713</stp>
        <tr r="D7" s="2"/>
      </tp>
      <tp t="s">
        <v>#N/A N/A</v>
        <stp/>
        <stp>BDH|3473341251502189118</stp>
        <tr r="AE41" s="2"/>
      </tp>
      <tp t="s">
        <v>#N/A N/A</v>
        <stp/>
        <stp>BDH|4112764541264094577</stp>
        <tr r="Z23" s="2"/>
      </tp>
      <tp t="s">
        <v>#N/A N/A</v>
        <stp/>
        <stp>BDH|4778409025705727142</stp>
        <tr r="AB17" s="2"/>
      </tp>
      <tp t="s">
        <v>#N/A N/A</v>
        <stp/>
        <stp>BDH|7188731090446648951</stp>
        <tr r="E65" s="2"/>
      </tp>
      <tp t="s">
        <v>#N/A N/A</v>
        <stp/>
        <stp>BDH|9088580624531916947</stp>
        <tr r="Z17" s="2"/>
      </tp>
      <tp t="s">
        <v>#N/A N/A</v>
        <stp/>
        <stp>BDH|7532383329842726227</stp>
        <tr r="U62" s="2"/>
      </tp>
      <tp t="s">
        <v>#N/A N/A</v>
        <stp/>
        <stp>BDH|1707335741294227469</stp>
        <tr r="L7" s="2"/>
      </tp>
      <tp t="s">
        <v>#N/A N/A</v>
        <stp/>
        <stp>BDH|4252438745732327067</stp>
        <tr r="R64" s="2"/>
      </tp>
      <tp t="s">
        <v>#N/A N/A</v>
        <stp/>
        <stp>BDH|5306622074301072348</stp>
        <tr r="T22" s="2"/>
      </tp>
      <tp t="s">
        <v>#N/A N/A</v>
        <stp/>
        <stp>BDH|4024504061000005174</stp>
        <tr r="AD46" s="2"/>
      </tp>
      <tp t="s">
        <v>#N/A N/A</v>
        <stp/>
        <stp>BDH|9192441013532714876</stp>
        <tr r="Y30" s="2"/>
      </tp>
      <tp t="s">
        <v>#N/A N/A</v>
        <stp/>
        <stp>BDH|6148061176721061660</stp>
        <tr r="AA44" s="2"/>
      </tp>
      <tp t="s">
        <v>#N/A N/A</v>
        <stp/>
        <stp>BDH|4888017645030229696</stp>
        <tr r="X42" s="2"/>
      </tp>
      <tp t="s">
        <v>#N/A N/A</v>
        <stp/>
        <stp>BDH|2424234240234399631</stp>
        <tr r="Y60" s="2"/>
      </tp>
      <tp t="s">
        <v>#N/A N/A</v>
        <stp/>
        <stp>BDH|9025416358996421898</stp>
        <tr r="J67" s="2"/>
      </tp>
      <tp t="s">
        <v>#N/A N/A</v>
        <stp/>
        <stp>BDH|2315334083329575637</stp>
        <tr r="T46" s="2"/>
      </tp>
      <tp t="s">
        <v>#N/A N/A</v>
        <stp/>
        <stp>BDH|6935884105059288131</stp>
        <tr r="AD66" s="2"/>
      </tp>
      <tp t="s">
        <v>#N/A N/A</v>
        <stp/>
        <stp>BDH|2469198952514484512</stp>
        <tr r="AD28" s="2"/>
      </tp>
      <tp t="s">
        <v>#N/A N/A</v>
        <stp/>
        <stp>BDH|5576693647143675373</stp>
        <tr r="G46" s="2"/>
      </tp>
      <tp t="s">
        <v>#N/A N/A</v>
        <stp/>
        <stp>BDH|5147439858877778478</stp>
        <tr r="K36" s="2"/>
      </tp>
      <tp t="s">
        <v>#N/A N/A</v>
        <stp/>
        <stp>BDH|7693465813083823610</stp>
        <tr r="Z24" s="2"/>
      </tp>
      <tp t="s">
        <v>#N/A N/A</v>
        <stp/>
        <stp>BDH|7855289721109243988</stp>
        <tr r="X36" s="2"/>
      </tp>
      <tp t="s">
        <v>#N/A N/A</v>
        <stp/>
        <stp>BDH|1472154870339985931</stp>
        <tr r="N66" s="2"/>
      </tp>
      <tp t="s">
        <v>#N/A N/A</v>
        <stp/>
        <stp>BDH|9114146473061879958</stp>
        <tr r="I24" s="2"/>
      </tp>
      <tp t="s">
        <v>#N/A N/A</v>
        <stp/>
        <stp>BDH|2798335740750937265</stp>
        <tr r="E11" s="2"/>
      </tp>
      <tp t="s">
        <v>#N/A N/A</v>
        <stp/>
        <stp>BDH|9939946854017662573</stp>
        <tr r="AE14" s="2"/>
      </tp>
      <tp t="s">
        <v>#N/A N/A</v>
        <stp/>
        <stp>BDH|2430170821133802525</stp>
        <tr r="X63" s="2"/>
      </tp>
      <tp t="s">
        <v>#N/A N/A</v>
        <stp/>
        <stp>BDH|2163199990209518454</stp>
        <tr r="K14" s="2"/>
      </tp>
      <tp t="s">
        <v>#N/A N/A</v>
        <stp/>
        <stp>BDH|4031219676596771085</stp>
        <tr r="U36" s="2"/>
      </tp>
      <tp t="s">
        <v>#N/A N/A</v>
        <stp/>
        <stp>BDH|6817777567645446555</stp>
        <tr r="E8" s="2"/>
      </tp>
      <tp t="s">
        <v>#N/A N/A</v>
        <stp/>
        <stp>BDH|3561284774644194512</stp>
        <tr r="P62" s="2"/>
      </tp>
      <tp t="s">
        <v>#N/A N/A</v>
        <stp/>
        <stp>BDH|1382393654384127464</stp>
        <tr r="K44" s="2"/>
      </tp>
      <tp t="s">
        <v>#N/A N/A</v>
        <stp/>
        <stp>BDH|4609066149526773105</stp>
        <tr r="H59" s="2"/>
      </tp>
      <tp t="s">
        <v>#N/A N/A</v>
        <stp/>
        <stp>BDH|6495281715291514329</stp>
        <tr r="K41" s="2"/>
      </tp>
      <tp t="s">
        <v>#N/A N/A</v>
        <stp/>
        <stp>BDH|6231032412614893458</stp>
        <tr r="T43" s="2"/>
      </tp>
      <tp t="s">
        <v>#N/A N/A</v>
        <stp/>
        <stp>BDH|1392442098773411851</stp>
        <tr r="AD37" s="2"/>
      </tp>
      <tp t="s">
        <v>#N/A N/A</v>
        <stp/>
        <stp>BDH|6239165309688375809</stp>
        <tr r="L51" s="2"/>
      </tp>
      <tp t="s">
        <v>#N/A N/A</v>
        <stp/>
        <stp>BDH|8355730943275990952</stp>
        <tr r="F25" s="2"/>
      </tp>
      <tp t="s">
        <v>#N/A N/A</v>
        <stp/>
        <stp>BDH|9845406531838057160</stp>
        <tr r="J32" s="2"/>
      </tp>
      <tp t="s">
        <v>#N/A N/A</v>
        <stp/>
        <stp>BDH|1586153264866144797</stp>
        <tr r="J44" s="2"/>
      </tp>
      <tp t="s">
        <v>#N/A N/A</v>
        <stp/>
        <stp>BDH|5359315162436401186</stp>
        <tr r="R63" s="2"/>
      </tp>
      <tp t="s">
        <v>#N/A N/A</v>
        <stp/>
        <stp>BDH|3891600474187156209</stp>
        <tr r="M11" s="2"/>
      </tp>
      <tp t="s">
        <v>#N/A N/A</v>
        <stp/>
        <stp>BDH|3784782725170749105</stp>
        <tr r="C26" s="2"/>
      </tp>
      <tp t="s">
        <v>#N/A N/A</v>
        <stp/>
        <stp>BDH|3001419819321011051</stp>
        <tr r="S15" s="2"/>
      </tp>
      <tp t="s">
        <v>#N/A N/A</v>
        <stp/>
        <stp>BDH|7696290949923508511</stp>
        <tr r="Y23" s="2"/>
      </tp>
      <tp t="s">
        <v>#N/A N/A</v>
        <stp/>
        <stp>BDH|4089682408976648340</stp>
        <tr r="K13" s="2"/>
      </tp>
      <tp t="s">
        <v>#N/A N/A</v>
        <stp/>
        <stp>BDH|8406335555221301825</stp>
        <tr r="AD13" s="2"/>
      </tp>
      <tp t="s">
        <v>#N/A N/A</v>
        <stp/>
        <stp>BDH|7299999969198232736</stp>
        <tr r="N29" s="2"/>
      </tp>
      <tp t="s">
        <v>#N/A N/A</v>
        <stp/>
        <stp>BDH|7629363530106030634</stp>
        <tr r="L63" s="2"/>
      </tp>
      <tp t="s">
        <v>#N/A N/A</v>
        <stp/>
        <stp>BDH|7418865069528988613</stp>
        <tr r="D50" s="2"/>
      </tp>
      <tp t="s">
        <v>#N/A N/A</v>
        <stp/>
        <stp>BDH|6963992254824573926</stp>
        <tr r="AE13" s="2"/>
      </tp>
      <tp t="s">
        <v>#N/A N/A</v>
        <stp/>
        <stp>BDH|2415142643198210814</stp>
        <tr r="L65" s="2"/>
      </tp>
      <tp t="s">
        <v>#N/A N/A</v>
        <stp/>
        <stp>BDH|6635714981426194874</stp>
        <tr r="AA19" s="2"/>
      </tp>
      <tp t="s">
        <v>#N/A N/A</v>
        <stp/>
        <stp>BDH|5019587808696436152</stp>
        <tr r="AF11" s="2"/>
      </tp>
      <tp t="s">
        <v>#N/A N/A</v>
        <stp/>
        <stp>BDH|3076651266656043227</stp>
        <tr r="L30" s="2"/>
      </tp>
      <tp t="s">
        <v>#N/A N/A</v>
        <stp/>
        <stp>BDH|3365468778792462581</stp>
        <tr r="Y16" s="2"/>
      </tp>
      <tp t="s">
        <v>#N/A N/A</v>
        <stp/>
        <stp>BDH|7100069404970717020</stp>
        <tr r="D48" s="2"/>
      </tp>
      <tp t="s">
        <v>#N/A N/A</v>
        <stp/>
        <stp>BDH|3074020414983384637</stp>
        <tr r="C51" s="2"/>
      </tp>
      <tp t="s">
        <v>#N/A N/A</v>
        <stp/>
        <stp>BDH|5965726642268923960</stp>
        <tr r="C46" s="2"/>
      </tp>
      <tp t="s">
        <v>#N/A N/A</v>
        <stp/>
        <stp>BDH|4883107445672940423</stp>
        <tr r="R10" s="2"/>
      </tp>
      <tp t="s">
        <v>#N/A N/A</v>
        <stp/>
        <stp>BDH|4508507052696057503</stp>
        <tr r="I14" s="2"/>
      </tp>
      <tp t="s">
        <v>#N/A N/A</v>
        <stp/>
        <stp>BDH|2998807863049418294</stp>
        <tr r="E42" s="2"/>
      </tp>
      <tp t="s">
        <v>#N/A N/A</v>
        <stp/>
        <stp>BDH|6547606504245289242</stp>
        <tr r="AC28" s="2"/>
      </tp>
      <tp t="s">
        <v>#N/A N/A</v>
        <stp/>
        <stp>BDH|7129604142182227054</stp>
        <tr r="T31" s="2"/>
      </tp>
      <tp t="s">
        <v>#N/A N/A</v>
        <stp/>
        <stp>BDH|3143251762300452060</stp>
        <tr r="AE65" s="2"/>
      </tp>
      <tp t="s">
        <v>#N/A N/A</v>
        <stp/>
        <stp>BDH|4216774693668294508</stp>
        <tr r="AA9" s="2"/>
      </tp>
      <tp t="s">
        <v>#N/A N/A</v>
        <stp/>
        <stp>BDH|1203572504641405211</stp>
        <tr r="T30" s="2"/>
      </tp>
      <tp t="s">
        <v>#N/A N/A</v>
        <stp/>
        <stp>BDH|7668809991028111928</stp>
        <tr r="D14" s="2"/>
      </tp>
      <tp t="s">
        <v>#N/A N/A</v>
        <stp/>
        <stp>BDH|4222885829560636919</stp>
        <tr r="K60" s="2"/>
      </tp>
      <tp t="s">
        <v>#N/A N/A</v>
        <stp/>
        <stp>BDH|6702308534354551525</stp>
        <tr r="AC60" s="2"/>
      </tp>
      <tp t="s">
        <v>#N/A N/A</v>
        <stp/>
        <stp>BDH|8787435895634513600</stp>
        <tr r="K26" s="2"/>
      </tp>
      <tp t="s">
        <v>#N/A N/A</v>
        <stp/>
        <stp>BDH|2372266260533403244</stp>
        <tr r="N48" s="2"/>
      </tp>
      <tp t="s">
        <v>#N/A N/A</v>
        <stp/>
        <stp>BDH|8813804089157671820</stp>
        <tr r="I55" s="2"/>
      </tp>
      <tp t="s">
        <v>#N/A N/A</v>
        <stp/>
        <stp>BDH|1276702916468404858</stp>
        <tr r="Q43" s="2"/>
      </tp>
      <tp t="s">
        <v>#N/A N/A</v>
        <stp/>
        <stp>BDH|7620778020217511212</stp>
        <tr r="S32" s="2"/>
      </tp>
      <tp t="s">
        <v>#N/A N/A</v>
        <stp/>
        <stp>BDH|3090222946167535544</stp>
        <tr r="W49" s="2"/>
      </tp>
      <tp t="s">
        <v>#N/A N/A</v>
        <stp/>
        <stp>BDH|12510493882076425</stp>
        <tr r="H38" s="2"/>
      </tp>
      <tp t="s">
        <v>#N/A N/A</v>
        <stp/>
        <stp>BDH|7594314337880159786</stp>
        <tr r="V38" s="2"/>
      </tp>
      <tp t="s">
        <v>#N/A N/A</v>
        <stp/>
        <stp>BDH|4680449050223002689</stp>
        <tr r="L62" s="2"/>
      </tp>
      <tp t="s">
        <v>#N/A N/A</v>
        <stp/>
        <stp>BDH|6712709822113787090</stp>
        <tr r="AF28" s="2"/>
      </tp>
      <tp t="s">
        <v>#N/A N/A</v>
        <stp/>
        <stp>BDH|1675639561821400087</stp>
        <tr r="G12" s="2"/>
      </tp>
      <tp t="s">
        <v>#N/A N/A</v>
        <stp/>
        <stp>BDH|7285290116434280077</stp>
        <tr r="P22" s="2"/>
      </tp>
      <tp t="s">
        <v>#N/A N/A</v>
        <stp/>
        <stp>BDH|8966340820261297873</stp>
        <tr r="AF62" s="2"/>
      </tp>
      <tp t="s">
        <v>#N/A N/A</v>
        <stp/>
        <stp>BDH|7559123889546409832</stp>
        <tr r="K63" s="2"/>
      </tp>
      <tp t="s">
        <v>#N/A N/A</v>
        <stp/>
        <stp>BDH|7274302899795158837</stp>
        <tr r="R18" s="2"/>
      </tp>
      <tp t="s">
        <v>#N/A N/A</v>
        <stp/>
        <stp>BDH|8289726638085250933</stp>
        <tr r="P66" s="2"/>
      </tp>
      <tp t="s">
        <v>#N/A N/A</v>
        <stp/>
        <stp>BDH|2381333723167919433</stp>
        <tr r="AA55" s="2"/>
      </tp>
      <tp t="s">
        <v>#N/A N/A</v>
        <stp/>
        <stp>BDH|6378678009722416206</stp>
        <tr r="O10" s="2"/>
      </tp>
      <tp t="s">
        <v>#N/A N/A</v>
        <stp/>
        <stp>BDH|2721086665937334300</stp>
        <tr r="L9" s="2"/>
      </tp>
      <tp t="s">
        <v>#N/A N/A</v>
        <stp/>
        <stp>BDH|7348065039100112424</stp>
        <tr r="W24" s="2"/>
      </tp>
      <tp t="s">
        <v>#N/A N/A</v>
        <stp/>
        <stp>BDH|5802561232340615359</stp>
        <tr r="D24" s="2"/>
      </tp>
      <tp t="s">
        <v>#N/A N/A</v>
        <stp/>
        <stp>BDH|9130288422691680828</stp>
        <tr r="M24" s="2"/>
      </tp>
      <tp t="s">
        <v>#N/A N/A</v>
        <stp/>
        <stp>BDH|7741055288579771619</stp>
        <tr r="AE26" s="2"/>
      </tp>
      <tp t="s">
        <v>#N/A N/A</v>
        <stp/>
        <stp>BDH|3015047668241264428</stp>
        <tr r="AE51" s="2"/>
      </tp>
      <tp t="s">
        <v>#N/A N/A</v>
        <stp/>
        <stp>BDH|7628642128094419735</stp>
        <tr r="D11" s="2"/>
      </tp>
      <tp t="s">
        <v>#N/A N/A</v>
        <stp/>
        <stp>BDH|5177643465656435365</stp>
        <tr r="X38" s="2"/>
      </tp>
      <tp t="s">
        <v>#N/A N/A</v>
        <stp/>
        <stp>BDH|9183937357152554722</stp>
        <tr r="AE28" s="2"/>
      </tp>
      <tp t="s">
        <v>#N/A N/A</v>
        <stp/>
        <stp>BDH|3631728049536840675</stp>
        <tr r="AE42" s="2"/>
      </tp>
      <tp t="s">
        <v>#N/A N/A</v>
        <stp/>
        <stp>BDH|8267249684396325431</stp>
        <tr r="L37" s="2"/>
      </tp>
      <tp t="s">
        <v>#N/A N/A</v>
        <stp/>
        <stp>BDH|5551738250596441128</stp>
        <tr r="M42" s="2"/>
      </tp>
      <tp t="s">
        <v>#N/A N/A</v>
        <stp/>
        <stp>BDH|7213742644907189338</stp>
        <tr r="AB36" s="2"/>
      </tp>
      <tp t="s">
        <v>#N/A N/A</v>
        <stp/>
        <stp>BDH|3105573498456793989</stp>
        <tr r="S18" s="2"/>
      </tp>
      <tp t="s">
        <v>#N/A N/A</v>
        <stp/>
        <stp>BDH|1727576055580505116</stp>
        <tr r="O32" s="2"/>
      </tp>
      <tp t="s">
        <v>#N/A N/A</v>
        <stp/>
        <stp>BDH|2069490211950096790</stp>
        <tr r="E28" s="2"/>
      </tp>
      <tp t="s">
        <v>#N/A N/A</v>
        <stp/>
        <stp>BDH|9162314522419572112</stp>
        <tr r="E22" s="2"/>
      </tp>
      <tp t="s">
        <v>#N/A N/A</v>
        <stp/>
        <stp>BDH|2584224454102703721</stp>
        <tr r="O15" s="2"/>
      </tp>
      <tp t="s">
        <v>#N/A N/A</v>
        <stp/>
        <stp>BDH|5594804854598388058</stp>
        <tr r="AE60" s="2"/>
      </tp>
      <tp t="s">
        <v>#N/A N/A</v>
        <stp/>
        <stp>BDH|1181918004970534861</stp>
        <tr r="H19" s="2"/>
      </tp>
      <tp t="s">
        <v>#N/A N/A</v>
        <stp/>
        <stp>BDH|5532078904867578277</stp>
        <tr r="S35" s="2"/>
      </tp>
      <tp t="s">
        <v>#N/A N/A</v>
        <stp/>
        <stp>BDH|1240040283610932985</stp>
        <tr r="M16" s="2"/>
      </tp>
      <tp t="s">
        <v>#N/A N/A</v>
        <stp/>
        <stp>BDH|5638435957862197671</stp>
        <tr r="AA63" s="2"/>
      </tp>
      <tp t="s">
        <v>#N/A N/A</v>
        <stp/>
        <stp>BDH|7677330946699732914</stp>
        <tr r="X17" s="2"/>
      </tp>
      <tp t="s">
        <v>#N/A N/A</v>
        <stp/>
        <stp>BDH|2325351120225314609</stp>
        <tr r="G18" s="2"/>
      </tp>
      <tp t="s">
        <v>#N/A N/A</v>
        <stp/>
        <stp>BDH|8641048241398217443</stp>
        <tr r="S66" s="2"/>
      </tp>
      <tp t="s">
        <v>#N/A N/A</v>
        <stp/>
        <stp>BDH|4273876741238887161</stp>
        <tr r="Z31" s="2"/>
      </tp>
      <tp t="s">
        <v>#N/A N/A</v>
        <stp/>
        <stp>BDH|4841223470252732278</stp>
        <tr r="Y22" s="2"/>
      </tp>
      <tp t="s">
        <v>#N/A N/A</v>
        <stp/>
        <stp>BDH|2868557764588733856</stp>
        <tr r="D59" s="2"/>
      </tp>
      <tp t="s">
        <v>#N/A N/A</v>
        <stp/>
        <stp>BDH|6301283047480114166</stp>
        <tr r="R19" s="2"/>
      </tp>
      <tp t="s">
        <v>#N/A N/A</v>
        <stp/>
        <stp>BDH|6998000440232418168</stp>
        <tr r="Y44" s="2"/>
      </tp>
      <tp t="s">
        <v>#N/A N/A</v>
        <stp/>
        <stp>BDH|8458580859891735896</stp>
        <tr r="AB28" s="2"/>
      </tp>
      <tp t="s">
        <v>#N/A N/A</v>
        <stp/>
        <stp>BDH|3591416948595171766</stp>
        <tr r="L48" s="2"/>
      </tp>
      <tp t="s">
        <v>#N/A N/A</v>
        <stp/>
        <stp>BDH|9138667050069596290</stp>
        <tr r="D19" s="2"/>
      </tp>
      <tp t="s">
        <v>#N/A N/A</v>
        <stp/>
        <stp>BDH|3792083475757906281</stp>
        <tr r="AC33" s="2"/>
      </tp>
      <tp t="s">
        <v>#N/A N/A</v>
        <stp/>
        <stp>BDH|3271050423070845042</stp>
        <tr r="Z47" s="2"/>
      </tp>
      <tp t="s">
        <v>#N/A N/A</v>
        <stp/>
        <stp>BDH|3855253832234735704</stp>
        <tr r="F16" s="2"/>
      </tp>
      <tp t="s">
        <v>#N/A N/A</v>
        <stp/>
        <stp>BDH|3258772365551159295</stp>
        <tr r="O42" s="2"/>
      </tp>
      <tp t="s">
        <v>#N/A N/A</v>
        <stp/>
        <stp>BDH|3941929242839636673</stp>
        <tr r="Y32" s="2"/>
      </tp>
      <tp t="s">
        <v>#N/A N/A</v>
        <stp/>
        <stp>BDH|9772363284193910041</stp>
        <tr r="Y33" s="2"/>
      </tp>
      <tp t="s">
        <v>#N/A N/A</v>
        <stp/>
        <stp>BDH|8614695723164641931</stp>
        <tr r="T19" s="2"/>
      </tp>
      <tp t="s">
        <v>#N/A N/A</v>
        <stp/>
        <stp>BDH|3942345102672612305</stp>
        <tr r="S67" s="2"/>
      </tp>
      <tp t="s">
        <v>#N/A N/A</v>
        <stp/>
        <stp>BDH|7490621751852016791</stp>
        <tr r="AE64" s="2"/>
      </tp>
      <tp t="s">
        <v>#N/A N/A</v>
        <stp/>
        <stp>BDH|7246204698918797530</stp>
        <tr r="L66" s="2"/>
      </tp>
      <tp t="s">
        <v>#N/A N/A</v>
        <stp/>
        <stp>BDH|2690206916308787894</stp>
        <tr r="V17" s="2"/>
      </tp>
      <tp t="s">
        <v>#N/A N/A</v>
        <stp/>
        <stp>BDH|2514433081659134683</stp>
        <tr r="C12" s="2"/>
      </tp>
      <tp t="s">
        <v>#N/A N/A</v>
        <stp/>
        <stp>BDH|1224291417840268307</stp>
        <tr r="C31" s="2"/>
      </tp>
      <tp t="s">
        <v>#N/A N/A</v>
        <stp/>
        <stp>BDH|2250432213426850056</stp>
        <tr r="AB14" s="2"/>
      </tp>
      <tp t="s">
        <v>#N/A N/A</v>
        <stp/>
        <stp>BDH|6963401434918124838</stp>
        <tr r="U51" s="2"/>
      </tp>
      <tp t="s">
        <v>#N/A N/A</v>
        <stp/>
        <stp>BDH|5535655636250888111</stp>
        <tr r="R25" s="2"/>
      </tp>
      <tp t="s">
        <v>#N/A N/A</v>
        <stp/>
        <stp>BDH|6625337508797235334</stp>
        <tr r="X43" s="2"/>
      </tp>
      <tp t="s">
        <v>#N/A N/A</v>
        <stp/>
        <stp>BDH|9151374883261122289</stp>
        <tr r="E60" s="2"/>
      </tp>
      <tp t="s">
        <v>#N/A N/A</v>
        <stp/>
        <stp>BDH|4449168291964719988</stp>
        <tr r="T13" s="2"/>
      </tp>
      <tp t="s">
        <v>#N/A N/A</v>
        <stp/>
        <stp>BDH|4391715017193130098</stp>
        <tr r="S13" s="2"/>
      </tp>
      <tp t="s">
        <v>#N/A N/A</v>
        <stp/>
        <stp>BDH|8862918189181820954</stp>
        <tr r="V41" s="2"/>
      </tp>
      <tp t="s">
        <v>#N/A N/A</v>
        <stp/>
        <stp>BDH|4183463712293852307</stp>
        <tr r="P23" s="2"/>
      </tp>
      <tp t="s">
        <v>#N/A N/A</v>
        <stp/>
        <stp>BDH|8353761957439670276</stp>
        <tr r="U19" s="2"/>
      </tp>
      <tp t="s">
        <v>#N/A N/A</v>
        <stp/>
        <stp>BDH|3539126591838435219</stp>
        <tr r="D29" s="2"/>
      </tp>
      <tp t="s">
        <v>#N/A N/A</v>
        <stp/>
        <stp>BDH|8897849030902779081</stp>
        <tr r="O37" s="2"/>
      </tp>
      <tp t="s">
        <v>#N/A N/A</v>
        <stp/>
        <stp>BDH|3530178434817688735</stp>
        <tr r="AE35" s="2"/>
      </tp>
      <tp t="s">
        <v>#N/A N/A</v>
        <stp/>
        <stp>BDH|3017288768870669659</stp>
        <tr r="U41" s="2"/>
      </tp>
      <tp t="s">
        <v>#N/A N/A</v>
        <stp/>
        <stp>BDH|7651525110397574515</stp>
        <tr r="U61" s="2"/>
      </tp>
      <tp t="s">
        <v>#N/A N/A</v>
        <stp/>
        <stp>BDH|3412828790884312753</stp>
        <tr r="H63" s="2"/>
      </tp>
      <tp t="s">
        <v>#N/A N/A</v>
        <stp/>
        <stp>BDH|1225118240941000434</stp>
        <tr r="E63" s="2"/>
      </tp>
      <tp t="s">
        <v>#N/A N/A</v>
        <stp/>
        <stp>BDH|9330518680771662442</stp>
        <tr r="AA12" s="2"/>
      </tp>
      <tp t="s">
        <v>#N/A N/A</v>
        <stp/>
        <stp>BDH|8445076720743485876</stp>
        <tr r="O30" s="2"/>
      </tp>
      <tp t="s">
        <v>#N/A N/A</v>
        <stp/>
        <stp>BDH|6408734400719160974</stp>
        <tr r="AE27" s="2"/>
      </tp>
      <tp t="s">
        <v>#N/A N/A</v>
        <stp/>
        <stp>BDH|7185487811036954503</stp>
        <tr r="AD9" s="2"/>
      </tp>
      <tp t="s">
        <v>#N/A N/A</v>
        <stp/>
        <stp>BDH|3589730227387215053</stp>
        <tr r="Z15" s="2"/>
      </tp>
      <tp t="s">
        <v>#N/A N/A</v>
        <stp/>
        <stp>BDH|4415121270723684063</stp>
        <tr r="V60" s="2"/>
      </tp>
      <tp t="s">
        <v>#N/A N/A</v>
        <stp/>
        <stp>BDH|6734949198423586489</stp>
        <tr r="W30" s="2"/>
      </tp>
      <tp t="s">
        <v>#N/A N/A</v>
        <stp/>
        <stp>BDH|6674134274040581124</stp>
        <tr r="D17" s="2"/>
      </tp>
      <tp t="s">
        <v>#N/A N/A</v>
        <stp/>
        <stp>BDH|2299846015189708321</stp>
        <tr r="AB25" s="2"/>
      </tp>
      <tp t="s">
        <v>#N/A N/A</v>
        <stp/>
        <stp>BDH|2074682778211106366</stp>
        <tr r="V12" s="2"/>
      </tp>
      <tp t="s">
        <v>#N/A N/A</v>
        <stp/>
        <stp>BDH|5486754756651127718</stp>
        <tr r="P30" s="2"/>
      </tp>
      <tp t="s">
        <v>#N/A N/A</v>
        <stp/>
        <stp>BDH|2513396384599971165</stp>
        <tr r="AE22" s="2"/>
      </tp>
      <tp t="s">
        <v>#N/A N/A</v>
        <stp/>
        <stp>BDH|7142809398181516686</stp>
        <tr r="D47" s="2"/>
      </tp>
      <tp t="s">
        <v>#N/A N/A</v>
        <stp/>
        <stp>BDH|1560539116824489000</stp>
        <tr r="P60" s="2"/>
      </tp>
      <tp t="s">
        <v>#N/A N/A</v>
        <stp/>
        <stp>BDH|5064853992486468362</stp>
        <tr r="AE24" s="2"/>
      </tp>
      <tp t="s">
        <v>#N/A N/A</v>
        <stp/>
        <stp>BDH|6234705390090338942</stp>
        <tr r="V19" s="2"/>
      </tp>
      <tp t="s">
        <v>#N/A N/A</v>
        <stp/>
        <stp>BDH|5121233502111068750</stp>
        <tr r="L23" s="2"/>
      </tp>
      <tp t="s">
        <v>#N/A N/A</v>
        <stp/>
        <stp>BDH|2006418817714075233</stp>
        <tr r="T51" s="2"/>
      </tp>
      <tp t="s">
        <v>#N/A N/A</v>
        <stp/>
        <stp>BDH|6238785844633292795</stp>
        <tr r="Y48" s="2"/>
      </tp>
      <tp t="s">
        <v>#N/A N/A</v>
        <stp/>
        <stp>BDH|4155542667905633312</stp>
        <tr r="AD8" s="2"/>
      </tp>
      <tp t="s">
        <v>#N/A N/A</v>
        <stp/>
        <stp>BDH|3920112800263550379</stp>
        <tr r="K38" s="2"/>
      </tp>
      <tp t="s">
        <v>#N/A N/A</v>
        <stp/>
        <stp>BDH|4920996144722636990</stp>
        <tr r="C17" s="2"/>
      </tp>
      <tp t="s">
        <v>#N/A N/A</v>
        <stp/>
        <stp>BDH|7826782618441209211</stp>
        <tr r="W9" s="2"/>
      </tp>
      <tp t="s">
        <v>#N/A N/A</v>
        <stp/>
        <stp>BDH|5180480072910451440</stp>
        <tr r="AB18" s="2"/>
      </tp>
      <tp t="s">
        <v>#N/A N/A</v>
        <stp/>
        <stp>BDH|5312736239291137205</stp>
        <tr r="C9" s="2"/>
      </tp>
      <tp t="s">
        <v>#N/A N/A</v>
        <stp/>
        <stp>BDH|4408267459775234417</stp>
        <tr r="P44" s="2"/>
      </tp>
      <tp t="s">
        <v>#N/A N/A</v>
        <stp/>
        <stp>BDH|5072550860784994046</stp>
        <tr r="X19" s="2"/>
      </tp>
      <tp t="s">
        <v>#N/A N/A</v>
        <stp/>
        <stp>BDH|2848272645466577064</stp>
        <tr r="AF30" s="2"/>
      </tp>
      <tp t="s">
        <v>#N/A N/A</v>
        <stp/>
        <stp>BDH|2209202861404321094</stp>
        <tr r="W34" s="2"/>
      </tp>
      <tp t="s">
        <v>#N/A N/A</v>
        <stp/>
        <stp>BDH|6424946648108238139</stp>
        <tr r="O49" s="2"/>
      </tp>
      <tp t="s">
        <v>#N/A N/A</v>
        <stp/>
        <stp>BDH|1761440573123809319</stp>
        <tr r="O44" s="2"/>
      </tp>
      <tp t="s">
        <v>#N/A N/A</v>
        <stp/>
        <stp>BDH|7194051975343695191</stp>
        <tr r="R46" s="2"/>
      </tp>
      <tp t="s">
        <v>#N/A N/A</v>
        <stp/>
        <stp>BDH|3657915938438685375</stp>
        <tr r="X11" s="2"/>
      </tp>
      <tp t="s">
        <v>#N/A N/A</v>
        <stp/>
        <stp>BDH|5444667261231434683</stp>
        <tr r="X66" s="2"/>
      </tp>
      <tp t="s">
        <v>#N/A N/A</v>
        <stp/>
        <stp>BDH|2572897185662220241</stp>
        <tr r="H42" s="2"/>
      </tp>
      <tp t="s">
        <v>#N/A N/A</v>
        <stp/>
        <stp>BDH|1926939670929730402</stp>
        <tr r="AC43" s="2"/>
      </tp>
      <tp t="s">
        <v>#N/A N/A</v>
        <stp/>
        <stp>BDH|5435660764944291391</stp>
        <tr r="Z65" s="2"/>
      </tp>
      <tp t="s">
        <v>#N/A N/A</v>
        <stp/>
        <stp>BDH|7899507647691687542</stp>
        <tr r="C55" s="2"/>
      </tp>
      <tp t="s">
        <v>#N/A N/A</v>
        <stp/>
        <stp>BDH|5847055304612790533</stp>
        <tr r="AA50" s="2"/>
      </tp>
      <tp t="s">
        <v>#N/A N/A</v>
        <stp/>
        <stp>BDH|8262035000312274816</stp>
        <tr r="AF42" s="2"/>
      </tp>
      <tp t="s">
        <v>#N/A N/A</v>
        <stp/>
        <stp>BDH|5385052973210728003</stp>
        <tr r="U55" s="2"/>
      </tp>
      <tp t="s">
        <v>#N/A N/A</v>
        <stp/>
        <stp>BDH|1139476561377060658</stp>
        <tr r="P34" s="2"/>
      </tp>
      <tp t="s">
        <v>#N/A N/A</v>
        <stp/>
        <stp>BDH|1356790997639996467</stp>
        <tr r="Y10" s="2"/>
      </tp>
      <tp t="s">
        <v>#N/A N/A</v>
        <stp/>
        <stp>BDH|1101120448454859205</stp>
        <tr r="I66" s="2"/>
      </tp>
      <tp t="s">
        <v>#N/A N/A</v>
        <stp/>
        <stp>BDH|2694206333637443626</stp>
        <tr r="V31" s="2"/>
      </tp>
      <tp t="s">
        <v>#N/A N/A</v>
        <stp/>
        <stp>BDH|9815095967855566801</stp>
        <tr r="J15" s="2"/>
      </tp>
      <tp t="s">
        <v>#N/A N/A</v>
        <stp/>
        <stp>BDH|1568654109092369799</stp>
        <tr r="I37" s="2"/>
      </tp>
      <tp t="s">
        <v>#N/A N/A</v>
        <stp/>
        <stp>BDH|6407122930431037761</stp>
        <tr r="Z64" s="2"/>
      </tp>
      <tp t="s">
        <v>#N/A N/A</v>
        <stp/>
        <stp>BDH|4603716621606043563</stp>
        <tr r="G43" s="2"/>
      </tp>
      <tp t="s">
        <v>#N/A N/A</v>
        <stp/>
        <stp>BDH|2312623608507035192</stp>
        <tr r="AB55" s="2"/>
      </tp>
      <tp t="s">
        <v>#N/A N/A</v>
        <stp/>
        <stp>BDH|4102610710796401748</stp>
        <tr r="AF41" s="2"/>
      </tp>
      <tp t="s">
        <v>#N/A N/A</v>
        <stp/>
        <stp>BDH|9500438838464647887</stp>
        <tr r="U64" s="2"/>
      </tp>
      <tp t="s">
        <v>#N/A N/A</v>
        <stp/>
        <stp>BDH|2072664064791442170</stp>
        <tr r="AF23" s="2"/>
      </tp>
      <tp t="s">
        <v>#N/A N/A</v>
        <stp/>
        <stp>BDH|7274306146284603631</stp>
        <tr r="P45" s="2"/>
      </tp>
      <tp t="s">
        <v>#N/A N/A</v>
        <stp/>
        <stp>BDH|4594818865140613865</stp>
        <tr r="T45" s="2"/>
      </tp>
      <tp t="s">
        <v>#N/A N/A</v>
        <stp/>
        <stp>BDH|2497646421410525456</stp>
        <tr r="AD31" s="2"/>
      </tp>
      <tp t="s">
        <v>#N/A N/A</v>
        <stp/>
        <stp>BDH|8899095282062737050</stp>
        <tr r="F37" s="2"/>
      </tp>
      <tp t="s">
        <v>#N/A N/A</v>
        <stp/>
        <stp>BDH|9344475839558239492</stp>
        <tr r="I26" s="2"/>
      </tp>
      <tp t="s">
        <v>#N/A N/A</v>
        <stp/>
        <stp>BDH|8755804445260437606</stp>
        <tr r="H27" s="2"/>
      </tp>
      <tp t="s">
        <v>#N/A N/A</v>
        <stp/>
        <stp>BDH|2269766661146216719</stp>
        <tr r="J17" s="2"/>
      </tp>
      <tp t="s">
        <v>#N/A N/A</v>
        <stp/>
        <stp>BDH|3627216666741069465</stp>
        <tr r="AF32" s="2"/>
      </tp>
      <tp t="s">
        <v>#N/A N/A</v>
        <stp/>
        <stp>BDH|2048467381124754878</stp>
        <tr r="V13" s="2"/>
      </tp>
      <tp t="s">
        <v>#N/A N/A</v>
        <stp/>
        <stp>BDH|6366453321661252328</stp>
        <tr r="AD44" s="2"/>
      </tp>
      <tp t="s">
        <v>#N/A N/A</v>
        <stp/>
        <stp>BDH|5862494184863484852</stp>
        <tr r="V42" s="2"/>
      </tp>
      <tp t="s">
        <v>#N/A N/A</v>
        <stp/>
        <stp>BDH|7109043556790406021</stp>
        <tr r="AC66" s="2"/>
      </tp>
      <tp t="s">
        <v>#N/A N/A</v>
        <stp/>
        <stp>BDH|7361353928196989225</stp>
        <tr r="Y42" s="2"/>
      </tp>
      <tp t="s">
        <v>#N/A N/A</v>
        <stp/>
        <stp>BDH|6091399542274008613</stp>
        <tr r="E13" s="2"/>
      </tp>
      <tp t="s">
        <v>#N/A N/A</v>
        <stp/>
        <stp>BDH|4889305542535880583</stp>
        <tr r="S9" s="2"/>
      </tp>
      <tp t="s">
        <v>#N/A N/A</v>
        <stp/>
        <stp>BDH|7278253386536867834</stp>
        <tr r="P18" s="2"/>
      </tp>
      <tp t="s">
        <v>#N/A N/A</v>
        <stp/>
        <stp>BDH|8728082743786683901</stp>
        <tr r="W37" s="2"/>
      </tp>
      <tp t="s">
        <v>#N/A N/A</v>
        <stp/>
        <stp>BDH|8275832247450530783</stp>
        <tr r="P47" s="2"/>
      </tp>
      <tp t="s">
        <v>#N/A N/A</v>
        <stp/>
        <stp>BDH|7917481658200484568</stp>
        <tr r="P16" s="2"/>
      </tp>
      <tp t="s">
        <v>#N/A N/A</v>
        <stp/>
        <stp>BDH|8654850128540526150</stp>
        <tr r="C15" s="2"/>
      </tp>
      <tp t="s">
        <v>#N/A N/A</v>
        <stp/>
        <stp>BDH|8868265657249450561</stp>
        <tr r="N43" s="2"/>
      </tp>
      <tp t="s">
        <v>#N/A N/A</v>
        <stp/>
        <stp>BDH|5552477262283373783</stp>
        <tr r="G64" s="2"/>
      </tp>
      <tp t="s">
        <v>#N/A N/A</v>
        <stp/>
        <stp>BDH|8816276786586467751</stp>
        <tr r="S38" s="2"/>
      </tp>
      <tp t="s">
        <v>#N/A N/A</v>
        <stp/>
        <stp>BDH|5385949137444180894</stp>
        <tr r="F49" s="2"/>
      </tp>
      <tp t="s">
        <v>#N/A N/A</v>
        <stp/>
        <stp>BDH|3819477147063826395</stp>
        <tr r="AA11" s="2"/>
      </tp>
      <tp t="s">
        <v>#N/A N/A</v>
        <stp/>
        <stp>BDH|6394748735320960120</stp>
        <tr r="H46" s="2"/>
      </tp>
      <tp t="s">
        <v>#N/A N/A</v>
        <stp/>
        <stp>BDH|1961000214060732332</stp>
        <tr r="C25" s="2"/>
      </tp>
      <tp t="s">
        <v>#N/A N/A</v>
        <stp/>
        <stp>BDH|1224159675013389789</stp>
        <tr r="H32" s="2"/>
      </tp>
      <tp t="s">
        <v>#N/A N/A</v>
        <stp/>
        <stp>BDH|7505495426782255018</stp>
        <tr r="G65" s="2"/>
      </tp>
      <tp t="s">
        <v>#N/A N/A</v>
        <stp/>
        <stp>BDH|4446663663162962563</stp>
        <tr r="U29" s="2"/>
      </tp>
      <tp t="s">
        <v>#N/A N/A</v>
        <stp/>
        <stp>BDH|1888354555010403427</stp>
        <tr r="AF7" s="2"/>
      </tp>
      <tp t="s">
        <v>#N/A N/A</v>
        <stp/>
        <stp>BDH|9666895421512054209</stp>
        <tr r="G28" s="2"/>
      </tp>
      <tp t="s">
        <v>#N/A N/A</v>
        <stp/>
        <stp>BDH|7419464285768044081</stp>
        <tr r="Y31" s="2"/>
      </tp>
      <tp t="s">
        <v>#N/A N/A</v>
        <stp/>
        <stp>BDH|4953345145425169569</stp>
        <tr r="J27" s="2"/>
      </tp>
      <tp t="s">
        <v>#N/A N/A</v>
        <stp/>
        <stp>BDH|3125674955345924661</stp>
        <tr r="I10" s="2"/>
      </tp>
      <tp t="s">
        <v>#N/A N/A</v>
        <stp/>
        <stp>BDH|4916105125915900196</stp>
        <tr r="AB37" s="2"/>
      </tp>
      <tp t="s">
        <v>#N/A N/A</v>
        <stp/>
        <stp>BDH|5988916097601521760</stp>
        <tr r="F8" s="2"/>
      </tp>
      <tp t="s">
        <v>#N/A N/A</v>
        <stp/>
        <stp>BDH|4691794746974248063</stp>
        <tr r="J47" s="2"/>
      </tp>
      <tp t="s">
        <v>#N/A N/A</v>
        <stp/>
        <stp>BDH|5898685261391465778</stp>
        <tr r="R49" s="2"/>
      </tp>
      <tp t="s">
        <v>#N/A N/A</v>
        <stp/>
        <stp>BDH|8136717430157609844</stp>
        <tr r="I30" s="2"/>
      </tp>
      <tp t="s">
        <v>#N/A N/A</v>
        <stp/>
        <stp>BDH|1131298937762597180</stp>
        <tr r="AA7" s="2"/>
      </tp>
      <tp t="s">
        <v>#N/A N/A</v>
        <stp/>
        <stp>BDH|6042439339184179691</stp>
        <tr r="K8" s="2"/>
      </tp>
      <tp t="s">
        <v>#N/A N/A</v>
        <stp/>
        <stp>BDH|4650445136715715503</stp>
        <tr r="T37" s="2"/>
      </tp>
      <tp t="s">
        <v>#N/A N/A</v>
        <stp/>
        <stp>BDH|7196470725336064405</stp>
        <tr r="X12" s="2"/>
      </tp>
      <tp t="s">
        <v>#N/A N/A</v>
        <stp/>
        <stp>BDH|1358850365314685867</stp>
        <tr r="R7" s="2"/>
      </tp>
      <tp t="s">
        <v>#N/A N/A</v>
        <stp/>
        <stp>BDH|2493437064225540652</stp>
        <tr r="C27" s="2"/>
      </tp>
      <tp t="s">
        <v>#N/A N/A</v>
        <stp/>
        <stp>BDH|7561282948995505732</stp>
        <tr r="T18" s="2"/>
      </tp>
      <tp t="s">
        <v>#N/A N/A</v>
        <stp/>
        <stp>BDH|5364242413083758632</stp>
        <tr r="R15" s="2"/>
      </tp>
      <tp t="s">
        <v>#N/A N/A</v>
        <stp/>
        <stp>BDH|2542638602754601322</stp>
        <tr r="J22" s="2"/>
      </tp>
      <tp t="s">
        <v>#N/A N/A</v>
        <stp/>
        <stp>BDH|7774478134107032445</stp>
        <tr r="N53" s="2"/>
      </tp>
      <tp t="s">
        <v>#N/A N/A</v>
        <stp/>
        <stp>BDH|7686330559382506097</stp>
        <tr r="K30" s="2"/>
      </tp>
      <tp t="s">
        <v>#N/A N/A</v>
        <stp/>
        <stp>BDH|8341523348378089293</stp>
        <tr r="O27" s="2"/>
      </tp>
      <tp t="s">
        <v>#N/A N/A</v>
        <stp/>
        <stp>BDH|6871047564955881614</stp>
        <tr r="AB23" s="2"/>
      </tp>
      <tp t="s">
        <v>#N/A N/A</v>
        <stp/>
        <stp>BDH|4911794792321735842</stp>
        <tr r="G42" s="2"/>
      </tp>
      <tp t="s">
        <v>#N/A N/A</v>
        <stp/>
        <stp>BDH|6713337955536321540</stp>
        <tr r="O38" s="2"/>
      </tp>
      <tp t="s">
        <v>#N/A N/A</v>
        <stp/>
        <stp>BDH|4965496546620132715</stp>
        <tr r="G11" s="2"/>
      </tp>
      <tp t="s">
        <v>#N/A N/A</v>
        <stp/>
        <stp>BDH|3523736755532407016</stp>
        <tr r="N34" s="2"/>
      </tp>
      <tp t="s">
        <v>#N/A N/A</v>
        <stp/>
        <stp>BDH|6197869933427091924</stp>
        <tr r="AE50" s="2"/>
      </tp>
      <tp t="s">
        <v>#N/A N/A</v>
        <stp/>
        <stp>BDH|9116045281483007129</stp>
        <tr r="Z59" s="2"/>
      </tp>
      <tp t="s">
        <v>#N/A N/A</v>
        <stp/>
        <stp>BDH|2572057126740487344</stp>
        <tr r="L26" s="2"/>
      </tp>
      <tp t="s">
        <v>#N/A N/A</v>
        <stp/>
        <stp>BDH|2095232497392220800</stp>
        <tr r="X15" s="2"/>
      </tp>
      <tp t="s">
        <v>#N/A N/A</v>
        <stp/>
        <stp>BDH|9121804169383951769</stp>
        <tr r="E50" s="2"/>
      </tp>
      <tp t="s">
        <v>#N/A N/A</v>
        <stp/>
        <stp>BDH|6950205275512298295</stp>
        <tr r="N35" s="2"/>
      </tp>
      <tp t="s">
        <v>#N/A N/A</v>
        <stp/>
        <stp>BDH|7029607914834908799</stp>
        <tr r="AD22" s="2"/>
      </tp>
      <tp t="s">
        <v>#N/A N/A</v>
        <stp/>
        <stp>BDH|3828484551042532314</stp>
        <tr r="M32" s="2"/>
      </tp>
      <tp t="s">
        <v>#N/A N/A</v>
        <stp/>
        <stp>BDH|6540838227319732636</stp>
        <tr r="AE23" s="2"/>
      </tp>
      <tp t="s">
        <v>#N/A N/A</v>
        <stp/>
        <stp>BDH|20235640979695198</stp>
        <tr r="Q53" s="2"/>
      </tp>
      <tp t="s">
        <v>#N/A N/A</v>
        <stp/>
        <stp>BDH|856422277976933095</stp>
        <tr r="I18" s="2"/>
      </tp>
      <tp t="s">
        <v>#N/A N/A</v>
        <stp/>
        <stp>BDH|727581852262772731</stp>
        <tr r="W35" s="2"/>
      </tp>
      <tp t="s">
        <v>#N/A N/A</v>
        <stp/>
        <stp>BDH|316839251988056055</stp>
        <tr r="X41" s="2"/>
      </tp>
      <tp t="s">
        <v>#N/A N/A</v>
        <stp/>
        <stp>BDH|970126230864170266</stp>
        <tr r="AB34" s="2"/>
      </tp>
      <tp t="s">
        <v>#N/A N/A</v>
        <stp/>
        <stp>BDH|162696267822804682</stp>
        <tr r="P51" s="2"/>
      </tp>
      <tp t="s">
        <v>#N/A N/A</v>
        <stp/>
        <stp>BDH|498016950561910319</stp>
        <tr r="D45" s="2"/>
      </tp>
      <tp t="s">
        <v>#N/A N/A</v>
        <stp/>
        <stp>BDH|332364574105564690</stp>
        <tr r="O45" s="2"/>
      </tp>
      <tp t="s">
        <v>#N/A N/A</v>
        <stp/>
        <stp>BDH|141322310441274457</stp>
        <tr r="N15" s="2"/>
      </tp>
      <tp t="s">
        <v>#N/A N/A</v>
        <stp/>
        <stp>BDH|503732601290500067</stp>
        <tr r="AF22" s="2"/>
      </tp>
      <tp t="s">
        <v>#N/A N/A</v>
        <stp/>
        <stp>BDH|544637448020873538</stp>
        <tr r="W18" s="2"/>
      </tp>
      <tp t="s">
        <v>#N/A N/A</v>
        <stp/>
        <stp>BDH|424172947053709143</stp>
        <tr r="O50" s="2"/>
      </tp>
      <tp t="s">
        <v>#N/A N/A</v>
        <stp/>
        <stp>BDH|475929890461420616</stp>
        <tr r="F66" s="2"/>
      </tp>
      <tp t="s">
        <v>#N/A N/A</v>
        <stp/>
        <stp>BDH|774368108240478512</stp>
        <tr r="P27" s="2"/>
      </tp>
      <tp t="s">
        <v>#N/A N/A</v>
        <stp/>
        <stp>BDH|755389176521070349</stp>
        <tr r="W25" s="2"/>
      </tp>
      <tp t="s">
        <v>#N/A N/A</v>
        <stp/>
        <stp>BDH|136733613925970507</stp>
        <tr r="D10" s="2"/>
      </tp>
      <tp t="s">
        <v>#N/A N/A</v>
        <stp/>
        <stp>BDH|384703559780161408</stp>
        <tr r="S50" s="2"/>
      </tp>
      <tp t="s">
        <v>#N/A N/A</v>
        <stp/>
        <stp>BDH|666834474690537907</stp>
        <tr r="K66" s="2"/>
      </tp>
      <tp t="s">
        <v>#N/A N/A</v>
        <stp/>
        <stp>BDH|811200490949065499</stp>
        <tr r="K65" s="2"/>
      </tp>
      <tp t="s">
        <v>#N/A N/A</v>
        <stp/>
        <stp>BDH|584764761307016001</stp>
        <tr r="T17" s="2"/>
      </tp>
      <tp t="s">
        <v>#N/A N/A</v>
        <stp/>
        <stp>BDH|502158452733999665</stp>
        <tr r="T36" s="2"/>
      </tp>
      <tp t="s">
        <v>#N/A N/A</v>
        <stp/>
        <stp>BDH|894593413437650267</stp>
        <tr r="O48" s="2"/>
      </tp>
      <tp t="s">
        <v>#N/A N/A</v>
        <stp/>
        <stp>BDH|232939508780351965</stp>
        <tr r="L47" s="2"/>
      </tp>
      <tp t="s">
        <v>#N/A N/A</v>
        <stp/>
        <stp>BDH|602011850032907707</stp>
        <tr r="C60" s="2"/>
      </tp>
      <tp t="s">
        <v>#N/A N/A</v>
        <stp/>
        <stp>BDH|878697293758218780</stp>
        <tr r="N46" s="2"/>
      </tp>
      <tp t="s">
        <v>#N/A N/A</v>
        <stp/>
        <stp>BDH|143862580916961693</stp>
        <tr r="Z55" s="2"/>
      </tp>
      <tp t="s">
        <v>#N/A N/A</v>
        <stp/>
        <stp>BDH|347445347449726974</stp>
        <tr r="N61" s="2"/>
      </tp>
      <tp t="s">
        <v>#N/A N/A</v>
        <stp/>
        <stp>BDH|299985994584103731</stp>
        <tr r="T61" s="2"/>
      </tp>
      <tp t="s">
        <v>#N/A N/A</v>
        <stp/>
        <stp>BDH|208177964532780689</stp>
        <tr r="AD48" s="2"/>
      </tp>
      <tp t="s">
        <v>#N/A N/A</v>
        <stp/>
        <stp>BDH|579348718457160619</stp>
        <tr r="AC35" s="2"/>
      </tp>
      <tp t="s">
        <v>#N/A N/A</v>
        <stp/>
        <stp>BDH|976594271903328272</stp>
        <tr r="J31" s="2"/>
      </tp>
      <tp t="s">
        <v>#N/A N/A</v>
        <stp/>
        <stp>BDH|851939611259534288</stp>
        <tr r="X35" s="2"/>
      </tp>
      <tp t="s">
        <v>#N/A N/A</v>
        <stp/>
        <stp>BDH|769642580025324808</stp>
        <tr r="P41" s="2"/>
      </tp>
      <tp t="s">
        <v>#N/A N/A</v>
        <stp/>
        <stp>BDH|275638053377978677</stp>
        <tr r="M55" s="2"/>
      </tp>
      <tp t="s">
        <v>#N/A N/A</v>
        <stp/>
        <stp>BDH|112031699369385248</stp>
        <tr r="U65" s="2"/>
      </tp>
      <tp t="s">
        <v>#N/A N/A</v>
        <stp/>
        <stp>BDH|382650551444101599</stp>
        <tr r="K29" s="2"/>
      </tp>
      <tp t="s">
        <v>#N/A N/A</v>
        <stp/>
        <stp>BDH|608545296769176896</stp>
        <tr r="X60" s="2"/>
      </tp>
      <tp t="s">
        <v>#N/A N/A</v>
        <stp/>
        <stp>BDH|175300658993700813</stp>
        <tr r="H10" s="2"/>
      </tp>
      <tp t="s">
        <v>#N/A N/A</v>
        <stp/>
        <stp>BDH|578485937878575253</stp>
        <tr r="V50" s="2"/>
      </tp>
      <tp t="s">
        <v>#N/A N/A</v>
        <stp/>
        <stp>BDH|549845476007547558</stp>
        <tr r="AF12" s="2"/>
      </tp>
      <tp t="s">
        <v>#N/A N/A</v>
        <stp/>
        <stp>BDH|978689300623019800</stp>
        <tr r="AB31" s="2"/>
      </tp>
      <tp t="s">
        <v>#N/A N/A</v>
        <stp/>
        <stp>BDH|600513994759280802</stp>
        <tr r="AA51" s="2"/>
      </tp>
      <tp t="s">
        <v>#N/A N/A</v>
        <stp/>
        <stp>BDH|545711995182648140</stp>
        <tr r="AA61" s="2"/>
      </tp>
      <tp t="s">
        <v>#N/A N/A</v>
        <stp/>
        <stp>BDH|949341155109942308</stp>
        <tr r="AD35" s="2"/>
      </tp>
      <tp t="s">
        <v>#N/A N/A</v>
        <stp/>
        <stp>BDH|981532260724432838</stp>
        <tr r="AC15" s="2"/>
      </tp>
      <tp t="s">
        <v>#N/A N/A</v>
        <stp/>
        <stp>BDH|816834416330134679</stp>
        <tr r="G26" s="2"/>
      </tp>
      <tp t="s">
        <v>#N/A N/A</v>
        <stp/>
        <stp>BDH|330465386454522735</stp>
        <tr r="G51" s="2"/>
      </tp>
      <tp t="s">
        <v>#N/A N/A</v>
        <stp/>
        <stp>BDH|755859807313516581</stp>
        <tr r="D33" s="2"/>
      </tp>
      <tp t="s">
        <v>#N/A N/A</v>
        <stp/>
        <stp>BDH|934363984797766259</stp>
        <tr r="AF25" s="2"/>
      </tp>
      <tp t="s">
        <v>#N/A N/A</v>
        <stp/>
        <stp>BDH|729599782877062356</stp>
        <tr r="R47" s="2"/>
      </tp>
      <tp t="s">
        <v>#N/A N/A</v>
        <stp/>
        <stp>BDH|451245458356169802</stp>
        <tr r="L34" s="2"/>
      </tp>
      <tp t="s">
        <v>#N/A N/A</v>
        <stp/>
        <stp>BDH|908759526754273838</stp>
        <tr r="N22" s="2"/>
      </tp>
      <tp t="s">
        <v>#N/A N/A</v>
        <stp/>
        <stp>BDH|539570521718405623</stp>
        <tr r="G61" s="2"/>
      </tp>
      <tp t="s">
        <v>#N/A N/A</v>
        <stp/>
        <stp>BDH|411480519259194543</stp>
        <tr r="G25" s="2"/>
      </tp>
      <tp t="s">
        <v>#N/A N/A</v>
        <stp/>
        <stp>BDH|250898648450266511</stp>
        <tr r="D46" s="2"/>
      </tp>
      <tp t="s">
        <v>#N/A N/A</v>
        <stp/>
        <stp>BDH|874202360609781511</stp>
        <tr r="W27" s="2"/>
      </tp>
      <tp t="s">
        <v>#N/A N/A</v>
        <stp/>
        <stp>BDH|223904521656821510</stp>
        <tr r="AA43" s="2"/>
      </tp>
      <tp t="s">
        <v>#N/A N/A</v>
        <stp/>
        <stp>BDH|138554652891517988</stp>
        <tr r="I49" s="2"/>
      </tp>
      <tp t="s">
        <v>#N/A N/A</v>
        <stp/>
        <stp>BDH|979711097206992021</stp>
        <tr r="Z60" s="2"/>
      </tp>
      <tp t="s">
        <v>#N/A N/A</v>
        <stp/>
        <stp>BDH|551157226072572924</stp>
        <tr r="G14" s="2"/>
      </tp>
      <tp t="s">
        <v>#N/A N/A</v>
        <stp/>
        <stp>BDH|548934158950948736</stp>
        <tr r="F27" s="2"/>
      </tp>
      <tp t="s">
        <v>#N/A N/A</v>
        <stp/>
        <stp>BDH|263816978336136379</stp>
        <tr r="O60" s="2"/>
      </tp>
      <tp t="s">
        <v>#N/A N/A</v>
        <stp/>
        <stp>BDH|275679664779627391</stp>
        <tr r="Z34" s="2"/>
      </tp>
      <tp t="s">
        <v>#N/A N/A</v>
        <stp/>
        <stp>BDH|315113099334654640</stp>
        <tr r="V62" s="2"/>
      </tp>
      <tp t="s">
        <v>#N/A N/A</v>
        <stp/>
        <stp>BDH|758299736862732995</stp>
        <tr r="AE53" s="2"/>
      </tp>
      <tp t="s">
        <v>#N/A N/A</v>
        <stp/>
        <stp>BDH|705282382540998033</stp>
        <tr r="T65" s="2"/>
      </tp>
      <tp t="s">
        <v>#N/A N/A</v>
        <stp/>
        <stp>BDH|901482522075571976</stp>
        <tr r="P29" s="2"/>
      </tp>
      <tp t="s">
        <v>#N/A N/A</v>
        <stp/>
        <stp>BDH|579013678175875855</stp>
        <tr r="F1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"/>
  <sheetViews>
    <sheetView tabSelected="1" workbookViewId="0">
      <selection activeCell="C9" sqref="C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_xll.BDH("DE US Equity","CF_NET_INC","FQ3 2018","FQ3 2018","Currency=USD","Period=FQ","BEST_FPERIOD_OVERRIDE=FQ","FILING_STATUS=MR","SCALING_FORMAT=MLN","Sort=A","Dates=H","DateFormat=P","Fill=—","Direction=H","UseDPDF=Y")</f>
        <v>910</v>
      </c>
      <c r="D7" s="12" cm="1">
        <f t="array" ref="D7">_xll.BDH("DE US Equity","CF_NET_INC","FQ4 2018","FQ4 2018","Currency=USD","Period=FQ","BEST_FPERIOD_OVERRIDE=FQ","FILING_STATUS=MR","SCALING_FORMAT=MLN","Sort=A","Dates=H","DateFormat=P","Fill=—","Direction=H","UseDPDF=Y")</f>
        <v>785</v>
      </c>
      <c r="E7" s="12" cm="1">
        <f t="array" ref="E7">_xll.BDH("DE US Equity","CF_NET_INC","FQ1 2019","FQ1 2019","Currency=USD","Period=FQ","BEST_FPERIOD_OVERRIDE=FQ","FILING_STATUS=MR","SCALING_FORMAT=MLN","Sort=A","Dates=H","DateFormat=P","Fill=—","Direction=H","UseDPDF=Y")</f>
        <v>498</v>
      </c>
      <c r="F7" s="12" cm="1">
        <f t="array" ref="F7">_xll.BDH("DE US Equity","CF_NET_INC","FQ2 2019","FQ2 2019","Currency=USD","Period=FQ","BEST_FPERIOD_OVERRIDE=FQ","FILING_STATUS=MR","SCALING_FORMAT=MLN","Sort=A","Dates=H","DateFormat=P","Fill=—","Direction=H","UseDPDF=Y")</f>
        <v>1135</v>
      </c>
      <c r="G7" s="12" cm="1">
        <f t="array" ref="G7">_xll.BDH("DE US Equity","CF_NET_INC","FQ3 2019","FQ3 2019","Currency=USD","Period=FQ","BEST_FPERIOD_OVERRIDE=FQ","FILING_STATUS=MR","SCALING_FORMAT=MLN","Sort=A","Dates=H","DateFormat=P","Fill=—","Direction=H","UseDPDF=Y")</f>
        <v>899</v>
      </c>
      <c r="H7" s="12" cm="1">
        <f t="array" ref="H7">_xll.BDH("DE US Equity","CF_NET_INC","FQ4 2019","FQ4 2019","Currency=USD","Period=FQ","BEST_FPERIOD_OVERRIDE=FQ","FILING_STATUS=MR","SCALING_FORMAT=MLN","Sort=A","Dates=H","DateFormat=P","Fill=—","Direction=H","UseDPDF=Y")</f>
        <v>722</v>
      </c>
      <c r="I7" s="12" cm="1">
        <f t="array" ref="I7">_xll.BDH("DE US Equity","CF_NET_INC","FQ1 2020","FQ1 2020","Currency=USD","Period=FQ","BEST_FPERIOD_OVERRIDE=FQ","FILING_STATUS=MR","SCALING_FORMAT=MLN","Sort=A","Dates=H","DateFormat=P","Fill=—","Direction=H","UseDPDF=Y")</f>
        <v>517</v>
      </c>
      <c r="J7" s="12" cm="1">
        <f t="array" ref="J7">_xll.BDH("DE US Equity","CF_NET_INC","FQ2 2020","FQ2 2020","Currency=USD","Period=FQ","BEST_FPERIOD_OVERRIDE=FQ","FILING_STATUS=MR","SCALING_FORMAT=MLN","Sort=A","Dates=H","DateFormat=P","Fill=—","Direction=H","UseDPDF=Y")</f>
        <v>666</v>
      </c>
      <c r="K7" s="12" cm="1">
        <f t="array" ref="K7">_xll.BDH("DE US Equity","CF_NET_INC","FQ3 2020","FQ3 2020","Currency=USD","Period=FQ","BEST_FPERIOD_OVERRIDE=FQ","FILING_STATUS=MR","SCALING_FORMAT=MLN","Sort=A","Dates=H","DateFormat=P","Fill=—","Direction=H","UseDPDF=Y")</f>
        <v>811</v>
      </c>
      <c r="L7" s="12" cm="1">
        <f t="array" ref="L7">_xll.BDH("DE US Equity","CF_NET_INC","FQ4 2020","FQ4 2020","Currency=USD","Period=FQ","BEST_FPERIOD_OVERRIDE=FQ","FILING_STATUS=MR","SCALING_FORMAT=MLN","Sort=A","Dates=H","DateFormat=P","Fill=—","Direction=H","UseDPDF=Y")</f>
        <v>757</v>
      </c>
      <c r="M7" s="12" cm="1">
        <f t="array" ref="M7">_xll.BDH("DE US Equity","CF_NET_INC","FQ1 2021","FQ1 2021","Currency=USD","Period=FQ","BEST_FPERIOD_OVERRIDE=FQ","FILING_STATUS=MR","SCALING_FORMAT=MLN","Sort=A","Dates=H","DateFormat=P","Fill=—","Direction=H","UseDPDF=Y")</f>
        <v>1224</v>
      </c>
      <c r="N7" s="12" cm="1">
        <f t="array" ref="N7">_xll.BDH("DE US Equity","CF_NET_INC","FQ2 2021","FQ2 2021","Currency=USD","Period=FQ","BEST_FPERIOD_OVERRIDE=FQ","FILING_STATUS=MR","SCALING_FORMAT=MLN","Sort=A","Dates=H","DateFormat=P","Fill=—","Direction=H","UseDPDF=Y")</f>
        <v>1790</v>
      </c>
      <c r="O7" s="12" cm="1">
        <f t="array" ref="O7">_xll.BDH("DE US Equity","CF_NET_INC","FQ3 2021","FQ3 2021","Currency=USD","Period=FQ","BEST_FPERIOD_OVERRIDE=FQ","FILING_STATUS=MR","SCALING_FORMAT=MLN","Sort=A","Dates=H","DateFormat=P","Fill=—","Direction=H","UseDPDF=Y")</f>
        <v>1667</v>
      </c>
      <c r="P7" s="12" cm="1">
        <f t="array" ref="P7">_xll.BDH("DE US Equity","CF_NET_INC","FQ4 2021","FQ4 2021","Currency=USD","Period=FQ","BEST_FPERIOD_OVERRIDE=FQ","FILING_STATUS=MR","SCALING_FORMAT=MLN","Sort=A","Dates=H","DateFormat=P","Fill=—","Direction=H","UseDPDF=Y")</f>
        <v>1283</v>
      </c>
      <c r="Q7" s="12" cm="1">
        <f t="array" ref="Q7">_xll.BDH("DE US Equity","CF_NET_INC","FQ1 2022","FQ1 2022","Currency=USD","Period=FQ","BEST_FPERIOD_OVERRIDE=FQ","FILING_STATUS=MR","SCALING_FORMAT=MLN","Sort=A","Dates=H","DateFormat=P","Fill=—","Direction=H","UseDPDF=Y")</f>
        <v>903</v>
      </c>
      <c r="R7" s="12" cm="1">
        <f t="array" ref="R7">_xll.BDH("DE US Equity","CF_NET_INC","FQ2 2022","FQ2 2022","Currency=USD","Period=FQ","BEST_FPERIOD_OVERRIDE=FQ","FILING_STATUS=MR","SCALING_FORMAT=MLN","Sort=A","Dates=H","DateFormat=P","Fill=—","Direction=H","UseDPDF=Y")</f>
        <v>2098</v>
      </c>
      <c r="S7" s="12" cm="1">
        <f t="array" ref="S7">_xll.BDH("DE US Equity","CF_NET_INC","FQ3 2022","FQ3 2022","Currency=USD","Period=FQ","BEST_FPERIOD_OVERRIDE=FQ","FILING_STATUS=MR","SCALING_FORMAT=MLN","Sort=A","Dates=H","DateFormat=P","Fill=—","Direction=H","UseDPDF=Y")</f>
        <v>1884</v>
      </c>
      <c r="T7" s="12" cm="1">
        <f t="array" ref="T7">_xll.BDH("DE US Equity","CF_NET_INC","FQ4 2022","FQ4 2022","Currency=USD","Period=FQ","BEST_FPERIOD_OVERRIDE=FQ","FILING_STATUS=MR","SCALING_FORMAT=MLN","Sort=A","Dates=H","DateFormat=P","Fill=—","Direction=H","UseDPDF=Y")</f>
        <v>2246</v>
      </c>
      <c r="U7" s="12" cm="1">
        <f t="array" ref="U7">_xll.BDH("DE US Equity","CF_NET_INC","FQ1 2023","FQ1 2023","Currency=USD","Period=FQ","BEST_FPERIOD_OVERRIDE=FQ","FILING_STATUS=MR","SCALING_FORMAT=MLN","Sort=A","Dates=H","DateFormat=P","Fill=—","Direction=H","UseDPDF=Y")</f>
        <v>1959</v>
      </c>
      <c r="V7" s="12" cm="1">
        <f t="array" ref="V7">_xll.BDH("DE US Equity","CF_NET_INC","FQ2 2023","FQ2 2023","Currency=USD","Period=FQ","BEST_FPERIOD_OVERRIDE=FQ","FILING_STATUS=MR","SCALING_FORMAT=MLN","Sort=A","Dates=H","DateFormat=P","Fill=—","Direction=H","UseDPDF=Y")</f>
        <v>2860</v>
      </c>
      <c r="W7" s="12" cm="1">
        <f t="array" ref="W7">_xll.BDH("DE US Equity","CF_NET_INC","FQ3 2023","FQ3 2023","Currency=USD","Period=FQ","BEST_FPERIOD_OVERRIDE=FQ","FILING_STATUS=MR","SCALING_FORMAT=MLN","Sort=A","Dates=H","DateFormat=P","Fill=—","Direction=H","UseDPDF=Y")</f>
        <v>2978</v>
      </c>
      <c r="X7" s="12" cm="1">
        <f t="array" ref="X7">_xll.BDH("DE US Equity","CF_NET_INC","FQ4 2023","FQ4 2023","Currency=USD","Period=FQ","BEST_FPERIOD_OVERRIDE=FQ","FILING_STATUS=MR","SCALING_FORMAT=MLN","Sort=A","Dates=H","DateFormat=P","Fill=—","Direction=H","UseDPDF=Y")</f>
        <v>2369</v>
      </c>
      <c r="Y7" s="12" cm="1">
        <f t="array" ref="Y7">_xll.BDH("DE US Equity","CF_NET_INC","FQ1 2024","FQ1 2024","Currency=USD","Period=FQ","BEST_FPERIOD_OVERRIDE=FQ","FILING_STATUS=MR","SCALING_FORMAT=MLN","Sort=A","Dates=H","DateFormat=P","Fill=—","Direction=H","UseDPDF=Y")</f>
        <v>1751</v>
      </c>
      <c r="Z7" s="12" cm="1">
        <f t="array" ref="Z7">_xll.BDH("DE US Equity","CF_NET_INC","FQ2 2024","FQ2 2024","Currency=USD","Period=FQ","BEST_FPERIOD_OVERRIDE=FQ","FILING_STATUS=MR","SCALING_FORMAT=MLN","Sort=A","Dates=H","DateFormat=P","Fill=—","Direction=H","UseDPDF=Y")</f>
        <v>2370</v>
      </c>
      <c r="AA7" s="12" cm="1">
        <f t="array" ref="AA7">_xll.BDH("DE US Equity","CF_NET_INC","FQ3 2024","FQ3 2024","Currency=USD","Period=FQ","BEST_FPERIOD_OVERRIDE=FQ","FILING_STATUS=MR","SCALING_FORMAT=MLN","Sort=A","Dates=H","DateFormat=P","Fill=—","Direction=H","UseDPDF=Y")</f>
        <v>1734</v>
      </c>
      <c r="AB7" s="12" cm="1">
        <f t="array" ref="AB7">_xll.BDH("DE US Equity","CF_NET_INC","FQ4 2024","FQ4 2024","Currency=USD","Period=FQ","BEST_FPERIOD_OVERRIDE=FQ","FILING_STATUS=MR","SCALING_FORMAT=MLN","Sort=A","Dates=H","DateFormat=P","Fill=—","Direction=H","UseDPDF=Y")</f>
        <v>1245</v>
      </c>
      <c r="AC7" s="12" cm="1">
        <f t="array" ref="AC7">_xll.BDH("DE US Equity","CF_NET_INC","FQ1 2025","FQ1 2025","Currency=USD","Period=FQ","BEST_FPERIOD_OVERRIDE=FQ","FILING_STATUS=MR","SCALING_FORMAT=MLN","Sort=A","Dates=H","DateFormat=P","Fill=—","Direction=H","UseDPDF=Y")</f>
        <v>869</v>
      </c>
      <c r="AD7" s="12" cm="1">
        <f t="array" ref="AD7">_xll.BDH("DE US Equity","CF_NET_INC","FQ2 2025","FQ2 2025","Currency=USD","Period=FQ","BEST_FPERIOD_OVERRIDE=FQ","FILING_STATUS=MR","SCALING_FORMAT=MLN","Sort=A","Dates=H","DateFormat=P","Fill=—","Direction=H","UseDPDF=Y")</f>
        <v>1804</v>
      </c>
      <c r="AE7" s="12" cm="1">
        <f t="array" ref="AE7">_xll.BDH("DE US Equity","CF_NET_INC","FQ3 2025","FQ3 2025","Currency=USD","Period=FQ","BEST_FPERIOD_OVERRIDE=FQ","FILING_STATUS=MR","SCALING_FORMAT=MLN","Sort=A","Dates=H","DateFormat=P","Fill=—","Direction=H","UseDPDF=Y")</f>
        <v>1289</v>
      </c>
      <c r="AF7" s="12" cm="1">
        <f t="array" ref="AF7">_xll.BDH("DE US Equity","CF_NET_INC","FQ4 2025","FQ4 2025","Currency=USD","Period=FQ","BEST_FPERIOD_OVERRIDE=FQ","FILING_STATUS=MR","SCALING_FORMAT=MLN","Sort=A","Dates=H","DateFormat=P","Fill=—","Direction=H","UseDPDF=Y")</f>
        <v>1065</v>
      </c>
    </row>
    <row r="8" spans="1:32" x14ac:dyDescent="0.25">
      <c r="A8" s="10" t="s">
        <v>68</v>
      </c>
      <c r="B8" s="10" t="s">
        <v>69</v>
      </c>
      <c r="C8" s="12" cm="1">
        <f t="array" ref="C8">_xll.BDH("DE US Equity","CF_DEPR_AMORT","FQ3 2018","FQ3 2018","Currency=USD","Period=FQ","BEST_FPERIOD_OVERRIDE=FQ","FILING_STATUS=MR","SCALING_FORMAT=MLN","Sort=A","Dates=H","DateFormat=P","Fill=—","Direction=H","UseDPDF=Y")</f>
        <v>494.2</v>
      </c>
      <c r="D8" s="12" cm="1">
        <f t="array" ref="D8">_xll.BDH("DE US Equity","CF_DEPR_AMORT","FQ4 2018","FQ4 2018","Currency=USD","Period=FQ","BEST_FPERIOD_OVERRIDE=FQ","FILING_STATUS=MR","SCALING_FORMAT=MLN","Sort=A","Dates=H","DateFormat=P","Fill=—","Direction=H","UseDPDF=Y")</f>
        <v>482</v>
      </c>
      <c r="E8" s="12" cm="1">
        <f t="array" ref="E8">_xll.BDH("DE US Equity","CF_DEPR_AMORT","FQ1 2019","FQ1 2019","Currency=USD","Period=FQ","BEST_FPERIOD_OVERRIDE=FQ","FILING_STATUS=MR","SCALING_FORMAT=MLN","Sort=A","Dates=H","DateFormat=P","Fill=—","Direction=H","UseDPDF=Y")</f>
        <v>503</v>
      </c>
      <c r="F8" s="12" cm="1">
        <f t="array" ref="F8">_xll.BDH("DE US Equity","CF_DEPR_AMORT","FQ2 2019","FQ2 2019","Currency=USD","Period=FQ","BEST_FPERIOD_OVERRIDE=FQ","FILING_STATUS=MR","SCALING_FORMAT=MLN","Sort=A","Dates=H","DateFormat=P","Fill=—","Direction=H","UseDPDF=Y")</f>
        <v>512.70000000000005</v>
      </c>
      <c r="G8" s="12" cm="1">
        <f t="array" ref="G8">_xll.BDH("DE US Equity","CF_DEPR_AMORT","FQ3 2019","FQ3 2019","Currency=USD","Period=FQ","BEST_FPERIOD_OVERRIDE=FQ","FILING_STATUS=MR","SCALING_FORMAT=MLN","Sort=A","Dates=H","DateFormat=P","Fill=—","Direction=H","UseDPDF=Y")</f>
        <v>506</v>
      </c>
      <c r="H8" s="12" cm="1">
        <f t="array" ref="H8">_xll.BDH("DE US Equity","CF_DEPR_AMORT","FQ4 2019","FQ4 2019","Currency=USD","Period=FQ","BEST_FPERIOD_OVERRIDE=FQ","FILING_STATUS=MR","SCALING_FORMAT=MLN","Sort=A","Dates=H","DateFormat=P","Fill=—","Direction=H","UseDPDF=Y")</f>
        <v>497</v>
      </c>
      <c r="I8" s="12" cm="1">
        <f t="array" ref="I8">_xll.BDH("DE US Equity","CF_DEPR_AMORT","FQ1 2020","FQ1 2020","Currency=USD","Period=FQ","BEST_FPERIOD_OVERRIDE=FQ","FILING_STATUS=MR","SCALING_FORMAT=MLN","Sort=A","Dates=H","DateFormat=P","Fill=—","Direction=H","UseDPDF=Y")</f>
        <v>538</v>
      </c>
      <c r="J8" s="12" cm="1">
        <f t="array" ref="J8">_xll.BDH("DE US Equity","CF_DEPR_AMORT","FQ2 2020","FQ2 2020","Currency=USD","Period=FQ","BEST_FPERIOD_OVERRIDE=FQ","FILING_STATUS=MR","SCALING_FORMAT=MLN","Sort=A","Dates=H","DateFormat=P","Fill=—","Direction=H","UseDPDF=Y")</f>
        <v>529</v>
      </c>
      <c r="K8" s="12" cm="1">
        <f t="array" ref="K8">_xll.BDH("DE US Equity","CF_DEPR_AMORT","FQ3 2020","FQ3 2020","Currency=USD","Period=FQ","BEST_FPERIOD_OVERRIDE=FQ","FILING_STATUS=MR","SCALING_FORMAT=MLN","Sort=A","Dates=H","DateFormat=P","Fill=—","Direction=H","UseDPDF=Y")</f>
        <v>547</v>
      </c>
      <c r="L8" s="12" cm="1">
        <f t="array" ref="L8">_xll.BDH("DE US Equity","CF_DEPR_AMORT","FQ4 2020","FQ4 2020","Currency=USD","Period=FQ","BEST_FPERIOD_OVERRIDE=FQ","FILING_STATUS=MR","SCALING_FORMAT=MLN","Sort=A","Dates=H","DateFormat=P","Fill=—","Direction=H","UseDPDF=Y")</f>
        <v>504</v>
      </c>
      <c r="M8" s="12" cm="1">
        <f t="array" ref="M8">_xll.BDH("DE US Equity","CF_DEPR_AMORT","FQ1 2021","FQ1 2021","Currency=USD","Period=FQ","BEST_FPERIOD_OVERRIDE=FQ","FILING_STATUS=MR","SCALING_FORMAT=MLN","Sort=A","Dates=H","DateFormat=P","Fill=—","Direction=H","UseDPDF=Y")</f>
        <v>538</v>
      </c>
      <c r="N8" s="12" cm="1">
        <f t="array" ref="N8">_xll.BDH("DE US Equity","CF_DEPR_AMORT","FQ2 2021","FQ2 2021","Currency=USD","Period=FQ","BEST_FPERIOD_OVERRIDE=FQ","FILING_STATUS=MR","SCALING_FORMAT=MLN","Sort=A","Dates=H","DateFormat=P","Fill=—","Direction=H","UseDPDF=Y")</f>
        <v>516</v>
      </c>
      <c r="O8" s="12" cm="1">
        <f t="array" ref="O8">_xll.BDH("DE US Equity","CF_DEPR_AMORT","FQ3 2021","FQ3 2021","Currency=USD","Period=FQ","BEST_FPERIOD_OVERRIDE=FQ","FILING_STATUS=MR","SCALING_FORMAT=MLN","Sort=A","Dates=H","DateFormat=P","Fill=—","Direction=H","UseDPDF=Y")</f>
        <v>515</v>
      </c>
      <c r="P8" s="12" cm="1">
        <f t="array" ref="P8">_xll.BDH("DE US Equity","CF_DEPR_AMORT","FQ4 2021","FQ4 2021","Currency=USD","Period=FQ","BEST_FPERIOD_OVERRIDE=FQ","FILING_STATUS=MR","SCALING_FORMAT=MLN","Sort=A","Dates=H","DateFormat=P","Fill=—","Direction=H","UseDPDF=Y")</f>
        <v>481</v>
      </c>
      <c r="Q8" s="12" cm="1">
        <f t="array" ref="Q8">_xll.BDH("DE US Equity","CF_DEPR_AMORT","FQ1 2022","FQ1 2022","Currency=USD","Period=FQ","BEST_FPERIOD_OVERRIDE=FQ","FILING_STATUS=MR","SCALING_FORMAT=MLN","Sort=A","Dates=H","DateFormat=P","Fill=—","Direction=H","UseDPDF=Y")</f>
        <v>486</v>
      </c>
      <c r="R8" s="12" cm="1">
        <f t="array" ref="R8">_xll.BDH("DE US Equity","CF_DEPR_AMORT","FQ2 2022","FQ2 2022","Currency=USD","Period=FQ","BEST_FPERIOD_OVERRIDE=FQ","FILING_STATUS=MR","SCALING_FORMAT=MLN","Sort=A","Dates=H","DateFormat=P","Fill=—","Direction=H","UseDPDF=Y")</f>
        <v>447</v>
      </c>
      <c r="S8" s="12" cm="1">
        <f t="array" ref="S8">_xll.BDH("DE US Equity","CF_DEPR_AMORT","FQ3 2022","FQ3 2022","Currency=USD","Period=FQ","BEST_FPERIOD_OVERRIDE=FQ","FILING_STATUS=MR","SCALING_FORMAT=MLN","Sort=A","Dates=H","DateFormat=P","Fill=—","Direction=H","UseDPDF=Y")</f>
        <v>510</v>
      </c>
      <c r="T8" s="12" cm="1">
        <f t="array" ref="T8">_xll.BDH("DE US Equity","CF_DEPR_AMORT","FQ4 2022","FQ4 2022","Currency=USD","Period=FQ","BEST_FPERIOD_OVERRIDE=FQ","FILING_STATUS=MR","SCALING_FORMAT=MLN","Sort=A","Dates=H","DateFormat=P","Fill=—","Direction=H","UseDPDF=Y")</f>
        <v>452</v>
      </c>
      <c r="U8" s="12" cm="1">
        <f t="array" ref="U8">_xll.BDH("DE US Equity","CF_DEPR_AMORT","FQ1 2023","FQ1 2023","Currency=USD","Period=FQ","BEST_FPERIOD_OVERRIDE=FQ","FILING_STATUS=MR","SCALING_FORMAT=MLN","Sort=A","Dates=H","DateFormat=P","Fill=—","Direction=H","UseDPDF=Y")</f>
        <v>494</v>
      </c>
      <c r="V8" s="12" cm="1">
        <f t="array" ref="V8">_xll.BDH("DE US Equity","CF_DEPR_AMORT","FQ2 2023","FQ2 2023","Currency=USD","Period=FQ","BEST_FPERIOD_OVERRIDE=FQ","FILING_STATUS=MR","SCALING_FORMAT=MLN","Sort=A","Dates=H","DateFormat=P","Fill=—","Direction=H","UseDPDF=Y")</f>
        <v>501</v>
      </c>
      <c r="W8" s="12" cm="1">
        <f t="array" ref="W8">_xll.BDH("DE US Equity","CF_DEPR_AMORT","FQ3 2023","FQ3 2023","Currency=USD","Period=FQ","BEST_FPERIOD_OVERRIDE=FQ","FILING_STATUS=MR","SCALING_FORMAT=MLN","Sort=A","Dates=H","DateFormat=P","Fill=—","Direction=H","UseDPDF=Y")</f>
        <v>532</v>
      </c>
      <c r="X8" s="12" cm="1">
        <f t="array" ref="X8">_xll.BDH("DE US Equity","CF_DEPR_AMORT","FQ4 2023","FQ4 2023","Currency=USD","Period=FQ","BEST_FPERIOD_OVERRIDE=FQ","FILING_STATUS=MR","SCALING_FORMAT=MLN","Sort=A","Dates=H","DateFormat=P","Fill=—","Direction=H","UseDPDF=Y")</f>
        <v>477</v>
      </c>
      <c r="Y8" s="12" cm="1">
        <f t="array" ref="Y8">_xll.BDH("DE US Equity","CF_DEPR_AMORT","FQ1 2024","FQ1 2024","Currency=USD","Period=FQ","BEST_FPERIOD_OVERRIDE=FQ","FILING_STATUS=MR","SCALING_FORMAT=MLN","Sort=A","Dates=H","DateFormat=P","Fill=—","Direction=H","UseDPDF=Y")</f>
        <v>520</v>
      </c>
      <c r="Z8" s="12" cm="1">
        <f t="array" ref="Z8">_xll.BDH("DE US Equity","CF_DEPR_AMORT","FQ2 2024","FQ2 2024","Currency=USD","Period=FQ","BEST_FPERIOD_OVERRIDE=FQ","FILING_STATUS=MR","SCALING_FORMAT=MLN","Sort=A","Dates=H","DateFormat=P","Fill=—","Direction=H","UseDPDF=Y")</f>
        <v>525</v>
      </c>
      <c r="AA8" s="12" cm="1">
        <f t="array" ref="AA8">_xll.BDH("DE US Equity","CF_DEPR_AMORT","FQ3 2024","FQ3 2024","Currency=USD","Period=FQ","BEST_FPERIOD_OVERRIDE=FQ","FILING_STATUS=MR","SCALING_FORMAT=MLN","Sort=A","Dates=H","DateFormat=P","Fill=—","Direction=H","UseDPDF=Y")</f>
        <v>553</v>
      </c>
      <c r="AB8" s="12" cm="1">
        <f t="array" ref="AB8">_xll.BDH("DE US Equity","CF_DEPR_AMORT","FQ4 2024","FQ4 2024","Currency=USD","Period=FQ","BEST_FPERIOD_OVERRIDE=FQ","FILING_STATUS=MR","SCALING_FORMAT=MLN","Sort=A","Dates=H","DateFormat=P","Fill=—","Direction=H","UseDPDF=Y")</f>
        <v>520</v>
      </c>
      <c r="AC8" s="12" cm="1">
        <f t="array" ref="AC8">_xll.BDH("DE US Equity","CF_DEPR_AMORT","FQ1 2025","FQ1 2025","Currency=USD","Period=FQ","BEST_FPERIOD_OVERRIDE=FQ","FILING_STATUS=MR","SCALING_FORMAT=MLN","Sort=A","Dates=H","DateFormat=P","Fill=—","Direction=H","UseDPDF=Y")</f>
        <v>549</v>
      </c>
      <c r="AD8" s="12" cm="1">
        <f t="array" ref="AD8">_xll.BDH("DE US Equity","CF_DEPR_AMORT","FQ2 2025","FQ2 2025","Currency=USD","Period=FQ","BEST_FPERIOD_OVERRIDE=FQ","FILING_STATUS=MR","SCALING_FORMAT=MLN","Sort=A","Dates=H","DateFormat=P","Fill=—","Direction=H","UseDPDF=Y")</f>
        <v>555</v>
      </c>
      <c r="AE8" s="12" cm="1">
        <f t="array" ref="AE8">_xll.BDH("DE US Equity","CF_DEPR_AMORT","FQ3 2025","FQ3 2025","Currency=USD","Period=FQ","BEST_FPERIOD_OVERRIDE=FQ","FILING_STATUS=MR","SCALING_FORMAT=MLN","Sort=A","Dates=H","DateFormat=P","Fill=—","Direction=H","UseDPDF=Y")</f>
        <v>564</v>
      </c>
      <c r="AF8" s="12" cm="1">
        <f t="array" ref="AF8">_xll.BDH("DE US Equity","CF_DEPR_AMORT","FQ4 2025","FQ4 2025","Currency=USD","Period=FQ","BEST_FPERIOD_OVERRIDE=FQ","FILING_STATUS=MR","SCALING_FORMAT=MLN","Sort=A","Dates=H","DateFormat=P","Fill=—","Direction=H","UseDPDF=Y")</f>
        <v>561</v>
      </c>
    </row>
    <row r="9" spans="1:32" x14ac:dyDescent="0.25">
      <c r="A9" s="10" t="s">
        <v>70</v>
      </c>
      <c r="B9" s="10" t="s">
        <v>71</v>
      </c>
      <c r="C9" s="12" cm="1">
        <f t="array" ref="C9">_xll.BDH("DE US Equity","NON_CASH_ITEMS_DETAILED","FQ3 2018","FQ3 2018","Currency=USD","Period=FQ","BEST_FPERIOD_OVERRIDE=FQ","FILING_STATUS=MR","SCALING_FORMAT=MLN","Sort=A","Dates=H","DateFormat=P","Fill=—","Direction=H","UseDPDF=Y")</f>
        <v>-772.1</v>
      </c>
      <c r="D9" s="12" cm="1">
        <f t="array" ref="D9">_xll.BDH("DE US Equity","NON_CASH_ITEMS_DETAILED","FQ4 2018","FQ4 2018","Currency=USD","Period=FQ","BEST_FPERIOD_OVERRIDE=FQ","FILING_STATUS=MR","SCALING_FORMAT=MLN","Sort=A","Dates=H","DateFormat=P","Fill=—","Direction=H","UseDPDF=Y")</f>
        <v>759</v>
      </c>
      <c r="E9" s="12" cm="1">
        <f t="array" ref="E9">_xll.BDH("DE US Equity","NON_CASH_ITEMS_DETAILED","FQ1 2019","FQ1 2019","Currency=USD","Period=FQ","BEST_FPERIOD_OVERRIDE=FQ","FILING_STATUS=MR","SCALING_FORMAT=MLN","Sort=A","Dates=H","DateFormat=P","Fill=—","Direction=H","UseDPDF=Y")</f>
        <v>-149</v>
      </c>
      <c r="F9" s="12" cm="1">
        <f t="array" ref="F9">_xll.BDH("DE US Equity","NON_CASH_ITEMS_DETAILED","FQ2 2019","FQ2 2019","Currency=USD","Period=FQ","BEST_FPERIOD_OVERRIDE=FQ","FILING_STATUS=MR","SCALING_FORMAT=MLN","Sort=A","Dates=H","DateFormat=P","Fill=—","Direction=H","UseDPDF=Y")</f>
        <v>39.200000000000003</v>
      </c>
      <c r="G9" s="12" cm="1">
        <f t="array" ref="G9">_xll.BDH("DE US Equity","NON_CASH_ITEMS_DETAILED","FQ3 2019","FQ3 2019","Currency=USD","Period=FQ","BEST_FPERIOD_OVERRIDE=FQ","FILING_STATUS=MR","SCALING_FORMAT=MLN","Sort=A","Dates=H","DateFormat=P","Fill=—","Direction=H","UseDPDF=Y")</f>
        <v>-113</v>
      </c>
      <c r="H9" s="12" cm="1">
        <f t="array" ref="H9">_xll.BDH("DE US Equity","NON_CASH_ITEMS_DETAILED","FQ4 2019","FQ4 2019","Currency=USD","Period=FQ","BEST_FPERIOD_OVERRIDE=FQ","FILING_STATUS=MR","SCALING_FORMAT=MLN","Sort=A","Dates=H","DateFormat=P","Fill=—","Direction=H","UseDPDF=Y")</f>
        <v>-208</v>
      </c>
      <c r="I9" s="12" cm="1">
        <f t="array" ref="I9">_xll.BDH("DE US Equity","NON_CASH_ITEMS_DETAILED","FQ1 2020","FQ1 2020","Currency=USD","Period=FQ","BEST_FPERIOD_OVERRIDE=FQ","FILING_STATUS=MR","SCALING_FORMAT=MLN","Sort=A","Dates=H","DateFormat=P","Fill=—","Direction=H","UseDPDF=Y")</f>
        <v>196</v>
      </c>
      <c r="J9" s="12" cm="1">
        <f t="array" ref="J9">_xll.BDH("DE US Equity","NON_CASH_ITEMS_DETAILED","FQ2 2020","FQ2 2020","Currency=USD","Period=FQ","BEST_FPERIOD_OVERRIDE=FQ","FILING_STATUS=MR","SCALING_FORMAT=MLN","Sort=A","Dates=H","DateFormat=P","Fill=—","Direction=H","UseDPDF=Y")</f>
        <v>197</v>
      </c>
      <c r="K9" s="12" cm="1">
        <f t="array" ref="K9">_xll.BDH("DE US Equity","NON_CASH_ITEMS_DETAILED","FQ3 2020","FQ3 2020","Currency=USD","Period=FQ","BEST_FPERIOD_OVERRIDE=FQ","FILING_STATUS=MR","SCALING_FORMAT=MLN","Sort=A","Dates=H","DateFormat=P","Fill=—","Direction=H","UseDPDF=Y")</f>
        <v>0</v>
      </c>
      <c r="L9" s="12" cm="1">
        <f t="array" ref="L9">_xll.BDH("DE US Equity","NON_CASH_ITEMS_DETAILED","FQ4 2020","FQ4 2020","Currency=USD","Period=FQ","BEST_FPERIOD_OVERRIDE=FQ","FILING_STATUS=MR","SCALING_FORMAT=MLN","Sort=A","Dates=H","DateFormat=P","Fill=—","Direction=H","UseDPDF=Y")</f>
        <v>-185</v>
      </c>
      <c r="M9" s="12" cm="1">
        <f t="array" ref="M9">_xll.BDH("DE US Equity","NON_CASH_ITEMS_DETAILED","FQ1 2021","FQ1 2021","Currency=USD","Period=FQ","BEST_FPERIOD_OVERRIDE=FQ","FILING_STATUS=MR","SCALING_FORMAT=MLN","Sort=A","Dates=H","DateFormat=P","Fill=—","Direction=H","UseDPDF=Y")</f>
        <v>-21</v>
      </c>
      <c r="N9" s="12" cm="1">
        <f t="array" ref="N9">_xll.BDH("DE US Equity","NON_CASH_ITEMS_DETAILED","FQ2 2021","FQ2 2021","Currency=USD","Period=FQ","BEST_FPERIOD_OVERRIDE=FQ","FILING_STATUS=MR","SCALING_FORMAT=MLN","Sort=A","Dates=H","DateFormat=P","Fill=—","Direction=H","UseDPDF=Y")</f>
        <v>-316</v>
      </c>
      <c r="O9" s="12" cm="1">
        <f t="array" ref="O9">_xll.BDH("DE US Equity","NON_CASH_ITEMS_DETAILED","FQ3 2021","FQ3 2021","Currency=USD","Period=FQ","BEST_FPERIOD_OVERRIDE=FQ","FILING_STATUS=MR","SCALING_FORMAT=MLN","Sort=A","Dates=H","DateFormat=P","Fill=—","Direction=H","UseDPDF=Y")</f>
        <v>-114</v>
      </c>
      <c r="P9" s="12" cm="1">
        <f t="array" ref="P9">_xll.BDH("DE US Equity","NON_CASH_ITEMS_DETAILED","FQ4 2021","FQ4 2021","Currency=USD","Period=FQ","BEST_FPERIOD_OVERRIDE=FQ","FILING_STATUS=MR","SCALING_FORMAT=MLN","Sort=A","Dates=H","DateFormat=P","Fill=—","Direction=H","UseDPDF=Y")</f>
        <v>-204</v>
      </c>
      <c r="Q9" s="12" cm="1">
        <f t="array" ref="Q9">_xll.BDH("DE US Equity","NON_CASH_ITEMS_DETAILED","FQ1 2022","FQ1 2022","Currency=USD","Period=FQ","BEST_FPERIOD_OVERRIDE=FQ","FILING_STATUS=MR","SCALING_FORMAT=MLN","Sort=A","Dates=H","DateFormat=P","Fill=—","Direction=H","UseDPDF=Y")</f>
        <v>-801</v>
      </c>
      <c r="R9" s="12" cm="1">
        <f t="array" ref="R9">_xll.BDH("DE US Equity","NON_CASH_ITEMS_DETAILED","FQ2 2022","FQ2 2022","Currency=USD","Period=FQ","BEST_FPERIOD_OVERRIDE=FQ","FILING_STATUS=MR","SCALING_FORMAT=MLN","Sort=A","Dates=H","DateFormat=P","Fill=—","Direction=H","UseDPDF=Y")</f>
        <v>-513</v>
      </c>
      <c r="S9" s="12" cm="1">
        <f t="array" ref="S9">_xll.BDH("DE US Equity","NON_CASH_ITEMS_DETAILED","FQ3 2022","FQ3 2022","Currency=USD","Period=FQ","BEST_FPERIOD_OVERRIDE=FQ","FILING_STATUS=MR","SCALING_FORMAT=MLN","Sort=A","Dates=H","DateFormat=P","Fill=—","Direction=H","UseDPDF=Y")</f>
        <v>220</v>
      </c>
      <c r="T9" s="12" cm="1">
        <f t="array" ref="T9">_xll.BDH("DE US Equity","NON_CASH_ITEMS_DETAILED","FQ4 2022","FQ4 2022","Currency=USD","Period=FQ","BEST_FPERIOD_OVERRIDE=FQ","FILING_STATUS=MR","SCALING_FORMAT=MLN","Sort=A","Dates=H","DateFormat=P","Fill=—","Direction=H","UseDPDF=Y")</f>
        <v>67</v>
      </c>
      <c r="U9" s="12" cm="1">
        <f t="array" ref="U9">_xll.BDH("DE US Equity","NON_CASH_ITEMS_DETAILED","FQ1 2023","FQ1 2023","Currency=USD","Period=FQ","BEST_FPERIOD_OVERRIDE=FQ","FILING_STATUS=MR","SCALING_FORMAT=MLN","Sort=A","Dates=H","DateFormat=P","Fill=—","Direction=H","UseDPDF=Y")</f>
        <v>-27</v>
      </c>
      <c r="V9" s="12" cm="1">
        <f t="array" ref="V9">_xll.BDH("DE US Equity","NON_CASH_ITEMS_DETAILED","FQ2 2023","FQ2 2023","Currency=USD","Period=FQ","BEST_FPERIOD_OVERRIDE=FQ","FILING_STATUS=MR","SCALING_FORMAT=MLN","Sort=A","Dates=H","DateFormat=P","Fill=—","Direction=H","UseDPDF=Y")</f>
        <v>-136</v>
      </c>
      <c r="W9" s="12" cm="1">
        <f t="array" ref="W9">_xll.BDH("DE US Equity","NON_CASH_ITEMS_DETAILED","FQ3 2023","FQ3 2023","Currency=USD","Period=FQ","BEST_FPERIOD_OVERRIDE=FQ","FILING_STATUS=MR","SCALING_FORMAT=MLN","Sort=A","Dates=H","DateFormat=P","Fill=—","Direction=H","UseDPDF=Y")</f>
        <v>5</v>
      </c>
      <c r="X9" s="12" cm="1">
        <f t="array" ref="X9">_xll.BDH("DE US Equity","NON_CASH_ITEMS_DETAILED","FQ4 2023","FQ4 2023","Currency=USD","Period=FQ","BEST_FPERIOD_OVERRIDE=FQ","FILING_STATUS=MR","SCALING_FORMAT=MLN","Sort=A","Dates=H","DateFormat=P","Fill=—","Direction=H","UseDPDF=Y")</f>
        <v>-256</v>
      </c>
      <c r="Y9" s="12" cm="1">
        <f t="array" ref="Y9">_xll.BDH("DE US Equity","NON_CASH_ITEMS_DETAILED","FQ1 2024","FQ1 2024","Currency=USD","Period=FQ","BEST_FPERIOD_OVERRIDE=FQ","FILING_STATUS=MR","SCALING_FORMAT=MLN","Sort=A","Dates=H","DateFormat=P","Fill=—","Direction=H","UseDPDF=Y")</f>
        <v>-35</v>
      </c>
      <c r="Z9" s="12" cm="1">
        <f t="array" ref="Z9">_xll.BDH("DE US Equity","NON_CASH_ITEMS_DETAILED","FQ2 2024","FQ2 2024","Currency=USD","Period=FQ","BEST_FPERIOD_OVERRIDE=FQ","FILING_STATUS=MR","SCALING_FORMAT=MLN","Sort=A","Dates=H","DateFormat=P","Fill=—","Direction=H","UseDPDF=Y")</f>
        <v>20</v>
      </c>
      <c r="AA9" s="12" cm="1">
        <f t="array" ref="AA9">_xll.BDH("DE US Equity","NON_CASH_ITEMS_DETAILED","FQ3 2024","FQ3 2024","Currency=USD","Period=FQ","BEST_FPERIOD_OVERRIDE=FQ","FILING_STATUS=MR","SCALING_FORMAT=MLN","Sort=A","Dates=H","DateFormat=P","Fill=—","Direction=H","UseDPDF=Y")</f>
        <v>-103</v>
      </c>
      <c r="AB9" s="12" cm="1">
        <f t="array" ref="AB9">_xll.BDH("DE US Equity","NON_CASH_ITEMS_DETAILED","FQ4 2024","FQ4 2024","Currency=USD","Period=FQ","BEST_FPERIOD_OVERRIDE=FQ","FILING_STATUS=MR","SCALING_FORMAT=MLN","Sort=A","Dates=H","DateFormat=P","Fill=—","Direction=H","UseDPDF=Y")</f>
        <v>85</v>
      </c>
      <c r="AC9" s="12" cm="1">
        <f t="array" ref="AC9">_xll.BDH("DE US Equity","NON_CASH_ITEMS_DETAILED","FQ1 2025","FQ1 2025","Currency=USD","Period=FQ","BEST_FPERIOD_OVERRIDE=FQ","FILING_STATUS=MR","SCALING_FORMAT=MLN","Sort=A","Dates=H","DateFormat=P","Fill=—","Direction=H","UseDPDF=Y")</f>
        <v>-433</v>
      </c>
      <c r="AD9" s="12" cm="1">
        <f t="array" ref="AD9">_xll.BDH("DE US Equity","NON_CASH_ITEMS_DETAILED","FQ2 2025","FQ2 2025","Currency=USD","Period=FQ","BEST_FPERIOD_OVERRIDE=FQ","FILING_STATUS=MR","SCALING_FORMAT=MLN","Sort=A","Dates=H","DateFormat=P","Fill=—","Direction=H","UseDPDF=Y")</f>
        <v>110</v>
      </c>
      <c r="AE9" s="12" cm="1">
        <f t="array" ref="AE9">_xll.BDH("DE US Equity","NON_CASH_ITEMS_DETAILED","FQ3 2025","FQ3 2025","Currency=USD","Period=FQ","BEST_FPERIOD_OVERRIDE=FQ","FILING_STATUS=MR","SCALING_FORMAT=MLN","Sort=A","Dates=H","DateFormat=P","Fill=—","Direction=H","UseDPDF=Y")</f>
        <v>41</v>
      </c>
      <c r="AF9" s="12" cm="1">
        <f t="array" ref="AF9">_xll.BDH("DE US Equity","NON_CASH_ITEMS_DETAILED","FQ4 2025","FQ4 2025","Currency=USD","Period=FQ","BEST_FPERIOD_OVERRIDE=FQ","FILING_STATUS=MR","SCALING_FORMAT=MLN","Sort=A","Dates=H","DateFormat=P","Fill=—","Direction=H","UseDPDF=Y")</f>
        <v>63</v>
      </c>
    </row>
    <row r="10" spans="1:32" x14ac:dyDescent="0.25">
      <c r="A10" s="10" t="s">
        <v>72</v>
      </c>
      <c r="B10" s="10" t="s">
        <v>73</v>
      </c>
      <c r="C10" s="12" cm="1">
        <f t="array" ref="C10">_xll.BDH("DE US Equity","CF_STOCK_BASED_COMPENSATION","FQ3 2018","FQ3 2018","Currency=USD","Period=FQ","BEST_FPERIOD_OVERRIDE=FQ","FILING_STATUS=MR","SCALING_FORMAT=MLN","Sort=A","Dates=H","DateFormat=P","Fill=—","Direction=H","UseDPDF=Y")</f>
        <v>23.2</v>
      </c>
      <c r="D10" s="12" cm="1">
        <f t="array" ref="D10">_xll.BDH("DE US Equity","CF_STOCK_BASED_COMPENSATION","FQ4 2018","FQ4 2018","Currency=USD","Period=FQ","BEST_FPERIOD_OVERRIDE=FQ","FILING_STATUS=MR","SCALING_FORMAT=MLN","Sort=A","Dates=H","DateFormat=P","Fill=—","Direction=H","UseDPDF=Y")</f>
        <v>21</v>
      </c>
      <c r="E10" s="12" cm="1">
        <f t="array" ref="E10">_xll.BDH("DE US Equity","CF_STOCK_BASED_COMPENSATION","FQ1 2019","FQ1 2019","Currency=USD","Period=FQ","BEST_FPERIOD_OVERRIDE=FQ","FILING_STATUS=MR","SCALING_FORMAT=MLN","Sort=A","Dates=H","DateFormat=P","Fill=—","Direction=H","UseDPDF=Y")</f>
        <v>20</v>
      </c>
      <c r="F10" s="12" cm="1">
        <f t="array" ref="F10">_xll.BDH("DE US Equity","CF_STOCK_BASED_COMPENSATION","FQ2 2019","FQ2 2019","Currency=USD","Period=FQ","BEST_FPERIOD_OVERRIDE=FQ","FILING_STATUS=MR","SCALING_FORMAT=MLN","Sort=A","Dates=H","DateFormat=P","Fill=—","Direction=H","UseDPDF=Y")</f>
        <v>23.7</v>
      </c>
      <c r="G10" s="12" cm="1">
        <f t="array" ref="G10">_xll.BDH("DE US Equity","CF_STOCK_BASED_COMPENSATION","FQ3 2019","FQ3 2019","Currency=USD","Period=FQ","BEST_FPERIOD_OVERRIDE=FQ","FILING_STATUS=MR","SCALING_FORMAT=MLN","Sort=A","Dates=H","DateFormat=P","Fill=—","Direction=H","UseDPDF=Y")</f>
        <v>19</v>
      </c>
      <c r="H10" s="12" cm="1">
        <f t="array" ref="H10">_xll.BDH("DE US Equity","CF_STOCK_BASED_COMPENSATION","FQ4 2019","FQ4 2019","Currency=USD","Period=FQ","BEST_FPERIOD_OVERRIDE=FQ","FILING_STATUS=MR","SCALING_FORMAT=MLN","Sort=A","Dates=H","DateFormat=P","Fill=—","Direction=H","UseDPDF=Y")</f>
        <v>19</v>
      </c>
      <c r="I10" s="12" cm="1">
        <f t="array" ref="I10">_xll.BDH("DE US Equity","CF_STOCK_BASED_COMPENSATION","FQ1 2020","FQ1 2020","Currency=USD","Period=FQ","BEST_FPERIOD_OVERRIDE=FQ","FILING_STATUS=MR","SCALING_FORMAT=MLN","Sort=A","Dates=H","DateFormat=P","Fill=—","Direction=H","UseDPDF=Y")</f>
        <v>19</v>
      </c>
      <c r="J10" s="12" cm="1">
        <f t="array" ref="J10">_xll.BDH("DE US Equity","CF_STOCK_BASED_COMPENSATION","FQ2 2020","FQ2 2020","Currency=USD","Period=FQ","BEST_FPERIOD_OVERRIDE=FQ","FILING_STATUS=MR","SCALING_FORMAT=MLN","Sort=A","Dates=H","DateFormat=P","Fill=—","Direction=H","UseDPDF=Y")</f>
        <v>29</v>
      </c>
      <c r="K10" s="12" cm="1">
        <f t="array" ref="K10">_xll.BDH("DE US Equity","CF_STOCK_BASED_COMPENSATION","FQ3 2020","FQ3 2020","Currency=USD","Period=FQ","BEST_FPERIOD_OVERRIDE=FQ","FILING_STATUS=MR","SCALING_FORMAT=MLN","Sort=A","Dates=H","DateFormat=P","Fill=—","Direction=H","UseDPDF=Y")</f>
        <v>15</v>
      </c>
      <c r="L10" s="12" cm="1">
        <f t="array" ref="L10">_xll.BDH("DE US Equity","CF_STOCK_BASED_COMPENSATION","FQ4 2020","FQ4 2020","Currency=USD","Period=FQ","BEST_FPERIOD_OVERRIDE=FQ","FILING_STATUS=MR","SCALING_FORMAT=MLN","Sort=A","Dates=H","DateFormat=P","Fill=—","Direction=H","UseDPDF=Y")</f>
        <v>18</v>
      </c>
      <c r="M10" s="12" cm="1">
        <f t="array" ref="M10">_xll.BDH("DE US Equity","CF_STOCK_BASED_COMPENSATION","FQ1 2021","FQ1 2021","Currency=USD","Period=FQ","BEST_FPERIOD_OVERRIDE=FQ","FILING_STATUS=MR","SCALING_FORMAT=MLN","Sort=A","Dates=H","DateFormat=P","Fill=—","Direction=H","UseDPDF=Y")</f>
        <v>15</v>
      </c>
      <c r="N10" s="12" cm="1">
        <f t="array" ref="N10">_xll.BDH("DE US Equity","CF_STOCK_BASED_COMPENSATION","FQ2 2021","FQ2 2021","Currency=USD","Period=FQ","BEST_FPERIOD_OVERRIDE=FQ","FILING_STATUS=MR","SCALING_FORMAT=MLN","Sort=A","Dates=H","DateFormat=P","Fill=—","Direction=H","UseDPDF=Y")</f>
        <v>30</v>
      </c>
      <c r="O10" s="12" cm="1">
        <f t="array" ref="O10">_xll.BDH("DE US Equity","CF_STOCK_BASED_COMPENSATION","FQ3 2021","FQ3 2021","Currency=USD","Period=FQ","BEST_FPERIOD_OVERRIDE=FQ","FILING_STATUS=MR","SCALING_FORMAT=MLN","Sort=A","Dates=H","DateFormat=P","Fill=—","Direction=H","UseDPDF=Y")</f>
        <v>19</v>
      </c>
      <c r="P10" s="12" cm="1">
        <f t="array" ref="P10">_xll.BDH("DE US Equity","CF_STOCK_BASED_COMPENSATION","FQ4 2021","FQ4 2021","Currency=USD","Period=FQ","BEST_FPERIOD_OVERRIDE=FQ","FILING_STATUS=MR","SCALING_FORMAT=MLN","Sort=A","Dates=H","DateFormat=P","Fill=—","Direction=H","UseDPDF=Y")</f>
        <v>18</v>
      </c>
      <c r="Q10" s="12" cm="1">
        <f t="array" ref="Q10">_xll.BDH("DE US Equity","CF_STOCK_BASED_COMPENSATION","FQ1 2022","FQ1 2022","Currency=USD","Period=FQ","BEST_FPERIOD_OVERRIDE=FQ","FILING_STATUS=MR","SCALING_FORMAT=MLN","Sort=A","Dates=H","DateFormat=P","Fill=—","Direction=H","UseDPDF=Y")</f>
        <v>18</v>
      </c>
      <c r="R10" s="12" cm="1">
        <f t="array" ref="R10">_xll.BDH("DE US Equity","CF_STOCK_BASED_COMPENSATION","FQ2 2022","FQ2 2022","Currency=USD","Period=FQ","BEST_FPERIOD_OVERRIDE=FQ","FILING_STATUS=MR","SCALING_FORMAT=MLN","Sort=A","Dates=H","DateFormat=P","Fill=—","Direction=H","UseDPDF=Y")</f>
        <v>26</v>
      </c>
      <c r="S10" s="12" cm="1">
        <f t="array" ref="S10">_xll.BDH("DE US Equity","CF_STOCK_BASED_COMPENSATION","FQ3 2022","FQ3 2022","Currency=USD","Period=FQ","BEST_FPERIOD_OVERRIDE=FQ","FILING_STATUS=MR","SCALING_FORMAT=MLN","Sort=A","Dates=H","DateFormat=P","Fill=—","Direction=H","UseDPDF=Y")</f>
        <v>20</v>
      </c>
      <c r="T10" s="12" cm="1">
        <f t="array" ref="T10">_xll.BDH("DE US Equity","CF_STOCK_BASED_COMPENSATION","FQ4 2022","FQ4 2022","Currency=USD","Period=FQ","BEST_FPERIOD_OVERRIDE=FQ","FILING_STATUS=MR","SCALING_FORMAT=MLN","Sort=A","Dates=H","DateFormat=P","Fill=—","Direction=H","UseDPDF=Y")</f>
        <v>21</v>
      </c>
      <c r="U10" s="12" cm="1">
        <f t="array" ref="U10">_xll.BDH("DE US Equity","CF_STOCK_BASED_COMPENSATION","FQ1 2023","FQ1 2023","Currency=USD","Period=FQ","BEST_FPERIOD_OVERRIDE=FQ","FILING_STATUS=MR","SCALING_FORMAT=MLN","Sort=A","Dates=H","DateFormat=P","Fill=—","Direction=H","UseDPDF=Y")</f>
        <v>23</v>
      </c>
      <c r="V10" s="12" cm="1">
        <f t="array" ref="V10">_xll.BDH("DE US Equity","CF_STOCK_BASED_COMPENSATION","FQ2 2023","FQ2 2023","Currency=USD","Period=FQ","BEST_FPERIOD_OVERRIDE=FQ","FILING_STATUS=MR","SCALING_FORMAT=MLN","Sort=A","Dates=H","DateFormat=P","Fill=—","Direction=H","UseDPDF=Y")</f>
        <v>31</v>
      </c>
      <c r="W10" s="12" cm="1">
        <f t="array" ref="W10">_xll.BDH("DE US Equity","CF_STOCK_BASED_COMPENSATION","FQ3 2023","FQ3 2023","Currency=USD","Period=FQ","BEST_FPERIOD_OVERRIDE=FQ","FILING_STATUS=MR","SCALING_FORMAT=MLN","Sort=A","Dates=H","DateFormat=P","Fill=—","Direction=H","UseDPDF=Y")</f>
        <v>58</v>
      </c>
      <c r="X10" s="12" cm="1">
        <f t="array" ref="X10">_xll.BDH("DE US Equity","CF_STOCK_BASED_COMPENSATION","FQ4 2023","FQ4 2023","Currency=USD","Period=FQ","BEST_FPERIOD_OVERRIDE=FQ","FILING_STATUS=MR","SCALING_FORMAT=MLN","Sort=A","Dates=H","DateFormat=P","Fill=—","Direction=H","UseDPDF=Y")</f>
        <v>18</v>
      </c>
      <c r="Y10" s="12" cm="1">
        <f t="array" ref="Y10">_xll.BDH("DE US Equity","CF_STOCK_BASED_COMPENSATION","FQ1 2024","FQ1 2024","Currency=USD","Period=FQ","BEST_FPERIOD_OVERRIDE=FQ","FILING_STATUS=MR","SCALING_FORMAT=MLN","Sort=A","Dates=H","DateFormat=P","Fill=—","Direction=H","UseDPDF=Y")</f>
        <v>46</v>
      </c>
      <c r="Z10" s="12" cm="1">
        <f t="array" ref="Z10">_xll.BDH("DE US Equity","CF_STOCK_BASED_COMPENSATION","FQ2 2024","FQ2 2024","Currency=USD","Period=FQ","BEST_FPERIOD_OVERRIDE=FQ","FILING_STATUS=MR","SCALING_FORMAT=MLN","Sort=A","Dates=H","DateFormat=P","Fill=—","Direction=H","UseDPDF=Y")</f>
        <v>58</v>
      </c>
      <c r="AA10" s="12" cm="1">
        <f t="array" ref="AA10">_xll.BDH("DE US Equity","CF_STOCK_BASED_COMPENSATION","FQ3 2024","FQ3 2024","Currency=USD","Period=FQ","BEST_FPERIOD_OVERRIDE=FQ","FILING_STATUS=MR","SCALING_FORMAT=MLN","Sort=A","Dates=H","DateFormat=P","Fill=—","Direction=H","UseDPDF=Y")</f>
        <v>55</v>
      </c>
      <c r="AB10" s="12" cm="1">
        <f t="array" ref="AB10">_xll.BDH("DE US Equity","CF_STOCK_BASED_COMPENSATION","FQ4 2024","FQ4 2024","Currency=USD","Period=FQ","BEST_FPERIOD_OVERRIDE=FQ","FILING_STATUS=MR","SCALING_FORMAT=MLN","Sort=A","Dates=H","DateFormat=P","Fill=—","Direction=H","UseDPDF=Y")</f>
        <v>49</v>
      </c>
      <c r="AC10" s="12" cm="1">
        <f t="array" ref="AC10">_xll.BDH("DE US Equity","CF_STOCK_BASED_COMPENSATION","FQ1 2025","FQ1 2025","Currency=USD","Period=FQ","BEST_FPERIOD_OVERRIDE=FQ","FILING_STATUS=MR","SCALING_FORMAT=MLN","Sort=A","Dates=H","DateFormat=P","Fill=—","Direction=H","UseDPDF=Y")</f>
        <v>28</v>
      </c>
      <c r="AD10" s="12" cm="1">
        <f t="array" ref="AD10">_xll.BDH("DE US Equity","CF_STOCK_BASED_COMPENSATION","FQ2 2025","FQ2 2025","Currency=USD","Period=FQ","BEST_FPERIOD_OVERRIDE=FQ","FILING_STATUS=MR","SCALING_FORMAT=MLN","Sort=A","Dates=H","DateFormat=P","Fill=—","Direction=H","UseDPDF=Y")</f>
        <v>26</v>
      </c>
      <c r="AE10" s="12" cm="1">
        <f t="array" ref="AE10">_xll.BDH("DE US Equity","CF_STOCK_BASED_COMPENSATION","FQ3 2025","FQ3 2025","Currency=USD","Period=FQ","BEST_FPERIOD_OVERRIDE=FQ","FILING_STATUS=MR","SCALING_FORMAT=MLN","Sort=A","Dates=H","DateFormat=P","Fill=—","Direction=H","UseDPDF=Y")</f>
        <v>50</v>
      </c>
      <c r="AF10" s="12" cm="1">
        <f t="array" ref="AF10">_xll.BDH("DE US Equity","CF_STOCK_BASED_COMPENSATION","FQ4 2025","FQ4 2025","Currency=USD","Period=FQ","BEST_FPERIOD_OVERRIDE=FQ","FILING_STATUS=MR","SCALING_FORMAT=MLN","Sort=A","Dates=H","DateFormat=P","Fill=—","Direction=H","UseDPDF=Y")</f>
        <v>47</v>
      </c>
    </row>
    <row r="11" spans="1:32" x14ac:dyDescent="0.25">
      <c r="A11" s="10" t="s">
        <v>74</v>
      </c>
      <c r="B11" s="10" t="s">
        <v>75</v>
      </c>
      <c r="C11" s="12" cm="1">
        <f t="array" ref="C11">_xll.BDH("DE US Equity","CF_DEF_INC_TAX","FQ3 2018","FQ3 2018","Currency=USD","Period=FQ","BEST_FPERIOD_OVERRIDE=FQ","FILING_STATUS=MR","SCALING_FORMAT=MLN","Sort=A","Dates=H","DateFormat=P","Fill=—","Direction=H","UseDPDF=Y")</f>
        <v>36.700000000000003</v>
      </c>
      <c r="D11" s="12" cm="1">
        <f t="array" ref="D11">_xll.BDH("DE US Equity","CF_DEF_INC_TAX","FQ4 2018","FQ4 2018","Currency=USD","Period=FQ","BEST_FPERIOD_OVERRIDE=FQ","FILING_STATUS=MR","SCALING_FORMAT=MLN","Sort=A","Dates=H","DateFormat=P","Fill=—","Direction=H","UseDPDF=Y")</f>
        <v>839</v>
      </c>
      <c r="E11" s="12" cm="1">
        <f t="array" ref="E11">_xll.BDH("DE US Equity","CF_DEF_INC_TAX","FQ1 2019","FQ1 2019","Currency=USD","Period=FQ","BEST_FPERIOD_OVERRIDE=FQ","FILING_STATUS=MR","SCALING_FORMAT=MLN","Sort=A","Dates=H","DateFormat=P","Fill=—","Direction=H","UseDPDF=Y")</f>
        <v>-56</v>
      </c>
      <c r="F11" s="12" cm="1">
        <f t="array" ref="F11">_xll.BDH("DE US Equity","CF_DEF_INC_TAX","FQ2 2019","FQ2 2019","Currency=USD","Period=FQ","BEST_FPERIOD_OVERRIDE=FQ","FILING_STATUS=MR","SCALING_FORMAT=MLN","Sort=A","Dates=H","DateFormat=P","Fill=—","Direction=H","UseDPDF=Y")</f>
        <v>-226.3</v>
      </c>
      <c r="G11" s="12" cm="1">
        <f t="array" ref="G11">_xll.BDH("DE US Equity","CF_DEF_INC_TAX","FQ3 2019","FQ3 2019","Currency=USD","Period=FQ","BEST_FPERIOD_OVERRIDE=FQ","FILING_STATUS=MR","SCALING_FORMAT=MLN","Sort=A","Dates=H","DateFormat=P","Fill=—","Direction=H","UseDPDF=Y")</f>
        <v>-50</v>
      </c>
      <c r="H11" s="12" cm="1">
        <f t="array" ref="H11">_xll.BDH("DE US Equity","CF_DEF_INC_TAX","FQ4 2019","FQ4 2019","Currency=USD","Period=FQ","BEST_FPERIOD_OVERRIDE=FQ","FILING_STATUS=MR","SCALING_FORMAT=MLN","Sort=A","Dates=H","DateFormat=P","Fill=—","Direction=H","UseDPDF=Y")</f>
        <v>-133</v>
      </c>
      <c r="I11" s="12" cm="1">
        <f t="array" ref="I11">_xll.BDH("DE US Equity","CF_DEF_INC_TAX","FQ1 2020","FQ1 2020","Currency=USD","Period=FQ","BEST_FPERIOD_OVERRIDE=FQ","FILING_STATUS=MR","SCALING_FORMAT=MLN","Sort=A","Dates=H","DateFormat=P","Fill=—","Direction=H","UseDPDF=Y")</f>
        <v>-29</v>
      </c>
      <c r="J11" s="12" cm="1">
        <f t="array" ref="J11">_xll.BDH("DE US Equity","CF_DEF_INC_TAX","FQ2 2020","FQ2 2020","Currency=USD","Period=FQ","BEST_FPERIOD_OVERRIDE=FQ","FILING_STATUS=MR","SCALING_FORMAT=MLN","Sort=A","Dates=H","DateFormat=P","Fill=—","Direction=H","UseDPDF=Y")</f>
        <v>-32</v>
      </c>
      <c r="K11" s="12" cm="1">
        <f t="array" ref="K11">_xll.BDH("DE US Equity","CF_DEF_INC_TAX","FQ3 2020","FQ3 2020","Currency=USD","Period=FQ","BEST_FPERIOD_OVERRIDE=FQ","FILING_STATUS=MR","SCALING_FORMAT=MLN","Sort=A","Dates=H","DateFormat=P","Fill=—","Direction=H","UseDPDF=Y")</f>
        <v>-99</v>
      </c>
      <c r="L11" s="12" cm="1">
        <f t="array" ref="L11">_xll.BDH("DE US Equity","CF_DEF_INC_TAX","FQ4 2020","FQ4 2020","Currency=USD","Period=FQ","BEST_FPERIOD_OVERRIDE=FQ","FILING_STATUS=MR","SCALING_FORMAT=MLN","Sort=A","Dates=H","DateFormat=P","Fill=—","Direction=H","UseDPDF=Y")</f>
        <v>149</v>
      </c>
      <c r="M11" s="12" cm="1">
        <f t="array" ref="M11">_xll.BDH("DE US Equity","CF_DEF_INC_TAX","FQ1 2021","FQ1 2021","Currency=USD","Period=FQ","BEST_FPERIOD_OVERRIDE=FQ","FILING_STATUS=MR","SCALING_FORMAT=MLN","Sort=A","Dates=H","DateFormat=P","Fill=—","Direction=H","UseDPDF=Y")</f>
        <v>-38</v>
      </c>
      <c r="N11" s="12" cm="1">
        <f t="array" ref="N11">_xll.BDH("DE US Equity","CF_DEF_INC_TAX","FQ2 2021","FQ2 2021","Currency=USD","Period=FQ","BEST_FPERIOD_OVERRIDE=FQ","FILING_STATUS=MR","SCALING_FORMAT=MLN","Sort=A","Dates=H","DateFormat=P","Fill=—","Direction=H","UseDPDF=Y")</f>
        <v>-175</v>
      </c>
      <c r="O11" s="12" cm="1">
        <f t="array" ref="O11">_xll.BDH("DE US Equity","CF_DEF_INC_TAX","FQ3 2021","FQ3 2021","Currency=USD","Period=FQ","BEST_FPERIOD_OVERRIDE=FQ","FILING_STATUS=MR","SCALING_FORMAT=MLN","Sort=A","Dates=H","DateFormat=P","Fill=—","Direction=H","UseDPDF=Y")</f>
        <v>-58</v>
      </c>
      <c r="P11" s="12" cm="1">
        <f t="array" ref="P11">_xll.BDH("DE US Equity","CF_DEF_INC_TAX","FQ4 2021","FQ4 2021","Currency=USD","Period=FQ","BEST_FPERIOD_OVERRIDE=FQ","FILING_STATUS=MR","SCALING_FORMAT=MLN","Sort=A","Dates=H","DateFormat=P","Fill=—","Direction=H","UseDPDF=Y")</f>
        <v>-170</v>
      </c>
      <c r="Q11" s="12" cm="1">
        <f t="array" ref="Q11">_xll.BDH("DE US Equity","CF_DEF_INC_TAX","FQ1 2022","FQ1 2022","Currency=USD","Period=FQ","BEST_FPERIOD_OVERRIDE=FQ","FILING_STATUS=MR","SCALING_FORMAT=MLN","Sort=A","Dates=H","DateFormat=P","Fill=—","Direction=H","UseDPDF=Y")</f>
        <v>210</v>
      </c>
      <c r="R11" s="12" cm="1">
        <f t="array" ref="R11">_xll.BDH("DE US Equity","CF_DEF_INC_TAX","FQ2 2022","FQ2 2022","Currency=USD","Period=FQ","BEST_FPERIOD_OVERRIDE=FQ","FILING_STATUS=MR","SCALING_FORMAT=MLN","Sort=A","Dates=H","DateFormat=P","Fill=—","Direction=H","UseDPDF=Y")</f>
        <v>-173</v>
      </c>
      <c r="S11" s="12" cm="1">
        <f t="array" ref="S11">_xll.BDH("DE US Equity","CF_DEF_INC_TAX","FQ3 2022","FQ3 2022","Currency=USD","Period=FQ","BEST_FPERIOD_OVERRIDE=FQ","FILING_STATUS=MR","SCALING_FORMAT=MLN","Sort=A","Dates=H","DateFormat=P","Fill=—","Direction=H","UseDPDF=Y")</f>
        <v>-43</v>
      </c>
      <c r="T11" s="12" cm="1">
        <f t="array" ref="T11">_xll.BDH("DE US Equity","CF_DEF_INC_TAX","FQ4 2022","FQ4 2022","Currency=USD","Period=FQ","BEST_FPERIOD_OVERRIDE=FQ","FILING_STATUS=MR","SCALING_FORMAT=MLN","Sort=A","Dates=H","DateFormat=P","Fill=—","Direction=H","UseDPDF=Y")</f>
        <v>-60</v>
      </c>
      <c r="U11" s="12" cm="1">
        <f t="array" ref="U11">_xll.BDH("DE US Equity","CF_DEF_INC_TAX","FQ1 2023","FQ1 2023","Currency=USD","Period=FQ","BEST_FPERIOD_OVERRIDE=FQ","FILING_STATUS=MR","SCALING_FORMAT=MLN","Sort=A","Dates=H","DateFormat=P","Fill=—","Direction=H","UseDPDF=Y")</f>
        <v>-56</v>
      </c>
      <c r="V11" s="12" cm="1">
        <f t="array" ref="V11">_xll.BDH("DE US Equity","CF_DEF_INC_TAX","FQ2 2023","FQ2 2023","Currency=USD","Period=FQ","BEST_FPERIOD_OVERRIDE=FQ","FILING_STATUS=MR","SCALING_FORMAT=MLN","Sort=A","Dates=H","DateFormat=P","Fill=—","Direction=H","UseDPDF=Y")</f>
        <v>-321</v>
      </c>
      <c r="W11" s="12" cm="1">
        <f t="array" ref="W11">_xll.BDH("DE US Equity","CF_DEF_INC_TAX","FQ3 2023","FQ3 2023","Currency=USD","Period=FQ","BEST_FPERIOD_OVERRIDE=FQ","FILING_STATUS=MR","SCALING_FORMAT=MLN","Sort=A","Dates=H","DateFormat=P","Fill=—","Direction=H","UseDPDF=Y")</f>
        <v>-52</v>
      </c>
      <c r="X11" s="12" cm="1">
        <f t="array" ref="X11">_xll.BDH("DE US Equity","CF_DEF_INC_TAX","FQ4 2023","FQ4 2023","Currency=USD","Period=FQ","BEST_FPERIOD_OVERRIDE=FQ","FILING_STATUS=MR","SCALING_FORMAT=MLN","Sort=A","Dates=H","DateFormat=P","Fill=—","Direction=H","UseDPDF=Y")</f>
        <v>-361</v>
      </c>
      <c r="Y11" s="12" cm="1">
        <f t="array" ref="Y11">_xll.BDH("DE US Equity","CF_DEF_INC_TAX","FQ1 2024","FQ1 2024","Currency=USD","Period=FQ","BEST_FPERIOD_OVERRIDE=FQ","FILING_STATUS=MR","SCALING_FORMAT=MLN","Sort=A","Dates=H","DateFormat=P","Fill=—","Direction=H","UseDPDF=Y")</f>
        <v>27</v>
      </c>
      <c r="Z11" s="12" cm="1">
        <f t="array" ref="Z11">_xll.BDH("DE US Equity","CF_DEF_INC_TAX","FQ2 2024","FQ2 2024","Currency=USD","Period=FQ","BEST_FPERIOD_OVERRIDE=FQ","FILING_STATUS=MR","SCALING_FORMAT=MLN","Sort=A","Dates=H","DateFormat=P","Fill=—","Direction=H","UseDPDF=Y")</f>
        <v>-147</v>
      </c>
      <c r="AA11" s="12" cm="1">
        <f t="array" ref="AA11">_xll.BDH("DE US Equity","CF_DEF_INC_TAX","FQ3 2024","FQ3 2024","Currency=USD","Period=FQ","BEST_FPERIOD_OVERRIDE=FQ","FILING_STATUS=MR","SCALING_FORMAT=MLN","Sort=A","Dates=H","DateFormat=P","Fill=—","Direction=H","UseDPDF=Y")</f>
        <v>-5</v>
      </c>
      <c r="AB11" s="12" cm="1">
        <f t="array" ref="AB11">_xll.BDH("DE US Equity","CF_DEF_INC_TAX","FQ4 2024","FQ4 2024","Currency=USD","Period=FQ","BEST_FPERIOD_OVERRIDE=FQ","FILING_STATUS=MR","SCALING_FORMAT=MLN","Sort=A","Dates=H","DateFormat=P","Fill=—","Direction=H","UseDPDF=Y")</f>
        <v>-169</v>
      </c>
      <c r="AC11" s="12" cm="1">
        <f t="array" ref="AC11">_xll.BDH("DE US Equity","CF_DEF_INC_TAX","FQ1 2025","FQ1 2025","Currency=USD","Period=FQ","BEST_FPERIOD_OVERRIDE=FQ","FILING_STATUS=MR","SCALING_FORMAT=MLN","Sort=A","Dates=H","DateFormat=P","Fill=—","Direction=H","UseDPDF=Y")</f>
        <v>208</v>
      </c>
      <c r="AD11" s="12" cm="1">
        <f t="array" ref="AD11">_xll.BDH("DE US Equity","CF_DEF_INC_TAX","FQ2 2025","FQ2 2025","Currency=USD","Period=FQ","BEST_FPERIOD_OVERRIDE=FQ","FILING_STATUS=MR","SCALING_FORMAT=MLN","Sort=A","Dates=H","DateFormat=P","Fill=—","Direction=H","UseDPDF=Y")</f>
        <v>-197</v>
      </c>
      <c r="AE11" s="12" cm="1">
        <f t="array" ref="AE11">_xll.BDH("DE US Equity","CF_DEF_INC_TAX","FQ3 2025","FQ3 2025","Currency=USD","Period=FQ","BEST_FPERIOD_OVERRIDE=FQ","FILING_STATUS=MR","SCALING_FORMAT=MLN","Sort=A","Dates=H","DateFormat=P","Fill=—","Direction=H","UseDPDF=Y")</f>
        <v>-113</v>
      </c>
      <c r="AF11" s="12" cm="1">
        <f t="array" ref="AF11">_xll.BDH("DE US Equity","CF_DEF_INC_TAX","FQ4 2025","FQ4 2025","Currency=USD","Period=FQ","BEST_FPERIOD_OVERRIDE=FQ","FILING_STATUS=MR","SCALING_FORMAT=MLN","Sort=A","Dates=H","DateFormat=P","Fill=—","Direction=H","UseDPDF=Y")</f>
        <v>-186</v>
      </c>
    </row>
    <row r="12" spans="1:32" x14ac:dyDescent="0.25">
      <c r="A12" s="10" t="s">
        <v>76</v>
      </c>
      <c r="B12" s="10" t="s">
        <v>77</v>
      </c>
      <c r="C12" s="12" cm="1">
        <f t="array" ref="C12">_xll.BDH("DE US Equity","OTHER_NON_CASH_ADJ_LESS_DETAILED","FQ3 2018","FQ3 2018","Currency=USD","Period=FQ","BEST_FPERIOD_OVERRIDE=FQ","FILING_STATUS=MR","SCALING_FORMAT=MLN","Sort=A","Dates=H","DateFormat=P","Fill=—","Direction=H","UseDPDF=Y")</f>
        <v>-832</v>
      </c>
      <c r="D12" s="12" cm="1">
        <f t="array" ref="D12">_xll.BDH("DE US Equity","OTHER_NON_CASH_ADJ_LESS_DETAILED","FQ4 2018","FQ4 2018","Currency=USD","Period=FQ","BEST_FPERIOD_OVERRIDE=FQ","FILING_STATUS=MR","SCALING_FORMAT=MLN","Sort=A","Dates=H","DateFormat=P","Fill=—","Direction=H","UseDPDF=Y")</f>
        <v>-101</v>
      </c>
      <c r="E12" s="12" cm="1">
        <f t="array" ref="E12">_xll.BDH("DE US Equity","OTHER_NON_CASH_ADJ_LESS_DETAILED","FQ1 2019","FQ1 2019","Currency=USD","Period=FQ","BEST_FPERIOD_OVERRIDE=FQ","FILING_STATUS=MR","SCALING_FORMAT=MLN","Sort=A","Dates=H","DateFormat=P","Fill=—","Direction=H","UseDPDF=Y")</f>
        <v>-113</v>
      </c>
      <c r="F12" s="12" cm="1">
        <f t="array" ref="F12">_xll.BDH("DE US Equity","OTHER_NON_CASH_ADJ_LESS_DETAILED","FQ2 2019","FQ2 2019","Currency=USD","Period=FQ","BEST_FPERIOD_OVERRIDE=FQ","FILING_STATUS=MR","SCALING_FORMAT=MLN","Sort=A","Dates=H","DateFormat=P","Fill=—","Direction=H","UseDPDF=Y")</f>
        <v>241.8</v>
      </c>
      <c r="G12" s="12" cm="1">
        <f t="array" ref="G12">_xll.BDH("DE US Equity","OTHER_NON_CASH_ADJ_LESS_DETAILED","FQ3 2019","FQ3 2019","Currency=USD","Period=FQ","BEST_FPERIOD_OVERRIDE=FQ","FILING_STATUS=MR","SCALING_FORMAT=MLN","Sort=A","Dates=H","DateFormat=P","Fill=—","Direction=H","UseDPDF=Y")</f>
        <v>-82</v>
      </c>
      <c r="H12" s="12" cm="1">
        <f t="array" ref="H12">_xll.BDH("DE US Equity","OTHER_NON_CASH_ADJ_LESS_DETAILED","FQ4 2019","FQ4 2019","Currency=USD","Period=FQ","BEST_FPERIOD_OVERRIDE=FQ","FILING_STATUS=MR","SCALING_FORMAT=MLN","Sort=A","Dates=H","DateFormat=P","Fill=—","Direction=H","UseDPDF=Y")</f>
        <v>-94</v>
      </c>
      <c r="I12" s="12" cm="1">
        <f t="array" ref="I12">_xll.BDH("DE US Equity","OTHER_NON_CASH_ADJ_LESS_DETAILED","FQ1 2020","FQ1 2020","Currency=USD","Period=FQ","BEST_FPERIOD_OVERRIDE=FQ","FILING_STATUS=MR","SCALING_FORMAT=MLN","Sort=A","Dates=H","DateFormat=P","Fill=—","Direction=H","UseDPDF=Y")</f>
        <v>206</v>
      </c>
      <c r="J12" s="12" cm="1">
        <f t="array" ref="J12">_xll.BDH("DE US Equity","OTHER_NON_CASH_ADJ_LESS_DETAILED","FQ2 2020","FQ2 2020","Currency=USD","Period=FQ","BEST_FPERIOD_OVERRIDE=FQ","FILING_STATUS=MR","SCALING_FORMAT=MLN","Sort=A","Dates=H","DateFormat=P","Fill=—","Direction=H","UseDPDF=Y")</f>
        <v>200</v>
      </c>
      <c r="K12" s="12" cm="1">
        <f t="array" ref="K12">_xll.BDH("DE US Equity","OTHER_NON_CASH_ADJ_LESS_DETAILED","FQ3 2020","FQ3 2020","Currency=USD","Period=FQ","BEST_FPERIOD_OVERRIDE=FQ","FILING_STATUS=MR","SCALING_FORMAT=MLN","Sort=A","Dates=H","DateFormat=P","Fill=—","Direction=H","UseDPDF=Y")</f>
        <v>84</v>
      </c>
      <c r="L12" s="12" cm="1">
        <f t="array" ref="L12">_xll.BDH("DE US Equity","OTHER_NON_CASH_ADJ_LESS_DETAILED","FQ4 2020","FQ4 2020","Currency=USD","Period=FQ","BEST_FPERIOD_OVERRIDE=FQ","FILING_STATUS=MR","SCALING_FORMAT=MLN","Sort=A","Dates=H","DateFormat=P","Fill=—","Direction=H","UseDPDF=Y")</f>
        <v>-352</v>
      </c>
      <c r="M12" s="12" cm="1">
        <f t="array" ref="M12">_xll.BDH("DE US Equity","OTHER_NON_CASH_ADJ_LESS_DETAILED","FQ1 2021","FQ1 2021","Currency=USD","Period=FQ","BEST_FPERIOD_OVERRIDE=FQ","FILING_STATUS=MR","SCALING_FORMAT=MLN","Sort=A","Dates=H","DateFormat=P","Fill=—","Direction=H","UseDPDF=Y")</f>
        <v>2</v>
      </c>
      <c r="N12" s="12" cm="1">
        <f t="array" ref="N12">_xll.BDH("DE US Equity","OTHER_NON_CASH_ADJ_LESS_DETAILED","FQ2 2021","FQ2 2021","Currency=USD","Period=FQ","BEST_FPERIOD_OVERRIDE=FQ","FILING_STATUS=MR","SCALING_FORMAT=MLN","Sort=A","Dates=H","DateFormat=P","Fill=—","Direction=H","UseDPDF=Y")</f>
        <v>-171</v>
      </c>
      <c r="O12" s="12" cm="1">
        <f t="array" ref="O12">_xll.BDH("DE US Equity","OTHER_NON_CASH_ADJ_LESS_DETAILED","FQ3 2021","FQ3 2021","Currency=USD","Period=FQ","BEST_FPERIOD_OVERRIDE=FQ","FILING_STATUS=MR","SCALING_FORMAT=MLN","Sort=A","Dates=H","DateFormat=P","Fill=—","Direction=H","UseDPDF=Y")</f>
        <v>-75</v>
      </c>
      <c r="P12" s="12" cm="1">
        <f t="array" ref="P12">_xll.BDH("DE US Equity","OTHER_NON_CASH_ADJ_LESS_DETAILED","FQ4 2021","FQ4 2021","Currency=USD","Period=FQ","BEST_FPERIOD_OVERRIDE=FQ","FILING_STATUS=MR","SCALING_FORMAT=MLN","Sort=A","Dates=H","DateFormat=P","Fill=—","Direction=H","UseDPDF=Y")</f>
        <v>-52</v>
      </c>
      <c r="Q12" s="12" cm="1">
        <f t="array" ref="Q12">_xll.BDH("DE US Equity","OTHER_NON_CASH_ADJ_LESS_DETAILED","FQ1 2022","FQ1 2022","Currency=USD","Period=FQ","BEST_FPERIOD_OVERRIDE=FQ","FILING_STATUS=MR","SCALING_FORMAT=MLN","Sort=A","Dates=H","DateFormat=P","Fill=—","Direction=H","UseDPDF=Y")</f>
        <v>-1029</v>
      </c>
      <c r="R12" s="12" cm="1">
        <f t="array" ref="R12">_xll.BDH("DE US Equity","OTHER_NON_CASH_ADJ_LESS_DETAILED","FQ2 2022","FQ2 2022","Currency=USD","Period=FQ","BEST_FPERIOD_OVERRIDE=FQ","FILING_STATUS=MR","SCALING_FORMAT=MLN","Sort=A","Dates=H","DateFormat=P","Fill=—","Direction=H","UseDPDF=Y")</f>
        <v>-366</v>
      </c>
      <c r="S12" s="12" cm="1">
        <f t="array" ref="S12">_xll.BDH("DE US Equity","OTHER_NON_CASH_ADJ_LESS_DETAILED","FQ3 2022","FQ3 2022","Currency=USD","Period=FQ","BEST_FPERIOD_OVERRIDE=FQ","FILING_STATUS=MR","SCALING_FORMAT=MLN","Sort=A","Dates=H","DateFormat=P","Fill=—","Direction=H","UseDPDF=Y")</f>
        <v>243</v>
      </c>
      <c r="T12" s="12" cm="1">
        <f t="array" ref="T12">_xll.BDH("DE US Equity","OTHER_NON_CASH_ADJ_LESS_DETAILED","FQ4 2022","FQ4 2022","Currency=USD","Period=FQ","BEST_FPERIOD_OVERRIDE=FQ","FILING_STATUS=MR","SCALING_FORMAT=MLN","Sort=A","Dates=H","DateFormat=P","Fill=—","Direction=H","UseDPDF=Y")</f>
        <v>106</v>
      </c>
      <c r="U12" s="12" cm="1">
        <f t="array" ref="U12">_xll.BDH("DE US Equity","OTHER_NON_CASH_ADJ_LESS_DETAILED","FQ1 2023","FQ1 2023","Currency=USD","Period=FQ","BEST_FPERIOD_OVERRIDE=FQ","FILING_STATUS=MR","SCALING_FORMAT=MLN","Sort=A","Dates=H","DateFormat=P","Fill=—","Direction=H","UseDPDF=Y")</f>
        <v>6</v>
      </c>
      <c r="V12" s="12" cm="1">
        <f t="array" ref="V12">_xll.BDH("DE US Equity","OTHER_NON_CASH_ADJ_LESS_DETAILED","FQ2 2023","FQ2 2023","Currency=USD","Period=FQ","BEST_FPERIOD_OVERRIDE=FQ","FILING_STATUS=MR","SCALING_FORMAT=MLN","Sort=A","Dates=H","DateFormat=P","Fill=—","Direction=H","UseDPDF=Y")</f>
        <v>154</v>
      </c>
      <c r="W12" s="12" cm="1">
        <f t="array" ref="W12">_xll.BDH("DE US Equity","OTHER_NON_CASH_ADJ_LESS_DETAILED","FQ3 2023","FQ3 2023","Currency=USD","Period=FQ","BEST_FPERIOD_OVERRIDE=FQ","FILING_STATUS=MR","SCALING_FORMAT=MLN","Sort=A","Dates=H","DateFormat=P","Fill=—","Direction=H","UseDPDF=Y")</f>
        <v>-1</v>
      </c>
      <c r="X12" s="12" cm="1">
        <f t="array" ref="X12">_xll.BDH("DE US Equity","OTHER_NON_CASH_ADJ_LESS_DETAILED","FQ4 2023","FQ4 2023","Currency=USD","Period=FQ","BEST_FPERIOD_OVERRIDE=FQ","FILING_STATUS=MR","SCALING_FORMAT=MLN","Sort=A","Dates=H","DateFormat=P","Fill=—","Direction=H","UseDPDF=Y")</f>
        <v>87</v>
      </c>
      <c r="Y12" s="12" cm="1">
        <f t="array" ref="Y12">_xll.BDH("DE US Equity","OTHER_NON_CASH_ADJ_LESS_DETAILED","FQ1 2024","FQ1 2024","Currency=USD","Period=FQ","BEST_FPERIOD_OVERRIDE=FQ","FILING_STATUS=MR","SCALING_FORMAT=MLN","Sort=A","Dates=H","DateFormat=P","Fill=—","Direction=H","UseDPDF=Y")</f>
        <v>-108</v>
      </c>
      <c r="Z12" s="12" cm="1">
        <f t="array" ref="Z12">_xll.BDH("DE US Equity","OTHER_NON_CASH_ADJ_LESS_DETAILED","FQ2 2024","FQ2 2024","Currency=USD","Period=FQ","BEST_FPERIOD_OVERRIDE=FQ","FILING_STATUS=MR","SCALING_FORMAT=MLN","Sort=A","Dates=H","DateFormat=P","Fill=—","Direction=H","UseDPDF=Y")</f>
        <v>109</v>
      </c>
      <c r="AA12" s="12" cm="1">
        <f t="array" ref="AA12">_xll.BDH("DE US Equity","OTHER_NON_CASH_ADJ_LESS_DETAILED","FQ3 2024","FQ3 2024","Currency=USD","Period=FQ","BEST_FPERIOD_OVERRIDE=FQ","FILING_STATUS=MR","SCALING_FORMAT=MLN","Sort=A","Dates=H","DateFormat=P","Fill=—","Direction=H","UseDPDF=Y")</f>
        <v>-153</v>
      </c>
      <c r="AB12" s="12" cm="1">
        <f t="array" ref="AB12">_xll.BDH("DE US Equity","OTHER_NON_CASH_ADJ_LESS_DETAILED","FQ4 2024","FQ4 2024","Currency=USD","Period=FQ","BEST_FPERIOD_OVERRIDE=FQ","FILING_STATUS=MR","SCALING_FORMAT=MLN","Sort=A","Dates=H","DateFormat=P","Fill=—","Direction=H","UseDPDF=Y")</f>
        <v>205</v>
      </c>
      <c r="AC12" s="12" cm="1">
        <f t="array" ref="AC12">_xll.BDH("DE US Equity","OTHER_NON_CASH_ADJ_LESS_DETAILED","FQ1 2025","FQ1 2025","Currency=USD","Period=FQ","BEST_FPERIOD_OVERRIDE=FQ","FILING_STATUS=MR","SCALING_FORMAT=MLN","Sort=A","Dates=H","DateFormat=P","Fill=—","Direction=H","UseDPDF=Y")</f>
        <v>-669</v>
      </c>
      <c r="AD12" s="12" cm="1">
        <f t="array" ref="AD12">_xll.BDH("DE US Equity","OTHER_NON_CASH_ADJ_LESS_DETAILED","FQ2 2025","FQ2 2025","Currency=USD","Period=FQ","BEST_FPERIOD_OVERRIDE=FQ","FILING_STATUS=MR","SCALING_FORMAT=MLN","Sort=A","Dates=H","DateFormat=P","Fill=—","Direction=H","UseDPDF=Y")</f>
        <v>281</v>
      </c>
      <c r="AE12" s="12" cm="1">
        <f t="array" ref="AE12">_xll.BDH("DE US Equity","OTHER_NON_CASH_ADJ_LESS_DETAILED","FQ3 2025","FQ3 2025","Currency=USD","Period=FQ","BEST_FPERIOD_OVERRIDE=FQ","FILING_STATUS=MR","SCALING_FORMAT=MLN","Sort=A","Dates=H","DateFormat=P","Fill=—","Direction=H","UseDPDF=Y")</f>
        <v>104</v>
      </c>
      <c r="AF12" s="12" cm="1">
        <f t="array" ref="AF12">_xll.BDH("DE US Equity","OTHER_NON_CASH_ADJ_LESS_DETAILED","FQ4 2025","FQ4 2025","Currency=USD","Period=FQ","BEST_FPERIOD_OVERRIDE=FQ","FILING_STATUS=MR","SCALING_FORMAT=MLN","Sort=A","Dates=H","DateFormat=P","Fill=—","Direction=H","UseDPDF=Y")</f>
        <v>202</v>
      </c>
    </row>
    <row r="13" spans="1:32" x14ac:dyDescent="0.25">
      <c r="A13" s="10" t="s">
        <v>78</v>
      </c>
      <c r="B13" s="10" t="s">
        <v>79</v>
      </c>
      <c r="C13" s="12" cm="1">
        <f t="array" ref="C13">_xll.BDH("DE US Equity","CF_CHNG_NON_CASH_WORK_CAP","FQ3 2018","FQ3 2018","Currency=USD","Period=FQ","BEST_FPERIOD_OVERRIDE=FQ","FILING_STATUS=MR","SCALING_FORMAT=MLN","Sort=A","Dates=H","DateFormat=P","Fill=—","Direction=H","UseDPDF=Y")</f>
        <v>-84</v>
      </c>
      <c r="D13" s="12" cm="1">
        <f t="array" ref="D13">_xll.BDH("DE US Equity","CF_CHNG_NON_CASH_WORK_CAP","FQ4 2018","FQ4 2018","Currency=USD","Period=FQ","BEST_FPERIOD_OVERRIDE=FQ","FILING_STATUS=MR","SCALING_FORMAT=MLN","Sort=A","Dates=H","DateFormat=P","Fill=—","Direction=H","UseDPDF=Y")</f>
        <v>468</v>
      </c>
      <c r="E13" s="12" cm="1">
        <f t="array" ref="E13">_xll.BDH("DE US Equity","CF_CHNG_NON_CASH_WORK_CAP","FQ1 2019","FQ1 2019","Currency=USD","Period=FQ","BEST_FPERIOD_OVERRIDE=FQ","FILING_STATUS=MR","SCALING_FORMAT=MLN","Sort=A","Dates=H","DateFormat=P","Fill=—","Direction=H","UseDPDF=Y")</f>
        <v>-2503</v>
      </c>
      <c r="F13" s="12" cm="1">
        <f t="array" ref="F13">_xll.BDH("DE US Equity","CF_CHNG_NON_CASH_WORK_CAP","FQ2 2019","FQ2 2019","Currency=USD","Period=FQ","BEST_FPERIOD_OVERRIDE=FQ","FILING_STATUS=MR","SCALING_FORMAT=MLN","Sort=A","Dates=H","DateFormat=P","Fill=—","Direction=H","UseDPDF=Y")</f>
        <v>-1531.2</v>
      </c>
      <c r="G13" s="12" cm="1">
        <f t="array" ref="G13">_xll.BDH("DE US Equity","CF_CHNG_NON_CASH_WORK_CAP","FQ3 2019","FQ3 2019","Currency=USD","Period=FQ","BEST_FPERIOD_OVERRIDE=FQ","FILING_STATUS=MR","SCALING_FORMAT=MLN","Sort=A","Dates=H","DateFormat=P","Fill=—","Direction=H","UseDPDF=Y")</f>
        <v>607</v>
      </c>
      <c r="H13" s="12" cm="1">
        <f t="array" ref="H13">_xll.BDH("DE US Equity","CF_CHNG_NON_CASH_WORK_CAP","FQ4 2019","FQ4 2019","Currency=USD","Period=FQ","BEST_FPERIOD_OVERRIDE=FQ","FILING_STATUS=MR","SCALING_FORMAT=MLN","Sort=A","Dates=H","DateFormat=P","Fill=—","Direction=H","UseDPDF=Y")</f>
        <v>1997</v>
      </c>
      <c r="I13" s="12" cm="1">
        <f t="array" ref="I13">_xll.BDH("DE US Equity","CF_CHNG_NON_CASH_WORK_CAP","FQ1 2020","FQ1 2020","Currency=USD","Period=FQ","BEST_FPERIOD_OVERRIDE=FQ","FILING_STATUS=MR","SCALING_FORMAT=MLN","Sort=A","Dates=H","DateFormat=P","Fill=—","Direction=H","UseDPDF=Y")</f>
        <v>-1759</v>
      </c>
      <c r="J13" s="12" cm="1">
        <f t="array" ref="J13">_xll.BDH("DE US Equity","CF_CHNG_NON_CASH_WORK_CAP","FQ2 2020","FQ2 2020","Currency=USD","Period=FQ","BEST_FPERIOD_OVERRIDE=FQ","FILING_STATUS=MR","SCALING_FORMAT=MLN","Sort=A","Dates=H","DateFormat=P","Fill=—","Direction=H","UseDPDF=Y")</f>
        <v>-108</v>
      </c>
      <c r="K13" s="12" cm="1">
        <f t="array" ref="K13">_xll.BDH("DE US Equity","CF_CHNG_NON_CASH_WORK_CAP","FQ3 2020","FQ3 2020","Currency=USD","Period=FQ","BEST_FPERIOD_OVERRIDE=FQ","FILING_STATUS=MR","SCALING_FORMAT=MLN","Sort=A","Dates=H","DateFormat=P","Fill=—","Direction=H","UseDPDF=Y")</f>
        <v>1924</v>
      </c>
      <c r="L13" s="12" cm="1">
        <f t="array" ref="L13">_xll.BDH("DE US Equity","CF_CHNG_NON_CASH_WORK_CAP","FQ4 2020","FQ4 2020","Currency=USD","Period=FQ","BEST_FPERIOD_OVERRIDE=FQ","FILING_STATUS=MR","SCALING_FORMAT=MLN","Sort=A","Dates=H","DateFormat=P","Fill=—","Direction=H","UseDPDF=Y")</f>
        <v>2350</v>
      </c>
      <c r="M13" s="12" cm="1">
        <f t="array" ref="M13">_xll.BDH("DE US Equity","CF_CHNG_NON_CASH_WORK_CAP","FQ1 2021","FQ1 2021","Currency=USD","Period=FQ","BEST_FPERIOD_OVERRIDE=FQ","FILING_STATUS=MR","SCALING_FORMAT=MLN","Sort=A","Dates=H","DateFormat=P","Fill=—","Direction=H","UseDPDF=Y")</f>
        <v>-1598</v>
      </c>
      <c r="N13" s="12" cm="1">
        <f t="array" ref="N13">_xll.BDH("DE US Equity","CF_CHNG_NON_CASH_WORK_CAP","FQ2 2021","FQ2 2021","Currency=USD","Period=FQ","BEST_FPERIOD_OVERRIDE=FQ","FILING_STATUS=MR","SCALING_FORMAT=MLN","Sort=A","Dates=H","DateFormat=P","Fill=—","Direction=H","UseDPDF=Y")</f>
        <v>-347</v>
      </c>
      <c r="O13" s="12" cm="1">
        <f t="array" ref="O13">_xll.BDH("DE US Equity","CF_CHNG_NON_CASH_WORK_CAP","FQ3 2021","FQ3 2021","Currency=USD","Period=FQ","BEST_FPERIOD_OVERRIDE=FQ","FILING_STATUS=MR","SCALING_FORMAT=MLN","Sort=A","Dates=H","DateFormat=P","Fill=—","Direction=H","UseDPDF=Y")</f>
        <v>460</v>
      </c>
      <c r="P13" s="12" cm="1">
        <f t="array" ref="P13">_xll.BDH("DE US Equity","CF_CHNG_NON_CASH_WORK_CAP","FQ4 2021","FQ4 2021","Currency=USD","Period=FQ","BEST_FPERIOD_OVERRIDE=FQ","FILING_STATUS=MR","SCALING_FORMAT=MLN","Sort=A","Dates=H","DateFormat=P","Fill=—","Direction=H","UseDPDF=Y")</f>
        <v>1852</v>
      </c>
      <c r="Q13" s="12" cm="1">
        <f t="array" ref="Q13">_xll.BDH("DE US Equity","CF_CHNG_NON_CASH_WORK_CAP","FQ1 2022","FQ1 2022","Currency=USD","Period=FQ","BEST_FPERIOD_OVERRIDE=FQ","FILING_STATUS=MR","SCALING_FORMAT=MLN","Sort=A","Dates=H","DateFormat=P","Fill=—","Direction=H","UseDPDF=Y")</f>
        <v>-3141</v>
      </c>
      <c r="R13" s="12" cm="1">
        <f t="array" ref="R13">_xll.BDH("DE US Equity","CF_CHNG_NON_CASH_WORK_CAP","FQ2 2022","FQ2 2022","Currency=USD","Period=FQ","BEST_FPERIOD_OVERRIDE=FQ","FILING_STATUS=MR","SCALING_FORMAT=MLN","Sort=A","Dates=H","DateFormat=P","Fill=—","Direction=H","UseDPDF=Y")</f>
        <v>-1241</v>
      </c>
      <c r="S13" s="12" cm="1">
        <f t="array" ref="S13">_xll.BDH("DE US Equity","CF_CHNG_NON_CASH_WORK_CAP","FQ3 2022","FQ3 2022","Currency=USD","Period=FQ","BEST_FPERIOD_OVERRIDE=FQ","FILING_STATUS=MR","SCALING_FORMAT=MLN","Sort=A","Dates=H","DateFormat=P","Fill=—","Direction=H","UseDPDF=Y")</f>
        <v>-434</v>
      </c>
      <c r="T13" s="12" cm="1">
        <f t="array" ref="T13">_xll.BDH("DE US Equity","CF_CHNG_NON_CASH_WORK_CAP","FQ4 2022","FQ4 2022","Currency=USD","Period=FQ","BEST_FPERIOD_OVERRIDE=FQ","FILING_STATUS=MR","SCALING_FORMAT=MLN","Sort=A","Dates=H","DateFormat=P","Fill=—","Direction=H","UseDPDF=Y")</f>
        <v>1516</v>
      </c>
      <c r="U13" s="12" cm="1">
        <f t="array" ref="U13">_xll.BDH("DE US Equity","CF_CHNG_NON_CASH_WORK_CAP","FQ1 2023","FQ1 2023","Currency=USD","Period=FQ","BEST_FPERIOD_OVERRIDE=FQ","FILING_STATUS=MR","SCALING_FORMAT=MLN","Sort=A","Dates=H","DateFormat=P","Fill=—","Direction=H","UseDPDF=Y")</f>
        <v>-3672</v>
      </c>
      <c r="V13" s="12" cm="1">
        <f t="array" ref="V13">_xll.BDH("DE US Equity","CF_CHNG_NON_CASH_WORK_CAP","FQ2 2023","FQ2 2023","Currency=USD","Period=FQ","BEST_FPERIOD_OVERRIDE=FQ","FILING_STATUS=MR","SCALING_FORMAT=MLN","Sort=A","Dates=H","DateFormat=P","Fill=—","Direction=H","UseDPDF=Y")</f>
        <v>-2126</v>
      </c>
      <c r="W13" s="12" cm="1">
        <f t="array" ref="W13">_xll.BDH("DE US Equity","CF_CHNG_NON_CASH_WORK_CAP","FQ3 2023","FQ3 2023","Currency=USD","Period=FQ","BEST_FPERIOD_OVERRIDE=FQ","FILING_STATUS=MR","SCALING_FORMAT=MLN","Sort=A","Dates=H","DateFormat=P","Fill=—","Direction=H","UseDPDF=Y")</f>
        <v>-472</v>
      </c>
      <c r="X13" s="12" cm="1">
        <f t="array" ref="X13">_xll.BDH("DE US Equity","CF_CHNG_NON_CASH_WORK_CAP","FQ4 2023","FQ4 2023","Currency=USD","Period=FQ","BEST_FPERIOD_OVERRIDE=FQ","FILING_STATUS=MR","SCALING_FORMAT=MLN","Sort=A","Dates=H","DateFormat=P","Fill=—","Direction=H","UseDPDF=Y")</f>
        <v>3103</v>
      </c>
      <c r="Y13" s="12" cm="1">
        <f t="array" ref="Y13">_xll.BDH("DE US Equity","CF_CHNG_NON_CASH_WORK_CAP","FQ1 2024","FQ1 2024","Currency=USD","Period=FQ","BEST_FPERIOD_OVERRIDE=FQ","FILING_STATUS=MR","SCALING_FORMAT=MLN","Sort=A","Dates=H","DateFormat=P","Fill=—","Direction=H","UseDPDF=Y")</f>
        <v>-3144</v>
      </c>
      <c r="Z13" s="12" cm="1">
        <f t="array" ref="Z13">_xll.BDH("DE US Equity","CF_CHNG_NON_CASH_WORK_CAP","FQ2 2024","FQ2 2024","Currency=USD","Period=FQ","BEST_FPERIOD_OVERRIDE=FQ","FILING_STATUS=MR","SCALING_FORMAT=MLN","Sort=A","Dates=H","DateFormat=P","Fill=—","Direction=H","UseDPDF=Y")</f>
        <v>-1063</v>
      </c>
      <c r="AA13" s="12" cm="1">
        <f t="array" ref="AA13">_xll.BDH("DE US Equity","CF_CHNG_NON_CASH_WORK_CAP","FQ3 2024","FQ3 2024","Currency=USD","Period=FQ","BEST_FPERIOD_OVERRIDE=FQ","FILING_STATUS=MR","SCALING_FORMAT=MLN","Sort=A","Dates=H","DateFormat=P","Fill=—","Direction=H","UseDPDF=Y")</f>
        <v>1011</v>
      </c>
      <c r="AB13" s="12" cm="1">
        <f t="array" ref="AB13">_xll.BDH("DE US Equity","CF_CHNG_NON_CASH_WORK_CAP","FQ4 2024","FQ4 2024","Currency=USD","Period=FQ","BEST_FPERIOD_OVERRIDE=FQ","FILING_STATUS=MR","SCALING_FORMAT=MLN","Sort=A","Dates=H","DateFormat=P","Fill=—","Direction=H","UseDPDF=Y")</f>
        <v>3242</v>
      </c>
      <c r="AC13" s="12" cm="1">
        <f t="array" ref="AC13">_xll.BDH("DE US Equity","CF_CHNG_NON_CASH_WORK_CAP","FQ1 2025","FQ1 2025","Currency=USD","Period=FQ","BEST_FPERIOD_OVERRIDE=FQ","FILING_STATUS=MR","SCALING_FORMAT=MLN","Sort=A","Dates=H","DateFormat=P","Fill=—","Direction=H","UseDPDF=Y")</f>
        <v>-2117</v>
      </c>
      <c r="AD13" s="12" cm="1">
        <f t="array" ref="AD13">_xll.BDH("DE US Equity","CF_CHNG_NON_CASH_WORK_CAP","FQ2 2025","FQ2 2025","Currency=USD","Period=FQ","BEST_FPERIOD_OVERRIDE=FQ","FILING_STATUS=MR","SCALING_FORMAT=MLN","Sort=A","Dates=H","DateFormat=P","Fill=—","Direction=H","UseDPDF=Y")</f>
        <v>-769</v>
      </c>
      <c r="AE13" s="12" cm="1">
        <f t="array" ref="AE13">_xll.BDH("DE US Equity","CF_CHNG_NON_CASH_WORK_CAP","FQ3 2025","FQ3 2025","Currency=USD","Period=FQ","BEST_FPERIOD_OVERRIDE=FQ","FILING_STATUS=MR","SCALING_FORMAT=MLN","Sort=A","Dates=H","DateFormat=P","Fill=—","Direction=H","UseDPDF=Y")</f>
        <v>1002</v>
      </c>
      <c r="AF13" s="12" cm="1">
        <f t="array" ref="AF13">_xll.BDH("DE US Equity","CF_CHNG_NON_CASH_WORK_CAP","FQ4 2025","FQ4 2025","Currency=USD","Period=FQ","BEST_FPERIOD_OVERRIDE=FQ","FILING_STATUS=MR","SCALING_FORMAT=MLN","Sort=A","Dates=H","DateFormat=P","Fill=—","Direction=H","UseDPDF=Y")</f>
        <v>2306</v>
      </c>
    </row>
    <row r="14" spans="1:32" x14ac:dyDescent="0.25">
      <c r="A14" s="10" t="s">
        <v>80</v>
      </c>
      <c r="B14" s="10" t="s">
        <v>81</v>
      </c>
      <c r="C14" s="12" cm="1">
        <f t="array" ref="C14">_xll.BDH("DE US Equity","CF_ACCT_RCV_UNBILLED_REV","FQ3 2018","FQ3 2018","Currency=USD","Period=FQ","BEST_FPERIOD_OVERRIDE=FQ","FILING_STATUS=MR","SCALING_FORMAT=MLN","Sort=A","Dates=H","DateFormat=P","Fill=—","Direction=H","UseDPDF=Y")</f>
        <v>-270.89999999999998</v>
      </c>
      <c r="D14" s="12" cm="1">
        <f t="array" ref="D14">_xll.BDH("DE US Equity","CF_ACCT_RCV_UNBILLED_REV","FQ4 2018","FQ4 2018","Currency=USD","Period=FQ","BEST_FPERIOD_OVERRIDE=FQ","FILING_STATUS=MR","SCALING_FORMAT=MLN","Sort=A","Dates=H","DateFormat=P","Fill=—","Direction=H","UseDPDF=Y")</f>
        <v>834</v>
      </c>
      <c r="E14" s="12" cm="1">
        <f t="array" ref="E14">_xll.BDH("DE US Equity","CF_ACCT_RCV_UNBILLED_REV","FQ1 2019","FQ1 2019","Currency=USD","Period=FQ","BEST_FPERIOD_OVERRIDE=FQ","FILING_STATUS=MR","SCALING_FORMAT=MLN","Sort=A","Dates=H","DateFormat=P","Fill=—","Direction=H","UseDPDF=Y")</f>
        <v>-507</v>
      </c>
      <c r="F14" s="12" cm="1">
        <f t="array" ref="F14">_xll.BDH("DE US Equity","CF_ACCT_RCV_UNBILLED_REV","FQ2 2019","FQ2 2019","Currency=USD","Period=FQ","BEST_FPERIOD_OVERRIDE=FQ","FILING_STATUS=MR","SCALING_FORMAT=MLN","Sort=A","Dates=H","DateFormat=P","Fill=—","Direction=H","UseDPDF=Y")</f>
        <v>-2223.6999999999998</v>
      </c>
      <c r="G14" s="12" cm="1">
        <f t="array" ref="G14">_xll.BDH("DE US Equity","CF_ACCT_RCV_UNBILLED_REV","FQ3 2019","FQ3 2019","Currency=USD","Period=FQ","BEST_FPERIOD_OVERRIDE=FQ","FILING_STATUS=MR","SCALING_FORMAT=MLN","Sort=A","Dates=H","DateFormat=P","Fill=—","Direction=H","UseDPDF=Y")</f>
        <v>525</v>
      </c>
      <c r="H14" s="12" cm="1">
        <f t="array" ref="H14">_xll.BDH("DE US Equity","CF_ACCT_RCV_UNBILLED_REV","FQ4 2019","FQ4 2019","Currency=USD","Period=FQ","BEST_FPERIOD_OVERRIDE=FQ","FILING_STATUS=MR","SCALING_FORMAT=MLN","Sort=A","Dates=H","DateFormat=P","Fill=—","Direction=H","UseDPDF=Y")</f>
        <v>1337</v>
      </c>
      <c r="I14" s="12" cm="1">
        <f t="array" ref="I14">_xll.BDH("DE US Equity","CF_ACCT_RCV_UNBILLED_REV","FQ1 2020","FQ1 2020","Currency=USD","Period=FQ","BEST_FPERIOD_OVERRIDE=FQ","FILING_STATUS=MR","SCALING_FORMAT=MLN","Sort=A","Dates=H","DateFormat=P","Fill=—","Direction=H","UseDPDF=Y")</f>
        <v>70</v>
      </c>
      <c r="J14" s="12" cm="1">
        <f t="array" ref="J14">_xll.BDH("DE US Equity","CF_ACCT_RCV_UNBILLED_REV","FQ2 2020","FQ2 2020","Currency=USD","Period=FQ","BEST_FPERIOD_OVERRIDE=FQ","FILING_STATUS=MR","SCALING_FORMAT=MLN","Sort=A","Dates=H","DateFormat=P","Fill=—","Direction=H","UseDPDF=Y")</f>
        <v>-561</v>
      </c>
      <c r="K14" s="12" cm="1">
        <f t="array" ref="K14">_xll.BDH("DE US Equity","CF_ACCT_RCV_UNBILLED_REV","FQ3 2020","FQ3 2020","Currency=USD","Period=FQ","BEST_FPERIOD_OVERRIDE=FQ","FILING_STATUS=MR","SCALING_FORMAT=MLN","Sort=A","Dates=H","DateFormat=P","Fill=—","Direction=H","UseDPDF=Y")</f>
        <v>1117</v>
      </c>
      <c r="L14" s="12" cm="1">
        <f t="array" ref="L14">_xll.BDH("DE US Equity","CF_ACCT_RCV_UNBILLED_REV","FQ4 2020","FQ4 2020","Currency=USD","Period=FQ","BEST_FPERIOD_OVERRIDE=FQ","FILING_STATUS=MR","SCALING_FORMAT=MLN","Sort=A","Dates=H","DateFormat=P","Fill=—","Direction=H","UseDPDF=Y")</f>
        <v>1383</v>
      </c>
      <c r="M14" s="12" cm="1">
        <f t="array" ref="M14">_xll.BDH("DE US Equity","CF_ACCT_RCV_UNBILLED_REV","FQ1 2021","FQ1 2021","Currency=USD","Period=FQ","BEST_FPERIOD_OVERRIDE=FQ","FILING_STATUS=MR","SCALING_FORMAT=MLN","Sort=A","Dates=H","DateFormat=P","Fill=—","Direction=H","UseDPDF=Y")</f>
        <v>-97</v>
      </c>
      <c r="N14" s="12" cm="1">
        <f t="array" ref="N14">_xll.BDH("DE US Equity","CF_ACCT_RCV_UNBILLED_REV","FQ2 2021","FQ2 2021","Currency=USD","Period=FQ","BEST_FPERIOD_OVERRIDE=FQ","FILING_STATUS=MR","SCALING_FORMAT=MLN","Sort=A","Dates=H","DateFormat=P","Fill=—","Direction=H","UseDPDF=Y")</f>
        <v>-1027</v>
      </c>
      <c r="O14" s="12" cm="1">
        <f t="array" ref="O14">_xll.BDH("DE US Equity","CF_ACCT_RCV_UNBILLED_REV","FQ3 2021","FQ3 2021","Currency=USD","Period=FQ","BEST_FPERIOD_OVERRIDE=FQ","FILING_STATUS=MR","SCALING_FORMAT=MLN","Sort=A","Dates=H","DateFormat=P","Fill=—","Direction=H","UseDPDF=Y")</f>
        <v>680</v>
      </c>
      <c r="P14" s="12" cm="1">
        <f t="array" ref="P14">_xll.BDH("DE US Equity","CF_ACCT_RCV_UNBILLED_REV","FQ4 2021","FQ4 2021","Currency=USD","Period=FQ","BEST_FPERIOD_OVERRIDE=FQ","FILING_STATUS=MR","SCALING_FORMAT=MLN","Sort=A","Dates=H","DateFormat=P","Fill=—","Direction=H","UseDPDF=Y")</f>
        <v>1413</v>
      </c>
      <c r="Q14" s="12" cm="1">
        <f t="array" ref="Q14">_xll.BDH("DE US Equity","CF_ACCT_RCV_UNBILLED_REV","FQ1 2022","FQ1 2022","Currency=USD","Period=FQ","BEST_FPERIOD_OVERRIDE=FQ","FILING_STATUS=MR","SCALING_FORMAT=MLN","Sort=A","Dates=H","DateFormat=P","Fill=—","Direction=H","UseDPDF=Y")</f>
        <v>-106</v>
      </c>
      <c r="R14" s="12" cm="1">
        <f t="array" ref="R14">_xll.BDH("DE US Equity","CF_ACCT_RCV_UNBILLED_REV","FQ2 2022","FQ2 2022","Currency=USD","Period=FQ","BEST_FPERIOD_OVERRIDE=FQ","FILING_STATUS=MR","SCALING_FORMAT=MLN","Sort=A","Dates=H","DateFormat=P","Fill=—","Direction=H","UseDPDF=Y")</f>
        <v>-1429</v>
      </c>
      <c r="S14" s="12" cm="1">
        <f t="array" ref="S14">_xll.BDH("DE US Equity","CF_ACCT_RCV_UNBILLED_REV","FQ3 2022","FQ3 2022","Currency=USD","Period=FQ","BEST_FPERIOD_OVERRIDE=FQ","FILING_STATUS=MR","SCALING_FORMAT=MLN","Sort=A","Dates=H","DateFormat=P","Fill=—","Direction=H","UseDPDF=Y")</f>
        <v>-822</v>
      </c>
      <c r="T14" s="12" cm="1">
        <f t="array" ref="T14">_xll.BDH("DE US Equity","CF_ACCT_RCV_UNBILLED_REV","FQ4 2022","FQ4 2022","Currency=USD","Period=FQ","BEST_FPERIOD_OVERRIDE=FQ","FILING_STATUS=MR","SCALING_FORMAT=MLN","Sort=A","Dates=H","DateFormat=P","Fill=—","Direction=H","UseDPDF=Y")</f>
        <v>-126</v>
      </c>
      <c r="U14" s="12" cm="1">
        <f t="array" ref="U14">_xll.BDH("DE US Equity","CF_ACCT_RCV_UNBILLED_REV","FQ1 2023","FQ1 2023","Currency=USD","Period=FQ","BEST_FPERIOD_OVERRIDE=FQ","FILING_STATUS=MR","SCALING_FORMAT=MLN","Sort=A","Dates=H","DateFormat=P","Fill=—","Direction=H","UseDPDF=Y")</f>
        <v>-1015</v>
      </c>
      <c r="V14" s="12" cm="1">
        <f t="array" ref="V14">_xll.BDH("DE US Equity","CF_ACCT_RCV_UNBILLED_REV","FQ2 2023","FQ2 2023","Currency=USD","Period=FQ","BEST_FPERIOD_OVERRIDE=FQ","FILING_STATUS=MR","SCALING_FORMAT=MLN","Sort=A","Dates=H","DateFormat=P","Fill=—","Direction=H","UseDPDF=Y")</f>
        <v>-3392</v>
      </c>
      <c r="W14" s="12" cm="1">
        <f t="array" ref="W14">_xll.BDH("DE US Equity","CF_ACCT_RCV_UNBILLED_REV","FQ3 2023","FQ3 2023","Currency=USD","Period=FQ","BEST_FPERIOD_OVERRIDE=FQ","FILING_STATUS=MR","SCALING_FORMAT=MLN","Sort=A","Dates=H","DateFormat=P","Fill=—","Direction=H","UseDPDF=Y")</f>
        <v>-652</v>
      </c>
      <c r="X14" s="12" cm="1">
        <f t="array" ref="X14">_xll.BDH("DE US Equity","CF_ACCT_RCV_UNBILLED_REV","FQ4 2023","FQ4 2023","Currency=USD","Period=FQ","BEST_FPERIOD_OVERRIDE=FQ","FILING_STATUS=MR","SCALING_FORMAT=MLN","Sort=A","Dates=H","DateFormat=P","Fill=—","Direction=H","UseDPDF=Y")</f>
        <v>806</v>
      </c>
      <c r="Y14" s="12" cm="1">
        <f t="array" ref="Y14">_xll.BDH("DE US Equity","CF_ACCT_RCV_UNBILLED_REV","FQ1 2024","FQ1 2024","Currency=USD","Period=FQ","BEST_FPERIOD_OVERRIDE=FQ","FILING_STATUS=MR","SCALING_FORMAT=MLN","Sort=A","Dates=H","DateFormat=P","Fill=—","Direction=H","UseDPDF=Y")</f>
        <v>-277</v>
      </c>
      <c r="Z14" s="12" cm="1">
        <f t="array" ref="Z14">_xll.BDH("DE US Equity","CF_ACCT_RCV_UNBILLED_REV","FQ2 2024","FQ2 2024","Currency=USD","Period=FQ","BEST_FPERIOD_OVERRIDE=FQ","FILING_STATUS=MR","SCALING_FORMAT=MLN","Sort=A","Dates=H","DateFormat=P","Fill=—","Direction=H","UseDPDF=Y")</f>
        <v>-2192</v>
      </c>
      <c r="AA14" s="12" cm="1">
        <f t="array" ref="AA14">_xll.BDH("DE US Equity","CF_ACCT_RCV_UNBILLED_REV","FQ3 2024","FQ3 2024","Currency=USD","Period=FQ","BEST_FPERIOD_OVERRIDE=FQ","FILING_STATUS=MR","SCALING_FORMAT=MLN","Sort=A","Dates=H","DateFormat=P","Fill=—","Direction=H","UseDPDF=Y")</f>
        <v>23</v>
      </c>
      <c r="AB14" s="12" cm="1">
        <f t="array" ref="AB14">_xll.BDH("DE US Equity","CF_ACCT_RCV_UNBILLED_REV","FQ4 2024","FQ4 2024","Currency=USD","Period=FQ","BEST_FPERIOD_OVERRIDE=FQ","FILING_STATUS=MR","SCALING_FORMAT=MLN","Sort=A","Dates=H","DateFormat=P","Fill=—","Direction=H","UseDPDF=Y")</f>
        <v>2867</v>
      </c>
      <c r="AC14" s="12" cm="1">
        <f t="array" ref="AC14">_xll.BDH("DE US Equity","CF_ACCT_RCV_UNBILLED_REV","FQ1 2025","FQ1 2025","Currency=USD","Period=FQ","BEST_FPERIOD_OVERRIDE=FQ","FILING_STATUS=MR","SCALING_FORMAT=MLN","Sort=A","Dates=H","DateFormat=P","Fill=—","Direction=H","UseDPDF=Y")</f>
        <v>1063</v>
      </c>
      <c r="AD14" s="12" cm="1">
        <f t="array" ref="AD14">_xll.BDH("DE US Equity","CF_ACCT_RCV_UNBILLED_REV","FQ2 2025","FQ2 2025","Currency=USD","Period=FQ","BEST_FPERIOD_OVERRIDE=FQ","FILING_STATUS=MR","SCALING_FORMAT=MLN","Sort=A","Dates=H","DateFormat=P","Fill=—","Direction=H","UseDPDF=Y")</f>
        <v>-2132</v>
      </c>
      <c r="AE14" s="12" cm="1">
        <f t="array" ref="AE14">_xll.BDH("DE US Equity","CF_ACCT_RCV_UNBILLED_REV","FQ3 2025","FQ3 2025","Currency=USD","Period=FQ","BEST_FPERIOD_OVERRIDE=FQ","FILING_STATUS=MR","SCALING_FORMAT=MLN","Sort=A","Dates=H","DateFormat=P","Fill=—","Direction=H","UseDPDF=Y")</f>
        <v>575</v>
      </c>
      <c r="AF14" s="12" cm="1">
        <f t="array" ref="AF14">_xll.BDH("DE US Equity","CF_ACCT_RCV_UNBILLED_REV","FQ4 2025","FQ4 2025","Currency=USD","Period=FQ","BEST_FPERIOD_OVERRIDE=FQ","FILING_STATUS=MR","SCALING_FORMAT=MLN","Sort=A","Dates=H","DateFormat=P","Fill=—","Direction=H","UseDPDF=Y")</f>
        <v>1578</v>
      </c>
    </row>
    <row r="15" spans="1:32" x14ac:dyDescent="0.25">
      <c r="A15" s="10" t="s">
        <v>82</v>
      </c>
      <c r="B15" s="10" t="s">
        <v>83</v>
      </c>
      <c r="C15" s="12" cm="1">
        <f t="array" ref="C15">_xll.BDH("DE US Equity","CF_CHANGE_IN_INVENTORIES","FQ3 2018","FQ3 2018","Currency=USD","Period=FQ","BEST_FPERIOD_OVERRIDE=FQ","FILING_STATUS=MR","SCALING_FORMAT=MLN","Sort=A","Dates=H","DateFormat=P","Fill=—","Direction=H","UseDPDF=Y")</f>
        <v>257.8</v>
      </c>
      <c r="D15" s="12" cm="1">
        <f t="array" ref="D15">_xll.BDH("DE US Equity","CF_CHANGE_IN_INVENTORIES","FQ4 2018","FQ4 2018","Currency=USD","Period=FQ","BEST_FPERIOD_OVERRIDE=FQ","FILING_STATUS=MR","SCALING_FORMAT=MLN","Sort=A","Dates=H","DateFormat=P","Fill=—","Direction=H","UseDPDF=Y")</f>
        <v>-233</v>
      </c>
      <c r="E15" s="12" cm="1">
        <f t="array" ref="E15">_xll.BDH("DE US Equity","CF_CHANGE_IN_INVENTORIES","FQ1 2019","FQ1 2019","Currency=USD","Period=FQ","BEST_FPERIOD_OVERRIDE=FQ","FILING_STATUS=MR","SCALING_FORMAT=MLN","Sort=A","Dates=H","DateFormat=P","Fill=—","Direction=H","UseDPDF=Y")</f>
        <v>-1396</v>
      </c>
      <c r="F15" s="12" cm="1">
        <f t="array" ref="F15">_xll.BDH("DE US Equity","CF_CHANGE_IN_INVENTORIES","FQ2 2019","FQ2 2019","Currency=USD","Period=FQ","BEST_FPERIOD_OVERRIDE=FQ","FILING_STATUS=MR","SCALING_FORMAT=MLN","Sort=A","Dates=H","DateFormat=P","Fill=—","Direction=H","UseDPDF=Y")</f>
        <v>1.9</v>
      </c>
      <c r="G15" s="12" cm="1">
        <f t="array" ref="G15">_xll.BDH("DE US Equity","CF_CHANGE_IN_INVENTORIES","FQ3 2019","FQ3 2019","Currency=USD","Period=FQ","BEST_FPERIOD_OVERRIDE=FQ","FILING_STATUS=MR","SCALING_FORMAT=MLN","Sort=A","Dates=H","DateFormat=P","Fill=—","Direction=H","UseDPDF=Y")</f>
        <v>226</v>
      </c>
      <c r="H15" s="12" cm="1">
        <f t="array" ref="H15">_xll.BDH("DE US Equity","CF_CHANGE_IN_INVENTORIES","FQ4 2019","FQ4 2019","Currency=USD","Period=FQ","BEST_FPERIOD_OVERRIDE=FQ","FILING_STATUS=MR","SCALING_FORMAT=MLN","Sort=A","Dates=H","DateFormat=P","Fill=—","Direction=H","UseDPDF=Y")</f>
        <v>388</v>
      </c>
      <c r="I15" s="12" cm="1">
        <f t="array" ref="I15">_xll.BDH("DE US Equity","CF_CHANGE_IN_INVENTORIES","FQ1 2020","FQ1 2020","Currency=USD","Period=FQ","BEST_FPERIOD_OVERRIDE=FQ","FILING_STATUS=MR","SCALING_FORMAT=MLN","Sort=A","Dates=H","DateFormat=P","Fill=—","Direction=H","UseDPDF=Y")</f>
        <v>-642</v>
      </c>
      <c r="J15" s="12" cm="1">
        <f t="array" ref="J15">_xll.BDH("DE US Equity","CF_CHANGE_IN_INVENTORIES","FQ2 2020","FQ2 2020","Currency=USD","Period=FQ","BEST_FPERIOD_OVERRIDE=FQ","FILING_STATUS=MR","SCALING_FORMAT=MLN","Sort=A","Dates=H","DateFormat=P","Fill=—","Direction=H","UseDPDF=Y")</f>
        <v>146</v>
      </c>
      <c r="K15" s="12" cm="1">
        <f t="array" ref="K15">_xll.BDH("DE US Equity","CF_CHANGE_IN_INVENTORIES","FQ3 2020","FQ3 2020","Currency=USD","Period=FQ","BEST_FPERIOD_OVERRIDE=FQ","FILING_STATUS=MR","SCALING_FORMAT=MLN","Sort=A","Dates=H","DateFormat=P","Fill=—","Direction=H","UseDPDF=Y")</f>
        <v>495</v>
      </c>
      <c r="L15" s="12" cm="1">
        <f t="array" ref="L15">_xll.BDH("DE US Equity","CF_CHANGE_IN_INVENTORIES","FQ4 2020","FQ4 2020","Currency=USD","Period=FQ","BEST_FPERIOD_OVERRIDE=FQ","FILING_STATUS=MR","SCALING_FORMAT=MLN","Sort=A","Dates=H","DateFormat=P","Fill=—","Direction=H","UseDPDF=Y")</f>
        <v>398</v>
      </c>
      <c r="M15" s="12" cm="1">
        <f t="array" ref="M15">_xll.BDH("DE US Equity","CF_CHANGE_IN_INVENTORIES","FQ1 2021","FQ1 2021","Currency=USD","Period=FQ","BEST_FPERIOD_OVERRIDE=FQ","FILING_STATUS=MR","SCALING_FORMAT=MLN","Sort=A","Dates=H","DateFormat=P","Fill=—","Direction=H","UseDPDF=Y")</f>
        <v>-926</v>
      </c>
      <c r="N15" s="12" cm="1">
        <f t="array" ref="N15">_xll.BDH("DE US Equity","CF_CHANGE_IN_INVENTORIES","FQ2 2021","FQ2 2021","Currency=USD","Period=FQ","BEST_FPERIOD_OVERRIDE=FQ","FILING_STATUS=MR","SCALING_FORMAT=MLN","Sort=A","Dates=H","DateFormat=P","Fill=—","Direction=H","UseDPDF=Y")</f>
        <v>-267</v>
      </c>
      <c r="O15" s="12" cm="1">
        <f t="array" ref="O15">_xll.BDH("DE US Equity","CF_CHANGE_IN_INVENTORIES","FQ3 2021","FQ3 2021","Currency=USD","Period=FQ","BEST_FPERIOD_OVERRIDE=FQ","FILING_STATUS=MR","SCALING_FORMAT=MLN","Sort=A","Dates=H","DateFormat=P","Fill=—","Direction=H","UseDPDF=Y")</f>
        <v>-624</v>
      </c>
      <c r="P15" s="12" cm="1">
        <f t="array" ref="P15">_xll.BDH("DE US Equity","CF_CHANGE_IN_INVENTORIES","FQ4 2021","FQ4 2021","Currency=USD","Period=FQ","BEST_FPERIOD_OVERRIDE=FQ","FILING_STATUS=MR","SCALING_FORMAT=MLN","Sort=A","Dates=H","DateFormat=P","Fill=—","Direction=H","UseDPDF=Y")</f>
        <v>-680</v>
      </c>
      <c r="Q15" s="12" cm="1">
        <f t="array" ref="Q15">_xll.BDH("DE US Equity","CF_CHANGE_IN_INVENTORIES","FQ1 2022","FQ1 2022","Currency=USD","Period=FQ","BEST_FPERIOD_OVERRIDE=FQ","FILING_STATUS=MR","SCALING_FORMAT=MLN","Sort=A","Dates=H","DateFormat=P","Fill=—","Direction=H","UseDPDF=Y")</f>
        <v>-1297</v>
      </c>
      <c r="R15" s="12" cm="1">
        <f t="array" ref="R15">_xll.BDH("DE US Equity","CF_CHANGE_IN_INVENTORIES","FQ2 2022","FQ2 2022","Currency=USD","Period=FQ","BEST_FPERIOD_OVERRIDE=FQ","FILING_STATUS=MR","SCALING_FORMAT=MLN","Sort=A","Dates=H","DateFormat=P","Fill=—","Direction=H","UseDPDF=Y")</f>
        <v>-968</v>
      </c>
      <c r="S15" s="12" cm="1">
        <f t="array" ref="S15">_xll.BDH("DE US Equity","CF_CHANGE_IN_INVENTORIES","FQ3 2022","FQ3 2022","Currency=USD","Period=FQ","BEST_FPERIOD_OVERRIDE=FQ","FILING_STATUS=MR","SCALING_FORMAT=MLN","Sort=A","Dates=H","DateFormat=P","Fill=—","Direction=H","UseDPDF=Y")</f>
        <v>-261</v>
      </c>
      <c r="T15" s="12" cm="1">
        <f t="array" ref="T15">_xll.BDH("DE US Equity","CF_CHANGE_IN_INVENTORIES","FQ4 2022","FQ4 2022","Currency=USD","Period=FQ","BEST_FPERIOD_OVERRIDE=FQ","FILING_STATUS=MR","SCALING_FORMAT=MLN","Sort=A","Dates=H","DateFormat=P","Fill=—","Direction=H","UseDPDF=Y")</f>
        <v>435</v>
      </c>
      <c r="U15" s="12" cm="1">
        <f t="array" ref="U15">_xll.BDH("DE US Equity","CF_CHANGE_IN_INVENTORIES","FQ1 2023","FQ1 2023","Currency=USD","Period=FQ","BEST_FPERIOD_OVERRIDE=FQ","FILING_STATUS=MR","SCALING_FORMAT=MLN","Sort=A","Dates=H","DateFormat=P","Fill=—","Direction=H","UseDPDF=Y")</f>
        <v>-1279</v>
      </c>
      <c r="V15" s="12" cm="1">
        <f t="array" ref="V15">_xll.BDH("DE US Equity","CF_CHANGE_IN_INVENTORIES","FQ2 2023","FQ2 2023","Currency=USD","Period=FQ","BEST_FPERIOD_OVERRIDE=FQ","FILING_STATUS=MR","SCALING_FORMAT=MLN","Sort=A","Dates=H","DateFormat=P","Fill=—","Direction=H","UseDPDF=Y")</f>
        <v>297</v>
      </c>
      <c r="W15" s="12" cm="1">
        <f t="array" ref="W15">_xll.BDH("DE US Equity","CF_CHANGE_IN_INVENTORIES","FQ3 2023","FQ3 2023","Currency=USD","Period=FQ","BEST_FPERIOD_OVERRIDE=FQ","FILING_STATUS=MR","SCALING_FORMAT=MLN","Sort=A","Dates=H","DateFormat=P","Fill=—","Direction=H","UseDPDF=Y")</f>
        <v>319</v>
      </c>
      <c r="X15" s="12" cm="1">
        <f t="array" ref="X15">_xll.BDH("DE US Equity","CF_CHANGE_IN_INVENTORIES","FQ4 2023","FQ4 2023","Currency=USD","Period=FQ","BEST_FPERIOD_OVERRIDE=FQ","FILING_STATUS=MR","SCALING_FORMAT=MLN","Sort=A","Dates=H","DateFormat=P","Fill=—","Direction=H","UseDPDF=Y")</f>
        <v>942</v>
      </c>
      <c r="Y15" s="12" cm="1">
        <f t="array" ref="Y15">_xll.BDH("DE US Equity","CF_CHANGE_IN_INVENTORIES","FQ1 2024","FQ1 2024","Currency=USD","Period=FQ","BEST_FPERIOD_OVERRIDE=FQ","FILING_STATUS=MR","SCALING_FORMAT=MLN","Sort=A","Dates=H","DateFormat=P","Fill=—","Direction=H","UseDPDF=Y")</f>
        <v>-723</v>
      </c>
      <c r="Z15" s="12" cm="1">
        <f t="array" ref="Z15">_xll.BDH("DE US Equity","CF_CHANGE_IN_INVENTORIES","FQ2 2024","FQ2 2024","Currency=USD","Period=FQ","BEST_FPERIOD_OVERRIDE=FQ","FILING_STATUS=MR","SCALING_FORMAT=MLN","Sort=A","Dates=H","DateFormat=P","Fill=—","Direction=H","UseDPDF=Y")</f>
        <v>314</v>
      </c>
      <c r="AA15" s="12" cm="1">
        <f t="array" ref="AA15">_xll.BDH("DE US Equity","CF_CHANGE_IN_INVENTORIES","FQ3 2024","FQ3 2024","Currency=USD","Period=FQ","BEST_FPERIOD_OVERRIDE=FQ","FILING_STATUS=MR","SCALING_FORMAT=MLN","Sort=A","Dates=H","DateFormat=P","Fill=—","Direction=H","UseDPDF=Y")</f>
        <v>643</v>
      </c>
      <c r="AB15" s="12" cm="1">
        <f t="array" ref="AB15">_xll.BDH("DE US Equity","CF_CHANGE_IN_INVENTORIES","FQ4 2024","FQ4 2024","Currency=USD","Period=FQ","BEST_FPERIOD_OVERRIDE=FQ","FILING_STATUS=MR","SCALING_FORMAT=MLN","Sort=A","Dates=H","DateFormat=P","Fill=—","Direction=H","UseDPDF=Y")</f>
        <v>554</v>
      </c>
      <c r="AC15" s="12" cm="1">
        <f t="array" ref="AC15">_xll.BDH("DE US Equity","CF_CHANGE_IN_INVENTORIES","FQ1 2025","FQ1 2025","Currency=USD","Period=FQ","BEST_FPERIOD_OVERRIDE=FQ","FILING_STATUS=MR","SCALING_FORMAT=MLN","Sort=A","Dates=H","DateFormat=P","Fill=—","Direction=H","UseDPDF=Y")</f>
        <v>-795</v>
      </c>
      <c r="AD15" s="12" cm="1">
        <f t="array" ref="AD15">_xll.BDH("DE US Equity","CF_CHANGE_IN_INVENTORIES","FQ2 2025","FQ2 2025","Currency=USD","Period=FQ","BEST_FPERIOD_OVERRIDE=FQ","FILING_STATUS=MR","SCALING_FORMAT=MLN","Sort=A","Dates=H","DateFormat=P","Fill=—","Direction=H","UseDPDF=Y")</f>
        <v>23</v>
      </c>
      <c r="AE15" s="12" cm="1">
        <f t="array" ref="AE15">_xll.BDH("DE US Equity","CF_CHANGE_IN_INVENTORIES","FQ3 2025","FQ3 2025","Currency=USD","Period=FQ","BEST_FPERIOD_OVERRIDE=FQ","FILING_STATUS=MR","SCALING_FORMAT=MLN","Sort=A","Dates=H","DateFormat=P","Fill=—","Direction=H","UseDPDF=Y")</f>
        <v>246</v>
      </c>
      <c r="AF15" s="12" cm="1">
        <f t="array" ref="AF15">_xll.BDH("DE US Equity","CF_CHANGE_IN_INVENTORIES","FQ4 2025","FQ4 2025","Currency=USD","Period=FQ","BEST_FPERIOD_OVERRIDE=FQ","FILING_STATUS=MR","SCALING_FORMAT=MLN","Sort=A","Dates=H","DateFormat=P","Fill=—","Direction=H","UseDPDF=Y")</f>
        <v>251</v>
      </c>
    </row>
    <row r="16" spans="1:32" x14ac:dyDescent="0.25">
      <c r="A16" s="10" t="s">
        <v>84</v>
      </c>
      <c r="B16" s="10" t="s">
        <v>85</v>
      </c>
      <c r="C16" s="12" t="str" cm="1">
        <f t="array" ref="C16">_xll.BDH("DE US Equity","CF_CHANGE_IN_ACCOUNTS_PAYABLE","FQ3 2018","FQ3 2018","Currency=USD","Period=FQ","BEST_FPERIOD_OVERRIDE=FQ","FILING_STATUS=MR","SCALING_FORMAT=MLN","Sort=A","Dates=H","DateFormat=P","Fill=—","Direction=H","UseDPDF=Y")</f>
        <v>—</v>
      </c>
      <c r="D16" s="12" t="str" cm="1">
        <f t="array" ref="D16">_xll.BDH("DE US Equity","CF_CHANGE_IN_ACCOUNTS_PAYABLE","FQ4 2018","FQ4 2018","Currency=USD","Period=FQ","BEST_FPERIOD_OVERRIDE=FQ","FILING_STATUS=MR","SCALING_FORMAT=MLN","Sort=A","Dates=H","DateFormat=P","Fill=—","Direction=H","UseDPDF=Y")</f>
        <v>—</v>
      </c>
      <c r="E16" s="12" t="str" cm="1">
        <f t="array" ref="E16">_xll.BDH("DE US Equity","CF_CHANGE_IN_ACCOUNTS_PAYABLE","FQ1 2019","FQ1 2019","Currency=USD","Period=FQ","BEST_FPERIOD_OVERRIDE=FQ","FILING_STATUS=MR","SCALING_FORMAT=MLN","Sort=A","Dates=H","DateFormat=P","Fill=—","Direction=H","UseDPDF=Y")</f>
        <v>—</v>
      </c>
      <c r="F16" s="12" t="str" cm="1">
        <f t="array" ref="F16">_xll.BDH("DE US Equity","CF_CHANGE_IN_ACCOUNTS_PAYABLE","FQ2 2019","FQ2 2019","Currency=USD","Period=FQ","BEST_FPERIOD_OVERRIDE=FQ","FILING_STATUS=MR","SCALING_FORMAT=MLN","Sort=A","Dates=H","DateFormat=P","Fill=—","Direction=H","UseDPDF=Y")</f>
        <v>—</v>
      </c>
      <c r="G16" s="12" t="str" cm="1">
        <f t="array" ref="G16">_xll.BDH("DE US Equity","CF_CHANGE_IN_ACCOUNTS_PAYABLE","FQ3 2019","FQ3 2019","Currency=USD","Period=FQ","BEST_FPERIOD_OVERRIDE=FQ","FILING_STATUS=MR","SCALING_FORMAT=MLN","Sort=A","Dates=H","DateFormat=P","Fill=—","Direction=H","UseDPDF=Y")</f>
        <v>—</v>
      </c>
      <c r="H16" s="12" t="str" cm="1">
        <f t="array" ref="H16">_xll.BDH("DE US Equity","CF_CHANGE_IN_ACCOUNTS_PAYABLE","FQ4 2019","FQ4 2019","Currency=USD","Period=FQ","BEST_FPERIOD_OVERRIDE=FQ","FILING_STATUS=MR","SCALING_FORMAT=MLN","Sort=A","Dates=H","DateFormat=P","Fill=—","Direction=H","UseDPDF=Y")</f>
        <v>—</v>
      </c>
      <c r="I16" s="12" t="str" cm="1">
        <f t="array" ref="I16">_xll.BDH("DE US Equity","CF_CHANGE_IN_ACCOUNTS_PAYABLE","FQ1 2020","FQ1 2020","Currency=USD","Period=FQ","BEST_FPERIOD_OVERRIDE=FQ","FILING_STATUS=MR","SCALING_FORMAT=MLN","Sort=A","Dates=H","DateFormat=P","Fill=—","Direction=H","UseDPDF=Y")</f>
        <v>—</v>
      </c>
      <c r="J16" s="12" t="str" cm="1">
        <f t="array" ref="J16">_xll.BDH("DE US Equity","CF_CHANGE_IN_ACCOUNTS_PAYABLE","FQ2 2020","FQ2 2020","Currency=USD","Period=FQ","BEST_FPERIOD_OVERRIDE=FQ","FILING_STATUS=MR","SCALING_FORMAT=MLN","Sort=A","Dates=H","DateFormat=P","Fill=—","Direction=H","UseDPDF=Y")</f>
        <v>—</v>
      </c>
      <c r="K16" s="12" t="str" cm="1">
        <f t="array" ref="K16">_xll.BDH("DE US Equity","CF_CHANGE_IN_ACCOUNTS_PAYABLE","FQ3 2020","FQ3 2020","Currency=USD","Period=FQ","BEST_FPERIOD_OVERRIDE=FQ","FILING_STATUS=MR","SCALING_FORMAT=MLN","Sort=A","Dates=H","DateFormat=P","Fill=—","Direction=H","UseDPDF=Y")</f>
        <v>—</v>
      </c>
      <c r="L16" s="12" t="str" cm="1">
        <f t="array" ref="L16">_xll.BDH("DE US Equity","CF_CHANGE_IN_ACCOUNTS_PAYABLE","FQ4 2020","FQ4 2020","Currency=USD","Period=FQ","BEST_FPERIOD_OVERRIDE=FQ","FILING_STATUS=MR","SCALING_FORMAT=MLN","Sort=A","Dates=H","DateFormat=P","Fill=—","Direction=H","UseDPDF=Y")</f>
        <v>—</v>
      </c>
      <c r="M16" s="12" t="str" cm="1">
        <f t="array" ref="M16">_xll.BDH("DE US Equity","CF_CHANGE_IN_ACCOUNTS_PAYABLE","FQ1 2021","FQ1 2021","Currency=USD","Period=FQ","BEST_FPERIOD_OVERRIDE=FQ","FILING_STATUS=MR","SCALING_FORMAT=MLN","Sort=A","Dates=H","DateFormat=P","Fill=—","Direction=H","UseDPDF=Y")</f>
        <v>—</v>
      </c>
      <c r="N16" s="12" t="str" cm="1">
        <f t="array" ref="N16">_xll.BDH("DE US Equity","CF_CHANGE_IN_ACCOUNTS_PAYABLE","FQ2 2021","FQ2 2021","Currency=USD","Period=FQ","BEST_FPERIOD_OVERRIDE=FQ","FILING_STATUS=MR","SCALING_FORMAT=MLN","Sort=A","Dates=H","DateFormat=P","Fill=—","Direction=H","UseDPDF=Y")</f>
        <v>—</v>
      </c>
      <c r="O16" s="12" t="str" cm="1">
        <f t="array" ref="O16">_xll.BDH("DE US Equity","CF_CHANGE_IN_ACCOUNTS_PAYABLE","FQ3 2021","FQ3 2021","Currency=USD","Period=FQ","BEST_FPERIOD_OVERRIDE=FQ","FILING_STATUS=MR","SCALING_FORMAT=MLN","Sort=A","Dates=H","DateFormat=P","Fill=—","Direction=H","UseDPDF=Y")</f>
        <v>—</v>
      </c>
      <c r="P16" s="12" t="str" cm="1">
        <f t="array" ref="P16">_xll.BDH("DE US Equity","CF_CHANGE_IN_ACCOUNTS_PAYABLE","FQ4 2021","FQ4 2021","Currency=USD","Period=FQ","BEST_FPERIOD_OVERRIDE=FQ","FILING_STATUS=MR","SCALING_FORMAT=MLN","Sort=A","Dates=H","DateFormat=P","Fill=—","Direction=H","UseDPDF=Y")</f>
        <v>—</v>
      </c>
      <c r="Q16" s="12" t="str" cm="1">
        <f t="array" ref="Q16">_xll.BDH("DE US Equity","CF_CHANGE_IN_ACCOUNTS_PAYABLE","FQ1 2022","FQ1 2022","Currency=USD","Period=FQ","BEST_FPERIOD_OVERRIDE=FQ","FILING_STATUS=MR","SCALING_FORMAT=MLN","Sort=A","Dates=H","DateFormat=P","Fill=—","Direction=H","UseDPDF=Y")</f>
        <v>—</v>
      </c>
      <c r="R16" s="12" t="str" cm="1">
        <f t="array" ref="R16">_xll.BDH("DE US Equity","CF_CHANGE_IN_ACCOUNTS_PAYABLE","FQ2 2022","FQ2 2022","Currency=USD","Period=FQ","BEST_FPERIOD_OVERRIDE=FQ","FILING_STATUS=MR","SCALING_FORMAT=MLN","Sort=A","Dates=H","DateFormat=P","Fill=—","Direction=H","UseDPDF=Y")</f>
        <v>—</v>
      </c>
      <c r="S16" s="12" t="str" cm="1">
        <f t="array" ref="S16">_xll.BDH("DE US Equity","CF_CHANGE_IN_ACCOUNTS_PAYABLE","FQ3 2022","FQ3 2022","Currency=USD","Period=FQ","BEST_FPERIOD_OVERRIDE=FQ","FILING_STATUS=MR","SCALING_FORMAT=MLN","Sort=A","Dates=H","DateFormat=P","Fill=—","Direction=H","UseDPDF=Y")</f>
        <v>—</v>
      </c>
      <c r="T16" s="12" t="str" cm="1">
        <f t="array" ref="T16">_xll.BDH("DE US Equity","CF_CHANGE_IN_ACCOUNTS_PAYABLE","FQ4 2022","FQ4 2022","Currency=USD","Period=FQ","BEST_FPERIOD_OVERRIDE=FQ","FILING_STATUS=MR","SCALING_FORMAT=MLN","Sort=A","Dates=H","DateFormat=P","Fill=—","Direction=H","UseDPDF=Y")</f>
        <v>—</v>
      </c>
      <c r="U16" s="12" t="str" cm="1">
        <f t="array" ref="U16">_xll.BDH("DE US Equity","CF_CHANGE_IN_ACCOUNTS_PAYABLE","FQ1 2023","FQ1 2023","Currency=USD","Period=FQ","BEST_FPERIOD_OVERRIDE=FQ","FILING_STATUS=MR","SCALING_FORMAT=MLN","Sort=A","Dates=H","DateFormat=P","Fill=—","Direction=H","UseDPDF=Y")</f>
        <v>—</v>
      </c>
      <c r="V16" s="12" t="str" cm="1">
        <f t="array" ref="V16">_xll.BDH("DE US Equity","CF_CHANGE_IN_ACCOUNTS_PAYABLE","FQ2 2023","FQ2 2023","Currency=USD","Period=FQ","BEST_FPERIOD_OVERRIDE=FQ","FILING_STATUS=MR","SCALING_FORMAT=MLN","Sort=A","Dates=H","DateFormat=P","Fill=—","Direction=H","UseDPDF=Y")</f>
        <v>—</v>
      </c>
      <c r="W16" s="12" t="str" cm="1">
        <f t="array" ref="W16">_xll.BDH("DE US Equity","CF_CHANGE_IN_ACCOUNTS_PAYABLE","FQ3 2023","FQ3 2023","Currency=USD","Period=FQ","BEST_FPERIOD_OVERRIDE=FQ","FILING_STATUS=MR","SCALING_FORMAT=MLN","Sort=A","Dates=H","DateFormat=P","Fill=—","Direction=H","UseDPDF=Y")</f>
        <v>—</v>
      </c>
      <c r="X16" s="12" t="str" cm="1">
        <f t="array" ref="X16">_xll.BDH("DE US Equity","CF_CHANGE_IN_ACCOUNTS_PAYABLE","FQ4 2023","FQ4 2023","Currency=USD","Period=FQ","BEST_FPERIOD_OVERRIDE=FQ","FILING_STATUS=MR","SCALING_FORMAT=MLN","Sort=A","Dates=H","DateFormat=P","Fill=—","Direction=H","UseDPDF=Y")</f>
        <v>—</v>
      </c>
      <c r="Y16" s="12" t="str" cm="1">
        <f t="array" ref="Y16">_xll.BDH("DE US Equity","CF_CHANGE_IN_ACCOUNTS_PAYABLE","FQ1 2024","FQ1 2024","Currency=USD","Period=FQ","BEST_FPERIOD_OVERRIDE=FQ","FILING_STATUS=MR","SCALING_FORMAT=MLN","Sort=A","Dates=H","DateFormat=P","Fill=—","Direction=H","UseDPDF=Y")</f>
        <v>—</v>
      </c>
      <c r="Z16" s="12" t="str" cm="1">
        <f t="array" ref="Z16">_xll.BDH("DE US Equity","CF_CHANGE_IN_ACCOUNTS_PAYABLE","FQ2 2024","FQ2 2024","Currency=USD","Period=FQ","BEST_FPERIOD_OVERRIDE=FQ","FILING_STATUS=MR","SCALING_FORMAT=MLN","Sort=A","Dates=H","DateFormat=P","Fill=—","Direction=H","UseDPDF=Y")</f>
        <v>—</v>
      </c>
      <c r="AA16" s="12" t="str" cm="1">
        <f t="array" ref="AA16">_xll.BDH("DE US Equity","CF_CHANGE_IN_ACCOUNTS_PAYABLE","FQ3 2024","FQ3 2024","Currency=USD","Period=FQ","BEST_FPERIOD_OVERRIDE=FQ","FILING_STATUS=MR","SCALING_FORMAT=MLN","Sort=A","Dates=H","DateFormat=P","Fill=—","Direction=H","UseDPDF=Y")</f>
        <v>—</v>
      </c>
      <c r="AB16" s="12" t="str" cm="1">
        <f t="array" ref="AB16">_xll.BDH("DE US Equity","CF_CHANGE_IN_ACCOUNTS_PAYABLE","FQ4 2024","FQ4 2024","Currency=USD","Period=FQ","BEST_FPERIOD_OVERRIDE=FQ","FILING_STATUS=MR","SCALING_FORMAT=MLN","Sort=A","Dates=H","DateFormat=P","Fill=—","Direction=H","UseDPDF=Y")</f>
        <v>—</v>
      </c>
      <c r="AC16" s="12" t="str" cm="1">
        <f t="array" ref="AC16">_xll.BDH("DE US Equity","CF_CHANGE_IN_ACCOUNTS_PAYABLE","FQ1 2025","FQ1 2025","Currency=USD","Period=FQ","BEST_FPERIOD_OVERRIDE=FQ","FILING_STATUS=MR","SCALING_FORMAT=MLN","Sort=A","Dates=H","DateFormat=P","Fill=—","Direction=H","UseDPDF=Y")</f>
        <v>—</v>
      </c>
      <c r="AD16" s="12" cm="1">
        <f t="array" ref="AD16">_xll.BDH("DE US Equity","CF_CHANGE_IN_ACCOUNTS_PAYABLE","FQ2 2025","FQ2 2025","Currency=USD","Period=FQ","BEST_FPERIOD_OVERRIDE=FQ","FILING_STATUS=MR","SCALING_FORMAT=MLN","Sort=A","Dates=H","DateFormat=P","Fill=—","Direction=H","UseDPDF=Y")</f>
        <v>0</v>
      </c>
      <c r="AE16" s="12" t="str" cm="1">
        <f t="array" ref="AE16">_xll.BDH("DE US Equity","CF_CHANGE_IN_ACCOUNTS_PAYABLE","FQ3 2025","FQ3 2025","Currency=USD","Period=FQ","BEST_FPERIOD_OVERRIDE=FQ","FILING_STATUS=MR","SCALING_FORMAT=MLN","Sort=A","Dates=H","DateFormat=P","Fill=—","Direction=H","UseDPDF=Y")</f>
        <v>—</v>
      </c>
      <c r="AF16" s="12" t="str" cm="1">
        <f t="array" ref="AF16">_xll.BDH("DE US Equity","CF_CHANGE_IN_ACCOUNTS_PAYABLE","FQ4 2025","FQ4 2025","Currency=USD","Period=FQ","BEST_FPERIOD_OVERRIDE=FQ","FILING_STATUS=MR","SCALING_FORMAT=MLN","Sort=A","Dates=H","DateFormat=P","Fill=—","Direction=H","UseDPDF=Y")</f>
        <v>—</v>
      </c>
    </row>
    <row r="17" spans="1:32" x14ac:dyDescent="0.25">
      <c r="A17" s="10" t="s">
        <v>86</v>
      </c>
      <c r="B17" s="10" t="s">
        <v>87</v>
      </c>
      <c r="C17" s="12" cm="1">
        <f t="array" ref="C17">_xll.BDH("DE US Equity","INC_DEC_IN_OT_OP_AST_LIAB_DETAIL","FQ3 2018","FQ3 2018","Currency=USD","Period=FQ","BEST_FPERIOD_OVERRIDE=FQ","FILING_STATUS=MR","SCALING_FORMAT=MLN","Sort=A","Dates=H","DateFormat=P","Fill=—","Direction=H","UseDPDF=Y")</f>
        <v>-70.900000000000006</v>
      </c>
      <c r="D17" s="12" cm="1">
        <f t="array" ref="D17">_xll.BDH("DE US Equity","INC_DEC_IN_OT_OP_AST_LIAB_DETAIL","FQ4 2018","FQ4 2018","Currency=USD","Period=FQ","BEST_FPERIOD_OVERRIDE=FQ","FILING_STATUS=MR","SCALING_FORMAT=MLN","Sort=A","Dates=H","DateFormat=P","Fill=—","Direction=H","UseDPDF=Y")</f>
        <v>-133</v>
      </c>
      <c r="E17" s="12" cm="1">
        <f t="array" ref="E17">_xll.BDH("DE US Equity","INC_DEC_IN_OT_OP_AST_LIAB_DETAIL","FQ1 2019","FQ1 2019","Currency=USD","Period=FQ","BEST_FPERIOD_OVERRIDE=FQ","FILING_STATUS=MR","SCALING_FORMAT=MLN","Sort=A","Dates=H","DateFormat=P","Fill=—","Direction=H","UseDPDF=Y")</f>
        <v>-600</v>
      </c>
      <c r="F17" s="12" cm="1">
        <f t="array" ref="F17">_xll.BDH("DE US Equity","INC_DEC_IN_OT_OP_AST_LIAB_DETAIL","FQ2 2019","FQ2 2019","Currency=USD","Period=FQ","BEST_FPERIOD_OVERRIDE=FQ","FILING_STATUS=MR","SCALING_FORMAT=MLN","Sort=A","Dates=H","DateFormat=P","Fill=—","Direction=H","UseDPDF=Y")</f>
        <v>690.6</v>
      </c>
      <c r="G17" s="12" cm="1">
        <f t="array" ref="G17">_xll.BDH("DE US Equity","INC_DEC_IN_OT_OP_AST_LIAB_DETAIL","FQ3 2019","FQ3 2019","Currency=USD","Period=FQ","BEST_FPERIOD_OVERRIDE=FQ","FILING_STATUS=MR","SCALING_FORMAT=MLN","Sort=A","Dates=H","DateFormat=P","Fill=—","Direction=H","UseDPDF=Y")</f>
        <v>-144</v>
      </c>
      <c r="H17" s="12" cm="1">
        <f t="array" ref="H17">_xll.BDH("DE US Equity","INC_DEC_IN_OT_OP_AST_LIAB_DETAIL","FQ4 2019","FQ4 2019","Currency=USD","Period=FQ","BEST_FPERIOD_OVERRIDE=FQ","FILING_STATUS=MR","SCALING_FORMAT=MLN","Sort=A","Dates=H","DateFormat=P","Fill=—","Direction=H","UseDPDF=Y")</f>
        <v>272</v>
      </c>
      <c r="I17" s="12" cm="1">
        <f t="array" ref="I17">_xll.BDH("DE US Equity","INC_DEC_IN_OT_OP_AST_LIAB_DETAIL","FQ1 2020","FQ1 2020","Currency=USD","Period=FQ","BEST_FPERIOD_OVERRIDE=FQ","FILING_STATUS=MR","SCALING_FORMAT=MLN","Sort=A","Dates=H","DateFormat=P","Fill=—","Direction=H","UseDPDF=Y")</f>
        <v>-1187</v>
      </c>
      <c r="J17" s="12" cm="1">
        <f t="array" ref="J17">_xll.BDH("DE US Equity","INC_DEC_IN_OT_OP_AST_LIAB_DETAIL","FQ2 2020","FQ2 2020","Currency=USD","Period=FQ","BEST_FPERIOD_OVERRIDE=FQ","FILING_STATUS=MR","SCALING_FORMAT=MLN","Sort=A","Dates=H","DateFormat=P","Fill=—","Direction=H","UseDPDF=Y")</f>
        <v>307</v>
      </c>
      <c r="K17" s="12" cm="1">
        <f t="array" ref="K17">_xll.BDH("DE US Equity","INC_DEC_IN_OT_OP_AST_LIAB_DETAIL","FQ3 2020","FQ3 2020","Currency=USD","Period=FQ","BEST_FPERIOD_OVERRIDE=FQ","FILING_STATUS=MR","SCALING_FORMAT=MLN","Sort=A","Dates=H","DateFormat=P","Fill=—","Direction=H","UseDPDF=Y")</f>
        <v>312</v>
      </c>
      <c r="L17" s="12" cm="1">
        <f t="array" ref="L17">_xll.BDH("DE US Equity","INC_DEC_IN_OT_OP_AST_LIAB_DETAIL","FQ4 2020","FQ4 2020","Currency=USD","Period=FQ","BEST_FPERIOD_OVERRIDE=FQ","FILING_STATUS=MR","SCALING_FORMAT=MLN","Sort=A","Dates=H","DateFormat=P","Fill=—","Direction=H","UseDPDF=Y")</f>
        <v>569</v>
      </c>
      <c r="M17" s="12" cm="1">
        <f t="array" ref="M17">_xll.BDH("DE US Equity","INC_DEC_IN_OT_OP_AST_LIAB_DETAIL","FQ1 2021","FQ1 2021","Currency=USD","Period=FQ","BEST_FPERIOD_OVERRIDE=FQ","FILING_STATUS=MR","SCALING_FORMAT=MLN","Sort=A","Dates=H","DateFormat=P","Fill=—","Direction=H","UseDPDF=Y")</f>
        <v>-575</v>
      </c>
      <c r="N17" s="12" cm="1">
        <f t="array" ref="N17">_xll.BDH("DE US Equity","INC_DEC_IN_OT_OP_AST_LIAB_DETAIL","FQ2 2021","FQ2 2021","Currency=USD","Period=FQ","BEST_FPERIOD_OVERRIDE=FQ","FILING_STATUS=MR","SCALING_FORMAT=MLN","Sort=A","Dates=H","DateFormat=P","Fill=—","Direction=H","UseDPDF=Y")</f>
        <v>947</v>
      </c>
      <c r="O17" s="12" cm="1">
        <f t="array" ref="O17">_xll.BDH("DE US Equity","INC_DEC_IN_OT_OP_AST_LIAB_DETAIL","FQ3 2021","FQ3 2021","Currency=USD","Period=FQ","BEST_FPERIOD_OVERRIDE=FQ","FILING_STATUS=MR","SCALING_FORMAT=MLN","Sort=A","Dates=H","DateFormat=P","Fill=—","Direction=H","UseDPDF=Y")</f>
        <v>404</v>
      </c>
      <c r="P17" s="12" cm="1">
        <f t="array" ref="P17">_xll.BDH("DE US Equity","INC_DEC_IN_OT_OP_AST_LIAB_DETAIL","FQ4 2021","FQ4 2021","Currency=USD","Period=FQ","BEST_FPERIOD_OVERRIDE=FQ","FILING_STATUS=MR","SCALING_FORMAT=MLN","Sort=A","Dates=H","DateFormat=P","Fill=—","Direction=H","UseDPDF=Y")</f>
        <v>1119</v>
      </c>
      <c r="Q17" s="12" cm="1">
        <f t="array" ref="Q17">_xll.BDH("DE US Equity","INC_DEC_IN_OT_OP_AST_LIAB_DETAIL","FQ1 2022","FQ1 2022","Currency=USD","Period=FQ","BEST_FPERIOD_OVERRIDE=FQ","FILING_STATUS=MR","SCALING_FORMAT=MLN","Sort=A","Dates=H","DateFormat=P","Fill=—","Direction=H","UseDPDF=Y")</f>
        <v>-1738</v>
      </c>
      <c r="R17" s="12" cm="1">
        <f t="array" ref="R17">_xll.BDH("DE US Equity","INC_DEC_IN_OT_OP_AST_LIAB_DETAIL","FQ2 2022","FQ2 2022","Currency=USD","Period=FQ","BEST_FPERIOD_OVERRIDE=FQ","FILING_STATUS=MR","SCALING_FORMAT=MLN","Sort=A","Dates=H","DateFormat=P","Fill=—","Direction=H","UseDPDF=Y")</f>
        <v>1156</v>
      </c>
      <c r="S17" s="12" cm="1">
        <f t="array" ref="S17">_xll.BDH("DE US Equity","INC_DEC_IN_OT_OP_AST_LIAB_DETAIL","FQ3 2022","FQ3 2022","Currency=USD","Period=FQ","BEST_FPERIOD_OVERRIDE=FQ","FILING_STATUS=MR","SCALING_FORMAT=MLN","Sort=A","Dates=H","DateFormat=P","Fill=—","Direction=H","UseDPDF=Y")</f>
        <v>649</v>
      </c>
      <c r="T17" s="12" cm="1">
        <f t="array" ref="T17">_xll.BDH("DE US Equity","INC_DEC_IN_OT_OP_AST_LIAB_DETAIL","FQ4 2022","FQ4 2022","Currency=USD","Period=FQ","BEST_FPERIOD_OVERRIDE=FQ","FILING_STATUS=MR","SCALING_FORMAT=MLN","Sort=A","Dates=H","DateFormat=P","Fill=—","Direction=H","UseDPDF=Y")</f>
        <v>1207</v>
      </c>
      <c r="U17" s="12" cm="1">
        <f t="array" ref="U17">_xll.BDH("DE US Equity","INC_DEC_IN_OT_OP_AST_LIAB_DETAIL","FQ1 2023","FQ1 2023","Currency=USD","Period=FQ","BEST_FPERIOD_OVERRIDE=FQ","FILING_STATUS=MR","SCALING_FORMAT=MLN","Sort=A","Dates=H","DateFormat=P","Fill=—","Direction=H","UseDPDF=Y")</f>
        <v>-1378</v>
      </c>
      <c r="V17" s="12" cm="1">
        <f t="array" ref="V17">_xll.BDH("DE US Equity","INC_DEC_IN_OT_OP_AST_LIAB_DETAIL","FQ2 2023","FQ2 2023","Currency=USD","Period=FQ","BEST_FPERIOD_OVERRIDE=FQ","FILING_STATUS=MR","SCALING_FORMAT=MLN","Sort=A","Dates=H","DateFormat=P","Fill=—","Direction=H","UseDPDF=Y")</f>
        <v>969</v>
      </c>
      <c r="W17" s="12" cm="1">
        <f t="array" ref="W17">_xll.BDH("DE US Equity","INC_DEC_IN_OT_OP_AST_LIAB_DETAIL","FQ3 2023","FQ3 2023","Currency=USD","Period=FQ","BEST_FPERIOD_OVERRIDE=FQ","FILING_STATUS=MR","SCALING_FORMAT=MLN","Sort=A","Dates=H","DateFormat=P","Fill=—","Direction=H","UseDPDF=Y")</f>
        <v>-139</v>
      </c>
      <c r="X17" s="12" cm="1">
        <f t="array" ref="X17">_xll.BDH("DE US Equity","INC_DEC_IN_OT_OP_AST_LIAB_DETAIL","FQ4 2023","FQ4 2023","Currency=USD","Period=FQ","BEST_FPERIOD_OVERRIDE=FQ","FILING_STATUS=MR","SCALING_FORMAT=MLN","Sort=A","Dates=H","DateFormat=P","Fill=—","Direction=H","UseDPDF=Y")</f>
        <v>1355</v>
      </c>
      <c r="Y17" s="12" cm="1">
        <f t="array" ref="Y17">_xll.BDH("DE US Equity","INC_DEC_IN_OT_OP_AST_LIAB_DETAIL","FQ1 2024","FQ1 2024","Currency=USD","Period=FQ","BEST_FPERIOD_OVERRIDE=FQ","FILING_STATUS=MR","SCALING_FORMAT=MLN","Sort=A","Dates=H","DateFormat=P","Fill=—","Direction=H","UseDPDF=Y")</f>
        <v>-2144</v>
      </c>
      <c r="Z17" s="12" cm="1">
        <f t="array" ref="Z17">_xll.BDH("DE US Equity","INC_DEC_IN_OT_OP_AST_LIAB_DETAIL","FQ2 2024","FQ2 2024","Currency=USD","Period=FQ","BEST_FPERIOD_OVERRIDE=FQ","FILING_STATUS=MR","SCALING_FORMAT=MLN","Sort=A","Dates=H","DateFormat=P","Fill=—","Direction=H","UseDPDF=Y")</f>
        <v>815</v>
      </c>
      <c r="AA17" s="12" cm="1">
        <f t="array" ref="AA17">_xll.BDH("DE US Equity","INC_DEC_IN_OT_OP_AST_LIAB_DETAIL","FQ3 2024","FQ3 2024","Currency=USD","Period=FQ","BEST_FPERIOD_OVERRIDE=FQ","FILING_STATUS=MR","SCALING_FORMAT=MLN","Sort=A","Dates=H","DateFormat=P","Fill=—","Direction=H","UseDPDF=Y")</f>
        <v>345</v>
      </c>
      <c r="AB17" s="12" cm="1">
        <f t="array" ref="AB17">_xll.BDH("DE US Equity","INC_DEC_IN_OT_OP_AST_LIAB_DETAIL","FQ4 2024","FQ4 2024","Currency=USD","Period=FQ","BEST_FPERIOD_OVERRIDE=FQ","FILING_STATUS=MR","SCALING_FORMAT=MLN","Sort=A","Dates=H","DateFormat=P","Fill=—","Direction=H","UseDPDF=Y")</f>
        <v>-179</v>
      </c>
      <c r="AC17" s="12" cm="1">
        <f t="array" ref="AC17">_xll.BDH("DE US Equity","INC_DEC_IN_OT_OP_AST_LIAB_DETAIL","FQ1 2025","FQ1 2025","Currency=USD","Period=FQ","BEST_FPERIOD_OVERRIDE=FQ","FILING_STATUS=MR","SCALING_FORMAT=MLN","Sort=A","Dates=H","DateFormat=P","Fill=—","Direction=H","UseDPDF=Y")</f>
        <v>-2385</v>
      </c>
      <c r="AD17" s="12" cm="1">
        <f t="array" ref="AD17">_xll.BDH("DE US Equity","INC_DEC_IN_OT_OP_AST_LIAB_DETAIL","FQ2 2025","FQ2 2025","Currency=USD","Period=FQ","BEST_FPERIOD_OVERRIDE=FQ","FILING_STATUS=MR","SCALING_FORMAT=MLN","Sort=A","Dates=H","DateFormat=P","Fill=—","Direction=H","UseDPDF=Y")</f>
        <v>1340</v>
      </c>
      <c r="AE17" s="12" cm="1">
        <f t="array" ref="AE17">_xll.BDH("DE US Equity","INC_DEC_IN_OT_OP_AST_LIAB_DETAIL","FQ3 2025","FQ3 2025","Currency=USD","Period=FQ","BEST_FPERIOD_OVERRIDE=FQ","FILING_STATUS=MR","SCALING_FORMAT=MLN","Sort=A","Dates=H","DateFormat=P","Fill=—","Direction=H","UseDPDF=Y")</f>
        <v>181</v>
      </c>
      <c r="AF17" s="12" cm="1">
        <f t="array" ref="AF17">_xll.BDH("DE US Equity","INC_DEC_IN_OT_OP_AST_LIAB_DETAIL","FQ4 2025","FQ4 2025","Currency=USD","Period=FQ","BEST_FPERIOD_OVERRIDE=FQ","FILING_STATUS=MR","SCALING_FORMAT=MLN","Sort=A","Dates=H","DateFormat=P","Fill=—","Direction=H","UseDPDF=Y")</f>
        <v>477</v>
      </c>
    </row>
    <row r="18" spans="1:32" x14ac:dyDescent="0.25">
      <c r="A18" s="10" t="s">
        <v>88</v>
      </c>
      <c r="B18" s="10" t="s">
        <v>89</v>
      </c>
      <c r="C18" s="12" cm="1">
        <f t="array" ref="C18">_xll.BDH("DE US Equity","CF_NET_CASH_DISCONT_OPS_OPER","FQ3 2018","FQ3 2018","Currency=USD","Period=FQ","BEST_FPERIOD_OVERRIDE=FQ","FILING_STATUS=MR","SCALING_FORMAT=MLN","Sort=A","Dates=H","DateFormat=P","Fill=—","Direction=H","UseDPDF=Y")</f>
        <v>0</v>
      </c>
      <c r="D18" s="12" cm="1">
        <f t="array" ref="D18">_xll.BDH("DE US Equity","CF_NET_CASH_DISCONT_OPS_OPER","FQ4 2018","FQ4 2018","Currency=USD","Period=FQ","BEST_FPERIOD_OVERRIDE=FQ","FILING_STATUS=MR","SCALING_FORMAT=MLN","Sort=A","Dates=H","DateFormat=P","Fill=—","Direction=H","UseDPDF=Y")</f>
        <v>0</v>
      </c>
      <c r="E18" s="12" cm="1">
        <f t="array" ref="E18">_xll.BDH("DE US Equity","CF_NET_CASH_DISCONT_OPS_OPER","FQ1 2019","FQ1 2019","Currency=USD","Period=FQ","BEST_FPERIOD_OVERRIDE=FQ","FILING_STATUS=MR","SCALING_FORMAT=MLN","Sort=A","Dates=H","DateFormat=P","Fill=—","Direction=H","UseDPDF=Y")</f>
        <v>0</v>
      </c>
      <c r="F18" s="12" cm="1">
        <f t="array" ref="F18">_xll.BDH("DE US Equity","CF_NET_CASH_DISCONT_OPS_OPER","FQ2 2019","FQ2 2019","Currency=USD","Period=FQ","BEST_FPERIOD_OVERRIDE=FQ","FILING_STATUS=MR","SCALING_FORMAT=MLN","Sort=A","Dates=H","DateFormat=P","Fill=—","Direction=H","UseDPDF=Y")</f>
        <v>0</v>
      </c>
      <c r="G18" s="12" cm="1">
        <f t="array" ref="G18">_xll.BDH("DE US Equity","CF_NET_CASH_DISCONT_OPS_OPER","FQ3 2019","FQ3 2019","Currency=USD","Period=FQ","BEST_FPERIOD_OVERRIDE=FQ","FILING_STATUS=MR","SCALING_FORMAT=MLN","Sort=A","Dates=H","DateFormat=P","Fill=—","Direction=H","UseDPDF=Y")</f>
        <v>0</v>
      </c>
      <c r="H18" s="12" cm="1">
        <f t="array" ref="H18">_xll.BDH("DE US Equity","CF_NET_CASH_DISCONT_OPS_OPER","FQ4 2019","FQ4 2019","Currency=USD","Period=FQ","BEST_FPERIOD_OVERRIDE=FQ","FILING_STATUS=MR","SCALING_FORMAT=MLN","Sort=A","Dates=H","DateFormat=P","Fill=—","Direction=H","UseDPDF=Y")</f>
        <v>0</v>
      </c>
      <c r="I18" s="12" cm="1">
        <f t="array" ref="I18">_xll.BDH("DE US Equity","CF_NET_CASH_DISCONT_OPS_OPER","FQ1 2020","FQ1 2020","Currency=USD","Period=FQ","BEST_FPERIOD_OVERRIDE=FQ","FILING_STATUS=MR","SCALING_FORMAT=MLN","Sort=A","Dates=H","DateFormat=P","Fill=—","Direction=H","UseDPDF=Y")</f>
        <v>0</v>
      </c>
      <c r="J18" s="12" cm="1">
        <f t="array" ref="J18">_xll.BDH("DE US Equity","CF_NET_CASH_DISCONT_OPS_OPER","FQ2 2020","FQ2 2020","Currency=USD","Period=FQ","BEST_FPERIOD_OVERRIDE=FQ","FILING_STATUS=MR","SCALING_FORMAT=MLN","Sort=A","Dates=H","DateFormat=P","Fill=—","Direction=H","UseDPDF=Y")</f>
        <v>0</v>
      </c>
      <c r="K18" s="12" cm="1">
        <f t="array" ref="K18">_xll.BDH("DE US Equity","CF_NET_CASH_DISCONT_OPS_OPER","FQ3 2020","FQ3 2020","Currency=USD","Period=FQ","BEST_FPERIOD_OVERRIDE=FQ","FILING_STATUS=MR","SCALING_FORMAT=MLN","Sort=A","Dates=H","DateFormat=P","Fill=—","Direction=H","UseDPDF=Y")</f>
        <v>0</v>
      </c>
      <c r="L18" s="12" cm="1">
        <f t="array" ref="L18">_xll.BDH("DE US Equity","CF_NET_CASH_DISCONT_OPS_OPER","FQ4 2020","FQ4 2020","Currency=USD","Period=FQ","BEST_FPERIOD_OVERRIDE=FQ","FILING_STATUS=MR","SCALING_FORMAT=MLN","Sort=A","Dates=H","DateFormat=P","Fill=—","Direction=H","UseDPDF=Y")</f>
        <v>0</v>
      </c>
      <c r="M18" s="12" cm="1">
        <f t="array" ref="M18">_xll.BDH("DE US Equity","CF_NET_CASH_DISCONT_OPS_OPER","FQ1 2021","FQ1 2021","Currency=USD","Period=FQ","BEST_FPERIOD_OVERRIDE=FQ","FILING_STATUS=MR","SCALING_FORMAT=MLN","Sort=A","Dates=H","DateFormat=P","Fill=—","Direction=H","UseDPDF=Y")</f>
        <v>0</v>
      </c>
      <c r="N18" s="12" cm="1">
        <f t="array" ref="N18">_xll.BDH("DE US Equity","CF_NET_CASH_DISCONT_OPS_OPER","FQ2 2021","FQ2 2021","Currency=USD","Period=FQ","BEST_FPERIOD_OVERRIDE=FQ","FILING_STATUS=MR","SCALING_FORMAT=MLN","Sort=A","Dates=H","DateFormat=P","Fill=—","Direction=H","UseDPDF=Y")</f>
        <v>0</v>
      </c>
      <c r="O18" s="12" cm="1">
        <f t="array" ref="O18">_xll.BDH("DE US Equity","CF_NET_CASH_DISCONT_OPS_OPER","FQ3 2021","FQ3 2021","Currency=USD","Period=FQ","BEST_FPERIOD_OVERRIDE=FQ","FILING_STATUS=MR","SCALING_FORMAT=MLN","Sort=A","Dates=H","DateFormat=P","Fill=—","Direction=H","UseDPDF=Y")</f>
        <v>0</v>
      </c>
      <c r="P18" s="12" cm="1">
        <f t="array" ref="P18">_xll.BDH("DE US Equity","CF_NET_CASH_DISCONT_OPS_OPER","FQ4 2021","FQ4 2021","Currency=USD","Period=FQ","BEST_FPERIOD_OVERRIDE=FQ","FILING_STATUS=MR","SCALING_FORMAT=MLN","Sort=A","Dates=H","DateFormat=P","Fill=—","Direction=H","UseDPDF=Y")</f>
        <v>0</v>
      </c>
      <c r="Q18" s="12" cm="1">
        <f t="array" ref="Q18">_xll.BDH("DE US Equity","CF_NET_CASH_DISCONT_OPS_OPER","FQ1 2022","FQ1 2022","Currency=USD","Period=FQ","BEST_FPERIOD_OVERRIDE=FQ","FILING_STATUS=MR","SCALING_FORMAT=MLN","Sort=A","Dates=H","DateFormat=P","Fill=—","Direction=H","UseDPDF=Y")</f>
        <v>0</v>
      </c>
      <c r="R18" s="12" cm="1">
        <f t="array" ref="R18">_xll.BDH("DE US Equity","CF_NET_CASH_DISCONT_OPS_OPER","FQ2 2022","FQ2 2022","Currency=USD","Period=FQ","BEST_FPERIOD_OVERRIDE=FQ","FILING_STATUS=MR","SCALING_FORMAT=MLN","Sort=A","Dates=H","DateFormat=P","Fill=—","Direction=H","UseDPDF=Y")</f>
        <v>0</v>
      </c>
      <c r="S18" s="12" cm="1">
        <f t="array" ref="S18">_xll.BDH("DE US Equity","CF_NET_CASH_DISCONT_OPS_OPER","FQ3 2022","FQ3 2022","Currency=USD","Period=FQ","BEST_FPERIOD_OVERRIDE=FQ","FILING_STATUS=MR","SCALING_FORMAT=MLN","Sort=A","Dates=H","DateFormat=P","Fill=—","Direction=H","UseDPDF=Y")</f>
        <v>0</v>
      </c>
      <c r="T18" s="12" cm="1">
        <f t="array" ref="T18">_xll.BDH("DE US Equity","CF_NET_CASH_DISCONT_OPS_OPER","FQ4 2022","FQ4 2022","Currency=USD","Period=FQ","BEST_FPERIOD_OVERRIDE=FQ","FILING_STATUS=MR","SCALING_FORMAT=MLN","Sort=A","Dates=H","DateFormat=P","Fill=—","Direction=H","UseDPDF=Y")</f>
        <v>0</v>
      </c>
      <c r="U18" s="12" cm="1">
        <f t="array" ref="U18">_xll.BDH("DE US Equity","CF_NET_CASH_DISCONT_OPS_OPER","FQ1 2023","FQ1 2023","Currency=USD","Period=FQ","BEST_FPERIOD_OVERRIDE=FQ","FILING_STATUS=MR","SCALING_FORMAT=MLN","Sort=A","Dates=H","DateFormat=P","Fill=—","Direction=H","UseDPDF=Y")</f>
        <v>0</v>
      </c>
      <c r="V18" s="12" cm="1">
        <f t="array" ref="V18">_xll.BDH("DE US Equity","CF_NET_CASH_DISCONT_OPS_OPER","FQ2 2023","FQ2 2023","Currency=USD","Period=FQ","BEST_FPERIOD_OVERRIDE=FQ","FILING_STATUS=MR","SCALING_FORMAT=MLN","Sort=A","Dates=H","DateFormat=P","Fill=—","Direction=H","UseDPDF=Y")</f>
        <v>0</v>
      </c>
      <c r="W18" s="12" cm="1">
        <f t="array" ref="W18">_xll.BDH("DE US Equity","CF_NET_CASH_DISCONT_OPS_OPER","FQ3 2023","FQ3 2023","Currency=USD","Period=FQ","BEST_FPERIOD_OVERRIDE=FQ","FILING_STATUS=MR","SCALING_FORMAT=MLN","Sort=A","Dates=H","DateFormat=P","Fill=—","Direction=H","UseDPDF=Y")</f>
        <v>0</v>
      </c>
      <c r="X18" s="12" cm="1">
        <f t="array" ref="X18">_xll.BDH("DE US Equity","CF_NET_CASH_DISCONT_OPS_OPER","FQ4 2023","FQ4 2023","Currency=USD","Period=FQ","BEST_FPERIOD_OVERRIDE=FQ","FILING_STATUS=MR","SCALING_FORMAT=MLN","Sort=A","Dates=H","DateFormat=P","Fill=—","Direction=H","UseDPDF=Y")</f>
        <v>0</v>
      </c>
      <c r="Y18" s="12" cm="1">
        <f t="array" ref="Y18">_xll.BDH("DE US Equity","CF_NET_CASH_DISCONT_OPS_OPER","FQ1 2024","FQ1 2024","Currency=USD","Period=FQ","BEST_FPERIOD_OVERRIDE=FQ","FILING_STATUS=MR","SCALING_FORMAT=MLN","Sort=A","Dates=H","DateFormat=P","Fill=—","Direction=H","UseDPDF=Y")</f>
        <v>0</v>
      </c>
      <c r="Z18" s="12" cm="1">
        <f t="array" ref="Z18">_xll.BDH("DE US Equity","CF_NET_CASH_DISCONT_OPS_OPER","FQ2 2024","FQ2 2024","Currency=USD","Period=FQ","BEST_FPERIOD_OVERRIDE=FQ","FILING_STATUS=MR","SCALING_FORMAT=MLN","Sort=A","Dates=H","DateFormat=P","Fill=—","Direction=H","UseDPDF=Y")</f>
        <v>0</v>
      </c>
      <c r="AA18" s="12" cm="1">
        <f t="array" ref="AA18">_xll.BDH("DE US Equity","CF_NET_CASH_DISCONT_OPS_OPER","FQ3 2024","FQ3 2024","Currency=USD","Period=FQ","BEST_FPERIOD_OVERRIDE=FQ","FILING_STATUS=MR","SCALING_FORMAT=MLN","Sort=A","Dates=H","DateFormat=P","Fill=—","Direction=H","UseDPDF=Y")</f>
        <v>0</v>
      </c>
      <c r="AB18" s="12" cm="1">
        <f t="array" ref="AB18">_xll.BDH("DE US Equity","CF_NET_CASH_DISCONT_OPS_OPER","FQ4 2024","FQ4 2024","Currency=USD","Period=FQ","BEST_FPERIOD_OVERRIDE=FQ","FILING_STATUS=MR","SCALING_FORMAT=MLN","Sort=A","Dates=H","DateFormat=P","Fill=—","Direction=H","UseDPDF=Y")</f>
        <v>0</v>
      </c>
      <c r="AC18" s="12" cm="1">
        <f t="array" ref="AC18">_xll.BDH("DE US Equity","CF_NET_CASH_DISCONT_OPS_OPER","FQ1 2025","FQ1 2025","Currency=USD","Period=FQ","BEST_FPERIOD_OVERRIDE=FQ","FILING_STATUS=MR","SCALING_FORMAT=MLN","Sort=A","Dates=H","DateFormat=P","Fill=—","Direction=H","UseDPDF=Y")</f>
        <v>0</v>
      </c>
      <c r="AD18" s="12" cm="1">
        <f t="array" ref="AD18">_xll.BDH("DE US Equity","CF_NET_CASH_DISCONT_OPS_OPER","FQ2 2025","FQ2 2025","Currency=USD","Period=FQ","BEST_FPERIOD_OVERRIDE=FQ","FILING_STATUS=MR","SCALING_FORMAT=MLN","Sort=A","Dates=H","DateFormat=P","Fill=—","Direction=H","UseDPDF=Y")</f>
        <v>0</v>
      </c>
      <c r="AE18" s="12" cm="1">
        <f t="array" ref="AE18">_xll.BDH("DE US Equity","CF_NET_CASH_DISCONT_OPS_OPER","FQ3 2025","FQ3 2025","Currency=USD","Period=FQ","BEST_FPERIOD_OVERRIDE=FQ","FILING_STATUS=MR","SCALING_FORMAT=MLN","Sort=A","Dates=H","DateFormat=P","Fill=—","Direction=H","UseDPDF=Y")</f>
        <v>0</v>
      </c>
      <c r="AF18" s="12" cm="1">
        <f t="array" ref="AF18">_xll.BDH("DE US Equity","CF_NET_CASH_DISCONT_OPS_OPER","FQ4 2025","FQ4 2025","Currency=USD","Period=FQ","BEST_FPERIOD_OVERRIDE=FQ","FILING_STATUS=MR","SCALING_FORMAT=MLN","Sort=A","Dates=H","DateFormat=P","Fill=—","Direction=H","UseDPDF=Y")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6" t="s">
        <v>65</v>
      </c>
      <c r="B19" s="6" t="s">
        <v>90</v>
      </c>
      <c r="C19" s="15" cm="1">
        <f t="array" ref="C19">_xll.BDH("DE US Equity","CF_CASH_FROM_OPER","FQ3 2018","FQ3 2018","Currency=USD","Period=FQ","BEST_FPERIOD_OVERRIDE=FQ","FILING_STATUS=MR","SCALING_FORMAT=MLN","Sort=A","Dates=H","DateFormat=P","Fill=—","Direction=H","UseDPDF=Y")</f>
        <v>548.1</v>
      </c>
      <c r="D19" s="15" cm="1">
        <f t="array" ref="D19">_xll.BDH("DE US Equity","CF_CASH_FROM_OPER","FQ4 2018","FQ4 2018","Currency=USD","Period=FQ","BEST_FPERIOD_OVERRIDE=FQ","FILING_STATUS=MR","SCALING_FORMAT=MLN","Sort=A","Dates=H","DateFormat=P","Fill=—","Direction=H","UseDPDF=Y")</f>
        <v>2494</v>
      </c>
      <c r="E19" s="15" cm="1">
        <f t="array" ref="E19">_xll.BDH("DE US Equity","CF_CASH_FROM_OPER","FQ1 2019","FQ1 2019","Currency=USD","Period=FQ","BEST_FPERIOD_OVERRIDE=FQ","FILING_STATUS=MR","SCALING_FORMAT=MLN","Sort=A","Dates=H","DateFormat=P","Fill=—","Direction=H","UseDPDF=Y")</f>
        <v>-1651</v>
      </c>
      <c r="F19" s="15" cm="1">
        <f t="array" ref="F19">_xll.BDH("DE US Equity","CF_CASH_FROM_OPER","FQ2 2019","FQ2 2019","Currency=USD","Period=FQ","BEST_FPERIOD_OVERRIDE=FQ","FILING_STATUS=MR","SCALING_FORMAT=MLN","Sort=A","Dates=H","DateFormat=P","Fill=—","Direction=H","UseDPDF=Y")</f>
        <v>155.69999999999999</v>
      </c>
      <c r="G19" s="15" cm="1">
        <f t="array" ref="G19">_xll.BDH("DE US Equity","CF_CASH_FROM_OPER","FQ3 2019","FQ3 2019","Currency=USD","Period=FQ","BEST_FPERIOD_OVERRIDE=FQ","FILING_STATUS=MR","SCALING_FORMAT=MLN","Sort=A","Dates=H","DateFormat=P","Fill=—","Direction=H","UseDPDF=Y")</f>
        <v>1899</v>
      </c>
      <c r="H19" s="15" cm="1">
        <f t="array" ref="H19">_xll.BDH("DE US Equity","CF_CASH_FROM_OPER","FQ4 2019","FQ4 2019","Currency=USD","Period=FQ","BEST_FPERIOD_OVERRIDE=FQ","FILING_STATUS=MR","SCALING_FORMAT=MLN","Sort=A","Dates=H","DateFormat=P","Fill=—","Direction=H","UseDPDF=Y")</f>
        <v>3008</v>
      </c>
      <c r="I19" s="15" cm="1">
        <f t="array" ref="I19">_xll.BDH("DE US Equity","CF_CASH_FROM_OPER","FQ1 2020","FQ1 2020","Currency=USD","Period=FQ","BEST_FPERIOD_OVERRIDE=FQ","FILING_STATUS=MR","SCALING_FORMAT=MLN","Sort=A","Dates=H","DateFormat=P","Fill=—","Direction=H","UseDPDF=Y")</f>
        <v>-508</v>
      </c>
      <c r="J19" s="15" cm="1">
        <f t="array" ref="J19">_xll.BDH("DE US Equity","CF_CASH_FROM_OPER","FQ2 2020","FQ2 2020","Currency=USD","Period=FQ","BEST_FPERIOD_OVERRIDE=FQ","FILING_STATUS=MR","SCALING_FORMAT=MLN","Sort=A","Dates=H","DateFormat=P","Fill=—","Direction=H","UseDPDF=Y")</f>
        <v>1284</v>
      </c>
      <c r="K19" s="15" cm="1">
        <f t="array" ref="K19">_xll.BDH("DE US Equity","CF_CASH_FROM_OPER","FQ3 2020","FQ3 2020","Currency=USD","Period=FQ","BEST_FPERIOD_OVERRIDE=FQ","FILING_STATUS=MR","SCALING_FORMAT=MLN","Sort=A","Dates=H","DateFormat=P","Fill=—","Direction=H","UseDPDF=Y")</f>
        <v>3281</v>
      </c>
      <c r="L19" s="15" cm="1">
        <f t="array" ref="L19">_xll.BDH("DE US Equity","CF_CASH_FROM_OPER","FQ4 2020","FQ4 2020","Currency=USD","Period=FQ","BEST_FPERIOD_OVERRIDE=FQ","FILING_STATUS=MR","SCALING_FORMAT=MLN","Sort=A","Dates=H","DateFormat=P","Fill=—","Direction=H","UseDPDF=Y")</f>
        <v>3426</v>
      </c>
      <c r="M19" s="15" cm="1">
        <f t="array" ref="M19">_xll.BDH("DE US Equity","CF_CASH_FROM_OPER","FQ1 2021","FQ1 2021","Currency=USD","Period=FQ","BEST_FPERIOD_OVERRIDE=FQ","FILING_STATUS=MR","SCALING_FORMAT=MLN","Sort=A","Dates=H","DateFormat=P","Fill=—","Direction=H","UseDPDF=Y")</f>
        <v>143</v>
      </c>
      <c r="N19" s="15" cm="1">
        <f t="array" ref="N19">_xll.BDH("DE US Equity","CF_CASH_FROM_OPER","FQ2 2021","FQ2 2021","Currency=USD","Period=FQ","BEST_FPERIOD_OVERRIDE=FQ","FILING_STATUS=MR","SCALING_FORMAT=MLN","Sort=A","Dates=H","DateFormat=P","Fill=—","Direction=H","UseDPDF=Y")</f>
        <v>1643</v>
      </c>
      <c r="O19" s="15" cm="1">
        <f t="array" ref="O19">_xll.BDH("DE US Equity","CF_CASH_FROM_OPER","FQ3 2021","FQ3 2021","Currency=USD","Period=FQ","BEST_FPERIOD_OVERRIDE=FQ","FILING_STATUS=MR","SCALING_FORMAT=MLN","Sort=A","Dates=H","DateFormat=P","Fill=—","Direction=H","UseDPDF=Y")</f>
        <v>2528</v>
      </c>
      <c r="P19" s="15" cm="1">
        <f t="array" ref="P19">_xll.BDH("DE US Equity","CF_CASH_FROM_OPER","FQ4 2021","FQ4 2021","Currency=USD","Period=FQ","BEST_FPERIOD_OVERRIDE=FQ","FILING_STATUS=MR","SCALING_FORMAT=MLN","Sort=A","Dates=H","DateFormat=P","Fill=—","Direction=H","UseDPDF=Y")</f>
        <v>3412</v>
      </c>
      <c r="Q19" s="15" cm="1">
        <f t="array" ref="Q19">_xll.BDH("DE US Equity","CF_CASH_FROM_OPER","FQ1 2022","FQ1 2022","Currency=USD","Period=FQ","BEST_FPERIOD_OVERRIDE=FQ","FILING_STATUS=MR","SCALING_FORMAT=MLN","Sort=A","Dates=H","DateFormat=P","Fill=—","Direction=H","UseDPDF=Y")</f>
        <v>-2553</v>
      </c>
      <c r="R19" s="15" cm="1">
        <f t="array" ref="R19">_xll.BDH("DE US Equity","CF_CASH_FROM_OPER","FQ2 2022","FQ2 2022","Currency=USD","Period=FQ","BEST_FPERIOD_OVERRIDE=FQ","FILING_STATUS=MR","SCALING_FORMAT=MLN","Sort=A","Dates=H","DateFormat=P","Fill=—","Direction=H","UseDPDF=Y")</f>
        <v>791</v>
      </c>
      <c r="S19" s="15" cm="1">
        <f t="array" ref="S19">_xll.BDH("DE US Equity","CF_CASH_FROM_OPER","FQ3 2022","FQ3 2022","Currency=USD","Period=FQ","BEST_FPERIOD_OVERRIDE=FQ","FILING_STATUS=MR","SCALING_FORMAT=MLN","Sort=A","Dates=H","DateFormat=P","Fill=—","Direction=H","UseDPDF=Y")</f>
        <v>2180</v>
      </c>
      <c r="T19" s="15" cm="1">
        <f t="array" ref="T19">_xll.BDH("DE US Equity","CF_CASH_FROM_OPER","FQ4 2022","FQ4 2022","Currency=USD","Period=FQ","BEST_FPERIOD_OVERRIDE=FQ","FILING_STATUS=MR","SCALING_FORMAT=MLN","Sort=A","Dates=H","DateFormat=P","Fill=—","Direction=H","UseDPDF=Y")</f>
        <v>4281</v>
      </c>
      <c r="U19" s="15" cm="1">
        <f t="array" ref="U19">_xll.BDH("DE US Equity","CF_CASH_FROM_OPER","FQ1 2023","FQ1 2023","Currency=USD","Period=FQ","BEST_FPERIOD_OVERRIDE=FQ","FILING_STATUS=MR","SCALING_FORMAT=MLN","Sort=A","Dates=H","DateFormat=P","Fill=—","Direction=H","UseDPDF=Y")</f>
        <v>-1246</v>
      </c>
      <c r="V19" s="15" cm="1">
        <f t="array" ref="V19">_xll.BDH("DE US Equity","CF_CASH_FROM_OPER","FQ2 2023","FQ2 2023","Currency=USD","Period=FQ","BEST_FPERIOD_OVERRIDE=FQ","FILING_STATUS=MR","SCALING_FORMAT=MLN","Sort=A","Dates=H","DateFormat=P","Fill=—","Direction=H","UseDPDF=Y")</f>
        <v>1099</v>
      </c>
      <c r="W19" s="15" cm="1">
        <f t="array" ref="W19">_xll.BDH("DE US Equity","CF_CASH_FROM_OPER","FQ3 2023","FQ3 2023","Currency=USD","Period=FQ","BEST_FPERIOD_OVERRIDE=FQ","FILING_STATUS=MR","SCALING_FORMAT=MLN","Sort=A","Dates=H","DateFormat=P","Fill=—","Direction=H","UseDPDF=Y")</f>
        <v>3043</v>
      </c>
      <c r="X19" s="15" cm="1">
        <f t="array" ref="X19">_xll.BDH("DE US Equity","CF_CASH_FROM_OPER","FQ4 2023","FQ4 2023","Currency=USD","Period=FQ","BEST_FPERIOD_OVERRIDE=FQ","FILING_STATUS=MR","SCALING_FORMAT=MLN","Sort=A","Dates=H","DateFormat=P","Fill=—","Direction=H","UseDPDF=Y")</f>
        <v>5693</v>
      </c>
      <c r="Y19" s="15" cm="1">
        <f t="array" ref="Y19">_xll.BDH("DE US Equity","CF_CASH_FROM_OPER","FQ1 2024","FQ1 2024","Currency=USD","Period=FQ","BEST_FPERIOD_OVERRIDE=FQ","FILING_STATUS=MR","SCALING_FORMAT=MLN","Sort=A","Dates=H","DateFormat=P","Fill=—","Direction=H","UseDPDF=Y")</f>
        <v>-908</v>
      </c>
      <c r="Z19" s="15" cm="1">
        <f t="array" ref="Z19">_xll.BDH("DE US Equity","CF_CASH_FROM_OPER","FQ2 2024","FQ2 2024","Currency=USD","Period=FQ","BEST_FPERIOD_OVERRIDE=FQ","FILING_STATUS=MR","SCALING_FORMAT=MLN","Sort=A","Dates=H","DateFormat=P","Fill=—","Direction=H","UseDPDF=Y")</f>
        <v>1852</v>
      </c>
      <c r="AA19" s="15" cm="1">
        <f t="array" ref="AA19">_xll.BDH("DE US Equity","CF_CASH_FROM_OPER","FQ3 2024","FQ3 2024","Currency=USD","Period=FQ","BEST_FPERIOD_OVERRIDE=FQ","FILING_STATUS=MR","SCALING_FORMAT=MLN","Sort=A","Dates=H","DateFormat=P","Fill=—","Direction=H","UseDPDF=Y")</f>
        <v>3195</v>
      </c>
      <c r="AB19" s="15" cm="1">
        <f t="array" ref="AB19">_xll.BDH("DE US Equity","CF_CASH_FROM_OPER","FQ4 2024","FQ4 2024","Currency=USD","Period=FQ","BEST_FPERIOD_OVERRIDE=FQ","FILING_STATUS=MR","SCALING_FORMAT=MLN","Sort=A","Dates=H","DateFormat=P","Fill=—","Direction=H","UseDPDF=Y")</f>
        <v>5092</v>
      </c>
      <c r="AC19" s="15" cm="1">
        <f t="array" ref="AC19">_xll.BDH("DE US Equity","CF_CASH_FROM_OPER","FQ1 2025","FQ1 2025","Currency=USD","Period=FQ","BEST_FPERIOD_OVERRIDE=FQ","FILING_STATUS=MR","SCALING_FORMAT=MLN","Sort=A","Dates=H","DateFormat=P","Fill=—","Direction=H","UseDPDF=Y")</f>
        <v>-1132</v>
      </c>
      <c r="AD19" s="15" cm="1">
        <f t="array" ref="AD19">_xll.BDH("DE US Equity","CF_CASH_FROM_OPER","FQ2 2025","FQ2 2025","Currency=USD","Period=FQ","BEST_FPERIOD_OVERRIDE=FQ","FILING_STATUS=MR","SCALING_FORMAT=MLN","Sort=A","Dates=H","DateFormat=P","Fill=—","Direction=H","UseDPDF=Y")</f>
        <v>1700</v>
      </c>
      <c r="AE19" s="15" cm="1">
        <f t="array" ref="AE19">_xll.BDH("DE US Equity","CF_CASH_FROM_OPER","FQ3 2025","FQ3 2025","Currency=USD","Period=FQ","BEST_FPERIOD_OVERRIDE=FQ","FILING_STATUS=MR","SCALING_FORMAT=MLN","Sort=A","Dates=H","DateFormat=P","Fill=—","Direction=H","UseDPDF=Y")</f>
        <v>2896</v>
      </c>
      <c r="AF19" s="15" cm="1">
        <f t="array" ref="AF19">_xll.BDH("DE US Equity","CF_CASH_FROM_OPER","FQ4 2025","FQ4 2025","Currency=USD","Period=FQ","BEST_FPERIOD_OVERRIDE=FQ","FILING_STATUS=MR","SCALING_FORMAT=MLN","Sort=A","Dates=H","DateFormat=P","Fill=—","Direction=H","UseDPDF=Y")</f>
        <v>3995</v>
      </c>
    </row>
    <row r="20" spans="1:32" x14ac:dyDescent="0.25">
      <c r="A20" s="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6" t="s">
        <v>91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10" t="s">
        <v>92</v>
      </c>
      <c r="B22" s="10" t="s">
        <v>93</v>
      </c>
      <c r="C22" s="12" cm="1">
        <f t="array" ref="C22">_xll.BDH("DE US Equity","FIXED_INTANG_ASST_CHANGE","FQ3 2018","FQ3 2018","Currency=USD","Period=FQ","BEST_FPERIOD_OVERRIDE=FQ","FILING_STATUS=MR","SCALING_FORMAT=MLN","Sort=A","Dates=H","DateFormat=P","Fill=—","Direction=H","UseDPDF=Y")</f>
        <v>-352.9</v>
      </c>
      <c r="D22" s="12" cm="1">
        <f t="array" ref="D22">_xll.BDH("DE US Equity","FIXED_INTANG_ASST_CHANGE","FQ4 2018","FQ4 2018","Currency=USD","Period=FQ","BEST_FPERIOD_OVERRIDE=FQ","FILING_STATUS=MR","SCALING_FORMAT=MLN","Sort=A","Dates=H","DateFormat=P","Fill=—","Direction=H","UseDPDF=Y")</f>
        <v>-584</v>
      </c>
      <c r="E22" s="12" cm="1">
        <f t="array" ref="E22">_xll.BDH("DE US Equity","FIXED_INTANG_ASST_CHANGE","FQ1 2019","FQ1 2019","Currency=USD","Period=FQ","BEST_FPERIOD_OVERRIDE=FQ","FILING_STATUS=MR","SCALING_FORMAT=MLN","Sort=A","Dates=H","DateFormat=P","Fill=—","Direction=H","UseDPDF=Y")</f>
        <v>-287</v>
      </c>
      <c r="F22" s="12" cm="1">
        <f t="array" ref="F22">_xll.BDH("DE US Equity","FIXED_INTANG_ASST_CHANGE","FQ2 2019","FQ2 2019","Currency=USD","Period=FQ","BEST_FPERIOD_OVERRIDE=FQ","FILING_STATUS=MR","SCALING_FORMAT=MLN","Sort=A","Dates=H","DateFormat=P","Fill=—","Direction=H","UseDPDF=Y")</f>
        <v>-304</v>
      </c>
      <c r="G22" s="12" cm="1">
        <f t="array" ref="G22">_xll.BDH("DE US Equity","FIXED_INTANG_ASST_CHANGE","FQ3 2019","FQ3 2019","Currency=USD","Period=FQ","BEST_FPERIOD_OVERRIDE=FQ","FILING_STATUS=MR","SCALING_FORMAT=MLN","Sort=A","Dates=H","DateFormat=P","Fill=—","Direction=H","UseDPDF=Y")</f>
        <v>-455</v>
      </c>
      <c r="H22" s="12" cm="1">
        <f t="array" ref="H22">_xll.BDH("DE US Equity","FIXED_INTANG_ASST_CHANGE","FQ4 2019","FQ4 2019","Currency=USD","Period=FQ","BEST_FPERIOD_OVERRIDE=FQ","FILING_STATUS=MR","SCALING_FORMAT=MLN","Sort=A","Dates=H","DateFormat=P","Fill=—","Direction=H","UseDPDF=Y")</f>
        <v>-754</v>
      </c>
      <c r="I22" s="12" cm="1">
        <f t="array" ref="I22">_xll.BDH("DE US Equity","FIXED_INTANG_ASST_CHANGE","FQ1 2020","FQ1 2020","Currency=USD","Period=FQ","BEST_FPERIOD_OVERRIDE=FQ","FILING_STATUS=MR","SCALING_FORMAT=MLN","Sort=A","Dates=H","DateFormat=P","Fill=—","Direction=H","UseDPDF=Y")</f>
        <v>-362</v>
      </c>
      <c r="J22" s="12" cm="1">
        <f t="array" ref="J22">_xll.BDH("DE US Equity","FIXED_INTANG_ASST_CHANGE","FQ2 2020","FQ2 2020","Currency=USD","Period=FQ","BEST_FPERIOD_OVERRIDE=FQ","FILING_STATUS=MR","SCALING_FORMAT=MLN","Sort=A","Dates=H","DateFormat=P","Fill=—","Direction=H","UseDPDF=Y")</f>
        <v>-141</v>
      </c>
      <c r="K22" s="12" cm="1">
        <f t="array" ref="K22">_xll.BDH("DE US Equity","FIXED_INTANG_ASST_CHANGE","FQ3 2020","FQ3 2020","Currency=USD","Period=FQ","BEST_FPERIOD_OVERRIDE=FQ","FILING_STATUS=MR","SCALING_FORMAT=MLN","Sort=A","Dates=H","DateFormat=P","Fill=—","Direction=H","UseDPDF=Y")</f>
        <v>-93</v>
      </c>
      <c r="L22" s="12" cm="1">
        <f t="array" ref="L22">_xll.BDH("DE US Equity","FIXED_INTANG_ASST_CHANGE","FQ4 2020","FQ4 2020","Currency=USD","Period=FQ","BEST_FPERIOD_OVERRIDE=FQ","FILING_STATUS=MR","SCALING_FORMAT=MLN","Sort=A","Dates=H","DateFormat=P","Fill=—","Direction=H","UseDPDF=Y")</f>
        <v>-277</v>
      </c>
      <c r="M22" s="12" cm="1">
        <f t="array" ref="M22">_xll.BDH("DE US Equity","FIXED_INTANG_ASST_CHANGE","FQ1 2021","FQ1 2021","Currency=USD","Period=FQ","BEST_FPERIOD_OVERRIDE=FQ","FILING_STATUS=MR","SCALING_FORMAT=MLN","Sort=A","Dates=H","DateFormat=P","Fill=—","Direction=H","UseDPDF=Y")</f>
        <v>12</v>
      </c>
      <c r="N22" s="12" cm="1">
        <f t="array" ref="N22">_xll.BDH("DE US Equity","FIXED_INTANG_ASST_CHANGE","FQ2 2021","FQ2 2021","Currency=USD","Period=FQ","BEST_FPERIOD_OVERRIDE=FQ","FILING_STATUS=MR","SCALING_FORMAT=MLN","Sort=A","Dates=H","DateFormat=P","Fill=—","Direction=H","UseDPDF=Y")</f>
        <v>-85</v>
      </c>
      <c r="O22" s="12" cm="1">
        <f t="array" ref="O22">_xll.BDH("DE US Equity","FIXED_INTANG_ASST_CHANGE","FQ3 2021","FQ3 2021","Currency=USD","Period=FQ","BEST_FPERIOD_OVERRIDE=FQ","FILING_STATUS=MR","SCALING_FORMAT=MLN","Sort=A","Dates=H","DateFormat=P","Fill=—","Direction=H","UseDPDF=Y")</f>
        <v>-119</v>
      </c>
      <c r="P22" s="12" cm="1">
        <f t="array" ref="P22">_xll.BDH("DE US Equity","FIXED_INTANG_ASST_CHANGE","FQ4 2021","FQ4 2021","Currency=USD","Period=FQ","BEST_FPERIOD_OVERRIDE=FQ","FILING_STATUS=MR","SCALING_FORMAT=MLN","Sort=A","Dates=H","DateFormat=P","Fill=—","Direction=H","UseDPDF=Y")</f>
        <v>-294</v>
      </c>
      <c r="Q22" s="12" cm="1">
        <f t="array" ref="Q22">_xll.BDH("DE US Equity","FIXED_INTANG_ASST_CHANGE","FQ1 2022","FQ1 2022","Currency=USD","Period=FQ","BEST_FPERIOD_OVERRIDE=FQ","FILING_STATUS=MR","SCALING_FORMAT=MLN","Sort=A","Dates=H","DateFormat=P","Fill=—","Direction=H","UseDPDF=Y")</f>
        <v>-105</v>
      </c>
      <c r="R22" s="12" cm="1">
        <f t="array" ref="R22">_xll.BDH("DE US Equity","FIXED_INTANG_ASST_CHANGE","FQ2 2022","FQ2 2022","Currency=USD","Period=FQ","BEST_FPERIOD_OVERRIDE=FQ","FILING_STATUS=MR","SCALING_FORMAT=MLN","Sort=A","Dates=H","DateFormat=P","Fill=—","Direction=H","UseDPDF=Y")</f>
        <v>-210</v>
      </c>
      <c r="S22" s="12" cm="1">
        <f t="array" ref="S22">_xll.BDH("DE US Equity","FIXED_INTANG_ASST_CHANGE","FQ3 2022","FQ3 2022","Currency=USD","Period=FQ","BEST_FPERIOD_OVERRIDE=FQ","FILING_STATUS=MR","SCALING_FORMAT=MLN","Sort=A","Dates=H","DateFormat=P","Fill=—","Direction=H","UseDPDF=Y")</f>
        <v>-497</v>
      </c>
      <c r="T22" s="12" cm="1">
        <f t="array" ref="T22">_xll.BDH("DE US Equity","FIXED_INTANG_ASST_CHANGE","FQ4 2022","FQ4 2022","Currency=USD","Period=FQ","BEST_FPERIOD_OVERRIDE=FQ","FILING_STATUS=MR","SCALING_FORMAT=MLN","Sort=A","Dates=H","DateFormat=P","Fill=—","Direction=H","UseDPDF=Y")</f>
        <v>-883</v>
      </c>
      <c r="U22" s="12" cm="1">
        <f t="array" ref="U22">_xll.BDH("DE US Equity","FIXED_INTANG_ASST_CHANGE","FQ1 2023","FQ1 2023","Currency=USD","Period=FQ","BEST_FPERIOD_OVERRIDE=FQ","FILING_STATUS=MR","SCALING_FORMAT=MLN","Sort=A","Dates=H","DateFormat=P","Fill=—","Direction=H","UseDPDF=Y")</f>
        <v>-315</v>
      </c>
      <c r="V22" s="12" cm="1">
        <f t="array" ref="V22">_xll.BDH("DE US Equity","FIXED_INTANG_ASST_CHANGE","FQ2 2023","FQ2 2023","Currency=USD","Period=FQ","BEST_FPERIOD_OVERRIDE=FQ","FILING_STATUS=MR","SCALING_FORMAT=MLN","Sort=A","Dates=H","DateFormat=P","Fill=—","Direction=H","UseDPDF=Y")</f>
        <v>-505</v>
      </c>
      <c r="W22" s="12" cm="1">
        <f t="array" ref="W22">_xll.BDH("DE US Equity","FIXED_INTANG_ASST_CHANGE","FQ3 2023","FQ3 2023","Currency=USD","Period=FQ","BEST_FPERIOD_OVERRIDE=FQ","FILING_STATUS=MR","SCALING_FORMAT=MLN","Sort=A","Dates=H","DateFormat=P","Fill=—","Direction=H","UseDPDF=Y")</f>
        <v>-590</v>
      </c>
      <c r="X22" s="12" cm="1">
        <f t="array" ref="X22">_xll.BDH("DE US Equity","FIXED_INTANG_ASST_CHANGE","FQ4 2023","FQ4 2023","Currency=USD","Period=FQ","BEST_FPERIOD_OVERRIDE=FQ","FILING_STATUS=MR","SCALING_FORMAT=MLN","Sort=A","Dates=H","DateFormat=P","Fill=—","Direction=H","UseDPDF=Y")</f>
        <v>-1077</v>
      </c>
      <c r="Y22" s="12" cm="1">
        <f t="array" ref="Y22">_xll.BDH("DE US Equity","FIXED_INTANG_ASST_CHANGE","FQ1 2024","FQ1 2024","Currency=USD","Period=FQ","BEST_FPERIOD_OVERRIDE=FQ","FILING_STATUS=MR","SCALING_FORMAT=MLN","Sort=A","Dates=H","DateFormat=P","Fill=—","Direction=H","UseDPDF=Y")</f>
        <v>-310</v>
      </c>
      <c r="Z22" s="12" cm="1">
        <f t="array" ref="Z22">_xll.BDH("DE US Equity","FIXED_INTANG_ASST_CHANGE","FQ2 2024","FQ2 2024","Currency=USD","Period=FQ","BEST_FPERIOD_OVERRIDE=FQ","FILING_STATUS=MR","SCALING_FORMAT=MLN","Sort=A","Dates=H","DateFormat=P","Fill=—","Direction=H","UseDPDF=Y")</f>
        <v>-767</v>
      </c>
      <c r="AA22" s="12" cm="1">
        <f t="array" ref="AA22">_xll.BDH("DE US Equity","FIXED_INTANG_ASST_CHANGE","FQ3 2024","FQ3 2024","Currency=USD","Period=FQ","BEST_FPERIOD_OVERRIDE=FQ","FILING_STATUS=MR","SCALING_FORMAT=MLN","Sort=A","Dates=H","DateFormat=P","Fill=—","Direction=H","UseDPDF=Y")</f>
        <v>-680</v>
      </c>
      <c r="AB22" s="12" cm="1">
        <f t="array" ref="AB22">_xll.BDH("DE US Equity","FIXED_INTANG_ASST_CHANGE","FQ4 2024","FQ4 2024","Currency=USD","Period=FQ","BEST_FPERIOD_OVERRIDE=FQ","FILING_STATUS=MR","SCALING_FORMAT=MLN","Sort=A","Dates=H","DateFormat=P","Fill=—","Direction=H","UseDPDF=Y")</f>
        <v>-1116</v>
      </c>
      <c r="AC22" s="12" cm="1">
        <f t="array" ref="AC22">_xll.BDH("DE US Equity","FIXED_INTANG_ASST_CHANGE","FQ1 2025","FQ1 2025","Currency=USD","Period=FQ","BEST_FPERIOD_OVERRIDE=FQ","FILING_STATUS=MR","SCALING_FORMAT=MLN","Sort=A","Dates=H","DateFormat=P","Fill=—","Direction=H","UseDPDF=Y")</f>
        <v>-358</v>
      </c>
      <c r="AD22" s="12" cm="1">
        <f t="array" ref="AD22">_xll.BDH("DE US Equity","FIXED_INTANG_ASST_CHANGE","FQ2 2025","FQ2 2025","Currency=USD","Period=FQ","BEST_FPERIOD_OVERRIDE=FQ","FILING_STATUS=MR","SCALING_FORMAT=MLN","Sort=A","Dates=H","DateFormat=P","Fill=—","Direction=H","UseDPDF=Y")</f>
        <v>-450</v>
      </c>
      <c r="AE22" s="12" cm="1">
        <f t="array" ref="AE22">_xll.BDH("DE US Equity","FIXED_INTANG_ASST_CHANGE","FQ3 2025","FQ3 2025","Currency=USD","Period=FQ","BEST_FPERIOD_OVERRIDE=FQ","FILING_STATUS=MR","SCALING_FORMAT=MLN","Sort=A","Dates=H","DateFormat=P","Fill=—","Direction=H","UseDPDF=Y")</f>
        <v>-645</v>
      </c>
      <c r="AF22" s="12" cm="1">
        <f t="array" ref="AF22">_xll.BDH("DE US Equity","FIXED_INTANG_ASST_CHANGE","FQ4 2025","FQ4 2025","Currency=USD","Period=FQ","BEST_FPERIOD_OVERRIDE=FQ","FILING_STATUS=MR","SCALING_FORMAT=MLN","Sort=A","Dates=H","DateFormat=P","Fill=—","Direction=H","UseDPDF=Y")</f>
        <v>-858</v>
      </c>
    </row>
    <row r="23" spans="1:32" x14ac:dyDescent="0.25">
      <c r="A23" s="10" t="s">
        <v>94</v>
      </c>
      <c r="B23" s="10" t="s">
        <v>95</v>
      </c>
      <c r="C23" s="12" cm="1">
        <f t="array" ref="C23">_xll.BDH("DE US Equity","DISPOSAL_OF_FIXED_INTANG","FQ3 2018","FQ3 2018","Currency=USD","Period=FQ","BEST_FPERIOD_OVERRIDE=FQ","FILING_STATUS=MR","SCALING_FORMAT=MLN","Sort=A","Dates=H","DateFormat=P","Fill=—","Direction=H","UseDPDF=Y")</f>
        <v>367.4</v>
      </c>
      <c r="D23" s="12" cm="1">
        <f t="array" ref="D23">_xll.BDH("DE US Equity","DISPOSAL_OF_FIXED_INTANG","FQ4 2018","FQ4 2018","Currency=USD","Period=FQ","BEST_FPERIOD_OVERRIDE=FQ","FILING_STATUS=MR","SCALING_FORMAT=MLN","Sort=A","Dates=H","DateFormat=P","Fill=—","Direction=H","UseDPDF=Y")</f>
        <v>367</v>
      </c>
      <c r="E23" s="12" cm="1">
        <f t="array" ref="E23">_xll.BDH("DE US Equity","DISPOSAL_OF_FIXED_INTANG","FQ1 2019","FQ1 2019","Currency=USD","Period=FQ","BEST_FPERIOD_OVERRIDE=FQ","FILING_STATUS=MR","SCALING_FORMAT=MLN","Sort=A","Dates=H","DateFormat=P","Fill=—","Direction=H","UseDPDF=Y")</f>
        <v>371</v>
      </c>
      <c r="F23" s="12" cm="1">
        <f t="array" ref="F23">_xll.BDH("DE US Equity","DISPOSAL_OF_FIXED_INTANG","FQ2 2019","FQ2 2019","Currency=USD","Period=FQ","BEST_FPERIOD_OVERRIDE=FQ","FILING_STATUS=MR","SCALING_FORMAT=MLN","Sort=A","Dates=H","DateFormat=P","Fill=—","Direction=H","UseDPDF=Y")</f>
        <v>452.2</v>
      </c>
      <c r="G23" s="12" cm="1">
        <f t="array" ref="G23">_xll.BDH("DE US Equity","DISPOSAL_OF_FIXED_INTANG","FQ3 2019","FQ3 2019","Currency=USD","Period=FQ","BEST_FPERIOD_OVERRIDE=FQ","FILING_STATUS=MR","SCALING_FORMAT=MLN","Sort=A","Dates=H","DateFormat=P","Fill=—","Direction=H","UseDPDF=Y")</f>
        <v>348</v>
      </c>
      <c r="H23" s="12" cm="1">
        <f t="array" ref="H23">_xll.BDH("DE US Equity","DISPOSAL_OF_FIXED_INTANG","FQ4 2019","FQ4 2019","Currency=USD","Period=FQ","BEST_FPERIOD_OVERRIDE=FQ","FILING_STATUS=MR","SCALING_FORMAT=MLN","Sort=A","Dates=H","DateFormat=P","Fill=—","Direction=H","UseDPDF=Y")</f>
        <v>477</v>
      </c>
      <c r="I23" s="12" cm="1">
        <f t="array" ref="I23">_xll.BDH("DE US Equity","DISPOSAL_OF_FIXED_INTANG","FQ1 2020","FQ1 2020","Currency=USD","Period=FQ","BEST_FPERIOD_OVERRIDE=FQ","FILING_STATUS=MR","SCALING_FORMAT=MLN","Sort=A","Dates=H","DateFormat=P","Fill=—","Direction=H","UseDPDF=Y")</f>
        <v>426</v>
      </c>
      <c r="J23" s="12" cm="1">
        <f t="array" ref="J23">_xll.BDH("DE US Equity","DISPOSAL_OF_FIXED_INTANG","FQ2 2020","FQ2 2020","Currency=USD","Period=FQ","BEST_FPERIOD_OVERRIDE=FQ","FILING_STATUS=MR","SCALING_FORMAT=MLN","Sort=A","Dates=H","DateFormat=P","Fill=—","Direction=H","UseDPDF=Y")</f>
        <v>472</v>
      </c>
      <c r="K23" s="12" cm="1">
        <f t="array" ref="K23">_xll.BDH("DE US Equity","DISPOSAL_OF_FIXED_INTANG","FQ3 2020","FQ3 2020","Currency=USD","Period=FQ","BEST_FPERIOD_OVERRIDE=FQ","FILING_STATUS=MR","SCALING_FORMAT=MLN","Sort=A","Dates=H","DateFormat=P","Fill=—","Direction=H","UseDPDF=Y")</f>
        <v>412</v>
      </c>
      <c r="L23" s="12" cm="1">
        <f t="array" ref="L23">_xll.BDH("DE US Equity","DISPOSAL_OF_FIXED_INTANG","FQ4 2020","FQ4 2020","Currency=USD","Period=FQ","BEST_FPERIOD_OVERRIDE=FQ","FILING_STATUS=MR","SCALING_FORMAT=MLN","Sort=A","Dates=H","DateFormat=P","Fill=—","Direction=H","UseDPDF=Y")</f>
        <v>473</v>
      </c>
      <c r="M23" s="12" cm="1">
        <f t="array" ref="M23">_xll.BDH("DE US Equity","DISPOSAL_OF_FIXED_INTANG","FQ1 2021","FQ1 2021","Currency=USD","Period=FQ","BEST_FPERIOD_OVERRIDE=FQ","FILING_STATUS=MR","SCALING_FORMAT=MLN","Sort=A","Dates=H","DateFormat=P","Fill=—","Direction=H","UseDPDF=Y")</f>
        <v>460</v>
      </c>
      <c r="N23" s="12" cm="1">
        <f t="array" ref="N23">_xll.BDH("DE US Equity","DISPOSAL_OF_FIXED_INTANG","FQ2 2021","FQ2 2021","Currency=USD","Period=FQ","BEST_FPERIOD_OVERRIDE=FQ","FILING_STATUS=MR","SCALING_FORMAT=MLN","Sort=A","Dates=H","DateFormat=P","Fill=—","Direction=H","UseDPDF=Y")</f>
        <v>551</v>
      </c>
      <c r="O23" s="12" cm="1">
        <f t="array" ref="O23">_xll.BDH("DE US Equity","DISPOSAL_OF_FIXED_INTANG","FQ3 2021","FQ3 2021","Currency=USD","Period=FQ","BEST_FPERIOD_OVERRIDE=FQ","FILING_STATUS=MR","SCALING_FORMAT=MLN","Sort=A","Dates=H","DateFormat=P","Fill=—","Direction=H","UseDPDF=Y")</f>
        <v>499</v>
      </c>
      <c r="P23" s="12" cm="1">
        <f t="array" ref="P23">_xll.BDH("DE US Equity","DISPOSAL_OF_FIXED_INTANG","FQ4 2021","FQ4 2021","Currency=USD","Period=FQ","BEST_FPERIOD_OVERRIDE=FQ","FILING_STATUS=MR","SCALING_FORMAT=MLN","Sort=A","Dates=H","DateFormat=P","Fill=—","Direction=H","UseDPDF=Y")</f>
        <v>584</v>
      </c>
      <c r="Q23" s="12" cm="1">
        <f t="array" ref="Q23">_xll.BDH("DE US Equity","DISPOSAL_OF_FIXED_INTANG","FQ1 2022","FQ1 2022","Currency=USD","Period=FQ","BEST_FPERIOD_OVERRIDE=FQ","FILING_STATUS=MR","SCALING_FORMAT=MLN","Sort=A","Dates=H","DateFormat=P","Fill=—","Direction=H","UseDPDF=Y")</f>
        <v>479</v>
      </c>
      <c r="R23" s="12" cm="1">
        <f t="array" ref="R23">_xll.BDH("DE US Equity","DISPOSAL_OF_FIXED_INTANG","FQ2 2022","FQ2 2022","Currency=USD","Period=FQ","BEST_FPERIOD_OVERRIDE=FQ","FILING_STATUS=MR","SCALING_FORMAT=MLN","Sort=A","Dates=H","DateFormat=P","Fill=—","Direction=H","UseDPDF=Y")</f>
        <v>556</v>
      </c>
      <c r="S23" s="12" cm="1">
        <f t="array" ref="S23">_xll.BDH("DE US Equity","DISPOSAL_OF_FIXED_INTANG","FQ3 2022","FQ3 2022","Currency=USD","Period=FQ","BEST_FPERIOD_OVERRIDE=FQ","FILING_STATUS=MR","SCALING_FORMAT=MLN","Sort=A","Dates=H","DateFormat=P","Fill=—","Direction=H","UseDPDF=Y")</f>
        <v>466</v>
      </c>
      <c r="T23" s="12" cm="1">
        <f t="array" ref="T23">_xll.BDH("DE US Equity","DISPOSAL_OF_FIXED_INTANG","FQ4 2022","FQ4 2022","Currency=USD","Period=FQ","BEST_FPERIOD_OVERRIDE=FQ","FILING_STATUS=MR","SCALING_FORMAT=MLN","Sort=A","Dates=H","DateFormat=P","Fill=—","Direction=H","UseDPDF=Y")</f>
        <v>592</v>
      </c>
      <c r="U23" s="12" cm="1">
        <f t="array" ref="U23">_xll.BDH("DE US Equity","DISPOSAL_OF_FIXED_INTANG","FQ1 2023","FQ1 2023","Currency=USD","Period=FQ","BEST_FPERIOD_OVERRIDE=FQ","FILING_STATUS=MR","SCALING_FORMAT=MLN","Sort=A","Dates=H","DateFormat=P","Fill=—","Direction=H","UseDPDF=Y")</f>
        <v>497</v>
      </c>
      <c r="V23" s="12" cm="1">
        <f t="array" ref="V23">_xll.BDH("DE US Equity","DISPOSAL_OF_FIXED_INTANG","FQ2 2023","FQ2 2023","Currency=USD","Period=FQ","BEST_FPERIOD_OVERRIDE=FQ","FILING_STATUS=MR","SCALING_FORMAT=MLN","Sort=A","Dates=H","DateFormat=P","Fill=—","Direction=H","UseDPDF=Y")</f>
        <v>496</v>
      </c>
      <c r="W23" s="12" cm="1">
        <f t="array" ref="W23">_xll.BDH("DE US Equity","DISPOSAL_OF_FIXED_INTANG","FQ3 2023","FQ3 2023","Currency=USD","Period=FQ","BEST_FPERIOD_OVERRIDE=FQ","FILING_STATUS=MR","SCALING_FORMAT=MLN","Sort=A","Dates=H","DateFormat=P","Fill=—","Direction=H","UseDPDF=Y")</f>
        <v>452</v>
      </c>
      <c r="X23" s="12" cm="1">
        <f t="array" ref="X23">_xll.BDH("DE US Equity","DISPOSAL_OF_FIXED_INTANG","FQ4 2023","FQ4 2023","Currency=USD","Period=FQ","BEST_FPERIOD_OVERRIDE=FQ","FILING_STATUS=MR","SCALING_FORMAT=MLN","Sort=A","Dates=H","DateFormat=P","Fill=—","Direction=H","UseDPDF=Y")</f>
        <v>536</v>
      </c>
      <c r="Y23" s="12" cm="1">
        <f t="array" ref="Y23">_xll.BDH("DE US Equity","DISPOSAL_OF_FIXED_INTANG","FQ1 2024","FQ1 2024","Currency=USD","Period=FQ","BEST_FPERIOD_OVERRIDE=FQ","FILING_STATUS=MR","SCALING_FORMAT=MLN","Sort=A","Dates=H","DateFormat=P","Fill=—","Direction=H","UseDPDF=Y")</f>
        <v>506</v>
      </c>
      <c r="Z23" s="12" cm="1">
        <f t="array" ref="Z23">_xll.BDH("DE US Equity","DISPOSAL_OF_FIXED_INTANG","FQ2 2024","FQ2 2024","Currency=USD","Period=FQ","BEST_FPERIOD_OVERRIDE=FQ","FILING_STATUS=MR","SCALING_FORMAT=MLN","Sort=A","Dates=H","DateFormat=P","Fill=—","Direction=H","UseDPDF=Y")</f>
        <v>505</v>
      </c>
      <c r="AA23" s="12" cm="1">
        <f t="array" ref="AA23">_xll.BDH("DE US Equity","DISPOSAL_OF_FIXED_INTANG","FQ3 2024","FQ3 2024","Currency=USD","Period=FQ","BEST_FPERIOD_OVERRIDE=FQ","FILING_STATUS=MR","SCALING_FORMAT=MLN","Sort=A","Dates=H","DateFormat=P","Fill=—","Direction=H","UseDPDF=Y")</f>
        <v>440</v>
      </c>
      <c r="AB23" s="12" cm="1">
        <f t="array" ref="AB23">_xll.BDH("DE US Equity","DISPOSAL_OF_FIXED_INTANG","FQ4 2024","FQ4 2024","Currency=USD","Period=FQ","BEST_FPERIOD_OVERRIDE=FQ","FILING_STATUS=MR","SCALING_FORMAT=MLN","Sort=A","Dates=H","DateFormat=P","Fill=—","Direction=H","UseDPDF=Y")</f>
        <v>478</v>
      </c>
      <c r="AC23" s="12" cm="1">
        <f t="array" ref="AC23">_xll.BDH("DE US Equity","DISPOSAL_OF_FIXED_INTANG","FQ1 2025","FQ1 2025","Currency=USD","Period=FQ","BEST_FPERIOD_OVERRIDE=FQ","FILING_STATUS=MR","SCALING_FORMAT=MLN","Sort=A","Dates=H","DateFormat=P","Fill=—","Direction=H","UseDPDF=Y")</f>
        <v>433</v>
      </c>
      <c r="AD23" s="12" cm="1">
        <f t="array" ref="AD23">_xll.BDH("DE US Equity","DISPOSAL_OF_FIXED_INTANG","FQ2 2025","FQ2 2025","Currency=USD","Period=FQ","BEST_FPERIOD_OVERRIDE=FQ","FILING_STATUS=MR","SCALING_FORMAT=MLN","Sort=A","Dates=H","DateFormat=P","Fill=—","Direction=H","UseDPDF=Y")</f>
        <v>568</v>
      </c>
      <c r="AE23" s="12" cm="1">
        <f t="array" ref="AE23">_xll.BDH("DE US Equity","DISPOSAL_OF_FIXED_INTANG","FQ3 2025","FQ3 2025","Currency=USD","Period=FQ","BEST_FPERIOD_OVERRIDE=FQ","FILING_STATUS=MR","SCALING_FORMAT=MLN","Sort=A","Dates=H","DateFormat=P","Fill=—","Direction=H","UseDPDF=Y")</f>
        <v>407</v>
      </c>
      <c r="AF23" s="12" cm="1">
        <f t="array" ref="AF23">_xll.BDH("DE US Equity","DISPOSAL_OF_FIXED_INTANG","FQ4 2025","FQ4 2025","Currency=USD","Period=FQ","BEST_FPERIOD_OVERRIDE=FQ","FILING_STATUS=MR","SCALING_FORMAT=MLN","Sort=A","Dates=H","DateFormat=P","Fill=—","Direction=H","UseDPDF=Y")</f>
        <v>509</v>
      </c>
    </row>
    <row r="24" spans="1:32" x14ac:dyDescent="0.25">
      <c r="A24" s="11" t="s">
        <v>96</v>
      </c>
      <c r="B24" s="11" t="s">
        <v>97</v>
      </c>
      <c r="C24" s="16" cm="1">
        <f t="array" ref="C24">_xll.BDH("DE US Equity","CF_DISPOSAL_OF_FIXED_PROD_ASSETS","FQ3 2018","FQ3 2018","Currency=USD","Period=FQ","BEST_FPERIOD_OVERRIDE=FQ","FILING_STATUS=MR","SCALING_FORMAT=MLN","Sort=A","Dates=H","DateFormat=P","Fill=—","Direction=H","UseDPDF=Y")</f>
        <v>367.4</v>
      </c>
      <c r="D24" s="16" cm="1">
        <f t="array" ref="D24">_xll.BDH("DE US Equity","CF_DISPOSAL_OF_FIXED_PROD_ASSETS","FQ4 2018","FQ4 2018","Currency=USD","Period=FQ","BEST_FPERIOD_OVERRIDE=FQ","FILING_STATUS=MR","SCALING_FORMAT=MLN","Sort=A","Dates=H","DateFormat=P","Fill=—","Direction=H","UseDPDF=Y")</f>
        <v>367</v>
      </c>
      <c r="E24" s="16" cm="1">
        <f t="array" ref="E24">_xll.BDH("DE US Equity","CF_DISPOSAL_OF_FIXED_PROD_ASSETS","FQ1 2019","FQ1 2019","Currency=USD","Period=FQ","BEST_FPERIOD_OVERRIDE=FQ","FILING_STATUS=MR","SCALING_FORMAT=MLN","Sort=A","Dates=H","DateFormat=P","Fill=—","Direction=H","UseDPDF=Y")</f>
        <v>371</v>
      </c>
      <c r="F24" s="16" cm="1">
        <f t="array" ref="F24">_xll.BDH("DE US Equity","CF_DISPOSAL_OF_FIXED_PROD_ASSETS","FQ2 2019","FQ2 2019","Currency=USD","Period=FQ","BEST_FPERIOD_OVERRIDE=FQ","FILING_STATUS=MR","SCALING_FORMAT=MLN","Sort=A","Dates=H","DateFormat=P","Fill=—","Direction=H","UseDPDF=Y")</f>
        <v>452.2</v>
      </c>
      <c r="G24" s="16" cm="1">
        <f t="array" ref="G24">_xll.BDH("DE US Equity","CF_DISPOSAL_OF_FIXED_PROD_ASSETS","FQ3 2019","FQ3 2019","Currency=USD","Period=FQ","BEST_FPERIOD_OVERRIDE=FQ","FILING_STATUS=MR","SCALING_FORMAT=MLN","Sort=A","Dates=H","DateFormat=P","Fill=—","Direction=H","UseDPDF=Y")</f>
        <v>348</v>
      </c>
      <c r="H24" s="16" cm="1">
        <f t="array" ref="H24">_xll.BDH("DE US Equity","CF_DISPOSAL_OF_FIXED_PROD_ASSETS","FQ4 2019","FQ4 2019","Currency=USD","Period=FQ","BEST_FPERIOD_OVERRIDE=FQ","FILING_STATUS=MR","SCALING_FORMAT=MLN","Sort=A","Dates=H","DateFormat=P","Fill=—","Direction=H","UseDPDF=Y")</f>
        <v>477</v>
      </c>
      <c r="I24" s="16" cm="1">
        <f t="array" ref="I24">_xll.BDH("DE US Equity","CF_DISPOSAL_OF_FIXED_PROD_ASSETS","FQ1 2020","FQ1 2020","Currency=USD","Period=FQ","BEST_FPERIOD_OVERRIDE=FQ","FILING_STATUS=MR","SCALING_FORMAT=MLN","Sort=A","Dates=H","DateFormat=P","Fill=—","Direction=H","UseDPDF=Y")</f>
        <v>426</v>
      </c>
      <c r="J24" s="16" cm="1">
        <f t="array" ref="J24">_xll.BDH("DE US Equity","CF_DISPOSAL_OF_FIXED_PROD_ASSETS","FQ2 2020","FQ2 2020","Currency=USD","Period=FQ","BEST_FPERIOD_OVERRIDE=FQ","FILING_STATUS=MR","SCALING_FORMAT=MLN","Sort=A","Dates=H","DateFormat=P","Fill=—","Direction=H","UseDPDF=Y")</f>
        <v>472</v>
      </c>
      <c r="K24" s="16" cm="1">
        <f t="array" ref="K24">_xll.BDH("DE US Equity","CF_DISPOSAL_OF_FIXED_PROD_ASSETS","FQ3 2020","FQ3 2020","Currency=USD","Period=FQ","BEST_FPERIOD_OVERRIDE=FQ","FILING_STATUS=MR","SCALING_FORMAT=MLN","Sort=A","Dates=H","DateFormat=P","Fill=—","Direction=H","UseDPDF=Y")</f>
        <v>412</v>
      </c>
      <c r="L24" s="16" cm="1">
        <f t="array" ref="L24">_xll.BDH("DE US Equity","CF_DISPOSAL_OF_FIXED_PROD_ASSETS","FQ4 2020","FQ4 2020","Currency=USD","Period=FQ","BEST_FPERIOD_OVERRIDE=FQ","FILING_STATUS=MR","SCALING_FORMAT=MLN","Sort=A","Dates=H","DateFormat=P","Fill=—","Direction=H","UseDPDF=Y")</f>
        <v>473</v>
      </c>
      <c r="M24" s="16" cm="1">
        <f t="array" ref="M24">_xll.BDH("DE US Equity","CF_DISPOSAL_OF_FIXED_PROD_ASSETS","FQ1 2021","FQ1 2021","Currency=USD","Period=FQ","BEST_FPERIOD_OVERRIDE=FQ","FILING_STATUS=MR","SCALING_FORMAT=MLN","Sort=A","Dates=H","DateFormat=P","Fill=—","Direction=H","UseDPDF=Y")</f>
        <v>460</v>
      </c>
      <c r="N24" s="16" cm="1">
        <f t="array" ref="N24">_xll.BDH("DE US Equity","CF_DISPOSAL_OF_FIXED_PROD_ASSETS","FQ2 2021","FQ2 2021","Currency=USD","Period=FQ","BEST_FPERIOD_OVERRIDE=FQ","FILING_STATUS=MR","SCALING_FORMAT=MLN","Sort=A","Dates=H","DateFormat=P","Fill=—","Direction=H","UseDPDF=Y")</f>
        <v>551</v>
      </c>
      <c r="O24" s="16" cm="1">
        <f t="array" ref="O24">_xll.BDH("DE US Equity","CF_DISPOSAL_OF_FIXED_PROD_ASSETS","FQ3 2021","FQ3 2021","Currency=USD","Period=FQ","BEST_FPERIOD_OVERRIDE=FQ","FILING_STATUS=MR","SCALING_FORMAT=MLN","Sort=A","Dates=H","DateFormat=P","Fill=—","Direction=H","UseDPDF=Y")</f>
        <v>499</v>
      </c>
      <c r="P24" s="16" cm="1">
        <f t="array" ref="P24">_xll.BDH("DE US Equity","CF_DISPOSAL_OF_FIXED_PROD_ASSETS","FQ4 2021","FQ4 2021","Currency=USD","Period=FQ","BEST_FPERIOD_OVERRIDE=FQ","FILING_STATUS=MR","SCALING_FORMAT=MLN","Sort=A","Dates=H","DateFormat=P","Fill=—","Direction=H","UseDPDF=Y")</f>
        <v>584</v>
      </c>
      <c r="Q24" s="16" cm="1">
        <f t="array" ref="Q24">_xll.BDH("DE US Equity","CF_DISPOSAL_OF_FIXED_PROD_ASSETS","FQ1 2022","FQ1 2022","Currency=USD","Period=FQ","BEST_FPERIOD_OVERRIDE=FQ","FILING_STATUS=MR","SCALING_FORMAT=MLN","Sort=A","Dates=H","DateFormat=P","Fill=—","Direction=H","UseDPDF=Y")</f>
        <v>479</v>
      </c>
      <c r="R24" s="16" cm="1">
        <f t="array" ref="R24">_xll.BDH("DE US Equity","CF_DISPOSAL_OF_FIXED_PROD_ASSETS","FQ2 2022","FQ2 2022","Currency=USD","Period=FQ","BEST_FPERIOD_OVERRIDE=FQ","FILING_STATUS=MR","SCALING_FORMAT=MLN","Sort=A","Dates=H","DateFormat=P","Fill=—","Direction=H","UseDPDF=Y")</f>
        <v>556</v>
      </c>
      <c r="S24" s="16" cm="1">
        <f t="array" ref="S24">_xll.BDH("DE US Equity","CF_DISPOSAL_OF_FIXED_PROD_ASSETS","FQ3 2022","FQ3 2022","Currency=USD","Period=FQ","BEST_FPERIOD_OVERRIDE=FQ","FILING_STATUS=MR","SCALING_FORMAT=MLN","Sort=A","Dates=H","DateFormat=P","Fill=—","Direction=H","UseDPDF=Y")</f>
        <v>466</v>
      </c>
      <c r="T24" s="16" cm="1">
        <f t="array" ref="T24">_xll.BDH("DE US Equity","CF_DISPOSAL_OF_FIXED_PROD_ASSETS","FQ4 2022","FQ4 2022","Currency=USD","Period=FQ","BEST_FPERIOD_OVERRIDE=FQ","FILING_STATUS=MR","SCALING_FORMAT=MLN","Sort=A","Dates=H","DateFormat=P","Fill=—","Direction=H","UseDPDF=Y")</f>
        <v>592</v>
      </c>
      <c r="U24" s="16" cm="1">
        <f t="array" ref="U24">_xll.BDH("DE US Equity","CF_DISPOSAL_OF_FIXED_PROD_ASSETS","FQ1 2023","FQ1 2023","Currency=USD","Period=FQ","BEST_FPERIOD_OVERRIDE=FQ","FILING_STATUS=MR","SCALING_FORMAT=MLN","Sort=A","Dates=H","DateFormat=P","Fill=—","Direction=H","UseDPDF=Y")</f>
        <v>497</v>
      </c>
      <c r="V24" s="16" cm="1">
        <f t="array" ref="V24">_xll.BDH("DE US Equity","CF_DISPOSAL_OF_FIXED_PROD_ASSETS","FQ2 2023","FQ2 2023","Currency=USD","Period=FQ","BEST_FPERIOD_OVERRIDE=FQ","FILING_STATUS=MR","SCALING_FORMAT=MLN","Sort=A","Dates=H","DateFormat=P","Fill=—","Direction=H","UseDPDF=Y")</f>
        <v>496</v>
      </c>
      <c r="W24" s="16" cm="1">
        <f t="array" ref="W24">_xll.BDH("DE US Equity","CF_DISPOSAL_OF_FIXED_PROD_ASSETS","FQ3 2023","FQ3 2023","Currency=USD","Period=FQ","BEST_FPERIOD_OVERRIDE=FQ","FILING_STATUS=MR","SCALING_FORMAT=MLN","Sort=A","Dates=H","DateFormat=P","Fill=—","Direction=H","UseDPDF=Y")</f>
        <v>452</v>
      </c>
      <c r="X24" s="16" cm="1">
        <f t="array" ref="X24">_xll.BDH("DE US Equity","CF_DISPOSAL_OF_FIXED_PROD_ASSETS","FQ4 2023","FQ4 2023","Currency=USD","Period=FQ","BEST_FPERIOD_OVERRIDE=FQ","FILING_STATUS=MR","SCALING_FORMAT=MLN","Sort=A","Dates=H","DateFormat=P","Fill=—","Direction=H","UseDPDF=Y")</f>
        <v>536</v>
      </c>
      <c r="Y24" s="16" cm="1">
        <f t="array" ref="Y24">_xll.BDH("DE US Equity","CF_DISPOSAL_OF_FIXED_PROD_ASSETS","FQ1 2024","FQ1 2024","Currency=USD","Period=FQ","BEST_FPERIOD_OVERRIDE=FQ","FILING_STATUS=MR","SCALING_FORMAT=MLN","Sort=A","Dates=H","DateFormat=P","Fill=—","Direction=H","UseDPDF=Y")</f>
        <v>506</v>
      </c>
      <c r="Z24" s="16" cm="1">
        <f t="array" ref="Z24">_xll.BDH("DE US Equity","CF_DISPOSAL_OF_FIXED_PROD_ASSETS","FQ2 2024","FQ2 2024","Currency=USD","Period=FQ","BEST_FPERIOD_OVERRIDE=FQ","FILING_STATUS=MR","SCALING_FORMAT=MLN","Sort=A","Dates=H","DateFormat=P","Fill=—","Direction=H","UseDPDF=Y")</f>
        <v>505</v>
      </c>
      <c r="AA24" s="16" cm="1">
        <f t="array" ref="AA24">_xll.BDH("DE US Equity","CF_DISPOSAL_OF_FIXED_PROD_ASSETS","FQ3 2024","FQ3 2024","Currency=USD","Period=FQ","BEST_FPERIOD_OVERRIDE=FQ","FILING_STATUS=MR","SCALING_FORMAT=MLN","Sort=A","Dates=H","DateFormat=P","Fill=—","Direction=H","UseDPDF=Y")</f>
        <v>440</v>
      </c>
      <c r="AB24" s="16" cm="1">
        <f t="array" ref="AB24">_xll.BDH("DE US Equity","CF_DISPOSAL_OF_FIXED_PROD_ASSETS","FQ4 2024","FQ4 2024","Currency=USD","Period=FQ","BEST_FPERIOD_OVERRIDE=FQ","FILING_STATUS=MR","SCALING_FORMAT=MLN","Sort=A","Dates=H","DateFormat=P","Fill=—","Direction=H","UseDPDF=Y")</f>
        <v>478</v>
      </c>
      <c r="AC24" s="16" cm="1">
        <f t="array" ref="AC24">_xll.BDH("DE US Equity","CF_DISPOSAL_OF_FIXED_PROD_ASSETS","FQ1 2025","FQ1 2025","Currency=USD","Period=FQ","BEST_FPERIOD_OVERRIDE=FQ","FILING_STATUS=MR","SCALING_FORMAT=MLN","Sort=A","Dates=H","DateFormat=P","Fill=—","Direction=H","UseDPDF=Y")</f>
        <v>433</v>
      </c>
      <c r="AD24" s="16" cm="1">
        <f t="array" ref="AD24">_xll.BDH("DE US Equity","CF_DISPOSAL_OF_FIXED_PROD_ASSETS","FQ2 2025","FQ2 2025","Currency=USD","Period=FQ","BEST_FPERIOD_OVERRIDE=FQ","FILING_STATUS=MR","SCALING_FORMAT=MLN","Sort=A","Dates=H","DateFormat=P","Fill=—","Direction=H","UseDPDF=Y")</f>
        <v>568</v>
      </c>
      <c r="AE24" s="16" cm="1">
        <f t="array" ref="AE24">_xll.BDH("DE US Equity","CF_DISPOSAL_OF_FIXED_PROD_ASSETS","FQ3 2025","FQ3 2025","Currency=USD","Period=FQ","BEST_FPERIOD_OVERRIDE=FQ","FILING_STATUS=MR","SCALING_FORMAT=MLN","Sort=A","Dates=H","DateFormat=P","Fill=—","Direction=H","UseDPDF=Y")</f>
        <v>407</v>
      </c>
      <c r="AF24" s="16" cm="1">
        <f t="array" ref="AF24">_xll.BDH("DE US Equity","CF_DISPOSAL_OF_FIXED_PROD_ASSETS","FQ4 2025","FQ4 2025","Currency=USD","Period=FQ","BEST_FPERIOD_OVERRIDE=FQ","FILING_STATUS=MR","SCALING_FORMAT=MLN","Sort=A","Dates=H","DateFormat=P","Fill=—","Direction=H","UseDPDF=Y")</f>
        <v>509</v>
      </c>
    </row>
    <row r="25" spans="1:32" x14ac:dyDescent="0.25">
      <c r="A25" s="11" t="s">
        <v>98</v>
      </c>
      <c r="B25" s="11" t="s">
        <v>99</v>
      </c>
      <c r="C25" s="16" cm="1">
        <f t="array" ref="C25">_xll.BDH("DE US Equity","CF_DISPOSAL_OF_INTANGIBLE_ASSETS","FQ3 2018","FQ3 2018","Currency=USD","Period=FQ","BEST_FPERIOD_OVERRIDE=FQ","FILING_STATUS=MR","SCALING_FORMAT=MLN","Sort=A","Dates=H","DateFormat=P","Fill=—","Direction=H","UseDPDF=Y")</f>
        <v>0</v>
      </c>
      <c r="D25" s="16" cm="1">
        <f t="array" ref="D25">_xll.BDH("DE US Equity","CF_DISPOSAL_OF_INTANGIBLE_ASSETS","FQ4 2018","FQ4 2018","Currency=USD","Period=FQ","BEST_FPERIOD_OVERRIDE=FQ","FILING_STATUS=MR","SCALING_FORMAT=MLN","Sort=A","Dates=H","DateFormat=P","Fill=—","Direction=H","UseDPDF=Y")</f>
        <v>0</v>
      </c>
      <c r="E25" s="16" cm="1">
        <f t="array" ref="E25">_xll.BDH("DE US Equity","CF_DISPOSAL_OF_INTANGIBLE_ASSETS","FQ1 2019","FQ1 2019","Currency=USD","Period=FQ","BEST_FPERIOD_OVERRIDE=FQ","FILING_STATUS=MR","SCALING_FORMAT=MLN","Sort=A","Dates=H","DateFormat=P","Fill=—","Direction=H","UseDPDF=Y")</f>
        <v>0</v>
      </c>
      <c r="F25" s="16" cm="1">
        <f t="array" ref="F25">_xll.BDH("DE US Equity","CF_DISPOSAL_OF_INTANGIBLE_ASSETS","FQ2 2019","FQ2 2019","Currency=USD","Period=FQ","BEST_FPERIOD_OVERRIDE=FQ","FILING_STATUS=MR","SCALING_FORMAT=MLN","Sort=A","Dates=H","DateFormat=P","Fill=—","Direction=H","UseDPDF=Y")</f>
        <v>0</v>
      </c>
      <c r="G25" s="16" cm="1">
        <f t="array" ref="G25">_xll.BDH("DE US Equity","CF_DISPOSAL_OF_INTANGIBLE_ASSETS","FQ3 2019","FQ3 2019","Currency=USD","Period=FQ","BEST_FPERIOD_OVERRIDE=FQ","FILING_STATUS=MR","SCALING_FORMAT=MLN","Sort=A","Dates=H","DateFormat=P","Fill=—","Direction=H","UseDPDF=Y")</f>
        <v>0</v>
      </c>
      <c r="H25" s="16" cm="1">
        <f t="array" ref="H25">_xll.BDH("DE US Equity","CF_DISPOSAL_OF_INTANGIBLE_ASSETS","FQ4 2019","FQ4 2019","Currency=USD","Period=FQ","BEST_FPERIOD_OVERRIDE=FQ","FILING_STATUS=MR","SCALING_FORMAT=MLN","Sort=A","Dates=H","DateFormat=P","Fill=—","Direction=H","UseDPDF=Y")</f>
        <v>0</v>
      </c>
      <c r="I25" s="16" cm="1">
        <f t="array" ref="I25">_xll.BDH("DE US Equity","CF_DISPOSAL_OF_INTANGIBLE_ASSETS","FQ1 2020","FQ1 2020","Currency=USD","Period=FQ","BEST_FPERIOD_OVERRIDE=FQ","FILING_STATUS=MR","SCALING_FORMAT=MLN","Sort=A","Dates=H","DateFormat=P","Fill=—","Direction=H","UseDPDF=Y")</f>
        <v>0</v>
      </c>
      <c r="J25" s="16" cm="1">
        <f t="array" ref="J25">_xll.BDH("DE US Equity","CF_DISPOSAL_OF_INTANGIBLE_ASSETS","FQ2 2020","FQ2 2020","Currency=USD","Period=FQ","BEST_FPERIOD_OVERRIDE=FQ","FILING_STATUS=MR","SCALING_FORMAT=MLN","Sort=A","Dates=H","DateFormat=P","Fill=—","Direction=H","UseDPDF=Y")</f>
        <v>0</v>
      </c>
      <c r="K25" s="16" cm="1">
        <f t="array" ref="K25">_xll.BDH("DE US Equity","CF_DISPOSAL_OF_INTANGIBLE_ASSETS","FQ3 2020","FQ3 2020","Currency=USD","Period=FQ","BEST_FPERIOD_OVERRIDE=FQ","FILING_STATUS=MR","SCALING_FORMAT=MLN","Sort=A","Dates=H","DateFormat=P","Fill=—","Direction=H","UseDPDF=Y")</f>
        <v>0</v>
      </c>
      <c r="L25" s="16" cm="1">
        <f t="array" ref="L25">_xll.BDH("DE US Equity","CF_DISPOSAL_OF_INTANGIBLE_ASSETS","FQ4 2020","FQ4 2020","Currency=USD","Period=FQ","BEST_FPERIOD_OVERRIDE=FQ","FILING_STATUS=MR","SCALING_FORMAT=MLN","Sort=A","Dates=H","DateFormat=P","Fill=—","Direction=H","UseDPDF=Y")</f>
        <v>0</v>
      </c>
      <c r="M25" s="16" cm="1">
        <f t="array" ref="M25">_xll.BDH("DE US Equity","CF_DISPOSAL_OF_INTANGIBLE_ASSETS","FQ1 2021","FQ1 2021","Currency=USD","Period=FQ","BEST_FPERIOD_OVERRIDE=FQ","FILING_STATUS=MR","SCALING_FORMAT=MLN","Sort=A","Dates=H","DateFormat=P","Fill=—","Direction=H","UseDPDF=Y")</f>
        <v>0</v>
      </c>
      <c r="N25" s="16" cm="1">
        <f t="array" ref="N25">_xll.BDH("DE US Equity","CF_DISPOSAL_OF_INTANGIBLE_ASSETS","FQ2 2021","FQ2 2021","Currency=USD","Period=FQ","BEST_FPERIOD_OVERRIDE=FQ","FILING_STATUS=MR","SCALING_FORMAT=MLN","Sort=A","Dates=H","DateFormat=P","Fill=—","Direction=H","UseDPDF=Y")</f>
        <v>0</v>
      </c>
      <c r="O25" s="16" cm="1">
        <f t="array" ref="O25">_xll.BDH("DE US Equity","CF_DISPOSAL_OF_INTANGIBLE_ASSETS","FQ3 2021","FQ3 2021","Currency=USD","Period=FQ","BEST_FPERIOD_OVERRIDE=FQ","FILING_STATUS=MR","SCALING_FORMAT=MLN","Sort=A","Dates=H","DateFormat=P","Fill=—","Direction=H","UseDPDF=Y")</f>
        <v>0</v>
      </c>
      <c r="P25" s="16" cm="1">
        <f t="array" ref="P25">_xll.BDH("DE US Equity","CF_DISPOSAL_OF_INTANGIBLE_ASSETS","FQ4 2021","FQ4 2021","Currency=USD","Period=FQ","BEST_FPERIOD_OVERRIDE=FQ","FILING_STATUS=MR","SCALING_FORMAT=MLN","Sort=A","Dates=H","DateFormat=P","Fill=—","Direction=H","UseDPDF=Y")</f>
        <v>0</v>
      </c>
      <c r="Q25" s="16" cm="1">
        <f t="array" ref="Q25">_xll.BDH("DE US Equity","CF_DISPOSAL_OF_INTANGIBLE_ASSETS","FQ1 2022","FQ1 2022","Currency=USD","Period=FQ","BEST_FPERIOD_OVERRIDE=FQ","FILING_STATUS=MR","SCALING_FORMAT=MLN","Sort=A","Dates=H","DateFormat=P","Fill=—","Direction=H","UseDPDF=Y")</f>
        <v>0</v>
      </c>
      <c r="R25" s="16" cm="1">
        <f t="array" ref="R25">_xll.BDH("DE US Equity","CF_DISPOSAL_OF_INTANGIBLE_ASSETS","FQ2 2022","FQ2 2022","Currency=USD","Period=FQ","BEST_FPERIOD_OVERRIDE=FQ","FILING_STATUS=MR","SCALING_FORMAT=MLN","Sort=A","Dates=H","DateFormat=P","Fill=—","Direction=H","UseDPDF=Y")</f>
        <v>0</v>
      </c>
      <c r="S25" s="16" cm="1">
        <f t="array" ref="S25">_xll.BDH("DE US Equity","CF_DISPOSAL_OF_INTANGIBLE_ASSETS","FQ3 2022","FQ3 2022","Currency=USD","Period=FQ","BEST_FPERIOD_OVERRIDE=FQ","FILING_STATUS=MR","SCALING_FORMAT=MLN","Sort=A","Dates=H","DateFormat=P","Fill=—","Direction=H","UseDPDF=Y")</f>
        <v>0</v>
      </c>
      <c r="T25" s="16" cm="1">
        <f t="array" ref="T25">_xll.BDH("DE US Equity","CF_DISPOSAL_OF_INTANGIBLE_ASSETS","FQ4 2022","FQ4 2022","Currency=USD","Period=FQ","BEST_FPERIOD_OVERRIDE=FQ","FILING_STATUS=MR","SCALING_FORMAT=MLN","Sort=A","Dates=H","DateFormat=P","Fill=—","Direction=H","UseDPDF=Y")</f>
        <v>0</v>
      </c>
      <c r="U25" s="16" cm="1">
        <f t="array" ref="U25">_xll.BDH("DE US Equity","CF_DISPOSAL_OF_INTANGIBLE_ASSETS","FQ1 2023","FQ1 2023","Currency=USD","Period=FQ","BEST_FPERIOD_OVERRIDE=FQ","FILING_STATUS=MR","SCALING_FORMAT=MLN","Sort=A","Dates=H","DateFormat=P","Fill=—","Direction=H","UseDPDF=Y")</f>
        <v>0</v>
      </c>
      <c r="V25" s="16" cm="1">
        <f t="array" ref="V25">_xll.BDH("DE US Equity","CF_DISPOSAL_OF_INTANGIBLE_ASSETS","FQ2 2023","FQ2 2023","Currency=USD","Period=FQ","BEST_FPERIOD_OVERRIDE=FQ","FILING_STATUS=MR","SCALING_FORMAT=MLN","Sort=A","Dates=H","DateFormat=P","Fill=—","Direction=H","UseDPDF=Y")</f>
        <v>0</v>
      </c>
      <c r="W25" s="16" cm="1">
        <f t="array" ref="W25">_xll.BDH("DE US Equity","CF_DISPOSAL_OF_INTANGIBLE_ASSETS","FQ3 2023","FQ3 2023","Currency=USD","Period=FQ","BEST_FPERIOD_OVERRIDE=FQ","FILING_STATUS=MR","SCALING_FORMAT=MLN","Sort=A","Dates=H","DateFormat=P","Fill=—","Direction=H","UseDPDF=Y")</f>
        <v>0</v>
      </c>
      <c r="X25" s="16" cm="1">
        <f t="array" ref="X25">_xll.BDH("DE US Equity","CF_DISPOSAL_OF_INTANGIBLE_ASSETS","FQ4 2023","FQ4 2023","Currency=USD","Period=FQ","BEST_FPERIOD_OVERRIDE=FQ","FILING_STATUS=MR","SCALING_FORMAT=MLN","Sort=A","Dates=H","DateFormat=P","Fill=—","Direction=H","UseDPDF=Y")</f>
        <v>0</v>
      </c>
      <c r="Y25" s="16" cm="1">
        <f t="array" ref="Y25">_xll.BDH("DE US Equity","CF_DISPOSAL_OF_INTANGIBLE_ASSETS","FQ1 2024","FQ1 2024","Currency=USD","Period=FQ","BEST_FPERIOD_OVERRIDE=FQ","FILING_STATUS=MR","SCALING_FORMAT=MLN","Sort=A","Dates=H","DateFormat=P","Fill=—","Direction=H","UseDPDF=Y")</f>
        <v>0</v>
      </c>
      <c r="Z25" s="16" cm="1">
        <f t="array" ref="Z25">_xll.BDH("DE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A25" s="16" cm="1">
        <f t="array" ref="AA25">_xll.BDH("DE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B25" s="16" cm="1">
        <f t="array" ref="AB25">_xll.BDH("DE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C25" s="16" cm="1">
        <f t="array" ref="AC25">_xll.BDH("DE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D25" s="16" cm="1">
        <f t="array" ref="AD25">_xll.BDH("DE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E25" s="16" cm="1">
        <f t="array" ref="AE25">_xll.BDH("DE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F25" s="16" cm="1">
        <f t="array" ref="AF25">_xll.BDH("DE US Equity","CF_DISPOSAL_OF_INTANGIBLE_ASSETS","FQ4 2025","FQ4 2025","Currency=USD","Period=FQ","BEST_FPERIOD_OVERRIDE=FQ","FILING_STATUS=MR","SCALING_FORMAT=MLN","Sort=A","Dates=H","DateFormat=P","Fill=—","Direction=H","UseDPDF=Y")</f>
        <v>0</v>
      </c>
    </row>
    <row r="26" spans="1:32" x14ac:dyDescent="0.25">
      <c r="A26" s="10" t="s">
        <v>100</v>
      </c>
      <c r="B26" s="10" t="s">
        <v>101</v>
      </c>
      <c r="C26" s="12" cm="1">
        <f t="array" ref="C26">_xll.BDH("DE US Equity","ACQUIS_OF_FIXED_INTANG","FQ3 2018","FQ3 2018","Currency=USD","Period=FQ","BEST_FPERIOD_OVERRIDE=FQ","FILING_STATUS=MR","SCALING_FORMAT=MLN","Sort=A","Dates=H","DateFormat=P","Fill=—","Direction=H","UseDPDF=Y")</f>
        <v>-720.3</v>
      </c>
      <c r="D26" s="12" cm="1">
        <f t="array" ref="D26">_xll.BDH("DE US Equity","ACQUIS_OF_FIXED_INTANG","FQ4 2018","FQ4 2018","Currency=USD","Period=FQ","BEST_FPERIOD_OVERRIDE=FQ","FILING_STATUS=MR","SCALING_FORMAT=MLN","Sort=A","Dates=H","DateFormat=P","Fill=—","Direction=H","UseDPDF=Y")</f>
        <v>-951</v>
      </c>
      <c r="E26" s="12" cm="1">
        <f t="array" ref="E26">_xll.BDH("DE US Equity","ACQUIS_OF_FIXED_INTANG","FQ1 2019","FQ1 2019","Currency=USD","Period=FQ","BEST_FPERIOD_OVERRIDE=FQ","FILING_STATUS=MR","SCALING_FORMAT=MLN","Sort=A","Dates=H","DateFormat=P","Fill=—","Direction=H","UseDPDF=Y")</f>
        <v>-658</v>
      </c>
      <c r="F26" s="12" cm="1">
        <f t="array" ref="F26">_xll.BDH("DE US Equity","ACQUIS_OF_FIXED_INTANG","FQ2 2019","FQ2 2019","Currency=USD","Period=FQ","BEST_FPERIOD_OVERRIDE=FQ","FILING_STATUS=MR","SCALING_FORMAT=MLN","Sort=A","Dates=H","DateFormat=P","Fill=—","Direction=H","UseDPDF=Y")</f>
        <v>-756.2</v>
      </c>
      <c r="G26" s="12" cm="1">
        <f t="array" ref="G26">_xll.BDH("DE US Equity","ACQUIS_OF_FIXED_INTANG","FQ3 2019","FQ3 2019","Currency=USD","Period=FQ","BEST_FPERIOD_OVERRIDE=FQ","FILING_STATUS=MR","SCALING_FORMAT=MLN","Sort=A","Dates=H","DateFormat=P","Fill=—","Direction=H","UseDPDF=Y")</f>
        <v>-803</v>
      </c>
      <c r="H26" s="12" cm="1">
        <f t="array" ref="H26">_xll.BDH("DE US Equity","ACQUIS_OF_FIXED_INTANG","FQ4 2019","FQ4 2019","Currency=USD","Period=FQ","BEST_FPERIOD_OVERRIDE=FQ","FILING_STATUS=MR","SCALING_FORMAT=MLN","Sort=A","Dates=H","DateFormat=P","Fill=—","Direction=H","UseDPDF=Y")</f>
        <v>-1231</v>
      </c>
      <c r="I26" s="12" cm="1">
        <f t="array" ref="I26">_xll.BDH("DE US Equity","ACQUIS_OF_FIXED_INTANG","FQ1 2020","FQ1 2020","Currency=USD","Period=FQ","BEST_FPERIOD_OVERRIDE=FQ","FILING_STATUS=MR","SCALING_FORMAT=MLN","Sort=A","Dates=H","DateFormat=P","Fill=—","Direction=H","UseDPDF=Y")</f>
        <v>-788</v>
      </c>
      <c r="J26" s="12" cm="1">
        <f t="array" ref="J26">_xll.BDH("DE US Equity","ACQUIS_OF_FIXED_INTANG","FQ2 2020","FQ2 2020","Currency=USD","Period=FQ","BEST_FPERIOD_OVERRIDE=FQ","FILING_STATUS=MR","SCALING_FORMAT=MLN","Sort=A","Dates=H","DateFormat=P","Fill=—","Direction=H","UseDPDF=Y")</f>
        <v>-613</v>
      </c>
      <c r="K26" s="12" cm="1">
        <f t="array" ref="K26">_xll.BDH("DE US Equity","ACQUIS_OF_FIXED_INTANG","FQ3 2020","FQ3 2020","Currency=USD","Period=FQ","BEST_FPERIOD_OVERRIDE=FQ","FILING_STATUS=MR","SCALING_FORMAT=MLN","Sort=A","Dates=H","DateFormat=P","Fill=—","Direction=H","UseDPDF=Y")</f>
        <v>-505</v>
      </c>
      <c r="L26" s="12" cm="1">
        <f t="array" ref="L26">_xll.BDH("DE US Equity","ACQUIS_OF_FIXED_INTANG","FQ4 2020","FQ4 2020","Currency=USD","Period=FQ","BEST_FPERIOD_OVERRIDE=FQ","FILING_STATUS=MR","SCALING_FORMAT=MLN","Sort=A","Dates=H","DateFormat=P","Fill=—","Direction=H","UseDPDF=Y")</f>
        <v>-750</v>
      </c>
      <c r="M26" s="12" cm="1">
        <f t="array" ref="M26">_xll.BDH("DE US Equity","ACQUIS_OF_FIXED_INTANG","FQ1 2021","FQ1 2021","Currency=USD","Period=FQ","BEST_FPERIOD_OVERRIDE=FQ","FILING_STATUS=MR","SCALING_FORMAT=MLN","Sort=A","Dates=H","DateFormat=P","Fill=—","Direction=H","UseDPDF=Y")</f>
        <v>-448</v>
      </c>
      <c r="N26" s="12" cm="1">
        <f t="array" ref="N26">_xll.BDH("DE US Equity","ACQUIS_OF_FIXED_INTANG","FQ2 2021","FQ2 2021","Currency=USD","Period=FQ","BEST_FPERIOD_OVERRIDE=FQ","FILING_STATUS=MR","SCALING_FORMAT=MLN","Sort=A","Dates=H","DateFormat=P","Fill=—","Direction=H","UseDPDF=Y")</f>
        <v>-636</v>
      </c>
      <c r="O26" s="12" cm="1">
        <f t="array" ref="O26">_xll.BDH("DE US Equity","ACQUIS_OF_FIXED_INTANG","FQ3 2021","FQ3 2021","Currency=USD","Period=FQ","BEST_FPERIOD_OVERRIDE=FQ","FILING_STATUS=MR","SCALING_FORMAT=MLN","Sort=A","Dates=H","DateFormat=P","Fill=—","Direction=H","UseDPDF=Y")</f>
        <v>-618</v>
      </c>
      <c r="P26" s="12" cm="1">
        <f t="array" ref="P26">_xll.BDH("DE US Equity","ACQUIS_OF_FIXED_INTANG","FQ4 2021","FQ4 2021","Currency=USD","Period=FQ","BEST_FPERIOD_OVERRIDE=FQ","FILING_STATUS=MR","SCALING_FORMAT=MLN","Sort=A","Dates=H","DateFormat=P","Fill=—","Direction=H","UseDPDF=Y")</f>
        <v>-878</v>
      </c>
      <c r="Q26" s="12" cm="1">
        <f t="array" ref="Q26">_xll.BDH("DE US Equity","ACQUIS_OF_FIXED_INTANG","FQ1 2022","FQ1 2022","Currency=USD","Period=FQ","BEST_FPERIOD_OVERRIDE=FQ","FILING_STATUS=MR","SCALING_FORMAT=MLN","Sort=A","Dates=H","DateFormat=P","Fill=—","Direction=H","UseDPDF=Y")</f>
        <v>-584</v>
      </c>
      <c r="R26" s="12" cm="1">
        <f t="array" ref="R26">_xll.BDH("DE US Equity","ACQUIS_OF_FIXED_INTANG","FQ2 2022","FQ2 2022","Currency=USD","Period=FQ","BEST_FPERIOD_OVERRIDE=FQ","FILING_STATUS=MR","SCALING_FORMAT=MLN","Sort=A","Dates=H","DateFormat=P","Fill=—","Direction=H","UseDPDF=Y")</f>
        <v>-766</v>
      </c>
      <c r="S26" s="12" cm="1">
        <f t="array" ref="S26">_xll.BDH("DE US Equity","ACQUIS_OF_FIXED_INTANG","FQ3 2022","FQ3 2022","Currency=USD","Period=FQ","BEST_FPERIOD_OVERRIDE=FQ","FILING_STATUS=MR","SCALING_FORMAT=MLN","Sort=A","Dates=H","DateFormat=P","Fill=—","Direction=H","UseDPDF=Y")</f>
        <v>-963</v>
      </c>
      <c r="T26" s="12" cm="1">
        <f t="array" ref="T26">_xll.BDH("DE US Equity","ACQUIS_OF_FIXED_INTANG","FQ4 2022","FQ4 2022","Currency=USD","Period=FQ","BEST_FPERIOD_OVERRIDE=FQ","FILING_STATUS=MR","SCALING_FORMAT=MLN","Sort=A","Dates=H","DateFormat=P","Fill=—","Direction=H","UseDPDF=Y")</f>
        <v>-1475</v>
      </c>
      <c r="U26" s="12" cm="1">
        <f t="array" ref="U26">_xll.BDH("DE US Equity","ACQUIS_OF_FIXED_INTANG","FQ1 2023","FQ1 2023","Currency=USD","Period=FQ","BEST_FPERIOD_OVERRIDE=FQ","FILING_STATUS=MR","SCALING_FORMAT=MLN","Sort=A","Dates=H","DateFormat=P","Fill=—","Direction=H","UseDPDF=Y")</f>
        <v>-812</v>
      </c>
      <c r="V26" s="12" cm="1">
        <f t="array" ref="V26">_xll.BDH("DE US Equity","ACQUIS_OF_FIXED_INTANG","FQ2 2023","FQ2 2023","Currency=USD","Period=FQ","BEST_FPERIOD_OVERRIDE=FQ","FILING_STATUS=MR","SCALING_FORMAT=MLN","Sort=A","Dates=H","DateFormat=P","Fill=—","Direction=H","UseDPDF=Y")</f>
        <v>-1001</v>
      </c>
      <c r="W26" s="12" cm="1">
        <f t="array" ref="W26">_xll.BDH("DE US Equity","ACQUIS_OF_FIXED_INTANG","FQ3 2023","FQ3 2023","Currency=USD","Period=FQ","BEST_FPERIOD_OVERRIDE=FQ","FILING_STATUS=MR","SCALING_FORMAT=MLN","Sort=A","Dates=H","DateFormat=P","Fill=—","Direction=H","UseDPDF=Y")</f>
        <v>-1042</v>
      </c>
      <c r="X26" s="12" cm="1">
        <f t="array" ref="X26">_xll.BDH("DE US Equity","ACQUIS_OF_FIXED_INTANG","FQ4 2023","FQ4 2023","Currency=USD","Period=FQ","BEST_FPERIOD_OVERRIDE=FQ","FILING_STATUS=MR","SCALING_FORMAT=MLN","Sort=A","Dates=H","DateFormat=P","Fill=—","Direction=H","UseDPDF=Y")</f>
        <v>-1613</v>
      </c>
      <c r="Y26" s="12" cm="1">
        <f t="array" ref="Y26">_xll.BDH("DE US Equity","ACQUIS_OF_FIXED_INTANG","FQ1 2024","FQ1 2024","Currency=USD","Period=FQ","BEST_FPERIOD_OVERRIDE=FQ","FILING_STATUS=MR","SCALING_FORMAT=MLN","Sort=A","Dates=H","DateFormat=P","Fill=—","Direction=H","UseDPDF=Y")</f>
        <v>-816</v>
      </c>
      <c r="Z26" s="12" cm="1">
        <f t="array" ref="Z26">_xll.BDH("DE US Equity","ACQUIS_OF_FIXED_INTANG","FQ2 2024","FQ2 2024","Currency=USD","Period=FQ","BEST_FPERIOD_OVERRIDE=FQ","FILING_STATUS=MR","SCALING_FORMAT=MLN","Sort=A","Dates=H","DateFormat=P","Fill=—","Direction=H","UseDPDF=Y")</f>
        <v>-1272</v>
      </c>
      <c r="AA26" s="12" cm="1">
        <f t="array" ref="AA26">_xll.BDH("DE US Equity","ACQUIS_OF_FIXED_INTANG","FQ3 2024","FQ3 2024","Currency=USD","Period=FQ","BEST_FPERIOD_OVERRIDE=FQ","FILING_STATUS=MR","SCALING_FORMAT=MLN","Sort=A","Dates=H","DateFormat=P","Fill=—","Direction=H","UseDPDF=Y")</f>
        <v>-1120</v>
      </c>
      <c r="AB26" s="12" cm="1">
        <f t="array" ref="AB26">_xll.BDH("DE US Equity","ACQUIS_OF_FIXED_INTANG","FQ4 2024","FQ4 2024","Currency=USD","Period=FQ","BEST_FPERIOD_OVERRIDE=FQ","FILING_STATUS=MR","SCALING_FORMAT=MLN","Sort=A","Dates=H","DateFormat=P","Fill=—","Direction=H","UseDPDF=Y")</f>
        <v>-1594</v>
      </c>
      <c r="AC26" s="12" cm="1">
        <f t="array" ref="AC26">_xll.BDH("DE US Equity","ACQUIS_OF_FIXED_INTANG","FQ1 2025","FQ1 2025","Currency=USD","Period=FQ","BEST_FPERIOD_OVERRIDE=FQ","FILING_STATUS=MR","SCALING_FORMAT=MLN","Sort=A","Dates=H","DateFormat=P","Fill=—","Direction=H","UseDPDF=Y")</f>
        <v>-791</v>
      </c>
      <c r="AD26" s="12" cm="1">
        <f t="array" ref="AD26">_xll.BDH("DE US Equity","ACQUIS_OF_FIXED_INTANG","FQ2 2025","FQ2 2025","Currency=USD","Period=FQ","BEST_FPERIOD_OVERRIDE=FQ","FILING_STATUS=MR","SCALING_FORMAT=MLN","Sort=A","Dates=H","DateFormat=P","Fill=—","Direction=H","UseDPDF=Y")</f>
        <v>-1018</v>
      </c>
      <c r="AE26" s="12" cm="1">
        <f t="array" ref="AE26">_xll.BDH("DE US Equity","ACQUIS_OF_FIXED_INTANG","FQ3 2025","FQ3 2025","Currency=USD","Period=FQ","BEST_FPERIOD_OVERRIDE=FQ","FILING_STATUS=MR","SCALING_FORMAT=MLN","Sort=A","Dates=H","DateFormat=P","Fill=—","Direction=H","UseDPDF=Y")</f>
        <v>-1052</v>
      </c>
      <c r="AF26" s="12" cm="1">
        <f t="array" ref="AF26">_xll.BDH("DE US Equity","ACQUIS_OF_FIXED_INTANG","FQ4 2025","FQ4 2025","Currency=USD","Period=FQ","BEST_FPERIOD_OVERRIDE=FQ","FILING_STATUS=MR","SCALING_FORMAT=MLN","Sort=A","Dates=H","DateFormat=P","Fill=—","Direction=H","UseDPDF=Y")</f>
        <v>-1367</v>
      </c>
    </row>
    <row r="27" spans="1:32" x14ac:dyDescent="0.25">
      <c r="A27" s="11" t="s">
        <v>102</v>
      </c>
      <c r="B27" s="11" t="s">
        <v>103</v>
      </c>
      <c r="C27" s="16" cm="1">
        <f t="array" ref="C27">_xll.BDH("DE US Equity","CF_PURCHASE_OF_FIXED_PROD_ASSETS","FQ3 2018","FQ3 2018","Currency=USD","Period=FQ","BEST_FPERIOD_OVERRIDE=FQ","FILING_STATUS=MR","SCALING_FORMAT=MLN","Sort=A","Dates=H","DateFormat=P","Fill=—","Direction=H","UseDPDF=Y")</f>
        <v>-720.3</v>
      </c>
      <c r="D27" s="16" cm="1">
        <f t="array" ref="D27">_xll.BDH("DE US Equity","CF_PURCHASE_OF_FIXED_PROD_ASSETS","FQ4 2018","FQ4 2018","Currency=USD","Period=FQ","BEST_FPERIOD_OVERRIDE=FQ","FILING_STATUS=MR","SCALING_FORMAT=MLN","Sort=A","Dates=H","DateFormat=P","Fill=—","Direction=H","UseDPDF=Y")</f>
        <v>-951</v>
      </c>
      <c r="E27" s="16" cm="1">
        <f t="array" ref="E27">_xll.BDH("DE US Equity","CF_PURCHASE_OF_FIXED_PROD_ASSETS","FQ1 2019","FQ1 2019","Currency=USD","Period=FQ","BEST_FPERIOD_OVERRIDE=FQ","FILING_STATUS=MR","SCALING_FORMAT=MLN","Sort=A","Dates=H","DateFormat=P","Fill=—","Direction=H","UseDPDF=Y")</f>
        <v>-658</v>
      </c>
      <c r="F27" s="16" cm="1">
        <f t="array" ref="F27">_xll.BDH("DE US Equity","CF_PURCHASE_OF_FIXED_PROD_ASSETS","FQ2 2019","FQ2 2019","Currency=USD","Period=FQ","BEST_FPERIOD_OVERRIDE=FQ","FILING_STATUS=MR","SCALING_FORMAT=MLN","Sort=A","Dates=H","DateFormat=P","Fill=—","Direction=H","UseDPDF=Y")</f>
        <v>-756.2</v>
      </c>
      <c r="G27" s="16" cm="1">
        <f t="array" ref="G27">_xll.BDH("DE US Equity","CF_PURCHASE_OF_FIXED_PROD_ASSETS","FQ3 2019","FQ3 2019","Currency=USD","Period=FQ","BEST_FPERIOD_OVERRIDE=FQ","FILING_STATUS=MR","SCALING_FORMAT=MLN","Sort=A","Dates=H","DateFormat=P","Fill=—","Direction=H","UseDPDF=Y")</f>
        <v>-803</v>
      </c>
      <c r="H27" s="16" cm="1">
        <f t="array" ref="H27">_xll.BDH("DE US Equity","CF_PURCHASE_OF_FIXED_PROD_ASSETS","FQ4 2019","FQ4 2019","Currency=USD","Period=FQ","BEST_FPERIOD_OVERRIDE=FQ","FILING_STATUS=MR","SCALING_FORMAT=MLN","Sort=A","Dates=H","DateFormat=P","Fill=—","Direction=H","UseDPDF=Y")</f>
        <v>-1231</v>
      </c>
      <c r="I27" s="16" cm="1">
        <f t="array" ref="I27">_xll.BDH("DE US Equity","CF_PURCHASE_OF_FIXED_PROD_ASSETS","FQ1 2020","FQ1 2020","Currency=USD","Period=FQ","BEST_FPERIOD_OVERRIDE=FQ","FILING_STATUS=MR","SCALING_FORMAT=MLN","Sort=A","Dates=H","DateFormat=P","Fill=—","Direction=H","UseDPDF=Y")</f>
        <v>-788</v>
      </c>
      <c r="J27" s="16" cm="1">
        <f t="array" ref="J27">_xll.BDH("DE US Equity","CF_PURCHASE_OF_FIXED_PROD_ASSETS","FQ2 2020","FQ2 2020","Currency=USD","Period=FQ","BEST_FPERIOD_OVERRIDE=FQ","FILING_STATUS=MR","SCALING_FORMAT=MLN","Sort=A","Dates=H","DateFormat=P","Fill=—","Direction=H","UseDPDF=Y")</f>
        <v>-613</v>
      </c>
      <c r="K27" s="16" cm="1">
        <f t="array" ref="K27">_xll.BDH("DE US Equity","CF_PURCHASE_OF_FIXED_PROD_ASSETS","FQ3 2020","FQ3 2020","Currency=USD","Period=FQ","BEST_FPERIOD_OVERRIDE=FQ","FILING_STATUS=MR","SCALING_FORMAT=MLN","Sort=A","Dates=H","DateFormat=P","Fill=—","Direction=H","UseDPDF=Y")</f>
        <v>-505</v>
      </c>
      <c r="L27" s="16" cm="1">
        <f t="array" ref="L27">_xll.BDH("DE US Equity","CF_PURCHASE_OF_FIXED_PROD_ASSETS","FQ4 2020","FQ4 2020","Currency=USD","Period=FQ","BEST_FPERIOD_OVERRIDE=FQ","FILING_STATUS=MR","SCALING_FORMAT=MLN","Sort=A","Dates=H","DateFormat=P","Fill=—","Direction=H","UseDPDF=Y")</f>
        <v>-750</v>
      </c>
      <c r="M27" s="16" cm="1">
        <f t="array" ref="M27">_xll.BDH("DE US Equity","CF_PURCHASE_OF_FIXED_PROD_ASSETS","FQ1 2021","FQ1 2021","Currency=USD","Period=FQ","BEST_FPERIOD_OVERRIDE=FQ","FILING_STATUS=MR","SCALING_FORMAT=MLN","Sort=A","Dates=H","DateFormat=P","Fill=—","Direction=H","UseDPDF=Y")</f>
        <v>-448</v>
      </c>
      <c r="N27" s="16" cm="1">
        <f t="array" ref="N27">_xll.BDH("DE US Equity","CF_PURCHASE_OF_FIXED_PROD_ASSETS","FQ2 2021","FQ2 2021","Currency=USD","Period=FQ","BEST_FPERIOD_OVERRIDE=FQ","FILING_STATUS=MR","SCALING_FORMAT=MLN","Sort=A","Dates=H","DateFormat=P","Fill=—","Direction=H","UseDPDF=Y")</f>
        <v>-636</v>
      </c>
      <c r="O27" s="16" cm="1">
        <f t="array" ref="O27">_xll.BDH("DE US Equity","CF_PURCHASE_OF_FIXED_PROD_ASSETS","FQ3 2021","FQ3 2021","Currency=USD","Period=FQ","BEST_FPERIOD_OVERRIDE=FQ","FILING_STATUS=MR","SCALING_FORMAT=MLN","Sort=A","Dates=H","DateFormat=P","Fill=—","Direction=H","UseDPDF=Y")</f>
        <v>-618</v>
      </c>
      <c r="P27" s="16" cm="1">
        <f t="array" ref="P27">_xll.BDH("DE US Equity","CF_PURCHASE_OF_FIXED_PROD_ASSETS","FQ4 2021","FQ4 2021","Currency=USD","Period=FQ","BEST_FPERIOD_OVERRIDE=FQ","FILING_STATUS=MR","SCALING_FORMAT=MLN","Sort=A","Dates=H","DateFormat=P","Fill=—","Direction=H","UseDPDF=Y")</f>
        <v>-878</v>
      </c>
      <c r="Q27" s="16" cm="1">
        <f t="array" ref="Q27">_xll.BDH("DE US Equity","CF_PURCHASE_OF_FIXED_PROD_ASSETS","FQ1 2022","FQ1 2022","Currency=USD","Period=FQ","BEST_FPERIOD_OVERRIDE=FQ","FILING_STATUS=MR","SCALING_FORMAT=MLN","Sort=A","Dates=H","DateFormat=P","Fill=—","Direction=H","UseDPDF=Y")</f>
        <v>-584</v>
      </c>
      <c r="R27" s="16" cm="1">
        <f t="array" ref="R27">_xll.BDH("DE US Equity","CF_PURCHASE_OF_FIXED_PROD_ASSETS","FQ2 2022","FQ2 2022","Currency=USD","Period=FQ","BEST_FPERIOD_OVERRIDE=FQ","FILING_STATUS=MR","SCALING_FORMAT=MLN","Sort=A","Dates=H","DateFormat=P","Fill=—","Direction=H","UseDPDF=Y")</f>
        <v>-766</v>
      </c>
      <c r="S27" s="16" cm="1">
        <f t="array" ref="S27">_xll.BDH("DE US Equity","CF_PURCHASE_OF_FIXED_PROD_ASSETS","FQ3 2022","FQ3 2022","Currency=USD","Period=FQ","BEST_FPERIOD_OVERRIDE=FQ","FILING_STATUS=MR","SCALING_FORMAT=MLN","Sort=A","Dates=H","DateFormat=P","Fill=—","Direction=H","UseDPDF=Y")</f>
        <v>-963</v>
      </c>
      <c r="T27" s="16" cm="1">
        <f t="array" ref="T27">_xll.BDH("DE US Equity","CF_PURCHASE_OF_FIXED_PROD_ASSETS","FQ4 2022","FQ4 2022","Currency=USD","Period=FQ","BEST_FPERIOD_OVERRIDE=FQ","FILING_STATUS=MR","SCALING_FORMAT=MLN","Sort=A","Dates=H","DateFormat=P","Fill=—","Direction=H","UseDPDF=Y")</f>
        <v>-1475</v>
      </c>
      <c r="U27" s="16" cm="1">
        <f t="array" ref="U27">_xll.BDH("DE US Equity","CF_PURCHASE_OF_FIXED_PROD_ASSETS","FQ1 2023","FQ1 2023","Currency=USD","Period=FQ","BEST_FPERIOD_OVERRIDE=FQ","FILING_STATUS=MR","SCALING_FORMAT=MLN","Sort=A","Dates=H","DateFormat=P","Fill=—","Direction=H","UseDPDF=Y")</f>
        <v>-812</v>
      </c>
      <c r="V27" s="16" cm="1">
        <f t="array" ref="V27">_xll.BDH("DE US Equity","CF_PURCHASE_OF_FIXED_PROD_ASSETS","FQ2 2023","FQ2 2023","Currency=USD","Period=FQ","BEST_FPERIOD_OVERRIDE=FQ","FILING_STATUS=MR","SCALING_FORMAT=MLN","Sort=A","Dates=H","DateFormat=P","Fill=—","Direction=H","UseDPDF=Y")</f>
        <v>-1001</v>
      </c>
      <c r="W27" s="16" cm="1">
        <f t="array" ref="W27">_xll.BDH("DE US Equity","CF_PURCHASE_OF_FIXED_PROD_ASSETS","FQ3 2023","FQ3 2023","Currency=USD","Period=FQ","BEST_FPERIOD_OVERRIDE=FQ","FILING_STATUS=MR","SCALING_FORMAT=MLN","Sort=A","Dates=H","DateFormat=P","Fill=—","Direction=H","UseDPDF=Y")</f>
        <v>-1042</v>
      </c>
      <c r="X27" s="16" cm="1">
        <f t="array" ref="X27">_xll.BDH("DE US Equity","CF_PURCHASE_OF_FIXED_PROD_ASSETS","FQ4 2023","FQ4 2023","Currency=USD","Period=FQ","BEST_FPERIOD_OVERRIDE=FQ","FILING_STATUS=MR","SCALING_FORMAT=MLN","Sort=A","Dates=H","DateFormat=P","Fill=—","Direction=H","UseDPDF=Y")</f>
        <v>-1613</v>
      </c>
      <c r="Y27" s="16" cm="1">
        <f t="array" ref="Y27">_xll.BDH("DE US Equity","CF_PURCHASE_OF_FIXED_PROD_ASSETS","FQ1 2024","FQ1 2024","Currency=USD","Period=FQ","BEST_FPERIOD_OVERRIDE=FQ","FILING_STATUS=MR","SCALING_FORMAT=MLN","Sort=A","Dates=H","DateFormat=P","Fill=—","Direction=H","UseDPDF=Y")</f>
        <v>-816</v>
      </c>
      <c r="Z27" s="16" cm="1">
        <f t="array" ref="Z27">_xll.BDH("DE US Equity","CF_PURCHASE_OF_FIXED_PROD_ASSETS","FQ2 2024","FQ2 2024","Currency=USD","Period=FQ","BEST_FPERIOD_OVERRIDE=FQ","FILING_STATUS=MR","SCALING_FORMAT=MLN","Sort=A","Dates=H","DateFormat=P","Fill=—","Direction=H","UseDPDF=Y")</f>
        <v>-1272</v>
      </c>
      <c r="AA27" s="16" cm="1">
        <f t="array" ref="AA27">_xll.BDH("DE US Equity","CF_PURCHASE_OF_FIXED_PROD_ASSETS","FQ3 2024","FQ3 2024","Currency=USD","Period=FQ","BEST_FPERIOD_OVERRIDE=FQ","FILING_STATUS=MR","SCALING_FORMAT=MLN","Sort=A","Dates=H","DateFormat=P","Fill=—","Direction=H","UseDPDF=Y")</f>
        <v>-1120</v>
      </c>
      <c r="AB27" s="16" cm="1">
        <f t="array" ref="AB27">_xll.BDH("DE US Equity","CF_PURCHASE_OF_FIXED_PROD_ASSETS","FQ4 2024","FQ4 2024","Currency=USD","Period=FQ","BEST_FPERIOD_OVERRIDE=FQ","FILING_STATUS=MR","SCALING_FORMAT=MLN","Sort=A","Dates=H","DateFormat=P","Fill=—","Direction=H","UseDPDF=Y")</f>
        <v>-1594</v>
      </c>
      <c r="AC27" s="16" cm="1">
        <f t="array" ref="AC27">_xll.BDH("DE US Equity","CF_PURCHASE_OF_FIXED_PROD_ASSETS","FQ1 2025","FQ1 2025","Currency=USD","Period=FQ","BEST_FPERIOD_OVERRIDE=FQ","FILING_STATUS=MR","SCALING_FORMAT=MLN","Sort=A","Dates=H","DateFormat=P","Fill=—","Direction=H","UseDPDF=Y")</f>
        <v>-791</v>
      </c>
      <c r="AD27" s="16" cm="1">
        <f t="array" ref="AD27">_xll.BDH("DE US Equity","CF_PURCHASE_OF_FIXED_PROD_ASSETS","FQ2 2025","FQ2 2025","Currency=USD","Period=FQ","BEST_FPERIOD_OVERRIDE=FQ","FILING_STATUS=MR","SCALING_FORMAT=MLN","Sort=A","Dates=H","DateFormat=P","Fill=—","Direction=H","UseDPDF=Y")</f>
        <v>-1018</v>
      </c>
      <c r="AE27" s="16" cm="1">
        <f t="array" ref="AE27">_xll.BDH("DE US Equity","CF_PURCHASE_OF_FIXED_PROD_ASSETS","FQ3 2025","FQ3 2025","Currency=USD","Period=FQ","BEST_FPERIOD_OVERRIDE=FQ","FILING_STATUS=MR","SCALING_FORMAT=MLN","Sort=A","Dates=H","DateFormat=P","Fill=—","Direction=H","UseDPDF=Y")</f>
        <v>-1052</v>
      </c>
      <c r="AF27" s="16" cm="1">
        <f t="array" ref="AF27">_xll.BDH("DE US Equity","CF_PURCHASE_OF_FIXED_PROD_ASSETS","FQ4 2025","FQ4 2025","Currency=USD","Period=FQ","BEST_FPERIOD_OVERRIDE=FQ","FILING_STATUS=MR","SCALING_FORMAT=MLN","Sort=A","Dates=H","DateFormat=P","Fill=—","Direction=H","UseDPDF=Y")</f>
        <v>-1367</v>
      </c>
    </row>
    <row r="28" spans="1:32" x14ac:dyDescent="0.25">
      <c r="A28" s="11" t="s">
        <v>104</v>
      </c>
      <c r="B28" s="11" t="s">
        <v>105</v>
      </c>
      <c r="C28" s="16" cm="1">
        <f t="array" ref="C28">_xll.BDH("DE US Equity","CF_ACQUISITION_OF_INTANG_ASSETS","FQ3 2018","FQ3 2018","Currency=USD","Period=FQ","BEST_FPERIOD_OVERRIDE=FQ","FILING_STATUS=MR","SCALING_FORMAT=MLN","Sort=A","Dates=H","DateFormat=P","Fill=—","Direction=H","UseDPDF=Y")</f>
        <v>0</v>
      </c>
      <c r="D28" s="16" cm="1">
        <f t="array" ref="D28">_xll.BDH("DE US Equity","CF_ACQUISITION_OF_INTANG_ASSETS","FQ4 2018","FQ4 2018","Currency=USD","Period=FQ","BEST_FPERIOD_OVERRIDE=FQ","FILING_STATUS=MR","SCALING_FORMAT=MLN","Sort=A","Dates=H","DateFormat=P","Fill=—","Direction=H","UseDPDF=Y")</f>
        <v>0</v>
      </c>
      <c r="E28" s="16" cm="1">
        <f t="array" ref="E28">_xll.BDH("DE US Equity","CF_ACQUISITION_OF_INTANG_ASSETS","FQ1 2019","FQ1 2019","Currency=USD","Period=FQ","BEST_FPERIOD_OVERRIDE=FQ","FILING_STATUS=MR","SCALING_FORMAT=MLN","Sort=A","Dates=H","DateFormat=P","Fill=—","Direction=H","UseDPDF=Y")</f>
        <v>0</v>
      </c>
      <c r="F28" s="16" cm="1">
        <f t="array" ref="F28">_xll.BDH("DE US Equity","CF_ACQUISITION_OF_INTANG_ASSETS","FQ2 2019","FQ2 2019","Currency=USD","Period=FQ","BEST_FPERIOD_OVERRIDE=FQ","FILING_STATUS=MR","SCALING_FORMAT=MLN","Sort=A","Dates=H","DateFormat=P","Fill=—","Direction=H","UseDPDF=Y")</f>
        <v>0</v>
      </c>
      <c r="G28" s="16" cm="1">
        <f t="array" ref="G28">_xll.BDH("DE US Equity","CF_ACQUISITION_OF_INTANG_ASSETS","FQ3 2019","FQ3 2019","Currency=USD","Period=FQ","BEST_FPERIOD_OVERRIDE=FQ","FILING_STATUS=MR","SCALING_FORMAT=MLN","Sort=A","Dates=H","DateFormat=P","Fill=—","Direction=H","UseDPDF=Y")</f>
        <v>0</v>
      </c>
      <c r="H28" s="16" cm="1">
        <f t="array" ref="H28">_xll.BDH("DE US Equity","CF_ACQUISITION_OF_INTANG_ASSETS","FQ4 2019","FQ4 2019","Currency=USD","Period=FQ","BEST_FPERIOD_OVERRIDE=FQ","FILING_STATUS=MR","SCALING_FORMAT=MLN","Sort=A","Dates=H","DateFormat=P","Fill=—","Direction=H","UseDPDF=Y")</f>
        <v>0</v>
      </c>
      <c r="I28" s="16" cm="1">
        <f t="array" ref="I28">_xll.BDH("DE US Equity","CF_ACQUISITION_OF_INTANG_ASSETS","FQ1 2020","FQ1 2020","Currency=USD","Period=FQ","BEST_FPERIOD_OVERRIDE=FQ","FILING_STATUS=MR","SCALING_FORMAT=MLN","Sort=A","Dates=H","DateFormat=P","Fill=—","Direction=H","UseDPDF=Y")</f>
        <v>0</v>
      </c>
      <c r="J28" s="16" cm="1">
        <f t="array" ref="J28">_xll.BDH("DE US Equity","CF_ACQUISITION_OF_INTANG_ASSETS","FQ2 2020","FQ2 2020","Currency=USD","Period=FQ","BEST_FPERIOD_OVERRIDE=FQ","FILING_STATUS=MR","SCALING_FORMAT=MLN","Sort=A","Dates=H","DateFormat=P","Fill=—","Direction=H","UseDPDF=Y")</f>
        <v>0</v>
      </c>
      <c r="K28" s="16" cm="1">
        <f t="array" ref="K28">_xll.BDH("DE US Equity","CF_ACQUISITION_OF_INTANG_ASSETS","FQ3 2020","FQ3 2020","Currency=USD","Period=FQ","BEST_FPERIOD_OVERRIDE=FQ","FILING_STATUS=MR","SCALING_FORMAT=MLN","Sort=A","Dates=H","DateFormat=P","Fill=—","Direction=H","UseDPDF=Y")</f>
        <v>0</v>
      </c>
      <c r="L28" s="16" cm="1">
        <f t="array" ref="L28">_xll.BDH("DE US Equity","CF_ACQUISITION_OF_INTANG_ASSETS","FQ4 2020","FQ4 2020","Currency=USD","Period=FQ","BEST_FPERIOD_OVERRIDE=FQ","FILING_STATUS=MR","SCALING_FORMAT=MLN","Sort=A","Dates=H","DateFormat=P","Fill=—","Direction=H","UseDPDF=Y")</f>
        <v>0</v>
      </c>
      <c r="M28" s="16" cm="1">
        <f t="array" ref="M28">_xll.BDH("DE US Equity","CF_ACQUISITION_OF_INTANG_ASSETS","FQ1 2021","FQ1 2021","Currency=USD","Period=FQ","BEST_FPERIOD_OVERRIDE=FQ","FILING_STATUS=MR","SCALING_FORMAT=MLN","Sort=A","Dates=H","DateFormat=P","Fill=—","Direction=H","UseDPDF=Y")</f>
        <v>0</v>
      </c>
      <c r="N28" s="16" cm="1">
        <f t="array" ref="N28">_xll.BDH("DE US Equity","CF_ACQUISITION_OF_INTANG_ASSETS","FQ2 2021","FQ2 2021","Currency=USD","Period=FQ","BEST_FPERIOD_OVERRIDE=FQ","FILING_STATUS=MR","SCALING_FORMAT=MLN","Sort=A","Dates=H","DateFormat=P","Fill=—","Direction=H","UseDPDF=Y")</f>
        <v>0</v>
      </c>
      <c r="O28" s="16" cm="1">
        <f t="array" ref="O28">_xll.BDH("DE US Equity","CF_ACQUISITION_OF_INTANG_ASSETS","FQ3 2021","FQ3 2021","Currency=USD","Period=FQ","BEST_FPERIOD_OVERRIDE=FQ","FILING_STATUS=MR","SCALING_FORMAT=MLN","Sort=A","Dates=H","DateFormat=P","Fill=—","Direction=H","UseDPDF=Y")</f>
        <v>0</v>
      </c>
      <c r="P28" s="16" cm="1">
        <f t="array" ref="P28">_xll.BDH("DE US Equity","CF_ACQUISITION_OF_INTANG_ASSETS","FQ4 2021","FQ4 2021","Currency=USD","Period=FQ","BEST_FPERIOD_OVERRIDE=FQ","FILING_STATUS=MR","SCALING_FORMAT=MLN","Sort=A","Dates=H","DateFormat=P","Fill=—","Direction=H","UseDPDF=Y")</f>
        <v>0</v>
      </c>
      <c r="Q28" s="16" cm="1">
        <f t="array" ref="Q28">_xll.BDH("DE US Equity","CF_ACQUISITION_OF_INTANG_ASSETS","FQ1 2022","FQ1 2022","Currency=USD","Period=FQ","BEST_FPERIOD_OVERRIDE=FQ","FILING_STATUS=MR","SCALING_FORMAT=MLN","Sort=A","Dates=H","DateFormat=P","Fill=—","Direction=H","UseDPDF=Y")</f>
        <v>0</v>
      </c>
      <c r="R28" s="16" cm="1">
        <f t="array" ref="R28">_xll.BDH("DE US Equity","CF_ACQUISITION_OF_INTANG_ASSETS","FQ2 2022","FQ2 2022","Currency=USD","Period=FQ","BEST_FPERIOD_OVERRIDE=FQ","FILING_STATUS=MR","SCALING_FORMAT=MLN","Sort=A","Dates=H","DateFormat=P","Fill=—","Direction=H","UseDPDF=Y")</f>
        <v>0</v>
      </c>
      <c r="S28" s="16" cm="1">
        <f t="array" ref="S28">_xll.BDH("DE US Equity","CF_ACQUISITION_OF_INTANG_ASSETS","FQ3 2022","FQ3 2022","Currency=USD","Period=FQ","BEST_FPERIOD_OVERRIDE=FQ","FILING_STATUS=MR","SCALING_FORMAT=MLN","Sort=A","Dates=H","DateFormat=P","Fill=—","Direction=H","UseDPDF=Y")</f>
        <v>0</v>
      </c>
      <c r="T28" s="16" cm="1">
        <f t="array" ref="T28">_xll.BDH("DE US Equity","CF_ACQUISITION_OF_INTANG_ASSETS","FQ4 2022","FQ4 2022","Currency=USD","Period=FQ","BEST_FPERIOD_OVERRIDE=FQ","FILING_STATUS=MR","SCALING_FORMAT=MLN","Sort=A","Dates=H","DateFormat=P","Fill=—","Direction=H","UseDPDF=Y")</f>
        <v>0</v>
      </c>
      <c r="U28" s="16" cm="1">
        <f t="array" ref="U28">_xll.BDH("DE US Equity","CF_ACQUISITION_OF_INTANG_ASSETS","FQ1 2023","FQ1 2023","Currency=USD","Period=FQ","BEST_FPERIOD_OVERRIDE=FQ","FILING_STATUS=MR","SCALING_FORMAT=MLN","Sort=A","Dates=H","DateFormat=P","Fill=—","Direction=H","UseDPDF=Y")</f>
        <v>0</v>
      </c>
      <c r="V28" s="16" cm="1">
        <f t="array" ref="V28">_xll.BDH("DE US Equity","CF_ACQUISITION_OF_INTANG_ASSETS","FQ2 2023","FQ2 2023","Currency=USD","Period=FQ","BEST_FPERIOD_OVERRIDE=FQ","FILING_STATUS=MR","SCALING_FORMAT=MLN","Sort=A","Dates=H","DateFormat=P","Fill=—","Direction=H","UseDPDF=Y")</f>
        <v>0</v>
      </c>
      <c r="W28" s="16" cm="1">
        <f t="array" ref="W28">_xll.BDH("DE US Equity","CF_ACQUISITION_OF_INTANG_ASSETS","FQ3 2023","FQ3 2023","Currency=USD","Period=FQ","BEST_FPERIOD_OVERRIDE=FQ","FILING_STATUS=MR","SCALING_FORMAT=MLN","Sort=A","Dates=H","DateFormat=P","Fill=—","Direction=H","UseDPDF=Y")</f>
        <v>0</v>
      </c>
      <c r="X28" s="16" cm="1">
        <f t="array" ref="X28">_xll.BDH("DE US Equity","CF_ACQUISITION_OF_INTANG_ASSETS","FQ4 2023","FQ4 2023","Currency=USD","Period=FQ","BEST_FPERIOD_OVERRIDE=FQ","FILING_STATUS=MR","SCALING_FORMAT=MLN","Sort=A","Dates=H","DateFormat=P","Fill=—","Direction=H","UseDPDF=Y")</f>
        <v>0</v>
      </c>
      <c r="Y28" s="16" cm="1">
        <f t="array" ref="Y28">_xll.BDH("DE US Equity","CF_ACQUISITION_OF_INTANG_ASSETS","FQ1 2024","FQ1 2024","Currency=USD","Period=FQ","BEST_FPERIOD_OVERRIDE=FQ","FILING_STATUS=MR","SCALING_FORMAT=MLN","Sort=A","Dates=H","DateFormat=P","Fill=—","Direction=H","UseDPDF=Y")</f>
        <v>0</v>
      </c>
      <c r="Z28" s="16" cm="1">
        <f t="array" ref="Z28">_xll.BDH("DE US Equity","CF_ACQUISITION_OF_INTANG_ASSETS","FQ2 2024","FQ2 2024","Currency=USD","Period=FQ","BEST_FPERIOD_OVERRIDE=FQ","FILING_STATUS=MR","SCALING_FORMAT=MLN","Sort=A","Dates=H","DateFormat=P","Fill=—","Direction=H","UseDPDF=Y")</f>
        <v>0</v>
      </c>
      <c r="AA28" s="16" cm="1">
        <f t="array" ref="AA28">_xll.BDH("DE US Equity","CF_ACQUISITION_OF_INTANG_ASSETS","FQ3 2024","FQ3 2024","Currency=USD","Period=FQ","BEST_FPERIOD_OVERRIDE=FQ","FILING_STATUS=MR","SCALING_FORMAT=MLN","Sort=A","Dates=H","DateFormat=P","Fill=—","Direction=H","UseDPDF=Y")</f>
        <v>0</v>
      </c>
      <c r="AB28" s="16" cm="1">
        <f t="array" ref="AB28">_xll.BDH("DE US Equity","CF_ACQUISITION_OF_INTANG_ASSETS","FQ4 2024","FQ4 2024","Currency=USD","Period=FQ","BEST_FPERIOD_OVERRIDE=FQ","FILING_STATUS=MR","SCALING_FORMAT=MLN","Sort=A","Dates=H","DateFormat=P","Fill=—","Direction=H","UseDPDF=Y")</f>
        <v>0</v>
      </c>
      <c r="AC28" s="16" cm="1">
        <f t="array" ref="AC28">_xll.BDH("DE US Equity","CF_ACQUISITION_OF_INTANG_ASSETS","FQ1 2025","FQ1 2025","Currency=USD","Period=FQ","BEST_FPERIOD_OVERRIDE=FQ","FILING_STATUS=MR","SCALING_FORMAT=MLN","Sort=A","Dates=H","DateFormat=P","Fill=—","Direction=H","UseDPDF=Y")</f>
        <v>0</v>
      </c>
      <c r="AD28" s="16" cm="1">
        <f t="array" ref="AD28">_xll.BDH("DE US Equity","CF_ACQUISITION_OF_INTANG_ASSETS","FQ2 2025","FQ2 2025","Currency=USD","Period=FQ","BEST_FPERIOD_OVERRIDE=FQ","FILING_STATUS=MR","SCALING_FORMAT=MLN","Sort=A","Dates=H","DateFormat=P","Fill=—","Direction=H","UseDPDF=Y")</f>
        <v>0</v>
      </c>
      <c r="AE28" s="16" cm="1">
        <f t="array" ref="AE28">_xll.BDH("DE US Equity","CF_ACQUISITION_OF_INTANG_ASSETS","FQ3 2025","FQ3 2025","Currency=USD","Period=FQ","BEST_FPERIOD_OVERRIDE=FQ","FILING_STATUS=MR","SCALING_FORMAT=MLN","Sort=A","Dates=H","DateFormat=P","Fill=—","Direction=H","UseDPDF=Y")</f>
        <v>0</v>
      </c>
      <c r="AF28" s="16" cm="1">
        <f t="array" ref="AF28">_xll.BDH("DE US Equity","CF_ACQUISITION_OF_INTANG_ASSETS","FQ4 2025","FQ4 2025","Currency=USD","Period=FQ","BEST_FPERIOD_OVERRIDE=FQ","FILING_STATUS=MR","SCALING_FORMAT=MLN","Sort=A","Dates=H","DateFormat=P","Fill=—","Direction=H","UseDPDF=Y")</f>
        <v>0</v>
      </c>
    </row>
    <row r="29" spans="1:32" x14ac:dyDescent="0.25">
      <c r="A29" s="10" t="s">
        <v>106</v>
      </c>
      <c r="B29" s="10" t="s">
        <v>107</v>
      </c>
      <c r="C29" s="12" cm="1">
        <f t="array" ref="C29">_xll.BDH("DE US Equity","NET_CHG_IN_LT_INVEST_DETAILED","FQ3 2018","FQ3 2018","Currency=USD","Period=FQ","BEST_FPERIOD_OVERRIDE=FQ","FILING_STATUS=MR","SCALING_FORMAT=MLN","Sort=A","Dates=H","DateFormat=P","Fill=—","Direction=H","UseDPDF=Y")</f>
        <v>-1023.7</v>
      </c>
      <c r="D29" s="12" cm="1">
        <f t="array" ref="D29">_xll.BDH("DE US Equity","NET_CHG_IN_LT_INVEST_DETAILED","FQ4 2018","FQ4 2018","Currency=USD","Period=FQ","BEST_FPERIOD_OVERRIDE=FQ","FILING_STATUS=MR","SCALING_FORMAT=MLN","Sort=A","Dates=H","DateFormat=P","Fill=—","Direction=H","UseDPDF=Y")</f>
        <v>-1000</v>
      </c>
      <c r="E29" s="12" cm="1">
        <f t="array" ref="E29">_xll.BDH("DE US Equity","NET_CHG_IN_LT_INVEST_DETAILED","FQ1 2019","FQ1 2019","Currency=USD","Period=FQ","BEST_FPERIOD_OVERRIDE=FQ","FILING_STATUS=MR","SCALING_FORMAT=MLN","Sort=A","Dates=H","DateFormat=P","Fill=—","Direction=H","UseDPDF=Y")</f>
        <v>1283</v>
      </c>
      <c r="F29" s="12" cm="1">
        <f t="array" ref="F29">_xll.BDH("DE US Equity","NET_CHG_IN_LT_INVEST_DETAILED","FQ2 2019","FQ2 2019","Currency=USD","Period=FQ","BEST_FPERIOD_OVERRIDE=FQ","FILING_STATUS=MR","SCALING_FORMAT=MLN","Sort=A","Dates=H","DateFormat=P","Fill=—","Direction=H","UseDPDF=Y")</f>
        <v>-994.6</v>
      </c>
      <c r="G29" s="12" cm="1">
        <f t="array" ref="G29">_xll.BDH("DE US Equity","NET_CHG_IN_LT_INVEST_DETAILED","FQ3 2019","FQ3 2019","Currency=USD","Period=FQ","BEST_FPERIOD_OVERRIDE=FQ","FILING_STATUS=MR","SCALING_FORMAT=MLN","Sort=A","Dates=H","DateFormat=P","Fill=—","Direction=H","UseDPDF=Y")</f>
        <v>-1266</v>
      </c>
      <c r="H29" s="12" cm="1">
        <f t="array" ref="H29">_xll.BDH("DE US Equity","NET_CHG_IN_LT_INVEST_DETAILED","FQ4 2019","FQ4 2019","Currency=USD","Period=FQ","BEST_FPERIOD_OVERRIDE=FQ","FILING_STATUS=MR","SCALING_FORMAT=MLN","Sort=A","Dates=H","DateFormat=P","Fill=—","Direction=H","UseDPDF=Y")</f>
        <v>-1190</v>
      </c>
      <c r="I29" s="12" cm="1">
        <f t="array" ref="I29">_xll.BDH("DE US Equity","NET_CHG_IN_LT_INVEST_DETAILED","FQ1 2020","FQ1 2020","Currency=USD","Period=FQ","BEST_FPERIOD_OVERRIDE=FQ","FILING_STATUS=MR","SCALING_FORMAT=MLN","Sort=A","Dates=H","DateFormat=P","Fill=—","Direction=H","UseDPDF=Y")</f>
        <v>1361</v>
      </c>
      <c r="J29" s="12" cm="1">
        <f t="array" ref="J29">_xll.BDH("DE US Equity","NET_CHG_IN_LT_INVEST_DETAILED","FQ2 2020","FQ2 2020","Currency=USD","Period=FQ","BEST_FPERIOD_OVERRIDE=FQ","FILING_STATUS=MR","SCALING_FORMAT=MLN","Sort=A","Dates=H","DateFormat=P","Fill=—","Direction=H","UseDPDF=Y")</f>
        <v>-1104</v>
      </c>
      <c r="K29" s="12" cm="1">
        <f t="array" ref="K29">_xll.BDH("DE US Equity","NET_CHG_IN_LT_INVEST_DETAILED","FQ3 2020","FQ3 2020","Currency=USD","Period=FQ","BEST_FPERIOD_OVERRIDE=FQ","FILING_STATUS=MR","SCALING_FORMAT=MLN","Sort=A","Dates=H","DateFormat=P","Fill=—","Direction=H","UseDPDF=Y")</f>
        <v>-1469</v>
      </c>
      <c r="L29" s="12" cm="1">
        <f t="array" ref="L29">_xll.BDH("DE US Equity","NET_CHG_IN_LT_INVEST_DETAILED","FQ4 2020","FQ4 2020","Currency=USD","Period=FQ","BEST_FPERIOD_OVERRIDE=FQ","FILING_STATUS=MR","SCALING_FORMAT=MLN","Sort=A","Dates=H","DateFormat=P","Fill=—","Direction=H","UseDPDF=Y")</f>
        <v>-1372</v>
      </c>
      <c r="M29" s="12" cm="1">
        <f t="array" ref="M29">_xll.BDH("DE US Equity","NET_CHG_IN_LT_INVEST_DETAILED","FQ1 2021","FQ1 2021","Currency=USD","Period=FQ","BEST_FPERIOD_OVERRIDE=FQ","FILING_STATUS=MR","SCALING_FORMAT=MLN","Sort=A","Dates=H","DateFormat=P","Fill=—","Direction=H","UseDPDF=Y")</f>
        <v>699</v>
      </c>
      <c r="N29" s="12" cm="1">
        <f t="array" ref="N29">_xll.BDH("DE US Equity","NET_CHG_IN_LT_INVEST_DETAILED","FQ2 2021","FQ2 2021","Currency=USD","Period=FQ","BEST_FPERIOD_OVERRIDE=FQ","FILING_STATUS=MR","SCALING_FORMAT=MLN","Sort=A","Dates=H","DateFormat=P","Fill=—","Direction=H","UseDPDF=Y")</f>
        <v>-1691</v>
      </c>
      <c r="O29" s="12" cm="1">
        <f t="array" ref="O29">_xll.BDH("DE US Equity","NET_CHG_IN_LT_INVEST_DETAILED","FQ3 2021","FQ3 2021","Currency=USD","Period=FQ","BEST_FPERIOD_OVERRIDE=FQ","FILING_STATUS=MR","SCALING_FORMAT=MLN","Sort=A","Dates=H","DateFormat=P","Fill=—","Direction=H","UseDPDF=Y")</f>
        <v>-1689</v>
      </c>
      <c r="P29" s="12" cm="1">
        <f t="array" ref="P29">_xll.BDH("DE US Equity","NET_CHG_IN_LT_INVEST_DETAILED","FQ4 2021","FQ4 2021","Currency=USD","Period=FQ","BEST_FPERIOD_OVERRIDE=FQ","FILING_STATUS=MR","SCALING_FORMAT=MLN","Sort=A","Dates=H","DateFormat=P","Fill=—","Direction=H","UseDPDF=Y")</f>
        <v>-2013</v>
      </c>
      <c r="Q29" s="12" cm="1">
        <f t="array" ref="Q29">_xll.BDH("DE US Equity","NET_CHG_IN_LT_INVEST_DETAILED","FQ1 2022","FQ1 2022","Currency=USD","Period=FQ","BEST_FPERIOD_OVERRIDE=FQ","FILING_STATUS=MR","SCALING_FORMAT=MLN","Sort=A","Dates=H","DateFormat=P","Fill=—","Direction=H","UseDPDF=Y")</f>
        <v>832</v>
      </c>
      <c r="R29" s="12" cm="1">
        <f t="array" ref="R29">_xll.BDH("DE US Equity","NET_CHG_IN_LT_INVEST_DETAILED","FQ2 2022","FQ2 2022","Currency=USD","Period=FQ","BEST_FPERIOD_OVERRIDE=FQ","FILING_STATUS=MR","SCALING_FORMAT=MLN","Sort=A","Dates=H","DateFormat=P","Fill=—","Direction=H","UseDPDF=Y")</f>
        <v>-1613</v>
      </c>
      <c r="S29" s="12" cm="1">
        <f t="array" ref="S29">_xll.BDH("DE US Equity","NET_CHG_IN_LT_INVEST_DETAILED","FQ3 2022","FQ3 2022","Currency=USD","Period=FQ","BEST_FPERIOD_OVERRIDE=FQ","FILING_STATUS=MR","SCALING_FORMAT=MLN","Sort=A","Dates=H","DateFormat=P","Fill=—","Direction=H","UseDPDF=Y")</f>
        <v>-2023</v>
      </c>
      <c r="T29" s="12" cm="1">
        <f t="array" ref="T29">_xll.BDH("DE US Equity","NET_CHG_IN_LT_INVEST_DETAILED","FQ4 2022","FQ4 2022","Currency=USD","Period=FQ","BEST_FPERIOD_OVERRIDE=FQ","FILING_STATUS=MR","SCALING_FORMAT=MLN","Sort=A","Dates=H","DateFormat=P","Fill=—","Direction=H","UseDPDF=Y")</f>
        <v>-2589</v>
      </c>
      <c r="U29" s="12" cm="1">
        <f t="array" ref="U29">_xll.BDH("DE US Equity","NET_CHG_IN_LT_INVEST_DETAILED","FQ1 2023","FQ1 2023","Currency=USD","Period=FQ","BEST_FPERIOD_OVERRIDE=FQ","FILING_STATUS=MR","SCALING_FORMAT=MLN","Sort=A","Dates=H","DateFormat=P","Fill=—","Direction=H","UseDPDF=Y")</f>
        <v>876</v>
      </c>
      <c r="V29" s="12" cm="1">
        <f t="array" ref="V29">_xll.BDH("DE US Equity","NET_CHG_IN_LT_INVEST_DETAILED","FQ2 2023","FQ2 2023","Currency=USD","Period=FQ","BEST_FPERIOD_OVERRIDE=FQ","FILING_STATUS=MR","SCALING_FORMAT=MLN","Sort=A","Dates=H","DateFormat=P","Fill=—","Direction=H","UseDPDF=Y")</f>
        <v>-1734</v>
      </c>
      <c r="W29" s="12" cm="1">
        <f t="array" ref="W29">_xll.BDH("DE US Equity","NET_CHG_IN_LT_INVEST_DETAILED","FQ3 2023","FQ3 2023","Currency=USD","Period=FQ","BEST_FPERIOD_OVERRIDE=FQ","FILING_STATUS=MR","SCALING_FORMAT=MLN","Sort=A","Dates=H","DateFormat=P","Fill=—","Direction=H","UseDPDF=Y")</f>
        <v>-2264</v>
      </c>
      <c r="X29" s="12" cm="1">
        <f t="array" ref="X29">_xll.BDH("DE US Equity","NET_CHG_IN_LT_INVEST_DETAILED","FQ4 2023","FQ4 2023","Currency=USD","Period=FQ","BEST_FPERIOD_OVERRIDE=FQ","FILING_STATUS=MR","SCALING_FORMAT=MLN","Sort=A","Dates=H","DateFormat=P","Fill=—","Direction=H","UseDPDF=Y")</f>
        <v>-2599</v>
      </c>
      <c r="Y29" s="12" cm="1">
        <f t="array" ref="Y29">_xll.BDH("DE US Equity","NET_CHG_IN_LT_INVEST_DETAILED","FQ1 2024","FQ1 2024","Currency=USD","Period=FQ","BEST_FPERIOD_OVERRIDE=FQ","FILING_STATUS=MR","SCALING_FORMAT=MLN","Sort=A","Dates=H","DateFormat=P","Fill=—","Direction=H","UseDPDF=Y")</f>
        <v>1305</v>
      </c>
      <c r="Z29" s="12" cm="1">
        <f t="array" ref="Z29">_xll.BDH("DE US Equity","NET_CHG_IN_LT_INVEST_DETAILED","FQ2 2024","FQ2 2024","Currency=USD","Period=FQ","BEST_FPERIOD_OVERRIDE=FQ","FILING_STATUS=MR","SCALING_FORMAT=MLN","Sort=A","Dates=H","DateFormat=P","Fill=—","Direction=H","UseDPDF=Y")</f>
        <v>-1693</v>
      </c>
      <c r="AA29" s="12" cm="1">
        <f t="array" ref="AA29">_xll.BDH("DE US Equity","NET_CHG_IN_LT_INVEST_DETAILED","FQ3 2024","FQ3 2024","Currency=USD","Period=FQ","BEST_FPERIOD_OVERRIDE=FQ","FILING_STATUS=MR","SCALING_FORMAT=MLN","Sort=A","Dates=H","DateFormat=P","Fill=—","Direction=H","UseDPDF=Y")</f>
        <v>-1582</v>
      </c>
      <c r="AB29" s="12" cm="1">
        <f t="array" ref="AB29">_xll.BDH("DE US Equity","NET_CHG_IN_LT_INVEST_DETAILED","FQ4 2024","FQ4 2024","Currency=USD","Period=FQ","BEST_FPERIOD_OVERRIDE=FQ","FILING_STATUS=MR","SCALING_FORMAT=MLN","Sort=A","Dates=H","DateFormat=P","Fill=—","Direction=H","UseDPDF=Y")</f>
        <v>-1684</v>
      </c>
      <c r="AC29" s="12" cm="1">
        <f t="array" ref="AC29">_xll.BDH("DE US Equity","NET_CHG_IN_LT_INVEST_DETAILED","FQ1 2025","FQ1 2025","Currency=USD","Period=FQ","BEST_FPERIOD_OVERRIDE=FQ","FILING_STATUS=MR","SCALING_FORMAT=MLN","Sort=A","Dates=H","DateFormat=P","Fill=—","Direction=H","UseDPDF=Y")</f>
        <v>2092</v>
      </c>
      <c r="AD29" s="12" cm="1">
        <f t="array" ref="AD29">_xll.BDH("DE US Equity","NET_CHG_IN_LT_INVEST_DETAILED","FQ2 2025","FQ2 2025","Currency=USD","Period=FQ","BEST_FPERIOD_OVERRIDE=FQ","FILING_STATUS=MR","SCALING_FORMAT=MLN","Sort=A","Dates=H","DateFormat=P","Fill=—","Direction=H","UseDPDF=Y")</f>
        <v>-488</v>
      </c>
      <c r="AE29" s="12" cm="1">
        <f t="array" ref="AE29">_xll.BDH("DE US Equity","NET_CHG_IN_LT_INVEST_DETAILED","FQ3 2025","FQ3 2025","Currency=USD","Period=FQ","BEST_FPERIOD_OVERRIDE=FQ","FILING_STATUS=MR","SCALING_FORMAT=MLN","Sort=A","Dates=H","DateFormat=P","Fill=—","Direction=H","UseDPDF=Y")</f>
        <v>-854</v>
      </c>
      <c r="AF29" s="12" cm="1">
        <f t="array" ref="AF29">_xll.BDH("DE US Equity","NET_CHG_IN_LT_INVEST_DETAILED","FQ4 2025","FQ4 2025","Currency=USD","Period=FQ","BEST_FPERIOD_OVERRIDE=FQ","FILING_STATUS=MR","SCALING_FORMAT=MLN","Sort=A","Dates=H","DateFormat=P","Fill=—","Direction=H","UseDPDF=Y")</f>
        <v>-719</v>
      </c>
    </row>
    <row r="30" spans="1:32" x14ac:dyDescent="0.25">
      <c r="A30" s="10" t="s">
        <v>108</v>
      </c>
      <c r="B30" s="10" t="s">
        <v>109</v>
      </c>
      <c r="C30" s="12" cm="1">
        <f t="array" ref="C30">_xll.BDH("DE US Equity","CF_DECR_INVEST","FQ3 2018","FQ3 2018","Currency=USD","Period=FQ","BEST_FPERIOD_OVERRIDE=FQ","FILING_STATUS=MR","SCALING_FORMAT=MLN","Sort=A","Dates=H","DateFormat=P","Fill=—","Direction=H","UseDPDF=Y")</f>
        <v>3381.1</v>
      </c>
      <c r="D30" s="12" cm="1">
        <f t="array" ref="D30">_xll.BDH("DE US Equity","CF_DECR_INVEST","FQ4 2018","FQ4 2018","Currency=USD","Period=FQ","BEST_FPERIOD_OVERRIDE=FQ","FILING_STATUS=MR","SCALING_FORMAT=MLN","Sort=A","Dates=H","DateFormat=P","Fill=—","Direction=H","UseDPDF=Y")</f>
        <v>3427</v>
      </c>
      <c r="E30" s="12" cm="1">
        <f t="array" ref="E30">_xll.BDH("DE US Equity","CF_DECR_INVEST","FQ1 2019","FQ1 2019","Currency=USD","Period=FQ","BEST_FPERIOD_OVERRIDE=FQ","FILING_STATUS=MR","SCALING_FORMAT=MLN","Sort=A","Dates=H","DateFormat=P","Fill=—","Direction=H","UseDPDF=Y")</f>
        <v>5496</v>
      </c>
      <c r="F30" s="12" cm="1">
        <f t="array" ref="F30">_xll.BDH("DE US Equity","CF_DECR_INVEST","FQ2 2019","FQ2 2019","Currency=USD","Period=FQ","BEST_FPERIOD_OVERRIDE=FQ","FILING_STATUS=MR","SCALING_FORMAT=MLN","Sort=A","Dates=H","DateFormat=P","Fill=—","Direction=H","UseDPDF=Y")</f>
        <v>3679.6</v>
      </c>
      <c r="G30" s="12" cm="1">
        <f t="array" ref="G30">_xll.BDH("DE US Equity","CF_DECR_INVEST","FQ3 2019","FQ3 2019","Currency=USD","Period=FQ","BEST_FPERIOD_OVERRIDE=FQ","FILING_STATUS=MR","SCALING_FORMAT=MLN","Sort=A","Dates=H","DateFormat=P","Fill=—","Direction=H","UseDPDF=Y")</f>
        <v>3509</v>
      </c>
      <c r="H30" s="12" cm="1">
        <f t="array" ref="H30">_xll.BDH("DE US Equity","CF_DECR_INVEST","FQ4 2019","FQ4 2019","Currency=USD","Period=FQ","BEST_FPERIOD_OVERRIDE=FQ","FILING_STATUS=MR","SCALING_FORMAT=MLN","Sort=A","Dates=H","DateFormat=P","Fill=—","Direction=H","UseDPDF=Y")</f>
        <v>4021</v>
      </c>
      <c r="I30" s="12" cm="1">
        <f t="array" ref="I30">_xll.BDH("DE US Equity","CF_DECR_INVEST","FQ1 2020","FQ1 2020","Currency=USD","Period=FQ","BEST_FPERIOD_OVERRIDE=FQ","FILING_STATUS=MR","SCALING_FORMAT=MLN","Sort=A","Dates=H","DateFormat=P","Fill=—","Direction=H","UseDPDF=Y")</f>
        <v>5664</v>
      </c>
      <c r="J30" s="12" cm="1">
        <f t="array" ref="J30">_xll.BDH("DE US Equity","CF_DECR_INVEST","FQ2 2020","FQ2 2020","Currency=USD","Period=FQ","BEST_FPERIOD_OVERRIDE=FQ","FILING_STATUS=MR","SCALING_FORMAT=MLN","Sort=A","Dates=H","DateFormat=P","Fill=—","Direction=H","UseDPDF=Y")</f>
        <v>3960</v>
      </c>
      <c r="K30" s="12" cm="1">
        <f t="array" ref="K30">_xll.BDH("DE US Equity","CF_DECR_INVEST","FQ3 2020","FQ3 2020","Currency=USD","Period=FQ","BEST_FPERIOD_OVERRIDE=FQ","FILING_STATUS=MR","SCALING_FORMAT=MLN","Sort=A","Dates=H","DateFormat=P","Fill=—","Direction=H","UseDPDF=Y")</f>
        <v>3613</v>
      </c>
      <c r="L30" s="12" cm="1">
        <f t="array" ref="L30">_xll.BDH("DE US Equity","CF_DECR_INVEST","FQ4 2020","FQ4 2020","Currency=USD","Period=FQ","BEST_FPERIOD_OVERRIDE=FQ","FILING_STATUS=MR","SCALING_FORMAT=MLN","Sort=A","Dates=H","DateFormat=P","Fill=—","Direction=H","UseDPDF=Y")</f>
        <v>4144</v>
      </c>
      <c r="M30" s="12" cm="1">
        <f t="array" ref="M30">_xll.BDH("DE US Equity","CF_DECR_INVEST","FQ1 2021","FQ1 2021","Currency=USD","Period=FQ","BEST_FPERIOD_OVERRIDE=FQ","FILING_STATUS=MR","SCALING_FORMAT=MLN","Sort=A","Dates=H","DateFormat=P","Fill=—","Direction=H","UseDPDF=Y")</f>
        <v>5999</v>
      </c>
      <c r="N30" s="12" cm="1">
        <f t="array" ref="N30">_xll.BDH("DE US Equity","CF_DECR_INVEST","FQ2 2021","FQ2 2021","Currency=USD","Period=FQ","BEST_FPERIOD_OVERRIDE=FQ","FILING_STATUS=MR","SCALING_FORMAT=MLN","Sort=A","Dates=H","DateFormat=P","Fill=—","Direction=H","UseDPDF=Y")</f>
        <v>4368</v>
      </c>
      <c r="O30" s="12" cm="1">
        <f t="array" ref="O30">_xll.BDH("DE US Equity","CF_DECR_INVEST","FQ3 2021","FQ3 2021","Currency=USD","Period=FQ","BEST_FPERIOD_OVERRIDE=FQ","FILING_STATUS=MR","SCALING_FORMAT=MLN","Sort=A","Dates=H","DateFormat=P","Fill=—","Direction=H","UseDPDF=Y")</f>
        <v>4113</v>
      </c>
      <c r="P30" s="12" cm="1">
        <f t="array" ref="P30">_xll.BDH("DE US Equity","CF_DECR_INVEST","FQ4 2021","FQ4 2021","Currency=USD","Period=FQ","BEST_FPERIOD_OVERRIDE=FQ","FILING_STATUS=MR","SCALING_FORMAT=MLN","Sort=A","Dates=H","DateFormat=P","Fill=—","Direction=H","UseDPDF=Y")</f>
        <v>4479</v>
      </c>
      <c r="Q30" s="12" cm="1">
        <f t="array" ref="Q30">_xll.BDH("DE US Equity","CF_DECR_INVEST","FQ1 2022","FQ1 2022","Currency=USD","Period=FQ","BEST_FPERIOD_OVERRIDE=FQ","FILING_STATUS=MR","SCALING_FORMAT=MLN","Sort=A","Dates=H","DateFormat=P","Fill=—","Direction=H","UseDPDF=Y")</f>
        <v>6435</v>
      </c>
      <c r="R30" s="12" cm="1">
        <f t="array" ref="R30">_xll.BDH("DE US Equity","CF_DECR_INVEST","FQ2 2022","FQ2 2022","Currency=USD","Period=FQ","BEST_FPERIOD_OVERRIDE=FQ","FILING_STATUS=MR","SCALING_FORMAT=MLN","Sort=A","Dates=H","DateFormat=P","Fill=—","Direction=H","UseDPDF=Y")</f>
        <v>4755</v>
      </c>
      <c r="S30" s="12" cm="1">
        <f t="array" ref="S30">_xll.BDH("DE US Equity","CF_DECR_INVEST","FQ3 2022","FQ3 2022","Currency=USD","Period=FQ","BEST_FPERIOD_OVERRIDE=FQ","FILING_STATUS=MR","SCALING_FORMAT=MLN","Sort=A","Dates=H","DateFormat=P","Fill=—","Direction=H","UseDPDF=Y")</f>
        <v>4584</v>
      </c>
      <c r="T30" s="12" cm="1">
        <f t="array" ref="T30">_xll.BDH("DE US Equity","CF_DECR_INVEST","FQ4 2022","FQ4 2022","Currency=USD","Period=FQ","BEST_FPERIOD_OVERRIDE=FQ","FILING_STATUS=MR","SCALING_FORMAT=MLN","Sort=A","Dates=H","DateFormat=P","Fill=—","Direction=H","UseDPDF=Y")</f>
        <v>5133</v>
      </c>
      <c r="U30" s="12" cm="1">
        <f t="array" ref="U30">_xll.BDH("DE US Equity","CF_DECR_INVEST","FQ1 2023","FQ1 2023","Currency=USD","Period=FQ","BEST_FPERIOD_OVERRIDE=FQ","FILING_STATUS=MR","SCALING_FORMAT=MLN","Sort=A","Dates=H","DateFormat=P","Fill=—","Direction=H","UseDPDF=Y")</f>
        <v>7198</v>
      </c>
      <c r="V30" s="12" cm="1">
        <f t="array" ref="V30">_xll.BDH("DE US Equity","CF_DECR_INVEST","FQ2 2023","FQ2 2023","Currency=USD","Period=FQ","BEST_FPERIOD_OVERRIDE=FQ","FILING_STATUS=MR","SCALING_FORMAT=MLN","Sort=A","Dates=H","DateFormat=P","Fill=—","Direction=H","UseDPDF=Y")</f>
        <v>5395</v>
      </c>
      <c r="W30" s="12" cm="1">
        <f t="array" ref="W30">_xll.BDH("DE US Equity","CF_DECR_INVEST","FQ3 2023","FQ3 2023","Currency=USD","Period=FQ","BEST_FPERIOD_OVERRIDE=FQ","FILING_STATUS=MR","SCALING_FORMAT=MLN","Sort=A","Dates=H","DateFormat=P","Fill=—","Direction=H","UseDPDF=Y")</f>
        <v>4999</v>
      </c>
      <c r="X30" s="12" cm="1">
        <f t="array" ref="X30">_xll.BDH("DE US Equity","CF_DECR_INVEST","FQ4 2023","FQ4 2023","Currency=USD","Period=FQ","BEST_FPERIOD_OVERRIDE=FQ","FILING_STATUS=MR","SCALING_FORMAT=MLN","Sort=A","Dates=H","DateFormat=P","Fill=—","Direction=H","UseDPDF=Y")</f>
        <v>5459</v>
      </c>
      <c r="Y30" s="12" cm="1">
        <f t="array" ref="Y30">_xll.BDH("DE US Equity","CF_DECR_INVEST","FQ1 2024","FQ1 2024","Currency=USD","Period=FQ","BEST_FPERIOD_OVERRIDE=FQ","FILING_STATUS=MR","SCALING_FORMAT=MLN","Sort=A","Dates=H","DateFormat=P","Fill=—","Direction=H","UseDPDF=Y")</f>
        <v>7752</v>
      </c>
      <c r="Z30" s="12" cm="1">
        <f t="array" ref="Z30">_xll.BDH("DE US Equity","CF_DECR_INVEST","FQ2 2024","FQ2 2024","Currency=USD","Period=FQ","BEST_FPERIOD_OVERRIDE=FQ","FILING_STATUS=MR","SCALING_FORMAT=MLN","Sort=A","Dates=H","DateFormat=P","Fill=—","Direction=H","UseDPDF=Y")</f>
        <v>5951</v>
      </c>
      <c r="AA30" s="12" cm="1">
        <f t="array" ref="AA30">_xll.BDH("DE US Equity","CF_DECR_INVEST","FQ3 2024","FQ3 2024","Currency=USD","Period=FQ","BEST_FPERIOD_OVERRIDE=FQ","FILING_STATUS=MR","SCALING_FORMAT=MLN","Sort=A","Dates=H","DateFormat=P","Fill=—","Direction=H","UseDPDF=Y")</f>
        <v>5440</v>
      </c>
      <c r="AB30" s="12" cm="1">
        <f t="array" ref="AB30">_xll.BDH("DE US Equity","CF_DECR_INVEST","FQ4 2024","FQ4 2024","Currency=USD","Period=FQ","BEST_FPERIOD_OVERRIDE=FQ","FILING_STATUS=MR","SCALING_FORMAT=MLN","Sort=A","Dates=H","DateFormat=P","Fill=—","Direction=H","UseDPDF=Y")</f>
        <v>6019</v>
      </c>
      <c r="AC30" s="12" cm="1">
        <f t="array" ref="AC30">_xll.BDH("DE US Equity","CF_DECR_INVEST","FQ1 2025","FQ1 2025","Currency=USD","Period=FQ","BEST_FPERIOD_OVERRIDE=FQ","FILING_STATUS=MR","SCALING_FORMAT=MLN","Sort=A","Dates=H","DateFormat=P","Fill=—","Direction=H","UseDPDF=Y")</f>
        <v>8137</v>
      </c>
      <c r="AD30" s="12" cm="1">
        <f t="array" ref="AD30">_xll.BDH("DE US Equity","CF_DECR_INVEST","FQ2 2025","FQ2 2025","Currency=USD","Period=FQ","BEST_FPERIOD_OVERRIDE=FQ","FILING_STATUS=MR","SCALING_FORMAT=MLN","Sort=A","Dates=H","DateFormat=P","Fill=—","Direction=H","UseDPDF=Y")</f>
        <v>6211</v>
      </c>
      <c r="AE30" s="12" cm="1">
        <f t="array" ref="AE30">_xll.BDH("DE US Equity","CF_DECR_INVEST","FQ3 2025","FQ3 2025","Currency=USD","Period=FQ","BEST_FPERIOD_OVERRIDE=FQ","FILING_STATUS=MR","SCALING_FORMAT=MLN","Sort=A","Dates=H","DateFormat=P","Fill=—","Direction=H","UseDPDF=Y")</f>
        <v>5364</v>
      </c>
      <c r="AF30" s="12" cm="1">
        <f t="array" ref="AF30">_xll.BDH("DE US Equity","CF_DECR_INVEST","FQ4 2025","FQ4 2025","Currency=USD","Period=FQ","BEST_FPERIOD_OVERRIDE=FQ","FILING_STATUS=MR","SCALING_FORMAT=MLN","Sort=A","Dates=H","DateFormat=P","Fill=—","Direction=H","UseDPDF=Y")</f>
        <v>6768</v>
      </c>
    </row>
    <row r="31" spans="1:32" x14ac:dyDescent="0.25">
      <c r="A31" s="10" t="s">
        <v>110</v>
      </c>
      <c r="B31" s="10" t="s">
        <v>111</v>
      </c>
      <c r="C31" s="12" cm="1">
        <f t="array" ref="C31">_xll.BDH("DE US Equity","CF_INCR_INVEST","FQ3 2018","FQ3 2018","Currency=USD","Period=FQ","BEST_FPERIOD_OVERRIDE=FQ","FILING_STATUS=MR","SCALING_FORMAT=MLN","Sort=A","Dates=H","DateFormat=P","Fill=—","Direction=H","UseDPDF=Y")</f>
        <v>-4404.8</v>
      </c>
      <c r="D31" s="12" cm="1">
        <f t="array" ref="D31">_xll.BDH("DE US Equity","CF_INCR_INVEST","FQ4 2018","FQ4 2018","Currency=USD","Period=FQ","BEST_FPERIOD_OVERRIDE=FQ","FILING_STATUS=MR","SCALING_FORMAT=MLN","Sort=A","Dates=H","DateFormat=P","Fill=—","Direction=H","UseDPDF=Y")</f>
        <v>-4427</v>
      </c>
      <c r="E31" s="12" cm="1">
        <f t="array" ref="E31">_xll.BDH("DE US Equity","CF_INCR_INVEST","FQ1 2019","FQ1 2019","Currency=USD","Period=FQ","BEST_FPERIOD_OVERRIDE=FQ","FILING_STATUS=MR","SCALING_FORMAT=MLN","Sort=A","Dates=H","DateFormat=P","Fill=—","Direction=H","UseDPDF=Y")</f>
        <v>-4213</v>
      </c>
      <c r="F31" s="12" cm="1">
        <f t="array" ref="F31">_xll.BDH("DE US Equity","CF_INCR_INVEST","FQ2 2019","FQ2 2019","Currency=USD","Period=FQ","BEST_FPERIOD_OVERRIDE=FQ","FILING_STATUS=MR","SCALING_FORMAT=MLN","Sort=A","Dates=H","DateFormat=P","Fill=—","Direction=H","UseDPDF=Y")</f>
        <v>-4674.2</v>
      </c>
      <c r="G31" s="12" cm="1">
        <f t="array" ref="G31">_xll.BDH("DE US Equity","CF_INCR_INVEST","FQ3 2019","FQ3 2019","Currency=USD","Period=FQ","BEST_FPERIOD_OVERRIDE=FQ","FILING_STATUS=MR","SCALING_FORMAT=MLN","Sort=A","Dates=H","DateFormat=P","Fill=—","Direction=H","UseDPDF=Y")</f>
        <v>-4775</v>
      </c>
      <c r="H31" s="12" cm="1">
        <f t="array" ref="H31">_xll.BDH("DE US Equity","CF_INCR_INVEST","FQ4 2019","FQ4 2019","Currency=USD","Period=FQ","BEST_FPERIOD_OVERRIDE=FQ","FILING_STATUS=MR","SCALING_FORMAT=MLN","Sort=A","Dates=H","DateFormat=P","Fill=—","Direction=H","UseDPDF=Y")</f>
        <v>-5211</v>
      </c>
      <c r="I31" s="12" cm="1">
        <f t="array" ref="I31">_xll.BDH("DE US Equity","CF_INCR_INVEST","FQ1 2020","FQ1 2020","Currency=USD","Period=FQ","BEST_FPERIOD_OVERRIDE=FQ","FILING_STATUS=MR","SCALING_FORMAT=MLN","Sort=A","Dates=H","DateFormat=P","Fill=—","Direction=H","UseDPDF=Y")</f>
        <v>-4303</v>
      </c>
      <c r="J31" s="12" cm="1">
        <f t="array" ref="J31">_xll.BDH("DE US Equity","CF_INCR_INVEST","FQ2 2020","FQ2 2020","Currency=USD","Period=FQ","BEST_FPERIOD_OVERRIDE=FQ","FILING_STATUS=MR","SCALING_FORMAT=MLN","Sort=A","Dates=H","DateFormat=P","Fill=—","Direction=H","UseDPDF=Y")</f>
        <v>-5064</v>
      </c>
      <c r="K31" s="12" cm="1">
        <f t="array" ref="K31">_xll.BDH("DE US Equity","CF_INCR_INVEST","FQ3 2020","FQ3 2020","Currency=USD","Period=FQ","BEST_FPERIOD_OVERRIDE=FQ","FILING_STATUS=MR","SCALING_FORMAT=MLN","Sort=A","Dates=H","DateFormat=P","Fill=—","Direction=H","UseDPDF=Y")</f>
        <v>-5082</v>
      </c>
      <c r="L31" s="12" cm="1">
        <f t="array" ref="L31">_xll.BDH("DE US Equity","CF_INCR_INVEST","FQ4 2020","FQ4 2020","Currency=USD","Period=FQ","BEST_FPERIOD_OVERRIDE=FQ","FILING_STATUS=MR","SCALING_FORMAT=MLN","Sort=A","Dates=H","DateFormat=P","Fill=—","Direction=H","UseDPDF=Y")</f>
        <v>-5516</v>
      </c>
      <c r="M31" s="12" cm="1">
        <f t="array" ref="M31">_xll.BDH("DE US Equity","CF_INCR_INVEST","FQ1 2021","FQ1 2021","Currency=USD","Period=FQ","BEST_FPERIOD_OVERRIDE=FQ","FILING_STATUS=MR","SCALING_FORMAT=MLN","Sort=A","Dates=H","DateFormat=P","Fill=—","Direction=H","UseDPDF=Y")</f>
        <v>-5300</v>
      </c>
      <c r="N31" s="12" cm="1">
        <f t="array" ref="N31">_xll.BDH("DE US Equity","CF_INCR_INVEST","FQ2 2021","FQ2 2021","Currency=USD","Period=FQ","BEST_FPERIOD_OVERRIDE=FQ","FILING_STATUS=MR","SCALING_FORMAT=MLN","Sort=A","Dates=H","DateFormat=P","Fill=—","Direction=H","UseDPDF=Y")</f>
        <v>-6059</v>
      </c>
      <c r="O31" s="12" cm="1">
        <f t="array" ref="O31">_xll.BDH("DE US Equity","CF_INCR_INVEST","FQ3 2021","FQ3 2021","Currency=USD","Period=FQ","BEST_FPERIOD_OVERRIDE=FQ","FILING_STATUS=MR","SCALING_FORMAT=MLN","Sort=A","Dates=H","DateFormat=P","Fill=—","Direction=H","UseDPDF=Y")</f>
        <v>-5802</v>
      </c>
      <c r="P31" s="12" cm="1">
        <f t="array" ref="P31">_xll.BDH("DE US Equity","CF_INCR_INVEST","FQ4 2021","FQ4 2021","Currency=USD","Period=FQ","BEST_FPERIOD_OVERRIDE=FQ","FILING_STATUS=MR","SCALING_FORMAT=MLN","Sort=A","Dates=H","DateFormat=P","Fill=—","Direction=H","UseDPDF=Y")</f>
        <v>-6492</v>
      </c>
      <c r="Q31" s="12" cm="1">
        <f t="array" ref="Q31">_xll.BDH("DE US Equity","CF_INCR_INVEST","FQ1 2022","FQ1 2022","Currency=USD","Period=FQ","BEST_FPERIOD_OVERRIDE=FQ","FILING_STATUS=MR","SCALING_FORMAT=MLN","Sort=A","Dates=H","DateFormat=P","Fill=—","Direction=H","UseDPDF=Y")</f>
        <v>-5603</v>
      </c>
      <c r="R31" s="12" cm="1">
        <f t="array" ref="R31">_xll.BDH("DE US Equity","CF_INCR_INVEST","FQ2 2022","FQ2 2022","Currency=USD","Period=FQ","BEST_FPERIOD_OVERRIDE=FQ","FILING_STATUS=MR","SCALING_FORMAT=MLN","Sort=A","Dates=H","DateFormat=P","Fill=—","Direction=H","UseDPDF=Y")</f>
        <v>-6368</v>
      </c>
      <c r="S31" s="12" cm="1">
        <f t="array" ref="S31">_xll.BDH("DE US Equity","CF_INCR_INVEST","FQ3 2022","FQ3 2022","Currency=USD","Period=FQ","BEST_FPERIOD_OVERRIDE=FQ","FILING_STATUS=MR","SCALING_FORMAT=MLN","Sort=A","Dates=H","DateFormat=P","Fill=—","Direction=H","UseDPDF=Y")</f>
        <v>-6607</v>
      </c>
      <c r="T31" s="12" cm="1">
        <f t="array" ref="T31">_xll.BDH("DE US Equity","CF_INCR_INVEST","FQ4 2022","FQ4 2022","Currency=USD","Period=FQ","BEST_FPERIOD_OVERRIDE=FQ","FILING_STATUS=MR","SCALING_FORMAT=MLN","Sort=A","Dates=H","DateFormat=P","Fill=—","Direction=H","UseDPDF=Y")</f>
        <v>-7722</v>
      </c>
      <c r="U31" s="12" cm="1">
        <f t="array" ref="U31">_xll.BDH("DE US Equity","CF_INCR_INVEST","FQ1 2023","FQ1 2023","Currency=USD","Period=FQ","BEST_FPERIOD_OVERRIDE=FQ","FILING_STATUS=MR","SCALING_FORMAT=MLN","Sort=A","Dates=H","DateFormat=P","Fill=—","Direction=H","UseDPDF=Y")</f>
        <v>-6322</v>
      </c>
      <c r="V31" s="12" cm="1">
        <f t="array" ref="V31">_xll.BDH("DE US Equity","CF_INCR_INVEST","FQ2 2023","FQ2 2023","Currency=USD","Period=FQ","BEST_FPERIOD_OVERRIDE=FQ","FILING_STATUS=MR","SCALING_FORMAT=MLN","Sort=A","Dates=H","DateFormat=P","Fill=—","Direction=H","UseDPDF=Y")</f>
        <v>-7129</v>
      </c>
      <c r="W31" s="12" cm="1">
        <f t="array" ref="W31">_xll.BDH("DE US Equity","CF_INCR_INVEST","FQ3 2023","FQ3 2023","Currency=USD","Period=FQ","BEST_FPERIOD_OVERRIDE=FQ","FILING_STATUS=MR","SCALING_FORMAT=MLN","Sort=A","Dates=H","DateFormat=P","Fill=—","Direction=H","UseDPDF=Y")</f>
        <v>-7263</v>
      </c>
      <c r="X31" s="12" cm="1">
        <f t="array" ref="X31">_xll.BDH("DE US Equity","CF_INCR_INVEST","FQ4 2023","FQ4 2023","Currency=USD","Period=FQ","BEST_FPERIOD_OVERRIDE=FQ","FILING_STATUS=MR","SCALING_FORMAT=MLN","Sort=A","Dates=H","DateFormat=P","Fill=—","Direction=H","UseDPDF=Y")</f>
        <v>-8058</v>
      </c>
      <c r="Y31" s="12" cm="1">
        <f t="array" ref="Y31">_xll.BDH("DE US Equity","CF_INCR_INVEST","FQ1 2024","FQ1 2024","Currency=USD","Period=FQ","BEST_FPERIOD_OVERRIDE=FQ","FILING_STATUS=MR","SCALING_FORMAT=MLN","Sort=A","Dates=H","DateFormat=P","Fill=—","Direction=H","UseDPDF=Y")</f>
        <v>-6447</v>
      </c>
      <c r="Z31" s="12" cm="1">
        <f t="array" ref="Z31">_xll.BDH("DE US Equity","CF_INCR_INVEST","FQ2 2024","FQ2 2024","Currency=USD","Period=FQ","BEST_FPERIOD_OVERRIDE=FQ","FILING_STATUS=MR","SCALING_FORMAT=MLN","Sort=A","Dates=H","DateFormat=P","Fill=—","Direction=H","UseDPDF=Y")</f>
        <v>-7644</v>
      </c>
      <c r="AA31" s="12" cm="1">
        <f t="array" ref="AA31">_xll.BDH("DE US Equity","CF_INCR_INVEST","FQ3 2024","FQ3 2024","Currency=USD","Period=FQ","BEST_FPERIOD_OVERRIDE=FQ","FILING_STATUS=MR","SCALING_FORMAT=MLN","Sort=A","Dates=H","DateFormat=P","Fill=—","Direction=H","UseDPDF=Y")</f>
        <v>-7022</v>
      </c>
      <c r="AB31" s="12" cm="1">
        <f t="array" ref="AB31">_xll.BDH("DE US Equity","CF_INCR_INVEST","FQ4 2024","FQ4 2024","Currency=USD","Period=FQ","BEST_FPERIOD_OVERRIDE=FQ","FILING_STATUS=MR","SCALING_FORMAT=MLN","Sort=A","Dates=H","DateFormat=P","Fill=—","Direction=H","UseDPDF=Y")</f>
        <v>-7703</v>
      </c>
      <c r="AC31" s="12" cm="1">
        <f t="array" ref="AC31">_xll.BDH("DE US Equity","CF_INCR_INVEST","FQ1 2025","FQ1 2025","Currency=USD","Period=FQ","BEST_FPERIOD_OVERRIDE=FQ","FILING_STATUS=MR","SCALING_FORMAT=MLN","Sort=A","Dates=H","DateFormat=P","Fill=—","Direction=H","UseDPDF=Y")</f>
        <v>-6045</v>
      </c>
      <c r="AD31" s="12" cm="1">
        <f t="array" ref="AD31">_xll.BDH("DE US Equity","CF_INCR_INVEST","FQ2 2025","FQ2 2025","Currency=USD","Period=FQ","BEST_FPERIOD_OVERRIDE=FQ","FILING_STATUS=MR","SCALING_FORMAT=MLN","Sort=A","Dates=H","DateFormat=P","Fill=—","Direction=H","UseDPDF=Y")</f>
        <v>-6699</v>
      </c>
      <c r="AE31" s="12" cm="1">
        <f t="array" ref="AE31">_xll.BDH("DE US Equity","CF_INCR_INVEST","FQ3 2025","FQ3 2025","Currency=USD","Period=FQ","BEST_FPERIOD_OVERRIDE=FQ","FILING_STATUS=MR","SCALING_FORMAT=MLN","Sort=A","Dates=H","DateFormat=P","Fill=—","Direction=H","UseDPDF=Y")</f>
        <v>-6218</v>
      </c>
      <c r="AF31" s="12" cm="1">
        <f t="array" ref="AF31">_xll.BDH("DE US Equity","CF_INCR_INVEST","FQ4 2025","FQ4 2025","Currency=USD","Period=FQ","BEST_FPERIOD_OVERRIDE=FQ","FILING_STATUS=MR","SCALING_FORMAT=MLN","Sort=A","Dates=H","DateFormat=P","Fill=—","Direction=H","UseDPDF=Y")</f>
        <v>-7487</v>
      </c>
    </row>
    <row r="32" spans="1:32" x14ac:dyDescent="0.25">
      <c r="A32" s="10" t="s">
        <v>112</v>
      </c>
      <c r="B32" s="10" t="s">
        <v>113</v>
      </c>
      <c r="C32" s="12" cm="1">
        <f t="array" ref="C32">_xll.BDH("DE US Equity","CF_NT_CSH_RCVD_PD_FOR_ACQUIS_DIV","FQ3 2018","FQ3 2018","Currency=USD","Period=FQ","BEST_FPERIOD_OVERRIDE=FQ","FILING_STATUS=MR","SCALING_FORMAT=MLN","Sort=A","Dates=H","DateFormat=P","Fill=—","Direction=H","UseDPDF=Y")</f>
        <v>78.099999999999994</v>
      </c>
      <c r="D32" s="12" cm="1">
        <f t="array" ref="D32">_xll.BDH("DE US Equity","CF_NT_CSH_RCVD_PD_FOR_ACQUIS_DIV","FQ4 2018","FQ4 2018","Currency=USD","Period=FQ","BEST_FPERIOD_OVERRIDE=FQ","FILING_STATUS=MR","SCALING_FORMAT=MLN","Sort=A","Dates=H","DateFormat=P","Fill=—","Direction=H","UseDPDF=Y")</f>
        <v>-51</v>
      </c>
      <c r="E32" s="12" cm="1">
        <f t="array" ref="E32">_xll.BDH("DE US Equity","CF_NT_CSH_RCVD_PD_FOR_ACQUIS_DIV","FQ1 2019","FQ1 2019","Currency=USD","Period=FQ","BEST_FPERIOD_OVERRIDE=FQ","FILING_STATUS=MR","SCALING_FORMAT=MLN","Sort=A","Dates=H","DateFormat=P","Fill=—","Direction=H","UseDPDF=Y")</f>
        <v>0</v>
      </c>
      <c r="F32" s="12" cm="1">
        <f t="array" ref="F32">_xll.BDH("DE US Equity","CF_NT_CSH_RCVD_PD_FOR_ACQUIS_DIV","FQ2 2019","FQ2 2019","Currency=USD","Period=FQ","BEST_FPERIOD_OVERRIDE=FQ","FILING_STATUS=MR","SCALING_FORMAT=MLN","Sort=A","Dates=H","DateFormat=P","Fill=—","Direction=H","UseDPDF=Y")</f>
        <v>0</v>
      </c>
      <c r="G32" s="12" cm="1">
        <f t="array" ref="G32">_xll.BDH("DE US Equity","CF_NT_CSH_RCVD_PD_FOR_ACQUIS_DIV","FQ3 2019","FQ3 2019","Currency=USD","Period=FQ","BEST_FPERIOD_OVERRIDE=FQ","FILING_STATUS=MR","SCALING_FORMAT=MLN","Sort=A","Dates=H","DateFormat=P","Fill=—","Direction=H","UseDPDF=Y")</f>
        <v>0</v>
      </c>
      <c r="H32" s="12" cm="1">
        <f t="array" ref="H32">_xll.BDH("DE US Equity","CF_NT_CSH_RCVD_PD_FOR_ACQUIS_DIV","FQ4 2019","FQ4 2019","Currency=USD","Period=FQ","BEST_FPERIOD_OVERRIDE=FQ","FILING_STATUS=MR","SCALING_FORMAT=MLN","Sort=A","Dates=H","DateFormat=P","Fill=—","Direction=H","UseDPDF=Y")</f>
        <v>93</v>
      </c>
      <c r="I32" s="12" cm="1">
        <f t="array" ref="I32">_xll.BDH("DE US Equity","CF_NT_CSH_RCVD_PD_FOR_ACQUIS_DIV","FQ1 2020","FQ1 2020","Currency=USD","Period=FQ","BEST_FPERIOD_OVERRIDE=FQ","FILING_STATUS=MR","SCALING_FORMAT=MLN","Sort=A","Dates=H","DateFormat=P","Fill=—","Direction=H","UseDPDF=Y")</f>
        <v>0</v>
      </c>
      <c r="J32" s="12" cm="1">
        <f t="array" ref="J32">_xll.BDH("DE US Equity","CF_NT_CSH_RCVD_PD_FOR_ACQUIS_DIV","FQ2 2020","FQ2 2020","Currency=USD","Period=FQ","BEST_FPERIOD_OVERRIDE=FQ","FILING_STATUS=MR","SCALING_FORMAT=MLN","Sort=A","Dates=H","DateFormat=P","Fill=—","Direction=H","UseDPDF=Y")</f>
        <v>0</v>
      </c>
      <c r="K32" s="12" cm="1">
        <f t="array" ref="K32">_xll.BDH("DE US Equity","CF_NT_CSH_RCVD_PD_FOR_ACQUIS_DIV","FQ3 2020","FQ3 2020","Currency=USD","Period=FQ","BEST_FPERIOD_OVERRIDE=FQ","FILING_STATUS=MR","SCALING_FORMAT=MLN","Sort=A","Dates=H","DateFormat=P","Fill=—","Direction=H","UseDPDF=Y")</f>
        <v>0</v>
      </c>
      <c r="L32" s="12" cm="1">
        <f t="array" ref="L32">_xll.BDH("DE US Equity","CF_NT_CSH_RCVD_PD_FOR_ACQUIS_DIV","FQ4 2020","FQ4 2020","Currency=USD","Period=FQ","BEST_FPERIOD_OVERRIDE=FQ","FILING_STATUS=MR","SCALING_FORMAT=MLN","Sort=A","Dates=H","DateFormat=P","Fill=—","Direction=H","UseDPDF=Y")</f>
        <v>-66</v>
      </c>
      <c r="M32" s="12" cm="1">
        <f t="array" ref="M32">_xll.BDH("DE US Equity","CF_NT_CSH_RCVD_PD_FOR_ACQUIS_DIV","FQ1 2021","FQ1 2021","Currency=USD","Period=FQ","BEST_FPERIOD_OVERRIDE=FQ","FILING_STATUS=MR","SCALING_FORMAT=MLN","Sort=A","Dates=H","DateFormat=P","Fill=—","Direction=H","UseDPDF=Y")</f>
        <v>-19</v>
      </c>
      <c r="N32" s="12" cm="1">
        <f t="array" ref="N32">_xll.BDH("DE US Equity","CF_NT_CSH_RCVD_PD_FOR_ACQUIS_DIV","FQ2 2021","FQ2 2021","Currency=USD","Period=FQ","BEST_FPERIOD_OVERRIDE=FQ","FILING_STATUS=MR","SCALING_FORMAT=MLN","Sort=A","Dates=H","DateFormat=P","Fill=—","Direction=H","UseDPDF=Y")</f>
        <v>0</v>
      </c>
      <c r="O32" s="12" cm="1">
        <f t="array" ref="O32">_xll.BDH("DE US Equity","CF_NT_CSH_RCVD_PD_FOR_ACQUIS_DIV","FQ3 2021","FQ3 2021","Currency=USD","Period=FQ","BEST_FPERIOD_OVERRIDE=FQ","FILING_STATUS=MR","SCALING_FORMAT=MLN","Sort=A","Dates=H","DateFormat=P","Fill=—","Direction=H","UseDPDF=Y")</f>
        <v>0</v>
      </c>
      <c r="P32" s="12" cm="1">
        <f t="array" ref="P32">_xll.BDH("DE US Equity","CF_NT_CSH_RCVD_PD_FOR_ACQUIS_DIV","FQ4 2021","FQ4 2021","Currency=USD","Period=FQ","BEST_FPERIOD_OVERRIDE=FQ","FILING_STATUS=MR","SCALING_FORMAT=MLN","Sort=A","Dates=H","DateFormat=P","Fill=—","Direction=H","UseDPDF=Y")</f>
        <v>-225</v>
      </c>
      <c r="Q32" s="12" cm="1">
        <f t="array" ref="Q32">_xll.BDH("DE US Equity","CF_NT_CSH_RCVD_PD_FOR_ACQUIS_DIV","FQ1 2022","FQ1 2022","Currency=USD","Period=FQ","BEST_FPERIOD_OVERRIDE=FQ","FILING_STATUS=MR","SCALING_FORMAT=MLN","Sort=A","Dates=H","DateFormat=P","Fill=—","Direction=H","UseDPDF=Y")</f>
        <v>-24</v>
      </c>
      <c r="R32" s="12" cm="1">
        <f t="array" ref="R32">_xll.BDH("DE US Equity","CF_NT_CSH_RCVD_PD_FOR_ACQUIS_DIV","FQ2 2022","FQ2 2022","Currency=USD","Period=FQ","BEST_FPERIOD_OVERRIDE=FQ","FILING_STATUS=MR","SCALING_FORMAT=MLN","Sort=A","Dates=H","DateFormat=P","Fill=—","Direction=H","UseDPDF=Y")</f>
        <v>-449</v>
      </c>
      <c r="S32" s="12" cm="1">
        <f t="array" ref="S32">_xll.BDH("DE US Equity","CF_NT_CSH_RCVD_PD_FOR_ACQUIS_DIV","FQ3 2022","FQ3 2022","Currency=USD","Period=FQ","BEST_FPERIOD_OVERRIDE=FQ","FILING_STATUS=MR","SCALING_FORMAT=MLN","Sort=A","Dates=H","DateFormat=P","Fill=—","Direction=H","UseDPDF=Y")</f>
        <v>-15</v>
      </c>
      <c r="T32" s="12" cm="1">
        <f t="array" ref="T32">_xll.BDH("DE US Equity","CF_NT_CSH_RCVD_PD_FOR_ACQUIS_DIV","FQ4 2022","FQ4 2022","Currency=USD","Period=FQ","BEST_FPERIOD_OVERRIDE=FQ","FILING_STATUS=MR","SCALING_FORMAT=MLN","Sort=A","Dates=H","DateFormat=P","Fill=—","Direction=H","UseDPDF=Y")</f>
        <v>-10</v>
      </c>
      <c r="U32" s="12" cm="1">
        <f t="array" ref="U32">_xll.BDH("DE US Equity","CF_NT_CSH_RCVD_PD_FOR_ACQUIS_DIV","FQ1 2023","FQ1 2023","Currency=USD","Period=FQ","BEST_FPERIOD_OVERRIDE=FQ","FILING_STATUS=MR","SCALING_FORMAT=MLN","Sort=A","Dates=H","DateFormat=P","Fill=—","Direction=H","UseDPDF=Y")</f>
        <v>0</v>
      </c>
      <c r="V32" s="12" cm="1">
        <f t="array" ref="V32">_xll.BDH("DE US Equity","CF_NT_CSH_RCVD_PD_FOR_ACQUIS_DIV","FQ2 2023","FQ2 2023","Currency=USD","Period=FQ","BEST_FPERIOD_OVERRIDE=FQ","FILING_STATUS=MR","SCALING_FORMAT=MLN","Sort=A","Dates=H","DateFormat=P","Fill=—","Direction=H","UseDPDF=Y")</f>
        <v>-41</v>
      </c>
      <c r="W32" s="12" cm="1">
        <f t="array" ref="W32">_xll.BDH("DE US Equity","CF_NT_CSH_RCVD_PD_FOR_ACQUIS_DIV","FQ3 2023","FQ3 2023","Currency=USD","Period=FQ","BEST_FPERIOD_OVERRIDE=FQ","FILING_STATUS=MR","SCALING_FORMAT=MLN","Sort=A","Dates=H","DateFormat=P","Fill=—","Direction=H","UseDPDF=Y")</f>
        <v>-41</v>
      </c>
      <c r="X32" s="12" cm="1">
        <f t="array" ref="X32">_xll.BDH("DE US Equity","CF_NT_CSH_RCVD_PD_FOR_ACQUIS_DIV","FQ4 2023","FQ4 2023","Currency=USD","Period=FQ","BEST_FPERIOD_OVERRIDE=FQ","FILING_STATUS=MR","SCALING_FORMAT=MLN","Sort=A","Dates=H","DateFormat=P","Fill=—","Direction=H","UseDPDF=Y")</f>
        <v>0</v>
      </c>
      <c r="Y32" s="12" cm="1">
        <f t="array" ref="Y32">_xll.BDH("DE US Equity","CF_NT_CSH_RCVD_PD_FOR_ACQUIS_DIV","FQ1 2024","FQ1 2024","Currency=USD","Period=FQ","BEST_FPERIOD_OVERRIDE=FQ","FILING_STATUS=MR","SCALING_FORMAT=MLN","Sort=A","Dates=H","DateFormat=P","Fill=—","Direction=H","UseDPDF=Y")</f>
        <v>0</v>
      </c>
      <c r="Z32" s="12" cm="1">
        <f t="array" ref="Z32">_xll.BDH("DE US Equity","CF_NT_CSH_RCVD_PD_FOR_ACQUIS_DIV","FQ2 2024","FQ2 2024","Currency=USD","Period=FQ","BEST_FPERIOD_OVERRIDE=FQ","FILING_STATUS=MR","SCALING_FORMAT=MLN","Sort=A","Dates=H","DateFormat=P","Fill=—","Direction=H","UseDPDF=Y")</f>
        <v>0</v>
      </c>
      <c r="AA32" s="12" cm="1">
        <f t="array" ref="AA32">_xll.BDH("DE US Equity","CF_NT_CSH_RCVD_PD_FOR_ACQUIS_DIV","FQ3 2024","FQ3 2024","Currency=USD","Period=FQ","BEST_FPERIOD_OVERRIDE=FQ","FILING_STATUS=MR","SCALING_FORMAT=MLN","Sort=A","Dates=H","DateFormat=P","Fill=—","Direction=H","UseDPDF=Y")</f>
        <v>0</v>
      </c>
      <c r="AB32" s="12" cm="1">
        <f t="array" ref="AB32">_xll.BDH("DE US Equity","CF_NT_CSH_RCVD_PD_FOR_ACQUIS_DIV","FQ4 2024","FQ4 2024","Currency=USD","Period=FQ","BEST_FPERIOD_OVERRIDE=FQ","FILING_STATUS=MR","SCALING_FORMAT=MLN","Sort=A","Dates=H","DateFormat=P","Fill=—","Direction=H","UseDPDF=Y")</f>
        <v>0</v>
      </c>
      <c r="AC32" s="12" cm="1">
        <f t="array" ref="AC32">_xll.BDH("DE US Equity","CF_NT_CSH_RCVD_PD_FOR_ACQUIS_DIV","FQ1 2025","FQ1 2025","Currency=USD","Period=FQ","BEST_FPERIOD_OVERRIDE=FQ","FILING_STATUS=MR","SCALING_FORMAT=MLN","Sort=A","Dates=H","DateFormat=P","Fill=—","Direction=H","UseDPDF=Y")</f>
        <v>0</v>
      </c>
      <c r="AD32" s="12" cm="1">
        <f t="array" ref="AD32">_xll.BDH("DE US Equity","CF_NT_CSH_RCVD_PD_FOR_ACQUIS_DIV","FQ2 2025","FQ2 2025","Currency=USD","Period=FQ","BEST_FPERIOD_OVERRIDE=FQ","FILING_STATUS=MR","SCALING_FORMAT=MLN","Sort=A","Dates=H","DateFormat=P","Fill=—","Direction=H","UseDPDF=Y")</f>
        <v>0</v>
      </c>
      <c r="AE32" s="12" cm="1">
        <f t="array" ref="AE32">_xll.BDH("DE US Equity","CF_NT_CSH_RCVD_PD_FOR_ACQUIS_DIV","FQ3 2025","FQ3 2025","Currency=USD","Period=FQ","BEST_FPERIOD_OVERRIDE=FQ","FILING_STATUS=MR","SCALING_FORMAT=MLN","Sort=A","Dates=H","DateFormat=P","Fill=—","Direction=H","UseDPDF=Y")</f>
        <v>-89</v>
      </c>
      <c r="AF32" s="12" cm="1">
        <f t="array" ref="AF32">_xll.BDH("DE US Equity","CF_NT_CSH_RCVD_PD_FOR_ACQUIS_DIV","FQ4 2025","FQ4 2025","Currency=USD","Period=FQ","BEST_FPERIOD_OVERRIDE=FQ","FILING_STATUS=MR","SCALING_FORMAT=MLN","Sort=A","Dates=H","DateFormat=P","Fill=—","Direction=H","UseDPDF=Y")</f>
        <v>-12</v>
      </c>
    </row>
    <row r="33" spans="1:32" x14ac:dyDescent="0.25">
      <c r="A33" s="10" t="s">
        <v>114</v>
      </c>
      <c r="B33" s="10" t="s">
        <v>115</v>
      </c>
      <c r="C33" s="12" cm="1">
        <f t="array" ref="C33">_xll.BDH("DE US Equity","CF_CASH_FOR_DIVESTITURES","FQ3 2018","FQ3 2018","Currency=USD","Period=FQ","BEST_FPERIOD_OVERRIDE=FQ","FILING_STATUS=MR","SCALING_FORMAT=MLN","Sort=A","Dates=H","DateFormat=P","Fill=—","Direction=H","UseDPDF=Y")</f>
        <v>78</v>
      </c>
      <c r="D33" s="12" cm="1">
        <f t="array" ref="D33">_xll.BDH("DE US Equity","CF_CASH_FOR_DIVESTITURES","FQ4 2018","FQ4 2018","Currency=USD","Period=FQ","BEST_FPERIOD_OVERRIDE=FQ","FILING_STATUS=MR","SCALING_FORMAT=MLN","Sort=A","Dates=H","DateFormat=P","Fill=—","Direction=H","UseDPDF=Y")</f>
        <v>23</v>
      </c>
      <c r="E33" s="12" cm="1">
        <f t="array" ref="E33">_xll.BDH("DE US Equity","CF_CASH_FOR_DIVESTITURES","FQ1 2019","FQ1 2019","Currency=USD","Period=FQ","BEST_FPERIOD_OVERRIDE=FQ","FILING_STATUS=MR","SCALING_FORMAT=MLN","Sort=A","Dates=H","DateFormat=P","Fill=—","Direction=H","UseDPDF=Y")</f>
        <v>0</v>
      </c>
      <c r="F33" s="12" cm="1">
        <f t="array" ref="F33">_xll.BDH("DE US Equity","CF_CASH_FOR_DIVESTITURES","FQ2 2019","FQ2 2019","Currency=USD","Period=FQ","BEST_FPERIOD_OVERRIDE=FQ","FILING_STATUS=MR","SCALING_FORMAT=MLN","Sort=A","Dates=H","DateFormat=P","Fill=—","Direction=H","UseDPDF=Y")</f>
        <v>0</v>
      </c>
      <c r="G33" s="12" cm="1">
        <f t="array" ref="G33">_xll.BDH("DE US Equity","CF_CASH_FOR_DIVESTITURES","FQ3 2019","FQ3 2019","Currency=USD","Period=FQ","BEST_FPERIOD_OVERRIDE=FQ","FILING_STATUS=MR","SCALING_FORMAT=MLN","Sort=A","Dates=H","DateFormat=P","Fill=—","Direction=H","UseDPDF=Y")</f>
        <v>0</v>
      </c>
      <c r="H33" s="12" cm="1">
        <f t="array" ref="H33">_xll.BDH("DE US Equity","CF_CASH_FOR_DIVESTITURES","FQ4 2019","FQ4 2019","Currency=USD","Period=FQ","BEST_FPERIOD_OVERRIDE=FQ","FILING_STATUS=MR","SCALING_FORMAT=MLN","Sort=A","Dates=H","DateFormat=P","Fill=—","Direction=H","UseDPDF=Y")</f>
        <v>93</v>
      </c>
      <c r="I33" s="12" cm="1">
        <f t="array" ref="I33">_xll.BDH("DE US Equity","CF_CASH_FOR_DIVESTITURES","FQ1 2020","FQ1 2020","Currency=USD","Period=FQ","BEST_FPERIOD_OVERRIDE=FQ","FILING_STATUS=MR","SCALING_FORMAT=MLN","Sort=A","Dates=H","DateFormat=P","Fill=—","Direction=H","UseDPDF=Y")</f>
        <v>0</v>
      </c>
      <c r="J33" s="12" cm="1">
        <f t="array" ref="J33">_xll.BDH("DE US Equity","CF_CASH_FOR_DIVESTITURES","FQ2 2020","FQ2 2020","Currency=USD","Period=FQ","BEST_FPERIOD_OVERRIDE=FQ","FILING_STATUS=MR","SCALING_FORMAT=MLN","Sort=A","Dates=H","DateFormat=P","Fill=—","Direction=H","UseDPDF=Y")</f>
        <v>0</v>
      </c>
      <c r="K33" s="12" cm="1">
        <f t="array" ref="K33">_xll.BDH("DE US Equity","CF_CASH_FOR_DIVESTITURES","FQ3 2020","FQ3 2020","Currency=USD","Period=FQ","BEST_FPERIOD_OVERRIDE=FQ","FILING_STATUS=MR","SCALING_FORMAT=MLN","Sort=A","Dates=H","DateFormat=P","Fill=—","Direction=H","UseDPDF=Y")</f>
        <v>0</v>
      </c>
      <c r="L33" s="12" cm="1">
        <f t="array" ref="L33">_xll.BDH("DE US Equity","CF_CASH_FOR_DIVESTITURES","FQ4 2020","FQ4 2020","Currency=USD","Period=FQ","BEST_FPERIOD_OVERRIDE=FQ","FILING_STATUS=MR","SCALING_FORMAT=MLN","Sort=A","Dates=H","DateFormat=P","Fill=—","Direction=H","UseDPDF=Y")</f>
        <v>0</v>
      </c>
      <c r="M33" s="12" cm="1">
        <f t="array" ref="M33">_xll.BDH("DE US Equity","CF_CASH_FOR_DIVESTITURES","FQ1 2021","FQ1 2021","Currency=USD","Period=FQ","BEST_FPERIOD_OVERRIDE=FQ","FILING_STATUS=MR","SCALING_FORMAT=MLN","Sort=A","Dates=H","DateFormat=P","Fill=—","Direction=H","UseDPDF=Y")</f>
        <v>0</v>
      </c>
      <c r="N33" s="12" cm="1">
        <f t="array" ref="N33">_xll.BDH("DE US Equity","CF_CASH_FOR_DIVESTITURES","FQ2 2021","FQ2 2021","Currency=USD","Period=FQ","BEST_FPERIOD_OVERRIDE=FQ","FILING_STATUS=MR","SCALING_FORMAT=MLN","Sort=A","Dates=H","DateFormat=P","Fill=—","Direction=H","UseDPDF=Y")</f>
        <v>0</v>
      </c>
      <c r="O33" s="12" cm="1">
        <f t="array" ref="O33">_xll.BDH("DE US Equity","CF_CASH_FOR_DIVESTITURES","FQ3 2021","FQ3 2021","Currency=USD","Period=FQ","BEST_FPERIOD_OVERRIDE=FQ","FILING_STATUS=MR","SCALING_FORMAT=MLN","Sort=A","Dates=H","DateFormat=P","Fill=—","Direction=H","UseDPDF=Y")</f>
        <v>0</v>
      </c>
      <c r="P33" s="12" cm="1">
        <f t="array" ref="P33">_xll.BDH("DE US Equity","CF_CASH_FOR_DIVESTITURES","FQ4 2021","FQ4 2021","Currency=USD","Period=FQ","BEST_FPERIOD_OVERRIDE=FQ","FILING_STATUS=MR","SCALING_FORMAT=MLN","Sort=A","Dates=H","DateFormat=P","Fill=—","Direction=H","UseDPDF=Y")</f>
        <v>0</v>
      </c>
      <c r="Q33" s="12" cm="1">
        <f t="array" ref="Q33">_xll.BDH("DE US Equity","CF_CASH_FOR_DIVESTITURES","FQ1 2022","FQ1 2022","Currency=USD","Period=FQ","BEST_FPERIOD_OVERRIDE=FQ","FILING_STATUS=MR","SCALING_FORMAT=MLN","Sort=A","Dates=H","DateFormat=P","Fill=—","Direction=H","UseDPDF=Y")</f>
        <v>0</v>
      </c>
      <c r="R33" s="12" cm="1">
        <f t="array" ref="R33">_xll.BDH("DE US Equity","CF_CASH_FOR_DIVESTITURES","FQ2 2022","FQ2 2022","Currency=USD","Period=FQ","BEST_FPERIOD_OVERRIDE=FQ","FILING_STATUS=MR","SCALING_FORMAT=MLN","Sort=A","Dates=H","DateFormat=P","Fill=—","Direction=H","UseDPDF=Y")</f>
        <v>0</v>
      </c>
      <c r="S33" s="12" cm="1">
        <f t="array" ref="S33">_xll.BDH("DE US Equity","CF_CASH_FOR_DIVESTITURES","FQ3 2022","FQ3 2022","Currency=USD","Period=FQ","BEST_FPERIOD_OVERRIDE=FQ","FILING_STATUS=MR","SCALING_FORMAT=MLN","Sort=A","Dates=H","DateFormat=P","Fill=—","Direction=H","UseDPDF=Y")</f>
        <v>0</v>
      </c>
      <c r="T33" s="12" cm="1">
        <f t="array" ref="T33">_xll.BDH("DE US Equity","CF_CASH_FOR_DIVESTITURES","FQ4 2022","FQ4 2022","Currency=USD","Period=FQ","BEST_FPERIOD_OVERRIDE=FQ","FILING_STATUS=MR","SCALING_FORMAT=MLN","Sort=A","Dates=H","DateFormat=P","Fill=—","Direction=H","UseDPDF=Y")</f>
        <v>0</v>
      </c>
      <c r="U33" s="12" cm="1">
        <f t="array" ref="U33">_xll.BDH("DE US Equity","CF_CASH_FOR_DIVESTITURES","FQ1 2023","FQ1 2023","Currency=USD","Period=FQ","BEST_FPERIOD_OVERRIDE=FQ","FILING_STATUS=MR","SCALING_FORMAT=MLN","Sort=A","Dates=H","DateFormat=P","Fill=—","Direction=H","UseDPDF=Y")</f>
        <v>0</v>
      </c>
      <c r="V33" s="12" cm="1">
        <f t="array" ref="V33">_xll.BDH("DE US Equity","CF_CASH_FOR_DIVESTITURES","FQ2 2023","FQ2 2023","Currency=USD","Period=FQ","BEST_FPERIOD_OVERRIDE=FQ","FILING_STATUS=MR","SCALING_FORMAT=MLN","Sort=A","Dates=H","DateFormat=P","Fill=—","Direction=H","UseDPDF=Y")</f>
        <v>0</v>
      </c>
      <c r="W33" s="12" cm="1">
        <f t="array" ref="W33">_xll.BDH("DE US Equity","CF_CASH_FOR_DIVESTITURES","FQ3 2023","FQ3 2023","Currency=USD","Period=FQ","BEST_FPERIOD_OVERRIDE=FQ","FILING_STATUS=MR","SCALING_FORMAT=MLN","Sort=A","Dates=H","DateFormat=P","Fill=—","Direction=H","UseDPDF=Y")</f>
        <v>0</v>
      </c>
      <c r="X33" s="12" cm="1">
        <f t="array" ref="X33">_xll.BDH("DE US Equity","CF_CASH_FOR_DIVESTITURES","FQ4 2023","FQ4 2023","Currency=USD","Period=FQ","BEST_FPERIOD_OVERRIDE=FQ","FILING_STATUS=MR","SCALING_FORMAT=MLN","Sort=A","Dates=H","DateFormat=P","Fill=—","Direction=H","UseDPDF=Y")</f>
        <v>0</v>
      </c>
      <c r="Y33" s="12" cm="1">
        <f t="array" ref="Y33">_xll.BDH("DE US Equity","CF_CASH_FOR_DIVESTITURES","FQ1 2024","FQ1 2024","Currency=USD","Period=FQ","BEST_FPERIOD_OVERRIDE=FQ","FILING_STATUS=MR","SCALING_FORMAT=MLN","Sort=A","Dates=H","DateFormat=P","Fill=—","Direction=H","UseDPDF=Y")</f>
        <v>0</v>
      </c>
      <c r="Z33" s="12" cm="1">
        <f t="array" ref="Z33">_xll.BDH("DE US Equity","CF_CASH_FOR_DIVESTITURES","FQ2 2024","FQ2 2024","Currency=USD","Period=FQ","BEST_FPERIOD_OVERRIDE=FQ","FILING_STATUS=MR","SCALING_FORMAT=MLN","Sort=A","Dates=H","DateFormat=P","Fill=—","Direction=H","UseDPDF=Y")</f>
        <v>0</v>
      </c>
      <c r="AA33" s="12" cm="1">
        <f t="array" ref="AA33">_xll.BDH("DE US Equity","CF_CASH_FOR_DIVESTITURES","FQ3 2024","FQ3 2024","Currency=USD","Period=FQ","BEST_FPERIOD_OVERRIDE=FQ","FILING_STATUS=MR","SCALING_FORMAT=MLN","Sort=A","Dates=H","DateFormat=P","Fill=—","Direction=H","UseDPDF=Y")</f>
        <v>0</v>
      </c>
      <c r="AB33" s="12" cm="1">
        <f t="array" ref="AB33">_xll.BDH("DE US Equity","CF_CASH_FOR_DIVESTITURES","FQ4 2024","FQ4 2024","Currency=USD","Period=FQ","BEST_FPERIOD_OVERRIDE=FQ","FILING_STATUS=MR","SCALING_FORMAT=MLN","Sort=A","Dates=H","DateFormat=P","Fill=—","Direction=H","UseDPDF=Y")</f>
        <v>0</v>
      </c>
      <c r="AC33" s="12" cm="1">
        <f t="array" ref="AC33">_xll.BDH("DE US Equity","CF_CASH_FOR_DIVESTITURES","FQ1 2025","FQ1 2025","Currency=USD","Period=FQ","BEST_FPERIOD_OVERRIDE=FQ","FILING_STATUS=MR","SCALING_FORMAT=MLN","Sort=A","Dates=H","DateFormat=P","Fill=—","Direction=H","UseDPDF=Y")</f>
        <v>0</v>
      </c>
      <c r="AD33" s="12" cm="1">
        <f t="array" ref="AD33">_xll.BDH("DE US Equity","CF_CASH_FOR_DIVESTITURES","FQ2 2025","FQ2 2025","Currency=USD","Period=FQ","BEST_FPERIOD_OVERRIDE=FQ","FILING_STATUS=MR","SCALING_FORMAT=MLN","Sort=A","Dates=H","DateFormat=P","Fill=—","Direction=H","UseDPDF=Y")</f>
        <v>0</v>
      </c>
      <c r="AE33" s="12" cm="1">
        <f t="array" ref="AE33">_xll.BDH("DE US Equity","CF_CASH_FOR_DIVESTITURES","FQ3 2025","FQ3 2025","Currency=USD","Period=FQ","BEST_FPERIOD_OVERRIDE=FQ","FILING_STATUS=MR","SCALING_FORMAT=MLN","Sort=A","Dates=H","DateFormat=P","Fill=—","Direction=H","UseDPDF=Y")</f>
        <v>0</v>
      </c>
      <c r="AF33" s="12" cm="1">
        <f t="array" ref="AF33">_xll.BDH("DE US Equity","CF_CASH_FOR_DIVESTITURES","FQ4 2025","FQ4 2025","Currency=USD","Period=FQ","BEST_FPERIOD_OVERRIDE=FQ","FILING_STATUS=MR","SCALING_FORMAT=MLN","Sort=A","Dates=H","DateFormat=P","Fill=—","Direction=H","UseDPDF=Y")</f>
        <v>0</v>
      </c>
    </row>
    <row r="34" spans="1:32" x14ac:dyDescent="0.25">
      <c r="A34" s="10" t="s">
        <v>116</v>
      </c>
      <c r="B34" s="10" t="s">
        <v>117</v>
      </c>
      <c r="C34" s="12" cm="1">
        <f t="array" ref="C34">_xll.BDH("DE US Equity","CF_CASH_FOR_ACQUIS_SUBSIDIARIES","FQ3 2018","FQ3 2018","Currency=USD","Period=FQ","BEST_FPERIOD_OVERRIDE=FQ","FILING_STATUS=MR","SCALING_FORMAT=MLN","Sort=A","Dates=H","DateFormat=P","Fill=—","Direction=H","UseDPDF=Y")</f>
        <v>0.1</v>
      </c>
      <c r="D34" s="12" cm="1">
        <f t="array" ref="D34">_xll.BDH("DE US Equity","CF_CASH_FOR_ACQUIS_SUBSIDIARIES","FQ4 2018","FQ4 2018","Currency=USD","Period=FQ","BEST_FPERIOD_OVERRIDE=FQ","FILING_STATUS=MR","SCALING_FORMAT=MLN","Sort=A","Dates=H","DateFormat=P","Fill=—","Direction=H","UseDPDF=Y")</f>
        <v>-74</v>
      </c>
      <c r="E34" s="12" cm="1">
        <f t="array" ref="E34">_xll.BDH("DE US Equity","CF_CASH_FOR_ACQUIS_SUBSIDIARIES","FQ1 2019","FQ1 2019","Currency=USD","Period=FQ","BEST_FPERIOD_OVERRIDE=FQ","FILING_STATUS=MR","SCALING_FORMAT=MLN","Sort=A","Dates=H","DateFormat=P","Fill=—","Direction=H","UseDPDF=Y")</f>
        <v>0</v>
      </c>
      <c r="F34" s="12" cm="1">
        <f t="array" ref="F34">_xll.BDH("DE US Equity","CF_CASH_FOR_ACQUIS_SUBSIDIARIES","FQ2 2019","FQ2 2019","Currency=USD","Period=FQ","BEST_FPERIOD_OVERRIDE=FQ","FILING_STATUS=MR","SCALING_FORMAT=MLN","Sort=A","Dates=H","DateFormat=P","Fill=—","Direction=H","UseDPDF=Y")</f>
        <v>0</v>
      </c>
      <c r="G34" s="12" cm="1">
        <f t="array" ref="G34">_xll.BDH("DE US Equity","CF_CASH_FOR_ACQUIS_SUBSIDIARIES","FQ3 2019","FQ3 2019","Currency=USD","Period=FQ","BEST_FPERIOD_OVERRIDE=FQ","FILING_STATUS=MR","SCALING_FORMAT=MLN","Sort=A","Dates=H","DateFormat=P","Fill=—","Direction=H","UseDPDF=Y")</f>
        <v>0</v>
      </c>
      <c r="H34" s="12" cm="1">
        <f t="array" ref="H34">_xll.BDH("DE US Equity","CF_CASH_FOR_ACQUIS_SUBSIDIARIES","FQ4 2019","FQ4 2019","Currency=USD","Period=FQ","BEST_FPERIOD_OVERRIDE=FQ","FILING_STATUS=MR","SCALING_FORMAT=MLN","Sort=A","Dates=H","DateFormat=P","Fill=—","Direction=H","UseDPDF=Y")</f>
        <v>0</v>
      </c>
      <c r="I34" s="12" cm="1">
        <f t="array" ref="I34">_xll.BDH("DE US Equity","CF_CASH_FOR_ACQUIS_SUBSIDIARIES","FQ1 2020","FQ1 2020","Currency=USD","Period=FQ","BEST_FPERIOD_OVERRIDE=FQ","FILING_STATUS=MR","SCALING_FORMAT=MLN","Sort=A","Dates=H","DateFormat=P","Fill=—","Direction=H","UseDPDF=Y")</f>
        <v>0</v>
      </c>
      <c r="J34" s="12" cm="1">
        <f t="array" ref="J34">_xll.BDH("DE US Equity","CF_CASH_FOR_ACQUIS_SUBSIDIARIES","FQ2 2020","FQ2 2020","Currency=USD","Period=FQ","BEST_FPERIOD_OVERRIDE=FQ","FILING_STATUS=MR","SCALING_FORMAT=MLN","Sort=A","Dates=H","DateFormat=P","Fill=—","Direction=H","UseDPDF=Y")</f>
        <v>0</v>
      </c>
      <c r="K34" s="12" cm="1">
        <f t="array" ref="K34">_xll.BDH("DE US Equity","CF_CASH_FOR_ACQUIS_SUBSIDIARIES","FQ3 2020","FQ3 2020","Currency=USD","Period=FQ","BEST_FPERIOD_OVERRIDE=FQ","FILING_STATUS=MR","SCALING_FORMAT=MLN","Sort=A","Dates=H","DateFormat=P","Fill=—","Direction=H","UseDPDF=Y")</f>
        <v>0</v>
      </c>
      <c r="L34" s="12" cm="1">
        <f t="array" ref="L34">_xll.BDH("DE US Equity","CF_CASH_FOR_ACQUIS_SUBSIDIARIES","FQ4 2020","FQ4 2020","Currency=USD","Period=FQ","BEST_FPERIOD_OVERRIDE=FQ","FILING_STATUS=MR","SCALING_FORMAT=MLN","Sort=A","Dates=H","DateFormat=P","Fill=—","Direction=H","UseDPDF=Y")</f>
        <v>-66</v>
      </c>
      <c r="M34" s="12" cm="1">
        <f t="array" ref="M34">_xll.BDH("DE US Equity","CF_CASH_FOR_ACQUIS_SUBSIDIARIES","FQ1 2021","FQ1 2021","Currency=USD","Period=FQ","BEST_FPERIOD_OVERRIDE=FQ","FILING_STATUS=MR","SCALING_FORMAT=MLN","Sort=A","Dates=H","DateFormat=P","Fill=—","Direction=H","UseDPDF=Y")</f>
        <v>-19</v>
      </c>
      <c r="N34" s="12" cm="1">
        <f t="array" ref="N34">_xll.BDH("DE US Equity","CF_CASH_FOR_ACQUIS_SUBSIDIARIES","FQ2 2021","FQ2 2021","Currency=USD","Period=FQ","BEST_FPERIOD_OVERRIDE=FQ","FILING_STATUS=MR","SCALING_FORMAT=MLN","Sort=A","Dates=H","DateFormat=P","Fill=—","Direction=H","UseDPDF=Y")</f>
        <v>0</v>
      </c>
      <c r="O34" s="12" cm="1">
        <f t="array" ref="O34">_xll.BDH("DE US Equity","CF_CASH_FOR_ACQUIS_SUBSIDIARIES","FQ3 2021","FQ3 2021","Currency=USD","Period=FQ","BEST_FPERIOD_OVERRIDE=FQ","FILING_STATUS=MR","SCALING_FORMAT=MLN","Sort=A","Dates=H","DateFormat=P","Fill=—","Direction=H","UseDPDF=Y")</f>
        <v>0</v>
      </c>
      <c r="P34" s="12" cm="1">
        <f t="array" ref="P34">_xll.BDH("DE US Equity","CF_CASH_FOR_ACQUIS_SUBSIDIARIES","FQ4 2021","FQ4 2021","Currency=USD","Period=FQ","BEST_FPERIOD_OVERRIDE=FQ","FILING_STATUS=MR","SCALING_FORMAT=MLN","Sort=A","Dates=H","DateFormat=P","Fill=—","Direction=H","UseDPDF=Y")</f>
        <v>-225</v>
      </c>
      <c r="Q34" s="12" cm="1">
        <f t="array" ref="Q34">_xll.BDH("DE US Equity","CF_CASH_FOR_ACQUIS_SUBSIDIARIES","FQ1 2022","FQ1 2022","Currency=USD","Period=FQ","BEST_FPERIOD_OVERRIDE=FQ","FILING_STATUS=MR","SCALING_FORMAT=MLN","Sort=A","Dates=H","DateFormat=P","Fill=—","Direction=H","UseDPDF=Y")</f>
        <v>-24</v>
      </c>
      <c r="R34" s="12" cm="1">
        <f t="array" ref="R34">_xll.BDH("DE US Equity","CF_CASH_FOR_ACQUIS_SUBSIDIARIES","FQ2 2022","FQ2 2022","Currency=USD","Period=FQ","BEST_FPERIOD_OVERRIDE=FQ","FILING_STATUS=MR","SCALING_FORMAT=MLN","Sort=A","Dates=H","DateFormat=P","Fill=—","Direction=H","UseDPDF=Y")</f>
        <v>-449</v>
      </c>
      <c r="S34" s="12" cm="1">
        <f t="array" ref="S34">_xll.BDH("DE US Equity","CF_CASH_FOR_ACQUIS_SUBSIDIARIES","FQ3 2022","FQ3 2022","Currency=USD","Period=FQ","BEST_FPERIOD_OVERRIDE=FQ","FILING_STATUS=MR","SCALING_FORMAT=MLN","Sort=A","Dates=H","DateFormat=P","Fill=—","Direction=H","UseDPDF=Y")</f>
        <v>-15</v>
      </c>
      <c r="T34" s="12" cm="1">
        <f t="array" ref="T34">_xll.BDH("DE US Equity","CF_CASH_FOR_ACQUIS_SUBSIDIARIES","FQ4 2022","FQ4 2022","Currency=USD","Period=FQ","BEST_FPERIOD_OVERRIDE=FQ","FILING_STATUS=MR","SCALING_FORMAT=MLN","Sort=A","Dates=H","DateFormat=P","Fill=—","Direction=H","UseDPDF=Y")</f>
        <v>-10</v>
      </c>
      <c r="U34" s="12" cm="1">
        <f t="array" ref="U34">_xll.BDH("DE US Equity","CF_CASH_FOR_ACQUIS_SUBSIDIARIES","FQ1 2023","FQ1 2023","Currency=USD","Period=FQ","BEST_FPERIOD_OVERRIDE=FQ","FILING_STATUS=MR","SCALING_FORMAT=MLN","Sort=A","Dates=H","DateFormat=P","Fill=—","Direction=H","UseDPDF=Y")</f>
        <v>0</v>
      </c>
      <c r="V34" s="12" cm="1">
        <f t="array" ref="V34">_xll.BDH("DE US Equity","CF_CASH_FOR_ACQUIS_SUBSIDIARIES","FQ2 2023","FQ2 2023","Currency=USD","Period=FQ","BEST_FPERIOD_OVERRIDE=FQ","FILING_STATUS=MR","SCALING_FORMAT=MLN","Sort=A","Dates=H","DateFormat=P","Fill=—","Direction=H","UseDPDF=Y")</f>
        <v>-41</v>
      </c>
      <c r="W34" s="12" cm="1">
        <f t="array" ref="W34">_xll.BDH("DE US Equity","CF_CASH_FOR_ACQUIS_SUBSIDIARIES","FQ3 2023","FQ3 2023","Currency=USD","Period=FQ","BEST_FPERIOD_OVERRIDE=FQ","FILING_STATUS=MR","SCALING_FORMAT=MLN","Sort=A","Dates=H","DateFormat=P","Fill=—","Direction=H","UseDPDF=Y")</f>
        <v>-41</v>
      </c>
      <c r="X34" s="12" cm="1">
        <f t="array" ref="X34">_xll.BDH("DE US Equity","CF_CASH_FOR_ACQUIS_SUBSIDIARIES","FQ4 2023","FQ4 2023","Currency=USD","Period=FQ","BEST_FPERIOD_OVERRIDE=FQ","FILING_STATUS=MR","SCALING_FORMAT=MLN","Sort=A","Dates=H","DateFormat=P","Fill=—","Direction=H","UseDPDF=Y")</f>
        <v>0</v>
      </c>
      <c r="Y34" s="12" cm="1">
        <f t="array" ref="Y34">_xll.BDH("DE US Equity","CF_CASH_FOR_ACQUIS_SUBSIDIARIES","FQ1 2024","FQ1 2024","Currency=USD","Period=FQ","BEST_FPERIOD_OVERRIDE=FQ","FILING_STATUS=MR","SCALING_FORMAT=MLN","Sort=A","Dates=H","DateFormat=P","Fill=—","Direction=H","UseDPDF=Y")</f>
        <v>0</v>
      </c>
      <c r="Z34" s="12" cm="1">
        <f t="array" ref="Z34">_xll.BDH("DE US Equity","CF_CASH_FOR_ACQUIS_SUBSIDIARIES","FQ2 2024","FQ2 2024","Currency=USD","Period=FQ","BEST_FPERIOD_OVERRIDE=FQ","FILING_STATUS=MR","SCALING_FORMAT=MLN","Sort=A","Dates=H","DateFormat=P","Fill=—","Direction=H","UseDPDF=Y")</f>
        <v>0</v>
      </c>
      <c r="AA34" s="12" cm="1">
        <f t="array" ref="AA34">_xll.BDH("DE US Equity","CF_CASH_FOR_ACQUIS_SUBSIDIARIES","FQ3 2024","FQ3 2024","Currency=USD","Period=FQ","BEST_FPERIOD_OVERRIDE=FQ","FILING_STATUS=MR","SCALING_FORMAT=MLN","Sort=A","Dates=H","DateFormat=P","Fill=—","Direction=H","UseDPDF=Y")</f>
        <v>0</v>
      </c>
      <c r="AB34" s="12" cm="1">
        <f t="array" ref="AB34">_xll.BDH("DE US Equity","CF_CASH_FOR_ACQUIS_SUBSIDIARIES","FQ4 2024","FQ4 2024","Currency=USD","Period=FQ","BEST_FPERIOD_OVERRIDE=FQ","FILING_STATUS=MR","SCALING_FORMAT=MLN","Sort=A","Dates=H","DateFormat=P","Fill=—","Direction=H","UseDPDF=Y")</f>
        <v>0</v>
      </c>
      <c r="AC34" s="12" cm="1">
        <f t="array" ref="AC34">_xll.BDH("DE US Equity","CF_CASH_FOR_ACQUIS_SUBSIDIARIES","FQ1 2025","FQ1 2025","Currency=USD","Period=FQ","BEST_FPERIOD_OVERRIDE=FQ","FILING_STATUS=MR","SCALING_FORMAT=MLN","Sort=A","Dates=H","DateFormat=P","Fill=—","Direction=H","UseDPDF=Y")</f>
        <v>0</v>
      </c>
      <c r="AD34" s="12" cm="1">
        <f t="array" ref="AD34">_xll.BDH("DE US Equity","CF_CASH_FOR_ACQUIS_SUBSIDIARIES","FQ2 2025","FQ2 2025","Currency=USD","Period=FQ","BEST_FPERIOD_OVERRIDE=FQ","FILING_STATUS=MR","SCALING_FORMAT=MLN","Sort=A","Dates=H","DateFormat=P","Fill=—","Direction=H","UseDPDF=Y")</f>
        <v>0</v>
      </c>
      <c r="AE34" s="12" cm="1">
        <f t="array" ref="AE34">_xll.BDH("DE US Equity","CF_CASH_FOR_ACQUIS_SUBSIDIARIES","FQ3 2025","FQ3 2025","Currency=USD","Period=FQ","BEST_FPERIOD_OVERRIDE=FQ","FILING_STATUS=MR","SCALING_FORMAT=MLN","Sort=A","Dates=H","DateFormat=P","Fill=—","Direction=H","UseDPDF=Y")</f>
        <v>-89</v>
      </c>
      <c r="AF34" s="12" cm="1">
        <f t="array" ref="AF34">_xll.BDH("DE US Equity","CF_CASH_FOR_ACQUIS_SUBSIDIARIES","FQ4 2025","FQ4 2025","Currency=USD","Period=FQ","BEST_FPERIOD_OVERRIDE=FQ","FILING_STATUS=MR","SCALING_FORMAT=MLN","Sort=A","Dates=H","DateFormat=P","Fill=—","Direction=H","UseDPDF=Y")</f>
        <v>-12</v>
      </c>
    </row>
    <row r="35" spans="1:32" x14ac:dyDescent="0.25">
      <c r="A35" s="10" t="s">
        <v>118</v>
      </c>
      <c r="B35" s="10" t="s">
        <v>119</v>
      </c>
      <c r="C35" s="12" cm="1">
        <f t="array" ref="C35">_xll.BDH("DE US Equity","CF_CASH_FOR_JOINT_VENTURES_ASSOC","FQ3 2018","FQ3 2018","Currency=USD","Period=FQ","BEST_FPERIOD_OVERRIDE=FQ","FILING_STATUS=MR","SCALING_FORMAT=MLN","Sort=A","Dates=H","DateFormat=P","Fill=—","Direction=H","UseDPDF=Y")</f>
        <v>0</v>
      </c>
      <c r="D35" s="12" cm="1">
        <f t="array" ref="D35">_xll.BDH("DE US Equity","CF_CASH_FOR_JOINT_VENTURES_ASSOC","FQ4 2018","FQ4 2018","Currency=USD","Period=FQ","BEST_FPERIOD_OVERRIDE=FQ","FILING_STATUS=MR","SCALING_FORMAT=MLN","Sort=A","Dates=H","DateFormat=P","Fill=—","Direction=H","UseDPDF=Y")</f>
        <v>0</v>
      </c>
      <c r="E35" s="12" cm="1">
        <f t="array" ref="E35">_xll.BDH("DE US Equity","CF_CASH_FOR_JOINT_VENTURES_ASSOC","FQ1 2019","FQ1 2019","Currency=USD","Period=FQ","BEST_FPERIOD_OVERRIDE=FQ","FILING_STATUS=MR","SCALING_FORMAT=MLN","Sort=A","Dates=H","DateFormat=P","Fill=—","Direction=H","UseDPDF=Y")</f>
        <v>0</v>
      </c>
      <c r="F35" s="12" cm="1">
        <f t="array" ref="F35">_xll.BDH("DE US Equity","CF_CASH_FOR_JOINT_VENTURES_ASSOC","FQ2 2019","FQ2 2019","Currency=USD","Period=FQ","BEST_FPERIOD_OVERRIDE=FQ","FILING_STATUS=MR","SCALING_FORMAT=MLN","Sort=A","Dates=H","DateFormat=P","Fill=—","Direction=H","UseDPDF=Y")</f>
        <v>0</v>
      </c>
      <c r="G35" s="12" cm="1">
        <f t="array" ref="G35">_xll.BDH("DE US Equity","CF_CASH_FOR_JOINT_VENTURES_ASSOC","FQ3 2019","FQ3 2019","Currency=USD","Period=FQ","BEST_FPERIOD_OVERRIDE=FQ","FILING_STATUS=MR","SCALING_FORMAT=MLN","Sort=A","Dates=H","DateFormat=P","Fill=—","Direction=H","UseDPDF=Y")</f>
        <v>0</v>
      </c>
      <c r="H35" s="12" cm="1">
        <f t="array" ref="H35">_xll.BDH("DE US Equity","CF_CASH_FOR_JOINT_VENTURES_ASSOC","FQ4 2019","FQ4 2019","Currency=USD","Period=FQ","BEST_FPERIOD_OVERRIDE=FQ","FILING_STATUS=MR","SCALING_FORMAT=MLN","Sort=A","Dates=H","DateFormat=P","Fill=—","Direction=H","UseDPDF=Y")</f>
        <v>0</v>
      </c>
      <c r="I35" s="12" cm="1">
        <f t="array" ref="I35">_xll.BDH("DE US Equity","CF_CASH_FOR_JOINT_VENTURES_ASSOC","FQ1 2020","FQ1 2020","Currency=USD","Period=FQ","BEST_FPERIOD_OVERRIDE=FQ","FILING_STATUS=MR","SCALING_FORMAT=MLN","Sort=A","Dates=H","DateFormat=P","Fill=—","Direction=H","UseDPDF=Y")</f>
        <v>0</v>
      </c>
      <c r="J35" s="12" cm="1">
        <f t="array" ref="J35">_xll.BDH("DE US Equity","CF_CASH_FOR_JOINT_VENTURES_ASSOC","FQ2 2020","FQ2 2020","Currency=USD","Period=FQ","BEST_FPERIOD_OVERRIDE=FQ","FILING_STATUS=MR","SCALING_FORMAT=MLN","Sort=A","Dates=H","DateFormat=P","Fill=—","Direction=H","UseDPDF=Y")</f>
        <v>0</v>
      </c>
      <c r="K35" s="12" cm="1">
        <f t="array" ref="K35">_xll.BDH("DE US Equity","CF_CASH_FOR_JOINT_VENTURES_ASSOC","FQ3 2020","FQ3 2020","Currency=USD","Period=FQ","BEST_FPERIOD_OVERRIDE=FQ","FILING_STATUS=MR","SCALING_FORMAT=MLN","Sort=A","Dates=H","DateFormat=P","Fill=—","Direction=H","UseDPDF=Y")</f>
        <v>0</v>
      </c>
      <c r="L35" s="12" cm="1">
        <f t="array" ref="L35">_xll.BDH("DE US Equity","CF_CASH_FOR_JOINT_VENTURES_ASSOC","FQ4 2020","FQ4 2020","Currency=USD","Period=FQ","BEST_FPERIOD_OVERRIDE=FQ","FILING_STATUS=MR","SCALING_FORMAT=MLN","Sort=A","Dates=H","DateFormat=P","Fill=—","Direction=H","UseDPDF=Y")</f>
        <v>0</v>
      </c>
      <c r="M35" s="12" cm="1">
        <f t="array" ref="M35">_xll.BDH("DE US Equity","CF_CASH_FOR_JOINT_VENTURES_ASSOC","FQ1 2021","FQ1 2021","Currency=USD","Period=FQ","BEST_FPERIOD_OVERRIDE=FQ","FILING_STATUS=MR","SCALING_FORMAT=MLN","Sort=A","Dates=H","DateFormat=P","Fill=—","Direction=H","UseDPDF=Y")</f>
        <v>0</v>
      </c>
      <c r="N35" s="12" cm="1">
        <f t="array" ref="N35">_xll.BDH("DE US Equity","CF_CASH_FOR_JOINT_VENTURES_ASSOC","FQ2 2021","FQ2 2021","Currency=USD","Period=FQ","BEST_FPERIOD_OVERRIDE=FQ","FILING_STATUS=MR","SCALING_FORMAT=MLN","Sort=A","Dates=H","DateFormat=P","Fill=—","Direction=H","UseDPDF=Y")</f>
        <v>0</v>
      </c>
      <c r="O35" s="12" cm="1">
        <f t="array" ref="O35">_xll.BDH("DE US Equity","CF_CASH_FOR_JOINT_VENTURES_ASSOC","FQ3 2021","FQ3 2021","Currency=USD","Period=FQ","BEST_FPERIOD_OVERRIDE=FQ","FILING_STATUS=MR","SCALING_FORMAT=MLN","Sort=A","Dates=H","DateFormat=P","Fill=—","Direction=H","UseDPDF=Y")</f>
        <v>0</v>
      </c>
      <c r="P35" s="12" cm="1">
        <f t="array" ref="P35">_xll.BDH("DE US Equity","CF_CASH_FOR_JOINT_VENTURES_ASSOC","FQ4 2021","FQ4 2021","Currency=USD","Period=FQ","BEST_FPERIOD_OVERRIDE=FQ","FILING_STATUS=MR","SCALING_FORMAT=MLN","Sort=A","Dates=H","DateFormat=P","Fill=—","Direction=H","UseDPDF=Y")</f>
        <v>0</v>
      </c>
      <c r="Q35" s="12" cm="1">
        <f t="array" ref="Q35">_xll.BDH("DE US Equity","CF_CASH_FOR_JOINT_VENTURES_ASSOC","FQ1 2022","FQ1 2022","Currency=USD","Period=FQ","BEST_FPERIOD_OVERRIDE=FQ","FILING_STATUS=MR","SCALING_FORMAT=MLN","Sort=A","Dates=H","DateFormat=P","Fill=—","Direction=H","UseDPDF=Y")</f>
        <v>0</v>
      </c>
      <c r="R35" s="12" cm="1">
        <f t="array" ref="R35">_xll.BDH("DE US Equity","CF_CASH_FOR_JOINT_VENTURES_ASSOC","FQ2 2022","FQ2 2022","Currency=USD","Period=FQ","BEST_FPERIOD_OVERRIDE=FQ","FILING_STATUS=MR","SCALING_FORMAT=MLN","Sort=A","Dates=H","DateFormat=P","Fill=—","Direction=H","UseDPDF=Y")</f>
        <v>0</v>
      </c>
      <c r="S35" s="12" cm="1">
        <f t="array" ref="S35">_xll.BDH("DE US Equity","CF_CASH_FOR_JOINT_VENTURES_ASSOC","FQ3 2022","FQ3 2022","Currency=USD","Period=FQ","BEST_FPERIOD_OVERRIDE=FQ","FILING_STATUS=MR","SCALING_FORMAT=MLN","Sort=A","Dates=H","DateFormat=P","Fill=—","Direction=H","UseDPDF=Y")</f>
        <v>0</v>
      </c>
      <c r="T35" s="12" cm="1">
        <f t="array" ref="T35">_xll.BDH("DE US Equity","CF_CASH_FOR_JOINT_VENTURES_ASSOC","FQ4 2022","FQ4 2022","Currency=USD","Period=FQ","BEST_FPERIOD_OVERRIDE=FQ","FILING_STATUS=MR","SCALING_FORMAT=MLN","Sort=A","Dates=H","DateFormat=P","Fill=—","Direction=H","UseDPDF=Y")</f>
        <v>0</v>
      </c>
      <c r="U35" s="12" cm="1">
        <f t="array" ref="U35">_xll.BDH("DE US Equity","CF_CASH_FOR_JOINT_VENTURES_ASSOC","FQ1 2023","FQ1 2023","Currency=USD","Period=FQ","BEST_FPERIOD_OVERRIDE=FQ","FILING_STATUS=MR","SCALING_FORMAT=MLN","Sort=A","Dates=H","DateFormat=P","Fill=—","Direction=H","UseDPDF=Y")</f>
        <v>0</v>
      </c>
      <c r="V35" s="12" cm="1">
        <f t="array" ref="V35">_xll.BDH("DE US Equity","CF_CASH_FOR_JOINT_VENTURES_ASSOC","FQ2 2023","FQ2 2023","Currency=USD","Period=FQ","BEST_FPERIOD_OVERRIDE=FQ","FILING_STATUS=MR","SCALING_FORMAT=MLN","Sort=A","Dates=H","DateFormat=P","Fill=—","Direction=H","UseDPDF=Y")</f>
        <v>0</v>
      </c>
      <c r="W35" s="12" cm="1">
        <f t="array" ref="W35">_xll.BDH("DE US Equity","CF_CASH_FOR_JOINT_VENTURES_ASSOC","FQ3 2023","FQ3 2023","Currency=USD","Period=FQ","BEST_FPERIOD_OVERRIDE=FQ","FILING_STATUS=MR","SCALING_FORMAT=MLN","Sort=A","Dates=H","DateFormat=P","Fill=—","Direction=H","UseDPDF=Y")</f>
        <v>0</v>
      </c>
      <c r="X35" s="12" cm="1">
        <f t="array" ref="X35">_xll.BDH("DE US Equity","CF_CASH_FOR_JOINT_VENTURES_ASSOC","FQ4 2023","FQ4 2023","Currency=USD","Period=FQ","BEST_FPERIOD_OVERRIDE=FQ","FILING_STATUS=MR","SCALING_FORMAT=MLN","Sort=A","Dates=H","DateFormat=P","Fill=—","Direction=H","UseDPDF=Y")</f>
        <v>0</v>
      </c>
      <c r="Y35" s="12" cm="1">
        <f t="array" ref="Y35">_xll.BDH("DE US Equity","CF_CASH_FOR_JOINT_VENTURES_ASSOC","FQ1 2024","FQ1 2024","Currency=USD","Period=FQ","BEST_FPERIOD_OVERRIDE=FQ","FILING_STATUS=MR","SCALING_FORMAT=MLN","Sort=A","Dates=H","DateFormat=P","Fill=—","Direction=H","UseDPDF=Y")</f>
        <v>0</v>
      </c>
      <c r="Z35" s="12" cm="1">
        <f t="array" ref="Z35">_xll.BDH("DE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A35" s="12" cm="1">
        <f t="array" ref="AA35">_xll.BDH("DE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B35" s="12" cm="1">
        <f t="array" ref="AB35">_xll.BDH("DE US Equity","CF_CASH_FOR_JOINT_VENTURES_ASSOC","FQ4 2024","FQ4 2024","Currency=USD","Period=FQ","BEST_FPERIOD_OVERRIDE=FQ","FILING_STATUS=MR","SCALING_FORMAT=MLN","Sort=A","Dates=H","DateFormat=P","Fill=—","Direction=H","UseDPDF=Y")</f>
        <v>0</v>
      </c>
      <c r="AC35" s="12" cm="1">
        <f t="array" ref="AC35">_xll.BDH("DE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D35" s="12" cm="1">
        <f t="array" ref="AD35">_xll.BDH("DE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E35" s="12" cm="1">
        <f t="array" ref="AE35">_xll.BDH("DE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F35" s="12" cm="1">
        <f t="array" ref="AF35">_xll.BDH("DE US Equity","CF_CASH_FOR_JOINT_VENTURES_ASSOC","FQ4 2025","FQ4 2025","Currency=USD","Period=FQ","BEST_FPERIOD_OVERRIDE=FQ","FILING_STATUS=MR","SCALING_FORMAT=MLN","Sort=A","Dates=H","DateFormat=P","Fill=—","Direction=H","UseDPDF=Y")</f>
        <v>0</v>
      </c>
    </row>
    <row r="36" spans="1:32" x14ac:dyDescent="0.25">
      <c r="A36" s="10" t="s">
        <v>120</v>
      </c>
      <c r="B36" s="10" t="s">
        <v>121</v>
      </c>
      <c r="C36" s="12" cm="1">
        <f t="array" ref="C36">_xll.BDH("DE US Equity","OTHER_INVESTING_ACT_DETAILED","FQ3 2018","FQ3 2018","Currency=USD","Period=FQ","BEST_FPERIOD_OVERRIDE=FQ","FILING_STATUS=MR","SCALING_FORMAT=MLN","Sort=A","Dates=H","DateFormat=P","Fill=—","Direction=H","UseDPDF=Y")</f>
        <v>-35.799999999999997</v>
      </c>
      <c r="D36" s="12" cm="1">
        <f t="array" ref="D36">_xll.BDH("DE US Equity","OTHER_INVESTING_ACT_DETAILED","FQ4 2018","FQ4 2018","Currency=USD","Period=FQ","BEST_FPERIOD_OVERRIDE=FQ","FILING_STATUS=MR","SCALING_FORMAT=MLN","Sort=A","Dates=H","DateFormat=P","Fill=—","Direction=H","UseDPDF=Y")</f>
        <v>-48</v>
      </c>
      <c r="E36" s="12" cm="1">
        <f t="array" ref="E36">_xll.BDH("DE US Equity","OTHER_INVESTING_ACT_DETAILED","FQ1 2019","FQ1 2019","Currency=USD","Period=FQ","BEST_FPERIOD_OVERRIDE=FQ","FILING_STATUS=MR","SCALING_FORMAT=MLN","Sort=A","Dates=H","DateFormat=P","Fill=—","Direction=H","UseDPDF=Y")</f>
        <v>-27</v>
      </c>
      <c r="F36" s="12" cm="1">
        <f t="array" ref="F36">_xll.BDH("DE US Equity","OTHER_INVESTING_ACT_DETAILED","FQ2 2019","FQ2 2019","Currency=USD","Period=FQ","BEST_FPERIOD_OVERRIDE=FQ","FILING_STATUS=MR","SCALING_FORMAT=MLN","Sort=A","Dates=H","DateFormat=P","Fill=—","Direction=H","UseDPDF=Y")</f>
        <v>-42</v>
      </c>
      <c r="G36" s="12" cm="1">
        <f t="array" ref="G36">_xll.BDH("DE US Equity","OTHER_INVESTING_ACT_DETAILED","FQ3 2019","FQ3 2019","Currency=USD","Period=FQ","BEST_FPERIOD_OVERRIDE=FQ","FILING_STATUS=MR","SCALING_FORMAT=MLN","Sort=A","Dates=H","DateFormat=P","Fill=—","Direction=H","UseDPDF=Y")</f>
        <v>-36</v>
      </c>
      <c r="H36" s="12" cm="1">
        <f t="array" ref="H36">_xll.BDH("DE US Equity","OTHER_INVESTING_ACT_DETAILED","FQ4 2019","FQ4 2019","Currency=USD","Period=FQ","BEST_FPERIOD_OVERRIDE=FQ","FILING_STATUS=MR","SCALING_FORMAT=MLN","Sort=A","Dates=H","DateFormat=P","Fill=—","Direction=H","UseDPDF=Y")</f>
        <v>56</v>
      </c>
      <c r="I36" s="12" cm="1">
        <f t="array" ref="I36">_xll.BDH("DE US Equity","OTHER_INVESTING_ACT_DETAILED","FQ1 2020","FQ1 2020","Currency=USD","Period=FQ","BEST_FPERIOD_OVERRIDE=FQ","FILING_STATUS=MR","SCALING_FORMAT=MLN","Sort=A","Dates=H","DateFormat=P","Fill=—","Direction=H","UseDPDF=Y")</f>
        <v>27</v>
      </c>
      <c r="J36" s="12" cm="1">
        <f t="array" ref="J36">_xll.BDH("DE US Equity","OTHER_INVESTING_ACT_DETAILED","FQ2 2020","FQ2 2020","Currency=USD","Period=FQ","BEST_FPERIOD_OVERRIDE=FQ","FILING_STATUS=MR","SCALING_FORMAT=MLN","Sort=A","Dates=H","DateFormat=P","Fill=—","Direction=H","UseDPDF=Y")</f>
        <v>249</v>
      </c>
      <c r="K36" s="12" cm="1">
        <f t="array" ref="K36">_xll.BDH("DE US Equity","OTHER_INVESTING_ACT_DETAILED","FQ3 2020","FQ3 2020","Currency=USD","Period=FQ","BEST_FPERIOD_OVERRIDE=FQ","FILING_STATUS=MR","SCALING_FORMAT=MLN","Sort=A","Dates=H","DateFormat=P","Fill=—","Direction=H","UseDPDF=Y")</f>
        <v>15</v>
      </c>
      <c r="L36" s="12" cm="1">
        <f t="array" ref="L36">_xll.BDH("DE US Equity","OTHER_INVESTING_ACT_DETAILED","FQ4 2020","FQ4 2020","Currency=USD","Period=FQ","BEST_FPERIOD_OVERRIDE=FQ","FILING_STATUS=MR","SCALING_FORMAT=MLN","Sort=A","Dates=H","DateFormat=P","Fill=—","Direction=H","UseDPDF=Y")</f>
        <v>-87</v>
      </c>
      <c r="M36" s="12" cm="1">
        <f t="array" ref="M36">_xll.BDH("DE US Equity","OTHER_INVESTING_ACT_DETAILED","FQ1 2021","FQ1 2021","Currency=USD","Period=FQ","BEST_FPERIOD_OVERRIDE=FQ","FILING_STATUS=MR","SCALING_FORMAT=MLN","Sort=A","Dates=H","DateFormat=P","Fill=—","Direction=H","UseDPDF=Y")</f>
        <v>-113</v>
      </c>
      <c r="N36" s="12" cm="1">
        <f t="array" ref="N36">_xll.BDH("DE US Equity","OTHER_INVESTING_ACT_DETAILED","FQ2 2021","FQ2 2021","Currency=USD","Period=FQ","BEST_FPERIOD_OVERRIDE=FQ","FILING_STATUS=MR","SCALING_FORMAT=MLN","Sort=A","Dates=H","DateFormat=P","Fill=—","Direction=H","UseDPDF=Y")</f>
        <v>-190</v>
      </c>
      <c r="O36" s="12" cm="1">
        <f t="array" ref="O36">_xll.BDH("DE US Equity","OTHER_INVESTING_ACT_DETAILED","FQ3 2021","FQ3 2021","Currency=USD","Period=FQ","BEST_FPERIOD_OVERRIDE=FQ","FILING_STATUS=MR","SCALING_FORMAT=MLN","Sort=A","Dates=H","DateFormat=P","Fill=—","Direction=H","UseDPDF=Y")</f>
        <v>93</v>
      </c>
      <c r="P36" s="12" cm="1">
        <f t="array" ref="P36">_xll.BDH("DE US Equity","OTHER_INVESTING_ACT_DETAILED","FQ4 2021","FQ4 2021","Currency=USD","Period=FQ","BEST_FPERIOD_OVERRIDE=FQ","FILING_STATUS=MR","SCALING_FORMAT=MLN","Sort=A","Dates=H","DateFormat=P","Fill=—","Direction=H","UseDPDF=Y")</f>
        <v>-116</v>
      </c>
      <c r="Q36" s="12" cm="1">
        <f t="array" ref="Q36">_xll.BDH("DE US Equity","OTHER_INVESTING_ACT_DETAILED","FQ1 2022","FQ1 2022","Currency=USD","Period=FQ","BEST_FPERIOD_OVERRIDE=FQ","FILING_STATUS=MR","SCALING_FORMAT=MLN","Sort=A","Dates=H","DateFormat=P","Fill=—","Direction=H","UseDPDF=Y")</f>
        <v>-55</v>
      </c>
      <c r="R36" s="12" cm="1">
        <f t="array" ref="R36">_xll.BDH("DE US Equity","OTHER_INVESTING_ACT_DETAILED","FQ2 2022","FQ2 2022","Currency=USD","Period=FQ","BEST_FPERIOD_OVERRIDE=FQ","FILING_STATUS=MR","SCALING_FORMAT=MLN","Sort=A","Dates=H","DateFormat=P","Fill=—","Direction=H","UseDPDF=Y")</f>
        <v>-264</v>
      </c>
      <c r="S36" s="12" cm="1">
        <f t="array" ref="S36">_xll.BDH("DE US Equity","OTHER_INVESTING_ACT_DETAILED","FQ3 2022","FQ3 2022","Currency=USD","Period=FQ","BEST_FPERIOD_OVERRIDE=FQ","FILING_STATUS=MR","SCALING_FORMAT=MLN","Sort=A","Dates=H","DateFormat=P","Fill=—","Direction=H","UseDPDF=Y")</f>
        <v>-7</v>
      </c>
      <c r="T36" s="12" cm="1">
        <f t="array" ref="T36">_xll.BDH("DE US Equity","OTHER_INVESTING_ACT_DETAILED","FQ4 2022","FQ4 2022","Currency=USD","Period=FQ","BEST_FPERIOD_OVERRIDE=FQ","FILING_STATUS=MR","SCALING_FORMAT=MLN","Sort=A","Dates=H","DateFormat=P","Fill=—","Direction=H","UseDPDF=Y")</f>
        <v>-573</v>
      </c>
      <c r="U36" s="12" cm="1">
        <f t="array" ref="U36">_xll.BDH("DE US Equity","OTHER_INVESTING_ACT_DETAILED","FQ1 2023","FQ1 2023","Currency=USD","Period=FQ","BEST_FPERIOD_OVERRIDE=FQ","FILING_STATUS=MR","SCALING_FORMAT=MLN","Sort=A","Dates=H","DateFormat=P","Fill=—","Direction=H","UseDPDF=Y")</f>
        <v>199</v>
      </c>
      <c r="V36" s="12" cm="1">
        <f t="array" ref="V36">_xll.BDH("DE US Equity","OTHER_INVESTING_ACT_DETAILED","FQ2 2023","FQ2 2023","Currency=USD","Period=FQ","BEST_FPERIOD_OVERRIDE=FQ","FILING_STATUS=MR","SCALING_FORMAT=MLN","Sort=A","Dates=H","DateFormat=P","Fill=—","Direction=H","UseDPDF=Y")</f>
        <v>26</v>
      </c>
      <c r="W36" s="12" cm="1">
        <f t="array" ref="W36">_xll.BDH("DE US Equity","OTHER_INVESTING_ACT_DETAILED","FQ3 2023","FQ3 2023","Currency=USD","Period=FQ","BEST_FPERIOD_OVERRIDE=FQ","FILING_STATUS=MR","SCALING_FORMAT=MLN","Sort=A","Dates=H","DateFormat=P","Fill=—","Direction=H","UseDPDF=Y")</f>
        <v>-174</v>
      </c>
      <c r="X36" s="12" cm="1">
        <f t="array" ref="X36">_xll.BDH("DE US Equity","OTHER_INVESTING_ACT_DETAILED","FQ4 2023","FQ4 2023","Currency=USD","Period=FQ","BEST_FPERIOD_OVERRIDE=FQ","FILING_STATUS=MR","SCALING_FORMAT=MLN","Sort=A","Dates=H","DateFormat=P","Fill=—","Direction=H","UseDPDF=Y")</f>
        <v>-510</v>
      </c>
      <c r="Y36" s="12" cm="1">
        <f t="array" ref="Y36">_xll.BDH("DE US Equity","OTHER_INVESTING_ACT_DETAILED","FQ1 2024","FQ1 2024","Currency=USD","Period=FQ","BEST_FPERIOD_OVERRIDE=FQ","FILING_STATUS=MR","SCALING_FORMAT=MLN","Sort=A","Dates=H","DateFormat=P","Fill=—","Direction=H","UseDPDF=Y")</f>
        <v>222</v>
      </c>
      <c r="Z36" s="12" cm="1">
        <f t="array" ref="Z36">_xll.BDH("DE US Equity","OTHER_INVESTING_ACT_DETAILED","FQ2 2024","FQ2 2024","Currency=USD","Period=FQ","BEST_FPERIOD_OVERRIDE=FQ","FILING_STATUS=MR","SCALING_FORMAT=MLN","Sort=A","Dates=H","DateFormat=P","Fill=—","Direction=H","UseDPDF=Y")</f>
        <v>-427</v>
      </c>
      <c r="AA36" s="12" cm="1">
        <f t="array" ref="AA36">_xll.BDH("DE US Equity","OTHER_INVESTING_ACT_DETAILED","FQ3 2024","FQ3 2024","Currency=USD","Period=FQ","BEST_FPERIOD_OVERRIDE=FQ","FILING_STATUS=MR","SCALING_FORMAT=MLN","Sort=A","Dates=H","DateFormat=P","Fill=—","Direction=H","UseDPDF=Y")</f>
        <v>261</v>
      </c>
      <c r="AB36" s="12" cm="1">
        <f t="array" ref="AB36">_xll.BDH("DE US Equity","OTHER_INVESTING_ACT_DETAILED","FQ4 2024","FQ4 2024","Currency=USD","Period=FQ","BEST_FPERIOD_OVERRIDE=FQ","FILING_STATUS=MR","SCALING_FORMAT=MLN","Sort=A","Dates=H","DateFormat=P","Fill=—","Direction=H","UseDPDF=Y")</f>
        <v>7</v>
      </c>
      <c r="AC36" s="12" cm="1">
        <f t="array" ref="AC36">_xll.BDH("DE US Equity","OTHER_INVESTING_ACT_DETAILED","FQ1 2025","FQ1 2025","Currency=USD","Period=FQ","BEST_FPERIOD_OVERRIDE=FQ","FILING_STATUS=MR","SCALING_FORMAT=MLN","Sort=A","Dates=H","DateFormat=P","Fill=—","Direction=H","UseDPDF=Y")</f>
        <v>-318</v>
      </c>
      <c r="AD36" s="12" cm="1">
        <f t="array" ref="AD36">_xll.BDH("DE US Equity","OTHER_INVESTING_ACT_DETAILED","FQ2 2025","FQ2 2025","Currency=USD","Period=FQ","BEST_FPERIOD_OVERRIDE=FQ","FILING_STATUS=MR","SCALING_FORMAT=MLN","Sort=A","Dates=H","DateFormat=P","Fill=—","Direction=H","UseDPDF=Y")</f>
        <v>301</v>
      </c>
      <c r="AE36" s="12" cm="1">
        <f t="array" ref="AE36">_xll.BDH("DE US Equity","OTHER_INVESTING_ACT_DETAILED","FQ3 2025","FQ3 2025","Currency=USD","Period=FQ","BEST_FPERIOD_OVERRIDE=FQ","FILING_STATUS=MR","SCALING_FORMAT=MLN","Sort=A","Dates=H","DateFormat=P","Fill=—","Direction=H","UseDPDF=Y")</f>
        <v>8</v>
      </c>
      <c r="AF36" s="12" cm="1">
        <f t="array" ref="AF36">_xll.BDH("DE US Equity","OTHER_INVESTING_ACT_DETAILED","FQ4 2025","FQ4 2025","Currency=USD","Period=FQ","BEST_FPERIOD_OVERRIDE=FQ","FILING_STATUS=MR","SCALING_FORMAT=MLN","Sort=A","Dates=H","DateFormat=P","Fill=—","Direction=H","UseDPDF=Y")</f>
        <v>333</v>
      </c>
    </row>
    <row r="37" spans="1:32" x14ac:dyDescent="0.25">
      <c r="A37" s="10" t="s">
        <v>88</v>
      </c>
      <c r="B37" s="10" t="s">
        <v>122</v>
      </c>
      <c r="C37" s="12" cm="1">
        <f t="array" ref="C37">_xll.BDH("DE US Equity","CF_NET_CASH_DISCONTINUED_OPS_INV","FQ3 2018","FQ3 2018","Currency=USD","Period=FQ","BEST_FPERIOD_OVERRIDE=FQ","FILING_STATUS=MR","SCALING_FORMAT=MLN","Sort=A","Dates=H","DateFormat=P","Fill=—","Direction=H","UseDPDF=Y")</f>
        <v>0</v>
      </c>
      <c r="D37" s="12" cm="1">
        <f t="array" ref="D37">_xll.BDH("DE US Equity","CF_NET_CASH_DISCONTINUED_OPS_INV","FQ4 2018","FQ4 2018","Currency=USD","Period=FQ","BEST_FPERIOD_OVERRIDE=FQ","FILING_STATUS=MR","SCALING_FORMAT=MLN","Sort=A","Dates=H","DateFormat=P","Fill=—","Direction=H","UseDPDF=Y")</f>
        <v>0</v>
      </c>
      <c r="E37" s="12" cm="1">
        <f t="array" ref="E37">_xll.BDH("DE US Equity","CF_NET_CASH_DISCONTINUED_OPS_INV","FQ1 2019","FQ1 2019","Currency=USD","Period=FQ","BEST_FPERIOD_OVERRIDE=FQ","FILING_STATUS=MR","SCALING_FORMAT=MLN","Sort=A","Dates=H","DateFormat=P","Fill=—","Direction=H","UseDPDF=Y")</f>
        <v>0</v>
      </c>
      <c r="F37" s="12" cm="1">
        <f t="array" ref="F37">_xll.BDH("DE US Equity","CF_NET_CASH_DISCONTINUED_OPS_INV","FQ2 2019","FQ2 2019","Currency=USD","Period=FQ","BEST_FPERIOD_OVERRIDE=FQ","FILING_STATUS=MR","SCALING_FORMAT=MLN","Sort=A","Dates=H","DateFormat=P","Fill=—","Direction=H","UseDPDF=Y")</f>
        <v>0</v>
      </c>
      <c r="G37" s="12" cm="1">
        <f t="array" ref="G37">_xll.BDH("DE US Equity","CF_NET_CASH_DISCONTINUED_OPS_INV","FQ3 2019","FQ3 2019","Currency=USD","Period=FQ","BEST_FPERIOD_OVERRIDE=FQ","FILING_STATUS=MR","SCALING_FORMAT=MLN","Sort=A","Dates=H","DateFormat=P","Fill=—","Direction=H","UseDPDF=Y")</f>
        <v>0</v>
      </c>
      <c r="H37" s="12" cm="1">
        <f t="array" ref="H37">_xll.BDH("DE US Equity","CF_NET_CASH_DISCONTINUED_OPS_INV","FQ4 2019","FQ4 2019","Currency=USD","Period=FQ","BEST_FPERIOD_OVERRIDE=FQ","FILING_STATUS=MR","SCALING_FORMAT=MLN","Sort=A","Dates=H","DateFormat=P","Fill=—","Direction=H","UseDPDF=Y")</f>
        <v>0</v>
      </c>
      <c r="I37" s="12" cm="1">
        <f t="array" ref="I37">_xll.BDH("DE US Equity","CF_NET_CASH_DISCONTINUED_OPS_INV","FQ1 2020","FQ1 2020","Currency=USD","Period=FQ","BEST_FPERIOD_OVERRIDE=FQ","FILING_STATUS=MR","SCALING_FORMAT=MLN","Sort=A","Dates=H","DateFormat=P","Fill=—","Direction=H","UseDPDF=Y")</f>
        <v>0</v>
      </c>
      <c r="J37" s="12" cm="1">
        <f t="array" ref="J37">_xll.BDH("DE US Equity","CF_NET_CASH_DISCONTINUED_OPS_INV","FQ2 2020","FQ2 2020","Currency=USD","Period=FQ","BEST_FPERIOD_OVERRIDE=FQ","FILING_STATUS=MR","SCALING_FORMAT=MLN","Sort=A","Dates=H","DateFormat=P","Fill=—","Direction=H","UseDPDF=Y")</f>
        <v>0</v>
      </c>
      <c r="K37" s="12" cm="1">
        <f t="array" ref="K37">_xll.BDH("DE US Equity","CF_NET_CASH_DISCONTINUED_OPS_INV","FQ3 2020","FQ3 2020","Currency=USD","Period=FQ","BEST_FPERIOD_OVERRIDE=FQ","FILING_STATUS=MR","SCALING_FORMAT=MLN","Sort=A","Dates=H","DateFormat=P","Fill=—","Direction=H","UseDPDF=Y")</f>
        <v>0</v>
      </c>
      <c r="L37" s="12" cm="1">
        <f t="array" ref="L37">_xll.BDH("DE US Equity","CF_NET_CASH_DISCONTINUED_OPS_INV","FQ4 2020","FQ4 2020","Currency=USD","Period=FQ","BEST_FPERIOD_OVERRIDE=FQ","FILING_STATUS=MR","SCALING_FORMAT=MLN","Sort=A","Dates=H","DateFormat=P","Fill=—","Direction=H","UseDPDF=Y")</f>
        <v>0</v>
      </c>
      <c r="M37" s="12" cm="1">
        <f t="array" ref="M37">_xll.BDH("DE US Equity","CF_NET_CASH_DISCONTINUED_OPS_INV","FQ1 2021","FQ1 2021","Currency=USD","Period=FQ","BEST_FPERIOD_OVERRIDE=FQ","FILING_STATUS=MR","SCALING_FORMAT=MLN","Sort=A","Dates=H","DateFormat=P","Fill=—","Direction=H","UseDPDF=Y")</f>
        <v>0</v>
      </c>
      <c r="N37" s="12" cm="1">
        <f t="array" ref="N37">_xll.BDH("DE US Equity","CF_NET_CASH_DISCONTINUED_OPS_INV","FQ2 2021","FQ2 2021","Currency=USD","Period=FQ","BEST_FPERIOD_OVERRIDE=FQ","FILING_STATUS=MR","SCALING_FORMAT=MLN","Sort=A","Dates=H","DateFormat=P","Fill=—","Direction=H","UseDPDF=Y")</f>
        <v>0</v>
      </c>
      <c r="O37" s="12" cm="1">
        <f t="array" ref="O37">_xll.BDH("DE US Equity","CF_NET_CASH_DISCONTINUED_OPS_INV","FQ3 2021","FQ3 2021","Currency=USD","Period=FQ","BEST_FPERIOD_OVERRIDE=FQ","FILING_STATUS=MR","SCALING_FORMAT=MLN","Sort=A","Dates=H","DateFormat=P","Fill=—","Direction=H","UseDPDF=Y")</f>
        <v>0</v>
      </c>
      <c r="P37" s="12" cm="1">
        <f t="array" ref="P37">_xll.BDH("DE US Equity","CF_NET_CASH_DISCONTINUED_OPS_INV","FQ4 2021","FQ4 2021","Currency=USD","Period=FQ","BEST_FPERIOD_OVERRIDE=FQ","FILING_STATUS=MR","SCALING_FORMAT=MLN","Sort=A","Dates=H","DateFormat=P","Fill=—","Direction=H","UseDPDF=Y")</f>
        <v>0</v>
      </c>
      <c r="Q37" s="12" cm="1">
        <f t="array" ref="Q37">_xll.BDH("DE US Equity","CF_NET_CASH_DISCONTINUED_OPS_INV","FQ1 2022","FQ1 2022","Currency=USD","Period=FQ","BEST_FPERIOD_OVERRIDE=FQ","FILING_STATUS=MR","SCALING_FORMAT=MLN","Sort=A","Dates=H","DateFormat=P","Fill=—","Direction=H","UseDPDF=Y")</f>
        <v>0</v>
      </c>
      <c r="R37" s="12" cm="1">
        <f t="array" ref="R37">_xll.BDH("DE US Equity","CF_NET_CASH_DISCONTINUED_OPS_INV","FQ2 2022","FQ2 2022","Currency=USD","Period=FQ","BEST_FPERIOD_OVERRIDE=FQ","FILING_STATUS=MR","SCALING_FORMAT=MLN","Sort=A","Dates=H","DateFormat=P","Fill=—","Direction=H","UseDPDF=Y")</f>
        <v>0</v>
      </c>
      <c r="S37" s="12" cm="1">
        <f t="array" ref="S37">_xll.BDH("DE US Equity","CF_NET_CASH_DISCONTINUED_OPS_INV","FQ3 2022","FQ3 2022","Currency=USD","Period=FQ","BEST_FPERIOD_OVERRIDE=FQ","FILING_STATUS=MR","SCALING_FORMAT=MLN","Sort=A","Dates=H","DateFormat=P","Fill=—","Direction=H","UseDPDF=Y")</f>
        <v>0</v>
      </c>
      <c r="T37" s="12" cm="1">
        <f t="array" ref="T37">_xll.BDH("DE US Equity","CF_NET_CASH_DISCONTINUED_OPS_INV","FQ4 2022","FQ4 2022","Currency=USD","Period=FQ","BEST_FPERIOD_OVERRIDE=FQ","FILING_STATUS=MR","SCALING_FORMAT=MLN","Sort=A","Dates=H","DateFormat=P","Fill=—","Direction=H","UseDPDF=Y")</f>
        <v>0</v>
      </c>
      <c r="U37" s="12" cm="1">
        <f t="array" ref="U37">_xll.BDH("DE US Equity","CF_NET_CASH_DISCONTINUED_OPS_INV","FQ1 2023","FQ1 2023","Currency=USD","Period=FQ","BEST_FPERIOD_OVERRIDE=FQ","FILING_STATUS=MR","SCALING_FORMAT=MLN","Sort=A","Dates=H","DateFormat=P","Fill=—","Direction=H","UseDPDF=Y")</f>
        <v>0</v>
      </c>
      <c r="V37" s="12" cm="1">
        <f t="array" ref="V37">_xll.BDH("DE US Equity","CF_NET_CASH_DISCONTINUED_OPS_INV","FQ2 2023","FQ2 2023","Currency=USD","Period=FQ","BEST_FPERIOD_OVERRIDE=FQ","FILING_STATUS=MR","SCALING_FORMAT=MLN","Sort=A","Dates=H","DateFormat=P","Fill=—","Direction=H","UseDPDF=Y")</f>
        <v>0</v>
      </c>
      <c r="W37" s="12" cm="1">
        <f t="array" ref="W37">_xll.BDH("DE US Equity","CF_NET_CASH_DISCONTINUED_OPS_INV","FQ3 2023","FQ3 2023","Currency=USD","Period=FQ","BEST_FPERIOD_OVERRIDE=FQ","FILING_STATUS=MR","SCALING_FORMAT=MLN","Sort=A","Dates=H","DateFormat=P","Fill=—","Direction=H","UseDPDF=Y")</f>
        <v>0</v>
      </c>
      <c r="X37" s="12" cm="1">
        <f t="array" ref="X37">_xll.BDH("DE US Equity","CF_NET_CASH_DISCONTINUED_OPS_INV","FQ4 2023","FQ4 2023","Currency=USD","Period=FQ","BEST_FPERIOD_OVERRIDE=FQ","FILING_STATUS=MR","SCALING_FORMAT=MLN","Sort=A","Dates=H","DateFormat=P","Fill=—","Direction=H","UseDPDF=Y")</f>
        <v>0</v>
      </c>
      <c r="Y37" s="12" cm="1">
        <f t="array" ref="Y37">_xll.BDH("DE US Equity","CF_NET_CASH_DISCONTINUED_OPS_INV","FQ1 2024","FQ1 2024","Currency=USD","Period=FQ","BEST_FPERIOD_OVERRIDE=FQ","FILING_STATUS=MR","SCALING_FORMAT=MLN","Sort=A","Dates=H","DateFormat=P","Fill=—","Direction=H","UseDPDF=Y")</f>
        <v>0</v>
      </c>
      <c r="Z37" s="12" cm="1">
        <f t="array" ref="Z37">_xll.BDH("DE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A37" s="12" cm="1">
        <f t="array" ref="AA37">_xll.BDH("DE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B37" s="12" cm="1">
        <f t="array" ref="AB37">_xll.BDH("DE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C37" s="12" cm="1">
        <f t="array" ref="AC37">_xll.BDH("DE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D37" s="12" cm="1">
        <f t="array" ref="AD37">_xll.BDH("DE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E37" s="12" cm="1">
        <f t="array" ref="AE37">_xll.BDH("DE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F37" s="12" cm="1">
        <f t="array" ref="AF37">_xll.BDH("DE US Equity","CF_NET_CASH_DISCONTINUED_OPS_INV","FQ4 2025","FQ4 2025","Currency=USD","Period=FQ","BEST_FPERIOD_OVERRIDE=FQ","FILING_STATUS=MR","SCALING_FORMAT=MLN","Sort=A","Dates=H","DateFormat=P","Fill=—","Direction=H","UseDPDF=Y")</f>
        <v>0</v>
      </c>
    </row>
    <row r="38" spans="1:32" x14ac:dyDescent="0.25">
      <c r="A38" s="6" t="s">
        <v>91</v>
      </c>
      <c r="B38" s="6" t="s">
        <v>123</v>
      </c>
      <c r="C38" s="15" cm="1">
        <f t="array" ref="C38">_xll.BDH("DE US Equity","CF_CASH_FROM_INV_ACT","FQ3 2018","FQ3 2018","Currency=USD","Period=FQ","BEST_FPERIOD_OVERRIDE=FQ","FILING_STATUS=MR","SCALING_FORMAT=MLN","Sort=A","Dates=H","DateFormat=P","Fill=—","Direction=H","UseDPDF=Y")</f>
        <v>-1334.3</v>
      </c>
      <c r="D38" s="15" cm="1">
        <f t="array" ref="D38">_xll.BDH("DE US Equity","CF_CASH_FROM_INV_ACT","FQ4 2018","FQ4 2018","Currency=USD","Period=FQ","BEST_FPERIOD_OVERRIDE=FQ","FILING_STATUS=MR","SCALING_FORMAT=MLN","Sort=A","Dates=H","DateFormat=P","Fill=—","Direction=H","UseDPDF=Y")</f>
        <v>-1683</v>
      </c>
      <c r="E38" s="15" cm="1">
        <f t="array" ref="E38">_xll.BDH("DE US Equity","CF_CASH_FROM_INV_ACT","FQ1 2019","FQ1 2019","Currency=USD","Period=FQ","BEST_FPERIOD_OVERRIDE=FQ","FILING_STATUS=MR","SCALING_FORMAT=MLN","Sort=A","Dates=H","DateFormat=P","Fill=—","Direction=H","UseDPDF=Y")</f>
        <v>969</v>
      </c>
      <c r="F38" s="15" cm="1">
        <f t="array" ref="F38">_xll.BDH("DE US Equity","CF_CASH_FROM_INV_ACT","FQ2 2019","FQ2 2019","Currency=USD","Period=FQ","BEST_FPERIOD_OVERRIDE=FQ","FILING_STATUS=MR","SCALING_FORMAT=MLN","Sort=A","Dates=H","DateFormat=P","Fill=—","Direction=H","UseDPDF=Y")</f>
        <v>-1340.6</v>
      </c>
      <c r="G38" s="15" cm="1">
        <f t="array" ref="G38">_xll.BDH("DE US Equity","CF_CASH_FROM_INV_ACT","FQ3 2019","FQ3 2019","Currency=USD","Period=FQ","BEST_FPERIOD_OVERRIDE=FQ","FILING_STATUS=MR","SCALING_FORMAT=MLN","Sort=A","Dates=H","DateFormat=P","Fill=—","Direction=H","UseDPDF=Y")</f>
        <v>-1757</v>
      </c>
      <c r="H38" s="15" cm="1">
        <f t="array" ref="H38">_xll.BDH("DE US Equity","CF_CASH_FROM_INV_ACT","FQ4 2019","FQ4 2019","Currency=USD","Period=FQ","BEST_FPERIOD_OVERRIDE=FQ","FILING_STATUS=MR","SCALING_FORMAT=MLN","Sort=A","Dates=H","DateFormat=P","Fill=—","Direction=H","UseDPDF=Y")</f>
        <v>-1795</v>
      </c>
      <c r="I38" s="15" cm="1">
        <f t="array" ref="I38">_xll.BDH("DE US Equity","CF_CASH_FROM_INV_ACT","FQ1 2020","FQ1 2020","Currency=USD","Period=FQ","BEST_FPERIOD_OVERRIDE=FQ","FILING_STATUS=MR","SCALING_FORMAT=MLN","Sort=A","Dates=H","DateFormat=P","Fill=—","Direction=H","UseDPDF=Y")</f>
        <v>1026</v>
      </c>
      <c r="J38" s="15" cm="1">
        <f t="array" ref="J38">_xll.BDH("DE US Equity","CF_CASH_FROM_INV_ACT","FQ2 2020","FQ2 2020","Currency=USD","Period=FQ","BEST_FPERIOD_OVERRIDE=FQ","FILING_STATUS=MR","SCALING_FORMAT=MLN","Sort=A","Dates=H","DateFormat=P","Fill=—","Direction=H","UseDPDF=Y")</f>
        <v>-996</v>
      </c>
      <c r="K38" s="15" cm="1">
        <f t="array" ref="K38">_xll.BDH("DE US Equity","CF_CASH_FROM_INV_ACT","FQ3 2020","FQ3 2020","Currency=USD","Period=FQ","BEST_FPERIOD_OVERRIDE=FQ","FILING_STATUS=MR","SCALING_FORMAT=MLN","Sort=A","Dates=H","DateFormat=P","Fill=—","Direction=H","UseDPDF=Y")</f>
        <v>-1547</v>
      </c>
      <c r="L38" s="15" cm="1">
        <f t="array" ref="L38">_xll.BDH("DE US Equity","CF_CASH_FROM_INV_ACT","FQ4 2020","FQ4 2020","Currency=USD","Period=FQ","BEST_FPERIOD_OVERRIDE=FQ","FILING_STATUS=MR","SCALING_FORMAT=MLN","Sort=A","Dates=H","DateFormat=P","Fill=—","Direction=H","UseDPDF=Y")</f>
        <v>-1802</v>
      </c>
      <c r="M38" s="15" cm="1">
        <f t="array" ref="M38">_xll.BDH("DE US Equity","CF_CASH_FROM_INV_ACT","FQ1 2021","FQ1 2021","Currency=USD","Period=FQ","BEST_FPERIOD_OVERRIDE=FQ","FILING_STATUS=MR","SCALING_FORMAT=MLN","Sort=A","Dates=H","DateFormat=P","Fill=—","Direction=H","UseDPDF=Y")</f>
        <v>579</v>
      </c>
      <c r="N38" s="15" cm="1">
        <f t="array" ref="N38">_xll.BDH("DE US Equity","CF_CASH_FROM_INV_ACT","FQ2 2021","FQ2 2021","Currency=USD","Period=FQ","BEST_FPERIOD_OVERRIDE=FQ","FILING_STATUS=MR","SCALING_FORMAT=MLN","Sort=A","Dates=H","DateFormat=P","Fill=—","Direction=H","UseDPDF=Y")</f>
        <v>-1966</v>
      </c>
      <c r="O38" s="15" cm="1">
        <f t="array" ref="O38">_xll.BDH("DE US Equity","CF_CASH_FROM_INV_ACT","FQ3 2021","FQ3 2021","Currency=USD","Period=FQ","BEST_FPERIOD_OVERRIDE=FQ","FILING_STATUS=MR","SCALING_FORMAT=MLN","Sort=A","Dates=H","DateFormat=P","Fill=—","Direction=H","UseDPDF=Y")</f>
        <v>-1715</v>
      </c>
      <c r="P38" s="15" cm="1">
        <f t="array" ref="P38">_xll.BDH("DE US Equity","CF_CASH_FROM_INV_ACT","FQ4 2021","FQ4 2021","Currency=USD","Period=FQ","BEST_FPERIOD_OVERRIDE=FQ","FILING_STATUS=MR","SCALING_FORMAT=MLN","Sort=A","Dates=H","DateFormat=P","Fill=—","Direction=H","UseDPDF=Y")</f>
        <v>-2648</v>
      </c>
      <c r="Q38" s="15" cm="1">
        <f t="array" ref="Q38">_xll.BDH("DE US Equity","CF_CASH_FROM_INV_ACT","FQ1 2022","FQ1 2022","Currency=USD","Period=FQ","BEST_FPERIOD_OVERRIDE=FQ","FILING_STATUS=MR","SCALING_FORMAT=MLN","Sort=A","Dates=H","DateFormat=P","Fill=—","Direction=H","UseDPDF=Y")</f>
        <v>648</v>
      </c>
      <c r="R38" s="15" cm="1">
        <f t="array" ref="R38">_xll.BDH("DE US Equity","CF_CASH_FROM_INV_ACT","FQ2 2022","FQ2 2022","Currency=USD","Period=FQ","BEST_FPERIOD_OVERRIDE=FQ","FILING_STATUS=MR","SCALING_FORMAT=MLN","Sort=A","Dates=H","DateFormat=P","Fill=—","Direction=H","UseDPDF=Y")</f>
        <v>-2536</v>
      </c>
      <c r="S38" s="15" cm="1">
        <f t="array" ref="S38">_xll.BDH("DE US Equity","CF_CASH_FROM_INV_ACT","FQ3 2022","FQ3 2022","Currency=USD","Period=FQ","BEST_FPERIOD_OVERRIDE=FQ","FILING_STATUS=MR","SCALING_FORMAT=MLN","Sort=A","Dates=H","DateFormat=P","Fill=—","Direction=H","UseDPDF=Y")</f>
        <v>-2542</v>
      </c>
      <c r="T38" s="15" cm="1">
        <f t="array" ref="T38">_xll.BDH("DE US Equity","CF_CASH_FROM_INV_ACT","FQ4 2022","FQ4 2022","Currency=USD","Period=FQ","BEST_FPERIOD_OVERRIDE=FQ","FILING_STATUS=MR","SCALING_FORMAT=MLN","Sort=A","Dates=H","DateFormat=P","Fill=—","Direction=H","UseDPDF=Y")</f>
        <v>-4055</v>
      </c>
      <c r="U38" s="15" cm="1">
        <f t="array" ref="U38">_xll.BDH("DE US Equity","CF_CASH_FROM_INV_ACT","FQ1 2023","FQ1 2023","Currency=USD","Period=FQ","BEST_FPERIOD_OVERRIDE=FQ","FILING_STATUS=MR","SCALING_FORMAT=MLN","Sort=A","Dates=H","DateFormat=P","Fill=—","Direction=H","UseDPDF=Y")</f>
        <v>760</v>
      </c>
      <c r="V38" s="15" cm="1">
        <f t="array" ref="V38">_xll.BDH("DE US Equity","CF_CASH_FROM_INV_ACT","FQ2 2023","FQ2 2023","Currency=USD","Period=FQ","BEST_FPERIOD_OVERRIDE=FQ","FILING_STATUS=MR","SCALING_FORMAT=MLN","Sort=A","Dates=H","DateFormat=P","Fill=—","Direction=H","UseDPDF=Y")</f>
        <v>-2254</v>
      </c>
      <c r="W38" s="15" cm="1">
        <f t="array" ref="W38">_xll.BDH("DE US Equity","CF_CASH_FROM_INV_ACT","FQ3 2023","FQ3 2023","Currency=USD","Period=FQ","BEST_FPERIOD_OVERRIDE=FQ","FILING_STATUS=MR","SCALING_FORMAT=MLN","Sort=A","Dates=H","DateFormat=P","Fill=—","Direction=H","UseDPDF=Y")</f>
        <v>-3069</v>
      </c>
      <c r="X38" s="15" cm="1">
        <f t="array" ref="X38">_xll.BDH("DE US Equity","CF_CASH_FROM_INV_ACT","FQ4 2023","FQ4 2023","Currency=USD","Period=FQ","BEST_FPERIOD_OVERRIDE=FQ","FILING_STATUS=MR","SCALING_FORMAT=MLN","Sort=A","Dates=H","DateFormat=P","Fill=—","Direction=H","UseDPDF=Y")</f>
        <v>-4186</v>
      </c>
      <c r="Y38" s="15" cm="1">
        <f t="array" ref="Y38">_xll.BDH("DE US Equity","CF_CASH_FROM_INV_ACT","FQ1 2024","FQ1 2024","Currency=USD","Period=FQ","BEST_FPERIOD_OVERRIDE=FQ","FILING_STATUS=MR","SCALING_FORMAT=MLN","Sort=A","Dates=H","DateFormat=P","Fill=—","Direction=H","UseDPDF=Y")</f>
        <v>1217</v>
      </c>
      <c r="Z38" s="15" cm="1">
        <f t="array" ref="Z38">_xll.BDH("DE US Equity","CF_CASH_FROM_INV_ACT","FQ2 2024","FQ2 2024","Currency=USD","Period=FQ","BEST_FPERIOD_OVERRIDE=FQ","FILING_STATUS=MR","SCALING_FORMAT=MLN","Sort=A","Dates=H","DateFormat=P","Fill=—","Direction=H","UseDPDF=Y")</f>
        <v>-2887</v>
      </c>
      <c r="AA38" s="15" cm="1">
        <f t="array" ref="AA38">_xll.BDH("DE US Equity","CF_CASH_FROM_INV_ACT","FQ3 2024","FQ3 2024","Currency=USD","Period=FQ","BEST_FPERIOD_OVERRIDE=FQ","FILING_STATUS=MR","SCALING_FORMAT=MLN","Sort=A","Dates=H","DateFormat=P","Fill=—","Direction=H","UseDPDF=Y")</f>
        <v>-2001</v>
      </c>
      <c r="AB38" s="15" cm="1">
        <f t="array" ref="AB38">_xll.BDH("DE US Equity","CF_CASH_FROM_INV_ACT","FQ4 2024","FQ4 2024","Currency=USD","Period=FQ","BEST_FPERIOD_OVERRIDE=FQ","FILING_STATUS=MR","SCALING_FORMAT=MLN","Sort=A","Dates=H","DateFormat=P","Fill=—","Direction=H","UseDPDF=Y")</f>
        <v>-2793</v>
      </c>
      <c r="AC38" s="15" cm="1">
        <f t="array" ref="AC38">_xll.BDH("DE US Equity","CF_CASH_FROM_INV_ACT","FQ1 2025","FQ1 2025","Currency=USD","Period=FQ","BEST_FPERIOD_OVERRIDE=FQ","FILING_STATUS=MR","SCALING_FORMAT=MLN","Sort=A","Dates=H","DateFormat=P","Fill=—","Direction=H","UseDPDF=Y")</f>
        <v>1416</v>
      </c>
      <c r="AD38" s="15" cm="1">
        <f t="array" ref="AD38">_xll.BDH("DE US Equity","CF_CASH_FROM_INV_ACT","FQ2 2025","FQ2 2025","Currency=USD","Period=FQ","BEST_FPERIOD_OVERRIDE=FQ","FILING_STATUS=MR","SCALING_FORMAT=MLN","Sort=A","Dates=H","DateFormat=P","Fill=—","Direction=H","UseDPDF=Y")</f>
        <v>-637</v>
      </c>
      <c r="AE38" s="15" cm="1">
        <f t="array" ref="AE38">_xll.BDH("DE US Equity","CF_CASH_FROM_INV_ACT","FQ3 2025","FQ3 2025","Currency=USD","Period=FQ","BEST_FPERIOD_OVERRIDE=FQ","FILING_STATUS=MR","SCALING_FORMAT=MLN","Sort=A","Dates=H","DateFormat=P","Fill=—","Direction=H","UseDPDF=Y")</f>
        <v>-1580</v>
      </c>
      <c r="AF38" s="15" cm="1">
        <f t="array" ref="AF38">_xll.BDH("DE US Equity","CF_CASH_FROM_INV_ACT","FQ4 2025","FQ4 2025","Currency=USD","Period=FQ","BEST_FPERIOD_OVERRIDE=FQ","FILING_STATUS=MR","SCALING_FORMAT=MLN","Sort=A","Dates=H","DateFormat=P","Fill=—","Direction=H","UseDPDF=Y")</f>
        <v>-1256</v>
      </c>
    </row>
    <row r="39" spans="1:32" x14ac:dyDescent="0.25">
      <c r="A39" s="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6" t="s">
        <v>124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0" t="s">
        <v>125</v>
      </c>
      <c r="B41" s="10" t="s">
        <v>126</v>
      </c>
      <c r="C41" s="12" cm="1">
        <f t="array" ref="C41">_xll.BDH("DE US Equity","CF_DVD_PAID","FQ3 2018","FQ3 2018","Currency=USD","Period=FQ","BEST_FPERIOD_OVERRIDE=FQ","FILING_STATUS=MR","SCALING_FORMAT=MLN","Sort=A","Dates=H","DateFormat=P","Fill=—","Direction=H","UseDPDF=Y")</f>
        <v>-196.1</v>
      </c>
      <c r="D41" s="12" cm="1">
        <f t="array" ref="D41">_xll.BDH("DE US Equity","CF_DVD_PAID","FQ4 2018","FQ4 2018","Currency=USD","Period=FQ","BEST_FPERIOD_OVERRIDE=FQ","FILING_STATUS=MR","SCALING_FORMAT=MLN","Sort=A","Dates=H","DateFormat=P","Fill=—","Direction=H","UseDPDF=Y")</f>
        <v>-223</v>
      </c>
      <c r="E41" s="12" cm="1">
        <f t="array" ref="E41">_xll.BDH("DE US Equity","CF_DVD_PAID","FQ1 2019","FQ1 2019","Currency=USD","Period=FQ","BEST_FPERIOD_OVERRIDE=FQ","FILING_STATUS=MR","SCALING_FORMAT=MLN","Sort=A","Dates=H","DateFormat=P","Fill=—","Direction=H","UseDPDF=Y")</f>
        <v>-220</v>
      </c>
      <c r="F41" s="12" cm="1">
        <f t="array" ref="F41">_xll.BDH("DE US Equity","CF_DVD_PAID","FQ2 2019","FQ2 2019","Currency=USD","Period=FQ","BEST_FPERIOD_OVERRIDE=FQ","FILING_STATUS=MR","SCALING_FORMAT=MLN","Sort=A","Dates=H","DateFormat=P","Fill=—","Direction=H","UseDPDF=Y")</f>
        <v>-241.7</v>
      </c>
      <c r="G41" s="12" cm="1">
        <f t="array" ref="G41">_xll.BDH("DE US Equity","CF_DVD_PAID","FQ3 2019","FQ3 2019","Currency=USD","Period=FQ","BEST_FPERIOD_OVERRIDE=FQ","FILING_STATUS=MR","SCALING_FORMAT=MLN","Sort=A","Dates=H","DateFormat=P","Fill=—","Direction=H","UseDPDF=Y")</f>
        <v>-241</v>
      </c>
      <c r="H41" s="12" cm="1">
        <f t="array" ref="H41">_xll.BDH("DE US Equity","CF_DVD_PAID","FQ4 2019","FQ4 2019","Currency=USD","Period=FQ","BEST_FPERIOD_OVERRIDE=FQ","FILING_STATUS=MR","SCALING_FORMAT=MLN","Sort=A","Dates=H","DateFormat=P","Fill=—","Direction=H","UseDPDF=Y")</f>
        <v>-240</v>
      </c>
      <c r="I41" s="12" cm="1">
        <f t="array" ref="I41">_xll.BDH("DE US Equity","CF_DVD_PAID","FQ1 2020","FQ1 2020","Currency=USD","Period=FQ","BEST_FPERIOD_OVERRIDE=FQ","FILING_STATUS=MR","SCALING_FORMAT=MLN","Sort=A","Dates=H","DateFormat=P","Fill=—","Direction=H","UseDPDF=Y")</f>
        <v>-242</v>
      </c>
      <c r="J41" s="12" cm="1">
        <f t="array" ref="J41">_xll.BDH("DE US Equity","CF_DVD_PAID","FQ2 2020","FQ2 2020","Currency=USD","Period=FQ","BEST_FPERIOD_OVERRIDE=FQ","FILING_STATUS=MR","SCALING_FORMAT=MLN","Sort=A","Dates=H","DateFormat=P","Fill=—","Direction=H","UseDPDF=Y")</f>
        <v>-239</v>
      </c>
      <c r="K41" s="12" cm="1">
        <f t="array" ref="K41">_xll.BDH("DE US Equity","CF_DVD_PAID","FQ3 2020","FQ3 2020","Currency=USD","Period=FQ","BEST_FPERIOD_OVERRIDE=FQ","FILING_STATUS=MR","SCALING_FORMAT=MLN","Sort=A","Dates=H","DateFormat=P","Fill=—","Direction=H","UseDPDF=Y")</f>
        <v>-237</v>
      </c>
      <c r="L41" s="12" cm="1">
        <f t="array" ref="L41">_xll.BDH("DE US Equity","CF_DVD_PAID","FQ4 2020","FQ4 2020","Currency=USD","Period=FQ","BEST_FPERIOD_OVERRIDE=FQ","FILING_STATUS=MR","SCALING_FORMAT=MLN","Sort=A","Dates=H","DateFormat=P","Fill=—","Direction=H","UseDPDF=Y")</f>
        <v>-238</v>
      </c>
      <c r="M41" s="12" cm="1">
        <f t="array" ref="M41">_xll.BDH("DE US Equity","CF_DVD_PAID","FQ1 2021","FQ1 2021","Currency=USD","Period=FQ","BEST_FPERIOD_OVERRIDE=FQ","FILING_STATUS=MR","SCALING_FORMAT=MLN","Sort=A","Dates=H","DateFormat=P","Fill=—","Direction=H","UseDPDF=Y")</f>
        <v>-242</v>
      </c>
      <c r="N41" s="12" cm="1">
        <f t="array" ref="N41">_xll.BDH("DE US Equity","CF_DVD_PAID","FQ2 2021","FQ2 2021","Currency=USD","Period=FQ","BEST_FPERIOD_OVERRIDE=FQ","FILING_STATUS=MR","SCALING_FORMAT=MLN","Sort=A","Dates=H","DateFormat=P","Fill=—","Direction=H","UseDPDF=Y")</f>
        <v>-238</v>
      </c>
      <c r="O41" s="12" cm="1">
        <f t="array" ref="O41">_xll.BDH("DE US Equity","CF_DVD_PAID","FQ3 2021","FQ3 2021","Currency=USD","Period=FQ","BEST_FPERIOD_OVERRIDE=FQ","FILING_STATUS=MR","SCALING_FORMAT=MLN","Sort=A","Dates=H","DateFormat=P","Fill=—","Direction=H","UseDPDF=Y")</f>
        <v>-281</v>
      </c>
      <c r="P41" s="12" cm="1">
        <f t="array" ref="P41">_xll.BDH("DE US Equity","CF_DVD_PAID","FQ4 2021","FQ4 2021","Currency=USD","Period=FQ","BEST_FPERIOD_OVERRIDE=FQ","FILING_STATUS=MR","SCALING_FORMAT=MLN","Sort=A","Dates=H","DateFormat=P","Fill=—","Direction=H","UseDPDF=Y")</f>
        <v>-279</v>
      </c>
      <c r="Q41" s="12" cm="1">
        <f t="array" ref="Q41">_xll.BDH("DE US Equity","CF_DVD_PAID","FQ1 2022","FQ1 2022","Currency=USD","Period=FQ","BEST_FPERIOD_OVERRIDE=FQ","FILING_STATUS=MR","SCALING_FORMAT=MLN","Sort=A","Dates=H","DateFormat=P","Fill=—","Direction=H","UseDPDF=Y")</f>
        <v>-327</v>
      </c>
      <c r="R41" s="12" cm="1">
        <f t="array" ref="R41">_xll.BDH("DE US Equity","CF_DVD_PAID","FQ2 2022","FQ2 2022","Currency=USD","Period=FQ","BEST_FPERIOD_OVERRIDE=FQ","FILING_STATUS=MR","SCALING_FORMAT=MLN","Sort=A","Dates=H","DateFormat=P","Fill=—","Direction=H","UseDPDF=Y")</f>
        <v>-322</v>
      </c>
      <c r="S41" s="12" cm="1">
        <f t="array" ref="S41">_xll.BDH("DE US Equity","CF_DVD_PAID","FQ3 2022","FQ3 2022","Currency=USD","Period=FQ","BEST_FPERIOD_OVERRIDE=FQ","FILING_STATUS=MR","SCALING_FORMAT=MLN","Sort=A","Dates=H","DateFormat=P","Fill=—","Direction=H","UseDPDF=Y")</f>
        <v>-322</v>
      </c>
      <c r="T41" s="12" cm="1">
        <f t="array" ref="T41">_xll.BDH("DE US Equity","CF_DVD_PAID","FQ4 2022","FQ4 2022","Currency=USD","Period=FQ","BEST_FPERIOD_OVERRIDE=FQ","FILING_STATUS=MR","SCALING_FORMAT=MLN","Sort=A","Dates=H","DateFormat=P","Fill=—","Direction=H","UseDPDF=Y")</f>
        <v>-342</v>
      </c>
      <c r="U41" s="12" cm="1">
        <f t="array" ref="U41">_xll.BDH("DE US Equity","CF_DVD_PAID","FQ1 2023","FQ1 2023","Currency=USD","Period=FQ","BEST_FPERIOD_OVERRIDE=FQ","FILING_STATUS=MR","SCALING_FORMAT=MLN","Sort=A","Dates=H","DateFormat=P","Fill=—","Direction=H","UseDPDF=Y")</f>
        <v>-341</v>
      </c>
      <c r="V41" s="12" cm="1">
        <f t="array" ref="V41">_xll.BDH("DE US Equity","CF_DVD_PAID","FQ2 2023","FQ2 2023","Currency=USD","Period=FQ","BEST_FPERIOD_OVERRIDE=FQ","FILING_STATUS=MR","SCALING_FORMAT=MLN","Sort=A","Dates=H","DateFormat=P","Fill=—","Direction=H","UseDPDF=Y")</f>
        <v>-356</v>
      </c>
      <c r="W41" s="12" cm="1">
        <f t="array" ref="W41">_xll.BDH("DE US Equity","CF_DVD_PAID","FQ3 2023","FQ3 2023","Currency=USD","Period=FQ","BEST_FPERIOD_OVERRIDE=FQ","FILING_STATUS=MR","SCALING_FORMAT=MLN","Sort=A","Dates=H","DateFormat=P","Fill=—","Direction=H","UseDPDF=Y")</f>
        <v>-368</v>
      </c>
      <c r="X41" s="12" cm="1">
        <f t="array" ref="X41">_xll.BDH("DE US Equity","CF_DVD_PAID","FQ4 2023","FQ4 2023","Currency=USD","Period=FQ","BEST_FPERIOD_OVERRIDE=FQ","FILING_STATUS=MR","SCALING_FORMAT=MLN","Sort=A","Dates=H","DateFormat=P","Fill=—","Direction=H","UseDPDF=Y")</f>
        <v>-362</v>
      </c>
      <c r="Y41" s="12" cm="1">
        <f t="array" ref="Y41">_xll.BDH("DE US Equity","CF_DVD_PAID","FQ1 2024","FQ1 2024","Currency=USD","Period=FQ","BEST_FPERIOD_OVERRIDE=FQ","FILING_STATUS=MR","SCALING_FORMAT=MLN","Sort=A","Dates=H","DateFormat=P","Fill=—","Direction=H","UseDPDF=Y")</f>
        <v>-386</v>
      </c>
      <c r="Z41" s="12" cm="1">
        <f t="array" ref="Z41">_xll.BDH("DE US Equity","CF_DVD_PAID","FQ2 2024","FQ2 2024","Currency=USD","Period=FQ","BEST_FPERIOD_OVERRIDE=FQ","FILING_STATUS=MR","SCALING_FORMAT=MLN","Sort=A","Dates=H","DateFormat=P","Fill=—","Direction=H","UseDPDF=Y")</f>
        <v>-410</v>
      </c>
      <c r="AA41" s="12" cm="1">
        <f t="array" ref="AA41">_xll.BDH("DE US Equity","CF_DVD_PAID","FQ3 2024","FQ3 2024","Currency=USD","Period=FQ","BEST_FPERIOD_OVERRIDE=FQ","FILING_STATUS=MR","SCALING_FORMAT=MLN","Sort=A","Dates=H","DateFormat=P","Fill=—","Direction=H","UseDPDF=Y")</f>
        <v>-406</v>
      </c>
      <c r="AB41" s="12" cm="1">
        <f t="array" ref="AB41">_xll.BDH("DE US Equity","CF_DVD_PAID","FQ4 2024","FQ4 2024","Currency=USD","Period=FQ","BEST_FPERIOD_OVERRIDE=FQ","FILING_STATUS=MR","SCALING_FORMAT=MLN","Sort=A","Dates=H","DateFormat=P","Fill=—","Direction=H","UseDPDF=Y")</f>
        <v>-403</v>
      </c>
      <c r="AC41" s="12" cm="1">
        <f t="array" ref="AC41">_xll.BDH("DE US Equity","CF_DVD_PAID","FQ1 2025","FQ1 2025","Currency=USD","Period=FQ","BEST_FPERIOD_OVERRIDE=FQ","FILING_STATUS=MR","SCALING_FORMAT=MLN","Sort=A","Dates=H","DateFormat=P","Fill=—","Direction=H","UseDPDF=Y")</f>
        <v>-403</v>
      </c>
      <c r="AD41" s="12" cm="1">
        <f t="array" ref="AD41">_xll.BDH("DE US Equity","CF_DVD_PAID","FQ2 2025","FQ2 2025","Currency=USD","Period=FQ","BEST_FPERIOD_OVERRIDE=FQ","FILING_STATUS=MR","SCALING_FORMAT=MLN","Sort=A","Dates=H","DateFormat=P","Fill=—","Direction=H","UseDPDF=Y")</f>
        <v>-440</v>
      </c>
      <c r="AE41" s="12" cm="1">
        <f t="array" ref="AE41">_xll.BDH("DE US Equity","CF_DVD_PAID","FQ3 2025","FQ3 2025","Currency=USD","Period=FQ","BEST_FPERIOD_OVERRIDE=FQ","FILING_STATUS=MR","SCALING_FORMAT=MLN","Sort=A","Dates=H","DateFormat=P","Fill=—","Direction=H","UseDPDF=Y")</f>
        <v>-439</v>
      </c>
      <c r="AF41" s="12" cm="1">
        <f t="array" ref="AF41">_xll.BDH("DE US Equity","CF_DVD_PAID","FQ4 2025","FQ4 2025","Currency=USD","Period=FQ","BEST_FPERIOD_OVERRIDE=FQ","FILING_STATUS=MR","SCALING_FORMAT=MLN","Sort=A","Dates=H","DateFormat=P","Fill=—","Direction=H","UseDPDF=Y")</f>
        <v>-438</v>
      </c>
    </row>
    <row r="42" spans="1:32" x14ac:dyDescent="0.25">
      <c r="A42" s="10" t="s">
        <v>127</v>
      </c>
      <c r="B42" s="10" t="s">
        <v>128</v>
      </c>
      <c r="C42" s="12" cm="1">
        <f t="array" ref="C42">_xll.BDH("DE US Equity","PROC_FR_REPAYMNTS_BOR_DETAILED","FQ3 2018","FQ3 2018","Currency=USD","Period=FQ","BEST_FPERIOD_OVERRIDE=FQ","FILING_STATUS=MR","SCALING_FORMAT=MLN","Sort=A","Dates=H","DateFormat=P","Fill=—","Direction=H","UseDPDF=Y")</f>
        <v>1161.9000000000001</v>
      </c>
      <c r="D42" s="12" cm="1">
        <f t="array" ref="D42">_xll.BDH("DE US Equity","PROC_FR_REPAYMNTS_BOR_DETAILED","FQ4 2018","FQ4 2018","Currency=USD","Period=FQ","BEST_FPERIOD_OVERRIDE=FQ","FILING_STATUS=MR","SCALING_FORMAT=MLN","Sort=A","Dates=H","DateFormat=P","Fill=—","Direction=H","UseDPDF=Y")</f>
        <v>-34</v>
      </c>
      <c r="E42" s="12" cm="1">
        <f t="array" ref="E42">_xll.BDH("DE US Equity","PROC_FR_REPAYMNTS_BOR_DETAILED","FQ1 2019","FQ1 2019","Currency=USD","Period=FQ","BEST_FPERIOD_OVERRIDE=FQ","FILING_STATUS=MR","SCALING_FORMAT=MLN","Sort=A","Dates=H","DateFormat=P","Fill=—","Direction=H","UseDPDF=Y")</f>
        <v>746</v>
      </c>
      <c r="F42" s="12" cm="1">
        <f t="array" ref="F42">_xll.BDH("DE US Equity","PROC_FR_REPAYMNTS_BOR_DETAILED","FQ2 2019","FQ2 2019","Currency=USD","Period=FQ","BEST_FPERIOD_OVERRIDE=FQ","FILING_STATUS=MR","SCALING_FORMAT=MLN","Sort=A","Dates=H","DateFormat=P","Fill=—","Direction=H","UseDPDF=Y")</f>
        <v>1628.9</v>
      </c>
      <c r="G42" s="12" cm="1">
        <f t="array" ref="G42">_xll.BDH("DE US Equity","PROC_FR_REPAYMNTS_BOR_DETAILED","FQ3 2019","FQ3 2019","Currency=USD","Period=FQ","BEST_FPERIOD_OVERRIDE=FQ","FILING_STATUS=MR","SCALING_FORMAT=MLN","Sort=A","Dates=H","DateFormat=P","Fill=—","Direction=H","UseDPDF=Y")</f>
        <v>373</v>
      </c>
      <c r="H42" s="12" cm="1">
        <f t="array" ref="H42">_xll.BDH("DE US Equity","PROC_FR_REPAYMNTS_BOR_DETAILED","FQ4 2019","FQ4 2019","Currency=USD","Period=FQ","BEST_FPERIOD_OVERRIDE=FQ","FILING_STATUS=MR","SCALING_FORMAT=MLN","Sort=A","Dates=H","DateFormat=P","Fill=—","Direction=H","UseDPDF=Y")</f>
        <v>-105</v>
      </c>
      <c r="I42" s="12" cm="1">
        <f t="array" ref="I42">_xll.BDH("DE US Equity","PROC_FR_REPAYMNTS_BOR_DETAILED","FQ1 2020","FQ1 2020","Currency=USD","Period=FQ","BEST_FPERIOD_OVERRIDE=FQ","FILING_STATUS=MR","SCALING_FORMAT=MLN","Sort=A","Dates=H","DateFormat=P","Fill=—","Direction=H","UseDPDF=Y")</f>
        <v>-422</v>
      </c>
      <c r="J42" s="12" cm="1">
        <f t="array" ref="J42">_xll.BDH("DE US Equity","PROC_FR_REPAYMNTS_BOR_DETAILED","FQ2 2020","FQ2 2020","Currency=USD","Period=FQ","BEST_FPERIOD_OVERRIDE=FQ","FILING_STATUS=MR","SCALING_FORMAT=MLN","Sort=A","Dates=H","DateFormat=P","Fill=—","Direction=H","UseDPDF=Y")</f>
        <v>5520</v>
      </c>
      <c r="K42" s="12" cm="1">
        <f t="array" ref="K42">_xll.BDH("DE US Equity","PROC_FR_REPAYMNTS_BOR_DETAILED","FQ3 2020","FQ3 2020","Currency=USD","Period=FQ","BEST_FPERIOD_OVERRIDE=FQ","FILING_STATUS=MR","SCALING_FORMAT=MLN","Sort=A","Dates=H","DateFormat=P","Fill=—","Direction=H","UseDPDF=Y")</f>
        <v>-2394</v>
      </c>
      <c r="L42" s="12" cm="1">
        <f t="array" ref="L42">_xll.BDH("DE US Equity","PROC_FR_REPAYMNTS_BOR_DETAILED","FQ4 2020","FQ4 2020","Currency=USD","Period=FQ","BEST_FPERIOD_OVERRIDE=FQ","FILING_STATUS=MR","SCALING_FORMAT=MLN","Sort=A","Dates=H","DateFormat=P","Fill=—","Direction=H","UseDPDF=Y")</f>
        <v>-2176</v>
      </c>
      <c r="M42" s="12" cm="1">
        <f t="array" ref="M42">_xll.BDH("DE US Equity","PROC_FR_REPAYMNTS_BOR_DETAILED","FQ1 2021","FQ1 2021","Currency=USD","Period=FQ","BEST_FPERIOD_OVERRIDE=FQ","FILING_STATUS=MR","SCALING_FORMAT=MLN","Sort=A","Dates=H","DateFormat=P","Fill=—","Direction=H","UseDPDF=Y")</f>
        <v>-379</v>
      </c>
      <c r="N42" s="12" cm="1">
        <f t="array" ref="N42">_xll.BDH("DE US Equity","PROC_FR_REPAYMNTS_BOR_DETAILED","FQ2 2021","FQ2 2021","Currency=USD","Period=FQ","BEST_FPERIOD_OVERRIDE=FQ","FILING_STATUS=MR","SCALING_FORMAT=MLN","Sort=A","Dates=H","DateFormat=P","Fill=—","Direction=H","UseDPDF=Y")</f>
        <v>1401</v>
      </c>
      <c r="O42" s="12" cm="1">
        <f t="array" ref="O42">_xll.BDH("DE US Equity","PROC_FR_REPAYMNTS_BOR_DETAILED","FQ3 2021","FQ3 2021","Currency=USD","Period=FQ","BEST_FPERIOD_OVERRIDE=FQ","FILING_STATUS=MR","SCALING_FORMAT=MLN","Sort=A","Dates=H","DateFormat=P","Fill=—","Direction=H","UseDPDF=Y")</f>
        <v>612</v>
      </c>
      <c r="P42" s="12" cm="1">
        <f t="array" ref="P42">_xll.BDH("DE US Equity","PROC_FR_REPAYMNTS_BOR_DETAILED","FQ4 2021","FQ4 2021","Currency=USD","Period=FQ","BEST_FPERIOD_OVERRIDE=FQ","FILING_STATUS=MR","SCALING_FORMAT=MLN","Sort=A","Dates=H","DateFormat=P","Fill=—","Direction=H","UseDPDF=Y")</f>
        <v>816</v>
      </c>
      <c r="Q42" s="12" cm="1">
        <f t="array" ref="Q42">_xll.BDH("DE US Equity","PROC_FR_REPAYMNTS_BOR_DETAILED","FQ1 2022","FQ1 2022","Currency=USD","Period=FQ","BEST_FPERIOD_OVERRIDE=FQ","FILING_STATUS=MR","SCALING_FORMAT=MLN","Sort=A","Dates=H","DateFormat=P","Fill=—","Direction=H","UseDPDF=Y")</f>
        <v>-605</v>
      </c>
      <c r="R42" s="12" cm="1">
        <f t="array" ref="R42">_xll.BDH("DE US Equity","PROC_FR_REPAYMNTS_BOR_DETAILED","FQ2 2022","FQ2 2022","Currency=USD","Period=FQ","BEST_FPERIOD_OVERRIDE=FQ","FILING_STATUS=MR","SCALING_FORMAT=MLN","Sort=A","Dates=H","DateFormat=P","Fill=—","Direction=H","UseDPDF=Y")</f>
        <v>2090</v>
      </c>
      <c r="S42" s="12" cm="1">
        <f t="array" ref="S42">_xll.BDH("DE US Equity","PROC_FR_REPAYMNTS_BOR_DETAILED","FQ3 2022","FQ3 2022","Currency=USD","Period=FQ","BEST_FPERIOD_OVERRIDE=FQ","FILING_STATUS=MR","SCALING_FORMAT=MLN","Sort=A","Dates=H","DateFormat=P","Fill=—","Direction=H","UseDPDF=Y")</f>
        <v>2485</v>
      </c>
      <c r="T42" s="12" cm="1">
        <f t="array" ref="T42">_xll.BDH("DE US Equity","PROC_FR_REPAYMNTS_BOR_DETAILED","FQ4 2022","FQ4 2022","Currency=USD","Period=FQ","BEST_FPERIOD_OVERRIDE=FQ","FILING_STATUS=MR","SCALING_FORMAT=MLN","Sort=A","Dates=H","DateFormat=P","Fill=—","Direction=H","UseDPDF=Y")</f>
        <v>1795</v>
      </c>
      <c r="U42" s="12" cm="1">
        <f t="array" ref="U42">_xll.BDH("DE US Equity","PROC_FR_REPAYMNTS_BOR_DETAILED","FQ1 2023","FQ1 2023","Currency=USD","Period=FQ","BEST_FPERIOD_OVERRIDE=FQ","FILING_STATUS=MR","SCALING_FORMAT=MLN","Sort=A","Dates=H","DateFormat=P","Fill=—","Direction=H","UseDPDF=Y")</f>
        <v>1277</v>
      </c>
      <c r="V42" s="12" cm="1">
        <f t="array" ref="V42">_xll.BDH("DE US Equity","PROC_FR_REPAYMNTS_BOR_DETAILED","FQ2 2023","FQ2 2023","Currency=USD","Period=FQ","BEST_FPERIOD_OVERRIDE=FQ","FILING_STATUS=MR","SCALING_FORMAT=MLN","Sort=A","Dates=H","DateFormat=P","Fill=—","Direction=H","UseDPDF=Y")</f>
        <v>4016</v>
      </c>
      <c r="W42" s="12" cm="1">
        <f t="array" ref="W42">_xll.BDH("DE US Equity","PROC_FR_REPAYMNTS_BOR_DETAILED","FQ3 2023","FQ3 2023","Currency=USD","Period=FQ","BEST_FPERIOD_OVERRIDE=FQ","FILING_STATUS=MR","SCALING_FORMAT=MLN","Sort=A","Dates=H","DateFormat=P","Fill=—","Direction=H","UseDPDF=Y")</f>
        <v>3857</v>
      </c>
      <c r="X42" s="12" cm="1">
        <f t="array" ref="X42">_xll.BDH("DE US Equity","PROC_FR_REPAYMNTS_BOR_DETAILED","FQ4 2023","FQ4 2023","Currency=USD","Period=FQ","BEST_FPERIOD_OVERRIDE=FQ","FILING_STATUS=MR","SCALING_FORMAT=MLN","Sort=A","Dates=H","DateFormat=P","Fill=—","Direction=H","UseDPDF=Y")</f>
        <v>2374</v>
      </c>
      <c r="Y42" s="12" cm="1">
        <f t="array" ref="Y42">_xll.BDH("DE US Equity","PROC_FR_REPAYMNTS_BOR_DETAILED","FQ1 2024","FQ1 2024","Currency=USD","Period=FQ","BEST_FPERIOD_OVERRIDE=FQ","FILING_STATUS=MR","SCALING_FORMAT=MLN","Sort=A","Dates=H","DateFormat=P","Fill=—","Direction=H","UseDPDF=Y")</f>
        <v>-901</v>
      </c>
      <c r="Z42" s="12" cm="1">
        <f t="array" ref="Z42">_xll.BDH("DE US Equity","PROC_FR_REPAYMNTS_BOR_DETAILED","FQ2 2024","FQ2 2024","Currency=USD","Period=FQ","BEST_FPERIOD_OVERRIDE=FQ","FILING_STATUS=MR","SCALING_FORMAT=MLN","Sort=A","Dates=H","DateFormat=P","Fill=—","Direction=H","UseDPDF=Y")</f>
        <v>3009</v>
      </c>
      <c r="AA42" s="12" cm="1">
        <f t="array" ref="AA42">_xll.BDH("DE US Equity","PROC_FR_REPAYMNTS_BOR_DETAILED","FQ3 2024","FQ3 2024","Currency=USD","Period=FQ","BEST_FPERIOD_OVERRIDE=FQ","FILING_STATUS=MR","SCALING_FORMAT=MLN","Sort=A","Dates=H","DateFormat=P","Fill=—","Direction=H","UseDPDF=Y")</f>
        <v>1620</v>
      </c>
      <c r="AB42" s="12" cm="1">
        <f t="array" ref="AB42">_xll.BDH("DE US Equity","PROC_FR_REPAYMNTS_BOR_DETAILED","FQ4 2024","FQ4 2024","Currency=USD","Period=FQ","BEST_FPERIOD_OVERRIDE=FQ","FILING_STATUS=MR","SCALING_FORMAT=MLN","Sort=A","Dates=H","DateFormat=P","Fill=—","Direction=H","UseDPDF=Y")</f>
        <v>-720</v>
      </c>
      <c r="AC42" s="12" cm="1">
        <f t="array" ref="AC42">_xll.BDH("DE US Equity","PROC_FR_REPAYMNTS_BOR_DETAILED","FQ1 2025","FQ1 2025","Currency=USD","Period=FQ","BEST_FPERIOD_OVERRIDE=FQ","FILING_STATUS=MR","SCALING_FORMAT=MLN","Sort=A","Dates=H","DateFormat=P","Fill=—","Direction=H","UseDPDF=Y")</f>
        <v>-69</v>
      </c>
      <c r="AD42" s="12" cm="1">
        <f t="array" ref="AD42">_xll.BDH("DE US Equity","PROC_FR_REPAYMNTS_BOR_DETAILED","FQ2 2025","FQ2 2025","Currency=USD","Period=FQ","BEST_FPERIOD_OVERRIDE=FQ","FILING_STATUS=MR","SCALING_FORMAT=MLN","Sort=A","Dates=H","DateFormat=P","Fill=—","Direction=H","UseDPDF=Y")</f>
        <v>939</v>
      </c>
      <c r="AE42" s="12" cm="1">
        <f t="array" ref="AE42">_xll.BDH("DE US Equity","PROC_FR_REPAYMNTS_BOR_DETAILED","FQ3 2025","FQ3 2025","Currency=USD","Period=FQ","BEST_FPERIOD_OVERRIDE=FQ","FILING_STATUS=MR","SCALING_FORMAT=MLN","Sort=A","Dates=H","DateFormat=P","Fill=—","Direction=H","UseDPDF=Y")</f>
        <v>34</v>
      </c>
      <c r="AF42" s="12" cm="1">
        <f t="array" ref="AF42">_xll.BDH("DE US Equity","PROC_FR_REPAYMNTS_BOR_DETAILED","FQ4 2025","FQ4 2025","Currency=USD","Period=FQ","BEST_FPERIOD_OVERRIDE=FQ","FILING_STATUS=MR","SCALING_FORMAT=MLN","Sort=A","Dates=H","DateFormat=P","Fill=—","Direction=H","UseDPDF=Y")</f>
        <v>-2546</v>
      </c>
    </row>
    <row r="43" spans="1:32" x14ac:dyDescent="0.25">
      <c r="A43" s="10" t="s">
        <v>129</v>
      </c>
      <c r="B43" s="10" t="s">
        <v>130</v>
      </c>
      <c r="C43" s="12" cm="1">
        <f t="array" ref="C43">_xll.BDH("DE US Equity","CF_NET_CHG_ST_DEBT_CPTL_LEAS","FQ3 2018","FQ3 2018","Currency=USD","Period=FQ","BEST_FPERIOD_OVERRIDE=FQ","FILING_STATUS=MR","SCALING_FORMAT=MLN","Sort=A","Dates=H","DateFormat=P","Fill=—","Direction=H","UseDPDF=Y")</f>
        <v>983.9</v>
      </c>
      <c r="D43" s="12" cm="1">
        <f t="array" ref="D43">_xll.BDH("DE US Equity","CF_NET_CHG_ST_DEBT_CPTL_LEAS","FQ4 2018","FQ4 2018","Currency=USD","Period=FQ","BEST_FPERIOD_OVERRIDE=FQ","FILING_STATUS=MR","SCALING_FORMAT=MLN","Sort=A","Dates=H","DateFormat=P","Fill=—","Direction=H","UseDPDF=Y")</f>
        <v>-710</v>
      </c>
      <c r="E43" s="12" cm="1">
        <f t="array" ref="E43">_xll.BDH("DE US Equity","CF_NET_CHG_ST_DEBT_CPTL_LEAS","FQ1 2019","FQ1 2019","Currency=USD","Period=FQ","BEST_FPERIOD_OVERRIDE=FQ","FILING_STATUS=MR","SCALING_FORMAT=MLN","Sort=A","Dates=H","DateFormat=P","Fill=—","Direction=H","UseDPDF=Y")</f>
        <v>476</v>
      </c>
      <c r="F43" s="12" cm="1">
        <f t="array" ref="F43">_xll.BDH("DE US Equity","CF_NET_CHG_ST_DEBT_CPTL_LEAS","FQ2 2019","FQ2 2019","Currency=USD","Period=FQ","BEST_FPERIOD_OVERRIDE=FQ","FILING_STATUS=MR","SCALING_FORMAT=MLN","Sort=A","Dates=H","DateFormat=P","Fill=—","Direction=H","UseDPDF=Y")</f>
        <v>1093.7</v>
      </c>
      <c r="G43" s="12" cm="1">
        <f t="array" ref="G43">_xll.BDH("DE US Equity","CF_NET_CHG_ST_DEBT_CPTL_LEAS","FQ3 2019","FQ3 2019","Currency=USD","Period=FQ","BEST_FPERIOD_OVERRIDE=FQ","FILING_STATUS=MR","SCALING_FORMAT=MLN","Sort=A","Dates=H","DateFormat=P","Fill=—","Direction=H","UseDPDF=Y")</f>
        <v>-1906</v>
      </c>
      <c r="H43" s="12" cm="1">
        <f t="array" ref="H43">_xll.BDH("DE US Equity","CF_NET_CHG_ST_DEBT_CPTL_LEAS","FQ4 2019","FQ4 2019","Currency=USD","Period=FQ","BEST_FPERIOD_OVERRIDE=FQ","FILING_STATUS=MR","SCALING_FORMAT=MLN","Sort=A","Dates=H","DateFormat=P","Fill=—","Direction=H","UseDPDF=Y")</f>
        <v>-581</v>
      </c>
      <c r="I43" s="12" cm="1">
        <f t="array" ref="I43">_xll.BDH("DE US Equity","CF_NET_CHG_ST_DEBT_CPTL_LEAS","FQ1 2020","FQ1 2020","Currency=USD","Period=FQ","BEST_FPERIOD_OVERRIDE=FQ","FILING_STATUS=MR","SCALING_FORMAT=MLN","Sort=A","Dates=H","DateFormat=P","Fill=—","Direction=H","UseDPDF=Y")</f>
        <v>-473</v>
      </c>
      <c r="J43" s="12" cm="1">
        <f t="array" ref="J43">_xll.BDH("DE US Equity","CF_NET_CHG_ST_DEBT_CPTL_LEAS","FQ2 2020","FQ2 2020","Currency=USD","Period=FQ","BEST_FPERIOD_OVERRIDE=FQ","FILING_STATUS=MR","SCALING_FORMAT=MLN","Sort=A","Dates=H","DateFormat=P","Fill=—","Direction=H","UseDPDF=Y")</f>
        <v>1611</v>
      </c>
      <c r="K43" s="12" cm="1">
        <f t="array" ref="K43">_xll.BDH("DE US Equity","CF_NET_CHG_ST_DEBT_CPTL_LEAS","FQ3 2020","FQ3 2020","Currency=USD","Period=FQ","BEST_FPERIOD_OVERRIDE=FQ","FILING_STATUS=MR","SCALING_FORMAT=MLN","Sort=A","Dates=H","DateFormat=P","Fill=—","Direction=H","UseDPDF=Y")</f>
        <v>-968</v>
      </c>
      <c r="L43" s="12" cm="1">
        <f t="array" ref="L43">_xll.BDH("DE US Equity","CF_NET_CHG_ST_DEBT_CPTL_LEAS","FQ4 2020","FQ4 2020","Currency=USD","Period=FQ","BEST_FPERIOD_OVERRIDE=FQ","FILING_STATUS=MR","SCALING_FORMAT=MLN","Sort=A","Dates=H","DateFormat=P","Fill=—","Direction=H","UseDPDF=Y")</f>
        <v>-1530</v>
      </c>
      <c r="M43" s="12" cm="1">
        <f t="array" ref="M43">_xll.BDH("DE US Equity","CF_NET_CHG_ST_DEBT_CPTL_LEAS","FQ1 2021","FQ1 2021","Currency=USD","Period=FQ","BEST_FPERIOD_OVERRIDE=FQ","FILING_STATUS=MR","SCALING_FORMAT=MLN","Sort=A","Dates=H","DateFormat=P","Fill=—","Direction=H","UseDPDF=Y")</f>
        <v>-695</v>
      </c>
      <c r="N43" s="12" cm="1">
        <f t="array" ref="N43">_xll.BDH("DE US Equity","CF_NET_CHG_ST_DEBT_CPTL_LEAS","FQ2 2021","FQ2 2021","Currency=USD","Period=FQ","BEST_FPERIOD_OVERRIDE=FQ","FILING_STATUS=MR","SCALING_FORMAT=MLN","Sort=A","Dates=H","DateFormat=P","Fill=—","Direction=H","UseDPDF=Y")</f>
        <v>907</v>
      </c>
      <c r="O43" s="12" cm="1">
        <f t="array" ref="O43">_xll.BDH("DE US Equity","CF_NET_CHG_ST_DEBT_CPTL_LEAS","FQ3 2021","FQ3 2021","Currency=USD","Period=FQ","BEST_FPERIOD_OVERRIDE=FQ","FILING_STATUS=MR","SCALING_FORMAT=MLN","Sort=A","Dates=H","DateFormat=P","Fill=—","Direction=H","UseDPDF=Y")</f>
        <v>717</v>
      </c>
      <c r="P43" s="12" cm="1">
        <f t="array" ref="P43">_xll.BDH("DE US Equity","CF_NET_CHG_ST_DEBT_CPTL_LEAS","FQ4 2021","FQ4 2021","Currency=USD","Period=FQ","BEST_FPERIOD_OVERRIDE=FQ","FILING_STATUS=MR","SCALING_FORMAT=MLN","Sort=A","Dates=H","DateFormat=P","Fill=—","Direction=H","UseDPDF=Y")</f>
        <v>-111</v>
      </c>
      <c r="Q43" s="12" cm="1">
        <f t="array" ref="Q43">_xll.BDH("DE US Equity","CF_NET_CHG_ST_DEBT_CPTL_LEAS","FQ1 2022","FQ1 2022","Currency=USD","Period=FQ","BEST_FPERIOD_OVERRIDE=FQ","FILING_STATUS=MR","SCALING_FORMAT=MLN","Sort=A","Dates=H","DateFormat=P","Fill=—","Direction=H","UseDPDF=Y")</f>
        <v>-1018</v>
      </c>
      <c r="R43" s="12" cm="1">
        <f t="array" ref="R43">_xll.BDH("DE US Equity","CF_NET_CHG_ST_DEBT_CPTL_LEAS","FQ2 2022","FQ2 2022","Currency=USD","Period=FQ","BEST_FPERIOD_OVERRIDE=FQ","FILING_STATUS=MR","SCALING_FORMAT=MLN","Sort=A","Dates=H","DateFormat=P","Fill=—","Direction=H","UseDPDF=Y")</f>
        <v>1830</v>
      </c>
      <c r="S43" s="12" cm="1">
        <f t="array" ref="S43">_xll.BDH("DE US Equity","CF_NET_CHG_ST_DEBT_CPTL_LEAS","FQ3 2022","FQ3 2022","Currency=USD","Period=FQ","BEST_FPERIOD_OVERRIDE=FQ","FILING_STATUS=MR","SCALING_FORMAT=MLN","Sort=A","Dates=H","DateFormat=P","Fill=—","Direction=H","UseDPDF=Y")</f>
        <v>3455</v>
      </c>
      <c r="T43" s="12" cm="1">
        <f t="array" ref="T43">_xll.BDH("DE US Equity","CF_NET_CHG_ST_DEBT_CPTL_LEAS","FQ4 2022","FQ4 2022","Currency=USD","Period=FQ","BEST_FPERIOD_OVERRIDE=FQ","FILING_STATUS=MR","SCALING_FORMAT=MLN","Sort=A","Dates=H","DateFormat=P","Fill=—","Direction=H","UseDPDF=Y")</f>
        <v>-415</v>
      </c>
      <c r="U43" s="12" cm="1">
        <f t="array" ref="U43">_xll.BDH("DE US Equity","CF_NET_CHG_ST_DEBT_CPTL_LEAS","FQ1 2023","FQ1 2023","Currency=USD","Period=FQ","BEST_FPERIOD_OVERRIDE=FQ","FILING_STATUS=MR","SCALING_FORMAT=MLN","Sort=A","Dates=H","DateFormat=P","Fill=—","Direction=H","UseDPDF=Y")</f>
        <v>697</v>
      </c>
      <c r="V43" s="12" cm="1">
        <f t="array" ref="V43">_xll.BDH("DE US Equity","CF_NET_CHG_ST_DEBT_CPTL_LEAS","FQ2 2023","FQ2 2023","Currency=USD","Period=FQ","BEST_FPERIOD_OVERRIDE=FQ","FILING_STATUS=MR","SCALING_FORMAT=MLN","Sort=A","Dates=H","DateFormat=P","Fill=—","Direction=H","UseDPDF=Y")</f>
        <v>3295</v>
      </c>
      <c r="W43" s="12" cm="1">
        <f t="array" ref="W43">_xll.BDH("DE US Equity","CF_NET_CHG_ST_DEBT_CPTL_LEAS","FQ3 2023","FQ3 2023","Currency=USD","Period=FQ","BEST_FPERIOD_OVERRIDE=FQ","FILING_STATUS=MR","SCALING_FORMAT=MLN","Sort=A","Dates=H","DateFormat=P","Fill=—","Direction=H","UseDPDF=Y")</f>
        <v>1048</v>
      </c>
      <c r="X43" s="12" cm="1">
        <f t="array" ref="X43">_xll.BDH("DE US Equity","CF_NET_CHG_ST_DEBT_CPTL_LEAS","FQ4 2023","FQ4 2023","Currency=USD","Period=FQ","BEST_FPERIOD_OVERRIDE=FQ","FILING_STATUS=MR","SCALING_FORMAT=MLN","Sort=A","Dates=H","DateFormat=P","Fill=—","Direction=H","UseDPDF=Y")</f>
        <v>-1032</v>
      </c>
      <c r="Y43" s="12" cm="1">
        <f t="array" ref="Y43">_xll.BDH("DE US Equity","CF_NET_CHG_ST_DEBT_CPTL_LEAS","FQ1 2024","FQ1 2024","Currency=USD","Period=FQ","BEST_FPERIOD_OVERRIDE=FQ","FILING_STATUS=MR","SCALING_FORMAT=MLN","Sort=A","Dates=H","DateFormat=P","Fill=—","Direction=H","UseDPDF=Y")</f>
        <v>-2951</v>
      </c>
      <c r="Z43" s="12" cm="1">
        <f t="array" ref="Z43">_xll.BDH("DE US Equity","CF_NET_CHG_ST_DEBT_CPTL_LEAS","FQ2 2024","FQ2 2024","Currency=USD","Period=FQ","BEST_FPERIOD_OVERRIDE=FQ","FILING_STATUS=MR","SCALING_FORMAT=MLN","Sort=A","Dates=H","DateFormat=P","Fill=—","Direction=H","UseDPDF=Y")</f>
        <v>3009</v>
      </c>
      <c r="AA43" s="12" cm="1">
        <f t="array" ref="AA43">_xll.BDH("DE US Equity","CF_NET_CHG_ST_DEBT_CPTL_LEAS","FQ3 2024","FQ3 2024","Currency=USD","Period=FQ","BEST_FPERIOD_OVERRIDE=FQ","FILING_STATUS=MR","SCALING_FORMAT=MLN","Sort=A","Dates=H","DateFormat=P","Fill=—","Direction=H","UseDPDF=Y")</f>
        <v>-1050</v>
      </c>
      <c r="AB43" s="12" cm="1">
        <f t="array" ref="AB43">_xll.BDH("DE US Equity","CF_NET_CHG_ST_DEBT_CPTL_LEAS","FQ4 2024","FQ4 2024","Currency=USD","Period=FQ","BEST_FPERIOD_OVERRIDE=FQ","FILING_STATUS=MR","SCALING_FORMAT=MLN","Sort=A","Dates=H","DateFormat=P","Fill=—","Direction=H","UseDPDF=Y")</f>
        <v>-864</v>
      </c>
      <c r="AC43" s="12" cm="1">
        <f t="array" ref="AC43">_xll.BDH("DE US Equity","CF_NET_CHG_ST_DEBT_CPTL_LEAS","FQ1 2025","FQ1 2025","Currency=USD","Period=FQ","BEST_FPERIOD_OVERRIDE=FQ","FILING_STATUS=MR","SCALING_FORMAT=MLN","Sort=A","Dates=H","DateFormat=P","Fill=—","Direction=H","UseDPDF=Y")</f>
        <v>-1484</v>
      </c>
      <c r="AD43" s="12" cm="1">
        <f t="array" ref="AD43">_xll.BDH("DE US Equity","CF_NET_CHG_ST_DEBT_CPTL_LEAS","FQ2 2025","FQ2 2025","Currency=USD","Period=FQ","BEST_FPERIOD_OVERRIDE=FQ","FILING_STATUS=MR","SCALING_FORMAT=MLN","Sort=A","Dates=H","DateFormat=P","Fill=—","Direction=H","UseDPDF=Y")</f>
        <v>2035</v>
      </c>
      <c r="AE43" s="12" cm="1">
        <f t="array" ref="AE43">_xll.BDH("DE US Equity","CF_NET_CHG_ST_DEBT_CPTL_LEAS","FQ3 2025","FQ3 2025","Currency=USD","Period=FQ","BEST_FPERIOD_OVERRIDE=FQ","FILING_STATUS=MR","SCALING_FORMAT=MLN","Sort=A","Dates=H","DateFormat=P","Fill=—","Direction=H","UseDPDF=Y")</f>
        <v>-2611</v>
      </c>
      <c r="AF43" s="12" cm="1">
        <f t="array" ref="AF43">_xll.BDH("DE US Equity","CF_NET_CHG_ST_DEBT_CPTL_LEAS","FQ4 2025","FQ4 2025","Currency=USD","Period=FQ","BEST_FPERIOD_OVERRIDE=FQ","FILING_STATUS=MR","SCALING_FORMAT=MLN","Sort=A","Dates=H","DateFormat=P","Fill=—","Direction=H","UseDPDF=Y")</f>
        <v>-479</v>
      </c>
    </row>
    <row r="44" spans="1:32" x14ac:dyDescent="0.25">
      <c r="A44" s="10" t="s">
        <v>131</v>
      </c>
      <c r="B44" s="10" t="s">
        <v>132</v>
      </c>
      <c r="C44" s="12" cm="1">
        <f t="array" ref="C44">_xll.BDH("DE US Equity","CF_LT_DEBT_CAP_LEAS_PROCEEDS","FQ3 2018","FQ3 2018","Currency=USD","Period=FQ","BEST_FPERIOD_OVERRIDE=FQ","FILING_STATUS=MR","SCALING_FORMAT=MLN","Sort=A","Dates=H","DateFormat=P","Fill=—","Direction=H","UseDPDF=Y")</f>
        <v>1661.3</v>
      </c>
      <c r="D44" s="12" cm="1">
        <f t="array" ref="D44">_xll.BDH("DE US Equity","CF_LT_DEBT_CAP_LEAS_PROCEEDS","FQ4 2018","FQ4 2018","Currency=USD","Period=FQ","BEST_FPERIOD_OVERRIDE=FQ","FILING_STATUS=MR","SCALING_FORMAT=MLN","Sort=A","Dates=H","DateFormat=P","Fill=—","Direction=H","UseDPDF=Y")</f>
        <v>2549</v>
      </c>
      <c r="E44" s="12" cm="1">
        <f t="array" ref="E44">_xll.BDH("DE US Equity","CF_LT_DEBT_CAP_LEAS_PROCEEDS","FQ1 2019","FQ1 2019","Currency=USD","Period=FQ","BEST_FPERIOD_OVERRIDE=FQ","FILING_STATUS=MR","SCALING_FORMAT=MLN","Sort=A","Dates=H","DateFormat=P","Fill=—","Direction=H","UseDPDF=Y")</f>
        <v>2211</v>
      </c>
      <c r="F44" s="12" cm="1">
        <f t="array" ref="F44">_xll.BDH("DE US Equity","CF_LT_DEBT_CAP_LEAS_PROCEEDS","FQ2 2019","FQ2 2019","Currency=USD","Period=FQ","BEST_FPERIOD_OVERRIDE=FQ","FILING_STATUS=MR","SCALING_FORMAT=MLN","Sort=A","Dates=H","DateFormat=P","Fill=—","Direction=H","UseDPDF=Y")</f>
        <v>2020.9</v>
      </c>
      <c r="G44" s="12" cm="1">
        <f t="array" ref="G44">_xll.BDH("DE US Equity","CF_LT_DEBT_CAP_LEAS_PROCEEDS","FQ3 2019","FQ3 2019","Currency=USD","Period=FQ","BEST_FPERIOD_OVERRIDE=FQ","FILING_STATUS=MR","SCALING_FORMAT=MLN","Sort=A","Dates=H","DateFormat=P","Fill=—","Direction=H","UseDPDF=Y")</f>
        <v>3208</v>
      </c>
      <c r="H44" s="12" cm="1">
        <f t="array" ref="H44">_xll.BDH("DE US Equity","CF_LT_DEBT_CAP_LEAS_PROCEEDS","FQ4 2019","FQ4 2019","Currency=USD","Period=FQ","BEST_FPERIOD_OVERRIDE=FQ","FILING_STATUS=MR","SCALING_FORMAT=MLN","Sort=A","Dates=H","DateFormat=P","Fill=—","Direction=H","UseDPDF=Y")</f>
        <v>2546</v>
      </c>
      <c r="I44" s="12" cm="1">
        <f t="array" ref="I44">_xll.BDH("DE US Equity","CF_LT_DEBT_CAP_LEAS_PROCEEDS","FQ1 2020","FQ1 2020","Currency=USD","Period=FQ","BEST_FPERIOD_OVERRIDE=FQ","FILING_STATUS=MR","SCALING_FORMAT=MLN","Sort=A","Dates=H","DateFormat=P","Fill=—","Direction=H","UseDPDF=Y")</f>
        <v>1702</v>
      </c>
      <c r="J44" s="12" cm="1">
        <f t="array" ref="J44">_xll.BDH("DE US Equity","CF_LT_DEBT_CAP_LEAS_PROCEEDS","FQ2 2020","FQ2 2020","Currency=USD","Period=FQ","BEST_FPERIOD_OVERRIDE=FQ","FILING_STATUS=MR","SCALING_FORMAT=MLN","Sort=A","Dates=H","DateFormat=P","Fill=—","Direction=H","UseDPDF=Y")</f>
        <v>5573</v>
      </c>
      <c r="K44" s="12" cm="1">
        <f t="array" ref="K44">_xll.BDH("DE US Equity","CF_LT_DEBT_CAP_LEAS_PROCEEDS","FQ3 2020","FQ3 2020","Currency=USD","Period=FQ","BEST_FPERIOD_OVERRIDE=FQ","FILING_STATUS=MR","SCALING_FORMAT=MLN","Sort=A","Dates=H","DateFormat=P","Fill=—","Direction=H","UseDPDF=Y")</f>
        <v>1056</v>
      </c>
      <c r="L44" s="12" cm="1">
        <f t="array" ref="L44">_xll.BDH("DE US Equity","CF_LT_DEBT_CAP_LEAS_PROCEEDS","FQ4 2020","FQ4 2020","Currency=USD","Period=FQ","BEST_FPERIOD_OVERRIDE=FQ","FILING_STATUS=MR","SCALING_FORMAT=MLN","Sort=A","Dates=H","DateFormat=P","Fill=—","Direction=H","UseDPDF=Y")</f>
        <v>940</v>
      </c>
      <c r="M44" s="12" cm="1">
        <f t="array" ref="M44">_xll.BDH("DE US Equity","CF_LT_DEBT_CAP_LEAS_PROCEEDS","FQ1 2021","FQ1 2021","Currency=USD","Period=FQ","BEST_FPERIOD_OVERRIDE=FQ","FILING_STATUS=MR","SCALING_FORMAT=MLN","Sort=A","Dates=H","DateFormat=P","Fill=—","Direction=H","UseDPDF=Y")</f>
        <v>1757</v>
      </c>
      <c r="N44" s="12" cm="1">
        <f t="array" ref="N44">_xll.BDH("DE US Equity","CF_LT_DEBT_CAP_LEAS_PROCEEDS","FQ2 2021","FQ2 2021","Currency=USD","Period=FQ","BEST_FPERIOD_OVERRIDE=FQ","FILING_STATUS=MR","SCALING_FORMAT=MLN","Sort=A","Dates=H","DateFormat=P","Fill=—","Direction=H","UseDPDF=Y")</f>
        <v>2210</v>
      </c>
      <c r="O44" s="12" cm="1">
        <f t="array" ref="O44">_xll.BDH("DE US Equity","CF_LT_DEBT_CAP_LEAS_PROCEEDS","FQ3 2021","FQ3 2021","Currency=USD","Period=FQ","BEST_FPERIOD_OVERRIDE=FQ","FILING_STATUS=MR","SCALING_FORMAT=MLN","Sort=A","Dates=H","DateFormat=P","Fill=—","Direction=H","UseDPDF=Y")</f>
        <v>1910</v>
      </c>
      <c r="P44" s="12" cm="1">
        <f t="array" ref="P44">_xll.BDH("DE US Equity","CF_LT_DEBT_CAP_LEAS_PROCEEDS","FQ4 2021","FQ4 2021","Currency=USD","Period=FQ","BEST_FPERIOD_OVERRIDE=FQ","FILING_STATUS=MR","SCALING_FORMAT=MLN","Sort=A","Dates=H","DateFormat=P","Fill=—","Direction=H","UseDPDF=Y")</f>
        <v>2845</v>
      </c>
      <c r="Q44" s="12" cm="1">
        <f t="array" ref="Q44">_xll.BDH("DE US Equity","CF_LT_DEBT_CAP_LEAS_PROCEEDS","FQ1 2022","FQ1 2022","Currency=USD","Period=FQ","BEST_FPERIOD_OVERRIDE=FQ","FILING_STATUS=MR","SCALING_FORMAT=MLN","Sort=A","Dates=H","DateFormat=P","Fill=—","Direction=H","UseDPDF=Y")</f>
        <v>2353</v>
      </c>
      <c r="R44" s="12" cm="1">
        <f t="array" ref="R44">_xll.BDH("DE US Equity","CF_LT_DEBT_CAP_LEAS_PROCEEDS","FQ2 2022","FQ2 2022","Currency=USD","Period=FQ","BEST_FPERIOD_OVERRIDE=FQ","FILING_STATUS=MR","SCALING_FORMAT=MLN","Sort=A","Dates=H","DateFormat=P","Fill=—","Direction=H","UseDPDF=Y")</f>
        <v>1945</v>
      </c>
      <c r="S44" s="12" cm="1">
        <f t="array" ref="S44">_xll.BDH("DE US Equity","CF_LT_DEBT_CAP_LEAS_PROCEEDS","FQ3 2022","FQ3 2022","Currency=USD","Period=FQ","BEST_FPERIOD_OVERRIDE=FQ","FILING_STATUS=MR","SCALING_FORMAT=MLN","Sort=A","Dates=H","DateFormat=P","Fill=—","Direction=H","UseDPDF=Y")</f>
        <v>1983</v>
      </c>
      <c r="T44" s="12" cm="1">
        <f t="array" ref="T44">_xll.BDH("DE US Equity","CF_LT_DEBT_CAP_LEAS_PROCEEDS","FQ4 2022","FQ4 2022","Currency=USD","Period=FQ","BEST_FPERIOD_OVERRIDE=FQ","FILING_STATUS=MR","SCALING_FORMAT=MLN","Sort=A","Dates=H","DateFormat=P","Fill=—","Direction=H","UseDPDF=Y")</f>
        <v>4077</v>
      </c>
      <c r="U44" s="12" cm="1">
        <f t="array" ref="U44">_xll.BDH("DE US Equity","CF_LT_DEBT_CAP_LEAS_PROCEEDS","FQ1 2023","FQ1 2023","Currency=USD","Period=FQ","BEST_FPERIOD_OVERRIDE=FQ","FILING_STATUS=MR","SCALING_FORMAT=MLN","Sort=A","Dates=H","DateFormat=P","Fill=—","Direction=H","UseDPDF=Y")</f>
        <v>2505</v>
      </c>
      <c r="V44" s="12" cm="1">
        <f t="array" ref="V44">_xll.BDH("DE US Equity","CF_LT_DEBT_CAP_LEAS_PROCEEDS","FQ2 2023","FQ2 2023","Currency=USD","Period=FQ","BEST_FPERIOD_OVERRIDE=FQ","FILING_STATUS=MR","SCALING_FORMAT=MLN","Sort=A","Dates=H","DateFormat=P","Fill=—","Direction=H","UseDPDF=Y")</f>
        <v>2363</v>
      </c>
      <c r="W44" s="12" cm="1">
        <f t="array" ref="W44">_xll.BDH("DE US Equity","CF_LT_DEBT_CAP_LEAS_PROCEEDS","FQ3 2023","FQ3 2023","Currency=USD","Period=FQ","BEST_FPERIOD_OVERRIDE=FQ","FILING_STATUS=MR","SCALING_FORMAT=MLN","Sort=A","Dates=H","DateFormat=P","Fill=—","Direction=H","UseDPDF=Y")</f>
        <v>5104</v>
      </c>
      <c r="X44" s="12" cm="1">
        <f t="array" ref="X44">_xll.BDH("DE US Equity","CF_LT_DEBT_CAP_LEAS_PROCEEDS","FQ4 2023","FQ4 2023","Currency=USD","Period=FQ","BEST_FPERIOD_OVERRIDE=FQ","FILING_STATUS=MR","SCALING_FORMAT=MLN","Sort=A","Dates=H","DateFormat=P","Fill=—","Direction=H","UseDPDF=Y")</f>
        <v>5457</v>
      </c>
      <c r="Y44" s="12" cm="1">
        <f t="array" ref="Y44">_xll.BDH("DE US Equity","CF_LT_DEBT_CAP_LEAS_PROCEEDS","FQ1 2024","FQ1 2024","Currency=USD","Period=FQ","BEST_FPERIOD_OVERRIDE=FQ","FILING_STATUS=MR","SCALING_FORMAT=MLN","Sort=A","Dates=H","DateFormat=P","Fill=—","Direction=H","UseDPDF=Y")</f>
        <v>5287</v>
      </c>
      <c r="Z44" s="12" cm="1">
        <f t="array" ref="Z44">_xll.BDH("DE US Equity","CF_LT_DEBT_CAP_LEAS_PROCEEDS","FQ2 2024","FQ2 2024","Currency=USD","Period=FQ","BEST_FPERIOD_OVERRIDE=FQ","FILING_STATUS=MR","SCALING_FORMAT=MLN","Sort=A","Dates=H","DateFormat=P","Fill=—","Direction=H","UseDPDF=Y")</f>
        <v>4902</v>
      </c>
      <c r="AA44" s="12" cm="1">
        <f t="array" ref="AA44">_xll.BDH("DE US Equity","CF_LT_DEBT_CAP_LEAS_PROCEEDS","FQ3 2024","FQ3 2024","Currency=USD","Period=FQ","BEST_FPERIOD_OVERRIDE=FQ","FILING_STATUS=MR","SCALING_FORMAT=MLN","Sort=A","Dates=H","DateFormat=P","Fill=—","Direction=H","UseDPDF=Y")</f>
        <v>5323</v>
      </c>
      <c r="AB44" s="12" cm="1">
        <f t="array" ref="AB44">_xll.BDH("DE US Equity","CF_LT_DEBT_CAP_LEAS_PROCEEDS","FQ4 2024","FQ4 2024","Currency=USD","Period=FQ","BEST_FPERIOD_OVERRIDE=FQ","FILING_STATUS=MR","SCALING_FORMAT=MLN","Sort=A","Dates=H","DateFormat=P","Fill=—","Direction=H","UseDPDF=Y")</f>
        <v>2584</v>
      </c>
      <c r="AC44" s="12" cm="1">
        <f t="array" ref="AC44">_xll.BDH("DE US Equity","CF_LT_DEBT_CAP_LEAS_PROCEEDS","FQ1 2025","FQ1 2025","Currency=USD","Period=FQ","BEST_FPERIOD_OVERRIDE=FQ","FILING_STATUS=MR","SCALING_FORMAT=MLN","Sort=A","Dates=H","DateFormat=P","Fill=—","Direction=H","UseDPDF=Y")</f>
        <v>3168</v>
      </c>
      <c r="AD44" s="12" cm="1">
        <f t="array" ref="AD44">_xll.BDH("DE US Equity","CF_LT_DEBT_CAP_LEAS_PROCEEDS","FQ2 2025","FQ2 2025","Currency=USD","Period=FQ","BEST_FPERIOD_OVERRIDE=FQ","FILING_STATUS=MR","SCALING_FORMAT=MLN","Sort=A","Dates=H","DateFormat=P","Fill=—","Direction=H","UseDPDF=Y")</f>
        <v>1988</v>
      </c>
      <c r="AE44" s="12" cm="1">
        <f t="array" ref="AE44">_xll.BDH("DE US Equity","CF_LT_DEBT_CAP_LEAS_PROCEEDS","FQ3 2025","FQ3 2025","Currency=USD","Period=FQ","BEST_FPERIOD_OVERRIDE=FQ","FILING_STATUS=MR","SCALING_FORMAT=MLN","Sort=A","Dates=H","DateFormat=P","Fill=—","Direction=H","UseDPDF=Y")</f>
        <v>5551</v>
      </c>
      <c r="AF44" s="12" cm="1">
        <f t="array" ref="AF44">_xll.BDH("DE US Equity","CF_LT_DEBT_CAP_LEAS_PROCEEDS","FQ4 2025","FQ4 2025","Currency=USD","Period=FQ","BEST_FPERIOD_OVERRIDE=FQ","FILING_STATUS=MR","SCALING_FORMAT=MLN","Sort=A","Dates=H","DateFormat=P","Fill=—","Direction=H","UseDPDF=Y")</f>
        <v>2454</v>
      </c>
    </row>
    <row r="45" spans="1:32" x14ac:dyDescent="0.25">
      <c r="A45" s="10" t="s">
        <v>133</v>
      </c>
      <c r="B45" s="10" t="s">
        <v>134</v>
      </c>
      <c r="C45" s="12" cm="1">
        <f t="array" ref="C45">_xll.BDH("DE US Equity","CF_LT_DEBT_CAP_LEAS_PAYMENT","FQ3 2018","FQ3 2018","Currency=USD","Period=FQ","BEST_FPERIOD_OVERRIDE=FQ","FILING_STATUS=MR","SCALING_FORMAT=MLN","Sort=A","Dates=H","DateFormat=P","Fill=—","Direction=H","UseDPDF=Y")</f>
        <v>-1483.3</v>
      </c>
      <c r="D45" s="12" cm="1">
        <f t="array" ref="D45">_xll.BDH("DE US Equity","CF_LT_DEBT_CAP_LEAS_PAYMENT","FQ4 2018","FQ4 2018","Currency=USD","Period=FQ","BEST_FPERIOD_OVERRIDE=FQ","FILING_STATUS=MR","SCALING_FORMAT=MLN","Sort=A","Dates=H","DateFormat=P","Fill=—","Direction=H","UseDPDF=Y")</f>
        <v>-1873</v>
      </c>
      <c r="E45" s="12" cm="1">
        <f t="array" ref="E45">_xll.BDH("DE US Equity","CF_LT_DEBT_CAP_LEAS_PAYMENT","FQ1 2019","FQ1 2019","Currency=USD","Period=FQ","BEST_FPERIOD_OVERRIDE=FQ","FILING_STATUS=MR","SCALING_FORMAT=MLN","Sort=A","Dates=H","DateFormat=P","Fill=—","Direction=H","UseDPDF=Y")</f>
        <v>-1941</v>
      </c>
      <c r="F45" s="12" cm="1">
        <f t="array" ref="F45">_xll.BDH("DE US Equity","CF_LT_DEBT_CAP_LEAS_PAYMENT","FQ2 2019","FQ2 2019","Currency=USD","Period=FQ","BEST_FPERIOD_OVERRIDE=FQ","FILING_STATUS=MR","SCALING_FORMAT=MLN","Sort=A","Dates=H","DateFormat=P","Fill=—","Direction=H","UseDPDF=Y")</f>
        <v>-1485.7</v>
      </c>
      <c r="G45" s="12" cm="1">
        <f t="array" ref="G45">_xll.BDH("DE US Equity","CF_LT_DEBT_CAP_LEAS_PAYMENT","FQ3 2019","FQ3 2019","Currency=USD","Period=FQ","BEST_FPERIOD_OVERRIDE=FQ","FILING_STATUS=MR","SCALING_FORMAT=MLN","Sort=A","Dates=H","DateFormat=P","Fill=—","Direction=H","UseDPDF=Y")</f>
        <v>-929</v>
      </c>
      <c r="H45" s="12" cm="1">
        <f t="array" ref="H45">_xll.BDH("DE US Equity","CF_LT_DEBT_CAP_LEAS_PAYMENT","FQ4 2019","FQ4 2019","Currency=USD","Period=FQ","BEST_FPERIOD_OVERRIDE=FQ","FILING_STATUS=MR","SCALING_FORMAT=MLN","Sort=A","Dates=H","DateFormat=P","Fill=—","Direction=H","UseDPDF=Y")</f>
        <v>-2070</v>
      </c>
      <c r="I45" s="12" cm="1">
        <f t="array" ref="I45">_xll.BDH("DE US Equity","CF_LT_DEBT_CAP_LEAS_PAYMENT","FQ1 2020","FQ1 2020","Currency=USD","Period=FQ","BEST_FPERIOD_OVERRIDE=FQ","FILING_STATUS=MR","SCALING_FORMAT=MLN","Sort=A","Dates=H","DateFormat=P","Fill=—","Direction=H","UseDPDF=Y")</f>
        <v>-1651</v>
      </c>
      <c r="J45" s="12" cm="1">
        <f t="array" ref="J45">_xll.BDH("DE US Equity","CF_LT_DEBT_CAP_LEAS_PAYMENT","FQ2 2020","FQ2 2020","Currency=USD","Period=FQ","BEST_FPERIOD_OVERRIDE=FQ","FILING_STATUS=MR","SCALING_FORMAT=MLN","Sort=A","Dates=H","DateFormat=P","Fill=—","Direction=H","UseDPDF=Y")</f>
        <v>-1664</v>
      </c>
      <c r="K45" s="12" cm="1">
        <f t="array" ref="K45">_xll.BDH("DE US Equity","CF_LT_DEBT_CAP_LEAS_PAYMENT","FQ3 2020","FQ3 2020","Currency=USD","Period=FQ","BEST_FPERIOD_OVERRIDE=FQ","FILING_STATUS=MR","SCALING_FORMAT=MLN","Sort=A","Dates=H","DateFormat=P","Fill=—","Direction=H","UseDPDF=Y")</f>
        <v>-2482</v>
      </c>
      <c r="L45" s="12" cm="1">
        <f t="array" ref="L45">_xll.BDH("DE US Equity","CF_LT_DEBT_CAP_LEAS_PAYMENT","FQ4 2020","FQ4 2020","Currency=USD","Period=FQ","BEST_FPERIOD_OVERRIDE=FQ","FILING_STATUS=MR","SCALING_FORMAT=MLN","Sort=A","Dates=H","DateFormat=P","Fill=—","Direction=H","UseDPDF=Y")</f>
        <v>-1586</v>
      </c>
      <c r="M45" s="12" cm="1">
        <f t="array" ref="M45">_xll.BDH("DE US Equity","CF_LT_DEBT_CAP_LEAS_PAYMENT","FQ1 2021","FQ1 2021","Currency=USD","Period=FQ","BEST_FPERIOD_OVERRIDE=FQ","FILING_STATUS=MR","SCALING_FORMAT=MLN","Sort=A","Dates=H","DateFormat=P","Fill=—","Direction=H","UseDPDF=Y")</f>
        <v>-1441</v>
      </c>
      <c r="N45" s="12" cm="1">
        <f t="array" ref="N45">_xll.BDH("DE US Equity","CF_LT_DEBT_CAP_LEAS_PAYMENT","FQ2 2021","FQ2 2021","Currency=USD","Period=FQ","BEST_FPERIOD_OVERRIDE=FQ","FILING_STATUS=MR","SCALING_FORMAT=MLN","Sort=A","Dates=H","DateFormat=P","Fill=—","Direction=H","UseDPDF=Y")</f>
        <v>-1716</v>
      </c>
      <c r="O45" s="12" cm="1">
        <f t="array" ref="O45">_xll.BDH("DE US Equity","CF_LT_DEBT_CAP_LEAS_PAYMENT","FQ3 2021","FQ3 2021","Currency=USD","Period=FQ","BEST_FPERIOD_OVERRIDE=FQ","FILING_STATUS=MR","SCALING_FORMAT=MLN","Sort=A","Dates=H","DateFormat=P","Fill=—","Direction=H","UseDPDF=Y")</f>
        <v>-2015</v>
      </c>
      <c r="P45" s="12" cm="1">
        <f t="array" ref="P45">_xll.BDH("DE US Equity","CF_LT_DEBT_CAP_LEAS_PAYMENT","FQ4 2021","FQ4 2021","Currency=USD","Period=FQ","BEST_FPERIOD_OVERRIDE=FQ","FILING_STATUS=MR","SCALING_FORMAT=MLN","Sort=A","Dates=H","DateFormat=P","Fill=—","Direction=H","UseDPDF=Y")</f>
        <v>-1918</v>
      </c>
      <c r="Q45" s="12" cm="1">
        <f t="array" ref="Q45">_xll.BDH("DE US Equity","CF_LT_DEBT_CAP_LEAS_PAYMENT","FQ1 2022","FQ1 2022","Currency=USD","Period=FQ","BEST_FPERIOD_OVERRIDE=FQ","FILING_STATUS=MR","SCALING_FORMAT=MLN","Sort=A","Dates=H","DateFormat=P","Fill=—","Direction=H","UseDPDF=Y")</f>
        <v>-1940</v>
      </c>
      <c r="R45" s="12" cm="1">
        <f t="array" ref="R45">_xll.BDH("DE US Equity","CF_LT_DEBT_CAP_LEAS_PAYMENT","FQ2 2022","FQ2 2022","Currency=USD","Period=FQ","BEST_FPERIOD_OVERRIDE=FQ","FILING_STATUS=MR","SCALING_FORMAT=MLN","Sort=A","Dates=H","DateFormat=P","Fill=—","Direction=H","UseDPDF=Y")</f>
        <v>-1685</v>
      </c>
      <c r="S45" s="12" cm="1">
        <f t="array" ref="S45">_xll.BDH("DE US Equity","CF_LT_DEBT_CAP_LEAS_PAYMENT","FQ3 2022","FQ3 2022","Currency=USD","Period=FQ","BEST_FPERIOD_OVERRIDE=FQ","FILING_STATUS=MR","SCALING_FORMAT=MLN","Sort=A","Dates=H","DateFormat=P","Fill=—","Direction=H","UseDPDF=Y")</f>
        <v>-2953</v>
      </c>
      <c r="T45" s="12" cm="1">
        <f t="array" ref="T45">_xll.BDH("DE US Equity","CF_LT_DEBT_CAP_LEAS_PAYMENT","FQ4 2022","FQ4 2022","Currency=USD","Period=FQ","BEST_FPERIOD_OVERRIDE=FQ","FILING_STATUS=MR","SCALING_FORMAT=MLN","Sort=A","Dates=H","DateFormat=P","Fill=—","Direction=H","UseDPDF=Y")</f>
        <v>-1867</v>
      </c>
      <c r="U45" s="12" cm="1">
        <f t="array" ref="U45">_xll.BDH("DE US Equity","CF_LT_DEBT_CAP_LEAS_PAYMENT","FQ1 2023","FQ1 2023","Currency=USD","Period=FQ","BEST_FPERIOD_OVERRIDE=FQ","FILING_STATUS=MR","SCALING_FORMAT=MLN","Sort=A","Dates=H","DateFormat=P","Fill=—","Direction=H","UseDPDF=Y")</f>
        <v>-1925</v>
      </c>
      <c r="V45" s="12" cm="1">
        <f t="array" ref="V45">_xll.BDH("DE US Equity","CF_LT_DEBT_CAP_LEAS_PAYMENT","FQ2 2023","FQ2 2023","Currency=USD","Period=FQ","BEST_FPERIOD_OVERRIDE=FQ","FILING_STATUS=MR","SCALING_FORMAT=MLN","Sort=A","Dates=H","DateFormat=P","Fill=—","Direction=H","UseDPDF=Y")</f>
        <v>-1642</v>
      </c>
      <c r="W45" s="12" cm="1">
        <f t="array" ref="W45">_xll.BDH("DE US Equity","CF_LT_DEBT_CAP_LEAS_PAYMENT","FQ3 2023","FQ3 2023","Currency=USD","Period=FQ","BEST_FPERIOD_OVERRIDE=FQ","FILING_STATUS=MR","SCALING_FORMAT=MLN","Sort=A","Dates=H","DateFormat=P","Fill=—","Direction=H","UseDPDF=Y")</f>
        <v>-2295</v>
      </c>
      <c r="X45" s="12" cm="1">
        <f t="array" ref="X45">_xll.BDH("DE US Equity","CF_LT_DEBT_CAP_LEAS_PAYMENT","FQ4 2023","FQ4 2023","Currency=USD","Period=FQ","BEST_FPERIOD_OVERRIDE=FQ","FILING_STATUS=MR","SCALING_FORMAT=MLN","Sort=A","Dates=H","DateFormat=P","Fill=—","Direction=H","UseDPDF=Y")</f>
        <v>-2051</v>
      </c>
      <c r="Y45" s="12" cm="1">
        <f t="array" ref="Y45">_xll.BDH("DE US Equity","CF_LT_DEBT_CAP_LEAS_PAYMENT","FQ1 2024","FQ1 2024","Currency=USD","Period=FQ","BEST_FPERIOD_OVERRIDE=FQ","FILING_STATUS=MR","SCALING_FORMAT=MLN","Sort=A","Dates=H","DateFormat=P","Fill=—","Direction=H","UseDPDF=Y")</f>
        <v>-3237</v>
      </c>
      <c r="Z45" s="12" cm="1">
        <f t="array" ref="Z45">_xll.BDH("DE US Equity","CF_LT_DEBT_CAP_LEAS_PAYMENT","FQ2 2024","FQ2 2024","Currency=USD","Period=FQ","BEST_FPERIOD_OVERRIDE=FQ","FILING_STATUS=MR","SCALING_FORMAT=MLN","Sort=A","Dates=H","DateFormat=P","Fill=—","Direction=H","UseDPDF=Y")</f>
        <v>-4902</v>
      </c>
      <c r="AA45" s="12" cm="1">
        <f t="array" ref="AA45">_xll.BDH("DE US Equity","CF_LT_DEBT_CAP_LEAS_PAYMENT","FQ3 2024","FQ3 2024","Currency=USD","Period=FQ","BEST_FPERIOD_OVERRIDE=FQ","FILING_STATUS=MR","SCALING_FORMAT=MLN","Sort=A","Dates=H","DateFormat=P","Fill=—","Direction=H","UseDPDF=Y")</f>
        <v>-2653</v>
      </c>
      <c r="AB45" s="12" cm="1">
        <f t="array" ref="AB45">_xll.BDH("DE US Equity","CF_LT_DEBT_CAP_LEAS_PAYMENT","FQ4 2024","FQ4 2024","Currency=USD","Period=FQ","BEST_FPERIOD_OVERRIDE=FQ","FILING_STATUS=MR","SCALING_FORMAT=MLN","Sort=A","Dates=H","DateFormat=P","Fill=—","Direction=H","UseDPDF=Y")</f>
        <v>-2440</v>
      </c>
      <c r="AC45" s="12" cm="1">
        <f t="array" ref="AC45">_xll.BDH("DE US Equity","CF_LT_DEBT_CAP_LEAS_PAYMENT","FQ1 2025","FQ1 2025","Currency=USD","Period=FQ","BEST_FPERIOD_OVERRIDE=FQ","FILING_STATUS=MR","SCALING_FORMAT=MLN","Sort=A","Dates=H","DateFormat=P","Fill=—","Direction=H","UseDPDF=Y")</f>
        <v>-1753</v>
      </c>
      <c r="AD45" s="12" cm="1">
        <f t="array" ref="AD45">_xll.BDH("DE US Equity","CF_LT_DEBT_CAP_LEAS_PAYMENT","FQ2 2025","FQ2 2025","Currency=USD","Period=FQ","BEST_FPERIOD_OVERRIDE=FQ","FILING_STATUS=MR","SCALING_FORMAT=MLN","Sort=A","Dates=H","DateFormat=P","Fill=—","Direction=H","UseDPDF=Y")</f>
        <v>-3084</v>
      </c>
      <c r="AE45" s="12" cm="1">
        <f t="array" ref="AE45">_xll.BDH("DE US Equity","CF_LT_DEBT_CAP_LEAS_PAYMENT","FQ3 2025","FQ3 2025","Currency=USD","Period=FQ","BEST_FPERIOD_OVERRIDE=FQ","FILING_STATUS=MR","SCALING_FORMAT=MLN","Sort=A","Dates=H","DateFormat=P","Fill=—","Direction=H","UseDPDF=Y")</f>
        <v>-2906</v>
      </c>
      <c r="AF45" s="12" cm="1">
        <f t="array" ref="AF45">_xll.BDH("DE US Equity","CF_LT_DEBT_CAP_LEAS_PAYMENT","FQ4 2025","FQ4 2025","Currency=USD","Period=FQ","BEST_FPERIOD_OVERRIDE=FQ","FILING_STATUS=MR","SCALING_FORMAT=MLN","Sort=A","Dates=H","DateFormat=P","Fill=—","Direction=H","UseDPDF=Y")</f>
        <v>-4521</v>
      </c>
    </row>
    <row r="46" spans="1:32" x14ac:dyDescent="0.25">
      <c r="A46" s="10" t="s">
        <v>135</v>
      </c>
      <c r="B46" s="10" t="s">
        <v>136</v>
      </c>
      <c r="C46" s="12" cm="1">
        <f t="array" ref="C46">_xll.BDH("DE US Equity","PROC_FR_REPURCH_EQTY_DETAILED","FQ3 2018","FQ3 2018","Currency=USD","Period=FQ","BEST_FPERIOD_OVERRIDE=FQ","FILING_STATUS=MR","SCALING_FORMAT=MLN","Sort=A","Dates=H","DateFormat=P","Fill=—","Direction=H","UseDPDF=Y")</f>
        <v>-383</v>
      </c>
      <c r="D46" s="12" cm="1">
        <f t="array" ref="D46">_xll.BDH("DE US Equity","PROC_FR_REPURCH_EQTY_DETAILED","FQ4 2018","FQ4 2018","Currency=USD","Period=FQ","BEST_FPERIOD_OVERRIDE=FQ","FILING_STATUS=MR","SCALING_FORMAT=MLN","Sort=A","Dates=H","DateFormat=P","Fill=—","Direction=H","UseDPDF=Y")</f>
        <v>-496</v>
      </c>
      <c r="E46" s="12" cm="1">
        <f t="array" ref="E46">_xll.BDH("DE US Equity","PROC_FR_REPURCH_EQTY_DETAILED","FQ1 2019","FQ1 2019","Currency=USD","Period=FQ","BEST_FPERIOD_OVERRIDE=FQ","FILING_STATUS=MR","SCALING_FORMAT=MLN","Sort=A","Dates=H","DateFormat=P","Fill=—","Direction=H","UseDPDF=Y")</f>
        <v>-93</v>
      </c>
      <c r="F46" s="12" cm="1">
        <f t="array" ref="F46">_xll.BDH("DE US Equity","PROC_FR_REPURCH_EQTY_DETAILED","FQ2 2019","FQ2 2019","Currency=USD","Period=FQ","BEST_FPERIOD_OVERRIDE=FQ","FILING_STATUS=MR","SCALING_FORMAT=MLN","Sort=A","Dates=H","DateFormat=P","Fill=—","Direction=H","UseDPDF=Y")</f>
        <v>-293.2</v>
      </c>
      <c r="G46" s="12" cm="1">
        <f t="array" ref="G46">_xll.BDH("DE US Equity","PROC_FR_REPURCH_EQTY_DETAILED","FQ3 2019","FQ3 2019","Currency=USD","Period=FQ","BEST_FPERIOD_OVERRIDE=FQ","FILING_STATUS=MR","SCALING_FORMAT=MLN","Sort=A","Dates=H","DateFormat=P","Fill=—","Direction=H","UseDPDF=Y")</f>
        <v>-361</v>
      </c>
      <c r="H46" s="12" cm="1">
        <f t="array" ref="H46">_xll.BDH("DE US Equity","PROC_FR_REPURCH_EQTY_DETAILED","FQ4 2019","FQ4 2019","Currency=USD","Period=FQ","BEST_FPERIOD_OVERRIDE=FQ","FILING_STATUS=MR","SCALING_FORMAT=MLN","Sort=A","Dates=H","DateFormat=P","Fill=—","Direction=H","UseDPDF=Y")</f>
        <v>-328</v>
      </c>
      <c r="I46" s="12" cm="1">
        <f t="array" ref="I46">_xll.BDH("DE US Equity","PROC_FR_REPURCH_EQTY_DETAILED","FQ1 2020","FQ1 2020","Currency=USD","Period=FQ","BEST_FPERIOD_OVERRIDE=FQ","FILING_STATUS=MR","SCALING_FORMAT=MLN","Sort=A","Dates=H","DateFormat=P","Fill=—","Direction=H","UseDPDF=Y")</f>
        <v>-61</v>
      </c>
      <c r="J46" s="12" cm="1">
        <f t="array" ref="J46">_xll.BDH("DE US Equity","PROC_FR_REPURCH_EQTY_DETAILED","FQ2 2020","FQ2 2020","Currency=USD","Period=FQ","BEST_FPERIOD_OVERRIDE=FQ","FILING_STATUS=MR","SCALING_FORMAT=MLN","Sort=A","Dates=H","DateFormat=P","Fill=—","Direction=H","UseDPDF=Y")</f>
        <v>-132</v>
      </c>
      <c r="K46" s="12" cm="1">
        <f t="array" ref="K46">_xll.BDH("DE US Equity","PROC_FR_REPURCH_EQTY_DETAILED","FQ3 2020","FQ3 2020","Currency=USD","Period=FQ","BEST_FPERIOD_OVERRIDE=FQ","FILING_STATUS=MR","SCALING_FORMAT=MLN","Sort=A","Dates=H","DateFormat=P","Fill=—","Direction=H","UseDPDF=Y")</f>
        <v>41</v>
      </c>
      <c r="L46" s="12" cm="1">
        <f t="array" ref="L46">_xll.BDH("DE US Equity","PROC_FR_REPURCH_EQTY_DETAILED","FQ4 2020","FQ4 2020","Currency=USD","Period=FQ","BEST_FPERIOD_OVERRIDE=FQ","FILING_STATUS=MR","SCALING_FORMAT=MLN","Sort=A","Dates=H","DateFormat=P","Fill=—","Direction=H","UseDPDF=Y")</f>
        <v>-267</v>
      </c>
      <c r="M46" s="12" cm="1">
        <f t="array" ref="M46">_xll.BDH("DE US Equity","PROC_FR_REPURCH_EQTY_DETAILED","FQ1 2021","FQ1 2021","Currency=USD","Period=FQ","BEST_FPERIOD_OVERRIDE=FQ","FILING_STATUS=MR","SCALING_FORMAT=MLN","Sort=A","Dates=H","DateFormat=P","Fill=—","Direction=H","UseDPDF=Y")</f>
        <v>-281</v>
      </c>
      <c r="N46" s="12" cm="1">
        <f t="array" ref="N46">_xll.BDH("DE US Equity","PROC_FR_REPURCH_EQTY_DETAILED","FQ2 2021","FQ2 2021","Currency=USD","Period=FQ","BEST_FPERIOD_OVERRIDE=FQ","FILING_STATUS=MR","SCALING_FORMAT=MLN","Sort=A","Dates=H","DateFormat=P","Fill=—","Direction=H","UseDPDF=Y")</f>
        <v>-647</v>
      </c>
      <c r="O46" s="12" cm="1">
        <f t="array" ref="O46">_xll.BDH("DE US Equity","PROC_FR_REPURCH_EQTY_DETAILED","FQ3 2021","FQ3 2021","Currency=USD","Period=FQ","BEST_FPERIOD_OVERRIDE=FQ","FILING_STATUS=MR","SCALING_FORMAT=MLN","Sort=A","Dates=H","DateFormat=P","Fill=—","Direction=H","UseDPDF=Y")</f>
        <v>-716</v>
      </c>
      <c r="P46" s="12" cm="1">
        <f t="array" ref="P46">_xll.BDH("DE US Equity","PROC_FR_REPURCH_EQTY_DETAILED","FQ4 2021","FQ4 2021","Currency=USD","Period=FQ","BEST_FPERIOD_OVERRIDE=FQ","FILING_STATUS=MR","SCALING_FORMAT=MLN","Sort=A","Dates=H","DateFormat=P","Fill=—","Direction=H","UseDPDF=Y")</f>
        <v>-746</v>
      </c>
      <c r="Q46" s="12" cm="1">
        <f t="array" ref="Q46">_xll.BDH("DE US Equity","PROC_FR_REPURCH_EQTY_DETAILED","FQ1 2022","FQ1 2022","Currency=USD","Period=FQ","BEST_FPERIOD_OVERRIDE=FQ","FILING_STATUS=MR","SCALING_FORMAT=MLN","Sort=A","Dates=H","DateFormat=P","Fill=—","Direction=H","UseDPDF=Y")</f>
        <v>-612</v>
      </c>
      <c r="R46" s="12" cm="1">
        <f t="array" ref="R46">_xll.BDH("DE US Equity","PROC_FR_REPURCH_EQTY_DETAILED","FQ2 2022","FQ2 2022","Currency=USD","Period=FQ","BEST_FPERIOD_OVERRIDE=FQ","FILING_STATUS=MR","SCALING_FORMAT=MLN","Sort=A","Dates=H","DateFormat=P","Fill=—","Direction=H","UseDPDF=Y")</f>
        <v>-564</v>
      </c>
      <c r="S46" s="12" cm="1">
        <f t="array" ref="S46">_xll.BDH("DE US Equity","PROC_FR_REPURCH_EQTY_DETAILED","FQ3 2022","FQ3 2022","Currency=USD","Period=FQ","BEST_FPERIOD_OVERRIDE=FQ","FILING_STATUS=MR","SCALING_FORMAT=MLN","Sort=A","Dates=H","DateFormat=P","Fill=—","Direction=H","UseDPDF=Y")</f>
        <v>-1246</v>
      </c>
      <c r="T46" s="12" cm="1">
        <f t="array" ref="T46">_xll.BDH("DE US Equity","PROC_FR_REPURCH_EQTY_DETAILED","FQ4 2022","FQ4 2022","Currency=USD","Period=FQ","BEST_FPERIOD_OVERRIDE=FQ","FILING_STATUS=MR","SCALING_FORMAT=MLN","Sort=A","Dates=H","DateFormat=P","Fill=—","Direction=H","UseDPDF=Y")</f>
        <v>-1112</v>
      </c>
      <c r="U46" s="12" cm="1">
        <f t="array" ref="U46">_xll.BDH("DE US Equity","PROC_FR_REPURCH_EQTY_DETAILED","FQ1 2023","FQ1 2023","Currency=USD","Period=FQ","BEST_FPERIOD_OVERRIDE=FQ","FILING_STATUS=MR","SCALING_FORMAT=MLN","Sort=A","Dates=H","DateFormat=P","Fill=—","Direction=H","UseDPDF=Y")</f>
        <v>-1236</v>
      </c>
      <c r="V46" s="12" cm="1">
        <f t="array" ref="V46">_xll.BDH("DE US Equity","PROC_FR_REPURCH_EQTY_DETAILED","FQ2 2023","FQ2 2023","Currency=USD","Period=FQ","BEST_FPERIOD_OVERRIDE=FQ","FILING_STATUS=MR","SCALING_FORMAT=MLN","Sort=A","Dates=H","DateFormat=P","Fill=—","Direction=H","UseDPDF=Y")</f>
        <v>-1280</v>
      </c>
      <c r="W46" s="12" cm="1">
        <f t="array" ref="W46">_xll.BDH("DE US Equity","PROC_FR_REPURCH_EQTY_DETAILED","FQ3 2023","FQ3 2023","Currency=USD","Period=FQ","BEST_FPERIOD_OVERRIDE=FQ","FILING_STATUS=MR","SCALING_FORMAT=MLN","Sort=A","Dates=H","DateFormat=P","Fill=—","Direction=H","UseDPDF=Y")</f>
        <v>-2147</v>
      </c>
      <c r="X46" s="12" cm="1">
        <f t="array" ref="X46">_xll.BDH("DE US Equity","PROC_FR_REPURCH_EQTY_DETAILED","FQ4 2023","FQ4 2023","Currency=USD","Period=FQ","BEST_FPERIOD_OVERRIDE=FQ","FILING_STATUS=MR","SCALING_FORMAT=MLN","Sort=A","Dates=H","DateFormat=P","Fill=—","Direction=H","UseDPDF=Y")</f>
        <v>-2553</v>
      </c>
      <c r="Y46" s="12" cm="1">
        <f t="array" ref="Y46">_xll.BDH("DE US Equity","PROC_FR_REPURCH_EQTY_DETAILED","FQ1 2024","FQ1 2024","Currency=USD","Period=FQ","BEST_FPERIOD_OVERRIDE=FQ","FILING_STATUS=MR","SCALING_FORMAT=MLN","Sort=A","Dates=H","DateFormat=P","Fill=—","Direction=H","UseDPDF=Y")</f>
        <v>-1328</v>
      </c>
      <c r="Z46" s="12" cm="1">
        <f t="array" ref="Z46">_xll.BDH("DE US Equity","PROC_FR_REPURCH_EQTY_DETAILED","FQ2 2024","FQ2 2024","Currency=USD","Period=FQ","BEST_FPERIOD_OVERRIDE=FQ","FILING_STATUS=MR","SCALING_FORMAT=MLN","Sort=A","Dates=H","DateFormat=P","Fill=—","Direction=H","UseDPDF=Y")</f>
        <v>-1094</v>
      </c>
      <c r="AA46" s="12" cm="1">
        <f t="array" ref="AA46">_xll.BDH("DE US Equity","PROC_FR_REPURCH_EQTY_DETAILED","FQ3 2024","FQ3 2024","Currency=USD","Period=FQ","BEST_FPERIOD_OVERRIDE=FQ","FILING_STATUS=MR","SCALING_FORMAT=MLN","Sort=A","Dates=H","DateFormat=P","Fill=—","Direction=H","UseDPDF=Y")</f>
        <v>-805</v>
      </c>
      <c r="AB46" s="12" cm="1">
        <f t="array" ref="AB46">_xll.BDH("DE US Equity","PROC_FR_REPURCH_EQTY_DETAILED","FQ4 2024","FQ4 2024","Currency=USD","Period=FQ","BEST_FPERIOD_OVERRIDE=FQ","FILING_STATUS=MR","SCALING_FORMAT=MLN","Sort=A","Dates=H","DateFormat=P","Fill=—","Direction=H","UseDPDF=Y")</f>
        <v>-780</v>
      </c>
      <c r="AC46" s="12" cm="1">
        <f t="array" ref="AC46">_xll.BDH("DE US Equity","PROC_FR_REPURCH_EQTY_DETAILED","FQ1 2025","FQ1 2025","Currency=USD","Period=FQ","BEST_FPERIOD_OVERRIDE=FQ","FILING_STATUS=MR","SCALING_FORMAT=MLN","Sort=A","Dates=H","DateFormat=P","Fill=—","Direction=H","UseDPDF=Y")</f>
        <v>-441</v>
      </c>
      <c r="AD46" s="12" cm="1">
        <f t="array" ref="AD46">_xll.BDH("DE US Equity","PROC_FR_REPURCH_EQTY_DETAILED","FQ2 2025","FQ2 2025","Currency=USD","Period=FQ","BEST_FPERIOD_OVERRIDE=FQ","FILING_STATUS=MR","SCALING_FORMAT=MLN","Sort=A","Dates=H","DateFormat=P","Fill=—","Direction=H","UseDPDF=Y")</f>
        <v>-397</v>
      </c>
      <c r="AE46" s="12" cm="1">
        <f t="array" ref="AE46">_xll.BDH("DE US Equity","PROC_FR_REPURCH_EQTY_DETAILED","FQ3 2025","FQ3 2025","Currency=USD","Period=FQ","BEST_FPERIOD_OVERRIDE=FQ","FILING_STATUS=MR","SCALING_FORMAT=MLN","Sort=A","Dates=H","DateFormat=P","Fill=—","Direction=H","UseDPDF=Y")</f>
        <v>-298</v>
      </c>
      <c r="AF46" s="12" cm="1">
        <f t="array" ref="AF46">_xll.BDH("DE US Equity","PROC_FR_REPURCH_EQTY_DETAILED","FQ4 2025","FQ4 2025","Currency=USD","Period=FQ","BEST_FPERIOD_OVERRIDE=FQ","FILING_STATUS=MR","SCALING_FORMAT=MLN","Sort=A","Dates=H","DateFormat=P","Fill=—","Direction=H","UseDPDF=Y")</f>
        <v>-2</v>
      </c>
    </row>
    <row r="47" spans="1:32" x14ac:dyDescent="0.25">
      <c r="A47" s="10" t="s">
        <v>137</v>
      </c>
      <c r="B47" s="10" t="s">
        <v>138</v>
      </c>
      <c r="C47" s="12" cm="1">
        <f t="array" ref="C47">_xll.BDH("DE US Equity","CF_INCR_CAP_STOCK","FQ3 2018","FQ3 2018","Currency=USD","Period=FQ","BEST_FPERIOD_OVERRIDE=FQ","FILING_STATUS=MR","SCALING_FORMAT=MLN","Sort=A","Dates=H","DateFormat=P","Fill=—","Direction=H","UseDPDF=Y")</f>
        <v>10.4</v>
      </c>
      <c r="D47" s="12" cm="1">
        <f t="array" ref="D47">_xll.BDH("DE US Equity","CF_INCR_CAP_STOCK","FQ4 2018","FQ4 2018","Currency=USD","Period=FQ","BEST_FPERIOD_OVERRIDE=FQ","FILING_STATUS=MR","SCALING_FORMAT=MLN","Sort=A","Dates=H","DateFormat=P","Fill=—","Direction=H","UseDPDF=Y")</f>
        <v>8</v>
      </c>
      <c r="E47" s="12" cm="1">
        <f t="array" ref="E47">_xll.BDH("DE US Equity","CF_INCR_CAP_STOCK","FQ1 2019","FQ1 2019","Currency=USD","Period=FQ","BEST_FPERIOD_OVERRIDE=FQ","FILING_STATUS=MR","SCALING_FORMAT=MLN","Sort=A","Dates=H","DateFormat=P","Fill=—","Direction=H","UseDPDF=Y")</f>
        <v>51</v>
      </c>
      <c r="F47" s="12" cm="1">
        <f t="array" ref="F47">_xll.BDH("DE US Equity","CF_INCR_CAP_STOCK","FQ2 2019","FQ2 2019","Currency=USD","Period=FQ","BEST_FPERIOD_OVERRIDE=FQ","FILING_STATUS=MR","SCALING_FORMAT=MLN","Sort=A","Dates=H","DateFormat=P","Fill=—","Direction=H","UseDPDF=Y")</f>
        <v>43.9</v>
      </c>
      <c r="G47" s="12" cm="1">
        <f t="array" ref="G47">_xll.BDH("DE US Equity","CF_INCR_CAP_STOCK","FQ3 2019","FQ3 2019","Currency=USD","Period=FQ","BEST_FPERIOD_OVERRIDE=FQ","FILING_STATUS=MR","SCALING_FORMAT=MLN","Sort=A","Dates=H","DateFormat=P","Fill=—","Direction=H","UseDPDF=Y")</f>
        <v>38</v>
      </c>
      <c r="H47" s="12" cm="1">
        <f t="array" ref="H47">_xll.BDH("DE US Equity","CF_INCR_CAP_STOCK","FQ4 2019","FQ4 2019","Currency=USD","Period=FQ","BEST_FPERIOD_OVERRIDE=FQ","FILING_STATUS=MR","SCALING_FORMAT=MLN","Sort=A","Dates=H","DateFormat=P","Fill=—","Direction=H","UseDPDF=Y")</f>
        <v>45</v>
      </c>
      <c r="I47" s="12" cm="1">
        <f t="array" ref="I47">_xll.BDH("DE US Equity","CF_INCR_CAP_STOCK","FQ1 2020","FQ1 2020","Currency=USD","Period=FQ","BEST_FPERIOD_OVERRIDE=FQ","FILING_STATUS=MR","SCALING_FORMAT=MLN","Sort=A","Dates=H","DateFormat=P","Fill=—","Direction=H","UseDPDF=Y")</f>
        <v>53</v>
      </c>
      <c r="J47" s="12" cm="1">
        <f t="array" ref="J47">_xll.BDH("DE US Equity","CF_INCR_CAP_STOCK","FQ2 2020","FQ2 2020","Currency=USD","Period=FQ","BEST_FPERIOD_OVERRIDE=FQ","FILING_STATUS=MR","SCALING_FORMAT=MLN","Sort=A","Dates=H","DateFormat=P","Fill=—","Direction=H","UseDPDF=Y")</f>
        <v>17</v>
      </c>
      <c r="K47" s="12" cm="1">
        <f t="array" ref="K47">_xll.BDH("DE US Equity","CF_INCR_CAP_STOCK","FQ3 2020","FQ3 2020","Currency=USD","Period=FQ","BEST_FPERIOD_OVERRIDE=FQ","FILING_STATUS=MR","SCALING_FORMAT=MLN","Sort=A","Dates=H","DateFormat=P","Fill=—","Direction=H","UseDPDF=Y")</f>
        <v>41</v>
      </c>
      <c r="L47" s="12" cm="1">
        <f t="array" ref="L47">_xll.BDH("DE US Equity","CF_INCR_CAP_STOCK","FQ4 2020","FQ4 2020","Currency=USD","Period=FQ","BEST_FPERIOD_OVERRIDE=FQ","FILING_STATUS=MR","SCALING_FORMAT=MLN","Sort=A","Dates=H","DateFormat=P","Fill=—","Direction=H","UseDPDF=Y")</f>
        <v>220</v>
      </c>
      <c r="M47" s="12" cm="1">
        <f t="array" ref="M47">_xll.BDH("DE US Equity","CF_INCR_CAP_STOCK","FQ1 2021","FQ1 2021","Currency=USD","Period=FQ","BEST_FPERIOD_OVERRIDE=FQ","FILING_STATUS=MR","SCALING_FORMAT=MLN","Sort=A","Dates=H","DateFormat=P","Fill=—","Direction=H","UseDPDF=Y")</f>
        <v>71</v>
      </c>
      <c r="N47" s="12" cm="1">
        <f t="array" ref="N47">_xll.BDH("DE US Equity","CF_INCR_CAP_STOCK","FQ2 2021","FQ2 2021","Currency=USD","Period=FQ","BEST_FPERIOD_OVERRIDE=FQ","FILING_STATUS=MR","SCALING_FORMAT=MLN","Sort=A","Dates=H","DateFormat=P","Fill=—","Direction=H","UseDPDF=Y")</f>
        <v>45</v>
      </c>
      <c r="O47" s="12" cm="1">
        <f t="array" ref="O47">_xll.BDH("DE US Equity","CF_INCR_CAP_STOCK","FQ3 2021","FQ3 2021","Currency=USD","Period=FQ","BEST_FPERIOD_OVERRIDE=FQ","FILING_STATUS=MR","SCALING_FORMAT=MLN","Sort=A","Dates=H","DateFormat=P","Fill=—","Direction=H","UseDPDF=Y")</f>
        <v>20</v>
      </c>
      <c r="P47" s="12" cm="1">
        <f t="array" ref="P47">_xll.BDH("DE US Equity","CF_INCR_CAP_STOCK","FQ4 2021","FQ4 2021","Currency=USD","Period=FQ","BEST_FPERIOD_OVERRIDE=FQ","FILING_STATUS=MR","SCALING_FORMAT=MLN","Sort=A","Dates=H","DateFormat=P","Fill=—","Direction=H","UseDPDF=Y")</f>
        <v>12</v>
      </c>
      <c r="Q47" s="12" cm="1">
        <f t="array" ref="Q47">_xll.BDH("DE US Equity","CF_INCR_CAP_STOCK","FQ1 2022","FQ1 2022","Currency=USD","Period=FQ","BEST_FPERIOD_OVERRIDE=FQ","FILING_STATUS=MR","SCALING_FORMAT=MLN","Sort=A","Dates=H","DateFormat=P","Fill=—","Direction=H","UseDPDF=Y")</f>
        <v>11</v>
      </c>
      <c r="R47" s="12" cm="1">
        <f t="array" ref="R47">_xll.BDH("DE US Equity","CF_INCR_CAP_STOCK","FQ2 2022","FQ2 2022","Currency=USD","Period=FQ","BEST_FPERIOD_OVERRIDE=FQ","FILING_STATUS=MR","SCALING_FORMAT=MLN","Sort=A","Dates=H","DateFormat=P","Fill=—","Direction=H","UseDPDF=Y")</f>
        <v>39</v>
      </c>
      <c r="S47" s="12" cm="1">
        <f t="array" ref="S47">_xll.BDH("DE US Equity","CF_INCR_CAP_STOCK","FQ3 2022","FQ3 2022","Currency=USD","Period=FQ","BEST_FPERIOD_OVERRIDE=FQ","FILING_STATUS=MR","SCALING_FORMAT=MLN","Sort=A","Dates=H","DateFormat=P","Fill=—","Direction=H","UseDPDF=Y")</f>
        <v>5</v>
      </c>
      <c r="T47" s="12" cm="1">
        <f t="array" ref="T47">_xll.BDH("DE US Equity","CF_INCR_CAP_STOCK","FQ4 2022","FQ4 2022","Currency=USD","Period=FQ","BEST_FPERIOD_OVERRIDE=FQ","FILING_STATUS=MR","SCALING_FORMAT=MLN","Sort=A","Dates=H","DateFormat=P","Fill=—","Direction=H","UseDPDF=Y")</f>
        <v>8</v>
      </c>
      <c r="U47" s="12" cm="1">
        <f t="array" ref="U47">_xll.BDH("DE US Equity","CF_INCR_CAP_STOCK","FQ1 2023","FQ1 2023","Currency=USD","Period=FQ","BEST_FPERIOD_OVERRIDE=FQ","FILING_STATUS=MR","SCALING_FORMAT=MLN","Sort=A","Dates=H","DateFormat=P","Fill=—","Direction=H","UseDPDF=Y")</f>
        <v>21</v>
      </c>
      <c r="V47" s="12" cm="1">
        <f t="array" ref="V47">_xll.BDH("DE US Equity","CF_INCR_CAP_STOCK","FQ2 2023","FQ2 2023","Currency=USD","Period=FQ","BEST_FPERIOD_OVERRIDE=FQ","FILING_STATUS=MR","SCALING_FORMAT=MLN","Sort=A","Dates=H","DateFormat=P","Fill=—","Direction=H","UseDPDF=Y")</f>
        <v>9</v>
      </c>
      <c r="W47" s="12" cm="1">
        <f t="array" ref="W47">_xll.BDH("DE US Equity","CF_INCR_CAP_STOCK","FQ3 2023","FQ3 2023","Currency=USD","Period=FQ","BEST_FPERIOD_OVERRIDE=FQ","FILING_STATUS=MR","SCALING_FORMAT=MLN","Sort=A","Dates=H","DateFormat=P","Fill=—","Direction=H","UseDPDF=Y")</f>
        <v>0</v>
      </c>
      <c r="X47" s="12" cm="1">
        <f t="array" ref="X47">_xll.BDH("DE US Equity","CF_INCR_CAP_STOCK","FQ4 2023","FQ4 2023","Currency=USD","Period=FQ","BEST_FPERIOD_OVERRIDE=FQ","FILING_STATUS=MR","SCALING_FORMAT=MLN","Sort=A","Dates=H","DateFormat=P","Fill=—","Direction=H","UseDPDF=Y")</f>
        <v>0</v>
      </c>
      <c r="Y47" s="12" cm="1">
        <f t="array" ref="Y47">_xll.BDH("DE US Equity","CF_INCR_CAP_STOCK","FQ1 2024","FQ1 2024","Currency=USD","Period=FQ","BEST_FPERIOD_OVERRIDE=FQ","FILING_STATUS=MR","SCALING_FORMAT=MLN","Sort=A","Dates=H","DateFormat=P","Fill=—","Direction=H","UseDPDF=Y")</f>
        <v>0</v>
      </c>
      <c r="Z47" s="12" cm="1">
        <f t="array" ref="Z47">_xll.BDH("DE US Equity","CF_INCR_CAP_STOCK","FQ2 2024","FQ2 2024","Currency=USD","Period=FQ","BEST_FPERIOD_OVERRIDE=FQ","FILING_STATUS=MR","SCALING_FORMAT=MLN","Sort=A","Dates=H","DateFormat=P","Fill=—","Direction=H","UseDPDF=Y")</f>
        <v>0</v>
      </c>
      <c r="AA47" s="12" cm="1">
        <f t="array" ref="AA47">_xll.BDH("DE US Equity","CF_INCR_CAP_STOCK","FQ3 2024","FQ3 2024","Currency=USD","Period=FQ","BEST_FPERIOD_OVERRIDE=FQ","FILING_STATUS=MR","SCALING_FORMAT=MLN","Sort=A","Dates=H","DateFormat=P","Fill=—","Direction=H","UseDPDF=Y")</f>
        <v>0</v>
      </c>
      <c r="AB47" s="12" cm="1">
        <f t="array" ref="AB47">_xll.BDH("DE US Equity","CF_INCR_CAP_STOCK","FQ4 2024","FQ4 2024","Currency=USD","Period=FQ","BEST_FPERIOD_OVERRIDE=FQ","FILING_STATUS=MR","SCALING_FORMAT=MLN","Sort=A","Dates=H","DateFormat=P","Fill=—","Direction=H","UseDPDF=Y")</f>
        <v>0</v>
      </c>
      <c r="AC47" s="12" cm="1">
        <f t="array" ref="AC47">_xll.BDH("DE US Equity","CF_INCR_CAP_STOCK","FQ1 2025","FQ1 2025","Currency=USD","Period=FQ","BEST_FPERIOD_OVERRIDE=FQ","FILING_STATUS=MR","SCALING_FORMAT=MLN","Sort=A","Dates=H","DateFormat=P","Fill=—","Direction=H","UseDPDF=Y")</f>
        <v>0</v>
      </c>
      <c r="AD47" s="12" cm="1">
        <f t="array" ref="AD47">_xll.BDH("DE US Equity","CF_INCR_CAP_STOCK","FQ2 2025","FQ2 2025","Currency=USD","Period=FQ","BEST_FPERIOD_OVERRIDE=FQ","FILING_STATUS=MR","SCALING_FORMAT=MLN","Sort=A","Dates=H","DateFormat=P","Fill=—","Direction=H","UseDPDF=Y")</f>
        <v>0</v>
      </c>
      <c r="AE47" s="12" cm="1">
        <f t="array" ref="AE47">_xll.BDH("DE US Equity","CF_INCR_CAP_STOCK","FQ3 2025","FQ3 2025","Currency=USD","Period=FQ","BEST_FPERIOD_OVERRIDE=FQ","FILING_STATUS=MR","SCALING_FORMAT=MLN","Sort=A","Dates=H","DateFormat=P","Fill=—","Direction=H","UseDPDF=Y")</f>
        <v>0</v>
      </c>
      <c r="AF47" s="12" cm="1">
        <f t="array" ref="AF47">_xll.BDH("DE US Equity","CF_INCR_CAP_STOCK","FQ4 2025","FQ4 2025","Currency=USD","Period=FQ","BEST_FPERIOD_OVERRIDE=FQ","FILING_STATUS=MR","SCALING_FORMAT=MLN","Sort=A","Dates=H","DateFormat=P","Fill=—","Direction=H","UseDPDF=Y")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10" t="s">
        <v>139</v>
      </c>
      <c r="B48" s="10" t="s">
        <v>140</v>
      </c>
      <c r="C48" s="12" cm="1">
        <f t="array" ref="C48">_xll.BDH("DE US Equity","CF_DECR_CAP_STOCK","FQ3 2018","FQ3 2018","Currency=USD","Period=FQ","BEST_FPERIOD_OVERRIDE=FQ","FILING_STATUS=MR","SCALING_FORMAT=MLN","Sort=A","Dates=H","DateFormat=P","Fill=—","Direction=H","UseDPDF=Y")</f>
        <v>-393.4</v>
      </c>
      <c r="D48" s="12" cm="1">
        <f t="array" ref="D48">_xll.BDH("DE US Equity","CF_DECR_CAP_STOCK","FQ4 2018","FQ4 2018","Currency=USD","Period=FQ","BEST_FPERIOD_OVERRIDE=FQ","FILING_STATUS=MR","SCALING_FORMAT=MLN","Sort=A","Dates=H","DateFormat=P","Fill=—","Direction=H","UseDPDF=Y")</f>
        <v>-504</v>
      </c>
      <c r="E48" s="12" cm="1">
        <f t="array" ref="E48">_xll.BDH("DE US Equity","CF_DECR_CAP_STOCK","FQ1 2019","FQ1 2019","Currency=USD","Period=FQ","BEST_FPERIOD_OVERRIDE=FQ","FILING_STATUS=MR","SCALING_FORMAT=MLN","Sort=A","Dates=H","DateFormat=P","Fill=—","Direction=H","UseDPDF=Y")</f>
        <v>-144</v>
      </c>
      <c r="F48" s="12" cm="1">
        <f t="array" ref="F48">_xll.BDH("DE US Equity","CF_DECR_CAP_STOCK","FQ2 2019","FQ2 2019","Currency=USD","Period=FQ","BEST_FPERIOD_OVERRIDE=FQ","FILING_STATUS=MR","SCALING_FORMAT=MLN","Sort=A","Dates=H","DateFormat=P","Fill=—","Direction=H","UseDPDF=Y")</f>
        <v>-337.1</v>
      </c>
      <c r="G48" s="12" cm="1">
        <f t="array" ref="G48">_xll.BDH("DE US Equity","CF_DECR_CAP_STOCK","FQ3 2019","FQ3 2019","Currency=USD","Period=FQ","BEST_FPERIOD_OVERRIDE=FQ","FILING_STATUS=MR","SCALING_FORMAT=MLN","Sort=A","Dates=H","DateFormat=P","Fill=—","Direction=H","UseDPDF=Y")</f>
        <v>-399</v>
      </c>
      <c r="H48" s="12" cm="1">
        <f t="array" ref="H48">_xll.BDH("DE US Equity","CF_DECR_CAP_STOCK","FQ4 2019","FQ4 2019","Currency=USD","Period=FQ","BEST_FPERIOD_OVERRIDE=FQ","FILING_STATUS=MR","SCALING_FORMAT=MLN","Sort=A","Dates=H","DateFormat=P","Fill=—","Direction=H","UseDPDF=Y")</f>
        <v>-373</v>
      </c>
      <c r="I48" s="12" cm="1">
        <f t="array" ref="I48">_xll.BDH("DE US Equity","CF_DECR_CAP_STOCK","FQ1 2020","FQ1 2020","Currency=USD","Period=FQ","BEST_FPERIOD_OVERRIDE=FQ","FILING_STATUS=MR","SCALING_FORMAT=MLN","Sort=A","Dates=H","DateFormat=P","Fill=—","Direction=H","UseDPDF=Y")</f>
        <v>-114</v>
      </c>
      <c r="J48" s="12" cm="1">
        <f t="array" ref="J48">_xll.BDH("DE US Equity","CF_DECR_CAP_STOCK","FQ2 2020","FQ2 2020","Currency=USD","Period=FQ","BEST_FPERIOD_OVERRIDE=FQ","FILING_STATUS=MR","SCALING_FORMAT=MLN","Sort=A","Dates=H","DateFormat=P","Fill=—","Direction=H","UseDPDF=Y")</f>
        <v>-149</v>
      </c>
      <c r="K48" s="12" cm="1">
        <f t="array" ref="K48">_xll.BDH("DE US Equity","CF_DECR_CAP_STOCK","FQ3 2020","FQ3 2020","Currency=USD","Period=FQ","BEST_FPERIOD_OVERRIDE=FQ","FILING_STATUS=MR","SCALING_FORMAT=MLN","Sort=A","Dates=H","DateFormat=P","Fill=—","Direction=H","UseDPDF=Y")</f>
        <v>0</v>
      </c>
      <c r="L48" s="12" cm="1">
        <f t="array" ref="L48">_xll.BDH("DE US Equity","CF_DECR_CAP_STOCK","FQ4 2020","FQ4 2020","Currency=USD","Period=FQ","BEST_FPERIOD_OVERRIDE=FQ","FILING_STATUS=MR","SCALING_FORMAT=MLN","Sort=A","Dates=H","DateFormat=P","Fill=—","Direction=H","UseDPDF=Y")</f>
        <v>-487</v>
      </c>
      <c r="M48" s="12" cm="1">
        <f t="array" ref="M48">_xll.BDH("DE US Equity","CF_DECR_CAP_STOCK","FQ1 2021","FQ1 2021","Currency=USD","Period=FQ","BEST_FPERIOD_OVERRIDE=FQ","FILING_STATUS=MR","SCALING_FORMAT=MLN","Sort=A","Dates=H","DateFormat=P","Fill=—","Direction=H","UseDPDF=Y")</f>
        <v>-352</v>
      </c>
      <c r="N48" s="12" cm="1">
        <f t="array" ref="N48">_xll.BDH("DE US Equity","CF_DECR_CAP_STOCK","FQ2 2021","FQ2 2021","Currency=USD","Period=FQ","BEST_FPERIOD_OVERRIDE=FQ","FILING_STATUS=MR","SCALING_FORMAT=MLN","Sort=A","Dates=H","DateFormat=P","Fill=—","Direction=H","UseDPDF=Y")</f>
        <v>-692</v>
      </c>
      <c r="O48" s="12" cm="1">
        <f t="array" ref="O48">_xll.BDH("DE US Equity","CF_DECR_CAP_STOCK","FQ3 2021","FQ3 2021","Currency=USD","Period=FQ","BEST_FPERIOD_OVERRIDE=FQ","FILING_STATUS=MR","SCALING_FORMAT=MLN","Sort=A","Dates=H","DateFormat=P","Fill=—","Direction=H","UseDPDF=Y")</f>
        <v>-736</v>
      </c>
      <c r="P48" s="12" cm="1">
        <f t="array" ref="P48">_xll.BDH("DE US Equity","CF_DECR_CAP_STOCK","FQ4 2021","FQ4 2021","Currency=USD","Period=FQ","BEST_FPERIOD_OVERRIDE=FQ","FILING_STATUS=MR","SCALING_FORMAT=MLN","Sort=A","Dates=H","DateFormat=P","Fill=—","Direction=H","UseDPDF=Y")</f>
        <v>-758</v>
      </c>
      <c r="Q48" s="12" cm="1">
        <f t="array" ref="Q48">_xll.BDH("DE US Equity","CF_DECR_CAP_STOCK","FQ1 2022","FQ1 2022","Currency=USD","Period=FQ","BEST_FPERIOD_OVERRIDE=FQ","FILING_STATUS=MR","SCALING_FORMAT=MLN","Sort=A","Dates=H","DateFormat=P","Fill=—","Direction=H","UseDPDF=Y")</f>
        <v>-623</v>
      </c>
      <c r="R48" s="12" cm="1">
        <f t="array" ref="R48">_xll.BDH("DE US Equity","CF_DECR_CAP_STOCK","FQ2 2022","FQ2 2022","Currency=USD","Period=FQ","BEST_FPERIOD_OVERRIDE=FQ","FILING_STATUS=MR","SCALING_FORMAT=MLN","Sort=A","Dates=H","DateFormat=P","Fill=—","Direction=H","UseDPDF=Y")</f>
        <v>-603</v>
      </c>
      <c r="S48" s="12" cm="1">
        <f t="array" ref="S48">_xll.BDH("DE US Equity","CF_DECR_CAP_STOCK","FQ3 2022","FQ3 2022","Currency=USD","Period=FQ","BEST_FPERIOD_OVERRIDE=FQ","FILING_STATUS=MR","SCALING_FORMAT=MLN","Sort=A","Dates=H","DateFormat=P","Fill=—","Direction=H","UseDPDF=Y")</f>
        <v>-1251</v>
      </c>
      <c r="T48" s="12" cm="1">
        <f t="array" ref="T48">_xll.BDH("DE US Equity","CF_DECR_CAP_STOCK","FQ4 2022","FQ4 2022","Currency=USD","Period=FQ","BEST_FPERIOD_OVERRIDE=FQ","FILING_STATUS=MR","SCALING_FORMAT=MLN","Sort=A","Dates=H","DateFormat=P","Fill=—","Direction=H","UseDPDF=Y")</f>
        <v>-1120</v>
      </c>
      <c r="U48" s="12" cm="1">
        <f t="array" ref="U48">_xll.BDH("DE US Equity","CF_DECR_CAP_STOCK","FQ1 2023","FQ1 2023","Currency=USD","Period=FQ","BEST_FPERIOD_OVERRIDE=FQ","FILING_STATUS=MR","SCALING_FORMAT=MLN","Sort=A","Dates=H","DateFormat=P","Fill=—","Direction=H","UseDPDF=Y")</f>
        <v>-1257</v>
      </c>
      <c r="V48" s="12" cm="1">
        <f t="array" ref="V48">_xll.BDH("DE US Equity","CF_DECR_CAP_STOCK","FQ2 2023","FQ2 2023","Currency=USD","Period=FQ","BEST_FPERIOD_OVERRIDE=FQ","FILING_STATUS=MR","SCALING_FORMAT=MLN","Sort=A","Dates=H","DateFormat=P","Fill=—","Direction=H","UseDPDF=Y")</f>
        <v>-1289</v>
      </c>
      <c r="W48" s="12" cm="1">
        <f t="array" ref="W48">_xll.BDH("DE US Equity","CF_DECR_CAP_STOCK","FQ3 2023","FQ3 2023","Currency=USD","Period=FQ","BEST_FPERIOD_OVERRIDE=FQ","FILING_STATUS=MR","SCALING_FORMAT=MLN","Sort=A","Dates=H","DateFormat=P","Fill=—","Direction=H","UseDPDF=Y")</f>
        <v>-2147</v>
      </c>
      <c r="X48" s="12" cm="1">
        <f t="array" ref="X48">_xll.BDH("DE US Equity","CF_DECR_CAP_STOCK","FQ4 2023","FQ4 2023","Currency=USD","Period=FQ","BEST_FPERIOD_OVERRIDE=FQ","FILING_STATUS=MR","SCALING_FORMAT=MLN","Sort=A","Dates=H","DateFormat=P","Fill=—","Direction=H","UseDPDF=Y")</f>
        <v>-2553</v>
      </c>
      <c r="Y48" s="12" cm="1">
        <f t="array" ref="Y48">_xll.BDH("DE US Equity","CF_DECR_CAP_STOCK","FQ1 2024","FQ1 2024","Currency=USD","Period=FQ","BEST_FPERIOD_OVERRIDE=FQ","FILING_STATUS=MR","SCALING_FORMAT=MLN","Sort=A","Dates=H","DateFormat=P","Fill=—","Direction=H","UseDPDF=Y")</f>
        <v>-1328</v>
      </c>
      <c r="Z48" s="12" cm="1">
        <f t="array" ref="Z48">_xll.BDH("DE US Equity","CF_DECR_CAP_STOCK","FQ2 2024","FQ2 2024","Currency=USD","Period=FQ","BEST_FPERIOD_OVERRIDE=FQ","FILING_STATUS=MR","SCALING_FORMAT=MLN","Sort=A","Dates=H","DateFormat=P","Fill=—","Direction=H","UseDPDF=Y")</f>
        <v>-1094</v>
      </c>
      <c r="AA48" s="12" cm="1">
        <f t="array" ref="AA48">_xll.BDH("DE US Equity","CF_DECR_CAP_STOCK","FQ3 2024","FQ3 2024","Currency=USD","Period=FQ","BEST_FPERIOD_OVERRIDE=FQ","FILING_STATUS=MR","SCALING_FORMAT=MLN","Sort=A","Dates=H","DateFormat=P","Fill=—","Direction=H","UseDPDF=Y")</f>
        <v>-805</v>
      </c>
      <c r="AB48" s="12" cm="1">
        <f t="array" ref="AB48">_xll.BDH("DE US Equity","CF_DECR_CAP_STOCK","FQ4 2024","FQ4 2024","Currency=USD","Period=FQ","BEST_FPERIOD_OVERRIDE=FQ","FILING_STATUS=MR","SCALING_FORMAT=MLN","Sort=A","Dates=H","DateFormat=P","Fill=—","Direction=H","UseDPDF=Y")</f>
        <v>-780</v>
      </c>
      <c r="AC48" s="12" cm="1">
        <f t="array" ref="AC48">_xll.BDH("DE US Equity","CF_DECR_CAP_STOCK","FQ1 2025","FQ1 2025","Currency=USD","Period=FQ","BEST_FPERIOD_OVERRIDE=FQ","FILING_STATUS=MR","SCALING_FORMAT=MLN","Sort=A","Dates=H","DateFormat=P","Fill=—","Direction=H","UseDPDF=Y")</f>
        <v>-441</v>
      </c>
      <c r="AD48" s="12" cm="1">
        <f t="array" ref="AD48">_xll.BDH("DE US Equity","CF_DECR_CAP_STOCK","FQ2 2025","FQ2 2025","Currency=USD","Period=FQ","BEST_FPERIOD_OVERRIDE=FQ","FILING_STATUS=MR","SCALING_FORMAT=MLN","Sort=A","Dates=H","DateFormat=P","Fill=—","Direction=H","UseDPDF=Y")</f>
        <v>-397</v>
      </c>
      <c r="AE48" s="12" cm="1">
        <f t="array" ref="AE48">_xll.BDH("DE US Equity","CF_DECR_CAP_STOCK","FQ3 2025","FQ3 2025","Currency=USD","Period=FQ","BEST_FPERIOD_OVERRIDE=FQ","FILING_STATUS=MR","SCALING_FORMAT=MLN","Sort=A","Dates=H","DateFormat=P","Fill=—","Direction=H","UseDPDF=Y")</f>
        <v>-298</v>
      </c>
      <c r="AF48" s="12" cm="1">
        <f t="array" ref="AF48">_xll.BDH("DE US Equity","CF_DECR_CAP_STOCK","FQ4 2025","FQ4 2025","Currency=USD","Period=FQ","BEST_FPERIOD_OVERRIDE=FQ","FILING_STATUS=MR","SCALING_FORMAT=MLN","Sort=A","Dates=H","DateFormat=P","Fill=—","Direction=H","UseDPDF=Y")</f>
        <v>-2</v>
      </c>
    </row>
    <row r="49" spans="1:32" x14ac:dyDescent="0.25">
      <c r="A49" s="10" t="s">
        <v>141</v>
      </c>
      <c r="B49" s="10" t="s">
        <v>142</v>
      </c>
      <c r="C49" s="12" cm="1">
        <f t="array" ref="C49">_xll.BDH("DE US Equity","OTHER_FIN_AND_DEC_CAP","FQ3 2018","FQ3 2018","Currency=USD","Period=FQ","BEST_FPERIOD_OVERRIDE=FQ","FILING_STATUS=MR","SCALING_FORMAT=MLN","Sort=A","Dates=H","DateFormat=P","Fill=—","Direction=H","UseDPDF=Y")</f>
        <v>-22.1</v>
      </c>
      <c r="D49" s="12" cm="1">
        <f t="array" ref="D49">_xll.BDH("DE US Equity","OTHER_FIN_AND_DEC_CAP","FQ4 2018","FQ4 2018","Currency=USD","Period=FQ","BEST_FPERIOD_OVERRIDE=FQ","FILING_STATUS=MR","SCALING_FORMAT=MLN","Sort=A","Dates=H","DateFormat=P","Fill=—","Direction=H","UseDPDF=Y")</f>
        <v>-27</v>
      </c>
      <c r="E49" s="12" cm="1">
        <f t="array" ref="E49">_xll.BDH("DE US Equity","OTHER_FIN_AND_DEC_CAP","FQ1 2019","FQ1 2019","Currency=USD","Period=FQ","BEST_FPERIOD_OVERRIDE=FQ","FILING_STATUS=MR","SCALING_FORMAT=MLN","Sort=A","Dates=H","DateFormat=P","Fill=—","Direction=H","UseDPDF=Y")</f>
        <v>-30</v>
      </c>
      <c r="F49" s="12" cm="1">
        <f t="array" ref="F49">_xll.BDH("DE US Equity","OTHER_FIN_AND_DEC_CAP","FQ2 2019","FQ2 2019","Currency=USD","Period=FQ","BEST_FPERIOD_OVERRIDE=FQ","FILING_STATUS=MR","SCALING_FORMAT=MLN","Sort=A","Dates=H","DateFormat=P","Fill=—","Direction=H","UseDPDF=Y")</f>
        <v>-23.8</v>
      </c>
      <c r="G49" s="12" cm="1">
        <f t="array" ref="G49">_xll.BDH("DE US Equity","OTHER_FIN_AND_DEC_CAP","FQ3 2019","FQ3 2019","Currency=USD","Period=FQ","BEST_FPERIOD_OVERRIDE=FQ","FILING_STATUS=MR","SCALING_FORMAT=MLN","Sort=A","Dates=H","DateFormat=P","Fill=—","Direction=H","UseDPDF=Y")</f>
        <v>-28</v>
      </c>
      <c r="H49" s="12" cm="1">
        <f t="array" ref="H49">_xll.BDH("DE US Equity","OTHER_FIN_AND_DEC_CAP","FQ4 2019","FQ4 2019","Currency=USD","Period=FQ","BEST_FPERIOD_OVERRIDE=FQ","FILING_STATUS=MR","SCALING_FORMAT=MLN","Sort=A","Dates=H","DateFormat=P","Fill=—","Direction=H","UseDPDF=Y")</f>
        <v>-34</v>
      </c>
      <c r="I49" s="12" cm="1">
        <f t="array" ref="I49">_xll.BDH("DE US Equity","OTHER_FIN_AND_DEC_CAP","FQ1 2020","FQ1 2020","Currency=USD","Period=FQ","BEST_FPERIOD_OVERRIDE=FQ","FILING_STATUS=MR","SCALING_FORMAT=MLN","Sort=A","Dates=H","DateFormat=P","Fill=—","Direction=H","UseDPDF=Y")</f>
        <v>-38</v>
      </c>
      <c r="J49" s="12" cm="1">
        <f t="array" ref="J49">_xll.BDH("DE US Equity","OTHER_FIN_AND_DEC_CAP","FQ2 2020","FQ2 2020","Currency=USD","Period=FQ","BEST_FPERIOD_OVERRIDE=FQ","FILING_STATUS=MR","SCALING_FORMAT=MLN","Sort=A","Dates=H","DateFormat=P","Fill=—","Direction=H","UseDPDF=Y")</f>
        <v>-43</v>
      </c>
      <c r="K49" s="12" cm="1">
        <f t="array" ref="K49">_xll.BDH("DE US Equity","OTHER_FIN_AND_DEC_CAP","FQ3 2020","FQ3 2020","Currency=USD","Period=FQ","BEST_FPERIOD_OVERRIDE=FQ","FILING_STATUS=MR","SCALING_FORMAT=MLN","Sort=A","Dates=H","DateFormat=P","Fill=—","Direction=H","UseDPDF=Y")</f>
        <v>-29</v>
      </c>
      <c r="L49" s="12" cm="1">
        <f t="array" ref="L49">_xll.BDH("DE US Equity","OTHER_FIN_AND_DEC_CAP","FQ4 2020","FQ4 2020","Currency=USD","Period=FQ","BEST_FPERIOD_OVERRIDE=FQ","FILING_STATUS=MR","SCALING_FORMAT=MLN","Sort=A","Dates=H","DateFormat=P","Fill=—","Direction=H","UseDPDF=Y")</f>
        <v>-23</v>
      </c>
      <c r="M49" s="12" cm="1">
        <f t="array" ref="M49">_xll.BDH("DE US Equity","OTHER_FIN_AND_DEC_CAP","FQ1 2021","FQ1 2021","Currency=USD","Period=FQ","BEST_FPERIOD_OVERRIDE=FQ","FILING_STATUS=MR","SCALING_FORMAT=MLN","Sort=A","Dates=H","DateFormat=P","Fill=—","Direction=H","UseDPDF=Y")</f>
        <v>-31</v>
      </c>
      <c r="N49" s="12" cm="1">
        <f t="array" ref="N49">_xll.BDH("DE US Equity","OTHER_FIN_AND_DEC_CAP","FQ2 2021","FQ2 2021","Currency=USD","Period=FQ","BEST_FPERIOD_OVERRIDE=FQ","FILING_STATUS=MR","SCALING_FORMAT=MLN","Sort=A","Dates=H","DateFormat=P","Fill=—","Direction=H","UseDPDF=Y")</f>
        <v>-24</v>
      </c>
      <c r="O49" s="12" cm="1">
        <f t="array" ref="O49">_xll.BDH("DE US Equity","OTHER_FIN_AND_DEC_CAP","FQ3 2021","FQ3 2021","Currency=USD","Period=FQ","BEST_FPERIOD_OVERRIDE=FQ","FILING_STATUS=MR","SCALING_FORMAT=MLN","Sort=A","Dates=H","DateFormat=P","Fill=—","Direction=H","UseDPDF=Y")</f>
        <v>-25</v>
      </c>
      <c r="P49" s="12" cm="1">
        <f t="array" ref="P49">_xll.BDH("DE US Equity","OTHER_FIN_AND_DEC_CAP","FQ4 2021","FQ4 2021","Currency=USD","Period=FQ","BEST_FPERIOD_OVERRIDE=FQ","FILING_STATUS=MR","SCALING_FORMAT=MLN","Sort=A","Dates=H","DateFormat=P","Fill=—","Direction=H","UseDPDF=Y")</f>
        <v>-18</v>
      </c>
      <c r="Q49" s="12" cm="1">
        <f t="array" ref="Q49">_xll.BDH("DE US Equity","OTHER_FIN_AND_DEC_CAP","FQ1 2022","FQ1 2022","Currency=USD","Period=FQ","BEST_FPERIOD_OVERRIDE=FQ","FILING_STATUS=MR","SCALING_FORMAT=MLN","Sort=A","Dates=H","DateFormat=P","Fill=—","Direction=H","UseDPDF=Y")</f>
        <v>-33</v>
      </c>
      <c r="R49" s="12" cm="1">
        <f t="array" ref="R49">_xll.BDH("DE US Equity","OTHER_FIN_AND_DEC_CAP","FQ2 2022","FQ2 2022","Currency=USD","Period=FQ","BEST_FPERIOD_OVERRIDE=FQ","FILING_STATUS=MR","SCALING_FORMAT=MLN","Sort=A","Dates=H","DateFormat=P","Fill=—","Direction=H","UseDPDF=Y")</f>
        <v>-13</v>
      </c>
      <c r="S49" s="12" cm="1">
        <f t="array" ref="S49">_xll.BDH("DE US Equity","OTHER_FIN_AND_DEC_CAP","FQ3 2022","FQ3 2022","Currency=USD","Period=FQ","BEST_FPERIOD_OVERRIDE=FQ","FILING_STATUS=MR","SCALING_FORMAT=MLN","Sort=A","Dates=H","DateFormat=P","Fill=—","Direction=H","UseDPDF=Y")</f>
        <v>-16</v>
      </c>
      <c r="T49" s="12" cm="1">
        <f t="array" ref="T49">_xll.BDH("DE US Equity","OTHER_FIN_AND_DEC_CAP","FQ4 2022","FQ4 2022","Currency=USD","Period=FQ","BEST_FPERIOD_OVERRIDE=FQ","FILING_STATUS=MR","SCALING_FORMAT=MLN","Sort=A","Dates=H","DateFormat=P","Fill=—","Direction=H","UseDPDF=Y")</f>
        <v>-30</v>
      </c>
      <c r="U49" s="12" cm="1">
        <f t="array" ref="U49">_xll.BDH("DE US Equity","OTHER_FIN_AND_DEC_CAP","FQ1 2023","FQ1 2023","Currency=USD","Period=FQ","BEST_FPERIOD_OVERRIDE=FQ","FILING_STATUS=MR","SCALING_FORMAT=MLN","Sort=A","Dates=H","DateFormat=P","Fill=—","Direction=H","UseDPDF=Y")</f>
        <v>-39</v>
      </c>
      <c r="V49" s="12" cm="1">
        <f t="array" ref="V49">_xll.BDH("DE US Equity","OTHER_FIN_AND_DEC_CAP","FQ2 2023","FQ2 2023","Currency=USD","Period=FQ","BEST_FPERIOD_OVERRIDE=FQ","FILING_STATUS=MR","SCALING_FORMAT=MLN","Sort=A","Dates=H","DateFormat=P","Fill=—","Direction=H","UseDPDF=Y")</f>
        <v>-24</v>
      </c>
      <c r="W49" s="12" cm="1">
        <f t="array" ref="W49">_xll.BDH("DE US Equity","OTHER_FIN_AND_DEC_CAP","FQ3 2023","FQ3 2023","Currency=USD","Period=FQ","BEST_FPERIOD_OVERRIDE=FQ","FILING_STATUS=MR","SCALING_FORMAT=MLN","Sort=A","Dates=H","DateFormat=P","Fill=—","Direction=H","UseDPDF=Y")</f>
        <v>20</v>
      </c>
      <c r="X49" s="12" cm="1">
        <f t="array" ref="X49">_xll.BDH("DE US Equity","OTHER_FIN_AND_DEC_CAP","FQ4 2023","FQ4 2023","Currency=USD","Period=FQ","BEST_FPERIOD_OVERRIDE=FQ","FILING_STATUS=MR","SCALING_FORMAT=MLN","Sort=A","Dates=H","DateFormat=P","Fill=—","Direction=H","UseDPDF=Y")</f>
        <v>-30</v>
      </c>
      <c r="Y49" s="12" cm="1">
        <f t="array" ref="Y49">_xll.BDH("DE US Equity","OTHER_FIN_AND_DEC_CAP","FQ1 2024","FQ1 2024","Currency=USD","Period=FQ","BEST_FPERIOD_OVERRIDE=FQ","FILING_STATUS=MR","SCALING_FORMAT=MLN","Sort=A","Dates=H","DateFormat=P","Fill=—","Direction=H","UseDPDF=Y")</f>
        <v>-30</v>
      </c>
      <c r="Z49" s="12" cm="1">
        <f t="array" ref="Z49">_xll.BDH("DE US Equity","OTHER_FIN_AND_DEC_CAP","FQ2 2024","FQ2 2024","Currency=USD","Period=FQ","BEST_FPERIOD_OVERRIDE=FQ","FILING_STATUS=MR","SCALING_FORMAT=MLN","Sort=A","Dates=H","DateFormat=P","Fill=—","Direction=H","UseDPDF=Y")</f>
        <v>-22</v>
      </c>
      <c r="AA49" s="12" cm="1">
        <f t="array" ref="AA49">_xll.BDH("DE US Equity","OTHER_FIN_AND_DEC_CAP","FQ3 2024","FQ3 2024","Currency=USD","Period=FQ","BEST_FPERIOD_OVERRIDE=FQ","FILING_STATUS=MR","SCALING_FORMAT=MLN","Sort=A","Dates=H","DateFormat=P","Fill=—","Direction=H","UseDPDF=Y")</f>
        <v>-36</v>
      </c>
      <c r="AB49" s="12" cm="1">
        <f t="array" ref="AB49">_xll.BDH("DE US Equity","OTHER_FIN_AND_DEC_CAP","FQ4 2024","FQ4 2024","Currency=USD","Period=FQ","BEST_FPERIOD_OVERRIDE=FQ","FILING_STATUS=MR","SCALING_FORMAT=MLN","Sort=A","Dates=H","DateFormat=P","Fill=—","Direction=H","UseDPDF=Y")</f>
        <v>-25</v>
      </c>
      <c r="AC49" s="12" cm="1">
        <f t="array" ref="AC49">_xll.BDH("DE US Equity","OTHER_FIN_AND_DEC_CAP","FQ1 2025","FQ1 2025","Currency=USD","Period=FQ","BEST_FPERIOD_OVERRIDE=FQ","FILING_STATUS=MR","SCALING_FORMAT=MLN","Sort=A","Dates=H","DateFormat=P","Fill=—","Direction=H","UseDPDF=Y")</f>
        <v>-10</v>
      </c>
      <c r="AD49" s="12" cm="1">
        <f t="array" ref="AD49">_xll.BDH("DE US Equity","OTHER_FIN_AND_DEC_CAP","FQ2 2025","FQ2 2025","Currency=USD","Period=FQ","BEST_FPERIOD_OVERRIDE=FQ","FILING_STATUS=MR","SCALING_FORMAT=MLN","Sort=A","Dates=H","DateFormat=P","Fill=—","Direction=H","UseDPDF=Y")</f>
        <v>0</v>
      </c>
      <c r="AE49" s="12" cm="1">
        <f t="array" ref="AE49">_xll.BDH("DE US Equity","OTHER_FIN_AND_DEC_CAP","FQ3 2025","FQ3 2025","Currency=USD","Period=FQ","BEST_FPERIOD_OVERRIDE=FQ","FILING_STATUS=MR","SCALING_FORMAT=MLN","Sort=A","Dates=H","DateFormat=P","Fill=—","Direction=H","UseDPDF=Y")</f>
        <v>-33</v>
      </c>
      <c r="AF49" s="12" cm="1">
        <f t="array" ref="AF49">_xll.BDH("DE US Equity","OTHER_FIN_AND_DEC_CAP","FQ4 2025","FQ4 2025","Currency=USD","Period=FQ","BEST_FPERIOD_OVERRIDE=FQ","FILING_STATUS=MR","SCALING_FORMAT=MLN","Sort=A","Dates=H","DateFormat=P","Fill=—","Direction=H","UseDPDF=Y")</f>
        <v>-36</v>
      </c>
    </row>
    <row r="50" spans="1:32" x14ac:dyDescent="0.25">
      <c r="A50" s="10" t="s">
        <v>88</v>
      </c>
      <c r="B50" s="10" t="s">
        <v>143</v>
      </c>
      <c r="C50" s="12" cm="1">
        <f t="array" ref="C50">_xll.BDH("DE US Equity","CF_NET_CASH_DISCONTINUED_OPS_FIN","FQ3 2018","FQ3 2018","Currency=USD","Period=FQ","BEST_FPERIOD_OVERRIDE=FQ","FILING_STATUS=MR","SCALING_FORMAT=MLN","Sort=A","Dates=H","DateFormat=P","Fill=—","Direction=H","UseDPDF=Y")</f>
        <v>0</v>
      </c>
      <c r="D50" s="12" cm="1">
        <f t="array" ref="D50">_xll.BDH("DE US Equity","CF_NET_CASH_DISCONTINUED_OPS_FIN","FQ4 2018","FQ4 2018","Currency=USD","Period=FQ","BEST_FPERIOD_OVERRIDE=FQ","FILING_STATUS=MR","SCALING_FORMAT=MLN","Sort=A","Dates=H","DateFormat=P","Fill=—","Direction=H","UseDPDF=Y")</f>
        <v>0</v>
      </c>
      <c r="E50" s="12" cm="1">
        <f t="array" ref="E50">_xll.BDH("DE US Equity","CF_NET_CASH_DISCONTINUED_OPS_FIN","FQ1 2019","FQ1 2019","Currency=USD","Period=FQ","BEST_FPERIOD_OVERRIDE=FQ","FILING_STATUS=MR","SCALING_FORMAT=MLN","Sort=A","Dates=H","DateFormat=P","Fill=—","Direction=H","UseDPDF=Y")</f>
        <v>0</v>
      </c>
      <c r="F50" s="12" cm="1">
        <f t="array" ref="F50">_xll.BDH("DE US Equity","CF_NET_CASH_DISCONTINUED_OPS_FIN","FQ2 2019","FQ2 2019","Currency=USD","Period=FQ","BEST_FPERIOD_OVERRIDE=FQ","FILING_STATUS=MR","SCALING_FORMAT=MLN","Sort=A","Dates=H","DateFormat=P","Fill=—","Direction=H","UseDPDF=Y")</f>
        <v>0</v>
      </c>
      <c r="G50" s="12" cm="1">
        <f t="array" ref="G50">_xll.BDH("DE US Equity","CF_NET_CASH_DISCONTINUED_OPS_FIN","FQ3 2019","FQ3 2019","Currency=USD","Period=FQ","BEST_FPERIOD_OVERRIDE=FQ","FILING_STATUS=MR","SCALING_FORMAT=MLN","Sort=A","Dates=H","DateFormat=P","Fill=—","Direction=H","UseDPDF=Y")</f>
        <v>0</v>
      </c>
      <c r="H50" s="12" cm="1">
        <f t="array" ref="H50">_xll.BDH("DE US Equity","CF_NET_CASH_DISCONTINUED_OPS_FIN","FQ4 2019","FQ4 2019","Currency=USD","Period=FQ","BEST_FPERIOD_OVERRIDE=FQ","FILING_STATUS=MR","SCALING_FORMAT=MLN","Sort=A","Dates=H","DateFormat=P","Fill=—","Direction=H","UseDPDF=Y")</f>
        <v>0</v>
      </c>
      <c r="I50" s="12" cm="1">
        <f t="array" ref="I50">_xll.BDH("DE US Equity","CF_NET_CASH_DISCONTINUED_OPS_FIN","FQ1 2020","FQ1 2020","Currency=USD","Period=FQ","BEST_FPERIOD_OVERRIDE=FQ","FILING_STATUS=MR","SCALING_FORMAT=MLN","Sort=A","Dates=H","DateFormat=P","Fill=—","Direction=H","UseDPDF=Y")</f>
        <v>0</v>
      </c>
      <c r="J50" s="12" cm="1">
        <f t="array" ref="J50">_xll.BDH("DE US Equity","CF_NET_CASH_DISCONTINUED_OPS_FIN","FQ2 2020","FQ2 2020","Currency=USD","Period=FQ","BEST_FPERIOD_OVERRIDE=FQ","FILING_STATUS=MR","SCALING_FORMAT=MLN","Sort=A","Dates=H","DateFormat=P","Fill=—","Direction=H","UseDPDF=Y")</f>
        <v>0</v>
      </c>
      <c r="K50" s="12" cm="1">
        <f t="array" ref="K50">_xll.BDH("DE US Equity","CF_NET_CASH_DISCONTINUED_OPS_FIN","FQ3 2020","FQ3 2020","Currency=USD","Period=FQ","BEST_FPERIOD_OVERRIDE=FQ","FILING_STATUS=MR","SCALING_FORMAT=MLN","Sort=A","Dates=H","DateFormat=P","Fill=—","Direction=H","UseDPDF=Y")</f>
        <v>0</v>
      </c>
      <c r="L50" s="12" cm="1">
        <f t="array" ref="L50">_xll.BDH("DE US Equity","CF_NET_CASH_DISCONTINUED_OPS_FIN","FQ4 2020","FQ4 2020","Currency=USD","Period=FQ","BEST_FPERIOD_OVERRIDE=FQ","FILING_STATUS=MR","SCALING_FORMAT=MLN","Sort=A","Dates=H","DateFormat=P","Fill=—","Direction=H","UseDPDF=Y")</f>
        <v>0</v>
      </c>
      <c r="M50" s="12" cm="1">
        <f t="array" ref="M50">_xll.BDH("DE US Equity","CF_NET_CASH_DISCONTINUED_OPS_FIN","FQ1 2021","FQ1 2021","Currency=USD","Period=FQ","BEST_FPERIOD_OVERRIDE=FQ","FILING_STATUS=MR","SCALING_FORMAT=MLN","Sort=A","Dates=H","DateFormat=P","Fill=—","Direction=H","UseDPDF=Y")</f>
        <v>0</v>
      </c>
      <c r="N50" s="12" cm="1">
        <f t="array" ref="N50">_xll.BDH("DE US Equity","CF_NET_CASH_DISCONTINUED_OPS_FIN","FQ2 2021","FQ2 2021","Currency=USD","Period=FQ","BEST_FPERIOD_OVERRIDE=FQ","FILING_STATUS=MR","SCALING_FORMAT=MLN","Sort=A","Dates=H","DateFormat=P","Fill=—","Direction=H","UseDPDF=Y")</f>
        <v>0</v>
      </c>
      <c r="O50" s="12" cm="1">
        <f t="array" ref="O50">_xll.BDH("DE US Equity","CF_NET_CASH_DISCONTINUED_OPS_FIN","FQ3 2021","FQ3 2021","Currency=USD","Period=FQ","BEST_FPERIOD_OVERRIDE=FQ","FILING_STATUS=MR","SCALING_FORMAT=MLN","Sort=A","Dates=H","DateFormat=P","Fill=—","Direction=H","UseDPDF=Y")</f>
        <v>0</v>
      </c>
      <c r="P50" s="12" cm="1">
        <f t="array" ref="P50">_xll.BDH("DE US Equity","CF_NET_CASH_DISCONTINUED_OPS_FIN","FQ4 2021","FQ4 2021","Currency=USD","Period=FQ","BEST_FPERIOD_OVERRIDE=FQ","FILING_STATUS=MR","SCALING_FORMAT=MLN","Sort=A","Dates=H","DateFormat=P","Fill=—","Direction=H","UseDPDF=Y")</f>
        <v>0</v>
      </c>
      <c r="Q50" s="12" cm="1">
        <f t="array" ref="Q50">_xll.BDH("DE US Equity","CF_NET_CASH_DISCONTINUED_OPS_FIN","FQ1 2022","FQ1 2022","Currency=USD","Period=FQ","BEST_FPERIOD_OVERRIDE=FQ","FILING_STATUS=MR","SCALING_FORMAT=MLN","Sort=A","Dates=H","DateFormat=P","Fill=—","Direction=H","UseDPDF=Y")</f>
        <v>0</v>
      </c>
      <c r="R50" s="12" cm="1">
        <f t="array" ref="R50">_xll.BDH("DE US Equity","CF_NET_CASH_DISCONTINUED_OPS_FIN","FQ2 2022","FQ2 2022","Currency=USD","Period=FQ","BEST_FPERIOD_OVERRIDE=FQ","FILING_STATUS=MR","SCALING_FORMAT=MLN","Sort=A","Dates=H","DateFormat=P","Fill=—","Direction=H","UseDPDF=Y")</f>
        <v>0</v>
      </c>
      <c r="S50" s="12" cm="1">
        <f t="array" ref="S50">_xll.BDH("DE US Equity","CF_NET_CASH_DISCONTINUED_OPS_FIN","FQ3 2022","FQ3 2022","Currency=USD","Period=FQ","BEST_FPERIOD_OVERRIDE=FQ","FILING_STATUS=MR","SCALING_FORMAT=MLN","Sort=A","Dates=H","DateFormat=P","Fill=—","Direction=H","UseDPDF=Y")</f>
        <v>0</v>
      </c>
      <c r="T50" s="12" cm="1">
        <f t="array" ref="T50">_xll.BDH("DE US Equity","CF_NET_CASH_DISCONTINUED_OPS_FIN","FQ4 2022","FQ4 2022","Currency=USD","Period=FQ","BEST_FPERIOD_OVERRIDE=FQ","FILING_STATUS=MR","SCALING_FORMAT=MLN","Sort=A","Dates=H","DateFormat=P","Fill=—","Direction=H","UseDPDF=Y")</f>
        <v>0</v>
      </c>
      <c r="U50" s="12" cm="1">
        <f t="array" ref="U50">_xll.BDH("DE US Equity","CF_NET_CASH_DISCONTINUED_OPS_FIN","FQ1 2023","FQ1 2023","Currency=USD","Period=FQ","BEST_FPERIOD_OVERRIDE=FQ","FILING_STATUS=MR","SCALING_FORMAT=MLN","Sort=A","Dates=H","DateFormat=P","Fill=—","Direction=H","UseDPDF=Y")</f>
        <v>0</v>
      </c>
      <c r="V50" s="12" cm="1">
        <f t="array" ref="V50">_xll.BDH("DE US Equity","CF_NET_CASH_DISCONTINUED_OPS_FIN","FQ2 2023","FQ2 2023","Currency=USD","Period=FQ","BEST_FPERIOD_OVERRIDE=FQ","FILING_STATUS=MR","SCALING_FORMAT=MLN","Sort=A","Dates=H","DateFormat=P","Fill=—","Direction=H","UseDPDF=Y")</f>
        <v>0</v>
      </c>
      <c r="W50" s="12" cm="1">
        <f t="array" ref="W50">_xll.BDH("DE US Equity","CF_NET_CASH_DISCONTINUED_OPS_FIN","FQ3 2023","FQ3 2023","Currency=USD","Period=FQ","BEST_FPERIOD_OVERRIDE=FQ","FILING_STATUS=MR","SCALING_FORMAT=MLN","Sort=A","Dates=H","DateFormat=P","Fill=—","Direction=H","UseDPDF=Y")</f>
        <v>0</v>
      </c>
      <c r="X50" s="12" cm="1">
        <f t="array" ref="X50">_xll.BDH("DE US Equity","CF_NET_CASH_DISCONTINUED_OPS_FIN","FQ4 2023","FQ4 2023","Currency=USD","Period=FQ","BEST_FPERIOD_OVERRIDE=FQ","FILING_STATUS=MR","SCALING_FORMAT=MLN","Sort=A","Dates=H","DateFormat=P","Fill=—","Direction=H","UseDPDF=Y")</f>
        <v>0</v>
      </c>
      <c r="Y50" s="12" cm="1">
        <f t="array" ref="Y50">_xll.BDH("DE US Equity","CF_NET_CASH_DISCONTINUED_OPS_FIN","FQ1 2024","FQ1 2024","Currency=USD","Period=FQ","BEST_FPERIOD_OVERRIDE=FQ","FILING_STATUS=MR","SCALING_FORMAT=MLN","Sort=A","Dates=H","DateFormat=P","Fill=—","Direction=H","UseDPDF=Y")</f>
        <v>0</v>
      </c>
      <c r="Z50" s="12" cm="1">
        <f t="array" ref="Z50">_xll.BDH("DE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A50" s="12" cm="1">
        <f t="array" ref="AA50">_xll.BDH("DE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B50" s="12" cm="1">
        <f t="array" ref="AB50">_xll.BDH("DE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C50" s="12" cm="1">
        <f t="array" ref="AC50">_xll.BDH("DE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D50" s="12" cm="1">
        <f t="array" ref="AD50">_xll.BDH("DE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E50" s="12" cm="1">
        <f t="array" ref="AE50">_xll.BDH("DE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F50" s="12" cm="1">
        <f t="array" ref="AF50">_xll.BDH("DE US Equity","CF_NET_CASH_DISCONTINUED_OPS_FIN","FQ4 2025","FQ4 2025","Currency=USD","Period=FQ","BEST_FPERIOD_OVERRIDE=FQ","FILING_STATUS=MR","SCALING_FORMAT=MLN","Sort=A","Dates=H","DateFormat=P","Fill=—","Direction=H","UseDPDF=Y")</f>
        <v>0</v>
      </c>
    </row>
    <row r="51" spans="1:32" x14ac:dyDescent="0.25">
      <c r="A51" s="6" t="s">
        <v>124</v>
      </c>
      <c r="B51" s="6" t="s">
        <v>144</v>
      </c>
      <c r="C51" s="15" cm="1">
        <f t="array" ref="C51">_xll.BDH("DE US Equity","CFF_ACTIVITIES_DETAILED","FQ3 2018","FQ3 2018","Currency=USD","Period=FQ","BEST_FPERIOD_OVERRIDE=FQ","FILING_STATUS=MR","SCALING_FORMAT=MLN","Sort=A","Dates=H","DateFormat=P","Fill=—","Direction=H","UseDPDF=Y")</f>
        <v>560.70000000000005</v>
      </c>
      <c r="D51" s="15" cm="1">
        <f t="array" ref="D51">_xll.BDH("DE US Equity","CFF_ACTIVITIES_DETAILED","FQ4 2018","FQ4 2018","Currency=USD","Period=FQ","BEST_FPERIOD_OVERRIDE=FQ","FILING_STATUS=MR","SCALING_FORMAT=MLN","Sort=A","Dates=H","DateFormat=P","Fill=—","Direction=H","UseDPDF=Y")</f>
        <v>-780</v>
      </c>
      <c r="E51" s="15" cm="1">
        <f t="array" ref="E51">_xll.BDH("DE US Equity","CFF_ACTIVITIES_DETAILED","FQ1 2019","FQ1 2019","Currency=USD","Period=FQ","BEST_FPERIOD_OVERRIDE=FQ","FILING_STATUS=MR","SCALING_FORMAT=MLN","Sort=A","Dates=H","DateFormat=P","Fill=—","Direction=H","UseDPDF=Y")</f>
        <v>403</v>
      </c>
      <c r="F51" s="15" cm="1">
        <f t="array" ref="F51">_xll.BDH("DE US Equity","CFF_ACTIVITIES_DETAILED","FQ2 2019","FQ2 2019","Currency=USD","Period=FQ","BEST_FPERIOD_OVERRIDE=FQ","FILING_STATUS=MR","SCALING_FORMAT=MLN","Sort=A","Dates=H","DateFormat=P","Fill=—","Direction=H","UseDPDF=Y")</f>
        <v>1070.2</v>
      </c>
      <c r="G51" s="15" cm="1">
        <f t="array" ref="G51">_xll.BDH("DE US Equity","CFF_ACTIVITIES_DETAILED","FQ3 2019","FQ3 2019","Currency=USD","Period=FQ","BEST_FPERIOD_OVERRIDE=FQ","FILING_STATUS=MR","SCALING_FORMAT=MLN","Sort=A","Dates=H","DateFormat=P","Fill=—","Direction=H","UseDPDF=Y")</f>
        <v>-257</v>
      </c>
      <c r="H51" s="15" cm="1">
        <f t="array" ref="H51">_xll.BDH("DE US Equity","CFF_ACTIVITIES_DETAILED","FQ4 2019","FQ4 2019","Currency=USD","Period=FQ","BEST_FPERIOD_OVERRIDE=FQ","FILING_STATUS=MR","SCALING_FORMAT=MLN","Sort=A","Dates=H","DateFormat=P","Fill=—","Direction=H","UseDPDF=Y")</f>
        <v>-707</v>
      </c>
      <c r="I51" s="15" cm="1">
        <f t="array" ref="I51">_xll.BDH("DE US Equity","CFF_ACTIVITIES_DETAILED","FQ1 2020","FQ1 2020","Currency=USD","Period=FQ","BEST_FPERIOD_OVERRIDE=FQ","FILING_STATUS=MR","SCALING_FORMAT=MLN","Sort=A","Dates=H","DateFormat=P","Fill=—","Direction=H","UseDPDF=Y")</f>
        <v>-763</v>
      </c>
      <c r="J51" s="15" cm="1">
        <f t="array" ref="J51">_xll.BDH("DE US Equity","CFF_ACTIVITIES_DETAILED","FQ2 2020","FQ2 2020","Currency=USD","Period=FQ","BEST_FPERIOD_OVERRIDE=FQ","FILING_STATUS=MR","SCALING_FORMAT=MLN","Sort=A","Dates=H","DateFormat=P","Fill=—","Direction=H","UseDPDF=Y")</f>
        <v>5106</v>
      </c>
      <c r="K51" s="15" cm="1">
        <f t="array" ref="K51">_xll.BDH("DE US Equity","CFF_ACTIVITIES_DETAILED","FQ3 2020","FQ3 2020","Currency=USD","Period=FQ","BEST_FPERIOD_OVERRIDE=FQ","FILING_STATUS=MR","SCALING_FORMAT=MLN","Sort=A","Dates=H","DateFormat=P","Fill=—","Direction=H","UseDPDF=Y")</f>
        <v>-2619</v>
      </c>
      <c r="L51" s="15" cm="1">
        <f t="array" ref="L51">_xll.BDH("DE US Equity","CFF_ACTIVITIES_DETAILED","FQ4 2020","FQ4 2020","Currency=USD","Period=FQ","BEST_FPERIOD_OVERRIDE=FQ","FILING_STATUS=MR","SCALING_FORMAT=MLN","Sort=A","Dates=H","DateFormat=P","Fill=—","Direction=H","UseDPDF=Y")</f>
        <v>-2704</v>
      </c>
      <c r="M51" s="15" cm="1">
        <f t="array" ref="M51">_xll.BDH("DE US Equity","CFF_ACTIVITIES_DETAILED","FQ1 2021","FQ1 2021","Currency=USD","Period=FQ","BEST_FPERIOD_OVERRIDE=FQ","FILING_STATUS=MR","SCALING_FORMAT=MLN","Sort=A","Dates=H","DateFormat=P","Fill=—","Direction=H","UseDPDF=Y")</f>
        <v>-933</v>
      </c>
      <c r="N51" s="15" cm="1">
        <f t="array" ref="N51">_xll.BDH("DE US Equity","CFF_ACTIVITIES_DETAILED","FQ2 2021","FQ2 2021","Currency=USD","Period=FQ","BEST_FPERIOD_OVERRIDE=FQ","FILING_STATUS=MR","SCALING_FORMAT=MLN","Sort=A","Dates=H","DateFormat=P","Fill=—","Direction=H","UseDPDF=Y")</f>
        <v>492</v>
      </c>
      <c r="O51" s="15" cm="1">
        <f t="array" ref="O51">_xll.BDH("DE US Equity","CFF_ACTIVITIES_DETAILED","FQ3 2021","FQ3 2021","Currency=USD","Period=FQ","BEST_FPERIOD_OVERRIDE=FQ","FILING_STATUS=MR","SCALING_FORMAT=MLN","Sort=A","Dates=H","DateFormat=P","Fill=—","Direction=H","UseDPDF=Y")</f>
        <v>-410</v>
      </c>
      <c r="P51" s="15" cm="1">
        <f t="array" ref="P51">_xll.BDH("DE US Equity","CFF_ACTIVITIES_DETAILED","FQ4 2021","FQ4 2021","Currency=USD","Period=FQ","BEST_FPERIOD_OVERRIDE=FQ","FILING_STATUS=MR","SCALING_FORMAT=MLN","Sort=A","Dates=H","DateFormat=P","Fill=—","Direction=H","UseDPDF=Y")</f>
        <v>-227</v>
      </c>
      <c r="Q51" s="15" cm="1">
        <f t="array" ref="Q51">_xll.BDH("DE US Equity","CFF_ACTIVITIES_DETAILED","FQ1 2022","FQ1 2022","Currency=USD","Period=FQ","BEST_FPERIOD_OVERRIDE=FQ","FILING_STATUS=MR","SCALING_FORMAT=MLN","Sort=A","Dates=H","DateFormat=P","Fill=—","Direction=H","UseDPDF=Y")</f>
        <v>-1577</v>
      </c>
      <c r="R51" s="15" cm="1">
        <f t="array" ref="R51">_xll.BDH("DE US Equity","CFF_ACTIVITIES_DETAILED","FQ2 2022","FQ2 2022","Currency=USD","Period=FQ","BEST_FPERIOD_OVERRIDE=FQ","FILING_STATUS=MR","SCALING_FORMAT=MLN","Sort=A","Dates=H","DateFormat=P","Fill=—","Direction=H","UseDPDF=Y")</f>
        <v>1191</v>
      </c>
      <c r="S51" s="15" cm="1">
        <f t="array" ref="S51">_xll.BDH("DE US Equity","CFF_ACTIVITIES_DETAILED","FQ3 2022","FQ3 2022","Currency=USD","Period=FQ","BEST_FPERIOD_OVERRIDE=FQ","FILING_STATUS=MR","SCALING_FORMAT=MLN","Sort=A","Dates=H","DateFormat=P","Fill=—","Direction=H","UseDPDF=Y")</f>
        <v>901</v>
      </c>
      <c r="T51" s="15" cm="1">
        <f t="array" ref="T51">_xll.BDH("DE US Equity","CFF_ACTIVITIES_DETAILED","FQ4 2022","FQ4 2022","Currency=USD","Period=FQ","BEST_FPERIOD_OVERRIDE=FQ","FILING_STATUS=MR","SCALING_FORMAT=MLN","Sort=A","Dates=H","DateFormat=P","Fill=—","Direction=H","UseDPDF=Y")</f>
        <v>311</v>
      </c>
      <c r="U51" s="15" cm="1">
        <f t="array" ref="U51">_xll.BDH("DE US Equity","CFF_ACTIVITIES_DETAILED","FQ1 2023","FQ1 2023","Currency=USD","Period=FQ","BEST_FPERIOD_OVERRIDE=FQ","FILING_STATUS=MR","SCALING_FORMAT=MLN","Sort=A","Dates=H","DateFormat=P","Fill=—","Direction=H","UseDPDF=Y")</f>
        <v>-339</v>
      </c>
      <c r="V51" s="15" cm="1">
        <f t="array" ref="V51">_xll.BDH("DE US Equity","CFF_ACTIVITIES_DETAILED","FQ2 2023","FQ2 2023","Currency=USD","Period=FQ","BEST_FPERIOD_OVERRIDE=FQ","FILING_STATUS=MR","SCALING_FORMAT=MLN","Sort=A","Dates=H","DateFormat=P","Fill=—","Direction=H","UseDPDF=Y")</f>
        <v>2356</v>
      </c>
      <c r="W51" s="15" cm="1">
        <f t="array" ref="W51">_xll.BDH("DE US Equity","CFF_ACTIVITIES_DETAILED","FQ3 2023","FQ3 2023","Currency=USD","Period=FQ","BEST_FPERIOD_OVERRIDE=FQ","FILING_STATUS=MR","SCALING_FORMAT=MLN","Sort=A","Dates=H","DateFormat=P","Fill=—","Direction=H","UseDPDF=Y")</f>
        <v>1362</v>
      </c>
      <c r="X51" s="15" cm="1">
        <f t="array" ref="X51">_xll.BDH("DE US Equity","CFF_ACTIVITIES_DETAILED","FQ4 2023","FQ4 2023","Currency=USD","Period=FQ","BEST_FPERIOD_OVERRIDE=FQ","FILING_STATUS=MR","SCALING_FORMAT=MLN","Sort=A","Dates=H","DateFormat=P","Fill=—","Direction=H","UseDPDF=Y")</f>
        <v>-571</v>
      </c>
      <c r="Y51" s="15" cm="1">
        <f t="array" ref="Y51">_xll.BDH("DE US Equity","CFF_ACTIVITIES_DETAILED","FQ1 2024","FQ1 2024","Currency=USD","Period=FQ","BEST_FPERIOD_OVERRIDE=FQ","FILING_STATUS=MR","SCALING_FORMAT=MLN","Sort=A","Dates=H","DateFormat=P","Fill=—","Direction=H","UseDPDF=Y")</f>
        <v>-2645</v>
      </c>
      <c r="Z51" s="15" cm="1">
        <f t="array" ref="Z51">_xll.BDH("DE US Equity","CFF_ACTIVITIES_DETAILED","FQ2 2024","FQ2 2024","Currency=USD","Period=FQ","BEST_FPERIOD_OVERRIDE=FQ","FILING_STATUS=MR","SCALING_FORMAT=MLN","Sort=A","Dates=H","DateFormat=P","Fill=—","Direction=H","UseDPDF=Y")</f>
        <v>1483</v>
      </c>
      <c r="AA51" s="15" cm="1">
        <f t="array" ref="AA51">_xll.BDH("DE US Equity","CFF_ACTIVITIES_DETAILED","FQ3 2024","FQ3 2024","Currency=USD","Period=FQ","BEST_FPERIOD_OVERRIDE=FQ","FILING_STATUS=MR","SCALING_FORMAT=MLN","Sort=A","Dates=H","DateFormat=P","Fill=—","Direction=H","UseDPDF=Y")</f>
        <v>373</v>
      </c>
      <c r="AB51" s="15" cm="1">
        <f t="array" ref="AB51">_xll.BDH("DE US Equity","CFF_ACTIVITIES_DETAILED","FQ4 2024","FQ4 2024","Currency=USD","Period=FQ","BEST_FPERIOD_OVERRIDE=FQ","FILING_STATUS=MR","SCALING_FORMAT=MLN","Sort=A","Dates=H","DateFormat=P","Fill=—","Direction=H","UseDPDF=Y")</f>
        <v>-1928</v>
      </c>
      <c r="AC51" s="15" cm="1">
        <f t="array" ref="AC51">_xll.BDH("DE US Equity","CFF_ACTIVITIES_DETAILED","FQ1 2025","FQ1 2025","Currency=USD","Period=FQ","BEST_FPERIOD_OVERRIDE=FQ","FILING_STATUS=MR","SCALING_FORMAT=MLN","Sort=A","Dates=H","DateFormat=P","Fill=—","Direction=H","UseDPDF=Y")</f>
        <v>-923</v>
      </c>
      <c r="AD51" s="15" cm="1">
        <f t="array" ref="AD51">_xll.BDH("DE US Equity","CFF_ACTIVITIES_DETAILED","FQ2 2025","FQ2 2025","Currency=USD","Period=FQ","BEST_FPERIOD_OVERRIDE=FQ","FILING_STATUS=MR","SCALING_FORMAT=MLN","Sort=A","Dates=H","DateFormat=P","Fill=—","Direction=H","UseDPDF=Y")</f>
        <v>102</v>
      </c>
      <c r="AE51" s="15" cm="1">
        <f t="array" ref="AE51">_xll.BDH("DE US Equity","CFF_ACTIVITIES_DETAILED","FQ3 2025","FQ3 2025","Currency=USD","Period=FQ","BEST_FPERIOD_OVERRIDE=FQ","FILING_STATUS=MR","SCALING_FORMAT=MLN","Sort=A","Dates=H","DateFormat=P","Fill=—","Direction=H","UseDPDF=Y")</f>
        <v>-736</v>
      </c>
      <c r="AF51" s="15" cm="1">
        <f t="array" ref="AF51">_xll.BDH("DE US Equity","CFF_ACTIVITIES_DETAILED","FQ4 2025","FQ4 2025","Currency=USD","Period=FQ","BEST_FPERIOD_OVERRIDE=FQ","FILING_STATUS=MR","SCALING_FORMAT=MLN","Sort=A","Dates=H","DateFormat=P","Fill=—","Direction=H","UseDPDF=Y")</f>
        <v>-3022</v>
      </c>
    </row>
    <row r="52" spans="1:32" x14ac:dyDescent="0.25">
      <c r="A52" s="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10" t="s">
        <v>145</v>
      </c>
      <c r="B53" s="10" t="s">
        <v>146</v>
      </c>
      <c r="C53" s="12" cm="1">
        <f t="array" ref="C53">_xll.BDH("DE US Equity","CF_EFFECT_FOREIGN_EXCHANGES","FQ3 2018","FQ3 2018","Currency=USD","Period=FQ","BEST_FPERIOD_OVERRIDE=FQ","FILING_STATUS=MR","SCALING_FORMAT=MLN","Sort=A","Dates=H","DateFormat=P","Fill=—","Direction=H","UseDPDF=Y")</f>
        <v>-74.900000000000006</v>
      </c>
      <c r="D53" s="12" cm="1">
        <f t="array" ref="D53">_xll.BDH("DE US Equity","CF_EFFECT_FOREIGN_EXCHANGES","FQ4 2018","FQ4 2018","Currency=USD","Period=FQ","BEST_FPERIOD_OVERRIDE=FQ","FILING_STATUS=MR","SCALING_FORMAT=MLN","Sort=A","Dates=H","DateFormat=P","Fill=—","Direction=H","UseDPDF=Y")</f>
        <v>-45</v>
      </c>
      <c r="E53" s="12" cm="1">
        <f t="array" ref="E53">_xll.BDH("DE US Equity","CF_EFFECT_FOREIGN_EXCHANGES","FQ1 2019","FQ1 2019","Currency=USD","Period=FQ","BEST_FPERIOD_OVERRIDE=FQ","FILING_STATUS=MR","SCALING_FORMAT=MLN","Sort=A","Dates=H","DateFormat=P","Fill=—","Direction=H","UseDPDF=Y")</f>
        <v>-13</v>
      </c>
      <c r="F53" s="12" cm="1">
        <f t="array" ref="F53">_xll.BDH("DE US Equity","CF_EFFECT_FOREIGN_EXCHANGES","FQ2 2019","FQ2 2019","Currency=USD","Period=FQ","BEST_FPERIOD_OVERRIDE=FQ","FILING_STATUS=MR","SCALING_FORMAT=MLN","Sort=A","Dates=H","DateFormat=P","Fill=—","Direction=H","UseDPDF=Y")</f>
        <v>-22.1</v>
      </c>
      <c r="G53" s="12" cm="1">
        <f t="array" ref="G53">_xll.BDH("DE US Equity","CF_EFFECT_FOREIGN_EXCHANGES","FQ3 2019","FQ3 2019","Currency=USD","Period=FQ","BEST_FPERIOD_OVERRIDE=FQ","FILING_STATUS=MR","SCALING_FORMAT=MLN","Sort=A","Dates=H","DateFormat=P","Fill=—","Direction=H","UseDPDF=Y")</f>
        <v>11</v>
      </c>
      <c r="H53" s="12" cm="1">
        <f t="array" ref="H53">_xll.BDH("DE US Equity","CF_EFFECT_FOREIGN_EXCHANGES","FQ4 2019","FQ4 2019","Currency=USD","Period=FQ","BEST_FPERIOD_OVERRIDE=FQ","FILING_STATUS=MR","SCALING_FORMAT=MLN","Sort=A","Dates=H","DateFormat=P","Fill=—","Direction=H","UseDPDF=Y")</f>
        <v>-32</v>
      </c>
      <c r="I53" s="12" cm="1">
        <f t="array" ref="I53">_xll.BDH("DE US Equity","CF_EFFECT_FOREIGN_EXCHANGES","FQ1 2020","FQ1 2020","Currency=USD","Period=FQ","BEST_FPERIOD_OVERRIDE=FQ","FILING_STATUS=MR","SCALING_FORMAT=MLN","Sort=A","Dates=H","DateFormat=P","Fill=—","Direction=H","UseDPDF=Y")</f>
        <v>-1</v>
      </c>
      <c r="J53" s="12" cm="1">
        <f t="array" ref="J53">_xll.BDH("DE US Equity","CF_EFFECT_FOREIGN_EXCHANGES","FQ2 2020","FQ2 2020","Currency=USD","Period=FQ","BEST_FPERIOD_OVERRIDE=FQ","FILING_STATUS=MR","SCALING_FORMAT=MLN","Sort=A","Dates=H","DateFormat=P","Fill=—","Direction=H","UseDPDF=Y")</f>
        <v>-101</v>
      </c>
      <c r="K53" s="12" cm="1">
        <f t="array" ref="K53">_xll.BDH("DE US Equity","CF_EFFECT_FOREIGN_EXCHANGES","FQ3 2020","FQ3 2020","Currency=USD","Period=FQ","BEST_FPERIOD_OVERRIDE=FQ","FILING_STATUS=MR","SCALING_FORMAT=MLN","Sort=A","Dates=H","DateFormat=P","Fill=—","Direction=H","UseDPDF=Y")</f>
        <v>182</v>
      </c>
      <c r="L53" s="12" cm="1">
        <f t="array" ref="L53">_xll.BDH("DE US Equity","CF_EFFECT_FOREIGN_EXCHANGES","FQ4 2020","FQ4 2020","Currency=USD","Period=FQ","BEST_FPERIOD_OVERRIDE=FQ","FILING_STATUS=MR","SCALING_FORMAT=MLN","Sort=A","Dates=H","DateFormat=P","Fill=—","Direction=H","UseDPDF=Y")</f>
        <v>-48</v>
      </c>
      <c r="M53" s="12" cm="1">
        <f t="array" ref="M53">_xll.BDH("DE US Equity","CF_EFFECT_FOREIGN_EXCHANGES","FQ1 2021","FQ1 2021","Currency=USD","Period=FQ","BEST_FPERIOD_OVERRIDE=FQ","FILING_STATUS=MR","SCALING_FORMAT=MLN","Sort=A","Dates=H","DateFormat=P","Fill=—","Direction=H","UseDPDF=Y")</f>
        <v>103</v>
      </c>
      <c r="N53" s="12" cm="1">
        <f t="array" ref="N53">_xll.BDH("DE US Equity","CF_EFFECT_FOREIGN_EXCHANGES","FQ2 2021","FQ2 2021","Currency=USD","Period=FQ","BEST_FPERIOD_OVERRIDE=FQ","FILING_STATUS=MR","SCALING_FORMAT=MLN","Sort=A","Dates=H","DateFormat=P","Fill=—","Direction=H","UseDPDF=Y")</f>
        <v>48</v>
      </c>
      <c r="O53" s="12" cm="1">
        <f t="array" ref="O53">_xll.BDH("DE US Equity","CF_EFFECT_FOREIGN_EXCHANGES","FQ3 2021","FQ3 2021","Currency=USD","Period=FQ","BEST_FPERIOD_OVERRIDE=FQ","FILING_STATUS=MR","SCALING_FORMAT=MLN","Sort=A","Dates=H","DateFormat=P","Fill=—","Direction=H","UseDPDF=Y")</f>
        <v>-45</v>
      </c>
      <c r="P53" s="12" cm="1">
        <f t="array" ref="P53">_xll.BDH("DE US Equity","CF_EFFECT_FOREIGN_EXCHANGES","FQ4 2021","FQ4 2021","Currency=USD","Period=FQ","BEST_FPERIOD_OVERRIDE=FQ","FILING_STATUS=MR","SCALING_FORMAT=MLN","Sort=A","Dates=H","DateFormat=P","Fill=—","Direction=H","UseDPDF=Y")</f>
        <v>-51</v>
      </c>
      <c r="Q53" s="12" cm="1">
        <f t="array" ref="Q53">_xll.BDH("DE US Equity","CF_EFFECT_FOREIGN_EXCHANGES","FQ1 2022","FQ1 2022","Currency=USD","Period=FQ","BEST_FPERIOD_OVERRIDE=FQ","FILING_STATUS=MR","SCALING_FORMAT=MLN","Sort=A","Dates=H","DateFormat=P","Fill=—","Direction=H","UseDPDF=Y")</f>
        <v>-74</v>
      </c>
      <c r="R53" s="12" cm="1">
        <f t="array" ref="R53">_xll.BDH("DE US Equity","CF_EFFECT_FOREIGN_EXCHANGES","FQ2 2022","FQ2 2022","Currency=USD","Period=FQ","BEST_FPERIOD_OVERRIDE=FQ","FILING_STATUS=MR","SCALING_FORMAT=MLN","Sort=A","Dates=H","DateFormat=P","Fill=—","Direction=H","UseDPDF=Y")</f>
        <v>-36</v>
      </c>
      <c r="S53" s="12" cm="1">
        <f t="array" ref="S53">_xll.BDH("DE US Equity","CF_EFFECT_FOREIGN_EXCHANGES","FQ3 2022","FQ3 2022","Currency=USD","Period=FQ","BEST_FPERIOD_OVERRIDE=FQ","FILING_STATUS=MR","SCALING_FORMAT=MLN","Sort=A","Dates=H","DateFormat=P","Fill=—","Direction=H","UseDPDF=Y")</f>
        <v>-33</v>
      </c>
      <c r="T53" s="12" cm="1">
        <f t="array" ref="T53">_xll.BDH("DE US Equity","CF_EFFECT_FOREIGN_EXCHANGES","FQ4 2022","FQ4 2022","Currency=USD","Period=FQ","BEST_FPERIOD_OVERRIDE=FQ","FILING_STATUS=MR","SCALING_FORMAT=MLN","Sort=A","Dates=H","DateFormat=P","Fill=—","Direction=H","UseDPDF=Y")</f>
        <v>-81</v>
      </c>
      <c r="U53" s="12" cm="1">
        <f t="array" ref="U53">_xll.BDH("DE US Equity","CF_EFFECT_FOREIGN_EXCHANGES","FQ1 2023","FQ1 2023","Currency=USD","Period=FQ","BEST_FPERIOD_OVERRIDE=FQ","FILING_STATUS=MR","SCALING_FORMAT=MLN","Sort=A","Dates=H","DateFormat=P","Fill=—","Direction=H","UseDPDF=Y")</f>
        <v>62</v>
      </c>
      <c r="V53" s="12" cm="1">
        <f t="array" ref="V53">_xll.BDH("DE US Equity","CF_EFFECT_FOREIGN_EXCHANGES","FQ2 2023","FQ2 2023","Currency=USD","Period=FQ","BEST_FPERIOD_OVERRIDE=FQ","FILING_STATUS=MR","SCALING_FORMAT=MLN","Sort=A","Dates=H","DateFormat=P","Fill=—","Direction=H","UseDPDF=Y")</f>
        <v>8</v>
      </c>
      <c r="W53" s="12" cm="1">
        <f t="array" ref="W53">_xll.BDH("DE US Equity","CF_EFFECT_FOREIGN_EXCHANGES","FQ3 2023","FQ3 2023","Currency=USD","Period=FQ","BEST_FPERIOD_OVERRIDE=FQ","FILING_STATUS=MR","SCALING_FORMAT=MLN","Sort=A","Dates=H","DateFormat=P","Fill=—","Direction=H","UseDPDF=Y")</f>
        <v>55</v>
      </c>
      <c r="X53" s="12" cm="1">
        <f t="array" ref="X53">_xll.BDH("DE US Equity","CF_EFFECT_FOREIGN_EXCHANGES","FQ4 2023","FQ4 2023","Currency=USD","Period=FQ","BEST_FPERIOD_OVERRIDE=FQ","FILING_STATUS=MR","SCALING_FORMAT=MLN","Sort=A","Dates=H","DateFormat=P","Fill=—","Direction=H","UseDPDF=Y")</f>
        <v>-94</v>
      </c>
      <c r="Y53" s="12" cm="1">
        <f t="array" ref="Y53">_xll.BDH("DE US Equity","CF_EFFECT_FOREIGN_EXCHANGES","FQ1 2024","FQ1 2024","Currency=USD","Period=FQ","BEST_FPERIOD_OVERRIDE=FQ","FILING_STATUS=MR","SCALING_FORMAT=MLN","Sort=A","Dates=H","DateFormat=P","Fill=—","Direction=H","UseDPDF=Y")</f>
        <v>16</v>
      </c>
      <c r="Z53" s="12" cm="1">
        <f t="array" ref="Z53">_xll.BDH("DE US Equity","CF_EFFECT_FOREIGN_EXCHANGES","FQ2 2024","FQ2 2024","Currency=USD","Period=FQ","BEST_FPERIOD_OVERRIDE=FQ","FILING_STATUS=MR","SCALING_FORMAT=MLN","Sort=A","Dates=H","DateFormat=P","Fill=—","Direction=H","UseDPDF=Y")</f>
        <v>-21</v>
      </c>
      <c r="AA53" s="12" cm="1">
        <f t="array" ref="AA53">_xll.BDH("DE US Equity","CF_EFFECT_FOREIGN_EXCHANGES","FQ3 2024","FQ3 2024","Currency=USD","Period=FQ","BEST_FPERIOD_OVERRIDE=FQ","FILING_STATUS=MR","SCALING_FORMAT=MLN","Sort=A","Dates=H","DateFormat=P","Fill=—","Direction=H","UseDPDF=Y")</f>
        <v>-1</v>
      </c>
      <c r="AB53" s="12" cm="1">
        <f t="array" ref="AB53">_xll.BDH("DE US Equity","CF_EFFECT_FOREIGN_EXCHANGES","FQ4 2024","FQ4 2024","Currency=USD","Period=FQ","BEST_FPERIOD_OVERRIDE=FQ","FILING_STATUS=MR","SCALING_FORMAT=MLN","Sort=A","Dates=H","DateFormat=P","Fill=—","Direction=H","UseDPDF=Y")</f>
        <v>-31</v>
      </c>
      <c r="AC53" s="12" cm="1">
        <f t="array" ref="AC53">_xll.BDH("DE US Equity","CF_EFFECT_FOREIGN_EXCHANGES","FQ1 2025","FQ1 2025","Currency=USD","Period=FQ","BEST_FPERIOD_OVERRIDE=FQ","FILING_STATUS=MR","SCALING_FORMAT=MLN","Sort=A","Dates=H","DateFormat=P","Fill=—","Direction=H","UseDPDF=Y")</f>
        <v>-87</v>
      </c>
      <c r="AD53" s="12" cm="1">
        <f t="array" ref="AD53">_xll.BDH("DE US Equity","CF_EFFECT_FOREIGN_EXCHANGES","FQ2 2025","FQ2 2025","Currency=USD","Period=FQ","BEST_FPERIOD_OVERRIDE=FQ","FILING_STATUS=MR","SCALING_FORMAT=MLN","Sort=A","Dates=H","DateFormat=P","Fill=—","Direction=H","UseDPDF=Y")</f>
        <v>107</v>
      </c>
      <c r="AE53" s="12" cm="1">
        <f t="array" ref="AE53">_xll.BDH("DE US Equity","CF_EFFECT_FOREIGN_EXCHANGES","FQ3 2025","FQ3 2025","Currency=USD","Period=FQ","BEST_FPERIOD_OVERRIDE=FQ","FILING_STATUS=MR","SCALING_FORMAT=MLN","Sort=A","Dates=H","DateFormat=P","Fill=—","Direction=H","UseDPDF=Y")</f>
        <v>88</v>
      </c>
      <c r="AF53" s="12" cm="1">
        <f t="array" ref="AF53">_xll.BDH("DE US Equity","CF_EFFECT_FOREIGN_EXCHANGES","FQ4 2025","FQ4 2025","Currency=USD","Period=FQ","BEST_FPERIOD_OVERRIDE=FQ","FILING_STATUS=MR","SCALING_FORMAT=MLN","Sort=A","Dates=H","DateFormat=P","Fill=—","Direction=H","UseDPDF=Y")</f>
        <v>-31</v>
      </c>
    </row>
    <row r="54" spans="1:32" x14ac:dyDescent="0.25">
      <c r="A54" s="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6" t="s">
        <v>147</v>
      </c>
      <c r="B55" s="6" t="s">
        <v>148</v>
      </c>
      <c r="C55" s="15" cm="1">
        <f t="array" ref="C55">_xll.BDH("DE US Equity","CF_NET_CHNG_CASH","FQ3 2018","FQ3 2018","Currency=USD","Period=FQ","BEST_FPERIOD_OVERRIDE=FQ","FILING_STATUS=MR","SCALING_FORMAT=MLN","Sort=A","Dates=H","DateFormat=P","Fill=—","Direction=H","UseDPDF=Y")</f>
        <v>-300.39999999999998</v>
      </c>
      <c r="D55" s="15" cm="1">
        <f t="array" ref="D55">_xll.BDH("DE US Equity","CF_NET_CHNG_CASH","FQ4 2018","FQ4 2018","Currency=USD","Period=FQ","BEST_FPERIOD_OVERRIDE=FQ","FILING_STATUS=MR","SCALING_FORMAT=MLN","Sort=A","Dates=H","DateFormat=P","Fill=—","Direction=H","UseDPDF=Y")</f>
        <v>-14</v>
      </c>
      <c r="E55" s="15" cm="1">
        <f t="array" ref="E55">_xll.BDH("DE US Equity","CF_NET_CHNG_CASH","FQ1 2019","FQ1 2019","Currency=USD","Period=FQ","BEST_FPERIOD_OVERRIDE=FQ","FILING_STATUS=MR","SCALING_FORMAT=MLN","Sort=A","Dates=H","DateFormat=P","Fill=—","Direction=H","UseDPDF=Y")</f>
        <v>-292</v>
      </c>
      <c r="F55" s="15" cm="1">
        <f t="array" ref="F55">_xll.BDH("DE US Equity","CF_NET_CHNG_CASH","FQ2 2019","FQ2 2019","Currency=USD","Period=FQ","BEST_FPERIOD_OVERRIDE=FQ","FILING_STATUS=MR","SCALING_FORMAT=MLN","Sort=A","Dates=H","DateFormat=P","Fill=—","Direction=H","UseDPDF=Y")</f>
        <v>-136.80000000000001</v>
      </c>
      <c r="G55" s="15" cm="1">
        <f t="array" ref="G55">_xll.BDH("DE US Equity","CF_NET_CHNG_CASH","FQ3 2019","FQ3 2019","Currency=USD","Period=FQ","BEST_FPERIOD_OVERRIDE=FQ","FILING_STATUS=MR","SCALING_FORMAT=MLN","Sort=A","Dates=H","DateFormat=P","Fill=—","Direction=H","UseDPDF=Y")</f>
        <v>-104</v>
      </c>
      <c r="H55" s="15" cm="1">
        <f t="array" ref="H55">_xll.BDH("DE US Equity","CF_NET_CHNG_CASH","FQ4 2019","FQ4 2019","Currency=USD","Period=FQ","BEST_FPERIOD_OVERRIDE=FQ","FILING_STATUS=MR","SCALING_FORMAT=MLN","Sort=A","Dates=H","DateFormat=P","Fill=—","Direction=H","UseDPDF=Y")</f>
        <v>474</v>
      </c>
      <c r="I55" s="15" cm="1">
        <f t="array" ref="I55">_xll.BDH("DE US Equity","CF_NET_CHNG_CASH","FQ1 2020","FQ1 2020","Currency=USD","Period=FQ","BEST_FPERIOD_OVERRIDE=FQ","FILING_STATUS=MR","SCALING_FORMAT=MLN","Sort=A","Dates=H","DateFormat=P","Fill=—","Direction=H","UseDPDF=Y")</f>
        <v>-246</v>
      </c>
      <c r="J55" s="15" cm="1">
        <f t="array" ref="J55">_xll.BDH("DE US Equity","CF_NET_CHNG_CASH","FQ2 2020","FQ2 2020","Currency=USD","Period=FQ","BEST_FPERIOD_OVERRIDE=FQ","FILING_STATUS=MR","SCALING_FORMAT=MLN","Sort=A","Dates=H","DateFormat=P","Fill=—","Direction=H","UseDPDF=Y")</f>
        <v>5293</v>
      </c>
      <c r="K55" s="15" cm="1">
        <f t="array" ref="K55">_xll.BDH("DE US Equity","CF_NET_CHNG_CASH","FQ3 2020","FQ3 2020","Currency=USD","Period=FQ","BEST_FPERIOD_OVERRIDE=FQ","FILING_STATUS=MR","SCALING_FORMAT=MLN","Sort=A","Dates=H","DateFormat=P","Fill=—","Direction=H","UseDPDF=Y")</f>
        <v>-703</v>
      </c>
      <c r="L55" s="15" cm="1">
        <f t="array" ref="L55">_xll.BDH("DE US Equity","CF_NET_CHNG_CASH","FQ4 2020","FQ4 2020","Currency=USD","Period=FQ","BEST_FPERIOD_OVERRIDE=FQ","FILING_STATUS=MR","SCALING_FORMAT=MLN","Sort=A","Dates=H","DateFormat=P","Fill=—","Direction=H","UseDPDF=Y")</f>
        <v>-1128</v>
      </c>
      <c r="M55" s="15" cm="1">
        <f t="array" ref="M55">_xll.BDH("DE US Equity","CF_NET_CHNG_CASH","FQ1 2021","FQ1 2021","Currency=USD","Period=FQ","BEST_FPERIOD_OVERRIDE=FQ","FILING_STATUS=MR","SCALING_FORMAT=MLN","Sort=A","Dates=H","DateFormat=P","Fill=—","Direction=H","UseDPDF=Y")</f>
        <v>-108</v>
      </c>
      <c r="N55" s="15" cm="1">
        <f t="array" ref="N55">_xll.BDH("DE US Equity","CF_NET_CHNG_CASH","FQ2 2021","FQ2 2021","Currency=USD","Period=FQ","BEST_FPERIOD_OVERRIDE=FQ","FILING_STATUS=MR","SCALING_FORMAT=MLN","Sort=A","Dates=H","DateFormat=P","Fill=—","Direction=H","UseDPDF=Y")</f>
        <v>217</v>
      </c>
      <c r="O55" s="15" cm="1">
        <f t="array" ref="O55">_xll.BDH("DE US Equity","CF_NET_CHNG_CASH","FQ3 2021","FQ3 2021","Currency=USD","Period=FQ","BEST_FPERIOD_OVERRIDE=FQ","FILING_STATUS=MR","SCALING_FORMAT=MLN","Sort=A","Dates=H","DateFormat=P","Fill=—","Direction=H","UseDPDF=Y")</f>
        <v>358</v>
      </c>
      <c r="P55" s="15" cm="1">
        <f t="array" ref="P55">_xll.BDH("DE US Equity","CF_NET_CHNG_CASH","FQ4 2021","FQ4 2021","Currency=USD","Period=FQ","BEST_FPERIOD_OVERRIDE=FQ","FILING_STATUS=MR","SCALING_FORMAT=MLN","Sort=A","Dates=H","DateFormat=P","Fill=—","Direction=H","UseDPDF=Y")</f>
        <v>486</v>
      </c>
      <c r="Q55" s="15" cm="1">
        <f t="array" ref="Q55">_xll.BDH("DE US Equity","CF_NET_CHNG_CASH","FQ1 2022","FQ1 2022","Currency=USD","Period=FQ","BEST_FPERIOD_OVERRIDE=FQ","FILING_STATUS=MR","SCALING_FORMAT=MLN","Sort=A","Dates=H","DateFormat=P","Fill=—","Direction=H","UseDPDF=Y")</f>
        <v>-3556</v>
      </c>
      <c r="R55" s="15" cm="1">
        <f t="array" ref="R55">_xll.BDH("DE US Equity","CF_NET_CHNG_CASH","FQ2 2022","FQ2 2022","Currency=USD","Period=FQ","BEST_FPERIOD_OVERRIDE=FQ","FILING_STATUS=MR","SCALING_FORMAT=MLN","Sort=A","Dates=H","DateFormat=P","Fill=—","Direction=H","UseDPDF=Y")</f>
        <v>-590</v>
      </c>
      <c r="S55" s="15" cm="1">
        <f t="array" ref="S55">_xll.BDH("DE US Equity","CF_NET_CHNG_CASH","FQ3 2022","FQ3 2022","Currency=USD","Period=FQ","BEST_FPERIOD_OVERRIDE=FQ","FILING_STATUS=MR","SCALING_FORMAT=MLN","Sort=A","Dates=H","DateFormat=P","Fill=—","Direction=H","UseDPDF=Y")</f>
        <v>506</v>
      </c>
      <c r="T55" s="15" cm="1">
        <f t="array" ref="T55">_xll.BDH("DE US Equity","CF_NET_CHNG_CASH","FQ4 2022","FQ4 2022","Currency=USD","Period=FQ","BEST_FPERIOD_OVERRIDE=FQ","FILING_STATUS=MR","SCALING_FORMAT=MLN","Sort=A","Dates=H","DateFormat=P","Fill=—","Direction=H","UseDPDF=Y")</f>
        <v>456</v>
      </c>
      <c r="U55" s="15" cm="1">
        <f t="array" ref="U55">_xll.BDH("DE US Equity","CF_NET_CHNG_CASH","FQ1 2023","FQ1 2023","Currency=USD","Period=FQ","BEST_FPERIOD_OVERRIDE=FQ","FILING_STATUS=MR","SCALING_FORMAT=MLN","Sort=A","Dates=H","DateFormat=P","Fill=—","Direction=H","UseDPDF=Y")</f>
        <v>-763</v>
      </c>
      <c r="V55" s="15" cm="1">
        <f t="array" ref="V55">_xll.BDH("DE US Equity","CF_NET_CHNG_CASH","FQ2 2023","FQ2 2023","Currency=USD","Period=FQ","BEST_FPERIOD_OVERRIDE=FQ","FILING_STATUS=MR","SCALING_FORMAT=MLN","Sort=A","Dates=H","DateFormat=P","Fill=—","Direction=H","UseDPDF=Y")</f>
        <v>1209</v>
      </c>
      <c r="W55" s="15" cm="1">
        <f t="array" ref="W55">_xll.BDH("DE US Equity","CF_NET_CHNG_CASH","FQ3 2023","FQ3 2023","Currency=USD","Period=FQ","BEST_FPERIOD_OVERRIDE=FQ","FILING_STATUS=MR","SCALING_FORMAT=MLN","Sort=A","Dates=H","DateFormat=P","Fill=—","Direction=H","UseDPDF=Y")</f>
        <v>1391</v>
      </c>
      <c r="X55" s="15" cm="1">
        <f t="array" ref="X55">_xll.BDH("DE US Equity","CF_NET_CHNG_CASH","FQ4 2023","FQ4 2023","Currency=USD","Period=FQ","BEST_FPERIOD_OVERRIDE=FQ","FILING_STATUS=MR","SCALING_FORMAT=MLN","Sort=A","Dates=H","DateFormat=P","Fill=—","Direction=H","UseDPDF=Y")</f>
        <v>842</v>
      </c>
      <c r="Y55" s="15" cm="1">
        <f t="array" ref="Y55">_xll.BDH("DE US Equity","CF_NET_CHNG_CASH","FQ1 2024","FQ1 2024","Currency=USD","Period=FQ","BEST_FPERIOD_OVERRIDE=FQ","FILING_STATUS=MR","SCALING_FORMAT=MLN","Sort=A","Dates=H","DateFormat=P","Fill=—","Direction=H","UseDPDF=Y")</f>
        <v>-2320</v>
      </c>
      <c r="Z55" s="15" cm="1">
        <f t="array" ref="Z55">_xll.BDH("DE US Equity","CF_NET_CHNG_CASH","FQ2 2024","FQ2 2024","Currency=USD","Period=FQ","BEST_FPERIOD_OVERRIDE=FQ","FILING_STATUS=MR","SCALING_FORMAT=MLN","Sort=A","Dates=H","DateFormat=P","Fill=—","Direction=H","UseDPDF=Y")</f>
        <v>427</v>
      </c>
      <c r="AA55" s="15" cm="1">
        <f t="array" ref="AA55">_xll.BDH("DE US Equity","CF_NET_CHNG_CASH","FQ3 2024","FQ3 2024","Currency=USD","Period=FQ","BEST_FPERIOD_OVERRIDE=FQ","FILING_STATUS=MR","SCALING_FORMAT=MLN","Sort=A","Dates=H","DateFormat=P","Fill=—","Direction=H","UseDPDF=Y")</f>
        <v>1566</v>
      </c>
      <c r="AB55" s="15" cm="1">
        <f t="array" ref="AB55">_xll.BDH("DE US Equity","CF_NET_CHNG_CASH","FQ4 2024","FQ4 2024","Currency=USD","Period=FQ","BEST_FPERIOD_OVERRIDE=FQ","FILING_STATUS=MR","SCALING_FORMAT=MLN","Sort=A","Dates=H","DateFormat=P","Fill=—","Direction=H","UseDPDF=Y")</f>
        <v>340</v>
      </c>
      <c r="AC55" s="15" cm="1">
        <f t="array" ref="AC55">_xll.BDH("DE US Equity","CF_NET_CHNG_CASH","FQ1 2025","FQ1 2025","Currency=USD","Period=FQ","BEST_FPERIOD_OVERRIDE=FQ","FILING_STATUS=MR","SCALING_FORMAT=MLN","Sort=A","Dates=H","DateFormat=P","Fill=—","Direction=H","UseDPDF=Y")</f>
        <v>-726</v>
      </c>
      <c r="AD55" s="15" cm="1">
        <f t="array" ref="AD55">_xll.BDH("DE US Equity","CF_NET_CHNG_CASH","FQ2 2025","FQ2 2025","Currency=USD","Period=FQ","BEST_FPERIOD_OVERRIDE=FQ","FILING_STATUS=MR","SCALING_FORMAT=MLN","Sort=A","Dates=H","DateFormat=P","Fill=—","Direction=H","UseDPDF=Y")</f>
        <v>1272</v>
      </c>
      <c r="AE55" s="15" cm="1">
        <f t="array" ref="AE55">_xll.BDH("DE US Equity","CF_NET_CHNG_CASH","FQ3 2025","FQ3 2025","Currency=USD","Period=FQ","BEST_FPERIOD_OVERRIDE=FQ","FILING_STATUS=MR","SCALING_FORMAT=MLN","Sort=A","Dates=H","DateFormat=P","Fill=—","Direction=H","UseDPDF=Y")</f>
        <v>668</v>
      </c>
      <c r="AF55" s="15" cm="1">
        <f t="array" ref="AF55">_xll.BDH("DE US Equity","CF_NET_CHNG_CASH","FQ4 2025","FQ4 2025","Currency=USD","Period=FQ","BEST_FPERIOD_OVERRIDE=FQ","FILING_STATUS=MR","SCALING_FORMAT=MLN","Sort=A","Dates=H","DateFormat=P","Fill=—","Direction=H","UseDPDF=Y")</f>
        <v>-314</v>
      </c>
    </row>
    <row r="56" spans="1:3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6" t="s"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25">
      <c r="A59" s="10" t="s">
        <v>149</v>
      </c>
      <c r="B59" s="10" t="s">
        <v>149</v>
      </c>
      <c r="C59" s="12" cm="1">
        <f t="array" ref="C59">_xll.BDH("DE US Equity","EBITDA","FQ3 2018","FQ3 2018","Currency=USD","Period=FQ","BEST_FPERIOD_OVERRIDE=FQ","FILING_STATUS=MR","SCALING_FORMAT=MLN","FA_ADJUSTED=GAAP","Sort=A","Dates=H","DateFormat=P","Fill=—","Direction=H","UseDPDF=Y")</f>
        <v>1975.2</v>
      </c>
      <c r="D59" s="12" cm="1">
        <f t="array" ref="D59">_xll.BDH("DE US Equity","EBITDA","FQ4 2018","FQ4 2018","Currency=USD","Period=FQ","BEST_FPERIOD_OVERRIDE=FQ","FILING_STATUS=MR","SCALING_FORMAT=MLN","FA_ADJUSTED=GAAP","Sort=A","Dates=H","DateFormat=P","Fill=—","Direction=H","UseDPDF=Y")</f>
        <v>1783</v>
      </c>
      <c r="E59" s="12" cm="1">
        <f t="array" ref="E59">_xll.BDH("DE US Equity","EBITDA","FQ1 2019","FQ1 2019","Currency=USD","Period=FQ","BEST_FPERIOD_OVERRIDE=FQ","FILING_STATUS=MR","SCALING_FORMAT=MLN","FA_ADJUSTED=GAAP","Sort=A","Dates=H","DateFormat=P","Fill=—","Direction=H","UseDPDF=Y")</f>
        <v>1533</v>
      </c>
      <c r="F59" s="12" cm="1">
        <f t="array" ref="F59">_xll.BDH("DE US Equity","EBITDA","FQ2 2019","FQ2 2019","Currency=USD","Period=FQ","BEST_FPERIOD_OVERRIDE=FQ","FILING_STATUS=MR","SCALING_FORMAT=MLN","FA_ADJUSTED=GAAP","Sort=A","Dates=H","DateFormat=P","Fill=—","Direction=H","UseDPDF=Y")</f>
        <v>2336.6999999999998</v>
      </c>
      <c r="G59" s="12" cm="1">
        <f t="array" ref="G59">_xll.BDH("DE US Equity","EBITDA","FQ3 2019","FQ3 2019","Currency=USD","Period=FQ","BEST_FPERIOD_OVERRIDE=FQ","FILING_STATUS=MR","SCALING_FORMAT=MLN","FA_ADJUSTED=GAAP","Sort=A","Dates=H","DateFormat=P","Fill=—","Direction=H","UseDPDF=Y")</f>
        <v>1993</v>
      </c>
      <c r="H59" s="12" cm="1">
        <f t="array" ref="H59">_xll.BDH("DE US Equity","EBITDA","FQ4 2019","FQ4 2019","Currency=USD","Period=FQ","BEST_FPERIOD_OVERRIDE=FQ","FILING_STATUS=MR","SCALING_FORMAT=MLN","FA_ADJUSTED=GAAP","Sort=A","Dates=H","DateFormat=P","Fill=—","Direction=H","UseDPDF=Y")</f>
        <v>1710</v>
      </c>
      <c r="I59" s="12" cm="1">
        <f t="array" ref="I59">_xll.BDH("DE US Equity","EBITDA","FQ1 2020","FQ1 2020","Currency=USD","Period=FQ","BEST_FPERIOD_OVERRIDE=FQ","FILING_STATUS=MR","SCALING_FORMAT=MLN","FA_ADJUSTED=GAAP","Sort=A","Dates=H","DateFormat=P","Fill=—","Direction=H","UseDPDF=Y")</f>
        <v>1475</v>
      </c>
      <c r="J59" s="12" cm="1">
        <f t="array" ref="J59">_xll.BDH("DE US Equity","EBITDA","FQ2 2020","FQ2 2020","Currency=USD","Period=FQ","BEST_FPERIOD_OVERRIDE=FQ","FILING_STATUS=MR","SCALING_FORMAT=MLN","FA_ADJUSTED=GAAP","Sort=A","Dates=H","DateFormat=P","Fill=—","Direction=H","UseDPDF=Y")</f>
        <v>1830</v>
      </c>
      <c r="K59" s="12" cm="1">
        <f t="array" ref="K59">_xll.BDH("DE US Equity","EBITDA","FQ3 2020","FQ3 2020","Currency=USD","Period=FQ","BEST_FPERIOD_OVERRIDE=FQ","FILING_STATUS=MR","SCALING_FORMAT=MLN","FA_ADJUSTED=GAAP","Sort=A","Dates=H","DateFormat=P","Fill=—","Direction=H","UseDPDF=Y")</f>
        <v>2136</v>
      </c>
      <c r="L59" s="12" cm="1">
        <f t="array" ref="L59">_xll.BDH("DE US Equity","EBITDA","FQ4 2020","FQ4 2020","Currency=USD","Period=FQ","BEST_FPERIOD_OVERRIDE=FQ","FILING_STATUS=MR","SCALING_FORMAT=MLN","FA_ADJUSTED=GAAP","Sort=A","Dates=H","DateFormat=P","Fill=—","Direction=H","UseDPDF=Y")</f>
        <v>1931</v>
      </c>
      <c r="M59" s="12" cm="1">
        <f t="array" ref="M59">_xll.BDH("DE US Equity","EBITDA","FQ1 2021","FQ1 2021","Currency=USD","Period=FQ","BEST_FPERIOD_OVERRIDE=FQ","FILING_STATUS=MR","SCALING_FORMAT=MLN","FA_ADJUSTED=GAAP","Sort=A","Dates=H","DateFormat=P","Fill=—","Direction=H","UseDPDF=Y")</f>
        <v>2337</v>
      </c>
      <c r="N59" s="12" cm="1">
        <f t="array" ref="N59">_xll.BDH("DE US Equity","EBITDA","FQ2 2021","FQ2 2021","Currency=USD","Period=FQ","BEST_FPERIOD_OVERRIDE=FQ","FILING_STATUS=MR","SCALING_FORMAT=MLN","FA_ADJUSTED=GAAP","Sort=A","Dates=H","DateFormat=P","Fill=—","Direction=H","UseDPDF=Y")</f>
        <v>3096</v>
      </c>
      <c r="O59" s="12" cm="1">
        <f t="array" ref="O59">_xll.BDH("DE US Equity","EBITDA","FQ3 2021","FQ3 2021","Currency=USD","Period=FQ","BEST_FPERIOD_OVERRIDE=FQ","FILING_STATUS=MR","SCALING_FORMAT=MLN","FA_ADJUSTED=GAAP","Sort=A","Dates=H","DateFormat=P","Fill=—","Direction=H","UseDPDF=Y")</f>
        <v>2909</v>
      </c>
      <c r="P59" s="12" cm="1">
        <f t="array" ref="P59">_xll.BDH("DE US Equity","EBITDA","FQ4 2021","FQ4 2021","Currency=USD","Period=FQ","BEST_FPERIOD_OVERRIDE=FQ","FILING_STATUS=MR","SCALING_FORMAT=MLN","FA_ADJUSTED=GAAP","Sort=A","Dates=H","DateFormat=P","Fill=—","Direction=H","UseDPDF=Y")</f>
        <v>2304</v>
      </c>
      <c r="Q59" s="12" cm="1">
        <f t="array" ref="Q59">_xll.BDH("DE US Equity","EBITDA","FQ1 2022","FQ1 2022","Currency=USD","Period=FQ","BEST_FPERIOD_OVERRIDE=FQ","FILING_STATUS=MR","SCALING_FORMAT=MLN","FA_ADJUSTED=GAAP","Sort=A","Dates=H","DateFormat=P","Fill=—","Direction=H","UseDPDF=Y")</f>
        <v>1866</v>
      </c>
      <c r="R59" s="12" cm="1">
        <f t="array" ref="R59">_xll.BDH("DE US Equity","EBITDA","FQ2 2022","FQ2 2022","Currency=USD","Period=FQ","BEST_FPERIOD_OVERRIDE=FQ","FILING_STATUS=MR","SCALING_FORMAT=MLN","FA_ADJUSTED=GAAP","Sort=A","Dates=H","DateFormat=P","Fill=—","Direction=H","UseDPDF=Y")</f>
        <v>3186</v>
      </c>
      <c r="S59" s="12" cm="1">
        <f t="array" ref="S59">_xll.BDH("DE US Equity","EBITDA","FQ3 2022","FQ3 2022","Currency=USD","Period=FQ","BEST_FPERIOD_OVERRIDE=FQ","FILING_STATUS=MR","SCALING_FORMAT=MLN","FA_ADJUSTED=GAAP","Sort=A","Dates=H","DateFormat=P","Fill=—","Direction=H","UseDPDF=Y")</f>
        <v>3345</v>
      </c>
      <c r="T59" s="12" cm="1">
        <f t="array" ref="T59">_xll.BDH("DE US Equity","EBITDA","FQ4 2022","FQ4 2022","Currency=USD","Period=FQ","BEST_FPERIOD_OVERRIDE=FQ","FILING_STATUS=MR","SCALING_FORMAT=MLN","FA_ADJUSTED=GAAP","Sort=A","Dates=H","DateFormat=P","Fill=—","Direction=H","UseDPDF=Y")</f>
        <v>3686</v>
      </c>
      <c r="U59" s="12" cm="1">
        <f t="array" ref="U59">_xll.BDH("DE US Equity","EBITDA","FQ1 2023","FQ1 2023","Currency=USD","Period=FQ","BEST_FPERIOD_OVERRIDE=FQ","FILING_STATUS=MR","SCALING_FORMAT=MLN","FA_ADJUSTED=GAAP","Sort=A","Dates=H","DateFormat=P","Fill=—","Direction=H","UseDPDF=Y")</f>
        <v>3466</v>
      </c>
      <c r="V59" s="12" cm="1">
        <f t="array" ref="V59">_xll.BDH("DE US Equity","EBITDA","FQ2 2023","FQ2 2023","Currency=USD","Period=FQ","BEST_FPERIOD_OVERRIDE=FQ","FILING_STATUS=MR","SCALING_FORMAT=MLN","FA_ADJUSTED=GAAP","Sort=A","Dates=H","DateFormat=P","Fill=—","Direction=H","UseDPDF=Y")</f>
        <v>4918</v>
      </c>
      <c r="W59" s="12" cm="1">
        <f t="array" ref="W59">_xll.BDH("DE US Equity","EBITDA","FQ3 2023","FQ3 2023","Currency=USD","Period=FQ","BEST_FPERIOD_OVERRIDE=FQ","FILING_STATUS=MR","SCALING_FORMAT=MLN","FA_ADJUSTED=GAAP","Sort=A","Dates=H","DateFormat=P","Fill=—","Direction=H","UseDPDF=Y")</f>
        <v>4761</v>
      </c>
      <c r="X59" s="12" cm="1">
        <f t="array" ref="X59">_xll.BDH("DE US Equity","EBITDA","FQ4 2023","FQ4 2023","Currency=USD","Period=FQ","BEST_FPERIOD_OVERRIDE=FQ","FILING_STATUS=MR","SCALING_FORMAT=MLN","FA_ADJUSTED=GAAP","Sort=A","Dates=H","DateFormat=P","Fill=—","Direction=H","UseDPDF=Y")</f>
        <v>4331</v>
      </c>
      <c r="Y59" s="12" cm="1">
        <f t="array" ref="Y59">_xll.BDH("DE US Equity","EBITDA","FQ1 2024","FQ1 2024","Currency=USD","Period=FQ","BEST_FPERIOD_OVERRIDE=FQ","FILING_STATUS=MR","SCALING_FORMAT=MLN","FA_ADJUSTED=GAAP","Sort=A","Dates=H","DateFormat=P","Fill=—","Direction=H","UseDPDF=Y")</f>
        <v>3537</v>
      </c>
      <c r="Z59" s="12" cm="1">
        <f t="array" ref="Z59">_xll.BDH("DE US Equity","EBITDA","FQ2 2024","FQ2 2024","Currency=USD","Period=FQ","BEST_FPERIOD_OVERRIDE=FQ","FILING_STATUS=MR","SCALING_FORMAT=MLN","FA_ADJUSTED=GAAP","Sort=A","Dates=H","DateFormat=P","Fill=—","Direction=H","UseDPDF=Y")</f>
        <v>4478</v>
      </c>
      <c r="AA59" s="12" cm="1">
        <f t="array" ref="AA59">_xll.BDH("DE US Equity","EBITDA","FQ3 2024","FQ3 2024","Currency=USD","Period=FQ","BEST_FPERIOD_OVERRIDE=FQ","FILING_STATUS=MR","SCALING_FORMAT=MLN","FA_ADJUSTED=GAAP","Sort=A","Dates=H","DateFormat=P","Fill=—","Direction=H","UseDPDF=Y")</f>
        <v>3748</v>
      </c>
      <c r="AB59" s="12" cm="1">
        <f t="array" ref="AB59">_xll.BDH("DE US Equity","EBITDA","FQ4 2024","FQ4 2024","Currency=USD","Period=FQ","BEST_FPERIOD_OVERRIDE=FQ","FILING_STATUS=MR","SCALING_FORMAT=MLN","FA_ADJUSTED=GAAP","Sort=A","Dates=H","DateFormat=P","Fill=—","Direction=H","UseDPDF=Y")</f>
        <v>2908</v>
      </c>
      <c r="AC59" s="12" cm="1">
        <f t="array" ref="AC59">_xll.BDH("DE US Equity","EBITDA","FQ1 2025","FQ1 2025","Currency=USD","Period=FQ","BEST_FPERIOD_OVERRIDE=FQ","FILING_STATUS=MR","SCALING_FORMAT=MLN","FA_ADJUSTED=GAAP","Sort=A","Dates=H","DateFormat=P","Fill=—","Direction=H","UseDPDF=Y")</f>
        <v>2273</v>
      </c>
      <c r="AD59" s="12" cm="1">
        <f t="array" ref="AD59">_xll.BDH("DE US Equity","EBITDA","FQ2 2025","FQ2 2025","Currency=USD","Period=FQ","BEST_FPERIOD_OVERRIDE=FQ","FILING_STATUS=MR","SCALING_FORMAT=MLN","FA_ADJUSTED=GAAP","Sort=A","Dates=H","DateFormat=P","Fill=—","Direction=H","UseDPDF=Y")</f>
        <v>3676</v>
      </c>
      <c r="AE59" s="12" cm="1">
        <f t="array" ref="AE59">_xll.BDH("DE US Equity","EBITDA","FQ3 2025","FQ3 2025","Currency=USD","Period=FQ","BEST_FPERIOD_OVERRIDE=FQ","FILING_STATUS=MR","SCALING_FORMAT=MLN","FA_ADJUSTED=GAAP","Sort=A","Dates=H","DateFormat=P","Fill=—","Direction=H","UseDPDF=Y")</f>
        <v>2958</v>
      </c>
      <c r="AF59" s="12" cm="1">
        <f t="array" ref="AF59">_xll.BDH("DE US Equity","EBITDA","FQ4 2025","FQ4 2025","Currency=USD","Period=FQ","BEST_FPERIOD_OVERRIDE=FQ","FILING_STATUS=MR","SCALING_FORMAT=MLN","FA_ADJUSTED=GAAP","Sort=A","Dates=H","DateFormat=P","Fill=—","Direction=H","UseDPDF=Y")</f>
        <v>2747</v>
      </c>
    </row>
    <row r="60" spans="1:32" x14ac:dyDescent="0.25">
      <c r="A60" s="10" t="s">
        <v>150</v>
      </c>
      <c r="B60" s="10" t="s">
        <v>151</v>
      </c>
      <c r="C60" s="13" cm="1">
        <f t="array" ref="C60">_xll.BDH("DE US Equity","EBITDA_MARGIN","FQ3 2018","FQ3 2018","Currency=USD","Period=FQ","BEST_FPERIOD_OVERRIDE=FQ","FILING_STATUS=MR","FA_ADJUSTED=GAAP","Sort=A","Dates=H","DateFormat=P","Fill=—","Direction=H","UseDPDF=Y")</f>
        <v>19.1023</v>
      </c>
      <c r="D60" s="13" cm="1">
        <f t="array" ref="D60">_xll.BDH("DE US Equity","EBITDA_MARGIN","FQ4 2018","FQ4 2018","Currency=USD","Period=FQ","BEST_FPERIOD_OVERRIDE=FQ","FILING_STATUS=MR","FA_ADJUSTED=GAAP","Sort=A","Dates=H","DateFormat=P","Fill=—","Direction=H","UseDPDF=Y")</f>
        <v>19.274799999999999</v>
      </c>
      <c r="E60" s="13" cm="1">
        <f t="array" ref="E60">_xll.BDH("DE US Equity","EBITDA_MARGIN","FQ1 2019","FQ1 2019","Currency=USD","Period=FQ","BEST_FPERIOD_OVERRIDE=FQ","FILING_STATUS=MR","FA_ADJUSTED=GAAP","Sort=A","Dates=H","DateFormat=P","Fill=—","Direction=H","UseDPDF=Y")</f>
        <v>19.429099999999998</v>
      </c>
      <c r="F60" s="13" cm="1">
        <f t="array" ref="F60">_xll.BDH("DE US Equity","EBITDA_MARGIN","FQ2 2019","FQ2 2019","Currency=USD","Period=FQ","BEST_FPERIOD_OVERRIDE=FQ","FILING_STATUS=MR","FA_ADJUSTED=GAAP","Sort=A","Dates=H","DateFormat=P","Fill=—","Direction=H","UseDPDF=Y")</f>
        <v>19.5337</v>
      </c>
      <c r="G60" s="13" cm="1">
        <f t="array" ref="G60">_xll.BDH("DE US Equity","EBITDA_MARGIN","FQ3 2019","FQ3 2019","Currency=USD","Period=FQ","BEST_FPERIOD_OVERRIDE=FQ","FILING_STATUS=MR","FA_ADJUSTED=GAAP","Sort=A","Dates=H","DateFormat=P","Fill=—","Direction=H","UseDPDF=Y")</f>
        <v>19.7166</v>
      </c>
      <c r="H60" s="13" cm="1">
        <f t="array" ref="H60">_xll.BDH("DE US Equity","EBITDA_MARGIN","FQ4 2019","FQ4 2019","Currency=USD","Period=FQ","BEST_FPERIOD_OVERRIDE=FQ","FILING_STATUS=MR","FA_ADJUSTED=GAAP","Sort=A","Dates=H","DateFormat=P","Fill=—","Direction=H","UseDPDF=Y")</f>
        <v>19.2896</v>
      </c>
      <c r="I60" s="13" cm="1">
        <f t="array" ref="I60">_xll.BDH("DE US Equity","EBITDA_MARGIN","FQ1 2020","FQ1 2020","Currency=USD","Period=FQ","BEST_FPERIOD_OVERRIDE=FQ","FILING_STATUS=MR","FA_ADJUSTED=GAAP","Sort=A","Dates=H","DateFormat=P","Fill=—","Direction=H","UseDPDF=Y")</f>
        <v>19.3155</v>
      </c>
      <c r="J60" s="13" cm="1">
        <f t="array" ref="J60">_xll.BDH("DE US Equity","EBITDA_MARGIN","FQ2 2020","FQ2 2020","Currency=USD","Period=FQ","BEST_FPERIOD_OVERRIDE=FQ","FILING_STATUS=MR","FA_ADJUSTED=GAAP","Sort=A","Dates=H","DateFormat=P","Fill=—","Direction=H","UseDPDF=Y")</f>
        <v>19.0352</v>
      </c>
      <c r="K60" s="13" cm="1">
        <f t="array" ref="K60">_xll.BDH("DE US Equity","EBITDA_MARGIN","FQ3 2020","FQ3 2020","Currency=USD","Period=FQ","BEST_FPERIOD_OVERRIDE=FQ","FILING_STATUS=MR","FA_ADJUSTED=GAAP","Sort=A","Dates=H","DateFormat=P","Fill=—","Direction=H","UseDPDF=Y")</f>
        <v>20.027999999999999</v>
      </c>
      <c r="L60" s="13" cm="1">
        <f t="array" ref="L60">_xll.BDH("DE US Equity","EBITDA_MARGIN","FQ4 2020","FQ4 2020","Currency=USD","Period=FQ","BEST_FPERIOD_OVERRIDE=FQ","FILING_STATUS=MR","FA_ADJUSTED=GAAP","Sort=A","Dates=H","DateFormat=P","Fill=—","Direction=H","UseDPDF=Y")</f>
        <v>20.742799999999999</v>
      </c>
      <c r="M60" s="13" cm="1">
        <f t="array" ref="M60">_xll.BDH("DE US Equity","EBITDA_MARGIN","FQ1 2021","FQ1 2021","Currency=USD","Period=FQ","BEST_FPERIOD_OVERRIDE=FQ","FILING_STATUS=MR","FA_ADJUSTED=GAAP","Sort=A","Dates=H","DateFormat=P","Fill=—","Direction=H","UseDPDF=Y")</f>
        <v>22.241399999999999</v>
      </c>
      <c r="N60" s="13" cm="1">
        <f t="array" ref="N60">_xll.BDH("DE US Equity","EBITDA_MARGIN","FQ2 2021","FQ2 2021","Currency=USD","Period=FQ","BEST_FPERIOD_OVERRIDE=FQ","FILING_STATUS=MR","FA_ADJUSTED=GAAP","Sort=A","Dates=H","DateFormat=P","Fill=—","Direction=H","UseDPDF=Y")</f>
        <v>23.8538</v>
      </c>
      <c r="O60" s="13" cm="1">
        <f t="array" ref="O60">_xll.BDH("DE US Equity","EBITDA_MARGIN","FQ3 2021","FQ3 2021","Currency=USD","Period=FQ","BEST_FPERIOD_OVERRIDE=FQ","FILING_STATUS=MR","FA_ADJUSTED=GAAP","Sort=A","Dates=H","DateFormat=P","Fill=—","Direction=H","UseDPDF=Y")</f>
        <v>24.212800000000001</v>
      </c>
      <c r="P60" s="13" cm="1">
        <f t="array" ref="P60">_xll.BDH("DE US Equity","EBITDA_MARGIN","FQ4 2021","FQ4 2021","Currency=USD","Period=FQ","BEST_FPERIOD_OVERRIDE=FQ","FILING_STATUS=MR","FA_ADJUSTED=GAAP","Sort=A","Dates=H","DateFormat=P","Fill=—","Direction=H","UseDPDF=Y")</f>
        <v>24.182300000000001</v>
      </c>
      <c r="Q60" s="13" cm="1">
        <f t="array" ref="Q60">_xll.BDH("DE US Equity","EBITDA_MARGIN","FQ1 2022","FQ1 2022","Currency=USD","Period=FQ","BEST_FPERIOD_OVERRIDE=FQ","FILING_STATUS=MR","FA_ADJUSTED=GAAP","Sort=A","Dates=H","DateFormat=P","Fill=—","Direction=H","UseDPDF=Y")</f>
        <v>22.8749</v>
      </c>
      <c r="R60" s="13" cm="1">
        <f t="array" ref="R60">_xll.BDH("DE US Equity","EBITDA_MARGIN","FQ2 2022","FQ2 2022","Currency=USD","Period=FQ","BEST_FPERIOD_OVERRIDE=FQ","FILING_STATUS=MR","FA_ADJUSTED=GAAP","Sort=A","Dates=H","DateFormat=P","Fill=—","Direction=H","UseDPDF=Y")</f>
        <v>22.4161</v>
      </c>
      <c r="S60" s="13" cm="1">
        <f t="array" ref="S60">_xll.BDH("DE US Equity","EBITDA_MARGIN","FQ3 2022","FQ3 2022","Currency=USD","Period=FQ","BEST_FPERIOD_OVERRIDE=FQ","FILING_STATUS=MR","FA_ADJUSTED=GAAP","Sort=A","Dates=H","DateFormat=P","Fill=—","Direction=H","UseDPDF=Y")</f>
        <v>22.124099999999999</v>
      </c>
      <c r="T60" s="13" cm="1">
        <f t="array" ref="T60">_xll.BDH("DE US Equity","EBITDA_MARGIN","FQ4 2022","FQ4 2022","Currency=USD","Period=FQ","BEST_FPERIOD_OVERRIDE=FQ","FILING_STATUS=MR","FA_ADJUSTED=GAAP","Sort=A","Dates=H","DateFormat=P","Fill=—","Direction=H","UseDPDF=Y")</f>
        <v>22.9815</v>
      </c>
      <c r="U60" s="13" cm="1">
        <f t="array" ref="U60">_xll.BDH("DE US Equity","EBITDA_MARGIN","FQ1 2023","FQ1 2023","Currency=USD","Period=FQ","BEST_FPERIOD_OVERRIDE=FQ","FILING_STATUS=MR","FA_ADJUSTED=GAAP","Sort=A","Dates=H","DateFormat=P","Fill=—","Direction=H","UseDPDF=Y")</f>
        <v>24.583200000000001</v>
      </c>
      <c r="V60" s="13" cm="1">
        <f t="array" ref="V60">_xll.BDH("DE US Equity","EBITDA_MARGIN","FQ2 2023","FQ2 2023","Currency=USD","Period=FQ","BEST_FPERIOD_OVERRIDE=FQ","FILING_STATUS=MR","FA_ADJUSTED=GAAP","Sort=A","Dates=H","DateFormat=P","Fill=—","Direction=H","UseDPDF=Y")</f>
        <v>25.8307</v>
      </c>
      <c r="W60" s="13" cm="1">
        <f t="array" ref="W60">_xll.BDH("DE US Equity","EBITDA_MARGIN","FQ3 2023","FQ3 2023","Currency=USD","Period=FQ","BEST_FPERIOD_OVERRIDE=FQ","FILING_STATUS=MR","FA_ADJUSTED=GAAP","Sort=A","Dates=H","DateFormat=P","Fill=—","Direction=H","UseDPDF=Y")</f>
        <v>27.422799999999999</v>
      </c>
      <c r="X60" s="13" cm="1">
        <f t="array" ref="X60">_xll.BDH("DE US Equity","EBITDA_MARGIN","FQ4 2023","FQ4 2023","Currency=USD","Period=FQ","BEST_FPERIOD_OVERRIDE=FQ","FILING_STATUS=MR","FA_ADJUSTED=GAAP","Sort=A","Dates=H","DateFormat=P","Fill=—","Direction=H","UseDPDF=Y")</f>
        <v>28.531300000000002</v>
      </c>
      <c r="Y60" s="13" cm="1">
        <f t="array" ref="Y60">_xll.BDH("DE US Equity","EBITDA_MARGIN","FQ1 2024","FQ1 2024","Currency=USD","Period=FQ","BEST_FPERIOD_OVERRIDE=FQ","FILING_STATUS=MR","FA_ADJUSTED=GAAP","Sort=A","Dates=H","DateFormat=P","Fill=—","Direction=H","UseDPDF=Y")</f>
        <v>28.8673</v>
      </c>
      <c r="Z60" s="13" cm="1">
        <f t="array" ref="Z60">_xll.BDH("DE US Equity","EBITDA_MARGIN","FQ2 2024","FQ2 2024","Currency=USD","Period=FQ","BEST_FPERIOD_OVERRIDE=FQ","FILING_STATUS=MR","FA_ADJUSTED=GAAP","Sort=A","Dates=H","DateFormat=P","Fill=—","Direction=H","UseDPDF=Y")</f>
        <v>29.176400000000001</v>
      </c>
      <c r="AA60" s="13" cm="1">
        <f t="array" ref="AA60">_xll.BDH("DE US Equity","EBITDA_MARGIN","FQ3 2024","FQ3 2024","Currency=USD","Period=FQ","BEST_FPERIOD_OVERRIDE=FQ","FILING_STATUS=MR","FA_ADJUSTED=GAAP","Sort=A","Dates=H","DateFormat=P","Fill=—","Direction=H","UseDPDF=Y")</f>
        <v>28.747499999999999</v>
      </c>
      <c r="AB60" s="13" cm="1">
        <f t="array" ref="AB60">_xll.BDH("DE US Equity","EBITDA_MARGIN","FQ4 2024","FQ4 2024","Currency=USD","Period=FQ","BEST_FPERIOD_OVERRIDE=FQ","FILING_STATUS=MR","FA_ADJUSTED=GAAP","Sort=A","Dates=H","DateFormat=P","Fill=—","Direction=H","UseDPDF=Y")</f>
        <v>28.3689</v>
      </c>
      <c r="AC60" s="13" cm="1">
        <f t="array" ref="AC60">_xll.BDH("DE US Equity","EBITDA_MARGIN","FQ1 2025","FQ1 2025","Currency=USD","Period=FQ","BEST_FPERIOD_OVERRIDE=FQ","FILING_STATUS=MR","FA_ADJUSTED=GAAP","Sort=A","Dates=H","DateFormat=P","Fill=—","Direction=H","UseDPDF=Y")</f>
        <v>27.909199999999998</v>
      </c>
      <c r="AD60" s="13" cm="1">
        <f t="array" ref="AD60">_xll.BDH("DE US Equity","EBITDA_MARGIN","FQ2 2025","FQ2 2025","Currency=USD","Period=FQ","BEST_FPERIOD_OVERRIDE=FQ","FILING_STATUS=MR","FA_ADJUSTED=GAAP","Sort=A","Dates=H","DateFormat=P","Fill=—","Direction=H","UseDPDF=Y")</f>
        <v>27.6632</v>
      </c>
      <c r="AE60" s="13" cm="1">
        <f t="array" ref="AE60">_xll.BDH("DE US Equity","EBITDA_MARGIN","FQ3 2025","FQ3 2025","Currency=USD","Period=FQ","BEST_FPERIOD_OVERRIDE=FQ","FILING_STATUS=MR","FA_ADJUSTED=GAAP","Sort=A","Dates=H","DateFormat=P","Fill=—","Direction=H","UseDPDF=Y")</f>
        <v>26.591200000000001</v>
      </c>
      <c r="AF60" s="13" cm="1">
        <f t="array" ref="AF60">_xll.BDH("DE US Equity","EBITDA_MARGIN","FQ4 2025","FQ4 2025","Currency=USD","Period=FQ","BEST_FPERIOD_OVERRIDE=FQ","FILING_STATUS=MR","FA_ADJUSTED=GAAP","Sort=A","Dates=H","DateFormat=P","Fill=—","Direction=H","UseDPDF=Y")</f>
        <v>25.5106</v>
      </c>
    </row>
    <row r="61" spans="1:32" x14ac:dyDescent="0.25">
      <c r="A61" s="10" t="s">
        <v>152</v>
      </c>
      <c r="B61" s="10" t="s">
        <v>153</v>
      </c>
      <c r="C61" s="12" cm="1">
        <f t="array" ref="C61">_xll.BDH("DE US Equity","CF_NET_CASH_PAID_FOR_AQUIS","FQ3 2018","FQ3 2018","Currency=USD","Period=FQ","BEST_FPERIOD_OVERRIDE=FQ","FILING_STATUS=MR","SCALING_FORMAT=MLN","Sort=A","Dates=H","DateFormat=P","Fill=—","Direction=H","UseDPDF=Y")</f>
        <v>-0.1</v>
      </c>
      <c r="D61" s="12" cm="1">
        <f t="array" ref="D61">_xll.BDH("DE US Equity","CF_NET_CASH_PAID_FOR_AQUIS","FQ4 2018","FQ4 2018","Currency=USD","Period=FQ","BEST_FPERIOD_OVERRIDE=FQ","FILING_STATUS=MR","SCALING_FORMAT=MLN","Sort=A","Dates=H","DateFormat=P","Fill=—","Direction=H","UseDPDF=Y")</f>
        <v>74</v>
      </c>
      <c r="E61" s="12" t="str" cm="1">
        <f t="array" ref="E61">_xll.BDH("DE US Equity","CF_NET_CASH_PAID_FOR_AQUIS","FQ1 2019","FQ1 2019","Currency=USD","Period=FQ","BEST_FPERIOD_OVERRIDE=FQ","FILING_STATUS=MR","SCALING_FORMAT=MLN","Sort=A","Dates=H","DateFormat=P","Fill=—","Direction=H","UseDPDF=Y")</f>
        <v>—</v>
      </c>
      <c r="F61" s="12" t="str" cm="1">
        <f t="array" ref="F61">_xll.BDH("DE US Equity","CF_NET_CASH_PAID_FOR_AQUIS","FQ2 2019","FQ2 2019","Currency=USD","Period=FQ","BEST_FPERIOD_OVERRIDE=FQ","FILING_STATUS=MR","SCALING_FORMAT=MLN","Sort=A","Dates=H","DateFormat=P","Fill=—","Direction=H","UseDPDF=Y")</f>
        <v>—</v>
      </c>
      <c r="G61" s="12" t="str" cm="1">
        <f t="array" ref="G61">_xll.BDH("DE US Equity","CF_NET_CASH_PAID_FOR_AQUIS","FQ3 2019","FQ3 2019","Currency=USD","Period=FQ","BEST_FPERIOD_OVERRIDE=FQ","FILING_STATUS=MR","SCALING_FORMAT=MLN","Sort=A","Dates=H","DateFormat=P","Fill=—","Direction=H","UseDPDF=Y")</f>
        <v>—</v>
      </c>
      <c r="H61" s="12" t="str" cm="1">
        <f t="array" ref="H61">_xll.BDH("DE US Equity","CF_NET_CASH_PAID_FOR_AQUIS","FQ4 2019","FQ4 2019","Currency=USD","Period=FQ","BEST_FPERIOD_OVERRIDE=FQ","FILING_STATUS=MR","SCALING_FORMAT=MLN","Sort=A","Dates=H","DateFormat=P","Fill=—","Direction=H","UseDPDF=Y")</f>
        <v>—</v>
      </c>
      <c r="I61" s="12" t="str" cm="1">
        <f t="array" ref="I61">_xll.BDH("DE US Equity","CF_NET_CASH_PAID_FOR_AQUIS","FQ1 2020","FQ1 2020","Currency=USD","Period=FQ","BEST_FPERIOD_OVERRIDE=FQ","FILING_STATUS=MR","SCALING_FORMAT=MLN","Sort=A","Dates=H","DateFormat=P","Fill=—","Direction=H","UseDPDF=Y")</f>
        <v>—</v>
      </c>
      <c r="J61" s="12" t="str" cm="1">
        <f t="array" ref="J61">_xll.BDH("DE US Equity","CF_NET_CASH_PAID_FOR_AQUIS","FQ2 2020","FQ2 2020","Currency=USD","Period=FQ","BEST_FPERIOD_OVERRIDE=FQ","FILING_STATUS=MR","SCALING_FORMAT=MLN","Sort=A","Dates=H","DateFormat=P","Fill=—","Direction=H","UseDPDF=Y")</f>
        <v>—</v>
      </c>
      <c r="K61" s="12" t="str" cm="1">
        <f t="array" ref="K61">_xll.BDH("DE US Equity","CF_NET_CASH_PAID_FOR_AQUIS","FQ3 2020","FQ3 2020","Currency=USD","Period=FQ","BEST_FPERIOD_OVERRIDE=FQ","FILING_STATUS=MR","SCALING_FORMAT=MLN","Sort=A","Dates=H","DateFormat=P","Fill=—","Direction=H","UseDPDF=Y")</f>
        <v>—</v>
      </c>
      <c r="L61" s="12" t="str" cm="1">
        <f t="array" ref="L61">_xll.BDH("DE US Equity","CF_NET_CASH_PAID_FOR_AQUIS","FQ4 2020","FQ4 2020","Currency=USD","Period=FQ","BEST_FPERIOD_OVERRIDE=FQ","FILING_STATUS=MR","SCALING_FORMAT=MLN","Sort=A","Dates=H","DateFormat=P","Fill=—","Direction=H","UseDPDF=Y")</f>
        <v>—</v>
      </c>
      <c r="M61" s="12" cm="1">
        <f t="array" ref="M61">_xll.BDH("DE US Equity","CF_NET_CASH_PAID_FOR_AQUIS","FQ1 2021","FQ1 2021","Currency=USD","Period=FQ","BEST_FPERIOD_OVERRIDE=FQ","FILING_STATUS=MR","SCALING_FORMAT=MLN","Sort=A","Dates=H","DateFormat=P","Fill=—","Direction=H","UseDPDF=Y")</f>
        <v>19</v>
      </c>
      <c r="N61" s="12" cm="1">
        <f t="array" ref="N61">_xll.BDH("DE US Equity","CF_NET_CASH_PAID_FOR_AQUIS","FQ2 2021","FQ2 2021","Currency=USD","Period=FQ","BEST_FPERIOD_OVERRIDE=FQ","FILING_STATUS=MR","SCALING_FORMAT=MLN","Sort=A","Dates=H","DateFormat=P","Fill=—","Direction=H","UseDPDF=Y")</f>
        <v>0</v>
      </c>
      <c r="O61" s="12" cm="1">
        <f t="array" ref="O61">_xll.BDH("DE US Equity","CF_NET_CASH_PAID_FOR_AQUIS","FQ3 2021","FQ3 2021","Currency=USD","Period=FQ","BEST_FPERIOD_OVERRIDE=FQ","FILING_STATUS=MR","SCALING_FORMAT=MLN","Sort=A","Dates=H","DateFormat=P","Fill=—","Direction=H","UseDPDF=Y")</f>
        <v>0</v>
      </c>
      <c r="P61" s="12" cm="1">
        <f t="array" ref="P61">_xll.BDH("DE US Equity","CF_NET_CASH_PAID_FOR_AQUIS","FQ4 2021","FQ4 2021","Currency=USD","Period=FQ","BEST_FPERIOD_OVERRIDE=FQ","FILING_STATUS=MR","SCALING_FORMAT=MLN","Sort=A","Dates=H","DateFormat=P","Fill=—","Direction=H","UseDPDF=Y")</f>
        <v>225</v>
      </c>
      <c r="Q61" s="12" cm="1">
        <f t="array" ref="Q61">_xll.BDH("DE US Equity","CF_NET_CASH_PAID_FOR_AQUIS","FQ1 2022","FQ1 2022","Currency=USD","Period=FQ","BEST_FPERIOD_OVERRIDE=FQ","FILING_STATUS=MR","SCALING_FORMAT=MLN","Sort=A","Dates=H","DateFormat=P","Fill=—","Direction=H","UseDPDF=Y")</f>
        <v>24</v>
      </c>
      <c r="R61" s="12" cm="1">
        <f t="array" ref="R61">_xll.BDH("DE US Equity","CF_NET_CASH_PAID_FOR_AQUIS","FQ2 2022","FQ2 2022","Currency=USD","Period=FQ","BEST_FPERIOD_OVERRIDE=FQ","FILING_STATUS=MR","SCALING_FORMAT=MLN","Sort=A","Dates=H","DateFormat=P","Fill=—","Direction=H","UseDPDF=Y")</f>
        <v>449</v>
      </c>
      <c r="S61" s="12" cm="1">
        <f t="array" ref="S61">_xll.BDH("DE US Equity","CF_NET_CASH_PAID_FOR_AQUIS","FQ3 2022","FQ3 2022","Currency=USD","Period=FQ","BEST_FPERIOD_OVERRIDE=FQ","FILING_STATUS=MR","SCALING_FORMAT=MLN","Sort=A","Dates=H","DateFormat=P","Fill=—","Direction=H","UseDPDF=Y")</f>
        <v>15</v>
      </c>
      <c r="T61" s="12" cm="1">
        <f t="array" ref="T61">_xll.BDH("DE US Equity","CF_NET_CASH_PAID_FOR_AQUIS","FQ4 2022","FQ4 2022","Currency=USD","Period=FQ","BEST_FPERIOD_OVERRIDE=FQ","FILING_STATUS=MR","SCALING_FORMAT=MLN","Sort=A","Dates=H","DateFormat=P","Fill=—","Direction=H","UseDPDF=Y")</f>
        <v>10</v>
      </c>
      <c r="U61" s="12" t="str" cm="1">
        <f t="array" ref="U61">_xll.BDH("DE US Equity","CF_NET_CASH_PAID_FOR_AQUIS","FQ1 2023","FQ1 2023","Currency=USD","Period=FQ","BEST_FPERIOD_OVERRIDE=FQ","FILING_STATUS=MR","SCALING_FORMAT=MLN","Sort=A","Dates=H","DateFormat=P","Fill=—","Direction=H","UseDPDF=Y")</f>
        <v>—</v>
      </c>
      <c r="V61" s="12" t="str" cm="1">
        <f t="array" ref="V61">_xll.BDH("DE US Equity","CF_NET_CASH_PAID_FOR_AQUIS","FQ2 2023","FQ2 2023","Currency=USD","Period=FQ","BEST_FPERIOD_OVERRIDE=FQ","FILING_STATUS=MR","SCALING_FORMAT=MLN","Sort=A","Dates=H","DateFormat=P","Fill=—","Direction=H","UseDPDF=Y")</f>
        <v>—</v>
      </c>
      <c r="W61" s="12" cm="1">
        <f t="array" ref="W61">_xll.BDH("DE US Equity","CF_NET_CASH_PAID_FOR_AQUIS","FQ3 2023","FQ3 2023","Currency=USD","Period=FQ","BEST_FPERIOD_OVERRIDE=FQ","FILING_STATUS=MR","SCALING_FORMAT=MLN","Sort=A","Dates=H","DateFormat=P","Fill=—","Direction=H","UseDPDF=Y")</f>
        <v>82</v>
      </c>
      <c r="X61" s="12" cm="1">
        <f t="array" ref="X61">_xll.BDH("DE US Equity","CF_NET_CASH_PAID_FOR_AQUIS","FQ4 2023","FQ4 2023","Currency=USD","Period=FQ","BEST_FPERIOD_OVERRIDE=FQ","FILING_STATUS=MR","SCALING_FORMAT=MLN","Sort=A","Dates=H","DateFormat=P","Fill=—","Direction=H","UseDPDF=Y")</f>
        <v>0</v>
      </c>
      <c r="Y61" s="12" t="str" cm="1">
        <f t="array" ref="Y61">_xll.BDH("DE US Equity","CF_NET_CASH_PAID_FOR_AQUIS","FQ1 2024","FQ1 2024","Currency=USD","Period=FQ","BEST_FPERIOD_OVERRIDE=FQ","FILING_STATUS=MR","SCALING_FORMAT=MLN","Sort=A","Dates=H","DateFormat=P","Fill=—","Direction=H","UseDPDF=Y")</f>
        <v>—</v>
      </c>
      <c r="Z61" s="12" t="str" cm="1">
        <f t="array" ref="Z61">_xll.BDH("DE US Equity","CF_NET_CASH_PAID_FOR_AQUIS","FQ2 2024","FQ2 2024","Currency=USD","Period=FQ","BEST_FPERIOD_OVERRIDE=FQ","FILING_STATUS=MR","SCALING_FORMAT=MLN","Sort=A","Dates=H","DateFormat=P","Fill=—","Direction=H","UseDPDF=Y")</f>
        <v>—</v>
      </c>
      <c r="AA61" s="12" t="str" cm="1">
        <f t="array" ref="AA61">_xll.BDH("DE US Equity","CF_NET_CASH_PAID_FOR_AQUIS","FQ3 2024","FQ3 2024","Currency=USD","Period=FQ","BEST_FPERIOD_OVERRIDE=FQ","FILING_STATUS=MR","SCALING_FORMAT=MLN","Sort=A","Dates=H","DateFormat=P","Fill=—","Direction=H","UseDPDF=Y")</f>
        <v>—</v>
      </c>
      <c r="AB61" s="12" t="str" cm="1">
        <f t="array" ref="AB61">_xll.BDH("DE US Equity","CF_NET_CASH_PAID_FOR_AQUIS","FQ4 2024","FQ4 2024","Currency=USD","Period=FQ","BEST_FPERIOD_OVERRIDE=FQ","FILING_STATUS=MR","SCALING_FORMAT=MLN","Sort=A","Dates=H","DateFormat=P","Fill=—","Direction=H","UseDPDF=Y")</f>
        <v>—</v>
      </c>
      <c r="AC61" s="12" t="str" cm="1">
        <f t="array" ref="AC61">_xll.BDH("DE US Equity","CF_NET_CASH_PAID_FOR_AQUIS","FQ1 2025","FQ1 2025","Currency=USD","Period=FQ","BEST_FPERIOD_OVERRIDE=FQ","FILING_STATUS=MR","SCALING_FORMAT=MLN","Sort=A","Dates=H","DateFormat=P","Fill=—","Direction=H","UseDPDF=Y")</f>
        <v>—</v>
      </c>
      <c r="AD61" s="12" t="str" cm="1">
        <f t="array" ref="AD61">_xll.BDH("DE US Equity","CF_NET_CASH_PAID_FOR_AQUIS","FQ2 2025","FQ2 2025","Currency=USD","Period=FQ","BEST_FPERIOD_OVERRIDE=FQ","FILING_STATUS=MR","SCALING_FORMAT=MLN","Sort=A","Dates=H","DateFormat=P","Fill=—","Direction=H","UseDPDF=Y")</f>
        <v>—</v>
      </c>
      <c r="AE61" s="12" t="str" cm="1">
        <f t="array" ref="AE61">_xll.BDH("DE US Equity","CF_NET_CASH_PAID_FOR_AQUIS","FQ3 2025","FQ3 2025","Currency=USD","Period=FQ","BEST_FPERIOD_OVERRIDE=FQ","FILING_STATUS=MR","SCALING_FORMAT=MLN","Sort=A","Dates=H","DateFormat=P","Fill=—","Direction=H","UseDPDF=Y")</f>
        <v>—</v>
      </c>
      <c r="AF61" s="12" t="str" cm="1">
        <f t="array" ref="AF61">_xll.BDH("DE US Equity","CF_NET_CASH_PAID_FOR_AQUIS","FQ4 2025","FQ4 2025","Currency=USD","Period=FQ","BEST_FPERIOD_OVERRIDE=FQ","FILING_STATUS=MR","SCALING_FORMAT=MLN","Sort=A","Dates=H","DateFormat=P","Fill=—","Direction=H","UseDPDF=Y")</f>
        <v>—</v>
      </c>
    </row>
    <row r="62" spans="1:32" x14ac:dyDescent="0.25">
      <c r="A62" s="10" t="s">
        <v>154</v>
      </c>
      <c r="B62" s="10" t="s">
        <v>155</v>
      </c>
      <c r="C62" s="12" cm="1">
        <f t="array" ref="C62">_xll.BDH("DE US Equity","CF_FREE_CASH_FLOW","FQ3 2018","FQ3 2018","Currency=USD","Period=FQ","BEST_FPERIOD_OVERRIDE=FQ","FILING_STATUS=MR","SCALING_FORMAT=MLN","Sort=A","Dates=H","DateFormat=P","Fill=—","Direction=H","UseDPDF=Y")</f>
        <v>-172.2</v>
      </c>
      <c r="D62" s="12" cm="1">
        <f t="array" ref="D62">_xll.BDH("DE US Equity","CF_FREE_CASH_FLOW","FQ4 2018","FQ4 2018","Currency=USD","Period=FQ","BEST_FPERIOD_OVERRIDE=FQ","FILING_STATUS=MR","SCALING_FORMAT=MLN","Sort=A","Dates=H","DateFormat=P","Fill=—","Direction=H","UseDPDF=Y")</f>
        <v>1543</v>
      </c>
      <c r="E62" s="12" cm="1">
        <f t="array" ref="E62">_xll.BDH("DE US Equity","CF_FREE_CASH_FLOW","FQ1 2019","FQ1 2019","Currency=USD","Period=FQ","BEST_FPERIOD_OVERRIDE=FQ","FILING_STATUS=MR","SCALING_FORMAT=MLN","Sort=A","Dates=H","DateFormat=P","Fill=—","Direction=H","UseDPDF=Y")</f>
        <v>-2309</v>
      </c>
      <c r="F62" s="12" cm="1">
        <f t="array" ref="F62">_xll.BDH("DE US Equity","CF_FREE_CASH_FLOW","FQ2 2019","FQ2 2019","Currency=USD","Period=FQ","BEST_FPERIOD_OVERRIDE=FQ","FILING_STATUS=MR","SCALING_FORMAT=MLN","Sort=A","Dates=H","DateFormat=P","Fill=—","Direction=H","UseDPDF=Y")</f>
        <v>-600.5</v>
      </c>
      <c r="G62" s="12" cm="1">
        <f t="array" ref="G62">_xll.BDH("DE US Equity","CF_FREE_CASH_FLOW","FQ3 2019","FQ3 2019","Currency=USD","Period=FQ","BEST_FPERIOD_OVERRIDE=FQ","FILING_STATUS=MR","SCALING_FORMAT=MLN","Sort=A","Dates=H","DateFormat=P","Fill=—","Direction=H","UseDPDF=Y")</f>
        <v>1096</v>
      </c>
      <c r="H62" s="12" cm="1">
        <f t="array" ref="H62">_xll.BDH("DE US Equity","CF_FREE_CASH_FLOW","FQ4 2019","FQ4 2019","Currency=USD","Period=FQ","BEST_FPERIOD_OVERRIDE=FQ","FILING_STATUS=MR","SCALING_FORMAT=MLN","Sort=A","Dates=H","DateFormat=P","Fill=—","Direction=H","UseDPDF=Y")</f>
        <v>1777</v>
      </c>
      <c r="I62" s="12" cm="1">
        <f t="array" ref="I62">_xll.BDH("DE US Equity","CF_FREE_CASH_FLOW","FQ1 2020","FQ1 2020","Currency=USD","Period=FQ","BEST_FPERIOD_OVERRIDE=FQ","FILING_STATUS=MR","SCALING_FORMAT=MLN","Sort=A","Dates=H","DateFormat=P","Fill=—","Direction=H","UseDPDF=Y")</f>
        <v>-1296</v>
      </c>
      <c r="J62" s="12" cm="1">
        <f t="array" ref="J62">_xll.BDH("DE US Equity","CF_FREE_CASH_FLOW","FQ2 2020","FQ2 2020","Currency=USD","Period=FQ","BEST_FPERIOD_OVERRIDE=FQ","FILING_STATUS=MR","SCALING_FORMAT=MLN","Sort=A","Dates=H","DateFormat=P","Fill=—","Direction=H","UseDPDF=Y")</f>
        <v>671</v>
      </c>
      <c r="K62" s="12" cm="1">
        <f t="array" ref="K62">_xll.BDH("DE US Equity","CF_FREE_CASH_FLOW","FQ3 2020","FQ3 2020","Currency=USD","Period=FQ","BEST_FPERIOD_OVERRIDE=FQ","FILING_STATUS=MR","SCALING_FORMAT=MLN","Sort=A","Dates=H","DateFormat=P","Fill=—","Direction=H","UseDPDF=Y")</f>
        <v>2776</v>
      </c>
      <c r="L62" s="12" cm="1">
        <f t="array" ref="L62">_xll.BDH("DE US Equity","CF_FREE_CASH_FLOW","FQ4 2020","FQ4 2020","Currency=USD","Period=FQ","BEST_FPERIOD_OVERRIDE=FQ","FILING_STATUS=MR","SCALING_FORMAT=MLN","Sort=A","Dates=H","DateFormat=P","Fill=—","Direction=H","UseDPDF=Y")</f>
        <v>2676</v>
      </c>
      <c r="M62" s="12" cm="1">
        <f t="array" ref="M62">_xll.BDH("DE US Equity","CF_FREE_CASH_FLOW","FQ1 2021","FQ1 2021","Currency=USD","Period=FQ","BEST_FPERIOD_OVERRIDE=FQ","FILING_STATUS=MR","SCALING_FORMAT=MLN","Sort=A","Dates=H","DateFormat=P","Fill=—","Direction=H","UseDPDF=Y")</f>
        <v>-305</v>
      </c>
      <c r="N62" s="12" cm="1">
        <f t="array" ref="N62">_xll.BDH("DE US Equity","CF_FREE_CASH_FLOW","FQ2 2021","FQ2 2021","Currency=USD","Period=FQ","BEST_FPERIOD_OVERRIDE=FQ","FILING_STATUS=MR","SCALING_FORMAT=MLN","Sort=A","Dates=H","DateFormat=P","Fill=—","Direction=H","UseDPDF=Y")</f>
        <v>1007</v>
      </c>
      <c r="O62" s="12" cm="1">
        <f t="array" ref="O62">_xll.BDH("DE US Equity","CF_FREE_CASH_FLOW","FQ3 2021","FQ3 2021","Currency=USD","Period=FQ","BEST_FPERIOD_OVERRIDE=FQ","FILING_STATUS=MR","SCALING_FORMAT=MLN","Sort=A","Dates=H","DateFormat=P","Fill=—","Direction=H","UseDPDF=Y")</f>
        <v>1910</v>
      </c>
      <c r="P62" s="12" cm="1">
        <f t="array" ref="P62">_xll.BDH("DE US Equity","CF_FREE_CASH_FLOW","FQ4 2021","FQ4 2021","Currency=USD","Period=FQ","BEST_FPERIOD_OVERRIDE=FQ","FILING_STATUS=MR","SCALING_FORMAT=MLN","Sort=A","Dates=H","DateFormat=P","Fill=—","Direction=H","UseDPDF=Y")</f>
        <v>2534</v>
      </c>
      <c r="Q62" s="12" cm="1">
        <f t="array" ref="Q62">_xll.BDH("DE US Equity","CF_FREE_CASH_FLOW","FQ1 2022","FQ1 2022","Currency=USD","Period=FQ","BEST_FPERIOD_OVERRIDE=FQ","FILING_STATUS=MR","SCALING_FORMAT=MLN","Sort=A","Dates=H","DateFormat=P","Fill=—","Direction=H","UseDPDF=Y")</f>
        <v>-3137</v>
      </c>
      <c r="R62" s="12" cm="1">
        <f t="array" ref="R62">_xll.BDH("DE US Equity","CF_FREE_CASH_FLOW","FQ2 2022","FQ2 2022","Currency=USD","Period=FQ","BEST_FPERIOD_OVERRIDE=FQ","FILING_STATUS=MR","SCALING_FORMAT=MLN","Sort=A","Dates=H","DateFormat=P","Fill=—","Direction=H","UseDPDF=Y")</f>
        <v>25</v>
      </c>
      <c r="S62" s="12" cm="1">
        <f t="array" ref="S62">_xll.BDH("DE US Equity","CF_FREE_CASH_FLOW","FQ3 2022","FQ3 2022","Currency=USD","Period=FQ","BEST_FPERIOD_OVERRIDE=FQ","FILING_STATUS=MR","SCALING_FORMAT=MLN","Sort=A","Dates=H","DateFormat=P","Fill=—","Direction=H","UseDPDF=Y")</f>
        <v>1217</v>
      </c>
      <c r="T62" s="12" cm="1">
        <f t="array" ref="T62">_xll.BDH("DE US Equity","CF_FREE_CASH_FLOW","FQ4 2022","FQ4 2022","Currency=USD","Period=FQ","BEST_FPERIOD_OVERRIDE=FQ","FILING_STATUS=MR","SCALING_FORMAT=MLN","Sort=A","Dates=H","DateFormat=P","Fill=—","Direction=H","UseDPDF=Y")</f>
        <v>2806</v>
      </c>
      <c r="U62" s="12" cm="1">
        <f t="array" ref="U62">_xll.BDH("DE US Equity","CF_FREE_CASH_FLOW","FQ1 2023","FQ1 2023","Currency=USD","Period=FQ","BEST_FPERIOD_OVERRIDE=FQ","FILING_STATUS=MR","SCALING_FORMAT=MLN","Sort=A","Dates=H","DateFormat=P","Fill=—","Direction=H","UseDPDF=Y")</f>
        <v>-2058</v>
      </c>
      <c r="V62" s="12" cm="1">
        <f t="array" ref="V62">_xll.BDH("DE US Equity","CF_FREE_CASH_FLOW","FQ2 2023","FQ2 2023","Currency=USD","Period=FQ","BEST_FPERIOD_OVERRIDE=FQ","FILING_STATUS=MR","SCALING_FORMAT=MLN","Sort=A","Dates=H","DateFormat=P","Fill=—","Direction=H","UseDPDF=Y")</f>
        <v>98</v>
      </c>
      <c r="W62" s="12" cm="1">
        <f t="array" ref="W62">_xll.BDH("DE US Equity","CF_FREE_CASH_FLOW","FQ3 2023","FQ3 2023","Currency=USD","Period=FQ","BEST_FPERIOD_OVERRIDE=FQ","FILING_STATUS=MR","SCALING_FORMAT=MLN","Sort=A","Dates=H","DateFormat=P","Fill=—","Direction=H","UseDPDF=Y")</f>
        <v>2001</v>
      </c>
      <c r="X62" s="12" cm="1">
        <f t="array" ref="X62">_xll.BDH("DE US Equity","CF_FREE_CASH_FLOW","FQ4 2023","FQ4 2023","Currency=USD","Period=FQ","BEST_FPERIOD_OVERRIDE=FQ","FILING_STATUS=MR","SCALING_FORMAT=MLN","Sort=A","Dates=H","DateFormat=P","Fill=—","Direction=H","UseDPDF=Y")</f>
        <v>4080</v>
      </c>
      <c r="Y62" s="12" cm="1">
        <f t="array" ref="Y62">_xll.BDH("DE US Equity","CF_FREE_CASH_FLOW","FQ1 2024","FQ1 2024","Currency=USD","Period=FQ","BEST_FPERIOD_OVERRIDE=FQ","FILING_STATUS=MR","SCALING_FORMAT=MLN","Sort=A","Dates=H","DateFormat=P","Fill=—","Direction=H","UseDPDF=Y")</f>
        <v>-1724</v>
      </c>
      <c r="Z62" s="12" cm="1">
        <f t="array" ref="Z62">_xll.BDH("DE US Equity","CF_FREE_CASH_FLOW","FQ2 2024","FQ2 2024","Currency=USD","Period=FQ","BEST_FPERIOD_OVERRIDE=FQ","FILING_STATUS=MR","SCALING_FORMAT=MLN","Sort=A","Dates=H","DateFormat=P","Fill=—","Direction=H","UseDPDF=Y")</f>
        <v>580</v>
      </c>
      <c r="AA62" s="12" cm="1">
        <f t="array" ref="AA62">_xll.BDH("DE US Equity","CF_FREE_CASH_FLOW","FQ3 2024","FQ3 2024","Currency=USD","Period=FQ","BEST_FPERIOD_OVERRIDE=FQ","FILING_STATUS=MR","SCALING_FORMAT=MLN","Sort=A","Dates=H","DateFormat=P","Fill=—","Direction=H","UseDPDF=Y")</f>
        <v>2075</v>
      </c>
      <c r="AB62" s="12" cm="1">
        <f t="array" ref="AB62">_xll.BDH("DE US Equity","CF_FREE_CASH_FLOW","FQ4 2024","FQ4 2024","Currency=USD","Period=FQ","BEST_FPERIOD_OVERRIDE=FQ","FILING_STATUS=MR","SCALING_FORMAT=MLN","Sort=A","Dates=H","DateFormat=P","Fill=—","Direction=H","UseDPDF=Y")</f>
        <v>3498</v>
      </c>
      <c r="AC62" s="12" cm="1">
        <f t="array" ref="AC62">_xll.BDH("DE US Equity","CF_FREE_CASH_FLOW","FQ1 2025","FQ1 2025","Currency=USD","Period=FQ","BEST_FPERIOD_OVERRIDE=FQ","FILING_STATUS=MR","SCALING_FORMAT=MLN","Sort=A","Dates=H","DateFormat=P","Fill=—","Direction=H","UseDPDF=Y")</f>
        <v>-1923</v>
      </c>
      <c r="AD62" s="12" cm="1">
        <f t="array" ref="AD62">_xll.BDH("DE US Equity","CF_FREE_CASH_FLOW","FQ2 2025","FQ2 2025","Currency=USD","Period=FQ","BEST_FPERIOD_OVERRIDE=FQ","FILING_STATUS=MR","SCALING_FORMAT=MLN","Sort=A","Dates=H","DateFormat=P","Fill=—","Direction=H","UseDPDF=Y")</f>
        <v>682</v>
      </c>
      <c r="AE62" s="12" cm="1">
        <f t="array" ref="AE62">_xll.BDH("DE US Equity","CF_FREE_CASH_FLOW","FQ3 2025","FQ3 2025","Currency=USD","Period=FQ","BEST_FPERIOD_OVERRIDE=FQ","FILING_STATUS=MR","SCALING_FORMAT=MLN","Sort=A","Dates=H","DateFormat=P","Fill=—","Direction=H","UseDPDF=Y")</f>
        <v>1844</v>
      </c>
      <c r="AF62" s="12" cm="1">
        <f t="array" ref="AF62">_xll.BDH("DE US Equity","CF_FREE_CASH_FLOW","FQ4 2025","FQ4 2025","Currency=USD","Period=FQ","BEST_FPERIOD_OVERRIDE=FQ","FILING_STATUS=MR","SCALING_FORMAT=MLN","Sort=A","Dates=H","DateFormat=P","Fill=—","Direction=H","UseDPDF=Y")</f>
        <v>2628</v>
      </c>
    </row>
    <row r="63" spans="1:32" x14ac:dyDescent="0.25">
      <c r="A63" s="10" t="s">
        <v>156</v>
      </c>
      <c r="B63" s="10" t="s">
        <v>157</v>
      </c>
      <c r="C63" s="12" cm="1">
        <f t="array" ref="C63">_xll.BDH("DE US Equity","CF_FREE_CASH_FLOW_FIRM","FQ3 2018","FQ3 2018","Currency=USD","Period=FQ","BEST_FPERIOD_OVERRIDE=FQ","FILING_STATUS=MR","SCALING_FORMAT=MLN","FA_ADJUSTED=GAAP","Sort=A","Dates=H","DateFormat=P","Fill=—","Direction=H","UseDPDF=Y")</f>
        <v>48.128599999999999</v>
      </c>
      <c r="D63" s="12" cm="1">
        <f t="array" ref="D63">_xll.BDH("DE US Equity","CF_FREE_CASH_FLOW_FIRM","FQ4 2018","FQ4 2018","Currency=USD","Period=FQ","BEST_FPERIOD_OVERRIDE=FQ","FILING_STATUS=MR","SCALING_FORMAT=MLN","FA_ADJUSTED=GAAP","Sort=A","Dates=H","DateFormat=P","Fill=—","Direction=H","UseDPDF=Y")</f>
        <v>1797.903</v>
      </c>
      <c r="E63" s="12" cm="1">
        <f t="array" ref="E63">_xll.BDH("DE US Equity","CF_FREE_CASH_FLOW_FIRM","FQ1 2019","FQ1 2019","Currency=USD","Period=FQ","BEST_FPERIOD_OVERRIDE=FQ","FILING_STATUS=MR","SCALING_FORMAT=MLN","FA_ADJUSTED=GAAP","Sort=A","Dates=H","DateFormat=P","Fill=—","Direction=H","UseDPDF=Y")</f>
        <v>-2051.9409000000001</v>
      </c>
      <c r="F63" s="12" cm="1">
        <f t="array" ref="F63">_xll.BDH("DE US Equity","CF_FREE_CASH_FLOW_FIRM","FQ2 2019","FQ2 2019","Currency=USD","Period=FQ","BEST_FPERIOD_OVERRIDE=FQ","FILING_STATUS=MR","SCALING_FORMAT=MLN","FA_ADJUSTED=GAAP","Sort=A","Dates=H","DateFormat=P","Fill=—","Direction=H","UseDPDF=Y")</f>
        <v>-331.23320000000001</v>
      </c>
      <c r="G63" s="12" cm="1">
        <f t="array" ref="G63">_xll.BDH("DE US Equity","CF_FREE_CASH_FLOW_FIRM","FQ3 2019","FQ3 2019","Currency=USD","Period=FQ","BEST_FPERIOD_OVERRIDE=FQ","FILING_STATUS=MR","SCALING_FORMAT=MLN","FA_ADJUSTED=GAAP","Sort=A","Dates=H","DateFormat=P","Fill=—","Direction=H","UseDPDF=Y")</f>
        <v>1395.7375999999999</v>
      </c>
      <c r="H63" s="12" cm="1">
        <f t="array" ref="H63">_xll.BDH("DE US Equity","CF_FREE_CASH_FLOW_FIRM","FQ4 2019","FQ4 2019","Currency=USD","Period=FQ","BEST_FPERIOD_OVERRIDE=FQ","FILING_STATUS=MR","SCALING_FORMAT=MLN","FA_ADJUSTED=GAAP","Sort=A","Dates=H","DateFormat=P","Fill=—","Direction=H","UseDPDF=Y")</f>
        <v>2116.0884999999998</v>
      </c>
      <c r="I63" s="12" cm="1">
        <f t="array" ref="I63">_xll.BDH("DE US Equity","CF_FREE_CASH_FLOW_FIRM","FQ1 2020","FQ1 2020","Currency=USD","Period=FQ","BEST_FPERIOD_OVERRIDE=FQ","FILING_STATUS=MR","SCALING_FORMAT=MLN","FA_ADJUSTED=GAAP","Sort=A","Dates=H","DateFormat=P","Fill=—","Direction=H","UseDPDF=Y")</f>
        <v>-989.52549999999997</v>
      </c>
      <c r="J63" s="12" cm="1">
        <f t="array" ref="J63">_xll.BDH("DE US Equity","CF_FREE_CASH_FLOW_FIRM","FQ2 2020","FQ2 2020","Currency=USD","Period=FQ","BEST_FPERIOD_OVERRIDE=FQ","FILING_STATUS=MR","SCALING_FORMAT=MLN","FA_ADJUSTED=GAAP","Sort=A","Dates=H","DateFormat=P","Fill=—","Direction=H","UseDPDF=Y")</f>
        <v>922.70910000000003</v>
      </c>
      <c r="K63" s="12" cm="1">
        <f t="array" ref="K63">_xll.BDH("DE US Equity","CF_FREE_CASH_FLOW_FIRM","FQ3 2020","FQ3 2020","Currency=USD","Period=FQ","BEST_FPERIOD_OVERRIDE=FQ","FILING_STATUS=MR","SCALING_FORMAT=MLN","FA_ADJUSTED=GAAP","Sort=A","Dates=H","DateFormat=P","Fill=—","Direction=H","UseDPDF=Y")</f>
        <v>2961.6457</v>
      </c>
      <c r="L63" s="12" cm="1">
        <f t="array" ref="L63">_xll.BDH("DE US Equity","CF_FREE_CASH_FLOW_FIRM","FQ4 2020","FQ4 2020","Currency=USD","Period=FQ","BEST_FPERIOD_OVERRIDE=FQ","FILING_STATUS=MR","SCALING_FORMAT=MLN","FA_ADJUSTED=GAAP","Sort=A","Dates=H","DateFormat=P","Fill=—","Direction=H","UseDPDF=Y")</f>
        <v>2871.9713000000002</v>
      </c>
      <c r="M63" s="12" cm="1">
        <f t="array" ref="M63">_xll.BDH("DE US Equity","CF_FREE_CASH_FLOW_FIRM","FQ1 2021","FQ1 2021","Currency=USD","Period=FQ","BEST_FPERIOD_OVERRIDE=FQ","FILING_STATUS=MR","SCALING_FORMAT=MLN","FA_ADJUSTED=GAAP","Sort=A","Dates=H","DateFormat=P","Fill=—","Direction=H","UseDPDF=Y")</f>
        <v>-88.625699999999995</v>
      </c>
      <c r="N63" s="12" cm="1">
        <f t="array" ref="N63">_xll.BDH("DE US Equity","CF_FREE_CASH_FLOW_FIRM","FQ2 2021","FQ2 2021","Currency=USD","Period=FQ","BEST_FPERIOD_OVERRIDE=FQ","FILING_STATUS=MR","SCALING_FORMAT=MLN","FA_ADJUSTED=GAAP","Sort=A","Dates=H","DateFormat=P","Fill=—","Direction=H","UseDPDF=Y")</f>
        <v>1213.5640000000001</v>
      </c>
      <c r="O63" s="12" cm="1">
        <f t="array" ref="O63">_xll.BDH("DE US Equity","CF_FREE_CASH_FLOW_FIRM","FQ3 2021","FQ3 2021","Currency=USD","Period=FQ","BEST_FPERIOD_OVERRIDE=FQ","FILING_STATUS=MR","SCALING_FORMAT=MLN","FA_ADJUSTED=GAAP","Sort=A","Dates=H","DateFormat=P","Fill=—","Direction=H","UseDPDF=Y")</f>
        <v>2098.2772</v>
      </c>
      <c r="P63" s="12" cm="1">
        <f t="array" ref="P63">_xll.BDH("DE US Equity","CF_FREE_CASH_FLOW_FIRM","FQ4 2021","FQ4 2021","Currency=USD","Period=FQ","BEST_FPERIOD_OVERRIDE=FQ","FILING_STATUS=MR","SCALING_FORMAT=MLN","FA_ADJUSTED=GAAP","Sort=A","Dates=H","DateFormat=P","Fill=—","Direction=H","UseDPDF=Y")</f>
        <v>2701.0365999999999</v>
      </c>
      <c r="Q63" s="12" cm="1">
        <f t="array" ref="Q63">_xll.BDH("DE US Equity","CF_FREE_CASH_FLOW_FIRM","FQ1 2022","FQ1 2022","Currency=USD","Period=FQ","BEST_FPERIOD_OVERRIDE=FQ","FILING_STATUS=MR","SCALING_FORMAT=MLN","FA_ADJUSTED=GAAP","Sort=A","Dates=H","DateFormat=P","Fill=—","Direction=H","UseDPDF=Y")</f>
        <v>-2957.7393999999999</v>
      </c>
      <c r="R63" s="12" cm="1">
        <f t="array" ref="R63">_xll.BDH("DE US Equity","CF_FREE_CASH_FLOW_FIRM","FQ2 2022","FQ2 2022","Currency=USD","Period=FQ","BEST_FPERIOD_OVERRIDE=FQ","FILING_STATUS=MR","SCALING_FORMAT=MLN","FA_ADJUSTED=GAAP","Sort=A","Dates=H","DateFormat=P","Fill=—","Direction=H","UseDPDF=Y")</f>
        <v>178.21979999999999</v>
      </c>
      <c r="S63" s="12" cm="1">
        <f t="array" ref="S63">_xll.BDH("DE US Equity","CF_FREE_CASH_FLOW_FIRM","FQ3 2022","FQ3 2022","Currency=USD","Period=FQ","BEST_FPERIOD_OVERRIDE=FQ","FILING_STATUS=MR","SCALING_FORMAT=MLN","FA_ADJUSTED=GAAP","Sort=A","Dates=H","DateFormat=P","Fill=—","Direction=H","UseDPDF=Y")</f>
        <v>1436.7557999999999</v>
      </c>
      <c r="T63" s="12" cm="1">
        <f t="array" ref="T63">_xll.BDH("DE US Equity","CF_FREE_CASH_FLOW_FIRM","FQ4 2022","FQ4 2022","Currency=USD","Period=FQ","BEST_FPERIOD_OVERRIDE=FQ","FILING_STATUS=MR","SCALING_FORMAT=MLN","FA_ADJUSTED=GAAP","Sort=A","Dates=H","DateFormat=P","Fill=—","Direction=H","UseDPDF=Y")</f>
        <v>3077.2159000000001</v>
      </c>
      <c r="U63" s="12" cm="1">
        <f t="array" ref="U63">_xll.BDH("DE US Equity","CF_FREE_CASH_FLOW_FIRM","FQ1 2023","FQ1 2023","Currency=USD","Period=FQ","BEST_FPERIOD_OVERRIDE=FQ","FILING_STATUS=MR","SCALING_FORMAT=MLN","FA_ADJUSTED=GAAP","Sort=A","Dates=H","DateFormat=P","Fill=—","Direction=H","UseDPDF=Y")</f>
        <v>-1682.1781000000001</v>
      </c>
      <c r="V63" s="12" cm="1">
        <f t="array" ref="V63">_xll.BDH("DE US Equity","CF_FREE_CASH_FLOW_FIRM","FQ2 2023","FQ2 2023","Currency=USD","Period=FQ","BEST_FPERIOD_OVERRIDE=FQ","FILING_STATUS=MR","SCALING_FORMAT=MLN","FA_ADJUSTED=GAAP","Sort=A","Dates=H","DateFormat=P","Fill=—","Direction=H","UseDPDF=Y")</f>
        <v>520.46180000000004</v>
      </c>
      <c r="W63" s="12" cm="1">
        <f t="array" ref="W63">_xll.BDH("DE US Equity","CF_FREE_CASH_FLOW_FIRM","FQ3 2023","FQ3 2023","Currency=USD","Period=FQ","BEST_FPERIOD_OVERRIDE=FQ","FILING_STATUS=MR","SCALING_FORMAT=MLN","FA_ADJUSTED=GAAP","Sort=A","Dates=H","DateFormat=P","Fill=—","Direction=H","UseDPDF=Y")</f>
        <v>2514.1197999999999</v>
      </c>
      <c r="X63" s="12" cm="1">
        <f t="array" ref="X63">_xll.BDH("DE US Equity","CF_FREE_CASH_FLOW_FIRM","FQ4 2023","FQ4 2023","Currency=USD","Period=FQ","BEST_FPERIOD_OVERRIDE=FQ","FILING_STATUS=MR","SCALING_FORMAT=MLN","FA_ADJUSTED=GAAP","Sort=A","Dates=H","DateFormat=P","Fill=—","Direction=H","UseDPDF=Y")</f>
        <v>4681.3166000000001</v>
      </c>
      <c r="Y63" s="12" cm="1">
        <f t="array" ref="Y63">_xll.BDH("DE US Equity","CF_FREE_CASH_FLOW_FIRM","FQ1 2024","FQ1 2024","Currency=USD","Period=FQ","BEST_FPERIOD_OVERRIDE=FQ","FILING_STATUS=MR","SCALING_FORMAT=MLN","FA_ADJUSTED=GAAP","Sort=A","Dates=H","DateFormat=P","Fill=—","Direction=H","UseDPDF=Y")</f>
        <v>-1091.8140000000001</v>
      </c>
      <c r="Z63" s="12" cm="1">
        <f t="array" ref="Z63">_xll.BDH("DE US Equity","CF_FREE_CASH_FLOW_FIRM","FQ2 2024","FQ2 2024","Currency=USD","Period=FQ","BEST_FPERIOD_OVERRIDE=FQ","FILING_STATUS=MR","SCALING_FORMAT=MLN","FA_ADJUSTED=GAAP","Sort=A","Dates=H","DateFormat=P","Fill=—","Direction=H","UseDPDF=Y")</f>
        <v>1214.5768</v>
      </c>
      <c r="AA63" s="12" cm="1">
        <f t="array" ref="AA63">_xll.BDH("DE US Equity","CF_FREE_CASH_FLOW_FIRM","FQ3 2024","FQ3 2024","Currency=USD","Period=FQ","BEST_FPERIOD_OVERRIDE=FQ","FILING_STATUS=MR","SCALING_FORMAT=MLN","FA_ADJUSTED=GAAP","Sort=A","Dates=H","DateFormat=P","Fill=—","Direction=H","UseDPDF=Y")</f>
        <v>2692.0700999999999</v>
      </c>
      <c r="AB63" s="12" cm="1">
        <f t="array" ref="AB63">_xll.BDH("DE US Equity","CF_FREE_CASH_FLOW_FIRM","FQ4 2024","FQ4 2024","Currency=USD","Period=FQ","BEST_FPERIOD_OVERRIDE=FQ","FILING_STATUS=MR","SCALING_FORMAT=MLN","FA_ADJUSTED=GAAP","Sort=A","Dates=H","DateFormat=P","Fill=—","Direction=H","UseDPDF=Y")</f>
        <v>4225.8656000000001</v>
      </c>
      <c r="AC63" s="12" cm="1">
        <f t="array" ref="AC63">_xll.BDH("DE US Equity","CF_FREE_CASH_FLOW_FIRM","FQ1 2025","FQ1 2025","Currency=USD","Period=FQ","BEST_FPERIOD_OVERRIDE=FQ","FILING_STATUS=MR","SCALING_FORMAT=MLN","FA_ADJUSTED=GAAP","Sort=A","Dates=H","DateFormat=P","Fill=—","Direction=H","UseDPDF=Y")</f>
        <v>-1119.0089</v>
      </c>
      <c r="AD63" s="12" cm="1">
        <f t="array" ref="AD63">_xll.BDH("DE US Equity","CF_FREE_CASH_FLOW_FIRM","FQ2 2025","FQ2 2025","Currency=USD","Period=FQ","BEST_FPERIOD_OVERRIDE=FQ","FILING_STATUS=MR","SCALING_FORMAT=MLN","FA_ADJUSTED=GAAP","Sort=A","Dates=H","DateFormat=P","Fill=—","Direction=H","UseDPDF=Y")</f>
        <v>1285.1801</v>
      </c>
      <c r="AE63" s="12" cm="1">
        <f t="array" ref="AE63">_xll.BDH("DE US Equity","CF_FREE_CASH_FLOW_FIRM","FQ3 2025","FQ3 2025","Currency=USD","Period=FQ","BEST_FPERIOD_OVERRIDE=FQ","FILING_STATUS=MR","SCALING_FORMAT=MLN","FA_ADJUSTED=GAAP","Sort=A","Dates=H","DateFormat=P","Fill=—","Direction=H","UseDPDF=Y")</f>
        <v>2469.7712000000001</v>
      </c>
      <c r="AF63" s="12" cm="1">
        <f t="array" ref="AF63">_xll.BDH("DE US Equity","CF_FREE_CASH_FLOW_FIRM","FQ4 2025","FQ4 2025","Currency=USD","Period=FQ","BEST_FPERIOD_OVERRIDE=FQ","FILING_STATUS=MR","SCALING_FORMAT=MLN","FA_ADJUSTED=GAAP","Sort=A","Dates=H","DateFormat=P","Fill=—","Direction=H","UseDPDF=Y")</f>
        <v>3200.5702000000001</v>
      </c>
    </row>
    <row r="64" spans="1:32" x14ac:dyDescent="0.25">
      <c r="A64" s="10" t="s">
        <v>158</v>
      </c>
      <c r="B64" s="10" t="s">
        <v>159</v>
      </c>
      <c r="C64" s="12" cm="1">
        <f t="array" ref="C64">_xll.BDH("DE US Equity","FREE_CASH_FLOW_EQUITY","FQ3 2018","FQ3 2018","Currency=USD","Period=FQ","BEST_FPERIOD_OVERRIDE=FQ","FILING_STATUS=MR","SCALING_FORMAT=MLN","Sort=A","Dates=H","DateFormat=P","Fill=—","Direction=H","UseDPDF=Y")</f>
        <v>1357.1</v>
      </c>
      <c r="D64" s="12" cm="1">
        <f t="array" ref="D64">_xll.BDH("DE US Equity","FREE_CASH_FLOW_EQUITY","FQ4 2018","FQ4 2018","Currency=USD","Period=FQ","BEST_FPERIOD_OVERRIDE=FQ","FILING_STATUS=MR","SCALING_FORMAT=MLN","Sort=A","Dates=H","DateFormat=P","Fill=—","Direction=H","UseDPDF=Y")</f>
        <v>1876</v>
      </c>
      <c r="E64" s="12" cm="1">
        <f t="array" ref="E64">_xll.BDH("DE US Equity","FREE_CASH_FLOW_EQUITY","FQ1 2019","FQ1 2019","Currency=USD","Period=FQ","BEST_FPERIOD_OVERRIDE=FQ","FILING_STATUS=MR","SCALING_FORMAT=MLN","Sort=A","Dates=H","DateFormat=P","Fill=—","Direction=H","UseDPDF=Y")</f>
        <v>-1192</v>
      </c>
      <c r="F64" s="12" cm="1">
        <f t="array" ref="F64">_xll.BDH("DE US Equity","FREE_CASH_FLOW_EQUITY","FQ2 2019","FQ2 2019","Currency=USD","Period=FQ","BEST_FPERIOD_OVERRIDE=FQ","FILING_STATUS=MR","SCALING_FORMAT=MLN","Sort=A","Dates=H","DateFormat=P","Fill=—","Direction=H","UseDPDF=Y")</f>
        <v>1480.6</v>
      </c>
      <c r="G64" s="12" cm="1">
        <f t="array" ref="G64">_xll.BDH("DE US Equity","FREE_CASH_FLOW_EQUITY","FQ3 2019","FQ3 2019","Currency=USD","Period=FQ","BEST_FPERIOD_OVERRIDE=FQ","FILING_STATUS=MR","SCALING_FORMAT=MLN","Sort=A","Dates=H","DateFormat=P","Fill=—","Direction=H","UseDPDF=Y")</f>
        <v>1817</v>
      </c>
      <c r="H64" s="12" cm="1">
        <f t="array" ref="H64">_xll.BDH("DE US Equity","FREE_CASH_FLOW_EQUITY","FQ4 2019","FQ4 2019","Currency=USD","Period=FQ","BEST_FPERIOD_OVERRIDE=FQ","FILING_STATUS=MR","SCALING_FORMAT=MLN","Sort=A","Dates=H","DateFormat=P","Fill=—","Direction=H","UseDPDF=Y")</f>
        <v>2149</v>
      </c>
      <c r="I64" s="12" cm="1">
        <f t="array" ref="I64">_xll.BDH("DE US Equity","FREE_CASH_FLOW_EQUITY","FQ1 2020","FQ1 2020","Currency=USD","Period=FQ","BEST_FPERIOD_OVERRIDE=FQ","FILING_STATUS=MR","SCALING_FORMAT=MLN","Sort=A","Dates=H","DateFormat=P","Fill=—","Direction=H","UseDPDF=Y")</f>
        <v>-1292</v>
      </c>
      <c r="J64" s="12" cm="1">
        <f t="array" ref="J64">_xll.BDH("DE US Equity","FREE_CASH_FLOW_EQUITY","FQ2 2020","FQ2 2020","Currency=USD","Period=FQ","BEST_FPERIOD_OVERRIDE=FQ","FILING_STATUS=MR","SCALING_FORMAT=MLN","Sort=A","Dates=H","DateFormat=P","Fill=—","Direction=H","UseDPDF=Y")</f>
        <v>6663</v>
      </c>
      <c r="K64" s="12" cm="1">
        <f t="array" ref="K64">_xll.BDH("DE US Equity","FREE_CASH_FLOW_EQUITY","FQ3 2020","FQ3 2020","Currency=USD","Period=FQ","BEST_FPERIOD_OVERRIDE=FQ","FILING_STATUS=MR","SCALING_FORMAT=MLN","Sort=A","Dates=H","DateFormat=P","Fill=—","Direction=H","UseDPDF=Y")</f>
        <v>794</v>
      </c>
      <c r="L64" s="12" cm="1">
        <f t="array" ref="L64">_xll.BDH("DE US Equity","FREE_CASH_FLOW_EQUITY","FQ4 2020","FQ4 2020","Currency=USD","Period=FQ","BEST_FPERIOD_OVERRIDE=FQ","FILING_STATUS=MR","SCALING_FORMAT=MLN","Sort=A","Dates=H","DateFormat=P","Fill=—","Direction=H","UseDPDF=Y")</f>
        <v>973</v>
      </c>
      <c r="M64" s="12" cm="1">
        <f t="array" ref="M64">_xll.BDH("DE US Equity","FREE_CASH_FLOW_EQUITY","FQ1 2021","FQ1 2021","Currency=USD","Period=FQ","BEST_FPERIOD_OVERRIDE=FQ","FILING_STATUS=MR","SCALING_FORMAT=MLN","Sort=A","Dates=H","DateFormat=P","Fill=—","Direction=H","UseDPDF=Y")</f>
        <v>-224</v>
      </c>
      <c r="N64" s="12" cm="1">
        <f t="array" ref="N64">_xll.BDH("DE US Equity","FREE_CASH_FLOW_EQUITY","FQ2 2021","FQ2 2021","Currency=USD","Period=FQ","BEST_FPERIOD_OVERRIDE=FQ","FILING_STATUS=MR","SCALING_FORMAT=MLN","Sort=A","Dates=H","DateFormat=P","Fill=—","Direction=H","UseDPDF=Y")</f>
        <v>2959</v>
      </c>
      <c r="O64" s="12" cm="1">
        <f t="array" ref="O64">_xll.BDH("DE US Equity","FREE_CASH_FLOW_EQUITY","FQ3 2021","FQ3 2021","Currency=USD","Period=FQ","BEST_FPERIOD_OVERRIDE=FQ","FILING_STATUS=MR","SCALING_FORMAT=MLN","Sort=A","Dates=H","DateFormat=P","Fill=—","Direction=H","UseDPDF=Y")</f>
        <v>3021</v>
      </c>
      <c r="P64" s="12" cm="1">
        <f t="array" ref="P64">_xll.BDH("DE US Equity","FREE_CASH_FLOW_EQUITY","FQ4 2021","FQ4 2021","Currency=USD","Period=FQ","BEST_FPERIOD_OVERRIDE=FQ","FILING_STATUS=MR","SCALING_FORMAT=MLN","Sort=A","Dates=H","DateFormat=P","Fill=—","Direction=H","UseDPDF=Y")</f>
        <v>3934</v>
      </c>
      <c r="Q64" s="12" cm="1">
        <f t="array" ref="Q64">_xll.BDH("DE US Equity","FREE_CASH_FLOW_EQUITY","FQ1 2022","FQ1 2022","Currency=USD","Period=FQ","BEST_FPERIOD_OVERRIDE=FQ","FILING_STATUS=MR","SCALING_FORMAT=MLN","Sort=A","Dates=H","DateFormat=P","Fill=—","Direction=H","UseDPDF=Y")</f>
        <v>-3263</v>
      </c>
      <c r="R64" s="12" cm="1">
        <f t="array" ref="R64">_xll.BDH("DE US Equity","FREE_CASH_FLOW_EQUITY","FQ2 2022","FQ2 2022","Currency=USD","Period=FQ","BEST_FPERIOD_OVERRIDE=FQ","FILING_STATUS=MR","SCALING_FORMAT=MLN","Sort=A","Dates=H","DateFormat=P","Fill=—","Direction=H","UseDPDF=Y")</f>
        <v>2671</v>
      </c>
      <c r="S64" s="12" cm="1">
        <f t="array" ref="S64">_xll.BDH("DE US Equity","FREE_CASH_FLOW_EQUITY","FQ3 2022","FQ3 2022","Currency=USD","Period=FQ","BEST_FPERIOD_OVERRIDE=FQ","FILING_STATUS=MR","SCALING_FORMAT=MLN","Sort=A","Dates=H","DateFormat=P","Fill=—","Direction=H","UseDPDF=Y")</f>
        <v>4168</v>
      </c>
      <c r="T64" s="12" cm="1">
        <f t="array" ref="T64">_xll.BDH("DE US Equity","FREE_CASH_FLOW_EQUITY","FQ4 2022","FQ4 2022","Currency=USD","Period=FQ","BEST_FPERIOD_OVERRIDE=FQ","FILING_STATUS=MR","SCALING_FORMAT=MLN","Sort=A","Dates=H","DateFormat=P","Fill=—","Direction=H","UseDPDF=Y")</f>
        <v>5193</v>
      </c>
      <c r="U64" s="12" cm="1">
        <f t="array" ref="U64">_xll.BDH("DE US Equity","FREE_CASH_FLOW_EQUITY","FQ1 2023","FQ1 2023","Currency=USD","Period=FQ","BEST_FPERIOD_OVERRIDE=FQ","FILING_STATUS=MR","SCALING_FORMAT=MLN","Sort=A","Dates=H","DateFormat=P","Fill=—","Direction=H","UseDPDF=Y")</f>
        <v>-284</v>
      </c>
      <c r="V64" s="12" cm="1">
        <f t="array" ref="V64">_xll.BDH("DE US Equity","FREE_CASH_FLOW_EQUITY","FQ2 2023","FQ2 2023","Currency=USD","Period=FQ","BEST_FPERIOD_OVERRIDE=FQ","FILING_STATUS=MR","SCALING_FORMAT=MLN","Sort=A","Dates=H","DateFormat=P","Fill=—","Direction=H","UseDPDF=Y")</f>
        <v>4610</v>
      </c>
      <c r="W64" s="12" cm="1">
        <f t="array" ref="W64">_xll.BDH("DE US Equity","FREE_CASH_FLOW_EQUITY","FQ3 2023","FQ3 2023","Currency=USD","Period=FQ","BEST_FPERIOD_OVERRIDE=FQ","FILING_STATUS=MR","SCALING_FORMAT=MLN","Sort=A","Dates=H","DateFormat=P","Fill=—","Direction=H","UseDPDF=Y")</f>
        <v>6310</v>
      </c>
      <c r="X64" s="12" cm="1">
        <f t="array" ref="X64">_xll.BDH("DE US Equity","FREE_CASH_FLOW_EQUITY","FQ4 2023","FQ4 2023","Currency=USD","Period=FQ","BEST_FPERIOD_OVERRIDE=FQ","FILING_STATUS=MR","SCALING_FORMAT=MLN","Sort=A","Dates=H","DateFormat=P","Fill=—","Direction=H","UseDPDF=Y")</f>
        <v>6990</v>
      </c>
      <c r="Y64" s="12" cm="1">
        <f t="array" ref="Y64">_xll.BDH("DE US Equity","FREE_CASH_FLOW_EQUITY","FQ1 2024","FQ1 2024","Currency=USD","Period=FQ","BEST_FPERIOD_OVERRIDE=FQ","FILING_STATUS=MR","SCALING_FORMAT=MLN","Sort=A","Dates=H","DateFormat=P","Fill=—","Direction=H","UseDPDF=Y")</f>
        <v>-2119</v>
      </c>
      <c r="Z64" s="12" cm="1">
        <f t="array" ref="Z64">_xll.BDH("DE US Equity","FREE_CASH_FLOW_EQUITY","FQ2 2024","FQ2 2024","Currency=USD","Period=FQ","BEST_FPERIOD_OVERRIDE=FQ","FILING_STATUS=MR","SCALING_FORMAT=MLN","Sort=A","Dates=H","DateFormat=P","Fill=—","Direction=H","UseDPDF=Y")</f>
        <v>4094</v>
      </c>
      <c r="AA64" s="12" cm="1">
        <f t="array" ref="AA64">_xll.BDH("DE US Equity","FREE_CASH_FLOW_EQUITY","FQ3 2024","FQ3 2024","Currency=USD","Period=FQ","BEST_FPERIOD_OVERRIDE=FQ","FILING_STATUS=MR","SCALING_FORMAT=MLN","Sort=A","Dates=H","DateFormat=P","Fill=—","Direction=H","UseDPDF=Y")</f>
        <v>4135</v>
      </c>
      <c r="AB64" s="12" cm="1">
        <f t="array" ref="AB64">_xll.BDH("DE US Equity","FREE_CASH_FLOW_EQUITY","FQ4 2024","FQ4 2024","Currency=USD","Period=FQ","BEST_FPERIOD_OVERRIDE=FQ","FILING_STATUS=MR","SCALING_FORMAT=MLN","Sort=A","Dates=H","DateFormat=P","Fill=—","Direction=H","UseDPDF=Y")</f>
        <v>3256</v>
      </c>
      <c r="AC64" s="12" cm="1">
        <f t="array" ref="AC64">_xll.BDH("DE US Equity","FREE_CASH_FLOW_EQUITY","FQ1 2025","FQ1 2025","Currency=USD","Period=FQ","BEST_FPERIOD_OVERRIDE=FQ","FILING_STATUS=MR","SCALING_FORMAT=MLN","Sort=A","Dates=H","DateFormat=P","Fill=—","Direction=H","UseDPDF=Y")</f>
        <v>-1559</v>
      </c>
      <c r="AD64" s="12" cm="1">
        <f t="array" ref="AD64">_xll.BDH("DE US Equity","FREE_CASH_FLOW_EQUITY","FQ2 2025","FQ2 2025","Currency=USD","Period=FQ","BEST_FPERIOD_OVERRIDE=FQ","FILING_STATUS=MR","SCALING_FORMAT=MLN","Sort=A","Dates=H","DateFormat=P","Fill=—","Direction=H","UseDPDF=Y")</f>
        <v>2189</v>
      </c>
      <c r="AE64" s="12" cm="1">
        <f t="array" ref="AE64">_xll.BDH("DE US Equity","FREE_CASH_FLOW_EQUITY","FQ3 2025","FQ3 2025","Currency=USD","Period=FQ","BEST_FPERIOD_OVERRIDE=FQ","FILING_STATUS=MR","SCALING_FORMAT=MLN","Sort=A","Dates=H","DateFormat=P","Fill=—","Direction=H","UseDPDF=Y")</f>
        <v>2285</v>
      </c>
      <c r="AF64" s="12" cm="1">
        <f t="array" ref="AF64">_xll.BDH("DE US Equity","FREE_CASH_FLOW_EQUITY","FQ4 2025","FQ4 2025","Currency=USD","Period=FQ","BEST_FPERIOD_OVERRIDE=FQ","FILING_STATUS=MR","SCALING_FORMAT=MLN","Sort=A","Dates=H","DateFormat=P","Fill=—","Direction=H","UseDPDF=Y")</f>
        <v>591</v>
      </c>
    </row>
    <row r="65" spans="1:32" x14ac:dyDescent="0.25">
      <c r="A65" s="10" t="s">
        <v>160</v>
      </c>
      <c r="B65" s="10" t="s">
        <v>161</v>
      </c>
      <c r="C65" s="13" cm="1">
        <f t="array" ref="C65">_xll.BDH("DE US Equity","FREE_CASH_FLOW_PER_SH","FQ3 2018","FQ3 2018","Currency=USD","Period=FQ","BEST_FPERIOD_OVERRIDE=FQ","FILING_STATUS=MR","Sort=A","Dates=H","DateFormat=P","Fill=—","Direction=H","UseDPDF=Y")</f>
        <v>-0.5323</v>
      </c>
      <c r="D65" s="13" cm="1">
        <f t="array" ref="D65">_xll.BDH("DE US Equity","FREE_CASH_FLOW_PER_SH","FQ4 2018","FQ4 2018","Currency=USD","Period=FQ","BEST_FPERIOD_OVERRIDE=FQ","FILING_STATUS=MR","Sort=A","Dates=H","DateFormat=P","Fill=—","Direction=H","UseDPDF=Y")</f>
        <v>4.8174000000000001</v>
      </c>
      <c r="E65" s="13" cm="1">
        <f t="array" ref="E65">_xll.BDH("DE US Equity","FREE_CASH_FLOW_PER_SH","FQ1 2019","FQ1 2019","Currency=USD","Period=FQ","BEST_FPERIOD_OVERRIDE=FQ","FILING_STATUS=MR","Sort=A","Dates=H","DateFormat=P","Fill=—","Direction=H","UseDPDF=Y")</f>
        <v>-7.2496</v>
      </c>
      <c r="F65" s="13" cm="1">
        <f t="array" ref="F65">_xll.BDH("DE US Equity","FREE_CASH_FLOW_PER_SH","FQ2 2019","FQ2 2019","Currency=USD","Period=FQ","BEST_FPERIOD_OVERRIDE=FQ","FILING_STATUS=MR","Sort=A","Dates=H","DateFormat=P","Fill=—","Direction=H","UseDPDF=Y")</f>
        <v>-1.889</v>
      </c>
      <c r="G65" s="13" cm="1">
        <f t="array" ref="G65">_xll.BDH("DE US Equity","FREE_CASH_FLOW_PER_SH","FQ3 2019","FQ3 2019","Currency=USD","Period=FQ","BEST_FPERIOD_OVERRIDE=FQ","FILING_STATUS=MR","Sort=A","Dates=H","DateFormat=P","Fill=—","Direction=H","UseDPDF=Y")</f>
        <v>3.4695</v>
      </c>
      <c r="H65" s="13" cm="1">
        <f t="array" ref="H65">_xll.BDH("DE US Equity","FREE_CASH_FLOW_PER_SH","FQ4 2019","FQ4 2019","Currency=USD","Period=FQ","BEST_FPERIOD_OVERRIDE=FQ","FILING_STATUS=MR","Sort=A","Dates=H","DateFormat=P","Fill=—","Direction=H","UseDPDF=Y")</f>
        <v>5.6609999999999996</v>
      </c>
      <c r="I65" s="13" cm="1">
        <f t="array" ref="I65">_xll.BDH("DE US Equity","FREE_CASH_FLOW_PER_SH","FQ1 2020","FQ1 2020","Currency=USD","Period=FQ","BEST_FPERIOD_OVERRIDE=FQ","FILING_STATUS=MR","Sort=A","Dates=H","DateFormat=P","Fill=—","Direction=H","UseDPDF=Y")</f>
        <v>-4.1340000000000003</v>
      </c>
      <c r="J65" s="13" cm="1">
        <f t="array" ref="J65">_xll.BDH("DE US Equity","FREE_CASH_FLOW_PER_SH","FQ2 2020","FQ2 2020","Currency=USD","Period=FQ","BEST_FPERIOD_OVERRIDE=FQ","FILING_STATUS=MR","Sort=A","Dates=H","DateFormat=P","Fill=—","Direction=H","UseDPDF=Y")</f>
        <v>2.1423999999999999</v>
      </c>
      <c r="K65" s="13" cm="1">
        <f t="array" ref="K65">_xll.BDH("DE US Equity","FREE_CASH_FLOW_PER_SH","FQ3 2020","FQ3 2020","Currency=USD","Period=FQ","BEST_FPERIOD_OVERRIDE=FQ","FILING_STATUS=MR","Sort=A","Dates=H","DateFormat=P","Fill=—","Direction=H","UseDPDF=Y")</f>
        <v>8.8689999999999998</v>
      </c>
      <c r="L65" s="13" cm="1">
        <f t="array" ref="L65">_xll.BDH("DE US Equity","FREE_CASH_FLOW_PER_SH","FQ4 2020","FQ4 2020","Currency=USD","Period=FQ","BEST_FPERIOD_OVERRIDE=FQ","FILING_STATUS=MR","Sort=A","Dates=H","DateFormat=P","Fill=—","Direction=H","UseDPDF=Y")</f>
        <v>8.5196000000000005</v>
      </c>
      <c r="M65" s="13" cm="1">
        <f t="array" ref="M65">_xll.BDH("DE US Equity","FREE_CASH_FLOW_PER_SH","FQ1 2021","FQ1 2021","Currency=USD","Period=FQ","BEST_FPERIOD_OVERRIDE=FQ","FILING_STATUS=MR","Sort=A","Dates=H","DateFormat=P","Fill=—","Direction=H","UseDPDF=Y")</f>
        <v>-0.97289999999999999</v>
      </c>
      <c r="N65" s="13" cm="1">
        <f t="array" ref="N65">_xll.BDH("DE US Equity","FREE_CASH_FLOW_PER_SH","FQ2 2021","FQ2 2021","Currency=USD","Period=FQ","BEST_FPERIOD_OVERRIDE=FQ","FILING_STATUS=MR","Sort=A","Dates=H","DateFormat=P","Fill=—","Direction=H","UseDPDF=Y")</f>
        <v>3.2193000000000001</v>
      </c>
      <c r="O65" s="13" cm="1">
        <f t="array" ref="O65">_xll.BDH("DE US Equity","FREE_CASH_FLOW_PER_SH","FQ3 2021","FQ3 2021","Currency=USD","Period=FQ","BEST_FPERIOD_OVERRIDE=FQ","FILING_STATUS=MR","Sort=A","Dates=H","DateFormat=P","Fill=—","Direction=H","UseDPDF=Y")</f>
        <v>6.1414999999999997</v>
      </c>
      <c r="P65" s="13" cm="1">
        <f t="array" ref="P65">_xll.BDH("DE US Equity","FREE_CASH_FLOW_PER_SH","FQ4 2021","FQ4 2021","Currency=USD","Period=FQ","BEST_FPERIOD_OVERRIDE=FQ","FILING_STATUS=MR","Sort=A","Dates=H","DateFormat=P","Fill=—","Direction=H","UseDPDF=Y")</f>
        <v>8.1952999999999996</v>
      </c>
      <c r="Q65" s="13" cm="1">
        <f t="array" ref="Q65">_xll.BDH("DE US Equity","FREE_CASH_FLOW_PER_SH","FQ1 2022","FQ1 2022","Currency=USD","Period=FQ","BEST_FPERIOD_OVERRIDE=FQ","FILING_STATUS=MR","Sort=A","Dates=H","DateFormat=P","Fill=—","Direction=H","UseDPDF=Y")</f>
        <v>-10.2049</v>
      </c>
      <c r="R65" s="13" cm="1">
        <f t="array" ref="R65">_xll.BDH("DE US Equity","FREE_CASH_FLOW_PER_SH","FQ2 2022","FQ2 2022","Currency=USD","Period=FQ","BEST_FPERIOD_OVERRIDE=FQ","FILING_STATUS=MR","Sort=A","Dates=H","DateFormat=P","Fill=—","Direction=H","UseDPDF=Y")</f>
        <v>8.1600000000000006E-2</v>
      </c>
      <c r="S65" s="13" cm="1">
        <f t="array" ref="S65">_xll.BDH("DE US Equity","FREE_CASH_FLOW_PER_SH","FQ3 2022","FQ3 2022","Currency=USD","Period=FQ","BEST_FPERIOD_OVERRIDE=FQ","FILING_STATUS=MR","Sort=A","Dates=H","DateFormat=P","Fill=—","Direction=H","UseDPDF=Y")</f>
        <v>4.0019999999999998</v>
      </c>
      <c r="T65" s="13" cm="1">
        <f t="array" ref="T65">_xll.BDH("DE US Equity","FREE_CASH_FLOW_PER_SH","FQ4 2022","FQ4 2022","Currency=USD","Period=FQ","BEST_FPERIOD_OVERRIDE=FQ","FILING_STATUS=MR","Sort=A","Dates=H","DateFormat=P","Fill=—","Direction=H","UseDPDF=Y")</f>
        <v>9.3346999999999998</v>
      </c>
      <c r="U65" s="13" cm="1">
        <f t="array" ref="U65">_xll.BDH("DE US Equity","FREE_CASH_FLOW_PER_SH","FQ1 2023","FQ1 2023","Currency=USD","Period=FQ","BEST_FPERIOD_OVERRIDE=FQ","FILING_STATUS=MR","Sort=A","Dates=H","DateFormat=P","Fill=—","Direction=H","UseDPDF=Y")</f>
        <v>-6.9153000000000002</v>
      </c>
      <c r="V65" s="13" cm="1">
        <f t="array" ref="V65">_xll.BDH("DE US Equity","FREE_CASH_FLOW_PER_SH","FQ2 2023","FQ2 2023","Currency=USD","Period=FQ","BEST_FPERIOD_OVERRIDE=FQ","FILING_STATUS=MR","Sort=A","Dates=H","DateFormat=P","Fill=—","Direction=H","UseDPDF=Y")</f>
        <v>0.33210000000000001</v>
      </c>
      <c r="W65" s="13" cm="1">
        <f t="array" ref="W65">_xll.BDH("DE US Equity","FREE_CASH_FLOW_PER_SH","FQ3 2023","FQ3 2023","Currency=USD","Period=FQ","BEST_FPERIOD_OVERRIDE=FQ","FILING_STATUS=MR","Sort=A","Dates=H","DateFormat=P","Fill=—","Direction=H","UseDPDF=Y")</f>
        <v>6.8810000000000002</v>
      </c>
      <c r="X65" s="13" cm="1">
        <f t="array" ref="X65">_xll.BDH("DE US Equity","FREE_CASH_FLOW_PER_SH","FQ4 2023","FQ4 2023","Currency=USD","Period=FQ","BEST_FPERIOD_OVERRIDE=FQ","FILING_STATUS=MR","Sort=A","Dates=H","DateFormat=P","Fill=—","Direction=H","UseDPDF=Y")</f>
        <v>14.290699999999999</v>
      </c>
      <c r="Y65" s="13" cm="1">
        <f t="array" ref="Y65">_xll.BDH("DE US Equity","FREE_CASH_FLOW_PER_SH","FQ1 2024","FQ1 2024","Currency=USD","Period=FQ","BEST_FPERIOD_OVERRIDE=FQ","FILING_STATUS=MR","Sort=A","Dates=H","DateFormat=P","Fill=—","Direction=H","UseDPDF=Y")</f>
        <v>-6.1593</v>
      </c>
      <c r="Z65" s="13" cm="1">
        <f t="array" ref="Z65">_xll.BDH("DE US Equity","FREE_CASH_FLOW_PER_SH","FQ2 2024","FQ2 2024","Currency=USD","Period=FQ","BEST_FPERIOD_OVERRIDE=FQ","FILING_STATUS=MR","Sort=A","Dates=H","DateFormat=P","Fill=—","Direction=H","UseDPDF=Y")</f>
        <v>2.0954000000000002</v>
      </c>
      <c r="AA65" s="13" cm="1">
        <f t="array" ref="AA65">_xll.BDH("DE US Equity","FREE_CASH_FLOW_PER_SH","FQ3 2024","FQ3 2024","Currency=USD","Period=FQ","BEST_FPERIOD_OVERRIDE=FQ","FILING_STATUS=MR","Sort=A","Dates=H","DateFormat=P","Fill=—","Direction=H","UseDPDF=Y")</f>
        <v>7.5591999999999997</v>
      </c>
      <c r="AB65" s="13" cm="1">
        <f t="array" ref="AB65">_xll.BDH("DE US Equity","FREE_CASH_FLOW_PER_SH","FQ4 2024","FQ4 2024","Currency=USD","Period=FQ","BEST_FPERIOD_OVERRIDE=FQ","FILING_STATUS=MR","Sort=A","Dates=H","DateFormat=P","Fill=—","Direction=H","UseDPDF=Y")</f>
        <v>12.832000000000001</v>
      </c>
      <c r="AC65" s="13" cm="1">
        <f t="array" ref="AC65">_xll.BDH("DE US Equity","FREE_CASH_FLOW_PER_SH","FQ1 2025","FQ1 2025","Currency=USD","Period=FQ","BEST_FPERIOD_OVERRIDE=FQ","FILING_STATUS=MR","Sort=A","Dates=H","DateFormat=P","Fill=—","Direction=H","UseDPDF=Y")</f>
        <v>-7.0803000000000003</v>
      </c>
      <c r="AD65" s="13" cm="1">
        <f t="array" ref="AD65">_xll.BDH("DE US Equity","FREE_CASH_FLOW_PER_SH","FQ2 2025","FQ2 2025","Currency=USD","Period=FQ","BEST_FPERIOD_OVERRIDE=FQ","FILING_STATUS=MR","Sort=A","Dates=H","DateFormat=P","Fill=—","Direction=H","UseDPDF=Y")</f>
        <v>2.5156999999999998</v>
      </c>
      <c r="AE65" s="13" cm="1">
        <f t="array" ref="AE65">_xll.BDH("DE US Equity","FREE_CASH_FLOW_PER_SH","FQ3 2025","FQ3 2025","Currency=USD","Period=FQ","BEST_FPERIOD_OVERRIDE=FQ","FILING_STATUS=MR","Sort=A","Dates=H","DateFormat=P","Fill=—","Direction=H","UseDPDF=Y")</f>
        <v>6.8120000000000003</v>
      </c>
      <c r="AF65" s="13" cm="1">
        <f t="array" ref="AF65">_xll.BDH("DE US Equity","FREE_CASH_FLOW_PER_SH","FQ4 2025","FQ4 2025","Currency=USD","Period=FQ","BEST_FPERIOD_OVERRIDE=FQ","FILING_STATUS=MR","Sort=A","Dates=H","DateFormat=P","Fill=—","Direction=H","UseDPDF=Y")</f>
        <v>9.7225000000000001</v>
      </c>
    </row>
    <row r="66" spans="1:32" x14ac:dyDescent="0.25">
      <c r="A66" s="10" t="s">
        <v>162</v>
      </c>
      <c r="B66" s="10" t="s">
        <v>163</v>
      </c>
      <c r="C66" s="13" t="str" cm="1">
        <f t="array" ref="C66">_xll.BDH("DE US Equity","PX_TO_FREE_CASH_FLOW","FQ3 2018","FQ3 2018","Currency=USD","Period=FQ","BEST_FPERIOD_OVERRIDE=FQ","FILING_STATUS=MR","Sort=A","Dates=H","DateFormat=P","Fill=—","Direction=H","UseDPDF=Y")</f>
        <v>—</v>
      </c>
      <c r="D66" s="13" t="str" cm="1">
        <f t="array" ref="D66">_xll.BDH("DE US Equity","PX_TO_FREE_CASH_FLOW","FQ4 2018","FQ4 2018","Currency=USD","Period=FQ","BEST_FPERIOD_OVERRIDE=FQ","FILING_STATUS=MR","Sort=A","Dates=H","DateFormat=P","Fill=—","Direction=H","UseDPDF=Y")</f>
        <v>—</v>
      </c>
      <c r="E66" s="13" t="str" cm="1">
        <f t="array" ref="E66">_xll.BDH("DE US Equity","PX_TO_FREE_CASH_FLOW","FQ1 2019","FQ1 2019","Currency=USD","Period=FQ","BEST_FPERIOD_OVERRIDE=FQ","FILING_STATUS=MR","Sort=A","Dates=H","DateFormat=P","Fill=—","Direction=H","UseDPDF=Y")</f>
        <v>—</v>
      </c>
      <c r="F66" s="13" t="str" cm="1">
        <f t="array" ref="F66">_xll.BDH("DE US Equity","PX_TO_FREE_CASH_FLOW","FQ2 2019","FQ2 2019","Currency=USD","Period=FQ","BEST_FPERIOD_OVERRIDE=FQ","FILING_STATUS=MR","Sort=A","Dates=H","DateFormat=P","Fill=—","Direction=H","UseDPDF=Y")</f>
        <v>—</v>
      </c>
      <c r="G66" s="13" t="str" cm="1">
        <f t="array" ref="G66">_xll.BDH("DE US Equity","PX_TO_FREE_CASH_FLOW","FQ3 2019","FQ3 2019","Currency=USD","Period=FQ","BEST_FPERIOD_OVERRIDE=FQ","FILING_STATUS=MR","Sort=A","Dates=H","DateFormat=P","Fill=—","Direction=H","UseDPDF=Y")</f>
        <v>—</v>
      </c>
      <c r="H66" s="13" t="str" cm="1">
        <f t="array" ref="H66">_xll.BDH("DE US Equity","PX_TO_FREE_CASH_FLOW","FQ4 2019","FQ4 2019","Currency=USD","Period=FQ","BEST_FPERIOD_OVERRIDE=FQ","FILING_STATUS=MR","Sort=A","Dates=H","DateFormat=P","Fill=—","Direction=H","UseDPDF=Y")</f>
        <v>—</v>
      </c>
      <c r="I66" s="13" cm="1">
        <f t="array" ref="I66">_xll.BDH("DE US Equity","PX_TO_FREE_CASH_FLOW","FQ1 2020","FQ1 2020","Currency=USD","Period=FQ","BEST_FPERIOD_OVERRIDE=FQ","FILING_STATUS=MR","Sort=A","Dates=H","DateFormat=P","Fill=—","Direction=H","UseDPDF=Y")</f>
        <v>51.0304</v>
      </c>
      <c r="J66" s="13" cm="1">
        <f t="array" ref="J66">_xll.BDH("DE US Equity","PX_TO_FREE_CASH_FLOW","FQ2 2020","FQ2 2020","Currency=USD","Period=FQ","BEST_FPERIOD_OVERRIDE=FQ","FILING_STATUS=MR","Sort=A","Dates=H","DateFormat=P","Fill=—","Direction=H","UseDPDF=Y")</f>
        <v>19.357299999999999</v>
      </c>
      <c r="K66" s="13" cm="1">
        <f t="array" ref="K66">_xll.BDH("DE US Equity","PX_TO_FREE_CASH_FLOW","FQ3 2020","FQ3 2020","Currency=USD","Period=FQ","BEST_FPERIOD_OVERRIDE=FQ","FILING_STATUS=MR","Sort=A","Dates=H","DateFormat=P","Fill=—","Direction=H","UseDPDF=Y")</f>
        <v>14.061500000000001</v>
      </c>
      <c r="L66" s="13" cm="1">
        <f t="array" ref="L66">_xll.BDH("DE US Equity","PX_TO_FREE_CASH_FLOW","FQ4 2020","FQ4 2020","Currency=USD","Period=FQ","BEST_FPERIOD_OVERRIDE=FQ","FILING_STATUS=MR","Sort=A","Dates=H","DateFormat=P","Fill=—","Direction=H","UseDPDF=Y")</f>
        <v>14.6723</v>
      </c>
      <c r="M66" s="13" cm="1">
        <f t="array" ref="M66">_xll.BDH("DE US Equity","PX_TO_FREE_CASH_FLOW","FQ1 2021","FQ1 2021","Currency=USD","Period=FQ","BEST_FPERIOD_OVERRIDE=FQ","FILING_STATUS=MR","Sort=A","Dates=H","DateFormat=P","Fill=—","Direction=H","UseDPDF=Y")</f>
        <v>15.5619</v>
      </c>
      <c r="N66" s="13" cm="1">
        <f t="array" ref="N66">_xll.BDH("DE US Equity","PX_TO_FREE_CASH_FLOW","FQ2 2021","FQ2 2021","Currency=USD","Period=FQ","BEST_FPERIOD_OVERRIDE=FQ","FILING_STATUS=MR","Sort=A","Dates=H","DateFormat=P","Fill=—","Direction=H","UseDPDF=Y")</f>
        <v>18.8872</v>
      </c>
      <c r="O66" s="13" cm="1">
        <f t="array" ref="O66">_xll.BDH("DE US Equity","PX_TO_FREE_CASH_FLOW","FQ3 2021","FQ3 2021","Currency=USD","Period=FQ","BEST_FPERIOD_OVERRIDE=FQ","FILING_STATUS=MR","Sort=A","Dates=H","DateFormat=P","Fill=—","Direction=H","UseDPDF=Y")</f>
        <v>21.386399999999998</v>
      </c>
      <c r="P66" s="13" cm="1">
        <f t="array" ref="P66">_xll.BDH("DE US Equity","PX_TO_FREE_CASH_FLOW","FQ4 2021","FQ4 2021","Currency=USD","Period=FQ","BEST_FPERIOD_OVERRIDE=FQ","FILING_STATUS=MR","Sort=A","Dates=H","DateFormat=P","Fill=—","Direction=H","UseDPDF=Y")</f>
        <v>20.6419</v>
      </c>
      <c r="Q66" s="13" cm="1">
        <f t="array" ref="Q66">_xll.BDH("DE US Equity","PX_TO_FREE_CASH_FLOW","FQ1 2022","FQ1 2022","Currency=USD","Period=FQ","BEST_FPERIOD_OVERRIDE=FQ","FILING_STATUS=MR","Sort=A","Dates=H","DateFormat=P","Fill=—","Direction=H","UseDPDF=Y")</f>
        <v>50.8476</v>
      </c>
      <c r="R66" s="13" cm="1">
        <f t="array" ref="R66">_xll.BDH("DE US Equity","PX_TO_FREE_CASH_FLOW","FQ2 2022","FQ2 2022","Currency=USD","Period=FQ","BEST_FPERIOD_OVERRIDE=FQ","FILING_STATUS=MR","Sort=A","Dates=H","DateFormat=P","Fill=—","Direction=H","UseDPDF=Y")</f>
        <v>89.604299999999995</v>
      </c>
      <c r="S66" s="13" cm="1">
        <f t="array" ref="S66">_xll.BDH("DE US Equity","PX_TO_FREE_CASH_FLOW","FQ3 2022","FQ3 2022","Currency=USD","Period=FQ","BEST_FPERIOD_OVERRIDE=FQ","FILING_STATUS=MR","Sort=A","Dates=H","DateFormat=P","Fill=—","Direction=H","UseDPDF=Y")</f>
        <v>165.46629999999999</v>
      </c>
      <c r="T66" s="13" cm="1">
        <f t="array" ref="T66">_xll.BDH("DE US Equity","PX_TO_FREE_CASH_FLOW","FQ4 2022","FQ4 2022","Currency=USD","Period=FQ","BEST_FPERIOD_OVERRIDE=FQ","FILING_STATUS=MR","Sort=A","Dates=H","DateFormat=P","Fill=—","Direction=H","UseDPDF=Y")</f>
        <v>123.5008</v>
      </c>
      <c r="U66" s="13" cm="1">
        <f t="array" ref="U66">_xll.BDH("DE US Equity","PX_TO_FREE_CASH_FLOW","FQ1 2023","FQ1 2023","Currency=USD","Period=FQ","BEST_FPERIOD_OVERRIDE=FQ","FILING_STATUS=MR","Sort=A","Dates=H","DateFormat=P","Fill=—","Direction=H","UseDPDF=Y")</f>
        <v>64.306100000000001</v>
      </c>
      <c r="V66" s="13" cm="1">
        <f t="array" ref="V66">_xll.BDH("DE US Equity","PX_TO_FREE_CASH_FLOW","FQ2 2023","FQ2 2023","Currency=USD","Period=FQ","BEST_FPERIOD_OVERRIDE=FQ","FILING_STATUS=MR","Sort=A","Dates=H","DateFormat=P","Fill=—","Direction=H","UseDPDF=Y")</f>
        <v>55.974699999999999</v>
      </c>
      <c r="W66" s="13" cm="1">
        <f t="array" ref="W66">_xll.BDH("DE US Equity","PX_TO_FREE_CASH_FLOW","FQ3 2023","FQ3 2023","Currency=USD","Period=FQ","BEST_FPERIOD_OVERRIDE=FQ","FILING_STATUS=MR","Sort=A","Dates=H","DateFormat=P","Fill=—","Direction=H","UseDPDF=Y")</f>
        <v>44.340699999999998</v>
      </c>
      <c r="X66" s="13" cm="1">
        <f t="array" ref="X66">_xll.BDH("DE US Equity","PX_TO_FREE_CASH_FLOW","FQ4 2023","FQ4 2023","Currency=USD","Period=FQ","BEST_FPERIOD_OVERRIDE=FQ","FILING_STATUS=MR","Sort=A","Dates=H","DateFormat=P","Fill=—","Direction=H","UseDPDF=Y")</f>
        <v>24.755800000000001</v>
      </c>
      <c r="Y66" s="13" cm="1">
        <f t="array" ref="Y66">_xll.BDH("DE US Equity","PX_TO_FREE_CASH_FLOW","FQ1 2024","FQ1 2024","Currency=USD","Period=FQ","BEST_FPERIOD_OVERRIDE=FQ","FILING_STATUS=MR","Sort=A","Dates=H","DateFormat=P","Fill=—","Direction=H","UseDPDF=Y")</f>
        <v>25.652200000000001</v>
      </c>
      <c r="Z66" s="13" cm="1">
        <f t="array" ref="Z66">_xll.BDH("DE US Equity","PX_TO_FREE_CASH_FLOW","FQ2 2024","FQ2 2024","Currency=USD","Period=FQ","BEST_FPERIOD_OVERRIDE=FQ","FILING_STATUS=MR","Sort=A","Dates=H","DateFormat=P","Fill=—","Direction=H","UseDPDF=Y")</f>
        <v>22.991299999999999</v>
      </c>
      <c r="AA66" s="13" cm="1">
        <f t="array" ref="AA66">_xll.BDH("DE US Equity","PX_TO_FREE_CASH_FLOW","FQ3 2024","FQ3 2024","Currency=USD","Period=FQ","BEST_FPERIOD_OVERRIDE=FQ","FILING_STATUS=MR","Sort=A","Dates=H","DateFormat=P","Fill=—","Direction=H","UseDPDF=Y")</f>
        <v>21.7334</v>
      </c>
      <c r="AB66" s="13" cm="1">
        <f t="array" ref="AB66">_xll.BDH("DE US Equity","PX_TO_FREE_CASH_FLOW","FQ4 2024","FQ4 2024","Currency=USD","Period=FQ","BEST_FPERIOD_OVERRIDE=FQ","FILING_STATUS=MR","Sort=A","Dates=H","DateFormat=P","Fill=—","Direction=H","UseDPDF=Y")</f>
        <v>24.9847</v>
      </c>
      <c r="AC66" s="13" cm="1">
        <f t="array" ref="AC66">_xll.BDH("DE US Equity","PX_TO_FREE_CASH_FLOW","FQ1 2025","FQ1 2025","Currency=USD","Period=FQ","BEST_FPERIOD_OVERRIDE=FQ","FILING_STATUS=MR","Sort=A","Dates=H","DateFormat=P","Fill=—","Direction=H","UseDPDF=Y")</f>
        <v>31.0763</v>
      </c>
      <c r="AD66" s="13" cm="1">
        <f t="array" ref="AD66">_xll.BDH("DE US Equity","PX_TO_FREE_CASH_FLOW","FQ2 2025","FQ2 2025","Currency=USD","Period=FQ","BEST_FPERIOD_OVERRIDE=FQ","FILING_STATUS=MR","Sort=A","Dates=H","DateFormat=P","Fill=—","Direction=H","UseDPDF=Y")</f>
        <v>29.020800000000001</v>
      </c>
      <c r="AE66" s="13" cm="1">
        <f t="array" ref="AE66">_xll.BDH("DE US Equity","PX_TO_FREE_CASH_FLOW","FQ3 2025","FQ3 2025","Currency=USD","Period=FQ","BEST_FPERIOD_OVERRIDE=FQ","FILING_STATUS=MR","Sort=A","Dates=H","DateFormat=P","Fill=—","Direction=H","UseDPDF=Y")</f>
        <v>34.310499999999998</v>
      </c>
      <c r="AF66" s="13" cm="1">
        <f t="array" ref="AF66">_xll.BDH("DE US Equity","PX_TO_FREE_CASH_FLOW","FQ4 2025","FQ4 2025","Currency=USD","Period=FQ","BEST_FPERIOD_OVERRIDE=FQ","FILING_STATUS=MR","Sort=A","Dates=H","DateFormat=P","Fill=—","Direction=H","UseDPDF=Y")</f>
        <v>38.565899999999999</v>
      </c>
    </row>
    <row r="67" spans="1:32" x14ac:dyDescent="0.25">
      <c r="A67" s="10" t="s">
        <v>164</v>
      </c>
      <c r="B67" s="10" t="s">
        <v>165</v>
      </c>
      <c r="C67" s="13" cm="1">
        <f t="array" ref="C67">_xll.BDH("DE US Equity","CASH_FLOW_TO_NET_INC","FQ3 2018","FQ3 2018","Currency=USD","Period=FQ","BEST_FPERIOD_OVERRIDE=FQ","FILING_STATUS=MR","FA_ADJUSTED=GAAP","Sort=A","Dates=H","DateFormat=P","Fill=—","Direction=H","UseDPDF=Y")</f>
        <v>0.60229999999999995</v>
      </c>
      <c r="D67" s="13" cm="1">
        <f t="array" ref="D67">_xll.BDH("DE US Equity","CASH_FLOW_TO_NET_INC","FQ4 2018","FQ4 2018","Currency=USD","Period=FQ","BEST_FPERIOD_OVERRIDE=FQ","FILING_STATUS=MR","FA_ADJUSTED=GAAP","Sort=A","Dates=H","DateFormat=P","Fill=—","Direction=H","UseDPDF=Y")</f>
        <v>3.1770999999999998</v>
      </c>
      <c r="E67" s="13" cm="1">
        <f t="array" ref="E67">_xll.BDH("DE US Equity","CASH_FLOW_TO_NET_INC","FQ1 2019","FQ1 2019","Currency=USD","Period=FQ","BEST_FPERIOD_OVERRIDE=FQ","FILING_STATUS=MR","FA_ADJUSTED=GAAP","Sort=A","Dates=H","DateFormat=P","Fill=—","Direction=H","UseDPDF=Y")</f>
        <v>-3.3153000000000001</v>
      </c>
      <c r="F67" s="13" cm="1">
        <f t="array" ref="F67">_xll.BDH("DE US Equity","CASH_FLOW_TO_NET_INC","FQ2 2019","FQ2 2019","Currency=USD","Period=FQ","BEST_FPERIOD_OVERRIDE=FQ","FILING_STATUS=MR","FA_ADJUSTED=GAAP","Sort=A","Dates=H","DateFormat=P","Fill=—","Direction=H","UseDPDF=Y")</f>
        <v>0.13719999999999999</v>
      </c>
      <c r="G67" s="13" cm="1">
        <f t="array" ref="G67">_xll.BDH("DE US Equity","CASH_FLOW_TO_NET_INC","FQ3 2019","FQ3 2019","Currency=USD","Period=FQ","BEST_FPERIOD_OVERRIDE=FQ","FILING_STATUS=MR","FA_ADJUSTED=GAAP","Sort=A","Dates=H","DateFormat=P","Fill=—","Direction=H","UseDPDF=Y")</f>
        <v>2.1122999999999998</v>
      </c>
      <c r="H67" s="13" cm="1">
        <f t="array" ref="H67">_xll.BDH("DE US Equity","CASH_FLOW_TO_NET_INC","FQ4 2019","FQ4 2019","Currency=USD","Period=FQ","BEST_FPERIOD_OVERRIDE=FQ","FILING_STATUS=MR","FA_ADJUSTED=GAAP","Sort=A","Dates=H","DateFormat=P","Fill=—","Direction=H","UseDPDF=Y")</f>
        <v>4.1661999999999999</v>
      </c>
      <c r="I67" s="13" cm="1">
        <f t="array" ref="I67">_xll.BDH("DE US Equity","CASH_FLOW_TO_NET_INC","FQ1 2020","FQ1 2020","Currency=USD","Period=FQ","BEST_FPERIOD_OVERRIDE=FQ","FILING_STATUS=MR","FA_ADJUSTED=GAAP","Sort=A","Dates=H","DateFormat=P","Fill=—","Direction=H","UseDPDF=Y")</f>
        <v>-0.98260000000000003</v>
      </c>
      <c r="J67" s="13" cm="1">
        <f t="array" ref="J67">_xll.BDH("DE US Equity","CASH_FLOW_TO_NET_INC","FQ2 2020","FQ2 2020","Currency=USD","Period=FQ","BEST_FPERIOD_OVERRIDE=FQ","FILING_STATUS=MR","FA_ADJUSTED=GAAP","Sort=A","Dates=H","DateFormat=P","Fill=—","Direction=H","UseDPDF=Y")</f>
        <v>1.9278999999999999</v>
      </c>
      <c r="K67" s="13" cm="1">
        <f t="array" ref="K67">_xll.BDH("DE US Equity","CASH_FLOW_TO_NET_INC","FQ3 2020","FQ3 2020","Currency=USD","Period=FQ","BEST_FPERIOD_OVERRIDE=FQ","FILING_STATUS=MR","FA_ADJUSTED=GAAP","Sort=A","Dates=H","DateFormat=P","Fill=—","Direction=H","UseDPDF=Y")</f>
        <v>4.0456000000000003</v>
      </c>
      <c r="L67" s="13" cm="1">
        <f t="array" ref="L67">_xll.BDH("DE US Equity","CASH_FLOW_TO_NET_INC","FQ4 2020","FQ4 2020","Currency=USD","Period=FQ","BEST_FPERIOD_OVERRIDE=FQ","FILING_STATUS=MR","FA_ADJUSTED=GAAP","Sort=A","Dates=H","DateFormat=P","Fill=—","Direction=H","UseDPDF=Y")</f>
        <v>4.5258000000000003</v>
      </c>
      <c r="M67" s="13" cm="1">
        <f t="array" ref="M67">_xll.BDH("DE US Equity","CASH_FLOW_TO_NET_INC","FQ1 2021","FQ1 2021","Currency=USD","Period=FQ","BEST_FPERIOD_OVERRIDE=FQ","FILING_STATUS=MR","FA_ADJUSTED=GAAP","Sort=A","Dates=H","DateFormat=P","Fill=—","Direction=H","UseDPDF=Y")</f>
        <v>0.1168</v>
      </c>
      <c r="N67" s="13" cm="1">
        <f t="array" ref="N67">_xll.BDH("DE US Equity","CASH_FLOW_TO_NET_INC","FQ2 2021","FQ2 2021","Currency=USD","Period=FQ","BEST_FPERIOD_OVERRIDE=FQ","FILING_STATUS=MR","FA_ADJUSTED=GAAP","Sort=A","Dates=H","DateFormat=P","Fill=—","Direction=H","UseDPDF=Y")</f>
        <v>0.91790000000000005</v>
      </c>
      <c r="O67" s="13" cm="1">
        <f t="array" ref="O67">_xll.BDH("DE US Equity","CASH_FLOW_TO_NET_INC","FQ3 2021","FQ3 2021","Currency=USD","Period=FQ","BEST_FPERIOD_OVERRIDE=FQ","FILING_STATUS=MR","FA_ADJUSTED=GAAP","Sort=A","Dates=H","DateFormat=P","Fill=—","Direction=H","UseDPDF=Y")</f>
        <v>1.5165</v>
      </c>
      <c r="P67" s="13" cm="1">
        <f t="array" ref="P67">_xll.BDH("DE US Equity","CASH_FLOW_TO_NET_INC","FQ4 2021","FQ4 2021","Currency=USD","Period=FQ","BEST_FPERIOD_OVERRIDE=FQ","FILING_STATUS=MR","FA_ADJUSTED=GAAP","Sort=A","Dates=H","DateFormat=P","Fill=—","Direction=H","UseDPDF=Y")</f>
        <v>2.6594000000000002</v>
      </c>
      <c r="Q67" s="13" cm="1">
        <f t="array" ref="Q67">_xll.BDH("DE US Equity","CASH_FLOW_TO_NET_INC","FQ1 2022","FQ1 2022","Currency=USD","Period=FQ","BEST_FPERIOD_OVERRIDE=FQ","FILING_STATUS=MR","FA_ADJUSTED=GAAP","Sort=A","Dates=H","DateFormat=P","Fill=—","Direction=H","UseDPDF=Y")</f>
        <v>-2.8271999999999999</v>
      </c>
      <c r="R67" s="13" cm="1">
        <f t="array" ref="R67">_xll.BDH("DE US Equity","CASH_FLOW_TO_NET_INC","FQ2 2022","FQ2 2022","Currency=USD","Period=FQ","BEST_FPERIOD_OVERRIDE=FQ","FILING_STATUS=MR","FA_ADJUSTED=GAAP","Sort=A","Dates=H","DateFormat=P","Fill=—","Direction=H","UseDPDF=Y")</f>
        <v>0.377</v>
      </c>
      <c r="S67" s="13" cm="1">
        <f t="array" ref="S67">_xll.BDH("DE US Equity","CASH_FLOW_TO_NET_INC","FQ3 2022","FQ3 2022","Currency=USD","Period=FQ","BEST_FPERIOD_OVERRIDE=FQ","FILING_STATUS=MR","FA_ADJUSTED=GAAP","Sort=A","Dates=H","DateFormat=P","Fill=—","Direction=H","UseDPDF=Y")</f>
        <v>1.1571</v>
      </c>
      <c r="T67" s="13" cm="1">
        <f t="array" ref="T67">_xll.BDH("DE US Equity","CASH_FLOW_TO_NET_INC","FQ4 2022","FQ4 2022","Currency=USD","Period=FQ","BEST_FPERIOD_OVERRIDE=FQ","FILING_STATUS=MR","FA_ADJUSTED=GAAP","Sort=A","Dates=H","DateFormat=P","Fill=—","Direction=H","UseDPDF=Y")</f>
        <v>1.9060999999999999</v>
      </c>
      <c r="U67" s="13" cm="1">
        <f t="array" ref="U67">_xll.BDH("DE US Equity","CASH_FLOW_TO_NET_INC","FQ1 2023","FQ1 2023","Currency=USD","Period=FQ","BEST_FPERIOD_OVERRIDE=FQ","FILING_STATUS=MR","FA_ADJUSTED=GAAP","Sort=A","Dates=H","DateFormat=P","Fill=—","Direction=H","UseDPDF=Y")</f>
        <v>-0.63600000000000001</v>
      </c>
      <c r="V67" s="13" cm="1">
        <f t="array" ref="V67">_xll.BDH("DE US Equity","CASH_FLOW_TO_NET_INC","FQ2 2023","FQ2 2023","Currency=USD","Period=FQ","BEST_FPERIOD_OVERRIDE=FQ","FILING_STATUS=MR","FA_ADJUSTED=GAAP","Sort=A","Dates=H","DateFormat=P","Fill=—","Direction=H","UseDPDF=Y")</f>
        <v>0.38429999999999997</v>
      </c>
      <c r="W67" s="13" cm="1">
        <f t="array" ref="W67">_xll.BDH("DE US Equity","CASH_FLOW_TO_NET_INC","FQ3 2023","FQ3 2023","Currency=USD","Period=FQ","BEST_FPERIOD_OVERRIDE=FQ","FILING_STATUS=MR","FA_ADJUSTED=GAAP","Sort=A","Dates=H","DateFormat=P","Fill=—","Direction=H","UseDPDF=Y")</f>
        <v>1.0218</v>
      </c>
      <c r="X67" s="13" cm="1">
        <f t="array" ref="X67">_xll.BDH("DE US Equity","CASH_FLOW_TO_NET_INC","FQ4 2023","FQ4 2023","Currency=USD","Period=FQ","BEST_FPERIOD_OVERRIDE=FQ","FILING_STATUS=MR","FA_ADJUSTED=GAAP","Sort=A","Dates=H","DateFormat=P","Fill=—","Direction=H","UseDPDF=Y")</f>
        <v>2.4030999999999998</v>
      </c>
      <c r="Y67" s="13" cm="1">
        <f t="array" ref="Y67">_xll.BDH("DE US Equity","CASH_FLOW_TO_NET_INC","FQ1 2024","FQ1 2024","Currency=USD","Period=FQ","BEST_FPERIOD_OVERRIDE=FQ","FILING_STATUS=MR","FA_ADJUSTED=GAAP","Sort=A","Dates=H","DateFormat=P","Fill=—","Direction=H","UseDPDF=Y")</f>
        <v>-0.51859999999999995</v>
      </c>
      <c r="Z67" s="13" cm="1">
        <f t="array" ref="Z67">_xll.BDH("DE US Equity","CASH_FLOW_TO_NET_INC","FQ2 2024","FQ2 2024","Currency=USD","Period=FQ","BEST_FPERIOD_OVERRIDE=FQ","FILING_STATUS=MR","FA_ADJUSTED=GAAP","Sort=A","Dates=H","DateFormat=P","Fill=—","Direction=H","UseDPDF=Y")</f>
        <v>0.78139999999999998</v>
      </c>
      <c r="AA67" s="13" cm="1">
        <f t="array" ref="AA67">_xll.BDH("DE US Equity","CASH_FLOW_TO_NET_INC","FQ3 2024","FQ3 2024","Currency=USD","Period=FQ","BEST_FPERIOD_OVERRIDE=FQ","FILING_STATUS=MR","FA_ADJUSTED=GAAP","Sort=A","Dates=H","DateFormat=P","Fill=—","Direction=H","UseDPDF=Y")</f>
        <v>1.8426</v>
      </c>
      <c r="AB67" s="13" cm="1">
        <f t="array" ref="AB67">_xll.BDH("DE US Equity","CASH_FLOW_TO_NET_INC","FQ4 2024","FQ4 2024","Currency=USD","Period=FQ","BEST_FPERIOD_OVERRIDE=FQ","FILING_STATUS=MR","FA_ADJUSTED=GAAP","Sort=A","Dates=H","DateFormat=P","Fill=—","Direction=H","UseDPDF=Y")</f>
        <v>4.09</v>
      </c>
      <c r="AC67" s="13" cm="1">
        <f t="array" ref="AC67">_xll.BDH("DE US Equity","CASH_FLOW_TO_NET_INC","FQ1 2025","FQ1 2025","Currency=USD","Period=FQ","BEST_FPERIOD_OVERRIDE=FQ","FILING_STATUS=MR","FA_ADJUSTED=GAAP","Sort=A","Dates=H","DateFormat=P","Fill=—","Direction=H","UseDPDF=Y")</f>
        <v>-1.3026</v>
      </c>
      <c r="AD67" s="13" cm="1">
        <f t="array" ref="AD67">_xll.BDH("DE US Equity","CASH_FLOW_TO_NET_INC","FQ2 2025","FQ2 2025","Currency=USD","Period=FQ","BEST_FPERIOD_OVERRIDE=FQ","FILING_STATUS=MR","FA_ADJUSTED=GAAP","Sort=A","Dates=H","DateFormat=P","Fill=—","Direction=H","UseDPDF=Y")</f>
        <v>0.94240000000000002</v>
      </c>
      <c r="AE67" s="13" cm="1">
        <f t="array" ref="AE67">_xll.BDH("DE US Equity","CASH_FLOW_TO_NET_INC","FQ3 2025","FQ3 2025","Currency=USD","Period=FQ","BEST_FPERIOD_OVERRIDE=FQ","FILING_STATUS=MR","FA_ADJUSTED=GAAP","Sort=A","Dates=H","DateFormat=P","Fill=—","Direction=H","UseDPDF=Y")</f>
        <v>2.2467000000000001</v>
      </c>
      <c r="AF67" s="13" cm="1">
        <f t="array" ref="AF67">_xll.BDH("DE US Equity","CASH_FLOW_TO_NET_INC","FQ4 2025","FQ4 2025","Currency=USD","Period=FQ","BEST_FPERIOD_OVERRIDE=FQ","FILING_STATUS=MR","FA_ADJUSTED=GAAP","Sort=A","Dates=H","DateFormat=P","Fill=—","Direction=H","UseDPDF=Y")</f>
        <v>3.7511999999999999</v>
      </c>
    </row>
    <row r="68" spans="1:32" x14ac:dyDescent="0.25">
      <c r="A68" s="7" t="s">
        <v>166</v>
      </c>
      <c r="B68" s="7"/>
      <c r="C68" s="7" t="s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2026-02-19T01:54:30Z</dcterms:modified>
</cp:coreProperties>
</file>